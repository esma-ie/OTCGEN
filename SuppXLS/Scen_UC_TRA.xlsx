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ppXLS\"/>
    </mc:Choice>
  </mc:AlternateContent>
  <xr:revisionPtr revIDLastSave="0" documentId="13_ncr:1_{84A4BF6F-208F-4E43-8320-ECAE8D23AB3E}" xr6:coauthVersionLast="47" xr6:coauthVersionMax="47" xr10:uidLastSave="{00000000-0000-0000-0000-000000000000}"/>
  <bookViews>
    <workbookView xWindow="-120" yWindow="-120" windowWidth="25440" windowHeight="15270" firstSheet="7" activeTab="11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TRA TECH" sheetId="5" r:id="rId5"/>
    <sheet name="TRA RESID" sheetId="6" r:id="rId6"/>
    <sheet name="&gt;&gt;&gt; Data " sheetId="7" r:id="rId7"/>
    <sheet name="Selected_constraint" sheetId="8" r:id="rId8"/>
    <sheet name="&gt;&gt; TIMES" sheetId="9" r:id="rId9"/>
    <sheet name="UC" sheetId="10" r:id="rId10"/>
    <sheet name="UC2" sheetId="11" r:id="rId11"/>
    <sheet name="UC3" sheetId="12" r:id="rId12"/>
  </sheets>
  <definedNames>
    <definedName name="_Fill" localSheetId="2" hidden="1">#REF!</definedName>
    <definedName name="_Fill" hidden="1">#REF!</definedName>
    <definedName name="_xlnm._FilterDatabase" localSheetId="4" hidden="1">'TRA TECH'!$A$2:$AK$326</definedName>
    <definedName name="_xlnm._FilterDatabase" localSheetId="9" hidden="1">UC!$C$2:$M$564</definedName>
    <definedName name="_xlnm._FilterDatabase" localSheetId="11" hidden="1">'UC3'!$C$5:$C$1404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8" hidden="1">{"com_msw",#N/A,FALSE,"Common"}</definedName>
    <definedName name="wrn.com_msw." localSheetId="2" hidden="1">{"com_msw",#N/A,FALSE,"Common"}</definedName>
    <definedName name="wrn.com_msw." hidden="1">{"com_msw",#N/A,FALSE,"Common"}</definedName>
    <definedName name="wrn.msw_1." localSheetId="8" hidden="1">{"msw_1",#N/A,FALSE,"Common"}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8" hidden="1">{"msw_2",#N/A,FALSE,"Common"}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8" hidden="1">{"NATIONAL GRID",#N/A,FALSE,"Sheet1"}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8" hidden="1">{"regional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8" hidden="1">{"res_mf_mssw",#N/A,FALSE,"Common"}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7" i="12" l="1"/>
  <c r="D1399" i="12" s="1"/>
  <c r="D1401" i="12" s="1"/>
  <c r="D1403" i="12" s="1"/>
  <c r="D1389" i="12"/>
  <c r="D1391" i="12" s="1"/>
  <c r="D1393" i="12" s="1"/>
  <c r="D1387" i="12"/>
  <c r="D1377" i="12"/>
  <c r="D1379" i="12" s="1"/>
  <c r="D1381" i="12" s="1"/>
  <c r="D1383" i="12" s="1"/>
  <c r="D1369" i="12"/>
  <c r="D1371" i="12" s="1"/>
  <c r="D1373" i="12" s="1"/>
  <c r="D1367" i="12"/>
  <c r="D1359" i="12"/>
  <c r="D1361" i="12" s="1"/>
  <c r="D1363" i="12" s="1"/>
  <c r="D1357" i="12"/>
  <c r="D1351" i="12"/>
  <c r="D1353" i="12" s="1"/>
  <c r="D1349" i="12"/>
  <c r="D1347" i="12"/>
  <c r="D1341" i="12"/>
  <c r="D1343" i="12" s="1"/>
  <c r="D1339" i="12"/>
  <c r="D1337" i="12"/>
  <c r="D1327" i="12"/>
  <c r="D1329" i="12" s="1"/>
  <c r="D1331" i="12" s="1"/>
  <c r="D1333" i="12" s="1"/>
  <c r="D1317" i="12"/>
  <c r="D1319" i="12" s="1"/>
  <c r="D1321" i="12" s="1"/>
  <c r="D1323" i="12" s="1"/>
  <c r="D1311" i="12"/>
  <c r="D1313" i="12" s="1"/>
  <c r="D1307" i="12"/>
  <c r="D1309" i="12" s="1"/>
  <c r="D1301" i="12"/>
  <c r="D1303" i="12" s="1"/>
  <c r="D1297" i="12"/>
  <c r="D1299" i="12" s="1"/>
  <c r="D1293" i="12"/>
  <c r="D1287" i="12"/>
  <c r="D1289" i="12" s="1"/>
  <c r="D1291" i="12" s="1"/>
  <c r="D1277" i="12"/>
  <c r="D1279" i="12" s="1"/>
  <c r="D1281" i="12" s="1"/>
  <c r="D1283" i="12" s="1"/>
  <c r="D1269" i="12"/>
  <c r="D1271" i="12" s="1"/>
  <c r="D1273" i="12" s="1"/>
  <c r="D1267" i="12"/>
  <c r="D1259" i="12"/>
  <c r="D1261" i="12" s="1"/>
  <c r="D1263" i="12" s="1"/>
  <c r="D1257" i="12"/>
  <c r="D1249" i="12"/>
  <c r="D1251" i="12" s="1"/>
  <c r="D1253" i="12" s="1"/>
  <c r="D1247" i="12"/>
  <c r="D1239" i="12"/>
  <c r="D1241" i="12" s="1"/>
  <c r="D1243" i="12" s="1"/>
  <c r="D1237" i="12"/>
  <c r="D1231" i="12"/>
  <c r="D1233" i="12" s="1"/>
  <c r="D1229" i="12"/>
  <c r="D1227" i="12"/>
  <c r="D1221" i="12"/>
  <c r="D1223" i="12" s="1"/>
  <c r="D1217" i="12"/>
  <c r="D1219" i="12" s="1"/>
  <c r="D1209" i="12"/>
  <c r="D1211" i="12" s="1"/>
  <c r="D1213" i="12" s="1"/>
  <c r="D1207" i="12"/>
  <c r="D1199" i="12"/>
  <c r="D1201" i="12" s="1"/>
  <c r="D1203" i="12" s="1"/>
  <c r="D1197" i="12"/>
  <c r="D1191" i="12"/>
  <c r="D1193" i="12" s="1"/>
  <c r="D1189" i="12"/>
  <c r="D1187" i="12"/>
  <c r="D1181" i="12"/>
  <c r="D1183" i="12" s="1"/>
  <c r="D1179" i="12"/>
  <c r="D1177" i="12"/>
  <c r="D1173" i="12"/>
  <c r="D1167" i="12"/>
  <c r="D1169" i="12" s="1"/>
  <c r="D1171" i="12" s="1"/>
  <c r="D1157" i="12"/>
  <c r="D1159" i="12" s="1"/>
  <c r="D1161" i="12" s="1"/>
  <c r="D1163" i="12" s="1"/>
  <c r="D1147" i="12"/>
  <c r="D1149" i="12" s="1"/>
  <c r="D1151" i="12" s="1"/>
  <c r="D1153" i="12" s="1"/>
  <c r="D1139" i="12"/>
  <c r="D1141" i="12" s="1"/>
  <c r="D1143" i="12" s="1"/>
  <c r="D1137" i="12"/>
  <c r="D1127" i="12"/>
  <c r="D1129" i="12" s="1"/>
  <c r="D1131" i="12" s="1"/>
  <c r="D1133" i="12" s="1"/>
  <c r="D1117" i="12"/>
  <c r="D1119" i="12" s="1"/>
  <c r="D1121" i="12" s="1"/>
  <c r="D1123" i="12" s="1"/>
  <c r="D1107" i="12"/>
  <c r="D1109" i="12" s="1"/>
  <c r="D1111" i="12" s="1"/>
  <c r="D1113" i="12" s="1"/>
  <c r="D1101" i="12"/>
  <c r="D1103" i="12" s="1"/>
  <c r="D1097" i="12"/>
  <c r="D1099" i="12" s="1"/>
  <c r="D1089" i="12"/>
  <c r="D1091" i="12" s="1"/>
  <c r="D1093" i="12" s="1"/>
  <c r="D1087" i="12"/>
  <c r="D1077" i="12"/>
  <c r="D1079" i="12" s="1"/>
  <c r="D1081" i="12" s="1"/>
  <c r="D1083" i="12" s="1"/>
  <c r="D1069" i="12"/>
  <c r="D1071" i="12" s="1"/>
  <c r="D1073" i="12" s="1"/>
  <c r="D1067" i="12"/>
  <c r="D1057" i="12"/>
  <c r="D1059" i="12" s="1"/>
  <c r="D1061" i="12" s="1"/>
  <c r="D1063" i="12" s="1"/>
  <c r="D1047" i="12"/>
  <c r="D1049" i="12" s="1"/>
  <c r="D1051" i="12" s="1"/>
  <c r="D1053" i="12" s="1"/>
  <c r="D1037" i="12"/>
  <c r="D1039" i="12" s="1"/>
  <c r="D1041" i="12" s="1"/>
  <c r="D1043" i="12" s="1"/>
  <c r="D1031" i="12"/>
  <c r="D1033" i="12" s="1"/>
  <c r="D1029" i="12"/>
  <c r="D1027" i="12"/>
  <c r="D1023" i="12"/>
  <c r="D1017" i="12"/>
  <c r="D1019" i="12" s="1"/>
  <c r="D1021" i="12" s="1"/>
  <c r="D1013" i="12"/>
  <c r="D1007" i="12"/>
  <c r="D1009" i="12" s="1"/>
  <c r="D1011" i="12" s="1"/>
  <c r="D999" i="12"/>
  <c r="D1001" i="12" s="1"/>
  <c r="D1003" i="12" s="1"/>
  <c r="D997" i="12"/>
  <c r="D987" i="12"/>
  <c r="D989" i="12" s="1"/>
  <c r="D991" i="12" s="1"/>
  <c r="D993" i="12" s="1"/>
  <c r="D979" i="12"/>
  <c r="D981" i="12" s="1"/>
  <c r="D983" i="12" s="1"/>
  <c r="D977" i="12"/>
  <c r="D969" i="12"/>
  <c r="D971" i="12" s="1"/>
  <c r="D973" i="12" s="1"/>
  <c r="D967" i="12"/>
  <c r="D959" i="12"/>
  <c r="D961" i="12" s="1"/>
  <c r="D963" i="12" s="1"/>
  <c r="D957" i="12"/>
  <c r="D947" i="12"/>
  <c r="D949" i="12" s="1"/>
  <c r="D951" i="12" s="1"/>
  <c r="D953" i="12" s="1"/>
  <c r="D939" i="12"/>
  <c r="D941" i="12" s="1"/>
  <c r="D943" i="12" s="1"/>
  <c r="D937" i="12"/>
  <c r="D929" i="12"/>
  <c r="D931" i="12" s="1"/>
  <c r="D933" i="12" s="1"/>
  <c r="D927" i="12"/>
  <c r="D917" i="12"/>
  <c r="D919" i="12" s="1"/>
  <c r="D921" i="12" s="1"/>
  <c r="D923" i="12" s="1"/>
  <c r="D911" i="12"/>
  <c r="D913" i="12" s="1"/>
  <c r="D907" i="12"/>
  <c r="D909" i="12" s="1"/>
  <c r="D903" i="12"/>
  <c r="D897" i="12"/>
  <c r="D899" i="12" s="1"/>
  <c r="D901" i="12" s="1"/>
  <c r="D887" i="12"/>
  <c r="D889" i="12" s="1"/>
  <c r="D891" i="12" s="1"/>
  <c r="D893" i="12" s="1"/>
  <c r="D877" i="12"/>
  <c r="D879" i="12" s="1"/>
  <c r="D881" i="12" s="1"/>
  <c r="D883" i="12" s="1"/>
  <c r="D871" i="12"/>
  <c r="D873" i="12" s="1"/>
  <c r="D869" i="12"/>
  <c r="D867" i="12"/>
  <c r="D857" i="12"/>
  <c r="D859" i="12" s="1"/>
  <c r="D861" i="12" s="1"/>
  <c r="D863" i="12" s="1"/>
  <c r="D853" i="12"/>
  <c r="D847" i="12"/>
  <c r="D849" i="12" s="1"/>
  <c r="D851" i="12" s="1"/>
  <c r="D841" i="12"/>
  <c r="D843" i="12" s="1"/>
  <c r="D839" i="12"/>
  <c r="D837" i="12"/>
  <c r="D827" i="12"/>
  <c r="D829" i="12" s="1"/>
  <c r="D831" i="12" s="1"/>
  <c r="D833" i="12" s="1"/>
  <c r="D823" i="12"/>
  <c r="D817" i="12"/>
  <c r="D819" i="12" s="1"/>
  <c r="D821" i="12" s="1"/>
  <c r="D813" i="12"/>
  <c r="D807" i="12"/>
  <c r="D809" i="12" s="1"/>
  <c r="D811" i="12" s="1"/>
  <c r="D799" i="12"/>
  <c r="D801" i="12" s="1"/>
  <c r="D803" i="12" s="1"/>
  <c r="D797" i="12"/>
  <c r="D787" i="12"/>
  <c r="D789" i="12" s="1"/>
  <c r="D791" i="12" s="1"/>
  <c r="D793" i="12" s="1"/>
  <c r="D781" i="12"/>
  <c r="D783" i="12" s="1"/>
  <c r="D779" i="12"/>
  <c r="D777" i="12"/>
  <c r="D769" i="12"/>
  <c r="D771" i="12" s="1"/>
  <c r="D773" i="12" s="1"/>
  <c r="D767" i="12"/>
  <c r="D757" i="12"/>
  <c r="D759" i="12" s="1"/>
  <c r="D761" i="12" s="1"/>
  <c r="D763" i="12" s="1"/>
  <c r="D747" i="12"/>
  <c r="D749" i="12" s="1"/>
  <c r="D751" i="12" s="1"/>
  <c r="D753" i="12" s="1"/>
  <c r="D737" i="12"/>
  <c r="D739" i="12" s="1"/>
  <c r="D741" i="12" s="1"/>
  <c r="D743" i="12" s="1"/>
  <c r="D727" i="12"/>
  <c r="D729" i="12" s="1"/>
  <c r="D731" i="12" s="1"/>
  <c r="D733" i="12" s="1"/>
  <c r="D719" i="12"/>
  <c r="D721" i="12" s="1"/>
  <c r="D723" i="12" s="1"/>
  <c r="D717" i="12"/>
  <c r="D711" i="12"/>
  <c r="D713" i="12" s="1"/>
  <c r="D707" i="12"/>
  <c r="D709" i="12" s="1"/>
  <c r="D703" i="12"/>
  <c r="D699" i="12"/>
  <c r="D701" i="12" s="1"/>
  <c r="D697" i="12"/>
  <c r="D691" i="12"/>
  <c r="D693" i="12" s="1"/>
  <c r="D687" i="12"/>
  <c r="D689" i="12" s="1"/>
  <c r="D683" i="12"/>
  <c r="D679" i="12"/>
  <c r="D681" i="12" s="1"/>
  <c r="D677" i="12"/>
  <c r="D667" i="12"/>
  <c r="D669" i="12" s="1"/>
  <c r="D671" i="12" s="1"/>
  <c r="D673" i="12" s="1"/>
  <c r="D661" i="12"/>
  <c r="D663" i="12" s="1"/>
  <c r="D659" i="12"/>
  <c r="D657" i="12"/>
  <c r="D651" i="12"/>
  <c r="D653" i="12" s="1"/>
  <c r="D647" i="12"/>
  <c r="D649" i="12" s="1"/>
  <c r="D637" i="12"/>
  <c r="D639" i="12" s="1"/>
  <c r="D641" i="12" s="1"/>
  <c r="D643" i="12" s="1"/>
  <c r="D629" i="12"/>
  <c r="D631" i="12" s="1"/>
  <c r="D633" i="12" s="1"/>
  <c r="D627" i="12"/>
  <c r="D623" i="12"/>
  <c r="D617" i="12"/>
  <c r="D619" i="12" s="1"/>
  <c r="D621" i="12" s="1"/>
  <c r="D609" i="12"/>
  <c r="D611" i="12" s="1"/>
  <c r="D613" i="12" s="1"/>
  <c r="D607" i="12"/>
  <c r="D599" i="12"/>
  <c r="D601" i="12" s="1"/>
  <c r="D603" i="12" s="1"/>
  <c r="D597" i="12"/>
  <c r="D593" i="12"/>
  <c r="D589" i="12"/>
  <c r="D591" i="12" s="1"/>
  <c r="D587" i="12"/>
  <c r="D583" i="12"/>
  <c r="D581" i="12"/>
  <c r="D579" i="12"/>
  <c r="D577" i="12"/>
  <c r="D573" i="12"/>
  <c r="D571" i="12"/>
  <c r="D569" i="12"/>
  <c r="D567" i="12"/>
  <c r="D557" i="12"/>
  <c r="D559" i="12" s="1"/>
  <c r="D561" i="12" s="1"/>
  <c r="D563" i="12" s="1"/>
  <c r="D547" i="12"/>
  <c r="D549" i="12" s="1"/>
  <c r="D551" i="12" s="1"/>
  <c r="D553" i="12" s="1"/>
  <c r="D537" i="12"/>
  <c r="D539" i="12" s="1"/>
  <c r="D541" i="12" s="1"/>
  <c r="D543" i="12" s="1"/>
  <c r="D527" i="12"/>
  <c r="D529" i="12" s="1"/>
  <c r="D531" i="12" s="1"/>
  <c r="D533" i="12" s="1"/>
  <c r="D517" i="12"/>
  <c r="D519" i="12" s="1"/>
  <c r="D521" i="12" s="1"/>
  <c r="D523" i="12" s="1"/>
  <c r="D507" i="12"/>
  <c r="D509" i="12" s="1"/>
  <c r="D511" i="12" s="1"/>
  <c r="D513" i="12" s="1"/>
  <c r="D497" i="12"/>
  <c r="D499" i="12" s="1"/>
  <c r="D501" i="12" s="1"/>
  <c r="D503" i="12" s="1"/>
  <c r="D491" i="12"/>
  <c r="D493" i="12" s="1"/>
  <c r="D489" i="12"/>
  <c r="D487" i="12"/>
  <c r="D477" i="12"/>
  <c r="D479" i="12" s="1"/>
  <c r="D481" i="12" s="1"/>
  <c r="D483" i="12" s="1"/>
  <c r="D467" i="12"/>
  <c r="D469" i="12" s="1"/>
  <c r="D471" i="12" s="1"/>
  <c r="D473" i="12" s="1"/>
  <c r="D463" i="12"/>
  <c r="D457" i="12"/>
  <c r="D459" i="12" s="1"/>
  <c r="D461" i="12" s="1"/>
  <c r="D453" i="12"/>
  <c r="D447" i="12"/>
  <c r="D449" i="12" s="1"/>
  <c r="D451" i="12" s="1"/>
  <c r="D439" i="12"/>
  <c r="D441" i="12" s="1"/>
  <c r="D443" i="12" s="1"/>
  <c r="D437" i="12"/>
  <c r="D427" i="12"/>
  <c r="D429" i="12" s="1"/>
  <c r="D431" i="12" s="1"/>
  <c r="D433" i="12" s="1"/>
  <c r="D419" i="12"/>
  <c r="D421" i="12" s="1"/>
  <c r="D423" i="12" s="1"/>
  <c r="D417" i="12"/>
  <c r="D407" i="12"/>
  <c r="D409" i="12" s="1"/>
  <c r="D411" i="12" s="1"/>
  <c r="D413" i="12" s="1"/>
  <c r="D399" i="12"/>
  <c r="D401" i="12" s="1"/>
  <c r="D403" i="12" s="1"/>
  <c r="D397" i="12"/>
  <c r="D393" i="12"/>
  <c r="D391" i="12"/>
  <c r="D387" i="12"/>
  <c r="D389" i="12" s="1"/>
  <c r="D377" i="12"/>
  <c r="D379" i="12" s="1"/>
  <c r="D381" i="12" s="1"/>
  <c r="D383" i="12" s="1"/>
  <c r="D369" i="12"/>
  <c r="D371" i="12" s="1"/>
  <c r="D373" i="12" s="1"/>
  <c r="D367" i="12"/>
  <c r="D359" i="12"/>
  <c r="D361" i="12" s="1"/>
  <c r="D363" i="12" s="1"/>
  <c r="D357" i="12"/>
  <c r="D347" i="12"/>
  <c r="D349" i="12" s="1"/>
  <c r="D351" i="12" s="1"/>
  <c r="D353" i="12" s="1"/>
  <c r="D343" i="12"/>
  <c r="D341" i="12"/>
  <c r="D339" i="12"/>
  <c r="D337" i="12"/>
  <c r="D331" i="12"/>
  <c r="D333" i="12" s="1"/>
  <c r="D329" i="12"/>
  <c r="D327" i="12"/>
  <c r="D321" i="12"/>
  <c r="D323" i="12" s="1"/>
  <c r="D319" i="12"/>
  <c r="D317" i="12"/>
  <c r="D311" i="12"/>
  <c r="D313" i="12" s="1"/>
  <c r="D309" i="12"/>
  <c r="D307" i="12"/>
  <c r="D297" i="12"/>
  <c r="D299" i="12" s="1"/>
  <c r="D301" i="12" s="1"/>
  <c r="D303" i="12" s="1"/>
  <c r="D289" i="12"/>
  <c r="D291" i="12" s="1"/>
  <c r="D293" i="12" s="1"/>
  <c r="D287" i="12"/>
  <c r="D281" i="12"/>
  <c r="D283" i="12" s="1"/>
  <c r="D279" i="12"/>
  <c r="D277" i="12"/>
  <c r="D267" i="12"/>
  <c r="D269" i="12" s="1"/>
  <c r="D271" i="12" s="1"/>
  <c r="D273" i="12" s="1"/>
  <c r="D259" i="12"/>
  <c r="D261" i="12" s="1"/>
  <c r="D263" i="12" s="1"/>
  <c r="D257" i="12"/>
  <c r="D251" i="12"/>
  <c r="D253" i="12" s="1"/>
  <c r="D247" i="12"/>
  <c r="D249" i="12" s="1"/>
  <c r="D239" i="12"/>
  <c r="D241" i="12" s="1"/>
  <c r="D243" i="12" s="1"/>
  <c r="D237" i="12"/>
  <c r="D227" i="12"/>
  <c r="D229" i="12" s="1"/>
  <c r="D231" i="12" s="1"/>
  <c r="D233" i="12" s="1"/>
  <c r="D219" i="12"/>
  <c r="D221" i="12" s="1"/>
  <c r="D223" i="12" s="1"/>
  <c r="D217" i="12"/>
  <c r="D213" i="12"/>
  <c r="D207" i="12"/>
  <c r="D209" i="12" s="1"/>
  <c r="D211" i="12" s="1"/>
  <c r="D199" i="12"/>
  <c r="D201" i="12" s="1"/>
  <c r="D203" i="12" s="1"/>
  <c r="D197" i="12"/>
  <c r="D187" i="12"/>
  <c r="D189" i="12" s="1"/>
  <c r="D191" i="12" s="1"/>
  <c r="D193" i="12" s="1"/>
  <c r="D179" i="12"/>
  <c r="D181" i="12" s="1"/>
  <c r="D183" i="12" s="1"/>
  <c r="D177" i="12"/>
  <c r="D173" i="12"/>
  <c r="D167" i="12"/>
  <c r="D169" i="12" s="1"/>
  <c r="D171" i="12" s="1"/>
  <c r="D161" i="12"/>
  <c r="D163" i="12" s="1"/>
  <c r="D159" i="12"/>
  <c r="D157" i="12"/>
  <c r="D151" i="12"/>
  <c r="D153" i="12" s="1"/>
  <c r="D149" i="12"/>
  <c r="D147" i="12"/>
  <c r="D137" i="12"/>
  <c r="D139" i="12" s="1"/>
  <c r="D141" i="12" s="1"/>
  <c r="D143" i="12" s="1"/>
  <c r="D127" i="12"/>
  <c r="D129" i="12" s="1"/>
  <c r="D131" i="12" s="1"/>
  <c r="D133" i="12" s="1"/>
  <c r="D117" i="12"/>
  <c r="D119" i="12" s="1"/>
  <c r="D121" i="12" s="1"/>
  <c r="D123" i="12" s="1"/>
  <c r="D107" i="12"/>
  <c r="D109" i="12" s="1"/>
  <c r="D111" i="12" s="1"/>
  <c r="D113" i="12" s="1"/>
  <c r="D97" i="12"/>
  <c r="D99" i="12" s="1"/>
  <c r="D101" i="12" s="1"/>
  <c r="D103" i="12" s="1"/>
  <c r="D93" i="12"/>
  <c r="D89" i="12"/>
  <c r="D91" i="12" s="1"/>
  <c r="D87" i="12"/>
  <c r="D83" i="12"/>
  <c r="D77" i="12"/>
  <c r="D79" i="12" s="1"/>
  <c r="D81" i="12" s="1"/>
  <c r="D69" i="12"/>
  <c r="D71" i="12" s="1"/>
  <c r="D73" i="12" s="1"/>
  <c r="D67" i="12"/>
  <c r="D61" i="12"/>
  <c r="D63" i="12" s="1"/>
  <c r="D59" i="12"/>
  <c r="D57" i="12"/>
  <c r="D51" i="12"/>
  <c r="D53" i="12" s="1"/>
  <c r="D47" i="12"/>
  <c r="D49" i="12" s="1"/>
  <c r="D39" i="12"/>
  <c r="D41" i="12" s="1"/>
  <c r="D43" i="12" s="1"/>
  <c r="D37" i="12"/>
  <c r="D31" i="12"/>
  <c r="D33" i="12" s="1"/>
  <c r="D29" i="12"/>
  <c r="D27" i="12"/>
  <c r="D17" i="12"/>
  <c r="D19" i="12" s="1"/>
  <c r="D21" i="12" s="1"/>
  <c r="D23" i="12" s="1"/>
  <c r="A15" i="12"/>
  <c r="A25" i="12" s="1"/>
  <c r="D13" i="12"/>
  <c r="D7" i="12"/>
  <c r="D9" i="12" s="1"/>
  <c r="D11" i="12" s="1"/>
  <c r="BA698" i="11"/>
  <c r="AM697" i="11"/>
  <c r="AM698" i="11" s="1"/>
  <c r="T697" i="11"/>
  <c r="T698" i="11" s="1"/>
  <c r="T699" i="11" s="1"/>
  <c r="I697" i="11"/>
  <c r="D697" i="11"/>
  <c r="D698" i="11" s="1"/>
  <c r="D699" i="11" s="1"/>
  <c r="BA696" i="11"/>
  <c r="BA697" i="11" s="1"/>
  <c r="BA699" i="11" s="1"/>
  <c r="AV696" i="11"/>
  <c r="AV697" i="11" s="1"/>
  <c r="AV698" i="11" s="1"/>
  <c r="AV699" i="11" s="1"/>
  <c r="AM696" i="11"/>
  <c r="AH696" i="11"/>
  <c r="AH697" i="11" s="1"/>
  <c r="AH698" i="11" s="1"/>
  <c r="AH699" i="11" s="1"/>
  <c r="Y696" i="11"/>
  <c r="Y697" i="11" s="1"/>
  <c r="Y698" i="11" s="1"/>
  <c r="T696" i="11"/>
  <c r="I696" i="11"/>
  <c r="D696" i="11"/>
  <c r="BA694" i="11"/>
  <c r="Y694" i="11"/>
  <c r="D694" i="11"/>
  <c r="D693" i="11"/>
  <c r="AV692" i="11"/>
  <c r="AV693" i="11" s="1"/>
  <c r="AV694" i="11" s="1"/>
  <c r="Y692" i="11"/>
  <c r="Y693" i="11" s="1"/>
  <c r="I692" i="11"/>
  <c r="BA691" i="11"/>
  <c r="BA692" i="11" s="1"/>
  <c r="BA693" i="11" s="1"/>
  <c r="AV691" i="11"/>
  <c r="AM691" i="11"/>
  <c r="AM692" i="11" s="1"/>
  <c r="AH691" i="11"/>
  <c r="AH692" i="11" s="1"/>
  <c r="AH693" i="11" s="1"/>
  <c r="AH694" i="11" s="1"/>
  <c r="Y691" i="11"/>
  <c r="T691" i="11"/>
  <c r="T692" i="11" s="1"/>
  <c r="T693" i="11" s="1"/>
  <c r="T694" i="11" s="1"/>
  <c r="I691" i="11"/>
  <c r="D691" i="11"/>
  <c r="D692" i="11" s="1"/>
  <c r="AH689" i="11"/>
  <c r="D689" i="11"/>
  <c r="AH688" i="11"/>
  <c r="D688" i="11"/>
  <c r="AV687" i="11"/>
  <c r="AV688" i="11" s="1"/>
  <c r="AV689" i="11" s="1"/>
  <c r="AM687" i="11"/>
  <c r="AH687" i="11"/>
  <c r="Y687" i="11"/>
  <c r="I687" i="11"/>
  <c r="D687" i="11"/>
  <c r="BA686" i="11"/>
  <c r="BA687" i="11" s="1"/>
  <c r="AV686" i="11"/>
  <c r="AM686" i="11"/>
  <c r="AH686" i="11"/>
  <c r="Y686" i="11"/>
  <c r="T686" i="11"/>
  <c r="T687" i="11" s="1"/>
  <c r="T688" i="11" s="1"/>
  <c r="T689" i="11" s="1"/>
  <c r="I686" i="11"/>
  <c r="D686" i="11"/>
  <c r="T684" i="11"/>
  <c r="BA683" i="11"/>
  <c r="AM683" i="11"/>
  <c r="AH683" i="11"/>
  <c r="AH684" i="11" s="1"/>
  <c r="D683" i="11"/>
  <c r="D684" i="11" s="1"/>
  <c r="AM682" i="11"/>
  <c r="AM684" i="11" s="1"/>
  <c r="I682" i="11"/>
  <c r="BA681" i="11"/>
  <c r="BA682" i="11" s="1"/>
  <c r="BA684" i="11" s="1"/>
  <c r="AV681" i="11"/>
  <c r="AV682" i="11" s="1"/>
  <c r="AV683" i="11" s="1"/>
  <c r="AV684" i="11" s="1"/>
  <c r="AM681" i="11"/>
  <c r="AH681" i="11"/>
  <c r="AH682" i="11" s="1"/>
  <c r="Y681" i="11"/>
  <c r="Y682" i="11" s="1"/>
  <c r="T681" i="11"/>
  <c r="T682" i="11" s="1"/>
  <c r="T683" i="11" s="1"/>
  <c r="I681" i="11"/>
  <c r="D681" i="11"/>
  <c r="D682" i="11" s="1"/>
  <c r="AV679" i="11"/>
  <c r="I679" i="11"/>
  <c r="AH678" i="11"/>
  <c r="AH679" i="11" s="1"/>
  <c r="T678" i="11"/>
  <c r="T679" i="11" s="1"/>
  <c r="AM677" i="11"/>
  <c r="T677" i="11"/>
  <c r="I677" i="11"/>
  <c r="I678" i="11" s="1"/>
  <c r="D677" i="11"/>
  <c r="D678" i="11" s="1"/>
  <c r="D679" i="11" s="1"/>
  <c r="BA676" i="11"/>
  <c r="BA677" i="11" s="1"/>
  <c r="AV676" i="11"/>
  <c r="AV677" i="11" s="1"/>
  <c r="AV678" i="11" s="1"/>
  <c r="AM676" i="11"/>
  <c r="AH676" i="11"/>
  <c r="AH677" i="11" s="1"/>
  <c r="Y676" i="11"/>
  <c r="Y677" i="11" s="1"/>
  <c r="T676" i="11"/>
  <c r="I676" i="11"/>
  <c r="D676" i="11"/>
  <c r="Y674" i="11"/>
  <c r="D674" i="11"/>
  <c r="I673" i="11"/>
  <c r="AV672" i="11"/>
  <c r="AV673" i="11" s="1"/>
  <c r="AV674" i="11" s="1"/>
  <c r="AM672" i="11"/>
  <c r="AH672" i="11"/>
  <c r="AH673" i="11" s="1"/>
  <c r="AH674" i="11" s="1"/>
  <c r="T672" i="11"/>
  <c r="T673" i="11" s="1"/>
  <c r="T674" i="11" s="1"/>
  <c r="BA671" i="11"/>
  <c r="BA672" i="11" s="1"/>
  <c r="AV671" i="11"/>
  <c r="AM671" i="11"/>
  <c r="AH671" i="11"/>
  <c r="Y671" i="11"/>
  <c r="Y672" i="11" s="1"/>
  <c r="Y673" i="11" s="1"/>
  <c r="T671" i="11"/>
  <c r="I671" i="11"/>
  <c r="I672" i="11" s="1"/>
  <c r="I674" i="11" s="1"/>
  <c r="D671" i="11"/>
  <c r="D672" i="11" s="1"/>
  <c r="D673" i="11" s="1"/>
  <c r="BA669" i="11"/>
  <c r="AH669" i="11"/>
  <c r="AV667" i="11"/>
  <c r="AV668" i="11" s="1"/>
  <c r="AV669" i="11" s="1"/>
  <c r="Y667" i="11"/>
  <c r="BA666" i="11"/>
  <c r="BA667" i="11" s="1"/>
  <c r="BA668" i="11" s="1"/>
  <c r="AV666" i="11"/>
  <c r="AM666" i="11"/>
  <c r="AM667" i="11" s="1"/>
  <c r="AM669" i="11" s="1"/>
  <c r="AH666" i="11"/>
  <c r="AH667" i="11" s="1"/>
  <c r="AH668" i="11" s="1"/>
  <c r="Y666" i="11"/>
  <c r="T666" i="11"/>
  <c r="T667" i="11" s="1"/>
  <c r="T668" i="11" s="1"/>
  <c r="T669" i="11" s="1"/>
  <c r="I666" i="11"/>
  <c r="I667" i="11" s="1"/>
  <c r="D666" i="11"/>
  <c r="D667" i="11" s="1"/>
  <c r="D668" i="11" s="1"/>
  <c r="D669" i="11" s="1"/>
  <c r="AV663" i="11"/>
  <c r="AV664" i="11" s="1"/>
  <c r="BA662" i="11"/>
  <c r="Y662" i="11"/>
  <c r="D662" i="11"/>
  <c r="D663" i="11" s="1"/>
  <c r="D664" i="11" s="1"/>
  <c r="BA661" i="11"/>
  <c r="AV661" i="11"/>
  <c r="AV662" i="11" s="1"/>
  <c r="AM661" i="11"/>
  <c r="AM662" i="11" s="1"/>
  <c r="AH661" i="11"/>
  <c r="AH662" i="11" s="1"/>
  <c r="AH663" i="11" s="1"/>
  <c r="AH664" i="11" s="1"/>
  <c r="Y661" i="11"/>
  <c r="T661" i="11"/>
  <c r="T662" i="11" s="1"/>
  <c r="T663" i="11" s="1"/>
  <c r="T664" i="11" s="1"/>
  <c r="I661" i="11"/>
  <c r="I662" i="11" s="1"/>
  <c r="I663" i="11" s="1"/>
  <c r="D661" i="11"/>
  <c r="Y659" i="11"/>
  <c r="D658" i="11"/>
  <c r="D659" i="11" s="1"/>
  <c r="BA657" i="11"/>
  <c r="AH657" i="11"/>
  <c r="AH658" i="11" s="1"/>
  <c r="AH659" i="11" s="1"/>
  <c r="Y657" i="11"/>
  <c r="Y658" i="11" s="1"/>
  <c r="I657" i="11"/>
  <c r="I659" i="11" s="1"/>
  <c r="D657" i="11"/>
  <c r="BA656" i="11"/>
  <c r="AV656" i="11"/>
  <c r="AV657" i="11" s="1"/>
  <c r="AV658" i="11" s="1"/>
  <c r="AV659" i="11" s="1"/>
  <c r="AM656" i="11"/>
  <c r="AM657" i="11" s="1"/>
  <c r="AM658" i="11" s="1"/>
  <c r="AH656" i="11"/>
  <c r="Y656" i="11"/>
  <c r="T656" i="11"/>
  <c r="T657" i="11" s="1"/>
  <c r="T658" i="11" s="1"/>
  <c r="T659" i="11" s="1"/>
  <c r="I656" i="11"/>
  <c r="D656" i="11"/>
  <c r="AV654" i="11"/>
  <c r="Y653" i="11"/>
  <c r="BA652" i="11"/>
  <c r="AV652" i="11"/>
  <c r="AV653" i="11" s="1"/>
  <c r="I652" i="11"/>
  <c r="BA651" i="11"/>
  <c r="AV651" i="11"/>
  <c r="AM651" i="11"/>
  <c r="AM652" i="11" s="1"/>
  <c r="AH651" i="11"/>
  <c r="AH652" i="11" s="1"/>
  <c r="AH653" i="11" s="1"/>
  <c r="AH654" i="11" s="1"/>
  <c r="Y651" i="11"/>
  <c r="Y652" i="11" s="1"/>
  <c r="Y654" i="11" s="1"/>
  <c r="T651" i="11"/>
  <c r="T652" i="11" s="1"/>
  <c r="T653" i="11" s="1"/>
  <c r="T654" i="11" s="1"/>
  <c r="I651" i="11"/>
  <c r="D651" i="11"/>
  <c r="D652" i="11" s="1"/>
  <c r="D653" i="11" s="1"/>
  <c r="D654" i="11" s="1"/>
  <c r="AV649" i="11"/>
  <c r="T648" i="11"/>
  <c r="T649" i="11" s="1"/>
  <c r="AM647" i="11"/>
  <c r="T647" i="11"/>
  <c r="D647" i="11"/>
  <c r="D648" i="11" s="1"/>
  <c r="D649" i="11" s="1"/>
  <c r="BA646" i="11"/>
  <c r="BA647" i="11" s="1"/>
  <c r="BA649" i="11" s="1"/>
  <c r="AV646" i="11"/>
  <c r="AV647" i="11" s="1"/>
  <c r="AV648" i="11" s="1"/>
  <c r="AM646" i="11"/>
  <c r="AH646" i="11"/>
  <c r="AH647" i="11" s="1"/>
  <c r="AH648" i="11" s="1"/>
  <c r="AH649" i="11" s="1"/>
  <c r="Y646" i="11"/>
  <c r="Y647" i="11" s="1"/>
  <c r="T646" i="11"/>
  <c r="I646" i="11"/>
  <c r="I647" i="11" s="1"/>
  <c r="D646" i="11"/>
  <c r="BA644" i="11"/>
  <c r="Y644" i="11"/>
  <c r="D644" i="11"/>
  <c r="AV643" i="11"/>
  <c r="AV644" i="11" s="1"/>
  <c r="AM643" i="11"/>
  <c r="BA642" i="11"/>
  <c r="BA643" i="11" s="1"/>
  <c r="AH642" i="11"/>
  <c r="AH643" i="11" s="1"/>
  <c r="AH644" i="11" s="1"/>
  <c r="T642" i="11"/>
  <c r="T643" i="11" s="1"/>
  <c r="T644" i="11" s="1"/>
  <c r="BA641" i="11"/>
  <c r="AV641" i="11"/>
  <c r="AV642" i="11" s="1"/>
  <c r="AM641" i="11"/>
  <c r="AM642" i="11" s="1"/>
  <c r="AM644" i="11" s="1"/>
  <c r="AH641" i="11"/>
  <c r="Y641" i="11"/>
  <c r="Y642" i="11" s="1"/>
  <c r="Y643" i="11" s="1"/>
  <c r="T641" i="11"/>
  <c r="I641" i="11"/>
  <c r="I642" i="11" s="1"/>
  <c r="D641" i="11"/>
  <c r="D642" i="11" s="1"/>
  <c r="D643" i="11" s="1"/>
  <c r="AM638" i="11"/>
  <c r="AV637" i="11"/>
  <c r="AV638" i="11" s="1"/>
  <c r="AV639" i="11" s="1"/>
  <c r="Y637" i="11"/>
  <c r="BA636" i="11"/>
  <c r="BA637" i="11" s="1"/>
  <c r="BA638" i="11" s="1"/>
  <c r="AV636" i="11"/>
  <c r="AM636" i="11"/>
  <c r="AM637" i="11" s="1"/>
  <c r="AM639" i="11" s="1"/>
  <c r="AH636" i="11"/>
  <c r="AH637" i="11" s="1"/>
  <c r="AH638" i="11" s="1"/>
  <c r="AH639" i="11" s="1"/>
  <c r="Y636" i="11"/>
  <c r="T636" i="11"/>
  <c r="T637" i="11" s="1"/>
  <c r="T638" i="11" s="1"/>
  <c r="T639" i="11" s="1"/>
  <c r="I636" i="11"/>
  <c r="I637" i="11" s="1"/>
  <c r="D636" i="11"/>
  <c r="D637" i="11" s="1"/>
  <c r="D638" i="11" s="1"/>
  <c r="D639" i="11" s="1"/>
  <c r="BA634" i="11"/>
  <c r="AV633" i="11"/>
  <c r="AV634" i="11" s="1"/>
  <c r="T633" i="11"/>
  <c r="T634" i="11" s="1"/>
  <c r="BA632" i="11"/>
  <c r="BA633" i="11" s="1"/>
  <c r="AV632" i="11"/>
  <c r="AM632" i="11"/>
  <c r="Y632" i="11"/>
  <c r="I632" i="11"/>
  <c r="I633" i="11" s="1"/>
  <c r="D632" i="11"/>
  <c r="D633" i="11" s="1"/>
  <c r="D634" i="11" s="1"/>
  <c r="BA631" i="11"/>
  <c r="AV631" i="11"/>
  <c r="AM631" i="11"/>
  <c r="AH631" i="11"/>
  <c r="AH632" i="11" s="1"/>
  <c r="AH633" i="11" s="1"/>
  <c r="AH634" i="11" s="1"/>
  <c r="Y631" i="11"/>
  <c r="T631" i="11"/>
  <c r="T632" i="11" s="1"/>
  <c r="I631" i="11"/>
  <c r="D631" i="11"/>
  <c r="AM629" i="11"/>
  <c r="AH628" i="11"/>
  <c r="AH629" i="11" s="1"/>
  <c r="D628" i="11"/>
  <c r="D629" i="11" s="1"/>
  <c r="BA627" i="11"/>
  <c r="AH627" i="11"/>
  <c r="BA626" i="11"/>
  <c r="AV626" i="11"/>
  <c r="AV627" i="11" s="1"/>
  <c r="AV628" i="11" s="1"/>
  <c r="AV629" i="11" s="1"/>
  <c r="AM626" i="11"/>
  <c r="AM627" i="11" s="1"/>
  <c r="AM628" i="11" s="1"/>
  <c r="AH626" i="11"/>
  <c r="Y626" i="11"/>
  <c r="Y627" i="11" s="1"/>
  <c r="T626" i="11"/>
  <c r="T627" i="11" s="1"/>
  <c r="T628" i="11" s="1"/>
  <c r="T629" i="11" s="1"/>
  <c r="I626" i="11"/>
  <c r="I627" i="11" s="1"/>
  <c r="I628" i="11" s="1"/>
  <c r="D626" i="11"/>
  <c r="D627" i="11" s="1"/>
  <c r="BA624" i="11"/>
  <c r="BA623" i="11"/>
  <c r="Y623" i="11"/>
  <c r="BA622" i="11"/>
  <c r="AV622" i="11"/>
  <c r="AV623" i="11" s="1"/>
  <c r="AV624" i="11" s="1"/>
  <c r="AH622" i="11"/>
  <c r="AH623" i="11" s="1"/>
  <c r="AH624" i="11" s="1"/>
  <c r="I622" i="11"/>
  <c r="BA621" i="11"/>
  <c r="AV621" i="11"/>
  <c r="AM621" i="11"/>
  <c r="AM622" i="11" s="1"/>
  <c r="AH621" i="11"/>
  <c r="Y621" i="11"/>
  <c r="Y622" i="11" s="1"/>
  <c r="Y624" i="11" s="1"/>
  <c r="T621" i="11"/>
  <c r="T622" i="11" s="1"/>
  <c r="T623" i="11" s="1"/>
  <c r="T624" i="11" s="1"/>
  <c r="I621" i="11"/>
  <c r="D621" i="11"/>
  <c r="D622" i="11" s="1"/>
  <c r="D623" i="11" s="1"/>
  <c r="D624" i="11" s="1"/>
  <c r="AV619" i="11"/>
  <c r="AM618" i="11"/>
  <c r="I618" i="11"/>
  <c r="AM617" i="11"/>
  <c r="AM619" i="11" s="1"/>
  <c r="D617" i="11"/>
  <c r="D618" i="11" s="1"/>
  <c r="D619" i="11" s="1"/>
  <c r="BA616" i="11"/>
  <c r="BA617" i="11" s="1"/>
  <c r="AV616" i="11"/>
  <c r="AV617" i="11" s="1"/>
  <c r="AV618" i="11" s="1"/>
  <c r="AM616" i="11"/>
  <c r="AH616" i="11"/>
  <c r="AH617" i="11" s="1"/>
  <c r="AH618" i="11" s="1"/>
  <c r="AH619" i="11" s="1"/>
  <c r="Y616" i="11"/>
  <c r="Y617" i="11" s="1"/>
  <c r="Y619" i="11" s="1"/>
  <c r="T616" i="11"/>
  <c r="T617" i="11" s="1"/>
  <c r="T618" i="11" s="1"/>
  <c r="T619" i="11" s="1"/>
  <c r="I616" i="11"/>
  <c r="I617" i="11" s="1"/>
  <c r="I619" i="11" s="1"/>
  <c r="D616" i="11"/>
  <c r="BA612" i="11"/>
  <c r="T612" i="11"/>
  <c r="T613" i="11" s="1"/>
  <c r="T614" i="11" s="1"/>
  <c r="BA611" i="11"/>
  <c r="AV611" i="11"/>
  <c r="AV612" i="11" s="1"/>
  <c r="AV613" i="11" s="1"/>
  <c r="AV614" i="11" s="1"/>
  <c r="AM611" i="11"/>
  <c r="AM612" i="11" s="1"/>
  <c r="AM614" i="11" s="1"/>
  <c r="AH611" i="11"/>
  <c r="AH612" i="11" s="1"/>
  <c r="AH613" i="11" s="1"/>
  <c r="AH614" i="11" s="1"/>
  <c r="Y611" i="11"/>
  <c r="Y612" i="11" s="1"/>
  <c r="Y613" i="11" s="1"/>
  <c r="T611" i="11"/>
  <c r="I611" i="11"/>
  <c r="I612" i="11" s="1"/>
  <c r="D611" i="11"/>
  <c r="D612" i="11" s="1"/>
  <c r="D613" i="11" s="1"/>
  <c r="D614" i="11" s="1"/>
  <c r="AM609" i="11"/>
  <c r="AM608" i="11"/>
  <c r="AV607" i="11"/>
  <c r="AV608" i="11" s="1"/>
  <c r="AV609" i="11" s="1"/>
  <c r="AH607" i="11"/>
  <c r="AH608" i="11" s="1"/>
  <c r="AH609" i="11" s="1"/>
  <c r="Y607" i="11"/>
  <c r="I607" i="11"/>
  <c r="I609" i="11" s="1"/>
  <c r="D607" i="11"/>
  <c r="D608" i="11" s="1"/>
  <c r="D609" i="11" s="1"/>
  <c r="BA606" i="11"/>
  <c r="BA607" i="11" s="1"/>
  <c r="AV606" i="11"/>
  <c r="AM606" i="11"/>
  <c r="AM607" i="11" s="1"/>
  <c r="AH606" i="11"/>
  <c r="Y606" i="11"/>
  <c r="T606" i="11"/>
  <c r="T607" i="11" s="1"/>
  <c r="T608" i="11" s="1"/>
  <c r="T609" i="11" s="1"/>
  <c r="I606" i="11"/>
  <c r="D606" i="11"/>
  <c r="BA603" i="11"/>
  <c r="AV603" i="11"/>
  <c r="AV604" i="11" s="1"/>
  <c r="T603" i="11"/>
  <c r="T604" i="11" s="1"/>
  <c r="D603" i="11"/>
  <c r="D604" i="11" s="1"/>
  <c r="AV602" i="11"/>
  <c r="Y602" i="11"/>
  <c r="D602" i="11"/>
  <c r="BA601" i="11"/>
  <c r="BA602" i="11" s="1"/>
  <c r="BA604" i="11" s="1"/>
  <c r="AV601" i="11"/>
  <c r="AM601" i="11"/>
  <c r="AM602" i="11" s="1"/>
  <c r="AH601" i="11"/>
  <c r="AH602" i="11" s="1"/>
  <c r="AH603" i="11" s="1"/>
  <c r="AH604" i="11" s="1"/>
  <c r="Y601" i="11"/>
  <c r="T601" i="11"/>
  <c r="T602" i="11" s="1"/>
  <c r="I601" i="11"/>
  <c r="I602" i="11" s="1"/>
  <c r="D601" i="11"/>
  <c r="AM599" i="11"/>
  <c r="BA598" i="11"/>
  <c r="Y598" i="11"/>
  <c r="AM597" i="11"/>
  <c r="AM598" i="11" s="1"/>
  <c r="T597" i="11"/>
  <c r="T598" i="11" s="1"/>
  <c r="T599" i="11" s="1"/>
  <c r="BA596" i="11"/>
  <c r="BA597" i="11" s="1"/>
  <c r="BA599" i="11" s="1"/>
  <c r="AV596" i="11"/>
  <c r="AV597" i="11" s="1"/>
  <c r="AV598" i="11" s="1"/>
  <c r="AV599" i="11" s="1"/>
  <c r="AM596" i="11"/>
  <c r="AH596" i="11"/>
  <c r="AH597" i="11" s="1"/>
  <c r="AH598" i="11" s="1"/>
  <c r="AH599" i="11" s="1"/>
  <c r="Y596" i="11"/>
  <c r="Y597" i="11" s="1"/>
  <c r="Y599" i="11" s="1"/>
  <c r="T596" i="11"/>
  <c r="I596" i="11"/>
  <c r="I597" i="11" s="1"/>
  <c r="D596" i="11"/>
  <c r="D597" i="11" s="1"/>
  <c r="D598" i="11" s="1"/>
  <c r="D599" i="11" s="1"/>
  <c r="BA594" i="11"/>
  <c r="I594" i="11"/>
  <c r="AM593" i="11"/>
  <c r="I593" i="11"/>
  <c r="AV592" i="11"/>
  <c r="AV593" i="11" s="1"/>
  <c r="AV594" i="11" s="1"/>
  <c r="AM592" i="11"/>
  <c r="AM594" i="11" s="1"/>
  <c r="AH592" i="11"/>
  <c r="AH593" i="11" s="1"/>
  <c r="AH594" i="11" s="1"/>
  <c r="T592" i="11"/>
  <c r="T593" i="11" s="1"/>
  <c r="T594" i="11" s="1"/>
  <c r="D592" i="11"/>
  <c r="D593" i="11" s="1"/>
  <c r="D594" i="11" s="1"/>
  <c r="BA591" i="11"/>
  <c r="BA592" i="11" s="1"/>
  <c r="BA593" i="11" s="1"/>
  <c r="AV591" i="11"/>
  <c r="AM591" i="11"/>
  <c r="AH591" i="11"/>
  <c r="Y591" i="11"/>
  <c r="Y592" i="11" s="1"/>
  <c r="T591" i="11"/>
  <c r="I591" i="11"/>
  <c r="I592" i="11" s="1"/>
  <c r="D591" i="11"/>
  <c r="AH589" i="11"/>
  <c r="I589" i="11"/>
  <c r="Y588" i="11"/>
  <c r="T588" i="11"/>
  <c r="T589" i="11" s="1"/>
  <c r="AV587" i="11"/>
  <c r="AV588" i="11" s="1"/>
  <c r="AV589" i="11" s="1"/>
  <c r="AH587" i="11"/>
  <c r="AH588" i="11" s="1"/>
  <c r="Y587" i="11"/>
  <c r="Y589" i="11" s="1"/>
  <c r="T587" i="11"/>
  <c r="I587" i="11"/>
  <c r="I588" i="11" s="1"/>
  <c r="BA586" i="11"/>
  <c r="BA587" i="11" s="1"/>
  <c r="AV586" i="11"/>
  <c r="AM586" i="11"/>
  <c r="AM587" i="11" s="1"/>
  <c r="AH586" i="11"/>
  <c r="Y586" i="11"/>
  <c r="T586" i="11"/>
  <c r="I586" i="11"/>
  <c r="D586" i="11"/>
  <c r="D587" i="11" s="1"/>
  <c r="D588" i="11" s="1"/>
  <c r="D589" i="11" s="1"/>
  <c r="BA584" i="11"/>
  <c r="AV584" i="11"/>
  <c r="I584" i="11"/>
  <c r="AM583" i="11"/>
  <c r="AH583" i="11"/>
  <c r="AH584" i="11" s="1"/>
  <c r="T583" i="11"/>
  <c r="T584" i="11" s="1"/>
  <c r="D583" i="11"/>
  <c r="D584" i="11" s="1"/>
  <c r="BA582" i="11"/>
  <c r="BA583" i="11" s="1"/>
  <c r="AV582" i="11"/>
  <c r="AV583" i="11" s="1"/>
  <c r="AM582" i="11"/>
  <c r="AM584" i="11" s="1"/>
  <c r="AH582" i="11"/>
  <c r="Y582" i="11"/>
  <c r="I582" i="11"/>
  <c r="I583" i="11" s="1"/>
  <c r="D582" i="11"/>
  <c r="BA581" i="11"/>
  <c r="AV581" i="11"/>
  <c r="AM581" i="11"/>
  <c r="AH581" i="11"/>
  <c r="Y581" i="11"/>
  <c r="T581" i="11"/>
  <c r="T582" i="11" s="1"/>
  <c r="I581" i="11"/>
  <c r="D581" i="11"/>
  <c r="BA577" i="11"/>
  <c r="AH577" i="11"/>
  <c r="AH578" i="11" s="1"/>
  <c r="AH579" i="11" s="1"/>
  <c r="Y577" i="11"/>
  <c r="T577" i="11"/>
  <c r="T578" i="11" s="1"/>
  <c r="T579" i="11" s="1"/>
  <c r="I577" i="11"/>
  <c r="BA576" i="11"/>
  <c r="AV576" i="11"/>
  <c r="AV577" i="11" s="1"/>
  <c r="AV578" i="11" s="1"/>
  <c r="AV579" i="11" s="1"/>
  <c r="AM576" i="11"/>
  <c r="AM577" i="11" s="1"/>
  <c r="AH576" i="11"/>
  <c r="Y576" i="11"/>
  <c r="T576" i="11"/>
  <c r="I576" i="11"/>
  <c r="D576" i="11"/>
  <c r="D577" i="11" s="1"/>
  <c r="D578" i="11" s="1"/>
  <c r="D579" i="11" s="1"/>
  <c r="BA574" i="11"/>
  <c r="AV574" i="11"/>
  <c r="T574" i="11"/>
  <c r="AV573" i="11"/>
  <c r="AM573" i="11"/>
  <c r="Y573" i="11"/>
  <c r="I573" i="11"/>
  <c r="BA572" i="11"/>
  <c r="BA573" i="11" s="1"/>
  <c r="AV572" i="11"/>
  <c r="AM572" i="11"/>
  <c r="AM574" i="11" s="1"/>
  <c r="I572" i="11"/>
  <c r="I574" i="11" s="1"/>
  <c r="BA571" i="11"/>
  <c r="AV571" i="11"/>
  <c r="AM571" i="11"/>
  <c r="AH571" i="11"/>
  <c r="AH572" i="11" s="1"/>
  <c r="AH573" i="11" s="1"/>
  <c r="AH574" i="11" s="1"/>
  <c r="Y571" i="11"/>
  <c r="Y572" i="11" s="1"/>
  <c r="Y574" i="11" s="1"/>
  <c r="T571" i="11"/>
  <c r="T572" i="11" s="1"/>
  <c r="T573" i="11" s="1"/>
  <c r="I571" i="11"/>
  <c r="D571" i="11"/>
  <c r="D572" i="11" s="1"/>
  <c r="D573" i="11" s="1"/>
  <c r="D574" i="11" s="1"/>
  <c r="I569" i="11"/>
  <c r="AM568" i="11"/>
  <c r="AH568" i="11"/>
  <c r="AH569" i="11" s="1"/>
  <c r="Y568" i="11"/>
  <c r="I568" i="11"/>
  <c r="AM567" i="11"/>
  <c r="AM569" i="11" s="1"/>
  <c r="Y567" i="11"/>
  <c r="Y569" i="11" s="1"/>
  <c r="D567" i="11"/>
  <c r="D568" i="11" s="1"/>
  <c r="D569" i="11" s="1"/>
  <c r="BA566" i="11"/>
  <c r="BA567" i="11" s="1"/>
  <c r="AV566" i="11"/>
  <c r="AV567" i="11" s="1"/>
  <c r="AV568" i="11" s="1"/>
  <c r="AV569" i="11" s="1"/>
  <c r="AM566" i="11"/>
  <c r="AH566" i="11"/>
  <c r="AH567" i="11" s="1"/>
  <c r="Y566" i="11"/>
  <c r="T566" i="11"/>
  <c r="T567" i="11" s="1"/>
  <c r="T568" i="11" s="1"/>
  <c r="T569" i="11" s="1"/>
  <c r="I566" i="11"/>
  <c r="I567" i="11" s="1"/>
  <c r="D566" i="11"/>
  <c r="BA564" i="11"/>
  <c r="Y564" i="11"/>
  <c r="BA563" i="11"/>
  <c r="I563" i="11"/>
  <c r="BA562" i="11"/>
  <c r="AM562" i="11"/>
  <c r="AM564" i="11" s="1"/>
  <c r="AH562" i="11"/>
  <c r="AH563" i="11" s="1"/>
  <c r="AH564" i="11" s="1"/>
  <c r="T562" i="11"/>
  <c r="T563" i="11" s="1"/>
  <c r="T564" i="11" s="1"/>
  <c r="BA561" i="11"/>
  <c r="AV561" i="11"/>
  <c r="AV562" i="11" s="1"/>
  <c r="AV563" i="11" s="1"/>
  <c r="AV564" i="11" s="1"/>
  <c r="AM561" i="11"/>
  <c r="AH561" i="11"/>
  <c r="Y561" i="11"/>
  <c r="Y562" i="11" s="1"/>
  <c r="Y563" i="11" s="1"/>
  <c r="T561" i="11"/>
  <c r="I561" i="11"/>
  <c r="I562" i="11" s="1"/>
  <c r="I564" i="11" s="1"/>
  <c r="D561" i="11"/>
  <c r="D562" i="11" s="1"/>
  <c r="D563" i="11" s="1"/>
  <c r="D564" i="11" s="1"/>
  <c r="BA559" i="11"/>
  <c r="AM559" i="11"/>
  <c r="AH559" i="11"/>
  <c r="T559" i="11"/>
  <c r="I559" i="11"/>
  <c r="AM558" i="11"/>
  <c r="I558" i="11"/>
  <c r="AV557" i="11"/>
  <c r="AV558" i="11" s="1"/>
  <c r="AV559" i="11" s="1"/>
  <c r="I557" i="11"/>
  <c r="BA556" i="11"/>
  <c r="BA557" i="11" s="1"/>
  <c r="BA558" i="11" s="1"/>
  <c r="AV556" i="11"/>
  <c r="AM556" i="11"/>
  <c r="AM557" i="11" s="1"/>
  <c r="AH556" i="11"/>
  <c r="AH557" i="11" s="1"/>
  <c r="AH558" i="11" s="1"/>
  <c r="Y556" i="11"/>
  <c r="Y557" i="11" s="1"/>
  <c r="T556" i="11"/>
  <c r="T557" i="11" s="1"/>
  <c r="T558" i="11" s="1"/>
  <c r="I556" i="11"/>
  <c r="D556" i="11"/>
  <c r="D557" i="11" s="1"/>
  <c r="D558" i="11" s="1"/>
  <c r="D559" i="11" s="1"/>
  <c r="BA554" i="11"/>
  <c r="D553" i="11"/>
  <c r="D554" i="11" s="1"/>
  <c r="Y552" i="11"/>
  <c r="Y554" i="11" s="1"/>
  <c r="I552" i="11"/>
  <c r="D552" i="11"/>
  <c r="BA551" i="11"/>
  <c r="BA552" i="11" s="1"/>
  <c r="BA553" i="11" s="1"/>
  <c r="AV551" i="11"/>
  <c r="AV552" i="11" s="1"/>
  <c r="AV553" i="11" s="1"/>
  <c r="AV554" i="11" s="1"/>
  <c r="AM551" i="11"/>
  <c r="AM552" i="11" s="1"/>
  <c r="AM553" i="11" s="1"/>
  <c r="AH551" i="11"/>
  <c r="AH552" i="11" s="1"/>
  <c r="AH553" i="11" s="1"/>
  <c r="AH554" i="11" s="1"/>
  <c r="Y551" i="11"/>
  <c r="T551" i="11"/>
  <c r="T552" i="11" s="1"/>
  <c r="T553" i="11" s="1"/>
  <c r="T554" i="11" s="1"/>
  <c r="I551" i="11"/>
  <c r="D551" i="11"/>
  <c r="T549" i="11"/>
  <c r="AH548" i="11"/>
  <c r="AH549" i="11" s="1"/>
  <c r="Y548" i="11"/>
  <c r="BA547" i="11"/>
  <c r="BA549" i="11" s="1"/>
  <c r="AH547" i="11"/>
  <c r="D547" i="11"/>
  <c r="D548" i="11" s="1"/>
  <c r="D549" i="11" s="1"/>
  <c r="BA546" i="11"/>
  <c r="AV546" i="11"/>
  <c r="AV547" i="11" s="1"/>
  <c r="AV548" i="11" s="1"/>
  <c r="AV549" i="11" s="1"/>
  <c r="AM546" i="11"/>
  <c r="AM547" i="11" s="1"/>
  <c r="AH546" i="11"/>
  <c r="Y546" i="11"/>
  <c r="Y547" i="11" s="1"/>
  <c r="Y549" i="11" s="1"/>
  <c r="T546" i="11"/>
  <c r="T547" i="11" s="1"/>
  <c r="T548" i="11" s="1"/>
  <c r="I546" i="11"/>
  <c r="I547" i="11" s="1"/>
  <c r="D546" i="11"/>
  <c r="D544" i="11"/>
  <c r="I543" i="11"/>
  <c r="D543" i="11"/>
  <c r="T542" i="11"/>
  <c r="T543" i="11" s="1"/>
  <c r="T544" i="11" s="1"/>
  <c r="I542" i="11"/>
  <c r="I544" i="11" s="1"/>
  <c r="BA541" i="11"/>
  <c r="BA542" i="11" s="1"/>
  <c r="AV541" i="11"/>
  <c r="AV542" i="11" s="1"/>
  <c r="AV543" i="11" s="1"/>
  <c r="AV544" i="11" s="1"/>
  <c r="AM541" i="11"/>
  <c r="AM542" i="11" s="1"/>
  <c r="AH541" i="11"/>
  <c r="AH542" i="11" s="1"/>
  <c r="AH543" i="11" s="1"/>
  <c r="AH544" i="11" s="1"/>
  <c r="Y541" i="11"/>
  <c r="Y542" i="11" s="1"/>
  <c r="T541" i="11"/>
  <c r="I541" i="11"/>
  <c r="D541" i="11"/>
  <c r="D542" i="11" s="1"/>
  <c r="BA539" i="11"/>
  <c r="D539" i="11"/>
  <c r="AH538" i="11"/>
  <c r="AH539" i="11" s="1"/>
  <c r="Y538" i="11"/>
  <c r="T538" i="11"/>
  <c r="T539" i="11" s="1"/>
  <c r="D538" i="11"/>
  <c r="AM537" i="11"/>
  <c r="Y537" i="11"/>
  <c r="Y539" i="11" s="1"/>
  <c r="D537" i="11"/>
  <c r="BA536" i="11"/>
  <c r="BA537" i="11" s="1"/>
  <c r="BA538" i="11" s="1"/>
  <c r="AV536" i="11"/>
  <c r="AV537" i="11" s="1"/>
  <c r="AV538" i="11" s="1"/>
  <c r="AV539" i="11" s="1"/>
  <c r="AM536" i="11"/>
  <c r="AH536" i="11"/>
  <c r="AH537" i="11" s="1"/>
  <c r="Y536" i="11"/>
  <c r="T536" i="11"/>
  <c r="T537" i="11" s="1"/>
  <c r="I536" i="11"/>
  <c r="I537" i="11" s="1"/>
  <c r="I538" i="11" s="1"/>
  <c r="D536" i="11"/>
  <c r="AV534" i="11"/>
  <c r="AM534" i="11"/>
  <c r="BA532" i="11"/>
  <c r="AV532" i="11"/>
  <c r="AV533" i="11" s="1"/>
  <c r="AM532" i="11"/>
  <c r="AM533" i="11" s="1"/>
  <c r="Y532" i="11"/>
  <c r="Y533" i="11" s="1"/>
  <c r="T532" i="11"/>
  <c r="T533" i="11" s="1"/>
  <c r="T534" i="11" s="1"/>
  <c r="BA531" i="11"/>
  <c r="AV531" i="11"/>
  <c r="AM531" i="11"/>
  <c r="AH531" i="11"/>
  <c r="AH532" i="11" s="1"/>
  <c r="AH533" i="11" s="1"/>
  <c r="AH534" i="11" s="1"/>
  <c r="Y531" i="11"/>
  <c r="T531" i="11"/>
  <c r="I531" i="11"/>
  <c r="I532" i="11" s="1"/>
  <c r="D531" i="11"/>
  <c r="D532" i="11" s="1"/>
  <c r="D533" i="11" s="1"/>
  <c r="D534" i="11" s="1"/>
  <c r="AH529" i="11"/>
  <c r="Y529" i="11"/>
  <c r="D529" i="11"/>
  <c r="D528" i="11"/>
  <c r="AV527" i="11"/>
  <c r="AV528" i="11" s="1"/>
  <c r="AV529" i="11" s="1"/>
  <c r="AH527" i="11"/>
  <c r="AH528" i="11" s="1"/>
  <c r="T527" i="11"/>
  <c r="T528" i="11" s="1"/>
  <c r="T529" i="11" s="1"/>
  <c r="I527" i="11"/>
  <c r="D527" i="11"/>
  <c r="BA526" i="11"/>
  <c r="BA527" i="11" s="1"/>
  <c r="BA528" i="11" s="1"/>
  <c r="AV526" i="11"/>
  <c r="AM526" i="11"/>
  <c r="AM527" i="11" s="1"/>
  <c r="AM528" i="11" s="1"/>
  <c r="AH526" i="11"/>
  <c r="Y526" i="11"/>
  <c r="Y527" i="11" s="1"/>
  <c r="Y528" i="11" s="1"/>
  <c r="T526" i="11"/>
  <c r="I526" i="11"/>
  <c r="D526" i="11"/>
  <c r="AV524" i="11"/>
  <c r="AH523" i="11"/>
  <c r="AH524" i="11" s="1"/>
  <c r="D523" i="11"/>
  <c r="D524" i="11" s="1"/>
  <c r="BA522" i="11"/>
  <c r="Y522" i="11"/>
  <c r="Y524" i="11" s="1"/>
  <c r="D522" i="11"/>
  <c r="BA521" i="11"/>
  <c r="AV521" i="11"/>
  <c r="AV522" i="11" s="1"/>
  <c r="AV523" i="11" s="1"/>
  <c r="AM521" i="11"/>
  <c r="AM522" i="11" s="1"/>
  <c r="AH521" i="11"/>
  <c r="AH522" i="11" s="1"/>
  <c r="Y521" i="11"/>
  <c r="T521" i="11"/>
  <c r="T522" i="11" s="1"/>
  <c r="T523" i="11" s="1"/>
  <c r="T524" i="11" s="1"/>
  <c r="I521" i="11"/>
  <c r="I522" i="11" s="1"/>
  <c r="D521" i="11"/>
  <c r="AM519" i="11"/>
  <c r="I519" i="11"/>
  <c r="D519" i="11"/>
  <c r="BA517" i="11"/>
  <c r="BA519" i="11" s="1"/>
  <c r="AM517" i="11"/>
  <c r="AM518" i="11" s="1"/>
  <c r="AH517" i="11"/>
  <c r="AH518" i="11" s="1"/>
  <c r="AH519" i="11" s="1"/>
  <c r="T517" i="11"/>
  <c r="T518" i="11" s="1"/>
  <c r="T519" i="11" s="1"/>
  <c r="BA516" i="11"/>
  <c r="AV516" i="11"/>
  <c r="AV517" i="11" s="1"/>
  <c r="AV518" i="11" s="1"/>
  <c r="AV519" i="11" s="1"/>
  <c r="AM516" i="11"/>
  <c r="AH516" i="11"/>
  <c r="Y516" i="11"/>
  <c r="Y517" i="11" s="1"/>
  <c r="T516" i="11"/>
  <c r="I516" i="11"/>
  <c r="I517" i="11" s="1"/>
  <c r="I518" i="11" s="1"/>
  <c r="D516" i="11"/>
  <c r="D517" i="11" s="1"/>
  <c r="D518" i="11" s="1"/>
  <c r="Y514" i="11"/>
  <c r="T514" i="11"/>
  <c r="Y513" i="11"/>
  <c r="BA512" i="11"/>
  <c r="BA514" i="11" s="1"/>
  <c r="AV512" i="11"/>
  <c r="AV513" i="11" s="1"/>
  <c r="AV514" i="11" s="1"/>
  <c r="AH512" i="11"/>
  <c r="AH513" i="11" s="1"/>
  <c r="AH514" i="11" s="1"/>
  <c r="T512" i="11"/>
  <c r="T513" i="11" s="1"/>
  <c r="I512" i="11"/>
  <c r="I514" i="11" s="1"/>
  <c r="BA511" i="11"/>
  <c r="AV511" i="11"/>
  <c r="AM511" i="11"/>
  <c r="AM512" i="11" s="1"/>
  <c r="AH511" i="11"/>
  <c r="Y511" i="11"/>
  <c r="Y512" i="11" s="1"/>
  <c r="T511" i="11"/>
  <c r="I511" i="11"/>
  <c r="D511" i="11"/>
  <c r="D512" i="11" s="1"/>
  <c r="D513" i="11" s="1"/>
  <c r="D514" i="11" s="1"/>
  <c r="BA509" i="11"/>
  <c r="D509" i="11"/>
  <c r="BA508" i="11"/>
  <c r="I508" i="11"/>
  <c r="BA507" i="11"/>
  <c r="AM507" i="11"/>
  <c r="T507" i="11"/>
  <c r="T508" i="11" s="1"/>
  <c r="T509" i="11" s="1"/>
  <c r="I507" i="11"/>
  <c r="I509" i="11" s="1"/>
  <c r="BA506" i="11"/>
  <c r="AV506" i="11"/>
  <c r="AV507" i="11" s="1"/>
  <c r="AV508" i="11" s="1"/>
  <c r="AV509" i="11" s="1"/>
  <c r="AM506" i="11"/>
  <c r="AH506" i="11"/>
  <c r="AH507" i="11" s="1"/>
  <c r="AH508" i="11" s="1"/>
  <c r="AH509" i="11" s="1"/>
  <c r="Y506" i="11"/>
  <c r="Y507" i="11" s="1"/>
  <c r="T506" i="11"/>
  <c r="I506" i="11"/>
  <c r="D506" i="11"/>
  <c r="D507" i="11" s="1"/>
  <c r="D508" i="11" s="1"/>
  <c r="AH504" i="11"/>
  <c r="Y504" i="11"/>
  <c r="AM503" i="11"/>
  <c r="I503" i="11"/>
  <c r="AV502" i="11"/>
  <c r="AV503" i="11" s="1"/>
  <c r="AV504" i="11" s="1"/>
  <c r="AM502" i="11"/>
  <c r="AM504" i="11" s="1"/>
  <c r="T502" i="11"/>
  <c r="T503" i="11" s="1"/>
  <c r="T504" i="11" s="1"/>
  <c r="BA501" i="11"/>
  <c r="BA502" i="11" s="1"/>
  <c r="AV501" i="11"/>
  <c r="AM501" i="11"/>
  <c r="AH501" i="11"/>
  <c r="AH502" i="11" s="1"/>
  <c r="AH503" i="11" s="1"/>
  <c r="Y501" i="11"/>
  <c r="Y502" i="11" s="1"/>
  <c r="Y503" i="11" s="1"/>
  <c r="T501" i="11"/>
  <c r="I501" i="11"/>
  <c r="I502" i="11" s="1"/>
  <c r="I504" i="11" s="1"/>
  <c r="D501" i="11"/>
  <c r="D502" i="11" s="1"/>
  <c r="D503" i="11" s="1"/>
  <c r="D504" i="11" s="1"/>
  <c r="BA499" i="11"/>
  <c r="AH499" i="11"/>
  <c r="AM498" i="11"/>
  <c r="T498" i="11"/>
  <c r="T499" i="11" s="1"/>
  <c r="AV497" i="11"/>
  <c r="AV498" i="11" s="1"/>
  <c r="AV499" i="11" s="1"/>
  <c r="Y497" i="11"/>
  <c r="T497" i="11"/>
  <c r="D497" i="11"/>
  <c r="D498" i="11" s="1"/>
  <c r="D499" i="11" s="1"/>
  <c r="BA496" i="11"/>
  <c r="BA497" i="11" s="1"/>
  <c r="BA498" i="11" s="1"/>
  <c r="AV496" i="11"/>
  <c r="AM496" i="11"/>
  <c r="AM497" i="11" s="1"/>
  <c r="AM499" i="11" s="1"/>
  <c r="AH496" i="11"/>
  <c r="AH497" i="11" s="1"/>
  <c r="AH498" i="11" s="1"/>
  <c r="Y496" i="11"/>
  <c r="T496" i="11"/>
  <c r="I496" i="11"/>
  <c r="I497" i="11" s="1"/>
  <c r="D496" i="11"/>
  <c r="AM494" i="11"/>
  <c r="AV493" i="11"/>
  <c r="AV494" i="11" s="1"/>
  <c r="T493" i="11"/>
  <c r="T494" i="11" s="1"/>
  <c r="BA492" i="11"/>
  <c r="AV492" i="11"/>
  <c r="AH492" i="11"/>
  <c r="AH493" i="11" s="1"/>
  <c r="AH494" i="11" s="1"/>
  <c r="Y492" i="11"/>
  <c r="T492" i="11"/>
  <c r="D492" i="11"/>
  <c r="D493" i="11" s="1"/>
  <c r="D494" i="11" s="1"/>
  <c r="BA491" i="11"/>
  <c r="AV491" i="11"/>
  <c r="AM491" i="11"/>
  <c r="AM492" i="11" s="1"/>
  <c r="AM493" i="11" s="1"/>
  <c r="AH491" i="11"/>
  <c r="Y491" i="11"/>
  <c r="T491" i="11"/>
  <c r="I491" i="11"/>
  <c r="I492" i="11" s="1"/>
  <c r="I493" i="11" s="1"/>
  <c r="D491" i="11"/>
  <c r="AV488" i="11"/>
  <c r="AV489" i="11" s="1"/>
  <c r="Y488" i="11"/>
  <c r="D488" i="11"/>
  <c r="D489" i="11" s="1"/>
  <c r="BA487" i="11"/>
  <c r="AV487" i="11"/>
  <c r="AH487" i="11"/>
  <c r="AH488" i="11" s="1"/>
  <c r="AH489" i="11" s="1"/>
  <c r="Y487" i="11"/>
  <c r="Y489" i="11" s="1"/>
  <c r="I487" i="11"/>
  <c r="D487" i="11"/>
  <c r="BA486" i="11"/>
  <c r="AV486" i="11"/>
  <c r="AM486" i="11"/>
  <c r="AM487" i="11" s="1"/>
  <c r="AM488" i="11" s="1"/>
  <c r="AH486" i="11"/>
  <c r="Y486" i="11"/>
  <c r="T486" i="11"/>
  <c r="T487" i="11" s="1"/>
  <c r="T488" i="11" s="1"/>
  <c r="T489" i="11" s="1"/>
  <c r="I486" i="11"/>
  <c r="D486" i="11"/>
  <c r="BA483" i="11"/>
  <c r="T483" i="11"/>
  <c r="T484" i="11" s="1"/>
  <c r="BA482" i="11"/>
  <c r="BA484" i="11" s="1"/>
  <c r="AH482" i="11"/>
  <c r="AH483" i="11" s="1"/>
  <c r="AH484" i="11" s="1"/>
  <c r="Y482" i="11"/>
  <c r="I482" i="11"/>
  <c r="BA481" i="11"/>
  <c r="AV481" i="11"/>
  <c r="AV482" i="11" s="1"/>
  <c r="AV483" i="11" s="1"/>
  <c r="AV484" i="11" s="1"/>
  <c r="AM481" i="11"/>
  <c r="AM482" i="11" s="1"/>
  <c r="AH481" i="11"/>
  <c r="Y481" i="11"/>
  <c r="T481" i="11"/>
  <c r="T482" i="11" s="1"/>
  <c r="I481" i="11"/>
  <c r="D481" i="11"/>
  <c r="D482" i="11" s="1"/>
  <c r="D483" i="11" s="1"/>
  <c r="D484" i="11" s="1"/>
  <c r="AV479" i="11"/>
  <c r="BA478" i="11"/>
  <c r="Y478" i="11"/>
  <c r="BA477" i="11"/>
  <c r="BA479" i="11" s="1"/>
  <c r="AM477" i="11"/>
  <c r="I477" i="11"/>
  <c r="BA476" i="11"/>
  <c r="AV476" i="11"/>
  <c r="AV477" i="11" s="1"/>
  <c r="AV478" i="11" s="1"/>
  <c r="AM476" i="11"/>
  <c r="AH476" i="11"/>
  <c r="AH477" i="11" s="1"/>
  <c r="AH478" i="11" s="1"/>
  <c r="AH479" i="11" s="1"/>
  <c r="Y476" i="11"/>
  <c r="Y477" i="11" s="1"/>
  <c r="Y479" i="11" s="1"/>
  <c r="T476" i="11"/>
  <c r="T477" i="11" s="1"/>
  <c r="T478" i="11" s="1"/>
  <c r="T479" i="11" s="1"/>
  <c r="I476" i="11"/>
  <c r="D476" i="11"/>
  <c r="D477" i="11" s="1"/>
  <c r="D478" i="11" s="1"/>
  <c r="D479" i="11" s="1"/>
  <c r="D474" i="11"/>
  <c r="I473" i="11"/>
  <c r="AM472" i="11"/>
  <c r="D472" i="11"/>
  <c r="D473" i="11" s="1"/>
  <c r="BA471" i="11"/>
  <c r="BA472" i="11" s="1"/>
  <c r="BA474" i="11" s="1"/>
  <c r="AV471" i="11"/>
  <c r="AV472" i="11" s="1"/>
  <c r="AV473" i="11" s="1"/>
  <c r="AV474" i="11" s="1"/>
  <c r="AM471" i="11"/>
  <c r="AH471" i="11"/>
  <c r="AH472" i="11" s="1"/>
  <c r="AH473" i="11" s="1"/>
  <c r="AH474" i="11" s="1"/>
  <c r="Y471" i="11"/>
  <c r="Y472" i="11" s="1"/>
  <c r="Y473" i="11" s="1"/>
  <c r="T471" i="11"/>
  <c r="T472" i="11" s="1"/>
  <c r="T473" i="11" s="1"/>
  <c r="T474" i="11" s="1"/>
  <c r="I471" i="11"/>
  <c r="I472" i="11" s="1"/>
  <c r="I474" i="11" s="1"/>
  <c r="D471" i="11"/>
  <c r="BA469" i="11"/>
  <c r="AV469" i="11"/>
  <c r="I469" i="11"/>
  <c r="AV467" i="11"/>
  <c r="AV468" i="11" s="1"/>
  <c r="Y467" i="11"/>
  <c r="Y468" i="11" s="1"/>
  <c r="T467" i="11"/>
  <c r="T468" i="11" s="1"/>
  <c r="T469" i="11" s="1"/>
  <c r="BA466" i="11"/>
  <c r="BA467" i="11" s="1"/>
  <c r="BA468" i="11" s="1"/>
  <c r="AV466" i="11"/>
  <c r="AM466" i="11"/>
  <c r="AM467" i="11" s="1"/>
  <c r="AH466" i="11"/>
  <c r="AH467" i="11" s="1"/>
  <c r="AH468" i="11" s="1"/>
  <c r="AH469" i="11" s="1"/>
  <c r="Y466" i="11"/>
  <c r="T466" i="11"/>
  <c r="I466" i="11"/>
  <c r="I467" i="11" s="1"/>
  <c r="I468" i="11" s="1"/>
  <c r="D466" i="11"/>
  <c r="D467" i="11" s="1"/>
  <c r="D468" i="11" s="1"/>
  <c r="D469" i="11" s="1"/>
  <c r="AM464" i="11"/>
  <c r="AH464" i="11"/>
  <c r="AV463" i="11"/>
  <c r="AV464" i="11" s="1"/>
  <c r="AM463" i="11"/>
  <c r="T463" i="11"/>
  <c r="T464" i="11" s="1"/>
  <c r="AV462" i="11"/>
  <c r="AH462" i="11"/>
  <c r="AH463" i="11" s="1"/>
  <c r="T462" i="11"/>
  <c r="I462" i="11"/>
  <c r="I463" i="11" s="1"/>
  <c r="D462" i="11"/>
  <c r="D463" i="11" s="1"/>
  <c r="D464" i="11" s="1"/>
  <c r="BA461" i="11"/>
  <c r="BA462" i="11" s="1"/>
  <c r="AV461" i="11"/>
  <c r="AM461" i="11"/>
  <c r="AM462" i="11" s="1"/>
  <c r="AH461" i="11"/>
  <c r="Y461" i="11"/>
  <c r="Y462" i="11" s="1"/>
  <c r="T461" i="11"/>
  <c r="I461" i="11"/>
  <c r="D461" i="11"/>
  <c r="BA459" i="11"/>
  <c r="AV458" i="11"/>
  <c r="AV459" i="11" s="1"/>
  <c r="AH458" i="11"/>
  <c r="AH459" i="11" s="1"/>
  <c r="D458" i="11"/>
  <c r="D459" i="11" s="1"/>
  <c r="BA457" i="11"/>
  <c r="BA458" i="11" s="1"/>
  <c r="AV457" i="11"/>
  <c r="AH457" i="11"/>
  <c r="Y457" i="11"/>
  <c r="D457" i="11"/>
  <c r="BA456" i="11"/>
  <c r="AV456" i="11"/>
  <c r="AM456" i="11"/>
  <c r="AM457" i="11" s="1"/>
  <c r="AH456" i="11"/>
  <c r="Y456" i="11"/>
  <c r="T456" i="11"/>
  <c r="T457" i="11" s="1"/>
  <c r="T458" i="11" s="1"/>
  <c r="T459" i="11" s="1"/>
  <c r="I456" i="11"/>
  <c r="I457" i="11" s="1"/>
  <c r="D456" i="11"/>
  <c r="AV454" i="11"/>
  <c r="AV453" i="11"/>
  <c r="AH453" i="11"/>
  <c r="AH454" i="11" s="1"/>
  <c r="Y453" i="11"/>
  <c r="BA452" i="11"/>
  <c r="AH452" i="11"/>
  <c r="Y452" i="11"/>
  <c r="Y454" i="11" s="1"/>
  <c r="I452" i="11"/>
  <c r="BA451" i="11"/>
  <c r="AV451" i="11"/>
  <c r="AV452" i="11" s="1"/>
  <c r="AM451" i="11"/>
  <c r="AM452" i="11" s="1"/>
  <c r="AH451" i="11"/>
  <c r="Y451" i="11"/>
  <c r="T451" i="11"/>
  <c r="T452" i="11" s="1"/>
  <c r="T453" i="11" s="1"/>
  <c r="T454" i="11" s="1"/>
  <c r="I451" i="11"/>
  <c r="D451" i="11"/>
  <c r="D452" i="11" s="1"/>
  <c r="D453" i="11" s="1"/>
  <c r="D454" i="11" s="1"/>
  <c r="BA448" i="11"/>
  <c r="Y448" i="11"/>
  <c r="BA447" i="11"/>
  <c r="BA449" i="11" s="1"/>
  <c r="AM447" i="11"/>
  <c r="T447" i="11"/>
  <c r="T448" i="11" s="1"/>
  <c r="T449" i="11" s="1"/>
  <c r="I447" i="11"/>
  <c r="BA446" i="11"/>
  <c r="AV446" i="11"/>
  <c r="AV447" i="11" s="1"/>
  <c r="AV448" i="11" s="1"/>
  <c r="AV449" i="11" s="1"/>
  <c r="AM446" i="11"/>
  <c r="AH446" i="11"/>
  <c r="AH447" i="11" s="1"/>
  <c r="AH448" i="11" s="1"/>
  <c r="AH449" i="11" s="1"/>
  <c r="Y446" i="11"/>
  <c r="Y447" i="11" s="1"/>
  <c r="Y449" i="11" s="1"/>
  <c r="T446" i="11"/>
  <c r="I446" i="11"/>
  <c r="D446" i="11"/>
  <c r="D447" i="11" s="1"/>
  <c r="D448" i="11" s="1"/>
  <c r="D449" i="11" s="1"/>
  <c r="D444" i="11"/>
  <c r="I443" i="11"/>
  <c r="AM442" i="11"/>
  <c r="D442" i="11"/>
  <c r="D443" i="11" s="1"/>
  <c r="BA441" i="11"/>
  <c r="BA442" i="11" s="1"/>
  <c r="AV441" i="11"/>
  <c r="AV442" i="11" s="1"/>
  <c r="AV443" i="11" s="1"/>
  <c r="AV444" i="11" s="1"/>
  <c r="AM441" i="11"/>
  <c r="AH441" i="11"/>
  <c r="AH442" i="11" s="1"/>
  <c r="AH443" i="11" s="1"/>
  <c r="AH444" i="11" s="1"/>
  <c r="Y441" i="11"/>
  <c r="Y442" i="11" s="1"/>
  <c r="Y443" i="11" s="1"/>
  <c r="T441" i="11"/>
  <c r="T442" i="11" s="1"/>
  <c r="T443" i="11" s="1"/>
  <c r="T444" i="11" s="1"/>
  <c r="I441" i="11"/>
  <c r="I442" i="11" s="1"/>
  <c r="I444" i="11" s="1"/>
  <c r="D441" i="11"/>
  <c r="BA439" i="11"/>
  <c r="AV439" i="11"/>
  <c r="I439" i="11"/>
  <c r="AV437" i="11"/>
  <c r="AV438" i="11" s="1"/>
  <c r="Y437" i="11"/>
  <c r="Y438" i="11" s="1"/>
  <c r="T437" i="11"/>
  <c r="T438" i="11" s="1"/>
  <c r="T439" i="11" s="1"/>
  <c r="BA436" i="11"/>
  <c r="BA437" i="11" s="1"/>
  <c r="BA438" i="11" s="1"/>
  <c r="AV436" i="11"/>
  <c r="AM436" i="11"/>
  <c r="AM437" i="11" s="1"/>
  <c r="AH436" i="11"/>
  <c r="AH437" i="11" s="1"/>
  <c r="AH438" i="11" s="1"/>
  <c r="AH439" i="11" s="1"/>
  <c r="Y436" i="11"/>
  <c r="T436" i="11"/>
  <c r="I436" i="11"/>
  <c r="I437" i="11" s="1"/>
  <c r="I438" i="11" s="1"/>
  <c r="D436" i="11"/>
  <c r="D437" i="11" s="1"/>
  <c r="D438" i="11" s="1"/>
  <c r="D439" i="11" s="1"/>
  <c r="AM434" i="11"/>
  <c r="AV433" i="11"/>
  <c r="AV434" i="11" s="1"/>
  <c r="AM433" i="11"/>
  <c r="T433" i="11"/>
  <c r="T434" i="11" s="1"/>
  <c r="AV432" i="11"/>
  <c r="AH432" i="11"/>
  <c r="AH433" i="11" s="1"/>
  <c r="AH434" i="11" s="1"/>
  <c r="T432" i="11"/>
  <c r="I432" i="11"/>
  <c r="I433" i="11" s="1"/>
  <c r="D432" i="11"/>
  <c r="D433" i="11" s="1"/>
  <c r="D434" i="11" s="1"/>
  <c r="BA431" i="11"/>
  <c r="BA432" i="11" s="1"/>
  <c r="AV431" i="11"/>
  <c r="AM431" i="11"/>
  <c r="AM432" i="11" s="1"/>
  <c r="AH431" i="11"/>
  <c r="Y431" i="11"/>
  <c r="Y432" i="11" s="1"/>
  <c r="T431" i="11"/>
  <c r="I431" i="11"/>
  <c r="D431" i="11"/>
  <c r="BA429" i="11"/>
  <c r="T429" i="11"/>
  <c r="AV428" i="11"/>
  <c r="AV429" i="11" s="1"/>
  <c r="AH428" i="11"/>
  <c r="AH429" i="11" s="1"/>
  <c r="D428" i="11"/>
  <c r="D429" i="11" s="1"/>
  <c r="BA427" i="11"/>
  <c r="BA428" i="11" s="1"/>
  <c r="AV427" i="11"/>
  <c r="AH427" i="11"/>
  <c r="Y427" i="11"/>
  <c r="D427" i="11"/>
  <c r="BA426" i="11"/>
  <c r="AV426" i="11"/>
  <c r="AM426" i="11"/>
  <c r="AM427" i="11" s="1"/>
  <c r="AH426" i="11"/>
  <c r="Y426" i="11"/>
  <c r="T426" i="11"/>
  <c r="T427" i="11" s="1"/>
  <c r="T428" i="11" s="1"/>
  <c r="I426" i="11"/>
  <c r="I427" i="11" s="1"/>
  <c r="D426" i="11"/>
  <c r="AV424" i="11"/>
  <c r="AV423" i="11"/>
  <c r="AH423" i="11"/>
  <c r="AH424" i="11" s="1"/>
  <c r="Y423" i="11"/>
  <c r="BA422" i="11"/>
  <c r="AH422" i="11"/>
  <c r="Y422" i="11"/>
  <c r="Y424" i="11" s="1"/>
  <c r="I422" i="11"/>
  <c r="BA421" i="11"/>
  <c r="AV421" i="11"/>
  <c r="AV422" i="11" s="1"/>
  <c r="AM421" i="11"/>
  <c r="AM422" i="11" s="1"/>
  <c r="AH421" i="11"/>
  <c r="Y421" i="11"/>
  <c r="T421" i="11"/>
  <c r="T422" i="11" s="1"/>
  <c r="T423" i="11" s="1"/>
  <c r="T424" i="11" s="1"/>
  <c r="I421" i="11"/>
  <c r="D421" i="11"/>
  <c r="D422" i="11" s="1"/>
  <c r="D423" i="11" s="1"/>
  <c r="D424" i="11" s="1"/>
  <c r="D419" i="11"/>
  <c r="BA418" i="11"/>
  <c r="Y418" i="11"/>
  <c r="BA417" i="11"/>
  <c r="BA419" i="11" s="1"/>
  <c r="AM417" i="11"/>
  <c r="AM419" i="11" s="1"/>
  <c r="BA416" i="11"/>
  <c r="AV416" i="11"/>
  <c r="AV417" i="11" s="1"/>
  <c r="AV418" i="11" s="1"/>
  <c r="AV419" i="11" s="1"/>
  <c r="AM416" i="11"/>
  <c r="AH416" i="11"/>
  <c r="AH417" i="11" s="1"/>
  <c r="AH418" i="11" s="1"/>
  <c r="AH419" i="11" s="1"/>
  <c r="Y416" i="11"/>
  <c r="Y417" i="11" s="1"/>
  <c r="Y419" i="11" s="1"/>
  <c r="T416" i="11"/>
  <c r="T417" i="11" s="1"/>
  <c r="T418" i="11" s="1"/>
  <c r="T419" i="11" s="1"/>
  <c r="I416" i="11"/>
  <c r="I417" i="11" s="1"/>
  <c r="D416" i="11"/>
  <c r="D417" i="11" s="1"/>
  <c r="D418" i="11" s="1"/>
  <c r="AM414" i="11"/>
  <c r="D414" i="11"/>
  <c r="BA413" i="11"/>
  <c r="AH413" i="11"/>
  <c r="AH414" i="11" s="1"/>
  <c r="AM412" i="11"/>
  <c r="AM413" i="11" s="1"/>
  <c r="Y412" i="11"/>
  <c r="BA411" i="11"/>
  <c r="BA412" i="11" s="1"/>
  <c r="BA414" i="11" s="1"/>
  <c r="AV411" i="11"/>
  <c r="AV412" i="11" s="1"/>
  <c r="AV413" i="11" s="1"/>
  <c r="AV414" i="11" s="1"/>
  <c r="AM411" i="11"/>
  <c r="AH411" i="11"/>
  <c r="AH412" i="11" s="1"/>
  <c r="Y411" i="11"/>
  <c r="T411" i="11"/>
  <c r="T412" i="11" s="1"/>
  <c r="T413" i="11" s="1"/>
  <c r="T414" i="11" s="1"/>
  <c r="I411" i="11"/>
  <c r="I412" i="11" s="1"/>
  <c r="I414" i="11" s="1"/>
  <c r="D411" i="11"/>
  <c r="D412" i="11" s="1"/>
  <c r="D413" i="11" s="1"/>
  <c r="AM409" i="11"/>
  <c r="I409" i="11"/>
  <c r="AM408" i="11"/>
  <c r="I408" i="11"/>
  <c r="AV407" i="11"/>
  <c r="AV408" i="11" s="1"/>
  <c r="AV409" i="11" s="1"/>
  <c r="D407" i="11"/>
  <c r="D408" i="11" s="1"/>
  <c r="D409" i="11" s="1"/>
  <c r="BA406" i="11"/>
  <c r="BA407" i="11" s="1"/>
  <c r="AV406" i="11"/>
  <c r="AM406" i="11"/>
  <c r="AM407" i="11" s="1"/>
  <c r="AH406" i="11"/>
  <c r="AH407" i="11" s="1"/>
  <c r="AH408" i="11" s="1"/>
  <c r="AH409" i="11" s="1"/>
  <c r="Y406" i="11"/>
  <c r="Y407" i="11" s="1"/>
  <c r="T406" i="11"/>
  <c r="T407" i="11" s="1"/>
  <c r="T408" i="11" s="1"/>
  <c r="T409" i="11" s="1"/>
  <c r="I406" i="11"/>
  <c r="I407" i="11" s="1"/>
  <c r="D406" i="11"/>
  <c r="AM404" i="11"/>
  <c r="BA402" i="11"/>
  <c r="AH402" i="11"/>
  <c r="AH403" i="11" s="1"/>
  <c r="AH404" i="11" s="1"/>
  <c r="Y402" i="11"/>
  <c r="D402" i="11"/>
  <c r="D403" i="11" s="1"/>
  <c r="D404" i="11" s="1"/>
  <c r="BA401" i="11"/>
  <c r="AV401" i="11"/>
  <c r="AV402" i="11" s="1"/>
  <c r="AV403" i="11" s="1"/>
  <c r="AV404" i="11" s="1"/>
  <c r="AM401" i="11"/>
  <c r="AM402" i="11" s="1"/>
  <c r="AM403" i="11" s="1"/>
  <c r="AH401" i="11"/>
  <c r="Y401" i="11"/>
  <c r="T401" i="11"/>
  <c r="T402" i="11" s="1"/>
  <c r="T403" i="11" s="1"/>
  <c r="T404" i="11" s="1"/>
  <c r="I401" i="11"/>
  <c r="I402" i="11" s="1"/>
  <c r="D401" i="11"/>
  <c r="AM399" i="11"/>
  <c r="AV398" i="11"/>
  <c r="AV399" i="11" s="1"/>
  <c r="Y398" i="11"/>
  <c r="D398" i="11"/>
  <c r="D399" i="11" s="1"/>
  <c r="BA397" i="11"/>
  <c r="AH397" i="11"/>
  <c r="AH398" i="11" s="1"/>
  <c r="AH399" i="11" s="1"/>
  <c r="I397" i="11"/>
  <c r="D397" i="11"/>
  <c r="BA396" i="11"/>
  <c r="AV396" i="11"/>
  <c r="AV397" i="11" s="1"/>
  <c r="AM396" i="11"/>
  <c r="AM397" i="11" s="1"/>
  <c r="AM398" i="11" s="1"/>
  <c r="AH396" i="11"/>
  <c r="Y396" i="11"/>
  <c r="Y397" i="11" s="1"/>
  <c r="Y399" i="11" s="1"/>
  <c r="T396" i="11"/>
  <c r="T397" i="11" s="1"/>
  <c r="T398" i="11" s="1"/>
  <c r="T399" i="11" s="1"/>
  <c r="I396" i="11"/>
  <c r="D396" i="11"/>
  <c r="T394" i="11"/>
  <c r="D393" i="11"/>
  <c r="D394" i="11" s="1"/>
  <c r="AH392" i="11"/>
  <c r="AH393" i="11" s="1"/>
  <c r="AH394" i="11" s="1"/>
  <c r="I392" i="11"/>
  <c r="BA391" i="11"/>
  <c r="BA392" i="11" s="1"/>
  <c r="BA394" i="11" s="1"/>
  <c r="AV391" i="11"/>
  <c r="AV392" i="11" s="1"/>
  <c r="AV393" i="11" s="1"/>
  <c r="AV394" i="11" s="1"/>
  <c r="AM391" i="11"/>
  <c r="AM392" i="11" s="1"/>
  <c r="AH391" i="11"/>
  <c r="Y391" i="11"/>
  <c r="Y392" i="11" s="1"/>
  <c r="Y394" i="11" s="1"/>
  <c r="T391" i="11"/>
  <c r="T392" i="11" s="1"/>
  <c r="T393" i="11" s="1"/>
  <c r="I391" i="11"/>
  <c r="D391" i="11"/>
  <c r="D392" i="11" s="1"/>
  <c r="I388" i="11"/>
  <c r="AM387" i="11"/>
  <c r="T387" i="11"/>
  <c r="T388" i="11" s="1"/>
  <c r="T389" i="11" s="1"/>
  <c r="I387" i="11"/>
  <c r="I389" i="11" s="1"/>
  <c r="BA386" i="11"/>
  <c r="BA387" i="11" s="1"/>
  <c r="BA389" i="11" s="1"/>
  <c r="AV386" i="11"/>
  <c r="AV387" i="11" s="1"/>
  <c r="AV388" i="11" s="1"/>
  <c r="AV389" i="11" s="1"/>
  <c r="AM386" i="11"/>
  <c r="AH386" i="11"/>
  <c r="AH387" i="11" s="1"/>
  <c r="AH388" i="11" s="1"/>
  <c r="AH389" i="11" s="1"/>
  <c r="Y386" i="11"/>
  <c r="Y387" i="11" s="1"/>
  <c r="T386" i="11"/>
  <c r="I386" i="11"/>
  <c r="D386" i="11"/>
  <c r="D387" i="11" s="1"/>
  <c r="D388" i="11" s="1"/>
  <c r="D389" i="11" s="1"/>
  <c r="Y384" i="11"/>
  <c r="D384" i="11"/>
  <c r="AV383" i="11"/>
  <c r="AV384" i="11" s="1"/>
  <c r="AM383" i="11"/>
  <c r="I383" i="11"/>
  <c r="BA382" i="11"/>
  <c r="AV382" i="11"/>
  <c r="AM382" i="11"/>
  <c r="AM384" i="11" s="1"/>
  <c r="T382" i="11"/>
  <c r="T383" i="11" s="1"/>
  <c r="T384" i="11" s="1"/>
  <c r="BA381" i="11"/>
  <c r="AV381" i="11"/>
  <c r="AM381" i="11"/>
  <c r="AH381" i="11"/>
  <c r="AH382" i="11" s="1"/>
  <c r="AH383" i="11" s="1"/>
  <c r="AH384" i="11" s="1"/>
  <c r="Y381" i="11"/>
  <c r="Y382" i="11" s="1"/>
  <c r="Y383" i="11" s="1"/>
  <c r="T381" i="11"/>
  <c r="I381" i="11"/>
  <c r="I382" i="11" s="1"/>
  <c r="I384" i="11" s="1"/>
  <c r="D381" i="11"/>
  <c r="D382" i="11" s="1"/>
  <c r="D383" i="11" s="1"/>
  <c r="D379" i="11"/>
  <c r="AM378" i="11"/>
  <c r="AV377" i="11"/>
  <c r="AV378" i="11" s="1"/>
  <c r="AV379" i="11" s="1"/>
  <c r="AH377" i="11"/>
  <c r="AH378" i="11" s="1"/>
  <c r="AH379" i="11" s="1"/>
  <c r="D377" i="11"/>
  <c r="D378" i="11" s="1"/>
  <c r="BA376" i="11"/>
  <c r="BA377" i="11" s="1"/>
  <c r="AV376" i="11"/>
  <c r="AM376" i="11"/>
  <c r="AM377" i="11" s="1"/>
  <c r="AM379" i="11" s="1"/>
  <c r="AH376" i="11"/>
  <c r="Y376" i="11"/>
  <c r="Y377" i="11" s="1"/>
  <c r="T376" i="11"/>
  <c r="T377" i="11" s="1"/>
  <c r="T378" i="11" s="1"/>
  <c r="T379" i="11" s="1"/>
  <c r="I376" i="11"/>
  <c r="I377" i="11" s="1"/>
  <c r="I379" i="11" s="1"/>
  <c r="D376" i="11"/>
  <c r="AV374" i="11"/>
  <c r="AM373" i="11"/>
  <c r="BA372" i="11"/>
  <c r="BA373" i="11" s="1"/>
  <c r="AH372" i="11"/>
  <c r="AH373" i="11" s="1"/>
  <c r="AH374" i="11" s="1"/>
  <c r="Y372" i="11"/>
  <c r="BA371" i="11"/>
  <c r="AV371" i="11"/>
  <c r="AV372" i="11" s="1"/>
  <c r="AV373" i="11" s="1"/>
  <c r="AM371" i="11"/>
  <c r="AM372" i="11" s="1"/>
  <c r="AM374" i="11" s="1"/>
  <c r="AH371" i="11"/>
  <c r="Y371" i="11"/>
  <c r="T371" i="11"/>
  <c r="T372" i="11" s="1"/>
  <c r="T373" i="11" s="1"/>
  <c r="T374" i="11" s="1"/>
  <c r="I371" i="11"/>
  <c r="I372" i="11" s="1"/>
  <c r="I373" i="11" s="1"/>
  <c r="D371" i="11"/>
  <c r="D372" i="11" s="1"/>
  <c r="D373" i="11" s="1"/>
  <c r="D374" i="11" s="1"/>
  <c r="T369" i="11"/>
  <c r="AV368" i="11"/>
  <c r="AV369" i="11" s="1"/>
  <c r="BA367" i="11"/>
  <c r="AM367" i="11"/>
  <c r="D367" i="11"/>
  <c r="D368" i="11" s="1"/>
  <c r="D369" i="11" s="1"/>
  <c r="BA366" i="11"/>
  <c r="AV366" i="11"/>
  <c r="AV367" i="11" s="1"/>
  <c r="AM366" i="11"/>
  <c r="AH366" i="11"/>
  <c r="AH367" i="11" s="1"/>
  <c r="AH368" i="11" s="1"/>
  <c r="AH369" i="11" s="1"/>
  <c r="Y366" i="11"/>
  <c r="Y367" i="11" s="1"/>
  <c r="T366" i="11"/>
  <c r="T367" i="11" s="1"/>
  <c r="T368" i="11" s="1"/>
  <c r="I366" i="11"/>
  <c r="I367" i="11" s="1"/>
  <c r="D366" i="11"/>
  <c r="AH363" i="11"/>
  <c r="AH364" i="11" s="1"/>
  <c r="Y363" i="11"/>
  <c r="D363" i="11"/>
  <c r="D364" i="11" s="1"/>
  <c r="BA362" i="11"/>
  <c r="AH362" i="11"/>
  <c r="D362" i="11"/>
  <c r="BA361" i="11"/>
  <c r="AV361" i="11"/>
  <c r="AV362" i="11" s="1"/>
  <c r="AV363" i="11" s="1"/>
  <c r="AV364" i="11" s="1"/>
  <c r="AM361" i="11"/>
  <c r="AM362" i="11" s="1"/>
  <c r="AM363" i="11" s="1"/>
  <c r="AH361" i="11"/>
  <c r="Y361" i="11"/>
  <c r="Y362" i="11" s="1"/>
  <c r="Y364" i="11" s="1"/>
  <c r="T361" i="11"/>
  <c r="T362" i="11" s="1"/>
  <c r="T363" i="11" s="1"/>
  <c r="T364" i="11" s="1"/>
  <c r="I361" i="11"/>
  <c r="I362" i="11" s="1"/>
  <c r="D361" i="11"/>
  <c r="Y359" i="11"/>
  <c r="BA358" i="11"/>
  <c r="T358" i="11"/>
  <c r="T359" i="11" s="1"/>
  <c r="I358" i="11"/>
  <c r="T357" i="11"/>
  <c r="I357" i="11"/>
  <c r="I359" i="11" s="1"/>
  <c r="BA356" i="11"/>
  <c r="BA357" i="11" s="1"/>
  <c r="BA359" i="11" s="1"/>
  <c r="AV356" i="11"/>
  <c r="AV357" i="11" s="1"/>
  <c r="AV358" i="11" s="1"/>
  <c r="AV359" i="11" s="1"/>
  <c r="AM356" i="11"/>
  <c r="AM357" i="11" s="1"/>
  <c r="AH356" i="11"/>
  <c r="AH357" i="11" s="1"/>
  <c r="AH358" i="11" s="1"/>
  <c r="AH359" i="11" s="1"/>
  <c r="Y356" i="11"/>
  <c r="Y357" i="11" s="1"/>
  <c r="Y358" i="11" s="1"/>
  <c r="T356" i="11"/>
  <c r="I356" i="11"/>
  <c r="D356" i="11"/>
  <c r="D357" i="11" s="1"/>
  <c r="D358" i="11" s="1"/>
  <c r="D359" i="11" s="1"/>
  <c r="AV354" i="11"/>
  <c r="AH353" i="11"/>
  <c r="AH354" i="11" s="1"/>
  <c r="D353" i="11"/>
  <c r="D354" i="11" s="1"/>
  <c r="AM352" i="11"/>
  <c r="AM354" i="11" s="1"/>
  <c r="T352" i="11"/>
  <c r="T353" i="11" s="1"/>
  <c r="T354" i="11" s="1"/>
  <c r="D352" i="11"/>
  <c r="BA351" i="11"/>
  <c r="BA352" i="11" s="1"/>
  <c r="AV351" i="11"/>
  <c r="AV352" i="11" s="1"/>
  <c r="AV353" i="11" s="1"/>
  <c r="AM351" i="11"/>
  <c r="AH351" i="11"/>
  <c r="AH352" i="11" s="1"/>
  <c r="Y351" i="11"/>
  <c r="Y352" i="11" s="1"/>
  <c r="T351" i="11"/>
  <c r="I351" i="11"/>
  <c r="I352" i="11" s="1"/>
  <c r="D351" i="11"/>
  <c r="AH349" i="11"/>
  <c r="Y349" i="11"/>
  <c r="I349" i="11"/>
  <c r="T348" i="11"/>
  <c r="T349" i="11" s="1"/>
  <c r="I348" i="11"/>
  <c r="AV347" i="11"/>
  <c r="AV348" i="11" s="1"/>
  <c r="AV349" i="11" s="1"/>
  <c r="T347" i="11"/>
  <c r="BA346" i="11"/>
  <c r="BA347" i="11" s="1"/>
  <c r="BA348" i="11" s="1"/>
  <c r="AV346" i="11"/>
  <c r="AM346" i="11"/>
  <c r="AM347" i="11" s="1"/>
  <c r="AH346" i="11"/>
  <c r="AH347" i="11" s="1"/>
  <c r="AH348" i="11" s="1"/>
  <c r="Y346" i="11"/>
  <c r="Y347" i="11" s="1"/>
  <c r="Y348" i="11" s="1"/>
  <c r="T346" i="11"/>
  <c r="I346" i="11"/>
  <c r="I347" i="11" s="1"/>
  <c r="D346" i="11"/>
  <c r="D347" i="11" s="1"/>
  <c r="D348" i="11" s="1"/>
  <c r="D349" i="11" s="1"/>
  <c r="AV344" i="11"/>
  <c r="AM343" i="11"/>
  <c r="AH343" i="11"/>
  <c r="AH344" i="11" s="1"/>
  <c r="AV342" i="11"/>
  <c r="AV343" i="11" s="1"/>
  <c r="Y342" i="11"/>
  <c r="D342" i="11"/>
  <c r="D343" i="11" s="1"/>
  <c r="D344" i="11" s="1"/>
  <c r="BA341" i="11"/>
  <c r="BA342" i="11" s="1"/>
  <c r="AV341" i="11"/>
  <c r="AM341" i="11"/>
  <c r="AM342" i="11" s="1"/>
  <c r="AM344" i="11" s="1"/>
  <c r="AH341" i="11"/>
  <c r="AH342" i="11" s="1"/>
  <c r="Y341" i="11"/>
  <c r="T341" i="11"/>
  <c r="T342" i="11" s="1"/>
  <c r="T343" i="11" s="1"/>
  <c r="T344" i="11" s="1"/>
  <c r="I341" i="11"/>
  <c r="I342" i="11" s="1"/>
  <c r="I344" i="11" s="1"/>
  <c r="D341" i="11"/>
  <c r="I338" i="11"/>
  <c r="BA337" i="11"/>
  <c r="AM337" i="11"/>
  <c r="T337" i="11"/>
  <c r="T338" i="11" s="1"/>
  <c r="T339" i="11" s="1"/>
  <c r="BA336" i="11"/>
  <c r="AV336" i="11"/>
  <c r="AV337" i="11" s="1"/>
  <c r="AV338" i="11" s="1"/>
  <c r="AV339" i="11" s="1"/>
  <c r="AM336" i="11"/>
  <c r="AH336" i="11"/>
  <c r="AH337" i="11" s="1"/>
  <c r="AH338" i="11" s="1"/>
  <c r="AH339" i="11" s="1"/>
  <c r="Y336" i="11"/>
  <c r="Y337" i="11" s="1"/>
  <c r="T336" i="11"/>
  <c r="I336" i="11"/>
  <c r="I337" i="11" s="1"/>
  <c r="I339" i="11" s="1"/>
  <c r="D336" i="11"/>
  <c r="D337" i="11" s="1"/>
  <c r="D338" i="11" s="1"/>
  <c r="D339" i="11" s="1"/>
  <c r="AH334" i="11"/>
  <c r="Y334" i="11"/>
  <c r="AV333" i="11"/>
  <c r="AV334" i="11" s="1"/>
  <c r="AM333" i="11"/>
  <c r="D333" i="11"/>
  <c r="D334" i="11" s="1"/>
  <c r="BA332" i="11"/>
  <c r="AV332" i="11"/>
  <c r="AM332" i="11"/>
  <c r="AM334" i="11" s="1"/>
  <c r="T332" i="11"/>
  <c r="T333" i="11" s="1"/>
  <c r="T334" i="11" s="1"/>
  <c r="BA331" i="11"/>
  <c r="AV331" i="11"/>
  <c r="AM331" i="11"/>
  <c r="AH331" i="11"/>
  <c r="AH332" i="11" s="1"/>
  <c r="AH333" i="11" s="1"/>
  <c r="Y331" i="11"/>
  <c r="Y332" i="11" s="1"/>
  <c r="Y333" i="11" s="1"/>
  <c r="T331" i="11"/>
  <c r="I331" i="11"/>
  <c r="I332" i="11" s="1"/>
  <c r="I333" i="11" s="1"/>
  <c r="D331" i="11"/>
  <c r="D332" i="11" s="1"/>
  <c r="BA329" i="11"/>
  <c r="AV329" i="11"/>
  <c r="AH328" i="11"/>
  <c r="AH329" i="11" s="1"/>
  <c r="D328" i="11"/>
  <c r="D329" i="11" s="1"/>
  <c r="AV327" i="11"/>
  <c r="AV328" i="11" s="1"/>
  <c r="AH327" i="11"/>
  <c r="Y327" i="11"/>
  <c r="Y328" i="11" s="1"/>
  <c r="D327" i="11"/>
  <c r="BA326" i="11"/>
  <c r="BA327" i="11" s="1"/>
  <c r="BA328" i="11" s="1"/>
  <c r="AV326" i="11"/>
  <c r="AM326" i="11"/>
  <c r="AM327" i="11" s="1"/>
  <c r="AH326" i="11"/>
  <c r="Y326" i="11"/>
  <c r="T326" i="11"/>
  <c r="T327" i="11" s="1"/>
  <c r="T328" i="11" s="1"/>
  <c r="T329" i="11" s="1"/>
  <c r="I326" i="11"/>
  <c r="I327" i="11" s="1"/>
  <c r="D326" i="11"/>
  <c r="D324" i="11"/>
  <c r="AH323" i="11"/>
  <c r="AH324" i="11" s="1"/>
  <c r="Y323" i="11"/>
  <c r="BA322" i="11"/>
  <c r="AH322" i="11"/>
  <c r="Y322" i="11"/>
  <c r="Y324" i="11" s="1"/>
  <c r="I322" i="11"/>
  <c r="BA321" i="11"/>
  <c r="AV321" i="11"/>
  <c r="AV322" i="11" s="1"/>
  <c r="AV323" i="11" s="1"/>
  <c r="AV324" i="11" s="1"/>
  <c r="AM321" i="11"/>
  <c r="AM322" i="11" s="1"/>
  <c r="AH321" i="11"/>
  <c r="Y321" i="11"/>
  <c r="T321" i="11"/>
  <c r="T322" i="11" s="1"/>
  <c r="T323" i="11" s="1"/>
  <c r="T324" i="11" s="1"/>
  <c r="I321" i="11"/>
  <c r="D321" i="11"/>
  <c r="D322" i="11" s="1"/>
  <c r="D323" i="11" s="1"/>
  <c r="AH319" i="11"/>
  <c r="D319" i="11"/>
  <c r="BA318" i="11"/>
  <c r="BA317" i="11"/>
  <c r="BA319" i="11" s="1"/>
  <c r="AM317" i="11"/>
  <c r="I317" i="11"/>
  <c r="BA316" i="11"/>
  <c r="AV316" i="11"/>
  <c r="AV317" i="11" s="1"/>
  <c r="AV318" i="11" s="1"/>
  <c r="AV319" i="11" s="1"/>
  <c r="AM316" i="11"/>
  <c r="AH316" i="11"/>
  <c r="AH317" i="11" s="1"/>
  <c r="AH318" i="11" s="1"/>
  <c r="Y316" i="11"/>
  <c r="Y317" i="11" s="1"/>
  <c r="T316" i="11"/>
  <c r="T317" i="11" s="1"/>
  <c r="T318" i="11" s="1"/>
  <c r="T319" i="11" s="1"/>
  <c r="I316" i="11"/>
  <c r="D316" i="11"/>
  <c r="D317" i="11" s="1"/>
  <c r="D318" i="11" s="1"/>
  <c r="Y314" i="11"/>
  <c r="BA313" i="11"/>
  <c r="AM313" i="11"/>
  <c r="AH313" i="11"/>
  <c r="AH314" i="11" s="1"/>
  <c r="AM312" i="11"/>
  <c r="AM314" i="11" s="1"/>
  <c r="D312" i="11"/>
  <c r="D313" i="11" s="1"/>
  <c r="D314" i="11" s="1"/>
  <c r="BA311" i="11"/>
  <c r="BA312" i="11" s="1"/>
  <c r="BA314" i="11" s="1"/>
  <c r="AV311" i="11"/>
  <c r="AV312" i="11" s="1"/>
  <c r="AV313" i="11" s="1"/>
  <c r="AV314" i="11" s="1"/>
  <c r="AM311" i="11"/>
  <c r="AH311" i="11"/>
  <c r="AH312" i="11" s="1"/>
  <c r="Y311" i="11"/>
  <c r="Y312" i="11" s="1"/>
  <c r="Y313" i="11" s="1"/>
  <c r="T311" i="11"/>
  <c r="T312" i="11" s="1"/>
  <c r="T313" i="11" s="1"/>
  <c r="T314" i="11" s="1"/>
  <c r="I311" i="11"/>
  <c r="I312" i="11" s="1"/>
  <c r="I314" i="11" s="1"/>
  <c r="D311" i="11"/>
  <c r="AV309" i="11"/>
  <c r="AM309" i="11"/>
  <c r="I309" i="11"/>
  <c r="AM308" i="11"/>
  <c r="I308" i="11"/>
  <c r="AV307" i="11"/>
  <c r="AV308" i="11" s="1"/>
  <c r="T307" i="11"/>
  <c r="T308" i="11" s="1"/>
  <c r="T309" i="11" s="1"/>
  <c r="BA306" i="11"/>
  <c r="BA307" i="11" s="1"/>
  <c r="BA308" i="11" s="1"/>
  <c r="AV306" i="11"/>
  <c r="AM306" i="11"/>
  <c r="AM307" i="11" s="1"/>
  <c r="AH306" i="11"/>
  <c r="AH307" i="11" s="1"/>
  <c r="AH308" i="11" s="1"/>
  <c r="AH309" i="11" s="1"/>
  <c r="Y306" i="11"/>
  <c r="Y307" i="11" s="1"/>
  <c r="T306" i="11"/>
  <c r="I306" i="11"/>
  <c r="I307" i="11" s="1"/>
  <c r="D306" i="11"/>
  <c r="D307" i="11" s="1"/>
  <c r="D308" i="11" s="1"/>
  <c r="D309" i="11" s="1"/>
  <c r="AV303" i="11"/>
  <c r="AV304" i="11" s="1"/>
  <c r="AM303" i="11"/>
  <c r="T303" i="11"/>
  <c r="T304" i="11" s="1"/>
  <c r="D303" i="11"/>
  <c r="D304" i="11" s="1"/>
  <c r="AV302" i="11"/>
  <c r="AH302" i="11"/>
  <c r="AH303" i="11" s="1"/>
  <c r="AH304" i="11" s="1"/>
  <c r="T302" i="11"/>
  <c r="D302" i="11"/>
  <c r="BA301" i="11"/>
  <c r="BA302" i="11" s="1"/>
  <c r="AV301" i="11"/>
  <c r="AM301" i="11"/>
  <c r="AM302" i="11" s="1"/>
  <c r="AM304" i="11" s="1"/>
  <c r="AH301" i="11"/>
  <c r="Y301" i="11"/>
  <c r="Y302" i="11" s="1"/>
  <c r="Y303" i="11" s="1"/>
  <c r="T301" i="11"/>
  <c r="I301" i="11"/>
  <c r="I302" i="11" s="1"/>
  <c r="D301" i="11"/>
  <c r="BA299" i="11"/>
  <c r="AV298" i="11"/>
  <c r="AV299" i="11" s="1"/>
  <c r="AH298" i="11"/>
  <c r="AH299" i="11" s="1"/>
  <c r="D298" i="11"/>
  <c r="D299" i="11" s="1"/>
  <c r="BA297" i="11"/>
  <c r="BA298" i="11" s="1"/>
  <c r="AV297" i="11"/>
  <c r="AH297" i="11"/>
  <c r="Y297" i="11"/>
  <c r="D297" i="11"/>
  <c r="BA296" i="11"/>
  <c r="AV296" i="11"/>
  <c r="AM296" i="11"/>
  <c r="AM297" i="11" s="1"/>
  <c r="AH296" i="11"/>
  <c r="Y296" i="11"/>
  <c r="T296" i="11"/>
  <c r="T297" i="11" s="1"/>
  <c r="T298" i="11" s="1"/>
  <c r="T299" i="11" s="1"/>
  <c r="I296" i="11"/>
  <c r="I297" i="11" s="1"/>
  <c r="D296" i="11"/>
  <c r="AV294" i="11"/>
  <c r="AH293" i="11"/>
  <c r="AH294" i="11" s="1"/>
  <c r="Y293" i="11"/>
  <c r="BA292" i="11"/>
  <c r="AH292" i="11"/>
  <c r="Y292" i="11"/>
  <c r="Y294" i="11" s="1"/>
  <c r="I292" i="11"/>
  <c r="I294" i="11" s="1"/>
  <c r="BA291" i="11"/>
  <c r="AV291" i="11"/>
  <c r="AV292" i="11" s="1"/>
  <c r="AV293" i="11" s="1"/>
  <c r="AM291" i="11"/>
  <c r="AM292" i="11" s="1"/>
  <c r="AH291" i="11"/>
  <c r="Y291" i="11"/>
  <c r="T291" i="11"/>
  <c r="T292" i="11" s="1"/>
  <c r="T293" i="11" s="1"/>
  <c r="T294" i="11" s="1"/>
  <c r="I291" i="11"/>
  <c r="D291" i="11"/>
  <c r="D292" i="11" s="1"/>
  <c r="D293" i="11" s="1"/>
  <c r="D294" i="11" s="1"/>
  <c r="Y289" i="11"/>
  <c r="BA288" i="11"/>
  <c r="AV288" i="11"/>
  <c r="AV289" i="11" s="1"/>
  <c r="BA287" i="11"/>
  <c r="BA289" i="11" s="1"/>
  <c r="AM287" i="11"/>
  <c r="Y287" i="11"/>
  <c r="Y288" i="11" s="1"/>
  <c r="I287" i="11"/>
  <c r="BA286" i="11"/>
  <c r="AV286" i="11"/>
  <c r="AV287" i="11" s="1"/>
  <c r="AM286" i="11"/>
  <c r="AH286" i="11"/>
  <c r="AH287" i="11" s="1"/>
  <c r="AH288" i="11" s="1"/>
  <c r="AH289" i="11" s="1"/>
  <c r="Y286" i="11"/>
  <c r="T286" i="11"/>
  <c r="T287" i="11" s="1"/>
  <c r="T288" i="11" s="1"/>
  <c r="T289" i="11" s="1"/>
  <c r="I286" i="11"/>
  <c r="D286" i="11"/>
  <c r="D287" i="11" s="1"/>
  <c r="D288" i="11" s="1"/>
  <c r="D289" i="11" s="1"/>
  <c r="T284" i="11"/>
  <c r="I284" i="11"/>
  <c r="AM283" i="11"/>
  <c r="AM282" i="11"/>
  <c r="AM284" i="11" s="1"/>
  <c r="T282" i="11"/>
  <c r="T283" i="11" s="1"/>
  <c r="BA281" i="11"/>
  <c r="BA282" i="11" s="1"/>
  <c r="AV281" i="11"/>
  <c r="AV282" i="11" s="1"/>
  <c r="AV283" i="11" s="1"/>
  <c r="AV284" i="11" s="1"/>
  <c r="AM281" i="11"/>
  <c r="AH281" i="11"/>
  <c r="AH282" i="11" s="1"/>
  <c r="AH283" i="11" s="1"/>
  <c r="AH284" i="11" s="1"/>
  <c r="Y281" i="11"/>
  <c r="Y282" i="11" s="1"/>
  <c r="Y283" i="11" s="1"/>
  <c r="T281" i="11"/>
  <c r="I281" i="11"/>
  <c r="I282" i="11" s="1"/>
  <c r="I283" i="11" s="1"/>
  <c r="D281" i="11"/>
  <c r="D282" i="11" s="1"/>
  <c r="D283" i="11" s="1"/>
  <c r="D284" i="11" s="1"/>
  <c r="BA279" i="11"/>
  <c r="I279" i="11"/>
  <c r="BA278" i="11"/>
  <c r="I278" i="11"/>
  <c r="AV277" i="11"/>
  <c r="AV278" i="11" s="1"/>
  <c r="AV279" i="11" s="1"/>
  <c r="AM277" i="11"/>
  <c r="T277" i="11"/>
  <c r="T278" i="11" s="1"/>
  <c r="T279" i="11" s="1"/>
  <c r="BA276" i="11"/>
  <c r="BA277" i="11" s="1"/>
  <c r="AV276" i="11"/>
  <c r="AM276" i="11"/>
  <c r="AH276" i="11"/>
  <c r="AH277" i="11" s="1"/>
  <c r="AH278" i="11" s="1"/>
  <c r="AH279" i="11" s="1"/>
  <c r="Y276" i="11"/>
  <c r="Y277" i="11" s="1"/>
  <c r="T276" i="11"/>
  <c r="I276" i="11"/>
  <c r="I277" i="11" s="1"/>
  <c r="D276" i="11"/>
  <c r="D277" i="11" s="1"/>
  <c r="D278" i="11" s="1"/>
  <c r="D279" i="11" s="1"/>
  <c r="BA274" i="11"/>
  <c r="T272" i="11"/>
  <c r="T273" i="11" s="1"/>
  <c r="T274" i="11" s="1"/>
  <c r="BA271" i="11"/>
  <c r="BA272" i="11" s="1"/>
  <c r="BA273" i="11" s="1"/>
  <c r="AV271" i="11"/>
  <c r="AV272" i="11" s="1"/>
  <c r="AV273" i="11" s="1"/>
  <c r="AV274" i="11" s="1"/>
  <c r="AM271" i="11"/>
  <c r="AM272" i="11" s="1"/>
  <c r="AM274" i="11" s="1"/>
  <c r="AH271" i="11"/>
  <c r="AH272" i="11" s="1"/>
  <c r="AH273" i="11" s="1"/>
  <c r="AH274" i="11" s="1"/>
  <c r="Y271" i="11"/>
  <c r="Y272" i="11" s="1"/>
  <c r="T271" i="11"/>
  <c r="I271" i="11"/>
  <c r="I272" i="11" s="1"/>
  <c r="D271" i="11"/>
  <c r="D272" i="11" s="1"/>
  <c r="D273" i="11" s="1"/>
  <c r="D274" i="11" s="1"/>
  <c r="AM269" i="11"/>
  <c r="AM268" i="11"/>
  <c r="AV267" i="11"/>
  <c r="AV268" i="11" s="1"/>
  <c r="AV269" i="11" s="1"/>
  <c r="I267" i="11"/>
  <c r="D267" i="11"/>
  <c r="D268" i="11" s="1"/>
  <c r="D269" i="11" s="1"/>
  <c r="BA266" i="11"/>
  <c r="BA267" i="11" s="1"/>
  <c r="AV266" i="11"/>
  <c r="AM266" i="11"/>
  <c r="AM267" i="11" s="1"/>
  <c r="AH266" i="11"/>
  <c r="AH267" i="11" s="1"/>
  <c r="AH268" i="11" s="1"/>
  <c r="AH269" i="11" s="1"/>
  <c r="Y266" i="11"/>
  <c r="Y267" i="11" s="1"/>
  <c r="T266" i="11"/>
  <c r="T267" i="11" s="1"/>
  <c r="T268" i="11" s="1"/>
  <c r="T269" i="11" s="1"/>
  <c r="I266" i="11"/>
  <c r="D266" i="11"/>
  <c r="T264" i="11"/>
  <c r="T263" i="11"/>
  <c r="AH262" i="11"/>
  <c r="AH263" i="11" s="1"/>
  <c r="AH264" i="11" s="1"/>
  <c r="Y262" i="11"/>
  <c r="Y264" i="11" s="1"/>
  <c r="I262" i="11"/>
  <c r="D262" i="11"/>
  <c r="D263" i="11" s="1"/>
  <c r="D264" i="11" s="1"/>
  <c r="BA261" i="11"/>
  <c r="BA262" i="11" s="1"/>
  <c r="BA263" i="11" s="1"/>
  <c r="AV261" i="11"/>
  <c r="AV262" i="11" s="1"/>
  <c r="AV263" i="11" s="1"/>
  <c r="AV264" i="11" s="1"/>
  <c r="AM261" i="11"/>
  <c r="AM262" i="11" s="1"/>
  <c r="AH261" i="11"/>
  <c r="Y261" i="11"/>
  <c r="T261" i="11"/>
  <c r="T262" i="11" s="1"/>
  <c r="I261" i="11"/>
  <c r="D261" i="11"/>
  <c r="AM259" i="11"/>
  <c r="BA258" i="11"/>
  <c r="BA257" i="11"/>
  <c r="BA259" i="11" s="1"/>
  <c r="AM257" i="11"/>
  <c r="AM258" i="11" s="1"/>
  <c r="AH257" i="11"/>
  <c r="AH258" i="11" s="1"/>
  <c r="AH259" i="11" s="1"/>
  <c r="Y257" i="11"/>
  <c r="T257" i="11"/>
  <c r="T258" i="11" s="1"/>
  <c r="T259" i="11" s="1"/>
  <c r="I257" i="11"/>
  <c r="BA256" i="11"/>
  <c r="AV256" i="11"/>
  <c r="AV257" i="11" s="1"/>
  <c r="AV258" i="11" s="1"/>
  <c r="AV259" i="11" s="1"/>
  <c r="AM256" i="11"/>
  <c r="AH256" i="11"/>
  <c r="Y256" i="11"/>
  <c r="T256" i="11"/>
  <c r="I256" i="11"/>
  <c r="D256" i="11"/>
  <c r="D257" i="11" s="1"/>
  <c r="D258" i="11" s="1"/>
  <c r="D259" i="11" s="1"/>
  <c r="AM253" i="11"/>
  <c r="D253" i="11"/>
  <c r="D254" i="11" s="1"/>
  <c r="BA252" i="11"/>
  <c r="AM252" i="11"/>
  <c r="AM254" i="11" s="1"/>
  <c r="T252" i="11"/>
  <c r="T253" i="11" s="1"/>
  <c r="T254" i="11" s="1"/>
  <c r="BA251" i="11"/>
  <c r="AV251" i="11"/>
  <c r="AV252" i="11" s="1"/>
  <c r="AV253" i="11" s="1"/>
  <c r="AV254" i="11" s="1"/>
  <c r="AM251" i="11"/>
  <c r="AH251" i="11"/>
  <c r="AH252" i="11" s="1"/>
  <c r="AH253" i="11" s="1"/>
  <c r="AH254" i="11" s="1"/>
  <c r="Y251" i="11"/>
  <c r="Y252" i="11" s="1"/>
  <c r="T251" i="11"/>
  <c r="I251" i="11"/>
  <c r="I252" i="11" s="1"/>
  <c r="D251" i="11"/>
  <c r="D252" i="11" s="1"/>
  <c r="BA248" i="11"/>
  <c r="AH247" i="11"/>
  <c r="AH248" i="11" s="1"/>
  <c r="AH249" i="11" s="1"/>
  <c r="Y247" i="11"/>
  <c r="Y248" i="11" s="1"/>
  <c r="BA246" i="11"/>
  <c r="BA247" i="11" s="1"/>
  <c r="BA249" i="11" s="1"/>
  <c r="AV246" i="11"/>
  <c r="AV247" i="11" s="1"/>
  <c r="AV248" i="11" s="1"/>
  <c r="AV249" i="11" s="1"/>
  <c r="AM246" i="11"/>
  <c r="AM247" i="11" s="1"/>
  <c r="AM248" i="11" s="1"/>
  <c r="AH246" i="11"/>
  <c r="Y246" i="11"/>
  <c r="T246" i="11"/>
  <c r="T247" i="11" s="1"/>
  <c r="T248" i="11" s="1"/>
  <c r="T249" i="11" s="1"/>
  <c r="I246" i="11"/>
  <c r="I247" i="11" s="1"/>
  <c r="D246" i="11"/>
  <c r="D247" i="11" s="1"/>
  <c r="D248" i="11" s="1"/>
  <c r="D249" i="11" s="1"/>
  <c r="AM244" i="11"/>
  <c r="AM243" i="11"/>
  <c r="T243" i="11"/>
  <c r="T244" i="11" s="1"/>
  <c r="I243" i="11"/>
  <c r="AV242" i="11"/>
  <c r="AV243" i="11" s="1"/>
  <c r="AV244" i="11" s="1"/>
  <c r="AH242" i="11"/>
  <c r="AH243" i="11" s="1"/>
  <c r="AH244" i="11" s="1"/>
  <c r="T242" i="11"/>
  <c r="BA241" i="11"/>
  <c r="BA242" i="11" s="1"/>
  <c r="AV241" i="11"/>
  <c r="AM241" i="11"/>
  <c r="AM242" i="11" s="1"/>
  <c r="AH241" i="11"/>
  <c r="Y241" i="11"/>
  <c r="Y242" i="11" s="1"/>
  <c r="T241" i="11"/>
  <c r="I241" i="11"/>
  <c r="I242" i="11" s="1"/>
  <c r="I244" i="11" s="1"/>
  <c r="D241" i="11"/>
  <c r="D242" i="11" s="1"/>
  <c r="D243" i="11" s="1"/>
  <c r="D244" i="11" s="1"/>
  <c r="BA239" i="11"/>
  <c r="Y239" i="11"/>
  <c r="BA238" i="11"/>
  <c r="I238" i="11"/>
  <c r="AM237" i="11"/>
  <c r="T237" i="11"/>
  <c r="T238" i="11" s="1"/>
  <c r="T239" i="11" s="1"/>
  <c r="BA236" i="11"/>
  <c r="BA237" i="11" s="1"/>
  <c r="AV236" i="11"/>
  <c r="AV237" i="11" s="1"/>
  <c r="AV238" i="11" s="1"/>
  <c r="AV239" i="11" s="1"/>
  <c r="AM236" i="11"/>
  <c r="AH236" i="11"/>
  <c r="AH237" i="11" s="1"/>
  <c r="AH238" i="11" s="1"/>
  <c r="AH239" i="11" s="1"/>
  <c r="Y236" i="11"/>
  <c r="Y237" i="11" s="1"/>
  <c r="Y238" i="11" s="1"/>
  <c r="T236" i="11"/>
  <c r="I236" i="11"/>
  <c r="I237" i="11" s="1"/>
  <c r="I239" i="11" s="1"/>
  <c r="D236" i="11"/>
  <c r="D237" i="11" s="1"/>
  <c r="D238" i="11" s="1"/>
  <c r="D239" i="11" s="1"/>
  <c r="AH234" i="11"/>
  <c r="AH232" i="11"/>
  <c r="AH233" i="11" s="1"/>
  <c r="T232" i="11"/>
  <c r="T233" i="11" s="1"/>
  <c r="T234" i="11" s="1"/>
  <c r="D232" i="11"/>
  <c r="D233" i="11" s="1"/>
  <c r="D234" i="11" s="1"/>
  <c r="BA231" i="11"/>
  <c r="BA232" i="11" s="1"/>
  <c r="BA234" i="11" s="1"/>
  <c r="AV231" i="11"/>
  <c r="AV232" i="11" s="1"/>
  <c r="AV233" i="11" s="1"/>
  <c r="AV234" i="11" s="1"/>
  <c r="AM231" i="11"/>
  <c r="AM232" i="11" s="1"/>
  <c r="AH231" i="11"/>
  <c r="Y231" i="11"/>
  <c r="Y232" i="11" s="1"/>
  <c r="T231" i="11"/>
  <c r="I231" i="11"/>
  <c r="I232" i="11" s="1"/>
  <c r="D231" i="11"/>
  <c r="BA229" i="11"/>
  <c r="AV228" i="11"/>
  <c r="AV229" i="11" s="1"/>
  <c r="AM228" i="11"/>
  <c r="T228" i="11"/>
  <c r="T229" i="11" s="1"/>
  <c r="AV227" i="11"/>
  <c r="AM227" i="11"/>
  <c r="AM229" i="11" s="1"/>
  <c r="T227" i="11"/>
  <c r="I227" i="11"/>
  <c r="I228" i="11" s="1"/>
  <c r="D227" i="11"/>
  <c r="D228" i="11" s="1"/>
  <c r="D229" i="11" s="1"/>
  <c r="BA226" i="11"/>
  <c r="BA227" i="11" s="1"/>
  <c r="BA228" i="11" s="1"/>
  <c r="AV226" i="11"/>
  <c r="AM226" i="11"/>
  <c r="AH226" i="11"/>
  <c r="AH227" i="11" s="1"/>
  <c r="AH228" i="11" s="1"/>
  <c r="AH229" i="11" s="1"/>
  <c r="Y226" i="11"/>
  <c r="Y227" i="11" s="1"/>
  <c r="T226" i="11"/>
  <c r="I226" i="11"/>
  <c r="D226" i="11"/>
  <c r="I224" i="11"/>
  <c r="AH223" i="11"/>
  <c r="AH224" i="11" s="1"/>
  <c r="Y223" i="11"/>
  <c r="I223" i="11"/>
  <c r="BA222" i="11"/>
  <c r="AV222" i="11"/>
  <c r="AV223" i="11" s="1"/>
  <c r="AV224" i="11" s="1"/>
  <c r="AH222" i="11"/>
  <c r="Y222" i="11"/>
  <c r="Y224" i="11" s="1"/>
  <c r="I222" i="11"/>
  <c r="BA221" i="11"/>
  <c r="AV221" i="11"/>
  <c r="AM221" i="11"/>
  <c r="AM222" i="11" s="1"/>
  <c r="AM223" i="11" s="1"/>
  <c r="AH221" i="11"/>
  <c r="Y221" i="11"/>
  <c r="T221" i="11"/>
  <c r="T222" i="11" s="1"/>
  <c r="T223" i="11" s="1"/>
  <c r="T224" i="11" s="1"/>
  <c r="I221" i="11"/>
  <c r="D221" i="11"/>
  <c r="D222" i="11" s="1"/>
  <c r="D223" i="11" s="1"/>
  <c r="D224" i="11" s="1"/>
  <c r="BA218" i="11"/>
  <c r="Y218" i="11"/>
  <c r="T218" i="11"/>
  <c r="T219" i="11" s="1"/>
  <c r="BA217" i="11"/>
  <c r="BA219" i="11" s="1"/>
  <c r="Y217" i="11"/>
  <c r="Y219" i="11" s="1"/>
  <c r="I217" i="11"/>
  <c r="BA216" i="11"/>
  <c r="AV216" i="11"/>
  <c r="AV217" i="11" s="1"/>
  <c r="AV218" i="11" s="1"/>
  <c r="AV219" i="11" s="1"/>
  <c r="AM216" i="11"/>
  <c r="AM217" i="11" s="1"/>
  <c r="AH216" i="11"/>
  <c r="AH217" i="11" s="1"/>
  <c r="AH218" i="11" s="1"/>
  <c r="AH219" i="11" s="1"/>
  <c r="Y216" i="11"/>
  <c r="T216" i="11"/>
  <c r="T217" i="11" s="1"/>
  <c r="I216" i="11"/>
  <c r="D216" i="11"/>
  <c r="D217" i="11" s="1"/>
  <c r="D218" i="11" s="1"/>
  <c r="D219" i="11" s="1"/>
  <c r="AV214" i="11"/>
  <c r="I214" i="11"/>
  <c r="AV213" i="11"/>
  <c r="AM213" i="11"/>
  <c r="BA212" i="11"/>
  <c r="BA214" i="11" s="1"/>
  <c r="AM212" i="11"/>
  <c r="AM214" i="11" s="1"/>
  <c r="I212" i="11"/>
  <c r="I213" i="11" s="1"/>
  <c r="D212" i="11"/>
  <c r="D213" i="11" s="1"/>
  <c r="D214" i="11" s="1"/>
  <c r="BA211" i="11"/>
  <c r="AV211" i="11"/>
  <c r="AV212" i="11" s="1"/>
  <c r="AM211" i="11"/>
  <c r="AH211" i="11"/>
  <c r="AH212" i="11" s="1"/>
  <c r="AH213" i="11" s="1"/>
  <c r="AH214" i="11" s="1"/>
  <c r="Y211" i="11"/>
  <c r="Y212" i="11" s="1"/>
  <c r="T211" i="11"/>
  <c r="T212" i="11" s="1"/>
  <c r="T213" i="11" s="1"/>
  <c r="T214" i="11" s="1"/>
  <c r="I211" i="11"/>
  <c r="D211" i="11"/>
  <c r="BA209" i="11"/>
  <c r="Y209" i="11"/>
  <c r="D209" i="11"/>
  <c r="BA208" i="11"/>
  <c r="Y208" i="11"/>
  <c r="AV207" i="11"/>
  <c r="AV208" i="11" s="1"/>
  <c r="AV209" i="11" s="1"/>
  <c r="T207" i="11"/>
  <c r="T208" i="11" s="1"/>
  <c r="T209" i="11" s="1"/>
  <c r="BA206" i="11"/>
  <c r="BA207" i="11" s="1"/>
  <c r="AV206" i="11"/>
  <c r="AM206" i="11"/>
  <c r="AM207" i="11" s="1"/>
  <c r="AH206" i="11"/>
  <c r="AH207" i="11" s="1"/>
  <c r="AH208" i="11" s="1"/>
  <c r="AH209" i="11" s="1"/>
  <c r="Y206" i="11"/>
  <c r="Y207" i="11" s="1"/>
  <c r="T206" i="11"/>
  <c r="I206" i="11"/>
  <c r="I207" i="11" s="1"/>
  <c r="D206" i="11"/>
  <c r="D207" i="11" s="1"/>
  <c r="D208" i="11" s="1"/>
  <c r="AV204" i="11"/>
  <c r="AM204" i="11"/>
  <c r="I204" i="11"/>
  <c r="AM203" i="11"/>
  <c r="D203" i="11"/>
  <c r="D204" i="11" s="1"/>
  <c r="AH202" i="11"/>
  <c r="AH203" i="11" s="1"/>
  <c r="AH204" i="11" s="1"/>
  <c r="T202" i="11"/>
  <c r="T203" i="11" s="1"/>
  <c r="T204" i="11" s="1"/>
  <c r="D202" i="11"/>
  <c r="BA201" i="11"/>
  <c r="BA202" i="11" s="1"/>
  <c r="AV201" i="11"/>
  <c r="AV202" i="11" s="1"/>
  <c r="AV203" i="11" s="1"/>
  <c r="AM201" i="11"/>
  <c r="AM202" i="11" s="1"/>
  <c r="AH201" i="11"/>
  <c r="Y201" i="11"/>
  <c r="Y202" i="11" s="1"/>
  <c r="T201" i="11"/>
  <c r="I201" i="11"/>
  <c r="I202" i="11" s="1"/>
  <c r="I203" i="11" s="1"/>
  <c r="D201" i="11"/>
  <c r="BA199" i="11"/>
  <c r="AV198" i="11"/>
  <c r="AV199" i="11" s="1"/>
  <c r="T198" i="11"/>
  <c r="T199" i="11" s="1"/>
  <c r="BA197" i="11"/>
  <c r="BA198" i="11" s="1"/>
  <c r="AV197" i="11"/>
  <c r="AM197" i="11"/>
  <c r="T197" i="11"/>
  <c r="D197" i="11"/>
  <c r="D198" i="11" s="1"/>
  <c r="D199" i="11" s="1"/>
  <c r="BA196" i="11"/>
  <c r="AV196" i="11"/>
  <c r="AM196" i="11"/>
  <c r="AH196" i="11"/>
  <c r="AH197" i="11" s="1"/>
  <c r="AH198" i="11" s="1"/>
  <c r="AH199" i="11" s="1"/>
  <c r="Y196" i="11"/>
  <c r="Y197" i="11" s="1"/>
  <c r="Y198" i="11" s="1"/>
  <c r="T196" i="11"/>
  <c r="I196" i="11"/>
  <c r="I197" i="11" s="1"/>
  <c r="D196" i="11"/>
  <c r="T194" i="11"/>
  <c r="T193" i="11"/>
  <c r="AM192" i="11"/>
  <c r="AM193" i="11" s="1"/>
  <c r="AH192" i="11"/>
  <c r="AH193" i="11" s="1"/>
  <c r="AH194" i="11" s="1"/>
  <c r="Y192" i="11"/>
  <c r="Y194" i="11" s="1"/>
  <c r="I192" i="11"/>
  <c r="I194" i="11" s="1"/>
  <c r="D192" i="11"/>
  <c r="D193" i="11" s="1"/>
  <c r="D194" i="11" s="1"/>
  <c r="BA191" i="11"/>
  <c r="BA192" i="11" s="1"/>
  <c r="AV191" i="11"/>
  <c r="AV192" i="11" s="1"/>
  <c r="AV193" i="11" s="1"/>
  <c r="AV194" i="11" s="1"/>
  <c r="AM191" i="11"/>
  <c r="AH191" i="11"/>
  <c r="Y191" i="11"/>
  <c r="T191" i="11"/>
  <c r="T192" i="11" s="1"/>
  <c r="I191" i="11"/>
  <c r="D191" i="11"/>
  <c r="AV189" i="11"/>
  <c r="I188" i="11"/>
  <c r="BA187" i="11"/>
  <c r="BA189" i="11" s="1"/>
  <c r="Y187" i="11"/>
  <c r="T187" i="11"/>
  <c r="T188" i="11" s="1"/>
  <c r="T189" i="11" s="1"/>
  <c r="I187" i="11"/>
  <c r="I189" i="11" s="1"/>
  <c r="BA186" i="11"/>
  <c r="AV186" i="11"/>
  <c r="AV187" i="11" s="1"/>
  <c r="AV188" i="11" s="1"/>
  <c r="AM186" i="11"/>
  <c r="AM187" i="11" s="1"/>
  <c r="AH186" i="11"/>
  <c r="AH187" i="11" s="1"/>
  <c r="AH188" i="11" s="1"/>
  <c r="AH189" i="11" s="1"/>
  <c r="Y186" i="11"/>
  <c r="T186" i="11"/>
  <c r="I186" i="11"/>
  <c r="D186" i="11"/>
  <c r="D187" i="11" s="1"/>
  <c r="D188" i="11" s="1"/>
  <c r="D189" i="11" s="1"/>
  <c r="AV184" i="11"/>
  <c r="T184" i="11"/>
  <c r="AH183" i="11"/>
  <c r="AH184" i="11" s="1"/>
  <c r="AM182" i="11"/>
  <c r="T182" i="11"/>
  <c r="T183" i="11" s="1"/>
  <c r="I182" i="11"/>
  <c r="D182" i="11"/>
  <c r="D183" i="11" s="1"/>
  <c r="D184" i="11" s="1"/>
  <c r="BA181" i="11"/>
  <c r="BA182" i="11" s="1"/>
  <c r="AV181" i="11"/>
  <c r="AV182" i="11" s="1"/>
  <c r="AV183" i="11" s="1"/>
  <c r="AM181" i="11"/>
  <c r="AH181" i="11"/>
  <c r="AH182" i="11" s="1"/>
  <c r="Y181" i="11"/>
  <c r="Y182" i="11" s="1"/>
  <c r="Y183" i="11" s="1"/>
  <c r="T181" i="11"/>
  <c r="I181" i="11"/>
  <c r="D181" i="11"/>
  <c r="BA179" i="11"/>
  <c r="AV179" i="11"/>
  <c r="AM179" i="11"/>
  <c r="I179" i="11"/>
  <c r="BA178" i="11"/>
  <c r="I178" i="11"/>
  <c r="T177" i="11"/>
  <c r="T178" i="11" s="1"/>
  <c r="T179" i="11" s="1"/>
  <c r="BA176" i="11"/>
  <c r="BA177" i="11" s="1"/>
  <c r="AV176" i="11"/>
  <c r="AV177" i="11" s="1"/>
  <c r="AV178" i="11" s="1"/>
  <c r="AM176" i="11"/>
  <c r="AM177" i="11" s="1"/>
  <c r="AM178" i="11" s="1"/>
  <c r="AH176" i="11"/>
  <c r="AH177" i="11" s="1"/>
  <c r="AH178" i="11" s="1"/>
  <c r="AH179" i="11" s="1"/>
  <c r="Y176" i="11"/>
  <c r="Y177" i="11" s="1"/>
  <c r="Y179" i="11" s="1"/>
  <c r="T176" i="11"/>
  <c r="I176" i="11"/>
  <c r="I177" i="11" s="1"/>
  <c r="D176" i="11"/>
  <c r="D177" i="11" s="1"/>
  <c r="D178" i="11" s="1"/>
  <c r="D179" i="11" s="1"/>
  <c r="Y174" i="11"/>
  <c r="AH173" i="11"/>
  <c r="AH174" i="11" s="1"/>
  <c r="D173" i="11"/>
  <c r="D174" i="11" s="1"/>
  <c r="BA172" i="11"/>
  <c r="BA173" i="11" s="1"/>
  <c r="AV172" i="11"/>
  <c r="AV173" i="11" s="1"/>
  <c r="AV174" i="11" s="1"/>
  <c r="AH172" i="11"/>
  <c r="I172" i="11"/>
  <c r="BA171" i="11"/>
  <c r="AV171" i="11"/>
  <c r="AM171" i="11"/>
  <c r="AM172" i="11" s="1"/>
  <c r="AH171" i="11"/>
  <c r="Y171" i="11"/>
  <c r="Y172" i="11" s="1"/>
  <c r="Y173" i="11" s="1"/>
  <c r="T171" i="11"/>
  <c r="T172" i="11" s="1"/>
  <c r="T173" i="11" s="1"/>
  <c r="T174" i="11" s="1"/>
  <c r="I171" i="11"/>
  <c r="D171" i="11"/>
  <c r="D172" i="11" s="1"/>
  <c r="AV169" i="11"/>
  <c r="AH169" i="11"/>
  <c r="D169" i="11"/>
  <c r="BA168" i="11"/>
  <c r="T168" i="11"/>
  <c r="T169" i="11" s="1"/>
  <c r="AM167" i="11"/>
  <c r="T167" i="11"/>
  <c r="I167" i="11"/>
  <c r="BA166" i="11"/>
  <c r="BA167" i="11" s="1"/>
  <c r="BA169" i="11" s="1"/>
  <c r="AV166" i="11"/>
  <c r="AV167" i="11" s="1"/>
  <c r="AV168" i="11" s="1"/>
  <c r="AM166" i="11"/>
  <c r="AH166" i="11"/>
  <c r="AH167" i="11" s="1"/>
  <c r="AH168" i="11" s="1"/>
  <c r="Y166" i="11"/>
  <c r="Y167" i="11" s="1"/>
  <c r="Y169" i="11" s="1"/>
  <c r="T166" i="11"/>
  <c r="I166" i="11"/>
  <c r="D166" i="11"/>
  <c r="D167" i="11" s="1"/>
  <c r="D168" i="11" s="1"/>
  <c r="Y164" i="11"/>
  <c r="I164" i="11"/>
  <c r="D164" i="11"/>
  <c r="AV163" i="11"/>
  <c r="AV164" i="11" s="1"/>
  <c r="I163" i="11"/>
  <c r="BA162" i="11"/>
  <c r="BA164" i="11" s="1"/>
  <c r="AV162" i="11"/>
  <c r="AM162" i="11"/>
  <c r="AM164" i="11" s="1"/>
  <c r="T162" i="11"/>
  <c r="T163" i="11" s="1"/>
  <c r="T164" i="11" s="1"/>
  <c r="D162" i="11"/>
  <c r="D163" i="11" s="1"/>
  <c r="BA161" i="11"/>
  <c r="AV161" i="11"/>
  <c r="AM161" i="11"/>
  <c r="AH161" i="11"/>
  <c r="AH162" i="11" s="1"/>
  <c r="AH163" i="11" s="1"/>
  <c r="AH164" i="11" s="1"/>
  <c r="Y161" i="11"/>
  <c r="Y162" i="11" s="1"/>
  <c r="Y163" i="11" s="1"/>
  <c r="T161" i="11"/>
  <c r="I161" i="11"/>
  <c r="I162" i="11" s="1"/>
  <c r="D161" i="11"/>
  <c r="I159" i="11"/>
  <c r="Y158" i="11"/>
  <c r="I158" i="11"/>
  <c r="AV157" i="11"/>
  <c r="AV158" i="11" s="1"/>
  <c r="AV159" i="11" s="1"/>
  <c r="AH157" i="11"/>
  <c r="AH158" i="11" s="1"/>
  <c r="AH159" i="11" s="1"/>
  <c r="Y157" i="11"/>
  <c r="Y159" i="11" s="1"/>
  <c r="BA156" i="11"/>
  <c r="BA157" i="11" s="1"/>
  <c r="BA158" i="11" s="1"/>
  <c r="AV156" i="11"/>
  <c r="AM156" i="11"/>
  <c r="AM157" i="11" s="1"/>
  <c r="AH156" i="11"/>
  <c r="Y156" i="11"/>
  <c r="T156" i="11"/>
  <c r="T157" i="11" s="1"/>
  <c r="T158" i="11" s="1"/>
  <c r="T159" i="11" s="1"/>
  <c r="I156" i="11"/>
  <c r="I157" i="11" s="1"/>
  <c r="D156" i="11"/>
  <c r="D157" i="11" s="1"/>
  <c r="D158" i="11" s="1"/>
  <c r="D159" i="11" s="1"/>
  <c r="AV154" i="11"/>
  <c r="AV152" i="11"/>
  <c r="AV153" i="11" s="1"/>
  <c r="AH152" i="11"/>
  <c r="AH153" i="11" s="1"/>
  <c r="AH154" i="11" s="1"/>
  <c r="Y152" i="11"/>
  <c r="I152" i="11"/>
  <c r="I153" i="11" s="1"/>
  <c r="D152" i="11"/>
  <c r="D153" i="11" s="1"/>
  <c r="D154" i="11" s="1"/>
  <c r="BA151" i="11"/>
  <c r="BA152" i="11" s="1"/>
  <c r="AV151" i="11"/>
  <c r="AM151" i="11"/>
  <c r="AM152" i="11" s="1"/>
  <c r="AM153" i="11" s="1"/>
  <c r="AH151" i="11"/>
  <c r="Y151" i="11"/>
  <c r="T151" i="11"/>
  <c r="T152" i="11" s="1"/>
  <c r="T153" i="11" s="1"/>
  <c r="T154" i="11" s="1"/>
  <c r="I151" i="11"/>
  <c r="D151" i="11"/>
  <c r="BA147" i="11"/>
  <c r="AH147" i="11"/>
  <c r="AH148" i="11" s="1"/>
  <c r="AH149" i="11" s="1"/>
  <c r="Y147" i="11"/>
  <c r="Y148" i="11" s="1"/>
  <c r="I147" i="11"/>
  <c r="I148" i="11" s="1"/>
  <c r="D147" i="11"/>
  <c r="D148" i="11" s="1"/>
  <c r="D149" i="11" s="1"/>
  <c r="BA146" i="11"/>
  <c r="AV146" i="11"/>
  <c r="AV147" i="11" s="1"/>
  <c r="AV148" i="11" s="1"/>
  <c r="AV149" i="11" s="1"/>
  <c r="AM146" i="11"/>
  <c r="AM147" i="11" s="1"/>
  <c r="AH146" i="11"/>
  <c r="Y146" i="11"/>
  <c r="T146" i="11"/>
  <c r="T147" i="11" s="1"/>
  <c r="T148" i="11" s="1"/>
  <c r="T149" i="11" s="1"/>
  <c r="I146" i="11"/>
  <c r="D146" i="11"/>
  <c r="AV144" i="11"/>
  <c r="T144" i="11"/>
  <c r="AH143" i="11"/>
  <c r="AH144" i="11" s="1"/>
  <c r="I143" i="11"/>
  <c r="BA142" i="11"/>
  <c r="AV142" i="11"/>
  <c r="AV143" i="11" s="1"/>
  <c r="AH142" i="11"/>
  <c r="I142" i="11"/>
  <c r="I144" i="11" s="1"/>
  <c r="BA141" i="11"/>
  <c r="AV141" i="11"/>
  <c r="AM141" i="11"/>
  <c r="AM142" i="11" s="1"/>
  <c r="AH141" i="11"/>
  <c r="Y141" i="11"/>
  <c r="Y142" i="11" s="1"/>
  <c r="Y144" i="11" s="1"/>
  <c r="T141" i="11"/>
  <c r="T142" i="11" s="1"/>
  <c r="T143" i="11" s="1"/>
  <c r="I141" i="11"/>
  <c r="D141" i="11"/>
  <c r="D142" i="11" s="1"/>
  <c r="D143" i="11" s="1"/>
  <c r="D144" i="11" s="1"/>
  <c r="Y139" i="11"/>
  <c r="BA138" i="11"/>
  <c r="Y138" i="11"/>
  <c r="AM137" i="11"/>
  <c r="T137" i="11"/>
  <c r="T138" i="11" s="1"/>
  <c r="T139" i="11" s="1"/>
  <c r="I137" i="11"/>
  <c r="BA136" i="11"/>
  <c r="BA137" i="11" s="1"/>
  <c r="BA139" i="11" s="1"/>
  <c r="AV136" i="11"/>
  <c r="AV137" i="11" s="1"/>
  <c r="AV138" i="11" s="1"/>
  <c r="AV139" i="11" s="1"/>
  <c r="AM136" i="11"/>
  <c r="AH136" i="11"/>
  <c r="AH137" i="11" s="1"/>
  <c r="AH138" i="11" s="1"/>
  <c r="AH139" i="11" s="1"/>
  <c r="Y136" i="11"/>
  <c r="Y137" i="11" s="1"/>
  <c r="T136" i="11"/>
  <c r="I136" i="11"/>
  <c r="D136" i="11"/>
  <c r="D137" i="11" s="1"/>
  <c r="D138" i="11" s="1"/>
  <c r="D139" i="11" s="1"/>
  <c r="AH134" i="11"/>
  <c r="I134" i="11"/>
  <c r="D134" i="11"/>
  <c r="AV133" i="11"/>
  <c r="AV134" i="11" s="1"/>
  <c r="I133" i="11"/>
  <c r="AV132" i="11"/>
  <c r="AM132" i="11"/>
  <c r="T132" i="11"/>
  <c r="T133" i="11" s="1"/>
  <c r="T134" i="11" s="1"/>
  <c r="D132" i="11"/>
  <c r="D133" i="11" s="1"/>
  <c r="BA131" i="11"/>
  <c r="BA132" i="11" s="1"/>
  <c r="AV131" i="11"/>
  <c r="AM131" i="11"/>
  <c r="AH131" i="11"/>
  <c r="AH132" i="11" s="1"/>
  <c r="AH133" i="11" s="1"/>
  <c r="Y131" i="11"/>
  <c r="Y132" i="11" s="1"/>
  <c r="Y133" i="11" s="1"/>
  <c r="T131" i="11"/>
  <c r="I131" i="11"/>
  <c r="I132" i="11" s="1"/>
  <c r="D131" i="11"/>
  <c r="I129" i="11"/>
  <c r="AM128" i="11"/>
  <c r="Y128" i="11"/>
  <c r="I128" i="11"/>
  <c r="AV127" i="11"/>
  <c r="AV128" i="11" s="1"/>
  <c r="AV129" i="11" s="1"/>
  <c r="AH127" i="11"/>
  <c r="AH128" i="11" s="1"/>
  <c r="AH129" i="11" s="1"/>
  <c r="Y127" i="11"/>
  <c r="Y129" i="11" s="1"/>
  <c r="D127" i="11"/>
  <c r="D128" i="11" s="1"/>
  <c r="D129" i="11" s="1"/>
  <c r="BA126" i="11"/>
  <c r="BA127" i="11" s="1"/>
  <c r="BA128" i="11" s="1"/>
  <c r="AV126" i="11"/>
  <c r="AM126" i="11"/>
  <c r="AM127" i="11" s="1"/>
  <c r="AM129" i="11" s="1"/>
  <c r="AH126" i="11"/>
  <c r="Y126" i="11"/>
  <c r="T126" i="11"/>
  <c r="T127" i="11" s="1"/>
  <c r="T128" i="11" s="1"/>
  <c r="T129" i="11" s="1"/>
  <c r="I126" i="11"/>
  <c r="I127" i="11" s="1"/>
  <c r="D126" i="11"/>
  <c r="AV123" i="11"/>
  <c r="AV124" i="11" s="1"/>
  <c r="T123" i="11"/>
  <c r="T124" i="11" s="1"/>
  <c r="AV122" i="11"/>
  <c r="AH122" i="11"/>
  <c r="AH123" i="11" s="1"/>
  <c r="AH124" i="11" s="1"/>
  <c r="Y122" i="11"/>
  <c r="I122" i="11"/>
  <c r="I123" i="11" s="1"/>
  <c r="D122" i="11"/>
  <c r="D123" i="11" s="1"/>
  <c r="D124" i="11" s="1"/>
  <c r="BA121" i="11"/>
  <c r="BA122" i="11" s="1"/>
  <c r="AV121" i="11"/>
  <c r="AM121" i="11"/>
  <c r="AM122" i="11" s="1"/>
  <c r="AM123" i="11" s="1"/>
  <c r="AH121" i="11"/>
  <c r="Y121" i="11"/>
  <c r="T121" i="11"/>
  <c r="T122" i="11" s="1"/>
  <c r="I121" i="11"/>
  <c r="D121" i="11"/>
  <c r="T119" i="11"/>
  <c r="I119" i="11"/>
  <c r="D118" i="11"/>
  <c r="D119" i="11" s="1"/>
  <c r="BA117" i="11"/>
  <c r="AH117" i="11"/>
  <c r="AH118" i="11" s="1"/>
  <c r="AH119" i="11" s="1"/>
  <c r="Y117" i="11"/>
  <c r="T117" i="11"/>
  <c r="T118" i="11" s="1"/>
  <c r="I117" i="11"/>
  <c r="I118" i="11" s="1"/>
  <c r="D117" i="11"/>
  <c r="BA116" i="11"/>
  <c r="AV116" i="11"/>
  <c r="AV117" i="11" s="1"/>
  <c r="AV118" i="11" s="1"/>
  <c r="AV119" i="11" s="1"/>
  <c r="AM116" i="11"/>
  <c r="AM117" i="11" s="1"/>
  <c r="AH116" i="11"/>
  <c r="Y116" i="11"/>
  <c r="T116" i="11"/>
  <c r="I116" i="11"/>
  <c r="D116" i="11"/>
  <c r="AV114" i="11"/>
  <c r="T114" i="11"/>
  <c r="AH113" i="11"/>
  <c r="AH114" i="11" s="1"/>
  <c r="D113" i="11"/>
  <c r="D114" i="11" s="1"/>
  <c r="BA112" i="11"/>
  <c r="AV112" i="11"/>
  <c r="AV113" i="11" s="1"/>
  <c r="AM112" i="11"/>
  <c r="AH112" i="11"/>
  <c r="I112" i="11"/>
  <c r="I114" i="11" s="1"/>
  <c r="BA111" i="11"/>
  <c r="AV111" i="11"/>
  <c r="AM111" i="11"/>
  <c r="AH111" i="11"/>
  <c r="Y111" i="11"/>
  <c r="Y112" i="11" s="1"/>
  <c r="Y114" i="11" s="1"/>
  <c r="T111" i="11"/>
  <c r="T112" i="11" s="1"/>
  <c r="T113" i="11" s="1"/>
  <c r="I111" i="11"/>
  <c r="D111" i="11"/>
  <c r="D112" i="11" s="1"/>
  <c r="AV109" i="11"/>
  <c r="D109" i="11"/>
  <c r="BA108" i="11"/>
  <c r="T108" i="11"/>
  <c r="T109" i="11" s="1"/>
  <c r="D108" i="11"/>
  <c r="AM107" i="11"/>
  <c r="T107" i="11"/>
  <c r="I107" i="11"/>
  <c r="BA106" i="11"/>
  <c r="BA107" i="11" s="1"/>
  <c r="BA109" i="11" s="1"/>
  <c r="AV106" i="11"/>
  <c r="AV107" i="11" s="1"/>
  <c r="AV108" i="11" s="1"/>
  <c r="AM106" i="11"/>
  <c r="AH106" i="11"/>
  <c r="AH107" i="11" s="1"/>
  <c r="AH108" i="11" s="1"/>
  <c r="AH109" i="11" s="1"/>
  <c r="Y106" i="11"/>
  <c r="Y107" i="11" s="1"/>
  <c r="T106" i="11"/>
  <c r="I106" i="11"/>
  <c r="D106" i="11"/>
  <c r="D107" i="11" s="1"/>
  <c r="Y104" i="11"/>
  <c r="I104" i="11"/>
  <c r="D104" i="11"/>
  <c r="AM103" i="11"/>
  <c r="I103" i="11"/>
  <c r="BA102" i="11"/>
  <c r="BA104" i="11" s="1"/>
  <c r="AV102" i="11"/>
  <c r="AV103" i="11" s="1"/>
  <c r="AV104" i="11" s="1"/>
  <c r="AM102" i="11"/>
  <c r="AM104" i="11" s="1"/>
  <c r="T102" i="11"/>
  <c r="T103" i="11" s="1"/>
  <c r="T104" i="11" s="1"/>
  <c r="D102" i="11"/>
  <c r="D103" i="11" s="1"/>
  <c r="BA101" i="11"/>
  <c r="AV101" i="11"/>
  <c r="AM101" i="11"/>
  <c r="AH101" i="11"/>
  <c r="AH102" i="11" s="1"/>
  <c r="AH103" i="11" s="1"/>
  <c r="AH104" i="11" s="1"/>
  <c r="Y101" i="11"/>
  <c r="Y102" i="11" s="1"/>
  <c r="Y103" i="11" s="1"/>
  <c r="T101" i="11"/>
  <c r="I101" i="11"/>
  <c r="I102" i="11" s="1"/>
  <c r="D101" i="11"/>
  <c r="BA99" i="11"/>
  <c r="Y99" i="11"/>
  <c r="D99" i="11"/>
  <c r="AM98" i="11"/>
  <c r="AV97" i="11"/>
  <c r="AV98" i="11" s="1"/>
  <c r="AV99" i="11" s="1"/>
  <c r="BA96" i="11"/>
  <c r="BA97" i="11" s="1"/>
  <c r="BA98" i="11" s="1"/>
  <c r="AV96" i="11"/>
  <c r="AM96" i="11"/>
  <c r="AM97" i="11" s="1"/>
  <c r="AM99" i="11" s="1"/>
  <c r="AH96" i="11"/>
  <c r="AH97" i="11" s="1"/>
  <c r="AH98" i="11" s="1"/>
  <c r="AH99" i="11" s="1"/>
  <c r="Y96" i="11"/>
  <c r="Y97" i="11" s="1"/>
  <c r="Y98" i="11" s="1"/>
  <c r="T96" i="11"/>
  <c r="T97" i="11" s="1"/>
  <c r="T98" i="11" s="1"/>
  <c r="T99" i="11" s="1"/>
  <c r="I96" i="11"/>
  <c r="I97" i="11" s="1"/>
  <c r="I99" i="11" s="1"/>
  <c r="D96" i="11"/>
  <c r="D97" i="11" s="1"/>
  <c r="D98" i="11" s="1"/>
  <c r="AM94" i="11"/>
  <c r="AM93" i="11"/>
  <c r="Y93" i="11"/>
  <c r="D93" i="11"/>
  <c r="D94" i="11" s="1"/>
  <c r="BA92" i="11"/>
  <c r="AH92" i="11"/>
  <c r="AH93" i="11" s="1"/>
  <c r="AH94" i="11" s="1"/>
  <c r="Y92" i="11"/>
  <c r="Y94" i="11" s="1"/>
  <c r="T92" i="11"/>
  <c r="T93" i="11" s="1"/>
  <c r="T94" i="11" s="1"/>
  <c r="D92" i="11"/>
  <c r="BA91" i="11"/>
  <c r="AV91" i="11"/>
  <c r="AV92" i="11" s="1"/>
  <c r="AV93" i="11" s="1"/>
  <c r="AV94" i="11" s="1"/>
  <c r="AM91" i="11"/>
  <c r="AM92" i="11" s="1"/>
  <c r="AH91" i="11"/>
  <c r="Y91" i="11"/>
  <c r="T91" i="11"/>
  <c r="I91" i="11"/>
  <c r="I92" i="11" s="1"/>
  <c r="I93" i="11" s="1"/>
  <c r="D91" i="11"/>
  <c r="BA89" i="11"/>
  <c r="AM89" i="11"/>
  <c r="AH88" i="11"/>
  <c r="AH89" i="11" s="1"/>
  <c r="D88" i="11"/>
  <c r="D89" i="11" s="1"/>
  <c r="AH87" i="11"/>
  <c r="T87" i="11"/>
  <c r="T88" i="11" s="1"/>
  <c r="T89" i="11" s="1"/>
  <c r="D87" i="11"/>
  <c r="BA86" i="11"/>
  <c r="BA87" i="11" s="1"/>
  <c r="BA88" i="11" s="1"/>
  <c r="AV86" i="11"/>
  <c r="AV87" i="11" s="1"/>
  <c r="AV88" i="11" s="1"/>
  <c r="AV89" i="11" s="1"/>
  <c r="AM86" i="11"/>
  <c r="AM87" i="11" s="1"/>
  <c r="AM88" i="11" s="1"/>
  <c r="AH86" i="11"/>
  <c r="Y86" i="11"/>
  <c r="Y87" i="11" s="1"/>
  <c r="T86" i="11"/>
  <c r="I86" i="11"/>
  <c r="I87" i="11" s="1"/>
  <c r="D86" i="11"/>
  <c r="Y83" i="11"/>
  <c r="I83" i="11"/>
  <c r="BA82" i="11"/>
  <c r="AV82" i="11"/>
  <c r="AV83" i="11" s="1"/>
  <c r="AV84" i="11" s="1"/>
  <c r="AH82" i="11"/>
  <c r="AH83" i="11" s="1"/>
  <c r="AH84" i="11" s="1"/>
  <c r="Y82" i="11"/>
  <c r="Y84" i="11" s="1"/>
  <c r="T82" i="11"/>
  <c r="T83" i="11" s="1"/>
  <c r="T84" i="11" s="1"/>
  <c r="I82" i="11"/>
  <c r="I84" i="11" s="1"/>
  <c r="BA81" i="11"/>
  <c r="AV81" i="11"/>
  <c r="AM81" i="11"/>
  <c r="AM82" i="11" s="1"/>
  <c r="AM83" i="11" s="1"/>
  <c r="AH81" i="11"/>
  <c r="Y81" i="11"/>
  <c r="T81" i="11"/>
  <c r="I81" i="11"/>
  <c r="D81" i="11"/>
  <c r="D82" i="11" s="1"/>
  <c r="D83" i="11" s="1"/>
  <c r="D84" i="11" s="1"/>
  <c r="BA78" i="11"/>
  <c r="Y78" i="11"/>
  <c r="BA77" i="11"/>
  <c r="BA79" i="11" s="1"/>
  <c r="AM77" i="11"/>
  <c r="AM79" i="11" s="1"/>
  <c r="T77" i="11"/>
  <c r="T78" i="11" s="1"/>
  <c r="T79" i="11" s="1"/>
  <c r="BA76" i="11"/>
  <c r="AV76" i="11"/>
  <c r="AV77" i="11" s="1"/>
  <c r="AV78" i="11" s="1"/>
  <c r="AV79" i="11" s="1"/>
  <c r="AM76" i="11"/>
  <c r="AH76" i="11"/>
  <c r="AH77" i="11" s="1"/>
  <c r="AH78" i="11" s="1"/>
  <c r="AH79" i="11" s="1"/>
  <c r="Y76" i="11"/>
  <c r="Y77" i="11" s="1"/>
  <c r="Y79" i="11" s="1"/>
  <c r="T76" i="11"/>
  <c r="I76" i="11"/>
  <c r="I77" i="11" s="1"/>
  <c r="D76" i="11"/>
  <c r="D77" i="11" s="1"/>
  <c r="D78" i="11" s="1"/>
  <c r="D79" i="11" s="1"/>
  <c r="AM74" i="11"/>
  <c r="AH72" i="11"/>
  <c r="AH73" i="11" s="1"/>
  <c r="AH74" i="11" s="1"/>
  <c r="BA71" i="11"/>
  <c r="BA72" i="11" s="1"/>
  <c r="BA74" i="11" s="1"/>
  <c r="AV71" i="11"/>
  <c r="AV72" i="11" s="1"/>
  <c r="AV73" i="11" s="1"/>
  <c r="AV74" i="11" s="1"/>
  <c r="AM71" i="11"/>
  <c r="AM72" i="11" s="1"/>
  <c r="AM73" i="11" s="1"/>
  <c r="AH71" i="11"/>
  <c r="Y71" i="11"/>
  <c r="Y72" i="11" s="1"/>
  <c r="T71" i="11"/>
  <c r="T72" i="11" s="1"/>
  <c r="T73" i="11" s="1"/>
  <c r="T74" i="11" s="1"/>
  <c r="I71" i="11"/>
  <c r="I72" i="11" s="1"/>
  <c r="D71" i="11"/>
  <c r="D72" i="11" s="1"/>
  <c r="D73" i="11" s="1"/>
  <c r="D74" i="11" s="1"/>
  <c r="BA68" i="11"/>
  <c r="T68" i="11"/>
  <c r="T69" i="11" s="1"/>
  <c r="AV67" i="11"/>
  <c r="AV68" i="11" s="1"/>
  <c r="AV69" i="11" s="1"/>
  <c r="T67" i="11"/>
  <c r="I67" i="11"/>
  <c r="BA66" i="11"/>
  <c r="BA67" i="11" s="1"/>
  <c r="BA69" i="11" s="1"/>
  <c r="AV66" i="11"/>
  <c r="AM66" i="11"/>
  <c r="AM67" i="11" s="1"/>
  <c r="AH66" i="11"/>
  <c r="AH67" i="11" s="1"/>
  <c r="AH68" i="11" s="1"/>
  <c r="AH69" i="11" s="1"/>
  <c r="Y66" i="11"/>
  <c r="Y67" i="11" s="1"/>
  <c r="T66" i="11"/>
  <c r="I66" i="11"/>
  <c r="D66" i="11"/>
  <c r="D67" i="11" s="1"/>
  <c r="D68" i="11" s="1"/>
  <c r="D69" i="11" s="1"/>
  <c r="AH64" i="11"/>
  <c r="Y64" i="11"/>
  <c r="AH63" i="11"/>
  <c r="Y63" i="11"/>
  <c r="D63" i="11"/>
  <c r="D64" i="11" s="1"/>
  <c r="AV62" i="11"/>
  <c r="AV63" i="11" s="1"/>
  <c r="AV64" i="11" s="1"/>
  <c r="AM62" i="11"/>
  <c r="AH62" i="11"/>
  <c r="Y62" i="11"/>
  <c r="I62" i="11"/>
  <c r="BA61" i="11"/>
  <c r="BA62" i="11" s="1"/>
  <c r="AV61" i="11"/>
  <c r="AM61" i="11"/>
  <c r="AH61" i="11"/>
  <c r="Y61" i="11"/>
  <c r="T61" i="11"/>
  <c r="T62" i="11" s="1"/>
  <c r="T63" i="11" s="1"/>
  <c r="T64" i="11" s="1"/>
  <c r="I61" i="11"/>
  <c r="D61" i="11"/>
  <c r="D62" i="11" s="1"/>
  <c r="D59" i="11"/>
  <c r="BA58" i="11"/>
  <c r="AH58" i="11"/>
  <c r="AH59" i="11" s="1"/>
  <c r="T58" i="11"/>
  <c r="T59" i="11" s="1"/>
  <c r="I58" i="11"/>
  <c r="BA57" i="11"/>
  <c r="BA59" i="11" s="1"/>
  <c r="AM57" i="11"/>
  <c r="T57" i="11"/>
  <c r="I57" i="11"/>
  <c r="I59" i="11" s="1"/>
  <c r="BA56" i="11"/>
  <c r="AV56" i="11"/>
  <c r="AV57" i="11" s="1"/>
  <c r="AV58" i="11" s="1"/>
  <c r="AV59" i="11" s="1"/>
  <c r="AM56" i="11"/>
  <c r="AH56" i="11"/>
  <c r="AH57" i="11" s="1"/>
  <c r="Y56" i="11"/>
  <c r="Y57" i="11" s="1"/>
  <c r="T56" i="11"/>
  <c r="I56" i="11"/>
  <c r="D56" i="11"/>
  <c r="D57" i="11" s="1"/>
  <c r="D58" i="11" s="1"/>
  <c r="I54" i="11"/>
  <c r="AV53" i="11"/>
  <c r="AV54" i="11" s="1"/>
  <c r="AM53" i="11"/>
  <c r="I53" i="11"/>
  <c r="BA52" i="11"/>
  <c r="AV52" i="11"/>
  <c r="AM52" i="11"/>
  <c r="AM54" i="11" s="1"/>
  <c r="T52" i="11"/>
  <c r="T53" i="11" s="1"/>
  <c r="T54" i="11" s="1"/>
  <c r="D52" i="11"/>
  <c r="D53" i="11" s="1"/>
  <c r="D54" i="11" s="1"/>
  <c r="BA51" i="11"/>
  <c r="AV51" i="11"/>
  <c r="AM51" i="11"/>
  <c r="AH51" i="11"/>
  <c r="AH52" i="11" s="1"/>
  <c r="AH53" i="11" s="1"/>
  <c r="AH54" i="11" s="1"/>
  <c r="Y51" i="11"/>
  <c r="Y52" i="11" s="1"/>
  <c r="T51" i="11"/>
  <c r="I51" i="11"/>
  <c r="I52" i="11" s="1"/>
  <c r="D51" i="11"/>
  <c r="BA49" i="11"/>
  <c r="T48" i="11"/>
  <c r="T49" i="11" s="1"/>
  <c r="I48" i="11"/>
  <c r="AV47" i="11"/>
  <c r="AV48" i="11" s="1"/>
  <c r="AV49" i="11" s="1"/>
  <c r="AH47" i="11"/>
  <c r="AH48" i="11" s="1"/>
  <c r="AH49" i="11" s="1"/>
  <c r="Y47" i="11"/>
  <c r="BA46" i="11"/>
  <c r="BA47" i="11" s="1"/>
  <c r="BA48" i="11" s="1"/>
  <c r="AV46" i="11"/>
  <c r="AM46" i="11"/>
  <c r="AM47" i="11" s="1"/>
  <c r="AM48" i="11" s="1"/>
  <c r="AH46" i="11"/>
  <c r="Y46" i="11"/>
  <c r="T46" i="11"/>
  <c r="T47" i="11" s="1"/>
  <c r="I46" i="11"/>
  <c r="I47" i="11" s="1"/>
  <c r="I49" i="11" s="1"/>
  <c r="D46" i="11"/>
  <c r="D47" i="11" s="1"/>
  <c r="D48" i="11" s="1"/>
  <c r="D49" i="11" s="1"/>
  <c r="AM44" i="11"/>
  <c r="BA43" i="11"/>
  <c r="AV43" i="11"/>
  <c r="AV44" i="11" s="1"/>
  <c r="T43" i="11"/>
  <c r="T44" i="11" s="1"/>
  <c r="BA42" i="11"/>
  <c r="BA44" i="11" s="1"/>
  <c r="Y42" i="11"/>
  <c r="T42" i="11"/>
  <c r="I42" i="11"/>
  <c r="BA41" i="11"/>
  <c r="AV41" i="11"/>
  <c r="AV42" i="11" s="1"/>
  <c r="AM41" i="11"/>
  <c r="AM42" i="11" s="1"/>
  <c r="AM43" i="11" s="1"/>
  <c r="AH41" i="11"/>
  <c r="AH42" i="11" s="1"/>
  <c r="AH43" i="11" s="1"/>
  <c r="AH44" i="11" s="1"/>
  <c r="Y41" i="11"/>
  <c r="T41" i="11"/>
  <c r="I41" i="11"/>
  <c r="D41" i="11"/>
  <c r="D42" i="11" s="1"/>
  <c r="D43" i="11" s="1"/>
  <c r="D44" i="11" s="1"/>
  <c r="AV38" i="11"/>
  <c r="AV39" i="11" s="1"/>
  <c r="BA37" i="11"/>
  <c r="AV37" i="11"/>
  <c r="AM37" i="11"/>
  <c r="AH37" i="11"/>
  <c r="AH38" i="11" s="1"/>
  <c r="AH39" i="11" s="1"/>
  <c r="D37" i="11"/>
  <c r="D38" i="11" s="1"/>
  <c r="D39" i="11" s="1"/>
  <c r="BA36" i="11"/>
  <c r="AV36" i="11"/>
  <c r="AM36" i="11"/>
  <c r="AH36" i="11"/>
  <c r="Y36" i="11"/>
  <c r="Y37" i="11" s="1"/>
  <c r="Y38" i="11" s="1"/>
  <c r="T36" i="11"/>
  <c r="T37" i="11" s="1"/>
  <c r="T38" i="11" s="1"/>
  <c r="T39" i="11" s="1"/>
  <c r="I36" i="11"/>
  <c r="I37" i="11" s="1"/>
  <c r="D36" i="11"/>
  <c r="AH33" i="11"/>
  <c r="AH34" i="11" s="1"/>
  <c r="D33" i="11"/>
  <c r="D34" i="11" s="1"/>
  <c r="AH32" i="11"/>
  <c r="Y32" i="11"/>
  <c r="Y34" i="11" s="1"/>
  <c r="D32" i="11"/>
  <c r="BA31" i="11"/>
  <c r="BA32" i="11" s="1"/>
  <c r="AV31" i="11"/>
  <c r="AV32" i="11" s="1"/>
  <c r="AV33" i="11" s="1"/>
  <c r="AV34" i="11" s="1"/>
  <c r="AM31" i="11"/>
  <c r="AM32" i="11" s="1"/>
  <c r="AH31" i="11"/>
  <c r="Y31" i="11"/>
  <c r="T31" i="11"/>
  <c r="T32" i="11" s="1"/>
  <c r="T33" i="11" s="1"/>
  <c r="T34" i="11" s="1"/>
  <c r="I31" i="11"/>
  <c r="I32" i="11" s="1"/>
  <c r="I33" i="11" s="1"/>
  <c r="D31" i="11"/>
  <c r="BA28" i="11"/>
  <c r="T28" i="11"/>
  <c r="T29" i="11" s="1"/>
  <c r="BA27" i="11"/>
  <c r="BA29" i="11" s="1"/>
  <c r="AM27" i="11"/>
  <c r="AM28" i="11" s="1"/>
  <c r="T27" i="11"/>
  <c r="I27" i="11"/>
  <c r="I29" i="11" s="1"/>
  <c r="BA26" i="11"/>
  <c r="AV26" i="11"/>
  <c r="AV27" i="11" s="1"/>
  <c r="AV28" i="11" s="1"/>
  <c r="AV29" i="11" s="1"/>
  <c r="AM26" i="11"/>
  <c r="AH26" i="11"/>
  <c r="AH27" i="11" s="1"/>
  <c r="AH28" i="11" s="1"/>
  <c r="AH29" i="11" s="1"/>
  <c r="Y26" i="11"/>
  <c r="Y27" i="11" s="1"/>
  <c r="T26" i="11"/>
  <c r="I26" i="11"/>
  <c r="D26" i="11"/>
  <c r="D27" i="11" s="1"/>
  <c r="D28" i="11" s="1"/>
  <c r="D29" i="11" s="1"/>
  <c r="Q25" i="11"/>
  <c r="Q30" i="11" s="1"/>
  <c r="Q35" i="11" s="1"/>
  <c r="Q40" i="11" s="1"/>
  <c r="Q45" i="11" s="1"/>
  <c r="Q50" i="11" s="1"/>
  <c r="Q55" i="11" s="1"/>
  <c r="Q60" i="11" s="1"/>
  <c r="Q65" i="11" s="1"/>
  <c r="Q70" i="11" s="1"/>
  <c r="Q75" i="11" s="1"/>
  <c r="Q80" i="11" s="1"/>
  <c r="Q85" i="11" s="1"/>
  <c r="Q90" i="11" s="1"/>
  <c r="Q95" i="11" s="1"/>
  <c r="Q100" i="11" s="1"/>
  <c r="Q105" i="11" s="1"/>
  <c r="Q110" i="11" s="1"/>
  <c r="Q115" i="11" s="1"/>
  <c r="Q120" i="11" s="1"/>
  <c r="Q125" i="11" s="1"/>
  <c r="Q130" i="11" s="1"/>
  <c r="Q135" i="11" s="1"/>
  <c r="Q140" i="11" s="1"/>
  <c r="Q145" i="11" s="1"/>
  <c r="Q150" i="11" s="1"/>
  <c r="Q155" i="11" s="1"/>
  <c r="Q160" i="11" s="1"/>
  <c r="Q165" i="11" s="1"/>
  <c r="Q170" i="11" s="1"/>
  <c r="Q175" i="11" s="1"/>
  <c r="Q180" i="11" s="1"/>
  <c r="Q185" i="11" s="1"/>
  <c r="Q190" i="11" s="1"/>
  <c r="Q195" i="11" s="1"/>
  <c r="Q200" i="11" s="1"/>
  <c r="Q205" i="11" s="1"/>
  <c r="Q210" i="11" s="1"/>
  <c r="Q215" i="11" s="1"/>
  <c r="Q220" i="11" s="1"/>
  <c r="Q225" i="11" s="1"/>
  <c r="Q230" i="11" s="1"/>
  <c r="Q235" i="11" s="1"/>
  <c r="Q240" i="11" s="1"/>
  <c r="Q245" i="11" s="1"/>
  <c r="Q250" i="11" s="1"/>
  <c r="Q255" i="11" s="1"/>
  <c r="Q260" i="11" s="1"/>
  <c r="Q265" i="11" s="1"/>
  <c r="Q270" i="11" s="1"/>
  <c r="Q275" i="11" s="1"/>
  <c r="Q280" i="11" s="1"/>
  <c r="Q285" i="11" s="1"/>
  <c r="Q290" i="11" s="1"/>
  <c r="Q295" i="11" s="1"/>
  <c r="Q300" i="11" s="1"/>
  <c r="Q305" i="11" s="1"/>
  <c r="Q310" i="11" s="1"/>
  <c r="Q315" i="11" s="1"/>
  <c r="Q320" i="11" s="1"/>
  <c r="Q325" i="11" s="1"/>
  <c r="Q330" i="11" s="1"/>
  <c r="Q335" i="11" s="1"/>
  <c r="Q340" i="11" s="1"/>
  <c r="Q345" i="11" s="1"/>
  <c r="Q350" i="11" s="1"/>
  <c r="Q355" i="11" s="1"/>
  <c r="Q360" i="11" s="1"/>
  <c r="Q365" i="11" s="1"/>
  <c r="Q370" i="11" s="1"/>
  <c r="Q375" i="11" s="1"/>
  <c r="Q380" i="11" s="1"/>
  <c r="Q385" i="11" s="1"/>
  <c r="Q390" i="11" s="1"/>
  <c r="Q395" i="11" s="1"/>
  <c r="Q400" i="11" s="1"/>
  <c r="Q405" i="11" s="1"/>
  <c r="Q410" i="11" s="1"/>
  <c r="Q415" i="11" s="1"/>
  <c r="Q420" i="11" s="1"/>
  <c r="Q425" i="11" s="1"/>
  <c r="Q430" i="11" s="1"/>
  <c r="Q435" i="11" s="1"/>
  <c r="Q440" i="11" s="1"/>
  <c r="Q445" i="11" s="1"/>
  <c r="Q450" i="11" s="1"/>
  <c r="Q455" i="11" s="1"/>
  <c r="Q460" i="11" s="1"/>
  <c r="Q465" i="11" s="1"/>
  <c r="Q470" i="11" s="1"/>
  <c r="Q475" i="11" s="1"/>
  <c r="Q480" i="11" s="1"/>
  <c r="Q485" i="11" s="1"/>
  <c r="Q490" i="11" s="1"/>
  <c r="Q495" i="11" s="1"/>
  <c r="Q500" i="11" s="1"/>
  <c r="Q505" i="11" s="1"/>
  <c r="Q510" i="11" s="1"/>
  <c r="Q515" i="11" s="1"/>
  <c r="Q520" i="11" s="1"/>
  <c r="Q525" i="11" s="1"/>
  <c r="Q530" i="11" s="1"/>
  <c r="Q535" i="11" s="1"/>
  <c r="Q540" i="11" s="1"/>
  <c r="Q545" i="11" s="1"/>
  <c r="Q550" i="11" s="1"/>
  <c r="Q555" i="11" s="1"/>
  <c r="Q560" i="11" s="1"/>
  <c r="Q565" i="11" s="1"/>
  <c r="Q570" i="11" s="1"/>
  <c r="Q575" i="11" s="1"/>
  <c r="Q580" i="11" s="1"/>
  <c r="Q585" i="11" s="1"/>
  <c r="Q590" i="11" s="1"/>
  <c r="Q595" i="11" s="1"/>
  <c r="Q600" i="11" s="1"/>
  <c r="Q605" i="11" s="1"/>
  <c r="Q610" i="11" s="1"/>
  <c r="Q615" i="11" s="1"/>
  <c r="Q620" i="11" s="1"/>
  <c r="Q625" i="11" s="1"/>
  <c r="Q630" i="11" s="1"/>
  <c r="Q635" i="11" s="1"/>
  <c r="Q640" i="11" s="1"/>
  <c r="Q645" i="11" s="1"/>
  <c r="Q650" i="11" s="1"/>
  <c r="Q655" i="11" s="1"/>
  <c r="Q660" i="11" s="1"/>
  <c r="Q665" i="11" s="1"/>
  <c r="Q670" i="11" s="1"/>
  <c r="Q675" i="11" s="1"/>
  <c r="Q680" i="11" s="1"/>
  <c r="Q685" i="11" s="1"/>
  <c r="Q690" i="11" s="1"/>
  <c r="Q695" i="11" s="1"/>
  <c r="T24" i="11"/>
  <c r="I24" i="11"/>
  <c r="BA22" i="11"/>
  <c r="BA24" i="11" s="1"/>
  <c r="AM22" i="11"/>
  <c r="AM24" i="11" s="1"/>
  <c r="T22" i="11"/>
  <c r="T23" i="11" s="1"/>
  <c r="BA21" i="11"/>
  <c r="AV21" i="11"/>
  <c r="AV22" i="11" s="1"/>
  <c r="AV23" i="11" s="1"/>
  <c r="AV24" i="11" s="1"/>
  <c r="AM21" i="11"/>
  <c r="AH21" i="11"/>
  <c r="AH22" i="11" s="1"/>
  <c r="AH23" i="11" s="1"/>
  <c r="AH24" i="11" s="1"/>
  <c r="Y21" i="11"/>
  <c r="Y22" i="11" s="1"/>
  <c r="Y24" i="11" s="1"/>
  <c r="T21" i="11"/>
  <c r="I21" i="11"/>
  <c r="I22" i="11" s="1"/>
  <c r="I23" i="11" s="1"/>
  <c r="D21" i="11"/>
  <c r="D22" i="11" s="1"/>
  <c r="D23" i="11" s="1"/>
  <c r="D24" i="11" s="1"/>
  <c r="Q20" i="11"/>
  <c r="BA19" i="11"/>
  <c r="BA18" i="11"/>
  <c r="AH17" i="11"/>
  <c r="AH18" i="11" s="1"/>
  <c r="AH19" i="11" s="1"/>
  <c r="BA16" i="11"/>
  <c r="BA17" i="11" s="1"/>
  <c r="AV16" i="11"/>
  <c r="AV17" i="11" s="1"/>
  <c r="AV18" i="11" s="1"/>
  <c r="AV19" i="11" s="1"/>
  <c r="AM16" i="11"/>
  <c r="AM17" i="11" s="1"/>
  <c r="AH16" i="11"/>
  <c r="Y16" i="11"/>
  <c r="Y17" i="11" s="1"/>
  <c r="T16" i="11"/>
  <c r="T17" i="11" s="1"/>
  <c r="T18" i="11" s="1"/>
  <c r="T19" i="11" s="1"/>
  <c r="I16" i="11"/>
  <c r="I17" i="11" s="1"/>
  <c r="D16" i="11"/>
  <c r="D17" i="11" s="1"/>
  <c r="D18" i="11" s="1"/>
  <c r="D19" i="11" s="1"/>
  <c r="Q15" i="11"/>
  <c r="A15" i="11"/>
  <c r="BA14" i="11"/>
  <c r="AM14" i="11"/>
  <c r="AH14" i="11"/>
  <c r="D14" i="11"/>
  <c r="AM13" i="11"/>
  <c r="BA12" i="11"/>
  <c r="BA13" i="11" s="1"/>
  <c r="AV12" i="11"/>
  <c r="AV13" i="11" s="1"/>
  <c r="AV14" i="11" s="1"/>
  <c r="T12" i="11"/>
  <c r="T13" i="11" s="1"/>
  <c r="T14" i="11" s="1"/>
  <c r="D12" i="11"/>
  <c r="D13" i="11" s="1"/>
  <c r="BA11" i="11"/>
  <c r="AV11" i="11"/>
  <c r="AM11" i="11"/>
  <c r="AM12" i="11" s="1"/>
  <c r="AH11" i="11"/>
  <c r="AH12" i="11" s="1"/>
  <c r="AH13" i="11" s="1"/>
  <c r="Y11" i="11"/>
  <c r="Y12" i="11" s="1"/>
  <c r="T11" i="11"/>
  <c r="I11" i="11"/>
  <c r="I12" i="11" s="1"/>
  <c r="D11" i="11"/>
  <c r="Q10" i="11"/>
  <c r="A10" i="11"/>
  <c r="AV7" i="11"/>
  <c r="AV8" i="11" s="1"/>
  <c r="AV9" i="11" s="1"/>
  <c r="I7" i="11"/>
  <c r="D7" i="11"/>
  <c r="D8" i="11" s="1"/>
  <c r="D9" i="11" s="1"/>
  <c r="BA6" i="11"/>
  <c r="BA7" i="11" s="1"/>
  <c r="AV6" i="11"/>
  <c r="AM6" i="11"/>
  <c r="AM7" i="11" s="1"/>
  <c r="AM9" i="11" s="1"/>
  <c r="AH6" i="11"/>
  <c r="AH7" i="11" s="1"/>
  <c r="AH8" i="11" s="1"/>
  <c r="AH9" i="11" s="1"/>
  <c r="Y6" i="11"/>
  <c r="Y7" i="11" s="1"/>
  <c r="T6" i="11"/>
  <c r="T7" i="11" s="1"/>
  <c r="T8" i="11" s="1"/>
  <c r="T9" i="11" s="1"/>
  <c r="I6" i="11"/>
  <c r="D6" i="11"/>
  <c r="W564" i="10"/>
  <c r="W562" i="10"/>
  <c r="W563" i="10" s="1"/>
  <c r="I562" i="10"/>
  <c r="I563" i="10" s="1"/>
  <c r="I564" i="10" s="1"/>
  <c r="W559" i="10"/>
  <c r="W560" i="10" s="1"/>
  <c r="W558" i="10"/>
  <c r="I558" i="10"/>
  <c r="I559" i="10" s="1"/>
  <c r="I560" i="10" s="1"/>
  <c r="I555" i="10"/>
  <c r="I556" i="10" s="1"/>
  <c r="W554" i="10"/>
  <c r="W555" i="10" s="1"/>
  <c r="W556" i="10" s="1"/>
  <c r="I554" i="10"/>
  <c r="I552" i="10"/>
  <c r="W551" i="10"/>
  <c r="W552" i="10" s="1"/>
  <c r="W550" i="10"/>
  <c r="I550" i="10"/>
  <c r="I551" i="10" s="1"/>
  <c r="I548" i="10"/>
  <c r="I547" i="10"/>
  <c r="W546" i="10"/>
  <c r="W547" i="10" s="1"/>
  <c r="W548" i="10" s="1"/>
  <c r="I546" i="10"/>
  <c r="I543" i="10"/>
  <c r="I544" i="10" s="1"/>
  <c r="W542" i="10"/>
  <c r="W543" i="10" s="1"/>
  <c r="W544" i="10" s="1"/>
  <c r="I542" i="10"/>
  <c r="W540" i="10"/>
  <c r="W538" i="10"/>
  <c r="W539" i="10" s="1"/>
  <c r="I538" i="10"/>
  <c r="I539" i="10" s="1"/>
  <c r="I540" i="10" s="1"/>
  <c r="W535" i="10"/>
  <c r="W536" i="10" s="1"/>
  <c r="W534" i="10"/>
  <c r="I534" i="10"/>
  <c r="I535" i="10" s="1"/>
  <c r="I536" i="10" s="1"/>
  <c r="I531" i="10"/>
  <c r="I532" i="10" s="1"/>
  <c r="W530" i="10"/>
  <c r="W531" i="10" s="1"/>
  <c r="W532" i="10" s="1"/>
  <c r="I530" i="10"/>
  <c r="I528" i="10"/>
  <c r="W527" i="10"/>
  <c r="W528" i="10" s="1"/>
  <c r="W526" i="10"/>
  <c r="I526" i="10"/>
  <c r="I527" i="10" s="1"/>
  <c r="W524" i="10"/>
  <c r="I524" i="10"/>
  <c r="I523" i="10"/>
  <c r="W522" i="10"/>
  <c r="W523" i="10" s="1"/>
  <c r="I522" i="10"/>
  <c r="I519" i="10"/>
  <c r="I520" i="10" s="1"/>
  <c r="W518" i="10"/>
  <c r="W519" i="10" s="1"/>
  <c r="W520" i="10" s="1"/>
  <c r="I518" i="10"/>
  <c r="W516" i="10"/>
  <c r="W514" i="10"/>
  <c r="W515" i="10" s="1"/>
  <c r="I514" i="10"/>
  <c r="I515" i="10" s="1"/>
  <c r="I516" i="10" s="1"/>
  <c r="W511" i="10"/>
  <c r="W512" i="10" s="1"/>
  <c r="W510" i="10"/>
  <c r="I510" i="10"/>
  <c r="I511" i="10" s="1"/>
  <c r="I512" i="10" s="1"/>
  <c r="I507" i="10"/>
  <c r="I508" i="10" s="1"/>
  <c r="W506" i="10"/>
  <c r="W507" i="10" s="1"/>
  <c r="W508" i="10" s="1"/>
  <c r="I506" i="10"/>
  <c r="I504" i="10"/>
  <c r="W503" i="10"/>
  <c r="W504" i="10" s="1"/>
  <c r="W502" i="10"/>
  <c r="I502" i="10"/>
  <c r="I503" i="10" s="1"/>
  <c r="W500" i="10"/>
  <c r="I500" i="10"/>
  <c r="I499" i="10"/>
  <c r="W498" i="10"/>
  <c r="W499" i="10" s="1"/>
  <c r="I498" i="10"/>
  <c r="I495" i="10"/>
  <c r="I496" i="10" s="1"/>
  <c r="W494" i="10"/>
  <c r="W495" i="10" s="1"/>
  <c r="W496" i="10" s="1"/>
  <c r="I494" i="10"/>
  <c r="W492" i="10"/>
  <c r="W490" i="10"/>
  <c r="W491" i="10" s="1"/>
  <c r="I490" i="10"/>
  <c r="I491" i="10" s="1"/>
  <c r="I492" i="10" s="1"/>
  <c r="W487" i="10"/>
  <c r="W488" i="10" s="1"/>
  <c r="W486" i="10"/>
  <c r="I486" i="10"/>
  <c r="I487" i="10" s="1"/>
  <c r="I488" i="10" s="1"/>
  <c r="I483" i="10"/>
  <c r="I484" i="10" s="1"/>
  <c r="W482" i="10"/>
  <c r="W483" i="10" s="1"/>
  <c r="W484" i="10" s="1"/>
  <c r="I482" i="10"/>
  <c r="W479" i="10"/>
  <c r="W480" i="10" s="1"/>
  <c r="I479" i="10"/>
  <c r="I480" i="10" s="1"/>
  <c r="W478" i="10"/>
  <c r="I478" i="10"/>
  <c r="I475" i="10"/>
  <c r="I476" i="10" s="1"/>
  <c r="W474" i="10"/>
  <c r="W475" i="10" s="1"/>
  <c r="W476" i="10" s="1"/>
  <c r="I474" i="10"/>
  <c r="I471" i="10"/>
  <c r="I472" i="10" s="1"/>
  <c r="W470" i="10"/>
  <c r="W471" i="10" s="1"/>
  <c r="W472" i="10" s="1"/>
  <c r="I470" i="10"/>
  <c r="W467" i="10"/>
  <c r="W468" i="10" s="1"/>
  <c r="I467" i="10"/>
  <c r="I468" i="10" s="1"/>
  <c r="W466" i="10"/>
  <c r="I466" i="10"/>
  <c r="W463" i="10"/>
  <c r="W464" i="10" s="1"/>
  <c r="W462" i="10"/>
  <c r="I462" i="10"/>
  <c r="I463" i="10" s="1"/>
  <c r="I464" i="10" s="1"/>
  <c r="W459" i="10"/>
  <c r="W460" i="10" s="1"/>
  <c r="W458" i="10"/>
  <c r="I458" i="10"/>
  <c r="I459" i="10" s="1"/>
  <c r="I460" i="10" s="1"/>
  <c r="W455" i="10"/>
  <c r="W456" i="10" s="1"/>
  <c r="I455" i="10"/>
  <c r="I456" i="10" s="1"/>
  <c r="W454" i="10"/>
  <c r="I454" i="10"/>
  <c r="I452" i="10"/>
  <c r="I451" i="10"/>
  <c r="W450" i="10"/>
  <c r="W451" i="10" s="1"/>
  <c r="W452" i="10" s="1"/>
  <c r="I450" i="10"/>
  <c r="I447" i="10"/>
  <c r="I448" i="10" s="1"/>
  <c r="W446" i="10"/>
  <c r="W447" i="10" s="1"/>
  <c r="W448" i="10" s="1"/>
  <c r="I446" i="10"/>
  <c r="I443" i="10"/>
  <c r="I444" i="10" s="1"/>
  <c r="W442" i="10"/>
  <c r="W443" i="10" s="1"/>
  <c r="W444" i="10" s="1"/>
  <c r="I442" i="10"/>
  <c r="W439" i="10"/>
  <c r="W440" i="10" s="1"/>
  <c r="W438" i="10"/>
  <c r="I438" i="10"/>
  <c r="I439" i="10" s="1"/>
  <c r="I440" i="10" s="1"/>
  <c r="W435" i="10"/>
  <c r="W436" i="10" s="1"/>
  <c r="W434" i="10"/>
  <c r="I434" i="10"/>
  <c r="I435" i="10" s="1"/>
  <c r="I436" i="10" s="1"/>
  <c r="W431" i="10"/>
  <c r="W432" i="10" s="1"/>
  <c r="I431" i="10"/>
  <c r="I432" i="10" s="1"/>
  <c r="W430" i="10"/>
  <c r="I430" i="10"/>
  <c r="I427" i="10"/>
  <c r="I428" i="10" s="1"/>
  <c r="W426" i="10"/>
  <c r="W427" i="10" s="1"/>
  <c r="W428" i="10" s="1"/>
  <c r="I426" i="10"/>
  <c r="I423" i="10"/>
  <c r="I424" i="10" s="1"/>
  <c r="W422" i="10"/>
  <c r="W423" i="10" s="1"/>
  <c r="W424" i="10" s="1"/>
  <c r="I422" i="10"/>
  <c r="W419" i="10"/>
  <c r="W420" i="10" s="1"/>
  <c r="I419" i="10"/>
  <c r="I420" i="10" s="1"/>
  <c r="W418" i="10"/>
  <c r="I418" i="10"/>
  <c r="W416" i="10"/>
  <c r="W415" i="10"/>
  <c r="W414" i="10"/>
  <c r="I414" i="10"/>
  <c r="I415" i="10" s="1"/>
  <c r="I416" i="10" s="1"/>
  <c r="W411" i="10"/>
  <c r="W412" i="10" s="1"/>
  <c r="W410" i="10"/>
  <c r="I410" i="10"/>
  <c r="I411" i="10" s="1"/>
  <c r="I412" i="10" s="1"/>
  <c r="W407" i="10"/>
  <c r="W408" i="10" s="1"/>
  <c r="W406" i="10"/>
  <c r="I406" i="10"/>
  <c r="I407" i="10" s="1"/>
  <c r="I408" i="10" s="1"/>
  <c r="I403" i="10"/>
  <c r="I404" i="10" s="1"/>
  <c r="W402" i="10"/>
  <c r="W403" i="10" s="1"/>
  <c r="W404" i="10" s="1"/>
  <c r="I402" i="10"/>
  <c r="I399" i="10"/>
  <c r="I400" i="10" s="1"/>
  <c r="W398" i="10"/>
  <c r="W399" i="10" s="1"/>
  <c r="W400" i="10" s="1"/>
  <c r="I398" i="10"/>
  <c r="W396" i="10"/>
  <c r="W395" i="10"/>
  <c r="I395" i="10"/>
  <c r="I396" i="10" s="1"/>
  <c r="W394" i="10"/>
  <c r="I394" i="10"/>
  <c r="W391" i="10"/>
  <c r="W392" i="10" s="1"/>
  <c r="W390" i="10"/>
  <c r="I390" i="10"/>
  <c r="I391" i="10" s="1"/>
  <c r="I392" i="10" s="1"/>
  <c r="W387" i="10"/>
  <c r="W388" i="10" s="1"/>
  <c r="W386" i="10"/>
  <c r="I386" i="10"/>
  <c r="I387" i="10" s="1"/>
  <c r="I388" i="10" s="1"/>
  <c r="W383" i="10"/>
  <c r="W384" i="10" s="1"/>
  <c r="I383" i="10"/>
  <c r="I384" i="10" s="1"/>
  <c r="W382" i="10"/>
  <c r="I382" i="10"/>
  <c r="I380" i="10"/>
  <c r="I379" i="10"/>
  <c r="W378" i="10"/>
  <c r="W379" i="10" s="1"/>
  <c r="W380" i="10" s="1"/>
  <c r="I378" i="10"/>
  <c r="I375" i="10"/>
  <c r="I376" i="10" s="1"/>
  <c r="W374" i="10"/>
  <c r="W375" i="10" s="1"/>
  <c r="W376" i="10" s="1"/>
  <c r="I374" i="10"/>
  <c r="W372" i="10"/>
  <c r="I371" i="10"/>
  <c r="I372" i="10" s="1"/>
  <c r="W370" i="10"/>
  <c r="W371" i="10" s="1"/>
  <c r="I370" i="10"/>
  <c r="W368" i="10"/>
  <c r="W367" i="10"/>
  <c r="W366" i="10"/>
  <c r="I366" i="10"/>
  <c r="I367" i="10" s="1"/>
  <c r="I368" i="10" s="1"/>
  <c r="W363" i="10"/>
  <c r="W364" i="10" s="1"/>
  <c r="W362" i="10"/>
  <c r="I362" i="10"/>
  <c r="I363" i="10" s="1"/>
  <c r="I364" i="10" s="1"/>
  <c r="I360" i="10"/>
  <c r="W359" i="10"/>
  <c r="W360" i="10" s="1"/>
  <c r="W358" i="10"/>
  <c r="I358" i="10"/>
  <c r="I359" i="10" s="1"/>
  <c r="I356" i="10"/>
  <c r="I355" i="10"/>
  <c r="W354" i="10"/>
  <c r="W355" i="10" s="1"/>
  <c r="W356" i="10" s="1"/>
  <c r="I354" i="10"/>
  <c r="I351" i="10"/>
  <c r="I352" i="10" s="1"/>
  <c r="W350" i="10"/>
  <c r="W351" i="10" s="1"/>
  <c r="W352" i="10" s="1"/>
  <c r="I350" i="10"/>
  <c r="I347" i="10"/>
  <c r="I348" i="10" s="1"/>
  <c r="W346" i="10"/>
  <c r="W347" i="10" s="1"/>
  <c r="W348" i="10" s="1"/>
  <c r="I346" i="10"/>
  <c r="W343" i="10"/>
  <c r="W344" i="10" s="1"/>
  <c r="W342" i="10"/>
  <c r="I342" i="10"/>
  <c r="I343" i="10" s="1"/>
  <c r="I344" i="10" s="1"/>
  <c r="W339" i="10"/>
  <c r="W340" i="10" s="1"/>
  <c r="W338" i="10"/>
  <c r="I338" i="10"/>
  <c r="I339" i="10" s="1"/>
  <c r="I340" i="10" s="1"/>
  <c r="I336" i="10"/>
  <c r="W335" i="10"/>
  <c r="W336" i="10" s="1"/>
  <c r="W334" i="10"/>
  <c r="I334" i="10"/>
  <c r="I335" i="10" s="1"/>
  <c r="I332" i="10"/>
  <c r="I331" i="10"/>
  <c r="W330" i="10"/>
  <c r="W331" i="10" s="1"/>
  <c r="W332" i="10" s="1"/>
  <c r="I330" i="10"/>
  <c r="I327" i="10"/>
  <c r="I328" i="10" s="1"/>
  <c r="W326" i="10"/>
  <c r="W327" i="10" s="1"/>
  <c r="W328" i="10" s="1"/>
  <c r="I326" i="10"/>
  <c r="W323" i="10"/>
  <c r="W324" i="10" s="1"/>
  <c r="I323" i="10"/>
  <c r="I324" i="10" s="1"/>
  <c r="W322" i="10"/>
  <c r="I322" i="10"/>
  <c r="W319" i="10"/>
  <c r="W320" i="10" s="1"/>
  <c r="W318" i="10"/>
  <c r="I318" i="10"/>
  <c r="I319" i="10" s="1"/>
  <c r="I320" i="10" s="1"/>
  <c r="W315" i="10"/>
  <c r="W316" i="10" s="1"/>
  <c r="W314" i="10"/>
  <c r="I314" i="10"/>
  <c r="I315" i="10" s="1"/>
  <c r="I316" i="10" s="1"/>
  <c r="I312" i="10"/>
  <c r="W311" i="10"/>
  <c r="W312" i="10" s="1"/>
  <c r="W310" i="10"/>
  <c r="I310" i="10"/>
  <c r="I311" i="10" s="1"/>
  <c r="I307" i="10"/>
  <c r="I308" i="10" s="1"/>
  <c r="W306" i="10"/>
  <c r="W307" i="10" s="1"/>
  <c r="W308" i="10" s="1"/>
  <c r="I306" i="10"/>
  <c r="W304" i="10"/>
  <c r="I303" i="10"/>
  <c r="I304" i="10" s="1"/>
  <c r="W302" i="10"/>
  <c r="W303" i="10" s="1"/>
  <c r="I302" i="10"/>
  <c r="I299" i="10"/>
  <c r="I300" i="10" s="1"/>
  <c r="W298" i="10"/>
  <c r="W299" i="10" s="1"/>
  <c r="W300" i="10" s="1"/>
  <c r="I298" i="10"/>
  <c r="W294" i="10"/>
  <c r="W295" i="10" s="1"/>
  <c r="W296" i="10" s="1"/>
  <c r="I294" i="10"/>
  <c r="I295" i="10" s="1"/>
  <c r="I296" i="10" s="1"/>
  <c r="W292" i="10"/>
  <c r="W291" i="10"/>
  <c r="W290" i="10"/>
  <c r="I290" i="10"/>
  <c r="I291" i="10" s="1"/>
  <c r="I292" i="10" s="1"/>
  <c r="W287" i="10"/>
  <c r="W288" i="10" s="1"/>
  <c r="I287" i="10"/>
  <c r="I288" i="10" s="1"/>
  <c r="W286" i="10"/>
  <c r="I286" i="10"/>
  <c r="I284" i="10"/>
  <c r="I283" i="10"/>
  <c r="W282" i="10"/>
  <c r="W283" i="10" s="1"/>
  <c r="W284" i="10" s="1"/>
  <c r="I282" i="10"/>
  <c r="W280" i="10"/>
  <c r="I279" i="10"/>
  <c r="I280" i="10" s="1"/>
  <c r="W278" i="10"/>
  <c r="W279" i="10" s="1"/>
  <c r="I278" i="10"/>
  <c r="I275" i="10"/>
  <c r="I276" i="10" s="1"/>
  <c r="W274" i="10"/>
  <c r="W275" i="10" s="1"/>
  <c r="W276" i="10" s="1"/>
  <c r="I274" i="10"/>
  <c r="W271" i="10"/>
  <c r="W272" i="10" s="1"/>
  <c r="W270" i="10"/>
  <c r="I270" i="10"/>
  <c r="I271" i="10" s="1"/>
  <c r="I272" i="10" s="1"/>
  <c r="W268" i="10"/>
  <c r="W267" i="10"/>
  <c r="W266" i="10"/>
  <c r="I266" i="10"/>
  <c r="I267" i="10" s="1"/>
  <c r="I268" i="10" s="1"/>
  <c r="W263" i="10"/>
  <c r="W264" i="10" s="1"/>
  <c r="I263" i="10"/>
  <c r="I264" i="10" s="1"/>
  <c r="W262" i="10"/>
  <c r="I262" i="10"/>
  <c r="I259" i="10"/>
  <c r="I260" i="10" s="1"/>
  <c r="W258" i="10"/>
  <c r="W259" i="10" s="1"/>
  <c r="W260" i="10" s="1"/>
  <c r="I258" i="10"/>
  <c r="W256" i="10"/>
  <c r="I255" i="10"/>
  <c r="I256" i="10" s="1"/>
  <c r="W254" i="10"/>
  <c r="W255" i="10" s="1"/>
  <c r="I254" i="10"/>
  <c r="I251" i="10"/>
  <c r="I252" i="10" s="1"/>
  <c r="W250" i="10"/>
  <c r="W251" i="10" s="1"/>
  <c r="W252" i="10" s="1"/>
  <c r="I250" i="10"/>
  <c r="W246" i="10"/>
  <c r="W247" i="10" s="1"/>
  <c r="W248" i="10" s="1"/>
  <c r="I246" i="10"/>
  <c r="I247" i="10" s="1"/>
  <c r="I248" i="10" s="1"/>
  <c r="W243" i="10"/>
  <c r="W244" i="10" s="1"/>
  <c r="W242" i="10"/>
  <c r="I242" i="10"/>
  <c r="I243" i="10" s="1"/>
  <c r="I244" i="10" s="1"/>
  <c r="W239" i="10"/>
  <c r="W240" i="10" s="1"/>
  <c r="I239" i="10"/>
  <c r="I240" i="10" s="1"/>
  <c r="W238" i="10"/>
  <c r="I238" i="10"/>
  <c r="I235" i="10"/>
  <c r="I236" i="10" s="1"/>
  <c r="W234" i="10"/>
  <c r="W235" i="10" s="1"/>
  <c r="W236" i="10" s="1"/>
  <c r="I234" i="10"/>
  <c r="I232" i="10"/>
  <c r="I231" i="10"/>
  <c r="W230" i="10"/>
  <c r="W231" i="10" s="1"/>
  <c r="W232" i="10" s="1"/>
  <c r="I230" i="10"/>
  <c r="I227" i="10"/>
  <c r="I228" i="10" s="1"/>
  <c r="W226" i="10"/>
  <c r="W227" i="10" s="1"/>
  <c r="W228" i="10" s="1"/>
  <c r="I226" i="10"/>
  <c r="W222" i="10"/>
  <c r="W223" i="10" s="1"/>
  <c r="W224" i="10" s="1"/>
  <c r="I222" i="10"/>
  <c r="I223" i="10" s="1"/>
  <c r="I224" i="10" s="1"/>
  <c r="W219" i="10"/>
  <c r="W220" i="10" s="1"/>
  <c r="W218" i="10"/>
  <c r="I218" i="10"/>
  <c r="I219" i="10" s="1"/>
  <c r="I220" i="10" s="1"/>
  <c r="W215" i="10"/>
  <c r="W216" i="10" s="1"/>
  <c r="I215" i="10"/>
  <c r="I216" i="10" s="1"/>
  <c r="W214" i="10"/>
  <c r="I214" i="10"/>
  <c r="I211" i="10"/>
  <c r="I212" i="10" s="1"/>
  <c r="W210" i="10"/>
  <c r="W211" i="10" s="1"/>
  <c r="W212" i="10" s="1"/>
  <c r="I210" i="10"/>
  <c r="I208" i="10"/>
  <c r="I207" i="10"/>
  <c r="W206" i="10"/>
  <c r="W207" i="10" s="1"/>
  <c r="W208" i="10" s="1"/>
  <c r="I206" i="10"/>
  <c r="I203" i="10"/>
  <c r="I204" i="10" s="1"/>
  <c r="W202" i="10"/>
  <c r="W203" i="10" s="1"/>
  <c r="W204" i="10" s="1"/>
  <c r="I202" i="10"/>
  <c r="W199" i="10"/>
  <c r="W200" i="10" s="1"/>
  <c r="W198" i="10"/>
  <c r="I198" i="10"/>
  <c r="I199" i="10" s="1"/>
  <c r="I200" i="10" s="1"/>
  <c r="W195" i="10"/>
  <c r="W196" i="10" s="1"/>
  <c r="W194" i="10"/>
  <c r="I194" i="10"/>
  <c r="I195" i="10" s="1"/>
  <c r="I196" i="10" s="1"/>
  <c r="W191" i="10"/>
  <c r="W192" i="10" s="1"/>
  <c r="W190" i="10"/>
  <c r="I190" i="10"/>
  <c r="I191" i="10" s="1"/>
  <c r="I192" i="10" s="1"/>
  <c r="I187" i="10"/>
  <c r="I188" i="10" s="1"/>
  <c r="W186" i="10"/>
  <c r="W187" i="10" s="1"/>
  <c r="W188" i="10" s="1"/>
  <c r="I186" i="10"/>
  <c r="W184" i="10"/>
  <c r="I183" i="10"/>
  <c r="I184" i="10" s="1"/>
  <c r="W182" i="10"/>
  <c r="W183" i="10" s="1"/>
  <c r="I182" i="10"/>
  <c r="I179" i="10"/>
  <c r="I180" i="10" s="1"/>
  <c r="W178" i="10"/>
  <c r="W179" i="10" s="1"/>
  <c r="W180" i="10" s="1"/>
  <c r="I178" i="10"/>
  <c r="W175" i="10"/>
  <c r="W176" i="10" s="1"/>
  <c r="W174" i="10"/>
  <c r="I174" i="10"/>
  <c r="I175" i="10" s="1"/>
  <c r="I176" i="10" s="1"/>
  <c r="W171" i="10"/>
  <c r="W172" i="10" s="1"/>
  <c r="W170" i="10"/>
  <c r="I170" i="10"/>
  <c r="I171" i="10" s="1"/>
  <c r="I172" i="10" s="1"/>
  <c r="W167" i="10"/>
  <c r="W168" i="10" s="1"/>
  <c r="W166" i="10"/>
  <c r="I166" i="10"/>
  <c r="I167" i="10" s="1"/>
  <c r="I168" i="10" s="1"/>
  <c r="I163" i="10"/>
  <c r="I164" i="10" s="1"/>
  <c r="W162" i="10"/>
  <c r="W163" i="10" s="1"/>
  <c r="W164" i="10" s="1"/>
  <c r="I162" i="10"/>
  <c r="I160" i="10"/>
  <c r="I159" i="10"/>
  <c r="W158" i="10"/>
  <c r="W159" i="10" s="1"/>
  <c r="W160" i="10" s="1"/>
  <c r="I158" i="10"/>
  <c r="I155" i="10"/>
  <c r="I156" i="10" s="1"/>
  <c r="W154" i="10"/>
  <c r="W155" i="10" s="1"/>
  <c r="W156" i="10" s="1"/>
  <c r="I154" i="10"/>
  <c r="W150" i="10"/>
  <c r="W151" i="10" s="1"/>
  <c r="W152" i="10" s="1"/>
  <c r="I150" i="10"/>
  <c r="I151" i="10" s="1"/>
  <c r="I152" i="10" s="1"/>
  <c r="W147" i="10"/>
  <c r="W148" i="10" s="1"/>
  <c r="W146" i="10"/>
  <c r="I146" i="10"/>
  <c r="I147" i="10" s="1"/>
  <c r="I148" i="10" s="1"/>
  <c r="W143" i="10"/>
  <c r="W144" i="10" s="1"/>
  <c r="I143" i="10"/>
  <c r="I144" i="10" s="1"/>
  <c r="W142" i="10"/>
  <c r="I142" i="10"/>
  <c r="I139" i="10"/>
  <c r="I140" i="10" s="1"/>
  <c r="W138" i="10"/>
  <c r="W139" i="10" s="1"/>
  <c r="W140" i="10" s="1"/>
  <c r="I138" i="10"/>
  <c r="I136" i="10"/>
  <c r="I135" i="10"/>
  <c r="W134" i="10"/>
  <c r="W135" i="10" s="1"/>
  <c r="W136" i="10" s="1"/>
  <c r="I134" i="10"/>
  <c r="I131" i="10"/>
  <c r="I132" i="10" s="1"/>
  <c r="W130" i="10"/>
  <c r="W131" i="10" s="1"/>
  <c r="W132" i="10" s="1"/>
  <c r="I130" i="10"/>
  <c r="W127" i="10"/>
  <c r="W128" i="10" s="1"/>
  <c r="W126" i="10"/>
  <c r="I126" i="10"/>
  <c r="I127" i="10" s="1"/>
  <c r="I128" i="10" s="1"/>
  <c r="W123" i="10"/>
  <c r="W124" i="10" s="1"/>
  <c r="W122" i="10"/>
  <c r="I122" i="10"/>
  <c r="I123" i="10" s="1"/>
  <c r="I124" i="10" s="1"/>
  <c r="W119" i="10"/>
  <c r="W120" i="10" s="1"/>
  <c r="I119" i="10"/>
  <c r="I120" i="10" s="1"/>
  <c r="W118" i="10"/>
  <c r="I118" i="10"/>
  <c r="I115" i="10"/>
  <c r="I116" i="10" s="1"/>
  <c r="W114" i="10"/>
  <c r="W115" i="10" s="1"/>
  <c r="W116" i="10" s="1"/>
  <c r="I114" i="10"/>
  <c r="I112" i="10"/>
  <c r="I111" i="10"/>
  <c r="W110" i="10"/>
  <c r="W111" i="10" s="1"/>
  <c r="W112" i="10" s="1"/>
  <c r="I110" i="10"/>
  <c r="I107" i="10"/>
  <c r="I108" i="10" s="1"/>
  <c r="W106" i="10"/>
  <c r="W107" i="10" s="1"/>
  <c r="W108" i="10" s="1"/>
  <c r="I106" i="10"/>
  <c r="W103" i="10"/>
  <c r="W104" i="10" s="1"/>
  <c r="W102" i="10"/>
  <c r="I102" i="10"/>
  <c r="I103" i="10" s="1"/>
  <c r="I104" i="10" s="1"/>
  <c r="W99" i="10"/>
  <c r="W100" i="10" s="1"/>
  <c r="W98" i="10"/>
  <c r="I98" i="10"/>
  <c r="I99" i="10" s="1"/>
  <c r="I100" i="10" s="1"/>
  <c r="W95" i="10"/>
  <c r="W96" i="10" s="1"/>
  <c r="W94" i="10"/>
  <c r="I94" i="10"/>
  <c r="I95" i="10" s="1"/>
  <c r="I96" i="10" s="1"/>
  <c r="I91" i="10"/>
  <c r="I92" i="10" s="1"/>
  <c r="W90" i="10"/>
  <c r="W91" i="10" s="1"/>
  <c r="W92" i="10" s="1"/>
  <c r="I90" i="10"/>
  <c r="I87" i="10"/>
  <c r="I88" i="10" s="1"/>
  <c r="W86" i="10"/>
  <c r="W87" i="10" s="1"/>
  <c r="W88" i="10" s="1"/>
  <c r="I86" i="10"/>
  <c r="I83" i="10"/>
  <c r="I84" i="10" s="1"/>
  <c r="W82" i="10"/>
  <c r="W83" i="10" s="1"/>
  <c r="W84" i="10" s="1"/>
  <c r="I82" i="10"/>
  <c r="W79" i="10"/>
  <c r="W80" i="10" s="1"/>
  <c r="W78" i="10"/>
  <c r="I78" i="10"/>
  <c r="I79" i="10" s="1"/>
  <c r="I80" i="10" s="1"/>
  <c r="W75" i="10"/>
  <c r="W76" i="10" s="1"/>
  <c r="W74" i="10"/>
  <c r="I74" i="10"/>
  <c r="I75" i="10" s="1"/>
  <c r="I76" i="10" s="1"/>
  <c r="W71" i="10"/>
  <c r="W72" i="10" s="1"/>
  <c r="I71" i="10"/>
  <c r="I72" i="10" s="1"/>
  <c r="W70" i="10"/>
  <c r="I70" i="10"/>
  <c r="I67" i="10"/>
  <c r="I68" i="10" s="1"/>
  <c r="W66" i="10"/>
  <c r="W67" i="10" s="1"/>
  <c r="W68" i="10" s="1"/>
  <c r="I66" i="10"/>
  <c r="W64" i="10"/>
  <c r="I63" i="10"/>
  <c r="I64" i="10" s="1"/>
  <c r="W62" i="10"/>
  <c r="W63" i="10" s="1"/>
  <c r="I62" i="10"/>
  <c r="I59" i="10"/>
  <c r="I60" i="10" s="1"/>
  <c r="W58" i="10"/>
  <c r="W59" i="10" s="1"/>
  <c r="W60" i="10" s="1"/>
  <c r="I58" i="10"/>
  <c r="W54" i="10"/>
  <c r="W55" i="10" s="1"/>
  <c r="W56" i="10" s="1"/>
  <c r="I54" i="10"/>
  <c r="I55" i="10" s="1"/>
  <c r="I56" i="10" s="1"/>
  <c r="W51" i="10"/>
  <c r="W52" i="10" s="1"/>
  <c r="W50" i="10"/>
  <c r="I50" i="10"/>
  <c r="I51" i="10" s="1"/>
  <c r="I52" i="10" s="1"/>
  <c r="W47" i="10"/>
  <c r="W48" i="10" s="1"/>
  <c r="I47" i="10"/>
  <c r="I48" i="10" s="1"/>
  <c r="W46" i="10"/>
  <c r="I46" i="10"/>
  <c r="I43" i="10"/>
  <c r="I44" i="10" s="1"/>
  <c r="W42" i="10"/>
  <c r="W43" i="10" s="1"/>
  <c r="W44" i="10" s="1"/>
  <c r="I42" i="10"/>
  <c r="W40" i="10"/>
  <c r="I40" i="10"/>
  <c r="I39" i="10"/>
  <c r="W38" i="10"/>
  <c r="W39" i="10" s="1"/>
  <c r="I38" i="10"/>
  <c r="I35" i="10"/>
  <c r="I36" i="10" s="1"/>
  <c r="W34" i="10"/>
  <c r="W35" i="10" s="1"/>
  <c r="W36" i="10" s="1"/>
  <c r="I34" i="10"/>
  <c r="W31" i="10"/>
  <c r="W32" i="10" s="1"/>
  <c r="W30" i="10"/>
  <c r="I30" i="10"/>
  <c r="I31" i="10" s="1"/>
  <c r="I32" i="10" s="1"/>
  <c r="I28" i="10"/>
  <c r="W27" i="10"/>
  <c r="W28" i="10" s="1"/>
  <c r="W26" i="10"/>
  <c r="I26" i="10"/>
  <c r="I27" i="10" s="1"/>
  <c r="W23" i="10"/>
  <c r="W24" i="10" s="1"/>
  <c r="I23" i="10"/>
  <c r="I24" i="10" s="1"/>
  <c r="W22" i="10"/>
  <c r="I22" i="10"/>
  <c r="I19" i="10"/>
  <c r="I20" i="10" s="1"/>
  <c r="W18" i="10"/>
  <c r="W19" i="10" s="1"/>
  <c r="W20" i="10" s="1"/>
  <c r="I18" i="10"/>
  <c r="I15" i="10"/>
  <c r="I16" i="10" s="1"/>
  <c r="W14" i="10"/>
  <c r="W15" i="10" s="1"/>
  <c r="W16" i="10" s="1"/>
  <c r="I14" i="10"/>
  <c r="W12" i="10"/>
  <c r="I11" i="10"/>
  <c r="I12" i="10" s="1"/>
  <c r="A11" i="10"/>
  <c r="A12" i="10" s="1"/>
  <c r="W10" i="10"/>
  <c r="W11" i="10" s="1"/>
  <c r="I10" i="10"/>
  <c r="A10" i="10"/>
  <c r="A9" i="10"/>
  <c r="A13" i="10" s="1"/>
  <c r="A8" i="10"/>
  <c r="W6" i="10"/>
  <c r="W7" i="10" s="1"/>
  <c r="W8" i="10" s="1"/>
  <c r="I6" i="10"/>
  <c r="I7" i="10" s="1"/>
  <c r="I8" i="10" s="1"/>
  <c r="A6" i="10"/>
  <c r="A7" i="10" s="1"/>
  <c r="V5" i="10"/>
  <c r="I9" i="8" a="1"/>
  <c r="I9" i="8" s="1"/>
  <c r="I7" i="8" a="1"/>
  <c r="I7" i="8" s="1"/>
  <c r="H21" i="8"/>
  <c r="I21" i="8" s="1" a="1"/>
  <c r="I21" i="8" s="1"/>
  <c r="H17" i="8"/>
  <c r="I17" i="8" s="1" a="1"/>
  <c r="I17" i="8" s="1"/>
  <c r="H13" i="8"/>
  <c r="I13" i="8" s="1" a="1"/>
  <c r="I13" i="8" s="1"/>
  <c r="H9" i="8"/>
  <c r="H8" i="8"/>
  <c r="I8" i="8" s="1" a="1"/>
  <c r="I8" i="8" s="1"/>
  <c r="H7" i="8"/>
  <c r="H6" i="8"/>
  <c r="I6" i="8" s="1" a="1"/>
  <c r="I6" i="8" s="1"/>
  <c r="H1" i="8" a="1"/>
  <c r="H1" i="8"/>
  <c r="B1" i="8" a="1"/>
  <c r="C137" i="8" s="1"/>
  <c r="D137" i="8" s="1" a="1"/>
  <c r="D137" i="8" s="1"/>
  <c r="C4" i="8" l="1"/>
  <c r="D4" i="8" s="1" a="1"/>
  <c r="D4" i="8" s="1"/>
  <c r="C16" i="8"/>
  <c r="D16" i="8" s="1" a="1"/>
  <c r="D16" i="8" s="1"/>
  <c r="C30" i="8"/>
  <c r="D30" i="8" s="1" a="1"/>
  <c r="D30" i="8" s="1"/>
  <c r="B43" i="8"/>
  <c r="C57" i="8"/>
  <c r="D57" i="8" s="1" a="1"/>
  <c r="D57" i="8" s="1"/>
  <c r="C70" i="8"/>
  <c r="D70" i="8" s="1" a="1"/>
  <c r="D70" i="8" s="1"/>
  <c r="B85" i="8"/>
  <c r="B98" i="8"/>
  <c r="C112" i="8"/>
  <c r="D112" i="8" s="1" a="1"/>
  <c r="D112" i="8" s="1"/>
  <c r="C126" i="8"/>
  <c r="D126" i="8" s="1" a="1"/>
  <c r="D126" i="8" s="1"/>
  <c r="B139" i="8"/>
  <c r="B7" i="8"/>
  <c r="C18" i="8"/>
  <c r="D18" i="8" s="1" a="1"/>
  <c r="D18" i="8" s="1"/>
  <c r="C32" i="8"/>
  <c r="D32" i="8" s="1" a="1"/>
  <c r="D32" i="8" s="1"/>
  <c r="B46" i="8"/>
  <c r="C58" i="8"/>
  <c r="D58" i="8" s="1" a="1"/>
  <c r="D58" i="8" s="1"/>
  <c r="C73" i="8"/>
  <c r="D73" i="8" s="1" a="1"/>
  <c r="D73" i="8" s="1"/>
  <c r="C86" i="8"/>
  <c r="D86" i="8" s="1" a="1"/>
  <c r="D86" i="8" s="1"/>
  <c r="C100" i="8"/>
  <c r="D100" i="8" s="1" a="1"/>
  <c r="D100" i="8" s="1"/>
  <c r="C114" i="8"/>
  <c r="D114" i="8" s="1" a="1"/>
  <c r="D114" i="8" s="1"/>
  <c r="C128" i="8"/>
  <c r="D128" i="8" s="1" a="1"/>
  <c r="D128" i="8" s="1"/>
  <c r="B10" i="8"/>
  <c r="C22" i="8"/>
  <c r="D22" i="8" s="1" a="1"/>
  <c r="D22" i="8" s="1"/>
  <c r="B37" i="8"/>
  <c r="B50" i="8"/>
  <c r="C64" i="8"/>
  <c r="D64" i="8" s="1" a="1"/>
  <c r="D64" i="8" s="1"/>
  <c r="C78" i="8"/>
  <c r="D78" i="8" s="1" a="1"/>
  <c r="D78" i="8" s="1"/>
  <c r="B91" i="8"/>
  <c r="C105" i="8"/>
  <c r="D105" i="8" s="1" a="1"/>
  <c r="D105" i="8" s="1"/>
  <c r="C118" i="8"/>
  <c r="D118" i="8" s="1" a="1"/>
  <c r="D118" i="8" s="1"/>
  <c r="B133" i="8"/>
  <c r="B1" i="8"/>
  <c r="C10" i="8"/>
  <c r="D10" i="8" s="1" a="1"/>
  <c r="D10" i="8" s="1"/>
  <c r="B25" i="8"/>
  <c r="B38" i="8"/>
  <c r="C50" i="8"/>
  <c r="D50" i="8" s="1" a="1"/>
  <c r="D50" i="8" s="1"/>
  <c r="C65" i="8"/>
  <c r="D65" i="8" s="1" a="1"/>
  <c r="D65" i="8" s="1"/>
  <c r="B79" i="8"/>
  <c r="C92" i="8"/>
  <c r="D92" i="8" s="1" a="1"/>
  <c r="D92" i="8" s="1"/>
  <c r="B106" i="8"/>
  <c r="B121" i="8"/>
  <c r="B134" i="8"/>
  <c r="C1" i="8"/>
  <c r="B14" i="8"/>
  <c r="B26" i="8"/>
  <c r="C40" i="8"/>
  <c r="D40" i="8" s="1" a="1"/>
  <c r="D40" i="8" s="1"/>
  <c r="C54" i="8"/>
  <c r="D54" i="8" s="1" a="1"/>
  <c r="D54" i="8" s="1"/>
  <c r="B67" i="8"/>
  <c r="C81" i="8"/>
  <c r="D81" i="8" s="1" a="1"/>
  <c r="D81" i="8" s="1"/>
  <c r="C94" i="8"/>
  <c r="D94" i="8" s="1" a="1"/>
  <c r="D94" i="8" s="1"/>
  <c r="B109" i="8"/>
  <c r="B122" i="8"/>
  <c r="C136" i="8"/>
  <c r="D136" i="8" s="1" a="1"/>
  <c r="D136" i="8" s="1"/>
  <c r="B2" i="8"/>
  <c r="C14" i="8"/>
  <c r="D14" i="8" s="1" a="1"/>
  <c r="D14" i="8" s="1"/>
  <c r="C26" i="8"/>
  <c r="D26" i="8" s="1" a="1"/>
  <c r="D26" i="8" s="1"/>
  <c r="C41" i="8"/>
  <c r="D41" i="8" s="1" a="1"/>
  <c r="D41" i="8" s="1"/>
  <c r="B55" i="8"/>
  <c r="C68" i="8"/>
  <c r="D68" i="8" s="1" a="1"/>
  <c r="D68" i="8" s="1"/>
  <c r="B82" i="8"/>
  <c r="B97" i="8"/>
  <c r="B110" i="8"/>
  <c r="C122" i="8"/>
  <c r="D122" i="8" s="1" a="1"/>
  <c r="D122" i="8" s="1"/>
  <c r="B138" i="8"/>
  <c r="B132" i="8"/>
  <c r="B126" i="8"/>
  <c r="B120" i="8"/>
  <c r="B114" i="8"/>
  <c r="B108" i="8"/>
  <c r="B102" i="8"/>
  <c r="B96" i="8"/>
  <c r="B90" i="8"/>
  <c r="B84" i="8"/>
  <c r="B78" i="8"/>
  <c r="B72" i="8"/>
  <c r="B66" i="8"/>
  <c r="B60" i="8"/>
  <c r="B54" i="8"/>
  <c r="B48" i="8"/>
  <c r="B42" i="8"/>
  <c r="B36" i="8"/>
  <c r="B30" i="8"/>
  <c r="B24" i="8"/>
  <c r="B18" i="8"/>
  <c r="B12" i="8"/>
  <c r="B6" i="8"/>
  <c r="B137" i="8"/>
  <c r="B131" i="8"/>
  <c r="B125" i="8"/>
  <c r="B119" i="8"/>
  <c r="B113" i="8"/>
  <c r="B107" i="8"/>
  <c r="B101" i="8"/>
  <c r="B95" i="8"/>
  <c r="B89" i="8"/>
  <c r="B83" i="8"/>
  <c r="B77" i="8"/>
  <c r="B71" i="8"/>
  <c r="B65" i="8"/>
  <c r="B59" i="8"/>
  <c r="B53" i="8"/>
  <c r="B47" i="8"/>
  <c r="B41" i="8"/>
  <c r="B35" i="8"/>
  <c r="B29" i="8"/>
  <c r="B23" i="8"/>
  <c r="B17" i="8"/>
  <c r="B11" i="8"/>
  <c r="B5" i="8"/>
  <c r="B141" i="8"/>
  <c r="B135" i="8"/>
  <c r="B129" i="8"/>
  <c r="B123" i="8"/>
  <c r="B117" i="8"/>
  <c r="B111" i="8"/>
  <c r="B105" i="8"/>
  <c r="B99" i="8"/>
  <c r="B93" i="8"/>
  <c r="B87" i="8"/>
  <c r="B81" i="8"/>
  <c r="B75" i="8"/>
  <c r="B69" i="8"/>
  <c r="B63" i="8"/>
  <c r="B57" i="8"/>
  <c r="B51" i="8"/>
  <c r="B45" i="8"/>
  <c r="B39" i="8"/>
  <c r="B33" i="8"/>
  <c r="B27" i="8"/>
  <c r="B21" i="8"/>
  <c r="B15" i="8"/>
  <c r="B9" i="8"/>
  <c r="B3" i="8"/>
  <c r="C141" i="8"/>
  <c r="D141" i="8" s="1" a="1"/>
  <c r="D141" i="8" s="1"/>
  <c r="C133" i="8"/>
  <c r="D133" i="8" s="1" a="1"/>
  <c r="D133" i="8" s="1"/>
  <c r="C125" i="8"/>
  <c r="D125" i="8" s="1" a="1"/>
  <c r="D125" i="8" s="1"/>
  <c r="C117" i="8"/>
  <c r="D117" i="8" s="1" a="1"/>
  <c r="D117" i="8" s="1"/>
  <c r="C109" i="8"/>
  <c r="D109" i="8" s="1" a="1"/>
  <c r="D109" i="8" s="1"/>
  <c r="C101" i="8"/>
  <c r="D101" i="8" s="1" a="1"/>
  <c r="D101" i="8" s="1"/>
  <c r="C93" i="8"/>
  <c r="D93" i="8" s="1" a="1"/>
  <c r="D93" i="8" s="1"/>
  <c r="C85" i="8"/>
  <c r="D85" i="8" s="1" a="1"/>
  <c r="D85" i="8" s="1"/>
  <c r="C77" i="8"/>
  <c r="D77" i="8" s="1" a="1"/>
  <c r="D77" i="8" s="1"/>
  <c r="C69" i="8"/>
  <c r="D69" i="8" s="1" a="1"/>
  <c r="D69" i="8" s="1"/>
  <c r="C61" i="8"/>
  <c r="D61" i="8" s="1" a="1"/>
  <c r="D61" i="8" s="1"/>
  <c r="C53" i="8"/>
  <c r="D53" i="8" s="1" a="1"/>
  <c r="D53" i="8" s="1"/>
  <c r="C45" i="8"/>
  <c r="D45" i="8" s="1" a="1"/>
  <c r="D45" i="8" s="1"/>
  <c r="C37" i="8"/>
  <c r="D37" i="8" s="1" a="1"/>
  <c r="D37" i="8" s="1"/>
  <c r="C29" i="8"/>
  <c r="D29" i="8" s="1" a="1"/>
  <c r="D29" i="8" s="1"/>
  <c r="C21" i="8"/>
  <c r="D21" i="8" s="1" a="1"/>
  <c r="D21" i="8" s="1"/>
  <c r="C13" i="8"/>
  <c r="D13" i="8" s="1" a="1"/>
  <c r="D13" i="8" s="1"/>
  <c r="C5" i="8"/>
  <c r="D5" i="8" s="1" a="1"/>
  <c r="D5" i="8" s="1"/>
  <c r="B140" i="8"/>
  <c r="C132" i="8"/>
  <c r="D132" i="8" s="1" a="1"/>
  <c r="D132" i="8" s="1"/>
  <c r="B124" i="8"/>
  <c r="B116" i="8"/>
  <c r="C108" i="8"/>
  <c r="D108" i="8" s="1" a="1"/>
  <c r="D108" i="8" s="1"/>
  <c r="B100" i="8"/>
  <c r="B92" i="8"/>
  <c r="C84" i="8"/>
  <c r="D84" i="8" s="1" a="1"/>
  <c r="D84" i="8" s="1"/>
  <c r="B76" i="8"/>
  <c r="B68" i="8"/>
  <c r="C60" i="8"/>
  <c r="D60" i="8" s="1" a="1"/>
  <c r="D60" i="8" s="1"/>
  <c r="B52" i="8"/>
  <c r="B44" i="8"/>
  <c r="C36" i="8"/>
  <c r="D36" i="8" s="1" a="1"/>
  <c r="D36" i="8" s="1"/>
  <c r="B28" i="8"/>
  <c r="B20" i="8"/>
  <c r="C12" i="8"/>
  <c r="D12" i="8" s="1" a="1"/>
  <c r="D12" i="8" s="1"/>
  <c r="B4" i="8"/>
  <c r="C139" i="8"/>
  <c r="D139" i="8" s="1" a="1"/>
  <c r="D139" i="8" s="1"/>
  <c r="C131" i="8"/>
  <c r="D131" i="8" s="1" a="1"/>
  <c r="D131" i="8" s="1"/>
  <c r="C123" i="8"/>
  <c r="D123" i="8" s="1" a="1"/>
  <c r="D123" i="8" s="1"/>
  <c r="C115" i="8"/>
  <c r="D115" i="8" s="1" a="1"/>
  <c r="D115" i="8" s="1"/>
  <c r="C107" i="8"/>
  <c r="D107" i="8" s="1" a="1"/>
  <c r="D107" i="8" s="1"/>
  <c r="C99" i="8"/>
  <c r="D99" i="8" s="1" a="1"/>
  <c r="D99" i="8" s="1"/>
  <c r="C91" i="8"/>
  <c r="D91" i="8" s="1" a="1"/>
  <c r="D91" i="8" s="1"/>
  <c r="C83" i="8"/>
  <c r="D83" i="8" s="1" a="1"/>
  <c r="D83" i="8" s="1"/>
  <c r="C75" i="8"/>
  <c r="D75" i="8" s="1" a="1"/>
  <c r="D75" i="8" s="1"/>
  <c r="C67" i="8"/>
  <c r="D67" i="8" s="1" a="1"/>
  <c r="D67" i="8" s="1"/>
  <c r="C59" i="8"/>
  <c r="D59" i="8" s="1" a="1"/>
  <c r="D59" i="8" s="1"/>
  <c r="C51" i="8"/>
  <c r="D51" i="8" s="1" a="1"/>
  <c r="D51" i="8" s="1"/>
  <c r="C43" i="8"/>
  <c r="D43" i="8" s="1" a="1"/>
  <c r="D43" i="8" s="1"/>
  <c r="C35" i="8"/>
  <c r="D35" i="8" s="1" a="1"/>
  <c r="D35" i="8" s="1"/>
  <c r="C27" i="8"/>
  <c r="D27" i="8" s="1" a="1"/>
  <c r="D27" i="8" s="1"/>
  <c r="C19" i="8"/>
  <c r="D19" i="8" s="1" a="1"/>
  <c r="D19" i="8" s="1"/>
  <c r="C11" i="8"/>
  <c r="D11" i="8" s="1" a="1"/>
  <c r="D11" i="8" s="1"/>
  <c r="C3" i="8"/>
  <c r="D3" i="8" s="1" a="1"/>
  <c r="D3" i="8" s="1"/>
  <c r="B136" i="8"/>
  <c r="B128" i="8"/>
  <c r="C120" i="8"/>
  <c r="D120" i="8" s="1" a="1"/>
  <c r="D120" i="8" s="1"/>
  <c r="B112" i="8"/>
  <c r="B104" i="8"/>
  <c r="C96" i="8"/>
  <c r="D96" i="8" s="1" a="1"/>
  <c r="D96" i="8" s="1"/>
  <c r="B88" i="8"/>
  <c r="B80" i="8"/>
  <c r="C72" i="8"/>
  <c r="D72" i="8" s="1" a="1"/>
  <c r="D72" i="8" s="1"/>
  <c r="B64" i="8"/>
  <c r="B56" i="8"/>
  <c r="C48" i="8"/>
  <c r="D48" i="8" s="1" a="1"/>
  <c r="D48" i="8" s="1"/>
  <c r="B40" i="8"/>
  <c r="B32" i="8"/>
  <c r="C24" i="8"/>
  <c r="D24" i="8" s="1" a="1"/>
  <c r="D24" i="8" s="1"/>
  <c r="C135" i="8"/>
  <c r="D135" i="8" s="1" a="1"/>
  <c r="D135" i="8" s="1"/>
  <c r="C127" i="8"/>
  <c r="D127" i="8" s="1" a="1"/>
  <c r="D127" i="8" s="1"/>
  <c r="C119" i="8"/>
  <c r="D119" i="8" s="1" a="1"/>
  <c r="D119" i="8" s="1"/>
  <c r="C111" i="8"/>
  <c r="D111" i="8" s="1" a="1"/>
  <c r="D111" i="8" s="1"/>
  <c r="C103" i="8"/>
  <c r="D103" i="8" s="1" a="1"/>
  <c r="D103" i="8" s="1"/>
  <c r="C95" i="8"/>
  <c r="D95" i="8" s="1" a="1"/>
  <c r="D95" i="8" s="1"/>
  <c r="C87" i="8"/>
  <c r="D87" i="8" s="1" a="1"/>
  <c r="D87" i="8" s="1"/>
  <c r="C79" i="8"/>
  <c r="D79" i="8" s="1" a="1"/>
  <c r="D79" i="8" s="1"/>
  <c r="C71" i="8"/>
  <c r="D71" i="8" s="1" a="1"/>
  <c r="D71" i="8" s="1"/>
  <c r="C63" i="8"/>
  <c r="D63" i="8" s="1" a="1"/>
  <c r="D63" i="8" s="1"/>
  <c r="C55" i="8"/>
  <c r="D55" i="8" s="1" a="1"/>
  <c r="D55" i="8" s="1"/>
  <c r="C47" i="8"/>
  <c r="D47" i="8" s="1" a="1"/>
  <c r="D47" i="8" s="1"/>
  <c r="C39" i="8"/>
  <c r="D39" i="8" s="1" a="1"/>
  <c r="D39" i="8" s="1"/>
  <c r="C31" i="8"/>
  <c r="D31" i="8" s="1" a="1"/>
  <c r="D31" i="8" s="1"/>
  <c r="C23" i="8"/>
  <c r="D23" i="8" s="1" a="1"/>
  <c r="D23" i="8" s="1"/>
  <c r="C15" i="8"/>
  <c r="D15" i="8" s="1" a="1"/>
  <c r="D15" i="8" s="1"/>
  <c r="C7" i="8"/>
  <c r="D7" i="8" s="1" a="1"/>
  <c r="D7" i="8" s="1"/>
  <c r="B13" i="8"/>
  <c r="C25" i="8"/>
  <c r="D25" i="8" s="1" a="1"/>
  <c r="D25" i="8" s="1"/>
  <c r="C38" i="8"/>
  <c r="D38" i="8" s="1" a="1"/>
  <c r="D38" i="8" s="1"/>
  <c r="C52" i="8"/>
  <c r="D52" i="8" s="1" a="1"/>
  <c r="D52" i="8" s="1"/>
  <c r="C66" i="8"/>
  <c r="D66" i="8" s="1" a="1"/>
  <c r="D66" i="8" s="1"/>
  <c r="C80" i="8"/>
  <c r="D80" i="8" s="1" a="1"/>
  <c r="D80" i="8" s="1"/>
  <c r="B94" i="8"/>
  <c r="C106" i="8"/>
  <c r="D106" i="8" s="1" a="1"/>
  <c r="D106" i="8" s="1"/>
  <c r="C121" i="8"/>
  <c r="D121" i="8" s="1" a="1"/>
  <c r="D121" i="8" s="1"/>
  <c r="C134" i="8"/>
  <c r="D134" i="8" s="1" a="1"/>
  <c r="D134" i="8" s="1"/>
  <c r="C2" i="8"/>
  <c r="D2" i="8" s="1" a="1"/>
  <c r="D2" i="8" s="1"/>
  <c r="B16" i="8"/>
  <c r="C28" i="8"/>
  <c r="D28" i="8" s="1" a="1"/>
  <c r="D28" i="8" s="1"/>
  <c r="C42" i="8"/>
  <c r="D42" i="8" s="1" a="1"/>
  <c r="D42" i="8" s="1"/>
  <c r="C56" i="8"/>
  <c r="D56" i="8" s="1" a="1"/>
  <c r="D56" i="8" s="1"/>
  <c r="B70" i="8"/>
  <c r="C82" i="8"/>
  <c r="D82" i="8" s="1" a="1"/>
  <c r="D82" i="8" s="1"/>
  <c r="C97" i="8"/>
  <c r="D97" i="8" s="1" a="1"/>
  <c r="D97" i="8" s="1"/>
  <c r="C110" i="8"/>
  <c r="D110" i="8" s="1" a="1"/>
  <c r="D110" i="8" s="1"/>
  <c r="C124" i="8"/>
  <c r="D124" i="8" s="1" a="1"/>
  <c r="D124" i="8" s="1"/>
  <c r="C138" i="8"/>
  <c r="D138" i="8" s="1" a="1"/>
  <c r="D138" i="8" s="1"/>
  <c r="C6" i="8"/>
  <c r="D6" i="8" s="1" a="1"/>
  <c r="D6" i="8" s="1"/>
  <c r="C17" i="8"/>
  <c r="D17" i="8" s="1" a="1"/>
  <c r="D17" i="8" s="1"/>
  <c r="B31" i="8"/>
  <c r="C44" i="8"/>
  <c r="D44" i="8" s="1" a="1"/>
  <c r="D44" i="8" s="1"/>
  <c r="B58" i="8"/>
  <c r="B73" i="8"/>
  <c r="B86" i="8"/>
  <c r="C98" i="8"/>
  <c r="D98" i="8" s="1" a="1"/>
  <c r="D98" i="8" s="1"/>
  <c r="C113" i="8"/>
  <c r="D113" i="8" s="1" a="1"/>
  <c r="D113" i="8" s="1"/>
  <c r="B127" i="8"/>
  <c r="C140" i="8"/>
  <c r="D140" i="8" s="1" a="1"/>
  <c r="D140" i="8" s="1"/>
  <c r="B8" i="8"/>
  <c r="B19" i="8"/>
  <c r="C33" i="8"/>
  <c r="D33" i="8" s="1" a="1"/>
  <c r="D33" i="8" s="1"/>
  <c r="C46" i="8"/>
  <c r="D46" i="8" s="1" a="1"/>
  <c r="D46" i="8" s="1"/>
  <c r="B61" i="8"/>
  <c r="B74" i="8"/>
  <c r="C88" i="8"/>
  <c r="D88" i="8" s="1" a="1"/>
  <c r="D88" i="8" s="1"/>
  <c r="C102" i="8"/>
  <c r="D102" i="8" s="1" a="1"/>
  <c r="D102" i="8" s="1"/>
  <c r="B115" i="8"/>
  <c r="C129" i="8"/>
  <c r="D129" i="8" s="1" a="1"/>
  <c r="D129" i="8" s="1"/>
  <c r="C8" i="8"/>
  <c r="D8" i="8" s="1" a="1"/>
  <c r="D8" i="8" s="1"/>
  <c r="C20" i="8"/>
  <c r="D20" i="8" s="1" a="1"/>
  <c r="D20" i="8" s="1"/>
  <c r="B34" i="8"/>
  <c r="B49" i="8"/>
  <c r="B62" i="8"/>
  <c r="C74" i="8"/>
  <c r="D74" i="8" s="1" a="1"/>
  <c r="D74" i="8" s="1"/>
  <c r="C89" i="8"/>
  <c r="D89" i="8" s="1" a="1"/>
  <c r="D89" i="8" s="1"/>
  <c r="B103" i="8"/>
  <c r="C116" i="8"/>
  <c r="D116" i="8" s="1" a="1"/>
  <c r="D116" i="8" s="1"/>
  <c r="B130" i="8"/>
  <c r="C9" i="8"/>
  <c r="D9" i="8" s="1" a="1"/>
  <c r="D9" i="8" s="1"/>
  <c r="B22" i="8"/>
  <c r="C34" i="8"/>
  <c r="D34" i="8" s="1" a="1"/>
  <c r="D34" i="8" s="1"/>
  <c r="C49" i="8"/>
  <c r="D49" i="8" s="1" a="1"/>
  <c r="D49" i="8" s="1"/>
  <c r="C62" i="8"/>
  <c r="D62" i="8" s="1" a="1"/>
  <c r="D62" i="8" s="1"/>
  <c r="C76" i="8"/>
  <c r="D76" i="8" s="1" a="1"/>
  <c r="D76" i="8" s="1"/>
  <c r="C90" i="8"/>
  <c r="D90" i="8" s="1" a="1"/>
  <c r="D90" i="8" s="1"/>
  <c r="C104" i="8"/>
  <c r="D104" i="8" s="1" a="1"/>
  <c r="D104" i="8" s="1"/>
  <c r="B118" i="8"/>
  <c r="C130" i="8"/>
  <c r="D130" i="8" s="1" a="1"/>
  <c r="D130" i="8" s="1"/>
  <c r="H16" i="8"/>
  <c r="I16" i="8" s="1" a="1"/>
  <c r="I16" i="8" s="1"/>
  <c r="H4" i="8"/>
  <c r="I4" i="8" s="1" a="1"/>
  <c r="I4" i="8" s="1"/>
  <c r="H14" i="8"/>
  <c r="I14" i="8" s="1" a="1"/>
  <c r="I14" i="8" s="1"/>
  <c r="H2" i="8"/>
  <c r="H10" i="8"/>
  <c r="I10" i="8" s="1" a="1"/>
  <c r="I10" i="8" s="1"/>
  <c r="H18" i="8"/>
  <c r="I18" i="8" s="1" a="1"/>
  <c r="I18" i="8" s="1"/>
  <c r="H3" i="8"/>
  <c r="I3" i="8" s="1" a="1"/>
  <c r="I3" i="8" s="1"/>
  <c r="H19" i="8"/>
  <c r="I19" i="8" s="1" a="1"/>
  <c r="I19" i="8" s="1"/>
  <c r="H5" i="8"/>
  <c r="I5" i="8" s="1" a="1"/>
  <c r="I5" i="8" s="1"/>
  <c r="H20" i="8"/>
  <c r="I20" i="8" s="1" a="1"/>
  <c r="I20" i="8" s="1"/>
  <c r="A17" i="10"/>
  <c r="A14" i="10"/>
  <c r="A15" i="10" s="1"/>
  <c r="A16" i="10" s="1"/>
  <c r="AM33" i="11"/>
  <c r="AM34" i="11"/>
  <c r="H11" i="8"/>
  <c r="I11" i="8" s="1" a="1"/>
  <c r="I11" i="8" s="1"/>
  <c r="H12" i="8"/>
  <c r="I12" i="8" s="1" a="1"/>
  <c r="I12" i="8" s="1"/>
  <c r="AM134" i="11"/>
  <c r="AM133" i="11"/>
  <c r="H15" i="8"/>
  <c r="I15" i="8" s="1" a="1"/>
  <c r="I15" i="8" s="1"/>
  <c r="Y8" i="11"/>
  <c r="Y9" i="11"/>
  <c r="A20" i="11"/>
  <c r="I88" i="11"/>
  <c r="I89" i="11"/>
  <c r="Y58" i="11"/>
  <c r="Y59" i="11"/>
  <c r="Y18" i="11"/>
  <c r="Y19" i="11"/>
  <c r="Y28" i="11"/>
  <c r="Y29" i="11"/>
  <c r="AM514" i="11"/>
  <c r="AM513" i="11"/>
  <c r="I8" i="11"/>
  <c r="I9" i="11"/>
  <c r="Y13" i="11"/>
  <c r="Y14" i="11"/>
  <c r="Y73" i="11"/>
  <c r="Y74" i="11"/>
  <c r="I174" i="11"/>
  <c r="I173" i="11"/>
  <c r="AM8" i="11"/>
  <c r="I19" i="11"/>
  <c r="I18" i="11"/>
  <c r="AM49" i="11"/>
  <c r="AM64" i="11"/>
  <c r="AM63" i="11"/>
  <c r="I34" i="11"/>
  <c r="BA53" i="11"/>
  <c r="BA54" i="11"/>
  <c r="I74" i="11"/>
  <c r="I73" i="11"/>
  <c r="AM198" i="11"/>
  <c r="AM199" i="11"/>
  <c r="I38" i="11"/>
  <c r="I39" i="11"/>
  <c r="I198" i="11"/>
  <c r="I199" i="11"/>
  <c r="AM18" i="11"/>
  <c r="AM19" i="11"/>
  <c r="BA33" i="11"/>
  <c r="BA34" i="11"/>
  <c r="Y109" i="11"/>
  <c r="Y108" i="11"/>
  <c r="I94" i="11"/>
  <c r="AM39" i="11"/>
  <c r="AM38" i="11"/>
  <c r="Y39" i="11"/>
  <c r="I44" i="11"/>
  <c r="I43" i="11"/>
  <c r="AM69" i="11"/>
  <c r="AM68" i="11"/>
  <c r="Y184" i="11"/>
  <c r="BA64" i="11"/>
  <c r="BA63" i="11"/>
  <c r="I78" i="11"/>
  <c r="I79" i="11"/>
  <c r="AM113" i="11"/>
  <c r="AM114" i="11"/>
  <c r="BA8" i="11"/>
  <c r="BA9" i="11"/>
  <c r="Y49" i="11"/>
  <c r="Y48" i="11"/>
  <c r="Y53" i="11"/>
  <c r="Y54" i="11"/>
  <c r="I14" i="11"/>
  <c r="I13" i="11"/>
  <c r="BA113" i="11"/>
  <c r="BA114" i="11"/>
  <c r="AM143" i="11"/>
  <c r="AM144" i="11"/>
  <c r="I28" i="11"/>
  <c r="BA84" i="11"/>
  <c r="BA83" i="11"/>
  <c r="AM118" i="11"/>
  <c r="AM119" i="11"/>
  <c r="BA134" i="11"/>
  <c r="BA133" i="11"/>
  <c r="AM23" i="11"/>
  <c r="AM59" i="11"/>
  <c r="AM58" i="11"/>
  <c r="I64" i="11"/>
  <c r="I63" i="11"/>
  <c r="Y118" i="11"/>
  <c r="Y119" i="11"/>
  <c r="BA124" i="11"/>
  <c r="BA123" i="11"/>
  <c r="AM148" i="11"/>
  <c r="AM149" i="11"/>
  <c r="I69" i="11"/>
  <c r="I68" i="11"/>
  <c r="BA184" i="11"/>
  <c r="BA183" i="11"/>
  <c r="AM84" i="11"/>
  <c r="BA94" i="11"/>
  <c r="BA93" i="11"/>
  <c r="I109" i="11"/>
  <c r="I108" i="11"/>
  <c r="AM169" i="11"/>
  <c r="AM168" i="11"/>
  <c r="I184" i="11"/>
  <c r="I183" i="11"/>
  <c r="AM29" i="11"/>
  <c r="BA39" i="11"/>
  <c r="BA38" i="11"/>
  <c r="Y44" i="11"/>
  <c r="Y43" i="11"/>
  <c r="BA143" i="11"/>
  <c r="BA144" i="11"/>
  <c r="Y374" i="11"/>
  <c r="Y373" i="11"/>
  <c r="Y23" i="11"/>
  <c r="BA23" i="11"/>
  <c r="Y33" i="11"/>
  <c r="Y68" i="11"/>
  <c r="Y69" i="11"/>
  <c r="BA154" i="11"/>
  <c r="BA153" i="11"/>
  <c r="AM159" i="11"/>
  <c r="AM158" i="11"/>
  <c r="AM189" i="11"/>
  <c r="AM188" i="11"/>
  <c r="I98" i="11"/>
  <c r="BA129" i="11"/>
  <c r="Y134" i="11"/>
  <c r="I139" i="11"/>
  <c r="I138" i="11"/>
  <c r="I149" i="11"/>
  <c r="AM218" i="11"/>
  <c r="AM219" i="11"/>
  <c r="BA174" i="11"/>
  <c r="BA244" i="11"/>
  <c r="BA243" i="11"/>
  <c r="Y149" i="11"/>
  <c r="AM184" i="11"/>
  <c r="AM183" i="11"/>
  <c r="AM279" i="11"/>
  <c r="AM278" i="11"/>
  <c r="AM139" i="11"/>
  <c r="AM138" i="11"/>
  <c r="AM163" i="11"/>
  <c r="I193" i="11"/>
  <c r="BA103" i="11"/>
  <c r="Y203" i="11"/>
  <c r="Y204" i="11"/>
  <c r="AM233" i="11"/>
  <c r="AM234" i="11"/>
  <c r="AM109" i="11"/>
  <c r="AM108" i="11"/>
  <c r="I154" i="11"/>
  <c r="Y168" i="11"/>
  <c r="BA223" i="11"/>
  <c r="BA224" i="11"/>
  <c r="I113" i="11"/>
  <c r="Y154" i="11"/>
  <c r="Y153" i="11"/>
  <c r="BA163" i="11"/>
  <c r="I169" i="11"/>
  <c r="I168" i="11"/>
  <c r="BA73" i="11"/>
  <c r="AM78" i="11"/>
  <c r="Y89" i="11"/>
  <c r="Y88" i="11"/>
  <c r="I124" i="11"/>
  <c r="BA159" i="11"/>
  <c r="Y189" i="11"/>
  <c r="Y188" i="11"/>
  <c r="Y124" i="11"/>
  <c r="Y123" i="11"/>
  <c r="AM174" i="11"/>
  <c r="AM173" i="11"/>
  <c r="I259" i="11"/>
  <c r="I258" i="11"/>
  <c r="Y273" i="11"/>
  <c r="Y274" i="11"/>
  <c r="I289" i="11"/>
  <c r="I288" i="11"/>
  <c r="I324" i="11"/>
  <c r="I323" i="11"/>
  <c r="Y378" i="11"/>
  <c r="Y379" i="11"/>
  <c r="I208" i="11"/>
  <c r="I209" i="11"/>
  <c r="I219" i="11"/>
  <c r="I218" i="11"/>
  <c r="Y233" i="11"/>
  <c r="Y234" i="11"/>
  <c r="I303" i="11"/>
  <c r="I304" i="11"/>
  <c r="I328" i="11"/>
  <c r="I329" i="11"/>
  <c r="AM124" i="11"/>
  <c r="AM154" i="11"/>
  <c r="AM194" i="11"/>
  <c r="AM224" i="11"/>
  <c r="Y228" i="11"/>
  <c r="Y229" i="11"/>
  <c r="BA294" i="11"/>
  <c r="BA293" i="11"/>
  <c r="I319" i="11"/>
  <c r="I318" i="11"/>
  <c r="BA203" i="11"/>
  <c r="BA204" i="11"/>
  <c r="AM208" i="11"/>
  <c r="AM209" i="11"/>
  <c r="AM239" i="11"/>
  <c r="AM238" i="11"/>
  <c r="Y259" i="11"/>
  <c r="Y258" i="11"/>
  <c r="Y178" i="11"/>
  <c r="Y199" i="11"/>
  <c r="I254" i="11"/>
  <c r="I253" i="11"/>
  <c r="AM319" i="11"/>
  <c r="AM318" i="11"/>
  <c r="Y213" i="11"/>
  <c r="Y214" i="11"/>
  <c r="Y249" i="11"/>
  <c r="I268" i="11"/>
  <c r="I269" i="11"/>
  <c r="AM293" i="11"/>
  <c r="AM294" i="11"/>
  <c r="Y243" i="11"/>
  <c r="Y244" i="11"/>
  <c r="I249" i="11"/>
  <c r="I248" i="11"/>
  <c r="BA254" i="11"/>
  <c r="BA253" i="11"/>
  <c r="AM263" i="11"/>
  <c r="AM264" i="11"/>
  <c r="AM359" i="11"/>
  <c r="AM358" i="11"/>
  <c r="BA193" i="11"/>
  <c r="BA194" i="11"/>
  <c r="I233" i="11"/>
  <c r="I234" i="11"/>
  <c r="Y278" i="11"/>
  <c r="Y279" i="11"/>
  <c r="Y113" i="11"/>
  <c r="BA119" i="11"/>
  <c r="BA118" i="11"/>
  <c r="Y143" i="11"/>
  <c r="BA149" i="11"/>
  <c r="BA148" i="11"/>
  <c r="Y269" i="11"/>
  <c r="Y268" i="11"/>
  <c r="Y299" i="11"/>
  <c r="Y298" i="11"/>
  <c r="Y319" i="11"/>
  <c r="Y318" i="11"/>
  <c r="BA268" i="11"/>
  <c r="BA269" i="11"/>
  <c r="I298" i="11"/>
  <c r="I299" i="11"/>
  <c r="BA334" i="11"/>
  <c r="BA333" i="11"/>
  <c r="Y338" i="11"/>
  <c r="Y339" i="11"/>
  <c r="I229" i="11"/>
  <c r="BA233" i="11"/>
  <c r="BA303" i="11"/>
  <c r="BA304" i="11"/>
  <c r="I419" i="11"/>
  <c r="I418" i="11"/>
  <c r="BA188" i="11"/>
  <c r="I274" i="11"/>
  <c r="I273" i="11"/>
  <c r="BA283" i="11"/>
  <c r="BA284" i="11"/>
  <c r="AM298" i="11"/>
  <c r="AM299" i="11"/>
  <c r="I313" i="11"/>
  <c r="AM348" i="11"/>
  <c r="AM349" i="11"/>
  <c r="BA353" i="11"/>
  <c r="BA354" i="11"/>
  <c r="AM249" i="11"/>
  <c r="AM289" i="11"/>
  <c r="AM288" i="11"/>
  <c r="I363" i="11"/>
  <c r="I364" i="11"/>
  <c r="AM543" i="11"/>
  <c r="AM544" i="11"/>
  <c r="AM369" i="11"/>
  <c r="AM368" i="11"/>
  <c r="I374" i="11"/>
  <c r="I528" i="11"/>
  <c r="I529" i="11"/>
  <c r="BA213" i="11"/>
  <c r="Y304" i="11"/>
  <c r="AM323" i="11"/>
  <c r="AM324" i="11"/>
  <c r="BA324" i="11"/>
  <c r="BA323" i="11"/>
  <c r="Y329" i="11"/>
  <c r="BA503" i="11"/>
  <c r="BA504" i="11"/>
  <c r="Y254" i="11"/>
  <c r="Y253" i="11"/>
  <c r="AM328" i="11"/>
  <c r="AM329" i="11"/>
  <c r="I353" i="11"/>
  <c r="I354" i="11"/>
  <c r="Y388" i="11"/>
  <c r="Y389" i="11"/>
  <c r="Y193" i="11"/>
  <c r="I264" i="11"/>
  <c r="I263" i="11"/>
  <c r="BA264" i="11"/>
  <c r="Y308" i="11"/>
  <c r="Y309" i="11"/>
  <c r="Y433" i="11"/>
  <c r="Y434" i="11"/>
  <c r="Y368" i="11"/>
  <c r="Y369" i="11"/>
  <c r="I403" i="11"/>
  <c r="I404" i="11"/>
  <c r="I343" i="11"/>
  <c r="AM393" i="11"/>
  <c r="AM394" i="11"/>
  <c r="Y414" i="11"/>
  <c r="Y413" i="11"/>
  <c r="Y263" i="11"/>
  <c r="BA309" i="11"/>
  <c r="I394" i="11"/>
  <c r="I393" i="11"/>
  <c r="AM428" i="11"/>
  <c r="AM429" i="11"/>
  <c r="BA374" i="11"/>
  <c r="BA473" i="11"/>
  <c r="Y284" i="11"/>
  <c r="I334" i="11"/>
  <c r="Y353" i="11"/>
  <c r="Y354" i="11"/>
  <c r="BA383" i="11"/>
  <c r="BA384" i="11"/>
  <c r="I424" i="11"/>
  <c r="I423" i="11"/>
  <c r="I458" i="11"/>
  <c r="I459" i="11"/>
  <c r="BA489" i="11"/>
  <c r="BA488" i="11"/>
  <c r="I293" i="11"/>
  <c r="AM339" i="11"/>
  <c r="AM338" i="11"/>
  <c r="BA364" i="11"/>
  <c r="BA363" i="11"/>
  <c r="I398" i="11"/>
  <c r="I399" i="11"/>
  <c r="AM273" i="11"/>
  <c r="I368" i="11"/>
  <c r="I369" i="11"/>
  <c r="BA408" i="11"/>
  <c r="BA409" i="11"/>
  <c r="BA444" i="11"/>
  <c r="BA443" i="11"/>
  <c r="Y463" i="11"/>
  <c r="Y464" i="11"/>
  <c r="BA343" i="11"/>
  <c r="BA344" i="11"/>
  <c r="AM364" i="11"/>
  <c r="BA378" i="11"/>
  <c r="BA379" i="11"/>
  <c r="I479" i="11"/>
  <c r="I478" i="11"/>
  <c r="Y344" i="11"/>
  <c r="Y343" i="11"/>
  <c r="BA403" i="11"/>
  <c r="BA404" i="11"/>
  <c r="AM483" i="11"/>
  <c r="AM484" i="11"/>
  <c r="BA524" i="11"/>
  <c r="BA523" i="11"/>
  <c r="BA349" i="11"/>
  <c r="I378" i="11"/>
  <c r="BA393" i="11"/>
  <c r="AM438" i="11"/>
  <c r="AM439" i="11"/>
  <c r="BA339" i="11"/>
  <c r="BA338" i="11"/>
  <c r="AM353" i="11"/>
  <c r="Y393" i="11"/>
  <c r="Y404" i="11"/>
  <c r="Y403" i="11"/>
  <c r="AM453" i="11"/>
  <c r="AM454" i="11"/>
  <c r="BA454" i="11"/>
  <c r="BA453" i="11"/>
  <c r="Y474" i="11"/>
  <c r="I428" i="11"/>
  <c r="I429" i="11"/>
  <c r="Y459" i="11"/>
  <c r="Y458" i="11"/>
  <c r="BA463" i="11"/>
  <c r="BA464" i="11"/>
  <c r="AM479" i="11"/>
  <c r="AM478" i="11"/>
  <c r="Y484" i="11"/>
  <c r="Y483" i="11"/>
  <c r="Y494" i="11"/>
  <c r="Y493" i="11"/>
  <c r="BA399" i="11"/>
  <c r="BA398" i="11"/>
  <c r="Y408" i="11"/>
  <c r="Y409" i="11"/>
  <c r="I449" i="11"/>
  <c r="I448" i="11"/>
  <c r="AM474" i="11"/>
  <c r="AM473" i="11"/>
  <c r="AM389" i="11"/>
  <c r="AM388" i="11"/>
  <c r="AM423" i="11"/>
  <c r="AM424" i="11"/>
  <c r="BA424" i="11"/>
  <c r="BA423" i="11"/>
  <c r="Y444" i="11"/>
  <c r="BA369" i="11"/>
  <c r="BA368" i="11"/>
  <c r="Y429" i="11"/>
  <c r="Y428" i="11"/>
  <c r="BA433" i="11"/>
  <c r="BA434" i="11"/>
  <c r="AM468" i="11"/>
  <c r="AM469" i="11"/>
  <c r="I553" i="11"/>
  <c r="I554" i="11"/>
  <c r="Y559" i="11"/>
  <c r="Y558" i="11"/>
  <c r="AM578" i="11"/>
  <c r="AM579" i="11"/>
  <c r="BA388" i="11"/>
  <c r="AM444" i="11"/>
  <c r="AM443" i="11"/>
  <c r="AM449" i="11"/>
  <c r="AM448" i="11"/>
  <c r="I454" i="11"/>
  <c r="I453" i="11"/>
  <c r="AM458" i="11"/>
  <c r="AM459" i="11"/>
  <c r="I498" i="11"/>
  <c r="I499" i="11"/>
  <c r="BA533" i="11"/>
  <c r="BA534" i="11"/>
  <c r="AM539" i="11"/>
  <c r="AM538" i="11"/>
  <c r="I598" i="11"/>
  <c r="I599" i="11"/>
  <c r="I669" i="11"/>
  <c r="I668" i="11"/>
  <c r="AM509" i="11"/>
  <c r="AM508" i="11"/>
  <c r="AM588" i="11"/>
  <c r="AM589" i="11"/>
  <c r="AM604" i="11"/>
  <c r="AM603" i="11"/>
  <c r="Y523" i="11"/>
  <c r="AM554" i="11"/>
  <c r="Y584" i="11"/>
  <c r="Y583" i="11"/>
  <c r="Y439" i="11"/>
  <c r="Y469" i="11"/>
  <c r="Y498" i="11"/>
  <c r="Y499" i="11"/>
  <c r="I488" i="11"/>
  <c r="I489" i="11"/>
  <c r="AM489" i="11"/>
  <c r="I494" i="11"/>
  <c r="BA614" i="11"/>
  <c r="BA613" i="11"/>
  <c r="I413" i="11"/>
  <c r="AM418" i="11"/>
  <c r="I434" i="11"/>
  <c r="I464" i="11"/>
  <c r="BA493" i="11"/>
  <c r="BA494" i="11"/>
  <c r="I533" i="11"/>
  <c r="I534" i="11"/>
  <c r="Y509" i="11"/>
  <c r="Y508" i="11"/>
  <c r="AM529" i="11"/>
  <c r="I539" i="11"/>
  <c r="Y579" i="11"/>
  <c r="Y578" i="11"/>
  <c r="Y629" i="11"/>
  <c r="Y628" i="11"/>
  <c r="I484" i="11"/>
  <c r="I483" i="11"/>
  <c r="Y519" i="11"/>
  <c r="Y518" i="11"/>
  <c r="Y618" i="11"/>
  <c r="BA518" i="11"/>
  <c r="I523" i="11"/>
  <c r="I524" i="11"/>
  <c r="Y544" i="11"/>
  <c r="Y543" i="11"/>
  <c r="I548" i="11"/>
  <c r="I549" i="11"/>
  <c r="I578" i="11"/>
  <c r="I579" i="11"/>
  <c r="BA608" i="11"/>
  <c r="BA609" i="11"/>
  <c r="AM649" i="11"/>
  <c r="AM648" i="11"/>
  <c r="I513" i="11"/>
  <c r="AM524" i="11"/>
  <c r="AM523" i="11"/>
  <c r="I649" i="11"/>
  <c r="I648" i="11"/>
  <c r="BA513" i="11"/>
  <c r="BA569" i="11"/>
  <c r="BA568" i="11"/>
  <c r="BA588" i="11"/>
  <c r="BA589" i="11"/>
  <c r="I603" i="11"/>
  <c r="I604" i="11"/>
  <c r="AM623" i="11"/>
  <c r="AM624" i="11"/>
  <c r="AM634" i="11"/>
  <c r="AM633" i="11"/>
  <c r="BA529" i="11"/>
  <c r="BA544" i="11"/>
  <c r="BA543" i="11"/>
  <c r="AM563" i="11"/>
  <c r="Y534" i="11"/>
  <c r="AM548" i="11"/>
  <c r="AM549" i="11"/>
  <c r="Y593" i="11"/>
  <c r="Y594" i="11"/>
  <c r="BA548" i="11"/>
  <c r="BA579" i="11"/>
  <c r="BA578" i="11"/>
  <c r="AM653" i="11"/>
  <c r="AM654" i="11"/>
  <c r="Y669" i="11"/>
  <c r="Y668" i="11"/>
  <c r="AM679" i="11"/>
  <c r="AM678" i="11"/>
  <c r="I698" i="11"/>
  <c r="I699" i="11"/>
  <c r="Y608" i="11"/>
  <c r="Y609" i="11"/>
  <c r="BA689" i="11"/>
  <c r="BA688" i="11"/>
  <c r="BA664" i="11"/>
  <c r="BA663" i="11"/>
  <c r="Y684" i="11"/>
  <c r="Y683" i="11"/>
  <c r="Y604" i="11"/>
  <c r="Y603" i="11"/>
  <c r="I644" i="11"/>
  <c r="I643" i="11"/>
  <c r="Y648" i="11"/>
  <c r="Y649" i="11"/>
  <c r="AM664" i="11"/>
  <c r="AM663" i="11"/>
  <c r="I613" i="11"/>
  <c r="I614" i="11"/>
  <c r="Y614" i="11"/>
  <c r="BA673" i="11"/>
  <c r="BA674" i="11"/>
  <c r="Y678" i="11"/>
  <c r="Y679" i="11"/>
  <c r="AM689" i="11"/>
  <c r="AM688" i="11"/>
  <c r="I654" i="11"/>
  <c r="I653" i="11"/>
  <c r="I684" i="11"/>
  <c r="I683" i="11"/>
  <c r="I694" i="11"/>
  <c r="I693" i="11"/>
  <c r="I638" i="11"/>
  <c r="I639" i="11"/>
  <c r="BA648" i="11"/>
  <c r="AM673" i="11"/>
  <c r="AM674" i="11"/>
  <c r="Y553" i="11"/>
  <c r="I624" i="11"/>
  <c r="I623" i="11"/>
  <c r="Y639" i="11"/>
  <c r="Y638" i="11"/>
  <c r="I608" i="11"/>
  <c r="AM613" i="11"/>
  <c r="BA619" i="11"/>
  <c r="BA618" i="11"/>
  <c r="I629" i="11"/>
  <c r="BA654" i="11"/>
  <c r="BA653" i="11"/>
  <c r="BA679" i="11"/>
  <c r="BA678" i="11"/>
  <c r="BA629" i="11"/>
  <c r="BA628" i="11"/>
  <c r="BA659" i="11"/>
  <c r="BA658" i="11"/>
  <c r="Y664" i="11"/>
  <c r="Y663" i="11"/>
  <c r="BA639" i="11"/>
  <c r="I658" i="11"/>
  <c r="I689" i="11"/>
  <c r="I688" i="11"/>
  <c r="AM694" i="11"/>
  <c r="AM693" i="11"/>
  <c r="AM659" i="11"/>
  <c r="Y634" i="11"/>
  <c r="Y633" i="11"/>
  <c r="I664" i="11"/>
  <c r="Y689" i="11"/>
  <c r="Y688" i="11"/>
  <c r="AM699" i="11"/>
  <c r="I634" i="11"/>
  <c r="AM668" i="11"/>
  <c r="Y699" i="11"/>
  <c r="A35" i="12"/>
  <c r="A25" i="11" l="1"/>
  <c r="G19" i="8"/>
  <c r="G11" i="8"/>
  <c r="G3" i="8"/>
  <c r="G13" i="8"/>
  <c r="G21" i="8"/>
  <c r="G5" i="8"/>
  <c r="I2" i="8" a="1"/>
  <c r="I2" i="8" s="1"/>
  <c r="G17" i="8"/>
  <c r="G9" i="8"/>
  <c r="G14" i="8"/>
  <c r="G6" i="8"/>
  <c r="G10" i="8"/>
  <c r="G16" i="8"/>
  <c r="G4" i="8"/>
  <c r="G15" i="8"/>
  <c r="G8" i="8"/>
  <c r="G2" i="8"/>
  <c r="G20" i="8"/>
  <c r="G7" i="8"/>
  <c r="G12" i="8"/>
  <c r="G18" i="8"/>
  <c r="A140" i="8"/>
  <c r="A139" i="8"/>
  <c r="A136" i="8"/>
  <c r="A132" i="8"/>
  <c r="A128" i="8"/>
  <c r="A124" i="8"/>
  <c r="A120" i="8"/>
  <c r="A116" i="8"/>
  <c r="A112" i="8"/>
  <c r="A108" i="8"/>
  <c r="A104" i="8"/>
  <c r="A100" i="8"/>
  <c r="A96" i="8"/>
  <c r="A92" i="8"/>
  <c r="A88" i="8"/>
  <c r="A84" i="8"/>
  <c r="A80" i="8"/>
  <c r="A76" i="8"/>
  <c r="A72" i="8"/>
  <c r="A68" i="8"/>
  <c r="A64" i="8"/>
  <c r="A60" i="8"/>
  <c r="A56" i="8"/>
  <c r="A52" i="8"/>
  <c r="A48" i="8"/>
  <c r="A44" i="8"/>
  <c r="A40" i="8"/>
  <c r="A36" i="8"/>
  <c r="A32" i="8"/>
  <c r="A28" i="8"/>
  <c r="A24" i="8"/>
  <c r="A21" i="8"/>
  <c r="A19" i="8"/>
  <c r="A17" i="8"/>
  <c r="A15" i="8"/>
  <c r="A13" i="8"/>
  <c r="A11" i="8"/>
  <c r="A9" i="8"/>
  <c r="A7" i="8"/>
  <c r="A5" i="8"/>
  <c r="A3" i="8"/>
  <c r="F35" i="12" s="1"/>
  <c r="A141" i="8"/>
  <c r="A138" i="8"/>
  <c r="A134" i="8"/>
  <c r="A130" i="8"/>
  <c r="A126" i="8"/>
  <c r="A122" i="8"/>
  <c r="A118" i="8"/>
  <c r="A114" i="8"/>
  <c r="A110" i="8"/>
  <c r="A106" i="8"/>
  <c r="A102" i="8"/>
  <c r="A98" i="8"/>
  <c r="A94" i="8"/>
  <c r="A90" i="8"/>
  <c r="A86" i="8"/>
  <c r="A82" i="8"/>
  <c r="A78" i="8"/>
  <c r="A74" i="8"/>
  <c r="A70" i="8"/>
  <c r="A66" i="8"/>
  <c r="A62" i="8"/>
  <c r="A58" i="8"/>
  <c r="A54" i="8"/>
  <c r="A50" i="8"/>
  <c r="A46" i="8"/>
  <c r="A42" i="8"/>
  <c r="A38" i="8"/>
  <c r="A34" i="8"/>
  <c r="A30" i="8"/>
  <c r="A26" i="8"/>
  <c r="A22" i="8"/>
  <c r="A20" i="8"/>
  <c r="A18" i="8"/>
  <c r="A16" i="8"/>
  <c r="A14" i="8"/>
  <c r="A12" i="8"/>
  <c r="A10" i="8"/>
  <c r="A8" i="8"/>
  <c r="A6" i="8"/>
  <c r="A4" i="8"/>
  <c r="A2" i="8"/>
  <c r="E20" i="11" s="1"/>
  <c r="A131" i="8"/>
  <c r="A137" i="8"/>
  <c r="A135" i="8"/>
  <c r="A125" i="8"/>
  <c r="A119" i="8"/>
  <c r="A133" i="8"/>
  <c r="A113" i="8"/>
  <c r="A97" i="8"/>
  <c r="A81" i="8"/>
  <c r="A65" i="8"/>
  <c r="A49" i="8"/>
  <c r="A33" i="8"/>
  <c r="A107" i="8"/>
  <c r="A75" i="8"/>
  <c r="A59" i="8"/>
  <c r="A91" i="8"/>
  <c r="A43" i="8"/>
  <c r="A123" i="8"/>
  <c r="A117" i="8"/>
  <c r="A101" i="8"/>
  <c r="A85" i="8"/>
  <c r="A69" i="8"/>
  <c r="A53" i="8"/>
  <c r="A37" i="8"/>
  <c r="A129" i="8"/>
  <c r="A111" i="8"/>
  <c r="A95" i="8"/>
  <c r="A79" i="8"/>
  <c r="A63" i="8"/>
  <c r="A105" i="8"/>
  <c r="A89" i="8"/>
  <c r="A73" i="8"/>
  <c r="A57" i="8"/>
  <c r="A41" i="8"/>
  <c r="A25" i="8"/>
  <c r="A127" i="8"/>
  <c r="A121" i="8"/>
  <c r="A115" i="8"/>
  <c r="A99" i="8"/>
  <c r="A83" i="8"/>
  <c r="A109" i="8"/>
  <c r="A93" i="8"/>
  <c r="A77" i="8"/>
  <c r="A61" i="8"/>
  <c r="A45" i="8"/>
  <c r="A29" i="8"/>
  <c r="A39" i="8"/>
  <c r="A23" i="8"/>
  <c r="A103" i="8"/>
  <c r="A87" i="8"/>
  <c r="A71" i="8"/>
  <c r="A55" i="8"/>
  <c r="A51" i="8"/>
  <c r="A27" i="8"/>
  <c r="A47" i="8"/>
  <c r="A35" i="8"/>
  <c r="A67" i="8"/>
  <c r="A31" i="8"/>
  <c r="A45" i="12"/>
  <c r="A21" i="10"/>
  <c r="A18" i="10"/>
  <c r="A19" i="10" s="1"/>
  <c r="A20" i="10" s="1"/>
  <c r="E21" i="11" l="1"/>
  <c r="E22" i="11" s="1"/>
  <c r="E23" i="11" s="1"/>
  <c r="E24" i="11" s="1"/>
  <c r="F37" i="12"/>
  <c r="F36" i="12"/>
  <c r="G35" i="12"/>
  <c r="V20" i="11"/>
  <c r="F20" i="11"/>
  <c r="E17" i="10"/>
  <c r="A22" i="10"/>
  <c r="A23" i="10" s="1"/>
  <c r="A24" i="10" s="1"/>
  <c r="E21" i="10"/>
  <c r="A25" i="10"/>
  <c r="F21" i="10"/>
  <c r="AW20" i="11"/>
  <c r="AW21" i="11" s="1"/>
  <c r="AW22" i="11" s="1"/>
  <c r="AW23" i="11" s="1"/>
  <c r="AW24" i="11" s="1"/>
  <c r="AX20" i="11"/>
  <c r="A55" i="12"/>
  <c r="E45" i="12"/>
  <c r="F45" i="12"/>
  <c r="E35" i="12"/>
  <c r="U20" i="11"/>
  <c r="U21" i="11" s="1"/>
  <c r="U22" i="11" s="1"/>
  <c r="U23" i="11" s="1"/>
  <c r="U24" i="11" s="1"/>
  <c r="AI20" i="11"/>
  <c r="AI21" i="11" s="1"/>
  <c r="AI22" i="11" s="1"/>
  <c r="AI23" i="11" s="1"/>
  <c r="AI24" i="11" s="1"/>
  <c r="F5" i="12"/>
  <c r="E5" i="12"/>
  <c r="E15" i="12"/>
  <c r="E25" i="12"/>
  <c r="F15" i="12"/>
  <c r="U5" i="11"/>
  <c r="U6" i="11" s="1"/>
  <c r="U7" i="11" s="1"/>
  <c r="U8" i="11" s="1"/>
  <c r="U9" i="11" s="1"/>
  <c r="AX5" i="11"/>
  <c r="AW5" i="11"/>
  <c r="AW6" i="11" s="1"/>
  <c r="AW7" i="11" s="1"/>
  <c r="AW8" i="11" s="1"/>
  <c r="AW9" i="11" s="1"/>
  <c r="F5" i="11"/>
  <c r="E5" i="11"/>
  <c r="E10" i="11"/>
  <c r="V5" i="11"/>
  <c r="AX10" i="11"/>
  <c r="AJ5" i="11"/>
  <c r="AI5" i="11"/>
  <c r="AI6" i="11" s="1"/>
  <c r="AI7" i="11" s="1"/>
  <c r="AI8" i="11" s="1"/>
  <c r="AI9" i="11" s="1"/>
  <c r="F5" i="10"/>
  <c r="E9" i="10"/>
  <c r="E5" i="10"/>
  <c r="V15" i="11"/>
  <c r="F25" i="12"/>
  <c r="F13" i="10"/>
  <c r="U15" i="11"/>
  <c r="U16" i="11" s="1"/>
  <c r="U17" i="11" s="1"/>
  <c r="U18" i="11" s="1"/>
  <c r="U19" i="11" s="1"/>
  <c r="F10" i="11"/>
  <c r="F15" i="11"/>
  <c r="AI10" i="11"/>
  <c r="AI11" i="11" s="1"/>
  <c r="AI12" i="11" s="1"/>
  <c r="AI13" i="11" s="1"/>
  <c r="AI14" i="11" s="1"/>
  <c r="E13" i="10"/>
  <c r="AX15" i="11"/>
  <c r="F9" i="10"/>
  <c r="AW15" i="11"/>
  <c r="AW16" i="11" s="1"/>
  <c r="AW17" i="11" s="1"/>
  <c r="AW18" i="11" s="1"/>
  <c r="AW19" i="11" s="1"/>
  <c r="AW10" i="11"/>
  <c r="AW11" i="11" s="1"/>
  <c r="AW12" i="11" s="1"/>
  <c r="AW13" i="11" s="1"/>
  <c r="AW14" i="11" s="1"/>
  <c r="E15" i="11"/>
  <c r="AJ15" i="11"/>
  <c r="AI15" i="11"/>
  <c r="AI16" i="11" s="1"/>
  <c r="AI17" i="11" s="1"/>
  <c r="AI18" i="11" s="1"/>
  <c r="AI19" i="11" s="1"/>
  <c r="U10" i="11"/>
  <c r="U11" i="11" s="1"/>
  <c r="U12" i="11" s="1"/>
  <c r="U13" i="11" s="1"/>
  <c r="U14" i="11" s="1"/>
  <c r="V10" i="11"/>
  <c r="AJ10" i="11"/>
  <c r="AJ20" i="11"/>
  <c r="F17" i="10"/>
  <c r="F25" i="11"/>
  <c r="AI25" i="11"/>
  <c r="AI26" i="11" s="1"/>
  <c r="AI27" i="11" s="1"/>
  <c r="AI28" i="11" s="1"/>
  <c r="AI29" i="11" s="1"/>
  <c r="V25" i="11"/>
  <c r="U25" i="11"/>
  <c r="U26" i="11" s="1"/>
  <c r="U27" i="11" s="1"/>
  <c r="U28" i="11" s="1"/>
  <c r="U29" i="11" s="1"/>
  <c r="A30" i="11"/>
  <c r="AJ25" i="11"/>
  <c r="AX25" i="11"/>
  <c r="AW25" i="11"/>
  <c r="AW26" i="11" s="1"/>
  <c r="AW27" i="11" s="1"/>
  <c r="AW28" i="11" s="1"/>
  <c r="AW29" i="11" s="1"/>
  <c r="E25" i="11"/>
  <c r="G5" i="12" l="1"/>
  <c r="F6" i="12"/>
  <c r="F7" i="12"/>
  <c r="W25" i="11"/>
  <c r="V26" i="11"/>
  <c r="V27" i="11" s="1"/>
  <c r="V28" i="11" s="1"/>
  <c r="V29" i="11" s="1"/>
  <c r="G9" i="10"/>
  <c r="F10" i="10"/>
  <c r="T9" i="10"/>
  <c r="G5" i="10"/>
  <c r="F6" i="10"/>
  <c r="T5" i="10"/>
  <c r="E27" i="12"/>
  <c r="E26" i="12"/>
  <c r="T21" i="10"/>
  <c r="F22" i="10"/>
  <c r="G21" i="10"/>
  <c r="E14" i="10"/>
  <c r="C13" i="10"/>
  <c r="K13" i="10"/>
  <c r="Y13" i="10"/>
  <c r="S13" i="10"/>
  <c r="AK20" i="11"/>
  <c r="AJ21" i="11"/>
  <c r="AJ22" i="11" s="1"/>
  <c r="AJ23" i="11" s="1"/>
  <c r="AJ24" i="11" s="1"/>
  <c r="G15" i="11"/>
  <c r="F16" i="11"/>
  <c r="F17" i="11" s="1"/>
  <c r="F18" i="11" s="1"/>
  <c r="F19" i="11" s="1"/>
  <c r="E26" i="11"/>
  <c r="E27" i="11" s="1"/>
  <c r="E28" i="11" s="1"/>
  <c r="E29" i="11" s="1"/>
  <c r="E16" i="11"/>
  <c r="E17" i="11" s="1"/>
  <c r="E18" i="11" s="1"/>
  <c r="E19" i="11" s="1"/>
  <c r="C15" i="11"/>
  <c r="C16" i="11" s="1"/>
  <c r="C17" i="11" s="1"/>
  <c r="C18" i="11" s="1"/>
  <c r="C19" i="11" s="1"/>
  <c r="F26" i="11"/>
  <c r="F27" i="11" s="1"/>
  <c r="F28" i="11" s="1"/>
  <c r="F29" i="11" s="1"/>
  <c r="G25" i="11"/>
  <c r="AY15" i="11"/>
  <c r="AX16" i="11"/>
  <c r="AX17" i="11" s="1"/>
  <c r="AX18" i="11" s="1"/>
  <c r="AX19" i="11" s="1"/>
  <c r="E17" i="12"/>
  <c r="E16" i="12"/>
  <c r="A26" i="10"/>
  <c r="A27" i="10" s="1"/>
  <c r="A28" i="10" s="1"/>
  <c r="F25" i="10"/>
  <c r="A29" i="10"/>
  <c r="E25" i="10"/>
  <c r="E7" i="12"/>
  <c r="E6" i="12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W10" i="11"/>
  <c r="V11" i="11"/>
  <c r="V12" i="11" s="1"/>
  <c r="V13" i="11" s="1"/>
  <c r="V14" i="11" s="1"/>
  <c r="E37" i="12"/>
  <c r="E36" i="12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V21" i="11"/>
  <c r="V22" i="11" s="1"/>
  <c r="V23" i="11" s="1"/>
  <c r="V24" i="11" s="1"/>
  <c r="W20" i="11"/>
  <c r="AX26" i="11"/>
  <c r="AX27" i="11" s="1"/>
  <c r="AX28" i="11" s="1"/>
  <c r="AX29" i="11" s="1"/>
  <c r="AY25" i="11"/>
  <c r="G13" i="10"/>
  <c r="F14" i="10"/>
  <c r="T13" i="10"/>
  <c r="G5" i="11"/>
  <c r="F6" i="11"/>
  <c r="F7" i="11" s="1"/>
  <c r="F8" i="11" s="1"/>
  <c r="F9" i="11" s="1"/>
  <c r="F47" i="12"/>
  <c r="G45" i="12"/>
  <c r="F46" i="12"/>
  <c r="G36" i="12"/>
  <c r="G37" i="12"/>
  <c r="K17" i="10"/>
  <c r="E18" i="10"/>
  <c r="Y17" i="10"/>
  <c r="S17" i="10"/>
  <c r="C17" i="10"/>
  <c r="G20" i="11"/>
  <c r="C20" i="11" s="1"/>
  <c r="C21" i="11" s="1"/>
  <c r="C22" i="11" s="1"/>
  <c r="C23" i="11" s="1"/>
  <c r="C24" i="11" s="1"/>
  <c r="F21" i="11"/>
  <c r="F22" i="11" s="1"/>
  <c r="F23" i="11" s="1"/>
  <c r="F24" i="11" s="1"/>
  <c r="C5" i="11"/>
  <c r="C6" i="11" s="1"/>
  <c r="C7" i="11" s="1"/>
  <c r="C8" i="11" s="1"/>
  <c r="C9" i="11" s="1"/>
  <c r="E6" i="11"/>
  <c r="E7" i="11" s="1"/>
  <c r="E8" i="11" s="1"/>
  <c r="E9" i="11" s="1"/>
  <c r="AJ26" i="11"/>
  <c r="AJ27" i="11" s="1"/>
  <c r="AJ28" i="11" s="1"/>
  <c r="AJ29" i="11" s="1"/>
  <c r="AK25" i="11"/>
  <c r="AJ16" i="11"/>
  <c r="AJ17" i="11" s="1"/>
  <c r="AJ18" i="11" s="1"/>
  <c r="AJ19" i="11" s="1"/>
  <c r="AK15" i="11"/>
  <c r="G25" i="12"/>
  <c r="F26" i="12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F27" i="12"/>
  <c r="E46" i="12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E47" i="12"/>
  <c r="AK5" i="11"/>
  <c r="AJ6" i="11"/>
  <c r="AJ7" i="11" s="1"/>
  <c r="AJ8" i="11" s="1"/>
  <c r="AJ9" i="11" s="1"/>
  <c r="AX11" i="11"/>
  <c r="AX12" i="11" s="1"/>
  <c r="AX13" i="11" s="1"/>
  <c r="AX14" i="11" s="1"/>
  <c r="AY10" i="11"/>
  <c r="V6" i="11"/>
  <c r="V7" i="11" s="1"/>
  <c r="V8" i="11" s="1"/>
  <c r="V9" i="11" s="1"/>
  <c r="W5" i="11"/>
  <c r="E11" i="11"/>
  <c r="E12" i="11" s="1"/>
  <c r="E13" i="11" s="1"/>
  <c r="E14" i="11" s="1"/>
  <c r="AI30" i="11"/>
  <c r="AI31" i="11" s="1"/>
  <c r="AI32" i="11" s="1"/>
  <c r="AI33" i="11" s="1"/>
  <c r="AI34" i="11" s="1"/>
  <c r="A35" i="11"/>
  <c r="AX30" i="11"/>
  <c r="AW30" i="11"/>
  <c r="AW31" i="11" s="1"/>
  <c r="AW32" i="11" s="1"/>
  <c r="AW33" i="11" s="1"/>
  <c r="AW34" i="11" s="1"/>
  <c r="F30" i="11"/>
  <c r="E30" i="11"/>
  <c r="U30" i="11"/>
  <c r="U31" i="11" s="1"/>
  <c r="U32" i="11" s="1"/>
  <c r="U33" i="11" s="1"/>
  <c r="U34" i="11" s="1"/>
  <c r="V30" i="11"/>
  <c r="AJ30" i="11"/>
  <c r="V16" i="11"/>
  <c r="V17" i="11" s="1"/>
  <c r="V18" i="11" s="1"/>
  <c r="V19" i="11" s="1"/>
  <c r="W15" i="11"/>
  <c r="AY5" i="11"/>
  <c r="AX6" i="11"/>
  <c r="AX7" i="11" s="1"/>
  <c r="AX8" i="11" s="1"/>
  <c r="AX9" i="11" s="1"/>
  <c r="A65" i="12"/>
  <c r="F55" i="12"/>
  <c r="E55" i="12"/>
  <c r="F39" i="12"/>
  <c r="F38" i="12"/>
  <c r="F18" i="10"/>
  <c r="G17" i="10"/>
  <c r="T17" i="10"/>
  <c r="S5" i="10"/>
  <c r="E6" i="10"/>
  <c r="Y5" i="10"/>
  <c r="K5" i="10"/>
  <c r="C5" i="10"/>
  <c r="AX21" i="11"/>
  <c r="AX22" i="11" s="1"/>
  <c r="AX23" i="11" s="1"/>
  <c r="AX24" i="11" s="1"/>
  <c r="AY20" i="11"/>
  <c r="Y21" i="10"/>
  <c r="S21" i="10"/>
  <c r="E22" i="10"/>
  <c r="K21" i="10"/>
  <c r="C21" i="10"/>
  <c r="AJ11" i="11"/>
  <c r="AJ12" i="11" s="1"/>
  <c r="AJ13" i="11" s="1"/>
  <c r="AJ14" i="11" s="1"/>
  <c r="AK10" i="11"/>
  <c r="F11" i="11"/>
  <c r="F12" i="11" s="1"/>
  <c r="F13" i="11" s="1"/>
  <c r="F14" i="11" s="1"/>
  <c r="G10" i="11"/>
  <c r="C10" i="11" s="1"/>
  <c r="C11" i="11" s="1"/>
  <c r="C12" i="11" s="1"/>
  <c r="C13" i="11" s="1"/>
  <c r="C14" i="11" s="1"/>
  <c r="E10" i="10"/>
  <c r="C9" i="10"/>
  <c r="Y9" i="10"/>
  <c r="S9" i="10"/>
  <c r="K9" i="10"/>
  <c r="F17" i="12"/>
  <c r="F16" i="12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G15" i="12"/>
  <c r="E31" i="11" l="1"/>
  <c r="E32" i="11" s="1"/>
  <c r="E33" i="11" s="1"/>
  <c r="E34" i="11" s="1"/>
  <c r="G47" i="12"/>
  <c r="G46" i="12"/>
  <c r="J45" i="12" s="1"/>
  <c r="E29" i="12"/>
  <c r="E28" i="12"/>
  <c r="F48" i="12"/>
  <c r="F49" i="12"/>
  <c r="E38" i="12"/>
  <c r="E39" i="12"/>
  <c r="E18" i="12"/>
  <c r="E19" i="12"/>
  <c r="AO20" i="11"/>
  <c r="AG20" i="11"/>
  <c r="AG21" i="11" s="1"/>
  <c r="AG22" i="11" s="1"/>
  <c r="AG23" i="11" s="1"/>
  <c r="AG24" i="11" s="1"/>
  <c r="AK21" i="11"/>
  <c r="C18" i="10"/>
  <c r="Q17" i="10"/>
  <c r="G26" i="11"/>
  <c r="K25" i="11"/>
  <c r="T14" i="10"/>
  <c r="F15" i="10"/>
  <c r="F40" i="12"/>
  <c r="F41" i="12"/>
  <c r="F31" i="11"/>
  <c r="F32" i="11" s="1"/>
  <c r="F33" i="11" s="1"/>
  <c r="F34" i="11" s="1"/>
  <c r="G30" i="11"/>
  <c r="AO5" i="11"/>
  <c r="AK6" i="11"/>
  <c r="AG5" i="11"/>
  <c r="AG6" i="11" s="1"/>
  <c r="AG7" i="11" s="1"/>
  <c r="AG8" i="11" s="1"/>
  <c r="AG9" i="11" s="1"/>
  <c r="AU20" i="11"/>
  <c r="AU21" i="11" s="1"/>
  <c r="AU22" i="11" s="1"/>
  <c r="AU23" i="11" s="1"/>
  <c r="AU24" i="11" s="1"/>
  <c r="BC20" i="11"/>
  <c r="AY21" i="11"/>
  <c r="E56" i="12"/>
  <c r="C55" i="12"/>
  <c r="C56" i="12" s="1"/>
  <c r="C57" i="12" s="1"/>
  <c r="C58" i="12" s="1"/>
  <c r="C59" i="12" s="1"/>
  <c r="C60" i="12" s="1"/>
  <c r="C61" i="12" s="1"/>
  <c r="C62" i="12" s="1"/>
  <c r="C63" i="12" s="1"/>
  <c r="C64" i="12" s="1"/>
  <c r="E57" i="12"/>
  <c r="T6" i="10"/>
  <c r="F7" i="10"/>
  <c r="U5" i="10"/>
  <c r="G6" i="10"/>
  <c r="C14" i="10"/>
  <c r="Q13" i="10"/>
  <c r="F11" i="10"/>
  <c r="T10" i="10"/>
  <c r="E15" i="10"/>
  <c r="Y14" i="10"/>
  <c r="S14" i="10"/>
  <c r="K14" i="10"/>
  <c r="G10" i="10"/>
  <c r="U9" i="10"/>
  <c r="Q5" i="10"/>
  <c r="C6" i="10"/>
  <c r="F65" i="12"/>
  <c r="A75" i="12"/>
  <c r="E65" i="12"/>
  <c r="AY6" i="11"/>
  <c r="BC5" i="11"/>
  <c r="AU5" i="11"/>
  <c r="AU6" i="11" s="1"/>
  <c r="AU7" i="11" s="1"/>
  <c r="AU8" i="11" s="1"/>
  <c r="AU9" i="11" s="1"/>
  <c r="G14" i="10"/>
  <c r="U13" i="10"/>
  <c r="E8" i="12"/>
  <c r="E9" i="12"/>
  <c r="AK11" i="11"/>
  <c r="AG10" i="11"/>
  <c r="AG11" i="11" s="1"/>
  <c r="AG12" i="11" s="1"/>
  <c r="AG13" i="11" s="1"/>
  <c r="AG14" i="11" s="1"/>
  <c r="AO10" i="11"/>
  <c r="K6" i="10"/>
  <c r="Y6" i="10"/>
  <c r="S6" i="10"/>
  <c r="E7" i="10"/>
  <c r="S15" i="11"/>
  <c r="S16" i="11" s="1"/>
  <c r="S17" i="11" s="1"/>
  <c r="S18" i="11" s="1"/>
  <c r="S19" i="11" s="1"/>
  <c r="W16" i="11"/>
  <c r="AA15" i="11"/>
  <c r="G27" i="12"/>
  <c r="G26" i="12"/>
  <c r="J25" i="12" s="1"/>
  <c r="E19" i="10"/>
  <c r="Y18" i="10"/>
  <c r="K18" i="10"/>
  <c r="S18" i="10"/>
  <c r="BC25" i="11"/>
  <c r="AY26" i="11"/>
  <c r="AU25" i="11"/>
  <c r="AU26" i="11" s="1"/>
  <c r="AU27" i="11" s="1"/>
  <c r="AU28" i="11" s="1"/>
  <c r="AU29" i="11" s="1"/>
  <c r="Y25" i="10"/>
  <c r="S25" i="10"/>
  <c r="K25" i="10"/>
  <c r="E26" i="10"/>
  <c r="C25" i="10"/>
  <c r="U21" i="10"/>
  <c r="G22" i="10"/>
  <c r="F29" i="12"/>
  <c r="F28" i="12"/>
  <c r="AA5" i="11"/>
  <c r="S5" i="11"/>
  <c r="S6" i="11" s="1"/>
  <c r="S7" i="11" s="1"/>
  <c r="S8" i="11" s="1"/>
  <c r="S9" i="11" s="1"/>
  <c r="W6" i="11"/>
  <c r="AK16" i="11"/>
  <c r="AO15" i="11"/>
  <c r="AG15" i="11"/>
  <c r="AG16" i="11" s="1"/>
  <c r="AG17" i="11" s="1"/>
  <c r="AG18" i="11" s="1"/>
  <c r="AG19" i="11" s="1"/>
  <c r="C25" i="11"/>
  <c r="C26" i="11" s="1"/>
  <c r="C27" i="11" s="1"/>
  <c r="C28" i="11" s="1"/>
  <c r="C29" i="11" s="1"/>
  <c r="F23" i="10"/>
  <c r="T22" i="10"/>
  <c r="AA25" i="11"/>
  <c r="S25" i="11"/>
  <c r="S26" i="11" s="1"/>
  <c r="S27" i="11" s="1"/>
  <c r="S28" i="11" s="1"/>
  <c r="S29" i="11" s="1"/>
  <c r="W26" i="11"/>
  <c r="F29" i="10"/>
  <c r="A33" i="10"/>
  <c r="A30" i="10"/>
  <c r="A31" i="10" s="1"/>
  <c r="A32" i="10" s="1"/>
  <c r="E29" i="10"/>
  <c r="G17" i="12"/>
  <c r="G16" i="12"/>
  <c r="J15" i="12" s="1"/>
  <c r="T25" i="10"/>
  <c r="F26" i="10"/>
  <c r="G25" i="10"/>
  <c r="F9" i="12"/>
  <c r="F8" i="12"/>
  <c r="Q9" i="10"/>
  <c r="C10" i="10"/>
  <c r="F56" i="12"/>
  <c r="G55" i="12"/>
  <c r="F57" i="12"/>
  <c r="AX31" i="11"/>
  <c r="AX32" i="11" s="1"/>
  <c r="AX33" i="11" s="1"/>
  <c r="AX34" i="11" s="1"/>
  <c r="AY30" i="11"/>
  <c r="E49" i="12"/>
  <c r="E48" i="12"/>
  <c r="K20" i="11"/>
  <c r="G21" i="11"/>
  <c r="K5" i="11"/>
  <c r="G6" i="11"/>
  <c r="W11" i="11"/>
  <c r="AA10" i="11"/>
  <c r="S10" i="11"/>
  <c r="S11" i="11" s="1"/>
  <c r="S12" i="11" s="1"/>
  <c r="S13" i="11" s="1"/>
  <c r="S14" i="11" s="1"/>
  <c r="BC15" i="11"/>
  <c r="AY16" i="11"/>
  <c r="AU15" i="11"/>
  <c r="AU16" i="11" s="1"/>
  <c r="AU17" i="11" s="1"/>
  <c r="AU18" i="11" s="1"/>
  <c r="AU19" i="11" s="1"/>
  <c r="S10" i="10"/>
  <c r="K10" i="10"/>
  <c r="E11" i="10"/>
  <c r="Y10" i="10"/>
  <c r="A40" i="11"/>
  <c r="AJ35" i="11"/>
  <c r="U35" i="11"/>
  <c r="U36" i="11" s="1"/>
  <c r="U37" i="11" s="1"/>
  <c r="U38" i="11" s="1"/>
  <c r="U39" i="11" s="1"/>
  <c r="AI35" i="11"/>
  <c r="AI36" i="11" s="1"/>
  <c r="AI37" i="11" s="1"/>
  <c r="AI38" i="11" s="1"/>
  <c r="AI39" i="11" s="1"/>
  <c r="V35" i="11"/>
  <c r="E35" i="11"/>
  <c r="AW35" i="11"/>
  <c r="AW36" i="11" s="1"/>
  <c r="AW37" i="11" s="1"/>
  <c r="AW38" i="11" s="1"/>
  <c r="AW39" i="11" s="1"/>
  <c r="F35" i="11"/>
  <c r="AX35" i="11"/>
  <c r="G11" i="11"/>
  <c r="K10" i="11"/>
  <c r="U17" i="10"/>
  <c r="G18" i="10"/>
  <c r="W30" i="11"/>
  <c r="V31" i="11"/>
  <c r="V32" i="11" s="1"/>
  <c r="V33" i="11" s="1"/>
  <c r="V34" i="11" s="1"/>
  <c r="BC10" i="11"/>
  <c r="AY11" i="11"/>
  <c r="AU10" i="11"/>
  <c r="AU11" i="11" s="1"/>
  <c r="AU12" i="11" s="1"/>
  <c r="AU13" i="11" s="1"/>
  <c r="AU14" i="11" s="1"/>
  <c r="AG25" i="11"/>
  <c r="AG26" i="11" s="1"/>
  <c r="AG27" i="11" s="1"/>
  <c r="AG28" i="11" s="1"/>
  <c r="AG29" i="11" s="1"/>
  <c r="AK26" i="11"/>
  <c r="AO25" i="11"/>
  <c r="J35" i="12"/>
  <c r="C22" i="10"/>
  <c r="Q21" i="10"/>
  <c r="AK30" i="11"/>
  <c r="AJ31" i="11"/>
  <c r="AJ32" i="11" s="1"/>
  <c r="AJ33" i="11" s="1"/>
  <c r="AJ34" i="11" s="1"/>
  <c r="G39" i="12"/>
  <c r="G38" i="12"/>
  <c r="W21" i="11"/>
  <c r="S20" i="11"/>
  <c r="S21" i="11" s="1"/>
  <c r="S22" i="11" s="1"/>
  <c r="S23" i="11" s="1"/>
  <c r="S24" i="11" s="1"/>
  <c r="AA20" i="11"/>
  <c r="F18" i="12"/>
  <c r="F19" i="12"/>
  <c r="S22" i="10"/>
  <c r="E23" i="10"/>
  <c r="K22" i="10"/>
  <c r="Y22" i="10"/>
  <c r="T18" i="10"/>
  <c r="F19" i="10"/>
  <c r="K15" i="11"/>
  <c r="G16" i="11"/>
  <c r="G7" i="12"/>
  <c r="G6" i="12"/>
  <c r="J5" i="12" s="1"/>
  <c r="AK27" i="11" l="1"/>
  <c r="AO26" i="11"/>
  <c r="AA16" i="11"/>
  <c r="W17" i="11"/>
  <c r="G15" i="10"/>
  <c r="U14" i="10"/>
  <c r="F16" i="10"/>
  <c r="T16" i="10" s="1"/>
  <c r="T15" i="10"/>
  <c r="G8" i="12"/>
  <c r="G9" i="12"/>
  <c r="V36" i="11"/>
  <c r="V37" i="11" s="1"/>
  <c r="V38" i="11" s="1"/>
  <c r="V39" i="11" s="1"/>
  <c r="W35" i="11"/>
  <c r="E67" i="12"/>
  <c r="E66" i="12"/>
  <c r="E30" i="12"/>
  <c r="E31" i="12"/>
  <c r="T26" i="10"/>
  <c r="F27" i="10"/>
  <c r="T23" i="10"/>
  <c r="F24" i="10"/>
  <c r="T24" i="10" s="1"/>
  <c r="C26" i="10"/>
  <c r="Q25" i="10"/>
  <c r="J27" i="12"/>
  <c r="J28" i="12" s="1"/>
  <c r="J31" i="12"/>
  <c r="J32" i="12" s="1"/>
  <c r="J33" i="12"/>
  <c r="J34" i="12" s="1"/>
  <c r="J26" i="12"/>
  <c r="J29" i="12"/>
  <c r="J30" i="12" s="1"/>
  <c r="E10" i="12"/>
  <c r="E11" i="12"/>
  <c r="T7" i="10"/>
  <c r="F8" i="10"/>
  <c r="T8" i="10" s="1"/>
  <c r="E21" i="12"/>
  <c r="E20" i="12"/>
  <c r="AY27" i="11"/>
  <c r="BC26" i="11"/>
  <c r="T19" i="10"/>
  <c r="F20" i="10"/>
  <c r="T20" i="10" s="1"/>
  <c r="J41" i="12"/>
  <c r="J42" i="12" s="1"/>
  <c r="J39" i="12"/>
  <c r="J40" i="12" s="1"/>
  <c r="J37" i="12"/>
  <c r="J38" i="12" s="1"/>
  <c r="J43" i="12"/>
  <c r="J44" i="12" s="1"/>
  <c r="J36" i="12"/>
  <c r="G12" i="11"/>
  <c r="K11" i="11"/>
  <c r="F20" i="12"/>
  <c r="F21" i="12"/>
  <c r="AY35" i="11"/>
  <c r="AX36" i="11"/>
  <c r="AX37" i="11" s="1"/>
  <c r="AX38" i="11" s="1"/>
  <c r="AX39" i="11" s="1"/>
  <c r="E51" i="12"/>
  <c r="E50" i="12"/>
  <c r="S26" i="10"/>
  <c r="K26" i="10"/>
  <c r="E27" i="10"/>
  <c r="Y26" i="10"/>
  <c r="G29" i="12"/>
  <c r="G28" i="12"/>
  <c r="G11" i="10"/>
  <c r="U10" i="10"/>
  <c r="F43" i="12"/>
  <c r="F44" i="12" s="1"/>
  <c r="F42" i="12"/>
  <c r="J13" i="12"/>
  <c r="J14" i="12" s="1"/>
  <c r="J11" i="12"/>
  <c r="J12" i="12" s="1"/>
  <c r="J7" i="12"/>
  <c r="J8" i="12" s="1"/>
  <c r="J9" i="12"/>
  <c r="J10" i="12" s="1"/>
  <c r="J6" i="12"/>
  <c r="BC16" i="11"/>
  <c r="AY17" i="11"/>
  <c r="E36" i="11"/>
  <c r="E37" i="11" s="1"/>
  <c r="E38" i="11" s="1"/>
  <c r="E39" i="11" s="1"/>
  <c r="C35" i="11"/>
  <c r="C36" i="11" s="1"/>
  <c r="C37" i="11" s="1"/>
  <c r="C38" i="11" s="1"/>
  <c r="C39" i="11" s="1"/>
  <c r="F58" i="12"/>
  <c r="F59" i="12"/>
  <c r="G27" i="11"/>
  <c r="K26" i="11"/>
  <c r="W31" i="11"/>
  <c r="S30" i="11"/>
  <c r="S31" i="11" s="1"/>
  <c r="S32" i="11" s="1"/>
  <c r="S33" i="11" s="1"/>
  <c r="S34" i="11" s="1"/>
  <c r="AA30" i="11"/>
  <c r="K6" i="11"/>
  <c r="G7" i="11"/>
  <c r="AA26" i="11"/>
  <c r="W27" i="11"/>
  <c r="E75" i="12"/>
  <c r="F75" i="12"/>
  <c r="A85" i="12"/>
  <c r="C19" i="10"/>
  <c r="Q18" i="10"/>
  <c r="J53" i="12"/>
  <c r="J54" i="12" s="1"/>
  <c r="J46" i="12"/>
  <c r="J51" i="12"/>
  <c r="J52" i="12" s="1"/>
  <c r="J47" i="12"/>
  <c r="J48" i="12" s="1"/>
  <c r="J49" i="12"/>
  <c r="J50" i="12" s="1"/>
  <c r="F36" i="11"/>
  <c r="F37" i="11" s="1"/>
  <c r="F38" i="11" s="1"/>
  <c r="F39" i="11" s="1"/>
  <c r="G35" i="11"/>
  <c r="AY31" i="11"/>
  <c r="AU30" i="11"/>
  <c r="AU31" i="11" s="1"/>
  <c r="AU32" i="11" s="1"/>
  <c r="AU33" i="11" s="1"/>
  <c r="AU34" i="11" s="1"/>
  <c r="BC30" i="11"/>
  <c r="G19" i="12"/>
  <c r="G18" i="12"/>
  <c r="K29" i="10"/>
  <c r="E30" i="10"/>
  <c r="S29" i="10"/>
  <c r="Y29" i="10"/>
  <c r="C29" i="10"/>
  <c r="AK17" i="11"/>
  <c r="AO16" i="11"/>
  <c r="F30" i="12"/>
  <c r="F31" i="12"/>
  <c r="G65" i="12"/>
  <c r="F67" i="12"/>
  <c r="F66" i="12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15" i="10"/>
  <c r="Q14" i="10"/>
  <c r="AK7" i="11"/>
  <c r="AO6" i="11"/>
  <c r="AO21" i="11"/>
  <c r="AK22" i="11"/>
  <c r="G48" i="12"/>
  <c r="G49" i="12"/>
  <c r="S7" i="10"/>
  <c r="K7" i="10"/>
  <c r="E8" i="10"/>
  <c r="Y7" i="10"/>
  <c r="E16" i="10"/>
  <c r="Y15" i="10"/>
  <c r="K15" i="10"/>
  <c r="S15" i="10"/>
  <c r="AY22" i="11"/>
  <c r="BC21" i="11"/>
  <c r="BC6" i="11"/>
  <c r="AY7" i="11"/>
  <c r="F12" i="10"/>
  <c r="T12" i="10" s="1"/>
  <c r="T11" i="10"/>
  <c r="AK35" i="11"/>
  <c r="AJ36" i="11"/>
  <c r="AJ37" i="11" s="1"/>
  <c r="AJ38" i="11" s="1"/>
  <c r="AJ39" i="11" s="1"/>
  <c r="AO30" i="11"/>
  <c r="AG30" i="11"/>
  <c r="AG31" i="11" s="1"/>
  <c r="AG32" i="11" s="1"/>
  <c r="AG33" i="11" s="1"/>
  <c r="AG34" i="11" s="1"/>
  <c r="AK31" i="11"/>
  <c r="V40" i="11"/>
  <c r="AW40" i="11"/>
  <c r="AW41" i="11" s="1"/>
  <c r="AW42" i="11" s="1"/>
  <c r="AW43" i="11" s="1"/>
  <c r="AW44" i="11" s="1"/>
  <c r="A45" i="11"/>
  <c r="AJ40" i="11"/>
  <c r="AI40" i="11"/>
  <c r="AI41" i="11" s="1"/>
  <c r="AI42" i="11" s="1"/>
  <c r="AI43" i="11" s="1"/>
  <c r="AI44" i="11" s="1"/>
  <c r="U40" i="11"/>
  <c r="U41" i="11" s="1"/>
  <c r="U42" i="11" s="1"/>
  <c r="U43" i="11" s="1"/>
  <c r="U44" i="11" s="1"/>
  <c r="F40" i="11"/>
  <c r="E40" i="11"/>
  <c r="AX40" i="11"/>
  <c r="F10" i="12"/>
  <c r="F11" i="12"/>
  <c r="U22" i="10"/>
  <c r="G23" i="10"/>
  <c r="Q6" i="10"/>
  <c r="C7" i="10"/>
  <c r="G7" i="10"/>
  <c r="U6" i="10"/>
  <c r="J16" i="12"/>
  <c r="J23" i="12"/>
  <c r="J24" i="12" s="1"/>
  <c r="J19" i="12"/>
  <c r="J20" i="12" s="1"/>
  <c r="J17" i="12"/>
  <c r="J18" i="12" s="1"/>
  <c r="J21" i="12"/>
  <c r="J22" i="12" s="1"/>
  <c r="E59" i="12"/>
  <c r="E58" i="12"/>
  <c r="E41" i="12"/>
  <c r="E40" i="12"/>
  <c r="F51" i="12"/>
  <c r="F50" i="12"/>
  <c r="K16" i="11"/>
  <c r="G17" i="11"/>
  <c r="AA21" i="11"/>
  <c r="W22" i="11"/>
  <c r="BC11" i="11"/>
  <c r="AY12" i="11"/>
  <c r="G57" i="12"/>
  <c r="G56" i="12"/>
  <c r="J55" i="12" s="1"/>
  <c r="AA6" i="11"/>
  <c r="W7" i="11"/>
  <c r="F33" i="10"/>
  <c r="A37" i="10"/>
  <c r="A34" i="10"/>
  <c r="A35" i="10" s="1"/>
  <c r="A36" i="10" s="1"/>
  <c r="E33" i="10"/>
  <c r="G40" i="12"/>
  <c r="G41" i="12"/>
  <c r="AA11" i="11"/>
  <c r="W12" i="11"/>
  <c r="Q10" i="10"/>
  <c r="C11" i="10"/>
  <c r="T29" i="10"/>
  <c r="F30" i="10"/>
  <c r="G29" i="10"/>
  <c r="U18" i="10"/>
  <c r="G19" i="10"/>
  <c r="K21" i="11"/>
  <c r="G22" i="11"/>
  <c r="Y23" i="10"/>
  <c r="E24" i="10"/>
  <c r="S23" i="10"/>
  <c r="K23" i="10"/>
  <c r="C23" i="10"/>
  <c r="Q22" i="10"/>
  <c r="K11" i="10"/>
  <c r="E12" i="10"/>
  <c r="Y11" i="10"/>
  <c r="S11" i="10"/>
  <c r="G26" i="10"/>
  <c r="U25" i="10"/>
  <c r="Y19" i="10"/>
  <c r="S19" i="10"/>
  <c r="E20" i="10"/>
  <c r="K19" i="10"/>
  <c r="AO11" i="11"/>
  <c r="AK12" i="11"/>
  <c r="K30" i="11"/>
  <c r="G31" i="11"/>
  <c r="C30" i="11"/>
  <c r="C31" i="11" s="1"/>
  <c r="C32" i="11" s="1"/>
  <c r="C33" i="11" s="1"/>
  <c r="C34" i="11" s="1"/>
  <c r="G20" i="10" l="1"/>
  <c r="U20" i="10" s="1"/>
  <c r="U19" i="10"/>
  <c r="G36" i="11"/>
  <c r="K35" i="11"/>
  <c r="AA27" i="11"/>
  <c r="W28" i="11"/>
  <c r="Y12" i="10"/>
  <c r="S12" i="10"/>
  <c r="K12" i="10"/>
  <c r="E13" i="12"/>
  <c r="E14" i="12" s="1"/>
  <c r="E12" i="12"/>
  <c r="Q23" i="10"/>
  <c r="C24" i="10"/>
  <c r="Q24" i="10" s="1"/>
  <c r="S20" i="10"/>
  <c r="K20" i="10"/>
  <c r="Y20" i="10"/>
  <c r="K22" i="11"/>
  <c r="G23" i="11"/>
  <c r="G67" i="12"/>
  <c r="G66" i="12"/>
  <c r="J65" i="12" s="1"/>
  <c r="F85" i="12"/>
  <c r="E85" i="12"/>
  <c r="A95" i="12"/>
  <c r="F61" i="12"/>
  <c r="F60" i="12"/>
  <c r="AY36" i="11"/>
  <c r="AU35" i="11"/>
  <c r="AU36" i="11" s="1"/>
  <c r="AU37" i="11" s="1"/>
  <c r="AU38" i="11" s="1"/>
  <c r="AU39" i="11" s="1"/>
  <c r="BC35" i="11"/>
  <c r="AA35" i="11"/>
  <c r="S35" i="11"/>
  <c r="S36" i="11" s="1"/>
  <c r="S37" i="11" s="1"/>
  <c r="S38" i="11" s="1"/>
  <c r="S39" i="11" s="1"/>
  <c r="W36" i="11"/>
  <c r="AK40" i="11"/>
  <c r="AJ41" i="11"/>
  <c r="AJ42" i="11" s="1"/>
  <c r="AJ43" i="11" s="1"/>
  <c r="AJ44" i="11" s="1"/>
  <c r="G32" i="11"/>
  <c r="K31" i="11"/>
  <c r="G30" i="10"/>
  <c r="U29" i="10"/>
  <c r="G33" i="10"/>
  <c r="F34" i="10"/>
  <c r="T33" i="10"/>
  <c r="F52" i="12"/>
  <c r="F53" i="12"/>
  <c r="F54" i="12" s="1"/>
  <c r="Q7" i="10"/>
  <c r="C8" i="10"/>
  <c r="Q8" i="10" s="1"/>
  <c r="U45" i="11"/>
  <c r="U46" i="11" s="1"/>
  <c r="U47" i="11" s="1"/>
  <c r="U48" i="11" s="1"/>
  <c r="U49" i="11" s="1"/>
  <c r="AX45" i="11"/>
  <c r="AW45" i="11"/>
  <c r="AW46" i="11" s="1"/>
  <c r="AW47" i="11" s="1"/>
  <c r="AW48" i="11" s="1"/>
  <c r="AW49" i="11" s="1"/>
  <c r="A50" i="11"/>
  <c r="AJ45" i="11"/>
  <c r="AI45" i="11"/>
  <c r="AI46" i="11" s="1"/>
  <c r="AI47" i="11" s="1"/>
  <c r="AI48" i="11" s="1"/>
  <c r="AI49" i="11" s="1"/>
  <c r="F45" i="11"/>
  <c r="E45" i="11"/>
  <c r="V45" i="11"/>
  <c r="AO22" i="11"/>
  <c r="AK23" i="11"/>
  <c r="AY18" i="11"/>
  <c r="BC17" i="11"/>
  <c r="K12" i="11"/>
  <c r="G13" i="11"/>
  <c r="AO12" i="11"/>
  <c r="AK13" i="11"/>
  <c r="E42" i="12"/>
  <c r="E43" i="12"/>
  <c r="E44" i="12" s="1"/>
  <c r="F41" i="11"/>
  <c r="F42" i="11" s="1"/>
  <c r="F43" i="11" s="1"/>
  <c r="F44" i="11" s="1"/>
  <c r="G40" i="11"/>
  <c r="G27" i="10"/>
  <c r="U26" i="10"/>
  <c r="E34" i="10"/>
  <c r="C33" i="10"/>
  <c r="Y33" i="10"/>
  <c r="S33" i="10"/>
  <c r="K33" i="10"/>
  <c r="G18" i="11"/>
  <c r="K17" i="11"/>
  <c r="F32" i="12"/>
  <c r="F33" i="12"/>
  <c r="F34" i="12" s="1"/>
  <c r="F77" i="12"/>
  <c r="F76" i="12"/>
  <c r="G75" i="12"/>
  <c r="F23" i="12"/>
  <c r="F24" i="12" s="1"/>
  <c r="F22" i="12"/>
  <c r="BC27" i="11"/>
  <c r="AY28" i="11"/>
  <c r="G8" i="10"/>
  <c r="U8" i="10" s="1"/>
  <c r="U7" i="10"/>
  <c r="E23" i="12"/>
  <c r="E24" i="12" s="1"/>
  <c r="E22" i="12"/>
  <c r="BC22" i="11"/>
  <c r="AY23" i="11"/>
  <c r="J57" i="12"/>
  <c r="J58" i="12" s="1"/>
  <c r="J63" i="12"/>
  <c r="J64" i="12" s="1"/>
  <c r="J61" i="12"/>
  <c r="J62" i="12" s="1"/>
  <c r="J59" i="12"/>
  <c r="J60" i="12" s="1"/>
  <c r="J56" i="12"/>
  <c r="AO31" i="11"/>
  <c r="AK32" i="11"/>
  <c r="AO7" i="11"/>
  <c r="AK8" i="11"/>
  <c r="E33" i="12"/>
  <c r="E34" i="12" s="1"/>
  <c r="E32" i="12"/>
  <c r="U15" i="10"/>
  <c r="G16" i="10"/>
  <c r="U16" i="10" s="1"/>
  <c r="G11" i="12"/>
  <c r="G10" i="12"/>
  <c r="A41" i="10"/>
  <c r="E37" i="10"/>
  <c r="A38" i="10"/>
  <c r="A39" i="10" s="1"/>
  <c r="A40" i="10" s="1"/>
  <c r="F37" i="10"/>
  <c r="AK18" i="11"/>
  <c r="AO17" i="11"/>
  <c r="F28" i="10"/>
  <c r="T28" i="10" s="1"/>
  <c r="T27" i="10"/>
  <c r="W40" i="11"/>
  <c r="V41" i="11"/>
  <c r="V42" i="11" s="1"/>
  <c r="V43" i="11" s="1"/>
  <c r="V44" i="11" s="1"/>
  <c r="G58" i="12"/>
  <c r="G59" i="12"/>
  <c r="E60" i="12"/>
  <c r="E61" i="12"/>
  <c r="F12" i="12"/>
  <c r="F13" i="12"/>
  <c r="F14" i="12" s="1"/>
  <c r="K30" i="10"/>
  <c r="S30" i="10"/>
  <c r="E31" i="10"/>
  <c r="Y30" i="10"/>
  <c r="AA17" i="11"/>
  <c r="W18" i="11"/>
  <c r="Q29" i="10"/>
  <c r="C30" i="10"/>
  <c r="K7" i="11"/>
  <c r="G8" i="11"/>
  <c r="AA12" i="11"/>
  <c r="W13" i="11"/>
  <c r="BC12" i="11"/>
  <c r="AY13" i="11"/>
  <c r="Y16" i="10"/>
  <c r="K16" i="10"/>
  <c r="S16" i="10"/>
  <c r="C16" i="10"/>
  <c r="Q16" i="10" s="1"/>
  <c r="Q15" i="10"/>
  <c r="W32" i="11"/>
  <c r="AA31" i="11"/>
  <c r="G50" i="12"/>
  <c r="G51" i="12"/>
  <c r="AA7" i="11"/>
  <c r="W8" i="11"/>
  <c r="U23" i="10"/>
  <c r="G24" i="10"/>
  <c r="U24" i="10" s="1"/>
  <c r="S27" i="10"/>
  <c r="E28" i="10"/>
  <c r="Y27" i="10"/>
  <c r="K27" i="10"/>
  <c r="C12" i="10"/>
  <c r="Q12" i="10" s="1"/>
  <c r="Q11" i="10"/>
  <c r="S24" i="10"/>
  <c r="K24" i="10"/>
  <c r="Y24" i="10"/>
  <c r="AX41" i="11"/>
  <c r="AX42" i="11" s="1"/>
  <c r="AX43" i="11" s="1"/>
  <c r="AX44" i="11" s="1"/>
  <c r="AY40" i="11"/>
  <c r="E53" i="12"/>
  <c r="E54" i="12" s="1"/>
  <c r="E52" i="12"/>
  <c r="E68" i="12"/>
  <c r="E69" i="12"/>
  <c r="BC7" i="11"/>
  <c r="AY8" i="11"/>
  <c r="BC31" i="11"/>
  <c r="AY32" i="11"/>
  <c r="C75" i="12"/>
  <c r="C76" i="12" s="1"/>
  <c r="C77" i="12" s="1"/>
  <c r="C78" i="12" s="1"/>
  <c r="C79" i="12" s="1"/>
  <c r="C80" i="12" s="1"/>
  <c r="C81" i="12" s="1"/>
  <c r="C82" i="12" s="1"/>
  <c r="C83" i="12" s="1"/>
  <c r="C84" i="12" s="1"/>
  <c r="E77" i="12"/>
  <c r="E76" i="12"/>
  <c r="U11" i="10"/>
  <c r="G12" i="10"/>
  <c r="U12" i="10" s="1"/>
  <c r="Q26" i="10"/>
  <c r="C27" i="10"/>
  <c r="G31" i="12"/>
  <c r="G30" i="12"/>
  <c r="T30" i="10"/>
  <c r="F31" i="10"/>
  <c r="G43" i="12"/>
  <c r="G44" i="12" s="1"/>
  <c r="G42" i="12"/>
  <c r="W23" i="11"/>
  <c r="AA22" i="11"/>
  <c r="E41" i="11"/>
  <c r="E42" i="11" s="1"/>
  <c r="E43" i="11" s="1"/>
  <c r="E44" i="11" s="1"/>
  <c r="C40" i="11"/>
  <c r="C41" i="11" s="1"/>
  <c r="C42" i="11" s="1"/>
  <c r="C43" i="11" s="1"/>
  <c r="C44" i="11" s="1"/>
  <c r="AG35" i="11"/>
  <c r="AG36" i="11" s="1"/>
  <c r="AG37" i="11" s="1"/>
  <c r="AG38" i="11" s="1"/>
  <c r="AG39" i="11" s="1"/>
  <c r="AK36" i="11"/>
  <c r="AO35" i="11"/>
  <c r="Y8" i="10"/>
  <c r="K8" i="10"/>
  <c r="S8" i="10"/>
  <c r="F69" i="12"/>
  <c r="F68" i="12"/>
  <c r="G20" i="12"/>
  <c r="G21" i="12"/>
  <c r="C20" i="10"/>
  <c r="Q20" i="10" s="1"/>
  <c r="Q19" i="10"/>
  <c r="G28" i="11"/>
  <c r="K27" i="11"/>
  <c r="AK28" i="11"/>
  <c r="AO27" i="11"/>
  <c r="AY9" i="11" l="1"/>
  <c r="BC9" i="11" s="1"/>
  <c r="BC8" i="11"/>
  <c r="AO23" i="11"/>
  <c r="AK24" i="11"/>
  <c r="AO24" i="11" s="1"/>
  <c r="G69" i="12"/>
  <c r="G68" i="12"/>
  <c r="W24" i="11"/>
  <c r="AA24" i="11" s="1"/>
  <c r="AA23" i="11"/>
  <c r="E79" i="12"/>
  <c r="E78" i="12"/>
  <c r="W14" i="11"/>
  <c r="AA14" i="11" s="1"/>
  <c r="AA13" i="11"/>
  <c r="G37" i="10"/>
  <c r="F38" i="10"/>
  <c r="T37" i="10"/>
  <c r="AO32" i="11"/>
  <c r="AK33" i="11"/>
  <c r="U50" i="11"/>
  <c r="U51" i="11" s="1"/>
  <c r="U52" i="11" s="1"/>
  <c r="U53" i="11" s="1"/>
  <c r="U54" i="11" s="1"/>
  <c r="AX50" i="11"/>
  <c r="AW50" i="11"/>
  <c r="AW51" i="11" s="1"/>
  <c r="AW52" i="11" s="1"/>
  <c r="AW53" i="11" s="1"/>
  <c r="AW54" i="11" s="1"/>
  <c r="A55" i="11"/>
  <c r="AJ50" i="11"/>
  <c r="E50" i="11"/>
  <c r="V50" i="11"/>
  <c r="F50" i="11"/>
  <c r="AI50" i="11"/>
  <c r="AI51" i="11" s="1"/>
  <c r="AI52" i="11" s="1"/>
  <c r="AI53" i="11" s="1"/>
  <c r="AI54" i="11" s="1"/>
  <c r="U30" i="10"/>
  <c r="G31" i="10"/>
  <c r="F62" i="12"/>
  <c r="F63" i="12"/>
  <c r="F64" i="12" s="1"/>
  <c r="G52" i="12"/>
  <c r="G53" i="12"/>
  <c r="G54" i="12" s="1"/>
  <c r="BC28" i="11"/>
  <c r="AY29" i="11"/>
  <c r="BC29" i="11" s="1"/>
  <c r="K13" i="11"/>
  <c r="G14" i="11"/>
  <c r="K14" i="11" s="1"/>
  <c r="F95" i="12"/>
  <c r="E95" i="12"/>
  <c r="A105" i="12"/>
  <c r="F70" i="12"/>
  <c r="F71" i="12"/>
  <c r="AY33" i="11"/>
  <c r="BC32" i="11"/>
  <c r="E38" i="10"/>
  <c r="C37" i="10"/>
  <c r="K37" i="10"/>
  <c r="S37" i="10"/>
  <c r="Y37" i="10"/>
  <c r="Q33" i="10"/>
  <c r="C34" i="10"/>
  <c r="G77" i="12"/>
  <c r="G76" i="12"/>
  <c r="J75" i="12" s="1"/>
  <c r="AA36" i="11"/>
  <c r="W37" i="11"/>
  <c r="G32" i="12"/>
  <c r="G33" i="12"/>
  <c r="G34" i="12" s="1"/>
  <c r="AA28" i="11"/>
  <c r="W29" i="11"/>
  <c r="AA29" i="11" s="1"/>
  <c r="AK37" i="11"/>
  <c r="AO36" i="11"/>
  <c r="Q27" i="10"/>
  <c r="C28" i="10"/>
  <c r="Q28" i="10" s="1"/>
  <c r="K28" i="10"/>
  <c r="S28" i="10"/>
  <c r="Y28" i="10"/>
  <c r="W41" i="11"/>
  <c r="AA40" i="11"/>
  <c r="S40" i="11"/>
  <c r="S41" i="11" s="1"/>
  <c r="S42" i="11" s="1"/>
  <c r="S43" i="11" s="1"/>
  <c r="S44" i="11" s="1"/>
  <c r="AY24" i="11"/>
  <c r="BC24" i="11" s="1"/>
  <c r="BC23" i="11"/>
  <c r="F79" i="12"/>
  <c r="F78" i="12"/>
  <c r="G41" i="11"/>
  <c r="K40" i="11"/>
  <c r="W45" i="11"/>
  <c r="V46" i="11"/>
  <c r="V47" i="11" s="1"/>
  <c r="V48" i="11" s="1"/>
  <c r="V49" i="11" s="1"/>
  <c r="E86" i="12"/>
  <c r="E87" i="12"/>
  <c r="T31" i="10"/>
  <c r="F32" i="10"/>
  <c r="T32" i="10" s="1"/>
  <c r="F86" i="12"/>
  <c r="C85" i="12" s="1"/>
  <c r="C86" i="12" s="1"/>
  <c r="C87" i="12" s="1"/>
  <c r="C88" i="12" s="1"/>
  <c r="C89" i="12" s="1"/>
  <c r="C90" i="12" s="1"/>
  <c r="C91" i="12" s="1"/>
  <c r="C92" i="12" s="1"/>
  <c r="C93" i="12" s="1"/>
  <c r="C94" i="12" s="1"/>
  <c r="G85" i="12"/>
  <c r="F87" i="12"/>
  <c r="Q30" i="10"/>
  <c r="C31" i="10"/>
  <c r="G12" i="12"/>
  <c r="G13" i="12"/>
  <c r="G14" i="12" s="1"/>
  <c r="G24" i="11"/>
  <c r="K24" i="11" s="1"/>
  <c r="K23" i="11"/>
  <c r="K28" i="11"/>
  <c r="G29" i="11"/>
  <c r="K29" i="11" s="1"/>
  <c r="C45" i="11"/>
  <c r="C46" i="11" s="1"/>
  <c r="C47" i="11" s="1"/>
  <c r="C48" i="11" s="1"/>
  <c r="C49" i="11" s="1"/>
  <c r="E46" i="11"/>
  <c r="E47" i="11" s="1"/>
  <c r="E48" i="11" s="1"/>
  <c r="E49" i="11" s="1"/>
  <c r="AX46" i="11"/>
  <c r="AX47" i="11" s="1"/>
  <c r="AX48" i="11" s="1"/>
  <c r="AX49" i="11" s="1"/>
  <c r="AY45" i="11"/>
  <c r="G33" i="11"/>
  <c r="K32" i="11"/>
  <c r="J67" i="12"/>
  <c r="J68" i="12" s="1"/>
  <c r="J69" i="12"/>
  <c r="J70" i="12" s="1"/>
  <c r="J71" i="12"/>
  <c r="J72" i="12" s="1"/>
  <c r="J66" i="12"/>
  <c r="J73" i="12"/>
  <c r="J74" i="12" s="1"/>
  <c r="AK29" i="11"/>
  <c r="AO29" i="11" s="1"/>
  <c r="AO28" i="11"/>
  <c r="E70" i="12"/>
  <c r="E71" i="12"/>
  <c r="S31" i="10"/>
  <c r="K31" i="10"/>
  <c r="E32" i="10"/>
  <c r="Y31" i="10"/>
  <c r="G45" i="11"/>
  <c r="F46" i="11"/>
  <c r="F47" i="11" s="1"/>
  <c r="F48" i="11" s="1"/>
  <c r="F49" i="11" s="1"/>
  <c r="F35" i="10"/>
  <c r="T34" i="10"/>
  <c r="K36" i="11"/>
  <c r="G37" i="11"/>
  <c r="A45" i="10"/>
  <c r="E41" i="10"/>
  <c r="A42" i="10"/>
  <c r="A43" i="10" s="1"/>
  <c r="A44" i="10" s="1"/>
  <c r="F41" i="10"/>
  <c r="AA18" i="11"/>
  <c r="W19" i="11"/>
  <c r="AA19" i="11" s="1"/>
  <c r="U27" i="10"/>
  <c r="G28" i="10"/>
  <c r="U28" i="10" s="1"/>
  <c r="BC40" i="11"/>
  <c r="AY41" i="11"/>
  <c r="AU40" i="11"/>
  <c r="AU41" i="11" s="1"/>
  <c r="AU42" i="11" s="1"/>
  <c r="AU43" i="11" s="1"/>
  <c r="AU44" i="11" s="1"/>
  <c r="BC13" i="11"/>
  <c r="AY14" i="11"/>
  <c r="BC14" i="11" s="1"/>
  <c r="AK9" i="11"/>
  <c r="AO9" i="11" s="1"/>
  <c r="AO8" i="11"/>
  <c r="G34" i="10"/>
  <c r="U33" i="10"/>
  <c r="AY37" i="11"/>
  <c r="BC36" i="11"/>
  <c r="K8" i="11"/>
  <c r="G9" i="11"/>
  <c r="K9" i="11" s="1"/>
  <c r="E63" i="12"/>
  <c r="E64" i="12" s="1"/>
  <c r="E62" i="12"/>
  <c r="W33" i="11"/>
  <c r="AA32" i="11"/>
  <c r="G61" i="12"/>
  <c r="G60" i="12"/>
  <c r="S34" i="10"/>
  <c r="K34" i="10"/>
  <c r="E35" i="10"/>
  <c r="Y34" i="10"/>
  <c r="BC18" i="11"/>
  <c r="AY19" i="11"/>
  <c r="BC19" i="11" s="1"/>
  <c r="AG40" i="11"/>
  <c r="AG41" i="11" s="1"/>
  <c r="AG42" i="11" s="1"/>
  <c r="AG43" i="11" s="1"/>
  <c r="AG44" i="11" s="1"/>
  <c r="AK41" i="11"/>
  <c r="AO40" i="11"/>
  <c r="G22" i="12"/>
  <c r="G23" i="12"/>
  <c r="G24" i="12" s="1"/>
  <c r="AA8" i="11"/>
  <c r="W9" i="11"/>
  <c r="AA9" i="11" s="1"/>
  <c r="AK19" i="11"/>
  <c r="AO19" i="11" s="1"/>
  <c r="AO18" i="11"/>
  <c r="G19" i="11"/>
  <c r="K19" i="11" s="1"/>
  <c r="K18" i="11"/>
  <c r="AO13" i="11"/>
  <c r="AK14" i="11"/>
  <c r="AO14" i="11" s="1"/>
  <c r="AK45" i="11"/>
  <c r="AJ46" i="11"/>
  <c r="AJ47" i="11" s="1"/>
  <c r="AJ48" i="11" s="1"/>
  <c r="AJ49" i="11" s="1"/>
  <c r="F36" i="10" l="1"/>
  <c r="T36" i="10" s="1"/>
  <c r="T35" i="10"/>
  <c r="W38" i="11"/>
  <c r="AA37" i="11"/>
  <c r="AY34" i="11"/>
  <c r="BC34" i="11" s="1"/>
  <c r="BC33" i="11"/>
  <c r="F72" i="12"/>
  <c r="F73" i="12"/>
  <c r="F74" i="12" s="1"/>
  <c r="G70" i="12"/>
  <c r="G71" i="12"/>
  <c r="AU45" i="11"/>
  <c r="AU46" i="11" s="1"/>
  <c r="AU47" i="11" s="1"/>
  <c r="AU48" i="11" s="1"/>
  <c r="AU49" i="11" s="1"/>
  <c r="BC45" i="11"/>
  <c r="AY46" i="11"/>
  <c r="F89" i="12"/>
  <c r="F88" i="12"/>
  <c r="V51" i="11"/>
  <c r="V52" i="11" s="1"/>
  <c r="V53" i="11" s="1"/>
  <c r="V54" i="11" s="1"/>
  <c r="W50" i="11"/>
  <c r="K37" i="11"/>
  <c r="G38" i="11"/>
  <c r="AW55" i="11"/>
  <c r="AW56" i="11" s="1"/>
  <c r="AW57" i="11" s="1"/>
  <c r="AW58" i="11" s="1"/>
  <c r="AW59" i="11" s="1"/>
  <c r="F55" i="11"/>
  <c r="AX55" i="11"/>
  <c r="U55" i="11"/>
  <c r="U56" i="11" s="1"/>
  <c r="U57" i="11" s="1"/>
  <c r="U58" i="11" s="1"/>
  <c r="U59" i="11" s="1"/>
  <c r="E55" i="11"/>
  <c r="A60" i="11"/>
  <c r="V55" i="11"/>
  <c r="AJ55" i="11"/>
  <c r="AI55" i="11"/>
  <c r="AI56" i="11" s="1"/>
  <c r="AI57" i="11" s="1"/>
  <c r="AI58" i="11" s="1"/>
  <c r="AI59" i="11" s="1"/>
  <c r="E81" i="12"/>
  <c r="E80" i="12"/>
  <c r="AK46" i="11"/>
  <c r="AO45" i="11"/>
  <c r="AG45" i="11"/>
  <c r="AG46" i="11" s="1"/>
  <c r="AG47" i="11" s="1"/>
  <c r="AG48" i="11" s="1"/>
  <c r="AG49" i="11" s="1"/>
  <c r="AO41" i="11"/>
  <c r="AK42" i="11"/>
  <c r="G63" i="12"/>
  <c r="G64" i="12" s="1"/>
  <c r="G62" i="12"/>
  <c r="K41" i="10"/>
  <c r="E42" i="10"/>
  <c r="Y41" i="10"/>
  <c r="S41" i="10"/>
  <c r="C41" i="10"/>
  <c r="E72" i="12"/>
  <c r="E73" i="12"/>
  <c r="E74" i="12" s="1"/>
  <c r="G87" i="12"/>
  <c r="G86" i="12"/>
  <c r="J85" i="12" s="1"/>
  <c r="F81" i="12"/>
  <c r="F80" i="12"/>
  <c r="AK38" i="11"/>
  <c r="AO37" i="11"/>
  <c r="E51" i="11"/>
  <c r="E52" i="11" s="1"/>
  <c r="E53" i="11" s="1"/>
  <c r="E54" i="11" s="1"/>
  <c r="AJ51" i="11"/>
  <c r="AJ52" i="11" s="1"/>
  <c r="AJ53" i="11" s="1"/>
  <c r="AJ54" i="11" s="1"/>
  <c r="AK50" i="11"/>
  <c r="W34" i="11"/>
  <c r="AA34" i="11" s="1"/>
  <c r="AA33" i="11"/>
  <c r="AY42" i="11"/>
  <c r="BC41" i="11"/>
  <c r="E89" i="12"/>
  <c r="E88" i="12"/>
  <c r="AY50" i="11"/>
  <c r="AX51" i="11"/>
  <c r="AX52" i="11" s="1"/>
  <c r="AX53" i="11" s="1"/>
  <c r="AX54" i="11" s="1"/>
  <c r="W42" i="11"/>
  <c r="AA41" i="11"/>
  <c r="G46" i="11"/>
  <c r="K45" i="11"/>
  <c r="J76" i="12"/>
  <c r="J79" i="12"/>
  <c r="J80" i="12" s="1"/>
  <c r="J81" i="12"/>
  <c r="J82" i="12" s="1"/>
  <c r="J83" i="12"/>
  <c r="J84" i="12" s="1"/>
  <c r="J77" i="12"/>
  <c r="J78" i="12" s="1"/>
  <c r="G32" i="10"/>
  <c r="U32" i="10" s="1"/>
  <c r="U31" i="10"/>
  <c r="A46" i="10"/>
  <c r="A47" i="10" s="1"/>
  <c r="A48" i="10" s="1"/>
  <c r="E45" i="10"/>
  <c r="A49" i="10"/>
  <c r="F45" i="10"/>
  <c r="C38" i="10"/>
  <c r="Q37" i="10"/>
  <c r="E39" i="10"/>
  <c r="Y38" i="10"/>
  <c r="S38" i="10"/>
  <c r="K38" i="10"/>
  <c r="AO33" i="11"/>
  <c r="AK34" i="11"/>
  <c r="AO34" i="11" s="1"/>
  <c r="K35" i="10"/>
  <c r="E36" i="10"/>
  <c r="S35" i="10"/>
  <c r="Y35" i="10"/>
  <c r="BC37" i="11"/>
  <c r="AY38" i="11"/>
  <c r="W46" i="11"/>
  <c r="S45" i="11"/>
  <c r="S46" i="11" s="1"/>
  <c r="S47" i="11" s="1"/>
  <c r="S48" i="11" s="1"/>
  <c r="S49" i="11" s="1"/>
  <c r="AA45" i="11"/>
  <c r="G79" i="12"/>
  <c r="G78" i="12"/>
  <c r="F105" i="12"/>
  <c r="A115" i="12"/>
  <c r="E105" i="12"/>
  <c r="Y32" i="10"/>
  <c r="K32" i="10"/>
  <c r="S32" i="10"/>
  <c r="Q31" i="10"/>
  <c r="C32" i="10"/>
  <c r="Q32" i="10" s="1"/>
  <c r="Q34" i="10"/>
  <c r="C35" i="10"/>
  <c r="E96" i="12"/>
  <c r="C95" i="12"/>
  <c r="C96" i="12" s="1"/>
  <c r="C97" i="12" s="1"/>
  <c r="C98" i="12" s="1"/>
  <c r="C99" i="12" s="1"/>
  <c r="C100" i="12" s="1"/>
  <c r="C101" i="12" s="1"/>
  <c r="C102" i="12" s="1"/>
  <c r="C103" i="12" s="1"/>
  <c r="C104" i="12" s="1"/>
  <c r="E97" i="12"/>
  <c r="T38" i="10"/>
  <c r="F39" i="10"/>
  <c r="G35" i="10"/>
  <c r="U34" i="10"/>
  <c r="F42" i="10"/>
  <c r="G41" i="10"/>
  <c r="T41" i="10"/>
  <c r="K33" i="11"/>
  <c r="G34" i="11"/>
  <c r="K34" i="11" s="1"/>
  <c r="G42" i="11"/>
  <c r="K41" i="11"/>
  <c r="F96" i="12"/>
  <c r="G95" i="12"/>
  <c r="F97" i="12"/>
  <c r="F51" i="11"/>
  <c r="F52" i="11" s="1"/>
  <c r="F53" i="11" s="1"/>
  <c r="F54" i="11" s="1"/>
  <c r="G50" i="11"/>
  <c r="U37" i="10"/>
  <c r="G38" i="10"/>
  <c r="E56" i="11" l="1"/>
  <c r="E57" i="11" s="1"/>
  <c r="E58" i="11" s="1"/>
  <c r="E59" i="11" s="1"/>
  <c r="G43" i="11"/>
  <c r="K42" i="11"/>
  <c r="G81" i="12"/>
  <c r="G80" i="12"/>
  <c r="E91" i="12"/>
  <c r="E90" i="12"/>
  <c r="F82" i="12"/>
  <c r="F83" i="12"/>
  <c r="F84" i="12" s="1"/>
  <c r="AK43" i="11"/>
  <c r="AO42" i="11"/>
  <c r="G72" i="12"/>
  <c r="G73" i="12"/>
  <c r="G74" i="12" s="1"/>
  <c r="C39" i="10"/>
  <c r="Q38" i="10"/>
  <c r="AK51" i="11"/>
  <c r="AO50" i="11"/>
  <c r="AG50" i="11"/>
  <c r="AG51" i="11" s="1"/>
  <c r="AG52" i="11" s="1"/>
  <c r="AG53" i="11" s="1"/>
  <c r="AG54" i="11" s="1"/>
  <c r="T45" i="10"/>
  <c r="F46" i="10"/>
  <c r="G45" i="10"/>
  <c r="K46" i="11"/>
  <c r="G47" i="11"/>
  <c r="E83" i="12"/>
  <c r="E84" i="12" s="1"/>
  <c r="E82" i="12"/>
  <c r="S50" i="11"/>
  <c r="S51" i="11" s="1"/>
  <c r="S52" i="11" s="1"/>
  <c r="S53" i="11" s="1"/>
  <c r="S54" i="11" s="1"/>
  <c r="W51" i="11"/>
  <c r="AA50" i="11"/>
  <c r="G55" i="11"/>
  <c r="F56" i="11"/>
  <c r="F57" i="11" s="1"/>
  <c r="F58" i="11" s="1"/>
  <c r="F59" i="11" s="1"/>
  <c r="C42" i="10"/>
  <c r="Q41" i="10"/>
  <c r="J89" i="12"/>
  <c r="J90" i="12" s="1"/>
  <c r="J91" i="12"/>
  <c r="J92" i="12" s="1"/>
  <c r="J93" i="12"/>
  <c r="J94" i="12" s="1"/>
  <c r="J86" i="12"/>
  <c r="J87" i="12"/>
  <c r="J88" i="12" s="1"/>
  <c r="AX56" i="11"/>
  <c r="AX57" i="11" s="1"/>
  <c r="AX58" i="11" s="1"/>
  <c r="AX59" i="11" s="1"/>
  <c r="AY55" i="11"/>
  <c r="G39" i="10"/>
  <c r="U38" i="10"/>
  <c r="U41" i="10"/>
  <c r="G42" i="10"/>
  <c r="AK47" i="11"/>
  <c r="AO46" i="11"/>
  <c r="K50" i="11"/>
  <c r="G51" i="11"/>
  <c r="U35" i="10"/>
  <c r="G36" i="10"/>
  <c r="U36" i="10" s="1"/>
  <c r="E107" i="12"/>
  <c r="C105" i="12"/>
  <c r="C106" i="12" s="1"/>
  <c r="C107" i="12" s="1"/>
  <c r="C108" i="12" s="1"/>
  <c r="C109" i="12" s="1"/>
  <c r="C110" i="12" s="1"/>
  <c r="C111" i="12" s="1"/>
  <c r="C112" i="12" s="1"/>
  <c r="C113" i="12" s="1"/>
  <c r="C114" i="12" s="1"/>
  <c r="E106" i="12"/>
  <c r="C50" i="11"/>
  <c r="C51" i="11" s="1"/>
  <c r="C52" i="11" s="1"/>
  <c r="C53" i="11" s="1"/>
  <c r="C54" i="11" s="1"/>
  <c r="E43" i="10"/>
  <c r="Y42" i="10"/>
  <c r="S42" i="10"/>
  <c r="K42" i="10"/>
  <c r="AJ56" i="11"/>
  <c r="AJ57" i="11" s="1"/>
  <c r="AJ58" i="11" s="1"/>
  <c r="AJ59" i="11" s="1"/>
  <c r="AK55" i="11"/>
  <c r="AA38" i="11"/>
  <c r="W39" i="11"/>
  <c r="AA39" i="11" s="1"/>
  <c r="E40" i="10"/>
  <c r="Y39" i="10"/>
  <c r="K39" i="10"/>
  <c r="S39" i="10"/>
  <c r="AY39" i="11"/>
  <c r="BC39" i="11" s="1"/>
  <c r="BC38" i="11"/>
  <c r="G39" i="11"/>
  <c r="K39" i="11" s="1"/>
  <c r="K38" i="11"/>
  <c r="T42" i="10"/>
  <c r="F43" i="10"/>
  <c r="W55" i="11"/>
  <c r="V56" i="11"/>
  <c r="V57" i="11" s="1"/>
  <c r="V58" i="11" s="1"/>
  <c r="V59" i="11" s="1"/>
  <c r="F91" i="12"/>
  <c r="F90" i="12"/>
  <c r="Q35" i="10"/>
  <c r="C36" i="10"/>
  <c r="Q36" i="10" s="1"/>
  <c r="BC42" i="11"/>
  <c r="AY43" i="11"/>
  <c r="G88" i="12"/>
  <c r="G89" i="12"/>
  <c r="AA46" i="11"/>
  <c r="W47" i="11"/>
  <c r="A50" i="10"/>
  <c r="A51" i="10" s="1"/>
  <c r="A52" i="10" s="1"/>
  <c r="F49" i="10"/>
  <c r="A53" i="10"/>
  <c r="E49" i="10"/>
  <c r="F98" i="12"/>
  <c r="F99" i="12"/>
  <c r="F40" i="10"/>
  <c r="T40" i="10" s="1"/>
  <c r="T39" i="10"/>
  <c r="Y36" i="10"/>
  <c r="S36" i="10"/>
  <c r="K36" i="10"/>
  <c r="Y45" i="10"/>
  <c r="S45" i="10"/>
  <c r="K45" i="10"/>
  <c r="E46" i="10"/>
  <c r="C45" i="10"/>
  <c r="AA42" i="11"/>
  <c r="W43" i="11"/>
  <c r="G96" i="12"/>
  <c r="J95" i="12" s="1"/>
  <c r="G97" i="12"/>
  <c r="F115" i="12"/>
  <c r="E115" i="12"/>
  <c r="A125" i="12"/>
  <c r="E98" i="12"/>
  <c r="E99" i="12"/>
  <c r="G105" i="12"/>
  <c r="F106" i="12"/>
  <c r="F107" i="12"/>
  <c r="AU50" i="11"/>
  <c r="AU51" i="11" s="1"/>
  <c r="AU52" i="11" s="1"/>
  <c r="AU53" i="11" s="1"/>
  <c r="AU54" i="11" s="1"/>
  <c r="BC50" i="11"/>
  <c r="AY51" i="11"/>
  <c r="AO38" i="11"/>
  <c r="AK39" i="11"/>
  <c r="AO39" i="11" s="1"/>
  <c r="F60" i="11"/>
  <c r="AJ60" i="11"/>
  <c r="E60" i="11"/>
  <c r="AI60" i="11"/>
  <c r="AI61" i="11" s="1"/>
  <c r="AI62" i="11" s="1"/>
  <c r="AI63" i="11" s="1"/>
  <c r="AI64" i="11" s="1"/>
  <c r="AW60" i="11"/>
  <c r="AW61" i="11" s="1"/>
  <c r="AW62" i="11" s="1"/>
  <c r="AW63" i="11" s="1"/>
  <c r="AW64" i="11" s="1"/>
  <c r="A65" i="11"/>
  <c r="V60" i="11"/>
  <c r="U60" i="11"/>
  <c r="U61" i="11" s="1"/>
  <c r="U62" i="11" s="1"/>
  <c r="U63" i="11" s="1"/>
  <c r="U64" i="11" s="1"/>
  <c r="AX60" i="11"/>
  <c r="AY47" i="11"/>
  <c r="BC46" i="11"/>
  <c r="E116" i="12" l="1"/>
  <c r="E117" i="12"/>
  <c r="C43" i="10"/>
  <c r="Q42" i="10"/>
  <c r="BC51" i="11"/>
  <c r="AY52" i="11"/>
  <c r="E93" i="12"/>
  <c r="E94" i="12" s="1"/>
  <c r="E92" i="12"/>
  <c r="AX61" i="11"/>
  <c r="AX62" i="11" s="1"/>
  <c r="AX63" i="11" s="1"/>
  <c r="AX64" i="11" s="1"/>
  <c r="AY60" i="11"/>
  <c r="F109" i="12"/>
  <c r="F108" i="12"/>
  <c r="Y49" i="10"/>
  <c r="S49" i="10"/>
  <c r="K49" i="10"/>
  <c r="E50" i="10"/>
  <c r="C49" i="10"/>
  <c r="C60" i="11"/>
  <c r="C61" i="11" s="1"/>
  <c r="C62" i="11" s="1"/>
  <c r="C63" i="11" s="1"/>
  <c r="C64" i="11" s="1"/>
  <c r="E61" i="11"/>
  <c r="E62" i="11" s="1"/>
  <c r="E63" i="11" s="1"/>
  <c r="E64" i="11" s="1"/>
  <c r="W48" i="11"/>
  <c r="AA47" i="11"/>
  <c r="T43" i="10"/>
  <c r="F44" i="10"/>
  <c r="T44" i="10" s="1"/>
  <c r="AK56" i="11"/>
  <c r="AO55" i="11"/>
  <c r="AG55" i="11"/>
  <c r="AG56" i="11" s="1"/>
  <c r="AG57" i="11" s="1"/>
  <c r="AG58" i="11" s="1"/>
  <c r="AG59" i="11" s="1"/>
  <c r="G52" i="11"/>
  <c r="K51" i="11"/>
  <c r="G48" i="11"/>
  <c r="K47" i="11"/>
  <c r="J103" i="12"/>
  <c r="J104" i="12" s="1"/>
  <c r="J96" i="12"/>
  <c r="J101" i="12"/>
  <c r="J102" i="12" s="1"/>
  <c r="J99" i="12"/>
  <c r="J100" i="12" s="1"/>
  <c r="J97" i="12"/>
  <c r="J98" i="12" s="1"/>
  <c r="Y43" i="10"/>
  <c r="E44" i="10"/>
  <c r="S43" i="10"/>
  <c r="K43" i="10"/>
  <c r="AJ61" i="11"/>
  <c r="AJ62" i="11" s="1"/>
  <c r="AJ63" i="11" s="1"/>
  <c r="AJ64" i="11" s="1"/>
  <c r="AK60" i="11"/>
  <c r="F125" i="12"/>
  <c r="E125" i="12"/>
  <c r="A135" i="12"/>
  <c r="AO43" i="11"/>
  <c r="AK44" i="11"/>
  <c r="AO44" i="11" s="1"/>
  <c r="U39" i="10"/>
  <c r="G40" i="10"/>
  <c r="U40" i="10" s="1"/>
  <c r="AK52" i="11"/>
  <c r="AO51" i="11"/>
  <c r="G82" i="12"/>
  <c r="G83" i="12"/>
  <c r="G84" i="12" s="1"/>
  <c r="G60" i="11"/>
  <c r="F61" i="11"/>
  <c r="F62" i="11" s="1"/>
  <c r="F63" i="11" s="1"/>
  <c r="F64" i="11" s="1"/>
  <c r="G91" i="12"/>
  <c r="G90" i="12"/>
  <c r="AO47" i="11"/>
  <c r="AK48" i="11"/>
  <c r="F47" i="10"/>
  <c r="T46" i="10"/>
  <c r="C46" i="10"/>
  <c r="Q45" i="10"/>
  <c r="AU55" i="11"/>
  <c r="AU56" i="11" s="1"/>
  <c r="AU57" i="11" s="1"/>
  <c r="AU58" i="11" s="1"/>
  <c r="AU59" i="11" s="1"/>
  <c r="AY56" i="11"/>
  <c r="BC55" i="11"/>
  <c r="W52" i="11"/>
  <c r="AA51" i="11"/>
  <c r="V65" i="11"/>
  <c r="AW65" i="11"/>
  <c r="AW66" i="11" s="1"/>
  <c r="AW67" i="11" s="1"/>
  <c r="AW68" i="11" s="1"/>
  <c r="AW69" i="11" s="1"/>
  <c r="U65" i="11"/>
  <c r="U66" i="11" s="1"/>
  <c r="U67" i="11" s="1"/>
  <c r="U68" i="11" s="1"/>
  <c r="U69" i="11" s="1"/>
  <c r="A70" i="11"/>
  <c r="F65" i="11"/>
  <c r="E65" i="11"/>
  <c r="AI65" i="11"/>
  <c r="AI66" i="11" s="1"/>
  <c r="AI67" i="11" s="1"/>
  <c r="AI68" i="11" s="1"/>
  <c r="AI69" i="11" s="1"/>
  <c r="AJ65" i="11"/>
  <c r="AX65" i="11"/>
  <c r="S46" i="10"/>
  <c r="E47" i="10"/>
  <c r="Y46" i="10"/>
  <c r="K46" i="10"/>
  <c r="F53" i="10"/>
  <c r="A57" i="10"/>
  <c r="A54" i="10"/>
  <c r="A55" i="10" s="1"/>
  <c r="A56" i="10" s="1"/>
  <c r="E53" i="10"/>
  <c r="F93" i="12"/>
  <c r="F94" i="12" s="1"/>
  <c r="F92" i="12"/>
  <c r="Y40" i="10"/>
  <c r="K40" i="10"/>
  <c r="S40" i="10"/>
  <c r="E108" i="12"/>
  <c r="E109" i="12"/>
  <c r="C40" i="10"/>
  <c r="Q40" i="10" s="1"/>
  <c r="Q39" i="10"/>
  <c r="K43" i="11"/>
  <c r="G44" i="11"/>
  <c r="K44" i="11" s="1"/>
  <c r="U45" i="10"/>
  <c r="G46" i="10"/>
  <c r="G98" i="12"/>
  <c r="G99" i="12"/>
  <c r="BC43" i="11"/>
  <c r="AY44" i="11"/>
  <c r="BC44" i="11" s="1"/>
  <c r="K55" i="11"/>
  <c r="G56" i="11"/>
  <c r="T49" i="10"/>
  <c r="G49" i="10"/>
  <c r="F50" i="10"/>
  <c r="C55" i="11"/>
  <c r="C56" i="11" s="1"/>
  <c r="C57" i="11" s="1"/>
  <c r="C58" i="11" s="1"/>
  <c r="C59" i="11" s="1"/>
  <c r="G115" i="12"/>
  <c r="F116" i="12"/>
  <c r="C115" i="12" s="1"/>
  <c r="C116" i="12" s="1"/>
  <c r="C117" i="12" s="1"/>
  <c r="C118" i="12" s="1"/>
  <c r="C119" i="12" s="1"/>
  <c r="C120" i="12" s="1"/>
  <c r="C121" i="12" s="1"/>
  <c r="C122" i="12" s="1"/>
  <c r="C123" i="12" s="1"/>
  <c r="C124" i="12" s="1"/>
  <c r="F117" i="12"/>
  <c r="U42" i="10"/>
  <c r="G43" i="10"/>
  <c r="AY48" i="11"/>
  <c r="BC47" i="11"/>
  <c r="W44" i="11"/>
  <c r="AA44" i="11" s="1"/>
  <c r="AA43" i="11"/>
  <c r="F101" i="12"/>
  <c r="F100" i="12"/>
  <c r="W60" i="11"/>
  <c r="V61" i="11"/>
  <c r="V62" i="11" s="1"/>
  <c r="V63" i="11" s="1"/>
  <c r="V64" i="11" s="1"/>
  <c r="G107" i="12"/>
  <c r="G106" i="12"/>
  <c r="J105" i="12" s="1"/>
  <c r="E101" i="12"/>
  <c r="E100" i="12"/>
  <c r="S55" i="11"/>
  <c r="S56" i="11" s="1"/>
  <c r="S57" i="11" s="1"/>
  <c r="S58" i="11" s="1"/>
  <c r="S59" i="11" s="1"/>
  <c r="W56" i="11"/>
  <c r="AA55" i="11"/>
  <c r="G57" i="11" l="1"/>
  <c r="K56" i="11"/>
  <c r="E110" i="12"/>
  <c r="E111" i="12"/>
  <c r="C50" i="10"/>
  <c r="Q49" i="10"/>
  <c r="AX70" i="11"/>
  <c r="AW70" i="11"/>
  <c r="AW71" i="11" s="1"/>
  <c r="AW72" i="11" s="1"/>
  <c r="AW73" i="11" s="1"/>
  <c r="AW74" i="11" s="1"/>
  <c r="F70" i="11"/>
  <c r="E70" i="11"/>
  <c r="AJ70" i="11"/>
  <c r="A75" i="11"/>
  <c r="AI70" i="11"/>
  <c r="AI71" i="11" s="1"/>
  <c r="AI72" i="11" s="1"/>
  <c r="AI73" i="11" s="1"/>
  <c r="AI74" i="11" s="1"/>
  <c r="V70" i="11"/>
  <c r="U70" i="11"/>
  <c r="U71" i="11" s="1"/>
  <c r="U72" i="11" s="1"/>
  <c r="U73" i="11" s="1"/>
  <c r="U74" i="11" s="1"/>
  <c r="T47" i="10"/>
  <c r="F48" i="10"/>
  <c r="T48" i="10" s="1"/>
  <c r="F110" i="12"/>
  <c r="F111" i="12"/>
  <c r="G93" i="12"/>
  <c r="G94" i="12" s="1"/>
  <c r="G92" i="12"/>
  <c r="G44" i="10"/>
  <c r="U44" i="10" s="1"/>
  <c r="U43" i="10"/>
  <c r="AJ66" i="11"/>
  <c r="AJ67" i="11" s="1"/>
  <c r="AJ68" i="11" s="1"/>
  <c r="AJ69" i="11" s="1"/>
  <c r="AK65" i="11"/>
  <c r="AA60" i="11"/>
  <c r="W61" i="11"/>
  <c r="S60" i="11"/>
  <c r="S61" i="11" s="1"/>
  <c r="S62" i="11" s="1"/>
  <c r="S63" i="11" s="1"/>
  <c r="S64" i="11" s="1"/>
  <c r="T50" i="10"/>
  <c r="F51" i="10"/>
  <c r="F57" i="10"/>
  <c r="A61" i="10"/>
  <c r="A58" i="10"/>
  <c r="A59" i="10" s="1"/>
  <c r="A60" i="10" s="1"/>
  <c r="E57" i="10"/>
  <c r="AK49" i="11"/>
  <c r="AO49" i="11" s="1"/>
  <c r="AO48" i="11"/>
  <c r="AY61" i="11"/>
  <c r="AU60" i="11"/>
  <c r="AU61" i="11" s="1"/>
  <c r="AU62" i="11" s="1"/>
  <c r="AU63" i="11" s="1"/>
  <c r="AU64" i="11" s="1"/>
  <c r="BC60" i="11"/>
  <c r="W65" i="11"/>
  <c r="V66" i="11"/>
  <c r="V67" i="11" s="1"/>
  <c r="V68" i="11" s="1"/>
  <c r="V69" i="11" s="1"/>
  <c r="W49" i="11"/>
  <c r="AA49" i="11" s="1"/>
  <c r="AA48" i="11"/>
  <c r="Y47" i="10"/>
  <c r="E48" i="10"/>
  <c r="S47" i="10"/>
  <c r="K47" i="10"/>
  <c r="W53" i="11"/>
  <c r="AA52" i="11"/>
  <c r="G61" i="11"/>
  <c r="K60" i="11"/>
  <c r="AK61" i="11"/>
  <c r="AO60" i="11"/>
  <c r="AG60" i="11"/>
  <c r="AG61" i="11" s="1"/>
  <c r="AG62" i="11" s="1"/>
  <c r="AG63" i="11" s="1"/>
  <c r="AG64" i="11" s="1"/>
  <c r="S50" i="10"/>
  <c r="K50" i="10"/>
  <c r="E51" i="10"/>
  <c r="Y50" i="10"/>
  <c r="K52" i="11"/>
  <c r="G53" i="11"/>
  <c r="C44" i="10"/>
  <c r="Q44" i="10" s="1"/>
  <c r="Q43" i="10"/>
  <c r="F103" i="12"/>
  <c r="F104" i="12" s="1"/>
  <c r="F102" i="12"/>
  <c r="T53" i="10"/>
  <c r="F54" i="10"/>
  <c r="G53" i="10"/>
  <c r="E126" i="12"/>
  <c r="C125" i="12"/>
  <c r="C126" i="12" s="1"/>
  <c r="C127" i="12" s="1"/>
  <c r="C128" i="12" s="1"/>
  <c r="C129" i="12" s="1"/>
  <c r="C130" i="12" s="1"/>
  <c r="C131" i="12" s="1"/>
  <c r="C132" i="12" s="1"/>
  <c r="C133" i="12" s="1"/>
  <c r="C134" i="12" s="1"/>
  <c r="E127" i="12"/>
  <c r="W57" i="11"/>
  <c r="AA56" i="11"/>
  <c r="F126" i="12"/>
  <c r="G125" i="12"/>
  <c r="F127" i="12"/>
  <c r="BC48" i="11"/>
  <c r="AY49" i="11"/>
  <c r="BC49" i="11" s="1"/>
  <c r="AY57" i="11"/>
  <c r="BC56" i="11"/>
  <c r="E103" i="12"/>
  <c r="E104" i="12" s="1"/>
  <c r="E102" i="12"/>
  <c r="G100" i="12"/>
  <c r="G101" i="12"/>
  <c r="E118" i="12"/>
  <c r="E119" i="12"/>
  <c r="AY53" i="11"/>
  <c r="BC52" i="11"/>
  <c r="AY65" i="11"/>
  <c r="AX66" i="11"/>
  <c r="AX67" i="11" s="1"/>
  <c r="AX68" i="11" s="1"/>
  <c r="AX69" i="11" s="1"/>
  <c r="F118" i="12"/>
  <c r="F119" i="12"/>
  <c r="E66" i="11"/>
  <c r="E67" i="11" s="1"/>
  <c r="E68" i="11" s="1"/>
  <c r="E69" i="11" s="1"/>
  <c r="C65" i="11"/>
  <c r="C66" i="11" s="1"/>
  <c r="C67" i="11" s="1"/>
  <c r="C68" i="11" s="1"/>
  <c r="C69" i="11" s="1"/>
  <c r="C47" i="10"/>
  <c r="Q46" i="10"/>
  <c r="AO52" i="11"/>
  <c r="AK53" i="11"/>
  <c r="S44" i="10"/>
  <c r="K44" i="10"/>
  <c r="Y44" i="10"/>
  <c r="U49" i="10"/>
  <c r="G50" i="10"/>
  <c r="E135" i="12"/>
  <c r="A145" i="12"/>
  <c r="F135" i="12"/>
  <c r="G49" i="11"/>
  <c r="K49" i="11" s="1"/>
  <c r="K48" i="11"/>
  <c r="J107" i="12"/>
  <c r="J108" i="12" s="1"/>
  <c r="J113" i="12"/>
  <c r="J114" i="12" s="1"/>
  <c r="J106" i="12"/>
  <c r="J111" i="12"/>
  <c r="J112" i="12" s="1"/>
  <c r="J109" i="12"/>
  <c r="J110" i="12" s="1"/>
  <c r="G108" i="12"/>
  <c r="G109" i="12"/>
  <c r="U46" i="10"/>
  <c r="G47" i="10"/>
  <c r="G117" i="12"/>
  <c r="G116" i="12"/>
  <c r="J115" i="12" s="1"/>
  <c r="K53" i="10"/>
  <c r="E54" i="10"/>
  <c r="S53" i="10"/>
  <c r="C53" i="10"/>
  <c r="Y53" i="10"/>
  <c r="F66" i="11"/>
  <c r="F67" i="11" s="1"/>
  <c r="F68" i="11" s="1"/>
  <c r="F69" i="11" s="1"/>
  <c r="G65" i="11"/>
  <c r="AO56" i="11"/>
  <c r="AK57" i="11"/>
  <c r="J117" i="12" l="1"/>
  <c r="J118" i="12" s="1"/>
  <c r="J123" i="12"/>
  <c r="J124" i="12" s="1"/>
  <c r="J116" i="12"/>
  <c r="J121" i="12"/>
  <c r="J122" i="12" s="1"/>
  <c r="J119" i="12"/>
  <c r="J120" i="12" s="1"/>
  <c r="AK58" i="11"/>
  <c r="AO57" i="11"/>
  <c r="F120" i="12"/>
  <c r="F121" i="12"/>
  <c r="G54" i="10"/>
  <c r="U53" i="10"/>
  <c r="K54" i="10"/>
  <c r="E55" i="10"/>
  <c r="S54" i="10"/>
  <c r="Y54" i="10"/>
  <c r="G54" i="11"/>
  <c r="K54" i="11" s="1"/>
  <c r="K53" i="11"/>
  <c r="AA53" i="11"/>
  <c r="W54" i="11"/>
  <c r="AA54" i="11" s="1"/>
  <c r="A80" i="11"/>
  <c r="AJ75" i="11"/>
  <c r="E75" i="11"/>
  <c r="AI75" i="11"/>
  <c r="AI76" i="11" s="1"/>
  <c r="AI77" i="11" s="1"/>
  <c r="AI78" i="11" s="1"/>
  <c r="AI79" i="11" s="1"/>
  <c r="V75" i="11"/>
  <c r="U75" i="11"/>
  <c r="U76" i="11" s="1"/>
  <c r="U77" i="11" s="1"/>
  <c r="U78" i="11" s="1"/>
  <c r="U79" i="11" s="1"/>
  <c r="F75" i="11"/>
  <c r="AW75" i="11"/>
  <c r="AW76" i="11" s="1"/>
  <c r="AW77" i="11" s="1"/>
  <c r="AW78" i="11" s="1"/>
  <c r="AW79" i="11" s="1"/>
  <c r="AX75" i="11"/>
  <c r="S51" i="10"/>
  <c r="K51" i="10"/>
  <c r="Y51" i="10"/>
  <c r="E52" i="10"/>
  <c r="G103" i="12"/>
  <c r="G104" i="12" s="1"/>
  <c r="G102" i="12"/>
  <c r="W58" i="11"/>
  <c r="AA57" i="11"/>
  <c r="AK70" i="11"/>
  <c r="AJ71" i="11"/>
  <c r="AJ72" i="11" s="1"/>
  <c r="AJ73" i="11" s="1"/>
  <c r="AJ74" i="11" s="1"/>
  <c r="F113" i="12"/>
  <c r="F114" i="12" s="1"/>
  <c r="F112" i="12"/>
  <c r="AX71" i="11"/>
  <c r="AX72" i="11" s="1"/>
  <c r="AX73" i="11" s="1"/>
  <c r="AX74" i="11" s="1"/>
  <c r="AY70" i="11"/>
  <c r="T51" i="10"/>
  <c r="F52" i="10"/>
  <c r="T52" i="10" s="1"/>
  <c r="K65" i="11"/>
  <c r="G66" i="11"/>
  <c r="C51" i="10"/>
  <c r="Q50" i="10"/>
  <c r="G111" i="12"/>
  <c r="G110" i="12"/>
  <c r="G51" i="10"/>
  <c r="U50" i="10"/>
  <c r="BC57" i="11"/>
  <c r="AY58" i="11"/>
  <c r="T54" i="10"/>
  <c r="F55" i="10"/>
  <c r="BC65" i="11"/>
  <c r="AU65" i="11"/>
  <c r="AU66" i="11" s="1"/>
  <c r="AU67" i="11" s="1"/>
  <c r="AU68" i="11" s="1"/>
  <c r="AU69" i="11" s="1"/>
  <c r="AY66" i="11"/>
  <c r="AO61" i="11"/>
  <c r="AK62" i="11"/>
  <c r="W66" i="11"/>
  <c r="S65" i="11"/>
  <c r="S66" i="11" s="1"/>
  <c r="S67" i="11" s="1"/>
  <c r="S68" i="11" s="1"/>
  <c r="S69" i="11" s="1"/>
  <c r="AA65" i="11"/>
  <c r="E113" i="12"/>
  <c r="E114" i="12" s="1"/>
  <c r="E112" i="12"/>
  <c r="E58" i="10"/>
  <c r="C57" i="10"/>
  <c r="Y57" i="10"/>
  <c r="K57" i="10"/>
  <c r="S57" i="10"/>
  <c r="F137" i="12"/>
  <c r="F136" i="12"/>
  <c r="G135" i="12"/>
  <c r="W62" i="11"/>
  <c r="AA61" i="11"/>
  <c r="Q47" i="10"/>
  <c r="C48" i="10"/>
  <c r="Q48" i="10" s="1"/>
  <c r="E128" i="12"/>
  <c r="E129" i="12"/>
  <c r="C70" i="11"/>
  <c r="C71" i="11" s="1"/>
  <c r="C72" i="11" s="1"/>
  <c r="C73" i="11" s="1"/>
  <c r="C74" i="11" s="1"/>
  <c r="E71" i="11"/>
  <c r="E72" i="11" s="1"/>
  <c r="E73" i="11" s="1"/>
  <c r="E74" i="11" s="1"/>
  <c r="G118" i="12"/>
  <c r="G119" i="12"/>
  <c r="G70" i="11"/>
  <c r="F71" i="11"/>
  <c r="F72" i="11" s="1"/>
  <c r="F73" i="11" s="1"/>
  <c r="F74" i="11" s="1"/>
  <c r="U47" i="10"/>
  <c r="G48" i="10"/>
  <c r="U48" i="10" s="1"/>
  <c r="A155" i="12"/>
  <c r="F145" i="12"/>
  <c r="E145" i="12"/>
  <c r="A65" i="10"/>
  <c r="E61" i="10"/>
  <c r="A62" i="10"/>
  <c r="A63" i="10" s="1"/>
  <c r="A64" i="10" s="1"/>
  <c r="F61" i="10"/>
  <c r="E136" i="12"/>
  <c r="C135" i="12" s="1"/>
  <c r="C136" i="12" s="1"/>
  <c r="C137" i="12" s="1"/>
  <c r="C138" i="12" s="1"/>
  <c r="C139" i="12" s="1"/>
  <c r="C140" i="12" s="1"/>
  <c r="C141" i="12" s="1"/>
  <c r="C142" i="12" s="1"/>
  <c r="C143" i="12" s="1"/>
  <c r="C144" i="12" s="1"/>
  <c r="E137" i="12"/>
  <c r="G57" i="10"/>
  <c r="F58" i="10"/>
  <c r="T57" i="10"/>
  <c r="F128" i="12"/>
  <c r="F129" i="12"/>
  <c r="V71" i="11"/>
  <c r="V72" i="11" s="1"/>
  <c r="V73" i="11" s="1"/>
  <c r="V74" i="11" s="1"/>
  <c r="W70" i="11"/>
  <c r="S48" i="10"/>
  <c r="K48" i="10"/>
  <c r="Y48" i="10"/>
  <c r="Q53" i="10"/>
  <c r="C54" i="10"/>
  <c r="BC53" i="11"/>
  <c r="AY54" i="11"/>
  <c r="BC54" i="11" s="1"/>
  <c r="G126" i="12"/>
  <c r="J125" i="12" s="1"/>
  <c r="G127" i="12"/>
  <c r="K61" i="11"/>
  <c r="G62" i="11"/>
  <c r="AO53" i="11"/>
  <c r="AK54" i="11"/>
  <c r="AO54" i="11" s="1"/>
  <c r="E121" i="12"/>
  <c r="E120" i="12"/>
  <c r="AY62" i="11"/>
  <c r="BC61" i="11"/>
  <c r="AO65" i="11"/>
  <c r="AG65" i="11"/>
  <c r="AG66" i="11" s="1"/>
  <c r="AG67" i="11" s="1"/>
  <c r="AG68" i="11" s="1"/>
  <c r="AG69" i="11" s="1"/>
  <c r="AK66" i="11"/>
  <c r="K57" i="11"/>
  <c r="G58" i="11"/>
  <c r="F123" i="12" l="1"/>
  <c r="F124" i="12" s="1"/>
  <c r="F122" i="12"/>
  <c r="E131" i="12"/>
  <c r="E130" i="12"/>
  <c r="G128" i="12"/>
  <c r="G129" i="12"/>
  <c r="F146" i="12"/>
  <c r="F147" i="12"/>
  <c r="G145" i="12"/>
  <c r="AY71" i="11"/>
  <c r="AU70" i="11"/>
  <c r="AU71" i="11" s="1"/>
  <c r="AU72" i="11" s="1"/>
  <c r="AU73" i="11" s="1"/>
  <c r="AU74" i="11" s="1"/>
  <c r="BC70" i="11"/>
  <c r="AK59" i="11"/>
  <c r="AO59" i="11" s="1"/>
  <c r="AO58" i="11"/>
  <c r="W75" i="11"/>
  <c r="V76" i="11"/>
  <c r="V77" i="11" s="1"/>
  <c r="V78" i="11" s="1"/>
  <c r="V79" i="11" s="1"/>
  <c r="Q57" i="10"/>
  <c r="C58" i="10"/>
  <c r="F80" i="11"/>
  <c r="U80" i="11"/>
  <c r="U81" i="11" s="1"/>
  <c r="U82" i="11" s="1"/>
  <c r="U83" i="11" s="1"/>
  <c r="U84" i="11" s="1"/>
  <c r="A85" i="11"/>
  <c r="AX80" i="11"/>
  <c r="AW80" i="11"/>
  <c r="AW81" i="11" s="1"/>
  <c r="AW82" i="11" s="1"/>
  <c r="AW83" i="11" s="1"/>
  <c r="AW84" i="11" s="1"/>
  <c r="E80" i="11"/>
  <c r="V80" i="11"/>
  <c r="AI80" i="11"/>
  <c r="AI81" i="11" s="1"/>
  <c r="AI82" i="11" s="1"/>
  <c r="AI83" i="11" s="1"/>
  <c r="AI84" i="11" s="1"/>
  <c r="AJ80" i="11"/>
  <c r="BC58" i="11"/>
  <c r="AY59" i="11"/>
  <c r="BC59" i="11" s="1"/>
  <c r="G120" i="12"/>
  <c r="G121" i="12"/>
  <c r="F138" i="12"/>
  <c r="F139" i="12"/>
  <c r="E122" i="12"/>
  <c r="E123" i="12"/>
  <c r="E124" i="12" s="1"/>
  <c r="G61" i="10"/>
  <c r="F62" i="10"/>
  <c r="T61" i="10"/>
  <c r="BC66" i="11"/>
  <c r="AY67" i="11"/>
  <c r="Q51" i="10"/>
  <c r="C52" i="10"/>
  <c r="Q52" i="10" s="1"/>
  <c r="AA58" i="11"/>
  <c r="W59" i="11"/>
  <c r="AA59" i="11" s="1"/>
  <c r="S70" i="11"/>
  <c r="S71" i="11" s="1"/>
  <c r="S72" i="11" s="1"/>
  <c r="S73" i="11" s="1"/>
  <c r="S74" i="11" s="1"/>
  <c r="W71" i="11"/>
  <c r="AA70" i="11"/>
  <c r="E62" i="10"/>
  <c r="C61" i="10"/>
  <c r="K61" i="10"/>
  <c r="S61" i="10"/>
  <c r="Y61" i="10"/>
  <c r="J133" i="12"/>
  <c r="J134" i="12" s="1"/>
  <c r="J127" i="12"/>
  <c r="J128" i="12" s="1"/>
  <c r="J131" i="12"/>
  <c r="J132" i="12" s="1"/>
  <c r="J126" i="12"/>
  <c r="J129" i="12"/>
  <c r="J130" i="12" s="1"/>
  <c r="F155" i="12"/>
  <c r="E155" i="12"/>
  <c r="A165" i="12"/>
  <c r="G67" i="11"/>
  <c r="K66" i="11"/>
  <c r="AY75" i="11"/>
  <c r="AX76" i="11"/>
  <c r="AX77" i="11" s="1"/>
  <c r="AX78" i="11" s="1"/>
  <c r="AX79" i="11" s="1"/>
  <c r="AJ76" i="11"/>
  <c r="AJ77" i="11" s="1"/>
  <c r="AJ78" i="11" s="1"/>
  <c r="AJ79" i="11" s="1"/>
  <c r="AK75" i="11"/>
  <c r="E146" i="12"/>
  <c r="E147" i="12"/>
  <c r="C145" i="12"/>
  <c r="C146" i="12" s="1"/>
  <c r="C147" i="12" s="1"/>
  <c r="C148" i="12" s="1"/>
  <c r="C149" i="12" s="1"/>
  <c r="C150" i="12" s="1"/>
  <c r="C151" i="12" s="1"/>
  <c r="C152" i="12" s="1"/>
  <c r="C153" i="12" s="1"/>
  <c r="C154" i="12" s="1"/>
  <c r="AO66" i="11"/>
  <c r="AK67" i="11"/>
  <c r="G58" i="10"/>
  <c r="U57" i="10"/>
  <c r="AA62" i="11"/>
  <c r="W63" i="11"/>
  <c r="E76" i="11"/>
  <c r="E77" i="11" s="1"/>
  <c r="E78" i="11" s="1"/>
  <c r="E79" i="11" s="1"/>
  <c r="C75" i="11"/>
  <c r="C76" i="11" s="1"/>
  <c r="C77" i="11" s="1"/>
  <c r="C78" i="11" s="1"/>
  <c r="C79" i="11" s="1"/>
  <c r="G55" i="10"/>
  <c r="U54" i="10"/>
  <c r="F59" i="10"/>
  <c r="T58" i="10"/>
  <c r="U51" i="10"/>
  <c r="G52" i="10"/>
  <c r="U52" i="10" s="1"/>
  <c r="F76" i="11"/>
  <c r="F77" i="11" s="1"/>
  <c r="F78" i="11" s="1"/>
  <c r="F79" i="11" s="1"/>
  <c r="G75" i="11"/>
  <c r="G63" i="11"/>
  <c r="K62" i="11"/>
  <c r="A69" i="10"/>
  <c r="E65" i="10"/>
  <c r="A66" i="10"/>
  <c r="A67" i="10" s="1"/>
  <c r="A68" i="10" s="1"/>
  <c r="F65" i="10"/>
  <c r="T55" i="10"/>
  <c r="F56" i="10"/>
  <c r="T56" i="10" s="1"/>
  <c r="K52" i="10"/>
  <c r="S52" i="10"/>
  <c r="Y52" i="10"/>
  <c r="K58" i="11"/>
  <c r="G59" i="11"/>
  <c r="K59" i="11" s="1"/>
  <c r="F131" i="12"/>
  <c r="F130" i="12"/>
  <c r="S58" i="10"/>
  <c r="K58" i="10"/>
  <c r="E59" i="10"/>
  <c r="Y58" i="10"/>
  <c r="Q54" i="10"/>
  <c r="C55" i="10"/>
  <c r="G136" i="12"/>
  <c r="J135" i="12" s="1"/>
  <c r="G137" i="12"/>
  <c r="AA66" i="11"/>
  <c r="W67" i="11"/>
  <c r="AY63" i="11"/>
  <c r="BC62" i="11"/>
  <c r="E139" i="12"/>
  <c r="E138" i="12"/>
  <c r="G71" i="11"/>
  <c r="K70" i="11"/>
  <c r="AK63" i="11"/>
  <c r="AO62" i="11"/>
  <c r="G112" i="12"/>
  <c r="G113" i="12"/>
  <c r="G114" i="12" s="1"/>
  <c r="AK71" i="11"/>
  <c r="AO70" i="11"/>
  <c r="AG70" i="11"/>
  <c r="AG71" i="11" s="1"/>
  <c r="AG72" i="11" s="1"/>
  <c r="AG73" i="11" s="1"/>
  <c r="AG74" i="11" s="1"/>
  <c r="S55" i="10"/>
  <c r="K55" i="10"/>
  <c r="E56" i="10"/>
  <c r="Y55" i="10"/>
  <c r="AI85" i="11" l="1"/>
  <c r="AI86" i="11" s="1"/>
  <c r="AI87" i="11" s="1"/>
  <c r="AI88" i="11" s="1"/>
  <c r="AI89" i="11" s="1"/>
  <c r="A90" i="11"/>
  <c r="F85" i="11"/>
  <c r="AX85" i="11"/>
  <c r="E85" i="11"/>
  <c r="AW85" i="11"/>
  <c r="AW86" i="11" s="1"/>
  <c r="AW87" i="11" s="1"/>
  <c r="AW88" i="11" s="1"/>
  <c r="AW89" i="11" s="1"/>
  <c r="AJ85" i="11"/>
  <c r="U85" i="11"/>
  <c r="U86" i="11" s="1"/>
  <c r="U87" i="11" s="1"/>
  <c r="U88" i="11" s="1"/>
  <c r="U89" i="11" s="1"/>
  <c r="V85" i="11"/>
  <c r="G123" i="12"/>
  <c r="G124" i="12" s="1"/>
  <c r="G122" i="12"/>
  <c r="Y56" i="10"/>
  <c r="K56" i="10"/>
  <c r="S56" i="10"/>
  <c r="AG75" i="11"/>
  <c r="AG76" i="11" s="1"/>
  <c r="AG77" i="11" s="1"/>
  <c r="AG78" i="11" s="1"/>
  <c r="AG79" i="11" s="1"/>
  <c r="AK76" i="11"/>
  <c r="AO75" i="11"/>
  <c r="Q58" i="10"/>
  <c r="C59" i="10"/>
  <c r="AA67" i="11"/>
  <c r="W68" i="11"/>
  <c r="AO71" i="11"/>
  <c r="AK72" i="11"/>
  <c r="C62" i="10"/>
  <c r="Q61" i="10"/>
  <c r="G139" i="12"/>
  <c r="G138" i="12"/>
  <c r="G59" i="10"/>
  <c r="U58" i="10"/>
  <c r="A175" i="12"/>
  <c r="F165" i="12"/>
  <c r="E165" i="12"/>
  <c r="E63" i="10"/>
  <c r="Y62" i="10"/>
  <c r="S62" i="10"/>
  <c r="K62" i="10"/>
  <c r="G62" i="10"/>
  <c r="U61" i="10"/>
  <c r="E81" i="11"/>
  <c r="E82" i="11" s="1"/>
  <c r="E83" i="11" s="1"/>
  <c r="E84" i="11" s="1"/>
  <c r="F60" i="10"/>
  <c r="T60" i="10" s="1"/>
  <c r="T59" i="10"/>
  <c r="J141" i="12"/>
  <c r="J142" i="12" s="1"/>
  <c r="J137" i="12"/>
  <c r="J138" i="12" s="1"/>
  <c r="J136" i="12"/>
  <c r="J143" i="12"/>
  <c r="J144" i="12" s="1"/>
  <c r="J139" i="12"/>
  <c r="J140" i="12" s="1"/>
  <c r="AK68" i="11"/>
  <c r="AO67" i="11"/>
  <c r="E157" i="12"/>
  <c r="E156" i="12"/>
  <c r="F141" i="12"/>
  <c r="F140" i="12"/>
  <c r="G146" i="12"/>
  <c r="J145" i="12" s="1"/>
  <c r="G147" i="12"/>
  <c r="A70" i="10"/>
  <c r="A71" i="10" s="1"/>
  <c r="A72" i="10" s="1"/>
  <c r="E69" i="10"/>
  <c r="F69" i="10"/>
  <c r="A73" i="10"/>
  <c r="BC67" i="11"/>
  <c r="AY68" i="11"/>
  <c r="W72" i="11"/>
  <c r="AA71" i="11"/>
  <c r="E149" i="12"/>
  <c r="E148" i="12"/>
  <c r="F66" i="10"/>
  <c r="G65" i="10"/>
  <c r="T65" i="10"/>
  <c r="G56" i="10"/>
  <c r="U56" i="10" s="1"/>
  <c r="U55" i="10"/>
  <c r="AY64" i="11"/>
  <c r="BC64" i="11" s="1"/>
  <c r="BC63" i="11"/>
  <c r="F133" i="12"/>
  <c r="F134" i="12" s="1"/>
  <c r="F132" i="12"/>
  <c r="W64" i="11"/>
  <c r="AA64" i="11" s="1"/>
  <c r="AA63" i="11"/>
  <c r="AU75" i="11"/>
  <c r="AU76" i="11" s="1"/>
  <c r="AU77" i="11" s="1"/>
  <c r="AU78" i="11" s="1"/>
  <c r="AU79" i="11" s="1"/>
  <c r="BC75" i="11"/>
  <c r="AY76" i="11"/>
  <c r="AJ81" i="11"/>
  <c r="AJ82" i="11" s="1"/>
  <c r="AJ83" i="11" s="1"/>
  <c r="AJ84" i="11" s="1"/>
  <c r="AK80" i="11"/>
  <c r="AA75" i="11"/>
  <c r="S75" i="11"/>
  <c r="S76" i="11" s="1"/>
  <c r="S77" i="11" s="1"/>
  <c r="S78" i="11" s="1"/>
  <c r="S79" i="11" s="1"/>
  <c r="W76" i="11"/>
  <c r="E133" i="12"/>
  <c r="E134" i="12" s="1"/>
  <c r="E132" i="12"/>
  <c r="Q55" i="10"/>
  <c r="C56" i="10"/>
  <c r="Q56" i="10" s="1"/>
  <c r="G155" i="12"/>
  <c r="F157" i="12"/>
  <c r="F156" i="12"/>
  <c r="C155" i="12" s="1"/>
  <c r="C156" i="12" s="1"/>
  <c r="C157" i="12" s="1"/>
  <c r="C158" i="12" s="1"/>
  <c r="C159" i="12" s="1"/>
  <c r="C160" i="12" s="1"/>
  <c r="C161" i="12" s="1"/>
  <c r="C162" i="12" s="1"/>
  <c r="C163" i="12" s="1"/>
  <c r="C164" i="12" s="1"/>
  <c r="AY72" i="11"/>
  <c r="BC71" i="11"/>
  <c r="F148" i="12"/>
  <c r="F149" i="12"/>
  <c r="K71" i="11"/>
  <c r="G72" i="11"/>
  <c r="K59" i="10"/>
  <c r="E60" i="10"/>
  <c r="S59" i="10"/>
  <c r="Y59" i="10"/>
  <c r="E140" i="12"/>
  <c r="E141" i="12"/>
  <c r="K65" i="10"/>
  <c r="S65" i="10"/>
  <c r="C65" i="10"/>
  <c r="E66" i="10"/>
  <c r="Y65" i="10"/>
  <c r="K63" i="11"/>
  <c r="G64" i="11"/>
  <c r="K64" i="11" s="1"/>
  <c r="AY80" i="11"/>
  <c r="AX81" i="11"/>
  <c r="AX82" i="11" s="1"/>
  <c r="AX83" i="11" s="1"/>
  <c r="AX84" i="11" s="1"/>
  <c r="AO63" i="11"/>
  <c r="AK64" i="11"/>
  <c r="AO64" i="11" s="1"/>
  <c r="G80" i="11"/>
  <c r="C80" i="11" s="1"/>
  <c r="C81" i="11" s="1"/>
  <c r="C82" i="11" s="1"/>
  <c r="C83" i="11" s="1"/>
  <c r="C84" i="11" s="1"/>
  <c r="F81" i="11"/>
  <c r="F82" i="11" s="1"/>
  <c r="F83" i="11" s="1"/>
  <c r="F84" i="11" s="1"/>
  <c r="G130" i="12"/>
  <c r="G131" i="12"/>
  <c r="K75" i="11"/>
  <c r="G76" i="11"/>
  <c r="G68" i="11"/>
  <c r="K67" i="11"/>
  <c r="T62" i="10"/>
  <c r="F63" i="10"/>
  <c r="V81" i="11"/>
  <c r="V82" i="11" s="1"/>
  <c r="V83" i="11" s="1"/>
  <c r="V84" i="11" s="1"/>
  <c r="W80" i="11"/>
  <c r="AK81" i="11" l="1"/>
  <c r="AG80" i="11"/>
  <c r="AG81" i="11" s="1"/>
  <c r="AG82" i="11" s="1"/>
  <c r="AG83" i="11" s="1"/>
  <c r="AG84" i="11" s="1"/>
  <c r="AO80" i="11"/>
  <c r="S80" i="11"/>
  <c r="S81" i="11" s="1"/>
  <c r="S82" i="11" s="1"/>
  <c r="S83" i="11" s="1"/>
  <c r="S84" i="11" s="1"/>
  <c r="W81" i="11"/>
  <c r="AA80" i="11"/>
  <c r="AK85" i="11"/>
  <c r="AJ86" i="11"/>
  <c r="AJ87" i="11" s="1"/>
  <c r="AJ88" i="11" s="1"/>
  <c r="AJ89" i="11" s="1"/>
  <c r="E67" i="10"/>
  <c r="Y66" i="10"/>
  <c r="S66" i="10"/>
  <c r="K66" i="10"/>
  <c r="A74" i="10"/>
  <c r="A75" i="10" s="1"/>
  <c r="A76" i="10" s="1"/>
  <c r="F73" i="10"/>
  <c r="A77" i="10"/>
  <c r="E73" i="10"/>
  <c r="AK69" i="11"/>
  <c r="AO69" i="11" s="1"/>
  <c r="AO68" i="11"/>
  <c r="C63" i="10"/>
  <c r="Q62" i="10"/>
  <c r="Y69" i="10"/>
  <c r="S69" i="10"/>
  <c r="K69" i="10"/>
  <c r="E70" i="10"/>
  <c r="C69" i="10"/>
  <c r="F166" i="12"/>
  <c r="G165" i="12"/>
  <c r="F167" i="12"/>
  <c r="F151" i="12"/>
  <c r="F150" i="12"/>
  <c r="G133" i="12"/>
  <c r="G134" i="12" s="1"/>
  <c r="G132" i="12"/>
  <c r="C66" i="10"/>
  <c r="Q65" i="10"/>
  <c r="T69" i="10"/>
  <c r="F70" i="10"/>
  <c r="G69" i="10"/>
  <c r="AO72" i="11"/>
  <c r="AK73" i="11"/>
  <c r="T66" i="10"/>
  <c r="F67" i="10"/>
  <c r="F64" i="10"/>
  <c r="T64" i="10" s="1"/>
  <c r="T63" i="10"/>
  <c r="C85" i="11"/>
  <c r="C86" i="11" s="1"/>
  <c r="C87" i="11" s="1"/>
  <c r="C88" i="11" s="1"/>
  <c r="C89" i="11" s="1"/>
  <c r="E86" i="11"/>
  <c r="E87" i="11" s="1"/>
  <c r="E88" i="11" s="1"/>
  <c r="E89" i="11" s="1"/>
  <c r="BC80" i="11"/>
  <c r="AY81" i="11"/>
  <c r="AU80" i="11"/>
  <c r="AU81" i="11" s="1"/>
  <c r="AU82" i="11" s="1"/>
  <c r="AU83" i="11" s="1"/>
  <c r="AU84" i="11" s="1"/>
  <c r="Y60" i="10"/>
  <c r="S60" i="10"/>
  <c r="K60" i="10"/>
  <c r="U59" i="10"/>
  <c r="G60" i="10"/>
  <c r="U60" i="10" s="1"/>
  <c r="AO76" i="11"/>
  <c r="AK77" i="11"/>
  <c r="AX86" i="11"/>
  <c r="AX87" i="11" s="1"/>
  <c r="AX88" i="11" s="1"/>
  <c r="AX89" i="11" s="1"/>
  <c r="AY85" i="11"/>
  <c r="AY73" i="11"/>
  <c r="BC72" i="11"/>
  <c r="V86" i="11"/>
  <c r="V87" i="11" s="1"/>
  <c r="V88" i="11" s="1"/>
  <c r="V89" i="11" s="1"/>
  <c r="W85" i="11"/>
  <c r="E142" i="12"/>
  <c r="E143" i="12"/>
  <c r="E144" i="12" s="1"/>
  <c r="BC76" i="11"/>
  <c r="AY77" i="11"/>
  <c r="U65" i="10"/>
  <c r="G66" i="10"/>
  <c r="E166" i="12"/>
  <c r="E167" i="12"/>
  <c r="C165" i="12"/>
  <c r="C166" i="12" s="1"/>
  <c r="C167" i="12" s="1"/>
  <c r="C168" i="12" s="1"/>
  <c r="C169" i="12" s="1"/>
  <c r="C170" i="12" s="1"/>
  <c r="C171" i="12" s="1"/>
  <c r="C172" i="12" s="1"/>
  <c r="C173" i="12" s="1"/>
  <c r="C174" i="12" s="1"/>
  <c r="F158" i="12"/>
  <c r="F159" i="12"/>
  <c r="G157" i="12"/>
  <c r="G156" i="12"/>
  <c r="J155" i="12" s="1"/>
  <c r="F175" i="12"/>
  <c r="E175" i="12"/>
  <c r="A185" i="12"/>
  <c r="E150" i="12"/>
  <c r="E151" i="12"/>
  <c r="F143" i="12"/>
  <c r="F144" i="12" s="1"/>
  <c r="F142" i="12"/>
  <c r="W73" i="11"/>
  <c r="AA72" i="11"/>
  <c r="E159" i="12"/>
  <c r="E158" i="12"/>
  <c r="F86" i="11"/>
  <c r="F87" i="11" s="1"/>
  <c r="F88" i="11" s="1"/>
  <c r="F89" i="11" s="1"/>
  <c r="G85" i="11"/>
  <c r="E64" i="10"/>
  <c r="Y63" i="10"/>
  <c r="K63" i="10"/>
  <c r="S63" i="10"/>
  <c r="W69" i="11"/>
  <c r="AA69" i="11" s="1"/>
  <c r="AA68" i="11"/>
  <c r="K80" i="11"/>
  <c r="G81" i="11"/>
  <c r="G149" i="12"/>
  <c r="G148" i="12"/>
  <c r="G69" i="11"/>
  <c r="K69" i="11" s="1"/>
  <c r="K68" i="11"/>
  <c r="K72" i="11"/>
  <c r="G73" i="11"/>
  <c r="BC68" i="11"/>
  <c r="AY69" i="11"/>
  <c r="BC69" i="11" s="1"/>
  <c r="G141" i="12"/>
  <c r="G140" i="12"/>
  <c r="V90" i="11"/>
  <c r="AJ90" i="11"/>
  <c r="AX90" i="11"/>
  <c r="F90" i="11"/>
  <c r="AW90" i="11"/>
  <c r="AW91" i="11" s="1"/>
  <c r="AW92" i="11" s="1"/>
  <c r="AW93" i="11" s="1"/>
  <c r="AW94" i="11" s="1"/>
  <c r="E90" i="11"/>
  <c r="A95" i="11"/>
  <c r="AI90" i="11"/>
  <c r="AI91" i="11" s="1"/>
  <c r="AI92" i="11" s="1"/>
  <c r="AI93" i="11" s="1"/>
  <c r="AI94" i="11" s="1"/>
  <c r="U90" i="11"/>
  <c r="U91" i="11" s="1"/>
  <c r="U92" i="11" s="1"/>
  <c r="U93" i="11" s="1"/>
  <c r="U94" i="11" s="1"/>
  <c r="J149" i="12"/>
  <c r="J150" i="12" s="1"/>
  <c r="J146" i="12"/>
  <c r="J151" i="12"/>
  <c r="J152" i="12" s="1"/>
  <c r="J147" i="12"/>
  <c r="J148" i="12" s="1"/>
  <c r="J153" i="12"/>
  <c r="J154" i="12" s="1"/>
  <c r="C60" i="10"/>
  <c r="Q60" i="10" s="1"/>
  <c r="Q59" i="10"/>
  <c r="K76" i="11"/>
  <c r="G77" i="11"/>
  <c r="AA76" i="11"/>
  <c r="W77" i="11"/>
  <c r="G63" i="10"/>
  <c r="U62" i="10"/>
  <c r="AY90" i="11" l="1"/>
  <c r="AX91" i="11"/>
  <c r="AX92" i="11" s="1"/>
  <c r="AX93" i="11" s="1"/>
  <c r="AX94" i="11" s="1"/>
  <c r="G150" i="12"/>
  <c r="G151" i="12"/>
  <c r="E161" i="12"/>
  <c r="E160" i="12"/>
  <c r="F161" i="12"/>
  <c r="F160" i="12"/>
  <c r="F71" i="10"/>
  <c r="T70" i="10"/>
  <c r="S70" i="10"/>
  <c r="E71" i="10"/>
  <c r="Y70" i="10"/>
  <c r="K70" i="10"/>
  <c r="AK90" i="11"/>
  <c r="AJ91" i="11"/>
  <c r="AJ92" i="11" s="1"/>
  <c r="AJ93" i="11" s="1"/>
  <c r="AJ94" i="11" s="1"/>
  <c r="G82" i="11"/>
  <c r="K81" i="11"/>
  <c r="AY82" i="11"/>
  <c r="BC81" i="11"/>
  <c r="C67" i="10"/>
  <c r="Q66" i="10"/>
  <c r="G142" i="12"/>
  <c r="G143" i="12"/>
  <c r="G144" i="12" s="1"/>
  <c r="BC73" i="11"/>
  <c r="AY74" i="11"/>
  <c r="BC74" i="11" s="1"/>
  <c r="W78" i="11"/>
  <c r="AA77" i="11"/>
  <c r="K73" i="11"/>
  <c r="G74" i="11"/>
  <c r="K74" i="11" s="1"/>
  <c r="F185" i="12"/>
  <c r="A195" i="12"/>
  <c r="E185" i="12"/>
  <c r="BC77" i="11"/>
  <c r="AY78" i="11"/>
  <c r="T67" i="10"/>
  <c r="F68" i="10"/>
  <c r="T68" i="10" s="1"/>
  <c r="F152" i="12"/>
  <c r="F153" i="12"/>
  <c r="F154" i="12" s="1"/>
  <c r="W82" i="11"/>
  <c r="AA81" i="11"/>
  <c r="Y64" i="10"/>
  <c r="S64" i="10"/>
  <c r="K64" i="10"/>
  <c r="C175" i="12"/>
  <c r="C176" i="12" s="1"/>
  <c r="C177" i="12" s="1"/>
  <c r="C178" i="12" s="1"/>
  <c r="C179" i="12" s="1"/>
  <c r="C180" i="12" s="1"/>
  <c r="C181" i="12" s="1"/>
  <c r="C182" i="12" s="1"/>
  <c r="C183" i="12" s="1"/>
  <c r="C184" i="12" s="1"/>
  <c r="E177" i="12"/>
  <c r="E176" i="12"/>
  <c r="F169" i="12"/>
  <c r="F168" i="12"/>
  <c r="Y73" i="10"/>
  <c r="S73" i="10"/>
  <c r="K73" i="10"/>
  <c r="E74" i="10"/>
  <c r="C73" i="10"/>
  <c r="W90" i="11"/>
  <c r="V91" i="11"/>
  <c r="V92" i="11" s="1"/>
  <c r="V93" i="11" s="1"/>
  <c r="V94" i="11" s="1"/>
  <c r="E169" i="12"/>
  <c r="E168" i="12"/>
  <c r="AY86" i="11"/>
  <c r="AU85" i="11"/>
  <c r="AU86" i="11" s="1"/>
  <c r="AU87" i="11" s="1"/>
  <c r="AU88" i="11" s="1"/>
  <c r="AU89" i="11" s="1"/>
  <c r="BC85" i="11"/>
  <c r="Y67" i="10"/>
  <c r="E68" i="10"/>
  <c r="S67" i="10"/>
  <c r="K67" i="10"/>
  <c r="AO77" i="11"/>
  <c r="AK78" i="11"/>
  <c r="C64" i="10"/>
  <c r="Q64" i="10" s="1"/>
  <c r="Q63" i="10"/>
  <c r="U63" i="10"/>
  <c r="G64" i="10"/>
  <c r="U64" i="10" s="1"/>
  <c r="V95" i="11"/>
  <c r="AX95" i="11"/>
  <c r="U95" i="11"/>
  <c r="U96" i="11" s="1"/>
  <c r="U97" i="11" s="1"/>
  <c r="U98" i="11" s="1"/>
  <c r="U99" i="11" s="1"/>
  <c r="AW95" i="11"/>
  <c r="AW96" i="11" s="1"/>
  <c r="AW97" i="11" s="1"/>
  <c r="AW98" i="11" s="1"/>
  <c r="AW99" i="11" s="1"/>
  <c r="F95" i="11"/>
  <c r="E95" i="11"/>
  <c r="AJ95" i="11"/>
  <c r="AI95" i="11"/>
  <c r="AI96" i="11" s="1"/>
  <c r="AI97" i="11" s="1"/>
  <c r="AI98" i="11" s="1"/>
  <c r="AI99" i="11" s="1"/>
  <c r="A100" i="11"/>
  <c r="K77" i="11"/>
  <c r="G78" i="11"/>
  <c r="E91" i="11"/>
  <c r="E92" i="11" s="1"/>
  <c r="E93" i="11" s="1"/>
  <c r="E94" i="11" s="1"/>
  <c r="K85" i="11"/>
  <c r="G86" i="11"/>
  <c r="G175" i="12"/>
  <c r="F177" i="12"/>
  <c r="F176" i="12"/>
  <c r="AK74" i="11"/>
  <c r="AO74" i="11" s="1"/>
  <c r="AO73" i="11"/>
  <c r="G166" i="12"/>
  <c r="J165" i="12" s="1"/>
  <c r="G167" i="12"/>
  <c r="F77" i="10"/>
  <c r="A81" i="10"/>
  <c r="A78" i="10"/>
  <c r="A79" i="10" s="1"/>
  <c r="A80" i="10" s="1"/>
  <c r="E77" i="10"/>
  <c r="E152" i="12"/>
  <c r="E153" i="12"/>
  <c r="E154" i="12" s="1"/>
  <c r="U66" i="10"/>
  <c r="G67" i="10"/>
  <c r="AO85" i="11"/>
  <c r="AG85" i="11"/>
  <c r="AG86" i="11" s="1"/>
  <c r="AG87" i="11" s="1"/>
  <c r="AG88" i="11" s="1"/>
  <c r="AG89" i="11" s="1"/>
  <c r="AK86" i="11"/>
  <c r="J163" i="12"/>
  <c r="J164" i="12" s="1"/>
  <c r="J156" i="12"/>
  <c r="J157" i="12"/>
  <c r="J158" i="12" s="1"/>
  <c r="J159" i="12"/>
  <c r="J160" i="12" s="1"/>
  <c r="J161" i="12"/>
  <c r="J162" i="12" s="1"/>
  <c r="T73" i="10"/>
  <c r="F74" i="10"/>
  <c r="G73" i="10"/>
  <c r="AA73" i="11"/>
  <c r="W74" i="11"/>
  <c r="AA74" i="11" s="1"/>
  <c r="G90" i="11"/>
  <c r="C90" i="11" s="1"/>
  <c r="C91" i="11" s="1"/>
  <c r="C92" i="11" s="1"/>
  <c r="C93" i="11" s="1"/>
  <c r="C94" i="11" s="1"/>
  <c r="F91" i="11"/>
  <c r="F92" i="11" s="1"/>
  <c r="F93" i="11" s="1"/>
  <c r="F94" i="11" s="1"/>
  <c r="G158" i="12"/>
  <c r="G159" i="12"/>
  <c r="AA85" i="11"/>
  <c r="W86" i="11"/>
  <c r="S85" i="11"/>
  <c r="S86" i="11" s="1"/>
  <c r="S87" i="11" s="1"/>
  <c r="S88" i="11" s="1"/>
  <c r="S89" i="11" s="1"/>
  <c r="U69" i="10"/>
  <c r="G70" i="10"/>
  <c r="C70" i="10"/>
  <c r="Q69" i="10"/>
  <c r="AK82" i="11"/>
  <c r="AO81" i="11"/>
  <c r="K77" i="10" l="1"/>
  <c r="E78" i="10"/>
  <c r="S77" i="10"/>
  <c r="C77" i="10"/>
  <c r="Y77" i="10"/>
  <c r="W95" i="11"/>
  <c r="V96" i="11"/>
  <c r="V97" i="11" s="1"/>
  <c r="V98" i="11" s="1"/>
  <c r="V99" i="11" s="1"/>
  <c r="F171" i="12"/>
  <c r="F170" i="12"/>
  <c r="Y71" i="10"/>
  <c r="E72" i="10"/>
  <c r="S71" i="10"/>
  <c r="K71" i="10"/>
  <c r="G161" i="12"/>
  <c r="G160" i="12"/>
  <c r="T77" i="10"/>
  <c r="F78" i="10"/>
  <c r="G77" i="10"/>
  <c r="G79" i="11"/>
  <c r="K79" i="11" s="1"/>
  <c r="K78" i="11"/>
  <c r="E178" i="12"/>
  <c r="E179" i="12"/>
  <c r="G168" i="12"/>
  <c r="G169" i="12"/>
  <c r="E186" i="12"/>
  <c r="E187" i="12"/>
  <c r="AK87" i="11"/>
  <c r="AO86" i="11"/>
  <c r="E195" i="12"/>
  <c r="F195" i="12"/>
  <c r="A205" i="12"/>
  <c r="AA90" i="11"/>
  <c r="W91" i="11"/>
  <c r="S90" i="11"/>
  <c r="S91" i="11" s="1"/>
  <c r="S92" i="11" s="1"/>
  <c r="S93" i="11" s="1"/>
  <c r="S94" i="11" s="1"/>
  <c r="F187" i="12"/>
  <c r="F186" i="12"/>
  <c r="C185" i="12" s="1"/>
  <c r="C186" i="12" s="1"/>
  <c r="C187" i="12" s="1"/>
  <c r="C188" i="12" s="1"/>
  <c r="C189" i="12" s="1"/>
  <c r="C190" i="12" s="1"/>
  <c r="C191" i="12" s="1"/>
  <c r="C192" i="12" s="1"/>
  <c r="C193" i="12" s="1"/>
  <c r="C194" i="12" s="1"/>
  <c r="G185" i="12"/>
  <c r="AY83" i="11"/>
  <c r="BC82" i="11"/>
  <c r="F163" i="12"/>
  <c r="F164" i="12" s="1"/>
  <c r="F162" i="12"/>
  <c r="AK83" i="11"/>
  <c r="AO82" i="11"/>
  <c r="W87" i="11"/>
  <c r="AA86" i="11"/>
  <c r="F81" i="10"/>
  <c r="A85" i="10"/>
  <c r="A82" i="10"/>
  <c r="A83" i="10" s="1"/>
  <c r="A84" i="10" s="1"/>
  <c r="E81" i="10"/>
  <c r="BC86" i="11"/>
  <c r="AY87" i="11"/>
  <c r="AY79" i="11"/>
  <c r="BC79" i="11" s="1"/>
  <c r="BC78" i="11"/>
  <c r="G83" i="11"/>
  <c r="K82" i="11"/>
  <c r="E163" i="12"/>
  <c r="E164" i="12" s="1"/>
  <c r="E162" i="12"/>
  <c r="AK95" i="11"/>
  <c r="AJ96" i="11"/>
  <c r="AJ97" i="11" s="1"/>
  <c r="AJ98" i="11" s="1"/>
  <c r="AJ99" i="11" s="1"/>
  <c r="E96" i="11"/>
  <c r="E97" i="11" s="1"/>
  <c r="E98" i="11" s="1"/>
  <c r="E99" i="11" s="1"/>
  <c r="C71" i="10"/>
  <c r="Q70" i="10"/>
  <c r="U73" i="10"/>
  <c r="G74" i="10"/>
  <c r="F178" i="12"/>
  <c r="F179" i="12"/>
  <c r="G95" i="11"/>
  <c r="F96" i="11"/>
  <c r="F97" i="11" s="1"/>
  <c r="F98" i="11" s="1"/>
  <c r="F99" i="11" s="1"/>
  <c r="G152" i="12"/>
  <c r="G153" i="12"/>
  <c r="G154" i="12" s="1"/>
  <c r="J166" i="12"/>
  <c r="J171" i="12"/>
  <c r="J172" i="12" s="1"/>
  <c r="J169" i="12"/>
  <c r="J170" i="12" s="1"/>
  <c r="J167" i="12"/>
  <c r="J168" i="12" s="1"/>
  <c r="J173" i="12"/>
  <c r="J174" i="12" s="1"/>
  <c r="AX100" i="11"/>
  <c r="AW100" i="11"/>
  <c r="AW101" i="11" s="1"/>
  <c r="AW102" i="11" s="1"/>
  <c r="AW103" i="11" s="1"/>
  <c r="AW104" i="11" s="1"/>
  <c r="A105" i="11"/>
  <c r="AJ100" i="11"/>
  <c r="E100" i="11"/>
  <c r="U100" i="11"/>
  <c r="U101" i="11" s="1"/>
  <c r="U102" i="11" s="1"/>
  <c r="U103" i="11" s="1"/>
  <c r="U104" i="11" s="1"/>
  <c r="AI100" i="11"/>
  <c r="AI101" i="11" s="1"/>
  <c r="AI102" i="11" s="1"/>
  <c r="AI103" i="11" s="1"/>
  <c r="AI104" i="11" s="1"/>
  <c r="V100" i="11"/>
  <c r="F100" i="11"/>
  <c r="AO78" i="11"/>
  <c r="AK79" i="11"/>
  <c r="AO79" i="11" s="1"/>
  <c r="C74" i="10"/>
  <c r="Q73" i="10"/>
  <c r="S74" i="10"/>
  <c r="K74" i="10"/>
  <c r="E75" i="10"/>
  <c r="Y74" i="10"/>
  <c r="AA82" i="11"/>
  <c r="W83" i="11"/>
  <c r="U70" i="10"/>
  <c r="G71" i="10"/>
  <c r="T74" i="10"/>
  <c r="F75" i="10"/>
  <c r="G177" i="12"/>
  <c r="G176" i="12"/>
  <c r="J175" i="12" s="1"/>
  <c r="S68" i="10"/>
  <c r="K68" i="10"/>
  <c r="Y68" i="10"/>
  <c r="W79" i="11"/>
  <c r="AA79" i="11" s="1"/>
  <c r="AA78" i="11"/>
  <c r="AO90" i="11"/>
  <c r="AG90" i="11"/>
  <c r="AG91" i="11" s="1"/>
  <c r="AG92" i="11" s="1"/>
  <c r="AG93" i="11" s="1"/>
  <c r="AG94" i="11" s="1"/>
  <c r="AK91" i="11"/>
  <c r="K86" i="11"/>
  <c r="G87" i="11"/>
  <c r="E170" i="12"/>
  <c r="E171" i="12"/>
  <c r="C68" i="10"/>
  <c r="Q68" i="10" s="1"/>
  <c r="Q67" i="10"/>
  <c r="T71" i="10"/>
  <c r="F72" i="10"/>
  <c r="T72" i="10" s="1"/>
  <c r="K90" i="11"/>
  <c r="G91" i="11"/>
  <c r="G68" i="10"/>
  <c r="U68" i="10" s="1"/>
  <c r="U67" i="10"/>
  <c r="AY95" i="11"/>
  <c r="AX96" i="11"/>
  <c r="AX97" i="11" s="1"/>
  <c r="AX98" i="11" s="1"/>
  <c r="AX99" i="11" s="1"/>
  <c r="AY91" i="11"/>
  <c r="BC90" i="11"/>
  <c r="AU90" i="11"/>
  <c r="AU91" i="11" s="1"/>
  <c r="AU92" i="11" s="1"/>
  <c r="AU93" i="11" s="1"/>
  <c r="AU94" i="11" s="1"/>
  <c r="E101" i="11" l="1"/>
  <c r="E102" i="11" s="1"/>
  <c r="E103" i="11" s="1"/>
  <c r="E104" i="11" s="1"/>
  <c r="F105" i="11"/>
  <c r="AW105" i="11"/>
  <c r="AW106" i="11" s="1"/>
  <c r="AW107" i="11" s="1"/>
  <c r="AW108" i="11" s="1"/>
  <c r="AW109" i="11" s="1"/>
  <c r="A110" i="11"/>
  <c r="AI105" i="11"/>
  <c r="AI106" i="11" s="1"/>
  <c r="AI107" i="11" s="1"/>
  <c r="AI108" i="11" s="1"/>
  <c r="AI109" i="11" s="1"/>
  <c r="U105" i="11"/>
  <c r="U106" i="11" s="1"/>
  <c r="U107" i="11" s="1"/>
  <c r="U108" i="11" s="1"/>
  <c r="U109" i="11" s="1"/>
  <c r="E105" i="11"/>
  <c r="AX105" i="11"/>
  <c r="AJ105" i="11"/>
  <c r="V105" i="11"/>
  <c r="F180" i="12"/>
  <c r="F181" i="12"/>
  <c r="K91" i="11"/>
  <c r="G92" i="11"/>
  <c r="W84" i="11"/>
  <c r="AA84" i="11" s="1"/>
  <c r="AA83" i="11"/>
  <c r="A89" i="10"/>
  <c r="E85" i="10"/>
  <c r="A86" i="10"/>
  <c r="A87" i="10" s="1"/>
  <c r="A88" i="10" s="1"/>
  <c r="F85" i="10"/>
  <c r="F188" i="12"/>
  <c r="F189" i="12"/>
  <c r="G171" i="12"/>
  <c r="G170" i="12"/>
  <c r="AK96" i="11"/>
  <c r="AO95" i="11"/>
  <c r="AG95" i="11"/>
  <c r="AG96" i="11" s="1"/>
  <c r="AG97" i="11" s="1"/>
  <c r="AG98" i="11" s="1"/>
  <c r="AG99" i="11" s="1"/>
  <c r="G81" i="10"/>
  <c r="F82" i="10"/>
  <c r="T81" i="10"/>
  <c r="S72" i="10"/>
  <c r="K72" i="10"/>
  <c r="Y72" i="10"/>
  <c r="E180" i="12"/>
  <c r="E181" i="12"/>
  <c r="F172" i="12"/>
  <c r="F173" i="12"/>
  <c r="F174" i="12" s="1"/>
  <c r="E197" i="12"/>
  <c r="C195" i="12"/>
  <c r="C196" i="12" s="1"/>
  <c r="C197" i="12" s="1"/>
  <c r="C198" i="12" s="1"/>
  <c r="C199" i="12" s="1"/>
  <c r="C200" i="12" s="1"/>
  <c r="C201" i="12" s="1"/>
  <c r="C202" i="12" s="1"/>
  <c r="C203" i="12" s="1"/>
  <c r="C204" i="12" s="1"/>
  <c r="E196" i="12"/>
  <c r="G78" i="10"/>
  <c r="U77" i="10"/>
  <c r="W96" i="11"/>
  <c r="S95" i="11"/>
  <c r="S96" i="11" s="1"/>
  <c r="S97" i="11" s="1"/>
  <c r="S98" i="11" s="1"/>
  <c r="S99" i="11" s="1"/>
  <c r="AA95" i="11"/>
  <c r="BC91" i="11"/>
  <c r="AY92" i="11"/>
  <c r="G179" i="12"/>
  <c r="G178" i="12"/>
  <c r="C75" i="10"/>
  <c r="Q74" i="10"/>
  <c r="T78" i="10"/>
  <c r="F79" i="10"/>
  <c r="S75" i="10"/>
  <c r="E76" i="10"/>
  <c r="K75" i="10"/>
  <c r="Y75" i="10"/>
  <c r="AA87" i="11"/>
  <c r="W88" i="11"/>
  <c r="J176" i="12"/>
  <c r="J183" i="12"/>
  <c r="J184" i="12" s="1"/>
  <c r="J177" i="12"/>
  <c r="J178" i="12" s="1"/>
  <c r="J179" i="12"/>
  <c r="J180" i="12" s="1"/>
  <c r="J181" i="12"/>
  <c r="J182" i="12" s="1"/>
  <c r="AY88" i="11"/>
  <c r="BC87" i="11"/>
  <c r="AK88" i="11"/>
  <c r="AO87" i="11"/>
  <c r="Q77" i="10"/>
  <c r="C78" i="10"/>
  <c r="K95" i="11"/>
  <c r="G96" i="11"/>
  <c r="A215" i="12"/>
  <c r="F205" i="12"/>
  <c r="E205" i="12"/>
  <c r="F196" i="12"/>
  <c r="F197" i="12"/>
  <c r="G195" i="12"/>
  <c r="E173" i="12"/>
  <c r="E174" i="12" s="1"/>
  <c r="E172" i="12"/>
  <c r="G75" i="10"/>
  <c r="U74" i="10"/>
  <c r="G88" i="11"/>
  <c r="K87" i="11"/>
  <c r="F76" i="10"/>
  <c r="T76" i="10" s="1"/>
  <c r="T75" i="10"/>
  <c r="BC95" i="11"/>
  <c r="AU95" i="11"/>
  <c r="AU96" i="11" s="1"/>
  <c r="AU97" i="11" s="1"/>
  <c r="AU98" i="11" s="1"/>
  <c r="AU99" i="11" s="1"/>
  <c r="AY96" i="11"/>
  <c r="Q71" i="10"/>
  <c r="C72" i="10"/>
  <c r="Q72" i="10" s="1"/>
  <c r="AY84" i="11"/>
  <c r="BC84" i="11" s="1"/>
  <c r="BC83" i="11"/>
  <c r="E189" i="12"/>
  <c r="E188" i="12"/>
  <c r="AY100" i="11"/>
  <c r="AX101" i="11"/>
  <c r="AX102" i="11" s="1"/>
  <c r="AX103" i="11" s="1"/>
  <c r="AX104" i="11" s="1"/>
  <c r="AK92" i="11"/>
  <c r="AO91" i="11"/>
  <c r="U71" i="10"/>
  <c r="G72" i="10"/>
  <c r="U72" i="10" s="1"/>
  <c r="G100" i="11"/>
  <c r="F101" i="11"/>
  <c r="F102" i="11" s="1"/>
  <c r="F103" i="11" s="1"/>
  <c r="F104" i="11" s="1"/>
  <c r="E82" i="10"/>
  <c r="C81" i="10"/>
  <c r="Y81" i="10"/>
  <c r="S81" i="10"/>
  <c r="K81" i="10"/>
  <c r="G187" i="12"/>
  <c r="G186" i="12"/>
  <c r="J185" i="12" s="1"/>
  <c r="G163" i="12"/>
  <c r="G164" i="12" s="1"/>
  <c r="G162" i="12"/>
  <c r="K78" i="10"/>
  <c r="E79" i="10"/>
  <c r="Y78" i="10"/>
  <c r="S78" i="10"/>
  <c r="AA91" i="11"/>
  <c r="W92" i="11"/>
  <c r="AJ101" i="11"/>
  <c r="AJ102" i="11" s="1"/>
  <c r="AJ103" i="11" s="1"/>
  <c r="AJ104" i="11" s="1"/>
  <c r="AK100" i="11"/>
  <c r="K83" i="11"/>
  <c r="G84" i="11"/>
  <c r="K84" i="11" s="1"/>
  <c r="AO83" i="11"/>
  <c r="AK84" i="11"/>
  <c r="AO84" i="11" s="1"/>
  <c r="W100" i="11"/>
  <c r="V101" i="11"/>
  <c r="V102" i="11" s="1"/>
  <c r="V103" i="11" s="1"/>
  <c r="V104" i="11" s="1"/>
  <c r="C95" i="11"/>
  <c r="C96" i="11" s="1"/>
  <c r="C97" i="11" s="1"/>
  <c r="C98" i="11" s="1"/>
  <c r="C99" i="11" s="1"/>
  <c r="K88" i="11" l="1"/>
  <c r="G89" i="11"/>
  <c r="K89" i="11" s="1"/>
  <c r="W89" i="11"/>
  <c r="AA89" i="11" s="1"/>
  <c r="AA88" i="11"/>
  <c r="AY93" i="11"/>
  <c r="BC92" i="11"/>
  <c r="E183" i="12"/>
  <c r="E184" i="12" s="1"/>
  <c r="E182" i="12"/>
  <c r="G172" i="12"/>
  <c r="G173" i="12"/>
  <c r="G174" i="12" s="1"/>
  <c r="AA92" i="11"/>
  <c r="W93" i="11"/>
  <c r="E190" i="12"/>
  <c r="E191" i="12"/>
  <c r="Q78" i="10"/>
  <c r="C79" i="10"/>
  <c r="F191" i="12"/>
  <c r="F190" i="12"/>
  <c r="V106" i="11"/>
  <c r="V107" i="11" s="1"/>
  <c r="V108" i="11" s="1"/>
  <c r="V109" i="11" s="1"/>
  <c r="W105" i="11"/>
  <c r="AJ106" i="11"/>
  <c r="AJ107" i="11" s="1"/>
  <c r="AJ108" i="11" s="1"/>
  <c r="AJ109" i="11" s="1"/>
  <c r="AK105" i="11"/>
  <c r="S82" i="10"/>
  <c r="K82" i="10"/>
  <c r="E83" i="10"/>
  <c r="Y82" i="10"/>
  <c r="AX106" i="11"/>
  <c r="AX107" i="11" s="1"/>
  <c r="AX108" i="11" s="1"/>
  <c r="AX109" i="11" s="1"/>
  <c r="AY105" i="11"/>
  <c r="AO88" i="11"/>
  <c r="AK89" i="11"/>
  <c r="AO89" i="11" s="1"/>
  <c r="K76" i="10"/>
  <c r="S76" i="10"/>
  <c r="Y76" i="10"/>
  <c r="E106" i="11"/>
  <c r="E107" i="11" s="1"/>
  <c r="E108" i="11" s="1"/>
  <c r="E109" i="11" s="1"/>
  <c r="S79" i="10"/>
  <c r="K79" i="10"/>
  <c r="E80" i="10"/>
  <c r="Y79" i="10"/>
  <c r="K100" i="11"/>
  <c r="G101" i="11"/>
  <c r="G197" i="12"/>
  <c r="G196" i="12"/>
  <c r="J195" i="12" s="1"/>
  <c r="E86" i="10"/>
  <c r="C85" i="10"/>
  <c r="K85" i="10"/>
  <c r="Y85" i="10"/>
  <c r="S85" i="10"/>
  <c r="S100" i="11"/>
  <c r="S101" i="11" s="1"/>
  <c r="S102" i="11" s="1"/>
  <c r="S103" i="11" s="1"/>
  <c r="S104" i="11" s="1"/>
  <c r="W101" i="11"/>
  <c r="AA100" i="11"/>
  <c r="BC96" i="11"/>
  <c r="AY97" i="11"/>
  <c r="F199" i="12"/>
  <c r="F198" i="12"/>
  <c r="AY89" i="11"/>
  <c r="BC89" i="11" s="1"/>
  <c r="BC88" i="11"/>
  <c r="T79" i="10"/>
  <c r="F80" i="10"/>
  <c r="T80" i="10" s="1"/>
  <c r="G79" i="10"/>
  <c r="U78" i="10"/>
  <c r="F83" i="10"/>
  <c r="T82" i="10"/>
  <c r="A93" i="10"/>
  <c r="E89" i="10"/>
  <c r="A90" i="10"/>
  <c r="A91" i="10" s="1"/>
  <c r="A92" i="10" s="1"/>
  <c r="F89" i="10"/>
  <c r="Q81" i="10"/>
  <c r="C82" i="10"/>
  <c r="U75" i="10"/>
  <c r="G76" i="10"/>
  <c r="U76" i="10" s="1"/>
  <c r="AA96" i="11"/>
  <c r="W97" i="11"/>
  <c r="G82" i="10"/>
  <c r="U81" i="10"/>
  <c r="F110" i="11"/>
  <c r="A115" i="11"/>
  <c r="AJ110" i="11"/>
  <c r="E110" i="11"/>
  <c r="AI110" i="11"/>
  <c r="AI111" i="11" s="1"/>
  <c r="AI112" i="11" s="1"/>
  <c r="AI113" i="11" s="1"/>
  <c r="AI114" i="11" s="1"/>
  <c r="AX110" i="11"/>
  <c r="AW110" i="11"/>
  <c r="AW111" i="11" s="1"/>
  <c r="AW112" i="11" s="1"/>
  <c r="AW113" i="11" s="1"/>
  <c r="AW114" i="11" s="1"/>
  <c r="V110" i="11"/>
  <c r="U110" i="11"/>
  <c r="U111" i="11" s="1"/>
  <c r="U112" i="11" s="1"/>
  <c r="U113" i="11" s="1"/>
  <c r="U114" i="11" s="1"/>
  <c r="E207" i="12"/>
  <c r="E206" i="12"/>
  <c r="J189" i="12"/>
  <c r="J190" i="12" s="1"/>
  <c r="J187" i="12"/>
  <c r="J188" i="12" s="1"/>
  <c r="J191" i="12"/>
  <c r="J192" i="12" s="1"/>
  <c r="J193" i="12"/>
  <c r="J194" i="12" s="1"/>
  <c r="J186" i="12"/>
  <c r="AO92" i="11"/>
  <c r="AK93" i="11"/>
  <c r="G205" i="12"/>
  <c r="F206" i="12"/>
  <c r="C205" i="12" s="1"/>
  <c r="C206" i="12" s="1"/>
  <c r="C207" i="12" s="1"/>
  <c r="C208" i="12" s="1"/>
  <c r="C209" i="12" s="1"/>
  <c r="C210" i="12" s="1"/>
  <c r="C211" i="12" s="1"/>
  <c r="C212" i="12" s="1"/>
  <c r="C213" i="12" s="1"/>
  <c r="C214" i="12" s="1"/>
  <c r="F207" i="12"/>
  <c r="Q75" i="10"/>
  <c r="C76" i="10"/>
  <c r="Q76" i="10" s="1"/>
  <c r="E199" i="12"/>
  <c r="E198" i="12"/>
  <c r="G93" i="11"/>
  <c r="K92" i="11"/>
  <c r="G105" i="11"/>
  <c r="C105" i="11" s="1"/>
  <c r="C106" i="11" s="1"/>
  <c r="C107" i="11" s="1"/>
  <c r="C108" i="11" s="1"/>
  <c r="C109" i="11" s="1"/>
  <c r="F106" i="11"/>
  <c r="F107" i="11" s="1"/>
  <c r="F108" i="11" s="1"/>
  <c r="F109" i="11" s="1"/>
  <c r="G188" i="12"/>
  <c r="G189" i="12"/>
  <c r="E215" i="12"/>
  <c r="A225" i="12"/>
  <c r="F215" i="12"/>
  <c r="AO96" i="11"/>
  <c r="AK97" i="11"/>
  <c r="C100" i="11"/>
  <c r="C101" i="11" s="1"/>
  <c r="C102" i="11" s="1"/>
  <c r="C103" i="11" s="1"/>
  <c r="C104" i="11" s="1"/>
  <c r="G85" i="10"/>
  <c r="F86" i="10"/>
  <c r="T85" i="10"/>
  <c r="AK101" i="11"/>
  <c r="AO100" i="11"/>
  <c r="AG100" i="11"/>
  <c r="AG101" i="11" s="1"/>
  <c r="AG102" i="11" s="1"/>
  <c r="AG103" i="11" s="1"/>
  <c r="AG104" i="11" s="1"/>
  <c r="AU100" i="11"/>
  <c r="AU101" i="11" s="1"/>
  <c r="AU102" i="11" s="1"/>
  <c r="AU103" i="11" s="1"/>
  <c r="AU104" i="11" s="1"/>
  <c r="BC100" i="11"/>
  <c r="AY101" i="11"/>
  <c r="G97" i="11"/>
  <c r="K96" i="11"/>
  <c r="G180" i="12"/>
  <c r="G181" i="12"/>
  <c r="F183" i="12"/>
  <c r="F184" i="12" s="1"/>
  <c r="F182" i="12"/>
  <c r="E216" i="12" l="1"/>
  <c r="E217" i="12"/>
  <c r="G80" i="10"/>
  <c r="U80" i="10" s="1"/>
  <c r="U79" i="10"/>
  <c r="W94" i="11"/>
  <c r="AA94" i="11" s="1"/>
  <c r="AA93" i="11"/>
  <c r="G191" i="12"/>
  <c r="G190" i="12"/>
  <c r="G206" i="12"/>
  <c r="J205" i="12" s="1"/>
  <c r="G207" i="12"/>
  <c r="W110" i="11"/>
  <c r="V111" i="11"/>
  <c r="V112" i="11" s="1"/>
  <c r="V113" i="11" s="1"/>
  <c r="V114" i="11" s="1"/>
  <c r="AK94" i="11"/>
  <c r="AO94" i="11" s="1"/>
  <c r="AO93" i="11"/>
  <c r="F90" i="10"/>
  <c r="G89" i="10"/>
  <c r="T89" i="10"/>
  <c r="AI115" i="11"/>
  <c r="AI116" i="11" s="1"/>
  <c r="AI117" i="11" s="1"/>
  <c r="AI118" i="11" s="1"/>
  <c r="AI119" i="11" s="1"/>
  <c r="U115" i="11"/>
  <c r="U116" i="11" s="1"/>
  <c r="U117" i="11" s="1"/>
  <c r="U118" i="11" s="1"/>
  <c r="U119" i="11" s="1"/>
  <c r="V115" i="11"/>
  <c r="AW115" i="11"/>
  <c r="AW116" i="11" s="1"/>
  <c r="AW117" i="11" s="1"/>
  <c r="AW118" i="11" s="1"/>
  <c r="AW119" i="11" s="1"/>
  <c r="E115" i="11"/>
  <c r="F115" i="11"/>
  <c r="A120" i="11"/>
  <c r="AJ115" i="11"/>
  <c r="AX115" i="11"/>
  <c r="AY98" i="11"/>
  <c r="BC97" i="11"/>
  <c r="AU105" i="11"/>
  <c r="AU106" i="11" s="1"/>
  <c r="AU107" i="11" s="1"/>
  <c r="AU108" i="11" s="1"/>
  <c r="AU109" i="11" s="1"/>
  <c r="AY106" i="11"/>
  <c r="BC105" i="11"/>
  <c r="Q79" i="10"/>
  <c r="C80" i="10"/>
  <c r="Q80" i="10" s="1"/>
  <c r="C86" i="10"/>
  <c r="Q85" i="10"/>
  <c r="K105" i="11"/>
  <c r="G106" i="11"/>
  <c r="E87" i="10"/>
  <c r="Y86" i="10"/>
  <c r="S86" i="10"/>
  <c r="K86" i="10"/>
  <c r="AJ111" i="11"/>
  <c r="AJ112" i="11" s="1"/>
  <c r="AJ113" i="11" s="1"/>
  <c r="AJ114" i="11" s="1"/>
  <c r="AK110" i="11"/>
  <c r="G198" i="12"/>
  <c r="G199" i="12"/>
  <c r="F111" i="11"/>
  <c r="F112" i="11" s="1"/>
  <c r="F113" i="11" s="1"/>
  <c r="F114" i="11" s="1"/>
  <c r="G110" i="11"/>
  <c r="W106" i="11"/>
  <c r="AA105" i="11"/>
  <c r="S105" i="11"/>
  <c r="S106" i="11" s="1"/>
  <c r="S107" i="11" s="1"/>
  <c r="S108" i="11" s="1"/>
  <c r="S109" i="11" s="1"/>
  <c r="T86" i="10"/>
  <c r="F87" i="10"/>
  <c r="C110" i="11"/>
  <c r="C111" i="11" s="1"/>
  <c r="C112" i="11" s="1"/>
  <c r="C113" i="11" s="1"/>
  <c r="C114" i="11" s="1"/>
  <c r="E111" i="11"/>
  <c r="E112" i="11" s="1"/>
  <c r="E113" i="11" s="1"/>
  <c r="E114" i="11" s="1"/>
  <c r="K89" i="10"/>
  <c r="S89" i="10"/>
  <c r="E90" i="10"/>
  <c r="Y89" i="10"/>
  <c r="C89" i="10"/>
  <c r="G102" i="11"/>
  <c r="K101" i="11"/>
  <c r="AY102" i="11"/>
  <c r="BC101" i="11"/>
  <c r="F216" i="12"/>
  <c r="C215" i="12" s="1"/>
  <c r="C216" i="12" s="1"/>
  <c r="C217" i="12" s="1"/>
  <c r="C218" i="12" s="1"/>
  <c r="C219" i="12" s="1"/>
  <c r="C220" i="12" s="1"/>
  <c r="C221" i="12" s="1"/>
  <c r="C222" i="12" s="1"/>
  <c r="C223" i="12" s="1"/>
  <c r="C224" i="12" s="1"/>
  <c r="F217" i="12"/>
  <c r="G215" i="12"/>
  <c r="G83" i="10"/>
  <c r="U82" i="10"/>
  <c r="F84" i="10"/>
  <c r="T84" i="10" s="1"/>
  <c r="T83" i="10"/>
  <c r="AA101" i="11"/>
  <c r="W102" i="11"/>
  <c r="Y80" i="10"/>
  <c r="K80" i="10"/>
  <c r="S80" i="10"/>
  <c r="E192" i="12"/>
  <c r="E193" i="12"/>
  <c r="E194" i="12" s="1"/>
  <c r="AK106" i="11"/>
  <c r="AO105" i="11"/>
  <c r="AG105" i="11"/>
  <c r="AG106" i="11" s="1"/>
  <c r="AG107" i="11" s="1"/>
  <c r="AG108" i="11" s="1"/>
  <c r="AG109" i="11" s="1"/>
  <c r="AO101" i="11"/>
  <c r="AK102" i="11"/>
  <c r="AX111" i="11"/>
  <c r="AX112" i="11" s="1"/>
  <c r="AX113" i="11" s="1"/>
  <c r="AX114" i="11" s="1"/>
  <c r="AY110" i="11"/>
  <c r="Q82" i="10"/>
  <c r="C83" i="10"/>
  <c r="J201" i="12"/>
  <c r="J202" i="12" s="1"/>
  <c r="J197" i="12"/>
  <c r="J198" i="12" s="1"/>
  <c r="J199" i="12"/>
  <c r="J200" i="12" s="1"/>
  <c r="J196" i="12"/>
  <c r="J203" i="12"/>
  <c r="J204" i="12" s="1"/>
  <c r="G183" i="12"/>
  <c r="G184" i="12" s="1"/>
  <c r="G182" i="12"/>
  <c r="G86" i="10"/>
  <c r="U85" i="10"/>
  <c r="G94" i="11"/>
  <c r="K94" i="11" s="1"/>
  <c r="K93" i="11"/>
  <c r="F200" i="12"/>
  <c r="F201" i="12"/>
  <c r="F192" i="12"/>
  <c r="F193" i="12"/>
  <c r="F194" i="12" s="1"/>
  <c r="AY94" i="11"/>
  <c r="BC94" i="11" s="1"/>
  <c r="BC93" i="11"/>
  <c r="AK98" i="11"/>
  <c r="AO97" i="11"/>
  <c r="E200" i="12"/>
  <c r="E201" i="12"/>
  <c r="A94" i="10"/>
  <c r="A95" i="10" s="1"/>
  <c r="A96" i="10" s="1"/>
  <c r="E93" i="10"/>
  <c r="F93" i="10"/>
  <c r="A97" i="10"/>
  <c r="G98" i="11"/>
  <c r="K97" i="11"/>
  <c r="F225" i="12"/>
  <c r="E225" i="12"/>
  <c r="A235" i="12"/>
  <c r="F209" i="12"/>
  <c r="F208" i="12"/>
  <c r="E209" i="12"/>
  <c r="E208" i="12"/>
  <c r="AA97" i="11"/>
  <c r="W98" i="11"/>
  <c r="K83" i="10"/>
  <c r="E84" i="10"/>
  <c r="S83" i="10"/>
  <c r="Y83" i="10"/>
  <c r="F226" i="12" l="1"/>
  <c r="G225" i="12"/>
  <c r="F227" i="12"/>
  <c r="E211" i="12"/>
  <c r="E210" i="12"/>
  <c r="E203" i="12"/>
  <c r="E204" i="12" s="1"/>
  <c r="E202" i="12"/>
  <c r="C90" i="10"/>
  <c r="Q89" i="10"/>
  <c r="G111" i="11"/>
  <c r="K110" i="11"/>
  <c r="F116" i="11"/>
  <c r="F117" i="11" s="1"/>
  <c r="F118" i="11" s="1"/>
  <c r="F119" i="11" s="1"/>
  <c r="G115" i="11"/>
  <c r="W111" i="11"/>
  <c r="AA110" i="11"/>
  <c r="S110" i="11"/>
  <c r="S111" i="11" s="1"/>
  <c r="S112" i="11" s="1"/>
  <c r="S113" i="11" s="1"/>
  <c r="S114" i="11" s="1"/>
  <c r="J213" i="12"/>
  <c r="J214" i="12" s="1"/>
  <c r="J206" i="12"/>
  <c r="J211" i="12"/>
  <c r="J212" i="12" s="1"/>
  <c r="J209" i="12"/>
  <c r="J210" i="12" s="1"/>
  <c r="J207" i="12"/>
  <c r="J208" i="12" s="1"/>
  <c r="AK99" i="11"/>
  <c r="AO99" i="11" s="1"/>
  <c r="AO98" i="11"/>
  <c r="W99" i="11"/>
  <c r="AA99" i="11" s="1"/>
  <c r="AA98" i="11"/>
  <c r="G87" i="10"/>
  <c r="U86" i="10"/>
  <c r="AK103" i="11"/>
  <c r="AO102" i="11"/>
  <c r="C87" i="10"/>
  <c r="Q86" i="10"/>
  <c r="C115" i="11"/>
  <c r="C116" i="11" s="1"/>
  <c r="C117" i="11" s="1"/>
  <c r="C118" i="11" s="1"/>
  <c r="C119" i="11" s="1"/>
  <c r="E116" i="11"/>
  <c r="E117" i="11" s="1"/>
  <c r="E118" i="11" s="1"/>
  <c r="E119" i="11" s="1"/>
  <c r="G208" i="12"/>
  <c r="G209" i="12"/>
  <c r="F211" i="12"/>
  <c r="F210" i="12"/>
  <c r="U83" i="10"/>
  <c r="G84" i="10"/>
  <c r="U84" i="10" s="1"/>
  <c r="F219" i="12"/>
  <c r="F218" i="12"/>
  <c r="Y84" i="10"/>
  <c r="S84" i="10"/>
  <c r="K84" i="10"/>
  <c r="K98" i="11"/>
  <c r="G99" i="11"/>
  <c r="K99" i="11" s="1"/>
  <c r="F88" i="10"/>
  <c r="T88" i="10" s="1"/>
  <c r="T87" i="10"/>
  <c r="U89" i="10"/>
  <c r="G90" i="10"/>
  <c r="E226" i="12"/>
  <c r="E227" i="12"/>
  <c r="C225" i="12"/>
  <c r="C226" i="12" s="1"/>
  <c r="C227" i="12" s="1"/>
  <c r="C228" i="12" s="1"/>
  <c r="C229" i="12" s="1"/>
  <c r="C230" i="12" s="1"/>
  <c r="C231" i="12" s="1"/>
  <c r="C232" i="12" s="1"/>
  <c r="C233" i="12" s="1"/>
  <c r="C234" i="12" s="1"/>
  <c r="A98" i="10"/>
  <c r="A99" i="10" s="1"/>
  <c r="A100" i="10" s="1"/>
  <c r="F97" i="10"/>
  <c r="E97" i="10"/>
  <c r="A101" i="10"/>
  <c r="F203" i="12"/>
  <c r="F204" i="12" s="1"/>
  <c r="F202" i="12"/>
  <c r="BC98" i="11"/>
  <c r="AY99" i="11"/>
  <c r="BC99" i="11" s="1"/>
  <c r="T90" i="10"/>
  <c r="F91" i="10"/>
  <c r="E91" i="10"/>
  <c r="Y90" i="10"/>
  <c r="S90" i="10"/>
  <c r="K90" i="10"/>
  <c r="G200" i="12"/>
  <c r="G201" i="12"/>
  <c r="F235" i="12"/>
  <c r="A245" i="12"/>
  <c r="E235" i="12"/>
  <c r="V116" i="11"/>
  <c r="V117" i="11" s="1"/>
  <c r="V118" i="11" s="1"/>
  <c r="V119" i="11" s="1"/>
  <c r="W115" i="11"/>
  <c r="AO106" i="11"/>
  <c r="AK107" i="11"/>
  <c r="G217" i="12"/>
  <c r="G216" i="12"/>
  <c r="J215" i="12" s="1"/>
  <c r="AY107" i="11"/>
  <c r="BC106" i="11"/>
  <c r="AY103" i="11"/>
  <c r="BC102" i="11"/>
  <c r="E88" i="10"/>
  <c r="Y87" i="10"/>
  <c r="K87" i="10"/>
  <c r="S87" i="10"/>
  <c r="AY115" i="11"/>
  <c r="AX116" i="11"/>
  <c r="AX117" i="11" s="1"/>
  <c r="AX118" i="11" s="1"/>
  <c r="AX119" i="11" s="1"/>
  <c r="AG110" i="11"/>
  <c r="AG111" i="11" s="1"/>
  <c r="AG112" i="11" s="1"/>
  <c r="AG113" i="11" s="1"/>
  <c r="AG114" i="11" s="1"/>
  <c r="AK111" i="11"/>
  <c r="AO110" i="11"/>
  <c r="T93" i="10"/>
  <c r="G93" i="10"/>
  <c r="F94" i="10"/>
  <c r="C84" i="10"/>
  <c r="Q84" i="10" s="1"/>
  <c r="Q83" i="10"/>
  <c r="Y93" i="10"/>
  <c r="S93" i="10"/>
  <c r="K93" i="10"/>
  <c r="C93" i="10"/>
  <c r="E94" i="10"/>
  <c r="K106" i="11"/>
  <c r="G107" i="11"/>
  <c r="AJ116" i="11"/>
  <c r="AJ117" i="11" s="1"/>
  <c r="AJ118" i="11" s="1"/>
  <c r="AJ119" i="11" s="1"/>
  <c r="AK115" i="11"/>
  <c r="E218" i="12"/>
  <c r="E219" i="12"/>
  <c r="G192" i="12"/>
  <c r="G193" i="12"/>
  <c r="G194" i="12" s="1"/>
  <c r="BC110" i="11"/>
  <c r="AU110" i="11"/>
  <c r="AU111" i="11" s="1"/>
  <c r="AU112" i="11" s="1"/>
  <c r="AU113" i="11" s="1"/>
  <c r="AU114" i="11" s="1"/>
  <c r="AY111" i="11"/>
  <c r="W103" i="11"/>
  <c r="AA102" i="11"/>
  <c r="G103" i="11"/>
  <c r="K102" i="11"/>
  <c r="W107" i="11"/>
  <c r="AA106" i="11"/>
  <c r="V120" i="11"/>
  <c r="AW120" i="11"/>
  <c r="AW121" i="11" s="1"/>
  <c r="AW122" i="11" s="1"/>
  <c r="AW123" i="11" s="1"/>
  <c r="AW124" i="11" s="1"/>
  <c r="AJ120" i="11"/>
  <c r="U120" i="11"/>
  <c r="U121" i="11" s="1"/>
  <c r="U122" i="11" s="1"/>
  <c r="U123" i="11" s="1"/>
  <c r="U124" i="11" s="1"/>
  <c r="AX120" i="11"/>
  <c r="A125" i="11"/>
  <c r="AI120" i="11"/>
  <c r="AI121" i="11" s="1"/>
  <c r="AI122" i="11" s="1"/>
  <c r="AI123" i="11" s="1"/>
  <c r="AI124" i="11" s="1"/>
  <c r="F120" i="11"/>
  <c r="E120" i="11"/>
  <c r="F95" i="10" l="1"/>
  <c r="T94" i="10"/>
  <c r="C91" i="10"/>
  <c r="Q90" i="10"/>
  <c r="G104" i="11"/>
  <c r="K104" i="11" s="1"/>
  <c r="K103" i="11"/>
  <c r="E237" i="12"/>
  <c r="E236" i="12"/>
  <c r="C235" i="12"/>
  <c r="C236" i="12" s="1"/>
  <c r="C237" i="12" s="1"/>
  <c r="C238" i="12" s="1"/>
  <c r="C239" i="12" s="1"/>
  <c r="C240" i="12" s="1"/>
  <c r="C241" i="12" s="1"/>
  <c r="C242" i="12" s="1"/>
  <c r="C243" i="12" s="1"/>
  <c r="C244" i="12" s="1"/>
  <c r="F213" i="12"/>
  <c r="F214" i="12" s="1"/>
  <c r="F212" i="12"/>
  <c r="G112" i="11"/>
  <c r="K111" i="11"/>
  <c r="W108" i="11"/>
  <c r="AA107" i="11"/>
  <c r="AG115" i="11"/>
  <c r="AG116" i="11" s="1"/>
  <c r="AG117" i="11" s="1"/>
  <c r="AG118" i="11" s="1"/>
  <c r="AG119" i="11" s="1"/>
  <c r="AK116" i="11"/>
  <c r="AO115" i="11"/>
  <c r="U93" i="10"/>
  <c r="G94" i="10"/>
  <c r="AY104" i="11"/>
  <c r="BC104" i="11" s="1"/>
  <c r="BC103" i="11"/>
  <c r="G202" i="12"/>
  <c r="G203" i="12"/>
  <c r="G204" i="12" s="1"/>
  <c r="F101" i="10"/>
  <c r="A105" i="10"/>
  <c r="A102" i="10"/>
  <c r="A103" i="10" s="1"/>
  <c r="A104" i="10" s="1"/>
  <c r="E101" i="10"/>
  <c r="E121" i="11"/>
  <c r="E122" i="11" s="1"/>
  <c r="E123" i="11" s="1"/>
  <c r="E124" i="11" s="1"/>
  <c r="C120" i="11"/>
  <c r="C121" i="11" s="1"/>
  <c r="C122" i="11" s="1"/>
  <c r="C123" i="11" s="1"/>
  <c r="C124" i="11" s="1"/>
  <c r="K107" i="11"/>
  <c r="G108" i="11"/>
  <c r="G218" i="12"/>
  <c r="G219" i="12"/>
  <c r="AK120" i="11"/>
  <c r="AJ121" i="11"/>
  <c r="AJ122" i="11" s="1"/>
  <c r="AJ123" i="11" s="1"/>
  <c r="AJ124" i="11" s="1"/>
  <c r="W120" i="11"/>
  <c r="V121" i="11"/>
  <c r="V122" i="11" s="1"/>
  <c r="V123" i="11" s="1"/>
  <c r="V124" i="11" s="1"/>
  <c r="E220" i="12"/>
  <c r="E221" i="12"/>
  <c r="Y88" i="10"/>
  <c r="S88" i="10"/>
  <c r="K88" i="10"/>
  <c r="A255" i="12"/>
  <c r="E245" i="12"/>
  <c r="F245" i="12"/>
  <c r="G211" i="12"/>
  <c r="G210" i="12"/>
  <c r="BC107" i="11"/>
  <c r="AY108" i="11"/>
  <c r="T97" i="10"/>
  <c r="F98" i="10"/>
  <c r="G97" i="10"/>
  <c r="G120" i="11"/>
  <c r="F121" i="11"/>
  <c r="F122" i="11" s="1"/>
  <c r="F123" i="11" s="1"/>
  <c r="F124" i="11" s="1"/>
  <c r="AK112" i="11"/>
  <c r="AO111" i="11"/>
  <c r="C88" i="10"/>
  <c r="Q88" i="10" s="1"/>
  <c r="Q87" i="10"/>
  <c r="C94" i="10"/>
  <c r="Q93" i="10"/>
  <c r="AK108" i="11"/>
  <c r="AO107" i="11"/>
  <c r="Y91" i="10"/>
  <c r="E92" i="10"/>
  <c r="S91" i="10"/>
  <c r="K91" i="10"/>
  <c r="E229" i="12"/>
  <c r="E228" i="12"/>
  <c r="F220" i="12"/>
  <c r="F221" i="12"/>
  <c r="AO103" i="11"/>
  <c r="AK104" i="11"/>
  <c r="AO104" i="11" s="1"/>
  <c r="E212" i="12"/>
  <c r="E213" i="12"/>
  <c r="E214" i="12" s="1"/>
  <c r="G235" i="12"/>
  <c r="F237" i="12"/>
  <c r="F236" i="12"/>
  <c r="Y97" i="10"/>
  <c r="S97" i="10"/>
  <c r="K97" i="10"/>
  <c r="E98" i="10"/>
  <c r="C97" i="10"/>
  <c r="AX121" i="11"/>
  <c r="AX122" i="11" s="1"/>
  <c r="AX123" i="11" s="1"/>
  <c r="AX124" i="11" s="1"/>
  <c r="AY120" i="11"/>
  <c r="AY116" i="11"/>
  <c r="BC115" i="11"/>
  <c r="AU115" i="11"/>
  <c r="AU116" i="11" s="1"/>
  <c r="AU117" i="11" s="1"/>
  <c r="AU118" i="11" s="1"/>
  <c r="AU119" i="11" s="1"/>
  <c r="F229" i="12"/>
  <c r="F228" i="12"/>
  <c r="V125" i="11"/>
  <c r="U125" i="11"/>
  <c r="U126" i="11" s="1"/>
  <c r="U127" i="11" s="1"/>
  <c r="U128" i="11" s="1"/>
  <c r="U129" i="11" s="1"/>
  <c r="AX125" i="11"/>
  <c r="AW125" i="11"/>
  <c r="AW126" i="11" s="1"/>
  <c r="AW127" i="11" s="1"/>
  <c r="AW128" i="11" s="1"/>
  <c r="AW129" i="11" s="1"/>
  <c r="AJ125" i="11"/>
  <c r="A130" i="11"/>
  <c r="F125" i="11"/>
  <c r="E125" i="11"/>
  <c r="AI125" i="11"/>
  <c r="AI126" i="11" s="1"/>
  <c r="AI127" i="11" s="1"/>
  <c r="AI128" i="11" s="1"/>
  <c r="AI129" i="11" s="1"/>
  <c r="AY112" i="11"/>
  <c r="BC111" i="11"/>
  <c r="T91" i="10"/>
  <c r="F92" i="10"/>
  <c r="T92" i="10" s="1"/>
  <c r="AA115" i="11"/>
  <c r="S115" i="11"/>
  <c r="S116" i="11" s="1"/>
  <c r="S117" i="11" s="1"/>
  <c r="S118" i="11" s="1"/>
  <c r="S119" i="11" s="1"/>
  <c r="W116" i="11"/>
  <c r="U90" i="10"/>
  <c r="G91" i="10"/>
  <c r="U87" i="10"/>
  <c r="G88" i="10"/>
  <c r="U88" i="10" s="1"/>
  <c r="W112" i="11"/>
  <c r="AA111" i="11"/>
  <c r="G226" i="12"/>
  <c r="J225" i="12" s="1"/>
  <c r="G227" i="12"/>
  <c r="J223" i="12"/>
  <c r="J224" i="12" s="1"/>
  <c r="J219" i="12"/>
  <c r="J220" i="12" s="1"/>
  <c r="J216" i="12"/>
  <c r="J217" i="12"/>
  <c r="J218" i="12" s="1"/>
  <c r="J221" i="12"/>
  <c r="J222" i="12" s="1"/>
  <c r="AA103" i="11"/>
  <c r="W104" i="11"/>
  <c r="AA104" i="11" s="1"/>
  <c r="S94" i="10"/>
  <c r="E95" i="10"/>
  <c r="Y94" i="10"/>
  <c r="K94" i="10"/>
  <c r="K115" i="11"/>
  <c r="G116" i="11"/>
  <c r="E231" i="12" l="1"/>
  <c r="E230" i="12"/>
  <c r="K108" i="11"/>
  <c r="G109" i="11"/>
  <c r="K109" i="11" s="1"/>
  <c r="V126" i="11"/>
  <c r="V127" i="11" s="1"/>
  <c r="V128" i="11" s="1"/>
  <c r="V129" i="11" s="1"/>
  <c r="W125" i="11"/>
  <c r="G92" i="10"/>
  <c r="U92" i="10" s="1"/>
  <c r="U91" i="10"/>
  <c r="AX130" i="11"/>
  <c r="AW130" i="11"/>
  <c r="AW131" i="11" s="1"/>
  <c r="AW132" i="11" s="1"/>
  <c r="AW133" i="11" s="1"/>
  <c r="AW134" i="11" s="1"/>
  <c r="A135" i="11"/>
  <c r="AJ130" i="11"/>
  <c r="E130" i="11"/>
  <c r="U130" i="11"/>
  <c r="U131" i="11" s="1"/>
  <c r="U132" i="11" s="1"/>
  <c r="U133" i="11" s="1"/>
  <c r="U134" i="11" s="1"/>
  <c r="AI130" i="11"/>
  <c r="AI131" i="11" s="1"/>
  <c r="AI132" i="11" s="1"/>
  <c r="AI133" i="11" s="1"/>
  <c r="AI134" i="11" s="1"/>
  <c r="F130" i="11"/>
  <c r="V130" i="11"/>
  <c r="C95" i="10"/>
  <c r="Q94" i="10"/>
  <c r="G113" i="11"/>
  <c r="K112" i="11"/>
  <c r="G121" i="11"/>
  <c r="K120" i="11"/>
  <c r="G125" i="11"/>
  <c r="F126" i="11"/>
  <c r="F127" i="11" s="1"/>
  <c r="F128" i="11" s="1"/>
  <c r="F129" i="11" s="1"/>
  <c r="AY121" i="11"/>
  <c r="BC120" i="11"/>
  <c r="AU120" i="11"/>
  <c r="AU121" i="11" s="1"/>
  <c r="AU122" i="11" s="1"/>
  <c r="AU123" i="11" s="1"/>
  <c r="AU124" i="11" s="1"/>
  <c r="AK125" i="11"/>
  <c r="AJ126" i="11"/>
  <c r="AJ127" i="11" s="1"/>
  <c r="AJ128" i="11" s="1"/>
  <c r="AJ129" i="11" s="1"/>
  <c r="C98" i="10"/>
  <c r="Q97" i="10"/>
  <c r="F222" i="12"/>
  <c r="F223" i="12"/>
  <c r="F224" i="12" s="1"/>
  <c r="G213" i="12"/>
  <c r="G214" i="12" s="1"/>
  <c r="G212" i="12"/>
  <c r="AG120" i="11"/>
  <c r="AG121" i="11" s="1"/>
  <c r="AG122" i="11" s="1"/>
  <c r="AG123" i="11" s="1"/>
  <c r="AG124" i="11" s="1"/>
  <c r="AK121" i="11"/>
  <c r="AO120" i="11"/>
  <c r="W117" i="11"/>
  <c r="AA116" i="11"/>
  <c r="S98" i="10"/>
  <c r="K98" i="10"/>
  <c r="E99" i="10"/>
  <c r="Y98" i="10"/>
  <c r="F246" i="12"/>
  <c r="C245" i="12" s="1"/>
  <c r="C246" i="12" s="1"/>
  <c r="C247" i="12" s="1"/>
  <c r="C248" i="12" s="1"/>
  <c r="C249" i="12" s="1"/>
  <c r="C250" i="12" s="1"/>
  <c r="C251" i="12" s="1"/>
  <c r="C252" i="12" s="1"/>
  <c r="C253" i="12" s="1"/>
  <c r="C254" i="12" s="1"/>
  <c r="F247" i="12"/>
  <c r="G245" i="12"/>
  <c r="G220" i="12"/>
  <c r="G221" i="12"/>
  <c r="J226" i="12"/>
  <c r="J231" i="12"/>
  <c r="J232" i="12" s="1"/>
  <c r="J233" i="12"/>
  <c r="J234" i="12" s="1"/>
  <c r="J229" i="12"/>
  <c r="J230" i="12" s="1"/>
  <c r="J227" i="12"/>
  <c r="J228" i="12" s="1"/>
  <c r="F230" i="12"/>
  <c r="F231" i="12"/>
  <c r="S92" i="10"/>
  <c r="Y92" i="10"/>
  <c r="K92" i="10"/>
  <c r="U97" i="10"/>
  <c r="G98" i="10"/>
  <c r="T98" i="10"/>
  <c r="F99" i="10"/>
  <c r="E223" i="12"/>
  <c r="E224" i="12" s="1"/>
  <c r="E222" i="12"/>
  <c r="K101" i="10"/>
  <c r="E102" i="10"/>
  <c r="S101" i="10"/>
  <c r="Y101" i="10"/>
  <c r="C101" i="10"/>
  <c r="E247" i="12"/>
  <c r="E246" i="12"/>
  <c r="AO112" i="11"/>
  <c r="AK113" i="11"/>
  <c r="G117" i="11"/>
  <c r="K116" i="11"/>
  <c r="AK117" i="11"/>
  <c r="AO116" i="11"/>
  <c r="G237" i="12"/>
  <c r="G236" i="12"/>
  <c r="J235" i="12" s="1"/>
  <c r="Y95" i="10"/>
  <c r="S95" i="10"/>
  <c r="K95" i="10"/>
  <c r="E96" i="10"/>
  <c r="AA112" i="11"/>
  <c r="W113" i="11"/>
  <c r="C92" i="10"/>
  <c r="Q92" i="10" s="1"/>
  <c r="Q91" i="10"/>
  <c r="E255" i="12"/>
  <c r="F255" i="12"/>
  <c r="A265" i="12"/>
  <c r="U94" i="10"/>
  <c r="G95" i="10"/>
  <c r="E239" i="12"/>
  <c r="E238" i="12"/>
  <c r="G229" i="12"/>
  <c r="G228" i="12"/>
  <c r="F239" i="12"/>
  <c r="F238" i="12"/>
  <c r="AY113" i="11"/>
  <c r="BC112" i="11"/>
  <c r="C125" i="11"/>
  <c r="C126" i="11" s="1"/>
  <c r="C127" i="11" s="1"/>
  <c r="C128" i="11" s="1"/>
  <c r="C129" i="11" s="1"/>
  <c r="E126" i="11"/>
  <c r="E127" i="11" s="1"/>
  <c r="E128" i="11" s="1"/>
  <c r="E129" i="11" s="1"/>
  <c r="BC116" i="11"/>
  <c r="AY117" i="11"/>
  <c r="AK109" i="11"/>
  <c r="AO109" i="11" s="1"/>
  <c r="AO108" i="11"/>
  <c r="AY109" i="11"/>
  <c r="BC109" i="11" s="1"/>
  <c r="BC108" i="11"/>
  <c r="F105" i="10"/>
  <c r="A109" i="10"/>
  <c r="E105" i="10"/>
  <c r="A106" i="10"/>
  <c r="A107" i="10" s="1"/>
  <c r="A108" i="10" s="1"/>
  <c r="W109" i="11"/>
  <c r="AA109" i="11" s="1"/>
  <c r="AA108" i="11"/>
  <c r="AY125" i="11"/>
  <c r="AX126" i="11"/>
  <c r="AX127" i="11" s="1"/>
  <c r="AX128" i="11" s="1"/>
  <c r="AX129" i="11" s="1"/>
  <c r="AA120" i="11"/>
  <c r="W121" i="11"/>
  <c r="S120" i="11"/>
  <c r="S121" i="11" s="1"/>
  <c r="S122" i="11" s="1"/>
  <c r="S123" i="11" s="1"/>
  <c r="S124" i="11" s="1"/>
  <c r="T101" i="10"/>
  <c r="F102" i="10"/>
  <c r="G101" i="10"/>
  <c r="T95" i="10"/>
  <c r="F96" i="10"/>
  <c r="T96" i="10" s="1"/>
  <c r="J237" i="12" l="1"/>
  <c r="J238" i="12" s="1"/>
  <c r="J239" i="12"/>
  <c r="J240" i="12" s="1"/>
  <c r="J241" i="12"/>
  <c r="J242" i="12" s="1"/>
  <c r="J236" i="12"/>
  <c r="J243" i="12"/>
  <c r="J244" i="12" s="1"/>
  <c r="G114" i="11"/>
  <c r="K114" i="11" s="1"/>
  <c r="K113" i="11"/>
  <c r="AK126" i="11"/>
  <c r="AO125" i="11"/>
  <c r="AG125" i="11"/>
  <c r="AG126" i="11" s="1"/>
  <c r="AG127" i="11" s="1"/>
  <c r="AG128" i="11" s="1"/>
  <c r="AG129" i="11" s="1"/>
  <c r="T102" i="10"/>
  <c r="F103" i="10"/>
  <c r="F240" i="12"/>
  <c r="F241" i="12"/>
  <c r="E240" i="12"/>
  <c r="E241" i="12"/>
  <c r="E248" i="12"/>
  <c r="E249" i="12"/>
  <c r="G246" i="12"/>
  <c r="J245" i="12" s="1"/>
  <c r="G247" i="12"/>
  <c r="K125" i="11"/>
  <c r="G126" i="11"/>
  <c r="AJ131" i="11"/>
  <c r="AJ132" i="11" s="1"/>
  <c r="AJ133" i="11" s="1"/>
  <c r="AJ134" i="11" s="1"/>
  <c r="AK130" i="11"/>
  <c r="G122" i="11"/>
  <c r="K121" i="11"/>
  <c r="F257" i="12"/>
  <c r="G255" i="12"/>
  <c r="F256" i="12"/>
  <c r="K102" i="10"/>
  <c r="Y102" i="10"/>
  <c r="S102" i="10"/>
  <c r="E103" i="10"/>
  <c r="S99" i="10"/>
  <c r="E100" i="10"/>
  <c r="Y99" i="10"/>
  <c r="K99" i="10"/>
  <c r="E257" i="12"/>
  <c r="C255" i="12"/>
  <c r="C256" i="12" s="1"/>
  <c r="C257" i="12" s="1"/>
  <c r="C258" i="12" s="1"/>
  <c r="C259" i="12" s="1"/>
  <c r="C260" i="12" s="1"/>
  <c r="C261" i="12" s="1"/>
  <c r="C262" i="12" s="1"/>
  <c r="C263" i="12" s="1"/>
  <c r="C264" i="12" s="1"/>
  <c r="E256" i="12"/>
  <c r="BC117" i="11"/>
  <c r="AY118" i="11"/>
  <c r="U95" i="10"/>
  <c r="G96" i="10"/>
  <c r="U96" i="10" s="1"/>
  <c r="Q101" i="10"/>
  <c r="C102" i="10"/>
  <c r="F248" i="12"/>
  <c r="F249" i="12"/>
  <c r="F135" i="11"/>
  <c r="AW135" i="11"/>
  <c r="AW136" i="11" s="1"/>
  <c r="AW137" i="11" s="1"/>
  <c r="AW138" i="11" s="1"/>
  <c r="AW139" i="11" s="1"/>
  <c r="A140" i="11"/>
  <c r="AI135" i="11"/>
  <c r="AI136" i="11" s="1"/>
  <c r="AI137" i="11" s="1"/>
  <c r="AI138" i="11" s="1"/>
  <c r="AI139" i="11" s="1"/>
  <c r="U135" i="11"/>
  <c r="U136" i="11" s="1"/>
  <c r="U137" i="11" s="1"/>
  <c r="U138" i="11" s="1"/>
  <c r="U139" i="11" s="1"/>
  <c r="E135" i="11"/>
  <c r="V135" i="11"/>
  <c r="AJ135" i="11"/>
  <c r="AX135" i="11"/>
  <c r="G102" i="10"/>
  <c r="U101" i="10"/>
  <c r="K117" i="11"/>
  <c r="G118" i="11"/>
  <c r="W130" i="11"/>
  <c r="V131" i="11"/>
  <c r="V132" i="11" s="1"/>
  <c r="V133" i="11" s="1"/>
  <c r="V134" i="11" s="1"/>
  <c r="G105" i="10"/>
  <c r="F106" i="10"/>
  <c r="T105" i="10"/>
  <c r="AA113" i="11"/>
  <c r="W114" i="11"/>
  <c r="AA114" i="11" s="1"/>
  <c r="AO113" i="11"/>
  <c r="AK114" i="11"/>
  <c r="AO114" i="11" s="1"/>
  <c r="F100" i="10"/>
  <c r="T100" i="10" s="1"/>
  <c r="T99" i="10"/>
  <c r="W118" i="11"/>
  <c r="AA117" i="11"/>
  <c r="G130" i="11"/>
  <c r="C130" i="11" s="1"/>
  <c r="C131" i="11" s="1"/>
  <c r="C132" i="11" s="1"/>
  <c r="C133" i="11" s="1"/>
  <c r="C134" i="11" s="1"/>
  <c r="F131" i="11"/>
  <c r="F132" i="11" s="1"/>
  <c r="F133" i="11" s="1"/>
  <c r="F134" i="11" s="1"/>
  <c r="A275" i="12"/>
  <c r="F265" i="12"/>
  <c r="E265" i="12"/>
  <c r="G238" i="12"/>
  <c r="G239" i="12"/>
  <c r="F233" i="12"/>
  <c r="F234" i="12" s="1"/>
  <c r="F232" i="12"/>
  <c r="AY130" i="11"/>
  <c r="AX131" i="11"/>
  <c r="AX132" i="11" s="1"/>
  <c r="AX133" i="11" s="1"/>
  <c r="AX134" i="11" s="1"/>
  <c r="E106" i="10"/>
  <c r="C105" i="10"/>
  <c r="Y105" i="10"/>
  <c r="S105" i="10"/>
  <c r="K105" i="10"/>
  <c r="Q95" i="10"/>
  <c r="C96" i="10"/>
  <c r="Q96" i="10" s="1"/>
  <c r="BC125" i="11"/>
  <c r="AY126" i="11"/>
  <c r="AU125" i="11"/>
  <c r="AU126" i="11" s="1"/>
  <c r="AU127" i="11" s="1"/>
  <c r="AU128" i="11" s="1"/>
  <c r="AU129" i="11" s="1"/>
  <c r="C99" i="10"/>
  <c r="Q98" i="10"/>
  <c r="W126" i="11"/>
  <c r="S125" i="11"/>
  <c r="S126" i="11" s="1"/>
  <c r="S127" i="11" s="1"/>
  <c r="S128" i="11" s="1"/>
  <c r="S129" i="11" s="1"/>
  <c r="AA125" i="11"/>
  <c r="A113" i="10"/>
  <c r="E109" i="10"/>
  <c r="A110" i="10"/>
  <c r="A111" i="10" s="1"/>
  <c r="A112" i="10" s="1"/>
  <c r="F109" i="10"/>
  <c r="G231" i="12"/>
  <c r="G230" i="12"/>
  <c r="S96" i="10"/>
  <c r="K96" i="10"/>
  <c r="Y96" i="10"/>
  <c r="G99" i="10"/>
  <c r="U98" i="10"/>
  <c r="G222" i="12"/>
  <c r="G223" i="12"/>
  <c r="G224" i="12" s="1"/>
  <c r="AO121" i="11"/>
  <c r="AK122" i="11"/>
  <c r="AY122" i="11"/>
  <c r="BC121" i="11"/>
  <c r="AK118" i="11"/>
  <c r="AO117" i="11"/>
  <c r="AY114" i="11"/>
  <c r="BC114" i="11" s="1"/>
  <c r="BC113" i="11"/>
  <c r="AA121" i="11"/>
  <c r="W122" i="11"/>
  <c r="E131" i="11"/>
  <c r="E132" i="11" s="1"/>
  <c r="E133" i="11" s="1"/>
  <c r="E134" i="11" s="1"/>
  <c r="E233" i="12"/>
  <c r="E234" i="12" s="1"/>
  <c r="E232" i="12"/>
  <c r="BC126" i="11" l="1"/>
  <c r="AY127" i="11"/>
  <c r="G103" i="10"/>
  <c r="U102" i="10"/>
  <c r="G109" i="10"/>
  <c r="F110" i="10"/>
  <c r="T109" i="10"/>
  <c r="AK127" i="11"/>
  <c r="AO126" i="11"/>
  <c r="E266" i="12"/>
  <c r="E267" i="12"/>
  <c r="V136" i="11"/>
  <c r="V137" i="11" s="1"/>
  <c r="V138" i="11" s="1"/>
  <c r="V139" i="11" s="1"/>
  <c r="W135" i="11"/>
  <c r="E136" i="11"/>
  <c r="E137" i="11" s="1"/>
  <c r="E138" i="11" s="1"/>
  <c r="E139" i="11" s="1"/>
  <c r="AA122" i="11"/>
  <c r="W123" i="11"/>
  <c r="Q99" i="10"/>
  <c r="C100" i="10"/>
  <c r="Q100" i="10" s="1"/>
  <c r="AU130" i="11"/>
  <c r="AU131" i="11" s="1"/>
  <c r="AU132" i="11" s="1"/>
  <c r="AU133" i="11" s="1"/>
  <c r="AU134" i="11" s="1"/>
  <c r="BC130" i="11"/>
  <c r="AY131" i="11"/>
  <c r="F251" i="12"/>
  <c r="F250" i="12"/>
  <c r="AK131" i="11"/>
  <c r="AO130" i="11"/>
  <c r="AG130" i="11"/>
  <c r="AG131" i="11" s="1"/>
  <c r="AG132" i="11" s="1"/>
  <c r="AG133" i="11" s="1"/>
  <c r="AG134" i="11" s="1"/>
  <c r="T103" i="10"/>
  <c r="F104" i="10"/>
  <c r="T104" i="10" s="1"/>
  <c r="AK119" i="11"/>
  <c r="AO119" i="11" s="1"/>
  <c r="AO118" i="11"/>
  <c r="Q105" i="10"/>
  <c r="C106" i="10"/>
  <c r="K100" i="10"/>
  <c r="S100" i="10"/>
  <c r="Y100" i="10"/>
  <c r="E251" i="12"/>
  <c r="E250" i="12"/>
  <c r="A117" i="10"/>
  <c r="E113" i="10"/>
  <c r="A114" i="10"/>
  <c r="A115" i="10" s="1"/>
  <c r="A116" i="10" s="1"/>
  <c r="F113" i="10"/>
  <c r="E275" i="12"/>
  <c r="F275" i="12"/>
  <c r="A285" i="12"/>
  <c r="F107" i="10"/>
  <c r="T106" i="10"/>
  <c r="Q102" i="10"/>
  <c r="C103" i="10"/>
  <c r="K126" i="11"/>
  <c r="G127" i="11"/>
  <c r="BC122" i="11"/>
  <c r="AY123" i="11"/>
  <c r="AO122" i="11"/>
  <c r="AK123" i="11"/>
  <c r="E110" i="10"/>
  <c r="C109" i="10"/>
  <c r="K109" i="10"/>
  <c r="Y109" i="10"/>
  <c r="S109" i="10"/>
  <c r="G265" i="12"/>
  <c r="F267" i="12"/>
  <c r="F266" i="12"/>
  <c r="C265" i="12" s="1"/>
  <c r="C266" i="12" s="1"/>
  <c r="C267" i="12" s="1"/>
  <c r="C268" i="12" s="1"/>
  <c r="C269" i="12" s="1"/>
  <c r="C270" i="12" s="1"/>
  <c r="C271" i="12" s="1"/>
  <c r="C272" i="12" s="1"/>
  <c r="C273" i="12" s="1"/>
  <c r="C274" i="12" s="1"/>
  <c r="AY119" i="11"/>
  <c r="BC119" i="11" s="1"/>
  <c r="BC118" i="11"/>
  <c r="G106" i="10"/>
  <c r="U105" i="10"/>
  <c r="G257" i="12"/>
  <c r="G256" i="12"/>
  <c r="J255" i="12" s="1"/>
  <c r="E242" i="12"/>
  <c r="E243" i="12"/>
  <c r="E244" i="12" s="1"/>
  <c r="F259" i="12"/>
  <c r="F258" i="12"/>
  <c r="AX136" i="11"/>
  <c r="AX137" i="11" s="1"/>
  <c r="AX138" i="11" s="1"/>
  <c r="AX139" i="11" s="1"/>
  <c r="AY135" i="11"/>
  <c r="S103" i="10"/>
  <c r="K103" i="10"/>
  <c r="E104" i="10"/>
  <c r="Y103" i="10"/>
  <c r="AJ136" i="11"/>
  <c r="AJ137" i="11" s="1"/>
  <c r="AJ138" i="11" s="1"/>
  <c r="AJ139" i="11" s="1"/>
  <c r="AK135" i="11"/>
  <c r="G248" i="12"/>
  <c r="G249" i="12"/>
  <c r="K130" i="11"/>
  <c r="G131" i="11"/>
  <c r="F140" i="11"/>
  <c r="A145" i="11"/>
  <c r="AJ140" i="11"/>
  <c r="E140" i="11"/>
  <c r="AI140" i="11"/>
  <c r="AI141" i="11" s="1"/>
  <c r="AI142" i="11" s="1"/>
  <c r="AI143" i="11" s="1"/>
  <c r="AI144" i="11" s="1"/>
  <c r="AX140" i="11"/>
  <c r="AW140" i="11"/>
  <c r="AW141" i="11" s="1"/>
  <c r="AW142" i="11" s="1"/>
  <c r="AW143" i="11" s="1"/>
  <c r="AW144" i="11" s="1"/>
  <c r="V140" i="11"/>
  <c r="U140" i="11"/>
  <c r="U141" i="11" s="1"/>
  <c r="U142" i="11" s="1"/>
  <c r="U143" i="11" s="1"/>
  <c r="U144" i="11" s="1"/>
  <c r="U99" i="10"/>
  <c r="G100" i="10"/>
  <c r="U100" i="10" s="1"/>
  <c r="AA126" i="11"/>
  <c r="W127" i="11"/>
  <c r="S130" i="11"/>
  <c r="S131" i="11" s="1"/>
  <c r="S132" i="11" s="1"/>
  <c r="S133" i="11" s="1"/>
  <c r="S134" i="11" s="1"/>
  <c r="W131" i="11"/>
  <c r="AA130" i="11"/>
  <c r="E259" i="12"/>
  <c r="E258" i="12"/>
  <c r="F242" i="12"/>
  <c r="F243" i="12"/>
  <c r="F244" i="12" s="1"/>
  <c r="G233" i="12"/>
  <c r="G234" i="12" s="1"/>
  <c r="G232" i="12"/>
  <c r="G240" i="12"/>
  <c r="G241" i="12"/>
  <c r="J249" i="12"/>
  <c r="J250" i="12" s="1"/>
  <c r="J247" i="12"/>
  <c r="J248" i="12" s="1"/>
  <c r="J253" i="12"/>
  <c r="J254" i="12" s="1"/>
  <c r="J246" i="12"/>
  <c r="J251" i="12"/>
  <c r="J252" i="12" s="1"/>
  <c r="S106" i="10"/>
  <c r="K106" i="10"/>
  <c r="E107" i="10"/>
  <c r="Y106" i="10"/>
  <c r="W119" i="11"/>
  <c r="AA119" i="11" s="1"/>
  <c r="AA118" i="11"/>
  <c r="K118" i="11"/>
  <c r="G119" i="11"/>
  <c r="K119" i="11" s="1"/>
  <c r="G135" i="11"/>
  <c r="F136" i="11"/>
  <c r="F137" i="11" s="1"/>
  <c r="F138" i="11" s="1"/>
  <c r="F139" i="11" s="1"/>
  <c r="G123" i="11"/>
  <c r="K122" i="11"/>
  <c r="C110" i="10" l="1"/>
  <c r="Q109" i="10"/>
  <c r="G259" i="12"/>
  <c r="G258" i="12"/>
  <c r="E111" i="10"/>
  <c r="Y110" i="10"/>
  <c r="S110" i="10"/>
  <c r="K110" i="10"/>
  <c r="T110" i="10"/>
  <c r="F111" i="10"/>
  <c r="G251" i="12"/>
  <c r="G250" i="12"/>
  <c r="F252" i="12"/>
  <c r="F253" i="12"/>
  <c r="F254" i="12" s="1"/>
  <c r="J261" i="12"/>
  <c r="J262" i="12" s="1"/>
  <c r="J263" i="12"/>
  <c r="J264" i="12" s="1"/>
  <c r="J257" i="12"/>
  <c r="J258" i="12" s="1"/>
  <c r="J256" i="12"/>
  <c r="J259" i="12"/>
  <c r="J260" i="12" s="1"/>
  <c r="E285" i="12"/>
  <c r="A295" i="12"/>
  <c r="F285" i="12"/>
  <c r="Q106" i="10"/>
  <c r="C107" i="10"/>
  <c r="F108" i="10"/>
  <c r="T108" i="10" s="1"/>
  <c r="T107" i="10"/>
  <c r="AY132" i="11"/>
  <c r="BC131" i="11"/>
  <c r="E268" i="12"/>
  <c r="E269" i="12"/>
  <c r="W140" i="11"/>
  <c r="V141" i="11"/>
  <c r="V142" i="11" s="1"/>
  <c r="V143" i="11" s="1"/>
  <c r="V144" i="11" s="1"/>
  <c r="AX141" i="11"/>
  <c r="AX142" i="11" s="1"/>
  <c r="AX143" i="11" s="1"/>
  <c r="AX144" i="11" s="1"/>
  <c r="AY140" i="11"/>
  <c r="E141" i="11"/>
  <c r="E142" i="11" s="1"/>
  <c r="E143" i="11" s="1"/>
  <c r="E144" i="11" s="1"/>
  <c r="AY124" i="11"/>
  <c r="BC124" i="11" s="1"/>
  <c r="BC123" i="11"/>
  <c r="K113" i="10"/>
  <c r="E114" i="10"/>
  <c r="Y113" i="10"/>
  <c r="S113" i="10"/>
  <c r="C113" i="10"/>
  <c r="U109" i="10"/>
  <c r="G110" i="10"/>
  <c r="K107" i="10"/>
  <c r="E108" i="10"/>
  <c r="S107" i="10"/>
  <c r="Y107" i="10"/>
  <c r="AK136" i="11"/>
  <c r="AO135" i="11"/>
  <c r="AG135" i="11"/>
  <c r="AG136" i="11" s="1"/>
  <c r="AG137" i="11" s="1"/>
  <c r="AG138" i="11" s="1"/>
  <c r="AG139" i="11" s="1"/>
  <c r="G124" i="11"/>
  <c r="K124" i="11" s="1"/>
  <c r="K123" i="11"/>
  <c r="AJ141" i="11"/>
  <c r="AJ142" i="11" s="1"/>
  <c r="AJ143" i="11" s="1"/>
  <c r="AJ144" i="11" s="1"/>
  <c r="AK140" i="11"/>
  <c r="K135" i="11"/>
  <c r="G136" i="11"/>
  <c r="AI145" i="11"/>
  <c r="AI146" i="11" s="1"/>
  <c r="AI147" i="11" s="1"/>
  <c r="AI148" i="11" s="1"/>
  <c r="AI149" i="11" s="1"/>
  <c r="U145" i="11"/>
  <c r="U146" i="11" s="1"/>
  <c r="U147" i="11" s="1"/>
  <c r="U148" i="11" s="1"/>
  <c r="U149" i="11" s="1"/>
  <c r="V145" i="11"/>
  <c r="AW145" i="11"/>
  <c r="AW146" i="11" s="1"/>
  <c r="AW147" i="11" s="1"/>
  <c r="AW148" i="11" s="1"/>
  <c r="AW149" i="11" s="1"/>
  <c r="E145" i="11"/>
  <c r="A150" i="11"/>
  <c r="AJ145" i="11"/>
  <c r="F145" i="11"/>
  <c r="AX145" i="11"/>
  <c r="AU135" i="11"/>
  <c r="AU136" i="11" s="1"/>
  <c r="AU137" i="11" s="1"/>
  <c r="AU138" i="11" s="1"/>
  <c r="AU139" i="11" s="1"/>
  <c r="AY136" i="11"/>
  <c r="BC135" i="11"/>
  <c r="K127" i="11"/>
  <c r="G128" i="11"/>
  <c r="A118" i="10"/>
  <c r="A119" i="10" s="1"/>
  <c r="A120" i="10" s="1"/>
  <c r="E117" i="10"/>
  <c r="A121" i="10"/>
  <c r="F117" i="10"/>
  <c r="C135" i="11"/>
  <c r="C136" i="11" s="1"/>
  <c r="C137" i="11" s="1"/>
  <c r="C138" i="11" s="1"/>
  <c r="C139" i="11" s="1"/>
  <c r="AK124" i="11"/>
  <c r="AO124" i="11" s="1"/>
  <c r="AO123" i="11"/>
  <c r="W124" i="11"/>
  <c r="AA124" i="11" s="1"/>
  <c r="AA123" i="11"/>
  <c r="AA131" i="11"/>
  <c r="W132" i="11"/>
  <c r="F141" i="11"/>
  <c r="F142" i="11" s="1"/>
  <c r="F143" i="11" s="1"/>
  <c r="F144" i="11" s="1"/>
  <c r="G140" i="11"/>
  <c r="C140" i="11" s="1"/>
  <c r="C141" i="11" s="1"/>
  <c r="C142" i="11" s="1"/>
  <c r="C143" i="11" s="1"/>
  <c r="C144" i="11" s="1"/>
  <c r="G104" i="10"/>
  <c r="U104" i="10" s="1"/>
  <c r="U103" i="10"/>
  <c r="F276" i="12"/>
  <c r="G275" i="12"/>
  <c r="F277" i="12"/>
  <c r="E276" i="12"/>
  <c r="C275" i="12"/>
  <c r="C276" i="12" s="1"/>
  <c r="C277" i="12" s="1"/>
  <c r="C278" i="12" s="1"/>
  <c r="C279" i="12" s="1"/>
  <c r="C280" i="12" s="1"/>
  <c r="C281" i="12" s="1"/>
  <c r="C282" i="12" s="1"/>
  <c r="C283" i="12" s="1"/>
  <c r="C284" i="12" s="1"/>
  <c r="E277" i="12"/>
  <c r="AO127" i="11"/>
  <c r="AK128" i="11"/>
  <c r="E261" i="12"/>
  <c r="E260" i="12"/>
  <c r="W128" i="11"/>
  <c r="AA127" i="11"/>
  <c r="F268" i="12"/>
  <c r="F269" i="12"/>
  <c r="G243" i="12"/>
  <c r="G244" i="12" s="1"/>
  <c r="G242" i="12"/>
  <c r="G132" i="11"/>
  <c r="K131" i="11"/>
  <c r="G267" i="12"/>
  <c r="G266" i="12"/>
  <c r="J265" i="12" s="1"/>
  <c r="Q103" i="10"/>
  <c r="C104" i="10"/>
  <c r="Q104" i="10" s="1"/>
  <c r="E253" i="12"/>
  <c r="E254" i="12" s="1"/>
  <c r="E252" i="12"/>
  <c r="AO131" i="11"/>
  <c r="AK132" i="11"/>
  <c r="W136" i="11"/>
  <c r="AA135" i="11"/>
  <c r="S135" i="11"/>
  <c r="S136" i="11" s="1"/>
  <c r="S137" i="11" s="1"/>
  <c r="S138" i="11" s="1"/>
  <c r="S139" i="11" s="1"/>
  <c r="AY128" i="11"/>
  <c r="BC127" i="11"/>
  <c r="Y104" i="10"/>
  <c r="K104" i="10"/>
  <c r="S104" i="10"/>
  <c r="G107" i="10"/>
  <c r="U106" i="10"/>
  <c r="F114" i="10"/>
  <c r="G113" i="10"/>
  <c r="T113" i="10"/>
  <c r="F260" i="12"/>
  <c r="F261" i="12"/>
  <c r="E262" i="12" l="1"/>
  <c r="E263" i="12"/>
  <c r="E264" i="12" s="1"/>
  <c r="G129" i="11"/>
  <c r="K129" i="11" s="1"/>
  <c r="K128" i="11"/>
  <c r="J269" i="12"/>
  <c r="J270" i="12" s="1"/>
  <c r="J271" i="12"/>
  <c r="J272" i="12" s="1"/>
  <c r="J267" i="12"/>
  <c r="J268" i="12" s="1"/>
  <c r="J273" i="12"/>
  <c r="J274" i="12" s="1"/>
  <c r="J266" i="12"/>
  <c r="AK129" i="11"/>
  <c r="AO129" i="11" s="1"/>
  <c r="AO128" i="11"/>
  <c r="W133" i="11"/>
  <c r="AA132" i="11"/>
  <c r="Y108" i="10"/>
  <c r="S108" i="10"/>
  <c r="K108" i="10"/>
  <c r="G252" i="12"/>
  <c r="G253" i="12"/>
  <c r="G254" i="12" s="1"/>
  <c r="Q107" i="10"/>
  <c r="C108" i="10"/>
  <c r="Q108" i="10" s="1"/>
  <c r="BC140" i="11"/>
  <c r="AU140" i="11"/>
  <c r="AU141" i="11" s="1"/>
  <c r="AU142" i="11" s="1"/>
  <c r="AU143" i="11" s="1"/>
  <c r="AU144" i="11" s="1"/>
  <c r="AY141" i="11"/>
  <c r="F112" i="10"/>
  <c r="T112" i="10" s="1"/>
  <c r="T111" i="10"/>
  <c r="BC128" i="11"/>
  <c r="AY129" i="11"/>
  <c r="BC129" i="11" s="1"/>
  <c r="AG140" i="11"/>
  <c r="AG141" i="11" s="1"/>
  <c r="AG142" i="11" s="1"/>
  <c r="AG143" i="11" s="1"/>
  <c r="AG144" i="11" s="1"/>
  <c r="AK141" i="11"/>
  <c r="AO140" i="11"/>
  <c r="E286" i="12"/>
  <c r="C285" i="12"/>
  <c r="C286" i="12" s="1"/>
  <c r="C287" i="12" s="1"/>
  <c r="C288" i="12" s="1"/>
  <c r="C289" i="12" s="1"/>
  <c r="C290" i="12" s="1"/>
  <c r="C291" i="12" s="1"/>
  <c r="C292" i="12" s="1"/>
  <c r="C293" i="12" s="1"/>
  <c r="C294" i="12" s="1"/>
  <c r="E287" i="12"/>
  <c r="F146" i="11"/>
  <c r="F147" i="11" s="1"/>
  <c r="F148" i="11" s="1"/>
  <c r="F149" i="11" s="1"/>
  <c r="G145" i="11"/>
  <c r="E271" i="12"/>
  <c r="E270" i="12"/>
  <c r="AY137" i="11"/>
  <c r="BC136" i="11"/>
  <c r="G111" i="10"/>
  <c r="U110" i="10"/>
  <c r="AJ146" i="11"/>
  <c r="AJ147" i="11" s="1"/>
  <c r="AJ148" i="11" s="1"/>
  <c r="AJ149" i="11" s="1"/>
  <c r="AK145" i="11"/>
  <c r="E112" i="10"/>
  <c r="Y111" i="10"/>
  <c r="K111" i="10"/>
  <c r="S111" i="10"/>
  <c r="G268" i="12"/>
  <c r="G269" i="12"/>
  <c r="E279" i="12"/>
  <c r="E278" i="12"/>
  <c r="C114" i="10"/>
  <c r="Q113" i="10"/>
  <c r="T117" i="10"/>
  <c r="G117" i="10"/>
  <c r="F118" i="10"/>
  <c r="V150" i="11"/>
  <c r="AW150" i="11"/>
  <c r="AW151" i="11" s="1"/>
  <c r="AW152" i="11" s="1"/>
  <c r="AW153" i="11" s="1"/>
  <c r="AW154" i="11" s="1"/>
  <c r="AJ150" i="11"/>
  <c r="U150" i="11"/>
  <c r="U151" i="11" s="1"/>
  <c r="U152" i="11" s="1"/>
  <c r="U153" i="11" s="1"/>
  <c r="U154" i="11" s="1"/>
  <c r="AX150" i="11"/>
  <c r="A155" i="11"/>
  <c r="F150" i="11"/>
  <c r="E150" i="11"/>
  <c r="AI150" i="11"/>
  <c r="AI151" i="11" s="1"/>
  <c r="AI152" i="11" s="1"/>
  <c r="AI153" i="11" s="1"/>
  <c r="AI154" i="11" s="1"/>
  <c r="E115" i="10"/>
  <c r="Y114" i="10"/>
  <c r="S114" i="10"/>
  <c r="K114" i="10"/>
  <c r="K136" i="11"/>
  <c r="G137" i="11"/>
  <c r="G285" i="12"/>
  <c r="F286" i="12"/>
  <c r="F287" i="12"/>
  <c r="G133" i="11"/>
  <c r="K132" i="11"/>
  <c r="A122" i="10"/>
  <c r="A123" i="10" s="1"/>
  <c r="A124" i="10" s="1"/>
  <c r="F121" i="10"/>
  <c r="E121" i="10"/>
  <c r="A125" i="10"/>
  <c r="C145" i="11"/>
  <c r="C146" i="11" s="1"/>
  <c r="C147" i="11" s="1"/>
  <c r="C148" i="11" s="1"/>
  <c r="C149" i="11" s="1"/>
  <c r="E146" i="11"/>
  <c r="E147" i="11" s="1"/>
  <c r="E148" i="11" s="1"/>
  <c r="E149" i="11" s="1"/>
  <c r="AY133" i="11"/>
  <c r="BC132" i="11"/>
  <c r="G261" i="12"/>
  <c r="G260" i="12"/>
  <c r="W141" i="11"/>
  <c r="AA140" i="11"/>
  <c r="S140" i="11"/>
  <c r="S141" i="11" s="1"/>
  <c r="S142" i="11" s="1"/>
  <c r="S143" i="11" s="1"/>
  <c r="S144" i="11" s="1"/>
  <c r="W137" i="11"/>
  <c r="AA136" i="11"/>
  <c r="F278" i="12"/>
  <c r="F279" i="12"/>
  <c r="AK133" i="11"/>
  <c r="AO132" i="11"/>
  <c r="G277" i="12"/>
  <c r="G276" i="12"/>
  <c r="J275" i="12" s="1"/>
  <c r="Y117" i="10"/>
  <c r="S117" i="10"/>
  <c r="K117" i="10"/>
  <c r="E118" i="10"/>
  <c r="C117" i="10"/>
  <c r="AO136" i="11"/>
  <c r="AK137" i="11"/>
  <c r="A305" i="12"/>
  <c r="F295" i="12"/>
  <c r="E295" i="12"/>
  <c r="F262" i="12"/>
  <c r="F263" i="12"/>
  <c r="F264" i="12" s="1"/>
  <c r="AY145" i="11"/>
  <c r="AX146" i="11"/>
  <c r="AX147" i="11" s="1"/>
  <c r="AX148" i="11" s="1"/>
  <c r="AX149" i="11" s="1"/>
  <c r="U113" i="10"/>
  <c r="G114" i="10"/>
  <c r="F270" i="12"/>
  <c r="F271" i="12"/>
  <c r="T114" i="10"/>
  <c r="F115" i="10"/>
  <c r="U107" i="10"/>
  <c r="G108" i="10"/>
  <c r="U108" i="10" s="1"/>
  <c r="W129" i="11"/>
  <c r="AA129" i="11" s="1"/>
  <c r="AA128" i="11"/>
  <c r="G141" i="11"/>
  <c r="K140" i="11"/>
  <c r="V146" i="11"/>
  <c r="V147" i="11" s="1"/>
  <c r="V148" i="11" s="1"/>
  <c r="V149" i="11" s="1"/>
  <c r="W145" i="11"/>
  <c r="C111" i="10"/>
  <c r="Q110" i="10"/>
  <c r="AO133" i="11" l="1"/>
  <c r="AK134" i="11"/>
  <c r="AO134" i="11" s="1"/>
  <c r="C112" i="10"/>
  <c r="Q112" i="10" s="1"/>
  <c r="Q111" i="10"/>
  <c r="W138" i="11"/>
  <c r="AA137" i="11"/>
  <c r="G278" i="12"/>
  <c r="G279" i="12"/>
  <c r="G287" i="12"/>
  <c r="G286" i="12"/>
  <c r="J285" i="12" s="1"/>
  <c r="E272" i="12"/>
  <c r="E273" i="12"/>
  <c r="E274" i="12" s="1"/>
  <c r="AA133" i="11"/>
  <c r="W134" i="11"/>
  <c r="AA134" i="11" s="1"/>
  <c r="C118" i="10"/>
  <c r="Q117" i="10"/>
  <c r="Y115" i="10"/>
  <c r="E116" i="10"/>
  <c r="S115" i="10"/>
  <c r="K115" i="10"/>
  <c r="E296" i="12"/>
  <c r="E297" i="12"/>
  <c r="AY134" i="11"/>
  <c r="BC134" i="11" s="1"/>
  <c r="BC133" i="11"/>
  <c r="K137" i="11"/>
  <c r="G138" i="11"/>
  <c r="AJ151" i="11"/>
  <c r="AJ152" i="11" s="1"/>
  <c r="AJ153" i="11" s="1"/>
  <c r="AJ154" i="11" s="1"/>
  <c r="AK150" i="11"/>
  <c r="K145" i="11"/>
  <c r="G146" i="11"/>
  <c r="AY142" i="11"/>
  <c r="BC141" i="11"/>
  <c r="F273" i="12"/>
  <c r="F274" i="12" s="1"/>
  <c r="F272" i="12"/>
  <c r="Y121" i="10"/>
  <c r="S121" i="10"/>
  <c r="K121" i="10"/>
  <c r="E122" i="10"/>
  <c r="C121" i="10"/>
  <c r="U117" i="10"/>
  <c r="G118" i="10"/>
  <c r="T121" i="10"/>
  <c r="G121" i="10"/>
  <c r="F122" i="10"/>
  <c r="F296" i="12"/>
  <c r="C295" i="12" s="1"/>
  <c r="C296" i="12" s="1"/>
  <c r="C297" i="12" s="1"/>
  <c r="C298" i="12" s="1"/>
  <c r="C299" i="12" s="1"/>
  <c r="C300" i="12" s="1"/>
  <c r="C301" i="12" s="1"/>
  <c r="C302" i="12" s="1"/>
  <c r="C303" i="12" s="1"/>
  <c r="C304" i="12" s="1"/>
  <c r="G295" i="12"/>
  <c r="F297" i="12"/>
  <c r="AK138" i="11"/>
  <c r="AO137" i="11"/>
  <c r="F125" i="10"/>
  <c r="A129" i="10"/>
  <c r="A126" i="10"/>
  <c r="A127" i="10" s="1"/>
  <c r="A128" i="10" s="1"/>
  <c r="E125" i="10"/>
  <c r="F119" i="10"/>
  <c r="T118" i="10"/>
  <c r="Y112" i="10"/>
  <c r="K112" i="10"/>
  <c r="S112" i="10"/>
  <c r="AA145" i="11"/>
  <c r="W146" i="11"/>
  <c r="S145" i="11"/>
  <c r="S146" i="11" s="1"/>
  <c r="S147" i="11" s="1"/>
  <c r="S148" i="11" s="1"/>
  <c r="S149" i="11" s="1"/>
  <c r="U114" i="10"/>
  <c r="G115" i="10"/>
  <c r="S118" i="10"/>
  <c r="E119" i="10"/>
  <c r="Y118" i="10"/>
  <c r="K118" i="10"/>
  <c r="E151" i="11"/>
  <c r="E152" i="11" s="1"/>
  <c r="E153" i="11" s="1"/>
  <c r="E154" i="11" s="1"/>
  <c r="C150" i="11"/>
  <c r="C151" i="11" s="1"/>
  <c r="C152" i="11" s="1"/>
  <c r="C153" i="11" s="1"/>
  <c r="C154" i="11" s="1"/>
  <c r="AK142" i="11"/>
  <c r="AO141" i="11"/>
  <c r="W142" i="11"/>
  <c r="AA141" i="11"/>
  <c r="G134" i="11"/>
  <c r="K134" i="11" s="1"/>
  <c r="K133" i="11"/>
  <c r="G150" i="11"/>
  <c r="F151" i="11"/>
  <c r="F152" i="11" s="1"/>
  <c r="F153" i="11" s="1"/>
  <c r="F154" i="11" s="1"/>
  <c r="G142" i="11"/>
  <c r="K141" i="11"/>
  <c r="AY146" i="11"/>
  <c r="AU145" i="11"/>
  <c r="AU146" i="11" s="1"/>
  <c r="AU147" i="11" s="1"/>
  <c r="AU148" i="11" s="1"/>
  <c r="AU149" i="11" s="1"/>
  <c r="BC145" i="11"/>
  <c r="F288" i="12"/>
  <c r="F289" i="12"/>
  <c r="V155" i="11"/>
  <c r="U155" i="11"/>
  <c r="U156" i="11" s="1"/>
  <c r="U157" i="11" s="1"/>
  <c r="U158" i="11" s="1"/>
  <c r="U159" i="11" s="1"/>
  <c r="AX155" i="11"/>
  <c r="AW155" i="11"/>
  <c r="AW156" i="11" s="1"/>
  <c r="AW157" i="11" s="1"/>
  <c r="AW158" i="11" s="1"/>
  <c r="AW159" i="11" s="1"/>
  <c r="AJ155" i="11"/>
  <c r="A160" i="11"/>
  <c r="F155" i="11"/>
  <c r="E155" i="11"/>
  <c r="AI155" i="11"/>
  <c r="AI156" i="11" s="1"/>
  <c r="AI157" i="11" s="1"/>
  <c r="AI158" i="11" s="1"/>
  <c r="AI159" i="11" s="1"/>
  <c r="E281" i="12"/>
  <c r="E280" i="12"/>
  <c r="BC137" i="11"/>
  <c r="AY138" i="11"/>
  <c r="T115" i="10"/>
  <c r="F116" i="10"/>
  <c r="T116" i="10" s="1"/>
  <c r="F305" i="12"/>
  <c r="E305" i="12"/>
  <c r="A315" i="12"/>
  <c r="F281" i="12"/>
  <c r="F280" i="12"/>
  <c r="W150" i="11"/>
  <c r="V151" i="11"/>
  <c r="V152" i="11" s="1"/>
  <c r="V153" i="11" s="1"/>
  <c r="V154" i="11" s="1"/>
  <c r="E288" i="12"/>
  <c r="E289" i="12"/>
  <c r="AG145" i="11"/>
  <c r="AG146" i="11" s="1"/>
  <c r="AG147" i="11" s="1"/>
  <c r="AG148" i="11" s="1"/>
  <c r="AG149" i="11" s="1"/>
  <c r="AK146" i="11"/>
  <c r="AO145" i="11"/>
  <c r="C115" i="10"/>
  <c r="Q114" i="10"/>
  <c r="U111" i="10"/>
  <c r="G112" i="10"/>
  <c r="U112" i="10" s="1"/>
  <c r="J283" i="12"/>
  <c r="J284" i="12" s="1"/>
  <c r="J276" i="12"/>
  <c r="J279" i="12"/>
  <c r="J280" i="12" s="1"/>
  <c r="J281" i="12"/>
  <c r="J282" i="12" s="1"/>
  <c r="J277" i="12"/>
  <c r="J278" i="12" s="1"/>
  <c r="G262" i="12"/>
  <c r="G263" i="12"/>
  <c r="G264" i="12" s="1"/>
  <c r="AX151" i="11"/>
  <c r="AX152" i="11" s="1"/>
  <c r="AX153" i="11" s="1"/>
  <c r="AX154" i="11" s="1"/>
  <c r="AY150" i="11"/>
  <c r="G270" i="12"/>
  <c r="G271" i="12"/>
  <c r="J287" i="12" l="1"/>
  <c r="J288" i="12" s="1"/>
  <c r="J293" i="12"/>
  <c r="J294" i="12" s="1"/>
  <c r="J291" i="12"/>
  <c r="J292" i="12" s="1"/>
  <c r="J286" i="12"/>
  <c r="J289" i="12"/>
  <c r="J290" i="12" s="1"/>
  <c r="BC146" i="11"/>
  <c r="AY147" i="11"/>
  <c r="U121" i="10"/>
  <c r="G122" i="10"/>
  <c r="G272" i="12"/>
  <c r="G273" i="12"/>
  <c r="G274" i="12" s="1"/>
  <c r="AX160" i="11"/>
  <c r="AW160" i="11"/>
  <c r="AW161" i="11" s="1"/>
  <c r="AW162" i="11" s="1"/>
  <c r="AW163" i="11" s="1"/>
  <c r="AW164" i="11" s="1"/>
  <c r="A165" i="11"/>
  <c r="AJ160" i="11"/>
  <c r="E160" i="11"/>
  <c r="U160" i="11"/>
  <c r="U161" i="11" s="1"/>
  <c r="U162" i="11" s="1"/>
  <c r="U163" i="11" s="1"/>
  <c r="U164" i="11" s="1"/>
  <c r="AI160" i="11"/>
  <c r="AI161" i="11" s="1"/>
  <c r="AI162" i="11" s="1"/>
  <c r="AI163" i="11" s="1"/>
  <c r="AI164" i="11" s="1"/>
  <c r="F160" i="11"/>
  <c r="V160" i="11"/>
  <c r="G143" i="11"/>
  <c r="K142" i="11"/>
  <c r="G147" i="11"/>
  <c r="K146" i="11"/>
  <c r="F299" i="12"/>
  <c r="F298" i="12"/>
  <c r="E299" i="12"/>
  <c r="E298" i="12"/>
  <c r="K125" i="10"/>
  <c r="E126" i="10"/>
  <c r="S125" i="10"/>
  <c r="Y125" i="10"/>
  <c r="C125" i="10"/>
  <c r="F307" i="12"/>
  <c r="F306" i="12"/>
  <c r="G305" i="12"/>
  <c r="E290" i="12"/>
  <c r="E291" i="12"/>
  <c r="E283" i="12"/>
  <c r="E284" i="12" s="1"/>
  <c r="E282" i="12"/>
  <c r="AO142" i="11"/>
  <c r="AK143" i="11"/>
  <c r="G296" i="12"/>
  <c r="J295" i="12" s="1"/>
  <c r="G297" i="12"/>
  <c r="AA150" i="11"/>
  <c r="W151" i="11"/>
  <c r="S150" i="11"/>
  <c r="S151" i="11" s="1"/>
  <c r="S152" i="11" s="1"/>
  <c r="S153" i="11" s="1"/>
  <c r="S154" i="11" s="1"/>
  <c r="F283" i="12"/>
  <c r="F284" i="12" s="1"/>
  <c r="F282" i="12"/>
  <c r="AY155" i="11"/>
  <c r="AX156" i="11"/>
  <c r="AX157" i="11" s="1"/>
  <c r="AX158" i="11" s="1"/>
  <c r="AX159" i="11" s="1"/>
  <c r="C122" i="10"/>
  <c r="Q121" i="10"/>
  <c r="C155" i="11"/>
  <c r="C156" i="11" s="1"/>
  <c r="C157" i="11" s="1"/>
  <c r="C158" i="11" s="1"/>
  <c r="C159" i="11" s="1"/>
  <c r="E156" i="11"/>
  <c r="E157" i="11" s="1"/>
  <c r="E158" i="11" s="1"/>
  <c r="E159" i="11" s="1"/>
  <c r="G280" i="12"/>
  <c r="G281" i="12"/>
  <c r="T119" i="10"/>
  <c r="F120" i="10"/>
  <c r="T120" i="10" s="1"/>
  <c r="E306" i="12"/>
  <c r="C305" i="12" s="1"/>
  <c r="C306" i="12" s="1"/>
  <c r="C307" i="12" s="1"/>
  <c r="C308" i="12" s="1"/>
  <c r="C309" i="12" s="1"/>
  <c r="C310" i="12" s="1"/>
  <c r="C311" i="12" s="1"/>
  <c r="C312" i="12" s="1"/>
  <c r="C313" i="12" s="1"/>
  <c r="C314" i="12" s="1"/>
  <c r="E307" i="12"/>
  <c r="Y119" i="10"/>
  <c r="S119" i="10"/>
  <c r="E120" i="10"/>
  <c r="K119" i="10"/>
  <c r="U118" i="10"/>
  <c r="G119" i="10"/>
  <c r="AG150" i="11"/>
  <c r="AG151" i="11" s="1"/>
  <c r="AG152" i="11" s="1"/>
  <c r="AG153" i="11" s="1"/>
  <c r="AG154" i="11" s="1"/>
  <c r="AK151" i="11"/>
  <c r="AO150" i="11"/>
  <c r="W139" i="11"/>
  <c r="AA139" i="11" s="1"/>
  <c r="AA138" i="11"/>
  <c r="G116" i="10"/>
  <c r="U116" i="10" s="1"/>
  <c r="U115" i="10"/>
  <c r="F129" i="10"/>
  <c r="A133" i="10"/>
  <c r="A130" i="10"/>
  <c r="A131" i="10" s="1"/>
  <c r="A132" i="10" s="1"/>
  <c r="E129" i="10"/>
  <c r="AK147" i="11"/>
  <c r="AO146" i="11"/>
  <c r="T125" i="10"/>
  <c r="F126" i="10"/>
  <c r="G125" i="10"/>
  <c r="S122" i="10"/>
  <c r="K122" i="10"/>
  <c r="E123" i="10"/>
  <c r="Y122" i="10"/>
  <c r="K138" i="11"/>
  <c r="G139" i="11"/>
  <c r="K139" i="11" s="1"/>
  <c r="C119" i="10"/>
  <c r="Q118" i="10"/>
  <c r="T122" i="10"/>
  <c r="F123" i="10"/>
  <c r="G288" i="12"/>
  <c r="G289" i="12"/>
  <c r="G155" i="11"/>
  <c r="F156" i="11"/>
  <c r="F157" i="11" s="1"/>
  <c r="F158" i="11" s="1"/>
  <c r="F159" i="11" s="1"/>
  <c r="S116" i="10"/>
  <c r="Y116" i="10"/>
  <c r="K116" i="10"/>
  <c r="AY151" i="11"/>
  <c r="BC150" i="11"/>
  <c r="AU150" i="11"/>
  <c r="AU151" i="11" s="1"/>
  <c r="AU152" i="11" s="1"/>
  <c r="AU153" i="11" s="1"/>
  <c r="AU154" i="11" s="1"/>
  <c r="C116" i="10"/>
  <c r="Q116" i="10" s="1"/>
  <c r="Q115" i="10"/>
  <c r="G151" i="11"/>
  <c r="K150" i="11"/>
  <c r="AY139" i="11"/>
  <c r="BC139" i="11" s="1"/>
  <c r="BC138" i="11"/>
  <c r="AY143" i="11"/>
  <c r="BC142" i="11"/>
  <c r="A325" i="12"/>
  <c r="F315" i="12"/>
  <c r="E315" i="12"/>
  <c r="AK155" i="11"/>
  <c r="AJ156" i="11"/>
  <c r="AJ157" i="11" s="1"/>
  <c r="AJ158" i="11" s="1"/>
  <c r="AJ159" i="11" s="1"/>
  <c r="V156" i="11"/>
  <c r="V157" i="11" s="1"/>
  <c r="V158" i="11" s="1"/>
  <c r="V159" i="11" s="1"/>
  <c r="W155" i="11"/>
  <c r="F291" i="12"/>
  <c r="F290" i="12"/>
  <c r="AA142" i="11"/>
  <c r="W143" i="11"/>
  <c r="W147" i="11"/>
  <c r="AA146" i="11"/>
  <c r="AK139" i="11"/>
  <c r="AO139" i="11" s="1"/>
  <c r="AO138" i="11"/>
  <c r="G283" i="12" l="1"/>
  <c r="G284" i="12" s="1"/>
  <c r="G282" i="12"/>
  <c r="G144" i="11"/>
  <c r="K144" i="11" s="1"/>
  <c r="K143" i="11"/>
  <c r="AO143" i="11"/>
  <c r="AK144" i="11"/>
  <c r="AO144" i="11" s="1"/>
  <c r="F292" i="12"/>
  <c r="F293" i="12"/>
  <c r="F294" i="12" s="1"/>
  <c r="G126" i="10"/>
  <c r="U125" i="10"/>
  <c r="G307" i="12"/>
  <c r="G306" i="12"/>
  <c r="J305" i="12" s="1"/>
  <c r="AY160" i="11"/>
  <c r="AX161" i="11"/>
  <c r="AX162" i="11" s="1"/>
  <c r="AX163" i="11" s="1"/>
  <c r="AX164" i="11" s="1"/>
  <c r="AO151" i="11"/>
  <c r="AK152" i="11"/>
  <c r="AA151" i="11"/>
  <c r="W152" i="11"/>
  <c r="F309" i="12"/>
  <c r="F308" i="12"/>
  <c r="AK148" i="11"/>
  <c r="AO147" i="11"/>
  <c r="U119" i="10"/>
  <c r="G120" i="10"/>
  <c r="U120" i="10" s="1"/>
  <c r="G299" i="12"/>
  <c r="G298" i="12"/>
  <c r="E316" i="12"/>
  <c r="E317" i="12"/>
  <c r="E130" i="10"/>
  <c r="C129" i="10"/>
  <c r="Y129" i="10"/>
  <c r="S129" i="10"/>
  <c r="K129" i="10"/>
  <c r="G290" i="12"/>
  <c r="G291" i="12"/>
  <c r="W156" i="11"/>
  <c r="S155" i="11"/>
  <c r="S156" i="11" s="1"/>
  <c r="S157" i="11" s="1"/>
  <c r="S158" i="11" s="1"/>
  <c r="S159" i="11" s="1"/>
  <c r="AA155" i="11"/>
  <c r="G152" i="11"/>
  <c r="K151" i="11"/>
  <c r="T126" i="10"/>
  <c r="F127" i="10"/>
  <c r="K147" i="11"/>
  <c r="G148" i="11"/>
  <c r="T123" i="10"/>
  <c r="F124" i="10"/>
  <c r="T124" i="10" s="1"/>
  <c r="AY152" i="11"/>
  <c r="BC151" i="11"/>
  <c r="A137" i="10"/>
  <c r="E133" i="10"/>
  <c r="A134" i="10"/>
  <c r="A135" i="10" s="1"/>
  <c r="A136" i="10" s="1"/>
  <c r="F133" i="10"/>
  <c r="G129" i="10"/>
  <c r="F130" i="10"/>
  <c r="T129" i="10"/>
  <c r="C123" i="10"/>
  <c r="Q122" i="10"/>
  <c r="E161" i="11"/>
  <c r="E162" i="11" s="1"/>
  <c r="E163" i="11" s="1"/>
  <c r="E164" i="11" s="1"/>
  <c r="C160" i="11"/>
  <c r="C161" i="11" s="1"/>
  <c r="C162" i="11" s="1"/>
  <c r="C163" i="11" s="1"/>
  <c r="C164" i="11" s="1"/>
  <c r="Q125" i="10"/>
  <c r="C126" i="10"/>
  <c r="G123" i="10"/>
  <c r="U122" i="10"/>
  <c r="AK156" i="11"/>
  <c r="AO155" i="11"/>
  <c r="AG155" i="11"/>
  <c r="AG156" i="11" s="1"/>
  <c r="AG157" i="11" s="1"/>
  <c r="AG158" i="11" s="1"/>
  <c r="AG159" i="11" s="1"/>
  <c r="K126" i="10"/>
  <c r="S126" i="10"/>
  <c r="Y126" i="10"/>
  <c r="E127" i="10"/>
  <c r="W144" i="11"/>
  <c r="AA144" i="11" s="1"/>
  <c r="AA143" i="11"/>
  <c r="AY144" i="11"/>
  <c r="BC144" i="11" s="1"/>
  <c r="BC143" i="11"/>
  <c r="S123" i="10"/>
  <c r="Y123" i="10"/>
  <c r="K123" i="10"/>
  <c r="E124" i="10"/>
  <c r="E301" i="12"/>
  <c r="E300" i="12"/>
  <c r="AJ161" i="11"/>
  <c r="AJ162" i="11" s="1"/>
  <c r="AJ163" i="11" s="1"/>
  <c r="AJ164" i="11" s="1"/>
  <c r="AK160" i="11"/>
  <c r="W160" i="11"/>
  <c r="V161" i="11"/>
  <c r="V162" i="11" s="1"/>
  <c r="V163" i="11" s="1"/>
  <c r="V164" i="11" s="1"/>
  <c r="Q119" i="10"/>
  <c r="C120" i="10"/>
  <c r="Q120" i="10" s="1"/>
  <c r="G160" i="11"/>
  <c r="F161" i="11"/>
  <c r="F162" i="11" s="1"/>
  <c r="F163" i="11" s="1"/>
  <c r="F164" i="11" s="1"/>
  <c r="A335" i="12"/>
  <c r="F325" i="12"/>
  <c r="E325" i="12"/>
  <c r="E309" i="12"/>
  <c r="E308" i="12"/>
  <c r="BC155" i="11"/>
  <c r="AY156" i="11"/>
  <c r="AU155" i="11"/>
  <c r="AU156" i="11" s="1"/>
  <c r="AU157" i="11" s="1"/>
  <c r="AU158" i="11" s="1"/>
  <c r="AU159" i="11" s="1"/>
  <c r="E292" i="12"/>
  <c r="E293" i="12"/>
  <c r="E294" i="12" s="1"/>
  <c r="F165" i="11"/>
  <c r="AW165" i="11"/>
  <c r="AW166" i="11" s="1"/>
  <c r="AW167" i="11" s="1"/>
  <c r="AW168" i="11" s="1"/>
  <c r="AW169" i="11" s="1"/>
  <c r="A170" i="11"/>
  <c r="AI165" i="11"/>
  <c r="AI166" i="11" s="1"/>
  <c r="AI167" i="11" s="1"/>
  <c r="AI168" i="11" s="1"/>
  <c r="AI169" i="11" s="1"/>
  <c r="V165" i="11"/>
  <c r="U165" i="11"/>
  <c r="U166" i="11" s="1"/>
  <c r="U167" i="11" s="1"/>
  <c r="U168" i="11" s="1"/>
  <c r="U169" i="11" s="1"/>
  <c r="E165" i="11"/>
  <c r="AJ165" i="11"/>
  <c r="AX165" i="11"/>
  <c r="J296" i="12"/>
  <c r="J301" i="12"/>
  <c r="J302" i="12" s="1"/>
  <c r="J303" i="12"/>
  <c r="J304" i="12" s="1"/>
  <c r="J299" i="12"/>
  <c r="J300" i="12" s="1"/>
  <c r="J297" i="12"/>
  <c r="J298" i="12" s="1"/>
  <c r="AY148" i="11"/>
  <c r="BC147" i="11"/>
  <c r="F316" i="12"/>
  <c r="C315" i="12" s="1"/>
  <c r="C316" i="12" s="1"/>
  <c r="C317" i="12" s="1"/>
  <c r="C318" i="12" s="1"/>
  <c r="C319" i="12" s="1"/>
  <c r="C320" i="12" s="1"/>
  <c r="C321" i="12" s="1"/>
  <c r="C322" i="12" s="1"/>
  <c r="C323" i="12" s="1"/>
  <c r="C324" i="12" s="1"/>
  <c r="F317" i="12"/>
  <c r="G315" i="12"/>
  <c r="S120" i="10"/>
  <c r="K120" i="10"/>
  <c r="Y120" i="10"/>
  <c r="W148" i="11"/>
  <c r="AA147" i="11"/>
  <c r="K155" i="11"/>
  <c r="G156" i="11"/>
  <c r="F301" i="12"/>
  <c r="F300" i="12"/>
  <c r="E311" i="12" l="1"/>
  <c r="E310" i="12"/>
  <c r="AA152" i="11"/>
  <c r="W153" i="11"/>
  <c r="K156" i="11"/>
  <c r="G157" i="11"/>
  <c r="G293" i="12"/>
  <c r="G294" i="12" s="1"/>
  <c r="G292" i="12"/>
  <c r="J309" i="12"/>
  <c r="J310" i="12" s="1"/>
  <c r="J311" i="12"/>
  <c r="J312" i="12" s="1"/>
  <c r="J306" i="12"/>
  <c r="J313" i="12"/>
  <c r="J314" i="12" s="1"/>
  <c r="J307" i="12"/>
  <c r="J308" i="12" s="1"/>
  <c r="G325" i="12"/>
  <c r="F327" i="12"/>
  <c r="F326" i="12"/>
  <c r="K124" i="10"/>
  <c r="S124" i="10"/>
  <c r="Y124" i="10"/>
  <c r="F131" i="10"/>
  <c r="T130" i="10"/>
  <c r="F311" i="12"/>
  <c r="F310" i="12"/>
  <c r="AK157" i="11"/>
  <c r="AO156" i="11"/>
  <c r="G133" i="10"/>
  <c r="F134" i="10"/>
  <c r="T133" i="10"/>
  <c r="AX166" i="11"/>
  <c r="AX167" i="11" s="1"/>
  <c r="AX168" i="11" s="1"/>
  <c r="AX169" i="11" s="1"/>
  <c r="AY165" i="11"/>
  <c r="BC156" i="11"/>
  <c r="AY157" i="11"/>
  <c r="S160" i="11"/>
  <c r="S161" i="11" s="1"/>
  <c r="S162" i="11" s="1"/>
  <c r="S163" i="11" s="1"/>
  <c r="S164" i="11" s="1"/>
  <c r="W161" i="11"/>
  <c r="AA160" i="11"/>
  <c r="BC152" i="11"/>
  <c r="AY153" i="11"/>
  <c r="AJ166" i="11"/>
  <c r="AJ167" i="11" s="1"/>
  <c r="AJ168" i="11" s="1"/>
  <c r="AJ169" i="11" s="1"/>
  <c r="AK165" i="11"/>
  <c r="AK161" i="11"/>
  <c r="AO160" i="11"/>
  <c r="AG160" i="11"/>
  <c r="AG161" i="11" s="1"/>
  <c r="AG162" i="11" s="1"/>
  <c r="AG163" i="11" s="1"/>
  <c r="AG164" i="11" s="1"/>
  <c r="S127" i="10"/>
  <c r="K127" i="10"/>
  <c r="E128" i="10"/>
  <c r="Y127" i="10"/>
  <c r="G309" i="12"/>
  <c r="G308" i="12"/>
  <c r="G317" i="12"/>
  <c r="G316" i="12"/>
  <c r="J315" i="12" s="1"/>
  <c r="F318" i="12"/>
  <c r="F319" i="12"/>
  <c r="K148" i="11"/>
  <c r="G149" i="11"/>
  <c r="K149" i="11" s="1"/>
  <c r="G127" i="10"/>
  <c r="U126" i="10"/>
  <c r="G130" i="10"/>
  <c r="U129" i="10"/>
  <c r="S130" i="10"/>
  <c r="K130" i="10"/>
  <c r="E131" i="10"/>
  <c r="Y130" i="10"/>
  <c r="G165" i="11"/>
  <c r="F166" i="11"/>
  <c r="F167" i="11" s="1"/>
  <c r="F168" i="11" s="1"/>
  <c r="F169" i="11" s="1"/>
  <c r="K160" i="11"/>
  <c r="G161" i="11"/>
  <c r="G153" i="11"/>
  <c r="K152" i="11"/>
  <c r="AO152" i="11"/>
  <c r="AK153" i="11"/>
  <c r="E166" i="11"/>
  <c r="E167" i="11" s="1"/>
  <c r="E168" i="11" s="1"/>
  <c r="E169" i="11" s="1"/>
  <c r="C165" i="11"/>
  <c r="C166" i="11" s="1"/>
  <c r="C167" i="11" s="1"/>
  <c r="C168" i="11" s="1"/>
  <c r="C169" i="11" s="1"/>
  <c r="Q123" i="10"/>
  <c r="C124" i="10"/>
  <c r="Q124" i="10" s="1"/>
  <c r="AK149" i="11"/>
  <c r="AO149" i="11" s="1"/>
  <c r="AO148" i="11"/>
  <c r="W165" i="11"/>
  <c r="V166" i="11"/>
  <c r="V167" i="11" s="1"/>
  <c r="V168" i="11" s="1"/>
  <c r="V169" i="11" s="1"/>
  <c r="E327" i="12"/>
  <c r="E326" i="12"/>
  <c r="C325" i="12" s="1"/>
  <c r="C326" i="12" s="1"/>
  <c r="C327" i="12" s="1"/>
  <c r="C328" i="12" s="1"/>
  <c r="C329" i="12" s="1"/>
  <c r="C330" i="12" s="1"/>
  <c r="C331" i="12" s="1"/>
  <c r="C332" i="12" s="1"/>
  <c r="C333" i="12" s="1"/>
  <c r="C334" i="12" s="1"/>
  <c r="E303" i="12"/>
  <c r="E304" i="12" s="1"/>
  <c r="E302" i="12"/>
  <c r="T127" i="10"/>
  <c r="F128" i="10"/>
  <c r="T128" i="10" s="1"/>
  <c r="AY149" i="11"/>
  <c r="BC149" i="11" s="1"/>
  <c r="BC148" i="11"/>
  <c r="A345" i="12"/>
  <c r="F335" i="12"/>
  <c r="E335" i="12"/>
  <c r="Q129" i="10"/>
  <c r="C130" i="10"/>
  <c r="F302" i="12"/>
  <c r="F303" i="12"/>
  <c r="F304" i="12" s="1"/>
  <c r="F170" i="11"/>
  <c r="AJ170" i="11"/>
  <c r="E170" i="11"/>
  <c r="AI170" i="11"/>
  <c r="AI171" i="11" s="1"/>
  <c r="AI172" i="11" s="1"/>
  <c r="AI173" i="11" s="1"/>
  <c r="AI174" i="11" s="1"/>
  <c r="AX170" i="11"/>
  <c r="AW170" i="11"/>
  <c r="AW171" i="11" s="1"/>
  <c r="AW172" i="11" s="1"/>
  <c r="AW173" i="11" s="1"/>
  <c r="AW174" i="11" s="1"/>
  <c r="U170" i="11"/>
  <c r="U171" i="11" s="1"/>
  <c r="U172" i="11" s="1"/>
  <c r="U173" i="11" s="1"/>
  <c r="U174" i="11" s="1"/>
  <c r="V170" i="11"/>
  <c r="A175" i="11"/>
  <c r="E319" i="12"/>
  <c r="E318" i="12"/>
  <c r="E134" i="10"/>
  <c r="C133" i="10"/>
  <c r="K133" i="10"/>
  <c r="Y133" i="10"/>
  <c r="S133" i="10"/>
  <c r="W149" i="11"/>
  <c r="AA149" i="11" s="1"/>
  <c r="AA148" i="11"/>
  <c r="Q126" i="10"/>
  <c r="C127" i="10"/>
  <c r="A141" i="10"/>
  <c r="E137" i="10"/>
  <c r="A138" i="10"/>
  <c r="A139" i="10" s="1"/>
  <c r="A140" i="10" s="1"/>
  <c r="F137" i="10"/>
  <c r="U123" i="10"/>
  <c r="G124" i="10"/>
  <c r="U124" i="10" s="1"/>
  <c r="AA156" i="11"/>
  <c r="W157" i="11"/>
  <c r="G301" i="12"/>
  <c r="G300" i="12"/>
  <c r="AU160" i="11"/>
  <c r="AU161" i="11" s="1"/>
  <c r="AU162" i="11" s="1"/>
  <c r="AU163" i="11" s="1"/>
  <c r="AU164" i="11" s="1"/>
  <c r="AY161" i="11"/>
  <c r="BC160" i="11"/>
  <c r="F138" i="10" l="1"/>
  <c r="G137" i="10"/>
  <c r="T137" i="10"/>
  <c r="AO153" i="11"/>
  <c r="AK154" i="11"/>
  <c r="AO154" i="11" s="1"/>
  <c r="K157" i="11"/>
  <c r="G158" i="11"/>
  <c r="F336" i="12"/>
  <c r="C335" i="12" s="1"/>
  <c r="C336" i="12" s="1"/>
  <c r="C337" i="12" s="1"/>
  <c r="C338" i="12" s="1"/>
  <c r="C339" i="12" s="1"/>
  <c r="C340" i="12" s="1"/>
  <c r="C341" i="12" s="1"/>
  <c r="C342" i="12" s="1"/>
  <c r="C343" i="12" s="1"/>
  <c r="C344" i="12" s="1"/>
  <c r="G335" i="12"/>
  <c r="F337" i="12"/>
  <c r="W166" i="11"/>
  <c r="AA165" i="11"/>
  <c r="S165" i="11"/>
  <c r="S166" i="11" s="1"/>
  <c r="S167" i="11" s="1"/>
  <c r="S168" i="11" s="1"/>
  <c r="S169" i="11" s="1"/>
  <c r="AJ171" i="11"/>
  <c r="AJ172" i="11" s="1"/>
  <c r="AJ173" i="11" s="1"/>
  <c r="AJ174" i="11" s="1"/>
  <c r="AK170" i="11"/>
  <c r="AO157" i="11"/>
  <c r="AK158" i="11"/>
  <c r="E320" i="12"/>
  <c r="E321" i="12"/>
  <c r="Q130" i="10"/>
  <c r="C131" i="10"/>
  <c r="AY158" i="11"/>
  <c r="BC157" i="11"/>
  <c r="G154" i="11"/>
  <c r="K154" i="11" s="1"/>
  <c r="K153" i="11"/>
  <c r="G128" i="10"/>
  <c r="U128" i="10" s="1"/>
  <c r="U127" i="10"/>
  <c r="C134" i="10"/>
  <c r="Q133" i="10"/>
  <c r="F171" i="11"/>
  <c r="F172" i="11" s="1"/>
  <c r="F173" i="11" s="1"/>
  <c r="F174" i="11" s="1"/>
  <c r="G170" i="11"/>
  <c r="G310" i="12"/>
  <c r="G311" i="12"/>
  <c r="E135" i="10"/>
  <c r="Y134" i="10"/>
  <c r="S134" i="10"/>
  <c r="K134" i="10"/>
  <c r="AX175" i="11"/>
  <c r="U175" i="11"/>
  <c r="U176" i="11" s="1"/>
  <c r="U177" i="11" s="1"/>
  <c r="U178" i="11" s="1"/>
  <c r="U179" i="11" s="1"/>
  <c r="A180" i="11"/>
  <c r="AJ175" i="11"/>
  <c r="AI175" i="11"/>
  <c r="AI176" i="11" s="1"/>
  <c r="AI177" i="11" s="1"/>
  <c r="AI178" i="11" s="1"/>
  <c r="AI179" i="11" s="1"/>
  <c r="V175" i="11"/>
  <c r="AW175" i="11"/>
  <c r="AW176" i="11" s="1"/>
  <c r="AW177" i="11" s="1"/>
  <c r="AW178" i="11" s="1"/>
  <c r="AW179" i="11" s="1"/>
  <c r="F175" i="11"/>
  <c r="E175" i="11"/>
  <c r="E345" i="12"/>
  <c r="F345" i="12"/>
  <c r="A355" i="12"/>
  <c r="F320" i="12"/>
  <c r="F321" i="12"/>
  <c r="AO161" i="11"/>
  <c r="AK162" i="11"/>
  <c r="W154" i="11"/>
  <c r="AA154" i="11" s="1"/>
  <c r="AA153" i="11"/>
  <c r="AA161" i="11"/>
  <c r="W162" i="11"/>
  <c r="F132" i="10"/>
  <c r="T132" i="10" s="1"/>
  <c r="T131" i="10"/>
  <c r="A142" i="10"/>
  <c r="A143" i="10" s="1"/>
  <c r="A144" i="10" s="1"/>
  <c r="E141" i="10"/>
  <c r="A145" i="10"/>
  <c r="F141" i="10"/>
  <c r="E329" i="12"/>
  <c r="E328" i="12"/>
  <c r="G303" i="12"/>
  <c r="G304" i="12" s="1"/>
  <c r="G302" i="12"/>
  <c r="K165" i="11"/>
  <c r="G166" i="11"/>
  <c r="AK166" i="11"/>
  <c r="AO165" i="11"/>
  <c r="AG165" i="11"/>
  <c r="AG166" i="11" s="1"/>
  <c r="AG167" i="11" s="1"/>
  <c r="AG168" i="11" s="1"/>
  <c r="AG169" i="11" s="1"/>
  <c r="T134" i="10"/>
  <c r="F135" i="10"/>
  <c r="F329" i="12"/>
  <c r="F328" i="12"/>
  <c r="F312" i="12"/>
  <c r="F313" i="12"/>
  <c r="F314" i="12" s="1"/>
  <c r="G131" i="10"/>
  <c r="U130" i="10"/>
  <c r="Q127" i="10"/>
  <c r="C128" i="10"/>
  <c r="Q128" i="10" s="1"/>
  <c r="W170" i="11"/>
  <c r="V171" i="11"/>
  <c r="V172" i="11" s="1"/>
  <c r="V173" i="11" s="1"/>
  <c r="V174" i="11" s="1"/>
  <c r="G162" i="11"/>
  <c r="K161" i="11"/>
  <c r="AU165" i="11"/>
  <c r="AU166" i="11" s="1"/>
  <c r="AU167" i="11" s="1"/>
  <c r="AU168" i="11" s="1"/>
  <c r="AU169" i="11" s="1"/>
  <c r="BC165" i="11"/>
  <c r="AY166" i="11"/>
  <c r="AX171" i="11"/>
  <c r="AX172" i="11" s="1"/>
  <c r="AX173" i="11" s="1"/>
  <c r="AX174" i="11" s="1"/>
  <c r="AY170" i="11"/>
  <c r="W158" i="11"/>
  <c r="AA157" i="11"/>
  <c r="J319" i="12"/>
  <c r="J320" i="12" s="1"/>
  <c r="J321" i="12"/>
  <c r="J322" i="12" s="1"/>
  <c r="J316" i="12"/>
  <c r="J323" i="12"/>
  <c r="J324" i="12" s="1"/>
  <c r="J317" i="12"/>
  <c r="J318" i="12" s="1"/>
  <c r="U133" i="10"/>
  <c r="G134" i="10"/>
  <c r="G327" i="12"/>
  <c r="G326" i="12"/>
  <c r="J325" i="12" s="1"/>
  <c r="Y128" i="10"/>
  <c r="K128" i="10"/>
  <c r="S128" i="10"/>
  <c r="K137" i="10"/>
  <c r="E138" i="10"/>
  <c r="Y137" i="10"/>
  <c r="S137" i="10"/>
  <c r="C137" i="10"/>
  <c r="AY162" i="11"/>
  <c r="BC161" i="11"/>
  <c r="E336" i="12"/>
  <c r="E337" i="12"/>
  <c r="C170" i="11"/>
  <c r="C171" i="11" s="1"/>
  <c r="C172" i="11" s="1"/>
  <c r="C173" i="11" s="1"/>
  <c r="C174" i="11" s="1"/>
  <c r="E171" i="11"/>
  <c r="E172" i="11" s="1"/>
  <c r="E173" i="11" s="1"/>
  <c r="E174" i="11" s="1"/>
  <c r="K131" i="10"/>
  <c r="E132" i="10"/>
  <c r="Y131" i="10"/>
  <c r="S131" i="10"/>
  <c r="G318" i="12"/>
  <c r="G319" i="12"/>
  <c r="AY154" i="11"/>
  <c r="BC154" i="11" s="1"/>
  <c r="BC153" i="11"/>
  <c r="E312" i="12"/>
  <c r="E313" i="12"/>
  <c r="E314" i="12" s="1"/>
  <c r="E136" i="10" l="1"/>
  <c r="Y135" i="10"/>
  <c r="K135" i="10"/>
  <c r="S135" i="10"/>
  <c r="F347" i="12"/>
  <c r="G345" i="12"/>
  <c r="F346" i="12"/>
  <c r="C345" i="12" s="1"/>
  <c r="C346" i="12" s="1"/>
  <c r="C347" i="12" s="1"/>
  <c r="C348" i="12" s="1"/>
  <c r="C349" i="12" s="1"/>
  <c r="C350" i="12" s="1"/>
  <c r="C351" i="12" s="1"/>
  <c r="C352" i="12" s="1"/>
  <c r="C353" i="12" s="1"/>
  <c r="C354" i="12" s="1"/>
  <c r="G175" i="11"/>
  <c r="F176" i="11"/>
  <c r="F177" i="11" s="1"/>
  <c r="F178" i="11" s="1"/>
  <c r="F179" i="11" s="1"/>
  <c r="Q131" i="10"/>
  <c r="C132" i="10"/>
  <c r="Q132" i="10" s="1"/>
  <c r="G336" i="12"/>
  <c r="J335" i="12" s="1"/>
  <c r="G337" i="12"/>
  <c r="Y132" i="10"/>
  <c r="S132" i="10"/>
  <c r="K132" i="10"/>
  <c r="E139" i="10"/>
  <c r="Y138" i="10"/>
  <c r="S138" i="10"/>
  <c r="K138" i="10"/>
  <c r="W171" i="11"/>
  <c r="S170" i="11"/>
  <c r="S171" i="11" s="1"/>
  <c r="S172" i="11" s="1"/>
  <c r="S173" i="11" s="1"/>
  <c r="S174" i="11" s="1"/>
  <c r="AA170" i="11"/>
  <c r="E347" i="12"/>
  <c r="E346" i="12"/>
  <c r="W167" i="11"/>
  <c r="AA166" i="11"/>
  <c r="W159" i="11"/>
  <c r="AA159" i="11" s="1"/>
  <c r="AA158" i="11"/>
  <c r="G171" i="11"/>
  <c r="K170" i="11"/>
  <c r="E322" i="12"/>
  <c r="E323" i="12"/>
  <c r="E324" i="12" s="1"/>
  <c r="G328" i="12"/>
  <c r="G329" i="12"/>
  <c r="AY167" i="11"/>
  <c r="BC166" i="11"/>
  <c r="AK163" i="11"/>
  <c r="AO162" i="11"/>
  <c r="AK175" i="11"/>
  <c r="AJ176" i="11"/>
  <c r="AJ177" i="11" s="1"/>
  <c r="AJ178" i="11" s="1"/>
  <c r="AJ179" i="11" s="1"/>
  <c r="AK159" i="11"/>
  <c r="AO159" i="11" s="1"/>
  <c r="AO158" i="11"/>
  <c r="C175" i="11"/>
  <c r="C176" i="11" s="1"/>
  <c r="C177" i="11" s="1"/>
  <c r="C178" i="11" s="1"/>
  <c r="C179" i="11" s="1"/>
  <c r="E176" i="11"/>
  <c r="E177" i="11" s="1"/>
  <c r="E178" i="11" s="1"/>
  <c r="E179" i="11" s="1"/>
  <c r="W163" i="11"/>
  <c r="AA162" i="11"/>
  <c r="G312" i="12"/>
  <c r="G313" i="12"/>
  <c r="G314" i="12" s="1"/>
  <c r="G135" i="10"/>
  <c r="U134" i="10"/>
  <c r="A185" i="11"/>
  <c r="AJ180" i="11"/>
  <c r="E180" i="11"/>
  <c r="AW180" i="11"/>
  <c r="AW181" i="11" s="1"/>
  <c r="AW182" i="11" s="1"/>
  <c r="AW183" i="11" s="1"/>
  <c r="AW184" i="11" s="1"/>
  <c r="F180" i="11"/>
  <c r="U180" i="11"/>
  <c r="U181" i="11" s="1"/>
  <c r="U182" i="11" s="1"/>
  <c r="U183" i="11" s="1"/>
  <c r="U184" i="11" s="1"/>
  <c r="AX180" i="11"/>
  <c r="AI180" i="11"/>
  <c r="AI181" i="11" s="1"/>
  <c r="AI182" i="11" s="1"/>
  <c r="AI183" i="11" s="1"/>
  <c r="AI184" i="11" s="1"/>
  <c r="V180" i="11"/>
  <c r="C135" i="10"/>
  <c r="Q134" i="10"/>
  <c r="BC170" i="11"/>
  <c r="AY171" i="11"/>
  <c r="AU170" i="11"/>
  <c r="AU171" i="11" s="1"/>
  <c r="AU172" i="11" s="1"/>
  <c r="AU173" i="11" s="1"/>
  <c r="AU174" i="11" s="1"/>
  <c r="E330" i="12"/>
  <c r="E331" i="12"/>
  <c r="G320" i="12"/>
  <c r="G321" i="12"/>
  <c r="AY163" i="11"/>
  <c r="BC162" i="11"/>
  <c r="F331" i="12"/>
  <c r="F330" i="12"/>
  <c r="T141" i="10"/>
  <c r="F142" i="10"/>
  <c r="G141" i="10"/>
  <c r="F322" i="12"/>
  <c r="F323" i="12"/>
  <c r="F324" i="12" s="1"/>
  <c r="AO170" i="11"/>
  <c r="AG170" i="11"/>
  <c r="AG171" i="11" s="1"/>
  <c r="AG172" i="11" s="1"/>
  <c r="AG173" i="11" s="1"/>
  <c r="AG174" i="11" s="1"/>
  <c r="AK171" i="11"/>
  <c r="AO166" i="11"/>
  <c r="AK167" i="11"/>
  <c r="BC158" i="11"/>
  <c r="AY159" i="11"/>
  <c r="BC159" i="11" s="1"/>
  <c r="F339" i="12"/>
  <c r="F338" i="12"/>
  <c r="K166" i="11"/>
  <c r="G167" i="11"/>
  <c r="J333" i="12"/>
  <c r="J334" i="12" s="1"/>
  <c r="J327" i="12"/>
  <c r="J328" i="12" s="1"/>
  <c r="J329" i="12"/>
  <c r="J330" i="12" s="1"/>
  <c r="J326" i="12"/>
  <c r="J331" i="12"/>
  <c r="J332" i="12" s="1"/>
  <c r="C138" i="10"/>
  <c r="Q137" i="10"/>
  <c r="F136" i="10"/>
  <c r="T136" i="10" s="1"/>
  <c r="T135" i="10"/>
  <c r="A146" i="10"/>
  <c r="A147" i="10" s="1"/>
  <c r="A148" i="10" s="1"/>
  <c r="F145" i="10"/>
  <c r="A149" i="10"/>
  <c r="E145" i="10"/>
  <c r="AY175" i="11"/>
  <c r="AX176" i="11"/>
  <c r="AX177" i="11" s="1"/>
  <c r="AX178" i="11" s="1"/>
  <c r="AX179" i="11" s="1"/>
  <c r="U137" i="10"/>
  <c r="G138" i="10"/>
  <c r="E338" i="12"/>
  <c r="E339" i="12"/>
  <c r="U131" i="10"/>
  <c r="G132" i="10"/>
  <c r="U132" i="10" s="1"/>
  <c r="V176" i="11"/>
  <c r="V177" i="11" s="1"/>
  <c r="V178" i="11" s="1"/>
  <c r="V179" i="11" s="1"/>
  <c r="W175" i="11"/>
  <c r="K158" i="11"/>
  <c r="G159" i="11"/>
  <c r="K159" i="11" s="1"/>
  <c r="K162" i="11"/>
  <c r="G163" i="11"/>
  <c r="Y141" i="10"/>
  <c r="S141" i="10"/>
  <c r="K141" i="10"/>
  <c r="E142" i="10"/>
  <c r="C141" i="10"/>
  <c r="F355" i="12"/>
  <c r="A365" i="12"/>
  <c r="E355" i="12"/>
  <c r="T138" i="10"/>
  <c r="F139" i="10"/>
  <c r="G322" i="12" l="1"/>
  <c r="G323" i="12"/>
  <c r="G324" i="12" s="1"/>
  <c r="E333" i="12"/>
  <c r="E334" i="12" s="1"/>
  <c r="E332" i="12"/>
  <c r="C139" i="10"/>
  <c r="Q138" i="10"/>
  <c r="AK168" i="11"/>
  <c r="AO167" i="11"/>
  <c r="G331" i="12"/>
  <c r="G330" i="12"/>
  <c r="J336" i="12"/>
  <c r="J341" i="12"/>
  <c r="J342" i="12" s="1"/>
  <c r="J339" i="12"/>
  <c r="J340" i="12" s="1"/>
  <c r="J343" i="12"/>
  <c r="J344" i="12" s="1"/>
  <c r="J337" i="12"/>
  <c r="J338" i="12" s="1"/>
  <c r="AK172" i="11"/>
  <c r="AO171" i="11"/>
  <c r="Y145" i="10"/>
  <c r="S145" i="10"/>
  <c r="K145" i="10"/>
  <c r="E146" i="10"/>
  <c r="C145" i="10"/>
  <c r="G172" i="11"/>
  <c r="K171" i="11"/>
  <c r="U138" i="10"/>
  <c r="G139" i="10"/>
  <c r="BC163" i="11"/>
  <c r="AY164" i="11"/>
  <c r="BC164" i="11" s="1"/>
  <c r="AX181" i="11"/>
  <c r="AX182" i="11" s="1"/>
  <c r="AX183" i="11" s="1"/>
  <c r="AX184" i="11" s="1"/>
  <c r="AY180" i="11"/>
  <c r="AA163" i="11"/>
  <c r="W164" i="11"/>
  <c r="AA164" i="11" s="1"/>
  <c r="F149" i="10"/>
  <c r="A153" i="10"/>
  <c r="A150" i="10"/>
  <c r="A151" i="10" s="1"/>
  <c r="A152" i="10" s="1"/>
  <c r="E149" i="10"/>
  <c r="G168" i="11"/>
  <c r="K167" i="11"/>
  <c r="AK180" i="11"/>
  <c r="AJ181" i="11"/>
  <c r="AJ182" i="11" s="1"/>
  <c r="AJ183" i="11" s="1"/>
  <c r="AJ184" i="11" s="1"/>
  <c r="U141" i="10"/>
  <c r="G142" i="10"/>
  <c r="AY172" i="11"/>
  <c r="BC171" i="11"/>
  <c r="F185" i="11"/>
  <c r="V185" i="11"/>
  <c r="AW185" i="11"/>
  <c r="AW186" i="11" s="1"/>
  <c r="AW187" i="11" s="1"/>
  <c r="AW188" i="11" s="1"/>
  <c r="AW189" i="11" s="1"/>
  <c r="A190" i="11"/>
  <c r="AJ185" i="11"/>
  <c r="AI185" i="11"/>
  <c r="AI186" i="11" s="1"/>
  <c r="AI187" i="11" s="1"/>
  <c r="AI188" i="11" s="1"/>
  <c r="AI189" i="11" s="1"/>
  <c r="U185" i="11"/>
  <c r="U186" i="11" s="1"/>
  <c r="U187" i="11" s="1"/>
  <c r="U188" i="11" s="1"/>
  <c r="U189" i="11" s="1"/>
  <c r="AX185" i="11"/>
  <c r="E185" i="11"/>
  <c r="AK176" i="11"/>
  <c r="AO175" i="11"/>
  <c r="AG175" i="11"/>
  <c r="AG176" i="11" s="1"/>
  <c r="AG177" i="11" s="1"/>
  <c r="AG178" i="11" s="1"/>
  <c r="AG179" i="11" s="1"/>
  <c r="Y139" i="10"/>
  <c r="E140" i="10"/>
  <c r="S139" i="10"/>
  <c r="K139" i="10"/>
  <c r="F348" i="12"/>
  <c r="F349" i="12"/>
  <c r="G164" i="11"/>
  <c r="K164" i="11" s="1"/>
  <c r="K163" i="11"/>
  <c r="F181" i="11"/>
  <c r="F182" i="11" s="1"/>
  <c r="F183" i="11" s="1"/>
  <c r="F184" i="11" s="1"/>
  <c r="G180" i="11"/>
  <c r="C180" i="11"/>
  <c r="C181" i="11" s="1"/>
  <c r="C182" i="11" s="1"/>
  <c r="C183" i="11" s="1"/>
  <c r="C184" i="11" s="1"/>
  <c r="E181" i="11"/>
  <c r="E182" i="11" s="1"/>
  <c r="E183" i="11" s="1"/>
  <c r="E184" i="11" s="1"/>
  <c r="W172" i="11"/>
  <c r="AA171" i="11"/>
  <c r="BC175" i="11"/>
  <c r="AU175" i="11"/>
  <c r="AU176" i="11" s="1"/>
  <c r="AU177" i="11" s="1"/>
  <c r="AU178" i="11" s="1"/>
  <c r="AU179" i="11" s="1"/>
  <c r="AY176" i="11"/>
  <c r="G347" i="12"/>
  <c r="G346" i="12"/>
  <c r="J345" i="12" s="1"/>
  <c r="T145" i="10"/>
  <c r="G145" i="10"/>
  <c r="F146" i="10"/>
  <c r="E365" i="12"/>
  <c r="A375" i="12"/>
  <c r="F365" i="12"/>
  <c r="F143" i="10"/>
  <c r="T142" i="10"/>
  <c r="F356" i="12"/>
  <c r="C355" i="12" s="1"/>
  <c r="C356" i="12" s="1"/>
  <c r="C357" i="12" s="1"/>
  <c r="C358" i="12" s="1"/>
  <c r="C359" i="12" s="1"/>
  <c r="C360" i="12" s="1"/>
  <c r="C361" i="12" s="1"/>
  <c r="C362" i="12" s="1"/>
  <c r="C363" i="12" s="1"/>
  <c r="C364" i="12" s="1"/>
  <c r="G355" i="12"/>
  <c r="F357" i="12"/>
  <c r="F340" i="12"/>
  <c r="F341" i="12"/>
  <c r="U135" i="10"/>
  <c r="G136" i="10"/>
  <c r="U136" i="10" s="1"/>
  <c r="AO163" i="11"/>
  <c r="AK164" i="11"/>
  <c r="AO164" i="11" s="1"/>
  <c r="W168" i="11"/>
  <c r="AA167" i="11"/>
  <c r="K175" i="11"/>
  <c r="G176" i="11"/>
  <c r="T139" i="10"/>
  <c r="F140" i="10"/>
  <c r="T140" i="10" s="1"/>
  <c r="C142" i="10"/>
  <c r="Q141" i="10"/>
  <c r="E356" i="12"/>
  <c r="E357" i="12"/>
  <c r="S175" i="11"/>
  <c r="S176" i="11" s="1"/>
  <c r="S177" i="11" s="1"/>
  <c r="S178" i="11" s="1"/>
  <c r="S179" i="11" s="1"/>
  <c r="W176" i="11"/>
  <c r="AA175" i="11"/>
  <c r="C136" i="10"/>
  <c r="Q136" i="10" s="1"/>
  <c r="Q135" i="10"/>
  <c r="S142" i="10"/>
  <c r="E143" i="10"/>
  <c r="Y142" i="10"/>
  <c r="K142" i="10"/>
  <c r="E340" i="12"/>
  <c r="E341" i="12"/>
  <c r="F333" i="12"/>
  <c r="F334" i="12" s="1"/>
  <c r="F332" i="12"/>
  <c r="V181" i="11"/>
  <c r="V182" i="11" s="1"/>
  <c r="V183" i="11" s="1"/>
  <c r="V184" i="11" s="1"/>
  <c r="W180" i="11"/>
  <c r="BC167" i="11"/>
  <c r="AY168" i="11"/>
  <c r="E348" i="12"/>
  <c r="E349" i="12"/>
  <c r="G338" i="12"/>
  <c r="G339" i="12"/>
  <c r="Y136" i="10"/>
  <c r="K136" i="10"/>
  <c r="S136" i="10"/>
  <c r="AI190" i="11" l="1"/>
  <c r="AI191" i="11" s="1"/>
  <c r="AI192" i="11" s="1"/>
  <c r="AI193" i="11" s="1"/>
  <c r="AI194" i="11" s="1"/>
  <c r="AX190" i="11"/>
  <c r="AW190" i="11"/>
  <c r="AW191" i="11" s="1"/>
  <c r="AW192" i="11" s="1"/>
  <c r="AW193" i="11" s="1"/>
  <c r="AW194" i="11" s="1"/>
  <c r="F190" i="11"/>
  <c r="AJ190" i="11"/>
  <c r="A195" i="11"/>
  <c r="E190" i="11"/>
  <c r="V190" i="11"/>
  <c r="U190" i="11"/>
  <c r="U191" i="11" s="1"/>
  <c r="U192" i="11" s="1"/>
  <c r="U193" i="11" s="1"/>
  <c r="U194" i="11" s="1"/>
  <c r="K149" i="10"/>
  <c r="E150" i="10"/>
  <c r="S149" i="10"/>
  <c r="C149" i="10"/>
  <c r="Y149" i="10"/>
  <c r="G173" i="11"/>
  <c r="K172" i="11"/>
  <c r="T143" i="10"/>
  <c r="F144" i="10"/>
  <c r="T144" i="10" s="1"/>
  <c r="AY173" i="11"/>
  <c r="BC172" i="11"/>
  <c r="E342" i="12"/>
  <c r="E343" i="12"/>
  <c r="E344" i="12" s="1"/>
  <c r="E358" i="12"/>
  <c r="E359" i="12"/>
  <c r="T146" i="10"/>
  <c r="F147" i="10"/>
  <c r="K180" i="11"/>
  <c r="G181" i="11"/>
  <c r="AK177" i="11"/>
  <c r="AO176" i="11"/>
  <c r="U142" i="10"/>
  <c r="G143" i="10"/>
  <c r="AU180" i="11"/>
  <c r="AU181" i="11" s="1"/>
  <c r="AU182" i="11" s="1"/>
  <c r="AU183" i="11" s="1"/>
  <c r="AU184" i="11" s="1"/>
  <c r="AY181" i="11"/>
  <c r="BC180" i="11"/>
  <c r="C146" i="10"/>
  <c r="Q145" i="10"/>
  <c r="F367" i="12"/>
  <c r="F366" i="12"/>
  <c r="G365" i="12"/>
  <c r="F186" i="11"/>
  <c r="F187" i="11" s="1"/>
  <c r="F188" i="11" s="1"/>
  <c r="F189" i="11" s="1"/>
  <c r="G185" i="11"/>
  <c r="S146" i="10"/>
  <c r="K146" i="10"/>
  <c r="E147" i="10"/>
  <c r="Y146" i="10"/>
  <c r="G333" i="12"/>
  <c r="G334" i="12" s="1"/>
  <c r="G332" i="12"/>
  <c r="A385" i="12"/>
  <c r="E375" i="12"/>
  <c r="F375" i="12"/>
  <c r="AK169" i="11"/>
  <c r="AO169" i="11" s="1"/>
  <c r="AO168" i="11"/>
  <c r="U145" i="10"/>
  <c r="G146" i="10"/>
  <c r="E186" i="11"/>
  <c r="E187" i="11" s="1"/>
  <c r="E188" i="11" s="1"/>
  <c r="E189" i="11" s="1"/>
  <c r="C185" i="11"/>
  <c r="C186" i="11" s="1"/>
  <c r="C187" i="11" s="1"/>
  <c r="C188" i="11" s="1"/>
  <c r="C189" i="11" s="1"/>
  <c r="C140" i="10"/>
  <c r="Q140" i="10" s="1"/>
  <c r="Q139" i="10"/>
  <c r="AY169" i="11"/>
  <c r="BC169" i="11" s="1"/>
  <c r="BC168" i="11"/>
  <c r="K176" i="11"/>
  <c r="G177" i="11"/>
  <c r="G341" i="12"/>
  <c r="G340" i="12"/>
  <c r="F342" i="12"/>
  <c r="F343" i="12"/>
  <c r="F344" i="12" s="1"/>
  <c r="AY185" i="11"/>
  <c r="AX186" i="11"/>
  <c r="AX187" i="11" s="1"/>
  <c r="AX188" i="11" s="1"/>
  <c r="AX189" i="11" s="1"/>
  <c r="AO172" i="11"/>
  <c r="AK173" i="11"/>
  <c r="S140" i="10"/>
  <c r="Y140" i="10"/>
  <c r="K140" i="10"/>
  <c r="F153" i="10"/>
  <c r="A157" i="10"/>
  <c r="A154" i="10"/>
  <c r="A155" i="10" s="1"/>
  <c r="A156" i="10" s="1"/>
  <c r="E153" i="10"/>
  <c r="AA176" i="11"/>
  <c r="W177" i="11"/>
  <c r="W169" i="11"/>
  <c r="AA169" i="11" s="1"/>
  <c r="AA168" i="11"/>
  <c r="AA172" i="11"/>
  <c r="W173" i="11"/>
  <c r="T149" i="10"/>
  <c r="F150" i="10"/>
  <c r="G149" i="10"/>
  <c r="E367" i="12"/>
  <c r="E366" i="12"/>
  <c r="C365" i="12" s="1"/>
  <c r="C366" i="12" s="1"/>
  <c r="C367" i="12" s="1"/>
  <c r="C368" i="12" s="1"/>
  <c r="C369" i="12" s="1"/>
  <c r="C370" i="12" s="1"/>
  <c r="C371" i="12" s="1"/>
  <c r="C372" i="12" s="1"/>
  <c r="C373" i="12" s="1"/>
  <c r="C374" i="12" s="1"/>
  <c r="C143" i="10"/>
  <c r="Q142" i="10"/>
  <c r="W185" i="11"/>
  <c r="V186" i="11"/>
  <c r="V187" i="11" s="1"/>
  <c r="V188" i="11" s="1"/>
  <c r="V189" i="11" s="1"/>
  <c r="AO180" i="11"/>
  <c r="AK181" i="11"/>
  <c r="AG180" i="11"/>
  <c r="AG181" i="11" s="1"/>
  <c r="AG182" i="11" s="1"/>
  <c r="AG183" i="11" s="1"/>
  <c r="AG184" i="11" s="1"/>
  <c r="E351" i="12"/>
  <c r="E350" i="12"/>
  <c r="Y143" i="10"/>
  <c r="E144" i="10"/>
  <c r="S143" i="10"/>
  <c r="K143" i="10"/>
  <c r="F359" i="12"/>
  <c r="F358" i="12"/>
  <c r="G349" i="12"/>
  <c r="G348" i="12"/>
  <c r="F350" i="12"/>
  <c r="F351" i="12"/>
  <c r="G140" i="10"/>
  <c r="U140" i="10" s="1"/>
  <c r="U139" i="10"/>
  <c r="AA180" i="11"/>
  <c r="S180" i="11"/>
  <c r="S181" i="11" s="1"/>
  <c r="S182" i="11" s="1"/>
  <c r="S183" i="11" s="1"/>
  <c r="S184" i="11" s="1"/>
  <c r="W181" i="11"/>
  <c r="J346" i="12"/>
  <c r="J353" i="12"/>
  <c r="J354" i="12" s="1"/>
  <c r="J347" i="12"/>
  <c r="J348" i="12" s="1"/>
  <c r="J349" i="12"/>
  <c r="J350" i="12" s="1"/>
  <c r="J351" i="12"/>
  <c r="J352" i="12" s="1"/>
  <c r="G356" i="12"/>
  <c r="J355" i="12" s="1"/>
  <c r="G357" i="12"/>
  <c r="BC176" i="11"/>
  <c r="AY177" i="11"/>
  <c r="AJ186" i="11"/>
  <c r="AJ187" i="11" s="1"/>
  <c r="AJ188" i="11" s="1"/>
  <c r="AJ189" i="11" s="1"/>
  <c r="AK185" i="11"/>
  <c r="K168" i="11"/>
  <c r="G169" i="11"/>
  <c r="K169" i="11" s="1"/>
  <c r="W190" i="11" l="1"/>
  <c r="V191" i="11"/>
  <c r="V192" i="11" s="1"/>
  <c r="V193" i="11" s="1"/>
  <c r="V194" i="11" s="1"/>
  <c r="Q143" i="10"/>
  <c r="C144" i="10"/>
  <c r="Q144" i="10" s="1"/>
  <c r="G147" i="10"/>
  <c r="U146" i="10"/>
  <c r="J363" i="12"/>
  <c r="J364" i="12" s="1"/>
  <c r="J359" i="12"/>
  <c r="J360" i="12" s="1"/>
  <c r="J356" i="12"/>
  <c r="J357" i="12"/>
  <c r="J358" i="12" s="1"/>
  <c r="J361" i="12"/>
  <c r="J362" i="12" s="1"/>
  <c r="AK182" i="11"/>
  <c r="AO181" i="11"/>
  <c r="W174" i="11"/>
  <c r="AA174" i="11" s="1"/>
  <c r="AA173" i="11"/>
  <c r="C147" i="10"/>
  <c r="Q146" i="10"/>
  <c r="E360" i="12"/>
  <c r="E361" i="12"/>
  <c r="E353" i="12"/>
  <c r="E354" i="12" s="1"/>
  <c r="E352" i="12"/>
  <c r="T150" i="10"/>
  <c r="F151" i="10"/>
  <c r="G358" i="12"/>
  <c r="G359" i="12"/>
  <c r="F353" i="12"/>
  <c r="F354" i="12" s="1"/>
  <c r="F352" i="12"/>
  <c r="AO173" i="11"/>
  <c r="AK174" i="11"/>
  <c r="AO174" i="11" s="1"/>
  <c r="K150" i="10"/>
  <c r="E151" i="10"/>
  <c r="Y150" i="10"/>
  <c r="S150" i="10"/>
  <c r="U143" i="10"/>
  <c r="G144" i="10"/>
  <c r="U144" i="10" s="1"/>
  <c r="W182" i="11"/>
  <c r="AA181" i="11"/>
  <c r="S144" i="10"/>
  <c r="K144" i="10"/>
  <c r="Y144" i="10"/>
  <c r="AK178" i="11"/>
  <c r="AO177" i="11"/>
  <c r="AJ191" i="11"/>
  <c r="AJ192" i="11" s="1"/>
  <c r="AJ193" i="11" s="1"/>
  <c r="AJ194" i="11" s="1"/>
  <c r="AK190" i="11"/>
  <c r="AA185" i="11"/>
  <c r="W186" i="11"/>
  <c r="S185" i="11"/>
  <c r="S186" i="11" s="1"/>
  <c r="S187" i="11" s="1"/>
  <c r="S188" i="11" s="1"/>
  <c r="S189" i="11" s="1"/>
  <c r="F360" i="12"/>
  <c r="F361" i="12"/>
  <c r="C190" i="11"/>
  <c r="C191" i="11" s="1"/>
  <c r="C192" i="11" s="1"/>
  <c r="C193" i="11" s="1"/>
  <c r="C194" i="11" s="1"/>
  <c r="E191" i="11"/>
  <c r="E192" i="11" s="1"/>
  <c r="E193" i="11" s="1"/>
  <c r="E194" i="11" s="1"/>
  <c r="E154" i="10"/>
  <c r="C153" i="10"/>
  <c r="Y153" i="10"/>
  <c r="S153" i="10"/>
  <c r="K153" i="10"/>
  <c r="G186" i="11"/>
  <c r="K185" i="11"/>
  <c r="E369" i="12"/>
  <c r="E368" i="12"/>
  <c r="A161" i="10"/>
  <c r="E157" i="10"/>
  <c r="A158" i="10"/>
  <c r="A159" i="10" s="1"/>
  <c r="A160" i="10" s="1"/>
  <c r="F157" i="10"/>
  <c r="G342" i="12"/>
  <c r="G343" i="12"/>
  <c r="G344" i="12" s="1"/>
  <c r="G367" i="12"/>
  <c r="G366" i="12"/>
  <c r="J365" i="12" s="1"/>
  <c r="G182" i="11"/>
  <c r="K181" i="11"/>
  <c r="F191" i="11"/>
  <c r="F192" i="11" s="1"/>
  <c r="F193" i="11" s="1"/>
  <c r="F194" i="11" s="1"/>
  <c r="G190" i="11"/>
  <c r="G350" i="12"/>
  <c r="G351" i="12"/>
  <c r="AA177" i="11"/>
  <c r="W178" i="11"/>
  <c r="BC173" i="11"/>
  <c r="AY174" i="11"/>
  <c r="BC174" i="11" s="1"/>
  <c r="U195" i="11"/>
  <c r="U196" i="11" s="1"/>
  <c r="U197" i="11" s="1"/>
  <c r="U198" i="11" s="1"/>
  <c r="U199" i="11" s="1"/>
  <c r="AW195" i="11"/>
  <c r="AW196" i="11" s="1"/>
  <c r="AW197" i="11" s="1"/>
  <c r="AW198" i="11" s="1"/>
  <c r="AW199" i="11" s="1"/>
  <c r="AX195" i="11"/>
  <c r="F195" i="11"/>
  <c r="E195" i="11"/>
  <c r="AJ195" i="11"/>
  <c r="A200" i="11"/>
  <c r="V195" i="11"/>
  <c r="AI195" i="11"/>
  <c r="AI196" i="11" s="1"/>
  <c r="AI197" i="11" s="1"/>
  <c r="AI198" i="11" s="1"/>
  <c r="AI199" i="11" s="1"/>
  <c r="AG185" i="11"/>
  <c r="AG186" i="11" s="1"/>
  <c r="AG187" i="11" s="1"/>
  <c r="AG188" i="11" s="1"/>
  <c r="AG189" i="11" s="1"/>
  <c r="AK186" i="11"/>
  <c r="AO185" i="11"/>
  <c r="AY178" i="11"/>
  <c r="BC177" i="11"/>
  <c r="G150" i="10"/>
  <c r="U149" i="10"/>
  <c r="G153" i="10"/>
  <c r="F154" i="10"/>
  <c r="T153" i="10"/>
  <c r="K177" i="11"/>
  <c r="G178" i="11"/>
  <c r="F376" i="12"/>
  <c r="C375" i="12" s="1"/>
  <c r="C376" i="12" s="1"/>
  <c r="C377" i="12" s="1"/>
  <c r="C378" i="12" s="1"/>
  <c r="C379" i="12" s="1"/>
  <c r="C380" i="12" s="1"/>
  <c r="C381" i="12" s="1"/>
  <c r="C382" i="12" s="1"/>
  <c r="C383" i="12" s="1"/>
  <c r="C384" i="12" s="1"/>
  <c r="G375" i="12"/>
  <c r="F377" i="12"/>
  <c r="G174" i="11"/>
  <c r="K174" i="11" s="1"/>
  <c r="K173" i="11"/>
  <c r="S147" i="10"/>
  <c r="E148" i="10"/>
  <c r="Y147" i="10"/>
  <c r="K147" i="10"/>
  <c r="E376" i="12"/>
  <c r="E377" i="12"/>
  <c r="F369" i="12"/>
  <c r="F368" i="12"/>
  <c r="F148" i="10"/>
  <c r="T148" i="10" s="1"/>
  <c r="T147" i="10"/>
  <c r="AX191" i="11"/>
  <c r="AX192" i="11" s="1"/>
  <c r="AX193" i="11" s="1"/>
  <c r="AX194" i="11" s="1"/>
  <c r="AY190" i="11"/>
  <c r="BC181" i="11"/>
  <c r="AY182" i="11"/>
  <c r="AY186" i="11"/>
  <c r="AU185" i="11"/>
  <c r="AU186" i="11" s="1"/>
  <c r="AU187" i="11" s="1"/>
  <c r="AU188" i="11" s="1"/>
  <c r="AU189" i="11" s="1"/>
  <c r="BC185" i="11"/>
  <c r="E385" i="12"/>
  <c r="F385" i="12"/>
  <c r="A395" i="12"/>
  <c r="Q149" i="10"/>
  <c r="C150" i="10"/>
  <c r="J371" i="12" l="1"/>
  <c r="J372" i="12" s="1"/>
  <c r="J373" i="12"/>
  <c r="J374" i="12" s="1"/>
  <c r="J366" i="12"/>
  <c r="J369" i="12"/>
  <c r="J370" i="12" s="1"/>
  <c r="J367" i="12"/>
  <c r="J368" i="12" s="1"/>
  <c r="AK191" i="11"/>
  <c r="AO190" i="11"/>
  <c r="AG190" i="11"/>
  <c r="AG191" i="11" s="1"/>
  <c r="AG192" i="11" s="1"/>
  <c r="AG193" i="11" s="1"/>
  <c r="AG194" i="11" s="1"/>
  <c r="V196" i="11"/>
  <c r="V197" i="11" s="1"/>
  <c r="V198" i="11" s="1"/>
  <c r="V199" i="11" s="1"/>
  <c r="W195" i="11"/>
  <c r="G353" i="12"/>
  <c r="G354" i="12" s="1"/>
  <c r="G352" i="12"/>
  <c r="E158" i="10"/>
  <c r="C157" i="10"/>
  <c r="K157" i="10"/>
  <c r="Y157" i="10"/>
  <c r="S157" i="10"/>
  <c r="AY187" i="11"/>
  <c r="BC186" i="11"/>
  <c r="F155" i="10"/>
  <c r="T154" i="10"/>
  <c r="AJ196" i="11"/>
  <c r="AJ197" i="11" s="1"/>
  <c r="AJ198" i="11" s="1"/>
  <c r="AJ199" i="11" s="1"/>
  <c r="AK195" i="11"/>
  <c r="K190" i="11"/>
  <c r="G191" i="11"/>
  <c r="W183" i="11"/>
  <c r="AA182" i="11"/>
  <c r="AK183" i="11"/>
  <c r="AO182" i="11"/>
  <c r="A405" i="12"/>
  <c r="F395" i="12"/>
  <c r="E395" i="12"/>
  <c r="G376" i="12"/>
  <c r="J375" i="12" s="1"/>
  <c r="G377" i="12"/>
  <c r="E387" i="12"/>
  <c r="E386" i="12"/>
  <c r="E378" i="12"/>
  <c r="E379" i="12"/>
  <c r="G179" i="11"/>
  <c r="K179" i="11" s="1"/>
  <c r="K178" i="11"/>
  <c r="BC182" i="11"/>
  <c r="AY183" i="11"/>
  <c r="G154" i="10"/>
  <c r="U153" i="10"/>
  <c r="C195" i="11"/>
  <c r="C196" i="11" s="1"/>
  <c r="C197" i="11" s="1"/>
  <c r="C198" i="11" s="1"/>
  <c r="C199" i="11" s="1"/>
  <c r="E196" i="11"/>
  <c r="E197" i="11" s="1"/>
  <c r="E198" i="11" s="1"/>
  <c r="E199" i="11" s="1"/>
  <c r="E371" i="12"/>
  <c r="E370" i="12"/>
  <c r="T151" i="10"/>
  <c r="F152" i="10"/>
  <c r="T152" i="10" s="1"/>
  <c r="G195" i="11"/>
  <c r="F196" i="11"/>
  <c r="F197" i="11" s="1"/>
  <c r="F198" i="11" s="1"/>
  <c r="F199" i="11" s="1"/>
  <c r="AU190" i="11"/>
  <c r="AU191" i="11" s="1"/>
  <c r="AU192" i="11" s="1"/>
  <c r="AU193" i="11" s="1"/>
  <c r="AU194" i="11" s="1"/>
  <c r="AY191" i="11"/>
  <c r="BC190" i="11"/>
  <c r="E362" i="12"/>
  <c r="E363" i="12"/>
  <c r="E364" i="12" s="1"/>
  <c r="Q153" i="10"/>
  <c r="C154" i="10"/>
  <c r="AK179" i="11"/>
  <c r="AO179" i="11" s="1"/>
  <c r="AO178" i="11"/>
  <c r="U147" i="10"/>
  <c r="G148" i="10"/>
  <c r="U148" i="10" s="1"/>
  <c r="G151" i="10"/>
  <c r="U150" i="10"/>
  <c r="G187" i="11"/>
  <c r="K186" i="11"/>
  <c r="Q150" i="10"/>
  <c r="C151" i="10"/>
  <c r="AK187" i="11"/>
  <c r="AO186" i="11"/>
  <c r="F386" i="12"/>
  <c r="C385" i="12" s="1"/>
  <c r="C386" i="12" s="1"/>
  <c r="C387" i="12" s="1"/>
  <c r="C388" i="12" s="1"/>
  <c r="C389" i="12" s="1"/>
  <c r="C390" i="12" s="1"/>
  <c r="C391" i="12" s="1"/>
  <c r="C392" i="12" s="1"/>
  <c r="C393" i="12" s="1"/>
  <c r="C394" i="12" s="1"/>
  <c r="F387" i="12"/>
  <c r="G385" i="12"/>
  <c r="F370" i="12"/>
  <c r="F371" i="12"/>
  <c r="AA178" i="11"/>
  <c r="W179" i="11"/>
  <c r="AA179" i="11" s="1"/>
  <c r="G157" i="10"/>
  <c r="F158" i="10"/>
  <c r="T157" i="10"/>
  <c r="S154" i="10"/>
  <c r="K154" i="10"/>
  <c r="E155" i="10"/>
  <c r="Y154" i="10"/>
  <c r="Q147" i="10"/>
  <c r="C148" i="10"/>
  <c r="Q148" i="10" s="1"/>
  <c r="W187" i="11"/>
  <c r="AA186" i="11"/>
  <c r="AY195" i="11"/>
  <c r="AX196" i="11"/>
  <c r="AX197" i="11" s="1"/>
  <c r="AX198" i="11" s="1"/>
  <c r="AX199" i="11" s="1"/>
  <c r="G183" i="11"/>
  <c r="K182" i="11"/>
  <c r="AY179" i="11"/>
  <c r="BC179" i="11" s="1"/>
  <c r="BC178" i="11"/>
  <c r="G369" i="12"/>
  <c r="G368" i="12"/>
  <c r="S151" i="10"/>
  <c r="K151" i="10"/>
  <c r="E152" i="10"/>
  <c r="Y151" i="10"/>
  <c r="F378" i="12"/>
  <c r="F379" i="12"/>
  <c r="K148" i="10"/>
  <c r="S148" i="10"/>
  <c r="Y148" i="10"/>
  <c r="V200" i="11"/>
  <c r="AW200" i="11"/>
  <c r="AW201" i="11" s="1"/>
  <c r="AW202" i="11" s="1"/>
  <c r="AW203" i="11" s="1"/>
  <c r="AW204" i="11" s="1"/>
  <c r="A205" i="11"/>
  <c r="U200" i="11"/>
  <c r="U201" i="11" s="1"/>
  <c r="U202" i="11" s="1"/>
  <c r="U203" i="11" s="1"/>
  <c r="U204" i="11" s="1"/>
  <c r="F200" i="11"/>
  <c r="AI200" i="11"/>
  <c r="AI201" i="11" s="1"/>
  <c r="AI202" i="11" s="1"/>
  <c r="AI203" i="11" s="1"/>
  <c r="AI204" i="11" s="1"/>
  <c r="AX200" i="11"/>
  <c r="E200" i="11"/>
  <c r="AJ200" i="11"/>
  <c r="A165" i="10"/>
  <c r="E161" i="10"/>
  <c r="A162" i="10"/>
  <c r="A163" i="10" s="1"/>
  <c r="A164" i="10" s="1"/>
  <c r="F161" i="10"/>
  <c r="F363" i="12"/>
  <c r="F364" i="12" s="1"/>
  <c r="F362" i="12"/>
  <c r="G360" i="12"/>
  <c r="G361" i="12"/>
  <c r="W191" i="11"/>
  <c r="S190" i="11"/>
  <c r="S191" i="11" s="1"/>
  <c r="S192" i="11" s="1"/>
  <c r="S193" i="11" s="1"/>
  <c r="S194" i="11" s="1"/>
  <c r="AA190" i="11"/>
  <c r="K161" i="10" l="1"/>
  <c r="S161" i="10"/>
  <c r="C161" i="10"/>
  <c r="E162" i="10"/>
  <c r="Y161" i="10"/>
  <c r="G155" i="10"/>
  <c r="U154" i="10"/>
  <c r="F156" i="10"/>
  <c r="T156" i="10" s="1"/>
  <c r="T155" i="10"/>
  <c r="E201" i="11"/>
  <c r="E202" i="11" s="1"/>
  <c r="E203" i="11" s="1"/>
  <c r="E204" i="11" s="1"/>
  <c r="K187" i="11"/>
  <c r="G188" i="11"/>
  <c r="AY184" i="11"/>
  <c r="BC184" i="11" s="1"/>
  <c r="BC183" i="11"/>
  <c r="G395" i="12"/>
  <c r="F396" i="12"/>
  <c r="F397" i="12"/>
  <c r="G363" i="12"/>
  <c r="G364" i="12" s="1"/>
  <c r="G362" i="12"/>
  <c r="W200" i="11"/>
  <c r="V201" i="11"/>
  <c r="V202" i="11" s="1"/>
  <c r="V203" i="11" s="1"/>
  <c r="V204" i="11" s="1"/>
  <c r="Q154" i="10"/>
  <c r="C155" i="10"/>
  <c r="E373" i="12"/>
  <c r="E374" i="12" s="1"/>
  <c r="E372" i="12"/>
  <c r="AY196" i="11"/>
  <c r="BC195" i="11"/>
  <c r="AU195" i="11"/>
  <c r="AU196" i="11" s="1"/>
  <c r="AU197" i="11" s="1"/>
  <c r="AU198" i="11" s="1"/>
  <c r="AU199" i="11" s="1"/>
  <c r="F162" i="10"/>
  <c r="G161" i="10"/>
  <c r="T161" i="10"/>
  <c r="AK188" i="11"/>
  <c r="AO187" i="11"/>
  <c r="E389" i="12"/>
  <c r="E388" i="12"/>
  <c r="AO195" i="11"/>
  <c r="AG195" i="11"/>
  <c r="AG196" i="11" s="1"/>
  <c r="AG197" i="11" s="1"/>
  <c r="AG198" i="11" s="1"/>
  <c r="AG199" i="11" s="1"/>
  <c r="AK196" i="11"/>
  <c r="E397" i="12"/>
  <c r="E396" i="12"/>
  <c r="C395" i="12"/>
  <c r="C396" i="12" s="1"/>
  <c r="C397" i="12" s="1"/>
  <c r="C398" i="12" s="1"/>
  <c r="C399" i="12" s="1"/>
  <c r="C400" i="12" s="1"/>
  <c r="C401" i="12" s="1"/>
  <c r="C402" i="12" s="1"/>
  <c r="C403" i="12" s="1"/>
  <c r="C404" i="12" s="1"/>
  <c r="E405" i="12"/>
  <c r="A415" i="12"/>
  <c r="F405" i="12"/>
  <c r="BC187" i="11"/>
  <c r="AY188" i="11"/>
  <c r="AO191" i="11"/>
  <c r="AK192" i="11"/>
  <c r="W192" i="11"/>
  <c r="AA191" i="11"/>
  <c r="Y152" i="10"/>
  <c r="K152" i="10"/>
  <c r="S152" i="10"/>
  <c r="AA187" i="11"/>
  <c r="W188" i="11"/>
  <c r="F373" i="12"/>
  <c r="F374" i="12" s="1"/>
  <c r="F372" i="12"/>
  <c r="G152" i="10"/>
  <c r="U152" i="10" s="1"/>
  <c r="U151" i="10"/>
  <c r="G184" i="11"/>
  <c r="K184" i="11" s="1"/>
  <c r="K183" i="11"/>
  <c r="T158" i="10"/>
  <c r="F159" i="10"/>
  <c r="BC191" i="11"/>
  <c r="AY192" i="11"/>
  <c r="AO183" i="11"/>
  <c r="AK184" i="11"/>
  <c r="AO184" i="11" s="1"/>
  <c r="AA195" i="11"/>
  <c r="W196" i="11"/>
  <c r="S195" i="11"/>
  <c r="S196" i="11" s="1"/>
  <c r="S197" i="11" s="1"/>
  <c r="S198" i="11" s="1"/>
  <c r="S199" i="11" s="1"/>
  <c r="A166" i="10"/>
  <c r="A167" i="10" s="1"/>
  <c r="A168" i="10" s="1"/>
  <c r="E165" i="10"/>
  <c r="F165" i="10"/>
  <c r="A169" i="10"/>
  <c r="AJ201" i="11"/>
  <c r="AJ202" i="11" s="1"/>
  <c r="AJ203" i="11" s="1"/>
  <c r="AJ204" i="11" s="1"/>
  <c r="AK200" i="11"/>
  <c r="G158" i="10"/>
  <c r="U157" i="10"/>
  <c r="AY200" i="11"/>
  <c r="AX201" i="11"/>
  <c r="AX202" i="11" s="1"/>
  <c r="AX203" i="11" s="1"/>
  <c r="AX204" i="11" s="1"/>
  <c r="K195" i="11"/>
  <c r="G196" i="11"/>
  <c r="G386" i="12"/>
  <c r="J385" i="12" s="1"/>
  <c r="G387" i="12"/>
  <c r="E381" i="12"/>
  <c r="E380" i="12"/>
  <c r="Q151" i="10"/>
  <c r="C152" i="10"/>
  <c r="Q152" i="10" s="1"/>
  <c r="G379" i="12"/>
  <c r="G378" i="12"/>
  <c r="G200" i="11"/>
  <c r="C200" i="11" s="1"/>
  <c r="C201" i="11" s="1"/>
  <c r="C202" i="11" s="1"/>
  <c r="C203" i="11" s="1"/>
  <c r="C204" i="11" s="1"/>
  <c r="F201" i="11"/>
  <c r="F202" i="11" s="1"/>
  <c r="F203" i="11" s="1"/>
  <c r="F204" i="11" s="1"/>
  <c r="AX205" i="11"/>
  <c r="A210" i="11"/>
  <c r="AJ205" i="11"/>
  <c r="E205" i="11"/>
  <c r="F205" i="11"/>
  <c r="AW205" i="11"/>
  <c r="AW206" i="11" s="1"/>
  <c r="AW207" i="11" s="1"/>
  <c r="AW208" i="11" s="1"/>
  <c r="AW209" i="11" s="1"/>
  <c r="AI205" i="11"/>
  <c r="AI206" i="11" s="1"/>
  <c r="AI207" i="11" s="1"/>
  <c r="AI208" i="11" s="1"/>
  <c r="AI209" i="11" s="1"/>
  <c r="V205" i="11"/>
  <c r="U205" i="11"/>
  <c r="U206" i="11" s="1"/>
  <c r="U207" i="11" s="1"/>
  <c r="U208" i="11" s="1"/>
  <c r="U209" i="11" s="1"/>
  <c r="F389" i="12"/>
  <c r="F388" i="12"/>
  <c r="W184" i="11"/>
  <c r="AA184" i="11" s="1"/>
  <c r="AA183" i="11"/>
  <c r="C158" i="10"/>
  <c r="Q157" i="10"/>
  <c r="J381" i="12"/>
  <c r="J382" i="12" s="1"/>
  <c r="J376" i="12"/>
  <c r="J383" i="12"/>
  <c r="J384" i="12" s="1"/>
  <c r="J377" i="12"/>
  <c r="J378" i="12" s="1"/>
  <c r="J379" i="12"/>
  <c r="J380" i="12" s="1"/>
  <c r="F380" i="12"/>
  <c r="F381" i="12"/>
  <c r="G371" i="12"/>
  <c r="G370" i="12"/>
  <c r="K155" i="10"/>
  <c r="E156" i="10"/>
  <c r="S155" i="10"/>
  <c r="Y155" i="10"/>
  <c r="G192" i="11"/>
  <c r="K191" i="11"/>
  <c r="E159" i="10"/>
  <c r="Y158" i="10"/>
  <c r="S158" i="10"/>
  <c r="K158" i="10"/>
  <c r="G193" i="11" l="1"/>
  <c r="K192" i="11"/>
  <c r="AK205" i="11"/>
  <c r="AJ206" i="11"/>
  <c r="AJ207" i="11" s="1"/>
  <c r="AJ208" i="11" s="1"/>
  <c r="AJ209" i="11" s="1"/>
  <c r="J386" i="12"/>
  <c r="J391" i="12"/>
  <c r="J392" i="12" s="1"/>
  <c r="J387" i="12"/>
  <c r="J388" i="12" s="1"/>
  <c r="J389" i="12"/>
  <c r="J390" i="12" s="1"/>
  <c r="J393" i="12"/>
  <c r="J394" i="12" s="1"/>
  <c r="C156" i="10"/>
  <c r="Q156" i="10" s="1"/>
  <c r="Q155" i="10"/>
  <c r="AA196" i="11"/>
  <c r="W197" i="11"/>
  <c r="F383" i="12"/>
  <c r="F384" i="12" s="1"/>
  <c r="F382" i="12"/>
  <c r="Y156" i="10"/>
  <c r="S156" i="10"/>
  <c r="K156" i="10"/>
  <c r="C159" i="10"/>
  <c r="Q158" i="10"/>
  <c r="A215" i="11"/>
  <c r="AJ210" i="11"/>
  <c r="E210" i="11"/>
  <c r="AI210" i="11"/>
  <c r="AI211" i="11" s="1"/>
  <c r="AI212" i="11" s="1"/>
  <c r="AI213" i="11" s="1"/>
  <c r="AI214" i="11" s="1"/>
  <c r="V210" i="11"/>
  <c r="U210" i="11"/>
  <c r="U211" i="11" s="1"/>
  <c r="U212" i="11" s="1"/>
  <c r="U213" i="11" s="1"/>
  <c r="U214" i="11" s="1"/>
  <c r="F210" i="11"/>
  <c r="AX210" i="11"/>
  <c r="AW210" i="11"/>
  <c r="AW211" i="11" s="1"/>
  <c r="AW212" i="11" s="1"/>
  <c r="AW213" i="11" s="1"/>
  <c r="AW214" i="11" s="1"/>
  <c r="G197" i="11"/>
  <c r="K196" i="11"/>
  <c r="AY189" i="11"/>
  <c r="BC189" i="11" s="1"/>
  <c r="BC188" i="11"/>
  <c r="E391" i="12"/>
  <c r="E390" i="12"/>
  <c r="U161" i="10"/>
  <c r="G162" i="10"/>
  <c r="G380" i="12"/>
  <c r="G381" i="12"/>
  <c r="G159" i="10"/>
  <c r="U158" i="10"/>
  <c r="AY193" i="11"/>
  <c r="BC192" i="11"/>
  <c r="V206" i="11"/>
  <c r="V207" i="11" s="1"/>
  <c r="V208" i="11" s="1"/>
  <c r="V209" i="11" s="1"/>
  <c r="W205" i="11"/>
  <c r="AK201" i="11"/>
  <c r="AO200" i="11"/>
  <c r="AG200" i="11"/>
  <c r="AG201" i="11" s="1"/>
  <c r="AG202" i="11" s="1"/>
  <c r="AG203" i="11" s="1"/>
  <c r="AG204" i="11" s="1"/>
  <c r="T162" i="10"/>
  <c r="F163" i="10"/>
  <c r="F399" i="12"/>
  <c r="F398" i="12"/>
  <c r="U155" i="10"/>
  <c r="G156" i="10"/>
  <c r="U156" i="10" s="1"/>
  <c r="E160" i="10"/>
  <c r="Y159" i="10"/>
  <c r="K159" i="10"/>
  <c r="S159" i="10"/>
  <c r="F160" i="10"/>
  <c r="T160" i="10" s="1"/>
  <c r="T159" i="10"/>
  <c r="E399" i="12"/>
  <c r="E398" i="12"/>
  <c r="G396" i="12"/>
  <c r="J395" i="12" s="1"/>
  <c r="G397" i="12"/>
  <c r="E163" i="10"/>
  <c r="Y162" i="10"/>
  <c r="S162" i="10"/>
  <c r="K162" i="10"/>
  <c r="F407" i="12"/>
  <c r="F406" i="12"/>
  <c r="C405" i="12" s="1"/>
  <c r="C406" i="12" s="1"/>
  <c r="C407" i="12" s="1"/>
  <c r="C408" i="12" s="1"/>
  <c r="C409" i="12" s="1"/>
  <c r="C410" i="12" s="1"/>
  <c r="C411" i="12" s="1"/>
  <c r="C412" i="12" s="1"/>
  <c r="C413" i="12" s="1"/>
  <c r="C414" i="12" s="1"/>
  <c r="G405" i="12"/>
  <c r="AK189" i="11"/>
  <c r="AO189" i="11" s="1"/>
  <c r="AO188" i="11"/>
  <c r="W201" i="11"/>
  <c r="AA200" i="11"/>
  <c r="S200" i="11"/>
  <c r="S201" i="11" s="1"/>
  <c r="S202" i="11" s="1"/>
  <c r="S203" i="11" s="1"/>
  <c r="S204" i="11" s="1"/>
  <c r="G373" i="12"/>
  <c r="G374" i="12" s="1"/>
  <c r="G372" i="12"/>
  <c r="G201" i="11"/>
  <c r="K200" i="11"/>
  <c r="BC200" i="11"/>
  <c r="AY201" i="11"/>
  <c r="AU200" i="11"/>
  <c r="AU201" i="11" s="1"/>
  <c r="AU202" i="11" s="1"/>
  <c r="AU203" i="11" s="1"/>
  <c r="AU204" i="11" s="1"/>
  <c r="W189" i="11"/>
  <c r="AA189" i="11" s="1"/>
  <c r="AA188" i="11"/>
  <c r="E407" i="12"/>
  <c r="E406" i="12"/>
  <c r="AK197" i="11"/>
  <c r="AO196" i="11"/>
  <c r="BC196" i="11"/>
  <c r="AY197" i="11"/>
  <c r="C162" i="10"/>
  <c r="Q161" i="10"/>
  <c r="AY205" i="11"/>
  <c r="AX206" i="11"/>
  <c r="AX207" i="11" s="1"/>
  <c r="AX208" i="11" s="1"/>
  <c r="AX209" i="11" s="1"/>
  <c r="F415" i="12"/>
  <c r="E415" i="12"/>
  <c r="A425" i="12"/>
  <c r="F391" i="12"/>
  <c r="F390" i="12"/>
  <c r="A170" i="10"/>
  <c r="A171" i="10" s="1"/>
  <c r="A172" i="10" s="1"/>
  <c r="F169" i="10"/>
  <c r="A173" i="10"/>
  <c r="E169" i="10"/>
  <c r="T165" i="10"/>
  <c r="F166" i="10"/>
  <c r="G165" i="10"/>
  <c r="W193" i="11"/>
  <c r="AA192" i="11"/>
  <c r="G205" i="11"/>
  <c r="F206" i="11"/>
  <c r="F207" i="11" s="1"/>
  <c r="F208" i="11" s="1"/>
  <c r="F209" i="11" s="1"/>
  <c r="E383" i="12"/>
  <c r="E384" i="12" s="1"/>
  <c r="E382" i="12"/>
  <c r="C205" i="11"/>
  <c r="C206" i="11" s="1"/>
  <c r="C207" i="11" s="1"/>
  <c r="C208" i="11" s="1"/>
  <c r="C209" i="11" s="1"/>
  <c r="E206" i="11"/>
  <c r="E207" i="11" s="1"/>
  <c r="E208" i="11" s="1"/>
  <c r="E209" i="11" s="1"/>
  <c r="G389" i="12"/>
  <c r="G388" i="12"/>
  <c r="Y165" i="10"/>
  <c r="S165" i="10"/>
  <c r="K165" i="10"/>
  <c r="E166" i="10"/>
  <c r="C165" i="10"/>
  <c r="AO192" i="11"/>
  <c r="AK193" i="11"/>
  <c r="K188" i="11"/>
  <c r="G189" i="11"/>
  <c r="K189" i="11" s="1"/>
  <c r="AJ211" i="11" l="1"/>
  <c r="AJ212" i="11" s="1"/>
  <c r="AJ213" i="11" s="1"/>
  <c r="AJ214" i="11" s="1"/>
  <c r="AK210" i="11"/>
  <c r="G391" i="12"/>
  <c r="G390" i="12"/>
  <c r="C163" i="10"/>
  <c r="Q162" i="10"/>
  <c r="U165" i="10"/>
  <c r="G166" i="10"/>
  <c r="F167" i="10"/>
  <c r="T166" i="10"/>
  <c r="AU205" i="11"/>
  <c r="AU206" i="11" s="1"/>
  <c r="AU207" i="11" s="1"/>
  <c r="AU208" i="11" s="1"/>
  <c r="AU209" i="11" s="1"/>
  <c r="AY206" i="11"/>
  <c r="BC205" i="11"/>
  <c r="G406" i="12"/>
  <c r="J405" i="12" s="1"/>
  <c r="G407" i="12"/>
  <c r="E211" i="11"/>
  <c r="E212" i="11" s="1"/>
  <c r="E213" i="11" s="1"/>
  <c r="E214" i="11" s="1"/>
  <c r="C210" i="11"/>
  <c r="C211" i="11" s="1"/>
  <c r="C212" i="11" s="1"/>
  <c r="C213" i="11" s="1"/>
  <c r="C214" i="11" s="1"/>
  <c r="T169" i="10"/>
  <c r="F170" i="10"/>
  <c r="G169" i="10"/>
  <c r="G202" i="11"/>
  <c r="K201" i="11"/>
  <c r="Y160" i="10"/>
  <c r="S160" i="10"/>
  <c r="K160" i="10"/>
  <c r="C160" i="10"/>
  <c r="Q160" i="10" s="1"/>
  <c r="Q159" i="10"/>
  <c r="BC193" i="11"/>
  <c r="AY194" i="11"/>
  <c r="BC194" i="11" s="1"/>
  <c r="K197" i="11"/>
  <c r="G198" i="11"/>
  <c r="AK194" i="11"/>
  <c r="AO194" i="11" s="1"/>
  <c r="AO193" i="11"/>
  <c r="AK198" i="11"/>
  <c r="AO197" i="11"/>
  <c r="Y163" i="10"/>
  <c r="E164" i="10"/>
  <c r="S163" i="10"/>
  <c r="K163" i="10"/>
  <c r="E392" i="12"/>
  <c r="E393" i="12"/>
  <c r="E394" i="12" s="1"/>
  <c r="Y169" i="10"/>
  <c r="S169" i="10"/>
  <c r="K169" i="10"/>
  <c r="E170" i="10"/>
  <c r="C169" i="10"/>
  <c r="F409" i="12"/>
  <c r="F408" i="12"/>
  <c r="G399" i="12"/>
  <c r="G398" i="12"/>
  <c r="U159" i="10"/>
  <c r="G160" i="10"/>
  <c r="U160" i="10" s="1"/>
  <c r="AX211" i="11"/>
  <c r="AX212" i="11" s="1"/>
  <c r="AX213" i="11" s="1"/>
  <c r="AX214" i="11" s="1"/>
  <c r="AY210" i="11"/>
  <c r="S205" i="11"/>
  <c r="S206" i="11" s="1"/>
  <c r="S207" i="11" s="1"/>
  <c r="S208" i="11" s="1"/>
  <c r="S209" i="11" s="1"/>
  <c r="W206" i="11"/>
  <c r="AA205" i="11"/>
  <c r="F215" i="11"/>
  <c r="AX215" i="11"/>
  <c r="AW215" i="11"/>
  <c r="AW216" i="11" s="1"/>
  <c r="AW217" i="11" s="1"/>
  <c r="AW218" i="11" s="1"/>
  <c r="AW219" i="11" s="1"/>
  <c r="E215" i="11"/>
  <c r="AJ215" i="11"/>
  <c r="A220" i="11"/>
  <c r="AI215" i="11"/>
  <c r="AI216" i="11" s="1"/>
  <c r="AI217" i="11" s="1"/>
  <c r="AI218" i="11" s="1"/>
  <c r="AI219" i="11" s="1"/>
  <c r="V215" i="11"/>
  <c r="U215" i="11"/>
  <c r="U216" i="11" s="1"/>
  <c r="U217" i="11" s="1"/>
  <c r="U218" i="11" s="1"/>
  <c r="U219" i="11" s="1"/>
  <c r="C166" i="10"/>
  <c r="Q165" i="10"/>
  <c r="A435" i="12"/>
  <c r="F425" i="12"/>
  <c r="E425" i="12"/>
  <c r="J397" i="12"/>
  <c r="J398" i="12" s="1"/>
  <c r="J399" i="12"/>
  <c r="J400" i="12" s="1"/>
  <c r="J401" i="12"/>
  <c r="J402" i="12" s="1"/>
  <c r="J396" i="12"/>
  <c r="J403" i="12"/>
  <c r="J404" i="12" s="1"/>
  <c r="F400" i="12"/>
  <c r="F401" i="12"/>
  <c r="G382" i="12"/>
  <c r="G383" i="12"/>
  <c r="G384" i="12" s="1"/>
  <c r="F211" i="11"/>
  <c r="F212" i="11" s="1"/>
  <c r="F213" i="11" s="1"/>
  <c r="F214" i="11" s="1"/>
  <c r="G210" i="11"/>
  <c r="AK206" i="11"/>
  <c r="AO205" i="11"/>
  <c r="AG205" i="11"/>
  <c r="AG206" i="11" s="1"/>
  <c r="AG207" i="11" s="1"/>
  <c r="AG208" i="11" s="1"/>
  <c r="AG209" i="11" s="1"/>
  <c r="AY202" i="11"/>
  <c r="BC201" i="11"/>
  <c r="AO201" i="11"/>
  <c r="AK202" i="11"/>
  <c r="F393" i="12"/>
  <c r="F394" i="12" s="1"/>
  <c r="F392" i="12"/>
  <c r="G206" i="11"/>
  <c r="K205" i="11"/>
  <c r="E409" i="12"/>
  <c r="E408" i="12"/>
  <c r="S166" i="10"/>
  <c r="E167" i="10"/>
  <c r="Y166" i="10"/>
  <c r="K166" i="10"/>
  <c r="E416" i="12"/>
  <c r="E417" i="12"/>
  <c r="AA201" i="11"/>
  <c r="W202" i="11"/>
  <c r="T163" i="10"/>
  <c r="F164" i="10"/>
  <c r="T164" i="10" s="1"/>
  <c r="F173" i="10"/>
  <c r="A177" i="10"/>
  <c r="A174" i="10"/>
  <c r="A175" i="10" s="1"/>
  <c r="A176" i="10" s="1"/>
  <c r="E173" i="10"/>
  <c r="BC197" i="11"/>
  <c r="AY198" i="11"/>
  <c r="AA193" i="11"/>
  <c r="W194" i="11"/>
  <c r="AA194" i="11" s="1"/>
  <c r="F417" i="12"/>
  <c r="G415" i="12"/>
  <c r="F416" i="12"/>
  <c r="C415" i="12" s="1"/>
  <c r="C416" i="12" s="1"/>
  <c r="C417" i="12" s="1"/>
  <c r="C418" i="12" s="1"/>
  <c r="C419" i="12" s="1"/>
  <c r="C420" i="12" s="1"/>
  <c r="C421" i="12" s="1"/>
  <c r="C422" i="12" s="1"/>
  <c r="C423" i="12" s="1"/>
  <c r="C424" i="12" s="1"/>
  <c r="E400" i="12"/>
  <c r="E401" i="12"/>
  <c r="U162" i="10"/>
  <c r="G163" i="10"/>
  <c r="W210" i="11"/>
  <c r="V211" i="11"/>
  <c r="V212" i="11" s="1"/>
  <c r="V213" i="11" s="1"/>
  <c r="V214" i="11" s="1"/>
  <c r="AA197" i="11"/>
  <c r="W198" i="11"/>
  <c r="K193" i="11"/>
  <c r="G194" i="11"/>
  <c r="K194" i="11" s="1"/>
  <c r="F418" i="12" l="1"/>
  <c r="F419" i="12"/>
  <c r="W199" i="11"/>
  <c r="AA199" i="11" s="1"/>
  <c r="AA198" i="11"/>
  <c r="W215" i="11"/>
  <c r="V216" i="11"/>
  <c r="V217" i="11" s="1"/>
  <c r="V218" i="11" s="1"/>
  <c r="V219" i="11" s="1"/>
  <c r="BC206" i="11"/>
  <c r="AY207" i="11"/>
  <c r="F435" i="12"/>
  <c r="E435" i="12"/>
  <c r="A445" i="12"/>
  <c r="S170" i="10"/>
  <c r="K170" i="10"/>
  <c r="E171" i="10"/>
  <c r="Y170" i="10"/>
  <c r="K202" i="11"/>
  <c r="G203" i="11"/>
  <c r="W203" i="11"/>
  <c r="AA202" i="11"/>
  <c r="F402" i="12"/>
  <c r="F403" i="12"/>
  <c r="F404" i="12" s="1"/>
  <c r="AU210" i="11"/>
  <c r="AU211" i="11" s="1"/>
  <c r="AU212" i="11" s="1"/>
  <c r="AU213" i="11" s="1"/>
  <c r="AU214" i="11" s="1"/>
  <c r="AY211" i="11"/>
  <c r="BC210" i="11"/>
  <c r="G164" i="10"/>
  <c r="U164" i="10" s="1"/>
  <c r="U163" i="10"/>
  <c r="Y167" i="10"/>
  <c r="E168" i="10"/>
  <c r="S167" i="10"/>
  <c r="K167" i="10"/>
  <c r="F177" i="10"/>
  <c r="A181" i="10"/>
  <c r="E177" i="10"/>
  <c r="A178" i="10"/>
  <c r="A179" i="10" s="1"/>
  <c r="A180" i="10" s="1"/>
  <c r="E402" i="12"/>
  <c r="E403" i="12"/>
  <c r="E404" i="12" s="1"/>
  <c r="T173" i="10"/>
  <c r="F174" i="10"/>
  <c r="G173" i="10"/>
  <c r="AK207" i="11"/>
  <c r="AO206" i="11"/>
  <c r="E426" i="12"/>
  <c r="E427" i="12"/>
  <c r="AX216" i="11"/>
  <c r="AX217" i="11" s="1"/>
  <c r="AX218" i="11" s="1"/>
  <c r="AX219" i="11" s="1"/>
  <c r="AY215" i="11"/>
  <c r="F410" i="12"/>
  <c r="F411" i="12"/>
  <c r="G417" i="12"/>
  <c r="G416" i="12"/>
  <c r="J415" i="12" s="1"/>
  <c r="K206" i="11"/>
  <c r="G207" i="11"/>
  <c r="AA206" i="11"/>
  <c r="W207" i="11"/>
  <c r="G199" i="11"/>
  <c r="K199" i="11" s="1"/>
  <c r="K198" i="11"/>
  <c r="C170" i="10"/>
  <c r="Q169" i="10"/>
  <c r="U169" i="10"/>
  <c r="G170" i="10"/>
  <c r="U166" i="10"/>
  <c r="G167" i="10"/>
  <c r="AO202" i="11"/>
  <c r="AK203" i="11"/>
  <c r="AI220" i="11"/>
  <c r="AI221" i="11" s="1"/>
  <c r="AI222" i="11" s="1"/>
  <c r="AI223" i="11" s="1"/>
  <c r="AI224" i="11" s="1"/>
  <c r="U220" i="11"/>
  <c r="U221" i="11" s="1"/>
  <c r="U222" i="11" s="1"/>
  <c r="U223" i="11" s="1"/>
  <c r="U224" i="11" s="1"/>
  <c r="A225" i="11"/>
  <c r="V220" i="11"/>
  <c r="AX220" i="11"/>
  <c r="AJ220" i="11"/>
  <c r="AW220" i="11"/>
  <c r="AW221" i="11" s="1"/>
  <c r="AW222" i="11" s="1"/>
  <c r="AW223" i="11" s="1"/>
  <c r="AW224" i="11" s="1"/>
  <c r="F220" i="11"/>
  <c r="E220" i="11"/>
  <c r="G409" i="12"/>
  <c r="G408" i="12"/>
  <c r="G393" i="12"/>
  <c r="G394" i="12" s="1"/>
  <c r="G392" i="12"/>
  <c r="E410" i="12"/>
  <c r="E411" i="12"/>
  <c r="K210" i="11"/>
  <c r="G211" i="11"/>
  <c r="F426" i="12"/>
  <c r="C425" i="12" s="1"/>
  <c r="C426" i="12" s="1"/>
  <c r="C427" i="12" s="1"/>
  <c r="C428" i="12" s="1"/>
  <c r="C429" i="12" s="1"/>
  <c r="C430" i="12" s="1"/>
  <c r="C431" i="12" s="1"/>
  <c r="C432" i="12" s="1"/>
  <c r="C433" i="12" s="1"/>
  <c r="C434" i="12" s="1"/>
  <c r="G425" i="12"/>
  <c r="F427" i="12"/>
  <c r="G215" i="11"/>
  <c r="F216" i="11"/>
  <c r="F217" i="11" s="1"/>
  <c r="F218" i="11" s="1"/>
  <c r="F219" i="11" s="1"/>
  <c r="AK199" i="11"/>
  <c r="AO199" i="11" s="1"/>
  <c r="AO198" i="11"/>
  <c r="AA210" i="11"/>
  <c r="S210" i="11"/>
  <c r="S211" i="11" s="1"/>
  <c r="S212" i="11" s="1"/>
  <c r="S213" i="11" s="1"/>
  <c r="S214" i="11" s="1"/>
  <c r="W211" i="11"/>
  <c r="K173" i="10"/>
  <c r="E174" i="10"/>
  <c r="S173" i="10"/>
  <c r="Y173" i="10"/>
  <c r="C173" i="10"/>
  <c r="AY203" i="11"/>
  <c r="BC202" i="11"/>
  <c r="AJ216" i="11"/>
  <c r="AJ217" i="11" s="1"/>
  <c r="AJ218" i="11" s="1"/>
  <c r="AJ219" i="11" s="1"/>
  <c r="AK215" i="11"/>
  <c r="J406" i="12"/>
  <c r="J407" i="12"/>
  <c r="J408" i="12" s="1"/>
  <c r="J409" i="12"/>
  <c r="J410" i="12" s="1"/>
  <c r="J411" i="12"/>
  <c r="J412" i="12" s="1"/>
  <c r="J413" i="12"/>
  <c r="J414" i="12" s="1"/>
  <c r="AG210" i="11"/>
  <c r="AG211" i="11" s="1"/>
  <c r="AG212" i="11" s="1"/>
  <c r="AG213" i="11" s="1"/>
  <c r="AG214" i="11" s="1"/>
  <c r="AK211" i="11"/>
  <c r="AO210" i="11"/>
  <c r="T167" i="10"/>
  <c r="F168" i="10"/>
  <c r="T168" i="10" s="1"/>
  <c r="C167" i="10"/>
  <c r="Q166" i="10"/>
  <c r="T170" i="10"/>
  <c r="F171" i="10"/>
  <c r="E418" i="12"/>
  <c r="E419" i="12"/>
  <c r="C164" i="10"/>
  <c r="Q164" i="10" s="1"/>
  <c r="Q163" i="10"/>
  <c r="AY199" i="11"/>
  <c r="BC199" i="11" s="1"/>
  <c r="BC198" i="11"/>
  <c r="E216" i="11"/>
  <c r="E217" i="11" s="1"/>
  <c r="E218" i="11" s="1"/>
  <c r="E219" i="11" s="1"/>
  <c r="C215" i="11"/>
  <c r="C216" i="11" s="1"/>
  <c r="C217" i="11" s="1"/>
  <c r="C218" i="11" s="1"/>
  <c r="C219" i="11" s="1"/>
  <c r="G400" i="12"/>
  <c r="G401" i="12"/>
  <c r="S164" i="10"/>
  <c r="Y164" i="10"/>
  <c r="K164" i="10"/>
  <c r="W220" i="11" l="1"/>
  <c r="V221" i="11"/>
  <c r="V222" i="11" s="1"/>
  <c r="V223" i="11" s="1"/>
  <c r="V224" i="11" s="1"/>
  <c r="E428" i="12"/>
  <c r="E429" i="12"/>
  <c r="A185" i="10"/>
  <c r="E181" i="10"/>
  <c r="A182" i="10"/>
  <c r="A183" i="10" s="1"/>
  <c r="A184" i="10" s="1"/>
  <c r="F181" i="10"/>
  <c r="AY208" i="11"/>
  <c r="BC207" i="11"/>
  <c r="E413" i="12"/>
  <c r="E414" i="12" s="1"/>
  <c r="E412" i="12"/>
  <c r="U225" i="11"/>
  <c r="U226" i="11" s="1"/>
  <c r="U227" i="11" s="1"/>
  <c r="U228" i="11" s="1"/>
  <c r="U229" i="11" s="1"/>
  <c r="AW225" i="11"/>
  <c r="AW226" i="11" s="1"/>
  <c r="AW227" i="11" s="1"/>
  <c r="AW228" i="11" s="1"/>
  <c r="AW229" i="11" s="1"/>
  <c r="AJ225" i="11"/>
  <c r="AI225" i="11"/>
  <c r="AI226" i="11" s="1"/>
  <c r="AI227" i="11" s="1"/>
  <c r="AI228" i="11" s="1"/>
  <c r="AI229" i="11" s="1"/>
  <c r="A230" i="11"/>
  <c r="AX225" i="11"/>
  <c r="F225" i="11"/>
  <c r="E225" i="11"/>
  <c r="V225" i="11"/>
  <c r="G177" i="10"/>
  <c r="F178" i="10"/>
  <c r="T177" i="10"/>
  <c r="W204" i="11"/>
  <c r="AA204" i="11" s="1"/>
  <c r="AA203" i="11"/>
  <c r="Q173" i="10"/>
  <c r="C174" i="10"/>
  <c r="F428" i="12"/>
  <c r="F429" i="12"/>
  <c r="F221" i="11"/>
  <c r="F222" i="11" s="1"/>
  <c r="F223" i="11" s="1"/>
  <c r="F224" i="11" s="1"/>
  <c r="G220" i="11"/>
  <c r="C220" i="11" s="1"/>
  <c r="C221" i="11" s="1"/>
  <c r="C222" i="11" s="1"/>
  <c r="C223" i="11" s="1"/>
  <c r="C224" i="11" s="1"/>
  <c r="G171" i="10"/>
  <c r="U170" i="10"/>
  <c r="F412" i="12"/>
  <c r="F413" i="12"/>
  <c r="F414" i="12" s="1"/>
  <c r="AO211" i="11"/>
  <c r="AK212" i="11"/>
  <c r="G427" i="12"/>
  <c r="G426" i="12"/>
  <c r="J425" i="12" s="1"/>
  <c r="AY212" i="11"/>
  <c r="BC211" i="11"/>
  <c r="A455" i="12"/>
  <c r="F445" i="12"/>
  <c r="E445" i="12"/>
  <c r="AX221" i="11"/>
  <c r="AX222" i="11" s="1"/>
  <c r="AX223" i="11" s="1"/>
  <c r="AX224" i="11" s="1"/>
  <c r="AY220" i="11"/>
  <c r="E421" i="12"/>
  <c r="E420" i="12"/>
  <c r="AK204" i="11"/>
  <c r="AO204" i="11" s="1"/>
  <c r="AO203" i="11"/>
  <c r="G208" i="11"/>
  <c r="K207" i="11"/>
  <c r="AK208" i="11"/>
  <c r="AO207" i="11"/>
  <c r="S168" i="10"/>
  <c r="K168" i="10"/>
  <c r="Y168" i="10"/>
  <c r="AJ221" i="11"/>
  <c r="AJ222" i="11" s="1"/>
  <c r="AJ223" i="11" s="1"/>
  <c r="AJ224" i="11" s="1"/>
  <c r="AK220" i="11"/>
  <c r="AY216" i="11"/>
  <c r="AU215" i="11"/>
  <c r="AU216" i="11" s="1"/>
  <c r="AU217" i="11" s="1"/>
  <c r="AU218" i="11" s="1"/>
  <c r="AU219" i="11" s="1"/>
  <c r="BC215" i="11"/>
  <c r="K211" i="11"/>
  <c r="G212" i="11"/>
  <c r="E178" i="10"/>
  <c r="C177" i="10"/>
  <c r="Y177" i="10"/>
  <c r="S177" i="10"/>
  <c r="K177" i="10"/>
  <c r="W212" i="11"/>
  <c r="AA211" i="11"/>
  <c r="AA207" i="11"/>
  <c r="W208" i="11"/>
  <c r="W216" i="11"/>
  <c r="S215" i="11"/>
  <c r="S216" i="11" s="1"/>
  <c r="S217" i="11" s="1"/>
  <c r="S218" i="11" s="1"/>
  <c r="S219" i="11" s="1"/>
  <c r="AA215" i="11"/>
  <c r="AG215" i="11"/>
  <c r="AG216" i="11" s="1"/>
  <c r="AG217" i="11" s="1"/>
  <c r="AG218" i="11" s="1"/>
  <c r="AG219" i="11" s="1"/>
  <c r="AO215" i="11"/>
  <c r="AK216" i="11"/>
  <c r="G410" i="12"/>
  <c r="G411" i="12"/>
  <c r="U167" i="10"/>
  <c r="G168" i="10"/>
  <c r="U168" i="10" s="1"/>
  <c r="J419" i="12"/>
  <c r="J420" i="12" s="1"/>
  <c r="J421" i="12"/>
  <c r="J422" i="12" s="1"/>
  <c r="J417" i="12"/>
  <c r="J418" i="12" s="1"/>
  <c r="J423" i="12"/>
  <c r="J424" i="12" s="1"/>
  <c r="J416" i="12"/>
  <c r="T174" i="10"/>
  <c r="F175" i="10"/>
  <c r="S171" i="10"/>
  <c r="E172" i="10"/>
  <c r="Y171" i="10"/>
  <c r="K171" i="10"/>
  <c r="F420" i="12"/>
  <c r="F421" i="12"/>
  <c r="E437" i="12"/>
  <c r="E436" i="12"/>
  <c r="C435" i="12" s="1"/>
  <c r="C436" i="12" s="1"/>
  <c r="C437" i="12" s="1"/>
  <c r="C438" i="12" s="1"/>
  <c r="C439" i="12" s="1"/>
  <c r="C440" i="12" s="1"/>
  <c r="C441" i="12" s="1"/>
  <c r="C442" i="12" s="1"/>
  <c r="C443" i="12" s="1"/>
  <c r="C444" i="12" s="1"/>
  <c r="K174" i="10"/>
  <c r="E175" i="10"/>
  <c r="Y174" i="10"/>
  <c r="S174" i="10"/>
  <c r="C171" i="10"/>
  <c r="Q170" i="10"/>
  <c r="F436" i="12"/>
  <c r="G435" i="12"/>
  <c r="F437" i="12"/>
  <c r="F172" i="10"/>
  <c r="T172" i="10" s="1"/>
  <c r="T171" i="10"/>
  <c r="K203" i="11"/>
  <c r="G204" i="11"/>
  <c r="K204" i="11" s="1"/>
  <c r="G402" i="12"/>
  <c r="G403" i="12"/>
  <c r="G404" i="12" s="1"/>
  <c r="Q167" i="10"/>
  <c r="C168" i="10"/>
  <c r="Q168" i="10" s="1"/>
  <c r="G174" i="10"/>
  <c r="U173" i="10"/>
  <c r="BC203" i="11"/>
  <c r="AY204" i="11"/>
  <c r="BC204" i="11" s="1"/>
  <c r="K215" i="11"/>
  <c r="G216" i="11"/>
  <c r="E221" i="11"/>
  <c r="E222" i="11" s="1"/>
  <c r="E223" i="11" s="1"/>
  <c r="E224" i="11" s="1"/>
  <c r="G419" i="12"/>
  <c r="G418" i="12"/>
  <c r="E226" i="11" l="1"/>
  <c r="E227" i="11" s="1"/>
  <c r="E228" i="11" s="1"/>
  <c r="E229" i="11" s="1"/>
  <c r="A189" i="10"/>
  <c r="E185" i="10"/>
  <c r="A186" i="10"/>
  <c r="A187" i="10" s="1"/>
  <c r="A188" i="10" s="1"/>
  <c r="F185" i="10"/>
  <c r="AK221" i="11"/>
  <c r="AG220" i="11"/>
  <c r="AG221" i="11" s="1"/>
  <c r="AG222" i="11" s="1"/>
  <c r="AG223" i="11" s="1"/>
  <c r="AG224" i="11" s="1"/>
  <c r="AO220" i="11"/>
  <c r="E423" i="12"/>
  <c r="E424" i="12" s="1"/>
  <c r="E422" i="12"/>
  <c r="G412" i="12"/>
  <c r="G413" i="12"/>
  <c r="G414" i="12" s="1"/>
  <c r="Q177" i="10"/>
  <c r="C178" i="10"/>
  <c r="A465" i="12"/>
  <c r="E455" i="12"/>
  <c r="F455" i="12"/>
  <c r="G209" i="11"/>
  <c r="K209" i="11" s="1"/>
  <c r="K208" i="11"/>
  <c r="K216" i="11"/>
  <c r="G217" i="11"/>
  <c r="W217" i="11"/>
  <c r="AA216" i="11"/>
  <c r="E439" i="12"/>
  <c r="E438" i="12"/>
  <c r="AA208" i="11"/>
  <c r="W209" i="11"/>
  <c r="AA209" i="11" s="1"/>
  <c r="AY217" i="11"/>
  <c r="BC216" i="11"/>
  <c r="G436" i="12"/>
  <c r="J435" i="12" s="1"/>
  <c r="G437" i="12"/>
  <c r="W213" i="11"/>
  <c r="AA212" i="11"/>
  <c r="BC220" i="11"/>
  <c r="AY221" i="11"/>
  <c r="AU220" i="11"/>
  <c r="AU221" i="11" s="1"/>
  <c r="AU222" i="11" s="1"/>
  <c r="AU223" i="11" s="1"/>
  <c r="AU224" i="11" s="1"/>
  <c r="F179" i="10"/>
  <c r="T178" i="10"/>
  <c r="G178" i="10"/>
  <c r="U177" i="10"/>
  <c r="Q171" i="10"/>
  <c r="C172" i="10"/>
  <c r="Q172" i="10" s="1"/>
  <c r="V226" i="11"/>
  <c r="V227" i="11" s="1"/>
  <c r="V228" i="11" s="1"/>
  <c r="V229" i="11" s="1"/>
  <c r="W225" i="11"/>
  <c r="J433" i="12"/>
  <c r="J434" i="12" s="1"/>
  <c r="J431" i="12"/>
  <c r="J432" i="12" s="1"/>
  <c r="J426" i="12"/>
  <c r="J427" i="12"/>
  <c r="J428" i="12" s="1"/>
  <c r="J429" i="12"/>
  <c r="J430" i="12" s="1"/>
  <c r="Q174" i="10"/>
  <c r="C175" i="10"/>
  <c r="E431" i="12"/>
  <c r="E430" i="12"/>
  <c r="K172" i="10"/>
  <c r="S172" i="10"/>
  <c r="Y172" i="10"/>
  <c r="AY209" i="11"/>
  <c r="BC209" i="11" s="1"/>
  <c r="BC208" i="11"/>
  <c r="T175" i="10"/>
  <c r="F176" i="10"/>
  <c r="T176" i="10" s="1"/>
  <c r="F226" i="11"/>
  <c r="F227" i="11" s="1"/>
  <c r="F228" i="11" s="1"/>
  <c r="F229" i="11" s="1"/>
  <c r="G225" i="11"/>
  <c r="G420" i="12"/>
  <c r="G421" i="12"/>
  <c r="S175" i="10"/>
  <c r="K175" i="10"/>
  <c r="E176" i="10"/>
  <c r="Y175" i="10"/>
  <c r="S178" i="10"/>
  <c r="K178" i="10"/>
  <c r="E179" i="10"/>
  <c r="Y178" i="10"/>
  <c r="F431" i="12"/>
  <c r="F430" i="12"/>
  <c r="G428" i="12"/>
  <c r="G429" i="12"/>
  <c r="AK225" i="11"/>
  <c r="AJ226" i="11"/>
  <c r="AJ227" i="11" s="1"/>
  <c r="AJ228" i="11" s="1"/>
  <c r="AJ229" i="11" s="1"/>
  <c r="G175" i="10"/>
  <c r="U174" i="10"/>
  <c r="F446" i="12"/>
  <c r="C445" i="12" s="1"/>
  <c r="C446" i="12" s="1"/>
  <c r="C447" i="12" s="1"/>
  <c r="C448" i="12" s="1"/>
  <c r="C449" i="12" s="1"/>
  <c r="C450" i="12" s="1"/>
  <c r="C451" i="12" s="1"/>
  <c r="C452" i="12" s="1"/>
  <c r="C453" i="12" s="1"/>
  <c r="C454" i="12" s="1"/>
  <c r="G445" i="12"/>
  <c r="F447" i="12"/>
  <c r="G221" i="11"/>
  <c r="K220" i="11"/>
  <c r="G181" i="10"/>
  <c r="F182" i="10"/>
  <c r="T181" i="10"/>
  <c r="AY225" i="11"/>
  <c r="AX226" i="11"/>
  <c r="AX227" i="11" s="1"/>
  <c r="AX228" i="11" s="1"/>
  <c r="AX229" i="11" s="1"/>
  <c r="K212" i="11"/>
  <c r="G213" i="11"/>
  <c r="BC212" i="11"/>
  <c r="AY213" i="11"/>
  <c r="V230" i="11"/>
  <c r="AW230" i="11"/>
  <c r="AW231" i="11" s="1"/>
  <c r="AW232" i="11" s="1"/>
  <c r="AW233" i="11" s="1"/>
  <c r="AW234" i="11" s="1"/>
  <c r="F230" i="11"/>
  <c r="AX230" i="11"/>
  <c r="E230" i="11"/>
  <c r="A235" i="11"/>
  <c r="U230" i="11"/>
  <c r="U231" i="11" s="1"/>
  <c r="U232" i="11" s="1"/>
  <c r="U233" i="11" s="1"/>
  <c r="U234" i="11" s="1"/>
  <c r="AJ230" i="11"/>
  <c r="AI230" i="11"/>
  <c r="AI231" i="11" s="1"/>
  <c r="AI232" i="11" s="1"/>
  <c r="AI233" i="11" s="1"/>
  <c r="AI234" i="11" s="1"/>
  <c r="AK213" i="11"/>
  <c r="AO212" i="11"/>
  <c r="E447" i="12"/>
  <c r="E446" i="12"/>
  <c r="U171" i="10"/>
  <c r="G172" i="10"/>
  <c r="U172" i="10" s="1"/>
  <c r="AO216" i="11"/>
  <c r="AK217" i="11"/>
  <c r="AK209" i="11"/>
  <c r="AO209" i="11" s="1"/>
  <c r="AO208" i="11"/>
  <c r="E182" i="10"/>
  <c r="C181" i="10"/>
  <c r="K181" i="10"/>
  <c r="Y181" i="10"/>
  <c r="S181" i="10"/>
  <c r="F439" i="12"/>
  <c r="F438" i="12"/>
  <c r="F423" i="12"/>
  <c r="F424" i="12" s="1"/>
  <c r="F422" i="12"/>
  <c r="AA220" i="11"/>
  <c r="S220" i="11"/>
  <c r="S221" i="11" s="1"/>
  <c r="S222" i="11" s="1"/>
  <c r="S223" i="11" s="1"/>
  <c r="S224" i="11" s="1"/>
  <c r="W221" i="11"/>
  <c r="E183" i="10" l="1"/>
  <c r="Y182" i="10"/>
  <c r="S182" i="10"/>
  <c r="K182" i="10"/>
  <c r="G222" i="11"/>
  <c r="K221" i="11"/>
  <c r="V231" i="11"/>
  <c r="V232" i="11" s="1"/>
  <c r="V233" i="11" s="1"/>
  <c r="V234" i="11" s="1"/>
  <c r="W230" i="11"/>
  <c r="F449" i="12"/>
  <c r="F448" i="12"/>
  <c r="K179" i="10"/>
  <c r="E180" i="10"/>
  <c r="S179" i="10"/>
  <c r="Y179" i="10"/>
  <c r="BC221" i="11"/>
  <c r="AY222" i="11"/>
  <c r="AO213" i="11"/>
  <c r="AK214" i="11"/>
  <c r="AO214" i="11" s="1"/>
  <c r="E448" i="12"/>
  <c r="E449" i="12"/>
  <c r="BC213" i="11"/>
  <c r="AY214" i="11"/>
  <c r="BC214" i="11" s="1"/>
  <c r="G446" i="12"/>
  <c r="J445" i="12" s="1"/>
  <c r="G447" i="12"/>
  <c r="AA217" i="11"/>
  <c r="W218" i="11"/>
  <c r="C182" i="10"/>
  <c r="Q181" i="10"/>
  <c r="G214" i="11"/>
  <c r="K214" i="11" s="1"/>
  <c r="K213" i="11"/>
  <c r="J443" i="12"/>
  <c r="J444" i="12" s="1"/>
  <c r="J441" i="12"/>
  <c r="J442" i="12" s="1"/>
  <c r="J437" i="12"/>
  <c r="J438" i="12" s="1"/>
  <c r="J436" i="12"/>
  <c r="J439" i="12"/>
  <c r="J440" i="12" s="1"/>
  <c r="AK218" i="11"/>
  <c r="AO217" i="11"/>
  <c r="AX235" i="11"/>
  <c r="A240" i="11"/>
  <c r="AJ235" i="11"/>
  <c r="E235" i="11"/>
  <c r="AI235" i="11"/>
  <c r="AI236" i="11" s="1"/>
  <c r="AI237" i="11" s="1"/>
  <c r="AI238" i="11" s="1"/>
  <c r="AI239" i="11" s="1"/>
  <c r="V235" i="11"/>
  <c r="AW235" i="11"/>
  <c r="AW236" i="11" s="1"/>
  <c r="AW237" i="11" s="1"/>
  <c r="AW238" i="11" s="1"/>
  <c r="AW239" i="11" s="1"/>
  <c r="U235" i="11"/>
  <c r="U236" i="11" s="1"/>
  <c r="U237" i="11" s="1"/>
  <c r="U238" i="11" s="1"/>
  <c r="U239" i="11" s="1"/>
  <c r="F235" i="11"/>
  <c r="G430" i="12"/>
  <c r="G431" i="12"/>
  <c r="G422" i="12"/>
  <c r="G423" i="12"/>
  <c r="G424" i="12" s="1"/>
  <c r="E433" i="12"/>
  <c r="E434" i="12" s="1"/>
  <c r="E432" i="12"/>
  <c r="BC217" i="11"/>
  <c r="AY218" i="11"/>
  <c r="E457" i="12"/>
  <c r="E456" i="12"/>
  <c r="AA225" i="11"/>
  <c r="W226" i="11"/>
  <c r="S225" i="11"/>
  <c r="S226" i="11" s="1"/>
  <c r="S227" i="11" s="1"/>
  <c r="S228" i="11" s="1"/>
  <c r="S229" i="11" s="1"/>
  <c r="AA213" i="11"/>
  <c r="W214" i="11"/>
  <c r="AA214" i="11" s="1"/>
  <c r="AY226" i="11"/>
  <c r="AU225" i="11"/>
  <c r="AU226" i="11" s="1"/>
  <c r="AU227" i="11" s="1"/>
  <c r="AU228" i="11" s="1"/>
  <c r="AU229" i="11" s="1"/>
  <c r="BC225" i="11"/>
  <c r="C230" i="11"/>
  <c r="C231" i="11" s="1"/>
  <c r="C232" i="11" s="1"/>
  <c r="C233" i="11" s="1"/>
  <c r="C234" i="11" s="1"/>
  <c r="E231" i="11"/>
  <c r="E232" i="11" s="1"/>
  <c r="E233" i="11" s="1"/>
  <c r="E234" i="11" s="1"/>
  <c r="T182" i="10"/>
  <c r="F183" i="10"/>
  <c r="Q175" i="10"/>
  <c r="C176" i="10"/>
  <c r="Q176" i="10" s="1"/>
  <c r="G179" i="10"/>
  <c r="U178" i="10"/>
  <c r="F465" i="12"/>
  <c r="A475" i="12"/>
  <c r="E465" i="12"/>
  <c r="K185" i="10"/>
  <c r="E186" i="10"/>
  <c r="S185" i="10"/>
  <c r="C185" i="10"/>
  <c r="Y185" i="10"/>
  <c r="G218" i="11"/>
  <c r="K217" i="11"/>
  <c r="G176" i="10"/>
  <c r="U176" i="10" s="1"/>
  <c r="U175" i="10"/>
  <c r="Y176" i="10"/>
  <c r="K176" i="10"/>
  <c r="S176" i="10"/>
  <c r="G438" i="12"/>
  <c r="G439" i="12"/>
  <c r="AK222" i="11"/>
  <c r="AO221" i="11"/>
  <c r="F457" i="12"/>
  <c r="F456" i="12"/>
  <c r="C455" i="12" s="1"/>
  <c r="C456" i="12" s="1"/>
  <c r="C457" i="12" s="1"/>
  <c r="C458" i="12" s="1"/>
  <c r="C459" i="12" s="1"/>
  <c r="C460" i="12" s="1"/>
  <c r="C461" i="12" s="1"/>
  <c r="C462" i="12" s="1"/>
  <c r="C463" i="12" s="1"/>
  <c r="C464" i="12" s="1"/>
  <c r="G455" i="12"/>
  <c r="AY230" i="11"/>
  <c r="AX231" i="11"/>
  <c r="AX232" i="11" s="1"/>
  <c r="AX233" i="11" s="1"/>
  <c r="AX234" i="11" s="1"/>
  <c r="G182" i="10"/>
  <c r="U181" i="10"/>
  <c r="G226" i="11"/>
  <c r="K225" i="11"/>
  <c r="Q178" i="10"/>
  <c r="C179" i="10"/>
  <c r="A190" i="10"/>
  <c r="A191" i="10" s="1"/>
  <c r="A192" i="10" s="1"/>
  <c r="E189" i="10"/>
  <c r="F189" i="10"/>
  <c r="A193" i="10"/>
  <c r="AO225" i="11"/>
  <c r="AK226" i="11"/>
  <c r="AG225" i="11"/>
  <c r="AG226" i="11" s="1"/>
  <c r="AG227" i="11" s="1"/>
  <c r="AG228" i="11" s="1"/>
  <c r="AG229" i="11" s="1"/>
  <c r="F186" i="10"/>
  <c r="G185" i="10"/>
  <c r="T185" i="10"/>
  <c r="G230" i="11"/>
  <c r="F231" i="11"/>
  <c r="F232" i="11" s="1"/>
  <c r="F233" i="11" s="1"/>
  <c r="F234" i="11" s="1"/>
  <c r="F433" i="12"/>
  <c r="F434" i="12" s="1"/>
  <c r="F432" i="12"/>
  <c r="F180" i="10"/>
  <c r="T180" i="10" s="1"/>
  <c r="T179" i="10"/>
  <c r="W222" i="11"/>
  <c r="AA221" i="11"/>
  <c r="AK230" i="11"/>
  <c r="AJ231" i="11"/>
  <c r="AJ232" i="11" s="1"/>
  <c r="AJ233" i="11" s="1"/>
  <c r="AJ234" i="11" s="1"/>
  <c r="F441" i="12"/>
  <c r="F440" i="12"/>
  <c r="E441" i="12"/>
  <c r="E440" i="12"/>
  <c r="C225" i="11"/>
  <c r="C226" i="11" s="1"/>
  <c r="C227" i="11" s="1"/>
  <c r="C228" i="11" s="1"/>
  <c r="C229" i="11" s="1"/>
  <c r="W223" i="11" l="1"/>
  <c r="AA222" i="11"/>
  <c r="BC230" i="11"/>
  <c r="AU230" i="11"/>
  <c r="AU231" i="11" s="1"/>
  <c r="AU232" i="11" s="1"/>
  <c r="AU233" i="11" s="1"/>
  <c r="AU234" i="11" s="1"/>
  <c r="AY231" i="11"/>
  <c r="U179" i="10"/>
  <c r="G180" i="10"/>
  <c r="U180" i="10" s="1"/>
  <c r="G433" i="12"/>
  <c r="G434" i="12" s="1"/>
  <c r="G432" i="12"/>
  <c r="AK219" i="11"/>
  <c r="AO219" i="11" s="1"/>
  <c r="AO218" i="11"/>
  <c r="G448" i="12"/>
  <c r="G449" i="12"/>
  <c r="Y180" i="10"/>
  <c r="S180" i="10"/>
  <c r="K180" i="10"/>
  <c r="A194" i="10"/>
  <c r="A195" i="10" s="1"/>
  <c r="A196" i="10" s="1"/>
  <c r="F193" i="10"/>
  <c r="E193" i="10"/>
  <c r="A197" i="10"/>
  <c r="G456" i="12"/>
  <c r="J455" i="12" s="1"/>
  <c r="G457" i="12"/>
  <c r="AA226" i="11"/>
  <c r="W227" i="11"/>
  <c r="J451" i="12"/>
  <c r="J452" i="12" s="1"/>
  <c r="J446" i="12"/>
  <c r="J449" i="12"/>
  <c r="J450" i="12" s="1"/>
  <c r="J447" i="12"/>
  <c r="J448" i="12" s="1"/>
  <c r="J453" i="12"/>
  <c r="J454" i="12" s="1"/>
  <c r="T189" i="10"/>
  <c r="F190" i="10"/>
  <c r="G189" i="10"/>
  <c r="G235" i="11"/>
  <c r="F236" i="11"/>
  <c r="F237" i="11" s="1"/>
  <c r="F238" i="11" s="1"/>
  <c r="F239" i="11" s="1"/>
  <c r="Y189" i="10"/>
  <c r="S189" i="10"/>
  <c r="K189" i="10"/>
  <c r="C189" i="10"/>
  <c r="E190" i="10"/>
  <c r="F459" i="12"/>
  <c r="F458" i="12"/>
  <c r="F450" i="12"/>
  <c r="F451" i="12"/>
  <c r="BC218" i="11"/>
  <c r="AY219" i="11"/>
  <c r="BC219" i="11" s="1"/>
  <c r="C186" i="10"/>
  <c r="Q185" i="10"/>
  <c r="W231" i="11"/>
  <c r="S230" i="11"/>
  <c r="S231" i="11" s="1"/>
  <c r="S232" i="11" s="1"/>
  <c r="S233" i="11" s="1"/>
  <c r="S234" i="11" s="1"/>
  <c r="AA230" i="11"/>
  <c r="AO222" i="11"/>
  <c r="AK223" i="11"/>
  <c r="E458" i="12"/>
  <c r="E459" i="12"/>
  <c r="E236" i="11"/>
  <c r="E237" i="11" s="1"/>
  <c r="E238" i="11" s="1"/>
  <c r="E239" i="11" s="1"/>
  <c r="C235" i="11"/>
  <c r="C236" i="11" s="1"/>
  <c r="C237" i="11" s="1"/>
  <c r="C238" i="11" s="1"/>
  <c r="C239" i="11" s="1"/>
  <c r="G223" i="11"/>
  <c r="K222" i="11"/>
  <c r="K218" i="11"/>
  <c r="G219" i="11"/>
  <c r="K219" i="11" s="1"/>
  <c r="C180" i="10"/>
  <c r="Q180" i="10" s="1"/>
  <c r="Q179" i="10"/>
  <c r="V236" i="11"/>
  <c r="V237" i="11" s="1"/>
  <c r="V238" i="11" s="1"/>
  <c r="V239" i="11" s="1"/>
  <c r="W235" i="11"/>
  <c r="E442" i="12"/>
  <c r="E443" i="12"/>
  <c r="E444" i="12" s="1"/>
  <c r="K230" i="11"/>
  <c r="G231" i="11"/>
  <c r="G441" i="12"/>
  <c r="G440" i="12"/>
  <c r="E187" i="10"/>
  <c r="Y186" i="10"/>
  <c r="S186" i="10"/>
  <c r="K186" i="10"/>
  <c r="F443" i="12"/>
  <c r="F444" i="12" s="1"/>
  <c r="F442" i="12"/>
  <c r="U185" i="10"/>
  <c r="G186" i="10"/>
  <c r="G227" i="11"/>
  <c r="K226" i="11"/>
  <c r="C465" i="12"/>
  <c r="C466" i="12" s="1"/>
  <c r="C467" i="12" s="1"/>
  <c r="C468" i="12" s="1"/>
  <c r="C469" i="12" s="1"/>
  <c r="C470" i="12" s="1"/>
  <c r="C471" i="12" s="1"/>
  <c r="C472" i="12" s="1"/>
  <c r="C473" i="12" s="1"/>
  <c r="C474" i="12" s="1"/>
  <c r="E467" i="12"/>
  <c r="E466" i="12"/>
  <c r="AK235" i="11"/>
  <c r="AJ236" i="11"/>
  <c r="AJ237" i="11" s="1"/>
  <c r="AJ238" i="11" s="1"/>
  <c r="AJ239" i="11" s="1"/>
  <c r="AY223" i="11"/>
  <c r="BC222" i="11"/>
  <c r="T186" i="10"/>
  <c r="F187" i="10"/>
  <c r="A485" i="12"/>
  <c r="F475" i="12"/>
  <c r="E475" i="12"/>
  <c r="AY227" i="11"/>
  <c r="BC226" i="11"/>
  <c r="V240" i="11"/>
  <c r="AW240" i="11"/>
  <c r="AW241" i="11" s="1"/>
  <c r="AW242" i="11" s="1"/>
  <c r="AW243" i="11" s="1"/>
  <c r="AW244" i="11" s="1"/>
  <c r="A245" i="11"/>
  <c r="E240" i="11"/>
  <c r="AJ240" i="11"/>
  <c r="U240" i="11"/>
  <c r="U241" i="11" s="1"/>
  <c r="U242" i="11" s="1"/>
  <c r="U243" i="11" s="1"/>
  <c r="U244" i="11" s="1"/>
  <c r="F240" i="11"/>
  <c r="AI240" i="11"/>
  <c r="AI241" i="11" s="1"/>
  <c r="AI242" i="11" s="1"/>
  <c r="AI243" i="11" s="1"/>
  <c r="AI244" i="11" s="1"/>
  <c r="AX240" i="11"/>
  <c r="C183" i="10"/>
  <c r="Q182" i="10"/>
  <c r="F184" i="10"/>
  <c r="T184" i="10" s="1"/>
  <c r="T183" i="10"/>
  <c r="G183" i="10"/>
  <c r="U182" i="10"/>
  <c r="G465" i="12"/>
  <c r="F467" i="12"/>
  <c r="F466" i="12"/>
  <c r="AX236" i="11"/>
  <c r="AX237" i="11" s="1"/>
  <c r="AX238" i="11" s="1"/>
  <c r="AX239" i="11" s="1"/>
  <c r="AY235" i="11"/>
  <c r="AA218" i="11"/>
  <c r="W219" i="11"/>
  <c r="AA219" i="11" s="1"/>
  <c r="E450" i="12"/>
  <c r="E451" i="12"/>
  <c r="AK231" i="11"/>
  <c r="AO230" i="11"/>
  <c r="AG230" i="11"/>
  <c r="AG231" i="11" s="1"/>
  <c r="AG232" i="11" s="1"/>
  <c r="AG233" i="11" s="1"/>
  <c r="AG234" i="11" s="1"/>
  <c r="AK227" i="11"/>
  <c r="AO226" i="11"/>
  <c r="E184" i="10"/>
  <c r="Y183" i="10"/>
  <c r="K183" i="10"/>
  <c r="S183" i="10"/>
  <c r="G236" i="11" l="1"/>
  <c r="K235" i="11"/>
  <c r="C184" i="10"/>
  <c r="Q184" i="10" s="1"/>
  <c r="Q183" i="10"/>
  <c r="K227" i="11"/>
  <c r="G228" i="11"/>
  <c r="G467" i="12"/>
  <c r="G466" i="12"/>
  <c r="J465" i="12" s="1"/>
  <c r="U183" i="10"/>
  <c r="G184" i="10"/>
  <c r="U184" i="10" s="1"/>
  <c r="AK236" i="11"/>
  <c r="AO235" i="11"/>
  <c r="AG235" i="11"/>
  <c r="AG236" i="11" s="1"/>
  <c r="AG237" i="11" s="1"/>
  <c r="AG238" i="11" s="1"/>
  <c r="AG239" i="11" s="1"/>
  <c r="AA231" i="11"/>
  <c r="W232" i="11"/>
  <c r="W228" i="11"/>
  <c r="AA227" i="11"/>
  <c r="AY228" i="11"/>
  <c r="BC227" i="11"/>
  <c r="G443" i="12"/>
  <c r="G444" i="12" s="1"/>
  <c r="G442" i="12"/>
  <c r="F476" i="12"/>
  <c r="C475" i="12" s="1"/>
  <c r="C476" i="12" s="1"/>
  <c r="C477" i="12" s="1"/>
  <c r="C478" i="12" s="1"/>
  <c r="C479" i="12" s="1"/>
  <c r="C480" i="12" s="1"/>
  <c r="C481" i="12" s="1"/>
  <c r="C482" i="12" s="1"/>
  <c r="C483" i="12" s="1"/>
  <c r="C484" i="12" s="1"/>
  <c r="G475" i="12"/>
  <c r="F477" i="12"/>
  <c r="Y193" i="10"/>
  <c r="S193" i="10"/>
  <c r="K193" i="10"/>
  <c r="E194" i="10"/>
  <c r="C193" i="10"/>
  <c r="AY236" i="11"/>
  <c r="AU235" i="11"/>
  <c r="AU236" i="11" s="1"/>
  <c r="AU237" i="11" s="1"/>
  <c r="AU238" i="11" s="1"/>
  <c r="AU239" i="11" s="1"/>
  <c r="BC235" i="11"/>
  <c r="U186" i="10"/>
  <c r="G187" i="10"/>
  <c r="T193" i="10"/>
  <c r="F194" i="10"/>
  <c r="G193" i="10"/>
  <c r="E241" i="11"/>
  <c r="E242" i="11" s="1"/>
  <c r="E243" i="11" s="1"/>
  <c r="E244" i="11" s="1"/>
  <c r="AY224" i="11"/>
  <c r="BC224" i="11" s="1"/>
  <c r="BC223" i="11"/>
  <c r="AO231" i="11"/>
  <c r="AK232" i="11"/>
  <c r="W240" i="11"/>
  <c r="V241" i="11"/>
  <c r="V242" i="11" s="1"/>
  <c r="V243" i="11" s="1"/>
  <c r="V244" i="11" s="1"/>
  <c r="Y187" i="10"/>
  <c r="E188" i="10"/>
  <c r="S187" i="10"/>
  <c r="K187" i="10"/>
  <c r="G459" i="12"/>
  <c r="G458" i="12"/>
  <c r="F197" i="10"/>
  <c r="A201" i="10"/>
  <c r="A198" i="10"/>
  <c r="A199" i="10" s="1"/>
  <c r="A200" i="10" s="1"/>
  <c r="E197" i="10"/>
  <c r="F241" i="11"/>
  <c r="F242" i="11" s="1"/>
  <c r="F243" i="11" s="1"/>
  <c r="F244" i="11" s="1"/>
  <c r="G240" i="11"/>
  <c r="T187" i="10"/>
  <c r="F188" i="10"/>
  <c r="T188" i="10" s="1"/>
  <c r="BC231" i="11"/>
  <c r="AY232" i="11"/>
  <c r="Y184" i="10"/>
  <c r="S184" i="10"/>
  <c r="K184" i="10"/>
  <c r="S235" i="11"/>
  <c r="S236" i="11" s="1"/>
  <c r="S237" i="11" s="1"/>
  <c r="S238" i="11" s="1"/>
  <c r="S239" i="11" s="1"/>
  <c r="AA235" i="11"/>
  <c r="W236" i="11"/>
  <c r="AO223" i="11"/>
  <c r="AK224" i="11"/>
  <c r="AO224" i="11" s="1"/>
  <c r="F461" i="12"/>
  <c r="F460" i="12"/>
  <c r="K223" i="11"/>
  <c r="G224" i="11"/>
  <c r="K224" i="11" s="1"/>
  <c r="G232" i="11"/>
  <c r="K231" i="11"/>
  <c r="U189" i="10"/>
  <c r="G190" i="10"/>
  <c r="AY240" i="11"/>
  <c r="AX241" i="11"/>
  <c r="AX242" i="11" s="1"/>
  <c r="AX243" i="11" s="1"/>
  <c r="AX244" i="11" s="1"/>
  <c r="F452" i="12"/>
  <c r="F453" i="12"/>
  <c r="F454" i="12" s="1"/>
  <c r="F191" i="10"/>
  <c r="T190" i="10"/>
  <c r="F468" i="12"/>
  <c r="F469" i="12"/>
  <c r="AJ241" i="11"/>
  <c r="AJ242" i="11" s="1"/>
  <c r="AJ243" i="11" s="1"/>
  <c r="AJ244" i="11" s="1"/>
  <c r="AK240" i="11"/>
  <c r="S190" i="10"/>
  <c r="E191" i="10"/>
  <c r="Y190" i="10"/>
  <c r="K190" i="10"/>
  <c r="J456" i="12"/>
  <c r="J459" i="12"/>
  <c r="J460" i="12" s="1"/>
  <c r="J457" i="12"/>
  <c r="J458" i="12" s="1"/>
  <c r="J463" i="12"/>
  <c r="J464" i="12" s="1"/>
  <c r="J461" i="12"/>
  <c r="J462" i="12" s="1"/>
  <c r="E476" i="12"/>
  <c r="E477" i="12"/>
  <c r="E485" i="12"/>
  <c r="A495" i="12"/>
  <c r="F485" i="12"/>
  <c r="E461" i="12"/>
  <c r="E460" i="12"/>
  <c r="AO227" i="11"/>
  <c r="AK228" i="11"/>
  <c r="C190" i="10"/>
  <c r="Q189" i="10"/>
  <c r="E452" i="12"/>
  <c r="E453" i="12"/>
  <c r="E454" i="12" s="1"/>
  <c r="E469" i="12"/>
  <c r="E468" i="12"/>
  <c r="C187" i="10"/>
  <c r="Q186" i="10"/>
  <c r="AX245" i="11"/>
  <c r="AJ245" i="11"/>
  <c r="V245" i="11"/>
  <c r="E245" i="11"/>
  <c r="AW245" i="11"/>
  <c r="AW246" i="11" s="1"/>
  <c r="AW247" i="11" s="1"/>
  <c r="AW248" i="11" s="1"/>
  <c r="AW249" i="11" s="1"/>
  <c r="AI245" i="11"/>
  <c r="AI246" i="11" s="1"/>
  <c r="AI247" i="11" s="1"/>
  <c r="AI248" i="11" s="1"/>
  <c r="AI249" i="11" s="1"/>
  <c r="A250" i="11"/>
  <c r="F245" i="11"/>
  <c r="U245" i="11"/>
  <c r="U246" i="11" s="1"/>
  <c r="U247" i="11" s="1"/>
  <c r="U248" i="11" s="1"/>
  <c r="U249" i="11" s="1"/>
  <c r="G451" i="12"/>
  <c r="G450" i="12"/>
  <c r="W224" i="11"/>
  <c r="AA224" i="11" s="1"/>
  <c r="AA223" i="11"/>
  <c r="K240" i="11" l="1"/>
  <c r="G241" i="11"/>
  <c r="AJ246" i="11"/>
  <c r="AJ247" i="11" s="1"/>
  <c r="AJ248" i="11" s="1"/>
  <c r="AJ249" i="11" s="1"/>
  <c r="AK245" i="11"/>
  <c r="F487" i="12"/>
  <c r="F486" i="12"/>
  <c r="G485" i="12"/>
  <c r="E487" i="12"/>
  <c r="E486" i="12"/>
  <c r="C485" i="12" s="1"/>
  <c r="C486" i="12" s="1"/>
  <c r="C487" i="12" s="1"/>
  <c r="C488" i="12" s="1"/>
  <c r="C489" i="12" s="1"/>
  <c r="C490" i="12" s="1"/>
  <c r="C491" i="12" s="1"/>
  <c r="C492" i="12" s="1"/>
  <c r="C493" i="12" s="1"/>
  <c r="C494" i="12" s="1"/>
  <c r="AO240" i="11"/>
  <c r="AK241" i="11"/>
  <c r="AG240" i="11"/>
  <c r="AG241" i="11" s="1"/>
  <c r="AG242" i="11" s="1"/>
  <c r="AG243" i="11" s="1"/>
  <c r="AG244" i="11" s="1"/>
  <c r="A255" i="11"/>
  <c r="AJ250" i="11"/>
  <c r="E250" i="11"/>
  <c r="AX250" i="11"/>
  <c r="AI250" i="11"/>
  <c r="AI251" i="11" s="1"/>
  <c r="AI252" i="11" s="1"/>
  <c r="AI253" i="11" s="1"/>
  <c r="AI254" i="11" s="1"/>
  <c r="V250" i="11"/>
  <c r="AW250" i="11"/>
  <c r="AW251" i="11" s="1"/>
  <c r="AW252" i="11" s="1"/>
  <c r="AW253" i="11" s="1"/>
  <c r="AW254" i="11" s="1"/>
  <c r="F250" i="11"/>
  <c r="U250" i="11"/>
  <c r="U251" i="11" s="1"/>
  <c r="U252" i="11" s="1"/>
  <c r="U253" i="11" s="1"/>
  <c r="U254" i="11" s="1"/>
  <c r="F470" i="12"/>
  <c r="F471" i="12"/>
  <c r="T194" i="10"/>
  <c r="F195" i="10"/>
  <c r="F478" i="12"/>
  <c r="F479" i="12"/>
  <c r="J467" i="12"/>
  <c r="J468" i="12" s="1"/>
  <c r="J469" i="12"/>
  <c r="J470" i="12" s="1"/>
  <c r="J471" i="12"/>
  <c r="J472" i="12" s="1"/>
  <c r="J466" i="12"/>
  <c r="J473" i="12"/>
  <c r="J474" i="12" s="1"/>
  <c r="AY245" i="11"/>
  <c r="AX246" i="11"/>
  <c r="AX247" i="11" s="1"/>
  <c r="AX248" i="11" s="1"/>
  <c r="AX249" i="11" s="1"/>
  <c r="E463" i="12"/>
  <c r="E464" i="12" s="1"/>
  <c r="E462" i="12"/>
  <c r="BC240" i="11"/>
  <c r="AY241" i="11"/>
  <c r="AU240" i="11"/>
  <c r="AU241" i="11" s="1"/>
  <c r="AU242" i="11" s="1"/>
  <c r="AU243" i="11" s="1"/>
  <c r="AU244" i="11" s="1"/>
  <c r="E470" i="12"/>
  <c r="E471" i="12"/>
  <c r="E479" i="12"/>
  <c r="E478" i="12"/>
  <c r="C191" i="10"/>
  <c r="Q190" i="10"/>
  <c r="S188" i="10"/>
  <c r="Y188" i="10"/>
  <c r="K188" i="10"/>
  <c r="G476" i="12"/>
  <c r="J475" i="12" s="1"/>
  <c r="G477" i="12"/>
  <c r="AO236" i="11"/>
  <c r="AK237" i="11"/>
  <c r="F463" i="12"/>
  <c r="F464" i="12" s="1"/>
  <c r="F462" i="12"/>
  <c r="W241" i="11"/>
  <c r="AA240" i="11"/>
  <c r="S240" i="11"/>
  <c r="S241" i="11" s="1"/>
  <c r="S242" i="11" s="1"/>
  <c r="S243" i="11" s="1"/>
  <c r="S244" i="11" s="1"/>
  <c r="G469" i="12"/>
  <c r="G468" i="12"/>
  <c r="T197" i="10"/>
  <c r="F198" i="10"/>
  <c r="G197" i="10"/>
  <c r="S194" i="10"/>
  <c r="K194" i="10"/>
  <c r="E195" i="10"/>
  <c r="Y194" i="10"/>
  <c r="AA228" i="11"/>
  <c r="W229" i="11"/>
  <c r="AA229" i="11" s="1"/>
  <c r="C245" i="11"/>
  <c r="C246" i="11" s="1"/>
  <c r="C247" i="11" s="1"/>
  <c r="C248" i="11" s="1"/>
  <c r="C249" i="11" s="1"/>
  <c r="E246" i="11"/>
  <c r="E247" i="11" s="1"/>
  <c r="E248" i="11" s="1"/>
  <c r="E249" i="11" s="1"/>
  <c r="AK229" i="11"/>
  <c r="AO229" i="11" s="1"/>
  <c r="AO228" i="11"/>
  <c r="T191" i="10"/>
  <c r="F192" i="10"/>
  <c r="T192" i="10" s="1"/>
  <c r="G188" i="10"/>
  <c r="U188" i="10" s="1"/>
  <c r="U187" i="10"/>
  <c r="V246" i="11"/>
  <c r="V247" i="11" s="1"/>
  <c r="V248" i="11" s="1"/>
  <c r="V249" i="11" s="1"/>
  <c r="W245" i="11"/>
  <c r="W237" i="11"/>
  <c r="AA236" i="11"/>
  <c r="G452" i="12"/>
  <c r="G453" i="12"/>
  <c r="G454" i="12" s="1"/>
  <c r="C240" i="11"/>
  <c r="C241" i="11" s="1"/>
  <c r="C242" i="11" s="1"/>
  <c r="C243" i="11" s="1"/>
  <c r="C244" i="11" s="1"/>
  <c r="AA232" i="11"/>
  <c r="W233" i="11"/>
  <c r="C194" i="10"/>
  <c r="Q193" i="10"/>
  <c r="G245" i="11"/>
  <c r="F246" i="11"/>
  <c r="F247" i="11" s="1"/>
  <c r="F248" i="11" s="1"/>
  <c r="F249" i="11" s="1"/>
  <c r="G233" i="11"/>
  <c r="K232" i="11"/>
  <c r="G461" i="12"/>
  <c r="G460" i="12"/>
  <c r="K197" i="10"/>
  <c r="E198" i="10"/>
  <c r="S197" i="10"/>
  <c r="Y197" i="10"/>
  <c r="C197" i="10"/>
  <c r="AO232" i="11"/>
  <c r="AK233" i="11"/>
  <c r="AY237" i="11"/>
  <c r="BC236" i="11"/>
  <c r="AY229" i="11"/>
  <c r="BC229" i="11" s="1"/>
  <c r="BC228" i="11"/>
  <c r="G229" i="11"/>
  <c r="K229" i="11" s="1"/>
  <c r="K228" i="11"/>
  <c r="C188" i="10"/>
  <c r="Q188" i="10" s="1"/>
  <c r="Q187" i="10"/>
  <c r="A505" i="12"/>
  <c r="F495" i="12"/>
  <c r="E495" i="12"/>
  <c r="Y191" i="10"/>
  <c r="S191" i="10"/>
  <c r="K191" i="10"/>
  <c r="E192" i="10"/>
  <c r="U190" i="10"/>
  <c r="G191" i="10"/>
  <c r="F201" i="10"/>
  <c r="A205" i="10"/>
  <c r="E201" i="10"/>
  <c r="A202" i="10"/>
  <c r="A203" i="10" s="1"/>
  <c r="A204" i="10" s="1"/>
  <c r="AY233" i="11"/>
  <c r="BC232" i="11"/>
  <c r="U193" i="10"/>
  <c r="G194" i="10"/>
  <c r="K236" i="11"/>
  <c r="G237" i="11"/>
  <c r="W250" i="11" l="1"/>
  <c r="V251" i="11"/>
  <c r="V252" i="11" s="1"/>
  <c r="V253" i="11" s="1"/>
  <c r="V254" i="11" s="1"/>
  <c r="F472" i="12"/>
  <c r="F473" i="12"/>
  <c r="F474" i="12" s="1"/>
  <c r="AO241" i="11"/>
  <c r="AK242" i="11"/>
  <c r="BC245" i="11"/>
  <c r="AU245" i="11"/>
  <c r="AU246" i="11" s="1"/>
  <c r="AU247" i="11" s="1"/>
  <c r="AU248" i="11" s="1"/>
  <c r="AU249" i="11" s="1"/>
  <c r="AY246" i="11"/>
  <c r="E481" i="12"/>
  <c r="E480" i="12"/>
  <c r="G195" i="10"/>
  <c r="U194" i="10"/>
  <c r="S195" i="10"/>
  <c r="E196" i="10"/>
  <c r="Y195" i="10"/>
  <c r="K195" i="10"/>
  <c r="AK234" i="11"/>
  <c r="AO234" i="11" s="1"/>
  <c r="AO233" i="11"/>
  <c r="K245" i="11"/>
  <c r="G246" i="11"/>
  <c r="E505" i="12"/>
  <c r="A515" i="12"/>
  <c r="F505" i="12"/>
  <c r="W234" i="11"/>
  <c r="AA234" i="11" s="1"/>
  <c r="AA233" i="11"/>
  <c r="E202" i="10"/>
  <c r="C201" i="10"/>
  <c r="Y201" i="10"/>
  <c r="K201" i="10"/>
  <c r="S201" i="10"/>
  <c r="A209" i="10"/>
  <c r="E205" i="10"/>
  <c r="A206" i="10"/>
  <c r="A207" i="10" s="1"/>
  <c r="A208" i="10" s="1"/>
  <c r="F205" i="10"/>
  <c r="K198" i="10"/>
  <c r="S198" i="10"/>
  <c r="E199" i="10"/>
  <c r="Y198" i="10"/>
  <c r="G201" i="10"/>
  <c r="F202" i="10"/>
  <c r="T201" i="10"/>
  <c r="G470" i="12"/>
  <c r="G471" i="12"/>
  <c r="G250" i="11"/>
  <c r="F251" i="11"/>
  <c r="F252" i="11" s="1"/>
  <c r="F253" i="11" s="1"/>
  <c r="F254" i="11" s="1"/>
  <c r="G238" i="11"/>
  <c r="K237" i="11"/>
  <c r="S245" i="11"/>
  <c r="S246" i="11" s="1"/>
  <c r="S247" i="11" s="1"/>
  <c r="S248" i="11" s="1"/>
  <c r="S249" i="11" s="1"/>
  <c r="AA245" i="11"/>
  <c r="W246" i="11"/>
  <c r="AY238" i="11"/>
  <c r="BC237" i="11"/>
  <c r="AK238" i="11"/>
  <c r="AO237" i="11"/>
  <c r="AX251" i="11"/>
  <c r="AX252" i="11" s="1"/>
  <c r="AX253" i="11" s="1"/>
  <c r="AX254" i="11" s="1"/>
  <c r="AY250" i="11"/>
  <c r="F489" i="12"/>
  <c r="F488" i="12"/>
  <c r="E496" i="12"/>
  <c r="E497" i="12"/>
  <c r="F481" i="12"/>
  <c r="F480" i="12"/>
  <c r="E251" i="11"/>
  <c r="E252" i="11" s="1"/>
  <c r="E253" i="11" s="1"/>
  <c r="E254" i="11" s="1"/>
  <c r="AK246" i="11"/>
  <c r="AO245" i="11"/>
  <c r="AG245" i="11"/>
  <c r="AG246" i="11" s="1"/>
  <c r="AG247" i="11" s="1"/>
  <c r="AG248" i="11" s="1"/>
  <c r="AG249" i="11" s="1"/>
  <c r="U191" i="10"/>
  <c r="G192" i="10"/>
  <c r="U192" i="10" s="1"/>
  <c r="Q191" i="10"/>
  <c r="C192" i="10"/>
  <c r="Q192" i="10" s="1"/>
  <c r="S192" i="10"/>
  <c r="K192" i="10"/>
  <c r="Y192" i="10"/>
  <c r="BC233" i="11"/>
  <c r="AY234" i="11"/>
  <c r="BC234" i="11" s="1"/>
  <c r="F496" i="12"/>
  <c r="C495" i="12" s="1"/>
  <c r="C496" i="12" s="1"/>
  <c r="C497" i="12" s="1"/>
  <c r="C498" i="12" s="1"/>
  <c r="C499" i="12" s="1"/>
  <c r="C500" i="12" s="1"/>
  <c r="C501" i="12" s="1"/>
  <c r="C502" i="12" s="1"/>
  <c r="C503" i="12" s="1"/>
  <c r="C504" i="12" s="1"/>
  <c r="G495" i="12"/>
  <c r="F497" i="12"/>
  <c r="Q197" i="10"/>
  <c r="C198" i="10"/>
  <c r="C195" i="10"/>
  <c r="Q194" i="10"/>
  <c r="G198" i="10"/>
  <c r="U197" i="10"/>
  <c r="G478" i="12"/>
  <c r="G479" i="12"/>
  <c r="AY242" i="11"/>
  <c r="BC241" i="11"/>
  <c r="AJ251" i="11"/>
  <c r="AJ252" i="11" s="1"/>
  <c r="AJ253" i="11" s="1"/>
  <c r="AJ254" i="11" s="1"/>
  <c r="AK250" i="11"/>
  <c r="AA237" i="11"/>
  <c r="W238" i="11"/>
  <c r="E489" i="12"/>
  <c r="E488" i="12"/>
  <c r="G487" i="12"/>
  <c r="G486" i="12"/>
  <c r="J485" i="12" s="1"/>
  <c r="T198" i="10"/>
  <c r="F199" i="10"/>
  <c r="J481" i="12"/>
  <c r="J482" i="12" s="1"/>
  <c r="J483" i="12"/>
  <c r="J484" i="12" s="1"/>
  <c r="J477" i="12"/>
  <c r="J478" i="12" s="1"/>
  <c r="J476" i="12"/>
  <c r="J479" i="12"/>
  <c r="J480" i="12" s="1"/>
  <c r="T195" i="10"/>
  <c r="F196" i="10"/>
  <c r="T196" i="10" s="1"/>
  <c r="F255" i="11"/>
  <c r="AX255" i="11"/>
  <c r="E255" i="11"/>
  <c r="AI255" i="11"/>
  <c r="AI256" i="11" s="1"/>
  <c r="AI257" i="11" s="1"/>
  <c r="AI258" i="11" s="1"/>
  <c r="AI259" i="11" s="1"/>
  <c r="AW255" i="11"/>
  <c r="AW256" i="11" s="1"/>
  <c r="AW257" i="11" s="1"/>
  <c r="AW258" i="11" s="1"/>
  <c r="AW259" i="11" s="1"/>
  <c r="AJ255" i="11"/>
  <c r="V255" i="11"/>
  <c r="U255" i="11"/>
  <c r="U256" i="11" s="1"/>
  <c r="U257" i="11" s="1"/>
  <c r="U258" i="11" s="1"/>
  <c r="U259" i="11" s="1"/>
  <c r="A260" i="11"/>
  <c r="G242" i="11"/>
  <c r="K241" i="11"/>
  <c r="G462" i="12"/>
  <c r="G463" i="12"/>
  <c r="G464" i="12" s="1"/>
  <c r="W242" i="11"/>
  <c r="AA241" i="11"/>
  <c r="K233" i="11"/>
  <c r="G234" i="11"/>
  <c r="K234" i="11" s="1"/>
  <c r="E472" i="12"/>
  <c r="E473" i="12"/>
  <c r="E474" i="12" s="1"/>
  <c r="AU250" i="11" l="1"/>
  <c r="AU251" i="11" s="1"/>
  <c r="AU252" i="11" s="1"/>
  <c r="AU253" i="11" s="1"/>
  <c r="AU254" i="11" s="1"/>
  <c r="BC250" i="11"/>
  <c r="AY251" i="11"/>
  <c r="K250" i="11"/>
  <c r="G251" i="11"/>
  <c r="K246" i="11"/>
  <c r="G247" i="11"/>
  <c r="E490" i="12"/>
  <c r="E491" i="12"/>
  <c r="Q195" i="10"/>
  <c r="C196" i="10"/>
  <c r="Q196" i="10" s="1"/>
  <c r="F507" i="12"/>
  <c r="F506" i="12"/>
  <c r="C505" i="12" s="1"/>
  <c r="C506" i="12" s="1"/>
  <c r="C507" i="12" s="1"/>
  <c r="C508" i="12" s="1"/>
  <c r="C509" i="12" s="1"/>
  <c r="C510" i="12" s="1"/>
  <c r="C511" i="12" s="1"/>
  <c r="C512" i="12" s="1"/>
  <c r="C513" i="12" s="1"/>
  <c r="C514" i="12" s="1"/>
  <c r="G505" i="12"/>
  <c r="U195" i="10"/>
  <c r="G196" i="10"/>
  <c r="U196" i="10" s="1"/>
  <c r="E507" i="12"/>
  <c r="E506" i="12"/>
  <c r="AI260" i="11"/>
  <c r="AI261" i="11" s="1"/>
  <c r="AI262" i="11" s="1"/>
  <c r="AI263" i="11" s="1"/>
  <c r="AI264" i="11" s="1"/>
  <c r="V260" i="11"/>
  <c r="U260" i="11"/>
  <c r="U261" i="11" s="1"/>
  <c r="U262" i="11" s="1"/>
  <c r="U263" i="11" s="1"/>
  <c r="U264" i="11" s="1"/>
  <c r="A265" i="11"/>
  <c r="AJ260" i="11"/>
  <c r="F260" i="11"/>
  <c r="E260" i="11"/>
  <c r="AX260" i="11"/>
  <c r="AW260" i="11"/>
  <c r="AW261" i="11" s="1"/>
  <c r="AW262" i="11" s="1"/>
  <c r="AW263" i="11" s="1"/>
  <c r="AW264" i="11" s="1"/>
  <c r="F498" i="12"/>
  <c r="F499" i="12"/>
  <c r="G496" i="12"/>
  <c r="J495" i="12" s="1"/>
  <c r="G497" i="12"/>
  <c r="G473" i="12"/>
  <c r="G474" i="12" s="1"/>
  <c r="G472" i="12"/>
  <c r="BC242" i="11"/>
  <c r="AY243" i="11"/>
  <c r="T199" i="10"/>
  <c r="F200" i="10"/>
  <c r="T200" i="10" s="1"/>
  <c r="G480" i="12"/>
  <c r="G481" i="12"/>
  <c r="AA238" i="11"/>
  <c r="W239" i="11"/>
  <c r="AA239" i="11" s="1"/>
  <c r="Q198" i="10"/>
  <c r="C199" i="10"/>
  <c r="G239" i="11"/>
  <c r="K239" i="11" s="1"/>
  <c r="K238" i="11"/>
  <c r="G205" i="10"/>
  <c r="F206" i="10"/>
  <c r="T205" i="10"/>
  <c r="F515" i="12"/>
  <c r="A525" i="12"/>
  <c r="E515" i="12"/>
  <c r="A213" i="10"/>
  <c r="E209" i="10"/>
  <c r="A210" i="10"/>
  <c r="A211" i="10" s="1"/>
  <c r="A212" i="10" s="1"/>
  <c r="F209" i="10"/>
  <c r="Q201" i="10"/>
  <c r="C202" i="10"/>
  <c r="K242" i="11"/>
  <c r="G243" i="11"/>
  <c r="F491" i="12"/>
  <c r="F490" i="12"/>
  <c r="E482" i="12"/>
  <c r="E483" i="12"/>
  <c r="E484" i="12" s="1"/>
  <c r="AO250" i="11"/>
  <c r="AG250" i="11"/>
  <c r="AG251" i="11" s="1"/>
  <c r="AG252" i="11" s="1"/>
  <c r="AG253" i="11" s="1"/>
  <c r="AG254" i="11" s="1"/>
  <c r="AK251" i="11"/>
  <c r="E206" i="10"/>
  <c r="C205" i="10"/>
  <c r="K205" i="10"/>
  <c r="S205" i="10"/>
  <c r="Y205" i="10"/>
  <c r="BC246" i="11"/>
  <c r="AY247" i="11"/>
  <c r="AK247" i="11"/>
  <c r="AO246" i="11"/>
  <c r="AJ256" i="11"/>
  <c r="AJ257" i="11" s="1"/>
  <c r="AJ258" i="11" s="1"/>
  <c r="AJ259" i="11" s="1"/>
  <c r="AK255" i="11"/>
  <c r="AK243" i="11"/>
  <c r="AO242" i="11"/>
  <c r="J491" i="12"/>
  <c r="J492" i="12" s="1"/>
  <c r="J493" i="12"/>
  <c r="J494" i="12" s="1"/>
  <c r="J487" i="12"/>
  <c r="J488" i="12" s="1"/>
  <c r="J486" i="12"/>
  <c r="J489" i="12"/>
  <c r="J490" i="12" s="1"/>
  <c r="F482" i="12"/>
  <c r="F483" i="12"/>
  <c r="F484" i="12" s="1"/>
  <c r="AA246" i="11"/>
  <c r="W247" i="11"/>
  <c r="S202" i="10"/>
  <c r="K202" i="10"/>
  <c r="E203" i="10"/>
  <c r="Y202" i="10"/>
  <c r="K196" i="10"/>
  <c r="S196" i="10"/>
  <c r="Y196" i="10"/>
  <c r="V256" i="11"/>
  <c r="V257" i="11" s="1"/>
  <c r="V258" i="11" s="1"/>
  <c r="V259" i="11" s="1"/>
  <c r="W255" i="11"/>
  <c r="BC238" i="11"/>
  <c r="AY239" i="11"/>
  <c r="BC239" i="11" s="1"/>
  <c r="G202" i="10"/>
  <c r="U201" i="10"/>
  <c r="E256" i="11"/>
  <c r="E257" i="11" s="1"/>
  <c r="E258" i="11" s="1"/>
  <c r="E259" i="11" s="1"/>
  <c r="C255" i="11"/>
  <c r="C256" i="11" s="1"/>
  <c r="C257" i="11" s="1"/>
  <c r="C258" i="11" s="1"/>
  <c r="C259" i="11" s="1"/>
  <c r="W243" i="11"/>
  <c r="AA242" i="11"/>
  <c r="AX256" i="11"/>
  <c r="AX257" i="11" s="1"/>
  <c r="AX258" i="11" s="1"/>
  <c r="AX259" i="11" s="1"/>
  <c r="AY255" i="11"/>
  <c r="G489" i="12"/>
  <c r="G488" i="12"/>
  <c r="G199" i="10"/>
  <c r="U198" i="10"/>
  <c r="E498" i="12"/>
  <c r="E499" i="12"/>
  <c r="S199" i="10"/>
  <c r="K199" i="10"/>
  <c r="E200" i="10"/>
  <c r="Y199" i="10"/>
  <c r="C250" i="11"/>
  <c r="C251" i="11" s="1"/>
  <c r="C252" i="11" s="1"/>
  <c r="C253" i="11" s="1"/>
  <c r="C254" i="11" s="1"/>
  <c r="AK239" i="11"/>
  <c r="AO239" i="11" s="1"/>
  <c r="AO238" i="11"/>
  <c r="F203" i="10"/>
  <c r="T202" i="10"/>
  <c r="G255" i="11"/>
  <c r="F256" i="11"/>
  <c r="F257" i="11" s="1"/>
  <c r="F258" i="11" s="1"/>
  <c r="F259" i="11" s="1"/>
  <c r="S250" i="11"/>
  <c r="S251" i="11" s="1"/>
  <c r="S252" i="11" s="1"/>
  <c r="S253" i="11" s="1"/>
  <c r="S254" i="11" s="1"/>
  <c r="W251" i="11"/>
  <c r="AA250" i="11"/>
  <c r="T206" i="10" l="1"/>
  <c r="F207" i="10"/>
  <c r="BC243" i="11"/>
  <c r="AY244" i="11"/>
  <c r="BC244" i="11" s="1"/>
  <c r="AJ261" i="11"/>
  <c r="AJ262" i="11" s="1"/>
  <c r="AJ263" i="11" s="1"/>
  <c r="AJ264" i="11" s="1"/>
  <c r="AK260" i="11"/>
  <c r="F509" i="12"/>
  <c r="F508" i="12"/>
  <c r="AU255" i="11"/>
  <c r="AU256" i="11" s="1"/>
  <c r="AU257" i="11" s="1"/>
  <c r="AU258" i="11" s="1"/>
  <c r="AU259" i="11" s="1"/>
  <c r="AY256" i="11"/>
  <c r="BC255" i="11"/>
  <c r="G244" i="11"/>
  <c r="K244" i="11" s="1"/>
  <c r="K243" i="11"/>
  <c r="U205" i="10"/>
  <c r="G206" i="10"/>
  <c r="U265" i="11"/>
  <c r="U266" i="11" s="1"/>
  <c r="U267" i="11" s="1"/>
  <c r="U268" i="11" s="1"/>
  <c r="U269" i="11" s="1"/>
  <c r="AX265" i="11"/>
  <c r="AW265" i="11"/>
  <c r="AW266" i="11" s="1"/>
  <c r="AW267" i="11" s="1"/>
  <c r="AW268" i="11" s="1"/>
  <c r="AW269" i="11" s="1"/>
  <c r="F265" i="11"/>
  <c r="E265" i="11"/>
  <c r="AJ265" i="11"/>
  <c r="A270" i="11"/>
  <c r="AI265" i="11"/>
  <c r="AI266" i="11" s="1"/>
  <c r="AI267" i="11" s="1"/>
  <c r="AI268" i="11" s="1"/>
  <c r="AI269" i="11" s="1"/>
  <c r="V265" i="11"/>
  <c r="C206" i="10"/>
  <c r="Q205" i="10"/>
  <c r="W260" i="11"/>
  <c r="V261" i="11"/>
  <c r="V262" i="11" s="1"/>
  <c r="V263" i="11" s="1"/>
  <c r="V264" i="11" s="1"/>
  <c r="E493" i="12"/>
  <c r="E494" i="12" s="1"/>
  <c r="E492" i="12"/>
  <c r="J501" i="12"/>
  <c r="J502" i="12" s="1"/>
  <c r="J503" i="12"/>
  <c r="J504" i="12" s="1"/>
  <c r="J497" i="12"/>
  <c r="J498" i="12" s="1"/>
  <c r="J496" i="12"/>
  <c r="J499" i="12"/>
  <c r="J500" i="12" s="1"/>
  <c r="G203" i="10"/>
  <c r="U202" i="10"/>
  <c r="W248" i="11"/>
  <c r="AA247" i="11"/>
  <c r="A214" i="10"/>
  <c r="A215" i="10" s="1"/>
  <c r="A216" i="10" s="1"/>
  <c r="E213" i="10"/>
  <c r="A217" i="10"/>
  <c r="F213" i="10"/>
  <c r="G252" i="11"/>
  <c r="K251" i="11"/>
  <c r="W244" i="11"/>
  <c r="AA244" i="11" s="1"/>
  <c r="AA243" i="11"/>
  <c r="K203" i="10"/>
  <c r="E204" i="10"/>
  <c r="S203" i="10"/>
  <c r="Y203" i="10"/>
  <c r="E207" i="10"/>
  <c r="Y206" i="10"/>
  <c r="S206" i="10"/>
  <c r="K206" i="10"/>
  <c r="E516" i="12"/>
  <c r="C515" i="12"/>
  <c r="C516" i="12" s="1"/>
  <c r="C517" i="12" s="1"/>
  <c r="C518" i="12" s="1"/>
  <c r="C519" i="12" s="1"/>
  <c r="C520" i="12" s="1"/>
  <c r="C521" i="12" s="1"/>
  <c r="C522" i="12" s="1"/>
  <c r="C523" i="12" s="1"/>
  <c r="C524" i="12" s="1"/>
  <c r="E517" i="12"/>
  <c r="G483" i="12"/>
  <c r="G484" i="12" s="1"/>
  <c r="G482" i="12"/>
  <c r="F210" i="10"/>
  <c r="G209" i="10"/>
  <c r="T209" i="10"/>
  <c r="Q199" i="10"/>
  <c r="C200" i="10"/>
  <c r="Q200" i="10" s="1"/>
  <c r="G499" i="12"/>
  <c r="G498" i="12"/>
  <c r="K209" i="10"/>
  <c r="E210" i="10"/>
  <c r="Y209" i="10"/>
  <c r="S209" i="10"/>
  <c r="C209" i="10"/>
  <c r="F500" i="12"/>
  <c r="F501" i="12"/>
  <c r="E509" i="12"/>
  <c r="E508" i="12"/>
  <c r="K255" i="11"/>
  <c r="G256" i="11"/>
  <c r="AO247" i="11"/>
  <c r="AK248" i="11"/>
  <c r="A535" i="12"/>
  <c r="E525" i="12"/>
  <c r="F525" i="12"/>
  <c r="AX261" i="11"/>
  <c r="AX262" i="11" s="1"/>
  <c r="AX263" i="11" s="1"/>
  <c r="AX264" i="11" s="1"/>
  <c r="AY260" i="11"/>
  <c r="AY252" i="11"/>
  <c r="BC251" i="11"/>
  <c r="AA251" i="11"/>
  <c r="W252" i="11"/>
  <c r="AO243" i="11"/>
  <c r="AK244" i="11"/>
  <c r="AO244" i="11" s="1"/>
  <c r="G200" i="10"/>
  <c r="U200" i="10" s="1"/>
  <c r="U199" i="10"/>
  <c r="F204" i="10"/>
  <c r="T204" i="10" s="1"/>
  <c r="T203" i="10"/>
  <c r="W256" i="11"/>
  <c r="AA255" i="11"/>
  <c r="S255" i="11"/>
  <c r="S256" i="11" s="1"/>
  <c r="S257" i="11" s="1"/>
  <c r="S258" i="11" s="1"/>
  <c r="S259" i="11" s="1"/>
  <c r="AY248" i="11"/>
  <c r="BC247" i="11"/>
  <c r="G515" i="12"/>
  <c r="F516" i="12"/>
  <c r="F517" i="12"/>
  <c r="C260" i="11"/>
  <c r="C261" i="11" s="1"/>
  <c r="C262" i="11" s="1"/>
  <c r="C263" i="11" s="1"/>
  <c r="C264" i="11" s="1"/>
  <c r="E261" i="11"/>
  <c r="E262" i="11" s="1"/>
  <c r="E263" i="11" s="1"/>
  <c r="E264" i="11" s="1"/>
  <c r="G507" i="12"/>
  <c r="G506" i="12"/>
  <c r="J505" i="12" s="1"/>
  <c r="Q202" i="10"/>
  <c r="C203" i="10"/>
  <c r="Y200" i="10"/>
  <c r="K200" i="10"/>
  <c r="S200" i="10"/>
  <c r="AK252" i="11"/>
  <c r="AO251" i="11"/>
  <c r="K247" i="11"/>
  <c r="G248" i="11"/>
  <c r="E500" i="12"/>
  <c r="E501" i="12"/>
  <c r="AG255" i="11"/>
  <c r="AG256" i="11" s="1"/>
  <c r="AG257" i="11" s="1"/>
  <c r="AG258" i="11" s="1"/>
  <c r="AG259" i="11" s="1"/>
  <c r="AO255" i="11"/>
  <c r="AK256" i="11"/>
  <c r="G491" i="12"/>
  <c r="G490" i="12"/>
  <c r="F492" i="12"/>
  <c r="F493" i="12"/>
  <c r="F494" i="12" s="1"/>
  <c r="F261" i="11"/>
  <c r="F262" i="11" s="1"/>
  <c r="F263" i="11" s="1"/>
  <c r="F264" i="11" s="1"/>
  <c r="G260" i="11"/>
  <c r="E527" i="12" l="1"/>
  <c r="E526" i="12"/>
  <c r="AA256" i="11"/>
  <c r="W257" i="11"/>
  <c r="C210" i="10"/>
  <c r="Q209" i="10"/>
  <c r="U203" i="10"/>
  <c r="G204" i="10"/>
  <c r="U204" i="10" s="1"/>
  <c r="V266" i="11"/>
  <c r="V267" i="11" s="1"/>
  <c r="V268" i="11" s="1"/>
  <c r="V269" i="11" s="1"/>
  <c r="W265" i="11"/>
  <c r="AY257" i="11"/>
  <c r="BC256" i="11"/>
  <c r="A545" i="12"/>
  <c r="F535" i="12"/>
  <c r="E535" i="12"/>
  <c r="E211" i="10"/>
  <c r="Y210" i="10"/>
  <c r="S210" i="10"/>
  <c r="K210" i="10"/>
  <c r="J506" i="12"/>
  <c r="J513" i="12"/>
  <c r="J514" i="12" s="1"/>
  <c r="J507" i="12"/>
  <c r="J508" i="12" s="1"/>
  <c r="J509" i="12"/>
  <c r="J510" i="12" s="1"/>
  <c r="J511" i="12"/>
  <c r="J512" i="12" s="1"/>
  <c r="F526" i="12"/>
  <c r="C525" i="12" s="1"/>
  <c r="C526" i="12" s="1"/>
  <c r="C527" i="12" s="1"/>
  <c r="C528" i="12" s="1"/>
  <c r="C529" i="12" s="1"/>
  <c r="C530" i="12" s="1"/>
  <c r="C531" i="12" s="1"/>
  <c r="C532" i="12" s="1"/>
  <c r="C533" i="12" s="1"/>
  <c r="C534" i="12" s="1"/>
  <c r="F527" i="12"/>
  <c r="G525" i="12"/>
  <c r="AG260" i="11"/>
  <c r="AG261" i="11" s="1"/>
  <c r="AG262" i="11" s="1"/>
  <c r="AG263" i="11" s="1"/>
  <c r="AG264" i="11" s="1"/>
  <c r="AK261" i="11"/>
  <c r="AO260" i="11"/>
  <c r="AO252" i="11"/>
  <c r="AK253" i="11"/>
  <c r="G517" i="12"/>
  <c r="G516" i="12"/>
  <c r="J515" i="12" s="1"/>
  <c r="W253" i="11"/>
  <c r="AA252" i="11"/>
  <c r="Y213" i="10"/>
  <c r="S213" i="10"/>
  <c r="K213" i="10"/>
  <c r="C213" i="10"/>
  <c r="E214" i="10"/>
  <c r="AY265" i="11"/>
  <c r="AX266" i="11"/>
  <c r="AX267" i="11" s="1"/>
  <c r="AX268" i="11" s="1"/>
  <c r="AX269" i="11" s="1"/>
  <c r="G509" i="12"/>
  <c r="G508" i="12"/>
  <c r="E519" i="12"/>
  <c r="E518" i="12"/>
  <c r="V270" i="11"/>
  <c r="AW270" i="11"/>
  <c r="AW271" i="11" s="1"/>
  <c r="AW272" i="11" s="1"/>
  <c r="AW273" i="11" s="1"/>
  <c r="AW274" i="11" s="1"/>
  <c r="AI270" i="11"/>
  <c r="AI271" i="11" s="1"/>
  <c r="AI272" i="11" s="1"/>
  <c r="AI273" i="11" s="1"/>
  <c r="AI274" i="11" s="1"/>
  <c r="AJ270" i="11"/>
  <c r="F270" i="11"/>
  <c r="E270" i="11"/>
  <c r="U270" i="11"/>
  <c r="U271" i="11" s="1"/>
  <c r="U272" i="11" s="1"/>
  <c r="U273" i="11" s="1"/>
  <c r="U274" i="11" s="1"/>
  <c r="AX270" i="11"/>
  <c r="A275" i="11"/>
  <c r="G249" i="11"/>
  <c r="K249" i="11" s="1"/>
  <c r="K248" i="11"/>
  <c r="AK249" i="11"/>
  <c r="AO249" i="11" s="1"/>
  <c r="AO248" i="11"/>
  <c r="T213" i="10"/>
  <c r="F214" i="10"/>
  <c r="G213" i="10"/>
  <c r="F511" i="12"/>
  <c r="F510" i="12"/>
  <c r="E208" i="10"/>
  <c r="Y207" i="10"/>
  <c r="K207" i="10"/>
  <c r="S207" i="10"/>
  <c r="AJ266" i="11"/>
  <c r="AJ267" i="11" s="1"/>
  <c r="AJ268" i="11" s="1"/>
  <c r="AJ269" i="11" s="1"/>
  <c r="AK265" i="11"/>
  <c r="E266" i="11"/>
  <c r="E267" i="11" s="1"/>
  <c r="E268" i="11" s="1"/>
  <c r="E269" i="11" s="1"/>
  <c r="AA260" i="11"/>
  <c r="S260" i="11"/>
  <c r="S261" i="11" s="1"/>
  <c r="S262" i="11" s="1"/>
  <c r="S263" i="11" s="1"/>
  <c r="S264" i="11" s="1"/>
  <c r="W261" i="11"/>
  <c r="G207" i="10"/>
  <c r="U206" i="10"/>
  <c r="K252" i="11"/>
  <c r="G253" i="11"/>
  <c r="G261" i="11"/>
  <c r="K260" i="11"/>
  <c r="F518" i="12"/>
  <c r="F519" i="12"/>
  <c r="G500" i="12"/>
  <c r="G501" i="12"/>
  <c r="AY249" i="11"/>
  <c r="BC249" i="11" s="1"/>
  <c r="BC248" i="11"/>
  <c r="G493" i="12"/>
  <c r="G494" i="12" s="1"/>
  <c r="G492" i="12"/>
  <c r="BC252" i="11"/>
  <c r="AY253" i="11"/>
  <c r="F502" i="12"/>
  <c r="F503" i="12"/>
  <c r="F504" i="12" s="1"/>
  <c r="U209" i="10"/>
  <c r="G210" i="10"/>
  <c r="AA248" i="11"/>
  <c r="W249" i="11"/>
  <c r="AA249" i="11" s="1"/>
  <c r="F208" i="10"/>
  <c r="T208" i="10" s="1"/>
  <c r="T207" i="10"/>
  <c r="E502" i="12"/>
  <c r="E503" i="12"/>
  <c r="E504" i="12" s="1"/>
  <c r="G265" i="11"/>
  <c r="F266" i="11"/>
  <c r="F267" i="11" s="1"/>
  <c r="F268" i="11" s="1"/>
  <c r="F269" i="11" s="1"/>
  <c r="G257" i="11"/>
  <c r="K256" i="11"/>
  <c r="A218" i="10"/>
  <c r="A219" i="10" s="1"/>
  <c r="A220" i="10" s="1"/>
  <c r="F217" i="10"/>
  <c r="E217" i="10"/>
  <c r="A221" i="10"/>
  <c r="E511" i="12"/>
  <c r="E510" i="12"/>
  <c r="AK257" i="11"/>
  <c r="AO256" i="11"/>
  <c r="C204" i="10"/>
  <c r="Q204" i="10" s="1"/>
  <c r="Q203" i="10"/>
  <c r="AY261" i="11"/>
  <c r="AU260" i="11"/>
  <c r="AU261" i="11" s="1"/>
  <c r="AU262" i="11" s="1"/>
  <c r="AU263" i="11" s="1"/>
  <c r="AU264" i="11" s="1"/>
  <c r="BC260" i="11"/>
  <c r="T210" i="10"/>
  <c r="F211" i="10"/>
  <c r="Y204" i="10"/>
  <c r="S204" i="10"/>
  <c r="K204" i="10"/>
  <c r="C207" i="10"/>
  <c r="Q206" i="10"/>
  <c r="AO253" i="11" l="1"/>
  <c r="AK254" i="11"/>
  <c r="AO254" i="11" s="1"/>
  <c r="Y208" i="10"/>
  <c r="S208" i="10"/>
  <c r="K208" i="10"/>
  <c r="E271" i="11"/>
  <c r="E272" i="11" s="1"/>
  <c r="E273" i="11" s="1"/>
  <c r="E274" i="11" s="1"/>
  <c r="C270" i="11"/>
  <c r="C271" i="11" s="1"/>
  <c r="C272" i="11" s="1"/>
  <c r="C273" i="11" s="1"/>
  <c r="C274" i="11" s="1"/>
  <c r="C211" i="10"/>
  <c r="Q210" i="10"/>
  <c r="T217" i="10"/>
  <c r="G217" i="10"/>
  <c r="F218" i="10"/>
  <c r="F521" i="12"/>
  <c r="F520" i="12"/>
  <c r="AO265" i="11"/>
  <c r="AK266" i="11"/>
  <c r="AG265" i="11"/>
  <c r="AG266" i="11" s="1"/>
  <c r="AG267" i="11" s="1"/>
  <c r="AG268" i="11" s="1"/>
  <c r="AG269" i="11" s="1"/>
  <c r="AA253" i="11"/>
  <c r="W254" i="11"/>
  <c r="AA254" i="11" s="1"/>
  <c r="AY258" i="11"/>
  <c r="BC257" i="11"/>
  <c r="G510" i="12"/>
  <c r="G511" i="12"/>
  <c r="E520" i="12"/>
  <c r="E521" i="12"/>
  <c r="J517" i="12"/>
  <c r="J518" i="12" s="1"/>
  <c r="J519" i="12"/>
  <c r="J520" i="12" s="1"/>
  <c r="J521" i="12"/>
  <c r="J522" i="12" s="1"/>
  <c r="J523" i="12"/>
  <c r="J524" i="12" s="1"/>
  <c r="J516" i="12"/>
  <c r="AA265" i="11"/>
  <c r="W266" i="11"/>
  <c r="S265" i="11"/>
  <c r="S266" i="11" s="1"/>
  <c r="S267" i="11" s="1"/>
  <c r="S268" i="11" s="1"/>
  <c r="S269" i="11" s="1"/>
  <c r="W262" i="11"/>
  <c r="AA261" i="11"/>
  <c r="F513" i="12"/>
  <c r="F514" i="12" s="1"/>
  <c r="F512" i="12"/>
  <c r="F271" i="11"/>
  <c r="F272" i="11" s="1"/>
  <c r="F273" i="11" s="1"/>
  <c r="F274" i="11" s="1"/>
  <c r="G270" i="11"/>
  <c r="C214" i="10"/>
  <c r="Q213" i="10"/>
  <c r="Y211" i="10"/>
  <c r="E212" i="10"/>
  <c r="S211" i="10"/>
  <c r="K211" i="10"/>
  <c r="AA257" i="11"/>
  <c r="W258" i="11"/>
  <c r="G262" i="11"/>
  <c r="K261" i="11"/>
  <c r="G518" i="12"/>
  <c r="G519" i="12"/>
  <c r="G254" i="11"/>
  <c r="K254" i="11" s="1"/>
  <c r="K253" i="11"/>
  <c r="AY270" i="11"/>
  <c r="AX271" i="11"/>
  <c r="AX272" i="11" s="1"/>
  <c r="AX273" i="11" s="1"/>
  <c r="AX274" i="11" s="1"/>
  <c r="AK258" i="11"/>
  <c r="AO257" i="11"/>
  <c r="U207" i="10"/>
  <c r="G208" i="10"/>
  <c r="U208" i="10" s="1"/>
  <c r="U213" i="10"/>
  <c r="G214" i="10"/>
  <c r="AJ271" i="11"/>
  <c r="AJ272" i="11" s="1"/>
  <c r="AJ273" i="11" s="1"/>
  <c r="AJ274" i="11" s="1"/>
  <c r="AK270" i="11"/>
  <c r="G526" i="12"/>
  <c r="J525" i="12" s="1"/>
  <c r="G527" i="12"/>
  <c r="E536" i="12"/>
  <c r="C535" i="12"/>
  <c r="C536" i="12" s="1"/>
  <c r="C537" i="12" s="1"/>
  <c r="C538" i="12" s="1"/>
  <c r="C539" i="12" s="1"/>
  <c r="C540" i="12" s="1"/>
  <c r="C541" i="12" s="1"/>
  <c r="C542" i="12" s="1"/>
  <c r="C543" i="12" s="1"/>
  <c r="C544" i="12" s="1"/>
  <c r="E537" i="12"/>
  <c r="K257" i="11"/>
  <c r="G258" i="11"/>
  <c r="AK262" i="11"/>
  <c r="AO261" i="11"/>
  <c r="E513" i="12"/>
  <c r="E514" i="12" s="1"/>
  <c r="E512" i="12"/>
  <c r="F221" i="10"/>
  <c r="A225" i="10"/>
  <c r="A222" i="10"/>
  <c r="A223" i="10" s="1"/>
  <c r="A224" i="10" s="1"/>
  <c r="E221" i="10"/>
  <c r="G502" i="12"/>
  <c r="G503" i="12"/>
  <c r="G504" i="12" s="1"/>
  <c r="F215" i="10"/>
  <c r="T214" i="10"/>
  <c r="F528" i="12"/>
  <c r="F529" i="12"/>
  <c r="F537" i="12"/>
  <c r="F536" i="12"/>
  <c r="G535" i="12"/>
  <c r="K265" i="11"/>
  <c r="G266" i="11"/>
  <c r="T211" i="10"/>
  <c r="F212" i="10"/>
  <c r="T212" i="10" s="1"/>
  <c r="C265" i="11"/>
  <c r="C266" i="11" s="1"/>
  <c r="C267" i="11" s="1"/>
  <c r="C268" i="11" s="1"/>
  <c r="C269" i="11" s="1"/>
  <c r="F545" i="12"/>
  <c r="A555" i="12"/>
  <c r="E545" i="12"/>
  <c r="E528" i="12"/>
  <c r="E529" i="12"/>
  <c r="BC261" i="11"/>
  <c r="AY262" i="11"/>
  <c r="BC253" i="11"/>
  <c r="AY254" i="11"/>
  <c r="BC254" i="11" s="1"/>
  <c r="AX275" i="11"/>
  <c r="U275" i="11"/>
  <c r="U276" i="11" s="1"/>
  <c r="U277" i="11" s="1"/>
  <c r="U278" i="11" s="1"/>
  <c r="U279" i="11" s="1"/>
  <c r="A280" i="11"/>
  <c r="AW275" i="11"/>
  <c r="AW276" i="11" s="1"/>
  <c r="AW277" i="11" s="1"/>
  <c r="AW278" i="11" s="1"/>
  <c r="AW279" i="11" s="1"/>
  <c r="F275" i="11"/>
  <c r="E275" i="11"/>
  <c r="V275" i="11"/>
  <c r="AJ275" i="11"/>
  <c r="AI275" i="11"/>
  <c r="AI276" i="11" s="1"/>
  <c r="AI277" i="11" s="1"/>
  <c r="AI278" i="11" s="1"/>
  <c r="AI279" i="11" s="1"/>
  <c r="AY266" i="11"/>
  <c r="AU265" i="11"/>
  <c r="AU266" i="11" s="1"/>
  <c r="AU267" i="11" s="1"/>
  <c r="AU268" i="11" s="1"/>
  <c r="AU269" i="11" s="1"/>
  <c r="BC265" i="11"/>
  <c r="C208" i="10"/>
  <c r="Q208" i="10" s="1"/>
  <c r="Q207" i="10"/>
  <c r="S214" i="10"/>
  <c r="E215" i="10"/>
  <c r="Y214" i="10"/>
  <c r="K214" i="10"/>
  <c r="Y217" i="10"/>
  <c r="S217" i="10"/>
  <c r="K217" i="10"/>
  <c r="E218" i="10"/>
  <c r="C217" i="10"/>
  <c r="U210" i="10"/>
  <c r="G211" i="10"/>
  <c r="W270" i="11"/>
  <c r="V271" i="11"/>
  <c r="V272" i="11" s="1"/>
  <c r="V273" i="11" s="1"/>
  <c r="V274" i="11" s="1"/>
  <c r="E555" i="12" l="1"/>
  <c r="F555" i="12"/>
  <c r="A565" i="12"/>
  <c r="K258" i="11"/>
  <c r="G259" i="11"/>
  <c r="K259" i="11" s="1"/>
  <c r="W263" i="11"/>
  <c r="AA262" i="11"/>
  <c r="V276" i="11"/>
  <c r="V277" i="11" s="1"/>
  <c r="V278" i="11" s="1"/>
  <c r="V279" i="11" s="1"/>
  <c r="W275" i="11"/>
  <c r="F530" i="12"/>
  <c r="F531" i="12"/>
  <c r="G263" i="11"/>
  <c r="K262" i="11"/>
  <c r="T218" i="10"/>
  <c r="F219" i="10"/>
  <c r="C275" i="11"/>
  <c r="C276" i="11" s="1"/>
  <c r="C277" i="11" s="1"/>
  <c r="C278" i="11" s="1"/>
  <c r="C279" i="11" s="1"/>
  <c r="E276" i="11"/>
  <c r="E277" i="11" s="1"/>
  <c r="E278" i="11" s="1"/>
  <c r="E279" i="11" s="1"/>
  <c r="E547" i="12"/>
  <c r="E546" i="12"/>
  <c r="C545" i="12" s="1"/>
  <c r="C546" i="12" s="1"/>
  <c r="C547" i="12" s="1"/>
  <c r="C548" i="12" s="1"/>
  <c r="C549" i="12" s="1"/>
  <c r="C550" i="12" s="1"/>
  <c r="C551" i="12" s="1"/>
  <c r="C552" i="12" s="1"/>
  <c r="C553" i="12" s="1"/>
  <c r="C554" i="12" s="1"/>
  <c r="AO262" i="11"/>
  <c r="AK263" i="11"/>
  <c r="W259" i="11"/>
  <c r="AA259" i="11" s="1"/>
  <c r="AA258" i="11"/>
  <c r="G513" i="12"/>
  <c r="G514" i="12" s="1"/>
  <c r="G512" i="12"/>
  <c r="U217" i="10"/>
  <c r="G218" i="10"/>
  <c r="AA266" i="11"/>
  <c r="W267" i="11"/>
  <c r="AY259" i="11"/>
  <c r="BC259" i="11" s="1"/>
  <c r="BC258" i="11"/>
  <c r="C212" i="10"/>
  <c r="Q212" i="10" s="1"/>
  <c r="Q211" i="10"/>
  <c r="W271" i="11"/>
  <c r="AA270" i="11"/>
  <c r="S270" i="11"/>
  <c r="S271" i="11" s="1"/>
  <c r="S272" i="11" s="1"/>
  <c r="S273" i="11" s="1"/>
  <c r="S274" i="11" s="1"/>
  <c r="G212" i="10"/>
  <c r="U212" i="10" s="1"/>
  <c r="U211" i="10"/>
  <c r="AY275" i="11"/>
  <c r="AX276" i="11"/>
  <c r="AX277" i="11" s="1"/>
  <c r="AX278" i="11" s="1"/>
  <c r="AX279" i="11" s="1"/>
  <c r="K221" i="10"/>
  <c r="E222" i="10"/>
  <c r="S221" i="10"/>
  <c r="Y221" i="10"/>
  <c r="C221" i="10"/>
  <c r="BC270" i="11"/>
  <c r="AU270" i="11"/>
  <c r="AU271" i="11" s="1"/>
  <c r="AU272" i="11" s="1"/>
  <c r="AU273" i="11" s="1"/>
  <c r="AU274" i="11" s="1"/>
  <c r="AY271" i="11"/>
  <c r="G545" i="12"/>
  <c r="F547" i="12"/>
  <c r="F546" i="12"/>
  <c r="T215" i="10"/>
  <c r="F216" i="10"/>
  <c r="T216" i="10" s="1"/>
  <c r="G267" i="11"/>
  <c r="K266" i="11"/>
  <c r="G528" i="12"/>
  <c r="G529" i="12"/>
  <c r="G275" i="11"/>
  <c r="F276" i="11"/>
  <c r="F277" i="11" s="1"/>
  <c r="F278" i="11" s="1"/>
  <c r="F279" i="11" s="1"/>
  <c r="Y215" i="10"/>
  <c r="E216" i="10"/>
  <c r="S215" i="10"/>
  <c r="K215" i="10"/>
  <c r="AK259" i="11"/>
  <c r="AO259" i="11" s="1"/>
  <c r="AO258" i="11"/>
  <c r="J533" i="12"/>
  <c r="J534" i="12" s="1"/>
  <c r="J526" i="12"/>
  <c r="J527" i="12"/>
  <c r="J528" i="12" s="1"/>
  <c r="J529" i="12"/>
  <c r="J530" i="12" s="1"/>
  <c r="J531" i="12"/>
  <c r="J532" i="12" s="1"/>
  <c r="C215" i="10"/>
  <c r="Q214" i="10"/>
  <c r="AK267" i="11"/>
  <c r="AO266" i="11"/>
  <c r="A285" i="11"/>
  <c r="AJ280" i="11"/>
  <c r="E280" i="11"/>
  <c r="AW280" i="11"/>
  <c r="AW281" i="11" s="1"/>
  <c r="AW282" i="11" s="1"/>
  <c r="AW283" i="11" s="1"/>
  <c r="AW284" i="11" s="1"/>
  <c r="F280" i="11"/>
  <c r="AI280" i="11"/>
  <c r="AI281" i="11" s="1"/>
  <c r="AI282" i="11" s="1"/>
  <c r="AI283" i="11" s="1"/>
  <c r="AI284" i="11" s="1"/>
  <c r="AX280" i="11"/>
  <c r="U280" i="11"/>
  <c r="U281" i="11" s="1"/>
  <c r="U282" i="11" s="1"/>
  <c r="U283" i="11" s="1"/>
  <c r="U284" i="11" s="1"/>
  <c r="V280" i="11"/>
  <c r="C218" i="10"/>
  <c r="Q217" i="10"/>
  <c r="F225" i="10"/>
  <c r="A229" i="10"/>
  <c r="A226" i="10"/>
  <c r="A227" i="10" s="1"/>
  <c r="A228" i="10" s="1"/>
  <c r="E225" i="10"/>
  <c r="S218" i="10"/>
  <c r="K218" i="10"/>
  <c r="E219" i="10"/>
  <c r="Y218" i="10"/>
  <c r="AY267" i="11"/>
  <c r="BC266" i="11"/>
  <c r="AY263" i="11"/>
  <c r="BC262" i="11"/>
  <c r="G537" i="12"/>
  <c r="G536" i="12"/>
  <c r="J535" i="12" s="1"/>
  <c r="T221" i="10"/>
  <c r="F222" i="10"/>
  <c r="G221" i="10"/>
  <c r="AK271" i="11"/>
  <c r="AG270" i="11"/>
  <c r="AG271" i="11" s="1"/>
  <c r="AG272" i="11" s="1"/>
  <c r="AG273" i="11" s="1"/>
  <c r="AG274" i="11" s="1"/>
  <c r="AO270" i="11"/>
  <c r="G521" i="12"/>
  <c r="G520" i="12"/>
  <c r="G271" i="11"/>
  <c r="K270" i="11"/>
  <c r="S212" i="10"/>
  <c r="K212" i="10"/>
  <c r="Y212" i="10"/>
  <c r="E538" i="12"/>
  <c r="E539" i="12"/>
  <c r="AK275" i="11"/>
  <c r="AJ276" i="11"/>
  <c r="AJ277" i="11" s="1"/>
  <c r="AJ278" i="11" s="1"/>
  <c r="AJ279" i="11" s="1"/>
  <c r="E531" i="12"/>
  <c r="E530" i="12"/>
  <c r="F538" i="12"/>
  <c r="F539" i="12"/>
  <c r="U214" i="10"/>
  <c r="G215" i="10"/>
  <c r="E522" i="12"/>
  <c r="E523" i="12"/>
  <c r="E524" i="12" s="1"/>
  <c r="F522" i="12"/>
  <c r="F523" i="12"/>
  <c r="F524" i="12" s="1"/>
  <c r="E533" i="12" l="1"/>
  <c r="E534" i="12" s="1"/>
  <c r="E532" i="12"/>
  <c r="AY280" i="11"/>
  <c r="AX281" i="11"/>
  <c r="AX282" i="11" s="1"/>
  <c r="AX283" i="11" s="1"/>
  <c r="AX284" i="11" s="1"/>
  <c r="AK264" i="11"/>
  <c r="AO264" i="11" s="1"/>
  <c r="AO263" i="11"/>
  <c r="W268" i="11"/>
  <c r="AA267" i="11"/>
  <c r="AA263" i="11"/>
  <c r="W264" i="11"/>
  <c r="AA264" i="11" s="1"/>
  <c r="V281" i="11"/>
  <c r="V282" i="11" s="1"/>
  <c r="V283" i="11" s="1"/>
  <c r="V284" i="11" s="1"/>
  <c r="W280" i="11"/>
  <c r="Q215" i="10"/>
  <c r="C216" i="10"/>
  <c r="Q216" i="10" s="1"/>
  <c r="G264" i="11"/>
  <c r="K264" i="11" s="1"/>
  <c r="K263" i="11"/>
  <c r="S275" i="11"/>
  <c r="S276" i="11" s="1"/>
  <c r="S277" i="11" s="1"/>
  <c r="S278" i="11" s="1"/>
  <c r="S279" i="11" s="1"/>
  <c r="W276" i="11"/>
  <c r="AA275" i="11"/>
  <c r="AK276" i="11"/>
  <c r="AO275" i="11"/>
  <c r="AG275" i="11"/>
  <c r="AG276" i="11" s="1"/>
  <c r="AG277" i="11" s="1"/>
  <c r="AG278" i="11" s="1"/>
  <c r="AG279" i="11" s="1"/>
  <c r="AO271" i="11"/>
  <c r="AK272" i="11"/>
  <c r="E541" i="12"/>
  <c r="E540" i="12"/>
  <c r="G222" i="10"/>
  <c r="U221" i="10"/>
  <c r="K222" i="10"/>
  <c r="E223" i="10"/>
  <c r="Y222" i="10"/>
  <c r="S222" i="10"/>
  <c r="E226" i="10"/>
  <c r="C225" i="10"/>
  <c r="Y225" i="10"/>
  <c r="K225" i="10"/>
  <c r="S225" i="10"/>
  <c r="G522" i="12"/>
  <c r="G523" i="12"/>
  <c r="G524" i="12" s="1"/>
  <c r="AY268" i="11"/>
  <c r="BC267" i="11"/>
  <c r="K275" i="11"/>
  <c r="G276" i="11"/>
  <c r="AA271" i="11"/>
  <c r="W272" i="11"/>
  <c r="F533" i="12"/>
  <c r="F534" i="12" s="1"/>
  <c r="F532" i="12"/>
  <c r="S219" i="10"/>
  <c r="K219" i="10"/>
  <c r="E220" i="10"/>
  <c r="Y219" i="10"/>
  <c r="E548" i="12"/>
  <c r="E549" i="12"/>
  <c r="T222" i="10"/>
  <c r="F223" i="10"/>
  <c r="C280" i="11"/>
  <c r="C281" i="11" s="1"/>
  <c r="C282" i="11" s="1"/>
  <c r="C283" i="11" s="1"/>
  <c r="C284" i="11" s="1"/>
  <c r="E281" i="11"/>
  <c r="E282" i="11" s="1"/>
  <c r="E283" i="11" s="1"/>
  <c r="E284" i="11" s="1"/>
  <c r="AK280" i="11"/>
  <c r="AJ281" i="11"/>
  <c r="AJ282" i="11" s="1"/>
  <c r="AJ283" i="11" s="1"/>
  <c r="AJ284" i="11" s="1"/>
  <c r="Q221" i="10"/>
  <c r="C222" i="10"/>
  <c r="J539" i="12"/>
  <c r="J540" i="12" s="1"/>
  <c r="J541" i="12"/>
  <c r="J542" i="12" s="1"/>
  <c r="J537" i="12"/>
  <c r="J538" i="12" s="1"/>
  <c r="J536" i="12"/>
  <c r="J543" i="12"/>
  <c r="J544" i="12" s="1"/>
  <c r="A233" i="10"/>
  <c r="E229" i="10"/>
  <c r="A230" i="10"/>
  <c r="A231" i="10" s="1"/>
  <c r="A232" i="10" s="1"/>
  <c r="F229" i="10"/>
  <c r="F285" i="11"/>
  <c r="AX285" i="11"/>
  <c r="E285" i="11"/>
  <c r="AW285" i="11"/>
  <c r="AW286" i="11" s="1"/>
  <c r="AW287" i="11" s="1"/>
  <c r="AW288" i="11" s="1"/>
  <c r="AW289" i="11" s="1"/>
  <c r="AJ285" i="11"/>
  <c r="AI285" i="11"/>
  <c r="AI286" i="11" s="1"/>
  <c r="AI287" i="11" s="1"/>
  <c r="AI288" i="11" s="1"/>
  <c r="AI289" i="11" s="1"/>
  <c r="V285" i="11"/>
  <c r="U285" i="11"/>
  <c r="U286" i="11" s="1"/>
  <c r="U287" i="11" s="1"/>
  <c r="U288" i="11" s="1"/>
  <c r="U289" i="11" s="1"/>
  <c r="A290" i="11"/>
  <c r="BC275" i="11"/>
  <c r="AY276" i="11"/>
  <c r="AU275" i="11"/>
  <c r="AU276" i="11" s="1"/>
  <c r="AU277" i="11" s="1"/>
  <c r="AU278" i="11" s="1"/>
  <c r="AU279" i="11" s="1"/>
  <c r="G219" i="10"/>
  <c r="U218" i="10"/>
  <c r="U215" i="10"/>
  <c r="G216" i="10"/>
  <c r="U216" i="10" s="1"/>
  <c r="G538" i="12"/>
  <c r="G539" i="12"/>
  <c r="G225" i="10"/>
  <c r="F226" i="10"/>
  <c r="T225" i="10"/>
  <c r="F548" i="12"/>
  <c r="F549" i="12"/>
  <c r="T219" i="10"/>
  <c r="F220" i="10"/>
  <c r="T220" i="10" s="1"/>
  <c r="E565" i="12"/>
  <c r="F565" i="12"/>
  <c r="A575" i="12"/>
  <c r="F281" i="11"/>
  <c r="F282" i="11" s="1"/>
  <c r="F283" i="11" s="1"/>
  <c r="F284" i="11" s="1"/>
  <c r="G280" i="11"/>
  <c r="AO267" i="11"/>
  <c r="AK268" i="11"/>
  <c r="S216" i="10"/>
  <c r="K216" i="10"/>
  <c r="Y216" i="10"/>
  <c r="G547" i="12"/>
  <c r="G546" i="12"/>
  <c r="J545" i="12" s="1"/>
  <c r="F557" i="12"/>
  <c r="F556" i="12"/>
  <c r="G555" i="12"/>
  <c r="G531" i="12"/>
  <c r="G530" i="12"/>
  <c r="K267" i="11"/>
  <c r="G268" i="11"/>
  <c r="F541" i="12"/>
  <c r="F540" i="12"/>
  <c r="G272" i="11"/>
  <c r="K271" i="11"/>
  <c r="AY264" i="11"/>
  <c r="BC264" i="11" s="1"/>
  <c r="BC263" i="11"/>
  <c r="C219" i="10"/>
  <c r="Q218" i="10"/>
  <c r="BC271" i="11"/>
  <c r="AY272" i="11"/>
  <c r="E557" i="12"/>
  <c r="E556" i="12"/>
  <c r="C555" i="12" s="1"/>
  <c r="C556" i="12" s="1"/>
  <c r="C557" i="12" s="1"/>
  <c r="C558" i="12" s="1"/>
  <c r="C559" i="12" s="1"/>
  <c r="C560" i="12" s="1"/>
  <c r="C561" i="12" s="1"/>
  <c r="C562" i="12" s="1"/>
  <c r="C563" i="12" s="1"/>
  <c r="C564" i="12" s="1"/>
  <c r="AO272" i="11" l="1"/>
  <c r="AK273" i="11"/>
  <c r="AA280" i="11"/>
  <c r="W281" i="11"/>
  <c r="S280" i="11"/>
  <c r="S281" i="11" s="1"/>
  <c r="S282" i="11" s="1"/>
  <c r="S283" i="11" s="1"/>
  <c r="S284" i="11" s="1"/>
  <c r="J547" i="12"/>
  <c r="J548" i="12" s="1"/>
  <c r="J551" i="12"/>
  <c r="J552" i="12" s="1"/>
  <c r="J549" i="12"/>
  <c r="J550" i="12" s="1"/>
  <c r="J546" i="12"/>
  <c r="J553" i="12"/>
  <c r="J554" i="12" s="1"/>
  <c r="U219" i="10"/>
  <c r="G220" i="10"/>
  <c r="U220" i="10" s="1"/>
  <c r="G285" i="11"/>
  <c r="F286" i="11"/>
  <c r="F287" i="11" s="1"/>
  <c r="F288" i="11" s="1"/>
  <c r="F289" i="11" s="1"/>
  <c r="AO280" i="11"/>
  <c r="AG280" i="11"/>
  <c r="AG281" i="11" s="1"/>
  <c r="AG282" i="11" s="1"/>
  <c r="AG283" i="11" s="1"/>
  <c r="AG284" i="11" s="1"/>
  <c r="AK281" i="11"/>
  <c r="E559" i="12"/>
  <c r="E558" i="12"/>
  <c r="F227" i="10"/>
  <c r="T226" i="10"/>
  <c r="S223" i="10"/>
  <c r="K223" i="10"/>
  <c r="E224" i="10"/>
  <c r="Y223" i="10"/>
  <c r="AA276" i="11"/>
  <c r="W277" i="11"/>
  <c r="E566" i="12"/>
  <c r="E567" i="12"/>
  <c r="C565" i="12"/>
  <c r="C566" i="12" s="1"/>
  <c r="C567" i="12" s="1"/>
  <c r="C568" i="12" s="1"/>
  <c r="C569" i="12" s="1"/>
  <c r="C570" i="12" s="1"/>
  <c r="C571" i="12" s="1"/>
  <c r="C572" i="12" s="1"/>
  <c r="C573" i="12" s="1"/>
  <c r="C574" i="12" s="1"/>
  <c r="F559" i="12"/>
  <c r="F558" i="12"/>
  <c r="AY285" i="11"/>
  <c r="AX286" i="11"/>
  <c r="AX287" i="11" s="1"/>
  <c r="AX288" i="11" s="1"/>
  <c r="AX289" i="11" s="1"/>
  <c r="BC276" i="11"/>
  <c r="AY277" i="11"/>
  <c r="AA272" i="11"/>
  <c r="W273" i="11"/>
  <c r="S226" i="10"/>
  <c r="K226" i="10"/>
  <c r="E227" i="10"/>
  <c r="Y226" i="10"/>
  <c r="G226" i="10"/>
  <c r="U225" i="10"/>
  <c r="V286" i="11"/>
  <c r="V287" i="11" s="1"/>
  <c r="V288" i="11" s="1"/>
  <c r="V289" i="11" s="1"/>
  <c r="W285" i="11"/>
  <c r="E550" i="12"/>
  <c r="E551" i="12"/>
  <c r="BC272" i="11"/>
  <c r="AY273" i="11"/>
  <c r="K280" i="11"/>
  <c r="G281" i="11"/>
  <c r="AY269" i="11"/>
  <c r="BC269" i="11" s="1"/>
  <c r="BC268" i="11"/>
  <c r="Q225" i="10"/>
  <c r="C226" i="10"/>
  <c r="F550" i="12"/>
  <c r="F551" i="12"/>
  <c r="E230" i="10"/>
  <c r="C229" i="10"/>
  <c r="K229" i="10"/>
  <c r="Y229" i="10"/>
  <c r="S229" i="10"/>
  <c r="F543" i="12"/>
  <c r="F544" i="12" s="1"/>
  <c r="F542" i="12"/>
  <c r="F290" i="11"/>
  <c r="AI290" i="11"/>
  <c r="AI291" i="11" s="1"/>
  <c r="AI292" i="11" s="1"/>
  <c r="AI293" i="11" s="1"/>
  <c r="AI294" i="11" s="1"/>
  <c r="V290" i="11"/>
  <c r="U290" i="11"/>
  <c r="U291" i="11" s="1"/>
  <c r="U292" i="11" s="1"/>
  <c r="U293" i="11" s="1"/>
  <c r="U294" i="11" s="1"/>
  <c r="A295" i="11"/>
  <c r="AX290" i="11"/>
  <c r="AW290" i="11"/>
  <c r="AW291" i="11" s="1"/>
  <c r="AW292" i="11" s="1"/>
  <c r="AW293" i="11" s="1"/>
  <c r="AW294" i="11" s="1"/>
  <c r="E290" i="11"/>
  <c r="AJ290" i="11"/>
  <c r="T223" i="10"/>
  <c r="F224" i="10"/>
  <c r="T224" i="10" s="1"/>
  <c r="G540" i="12"/>
  <c r="G541" i="12"/>
  <c r="AU280" i="11"/>
  <c r="AU281" i="11" s="1"/>
  <c r="AU282" i="11" s="1"/>
  <c r="AU283" i="11" s="1"/>
  <c r="AU284" i="11" s="1"/>
  <c r="AY281" i="11"/>
  <c r="BC280" i="11"/>
  <c r="G548" i="12"/>
  <c r="G549" i="12"/>
  <c r="G229" i="10"/>
  <c r="F230" i="10"/>
  <c r="T229" i="10"/>
  <c r="G532" i="12"/>
  <c r="G533" i="12"/>
  <c r="G534" i="12" s="1"/>
  <c r="AJ286" i="11"/>
  <c r="AJ287" i="11" s="1"/>
  <c r="AJ288" i="11" s="1"/>
  <c r="AJ289" i="11" s="1"/>
  <c r="AK285" i="11"/>
  <c r="G223" i="10"/>
  <c r="U222" i="10"/>
  <c r="G556" i="12"/>
  <c r="J555" i="12" s="1"/>
  <c r="G557" i="12"/>
  <c r="A585" i="12"/>
  <c r="F575" i="12"/>
  <c r="E575" i="12"/>
  <c r="K220" i="10"/>
  <c r="S220" i="10"/>
  <c r="Y220" i="10"/>
  <c r="G273" i="11"/>
  <c r="K272" i="11"/>
  <c r="AK277" i="11"/>
  <c r="AO276" i="11"/>
  <c r="A237" i="10"/>
  <c r="E233" i="10"/>
  <c r="A234" i="10"/>
  <c r="A235" i="10" s="1"/>
  <c r="A236" i="10" s="1"/>
  <c r="F233" i="10"/>
  <c r="K276" i="11"/>
  <c r="G277" i="11"/>
  <c r="W269" i="11"/>
  <c r="AA269" i="11" s="1"/>
  <c r="AA268" i="11"/>
  <c r="K268" i="11"/>
  <c r="G269" i="11"/>
  <c r="K269" i="11" s="1"/>
  <c r="AO268" i="11"/>
  <c r="AK269" i="11"/>
  <c r="AO269" i="11" s="1"/>
  <c r="Q219" i="10"/>
  <c r="C220" i="10"/>
  <c r="Q220" i="10" s="1"/>
  <c r="F567" i="12"/>
  <c r="F566" i="12"/>
  <c r="G565" i="12"/>
  <c r="E286" i="11"/>
  <c r="E287" i="11" s="1"/>
  <c r="E288" i="11" s="1"/>
  <c r="E289" i="11" s="1"/>
  <c r="C285" i="11"/>
  <c r="C286" i="11" s="1"/>
  <c r="C287" i="11" s="1"/>
  <c r="C288" i="11" s="1"/>
  <c r="C289" i="11" s="1"/>
  <c r="Q222" i="10"/>
  <c r="C223" i="10"/>
  <c r="E543" i="12"/>
  <c r="E544" i="12" s="1"/>
  <c r="E542" i="12"/>
  <c r="J559" i="12" l="1"/>
  <c r="J560" i="12" s="1"/>
  <c r="J561" i="12"/>
  <c r="J562" i="12" s="1"/>
  <c r="J563" i="12"/>
  <c r="J564" i="12" s="1"/>
  <c r="J556" i="12"/>
  <c r="J557" i="12"/>
  <c r="J558" i="12" s="1"/>
  <c r="AU285" i="11"/>
  <c r="AU286" i="11" s="1"/>
  <c r="AU287" i="11" s="1"/>
  <c r="AU288" i="11" s="1"/>
  <c r="AU289" i="11" s="1"/>
  <c r="AY286" i="11"/>
  <c r="BC285" i="11"/>
  <c r="W290" i="11"/>
  <c r="V291" i="11"/>
  <c r="V292" i="11" s="1"/>
  <c r="V293" i="11" s="1"/>
  <c r="V294" i="11" s="1"/>
  <c r="AK278" i="11"/>
  <c r="AO277" i="11"/>
  <c r="G224" i="10"/>
  <c r="U224" i="10" s="1"/>
  <c r="U223" i="10"/>
  <c r="F560" i="12"/>
  <c r="F561" i="12"/>
  <c r="T230" i="10"/>
  <c r="F231" i="10"/>
  <c r="C290" i="11"/>
  <c r="C291" i="11" s="1"/>
  <c r="C292" i="11" s="1"/>
  <c r="C293" i="11" s="1"/>
  <c r="C294" i="11" s="1"/>
  <c r="E291" i="11"/>
  <c r="E292" i="11" s="1"/>
  <c r="E293" i="11" s="1"/>
  <c r="E294" i="11" s="1"/>
  <c r="F577" i="12"/>
  <c r="F576" i="12"/>
  <c r="C575" i="12" s="1"/>
  <c r="C576" i="12" s="1"/>
  <c r="C577" i="12" s="1"/>
  <c r="C578" i="12" s="1"/>
  <c r="C579" i="12" s="1"/>
  <c r="C580" i="12" s="1"/>
  <c r="C581" i="12" s="1"/>
  <c r="C582" i="12" s="1"/>
  <c r="C583" i="12" s="1"/>
  <c r="C584" i="12" s="1"/>
  <c r="G575" i="12"/>
  <c r="C230" i="10"/>
  <c r="Q229" i="10"/>
  <c r="E552" i="12"/>
  <c r="E553" i="12"/>
  <c r="E554" i="12" s="1"/>
  <c r="AY278" i="11"/>
  <c r="BC277" i="11"/>
  <c r="Y224" i="10"/>
  <c r="K224" i="10"/>
  <c r="S224" i="10"/>
  <c r="K233" i="10"/>
  <c r="E234" i="10"/>
  <c r="Y233" i="10"/>
  <c r="S233" i="10"/>
  <c r="C233" i="10"/>
  <c r="AI295" i="11"/>
  <c r="AI296" i="11" s="1"/>
  <c r="AI297" i="11" s="1"/>
  <c r="AI298" i="11" s="1"/>
  <c r="AI299" i="11" s="1"/>
  <c r="U295" i="11"/>
  <c r="U296" i="11" s="1"/>
  <c r="U297" i="11" s="1"/>
  <c r="U298" i="11" s="1"/>
  <c r="U299" i="11" s="1"/>
  <c r="AX295" i="11"/>
  <c r="F295" i="11"/>
  <c r="AW295" i="11"/>
  <c r="AW296" i="11" s="1"/>
  <c r="AW297" i="11" s="1"/>
  <c r="AW298" i="11" s="1"/>
  <c r="AW299" i="11" s="1"/>
  <c r="E295" i="11"/>
  <c r="A300" i="11"/>
  <c r="AJ295" i="11"/>
  <c r="V295" i="11"/>
  <c r="AG285" i="11"/>
  <c r="AG286" i="11" s="1"/>
  <c r="AG287" i="11" s="1"/>
  <c r="AG288" i="11" s="1"/>
  <c r="AG289" i="11" s="1"/>
  <c r="AO285" i="11"/>
  <c r="AK286" i="11"/>
  <c r="G542" i="12"/>
  <c r="G543" i="12"/>
  <c r="G544" i="12" s="1"/>
  <c r="F291" i="11"/>
  <c r="F292" i="11" s="1"/>
  <c r="F293" i="11" s="1"/>
  <c r="F294" i="11" s="1"/>
  <c r="G290" i="11"/>
  <c r="F234" i="10"/>
  <c r="G233" i="10"/>
  <c r="T233" i="10"/>
  <c r="U229" i="10"/>
  <c r="G230" i="10"/>
  <c r="F569" i="12"/>
  <c r="F568" i="12"/>
  <c r="E585" i="12"/>
  <c r="A595" i="12"/>
  <c r="F585" i="12"/>
  <c r="G550" i="12"/>
  <c r="G551" i="12"/>
  <c r="AX291" i="11"/>
  <c r="AX292" i="11" s="1"/>
  <c r="AX293" i="11" s="1"/>
  <c r="AX294" i="11" s="1"/>
  <c r="AY290" i="11"/>
  <c r="E231" i="10"/>
  <c r="Y230" i="10"/>
  <c r="S230" i="10"/>
  <c r="K230" i="10"/>
  <c r="E561" i="12"/>
  <c r="E560" i="12"/>
  <c r="Q223" i="10"/>
  <c r="C224" i="10"/>
  <c r="Q224" i="10" s="1"/>
  <c r="K273" i="11"/>
  <c r="G274" i="11"/>
  <c r="K274" i="11" s="1"/>
  <c r="K227" i="10"/>
  <c r="E228" i="10"/>
  <c r="S227" i="10"/>
  <c r="Y227" i="10"/>
  <c r="E569" i="12"/>
  <c r="E568" i="12"/>
  <c r="AO281" i="11"/>
  <c r="AK282" i="11"/>
  <c r="G559" i="12"/>
  <c r="G558" i="12"/>
  <c r="F552" i="12"/>
  <c r="F553" i="12"/>
  <c r="F554" i="12" s="1"/>
  <c r="W286" i="11"/>
  <c r="S285" i="11"/>
  <c r="S286" i="11" s="1"/>
  <c r="S287" i="11" s="1"/>
  <c r="S288" i="11" s="1"/>
  <c r="S289" i="11" s="1"/>
  <c r="AA285" i="11"/>
  <c r="A238" i="10"/>
  <c r="A239" i="10" s="1"/>
  <c r="A240" i="10" s="1"/>
  <c r="E237" i="10"/>
  <c r="A241" i="10"/>
  <c r="F237" i="10"/>
  <c r="G227" i="10"/>
  <c r="U226" i="10"/>
  <c r="K281" i="11"/>
  <c r="G282" i="11"/>
  <c r="W282" i="11"/>
  <c r="AA281" i="11"/>
  <c r="AA277" i="11"/>
  <c r="W278" i="11"/>
  <c r="AY282" i="11"/>
  <c r="BC281" i="11"/>
  <c r="G278" i="11"/>
  <c r="K277" i="11"/>
  <c r="AJ291" i="11"/>
  <c r="AJ292" i="11" s="1"/>
  <c r="AJ293" i="11" s="1"/>
  <c r="AJ294" i="11" s="1"/>
  <c r="AK290" i="11"/>
  <c r="BC273" i="11"/>
  <c r="AY274" i="11"/>
  <c r="BC274" i="11" s="1"/>
  <c r="W274" i="11"/>
  <c r="AA274" i="11" s="1"/>
  <c r="AA273" i="11"/>
  <c r="AO273" i="11"/>
  <c r="AK274" i="11"/>
  <c r="AO274" i="11" s="1"/>
  <c r="Q226" i="10"/>
  <c r="C227" i="10"/>
  <c r="F228" i="10"/>
  <c r="T228" i="10" s="1"/>
  <c r="T227" i="10"/>
  <c r="G566" i="12"/>
  <c r="J565" i="12" s="1"/>
  <c r="G567" i="12"/>
  <c r="E576" i="12"/>
  <c r="E577" i="12"/>
  <c r="K285" i="11"/>
  <c r="G286" i="11"/>
  <c r="C228" i="10" l="1"/>
  <c r="Q228" i="10" s="1"/>
  <c r="Q227" i="10"/>
  <c r="E570" i="12"/>
  <c r="E571" i="12"/>
  <c r="K286" i="11"/>
  <c r="G287" i="11"/>
  <c r="W283" i="11"/>
  <c r="AA282" i="11"/>
  <c r="E562" i="12"/>
  <c r="E563" i="12"/>
  <c r="E564" i="12" s="1"/>
  <c r="C231" i="10"/>
  <c r="Q230" i="10"/>
  <c r="AJ296" i="11"/>
  <c r="AJ297" i="11" s="1"/>
  <c r="AJ298" i="11" s="1"/>
  <c r="AJ299" i="11" s="1"/>
  <c r="AK295" i="11"/>
  <c r="F578" i="12"/>
  <c r="F579" i="12"/>
  <c r="S290" i="11"/>
  <c r="S291" i="11" s="1"/>
  <c r="S292" i="11" s="1"/>
  <c r="S293" i="11" s="1"/>
  <c r="S294" i="11" s="1"/>
  <c r="W291" i="11"/>
  <c r="AA290" i="11"/>
  <c r="U233" i="10"/>
  <c r="G234" i="10"/>
  <c r="T237" i="10"/>
  <c r="F238" i="10"/>
  <c r="G237" i="10"/>
  <c r="G279" i="11"/>
  <c r="K279" i="11" s="1"/>
  <c r="K278" i="11"/>
  <c r="A242" i="10"/>
  <c r="A243" i="10" s="1"/>
  <c r="A244" i="10" s="1"/>
  <c r="F241" i="10"/>
  <c r="A245" i="10"/>
  <c r="E241" i="10"/>
  <c r="F571" i="12"/>
  <c r="F570" i="12"/>
  <c r="G576" i="12"/>
  <c r="J575" i="12" s="1"/>
  <c r="G577" i="12"/>
  <c r="AK279" i="11"/>
  <c r="AO279" i="11" s="1"/>
  <c r="AO278" i="11"/>
  <c r="AA278" i="11"/>
  <c r="W279" i="11"/>
  <c r="AA279" i="11" s="1"/>
  <c r="BC290" i="11"/>
  <c r="AY291" i="11"/>
  <c r="AU290" i="11"/>
  <c r="AU291" i="11" s="1"/>
  <c r="AU292" i="11" s="1"/>
  <c r="AU293" i="11" s="1"/>
  <c r="AU294" i="11" s="1"/>
  <c r="W287" i="11"/>
  <c r="AA286" i="11"/>
  <c r="G552" i="12"/>
  <c r="G553" i="12"/>
  <c r="G554" i="12" s="1"/>
  <c r="G291" i="11"/>
  <c r="K290" i="11"/>
  <c r="F296" i="11"/>
  <c r="F297" i="11" s="1"/>
  <c r="F298" i="11" s="1"/>
  <c r="F299" i="11" s="1"/>
  <c r="G295" i="11"/>
  <c r="AX296" i="11"/>
  <c r="AX297" i="11" s="1"/>
  <c r="AX298" i="11" s="1"/>
  <c r="AX299" i="11" s="1"/>
  <c r="AY295" i="11"/>
  <c r="BC278" i="11"/>
  <c r="AY279" i="11"/>
  <c r="BC279" i="11" s="1"/>
  <c r="F562" i="12"/>
  <c r="F563" i="12"/>
  <c r="F564" i="12" s="1"/>
  <c r="E232" i="10"/>
  <c r="Y231" i="10"/>
  <c r="K231" i="10"/>
  <c r="S231" i="10"/>
  <c r="V300" i="11"/>
  <c r="U300" i="11"/>
  <c r="U301" i="11" s="1"/>
  <c r="U302" i="11" s="1"/>
  <c r="U303" i="11" s="1"/>
  <c r="U304" i="11" s="1"/>
  <c r="AW300" i="11"/>
  <c r="AW301" i="11" s="1"/>
  <c r="AW302" i="11" s="1"/>
  <c r="AW303" i="11" s="1"/>
  <c r="AW304" i="11" s="1"/>
  <c r="F300" i="11"/>
  <c r="AX300" i="11"/>
  <c r="E300" i="11"/>
  <c r="A305" i="11"/>
  <c r="AI300" i="11"/>
  <c r="AI301" i="11" s="1"/>
  <c r="AI302" i="11" s="1"/>
  <c r="AI303" i="11" s="1"/>
  <c r="AI304" i="11" s="1"/>
  <c r="AJ300" i="11"/>
  <c r="E578" i="12"/>
  <c r="E579" i="12"/>
  <c r="F587" i="12"/>
  <c r="F586" i="12"/>
  <c r="C585" i="12" s="1"/>
  <c r="C586" i="12" s="1"/>
  <c r="C587" i="12" s="1"/>
  <c r="C588" i="12" s="1"/>
  <c r="C589" i="12" s="1"/>
  <c r="C590" i="12" s="1"/>
  <c r="C591" i="12" s="1"/>
  <c r="C592" i="12" s="1"/>
  <c r="C593" i="12" s="1"/>
  <c r="C594" i="12" s="1"/>
  <c r="G585" i="12"/>
  <c r="G231" i="10"/>
  <c r="U230" i="10"/>
  <c r="W295" i="11"/>
  <c r="V296" i="11"/>
  <c r="V297" i="11" s="1"/>
  <c r="V298" i="11" s="1"/>
  <c r="V299" i="11" s="1"/>
  <c r="E235" i="10"/>
  <c r="Y234" i="10"/>
  <c r="S234" i="10"/>
  <c r="K234" i="10"/>
  <c r="AY283" i="11"/>
  <c r="BC282" i="11"/>
  <c r="AY287" i="11"/>
  <c r="BC286" i="11"/>
  <c r="K282" i="11"/>
  <c r="G283" i="11"/>
  <c r="G569" i="12"/>
  <c r="G568" i="12"/>
  <c r="AG290" i="11"/>
  <c r="AG291" i="11" s="1"/>
  <c r="AG292" i="11" s="1"/>
  <c r="AG293" i="11" s="1"/>
  <c r="AG294" i="11" s="1"/>
  <c r="AK291" i="11"/>
  <c r="AO290" i="11"/>
  <c r="G561" i="12"/>
  <c r="G560" i="12"/>
  <c r="F595" i="12"/>
  <c r="E595" i="12"/>
  <c r="A605" i="12"/>
  <c r="Y237" i="10"/>
  <c r="S237" i="10"/>
  <c r="K237" i="10"/>
  <c r="E238" i="10"/>
  <c r="C237" i="10"/>
  <c r="Y228" i="10"/>
  <c r="S228" i="10"/>
  <c r="K228" i="10"/>
  <c r="C295" i="11"/>
  <c r="C296" i="11" s="1"/>
  <c r="C297" i="11" s="1"/>
  <c r="C298" i="11" s="1"/>
  <c r="C299" i="11" s="1"/>
  <c r="E296" i="11"/>
  <c r="E297" i="11" s="1"/>
  <c r="E298" i="11" s="1"/>
  <c r="E299" i="11" s="1"/>
  <c r="T234" i="10"/>
  <c r="F235" i="10"/>
  <c r="F232" i="10"/>
  <c r="T232" i="10" s="1"/>
  <c r="T231" i="10"/>
  <c r="J571" i="12"/>
  <c r="J572" i="12" s="1"/>
  <c r="J566" i="12"/>
  <c r="J573" i="12"/>
  <c r="J574" i="12" s="1"/>
  <c r="J569" i="12"/>
  <c r="J570" i="12" s="1"/>
  <c r="J567" i="12"/>
  <c r="J568" i="12" s="1"/>
  <c r="U227" i="10"/>
  <c r="G228" i="10"/>
  <c r="U228" i="10" s="1"/>
  <c r="AO282" i="11"/>
  <c r="AK283" i="11"/>
  <c r="E587" i="12"/>
  <c r="E586" i="12"/>
  <c r="AO286" i="11"/>
  <c r="AK287" i="11"/>
  <c r="C234" i="10"/>
  <c r="Q233" i="10"/>
  <c r="F589" i="12" l="1"/>
  <c r="F588" i="12"/>
  <c r="F239" i="10"/>
  <c r="T238" i="10"/>
  <c r="C232" i="10"/>
  <c r="Q232" i="10" s="1"/>
  <c r="Q231" i="10"/>
  <c r="AO283" i="11"/>
  <c r="AK284" i="11"/>
  <c r="AO284" i="11" s="1"/>
  <c r="E580" i="12"/>
  <c r="E581" i="12"/>
  <c r="G579" i="12"/>
  <c r="G578" i="12"/>
  <c r="C238" i="10"/>
  <c r="Q237" i="10"/>
  <c r="Y235" i="10"/>
  <c r="E236" i="10"/>
  <c r="S235" i="10"/>
  <c r="K235" i="10"/>
  <c r="V305" i="11"/>
  <c r="AX305" i="11"/>
  <c r="AW305" i="11"/>
  <c r="AW306" i="11" s="1"/>
  <c r="AW307" i="11" s="1"/>
  <c r="AW308" i="11" s="1"/>
  <c r="AW309" i="11" s="1"/>
  <c r="AJ305" i="11"/>
  <c r="AI305" i="11"/>
  <c r="AI306" i="11" s="1"/>
  <c r="AI307" i="11" s="1"/>
  <c r="AI308" i="11" s="1"/>
  <c r="AI309" i="11" s="1"/>
  <c r="A310" i="11"/>
  <c r="U305" i="11"/>
  <c r="U306" i="11" s="1"/>
  <c r="U307" i="11" s="1"/>
  <c r="U308" i="11" s="1"/>
  <c r="U309" i="11" s="1"/>
  <c r="F305" i="11"/>
  <c r="E305" i="11"/>
  <c r="W288" i="11"/>
  <c r="AA287" i="11"/>
  <c r="Y241" i="10"/>
  <c r="S241" i="10"/>
  <c r="K241" i="10"/>
  <c r="E242" i="10"/>
  <c r="C241" i="10"/>
  <c r="W292" i="11"/>
  <c r="AA291" i="11"/>
  <c r="G288" i="11"/>
  <c r="K287" i="11"/>
  <c r="F245" i="10"/>
  <c r="A249" i="10"/>
  <c r="A246" i="10"/>
  <c r="A247" i="10" s="1"/>
  <c r="A248" i="10" s="1"/>
  <c r="E245" i="10"/>
  <c r="E596" i="12"/>
  <c r="C595" i="12" s="1"/>
  <c r="C596" i="12" s="1"/>
  <c r="C597" i="12" s="1"/>
  <c r="C598" i="12" s="1"/>
  <c r="C599" i="12" s="1"/>
  <c r="C600" i="12" s="1"/>
  <c r="C601" i="12" s="1"/>
  <c r="C602" i="12" s="1"/>
  <c r="C603" i="12" s="1"/>
  <c r="C604" i="12" s="1"/>
  <c r="E597" i="12"/>
  <c r="BC287" i="11"/>
  <c r="AY288" i="11"/>
  <c r="U237" i="10"/>
  <c r="G238" i="10"/>
  <c r="F597" i="12"/>
  <c r="G595" i="12"/>
  <c r="F596" i="12"/>
  <c r="BC283" i="11"/>
  <c r="AY284" i="11"/>
  <c r="BC284" i="11" s="1"/>
  <c r="G292" i="11"/>
  <c r="K291" i="11"/>
  <c r="G571" i="12"/>
  <c r="G570" i="12"/>
  <c r="AA295" i="11"/>
  <c r="W296" i="11"/>
  <c r="S295" i="11"/>
  <c r="S296" i="11" s="1"/>
  <c r="S297" i="11" s="1"/>
  <c r="S298" i="11" s="1"/>
  <c r="S299" i="11" s="1"/>
  <c r="AY300" i="11"/>
  <c r="AX301" i="11"/>
  <c r="AX302" i="11" s="1"/>
  <c r="AX303" i="11" s="1"/>
  <c r="AX304" i="11" s="1"/>
  <c r="AY292" i="11"/>
  <c r="BC291" i="11"/>
  <c r="T241" i="10"/>
  <c r="G241" i="10"/>
  <c r="F242" i="10"/>
  <c r="F581" i="12"/>
  <c r="F580" i="12"/>
  <c r="E572" i="12"/>
  <c r="E573" i="12"/>
  <c r="E574" i="12" s="1"/>
  <c r="AJ301" i="11"/>
  <c r="AJ302" i="11" s="1"/>
  <c r="AJ303" i="11" s="1"/>
  <c r="AJ304" i="11" s="1"/>
  <c r="AK300" i="11"/>
  <c r="Y232" i="10"/>
  <c r="S232" i="10"/>
  <c r="K232" i="10"/>
  <c r="AK292" i="11"/>
  <c r="AO291" i="11"/>
  <c r="F573" i="12"/>
  <c r="F574" i="12" s="1"/>
  <c r="F572" i="12"/>
  <c r="AA283" i="11"/>
  <c r="W284" i="11"/>
  <c r="AA284" i="11" s="1"/>
  <c r="C235" i="10"/>
  <c r="Q234" i="10"/>
  <c r="AK288" i="11"/>
  <c r="AO287" i="11"/>
  <c r="S238" i="10"/>
  <c r="E239" i="10"/>
  <c r="Y238" i="10"/>
  <c r="K238" i="10"/>
  <c r="E301" i="11"/>
  <c r="E302" i="11" s="1"/>
  <c r="E303" i="11" s="1"/>
  <c r="E304" i="11" s="1"/>
  <c r="C300" i="11"/>
  <c r="C301" i="11" s="1"/>
  <c r="C302" i="11" s="1"/>
  <c r="C303" i="11" s="1"/>
  <c r="C304" i="11" s="1"/>
  <c r="G284" i="11"/>
  <c r="K284" i="11" s="1"/>
  <c r="K283" i="11"/>
  <c r="F301" i="11"/>
  <c r="F302" i="11" s="1"/>
  <c r="F303" i="11" s="1"/>
  <c r="F304" i="11" s="1"/>
  <c r="G300" i="11"/>
  <c r="AY296" i="11"/>
  <c r="BC295" i="11"/>
  <c r="AU295" i="11"/>
  <c r="AU296" i="11" s="1"/>
  <c r="AU297" i="11" s="1"/>
  <c r="AU298" i="11" s="1"/>
  <c r="AU299" i="11" s="1"/>
  <c r="AO295" i="11"/>
  <c r="AK296" i="11"/>
  <c r="AG295" i="11"/>
  <c r="AG296" i="11" s="1"/>
  <c r="AG297" i="11" s="1"/>
  <c r="AG298" i="11" s="1"/>
  <c r="AG299" i="11" s="1"/>
  <c r="V301" i="11"/>
  <c r="V302" i="11" s="1"/>
  <c r="V303" i="11" s="1"/>
  <c r="V304" i="11" s="1"/>
  <c r="W300" i="11"/>
  <c r="G563" i="12"/>
  <c r="G564" i="12" s="1"/>
  <c r="G562" i="12"/>
  <c r="J579" i="12"/>
  <c r="J580" i="12" s="1"/>
  <c r="J583" i="12"/>
  <c r="J584" i="12" s="1"/>
  <c r="J581" i="12"/>
  <c r="J582" i="12" s="1"/>
  <c r="J577" i="12"/>
  <c r="J578" i="12" s="1"/>
  <c r="J576" i="12"/>
  <c r="U234" i="10"/>
  <c r="G235" i="10"/>
  <c r="E589" i="12"/>
  <c r="E588" i="12"/>
  <c r="U231" i="10"/>
  <c r="G232" i="10"/>
  <c r="U232" i="10" s="1"/>
  <c r="T235" i="10"/>
  <c r="F236" i="10"/>
  <c r="T236" i="10" s="1"/>
  <c r="F605" i="12"/>
  <c r="E605" i="12"/>
  <c r="A615" i="12"/>
  <c r="G587" i="12"/>
  <c r="G586" i="12"/>
  <c r="J585" i="12" s="1"/>
  <c r="K295" i="11"/>
  <c r="G296" i="11"/>
  <c r="C236" i="10" l="1"/>
  <c r="Q236" i="10" s="1"/>
  <c r="Q235" i="10"/>
  <c r="W297" i="11"/>
  <c r="AA296" i="11"/>
  <c r="AX310" i="11"/>
  <c r="A315" i="11"/>
  <c r="AJ310" i="11"/>
  <c r="E310" i="11"/>
  <c r="F310" i="11"/>
  <c r="AW310" i="11"/>
  <c r="AW311" i="11" s="1"/>
  <c r="AW312" i="11" s="1"/>
  <c r="AW313" i="11" s="1"/>
  <c r="AW314" i="11" s="1"/>
  <c r="V310" i="11"/>
  <c r="U310" i="11"/>
  <c r="U311" i="11" s="1"/>
  <c r="U312" i="11" s="1"/>
  <c r="U313" i="11" s="1"/>
  <c r="U314" i="11" s="1"/>
  <c r="AI310" i="11"/>
  <c r="AI311" i="11" s="1"/>
  <c r="AI312" i="11" s="1"/>
  <c r="AI313" i="11" s="1"/>
  <c r="AI314" i="11" s="1"/>
  <c r="BC288" i="11"/>
  <c r="AY289" i="11"/>
  <c r="BC289" i="11" s="1"/>
  <c r="AA292" i="11"/>
  <c r="W293" i="11"/>
  <c r="G580" i="12"/>
  <c r="G581" i="12"/>
  <c r="E582" i="12"/>
  <c r="E583" i="12"/>
  <c r="E584" i="12" s="1"/>
  <c r="AA300" i="11"/>
  <c r="W301" i="11"/>
  <c r="S300" i="11"/>
  <c r="S301" i="11" s="1"/>
  <c r="S302" i="11" s="1"/>
  <c r="S303" i="11" s="1"/>
  <c r="S304" i="11" s="1"/>
  <c r="G573" i="12"/>
  <c r="G574" i="12" s="1"/>
  <c r="G572" i="12"/>
  <c r="S242" i="10"/>
  <c r="K242" i="10"/>
  <c r="E243" i="10"/>
  <c r="Y242" i="10"/>
  <c r="G293" i="11"/>
  <c r="K292" i="11"/>
  <c r="G236" i="10"/>
  <c r="U236" i="10" s="1"/>
  <c r="U235" i="10"/>
  <c r="AK297" i="11"/>
  <c r="AO296" i="11"/>
  <c r="AK293" i="11"/>
  <c r="AO292" i="11"/>
  <c r="K245" i="10"/>
  <c r="E246" i="10"/>
  <c r="S245" i="10"/>
  <c r="C245" i="10"/>
  <c r="Y245" i="10"/>
  <c r="J586" i="12"/>
  <c r="J589" i="12"/>
  <c r="J590" i="12" s="1"/>
  <c r="J593" i="12"/>
  <c r="J594" i="12" s="1"/>
  <c r="J591" i="12"/>
  <c r="J592" i="12" s="1"/>
  <c r="J587" i="12"/>
  <c r="J588" i="12" s="1"/>
  <c r="AK305" i="11"/>
  <c r="AJ306" i="11"/>
  <c r="AJ307" i="11" s="1"/>
  <c r="AJ308" i="11" s="1"/>
  <c r="AJ309" i="11" s="1"/>
  <c r="F582" i="12"/>
  <c r="F583" i="12"/>
  <c r="F584" i="12" s="1"/>
  <c r="T242" i="10"/>
  <c r="F243" i="10"/>
  <c r="AX306" i="11"/>
  <c r="AX307" i="11" s="1"/>
  <c r="AX308" i="11" s="1"/>
  <c r="AX309" i="11" s="1"/>
  <c r="AY305" i="11"/>
  <c r="Y239" i="10"/>
  <c r="E240" i="10"/>
  <c r="S239" i="10"/>
  <c r="K239" i="10"/>
  <c r="G589" i="12"/>
  <c r="G588" i="12"/>
  <c r="AY293" i="11"/>
  <c r="BC292" i="11"/>
  <c r="F249" i="10"/>
  <c r="A253" i="10"/>
  <c r="A250" i="10"/>
  <c r="A251" i="10" s="1"/>
  <c r="A252" i="10" s="1"/>
  <c r="E249" i="10"/>
  <c r="AA288" i="11"/>
  <c r="W289" i="11"/>
  <c r="AA289" i="11" s="1"/>
  <c r="S236" i="10"/>
  <c r="Y236" i="10"/>
  <c r="K236" i="10"/>
  <c r="U241" i="10"/>
  <c r="G242" i="10"/>
  <c r="F615" i="12"/>
  <c r="A625" i="12"/>
  <c r="E615" i="12"/>
  <c r="G597" i="12"/>
  <c r="G596" i="12"/>
  <c r="J595" i="12" s="1"/>
  <c r="T245" i="10"/>
  <c r="F246" i="10"/>
  <c r="G245" i="10"/>
  <c r="E306" i="11"/>
  <c r="E307" i="11" s="1"/>
  <c r="E308" i="11" s="1"/>
  <c r="E309" i="11" s="1"/>
  <c r="C305" i="11"/>
  <c r="C306" i="11" s="1"/>
  <c r="C307" i="11" s="1"/>
  <c r="C308" i="11" s="1"/>
  <c r="C309" i="11" s="1"/>
  <c r="T239" i="10"/>
  <c r="F240" i="10"/>
  <c r="T240" i="10" s="1"/>
  <c r="C242" i="10"/>
  <c r="Q241" i="10"/>
  <c r="E598" i="12"/>
  <c r="E599" i="12"/>
  <c r="BC296" i="11"/>
  <c r="AY297" i="11"/>
  <c r="AK289" i="11"/>
  <c r="AO289" i="11" s="1"/>
  <c r="AO288" i="11"/>
  <c r="AK301" i="11"/>
  <c r="AG300" i="11"/>
  <c r="AG301" i="11" s="1"/>
  <c r="AG302" i="11" s="1"/>
  <c r="AG303" i="11" s="1"/>
  <c r="AG304" i="11" s="1"/>
  <c r="AO300" i="11"/>
  <c r="AY301" i="11"/>
  <c r="BC300" i="11"/>
  <c r="AU300" i="11"/>
  <c r="AU301" i="11" s="1"/>
  <c r="AU302" i="11" s="1"/>
  <c r="AU303" i="11" s="1"/>
  <c r="AU304" i="11" s="1"/>
  <c r="F599" i="12"/>
  <c r="F598" i="12"/>
  <c r="G305" i="11"/>
  <c r="F306" i="11"/>
  <c r="F307" i="11" s="1"/>
  <c r="F308" i="11" s="1"/>
  <c r="F309" i="11" s="1"/>
  <c r="G297" i="11"/>
  <c r="K296" i="11"/>
  <c r="E590" i="12"/>
  <c r="E591" i="12"/>
  <c r="V306" i="11"/>
  <c r="V307" i="11" s="1"/>
  <c r="V308" i="11" s="1"/>
  <c r="V309" i="11" s="1"/>
  <c r="W305" i="11"/>
  <c r="C605" i="12"/>
  <c r="C606" i="12" s="1"/>
  <c r="C607" i="12" s="1"/>
  <c r="C608" i="12" s="1"/>
  <c r="C609" i="12" s="1"/>
  <c r="C610" i="12" s="1"/>
  <c r="C611" i="12" s="1"/>
  <c r="C612" i="12" s="1"/>
  <c r="C613" i="12" s="1"/>
  <c r="C614" i="12" s="1"/>
  <c r="E607" i="12"/>
  <c r="E606" i="12"/>
  <c r="F606" i="12"/>
  <c r="G605" i="12"/>
  <c r="F607" i="12"/>
  <c r="G301" i="11"/>
  <c r="K300" i="11"/>
  <c r="U238" i="10"/>
  <c r="G239" i="10"/>
  <c r="K288" i="11"/>
  <c r="G289" i="11"/>
  <c r="K289" i="11" s="1"/>
  <c r="C239" i="10"/>
  <c r="Q238" i="10"/>
  <c r="F591" i="12"/>
  <c r="F590" i="12"/>
  <c r="E593" i="12" l="1"/>
  <c r="E594" i="12" s="1"/>
  <c r="E592" i="12"/>
  <c r="G310" i="11"/>
  <c r="F311" i="11"/>
  <c r="F312" i="11" s="1"/>
  <c r="F313" i="11" s="1"/>
  <c r="F314" i="11" s="1"/>
  <c r="G607" i="12"/>
  <c r="G606" i="12"/>
  <c r="J605" i="12" s="1"/>
  <c r="G306" i="11"/>
  <c r="K305" i="11"/>
  <c r="U239" i="10"/>
  <c r="G240" i="10"/>
  <c r="U240" i="10" s="1"/>
  <c r="AK302" i="11"/>
  <c r="AO301" i="11"/>
  <c r="G246" i="10"/>
  <c r="U245" i="10"/>
  <c r="AO297" i="11"/>
  <c r="AK298" i="11"/>
  <c r="AA301" i="11"/>
  <c r="W302" i="11"/>
  <c r="V311" i="11"/>
  <c r="V312" i="11" s="1"/>
  <c r="V313" i="11" s="1"/>
  <c r="V314" i="11" s="1"/>
  <c r="W310" i="11"/>
  <c r="G302" i="11"/>
  <c r="K301" i="11"/>
  <c r="G298" i="11"/>
  <c r="K297" i="11"/>
  <c r="T246" i="10"/>
  <c r="F247" i="10"/>
  <c r="E250" i="10"/>
  <c r="C249" i="10"/>
  <c r="Y249" i="10"/>
  <c r="S249" i="10"/>
  <c r="K249" i="10"/>
  <c r="BC305" i="11"/>
  <c r="AY306" i="11"/>
  <c r="AU305" i="11"/>
  <c r="AU306" i="11" s="1"/>
  <c r="AU307" i="11" s="1"/>
  <c r="AU308" i="11" s="1"/>
  <c r="AU309" i="11" s="1"/>
  <c r="C310" i="11"/>
  <c r="C311" i="11" s="1"/>
  <c r="C312" i="11" s="1"/>
  <c r="C313" i="11" s="1"/>
  <c r="C314" i="11" s="1"/>
  <c r="E311" i="11"/>
  <c r="E312" i="11" s="1"/>
  <c r="E313" i="11" s="1"/>
  <c r="E314" i="11" s="1"/>
  <c r="E600" i="12"/>
  <c r="E601" i="12"/>
  <c r="G599" i="12"/>
  <c r="G598" i="12"/>
  <c r="K293" i="11"/>
  <c r="G294" i="11"/>
  <c r="K294" i="11" s="1"/>
  <c r="G582" i="12"/>
  <c r="G583" i="12"/>
  <c r="G584" i="12" s="1"/>
  <c r="AJ311" i="11"/>
  <c r="AJ312" i="11" s="1"/>
  <c r="AJ313" i="11" s="1"/>
  <c r="AJ314" i="11" s="1"/>
  <c r="AK310" i="11"/>
  <c r="F592" i="12"/>
  <c r="F593" i="12"/>
  <c r="F594" i="12" s="1"/>
  <c r="F600" i="12"/>
  <c r="F601" i="12"/>
  <c r="E617" i="12"/>
  <c r="E616" i="12"/>
  <c r="F253" i="10"/>
  <c r="A257" i="10"/>
  <c r="E253" i="10"/>
  <c r="A254" i="10"/>
  <c r="A255" i="10" s="1"/>
  <c r="A256" i="10" s="1"/>
  <c r="F244" i="10"/>
  <c r="T244" i="10" s="1"/>
  <c r="T243" i="10"/>
  <c r="Q245" i="10"/>
  <c r="C246" i="10"/>
  <c r="F315" i="11"/>
  <c r="A320" i="11"/>
  <c r="AJ315" i="11"/>
  <c r="E315" i="11"/>
  <c r="AI315" i="11"/>
  <c r="AI316" i="11" s="1"/>
  <c r="AI317" i="11" s="1"/>
  <c r="AI318" i="11" s="1"/>
  <c r="AI319" i="11" s="1"/>
  <c r="V315" i="11"/>
  <c r="U315" i="11"/>
  <c r="U316" i="11" s="1"/>
  <c r="U317" i="11" s="1"/>
  <c r="U318" i="11" s="1"/>
  <c r="U319" i="11" s="1"/>
  <c r="AW315" i="11"/>
  <c r="AW316" i="11" s="1"/>
  <c r="AW317" i="11" s="1"/>
  <c r="AW318" i="11" s="1"/>
  <c r="AW319" i="11" s="1"/>
  <c r="AX315" i="11"/>
  <c r="E608" i="12"/>
  <c r="E609" i="12"/>
  <c r="F625" i="12"/>
  <c r="A635" i="12"/>
  <c r="E625" i="12"/>
  <c r="G249" i="10"/>
  <c r="F250" i="10"/>
  <c r="T249" i="10"/>
  <c r="S243" i="10"/>
  <c r="E244" i="10"/>
  <c r="Y243" i="10"/>
  <c r="K243" i="10"/>
  <c r="W294" i="11"/>
  <c r="AA294" i="11" s="1"/>
  <c r="AA293" i="11"/>
  <c r="AY310" i="11"/>
  <c r="AX311" i="11"/>
  <c r="AX312" i="11" s="1"/>
  <c r="AX313" i="11" s="1"/>
  <c r="AX314" i="11" s="1"/>
  <c r="F608" i="12"/>
  <c r="F609" i="12"/>
  <c r="AY298" i="11"/>
  <c r="BC297" i="11"/>
  <c r="K246" i="10"/>
  <c r="E247" i="10"/>
  <c r="Y246" i="10"/>
  <c r="S246" i="10"/>
  <c r="F616" i="12"/>
  <c r="C615" i="12" s="1"/>
  <c r="C616" i="12" s="1"/>
  <c r="C617" i="12" s="1"/>
  <c r="C618" i="12" s="1"/>
  <c r="C619" i="12" s="1"/>
  <c r="C620" i="12" s="1"/>
  <c r="C621" i="12" s="1"/>
  <c r="C622" i="12" s="1"/>
  <c r="C623" i="12" s="1"/>
  <c r="C624" i="12" s="1"/>
  <c r="G615" i="12"/>
  <c r="F617" i="12"/>
  <c r="W298" i="11"/>
  <c r="AA297" i="11"/>
  <c r="S240" i="10"/>
  <c r="K240" i="10"/>
  <c r="Y240" i="10"/>
  <c r="J599" i="12"/>
  <c r="J600" i="12" s="1"/>
  <c r="J597" i="12"/>
  <c r="J598" i="12" s="1"/>
  <c r="J601" i="12"/>
  <c r="J602" i="12" s="1"/>
  <c r="J596" i="12"/>
  <c r="J603" i="12"/>
  <c r="J604" i="12" s="1"/>
  <c r="Q239" i="10"/>
  <c r="C240" i="10"/>
  <c r="Q240" i="10" s="1"/>
  <c r="C243" i="10"/>
  <c r="Q242" i="10"/>
  <c r="W306" i="11"/>
  <c r="S305" i="11"/>
  <c r="S306" i="11" s="1"/>
  <c r="S307" i="11" s="1"/>
  <c r="S308" i="11" s="1"/>
  <c r="S309" i="11" s="1"/>
  <c r="AA305" i="11"/>
  <c r="AY302" i="11"/>
  <c r="BC301" i="11"/>
  <c r="G243" i="10"/>
  <c r="U242" i="10"/>
  <c r="AY294" i="11"/>
  <c r="BC294" i="11" s="1"/>
  <c r="BC293" i="11"/>
  <c r="G591" i="12"/>
  <c r="G590" i="12"/>
  <c r="AK306" i="11"/>
  <c r="AO305" i="11"/>
  <c r="AG305" i="11"/>
  <c r="AG306" i="11" s="1"/>
  <c r="AG307" i="11" s="1"/>
  <c r="AG308" i="11" s="1"/>
  <c r="AG309" i="11" s="1"/>
  <c r="AO293" i="11"/>
  <c r="AK294" i="11"/>
  <c r="AO294" i="11" s="1"/>
  <c r="S310" i="11" l="1"/>
  <c r="S311" i="11" s="1"/>
  <c r="S312" i="11" s="1"/>
  <c r="S313" i="11" s="1"/>
  <c r="S314" i="11" s="1"/>
  <c r="AA310" i="11"/>
  <c r="W311" i="11"/>
  <c r="J606" i="12"/>
  <c r="J613" i="12"/>
  <c r="J614" i="12" s="1"/>
  <c r="J607" i="12"/>
  <c r="J608" i="12" s="1"/>
  <c r="J609" i="12"/>
  <c r="J610" i="12" s="1"/>
  <c r="J611" i="12"/>
  <c r="J612" i="12" s="1"/>
  <c r="G617" i="12"/>
  <c r="G616" i="12"/>
  <c r="J615" i="12" s="1"/>
  <c r="E611" i="12"/>
  <c r="E610" i="12"/>
  <c r="S247" i="10"/>
  <c r="K247" i="10"/>
  <c r="E248" i="10"/>
  <c r="Y247" i="10"/>
  <c r="E254" i="10"/>
  <c r="C253" i="10"/>
  <c r="S253" i="10"/>
  <c r="K253" i="10"/>
  <c r="Y253" i="10"/>
  <c r="BC302" i="11"/>
  <c r="AY303" i="11"/>
  <c r="W315" i="11"/>
  <c r="V316" i="11"/>
  <c r="V317" i="11" s="1"/>
  <c r="V318" i="11" s="1"/>
  <c r="V319" i="11" s="1"/>
  <c r="A261" i="10"/>
  <c r="E257" i="10"/>
  <c r="A258" i="10"/>
  <c r="A259" i="10" s="1"/>
  <c r="A260" i="10" s="1"/>
  <c r="F257" i="10"/>
  <c r="G253" i="10"/>
  <c r="F254" i="10"/>
  <c r="T253" i="10"/>
  <c r="K298" i="11"/>
  <c r="G299" i="11"/>
  <c r="K299" i="11" s="1"/>
  <c r="AK303" i="11"/>
  <c r="AO302" i="11"/>
  <c r="K302" i="11"/>
  <c r="G303" i="11"/>
  <c r="G307" i="11"/>
  <c r="K306" i="11"/>
  <c r="W303" i="11"/>
  <c r="AA302" i="11"/>
  <c r="AY299" i="11"/>
  <c r="BC299" i="11" s="1"/>
  <c r="BC298" i="11"/>
  <c r="F251" i="10"/>
  <c r="T250" i="10"/>
  <c r="E316" i="11"/>
  <c r="E317" i="11" s="1"/>
  <c r="E318" i="11" s="1"/>
  <c r="E319" i="11" s="1"/>
  <c r="G608" i="12"/>
  <c r="G609" i="12"/>
  <c r="U243" i="10"/>
  <c r="G244" i="10"/>
  <c r="U244" i="10" s="1"/>
  <c r="Q249" i="10"/>
  <c r="C250" i="10"/>
  <c r="AK299" i="11"/>
  <c r="AO299" i="11" s="1"/>
  <c r="AO298" i="11"/>
  <c r="AX316" i="11"/>
  <c r="AX317" i="11" s="1"/>
  <c r="AX318" i="11" s="1"/>
  <c r="AX319" i="11" s="1"/>
  <c r="AY315" i="11"/>
  <c r="AK311" i="11"/>
  <c r="AO310" i="11"/>
  <c r="AG310" i="11"/>
  <c r="AG311" i="11" s="1"/>
  <c r="AG312" i="11" s="1"/>
  <c r="AG313" i="11" s="1"/>
  <c r="AG314" i="11" s="1"/>
  <c r="K244" i="10"/>
  <c r="S244" i="10"/>
  <c r="Y244" i="10"/>
  <c r="AJ316" i="11"/>
  <c r="AJ317" i="11" s="1"/>
  <c r="AJ318" i="11" s="1"/>
  <c r="AJ319" i="11" s="1"/>
  <c r="AK315" i="11"/>
  <c r="AO306" i="11"/>
  <c r="AK307" i="11"/>
  <c r="K310" i="11"/>
  <c r="G311" i="11"/>
  <c r="F320" i="11"/>
  <c r="AI320" i="11"/>
  <c r="AI321" i="11" s="1"/>
  <c r="AI322" i="11" s="1"/>
  <c r="AI323" i="11" s="1"/>
  <c r="AI324" i="11" s="1"/>
  <c r="AX320" i="11"/>
  <c r="E320" i="11"/>
  <c r="AW320" i="11"/>
  <c r="AW321" i="11" s="1"/>
  <c r="AW322" i="11" s="1"/>
  <c r="AW323" i="11" s="1"/>
  <c r="AW324" i="11" s="1"/>
  <c r="A325" i="11"/>
  <c r="AJ320" i="11"/>
  <c r="V320" i="11"/>
  <c r="U320" i="11"/>
  <c r="U321" i="11" s="1"/>
  <c r="U322" i="11" s="1"/>
  <c r="U323" i="11" s="1"/>
  <c r="U324" i="11" s="1"/>
  <c r="S250" i="10"/>
  <c r="K250" i="10"/>
  <c r="E251" i="10"/>
  <c r="Y250" i="10"/>
  <c r="Q243" i="10"/>
  <c r="C244" i="10"/>
  <c r="Q244" i="10" s="1"/>
  <c r="W299" i="11"/>
  <c r="AA299" i="11" s="1"/>
  <c r="AA298" i="11"/>
  <c r="A645" i="12"/>
  <c r="F635" i="12"/>
  <c r="E635" i="12"/>
  <c r="F316" i="11"/>
  <c r="F317" i="11" s="1"/>
  <c r="F318" i="11" s="1"/>
  <c r="F319" i="11" s="1"/>
  <c r="G315" i="11"/>
  <c r="C315" i="11" s="1"/>
  <c r="C316" i="11" s="1"/>
  <c r="C317" i="11" s="1"/>
  <c r="C318" i="11" s="1"/>
  <c r="C319" i="11" s="1"/>
  <c r="F602" i="12"/>
  <c r="F603" i="12"/>
  <c r="F604" i="12" s="1"/>
  <c r="E603" i="12"/>
  <c r="E604" i="12" s="1"/>
  <c r="E602" i="12"/>
  <c r="T247" i="10"/>
  <c r="F248" i="10"/>
  <c r="T248" i="10" s="1"/>
  <c r="BC306" i="11"/>
  <c r="AY307" i="11"/>
  <c r="W307" i="11"/>
  <c r="AA306" i="11"/>
  <c r="F610" i="12"/>
  <c r="F611" i="12"/>
  <c r="G250" i="10"/>
  <c r="U249" i="10"/>
  <c r="E627" i="12"/>
  <c r="E626" i="12"/>
  <c r="E618" i="12"/>
  <c r="E619" i="12"/>
  <c r="G600" i="12"/>
  <c r="G601" i="12"/>
  <c r="G593" i="12"/>
  <c r="G594" i="12" s="1"/>
  <c r="G592" i="12"/>
  <c r="F619" i="12"/>
  <c r="F618" i="12"/>
  <c r="AU310" i="11"/>
  <c r="AU311" i="11" s="1"/>
  <c r="AU312" i="11" s="1"/>
  <c r="AU313" i="11" s="1"/>
  <c r="AU314" i="11" s="1"/>
  <c r="BC310" i="11"/>
  <c r="AY311" i="11"/>
  <c r="F626" i="12"/>
  <c r="C625" i="12" s="1"/>
  <c r="C626" i="12" s="1"/>
  <c r="C627" i="12" s="1"/>
  <c r="C628" i="12" s="1"/>
  <c r="C629" i="12" s="1"/>
  <c r="C630" i="12" s="1"/>
  <c r="C631" i="12" s="1"/>
  <c r="C632" i="12" s="1"/>
  <c r="C633" i="12" s="1"/>
  <c r="C634" i="12" s="1"/>
  <c r="F627" i="12"/>
  <c r="G625" i="12"/>
  <c r="Q246" i="10"/>
  <c r="C247" i="10"/>
  <c r="G247" i="10"/>
  <c r="U246" i="10"/>
  <c r="K311" i="11" l="1"/>
  <c r="G312" i="11"/>
  <c r="F252" i="10"/>
  <c r="T252" i="10" s="1"/>
  <c r="T251" i="10"/>
  <c r="F620" i="12"/>
  <c r="F621" i="12"/>
  <c r="AA315" i="11"/>
  <c r="S315" i="11"/>
  <c r="S316" i="11" s="1"/>
  <c r="S317" i="11" s="1"/>
  <c r="S318" i="11" s="1"/>
  <c r="S319" i="11" s="1"/>
  <c r="W316" i="11"/>
  <c r="G251" i="10"/>
  <c r="U250" i="10"/>
  <c r="F255" i="10"/>
  <c r="T254" i="10"/>
  <c r="AY312" i="11"/>
  <c r="BC311" i="11"/>
  <c r="E628" i="12"/>
  <c r="E629" i="12"/>
  <c r="F321" i="11"/>
  <c r="F322" i="11" s="1"/>
  <c r="F323" i="11" s="1"/>
  <c r="F324" i="11" s="1"/>
  <c r="G320" i="11"/>
  <c r="AO311" i="11"/>
  <c r="AK312" i="11"/>
  <c r="AK304" i="11"/>
  <c r="AO304" i="11" s="1"/>
  <c r="AO303" i="11"/>
  <c r="AY304" i="11"/>
  <c r="BC304" i="11" s="1"/>
  <c r="BC303" i="11"/>
  <c r="E613" i="12"/>
  <c r="E614" i="12" s="1"/>
  <c r="E612" i="12"/>
  <c r="K251" i="10"/>
  <c r="E252" i="10"/>
  <c r="S251" i="10"/>
  <c r="Y251" i="10"/>
  <c r="AU315" i="11"/>
  <c r="AU316" i="11" s="1"/>
  <c r="AU317" i="11" s="1"/>
  <c r="AU318" i="11" s="1"/>
  <c r="AU319" i="11" s="1"/>
  <c r="AY316" i="11"/>
  <c r="BC315" i="11"/>
  <c r="G618" i="12"/>
  <c r="G619" i="12"/>
  <c r="F613" i="12"/>
  <c r="F614" i="12" s="1"/>
  <c r="F612" i="12"/>
  <c r="AK308" i="11"/>
  <c r="AO307" i="11"/>
  <c r="Q253" i="10"/>
  <c r="C254" i="10"/>
  <c r="Q247" i="10"/>
  <c r="C248" i="10"/>
  <c r="Q248" i="10" s="1"/>
  <c r="G602" i="12"/>
  <c r="G603" i="12"/>
  <c r="G604" i="12" s="1"/>
  <c r="AA307" i="11"/>
  <c r="W308" i="11"/>
  <c r="F636" i="12"/>
  <c r="G635" i="12"/>
  <c r="F637" i="12"/>
  <c r="AJ321" i="11"/>
  <c r="AJ322" i="11" s="1"/>
  <c r="AJ323" i="11" s="1"/>
  <c r="AJ324" i="11" s="1"/>
  <c r="AK320" i="11"/>
  <c r="W304" i="11"/>
  <c r="AA304" i="11" s="1"/>
  <c r="AA303" i="11"/>
  <c r="F258" i="10"/>
  <c r="T257" i="10"/>
  <c r="G257" i="10"/>
  <c r="E255" i="10"/>
  <c r="Y254" i="10"/>
  <c r="K254" i="10"/>
  <c r="S254" i="10"/>
  <c r="J619" i="12"/>
  <c r="J620" i="12" s="1"/>
  <c r="J623" i="12"/>
  <c r="J624" i="12" s="1"/>
  <c r="J617" i="12"/>
  <c r="J618" i="12" s="1"/>
  <c r="J621" i="12"/>
  <c r="J622" i="12" s="1"/>
  <c r="J616" i="12"/>
  <c r="E637" i="12"/>
  <c r="E636" i="12"/>
  <c r="C635" i="12" s="1"/>
  <c r="C636" i="12" s="1"/>
  <c r="C637" i="12" s="1"/>
  <c r="C638" i="12" s="1"/>
  <c r="C639" i="12" s="1"/>
  <c r="C640" i="12" s="1"/>
  <c r="C641" i="12" s="1"/>
  <c r="C642" i="12" s="1"/>
  <c r="C643" i="12" s="1"/>
  <c r="C644" i="12" s="1"/>
  <c r="W320" i="11"/>
  <c r="V321" i="11"/>
  <c r="V322" i="11" s="1"/>
  <c r="V323" i="11" s="1"/>
  <c r="V324" i="11" s="1"/>
  <c r="AG315" i="11"/>
  <c r="AG316" i="11" s="1"/>
  <c r="AG317" i="11" s="1"/>
  <c r="AG318" i="11" s="1"/>
  <c r="AG319" i="11" s="1"/>
  <c r="AO315" i="11"/>
  <c r="AK316" i="11"/>
  <c r="Q250" i="10"/>
  <c r="C251" i="10"/>
  <c r="G254" i="10"/>
  <c r="U253" i="10"/>
  <c r="AY308" i="11"/>
  <c r="BC307" i="11"/>
  <c r="A655" i="12"/>
  <c r="F645" i="12"/>
  <c r="E645" i="12"/>
  <c r="AI325" i="11"/>
  <c r="AI326" i="11" s="1"/>
  <c r="AI327" i="11" s="1"/>
  <c r="AI328" i="11" s="1"/>
  <c r="AI329" i="11" s="1"/>
  <c r="U325" i="11"/>
  <c r="U326" i="11" s="1"/>
  <c r="U327" i="11" s="1"/>
  <c r="U328" i="11" s="1"/>
  <c r="U329" i="11" s="1"/>
  <c r="AX325" i="11"/>
  <c r="F325" i="11"/>
  <c r="AW325" i="11"/>
  <c r="AW326" i="11" s="1"/>
  <c r="AW327" i="11" s="1"/>
  <c r="AW328" i="11" s="1"/>
  <c r="AW329" i="11" s="1"/>
  <c r="E325" i="11"/>
  <c r="V325" i="11"/>
  <c r="A330" i="11"/>
  <c r="AJ325" i="11"/>
  <c r="G627" i="12"/>
  <c r="G626" i="12"/>
  <c r="J625" i="12" s="1"/>
  <c r="E621" i="12"/>
  <c r="E620" i="12"/>
  <c r="G308" i="11"/>
  <c r="K307" i="11"/>
  <c r="E258" i="10"/>
  <c r="C257" i="10"/>
  <c r="Y257" i="10"/>
  <c r="S257" i="10"/>
  <c r="K257" i="10"/>
  <c r="Y248" i="10"/>
  <c r="K248" i="10"/>
  <c r="S248" i="10"/>
  <c r="AA311" i="11"/>
  <c r="W312" i="11"/>
  <c r="C320" i="11"/>
  <c r="C321" i="11" s="1"/>
  <c r="C322" i="11" s="1"/>
  <c r="C323" i="11" s="1"/>
  <c r="C324" i="11" s="1"/>
  <c r="E321" i="11"/>
  <c r="E322" i="11" s="1"/>
  <c r="E323" i="11" s="1"/>
  <c r="E324" i="11" s="1"/>
  <c r="G610" i="12"/>
  <c r="G611" i="12"/>
  <c r="G304" i="11"/>
  <c r="K304" i="11" s="1"/>
  <c r="K303" i="11"/>
  <c r="A262" i="10"/>
  <c r="A263" i="10" s="1"/>
  <c r="A264" i="10" s="1"/>
  <c r="F261" i="10"/>
  <c r="A265" i="10"/>
  <c r="E261" i="10"/>
  <c r="K315" i="11"/>
  <c r="G316" i="11"/>
  <c r="G248" i="10"/>
  <c r="U248" i="10" s="1"/>
  <c r="U247" i="10"/>
  <c r="F629" i="12"/>
  <c r="F628" i="12"/>
  <c r="AX321" i="11"/>
  <c r="AX322" i="11" s="1"/>
  <c r="AX323" i="11" s="1"/>
  <c r="AX324" i="11" s="1"/>
  <c r="AY320" i="11"/>
  <c r="A269" i="10" l="1"/>
  <c r="F265" i="10"/>
  <c r="E265" i="10"/>
  <c r="A266" i="10"/>
  <c r="A267" i="10" s="1"/>
  <c r="A268" i="10" s="1"/>
  <c r="E647" i="12"/>
  <c r="E646" i="12"/>
  <c r="C645" i="12"/>
  <c r="C646" i="12" s="1"/>
  <c r="C647" i="12" s="1"/>
  <c r="C648" i="12" s="1"/>
  <c r="C649" i="12" s="1"/>
  <c r="C650" i="12" s="1"/>
  <c r="C651" i="12" s="1"/>
  <c r="C652" i="12" s="1"/>
  <c r="C653" i="12" s="1"/>
  <c r="C654" i="12" s="1"/>
  <c r="W309" i="11"/>
  <c r="AA309" i="11" s="1"/>
  <c r="AA308" i="11"/>
  <c r="G621" i="12"/>
  <c r="G620" i="12"/>
  <c r="F256" i="10"/>
  <c r="T256" i="10" s="1"/>
  <c r="T255" i="10"/>
  <c r="E655" i="12"/>
  <c r="A665" i="12"/>
  <c r="F655" i="12"/>
  <c r="U257" i="10"/>
  <c r="G258" i="10"/>
  <c r="G252" i="10"/>
  <c r="U252" i="10" s="1"/>
  <c r="U251" i="10"/>
  <c r="E622" i="12"/>
  <c r="E623" i="12"/>
  <c r="E624" i="12" s="1"/>
  <c r="Y261" i="10"/>
  <c r="S261" i="10"/>
  <c r="K261" i="10"/>
  <c r="C261" i="10"/>
  <c r="E262" i="10"/>
  <c r="J629" i="12"/>
  <c r="J630" i="12" s="1"/>
  <c r="J626" i="12"/>
  <c r="J633" i="12"/>
  <c r="J634" i="12" s="1"/>
  <c r="J631" i="12"/>
  <c r="J632" i="12" s="1"/>
  <c r="J627" i="12"/>
  <c r="J628" i="12" s="1"/>
  <c r="G645" i="12"/>
  <c r="F647" i="12"/>
  <c r="F646" i="12"/>
  <c r="W321" i="11"/>
  <c r="AA320" i="11"/>
  <c r="S320" i="11"/>
  <c r="S321" i="11" s="1"/>
  <c r="S322" i="11" s="1"/>
  <c r="S323" i="11" s="1"/>
  <c r="S324" i="11" s="1"/>
  <c r="E256" i="10"/>
  <c r="K255" i="10"/>
  <c r="S255" i="10"/>
  <c r="Y255" i="10"/>
  <c r="K320" i="11"/>
  <c r="G321" i="11"/>
  <c r="C255" i="10"/>
  <c r="Q254" i="10"/>
  <c r="F623" i="12"/>
  <c r="F624" i="12" s="1"/>
  <c r="F622" i="12"/>
  <c r="G613" i="12"/>
  <c r="G614" i="12" s="1"/>
  <c r="G612" i="12"/>
  <c r="C258" i="10"/>
  <c r="Q257" i="10"/>
  <c r="C252" i="10"/>
  <c r="Q252" i="10" s="1"/>
  <c r="Q251" i="10"/>
  <c r="AG320" i="11"/>
  <c r="AG321" i="11" s="1"/>
  <c r="AG322" i="11" s="1"/>
  <c r="AG323" i="11" s="1"/>
  <c r="AG324" i="11" s="1"/>
  <c r="AO320" i="11"/>
  <c r="AK321" i="11"/>
  <c r="Y252" i="10"/>
  <c r="S252" i="10"/>
  <c r="K252" i="10"/>
  <c r="E630" i="12"/>
  <c r="E631" i="12"/>
  <c r="AO312" i="11"/>
  <c r="AK313" i="11"/>
  <c r="W317" i="11"/>
  <c r="AA316" i="11"/>
  <c r="A335" i="11"/>
  <c r="AJ330" i="11"/>
  <c r="E330" i="11"/>
  <c r="AW330" i="11"/>
  <c r="AW331" i="11" s="1"/>
  <c r="AW332" i="11" s="1"/>
  <c r="AW333" i="11" s="1"/>
  <c r="AW334" i="11" s="1"/>
  <c r="F330" i="11"/>
  <c r="AI330" i="11"/>
  <c r="AI331" i="11" s="1"/>
  <c r="AI332" i="11" s="1"/>
  <c r="AI333" i="11" s="1"/>
  <c r="AI334" i="11" s="1"/>
  <c r="V330" i="11"/>
  <c r="U330" i="11"/>
  <c r="U331" i="11" s="1"/>
  <c r="U332" i="11" s="1"/>
  <c r="U333" i="11" s="1"/>
  <c r="U334" i="11" s="1"/>
  <c r="AX330" i="11"/>
  <c r="BC308" i="11"/>
  <c r="AY309" i="11"/>
  <c r="BC309" i="11" s="1"/>
  <c r="AY321" i="11"/>
  <c r="AU320" i="11"/>
  <c r="AU321" i="11" s="1"/>
  <c r="AU322" i="11" s="1"/>
  <c r="AU323" i="11" s="1"/>
  <c r="AU324" i="11" s="1"/>
  <c r="BC320" i="11"/>
  <c r="C325" i="11"/>
  <c r="C326" i="11" s="1"/>
  <c r="C327" i="11" s="1"/>
  <c r="C328" i="11" s="1"/>
  <c r="C329" i="11" s="1"/>
  <c r="E326" i="11"/>
  <c r="E327" i="11" s="1"/>
  <c r="E328" i="11" s="1"/>
  <c r="E329" i="11" s="1"/>
  <c r="G255" i="10"/>
  <c r="U254" i="10"/>
  <c r="F630" i="12"/>
  <c r="F631" i="12"/>
  <c r="E259" i="10"/>
  <c r="Y258" i="10"/>
  <c r="K258" i="10"/>
  <c r="S258" i="10"/>
  <c r="F326" i="11"/>
  <c r="F327" i="11" s="1"/>
  <c r="F328" i="11" s="1"/>
  <c r="F329" i="11" s="1"/>
  <c r="G325" i="11"/>
  <c r="G628" i="12"/>
  <c r="G629" i="12"/>
  <c r="E639" i="12"/>
  <c r="E638" i="12"/>
  <c r="F259" i="10"/>
  <c r="T258" i="10"/>
  <c r="AX326" i="11"/>
  <c r="AX327" i="11" s="1"/>
  <c r="AX328" i="11" s="1"/>
  <c r="AX329" i="11" s="1"/>
  <c r="AY325" i="11"/>
  <c r="AO316" i="11"/>
  <c r="AK317" i="11"/>
  <c r="F639" i="12"/>
  <c r="F638" i="12"/>
  <c r="AK309" i="11"/>
  <c r="AO309" i="11" s="1"/>
  <c r="AO308" i="11"/>
  <c r="G261" i="10"/>
  <c r="F262" i="10"/>
  <c r="T261" i="10"/>
  <c r="AY317" i="11"/>
  <c r="BC316" i="11"/>
  <c r="W325" i="11"/>
  <c r="V326" i="11"/>
  <c r="V327" i="11" s="1"/>
  <c r="V328" i="11" s="1"/>
  <c r="V329" i="11" s="1"/>
  <c r="K308" i="11"/>
  <c r="G309" i="11"/>
  <c r="K309" i="11" s="1"/>
  <c r="G637" i="12"/>
  <c r="G636" i="12"/>
  <c r="J635" i="12" s="1"/>
  <c r="AY313" i="11"/>
  <c r="BC312" i="11"/>
  <c r="K312" i="11"/>
  <c r="G313" i="11"/>
  <c r="AJ326" i="11"/>
  <c r="AJ327" i="11" s="1"/>
  <c r="AJ328" i="11" s="1"/>
  <c r="AJ329" i="11" s="1"/>
  <c r="AK325" i="11"/>
  <c r="K316" i="11"/>
  <c r="G317" i="11"/>
  <c r="W313" i="11"/>
  <c r="AA312" i="11"/>
  <c r="G630" i="12" l="1"/>
  <c r="G631" i="12"/>
  <c r="G638" i="12"/>
  <c r="G639" i="12"/>
  <c r="K325" i="11"/>
  <c r="G326" i="11"/>
  <c r="AK330" i="11"/>
  <c r="AJ331" i="11"/>
  <c r="AJ332" i="11" s="1"/>
  <c r="AJ333" i="11" s="1"/>
  <c r="AJ334" i="11" s="1"/>
  <c r="G322" i="11"/>
  <c r="K321" i="11"/>
  <c r="F263" i="10"/>
  <c r="T262" i="10"/>
  <c r="W322" i="11"/>
  <c r="AA321" i="11"/>
  <c r="C256" i="10"/>
  <c r="Q256" i="10" s="1"/>
  <c r="Q255" i="10"/>
  <c r="U261" i="10"/>
  <c r="G262" i="10"/>
  <c r="E641" i="12"/>
  <c r="E640" i="12"/>
  <c r="U255" i="10"/>
  <c r="G256" i="10"/>
  <c r="U256" i="10" s="1"/>
  <c r="F331" i="11"/>
  <c r="F332" i="11" s="1"/>
  <c r="F333" i="11" s="1"/>
  <c r="F334" i="11" s="1"/>
  <c r="G330" i="11"/>
  <c r="J643" i="12"/>
  <c r="J644" i="12" s="1"/>
  <c r="J641" i="12"/>
  <c r="J642" i="12" s="1"/>
  <c r="J637" i="12"/>
  <c r="J638" i="12" s="1"/>
  <c r="J639" i="12"/>
  <c r="J640" i="12" s="1"/>
  <c r="J636" i="12"/>
  <c r="E335" i="11"/>
  <c r="AI335" i="11"/>
  <c r="AI336" i="11" s="1"/>
  <c r="AI337" i="11" s="1"/>
  <c r="AI338" i="11" s="1"/>
  <c r="AI339" i="11" s="1"/>
  <c r="A340" i="11"/>
  <c r="V335" i="11"/>
  <c r="F335" i="11"/>
  <c r="AX335" i="11"/>
  <c r="AW335" i="11"/>
  <c r="AW336" i="11" s="1"/>
  <c r="AW337" i="11" s="1"/>
  <c r="AW338" i="11" s="1"/>
  <c r="AW339" i="11" s="1"/>
  <c r="AJ335" i="11"/>
  <c r="U335" i="11"/>
  <c r="U336" i="11" s="1"/>
  <c r="U337" i="11" s="1"/>
  <c r="U338" i="11" s="1"/>
  <c r="U339" i="11" s="1"/>
  <c r="W318" i="11"/>
  <c r="AA317" i="11"/>
  <c r="E648" i="12"/>
  <c r="E649" i="12"/>
  <c r="BC313" i="11"/>
  <c r="AY314" i="11"/>
  <c r="BC314" i="11" s="1"/>
  <c r="AA313" i="11"/>
  <c r="W314" i="11"/>
  <c r="AA314" i="11" s="1"/>
  <c r="AK314" i="11"/>
  <c r="AO314" i="11" s="1"/>
  <c r="AO313" i="11"/>
  <c r="F657" i="12"/>
  <c r="F656" i="12"/>
  <c r="C655" i="12" s="1"/>
  <c r="C656" i="12" s="1"/>
  <c r="C657" i="12" s="1"/>
  <c r="C658" i="12" s="1"/>
  <c r="C659" i="12" s="1"/>
  <c r="C660" i="12" s="1"/>
  <c r="C661" i="12" s="1"/>
  <c r="C662" i="12" s="1"/>
  <c r="C663" i="12" s="1"/>
  <c r="C664" i="12" s="1"/>
  <c r="G655" i="12"/>
  <c r="F649" i="12"/>
  <c r="F648" i="12"/>
  <c r="G623" i="12"/>
  <c r="G624" i="12" s="1"/>
  <c r="G622" i="12"/>
  <c r="C330" i="11"/>
  <c r="C331" i="11" s="1"/>
  <c r="C332" i="11" s="1"/>
  <c r="C333" i="11" s="1"/>
  <c r="C334" i="11" s="1"/>
  <c r="E331" i="11"/>
  <c r="E332" i="11" s="1"/>
  <c r="E333" i="11" s="1"/>
  <c r="E334" i="11" s="1"/>
  <c r="AK322" i="11"/>
  <c r="AO321" i="11"/>
  <c r="G646" i="12"/>
  <c r="J645" i="12" s="1"/>
  <c r="G647" i="12"/>
  <c r="F641" i="12"/>
  <c r="F640" i="12"/>
  <c r="K317" i="11"/>
  <c r="G318" i="11"/>
  <c r="Y259" i="10"/>
  <c r="E260" i="10"/>
  <c r="S259" i="10"/>
  <c r="K259" i="10"/>
  <c r="AX331" i="11"/>
  <c r="AX332" i="11" s="1"/>
  <c r="AX333" i="11" s="1"/>
  <c r="AX334" i="11" s="1"/>
  <c r="AY330" i="11"/>
  <c r="C259" i="10"/>
  <c r="Q258" i="10"/>
  <c r="Y256" i="10"/>
  <c r="S256" i="10"/>
  <c r="K256" i="10"/>
  <c r="Y262" i="10"/>
  <c r="S262" i="10"/>
  <c r="E263" i="10"/>
  <c r="K262" i="10"/>
  <c r="A675" i="12"/>
  <c r="E665" i="12"/>
  <c r="F665" i="12"/>
  <c r="Y265" i="10"/>
  <c r="S265" i="10"/>
  <c r="K265" i="10"/>
  <c r="E266" i="10"/>
  <c r="C265" i="10"/>
  <c r="AK318" i="11"/>
  <c r="AO317" i="11"/>
  <c r="AY322" i="11"/>
  <c r="BC321" i="11"/>
  <c r="U258" i="10"/>
  <c r="G259" i="10"/>
  <c r="C262" i="10"/>
  <c r="Q261" i="10"/>
  <c r="E657" i="12"/>
  <c r="E656" i="12"/>
  <c r="T265" i="10"/>
  <c r="F266" i="10"/>
  <c r="G265" i="10"/>
  <c r="AA325" i="11"/>
  <c r="W326" i="11"/>
  <c r="S325" i="11"/>
  <c r="S326" i="11" s="1"/>
  <c r="S327" i="11" s="1"/>
  <c r="S328" i="11" s="1"/>
  <c r="S329" i="11" s="1"/>
  <c r="AY326" i="11"/>
  <c r="BC325" i="11"/>
  <c r="AU325" i="11"/>
  <c r="AU326" i="11" s="1"/>
  <c r="AU327" i="11" s="1"/>
  <c r="AU328" i="11" s="1"/>
  <c r="AU329" i="11" s="1"/>
  <c r="AO325" i="11"/>
  <c r="AK326" i="11"/>
  <c r="AG325" i="11"/>
  <c r="AG326" i="11" s="1"/>
  <c r="AG327" i="11" s="1"/>
  <c r="AG328" i="11" s="1"/>
  <c r="AG329" i="11" s="1"/>
  <c r="BC317" i="11"/>
  <c r="AY318" i="11"/>
  <c r="F633" i="12"/>
  <c r="F634" i="12" s="1"/>
  <c r="F632" i="12"/>
  <c r="E633" i="12"/>
  <c r="E634" i="12" s="1"/>
  <c r="E632" i="12"/>
  <c r="G314" i="11"/>
  <c r="K314" i="11" s="1"/>
  <c r="K313" i="11"/>
  <c r="T259" i="10"/>
  <c r="F260" i="10"/>
  <c r="T260" i="10" s="1"/>
  <c r="V331" i="11"/>
  <c r="V332" i="11" s="1"/>
  <c r="V333" i="11" s="1"/>
  <c r="V334" i="11" s="1"/>
  <c r="W330" i="11"/>
  <c r="F269" i="10"/>
  <c r="E269" i="10"/>
  <c r="A273" i="10"/>
  <c r="A270" i="10"/>
  <c r="A271" i="10" s="1"/>
  <c r="A272" i="10" s="1"/>
  <c r="U259" i="10" l="1"/>
  <c r="G260" i="10"/>
  <c r="U260" i="10" s="1"/>
  <c r="F336" i="11"/>
  <c r="F337" i="11" s="1"/>
  <c r="F338" i="11" s="1"/>
  <c r="F339" i="11" s="1"/>
  <c r="G335" i="11"/>
  <c r="G323" i="11"/>
  <c r="K322" i="11"/>
  <c r="W327" i="11"/>
  <c r="AA326" i="11"/>
  <c r="C260" i="10"/>
  <c r="Q260" i="10" s="1"/>
  <c r="Q259" i="10"/>
  <c r="J647" i="12"/>
  <c r="J648" i="12" s="1"/>
  <c r="J649" i="12"/>
  <c r="J650" i="12" s="1"/>
  <c r="J646" i="12"/>
  <c r="J653" i="12"/>
  <c r="J654" i="12" s="1"/>
  <c r="J651" i="12"/>
  <c r="J652" i="12" s="1"/>
  <c r="G331" i="11"/>
  <c r="K330" i="11"/>
  <c r="C263" i="10"/>
  <c r="Q262" i="10"/>
  <c r="F667" i="12"/>
  <c r="F666" i="12"/>
  <c r="C665" i="12" s="1"/>
  <c r="C666" i="12" s="1"/>
  <c r="C667" i="12" s="1"/>
  <c r="C668" i="12" s="1"/>
  <c r="C669" i="12" s="1"/>
  <c r="C670" i="12" s="1"/>
  <c r="C671" i="12" s="1"/>
  <c r="C672" i="12" s="1"/>
  <c r="C673" i="12" s="1"/>
  <c r="C674" i="12" s="1"/>
  <c r="G665" i="12"/>
  <c r="AU330" i="11"/>
  <c r="AU331" i="11" s="1"/>
  <c r="AU332" i="11" s="1"/>
  <c r="AU333" i="11" s="1"/>
  <c r="AU334" i="11" s="1"/>
  <c r="AY331" i="11"/>
  <c r="BC330" i="11"/>
  <c r="AX336" i="11"/>
  <c r="AX337" i="11" s="1"/>
  <c r="AX338" i="11" s="1"/>
  <c r="AX339" i="11" s="1"/>
  <c r="AY335" i="11"/>
  <c r="T263" i="10"/>
  <c r="F264" i="10"/>
  <c r="T264" i="10" s="1"/>
  <c r="AW340" i="11"/>
  <c r="AW341" i="11" s="1"/>
  <c r="AW342" i="11" s="1"/>
  <c r="AW343" i="11" s="1"/>
  <c r="AW344" i="11" s="1"/>
  <c r="AX340" i="11"/>
  <c r="A345" i="11"/>
  <c r="F340" i="11"/>
  <c r="E340" i="11"/>
  <c r="AJ340" i="11"/>
  <c r="U340" i="11"/>
  <c r="U341" i="11" s="1"/>
  <c r="U342" i="11" s="1"/>
  <c r="U343" i="11" s="1"/>
  <c r="U344" i="11" s="1"/>
  <c r="AI340" i="11"/>
  <c r="AI341" i="11" s="1"/>
  <c r="AI342" i="11" s="1"/>
  <c r="AI343" i="11" s="1"/>
  <c r="AI344" i="11" s="1"/>
  <c r="V340" i="11"/>
  <c r="C266" i="10"/>
  <c r="Q265" i="10"/>
  <c r="F650" i="12"/>
  <c r="F651" i="12"/>
  <c r="G641" i="12"/>
  <c r="G640" i="12"/>
  <c r="E642" i="12"/>
  <c r="E643" i="12"/>
  <c r="E644" i="12" s="1"/>
  <c r="G319" i="11"/>
  <c r="K319" i="11" s="1"/>
  <c r="K318" i="11"/>
  <c r="W331" i="11"/>
  <c r="AA330" i="11"/>
  <c r="S330" i="11"/>
  <c r="S331" i="11" s="1"/>
  <c r="S332" i="11" s="1"/>
  <c r="S333" i="11" s="1"/>
  <c r="S334" i="11" s="1"/>
  <c r="S266" i="10"/>
  <c r="K266" i="10"/>
  <c r="E267" i="10"/>
  <c r="Y266" i="10"/>
  <c r="G657" i="12"/>
  <c r="G656" i="12"/>
  <c r="J655" i="12" s="1"/>
  <c r="W319" i="11"/>
  <c r="AA319" i="11" s="1"/>
  <c r="AA318" i="11"/>
  <c r="E666" i="12"/>
  <c r="E667" i="12"/>
  <c r="F675" i="12"/>
  <c r="A685" i="12"/>
  <c r="E675" i="12"/>
  <c r="V336" i="11"/>
  <c r="V337" i="11" s="1"/>
  <c r="V338" i="11" s="1"/>
  <c r="V339" i="11" s="1"/>
  <c r="W335" i="11"/>
  <c r="AY323" i="11"/>
  <c r="BC322" i="11"/>
  <c r="Y263" i="10"/>
  <c r="E264" i="10"/>
  <c r="S263" i="10"/>
  <c r="K263" i="10"/>
  <c r="Y260" i="10"/>
  <c r="S260" i="10"/>
  <c r="K260" i="10"/>
  <c r="AO330" i="11"/>
  <c r="AG330" i="11"/>
  <c r="AG331" i="11" s="1"/>
  <c r="AG332" i="11" s="1"/>
  <c r="AG333" i="11" s="1"/>
  <c r="AG334" i="11" s="1"/>
  <c r="AK331" i="11"/>
  <c r="F273" i="10"/>
  <c r="A277" i="10"/>
  <c r="A274" i="10"/>
  <c r="A275" i="10" s="1"/>
  <c r="A276" i="10" s="1"/>
  <c r="E273" i="10"/>
  <c r="U265" i="10"/>
  <c r="G266" i="10"/>
  <c r="E336" i="11"/>
  <c r="E337" i="11" s="1"/>
  <c r="E338" i="11" s="1"/>
  <c r="E339" i="11" s="1"/>
  <c r="C335" i="11"/>
  <c r="C336" i="11" s="1"/>
  <c r="C337" i="11" s="1"/>
  <c r="C338" i="11" s="1"/>
  <c r="C339" i="11" s="1"/>
  <c r="S269" i="10"/>
  <c r="K269" i="10"/>
  <c r="C269" i="10"/>
  <c r="E270" i="10"/>
  <c r="Y269" i="10"/>
  <c r="AY319" i="11"/>
  <c r="BC319" i="11" s="1"/>
  <c r="BC318" i="11"/>
  <c r="T266" i="10"/>
  <c r="F267" i="10"/>
  <c r="AO318" i="11"/>
  <c r="AK319" i="11"/>
  <c r="AO319" i="11" s="1"/>
  <c r="AK327" i="11"/>
  <c r="AO326" i="11"/>
  <c r="E659" i="12"/>
  <c r="E658" i="12"/>
  <c r="F643" i="12"/>
  <c r="F644" i="12" s="1"/>
  <c r="F642" i="12"/>
  <c r="G632" i="12"/>
  <c r="G633" i="12"/>
  <c r="G634" i="12" s="1"/>
  <c r="BC326" i="11"/>
  <c r="AY327" i="11"/>
  <c r="AK323" i="11"/>
  <c r="AO322" i="11"/>
  <c r="E650" i="12"/>
  <c r="E651" i="12"/>
  <c r="U262" i="10"/>
  <c r="G263" i="10"/>
  <c r="G327" i="11"/>
  <c r="K326" i="11"/>
  <c r="T269" i="10"/>
  <c r="G269" i="10"/>
  <c r="F270" i="10"/>
  <c r="G649" i="12"/>
  <c r="G648" i="12"/>
  <c r="F659" i="12"/>
  <c r="F658" i="12"/>
  <c r="AK335" i="11"/>
  <c r="AJ336" i="11"/>
  <c r="AJ337" i="11" s="1"/>
  <c r="AJ338" i="11" s="1"/>
  <c r="AJ339" i="11" s="1"/>
  <c r="AA322" i="11"/>
  <c r="W323" i="11"/>
  <c r="G270" i="10" l="1"/>
  <c r="U269" i="10"/>
  <c r="Q269" i="10"/>
  <c r="C270" i="10"/>
  <c r="Q263" i="10"/>
  <c r="C264" i="10"/>
  <c r="Q264" i="10" s="1"/>
  <c r="E660" i="12"/>
  <c r="E661" i="12"/>
  <c r="AO323" i="11"/>
  <c r="AK324" i="11"/>
  <c r="AO324" i="11" s="1"/>
  <c r="AA331" i="11"/>
  <c r="W332" i="11"/>
  <c r="G651" i="12"/>
  <c r="G650" i="12"/>
  <c r="AY328" i="11"/>
  <c r="BC327" i="11"/>
  <c r="T267" i="10"/>
  <c r="F268" i="10"/>
  <c r="T268" i="10" s="1"/>
  <c r="BC331" i="11"/>
  <c r="AY332" i="11"/>
  <c r="T270" i="10"/>
  <c r="F271" i="10"/>
  <c r="K273" i="10"/>
  <c r="E274" i="10"/>
  <c r="C273" i="10"/>
  <c r="S273" i="10"/>
  <c r="Y273" i="10"/>
  <c r="S264" i="10"/>
  <c r="K264" i="10"/>
  <c r="Y264" i="10"/>
  <c r="AJ341" i="11"/>
  <c r="AJ342" i="11" s="1"/>
  <c r="AJ343" i="11" s="1"/>
  <c r="AJ344" i="11" s="1"/>
  <c r="AK340" i="11"/>
  <c r="E341" i="11"/>
  <c r="E342" i="11" s="1"/>
  <c r="E343" i="11" s="1"/>
  <c r="E344" i="11" s="1"/>
  <c r="C340" i="11"/>
  <c r="C341" i="11" s="1"/>
  <c r="C342" i="11" s="1"/>
  <c r="C343" i="11" s="1"/>
  <c r="C344" i="11" s="1"/>
  <c r="G666" i="12"/>
  <c r="J665" i="12" s="1"/>
  <c r="G667" i="12"/>
  <c r="F277" i="10"/>
  <c r="A281" i="10"/>
  <c r="E277" i="10"/>
  <c r="A278" i="10"/>
  <c r="A279" i="10" s="1"/>
  <c r="A280" i="10" s="1"/>
  <c r="G340" i="11"/>
  <c r="F341" i="11"/>
  <c r="F342" i="11" s="1"/>
  <c r="F343" i="11" s="1"/>
  <c r="F344" i="11" s="1"/>
  <c r="G643" i="12"/>
  <c r="G644" i="12" s="1"/>
  <c r="G642" i="12"/>
  <c r="K323" i="11"/>
  <c r="G324" i="11"/>
  <c r="K324" i="11" s="1"/>
  <c r="AG335" i="11"/>
  <c r="AG336" i="11" s="1"/>
  <c r="AG337" i="11" s="1"/>
  <c r="AG338" i="11" s="1"/>
  <c r="AG339" i="11" s="1"/>
  <c r="AK336" i="11"/>
  <c r="AO335" i="11"/>
  <c r="E652" i="12"/>
  <c r="E653" i="12"/>
  <c r="E654" i="12" s="1"/>
  <c r="F685" i="12"/>
  <c r="A695" i="12"/>
  <c r="E685" i="12"/>
  <c r="G332" i="11"/>
  <c r="K331" i="11"/>
  <c r="G336" i="11"/>
  <c r="K335" i="11"/>
  <c r="J661" i="12"/>
  <c r="J662" i="12" s="1"/>
  <c r="J659" i="12"/>
  <c r="J660" i="12" s="1"/>
  <c r="J656" i="12"/>
  <c r="J657" i="12"/>
  <c r="J658" i="12" s="1"/>
  <c r="J663" i="12"/>
  <c r="J664" i="12" s="1"/>
  <c r="G273" i="10"/>
  <c r="F274" i="10"/>
  <c r="T273" i="10"/>
  <c r="G659" i="12"/>
  <c r="G658" i="12"/>
  <c r="F668" i="12"/>
  <c r="F669" i="12"/>
  <c r="K327" i="11"/>
  <c r="G328" i="11"/>
  <c r="S270" i="10"/>
  <c r="K270" i="10"/>
  <c r="Y270" i="10"/>
  <c r="E271" i="10"/>
  <c r="S267" i="10"/>
  <c r="Y267" i="10"/>
  <c r="K267" i="10"/>
  <c r="E268" i="10"/>
  <c r="F653" i="12"/>
  <c r="F654" i="12" s="1"/>
  <c r="F652" i="12"/>
  <c r="F676" i="12"/>
  <c r="C675" i="12" s="1"/>
  <c r="C676" i="12" s="1"/>
  <c r="C677" i="12" s="1"/>
  <c r="C678" i="12" s="1"/>
  <c r="C679" i="12" s="1"/>
  <c r="C680" i="12" s="1"/>
  <c r="C681" i="12" s="1"/>
  <c r="C682" i="12" s="1"/>
  <c r="C683" i="12" s="1"/>
  <c r="C684" i="12" s="1"/>
  <c r="G675" i="12"/>
  <c r="F677" i="12"/>
  <c r="C267" i="10"/>
  <c r="Q266" i="10"/>
  <c r="AU335" i="11"/>
  <c r="AU336" i="11" s="1"/>
  <c r="AU337" i="11" s="1"/>
  <c r="AU338" i="11" s="1"/>
  <c r="AU339" i="11" s="1"/>
  <c r="BC335" i="11"/>
  <c r="AY336" i="11"/>
  <c r="AY324" i="11"/>
  <c r="BC324" i="11" s="1"/>
  <c r="BC323" i="11"/>
  <c r="U345" i="11"/>
  <c r="U346" i="11" s="1"/>
  <c r="U347" i="11" s="1"/>
  <c r="U348" i="11" s="1"/>
  <c r="U349" i="11" s="1"/>
  <c r="AX345" i="11"/>
  <c r="AW345" i="11"/>
  <c r="AW346" i="11" s="1"/>
  <c r="AW347" i="11" s="1"/>
  <c r="AW348" i="11" s="1"/>
  <c r="AW349" i="11" s="1"/>
  <c r="E345" i="11"/>
  <c r="AJ345" i="11"/>
  <c r="AI345" i="11"/>
  <c r="AI346" i="11" s="1"/>
  <c r="AI347" i="11" s="1"/>
  <c r="AI348" i="11" s="1"/>
  <c r="AI349" i="11" s="1"/>
  <c r="F345" i="11"/>
  <c r="A350" i="11"/>
  <c r="V345" i="11"/>
  <c r="E676" i="12"/>
  <c r="E677" i="12"/>
  <c r="AK328" i="11"/>
  <c r="AO327" i="11"/>
  <c r="F661" i="12"/>
  <c r="F660" i="12"/>
  <c r="E669" i="12"/>
  <c r="E668" i="12"/>
  <c r="W340" i="11"/>
  <c r="V341" i="11"/>
  <c r="V342" i="11" s="1"/>
  <c r="V343" i="11" s="1"/>
  <c r="V344" i="11" s="1"/>
  <c r="W324" i="11"/>
  <c r="AA324" i="11" s="1"/>
  <c r="AA323" i="11"/>
  <c r="AK332" i="11"/>
  <c r="AO331" i="11"/>
  <c r="AA335" i="11"/>
  <c r="S335" i="11"/>
  <c r="S336" i="11" s="1"/>
  <c r="S337" i="11" s="1"/>
  <c r="S338" i="11" s="1"/>
  <c r="S339" i="11" s="1"/>
  <c r="W336" i="11"/>
  <c r="AX341" i="11"/>
  <c r="AX342" i="11" s="1"/>
  <c r="AX343" i="11" s="1"/>
  <c r="AX344" i="11" s="1"/>
  <c r="AY340" i="11"/>
  <c r="W328" i="11"/>
  <c r="AA327" i="11"/>
  <c r="U263" i="10"/>
  <c r="G264" i="10"/>
  <c r="U264" i="10" s="1"/>
  <c r="U266" i="10"/>
  <c r="G267" i="10"/>
  <c r="E686" i="12" l="1"/>
  <c r="E687" i="12"/>
  <c r="W341" i="11"/>
  <c r="S340" i="11"/>
  <c r="S341" i="11" s="1"/>
  <c r="S342" i="11" s="1"/>
  <c r="S343" i="11" s="1"/>
  <c r="S344" i="11" s="1"/>
  <c r="AA340" i="11"/>
  <c r="AY341" i="11"/>
  <c r="AU340" i="11"/>
  <c r="AU341" i="11" s="1"/>
  <c r="AU342" i="11" s="1"/>
  <c r="AU343" i="11" s="1"/>
  <c r="AU344" i="11" s="1"/>
  <c r="BC340" i="11"/>
  <c r="AK345" i="11"/>
  <c r="AJ346" i="11"/>
  <c r="AJ347" i="11" s="1"/>
  <c r="AJ348" i="11" s="1"/>
  <c r="AJ349" i="11" s="1"/>
  <c r="F679" i="12"/>
  <c r="F678" i="12"/>
  <c r="C345" i="11"/>
  <c r="C346" i="11" s="1"/>
  <c r="C347" i="11" s="1"/>
  <c r="C348" i="11" s="1"/>
  <c r="C349" i="11" s="1"/>
  <c r="E346" i="11"/>
  <c r="E347" i="11" s="1"/>
  <c r="E348" i="11" s="1"/>
  <c r="E349" i="11" s="1"/>
  <c r="G676" i="12"/>
  <c r="J675" i="12" s="1"/>
  <c r="G677" i="12"/>
  <c r="G329" i="11"/>
  <c r="K329" i="11" s="1"/>
  <c r="K328" i="11"/>
  <c r="AK337" i="11"/>
  <c r="AO336" i="11"/>
  <c r="G669" i="12"/>
  <c r="G668" i="12"/>
  <c r="K274" i="10"/>
  <c r="E275" i="10"/>
  <c r="Y274" i="10"/>
  <c r="S274" i="10"/>
  <c r="W333" i="11"/>
  <c r="AA332" i="11"/>
  <c r="AA336" i="11"/>
  <c r="W337" i="11"/>
  <c r="F662" i="12"/>
  <c r="F663" i="12"/>
  <c r="F664" i="12" s="1"/>
  <c r="J667" i="12"/>
  <c r="J668" i="12" s="1"/>
  <c r="J666" i="12"/>
  <c r="J673" i="12"/>
  <c r="J674" i="12" s="1"/>
  <c r="J669" i="12"/>
  <c r="J670" i="12" s="1"/>
  <c r="J671" i="12"/>
  <c r="J672" i="12" s="1"/>
  <c r="S268" i="10"/>
  <c r="K268" i="10"/>
  <c r="Y268" i="10"/>
  <c r="AY333" i="11"/>
  <c r="BC332" i="11"/>
  <c r="AK333" i="11"/>
  <c r="AO332" i="11"/>
  <c r="F275" i="10"/>
  <c r="T274" i="10"/>
  <c r="F695" i="12"/>
  <c r="A705" i="12"/>
  <c r="E695" i="12"/>
  <c r="K340" i="11"/>
  <c r="G341" i="11"/>
  <c r="G660" i="12"/>
  <c r="G661" i="12"/>
  <c r="K332" i="11"/>
  <c r="G333" i="11"/>
  <c r="V346" i="11"/>
  <c r="V347" i="11" s="1"/>
  <c r="V348" i="11" s="1"/>
  <c r="V349" i="11" s="1"/>
  <c r="W345" i="11"/>
  <c r="AW350" i="11"/>
  <c r="AW351" i="11" s="1"/>
  <c r="AW352" i="11" s="1"/>
  <c r="AW353" i="11" s="1"/>
  <c r="AW354" i="11" s="1"/>
  <c r="A355" i="11"/>
  <c r="AJ350" i="11"/>
  <c r="E350" i="11"/>
  <c r="V350" i="11"/>
  <c r="U350" i="11"/>
  <c r="U351" i="11" s="1"/>
  <c r="U352" i="11" s="1"/>
  <c r="U353" i="11" s="1"/>
  <c r="U354" i="11" s="1"/>
  <c r="AI350" i="11"/>
  <c r="AI351" i="11" s="1"/>
  <c r="AI352" i="11" s="1"/>
  <c r="AI353" i="11" s="1"/>
  <c r="AI354" i="11" s="1"/>
  <c r="F350" i="11"/>
  <c r="AX350" i="11"/>
  <c r="S271" i="10"/>
  <c r="K271" i="10"/>
  <c r="E272" i="10"/>
  <c r="Y271" i="10"/>
  <c r="G274" i="10"/>
  <c r="U273" i="10"/>
  <c r="G685" i="12"/>
  <c r="F686" i="12"/>
  <c r="C685" i="12" s="1"/>
  <c r="C686" i="12" s="1"/>
  <c r="C687" i="12" s="1"/>
  <c r="C688" i="12" s="1"/>
  <c r="C689" i="12" s="1"/>
  <c r="C690" i="12" s="1"/>
  <c r="C691" i="12" s="1"/>
  <c r="C692" i="12" s="1"/>
  <c r="C693" i="12" s="1"/>
  <c r="C694" i="12" s="1"/>
  <c r="F687" i="12"/>
  <c r="Q270" i="10"/>
  <c r="C271" i="10"/>
  <c r="F272" i="10"/>
  <c r="T272" i="10" s="1"/>
  <c r="T271" i="10"/>
  <c r="K336" i="11"/>
  <c r="G337" i="11"/>
  <c r="AY337" i="11"/>
  <c r="BC336" i="11"/>
  <c r="E278" i="10"/>
  <c r="C277" i="10"/>
  <c r="K277" i="10"/>
  <c r="Y277" i="10"/>
  <c r="S277" i="10"/>
  <c r="BC328" i="11"/>
  <c r="AY329" i="11"/>
  <c r="BC329" i="11" s="1"/>
  <c r="AY345" i="11"/>
  <c r="AX346" i="11"/>
  <c r="AX347" i="11" s="1"/>
  <c r="AX348" i="11" s="1"/>
  <c r="AX349" i="11" s="1"/>
  <c r="F670" i="12"/>
  <c r="F671" i="12"/>
  <c r="Q267" i="10"/>
  <c r="C268" i="10"/>
  <c r="Q268" i="10" s="1"/>
  <c r="A285" i="10"/>
  <c r="E281" i="10"/>
  <c r="A282" i="10"/>
  <c r="A283" i="10" s="1"/>
  <c r="A284" i="10" s="1"/>
  <c r="F281" i="10"/>
  <c r="AK329" i="11"/>
  <c r="AO329" i="11" s="1"/>
  <c r="AO328" i="11"/>
  <c r="AO340" i="11"/>
  <c r="AK341" i="11"/>
  <c r="AG340" i="11"/>
  <c r="AG341" i="11" s="1"/>
  <c r="AG342" i="11" s="1"/>
  <c r="AG343" i="11" s="1"/>
  <c r="AG344" i="11" s="1"/>
  <c r="E663" i="12"/>
  <c r="E664" i="12" s="1"/>
  <c r="E662" i="12"/>
  <c r="U267" i="10"/>
  <c r="G268" i="10"/>
  <c r="U268" i="10" s="1"/>
  <c r="E679" i="12"/>
  <c r="E678" i="12"/>
  <c r="G345" i="11"/>
  <c r="F346" i="11"/>
  <c r="F347" i="11" s="1"/>
  <c r="F348" i="11" s="1"/>
  <c r="F349" i="11" s="1"/>
  <c r="AA328" i="11"/>
  <c r="W329" i="11"/>
  <c r="AA329" i="11" s="1"/>
  <c r="E670" i="12"/>
  <c r="E671" i="12"/>
  <c r="G277" i="10"/>
  <c r="F278" i="10"/>
  <c r="T277" i="10"/>
  <c r="Q273" i="10"/>
  <c r="C274" i="10"/>
  <c r="G652" i="12"/>
  <c r="G653" i="12"/>
  <c r="G654" i="12" s="1"/>
  <c r="U270" i="10"/>
  <c r="G271" i="10"/>
  <c r="G275" i="10" l="1"/>
  <c r="U274" i="10"/>
  <c r="F355" i="11"/>
  <c r="AX355" i="11"/>
  <c r="E355" i="11"/>
  <c r="AW355" i="11"/>
  <c r="AW356" i="11" s="1"/>
  <c r="AW357" i="11" s="1"/>
  <c r="AW358" i="11" s="1"/>
  <c r="AW359" i="11" s="1"/>
  <c r="AJ355" i="11"/>
  <c r="AI355" i="11"/>
  <c r="AI356" i="11" s="1"/>
  <c r="AI357" i="11" s="1"/>
  <c r="AI358" i="11" s="1"/>
  <c r="AI359" i="11" s="1"/>
  <c r="A360" i="11"/>
  <c r="V355" i="11"/>
  <c r="U355" i="11"/>
  <c r="U356" i="11" s="1"/>
  <c r="U357" i="11" s="1"/>
  <c r="U358" i="11" s="1"/>
  <c r="U359" i="11" s="1"/>
  <c r="F696" i="12"/>
  <c r="G695" i="12"/>
  <c r="F697" i="12"/>
  <c r="F681" i="12"/>
  <c r="F680" i="12"/>
  <c r="K345" i="11"/>
  <c r="G346" i="11"/>
  <c r="F279" i="10"/>
  <c r="T278" i="10"/>
  <c r="G278" i="10"/>
  <c r="U277" i="10"/>
  <c r="F672" i="12"/>
  <c r="F673" i="12"/>
  <c r="F674" i="12" s="1"/>
  <c r="BC337" i="11"/>
  <c r="AY338" i="11"/>
  <c r="Q271" i="10"/>
  <c r="C272" i="10"/>
  <c r="Q272" i="10" s="1"/>
  <c r="G663" i="12"/>
  <c r="G664" i="12" s="1"/>
  <c r="G662" i="12"/>
  <c r="G679" i="12"/>
  <c r="G678" i="12"/>
  <c r="E673" i="12"/>
  <c r="E674" i="12" s="1"/>
  <c r="E672" i="12"/>
  <c r="K272" i="10"/>
  <c r="S272" i="10"/>
  <c r="Y272" i="10"/>
  <c r="S345" i="11"/>
  <c r="S346" i="11" s="1"/>
  <c r="S347" i="11" s="1"/>
  <c r="S348" i="11" s="1"/>
  <c r="S349" i="11" s="1"/>
  <c r="W346" i="11"/>
  <c r="AA345" i="11"/>
  <c r="F276" i="10"/>
  <c r="T276" i="10" s="1"/>
  <c r="T275" i="10"/>
  <c r="G670" i="12"/>
  <c r="G671" i="12"/>
  <c r="AO341" i="11"/>
  <c r="AK342" i="11"/>
  <c r="G334" i="11"/>
  <c r="K334" i="11" s="1"/>
  <c r="K333" i="11"/>
  <c r="AO333" i="11"/>
  <c r="AK334" i="11"/>
  <c r="AO334" i="11" s="1"/>
  <c r="AK338" i="11"/>
  <c r="AO337" i="11"/>
  <c r="W338" i="11"/>
  <c r="AA337" i="11"/>
  <c r="AY342" i="11"/>
  <c r="BC341" i="11"/>
  <c r="F351" i="11"/>
  <c r="F352" i="11" s="1"/>
  <c r="F353" i="11" s="1"/>
  <c r="F354" i="11" s="1"/>
  <c r="G350" i="11"/>
  <c r="AY334" i="11"/>
  <c r="BC334" i="11" s="1"/>
  <c r="BC333" i="11"/>
  <c r="F282" i="10"/>
  <c r="T281" i="10"/>
  <c r="G281" i="10"/>
  <c r="G342" i="11"/>
  <c r="K341" i="11"/>
  <c r="W334" i="11"/>
  <c r="AA334" i="11" s="1"/>
  <c r="AA333" i="11"/>
  <c r="J676" i="12"/>
  <c r="J677" i="12"/>
  <c r="J678" i="12" s="1"/>
  <c r="J683" i="12"/>
  <c r="J684" i="12" s="1"/>
  <c r="J679" i="12"/>
  <c r="J680" i="12" s="1"/>
  <c r="J681" i="12"/>
  <c r="J682" i="12" s="1"/>
  <c r="W342" i="11"/>
  <c r="AA341" i="11"/>
  <c r="K337" i="11"/>
  <c r="G338" i="11"/>
  <c r="AK346" i="11"/>
  <c r="AO345" i="11"/>
  <c r="AG345" i="11"/>
  <c r="AG346" i="11" s="1"/>
  <c r="AG347" i="11" s="1"/>
  <c r="AG348" i="11" s="1"/>
  <c r="AG349" i="11" s="1"/>
  <c r="AU345" i="11"/>
  <c r="AU346" i="11" s="1"/>
  <c r="AU347" i="11" s="1"/>
  <c r="AU348" i="11" s="1"/>
  <c r="AU349" i="11" s="1"/>
  <c r="AY346" i="11"/>
  <c r="BC345" i="11"/>
  <c r="G272" i="10"/>
  <c r="U272" i="10" s="1"/>
  <c r="U271" i="10"/>
  <c r="Q274" i="10"/>
  <c r="C275" i="10"/>
  <c r="E680" i="12"/>
  <c r="E681" i="12"/>
  <c r="W350" i="11"/>
  <c r="V351" i="11"/>
  <c r="V352" i="11" s="1"/>
  <c r="V353" i="11" s="1"/>
  <c r="V354" i="11" s="1"/>
  <c r="E689" i="12"/>
  <c r="E688" i="12"/>
  <c r="AX351" i="11"/>
  <c r="AX352" i="11" s="1"/>
  <c r="AX353" i="11" s="1"/>
  <c r="AX354" i="11" s="1"/>
  <c r="AY350" i="11"/>
  <c r="Q277" i="10"/>
  <c r="C278" i="10"/>
  <c r="G687" i="12"/>
  <c r="G686" i="12"/>
  <c r="J685" i="12" s="1"/>
  <c r="F688" i="12"/>
  <c r="F689" i="12"/>
  <c r="E282" i="10"/>
  <c r="C281" i="10"/>
  <c r="Y281" i="10"/>
  <c r="K281" i="10"/>
  <c r="S281" i="10"/>
  <c r="A286" i="10"/>
  <c r="A287" i="10" s="1"/>
  <c r="A288" i="10" s="1"/>
  <c r="F285" i="10"/>
  <c r="E285" i="10"/>
  <c r="A289" i="10"/>
  <c r="E351" i="11"/>
  <c r="E352" i="11" s="1"/>
  <c r="E353" i="11" s="1"/>
  <c r="E354" i="11" s="1"/>
  <c r="C350" i="11"/>
  <c r="C351" i="11" s="1"/>
  <c r="C352" i="11" s="1"/>
  <c r="C353" i="11" s="1"/>
  <c r="C354" i="11" s="1"/>
  <c r="E697" i="12"/>
  <c r="E696" i="12"/>
  <c r="C695" i="12"/>
  <c r="C696" i="12" s="1"/>
  <c r="C697" i="12" s="1"/>
  <c r="C698" i="12" s="1"/>
  <c r="C699" i="12" s="1"/>
  <c r="C700" i="12" s="1"/>
  <c r="C701" i="12" s="1"/>
  <c r="C702" i="12" s="1"/>
  <c r="C703" i="12" s="1"/>
  <c r="C704" i="12" s="1"/>
  <c r="E279" i="10"/>
  <c r="Y278" i="10"/>
  <c r="S278" i="10"/>
  <c r="K278" i="10"/>
  <c r="AJ351" i="11"/>
  <c r="AJ352" i="11" s="1"/>
  <c r="AJ353" i="11" s="1"/>
  <c r="AJ354" i="11" s="1"/>
  <c r="AK350" i="11"/>
  <c r="F705" i="12"/>
  <c r="A715" i="12"/>
  <c r="E705" i="12"/>
  <c r="K275" i="10"/>
  <c r="E276" i="10"/>
  <c r="S275" i="10"/>
  <c r="Y275" i="10"/>
  <c r="K350" i="11" l="1"/>
  <c r="G351" i="11"/>
  <c r="AK351" i="11"/>
  <c r="AG350" i="11"/>
  <c r="AG351" i="11" s="1"/>
  <c r="AG352" i="11" s="1"/>
  <c r="AG353" i="11" s="1"/>
  <c r="AG354" i="11" s="1"/>
  <c r="AO350" i="11"/>
  <c r="Y285" i="10"/>
  <c r="S285" i="10"/>
  <c r="K285" i="10"/>
  <c r="E286" i="10"/>
  <c r="C285" i="10"/>
  <c r="C279" i="10"/>
  <c r="Q278" i="10"/>
  <c r="G279" i="10"/>
  <c r="U278" i="10"/>
  <c r="AJ356" i="11"/>
  <c r="AJ357" i="11" s="1"/>
  <c r="AJ358" i="11" s="1"/>
  <c r="AJ359" i="11" s="1"/>
  <c r="AK355" i="11"/>
  <c r="G285" i="10"/>
  <c r="F286" i="10"/>
  <c r="T285" i="10"/>
  <c r="V356" i="11"/>
  <c r="V357" i="11" s="1"/>
  <c r="V358" i="11" s="1"/>
  <c r="V359" i="11" s="1"/>
  <c r="W355" i="11"/>
  <c r="BC346" i="11"/>
  <c r="AY347" i="11"/>
  <c r="A365" i="11"/>
  <c r="AJ360" i="11"/>
  <c r="E360" i="11"/>
  <c r="AI360" i="11"/>
  <c r="AI361" i="11" s="1"/>
  <c r="AI362" i="11" s="1"/>
  <c r="AI363" i="11" s="1"/>
  <c r="AI364" i="11" s="1"/>
  <c r="V360" i="11"/>
  <c r="U360" i="11"/>
  <c r="U361" i="11" s="1"/>
  <c r="U362" i="11" s="1"/>
  <c r="U363" i="11" s="1"/>
  <c r="U364" i="11" s="1"/>
  <c r="AX360" i="11"/>
  <c r="F360" i="11"/>
  <c r="AW360" i="11"/>
  <c r="AW361" i="11" s="1"/>
  <c r="AW362" i="11" s="1"/>
  <c r="AW363" i="11" s="1"/>
  <c r="AW364" i="11" s="1"/>
  <c r="G680" i="12"/>
  <c r="G681" i="12"/>
  <c r="K346" i="11"/>
  <c r="G347" i="11"/>
  <c r="Y276" i="10"/>
  <c r="S276" i="10"/>
  <c r="K276" i="10"/>
  <c r="E283" i="10"/>
  <c r="Y282" i="10"/>
  <c r="S282" i="10"/>
  <c r="K282" i="10"/>
  <c r="AA350" i="11"/>
  <c r="S350" i="11"/>
  <c r="S351" i="11" s="1"/>
  <c r="S352" i="11" s="1"/>
  <c r="S353" i="11" s="1"/>
  <c r="S354" i="11" s="1"/>
  <c r="W351" i="11"/>
  <c r="AK347" i="11"/>
  <c r="AO346" i="11"/>
  <c r="AA338" i="11"/>
  <c r="W339" i="11"/>
  <c r="AA339" i="11" s="1"/>
  <c r="E356" i="11"/>
  <c r="E357" i="11" s="1"/>
  <c r="E358" i="11" s="1"/>
  <c r="E359" i="11" s="1"/>
  <c r="AU350" i="11"/>
  <c r="AU351" i="11" s="1"/>
  <c r="AU352" i="11" s="1"/>
  <c r="AU353" i="11" s="1"/>
  <c r="AU354" i="11" s="1"/>
  <c r="BC350" i="11"/>
  <c r="AY351" i="11"/>
  <c r="AO342" i="11"/>
  <c r="AK343" i="11"/>
  <c r="C282" i="10"/>
  <c r="Q281" i="10"/>
  <c r="E699" i="12"/>
  <c r="E698" i="12"/>
  <c r="F690" i="12"/>
  <c r="F691" i="12"/>
  <c r="E683" i="12"/>
  <c r="E684" i="12" s="1"/>
  <c r="E682" i="12"/>
  <c r="K338" i="11"/>
  <c r="G339" i="11"/>
  <c r="K339" i="11" s="1"/>
  <c r="G343" i="11"/>
  <c r="K342" i="11"/>
  <c r="AX356" i="11"/>
  <c r="AX357" i="11" s="1"/>
  <c r="AX358" i="11" s="1"/>
  <c r="AX359" i="11" s="1"/>
  <c r="AY355" i="11"/>
  <c r="E280" i="10"/>
  <c r="Y279" i="10"/>
  <c r="S279" i="10"/>
  <c r="K279" i="10"/>
  <c r="E690" i="12"/>
  <c r="E691" i="12"/>
  <c r="AY343" i="11"/>
  <c r="BC342" i="11"/>
  <c r="F280" i="10"/>
  <c r="T280" i="10" s="1"/>
  <c r="T279" i="10"/>
  <c r="E707" i="12"/>
  <c r="E706" i="12"/>
  <c r="U281" i="10"/>
  <c r="G282" i="10"/>
  <c r="AK339" i="11"/>
  <c r="AO339" i="11" s="1"/>
  <c r="AO338" i="11"/>
  <c r="AA346" i="11"/>
  <c r="W347" i="11"/>
  <c r="F683" i="12"/>
  <c r="F684" i="12" s="1"/>
  <c r="F682" i="12"/>
  <c r="G355" i="11"/>
  <c r="C355" i="11" s="1"/>
  <c r="C356" i="11" s="1"/>
  <c r="C357" i="11" s="1"/>
  <c r="C358" i="11" s="1"/>
  <c r="C359" i="11" s="1"/>
  <c r="F356" i="11"/>
  <c r="F357" i="11" s="1"/>
  <c r="F358" i="11" s="1"/>
  <c r="F359" i="11" s="1"/>
  <c r="G673" i="12"/>
  <c r="G674" i="12" s="1"/>
  <c r="G672" i="12"/>
  <c r="J689" i="12"/>
  <c r="J690" i="12" s="1"/>
  <c r="J693" i="12"/>
  <c r="J694" i="12" s="1"/>
  <c r="J686" i="12"/>
  <c r="J687" i="12"/>
  <c r="J688" i="12" s="1"/>
  <c r="J691" i="12"/>
  <c r="J692" i="12" s="1"/>
  <c r="Q275" i="10"/>
  <c r="C276" i="10"/>
  <c r="Q276" i="10" s="1"/>
  <c r="BC338" i="11"/>
  <c r="AY339" i="11"/>
  <c r="BC339" i="11" s="1"/>
  <c r="F699" i="12"/>
  <c r="F698" i="12"/>
  <c r="A725" i="12"/>
  <c r="F715" i="12"/>
  <c r="E715" i="12"/>
  <c r="F707" i="12"/>
  <c r="F706" i="12"/>
  <c r="C705" i="12" s="1"/>
  <c r="C706" i="12" s="1"/>
  <c r="C707" i="12" s="1"/>
  <c r="C708" i="12" s="1"/>
  <c r="C709" i="12" s="1"/>
  <c r="C710" i="12" s="1"/>
  <c r="C711" i="12" s="1"/>
  <c r="C712" i="12" s="1"/>
  <c r="C713" i="12" s="1"/>
  <c r="C714" i="12" s="1"/>
  <c r="G705" i="12"/>
  <c r="A293" i="10"/>
  <c r="A290" i="10"/>
  <c r="A291" i="10" s="1"/>
  <c r="A292" i="10" s="1"/>
  <c r="F289" i="10"/>
  <c r="E289" i="10"/>
  <c r="G688" i="12"/>
  <c r="G689" i="12"/>
  <c r="W343" i="11"/>
  <c r="AA342" i="11"/>
  <c r="F283" i="10"/>
  <c r="T282" i="10"/>
  <c r="G696" i="12"/>
  <c r="J695" i="12" s="1"/>
  <c r="G697" i="12"/>
  <c r="G276" i="10"/>
  <c r="U276" i="10" s="1"/>
  <c r="U275" i="10"/>
  <c r="F701" i="12" l="1"/>
  <c r="F700" i="12"/>
  <c r="C283" i="10"/>
  <c r="Q282" i="10"/>
  <c r="AA351" i="11"/>
  <c r="W352" i="11"/>
  <c r="G683" i="12"/>
  <c r="G684" i="12" s="1"/>
  <c r="G682" i="12"/>
  <c r="J696" i="12"/>
  <c r="J701" i="12"/>
  <c r="J702" i="12" s="1"/>
  <c r="J697" i="12"/>
  <c r="J698" i="12" s="1"/>
  <c r="J703" i="12"/>
  <c r="J704" i="12" s="1"/>
  <c r="J699" i="12"/>
  <c r="J700" i="12" s="1"/>
  <c r="W344" i="11"/>
  <c r="AA344" i="11" s="1"/>
  <c r="AA343" i="11"/>
  <c r="Y280" i="10"/>
  <c r="K280" i="10"/>
  <c r="S280" i="10"/>
  <c r="E700" i="12"/>
  <c r="E701" i="12"/>
  <c r="K347" i="11"/>
  <c r="G348" i="11"/>
  <c r="U365" i="11"/>
  <c r="U366" i="11" s="1"/>
  <c r="U367" i="11" s="1"/>
  <c r="U368" i="11" s="1"/>
  <c r="U369" i="11" s="1"/>
  <c r="E365" i="11"/>
  <c r="AJ365" i="11"/>
  <c r="AI365" i="11"/>
  <c r="AI366" i="11" s="1"/>
  <c r="AI367" i="11" s="1"/>
  <c r="AI368" i="11" s="1"/>
  <c r="AI369" i="11" s="1"/>
  <c r="AX365" i="11"/>
  <c r="AW365" i="11"/>
  <c r="AW366" i="11" s="1"/>
  <c r="AW367" i="11" s="1"/>
  <c r="AW368" i="11" s="1"/>
  <c r="AW369" i="11" s="1"/>
  <c r="F365" i="11"/>
  <c r="A370" i="11"/>
  <c r="V365" i="11"/>
  <c r="E709" i="12"/>
  <c r="E708" i="12"/>
  <c r="W356" i="11"/>
  <c r="AA355" i="11"/>
  <c r="S355" i="11"/>
  <c r="S356" i="11" s="1"/>
  <c r="S357" i="11" s="1"/>
  <c r="S358" i="11" s="1"/>
  <c r="S359" i="11" s="1"/>
  <c r="F709" i="12"/>
  <c r="F708" i="12"/>
  <c r="T283" i="10"/>
  <c r="F284" i="10"/>
  <c r="T284" i="10" s="1"/>
  <c r="F716" i="12"/>
  <c r="F717" i="12"/>
  <c r="G715" i="12"/>
  <c r="F725" i="12"/>
  <c r="A735" i="12"/>
  <c r="E725" i="12"/>
  <c r="G691" i="12"/>
  <c r="G690" i="12"/>
  <c r="AY356" i="11"/>
  <c r="AU355" i="11"/>
  <c r="AU356" i="11" s="1"/>
  <c r="AU357" i="11" s="1"/>
  <c r="AU358" i="11" s="1"/>
  <c r="AU359" i="11" s="1"/>
  <c r="BC355" i="11"/>
  <c r="AK348" i="11"/>
  <c r="AO347" i="11"/>
  <c r="AY348" i="11"/>
  <c r="BC347" i="11"/>
  <c r="C280" i="10"/>
  <c r="Q280" i="10" s="1"/>
  <c r="Q279" i="10"/>
  <c r="BC351" i="11"/>
  <c r="AY352" i="11"/>
  <c r="U285" i="10"/>
  <c r="G286" i="10"/>
  <c r="AO343" i="11"/>
  <c r="AK344" i="11"/>
  <c r="AO344" i="11" s="1"/>
  <c r="Y286" i="10"/>
  <c r="S286" i="10"/>
  <c r="E287" i="10"/>
  <c r="K286" i="10"/>
  <c r="K343" i="11"/>
  <c r="G344" i="11"/>
  <c r="K344" i="11" s="1"/>
  <c r="F293" i="10"/>
  <c r="E293" i="10"/>
  <c r="A294" i="10"/>
  <c r="A295" i="10" s="1"/>
  <c r="A296" i="10" s="1"/>
  <c r="A297" i="10"/>
  <c r="BC343" i="11"/>
  <c r="AY344" i="11"/>
  <c r="BC344" i="11" s="1"/>
  <c r="Y283" i="10"/>
  <c r="S283" i="10"/>
  <c r="K283" i="10"/>
  <c r="E284" i="10"/>
  <c r="W360" i="11"/>
  <c r="V361" i="11"/>
  <c r="V362" i="11" s="1"/>
  <c r="V363" i="11" s="1"/>
  <c r="V364" i="11" s="1"/>
  <c r="AK356" i="11"/>
  <c r="AO355" i="11"/>
  <c r="AG355" i="11"/>
  <c r="AG356" i="11" s="1"/>
  <c r="AG357" i="11" s="1"/>
  <c r="AG358" i="11" s="1"/>
  <c r="AG359" i="11" s="1"/>
  <c r="C286" i="10"/>
  <c r="Q285" i="10"/>
  <c r="Y289" i="10"/>
  <c r="S289" i="10"/>
  <c r="K289" i="10"/>
  <c r="E290" i="10"/>
  <c r="C289" i="10"/>
  <c r="F361" i="11"/>
  <c r="F362" i="11" s="1"/>
  <c r="F363" i="11" s="1"/>
  <c r="F364" i="11" s="1"/>
  <c r="G360" i="11"/>
  <c r="C360" i="11" s="1"/>
  <c r="C361" i="11" s="1"/>
  <c r="C362" i="11" s="1"/>
  <c r="C363" i="11" s="1"/>
  <c r="C364" i="11" s="1"/>
  <c r="AA347" i="11"/>
  <c r="W348" i="11"/>
  <c r="F692" i="12"/>
  <c r="F693" i="12"/>
  <c r="F694" i="12" s="1"/>
  <c r="AO351" i="11"/>
  <c r="AK352" i="11"/>
  <c r="K355" i="11"/>
  <c r="G356" i="11"/>
  <c r="T289" i="10"/>
  <c r="F290" i="10"/>
  <c r="G289" i="10"/>
  <c r="AX361" i="11"/>
  <c r="AX362" i="11" s="1"/>
  <c r="AX363" i="11" s="1"/>
  <c r="AX364" i="11" s="1"/>
  <c r="AY360" i="11"/>
  <c r="T286" i="10"/>
  <c r="F287" i="10"/>
  <c r="G698" i="12"/>
  <c r="G699" i="12"/>
  <c r="G707" i="12"/>
  <c r="G706" i="12"/>
  <c r="J705" i="12" s="1"/>
  <c r="E693" i="12"/>
  <c r="E694" i="12" s="1"/>
  <c r="E692" i="12"/>
  <c r="E717" i="12"/>
  <c r="E716" i="12"/>
  <c r="C715" i="12"/>
  <c r="C716" i="12" s="1"/>
  <c r="C717" i="12" s="1"/>
  <c r="C718" i="12" s="1"/>
  <c r="C719" i="12" s="1"/>
  <c r="C720" i="12" s="1"/>
  <c r="C721" i="12" s="1"/>
  <c r="C722" i="12" s="1"/>
  <c r="C723" i="12" s="1"/>
  <c r="C724" i="12" s="1"/>
  <c r="U282" i="10"/>
  <c r="G283" i="10"/>
  <c r="E361" i="11"/>
  <c r="E362" i="11" s="1"/>
  <c r="E363" i="11" s="1"/>
  <c r="E364" i="11" s="1"/>
  <c r="G352" i="11"/>
  <c r="K351" i="11"/>
  <c r="AJ361" i="11"/>
  <c r="AJ362" i="11" s="1"/>
  <c r="AJ363" i="11" s="1"/>
  <c r="AJ364" i="11" s="1"/>
  <c r="AK360" i="11"/>
  <c r="G280" i="10"/>
  <c r="U280" i="10" s="1"/>
  <c r="U279" i="10"/>
  <c r="E366" i="11" l="1"/>
  <c r="E367" i="11" s="1"/>
  <c r="E368" i="11" s="1"/>
  <c r="E369" i="11" s="1"/>
  <c r="C365" i="11"/>
  <c r="C366" i="11" s="1"/>
  <c r="C367" i="11" s="1"/>
  <c r="C368" i="11" s="1"/>
  <c r="C369" i="11" s="1"/>
  <c r="T287" i="10"/>
  <c r="F288" i="10"/>
  <c r="T288" i="10" s="1"/>
  <c r="U283" i="10"/>
  <c r="G284" i="10"/>
  <c r="U284" i="10" s="1"/>
  <c r="AA348" i="11"/>
  <c r="W349" i="11"/>
  <c r="AA349" i="11" s="1"/>
  <c r="S293" i="10"/>
  <c r="K293" i="10"/>
  <c r="C293" i="10"/>
  <c r="E294" i="10"/>
  <c r="Y293" i="10"/>
  <c r="BC352" i="11"/>
  <c r="AY353" i="11"/>
  <c r="G693" i="12"/>
  <c r="G694" i="12" s="1"/>
  <c r="G692" i="12"/>
  <c r="F727" i="12"/>
  <c r="F726" i="12"/>
  <c r="C725" i="12" s="1"/>
  <c r="C726" i="12" s="1"/>
  <c r="C727" i="12" s="1"/>
  <c r="C728" i="12" s="1"/>
  <c r="C729" i="12" s="1"/>
  <c r="C730" i="12" s="1"/>
  <c r="C731" i="12" s="1"/>
  <c r="C732" i="12" s="1"/>
  <c r="C733" i="12" s="1"/>
  <c r="C734" i="12" s="1"/>
  <c r="G725" i="12"/>
  <c r="E710" i="12"/>
  <c r="E711" i="12"/>
  <c r="T290" i="10"/>
  <c r="F291" i="10"/>
  <c r="V366" i="11"/>
  <c r="V367" i="11" s="1"/>
  <c r="V368" i="11" s="1"/>
  <c r="V369" i="11" s="1"/>
  <c r="W365" i="11"/>
  <c r="AY349" i="11"/>
  <c r="BC349" i="11" s="1"/>
  <c r="BC348" i="11"/>
  <c r="AK349" i="11"/>
  <c r="AO349" i="11" s="1"/>
  <c r="AO348" i="11"/>
  <c r="BC360" i="11"/>
  <c r="AU360" i="11"/>
  <c r="AU361" i="11" s="1"/>
  <c r="AU362" i="11" s="1"/>
  <c r="AU363" i="11" s="1"/>
  <c r="AU364" i="11" s="1"/>
  <c r="AY361" i="11"/>
  <c r="T293" i="10"/>
  <c r="G293" i="10"/>
  <c r="F294" i="10"/>
  <c r="E727" i="12"/>
  <c r="E726" i="12"/>
  <c r="W357" i="11"/>
  <c r="AA356" i="11"/>
  <c r="G349" i="11"/>
  <c r="K349" i="11" s="1"/>
  <c r="K348" i="11"/>
  <c r="G361" i="11"/>
  <c r="K360" i="11"/>
  <c r="E735" i="12"/>
  <c r="F735" i="12"/>
  <c r="A745" i="12"/>
  <c r="U289" i="10"/>
  <c r="G290" i="10"/>
  <c r="S360" i="11"/>
  <c r="S361" i="11" s="1"/>
  <c r="S362" i="11" s="1"/>
  <c r="S363" i="11" s="1"/>
  <c r="S364" i="11" s="1"/>
  <c r="AA360" i="11"/>
  <c r="W361" i="11"/>
  <c r="E703" i="12"/>
  <c r="E704" i="12" s="1"/>
  <c r="E702" i="12"/>
  <c r="E718" i="12"/>
  <c r="E719" i="12"/>
  <c r="Y284" i="10"/>
  <c r="S284" i="10"/>
  <c r="K284" i="10"/>
  <c r="J709" i="12"/>
  <c r="J710" i="12" s="1"/>
  <c r="J713" i="12"/>
  <c r="J714" i="12" s="1"/>
  <c r="J711" i="12"/>
  <c r="J712" i="12" s="1"/>
  <c r="J707" i="12"/>
  <c r="J708" i="12" s="1"/>
  <c r="J706" i="12"/>
  <c r="AY365" i="11"/>
  <c r="AX366" i="11"/>
  <c r="AX367" i="11" s="1"/>
  <c r="AX368" i="11" s="1"/>
  <c r="AX369" i="11" s="1"/>
  <c r="C284" i="10"/>
  <c r="Q284" i="10" s="1"/>
  <c r="Q283" i="10"/>
  <c r="G717" i="12"/>
  <c r="G716" i="12"/>
  <c r="J715" i="12" s="1"/>
  <c r="S290" i="10"/>
  <c r="K290" i="10"/>
  <c r="Y290" i="10"/>
  <c r="E291" i="10"/>
  <c r="Y287" i="10"/>
  <c r="E288" i="10"/>
  <c r="S287" i="10"/>
  <c r="K287" i="10"/>
  <c r="F719" i="12"/>
  <c r="F718" i="12"/>
  <c r="V370" i="11"/>
  <c r="AW370" i="11"/>
  <c r="AW371" i="11" s="1"/>
  <c r="AW372" i="11" s="1"/>
  <c r="AW373" i="11" s="1"/>
  <c r="AW374" i="11" s="1"/>
  <c r="AX370" i="11"/>
  <c r="F370" i="11"/>
  <c r="E370" i="11"/>
  <c r="U370" i="11"/>
  <c r="U371" i="11" s="1"/>
  <c r="U372" i="11" s="1"/>
  <c r="U373" i="11" s="1"/>
  <c r="U374" i="11" s="1"/>
  <c r="AJ370" i="11"/>
  <c r="AI370" i="11"/>
  <c r="AI371" i="11" s="1"/>
  <c r="AI372" i="11" s="1"/>
  <c r="AI373" i="11" s="1"/>
  <c r="AI374" i="11" s="1"/>
  <c r="A375" i="11"/>
  <c r="W353" i="11"/>
  <c r="AA352" i="11"/>
  <c r="AK361" i="11"/>
  <c r="AG360" i="11"/>
  <c r="AG361" i="11" s="1"/>
  <c r="AG362" i="11" s="1"/>
  <c r="AG363" i="11" s="1"/>
  <c r="AG364" i="11" s="1"/>
  <c r="AO360" i="11"/>
  <c r="K356" i="11"/>
  <c r="G357" i="11"/>
  <c r="K352" i="11"/>
  <c r="G353" i="11"/>
  <c r="G700" i="12"/>
  <c r="G701" i="12"/>
  <c r="AK357" i="11"/>
  <c r="AO356" i="11"/>
  <c r="C290" i="10"/>
  <c r="Q289" i="10"/>
  <c r="G365" i="11"/>
  <c r="F366" i="11"/>
  <c r="F367" i="11" s="1"/>
  <c r="F368" i="11" s="1"/>
  <c r="F369" i="11" s="1"/>
  <c r="G709" i="12"/>
  <c r="G708" i="12"/>
  <c r="AO352" i="11"/>
  <c r="AK353" i="11"/>
  <c r="C287" i="10"/>
  <c r="Q286" i="10"/>
  <c r="F297" i="10"/>
  <c r="A301" i="10"/>
  <c r="A298" i="10"/>
  <c r="A299" i="10" s="1"/>
  <c r="A300" i="10" s="1"/>
  <c r="E297" i="10"/>
  <c r="U286" i="10"/>
  <c r="G287" i="10"/>
  <c r="AY357" i="11"/>
  <c r="BC356" i="11"/>
  <c r="F710" i="12"/>
  <c r="F711" i="12"/>
  <c r="AK365" i="11"/>
  <c r="AJ366" i="11"/>
  <c r="AJ367" i="11" s="1"/>
  <c r="AJ368" i="11" s="1"/>
  <c r="AJ369" i="11" s="1"/>
  <c r="F703" i="12"/>
  <c r="F704" i="12" s="1"/>
  <c r="F702" i="12"/>
  <c r="E737" i="12" l="1"/>
  <c r="E736" i="12"/>
  <c r="E713" i="12"/>
  <c r="E714" i="12" s="1"/>
  <c r="E712" i="12"/>
  <c r="BC361" i="11"/>
  <c r="AY362" i="11"/>
  <c r="W354" i="11"/>
  <c r="AA354" i="11" s="1"/>
  <c r="AA353" i="11"/>
  <c r="G703" i="12"/>
  <c r="G704" i="12" s="1"/>
  <c r="G702" i="12"/>
  <c r="U290" i="10"/>
  <c r="G291" i="10"/>
  <c r="AA365" i="11"/>
  <c r="W366" i="11"/>
  <c r="S365" i="11"/>
  <c r="S366" i="11" s="1"/>
  <c r="S367" i="11" s="1"/>
  <c r="S368" i="11" s="1"/>
  <c r="S369" i="11" s="1"/>
  <c r="BC357" i="11"/>
  <c r="AY358" i="11"/>
  <c r="G711" i="12"/>
  <c r="G710" i="12"/>
  <c r="AX371" i="11"/>
  <c r="AX372" i="11" s="1"/>
  <c r="AX373" i="11" s="1"/>
  <c r="AX374" i="11" s="1"/>
  <c r="AY370" i="11"/>
  <c r="A755" i="12"/>
  <c r="F745" i="12"/>
  <c r="E745" i="12"/>
  <c r="T294" i="10"/>
  <c r="F295" i="10"/>
  <c r="T291" i="10"/>
  <c r="F292" i="10"/>
  <c r="T292" i="10" s="1"/>
  <c r="S294" i="10"/>
  <c r="K294" i="10"/>
  <c r="Y294" i="10"/>
  <c r="E295" i="10"/>
  <c r="J716" i="12"/>
  <c r="J723" i="12"/>
  <c r="J724" i="12" s="1"/>
  <c r="J719" i="12"/>
  <c r="J720" i="12" s="1"/>
  <c r="J721" i="12"/>
  <c r="J722" i="12" s="1"/>
  <c r="J717" i="12"/>
  <c r="J718" i="12" s="1"/>
  <c r="G735" i="12"/>
  <c r="F737" i="12"/>
  <c r="F736" i="12"/>
  <c r="C735" i="12" s="1"/>
  <c r="C736" i="12" s="1"/>
  <c r="C737" i="12" s="1"/>
  <c r="C738" i="12" s="1"/>
  <c r="C739" i="12" s="1"/>
  <c r="C740" i="12" s="1"/>
  <c r="C741" i="12" s="1"/>
  <c r="C742" i="12" s="1"/>
  <c r="C743" i="12" s="1"/>
  <c r="C744" i="12" s="1"/>
  <c r="G294" i="10"/>
  <c r="U293" i="10"/>
  <c r="Q293" i="10"/>
  <c r="C294" i="10"/>
  <c r="U287" i="10"/>
  <c r="G288" i="10"/>
  <c r="U288" i="10" s="1"/>
  <c r="G366" i="11"/>
  <c r="K365" i="11"/>
  <c r="W370" i="11"/>
  <c r="V371" i="11"/>
  <c r="V372" i="11" s="1"/>
  <c r="V373" i="11" s="1"/>
  <c r="V374" i="11" s="1"/>
  <c r="G718" i="12"/>
  <c r="G719" i="12"/>
  <c r="K297" i="10"/>
  <c r="E298" i="10"/>
  <c r="C297" i="10"/>
  <c r="Y297" i="10"/>
  <c r="S297" i="10"/>
  <c r="AK362" i="11"/>
  <c r="AO361" i="11"/>
  <c r="E720" i="12"/>
  <c r="E721" i="12"/>
  <c r="AK358" i="11"/>
  <c r="AO357" i="11"/>
  <c r="AA357" i="11"/>
  <c r="W358" i="11"/>
  <c r="Q290" i="10"/>
  <c r="C291" i="10"/>
  <c r="S288" i="10"/>
  <c r="K288" i="10"/>
  <c r="Y288" i="10"/>
  <c r="W362" i="11"/>
  <c r="AA361" i="11"/>
  <c r="AG365" i="11"/>
  <c r="AG366" i="11" s="1"/>
  <c r="AG367" i="11" s="1"/>
  <c r="AG368" i="11" s="1"/>
  <c r="AG369" i="11" s="1"/>
  <c r="AO365" i="11"/>
  <c r="AK366" i="11"/>
  <c r="Q287" i="10"/>
  <c r="C288" i="10"/>
  <c r="Q288" i="10" s="1"/>
  <c r="AJ371" i="11"/>
  <c r="AJ372" i="11" s="1"/>
  <c r="AJ373" i="11" s="1"/>
  <c r="AJ374" i="11" s="1"/>
  <c r="AK370" i="11"/>
  <c r="F712" i="12"/>
  <c r="F713" i="12"/>
  <c r="F714" i="12" s="1"/>
  <c r="AO353" i="11"/>
  <c r="AK354" i="11"/>
  <c r="AO354" i="11" s="1"/>
  <c r="G354" i="11"/>
  <c r="K354" i="11" s="1"/>
  <c r="K353" i="11"/>
  <c r="S291" i="10"/>
  <c r="K291" i="10"/>
  <c r="E292" i="10"/>
  <c r="Y291" i="10"/>
  <c r="BC353" i="11"/>
  <c r="AY354" i="11"/>
  <c r="BC354" i="11" s="1"/>
  <c r="F301" i="10"/>
  <c r="A305" i="10"/>
  <c r="E301" i="10"/>
  <c r="A302" i="10"/>
  <c r="A303" i="10" s="1"/>
  <c r="A304" i="10" s="1"/>
  <c r="V375" i="11"/>
  <c r="U375" i="11"/>
  <c r="U376" i="11" s="1"/>
  <c r="U377" i="11" s="1"/>
  <c r="U378" i="11" s="1"/>
  <c r="U379" i="11" s="1"/>
  <c r="AX375" i="11"/>
  <c r="F375" i="11"/>
  <c r="E375" i="11"/>
  <c r="AW375" i="11"/>
  <c r="AW376" i="11" s="1"/>
  <c r="AW377" i="11" s="1"/>
  <c r="AW378" i="11" s="1"/>
  <c r="AW379" i="11" s="1"/>
  <c r="A380" i="11"/>
  <c r="AJ375" i="11"/>
  <c r="AI375" i="11"/>
  <c r="AI376" i="11" s="1"/>
  <c r="AI377" i="11" s="1"/>
  <c r="AI378" i="11" s="1"/>
  <c r="AI379" i="11" s="1"/>
  <c r="F729" i="12"/>
  <c r="F728" i="12"/>
  <c r="F720" i="12"/>
  <c r="F721" i="12"/>
  <c r="G362" i="11"/>
  <c r="K361" i="11"/>
  <c r="G727" i="12"/>
  <c r="G726" i="12"/>
  <c r="J725" i="12" s="1"/>
  <c r="G297" i="10"/>
  <c r="F298" i="10"/>
  <c r="T297" i="10"/>
  <c r="AY366" i="11"/>
  <c r="AU365" i="11"/>
  <c r="AU366" i="11" s="1"/>
  <c r="AU367" i="11" s="1"/>
  <c r="AU368" i="11" s="1"/>
  <c r="AU369" i="11" s="1"/>
  <c r="BC365" i="11"/>
  <c r="E371" i="11"/>
  <c r="E372" i="11" s="1"/>
  <c r="E373" i="11" s="1"/>
  <c r="E374" i="11" s="1"/>
  <c r="C370" i="11"/>
  <c r="C371" i="11" s="1"/>
  <c r="C372" i="11" s="1"/>
  <c r="C373" i="11" s="1"/>
  <c r="C374" i="11" s="1"/>
  <c r="G358" i="11"/>
  <c r="K357" i="11"/>
  <c r="G370" i="11"/>
  <c r="F371" i="11"/>
  <c r="F372" i="11" s="1"/>
  <c r="F373" i="11" s="1"/>
  <c r="F374" i="11" s="1"/>
  <c r="E729" i="12"/>
  <c r="E728" i="12"/>
  <c r="G713" i="12" l="1"/>
  <c r="G714" i="12" s="1"/>
  <c r="G712" i="12"/>
  <c r="E731" i="12"/>
  <c r="E730" i="12"/>
  <c r="G298" i="10"/>
  <c r="U297" i="10"/>
  <c r="W363" i="11"/>
  <c r="AA362" i="11"/>
  <c r="K366" i="11"/>
  <c r="G367" i="11"/>
  <c r="F746" i="12"/>
  <c r="G745" i="12"/>
  <c r="F747" i="12"/>
  <c r="F730" i="12"/>
  <c r="F731" i="12"/>
  <c r="A309" i="10"/>
  <c r="E305" i="10"/>
  <c r="A306" i="10"/>
  <c r="A307" i="10" s="1"/>
  <c r="A308" i="10" s="1"/>
  <c r="F305" i="10"/>
  <c r="BC370" i="11"/>
  <c r="AU370" i="11"/>
  <c r="AU371" i="11" s="1"/>
  <c r="AU372" i="11" s="1"/>
  <c r="AU373" i="11" s="1"/>
  <c r="AU374" i="11" s="1"/>
  <c r="AY371" i="11"/>
  <c r="Q291" i="10"/>
  <c r="C292" i="10"/>
  <c r="Q292" i="10" s="1"/>
  <c r="E302" i="10"/>
  <c r="C301" i="10"/>
  <c r="K301" i="10"/>
  <c r="Y301" i="10"/>
  <c r="S301" i="10"/>
  <c r="AO362" i="11"/>
  <c r="AK363" i="11"/>
  <c r="E755" i="12"/>
  <c r="F755" i="12"/>
  <c r="A765" i="12"/>
  <c r="Q297" i="10"/>
  <c r="C298" i="10"/>
  <c r="AX380" i="11"/>
  <c r="AW380" i="11"/>
  <c r="AW381" i="11" s="1"/>
  <c r="AW382" i="11" s="1"/>
  <c r="AW383" i="11" s="1"/>
  <c r="AW384" i="11" s="1"/>
  <c r="A385" i="11"/>
  <c r="AJ380" i="11"/>
  <c r="E380" i="11"/>
  <c r="AI380" i="11"/>
  <c r="AI381" i="11" s="1"/>
  <c r="AI382" i="11" s="1"/>
  <c r="AI383" i="11" s="1"/>
  <c r="AI384" i="11" s="1"/>
  <c r="U380" i="11"/>
  <c r="U381" i="11" s="1"/>
  <c r="U382" i="11" s="1"/>
  <c r="U383" i="11" s="1"/>
  <c r="U384" i="11" s="1"/>
  <c r="F380" i="11"/>
  <c r="V380" i="11"/>
  <c r="J733" i="12"/>
  <c r="J734" i="12" s="1"/>
  <c r="J727" i="12"/>
  <c r="J728" i="12" s="1"/>
  <c r="J726" i="12"/>
  <c r="J729" i="12"/>
  <c r="J730" i="12" s="1"/>
  <c r="J731" i="12"/>
  <c r="J732" i="12" s="1"/>
  <c r="E376" i="11"/>
  <c r="E377" i="11" s="1"/>
  <c r="E378" i="11" s="1"/>
  <c r="E379" i="11" s="1"/>
  <c r="S292" i="10"/>
  <c r="K292" i="10"/>
  <c r="Y292" i="10"/>
  <c r="G720" i="12"/>
  <c r="G721" i="12"/>
  <c r="AY367" i="11"/>
  <c r="BC366" i="11"/>
  <c r="F299" i="10"/>
  <c r="T298" i="10"/>
  <c r="U294" i="10"/>
  <c r="G295" i="10"/>
  <c r="BC358" i="11"/>
  <c r="AY359" i="11"/>
  <c r="BC359" i="11" s="1"/>
  <c r="G375" i="11"/>
  <c r="F376" i="11"/>
  <c r="F377" i="11" s="1"/>
  <c r="F378" i="11" s="1"/>
  <c r="F379" i="11" s="1"/>
  <c r="AK367" i="11"/>
  <c r="AO366" i="11"/>
  <c r="F738" i="12"/>
  <c r="F739" i="12"/>
  <c r="Q294" i="10"/>
  <c r="C295" i="10"/>
  <c r="K370" i="11"/>
  <c r="G371" i="11"/>
  <c r="G729" i="12"/>
  <c r="G728" i="12"/>
  <c r="AY375" i="11"/>
  <c r="AX376" i="11"/>
  <c r="AX377" i="11" s="1"/>
  <c r="AX378" i="11" s="1"/>
  <c r="AX379" i="11" s="1"/>
  <c r="AK359" i="11"/>
  <c r="AO359" i="11" s="1"/>
  <c r="AO358" i="11"/>
  <c r="G737" i="12"/>
  <c r="G736" i="12"/>
  <c r="J735" i="12" s="1"/>
  <c r="F296" i="10"/>
  <c r="T296" i="10" s="1"/>
  <c r="T295" i="10"/>
  <c r="AA366" i="11"/>
  <c r="W367" i="11"/>
  <c r="G301" i="10"/>
  <c r="F302" i="10"/>
  <c r="T301" i="10"/>
  <c r="K298" i="10"/>
  <c r="Y298" i="10"/>
  <c r="S298" i="10"/>
  <c r="E299" i="10"/>
  <c r="AY363" i="11"/>
  <c r="BC362" i="11"/>
  <c r="AA358" i="11"/>
  <c r="W359" i="11"/>
  <c r="AA359" i="11" s="1"/>
  <c r="K358" i="11"/>
  <c r="G359" i="11"/>
  <c r="K359" i="11" s="1"/>
  <c r="G363" i="11"/>
  <c r="K362" i="11"/>
  <c r="E722" i="12"/>
  <c r="E723" i="12"/>
  <c r="E724" i="12" s="1"/>
  <c r="W371" i="11"/>
  <c r="S370" i="11"/>
  <c r="S371" i="11" s="1"/>
  <c r="S372" i="11" s="1"/>
  <c r="S373" i="11" s="1"/>
  <c r="S374" i="11" s="1"/>
  <c r="AA370" i="11"/>
  <c r="E738" i="12"/>
  <c r="E739" i="12"/>
  <c r="S295" i="10"/>
  <c r="K295" i="10"/>
  <c r="E296" i="10"/>
  <c r="Y295" i="10"/>
  <c r="AJ376" i="11"/>
  <c r="AJ377" i="11" s="1"/>
  <c r="AJ378" i="11" s="1"/>
  <c r="AJ379" i="11" s="1"/>
  <c r="AK375" i="11"/>
  <c r="AO370" i="11"/>
  <c r="AG370" i="11"/>
  <c r="AG371" i="11" s="1"/>
  <c r="AG372" i="11" s="1"/>
  <c r="AG373" i="11" s="1"/>
  <c r="AG374" i="11" s="1"/>
  <c r="AK371" i="11"/>
  <c r="F723" i="12"/>
  <c r="F724" i="12" s="1"/>
  <c r="F722" i="12"/>
  <c r="V376" i="11"/>
  <c r="V377" i="11" s="1"/>
  <c r="V378" i="11" s="1"/>
  <c r="V379" i="11" s="1"/>
  <c r="W375" i="11"/>
  <c r="E746" i="12"/>
  <c r="C745" i="12"/>
  <c r="C746" i="12" s="1"/>
  <c r="C747" i="12" s="1"/>
  <c r="C748" i="12" s="1"/>
  <c r="C749" i="12" s="1"/>
  <c r="C750" i="12" s="1"/>
  <c r="C751" i="12" s="1"/>
  <c r="C752" i="12" s="1"/>
  <c r="C753" i="12" s="1"/>
  <c r="C754" i="12" s="1"/>
  <c r="E747" i="12"/>
  <c r="U291" i="10"/>
  <c r="G292" i="10"/>
  <c r="U292" i="10" s="1"/>
  <c r="AO371" i="11" l="1"/>
  <c r="AK372" i="11"/>
  <c r="K299" i="10"/>
  <c r="E300" i="10"/>
  <c r="S299" i="10"/>
  <c r="Y299" i="10"/>
  <c r="G738" i="12"/>
  <c r="G739" i="12"/>
  <c r="BC367" i="11"/>
  <c r="AY368" i="11"/>
  <c r="A775" i="12"/>
  <c r="F765" i="12"/>
  <c r="E765" i="12"/>
  <c r="BC371" i="11"/>
  <c r="AY372" i="11"/>
  <c r="K367" i="11"/>
  <c r="G368" i="11"/>
  <c r="G722" i="12"/>
  <c r="G723" i="12"/>
  <c r="G724" i="12" s="1"/>
  <c r="V381" i="11"/>
  <c r="V382" i="11" s="1"/>
  <c r="V383" i="11" s="1"/>
  <c r="V384" i="11" s="1"/>
  <c r="W380" i="11"/>
  <c r="G380" i="11"/>
  <c r="F381" i="11"/>
  <c r="F382" i="11" s="1"/>
  <c r="F383" i="11" s="1"/>
  <c r="F384" i="11" s="1"/>
  <c r="E757" i="12"/>
  <c r="E756" i="12"/>
  <c r="BC375" i="11"/>
  <c r="AY376" i="11"/>
  <c r="AU375" i="11"/>
  <c r="AU376" i="11" s="1"/>
  <c r="AU377" i="11" s="1"/>
  <c r="AU378" i="11" s="1"/>
  <c r="AU379" i="11" s="1"/>
  <c r="G376" i="11"/>
  <c r="K375" i="11"/>
  <c r="E749" i="12"/>
  <c r="E748" i="12"/>
  <c r="F303" i="10"/>
  <c r="T302" i="10"/>
  <c r="G731" i="12"/>
  <c r="G730" i="12"/>
  <c r="F300" i="10"/>
  <c r="T300" i="10" s="1"/>
  <c r="T299" i="10"/>
  <c r="Q298" i="10"/>
  <c r="C299" i="10"/>
  <c r="G746" i="12"/>
  <c r="J745" i="12" s="1"/>
  <c r="G747" i="12"/>
  <c r="AA371" i="11"/>
  <c r="W372" i="11"/>
  <c r="AY364" i="11"/>
  <c r="BC364" i="11" s="1"/>
  <c r="BC363" i="11"/>
  <c r="J737" i="12"/>
  <c r="J738" i="12" s="1"/>
  <c r="J741" i="12"/>
  <c r="J742" i="12" s="1"/>
  <c r="J743" i="12"/>
  <c r="J744" i="12" s="1"/>
  <c r="J739" i="12"/>
  <c r="J740" i="12" s="1"/>
  <c r="J736" i="12"/>
  <c r="F740" i="12"/>
  <c r="F741" i="12"/>
  <c r="AK376" i="11"/>
  <c r="AO375" i="11"/>
  <c r="AG375" i="11"/>
  <c r="AG376" i="11" s="1"/>
  <c r="AG377" i="11" s="1"/>
  <c r="AG378" i="11" s="1"/>
  <c r="AG379" i="11" s="1"/>
  <c r="F306" i="10"/>
  <c r="T305" i="10"/>
  <c r="G305" i="10"/>
  <c r="E381" i="11"/>
  <c r="E382" i="11" s="1"/>
  <c r="E383" i="11" s="1"/>
  <c r="E384" i="11" s="1"/>
  <c r="C375" i="11"/>
  <c r="C376" i="11" s="1"/>
  <c r="C377" i="11" s="1"/>
  <c r="C378" i="11" s="1"/>
  <c r="C379" i="11" s="1"/>
  <c r="AK380" i="11"/>
  <c r="AJ381" i="11"/>
  <c r="AJ382" i="11" s="1"/>
  <c r="AJ383" i="11" s="1"/>
  <c r="AJ384" i="11" s="1"/>
  <c r="A310" i="10"/>
  <c r="A311" i="10" s="1"/>
  <c r="A312" i="10" s="1"/>
  <c r="A313" i="10"/>
  <c r="E309" i="10"/>
  <c r="F309" i="10"/>
  <c r="G755" i="12"/>
  <c r="F757" i="12"/>
  <c r="F756" i="12"/>
  <c r="C755" i="12" s="1"/>
  <c r="C756" i="12" s="1"/>
  <c r="C757" i="12" s="1"/>
  <c r="C758" i="12" s="1"/>
  <c r="C759" i="12" s="1"/>
  <c r="C760" i="12" s="1"/>
  <c r="C761" i="12" s="1"/>
  <c r="C762" i="12" s="1"/>
  <c r="C763" i="12" s="1"/>
  <c r="C764" i="12" s="1"/>
  <c r="AK368" i="11"/>
  <c r="AO367" i="11"/>
  <c r="G364" i="11"/>
  <c r="K364" i="11" s="1"/>
  <c r="K363" i="11"/>
  <c r="E306" i="10"/>
  <c r="C305" i="10"/>
  <c r="Y305" i="10"/>
  <c r="S305" i="10"/>
  <c r="K305" i="10"/>
  <c r="G299" i="10"/>
  <c r="U298" i="10"/>
  <c r="W368" i="11"/>
  <c r="AA367" i="11"/>
  <c r="G372" i="11"/>
  <c r="K371" i="11"/>
  <c r="G296" i="10"/>
  <c r="U296" i="10" s="1"/>
  <c r="U295" i="10"/>
  <c r="F385" i="11"/>
  <c r="A390" i="11"/>
  <c r="AI385" i="11"/>
  <c r="AI386" i="11" s="1"/>
  <c r="AI387" i="11" s="1"/>
  <c r="AI388" i="11" s="1"/>
  <c r="AI389" i="11" s="1"/>
  <c r="AW385" i="11"/>
  <c r="AW386" i="11" s="1"/>
  <c r="AW387" i="11" s="1"/>
  <c r="AW388" i="11" s="1"/>
  <c r="AW389" i="11" s="1"/>
  <c r="V385" i="11"/>
  <c r="U385" i="11"/>
  <c r="U386" i="11" s="1"/>
  <c r="U387" i="11" s="1"/>
  <c r="U388" i="11" s="1"/>
  <c r="U389" i="11" s="1"/>
  <c r="E385" i="11"/>
  <c r="AX385" i="11"/>
  <c r="AJ385" i="11"/>
  <c r="F733" i="12"/>
  <c r="F734" i="12" s="1"/>
  <c r="F732" i="12"/>
  <c r="E732" i="12"/>
  <c r="E733" i="12"/>
  <c r="E734" i="12" s="1"/>
  <c r="AO363" i="11"/>
  <c r="AK364" i="11"/>
  <c r="AO364" i="11" s="1"/>
  <c r="W364" i="11"/>
  <c r="AA364" i="11" s="1"/>
  <c r="AA363" i="11"/>
  <c r="C302" i="10"/>
  <c r="Q301" i="10"/>
  <c r="K296" i="10"/>
  <c r="S296" i="10"/>
  <c r="Y296" i="10"/>
  <c r="G302" i="10"/>
  <c r="U301" i="10"/>
  <c r="W376" i="11"/>
  <c r="S375" i="11"/>
  <c r="S376" i="11" s="1"/>
  <c r="S377" i="11" s="1"/>
  <c r="S378" i="11" s="1"/>
  <c r="S379" i="11" s="1"/>
  <c r="AA375" i="11"/>
  <c r="E741" i="12"/>
  <c r="E740" i="12"/>
  <c r="Q295" i="10"/>
  <c r="C296" i="10"/>
  <c r="Q296" i="10" s="1"/>
  <c r="AX381" i="11"/>
  <c r="AX382" i="11" s="1"/>
  <c r="AX383" i="11" s="1"/>
  <c r="AX384" i="11" s="1"/>
  <c r="AY380" i="11"/>
  <c r="E303" i="10"/>
  <c r="Y302" i="10"/>
  <c r="S302" i="10"/>
  <c r="K302" i="10"/>
  <c r="F748" i="12"/>
  <c r="F749" i="12"/>
  <c r="A317" i="10" l="1"/>
  <c r="F313" i="10"/>
  <c r="E313" i="10"/>
  <c r="A314" i="10"/>
  <c r="A315" i="10" s="1"/>
  <c r="A316" i="10" s="1"/>
  <c r="AK377" i="11"/>
  <c r="AO376" i="11"/>
  <c r="G748" i="12"/>
  <c r="G749" i="12"/>
  <c r="G385" i="11"/>
  <c r="F386" i="11"/>
  <c r="F387" i="11" s="1"/>
  <c r="F388" i="11" s="1"/>
  <c r="F389" i="11" s="1"/>
  <c r="F742" i="12"/>
  <c r="F743" i="12"/>
  <c r="F744" i="12" s="1"/>
  <c r="AK369" i="11"/>
  <c r="AO369" i="11" s="1"/>
  <c r="AO368" i="11"/>
  <c r="E386" i="11"/>
  <c r="E387" i="11" s="1"/>
  <c r="E388" i="11" s="1"/>
  <c r="E389" i="11" s="1"/>
  <c r="AA368" i="11"/>
  <c r="W369" i="11"/>
  <c r="AA369" i="11" s="1"/>
  <c r="U305" i="10"/>
  <c r="G306" i="10"/>
  <c r="G733" i="12"/>
  <c r="G734" i="12" s="1"/>
  <c r="G732" i="12"/>
  <c r="G765" i="12"/>
  <c r="F766" i="12"/>
  <c r="F767" i="12"/>
  <c r="G300" i="10"/>
  <c r="U300" i="10" s="1"/>
  <c r="U299" i="10"/>
  <c r="F751" i="12"/>
  <c r="F750" i="12"/>
  <c r="Y309" i="10"/>
  <c r="S309" i="10"/>
  <c r="K309" i="10"/>
  <c r="E310" i="10"/>
  <c r="C309" i="10"/>
  <c r="J753" i="12"/>
  <c r="J754" i="12" s="1"/>
  <c r="J751" i="12"/>
  <c r="J752" i="12" s="1"/>
  <c r="J747" i="12"/>
  <c r="J748" i="12" s="1"/>
  <c r="J749" i="12"/>
  <c r="J750" i="12" s="1"/>
  <c r="J746" i="12"/>
  <c r="C303" i="10"/>
  <c r="Q302" i="10"/>
  <c r="F758" i="12"/>
  <c r="F759" i="12"/>
  <c r="E775" i="12"/>
  <c r="A785" i="12"/>
  <c r="F775" i="12"/>
  <c r="AY369" i="11"/>
  <c r="BC369" i="11" s="1"/>
  <c r="BC368" i="11"/>
  <c r="E742" i="12"/>
  <c r="E743" i="12"/>
  <c r="E744" i="12" s="1"/>
  <c r="F390" i="11"/>
  <c r="A395" i="11"/>
  <c r="AJ390" i="11"/>
  <c r="E390" i="11"/>
  <c r="AI390" i="11"/>
  <c r="AI391" i="11" s="1"/>
  <c r="AI392" i="11" s="1"/>
  <c r="AI393" i="11" s="1"/>
  <c r="AI394" i="11" s="1"/>
  <c r="AX390" i="11"/>
  <c r="AW390" i="11"/>
  <c r="AW391" i="11" s="1"/>
  <c r="AW392" i="11" s="1"/>
  <c r="AW393" i="11" s="1"/>
  <c r="AW394" i="11" s="1"/>
  <c r="V390" i="11"/>
  <c r="U390" i="11"/>
  <c r="U391" i="11" s="1"/>
  <c r="U392" i="11" s="1"/>
  <c r="U393" i="11" s="1"/>
  <c r="U394" i="11" s="1"/>
  <c r="G303" i="10"/>
  <c r="U302" i="10"/>
  <c r="AO380" i="11"/>
  <c r="AG380" i="11"/>
  <c r="AG381" i="11" s="1"/>
  <c r="AG382" i="11" s="1"/>
  <c r="AG383" i="11" s="1"/>
  <c r="AG384" i="11" s="1"/>
  <c r="AK381" i="11"/>
  <c r="AY377" i="11"/>
  <c r="BC376" i="11"/>
  <c r="Y300" i="10"/>
  <c r="S300" i="10"/>
  <c r="K300" i="10"/>
  <c r="V386" i="11"/>
  <c r="V387" i="11" s="1"/>
  <c r="V388" i="11" s="1"/>
  <c r="V389" i="11" s="1"/>
  <c r="W385" i="11"/>
  <c r="G756" i="12"/>
  <c r="J755" i="12" s="1"/>
  <c r="G757" i="12"/>
  <c r="F304" i="10"/>
  <c r="T304" i="10" s="1"/>
  <c r="T303" i="10"/>
  <c r="AA372" i="11"/>
  <c r="W373" i="11"/>
  <c r="S380" i="11"/>
  <c r="S381" i="11" s="1"/>
  <c r="S382" i="11" s="1"/>
  <c r="S383" i="11" s="1"/>
  <c r="S384" i="11" s="1"/>
  <c r="W381" i="11"/>
  <c r="AA380" i="11"/>
  <c r="C306" i="10"/>
  <c r="Q305" i="10"/>
  <c r="K376" i="11"/>
  <c r="G377" i="11"/>
  <c r="E307" i="10"/>
  <c r="Y306" i="10"/>
  <c r="S306" i="10"/>
  <c r="K306" i="10"/>
  <c r="Q299" i="10"/>
  <c r="C300" i="10"/>
  <c r="Q300" i="10" s="1"/>
  <c r="K368" i="11"/>
  <c r="G369" i="11"/>
  <c r="K369" i="11" s="1"/>
  <c r="E304" i="10"/>
  <c r="Y303" i="10"/>
  <c r="S303" i="10"/>
  <c r="K303" i="10"/>
  <c r="AY373" i="11"/>
  <c r="BC372" i="11"/>
  <c r="F310" i="10"/>
  <c r="T309" i="10"/>
  <c r="G309" i="10"/>
  <c r="E751" i="12"/>
  <c r="E750" i="12"/>
  <c r="G741" i="12"/>
  <c r="G740" i="12"/>
  <c r="AU380" i="11"/>
  <c r="AU381" i="11" s="1"/>
  <c r="AU382" i="11" s="1"/>
  <c r="AU383" i="11" s="1"/>
  <c r="AU384" i="11" s="1"/>
  <c r="AY381" i="11"/>
  <c r="BC380" i="11"/>
  <c r="AJ386" i="11"/>
  <c r="AJ387" i="11" s="1"/>
  <c r="AJ388" i="11" s="1"/>
  <c r="AJ389" i="11" s="1"/>
  <c r="AK385" i="11"/>
  <c r="G373" i="11"/>
  <c r="K372" i="11"/>
  <c r="AO372" i="11"/>
  <c r="AK373" i="11"/>
  <c r="F307" i="10"/>
  <c r="T306" i="10"/>
  <c r="K380" i="11"/>
  <c r="G381" i="11"/>
  <c r="W377" i="11"/>
  <c r="AA376" i="11"/>
  <c r="AX386" i="11"/>
  <c r="AX387" i="11" s="1"/>
  <c r="AX388" i="11" s="1"/>
  <c r="AX389" i="11" s="1"/>
  <c r="AY385" i="11"/>
  <c r="C380" i="11"/>
  <c r="C381" i="11" s="1"/>
  <c r="C382" i="11" s="1"/>
  <c r="C383" i="11" s="1"/>
  <c r="C384" i="11" s="1"/>
  <c r="E759" i="12"/>
  <c r="E758" i="12"/>
  <c r="E766" i="12"/>
  <c r="E767" i="12"/>
  <c r="C765" i="12"/>
  <c r="C766" i="12" s="1"/>
  <c r="C767" i="12" s="1"/>
  <c r="C768" i="12" s="1"/>
  <c r="C769" i="12" s="1"/>
  <c r="C770" i="12" s="1"/>
  <c r="C771" i="12" s="1"/>
  <c r="C772" i="12" s="1"/>
  <c r="C773" i="12" s="1"/>
  <c r="C774" i="12" s="1"/>
  <c r="C310" i="10" l="1"/>
  <c r="Q309" i="10"/>
  <c r="A795" i="12"/>
  <c r="E785" i="12"/>
  <c r="F785" i="12"/>
  <c r="K385" i="11"/>
  <c r="G386" i="11"/>
  <c r="G742" i="12"/>
  <c r="G743" i="12"/>
  <c r="G744" i="12" s="1"/>
  <c r="C775" i="12"/>
  <c r="C776" i="12" s="1"/>
  <c r="C777" i="12" s="1"/>
  <c r="C778" i="12" s="1"/>
  <c r="C779" i="12" s="1"/>
  <c r="C780" i="12" s="1"/>
  <c r="C781" i="12" s="1"/>
  <c r="C782" i="12" s="1"/>
  <c r="C783" i="12" s="1"/>
  <c r="C784" i="12" s="1"/>
  <c r="E777" i="12"/>
  <c r="E776" i="12"/>
  <c r="E769" i="12"/>
  <c r="E768" i="12"/>
  <c r="J757" i="12"/>
  <c r="J758" i="12" s="1"/>
  <c r="J761" i="12"/>
  <c r="J762" i="12" s="1"/>
  <c r="J756" i="12"/>
  <c r="J759" i="12"/>
  <c r="J760" i="12" s="1"/>
  <c r="J763" i="12"/>
  <c r="J764" i="12" s="1"/>
  <c r="G304" i="10"/>
  <c r="U304" i="10" s="1"/>
  <c r="U303" i="10"/>
  <c r="F777" i="12"/>
  <c r="F776" i="12"/>
  <c r="G775" i="12"/>
  <c r="AX391" i="11"/>
  <c r="AX392" i="11" s="1"/>
  <c r="AX393" i="11" s="1"/>
  <c r="AX394" i="11" s="1"/>
  <c r="AY390" i="11"/>
  <c r="U306" i="10"/>
  <c r="G307" i="10"/>
  <c r="F761" i="12"/>
  <c r="F760" i="12"/>
  <c r="AK374" i="11"/>
  <c r="AO374" i="11" s="1"/>
  <c r="AO373" i="11"/>
  <c r="E753" i="12"/>
  <c r="E754" i="12" s="1"/>
  <c r="E752" i="12"/>
  <c r="C390" i="11"/>
  <c r="C391" i="11" s="1"/>
  <c r="C392" i="11" s="1"/>
  <c r="C393" i="11" s="1"/>
  <c r="C394" i="11" s="1"/>
  <c r="E391" i="11"/>
  <c r="E392" i="11" s="1"/>
  <c r="E393" i="11" s="1"/>
  <c r="E394" i="11" s="1"/>
  <c r="K377" i="11"/>
  <c r="G378" i="11"/>
  <c r="W378" i="11"/>
  <c r="AA377" i="11"/>
  <c r="AY382" i="11"/>
  <c r="BC381" i="11"/>
  <c r="S385" i="11"/>
  <c r="S386" i="11" s="1"/>
  <c r="S387" i="11" s="1"/>
  <c r="S388" i="11" s="1"/>
  <c r="S389" i="11" s="1"/>
  <c r="W386" i="11"/>
  <c r="AA385" i="11"/>
  <c r="G766" i="12"/>
  <c r="J765" i="12" s="1"/>
  <c r="G767" i="12"/>
  <c r="AO381" i="11"/>
  <c r="AK382" i="11"/>
  <c r="AI395" i="11"/>
  <c r="AI396" i="11" s="1"/>
  <c r="AI397" i="11" s="1"/>
  <c r="AI398" i="11" s="1"/>
  <c r="AI399" i="11" s="1"/>
  <c r="V395" i="11"/>
  <c r="U395" i="11"/>
  <c r="U396" i="11" s="1"/>
  <c r="U397" i="11" s="1"/>
  <c r="U398" i="11" s="1"/>
  <c r="U399" i="11" s="1"/>
  <c r="F395" i="11"/>
  <c r="A400" i="11"/>
  <c r="AJ395" i="11"/>
  <c r="E395" i="11"/>
  <c r="AX395" i="11"/>
  <c r="AW395" i="11"/>
  <c r="AW396" i="11" s="1"/>
  <c r="AW397" i="11" s="1"/>
  <c r="AW398" i="11" s="1"/>
  <c r="AW399" i="11" s="1"/>
  <c r="C304" i="10"/>
  <c r="Q304" i="10" s="1"/>
  <c r="Q303" i="10"/>
  <c r="F753" i="12"/>
  <c r="F754" i="12" s="1"/>
  <c r="F752" i="12"/>
  <c r="W390" i="11"/>
  <c r="V391" i="11"/>
  <c r="V392" i="11" s="1"/>
  <c r="V393" i="11" s="1"/>
  <c r="V394" i="11" s="1"/>
  <c r="G751" i="12"/>
  <c r="G750" i="12"/>
  <c r="T307" i="10"/>
  <c r="F308" i="10"/>
  <c r="T308" i="10" s="1"/>
  <c r="K373" i="11"/>
  <c r="G374" i="11"/>
  <c r="K374" i="11" s="1"/>
  <c r="F311" i="10"/>
  <c r="T310" i="10"/>
  <c r="F391" i="11"/>
  <c r="F392" i="11" s="1"/>
  <c r="F393" i="11" s="1"/>
  <c r="F394" i="11" s="1"/>
  <c r="G390" i="11"/>
  <c r="C385" i="11"/>
  <c r="C386" i="11" s="1"/>
  <c r="C387" i="11" s="1"/>
  <c r="C388" i="11" s="1"/>
  <c r="C389" i="11" s="1"/>
  <c r="Y313" i="10"/>
  <c r="S313" i="10"/>
  <c r="K313" i="10"/>
  <c r="C313" i="10"/>
  <c r="E314" i="10"/>
  <c r="G382" i="11"/>
  <c r="K381" i="11"/>
  <c r="Y310" i="10"/>
  <c r="S310" i="10"/>
  <c r="E311" i="10"/>
  <c r="K310" i="10"/>
  <c r="W382" i="11"/>
  <c r="AA381" i="11"/>
  <c r="E761" i="12"/>
  <c r="E760" i="12"/>
  <c r="T313" i="10"/>
  <c r="F314" i="10"/>
  <c r="G313" i="10"/>
  <c r="Y304" i="10"/>
  <c r="K304" i="10"/>
  <c r="S304" i="10"/>
  <c r="C307" i="10"/>
  <c r="Q306" i="10"/>
  <c r="U309" i="10"/>
  <c r="G310" i="10"/>
  <c r="W374" i="11"/>
  <c r="AA374" i="11" s="1"/>
  <c r="AA373" i="11"/>
  <c r="AY378" i="11"/>
  <c r="BC377" i="11"/>
  <c r="AJ391" i="11"/>
  <c r="AJ392" i="11" s="1"/>
  <c r="AJ393" i="11" s="1"/>
  <c r="AJ394" i="11" s="1"/>
  <c r="AK390" i="11"/>
  <c r="AK378" i="11"/>
  <c r="AO377" i="11"/>
  <c r="AU385" i="11"/>
  <c r="AU386" i="11" s="1"/>
  <c r="AU387" i="11" s="1"/>
  <c r="AU388" i="11" s="1"/>
  <c r="AU389" i="11" s="1"/>
  <c r="AY386" i="11"/>
  <c r="BC385" i="11"/>
  <c r="AK386" i="11"/>
  <c r="AO385" i="11"/>
  <c r="AG385" i="11"/>
  <c r="AG386" i="11" s="1"/>
  <c r="AG387" i="11" s="1"/>
  <c r="AG388" i="11" s="1"/>
  <c r="AG389" i="11" s="1"/>
  <c r="AY374" i="11"/>
  <c r="BC374" i="11" s="1"/>
  <c r="BC373" i="11"/>
  <c r="Y307" i="10"/>
  <c r="S307" i="10"/>
  <c r="K307" i="10"/>
  <c r="E308" i="10"/>
  <c r="G759" i="12"/>
  <c r="G758" i="12"/>
  <c r="F768" i="12"/>
  <c r="F769" i="12"/>
  <c r="F317" i="10"/>
  <c r="A321" i="10"/>
  <c r="A318" i="10"/>
  <c r="A319" i="10" s="1"/>
  <c r="A320" i="10" s="1"/>
  <c r="E317" i="10"/>
  <c r="K382" i="11" l="1"/>
  <c r="G383" i="11"/>
  <c r="Y308" i="10"/>
  <c r="S308" i="10"/>
  <c r="K308" i="10"/>
  <c r="G777" i="12"/>
  <c r="G776" i="12"/>
  <c r="J775" i="12" s="1"/>
  <c r="AG390" i="11"/>
  <c r="AG391" i="11" s="1"/>
  <c r="AG392" i="11" s="1"/>
  <c r="AG393" i="11" s="1"/>
  <c r="AG394" i="11" s="1"/>
  <c r="AK391" i="11"/>
  <c r="AO390" i="11"/>
  <c r="U313" i="10"/>
  <c r="G314" i="10"/>
  <c r="AX396" i="11"/>
  <c r="AX397" i="11" s="1"/>
  <c r="AX398" i="11" s="1"/>
  <c r="AX399" i="11" s="1"/>
  <c r="AY395" i="11"/>
  <c r="C314" i="10"/>
  <c r="Q313" i="10"/>
  <c r="AK379" i="11"/>
  <c r="AO379" i="11" s="1"/>
  <c r="AO378" i="11"/>
  <c r="T311" i="10"/>
  <c r="F312" i="10"/>
  <c r="T312" i="10" s="1"/>
  <c r="G769" i="12"/>
  <c r="G768" i="12"/>
  <c r="E779" i="12"/>
  <c r="E778" i="12"/>
  <c r="J769" i="12"/>
  <c r="J770" i="12" s="1"/>
  <c r="J771" i="12"/>
  <c r="J772" i="12" s="1"/>
  <c r="J766" i="12"/>
  <c r="J773" i="12"/>
  <c r="J774" i="12" s="1"/>
  <c r="J767" i="12"/>
  <c r="J768" i="12" s="1"/>
  <c r="F779" i="12"/>
  <c r="F778" i="12"/>
  <c r="T314" i="10"/>
  <c r="F315" i="10"/>
  <c r="S314" i="10"/>
  <c r="K314" i="10"/>
  <c r="E315" i="10"/>
  <c r="Y314" i="10"/>
  <c r="W387" i="11"/>
  <c r="AA386" i="11"/>
  <c r="G753" i="12"/>
  <c r="G754" i="12" s="1"/>
  <c r="G752" i="12"/>
  <c r="F762" i="12"/>
  <c r="F763" i="12"/>
  <c r="F764" i="12" s="1"/>
  <c r="U307" i="10"/>
  <c r="G308" i="10"/>
  <c r="U308" i="10" s="1"/>
  <c r="E786" i="12"/>
  <c r="E787" i="12"/>
  <c r="C395" i="11"/>
  <c r="C396" i="11" s="1"/>
  <c r="C397" i="11" s="1"/>
  <c r="C398" i="11" s="1"/>
  <c r="C399" i="11" s="1"/>
  <c r="E396" i="11"/>
  <c r="E397" i="11" s="1"/>
  <c r="E398" i="11" s="1"/>
  <c r="E399" i="11" s="1"/>
  <c r="K386" i="11"/>
  <c r="G387" i="11"/>
  <c r="F321" i="10"/>
  <c r="A325" i="10"/>
  <c r="E321" i="10"/>
  <c r="A322" i="10"/>
  <c r="A323" i="10" s="1"/>
  <c r="A324" i="10" s="1"/>
  <c r="E762" i="12"/>
  <c r="E763" i="12"/>
  <c r="E764" i="12" s="1"/>
  <c r="AY383" i="11"/>
  <c r="BC382" i="11"/>
  <c r="F787" i="12"/>
  <c r="G785" i="12"/>
  <c r="F786" i="12"/>
  <c r="C785" i="12" s="1"/>
  <c r="C786" i="12" s="1"/>
  <c r="C787" i="12" s="1"/>
  <c r="C788" i="12" s="1"/>
  <c r="C789" i="12" s="1"/>
  <c r="C790" i="12" s="1"/>
  <c r="C791" i="12" s="1"/>
  <c r="C792" i="12" s="1"/>
  <c r="C793" i="12" s="1"/>
  <c r="C794" i="12" s="1"/>
  <c r="F771" i="12"/>
  <c r="F770" i="12"/>
  <c r="AO386" i="11"/>
  <c r="AK387" i="11"/>
  <c r="U310" i="10"/>
  <c r="G311" i="10"/>
  <c r="AA390" i="11"/>
  <c r="W391" i="11"/>
  <c r="S390" i="11"/>
  <c r="S391" i="11" s="1"/>
  <c r="S392" i="11" s="1"/>
  <c r="S393" i="11" s="1"/>
  <c r="S394" i="11" s="1"/>
  <c r="W395" i="11"/>
  <c r="V396" i="11"/>
  <c r="V397" i="11" s="1"/>
  <c r="V398" i="11" s="1"/>
  <c r="V399" i="11" s="1"/>
  <c r="W379" i="11"/>
  <c r="AA379" i="11" s="1"/>
  <c r="AA378" i="11"/>
  <c r="F795" i="12"/>
  <c r="A805" i="12"/>
  <c r="E795" i="12"/>
  <c r="S317" i="10"/>
  <c r="K317" i="10"/>
  <c r="Y317" i="10"/>
  <c r="E318" i="10"/>
  <c r="C317" i="10"/>
  <c r="F396" i="11"/>
  <c r="F397" i="11" s="1"/>
  <c r="F398" i="11" s="1"/>
  <c r="F399" i="11" s="1"/>
  <c r="G395" i="11"/>
  <c r="W383" i="11"/>
  <c r="AA382" i="11"/>
  <c r="AY387" i="11"/>
  <c r="BC386" i="11"/>
  <c r="G391" i="11"/>
  <c r="K390" i="11"/>
  <c r="G379" i="11"/>
  <c r="K379" i="11" s="1"/>
  <c r="K378" i="11"/>
  <c r="AY391" i="11"/>
  <c r="BC390" i="11"/>
  <c r="AU390" i="11"/>
  <c r="AU391" i="11" s="1"/>
  <c r="AU392" i="11" s="1"/>
  <c r="AU393" i="11" s="1"/>
  <c r="AU394" i="11" s="1"/>
  <c r="BC378" i="11"/>
  <c r="AY379" i="11"/>
  <c r="BC379" i="11" s="1"/>
  <c r="AJ396" i="11"/>
  <c r="AJ397" i="11" s="1"/>
  <c r="AJ398" i="11" s="1"/>
  <c r="AJ399" i="11" s="1"/>
  <c r="AK395" i="11"/>
  <c r="V400" i="11"/>
  <c r="U400" i="11"/>
  <c r="U401" i="11" s="1"/>
  <c r="U402" i="11" s="1"/>
  <c r="U403" i="11" s="1"/>
  <c r="U404" i="11" s="1"/>
  <c r="AX400" i="11"/>
  <c r="AW400" i="11"/>
  <c r="AW401" i="11" s="1"/>
  <c r="AW402" i="11" s="1"/>
  <c r="AW403" i="11" s="1"/>
  <c r="AW404" i="11" s="1"/>
  <c r="AI400" i="11"/>
  <c r="AI401" i="11" s="1"/>
  <c r="AI402" i="11" s="1"/>
  <c r="AI403" i="11" s="1"/>
  <c r="AI404" i="11" s="1"/>
  <c r="AJ400" i="11"/>
  <c r="A405" i="11"/>
  <c r="F400" i="11"/>
  <c r="E400" i="11"/>
  <c r="T317" i="10"/>
  <c r="F318" i="10"/>
  <c r="G317" i="10"/>
  <c r="G761" i="12"/>
  <c r="G760" i="12"/>
  <c r="C308" i="10"/>
  <c r="Q308" i="10" s="1"/>
  <c r="Q307" i="10"/>
  <c r="Y311" i="10"/>
  <c r="K311" i="10"/>
  <c r="E312" i="10"/>
  <c r="S311" i="10"/>
  <c r="AO382" i="11"/>
  <c r="AK383" i="11"/>
  <c r="E771" i="12"/>
  <c r="E770" i="12"/>
  <c r="C311" i="10"/>
  <c r="Q310" i="10"/>
  <c r="G770" i="12" l="1"/>
  <c r="G771" i="12"/>
  <c r="AX401" i="11"/>
  <c r="AX402" i="11" s="1"/>
  <c r="AX403" i="11" s="1"/>
  <c r="AX404" i="11" s="1"/>
  <c r="AY400" i="11"/>
  <c r="K321" i="10"/>
  <c r="E322" i="10"/>
  <c r="C321" i="10"/>
  <c r="Y321" i="10"/>
  <c r="S321" i="10"/>
  <c r="G762" i="12"/>
  <c r="G763" i="12"/>
  <c r="G764" i="12" s="1"/>
  <c r="W400" i="11"/>
  <c r="V401" i="11"/>
  <c r="V402" i="11" s="1"/>
  <c r="V403" i="11" s="1"/>
  <c r="V404" i="11" s="1"/>
  <c r="F805" i="12"/>
  <c r="A815" i="12"/>
  <c r="E805" i="12"/>
  <c r="F401" i="11"/>
  <c r="F402" i="11" s="1"/>
  <c r="F403" i="11" s="1"/>
  <c r="F404" i="11" s="1"/>
  <c r="G400" i="11"/>
  <c r="S312" i="10"/>
  <c r="K312" i="10"/>
  <c r="Y312" i="10"/>
  <c r="V405" i="11"/>
  <c r="U405" i="11"/>
  <c r="U406" i="11" s="1"/>
  <c r="U407" i="11" s="1"/>
  <c r="U408" i="11" s="1"/>
  <c r="U409" i="11" s="1"/>
  <c r="AX405" i="11"/>
  <c r="AW405" i="11"/>
  <c r="AW406" i="11" s="1"/>
  <c r="AW407" i="11" s="1"/>
  <c r="AW408" i="11" s="1"/>
  <c r="AW409" i="11" s="1"/>
  <c r="A410" i="11"/>
  <c r="AI405" i="11"/>
  <c r="AI406" i="11" s="1"/>
  <c r="AI407" i="11" s="1"/>
  <c r="AI408" i="11" s="1"/>
  <c r="AI409" i="11" s="1"/>
  <c r="F405" i="11"/>
  <c r="E405" i="11"/>
  <c r="AJ405" i="11"/>
  <c r="Q317" i="10"/>
  <c r="C318" i="10"/>
  <c r="E789" i="12"/>
  <c r="E788" i="12"/>
  <c r="S315" i="10"/>
  <c r="Y315" i="10"/>
  <c r="K315" i="10"/>
  <c r="E316" i="10"/>
  <c r="U314" i="10"/>
  <c r="G315" i="10"/>
  <c r="T315" i="10"/>
  <c r="F316" i="10"/>
  <c r="T316" i="10" s="1"/>
  <c r="AK392" i="11"/>
  <c r="AO391" i="11"/>
  <c r="G779" i="12"/>
  <c r="G778" i="12"/>
  <c r="G321" i="10"/>
  <c r="F322" i="10"/>
  <c r="T321" i="10"/>
  <c r="AJ401" i="11"/>
  <c r="AJ402" i="11" s="1"/>
  <c r="AJ403" i="11" s="1"/>
  <c r="AJ404" i="11" s="1"/>
  <c r="AK400" i="11"/>
  <c r="AY392" i="11"/>
  <c r="BC391" i="11"/>
  <c r="S318" i="10"/>
  <c r="K318" i="10"/>
  <c r="Y318" i="10"/>
  <c r="E319" i="10"/>
  <c r="W392" i="11"/>
  <c r="AA391" i="11"/>
  <c r="AY384" i="11"/>
  <c r="BC384" i="11" s="1"/>
  <c r="BC383" i="11"/>
  <c r="E780" i="12"/>
  <c r="E781" i="12"/>
  <c r="K391" i="11"/>
  <c r="G392" i="11"/>
  <c r="AK388" i="11"/>
  <c r="AO387" i="11"/>
  <c r="Q311" i="10"/>
  <c r="C312" i="10"/>
  <c r="Q312" i="10" s="1"/>
  <c r="J781" i="12"/>
  <c r="J782" i="12" s="1"/>
  <c r="J779" i="12"/>
  <c r="J780" i="12" s="1"/>
  <c r="J777" i="12"/>
  <c r="J778" i="12" s="1"/>
  <c r="J783" i="12"/>
  <c r="J784" i="12" s="1"/>
  <c r="J776" i="12"/>
  <c r="E796" i="12"/>
  <c r="E797" i="12"/>
  <c r="F325" i="10"/>
  <c r="A329" i="10"/>
  <c r="E325" i="10"/>
  <c r="A326" i="10"/>
  <c r="A327" i="10" s="1"/>
  <c r="A328" i="10" s="1"/>
  <c r="E772" i="12"/>
  <c r="E773" i="12"/>
  <c r="E774" i="12" s="1"/>
  <c r="T318" i="10"/>
  <c r="F319" i="10"/>
  <c r="F772" i="12"/>
  <c r="F773" i="12"/>
  <c r="F774" i="12" s="1"/>
  <c r="G388" i="11"/>
  <c r="K387" i="11"/>
  <c r="F781" i="12"/>
  <c r="F780" i="12"/>
  <c r="AG395" i="11"/>
  <c r="AG396" i="11" s="1"/>
  <c r="AG397" i="11" s="1"/>
  <c r="AG398" i="11" s="1"/>
  <c r="AG399" i="11" s="1"/>
  <c r="AO395" i="11"/>
  <c r="AK396" i="11"/>
  <c r="AO383" i="11"/>
  <c r="AK384" i="11"/>
  <c r="AO384" i="11" s="1"/>
  <c r="C315" i="10"/>
  <c r="Q314" i="10"/>
  <c r="U311" i="10"/>
  <c r="G312" i="10"/>
  <c r="U312" i="10" s="1"/>
  <c r="G318" i="10"/>
  <c r="U317" i="10"/>
  <c r="BC387" i="11"/>
  <c r="AY388" i="11"/>
  <c r="AA383" i="11"/>
  <c r="W384" i="11"/>
  <c r="AA384" i="11" s="1"/>
  <c r="C400" i="11"/>
  <c r="C401" i="11" s="1"/>
  <c r="C402" i="11" s="1"/>
  <c r="C403" i="11" s="1"/>
  <c r="C404" i="11" s="1"/>
  <c r="E401" i="11"/>
  <c r="E402" i="11" s="1"/>
  <c r="E403" i="11" s="1"/>
  <c r="E404" i="11" s="1"/>
  <c r="G396" i="11"/>
  <c r="K395" i="11"/>
  <c r="G787" i="12"/>
  <c r="G786" i="12"/>
  <c r="J785" i="12" s="1"/>
  <c r="W388" i="11"/>
  <c r="AA387" i="11"/>
  <c r="AY396" i="11"/>
  <c r="BC395" i="11"/>
  <c r="AU395" i="11"/>
  <c r="AU396" i="11" s="1"/>
  <c r="AU397" i="11" s="1"/>
  <c r="AU398" i="11" s="1"/>
  <c r="AU399" i="11" s="1"/>
  <c r="G384" i="11"/>
  <c r="K384" i="11" s="1"/>
  <c r="K383" i="11"/>
  <c r="G795" i="12"/>
  <c r="F796" i="12"/>
  <c r="C795" i="12" s="1"/>
  <c r="C796" i="12" s="1"/>
  <c r="C797" i="12" s="1"/>
  <c r="C798" i="12" s="1"/>
  <c r="C799" i="12" s="1"/>
  <c r="C800" i="12" s="1"/>
  <c r="C801" i="12" s="1"/>
  <c r="C802" i="12" s="1"/>
  <c r="C803" i="12" s="1"/>
  <c r="C804" i="12" s="1"/>
  <c r="F797" i="12"/>
  <c r="AA395" i="11"/>
  <c r="W396" i="11"/>
  <c r="S395" i="11"/>
  <c r="S396" i="11" s="1"/>
  <c r="S397" i="11" s="1"/>
  <c r="S398" i="11" s="1"/>
  <c r="S399" i="11" s="1"/>
  <c r="F788" i="12"/>
  <c r="F789" i="12"/>
  <c r="F323" i="10" l="1"/>
  <c r="T322" i="10"/>
  <c r="AX406" i="11"/>
  <c r="AX407" i="11" s="1"/>
  <c r="AX408" i="11" s="1"/>
  <c r="AX409" i="11" s="1"/>
  <c r="AY405" i="11"/>
  <c r="AA400" i="11"/>
  <c r="W401" i="11"/>
  <c r="S400" i="11"/>
  <c r="S401" i="11" s="1"/>
  <c r="S402" i="11" s="1"/>
  <c r="S403" i="11" s="1"/>
  <c r="S404" i="11" s="1"/>
  <c r="G322" i="10"/>
  <c r="U321" i="10"/>
  <c r="K322" i="10"/>
  <c r="E323" i="10"/>
  <c r="Y322" i="10"/>
  <c r="S322" i="10"/>
  <c r="G796" i="12"/>
  <c r="J795" i="12" s="1"/>
  <c r="G797" i="12"/>
  <c r="S319" i="10"/>
  <c r="K319" i="10"/>
  <c r="E320" i="10"/>
  <c r="Y319" i="10"/>
  <c r="E790" i="12"/>
  <c r="E791" i="12"/>
  <c r="AY389" i="11"/>
  <c r="BC389" i="11" s="1"/>
  <c r="BC388" i="11"/>
  <c r="BC396" i="11"/>
  <c r="AY397" i="11"/>
  <c r="AK397" i="11"/>
  <c r="AO396" i="11"/>
  <c r="AA392" i="11"/>
  <c r="W393" i="11"/>
  <c r="Q318" i="10"/>
  <c r="C319" i="10"/>
  <c r="Q321" i="10"/>
  <c r="C322" i="10"/>
  <c r="G325" i="10"/>
  <c r="F326" i="10"/>
  <c r="T325" i="10"/>
  <c r="AK389" i="11"/>
  <c r="AO389" i="11" s="1"/>
  <c r="AO388" i="11"/>
  <c r="J787" i="12"/>
  <c r="J788" i="12" s="1"/>
  <c r="J789" i="12"/>
  <c r="J790" i="12" s="1"/>
  <c r="J786" i="12"/>
  <c r="J791" i="12"/>
  <c r="J792" i="12" s="1"/>
  <c r="J793" i="12"/>
  <c r="J794" i="12" s="1"/>
  <c r="E799" i="12"/>
  <c r="E798" i="12"/>
  <c r="AY393" i="11"/>
  <c r="BC392" i="11"/>
  <c r="U315" i="10"/>
  <c r="G316" i="10"/>
  <c r="U316" i="10" s="1"/>
  <c r="G405" i="11"/>
  <c r="F406" i="11"/>
  <c r="F407" i="11" s="1"/>
  <c r="F408" i="11" s="1"/>
  <c r="F409" i="11" s="1"/>
  <c r="E806" i="12"/>
  <c r="E807" i="12"/>
  <c r="AY401" i="11"/>
  <c r="BC400" i="11"/>
  <c r="AU400" i="11"/>
  <c r="AU401" i="11" s="1"/>
  <c r="AU402" i="11" s="1"/>
  <c r="AU403" i="11" s="1"/>
  <c r="AU404" i="11" s="1"/>
  <c r="G780" i="12"/>
  <c r="G781" i="12"/>
  <c r="A333" i="10"/>
  <c r="E329" i="10"/>
  <c r="A330" i="10"/>
  <c r="A331" i="10" s="1"/>
  <c r="A332" i="10" s="1"/>
  <c r="F329" i="10"/>
  <c r="AK393" i="11"/>
  <c r="AO392" i="11"/>
  <c r="AA388" i="11"/>
  <c r="W389" i="11"/>
  <c r="AA389" i="11" s="1"/>
  <c r="G319" i="10"/>
  <c r="U318" i="10"/>
  <c r="G789" i="12"/>
  <c r="G788" i="12"/>
  <c r="E782" i="12"/>
  <c r="E783" i="12"/>
  <c r="E784" i="12" s="1"/>
  <c r="AG400" i="11"/>
  <c r="AG401" i="11" s="1"/>
  <c r="AG402" i="11" s="1"/>
  <c r="AG403" i="11" s="1"/>
  <c r="AG404" i="11" s="1"/>
  <c r="AK401" i="11"/>
  <c r="AO400" i="11"/>
  <c r="F815" i="12"/>
  <c r="E815" i="12"/>
  <c r="A825" i="12"/>
  <c r="V406" i="11"/>
  <c r="V407" i="11" s="1"/>
  <c r="V408" i="11" s="1"/>
  <c r="V409" i="11" s="1"/>
  <c r="W405" i="11"/>
  <c r="E326" i="10"/>
  <c r="C325" i="10"/>
  <c r="K325" i="10"/>
  <c r="S325" i="10"/>
  <c r="Y325" i="10"/>
  <c r="F790" i="12"/>
  <c r="F791" i="12"/>
  <c r="F782" i="12"/>
  <c r="F783" i="12"/>
  <c r="F784" i="12" s="1"/>
  <c r="AK405" i="11"/>
  <c r="AJ406" i="11"/>
  <c r="AJ407" i="11" s="1"/>
  <c r="AJ408" i="11" s="1"/>
  <c r="AJ409" i="11" s="1"/>
  <c r="K400" i="11"/>
  <c r="G401" i="11"/>
  <c r="G393" i="11"/>
  <c r="K392" i="11"/>
  <c r="E406" i="11"/>
  <c r="E407" i="11" s="1"/>
  <c r="E408" i="11" s="1"/>
  <c r="E409" i="11" s="1"/>
  <c r="W397" i="11"/>
  <c r="AA396" i="11"/>
  <c r="G389" i="11"/>
  <c r="K389" i="11" s="1"/>
  <c r="K388" i="11"/>
  <c r="F798" i="12"/>
  <c r="F799" i="12"/>
  <c r="S316" i="10"/>
  <c r="K316" i="10"/>
  <c r="Y316" i="10"/>
  <c r="AX410" i="11"/>
  <c r="AI410" i="11"/>
  <c r="AI411" i="11" s="1"/>
  <c r="AI412" i="11" s="1"/>
  <c r="AI413" i="11" s="1"/>
  <c r="AI414" i="11" s="1"/>
  <c r="V410" i="11"/>
  <c r="U410" i="11"/>
  <c r="U411" i="11" s="1"/>
  <c r="U412" i="11" s="1"/>
  <c r="U413" i="11" s="1"/>
  <c r="U414" i="11" s="1"/>
  <c r="AJ410" i="11"/>
  <c r="AW410" i="11"/>
  <c r="AW411" i="11" s="1"/>
  <c r="AW412" i="11" s="1"/>
  <c r="AW413" i="11" s="1"/>
  <c r="AW414" i="11" s="1"/>
  <c r="F410" i="11"/>
  <c r="E410" i="11"/>
  <c r="A415" i="11"/>
  <c r="G805" i="12"/>
  <c r="F807" i="12"/>
  <c r="F806" i="12"/>
  <c r="C805" i="12" s="1"/>
  <c r="C806" i="12" s="1"/>
  <c r="C807" i="12" s="1"/>
  <c r="C808" i="12" s="1"/>
  <c r="C809" i="12" s="1"/>
  <c r="C810" i="12" s="1"/>
  <c r="C811" i="12" s="1"/>
  <c r="C812" i="12" s="1"/>
  <c r="C813" i="12" s="1"/>
  <c r="C814" i="12" s="1"/>
  <c r="G772" i="12"/>
  <c r="G773" i="12"/>
  <c r="G774" i="12" s="1"/>
  <c r="K396" i="11"/>
  <c r="G397" i="11"/>
  <c r="Q315" i="10"/>
  <c r="C316" i="10"/>
  <c r="Q316" i="10" s="1"/>
  <c r="F320" i="10"/>
  <c r="T320" i="10" s="1"/>
  <c r="T319" i="10"/>
  <c r="W406" i="11" l="1"/>
  <c r="S405" i="11"/>
  <c r="S406" i="11" s="1"/>
  <c r="S407" i="11" s="1"/>
  <c r="S408" i="11" s="1"/>
  <c r="S409" i="11" s="1"/>
  <c r="AA405" i="11"/>
  <c r="Q322" i="10"/>
  <c r="C323" i="10"/>
  <c r="W410" i="11"/>
  <c r="V411" i="11"/>
  <c r="V412" i="11" s="1"/>
  <c r="V413" i="11" s="1"/>
  <c r="V414" i="11" s="1"/>
  <c r="AX411" i="11"/>
  <c r="AX412" i="11" s="1"/>
  <c r="AX413" i="11" s="1"/>
  <c r="AX414" i="11" s="1"/>
  <c r="AY410" i="11"/>
  <c r="A334" i="10"/>
  <c r="A335" i="10" s="1"/>
  <c r="A336" i="10" s="1"/>
  <c r="A337" i="10"/>
  <c r="E333" i="10"/>
  <c r="F333" i="10"/>
  <c r="A420" i="11"/>
  <c r="AJ415" i="11"/>
  <c r="E415" i="11"/>
  <c r="V415" i="11"/>
  <c r="U415" i="11"/>
  <c r="U416" i="11" s="1"/>
  <c r="U417" i="11" s="1"/>
  <c r="U418" i="11" s="1"/>
  <c r="U419" i="11" s="1"/>
  <c r="AX415" i="11"/>
  <c r="AW415" i="11"/>
  <c r="AW416" i="11" s="1"/>
  <c r="AW417" i="11" s="1"/>
  <c r="AW418" i="11" s="1"/>
  <c r="AW419" i="11" s="1"/>
  <c r="F415" i="11"/>
  <c r="AI415" i="11"/>
  <c r="AI416" i="11" s="1"/>
  <c r="AI417" i="11" s="1"/>
  <c r="AI418" i="11" s="1"/>
  <c r="AI419" i="11" s="1"/>
  <c r="F801" i="12"/>
  <c r="F800" i="12"/>
  <c r="G394" i="11"/>
  <c r="K394" i="11" s="1"/>
  <c r="K393" i="11"/>
  <c r="C326" i="10"/>
  <c r="Q325" i="10"/>
  <c r="G783" i="12"/>
  <c r="G784" i="12" s="1"/>
  <c r="G782" i="12"/>
  <c r="F327" i="10"/>
  <c r="T326" i="10"/>
  <c r="K323" i="10"/>
  <c r="E324" i="10"/>
  <c r="S323" i="10"/>
  <c r="Y323" i="10"/>
  <c r="G402" i="11"/>
  <c r="K401" i="11"/>
  <c r="E327" i="10"/>
  <c r="Y326" i="10"/>
  <c r="K326" i="10"/>
  <c r="S326" i="10"/>
  <c r="G790" i="12"/>
  <c r="G791" i="12"/>
  <c r="AY394" i="11"/>
  <c r="BC394" i="11" s="1"/>
  <c r="BC393" i="11"/>
  <c r="G326" i="10"/>
  <c r="U325" i="10"/>
  <c r="G807" i="12"/>
  <c r="G806" i="12"/>
  <c r="J805" i="12" s="1"/>
  <c r="E816" i="12"/>
  <c r="E817" i="12"/>
  <c r="E808" i="12"/>
  <c r="E809" i="12"/>
  <c r="W394" i="11"/>
  <c r="AA394" i="11" s="1"/>
  <c r="AA393" i="11"/>
  <c r="F808" i="12"/>
  <c r="F809" i="12"/>
  <c r="BC401" i="11"/>
  <c r="AY402" i="11"/>
  <c r="Q319" i="10"/>
  <c r="C320" i="10"/>
  <c r="Q320" i="10" s="1"/>
  <c r="K320" i="10"/>
  <c r="Y320" i="10"/>
  <c r="S320" i="10"/>
  <c r="AA401" i="11"/>
  <c r="W402" i="11"/>
  <c r="F816" i="12"/>
  <c r="C815" i="12" s="1"/>
  <c r="C816" i="12" s="1"/>
  <c r="C817" i="12" s="1"/>
  <c r="C818" i="12" s="1"/>
  <c r="C819" i="12" s="1"/>
  <c r="C820" i="12" s="1"/>
  <c r="C821" i="12" s="1"/>
  <c r="C822" i="12" s="1"/>
  <c r="C823" i="12" s="1"/>
  <c r="C824" i="12" s="1"/>
  <c r="G815" i="12"/>
  <c r="F817" i="12"/>
  <c r="AJ411" i="11"/>
  <c r="AJ412" i="11" s="1"/>
  <c r="AJ413" i="11" s="1"/>
  <c r="AJ414" i="11" s="1"/>
  <c r="AK410" i="11"/>
  <c r="AO393" i="11"/>
  <c r="AK394" i="11"/>
  <c r="AO394" i="11" s="1"/>
  <c r="AY406" i="11"/>
  <c r="BC405" i="11"/>
  <c r="AU405" i="11"/>
  <c r="AU406" i="11" s="1"/>
  <c r="AU407" i="11" s="1"/>
  <c r="AU408" i="11" s="1"/>
  <c r="AU409" i="11" s="1"/>
  <c r="G410" i="11"/>
  <c r="F411" i="11"/>
  <c r="F412" i="11" s="1"/>
  <c r="F413" i="11" s="1"/>
  <c r="F414" i="11" s="1"/>
  <c r="F792" i="12"/>
  <c r="F793" i="12"/>
  <c r="F794" i="12" s="1"/>
  <c r="G398" i="11"/>
  <c r="K397" i="11"/>
  <c r="AA397" i="11"/>
  <c r="W398" i="11"/>
  <c r="AK402" i="11"/>
  <c r="AO401" i="11"/>
  <c r="F330" i="10"/>
  <c r="G329" i="10"/>
  <c r="T329" i="10"/>
  <c r="G798" i="12"/>
  <c r="G799" i="12"/>
  <c r="G320" i="10"/>
  <c r="U320" i="10" s="1"/>
  <c r="U319" i="10"/>
  <c r="G323" i="10"/>
  <c r="U322" i="10"/>
  <c r="F825" i="12"/>
  <c r="A835" i="12"/>
  <c r="E825" i="12"/>
  <c r="AK398" i="11"/>
  <c r="AO397" i="11"/>
  <c r="J796" i="12"/>
  <c r="J797" i="12"/>
  <c r="J798" i="12" s="1"/>
  <c r="J799" i="12"/>
  <c r="J800" i="12" s="1"/>
  <c r="J803" i="12"/>
  <c r="J804" i="12" s="1"/>
  <c r="J801" i="12"/>
  <c r="J802" i="12" s="1"/>
  <c r="E793" i="12"/>
  <c r="E794" i="12" s="1"/>
  <c r="E792" i="12"/>
  <c r="E801" i="12"/>
  <c r="E800" i="12"/>
  <c r="E411" i="11"/>
  <c r="E412" i="11" s="1"/>
  <c r="E413" i="11" s="1"/>
  <c r="E414" i="11" s="1"/>
  <c r="C410" i="11"/>
  <c r="C411" i="11" s="1"/>
  <c r="C412" i="11" s="1"/>
  <c r="C413" i="11" s="1"/>
  <c r="C414" i="11" s="1"/>
  <c r="AK406" i="11"/>
  <c r="AO405" i="11"/>
  <c r="AG405" i="11"/>
  <c r="AG406" i="11" s="1"/>
  <c r="AG407" i="11" s="1"/>
  <c r="AG408" i="11" s="1"/>
  <c r="AG409" i="11" s="1"/>
  <c r="K405" i="11"/>
  <c r="G406" i="11"/>
  <c r="C405" i="11"/>
  <c r="C406" i="11" s="1"/>
  <c r="C407" i="11" s="1"/>
  <c r="C408" i="11" s="1"/>
  <c r="C409" i="11" s="1"/>
  <c r="E330" i="10"/>
  <c r="C329" i="10"/>
  <c r="Y329" i="10"/>
  <c r="S329" i="10"/>
  <c r="K329" i="10"/>
  <c r="BC397" i="11"/>
  <c r="AY398" i="11"/>
  <c r="F324" i="10"/>
  <c r="T324" i="10" s="1"/>
  <c r="T323" i="10"/>
  <c r="G800" i="12" l="1"/>
  <c r="G801" i="12"/>
  <c r="G792" i="12"/>
  <c r="G793" i="12"/>
  <c r="G794" i="12" s="1"/>
  <c r="AY415" i="11"/>
  <c r="AX416" i="11"/>
  <c r="AX417" i="11" s="1"/>
  <c r="AX418" i="11" s="1"/>
  <c r="AX419" i="11" s="1"/>
  <c r="E331" i="10"/>
  <c r="Y330" i="10"/>
  <c r="S330" i="10"/>
  <c r="K330" i="10"/>
  <c r="G324" i="10"/>
  <c r="U324" i="10" s="1"/>
  <c r="U323" i="10"/>
  <c r="Y333" i="10"/>
  <c r="S333" i="10"/>
  <c r="E334" i="10"/>
  <c r="K333" i="10"/>
  <c r="C333" i="10"/>
  <c r="G411" i="11"/>
  <c r="K410" i="11"/>
  <c r="F328" i="10"/>
  <c r="T328" i="10" s="1"/>
  <c r="T327" i="10"/>
  <c r="K398" i="11"/>
  <c r="G399" i="11"/>
  <c r="K399" i="11" s="1"/>
  <c r="F819" i="12"/>
  <c r="F818" i="12"/>
  <c r="F811" i="12"/>
  <c r="F810" i="12"/>
  <c r="G327" i="10"/>
  <c r="U326" i="10"/>
  <c r="F803" i="12"/>
  <c r="F804" i="12" s="1"/>
  <c r="F802" i="12"/>
  <c r="A338" i="10"/>
  <c r="A339" i="10" s="1"/>
  <c r="A340" i="10" s="1"/>
  <c r="A341" i="10"/>
  <c r="F337" i="10"/>
  <c r="E337" i="10"/>
  <c r="G415" i="11"/>
  <c r="F416" i="11"/>
  <c r="F417" i="11" s="1"/>
  <c r="F418" i="11" s="1"/>
  <c r="F419" i="11" s="1"/>
  <c r="AO398" i="11"/>
  <c r="AK399" i="11"/>
  <c r="AO399" i="11" s="1"/>
  <c r="F331" i="10"/>
  <c r="T330" i="10"/>
  <c r="AY407" i="11"/>
  <c r="BC406" i="11"/>
  <c r="E416" i="11"/>
  <c r="E417" i="11" s="1"/>
  <c r="E418" i="11" s="1"/>
  <c r="E419" i="11" s="1"/>
  <c r="C415" i="11"/>
  <c r="C416" i="11" s="1"/>
  <c r="C417" i="11" s="1"/>
  <c r="C418" i="11" s="1"/>
  <c r="C419" i="11" s="1"/>
  <c r="Y324" i="10"/>
  <c r="S324" i="10"/>
  <c r="K324" i="10"/>
  <c r="E810" i="12"/>
  <c r="E811" i="12"/>
  <c r="AY399" i="11"/>
  <c r="BC399" i="11" s="1"/>
  <c r="BC398" i="11"/>
  <c r="AO406" i="11"/>
  <c r="AK407" i="11"/>
  <c r="C324" i="10"/>
  <c r="Q324" i="10" s="1"/>
  <c r="Q323" i="10"/>
  <c r="E827" i="12"/>
  <c r="C825" i="12"/>
  <c r="C826" i="12" s="1"/>
  <c r="C827" i="12" s="1"/>
  <c r="C828" i="12" s="1"/>
  <c r="C829" i="12" s="1"/>
  <c r="C830" i="12" s="1"/>
  <c r="C831" i="12" s="1"/>
  <c r="C832" i="12" s="1"/>
  <c r="C833" i="12" s="1"/>
  <c r="C834" i="12" s="1"/>
  <c r="E826" i="12"/>
  <c r="E835" i="12"/>
  <c r="A845" i="12"/>
  <c r="F835" i="12"/>
  <c r="AO402" i="11"/>
  <c r="AK403" i="11"/>
  <c r="E328" i="10"/>
  <c r="Y327" i="10"/>
  <c r="K327" i="10"/>
  <c r="S327" i="10"/>
  <c r="C327" i="10"/>
  <c r="Q326" i="10"/>
  <c r="AJ416" i="11"/>
  <c r="AJ417" i="11" s="1"/>
  <c r="AJ418" i="11" s="1"/>
  <c r="AJ419" i="11" s="1"/>
  <c r="AK415" i="11"/>
  <c r="G407" i="11"/>
  <c r="K406" i="11"/>
  <c r="G816" i="12"/>
  <c r="J815" i="12" s="1"/>
  <c r="G817" i="12"/>
  <c r="AU410" i="11"/>
  <c r="AU411" i="11" s="1"/>
  <c r="AU412" i="11" s="1"/>
  <c r="AU413" i="11" s="1"/>
  <c r="AU414" i="11" s="1"/>
  <c r="AY411" i="11"/>
  <c r="BC410" i="11"/>
  <c r="S410" i="11"/>
  <c r="S411" i="11" s="1"/>
  <c r="S412" i="11" s="1"/>
  <c r="S413" i="11" s="1"/>
  <c r="S414" i="11" s="1"/>
  <c r="AA410" i="11"/>
  <c r="W411" i="11"/>
  <c r="E803" i="12"/>
  <c r="E804" i="12" s="1"/>
  <c r="E802" i="12"/>
  <c r="F827" i="12"/>
  <c r="G825" i="12"/>
  <c r="F826" i="12"/>
  <c r="W399" i="11"/>
  <c r="AA399" i="11" s="1"/>
  <c r="AA398" i="11"/>
  <c r="J809" i="12"/>
  <c r="J810" i="12" s="1"/>
  <c r="J813" i="12"/>
  <c r="J814" i="12" s="1"/>
  <c r="J807" i="12"/>
  <c r="J808" i="12" s="1"/>
  <c r="J806" i="12"/>
  <c r="J811" i="12"/>
  <c r="J812" i="12" s="1"/>
  <c r="F420" i="11"/>
  <c r="AI420" i="11"/>
  <c r="AI421" i="11" s="1"/>
  <c r="AI422" i="11" s="1"/>
  <c r="AI423" i="11" s="1"/>
  <c r="AI424" i="11" s="1"/>
  <c r="AX420" i="11"/>
  <c r="E420" i="11"/>
  <c r="AW420" i="11"/>
  <c r="AW421" i="11" s="1"/>
  <c r="AW422" i="11" s="1"/>
  <c r="AW423" i="11" s="1"/>
  <c r="AW424" i="11" s="1"/>
  <c r="A425" i="11"/>
  <c r="AJ420" i="11"/>
  <c r="V420" i="11"/>
  <c r="U420" i="11"/>
  <c r="U421" i="11" s="1"/>
  <c r="U422" i="11" s="1"/>
  <c r="U423" i="11" s="1"/>
  <c r="U424" i="11" s="1"/>
  <c r="AA402" i="11"/>
  <c r="W403" i="11"/>
  <c r="U329" i="10"/>
  <c r="G330" i="10"/>
  <c r="E819" i="12"/>
  <c r="E818" i="12"/>
  <c r="V416" i="11"/>
  <c r="V417" i="11" s="1"/>
  <c r="V418" i="11" s="1"/>
  <c r="V419" i="11" s="1"/>
  <c r="W415" i="11"/>
  <c r="C330" i="10"/>
  <c r="Q329" i="10"/>
  <c r="AK411" i="11"/>
  <c r="AO410" i="11"/>
  <c r="AG410" i="11"/>
  <c r="AG411" i="11" s="1"/>
  <c r="AG412" i="11" s="1"/>
  <c r="AG413" i="11" s="1"/>
  <c r="AG414" i="11" s="1"/>
  <c r="AY403" i="11"/>
  <c r="BC402" i="11"/>
  <c r="G808" i="12"/>
  <c r="G809" i="12"/>
  <c r="G403" i="11"/>
  <c r="K402" i="11"/>
  <c r="T333" i="10"/>
  <c r="F334" i="10"/>
  <c r="G333" i="10"/>
  <c r="W407" i="11"/>
  <c r="AA406" i="11"/>
  <c r="AY404" i="11" l="1"/>
  <c r="BC404" i="11" s="1"/>
  <c r="BC403" i="11"/>
  <c r="W404" i="11"/>
  <c r="AA404" i="11" s="1"/>
  <c r="AA403" i="11"/>
  <c r="AY408" i="11"/>
  <c r="BC407" i="11"/>
  <c r="K411" i="11"/>
  <c r="G412" i="11"/>
  <c r="C334" i="10"/>
  <c r="Q333" i="10"/>
  <c r="AU415" i="11"/>
  <c r="AU416" i="11" s="1"/>
  <c r="AU417" i="11" s="1"/>
  <c r="AU418" i="11" s="1"/>
  <c r="AU419" i="11" s="1"/>
  <c r="BC415" i="11"/>
  <c r="AY416" i="11"/>
  <c r="T334" i="10"/>
  <c r="F335" i="10"/>
  <c r="C331" i="10"/>
  <c r="Q330" i="10"/>
  <c r="AI425" i="11"/>
  <c r="AI426" i="11" s="1"/>
  <c r="AI427" i="11" s="1"/>
  <c r="AI428" i="11" s="1"/>
  <c r="AI429" i="11" s="1"/>
  <c r="U425" i="11"/>
  <c r="U426" i="11" s="1"/>
  <c r="U427" i="11" s="1"/>
  <c r="U428" i="11" s="1"/>
  <c r="U429" i="11" s="1"/>
  <c r="AX425" i="11"/>
  <c r="F425" i="11"/>
  <c r="AW425" i="11"/>
  <c r="AW426" i="11" s="1"/>
  <c r="AW427" i="11" s="1"/>
  <c r="AW428" i="11" s="1"/>
  <c r="AW429" i="11" s="1"/>
  <c r="E425" i="11"/>
  <c r="V425" i="11"/>
  <c r="A430" i="11"/>
  <c r="AJ425" i="11"/>
  <c r="G818" i="12"/>
  <c r="G819" i="12"/>
  <c r="AO403" i="11"/>
  <c r="AK404" i="11"/>
  <c r="AO404" i="11" s="1"/>
  <c r="S415" i="11"/>
  <c r="S416" i="11" s="1"/>
  <c r="S417" i="11" s="1"/>
  <c r="S418" i="11" s="1"/>
  <c r="S419" i="11" s="1"/>
  <c r="W416" i="11"/>
  <c r="AA415" i="11"/>
  <c r="E820" i="12"/>
  <c r="E821" i="12"/>
  <c r="K415" i="11"/>
  <c r="G416" i="11"/>
  <c r="F821" i="12"/>
  <c r="F820" i="12"/>
  <c r="AO411" i="11"/>
  <c r="AK412" i="11"/>
  <c r="J816" i="12"/>
  <c r="J821" i="12"/>
  <c r="J822" i="12" s="1"/>
  <c r="J823" i="12"/>
  <c r="J824" i="12" s="1"/>
  <c r="J819" i="12"/>
  <c r="J820" i="12" s="1"/>
  <c r="J817" i="12"/>
  <c r="J818" i="12" s="1"/>
  <c r="E421" i="11"/>
  <c r="E422" i="11" s="1"/>
  <c r="E423" i="11" s="1"/>
  <c r="E424" i="11" s="1"/>
  <c r="G811" i="12"/>
  <c r="G810" i="12"/>
  <c r="AK416" i="11"/>
  <c r="AO415" i="11"/>
  <c r="AG415" i="11"/>
  <c r="AG416" i="11" s="1"/>
  <c r="AG417" i="11" s="1"/>
  <c r="AG418" i="11" s="1"/>
  <c r="AG419" i="11" s="1"/>
  <c r="E837" i="12"/>
  <c r="E836" i="12"/>
  <c r="C835" i="12" s="1"/>
  <c r="C836" i="12" s="1"/>
  <c r="C837" i="12" s="1"/>
  <c r="C838" i="12" s="1"/>
  <c r="C839" i="12" s="1"/>
  <c r="C840" i="12" s="1"/>
  <c r="C841" i="12" s="1"/>
  <c r="C842" i="12" s="1"/>
  <c r="C843" i="12" s="1"/>
  <c r="C844" i="12" s="1"/>
  <c r="U330" i="10"/>
  <c r="G331" i="10"/>
  <c r="F421" i="11"/>
  <c r="F422" i="11" s="1"/>
  <c r="F423" i="11" s="1"/>
  <c r="F424" i="11" s="1"/>
  <c r="G420" i="11"/>
  <c r="Y337" i="10"/>
  <c r="S337" i="10"/>
  <c r="K337" i="10"/>
  <c r="E338" i="10"/>
  <c r="C337" i="10"/>
  <c r="F341" i="10"/>
  <c r="E341" i="10"/>
  <c r="A345" i="10"/>
  <c r="A342" i="10"/>
  <c r="A343" i="10" s="1"/>
  <c r="A344" i="10" s="1"/>
  <c r="W420" i="11"/>
  <c r="V421" i="11"/>
  <c r="V422" i="11" s="1"/>
  <c r="V423" i="11" s="1"/>
  <c r="V424" i="11" s="1"/>
  <c r="AY412" i="11"/>
  <c r="BC411" i="11"/>
  <c r="AO407" i="11"/>
  <c r="AK408" i="11"/>
  <c r="U333" i="10"/>
  <c r="G334" i="10"/>
  <c r="T331" i="10"/>
  <c r="F332" i="10"/>
  <c r="T332" i="10" s="1"/>
  <c r="G328" i="10"/>
  <c r="U328" i="10" s="1"/>
  <c r="U327" i="10"/>
  <c r="C328" i="10"/>
  <c r="Q328" i="10" s="1"/>
  <c r="Q327" i="10"/>
  <c r="W408" i="11"/>
  <c r="AA407" i="11"/>
  <c r="AJ421" i="11"/>
  <c r="AJ422" i="11" s="1"/>
  <c r="AJ423" i="11" s="1"/>
  <c r="AJ424" i="11" s="1"/>
  <c r="AK420" i="11"/>
  <c r="Y334" i="10"/>
  <c r="S334" i="10"/>
  <c r="E335" i="10"/>
  <c r="K334" i="10"/>
  <c r="T337" i="10"/>
  <c r="F338" i="10"/>
  <c r="G337" i="10"/>
  <c r="E829" i="12"/>
  <c r="E828" i="12"/>
  <c r="F812" i="12"/>
  <c r="F813" i="12"/>
  <c r="F814" i="12" s="1"/>
  <c r="G803" i="12"/>
  <c r="G804" i="12" s="1"/>
  <c r="G802" i="12"/>
  <c r="AA411" i="11"/>
  <c r="W412" i="11"/>
  <c r="Y331" i="10"/>
  <c r="K331" i="10"/>
  <c r="S331" i="10"/>
  <c r="E332" i="10"/>
  <c r="Y328" i="10"/>
  <c r="S328" i="10"/>
  <c r="K328" i="10"/>
  <c r="G827" i="12"/>
  <c r="G826" i="12"/>
  <c r="J825" i="12" s="1"/>
  <c r="F836" i="12"/>
  <c r="F837" i="12"/>
  <c r="G835" i="12"/>
  <c r="E812" i="12"/>
  <c r="E813" i="12"/>
  <c r="E814" i="12" s="1"/>
  <c r="K403" i="11"/>
  <c r="G404" i="11"/>
  <c r="K404" i="11" s="1"/>
  <c r="AX421" i="11"/>
  <c r="AX422" i="11" s="1"/>
  <c r="AX423" i="11" s="1"/>
  <c r="AX424" i="11" s="1"/>
  <c r="AY420" i="11"/>
  <c r="F829" i="12"/>
  <c r="F828" i="12"/>
  <c r="K407" i="11"/>
  <c r="G408" i="11"/>
  <c r="F845" i="12"/>
  <c r="E845" i="12"/>
  <c r="A855" i="12"/>
  <c r="AY421" i="11" l="1"/>
  <c r="AU420" i="11"/>
  <c r="AU421" i="11" s="1"/>
  <c r="AU422" i="11" s="1"/>
  <c r="AU423" i="11" s="1"/>
  <c r="AU424" i="11" s="1"/>
  <c r="BC420" i="11"/>
  <c r="W409" i="11"/>
  <c r="AA409" i="11" s="1"/>
  <c r="AA408" i="11"/>
  <c r="AY413" i="11"/>
  <c r="BC412" i="11"/>
  <c r="K420" i="11"/>
  <c r="G421" i="11"/>
  <c r="W425" i="11"/>
  <c r="V426" i="11"/>
  <c r="V427" i="11" s="1"/>
  <c r="V428" i="11" s="1"/>
  <c r="V429" i="11" s="1"/>
  <c r="F426" i="11"/>
  <c r="F427" i="11" s="1"/>
  <c r="F428" i="11" s="1"/>
  <c r="F429" i="11" s="1"/>
  <c r="G425" i="11"/>
  <c r="F345" i="10"/>
  <c r="A349" i="10"/>
  <c r="E345" i="10"/>
  <c r="A346" i="10"/>
  <c r="A347" i="10" s="1"/>
  <c r="A348" i="10" s="1"/>
  <c r="T341" i="10"/>
  <c r="G341" i="10"/>
  <c r="F342" i="10"/>
  <c r="E830" i="12"/>
  <c r="E831" i="12"/>
  <c r="C420" i="11"/>
  <c r="C421" i="11" s="1"/>
  <c r="C422" i="11" s="1"/>
  <c r="C423" i="11" s="1"/>
  <c r="C424" i="11" s="1"/>
  <c r="E823" i="12"/>
  <c r="E824" i="12" s="1"/>
  <c r="E822" i="12"/>
  <c r="C425" i="11"/>
  <c r="C426" i="11" s="1"/>
  <c r="C427" i="11" s="1"/>
  <c r="C428" i="11" s="1"/>
  <c r="C429" i="11" s="1"/>
  <c r="E426" i="11"/>
  <c r="E427" i="11" s="1"/>
  <c r="E428" i="11" s="1"/>
  <c r="E429" i="11" s="1"/>
  <c r="AX426" i="11"/>
  <c r="AX427" i="11" s="1"/>
  <c r="AX428" i="11" s="1"/>
  <c r="AX429" i="11" s="1"/>
  <c r="AY425" i="11"/>
  <c r="K412" i="11"/>
  <c r="G413" i="11"/>
  <c r="A865" i="12"/>
  <c r="E855" i="12"/>
  <c r="F855" i="12"/>
  <c r="S341" i="10"/>
  <c r="K341" i="10"/>
  <c r="Y341" i="10"/>
  <c r="E342" i="10"/>
  <c r="C341" i="10"/>
  <c r="S338" i="10"/>
  <c r="K338" i="10"/>
  <c r="E339" i="10"/>
  <c r="Y338" i="10"/>
  <c r="G821" i="12"/>
  <c r="G820" i="12"/>
  <c r="C332" i="10"/>
  <c r="Q332" i="10" s="1"/>
  <c r="Q331" i="10"/>
  <c r="T338" i="10"/>
  <c r="F339" i="10"/>
  <c r="C335" i="10"/>
  <c r="Q334" i="10"/>
  <c r="Q337" i="10"/>
  <c r="C338" i="10"/>
  <c r="J829" i="12"/>
  <c r="J830" i="12" s="1"/>
  <c r="J833" i="12"/>
  <c r="J834" i="12" s="1"/>
  <c r="J826" i="12"/>
  <c r="J831" i="12"/>
  <c r="J832" i="12" s="1"/>
  <c r="J827" i="12"/>
  <c r="J828" i="12" s="1"/>
  <c r="AG420" i="11"/>
  <c r="AG421" i="11" s="1"/>
  <c r="AG422" i="11" s="1"/>
  <c r="AG423" i="11" s="1"/>
  <c r="AG424" i="11" s="1"/>
  <c r="AO420" i="11"/>
  <c r="AK421" i="11"/>
  <c r="AO408" i="11"/>
  <c r="AK409" i="11"/>
  <c r="AO409" i="11" s="1"/>
  <c r="AK417" i="11"/>
  <c r="AO416" i="11"/>
  <c r="T335" i="10"/>
  <c r="F336" i="10"/>
  <c r="T336" i="10" s="1"/>
  <c r="Y332" i="10"/>
  <c r="S332" i="10"/>
  <c r="K332" i="10"/>
  <c r="U337" i="10"/>
  <c r="G338" i="10"/>
  <c r="W421" i="11"/>
  <c r="AA420" i="11"/>
  <c r="S420" i="11"/>
  <c r="S421" i="11" s="1"/>
  <c r="S422" i="11" s="1"/>
  <c r="S423" i="11" s="1"/>
  <c r="S424" i="11" s="1"/>
  <c r="U331" i="10"/>
  <c r="G332" i="10"/>
  <c r="U332" i="10" s="1"/>
  <c r="E847" i="12"/>
  <c r="E846" i="12"/>
  <c r="G837" i="12"/>
  <c r="G836" i="12"/>
  <c r="J835" i="12" s="1"/>
  <c r="AA412" i="11"/>
  <c r="W413" i="11"/>
  <c r="Y335" i="10"/>
  <c r="S335" i="10"/>
  <c r="K335" i="10"/>
  <c r="E336" i="10"/>
  <c r="E838" i="12"/>
  <c r="E839" i="12"/>
  <c r="AO412" i="11"/>
  <c r="AK413" i="11"/>
  <c r="BC408" i="11"/>
  <c r="AY409" i="11"/>
  <c r="BC409" i="11" s="1"/>
  <c r="K408" i="11"/>
  <c r="G409" i="11"/>
  <c r="K409" i="11" s="1"/>
  <c r="G829" i="12"/>
  <c r="G828" i="12"/>
  <c r="F823" i="12"/>
  <c r="F824" i="12" s="1"/>
  <c r="F822" i="12"/>
  <c r="AJ426" i="11"/>
  <c r="AJ427" i="11" s="1"/>
  <c r="AJ428" i="11" s="1"/>
  <c r="AJ429" i="11" s="1"/>
  <c r="AK425" i="11"/>
  <c r="AA416" i="11"/>
  <c r="W417" i="11"/>
  <c r="F846" i="12"/>
  <c r="C845" i="12" s="1"/>
  <c r="C846" i="12" s="1"/>
  <c r="C847" i="12" s="1"/>
  <c r="C848" i="12" s="1"/>
  <c r="C849" i="12" s="1"/>
  <c r="C850" i="12" s="1"/>
  <c r="C851" i="12" s="1"/>
  <c r="C852" i="12" s="1"/>
  <c r="C853" i="12" s="1"/>
  <c r="C854" i="12" s="1"/>
  <c r="F847" i="12"/>
  <c r="G845" i="12"/>
  <c r="F838" i="12"/>
  <c r="F839" i="12"/>
  <c r="U334" i="10"/>
  <c r="G335" i="10"/>
  <c r="F830" i="12"/>
  <c r="F831" i="12"/>
  <c r="G813" i="12"/>
  <c r="G814" i="12" s="1"/>
  <c r="G812" i="12"/>
  <c r="G417" i="11"/>
  <c r="K416" i="11"/>
  <c r="V430" i="11"/>
  <c r="U430" i="11"/>
  <c r="U431" i="11" s="1"/>
  <c r="U432" i="11" s="1"/>
  <c r="U433" i="11" s="1"/>
  <c r="U434" i="11" s="1"/>
  <c r="AW430" i="11"/>
  <c r="AW431" i="11" s="1"/>
  <c r="AW432" i="11" s="1"/>
  <c r="AW433" i="11" s="1"/>
  <c r="AW434" i="11" s="1"/>
  <c r="F430" i="11"/>
  <c r="AJ430" i="11"/>
  <c r="A435" i="11"/>
  <c r="AI430" i="11"/>
  <c r="AI431" i="11" s="1"/>
  <c r="AI432" i="11" s="1"/>
  <c r="AI433" i="11" s="1"/>
  <c r="AI434" i="11" s="1"/>
  <c r="E430" i="11"/>
  <c r="AX430" i="11"/>
  <c r="BC416" i="11"/>
  <c r="AY417" i="11"/>
  <c r="G422" i="11" l="1"/>
  <c r="K421" i="11"/>
  <c r="G418" i="11"/>
  <c r="K417" i="11"/>
  <c r="AA413" i="11"/>
  <c r="W414" i="11"/>
  <c r="AA414" i="11" s="1"/>
  <c r="U338" i="10"/>
  <c r="G339" i="10"/>
  <c r="G838" i="12"/>
  <c r="G839" i="12"/>
  <c r="BC417" i="11"/>
  <c r="AY418" i="11"/>
  <c r="W418" i="11"/>
  <c r="AA417" i="11"/>
  <c r="AK414" i="11"/>
  <c r="AO414" i="11" s="1"/>
  <c r="AO413" i="11"/>
  <c r="G823" i="12"/>
  <c r="G824" i="12" s="1"/>
  <c r="G822" i="12"/>
  <c r="G847" i="12"/>
  <c r="G846" i="12"/>
  <c r="J845" i="12" s="1"/>
  <c r="AK426" i="11"/>
  <c r="AG425" i="11"/>
  <c r="AG426" i="11" s="1"/>
  <c r="AG427" i="11" s="1"/>
  <c r="AG428" i="11" s="1"/>
  <c r="AG429" i="11" s="1"/>
  <c r="AO425" i="11"/>
  <c r="S339" i="10"/>
  <c r="K339" i="10"/>
  <c r="Y339" i="10"/>
  <c r="E340" i="10"/>
  <c r="AY426" i="11"/>
  <c r="BC425" i="11"/>
  <c r="AU425" i="11"/>
  <c r="AU426" i="11" s="1"/>
  <c r="AU427" i="11" s="1"/>
  <c r="AU428" i="11" s="1"/>
  <c r="AU429" i="11" s="1"/>
  <c r="S336" i="10"/>
  <c r="K336" i="10"/>
  <c r="Y336" i="10"/>
  <c r="AK418" i="11"/>
  <c r="AO417" i="11"/>
  <c r="K345" i="10"/>
  <c r="E346" i="10"/>
  <c r="C345" i="10"/>
  <c r="Y345" i="10"/>
  <c r="S345" i="10"/>
  <c r="V431" i="11"/>
  <c r="V432" i="11" s="1"/>
  <c r="V433" i="11" s="1"/>
  <c r="V434" i="11" s="1"/>
  <c r="W430" i="11"/>
  <c r="F849" i="12"/>
  <c r="F848" i="12"/>
  <c r="F856" i="12"/>
  <c r="C855" i="12" s="1"/>
  <c r="C856" i="12" s="1"/>
  <c r="C857" i="12" s="1"/>
  <c r="C858" i="12" s="1"/>
  <c r="C859" i="12" s="1"/>
  <c r="C860" i="12" s="1"/>
  <c r="C861" i="12" s="1"/>
  <c r="C862" i="12" s="1"/>
  <c r="C863" i="12" s="1"/>
  <c r="C864" i="12" s="1"/>
  <c r="F857" i="12"/>
  <c r="G855" i="12"/>
  <c r="E832" i="12"/>
  <c r="E833" i="12"/>
  <c r="E834" i="12" s="1"/>
  <c r="E857" i="12"/>
  <c r="E856" i="12"/>
  <c r="AY430" i="11"/>
  <c r="AX431" i="11"/>
  <c r="AX432" i="11" s="1"/>
  <c r="AX433" i="11" s="1"/>
  <c r="AX434" i="11" s="1"/>
  <c r="E841" i="12"/>
  <c r="E840" i="12"/>
  <c r="E431" i="11"/>
  <c r="E432" i="11" s="1"/>
  <c r="E433" i="11" s="1"/>
  <c r="E434" i="11" s="1"/>
  <c r="C430" i="11"/>
  <c r="C431" i="11" s="1"/>
  <c r="C432" i="11" s="1"/>
  <c r="C433" i="11" s="1"/>
  <c r="C434" i="11" s="1"/>
  <c r="U335" i="10"/>
  <c r="G336" i="10"/>
  <c r="U336" i="10" s="1"/>
  <c r="Q341" i="10"/>
  <c r="C342" i="10"/>
  <c r="F349" i="10"/>
  <c r="A353" i="10"/>
  <c r="E349" i="10"/>
  <c r="A350" i="10"/>
  <c r="A351" i="10" s="1"/>
  <c r="A352" i="10" s="1"/>
  <c r="AA425" i="11"/>
  <c r="W426" i="11"/>
  <c r="S425" i="11"/>
  <c r="S426" i="11" s="1"/>
  <c r="S427" i="11" s="1"/>
  <c r="S428" i="11" s="1"/>
  <c r="S429" i="11" s="1"/>
  <c r="AY414" i="11"/>
  <c r="BC414" i="11" s="1"/>
  <c r="BC413" i="11"/>
  <c r="F832" i="12"/>
  <c r="F833" i="12"/>
  <c r="F834" i="12" s="1"/>
  <c r="Q338" i="10"/>
  <c r="C339" i="10"/>
  <c r="V435" i="11"/>
  <c r="AX435" i="11"/>
  <c r="AW435" i="11"/>
  <c r="AW436" i="11" s="1"/>
  <c r="AW437" i="11" s="1"/>
  <c r="AW438" i="11" s="1"/>
  <c r="AW439" i="11" s="1"/>
  <c r="AJ435" i="11"/>
  <c r="AI435" i="11"/>
  <c r="AI436" i="11" s="1"/>
  <c r="AI437" i="11" s="1"/>
  <c r="AI438" i="11" s="1"/>
  <c r="AI439" i="11" s="1"/>
  <c r="A440" i="11"/>
  <c r="E435" i="11"/>
  <c r="F435" i="11"/>
  <c r="U435" i="11"/>
  <c r="U436" i="11" s="1"/>
  <c r="U437" i="11" s="1"/>
  <c r="U438" i="11" s="1"/>
  <c r="U439" i="11" s="1"/>
  <c r="AJ431" i="11"/>
  <c r="AJ432" i="11" s="1"/>
  <c r="AJ433" i="11" s="1"/>
  <c r="AJ434" i="11" s="1"/>
  <c r="AK430" i="11"/>
  <c r="Q335" i="10"/>
  <c r="C336" i="10"/>
  <c r="Q336" i="10" s="1"/>
  <c r="S342" i="10"/>
  <c r="K342" i="10"/>
  <c r="E343" i="10"/>
  <c r="Y342" i="10"/>
  <c r="G345" i="10"/>
  <c r="F346" i="10"/>
  <c r="T345" i="10"/>
  <c r="J837" i="12"/>
  <c r="J838" i="12" s="1"/>
  <c r="J839" i="12"/>
  <c r="J840" i="12" s="1"/>
  <c r="J843" i="12"/>
  <c r="J844" i="12" s="1"/>
  <c r="J841" i="12"/>
  <c r="J842" i="12" s="1"/>
  <c r="J836" i="12"/>
  <c r="F865" i="12"/>
  <c r="A875" i="12"/>
  <c r="E865" i="12"/>
  <c r="T342" i="10"/>
  <c r="F343" i="10"/>
  <c r="K413" i="11"/>
  <c r="G414" i="11"/>
  <c r="K414" i="11" s="1"/>
  <c r="G342" i="10"/>
  <c r="U341" i="10"/>
  <c r="E849" i="12"/>
  <c r="E848" i="12"/>
  <c r="F431" i="11"/>
  <c r="F432" i="11" s="1"/>
  <c r="F433" i="11" s="1"/>
  <c r="F434" i="11" s="1"/>
  <c r="G430" i="11"/>
  <c r="F840" i="12"/>
  <c r="F841" i="12"/>
  <c r="G831" i="12"/>
  <c r="G830" i="12"/>
  <c r="W422" i="11"/>
  <c r="AA421" i="11"/>
  <c r="AK422" i="11"/>
  <c r="AO421" i="11"/>
  <c r="T339" i="10"/>
  <c r="F340" i="10"/>
  <c r="T340" i="10" s="1"/>
  <c r="K425" i="11"/>
  <c r="G426" i="11"/>
  <c r="AY422" i="11"/>
  <c r="BC421" i="11"/>
  <c r="F859" i="12" l="1"/>
  <c r="F858" i="12"/>
  <c r="AO418" i="11"/>
  <c r="AK419" i="11"/>
  <c r="AO419" i="11" s="1"/>
  <c r="G840" i="12"/>
  <c r="G841" i="12"/>
  <c r="G346" i="10"/>
  <c r="U345" i="10"/>
  <c r="G865" i="12"/>
  <c r="F867" i="12"/>
  <c r="F866" i="12"/>
  <c r="E350" i="10"/>
  <c r="C349" i="10"/>
  <c r="S349" i="10"/>
  <c r="K349" i="10"/>
  <c r="Y349" i="10"/>
  <c r="AY431" i="11"/>
  <c r="BC430" i="11"/>
  <c r="AU430" i="11"/>
  <c r="AU431" i="11" s="1"/>
  <c r="AU432" i="11" s="1"/>
  <c r="AU433" i="11" s="1"/>
  <c r="AU434" i="11" s="1"/>
  <c r="E851" i="12"/>
  <c r="E850" i="12"/>
  <c r="AG430" i="11"/>
  <c r="AG431" i="11" s="1"/>
  <c r="AG432" i="11" s="1"/>
  <c r="AG433" i="11" s="1"/>
  <c r="AG434" i="11" s="1"/>
  <c r="AK431" i="11"/>
  <c r="AO430" i="11"/>
  <c r="Q342" i="10"/>
  <c r="C343" i="10"/>
  <c r="E859" i="12"/>
  <c r="E858" i="12"/>
  <c r="AK423" i="11"/>
  <c r="AO422" i="11"/>
  <c r="G343" i="10"/>
  <c r="U342" i="10"/>
  <c r="AY419" i="11"/>
  <c r="BC419" i="11" s="1"/>
  <c r="BC418" i="11"/>
  <c r="F344" i="10"/>
  <c r="T344" i="10" s="1"/>
  <c r="T343" i="10"/>
  <c r="AX440" i="11"/>
  <c r="A445" i="11"/>
  <c r="AJ440" i="11"/>
  <c r="E440" i="11"/>
  <c r="U440" i="11"/>
  <c r="U441" i="11" s="1"/>
  <c r="U442" i="11" s="1"/>
  <c r="U443" i="11" s="1"/>
  <c r="U444" i="11" s="1"/>
  <c r="F440" i="11"/>
  <c r="AW440" i="11"/>
  <c r="AW441" i="11" s="1"/>
  <c r="AW442" i="11" s="1"/>
  <c r="AW443" i="11" s="1"/>
  <c r="AW444" i="11" s="1"/>
  <c r="V440" i="11"/>
  <c r="AI440" i="11"/>
  <c r="AI441" i="11" s="1"/>
  <c r="AI442" i="11" s="1"/>
  <c r="AI443" i="11" s="1"/>
  <c r="AI444" i="11" s="1"/>
  <c r="G435" i="11"/>
  <c r="F436" i="11"/>
  <c r="F437" i="11" s="1"/>
  <c r="F438" i="11" s="1"/>
  <c r="F439" i="11" s="1"/>
  <c r="G856" i="12"/>
  <c r="J855" i="12" s="1"/>
  <c r="G857" i="12"/>
  <c r="AA422" i="11"/>
  <c r="W423" i="11"/>
  <c r="U339" i="10"/>
  <c r="G340" i="10"/>
  <c r="U340" i="10" s="1"/>
  <c r="AA430" i="11"/>
  <c r="W431" i="11"/>
  <c r="S430" i="11"/>
  <c r="S431" i="11" s="1"/>
  <c r="S432" i="11" s="1"/>
  <c r="S433" i="11" s="1"/>
  <c r="S434" i="11" s="1"/>
  <c r="AX436" i="11"/>
  <c r="AX437" i="11" s="1"/>
  <c r="AX438" i="11" s="1"/>
  <c r="AX439" i="11" s="1"/>
  <c r="AY435" i="11"/>
  <c r="BC426" i="11"/>
  <c r="AY427" i="11"/>
  <c r="G849" i="12"/>
  <c r="G848" i="12"/>
  <c r="G427" i="11"/>
  <c r="K426" i="11"/>
  <c r="G431" i="11"/>
  <c r="K430" i="11"/>
  <c r="V436" i="11"/>
  <c r="V437" i="11" s="1"/>
  <c r="V438" i="11" s="1"/>
  <c r="V439" i="11" s="1"/>
  <c r="W435" i="11"/>
  <c r="A357" i="10"/>
  <c r="E353" i="10"/>
  <c r="A354" i="10"/>
  <c r="A355" i="10" s="1"/>
  <c r="A356" i="10" s="1"/>
  <c r="F353" i="10"/>
  <c r="Q339" i="10"/>
  <c r="C340" i="10"/>
  <c r="Q340" i="10" s="1"/>
  <c r="G349" i="10"/>
  <c r="F350" i="10"/>
  <c r="T349" i="10"/>
  <c r="S340" i="10"/>
  <c r="K340" i="10"/>
  <c r="Y340" i="10"/>
  <c r="G419" i="11"/>
  <c r="K419" i="11" s="1"/>
  <c r="K418" i="11"/>
  <c r="F347" i="10"/>
  <c r="T346" i="10"/>
  <c r="J853" i="12"/>
  <c r="J854" i="12" s="1"/>
  <c r="J847" i="12"/>
  <c r="J848" i="12" s="1"/>
  <c r="J851" i="12"/>
  <c r="J852" i="12" s="1"/>
  <c r="J849" i="12"/>
  <c r="J850" i="12" s="1"/>
  <c r="J846" i="12"/>
  <c r="F842" i="12"/>
  <c r="F843" i="12"/>
  <c r="F844" i="12" s="1"/>
  <c r="S343" i="10"/>
  <c r="K343" i="10"/>
  <c r="E344" i="10"/>
  <c r="Y343" i="10"/>
  <c r="Q345" i="10"/>
  <c r="C346" i="10"/>
  <c r="C435" i="11"/>
  <c r="C436" i="11" s="1"/>
  <c r="C437" i="11" s="1"/>
  <c r="C438" i="11" s="1"/>
  <c r="C439" i="11" s="1"/>
  <c r="E436" i="11"/>
  <c r="E437" i="11" s="1"/>
  <c r="E438" i="11" s="1"/>
  <c r="E439" i="11" s="1"/>
  <c r="AK427" i="11"/>
  <c r="AO426" i="11"/>
  <c r="G832" i="12"/>
  <c r="G833" i="12"/>
  <c r="G834" i="12" s="1"/>
  <c r="W427" i="11"/>
  <c r="AA426" i="11"/>
  <c r="E867" i="12"/>
  <c r="E866" i="12"/>
  <c r="C865" i="12" s="1"/>
  <c r="C866" i="12" s="1"/>
  <c r="C867" i="12" s="1"/>
  <c r="C868" i="12" s="1"/>
  <c r="C869" i="12" s="1"/>
  <c r="C870" i="12" s="1"/>
  <c r="C871" i="12" s="1"/>
  <c r="C872" i="12" s="1"/>
  <c r="C873" i="12" s="1"/>
  <c r="C874" i="12" s="1"/>
  <c r="AK435" i="11"/>
  <c r="AJ436" i="11"/>
  <c r="AJ437" i="11" s="1"/>
  <c r="AJ438" i="11" s="1"/>
  <c r="AJ439" i="11" s="1"/>
  <c r="E843" i="12"/>
  <c r="E844" i="12" s="1"/>
  <c r="E842" i="12"/>
  <c r="F851" i="12"/>
  <c r="F850" i="12"/>
  <c r="AY423" i="11"/>
  <c r="BC422" i="11"/>
  <c r="F875" i="12"/>
  <c r="A885" i="12"/>
  <c r="E875" i="12"/>
  <c r="K346" i="10"/>
  <c r="E347" i="10"/>
  <c r="S346" i="10"/>
  <c r="Y346" i="10"/>
  <c r="W419" i="11"/>
  <c r="AA419" i="11" s="1"/>
  <c r="AA418" i="11"/>
  <c r="G423" i="11"/>
  <c r="K422" i="11"/>
  <c r="F885" i="12" l="1"/>
  <c r="E885" i="12"/>
  <c r="A895" i="12"/>
  <c r="A358" i="10"/>
  <c r="A359" i="10" s="1"/>
  <c r="A360" i="10" s="1"/>
  <c r="A361" i="10"/>
  <c r="E357" i="10"/>
  <c r="F357" i="10"/>
  <c r="G344" i="10"/>
  <c r="U344" i="10" s="1"/>
  <c r="U343" i="10"/>
  <c r="F354" i="10"/>
  <c r="G353" i="10"/>
  <c r="T353" i="10"/>
  <c r="AY428" i="11"/>
  <c r="BC427" i="11"/>
  <c r="J856" i="12"/>
  <c r="J859" i="12"/>
  <c r="J860" i="12" s="1"/>
  <c r="J861" i="12"/>
  <c r="J862" i="12" s="1"/>
  <c r="J857" i="12"/>
  <c r="J858" i="12" s="1"/>
  <c r="J863" i="12"/>
  <c r="J864" i="12" s="1"/>
  <c r="E351" i="10"/>
  <c r="Y350" i="10"/>
  <c r="S350" i="10"/>
  <c r="K350" i="10"/>
  <c r="E869" i="12"/>
  <c r="E868" i="12"/>
  <c r="E354" i="10"/>
  <c r="C353" i="10"/>
  <c r="Y353" i="10"/>
  <c r="K353" i="10"/>
  <c r="S353" i="10"/>
  <c r="BC435" i="11"/>
  <c r="AY436" i="11"/>
  <c r="AU435" i="11"/>
  <c r="AU436" i="11" s="1"/>
  <c r="AU437" i="11" s="1"/>
  <c r="AU438" i="11" s="1"/>
  <c r="AU439" i="11" s="1"/>
  <c r="G436" i="11"/>
  <c r="K435" i="11"/>
  <c r="F876" i="12"/>
  <c r="F877" i="12"/>
  <c r="G875" i="12"/>
  <c r="W436" i="11"/>
  <c r="S435" i="11"/>
  <c r="S436" i="11" s="1"/>
  <c r="S437" i="11" s="1"/>
  <c r="S438" i="11" s="1"/>
  <c r="S439" i="11" s="1"/>
  <c r="AA435" i="11"/>
  <c r="G440" i="11"/>
  <c r="F441" i="11"/>
  <c r="F442" i="11" s="1"/>
  <c r="F443" i="11" s="1"/>
  <c r="F444" i="11" s="1"/>
  <c r="E877" i="12"/>
  <c r="E876" i="12"/>
  <c r="C875" i="12" s="1"/>
  <c r="C876" i="12" s="1"/>
  <c r="C877" i="12" s="1"/>
  <c r="C878" i="12" s="1"/>
  <c r="C879" i="12" s="1"/>
  <c r="C880" i="12" s="1"/>
  <c r="C881" i="12" s="1"/>
  <c r="C882" i="12" s="1"/>
  <c r="C883" i="12" s="1"/>
  <c r="C884" i="12" s="1"/>
  <c r="F348" i="10"/>
  <c r="T348" i="10" s="1"/>
  <c r="T347" i="10"/>
  <c r="AK432" i="11"/>
  <c r="AO431" i="11"/>
  <c r="F869" i="12"/>
  <c r="F868" i="12"/>
  <c r="W440" i="11"/>
  <c r="V441" i="11"/>
  <c r="V442" i="11" s="1"/>
  <c r="V443" i="11" s="1"/>
  <c r="V444" i="11" s="1"/>
  <c r="BC423" i="11"/>
  <c r="AY424" i="11"/>
  <c r="BC424" i="11" s="1"/>
  <c r="AA431" i="11"/>
  <c r="W432" i="11"/>
  <c r="G842" i="12"/>
  <c r="G843" i="12"/>
  <c r="G844" i="12" s="1"/>
  <c r="AY432" i="11"/>
  <c r="BC431" i="11"/>
  <c r="G867" i="12"/>
  <c r="G866" i="12"/>
  <c r="J865" i="12" s="1"/>
  <c r="W428" i="11"/>
  <c r="AA427" i="11"/>
  <c r="G347" i="10"/>
  <c r="U346" i="10"/>
  <c r="K423" i="11"/>
  <c r="G424" i="11"/>
  <c r="K424" i="11" s="1"/>
  <c r="F853" i="12"/>
  <c r="F854" i="12" s="1"/>
  <c r="F852" i="12"/>
  <c r="G432" i="11"/>
  <c r="K431" i="11"/>
  <c r="AK424" i="11"/>
  <c r="AO424" i="11" s="1"/>
  <c r="AO423" i="11"/>
  <c r="G428" i="11"/>
  <c r="K427" i="11"/>
  <c r="AJ441" i="11"/>
  <c r="AJ442" i="11" s="1"/>
  <c r="AJ443" i="11" s="1"/>
  <c r="AJ444" i="11" s="1"/>
  <c r="AK440" i="11"/>
  <c r="E860" i="12"/>
  <c r="E861" i="12"/>
  <c r="E853" i="12"/>
  <c r="E854" i="12" s="1"/>
  <c r="E852" i="12"/>
  <c r="F445" i="11"/>
  <c r="A450" i="11"/>
  <c r="AJ445" i="11"/>
  <c r="E445" i="11"/>
  <c r="AI445" i="11"/>
  <c r="AI446" i="11" s="1"/>
  <c r="AI447" i="11" s="1"/>
  <c r="AI448" i="11" s="1"/>
  <c r="AI449" i="11" s="1"/>
  <c r="V445" i="11"/>
  <c r="U445" i="11"/>
  <c r="U446" i="11" s="1"/>
  <c r="U447" i="11" s="1"/>
  <c r="U448" i="11" s="1"/>
  <c r="U449" i="11" s="1"/>
  <c r="AX445" i="11"/>
  <c r="AW445" i="11"/>
  <c r="AW446" i="11" s="1"/>
  <c r="AW447" i="11" s="1"/>
  <c r="AW448" i="11" s="1"/>
  <c r="AW449" i="11" s="1"/>
  <c r="Q343" i="10"/>
  <c r="C344" i="10"/>
  <c r="Q344" i="10" s="1"/>
  <c r="K344" i="10"/>
  <c r="S344" i="10"/>
  <c r="Y344" i="10"/>
  <c r="AO427" i="11"/>
  <c r="AK428" i="11"/>
  <c r="F351" i="10"/>
  <c r="T350" i="10"/>
  <c r="E441" i="11"/>
  <c r="E442" i="11" s="1"/>
  <c r="E443" i="11" s="1"/>
  <c r="E444" i="11" s="1"/>
  <c r="C440" i="11"/>
  <c r="C441" i="11" s="1"/>
  <c r="C442" i="11" s="1"/>
  <c r="C443" i="11" s="1"/>
  <c r="C444" i="11" s="1"/>
  <c r="G350" i="10"/>
  <c r="U349" i="10"/>
  <c r="W424" i="11"/>
  <c r="AA424" i="11" s="1"/>
  <c r="AA423" i="11"/>
  <c r="K347" i="10"/>
  <c r="E348" i="10"/>
  <c r="S347" i="10"/>
  <c r="Y347" i="10"/>
  <c r="AK436" i="11"/>
  <c r="AO435" i="11"/>
  <c r="AG435" i="11"/>
  <c r="AG436" i="11" s="1"/>
  <c r="AG437" i="11" s="1"/>
  <c r="AG438" i="11" s="1"/>
  <c r="AG439" i="11" s="1"/>
  <c r="Q346" i="10"/>
  <c r="C347" i="10"/>
  <c r="G851" i="12"/>
  <c r="G850" i="12"/>
  <c r="G858" i="12"/>
  <c r="G859" i="12"/>
  <c r="AY440" i="11"/>
  <c r="AX441" i="11"/>
  <c r="AX442" i="11" s="1"/>
  <c r="AX443" i="11" s="1"/>
  <c r="AX444" i="11" s="1"/>
  <c r="C350" i="10"/>
  <c r="Q349" i="10"/>
  <c r="F860" i="12"/>
  <c r="F861" i="12"/>
  <c r="K440" i="11" l="1"/>
  <c r="G441" i="11"/>
  <c r="E870" i="12"/>
  <c r="E871" i="12"/>
  <c r="E863" i="12"/>
  <c r="E864" i="12" s="1"/>
  <c r="E862" i="12"/>
  <c r="G437" i="11"/>
  <c r="K436" i="11"/>
  <c r="AO436" i="11"/>
  <c r="AK437" i="11"/>
  <c r="F352" i="10"/>
  <c r="T352" i="10" s="1"/>
  <c r="T351" i="10"/>
  <c r="AK429" i="11"/>
  <c r="AO429" i="11" s="1"/>
  <c r="AO428" i="11"/>
  <c r="U353" i="10"/>
  <c r="G354" i="10"/>
  <c r="E878" i="12"/>
  <c r="E879" i="12"/>
  <c r="Y357" i="10"/>
  <c r="S357" i="10"/>
  <c r="C357" i="10"/>
  <c r="E358" i="10"/>
  <c r="K357" i="10"/>
  <c r="J869" i="12"/>
  <c r="J870" i="12" s="1"/>
  <c r="J873" i="12"/>
  <c r="J874" i="12" s="1"/>
  <c r="J867" i="12"/>
  <c r="J868" i="12" s="1"/>
  <c r="J866" i="12"/>
  <c r="J871" i="12"/>
  <c r="J872" i="12" s="1"/>
  <c r="G853" i="12"/>
  <c r="G854" i="12" s="1"/>
  <c r="G852" i="12"/>
  <c r="W433" i="11"/>
  <c r="AA432" i="11"/>
  <c r="V446" i="11"/>
  <c r="V447" i="11" s="1"/>
  <c r="V448" i="11" s="1"/>
  <c r="V449" i="11" s="1"/>
  <c r="W445" i="11"/>
  <c r="F361" i="10"/>
  <c r="E361" i="10"/>
  <c r="A365" i="10"/>
  <c r="A362" i="10"/>
  <c r="A363" i="10" s="1"/>
  <c r="A364" i="10" s="1"/>
  <c r="G869" i="12"/>
  <c r="G868" i="12"/>
  <c r="F870" i="12"/>
  <c r="F871" i="12"/>
  <c r="W437" i="11"/>
  <c r="AA436" i="11"/>
  <c r="C354" i="10"/>
  <c r="Q353" i="10"/>
  <c r="F895" i="12"/>
  <c r="A905" i="12"/>
  <c r="E895" i="12"/>
  <c r="C348" i="10"/>
  <c r="Q348" i="10" s="1"/>
  <c r="Q347" i="10"/>
  <c r="BC436" i="11"/>
  <c r="AY437" i="11"/>
  <c r="F862" i="12"/>
  <c r="F863" i="12"/>
  <c r="F864" i="12" s="1"/>
  <c r="G429" i="11"/>
  <c r="K429" i="11" s="1"/>
  <c r="K428" i="11"/>
  <c r="AA428" i="11"/>
  <c r="W429" i="11"/>
  <c r="AA429" i="11" s="1"/>
  <c r="S440" i="11"/>
  <c r="S441" i="11" s="1"/>
  <c r="S442" i="11" s="1"/>
  <c r="S443" i="11" s="1"/>
  <c r="S444" i="11" s="1"/>
  <c r="W441" i="11"/>
  <c r="AA440" i="11"/>
  <c r="AJ446" i="11"/>
  <c r="AJ447" i="11" s="1"/>
  <c r="AJ448" i="11" s="1"/>
  <c r="AJ449" i="11" s="1"/>
  <c r="AK445" i="11"/>
  <c r="AU440" i="11"/>
  <c r="AU441" i="11" s="1"/>
  <c r="AU442" i="11" s="1"/>
  <c r="AU443" i="11" s="1"/>
  <c r="AU444" i="11" s="1"/>
  <c r="BC440" i="11"/>
  <c r="AY441" i="11"/>
  <c r="Y348" i="10"/>
  <c r="S348" i="10"/>
  <c r="K348" i="10"/>
  <c r="G877" i="12"/>
  <c r="G876" i="12"/>
  <c r="J875" i="12" s="1"/>
  <c r="E355" i="10"/>
  <c r="Y354" i="10"/>
  <c r="S354" i="10"/>
  <c r="K354" i="10"/>
  <c r="E887" i="12"/>
  <c r="E886" i="12"/>
  <c r="F355" i="10"/>
  <c r="T354" i="10"/>
  <c r="G351" i="10"/>
  <c r="U350" i="10"/>
  <c r="AX446" i="11"/>
  <c r="AX447" i="11" s="1"/>
  <c r="AX448" i="11" s="1"/>
  <c r="AX449" i="11" s="1"/>
  <c r="AY445" i="11"/>
  <c r="AK441" i="11"/>
  <c r="AO440" i="11"/>
  <c r="AG440" i="11"/>
  <c r="AG441" i="11" s="1"/>
  <c r="AG442" i="11" s="1"/>
  <c r="AG443" i="11" s="1"/>
  <c r="AG444" i="11" s="1"/>
  <c r="E352" i="10"/>
  <c r="Y351" i="10"/>
  <c r="K351" i="10"/>
  <c r="S351" i="10"/>
  <c r="G348" i="10"/>
  <c r="U348" i="10" s="1"/>
  <c r="U347" i="10"/>
  <c r="T357" i="10"/>
  <c r="F358" i="10"/>
  <c r="G357" i="10"/>
  <c r="C351" i="10"/>
  <c r="Q350" i="10"/>
  <c r="E446" i="11"/>
  <c r="E447" i="11" s="1"/>
  <c r="E448" i="11" s="1"/>
  <c r="E449" i="11" s="1"/>
  <c r="C445" i="11"/>
  <c r="C446" i="11" s="1"/>
  <c r="C447" i="11" s="1"/>
  <c r="C448" i="11" s="1"/>
  <c r="C449" i="11" s="1"/>
  <c r="F450" i="11"/>
  <c r="AI450" i="11"/>
  <c r="AI451" i="11" s="1"/>
  <c r="AI452" i="11" s="1"/>
  <c r="AI453" i="11" s="1"/>
  <c r="AI454" i="11" s="1"/>
  <c r="AX450" i="11"/>
  <c r="E450" i="11"/>
  <c r="AW450" i="11"/>
  <c r="AW451" i="11" s="1"/>
  <c r="AW452" i="11" s="1"/>
  <c r="AW453" i="11" s="1"/>
  <c r="AW454" i="11" s="1"/>
  <c r="A455" i="11"/>
  <c r="AJ450" i="11"/>
  <c r="V450" i="11"/>
  <c r="U450" i="11"/>
  <c r="U451" i="11" s="1"/>
  <c r="U452" i="11" s="1"/>
  <c r="U453" i="11" s="1"/>
  <c r="U454" i="11" s="1"/>
  <c r="G861" i="12"/>
  <c r="G860" i="12"/>
  <c r="F446" i="11"/>
  <c r="F447" i="11" s="1"/>
  <c r="F448" i="11" s="1"/>
  <c r="F449" i="11" s="1"/>
  <c r="G445" i="11"/>
  <c r="K432" i="11"/>
  <c r="G433" i="11"/>
  <c r="BC432" i="11"/>
  <c r="AY433" i="11"/>
  <c r="AK433" i="11"/>
  <c r="AO432" i="11"/>
  <c r="F879" i="12"/>
  <c r="F878" i="12"/>
  <c r="AY429" i="11"/>
  <c r="BC429" i="11" s="1"/>
  <c r="BC428" i="11"/>
  <c r="G885" i="12"/>
  <c r="F886" i="12"/>
  <c r="C885" i="12" s="1"/>
  <c r="C886" i="12" s="1"/>
  <c r="C887" i="12" s="1"/>
  <c r="C888" i="12" s="1"/>
  <c r="C889" i="12" s="1"/>
  <c r="C890" i="12" s="1"/>
  <c r="C891" i="12" s="1"/>
  <c r="C892" i="12" s="1"/>
  <c r="C893" i="12" s="1"/>
  <c r="C894" i="12" s="1"/>
  <c r="F887" i="12"/>
  <c r="E451" i="11" l="1"/>
  <c r="E452" i="11" s="1"/>
  <c r="E453" i="11" s="1"/>
  <c r="E454" i="11" s="1"/>
  <c r="K445" i="11"/>
  <c r="G446" i="11"/>
  <c r="J879" i="12"/>
  <c r="J880" i="12" s="1"/>
  <c r="J883" i="12"/>
  <c r="J884" i="12" s="1"/>
  <c r="J881" i="12"/>
  <c r="J882" i="12" s="1"/>
  <c r="J876" i="12"/>
  <c r="J877" i="12"/>
  <c r="J878" i="12" s="1"/>
  <c r="F905" i="12"/>
  <c r="A915" i="12"/>
  <c r="E905" i="12"/>
  <c r="Y361" i="10"/>
  <c r="S361" i="10"/>
  <c r="K361" i="10"/>
  <c r="C361" i="10"/>
  <c r="E362" i="10"/>
  <c r="C358" i="10"/>
  <c r="Q357" i="10"/>
  <c r="AY442" i="11"/>
  <c r="BC441" i="11"/>
  <c r="AA437" i="11"/>
  <c r="W438" i="11"/>
  <c r="G438" i="11"/>
  <c r="K437" i="11"/>
  <c r="AJ451" i="11"/>
  <c r="AJ452" i="11" s="1"/>
  <c r="AJ453" i="11" s="1"/>
  <c r="AJ454" i="11" s="1"/>
  <c r="AK450" i="11"/>
  <c r="T358" i="10"/>
  <c r="F359" i="10"/>
  <c r="AK434" i="11"/>
  <c r="AO434" i="11" s="1"/>
  <c r="AO433" i="11"/>
  <c r="AI455" i="11"/>
  <c r="AI456" i="11" s="1"/>
  <c r="AI457" i="11" s="1"/>
  <c r="AI458" i="11" s="1"/>
  <c r="AI459" i="11" s="1"/>
  <c r="U455" i="11"/>
  <c r="U456" i="11" s="1"/>
  <c r="U457" i="11" s="1"/>
  <c r="U458" i="11" s="1"/>
  <c r="U459" i="11" s="1"/>
  <c r="AX455" i="11"/>
  <c r="F455" i="11"/>
  <c r="AW455" i="11"/>
  <c r="AW456" i="11" s="1"/>
  <c r="AW457" i="11" s="1"/>
  <c r="AW458" i="11" s="1"/>
  <c r="AW459" i="11" s="1"/>
  <c r="E455" i="11"/>
  <c r="V455" i="11"/>
  <c r="AJ455" i="11"/>
  <c r="A460" i="11"/>
  <c r="G878" i="12"/>
  <c r="G879" i="12"/>
  <c r="G895" i="12"/>
  <c r="F897" i="12"/>
  <c r="F896" i="12"/>
  <c r="C895" i="12" s="1"/>
  <c r="C896" i="12" s="1"/>
  <c r="C897" i="12" s="1"/>
  <c r="C898" i="12" s="1"/>
  <c r="C899" i="12" s="1"/>
  <c r="C900" i="12" s="1"/>
  <c r="C901" i="12" s="1"/>
  <c r="C902" i="12" s="1"/>
  <c r="C903" i="12" s="1"/>
  <c r="C904" i="12" s="1"/>
  <c r="T361" i="10"/>
  <c r="G361" i="10"/>
  <c r="F362" i="10"/>
  <c r="U351" i="10"/>
  <c r="G352" i="10"/>
  <c r="U352" i="10" s="1"/>
  <c r="AA445" i="11"/>
  <c r="W446" i="11"/>
  <c r="S445" i="11"/>
  <c r="S446" i="11" s="1"/>
  <c r="S447" i="11" s="1"/>
  <c r="S448" i="11" s="1"/>
  <c r="S449" i="11" s="1"/>
  <c r="Y358" i="10"/>
  <c r="S358" i="10"/>
  <c r="E359" i="10"/>
  <c r="K358" i="10"/>
  <c r="AO437" i="11"/>
  <c r="AK438" i="11"/>
  <c r="F872" i="12"/>
  <c r="F873" i="12"/>
  <c r="F874" i="12" s="1"/>
  <c r="E880" i="12"/>
  <c r="E881" i="12"/>
  <c r="G886" i="12"/>
  <c r="J885" i="12" s="1"/>
  <c r="G887" i="12"/>
  <c r="Y352" i="10"/>
  <c r="S352" i="10"/>
  <c r="K352" i="10"/>
  <c r="AY438" i="11"/>
  <c r="BC437" i="11"/>
  <c r="AG445" i="11"/>
  <c r="AG446" i="11" s="1"/>
  <c r="AG447" i="11" s="1"/>
  <c r="AG448" i="11" s="1"/>
  <c r="AG449" i="11" s="1"/>
  <c r="AO445" i="11"/>
  <c r="AK446" i="11"/>
  <c r="U354" i="10"/>
  <c r="G355" i="10"/>
  <c r="E872" i="12"/>
  <c r="E873" i="12"/>
  <c r="E874" i="12" s="1"/>
  <c r="W434" i="11"/>
  <c r="AA434" i="11" s="1"/>
  <c r="AA433" i="11"/>
  <c r="F451" i="11"/>
  <c r="F452" i="11" s="1"/>
  <c r="F453" i="11" s="1"/>
  <c r="F454" i="11" s="1"/>
  <c r="G450" i="11"/>
  <c r="G863" i="12"/>
  <c r="G864" i="12" s="1"/>
  <c r="G862" i="12"/>
  <c r="G871" i="12"/>
  <c r="G870" i="12"/>
  <c r="AY434" i="11"/>
  <c r="BC434" i="11" s="1"/>
  <c r="BC433" i="11"/>
  <c r="C355" i="10"/>
  <c r="Q354" i="10"/>
  <c r="AX451" i="11"/>
  <c r="AX452" i="11" s="1"/>
  <c r="AX453" i="11" s="1"/>
  <c r="AX454" i="11" s="1"/>
  <c r="AY450" i="11"/>
  <c r="T355" i="10"/>
  <c r="F356" i="10"/>
  <c r="T356" i="10" s="1"/>
  <c r="E888" i="12"/>
  <c r="E889" i="12"/>
  <c r="C352" i="10"/>
  <c r="Q352" i="10" s="1"/>
  <c r="Q351" i="10"/>
  <c r="AO441" i="11"/>
  <c r="AK442" i="11"/>
  <c r="K441" i="11"/>
  <c r="G442" i="11"/>
  <c r="G434" i="11"/>
  <c r="K434" i="11" s="1"/>
  <c r="K433" i="11"/>
  <c r="F889" i="12"/>
  <c r="F888" i="12"/>
  <c r="F880" i="12"/>
  <c r="F881" i="12"/>
  <c r="W450" i="11"/>
  <c r="V451" i="11"/>
  <c r="V452" i="11" s="1"/>
  <c r="V453" i="11" s="1"/>
  <c r="V454" i="11" s="1"/>
  <c r="U357" i="10"/>
  <c r="G358" i="10"/>
  <c r="AU445" i="11"/>
  <c r="AU446" i="11" s="1"/>
  <c r="AU447" i="11" s="1"/>
  <c r="AU448" i="11" s="1"/>
  <c r="AU449" i="11" s="1"/>
  <c r="AY446" i="11"/>
  <c r="BC445" i="11"/>
  <c r="Y355" i="10"/>
  <c r="K355" i="10"/>
  <c r="E356" i="10"/>
  <c r="S355" i="10"/>
  <c r="AA441" i="11"/>
  <c r="W442" i="11"/>
  <c r="E896" i="12"/>
  <c r="E897" i="12"/>
  <c r="F365" i="10"/>
  <c r="A366" i="10"/>
  <c r="A367" i="10" s="1"/>
  <c r="A368" i="10" s="1"/>
  <c r="E365" i="10"/>
  <c r="A369" i="10"/>
  <c r="F906" i="12" l="1"/>
  <c r="F907" i="12"/>
  <c r="G905" i="12"/>
  <c r="BC438" i="11"/>
  <c r="AY439" i="11"/>
  <c r="BC439" i="11" s="1"/>
  <c r="Y359" i="10"/>
  <c r="S359" i="10"/>
  <c r="E360" i="10"/>
  <c r="K359" i="10"/>
  <c r="F898" i="12"/>
  <c r="F899" i="12"/>
  <c r="F369" i="10"/>
  <c r="A373" i="10"/>
  <c r="E369" i="10"/>
  <c r="A370" i="10"/>
  <c r="A371" i="10" s="1"/>
  <c r="A372" i="10" s="1"/>
  <c r="AY451" i="11"/>
  <c r="AU450" i="11"/>
  <c r="AU451" i="11" s="1"/>
  <c r="AU452" i="11" s="1"/>
  <c r="AU453" i="11" s="1"/>
  <c r="AU454" i="11" s="1"/>
  <c r="BC450" i="11"/>
  <c r="S365" i="10"/>
  <c r="K365" i="10"/>
  <c r="Y365" i="10"/>
  <c r="E366" i="10"/>
  <c r="C365" i="10"/>
  <c r="E898" i="12"/>
  <c r="E899" i="12"/>
  <c r="AO442" i="11"/>
  <c r="AK443" i="11"/>
  <c r="C455" i="11"/>
  <c r="C456" i="11" s="1"/>
  <c r="C457" i="11" s="1"/>
  <c r="C458" i="11" s="1"/>
  <c r="C459" i="11" s="1"/>
  <c r="E456" i="11"/>
  <c r="E457" i="11" s="1"/>
  <c r="E458" i="11" s="1"/>
  <c r="E459" i="11" s="1"/>
  <c r="W443" i="11"/>
  <c r="AA442" i="11"/>
  <c r="W451" i="11"/>
  <c r="AA450" i="11"/>
  <c r="S450" i="11"/>
  <c r="S451" i="11" s="1"/>
  <c r="S452" i="11" s="1"/>
  <c r="S453" i="11" s="1"/>
  <c r="S454" i="11" s="1"/>
  <c r="G872" i="12"/>
  <c r="G873" i="12"/>
  <c r="G874" i="12" s="1"/>
  <c r="T362" i="10"/>
  <c r="F363" i="10"/>
  <c r="K438" i="11"/>
  <c r="G439" i="11"/>
  <c r="K439" i="11" s="1"/>
  <c r="E906" i="12"/>
  <c r="C905" i="12"/>
  <c r="C906" i="12" s="1"/>
  <c r="C907" i="12" s="1"/>
  <c r="C908" i="12" s="1"/>
  <c r="C909" i="12" s="1"/>
  <c r="C910" i="12" s="1"/>
  <c r="C911" i="12" s="1"/>
  <c r="C912" i="12" s="1"/>
  <c r="C913" i="12" s="1"/>
  <c r="C914" i="12" s="1"/>
  <c r="E907" i="12"/>
  <c r="AX456" i="11"/>
  <c r="AX457" i="11" s="1"/>
  <c r="AX458" i="11" s="1"/>
  <c r="AX459" i="11" s="1"/>
  <c r="AY455" i="11"/>
  <c r="C356" i="10"/>
  <c r="Q356" i="10" s="1"/>
  <c r="Q355" i="10"/>
  <c r="U358" i="10"/>
  <c r="G359" i="10"/>
  <c r="U355" i="10"/>
  <c r="G356" i="10"/>
  <c r="U356" i="10" s="1"/>
  <c r="F883" i="12"/>
  <c r="F884" i="12" s="1"/>
  <c r="F882" i="12"/>
  <c r="E891" i="12"/>
  <c r="E890" i="12"/>
  <c r="AK439" i="11"/>
  <c r="AO439" i="11" s="1"/>
  <c r="AO438" i="11"/>
  <c r="U361" i="10"/>
  <c r="G362" i="10"/>
  <c r="F456" i="11"/>
  <c r="F457" i="11" s="1"/>
  <c r="F458" i="11" s="1"/>
  <c r="F459" i="11" s="1"/>
  <c r="G455" i="11"/>
  <c r="W439" i="11"/>
  <c r="AA439" i="11" s="1"/>
  <c r="AA438" i="11"/>
  <c r="E915" i="12"/>
  <c r="A925" i="12"/>
  <c r="F915" i="12"/>
  <c r="J893" i="12"/>
  <c r="J894" i="12" s="1"/>
  <c r="J887" i="12"/>
  <c r="J888" i="12" s="1"/>
  <c r="J891" i="12"/>
  <c r="J892" i="12" s="1"/>
  <c r="J889" i="12"/>
  <c r="J890" i="12" s="1"/>
  <c r="J886" i="12"/>
  <c r="W447" i="11"/>
  <c r="AA446" i="11"/>
  <c r="V460" i="11"/>
  <c r="U460" i="11"/>
  <c r="U461" i="11" s="1"/>
  <c r="U462" i="11" s="1"/>
  <c r="U463" i="11" s="1"/>
  <c r="U464" i="11" s="1"/>
  <c r="AW460" i="11"/>
  <c r="AW461" i="11" s="1"/>
  <c r="AW462" i="11" s="1"/>
  <c r="AW463" i="11" s="1"/>
  <c r="AW464" i="11" s="1"/>
  <c r="F460" i="11"/>
  <c r="AJ460" i="11"/>
  <c r="A465" i="11"/>
  <c r="AI460" i="11"/>
  <c r="AI461" i="11" s="1"/>
  <c r="AI462" i="11" s="1"/>
  <c r="AI463" i="11" s="1"/>
  <c r="AI464" i="11" s="1"/>
  <c r="AX460" i="11"/>
  <c r="E460" i="11"/>
  <c r="Q361" i="10"/>
  <c r="C362" i="10"/>
  <c r="K446" i="11"/>
  <c r="G447" i="11"/>
  <c r="Y356" i="10"/>
  <c r="S356" i="10"/>
  <c r="K356" i="10"/>
  <c r="K450" i="11"/>
  <c r="G451" i="11"/>
  <c r="G896" i="12"/>
  <c r="J895" i="12" s="1"/>
  <c r="G897" i="12"/>
  <c r="C359" i="10"/>
  <c r="Q358" i="10"/>
  <c r="AY447" i="11"/>
  <c r="BC446" i="11"/>
  <c r="G888" i="12"/>
  <c r="G889" i="12"/>
  <c r="T359" i="10"/>
  <c r="F360" i="10"/>
  <c r="T360" i="10" s="1"/>
  <c r="S362" i="10"/>
  <c r="K362" i="10"/>
  <c r="E363" i="10"/>
  <c r="Y362" i="10"/>
  <c r="T365" i="10"/>
  <c r="G365" i="10"/>
  <c r="F366" i="10"/>
  <c r="AJ456" i="11"/>
  <c r="AJ457" i="11" s="1"/>
  <c r="AJ458" i="11" s="1"/>
  <c r="AJ459" i="11" s="1"/>
  <c r="AK455" i="11"/>
  <c r="AG450" i="11"/>
  <c r="AG451" i="11" s="1"/>
  <c r="AG452" i="11" s="1"/>
  <c r="AG453" i="11" s="1"/>
  <c r="AG454" i="11" s="1"/>
  <c r="AO450" i="11"/>
  <c r="AK451" i="11"/>
  <c r="F890" i="12"/>
  <c r="F891" i="12"/>
  <c r="AY443" i="11"/>
  <c r="BC442" i="11"/>
  <c r="W455" i="11"/>
  <c r="V456" i="11"/>
  <c r="V457" i="11" s="1"/>
  <c r="V458" i="11" s="1"/>
  <c r="V459" i="11" s="1"/>
  <c r="G881" i="12"/>
  <c r="G880" i="12"/>
  <c r="K442" i="11"/>
  <c r="G443" i="11"/>
  <c r="E883" i="12"/>
  <c r="E884" i="12" s="1"/>
  <c r="E882" i="12"/>
  <c r="AO446" i="11"/>
  <c r="AK447" i="11"/>
  <c r="C450" i="11"/>
  <c r="C451" i="11" s="1"/>
  <c r="C452" i="11" s="1"/>
  <c r="C453" i="11" s="1"/>
  <c r="C454" i="11" s="1"/>
  <c r="G898" i="12" l="1"/>
  <c r="G899" i="12"/>
  <c r="AK452" i="11"/>
  <c r="AO451" i="11"/>
  <c r="G891" i="12"/>
  <c r="G890" i="12"/>
  <c r="G882" i="12"/>
  <c r="G883" i="12"/>
  <c r="G884" i="12" s="1"/>
  <c r="T366" i="10"/>
  <c r="F367" i="10"/>
  <c r="BC447" i="11"/>
  <c r="AY448" i="11"/>
  <c r="Q362" i="10"/>
  <c r="C363" i="10"/>
  <c r="W448" i="11"/>
  <c r="AA447" i="11"/>
  <c r="G369" i="10"/>
  <c r="F370" i="10"/>
  <c r="T369" i="10"/>
  <c r="E461" i="11"/>
  <c r="E462" i="11" s="1"/>
  <c r="E463" i="11" s="1"/>
  <c r="E464" i="11" s="1"/>
  <c r="C460" i="11"/>
  <c r="C461" i="11" s="1"/>
  <c r="C462" i="11" s="1"/>
  <c r="C463" i="11" s="1"/>
  <c r="C464" i="11" s="1"/>
  <c r="AY456" i="11"/>
  <c r="BC455" i="11"/>
  <c r="AU455" i="11"/>
  <c r="AU456" i="11" s="1"/>
  <c r="AU457" i="11" s="1"/>
  <c r="AU458" i="11" s="1"/>
  <c r="AU459" i="11" s="1"/>
  <c r="AY444" i="11"/>
  <c r="BC444" i="11" s="1"/>
  <c r="BC443" i="11"/>
  <c r="S363" i="10"/>
  <c r="K363" i="10"/>
  <c r="Y363" i="10"/>
  <c r="E364" i="10"/>
  <c r="G452" i="11"/>
  <c r="K451" i="11"/>
  <c r="V465" i="11"/>
  <c r="AX465" i="11"/>
  <c r="AW465" i="11"/>
  <c r="AW466" i="11" s="1"/>
  <c r="AW467" i="11" s="1"/>
  <c r="AW468" i="11" s="1"/>
  <c r="AW469" i="11" s="1"/>
  <c r="AJ465" i="11"/>
  <c r="AI465" i="11"/>
  <c r="AI466" i="11" s="1"/>
  <c r="AI467" i="11" s="1"/>
  <c r="AI468" i="11" s="1"/>
  <c r="AI469" i="11" s="1"/>
  <c r="A470" i="11"/>
  <c r="U465" i="11"/>
  <c r="U466" i="11" s="1"/>
  <c r="U467" i="11" s="1"/>
  <c r="U468" i="11" s="1"/>
  <c r="U469" i="11" s="1"/>
  <c r="F465" i="11"/>
  <c r="E465" i="11"/>
  <c r="E909" i="12"/>
  <c r="E908" i="12"/>
  <c r="V461" i="11"/>
  <c r="V462" i="11" s="1"/>
  <c r="V463" i="11" s="1"/>
  <c r="V464" i="11" s="1"/>
  <c r="W460" i="11"/>
  <c r="T363" i="10"/>
  <c r="F364" i="10"/>
  <c r="T364" i="10" s="1"/>
  <c r="G366" i="10"/>
  <c r="U365" i="10"/>
  <c r="U362" i="10"/>
  <c r="G363" i="10"/>
  <c r="Q365" i="10"/>
  <c r="C366" i="10"/>
  <c r="F900" i="12"/>
  <c r="F901" i="12"/>
  <c r="AY460" i="11"/>
  <c r="AX461" i="11"/>
  <c r="AX462" i="11" s="1"/>
  <c r="AX463" i="11" s="1"/>
  <c r="AX464" i="11" s="1"/>
  <c r="AK448" i="11"/>
  <c r="AO447" i="11"/>
  <c r="E893" i="12"/>
  <c r="E894" i="12" s="1"/>
  <c r="E892" i="12"/>
  <c r="F461" i="11"/>
  <c r="F462" i="11" s="1"/>
  <c r="F463" i="11" s="1"/>
  <c r="F464" i="11" s="1"/>
  <c r="G460" i="11"/>
  <c r="A935" i="12"/>
  <c r="E925" i="12"/>
  <c r="F925" i="12"/>
  <c r="AA455" i="11"/>
  <c r="W456" i="11"/>
  <c r="S455" i="11"/>
  <c r="S456" i="11" s="1"/>
  <c r="S457" i="11" s="1"/>
  <c r="S458" i="11" s="1"/>
  <c r="S459" i="11" s="1"/>
  <c r="S366" i="10"/>
  <c r="K366" i="10"/>
  <c r="E367" i="10"/>
  <c r="Y366" i="10"/>
  <c r="J897" i="12"/>
  <c r="J898" i="12" s="1"/>
  <c r="J903" i="12"/>
  <c r="J904" i="12" s="1"/>
  <c r="J896" i="12"/>
  <c r="J899" i="12"/>
  <c r="J900" i="12" s="1"/>
  <c r="J901" i="12"/>
  <c r="J902" i="12" s="1"/>
  <c r="G915" i="12"/>
  <c r="F917" i="12"/>
  <c r="F916" i="12"/>
  <c r="C915" i="12" s="1"/>
  <c r="C916" i="12" s="1"/>
  <c r="C917" i="12" s="1"/>
  <c r="C918" i="12" s="1"/>
  <c r="C919" i="12" s="1"/>
  <c r="C920" i="12" s="1"/>
  <c r="C921" i="12" s="1"/>
  <c r="C922" i="12" s="1"/>
  <c r="C923" i="12" s="1"/>
  <c r="C924" i="12" s="1"/>
  <c r="AA443" i="11"/>
  <c r="W444" i="11"/>
  <c r="AA444" i="11" s="1"/>
  <c r="E917" i="12"/>
  <c r="E916" i="12"/>
  <c r="AY452" i="11"/>
  <c r="BC451" i="11"/>
  <c r="W452" i="11"/>
  <c r="AA451" i="11"/>
  <c r="S360" i="10"/>
  <c r="K360" i="10"/>
  <c r="Y360" i="10"/>
  <c r="F893" i="12"/>
  <c r="F894" i="12" s="1"/>
  <c r="F892" i="12"/>
  <c r="AK444" i="11"/>
  <c r="AO444" i="11" s="1"/>
  <c r="AO443" i="11"/>
  <c r="G906" i="12"/>
  <c r="J905" i="12" s="1"/>
  <c r="G907" i="12"/>
  <c r="Q359" i="10"/>
  <c r="C360" i="10"/>
  <c r="Q360" i="10" s="1"/>
  <c r="AJ461" i="11"/>
  <c r="AJ462" i="11" s="1"/>
  <c r="AJ463" i="11" s="1"/>
  <c r="AJ464" i="11" s="1"/>
  <c r="AK460" i="11"/>
  <c r="G444" i="11"/>
  <c r="K444" i="11" s="1"/>
  <c r="K443" i="11"/>
  <c r="AK456" i="11"/>
  <c r="AG455" i="11"/>
  <c r="AG456" i="11" s="1"/>
  <c r="AG457" i="11" s="1"/>
  <c r="AG458" i="11" s="1"/>
  <c r="AG459" i="11" s="1"/>
  <c r="AO455" i="11"/>
  <c r="G448" i="11"/>
  <c r="K447" i="11"/>
  <c r="K369" i="10"/>
  <c r="E370" i="10"/>
  <c r="C369" i="10"/>
  <c r="Y369" i="10"/>
  <c r="S369" i="10"/>
  <c r="F908" i="12"/>
  <c r="F909" i="12"/>
  <c r="K455" i="11"/>
  <c r="G456" i="11"/>
  <c r="U359" i="10"/>
  <c r="G360" i="10"/>
  <c r="U360" i="10" s="1"/>
  <c r="E901" i="12"/>
  <c r="E900" i="12"/>
  <c r="F373" i="10"/>
  <c r="A377" i="10"/>
  <c r="E373" i="10"/>
  <c r="A374" i="10"/>
  <c r="A375" i="10" s="1"/>
  <c r="A376" i="10" s="1"/>
  <c r="AA460" i="11" l="1"/>
  <c r="W461" i="11"/>
  <c r="S460" i="11"/>
  <c r="S461" i="11" s="1"/>
  <c r="S462" i="11" s="1"/>
  <c r="S463" i="11" s="1"/>
  <c r="S464" i="11" s="1"/>
  <c r="E919" i="12"/>
  <c r="E918" i="12"/>
  <c r="S367" i="10"/>
  <c r="K367" i="10"/>
  <c r="E368" i="10"/>
  <c r="Y367" i="10"/>
  <c r="G367" i="10"/>
  <c r="U366" i="10"/>
  <c r="AK465" i="11"/>
  <c r="AJ466" i="11"/>
  <c r="AJ467" i="11" s="1"/>
  <c r="AJ468" i="11" s="1"/>
  <c r="AJ469" i="11" s="1"/>
  <c r="AY449" i="11"/>
  <c r="BC449" i="11" s="1"/>
  <c r="BC448" i="11"/>
  <c r="E911" i="12"/>
  <c r="E910" i="12"/>
  <c r="S364" i="10"/>
  <c r="K364" i="10"/>
  <c r="Y364" i="10"/>
  <c r="Q369" i="10"/>
  <c r="C370" i="10"/>
  <c r="AA452" i="11"/>
  <c r="W453" i="11"/>
  <c r="E926" i="12"/>
  <c r="E927" i="12"/>
  <c r="Q366" i="10"/>
  <c r="C367" i="10"/>
  <c r="C465" i="11"/>
  <c r="C466" i="11" s="1"/>
  <c r="C467" i="11" s="1"/>
  <c r="C468" i="11" s="1"/>
  <c r="C469" i="11" s="1"/>
  <c r="E466" i="11"/>
  <c r="E467" i="11" s="1"/>
  <c r="E468" i="11" s="1"/>
  <c r="E469" i="11" s="1"/>
  <c r="G370" i="10"/>
  <c r="U369" i="10"/>
  <c r="G892" i="12"/>
  <c r="G893" i="12"/>
  <c r="G894" i="12" s="1"/>
  <c r="AK457" i="11"/>
  <c r="AO456" i="11"/>
  <c r="AX466" i="11"/>
  <c r="AX467" i="11" s="1"/>
  <c r="AX468" i="11" s="1"/>
  <c r="AX469" i="11" s="1"/>
  <c r="AY465" i="11"/>
  <c r="BC456" i="11"/>
  <c r="AY457" i="11"/>
  <c r="F911" i="12"/>
  <c r="F910" i="12"/>
  <c r="G453" i="11"/>
  <c r="K452" i="11"/>
  <c r="A381" i="10"/>
  <c r="E377" i="10"/>
  <c r="A378" i="10"/>
  <c r="A379" i="10" s="1"/>
  <c r="A380" i="10" s="1"/>
  <c r="F377" i="10"/>
  <c r="G373" i="10"/>
  <c r="F374" i="10"/>
  <c r="T373" i="10"/>
  <c r="K370" i="10"/>
  <c r="E371" i="10"/>
  <c r="Y370" i="10"/>
  <c r="S370" i="10"/>
  <c r="AO448" i="11"/>
  <c r="AK449" i="11"/>
  <c r="AO449" i="11" s="1"/>
  <c r="F368" i="10"/>
  <c r="T368" i="10" s="1"/>
  <c r="T367" i="10"/>
  <c r="E935" i="12"/>
  <c r="F935" i="12"/>
  <c r="A945" i="12"/>
  <c r="G465" i="11"/>
  <c r="F466" i="11"/>
  <c r="F467" i="11" s="1"/>
  <c r="F468" i="11" s="1"/>
  <c r="F469" i="11" s="1"/>
  <c r="G909" i="12"/>
  <c r="G908" i="12"/>
  <c r="AY453" i="11"/>
  <c r="BC452" i="11"/>
  <c r="G461" i="11"/>
  <c r="K460" i="11"/>
  <c r="U363" i="10"/>
  <c r="G364" i="10"/>
  <c r="U364" i="10" s="1"/>
  <c r="W449" i="11"/>
  <c r="AA449" i="11" s="1"/>
  <c r="AA448" i="11"/>
  <c r="AK453" i="11"/>
  <c r="AO452" i="11"/>
  <c r="W457" i="11"/>
  <c r="AA456" i="11"/>
  <c r="AY461" i="11"/>
  <c r="BC460" i="11"/>
  <c r="AU460" i="11"/>
  <c r="AU461" i="11" s="1"/>
  <c r="AU462" i="11" s="1"/>
  <c r="AU463" i="11" s="1"/>
  <c r="AU464" i="11" s="1"/>
  <c r="AG460" i="11"/>
  <c r="AG461" i="11" s="1"/>
  <c r="AG462" i="11" s="1"/>
  <c r="AG463" i="11" s="1"/>
  <c r="AG464" i="11" s="1"/>
  <c r="AK461" i="11"/>
  <c r="AO460" i="11"/>
  <c r="F903" i="12"/>
  <c r="F904" i="12" s="1"/>
  <c r="F902" i="12"/>
  <c r="J911" i="12"/>
  <c r="J912" i="12" s="1"/>
  <c r="J906" i="12"/>
  <c r="J909" i="12"/>
  <c r="J910" i="12" s="1"/>
  <c r="J907" i="12"/>
  <c r="J908" i="12" s="1"/>
  <c r="J913" i="12"/>
  <c r="J914" i="12" s="1"/>
  <c r="AX470" i="11"/>
  <c r="A475" i="11"/>
  <c r="AJ470" i="11"/>
  <c r="E470" i="11"/>
  <c r="U470" i="11"/>
  <c r="U471" i="11" s="1"/>
  <c r="U472" i="11" s="1"/>
  <c r="U473" i="11" s="1"/>
  <c r="U474" i="11" s="1"/>
  <c r="F470" i="11"/>
  <c r="AW470" i="11"/>
  <c r="AW471" i="11" s="1"/>
  <c r="AW472" i="11" s="1"/>
  <c r="AW473" i="11" s="1"/>
  <c r="AW474" i="11" s="1"/>
  <c r="V470" i="11"/>
  <c r="AI470" i="11"/>
  <c r="AI471" i="11" s="1"/>
  <c r="AI472" i="11" s="1"/>
  <c r="AI473" i="11" s="1"/>
  <c r="AI474" i="11" s="1"/>
  <c r="Q363" i="10"/>
  <c r="C364" i="10"/>
  <c r="Q364" i="10" s="1"/>
  <c r="G901" i="12"/>
  <c r="G900" i="12"/>
  <c r="G457" i="11"/>
  <c r="K456" i="11"/>
  <c r="V466" i="11"/>
  <c r="V467" i="11" s="1"/>
  <c r="V468" i="11" s="1"/>
  <c r="V469" i="11" s="1"/>
  <c r="W465" i="11"/>
  <c r="F919" i="12"/>
  <c r="F918" i="12"/>
  <c r="G916" i="12"/>
  <c r="J915" i="12" s="1"/>
  <c r="G917" i="12"/>
  <c r="E374" i="10"/>
  <c r="C373" i="10"/>
  <c r="K373" i="10"/>
  <c r="S373" i="10"/>
  <c r="Y373" i="10"/>
  <c r="F927" i="12"/>
  <c r="G925" i="12"/>
  <c r="F926" i="12"/>
  <c r="C925" i="12" s="1"/>
  <c r="C926" i="12" s="1"/>
  <c r="C927" i="12" s="1"/>
  <c r="C928" i="12" s="1"/>
  <c r="C929" i="12" s="1"/>
  <c r="C930" i="12" s="1"/>
  <c r="C931" i="12" s="1"/>
  <c r="C932" i="12" s="1"/>
  <c r="C933" i="12" s="1"/>
  <c r="C934" i="12" s="1"/>
  <c r="F371" i="10"/>
  <c r="T370" i="10"/>
  <c r="E902" i="12"/>
  <c r="E903" i="12"/>
  <c r="E904" i="12" s="1"/>
  <c r="G449" i="11"/>
  <c r="K449" i="11" s="1"/>
  <c r="K448" i="11"/>
  <c r="A382" i="10" l="1"/>
  <c r="A383" i="10" s="1"/>
  <c r="A384" i="10" s="1"/>
  <c r="A385" i="10"/>
  <c r="E381" i="10"/>
  <c r="F381" i="10"/>
  <c r="G368" i="10"/>
  <c r="U368" i="10" s="1"/>
  <c r="U367" i="10"/>
  <c r="BC453" i="11"/>
  <c r="AY454" i="11"/>
  <c r="BC454" i="11" s="1"/>
  <c r="K453" i="11"/>
  <c r="G454" i="11"/>
  <c r="K454" i="11" s="1"/>
  <c r="G371" i="10"/>
  <c r="U370" i="10"/>
  <c r="E375" i="10"/>
  <c r="Y374" i="10"/>
  <c r="K374" i="10"/>
  <c r="S374" i="10"/>
  <c r="AY458" i="11"/>
  <c r="BC457" i="11"/>
  <c r="F378" i="10"/>
  <c r="G377" i="10"/>
  <c r="T377" i="10"/>
  <c r="G926" i="12"/>
  <c r="J925" i="12" s="1"/>
  <c r="G927" i="12"/>
  <c r="E471" i="11"/>
  <c r="E472" i="11" s="1"/>
  <c r="E473" i="11" s="1"/>
  <c r="E474" i="11" s="1"/>
  <c r="AK462" i="11"/>
  <c r="AO461" i="11"/>
  <c r="AO457" i="11"/>
  <c r="AK458" i="11"/>
  <c r="W454" i="11"/>
  <c r="AA454" i="11" s="1"/>
  <c r="AA453" i="11"/>
  <c r="AK466" i="11"/>
  <c r="AO465" i="11"/>
  <c r="AG465" i="11"/>
  <c r="AG466" i="11" s="1"/>
  <c r="AG467" i="11" s="1"/>
  <c r="AG468" i="11" s="1"/>
  <c r="AG469" i="11" s="1"/>
  <c r="F928" i="12"/>
  <c r="F929" i="12"/>
  <c r="AJ471" i="11"/>
  <c r="AJ472" i="11" s="1"/>
  <c r="AJ473" i="11" s="1"/>
  <c r="AJ474" i="11" s="1"/>
  <c r="AK470" i="11"/>
  <c r="E378" i="10"/>
  <c r="C377" i="10"/>
  <c r="Y377" i="10"/>
  <c r="K377" i="10"/>
  <c r="S377" i="10"/>
  <c r="G458" i="11"/>
  <c r="K457" i="11"/>
  <c r="G462" i="11"/>
  <c r="K461" i="11"/>
  <c r="K368" i="10"/>
  <c r="Y368" i="10"/>
  <c r="S368" i="10"/>
  <c r="J917" i="12"/>
  <c r="J918" i="12" s="1"/>
  <c r="J921" i="12"/>
  <c r="J922" i="12" s="1"/>
  <c r="J916" i="12"/>
  <c r="J923" i="12"/>
  <c r="J924" i="12" s="1"/>
  <c r="J919" i="12"/>
  <c r="J920" i="12" s="1"/>
  <c r="W470" i="11"/>
  <c r="V471" i="11"/>
  <c r="V472" i="11" s="1"/>
  <c r="V473" i="11" s="1"/>
  <c r="V474" i="11" s="1"/>
  <c r="AK454" i="11"/>
  <c r="AO454" i="11" s="1"/>
  <c r="AO453" i="11"/>
  <c r="G466" i="11"/>
  <c r="K465" i="11"/>
  <c r="E912" i="12"/>
  <c r="E913" i="12"/>
  <c r="E914" i="12" s="1"/>
  <c r="E920" i="12"/>
  <c r="E921" i="12"/>
  <c r="F475" i="11"/>
  <c r="A480" i="11"/>
  <c r="AJ475" i="11"/>
  <c r="E475" i="11"/>
  <c r="AI475" i="11"/>
  <c r="AI476" i="11" s="1"/>
  <c r="AI477" i="11" s="1"/>
  <c r="AI478" i="11" s="1"/>
  <c r="AI479" i="11" s="1"/>
  <c r="V475" i="11"/>
  <c r="U475" i="11"/>
  <c r="U476" i="11" s="1"/>
  <c r="U477" i="11" s="1"/>
  <c r="U478" i="11" s="1"/>
  <c r="U479" i="11" s="1"/>
  <c r="AX475" i="11"/>
  <c r="AW475" i="11"/>
  <c r="AW476" i="11" s="1"/>
  <c r="AW477" i="11" s="1"/>
  <c r="AW478" i="11" s="1"/>
  <c r="AW479" i="11" s="1"/>
  <c r="AY470" i="11"/>
  <c r="AX471" i="11"/>
  <c r="AX472" i="11" s="1"/>
  <c r="AX473" i="11" s="1"/>
  <c r="AX474" i="11" s="1"/>
  <c r="G919" i="12"/>
  <c r="G918" i="12"/>
  <c r="A955" i="12"/>
  <c r="F945" i="12"/>
  <c r="E945" i="12"/>
  <c r="F375" i="10"/>
  <c r="T374" i="10"/>
  <c r="BC465" i="11"/>
  <c r="AY466" i="11"/>
  <c r="AU465" i="11"/>
  <c r="AU466" i="11" s="1"/>
  <c r="AU467" i="11" s="1"/>
  <c r="AU468" i="11" s="1"/>
  <c r="AU469" i="11" s="1"/>
  <c r="C374" i="10"/>
  <c r="Q373" i="10"/>
  <c r="G470" i="11"/>
  <c r="F471" i="11"/>
  <c r="F472" i="11" s="1"/>
  <c r="F473" i="11" s="1"/>
  <c r="F474" i="11" s="1"/>
  <c r="F937" i="12"/>
  <c r="F936" i="12"/>
  <c r="C935" i="12" s="1"/>
  <c r="C936" i="12" s="1"/>
  <c r="C937" i="12" s="1"/>
  <c r="C938" i="12" s="1"/>
  <c r="C939" i="12" s="1"/>
  <c r="C940" i="12" s="1"/>
  <c r="C941" i="12" s="1"/>
  <c r="C942" i="12" s="1"/>
  <c r="C943" i="12" s="1"/>
  <c r="C944" i="12" s="1"/>
  <c r="G935" i="12"/>
  <c r="G374" i="10"/>
  <c r="U373" i="10"/>
  <c r="E928" i="12"/>
  <c r="E929" i="12"/>
  <c r="AA461" i="11"/>
  <c r="W462" i="11"/>
  <c r="Q370" i="10"/>
  <c r="C371" i="10"/>
  <c r="G902" i="12"/>
  <c r="G903" i="12"/>
  <c r="G904" i="12" s="1"/>
  <c r="AY462" i="11"/>
  <c r="BC461" i="11"/>
  <c r="W458" i="11"/>
  <c r="AA457" i="11"/>
  <c r="G911" i="12"/>
  <c r="G910" i="12"/>
  <c r="K371" i="10"/>
  <c r="E372" i="10"/>
  <c r="S371" i="10"/>
  <c r="Y371" i="10"/>
  <c r="F913" i="12"/>
  <c r="F914" i="12" s="1"/>
  <c r="F912" i="12"/>
  <c r="Q367" i="10"/>
  <c r="C368" i="10"/>
  <c r="Q368" i="10" s="1"/>
  <c r="F372" i="10"/>
  <c r="T372" i="10" s="1"/>
  <c r="T371" i="10"/>
  <c r="F921" i="12"/>
  <c r="F920" i="12"/>
  <c r="W466" i="11"/>
  <c r="S465" i="11"/>
  <c r="S466" i="11" s="1"/>
  <c r="S467" i="11" s="1"/>
  <c r="S468" i="11" s="1"/>
  <c r="S469" i="11" s="1"/>
  <c r="AA465" i="11"/>
  <c r="E937" i="12"/>
  <c r="E936" i="12"/>
  <c r="E946" i="12" l="1"/>
  <c r="E947" i="12"/>
  <c r="G467" i="11"/>
  <c r="K466" i="11"/>
  <c r="F930" i="12"/>
  <c r="F931" i="12"/>
  <c r="AA458" i="11"/>
  <c r="W459" i="11"/>
  <c r="AA459" i="11" s="1"/>
  <c r="G375" i="10"/>
  <c r="U374" i="10"/>
  <c r="F376" i="10"/>
  <c r="T376" i="10" s="1"/>
  <c r="T375" i="10"/>
  <c r="K462" i="11"/>
  <c r="G463" i="11"/>
  <c r="F946" i="12"/>
  <c r="C945" i="12" s="1"/>
  <c r="C946" i="12" s="1"/>
  <c r="C947" i="12" s="1"/>
  <c r="C948" i="12" s="1"/>
  <c r="C949" i="12" s="1"/>
  <c r="C950" i="12" s="1"/>
  <c r="C951" i="12" s="1"/>
  <c r="C952" i="12" s="1"/>
  <c r="C953" i="12" s="1"/>
  <c r="C954" i="12" s="1"/>
  <c r="G945" i="12"/>
  <c r="F947" i="12"/>
  <c r="G459" i="11"/>
  <c r="K459" i="11" s="1"/>
  <c r="K458" i="11"/>
  <c r="F938" i="12"/>
  <c r="F939" i="12"/>
  <c r="F480" i="11"/>
  <c r="AI480" i="11"/>
  <c r="AI481" i="11" s="1"/>
  <c r="AI482" i="11" s="1"/>
  <c r="AI483" i="11" s="1"/>
  <c r="AI484" i="11" s="1"/>
  <c r="E480" i="11"/>
  <c r="AX480" i="11"/>
  <c r="AW480" i="11"/>
  <c r="AW481" i="11" s="1"/>
  <c r="AW482" i="11" s="1"/>
  <c r="AW483" i="11" s="1"/>
  <c r="AW484" i="11" s="1"/>
  <c r="A485" i="11"/>
  <c r="AJ480" i="11"/>
  <c r="V480" i="11"/>
  <c r="U480" i="11"/>
  <c r="U481" i="11" s="1"/>
  <c r="U482" i="11" s="1"/>
  <c r="U483" i="11" s="1"/>
  <c r="U484" i="11" s="1"/>
  <c r="C372" i="10"/>
  <c r="Q372" i="10" s="1"/>
  <c r="Q371" i="10"/>
  <c r="G921" i="12"/>
  <c r="G920" i="12"/>
  <c r="E922" i="12"/>
  <c r="E923" i="12"/>
  <c r="E924" i="12" s="1"/>
  <c r="E931" i="12"/>
  <c r="E930" i="12"/>
  <c r="BC466" i="11"/>
  <c r="AY467" i="11"/>
  <c r="AX476" i="11"/>
  <c r="AX477" i="11" s="1"/>
  <c r="AX478" i="11" s="1"/>
  <c r="AX479" i="11" s="1"/>
  <c r="AY475" i="11"/>
  <c r="F922" i="12"/>
  <c r="F923" i="12"/>
  <c r="F924" i="12" s="1"/>
  <c r="G912" i="12"/>
  <c r="G913" i="12"/>
  <c r="G914" i="12" s="1"/>
  <c r="V476" i="11"/>
  <c r="V477" i="11" s="1"/>
  <c r="V478" i="11" s="1"/>
  <c r="V479" i="11" s="1"/>
  <c r="W475" i="11"/>
  <c r="G929" i="12"/>
  <c r="G928" i="12"/>
  <c r="G372" i="10"/>
  <c r="U372" i="10" s="1"/>
  <c r="U371" i="10"/>
  <c r="J927" i="12"/>
  <c r="J928" i="12" s="1"/>
  <c r="J929" i="12"/>
  <c r="J930" i="12" s="1"/>
  <c r="J933" i="12"/>
  <c r="J934" i="12" s="1"/>
  <c r="J931" i="12"/>
  <c r="J932" i="12" s="1"/>
  <c r="J926" i="12"/>
  <c r="G937" i="12"/>
  <c r="G936" i="12"/>
  <c r="J935" i="12" s="1"/>
  <c r="E476" i="11"/>
  <c r="E477" i="11" s="1"/>
  <c r="E478" i="11" s="1"/>
  <c r="E479" i="11" s="1"/>
  <c r="E939" i="12"/>
  <c r="E938" i="12"/>
  <c r="C378" i="10"/>
  <c r="Q377" i="10"/>
  <c r="T381" i="10"/>
  <c r="F382" i="10"/>
  <c r="G381" i="10"/>
  <c r="U377" i="10"/>
  <c r="G378" i="10"/>
  <c r="A965" i="12"/>
  <c r="F955" i="12"/>
  <c r="E955" i="12"/>
  <c r="K470" i="11"/>
  <c r="G471" i="11"/>
  <c r="AK459" i="11"/>
  <c r="AO459" i="11" s="1"/>
  <c r="AO458" i="11"/>
  <c r="Y372" i="10"/>
  <c r="K372" i="10"/>
  <c r="S372" i="10"/>
  <c r="W463" i="11"/>
  <c r="AA462" i="11"/>
  <c r="C375" i="10"/>
  <c r="Q374" i="10"/>
  <c r="AU470" i="11"/>
  <c r="AU471" i="11" s="1"/>
  <c r="AU472" i="11" s="1"/>
  <c r="AU473" i="11" s="1"/>
  <c r="AU474" i="11" s="1"/>
  <c r="BC470" i="11"/>
  <c r="AY471" i="11"/>
  <c r="E379" i="10"/>
  <c r="Y378" i="10"/>
  <c r="S378" i="10"/>
  <c r="K378" i="10"/>
  <c r="Y381" i="10"/>
  <c r="S381" i="10"/>
  <c r="E382" i="10"/>
  <c r="C381" i="10"/>
  <c r="K381" i="10"/>
  <c r="F379" i="10"/>
  <c r="T378" i="10"/>
  <c r="F476" i="11"/>
  <c r="F477" i="11" s="1"/>
  <c r="F478" i="11" s="1"/>
  <c r="F479" i="11" s="1"/>
  <c r="G475" i="11"/>
  <c r="AY459" i="11"/>
  <c r="BC459" i="11" s="1"/>
  <c r="BC458" i="11"/>
  <c r="W467" i="11"/>
  <c r="AA466" i="11"/>
  <c r="AK471" i="11"/>
  <c r="AO470" i="11"/>
  <c r="AG470" i="11"/>
  <c r="AG471" i="11" s="1"/>
  <c r="AG472" i="11" s="1"/>
  <c r="AG473" i="11" s="1"/>
  <c r="AG474" i="11" s="1"/>
  <c r="AK463" i="11"/>
  <c r="AO462" i="11"/>
  <c r="A386" i="10"/>
  <c r="A387" i="10" s="1"/>
  <c r="A388" i="10" s="1"/>
  <c r="E385" i="10"/>
  <c r="A389" i="10"/>
  <c r="F385" i="10"/>
  <c r="BC462" i="11"/>
  <c r="AY463" i="11"/>
  <c r="AJ476" i="11"/>
  <c r="AJ477" i="11" s="1"/>
  <c r="AJ478" i="11" s="1"/>
  <c r="AJ479" i="11" s="1"/>
  <c r="AK475" i="11"/>
  <c r="S470" i="11"/>
  <c r="S471" i="11" s="1"/>
  <c r="S472" i="11" s="1"/>
  <c r="S473" i="11" s="1"/>
  <c r="S474" i="11" s="1"/>
  <c r="AA470" i="11"/>
  <c r="W471" i="11"/>
  <c r="AO466" i="11"/>
  <c r="AK467" i="11"/>
  <c r="C470" i="11"/>
  <c r="C471" i="11" s="1"/>
  <c r="C472" i="11" s="1"/>
  <c r="C473" i="11" s="1"/>
  <c r="C474" i="11" s="1"/>
  <c r="E376" i="10"/>
  <c r="Y375" i="10"/>
  <c r="K375" i="10"/>
  <c r="S375" i="10"/>
  <c r="U381" i="10" l="1"/>
  <c r="G382" i="10"/>
  <c r="C382" i="10"/>
  <c r="Q381" i="10"/>
  <c r="C376" i="10"/>
  <c r="Q376" i="10" s="1"/>
  <c r="Q375" i="10"/>
  <c r="A975" i="12"/>
  <c r="F965" i="12"/>
  <c r="E965" i="12"/>
  <c r="J941" i="12"/>
  <c r="J942" i="12" s="1"/>
  <c r="J937" i="12"/>
  <c r="J938" i="12" s="1"/>
  <c r="J943" i="12"/>
  <c r="J944" i="12" s="1"/>
  <c r="J936" i="12"/>
  <c r="J939" i="12"/>
  <c r="J940" i="12" s="1"/>
  <c r="T382" i="10"/>
  <c r="F383" i="10"/>
  <c r="AU475" i="11"/>
  <c r="AU476" i="11" s="1"/>
  <c r="AU477" i="11" s="1"/>
  <c r="AU478" i="11" s="1"/>
  <c r="AU479" i="11" s="1"/>
  <c r="AY476" i="11"/>
  <c r="BC475" i="11"/>
  <c r="F932" i="12"/>
  <c r="F933" i="12"/>
  <c r="F934" i="12" s="1"/>
  <c r="Y382" i="10"/>
  <c r="S382" i="10"/>
  <c r="E383" i="10"/>
  <c r="K382" i="10"/>
  <c r="U378" i="10"/>
  <c r="G379" i="10"/>
  <c r="G939" i="12"/>
  <c r="G938" i="12"/>
  <c r="F481" i="11"/>
  <c r="F482" i="11" s="1"/>
  <c r="F483" i="11" s="1"/>
  <c r="F484" i="11" s="1"/>
  <c r="G480" i="11"/>
  <c r="Y385" i="10"/>
  <c r="S385" i="10"/>
  <c r="K385" i="10"/>
  <c r="C385" i="10"/>
  <c r="E386" i="10"/>
  <c r="AY472" i="11"/>
  <c r="BC471" i="11"/>
  <c r="K471" i="11"/>
  <c r="G472" i="11"/>
  <c r="AI485" i="11"/>
  <c r="AI486" i="11" s="1"/>
  <c r="AI487" i="11" s="1"/>
  <c r="AI488" i="11" s="1"/>
  <c r="AI489" i="11" s="1"/>
  <c r="V485" i="11"/>
  <c r="U485" i="11"/>
  <c r="U486" i="11" s="1"/>
  <c r="U487" i="11" s="1"/>
  <c r="U488" i="11" s="1"/>
  <c r="U489" i="11" s="1"/>
  <c r="F485" i="11"/>
  <c r="A490" i="11"/>
  <c r="AJ485" i="11"/>
  <c r="E485" i="11"/>
  <c r="AX485" i="11"/>
  <c r="AW485" i="11"/>
  <c r="AW486" i="11" s="1"/>
  <c r="AW487" i="11" s="1"/>
  <c r="AW488" i="11" s="1"/>
  <c r="AW489" i="11" s="1"/>
  <c r="G468" i="11"/>
  <c r="K467" i="11"/>
  <c r="AG475" i="11"/>
  <c r="AG476" i="11" s="1"/>
  <c r="AG477" i="11" s="1"/>
  <c r="AG478" i="11" s="1"/>
  <c r="AG479" i="11" s="1"/>
  <c r="AO475" i="11"/>
  <c r="AK476" i="11"/>
  <c r="AO467" i="11"/>
  <c r="AK468" i="11"/>
  <c r="E940" i="12"/>
  <c r="E941" i="12"/>
  <c r="G464" i="11"/>
  <c r="K464" i="11" s="1"/>
  <c r="K463" i="11"/>
  <c r="E948" i="12"/>
  <c r="E949" i="12"/>
  <c r="AY464" i="11"/>
  <c r="BC464" i="11" s="1"/>
  <c r="BC463" i="11"/>
  <c r="AA467" i="11"/>
  <c r="W468" i="11"/>
  <c r="W480" i="11"/>
  <c r="V481" i="11"/>
  <c r="V482" i="11" s="1"/>
  <c r="V483" i="11" s="1"/>
  <c r="V484" i="11" s="1"/>
  <c r="F948" i="12"/>
  <c r="F949" i="12"/>
  <c r="Y376" i="10"/>
  <c r="S376" i="10"/>
  <c r="K376" i="10"/>
  <c r="F389" i="10"/>
  <c r="A390" i="10"/>
  <c r="A391" i="10" s="1"/>
  <c r="A392" i="10" s="1"/>
  <c r="E389" i="10"/>
  <c r="A393" i="10"/>
  <c r="K475" i="11"/>
  <c r="G476" i="11"/>
  <c r="Y379" i="10"/>
  <c r="E380" i="10"/>
  <c r="S379" i="10"/>
  <c r="K379" i="10"/>
  <c r="C379" i="10"/>
  <c r="Q378" i="10"/>
  <c r="AJ481" i="11"/>
  <c r="AJ482" i="11" s="1"/>
  <c r="AJ483" i="11" s="1"/>
  <c r="AJ484" i="11" s="1"/>
  <c r="AK480" i="11"/>
  <c r="G947" i="12"/>
  <c r="G946" i="12"/>
  <c r="J945" i="12" s="1"/>
  <c r="T379" i="10"/>
  <c r="F380" i="10"/>
  <c r="T380" i="10" s="1"/>
  <c r="C475" i="11"/>
  <c r="C476" i="11" s="1"/>
  <c r="C477" i="11" s="1"/>
  <c r="C478" i="11" s="1"/>
  <c r="C479" i="11" s="1"/>
  <c r="G930" i="12"/>
  <c r="G931" i="12"/>
  <c r="E933" i="12"/>
  <c r="E934" i="12" s="1"/>
  <c r="E932" i="12"/>
  <c r="AX481" i="11"/>
  <c r="AX482" i="11" s="1"/>
  <c r="AX483" i="11" s="1"/>
  <c r="AX484" i="11" s="1"/>
  <c r="AY480" i="11"/>
  <c r="AO471" i="11"/>
  <c r="AK472" i="11"/>
  <c r="W464" i="11"/>
  <c r="AA464" i="11" s="1"/>
  <c r="AA463" i="11"/>
  <c r="G923" i="12"/>
  <c r="G924" i="12" s="1"/>
  <c r="G922" i="12"/>
  <c r="F941" i="12"/>
  <c r="F940" i="12"/>
  <c r="G376" i="10"/>
  <c r="U376" i="10" s="1"/>
  <c r="U375" i="10"/>
  <c r="T385" i="10"/>
  <c r="G385" i="10"/>
  <c r="F386" i="10"/>
  <c r="AY468" i="11"/>
  <c r="BC467" i="11"/>
  <c r="E956" i="12"/>
  <c r="E957" i="12"/>
  <c r="C955" i="12"/>
  <c r="C956" i="12" s="1"/>
  <c r="C957" i="12" s="1"/>
  <c r="C958" i="12" s="1"/>
  <c r="C959" i="12" s="1"/>
  <c r="C960" i="12" s="1"/>
  <c r="C961" i="12" s="1"/>
  <c r="C962" i="12" s="1"/>
  <c r="C963" i="12" s="1"/>
  <c r="C964" i="12" s="1"/>
  <c r="AA471" i="11"/>
  <c r="W472" i="11"/>
  <c r="AK464" i="11"/>
  <c r="AO464" i="11" s="1"/>
  <c r="AO463" i="11"/>
  <c r="F956" i="12"/>
  <c r="G955" i="12"/>
  <c r="F957" i="12"/>
  <c r="AA475" i="11"/>
  <c r="W476" i="11"/>
  <c r="S475" i="11"/>
  <c r="S476" i="11" s="1"/>
  <c r="S477" i="11" s="1"/>
  <c r="S478" i="11" s="1"/>
  <c r="S479" i="11" s="1"/>
  <c r="C480" i="11"/>
  <c r="C481" i="11" s="1"/>
  <c r="C482" i="11" s="1"/>
  <c r="C483" i="11" s="1"/>
  <c r="C484" i="11" s="1"/>
  <c r="E481" i="11"/>
  <c r="E482" i="11" s="1"/>
  <c r="E483" i="11" s="1"/>
  <c r="E484" i="11" s="1"/>
  <c r="AK469" i="11" l="1"/>
  <c r="AO469" i="11" s="1"/>
  <c r="AO468" i="11"/>
  <c r="E959" i="12"/>
  <c r="E958" i="12"/>
  <c r="C380" i="10"/>
  <c r="Q380" i="10" s="1"/>
  <c r="Q379" i="10"/>
  <c r="AX486" i="11"/>
  <c r="AX487" i="11" s="1"/>
  <c r="AX488" i="11" s="1"/>
  <c r="AX489" i="11" s="1"/>
  <c r="AY485" i="11"/>
  <c r="S386" i="10"/>
  <c r="K386" i="10"/>
  <c r="Y386" i="10"/>
  <c r="E387" i="10"/>
  <c r="Y383" i="10"/>
  <c r="S383" i="10"/>
  <c r="E384" i="10"/>
  <c r="K383" i="10"/>
  <c r="V490" i="11"/>
  <c r="U490" i="11"/>
  <c r="U491" i="11" s="1"/>
  <c r="U492" i="11" s="1"/>
  <c r="U493" i="11" s="1"/>
  <c r="U494" i="11" s="1"/>
  <c r="AX490" i="11"/>
  <c r="AW490" i="11"/>
  <c r="AW491" i="11" s="1"/>
  <c r="AW492" i="11" s="1"/>
  <c r="AW493" i="11" s="1"/>
  <c r="AW494" i="11" s="1"/>
  <c r="AI490" i="11"/>
  <c r="AI491" i="11" s="1"/>
  <c r="AI492" i="11" s="1"/>
  <c r="AI493" i="11" s="1"/>
  <c r="AI494" i="11" s="1"/>
  <c r="E490" i="11"/>
  <c r="F490" i="11"/>
  <c r="A495" i="11"/>
  <c r="AJ490" i="11"/>
  <c r="C485" i="11"/>
  <c r="C486" i="11" s="1"/>
  <c r="C487" i="11" s="1"/>
  <c r="C488" i="11" s="1"/>
  <c r="C489" i="11" s="1"/>
  <c r="E486" i="11"/>
  <c r="E487" i="11" s="1"/>
  <c r="E488" i="11" s="1"/>
  <c r="E489" i="11" s="1"/>
  <c r="Q385" i="10"/>
  <c r="C386" i="10"/>
  <c r="AJ486" i="11"/>
  <c r="AJ487" i="11" s="1"/>
  <c r="AJ488" i="11" s="1"/>
  <c r="AJ489" i="11" s="1"/>
  <c r="AK485" i="11"/>
  <c r="AA480" i="11"/>
  <c r="W481" i="11"/>
  <c r="S480" i="11"/>
  <c r="S481" i="11" s="1"/>
  <c r="S482" i="11" s="1"/>
  <c r="S483" i="11" s="1"/>
  <c r="S484" i="11" s="1"/>
  <c r="W469" i="11"/>
  <c r="AA469" i="11" s="1"/>
  <c r="AA468" i="11"/>
  <c r="AO476" i="11"/>
  <c r="AK477" i="11"/>
  <c r="AY477" i="11"/>
  <c r="BC476" i="11"/>
  <c r="W473" i="11"/>
  <c r="AA472" i="11"/>
  <c r="G932" i="12"/>
  <c r="G933" i="12"/>
  <c r="G934" i="12" s="1"/>
  <c r="F950" i="12"/>
  <c r="F951" i="12"/>
  <c r="E943" i="12"/>
  <c r="E944" i="12" s="1"/>
  <c r="E942" i="12"/>
  <c r="F943" i="12"/>
  <c r="F944" i="12" s="1"/>
  <c r="F942" i="12"/>
  <c r="E966" i="12"/>
  <c r="E967" i="12"/>
  <c r="J953" i="12"/>
  <c r="J954" i="12" s="1"/>
  <c r="J947" i="12"/>
  <c r="J948" i="12" s="1"/>
  <c r="J951" i="12"/>
  <c r="J952" i="12" s="1"/>
  <c r="J946" i="12"/>
  <c r="J949" i="12"/>
  <c r="J950" i="12" s="1"/>
  <c r="F393" i="10"/>
  <c r="A397" i="10"/>
  <c r="E393" i="10"/>
  <c r="A394" i="10"/>
  <c r="A395" i="10" s="1"/>
  <c r="A396" i="10" s="1"/>
  <c r="AO472" i="11"/>
  <c r="AK473" i="11"/>
  <c r="S389" i="10"/>
  <c r="K389" i="10"/>
  <c r="Y389" i="10"/>
  <c r="E390" i="10"/>
  <c r="C389" i="10"/>
  <c r="K472" i="11"/>
  <c r="G473" i="11"/>
  <c r="G941" i="12"/>
  <c r="G940" i="12"/>
  <c r="T383" i="10"/>
  <c r="F384" i="10"/>
  <c r="T384" i="10" s="1"/>
  <c r="Y380" i="10"/>
  <c r="S380" i="10"/>
  <c r="K380" i="10"/>
  <c r="K476" i="11"/>
  <c r="G477" i="11"/>
  <c r="G481" i="11"/>
  <c r="K480" i="11"/>
  <c r="E975" i="12"/>
  <c r="F975" i="12"/>
  <c r="A985" i="12"/>
  <c r="U379" i="10"/>
  <c r="G380" i="10"/>
  <c r="U380" i="10" s="1"/>
  <c r="C383" i="10"/>
  <c r="Q382" i="10"/>
  <c r="G965" i="12"/>
  <c r="F967" i="12"/>
  <c r="F966" i="12"/>
  <c r="C965" i="12" s="1"/>
  <c r="C966" i="12" s="1"/>
  <c r="C967" i="12" s="1"/>
  <c r="C968" i="12" s="1"/>
  <c r="C969" i="12" s="1"/>
  <c r="C970" i="12" s="1"/>
  <c r="C971" i="12" s="1"/>
  <c r="C972" i="12" s="1"/>
  <c r="C973" i="12" s="1"/>
  <c r="C974" i="12" s="1"/>
  <c r="W485" i="11"/>
  <c r="V486" i="11"/>
  <c r="V487" i="11" s="1"/>
  <c r="V488" i="11" s="1"/>
  <c r="V489" i="11" s="1"/>
  <c r="W477" i="11"/>
  <c r="AA476" i="11"/>
  <c r="BC468" i="11"/>
  <c r="AY469" i="11"/>
  <c r="BC469" i="11" s="1"/>
  <c r="G948" i="12"/>
  <c r="G949" i="12"/>
  <c r="F958" i="12"/>
  <c r="F959" i="12"/>
  <c r="T386" i="10"/>
  <c r="F387" i="10"/>
  <c r="AG480" i="11"/>
  <c r="AG481" i="11" s="1"/>
  <c r="AG482" i="11" s="1"/>
  <c r="AG483" i="11" s="1"/>
  <c r="AG484" i="11" s="1"/>
  <c r="AO480" i="11"/>
  <c r="AK481" i="11"/>
  <c r="G956" i="12"/>
  <c r="J955" i="12" s="1"/>
  <c r="G957" i="12"/>
  <c r="U385" i="10"/>
  <c r="G386" i="10"/>
  <c r="AY481" i="11"/>
  <c r="BC480" i="11"/>
  <c r="AU480" i="11"/>
  <c r="AU481" i="11" s="1"/>
  <c r="AU482" i="11" s="1"/>
  <c r="AU483" i="11" s="1"/>
  <c r="AU484" i="11" s="1"/>
  <c r="T389" i="10"/>
  <c r="G389" i="10"/>
  <c r="F390" i="10"/>
  <c r="E950" i="12"/>
  <c r="E951" i="12"/>
  <c r="K468" i="11"/>
  <c r="G469" i="11"/>
  <c r="K469" i="11" s="1"/>
  <c r="U382" i="10"/>
  <c r="G383" i="10"/>
  <c r="F486" i="11"/>
  <c r="F487" i="11" s="1"/>
  <c r="F488" i="11" s="1"/>
  <c r="F489" i="11" s="1"/>
  <c r="G485" i="11"/>
  <c r="AY473" i="11"/>
  <c r="BC472" i="11"/>
  <c r="J961" i="12" l="1"/>
  <c r="J962" i="12" s="1"/>
  <c r="J956" i="12"/>
  <c r="J963" i="12"/>
  <c r="J964" i="12" s="1"/>
  <c r="J957" i="12"/>
  <c r="J958" i="12" s="1"/>
  <c r="J959" i="12"/>
  <c r="J960" i="12" s="1"/>
  <c r="F976" i="12"/>
  <c r="C975" i="12" s="1"/>
  <c r="C976" i="12" s="1"/>
  <c r="C977" i="12" s="1"/>
  <c r="C978" i="12" s="1"/>
  <c r="C979" i="12" s="1"/>
  <c r="C980" i="12" s="1"/>
  <c r="C981" i="12" s="1"/>
  <c r="C982" i="12" s="1"/>
  <c r="C983" i="12" s="1"/>
  <c r="C984" i="12" s="1"/>
  <c r="F977" i="12"/>
  <c r="G975" i="12"/>
  <c r="G943" i="12"/>
  <c r="G944" i="12" s="1"/>
  <c r="G942" i="12"/>
  <c r="F397" i="10"/>
  <c r="A401" i="10"/>
  <c r="E397" i="10"/>
  <c r="A398" i="10"/>
  <c r="A399" i="10" s="1"/>
  <c r="A400" i="10" s="1"/>
  <c r="V495" i="11"/>
  <c r="U495" i="11"/>
  <c r="U496" i="11" s="1"/>
  <c r="U497" i="11" s="1"/>
  <c r="U498" i="11" s="1"/>
  <c r="U499" i="11" s="1"/>
  <c r="AX495" i="11"/>
  <c r="AW495" i="11"/>
  <c r="AW496" i="11" s="1"/>
  <c r="AW497" i="11" s="1"/>
  <c r="AW498" i="11" s="1"/>
  <c r="AW499" i="11" s="1"/>
  <c r="AJ495" i="11"/>
  <c r="AI495" i="11"/>
  <c r="AI496" i="11" s="1"/>
  <c r="AI497" i="11" s="1"/>
  <c r="AI498" i="11" s="1"/>
  <c r="AI499" i="11" s="1"/>
  <c r="A500" i="11"/>
  <c r="F495" i="11"/>
  <c r="E495" i="11"/>
  <c r="S387" i="10"/>
  <c r="K387" i="10"/>
  <c r="Y387" i="10"/>
  <c r="E388" i="10"/>
  <c r="E953" i="12"/>
  <c r="E954" i="12" s="1"/>
  <c r="E952" i="12"/>
  <c r="AK482" i="11"/>
  <c r="AO481" i="11"/>
  <c r="W478" i="11"/>
  <c r="AA477" i="11"/>
  <c r="E976" i="12"/>
  <c r="E977" i="12"/>
  <c r="G474" i="11"/>
  <c r="K474" i="11" s="1"/>
  <c r="K473" i="11"/>
  <c r="G393" i="10"/>
  <c r="F394" i="10"/>
  <c r="T393" i="10"/>
  <c r="F491" i="11"/>
  <c r="F492" i="11" s="1"/>
  <c r="F493" i="11" s="1"/>
  <c r="F494" i="11" s="1"/>
  <c r="G490" i="11"/>
  <c r="Q389" i="10"/>
  <c r="C390" i="10"/>
  <c r="AK486" i="11"/>
  <c r="AO485" i="11"/>
  <c r="AG485" i="11"/>
  <c r="AG486" i="11" s="1"/>
  <c r="AG487" i="11" s="1"/>
  <c r="AG488" i="11" s="1"/>
  <c r="AG489" i="11" s="1"/>
  <c r="G486" i="11"/>
  <c r="K485" i="11"/>
  <c r="E969" i="12"/>
  <c r="E968" i="12"/>
  <c r="AA473" i="11"/>
  <c r="W474" i="11"/>
  <c r="AA474" i="11" s="1"/>
  <c r="Q386" i="10"/>
  <c r="C387" i="10"/>
  <c r="W490" i="11"/>
  <c r="V491" i="11"/>
  <c r="V492" i="11" s="1"/>
  <c r="V493" i="11" s="1"/>
  <c r="V494" i="11" s="1"/>
  <c r="G482" i="11"/>
  <c r="K481" i="11"/>
  <c r="W482" i="11"/>
  <c r="AA481" i="11"/>
  <c r="T387" i="10"/>
  <c r="F388" i="10"/>
  <c r="T388" i="10" s="1"/>
  <c r="G478" i="11"/>
  <c r="K477" i="11"/>
  <c r="AY486" i="11"/>
  <c r="BC485" i="11"/>
  <c r="AU485" i="11"/>
  <c r="AU486" i="11" s="1"/>
  <c r="AU487" i="11" s="1"/>
  <c r="AU488" i="11" s="1"/>
  <c r="AU489" i="11" s="1"/>
  <c r="F961" i="12"/>
  <c r="F960" i="12"/>
  <c r="G967" i="12"/>
  <c r="G966" i="12"/>
  <c r="J965" i="12" s="1"/>
  <c r="AY482" i="11"/>
  <c r="BC481" i="11"/>
  <c r="G950" i="12"/>
  <c r="G951" i="12"/>
  <c r="Q383" i="10"/>
  <c r="C384" i="10"/>
  <c r="Q384" i="10" s="1"/>
  <c r="AA485" i="11"/>
  <c r="W486" i="11"/>
  <c r="S485" i="11"/>
  <c r="S486" i="11" s="1"/>
  <c r="S487" i="11" s="1"/>
  <c r="S488" i="11" s="1"/>
  <c r="S489" i="11" s="1"/>
  <c r="F968" i="12"/>
  <c r="F969" i="12"/>
  <c r="AX491" i="11"/>
  <c r="AX492" i="11" s="1"/>
  <c r="AX493" i="11" s="1"/>
  <c r="AX494" i="11" s="1"/>
  <c r="AY490" i="11"/>
  <c r="AY474" i="11"/>
  <c r="BC474" i="11" s="1"/>
  <c r="BC473" i="11"/>
  <c r="AK474" i="11"/>
  <c r="AO474" i="11" s="1"/>
  <c r="AO473" i="11"/>
  <c r="U383" i="10"/>
  <c r="G384" i="10"/>
  <c r="U384" i="10" s="1"/>
  <c r="U386" i="10"/>
  <c r="G387" i="10"/>
  <c r="BC477" i="11"/>
  <c r="AY478" i="11"/>
  <c r="S384" i="10"/>
  <c r="K384" i="10"/>
  <c r="Y384" i="10"/>
  <c r="E961" i="12"/>
  <c r="E960" i="12"/>
  <c r="F952" i="12"/>
  <c r="F953" i="12"/>
  <c r="F954" i="12" s="1"/>
  <c r="C490" i="11"/>
  <c r="C491" i="11" s="1"/>
  <c r="C492" i="11" s="1"/>
  <c r="C493" i="11" s="1"/>
  <c r="C494" i="11" s="1"/>
  <c r="E491" i="11"/>
  <c r="E492" i="11" s="1"/>
  <c r="E493" i="11" s="1"/>
  <c r="E494" i="11" s="1"/>
  <c r="AK478" i="11"/>
  <c r="AO477" i="11"/>
  <c r="T390" i="10"/>
  <c r="F391" i="10"/>
  <c r="G390" i="10"/>
  <c r="U389" i="10"/>
  <c r="S390" i="10"/>
  <c r="K390" i="10"/>
  <c r="E391" i="10"/>
  <c r="Y390" i="10"/>
  <c r="G959" i="12"/>
  <c r="G958" i="12"/>
  <c r="F985" i="12"/>
  <c r="E985" i="12"/>
  <c r="A995" i="12"/>
  <c r="K393" i="10"/>
  <c r="E394" i="10"/>
  <c r="C393" i="10"/>
  <c r="S393" i="10"/>
  <c r="Y393" i="10"/>
  <c r="AJ491" i="11"/>
  <c r="AJ492" i="11" s="1"/>
  <c r="AJ493" i="11" s="1"/>
  <c r="AJ494" i="11" s="1"/>
  <c r="AK490" i="11"/>
  <c r="AO478" i="11" l="1"/>
  <c r="AK479" i="11"/>
  <c r="AO479" i="11" s="1"/>
  <c r="U387" i="10"/>
  <c r="G388" i="10"/>
  <c r="U388" i="10" s="1"/>
  <c r="Q387" i="10"/>
  <c r="C388" i="10"/>
  <c r="Q388" i="10" s="1"/>
  <c r="G952" i="12"/>
  <c r="G953" i="12"/>
  <c r="G954" i="12" s="1"/>
  <c r="F392" i="10"/>
  <c r="T392" i="10" s="1"/>
  <c r="T391" i="10"/>
  <c r="A1005" i="12"/>
  <c r="E995" i="12"/>
  <c r="F995" i="12"/>
  <c r="AY479" i="11"/>
  <c r="BC479" i="11" s="1"/>
  <c r="BC478" i="11"/>
  <c r="F970" i="12"/>
  <c r="F971" i="12"/>
  <c r="G969" i="12"/>
  <c r="G968" i="12"/>
  <c r="E979" i="12"/>
  <c r="E978" i="12"/>
  <c r="A405" i="10"/>
  <c r="E401" i="10"/>
  <c r="A402" i="10"/>
  <c r="A403" i="10" s="1"/>
  <c r="A404" i="10" s="1"/>
  <c r="F401" i="10"/>
  <c r="BC486" i="11"/>
  <c r="AY487" i="11"/>
  <c r="AK495" i="11"/>
  <c r="AJ496" i="11"/>
  <c r="AJ497" i="11" s="1"/>
  <c r="AJ498" i="11" s="1"/>
  <c r="AJ499" i="11" s="1"/>
  <c r="E987" i="12"/>
  <c r="E986" i="12"/>
  <c r="C985" i="12" s="1"/>
  <c r="C986" i="12" s="1"/>
  <c r="C987" i="12" s="1"/>
  <c r="C988" i="12" s="1"/>
  <c r="C989" i="12" s="1"/>
  <c r="C990" i="12" s="1"/>
  <c r="C991" i="12" s="1"/>
  <c r="C992" i="12" s="1"/>
  <c r="C993" i="12" s="1"/>
  <c r="C994" i="12" s="1"/>
  <c r="G483" i="11"/>
  <c r="K482" i="11"/>
  <c r="E496" i="11"/>
  <c r="E497" i="11" s="1"/>
  <c r="E498" i="11" s="1"/>
  <c r="E499" i="11" s="1"/>
  <c r="G397" i="10"/>
  <c r="F398" i="10"/>
  <c r="T397" i="10"/>
  <c r="F987" i="12"/>
  <c r="F986" i="12"/>
  <c r="G985" i="12"/>
  <c r="G495" i="11"/>
  <c r="C495" i="11" s="1"/>
  <c r="C496" i="11" s="1"/>
  <c r="C497" i="11" s="1"/>
  <c r="C498" i="11" s="1"/>
  <c r="C499" i="11" s="1"/>
  <c r="F496" i="11"/>
  <c r="F497" i="11" s="1"/>
  <c r="F498" i="11" s="1"/>
  <c r="F499" i="11" s="1"/>
  <c r="W479" i="11"/>
  <c r="AA479" i="11" s="1"/>
  <c r="AA478" i="11"/>
  <c r="G976" i="12"/>
  <c r="J975" i="12" s="1"/>
  <c r="G977" i="12"/>
  <c r="AG490" i="11"/>
  <c r="AG491" i="11" s="1"/>
  <c r="AG492" i="11" s="1"/>
  <c r="AG493" i="11" s="1"/>
  <c r="AG494" i="11" s="1"/>
  <c r="AK491" i="11"/>
  <c r="AO490" i="11"/>
  <c r="G491" i="11"/>
  <c r="K490" i="11"/>
  <c r="S391" i="10"/>
  <c r="K391" i="10"/>
  <c r="E392" i="10"/>
  <c r="Y391" i="10"/>
  <c r="G479" i="11"/>
  <c r="K479" i="11" s="1"/>
  <c r="K478" i="11"/>
  <c r="AY495" i="11"/>
  <c r="AX496" i="11"/>
  <c r="AX497" i="11" s="1"/>
  <c r="AX498" i="11" s="1"/>
  <c r="AX499" i="11" s="1"/>
  <c r="E963" i="12"/>
  <c r="E964" i="12" s="1"/>
  <c r="E962" i="12"/>
  <c r="F395" i="10"/>
  <c r="T394" i="10"/>
  <c r="Q393" i="10"/>
  <c r="C394" i="10"/>
  <c r="E970" i="12"/>
  <c r="E971" i="12"/>
  <c r="G394" i="10"/>
  <c r="U393" i="10"/>
  <c r="S388" i="10"/>
  <c r="K388" i="10"/>
  <c r="Y388" i="10"/>
  <c r="V496" i="11"/>
  <c r="V497" i="11" s="1"/>
  <c r="V498" i="11" s="1"/>
  <c r="V499" i="11" s="1"/>
  <c r="W495" i="11"/>
  <c r="F963" i="12"/>
  <c r="F964" i="12" s="1"/>
  <c r="F962" i="12"/>
  <c r="AK487" i="11"/>
  <c r="AO486" i="11"/>
  <c r="W487" i="11"/>
  <c r="AA486" i="11"/>
  <c r="AA490" i="11"/>
  <c r="W491" i="11"/>
  <c r="S490" i="11"/>
  <c r="S491" i="11" s="1"/>
  <c r="S492" i="11" s="1"/>
  <c r="S493" i="11" s="1"/>
  <c r="S494" i="11" s="1"/>
  <c r="Q390" i="10"/>
  <c r="C391" i="10"/>
  <c r="AX500" i="11"/>
  <c r="AW500" i="11"/>
  <c r="AW501" i="11" s="1"/>
  <c r="AW502" i="11" s="1"/>
  <c r="AW503" i="11" s="1"/>
  <c r="AW504" i="11" s="1"/>
  <c r="F500" i="11"/>
  <c r="A505" i="11"/>
  <c r="AJ500" i="11"/>
  <c r="E500" i="11"/>
  <c r="V500" i="11"/>
  <c r="U500" i="11"/>
  <c r="U501" i="11" s="1"/>
  <c r="U502" i="11" s="1"/>
  <c r="U503" i="11" s="1"/>
  <c r="U504" i="11" s="1"/>
  <c r="AI500" i="11"/>
  <c r="AI501" i="11" s="1"/>
  <c r="AI502" i="11" s="1"/>
  <c r="AI503" i="11" s="1"/>
  <c r="AI504" i="11" s="1"/>
  <c r="G961" i="12"/>
  <c r="G960" i="12"/>
  <c r="F979" i="12"/>
  <c r="F978" i="12"/>
  <c r="AY491" i="11"/>
  <c r="BC490" i="11"/>
  <c r="AU490" i="11"/>
  <c r="AU491" i="11" s="1"/>
  <c r="AU492" i="11" s="1"/>
  <c r="AU493" i="11" s="1"/>
  <c r="AU494" i="11" s="1"/>
  <c r="BC482" i="11"/>
  <c r="AY483" i="11"/>
  <c r="AK483" i="11"/>
  <c r="AO482" i="11"/>
  <c r="K394" i="10"/>
  <c r="E395" i="10"/>
  <c r="S394" i="10"/>
  <c r="Y394" i="10"/>
  <c r="G391" i="10"/>
  <c r="U390" i="10"/>
  <c r="J967" i="12"/>
  <c r="J968" i="12" s="1"/>
  <c r="J969" i="12"/>
  <c r="J970" i="12" s="1"/>
  <c r="J966" i="12"/>
  <c r="J973" i="12"/>
  <c r="J974" i="12" s="1"/>
  <c r="J971" i="12"/>
  <c r="J972" i="12" s="1"/>
  <c r="AA482" i="11"/>
  <c r="W483" i="11"/>
  <c r="G487" i="11"/>
  <c r="K486" i="11"/>
  <c r="E398" i="10"/>
  <c r="C397" i="10"/>
  <c r="K397" i="10"/>
  <c r="Y397" i="10"/>
  <c r="S397" i="10"/>
  <c r="AY484" i="11" l="1"/>
  <c r="BC484" i="11" s="1"/>
  <c r="BC483" i="11"/>
  <c r="C500" i="11"/>
  <c r="C501" i="11" s="1"/>
  <c r="C502" i="11" s="1"/>
  <c r="C503" i="11" s="1"/>
  <c r="C504" i="11" s="1"/>
  <c r="E501" i="11"/>
  <c r="E502" i="11" s="1"/>
  <c r="E503" i="11" s="1"/>
  <c r="E504" i="11" s="1"/>
  <c r="AA487" i="11"/>
  <c r="W488" i="11"/>
  <c r="E972" i="12"/>
  <c r="E973" i="12"/>
  <c r="E974" i="12" s="1"/>
  <c r="AK488" i="11"/>
  <c r="AO487" i="11"/>
  <c r="Q394" i="10"/>
  <c r="C395" i="10"/>
  <c r="G500" i="11"/>
  <c r="F501" i="11"/>
  <c r="F502" i="11" s="1"/>
  <c r="F503" i="11" s="1"/>
  <c r="F504" i="11" s="1"/>
  <c r="E989" i="12"/>
  <c r="E988" i="12"/>
  <c r="W484" i="11"/>
  <c r="AA484" i="11" s="1"/>
  <c r="AA483" i="11"/>
  <c r="AA491" i="11"/>
  <c r="W492" i="11"/>
  <c r="BC495" i="11"/>
  <c r="AU495" i="11"/>
  <c r="AU496" i="11" s="1"/>
  <c r="AU497" i="11" s="1"/>
  <c r="AU498" i="11" s="1"/>
  <c r="AU499" i="11" s="1"/>
  <c r="AY496" i="11"/>
  <c r="G978" i="12"/>
  <c r="G979" i="12"/>
  <c r="E996" i="12"/>
  <c r="E997" i="12"/>
  <c r="AK484" i="11"/>
  <c r="AO484" i="11" s="1"/>
  <c r="AO483" i="11"/>
  <c r="J976" i="12"/>
  <c r="J979" i="12"/>
  <c r="J980" i="12" s="1"/>
  <c r="J977" i="12"/>
  <c r="J978" i="12" s="1"/>
  <c r="J981" i="12"/>
  <c r="J982" i="12" s="1"/>
  <c r="J983" i="12"/>
  <c r="J984" i="12" s="1"/>
  <c r="E402" i="10"/>
  <c r="C401" i="10"/>
  <c r="Y401" i="10"/>
  <c r="K401" i="10"/>
  <c r="S401" i="10"/>
  <c r="F1005" i="12"/>
  <c r="A1015" i="12"/>
  <c r="E1005" i="12"/>
  <c r="A406" i="10"/>
  <c r="A407" i="10" s="1"/>
  <c r="A408" i="10" s="1"/>
  <c r="A409" i="10"/>
  <c r="E405" i="10"/>
  <c r="F405" i="10"/>
  <c r="G987" i="12"/>
  <c r="G986" i="12"/>
  <c r="J985" i="12" s="1"/>
  <c r="G970" i="12"/>
  <c r="G971" i="12"/>
  <c r="F972" i="12"/>
  <c r="F973" i="12"/>
  <c r="F974" i="12" s="1"/>
  <c r="C398" i="10"/>
  <c r="Q397" i="10"/>
  <c r="G392" i="10"/>
  <c r="U392" i="10" s="1"/>
  <c r="U391" i="10"/>
  <c r="AY500" i="11"/>
  <c r="AX501" i="11"/>
  <c r="AX502" i="11" s="1"/>
  <c r="AX503" i="11" s="1"/>
  <c r="AX504" i="11" s="1"/>
  <c r="W496" i="11"/>
  <c r="S495" i="11"/>
  <c r="S496" i="11" s="1"/>
  <c r="S497" i="11" s="1"/>
  <c r="S498" i="11" s="1"/>
  <c r="S499" i="11" s="1"/>
  <c r="AA495" i="11"/>
  <c r="F396" i="10"/>
  <c r="T396" i="10" s="1"/>
  <c r="T395" i="10"/>
  <c r="G492" i="11"/>
  <c r="K491" i="11"/>
  <c r="F989" i="12"/>
  <c r="F988" i="12"/>
  <c r="AK496" i="11"/>
  <c r="AO495" i="11"/>
  <c r="AG495" i="11"/>
  <c r="AG496" i="11" s="1"/>
  <c r="AG497" i="11" s="1"/>
  <c r="AG498" i="11" s="1"/>
  <c r="AG499" i="11" s="1"/>
  <c r="F981" i="12"/>
  <c r="F980" i="12"/>
  <c r="Q391" i="10"/>
  <c r="C392" i="10"/>
  <c r="Q392" i="10" s="1"/>
  <c r="AY488" i="11"/>
  <c r="BC487" i="11"/>
  <c r="V501" i="11"/>
  <c r="V502" i="11" s="1"/>
  <c r="V503" i="11" s="1"/>
  <c r="V504" i="11" s="1"/>
  <c r="W500" i="11"/>
  <c r="G395" i="10"/>
  <c r="U394" i="10"/>
  <c r="K495" i="11"/>
  <c r="G496" i="11"/>
  <c r="AK492" i="11"/>
  <c r="AO491" i="11"/>
  <c r="F399" i="10"/>
  <c r="T398" i="10"/>
  <c r="K483" i="11"/>
  <c r="G484" i="11"/>
  <c r="K484" i="11" s="1"/>
  <c r="AJ501" i="11"/>
  <c r="AJ502" i="11" s="1"/>
  <c r="AJ503" i="11" s="1"/>
  <c r="AJ504" i="11" s="1"/>
  <c r="AK500" i="11"/>
  <c r="K392" i="10"/>
  <c r="S392" i="10"/>
  <c r="Y392" i="10"/>
  <c r="E981" i="12"/>
  <c r="E980" i="12"/>
  <c r="F505" i="11"/>
  <c r="AJ505" i="11"/>
  <c r="E505" i="11"/>
  <c r="AI505" i="11"/>
  <c r="AI506" i="11" s="1"/>
  <c r="AI507" i="11" s="1"/>
  <c r="AI508" i="11" s="1"/>
  <c r="AI509" i="11" s="1"/>
  <c r="AX505" i="11"/>
  <c r="AW505" i="11"/>
  <c r="AW506" i="11" s="1"/>
  <c r="AW507" i="11" s="1"/>
  <c r="AW508" i="11" s="1"/>
  <c r="AW509" i="11" s="1"/>
  <c r="V505" i="11"/>
  <c r="U505" i="11"/>
  <c r="U506" i="11" s="1"/>
  <c r="U507" i="11" s="1"/>
  <c r="U508" i="11" s="1"/>
  <c r="U509" i="11" s="1"/>
  <c r="A510" i="11"/>
  <c r="BC491" i="11"/>
  <c r="AY492" i="11"/>
  <c r="E399" i="10"/>
  <c r="Y398" i="10"/>
  <c r="K398" i="10"/>
  <c r="S398" i="10"/>
  <c r="G488" i="11"/>
  <c r="K487" i="11"/>
  <c r="K395" i="10"/>
  <c r="E396" i="10"/>
  <c r="S395" i="10"/>
  <c r="Y395" i="10"/>
  <c r="G963" i="12"/>
  <c r="G964" i="12" s="1"/>
  <c r="G962" i="12"/>
  <c r="G398" i="10"/>
  <c r="U397" i="10"/>
  <c r="F402" i="10"/>
  <c r="G401" i="10"/>
  <c r="T401" i="10"/>
  <c r="F996" i="12"/>
  <c r="C995" i="12" s="1"/>
  <c r="C996" i="12" s="1"/>
  <c r="C997" i="12" s="1"/>
  <c r="C998" i="12" s="1"/>
  <c r="C999" i="12" s="1"/>
  <c r="C1000" i="12" s="1"/>
  <c r="C1001" i="12" s="1"/>
  <c r="C1002" i="12" s="1"/>
  <c r="C1003" i="12" s="1"/>
  <c r="C1004" i="12" s="1"/>
  <c r="G995" i="12"/>
  <c r="F997" i="12"/>
  <c r="F510" i="11" l="1"/>
  <c r="A515" i="11"/>
  <c r="AJ510" i="11"/>
  <c r="E510" i="11"/>
  <c r="V510" i="11"/>
  <c r="U510" i="11"/>
  <c r="U511" i="11" s="1"/>
  <c r="U512" i="11" s="1"/>
  <c r="U513" i="11" s="1"/>
  <c r="U514" i="11" s="1"/>
  <c r="AX510" i="11"/>
  <c r="AW510" i="11"/>
  <c r="AW511" i="11" s="1"/>
  <c r="AW512" i="11" s="1"/>
  <c r="AW513" i="11" s="1"/>
  <c r="AW514" i="11" s="1"/>
  <c r="AI510" i="11"/>
  <c r="AI511" i="11" s="1"/>
  <c r="AI512" i="11" s="1"/>
  <c r="AI513" i="11" s="1"/>
  <c r="AI514" i="11" s="1"/>
  <c r="G396" i="10"/>
  <c r="U396" i="10" s="1"/>
  <c r="U395" i="10"/>
  <c r="E1007" i="12"/>
  <c r="E1006" i="12"/>
  <c r="G996" i="12"/>
  <c r="J995" i="12" s="1"/>
  <c r="G997" i="12"/>
  <c r="J989" i="12"/>
  <c r="J990" i="12" s="1"/>
  <c r="J991" i="12"/>
  <c r="J992" i="12" s="1"/>
  <c r="J993" i="12"/>
  <c r="J994" i="12" s="1"/>
  <c r="J987" i="12"/>
  <c r="J988" i="12" s="1"/>
  <c r="J986" i="12"/>
  <c r="G399" i="10"/>
  <c r="U398" i="10"/>
  <c r="E400" i="10"/>
  <c r="Y399" i="10"/>
  <c r="K399" i="10"/>
  <c r="S399" i="10"/>
  <c r="AO492" i="11"/>
  <c r="AK493" i="11"/>
  <c r="F983" i="12"/>
  <c r="F984" i="12" s="1"/>
  <c r="F982" i="12"/>
  <c r="AA496" i="11"/>
  <c r="W497" i="11"/>
  <c r="G989" i="12"/>
  <c r="G988" i="12"/>
  <c r="E403" i="10"/>
  <c r="Y402" i="10"/>
  <c r="S402" i="10"/>
  <c r="K402" i="10"/>
  <c r="C396" i="10"/>
  <c r="Q396" i="10" s="1"/>
  <c r="Q395" i="10"/>
  <c r="A410" i="10"/>
  <c r="A411" i="10" s="1"/>
  <c r="A412" i="10" s="1"/>
  <c r="A413" i="10"/>
  <c r="E409" i="10"/>
  <c r="F409" i="10"/>
  <c r="AO488" i="11"/>
  <c r="AK489" i="11"/>
  <c r="AO489" i="11" s="1"/>
  <c r="AA492" i="11"/>
  <c r="W493" i="11"/>
  <c r="F998" i="12"/>
  <c r="F999" i="12"/>
  <c r="G493" i="11"/>
  <c r="K492" i="11"/>
  <c r="AY493" i="11"/>
  <c r="BC492" i="11"/>
  <c r="E983" i="12"/>
  <c r="E984" i="12" s="1"/>
  <c r="E982" i="12"/>
  <c r="G497" i="11"/>
  <c r="K496" i="11"/>
  <c r="T405" i="10"/>
  <c r="F406" i="10"/>
  <c r="G405" i="10"/>
  <c r="BC496" i="11"/>
  <c r="AY497" i="11"/>
  <c r="F1007" i="12"/>
  <c r="F1006" i="12"/>
  <c r="C1005" i="12" s="1"/>
  <c r="C1006" i="12" s="1"/>
  <c r="C1007" i="12" s="1"/>
  <c r="C1008" i="12" s="1"/>
  <c r="C1009" i="12" s="1"/>
  <c r="C1010" i="12" s="1"/>
  <c r="C1011" i="12" s="1"/>
  <c r="C1012" i="12" s="1"/>
  <c r="C1013" i="12" s="1"/>
  <c r="C1014" i="12" s="1"/>
  <c r="G1005" i="12"/>
  <c r="K488" i="11"/>
  <c r="G489" i="11"/>
  <c r="K489" i="11" s="1"/>
  <c r="AY489" i="11"/>
  <c r="BC489" i="11" s="1"/>
  <c r="BC488" i="11"/>
  <c r="E998" i="12"/>
  <c r="E999" i="12"/>
  <c r="Y405" i="10"/>
  <c r="S405" i="10"/>
  <c r="E406" i="10"/>
  <c r="C405" i="10"/>
  <c r="K405" i="10"/>
  <c r="AK497" i="11"/>
  <c r="AO496" i="11"/>
  <c r="C399" i="10"/>
  <c r="Q398" i="10"/>
  <c r="A1025" i="12"/>
  <c r="F1015" i="12"/>
  <c r="E1015" i="12"/>
  <c r="C505" i="11"/>
  <c r="C506" i="11" s="1"/>
  <c r="C507" i="11" s="1"/>
  <c r="C508" i="11" s="1"/>
  <c r="C509" i="11" s="1"/>
  <c r="E506" i="11"/>
  <c r="E507" i="11" s="1"/>
  <c r="E508" i="11" s="1"/>
  <c r="E509" i="11" s="1"/>
  <c r="G973" i="12"/>
  <c r="G974" i="12" s="1"/>
  <c r="G972" i="12"/>
  <c r="E990" i="12"/>
  <c r="E991" i="12"/>
  <c r="AU500" i="11"/>
  <c r="AU501" i="11" s="1"/>
  <c r="AU502" i="11" s="1"/>
  <c r="AU503" i="11" s="1"/>
  <c r="AU504" i="11" s="1"/>
  <c r="BC500" i="11"/>
  <c r="AY501" i="11"/>
  <c r="Y396" i="10"/>
  <c r="K396" i="10"/>
  <c r="S396" i="10"/>
  <c r="AK501" i="11"/>
  <c r="AO500" i="11"/>
  <c r="AG500" i="11"/>
  <c r="AG501" i="11" s="1"/>
  <c r="AG502" i="11" s="1"/>
  <c r="AG503" i="11" s="1"/>
  <c r="AG504" i="11" s="1"/>
  <c r="U401" i="10"/>
  <c r="G402" i="10"/>
  <c r="F403" i="10"/>
  <c r="T402" i="10"/>
  <c r="AJ506" i="11"/>
  <c r="AJ507" i="11" s="1"/>
  <c r="AJ508" i="11" s="1"/>
  <c r="AJ509" i="11" s="1"/>
  <c r="AK505" i="11"/>
  <c r="F400" i="10"/>
  <c r="T400" i="10" s="1"/>
  <c r="T399" i="10"/>
  <c r="V506" i="11"/>
  <c r="V507" i="11" s="1"/>
  <c r="V508" i="11" s="1"/>
  <c r="V509" i="11" s="1"/>
  <c r="W505" i="11"/>
  <c r="S500" i="11"/>
  <c r="S501" i="11" s="1"/>
  <c r="S502" i="11" s="1"/>
  <c r="S503" i="11" s="1"/>
  <c r="S504" i="11" s="1"/>
  <c r="W501" i="11"/>
  <c r="AA500" i="11"/>
  <c r="F991" i="12"/>
  <c r="F990" i="12"/>
  <c r="W489" i="11"/>
  <c r="AA489" i="11" s="1"/>
  <c r="AA488" i="11"/>
  <c r="AY505" i="11"/>
  <c r="AX506" i="11"/>
  <c r="AX507" i="11" s="1"/>
  <c r="AX508" i="11" s="1"/>
  <c r="AX509" i="11" s="1"/>
  <c r="G505" i="11"/>
  <c r="F506" i="11"/>
  <c r="F507" i="11" s="1"/>
  <c r="F508" i="11" s="1"/>
  <c r="F509" i="11" s="1"/>
  <c r="C402" i="10"/>
  <c r="Q401" i="10"/>
  <c r="G981" i="12"/>
  <c r="G980" i="12"/>
  <c r="K500" i="11"/>
  <c r="G501" i="11"/>
  <c r="U402" i="10" l="1"/>
  <c r="G403" i="10"/>
  <c r="K505" i="11"/>
  <c r="G506" i="11"/>
  <c r="F1016" i="12"/>
  <c r="G1015" i="12"/>
  <c r="F1017" i="12"/>
  <c r="Y403" i="10"/>
  <c r="E404" i="10"/>
  <c r="S403" i="10"/>
  <c r="K403" i="10"/>
  <c r="Y400" i="10"/>
  <c r="K400" i="10"/>
  <c r="S400" i="10"/>
  <c r="E1009" i="12"/>
  <c r="E1008" i="12"/>
  <c r="G991" i="12"/>
  <c r="G990" i="12"/>
  <c r="T409" i="10"/>
  <c r="G409" i="10"/>
  <c r="F410" i="10"/>
  <c r="A1035" i="12"/>
  <c r="E1025" i="12"/>
  <c r="F1025" i="12"/>
  <c r="AO497" i="11"/>
  <c r="AK498" i="11"/>
  <c r="C406" i="10"/>
  <c r="Q405" i="10"/>
  <c r="F1009" i="12"/>
  <c r="F1008" i="12"/>
  <c r="AK494" i="11"/>
  <c r="AO494" i="11" s="1"/>
  <c r="AO493" i="11"/>
  <c r="W510" i="11"/>
  <c r="V511" i="11"/>
  <c r="V512" i="11" s="1"/>
  <c r="V513" i="11" s="1"/>
  <c r="V514" i="11" s="1"/>
  <c r="G983" i="12"/>
  <c r="G984" i="12" s="1"/>
  <c r="G982" i="12"/>
  <c r="W502" i="11"/>
  <c r="AA501" i="11"/>
  <c r="Y406" i="10"/>
  <c r="S406" i="10"/>
  <c r="E407" i="10"/>
  <c r="K406" i="10"/>
  <c r="AY498" i="11"/>
  <c r="BC497" i="11"/>
  <c r="K493" i="11"/>
  <c r="G494" i="11"/>
  <c r="K494" i="11" s="1"/>
  <c r="G998" i="12"/>
  <c r="G999" i="12"/>
  <c r="E511" i="11"/>
  <c r="E512" i="11" s="1"/>
  <c r="E513" i="11" s="1"/>
  <c r="E514" i="11" s="1"/>
  <c r="AY494" i="11"/>
  <c r="BC494" i="11" s="1"/>
  <c r="BC493" i="11"/>
  <c r="F1000" i="12"/>
  <c r="F1001" i="12"/>
  <c r="J996" i="12"/>
  <c r="J1003" i="12"/>
  <c r="J1004" i="12" s="1"/>
  <c r="J999" i="12"/>
  <c r="J1000" i="12" s="1"/>
  <c r="J997" i="12"/>
  <c r="J998" i="12" s="1"/>
  <c r="J1001" i="12"/>
  <c r="J1002" i="12" s="1"/>
  <c r="AJ511" i="11"/>
  <c r="AJ512" i="11" s="1"/>
  <c r="AJ513" i="11" s="1"/>
  <c r="AJ514" i="11" s="1"/>
  <c r="AK510" i="11"/>
  <c r="AU505" i="11"/>
  <c r="AU506" i="11" s="1"/>
  <c r="AU507" i="11" s="1"/>
  <c r="AU508" i="11" s="1"/>
  <c r="AU509" i="11" s="1"/>
  <c r="AY506" i="11"/>
  <c r="BC505" i="11"/>
  <c r="AK506" i="11"/>
  <c r="AO505" i="11"/>
  <c r="AG505" i="11"/>
  <c r="AG506" i="11" s="1"/>
  <c r="AG507" i="11" s="1"/>
  <c r="AG508" i="11" s="1"/>
  <c r="AG509" i="11" s="1"/>
  <c r="AY502" i="11"/>
  <c r="BC501" i="11"/>
  <c r="K497" i="11"/>
  <c r="G498" i="11"/>
  <c r="G400" i="10"/>
  <c r="U400" i="10" s="1"/>
  <c r="U399" i="10"/>
  <c r="Y409" i="10"/>
  <c r="S409" i="10"/>
  <c r="K409" i="10"/>
  <c r="C409" i="10"/>
  <c r="E410" i="10"/>
  <c r="G502" i="11"/>
  <c r="K501" i="11"/>
  <c r="T403" i="10"/>
  <c r="F404" i="10"/>
  <c r="T404" i="10" s="1"/>
  <c r="E992" i="12"/>
  <c r="E993" i="12"/>
  <c r="E994" i="12" s="1"/>
  <c r="G1007" i="12"/>
  <c r="G1006" i="12"/>
  <c r="J1005" i="12" s="1"/>
  <c r="U405" i="10"/>
  <c r="G406" i="10"/>
  <c r="AI515" i="11"/>
  <c r="AI516" i="11" s="1"/>
  <c r="AI517" i="11" s="1"/>
  <c r="AI518" i="11" s="1"/>
  <c r="AI519" i="11" s="1"/>
  <c r="AX515" i="11"/>
  <c r="AW515" i="11"/>
  <c r="AW516" i="11" s="1"/>
  <c r="AW517" i="11" s="1"/>
  <c r="AW518" i="11" s="1"/>
  <c r="AW519" i="11" s="1"/>
  <c r="F515" i="11"/>
  <c r="E515" i="11"/>
  <c r="AJ515" i="11"/>
  <c r="A520" i="11"/>
  <c r="V515" i="11"/>
  <c r="U515" i="11"/>
  <c r="U516" i="11" s="1"/>
  <c r="U517" i="11" s="1"/>
  <c r="U518" i="11" s="1"/>
  <c r="U519" i="11" s="1"/>
  <c r="C400" i="10"/>
  <c r="Q400" i="10" s="1"/>
  <c r="Q399" i="10"/>
  <c r="W498" i="11"/>
  <c r="AA497" i="11"/>
  <c r="F413" i="10"/>
  <c r="E413" i="10"/>
  <c r="A417" i="10"/>
  <c r="A414" i="10"/>
  <c r="A415" i="10" s="1"/>
  <c r="A416" i="10" s="1"/>
  <c r="AY510" i="11"/>
  <c r="AX511" i="11"/>
  <c r="AX512" i="11" s="1"/>
  <c r="AX513" i="11" s="1"/>
  <c r="AX514" i="11" s="1"/>
  <c r="F992" i="12"/>
  <c r="F993" i="12"/>
  <c r="F994" i="12" s="1"/>
  <c r="C403" i="10"/>
  <c r="Q402" i="10"/>
  <c r="S505" i="11"/>
  <c r="S506" i="11" s="1"/>
  <c r="S507" i="11" s="1"/>
  <c r="S508" i="11" s="1"/>
  <c r="S509" i="11" s="1"/>
  <c r="W506" i="11"/>
  <c r="AA505" i="11"/>
  <c r="AO501" i="11"/>
  <c r="AK502" i="11"/>
  <c r="E1016" i="12"/>
  <c r="C1015" i="12"/>
  <c r="C1016" i="12" s="1"/>
  <c r="C1017" i="12" s="1"/>
  <c r="C1018" i="12" s="1"/>
  <c r="C1019" i="12" s="1"/>
  <c r="C1020" i="12" s="1"/>
  <c r="C1021" i="12" s="1"/>
  <c r="C1022" i="12" s="1"/>
  <c r="C1023" i="12" s="1"/>
  <c r="C1024" i="12" s="1"/>
  <c r="E1017" i="12"/>
  <c r="E1001" i="12"/>
  <c r="E1000" i="12"/>
  <c r="T406" i="10"/>
  <c r="F407" i="10"/>
  <c r="W494" i="11"/>
  <c r="AA494" i="11" s="1"/>
  <c r="AA493" i="11"/>
  <c r="F511" i="11"/>
  <c r="F512" i="11" s="1"/>
  <c r="F513" i="11" s="1"/>
  <c r="F514" i="11" s="1"/>
  <c r="G510" i="11"/>
  <c r="T410" i="10" l="1"/>
  <c r="F411" i="10"/>
  <c r="F516" i="11"/>
  <c r="F517" i="11" s="1"/>
  <c r="F518" i="11" s="1"/>
  <c r="F519" i="11" s="1"/>
  <c r="G515" i="11"/>
  <c r="AY503" i="11"/>
  <c r="BC502" i="11"/>
  <c r="J1009" i="12"/>
  <c r="J1010" i="12" s="1"/>
  <c r="J1013" i="12"/>
  <c r="J1014" i="12" s="1"/>
  <c r="J1011" i="12"/>
  <c r="J1012" i="12" s="1"/>
  <c r="J1006" i="12"/>
  <c r="J1007" i="12"/>
  <c r="J1008" i="12" s="1"/>
  <c r="V516" i="11"/>
  <c r="V517" i="11" s="1"/>
  <c r="V518" i="11" s="1"/>
  <c r="V519" i="11" s="1"/>
  <c r="W515" i="11"/>
  <c r="G1000" i="12"/>
  <c r="G1001" i="12"/>
  <c r="G1025" i="12"/>
  <c r="F1026" i="12"/>
  <c r="C1025" i="12" s="1"/>
  <c r="C1026" i="12" s="1"/>
  <c r="C1027" i="12" s="1"/>
  <c r="C1028" i="12" s="1"/>
  <c r="C1029" i="12" s="1"/>
  <c r="C1030" i="12" s="1"/>
  <c r="C1031" i="12" s="1"/>
  <c r="C1032" i="12" s="1"/>
  <c r="C1033" i="12" s="1"/>
  <c r="C1034" i="12" s="1"/>
  <c r="F1027" i="12"/>
  <c r="T413" i="10"/>
  <c r="G413" i="10"/>
  <c r="F414" i="10"/>
  <c r="T407" i="10"/>
  <c r="F408" i="10"/>
  <c r="T408" i="10" s="1"/>
  <c r="AY507" i="11"/>
  <c r="BC506" i="11"/>
  <c r="C404" i="10"/>
  <c r="Q404" i="10" s="1"/>
  <c r="Q403" i="10"/>
  <c r="AG510" i="11"/>
  <c r="AG511" i="11" s="1"/>
  <c r="AG512" i="11" s="1"/>
  <c r="AG513" i="11" s="1"/>
  <c r="AG514" i="11" s="1"/>
  <c r="AK511" i="11"/>
  <c r="AO510" i="11"/>
  <c r="E1003" i="12"/>
  <c r="E1004" i="12" s="1"/>
  <c r="E1002" i="12"/>
  <c r="E1018" i="12"/>
  <c r="E1019" i="12"/>
  <c r="AI520" i="11"/>
  <c r="AI521" i="11" s="1"/>
  <c r="AI522" i="11" s="1"/>
  <c r="AI523" i="11" s="1"/>
  <c r="AI524" i="11" s="1"/>
  <c r="V520" i="11"/>
  <c r="A525" i="11"/>
  <c r="U520" i="11"/>
  <c r="U521" i="11" s="1"/>
  <c r="U522" i="11" s="1"/>
  <c r="U523" i="11" s="1"/>
  <c r="U524" i="11" s="1"/>
  <c r="AJ520" i="11"/>
  <c r="F520" i="11"/>
  <c r="E520" i="11"/>
  <c r="AX520" i="11"/>
  <c r="AW520" i="11"/>
  <c r="AW521" i="11" s="1"/>
  <c r="AW522" i="11" s="1"/>
  <c r="AW523" i="11" s="1"/>
  <c r="AW524" i="11" s="1"/>
  <c r="G499" i="11"/>
  <c r="K499" i="11" s="1"/>
  <c r="K498" i="11"/>
  <c r="E1027" i="12"/>
  <c r="E1026" i="12"/>
  <c r="Q409" i="10"/>
  <c r="C410" i="10"/>
  <c r="AO506" i="11"/>
  <c r="AK507" i="11"/>
  <c r="Y407" i="10"/>
  <c r="S407" i="10"/>
  <c r="E408" i="10"/>
  <c r="K407" i="10"/>
  <c r="F1011" i="12"/>
  <c r="F1010" i="12"/>
  <c r="G993" i="12"/>
  <c r="G994" i="12" s="1"/>
  <c r="G992" i="12"/>
  <c r="BC510" i="11"/>
  <c r="AY511" i="11"/>
  <c r="AU510" i="11"/>
  <c r="AU511" i="11" s="1"/>
  <c r="AU512" i="11" s="1"/>
  <c r="AU513" i="11" s="1"/>
  <c r="AU514" i="11" s="1"/>
  <c r="C515" i="11"/>
  <c r="C516" i="11" s="1"/>
  <c r="C517" i="11" s="1"/>
  <c r="C518" i="11" s="1"/>
  <c r="C519" i="11" s="1"/>
  <c r="E516" i="11"/>
  <c r="E517" i="11" s="1"/>
  <c r="E518" i="11" s="1"/>
  <c r="E519" i="11" s="1"/>
  <c r="G511" i="11"/>
  <c r="K510" i="11"/>
  <c r="W499" i="11"/>
  <c r="AA499" i="11" s="1"/>
  <c r="AA498" i="11"/>
  <c r="U406" i="10"/>
  <c r="G407" i="10"/>
  <c r="K506" i="11"/>
  <c r="G507" i="11"/>
  <c r="S510" i="11"/>
  <c r="S511" i="11" s="1"/>
  <c r="S512" i="11" s="1"/>
  <c r="S513" i="11" s="1"/>
  <c r="S514" i="11" s="1"/>
  <c r="W511" i="11"/>
  <c r="AA510" i="11"/>
  <c r="Y404" i="10"/>
  <c r="S404" i="10"/>
  <c r="K404" i="10"/>
  <c r="AO502" i="11"/>
  <c r="AK503" i="11"/>
  <c r="F417" i="10"/>
  <c r="A421" i="10"/>
  <c r="E417" i="10"/>
  <c r="A418" i="10"/>
  <c r="A419" i="10" s="1"/>
  <c r="A420" i="10" s="1"/>
  <c r="AX516" i="11"/>
  <c r="AX517" i="11" s="1"/>
  <c r="AX518" i="11" s="1"/>
  <c r="AX519" i="11" s="1"/>
  <c r="AY515" i="11"/>
  <c r="S410" i="10"/>
  <c r="K410" i="10"/>
  <c r="Y410" i="10"/>
  <c r="E411" i="10"/>
  <c r="F1003" i="12"/>
  <c r="F1004" i="12" s="1"/>
  <c r="F1002" i="12"/>
  <c r="G1017" i="12"/>
  <c r="G1016" i="12"/>
  <c r="J1015" i="12" s="1"/>
  <c r="C407" i="10"/>
  <c r="Q406" i="10"/>
  <c r="E1011" i="12"/>
  <c r="E1010" i="12"/>
  <c r="U409" i="10"/>
  <c r="G410" i="10"/>
  <c r="W507" i="11"/>
  <c r="AA506" i="11"/>
  <c r="C510" i="11"/>
  <c r="C511" i="11" s="1"/>
  <c r="C512" i="11" s="1"/>
  <c r="C513" i="11" s="1"/>
  <c r="C514" i="11" s="1"/>
  <c r="AK499" i="11"/>
  <c r="AO499" i="11" s="1"/>
  <c r="AO498" i="11"/>
  <c r="U403" i="10"/>
  <c r="G404" i="10"/>
  <c r="U404" i="10" s="1"/>
  <c r="AK515" i="11"/>
  <c r="AJ516" i="11"/>
  <c r="AJ517" i="11" s="1"/>
  <c r="AJ518" i="11" s="1"/>
  <c r="AJ519" i="11" s="1"/>
  <c r="A1045" i="12"/>
  <c r="F1035" i="12"/>
  <c r="E1035" i="12"/>
  <c r="S413" i="10"/>
  <c r="K413" i="10"/>
  <c r="Y413" i="10"/>
  <c r="C413" i="10"/>
  <c r="E414" i="10"/>
  <c r="K502" i="11"/>
  <c r="G503" i="11"/>
  <c r="BC498" i="11"/>
  <c r="AY499" i="11"/>
  <c r="BC499" i="11" s="1"/>
  <c r="F1019" i="12"/>
  <c r="F1018" i="12"/>
  <c r="G1008" i="12"/>
  <c r="G1009" i="12"/>
  <c r="W503" i="11"/>
  <c r="AA502" i="11"/>
  <c r="F1013" i="12" l="1"/>
  <c r="F1014" i="12" s="1"/>
  <c r="F1012" i="12"/>
  <c r="T414" i="10"/>
  <c r="F415" i="10"/>
  <c r="G414" i="10"/>
  <c r="U413" i="10"/>
  <c r="G512" i="11"/>
  <c r="K511" i="11"/>
  <c r="AK512" i="11"/>
  <c r="AO511" i="11"/>
  <c r="BC503" i="11"/>
  <c r="AY504" i="11"/>
  <c r="BC504" i="11" s="1"/>
  <c r="F1036" i="12"/>
  <c r="F1037" i="12"/>
  <c r="G1035" i="12"/>
  <c r="F1020" i="12"/>
  <c r="F1021" i="12"/>
  <c r="G504" i="11"/>
  <c r="K504" i="11" s="1"/>
  <c r="K503" i="11"/>
  <c r="Q407" i="10"/>
  <c r="C408" i="10"/>
  <c r="Q408" i="10" s="1"/>
  <c r="K417" i="10"/>
  <c r="E418" i="10"/>
  <c r="C417" i="10"/>
  <c r="S417" i="10"/>
  <c r="Y417" i="10"/>
  <c r="W520" i="11"/>
  <c r="V521" i="11"/>
  <c r="V522" i="11" s="1"/>
  <c r="V523" i="11" s="1"/>
  <c r="V524" i="11" s="1"/>
  <c r="BC507" i="11"/>
  <c r="AY508" i="11"/>
  <c r="J1023" i="12"/>
  <c r="J1024" i="12" s="1"/>
  <c r="J1017" i="12"/>
  <c r="J1018" i="12" s="1"/>
  <c r="J1016" i="12"/>
  <c r="J1019" i="12"/>
  <c r="J1020" i="12" s="1"/>
  <c r="J1021" i="12"/>
  <c r="J1022" i="12" s="1"/>
  <c r="F421" i="10"/>
  <c r="A425" i="10"/>
  <c r="E421" i="10"/>
  <c r="A422" i="10"/>
  <c r="A423" i="10" s="1"/>
  <c r="A424" i="10" s="1"/>
  <c r="U407" i="10"/>
  <c r="G408" i="10"/>
  <c r="U408" i="10" s="1"/>
  <c r="AK504" i="11"/>
  <c r="AO504" i="11" s="1"/>
  <c r="AO503" i="11"/>
  <c r="S408" i="10"/>
  <c r="K408" i="10"/>
  <c r="Y408" i="10"/>
  <c r="G1011" i="12"/>
  <c r="G1010" i="12"/>
  <c r="W508" i="11"/>
  <c r="AA507" i="11"/>
  <c r="AX521" i="11"/>
  <c r="AX522" i="11" s="1"/>
  <c r="AX523" i="11" s="1"/>
  <c r="AX524" i="11" s="1"/>
  <c r="AY520" i="11"/>
  <c r="AK508" i="11"/>
  <c r="AO507" i="11"/>
  <c r="F521" i="11"/>
  <c r="F522" i="11" s="1"/>
  <c r="F523" i="11" s="1"/>
  <c r="F524" i="11" s="1"/>
  <c r="G520" i="11"/>
  <c r="G1027" i="12"/>
  <c r="G1026" i="12"/>
  <c r="J1025" i="12" s="1"/>
  <c r="K515" i="11"/>
  <c r="G516" i="11"/>
  <c r="Q413" i="10"/>
  <c r="C414" i="10"/>
  <c r="F1029" i="12"/>
  <c r="F1028" i="12"/>
  <c r="E1037" i="12"/>
  <c r="E1036" i="12"/>
  <c r="C1035" i="12" s="1"/>
  <c r="C1036" i="12" s="1"/>
  <c r="C1037" i="12" s="1"/>
  <c r="C1038" i="12" s="1"/>
  <c r="C1039" i="12" s="1"/>
  <c r="C1040" i="12" s="1"/>
  <c r="C1041" i="12" s="1"/>
  <c r="C1042" i="12" s="1"/>
  <c r="C1043" i="12" s="1"/>
  <c r="C1044" i="12" s="1"/>
  <c r="U410" i="10"/>
  <c r="G411" i="10"/>
  <c r="A1055" i="12"/>
  <c r="F1045" i="12"/>
  <c r="E1045" i="12"/>
  <c r="AU515" i="11"/>
  <c r="AU516" i="11" s="1"/>
  <c r="AU517" i="11" s="1"/>
  <c r="AU518" i="11" s="1"/>
  <c r="AU519" i="11" s="1"/>
  <c r="BC515" i="11"/>
  <c r="AY516" i="11"/>
  <c r="AA511" i="11"/>
  <c r="W512" i="11"/>
  <c r="AJ521" i="11"/>
  <c r="AJ522" i="11" s="1"/>
  <c r="AJ523" i="11" s="1"/>
  <c r="AJ524" i="11" s="1"/>
  <c r="AK520" i="11"/>
  <c r="G1002" i="12"/>
  <c r="G1003" i="12"/>
  <c r="G1004" i="12" s="1"/>
  <c r="G1018" i="12"/>
  <c r="G1019" i="12"/>
  <c r="E521" i="11"/>
  <c r="E522" i="11" s="1"/>
  <c r="E523" i="11" s="1"/>
  <c r="E524" i="11" s="1"/>
  <c r="E1013" i="12"/>
  <c r="E1014" i="12" s="1"/>
  <c r="E1012" i="12"/>
  <c r="AY512" i="11"/>
  <c r="BC511" i="11"/>
  <c r="Q410" i="10"/>
  <c r="C411" i="10"/>
  <c r="T411" i="10"/>
  <c r="F412" i="10"/>
  <c r="T412" i="10" s="1"/>
  <c r="S414" i="10"/>
  <c r="K414" i="10"/>
  <c r="E415" i="10"/>
  <c r="Y414" i="10"/>
  <c r="G417" i="10"/>
  <c r="F418" i="10"/>
  <c r="T417" i="10"/>
  <c r="E1028" i="12"/>
  <c r="E1029" i="12"/>
  <c r="E1020" i="12"/>
  <c r="E1021" i="12"/>
  <c r="AA503" i="11"/>
  <c r="W504" i="11"/>
  <c r="AA504" i="11" s="1"/>
  <c r="S411" i="10"/>
  <c r="K411" i="10"/>
  <c r="Y411" i="10"/>
  <c r="E412" i="10"/>
  <c r="AG515" i="11"/>
  <c r="AG516" i="11" s="1"/>
  <c r="AG517" i="11" s="1"/>
  <c r="AG518" i="11" s="1"/>
  <c r="AG519" i="11" s="1"/>
  <c r="AO515" i="11"/>
  <c r="AK516" i="11"/>
  <c r="K507" i="11"/>
  <c r="G508" i="11"/>
  <c r="V525" i="11"/>
  <c r="U525" i="11"/>
  <c r="U526" i="11" s="1"/>
  <c r="U527" i="11" s="1"/>
  <c r="U528" i="11" s="1"/>
  <c r="U529" i="11" s="1"/>
  <c r="A530" i="11"/>
  <c r="AX525" i="11"/>
  <c r="F525" i="11"/>
  <c r="AW525" i="11"/>
  <c r="AW526" i="11" s="1"/>
  <c r="AW527" i="11" s="1"/>
  <c r="AW528" i="11" s="1"/>
  <c r="AW529" i="11" s="1"/>
  <c r="E525" i="11"/>
  <c r="AJ525" i="11"/>
  <c r="AI525" i="11"/>
  <c r="AI526" i="11" s="1"/>
  <c r="AI527" i="11" s="1"/>
  <c r="AI528" i="11" s="1"/>
  <c r="AI529" i="11" s="1"/>
  <c r="W516" i="11"/>
  <c r="S515" i="11"/>
  <c r="S516" i="11" s="1"/>
  <c r="S517" i="11" s="1"/>
  <c r="S518" i="11" s="1"/>
  <c r="S519" i="11" s="1"/>
  <c r="AA515" i="11"/>
  <c r="U411" i="10" l="1"/>
  <c r="G412" i="10"/>
  <c r="U412" i="10" s="1"/>
  <c r="V526" i="11"/>
  <c r="V527" i="11" s="1"/>
  <c r="V528" i="11" s="1"/>
  <c r="V529" i="11" s="1"/>
  <c r="W525" i="11"/>
  <c r="G521" i="11"/>
  <c r="K520" i="11"/>
  <c r="G525" i="11"/>
  <c r="F526" i="11"/>
  <c r="F527" i="11" s="1"/>
  <c r="F528" i="11" s="1"/>
  <c r="F529" i="11" s="1"/>
  <c r="S415" i="10"/>
  <c r="K415" i="10"/>
  <c r="E416" i="10"/>
  <c r="Y415" i="10"/>
  <c r="E1046" i="12"/>
  <c r="E1047" i="12"/>
  <c r="G517" i="11"/>
  <c r="K516" i="11"/>
  <c r="G421" i="10"/>
  <c r="F422" i="10"/>
  <c r="T421" i="10"/>
  <c r="Q417" i="10"/>
  <c r="C418" i="10"/>
  <c r="AX530" i="11"/>
  <c r="AW530" i="11"/>
  <c r="AW531" i="11" s="1"/>
  <c r="AW532" i="11" s="1"/>
  <c r="AW533" i="11" s="1"/>
  <c r="AW534" i="11" s="1"/>
  <c r="E530" i="11"/>
  <c r="AJ530" i="11"/>
  <c r="F530" i="11"/>
  <c r="A535" i="11"/>
  <c r="AI530" i="11"/>
  <c r="AI531" i="11" s="1"/>
  <c r="AI532" i="11" s="1"/>
  <c r="AI533" i="11" s="1"/>
  <c r="AI534" i="11" s="1"/>
  <c r="U530" i="11"/>
  <c r="U531" i="11" s="1"/>
  <c r="U532" i="11" s="1"/>
  <c r="U533" i="11" s="1"/>
  <c r="U534" i="11" s="1"/>
  <c r="V530" i="11"/>
  <c r="G1029" i="12"/>
  <c r="G1028" i="12"/>
  <c r="E1022" i="12"/>
  <c r="E1023" i="12"/>
  <c r="E1024" i="12" s="1"/>
  <c r="AY525" i="11"/>
  <c r="AX526" i="11"/>
  <c r="AX527" i="11" s="1"/>
  <c r="AX528" i="11" s="1"/>
  <c r="AX529" i="11" s="1"/>
  <c r="G1020" i="12"/>
  <c r="G1021" i="12"/>
  <c r="G1045" i="12"/>
  <c r="F1046" i="12"/>
  <c r="C1045" i="12" s="1"/>
  <c r="C1046" i="12" s="1"/>
  <c r="C1047" i="12" s="1"/>
  <c r="C1048" i="12" s="1"/>
  <c r="C1049" i="12" s="1"/>
  <c r="C1050" i="12" s="1"/>
  <c r="C1051" i="12" s="1"/>
  <c r="C1052" i="12" s="1"/>
  <c r="C1053" i="12" s="1"/>
  <c r="C1054" i="12" s="1"/>
  <c r="F1047" i="12"/>
  <c r="G1013" i="12"/>
  <c r="G1014" i="12" s="1"/>
  <c r="G1012" i="12"/>
  <c r="K418" i="10"/>
  <c r="E419" i="10"/>
  <c r="S418" i="10"/>
  <c r="Y418" i="10"/>
  <c r="AY509" i="11"/>
  <c r="BC509" i="11" s="1"/>
  <c r="BC508" i="11"/>
  <c r="AA512" i="11"/>
  <c r="W513" i="11"/>
  <c r="E1039" i="12"/>
  <c r="E1038" i="12"/>
  <c r="AK509" i="11"/>
  <c r="AO509" i="11" s="1"/>
  <c r="AO508" i="11"/>
  <c r="BC512" i="11"/>
  <c r="AY513" i="11"/>
  <c r="AY521" i="11"/>
  <c r="BC520" i="11"/>
  <c r="AU520" i="11"/>
  <c r="AU521" i="11" s="1"/>
  <c r="AU522" i="11" s="1"/>
  <c r="AU523" i="11" s="1"/>
  <c r="AU524" i="11" s="1"/>
  <c r="F416" i="10"/>
  <c r="T416" i="10" s="1"/>
  <c r="T415" i="10"/>
  <c r="J1031" i="12"/>
  <c r="J1032" i="12" s="1"/>
  <c r="J1029" i="12"/>
  <c r="J1030" i="12" s="1"/>
  <c r="J1033" i="12"/>
  <c r="J1034" i="12" s="1"/>
  <c r="J1027" i="12"/>
  <c r="J1028" i="12" s="1"/>
  <c r="J1026" i="12"/>
  <c r="Q411" i="10"/>
  <c r="C412" i="10"/>
  <c r="Q412" i="10" s="1"/>
  <c r="AG520" i="11"/>
  <c r="AG521" i="11" s="1"/>
  <c r="AG522" i="11" s="1"/>
  <c r="AG523" i="11" s="1"/>
  <c r="AG524" i="11" s="1"/>
  <c r="AK521" i="11"/>
  <c r="AO520" i="11"/>
  <c r="G513" i="11"/>
  <c r="K512" i="11"/>
  <c r="E1030" i="12"/>
  <c r="E1031" i="12"/>
  <c r="W517" i="11"/>
  <c r="AA516" i="11"/>
  <c r="AO516" i="11"/>
  <c r="AK517" i="11"/>
  <c r="F1022" i="12"/>
  <c r="F1023" i="12"/>
  <c r="F1024" i="12" s="1"/>
  <c r="G415" i="10"/>
  <c r="U414" i="10"/>
  <c r="AK525" i="11"/>
  <c r="AJ526" i="11"/>
  <c r="AJ527" i="11" s="1"/>
  <c r="AJ528" i="11" s="1"/>
  <c r="AJ529" i="11" s="1"/>
  <c r="F419" i="10"/>
  <c r="T418" i="10"/>
  <c r="BC516" i="11"/>
  <c r="AY517" i="11"/>
  <c r="F1030" i="12"/>
  <c r="F1031" i="12"/>
  <c r="AA520" i="11"/>
  <c r="S520" i="11"/>
  <c r="S521" i="11" s="1"/>
  <c r="S522" i="11" s="1"/>
  <c r="S523" i="11" s="1"/>
  <c r="S524" i="11" s="1"/>
  <c r="W521" i="11"/>
  <c r="G1036" i="12"/>
  <c r="J1035" i="12" s="1"/>
  <c r="G1037" i="12"/>
  <c r="A1065" i="12"/>
  <c r="F1055" i="12"/>
  <c r="E1055" i="12"/>
  <c r="AK513" i="11"/>
  <c r="AO512" i="11"/>
  <c r="Q414" i="10"/>
  <c r="C415" i="10"/>
  <c r="E422" i="10"/>
  <c r="C421" i="10"/>
  <c r="K421" i="10"/>
  <c r="S421" i="10"/>
  <c r="Y421" i="10"/>
  <c r="F1039" i="12"/>
  <c r="F1038" i="12"/>
  <c r="G509" i="11"/>
  <c r="K509" i="11" s="1"/>
  <c r="K508" i="11"/>
  <c r="C525" i="11"/>
  <c r="C526" i="11" s="1"/>
  <c r="C527" i="11" s="1"/>
  <c r="C528" i="11" s="1"/>
  <c r="C529" i="11" s="1"/>
  <c r="E526" i="11"/>
  <c r="E527" i="11" s="1"/>
  <c r="E528" i="11" s="1"/>
  <c r="E529" i="11" s="1"/>
  <c r="S412" i="10"/>
  <c r="K412" i="10"/>
  <c r="Y412" i="10"/>
  <c r="G418" i="10"/>
  <c r="U417" i="10"/>
  <c r="C520" i="11"/>
  <c r="C521" i="11" s="1"/>
  <c r="C522" i="11" s="1"/>
  <c r="C523" i="11" s="1"/>
  <c r="C524" i="11" s="1"/>
  <c r="AA508" i="11"/>
  <c r="W509" i="11"/>
  <c r="AA509" i="11" s="1"/>
  <c r="A429" i="10"/>
  <c r="E425" i="10"/>
  <c r="A426" i="10"/>
  <c r="A427" i="10" s="1"/>
  <c r="A428" i="10" s="1"/>
  <c r="F425" i="10"/>
  <c r="W518" i="11" l="1"/>
  <c r="AA517" i="11"/>
  <c r="BC525" i="11"/>
  <c r="AU525" i="11"/>
  <c r="AU526" i="11" s="1"/>
  <c r="AU527" i="11" s="1"/>
  <c r="AU528" i="11" s="1"/>
  <c r="AU529" i="11" s="1"/>
  <c r="AY526" i="11"/>
  <c r="E423" i="10"/>
  <c r="Y422" i="10"/>
  <c r="K422" i="10"/>
  <c r="S422" i="10"/>
  <c r="BC513" i="11"/>
  <c r="AY514" i="11"/>
  <c r="BC514" i="11" s="1"/>
  <c r="Q418" i="10"/>
  <c r="C419" i="10"/>
  <c r="F1032" i="12"/>
  <c r="F1033" i="12"/>
  <c r="F1034" i="12" s="1"/>
  <c r="G422" i="10"/>
  <c r="U421" i="10"/>
  <c r="G419" i="10"/>
  <c r="U418" i="10"/>
  <c r="AA521" i="11"/>
  <c r="W522" i="11"/>
  <c r="G416" i="10"/>
  <c r="U416" i="10" s="1"/>
  <c r="U415" i="10"/>
  <c r="AK522" i="11"/>
  <c r="AO521" i="11"/>
  <c r="C422" i="10"/>
  <c r="Q421" i="10"/>
  <c r="BC521" i="11"/>
  <c r="AY522" i="11"/>
  <c r="AY530" i="11"/>
  <c r="AX531" i="11"/>
  <c r="AX532" i="11" s="1"/>
  <c r="AX533" i="11" s="1"/>
  <c r="AX534" i="11" s="1"/>
  <c r="K416" i="10"/>
  <c r="S416" i="10"/>
  <c r="Y416" i="10"/>
  <c r="G1031" i="12"/>
  <c r="G1030" i="12"/>
  <c r="V531" i="11"/>
  <c r="V532" i="11" s="1"/>
  <c r="V533" i="11" s="1"/>
  <c r="V534" i="11" s="1"/>
  <c r="W530" i="11"/>
  <c r="E426" i="10"/>
  <c r="C425" i="10"/>
  <c r="Y425" i="10"/>
  <c r="S425" i="10"/>
  <c r="K425" i="10"/>
  <c r="AO513" i="11"/>
  <c r="AK514" i="11"/>
  <c r="AO514" i="11" s="1"/>
  <c r="F1048" i="12"/>
  <c r="F1049" i="12"/>
  <c r="E1056" i="12"/>
  <c r="E1057" i="12"/>
  <c r="E1033" i="12"/>
  <c r="E1034" i="12" s="1"/>
  <c r="E1032" i="12"/>
  <c r="K521" i="11"/>
  <c r="G522" i="11"/>
  <c r="G1055" i="12"/>
  <c r="F1057" i="12"/>
  <c r="F1056" i="12"/>
  <c r="C1055" i="12" s="1"/>
  <c r="C1056" i="12" s="1"/>
  <c r="C1057" i="12" s="1"/>
  <c r="C1058" i="12" s="1"/>
  <c r="C1059" i="12" s="1"/>
  <c r="C1060" i="12" s="1"/>
  <c r="C1061" i="12" s="1"/>
  <c r="C1062" i="12" s="1"/>
  <c r="C1063" i="12" s="1"/>
  <c r="C1064" i="12" s="1"/>
  <c r="F420" i="10"/>
  <c r="T420" i="10" s="1"/>
  <c r="T419" i="10"/>
  <c r="AA513" i="11"/>
  <c r="W514" i="11"/>
  <c r="AA514" i="11" s="1"/>
  <c r="G1047" i="12"/>
  <c r="G1046" i="12"/>
  <c r="J1045" i="12" s="1"/>
  <c r="V535" i="11"/>
  <c r="E535" i="11"/>
  <c r="AX535" i="11"/>
  <c r="AW535" i="11"/>
  <c r="AW536" i="11" s="1"/>
  <c r="AW537" i="11" s="1"/>
  <c r="AW538" i="11" s="1"/>
  <c r="AW539" i="11" s="1"/>
  <c r="A540" i="11"/>
  <c r="AJ535" i="11"/>
  <c r="F535" i="11"/>
  <c r="AI535" i="11"/>
  <c r="AI536" i="11" s="1"/>
  <c r="AI537" i="11" s="1"/>
  <c r="AI538" i="11" s="1"/>
  <c r="AI539" i="11" s="1"/>
  <c r="U535" i="11"/>
  <c r="U536" i="11" s="1"/>
  <c r="U537" i="11" s="1"/>
  <c r="U538" i="11" s="1"/>
  <c r="U539" i="11" s="1"/>
  <c r="K517" i="11"/>
  <c r="G518" i="11"/>
  <c r="W526" i="11"/>
  <c r="S525" i="11"/>
  <c r="S526" i="11" s="1"/>
  <c r="S527" i="11" s="1"/>
  <c r="S528" i="11" s="1"/>
  <c r="S529" i="11" s="1"/>
  <c r="AA525" i="11"/>
  <c r="K419" i="10"/>
  <c r="E420" i="10"/>
  <c r="S419" i="10"/>
  <c r="Y419" i="10"/>
  <c r="A430" i="10"/>
  <c r="A431" i="10" s="1"/>
  <c r="A432" i="10" s="1"/>
  <c r="A433" i="10"/>
  <c r="E429" i="10"/>
  <c r="F429" i="10"/>
  <c r="F1041" i="12"/>
  <c r="F1040" i="12"/>
  <c r="E1065" i="12"/>
  <c r="F1065" i="12"/>
  <c r="A1075" i="12"/>
  <c r="G1022" i="12"/>
  <c r="G1023" i="12"/>
  <c r="G1024" i="12" s="1"/>
  <c r="G530" i="11"/>
  <c r="F531" i="11"/>
  <c r="F532" i="11" s="1"/>
  <c r="F533" i="11" s="1"/>
  <c r="F534" i="11" s="1"/>
  <c r="Q415" i="10"/>
  <c r="C416" i="10"/>
  <c r="Q416" i="10" s="1"/>
  <c r="AK518" i="11"/>
  <c r="AO517" i="11"/>
  <c r="F426" i="10"/>
  <c r="G425" i="10"/>
  <c r="T425" i="10"/>
  <c r="G1039" i="12"/>
  <c r="G1038" i="12"/>
  <c r="AO525" i="11"/>
  <c r="AG525" i="11"/>
  <c r="AG526" i="11" s="1"/>
  <c r="AG527" i="11" s="1"/>
  <c r="AG528" i="11" s="1"/>
  <c r="AG529" i="11" s="1"/>
  <c r="AK526" i="11"/>
  <c r="G514" i="11"/>
  <c r="K514" i="11" s="1"/>
  <c r="K513" i="11"/>
  <c r="AK530" i="11"/>
  <c r="AJ531" i="11"/>
  <c r="AJ532" i="11" s="1"/>
  <c r="AJ533" i="11" s="1"/>
  <c r="AJ534" i="11" s="1"/>
  <c r="E1048" i="12"/>
  <c r="E1049" i="12"/>
  <c r="AY518" i="11"/>
  <c r="BC517" i="11"/>
  <c r="F423" i="10"/>
  <c r="T422" i="10"/>
  <c r="K525" i="11"/>
  <c r="G526" i="11"/>
  <c r="E1041" i="12"/>
  <c r="E1040" i="12"/>
  <c r="J1036" i="12"/>
  <c r="J1043" i="12"/>
  <c r="J1044" i="12" s="1"/>
  <c r="J1037" i="12"/>
  <c r="J1038" i="12" s="1"/>
  <c r="J1039" i="12"/>
  <c r="J1040" i="12" s="1"/>
  <c r="J1041" i="12"/>
  <c r="J1042" i="12" s="1"/>
  <c r="C530" i="11"/>
  <c r="C531" i="11" s="1"/>
  <c r="C532" i="11" s="1"/>
  <c r="C533" i="11" s="1"/>
  <c r="C534" i="11" s="1"/>
  <c r="E531" i="11"/>
  <c r="E532" i="11" s="1"/>
  <c r="E533" i="11" s="1"/>
  <c r="E534" i="11" s="1"/>
  <c r="G535" i="11" l="1"/>
  <c r="F536" i="11"/>
  <c r="F537" i="11" s="1"/>
  <c r="F538" i="11" s="1"/>
  <c r="F539" i="11" s="1"/>
  <c r="AA522" i="11"/>
  <c r="W523" i="11"/>
  <c r="A1085" i="12"/>
  <c r="F1075" i="12"/>
  <c r="E1075" i="12"/>
  <c r="G420" i="10"/>
  <c r="U420" i="10" s="1"/>
  <c r="U419" i="10"/>
  <c r="F1067" i="12"/>
  <c r="F1066" i="12"/>
  <c r="G1065" i="12"/>
  <c r="Y429" i="10"/>
  <c r="S429" i="10"/>
  <c r="E430" i="10"/>
  <c r="C429" i="10"/>
  <c r="K429" i="10"/>
  <c r="AO522" i="11"/>
  <c r="AK523" i="11"/>
  <c r="AJ536" i="11"/>
  <c r="AJ537" i="11" s="1"/>
  <c r="AJ538" i="11" s="1"/>
  <c r="AJ539" i="11" s="1"/>
  <c r="AK535" i="11"/>
  <c r="F424" i="10"/>
  <c r="T424" i="10" s="1"/>
  <c r="T423" i="10"/>
  <c r="AY523" i="11"/>
  <c r="BC522" i="11"/>
  <c r="E1067" i="12"/>
  <c r="E1066" i="12"/>
  <c r="C1065" i="12" s="1"/>
  <c r="C1066" i="12" s="1"/>
  <c r="C1067" i="12" s="1"/>
  <c r="C1068" i="12" s="1"/>
  <c r="C1069" i="12" s="1"/>
  <c r="C1070" i="12" s="1"/>
  <c r="C1071" i="12" s="1"/>
  <c r="C1072" i="12" s="1"/>
  <c r="C1073" i="12" s="1"/>
  <c r="C1074" i="12" s="1"/>
  <c r="E1043" i="12"/>
  <c r="E1044" i="12" s="1"/>
  <c r="E1042" i="12"/>
  <c r="A434" i="10"/>
  <c r="A435" i="10" s="1"/>
  <c r="A436" i="10" s="1"/>
  <c r="F433" i="10"/>
  <c r="A437" i="10"/>
  <c r="E433" i="10"/>
  <c r="F1051" i="12"/>
  <c r="F1050" i="12"/>
  <c r="G1032" i="12"/>
  <c r="G1033" i="12"/>
  <c r="G1034" i="12" s="1"/>
  <c r="AK527" i="11"/>
  <c r="AO526" i="11"/>
  <c r="BC530" i="11"/>
  <c r="AU530" i="11"/>
  <c r="AU531" i="11" s="1"/>
  <c r="AU532" i="11" s="1"/>
  <c r="AU533" i="11" s="1"/>
  <c r="AU534" i="11" s="1"/>
  <c r="AY531" i="11"/>
  <c r="C426" i="10"/>
  <c r="Q425" i="10"/>
  <c r="G423" i="10"/>
  <c r="U422" i="10"/>
  <c r="G1041" i="12"/>
  <c r="G1040" i="12"/>
  <c r="G523" i="11"/>
  <c r="K522" i="11"/>
  <c r="E424" i="10"/>
  <c r="Y423" i="10"/>
  <c r="K423" i="10"/>
  <c r="S423" i="10"/>
  <c r="AY519" i="11"/>
  <c r="BC519" i="11" s="1"/>
  <c r="BC518" i="11"/>
  <c r="E536" i="11"/>
  <c r="E537" i="11" s="1"/>
  <c r="E538" i="11" s="1"/>
  <c r="E539" i="11" s="1"/>
  <c r="C535" i="11"/>
  <c r="C536" i="11" s="1"/>
  <c r="C537" i="11" s="1"/>
  <c r="C538" i="11" s="1"/>
  <c r="C539" i="11" s="1"/>
  <c r="J1047" i="12"/>
  <c r="J1048" i="12" s="1"/>
  <c r="J1053" i="12"/>
  <c r="J1054" i="12" s="1"/>
  <c r="J1046" i="12"/>
  <c r="J1051" i="12"/>
  <c r="J1052" i="12" s="1"/>
  <c r="J1049" i="12"/>
  <c r="J1050" i="12" s="1"/>
  <c r="E427" i="10"/>
  <c r="Y426" i="10"/>
  <c r="K426" i="10"/>
  <c r="S426" i="10"/>
  <c r="G527" i="11"/>
  <c r="K526" i="11"/>
  <c r="K530" i="11"/>
  <c r="G531" i="11"/>
  <c r="Y420" i="10"/>
  <c r="K420" i="10"/>
  <c r="S420" i="10"/>
  <c r="G1056" i="12"/>
  <c r="J1055" i="12" s="1"/>
  <c r="G1057" i="12"/>
  <c r="W535" i="11"/>
  <c r="V536" i="11"/>
  <c r="V537" i="11" s="1"/>
  <c r="V538" i="11" s="1"/>
  <c r="V539" i="11" s="1"/>
  <c r="F427" i="10"/>
  <c r="T426" i="10"/>
  <c r="AA526" i="11"/>
  <c r="W527" i="11"/>
  <c r="F1043" i="12"/>
  <c r="F1044" i="12" s="1"/>
  <c r="F1042" i="12"/>
  <c r="K518" i="11"/>
  <c r="G519" i="11"/>
  <c r="K519" i="11" s="1"/>
  <c r="G1048" i="12"/>
  <c r="G1049" i="12"/>
  <c r="S530" i="11"/>
  <c r="S531" i="11" s="1"/>
  <c r="S532" i="11" s="1"/>
  <c r="S533" i="11" s="1"/>
  <c r="S534" i="11" s="1"/>
  <c r="W531" i="11"/>
  <c r="AA530" i="11"/>
  <c r="C423" i="10"/>
  <c r="Q422" i="10"/>
  <c r="F540" i="11"/>
  <c r="A545" i="11"/>
  <c r="AJ540" i="11"/>
  <c r="E540" i="11"/>
  <c r="AX540" i="11"/>
  <c r="AW540" i="11"/>
  <c r="AW541" i="11" s="1"/>
  <c r="AW542" i="11" s="1"/>
  <c r="AW543" i="11" s="1"/>
  <c r="AW544" i="11" s="1"/>
  <c r="AI540" i="11"/>
  <c r="AI541" i="11" s="1"/>
  <c r="AI542" i="11" s="1"/>
  <c r="AI543" i="11" s="1"/>
  <c r="AI544" i="11" s="1"/>
  <c r="V540" i="11"/>
  <c r="U540" i="11"/>
  <c r="U541" i="11" s="1"/>
  <c r="U542" i="11" s="1"/>
  <c r="U543" i="11" s="1"/>
  <c r="U544" i="11" s="1"/>
  <c r="F1058" i="12"/>
  <c r="F1059" i="12"/>
  <c r="AY535" i="11"/>
  <c r="AX536" i="11"/>
  <c r="AX537" i="11" s="1"/>
  <c r="AX538" i="11" s="1"/>
  <c r="AX539" i="11" s="1"/>
  <c r="BC526" i="11"/>
  <c r="AY527" i="11"/>
  <c r="E1051" i="12"/>
  <c r="E1050" i="12"/>
  <c r="U425" i="10"/>
  <c r="G426" i="10"/>
  <c r="AO530" i="11"/>
  <c r="AG530" i="11"/>
  <c r="AG531" i="11" s="1"/>
  <c r="AG532" i="11" s="1"/>
  <c r="AG533" i="11" s="1"/>
  <c r="AG534" i="11" s="1"/>
  <c r="AK531" i="11"/>
  <c r="AO518" i="11"/>
  <c r="AK519" i="11"/>
  <c r="AO519" i="11" s="1"/>
  <c r="T429" i="10"/>
  <c r="F430" i="10"/>
  <c r="G429" i="10"/>
  <c r="E1058" i="12"/>
  <c r="E1059" i="12"/>
  <c r="C420" i="10"/>
  <c r="Q420" i="10" s="1"/>
  <c r="Q419" i="10"/>
  <c r="W519" i="11"/>
  <c r="AA519" i="11" s="1"/>
  <c r="AA518" i="11"/>
  <c r="C427" i="10" l="1"/>
  <c r="Q426" i="10"/>
  <c r="BC531" i="11"/>
  <c r="AY532" i="11"/>
  <c r="AO523" i="11"/>
  <c r="AK524" i="11"/>
  <c r="AO524" i="11" s="1"/>
  <c r="E1052" i="12"/>
  <c r="E1053" i="12"/>
  <c r="E1054" i="12" s="1"/>
  <c r="U429" i="10"/>
  <c r="G430" i="10"/>
  <c r="BC527" i="11"/>
  <c r="AY528" i="11"/>
  <c r="AJ541" i="11"/>
  <c r="AJ542" i="11" s="1"/>
  <c r="AJ543" i="11" s="1"/>
  <c r="AJ544" i="11" s="1"/>
  <c r="AK540" i="11"/>
  <c r="T430" i="10"/>
  <c r="F431" i="10"/>
  <c r="AI545" i="11"/>
  <c r="AI546" i="11" s="1"/>
  <c r="AI547" i="11" s="1"/>
  <c r="AI548" i="11" s="1"/>
  <c r="AI549" i="11" s="1"/>
  <c r="AJ545" i="11"/>
  <c r="U545" i="11"/>
  <c r="U546" i="11" s="1"/>
  <c r="U547" i="11" s="1"/>
  <c r="U548" i="11" s="1"/>
  <c r="U549" i="11" s="1"/>
  <c r="F545" i="11"/>
  <c r="E545" i="11"/>
  <c r="AX545" i="11"/>
  <c r="AW545" i="11"/>
  <c r="AW546" i="11" s="1"/>
  <c r="AW547" i="11" s="1"/>
  <c r="AW548" i="11" s="1"/>
  <c r="AW549" i="11" s="1"/>
  <c r="A550" i="11"/>
  <c r="V545" i="11"/>
  <c r="G532" i="11"/>
  <c r="K531" i="11"/>
  <c r="G1043" i="12"/>
  <c r="G1044" i="12" s="1"/>
  <c r="G1042" i="12"/>
  <c r="AY524" i="11"/>
  <c r="BC524" i="11" s="1"/>
  <c r="BC523" i="11"/>
  <c r="G1067" i="12"/>
  <c r="G1066" i="12"/>
  <c r="J1065" i="12" s="1"/>
  <c r="AU535" i="11"/>
  <c r="AU536" i="11" s="1"/>
  <c r="AU537" i="11" s="1"/>
  <c r="AU538" i="11" s="1"/>
  <c r="AU539" i="11" s="1"/>
  <c r="AY536" i="11"/>
  <c r="BC535" i="11"/>
  <c r="T427" i="10"/>
  <c r="F428" i="10"/>
  <c r="T428" i="10" s="1"/>
  <c r="G540" i="11"/>
  <c r="F541" i="11"/>
  <c r="F542" i="11" s="1"/>
  <c r="F543" i="11" s="1"/>
  <c r="F544" i="11" s="1"/>
  <c r="AA527" i="11"/>
  <c r="W528" i="11"/>
  <c r="F1053" i="12"/>
  <c r="F1054" i="12" s="1"/>
  <c r="F1052" i="12"/>
  <c r="AO531" i="11"/>
  <c r="AK532" i="11"/>
  <c r="T433" i="10"/>
  <c r="F434" i="10"/>
  <c r="G433" i="10"/>
  <c r="V541" i="11"/>
  <c r="V542" i="11" s="1"/>
  <c r="V543" i="11" s="1"/>
  <c r="V544" i="11" s="1"/>
  <c r="W540" i="11"/>
  <c r="F1085" i="12"/>
  <c r="A1095" i="12"/>
  <c r="E1085" i="12"/>
  <c r="C430" i="10"/>
  <c r="Q429" i="10"/>
  <c r="W524" i="11"/>
  <c r="AA524" i="11" s="1"/>
  <c r="AA523" i="11"/>
  <c r="G424" i="10"/>
  <c r="U424" i="10" s="1"/>
  <c r="U423" i="10"/>
  <c r="F1060" i="12"/>
  <c r="F1061" i="12"/>
  <c r="K527" i="11"/>
  <c r="G528" i="11"/>
  <c r="AK536" i="11"/>
  <c r="AO535" i="11"/>
  <c r="AG535" i="11"/>
  <c r="AG536" i="11" s="1"/>
  <c r="AG537" i="11" s="1"/>
  <c r="AG538" i="11" s="1"/>
  <c r="AG539" i="11" s="1"/>
  <c r="E1076" i="12"/>
  <c r="E1077" i="12"/>
  <c r="C1075" i="12"/>
  <c r="C1076" i="12" s="1"/>
  <c r="C1077" i="12" s="1"/>
  <c r="C1078" i="12" s="1"/>
  <c r="C1079" i="12" s="1"/>
  <c r="C1080" i="12" s="1"/>
  <c r="C1081" i="12" s="1"/>
  <c r="C1082" i="12" s="1"/>
  <c r="C1083" i="12" s="1"/>
  <c r="C1084" i="12" s="1"/>
  <c r="F1076" i="12"/>
  <c r="G1075" i="12"/>
  <c r="F1077" i="12"/>
  <c r="U426" i="10"/>
  <c r="G427" i="10"/>
  <c r="G1051" i="12"/>
  <c r="G1050" i="12"/>
  <c r="G1058" i="12"/>
  <c r="G1059" i="12"/>
  <c r="Y427" i="10"/>
  <c r="E428" i="10"/>
  <c r="K427" i="10"/>
  <c r="S427" i="10"/>
  <c r="AY540" i="11"/>
  <c r="AX541" i="11"/>
  <c r="AX542" i="11" s="1"/>
  <c r="AX543" i="11" s="1"/>
  <c r="AX544" i="11" s="1"/>
  <c r="AK528" i="11"/>
  <c r="AO527" i="11"/>
  <c r="E1068" i="12"/>
  <c r="E1069" i="12"/>
  <c r="Y430" i="10"/>
  <c r="S430" i="10"/>
  <c r="E431" i="10"/>
  <c r="K430" i="10"/>
  <c r="K523" i="11"/>
  <c r="G524" i="11"/>
  <c r="K524" i="11" s="1"/>
  <c r="Y433" i="10"/>
  <c r="S433" i="10"/>
  <c r="K433" i="10"/>
  <c r="E434" i="10"/>
  <c r="C433" i="10"/>
  <c r="F1068" i="12"/>
  <c r="F1069" i="12"/>
  <c r="C424" i="10"/>
  <c r="Q424" i="10" s="1"/>
  <c r="Q423" i="10"/>
  <c r="F437" i="10"/>
  <c r="A441" i="10"/>
  <c r="E437" i="10"/>
  <c r="A438" i="10"/>
  <c r="A439" i="10" s="1"/>
  <c r="A440" i="10" s="1"/>
  <c r="AA531" i="11"/>
  <c r="W532" i="11"/>
  <c r="AA535" i="11"/>
  <c r="W536" i="11"/>
  <c r="S535" i="11"/>
  <c r="S536" i="11" s="1"/>
  <c r="S537" i="11" s="1"/>
  <c r="S538" i="11" s="1"/>
  <c r="S539" i="11" s="1"/>
  <c r="J1057" i="12"/>
  <c r="J1058" i="12" s="1"/>
  <c r="J1063" i="12"/>
  <c r="J1064" i="12" s="1"/>
  <c r="J1056" i="12"/>
  <c r="J1061" i="12"/>
  <c r="J1062" i="12" s="1"/>
  <c r="J1059" i="12"/>
  <c r="J1060" i="12" s="1"/>
  <c r="Y424" i="10"/>
  <c r="S424" i="10"/>
  <c r="K424" i="10"/>
  <c r="E1060" i="12"/>
  <c r="E1061" i="12"/>
  <c r="E541" i="11"/>
  <c r="E542" i="11" s="1"/>
  <c r="E543" i="11" s="1"/>
  <c r="E544" i="11" s="1"/>
  <c r="C540" i="11"/>
  <c r="C541" i="11" s="1"/>
  <c r="C542" i="11" s="1"/>
  <c r="C543" i="11" s="1"/>
  <c r="C544" i="11" s="1"/>
  <c r="K535" i="11"/>
  <c r="G536" i="11"/>
  <c r="E546" i="11" l="1"/>
  <c r="E547" i="11" s="1"/>
  <c r="E548" i="11" s="1"/>
  <c r="E549" i="11" s="1"/>
  <c r="Y431" i="10"/>
  <c r="S431" i="10"/>
  <c r="K431" i="10"/>
  <c r="E432" i="10"/>
  <c r="F1070" i="12"/>
  <c r="F1071" i="12"/>
  <c r="E1070" i="12"/>
  <c r="E1071" i="12"/>
  <c r="AY541" i="11"/>
  <c r="BC540" i="11"/>
  <c r="AU540" i="11"/>
  <c r="AU541" i="11" s="1"/>
  <c r="AU542" i="11" s="1"/>
  <c r="AU543" i="11" s="1"/>
  <c r="AU544" i="11" s="1"/>
  <c r="G1077" i="12"/>
  <c r="G1076" i="12"/>
  <c r="J1075" i="12" s="1"/>
  <c r="T434" i="10"/>
  <c r="F435" i="10"/>
  <c r="A555" i="11"/>
  <c r="AX550" i="11"/>
  <c r="E550" i="11"/>
  <c r="AJ550" i="11"/>
  <c r="AI550" i="11"/>
  <c r="AI551" i="11" s="1"/>
  <c r="AI552" i="11" s="1"/>
  <c r="AI553" i="11" s="1"/>
  <c r="AI554" i="11" s="1"/>
  <c r="V550" i="11"/>
  <c r="U550" i="11"/>
  <c r="U551" i="11" s="1"/>
  <c r="U552" i="11" s="1"/>
  <c r="U553" i="11" s="1"/>
  <c r="U554" i="11" s="1"/>
  <c r="F550" i="11"/>
  <c r="AW550" i="11"/>
  <c r="AW551" i="11" s="1"/>
  <c r="AW552" i="11" s="1"/>
  <c r="AW553" i="11" s="1"/>
  <c r="AW554" i="11" s="1"/>
  <c r="BC528" i="11"/>
  <c r="AY529" i="11"/>
  <c r="BC529" i="11" s="1"/>
  <c r="F441" i="10"/>
  <c r="A445" i="10"/>
  <c r="E441" i="10"/>
  <c r="A442" i="10"/>
  <c r="A443" i="10" s="1"/>
  <c r="A444" i="10" s="1"/>
  <c r="U430" i="10"/>
  <c r="G431" i="10"/>
  <c r="T437" i="10"/>
  <c r="G437" i="10"/>
  <c r="F438" i="10"/>
  <c r="Y428" i="10"/>
  <c r="S428" i="10"/>
  <c r="K428" i="10"/>
  <c r="E1079" i="12"/>
  <c r="E1078" i="12"/>
  <c r="C431" i="10"/>
  <c r="Q430" i="10"/>
  <c r="S437" i="10"/>
  <c r="K437" i="10"/>
  <c r="Y437" i="10"/>
  <c r="E438" i="10"/>
  <c r="C437" i="10"/>
  <c r="AY537" i="11"/>
  <c r="BC536" i="11"/>
  <c r="AY545" i="11"/>
  <c r="AX546" i="11"/>
  <c r="AX547" i="11" s="1"/>
  <c r="AX548" i="11" s="1"/>
  <c r="AX549" i="11" s="1"/>
  <c r="K536" i="11"/>
  <c r="G537" i="11"/>
  <c r="E1087" i="12"/>
  <c r="E1086" i="12"/>
  <c r="C1085" i="12" s="1"/>
  <c r="C1086" i="12" s="1"/>
  <c r="C1087" i="12" s="1"/>
  <c r="C1088" i="12" s="1"/>
  <c r="C1089" i="12" s="1"/>
  <c r="C1090" i="12" s="1"/>
  <c r="C1091" i="12" s="1"/>
  <c r="C1092" i="12" s="1"/>
  <c r="C1093" i="12" s="1"/>
  <c r="C1094" i="12" s="1"/>
  <c r="W529" i="11"/>
  <c r="AA529" i="11" s="1"/>
  <c r="AA528" i="11"/>
  <c r="AK545" i="11"/>
  <c r="AJ546" i="11"/>
  <c r="AJ547" i="11" s="1"/>
  <c r="AJ548" i="11" s="1"/>
  <c r="AJ549" i="11" s="1"/>
  <c r="Q433" i="10"/>
  <c r="C434" i="10"/>
  <c r="G1052" i="12"/>
  <c r="G1053" i="12"/>
  <c r="G1054" i="12" s="1"/>
  <c r="K528" i="11"/>
  <c r="G529" i="11"/>
  <c r="K529" i="11" s="1"/>
  <c r="G1085" i="12"/>
  <c r="F1087" i="12"/>
  <c r="F1086" i="12"/>
  <c r="T431" i="10"/>
  <c r="F432" i="10"/>
  <c r="T432" i="10" s="1"/>
  <c r="AY533" i="11"/>
  <c r="BC532" i="11"/>
  <c r="J1071" i="12"/>
  <c r="J1072" i="12" s="1"/>
  <c r="J1067" i="12"/>
  <c r="J1068" i="12" s="1"/>
  <c r="J1066" i="12"/>
  <c r="J1073" i="12"/>
  <c r="J1074" i="12" s="1"/>
  <c r="J1069" i="12"/>
  <c r="J1070" i="12" s="1"/>
  <c r="G1069" i="12"/>
  <c r="G1068" i="12"/>
  <c r="G1060" i="12"/>
  <c r="G1061" i="12"/>
  <c r="U427" i="10"/>
  <c r="G428" i="10"/>
  <c r="U428" i="10" s="1"/>
  <c r="F546" i="11"/>
  <c r="F547" i="11" s="1"/>
  <c r="F548" i="11" s="1"/>
  <c r="F549" i="11" s="1"/>
  <c r="G545" i="11"/>
  <c r="W537" i="11"/>
  <c r="AA536" i="11"/>
  <c r="E1062" i="12"/>
  <c r="E1063" i="12"/>
  <c r="E1064" i="12" s="1"/>
  <c r="S434" i="10"/>
  <c r="K434" i="10"/>
  <c r="Y434" i="10"/>
  <c r="E435" i="10"/>
  <c r="W541" i="11"/>
  <c r="S540" i="11"/>
  <c r="S541" i="11" s="1"/>
  <c r="S542" i="11" s="1"/>
  <c r="S543" i="11" s="1"/>
  <c r="S544" i="11" s="1"/>
  <c r="AA540" i="11"/>
  <c r="G541" i="11"/>
  <c r="K540" i="11"/>
  <c r="AA532" i="11"/>
  <c r="W533" i="11"/>
  <c r="AO528" i="11"/>
  <c r="AK529" i="11"/>
  <c r="AO529" i="11" s="1"/>
  <c r="F1063" i="12"/>
  <c r="F1064" i="12" s="1"/>
  <c r="F1062" i="12"/>
  <c r="G533" i="11"/>
  <c r="K532" i="11"/>
  <c r="AG540" i="11"/>
  <c r="AG541" i="11" s="1"/>
  <c r="AG542" i="11" s="1"/>
  <c r="AG543" i="11" s="1"/>
  <c r="AG544" i="11" s="1"/>
  <c r="AO540" i="11"/>
  <c r="AK541" i="11"/>
  <c r="AK533" i="11"/>
  <c r="AO532" i="11"/>
  <c r="AK537" i="11"/>
  <c r="AO536" i="11"/>
  <c r="A1105" i="12"/>
  <c r="F1095" i="12"/>
  <c r="E1095" i="12"/>
  <c r="F1078" i="12"/>
  <c r="F1079" i="12"/>
  <c r="U433" i="10"/>
  <c r="G434" i="10"/>
  <c r="V546" i="11"/>
  <c r="V547" i="11" s="1"/>
  <c r="V548" i="11" s="1"/>
  <c r="V549" i="11" s="1"/>
  <c r="W545" i="11"/>
  <c r="C428" i="10"/>
  <c r="Q428" i="10" s="1"/>
  <c r="Q427" i="10"/>
  <c r="AK538" i="11" l="1"/>
  <c r="AO537" i="11"/>
  <c r="AA533" i="11"/>
  <c r="W534" i="11"/>
  <c r="AA534" i="11" s="1"/>
  <c r="F445" i="10"/>
  <c r="A449" i="10"/>
  <c r="E445" i="10"/>
  <c r="A446" i="10"/>
  <c r="A447" i="10" s="1"/>
  <c r="A448" i="10" s="1"/>
  <c r="S432" i="10"/>
  <c r="K432" i="10"/>
  <c r="Y432" i="10"/>
  <c r="AA545" i="11"/>
  <c r="S545" i="11"/>
  <c r="S546" i="11" s="1"/>
  <c r="S547" i="11" s="1"/>
  <c r="S548" i="11" s="1"/>
  <c r="S549" i="11" s="1"/>
  <c r="W546" i="11"/>
  <c r="AO533" i="11"/>
  <c r="AK534" i="11"/>
  <c r="AO534" i="11" s="1"/>
  <c r="T435" i="10"/>
  <c r="F436" i="10"/>
  <c r="T436" i="10" s="1"/>
  <c r="W542" i="11"/>
  <c r="AA541" i="11"/>
  <c r="AG545" i="11"/>
  <c r="AG546" i="11" s="1"/>
  <c r="AG547" i="11" s="1"/>
  <c r="AG548" i="11" s="1"/>
  <c r="AG549" i="11" s="1"/>
  <c r="AK546" i="11"/>
  <c r="AO545" i="11"/>
  <c r="K533" i="11"/>
  <c r="G534" i="11"/>
  <c r="K534" i="11" s="1"/>
  <c r="S435" i="10"/>
  <c r="K435" i="10"/>
  <c r="Y435" i="10"/>
  <c r="E436" i="10"/>
  <c r="G1062" i="12"/>
  <c r="G1063" i="12"/>
  <c r="G1064" i="12" s="1"/>
  <c r="S438" i="10"/>
  <c r="K438" i="10"/>
  <c r="Y438" i="10"/>
  <c r="E439" i="10"/>
  <c r="G438" i="10"/>
  <c r="U437" i="10"/>
  <c r="E1096" i="12"/>
  <c r="E1097" i="12"/>
  <c r="W550" i="11"/>
  <c r="V551" i="11"/>
  <c r="V552" i="11" s="1"/>
  <c r="V553" i="11" s="1"/>
  <c r="V554" i="11" s="1"/>
  <c r="AY542" i="11"/>
  <c r="BC541" i="11"/>
  <c r="G441" i="10"/>
  <c r="F442" i="10"/>
  <c r="T441" i="10"/>
  <c r="AO541" i="11"/>
  <c r="AK542" i="11"/>
  <c r="K541" i="11"/>
  <c r="G542" i="11"/>
  <c r="G546" i="11"/>
  <c r="K545" i="11"/>
  <c r="Q434" i="10"/>
  <c r="C435" i="10"/>
  <c r="BC545" i="11"/>
  <c r="AY546" i="11"/>
  <c r="AU545" i="11"/>
  <c r="AU546" i="11" s="1"/>
  <c r="AU547" i="11" s="1"/>
  <c r="AU548" i="11" s="1"/>
  <c r="AU549" i="11" s="1"/>
  <c r="Q431" i="10"/>
  <c r="C432" i="10"/>
  <c r="Q432" i="10" s="1"/>
  <c r="AX551" i="11"/>
  <c r="AX552" i="11" s="1"/>
  <c r="AX553" i="11" s="1"/>
  <c r="AX554" i="11" s="1"/>
  <c r="AY550" i="11"/>
  <c r="J1076" i="12"/>
  <c r="J1081" i="12"/>
  <c r="J1082" i="12" s="1"/>
  <c r="J1083" i="12"/>
  <c r="J1084" i="12" s="1"/>
  <c r="J1077" i="12"/>
  <c r="J1078" i="12" s="1"/>
  <c r="J1079" i="12"/>
  <c r="J1080" i="12" s="1"/>
  <c r="U431" i="10"/>
  <c r="G432" i="10"/>
  <c r="U432" i="10" s="1"/>
  <c r="E1073" i="12"/>
  <c r="E1074" i="12" s="1"/>
  <c r="E1072" i="12"/>
  <c r="F1105" i="12"/>
  <c r="E1105" i="12"/>
  <c r="A1115" i="12"/>
  <c r="G1070" i="12"/>
  <c r="G1071" i="12"/>
  <c r="G1087" i="12"/>
  <c r="G1086" i="12"/>
  <c r="J1085" i="12" s="1"/>
  <c r="AK550" i="11"/>
  <c r="AJ551" i="11"/>
  <c r="AJ552" i="11" s="1"/>
  <c r="AJ553" i="11" s="1"/>
  <c r="AJ554" i="11" s="1"/>
  <c r="C550" i="11"/>
  <c r="C551" i="11" s="1"/>
  <c r="C552" i="11" s="1"/>
  <c r="C553" i="11" s="1"/>
  <c r="C554" i="11" s="1"/>
  <c r="E551" i="11"/>
  <c r="E552" i="11" s="1"/>
  <c r="E553" i="11" s="1"/>
  <c r="E554" i="11" s="1"/>
  <c r="K441" i="10"/>
  <c r="E442" i="10"/>
  <c r="C441" i="10"/>
  <c r="S441" i="10"/>
  <c r="Y441" i="10"/>
  <c r="W538" i="11"/>
  <c r="AA537" i="11"/>
  <c r="E1080" i="12"/>
  <c r="E1081" i="12"/>
  <c r="U434" i="10"/>
  <c r="G435" i="10"/>
  <c r="AY534" i="11"/>
  <c r="BC534" i="11" s="1"/>
  <c r="BC533" i="11"/>
  <c r="BC537" i="11"/>
  <c r="AY538" i="11"/>
  <c r="G1078" i="12"/>
  <c r="G1079" i="12"/>
  <c r="F1096" i="12"/>
  <c r="C1095" i="12" s="1"/>
  <c r="C1096" i="12" s="1"/>
  <c r="C1097" i="12" s="1"/>
  <c r="C1098" i="12" s="1"/>
  <c r="C1099" i="12" s="1"/>
  <c r="C1100" i="12" s="1"/>
  <c r="C1101" i="12" s="1"/>
  <c r="C1102" i="12" s="1"/>
  <c r="C1103" i="12" s="1"/>
  <c r="C1104" i="12" s="1"/>
  <c r="G1095" i="12"/>
  <c r="F1097" i="12"/>
  <c r="F1089" i="12"/>
  <c r="F1088" i="12"/>
  <c r="E1089" i="12"/>
  <c r="E1088" i="12"/>
  <c r="F1072" i="12"/>
  <c r="F1073" i="12"/>
  <c r="F1074" i="12" s="1"/>
  <c r="G538" i="11"/>
  <c r="K537" i="11"/>
  <c r="V555" i="11"/>
  <c r="U555" i="11"/>
  <c r="U556" i="11" s="1"/>
  <c r="U557" i="11" s="1"/>
  <c r="U558" i="11" s="1"/>
  <c r="U559" i="11" s="1"/>
  <c r="A560" i="11"/>
  <c r="AJ555" i="11"/>
  <c r="AI555" i="11"/>
  <c r="AI556" i="11" s="1"/>
  <c r="AI557" i="11" s="1"/>
  <c r="AI558" i="11" s="1"/>
  <c r="AI559" i="11" s="1"/>
  <c r="F555" i="11"/>
  <c r="E555" i="11"/>
  <c r="AX555" i="11"/>
  <c r="AW555" i="11"/>
  <c r="AW556" i="11" s="1"/>
  <c r="AW557" i="11" s="1"/>
  <c r="AW558" i="11" s="1"/>
  <c r="AW559" i="11" s="1"/>
  <c r="F1081" i="12"/>
  <c r="F1080" i="12"/>
  <c r="Q437" i="10"/>
  <c r="C438" i="10"/>
  <c r="T438" i="10"/>
  <c r="F439" i="10"/>
  <c r="G550" i="11"/>
  <c r="F551" i="11"/>
  <c r="F552" i="11" s="1"/>
  <c r="F553" i="11" s="1"/>
  <c r="F554" i="11" s="1"/>
  <c r="C545" i="11"/>
  <c r="C546" i="11" s="1"/>
  <c r="C547" i="11" s="1"/>
  <c r="C548" i="11" s="1"/>
  <c r="C549" i="11" s="1"/>
  <c r="J1089" i="12" l="1"/>
  <c r="J1090" i="12" s="1"/>
  <c r="J1093" i="12"/>
  <c r="J1094" i="12" s="1"/>
  <c r="J1087" i="12"/>
  <c r="J1088" i="12" s="1"/>
  <c r="J1091" i="12"/>
  <c r="J1092" i="12" s="1"/>
  <c r="J1086" i="12"/>
  <c r="K442" i="10"/>
  <c r="E443" i="10"/>
  <c r="S442" i="10"/>
  <c r="Y442" i="10"/>
  <c r="F1107" i="12"/>
  <c r="F1106" i="12"/>
  <c r="G1105" i="12"/>
  <c r="G439" i="10"/>
  <c r="U438" i="10"/>
  <c r="AY555" i="11"/>
  <c r="AX556" i="11"/>
  <c r="AX557" i="11" s="1"/>
  <c r="AX558" i="11" s="1"/>
  <c r="AX559" i="11" s="1"/>
  <c r="F443" i="10"/>
  <c r="T442" i="10"/>
  <c r="AO546" i="11"/>
  <c r="AK547" i="11"/>
  <c r="C555" i="11"/>
  <c r="C556" i="11" s="1"/>
  <c r="C557" i="11" s="1"/>
  <c r="C558" i="11" s="1"/>
  <c r="C559" i="11" s="1"/>
  <c r="E556" i="11"/>
  <c r="E557" i="11" s="1"/>
  <c r="E558" i="11" s="1"/>
  <c r="E559" i="11" s="1"/>
  <c r="E1090" i="12"/>
  <c r="E1091" i="12"/>
  <c r="BC546" i="11"/>
  <c r="AY547" i="11"/>
  <c r="AO550" i="11"/>
  <c r="AG550" i="11"/>
  <c r="AG551" i="11" s="1"/>
  <c r="AG552" i="11" s="1"/>
  <c r="AG553" i="11" s="1"/>
  <c r="AG554" i="11" s="1"/>
  <c r="AK551" i="11"/>
  <c r="E446" i="10"/>
  <c r="C445" i="10"/>
  <c r="K445" i="10"/>
  <c r="Y445" i="10"/>
  <c r="S445" i="10"/>
  <c r="F1099" i="12"/>
  <c r="F1098" i="12"/>
  <c r="F1082" i="12"/>
  <c r="F1083" i="12"/>
  <c r="F1084" i="12" s="1"/>
  <c r="S439" i="10"/>
  <c r="K439" i="10"/>
  <c r="E440" i="10"/>
  <c r="Y439" i="10"/>
  <c r="F1091" i="12"/>
  <c r="F1090" i="12"/>
  <c r="Q435" i="10"/>
  <c r="C436" i="10"/>
  <c r="Q436" i="10" s="1"/>
  <c r="AA542" i="11"/>
  <c r="W543" i="11"/>
  <c r="K550" i="11"/>
  <c r="G551" i="11"/>
  <c r="F440" i="10"/>
  <c r="T440" i="10" s="1"/>
  <c r="T439" i="10"/>
  <c r="AX560" i="11"/>
  <c r="AW560" i="11"/>
  <c r="AW561" i="11" s="1"/>
  <c r="AW562" i="11" s="1"/>
  <c r="AW563" i="11" s="1"/>
  <c r="AW564" i="11" s="1"/>
  <c r="A565" i="11"/>
  <c r="AJ560" i="11"/>
  <c r="E560" i="11"/>
  <c r="AI560" i="11"/>
  <c r="AI561" i="11" s="1"/>
  <c r="AI562" i="11" s="1"/>
  <c r="AI563" i="11" s="1"/>
  <c r="AI564" i="11" s="1"/>
  <c r="V560" i="11"/>
  <c r="U560" i="11"/>
  <c r="U561" i="11" s="1"/>
  <c r="U562" i="11" s="1"/>
  <c r="U563" i="11" s="1"/>
  <c r="U564" i="11" s="1"/>
  <c r="F560" i="11"/>
  <c r="AA538" i="11"/>
  <c r="W539" i="11"/>
  <c r="AA539" i="11" s="1"/>
  <c r="G1073" i="12"/>
  <c r="G1074" i="12" s="1"/>
  <c r="G1072" i="12"/>
  <c r="G547" i="11"/>
  <c r="K546" i="11"/>
  <c r="U435" i="10"/>
  <c r="G436" i="10"/>
  <c r="U436" i="10" s="1"/>
  <c r="E1083" i="12"/>
  <c r="E1084" i="12" s="1"/>
  <c r="E1082" i="12"/>
  <c r="V556" i="11"/>
  <c r="V557" i="11" s="1"/>
  <c r="V558" i="11" s="1"/>
  <c r="V559" i="11" s="1"/>
  <c r="W555" i="11"/>
  <c r="G1080" i="12"/>
  <c r="G1081" i="12"/>
  <c r="F556" i="11"/>
  <c r="F557" i="11" s="1"/>
  <c r="F558" i="11" s="1"/>
  <c r="F559" i="11" s="1"/>
  <c r="G555" i="11"/>
  <c r="G1088" i="12"/>
  <c r="G1089" i="12"/>
  <c r="AA550" i="11"/>
  <c r="S550" i="11"/>
  <c r="S551" i="11" s="1"/>
  <c r="S552" i="11" s="1"/>
  <c r="S553" i="11" s="1"/>
  <c r="S554" i="11" s="1"/>
  <c r="W551" i="11"/>
  <c r="S436" i="10"/>
  <c r="K436" i="10"/>
  <c r="Y436" i="10"/>
  <c r="K542" i="11"/>
  <c r="G543" i="11"/>
  <c r="E1098" i="12"/>
  <c r="E1099" i="12"/>
  <c r="F1115" i="12"/>
  <c r="E1115" i="12"/>
  <c r="A1125" i="12"/>
  <c r="AY551" i="11"/>
  <c r="BC550" i="11"/>
  <c r="AU550" i="11"/>
  <c r="AU551" i="11" s="1"/>
  <c r="AU552" i="11" s="1"/>
  <c r="AU553" i="11" s="1"/>
  <c r="AU554" i="11" s="1"/>
  <c r="W547" i="11"/>
  <c r="AA546" i="11"/>
  <c r="G442" i="10"/>
  <c r="U441" i="10"/>
  <c r="BC542" i="11"/>
  <c r="AY543" i="11"/>
  <c r="AK555" i="11"/>
  <c r="AJ556" i="11"/>
  <c r="AJ557" i="11" s="1"/>
  <c r="AJ558" i="11" s="1"/>
  <c r="AJ559" i="11" s="1"/>
  <c r="A453" i="10"/>
  <c r="E449" i="10"/>
  <c r="A450" i="10"/>
  <c r="A451" i="10" s="1"/>
  <c r="A452" i="10" s="1"/>
  <c r="F449" i="10"/>
  <c r="G1096" i="12"/>
  <c r="J1095" i="12" s="1"/>
  <c r="G1097" i="12"/>
  <c r="G445" i="10"/>
  <c r="F446" i="10"/>
  <c r="T445" i="10"/>
  <c r="Q438" i="10"/>
  <c r="C439" i="10"/>
  <c r="G539" i="11"/>
  <c r="K539" i="11" s="1"/>
  <c r="K538" i="11"/>
  <c r="BC538" i="11"/>
  <c r="AY539" i="11"/>
  <c r="BC539" i="11" s="1"/>
  <c r="Q441" i="10"/>
  <c r="C442" i="10"/>
  <c r="E1107" i="12"/>
  <c r="C1105" i="12"/>
  <c r="C1106" i="12" s="1"/>
  <c r="C1107" i="12" s="1"/>
  <c r="C1108" i="12" s="1"/>
  <c r="C1109" i="12" s="1"/>
  <c r="C1110" i="12" s="1"/>
  <c r="C1111" i="12" s="1"/>
  <c r="C1112" i="12" s="1"/>
  <c r="C1113" i="12" s="1"/>
  <c r="C1114" i="12" s="1"/>
  <c r="E1106" i="12"/>
  <c r="AO542" i="11"/>
  <c r="AK543" i="11"/>
  <c r="AK539" i="11"/>
  <c r="AO539" i="11" s="1"/>
  <c r="AO538" i="11"/>
  <c r="AA551" i="11" l="1"/>
  <c r="W552" i="11"/>
  <c r="F1109" i="12"/>
  <c r="F1108" i="12"/>
  <c r="J1099" i="12"/>
  <c r="J1100" i="12" s="1"/>
  <c r="J1096" i="12"/>
  <c r="J1101" i="12"/>
  <c r="J1102" i="12" s="1"/>
  <c r="J1103" i="12"/>
  <c r="J1104" i="12" s="1"/>
  <c r="J1097" i="12"/>
  <c r="J1098" i="12" s="1"/>
  <c r="AA547" i="11"/>
  <c r="W548" i="11"/>
  <c r="AA543" i="11"/>
  <c r="W544" i="11"/>
  <c r="AA544" i="11" s="1"/>
  <c r="E1093" i="12"/>
  <c r="E1094" i="12" s="1"/>
  <c r="E1092" i="12"/>
  <c r="G1106" i="12"/>
  <c r="J1105" i="12" s="1"/>
  <c r="G1107" i="12"/>
  <c r="F1093" i="12"/>
  <c r="F1094" i="12" s="1"/>
  <c r="F1092" i="12"/>
  <c r="E1109" i="12"/>
  <c r="E1108" i="12"/>
  <c r="G1098" i="12"/>
  <c r="G1099" i="12"/>
  <c r="W556" i="11"/>
  <c r="AA555" i="11"/>
  <c r="S555" i="11"/>
  <c r="S556" i="11" s="1"/>
  <c r="S557" i="11" s="1"/>
  <c r="S558" i="11" s="1"/>
  <c r="S559" i="11" s="1"/>
  <c r="Q442" i="10"/>
  <c r="C443" i="10"/>
  <c r="F450" i="10"/>
  <c r="G449" i="10"/>
  <c r="T449" i="10"/>
  <c r="V561" i="11"/>
  <c r="V562" i="11" s="1"/>
  <c r="V563" i="11" s="1"/>
  <c r="V564" i="11" s="1"/>
  <c r="W560" i="11"/>
  <c r="F1100" i="12"/>
  <c r="F1101" i="12"/>
  <c r="A1135" i="12"/>
  <c r="F1125" i="12"/>
  <c r="E1125" i="12"/>
  <c r="AK560" i="11"/>
  <c r="AJ561" i="11"/>
  <c r="AJ562" i="11" s="1"/>
  <c r="AJ563" i="11" s="1"/>
  <c r="AJ564" i="11" s="1"/>
  <c r="F1116" i="12"/>
  <c r="F1117" i="12"/>
  <c r="G1115" i="12"/>
  <c r="E447" i="10"/>
  <c r="Y446" i="10"/>
  <c r="K446" i="10"/>
  <c r="S446" i="10"/>
  <c r="AO543" i="11"/>
  <c r="AK544" i="11"/>
  <c r="AO544" i="11" s="1"/>
  <c r="BC543" i="11"/>
  <c r="AY544" i="11"/>
  <c r="BC544" i="11" s="1"/>
  <c r="E1100" i="12"/>
  <c r="E1101" i="12"/>
  <c r="G556" i="11"/>
  <c r="K555" i="11"/>
  <c r="AX561" i="11"/>
  <c r="AX562" i="11" s="1"/>
  <c r="AX563" i="11" s="1"/>
  <c r="AX564" i="11" s="1"/>
  <c r="AY560" i="11"/>
  <c r="K440" i="10"/>
  <c r="S440" i="10"/>
  <c r="Y440" i="10"/>
  <c r="AO551" i="11"/>
  <c r="AK552" i="11"/>
  <c r="F444" i="10"/>
  <c r="T444" i="10" s="1"/>
  <c r="T443" i="10"/>
  <c r="A454" i="10"/>
  <c r="A455" i="10" s="1"/>
  <c r="A456" i="10" s="1"/>
  <c r="A457" i="10"/>
  <c r="E453" i="10"/>
  <c r="F453" i="10"/>
  <c r="Q439" i="10"/>
  <c r="C440" i="10"/>
  <c r="Q440" i="10" s="1"/>
  <c r="AK556" i="11"/>
  <c r="AO555" i="11"/>
  <c r="AG555" i="11"/>
  <c r="AG556" i="11" s="1"/>
  <c r="AG557" i="11" s="1"/>
  <c r="AG558" i="11" s="1"/>
  <c r="AG559" i="11" s="1"/>
  <c r="G548" i="11"/>
  <c r="K547" i="11"/>
  <c r="E450" i="10"/>
  <c r="C449" i="10"/>
  <c r="Y449" i="10"/>
  <c r="K449" i="10"/>
  <c r="S449" i="10"/>
  <c r="BC551" i="11"/>
  <c r="AY552" i="11"/>
  <c r="C560" i="11"/>
  <c r="C561" i="11" s="1"/>
  <c r="C562" i="11" s="1"/>
  <c r="C563" i="11" s="1"/>
  <c r="C564" i="11" s="1"/>
  <c r="E561" i="11"/>
  <c r="E562" i="11" s="1"/>
  <c r="E563" i="11" s="1"/>
  <c r="E564" i="11" s="1"/>
  <c r="C446" i="10"/>
  <c r="Q445" i="10"/>
  <c r="K443" i="10"/>
  <c r="E444" i="10"/>
  <c r="S443" i="10"/>
  <c r="Y443" i="10"/>
  <c r="F447" i="10"/>
  <c r="T446" i="10"/>
  <c r="G544" i="11"/>
  <c r="K544" i="11" s="1"/>
  <c r="K543" i="11"/>
  <c r="G1083" i="12"/>
  <c r="G1084" i="12" s="1"/>
  <c r="G1082" i="12"/>
  <c r="BC555" i="11"/>
  <c r="AU555" i="11"/>
  <c r="AU556" i="11" s="1"/>
  <c r="AU557" i="11" s="1"/>
  <c r="AU558" i="11" s="1"/>
  <c r="AU559" i="11" s="1"/>
  <c r="AY556" i="11"/>
  <c r="G446" i="10"/>
  <c r="U445" i="10"/>
  <c r="G443" i="10"/>
  <c r="U442" i="10"/>
  <c r="K551" i="11"/>
  <c r="G552" i="11"/>
  <c r="AY548" i="11"/>
  <c r="BC547" i="11"/>
  <c r="AK548" i="11"/>
  <c r="AO547" i="11"/>
  <c r="E1116" i="12"/>
  <c r="C1115" i="12" s="1"/>
  <c r="C1116" i="12" s="1"/>
  <c r="C1117" i="12" s="1"/>
  <c r="C1118" i="12" s="1"/>
  <c r="C1119" i="12" s="1"/>
  <c r="C1120" i="12" s="1"/>
  <c r="C1121" i="12" s="1"/>
  <c r="C1122" i="12" s="1"/>
  <c r="C1123" i="12" s="1"/>
  <c r="C1124" i="12" s="1"/>
  <c r="E1117" i="12"/>
  <c r="G1091" i="12"/>
  <c r="G1090" i="12"/>
  <c r="A570" i="11"/>
  <c r="V565" i="11"/>
  <c r="U565" i="11"/>
  <c r="U566" i="11" s="1"/>
  <c r="U567" i="11" s="1"/>
  <c r="U568" i="11" s="1"/>
  <c r="U569" i="11" s="1"/>
  <c r="F565" i="11"/>
  <c r="AJ565" i="11"/>
  <c r="AI565" i="11"/>
  <c r="AI566" i="11" s="1"/>
  <c r="AI567" i="11" s="1"/>
  <c r="AI568" i="11" s="1"/>
  <c r="AI569" i="11" s="1"/>
  <c r="AX565" i="11"/>
  <c r="AW565" i="11"/>
  <c r="AW566" i="11" s="1"/>
  <c r="AW567" i="11" s="1"/>
  <c r="AW568" i="11" s="1"/>
  <c r="AW569" i="11" s="1"/>
  <c r="E565" i="11"/>
  <c r="F561" i="11"/>
  <c r="F562" i="11" s="1"/>
  <c r="F563" i="11" s="1"/>
  <c r="F564" i="11" s="1"/>
  <c r="G560" i="11"/>
  <c r="G440" i="10"/>
  <c r="U440" i="10" s="1"/>
  <c r="U439" i="10"/>
  <c r="C447" i="10" l="1"/>
  <c r="Q446" i="10"/>
  <c r="AO548" i="11"/>
  <c r="AK549" i="11"/>
  <c r="AO549" i="11" s="1"/>
  <c r="F1135" i="12"/>
  <c r="E1135" i="12"/>
  <c r="A1145" i="12"/>
  <c r="W557" i="11"/>
  <c r="AA556" i="11"/>
  <c r="AU560" i="11"/>
  <c r="AU561" i="11" s="1"/>
  <c r="AU562" i="11" s="1"/>
  <c r="AU563" i="11" s="1"/>
  <c r="AU564" i="11" s="1"/>
  <c r="AY561" i="11"/>
  <c r="BC560" i="11"/>
  <c r="AY565" i="11"/>
  <c r="AX566" i="11"/>
  <c r="AX567" i="11" s="1"/>
  <c r="AX568" i="11" s="1"/>
  <c r="AX569" i="11" s="1"/>
  <c r="AJ566" i="11"/>
  <c r="AJ567" i="11" s="1"/>
  <c r="AJ568" i="11" s="1"/>
  <c r="AJ569" i="11" s="1"/>
  <c r="AK565" i="11"/>
  <c r="AK557" i="11"/>
  <c r="AO556" i="11"/>
  <c r="F1102" i="12"/>
  <c r="F1103" i="12"/>
  <c r="F1104" i="12" s="1"/>
  <c r="G1101" i="12"/>
  <c r="G1100" i="12"/>
  <c r="W549" i="11"/>
  <c r="AA549" i="11" s="1"/>
  <c r="AA548" i="11"/>
  <c r="W565" i="11"/>
  <c r="V566" i="11"/>
  <c r="V567" i="11" s="1"/>
  <c r="V568" i="11" s="1"/>
  <c r="V569" i="11" s="1"/>
  <c r="K556" i="11"/>
  <c r="G557" i="11"/>
  <c r="F1118" i="12"/>
  <c r="F1119" i="12"/>
  <c r="U449" i="10"/>
  <c r="G450" i="10"/>
  <c r="G561" i="11"/>
  <c r="K560" i="11"/>
  <c r="C450" i="10"/>
  <c r="Q449" i="10"/>
  <c r="E1102" i="12"/>
  <c r="E1103" i="12"/>
  <c r="E1104" i="12" s="1"/>
  <c r="F451" i="10"/>
  <c r="T450" i="10"/>
  <c r="G1109" i="12"/>
  <c r="G1108" i="12"/>
  <c r="BC548" i="11"/>
  <c r="AY549" i="11"/>
  <c r="BC549" i="11" s="1"/>
  <c r="T453" i="10"/>
  <c r="F454" i="10"/>
  <c r="G453" i="10"/>
  <c r="E448" i="10"/>
  <c r="Y447" i="10"/>
  <c r="K447" i="10"/>
  <c r="S447" i="10"/>
  <c r="F570" i="11"/>
  <c r="A575" i="11"/>
  <c r="AJ570" i="11"/>
  <c r="E570" i="11"/>
  <c r="AW570" i="11"/>
  <c r="AW571" i="11" s="1"/>
  <c r="AW572" i="11" s="1"/>
  <c r="AW573" i="11" s="1"/>
  <c r="AW574" i="11" s="1"/>
  <c r="AI570" i="11"/>
  <c r="AI571" i="11" s="1"/>
  <c r="AI572" i="11" s="1"/>
  <c r="AI573" i="11" s="1"/>
  <c r="AI574" i="11" s="1"/>
  <c r="V570" i="11"/>
  <c r="U570" i="11"/>
  <c r="U571" i="11" s="1"/>
  <c r="U572" i="11" s="1"/>
  <c r="U573" i="11" s="1"/>
  <c r="U574" i="11" s="1"/>
  <c r="AX570" i="11"/>
  <c r="Y453" i="10"/>
  <c r="S453" i="10"/>
  <c r="E454" i="10"/>
  <c r="C453" i="10"/>
  <c r="K453" i="10"/>
  <c r="G1116" i="12"/>
  <c r="J1115" i="12" s="1"/>
  <c r="G1117" i="12"/>
  <c r="G444" i="10"/>
  <c r="U444" i="10" s="1"/>
  <c r="U443" i="10"/>
  <c r="A458" i="10"/>
  <c r="A459" i="10" s="1"/>
  <c r="A460" i="10" s="1"/>
  <c r="E457" i="10"/>
  <c r="A461" i="10"/>
  <c r="F457" i="10"/>
  <c r="G1093" i="12"/>
  <c r="G1094" i="12" s="1"/>
  <c r="G1092" i="12"/>
  <c r="G447" i="10"/>
  <c r="U446" i="10"/>
  <c r="Y444" i="10"/>
  <c r="K444" i="10"/>
  <c r="S444" i="10"/>
  <c r="E451" i="10"/>
  <c r="Y450" i="10"/>
  <c r="S450" i="10"/>
  <c r="K450" i="10"/>
  <c r="C444" i="10"/>
  <c r="Q444" i="10" s="1"/>
  <c r="Q443" i="10"/>
  <c r="J1113" i="12"/>
  <c r="J1114" i="12" s="1"/>
  <c r="J1109" i="12"/>
  <c r="J1110" i="12" s="1"/>
  <c r="J1111" i="12"/>
  <c r="J1112" i="12" s="1"/>
  <c r="J1106" i="12"/>
  <c r="J1107" i="12"/>
  <c r="J1108" i="12" s="1"/>
  <c r="G565" i="11"/>
  <c r="F566" i="11"/>
  <c r="F567" i="11" s="1"/>
  <c r="F568" i="11" s="1"/>
  <c r="F569" i="11" s="1"/>
  <c r="E566" i="11"/>
  <c r="E567" i="11" s="1"/>
  <c r="E568" i="11" s="1"/>
  <c r="E569" i="11" s="1"/>
  <c r="C565" i="11"/>
  <c r="C566" i="11" s="1"/>
  <c r="C567" i="11" s="1"/>
  <c r="C568" i="11" s="1"/>
  <c r="C569" i="11" s="1"/>
  <c r="E1118" i="12"/>
  <c r="E1119" i="12"/>
  <c r="AY557" i="11"/>
  <c r="BC556" i="11"/>
  <c r="AO560" i="11"/>
  <c r="AG560" i="11"/>
  <c r="AG561" i="11" s="1"/>
  <c r="AG562" i="11" s="1"/>
  <c r="AG563" i="11" s="1"/>
  <c r="AG564" i="11" s="1"/>
  <c r="AK561" i="11"/>
  <c r="F1111" i="12"/>
  <c r="F1110" i="12"/>
  <c r="G553" i="11"/>
  <c r="K552" i="11"/>
  <c r="S560" i="11"/>
  <c r="S561" i="11" s="1"/>
  <c r="S562" i="11" s="1"/>
  <c r="S563" i="11" s="1"/>
  <c r="S564" i="11" s="1"/>
  <c r="W561" i="11"/>
  <c r="AA560" i="11"/>
  <c r="E1111" i="12"/>
  <c r="E1110" i="12"/>
  <c r="F448" i="10"/>
  <c r="T448" i="10" s="1"/>
  <c r="T447" i="10"/>
  <c r="K548" i="11"/>
  <c r="G549" i="11"/>
  <c r="K549" i="11" s="1"/>
  <c r="AO552" i="11"/>
  <c r="AK553" i="11"/>
  <c r="E1126" i="12"/>
  <c r="C1125" i="12" s="1"/>
  <c r="C1126" i="12" s="1"/>
  <c r="C1127" i="12" s="1"/>
  <c r="C1128" i="12" s="1"/>
  <c r="C1129" i="12" s="1"/>
  <c r="C1130" i="12" s="1"/>
  <c r="C1131" i="12" s="1"/>
  <c r="C1132" i="12" s="1"/>
  <c r="C1133" i="12" s="1"/>
  <c r="C1134" i="12" s="1"/>
  <c r="E1127" i="12"/>
  <c r="AA552" i="11"/>
  <c r="W553" i="11"/>
  <c r="BC552" i="11"/>
  <c r="AY553" i="11"/>
  <c r="F1126" i="12"/>
  <c r="G1125" i="12"/>
  <c r="F1127" i="12"/>
  <c r="W570" i="11" l="1"/>
  <c r="V571" i="11"/>
  <c r="V572" i="11" s="1"/>
  <c r="V573" i="11" s="1"/>
  <c r="V574" i="11" s="1"/>
  <c r="AA557" i="11"/>
  <c r="W558" i="11"/>
  <c r="W562" i="11"/>
  <c r="AA561" i="11"/>
  <c r="F461" i="10"/>
  <c r="A462" i="10"/>
  <c r="A463" i="10" s="1"/>
  <c r="A464" i="10" s="1"/>
  <c r="E461" i="10"/>
  <c r="A465" i="10"/>
  <c r="AX571" i="11"/>
  <c r="AX572" i="11" s="1"/>
  <c r="AX573" i="11" s="1"/>
  <c r="AX574" i="11" s="1"/>
  <c r="AY570" i="11"/>
  <c r="Y448" i="10"/>
  <c r="S448" i="10"/>
  <c r="K448" i="10"/>
  <c r="T454" i="10"/>
  <c r="F455" i="10"/>
  <c r="F1113" i="12"/>
  <c r="F1114" i="12" s="1"/>
  <c r="F1112" i="12"/>
  <c r="C570" i="11"/>
  <c r="C571" i="11" s="1"/>
  <c r="C572" i="11" s="1"/>
  <c r="C573" i="11" s="1"/>
  <c r="C574" i="11" s="1"/>
  <c r="E571" i="11"/>
  <c r="E572" i="11" s="1"/>
  <c r="E573" i="11" s="1"/>
  <c r="E574" i="11" s="1"/>
  <c r="E1128" i="12"/>
  <c r="E1129" i="12"/>
  <c r="Y457" i="10"/>
  <c r="S457" i="10"/>
  <c r="K457" i="10"/>
  <c r="C457" i="10"/>
  <c r="E458" i="10"/>
  <c r="U453" i="10"/>
  <c r="G454" i="10"/>
  <c r="C451" i="10"/>
  <c r="Q450" i="10"/>
  <c r="AY562" i="11"/>
  <c r="BC561" i="11"/>
  <c r="G1102" i="12"/>
  <c r="G1103" i="12"/>
  <c r="G1104" i="12" s="1"/>
  <c r="F1145" i="12"/>
  <c r="E1145" i="12"/>
  <c r="A1155" i="12"/>
  <c r="G1127" i="12"/>
  <c r="G1126" i="12"/>
  <c r="J1125" i="12" s="1"/>
  <c r="AI575" i="11"/>
  <c r="AI576" i="11" s="1"/>
  <c r="AI577" i="11" s="1"/>
  <c r="AI578" i="11" s="1"/>
  <c r="AI579" i="11" s="1"/>
  <c r="U575" i="11"/>
  <c r="U576" i="11" s="1"/>
  <c r="U577" i="11" s="1"/>
  <c r="U578" i="11" s="1"/>
  <c r="U579" i="11" s="1"/>
  <c r="A580" i="11"/>
  <c r="V575" i="11"/>
  <c r="AW575" i="11"/>
  <c r="AW576" i="11" s="1"/>
  <c r="AW577" i="11" s="1"/>
  <c r="AW578" i="11" s="1"/>
  <c r="AW579" i="11" s="1"/>
  <c r="F575" i="11"/>
  <c r="AJ575" i="11"/>
  <c r="E575" i="11"/>
  <c r="AX575" i="11"/>
  <c r="G1111" i="12"/>
  <c r="G1110" i="12"/>
  <c r="AO557" i="11"/>
  <c r="AK558" i="11"/>
  <c r="G1135" i="12"/>
  <c r="F1137" i="12"/>
  <c r="F1136" i="12"/>
  <c r="C1135" i="12" s="1"/>
  <c r="C1136" i="12" s="1"/>
  <c r="C1137" i="12" s="1"/>
  <c r="C1138" i="12" s="1"/>
  <c r="C1139" i="12" s="1"/>
  <c r="C1140" i="12" s="1"/>
  <c r="C1141" i="12" s="1"/>
  <c r="C1142" i="12" s="1"/>
  <c r="C1143" i="12" s="1"/>
  <c r="C1144" i="12" s="1"/>
  <c r="K565" i="11"/>
  <c r="G566" i="11"/>
  <c r="U450" i="10"/>
  <c r="G451" i="10"/>
  <c r="AO561" i="11"/>
  <c r="AK562" i="11"/>
  <c r="G448" i="10"/>
  <c r="U448" i="10" s="1"/>
  <c r="U447" i="10"/>
  <c r="C454" i="10"/>
  <c r="Q453" i="10"/>
  <c r="F571" i="11"/>
  <c r="F572" i="11" s="1"/>
  <c r="F573" i="11" s="1"/>
  <c r="F574" i="11" s="1"/>
  <c r="G570" i="11"/>
  <c r="K557" i="11"/>
  <c r="G558" i="11"/>
  <c r="AK566" i="11"/>
  <c r="AO565" i="11"/>
  <c r="AG565" i="11"/>
  <c r="AG566" i="11" s="1"/>
  <c r="AG567" i="11" s="1"/>
  <c r="AG568" i="11" s="1"/>
  <c r="AG569" i="11" s="1"/>
  <c r="F1128" i="12"/>
  <c r="F1129" i="12"/>
  <c r="AJ571" i="11"/>
  <c r="AJ572" i="11" s="1"/>
  <c r="AJ573" i="11" s="1"/>
  <c r="AJ574" i="11" s="1"/>
  <c r="AK570" i="11"/>
  <c r="F1120" i="12"/>
  <c r="F1121" i="12"/>
  <c r="AO553" i="11"/>
  <c r="AK554" i="11"/>
  <c r="AO554" i="11" s="1"/>
  <c r="G554" i="11"/>
  <c r="K554" i="11" s="1"/>
  <c r="K553" i="11"/>
  <c r="G562" i="11"/>
  <c r="K561" i="11"/>
  <c r="J1123" i="12"/>
  <c r="J1124" i="12" s="1"/>
  <c r="J1116" i="12"/>
  <c r="J1117" i="12"/>
  <c r="J1118" i="12" s="1"/>
  <c r="J1119" i="12"/>
  <c r="J1120" i="12" s="1"/>
  <c r="J1121" i="12"/>
  <c r="J1122" i="12" s="1"/>
  <c r="E1137" i="12"/>
  <c r="E1136" i="12"/>
  <c r="AY554" i="11"/>
  <c r="BC554" i="11" s="1"/>
  <c r="BC553" i="11"/>
  <c r="Y454" i="10"/>
  <c r="S454" i="10"/>
  <c r="E455" i="10"/>
  <c r="K454" i="10"/>
  <c r="T451" i="10"/>
  <c r="F452" i="10"/>
  <c r="T452" i="10" s="1"/>
  <c r="AA553" i="11"/>
  <c r="W554" i="11"/>
  <c r="AA554" i="11" s="1"/>
  <c r="E1112" i="12"/>
  <c r="E1113" i="12"/>
  <c r="E1114" i="12" s="1"/>
  <c r="AY558" i="11"/>
  <c r="BC557" i="11"/>
  <c r="Y451" i="10"/>
  <c r="E452" i="10"/>
  <c r="S451" i="10"/>
  <c r="K451" i="10"/>
  <c r="G1118" i="12"/>
  <c r="G1119" i="12"/>
  <c r="E1121" i="12"/>
  <c r="E1120" i="12"/>
  <c r="T457" i="10"/>
  <c r="G457" i="10"/>
  <c r="F458" i="10"/>
  <c r="W566" i="11"/>
  <c r="AA565" i="11"/>
  <c r="S565" i="11"/>
  <c r="S566" i="11" s="1"/>
  <c r="S567" i="11" s="1"/>
  <c r="S568" i="11" s="1"/>
  <c r="S569" i="11" s="1"/>
  <c r="AU565" i="11"/>
  <c r="AU566" i="11" s="1"/>
  <c r="AU567" i="11" s="1"/>
  <c r="AU568" i="11" s="1"/>
  <c r="AU569" i="11" s="1"/>
  <c r="AY566" i="11"/>
  <c r="BC565" i="11"/>
  <c r="C448" i="10"/>
  <c r="Q448" i="10" s="1"/>
  <c r="Q447" i="10"/>
  <c r="AA566" i="11" l="1"/>
  <c r="W567" i="11"/>
  <c r="AO566" i="11"/>
  <c r="AK567" i="11"/>
  <c r="AJ576" i="11"/>
  <c r="AJ577" i="11" s="1"/>
  <c r="AJ578" i="11" s="1"/>
  <c r="AJ579" i="11" s="1"/>
  <c r="AK575" i="11"/>
  <c r="AY571" i="11"/>
  <c r="AU570" i="11"/>
  <c r="AU571" i="11" s="1"/>
  <c r="AU572" i="11" s="1"/>
  <c r="AU573" i="11" s="1"/>
  <c r="AU574" i="11" s="1"/>
  <c r="BC570" i="11"/>
  <c r="V576" i="11"/>
  <c r="V577" i="11" s="1"/>
  <c r="V578" i="11" s="1"/>
  <c r="V579" i="11" s="1"/>
  <c r="W575" i="11"/>
  <c r="AY563" i="11"/>
  <c r="BC562" i="11"/>
  <c r="C455" i="10"/>
  <c r="Q454" i="10"/>
  <c r="T458" i="10"/>
  <c r="F459" i="10"/>
  <c r="BC558" i="11"/>
  <c r="AY559" i="11"/>
  <c r="BC559" i="11" s="1"/>
  <c r="K558" i="11"/>
  <c r="G559" i="11"/>
  <c r="K559" i="11" s="1"/>
  <c r="K566" i="11"/>
  <c r="G567" i="11"/>
  <c r="F576" i="11"/>
  <c r="F577" i="11" s="1"/>
  <c r="F578" i="11" s="1"/>
  <c r="F579" i="11" s="1"/>
  <c r="G575" i="11"/>
  <c r="E1131" i="12"/>
  <c r="E1130" i="12"/>
  <c r="J1127" i="12"/>
  <c r="J1128" i="12" s="1"/>
  <c r="J1133" i="12"/>
  <c r="J1134" i="12" s="1"/>
  <c r="J1131" i="12"/>
  <c r="J1132" i="12" s="1"/>
  <c r="J1126" i="12"/>
  <c r="J1129" i="12"/>
  <c r="J1130" i="12" s="1"/>
  <c r="T455" i="10"/>
  <c r="F456" i="10"/>
  <c r="T456" i="10" s="1"/>
  <c r="AA562" i="11"/>
  <c r="W563" i="11"/>
  <c r="BC566" i="11"/>
  <c r="AY567" i="11"/>
  <c r="F1130" i="12"/>
  <c r="F1131" i="12"/>
  <c r="G1128" i="12"/>
  <c r="G1129" i="12"/>
  <c r="S458" i="10"/>
  <c r="K458" i="10"/>
  <c r="Y458" i="10"/>
  <c r="E459" i="10"/>
  <c r="W559" i="11"/>
  <c r="AA559" i="11" s="1"/>
  <c r="AA558" i="11"/>
  <c r="U457" i="10"/>
  <c r="G458" i="10"/>
  <c r="F1138" i="12"/>
  <c r="F1139" i="12"/>
  <c r="T461" i="10"/>
  <c r="G461" i="10"/>
  <c r="F462" i="10"/>
  <c r="AO570" i="11"/>
  <c r="AG570" i="11"/>
  <c r="AG571" i="11" s="1"/>
  <c r="AG572" i="11" s="1"/>
  <c r="AG573" i="11" s="1"/>
  <c r="AG574" i="11" s="1"/>
  <c r="AK571" i="11"/>
  <c r="AK559" i="11"/>
  <c r="AO559" i="11" s="1"/>
  <c r="AO558" i="11"/>
  <c r="U454" i="10"/>
  <c r="G455" i="10"/>
  <c r="Q457" i="10"/>
  <c r="C458" i="10"/>
  <c r="F1123" i="12"/>
  <c r="F1124" i="12" s="1"/>
  <c r="F1122" i="12"/>
  <c r="Y452" i="10"/>
  <c r="S452" i="10"/>
  <c r="K452" i="10"/>
  <c r="AY575" i="11"/>
  <c r="AX576" i="11"/>
  <c r="AX577" i="11" s="1"/>
  <c r="AX578" i="11" s="1"/>
  <c r="AX579" i="11" s="1"/>
  <c r="C1145" i="12"/>
  <c r="C1146" i="12" s="1"/>
  <c r="C1147" i="12" s="1"/>
  <c r="C1148" i="12" s="1"/>
  <c r="C1149" i="12" s="1"/>
  <c r="C1150" i="12" s="1"/>
  <c r="C1151" i="12" s="1"/>
  <c r="C1152" i="12" s="1"/>
  <c r="C1153" i="12" s="1"/>
  <c r="C1154" i="12" s="1"/>
  <c r="E1147" i="12"/>
  <c r="E1146" i="12"/>
  <c r="F465" i="10"/>
  <c r="A469" i="10"/>
  <c r="E465" i="10"/>
  <c r="A466" i="10"/>
  <c r="A467" i="10" s="1"/>
  <c r="A468" i="10" s="1"/>
  <c r="E1138" i="12"/>
  <c r="E1139" i="12"/>
  <c r="G571" i="11"/>
  <c r="K570" i="11"/>
  <c r="S461" i="10"/>
  <c r="K461" i="10"/>
  <c r="Y461" i="10"/>
  <c r="E462" i="10"/>
  <c r="C461" i="10"/>
  <c r="AW580" i="11"/>
  <c r="AW581" i="11" s="1"/>
  <c r="AW582" i="11" s="1"/>
  <c r="AW583" i="11" s="1"/>
  <c r="AW584" i="11" s="1"/>
  <c r="AJ580" i="11"/>
  <c r="AI580" i="11"/>
  <c r="AI581" i="11" s="1"/>
  <c r="AI582" i="11" s="1"/>
  <c r="AI583" i="11" s="1"/>
  <c r="AI584" i="11" s="1"/>
  <c r="U580" i="11"/>
  <c r="U581" i="11" s="1"/>
  <c r="U582" i="11" s="1"/>
  <c r="U583" i="11" s="1"/>
  <c r="U584" i="11" s="1"/>
  <c r="V580" i="11"/>
  <c r="AX580" i="11"/>
  <c r="F580" i="11"/>
  <c r="E580" i="11"/>
  <c r="A585" i="11"/>
  <c r="E1123" i="12"/>
  <c r="E1124" i="12" s="1"/>
  <c r="E1122" i="12"/>
  <c r="G1137" i="12"/>
  <c r="G1136" i="12"/>
  <c r="J1135" i="12" s="1"/>
  <c r="C452" i="10"/>
  <c r="Q452" i="10" s="1"/>
  <c r="Q451" i="10"/>
  <c r="G1121" i="12"/>
  <c r="G1120" i="12"/>
  <c r="Y455" i="10"/>
  <c r="S455" i="10"/>
  <c r="E456" i="10"/>
  <c r="K455" i="10"/>
  <c r="AK563" i="11"/>
  <c r="AO562" i="11"/>
  <c r="G1113" i="12"/>
  <c r="G1114" i="12" s="1"/>
  <c r="G1112" i="12"/>
  <c r="E1155" i="12"/>
  <c r="F1155" i="12"/>
  <c r="A1165" i="12"/>
  <c r="K562" i="11"/>
  <c r="G563" i="11"/>
  <c r="U451" i="10"/>
  <c r="G452" i="10"/>
  <c r="U452" i="10" s="1"/>
  <c r="C575" i="11"/>
  <c r="C576" i="11" s="1"/>
  <c r="C577" i="11" s="1"/>
  <c r="C578" i="11" s="1"/>
  <c r="C579" i="11" s="1"/>
  <c r="E576" i="11"/>
  <c r="E577" i="11" s="1"/>
  <c r="E578" i="11" s="1"/>
  <c r="E579" i="11" s="1"/>
  <c r="G1145" i="12"/>
  <c r="F1147" i="12"/>
  <c r="F1146" i="12"/>
  <c r="AA570" i="11"/>
  <c r="W571" i="11"/>
  <c r="S570" i="11"/>
  <c r="S571" i="11" s="1"/>
  <c r="S572" i="11" s="1"/>
  <c r="S573" i="11" s="1"/>
  <c r="S574" i="11" s="1"/>
  <c r="AA563" i="11" l="1"/>
  <c r="W564" i="11"/>
  <c r="AA564" i="11" s="1"/>
  <c r="AY564" i="11"/>
  <c r="BC564" i="11" s="1"/>
  <c r="BC563" i="11"/>
  <c r="V585" i="11"/>
  <c r="U585" i="11"/>
  <c r="U586" i="11" s="1"/>
  <c r="U587" i="11" s="1"/>
  <c r="U588" i="11" s="1"/>
  <c r="U589" i="11" s="1"/>
  <c r="AX585" i="11"/>
  <c r="F585" i="11"/>
  <c r="AW585" i="11"/>
  <c r="AW586" i="11" s="1"/>
  <c r="AW587" i="11" s="1"/>
  <c r="AW588" i="11" s="1"/>
  <c r="AW589" i="11" s="1"/>
  <c r="E585" i="11"/>
  <c r="AJ585" i="11"/>
  <c r="AI585" i="11"/>
  <c r="AI586" i="11" s="1"/>
  <c r="AI587" i="11" s="1"/>
  <c r="AI588" i="11" s="1"/>
  <c r="AI589" i="11" s="1"/>
  <c r="A590" i="11"/>
  <c r="S456" i="10"/>
  <c r="K456" i="10"/>
  <c r="Y456" i="10"/>
  <c r="E581" i="11"/>
  <c r="E582" i="11" s="1"/>
  <c r="E583" i="11" s="1"/>
  <c r="E584" i="11" s="1"/>
  <c r="C580" i="11"/>
  <c r="C581" i="11" s="1"/>
  <c r="C582" i="11" s="1"/>
  <c r="C583" i="11" s="1"/>
  <c r="C584" i="11" s="1"/>
  <c r="K567" i="11"/>
  <c r="G568" i="11"/>
  <c r="S575" i="11"/>
  <c r="S576" i="11" s="1"/>
  <c r="S577" i="11" s="1"/>
  <c r="S578" i="11" s="1"/>
  <c r="S579" i="11" s="1"/>
  <c r="W576" i="11"/>
  <c r="AA575" i="11"/>
  <c r="W572" i="11"/>
  <c r="AA571" i="11"/>
  <c r="F1157" i="12"/>
  <c r="F1156" i="12"/>
  <c r="G1155" i="12"/>
  <c r="AG575" i="11"/>
  <c r="AG576" i="11" s="1"/>
  <c r="AG577" i="11" s="1"/>
  <c r="AG578" i="11" s="1"/>
  <c r="AG579" i="11" s="1"/>
  <c r="AK576" i="11"/>
  <c r="AO575" i="11"/>
  <c r="AK580" i="11"/>
  <c r="AJ581" i="11"/>
  <c r="AJ582" i="11" s="1"/>
  <c r="AJ583" i="11" s="1"/>
  <c r="AJ584" i="11" s="1"/>
  <c r="K465" i="10"/>
  <c r="E466" i="10"/>
  <c r="C465" i="10"/>
  <c r="S465" i="10"/>
  <c r="Y465" i="10"/>
  <c r="T459" i="10"/>
  <c r="F460" i="10"/>
  <c r="T460" i="10" s="1"/>
  <c r="F469" i="10"/>
  <c r="A473" i="10"/>
  <c r="E469" i="10"/>
  <c r="A470" i="10"/>
  <c r="A471" i="10" s="1"/>
  <c r="A472" i="10" s="1"/>
  <c r="Q458" i="10"/>
  <c r="C459" i="10"/>
  <c r="F1140" i="12"/>
  <c r="F1141" i="12"/>
  <c r="F1133" i="12"/>
  <c r="F1134" i="12" s="1"/>
  <c r="F1132" i="12"/>
  <c r="AK568" i="11"/>
  <c r="AO567" i="11"/>
  <c r="G580" i="11"/>
  <c r="F581" i="11"/>
  <c r="F582" i="11" s="1"/>
  <c r="F583" i="11" s="1"/>
  <c r="F584" i="11" s="1"/>
  <c r="AY576" i="11"/>
  <c r="BC575" i="11"/>
  <c r="AU575" i="11"/>
  <c r="AU576" i="11" s="1"/>
  <c r="AU577" i="11" s="1"/>
  <c r="AU578" i="11" s="1"/>
  <c r="AU579" i="11" s="1"/>
  <c r="AK572" i="11"/>
  <c r="AO571" i="11"/>
  <c r="S459" i="10"/>
  <c r="K459" i="10"/>
  <c r="Y459" i="10"/>
  <c r="E460" i="10"/>
  <c r="G564" i="11"/>
  <c r="K564" i="11" s="1"/>
  <c r="K563" i="11"/>
  <c r="AX581" i="11"/>
  <c r="AX582" i="11" s="1"/>
  <c r="AX583" i="11" s="1"/>
  <c r="AX584" i="11" s="1"/>
  <c r="AY580" i="11"/>
  <c r="K571" i="11"/>
  <c r="G572" i="11"/>
  <c r="J1137" i="12"/>
  <c r="J1138" i="12" s="1"/>
  <c r="J1143" i="12"/>
  <c r="J1144" i="12" s="1"/>
  <c r="J1139" i="12"/>
  <c r="J1140" i="12" s="1"/>
  <c r="J1141" i="12"/>
  <c r="J1142" i="12" s="1"/>
  <c r="J1136" i="12"/>
  <c r="F1148" i="12"/>
  <c r="F1149" i="12"/>
  <c r="G1139" i="12"/>
  <c r="G1138" i="12"/>
  <c r="G465" i="10"/>
  <c r="F466" i="10"/>
  <c r="T465" i="10"/>
  <c r="W580" i="11"/>
  <c r="V581" i="11"/>
  <c r="V582" i="11" s="1"/>
  <c r="V583" i="11" s="1"/>
  <c r="V584" i="11" s="1"/>
  <c r="E1140" i="12"/>
  <c r="E1141" i="12"/>
  <c r="A1175" i="12"/>
  <c r="F1165" i="12"/>
  <c r="E1165" i="12"/>
  <c r="G1122" i="12"/>
  <c r="G1123" i="12"/>
  <c r="G1124" i="12" s="1"/>
  <c r="E1156" i="12"/>
  <c r="E1157" i="12"/>
  <c r="C1155" i="12"/>
  <c r="C1156" i="12" s="1"/>
  <c r="C1157" i="12" s="1"/>
  <c r="C1158" i="12" s="1"/>
  <c r="C1159" i="12" s="1"/>
  <c r="C1160" i="12" s="1"/>
  <c r="C1161" i="12" s="1"/>
  <c r="C1162" i="12" s="1"/>
  <c r="C1163" i="12" s="1"/>
  <c r="C1164" i="12" s="1"/>
  <c r="Q461" i="10"/>
  <c r="C462" i="10"/>
  <c r="G1146" i="12"/>
  <c r="J1145" i="12" s="1"/>
  <c r="G1147" i="12"/>
  <c r="S462" i="10"/>
  <c r="K462" i="10"/>
  <c r="E463" i="10"/>
  <c r="Y462" i="10"/>
  <c r="U455" i="10"/>
  <c r="G456" i="10"/>
  <c r="U456" i="10" s="1"/>
  <c r="U458" i="10"/>
  <c r="G459" i="10"/>
  <c r="BC567" i="11"/>
  <c r="AY568" i="11"/>
  <c r="E1133" i="12"/>
  <c r="E1134" i="12" s="1"/>
  <c r="E1132" i="12"/>
  <c r="Q455" i="10"/>
  <c r="C456" i="10"/>
  <c r="Q456" i="10" s="1"/>
  <c r="W568" i="11"/>
  <c r="AA567" i="11"/>
  <c r="T462" i="10"/>
  <c r="F463" i="10"/>
  <c r="AY572" i="11"/>
  <c r="BC571" i="11"/>
  <c r="G462" i="10"/>
  <c r="U461" i="10"/>
  <c r="G1130" i="12"/>
  <c r="G1131" i="12"/>
  <c r="AO563" i="11"/>
  <c r="AK564" i="11"/>
  <c r="AO564" i="11" s="1"/>
  <c r="E1148" i="12"/>
  <c r="E1149" i="12"/>
  <c r="G576" i="11"/>
  <c r="K575" i="11"/>
  <c r="AA580" i="11" l="1"/>
  <c r="W581" i="11"/>
  <c r="S580" i="11"/>
  <c r="S581" i="11" s="1"/>
  <c r="S582" i="11" s="1"/>
  <c r="S583" i="11" s="1"/>
  <c r="S584" i="11" s="1"/>
  <c r="AO572" i="11"/>
  <c r="AK573" i="11"/>
  <c r="E586" i="11"/>
  <c r="E587" i="11" s="1"/>
  <c r="E588" i="11" s="1"/>
  <c r="E589" i="11" s="1"/>
  <c r="C585" i="11"/>
  <c r="C586" i="11" s="1"/>
  <c r="C587" i="11" s="1"/>
  <c r="C588" i="11" s="1"/>
  <c r="C589" i="11" s="1"/>
  <c r="G585" i="11"/>
  <c r="F586" i="11"/>
  <c r="F587" i="11" s="1"/>
  <c r="F588" i="11" s="1"/>
  <c r="F589" i="11" s="1"/>
  <c r="AY585" i="11"/>
  <c r="AX586" i="11"/>
  <c r="AX587" i="11" s="1"/>
  <c r="AX588" i="11" s="1"/>
  <c r="AX589" i="11" s="1"/>
  <c r="A477" i="10"/>
  <c r="E473" i="10"/>
  <c r="A474" i="10"/>
  <c r="A475" i="10" s="1"/>
  <c r="A476" i="10" s="1"/>
  <c r="F473" i="10"/>
  <c r="AK577" i="11"/>
  <c r="AO576" i="11"/>
  <c r="G469" i="10"/>
  <c r="F470" i="10"/>
  <c r="T469" i="10"/>
  <c r="A1185" i="12"/>
  <c r="E1175" i="12"/>
  <c r="F1175" i="12"/>
  <c r="G1133" i="12"/>
  <c r="G1134" i="12" s="1"/>
  <c r="G1132" i="12"/>
  <c r="G1148" i="12"/>
  <c r="G1149" i="12"/>
  <c r="E1142" i="12"/>
  <c r="E1143" i="12"/>
  <c r="E1144" i="12" s="1"/>
  <c r="J1153" i="12"/>
  <c r="J1154" i="12" s="1"/>
  <c r="J1147" i="12"/>
  <c r="J1148" i="12" s="1"/>
  <c r="J1146" i="12"/>
  <c r="J1151" i="12"/>
  <c r="J1152" i="12" s="1"/>
  <c r="J1149" i="12"/>
  <c r="J1150" i="12" s="1"/>
  <c r="F1142" i="12"/>
  <c r="F1143" i="12"/>
  <c r="F1144" i="12" s="1"/>
  <c r="Q465" i="10"/>
  <c r="C466" i="10"/>
  <c r="AA572" i="11"/>
  <c r="W573" i="11"/>
  <c r="E1158" i="12"/>
  <c r="E1159" i="12"/>
  <c r="F467" i="10"/>
  <c r="T466" i="10"/>
  <c r="G1141" i="12"/>
  <c r="G1140" i="12"/>
  <c r="K580" i="11"/>
  <c r="G581" i="11"/>
  <c r="BC568" i="11"/>
  <c r="AY569" i="11"/>
  <c r="BC569" i="11" s="1"/>
  <c r="Q462" i="10"/>
  <c r="C463" i="10"/>
  <c r="K466" i="10"/>
  <c r="E467" i="10"/>
  <c r="S466" i="10"/>
  <c r="Y466" i="10"/>
  <c r="AJ586" i="11"/>
  <c r="AJ587" i="11" s="1"/>
  <c r="AJ588" i="11" s="1"/>
  <c r="AJ589" i="11" s="1"/>
  <c r="AK585" i="11"/>
  <c r="U459" i="10"/>
  <c r="G460" i="10"/>
  <c r="U460" i="10" s="1"/>
  <c r="G573" i="11"/>
  <c r="K572" i="11"/>
  <c r="F464" i="10"/>
  <c r="T464" i="10" s="1"/>
  <c r="T463" i="10"/>
  <c r="G466" i="10"/>
  <c r="U465" i="10"/>
  <c r="AY581" i="11"/>
  <c r="AU580" i="11"/>
  <c r="AU581" i="11" s="1"/>
  <c r="AU582" i="11" s="1"/>
  <c r="AU583" i="11" s="1"/>
  <c r="AU584" i="11" s="1"/>
  <c r="BC580" i="11"/>
  <c r="BC576" i="11"/>
  <c r="AY577" i="11"/>
  <c r="W569" i="11"/>
  <c r="AA569" i="11" s="1"/>
  <c r="AA568" i="11"/>
  <c r="S463" i="10"/>
  <c r="K463" i="10"/>
  <c r="E464" i="10"/>
  <c r="Y463" i="10"/>
  <c r="F1150" i="12"/>
  <c r="F1151" i="12"/>
  <c r="G1157" i="12"/>
  <c r="G1156" i="12"/>
  <c r="J1155" i="12" s="1"/>
  <c r="W577" i="11"/>
  <c r="AA576" i="11"/>
  <c r="AK581" i="11"/>
  <c r="AO580" i="11"/>
  <c r="AG580" i="11"/>
  <c r="AG581" i="11" s="1"/>
  <c r="AG582" i="11" s="1"/>
  <c r="AG583" i="11" s="1"/>
  <c r="AG584" i="11" s="1"/>
  <c r="K568" i="11"/>
  <c r="G569" i="11"/>
  <c r="K569" i="11" s="1"/>
  <c r="E470" i="10"/>
  <c r="C469" i="10"/>
  <c r="K469" i="10"/>
  <c r="Y469" i="10"/>
  <c r="S469" i="10"/>
  <c r="E1166" i="12"/>
  <c r="E1167" i="12"/>
  <c r="G1165" i="12"/>
  <c r="F1166" i="12"/>
  <c r="C1165" i="12" s="1"/>
  <c r="C1166" i="12" s="1"/>
  <c r="C1167" i="12" s="1"/>
  <c r="C1168" i="12" s="1"/>
  <c r="C1169" i="12" s="1"/>
  <c r="C1170" i="12" s="1"/>
  <c r="C1171" i="12" s="1"/>
  <c r="C1172" i="12" s="1"/>
  <c r="C1173" i="12" s="1"/>
  <c r="C1174" i="12" s="1"/>
  <c r="F1167" i="12"/>
  <c r="S460" i="10"/>
  <c r="K460" i="10"/>
  <c r="Y460" i="10"/>
  <c r="AK569" i="11"/>
  <c r="AO569" i="11" s="1"/>
  <c r="AO568" i="11"/>
  <c r="G463" i="10"/>
  <c r="U462" i="10"/>
  <c r="G577" i="11"/>
  <c r="K576" i="11"/>
  <c r="E1151" i="12"/>
  <c r="E1150" i="12"/>
  <c r="V586" i="11"/>
  <c r="V587" i="11" s="1"/>
  <c r="V588" i="11" s="1"/>
  <c r="V589" i="11" s="1"/>
  <c r="W585" i="11"/>
  <c r="F1158" i="12"/>
  <c r="F1159" i="12"/>
  <c r="Q459" i="10"/>
  <c r="C460" i="10"/>
  <c r="Q460" i="10" s="1"/>
  <c r="BC572" i="11"/>
  <c r="AY573" i="11"/>
  <c r="AX590" i="11"/>
  <c r="AW590" i="11"/>
  <c r="AW591" i="11" s="1"/>
  <c r="AW592" i="11" s="1"/>
  <c r="AW593" i="11" s="1"/>
  <c r="AW594" i="11" s="1"/>
  <c r="A595" i="11"/>
  <c r="AJ590" i="11"/>
  <c r="E590" i="11"/>
  <c r="AI590" i="11"/>
  <c r="AI591" i="11" s="1"/>
  <c r="AI592" i="11" s="1"/>
  <c r="AI593" i="11" s="1"/>
  <c r="AI594" i="11" s="1"/>
  <c r="U590" i="11"/>
  <c r="U591" i="11" s="1"/>
  <c r="U592" i="11" s="1"/>
  <c r="U593" i="11" s="1"/>
  <c r="U594" i="11" s="1"/>
  <c r="V590" i="11"/>
  <c r="F590" i="11"/>
  <c r="BC573" i="11" l="1"/>
  <c r="AY574" i="11"/>
  <c r="BC574" i="11" s="1"/>
  <c r="AA577" i="11"/>
  <c r="W578" i="11"/>
  <c r="F591" i="11"/>
  <c r="F592" i="11" s="1"/>
  <c r="F593" i="11" s="1"/>
  <c r="F594" i="11" s="1"/>
  <c r="G590" i="11"/>
  <c r="A600" i="11"/>
  <c r="F595" i="11"/>
  <c r="AX595" i="11"/>
  <c r="E595" i="11"/>
  <c r="AW595" i="11"/>
  <c r="AW596" i="11" s="1"/>
  <c r="AW597" i="11" s="1"/>
  <c r="AW598" i="11" s="1"/>
  <c r="AW599" i="11" s="1"/>
  <c r="V595" i="11"/>
  <c r="U595" i="11"/>
  <c r="U596" i="11" s="1"/>
  <c r="U597" i="11" s="1"/>
  <c r="U598" i="11" s="1"/>
  <c r="U599" i="11" s="1"/>
  <c r="AJ595" i="11"/>
  <c r="AI595" i="11"/>
  <c r="AI596" i="11" s="1"/>
  <c r="AI597" i="11" s="1"/>
  <c r="AI598" i="11" s="1"/>
  <c r="AI599" i="11" s="1"/>
  <c r="E1153" i="12"/>
  <c r="E1154" i="12" s="1"/>
  <c r="E1152" i="12"/>
  <c r="G1166" i="12"/>
  <c r="J1165" i="12" s="1"/>
  <c r="G1167" i="12"/>
  <c r="AO581" i="11"/>
  <c r="AK582" i="11"/>
  <c r="G582" i="11"/>
  <c r="K581" i="11"/>
  <c r="A478" i="10"/>
  <c r="A479" i="10" s="1"/>
  <c r="A480" i="10" s="1"/>
  <c r="E477" i="10"/>
  <c r="A481" i="10"/>
  <c r="F477" i="10"/>
  <c r="E1177" i="12"/>
  <c r="E1176" i="12"/>
  <c r="G1159" i="12"/>
  <c r="G1158" i="12"/>
  <c r="K467" i="10"/>
  <c r="E468" i="10"/>
  <c r="S467" i="10"/>
  <c r="Y467" i="10"/>
  <c r="AX591" i="11"/>
  <c r="AX592" i="11" s="1"/>
  <c r="AX593" i="11" s="1"/>
  <c r="AX594" i="11" s="1"/>
  <c r="AY590" i="11"/>
  <c r="K577" i="11"/>
  <c r="G578" i="11"/>
  <c r="E1169" i="12"/>
  <c r="E1168" i="12"/>
  <c r="AY578" i="11"/>
  <c r="BC577" i="11"/>
  <c r="F1176" i="12"/>
  <c r="C1175" i="12" s="1"/>
  <c r="C1176" i="12" s="1"/>
  <c r="C1177" i="12" s="1"/>
  <c r="C1178" i="12" s="1"/>
  <c r="C1179" i="12" s="1"/>
  <c r="C1180" i="12" s="1"/>
  <c r="C1181" i="12" s="1"/>
  <c r="C1182" i="12" s="1"/>
  <c r="C1183" i="12" s="1"/>
  <c r="C1184" i="12" s="1"/>
  <c r="F1177" i="12"/>
  <c r="G1175" i="12"/>
  <c r="AK586" i="11"/>
  <c r="AO585" i="11"/>
  <c r="AG585" i="11"/>
  <c r="AG586" i="11" s="1"/>
  <c r="AG587" i="11" s="1"/>
  <c r="AG588" i="11" s="1"/>
  <c r="AG589" i="11" s="1"/>
  <c r="BC585" i="11"/>
  <c r="AY586" i="11"/>
  <c r="AU585" i="11"/>
  <c r="AU586" i="11" s="1"/>
  <c r="AU587" i="11" s="1"/>
  <c r="AU588" i="11" s="1"/>
  <c r="AU589" i="11" s="1"/>
  <c r="G464" i="10"/>
  <c r="U464" i="10" s="1"/>
  <c r="U463" i="10"/>
  <c r="E1185" i="12"/>
  <c r="A1195" i="12"/>
  <c r="F1185" i="12"/>
  <c r="V591" i="11"/>
  <c r="V592" i="11" s="1"/>
  <c r="V593" i="11" s="1"/>
  <c r="V594" i="11" s="1"/>
  <c r="W590" i="11"/>
  <c r="W586" i="11"/>
  <c r="AA585" i="11"/>
  <c r="S585" i="11"/>
  <c r="S586" i="11" s="1"/>
  <c r="S587" i="11" s="1"/>
  <c r="S588" i="11" s="1"/>
  <c r="S589" i="11" s="1"/>
  <c r="K464" i="10"/>
  <c r="S464" i="10"/>
  <c r="Y464" i="10"/>
  <c r="Q463" i="10"/>
  <c r="C464" i="10"/>
  <c r="Q464" i="10" s="1"/>
  <c r="W574" i="11"/>
  <c r="AA574" i="11" s="1"/>
  <c r="AA573" i="11"/>
  <c r="AK578" i="11"/>
  <c r="AO577" i="11"/>
  <c r="J1161" i="12"/>
  <c r="J1162" i="12" s="1"/>
  <c r="J1163" i="12"/>
  <c r="J1164" i="12" s="1"/>
  <c r="J1156" i="12"/>
  <c r="J1159" i="12"/>
  <c r="J1160" i="12" s="1"/>
  <c r="J1157" i="12"/>
  <c r="J1158" i="12" s="1"/>
  <c r="G1142" i="12"/>
  <c r="G1143" i="12"/>
  <c r="G1144" i="12" s="1"/>
  <c r="K585" i="11"/>
  <c r="G586" i="11"/>
  <c r="F1153" i="12"/>
  <c r="F1154" i="12" s="1"/>
  <c r="F1152" i="12"/>
  <c r="AY582" i="11"/>
  <c r="BC581" i="11"/>
  <c r="F468" i="10"/>
  <c r="T468" i="10" s="1"/>
  <c r="T467" i="10"/>
  <c r="F471" i="10"/>
  <c r="T470" i="10"/>
  <c r="F1161" i="12"/>
  <c r="F1160" i="12"/>
  <c r="E471" i="10"/>
  <c r="Y470" i="10"/>
  <c r="K470" i="10"/>
  <c r="S470" i="10"/>
  <c r="G467" i="10"/>
  <c r="U466" i="10"/>
  <c r="G1150" i="12"/>
  <c r="G1151" i="12"/>
  <c r="F474" i="10"/>
  <c r="G473" i="10"/>
  <c r="T473" i="10"/>
  <c r="AO573" i="11"/>
  <c r="AK574" i="11"/>
  <c r="AO574" i="11" s="1"/>
  <c r="C590" i="11"/>
  <c r="C591" i="11" s="1"/>
  <c r="C592" i="11" s="1"/>
  <c r="C593" i="11" s="1"/>
  <c r="C594" i="11" s="1"/>
  <c r="E591" i="11"/>
  <c r="E592" i="11" s="1"/>
  <c r="E593" i="11" s="1"/>
  <c r="E594" i="11" s="1"/>
  <c r="F1168" i="12"/>
  <c r="F1169" i="12"/>
  <c r="AK590" i="11"/>
  <c r="AJ591" i="11"/>
  <c r="AJ592" i="11" s="1"/>
  <c r="AJ593" i="11" s="1"/>
  <c r="AJ594" i="11" s="1"/>
  <c r="Q466" i="10"/>
  <c r="C467" i="10"/>
  <c r="AA581" i="11"/>
  <c r="W582" i="11"/>
  <c r="C470" i="10"/>
  <c r="Q469" i="10"/>
  <c r="E1161" i="12"/>
  <c r="E1160" i="12"/>
  <c r="G470" i="10"/>
  <c r="U469" i="10"/>
  <c r="G574" i="11"/>
  <c r="K574" i="11" s="1"/>
  <c r="K573" i="11"/>
  <c r="E474" i="10"/>
  <c r="C473" i="10"/>
  <c r="Y473" i="10"/>
  <c r="S473" i="10"/>
  <c r="K473" i="10"/>
  <c r="AO582" i="11" l="1"/>
  <c r="AK583" i="11"/>
  <c r="J1167" i="12"/>
  <c r="J1168" i="12" s="1"/>
  <c r="J1171" i="12"/>
  <c r="J1172" i="12" s="1"/>
  <c r="J1166" i="12"/>
  <c r="J1173" i="12"/>
  <c r="J1174" i="12" s="1"/>
  <c r="J1169" i="12"/>
  <c r="J1170" i="12" s="1"/>
  <c r="AG590" i="11"/>
  <c r="AG591" i="11" s="1"/>
  <c r="AG592" i="11" s="1"/>
  <c r="AG593" i="11" s="1"/>
  <c r="AG594" i="11" s="1"/>
  <c r="AO590" i="11"/>
  <c r="AK591" i="11"/>
  <c r="F1171" i="12"/>
  <c r="F1170" i="12"/>
  <c r="G468" i="10"/>
  <c r="U468" i="10" s="1"/>
  <c r="U467" i="10"/>
  <c r="BC582" i="11"/>
  <c r="AY583" i="11"/>
  <c r="AK587" i="11"/>
  <c r="AO586" i="11"/>
  <c r="V596" i="11"/>
  <c r="V597" i="11" s="1"/>
  <c r="V598" i="11" s="1"/>
  <c r="V599" i="11" s="1"/>
  <c r="W595" i="11"/>
  <c r="K586" i="11"/>
  <c r="G587" i="11"/>
  <c r="A1205" i="12"/>
  <c r="F1195" i="12"/>
  <c r="E1195" i="12"/>
  <c r="AY595" i="11"/>
  <c r="AX596" i="11"/>
  <c r="AX597" i="11" s="1"/>
  <c r="AX598" i="11" s="1"/>
  <c r="AX599" i="11" s="1"/>
  <c r="C471" i="10"/>
  <c r="Q470" i="10"/>
  <c r="AY579" i="11"/>
  <c r="BC579" i="11" s="1"/>
  <c r="BC578" i="11"/>
  <c r="G1168" i="12"/>
  <c r="G1169" i="12"/>
  <c r="F1163" i="12"/>
  <c r="F1164" i="12" s="1"/>
  <c r="F1162" i="12"/>
  <c r="S590" i="11"/>
  <c r="S591" i="11" s="1"/>
  <c r="S592" i="11" s="1"/>
  <c r="S593" i="11" s="1"/>
  <c r="S594" i="11" s="1"/>
  <c r="AA590" i="11"/>
  <c r="W591" i="11"/>
  <c r="G471" i="10"/>
  <c r="U470" i="10"/>
  <c r="AK579" i="11"/>
  <c r="AO579" i="11" s="1"/>
  <c r="AO578" i="11"/>
  <c r="G1176" i="12"/>
  <c r="J1175" i="12" s="1"/>
  <c r="G1177" i="12"/>
  <c r="E1171" i="12"/>
  <c r="E1170" i="12"/>
  <c r="C474" i="10"/>
  <c r="Q473" i="10"/>
  <c r="C468" i="10"/>
  <c r="Q468" i="10" s="1"/>
  <c r="Q467" i="10"/>
  <c r="F475" i="10"/>
  <c r="T474" i="10"/>
  <c r="F472" i="10"/>
  <c r="T472" i="10" s="1"/>
  <c r="T471" i="10"/>
  <c r="BC586" i="11"/>
  <c r="AY587" i="11"/>
  <c r="K578" i="11"/>
  <c r="G579" i="11"/>
  <c r="K579" i="11" s="1"/>
  <c r="E1179" i="12"/>
  <c r="E1178" i="12"/>
  <c r="W579" i="11"/>
  <c r="AA579" i="11" s="1"/>
  <c r="AA578" i="11"/>
  <c r="G595" i="11"/>
  <c r="F596" i="11"/>
  <c r="F597" i="11" s="1"/>
  <c r="F598" i="11" s="1"/>
  <c r="F599" i="11" s="1"/>
  <c r="E475" i="10"/>
  <c r="Y474" i="10"/>
  <c r="S474" i="10"/>
  <c r="K474" i="10"/>
  <c r="G1152" i="12"/>
  <c r="G1153" i="12"/>
  <c r="G1154" i="12" s="1"/>
  <c r="T477" i="10"/>
  <c r="F478" i="10"/>
  <c r="G477" i="10"/>
  <c r="F1187" i="12"/>
  <c r="F1186" i="12"/>
  <c r="G1185" i="12"/>
  <c r="F1179" i="12"/>
  <c r="F1178" i="12"/>
  <c r="Y468" i="10"/>
  <c r="K468" i="10"/>
  <c r="S468" i="10"/>
  <c r="G583" i="11"/>
  <c r="K582" i="11"/>
  <c r="E472" i="10"/>
  <c r="Y471" i="10"/>
  <c r="K471" i="10"/>
  <c r="S471" i="10"/>
  <c r="E1187" i="12"/>
  <c r="E1186" i="12"/>
  <c r="C1185" i="12" s="1"/>
  <c r="C1186" i="12" s="1"/>
  <c r="C1187" i="12" s="1"/>
  <c r="C1188" i="12" s="1"/>
  <c r="C1189" i="12" s="1"/>
  <c r="C1190" i="12" s="1"/>
  <c r="C1191" i="12" s="1"/>
  <c r="C1192" i="12" s="1"/>
  <c r="C1193" i="12" s="1"/>
  <c r="C1194" i="12" s="1"/>
  <c r="G591" i="11"/>
  <c r="K590" i="11"/>
  <c r="U473" i="10"/>
  <c r="G474" i="10"/>
  <c r="AU590" i="11"/>
  <c r="AU591" i="11" s="1"/>
  <c r="AU592" i="11" s="1"/>
  <c r="AU593" i="11" s="1"/>
  <c r="AU594" i="11" s="1"/>
  <c r="AY591" i="11"/>
  <c r="BC590" i="11"/>
  <c r="F481" i="10"/>
  <c r="A482" i="10"/>
  <c r="A483" i="10" s="1"/>
  <c r="A484" i="10" s="1"/>
  <c r="A485" i="10"/>
  <c r="E481" i="10"/>
  <c r="AK595" i="11"/>
  <c r="AJ596" i="11"/>
  <c r="AJ597" i="11" s="1"/>
  <c r="AJ598" i="11" s="1"/>
  <c r="AJ599" i="11" s="1"/>
  <c r="E596" i="11"/>
  <c r="E597" i="11" s="1"/>
  <c r="E598" i="11" s="1"/>
  <c r="E599" i="11" s="1"/>
  <c r="C595" i="11"/>
  <c r="C596" i="11" s="1"/>
  <c r="C597" i="11" s="1"/>
  <c r="C598" i="11" s="1"/>
  <c r="C599" i="11" s="1"/>
  <c r="E1163" i="12"/>
  <c r="E1164" i="12" s="1"/>
  <c r="E1162" i="12"/>
  <c r="G1161" i="12"/>
  <c r="G1160" i="12"/>
  <c r="AW600" i="11"/>
  <c r="AW601" i="11" s="1"/>
  <c r="AW602" i="11" s="1"/>
  <c r="AW603" i="11" s="1"/>
  <c r="AW604" i="11" s="1"/>
  <c r="U600" i="11"/>
  <c r="U601" i="11" s="1"/>
  <c r="U602" i="11" s="1"/>
  <c r="U603" i="11" s="1"/>
  <c r="U604" i="11" s="1"/>
  <c r="E600" i="11"/>
  <c r="AX600" i="11"/>
  <c r="A605" i="11"/>
  <c r="AJ600" i="11"/>
  <c r="AI600" i="11"/>
  <c r="AI601" i="11" s="1"/>
  <c r="AI602" i="11" s="1"/>
  <c r="AI603" i="11" s="1"/>
  <c r="AI604" i="11" s="1"/>
  <c r="F600" i="11"/>
  <c r="V600" i="11"/>
  <c r="W583" i="11"/>
  <c r="AA582" i="11"/>
  <c r="AA586" i="11"/>
  <c r="W587" i="11"/>
  <c r="Y477" i="10"/>
  <c r="S477" i="10"/>
  <c r="E478" i="10"/>
  <c r="C477" i="10"/>
  <c r="K477" i="10"/>
  <c r="G600" i="11" l="1"/>
  <c r="F601" i="11"/>
  <c r="F602" i="11" s="1"/>
  <c r="F603" i="11" s="1"/>
  <c r="F604" i="11" s="1"/>
  <c r="E1172" i="12"/>
  <c r="E1173" i="12"/>
  <c r="E1174" i="12" s="1"/>
  <c r="G1170" i="12"/>
  <c r="G1171" i="12"/>
  <c r="BC587" i="11"/>
  <c r="AY588" i="11"/>
  <c r="G1179" i="12"/>
  <c r="G1178" i="12"/>
  <c r="S595" i="11"/>
  <c r="S596" i="11" s="1"/>
  <c r="S597" i="11" s="1"/>
  <c r="S598" i="11" s="1"/>
  <c r="S599" i="11" s="1"/>
  <c r="W596" i="11"/>
  <c r="AA595" i="11"/>
  <c r="V605" i="11"/>
  <c r="U605" i="11"/>
  <c r="U606" i="11" s="1"/>
  <c r="U607" i="11" s="1"/>
  <c r="U608" i="11" s="1"/>
  <c r="U609" i="11" s="1"/>
  <c r="AI605" i="11"/>
  <c r="AI606" i="11" s="1"/>
  <c r="AI607" i="11" s="1"/>
  <c r="AI608" i="11" s="1"/>
  <c r="AI609" i="11" s="1"/>
  <c r="A610" i="11"/>
  <c r="E605" i="11"/>
  <c r="AX605" i="11"/>
  <c r="AW605" i="11"/>
  <c r="AW606" i="11" s="1"/>
  <c r="AW607" i="11" s="1"/>
  <c r="AW608" i="11" s="1"/>
  <c r="AW609" i="11" s="1"/>
  <c r="AJ605" i="11"/>
  <c r="F605" i="11"/>
  <c r="AK596" i="11"/>
  <c r="AO595" i="11"/>
  <c r="AG595" i="11"/>
  <c r="AG596" i="11" s="1"/>
  <c r="AG597" i="11" s="1"/>
  <c r="AG598" i="11" s="1"/>
  <c r="AG599" i="11" s="1"/>
  <c r="G1163" i="12"/>
  <c r="G1164" i="12" s="1"/>
  <c r="G1162" i="12"/>
  <c r="AY592" i="11"/>
  <c r="BC591" i="11"/>
  <c r="Y472" i="10"/>
  <c r="K472" i="10"/>
  <c r="S472" i="10"/>
  <c r="T478" i="10"/>
  <c r="F479" i="10"/>
  <c r="F1197" i="12"/>
  <c r="G1195" i="12"/>
  <c r="F1196" i="12"/>
  <c r="W600" i="11"/>
  <c r="V601" i="11"/>
  <c r="V602" i="11" s="1"/>
  <c r="V603" i="11" s="1"/>
  <c r="V604" i="11" s="1"/>
  <c r="U474" i="10"/>
  <c r="G475" i="10"/>
  <c r="G584" i="11"/>
  <c r="K584" i="11" s="1"/>
  <c r="K583" i="11"/>
  <c r="K587" i="11"/>
  <c r="G588" i="11"/>
  <c r="AO591" i="11"/>
  <c r="AK592" i="11"/>
  <c r="U477" i="10"/>
  <c r="G478" i="10"/>
  <c r="AA583" i="11"/>
  <c r="W584" i="11"/>
  <c r="AA584" i="11" s="1"/>
  <c r="E1181" i="12"/>
  <c r="E1180" i="12"/>
  <c r="C475" i="10"/>
  <c r="Q474" i="10"/>
  <c r="F1205" i="12"/>
  <c r="E1205" i="12"/>
  <c r="A1215" i="12"/>
  <c r="F1172" i="12"/>
  <c r="F1173" i="12"/>
  <c r="F1174" i="12" s="1"/>
  <c r="AK600" i="11"/>
  <c r="AJ601" i="11"/>
  <c r="AJ602" i="11" s="1"/>
  <c r="AJ603" i="11" s="1"/>
  <c r="AJ604" i="11" s="1"/>
  <c r="G592" i="11"/>
  <c r="K591" i="11"/>
  <c r="Y478" i="10"/>
  <c r="S478" i="10"/>
  <c r="E479" i="10"/>
  <c r="K478" i="10"/>
  <c r="E482" i="10"/>
  <c r="Y481" i="10"/>
  <c r="S481" i="10"/>
  <c r="C481" i="10"/>
  <c r="K481" i="10"/>
  <c r="F1181" i="12"/>
  <c r="F1180" i="12"/>
  <c r="Y475" i="10"/>
  <c r="E476" i="10"/>
  <c r="K475" i="10"/>
  <c r="S475" i="10"/>
  <c r="AK588" i="11"/>
  <c r="AO587" i="11"/>
  <c r="C600" i="11"/>
  <c r="C601" i="11" s="1"/>
  <c r="C602" i="11" s="1"/>
  <c r="C603" i="11" s="1"/>
  <c r="C604" i="11" s="1"/>
  <c r="E601" i="11"/>
  <c r="E602" i="11" s="1"/>
  <c r="E603" i="11" s="1"/>
  <c r="E604" i="11" s="1"/>
  <c r="F485" i="10"/>
  <c r="E485" i="10"/>
  <c r="A489" i="10"/>
  <c r="A486" i="10"/>
  <c r="A487" i="10" s="1"/>
  <c r="A488" i="10" s="1"/>
  <c r="E1189" i="12"/>
  <c r="E1188" i="12"/>
  <c r="G1187" i="12"/>
  <c r="G1186" i="12"/>
  <c r="J1185" i="12" s="1"/>
  <c r="C472" i="10"/>
  <c r="Q472" i="10" s="1"/>
  <c r="Q471" i="10"/>
  <c r="AY584" i="11"/>
  <c r="BC584" i="11" s="1"/>
  <c r="BC583" i="11"/>
  <c r="AX601" i="11"/>
  <c r="AX602" i="11" s="1"/>
  <c r="AX603" i="11" s="1"/>
  <c r="AX604" i="11" s="1"/>
  <c r="AY600" i="11"/>
  <c r="K595" i="11"/>
  <c r="G596" i="11"/>
  <c r="T475" i="10"/>
  <c r="F476" i="10"/>
  <c r="T476" i="10" s="1"/>
  <c r="G472" i="10"/>
  <c r="U472" i="10" s="1"/>
  <c r="U471" i="10"/>
  <c r="AA587" i="11"/>
  <c r="W588" i="11"/>
  <c r="T481" i="10"/>
  <c r="F482" i="10"/>
  <c r="G481" i="10"/>
  <c r="F1189" i="12"/>
  <c r="F1188" i="12"/>
  <c r="AA591" i="11"/>
  <c r="W592" i="11"/>
  <c r="AU595" i="11"/>
  <c r="AU596" i="11" s="1"/>
  <c r="AU597" i="11" s="1"/>
  <c r="AU598" i="11" s="1"/>
  <c r="AU599" i="11" s="1"/>
  <c r="BC595" i="11"/>
  <c r="AY596" i="11"/>
  <c r="AK584" i="11"/>
  <c r="AO584" i="11" s="1"/>
  <c r="AO583" i="11"/>
  <c r="J1179" i="12"/>
  <c r="J1180" i="12" s="1"/>
  <c r="J1181" i="12"/>
  <c r="J1182" i="12" s="1"/>
  <c r="J1176" i="12"/>
  <c r="J1177" i="12"/>
  <c r="J1178" i="12" s="1"/>
  <c r="J1183" i="12"/>
  <c r="J1184" i="12" s="1"/>
  <c r="C478" i="10"/>
  <c r="Q477" i="10"/>
  <c r="E1196" i="12"/>
  <c r="C1195" i="12"/>
  <c r="C1196" i="12" s="1"/>
  <c r="C1197" i="12" s="1"/>
  <c r="C1198" i="12" s="1"/>
  <c r="C1199" i="12" s="1"/>
  <c r="C1200" i="12" s="1"/>
  <c r="C1201" i="12" s="1"/>
  <c r="C1202" i="12" s="1"/>
  <c r="C1203" i="12" s="1"/>
  <c r="C1204" i="12" s="1"/>
  <c r="E1197" i="12"/>
  <c r="G605" i="11" l="1"/>
  <c r="F606" i="11"/>
  <c r="F607" i="11" s="1"/>
  <c r="F608" i="11" s="1"/>
  <c r="F609" i="11" s="1"/>
  <c r="W589" i="11"/>
  <c r="AA589" i="11" s="1"/>
  <c r="AA588" i="11"/>
  <c r="E483" i="10"/>
  <c r="Y482" i="10"/>
  <c r="S482" i="10"/>
  <c r="K482" i="10"/>
  <c r="K588" i="11"/>
  <c r="G589" i="11"/>
  <c r="K589" i="11" s="1"/>
  <c r="AJ606" i="11"/>
  <c r="AJ607" i="11" s="1"/>
  <c r="AJ608" i="11" s="1"/>
  <c r="AJ609" i="11" s="1"/>
  <c r="AK605" i="11"/>
  <c r="G1181" i="12"/>
  <c r="G1180" i="12"/>
  <c r="E1198" i="12"/>
  <c r="E1199" i="12"/>
  <c r="BC596" i="11"/>
  <c r="AY597" i="11"/>
  <c r="C482" i="10"/>
  <c r="Q481" i="10"/>
  <c r="G1197" i="12"/>
  <c r="G1196" i="12"/>
  <c r="J1195" i="12" s="1"/>
  <c r="AA596" i="11"/>
  <c r="W597" i="11"/>
  <c r="AK589" i="11"/>
  <c r="AO589" i="11" s="1"/>
  <c r="AO588" i="11"/>
  <c r="G1205" i="12"/>
  <c r="F1207" i="12"/>
  <c r="F1206" i="12"/>
  <c r="C605" i="11"/>
  <c r="C606" i="11" s="1"/>
  <c r="C607" i="11" s="1"/>
  <c r="C608" i="11" s="1"/>
  <c r="C609" i="11" s="1"/>
  <c r="E606" i="11"/>
  <c r="E607" i="11" s="1"/>
  <c r="E608" i="11" s="1"/>
  <c r="E609" i="11" s="1"/>
  <c r="G482" i="10"/>
  <c r="U481" i="10"/>
  <c r="G485" i="10"/>
  <c r="T485" i="10"/>
  <c r="F486" i="10"/>
  <c r="F483" i="10"/>
  <c r="T482" i="10"/>
  <c r="AO592" i="11"/>
  <c r="AK593" i="11"/>
  <c r="F1198" i="12"/>
  <c r="F1199" i="12"/>
  <c r="AK597" i="11"/>
  <c r="AO596" i="11"/>
  <c r="Y476" i="10"/>
  <c r="S476" i="10"/>
  <c r="K476" i="10"/>
  <c r="U475" i="10"/>
  <c r="G476" i="10"/>
  <c r="U476" i="10" s="1"/>
  <c r="AX610" i="11"/>
  <c r="AW610" i="11"/>
  <c r="AW611" i="11" s="1"/>
  <c r="AW612" i="11" s="1"/>
  <c r="AW613" i="11" s="1"/>
  <c r="AW614" i="11" s="1"/>
  <c r="A615" i="11"/>
  <c r="AJ610" i="11"/>
  <c r="E610" i="11"/>
  <c r="V610" i="11"/>
  <c r="U610" i="11"/>
  <c r="U611" i="11" s="1"/>
  <c r="U612" i="11" s="1"/>
  <c r="U613" i="11" s="1"/>
  <c r="U614" i="11" s="1"/>
  <c r="F610" i="11"/>
  <c r="AI610" i="11"/>
  <c r="AI611" i="11" s="1"/>
  <c r="AI612" i="11" s="1"/>
  <c r="AI613" i="11" s="1"/>
  <c r="AI614" i="11" s="1"/>
  <c r="BC588" i="11"/>
  <c r="AY589" i="11"/>
  <c r="BC589" i="11" s="1"/>
  <c r="G1189" i="12"/>
  <c r="G1188" i="12"/>
  <c r="E1182" i="12"/>
  <c r="E1183" i="12"/>
  <c r="E1184" i="12" s="1"/>
  <c r="AY593" i="11"/>
  <c r="BC592" i="11"/>
  <c r="J1191" i="12"/>
  <c r="J1192" i="12" s="1"/>
  <c r="J1189" i="12"/>
  <c r="J1190" i="12" s="1"/>
  <c r="J1186" i="12"/>
  <c r="J1187" i="12"/>
  <c r="J1188" i="12" s="1"/>
  <c r="J1193" i="12"/>
  <c r="J1194" i="12" s="1"/>
  <c r="Y479" i="10"/>
  <c r="S479" i="10"/>
  <c r="E480" i="10"/>
  <c r="K479" i="10"/>
  <c r="C476" i="10"/>
  <c r="Q476" i="10" s="1"/>
  <c r="Q475" i="10"/>
  <c r="G1173" i="12"/>
  <c r="G1174" i="12" s="1"/>
  <c r="G1172" i="12"/>
  <c r="C479" i="10"/>
  <c r="Q478" i="10"/>
  <c r="K596" i="11"/>
  <c r="G597" i="11"/>
  <c r="K592" i="11"/>
  <c r="G593" i="11"/>
  <c r="A490" i="10"/>
  <c r="A491" i="10" s="1"/>
  <c r="A492" i="10" s="1"/>
  <c r="A493" i="10"/>
  <c r="F489" i="10"/>
  <c r="E489" i="10"/>
  <c r="F1182" i="12"/>
  <c r="F1183" i="12"/>
  <c r="F1184" i="12" s="1"/>
  <c r="S600" i="11"/>
  <c r="S601" i="11" s="1"/>
  <c r="S602" i="11" s="1"/>
  <c r="S603" i="11" s="1"/>
  <c r="S604" i="11" s="1"/>
  <c r="W601" i="11"/>
  <c r="AA600" i="11"/>
  <c r="V606" i="11"/>
  <c r="V607" i="11" s="1"/>
  <c r="V608" i="11" s="1"/>
  <c r="V609" i="11" s="1"/>
  <c r="W605" i="11"/>
  <c r="A1225" i="12"/>
  <c r="F1215" i="12"/>
  <c r="E1215" i="12"/>
  <c r="T479" i="10"/>
  <c r="F480" i="10"/>
  <c r="T480" i="10" s="1"/>
  <c r="E1207" i="12"/>
  <c r="E1206" i="12"/>
  <c r="C1205" i="12" s="1"/>
  <c r="C1206" i="12" s="1"/>
  <c r="C1207" i="12" s="1"/>
  <c r="C1208" i="12" s="1"/>
  <c r="C1209" i="12" s="1"/>
  <c r="C1210" i="12" s="1"/>
  <c r="C1211" i="12" s="1"/>
  <c r="C1212" i="12" s="1"/>
  <c r="C1213" i="12" s="1"/>
  <c r="C1214" i="12" s="1"/>
  <c r="AY605" i="11"/>
  <c r="AX606" i="11"/>
  <c r="AX607" i="11" s="1"/>
  <c r="AX608" i="11" s="1"/>
  <c r="AX609" i="11" s="1"/>
  <c r="W593" i="11"/>
  <c r="AA592" i="11"/>
  <c r="E1190" i="12"/>
  <c r="E1191" i="12"/>
  <c r="F1190" i="12"/>
  <c r="F1191" i="12"/>
  <c r="AY601" i="11"/>
  <c r="BC600" i="11"/>
  <c r="AU600" i="11"/>
  <c r="AU601" i="11" s="1"/>
  <c r="AU602" i="11" s="1"/>
  <c r="AU603" i="11" s="1"/>
  <c r="AU604" i="11" s="1"/>
  <c r="E486" i="10"/>
  <c r="C485" i="10"/>
  <c r="Y485" i="10"/>
  <c r="K485" i="10"/>
  <c r="S485" i="10"/>
  <c r="AO600" i="11"/>
  <c r="AK601" i="11"/>
  <c r="AG600" i="11"/>
  <c r="AG601" i="11" s="1"/>
  <c r="AG602" i="11" s="1"/>
  <c r="AG603" i="11" s="1"/>
  <c r="AG604" i="11" s="1"/>
  <c r="U478" i="10"/>
  <c r="G479" i="10"/>
  <c r="G601" i="11"/>
  <c r="K600" i="11"/>
  <c r="W606" i="11" l="1"/>
  <c r="S605" i="11"/>
  <c r="S606" i="11" s="1"/>
  <c r="S607" i="11" s="1"/>
  <c r="S608" i="11" s="1"/>
  <c r="S609" i="11" s="1"/>
  <c r="AA605" i="11"/>
  <c r="T486" i="10"/>
  <c r="F487" i="10"/>
  <c r="W598" i="11"/>
  <c r="AA597" i="11"/>
  <c r="AK606" i="11"/>
  <c r="AO605" i="11"/>
  <c r="AG605" i="11"/>
  <c r="AG606" i="11" s="1"/>
  <c r="AG607" i="11" s="1"/>
  <c r="AG608" i="11" s="1"/>
  <c r="AG609" i="11" s="1"/>
  <c r="G486" i="10"/>
  <c r="U485" i="10"/>
  <c r="G483" i="10"/>
  <c r="U482" i="10"/>
  <c r="AA593" i="11"/>
  <c r="W594" i="11"/>
  <c r="AA594" i="11" s="1"/>
  <c r="G598" i="11"/>
  <c r="K597" i="11"/>
  <c r="C610" i="11"/>
  <c r="C611" i="11" s="1"/>
  <c r="C612" i="11" s="1"/>
  <c r="C613" i="11" s="1"/>
  <c r="C614" i="11" s="1"/>
  <c r="E611" i="11"/>
  <c r="E612" i="11" s="1"/>
  <c r="E613" i="11" s="1"/>
  <c r="E614" i="11" s="1"/>
  <c r="F1200" i="12"/>
  <c r="F1201" i="12"/>
  <c r="BC597" i="11"/>
  <c r="AY598" i="11"/>
  <c r="BC601" i="11"/>
  <c r="AY602" i="11"/>
  <c r="E490" i="10"/>
  <c r="Y489" i="10"/>
  <c r="S489" i="10"/>
  <c r="C489" i="10"/>
  <c r="K489" i="10"/>
  <c r="AY594" i="11"/>
  <c r="BC594" i="11" s="1"/>
  <c r="BC593" i="11"/>
  <c r="AK610" i="11"/>
  <c r="AJ611" i="11"/>
  <c r="AJ612" i="11" s="1"/>
  <c r="AJ613" i="11" s="1"/>
  <c r="AJ614" i="11" s="1"/>
  <c r="E484" i="10"/>
  <c r="Y483" i="10"/>
  <c r="K483" i="10"/>
  <c r="S483" i="10"/>
  <c r="J1196" i="12"/>
  <c r="J1197" i="12"/>
  <c r="J1198" i="12" s="1"/>
  <c r="J1199" i="12"/>
  <c r="J1200" i="12" s="1"/>
  <c r="J1203" i="12"/>
  <c r="J1204" i="12" s="1"/>
  <c r="J1201" i="12"/>
  <c r="J1202" i="12" s="1"/>
  <c r="BC605" i="11"/>
  <c r="AU605" i="11"/>
  <c r="AU606" i="11" s="1"/>
  <c r="AU607" i="11" s="1"/>
  <c r="AU608" i="11" s="1"/>
  <c r="AU609" i="11" s="1"/>
  <c r="AY606" i="11"/>
  <c r="V611" i="11"/>
  <c r="V612" i="11" s="1"/>
  <c r="V613" i="11" s="1"/>
  <c r="V614" i="11" s="1"/>
  <c r="W610" i="11"/>
  <c r="C483" i="10"/>
  <c r="Q482" i="10"/>
  <c r="G480" i="10"/>
  <c r="U480" i="10" s="1"/>
  <c r="U479" i="10"/>
  <c r="F1192" i="12"/>
  <c r="F1193" i="12"/>
  <c r="F1194" i="12" s="1"/>
  <c r="T489" i="10"/>
  <c r="F490" i="10"/>
  <c r="G489" i="10"/>
  <c r="AJ615" i="11"/>
  <c r="AI615" i="11"/>
  <c r="AI616" i="11" s="1"/>
  <c r="AI617" i="11" s="1"/>
  <c r="AI618" i="11" s="1"/>
  <c r="AI619" i="11" s="1"/>
  <c r="A620" i="11"/>
  <c r="V615" i="11"/>
  <c r="U615" i="11"/>
  <c r="U616" i="11" s="1"/>
  <c r="U617" i="11" s="1"/>
  <c r="U618" i="11" s="1"/>
  <c r="U619" i="11" s="1"/>
  <c r="AW615" i="11"/>
  <c r="AW616" i="11" s="1"/>
  <c r="AW617" i="11" s="1"/>
  <c r="AW618" i="11" s="1"/>
  <c r="AW619" i="11" s="1"/>
  <c r="AX615" i="11"/>
  <c r="E615" i="11"/>
  <c r="F615" i="11"/>
  <c r="AO593" i="11"/>
  <c r="AK594" i="11"/>
  <c r="AO594" i="11" s="1"/>
  <c r="F1208" i="12"/>
  <c r="F1209" i="12"/>
  <c r="E1200" i="12"/>
  <c r="E1201" i="12"/>
  <c r="Q479" i="10"/>
  <c r="C480" i="10"/>
  <c r="Q480" i="10" s="1"/>
  <c r="G1207" i="12"/>
  <c r="G1206" i="12"/>
  <c r="J1205" i="12" s="1"/>
  <c r="Q485" i="10"/>
  <c r="C486" i="10"/>
  <c r="G610" i="11"/>
  <c r="F611" i="11"/>
  <c r="F612" i="11" s="1"/>
  <c r="F613" i="11" s="1"/>
  <c r="F614" i="11" s="1"/>
  <c r="G1199" i="12"/>
  <c r="G1198" i="12"/>
  <c r="S486" i="10"/>
  <c r="K486" i="10"/>
  <c r="E487" i="10"/>
  <c r="Y486" i="10"/>
  <c r="E1209" i="12"/>
  <c r="E1208" i="12"/>
  <c r="G602" i="11"/>
  <c r="K601" i="11"/>
  <c r="E1216" i="12"/>
  <c r="E1217" i="12"/>
  <c r="C1215" i="12"/>
  <c r="C1216" i="12" s="1"/>
  <c r="C1217" i="12" s="1"/>
  <c r="C1218" i="12" s="1"/>
  <c r="C1219" i="12" s="1"/>
  <c r="C1220" i="12" s="1"/>
  <c r="C1221" i="12" s="1"/>
  <c r="C1222" i="12" s="1"/>
  <c r="C1223" i="12" s="1"/>
  <c r="C1224" i="12" s="1"/>
  <c r="F493" i="10"/>
  <c r="E493" i="10"/>
  <c r="A497" i="10"/>
  <c r="A494" i="10"/>
  <c r="A495" i="10" s="1"/>
  <c r="A496" i="10" s="1"/>
  <c r="AO601" i="11"/>
  <c r="AK602" i="11"/>
  <c r="E1192" i="12"/>
  <c r="E1193" i="12"/>
  <c r="E1194" i="12" s="1"/>
  <c r="F1216" i="12"/>
  <c r="G1215" i="12"/>
  <c r="F1217" i="12"/>
  <c r="Y480" i="10"/>
  <c r="S480" i="10"/>
  <c r="K480" i="10"/>
  <c r="AX611" i="11"/>
  <c r="AX612" i="11" s="1"/>
  <c r="AX613" i="11" s="1"/>
  <c r="AX614" i="11" s="1"/>
  <c r="AY610" i="11"/>
  <c r="AA601" i="11"/>
  <c r="W602" i="11"/>
  <c r="AK598" i="11"/>
  <c r="AO597" i="11"/>
  <c r="E1225" i="12"/>
  <c r="A1235" i="12"/>
  <c r="F1225" i="12"/>
  <c r="G594" i="11"/>
  <c r="K594" i="11" s="1"/>
  <c r="K593" i="11"/>
  <c r="G1191" i="12"/>
  <c r="G1190" i="12"/>
  <c r="F484" i="10"/>
  <c r="T484" i="10" s="1"/>
  <c r="T483" i="10"/>
  <c r="G1183" i="12"/>
  <c r="G1184" i="12" s="1"/>
  <c r="G1182" i="12"/>
  <c r="K605" i="11"/>
  <c r="G606" i="11"/>
  <c r="G1200" i="12" l="1"/>
  <c r="G1201" i="12"/>
  <c r="U489" i="10"/>
  <c r="G490" i="10"/>
  <c r="A1245" i="12"/>
  <c r="F1235" i="12"/>
  <c r="E1235" i="12"/>
  <c r="AK607" i="11"/>
  <c r="AO606" i="11"/>
  <c r="C487" i="10"/>
  <c r="Q486" i="10"/>
  <c r="G1192" i="12"/>
  <c r="G1193" i="12"/>
  <c r="G1194" i="12" s="1"/>
  <c r="K493" i="10"/>
  <c r="C493" i="10"/>
  <c r="S493" i="10"/>
  <c r="E494" i="10"/>
  <c r="Y493" i="10"/>
  <c r="K484" i="10"/>
  <c r="Y484" i="10"/>
  <c r="S484" i="10"/>
  <c r="AY599" i="11"/>
  <c r="BC599" i="11" s="1"/>
  <c r="BC598" i="11"/>
  <c r="F1203" i="12"/>
  <c r="F1204" i="12" s="1"/>
  <c r="F1202" i="12"/>
  <c r="E1227" i="12"/>
  <c r="E1226" i="12"/>
  <c r="G615" i="11"/>
  <c r="F616" i="11"/>
  <c r="F617" i="11" s="1"/>
  <c r="F618" i="11" s="1"/>
  <c r="F619" i="11" s="1"/>
  <c r="E616" i="11"/>
  <c r="E617" i="11" s="1"/>
  <c r="E618" i="11" s="1"/>
  <c r="E619" i="11" s="1"/>
  <c r="C615" i="11"/>
  <c r="C616" i="11" s="1"/>
  <c r="C617" i="11" s="1"/>
  <c r="C618" i="11" s="1"/>
  <c r="C619" i="11" s="1"/>
  <c r="C490" i="10"/>
  <c r="Q489" i="10"/>
  <c r="W599" i="11"/>
  <c r="AA599" i="11" s="1"/>
  <c r="AA598" i="11"/>
  <c r="AO598" i="11"/>
  <c r="AK599" i="11"/>
  <c r="AO599" i="11" s="1"/>
  <c r="K598" i="11"/>
  <c r="G599" i="11"/>
  <c r="K599" i="11" s="1"/>
  <c r="G493" i="10"/>
  <c r="F494" i="10"/>
  <c r="T493" i="10"/>
  <c r="F1211" i="12"/>
  <c r="F1210" i="12"/>
  <c r="AJ616" i="11"/>
  <c r="AJ617" i="11" s="1"/>
  <c r="AJ618" i="11" s="1"/>
  <c r="AJ619" i="11" s="1"/>
  <c r="AK615" i="11"/>
  <c r="AY607" i="11"/>
  <c r="BC606" i="11"/>
  <c r="G487" i="10"/>
  <c r="U486" i="10"/>
  <c r="T490" i="10"/>
  <c r="F491" i="10"/>
  <c r="J1209" i="12"/>
  <c r="J1210" i="12" s="1"/>
  <c r="J1207" i="12"/>
  <c r="J1208" i="12" s="1"/>
  <c r="J1213" i="12"/>
  <c r="J1214" i="12" s="1"/>
  <c r="J1206" i="12"/>
  <c r="J1211" i="12"/>
  <c r="J1212" i="12" s="1"/>
  <c r="T487" i="10"/>
  <c r="F488" i="10"/>
  <c r="T488" i="10" s="1"/>
  <c r="W603" i="11"/>
  <c r="AA602" i="11"/>
  <c r="AO602" i="11"/>
  <c r="AK603" i="11"/>
  <c r="E1210" i="12"/>
  <c r="E1211" i="12"/>
  <c r="G1208" i="12"/>
  <c r="G1209" i="12"/>
  <c r="AO610" i="11"/>
  <c r="AG610" i="11"/>
  <c r="AG611" i="11" s="1"/>
  <c r="AG612" i="11" s="1"/>
  <c r="AG613" i="11" s="1"/>
  <c r="AG614" i="11" s="1"/>
  <c r="AK611" i="11"/>
  <c r="G1216" i="12"/>
  <c r="J1215" i="12" s="1"/>
  <c r="G1217" i="12"/>
  <c r="G611" i="11"/>
  <c r="K610" i="11"/>
  <c r="Y490" i="10"/>
  <c r="E491" i="10"/>
  <c r="S490" i="10"/>
  <c r="K490" i="10"/>
  <c r="F1227" i="12"/>
  <c r="F1226" i="12"/>
  <c r="C1225" i="12" s="1"/>
  <c r="C1226" i="12" s="1"/>
  <c r="C1227" i="12" s="1"/>
  <c r="C1228" i="12" s="1"/>
  <c r="C1229" i="12" s="1"/>
  <c r="C1230" i="12" s="1"/>
  <c r="C1231" i="12" s="1"/>
  <c r="C1232" i="12" s="1"/>
  <c r="C1233" i="12" s="1"/>
  <c r="C1234" i="12" s="1"/>
  <c r="G1225" i="12"/>
  <c r="E1219" i="12"/>
  <c r="E1218" i="12"/>
  <c r="K606" i="11"/>
  <c r="G607" i="11"/>
  <c r="G603" i="11"/>
  <c r="K602" i="11"/>
  <c r="BC610" i="11"/>
  <c r="AU610" i="11"/>
  <c r="AU611" i="11" s="1"/>
  <c r="AU612" i="11" s="1"/>
  <c r="AU613" i="11" s="1"/>
  <c r="AU614" i="11" s="1"/>
  <c r="AY611" i="11"/>
  <c r="S487" i="10"/>
  <c r="K487" i="10"/>
  <c r="Y487" i="10"/>
  <c r="E488" i="10"/>
  <c r="C484" i="10"/>
  <c r="Q484" i="10" s="1"/>
  <c r="Q483" i="10"/>
  <c r="AY603" i="11"/>
  <c r="BC602" i="11"/>
  <c r="F1218" i="12"/>
  <c r="F1219" i="12"/>
  <c r="AX616" i="11"/>
  <c r="AX617" i="11" s="1"/>
  <c r="AX618" i="11" s="1"/>
  <c r="AX619" i="11" s="1"/>
  <c r="AY615" i="11"/>
  <c r="W615" i="11"/>
  <c r="V616" i="11"/>
  <c r="V617" i="11" s="1"/>
  <c r="V618" i="11" s="1"/>
  <c r="V619" i="11" s="1"/>
  <c r="A498" i="10"/>
  <c r="A499" i="10" s="1"/>
  <c r="A500" i="10" s="1"/>
  <c r="A501" i="10"/>
  <c r="F497" i="10"/>
  <c r="E497" i="10"/>
  <c r="E1203" i="12"/>
  <c r="E1204" i="12" s="1"/>
  <c r="E1202" i="12"/>
  <c r="F620" i="11"/>
  <c r="A625" i="11"/>
  <c r="AJ620" i="11"/>
  <c r="E620" i="11"/>
  <c r="AW620" i="11"/>
  <c r="AW621" i="11" s="1"/>
  <c r="AW622" i="11" s="1"/>
  <c r="AW623" i="11" s="1"/>
  <c r="AW624" i="11" s="1"/>
  <c r="U620" i="11"/>
  <c r="U621" i="11" s="1"/>
  <c r="U622" i="11" s="1"/>
  <c r="U623" i="11" s="1"/>
  <c r="U624" i="11" s="1"/>
  <c r="V620" i="11"/>
  <c r="AI620" i="11"/>
  <c r="AI621" i="11" s="1"/>
  <c r="AI622" i="11" s="1"/>
  <c r="AI623" i="11" s="1"/>
  <c r="AI624" i="11" s="1"/>
  <c r="AX620" i="11"/>
  <c r="S610" i="11"/>
  <c r="S611" i="11" s="1"/>
  <c r="S612" i="11" s="1"/>
  <c r="S613" i="11" s="1"/>
  <c r="S614" i="11" s="1"/>
  <c r="W611" i="11"/>
  <c r="AA610" i="11"/>
  <c r="G484" i="10"/>
  <c r="U484" i="10" s="1"/>
  <c r="U483" i="10"/>
  <c r="W607" i="11"/>
  <c r="AA606" i="11"/>
  <c r="C491" i="10" l="1"/>
  <c r="Q490" i="10"/>
  <c r="AJ621" i="11"/>
  <c r="AJ622" i="11" s="1"/>
  <c r="AJ623" i="11" s="1"/>
  <c r="AJ624" i="11" s="1"/>
  <c r="AK620" i="11"/>
  <c r="K607" i="11"/>
  <c r="G608" i="11"/>
  <c r="AX621" i="11"/>
  <c r="AX622" i="11" s="1"/>
  <c r="AX623" i="11" s="1"/>
  <c r="AX624" i="11" s="1"/>
  <c r="AY620" i="11"/>
  <c r="J1221" i="12"/>
  <c r="J1222" i="12" s="1"/>
  <c r="J1216" i="12"/>
  <c r="J1223" i="12"/>
  <c r="J1224" i="12" s="1"/>
  <c r="J1219" i="12"/>
  <c r="J1220" i="12" s="1"/>
  <c r="J1217" i="12"/>
  <c r="J1218" i="12" s="1"/>
  <c r="AY608" i="11"/>
  <c r="BC607" i="11"/>
  <c r="W616" i="11"/>
  <c r="AA615" i="11"/>
  <c r="S615" i="11"/>
  <c r="S616" i="11" s="1"/>
  <c r="S617" i="11" s="1"/>
  <c r="S618" i="11" s="1"/>
  <c r="S619" i="11" s="1"/>
  <c r="F1229" i="12"/>
  <c r="F1228" i="12"/>
  <c r="G1210" i="12"/>
  <c r="G1211" i="12"/>
  <c r="F1213" i="12"/>
  <c r="F1214" i="12" s="1"/>
  <c r="F1212" i="12"/>
  <c r="C620" i="11"/>
  <c r="C621" i="11" s="1"/>
  <c r="C622" i="11" s="1"/>
  <c r="C623" i="11" s="1"/>
  <c r="C624" i="11" s="1"/>
  <c r="E621" i="11"/>
  <c r="E622" i="11" s="1"/>
  <c r="E623" i="11" s="1"/>
  <c r="E624" i="11" s="1"/>
  <c r="E1236" i="12"/>
  <c r="E1237" i="12"/>
  <c r="AA607" i="11"/>
  <c r="W608" i="11"/>
  <c r="K603" i="11"/>
  <c r="G604" i="11"/>
  <c r="K604" i="11" s="1"/>
  <c r="AA611" i="11"/>
  <c r="W612" i="11"/>
  <c r="AY604" i="11"/>
  <c r="BC604" i="11" s="1"/>
  <c r="BC603" i="11"/>
  <c r="G612" i="11"/>
  <c r="K611" i="11"/>
  <c r="G497" i="10"/>
  <c r="T497" i="10"/>
  <c r="F498" i="10"/>
  <c r="A505" i="10"/>
  <c r="E501" i="10"/>
  <c r="F501" i="10"/>
  <c r="A502" i="10"/>
  <c r="A503" i="10" s="1"/>
  <c r="A504" i="10" s="1"/>
  <c r="Y488" i="10"/>
  <c r="S488" i="10"/>
  <c r="K488" i="10"/>
  <c r="E1221" i="12"/>
  <c r="E1220" i="12"/>
  <c r="AO611" i="11"/>
  <c r="AK612" i="11"/>
  <c r="AK616" i="11"/>
  <c r="AO615" i="11"/>
  <c r="AG615" i="11"/>
  <c r="AG616" i="11" s="1"/>
  <c r="AG617" i="11" s="1"/>
  <c r="AG618" i="11" s="1"/>
  <c r="AG619" i="11" s="1"/>
  <c r="G1226" i="12"/>
  <c r="J1225" i="12" s="1"/>
  <c r="G1227" i="12"/>
  <c r="E1213" i="12"/>
  <c r="E1214" i="12" s="1"/>
  <c r="E1212" i="12"/>
  <c r="F1237" i="12"/>
  <c r="F1236" i="12"/>
  <c r="C1235" i="12" s="1"/>
  <c r="C1236" i="12" s="1"/>
  <c r="C1237" i="12" s="1"/>
  <c r="C1238" i="12" s="1"/>
  <c r="C1239" i="12" s="1"/>
  <c r="C1240" i="12" s="1"/>
  <c r="C1241" i="12" s="1"/>
  <c r="C1242" i="12" s="1"/>
  <c r="C1243" i="12" s="1"/>
  <c r="C1244" i="12" s="1"/>
  <c r="G1235" i="12"/>
  <c r="S491" i="10"/>
  <c r="E492" i="10"/>
  <c r="Y491" i="10"/>
  <c r="K491" i="10"/>
  <c r="K615" i="11"/>
  <c r="G616" i="11"/>
  <c r="G620" i="11"/>
  <c r="F621" i="11"/>
  <c r="F622" i="11" s="1"/>
  <c r="F623" i="11" s="1"/>
  <c r="F624" i="11" s="1"/>
  <c r="AO603" i="11"/>
  <c r="AK604" i="11"/>
  <c r="AO604" i="11" s="1"/>
  <c r="U490" i="10"/>
  <c r="G491" i="10"/>
  <c r="T494" i="10"/>
  <c r="F495" i="10"/>
  <c r="Q493" i="10"/>
  <c r="C494" i="10"/>
  <c r="Q487" i="10"/>
  <c r="C488" i="10"/>
  <c r="Q488" i="10" s="1"/>
  <c r="AO607" i="11"/>
  <c r="AK608" i="11"/>
  <c r="AU615" i="11"/>
  <c r="AU616" i="11" s="1"/>
  <c r="AU617" i="11" s="1"/>
  <c r="AU618" i="11" s="1"/>
  <c r="AU619" i="11" s="1"/>
  <c r="AY616" i="11"/>
  <c r="BC615" i="11"/>
  <c r="AI625" i="11"/>
  <c r="AI626" i="11" s="1"/>
  <c r="AI627" i="11" s="1"/>
  <c r="AI628" i="11" s="1"/>
  <c r="AI629" i="11" s="1"/>
  <c r="U625" i="11"/>
  <c r="U626" i="11" s="1"/>
  <c r="U627" i="11" s="1"/>
  <c r="U628" i="11" s="1"/>
  <c r="U629" i="11" s="1"/>
  <c r="AJ625" i="11"/>
  <c r="A630" i="11"/>
  <c r="V625" i="11"/>
  <c r="AX625" i="11"/>
  <c r="AW625" i="11"/>
  <c r="AW626" i="11" s="1"/>
  <c r="AW627" i="11" s="1"/>
  <c r="AW628" i="11" s="1"/>
  <c r="AW629" i="11" s="1"/>
  <c r="F625" i="11"/>
  <c r="E625" i="11"/>
  <c r="F1220" i="12"/>
  <c r="F1221" i="12"/>
  <c r="U493" i="10"/>
  <c r="G494" i="10"/>
  <c r="S494" i="10"/>
  <c r="K494" i="10"/>
  <c r="Y494" i="10"/>
  <c r="E495" i="10"/>
  <c r="U487" i="10"/>
  <c r="G488" i="10"/>
  <c r="U488" i="10" s="1"/>
  <c r="E1229" i="12"/>
  <c r="E1228" i="12"/>
  <c r="G1202" i="12"/>
  <c r="G1203" i="12"/>
  <c r="G1204" i="12" s="1"/>
  <c r="W620" i="11"/>
  <c r="V621" i="11"/>
  <c r="V622" i="11" s="1"/>
  <c r="V623" i="11" s="1"/>
  <c r="V624" i="11" s="1"/>
  <c r="BC611" i="11"/>
  <c r="AY612" i="11"/>
  <c r="F492" i="10"/>
  <c r="T492" i="10" s="1"/>
  <c r="T491" i="10"/>
  <c r="E1245" i="12"/>
  <c r="A1255" i="12"/>
  <c r="F1245" i="12"/>
  <c r="S497" i="10"/>
  <c r="E498" i="10"/>
  <c r="Y497" i="10"/>
  <c r="C497" i="10"/>
  <c r="K497" i="10"/>
  <c r="G1218" i="12"/>
  <c r="G1219" i="12"/>
  <c r="AA603" i="11"/>
  <c r="W604" i="11"/>
  <c r="AA604" i="11" s="1"/>
  <c r="F626" i="11" l="1"/>
  <c r="F627" i="11" s="1"/>
  <c r="F628" i="11" s="1"/>
  <c r="F629" i="11" s="1"/>
  <c r="G625" i="11"/>
  <c r="G1213" i="12"/>
  <c r="G1214" i="12" s="1"/>
  <c r="G1212" i="12"/>
  <c r="A1265" i="12"/>
  <c r="F1255" i="12"/>
  <c r="E1255" i="12"/>
  <c r="AW630" i="11"/>
  <c r="AW631" i="11" s="1"/>
  <c r="AW632" i="11" s="1"/>
  <c r="AW633" i="11" s="1"/>
  <c r="AW634" i="11" s="1"/>
  <c r="AX630" i="11"/>
  <c r="F630" i="11"/>
  <c r="E630" i="11"/>
  <c r="AJ630" i="11"/>
  <c r="AI630" i="11"/>
  <c r="AI631" i="11" s="1"/>
  <c r="AI632" i="11" s="1"/>
  <c r="AI633" i="11" s="1"/>
  <c r="AI634" i="11" s="1"/>
  <c r="V630" i="11"/>
  <c r="U630" i="11"/>
  <c r="U631" i="11" s="1"/>
  <c r="U632" i="11" s="1"/>
  <c r="U633" i="11" s="1"/>
  <c r="U634" i="11" s="1"/>
  <c r="A635" i="11"/>
  <c r="AO616" i="11"/>
  <c r="AK617" i="11"/>
  <c r="S498" i="10"/>
  <c r="E499" i="10"/>
  <c r="Y498" i="10"/>
  <c r="K498" i="10"/>
  <c r="J1231" i="12"/>
  <c r="J1232" i="12" s="1"/>
  <c r="J1226" i="12"/>
  <c r="J1233" i="12"/>
  <c r="J1234" i="12" s="1"/>
  <c r="J1229" i="12"/>
  <c r="J1230" i="12" s="1"/>
  <c r="J1227" i="12"/>
  <c r="J1228" i="12" s="1"/>
  <c r="E1246" i="12"/>
  <c r="E1247" i="12"/>
  <c r="C1245" i="12"/>
  <c r="C1246" i="12" s="1"/>
  <c r="C1247" i="12" s="1"/>
  <c r="C1248" i="12" s="1"/>
  <c r="C1249" i="12" s="1"/>
  <c r="C1250" i="12" s="1"/>
  <c r="C1251" i="12" s="1"/>
  <c r="C1252" i="12" s="1"/>
  <c r="C1253" i="12" s="1"/>
  <c r="C1254" i="12" s="1"/>
  <c r="W609" i="11"/>
  <c r="AA609" i="11" s="1"/>
  <c r="AA608" i="11"/>
  <c r="F1231" i="12"/>
  <c r="F1230" i="12"/>
  <c r="G1220" i="12"/>
  <c r="G1221" i="12"/>
  <c r="AK613" i="11"/>
  <c r="AO612" i="11"/>
  <c r="F1223" i="12"/>
  <c r="F1224" i="12" s="1"/>
  <c r="F1222" i="12"/>
  <c r="AY617" i="11"/>
  <c r="BC616" i="11"/>
  <c r="C625" i="11"/>
  <c r="C626" i="11" s="1"/>
  <c r="C627" i="11" s="1"/>
  <c r="C628" i="11" s="1"/>
  <c r="C629" i="11" s="1"/>
  <c r="E626" i="11"/>
  <c r="E627" i="11" s="1"/>
  <c r="E628" i="11" s="1"/>
  <c r="E629" i="11" s="1"/>
  <c r="AK609" i="11"/>
  <c r="AO609" i="11" s="1"/>
  <c r="AO608" i="11"/>
  <c r="AA612" i="11"/>
  <c r="W613" i="11"/>
  <c r="K501" i="10"/>
  <c r="C501" i="10"/>
  <c r="E502" i="10"/>
  <c r="S501" i="10"/>
  <c r="Y501" i="10"/>
  <c r="BC620" i="11"/>
  <c r="AY621" i="11"/>
  <c r="AU620" i="11"/>
  <c r="AU621" i="11" s="1"/>
  <c r="AU622" i="11" s="1"/>
  <c r="AU623" i="11" s="1"/>
  <c r="AU624" i="11" s="1"/>
  <c r="U497" i="10"/>
  <c r="G498" i="10"/>
  <c r="W617" i="11"/>
  <c r="AA616" i="11"/>
  <c r="AO620" i="11"/>
  <c r="AG620" i="11"/>
  <c r="AG621" i="11" s="1"/>
  <c r="AG622" i="11" s="1"/>
  <c r="AG623" i="11" s="1"/>
  <c r="AG624" i="11" s="1"/>
  <c r="AK621" i="11"/>
  <c r="AY625" i="11"/>
  <c r="AX626" i="11"/>
  <c r="AX627" i="11" s="1"/>
  <c r="AX628" i="11" s="1"/>
  <c r="AX629" i="11" s="1"/>
  <c r="F505" i="10"/>
  <c r="A506" i="10"/>
  <c r="A507" i="10" s="1"/>
  <c r="A508" i="10" s="1"/>
  <c r="A509" i="10"/>
  <c r="E505" i="10"/>
  <c r="U494" i="10"/>
  <c r="G495" i="10"/>
  <c r="G492" i="10"/>
  <c r="U492" i="10" s="1"/>
  <c r="U491" i="10"/>
  <c r="G1236" i="12"/>
  <c r="J1235" i="12" s="1"/>
  <c r="G1237" i="12"/>
  <c r="F1247" i="12"/>
  <c r="F1246" i="12"/>
  <c r="G1245" i="12"/>
  <c r="E1231" i="12"/>
  <c r="E1230" i="12"/>
  <c r="G621" i="11"/>
  <c r="K620" i="11"/>
  <c r="F502" i="10"/>
  <c r="G501" i="10"/>
  <c r="T501" i="10"/>
  <c r="V626" i="11"/>
  <c r="V627" i="11" s="1"/>
  <c r="V628" i="11" s="1"/>
  <c r="V629" i="11" s="1"/>
  <c r="W625" i="11"/>
  <c r="Q494" i="10"/>
  <c r="C495" i="10"/>
  <c r="G609" i="11"/>
  <c r="K609" i="11" s="1"/>
  <c r="K608" i="11"/>
  <c r="AY613" i="11"/>
  <c r="BC612" i="11"/>
  <c r="K492" i="10"/>
  <c r="S492" i="10"/>
  <c r="Y492" i="10"/>
  <c r="E1238" i="12"/>
  <c r="E1239" i="12"/>
  <c r="C498" i="10"/>
  <c r="Q497" i="10"/>
  <c r="W621" i="11"/>
  <c r="S620" i="11"/>
  <c r="S621" i="11" s="1"/>
  <c r="S622" i="11" s="1"/>
  <c r="S623" i="11" s="1"/>
  <c r="S624" i="11" s="1"/>
  <c r="AA620" i="11"/>
  <c r="E1223" i="12"/>
  <c r="E1224" i="12" s="1"/>
  <c r="E1222" i="12"/>
  <c r="K612" i="11"/>
  <c r="G613" i="11"/>
  <c r="BC608" i="11"/>
  <c r="AY609" i="11"/>
  <c r="BC609" i="11" s="1"/>
  <c r="G1229" i="12"/>
  <c r="G1228" i="12"/>
  <c r="K616" i="11"/>
  <c r="G617" i="11"/>
  <c r="K495" i="10"/>
  <c r="S495" i="10"/>
  <c r="Y495" i="10"/>
  <c r="E496" i="10"/>
  <c r="F499" i="10"/>
  <c r="T498" i="10"/>
  <c r="AJ626" i="11"/>
  <c r="AJ627" i="11" s="1"/>
  <c r="AJ628" i="11" s="1"/>
  <c r="AJ629" i="11" s="1"/>
  <c r="AK625" i="11"/>
  <c r="T495" i="10"/>
  <c r="F496" i="10"/>
  <c r="T496" i="10" s="1"/>
  <c r="F1238" i="12"/>
  <c r="F1239" i="12"/>
  <c r="C492" i="10"/>
  <c r="Q492" i="10" s="1"/>
  <c r="Q491" i="10"/>
  <c r="F1232" i="12" l="1"/>
  <c r="F1233" i="12"/>
  <c r="F1234" i="12" s="1"/>
  <c r="E500" i="10"/>
  <c r="Y499" i="10"/>
  <c r="S499" i="10"/>
  <c r="K499" i="10"/>
  <c r="J1237" i="12"/>
  <c r="J1238" i="12" s="1"/>
  <c r="J1243" i="12"/>
  <c r="J1244" i="12" s="1"/>
  <c r="J1241" i="12"/>
  <c r="J1242" i="12" s="1"/>
  <c r="J1236" i="12"/>
  <c r="J1239" i="12"/>
  <c r="J1240" i="12" s="1"/>
  <c r="AG625" i="11"/>
  <c r="AG626" i="11" s="1"/>
  <c r="AG627" i="11" s="1"/>
  <c r="AG628" i="11" s="1"/>
  <c r="AG629" i="11" s="1"/>
  <c r="AK626" i="11"/>
  <c r="AO625" i="11"/>
  <c r="AA613" i="11"/>
  <c r="W614" i="11"/>
  <c r="AA614" i="11" s="1"/>
  <c r="G1223" i="12"/>
  <c r="G1224" i="12" s="1"/>
  <c r="G1222" i="12"/>
  <c r="AK630" i="11"/>
  <c r="AJ631" i="11"/>
  <c r="AJ632" i="11" s="1"/>
  <c r="AJ633" i="11" s="1"/>
  <c r="AJ634" i="11" s="1"/>
  <c r="G622" i="11"/>
  <c r="K621" i="11"/>
  <c r="T505" i="10"/>
  <c r="F506" i="10"/>
  <c r="G505" i="10"/>
  <c r="G502" i="10"/>
  <c r="U501" i="10"/>
  <c r="G614" i="11"/>
  <c r="K614" i="11" s="1"/>
  <c r="K613" i="11"/>
  <c r="T502" i="10"/>
  <c r="F503" i="10"/>
  <c r="U495" i="10"/>
  <c r="G496" i="10"/>
  <c r="U496" i="10" s="1"/>
  <c r="W618" i="11"/>
  <c r="AA617" i="11"/>
  <c r="E631" i="11"/>
  <c r="E632" i="11" s="1"/>
  <c r="E633" i="11" s="1"/>
  <c r="E634" i="11" s="1"/>
  <c r="BC617" i="11"/>
  <c r="AY618" i="11"/>
  <c r="E1249" i="12"/>
  <c r="E1248" i="12"/>
  <c r="F1249" i="12"/>
  <c r="F1248" i="12"/>
  <c r="BC625" i="11"/>
  <c r="AY626" i="11"/>
  <c r="AU625" i="11"/>
  <c r="AU626" i="11" s="1"/>
  <c r="AU627" i="11" s="1"/>
  <c r="AU628" i="11" s="1"/>
  <c r="AU629" i="11" s="1"/>
  <c r="V635" i="11"/>
  <c r="U635" i="11"/>
  <c r="U636" i="11" s="1"/>
  <c r="U637" i="11" s="1"/>
  <c r="U638" i="11" s="1"/>
  <c r="U639" i="11" s="1"/>
  <c r="A640" i="11"/>
  <c r="AX635" i="11"/>
  <c r="F635" i="11"/>
  <c r="AW635" i="11"/>
  <c r="AW636" i="11" s="1"/>
  <c r="AW637" i="11" s="1"/>
  <c r="AW638" i="11" s="1"/>
  <c r="AW639" i="11" s="1"/>
  <c r="E635" i="11"/>
  <c r="AJ635" i="11"/>
  <c r="AI635" i="11"/>
  <c r="AI636" i="11" s="1"/>
  <c r="AI637" i="11" s="1"/>
  <c r="AI638" i="11" s="1"/>
  <c r="AI639" i="11" s="1"/>
  <c r="G499" i="10"/>
  <c r="U498" i="10"/>
  <c r="G630" i="11"/>
  <c r="C630" i="11" s="1"/>
  <c r="C631" i="11" s="1"/>
  <c r="C632" i="11" s="1"/>
  <c r="C633" i="11" s="1"/>
  <c r="C634" i="11" s="1"/>
  <c r="F631" i="11"/>
  <c r="F632" i="11" s="1"/>
  <c r="F633" i="11" s="1"/>
  <c r="F634" i="11" s="1"/>
  <c r="S496" i="10"/>
  <c r="Y496" i="10"/>
  <c r="K496" i="10"/>
  <c r="E506" i="10"/>
  <c r="Y505" i="10"/>
  <c r="S505" i="10"/>
  <c r="C505" i="10"/>
  <c r="K505" i="10"/>
  <c r="E1232" i="12"/>
  <c r="E1233" i="12"/>
  <c r="E1234" i="12" s="1"/>
  <c r="AK618" i="11"/>
  <c r="AO617" i="11"/>
  <c r="F1256" i="12"/>
  <c r="C1255" i="12" s="1"/>
  <c r="C1256" i="12" s="1"/>
  <c r="C1257" i="12" s="1"/>
  <c r="C1258" i="12" s="1"/>
  <c r="C1259" i="12" s="1"/>
  <c r="C1260" i="12" s="1"/>
  <c r="C1261" i="12" s="1"/>
  <c r="C1262" i="12" s="1"/>
  <c r="C1263" i="12" s="1"/>
  <c r="C1264" i="12" s="1"/>
  <c r="F1257" i="12"/>
  <c r="G1255" i="12"/>
  <c r="F1241" i="12"/>
  <c r="F1240" i="12"/>
  <c r="K617" i="11"/>
  <c r="G618" i="11"/>
  <c r="AA621" i="11"/>
  <c r="W622" i="11"/>
  <c r="Q495" i="10"/>
  <c r="C496" i="10"/>
  <c r="Q496" i="10" s="1"/>
  <c r="F1265" i="12"/>
  <c r="E1265" i="12"/>
  <c r="A1275" i="12"/>
  <c r="C499" i="10"/>
  <c r="Q498" i="10"/>
  <c r="AA625" i="11"/>
  <c r="S625" i="11"/>
  <c r="S626" i="11" s="1"/>
  <c r="S627" i="11" s="1"/>
  <c r="S628" i="11" s="1"/>
  <c r="S629" i="11" s="1"/>
  <c r="W626" i="11"/>
  <c r="G1238" i="12"/>
  <c r="G1239" i="12"/>
  <c r="AO621" i="11"/>
  <c r="AK622" i="11"/>
  <c r="K502" i="10"/>
  <c r="E503" i="10"/>
  <c r="S502" i="10"/>
  <c r="Y502" i="10"/>
  <c r="F500" i="10"/>
  <c r="T500" i="10" s="1"/>
  <c r="T499" i="10"/>
  <c r="G1247" i="12"/>
  <c r="G1246" i="12"/>
  <c r="J1245" i="12" s="1"/>
  <c r="Q501" i="10"/>
  <c r="C502" i="10"/>
  <c r="W630" i="11"/>
  <c r="V631" i="11"/>
  <c r="V632" i="11" s="1"/>
  <c r="V633" i="11" s="1"/>
  <c r="V634" i="11" s="1"/>
  <c r="G626" i="11"/>
  <c r="K625" i="11"/>
  <c r="AX631" i="11"/>
  <c r="AX632" i="11" s="1"/>
  <c r="AX633" i="11" s="1"/>
  <c r="AX634" i="11" s="1"/>
  <c r="AY630" i="11"/>
  <c r="AY614" i="11"/>
  <c r="BC614" i="11" s="1"/>
  <c r="BC613" i="11"/>
  <c r="F509" i="10"/>
  <c r="E509" i="10"/>
  <c r="A513" i="10"/>
  <c r="A510" i="10"/>
  <c r="A511" i="10" s="1"/>
  <c r="A512" i="10" s="1"/>
  <c r="AY622" i="11"/>
  <c r="BC621" i="11"/>
  <c r="E1256" i="12"/>
  <c r="E1257" i="12"/>
  <c r="G1230" i="12"/>
  <c r="G1231" i="12"/>
  <c r="E1240" i="12"/>
  <c r="E1241" i="12"/>
  <c r="AO613" i="11"/>
  <c r="AK614" i="11"/>
  <c r="AO614" i="11" s="1"/>
  <c r="G623" i="11" l="1"/>
  <c r="K622" i="11"/>
  <c r="Q502" i="10"/>
  <c r="C503" i="10"/>
  <c r="AA622" i="11"/>
  <c r="W623" i="11"/>
  <c r="S503" i="10"/>
  <c r="K503" i="10"/>
  <c r="Y503" i="10"/>
  <c r="E504" i="10"/>
  <c r="E1267" i="12"/>
  <c r="E1266" i="12"/>
  <c r="F507" i="10"/>
  <c r="T506" i="10"/>
  <c r="AA630" i="11"/>
  <c r="W631" i="11"/>
  <c r="S630" i="11"/>
  <c r="S631" i="11" s="1"/>
  <c r="S632" i="11" s="1"/>
  <c r="S633" i="11" s="1"/>
  <c r="S634" i="11" s="1"/>
  <c r="G500" i="10"/>
  <c r="U500" i="10" s="1"/>
  <c r="U499" i="10"/>
  <c r="T503" i="10"/>
  <c r="F504" i="10"/>
  <c r="T504" i="10" s="1"/>
  <c r="AO630" i="11"/>
  <c r="AK631" i="11"/>
  <c r="AG630" i="11"/>
  <c r="AG631" i="11" s="1"/>
  <c r="AG632" i="11" s="1"/>
  <c r="AG633" i="11" s="1"/>
  <c r="AG634" i="11" s="1"/>
  <c r="E510" i="10"/>
  <c r="C509" i="10"/>
  <c r="Y509" i="10"/>
  <c r="K509" i="10"/>
  <c r="S509" i="10"/>
  <c r="W627" i="11"/>
  <c r="AA626" i="11"/>
  <c r="AJ636" i="11"/>
  <c r="AJ637" i="11" s="1"/>
  <c r="AJ638" i="11" s="1"/>
  <c r="AJ639" i="11" s="1"/>
  <c r="AK635" i="11"/>
  <c r="F1251" i="12"/>
  <c r="F1250" i="12"/>
  <c r="E1243" i="12"/>
  <c r="E1244" i="12" s="1"/>
  <c r="E1242" i="12"/>
  <c r="E1258" i="12"/>
  <c r="E1259" i="12"/>
  <c r="K626" i="11"/>
  <c r="G627" i="11"/>
  <c r="F1266" i="12"/>
  <c r="C1265" i="12" s="1"/>
  <c r="C1266" i="12" s="1"/>
  <c r="C1267" i="12" s="1"/>
  <c r="C1268" i="12" s="1"/>
  <c r="C1269" i="12" s="1"/>
  <c r="C1270" i="12" s="1"/>
  <c r="C1271" i="12" s="1"/>
  <c r="C1272" i="12" s="1"/>
  <c r="C1273" i="12" s="1"/>
  <c r="C1274" i="12" s="1"/>
  <c r="G1265" i="12"/>
  <c r="F1267" i="12"/>
  <c r="V636" i="11"/>
  <c r="V637" i="11" s="1"/>
  <c r="V638" i="11" s="1"/>
  <c r="V639" i="11" s="1"/>
  <c r="W635" i="11"/>
  <c r="AO622" i="11"/>
  <c r="AK623" i="11"/>
  <c r="AK619" i="11"/>
  <c r="AO619" i="11" s="1"/>
  <c r="AO618" i="11"/>
  <c r="J1249" i="12"/>
  <c r="J1250" i="12" s="1"/>
  <c r="J1251" i="12"/>
  <c r="J1252" i="12" s="1"/>
  <c r="J1246" i="12"/>
  <c r="J1253" i="12"/>
  <c r="J1254" i="12" s="1"/>
  <c r="J1247" i="12"/>
  <c r="J1248" i="12" s="1"/>
  <c r="K618" i="11"/>
  <c r="G619" i="11"/>
  <c r="K619" i="11" s="1"/>
  <c r="E636" i="11"/>
  <c r="E637" i="11" s="1"/>
  <c r="E638" i="11" s="1"/>
  <c r="E639" i="11" s="1"/>
  <c r="E1250" i="12"/>
  <c r="E1251" i="12"/>
  <c r="F1242" i="12"/>
  <c r="F1243" i="12"/>
  <c r="F1244" i="12" s="1"/>
  <c r="E507" i="10"/>
  <c r="Y506" i="10"/>
  <c r="K506" i="10"/>
  <c r="S506" i="10"/>
  <c r="G635" i="11"/>
  <c r="C635" i="11" s="1"/>
  <c r="C636" i="11" s="1"/>
  <c r="C637" i="11" s="1"/>
  <c r="C638" i="11" s="1"/>
  <c r="C639" i="11" s="1"/>
  <c r="F636" i="11"/>
  <c r="F637" i="11" s="1"/>
  <c r="F638" i="11" s="1"/>
  <c r="F639" i="11" s="1"/>
  <c r="BC618" i="11"/>
  <c r="AY619" i="11"/>
  <c r="BC619" i="11" s="1"/>
  <c r="K500" i="10"/>
  <c r="Y500" i="10"/>
  <c r="S500" i="10"/>
  <c r="G631" i="11"/>
  <c r="K630" i="11"/>
  <c r="AA618" i="11"/>
  <c r="W619" i="11"/>
  <c r="AA619" i="11" s="1"/>
  <c r="BC622" i="11"/>
  <c r="AY623" i="11"/>
  <c r="BC626" i="11"/>
  <c r="AY627" i="11"/>
  <c r="G1240" i="12"/>
  <c r="G1241" i="12"/>
  <c r="C506" i="10"/>
  <c r="Q505" i="10"/>
  <c r="G1233" i="12"/>
  <c r="G1234" i="12" s="1"/>
  <c r="G1232" i="12"/>
  <c r="AY631" i="11"/>
  <c r="AU630" i="11"/>
  <c r="AU631" i="11" s="1"/>
  <c r="AU632" i="11" s="1"/>
  <c r="AU633" i="11" s="1"/>
  <c r="AU634" i="11" s="1"/>
  <c r="BC630" i="11"/>
  <c r="G503" i="10"/>
  <c r="U502" i="10"/>
  <c r="A514" i="10"/>
  <c r="A515" i="10" s="1"/>
  <c r="A516" i="10" s="1"/>
  <c r="A517" i="10"/>
  <c r="F513" i="10"/>
  <c r="E513" i="10"/>
  <c r="G509" i="10"/>
  <c r="T509" i="10"/>
  <c r="F510" i="10"/>
  <c r="G1249" i="12"/>
  <c r="G1248" i="12"/>
  <c r="Q499" i="10"/>
  <c r="C500" i="10"/>
  <c r="Q500" i="10" s="1"/>
  <c r="G1257" i="12"/>
  <c r="G1256" i="12"/>
  <c r="J1255" i="12" s="1"/>
  <c r="AY635" i="11"/>
  <c r="AX636" i="11"/>
  <c r="AX637" i="11" s="1"/>
  <c r="AX638" i="11" s="1"/>
  <c r="AX639" i="11" s="1"/>
  <c r="F1275" i="12"/>
  <c r="E1275" i="12"/>
  <c r="A1285" i="12"/>
  <c r="F1258" i="12"/>
  <c r="F1259" i="12"/>
  <c r="AX640" i="11"/>
  <c r="AW640" i="11"/>
  <c r="AW641" i="11" s="1"/>
  <c r="AW642" i="11" s="1"/>
  <c r="AW643" i="11" s="1"/>
  <c r="AW644" i="11" s="1"/>
  <c r="F640" i="11"/>
  <c r="A645" i="11"/>
  <c r="AJ640" i="11"/>
  <c r="E640" i="11"/>
  <c r="AI640" i="11"/>
  <c r="AI641" i="11" s="1"/>
  <c r="AI642" i="11" s="1"/>
  <c r="AI643" i="11" s="1"/>
  <c r="AI644" i="11" s="1"/>
  <c r="V640" i="11"/>
  <c r="U640" i="11"/>
  <c r="U641" i="11" s="1"/>
  <c r="U642" i="11" s="1"/>
  <c r="U643" i="11" s="1"/>
  <c r="U644" i="11" s="1"/>
  <c r="G506" i="10"/>
  <c r="U505" i="10"/>
  <c r="AK627" i="11"/>
  <c r="AO626" i="11"/>
  <c r="AI645" i="11" l="1"/>
  <c r="AI646" i="11" s="1"/>
  <c r="AI647" i="11" s="1"/>
  <c r="AI648" i="11" s="1"/>
  <c r="AI649" i="11" s="1"/>
  <c r="A650" i="11"/>
  <c r="V645" i="11"/>
  <c r="U645" i="11"/>
  <c r="U646" i="11" s="1"/>
  <c r="U647" i="11" s="1"/>
  <c r="U648" i="11" s="1"/>
  <c r="U649" i="11" s="1"/>
  <c r="F645" i="11"/>
  <c r="AJ645" i="11"/>
  <c r="AW645" i="11"/>
  <c r="AW646" i="11" s="1"/>
  <c r="AW647" i="11" s="1"/>
  <c r="AW648" i="11" s="1"/>
  <c r="AW649" i="11" s="1"/>
  <c r="E645" i="11"/>
  <c r="AX645" i="11"/>
  <c r="AY640" i="11"/>
  <c r="AX641" i="11"/>
  <c r="AX642" i="11" s="1"/>
  <c r="AX643" i="11" s="1"/>
  <c r="AX644" i="11" s="1"/>
  <c r="K627" i="11"/>
  <c r="G628" i="11"/>
  <c r="W624" i="11"/>
  <c r="AA624" i="11" s="1"/>
  <c r="AA623" i="11"/>
  <c r="T510" i="10"/>
  <c r="F511" i="10"/>
  <c r="C640" i="11"/>
  <c r="C641" i="11" s="1"/>
  <c r="C642" i="11" s="1"/>
  <c r="C643" i="11" s="1"/>
  <c r="C644" i="11" s="1"/>
  <c r="E641" i="11"/>
  <c r="E642" i="11" s="1"/>
  <c r="E643" i="11" s="1"/>
  <c r="E644" i="11" s="1"/>
  <c r="BC635" i="11"/>
  <c r="AU635" i="11"/>
  <c r="AU636" i="11" s="1"/>
  <c r="AU637" i="11" s="1"/>
  <c r="AU638" i="11" s="1"/>
  <c r="AU639" i="11" s="1"/>
  <c r="AY636" i="11"/>
  <c r="F517" i="10"/>
  <c r="E517" i="10"/>
  <c r="A521" i="10"/>
  <c r="A518" i="10"/>
  <c r="A519" i="10" s="1"/>
  <c r="A520" i="10" s="1"/>
  <c r="AO631" i="11"/>
  <c r="AK632" i="11"/>
  <c r="AK636" i="11"/>
  <c r="AO635" i="11"/>
  <c r="AG635" i="11"/>
  <c r="AG636" i="11" s="1"/>
  <c r="AG637" i="11" s="1"/>
  <c r="AG638" i="11" s="1"/>
  <c r="AG639" i="11" s="1"/>
  <c r="S504" i="10"/>
  <c r="K504" i="10"/>
  <c r="Y504" i="10"/>
  <c r="G504" i="10"/>
  <c r="U504" i="10" s="1"/>
  <c r="U503" i="10"/>
  <c r="AY624" i="11"/>
  <c r="BC624" i="11" s="1"/>
  <c r="BC623" i="11"/>
  <c r="K635" i="11"/>
  <c r="G636" i="11"/>
  <c r="AJ641" i="11"/>
  <c r="AJ642" i="11" s="1"/>
  <c r="AJ643" i="11" s="1"/>
  <c r="AJ644" i="11" s="1"/>
  <c r="AK640" i="11"/>
  <c r="J1259" i="12"/>
  <c r="J1260" i="12" s="1"/>
  <c r="J1256" i="12"/>
  <c r="J1257" i="12"/>
  <c r="J1258" i="12" s="1"/>
  <c r="J1261" i="12"/>
  <c r="J1262" i="12" s="1"/>
  <c r="J1263" i="12"/>
  <c r="J1264" i="12" s="1"/>
  <c r="AY628" i="11"/>
  <c r="BC627" i="11"/>
  <c r="W636" i="11"/>
  <c r="S635" i="11"/>
  <c r="S636" i="11" s="1"/>
  <c r="S637" i="11" s="1"/>
  <c r="S638" i="11" s="1"/>
  <c r="S639" i="11" s="1"/>
  <c r="AA635" i="11"/>
  <c r="F1252" i="12"/>
  <c r="F1253" i="12"/>
  <c r="F1254" i="12" s="1"/>
  <c r="E1269" i="12"/>
  <c r="E1268" i="12"/>
  <c r="G1258" i="12"/>
  <c r="G1259" i="12"/>
  <c r="G640" i="11"/>
  <c r="F641" i="11"/>
  <c r="F642" i="11" s="1"/>
  <c r="F643" i="11" s="1"/>
  <c r="F644" i="11" s="1"/>
  <c r="G1267" i="12"/>
  <c r="G1266" i="12"/>
  <c r="J1265" i="12" s="1"/>
  <c r="G507" i="10"/>
  <c r="U506" i="10"/>
  <c r="A1295" i="12"/>
  <c r="F1285" i="12"/>
  <c r="E1285" i="12"/>
  <c r="G632" i="11"/>
  <c r="K631" i="11"/>
  <c r="E1260" i="12"/>
  <c r="E1261" i="12"/>
  <c r="C504" i="10"/>
  <c r="Q504" i="10" s="1"/>
  <c r="Q503" i="10"/>
  <c r="W628" i="11"/>
  <c r="AA627" i="11"/>
  <c r="G1250" i="12"/>
  <c r="G1251" i="12"/>
  <c r="AY632" i="11"/>
  <c r="BC631" i="11"/>
  <c r="Q509" i="10"/>
  <c r="C510" i="10"/>
  <c r="F1269" i="12"/>
  <c r="F1268" i="12"/>
  <c r="V641" i="11"/>
  <c r="V642" i="11" s="1"/>
  <c r="V643" i="11" s="1"/>
  <c r="V644" i="11" s="1"/>
  <c r="W640" i="11"/>
  <c r="E1253" i="12"/>
  <c r="E1254" i="12" s="1"/>
  <c r="E1252" i="12"/>
  <c r="S510" i="10"/>
  <c r="K510" i="10"/>
  <c r="E511" i="10"/>
  <c r="Y510" i="10"/>
  <c r="F508" i="10"/>
  <c r="T508" i="10" s="1"/>
  <c r="T507" i="10"/>
  <c r="AK628" i="11"/>
  <c r="AO627" i="11"/>
  <c r="F1261" i="12"/>
  <c r="F1260" i="12"/>
  <c r="E508" i="10"/>
  <c r="Y507" i="10"/>
  <c r="K507" i="10"/>
  <c r="S507" i="10"/>
  <c r="AA631" i="11"/>
  <c r="W632" i="11"/>
  <c r="E1277" i="12"/>
  <c r="E1276" i="12"/>
  <c r="C1275" i="12" s="1"/>
  <c r="C1276" i="12" s="1"/>
  <c r="C1277" i="12" s="1"/>
  <c r="C1278" i="12" s="1"/>
  <c r="C1279" i="12" s="1"/>
  <c r="C1280" i="12" s="1"/>
  <c r="C1281" i="12" s="1"/>
  <c r="C1282" i="12" s="1"/>
  <c r="C1283" i="12" s="1"/>
  <c r="C1284" i="12" s="1"/>
  <c r="G510" i="10"/>
  <c r="U509" i="10"/>
  <c r="F1276" i="12"/>
  <c r="G1275" i="12"/>
  <c r="F1277" i="12"/>
  <c r="E514" i="10"/>
  <c r="Y513" i="10"/>
  <c r="S513" i="10"/>
  <c r="C513" i="10"/>
  <c r="K513" i="10"/>
  <c r="C507" i="10"/>
  <c r="Q506" i="10"/>
  <c r="T513" i="10"/>
  <c r="F514" i="10"/>
  <c r="G513" i="10"/>
  <c r="G1243" i="12"/>
  <c r="G1244" i="12" s="1"/>
  <c r="G1242" i="12"/>
  <c r="AO623" i="11"/>
  <c r="AK624" i="11"/>
  <c r="AO624" i="11" s="1"/>
  <c r="G624" i="11"/>
  <c r="K624" i="11" s="1"/>
  <c r="K623" i="11"/>
  <c r="F1271" i="12" l="1"/>
  <c r="F1270" i="12"/>
  <c r="G1260" i="12"/>
  <c r="G1261" i="12"/>
  <c r="E1278" i="12"/>
  <c r="E1279" i="12"/>
  <c r="E1271" i="12"/>
  <c r="E1270" i="12"/>
  <c r="U513" i="10"/>
  <c r="G514" i="10"/>
  <c r="F1262" i="12"/>
  <c r="F1263" i="12"/>
  <c r="F1264" i="12" s="1"/>
  <c r="BC628" i="11"/>
  <c r="AY629" i="11"/>
  <c r="BC629" i="11" s="1"/>
  <c r="K517" i="10"/>
  <c r="C517" i="10"/>
  <c r="S517" i="10"/>
  <c r="Y517" i="10"/>
  <c r="E518" i="10"/>
  <c r="J1273" i="12"/>
  <c r="J1274" i="12" s="1"/>
  <c r="J1266" i="12"/>
  <c r="J1269" i="12"/>
  <c r="J1270" i="12" s="1"/>
  <c r="J1271" i="12"/>
  <c r="J1272" i="12" s="1"/>
  <c r="J1267" i="12"/>
  <c r="J1268" i="12" s="1"/>
  <c r="S640" i="11"/>
  <c r="S641" i="11" s="1"/>
  <c r="S642" i="11" s="1"/>
  <c r="S643" i="11" s="1"/>
  <c r="S644" i="11" s="1"/>
  <c r="W641" i="11"/>
  <c r="AA640" i="11"/>
  <c r="G1268" i="12"/>
  <c r="G1269" i="12"/>
  <c r="T514" i="10"/>
  <c r="F515" i="10"/>
  <c r="G511" i="10"/>
  <c r="U510" i="10"/>
  <c r="E1263" i="12"/>
  <c r="E1264" i="12" s="1"/>
  <c r="E1262" i="12"/>
  <c r="G641" i="11"/>
  <c r="K640" i="11"/>
  <c r="G517" i="10"/>
  <c r="F518" i="10"/>
  <c r="T517" i="10"/>
  <c r="C514" i="10"/>
  <c r="Q513" i="10"/>
  <c r="AA632" i="11"/>
  <c r="W633" i="11"/>
  <c r="E1287" i="12"/>
  <c r="C1285" i="12"/>
  <c r="C1286" i="12" s="1"/>
  <c r="C1287" i="12" s="1"/>
  <c r="C1288" i="12" s="1"/>
  <c r="C1289" i="12" s="1"/>
  <c r="C1290" i="12" s="1"/>
  <c r="C1291" i="12" s="1"/>
  <c r="C1292" i="12" s="1"/>
  <c r="C1293" i="12" s="1"/>
  <c r="C1294" i="12" s="1"/>
  <c r="E1286" i="12"/>
  <c r="F1286" i="12"/>
  <c r="F1287" i="12"/>
  <c r="G1285" i="12"/>
  <c r="AO640" i="11"/>
  <c r="AK641" i="11"/>
  <c r="AG640" i="11"/>
  <c r="AG641" i="11" s="1"/>
  <c r="AG642" i="11" s="1"/>
  <c r="AG643" i="11" s="1"/>
  <c r="AG644" i="11" s="1"/>
  <c r="AJ646" i="11"/>
  <c r="AJ647" i="11" s="1"/>
  <c r="AJ648" i="11" s="1"/>
  <c r="AJ649" i="11" s="1"/>
  <c r="AK645" i="11"/>
  <c r="Y514" i="10"/>
  <c r="E515" i="10"/>
  <c r="S514" i="10"/>
  <c r="K514" i="10"/>
  <c r="K636" i="11"/>
  <c r="G637" i="11"/>
  <c r="AO632" i="11"/>
  <c r="AK633" i="11"/>
  <c r="AO628" i="11"/>
  <c r="AK629" i="11"/>
  <c r="AO629" i="11" s="1"/>
  <c r="BC636" i="11"/>
  <c r="AY637" i="11"/>
  <c r="C511" i="10"/>
  <c r="Q510" i="10"/>
  <c r="AX646" i="11"/>
  <c r="AX647" i="11" s="1"/>
  <c r="AX648" i="11" s="1"/>
  <c r="AX649" i="11" s="1"/>
  <c r="AY645" i="11"/>
  <c r="G633" i="11"/>
  <c r="K632" i="11"/>
  <c r="C645" i="11"/>
  <c r="C646" i="11" s="1"/>
  <c r="C647" i="11" s="1"/>
  <c r="C648" i="11" s="1"/>
  <c r="C649" i="11" s="1"/>
  <c r="E646" i="11"/>
  <c r="E647" i="11" s="1"/>
  <c r="E648" i="11" s="1"/>
  <c r="E649" i="11" s="1"/>
  <c r="G645" i="11"/>
  <c r="F646" i="11"/>
  <c r="F647" i="11" s="1"/>
  <c r="F648" i="11" s="1"/>
  <c r="F649" i="11" s="1"/>
  <c r="F1279" i="12"/>
  <c r="F1278" i="12"/>
  <c r="W645" i="11"/>
  <c r="V646" i="11"/>
  <c r="V647" i="11" s="1"/>
  <c r="V648" i="11" s="1"/>
  <c r="V649" i="11" s="1"/>
  <c r="BC640" i="11"/>
  <c r="AU640" i="11"/>
  <c r="AU641" i="11" s="1"/>
  <c r="AU642" i="11" s="1"/>
  <c r="AU643" i="11" s="1"/>
  <c r="AU644" i="11" s="1"/>
  <c r="AY641" i="11"/>
  <c r="C508" i="10"/>
  <c r="Q508" i="10" s="1"/>
  <c r="Q507" i="10"/>
  <c r="G508" i="10"/>
  <c r="U508" i="10" s="1"/>
  <c r="U507" i="10"/>
  <c r="F650" i="11"/>
  <c r="A655" i="11"/>
  <c r="AJ650" i="11"/>
  <c r="E650" i="11"/>
  <c r="AW650" i="11"/>
  <c r="AW651" i="11" s="1"/>
  <c r="AW652" i="11" s="1"/>
  <c r="AW653" i="11" s="1"/>
  <c r="AW654" i="11" s="1"/>
  <c r="AI650" i="11"/>
  <c r="AI651" i="11" s="1"/>
  <c r="AI652" i="11" s="1"/>
  <c r="AI653" i="11" s="1"/>
  <c r="AI654" i="11" s="1"/>
  <c r="V650" i="11"/>
  <c r="U650" i="11"/>
  <c r="U651" i="11" s="1"/>
  <c r="U652" i="11" s="1"/>
  <c r="U653" i="11" s="1"/>
  <c r="U654" i="11" s="1"/>
  <c r="AX650" i="11"/>
  <c r="S511" i="10"/>
  <c r="K511" i="10"/>
  <c r="Y511" i="10"/>
  <c r="E512" i="10"/>
  <c r="BC632" i="11"/>
  <c r="AY633" i="11"/>
  <c r="G1253" i="12"/>
  <c r="G1254" i="12" s="1"/>
  <c r="G1252" i="12"/>
  <c r="F1295" i="12"/>
  <c r="A1305" i="12"/>
  <c r="E1295" i="12"/>
  <c r="AK637" i="11"/>
  <c r="AO636" i="11"/>
  <c r="T511" i="10"/>
  <c r="F512" i="10"/>
  <c r="T512" i="10" s="1"/>
  <c r="G1277" i="12"/>
  <c r="G1276" i="12"/>
  <c r="J1275" i="12" s="1"/>
  <c r="K508" i="10"/>
  <c r="S508" i="10"/>
  <c r="Y508" i="10"/>
  <c r="W629" i="11"/>
  <c r="AA629" i="11" s="1"/>
  <c r="AA628" i="11"/>
  <c r="AA636" i="11"/>
  <c r="W637" i="11"/>
  <c r="A522" i="10"/>
  <c r="A523" i="10" s="1"/>
  <c r="A524" i="10" s="1"/>
  <c r="A525" i="10"/>
  <c r="F521" i="10"/>
  <c r="E521" i="10"/>
  <c r="K628" i="11"/>
  <c r="G629" i="11"/>
  <c r="K629" i="11" s="1"/>
  <c r="F516" i="10" l="1"/>
  <c r="T516" i="10" s="1"/>
  <c r="T515" i="10"/>
  <c r="S518" i="10"/>
  <c r="K518" i="10"/>
  <c r="Y518" i="10"/>
  <c r="E519" i="10"/>
  <c r="E1273" i="12"/>
  <c r="E1274" i="12" s="1"/>
  <c r="E1272" i="12"/>
  <c r="AO637" i="11"/>
  <c r="AK638" i="11"/>
  <c r="E1297" i="12"/>
  <c r="E1296" i="12"/>
  <c r="AY642" i="11"/>
  <c r="BC641" i="11"/>
  <c r="G634" i="11"/>
  <c r="K634" i="11" s="1"/>
  <c r="K633" i="11"/>
  <c r="G642" i="11"/>
  <c r="K641" i="11"/>
  <c r="J1279" i="12"/>
  <c r="J1280" i="12" s="1"/>
  <c r="J1283" i="12"/>
  <c r="J1284" i="12" s="1"/>
  <c r="J1277" i="12"/>
  <c r="J1278" i="12" s="1"/>
  <c r="J1281" i="12"/>
  <c r="J1282" i="12" s="1"/>
  <c r="J1276" i="12"/>
  <c r="F1280" i="12"/>
  <c r="F1281" i="12"/>
  <c r="AK634" i="11"/>
  <c r="AO634" i="11" s="1"/>
  <c r="AO633" i="11"/>
  <c r="AA637" i="11"/>
  <c r="W638" i="11"/>
  <c r="AX651" i="11"/>
  <c r="AX652" i="11" s="1"/>
  <c r="AX653" i="11" s="1"/>
  <c r="AX654" i="11" s="1"/>
  <c r="AY650" i="11"/>
  <c r="F1305" i="12"/>
  <c r="E1305" i="12"/>
  <c r="A1315" i="12"/>
  <c r="W650" i="11"/>
  <c r="V651" i="11"/>
  <c r="V652" i="11" s="1"/>
  <c r="V653" i="11" s="1"/>
  <c r="V654" i="11" s="1"/>
  <c r="AU645" i="11"/>
  <c r="AU646" i="11" s="1"/>
  <c r="AU647" i="11" s="1"/>
  <c r="AU648" i="11" s="1"/>
  <c r="AU649" i="11" s="1"/>
  <c r="BC645" i="11"/>
  <c r="AY646" i="11"/>
  <c r="U514" i="10"/>
  <c r="G515" i="10"/>
  <c r="C650" i="11"/>
  <c r="C651" i="11" s="1"/>
  <c r="C652" i="11" s="1"/>
  <c r="C653" i="11" s="1"/>
  <c r="C654" i="11" s="1"/>
  <c r="E651" i="11"/>
  <c r="E652" i="11" s="1"/>
  <c r="E653" i="11" s="1"/>
  <c r="E654" i="11" s="1"/>
  <c r="Q511" i="10"/>
  <c r="C512" i="10"/>
  <c r="Q512" i="10" s="1"/>
  <c r="U511" i="10"/>
  <c r="G512" i="10"/>
  <c r="U512" i="10" s="1"/>
  <c r="F651" i="11"/>
  <c r="F652" i="11" s="1"/>
  <c r="F653" i="11" s="1"/>
  <c r="F654" i="11" s="1"/>
  <c r="G650" i="11"/>
  <c r="C515" i="10"/>
  <c r="Q514" i="10"/>
  <c r="G1271" i="12"/>
  <c r="G1270" i="12"/>
  <c r="AO641" i="11"/>
  <c r="AK642" i="11"/>
  <c r="Q517" i="10"/>
  <c r="C518" i="10"/>
  <c r="G1262" i="12"/>
  <c r="G1263" i="12"/>
  <c r="G1264" i="12" s="1"/>
  <c r="AA633" i="11"/>
  <c r="W634" i="11"/>
  <c r="AA634" i="11" s="1"/>
  <c r="S521" i="10"/>
  <c r="E522" i="10"/>
  <c r="Y521" i="10"/>
  <c r="C521" i="10"/>
  <c r="K521" i="10"/>
  <c r="Y512" i="10"/>
  <c r="S512" i="10"/>
  <c r="K512" i="10"/>
  <c r="G521" i="10"/>
  <c r="T521" i="10"/>
  <c r="F522" i="10"/>
  <c r="T518" i="10"/>
  <c r="F519" i="10"/>
  <c r="E1288" i="12"/>
  <c r="E1289" i="12"/>
  <c r="AA645" i="11"/>
  <c r="S645" i="11"/>
  <c r="S646" i="11" s="1"/>
  <c r="S647" i="11" s="1"/>
  <c r="S648" i="11" s="1"/>
  <c r="S649" i="11" s="1"/>
  <c r="W646" i="11"/>
  <c r="AI655" i="11"/>
  <c r="AI656" i="11" s="1"/>
  <c r="AI657" i="11" s="1"/>
  <c r="AI658" i="11" s="1"/>
  <c r="AI659" i="11" s="1"/>
  <c r="V655" i="11"/>
  <c r="U655" i="11"/>
  <c r="U656" i="11" s="1"/>
  <c r="U657" i="11" s="1"/>
  <c r="U658" i="11" s="1"/>
  <c r="U659" i="11" s="1"/>
  <c r="A660" i="11"/>
  <c r="AX655" i="11"/>
  <c r="F655" i="11"/>
  <c r="AW655" i="11"/>
  <c r="AW656" i="11" s="1"/>
  <c r="AW657" i="11" s="1"/>
  <c r="AW658" i="11" s="1"/>
  <c r="AW659" i="11" s="1"/>
  <c r="E655" i="11"/>
  <c r="AJ655" i="11"/>
  <c r="G1287" i="12"/>
  <c r="G1286" i="12"/>
  <c r="J1285" i="12" s="1"/>
  <c r="U517" i="10"/>
  <c r="G518" i="10"/>
  <c r="AA641" i="11"/>
  <c r="W642" i="11"/>
  <c r="G1295" i="12"/>
  <c r="F1296" i="12"/>
  <c r="C1295" i="12" s="1"/>
  <c r="C1296" i="12" s="1"/>
  <c r="C1297" i="12" s="1"/>
  <c r="C1298" i="12" s="1"/>
  <c r="C1299" i="12" s="1"/>
  <c r="C1300" i="12" s="1"/>
  <c r="C1301" i="12" s="1"/>
  <c r="C1302" i="12" s="1"/>
  <c r="C1303" i="12" s="1"/>
  <c r="C1304" i="12" s="1"/>
  <c r="F1297" i="12"/>
  <c r="S515" i="10"/>
  <c r="E516" i="10"/>
  <c r="Y515" i="10"/>
  <c r="K515" i="10"/>
  <c r="AY634" i="11"/>
  <c r="BC634" i="11" s="1"/>
  <c r="BC633" i="11"/>
  <c r="AJ651" i="11"/>
  <c r="AJ652" i="11" s="1"/>
  <c r="AJ653" i="11" s="1"/>
  <c r="AJ654" i="11" s="1"/>
  <c r="AK650" i="11"/>
  <c r="AY638" i="11"/>
  <c r="BC637" i="11"/>
  <c r="AK646" i="11"/>
  <c r="AO645" i="11"/>
  <c r="AG645" i="11"/>
  <c r="AG646" i="11" s="1"/>
  <c r="AG647" i="11" s="1"/>
  <c r="AG648" i="11" s="1"/>
  <c r="AG649" i="11" s="1"/>
  <c r="E1280" i="12"/>
  <c r="E1281" i="12"/>
  <c r="G1278" i="12"/>
  <c r="G1279" i="12"/>
  <c r="K645" i="11"/>
  <c r="G646" i="11"/>
  <c r="A529" i="10"/>
  <c r="E525" i="10"/>
  <c r="F525" i="10"/>
  <c r="A526" i="10"/>
  <c r="A527" i="10" s="1"/>
  <c r="A528" i="10" s="1"/>
  <c r="K637" i="11"/>
  <c r="G638" i="11"/>
  <c r="F1289" i="12"/>
  <c r="F1288" i="12"/>
  <c r="F1272" i="12"/>
  <c r="F1273" i="12"/>
  <c r="F1274" i="12" s="1"/>
  <c r="Q518" i="10" l="1"/>
  <c r="C519" i="10"/>
  <c r="AO642" i="11"/>
  <c r="AK643" i="11"/>
  <c r="AY651" i="11"/>
  <c r="AU650" i="11"/>
  <c r="AU651" i="11" s="1"/>
  <c r="AU652" i="11" s="1"/>
  <c r="AU653" i="11" s="1"/>
  <c r="AU654" i="11" s="1"/>
  <c r="BC650" i="11"/>
  <c r="G1281" i="12"/>
  <c r="G1280" i="12"/>
  <c r="W639" i="11"/>
  <c r="AA639" i="11" s="1"/>
  <c r="AA638" i="11"/>
  <c r="F1299" i="12"/>
  <c r="F1298" i="12"/>
  <c r="G1297" i="12"/>
  <c r="G1296" i="12"/>
  <c r="J1295" i="12" s="1"/>
  <c r="AX660" i="11"/>
  <c r="AW660" i="11"/>
  <c r="AW661" i="11" s="1"/>
  <c r="AW662" i="11" s="1"/>
  <c r="AW663" i="11" s="1"/>
  <c r="AW664" i="11" s="1"/>
  <c r="A665" i="11"/>
  <c r="AJ660" i="11"/>
  <c r="AI660" i="11"/>
  <c r="AI661" i="11" s="1"/>
  <c r="AI662" i="11" s="1"/>
  <c r="AI663" i="11" s="1"/>
  <c r="AI664" i="11" s="1"/>
  <c r="V660" i="11"/>
  <c r="U660" i="11"/>
  <c r="U661" i="11" s="1"/>
  <c r="U662" i="11" s="1"/>
  <c r="U663" i="11" s="1"/>
  <c r="U664" i="11" s="1"/>
  <c r="F660" i="11"/>
  <c r="E660" i="11"/>
  <c r="AA650" i="11"/>
  <c r="W651" i="11"/>
  <c r="S650" i="11"/>
  <c r="S651" i="11" s="1"/>
  <c r="S652" i="11" s="1"/>
  <c r="S653" i="11" s="1"/>
  <c r="S654" i="11" s="1"/>
  <c r="V656" i="11"/>
  <c r="V657" i="11" s="1"/>
  <c r="V658" i="11" s="1"/>
  <c r="V659" i="11" s="1"/>
  <c r="W655" i="11"/>
  <c r="E1306" i="12"/>
  <c r="E1307" i="12"/>
  <c r="C1305" i="12"/>
  <c r="C1306" i="12" s="1"/>
  <c r="C1307" i="12" s="1"/>
  <c r="C1308" i="12" s="1"/>
  <c r="C1309" i="12" s="1"/>
  <c r="C1310" i="12" s="1"/>
  <c r="C1311" i="12" s="1"/>
  <c r="C1312" i="12" s="1"/>
  <c r="C1313" i="12" s="1"/>
  <c r="C1314" i="12" s="1"/>
  <c r="AK639" i="11"/>
  <c r="AO639" i="11" s="1"/>
  <c r="AO638" i="11"/>
  <c r="K646" i="11"/>
  <c r="G647" i="11"/>
  <c r="U518" i="10"/>
  <c r="G519" i="10"/>
  <c r="F1306" i="12"/>
  <c r="G1305" i="12"/>
  <c r="F1307" i="12"/>
  <c r="S522" i="10"/>
  <c r="E523" i="10"/>
  <c r="Y522" i="10"/>
  <c r="K522" i="10"/>
  <c r="F656" i="11"/>
  <c r="F657" i="11" s="1"/>
  <c r="F658" i="11" s="1"/>
  <c r="F659" i="11" s="1"/>
  <c r="G655" i="11"/>
  <c r="AO646" i="11"/>
  <c r="AK647" i="11"/>
  <c r="F526" i="10"/>
  <c r="G525" i="10"/>
  <c r="T525" i="10"/>
  <c r="K525" i="10"/>
  <c r="C525" i="10"/>
  <c r="E526" i="10"/>
  <c r="S525" i="10"/>
  <c r="Y525" i="10"/>
  <c r="BC638" i="11"/>
  <c r="AY639" i="11"/>
  <c r="BC639" i="11" s="1"/>
  <c r="AA642" i="11"/>
  <c r="W643" i="11"/>
  <c r="U521" i="10"/>
  <c r="G522" i="10"/>
  <c r="E1315" i="12"/>
  <c r="A1325" i="12"/>
  <c r="F1315" i="12"/>
  <c r="E1298" i="12"/>
  <c r="E1299" i="12"/>
  <c r="F529" i="10"/>
  <c r="A530" i="10"/>
  <c r="A531" i="10" s="1"/>
  <c r="A532" i="10" s="1"/>
  <c r="A533" i="10"/>
  <c r="E529" i="10"/>
  <c r="AO650" i="11"/>
  <c r="AG650" i="11"/>
  <c r="AG651" i="11" s="1"/>
  <c r="AG652" i="11" s="1"/>
  <c r="AG653" i="11" s="1"/>
  <c r="AG654" i="11" s="1"/>
  <c r="AK651" i="11"/>
  <c r="G1288" i="12"/>
  <c r="G1289" i="12"/>
  <c r="K642" i="11"/>
  <c r="G643" i="11"/>
  <c r="E1283" i="12"/>
  <c r="E1284" i="12" s="1"/>
  <c r="E1282" i="12"/>
  <c r="J1286" i="12"/>
  <c r="J1293" i="12"/>
  <c r="J1294" i="12" s="1"/>
  <c r="J1289" i="12"/>
  <c r="J1290" i="12" s="1"/>
  <c r="J1287" i="12"/>
  <c r="J1288" i="12" s="1"/>
  <c r="J1291" i="12"/>
  <c r="J1292" i="12" s="1"/>
  <c r="F1290" i="12"/>
  <c r="F1291" i="12"/>
  <c r="K516" i="10"/>
  <c r="Y516" i="10"/>
  <c r="S516" i="10"/>
  <c r="K638" i="11"/>
  <c r="G639" i="11"/>
  <c r="K639" i="11" s="1"/>
  <c r="T519" i="10"/>
  <c r="F520" i="10"/>
  <c r="T520" i="10" s="1"/>
  <c r="C522" i="10"/>
  <c r="Q521" i="10"/>
  <c r="G516" i="10"/>
  <c r="U516" i="10" s="1"/>
  <c r="U515" i="10"/>
  <c r="K519" i="10"/>
  <c r="S519" i="10"/>
  <c r="Y519" i="10"/>
  <c r="E520" i="10"/>
  <c r="AJ656" i="11"/>
  <c r="AJ657" i="11" s="1"/>
  <c r="AJ658" i="11" s="1"/>
  <c r="AJ659" i="11" s="1"/>
  <c r="AK655" i="11"/>
  <c r="E1291" i="12"/>
  <c r="E1290" i="12"/>
  <c r="G1273" i="12"/>
  <c r="G1274" i="12" s="1"/>
  <c r="G1272" i="12"/>
  <c r="C655" i="11"/>
  <c r="C656" i="11" s="1"/>
  <c r="C657" i="11" s="1"/>
  <c r="C658" i="11" s="1"/>
  <c r="C659" i="11" s="1"/>
  <c r="E656" i="11"/>
  <c r="E657" i="11" s="1"/>
  <c r="E658" i="11" s="1"/>
  <c r="E659" i="11" s="1"/>
  <c r="BC646" i="11"/>
  <c r="AY647" i="11"/>
  <c r="G651" i="11"/>
  <c r="K650" i="11"/>
  <c r="F1282" i="12"/>
  <c r="F1283" i="12"/>
  <c r="F1284" i="12" s="1"/>
  <c r="AY643" i="11"/>
  <c r="BC642" i="11"/>
  <c r="W647" i="11"/>
  <c r="AA646" i="11"/>
  <c r="C516" i="10"/>
  <c r="Q516" i="10" s="1"/>
  <c r="Q515" i="10"/>
  <c r="AY655" i="11"/>
  <c r="AX656" i="11"/>
  <c r="AX657" i="11" s="1"/>
  <c r="AX658" i="11" s="1"/>
  <c r="AX659" i="11" s="1"/>
  <c r="F523" i="10"/>
  <c r="T522" i="10"/>
  <c r="F1317" i="12" l="1"/>
  <c r="G1315" i="12"/>
  <c r="F1316" i="12"/>
  <c r="C523" i="10"/>
  <c r="Q522" i="10"/>
  <c r="E530" i="10"/>
  <c r="Y529" i="10"/>
  <c r="S529" i="10"/>
  <c r="C529" i="10"/>
  <c r="K529" i="10"/>
  <c r="K647" i="11"/>
  <c r="G648" i="11"/>
  <c r="E661" i="11"/>
  <c r="E662" i="11" s="1"/>
  <c r="E663" i="11" s="1"/>
  <c r="E664" i="11" s="1"/>
  <c r="C660" i="11"/>
  <c r="C661" i="11" s="1"/>
  <c r="C662" i="11" s="1"/>
  <c r="C663" i="11" s="1"/>
  <c r="C664" i="11" s="1"/>
  <c r="F1300" i="12"/>
  <c r="F1301" i="12"/>
  <c r="AG655" i="11"/>
  <c r="AG656" i="11" s="1"/>
  <c r="AG657" i="11" s="1"/>
  <c r="AG658" i="11" s="1"/>
  <c r="AG659" i="11" s="1"/>
  <c r="AK656" i="11"/>
  <c r="AO655" i="11"/>
  <c r="T529" i="10"/>
  <c r="F530" i="10"/>
  <c r="G529" i="10"/>
  <c r="E1301" i="12"/>
  <c r="E1300" i="12"/>
  <c r="F524" i="10"/>
  <c r="T524" i="10" s="1"/>
  <c r="T523" i="10"/>
  <c r="K651" i="11"/>
  <c r="G652" i="11"/>
  <c r="W648" i="11"/>
  <c r="AA647" i="11"/>
  <c r="F533" i="10"/>
  <c r="E533" i="10"/>
  <c r="A537" i="10"/>
  <c r="A534" i="10"/>
  <c r="A535" i="10" s="1"/>
  <c r="A536" i="10" s="1"/>
  <c r="K655" i="11"/>
  <c r="G656" i="11"/>
  <c r="F661" i="11"/>
  <c r="F662" i="11" s="1"/>
  <c r="F663" i="11" s="1"/>
  <c r="F664" i="11" s="1"/>
  <c r="G660" i="11"/>
  <c r="Q525" i="10"/>
  <c r="C526" i="10"/>
  <c r="F1309" i="12"/>
  <c r="F1308" i="12"/>
  <c r="F1293" i="12"/>
  <c r="F1294" i="12" s="1"/>
  <c r="F1292" i="12"/>
  <c r="E1317" i="12"/>
  <c r="C1315" i="12"/>
  <c r="C1316" i="12" s="1"/>
  <c r="C1317" i="12" s="1"/>
  <c r="C1318" i="12" s="1"/>
  <c r="C1319" i="12" s="1"/>
  <c r="C1320" i="12" s="1"/>
  <c r="C1321" i="12" s="1"/>
  <c r="C1322" i="12" s="1"/>
  <c r="C1323" i="12" s="1"/>
  <c r="C1324" i="12" s="1"/>
  <c r="E1316" i="12"/>
  <c r="G1306" i="12"/>
  <c r="J1305" i="12" s="1"/>
  <c r="G1307" i="12"/>
  <c r="AX661" i="11"/>
  <c r="AX662" i="11" s="1"/>
  <c r="AX663" i="11" s="1"/>
  <c r="AX664" i="11" s="1"/>
  <c r="AY660" i="11"/>
  <c r="AO643" i="11"/>
  <c r="AK644" i="11"/>
  <c r="AO644" i="11" s="1"/>
  <c r="AK660" i="11"/>
  <c r="AJ661" i="11"/>
  <c r="AJ662" i="11" s="1"/>
  <c r="AJ663" i="11" s="1"/>
  <c r="AJ664" i="11" s="1"/>
  <c r="A1335" i="12"/>
  <c r="E1325" i="12"/>
  <c r="F1325" i="12"/>
  <c r="W656" i="11"/>
  <c r="S655" i="11"/>
  <c r="S656" i="11" s="1"/>
  <c r="S657" i="11" s="1"/>
  <c r="S658" i="11" s="1"/>
  <c r="S659" i="11" s="1"/>
  <c r="AA655" i="11"/>
  <c r="J1297" i="12"/>
  <c r="J1298" i="12" s="1"/>
  <c r="J1299" i="12"/>
  <c r="J1300" i="12" s="1"/>
  <c r="J1303" i="12"/>
  <c r="J1304" i="12" s="1"/>
  <c r="J1301" i="12"/>
  <c r="J1302" i="12" s="1"/>
  <c r="J1296" i="12"/>
  <c r="BC643" i="11"/>
  <c r="AY644" i="11"/>
  <c r="BC644" i="11" s="1"/>
  <c r="E1293" i="12"/>
  <c r="E1294" i="12" s="1"/>
  <c r="E1292" i="12"/>
  <c r="S520" i="10"/>
  <c r="Y520" i="10"/>
  <c r="K520" i="10"/>
  <c r="G644" i="11"/>
  <c r="K644" i="11" s="1"/>
  <c r="K643" i="11"/>
  <c r="K526" i="10"/>
  <c r="E527" i="10"/>
  <c r="S526" i="10"/>
  <c r="Y526" i="10"/>
  <c r="E524" i="10"/>
  <c r="Y523" i="10"/>
  <c r="S523" i="10"/>
  <c r="K523" i="10"/>
  <c r="E1308" i="12"/>
  <c r="E1309" i="12"/>
  <c r="V665" i="11"/>
  <c r="U665" i="11"/>
  <c r="U666" i="11" s="1"/>
  <c r="U667" i="11" s="1"/>
  <c r="U668" i="11" s="1"/>
  <c r="U669" i="11" s="1"/>
  <c r="AX665" i="11"/>
  <c r="AW665" i="11"/>
  <c r="AW666" i="11" s="1"/>
  <c r="AW667" i="11" s="1"/>
  <c r="AW668" i="11" s="1"/>
  <c r="AW669" i="11" s="1"/>
  <c r="A670" i="11"/>
  <c r="AJ665" i="11"/>
  <c r="AI665" i="11"/>
  <c r="AI666" i="11" s="1"/>
  <c r="AI667" i="11" s="1"/>
  <c r="AI668" i="11" s="1"/>
  <c r="AI669" i="11" s="1"/>
  <c r="E665" i="11"/>
  <c r="F665" i="11"/>
  <c r="BC647" i="11"/>
  <c r="AY648" i="11"/>
  <c r="G1291" i="12"/>
  <c r="G1290" i="12"/>
  <c r="AY652" i="11"/>
  <c r="BC651" i="11"/>
  <c r="BC655" i="11"/>
  <c r="AU655" i="11"/>
  <c r="AU656" i="11" s="1"/>
  <c r="AU657" i="11" s="1"/>
  <c r="AU658" i="11" s="1"/>
  <c r="AU659" i="11" s="1"/>
  <c r="AY656" i="11"/>
  <c r="AO651" i="11"/>
  <c r="AK652" i="11"/>
  <c r="G523" i="10"/>
  <c r="U522" i="10"/>
  <c r="G526" i="10"/>
  <c r="U525" i="10"/>
  <c r="T526" i="10"/>
  <c r="F527" i="10"/>
  <c r="U519" i="10"/>
  <c r="G520" i="10"/>
  <c r="U520" i="10" s="1"/>
  <c r="AA651" i="11"/>
  <c r="W652" i="11"/>
  <c r="G1298" i="12"/>
  <c r="G1299" i="12"/>
  <c r="Q519" i="10"/>
  <c r="C520" i="10"/>
  <c r="Q520" i="10" s="1"/>
  <c r="W660" i="11"/>
  <c r="V661" i="11"/>
  <c r="V662" i="11" s="1"/>
  <c r="V663" i="11" s="1"/>
  <c r="V664" i="11" s="1"/>
  <c r="G1282" i="12"/>
  <c r="G1283" i="12"/>
  <c r="G1284" i="12" s="1"/>
  <c r="AA643" i="11"/>
  <c r="W644" i="11"/>
  <c r="AA644" i="11" s="1"/>
  <c r="AK648" i="11"/>
  <c r="AO647" i="11"/>
  <c r="G1301" i="12" l="1"/>
  <c r="G1300" i="12"/>
  <c r="AO652" i="11"/>
  <c r="AK653" i="11"/>
  <c r="AX670" i="11"/>
  <c r="AW670" i="11"/>
  <c r="AW671" i="11" s="1"/>
  <c r="AW672" i="11" s="1"/>
  <c r="AW673" i="11" s="1"/>
  <c r="AW674" i="11" s="1"/>
  <c r="F670" i="11"/>
  <c r="A675" i="11"/>
  <c r="AJ670" i="11"/>
  <c r="E670" i="11"/>
  <c r="U670" i="11"/>
  <c r="U671" i="11" s="1"/>
  <c r="U672" i="11" s="1"/>
  <c r="U673" i="11" s="1"/>
  <c r="U674" i="11" s="1"/>
  <c r="AI670" i="11"/>
  <c r="AI671" i="11" s="1"/>
  <c r="AI672" i="11" s="1"/>
  <c r="AI673" i="11" s="1"/>
  <c r="AI674" i="11" s="1"/>
  <c r="V670" i="11"/>
  <c r="AG660" i="11"/>
  <c r="AG661" i="11" s="1"/>
  <c r="AG662" i="11" s="1"/>
  <c r="AG663" i="11" s="1"/>
  <c r="AG664" i="11" s="1"/>
  <c r="AO660" i="11"/>
  <c r="AK661" i="11"/>
  <c r="AK657" i="11"/>
  <c r="AO656" i="11"/>
  <c r="G527" i="10"/>
  <c r="U526" i="10"/>
  <c r="AY649" i="11"/>
  <c r="BC649" i="11" s="1"/>
  <c r="BC648" i="11"/>
  <c r="J1307" i="12"/>
  <c r="J1308" i="12" s="1"/>
  <c r="J1313" i="12"/>
  <c r="J1314" i="12" s="1"/>
  <c r="J1309" i="12"/>
  <c r="J1310" i="12" s="1"/>
  <c r="J1306" i="12"/>
  <c r="J1311" i="12"/>
  <c r="J1312" i="12" s="1"/>
  <c r="G657" i="11"/>
  <c r="K656" i="11"/>
  <c r="K648" i="11"/>
  <c r="G649" i="11"/>
  <c r="K649" i="11" s="1"/>
  <c r="G665" i="11"/>
  <c r="F666" i="11"/>
  <c r="F667" i="11" s="1"/>
  <c r="F668" i="11" s="1"/>
  <c r="F669" i="11" s="1"/>
  <c r="E666" i="11"/>
  <c r="E667" i="11" s="1"/>
  <c r="E668" i="11" s="1"/>
  <c r="E669" i="11" s="1"/>
  <c r="C665" i="11"/>
  <c r="C666" i="11" s="1"/>
  <c r="C667" i="11" s="1"/>
  <c r="C668" i="11" s="1"/>
  <c r="C669" i="11" s="1"/>
  <c r="K524" i="10"/>
  <c r="Y524" i="10"/>
  <c r="S524" i="10"/>
  <c r="AA660" i="11"/>
  <c r="S660" i="11"/>
  <c r="S661" i="11" s="1"/>
  <c r="S662" i="11" s="1"/>
  <c r="S663" i="11" s="1"/>
  <c r="S664" i="11" s="1"/>
  <c r="W661" i="11"/>
  <c r="W657" i="11"/>
  <c r="AA656" i="11"/>
  <c r="E1302" i="12"/>
  <c r="E1303" i="12"/>
  <c r="E1304" i="12" s="1"/>
  <c r="G530" i="10"/>
  <c r="U529" i="10"/>
  <c r="E1326" i="12"/>
  <c r="E1327" i="12"/>
  <c r="E1318" i="12"/>
  <c r="E1319" i="12"/>
  <c r="A538" i="10"/>
  <c r="A539" i="10" s="1"/>
  <c r="A540" i="10" s="1"/>
  <c r="A541" i="10"/>
  <c r="F537" i="10"/>
  <c r="E537" i="10"/>
  <c r="F531" i="10"/>
  <c r="T530" i="10"/>
  <c r="AK649" i="11"/>
  <c r="AO649" i="11" s="1"/>
  <c r="AO648" i="11"/>
  <c r="Q526" i="10"/>
  <c r="C527" i="10"/>
  <c r="G653" i="11"/>
  <c r="K652" i="11"/>
  <c r="F1303" i="12"/>
  <c r="F1304" i="12" s="1"/>
  <c r="F1302" i="12"/>
  <c r="Q523" i="10"/>
  <c r="C524" i="10"/>
  <c r="Q524" i="10" s="1"/>
  <c r="G524" i="10"/>
  <c r="U524" i="10" s="1"/>
  <c r="U523" i="10"/>
  <c r="G533" i="10"/>
  <c r="T533" i="10"/>
  <c r="F534" i="10"/>
  <c r="S527" i="10"/>
  <c r="K527" i="10"/>
  <c r="Y527" i="10"/>
  <c r="E528" i="10"/>
  <c r="AA648" i="11"/>
  <c r="W649" i="11"/>
  <c r="AA649" i="11" s="1"/>
  <c r="AY661" i="11"/>
  <c r="AU660" i="11"/>
  <c r="AU661" i="11" s="1"/>
  <c r="AU662" i="11" s="1"/>
  <c r="AU663" i="11" s="1"/>
  <c r="AU664" i="11" s="1"/>
  <c r="BC660" i="11"/>
  <c r="A1345" i="12"/>
  <c r="E1335" i="12"/>
  <c r="F1335" i="12"/>
  <c r="E531" i="10"/>
  <c r="Y530" i="10"/>
  <c r="S530" i="10"/>
  <c r="K530" i="10"/>
  <c r="G661" i="11"/>
  <c r="K660" i="11"/>
  <c r="G1316" i="12"/>
  <c r="J1315" i="12" s="1"/>
  <c r="G1317" i="12"/>
  <c r="G1325" i="12"/>
  <c r="F1327" i="12"/>
  <c r="F1326" i="12"/>
  <c r="C1325" i="12" s="1"/>
  <c r="C1326" i="12" s="1"/>
  <c r="C1327" i="12" s="1"/>
  <c r="C1328" i="12" s="1"/>
  <c r="C1329" i="12" s="1"/>
  <c r="C1330" i="12" s="1"/>
  <c r="C1331" i="12" s="1"/>
  <c r="C1332" i="12" s="1"/>
  <c r="C1333" i="12" s="1"/>
  <c r="C1334" i="12" s="1"/>
  <c r="C530" i="10"/>
  <c r="Q529" i="10"/>
  <c r="E534" i="10"/>
  <c r="C533" i="10"/>
  <c r="Y533" i="10"/>
  <c r="K533" i="10"/>
  <c r="S533" i="10"/>
  <c r="AA652" i="11"/>
  <c r="W653" i="11"/>
  <c r="BC656" i="11"/>
  <c r="AY657" i="11"/>
  <c r="AK665" i="11"/>
  <c r="AJ666" i="11"/>
  <c r="AJ667" i="11" s="1"/>
  <c r="AJ668" i="11" s="1"/>
  <c r="AJ669" i="11" s="1"/>
  <c r="F1310" i="12"/>
  <c r="F1311" i="12"/>
  <c r="AY665" i="11"/>
  <c r="AX666" i="11"/>
  <c r="AX667" i="11" s="1"/>
  <c r="AX668" i="11" s="1"/>
  <c r="AX669" i="11" s="1"/>
  <c r="T527" i="10"/>
  <c r="F528" i="10"/>
  <c r="T528" i="10" s="1"/>
  <c r="AY653" i="11"/>
  <c r="BC652" i="11"/>
  <c r="V666" i="11"/>
  <c r="V667" i="11" s="1"/>
  <c r="V668" i="11" s="1"/>
  <c r="V669" i="11" s="1"/>
  <c r="W665" i="11"/>
  <c r="G1292" i="12"/>
  <c r="G1293" i="12"/>
  <c r="G1294" i="12" s="1"/>
  <c r="E1311" i="12"/>
  <c r="E1310" i="12"/>
  <c r="G1308" i="12"/>
  <c r="G1309" i="12"/>
  <c r="F1319" i="12"/>
  <c r="F1318" i="12"/>
  <c r="AY670" i="11" l="1"/>
  <c r="AX671" i="11"/>
  <c r="AX672" i="11" s="1"/>
  <c r="AX673" i="11" s="1"/>
  <c r="AX674" i="11" s="1"/>
  <c r="AK666" i="11"/>
  <c r="AO665" i="11"/>
  <c r="AG665" i="11"/>
  <c r="AG666" i="11" s="1"/>
  <c r="AG667" i="11" s="1"/>
  <c r="AG668" i="11" s="1"/>
  <c r="AG669" i="11" s="1"/>
  <c r="E1336" i="12"/>
  <c r="E1337" i="12"/>
  <c r="C1335" i="12"/>
  <c r="C1336" i="12" s="1"/>
  <c r="C1337" i="12" s="1"/>
  <c r="C1338" i="12" s="1"/>
  <c r="C1339" i="12" s="1"/>
  <c r="C1340" i="12" s="1"/>
  <c r="C1341" i="12" s="1"/>
  <c r="C1342" i="12" s="1"/>
  <c r="C1343" i="12" s="1"/>
  <c r="C1344" i="12" s="1"/>
  <c r="G531" i="10"/>
  <c r="U530" i="10"/>
  <c r="F532" i="10"/>
  <c r="T532" i="10" s="1"/>
  <c r="T531" i="10"/>
  <c r="T537" i="10"/>
  <c r="F538" i="10"/>
  <c r="G537" i="10"/>
  <c r="G1310" i="12"/>
  <c r="G1311" i="12"/>
  <c r="W666" i="11"/>
  <c r="AA665" i="11"/>
  <c r="S665" i="11"/>
  <c r="S666" i="11" s="1"/>
  <c r="S667" i="11" s="1"/>
  <c r="S668" i="11" s="1"/>
  <c r="S669" i="11" s="1"/>
  <c r="AY658" i="11"/>
  <c r="BC657" i="11"/>
  <c r="F1328" i="12"/>
  <c r="F1329" i="12"/>
  <c r="E1345" i="12"/>
  <c r="A1355" i="12"/>
  <c r="F1345" i="12"/>
  <c r="G534" i="10"/>
  <c r="U533" i="10"/>
  <c r="E671" i="11"/>
  <c r="E672" i="11" s="1"/>
  <c r="E673" i="11" s="1"/>
  <c r="E674" i="11" s="1"/>
  <c r="C670" i="11"/>
  <c r="C671" i="11" s="1"/>
  <c r="C672" i="11" s="1"/>
  <c r="C673" i="11" s="1"/>
  <c r="C674" i="11" s="1"/>
  <c r="AJ671" i="11"/>
  <c r="AJ672" i="11" s="1"/>
  <c r="AJ673" i="11" s="1"/>
  <c r="AJ674" i="11" s="1"/>
  <c r="AK670" i="11"/>
  <c r="AY654" i="11"/>
  <c r="BC654" i="11" s="1"/>
  <c r="BC653" i="11"/>
  <c r="G528" i="10"/>
  <c r="U528" i="10" s="1"/>
  <c r="U527" i="10"/>
  <c r="F1320" i="12"/>
  <c r="F1321" i="12"/>
  <c r="AA661" i="11"/>
  <c r="W662" i="11"/>
  <c r="E1321" i="12"/>
  <c r="E1320" i="12"/>
  <c r="K657" i="11"/>
  <c r="G658" i="11"/>
  <c r="AO661" i="11"/>
  <c r="AK662" i="11"/>
  <c r="AO653" i="11"/>
  <c r="AK654" i="11"/>
  <c r="AO654" i="11" s="1"/>
  <c r="J1321" i="12"/>
  <c r="J1322" i="12" s="1"/>
  <c r="J1323" i="12"/>
  <c r="J1324" i="12" s="1"/>
  <c r="J1317" i="12"/>
  <c r="J1318" i="12" s="1"/>
  <c r="J1316" i="12"/>
  <c r="J1319" i="12"/>
  <c r="J1320" i="12" s="1"/>
  <c r="BC661" i="11"/>
  <c r="AY662" i="11"/>
  <c r="K665" i="11"/>
  <c r="G666" i="11"/>
  <c r="G662" i="11"/>
  <c r="K661" i="11"/>
  <c r="S528" i="10"/>
  <c r="K528" i="10"/>
  <c r="Y528" i="10"/>
  <c r="G654" i="11"/>
  <c r="K654" i="11" s="1"/>
  <c r="K653" i="11"/>
  <c r="W654" i="11"/>
  <c r="AA654" i="11" s="1"/>
  <c r="AA653" i="11"/>
  <c r="G1319" i="12"/>
  <c r="G1318" i="12"/>
  <c r="E538" i="10"/>
  <c r="Y537" i="10"/>
  <c r="S537" i="10"/>
  <c r="C537" i="10"/>
  <c r="K537" i="10"/>
  <c r="AI675" i="11"/>
  <c r="AI676" i="11" s="1"/>
  <c r="AI677" i="11" s="1"/>
  <c r="AI678" i="11" s="1"/>
  <c r="AI679" i="11" s="1"/>
  <c r="AW675" i="11"/>
  <c r="AW676" i="11" s="1"/>
  <c r="AW677" i="11" s="1"/>
  <c r="AW678" i="11" s="1"/>
  <c r="AW679" i="11" s="1"/>
  <c r="V675" i="11"/>
  <c r="U675" i="11"/>
  <c r="U676" i="11" s="1"/>
  <c r="U677" i="11" s="1"/>
  <c r="U678" i="11" s="1"/>
  <c r="U679" i="11" s="1"/>
  <c r="F675" i="11"/>
  <c r="E675" i="11"/>
  <c r="AJ675" i="11"/>
  <c r="A680" i="11"/>
  <c r="AX675" i="11"/>
  <c r="G670" i="11"/>
  <c r="F671" i="11"/>
  <c r="F672" i="11" s="1"/>
  <c r="F673" i="11" s="1"/>
  <c r="F674" i="11" s="1"/>
  <c r="Q533" i="10"/>
  <c r="C534" i="10"/>
  <c r="F1313" i="12"/>
  <c r="F1314" i="12" s="1"/>
  <c r="F1312" i="12"/>
  <c r="S534" i="10"/>
  <c r="K534" i="10"/>
  <c r="Y534" i="10"/>
  <c r="E535" i="10"/>
  <c r="E1312" i="12"/>
  <c r="E1313" i="12"/>
  <c r="E1314" i="12" s="1"/>
  <c r="E532" i="10"/>
  <c r="Y531" i="10"/>
  <c r="K531" i="10"/>
  <c r="S531" i="10"/>
  <c r="C528" i="10"/>
  <c r="Q528" i="10" s="1"/>
  <c r="Q527" i="10"/>
  <c r="E1328" i="12"/>
  <c r="E1329" i="12"/>
  <c r="G1326" i="12"/>
  <c r="J1325" i="12" s="1"/>
  <c r="G1327" i="12"/>
  <c r="F541" i="10"/>
  <c r="E541" i="10"/>
  <c r="A545" i="10"/>
  <c r="A542" i="10"/>
  <c r="A543" i="10" s="1"/>
  <c r="A544" i="10" s="1"/>
  <c r="W658" i="11"/>
  <c r="AA657" i="11"/>
  <c r="AK658" i="11"/>
  <c r="AO657" i="11"/>
  <c r="BC665" i="11"/>
  <c r="AU665" i="11"/>
  <c r="AU666" i="11" s="1"/>
  <c r="AU667" i="11" s="1"/>
  <c r="AU668" i="11" s="1"/>
  <c r="AU669" i="11" s="1"/>
  <c r="AY666" i="11"/>
  <c r="C531" i="10"/>
  <c r="Q530" i="10"/>
  <c r="F1337" i="12"/>
  <c r="G1335" i="12"/>
  <c r="F1336" i="12"/>
  <c r="T534" i="10"/>
  <c r="F535" i="10"/>
  <c r="V671" i="11"/>
  <c r="V672" i="11" s="1"/>
  <c r="V673" i="11" s="1"/>
  <c r="V674" i="11" s="1"/>
  <c r="W670" i="11"/>
  <c r="G1302" i="12"/>
  <c r="G1303" i="12"/>
  <c r="G1304" i="12" s="1"/>
  <c r="G541" i="10" l="1"/>
  <c r="F542" i="10"/>
  <c r="T541" i="10"/>
  <c r="F680" i="11"/>
  <c r="AJ680" i="11"/>
  <c r="E680" i="11"/>
  <c r="V680" i="11"/>
  <c r="U680" i="11"/>
  <c r="U681" i="11" s="1"/>
  <c r="U682" i="11" s="1"/>
  <c r="U683" i="11" s="1"/>
  <c r="U684" i="11" s="1"/>
  <c r="A685" i="11"/>
  <c r="AI680" i="11"/>
  <c r="AI681" i="11" s="1"/>
  <c r="AI682" i="11" s="1"/>
  <c r="AI683" i="11" s="1"/>
  <c r="AI684" i="11" s="1"/>
  <c r="AX680" i="11"/>
  <c r="AW680" i="11"/>
  <c r="AW681" i="11" s="1"/>
  <c r="AW682" i="11" s="1"/>
  <c r="AW683" i="11" s="1"/>
  <c r="AW684" i="11" s="1"/>
  <c r="Y538" i="10"/>
  <c r="E539" i="10"/>
  <c r="K538" i="10"/>
  <c r="S538" i="10"/>
  <c r="K666" i="11"/>
  <c r="G667" i="11"/>
  <c r="AK671" i="11"/>
  <c r="AO670" i="11"/>
  <c r="AG670" i="11"/>
  <c r="AG671" i="11" s="1"/>
  <c r="AG672" i="11" s="1"/>
  <c r="AG673" i="11" s="1"/>
  <c r="AG674" i="11" s="1"/>
  <c r="BC658" i="11"/>
  <c r="AY659" i="11"/>
  <c r="BC659" i="11" s="1"/>
  <c r="G532" i="10"/>
  <c r="U532" i="10" s="1"/>
  <c r="U531" i="10"/>
  <c r="AY667" i="11"/>
  <c r="BC666" i="11"/>
  <c r="E676" i="11"/>
  <c r="E677" i="11" s="1"/>
  <c r="E678" i="11" s="1"/>
  <c r="E679" i="11" s="1"/>
  <c r="AY663" i="11"/>
  <c r="BC662" i="11"/>
  <c r="E1322" i="12"/>
  <c r="E1323" i="12"/>
  <c r="E1324" i="12" s="1"/>
  <c r="V676" i="11"/>
  <c r="V677" i="11" s="1"/>
  <c r="V678" i="11" s="1"/>
  <c r="V679" i="11" s="1"/>
  <c r="W675" i="11"/>
  <c r="G1336" i="12"/>
  <c r="J1335" i="12" s="1"/>
  <c r="G1337" i="12"/>
  <c r="A546" i="10"/>
  <c r="A547" i="10" s="1"/>
  <c r="A548" i="10" s="1"/>
  <c r="A549" i="10"/>
  <c r="F545" i="10"/>
  <c r="E545" i="10"/>
  <c r="K532" i="10"/>
  <c r="Y532" i="10"/>
  <c r="S532" i="10"/>
  <c r="G671" i="11"/>
  <c r="K670" i="11"/>
  <c r="F1330" i="12"/>
  <c r="F1331" i="12"/>
  <c r="J1327" i="12"/>
  <c r="J1328" i="12" s="1"/>
  <c r="J1331" i="12"/>
  <c r="J1332" i="12" s="1"/>
  <c r="J1333" i="12"/>
  <c r="J1334" i="12" s="1"/>
  <c r="J1326" i="12"/>
  <c r="J1329" i="12"/>
  <c r="J1330" i="12" s="1"/>
  <c r="E1339" i="12"/>
  <c r="E1338" i="12"/>
  <c r="F1338" i="12"/>
  <c r="F1339" i="12"/>
  <c r="K541" i="10"/>
  <c r="C541" i="10"/>
  <c r="S541" i="10"/>
  <c r="E542" i="10"/>
  <c r="Y541" i="10"/>
  <c r="AY675" i="11"/>
  <c r="AX676" i="11"/>
  <c r="AX677" i="11" s="1"/>
  <c r="AX678" i="11" s="1"/>
  <c r="AX679" i="11" s="1"/>
  <c r="G663" i="11"/>
  <c r="K662" i="11"/>
  <c r="AO662" i="11"/>
  <c r="AK663" i="11"/>
  <c r="G1321" i="12"/>
  <c r="G1320" i="12"/>
  <c r="G1312" i="12"/>
  <c r="G1313" i="12"/>
  <c r="G1314" i="12" s="1"/>
  <c r="AK659" i="11"/>
  <c r="AO659" i="11" s="1"/>
  <c r="AO658" i="11"/>
  <c r="G535" i="10"/>
  <c r="U534" i="10"/>
  <c r="E1330" i="12"/>
  <c r="E1331" i="12"/>
  <c r="G675" i="11"/>
  <c r="C675" i="11" s="1"/>
  <c r="C676" i="11" s="1"/>
  <c r="C677" i="11" s="1"/>
  <c r="C678" i="11" s="1"/>
  <c r="C679" i="11" s="1"/>
  <c r="F676" i="11"/>
  <c r="F677" i="11" s="1"/>
  <c r="F678" i="11" s="1"/>
  <c r="F679" i="11" s="1"/>
  <c r="C535" i="10"/>
  <c r="Q534" i="10"/>
  <c r="F1323" i="12"/>
  <c r="F1324" i="12" s="1"/>
  <c r="F1322" i="12"/>
  <c r="G1345" i="12"/>
  <c r="F1347" i="12"/>
  <c r="F1346" i="12"/>
  <c r="U537" i="10"/>
  <c r="G538" i="10"/>
  <c r="AK667" i="11"/>
  <c r="AO666" i="11"/>
  <c r="G1329" i="12"/>
  <c r="G1328" i="12"/>
  <c r="S535" i="10"/>
  <c r="K535" i="10"/>
  <c r="Y535" i="10"/>
  <c r="E536" i="10"/>
  <c r="AA666" i="11"/>
  <c r="W667" i="11"/>
  <c r="S670" i="11"/>
  <c r="S671" i="11" s="1"/>
  <c r="S672" i="11" s="1"/>
  <c r="S673" i="11" s="1"/>
  <c r="S674" i="11" s="1"/>
  <c r="W671" i="11"/>
  <c r="AA670" i="11"/>
  <c r="W663" i="11"/>
  <c r="AA662" i="11"/>
  <c r="T535" i="10"/>
  <c r="F536" i="10"/>
  <c r="T536" i="10" s="1"/>
  <c r="W659" i="11"/>
  <c r="AA659" i="11" s="1"/>
  <c r="AA658" i="11"/>
  <c r="A1365" i="12"/>
  <c r="F1355" i="12"/>
  <c r="E1355" i="12"/>
  <c r="T538" i="10"/>
  <c r="F539" i="10"/>
  <c r="C532" i="10"/>
  <c r="Q532" i="10" s="1"/>
  <c r="Q531" i="10"/>
  <c r="AJ676" i="11"/>
  <c r="AJ677" i="11" s="1"/>
  <c r="AJ678" i="11" s="1"/>
  <c r="AJ679" i="11" s="1"/>
  <c r="AK675" i="11"/>
  <c r="K658" i="11"/>
  <c r="G659" i="11"/>
  <c r="K659" i="11" s="1"/>
  <c r="C538" i="10"/>
  <c r="Q537" i="10"/>
  <c r="E1346" i="12"/>
  <c r="E1347" i="12"/>
  <c r="C1345" i="12"/>
  <c r="C1346" i="12" s="1"/>
  <c r="C1347" i="12" s="1"/>
  <c r="C1348" i="12" s="1"/>
  <c r="C1349" i="12" s="1"/>
  <c r="C1350" i="12" s="1"/>
  <c r="C1351" i="12" s="1"/>
  <c r="C1352" i="12" s="1"/>
  <c r="C1353" i="12" s="1"/>
  <c r="C1354" i="12" s="1"/>
  <c r="BC670" i="11"/>
  <c r="AU670" i="11"/>
  <c r="AU671" i="11" s="1"/>
  <c r="AU672" i="11" s="1"/>
  <c r="AU673" i="11" s="1"/>
  <c r="AU674" i="11" s="1"/>
  <c r="AY671" i="11"/>
  <c r="W680" i="11" l="1"/>
  <c r="V681" i="11"/>
  <c r="V682" i="11" s="1"/>
  <c r="V683" i="11" s="1"/>
  <c r="V684" i="11" s="1"/>
  <c r="C539" i="10"/>
  <c r="Q538" i="10"/>
  <c r="F1332" i="12"/>
  <c r="F1333" i="12"/>
  <c r="F1334" i="12" s="1"/>
  <c r="J1341" i="12"/>
  <c r="J1342" i="12" s="1"/>
  <c r="J1343" i="12"/>
  <c r="J1344" i="12" s="1"/>
  <c r="J1336" i="12"/>
  <c r="J1339" i="12"/>
  <c r="J1340" i="12" s="1"/>
  <c r="J1337" i="12"/>
  <c r="J1338" i="12" s="1"/>
  <c r="AK676" i="11"/>
  <c r="AO675" i="11"/>
  <c r="AG675" i="11"/>
  <c r="AG676" i="11" s="1"/>
  <c r="AG677" i="11" s="1"/>
  <c r="AG678" i="11" s="1"/>
  <c r="AG679" i="11" s="1"/>
  <c r="Q535" i="10"/>
  <c r="C536" i="10"/>
  <c r="Q536" i="10" s="1"/>
  <c r="G1322" i="12"/>
  <c r="G1323" i="12"/>
  <c r="G1324" i="12" s="1"/>
  <c r="G1330" i="12"/>
  <c r="G1331" i="12"/>
  <c r="Q541" i="10"/>
  <c r="C542" i="10"/>
  <c r="S675" i="11"/>
  <c r="S676" i="11" s="1"/>
  <c r="S677" i="11" s="1"/>
  <c r="S678" i="11" s="1"/>
  <c r="S679" i="11" s="1"/>
  <c r="AA675" i="11"/>
  <c r="W676" i="11"/>
  <c r="AX681" i="11"/>
  <c r="AX682" i="11" s="1"/>
  <c r="AX683" i="11" s="1"/>
  <c r="AX684" i="11" s="1"/>
  <c r="AY680" i="11"/>
  <c r="AK664" i="11"/>
  <c r="AO664" i="11" s="1"/>
  <c r="AO663" i="11"/>
  <c r="AO667" i="11"/>
  <c r="AK668" i="11"/>
  <c r="E1332" i="12"/>
  <c r="E1333" i="12"/>
  <c r="E1334" i="12" s="1"/>
  <c r="AA671" i="11"/>
  <c r="W672" i="11"/>
  <c r="K663" i="11"/>
  <c r="G664" i="11"/>
  <c r="K664" i="11" s="1"/>
  <c r="G545" i="10"/>
  <c r="T545" i="10"/>
  <c r="F546" i="10"/>
  <c r="G680" i="11"/>
  <c r="F681" i="11"/>
  <c r="F682" i="11" s="1"/>
  <c r="F683" i="11" s="1"/>
  <c r="F684" i="11" s="1"/>
  <c r="F1341" i="12"/>
  <c r="F1340" i="12"/>
  <c r="G672" i="11"/>
  <c r="K671" i="11"/>
  <c r="AW685" i="11"/>
  <c r="AW686" i="11" s="1"/>
  <c r="AW687" i="11" s="1"/>
  <c r="AW688" i="11" s="1"/>
  <c r="AW689" i="11" s="1"/>
  <c r="F685" i="11"/>
  <c r="E685" i="11"/>
  <c r="AI685" i="11"/>
  <c r="AI686" i="11" s="1"/>
  <c r="AI687" i="11" s="1"/>
  <c r="AI688" i="11" s="1"/>
  <c r="AI689" i="11" s="1"/>
  <c r="AX685" i="11"/>
  <c r="A690" i="11"/>
  <c r="AJ685" i="11"/>
  <c r="V685" i="11"/>
  <c r="U685" i="11"/>
  <c r="U686" i="11" s="1"/>
  <c r="U687" i="11" s="1"/>
  <c r="U688" i="11" s="1"/>
  <c r="U689" i="11" s="1"/>
  <c r="K675" i="11"/>
  <c r="G676" i="11"/>
  <c r="K667" i="11"/>
  <c r="G668" i="11"/>
  <c r="E681" i="11"/>
  <c r="E682" i="11" s="1"/>
  <c r="E683" i="11" s="1"/>
  <c r="E684" i="11" s="1"/>
  <c r="C680" i="11"/>
  <c r="C681" i="11" s="1"/>
  <c r="C682" i="11" s="1"/>
  <c r="C683" i="11" s="1"/>
  <c r="C684" i="11" s="1"/>
  <c r="F540" i="10"/>
  <c r="T540" i="10" s="1"/>
  <c r="T539" i="10"/>
  <c r="U538" i="10"/>
  <c r="G539" i="10"/>
  <c r="S545" i="10"/>
  <c r="E546" i="10"/>
  <c r="Y545" i="10"/>
  <c r="C545" i="10"/>
  <c r="K545" i="10"/>
  <c r="AJ681" i="11"/>
  <c r="AJ682" i="11" s="1"/>
  <c r="AJ683" i="11" s="1"/>
  <c r="AJ684" i="11" s="1"/>
  <c r="AK680" i="11"/>
  <c r="E1349" i="12"/>
  <c r="E1348" i="12"/>
  <c r="E1356" i="12"/>
  <c r="E1357" i="12"/>
  <c r="W668" i="11"/>
  <c r="AA667" i="11"/>
  <c r="U535" i="10"/>
  <c r="G536" i="10"/>
  <c r="U536" i="10" s="1"/>
  <c r="AU675" i="11"/>
  <c r="AU676" i="11" s="1"/>
  <c r="AU677" i="11" s="1"/>
  <c r="AU678" i="11" s="1"/>
  <c r="AU679" i="11" s="1"/>
  <c r="BC675" i="11"/>
  <c r="AY676" i="11"/>
  <c r="A553" i="10"/>
  <c r="E549" i="10"/>
  <c r="F549" i="10"/>
  <c r="A550" i="10"/>
  <c r="A551" i="10" s="1"/>
  <c r="A552" i="10" s="1"/>
  <c r="AY672" i="11"/>
  <c r="BC671" i="11"/>
  <c r="AA663" i="11"/>
  <c r="W664" i="11"/>
  <c r="AA664" i="11" s="1"/>
  <c r="AO671" i="11"/>
  <c r="AK672" i="11"/>
  <c r="E1341" i="12"/>
  <c r="E1340" i="12"/>
  <c r="AY664" i="11"/>
  <c r="BC664" i="11" s="1"/>
  <c r="BC663" i="11"/>
  <c r="F1348" i="12"/>
  <c r="F1349" i="12"/>
  <c r="BC667" i="11"/>
  <c r="AY668" i="11"/>
  <c r="S539" i="10"/>
  <c r="E540" i="10"/>
  <c r="Y539" i="10"/>
  <c r="K539" i="10"/>
  <c r="T542" i="10"/>
  <c r="F543" i="10"/>
  <c r="F1357" i="12"/>
  <c r="F1356" i="12"/>
  <c r="C1355" i="12" s="1"/>
  <c r="C1356" i="12" s="1"/>
  <c r="C1357" i="12" s="1"/>
  <c r="C1358" i="12" s="1"/>
  <c r="C1359" i="12" s="1"/>
  <c r="C1360" i="12" s="1"/>
  <c r="C1361" i="12" s="1"/>
  <c r="C1362" i="12" s="1"/>
  <c r="C1363" i="12" s="1"/>
  <c r="C1364" i="12" s="1"/>
  <c r="G1355" i="12"/>
  <c r="F1365" i="12"/>
  <c r="E1365" i="12"/>
  <c r="A1375" i="12"/>
  <c r="Y536" i="10"/>
  <c r="S536" i="10"/>
  <c r="K536" i="10"/>
  <c r="G1346" i="12"/>
  <c r="J1345" i="12" s="1"/>
  <c r="G1347" i="12"/>
  <c r="S542" i="10"/>
  <c r="K542" i="10"/>
  <c r="Y542" i="10"/>
  <c r="E543" i="10"/>
  <c r="G1339" i="12"/>
  <c r="G1338" i="12"/>
  <c r="U541" i="10"/>
  <c r="G542" i="10"/>
  <c r="K672" i="11" l="1"/>
  <c r="G673" i="11"/>
  <c r="K540" i="10"/>
  <c r="S540" i="10"/>
  <c r="Y540" i="10"/>
  <c r="F1358" i="12"/>
  <c r="F1359" i="12"/>
  <c r="F553" i="10"/>
  <c r="A554" i="10"/>
  <c r="A555" i="10" s="1"/>
  <c r="A556" i="10" s="1"/>
  <c r="A557" i="10"/>
  <c r="E553" i="10"/>
  <c r="BC676" i="11"/>
  <c r="AY677" i="11"/>
  <c r="AK681" i="11"/>
  <c r="AO680" i="11"/>
  <c r="AG680" i="11"/>
  <c r="AG681" i="11" s="1"/>
  <c r="AG682" i="11" s="1"/>
  <c r="AG683" i="11" s="1"/>
  <c r="AG684" i="11" s="1"/>
  <c r="G685" i="11"/>
  <c r="F686" i="11"/>
  <c r="F687" i="11" s="1"/>
  <c r="F688" i="11" s="1"/>
  <c r="F689" i="11" s="1"/>
  <c r="AO676" i="11"/>
  <c r="AK677" i="11"/>
  <c r="J1347" i="12"/>
  <c r="J1348" i="12" s="1"/>
  <c r="J1351" i="12"/>
  <c r="J1352" i="12" s="1"/>
  <c r="J1353" i="12"/>
  <c r="J1354" i="12" s="1"/>
  <c r="J1346" i="12"/>
  <c r="J1349" i="12"/>
  <c r="J1350" i="12" s="1"/>
  <c r="E1350" i="12"/>
  <c r="E1351" i="12"/>
  <c r="T543" i="10"/>
  <c r="F544" i="10"/>
  <c r="T544" i="10" s="1"/>
  <c r="G1349" i="12"/>
  <c r="G1348" i="12"/>
  <c r="E1342" i="12"/>
  <c r="E1343" i="12"/>
  <c r="E1344" i="12" s="1"/>
  <c r="G669" i="11"/>
  <c r="K669" i="11" s="1"/>
  <c r="K668" i="11"/>
  <c r="AA672" i="11"/>
  <c r="W673" i="11"/>
  <c r="K676" i="11"/>
  <c r="G677" i="11"/>
  <c r="S546" i="10"/>
  <c r="E547" i="10"/>
  <c r="Y546" i="10"/>
  <c r="K546" i="10"/>
  <c r="AK669" i="11"/>
  <c r="AO669" i="11" s="1"/>
  <c r="AO668" i="11"/>
  <c r="A1385" i="12"/>
  <c r="F1375" i="12"/>
  <c r="E1375" i="12"/>
  <c r="BC668" i="11"/>
  <c r="AY669" i="11"/>
  <c r="BC669" i="11" s="1"/>
  <c r="W669" i="11"/>
  <c r="AA669" i="11" s="1"/>
  <c r="AA668" i="11"/>
  <c r="AY673" i="11"/>
  <c r="BC672" i="11"/>
  <c r="AJ686" i="11"/>
  <c r="AJ687" i="11" s="1"/>
  <c r="AJ688" i="11" s="1"/>
  <c r="AJ689" i="11" s="1"/>
  <c r="AK685" i="11"/>
  <c r="G681" i="11"/>
  <c r="K680" i="11"/>
  <c r="AK673" i="11"/>
  <c r="AO672" i="11"/>
  <c r="W685" i="11"/>
  <c r="V686" i="11"/>
  <c r="V687" i="11" s="1"/>
  <c r="V688" i="11" s="1"/>
  <c r="V689" i="11" s="1"/>
  <c r="E1367" i="12"/>
  <c r="E1366" i="12"/>
  <c r="G540" i="10"/>
  <c r="U540" i="10" s="1"/>
  <c r="U539" i="10"/>
  <c r="G1340" i="12"/>
  <c r="G1341" i="12"/>
  <c r="F1351" i="12"/>
  <c r="F1350" i="12"/>
  <c r="E1359" i="12"/>
  <c r="E1358" i="12"/>
  <c r="F547" i="10"/>
  <c r="T546" i="10"/>
  <c r="C546" i="10"/>
  <c r="Q545" i="10"/>
  <c r="F1343" i="12"/>
  <c r="F1344" i="12" s="1"/>
  <c r="F1342" i="12"/>
  <c r="F1367" i="12"/>
  <c r="G1365" i="12"/>
  <c r="F1366" i="12"/>
  <c r="C1365" i="12" s="1"/>
  <c r="C1366" i="12" s="1"/>
  <c r="C1367" i="12" s="1"/>
  <c r="C1368" i="12" s="1"/>
  <c r="C1369" i="12" s="1"/>
  <c r="C1370" i="12" s="1"/>
  <c r="C1371" i="12" s="1"/>
  <c r="C1372" i="12" s="1"/>
  <c r="C1373" i="12" s="1"/>
  <c r="C1374" i="12" s="1"/>
  <c r="U690" i="11"/>
  <c r="U691" i="11" s="1"/>
  <c r="U692" i="11" s="1"/>
  <c r="U693" i="11" s="1"/>
  <c r="U694" i="11" s="1"/>
  <c r="A695" i="11"/>
  <c r="AX690" i="11"/>
  <c r="AW690" i="11"/>
  <c r="AW691" i="11" s="1"/>
  <c r="AW692" i="11" s="1"/>
  <c r="AW693" i="11" s="1"/>
  <c r="AW694" i="11" s="1"/>
  <c r="AJ690" i="11"/>
  <c r="F690" i="11"/>
  <c r="E690" i="11"/>
  <c r="AI690" i="11"/>
  <c r="AI691" i="11" s="1"/>
  <c r="AI692" i="11" s="1"/>
  <c r="AI693" i="11" s="1"/>
  <c r="AI694" i="11" s="1"/>
  <c r="V690" i="11"/>
  <c r="K543" i="10"/>
  <c r="S543" i="10"/>
  <c r="Y543" i="10"/>
  <c r="E544" i="10"/>
  <c r="G1356" i="12"/>
  <c r="J1355" i="12" s="1"/>
  <c r="G1357" i="12"/>
  <c r="F550" i="10"/>
  <c r="G549" i="10"/>
  <c r="T549" i="10"/>
  <c r="AX686" i="11"/>
  <c r="AX687" i="11" s="1"/>
  <c r="AX688" i="11" s="1"/>
  <c r="AX689" i="11" s="1"/>
  <c r="AY685" i="11"/>
  <c r="AY681" i="11"/>
  <c r="BC680" i="11"/>
  <c r="AU680" i="11"/>
  <c r="AU681" i="11" s="1"/>
  <c r="AU682" i="11" s="1"/>
  <c r="AU683" i="11" s="1"/>
  <c r="AU684" i="11" s="1"/>
  <c r="C540" i="10"/>
  <c r="Q540" i="10" s="1"/>
  <c r="Q539" i="10"/>
  <c r="Q542" i="10"/>
  <c r="C543" i="10"/>
  <c r="G1332" i="12"/>
  <c r="G1333" i="12"/>
  <c r="G1334" i="12" s="1"/>
  <c r="U542" i="10"/>
  <c r="G543" i="10"/>
  <c r="K549" i="10"/>
  <c r="C549" i="10"/>
  <c r="E550" i="10"/>
  <c r="S549" i="10"/>
  <c r="Y549" i="10"/>
  <c r="U545" i="10"/>
  <c r="G546" i="10"/>
  <c r="C685" i="11"/>
  <c r="C686" i="11" s="1"/>
  <c r="C687" i="11" s="1"/>
  <c r="C688" i="11" s="1"/>
  <c r="C689" i="11" s="1"/>
  <c r="E686" i="11"/>
  <c r="E687" i="11" s="1"/>
  <c r="E688" i="11" s="1"/>
  <c r="E689" i="11" s="1"/>
  <c r="W677" i="11"/>
  <c r="AA676" i="11"/>
  <c r="AA680" i="11"/>
  <c r="S680" i="11"/>
  <c r="S681" i="11" s="1"/>
  <c r="S682" i="11" s="1"/>
  <c r="S683" i="11" s="1"/>
  <c r="S684" i="11" s="1"/>
  <c r="W681" i="11"/>
  <c r="F1352" i="12" l="1"/>
  <c r="F1353" i="12"/>
  <c r="F1354" i="12" s="1"/>
  <c r="AK678" i="11"/>
  <c r="AO677" i="11"/>
  <c r="J1356" i="12"/>
  <c r="J1361" i="12"/>
  <c r="J1362" i="12" s="1"/>
  <c r="J1357" i="12"/>
  <c r="J1358" i="12" s="1"/>
  <c r="J1363" i="12"/>
  <c r="J1364" i="12" s="1"/>
  <c r="J1359" i="12"/>
  <c r="J1360" i="12" s="1"/>
  <c r="AW695" i="11"/>
  <c r="AW696" i="11" s="1"/>
  <c r="AW697" i="11" s="1"/>
  <c r="AW698" i="11" s="1"/>
  <c r="AW699" i="11" s="1"/>
  <c r="AJ695" i="11"/>
  <c r="E695" i="11"/>
  <c r="AX695" i="11"/>
  <c r="AI695" i="11"/>
  <c r="AI696" i="11" s="1"/>
  <c r="AI697" i="11" s="1"/>
  <c r="AI698" i="11" s="1"/>
  <c r="AI699" i="11" s="1"/>
  <c r="U695" i="11"/>
  <c r="U696" i="11" s="1"/>
  <c r="U697" i="11" s="1"/>
  <c r="U698" i="11" s="1"/>
  <c r="U699" i="11" s="1"/>
  <c r="F695" i="11"/>
  <c r="V695" i="11"/>
  <c r="E1360" i="12"/>
  <c r="E1361" i="12"/>
  <c r="E1376" i="12"/>
  <c r="C1375" i="12"/>
  <c r="C1376" i="12" s="1"/>
  <c r="C1377" i="12" s="1"/>
  <c r="C1378" i="12" s="1"/>
  <c r="C1379" i="12" s="1"/>
  <c r="C1380" i="12" s="1"/>
  <c r="C1381" i="12" s="1"/>
  <c r="C1382" i="12" s="1"/>
  <c r="C1383" i="12" s="1"/>
  <c r="C1384" i="12" s="1"/>
  <c r="E1377" i="12"/>
  <c r="T553" i="10"/>
  <c r="F554" i="10"/>
  <c r="G553" i="10"/>
  <c r="AA681" i="11"/>
  <c r="W682" i="11"/>
  <c r="G547" i="10"/>
  <c r="U546" i="10"/>
  <c r="S544" i="10"/>
  <c r="Y544" i="10"/>
  <c r="K544" i="10"/>
  <c r="AO673" i="11"/>
  <c r="AK674" i="11"/>
  <c r="AO674" i="11" s="1"/>
  <c r="F1376" i="12"/>
  <c r="G1375" i="12"/>
  <c r="F1377" i="12"/>
  <c r="E554" i="10"/>
  <c r="Y553" i="10"/>
  <c r="S553" i="10"/>
  <c r="C553" i="10"/>
  <c r="K553" i="10"/>
  <c r="F1361" i="12"/>
  <c r="F1360" i="12"/>
  <c r="U543" i="10"/>
  <c r="G544" i="10"/>
  <c r="U544" i="10" s="1"/>
  <c r="G690" i="11"/>
  <c r="F691" i="11"/>
  <c r="F692" i="11" s="1"/>
  <c r="F693" i="11" s="1"/>
  <c r="F694" i="11" s="1"/>
  <c r="C547" i="10"/>
  <c r="Q546" i="10"/>
  <c r="G1367" i="12"/>
  <c r="G1366" i="12"/>
  <c r="J1365" i="12" s="1"/>
  <c r="G1343" i="12"/>
  <c r="G1344" i="12" s="1"/>
  <c r="G1342" i="12"/>
  <c r="K681" i="11"/>
  <c r="G682" i="11"/>
  <c r="K550" i="10"/>
  <c r="E551" i="10"/>
  <c r="S550" i="10"/>
  <c r="Y550" i="10"/>
  <c r="G1350" i="12"/>
  <c r="G1351" i="12"/>
  <c r="G550" i="10"/>
  <c r="U549" i="10"/>
  <c r="G678" i="11"/>
  <c r="K677" i="11"/>
  <c r="E1352" i="12"/>
  <c r="E1353" i="12"/>
  <c r="E1354" i="12" s="1"/>
  <c r="F1385" i="12"/>
  <c r="A1395" i="12"/>
  <c r="E1385" i="12"/>
  <c r="F557" i="10"/>
  <c r="E557" i="10"/>
  <c r="A561" i="10"/>
  <c r="A558" i="10"/>
  <c r="A559" i="10" s="1"/>
  <c r="A560" i="10" s="1"/>
  <c r="F1368" i="12"/>
  <c r="F1369" i="12"/>
  <c r="AO685" i="11"/>
  <c r="AG685" i="11"/>
  <c r="AG686" i="11" s="1"/>
  <c r="AG687" i="11" s="1"/>
  <c r="AG688" i="11" s="1"/>
  <c r="AG689" i="11" s="1"/>
  <c r="AK686" i="11"/>
  <c r="V691" i="11"/>
  <c r="V692" i="11" s="1"/>
  <c r="V693" i="11" s="1"/>
  <c r="V694" i="11" s="1"/>
  <c r="W690" i="11"/>
  <c r="AU685" i="11"/>
  <c r="AU686" i="11" s="1"/>
  <c r="AU687" i="11" s="1"/>
  <c r="AU688" i="11" s="1"/>
  <c r="AU689" i="11" s="1"/>
  <c r="BC685" i="11"/>
  <c r="AY686" i="11"/>
  <c r="E691" i="11"/>
  <c r="E692" i="11" s="1"/>
  <c r="E693" i="11" s="1"/>
  <c r="E694" i="11" s="1"/>
  <c r="C690" i="11"/>
  <c r="C691" i="11" s="1"/>
  <c r="C692" i="11" s="1"/>
  <c r="C693" i="11" s="1"/>
  <c r="C694" i="11" s="1"/>
  <c r="BC673" i="11"/>
  <c r="AY674" i="11"/>
  <c r="BC674" i="11" s="1"/>
  <c r="E548" i="10"/>
  <c r="Y547" i="10"/>
  <c r="S547" i="10"/>
  <c r="K547" i="10"/>
  <c r="G686" i="11"/>
  <c r="K685" i="11"/>
  <c r="W678" i="11"/>
  <c r="AA677" i="11"/>
  <c r="AJ691" i="11"/>
  <c r="AJ692" i="11" s="1"/>
  <c r="AJ693" i="11" s="1"/>
  <c r="AJ694" i="11" s="1"/>
  <c r="AK690" i="11"/>
  <c r="E1369" i="12"/>
  <c r="E1368" i="12"/>
  <c r="T550" i="10"/>
  <c r="F551" i="10"/>
  <c r="F548" i="10"/>
  <c r="T548" i="10" s="1"/>
  <c r="T547" i="10"/>
  <c r="AK682" i="11"/>
  <c r="AO681" i="11"/>
  <c r="G674" i="11"/>
  <c r="K674" i="11" s="1"/>
  <c r="K673" i="11"/>
  <c r="Q549" i="10"/>
  <c r="C550" i="10"/>
  <c r="AY682" i="11"/>
  <c r="BC681" i="11"/>
  <c r="Q543" i="10"/>
  <c r="C544" i="10"/>
  <c r="Q544" i="10" s="1"/>
  <c r="G1358" i="12"/>
  <c r="G1359" i="12"/>
  <c r="AY690" i="11"/>
  <c r="AX691" i="11"/>
  <c r="AX692" i="11" s="1"/>
  <c r="AX693" i="11" s="1"/>
  <c r="AX694" i="11" s="1"/>
  <c r="W686" i="11"/>
  <c r="AA685" i="11"/>
  <c r="S685" i="11"/>
  <c r="S686" i="11" s="1"/>
  <c r="S687" i="11" s="1"/>
  <c r="S688" i="11" s="1"/>
  <c r="S689" i="11" s="1"/>
  <c r="AA673" i="11"/>
  <c r="W674" i="11"/>
  <c r="AA674" i="11" s="1"/>
  <c r="BC677" i="11"/>
  <c r="AY678" i="11"/>
  <c r="T551" i="10" l="1"/>
  <c r="F552" i="10"/>
  <c r="T552" i="10" s="1"/>
  <c r="C554" i="10"/>
  <c r="Q553" i="10"/>
  <c r="W687" i="11"/>
  <c r="AA686" i="11"/>
  <c r="G557" i="10"/>
  <c r="T557" i="10"/>
  <c r="F558" i="10"/>
  <c r="G1377" i="12"/>
  <c r="G1376" i="12"/>
  <c r="J1375" i="12" s="1"/>
  <c r="F555" i="10"/>
  <c r="T554" i="10"/>
  <c r="C695" i="11"/>
  <c r="C696" i="11" s="1"/>
  <c r="C697" i="11" s="1"/>
  <c r="C698" i="11" s="1"/>
  <c r="C699" i="11" s="1"/>
  <c r="E696" i="11"/>
  <c r="E697" i="11" s="1"/>
  <c r="E698" i="11" s="1"/>
  <c r="E699" i="11" s="1"/>
  <c r="W679" i="11"/>
  <c r="AA679" i="11" s="1"/>
  <c r="AA678" i="11"/>
  <c r="E1387" i="12"/>
  <c r="E1386" i="12"/>
  <c r="C1385" i="12" s="1"/>
  <c r="C1386" i="12" s="1"/>
  <c r="C1387" i="12" s="1"/>
  <c r="C1388" i="12" s="1"/>
  <c r="C1389" i="12" s="1"/>
  <c r="C1390" i="12" s="1"/>
  <c r="C1391" i="12" s="1"/>
  <c r="C1392" i="12" s="1"/>
  <c r="C1393" i="12" s="1"/>
  <c r="C1394" i="12" s="1"/>
  <c r="K690" i="11"/>
  <c r="G691" i="11"/>
  <c r="AK695" i="11"/>
  <c r="AJ696" i="11"/>
  <c r="AJ697" i="11" s="1"/>
  <c r="AJ698" i="11" s="1"/>
  <c r="AJ699" i="11" s="1"/>
  <c r="AY683" i="11"/>
  <c r="BC682" i="11"/>
  <c r="E1370" i="12"/>
  <c r="E1371" i="12"/>
  <c r="J1369" i="12"/>
  <c r="J1370" i="12" s="1"/>
  <c r="J1371" i="12"/>
  <c r="J1372" i="12" s="1"/>
  <c r="J1366" i="12"/>
  <c r="J1367" i="12"/>
  <c r="J1368" i="12" s="1"/>
  <c r="J1373" i="12"/>
  <c r="J1374" i="12" s="1"/>
  <c r="G548" i="10"/>
  <c r="U548" i="10" s="1"/>
  <c r="U547" i="10"/>
  <c r="G695" i="11"/>
  <c r="F696" i="11"/>
  <c r="F697" i="11" s="1"/>
  <c r="F698" i="11" s="1"/>
  <c r="F699" i="11" s="1"/>
  <c r="E1379" i="12"/>
  <c r="E1378" i="12"/>
  <c r="G1360" i="12"/>
  <c r="G1361" i="12"/>
  <c r="F1386" i="12"/>
  <c r="F1387" i="12"/>
  <c r="G1385" i="12"/>
  <c r="F1362" i="12"/>
  <c r="F1363" i="12"/>
  <c r="F1364" i="12" s="1"/>
  <c r="E1363" i="12"/>
  <c r="E1364" i="12" s="1"/>
  <c r="E1362" i="12"/>
  <c r="BC678" i="11"/>
  <c r="AY679" i="11"/>
  <c r="BC679" i="11" s="1"/>
  <c r="K548" i="10"/>
  <c r="Y548" i="10"/>
  <c r="S548" i="10"/>
  <c r="V696" i="11"/>
  <c r="V697" i="11" s="1"/>
  <c r="V698" i="11" s="1"/>
  <c r="V699" i="11" s="1"/>
  <c r="W695" i="11"/>
  <c r="Q550" i="10"/>
  <c r="C551" i="10"/>
  <c r="AK691" i="11"/>
  <c r="AO690" i="11"/>
  <c r="AG690" i="11"/>
  <c r="AG691" i="11" s="1"/>
  <c r="AG692" i="11" s="1"/>
  <c r="AG693" i="11" s="1"/>
  <c r="AG694" i="11" s="1"/>
  <c r="G1369" i="12"/>
  <c r="G1368" i="12"/>
  <c r="AA682" i="11"/>
  <c r="W683" i="11"/>
  <c r="AK679" i="11"/>
  <c r="AO679" i="11" s="1"/>
  <c r="AO678" i="11"/>
  <c r="BC690" i="11"/>
  <c r="AY691" i="11"/>
  <c r="AU690" i="11"/>
  <c r="AU691" i="11" s="1"/>
  <c r="AU692" i="11" s="1"/>
  <c r="AU693" i="11" s="1"/>
  <c r="AU694" i="11" s="1"/>
  <c r="G687" i="11"/>
  <c r="K686" i="11"/>
  <c r="F1395" i="12"/>
  <c r="E1395" i="12"/>
  <c r="S551" i="10"/>
  <c r="K551" i="10"/>
  <c r="Y551" i="10"/>
  <c r="E552" i="10"/>
  <c r="G551" i="10"/>
  <c r="U550" i="10"/>
  <c r="A562" i="10"/>
  <c r="A563" i="10" s="1"/>
  <c r="A564" i="10" s="1"/>
  <c r="F561" i="10"/>
  <c r="E561" i="10"/>
  <c r="G1353" i="12"/>
  <c r="G1354" i="12" s="1"/>
  <c r="G1352" i="12"/>
  <c r="E555" i="10"/>
  <c r="Y554" i="10"/>
  <c r="S554" i="10"/>
  <c r="K554" i="10"/>
  <c r="AO682" i="11"/>
  <c r="AK683" i="11"/>
  <c r="AA690" i="11"/>
  <c r="S690" i="11"/>
  <c r="S691" i="11" s="1"/>
  <c r="S692" i="11" s="1"/>
  <c r="S693" i="11" s="1"/>
  <c r="S694" i="11" s="1"/>
  <c r="W691" i="11"/>
  <c r="AO686" i="11"/>
  <c r="AK687" i="11"/>
  <c r="G683" i="11"/>
  <c r="K682" i="11"/>
  <c r="F1371" i="12"/>
  <c r="F1370" i="12"/>
  <c r="K678" i="11"/>
  <c r="G679" i="11"/>
  <c r="K679" i="11" s="1"/>
  <c r="AY687" i="11"/>
  <c r="BC686" i="11"/>
  <c r="E558" i="10"/>
  <c r="C557" i="10"/>
  <c r="Y557" i="10"/>
  <c r="K557" i="10"/>
  <c r="S557" i="10"/>
  <c r="Q547" i="10"/>
  <c r="C548" i="10"/>
  <c r="Q548" i="10" s="1"/>
  <c r="F1378" i="12"/>
  <c r="F1379" i="12"/>
  <c r="G554" i="10"/>
  <c r="U553" i="10"/>
  <c r="AY695" i="11"/>
  <c r="AX696" i="11"/>
  <c r="AX697" i="11" s="1"/>
  <c r="AX698" i="11" s="1"/>
  <c r="AX699" i="11" s="1"/>
  <c r="G688" i="11" l="1"/>
  <c r="K687" i="11"/>
  <c r="AK692" i="11"/>
  <c r="AO691" i="11"/>
  <c r="K691" i="11"/>
  <c r="G692" i="11"/>
  <c r="G1378" i="12"/>
  <c r="G1379" i="12"/>
  <c r="AA691" i="11"/>
  <c r="W692" i="11"/>
  <c r="W696" i="11"/>
  <c r="S695" i="11"/>
  <c r="S696" i="11" s="1"/>
  <c r="S697" i="11" s="1"/>
  <c r="S698" i="11" s="1"/>
  <c r="S699" i="11" s="1"/>
  <c r="AA695" i="11"/>
  <c r="F1389" i="12"/>
  <c r="F1388" i="12"/>
  <c r="G558" i="10"/>
  <c r="U557" i="10"/>
  <c r="AY688" i="11"/>
  <c r="BC687" i="11"/>
  <c r="G552" i="10"/>
  <c r="U552" i="10" s="1"/>
  <c r="U551" i="10"/>
  <c r="E1389" i="12"/>
  <c r="E1388" i="12"/>
  <c r="G684" i="11"/>
  <c r="K684" i="11" s="1"/>
  <c r="K683" i="11"/>
  <c r="F1396" i="12"/>
  <c r="F1397" i="12"/>
  <c r="G1395" i="12"/>
  <c r="G696" i="11"/>
  <c r="K695" i="11"/>
  <c r="F556" i="10"/>
  <c r="T556" i="10" s="1"/>
  <c r="T555" i="10"/>
  <c r="AO687" i="11"/>
  <c r="AK688" i="11"/>
  <c r="AK696" i="11"/>
  <c r="AO695" i="11"/>
  <c r="AG695" i="11"/>
  <c r="AG696" i="11" s="1"/>
  <c r="AG697" i="11" s="1"/>
  <c r="AG698" i="11" s="1"/>
  <c r="AG699" i="11" s="1"/>
  <c r="J1379" i="12"/>
  <c r="J1380" i="12" s="1"/>
  <c r="J1376" i="12"/>
  <c r="J1383" i="12"/>
  <c r="J1384" i="12" s="1"/>
  <c r="J1377" i="12"/>
  <c r="J1378" i="12" s="1"/>
  <c r="J1381" i="12"/>
  <c r="J1382" i="12" s="1"/>
  <c r="C552" i="10"/>
  <c r="Q552" i="10" s="1"/>
  <c r="Q551" i="10"/>
  <c r="G555" i="10"/>
  <c r="U554" i="10"/>
  <c r="S552" i="10"/>
  <c r="K552" i="10"/>
  <c r="Y552" i="10"/>
  <c r="AA687" i="11"/>
  <c r="W688" i="11"/>
  <c r="AA683" i="11"/>
  <c r="W684" i="11"/>
  <c r="AA684" i="11" s="1"/>
  <c r="E1373" i="12"/>
  <c r="E1374" i="12" s="1"/>
  <c r="E1372" i="12"/>
  <c r="Q557" i="10"/>
  <c r="C558" i="10"/>
  <c r="AO683" i="11"/>
  <c r="AK684" i="11"/>
  <c r="AO684" i="11" s="1"/>
  <c r="F1381" i="12"/>
  <c r="F1380" i="12"/>
  <c r="C555" i="10"/>
  <c r="Q554" i="10"/>
  <c r="T558" i="10"/>
  <c r="F559" i="10"/>
  <c r="S558" i="10"/>
  <c r="K558" i="10"/>
  <c r="E559" i="10"/>
  <c r="Y558" i="10"/>
  <c r="AY692" i="11"/>
  <c r="BC691" i="11"/>
  <c r="G1387" i="12"/>
  <c r="G1386" i="12"/>
  <c r="J1385" i="12" s="1"/>
  <c r="AY696" i="11"/>
  <c r="BC695" i="11"/>
  <c r="AU695" i="11"/>
  <c r="AU696" i="11" s="1"/>
  <c r="AU697" i="11" s="1"/>
  <c r="AU698" i="11" s="1"/>
  <c r="AU699" i="11" s="1"/>
  <c r="G1363" i="12"/>
  <c r="G1364" i="12" s="1"/>
  <c r="G1362" i="12"/>
  <c r="E1380" i="12"/>
  <c r="E1381" i="12"/>
  <c r="E562" i="10"/>
  <c r="Y561" i="10"/>
  <c r="S561" i="10"/>
  <c r="C561" i="10"/>
  <c r="K561" i="10"/>
  <c r="T561" i="10"/>
  <c r="F562" i="10"/>
  <c r="G561" i="10"/>
  <c r="F1372" i="12"/>
  <c r="F1373" i="12"/>
  <c r="F1374" i="12" s="1"/>
  <c r="E556" i="10"/>
  <c r="Y555" i="10"/>
  <c r="K555" i="10"/>
  <c r="S555" i="10"/>
  <c r="E1397" i="12"/>
  <c r="E1396" i="12"/>
  <c r="C1395" i="12" s="1"/>
  <c r="C1396" i="12" s="1"/>
  <c r="C1397" i="12" s="1"/>
  <c r="C1398" i="12" s="1"/>
  <c r="C1399" i="12" s="1"/>
  <c r="C1400" i="12" s="1"/>
  <c r="C1401" i="12" s="1"/>
  <c r="C1402" i="12" s="1"/>
  <c r="C1403" i="12" s="1"/>
  <c r="C1404" i="12" s="1"/>
  <c r="G1371" i="12"/>
  <c r="G1370" i="12"/>
  <c r="AY684" i="11"/>
  <c r="BC684" i="11" s="1"/>
  <c r="BC683" i="11"/>
  <c r="BC692" i="11" l="1"/>
  <c r="AY693" i="11"/>
  <c r="AK689" i="11"/>
  <c r="AO689" i="11" s="1"/>
  <c r="AO688" i="11"/>
  <c r="W693" i="11"/>
  <c r="AA692" i="11"/>
  <c r="C562" i="10"/>
  <c r="Q561" i="10"/>
  <c r="G1388" i="12"/>
  <c r="G1389" i="12"/>
  <c r="F1382" i="12"/>
  <c r="F1383" i="12"/>
  <c r="F1384" i="12" s="1"/>
  <c r="E1398" i="12"/>
  <c r="E1399" i="12"/>
  <c r="AO696" i="11"/>
  <c r="AK697" i="11"/>
  <c r="W697" i="11"/>
  <c r="AA696" i="11"/>
  <c r="E1390" i="12"/>
  <c r="E1391" i="12"/>
  <c r="T559" i="10"/>
  <c r="F560" i="10"/>
  <c r="T560" i="10" s="1"/>
  <c r="G697" i="11"/>
  <c r="K696" i="11"/>
  <c r="Y562" i="10"/>
  <c r="E563" i="10"/>
  <c r="S562" i="10"/>
  <c r="K562" i="10"/>
  <c r="C559" i="10"/>
  <c r="Q558" i="10"/>
  <c r="G556" i="10"/>
  <c r="U556" i="10" s="1"/>
  <c r="U555" i="10"/>
  <c r="U561" i="10"/>
  <c r="G562" i="10"/>
  <c r="G1397" i="12"/>
  <c r="G1396" i="12"/>
  <c r="J1395" i="12" s="1"/>
  <c r="G559" i="10"/>
  <c r="U558" i="10"/>
  <c r="E1383" i="12"/>
  <c r="E1384" i="12" s="1"/>
  <c r="E1382" i="12"/>
  <c r="S559" i="10"/>
  <c r="K559" i="10"/>
  <c r="Y559" i="10"/>
  <c r="E560" i="10"/>
  <c r="G1380" i="12"/>
  <c r="G1381" i="12"/>
  <c r="K556" i="10"/>
  <c r="Y556" i="10"/>
  <c r="S556" i="10"/>
  <c r="AY689" i="11"/>
  <c r="BC689" i="11" s="1"/>
  <c r="BC688" i="11"/>
  <c r="K692" i="11"/>
  <c r="G693" i="11"/>
  <c r="T562" i="10"/>
  <c r="F563" i="10"/>
  <c r="W689" i="11"/>
  <c r="AA689" i="11" s="1"/>
  <c r="AA688" i="11"/>
  <c r="F1399" i="12"/>
  <c r="F1398" i="12"/>
  <c r="AK693" i="11"/>
  <c r="AO692" i="11"/>
  <c r="G1373" i="12"/>
  <c r="G1374" i="12" s="1"/>
  <c r="G1372" i="12"/>
  <c r="AY697" i="11"/>
  <c r="BC696" i="11"/>
  <c r="C556" i="10"/>
  <c r="Q556" i="10" s="1"/>
  <c r="Q555" i="10"/>
  <c r="F1391" i="12"/>
  <c r="F1390" i="12"/>
  <c r="J1393" i="12"/>
  <c r="J1394" i="12" s="1"/>
  <c r="J1386" i="12"/>
  <c r="J1389" i="12"/>
  <c r="J1390" i="12" s="1"/>
  <c r="J1391" i="12"/>
  <c r="J1392" i="12" s="1"/>
  <c r="J1387" i="12"/>
  <c r="J1388" i="12" s="1"/>
  <c r="G689" i="11"/>
  <c r="K689" i="11" s="1"/>
  <c r="K688" i="11"/>
  <c r="F1393" i="12" l="1"/>
  <c r="F1394" i="12" s="1"/>
  <c r="F1392" i="12"/>
  <c r="J1399" i="12"/>
  <c r="J1400" i="12" s="1"/>
  <c r="J1403" i="12"/>
  <c r="J1404" i="12" s="1"/>
  <c r="J1401" i="12"/>
  <c r="J1402" i="12" s="1"/>
  <c r="J1397" i="12"/>
  <c r="J1398" i="12" s="1"/>
  <c r="J1396" i="12"/>
  <c r="U562" i="10"/>
  <c r="G563" i="10"/>
  <c r="G1391" i="12"/>
  <c r="G1390" i="12"/>
  <c r="G694" i="11"/>
  <c r="K694" i="11" s="1"/>
  <c r="K693" i="11"/>
  <c r="W698" i="11"/>
  <c r="AA697" i="11"/>
  <c r="AK694" i="11"/>
  <c r="AO694" i="11" s="1"/>
  <c r="AO693" i="11"/>
  <c r="G1398" i="12"/>
  <c r="G1399" i="12"/>
  <c r="K697" i="11"/>
  <c r="G698" i="11"/>
  <c r="G1382" i="12"/>
  <c r="G1383" i="12"/>
  <c r="G1384" i="12" s="1"/>
  <c r="Y560" i="10"/>
  <c r="S560" i="10"/>
  <c r="K560" i="10"/>
  <c r="AA693" i="11"/>
  <c r="W694" i="11"/>
  <c r="AA694" i="11" s="1"/>
  <c r="AO697" i="11"/>
  <c r="AK698" i="11"/>
  <c r="Q559" i="10"/>
  <c r="C560" i="10"/>
  <c r="Q560" i="10" s="1"/>
  <c r="C563" i="10"/>
  <c r="Q562" i="10"/>
  <c r="S563" i="10"/>
  <c r="E564" i="10"/>
  <c r="Y563" i="10"/>
  <c r="K563" i="10"/>
  <c r="E1400" i="12"/>
  <c r="E1401" i="12"/>
  <c r="BC693" i="11"/>
  <c r="AY694" i="11"/>
  <c r="BC694" i="11" s="1"/>
  <c r="F1400" i="12"/>
  <c r="F1401" i="12"/>
  <c r="E1393" i="12"/>
  <c r="E1394" i="12" s="1"/>
  <c r="E1392" i="12"/>
  <c r="F564" i="10"/>
  <c r="T564" i="10" s="1"/>
  <c r="T563" i="10"/>
  <c r="AY698" i="11"/>
  <c r="BC697" i="11"/>
  <c r="U559" i="10"/>
  <c r="G560" i="10"/>
  <c r="U560" i="10" s="1"/>
  <c r="G1393" i="12" l="1"/>
  <c r="G1394" i="12" s="1"/>
  <c r="G1392" i="12"/>
  <c r="E1403" i="12"/>
  <c r="E1404" i="12" s="1"/>
  <c r="E1402" i="12"/>
  <c r="K564" i="10"/>
  <c r="Y564" i="10"/>
  <c r="S564" i="10"/>
  <c r="C564" i="10"/>
  <c r="Q564" i="10" s="1"/>
  <c r="Q563" i="10"/>
  <c r="BC698" i="11"/>
  <c r="AY699" i="11"/>
  <c r="BC699" i="11" s="1"/>
  <c r="G1401" i="12"/>
  <c r="G1400" i="12"/>
  <c r="AO698" i="11"/>
  <c r="AK699" i="11"/>
  <c r="AO699" i="11" s="1"/>
  <c r="G699" i="11"/>
  <c r="K699" i="11" s="1"/>
  <c r="K698" i="11"/>
  <c r="G564" i="10"/>
  <c r="U564" i="10" s="1"/>
  <c r="U563" i="10"/>
  <c r="F1402" i="12"/>
  <c r="F1403" i="12"/>
  <c r="F1404" i="12" s="1"/>
  <c r="AA698" i="11"/>
  <c r="W699" i="11"/>
  <c r="AA699" i="11" s="1"/>
  <c r="G1402" i="12" l="1"/>
  <c r="G1403" i="12"/>
  <c r="G1404" i="12" s="1"/>
</calcChain>
</file>

<file path=xl/sharedStrings.xml><?xml version="1.0" encoding="utf-8"?>
<sst xmlns="http://schemas.openxmlformats.org/spreadsheetml/2006/main" count="6643" uniqueCount="490">
  <si>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</si>
  <si>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</si>
  <si>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</si>
  <si>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</si>
  <si>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</si>
  <si>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</si>
  <si>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</si>
  <si>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</si>
  <si>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</si>
  <si>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</si>
  <si>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</si>
  <si>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</si>
  <si>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</si>
  <si>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</si>
  <si>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</si>
  <si>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</si>
  <si>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</si>
  <si>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</si>
  <si>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</si>
  <si>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</si>
  <si>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</si>
  <si>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</si>
  <si>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</si>
  <si>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</si>
  <si>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</si>
  <si>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</si>
  <si>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</si>
  <si>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</si>
  <si>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</si>
  <si>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</si>
  <si>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</si>
  <si>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</si>
  <si>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</si>
  <si>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</si>
  <si>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</si>
  <si>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</si>
  <si>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</si>
  <si>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</si>
  <si>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</si>
  <si>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</si>
  <si>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</si>
  <si>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</si>
  <si>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</si>
  <si>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</si>
  <si>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</si>
  <si>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</si>
  <si>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</si>
  <si>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</si>
  <si>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</si>
  <si>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</si>
  <si>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</si>
  <si>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</si>
  <si>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</si>
  <si>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</si>
  <si>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</si>
  <si>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</si>
  <si>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</si>
  <si>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</si>
  <si>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</si>
  <si>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</si>
  <si>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</si>
  <si>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</si>
  <si>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</si>
  <si>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</si>
  <si>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</si>
  <si>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</si>
  <si>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</si>
  <si>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</si>
  <si>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</si>
  <si>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</si>
  <si>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</si>
  <si>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</si>
  <si>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</si>
  <si>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</si>
  <si>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</si>
  <si>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End Use</t>
  </si>
  <si>
    <t>Technology</t>
  </si>
  <si>
    <t>Energy</t>
  </si>
  <si>
    <t>Input Label</t>
  </si>
  <si>
    <t>Output Label</t>
  </si>
  <si>
    <t>Technology Label</t>
  </si>
  <si>
    <t>Capacity Unit</t>
  </si>
  <si>
    <t>Main fuel</t>
  </si>
  <si>
    <t>To include</t>
  </si>
  <si>
    <t>First year of availability</t>
  </si>
  <si>
    <t>Lifetime (yr)</t>
  </si>
  <si>
    <t>MAX FUEL SHARE (%)</t>
  </si>
  <si>
    <t>EFF (Vkm/MJ)</t>
  </si>
  <si>
    <t>CAPEX (Thousands US$ 2023 / Mvkm)</t>
  </si>
  <si>
    <t>Fixed OPEX (Thousands US$ 2023 / Mvkm)</t>
  </si>
  <si>
    <t>Transportation</t>
  </si>
  <si>
    <t>Passenger</t>
  </si>
  <si>
    <t>Passenger Car</t>
  </si>
  <si>
    <t>Gasoline ICE Vehicle (spark ignition)</t>
  </si>
  <si>
    <t>Gasoline</t>
  </si>
  <si>
    <t>TRAGSL</t>
  </si>
  <si>
    <t>TRAPASCARDMD</t>
  </si>
  <si>
    <t>TRAPASCARICEVGSL20</t>
  </si>
  <si>
    <t>Mvkm</t>
  </si>
  <si>
    <t>Ethanol</t>
  </si>
  <si>
    <t>TRAETH</t>
  </si>
  <si>
    <t>Gasoline ICE Vehicle (spark ignition with turbo)</t>
  </si>
  <si>
    <t>TRAPASCARICEVTGSL20</t>
  </si>
  <si>
    <t>Gasoline Micro Hybrid Electric Vehicle (spark ignition)</t>
  </si>
  <si>
    <t>TRAPASCARHEVGSL20</t>
  </si>
  <si>
    <t>Gasoline Micro Hybrid Electric Vehicle (spark ignition with turbo)</t>
  </si>
  <si>
    <t>TRAPASCARHEVTGSL20</t>
  </si>
  <si>
    <t>Gasoline Mild Hybrid Electric Vehicle (belt-driven integrated starter generator with spark ignition)</t>
  </si>
  <si>
    <t>TRAPASCARHEVIGSL20</t>
  </si>
  <si>
    <t>Gasoline Mild Hybrid Electric Vehicle (belt-driven integrated starter generator with spark ignition and turbo)</t>
  </si>
  <si>
    <t>Gasoline Power Split Hybrid Electric Vehicle</t>
  </si>
  <si>
    <t>TRAPASCARHEVPGSL20</t>
  </si>
  <si>
    <t>Gasoline Power Split Plug-in Hybrid Electric Vehicle (20-mile electric range)</t>
  </si>
  <si>
    <t>TRAPASCARPHEVPGSL20</t>
  </si>
  <si>
    <t>Battery</t>
  </si>
  <si>
    <t>TRABAT</t>
  </si>
  <si>
    <t>Gasoline Extended Range Plug-in Hybrid Electric Vehicle (50-mile electric range)</t>
  </si>
  <si>
    <t>TRAPASCARPHEVEGSL20</t>
  </si>
  <si>
    <t>Diesel Conventional Compression Ignition Vehicle</t>
  </si>
  <si>
    <t>Diesel</t>
  </si>
  <si>
    <t>TRADSL</t>
  </si>
  <si>
    <t>TRAPASCARICEVDSL20</t>
  </si>
  <si>
    <t>Renewable diesel</t>
  </si>
  <si>
    <t>TRARDS</t>
  </si>
  <si>
    <t>Bio diesel</t>
  </si>
  <si>
    <t>TRABDS</t>
  </si>
  <si>
    <t>Compressed Natural Gas Conventional Vehicle</t>
  </si>
  <si>
    <t>Compressed natural gas</t>
  </si>
  <si>
    <t>TRACNG</t>
  </si>
  <si>
    <t>TRAPASCARICEVCNG20</t>
  </si>
  <si>
    <t>RNG</t>
  </si>
  <si>
    <t>TRARNG</t>
  </si>
  <si>
    <t>Hydrogen Fuel Cell Electric Vehicle (300-mile range)</t>
  </si>
  <si>
    <t>Hydrogen</t>
  </si>
  <si>
    <t>TRAH2G</t>
  </si>
  <si>
    <t>TRAPASCAR300FCEV20</t>
  </si>
  <si>
    <t>Hydrogen Fuel Cell Electric Vehicle (400-mile range)</t>
  </si>
  <si>
    <t>TRAPASCAR400FCEV20</t>
  </si>
  <si>
    <t>Battery Electric Vehicle (200-mile range)</t>
  </si>
  <si>
    <t>TRAPASCAR200BEV20</t>
  </si>
  <si>
    <t>Battery Electric Vehicle (300-mile range)</t>
  </si>
  <si>
    <t>TRAPASCAR300BEV20</t>
  </si>
  <si>
    <t>Battery Electric Vehicle (400-mile range)</t>
  </si>
  <si>
    <t>TRAPASCAR400BEV20</t>
  </si>
  <si>
    <t>Battery Electric Vehicle (500-mile range)</t>
  </si>
  <si>
    <t>TRAPASCAR500BEV20</t>
  </si>
  <si>
    <t>Passenger Truck</t>
  </si>
  <si>
    <t>TRAPASLDTDMD</t>
  </si>
  <si>
    <t>TRAPASLDTICEVGSL20</t>
  </si>
  <si>
    <t>TRAPASLDTICEVTGSL20</t>
  </si>
  <si>
    <t>TRAPASLDTHEVGSL20</t>
  </si>
  <si>
    <t>TRAPASLDTHEVTGSL20</t>
  </si>
  <si>
    <t>TRAPASLDTHEVIGSL20</t>
  </si>
  <si>
    <t>TRAPASLDTHEVPGSL20</t>
  </si>
  <si>
    <t>TRAPASLDTPHEVPGSL20</t>
  </si>
  <si>
    <t>TRAPASLDTPHEVEGSL20</t>
  </si>
  <si>
    <t>TRAPASLDTICEVDSL20</t>
  </si>
  <si>
    <t>TRAPASLDTICEVCNG20</t>
  </si>
  <si>
    <t>TRAPASLDT300FCEV20</t>
  </si>
  <si>
    <t>TRAPASLDT400FCEV20</t>
  </si>
  <si>
    <t>TRAPASLDT200BEV20</t>
  </si>
  <si>
    <t>TRAPASLDT300BEV20</t>
  </si>
  <si>
    <t>TRAPASLDT400BEV20</t>
  </si>
  <si>
    <t>TRAPASLDT500BEV20</t>
  </si>
  <si>
    <t>Motorcycle</t>
  </si>
  <si>
    <t>TRAPASMOTDMD</t>
  </si>
  <si>
    <t>TRAPASMOTICEVGSL20</t>
  </si>
  <si>
    <t>TRAPASMOTICEVTGSL20</t>
  </si>
  <si>
    <t>TRAPASMOTHEVGSL20</t>
  </si>
  <si>
    <t>TRAPASMOTHEVTGSL20</t>
  </si>
  <si>
    <t>TRAPASMOTHEVIGSL20</t>
  </si>
  <si>
    <t>TRAPASMOTHEVPGSL20</t>
  </si>
  <si>
    <t>TRAPASMOTPHEVPGSL20</t>
  </si>
  <si>
    <t>TRAPASMOTPHEVEGSL20</t>
  </si>
  <si>
    <t>TRAPASMOTICEVDSL20</t>
  </si>
  <si>
    <t>TRAPASMOTICEVCNG20</t>
  </si>
  <si>
    <t>TRAPASMOT300FCEV20</t>
  </si>
  <si>
    <t>TRAPASMOT400FCEV20</t>
  </si>
  <si>
    <t>TRAPASMOT200BEV20</t>
  </si>
  <si>
    <t>TRAPASMOT300BEV20</t>
  </si>
  <si>
    <t>TRAPASMOT400BEV20</t>
  </si>
  <si>
    <t>TRAPASMOT500BEV20</t>
  </si>
  <si>
    <t>Freight</t>
  </si>
  <si>
    <t>Light Commercial Truck</t>
  </si>
  <si>
    <t>TRAFRECLTDMD</t>
  </si>
  <si>
    <t>TRAFRECLTICEVGSL20</t>
  </si>
  <si>
    <t>TRAFRECLTICEVTGSL20</t>
  </si>
  <si>
    <t>TRAFRECLTHEVGSL20</t>
  </si>
  <si>
    <t>TRAFRECLTHEVTGSL20</t>
  </si>
  <si>
    <t>TRAFRECLTHEVIGSL20</t>
  </si>
  <si>
    <t>TRAFRECLTHEVPGSL20</t>
  </si>
  <si>
    <t>TRAFRECLTPHEVPGSL20</t>
  </si>
  <si>
    <t>TRAFRECLTPHEVEGSL20</t>
  </si>
  <si>
    <t>TRAFRECLTICEVDSL20</t>
  </si>
  <si>
    <t>TRAFRECLTICEVCNG20</t>
  </si>
  <si>
    <t>TRAFRECLT300FCEV20</t>
  </si>
  <si>
    <t>TRAFRECLT400FCEV20</t>
  </si>
  <si>
    <t>TRAFRECLT200BEV20</t>
  </si>
  <si>
    <t>TRAFRECLT300BEV20</t>
  </si>
  <si>
    <t>TRAFRECLT400BEV20</t>
  </si>
  <si>
    <t>TRAFRECLT500BEV20</t>
  </si>
  <si>
    <t>Refuse Truck</t>
  </si>
  <si>
    <t>Diesel ICE Vehicle</t>
  </si>
  <si>
    <t>TRAFRERFTDMD</t>
  </si>
  <si>
    <t>TRAFRERFTICEVDSL20</t>
  </si>
  <si>
    <t>Diesel ICE Vehicle with Integrated Starter Generator</t>
  </si>
  <si>
    <t>TRAFRERFTICEIDSL20</t>
  </si>
  <si>
    <t>Diesel Parallel Hybrid Electric Vehicle</t>
  </si>
  <si>
    <t>TRAFRERFTHEVPDSL20</t>
  </si>
  <si>
    <t>Diesel Series Plug-in Hybrid Electric Vehicle</t>
  </si>
  <si>
    <t>TRAFRERFTPHEVDSL20</t>
  </si>
  <si>
    <t>Battery Freight</t>
  </si>
  <si>
    <t>TRABAF</t>
  </si>
  <si>
    <t>Hydrogen Fuel Cell Electric Vehicle</t>
  </si>
  <si>
    <t>TRAFRERFTFCEV20</t>
  </si>
  <si>
    <t>Hydrogen Fuel Cell Hybrid Electric Vehicle</t>
  </si>
  <si>
    <t>TRAFRERFTFCHEV20</t>
  </si>
  <si>
    <t>Battery Electric Vehicle</t>
  </si>
  <si>
    <t>TRAFRERFTBEV20</t>
  </si>
  <si>
    <t>Single Unit Long-haul Truck</t>
  </si>
  <si>
    <t>TRAFRESLHDMD</t>
  </si>
  <si>
    <t>TRAFRESLHICEVDSL20</t>
  </si>
  <si>
    <t>TRAFRESLHICEIDSL20</t>
  </si>
  <si>
    <t>TRAFRESLHHEVPDSL20</t>
  </si>
  <si>
    <t>TRAFRESLHPHEVDSL20</t>
  </si>
  <si>
    <t>TRAFRESLHFCEV20</t>
  </si>
  <si>
    <t>TRAFRESLHFCHEV20</t>
  </si>
  <si>
    <t>TRAFRESLHBEV20</t>
  </si>
  <si>
    <t>Single Unit Short-haul Truck</t>
  </si>
  <si>
    <t>TRAFRESSHDMD</t>
  </si>
  <si>
    <t>TRAFRESSHICEVDSL20</t>
  </si>
  <si>
    <t>TRAFRESSHICEIDSL20</t>
  </si>
  <si>
    <t>TRAFRESSHHEVPDSL20</t>
  </si>
  <si>
    <t>TRAFRESSHPHEVDSL20</t>
  </si>
  <si>
    <t>TRAFRESSHFCEV20</t>
  </si>
  <si>
    <t>TRAFRESSHFCHEV20</t>
  </si>
  <si>
    <t>TRAFRESSHBEV20</t>
  </si>
  <si>
    <t>Combination Long-haul Truck</t>
  </si>
  <si>
    <t>TRAFRECLHDMD</t>
  </si>
  <si>
    <t>TRAFRECLHICEVDSL20</t>
  </si>
  <si>
    <t>TRAFRECLHICEIDSL20</t>
  </si>
  <si>
    <t>TRAFRECLHHEVPDSL20</t>
  </si>
  <si>
    <t>TRAFRECLHPHEVDSL20</t>
  </si>
  <si>
    <t>TRAFRECLHFCEV20</t>
  </si>
  <si>
    <t>TRAFRECLHFCHEV20</t>
  </si>
  <si>
    <t>TRAFRECLHBEV20</t>
  </si>
  <si>
    <t>Combination Short-haul Truck</t>
  </si>
  <si>
    <t>TRAFRECSHDMD</t>
  </si>
  <si>
    <t>TRAFRECSHICEVDSL20</t>
  </si>
  <si>
    <t>TRAFRECSHICEIDSL20</t>
  </si>
  <si>
    <t>TRAFRECSHHEVPDSL20</t>
  </si>
  <si>
    <t>TRAFRECSHPHEVDSL20</t>
  </si>
  <si>
    <t>TRAFRECSHFCEV20</t>
  </si>
  <si>
    <t>TRAFRECSHFCHEV20</t>
  </si>
  <si>
    <t>TRAFRECSHBEV20</t>
  </si>
  <si>
    <t>Transit Bus</t>
  </si>
  <si>
    <t>TRAPASTBUDMD</t>
  </si>
  <si>
    <t>TRAPASTBUICEVDSL20</t>
  </si>
  <si>
    <t>TRAPASTBUICEIDSL20</t>
  </si>
  <si>
    <t>TRAPASTBUHEVPDSL20</t>
  </si>
  <si>
    <t>TRAPASTBUPHEVDSL20</t>
  </si>
  <si>
    <t>TRAPASTBUFCEV20</t>
  </si>
  <si>
    <t>TRAPASTBUFCHEV20</t>
  </si>
  <si>
    <t>TRAPASTBUBEV20</t>
  </si>
  <si>
    <t>School Bus</t>
  </si>
  <si>
    <t>TRAPASSBUDMD</t>
  </si>
  <si>
    <t>TRAPASSBUICEVDSL20</t>
  </si>
  <si>
    <t>TRAPASSBUICEIDSL20</t>
  </si>
  <si>
    <t>TRAPASSBUHEVPDSL20</t>
  </si>
  <si>
    <t>TRAPASSBUPHEVDSL20</t>
  </si>
  <si>
    <t>TRAPASSBUFCEV20</t>
  </si>
  <si>
    <t>TRAPASSBUFCHEV20</t>
  </si>
  <si>
    <t>TRAPASSBUBEV20</t>
  </si>
  <si>
    <t>Other Buses</t>
  </si>
  <si>
    <t>TRAPASOBUDMD</t>
  </si>
  <si>
    <t>TRAPASOBUICEVDSL20</t>
  </si>
  <si>
    <t>TRAPASOBUICEIDSL20</t>
  </si>
  <si>
    <t>TRAPASOBUHEVPDSL20</t>
  </si>
  <si>
    <t>TRAPASOBUPHEVDSL20</t>
  </si>
  <si>
    <t>TRAPASOBUFCEV20</t>
  </si>
  <si>
    <t>TRAPASOBUFCHEV20</t>
  </si>
  <si>
    <t>TRAPASOBUBEV20</t>
  </si>
  <si>
    <t>Other</t>
  </si>
  <si>
    <t>Off-Road</t>
  </si>
  <si>
    <t>TRAOTHOFRDMD</t>
  </si>
  <si>
    <t>TRAOTHOFRICEVDSL20</t>
  </si>
  <si>
    <t>TRAOTHOFRICEIDSL20</t>
  </si>
  <si>
    <t>TRAOTHOFRHEVPDSL20</t>
  </si>
  <si>
    <t>TRAOTHOFRPHEVDSL20</t>
  </si>
  <si>
    <t>TRAOTHOFRFCEV20</t>
  </si>
  <si>
    <t>TRAOTHOFRFCHEV20</t>
  </si>
  <si>
    <t>TRAOTHOFRBEV20</t>
  </si>
  <si>
    <t>Bicycle</t>
  </si>
  <si>
    <t>N/a</t>
  </si>
  <si>
    <t>TRA</t>
  </si>
  <si>
    <t>TRAPASBICDMD</t>
  </si>
  <si>
    <t>TRAPASBIC20</t>
  </si>
  <si>
    <t>Walk</t>
  </si>
  <si>
    <t>TRAPASWALDMD</t>
  </si>
  <si>
    <t>TRAPASWAL20</t>
  </si>
  <si>
    <t>Rail</t>
  </si>
  <si>
    <t>TRAPASRAIDMD</t>
  </si>
  <si>
    <t>TRAPASRAIICEVDSL20</t>
  </si>
  <si>
    <t>Electric Propulsion Vehicle</t>
  </si>
  <si>
    <t>Electricity</t>
  </si>
  <si>
    <t>TRAELC</t>
  </si>
  <si>
    <t>TRAPASRAIPROELC20</t>
  </si>
  <si>
    <t>TRAPASRAIFCEV20</t>
  </si>
  <si>
    <t>Tram</t>
  </si>
  <si>
    <t>TRAPASTRMDMD</t>
  </si>
  <si>
    <t>TRAPASTRMPROELC20</t>
  </si>
  <si>
    <t>Subway</t>
  </si>
  <si>
    <t>TRAPASSUBDMD</t>
  </si>
  <si>
    <t>TRAPASSUBPROELC20</t>
  </si>
  <si>
    <t>Waterborne</t>
  </si>
  <si>
    <t>TRAOTHWATDMD</t>
  </si>
  <si>
    <t>TRAOTHWATICEVDSL20</t>
  </si>
  <si>
    <t>Diesel ICE Vehicle Direct Injection</t>
  </si>
  <si>
    <t>Diesel HYB Vehicle</t>
  </si>
  <si>
    <t>TRAOTHWATHYBDSL20</t>
  </si>
  <si>
    <t>Fuel oil ICE Vehicle</t>
  </si>
  <si>
    <t>Fuel oil</t>
  </si>
  <si>
    <t>TRAFOI</t>
  </si>
  <si>
    <t>TRAOTHWATICEFOI20</t>
  </si>
  <si>
    <t>Fuel oil ICE Vehicle Direct Injection</t>
  </si>
  <si>
    <t>TRAOTHWATICEDFOI20</t>
  </si>
  <si>
    <t>Fuel oil HYB Vehicle</t>
  </si>
  <si>
    <t>TRAOTHWATHYBFOI20</t>
  </si>
  <si>
    <t>Aviation</t>
  </si>
  <si>
    <t>Turbo-reactor</t>
  </si>
  <si>
    <t>Aviation turbo-fuel</t>
  </si>
  <si>
    <t>TRAATF</t>
  </si>
  <si>
    <t>TRAOTHAIRDMD</t>
  </si>
  <si>
    <t>TRAOTHAIRTURREA20</t>
  </si>
  <si>
    <t>Sustainable aviation fuel</t>
  </si>
  <si>
    <t>TRASAF</t>
  </si>
  <si>
    <t>Turbo-reactor Wing Tip Device</t>
  </si>
  <si>
    <t>TRAOTHAIRTURWTD20</t>
  </si>
  <si>
    <t>Turbo-reactor Hydrogen</t>
  </si>
  <si>
    <t>TRAOTHAIRTURHH220</t>
  </si>
  <si>
    <t>Turbo-reactor Fuel-cell Auxiliary Power Unit (APU)</t>
  </si>
  <si>
    <t>TRAOTHAIRTURFCE20</t>
  </si>
  <si>
    <t>Turbo-reactor Blended Wing Design</t>
  </si>
  <si>
    <t>TRAOTHAIRTURBWD20</t>
  </si>
  <si>
    <t>Turbo-reactor Subtle Aerodynamic Improvements</t>
  </si>
  <si>
    <t>TRAOTHAIRTURSAI20</t>
  </si>
  <si>
    <t>Turbo-reactor High Bypass Ratio Engine</t>
  </si>
  <si>
    <t>TRAOTHAIRTURHBR20</t>
  </si>
  <si>
    <t>Turbo-reactor Geared Jet Engine</t>
  </si>
  <si>
    <t>TRAOTHAIRTURGJE20</t>
  </si>
  <si>
    <t>Turbo-reactor Open Rotor Engine (Propfan)</t>
  </si>
  <si>
    <t>TRAOTHAIRTURORE20</t>
  </si>
  <si>
    <t>Aviation Gasoline ICE Vehicle</t>
  </si>
  <si>
    <t>Aviation gasoline</t>
  </si>
  <si>
    <t>TRAAGA</t>
  </si>
  <si>
    <t>TRAOTHAIRICEVAGA20</t>
  </si>
  <si>
    <t>Aviation Gasoline ICE Vehicle Improved</t>
  </si>
  <si>
    <t>TRAOTHAIRICEIAGA20</t>
  </si>
  <si>
    <t>*</t>
  </si>
  <si>
    <t>https://theicct.org/sites/default/files/publications/ICCT_EV_HDVs_Infrastructure_20190809.pdf</t>
  </si>
  <si>
    <t>Light-duty</t>
  </si>
  <si>
    <t>Residential Charging Station</t>
  </si>
  <si>
    <t>TRALDTRESCHA19</t>
  </si>
  <si>
    <t>MW</t>
  </si>
  <si>
    <t>Commercial 120V  Charging Station</t>
  </si>
  <si>
    <t>TRALDTCOM1CHA19</t>
  </si>
  <si>
    <t>Commercial 240V  Charging Station</t>
  </si>
  <si>
    <t>TRALDTCOM2CHA19</t>
  </si>
  <si>
    <t>Public  Charging Station</t>
  </si>
  <si>
    <t>TRALDTPUBCHA19</t>
  </si>
  <si>
    <t>Heavy-duty</t>
  </si>
  <si>
    <t>Slow Charging Station</t>
  </si>
  <si>
    <t>TRAHDTSLWCHA19</t>
  </si>
  <si>
    <t>Fast Charging Station</t>
  </si>
  <si>
    <t>TRAHDTFASCHA19</t>
  </si>
  <si>
    <t>MODE DEMAND (MVkm)</t>
  </si>
  <si>
    <t>Demand SHARE (%)</t>
  </si>
  <si>
    <t>Minimum fuel share (%)</t>
  </si>
  <si>
    <t>Maximum fuel share (%)</t>
  </si>
  <si>
    <t>DEMAND (MVkm)</t>
  </si>
  <si>
    <t>FINAL ENERGY (GJ)</t>
  </si>
  <si>
    <t>RESID (Mvkma)</t>
  </si>
  <si>
    <t>Residual life (Yr)</t>
  </si>
  <si>
    <t>Fixed O&amp;M (Thousands $/Mvkm/yr)</t>
  </si>
  <si>
    <t>Variable O&amp;M (Thousands $/Mvkm)</t>
  </si>
  <si>
    <t>CFA</t>
  </si>
  <si>
    <t>C2A</t>
  </si>
  <si>
    <t>TRAPASCARICEVGSL19</t>
  </si>
  <si>
    <t>TRAPASCARICEVDSL19</t>
  </si>
  <si>
    <t>CNG</t>
  </si>
  <si>
    <t>TRAPASCARICEVCNG19</t>
  </si>
  <si>
    <t>TRAPASCAR300BEV19</t>
  </si>
  <si>
    <t>TRAPASCAR300FCEV19</t>
  </si>
  <si>
    <t>TRAPASLDTICEVGSL19</t>
  </si>
  <si>
    <t>TRAPASLDTICEVDSL19</t>
  </si>
  <si>
    <t>TRAPASLDTICEVCNG19</t>
  </si>
  <si>
    <t>TRAPASLDT300BEV19</t>
  </si>
  <si>
    <t>TRAPASLDT300FCEV19</t>
  </si>
  <si>
    <t>TRAPASMOTICEVGSL19</t>
  </si>
  <si>
    <t>TRAPASMOTICEVDSL19</t>
  </si>
  <si>
    <t>TRAPASMOTICEVCNG19</t>
  </si>
  <si>
    <t>TRAPASMOT300BEV19</t>
  </si>
  <si>
    <t>TRAPASMOT300FCEV19</t>
  </si>
  <si>
    <t>TRAFRECLTICEVGSL19</t>
  </si>
  <si>
    <t>TRAFRECLTICEVDSL19</t>
  </si>
  <si>
    <t>TRAFRECLTICEVCNG19</t>
  </si>
  <si>
    <t>TRAFRECLT300BEV19</t>
  </si>
  <si>
    <t>TRAFRECLT300FCEV19</t>
  </si>
  <si>
    <t>TRAFRERFTICEVGSL19</t>
  </si>
  <si>
    <t>TRAFRERFTICEVDSL19</t>
  </si>
  <si>
    <t>TRAFRERFTICEVCNG19</t>
  </si>
  <si>
    <t>TRAFRERFT300BEV19</t>
  </si>
  <si>
    <t>TRAFRERFT300FCEV19</t>
  </si>
  <si>
    <t>Gasoline ICE Vehicle</t>
  </si>
  <si>
    <t>TRAFRESLHICEVGSL19</t>
  </si>
  <si>
    <t>TRAFRESLHICEVDSL19</t>
  </si>
  <si>
    <t>TRAFRESLHICEVCNG19</t>
  </si>
  <si>
    <t>TRAFRESLHBEV19</t>
  </si>
  <si>
    <t>TRAFRESLHFCEV19</t>
  </si>
  <si>
    <t>TRAFRESSHICEVGSL19</t>
  </si>
  <si>
    <t>TRAFRESSHICEVDSL19</t>
  </si>
  <si>
    <t>TRAFRESSHICEVCNG19</t>
  </si>
  <si>
    <t>TRAFRESSHBEV19</t>
  </si>
  <si>
    <t>TRAFRESSHFCEV19</t>
  </si>
  <si>
    <t>TRAFRECLHICEVGSL19</t>
  </si>
  <si>
    <t>TRAFRECLHICEVDSL19</t>
  </si>
  <si>
    <t>TRAFRECLHICEVCNG19</t>
  </si>
  <si>
    <t>TRAFRECLHBEV19</t>
  </si>
  <si>
    <t>TRAFRECLHFCEV19</t>
  </si>
  <si>
    <t>TRAFRECSHICEVGSL19</t>
  </si>
  <si>
    <t>TRAFRECSHICEVDSL19</t>
  </si>
  <si>
    <t>TRAFRECSHICEVCNG19</t>
  </si>
  <si>
    <t>TRAFRECSHBEV19</t>
  </si>
  <si>
    <t>TRAFRECSHFCEV19</t>
  </si>
  <si>
    <t>TRAPASTBUICEVGSL19</t>
  </si>
  <si>
    <t>TRAPASTBUICEVDSL19</t>
  </si>
  <si>
    <t>TRAPASTBUICEVCNG19</t>
  </si>
  <si>
    <t>TRAPASTBUBEV19</t>
  </si>
  <si>
    <t>TRAPASTBUFCEV19</t>
  </si>
  <si>
    <t>TRAPASSBUICEVGSL19</t>
  </si>
  <si>
    <t>TRAPASSBUICEVDSL19</t>
  </si>
  <si>
    <t>TRAPASSBUICEVCNG19</t>
  </si>
  <si>
    <t>TRAPASSBUBEV19</t>
  </si>
  <si>
    <t>TRAPASSBUFCEV19</t>
  </si>
  <si>
    <t>TRAPASOBUICEVGSL19</t>
  </si>
  <si>
    <t>TRAPASOBUICEVDSL19</t>
  </si>
  <si>
    <t>TRAPASOBUICEVCNG19</t>
  </si>
  <si>
    <t>TRAPASOBUBEV19</t>
  </si>
  <si>
    <t>TRAPASOBUFCEV19</t>
  </si>
  <si>
    <t>TRAPASRAIICEVDSL19</t>
  </si>
  <si>
    <t>TRAPASRAIICEVCNG19</t>
  </si>
  <si>
    <t>TRAPASRAIPROELC19</t>
  </si>
  <si>
    <t>TRAPASRAIFCEV19</t>
  </si>
  <si>
    <t>TRAPASTRMICEVDSL19</t>
  </si>
  <si>
    <t>TRAPASTRMICEVCNG19</t>
  </si>
  <si>
    <t>TRAPASTRMPROELC19</t>
  </si>
  <si>
    <t>TRAPASSUBPROELC19</t>
  </si>
  <si>
    <t>TRAPASBIC19</t>
  </si>
  <si>
    <t>TRAPASWAL19</t>
  </si>
  <si>
    <t>TRAOTHOFRICEVGSL19</t>
  </si>
  <si>
    <t>TRAOTHOFRICEVDSL19</t>
  </si>
  <si>
    <t>TRAOTHOFRICEVCNG19</t>
  </si>
  <si>
    <t>TRAOTHOFRBEV19</t>
  </si>
  <si>
    <t>TRAOTHOFRFCEV19</t>
  </si>
  <si>
    <t>TRAOTHWATICEVGSL19</t>
  </si>
  <si>
    <t>TRAOTHWATICEVDSL19</t>
  </si>
  <si>
    <t>TRAOTHWATICEFOI19</t>
  </si>
  <si>
    <t>TRAOTHAIRICEVAGA19</t>
  </si>
  <si>
    <t>TRAOTHAIRTURREA19</t>
  </si>
  <si>
    <t>Constraint number</t>
  </si>
  <si>
    <t>Count</t>
  </si>
  <si>
    <t>~UC_Sets: R_E: CITY</t>
  </si>
  <si>
    <t>~UC_T:UC_COMPRD</t>
  </si>
  <si>
    <t>UC_N</t>
  </si>
  <si>
    <t>Pset_PN</t>
  </si>
  <si>
    <t>Pset: CI</t>
  </si>
  <si>
    <t>Pset: CO</t>
  </si>
  <si>
    <t>Cset: CN</t>
  </si>
  <si>
    <t>LimType</t>
  </si>
  <si>
    <t>UC_FLO</t>
  </si>
  <si>
    <t>CITY</t>
  </si>
  <si>
    <t>UC_RHSRTS</t>
  </si>
  <si>
    <t>UC_RHSRTS~0</t>
  </si>
  <si>
    <t>LO</t>
  </si>
  <si>
    <t>UP</t>
  </si>
  <si>
    <t>*ICEV*</t>
  </si>
  <si>
    <t>*BEV*</t>
  </si>
  <si>
    <t>*HEV*</t>
  </si>
  <si>
    <t>*FCEV*</t>
  </si>
  <si>
    <t>~UC_T:UC_FLO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</si>
</sst>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.000_);_(* \(#,##0.0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rgb="FF0000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4" fillId="0" borderId="0"/>
    <xf numFmtId="0" fontId="8" fillId="0" borderId="0"/>
    <xf numFmtId="0" fontId="8" fillId="0" borderId="0"/>
  </cellStyleXfs>
  <cellXfs count="30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7" fillId="8" borderId="1" xfId="0" applyFont="1" applyFill="1" applyBorder="1" applyAlignment="1">
      <alignment horizontal="center" vertical="center"/>
    </xf>
    <xf numFmtId="0" fontId="3" fillId="8" borderId="1" xfId="2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7" borderId="0" xfId="0" applyFont="1" applyFill="1"/>
    <xf numFmtId="0" fontId="0" fillId="7" borderId="0" xfId="0" applyFill="1"/>
    <xf numFmtId="0" fontId="9" fillId="7" borderId="0" xfId="3" applyFont="1" applyFill="1" applyAlignment="1">
      <alignment horizontal="left" vertical="center"/>
    </xf>
    <xf numFmtId="0" fontId="5" fillId="7" borderId="0" xfId="0" applyFont="1" applyFill="1"/>
    <xf numFmtId="0" fontId="5" fillId="7" borderId="2" xfId="0" applyFont="1" applyFill="1" applyBorder="1"/>
    <xf numFmtId="165" fontId="5" fillId="7" borderId="0" xfId="1" applyNumberFormat="1" applyFont="1" applyFill="1"/>
    <xf numFmtId="0" fontId="5" fillId="9" borderId="0" xfId="0" applyFont="1" applyFill="1"/>
    <xf numFmtId="0" fontId="5" fillId="0" borderId="3" xfId="0" applyFont="1" applyBorder="1"/>
    <xf numFmtId="0" fontId="7" fillId="7" borderId="3" xfId="0" applyFont="1" applyFill="1" applyBorder="1"/>
    <xf numFmtId="0" fontId="0" fillId="7" borderId="3" xfId="0" applyFill="1" applyBorder="1"/>
    <xf numFmtId="0" fontId="9" fillId="7" borderId="3" xfId="3" applyFont="1" applyFill="1" applyBorder="1" applyAlignment="1">
      <alignment horizontal="left" vertical="center"/>
    </xf>
    <xf numFmtId="0" fontId="5" fillId="7" borderId="3" xfId="0" applyFont="1" applyFill="1" applyBorder="1"/>
    <xf numFmtId="165" fontId="5" fillId="7" borderId="3" xfId="1" applyNumberFormat="1" applyFont="1" applyFill="1" applyBorder="1"/>
    <xf numFmtId="0" fontId="5" fillId="9" borderId="3" xfId="0" applyFont="1" applyFill="1" applyBorder="1"/>
    <xf numFmtId="165" fontId="5" fillId="10" borderId="0" xfId="1" applyNumberFormat="1" applyFont="1" applyFill="1"/>
  </cellXfs>
  <cellStyles count="4">
    <cellStyle name="Comma" xfId="1" builtinId="3"/>
    <cellStyle name="Normal" xfId="0" builtinId="0"/>
    <cellStyle name="Normal 10" xfId="2" xr:uid="{00000000-0005-0000-0000-000002000000}"/>
    <cellStyle name="Normal 10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23" sqref="E23"/>
    </sheetView>
  </sheetViews>
  <sheetFormatPr defaultColWidth="8.85546875" defaultRowHeight="15" x14ac:dyDescent="0.25"/>
  <cols>
    <col min="1" max="19" width="8.85546875" style="2" customWidth="1"/>
    <col min="20" max="16384" width="8.85546875" style="2"/>
  </cols>
  <sheetData>
    <row r="1" spans="1:3" s="1" customFormat="1" ht="23.45" customHeight="1" x14ac:dyDescent="0.35">
      <c r="A1" s="1" t="s">
        <v>0</v>
      </c>
    </row>
    <row r="2" spans="1:3" s="1" customFormat="1" ht="23.45" customHeight="1" x14ac:dyDescent="0.35"/>
    <row r="3" spans="1:3" x14ac:dyDescent="0.25">
      <c r="B3" s="3" t="s">
        <v>1</v>
      </c>
    </row>
    <row r="4" spans="1:3" x14ac:dyDescent="0.25">
      <c r="B4" s="4"/>
      <c r="C4" s="2" t="s">
        <v>2</v>
      </c>
    </row>
    <row r="6" spans="1:3" x14ac:dyDescent="0.25">
      <c r="B6" s="5"/>
      <c r="C6" s="2" t="s">
        <v>3</v>
      </c>
    </row>
    <row r="8" spans="1:3" x14ac:dyDescent="0.25">
      <c r="B8" s="6"/>
      <c r="C8" s="2" t="s">
        <v>4</v>
      </c>
    </row>
    <row r="10" spans="1:3" x14ac:dyDescent="0.25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E23" sqref="E23"/>
    </sheetView>
  </sheetViews>
  <sheetFormatPr defaultColWidth="8.85546875" defaultRowHeight="15" x14ac:dyDescent="0.2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32" width="8.85546875" style="2" customWidth="1"/>
    <col min="33" max="16384" width="8.85546875" style="2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J13" sqref="J13:J14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K326"/>
  <sheetViews>
    <sheetView zoomScale="85" zoomScaleNormal="85" workbookViewId="0">
      <selection activeCell="F23" sqref="F23"/>
    </sheetView>
  </sheetViews>
  <sheetFormatPr defaultRowHeight="15" x14ac:dyDescent="0.25"/>
  <cols>
    <col min="1" max="1" width="9.85546875" bestFit="1" customWidth="1"/>
    <col min="2" max="2" width="12.85546875" customWidth="1"/>
    <col min="3" max="3" width="19.140625" customWidth="1"/>
    <col min="4" max="4" width="7.5703125" bestFit="1" customWidth="1"/>
    <col min="5" max="5" width="14.28515625" bestFit="1" customWidth="1"/>
    <col min="6" max="6" width="104" bestFit="1" customWidth="1"/>
    <col min="7" max="7" width="25" bestFit="1" customWidth="1"/>
    <col min="8" max="8" width="10.28515625" customWidth="1"/>
    <col min="9" max="9" width="20.85546875" bestFit="1" customWidth="1"/>
    <col min="10" max="10" width="25.42578125" bestFit="1" customWidth="1"/>
    <col min="11" max="11" width="15.7109375" bestFit="1" customWidth="1"/>
    <col min="12" max="12" width="15.7109375" customWidth="1"/>
    <col min="13" max="13" width="10.7109375" bestFit="1" customWidth="1"/>
    <col min="14" max="21" width="14" style="8" customWidth="1"/>
    <col min="22" max="23" width="17.28515625" customWidth="1"/>
    <col min="24" max="26" width="14" style="8" customWidth="1"/>
    <col min="27" max="27" width="11.85546875" bestFit="1" customWidth="1"/>
  </cols>
  <sheetData>
    <row r="1" spans="1:37" x14ac:dyDescent="0.25">
      <c r="Q1"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  <c r="X1">
        <v>2020</v>
      </c>
      <c r="Y1">
        <v>2025</v>
      </c>
      <c r="Z1">
        <v>2030</v>
      </c>
      <c r="AA1">
        <v>2035</v>
      </c>
      <c r="AB1">
        <v>2040</v>
      </c>
      <c r="AC1">
        <v>2045</v>
      </c>
      <c r="AD1">
        <v>2050</v>
      </c>
      <c r="AE1">
        <v>2020</v>
      </c>
      <c r="AF1">
        <v>2025</v>
      </c>
      <c r="AG1">
        <v>2030</v>
      </c>
      <c r="AH1">
        <v>2035</v>
      </c>
      <c r="AI1">
        <v>2040</v>
      </c>
      <c r="AJ1">
        <v>2045</v>
      </c>
      <c r="AK1">
        <v>2050</v>
      </c>
    </row>
    <row r="2" spans="1:37" x14ac:dyDescent="0.2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X2" t="s">
        <v>88</v>
      </c>
      <c r="AE2" t="s">
        <v>89</v>
      </c>
    </row>
    <row r="3" spans="1:37" x14ac:dyDescent="0.25">
      <c r="A3" t="s">
        <v>90</v>
      </c>
      <c r="B3" t="s">
        <v>91</v>
      </c>
      <c r="C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>
        <v>1</v>
      </c>
      <c r="M3">
        <v>1</v>
      </c>
      <c r="N3">
        <v>2020</v>
      </c>
      <c r="O3">
        <v>16.861273869240819</v>
      </c>
      <c r="P3">
        <v>1</v>
      </c>
      <c r="Q3">
        <v>0.37474421364985161</v>
      </c>
      <c r="R3">
        <v>0.36943810089020762</v>
      </c>
      <c r="S3">
        <v>0.4297951335311575</v>
      </c>
      <c r="T3">
        <v>0.46959097922848653</v>
      </c>
      <c r="U3">
        <v>0.49413175074183979</v>
      </c>
      <c r="V3">
        <v>0.51800925816023746</v>
      </c>
      <c r="W3">
        <v>0.54255002967359056</v>
      </c>
      <c r="X3">
        <v>149.3715329654614</v>
      </c>
      <c r="Y3">
        <v>151.8610585148858</v>
      </c>
      <c r="Z3">
        <v>152.21670502194641</v>
      </c>
      <c r="AA3">
        <v>163.9530397549469</v>
      </c>
      <c r="AB3">
        <v>162.17480721964381</v>
      </c>
      <c r="AC3">
        <v>160.04092817728011</v>
      </c>
      <c r="AD3">
        <v>157.90704913491629</v>
      </c>
      <c r="AE3">
        <v>5.2309412939394706</v>
      </c>
      <c r="AF3">
        <v>5.2309412939394706</v>
      </c>
      <c r="AG3">
        <v>5.2309412939394706</v>
      </c>
      <c r="AH3">
        <v>5.2309412939394706</v>
      </c>
      <c r="AI3">
        <v>5.2309412939394706</v>
      </c>
      <c r="AJ3">
        <v>5.2309412939394706</v>
      </c>
      <c r="AK3">
        <v>5.2309412939394706</v>
      </c>
    </row>
    <row r="4" spans="1:37" hidden="1" x14ac:dyDescent="0.25">
      <c r="A4" t="s">
        <v>90</v>
      </c>
      <c r="B4" t="s">
        <v>91</v>
      </c>
      <c r="C4" t="s">
        <v>92</v>
      </c>
      <c r="F4" t="s">
        <v>93</v>
      </c>
      <c r="G4" t="s">
        <v>99</v>
      </c>
      <c r="H4" t="s">
        <v>100</v>
      </c>
      <c r="I4" t="s">
        <v>96</v>
      </c>
      <c r="J4" t="s">
        <v>97</v>
      </c>
      <c r="K4" t="s">
        <v>98</v>
      </c>
      <c r="L4">
        <v>0</v>
      </c>
      <c r="M4">
        <v>1</v>
      </c>
      <c r="N4">
        <v>2020</v>
      </c>
      <c r="O4">
        <v>16.861273869240819</v>
      </c>
      <c r="P4">
        <v>0.1</v>
      </c>
      <c r="Q4">
        <v>0.37474421364985161</v>
      </c>
      <c r="R4">
        <v>0.36943810089020762</v>
      </c>
      <c r="S4">
        <v>0.4297951335311575</v>
      </c>
      <c r="T4">
        <v>0.46959097922848653</v>
      </c>
      <c r="U4">
        <v>0.49413175074183979</v>
      </c>
      <c r="V4">
        <v>0.51800925816023746</v>
      </c>
      <c r="W4">
        <v>0.54255002967359056</v>
      </c>
      <c r="X4">
        <v>149.3715329654614</v>
      </c>
      <c r="Y4">
        <v>151.8610585148858</v>
      </c>
      <c r="Z4">
        <v>152.21670502194641</v>
      </c>
      <c r="AA4">
        <v>163.9530397549469</v>
      </c>
      <c r="AB4">
        <v>162.17480721964381</v>
      </c>
      <c r="AC4">
        <v>160.04092817728011</v>
      </c>
      <c r="AD4">
        <v>157.90704913491629</v>
      </c>
      <c r="AE4">
        <v>5.2309412939394706</v>
      </c>
      <c r="AF4">
        <v>5.2309412939394706</v>
      </c>
      <c r="AG4">
        <v>5.2309412939394706</v>
      </c>
      <c r="AH4">
        <v>5.2309412939394706</v>
      </c>
      <c r="AI4">
        <v>5.2309412939394706</v>
      </c>
      <c r="AJ4">
        <v>5.2309412939394706</v>
      </c>
      <c r="AK4">
        <v>5.2309412939394706</v>
      </c>
    </row>
    <row r="5" spans="1:37" x14ac:dyDescent="0.25">
      <c r="A5" t="s">
        <v>90</v>
      </c>
      <c r="B5" t="s">
        <v>91</v>
      </c>
      <c r="C5" t="s">
        <v>92</v>
      </c>
      <c r="F5" t="s">
        <v>101</v>
      </c>
      <c r="G5" t="s">
        <v>94</v>
      </c>
      <c r="H5" t="s">
        <v>95</v>
      </c>
      <c r="I5" t="s">
        <v>96</v>
      </c>
      <c r="J5" t="s">
        <v>102</v>
      </c>
      <c r="K5" t="s">
        <v>98</v>
      </c>
      <c r="L5">
        <v>1</v>
      </c>
      <c r="M5">
        <v>1</v>
      </c>
      <c r="N5">
        <v>2020</v>
      </c>
      <c r="O5">
        <v>16.861273869240819</v>
      </c>
      <c r="P5">
        <v>1</v>
      </c>
      <c r="Q5">
        <v>0.41785637982195839</v>
      </c>
      <c r="R5">
        <v>0.41586658753709183</v>
      </c>
      <c r="S5">
        <v>0.4662746587537091</v>
      </c>
      <c r="T5">
        <v>0.5054072403560832</v>
      </c>
      <c r="U5">
        <v>0.53326433234421389</v>
      </c>
      <c r="V5">
        <v>0.56112142433234447</v>
      </c>
      <c r="W5">
        <v>0.59030504451038568</v>
      </c>
      <c r="X5">
        <v>157.19575612079501</v>
      </c>
      <c r="Y5">
        <v>156.1288165996132</v>
      </c>
      <c r="Z5">
        <v>159.32963516315871</v>
      </c>
      <c r="AA5">
        <v>165.73127229024999</v>
      </c>
      <c r="AB5">
        <v>165.37562578318929</v>
      </c>
      <c r="AC5">
        <v>165.01997927612871</v>
      </c>
      <c r="AD5">
        <v>164.66433276906821</v>
      </c>
      <c r="AE5">
        <v>5.2309412939394706</v>
      </c>
      <c r="AF5">
        <v>5.2309412939394706</v>
      </c>
      <c r="AG5">
        <v>5.2309412939394706</v>
      </c>
      <c r="AH5">
        <v>5.2309412939394706</v>
      </c>
      <c r="AI5">
        <v>5.2309412939394706</v>
      </c>
      <c r="AJ5">
        <v>5.2309412939394706</v>
      </c>
      <c r="AK5">
        <v>5.2309412939394706</v>
      </c>
    </row>
    <row r="6" spans="1:37" hidden="1" x14ac:dyDescent="0.25">
      <c r="A6" t="s">
        <v>90</v>
      </c>
      <c r="B6" t="s">
        <v>91</v>
      </c>
      <c r="C6" t="s">
        <v>92</v>
      </c>
      <c r="F6" t="s">
        <v>101</v>
      </c>
      <c r="G6" t="s">
        <v>99</v>
      </c>
      <c r="H6" t="s">
        <v>100</v>
      </c>
      <c r="I6" t="s">
        <v>96</v>
      </c>
      <c r="J6" t="s">
        <v>102</v>
      </c>
      <c r="K6" t="s">
        <v>98</v>
      </c>
      <c r="L6">
        <v>0</v>
      </c>
      <c r="M6">
        <v>1</v>
      </c>
      <c r="N6">
        <v>2020</v>
      </c>
      <c r="O6">
        <v>16.861273869240819</v>
      </c>
      <c r="P6">
        <v>0.1</v>
      </c>
      <c r="Q6">
        <v>0.41785637982195839</v>
      </c>
      <c r="R6">
        <v>0.41586658753709183</v>
      </c>
      <c r="S6">
        <v>0.4662746587537091</v>
      </c>
      <c r="T6">
        <v>0.5054072403560832</v>
      </c>
      <c r="U6">
        <v>0.53326433234421389</v>
      </c>
      <c r="V6">
        <v>0.56112142433234447</v>
      </c>
      <c r="W6">
        <v>0.59030504451038568</v>
      </c>
      <c r="X6">
        <v>157.19575612079501</v>
      </c>
      <c r="Y6">
        <v>156.1288165996132</v>
      </c>
      <c r="Z6">
        <v>159.32963516315871</v>
      </c>
      <c r="AA6">
        <v>165.73127229024999</v>
      </c>
      <c r="AB6">
        <v>165.37562578318929</v>
      </c>
      <c r="AC6">
        <v>165.01997927612871</v>
      </c>
      <c r="AD6">
        <v>164.66433276906821</v>
      </c>
      <c r="AE6">
        <v>5.2309412939394706</v>
      </c>
      <c r="AF6">
        <v>5.2309412939394706</v>
      </c>
      <c r="AG6">
        <v>5.2309412939394706</v>
      </c>
      <c r="AH6">
        <v>5.2309412939394706</v>
      </c>
      <c r="AI6">
        <v>5.2309412939394706</v>
      </c>
      <c r="AJ6">
        <v>5.2309412939394706</v>
      </c>
      <c r="AK6">
        <v>5.2309412939394706</v>
      </c>
    </row>
    <row r="7" spans="1:37" x14ac:dyDescent="0.25">
      <c r="A7" t="s">
        <v>90</v>
      </c>
      <c r="B7" t="s">
        <v>91</v>
      </c>
      <c r="C7" t="s">
        <v>92</v>
      </c>
      <c r="F7" t="s">
        <v>103</v>
      </c>
      <c r="G7" t="s">
        <v>94</v>
      </c>
      <c r="H7" t="s">
        <v>95</v>
      </c>
      <c r="I7" t="s">
        <v>96</v>
      </c>
      <c r="J7" t="s">
        <v>104</v>
      </c>
      <c r="K7" t="s">
        <v>98</v>
      </c>
      <c r="L7">
        <v>1</v>
      </c>
      <c r="M7">
        <v>1</v>
      </c>
      <c r="N7">
        <v>2020</v>
      </c>
      <c r="O7">
        <v>16.861273869240819</v>
      </c>
      <c r="P7">
        <v>1</v>
      </c>
      <c r="Q7">
        <v>0.38469317507418399</v>
      </c>
      <c r="R7">
        <v>0.37938706231454028</v>
      </c>
      <c r="S7">
        <v>0.44173388724035628</v>
      </c>
      <c r="T7">
        <v>0.48351952522255193</v>
      </c>
      <c r="U7">
        <v>0.50806029673590525</v>
      </c>
      <c r="V7">
        <v>0.53326433234421344</v>
      </c>
      <c r="W7">
        <v>0.55846836795252219</v>
      </c>
      <c r="X7">
        <v>150.7941189937039</v>
      </c>
      <c r="Y7">
        <v>153.28364454312819</v>
      </c>
      <c r="Z7">
        <v>153.6392910501888</v>
      </c>
      <c r="AA7">
        <v>165.01997927612891</v>
      </c>
      <c r="AB7">
        <v>162.88610023376501</v>
      </c>
      <c r="AC7">
        <v>161.10786769846189</v>
      </c>
      <c r="AD7">
        <v>158.97398865609819</v>
      </c>
      <c r="AE7">
        <v>4.9356462208944993</v>
      </c>
      <c r="AF7">
        <v>4.9356462208944993</v>
      </c>
      <c r="AG7">
        <v>4.9356462208944993</v>
      </c>
      <c r="AH7">
        <v>4.9356462208944993</v>
      </c>
      <c r="AI7">
        <v>4.9356462208944993</v>
      </c>
      <c r="AJ7">
        <v>4.9356462208944993</v>
      </c>
      <c r="AK7">
        <v>4.9356462208944993</v>
      </c>
    </row>
    <row r="8" spans="1:37" hidden="1" x14ac:dyDescent="0.25">
      <c r="A8" t="s">
        <v>90</v>
      </c>
      <c r="B8" t="s">
        <v>91</v>
      </c>
      <c r="C8" t="s">
        <v>92</v>
      </c>
      <c r="F8" t="s">
        <v>103</v>
      </c>
      <c r="G8" t="s">
        <v>99</v>
      </c>
      <c r="H8" t="s">
        <v>100</v>
      </c>
      <c r="I8" t="s">
        <v>96</v>
      </c>
      <c r="J8" t="s">
        <v>104</v>
      </c>
      <c r="K8" t="s">
        <v>98</v>
      </c>
      <c r="L8">
        <v>0</v>
      </c>
      <c r="M8">
        <v>1</v>
      </c>
      <c r="N8">
        <v>2020</v>
      </c>
      <c r="O8">
        <v>16.861273869240819</v>
      </c>
      <c r="P8">
        <v>0.1</v>
      </c>
      <c r="Q8">
        <v>0.38469317507418399</v>
      </c>
      <c r="R8">
        <v>0.37938706231454028</v>
      </c>
      <c r="S8">
        <v>0.44173388724035628</v>
      </c>
      <c r="T8">
        <v>0.48351952522255193</v>
      </c>
      <c r="U8">
        <v>0.50806029673590525</v>
      </c>
      <c r="V8">
        <v>0.53326433234421344</v>
      </c>
      <c r="W8">
        <v>0.55846836795252219</v>
      </c>
      <c r="X8">
        <v>150.7941189937039</v>
      </c>
      <c r="Y8">
        <v>153.28364454312819</v>
      </c>
      <c r="Z8">
        <v>153.6392910501888</v>
      </c>
      <c r="AA8">
        <v>165.01997927612891</v>
      </c>
      <c r="AB8">
        <v>162.88610023376501</v>
      </c>
      <c r="AC8">
        <v>161.10786769846189</v>
      </c>
      <c r="AD8">
        <v>158.97398865609819</v>
      </c>
      <c r="AE8">
        <v>4.9356462208944993</v>
      </c>
      <c r="AF8">
        <v>4.9356462208944993</v>
      </c>
      <c r="AG8">
        <v>4.9356462208944993</v>
      </c>
      <c r="AH8">
        <v>4.9356462208944993</v>
      </c>
      <c r="AI8">
        <v>4.9356462208944993</v>
      </c>
      <c r="AJ8">
        <v>4.9356462208944993</v>
      </c>
      <c r="AK8">
        <v>4.9356462208944993</v>
      </c>
    </row>
    <row r="9" spans="1:37" x14ac:dyDescent="0.25">
      <c r="A9" t="s">
        <v>90</v>
      </c>
      <c r="B9" t="s">
        <v>91</v>
      </c>
      <c r="C9" t="s">
        <v>92</v>
      </c>
      <c r="F9" t="s">
        <v>105</v>
      </c>
      <c r="G9" t="s">
        <v>94</v>
      </c>
      <c r="H9" t="s">
        <v>95</v>
      </c>
      <c r="I9" t="s">
        <v>96</v>
      </c>
      <c r="J9" t="s">
        <v>106</v>
      </c>
      <c r="K9" t="s">
        <v>98</v>
      </c>
      <c r="L9">
        <v>1</v>
      </c>
      <c r="M9">
        <v>1</v>
      </c>
      <c r="N9">
        <v>2020</v>
      </c>
      <c r="O9">
        <v>16.861273869240819</v>
      </c>
      <c r="P9">
        <v>1</v>
      </c>
      <c r="Q9">
        <v>0.42515228486646889</v>
      </c>
      <c r="R9">
        <v>0.42249922848664673</v>
      </c>
      <c r="S9">
        <v>0.47489709198813063</v>
      </c>
      <c r="T9">
        <v>0.51601946587537084</v>
      </c>
      <c r="U9">
        <v>0.54453982195845696</v>
      </c>
      <c r="V9">
        <v>0.57306017804154274</v>
      </c>
      <c r="W9">
        <v>0.60224379821958474</v>
      </c>
      <c r="X9">
        <v>158.97398865609819</v>
      </c>
      <c r="Y9">
        <v>157.55140262785571</v>
      </c>
      <c r="Z9">
        <v>160.39657468434069</v>
      </c>
      <c r="AA9">
        <v>166.7982118114318</v>
      </c>
      <c r="AB9">
        <v>166.4425653043713</v>
      </c>
      <c r="AC9">
        <v>166.08691879731069</v>
      </c>
      <c r="AD9">
        <v>165.73127229024999</v>
      </c>
      <c r="AE9">
        <v>4.9356462208944993</v>
      </c>
      <c r="AF9">
        <v>4.9356462208944993</v>
      </c>
      <c r="AG9">
        <v>4.9356462208944993</v>
      </c>
      <c r="AH9">
        <v>4.9356462208944993</v>
      </c>
      <c r="AI9">
        <v>4.9356462208944993</v>
      </c>
      <c r="AJ9">
        <v>4.9356462208944993</v>
      </c>
      <c r="AK9">
        <v>4.9356462208944993</v>
      </c>
    </row>
    <row r="10" spans="1:37" hidden="1" x14ac:dyDescent="0.25">
      <c r="A10" t="s">
        <v>90</v>
      </c>
      <c r="B10" t="s">
        <v>91</v>
      </c>
      <c r="C10" t="s">
        <v>92</v>
      </c>
      <c r="F10" t="s">
        <v>105</v>
      </c>
      <c r="G10" t="s">
        <v>99</v>
      </c>
      <c r="H10" t="s">
        <v>100</v>
      </c>
      <c r="I10" t="s">
        <v>96</v>
      </c>
      <c r="J10" t="s">
        <v>106</v>
      </c>
      <c r="K10" t="s">
        <v>98</v>
      </c>
      <c r="L10">
        <v>0</v>
      </c>
      <c r="M10">
        <v>1</v>
      </c>
      <c r="N10">
        <v>2020</v>
      </c>
      <c r="O10">
        <v>16.861273869240819</v>
      </c>
      <c r="P10">
        <v>0.1</v>
      </c>
      <c r="Q10">
        <v>0.42515228486646889</v>
      </c>
      <c r="R10">
        <v>0.42249922848664673</v>
      </c>
      <c r="S10">
        <v>0.47489709198813063</v>
      </c>
      <c r="T10">
        <v>0.51601946587537084</v>
      </c>
      <c r="U10">
        <v>0.54453982195845696</v>
      </c>
      <c r="V10">
        <v>0.57306017804154274</v>
      </c>
      <c r="W10">
        <v>0.60224379821958474</v>
      </c>
      <c r="X10">
        <v>158.97398865609819</v>
      </c>
      <c r="Y10">
        <v>157.55140262785571</v>
      </c>
      <c r="Z10">
        <v>160.39657468434069</v>
      </c>
      <c r="AA10">
        <v>166.7982118114318</v>
      </c>
      <c r="AB10">
        <v>166.4425653043713</v>
      </c>
      <c r="AC10">
        <v>166.08691879731069</v>
      </c>
      <c r="AD10">
        <v>165.73127229024999</v>
      </c>
      <c r="AE10">
        <v>4.9356462208944993</v>
      </c>
      <c r="AF10">
        <v>4.9356462208944993</v>
      </c>
      <c r="AG10">
        <v>4.9356462208944993</v>
      </c>
      <c r="AH10">
        <v>4.9356462208944993</v>
      </c>
      <c r="AI10">
        <v>4.9356462208944993</v>
      </c>
      <c r="AJ10">
        <v>4.9356462208944993</v>
      </c>
      <c r="AK10">
        <v>4.9356462208944993</v>
      </c>
    </row>
    <row r="11" spans="1:37" x14ac:dyDescent="0.25">
      <c r="A11" t="s">
        <v>90</v>
      </c>
      <c r="B11" t="s">
        <v>91</v>
      </c>
      <c r="C11" t="s">
        <v>92</v>
      </c>
      <c r="F11" t="s">
        <v>107</v>
      </c>
      <c r="G11" t="s">
        <v>94</v>
      </c>
      <c r="H11" t="s">
        <v>95</v>
      </c>
      <c r="I11" t="s">
        <v>96</v>
      </c>
      <c r="J11" t="s">
        <v>108</v>
      </c>
      <c r="K11" t="s">
        <v>98</v>
      </c>
      <c r="L11">
        <v>1</v>
      </c>
      <c r="M11">
        <v>1</v>
      </c>
      <c r="N11">
        <v>2020</v>
      </c>
      <c r="O11">
        <v>16.861273869240819</v>
      </c>
      <c r="P11">
        <v>1</v>
      </c>
      <c r="Q11">
        <v>0.39530540059347191</v>
      </c>
      <c r="R11">
        <v>0.38933602373887222</v>
      </c>
      <c r="S11">
        <v>0.45433590504451032</v>
      </c>
      <c r="T11">
        <v>0.49612154302670608</v>
      </c>
      <c r="U11">
        <v>0.52397863501483688</v>
      </c>
      <c r="V11">
        <v>0.55117246290801158</v>
      </c>
      <c r="W11">
        <v>0.57969281899109804</v>
      </c>
      <c r="X11">
        <v>155.06187707843131</v>
      </c>
      <c r="Y11">
        <v>156.8401096137344</v>
      </c>
      <c r="Z11">
        <v>156.4844631066739</v>
      </c>
      <c r="AA11">
        <v>167.50950482555311</v>
      </c>
      <c r="AB11">
        <v>165.01997927612871</v>
      </c>
      <c r="AC11">
        <v>163.24174674082559</v>
      </c>
      <c r="AD11">
        <v>160.7522211914013</v>
      </c>
      <c r="AE11">
        <v>4.9356462208944993</v>
      </c>
      <c r="AF11">
        <v>4.9356462208944993</v>
      </c>
      <c r="AG11">
        <v>4.9356462208944993</v>
      </c>
      <c r="AH11">
        <v>4.9356462208944993</v>
      </c>
      <c r="AI11">
        <v>4.9356462208944993</v>
      </c>
      <c r="AJ11">
        <v>4.9356462208944993</v>
      </c>
      <c r="AK11">
        <v>4.9356462208944993</v>
      </c>
    </row>
    <row r="12" spans="1:37" hidden="1" x14ac:dyDescent="0.25">
      <c r="A12" t="s">
        <v>90</v>
      </c>
      <c r="B12" t="s">
        <v>91</v>
      </c>
      <c r="C12" t="s">
        <v>92</v>
      </c>
      <c r="F12" t="s">
        <v>107</v>
      </c>
      <c r="G12" t="s">
        <v>99</v>
      </c>
      <c r="H12" t="s">
        <v>100</v>
      </c>
      <c r="I12" t="s">
        <v>96</v>
      </c>
      <c r="J12" t="s">
        <v>108</v>
      </c>
      <c r="K12" t="s">
        <v>98</v>
      </c>
      <c r="L12">
        <v>0</v>
      </c>
      <c r="M12">
        <v>1</v>
      </c>
      <c r="N12">
        <v>2020</v>
      </c>
      <c r="O12">
        <v>16.861273869240819</v>
      </c>
      <c r="P12">
        <v>0.1</v>
      </c>
      <c r="Q12">
        <v>0.39530540059347191</v>
      </c>
      <c r="R12">
        <v>0.38933602373887222</v>
      </c>
      <c r="S12">
        <v>0.45433590504451032</v>
      </c>
      <c r="T12">
        <v>0.49612154302670608</v>
      </c>
      <c r="U12">
        <v>0.52397863501483688</v>
      </c>
      <c r="V12">
        <v>0.55117246290801158</v>
      </c>
      <c r="W12">
        <v>0.57969281899109804</v>
      </c>
      <c r="X12">
        <v>155.06187707843131</v>
      </c>
      <c r="Y12">
        <v>156.8401096137344</v>
      </c>
      <c r="Z12">
        <v>156.4844631066739</v>
      </c>
      <c r="AA12">
        <v>167.50950482555311</v>
      </c>
      <c r="AB12">
        <v>165.01997927612871</v>
      </c>
      <c r="AC12">
        <v>163.24174674082559</v>
      </c>
      <c r="AD12">
        <v>160.7522211914013</v>
      </c>
      <c r="AE12">
        <v>4.9356462208944993</v>
      </c>
      <c r="AF12">
        <v>4.9356462208944993</v>
      </c>
      <c r="AG12">
        <v>4.9356462208944993</v>
      </c>
      <c r="AH12">
        <v>4.9356462208944993</v>
      </c>
      <c r="AI12">
        <v>4.9356462208944993</v>
      </c>
      <c r="AJ12">
        <v>4.9356462208944993</v>
      </c>
      <c r="AK12">
        <v>4.9356462208944993</v>
      </c>
    </row>
    <row r="13" spans="1:37" x14ac:dyDescent="0.25">
      <c r="A13" t="s">
        <v>90</v>
      </c>
      <c r="B13" t="s">
        <v>91</v>
      </c>
      <c r="C13" t="s">
        <v>92</v>
      </c>
      <c r="F13" t="s">
        <v>109</v>
      </c>
      <c r="G13" t="s">
        <v>94</v>
      </c>
      <c r="H13" t="s">
        <v>95</v>
      </c>
      <c r="I13" t="s">
        <v>96</v>
      </c>
      <c r="J13" t="s">
        <v>108</v>
      </c>
      <c r="K13" t="s">
        <v>98</v>
      </c>
      <c r="L13">
        <v>0</v>
      </c>
      <c r="M13">
        <v>1</v>
      </c>
      <c r="N13">
        <v>2020</v>
      </c>
      <c r="O13">
        <v>16.861273869240819</v>
      </c>
      <c r="P13">
        <v>1</v>
      </c>
      <c r="Q13">
        <v>0.44505020771513348</v>
      </c>
      <c r="R13">
        <v>0.44040735905044531</v>
      </c>
      <c r="S13">
        <v>0.49744807121661722</v>
      </c>
      <c r="T13">
        <v>0.53989697329376896</v>
      </c>
      <c r="U13">
        <v>0.57173364985163211</v>
      </c>
      <c r="V13">
        <v>0.60423359050445069</v>
      </c>
      <c r="W13">
        <v>0.63607026706231429</v>
      </c>
      <c r="X13">
        <v>162.88610023376509</v>
      </c>
      <c r="Y13">
        <v>160.7522211914013</v>
      </c>
      <c r="Z13">
        <v>163.24174674082559</v>
      </c>
      <c r="AA13">
        <v>169.28773736085631</v>
      </c>
      <c r="AB13">
        <v>168.57644434673489</v>
      </c>
      <c r="AC13">
        <v>167.86515133261381</v>
      </c>
      <c r="AD13">
        <v>167.1538583184925</v>
      </c>
      <c r="AE13">
        <v>4.9356462208944993</v>
      </c>
      <c r="AF13">
        <v>4.9356462208944993</v>
      </c>
      <c r="AG13">
        <v>4.9356462208944993</v>
      </c>
      <c r="AH13">
        <v>4.9356462208944993</v>
      </c>
      <c r="AI13">
        <v>4.9356462208944993</v>
      </c>
      <c r="AJ13">
        <v>4.9356462208944993</v>
      </c>
      <c r="AK13">
        <v>4.9356462208944993</v>
      </c>
    </row>
    <row r="14" spans="1:37" hidden="1" x14ac:dyDescent="0.25">
      <c r="A14" t="s">
        <v>90</v>
      </c>
      <c r="B14" t="s">
        <v>91</v>
      </c>
      <c r="C14" t="s">
        <v>92</v>
      </c>
      <c r="F14" t="s">
        <v>109</v>
      </c>
      <c r="G14" t="s">
        <v>99</v>
      </c>
      <c r="H14" t="s">
        <v>100</v>
      </c>
      <c r="I14" t="s">
        <v>96</v>
      </c>
      <c r="J14" t="s">
        <v>108</v>
      </c>
      <c r="K14" t="s">
        <v>98</v>
      </c>
      <c r="L14">
        <v>0</v>
      </c>
      <c r="M14">
        <v>1</v>
      </c>
      <c r="N14">
        <v>2020</v>
      </c>
      <c r="O14">
        <v>16.861273869240819</v>
      </c>
      <c r="P14">
        <v>0.1</v>
      </c>
      <c r="Q14">
        <v>0.44505020771513348</v>
      </c>
      <c r="R14">
        <v>0.44040735905044531</v>
      </c>
      <c r="S14">
        <v>0.49744807121661722</v>
      </c>
      <c r="T14">
        <v>0.53989697329376896</v>
      </c>
      <c r="U14">
        <v>0.57173364985163211</v>
      </c>
      <c r="V14">
        <v>0.60423359050445069</v>
      </c>
      <c r="W14">
        <v>0.63607026706231429</v>
      </c>
      <c r="X14">
        <v>162.88610023376509</v>
      </c>
      <c r="Y14">
        <v>160.7522211914013</v>
      </c>
      <c r="Z14">
        <v>163.24174674082559</v>
      </c>
      <c r="AA14">
        <v>169.28773736085631</v>
      </c>
      <c r="AB14">
        <v>168.57644434673489</v>
      </c>
      <c r="AC14">
        <v>167.86515133261381</v>
      </c>
      <c r="AD14">
        <v>167.1538583184925</v>
      </c>
      <c r="AE14">
        <v>4.9356462208944993</v>
      </c>
      <c r="AF14">
        <v>4.9356462208944993</v>
      </c>
      <c r="AG14">
        <v>4.9356462208944993</v>
      </c>
      <c r="AH14">
        <v>4.9356462208944993</v>
      </c>
      <c r="AI14">
        <v>4.9356462208944993</v>
      </c>
      <c r="AJ14">
        <v>4.9356462208944993</v>
      </c>
      <c r="AK14">
        <v>4.9356462208944993</v>
      </c>
    </row>
    <row r="15" spans="1:37" x14ac:dyDescent="0.25">
      <c r="A15" t="s">
        <v>90</v>
      </c>
      <c r="B15" t="s">
        <v>91</v>
      </c>
      <c r="C15" t="s">
        <v>92</v>
      </c>
      <c r="F15" t="s">
        <v>110</v>
      </c>
      <c r="G15" t="s">
        <v>94</v>
      </c>
      <c r="H15" t="s">
        <v>95</v>
      </c>
      <c r="I15" t="s">
        <v>96</v>
      </c>
      <c r="J15" t="s">
        <v>111</v>
      </c>
      <c r="K15" t="s">
        <v>98</v>
      </c>
      <c r="L15">
        <v>1</v>
      </c>
      <c r="M15">
        <v>1</v>
      </c>
      <c r="N15">
        <v>2020</v>
      </c>
      <c r="O15">
        <v>16.861273869240819</v>
      </c>
      <c r="P15">
        <v>1</v>
      </c>
      <c r="Q15">
        <v>0.63474373887240354</v>
      </c>
      <c r="R15">
        <v>0.6526518694362019</v>
      </c>
      <c r="S15">
        <v>0.66923347181008863</v>
      </c>
      <c r="T15">
        <v>0.71300890207715129</v>
      </c>
      <c r="U15">
        <v>0.74219252225519305</v>
      </c>
      <c r="V15">
        <v>0.77203940652819025</v>
      </c>
      <c r="W15">
        <v>0.80188629080118656</v>
      </c>
      <c r="X15">
        <v>171.77726291028051</v>
      </c>
      <c r="Y15">
        <v>165.37562578318941</v>
      </c>
      <c r="Z15">
        <v>160.39657468434081</v>
      </c>
      <c r="AA15">
        <v>157.55140262785571</v>
      </c>
      <c r="AB15">
        <v>155.41752358549189</v>
      </c>
      <c r="AC15">
        <v>153.28364454312819</v>
      </c>
      <c r="AD15">
        <v>151.14976550076449</v>
      </c>
      <c r="AE15">
        <v>4.9356462208944993</v>
      </c>
      <c r="AF15">
        <v>4.9356462208944993</v>
      </c>
      <c r="AG15">
        <v>4.9356462208944993</v>
      </c>
      <c r="AH15">
        <v>4.9356462208944993</v>
      </c>
      <c r="AI15">
        <v>4.9356462208944993</v>
      </c>
      <c r="AJ15">
        <v>4.9356462208944993</v>
      </c>
      <c r="AK15">
        <v>4.9356462208944993</v>
      </c>
    </row>
    <row r="16" spans="1:37" hidden="1" x14ac:dyDescent="0.25">
      <c r="A16" t="s">
        <v>90</v>
      </c>
      <c r="B16" t="s">
        <v>91</v>
      </c>
      <c r="C16" t="s">
        <v>92</v>
      </c>
      <c r="F16" t="s">
        <v>110</v>
      </c>
      <c r="G16" t="s">
        <v>99</v>
      </c>
      <c r="H16" t="s">
        <v>100</v>
      </c>
      <c r="I16" t="s">
        <v>96</v>
      </c>
      <c r="J16" t="s">
        <v>111</v>
      </c>
      <c r="K16" t="s">
        <v>98</v>
      </c>
      <c r="L16">
        <v>0</v>
      </c>
      <c r="M16">
        <v>1</v>
      </c>
      <c r="N16">
        <v>2020</v>
      </c>
      <c r="O16">
        <v>16.861273869240819</v>
      </c>
      <c r="P16">
        <v>0.1</v>
      </c>
      <c r="Q16">
        <v>0.63474373887240354</v>
      </c>
      <c r="R16">
        <v>0.6526518694362019</v>
      </c>
      <c r="S16">
        <v>0.66923347181008863</v>
      </c>
      <c r="T16">
        <v>0.71300890207715129</v>
      </c>
      <c r="U16">
        <v>0.74219252225519305</v>
      </c>
      <c r="V16">
        <v>0.77203940652819025</v>
      </c>
      <c r="W16">
        <v>0.80188629080118656</v>
      </c>
      <c r="X16">
        <v>171.77726291028051</v>
      </c>
      <c r="Y16">
        <v>165.37562578318941</v>
      </c>
      <c r="Z16">
        <v>160.39657468434081</v>
      </c>
      <c r="AA16">
        <v>157.55140262785571</v>
      </c>
      <c r="AB16">
        <v>155.41752358549189</v>
      </c>
      <c r="AC16">
        <v>153.28364454312819</v>
      </c>
      <c r="AD16">
        <v>151.14976550076449</v>
      </c>
      <c r="AE16">
        <v>4.9356462208944993</v>
      </c>
      <c r="AF16">
        <v>4.9356462208944993</v>
      </c>
      <c r="AG16">
        <v>4.9356462208944993</v>
      </c>
      <c r="AH16">
        <v>4.9356462208944993</v>
      </c>
      <c r="AI16">
        <v>4.9356462208944993</v>
      </c>
      <c r="AJ16">
        <v>4.9356462208944993</v>
      </c>
      <c r="AK16">
        <v>4.9356462208944993</v>
      </c>
    </row>
    <row r="17" spans="1:37" x14ac:dyDescent="0.25">
      <c r="A17" t="s">
        <v>90</v>
      </c>
      <c r="B17" t="s">
        <v>91</v>
      </c>
      <c r="C17" t="s">
        <v>92</v>
      </c>
      <c r="F17" t="s">
        <v>112</v>
      </c>
      <c r="G17" t="s">
        <v>94</v>
      </c>
      <c r="H17" t="s">
        <v>95</v>
      </c>
      <c r="I17" t="s">
        <v>96</v>
      </c>
      <c r="J17" t="s">
        <v>113</v>
      </c>
      <c r="K17" t="s">
        <v>98</v>
      </c>
      <c r="L17">
        <v>1</v>
      </c>
      <c r="M17">
        <v>1</v>
      </c>
      <c r="N17">
        <v>2020</v>
      </c>
      <c r="O17">
        <v>16.861273869240819</v>
      </c>
      <c r="P17">
        <v>0.79399884593191039</v>
      </c>
      <c r="Q17">
        <v>0.87152902077151284</v>
      </c>
      <c r="R17">
        <v>0.90734528189910768</v>
      </c>
      <c r="S17">
        <v>0.92856973293768452</v>
      </c>
      <c r="T17">
        <v>0.99887572700296956</v>
      </c>
      <c r="U17">
        <v>1.037345044510386</v>
      </c>
      <c r="V17">
        <v>1.0771408902077151</v>
      </c>
      <c r="W17">
        <v>1.1169367359050411</v>
      </c>
      <c r="X17">
        <v>185.64747668564439</v>
      </c>
      <c r="Y17">
        <v>176.0450209950088</v>
      </c>
      <c r="Z17">
        <v>170.71032338909831</v>
      </c>
      <c r="AA17">
        <v>166.79821181143211</v>
      </c>
      <c r="AB17">
        <v>164.6643327690683</v>
      </c>
      <c r="AC17">
        <v>162.53045372670459</v>
      </c>
      <c r="AD17">
        <v>160.04092817728051</v>
      </c>
      <c r="AE17">
        <v>5.1465712730694726</v>
      </c>
      <c r="AF17">
        <v>5.1465712730694726</v>
      </c>
      <c r="AG17">
        <v>5.1465712730694726</v>
      </c>
      <c r="AH17">
        <v>5.1465712730694726</v>
      </c>
      <c r="AI17">
        <v>5.1465712730694726</v>
      </c>
      <c r="AJ17">
        <v>5.1465712730694726</v>
      </c>
      <c r="AK17">
        <v>5.1465712730694726</v>
      </c>
    </row>
    <row r="18" spans="1:37" hidden="1" x14ac:dyDescent="0.25">
      <c r="A18" t="s">
        <v>90</v>
      </c>
      <c r="B18" t="s">
        <v>91</v>
      </c>
      <c r="C18" t="s">
        <v>92</v>
      </c>
      <c r="F18" t="s">
        <v>112</v>
      </c>
      <c r="G18" t="s">
        <v>99</v>
      </c>
      <c r="H18" t="s">
        <v>100</v>
      </c>
      <c r="I18" t="s">
        <v>96</v>
      </c>
      <c r="J18" t="s">
        <v>113</v>
      </c>
      <c r="K18" t="s">
        <v>98</v>
      </c>
      <c r="L18">
        <v>0</v>
      </c>
      <c r="M18">
        <v>1</v>
      </c>
      <c r="N18">
        <v>2020</v>
      </c>
      <c r="O18">
        <v>16.861273869240819</v>
      </c>
      <c r="P18">
        <v>0.1</v>
      </c>
      <c r="Q18">
        <v>0.87152902077151284</v>
      </c>
      <c r="R18">
        <v>0.90734528189910768</v>
      </c>
      <c r="S18">
        <v>0.92856973293768452</v>
      </c>
      <c r="T18">
        <v>0.99887572700296956</v>
      </c>
      <c r="U18">
        <v>1.037345044510386</v>
      </c>
      <c r="V18">
        <v>1.0771408902077151</v>
      </c>
      <c r="W18">
        <v>1.1169367359050411</v>
      </c>
      <c r="X18">
        <v>185.64747668564439</v>
      </c>
      <c r="Y18">
        <v>176.0450209950088</v>
      </c>
      <c r="Z18">
        <v>170.71032338909831</v>
      </c>
      <c r="AA18">
        <v>166.79821181143211</v>
      </c>
      <c r="AB18">
        <v>164.6643327690683</v>
      </c>
      <c r="AC18">
        <v>162.53045372670459</v>
      </c>
      <c r="AD18">
        <v>160.04092817728051</v>
      </c>
      <c r="AE18">
        <v>5.1465712730694726</v>
      </c>
      <c r="AF18">
        <v>5.1465712730694726</v>
      </c>
      <c r="AG18">
        <v>5.1465712730694726</v>
      </c>
      <c r="AH18">
        <v>5.1465712730694726</v>
      </c>
      <c r="AI18">
        <v>5.1465712730694726</v>
      </c>
      <c r="AJ18">
        <v>5.1465712730694726</v>
      </c>
      <c r="AK18">
        <v>5.1465712730694726</v>
      </c>
    </row>
    <row r="19" spans="1:37" hidden="1" x14ac:dyDescent="0.25">
      <c r="A19" t="s">
        <v>90</v>
      </c>
      <c r="B19" t="s">
        <v>91</v>
      </c>
      <c r="C19" t="s">
        <v>92</v>
      </c>
      <c r="F19" t="s">
        <v>112</v>
      </c>
      <c r="G19" t="s">
        <v>114</v>
      </c>
      <c r="H19" t="s">
        <v>115</v>
      </c>
      <c r="I19" t="s">
        <v>96</v>
      </c>
      <c r="J19" t="s">
        <v>113</v>
      </c>
      <c r="K19" t="s">
        <v>98</v>
      </c>
      <c r="L19">
        <v>0</v>
      </c>
      <c r="M19">
        <v>1</v>
      </c>
      <c r="N19">
        <v>2020</v>
      </c>
      <c r="O19">
        <v>16.861273869240819</v>
      </c>
      <c r="P19">
        <v>0.20600115406808961</v>
      </c>
      <c r="Q19">
        <v>0.87152902077151284</v>
      </c>
      <c r="R19">
        <v>0.90734528189910768</v>
      </c>
      <c r="S19">
        <v>0.92856973293768452</v>
      </c>
      <c r="T19">
        <v>0.99887572700296956</v>
      </c>
      <c r="U19">
        <v>1.037345044510386</v>
      </c>
      <c r="V19">
        <v>1.0771408902077151</v>
      </c>
      <c r="W19">
        <v>1.1169367359050411</v>
      </c>
      <c r="X19">
        <v>185.64747668564439</v>
      </c>
      <c r="Y19">
        <v>176.0450209950088</v>
      </c>
      <c r="Z19">
        <v>170.71032338909831</v>
      </c>
      <c r="AA19">
        <v>166.79821181143211</v>
      </c>
      <c r="AB19">
        <v>164.6643327690683</v>
      </c>
      <c r="AC19">
        <v>162.53045372670459</v>
      </c>
      <c r="AD19">
        <v>160.04092817728051</v>
      </c>
      <c r="AE19">
        <v>5.1465712730694726</v>
      </c>
      <c r="AF19">
        <v>5.1465712730694726</v>
      </c>
      <c r="AG19">
        <v>5.1465712730694726</v>
      </c>
      <c r="AH19">
        <v>5.1465712730694726</v>
      </c>
      <c r="AI19">
        <v>5.1465712730694726</v>
      </c>
      <c r="AJ19">
        <v>5.1465712730694726</v>
      </c>
      <c r="AK19">
        <v>5.1465712730694726</v>
      </c>
    </row>
    <row r="20" spans="1:37" x14ac:dyDescent="0.25">
      <c r="A20" t="s">
        <v>90</v>
      </c>
      <c r="B20" t="s">
        <v>91</v>
      </c>
      <c r="C20" t="s">
        <v>92</v>
      </c>
      <c r="F20" t="s">
        <v>116</v>
      </c>
      <c r="G20" t="s">
        <v>94</v>
      </c>
      <c r="H20" t="s">
        <v>95</v>
      </c>
      <c r="I20" t="s">
        <v>96</v>
      </c>
      <c r="J20" t="s">
        <v>117</v>
      </c>
      <c r="K20" t="s">
        <v>98</v>
      </c>
      <c r="L20">
        <v>1</v>
      </c>
      <c r="M20">
        <v>1</v>
      </c>
      <c r="N20">
        <v>2020</v>
      </c>
      <c r="O20">
        <v>16.861273869240819</v>
      </c>
      <c r="P20">
        <v>0.59838430467397363</v>
      </c>
      <c r="Q20">
        <v>1.0963755489614271</v>
      </c>
      <c r="R20">
        <v>1.1534162611275931</v>
      </c>
      <c r="S20">
        <v>1.1733141839762571</v>
      </c>
      <c r="T20">
        <v>1.264181364985161</v>
      </c>
      <c r="U20">
        <v>1.3145894362017829</v>
      </c>
      <c r="V20">
        <v>1.3656607715133551</v>
      </c>
      <c r="W20">
        <v>1.4193851632047481</v>
      </c>
      <c r="X20">
        <v>205.5636810810403</v>
      </c>
      <c r="Y20">
        <v>189.20394175625171</v>
      </c>
      <c r="Z20">
        <v>175.68937448794739</v>
      </c>
      <c r="AA20">
        <v>168.9320908537959</v>
      </c>
      <c r="AB20">
        <v>165.7312722902501</v>
      </c>
      <c r="AC20">
        <v>162.88610023376469</v>
      </c>
      <c r="AD20">
        <v>159.6852816702193</v>
      </c>
      <c r="AE20">
        <v>5.1465712730694726</v>
      </c>
      <c r="AF20">
        <v>5.1465712730694726</v>
      </c>
      <c r="AG20">
        <v>5.1465712730694726</v>
      </c>
      <c r="AH20">
        <v>5.1465712730694726</v>
      </c>
      <c r="AI20">
        <v>5.1465712730694726</v>
      </c>
      <c r="AJ20">
        <v>5.1465712730694726</v>
      </c>
      <c r="AK20">
        <v>5.1465712730694726</v>
      </c>
    </row>
    <row r="21" spans="1:37" hidden="1" x14ac:dyDescent="0.25">
      <c r="A21" t="s">
        <v>90</v>
      </c>
      <c r="B21" t="s">
        <v>91</v>
      </c>
      <c r="C21" t="s">
        <v>92</v>
      </c>
      <c r="F21" t="s">
        <v>116</v>
      </c>
      <c r="G21" t="s">
        <v>99</v>
      </c>
      <c r="H21" t="s">
        <v>100</v>
      </c>
      <c r="I21" t="s">
        <v>96</v>
      </c>
      <c r="J21" t="s">
        <v>117</v>
      </c>
      <c r="K21" t="s">
        <v>98</v>
      </c>
      <c r="L21">
        <v>0</v>
      </c>
      <c r="M21">
        <v>1</v>
      </c>
      <c r="N21">
        <v>2020</v>
      </c>
      <c r="O21">
        <v>16.861273869240819</v>
      </c>
      <c r="P21">
        <v>0.1</v>
      </c>
      <c r="Q21">
        <v>1.0963755489614271</v>
      </c>
      <c r="R21">
        <v>1.1534162611275931</v>
      </c>
      <c r="S21">
        <v>1.1733141839762571</v>
      </c>
      <c r="T21">
        <v>1.264181364985161</v>
      </c>
      <c r="U21">
        <v>1.3145894362017829</v>
      </c>
      <c r="V21">
        <v>1.3656607715133551</v>
      </c>
      <c r="W21">
        <v>1.4193851632047481</v>
      </c>
      <c r="X21">
        <v>205.5636810810403</v>
      </c>
      <c r="Y21">
        <v>189.20394175625171</v>
      </c>
      <c r="Z21">
        <v>175.68937448794739</v>
      </c>
      <c r="AA21">
        <v>168.9320908537959</v>
      </c>
      <c r="AB21">
        <v>165.7312722902501</v>
      </c>
      <c r="AC21">
        <v>162.88610023376469</v>
      </c>
      <c r="AD21">
        <v>159.6852816702193</v>
      </c>
      <c r="AE21">
        <v>5.1465712730694726</v>
      </c>
      <c r="AF21">
        <v>5.1465712730694726</v>
      </c>
      <c r="AG21">
        <v>5.1465712730694726</v>
      </c>
      <c r="AH21">
        <v>5.1465712730694726</v>
      </c>
      <c r="AI21">
        <v>5.1465712730694726</v>
      </c>
      <c r="AJ21">
        <v>5.1465712730694726</v>
      </c>
      <c r="AK21">
        <v>5.1465712730694726</v>
      </c>
    </row>
    <row r="22" spans="1:37" hidden="1" x14ac:dyDescent="0.25">
      <c r="A22" t="s">
        <v>90</v>
      </c>
      <c r="B22" t="s">
        <v>91</v>
      </c>
      <c r="C22" t="s">
        <v>92</v>
      </c>
      <c r="F22" t="s">
        <v>116</v>
      </c>
      <c r="G22" t="s">
        <v>114</v>
      </c>
      <c r="H22" t="s">
        <v>115</v>
      </c>
      <c r="I22" t="s">
        <v>96</v>
      </c>
      <c r="J22" t="s">
        <v>117</v>
      </c>
      <c r="K22" t="s">
        <v>98</v>
      </c>
      <c r="L22">
        <v>0</v>
      </c>
      <c r="M22">
        <v>1</v>
      </c>
      <c r="N22">
        <v>2020</v>
      </c>
      <c r="O22">
        <v>16.861273869240819</v>
      </c>
      <c r="P22">
        <v>0.40161569532602631</v>
      </c>
      <c r="Q22">
        <v>1.0963755489614271</v>
      </c>
      <c r="R22">
        <v>1.1534162611275931</v>
      </c>
      <c r="S22">
        <v>1.1733141839762571</v>
      </c>
      <c r="T22">
        <v>1.264181364985161</v>
      </c>
      <c r="U22">
        <v>1.3145894362017829</v>
      </c>
      <c r="V22">
        <v>1.3656607715133551</v>
      </c>
      <c r="W22">
        <v>1.4193851632047481</v>
      </c>
      <c r="X22">
        <v>205.5636810810403</v>
      </c>
      <c r="Y22">
        <v>189.20394175625171</v>
      </c>
      <c r="Z22">
        <v>175.68937448794739</v>
      </c>
      <c r="AA22">
        <v>168.9320908537959</v>
      </c>
      <c r="AB22">
        <v>165.7312722902501</v>
      </c>
      <c r="AC22">
        <v>162.88610023376469</v>
      </c>
      <c r="AD22">
        <v>159.6852816702193</v>
      </c>
      <c r="AE22">
        <v>5.1465712730694726</v>
      </c>
      <c r="AF22">
        <v>5.1465712730694726</v>
      </c>
      <c r="AG22">
        <v>5.1465712730694726</v>
      </c>
      <c r="AH22">
        <v>5.1465712730694726</v>
      </c>
      <c r="AI22">
        <v>5.1465712730694726</v>
      </c>
      <c r="AJ22">
        <v>5.1465712730694726</v>
      </c>
      <c r="AK22">
        <v>5.1465712730694726</v>
      </c>
    </row>
    <row r="23" spans="1:37" x14ac:dyDescent="0.25">
      <c r="A23" t="s">
        <v>90</v>
      </c>
      <c r="B23" t="s">
        <v>91</v>
      </c>
      <c r="C23" t="s">
        <v>92</v>
      </c>
      <c r="F23" t="s">
        <v>118</v>
      </c>
      <c r="G23" t="s">
        <v>119</v>
      </c>
      <c r="H23" t="s">
        <v>120</v>
      </c>
      <c r="I23" t="s">
        <v>96</v>
      </c>
      <c r="J23" t="s">
        <v>121</v>
      </c>
      <c r="K23" t="s">
        <v>98</v>
      </c>
      <c r="L23">
        <v>1</v>
      </c>
      <c r="M23">
        <v>1</v>
      </c>
      <c r="N23">
        <v>2020</v>
      </c>
      <c r="O23">
        <v>16.861273869240819</v>
      </c>
      <c r="P23">
        <v>1</v>
      </c>
      <c r="Q23">
        <v>0.46428486646884271</v>
      </c>
      <c r="R23">
        <v>0.44969305637982188</v>
      </c>
      <c r="S23">
        <v>0.51867252225519278</v>
      </c>
      <c r="T23">
        <v>0.5432132937685461</v>
      </c>
      <c r="U23">
        <v>0.57306017804154308</v>
      </c>
      <c r="V23">
        <v>0.60290706231454005</v>
      </c>
      <c r="W23">
        <v>0.63275394658753703</v>
      </c>
      <c r="X23">
        <v>183.86924415034181</v>
      </c>
      <c r="Y23">
        <v>180.66842558679619</v>
      </c>
      <c r="Z23">
        <v>179.95713257267491</v>
      </c>
      <c r="AA23">
        <v>179.60148606561421</v>
      </c>
      <c r="AB23">
        <v>179.24583955855371</v>
      </c>
      <c r="AC23">
        <v>178.8901930514931</v>
      </c>
      <c r="AD23">
        <v>178.5345465444324</v>
      </c>
      <c r="AE23">
        <v>5.2309412939394688</v>
      </c>
      <c r="AF23">
        <v>5.2309412939394688</v>
      </c>
      <c r="AG23">
        <v>5.2309412939394688</v>
      </c>
      <c r="AH23">
        <v>5.2309412939394688</v>
      </c>
      <c r="AI23">
        <v>5.2309412939394688</v>
      </c>
      <c r="AJ23">
        <v>5.2309412939394688</v>
      </c>
      <c r="AK23">
        <v>5.2309412939394688</v>
      </c>
    </row>
    <row r="24" spans="1:37" hidden="1" x14ac:dyDescent="0.25">
      <c r="A24" t="s">
        <v>90</v>
      </c>
      <c r="B24" t="s">
        <v>91</v>
      </c>
      <c r="C24" t="s">
        <v>92</v>
      </c>
      <c r="F24" t="s">
        <v>118</v>
      </c>
      <c r="G24" t="s">
        <v>122</v>
      </c>
      <c r="H24" t="s">
        <v>123</v>
      </c>
      <c r="I24" t="s">
        <v>96</v>
      </c>
      <c r="J24" t="s">
        <v>121</v>
      </c>
      <c r="K24" t="s">
        <v>98</v>
      </c>
      <c r="L24">
        <v>0</v>
      </c>
      <c r="M24">
        <v>1</v>
      </c>
      <c r="N24">
        <v>2020</v>
      </c>
      <c r="O24">
        <v>16.861273869240819</v>
      </c>
      <c r="P24">
        <v>1</v>
      </c>
      <c r="Q24">
        <v>0.46428486646884271</v>
      </c>
      <c r="R24">
        <v>0.44969305637982188</v>
      </c>
      <c r="S24">
        <v>0.51867252225519278</v>
      </c>
      <c r="T24">
        <v>0.5432132937685461</v>
      </c>
      <c r="U24">
        <v>0.57306017804154308</v>
      </c>
      <c r="V24">
        <v>0.60290706231454005</v>
      </c>
      <c r="W24">
        <v>0.63275394658753703</v>
      </c>
      <c r="X24">
        <v>183.86924415034181</v>
      </c>
      <c r="Y24">
        <v>180.66842558679619</v>
      </c>
      <c r="Z24">
        <v>179.95713257267491</v>
      </c>
      <c r="AA24">
        <v>179.60148606561421</v>
      </c>
      <c r="AB24">
        <v>179.24583955855371</v>
      </c>
      <c r="AC24">
        <v>178.8901930514931</v>
      </c>
      <c r="AD24">
        <v>178.5345465444324</v>
      </c>
      <c r="AE24">
        <v>5.2309412939394688</v>
      </c>
      <c r="AF24">
        <v>5.2309412939394688</v>
      </c>
      <c r="AG24">
        <v>5.2309412939394688</v>
      </c>
      <c r="AH24">
        <v>5.2309412939394688</v>
      </c>
      <c r="AI24">
        <v>5.2309412939394688</v>
      </c>
      <c r="AJ24">
        <v>5.2309412939394688</v>
      </c>
      <c r="AK24">
        <v>5.2309412939394688</v>
      </c>
    </row>
    <row r="25" spans="1:37" hidden="1" x14ac:dyDescent="0.25">
      <c r="A25" t="s">
        <v>90</v>
      </c>
      <c r="B25" t="s">
        <v>91</v>
      </c>
      <c r="C25" t="s">
        <v>92</v>
      </c>
      <c r="F25" t="s">
        <v>118</v>
      </c>
      <c r="G25" t="s">
        <v>124</v>
      </c>
      <c r="H25" t="s">
        <v>125</v>
      </c>
      <c r="I25" t="s">
        <v>96</v>
      </c>
      <c r="J25" t="s">
        <v>121</v>
      </c>
      <c r="K25" t="s">
        <v>98</v>
      </c>
      <c r="L25">
        <v>0</v>
      </c>
      <c r="M25">
        <v>1</v>
      </c>
      <c r="N25">
        <v>2020</v>
      </c>
      <c r="O25">
        <v>16.861273869240819</v>
      </c>
      <c r="P25">
        <v>0.1</v>
      </c>
      <c r="Q25">
        <v>0.46428486646884271</v>
      </c>
      <c r="R25">
        <v>0.44969305637982188</v>
      </c>
      <c r="S25">
        <v>0.51867252225519278</v>
      </c>
      <c r="T25">
        <v>0.5432132937685461</v>
      </c>
      <c r="U25">
        <v>0.57306017804154308</v>
      </c>
      <c r="V25">
        <v>0.60290706231454005</v>
      </c>
      <c r="W25">
        <v>0.63275394658753703</v>
      </c>
      <c r="X25">
        <v>183.86924415034181</v>
      </c>
      <c r="Y25">
        <v>180.66842558679619</v>
      </c>
      <c r="Z25">
        <v>179.95713257267491</v>
      </c>
      <c r="AA25">
        <v>179.60148606561421</v>
      </c>
      <c r="AB25">
        <v>179.24583955855371</v>
      </c>
      <c r="AC25">
        <v>178.8901930514931</v>
      </c>
      <c r="AD25">
        <v>178.5345465444324</v>
      </c>
      <c r="AE25">
        <v>5.2309412939394688</v>
      </c>
      <c r="AF25">
        <v>5.2309412939394688</v>
      </c>
      <c r="AG25">
        <v>5.2309412939394688</v>
      </c>
      <c r="AH25">
        <v>5.2309412939394688</v>
      </c>
      <c r="AI25">
        <v>5.2309412939394688</v>
      </c>
      <c r="AJ25">
        <v>5.2309412939394688</v>
      </c>
      <c r="AK25">
        <v>5.2309412939394688</v>
      </c>
    </row>
    <row r="26" spans="1:37" hidden="1" x14ac:dyDescent="0.25">
      <c r="A26" t="s">
        <v>90</v>
      </c>
      <c r="B26" t="s">
        <v>91</v>
      </c>
      <c r="C26" t="s">
        <v>92</v>
      </c>
      <c r="F26" t="s">
        <v>126</v>
      </c>
      <c r="G26" t="s">
        <v>127</v>
      </c>
      <c r="H26" t="s">
        <v>128</v>
      </c>
      <c r="I26" t="s">
        <v>96</v>
      </c>
      <c r="J26" t="s">
        <v>129</v>
      </c>
      <c r="K26" t="s">
        <v>98</v>
      </c>
      <c r="L26">
        <v>1</v>
      </c>
      <c r="M26">
        <v>1</v>
      </c>
      <c r="N26">
        <v>2020</v>
      </c>
      <c r="O26">
        <v>16.861273869240819</v>
      </c>
      <c r="P26">
        <v>1</v>
      </c>
      <c r="Q26">
        <v>0.37673400593471812</v>
      </c>
      <c r="R26">
        <v>0.40193804154302659</v>
      </c>
      <c r="S26">
        <v>0.45433590504451038</v>
      </c>
      <c r="T26">
        <v>0.48683584569732952</v>
      </c>
      <c r="U26">
        <v>0.51336640949554901</v>
      </c>
      <c r="V26">
        <v>0.53923370919881319</v>
      </c>
      <c r="W26">
        <v>0.56510100890207715</v>
      </c>
      <c r="X26">
        <v>197.73945792570601</v>
      </c>
      <c r="Y26">
        <v>195.24993237628161</v>
      </c>
      <c r="Z26">
        <v>194.89428586922099</v>
      </c>
      <c r="AA26">
        <v>194.1829928550998</v>
      </c>
      <c r="AB26">
        <v>194.1829928550998</v>
      </c>
      <c r="AC26">
        <v>193.47169984097849</v>
      </c>
      <c r="AD26">
        <v>193.47169984097849</v>
      </c>
      <c r="AE26">
        <v>5.2309412939394688</v>
      </c>
      <c r="AF26">
        <v>5.2309412939394688</v>
      </c>
      <c r="AG26">
        <v>5.2309412939394688</v>
      </c>
      <c r="AH26">
        <v>5.2309412939394688</v>
      </c>
      <c r="AI26">
        <v>5.2309412939394688</v>
      </c>
      <c r="AJ26">
        <v>5.2309412939394688</v>
      </c>
      <c r="AK26">
        <v>5.2309412939394688</v>
      </c>
    </row>
    <row r="27" spans="1:37" hidden="1" x14ac:dyDescent="0.25">
      <c r="A27" t="s">
        <v>90</v>
      </c>
      <c r="B27" t="s">
        <v>91</v>
      </c>
      <c r="C27" t="s">
        <v>92</v>
      </c>
      <c r="F27" t="s">
        <v>126</v>
      </c>
      <c r="G27" t="s">
        <v>130</v>
      </c>
      <c r="H27" t="s">
        <v>131</v>
      </c>
      <c r="I27" t="s">
        <v>96</v>
      </c>
      <c r="J27" t="s">
        <v>129</v>
      </c>
      <c r="K27" t="s">
        <v>98</v>
      </c>
      <c r="L27">
        <v>0</v>
      </c>
      <c r="M27">
        <v>1</v>
      </c>
      <c r="N27">
        <v>2020</v>
      </c>
      <c r="O27">
        <v>16.861273869240819</v>
      </c>
      <c r="P27">
        <v>1</v>
      </c>
      <c r="Q27">
        <v>0.37673400593471812</v>
      </c>
      <c r="R27">
        <v>0.40193804154302659</v>
      </c>
      <c r="S27">
        <v>0.45433590504451038</v>
      </c>
      <c r="T27">
        <v>0.48683584569732952</v>
      </c>
      <c r="U27">
        <v>0.51336640949554901</v>
      </c>
      <c r="V27">
        <v>0.53923370919881319</v>
      </c>
      <c r="W27">
        <v>0.56510100890207715</v>
      </c>
      <c r="X27">
        <v>197.73945792570601</v>
      </c>
      <c r="Y27">
        <v>195.24993237628161</v>
      </c>
      <c r="Z27">
        <v>194.89428586922099</v>
      </c>
      <c r="AA27">
        <v>194.1829928550998</v>
      </c>
      <c r="AB27">
        <v>194.1829928550998</v>
      </c>
      <c r="AC27">
        <v>193.47169984097849</v>
      </c>
      <c r="AD27">
        <v>193.47169984097849</v>
      </c>
      <c r="AE27">
        <v>5.2309412939394688</v>
      </c>
      <c r="AF27">
        <v>5.2309412939394688</v>
      </c>
      <c r="AG27">
        <v>5.2309412939394688</v>
      </c>
      <c r="AH27">
        <v>5.2309412939394688</v>
      </c>
      <c r="AI27">
        <v>5.2309412939394688</v>
      </c>
      <c r="AJ27">
        <v>5.2309412939394688</v>
      </c>
      <c r="AK27">
        <v>5.2309412939394688</v>
      </c>
    </row>
    <row r="28" spans="1:37" hidden="1" x14ac:dyDescent="0.25">
      <c r="A28" t="s">
        <v>90</v>
      </c>
      <c r="B28" t="s">
        <v>91</v>
      </c>
      <c r="C28" t="s">
        <v>92</v>
      </c>
      <c r="F28" t="s">
        <v>132</v>
      </c>
      <c r="G28" t="s">
        <v>133</v>
      </c>
      <c r="H28" t="s">
        <v>134</v>
      </c>
      <c r="I28" t="s">
        <v>96</v>
      </c>
      <c r="J28" t="s">
        <v>135</v>
      </c>
      <c r="K28" t="s">
        <v>98</v>
      </c>
      <c r="L28">
        <v>1</v>
      </c>
      <c r="M28">
        <v>1</v>
      </c>
      <c r="N28">
        <v>2020</v>
      </c>
      <c r="O28">
        <v>16.861273869240819</v>
      </c>
      <c r="P28">
        <v>1</v>
      </c>
      <c r="Q28">
        <v>0.95775335311572685</v>
      </c>
      <c r="R28">
        <v>0.99290635014836748</v>
      </c>
      <c r="S28">
        <v>1.0134675370919879</v>
      </c>
      <c r="T28">
        <v>1.082447002967359</v>
      </c>
      <c r="U28">
        <v>1.1096408308605341</v>
      </c>
      <c r="V28">
        <v>1.137497922848665</v>
      </c>
      <c r="W28">
        <v>1.164028486646884</v>
      </c>
      <c r="X28">
        <v>219.78954136346459</v>
      </c>
      <c r="Y28">
        <v>202.71850902455481</v>
      </c>
      <c r="Z28">
        <v>188.13700223506919</v>
      </c>
      <c r="AA28">
        <v>170.35467688203809</v>
      </c>
      <c r="AB28">
        <v>165.73127229024999</v>
      </c>
      <c r="AC28">
        <v>161.10786769846189</v>
      </c>
      <c r="AD28">
        <v>156.48446310667379</v>
      </c>
      <c r="AE28">
        <v>3.7966509391496128</v>
      </c>
      <c r="AF28">
        <v>3.7966509391496128</v>
      </c>
      <c r="AG28">
        <v>3.7966509391496128</v>
      </c>
      <c r="AH28">
        <v>3.7966509391496128</v>
      </c>
      <c r="AI28">
        <v>3.7966509391496128</v>
      </c>
      <c r="AJ28">
        <v>3.7966509391496128</v>
      </c>
      <c r="AK28">
        <v>3.7966509391496128</v>
      </c>
    </row>
    <row r="29" spans="1:37" hidden="1" x14ac:dyDescent="0.25">
      <c r="A29" t="s">
        <v>90</v>
      </c>
      <c r="B29" t="s">
        <v>91</v>
      </c>
      <c r="C29" t="s">
        <v>92</v>
      </c>
      <c r="F29" t="s">
        <v>136</v>
      </c>
      <c r="G29" t="s">
        <v>133</v>
      </c>
      <c r="H29" t="s">
        <v>134</v>
      </c>
      <c r="I29" t="s">
        <v>96</v>
      </c>
      <c r="J29" t="s">
        <v>137</v>
      </c>
      <c r="K29" t="s">
        <v>98</v>
      </c>
      <c r="L29">
        <v>1</v>
      </c>
      <c r="M29">
        <v>1</v>
      </c>
      <c r="N29">
        <v>2020</v>
      </c>
      <c r="O29">
        <v>16.861273869240819</v>
      </c>
      <c r="P29">
        <v>1</v>
      </c>
      <c r="Q29">
        <v>0.94647786350148322</v>
      </c>
      <c r="R29">
        <v>0.98030433234421377</v>
      </c>
      <c r="S29">
        <v>1.000865519287834</v>
      </c>
      <c r="T29">
        <v>1.069844985163205</v>
      </c>
      <c r="U29">
        <v>1.096375548961424</v>
      </c>
      <c r="V29">
        <v>1.1235693768546</v>
      </c>
      <c r="W29">
        <v>1.150099940652819</v>
      </c>
      <c r="X29">
        <v>226.54682499761631</v>
      </c>
      <c r="Y29">
        <v>208.76449964458519</v>
      </c>
      <c r="Z29">
        <v>193.82734634803921</v>
      </c>
      <c r="AA29">
        <v>174.97808147382619</v>
      </c>
      <c r="AB29">
        <v>170.35467688203809</v>
      </c>
      <c r="AC29">
        <v>165.73127229024999</v>
      </c>
      <c r="AD29">
        <v>161.10786769846189</v>
      </c>
      <c r="AE29">
        <v>3.7966509391496128</v>
      </c>
      <c r="AF29">
        <v>3.7966509391496128</v>
      </c>
      <c r="AG29">
        <v>3.7966509391496128</v>
      </c>
      <c r="AH29">
        <v>3.7966509391496128</v>
      </c>
      <c r="AI29">
        <v>3.7966509391496128</v>
      </c>
      <c r="AJ29">
        <v>3.7966509391496128</v>
      </c>
      <c r="AK29">
        <v>3.7966509391496128</v>
      </c>
    </row>
    <row r="30" spans="1:37" hidden="1" x14ac:dyDescent="0.25">
      <c r="A30" t="s">
        <v>90</v>
      </c>
      <c r="B30" t="s">
        <v>91</v>
      </c>
      <c r="C30" t="s">
        <v>92</v>
      </c>
      <c r="F30" t="s">
        <v>138</v>
      </c>
      <c r="G30" t="s">
        <v>114</v>
      </c>
      <c r="H30" t="s">
        <v>115</v>
      </c>
      <c r="I30" t="s">
        <v>96</v>
      </c>
      <c r="J30" t="s">
        <v>139</v>
      </c>
      <c r="K30" t="s">
        <v>98</v>
      </c>
      <c r="L30">
        <v>1</v>
      </c>
      <c r="M30">
        <v>1</v>
      </c>
      <c r="N30">
        <v>2020</v>
      </c>
      <c r="O30">
        <v>16.861273869240819</v>
      </c>
      <c r="P30">
        <v>1</v>
      </c>
      <c r="Q30">
        <v>2.0892818991097921</v>
      </c>
      <c r="R30">
        <v>2.1821388724035611</v>
      </c>
      <c r="S30">
        <v>2.2285673590504449</v>
      </c>
      <c r="T30">
        <v>2.4275465875370918</v>
      </c>
      <c r="U30">
        <v>2.5071382789317509</v>
      </c>
      <c r="V30">
        <v>2.593362611275964</v>
      </c>
      <c r="W30">
        <v>2.686219584569733</v>
      </c>
      <c r="X30">
        <v>174.62243496676561</v>
      </c>
      <c r="Y30">
        <v>163.59739324788629</v>
      </c>
      <c r="Z30">
        <v>147.94894693721889</v>
      </c>
      <c r="AA30">
        <v>138.70213775364269</v>
      </c>
      <c r="AB30">
        <v>134.07873316185459</v>
      </c>
      <c r="AC30">
        <v>129.45532857006651</v>
      </c>
      <c r="AD30">
        <v>125.18757048533909</v>
      </c>
      <c r="AE30">
        <v>3.5351038744526408</v>
      </c>
      <c r="AF30">
        <v>3.5351038744526408</v>
      </c>
      <c r="AG30">
        <v>3.5351038744526408</v>
      </c>
      <c r="AH30">
        <v>3.5351038744526408</v>
      </c>
      <c r="AI30">
        <v>3.5351038744526408</v>
      </c>
      <c r="AJ30">
        <v>3.5351038744526408</v>
      </c>
      <c r="AK30">
        <v>3.5351038744526408</v>
      </c>
    </row>
    <row r="31" spans="1:37" hidden="1" x14ac:dyDescent="0.25">
      <c r="A31" t="s">
        <v>90</v>
      </c>
      <c r="B31" t="s">
        <v>91</v>
      </c>
      <c r="C31" t="s">
        <v>92</v>
      </c>
      <c r="F31" t="s">
        <v>140</v>
      </c>
      <c r="G31" t="s">
        <v>114</v>
      </c>
      <c r="H31" t="s">
        <v>115</v>
      </c>
      <c r="I31" t="s">
        <v>96</v>
      </c>
      <c r="J31" t="s">
        <v>141</v>
      </c>
      <c r="K31" t="s">
        <v>98</v>
      </c>
      <c r="L31">
        <v>1</v>
      </c>
      <c r="M31">
        <v>1</v>
      </c>
      <c r="N31">
        <v>2020</v>
      </c>
      <c r="O31">
        <v>16.861273869240819</v>
      </c>
      <c r="P31">
        <v>1</v>
      </c>
      <c r="Q31">
        <v>1.9897922848664691</v>
      </c>
      <c r="R31">
        <v>2.0826492581602372</v>
      </c>
      <c r="S31">
        <v>2.1489756676557858</v>
      </c>
      <c r="T31">
        <v>2.3479548961424328</v>
      </c>
      <c r="U31">
        <v>2.4275465875370918</v>
      </c>
      <c r="V31">
        <v>2.5071382789317509</v>
      </c>
      <c r="W31">
        <v>2.599995252225519</v>
      </c>
      <c r="X31">
        <v>207.69756012340341</v>
      </c>
      <c r="Y31">
        <v>192.0491138127361</v>
      </c>
      <c r="Z31">
        <v>169.28773736085631</v>
      </c>
      <c r="AA31">
        <v>155.77317009255259</v>
      </c>
      <c r="AB31">
        <v>149.3715329654614</v>
      </c>
      <c r="AC31">
        <v>142.61424933130951</v>
      </c>
      <c r="AD31">
        <v>136.21261220421829</v>
      </c>
      <c r="AE31">
        <v>3.5351038744526408</v>
      </c>
      <c r="AF31">
        <v>3.5351038744526408</v>
      </c>
      <c r="AG31">
        <v>3.5351038744526408</v>
      </c>
      <c r="AH31">
        <v>3.5351038744526408</v>
      </c>
      <c r="AI31">
        <v>3.5351038744526408</v>
      </c>
      <c r="AJ31">
        <v>3.5351038744526408</v>
      </c>
      <c r="AK31">
        <v>3.5351038744526408</v>
      </c>
    </row>
    <row r="32" spans="1:37" hidden="1" x14ac:dyDescent="0.25">
      <c r="A32" t="s">
        <v>90</v>
      </c>
      <c r="B32" t="s">
        <v>91</v>
      </c>
      <c r="C32" t="s">
        <v>92</v>
      </c>
      <c r="F32" t="s">
        <v>142</v>
      </c>
      <c r="G32" t="s">
        <v>114</v>
      </c>
      <c r="H32" t="s">
        <v>115</v>
      </c>
      <c r="I32" t="s">
        <v>96</v>
      </c>
      <c r="J32" t="s">
        <v>143</v>
      </c>
      <c r="K32" t="s">
        <v>98</v>
      </c>
      <c r="L32">
        <v>1</v>
      </c>
      <c r="M32">
        <v>1</v>
      </c>
      <c r="N32">
        <v>2020</v>
      </c>
      <c r="O32">
        <v>16.861273869240819</v>
      </c>
      <c r="P32">
        <v>1</v>
      </c>
      <c r="Q32">
        <v>1.784180415430267</v>
      </c>
      <c r="R32">
        <v>1.870404747774481</v>
      </c>
      <c r="S32">
        <v>1.9566290801186941</v>
      </c>
      <c r="T32">
        <v>2.1357103857566768</v>
      </c>
      <c r="U32">
        <v>2.215302077151335</v>
      </c>
      <c r="V32">
        <v>2.301526409495549</v>
      </c>
      <c r="W32">
        <v>2.3943833827893179</v>
      </c>
      <c r="X32">
        <v>253.5759595342237</v>
      </c>
      <c r="Y32">
        <v>231.8815226035257</v>
      </c>
      <c r="Z32">
        <v>197.73945792570601</v>
      </c>
      <c r="AA32">
        <v>178.5345465444324</v>
      </c>
      <c r="AB32">
        <v>169.6433838679169</v>
      </c>
      <c r="AC32">
        <v>160.39657468434069</v>
      </c>
      <c r="AD32">
        <v>151.5054120078251</v>
      </c>
      <c r="AE32">
        <v>3.5351038744526408</v>
      </c>
      <c r="AF32">
        <v>3.5351038744526408</v>
      </c>
      <c r="AG32">
        <v>3.5351038744526408</v>
      </c>
      <c r="AH32">
        <v>3.5351038744526408</v>
      </c>
      <c r="AI32">
        <v>3.5351038744526408</v>
      </c>
      <c r="AJ32">
        <v>3.5351038744526408</v>
      </c>
      <c r="AK32">
        <v>3.5351038744526408</v>
      </c>
    </row>
    <row r="33" spans="1:37" hidden="1" x14ac:dyDescent="0.25">
      <c r="A33" t="s">
        <v>90</v>
      </c>
      <c r="B33" t="s">
        <v>91</v>
      </c>
      <c r="C33" t="s">
        <v>92</v>
      </c>
      <c r="F33" t="s">
        <v>144</v>
      </c>
      <c r="G33" t="s">
        <v>114</v>
      </c>
      <c r="H33" t="s">
        <v>115</v>
      </c>
      <c r="I33" t="s">
        <v>96</v>
      </c>
      <c r="J33" t="s">
        <v>145</v>
      </c>
      <c r="K33" t="s">
        <v>98</v>
      </c>
      <c r="L33">
        <v>1</v>
      </c>
      <c r="M33">
        <v>1</v>
      </c>
      <c r="N33">
        <v>2020</v>
      </c>
      <c r="O33">
        <v>16.861273869240819</v>
      </c>
      <c r="P33">
        <v>1</v>
      </c>
      <c r="Q33">
        <v>1.6050991097922851</v>
      </c>
      <c r="R33">
        <v>1.678058160237389</v>
      </c>
      <c r="S33">
        <v>1.7974456973293771</v>
      </c>
      <c r="T33">
        <v>1.963261721068249</v>
      </c>
      <c r="U33">
        <v>2.0295881305637979</v>
      </c>
      <c r="V33">
        <v>2.109179821958457</v>
      </c>
      <c r="W33">
        <v>2.202036795252226</v>
      </c>
      <c r="X33">
        <v>308.70116812862022</v>
      </c>
      <c r="Y33">
        <v>279.89380105670978</v>
      </c>
      <c r="Z33">
        <v>230.4589365752833</v>
      </c>
      <c r="AA33">
        <v>204.85238806691851</v>
      </c>
      <c r="AB33">
        <v>193.1160533339179</v>
      </c>
      <c r="AC33">
        <v>181.37971860091741</v>
      </c>
      <c r="AD33">
        <v>169.6433838679169</v>
      </c>
      <c r="AE33">
        <v>3.5351038744526408</v>
      </c>
      <c r="AF33">
        <v>3.5351038744526408</v>
      </c>
      <c r="AG33">
        <v>3.5351038744526408</v>
      </c>
      <c r="AH33">
        <v>3.5351038744526408</v>
      </c>
      <c r="AI33">
        <v>3.5351038744526408</v>
      </c>
      <c r="AJ33">
        <v>3.5351038744526408</v>
      </c>
      <c r="AK33">
        <v>3.5351038744526408</v>
      </c>
    </row>
    <row r="34" spans="1:37" hidden="1" x14ac:dyDescent="0.25">
      <c r="A34" t="s">
        <v>90</v>
      </c>
      <c r="B34" t="s">
        <v>91</v>
      </c>
      <c r="C34" t="s">
        <v>146</v>
      </c>
      <c r="F34" t="s">
        <v>93</v>
      </c>
      <c r="G34" t="s">
        <v>94</v>
      </c>
      <c r="H34" t="s">
        <v>95</v>
      </c>
      <c r="I34" t="s">
        <v>147</v>
      </c>
      <c r="J34" t="s">
        <v>148</v>
      </c>
      <c r="K34" t="s">
        <v>98</v>
      </c>
      <c r="L34">
        <v>1</v>
      </c>
      <c r="M34">
        <v>1</v>
      </c>
      <c r="N34">
        <v>2020</v>
      </c>
      <c r="O34">
        <v>18.828422487318921</v>
      </c>
      <c r="P34">
        <v>1</v>
      </c>
      <c r="Q34">
        <v>0.29714231454005929</v>
      </c>
      <c r="R34">
        <v>0.29316272997032627</v>
      </c>
      <c r="S34">
        <v>0.33826468842729968</v>
      </c>
      <c r="T34">
        <v>0.36965918892185962</v>
      </c>
      <c r="U34">
        <v>0.38911493570722061</v>
      </c>
      <c r="V34">
        <v>0.40724415430267058</v>
      </c>
      <c r="W34">
        <v>0.42625772502472792</v>
      </c>
      <c r="X34">
        <v>175.45227681657369</v>
      </c>
      <c r="Y34">
        <v>175.2151791451999</v>
      </c>
      <c r="Z34">
        <v>179.00874188717989</v>
      </c>
      <c r="AA34">
        <v>187.54425805663479</v>
      </c>
      <c r="AB34">
        <v>186.35876969976599</v>
      </c>
      <c r="AC34">
        <v>184.93618367152359</v>
      </c>
      <c r="AD34">
        <v>183.75069531465491</v>
      </c>
      <c r="AE34">
        <v>4.6970175797771363</v>
      </c>
      <c r="AF34">
        <v>4.6970175797771363</v>
      </c>
      <c r="AG34">
        <v>4.6970175797771363</v>
      </c>
      <c r="AH34">
        <v>4.6970175797771363</v>
      </c>
      <c r="AI34">
        <v>4.6970175797771363</v>
      </c>
      <c r="AJ34">
        <v>4.6970175797771363</v>
      </c>
      <c r="AK34">
        <v>4.6970175797771363</v>
      </c>
    </row>
    <row r="35" spans="1:37" hidden="1" x14ac:dyDescent="0.25">
      <c r="A35" t="s">
        <v>90</v>
      </c>
      <c r="B35" t="s">
        <v>91</v>
      </c>
      <c r="C35" t="s">
        <v>146</v>
      </c>
      <c r="F35" t="s">
        <v>93</v>
      </c>
      <c r="G35" t="s">
        <v>99</v>
      </c>
      <c r="H35" t="s">
        <v>100</v>
      </c>
      <c r="I35" t="s">
        <v>147</v>
      </c>
      <c r="J35" t="s">
        <v>148</v>
      </c>
      <c r="K35" t="s">
        <v>98</v>
      </c>
      <c r="L35">
        <v>0</v>
      </c>
      <c r="M35">
        <v>1</v>
      </c>
      <c r="N35">
        <v>2020</v>
      </c>
      <c r="O35">
        <v>18.828422487318921</v>
      </c>
      <c r="P35">
        <v>0.1</v>
      </c>
      <c r="Q35">
        <v>0.29714231454005929</v>
      </c>
      <c r="R35">
        <v>0.29316272997032627</v>
      </c>
      <c r="S35">
        <v>0.33826468842729968</v>
      </c>
      <c r="T35">
        <v>0.36965918892185962</v>
      </c>
      <c r="U35">
        <v>0.38911493570722061</v>
      </c>
      <c r="V35">
        <v>0.40724415430267058</v>
      </c>
      <c r="W35">
        <v>0.42625772502472792</v>
      </c>
      <c r="X35">
        <v>175.45227681657369</v>
      </c>
      <c r="Y35">
        <v>175.2151791451999</v>
      </c>
      <c r="Z35">
        <v>179.00874188717989</v>
      </c>
      <c r="AA35">
        <v>187.54425805663479</v>
      </c>
      <c r="AB35">
        <v>186.35876969976599</v>
      </c>
      <c r="AC35">
        <v>184.93618367152359</v>
      </c>
      <c r="AD35">
        <v>183.75069531465491</v>
      </c>
      <c r="AE35">
        <v>4.6970175797771363</v>
      </c>
      <c r="AF35">
        <v>4.6970175797771363</v>
      </c>
      <c r="AG35">
        <v>4.6970175797771363</v>
      </c>
      <c r="AH35">
        <v>4.6970175797771363</v>
      </c>
      <c r="AI35">
        <v>4.6970175797771363</v>
      </c>
      <c r="AJ35">
        <v>4.6970175797771363</v>
      </c>
      <c r="AK35">
        <v>4.6970175797771363</v>
      </c>
    </row>
    <row r="36" spans="1:37" hidden="1" x14ac:dyDescent="0.25">
      <c r="A36" t="s">
        <v>90</v>
      </c>
      <c r="B36" t="s">
        <v>91</v>
      </c>
      <c r="C36" t="s">
        <v>146</v>
      </c>
      <c r="F36" t="s">
        <v>101</v>
      </c>
      <c r="G36" t="s">
        <v>94</v>
      </c>
      <c r="H36" t="s">
        <v>95</v>
      </c>
      <c r="I36" t="s">
        <v>147</v>
      </c>
      <c r="J36" t="s">
        <v>149</v>
      </c>
      <c r="K36" t="s">
        <v>98</v>
      </c>
      <c r="L36">
        <v>1</v>
      </c>
      <c r="M36">
        <v>1</v>
      </c>
      <c r="N36">
        <v>2020</v>
      </c>
      <c r="O36">
        <v>18.828422487318921</v>
      </c>
      <c r="P36">
        <v>1</v>
      </c>
      <c r="Q36">
        <v>0.3241150544015825</v>
      </c>
      <c r="R36">
        <v>0.32455723046488621</v>
      </c>
      <c r="S36">
        <v>0.36081566765578638</v>
      </c>
      <c r="T36">
        <v>0.39309452027695352</v>
      </c>
      <c r="U36">
        <v>0.41431897131552908</v>
      </c>
      <c r="V36">
        <v>0.43510124629080132</v>
      </c>
      <c r="W36">
        <v>0.45632569732937678</v>
      </c>
      <c r="X36">
        <v>179.00874188717989</v>
      </c>
      <c r="Y36">
        <v>178.06035120168499</v>
      </c>
      <c r="Z36">
        <v>180.90552325816981</v>
      </c>
      <c r="AA36">
        <v>187.78135572800849</v>
      </c>
      <c r="AB36">
        <v>187.30716038526111</v>
      </c>
      <c r="AC36">
        <v>187.07006271388741</v>
      </c>
      <c r="AD36">
        <v>186.59586737113989</v>
      </c>
      <c r="AE36">
        <v>4.6970175797771363</v>
      </c>
      <c r="AF36">
        <v>4.6970175797771363</v>
      </c>
      <c r="AG36">
        <v>4.6970175797771363</v>
      </c>
      <c r="AH36">
        <v>4.6970175797771363</v>
      </c>
      <c r="AI36">
        <v>4.6970175797771363</v>
      </c>
      <c r="AJ36">
        <v>4.6970175797771363</v>
      </c>
      <c r="AK36">
        <v>4.6970175797771363</v>
      </c>
    </row>
    <row r="37" spans="1:37" hidden="1" x14ac:dyDescent="0.25">
      <c r="A37" t="s">
        <v>90</v>
      </c>
      <c r="B37" t="s">
        <v>91</v>
      </c>
      <c r="C37" t="s">
        <v>146</v>
      </c>
      <c r="F37" t="s">
        <v>101</v>
      </c>
      <c r="G37" t="s">
        <v>99</v>
      </c>
      <c r="H37" t="s">
        <v>100</v>
      </c>
      <c r="I37" t="s">
        <v>147</v>
      </c>
      <c r="J37" t="s">
        <v>149</v>
      </c>
      <c r="K37" t="s">
        <v>98</v>
      </c>
      <c r="L37">
        <v>0</v>
      </c>
      <c r="M37">
        <v>1</v>
      </c>
      <c r="N37">
        <v>2020</v>
      </c>
      <c r="O37">
        <v>18.828422487318921</v>
      </c>
      <c r="P37">
        <v>0.1</v>
      </c>
      <c r="Q37">
        <v>0.3241150544015825</v>
      </c>
      <c r="R37">
        <v>0.32455723046488621</v>
      </c>
      <c r="S37">
        <v>0.36081566765578638</v>
      </c>
      <c r="T37">
        <v>0.39309452027695352</v>
      </c>
      <c r="U37">
        <v>0.41431897131552908</v>
      </c>
      <c r="V37">
        <v>0.43510124629080132</v>
      </c>
      <c r="W37">
        <v>0.45632569732937678</v>
      </c>
      <c r="X37">
        <v>179.00874188717989</v>
      </c>
      <c r="Y37">
        <v>178.06035120168499</v>
      </c>
      <c r="Z37">
        <v>180.90552325816981</v>
      </c>
      <c r="AA37">
        <v>187.78135572800849</v>
      </c>
      <c r="AB37">
        <v>187.30716038526111</v>
      </c>
      <c r="AC37">
        <v>187.07006271388741</v>
      </c>
      <c r="AD37">
        <v>186.59586737113989</v>
      </c>
      <c r="AE37">
        <v>4.6970175797771363</v>
      </c>
      <c r="AF37">
        <v>4.6970175797771363</v>
      </c>
      <c r="AG37">
        <v>4.6970175797771363</v>
      </c>
      <c r="AH37">
        <v>4.6970175797771363</v>
      </c>
      <c r="AI37">
        <v>4.6970175797771363</v>
      </c>
      <c r="AJ37">
        <v>4.6970175797771363</v>
      </c>
      <c r="AK37">
        <v>4.6970175797771363</v>
      </c>
    </row>
    <row r="38" spans="1:37" hidden="1" x14ac:dyDescent="0.25">
      <c r="A38" t="s">
        <v>90</v>
      </c>
      <c r="B38" t="s">
        <v>91</v>
      </c>
      <c r="C38" t="s">
        <v>146</v>
      </c>
      <c r="F38" t="s">
        <v>103</v>
      </c>
      <c r="G38" t="s">
        <v>94</v>
      </c>
      <c r="H38" t="s">
        <v>95</v>
      </c>
      <c r="I38" t="s">
        <v>147</v>
      </c>
      <c r="J38" t="s">
        <v>150</v>
      </c>
      <c r="K38" t="s">
        <v>98</v>
      </c>
      <c r="L38">
        <v>1</v>
      </c>
      <c r="M38">
        <v>1</v>
      </c>
      <c r="N38">
        <v>2020</v>
      </c>
      <c r="O38">
        <v>18.828422487318921</v>
      </c>
      <c r="P38">
        <v>1</v>
      </c>
      <c r="Q38">
        <v>0.30465930761622162</v>
      </c>
      <c r="R38">
        <v>0.30112189910979242</v>
      </c>
      <c r="S38">
        <v>0.34843473788328377</v>
      </c>
      <c r="T38">
        <v>0.38071359050445108</v>
      </c>
      <c r="U38">
        <v>0.40016933728981208</v>
      </c>
      <c r="V38">
        <v>0.42006726013847667</v>
      </c>
      <c r="W38">
        <v>0.43952300692383778</v>
      </c>
      <c r="X38">
        <v>176.87486284481611</v>
      </c>
      <c r="Y38">
        <v>176.16356983069491</v>
      </c>
      <c r="Z38">
        <v>180.19423024404861</v>
      </c>
      <c r="AA38">
        <v>188.72974641350359</v>
      </c>
      <c r="AB38">
        <v>187.30716038526111</v>
      </c>
      <c r="AC38">
        <v>185.88457435701869</v>
      </c>
      <c r="AD38">
        <v>184.4619883287761</v>
      </c>
      <c r="AE38">
        <v>4.4829443924950638</v>
      </c>
      <c r="AF38">
        <v>4.4829443924950638</v>
      </c>
      <c r="AG38">
        <v>4.4829443924950638</v>
      </c>
      <c r="AH38">
        <v>4.4829443924950638</v>
      </c>
      <c r="AI38">
        <v>4.4829443924950638</v>
      </c>
      <c r="AJ38">
        <v>4.4829443924950638</v>
      </c>
      <c r="AK38">
        <v>4.4829443924950638</v>
      </c>
    </row>
    <row r="39" spans="1:37" hidden="1" x14ac:dyDescent="0.25">
      <c r="A39" t="s">
        <v>90</v>
      </c>
      <c r="B39" t="s">
        <v>91</v>
      </c>
      <c r="C39" t="s">
        <v>146</v>
      </c>
      <c r="F39" t="s">
        <v>103</v>
      </c>
      <c r="G39" t="s">
        <v>99</v>
      </c>
      <c r="H39" t="s">
        <v>100</v>
      </c>
      <c r="I39" t="s">
        <v>147</v>
      </c>
      <c r="J39" t="s">
        <v>150</v>
      </c>
      <c r="K39" t="s">
        <v>98</v>
      </c>
      <c r="L39">
        <v>0</v>
      </c>
      <c r="M39">
        <v>1</v>
      </c>
      <c r="N39">
        <v>2020</v>
      </c>
      <c r="O39">
        <v>18.828422487318921</v>
      </c>
      <c r="P39">
        <v>0.1</v>
      </c>
      <c r="Q39">
        <v>0.30465930761622162</v>
      </c>
      <c r="R39">
        <v>0.30112189910979242</v>
      </c>
      <c r="S39">
        <v>0.34843473788328377</v>
      </c>
      <c r="T39">
        <v>0.38071359050445108</v>
      </c>
      <c r="U39">
        <v>0.40016933728981208</v>
      </c>
      <c r="V39">
        <v>0.42006726013847667</v>
      </c>
      <c r="W39">
        <v>0.43952300692383778</v>
      </c>
      <c r="X39">
        <v>176.87486284481611</v>
      </c>
      <c r="Y39">
        <v>176.16356983069491</v>
      </c>
      <c r="Z39">
        <v>180.19423024404861</v>
      </c>
      <c r="AA39">
        <v>188.72974641350359</v>
      </c>
      <c r="AB39">
        <v>187.30716038526111</v>
      </c>
      <c r="AC39">
        <v>185.88457435701869</v>
      </c>
      <c r="AD39">
        <v>184.4619883287761</v>
      </c>
      <c r="AE39">
        <v>4.4829443924950638</v>
      </c>
      <c r="AF39">
        <v>4.4829443924950638</v>
      </c>
      <c r="AG39">
        <v>4.4829443924950638</v>
      </c>
      <c r="AH39">
        <v>4.4829443924950638</v>
      </c>
      <c r="AI39">
        <v>4.4829443924950638</v>
      </c>
      <c r="AJ39">
        <v>4.4829443924950638</v>
      </c>
      <c r="AK39">
        <v>4.4829443924950638</v>
      </c>
    </row>
    <row r="40" spans="1:37" hidden="1" x14ac:dyDescent="0.25">
      <c r="A40" t="s">
        <v>90</v>
      </c>
      <c r="B40" t="s">
        <v>91</v>
      </c>
      <c r="C40" t="s">
        <v>146</v>
      </c>
      <c r="F40" t="s">
        <v>105</v>
      </c>
      <c r="G40" t="s">
        <v>94</v>
      </c>
      <c r="H40" t="s">
        <v>95</v>
      </c>
      <c r="I40" t="s">
        <v>147</v>
      </c>
      <c r="J40" t="s">
        <v>151</v>
      </c>
      <c r="K40" t="s">
        <v>98</v>
      </c>
      <c r="L40">
        <v>1</v>
      </c>
      <c r="M40">
        <v>1</v>
      </c>
      <c r="N40">
        <v>2020</v>
      </c>
      <c r="O40">
        <v>18.828422487318921</v>
      </c>
      <c r="P40">
        <v>1</v>
      </c>
      <c r="Q40">
        <v>0.32986334322453009</v>
      </c>
      <c r="R40">
        <v>0.33074769535113741</v>
      </c>
      <c r="S40">
        <v>0.36744830860534128</v>
      </c>
      <c r="T40">
        <v>0.40105368941641939</v>
      </c>
      <c r="U40">
        <v>0.42360466864490609</v>
      </c>
      <c r="V40">
        <v>0.44482911968348149</v>
      </c>
      <c r="W40">
        <v>0.46693792284866492</v>
      </c>
      <c r="X40">
        <v>180.43132791542229</v>
      </c>
      <c r="Y40">
        <v>179.00874188717989</v>
      </c>
      <c r="Z40">
        <v>181.85391394366491</v>
      </c>
      <c r="AA40">
        <v>188.4926487421298</v>
      </c>
      <c r="AB40">
        <v>188.01845339938239</v>
      </c>
      <c r="AC40">
        <v>187.78135572800849</v>
      </c>
      <c r="AD40">
        <v>187.54425805663479</v>
      </c>
      <c r="AE40">
        <v>4.4829443924950638</v>
      </c>
      <c r="AF40">
        <v>4.4829443924950638</v>
      </c>
      <c r="AG40">
        <v>4.4829443924950638</v>
      </c>
      <c r="AH40">
        <v>4.4829443924950638</v>
      </c>
      <c r="AI40">
        <v>4.4829443924950638</v>
      </c>
      <c r="AJ40">
        <v>4.4829443924950638</v>
      </c>
      <c r="AK40">
        <v>4.4829443924950638</v>
      </c>
    </row>
    <row r="41" spans="1:37" hidden="1" x14ac:dyDescent="0.25">
      <c r="A41" t="s">
        <v>90</v>
      </c>
      <c r="B41" t="s">
        <v>91</v>
      </c>
      <c r="C41" t="s">
        <v>146</v>
      </c>
      <c r="F41" t="s">
        <v>105</v>
      </c>
      <c r="G41" t="s">
        <v>99</v>
      </c>
      <c r="H41" t="s">
        <v>100</v>
      </c>
      <c r="I41" t="s">
        <v>147</v>
      </c>
      <c r="J41" t="s">
        <v>151</v>
      </c>
      <c r="K41" t="s">
        <v>98</v>
      </c>
      <c r="L41">
        <v>0</v>
      </c>
      <c r="M41">
        <v>1</v>
      </c>
      <c r="N41">
        <v>2020</v>
      </c>
      <c r="O41">
        <v>18.828422487318921</v>
      </c>
      <c r="P41">
        <v>0.1</v>
      </c>
      <c r="Q41">
        <v>0.32986334322453009</v>
      </c>
      <c r="R41">
        <v>0.33074769535113741</v>
      </c>
      <c r="S41">
        <v>0.36744830860534128</v>
      </c>
      <c r="T41">
        <v>0.40105368941641939</v>
      </c>
      <c r="U41">
        <v>0.42360466864490609</v>
      </c>
      <c r="V41">
        <v>0.44482911968348149</v>
      </c>
      <c r="W41">
        <v>0.46693792284866492</v>
      </c>
      <c r="X41">
        <v>180.43132791542229</v>
      </c>
      <c r="Y41">
        <v>179.00874188717989</v>
      </c>
      <c r="Z41">
        <v>181.85391394366491</v>
      </c>
      <c r="AA41">
        <v>188.4926487421298</v>
      </c>
      <c r="AB41">
        <v>188.01845339938239</v>
      </c>
      <c r="AC41">
        <v>187.78135572800849</v>
      </c>
      <c r="AD41">
        <v>187.54425805663479</v>
      </c>
      <c r="AE41">
        <v>4.4829443924950638</v>
      </c>
      <c r="AF41">
        <v>4.4829443924950638</v>
      </c>
      <c r="AG41">
        <v>4.4829443924950638</v>
      </c>
      <c r="AH41">
        <v>4.4829443924950638</v>
      </c>
      <c r="AI41">
        <v>4.4829443924950638</v>
      </c>
      <c r="AJ41">
        <v>4.4829443924950638</v>
      </c>
      <c r="AK41">
        <v>4.4829443924950638</v>
      </c>
    </row>
    <row r="42" spans="1:37" hidden="1" x14ac:dyDescent="0.25">
      <c r="A42" t="s">
        <v>90</v>
      </c>
      <c r="B42" t="s">
        <v>91</v>
      </c>
      <c r="C42" t="s">
        <v>146</v>
      </c>
      <c r="F42" t="s">
        <v>107</v>
      </c>
      <c r="G42" t="s">
        <v>94</v>
      </c>
      <c r="H42" t="s">
        <v>95</v>
      </c>
      <c r="I42" t="s">
        <v>147</v>
      </c>
      <c r="J42" t="s">
        <v>152</v>
      </c>
      <c r="K42" t="s">
        <v>98</v>
      </c>
      <c r="L42">
        <v>1</v>
      </c>
      <c r="M42">
        <v>1</v>
      </c>
      <c r="N42">
        <v>2020</v>
      </c>
      <c r="O42">
        <v>18.828422487318921</v>
      </c>
      <c r="P42">
        <v>1</v>
      </c>
      <c r="Q42">
        <v>0.31306065281899109</v>
      </c>
      <c r="R42">
        <v>0.30908106824925807</v>
      </c>
      <c r="S42">
        <v>0.35772043521266078</v>
      </c>
      <c r="T42">
        <v>0.39044146389713141</v>
      </c>
      <c r="U42">
        <v>0.41166591493570709</v>
      </c>
      <c r="V42">
        <v>0.43289036597428282</v>
      </c>
      <c r="W42">
        <v>0.45367264094955478</v>
      </c>
      <c r="X42">
        <v>180.19423024404861</v>
      </c>
      <c r="Y42">
        <v>179.00874188717989</v>
      </c>
      <c r="Z42">
        <v>182.5652069577861</v>
      </c>
      <c r="AA42">
        <v>190.86362545586729</v>
      </c>
      <c r="AB42">
        <v>189.20394175625111</v>
      </c>
      <c r="AC42">
        <v>187.78135572800849</v>
      </c>
      <c r="AD42">
        <v>186.1216720283924</v>
      </c>
      <c r="AE42">
        <v>4.4829443924950638</v>
      </c>
      <c r="AF42">
        <v>4.4829443924950638</v>
      </c>
      <c r="AG42">
        <v>4.4829443924950638</v>
      </c>
      <c r="AH42">
        <v>4.4829443924950638</v>
      </c>
      <c r="AI42">
        <v>4.4829443924950638</v>
      </c>
      <c r="AJ42">
        <v>4.4829443924950638</v>
      </c>
      <c r="AK42">
        <v>4.4829443924950638</v>
      </c>
    </row>
    <row r="43" spans="1:37" hidden="1" x14ac:dyDescent="0.25">
      <c r="A43" t="s">
        <v>90</v>
      </c>
      <c r="B43" t="s">
        <v>91</v>
      </c>
      <c r="C43" t="s">
        <v>146</v>
      </c>
      <c r="F43" t="s">
        <v>107</v>
      </c>
      <c r="G43" t="s">
        <v>99</v>
      </c>
      <c r="H43" t="s">
        <v>100</v>
      </c>
      <c r="I43" t="s">
        <v>147</v>
      </c>
      <c r="J43" t="s">
        <v>152</v>
      </c>
      <c r="K43" t="s">
        <v>98</v>
      </c>
      <c r="L43">
        <v>0</v>
      </c>
      <c r="M43">
        <v>1</v>
      </c>
      <c r="N43">
        <v>2020</v>
      </c>
      <c r="O43">
        <v>18.828422487318921</v>
      </c>
      <c r="P43">
        <v>0.1</v>
      </c>
      <c r="Q43">
        <v>0.31306065281899109</v>
      </c>
      <c r="R43">
        <v>0.30908106824925807</v>
      </c>
      <c r="S43">
        <v>0.35772043521266078</v>
      </c>
      <c r="T43">
        <v>0.39044146389713141</v>
      </c>
      <c r="U43">
        <v>0.41166591493570709</v>
      </c>
      <c r="V43">
        <v>0.43289036597428282</v>
      </c>
      <c r="W43">
        <v>0.45367264094955478</v>
      </c>
      <c r="X43">
        <v>180.19423024404861</v>
      </c>
      <c r="Y43">
        <v>179.00874188717989</v>
      </c>
      <c r="Z43">
        <v>182.5652069577861</v>
      </c>
      <c r="AA43">
        <v>190.86362545586729</v>
      </c>
      <c r="AB43">
        <v>189.20394175625111</v>
      </c>
      <c r="AC43">
        <v>187.78135572800849</v>
      </c>
      <c r="AD43">
        <v>186.1216720283924</v>
      </c>
      <c r="AE43">
        <v>4.4829443924950638</v>
      </c>
      <c r="AF43">
        <v>4.4829443924950638</v>
      </c>
      <c r="AG43">
        <v>4.4829443924950638</v>
      </c>
      <c r="AH43">
        <v>4.4829443924950638</v>
      </c>
      <c r="AI43">
        <v>4.4829443924950638</v>
      </c>
      <c r="AJ43">
        <v>4.4829443924950638</v>
      </c>
      <c r="AK43">
        <v>4.4829443924950638</v>
      </c>
    </row>
    <row r="44" spans="1:37" hidden="1" x14ac:dyDescent="0.25">
      <c r="A44" t="s">
        <v>90</v>
      </c>
      <c r="B44" t="s">
        <v>91</v>
      </c>
      <c r="C44" t="s">
        <v>146</v>
      </c>
      <c r="F44" t="s">
        <v>109</v>
      </c>
      <c r="G44" t="s">
        <v>94</v>
      </c>
      <c r="H44" t="s">
        <v>95</v>
      </c>
      <c r="I44" t="s">
        <v>147</v>
      </c>
      <c r="J44" t="s">
        <v>152</v>
      </c>
      <c r="K44" t="s">
        <v>98</v>
      </c>
      <c r="L44">
        <v>0</v>
      </c>
      <c r="M44">
        <v>1</v>
      </c>
      <c r="N44">
        <v>2020</v>
      </c>
      <c r="O44">
        <v>18.828422487318921</v>
      </c>
      <c r="P44">
        <v>1</v>
      </c>
      <c r="Q44">
        <v>0.34312862512364001</v>
      </c>
      <c r="R44">
        <v>0.3431286251236399</v>
      </c>
      <c r="S44">
        <v>0.38204011869436189</v>
      </c>
      <c r="T44">
        <v>0.41652985163204748</v>
      </c>
      <c r="U44">
        <v>0.44040735905044498</v>
      </c>
      <c r="V44">
        <v>0.46428486646884248</v>
      </c>
      <c r="W44">
        <v>0.48816237388724021</v>
      </c>
      <c r="X44">
        <v>183.75069531465491</v>
      </c>
      <c r="Y44">
        <v>182.0910116150385</v>
      </c>
      <c r="Z44">
        <v>184.69908600014989</v>
      </c>
      <c r="AA44">
        <v>190.62652778449359</v>
      </c>
      <c r="AB44">
        <v>190.1523324417461</v>
      </c>
      <c r="AC44">
        <v>189.44103942762479</v>
      </c>
      <c r="AD44">
        <v>188.96684408487729</v>
      </c>
      <c r="AE44">
        <v>4.4829443924950638</v>
      </c>
      <c r="AF44">
        <v>4.4829443924950638</v>
      </c>
      <c r="AG44">
        <v>4.4829443924950638</v>
      </c>
      <c r="AH44">
        <v>4.4829443924950638</v>
      </c>
      <c r="AI44">
        <v>4.4829443924950638</v>
      </c>
      <c r="AJ44">
        <v>4.4829443924950638</v>
      </c>
      <c r="AK44">
        <v>4.4829443924950638</v>
      </c>
    </row>
    <row r="45" spans="1:37" hidden="1" x14ac:dyDescent="0.25">
      <c r="A45" t="s">
        <v>90</v>
      </c>
      <c r="B45" t="s">
        <v>91</v>
      </c>
      <c r="C45" t="s">
        <v>146</v>
      </c>
      <c r="F45" t="s">
        <v>109</v>
      </c>
      <c r="G45" t="s">
        <v>99</v>
      </c>
      <c r="H45" t="s">
        <v>100</v>
      </c>
      <c r="I45" t="s">
        <v>147</v>
      </c>
      <c r="J45" t="s">
        <v>152</v>
      </c>
      <c r="K45" t="s">
        <v>98</v>
      </c>
      <c r="L45">
        <v>0</v>
      </c>
      <c r="M45">
        <v>1</v>
      </c>
      <c r="N45">
        <v>2020</v>
      </c>
      <c r="O45">
        <v>18.828422487318921</v>
      </c>
      <c r="P45">
        <v>0.1</v>
      </c>
      <c r="Q45">
        <v>0.34312862512364001</v>
      </c>
      <c r="R45">
        <v>0.3431286251236399</v>
      </c>
      <c r="S45">
        <v>0.38204011869436189</v>
      </c>
      <c r="T45">
        <v>0.41652985163204748</v>
      </c>
      <c r="U45">
        <v>0.44040735905044498</v>
      </c>
      <c r="V45">
        <v>0.46428486646884248</v>
      </c>
      <c r="W45">
        <v>0.48816237388724021</v>
      </c>
      <c r="X45">
        <v>183.75069531465491</v>
      </c>
      <c r="Y45">
        <v>182.0910116150385</v>
      </c>
      <c r="Z45">
        <v>184.69908600014989</v>
      </c>
      <c r="AA45">
        <v>190.62652778449359</v>
      </c>
      <c r="AB45">
        <v>190.1523324417461</v>
      </c>
      <c r="AC45">
        <v>189.44103942762479</v>
      </c>
      <c r="AD45">
        <v>188.96684408487729</v>
      </c>
      <c r="AE45">
        <v>4.4829443924950638</v>
      </c>
      <c r="AF45">
        <v>4.4829443924950638</v>
      </c>
      <c r="AG45">
        <v>4.4829443924950638</v>
      </c>
      <c r="AH45">
        <v>4.4829443924950638</v>
      </c>
      <c r="AI45">
        <v>4.4829443924950638</v>
      </c>
      <c r="AJ45">
        <v>4.4829443924950638</v>
      </c>
      <c r="AK45">
        <v>4.4829443924950638</v>
      </c>
    </row>
    <row r="46" spans="1:37" hidden="1" x14ac:dyDescent="0.25">
      <c r="A46" t="s">
        <v>90</v>
      </c>
      <c r="B46" t="s">
        <v>91</v>
      </c>
      <c r="C46" t="s">
        <v>146</v>
      </c>
      <c r="F46" t="s">
        <v>110</v>
      </c>
      <c r="G46" t="s">
        <v>94</v>
      </c>
      <c r="H46" t="s">
        <v>95</v>
      </c>
      <c r="I46" t="s">
        <v>147</v>
      </c>
      <c r="J46" t="s">
        <v>153</v>
      </c>
      <c r="K46" t="s">
        <v>98</v>
      </c>
      <c r="L46">
        <v>1</v>
      </c>
      <c r="M46">
        <v>1</v>
      </c>
      <c r="N46">
        <v>2020</v>
      </c>
      <c r="O46">
        <v>18.828422487318921</v>
      </c>
      <c r="P46">
        <v>1</v>
      </c>
      <c r="Q46">
        <v>0.48108755687438159</v>
      </c>
      <c r="R46">
        <v>0.49656371909000979</v>
      </c>
      <c r="S46">
        <v>0.50894464886251245</v>
      </c>
      <c r="T46">
        <v>0.54078132542037594</v>
      </c>
      <c r="U46">
        <v>0.56598536102868435</v>
      </c>
      <c r="V46">
        <v>0.59074722057368922</v>
      </c>
      <c r="W46">
        <v>0.61550908011869443</v>
      </c>
      <c r="X46">
        <v>204.61529039554469</v>
      </c>
      <c r="Y46">
        <v>196.5539695688372</v>
      </c>
      <c r="Z46">
        <v>190.3894301131198</v>
      </c>
      <c r="AA46">
        <v>186.83296504251359</v>
      </c>
      <c r="AB46">
        <v>184.2248906574022</v>
      </c>
      <c r="AC46">
        <v>181.85391394366479</v>
      </c>
      <c r="AD46">
        <v>179.48293722992739</v>
      </c>
      <c r="AE46">
        <v>4.4829443924950638</v>
      </c>
      <c r="AF46">
        <v>4.4829443924950638</v>
      </c>
      <c r="AG46">
        <v>4.4829443924950638</v>
      </c>
      <c r="AH46">
        <v>4.4829443924950638</v>
      </c>
      <c r="AI46">
        <v>4.4829443924950638</v>
      </c>
      <c r="AJ46">
        <v>4.4829443924950638</v>
      </c>
      <c r="AK46">
        <v>4.4829443924950638</v>
      </c>
    </row>
    <row r="47" spans="1:37" hidden="1" x14ac:dyDescent="0.25">
      <c r="A47" t="s">
        <v>90</v>
      </c>
      <c r="B47" t="s">
        <v>91</v>
      </c>
      <c r="C47" t="s">
        <v>146</v>
      </c>
      <c r="F47" t="s">
        <v>110</v>
      </c>
      <c r="G47" t="s">
        <v>99</v>
      </c>
      <c r="H47" t="s">
        <v>100</v>
      </c>
      <c r="I47" t="s">
        <v>147</v>
      </c>
      <c r="J47" t="s">
        <v>153</v>
      </c>
      <c r="K47" t="s">
        <v>98</v>
      </c>
      <c r="L47">
        <v>0</v>
      </c>
      <c r="M47">
        <v>1</v>
      </c>
      <c r="N47">
        <v>2020</v>
      </c>
      <c r="O47">
        <v>18.828422487318921</v>
      </c>
      <c r="P47">
        <v>0.1</v>
      </c>
      <c r="Q47">
        <v>0.48108755687438159</v>
      </c>
      <c r="R47">
        <v>0.49656371909000979</v>
      </c>
      <c r="S47">
        <v>0.50894464886251245</v>
      </c>
      <c r="T47">
        <v>0.54078132542037594</v>
      </c>
      <c r="U47">
        <v>0.56598536102868435</v>
      </c>
      <c r="V47">
        <v>0.59074722057368922</v>
      </c>
      <c r="W47">
        <v>0.61550908011869443</v>
      </c>
      <c r="X47">
        <v>204.61529039554469</v>
      </c>
      <c r="Y47">
        <v>196.5539695688372</v>
      </c>
      <c r="Z47">
        <v>190.3894301131198</v>
      </c>
      <c r="AA47">
        <v>186.83296504251359</v>
      </c>
      <c r="AB47">
        <v>184.2248906574022</v>
      </c>
      <c r="AC47">
        <v>181.85391394366479</v>
      </c>
      <c r="AD47">
        <v>179.48293722992739</v>
      </c>
      <c r="AE47">
        <v>4.4829443924950638</v>
      </c>
      <c r="AF47">
        <v>4.4829443924950638</v>
      </c>
      <c r="AG47">
        <v>4.4829443924950638</v>
      </c>
      <c r="AH47">
        <v>4.4829443924950638</v>
      </c>
      <c r="AI47">
        <v>4.4829443924950638</v>
      </c>
      <c r="AJ47">
        <v>4.4829443924950638</v>
      </c>
      <c r="AK47">
        <v>4.4829443924950638</v>
      </c>
    </row>
    <row r="48" spans="1:37" hidden="1" x14ac:dyDescent="0.25">
      <c r="A48" t="s">
        <v>90</v>
      </c>
      <c r="B48" t="s">
        <v>91</v>
      </c>
      <c r="C48" t="s">
        <v>146</v>
      </c>
      <c r="F48" t="s">
        <v>112</v>
      </c>
      <c r="G48" t="s">
        <v>94</v>
      </c>
      <c r="H48" t="s">
        <v>95</v>
      </c>
      <c r="I48" t="s">
        <v>147</v>
      </c>
      <c r="J48" t="s">
        <v>154</v>
      </c>
      <c r="K48" t="s">
        <v>98</v>
      </c>
      <c r="L48">
        <v>1</v>
      </c>
      <c r="M48">
        <v>1</v>
      </c>
      <c r="N48">
        <v>2020</v>
      </c>
      <c r="O48">
        <v>18.828422487318921</v>
      </c>
      <c r="P48">
        <v>0.79385474860335326</v>
      </c>
      <c r="Q48">
        <v>0.6442505242334311</v>
      </c>
      <c r="R48">
        <v>0.67254979228486733</v>
      </c>
      <c r="S48">
        <v>0.68802595450049164</v>
      </c>
      <c r="T48">
        <v>0.74108708209693452</v>
      </c>
      <c r="U48">
        <v>0.77203940652819092</v>
      </c>
      <c r="V48">
        <v>0.80254955489614233</v>
      </c>
      <c r="W48">
        <v>0.83394405539070349</v>
      </c>
      <c r="X48">
        <v>219.07824834934419</v>
      </c>
      <c r="Y48">
        <v>205.08948573829241</v>
      </c>
      <c r="Z48">
        <v>196.3168718974633</v>
      </c>
      <c r="AA48">
        <v>192.04911381273621</v>
      </c>
      <c r="AB48">
        <v>189.4410394276249</v>
      </c>
      <c r="AC48">
        <v>187.07006271388761</v>
      </c>
      <c r="AD48">
        <v>184.69908600014949</v>
      </c>
      <c r="AE48">
        <v>4.2185010434995602</v>
      </c>
      <c r="AF48">
        <v>4.2185010434995602</v>
      </c>
      <c r="AG48">
        <v>4.2185010434995602</v>
      </c>
      <c r="AH48">
        <v>4.2185010434995602</v>
      </c>
      <c r="AI48">
        <v>4.2185010434995602</v>
      </c>
      <c r="AJ48">
        <v>4.2185010434995602</v>
      </c>
      <c r="AK48">
        <v>4.2185010434995602</v>
      </c>
    </row>
    <row r="49" spans="1:37" hidden="1" x14ac:dyDescent="0.25">
      <c r="A49" t="s">
        <v>90</v>
      </c>
      <c r="B49" t="s">
        <v>91</v>
      </c>
      <c r="C49" t="s">
        <v>146</v>
      </c>
      <c r="F49" t="s">
        <v>112</v>
      </c>
      <c r="G49" t="s">
        <v>99</v>
      </c>
      <c r="H49" t="s">
        <v>100</v>
      </c>
      <c r="I49" t="s">
        <v>147</v>
      </c>
      <c r="J49" t="s">
        <v>154</v>
      </c>
      <c r="K49" t="s">
        <v>98</v>
      </c>
      <c r="L49">
        <v>0</v>
      </c>
      <c r="M49">
        <v>1</v>
      </c>
      <c r="N49">
        <v>2020</v>
      </c>
      <c r="O49">
        <v>18.828422487318921</v>
      </c>
      <c r="P49">
        <v>0.1</v>
      </c>
      <c r="Q49">
        <v>0.6442505242334311</v>
      </c>
      <c r="R49">
        <v>0.67254979228486733</v>
      </c>
      <c r="S49">
        <v>0.68802595450049164</v>
      </c>
      <c r="T49">
        <v>0.74108708209693452</v>
      </c>
      <c r="U49">
        <v>0.77203940652819092</v>
      </c>
      <c r="V49">
        <v>0.80254955489614233</v>
      </c>
      <c r="W49">
        <v>0.83394405539070349</v>
      </c>
      <c r="X49">
        <v>219.07824834934419</v>
      </c>
      <c r="Y49">
        <v>205.08948573829241</v>
      </c>
      <c r="Z49">
        <v>196.3168718974633</v>
      </c>
      <c r="AA49">
        <v>192.04911381273621</v>
      </c>
      <c r="AB49">
        <v>189.4410394276249</v>
      </c>
      <c r="AC49">
        <v>187.07006271388761</v>
      </c>
      <c r="AD49">
        <v>184.69908600014949</v>
      </c>
      <c r="AE49">
        <v>4.2185010434995602</v>
      </c>
      <c r="AF49">
        <v>4.2185010434995602</v>
      </c>
      <c r="AG49">
        <v>4.2185010434995602</v>
      </c>
      <c r="AH49">
        <v>4.2185010434995602</v>
      </c>
      <c r="AI49">
        <v>4.2185010434995602</v>
      </c>
      <c r="AJ49">
        <v>4.2185010434995602</v>
      </c>
      <c r="AK49">
        <v>4.2185010434995602</v>
      </c>
    </row>
    <row r="50" spans="1:37" hidden="1" x14ac:dyDescent="0.25">
      <c r="A50" t="s">
        <v>90</v>
      </c>
      <c r="B50" t="s">
        <v>91</v>
      </c>
      <c r="C50" t="s">
        <v>146</v>
      </c>
      <c r="F50" t="s">
        <v>112</v>
      </c>
      <c r="G50" t="s">
        <v>114</v>
      </c>
      <c r="H50" t="s">
        <v>115</v>
      </c>
      <c r="I50" t="s">
        <v>147</v>
      </c>
      <c r="J50" t="s">
        <v>154</v>
      </c>
      <c r="K50" t="s">
        <v>98</v>
      </c>
      <c r="L50">
        <v>0</v>
      </c>
      <c r="M50">
        <v>1</v>
      </c>
      <c r="N50">
        <v>2020</v>
      </c>
      <c r="O50">
        <v>18.828422487318921</v>
      </c>
      <c r="P50">
        <v>0.2061452513966468</v>
      </c>
      <c r="Q50">
        <v>0.6442505242334311</v>
      </c>
      <c r="R50">
        <v>0.67254979228486733</v>
      </c>
      <c r="S50">
        <v>0.68802595450049164</v>
      </c>
      <c r="T50">
        <v>0.74108708209693452</v>
      </c>
      <c r="U50">
        <v>0.77203940652819092</v>
      </c>
      <c r="V50">
        <v>0.80254955489614233</v>
      </c>
      <c r="W50">
        <v>0.83394405539070349</v>
      </c>
      <c r="X50">
        <v>219.07824834934419</v>
      </c>
      <c r="Y50">
        <v>205.08948573829241</v>
      </c>
      <c r="Z50">
        <v>196.3168718974633</v>
      </c>
      <c r="AA50">
        <v>192.04911381273621</v>
      </c>
      <c r="AB50">
        <v>189.4410394276249</v>
      </c>
      <c r="AC50">
        <v>187.07006271388761</v>
      </c>
      <c r="AD50">
        <v>184.69908600014949</v>
      </c>
      <c r="AE50">
        <v>4.2185010434995602</v>
      </c>
      <c r="AF50">
        <v>4.2185010434995602</v>
      </c>
      <c r="AG50">
        <v>4.2185010434995602</v>
      </c>
      <c r="AH50">
        <v>4.2185010434995602</v>
      </c>
      <c r="AI50">
        <v>4.2185010434995602</v>
      </c>
      <c r="AJ50">
        <v>4.2185010434995602</v>
      </c>
      <c r="AK50">
        <v>4.2185010434995602</v>
      </c>
    </row>
    <row r="51" spans="1:37" hidden="1" x14ac:dyDescent="0.25">
      <c r="A51" t="s">
        <v>90</v>
      </c>
      <c r="B51" t="s">
        <v>91</v>
      </c>
      <c r="C51" t="s">
        <v>146</v>
      </c>
      <c r="F51" t="s">
        <v>116</v>
      </c>
      <c r="G51" t="s">
        <v>94</v>
      </c>
      <c r="H51" t="s">
        <v>95</v>
      </c>
      <c r="I51" t="s">
        <v>147</v>
      </c>
      <c r="J51" t="s">
        <v>155</v>
      </c>
      <c r="K51" t="s">
        <v>98</v>
      </c>
      <c r="L51">
        <v>1</v>
      </c>
      <c r="M51">
        <v>1</v>
      </c>
      <c r="N51">
        <v>2020</v>
      </c>
      <c r="O51">
        <v>18.828422487318921</v>
      </c>
      <c r="P51">
        <v>0.59329608938547262</v>
      </c>
      <c r="Q51">
        <v>0.80299173095944776</v>
      </c>
      <c r="R51">
        <v>0.8463249851632042</v>
      </c>
      <c r="S51">
        <v>0.86268549950544016</v>
      </c>
      <c r="T51">
        <v>0.93564454995054436</v>
      </c>
      <c r="U51">
        <v>0.97367169139465837</v>
      </c>
      <c r="V51">
        <v>1.0116988328387719</v>
      </c>
      <c r="W51">
        <v>1.0514946785361039</v>
      </c>
      <c r="X51">
        <v>242.07672247259629</v>
      </c>
      <c r="Y51">
        <v>221.92342040582801</v>
      </c>
      <c r="Z51">
        <v>205.80077875241361</v>
      </c>
      <c r="AA51">
        <v>197.5023602543325</v>
      </c>
      <c r="AB51">
        <v>193.70879751235239</v>
      </c>
      <c r="AC51">
        <v>190.15233244174621</v>
      </c>
      <c r="AD51">
        <v>186.5958673711398</v>
      </c>
      <c r="AE51">
        <v>4.2185010434995602</v>
      </c>
      <c r="AF51">
        <v>4.2185010434995602</v>
      </c>
      <c r="AG51">
        <v>4.2185010434995602</v>
      </c>
      <c r="AH51">
        <v>4.2185010434995602</v>
      </c>
      <c r="AI51">
        <v>4.2185010434995602</v>
      </c>
      <c r="AJ51">
        <v>4.2185010434995602</v>
      </c>
      <c r="AK51">
        <v>4.2185010434995602</v>
      </c>
    </row>
    <row r="52" spans="1:37" hidden="1" x14ac:dyDescent="0.25">
      <c r="A52" t="s">
        <v>90</v>
      </c>
      <c r="B52" t="s">
        <v>91</v>
      </c>
      <c r="C52" t="s">
        <v>146</v>
      </c>
      <c r="F52" t="s">
        <v>116</v>
      </c>
      <c r="G52" t="s">
        <v>99</v>
      </c>
      <c r="H52" t="s">
        <v>100</v>
      </c>
      <c r="I52" t="s">
        <v>147</v>
      </c>
      <c r="J52" t="s">
        <v>155</v>
      </c>
      <c r="K52" t="s">
        <v>98</v>
      </c>
      <c r="L52">
        <v>0</v>
      </c>
      <c r="M52">
        <v>1</v>
      </c>
      <c r="N52">
        <v>2020</v>
      </c>
      <c r="O52">
        <v>18.828422487318921</v>
      </c>
      <c r="P52">
        <v>0.1</v>
      </c>
      <c r="Q52">
        <v>0.80299173095944776</v>
      </c>
      <c r="R52">
        <v>0.8463249851632042</v>
      </c>
      <c r="S52">
        <v>0.86268549950544016</v>
      </c>
      <c r="T52">
        <v>0.93564454995054436</v>
      </c>
      <c r="U52">
        <v>0.97367169139465837</v>
      </c>
      <c r="V52">
        <v>1.0116988328387719</v>
      </c>
      <c r="W52">
        <v>1.0514946785361039</v>
      </c>
      <c r="X52">
        <v>242.07672247259629</v>
      </c>
      <c r="Y52">
        <v>221.92342040582801</v>
      </c>
      <c r="Z52">
        <v>205.80077875241361</v>
      </c>
      <c r="AA52">
        <v>197.5023602543325</v>
      </c>
      <c r="AB52">
        <v>193.70879751235239</v>
      </c>
      <c r="AC52">
        <v>190.15233244174621</v>
      </c>
      <c r="AD52">
        <v>186.5958673711398</v>
      </c>
      <c r="AE52">
        <v>4.2185010434995602</v>
      </c>
      <c r="AF52">
        <v>4.2185010434995602</v>
      </c>
      <c r="AG52">
        <v>4.2185010434995602</v>
      </c>
      <c r="AH52">
        <v>4.2185010434995602</v>
      </c>
      <c r="AI52">
        <v>4.2185010434995602</v>
      </c>
      <c r="AJ52">
        <v>4.2185010434995602</v>
      </c>
      <c r="AK52">
        <v>4.2185010434995602</v>
      </c>
    </row>
    <row r="53" spans="1:37" hidden="1" x14ac:dyDescent="0.25">
      <c r="A53" t="s">
        <v>90</v>
      </c>
      <c r="B53" t="s">
        <v>91</v>
      </c>
      <c r="C53" t="s">
        <v>146</v>
      </c>
      <c r="F53" t="s">
        <v>116</v>
      </c>
      <c r="G53" t="s">
        <v>114</v>
      </c>
      <c r="H53" t="s">
        <v>115</v>
      </c>
      <c r="I53" t="s">
        <v>147</v>
      </c>
      <c r="J53" t="s">
        <v>155</v>
      </c>
      <c r="K53" t="s">
        <v>98</v>
      </c>
      <c r="L53">
        <v>0</v>
      </c>
      <c r="M53">
        <v>1</v>
      </c>
      <c r="N53">
        <v>2020</v>
      </c>
      <c r="O53">
        <v>18.828422487318921</v>
      </c>
      <c r="P53">
        <v>0.40670391061452732</v>
      </c>
      <c r="Q53">
        <v>0.80299173095944776</v>
      </c>
      <c r="R53">
        <v>0.8463249851632042</v>
      </c>
      <c r="S53">
        <v>0.86268549950544016</v>
      </c>
      <c r="T53">
        <v>0.93564454995054436</v>
      </c>
      <c r="U53">
        <v>0.97367169139465837</v>
      </c>
      <c r="V53">
        <v>1.0116988328387719</v>
      </c>
      <c r="W53">
        <v>1.0514946785361039</v>
      </c>
      <c r="X53">
        <v>242.07672247259629</v>
      </c>
      <c r="Y53">
        <v>221.92342040582801</v>
      </c>
      <c r="Z53">
        <v>205.80077875241361</v>
      </c>
      <c r="AA53">
        <v>197.5023602543325</v>
      </c>
      <c r="AB53">
        <v>193.70879751235239</v>
      </c>
      <c r="AC53">
        <v>190.15233244174621</v>
      </c>
      <c r="AD53">
        <v>186.5958673711398</v>
      </c>
      <c r="AE53">
        <v>4.2185010434995602</v>
      </c>
      <c r="AF53">
        <v>4.2185010434995602</v>
      </c>
      <c r="AG53">
        <v>4.2185010434995602</v>
      </c>
      <c r="AH53">
        <v>4.2185010434995602</v>
      </c>
      <c r="AI53">
        <v>4.2185010434995602</v>
      </c>
      <c r="AJ53">
        <v>4.2185010434995602</v>
      </c>
      <c r="AK53">
        <v>4.2185010434995602</v>
      </c>
    </row>
    <row r="54" spans="1:37" hidden="1" x14ac:dyDescent="0.25">
      <c r="A54" t="s">
        <v>90</v>
      </c>
      <c r="B54" t="s">
        <v>91</v>
      </c>
      <c r="C54" t="s">
        <v>146</v>
      </c>
      <c r="F54" t="s">
        <v>118</v>
      </c>
      <c r="G54" t="s">
        <v>119</v>
      </c>
      <c r="H54" t="s">
        <v>120</v>
      </c>
      <c r="I54" t="s">
        <v>147</v>
      </c>
      <c r="J54" t="s">
        <v>156</v>
      </c>
      <c r="K54" t="s">
        <v>98</v>
      </c>
      <c r="L54">
        <v>1</v>
      </c>
      <c r="M54">
        <v>1</v>
      </c>
      <c r="N54">
        <v>2020</v>
      </c>
      <c r="O54">
        <v>18.828422487318921</v>
      </c>
      <c r="P54">
        <v>1</v>
      </c>
      <c r="Q54">
        <v>0.36391090009891192</v>
      </c>
      <c r="R54">
        <v>0.35683608308605341</v>
      </c>
      <c r="S54">
        <v>0.40680197823936692</v>
      </c>
      <c r="T54">
        <v>0.44438694362017811</v>
      </c>
      <c r="U54">
        <v>0.4669379228486647</v>
      </c>
      <c r="V54">
        <v>0.49081543026706231</v>
      </c>
      <c r="W54">
        <v>0.51336640949554879</v>
      </c>
      <c r="X54">
        <v>204.37819272417099</v>
      </c>
      <c r="Y54">
        <v>201.77011833905971</v>
      </c>
      <c r="Z54">
        <v>200.82172765356469</v>
      </c>
      <c r="AA54">
        <v>200.58462998219099</v>
      </c>
      <c r="AB54">
        <v>200.1104346394435</v>
      </c>
      <c r="AC54">
        <v>199.87333696806979</v>
      </c>
      <c r="AD54">
        <v>199.39914162532219</v>
      </c>
      <c r="AE54">
        <v>4.6970175797771354</v>
      </c>
      <c r="AF54">
        <v>4.6970175797771354</v>
      </c>
      <c r="AG54">
        <v>4.6970175797771354</v>
      </c>
      <c r="AH54">
        <v>4.6970175797771354</v>
      </c>
      <c r="AI54">
        <v>4.6970175797771354</v>
      </c>
      <c r="AJ54">
        <v>4.6970175797771354</v>
      </c>
      <c r="AK54">
        <v>4.6970175797771354</v>
      </c>
    </row>
    <row r="55" spans="1:37" hidden="1" x14ac:dyDescent="0.25">
      <c r="A55" t="s">
        <v>90</v>
      </c>
      <c r="B55" t="s">
        <v>91</v>
      </c>
      <c r="C55" t="s">
        <v>146</v>
      </c>
      <c r="F55" t="s">
        <v>118</v>
      </c>
      <c r="G55" t="s">
        <v>122</v>
      </c>
      <c r="H55" t="s">
        <v>123</v>
      </c>
      <c r="I55" t="s">
        <v>147</v>
      </c>
      <c r="J55" t="s">
        <v>156</v>
      </c>
      <c r="K55" t="s">
        <v>98</v>
      </c>
      <c r="L55">
        <v>0</v>
      </c>
      <c r="M55">
        <v>1</v>
      </c>
      <c r="N55">
        <v>2020</v>
      </c>
      <c r="O55">
        <v>18.828422487318921</v>
      </c>
      <c r="P55">
        <v>1</v>
      </c>
      <c r="Q55">
        <v>0.36391090009891192</v>
      </c>
      <c r="R55">
        <v>0.35683608308605341</v>
      </c>
      <c r="S55">
        <v>0.40680197823936692</v>
      </c>
      <c r="T55">
        <v>0.44438694362017811</v>
      </c>
      <c r="U55">
        <v>0.4669379228486647</v>
      </c>
      <c r="V55">
        <v>0.49081543026706231</v>
      </c>
      <c r="W55">
        <v>0.51336640949554879</v>
      </c>
      <c r="X55">
        <v>204.37819272417099</v>
      </c>
      <c r="Y55">
        <v>201.77011833905971</v>
      </c>
      <c r="Z55">
        <v>200.82172765356469</v>
      </c>
      <c r="AA55">
        <v>200.58462998219099</v>
      </c>
      <c r="AB55">
        <v>200.1104346394435</v>
      </c>
      <c r="AC55">
        <v>199.87333696806979</v>
      </c>
      <c r="AD55">
        <v>199.39914162532219</v>
      </c>
      <c r="AE55">
        <v>4.6970175797771354</v>
      </c>
      <c r="AF55">
        <v>4.6970175797771354</v>
      </c>
      <c r="AG55">
        <v>4.6970175797771354</v>
      </c>
      <c r="AH55">
        <v>4.6970175797771354</v>
      </c>
      <c r="AI55">
        <v>4.6970175797771354</v>
      </c>
      <c r="AJ55">
        <v>4.6970175797771354</v>
      </c>
      <c r="AK55">
        <v>4.6970175797771354</v>
      </c>
    </row>
    <row r="56" spans="1:37" hidden="1" x14ac:dyDescent="0.25">
      <c r="A56" t="s">
        <v>90</v>
      </c>
      <c r="B56" t="s">
        <v>91</v>
      </c>
      <c r="C56" t="s">
        <v>146</v>
      </c>
      <c r="F56" t="s">
        <v>118</v>
      </c>
      <c r="G56" t="s">
        <v>124</v>
      </c>
      <c r="H56" t="s">
        <v>125</v>
      </c>
      <c r="I56" t="s">
        <v>147</v>
      </c>
      <c r="J56" t="s">
        <v>156</v>
      </c>
      <c r="K56" t="s">
        <v>98</v>
      </c>
      <c r="L56">
        <v>0</v>
      </c>
      <c r="M56">
        <v>1</v>
      </c>
      <c r="N56">
        <v>2020</v>
      </c>
      <c r="O56">
        <v>18.828422487318921</v>
      </c>
      <c r="P56">
        <v>0.1</v>
      </c>
      <c r="Q56">
        <v>0.36391090009891192</v>
      </c>
      <c r="R56">
        <v>0.35683608308605341</v>
      </c>
      <c r="S56">
        <v>0.40680197823936692</v>
      </c>
      <c r="T56">
        <v>0.44438694362017811</v>
      </c>
      <c r="U56">
        <v>0.4669379228486647</v>
      </c>
      <c r="V56">
        <v>0.49081543026706231</v>
      </c>
      <c r="W56">
        <v>0.51336640949554879</v>
      </c>
      <c r="X56">
        <v>204.37819272417099</v>
      </c>
      <c r="Y56">
        <v>201.77011833905971</v>
      </c>
      <c r="Z56">
        <v>200.82172765356469</v>
      </c>
      <c r="AA56">
        <v>200.58462998219099</v>
      </c>
      <c r="AB56">
        <v>200.1104346394435</v>
      </c>
      <c r="AC56">
        <v>199.87333696806979</v>
      </c>
      <c r="AD56">
        <v>199.39914162532219</v>
      </c>
      <c r="AE56">
        <v>4.6970175797771354</v>
      </c>
      <c r="AF56">
        <v>4.6970175797771354</v>
      </c>
      <c r="AG56">
        <v>4.6970175797771354</v>
      </c>
      <c r="AH56">
        <v>4.6970175797771354</v>
      </c>
      <c r="AI56">
        <v>4.6970175797771354</v>
      </c>
      <c r="AJ56">
        <v>4.6970175797771354</v>
      </c>
      <c r="AK56">
        <v>4.6970175797771354</v>
      </c>
    </row>
    <row r="57" spans="1:37" hidden="1" x14ac:dyDescent="0.25">
      <c r="A57" t="s">
        <v>90</v>
      </c>
      <c r="B57" t="s">
        <v>91</v>
      </c>
      <c r="C57" t="s">
        <v>146</v>
      </c>
      <c r="F57" t="s">
        <v>126</v>
      </c>
      <c r="G57" t="s">
        <v>127</v>
      </c>
      <c r="H57" t="s">
        <v>128</v>
      </c>
      <c r="I57" t="s">
        <v>147</v>
      </c>
      <c r="J57" t="s">
        <v>157</v>
      </c>
      <c r="K57" t="s">
        <v>98</v>
      </c>
      <c r="L57">
        <v>1</v>
      </c>
      <c r="M57">
        <v>1</v>
      </c>
      <c r="N57">
        <v>2020</v>
      </c>
      <c r="O57">
        <v>18.828422487318921</v>
      </c>
      <c r="P57">
        <v>1</v>
      </c>
      <c r="Q57">
        <v>0.29670013847675569</v>
      </c>
      <c r="R57">
        <v>0.31969329376854588</v>
      </c>
      <c r="S57">
        <v>0.35639390702274981</v>
      </c>
      <c r="T57">
        <v>0.38292447082096942</v>
      </c>
      <c r="U57">
        <v>0.40193804154302659</v>
      </c>
      <c r="V57">
        <v>0.4213937883283877</v>
      </c>
      <c r="W57">
        <v>0.4412917111770524</v>
      </c>
      <c r="X57">
        <v>216.70727163560579</v>
      </c>
      <c r="Y57">
        <v>216.47017396423209</v>
      </c>
      <c r="Z57">
        <v>212.43951355087839</v>
      </c>
      <c r="AA57">
        <v>213.62500190774711</v>
      </c>
      <c r="AB57">
        <v>212.91370889362591</v>
      </c>
      <c r="AC57">
        <v>211.9653182081309</v>
      </c>
      <c r="AD57">
        <v>211.01692752263591</v>
      </c>
      <c r="AE57">
        <v>4.6970175797771354</v>
      </c>
      <c r="AF57">
        <v>4.6970175797771354</v>
      </c>
      <c r="AG57">
        <v>4.6970175797771354</v>
      </c>
      <c r="AH57">
        <v>4.6970175797771354</v>
      </c>
      <c r="AI57">
        <v>4.6970175797771354</v>
      </c>
      <c r="AJ57">
        <v>4.6970175797771354</v>
      </c>
      <c r="AK57">
        <v>4.6970175797771354</v>
      </c>
    </row>
    <row r="58" spans="1:37" hidden="1" x14ac:dyDescent="0.25">
      <c r="A58" t="s">
        <v>90</v>
      </c>
      <c r="B58" t="s">
        <v>91</v>
      </c>
      <c r="C58" t="s">
        <v>146</v>
      </c>
      <c r="F58" t="s">
        <v>126</v>
      </c>
      <c r="G58" t="s">
        <v>130</v>
      </c>
      <c r="H58" t="s">
        <v>131</v>
      </c>
      <c r="I58" t="s">
        <v>147</v>
      </c>
      <c r="J58" t="s">
        <v>157</v>
      </c>
      <c r="K58" t="s">
        <v>98</v>
      </c>
      <c r="L58">
        <v>0</v>
      </c>
      <c r="M58">
        <v>1</v>
      </c>
      <c r="N58">
        <v>2020</v>
      </c>
      <c r="O58">
        <v>18.828422487318921</v>
      </c>
      <c r="P58">
        <v>1</v>
      </c>
      <c r="Q58">
        <v>0.29670013847675569</v>
      </c>
      <c r="R58">
        <v>0.31969329376854588</v>
      </c>
      <c r="S58">
        <v>0.35639390702274981</v>
      </c>
      <c r="T58">
        <v>0.38292447082096942</v>
      </c>
      <c r="U58">
        <v>0.40193804154302659</v>
      </c>
      <c r="V58">
        <v>0.4213937883283877</v>
      </c>
      <c r="W58">
        <v>0.4412917111770524</v>
      </c>
      <c r="X58">
        <v>216.70727163560579</v>
      </c>
      <c r="Y58">
        <v>216.47017396423209</v>
      </c>
      <c r="Z58">
        <v>212.43951355087839</v>
      </c>
      <c r="AA58">
        <v>213.62500190774711</v>
      </c>
      <c r="AB58">
        <v>212.91370889362591</v>
      </c>
      <c r="AC58">
        <v>211.9653182081309</v>
      </c>
      <c r="AD58">
        <v>211.01692752263591</v>
      </c>
      <c r="AE58">
        <v>4.6970175797771354</v>
      </c>
      <c r="AF58">
        <v>4.6970175797771354</v>
      </c>
      <c r="AG58">
        <v>4.6970175797771354</v>
      </c>
      <c r="AH58">
        <v>4.6970175797771354</v>
      </c>
      <c r="AI58">
        <v>4.6970175797771354</v>
      </c>
      <c r="AJ58">
        <v>4.6970175797771354</v>
      </c>
      <c r="AK58">
        <v>4.6970175797771354</v>
      </c>
    </row>
    <row r="59" spans="1:37" hidden="1" x14ac:dyDescent="0.25">
      <c r="A59" t="s">
        <v>90</v>
      </c>
      <c r="B59" t="s">
        <v>91</v>
      </c>
      <c r="C59" t="s">
        <v>146</v>
      </c>
      <c r="F59" t="s">
        <v>132</v>
      </c>
      <c r="G59" t="s">
        <v>133</v>
      </c>
      <c r="H59" t="s">
        <v>134</v>
      </c>
      <c r="I59" t="s">
        <v>147</v>
      </c>
      <c r="J59" t="s">
        <v>158</v>
      </c>
      <c r="K59" t="s">
        <v>98</v>
      </c>
      <c r="L59">
        <v>1</v>
      </c>
      <c r="M59">
        <v>1</v>
      </c>
      <c r="N59">
        <v>2020</v>
      </c>
      <c r="O59">
        <v>18.828422487318921</v>
      </c>
      <c r="P59">
        <v>1</v>
      </c>
      <c r="Q59">
        <v>0.6734341444114742</v>
      </c>
      <c r="R59">
        <v>0.6968694757665681</v>
      </c>
      <c r="S59">
        <v>0.70925040553907026</v>
      </c>
      <c r="T59">
        <v>0.76054282888229485</v>
      </c>
      <c r="U59">
        <v>0.77955639960435208</v>
      </c>
      <c r="V59">
        <v>0.79901214638971307</v>
      </c>
      <c r="W59">
        <v>0.81758354104846653</v>
      </c>
      <c r="X59">
        <v>285.46559633399289</v>
      </c>
      <c r="Y59">
        <v>262.46712221073932</v>
      </c>
      <c r="Z59">
        <v>243.2622108294656</v>
      </c>
      <c r="AA59">
        <v>219.3153460207171</v>
      </c>
      <c r="AB59">
        <v>213.15080656499961</v>
      </c>
      <c r="AC59">
        <v>206.98626710928221</v>
      </c>
      <c r="AD59">
        <v>200.82172765356469</v>
      </c>
      <c r="AE59">
        <v>3.4264302505559221</v>
      </c>
      <c r="AF59">
        <v>3.4264302505559221</v>
      </c>
      <c r="AG59">
        <v>3.4264302505559221</v>
      </c>
      <c r="AH59">
        <v>3.4264302505559221</v>
      </c>
      <c r="AI59">
        <v>3.4264302505559221</v>
      </c>
      <c r="AJ59">
        <v>3.4264302505559221</v>
      </c>
      <c r="AK59">
        <v>3.4264302505559221</v>
      </c>
    </row>
    <row r="60" spans="1:37" hidden="1" x14ac:dyDescent="0.25">
      <c r="A60" t="s">
        <v>90</v>
      </c>
      <c r="B60" t="s">
        <v>91</v>
      </c>
      <c r="C60" t="s">
        <v>146</v>
      </c>
      <c r="F60" t="s">
        <v>136</v>
      </c>
      <c r="G60" t="s">
        <v>133</v>
      </c>
      <c r="H60" t="s">
        <v>134</v>
      </c>
      <c r="I60" t="s">
        <v>147</v>
      </c>
      <c r="J60" t="s">
        <v>159</v>
      </c>
      <c r="K60" t="s">
        <v>98</v>
      </c>
      <c r="L60">
        <v>1</v>
      </c>
      <c r="M60">
        <v>1</v>
      </c>
      <c r="N60">
        <v>2020</v>
      </c>
      <c r="O60">
        <v>18.828422487318921</v>
      </c>
      <c r="P60">
        <v>1</v>
      </c>
      <c r="Q60">
        <v>0.66370627101879298</v>
      </c>
      <c r="R60">
        <v>0.68714160237388744</v>
      </c>
      <c r="S60">
        <v>0.69908035608308594</v>
      </c>
      <c r="T60">
        <v>0.75037277942631053</v>
      </c>
      <c r="U60">
        <v>0.76938635014836798</v>
      </c>
      <c r="V60">
        <v>0.78795774480712133</v>
      </c>
      <c r="W60">
        <v>0.80652913946587568</v>
      </c>
      <c r="X60">
        <v>295.1866008603165</v>
      </c>
      <c r="Y60">
        <v>271.00263838019418</v>
      </c>
      <c r="Z60">
        <v>251.56062932754691</v>
      </c>
      <c r="AA60">
        <v>226.19117849055581</v>
      </c>
      <c r="AB60">
        <v>219.78954136346451</v>
      </c>
      <c r="AC60">
        <v>213.15080656499961</v>
      </c>
      <c r="AD60">
        <v>206.74916943790839</v>
      </c>
      <c r="AE60">
        <v>3.4264302505559221</v>
      </c>
      <c r="AF60">
        <v>3.4264302505559221</v>
      </c>
      <c r="AG60">
        <v>3.4264302505559221</v>
      </c>
      <c r="AH60">
        <v>3.4264302505559221</v>
      </c>
      <c r="AI60">
        <v>3.4264302505559221</v>
      </c>
      <c r="AJ60">
        <v>3.4264302505559221</v>
      </c>
      <c r="AK60">
        <v>3.4264302505559221</v>
      </c>
    </row>
    <row r="61" spans="1:37" hidden="1" x14ac:dyDescent="0.25">
      <c r="A61" t="s">
        <v>90</v>
      </c>
      <c r="B61" t="s">
        <v>91</v>
      </c>
      <c r="C61" t="s">
        <v>146</v>
      </c>
      <c r="F61" t="s">
        <v>138</v>
      </c>
      <c r="G61" t="s">
        <v>114</v>
      </c>
      <c r="H61" t="s">
        <v>115</v>
      </c>
      <c r="I61" t="s">
        <v>147</v>
      </c>
      <c r="J61" t="s">
        <v>160</v>
      </c>
      <c r="K61" t="s">
        <v>98</v>
      </c>
      <c r="L61">
        <v>1</v>
      </c>
      <c r="M61">
        <v>1</v>
      </c>
      <c r="N61">
        <v>2020</v>
      </c>
      <c r="O61">
        <v>18.828422487318921</v>
      </c>
      <c r="P61">
        <v>1</v>
      </c>
      <c r="Q61">
        <v>1.482174164193867</v>
      </c>
      <c r="R61">
        <v>1.550269277942631</v>
      </c>
      <c r="S61">
        <v>1.578568545994065</v>
      </c>
      <c r="T61">
        <v>1.7289084075173089</v>
      </c>
      <c r="U61">
        <v>1.7908130563798219</v>
      </c>
      <c r="V61">
        <v>1.852717705242334</v>
      </c>
      <c r="W61">
        <v>1.92346587537092</v>
      </c>
      <c r="X61">
        <v>218.84115067796961</v>
      </c>
      <c r="Y61">
        <v>204.85238806691851</v>
      </c>
      <c r="Z61">
        <v>185.41037901427109</v>
      </c>
      <c r="AA61">
        <v>173.31839777421001</v>
      </c>
      <c r="AB61">
        <v>167.86515133261369</v>
      </c>
      <c r="AC61">
        <v>162.17480721964381</v>
      </c>
      <c r="AD61">
        <v>156.24736543530011</v>
      </c>
      <c r="AE61">
        <v>3.3332454513860799</v>
      </c>
      <c r="AF61">
        <v>3.3332454513860799</v>
      </c>
      <c r="AG61">
        <v>3.3332454513860799</v>
      </c>
      <c r="AH61">
        <v>3.3332454513860799</v>
      </c>
      <c r="AI61">
        <v>3.3332454513860799</v>
      </c>
      <c r="AJ61">
        <v>3.3332454513860799</v>
      </c>
      <c r="AK61">
        <v>3.3332454513860799</v>
      </c>
    </row>
    <row r="62" spans="1:37" hidden="1" x14ac:dyDescent="0.25">
      <c r="A62" t="s">
        <v>90</v>
      </c>
      <c r="B62" t="s">
        <v>91</v>
      </c>
      <c r="C62" t="s">
        <v>146</v>
      </c>
      <c r="F62" t="s">
        <v>140</v>
      </c>
      <c r="G62" t="s">
        <v>114</v>
      </c>
      <c r="H62" t="s">
        <v>115</v>
      </c>
      <c r="I62" t="s">
        <v>147</v>
      </c>
      <c r="J62" t="s">
        <v>161</v>
      </c>
      <c r="K62" t="s">
        <v>98</v>
      </c>
      <c r="L62">
        <v>1</v>
      </c>
      <c r="M62">
        <v>1</v>
      </c>
      <c r="N62">
        <v>2020</v>
      </c>
      <c r="O62">
        <v>18.828422487318921</v>
      </c>
      <c r="P62">
        <v>1</v>
      </c>
      <c r="Q62">
        <v>1.4158477546983179</v>
      </c>
      <c r="R62">
        <v>1.4835006923837779</v>
      </c>
      <c r="S62">
        <v>1.527718298714144</v>
      </c>
      <c r="T62">
        <v>1.6758472799208699</v>
      </c>
      <c r="U62">
        <v>1.7377519287833829</v>
      </c>
      <c r="V62">
        <v>1.795234817012858</v>
      </c>
      <c r="W62">
        <v>1.870404747774481</v>
      </c>
      <c r="X62">
        <v>260.80743851112311</v>
      </c>
      <c r="Y62">
        <v>241.36542945847569</v>
      </c>
      <c r="Z62">
        <v>212.20241587950471</v>
      </c>
      <c r="AA62">
        <v>194.89428586922099</v>
      </c>
      <c r="AB62">
        <v>186.83296504251359</v>
      </c>
      <c r="AC62">
        <v>178.77164421580611</v>
      </c>
      <c r="AD62">
        <v>170.7103233890987</v>
      </c>
      <c r="AE62">
        <v>3.3332454513860799</v>
      </c>
      <c r="AF62">
        <v>3.3332454513860799</v>
      </c>
      <c r="AG62">
        <v>3.3332454513860799</v>
      </c>
      <c r="AH62">
        <v>3.3332454513860799</v>
      </c>
      <c r="AI62">
        <v>3.3332454513860799</v>
      </c>
      <c r="AJ62">
        <v>3.3332454513860799</v>
      </c>
      <c r="AK62">
        <v>3.3332454513860799</v>
      </c>
    </row>
    <row r="63" spans="1:37" hidden="1" x14ac:dyDescent="0.25">
      <c r="A63" t="s">
        <v>90</v>
      </c>
      <c r="B63" t="s">
        <v>91</v>
      </c>
      <c r="C63" t="s">
        <v>146</v>
      </c>
      <c r="F63" t="s">
        <v>142</v>
      </c>
      <c r="G63" t="s">
        <v>114</v>
      </c>
      <c r="H63" t="s">
        <v>115</v>
      </c>
      <c r="I63" t="s">
        <v>147</v>
      </c>
      <c r="J63" t="s">
        <v>162</v>
      </c>
      <c r="K63" t="s">
        <v>98</v>
      </c>
      <c r="L63">
        <v>1</v>
      </c>
      <c r="M63">
        <v>1</v>
      </c>
      <c r="N63">
        <v>2020</v>
      </c>
      <c r="O63">
        <v>18.828422487318921</v>
      </c>
      <c r="P63">
        <v>1</v>
      </c>
      <c r="Q63">
        <v>1.272582710187933</v>
      </c>
      <c r="R63">
        <v>1.3309499505440161</v>
      </c>
      <c r="S63">
        <v>1.393296775469832</v>
      </c>
      <c r="T63">
        <v>1.5334665875370921</v>
      </c>
      <c r="U63">
        <v>1.5874120672601379</v>
      </c>
      <c r="V63">
        <v>1.6537384767556871</v>
      </c>
      <c r="W63">
        <v>1.7156431256182001</v>
      </c>
      <c r="X63">
        <v>319.37056334043882</v>
      </c>
      <c r="Y63">
        <v>292.34142880383149</v>
      </c>
      <c r="Z63">
        <v>248.71545727106189</v>
      </c>
      <c r="AA63">
        <v>224.05729944819211</v>
      </c>
      <c r="AB63">
        <v>212.91370889362591</v>
      </c>
      <c r="AC63">
        <v>201.533020667686</v>
      </c>
      <c r="AD63">
        <v>190.1523324417461</v>
      </c>
      <c r="AE63">
        <v>3.3332454513860799</v>
      </c>
      <c r="AF63">
        <v>3.3332454513860799</v>
      </c>
      <c r="AG63">
        <v>3.3332454513860799</v>
      </c>
      <c r="AH63">
        <v>3.3332454513860799</v>
      </c>
      <c r="AI63">
        <v>3.3332454513860799</v>
      </c>
      <c r="AJ63">
        <v>3.3332454513860799</v>
      </c>
      <c r="AK63">
        <v>3.3332454513860799</v>
      </c>
    </row>
    <row r="64" spans="1:37" hidden="1" x14ac:dyDescent="0.25">
      <c r="A64" t="s">
        <v>90</v>
      </c>
      <c r="B64" t="s">
        <v>91</v>
      </c>
      <c r="C64" t="s">
        <v>146</v>
      </c>
      <c r="F64" t="s">
        <v>144</v>
      </c>
      <c r="G64" t="s">
        <v>114</v>
      </c>
      <c r="H64" t="s">
        <v>115</v>
      </c>
      <c r="I64" t="s">
        <v>147</v>
      </c>
      <c r="J64" t="s">
        <v>163</v>
      </c>
      <c r="K64" t="s">
        <v>98</v>
      </c>
      <c r="L64">
        <v>1</v>
      </c>
      <c r="M64">
        <v>1</v>
      </c>
      <c r="N64">
        <v>2020</v>
      </c>
      <c r="O64">
        <v>18.828422487318921</v>
      </c>
      <c r="P64">
        <v>1</v>
      </c>
      <c r="Q64">
        <v>1.1483312363996041</v>
      </c>
      <c r="R64">
        <v>1.2031610682492579</v>
      </c>
      <c r="S64">
        <v>1.2880588724035611</v>
      </c>
      <c r="T64">
        <v>1.411425994065282</v>
      </c>
      <c r="U64">
        <v>1.466698001978239</v>
      </c>
      <c r="V64">
        <v>1.523738714144411</v>
      </c>
      <c r="W64">
        <v>1.5874120672601379</v>
      </c>
      <c r="X64">
        <v>389.31437639569458</v>
      </c>
      <c r="Y64">
        <v>352.80133500413729</v>
      </c>
      <c r="Z64">
        <v>289.7333544187203</v>
      </c>
      <c r="AA64">
        <v>257.013875769143</v>
      </c>
      <c r="AB64">
        <v>241.83962480122321</v>
      </c>
      <c r="AC64">
        <v>227.1395691760508</v>
      </c>
      <c r="AD64">
        <v>212.2024158795046</v>
      </c>
      <c r="AE64">
        <v>3.3332454513860799</v>
      </c>
      <c r="AF64">
        <v>3.3332454513860799</v>
      </c>
      <c r="AG64">
        <v>3.3332454513860799</v>
      </c>
      <c r="AH64">
        <v>3.3332454513860799</v>
      </c>
      <c r="AI64">
        <v>3.3332454513860799</v>
      </c>
      <c r="AJ64">
        <v>3.3332454513860799</v>
      </c>
      <c r="AK64">
        <v>3.3332454513860799</v>
      </c>
    </row>
    <row r="65" spans="1:37" hidden="1" x14ac:dyDescent="0.25">
      <c r="A65" t="s">
        <v>90</v>
      </c>
      <c r="B65" t="s">
        <v>91</v>
      </c>
      <c r="C65" t="s">
        <v>164</v>
      </c>
      <c r="F65" t="s">
        <v>93</v>
      </c>
      <c r="G65" t="s">
        <v>94</v>
      </c>
      <c r="H65" t="s">
        <v>95</v>
      </c>
      <c r="I65" t="s">
        <v>165</v>
      </c>
      <c r="J65" t="s">
        <v>166</v>
      </c>
      <c r="K65" t="s">
        <v>98</v>
      </c>
      <c r="L65">
        <v>1</v>
      </c>
      <c r="M65">
        <v>1</v>
      </c>
      <c r="N65">
        <v>2020</v>
      </c>
      <c r="O65">
        <v>85.500534378339864</v>
      </c>
      <c r="P65">
        <v>1</v>
      </c>
      <c r="Q65">
        <v>0.3966319287833826</v>
      </c>
      <c r="R65">
        <v>0.38999928783382759</v>
      </c>
      <c r="S65">
        <v>0.45367264094955512</v>
      </c>
      <c r="T65">
        <v>0.49744807121661722</v>
      </c>
      <c r="U65">
        <v>0.52265210682492591</v>
      </c>
      <c r="V65">
        <v>0.5465296142433238</v>
      </c>
      <c r="W65">
        <v>0.57173364985163189</v>
      </c>
      <c r="X65">
        <v>137.27955172540021</v>
      </c>
      <c r="Y65">
        <v>136.56825871127899</v>
      </c>
      <c r="Z65">
        <v>140.12472378188519</v>
      </c>
      <c r="AA65">
        <v>146.5263609089765</v>
      </c>
      <c r="AB65">
        <v>146.5263609089765</v>
      </c>
      <c r="AC65">
        <v>145.81506789485519</v>
      </c>
      <c r="AD65">
        <v>145.81506789485519</v>
      </c>
      <c r="AE65">
        <v>1.0315764034964729</v>
      </c>
      <c r="AF65">
        <v>1.0315764034964729</v>
      </c>
      <c r="AG65">
        <v>1.0315764034964729</v>
      </c>
      <c r="AH65">
        <v>1.0315764034964729</v>
      </c>
      <c r="AI65">
        <v>1.0315764034964729</v>
      </c>
      <c r="AJ65">
        <v>1.0315764034964729</v>
      </c>
      <c r="AK65">
        <v>1.0315764034964729</v>
      </c>
    </row>
    <row r="66" spans="1:37" hidden="1" x14ac:dyDescent="0.25">
      <c r="A66" t="s">
        <v>90</v>
      </c>
      <c r="B66" t="s">
        <v>91</v>
      </c>
      <c r="C66" t="s">
        <v>164</v>
      </c>
      <c r="F66" t="s">
        <v>93</v>
      </c>
      <c r="G66" t="s">
        <v>99</v>
      </c>
      <c r="H66" t="s">
        <v>100</v>
      </c>
      <c r="I66" t="s">
        <v>165</v>
      </c>
      <c r="J66" t="s">
        <v>166</v>
      </c>
      <c r="K66" t="s">
        <v>98</v>
      </c>
      <c r="L66">
        <v>0</v>
      </c>
      <c r="M66">
        <v>1</v>
      </c>
      <c r="N66">
        <v>2020</v>
      </c>
      <c r="O66">
        <v>85.500534378339864</v>
      </c>
      <c r="P66">
        <v>0.1</v>
      </c>
      <c r="Q66">
        <v>0.3966319287833826</v>
      </c>
      <c r="R66">
        <v>0.38999928783382759</v>
      </c>
      <c r="S66">
        <v>0.45367264094955512</v>
      </c>
      <c r="T66">
        <v>0.49744807121661722</v>
      </c>
      <c r="U66">
        <v>0.52265210682492591</v>
      </c>
      <c r="V66">
        <v>0.5465296142433238</v>
      </c>
      <c r="W66">
        <v>0.57173364985163189</v>
      </c>
      <c r="X66">
        <v>137.27955172540021</v>
      </c>
      <c r="Y66">
        <v>136.56825871127899</v>
      </c>
      <c r="Z66">
        <v>140.12472378188519</v>
      </c>
      <c r="AA66">
        <v>146.5263609089765</v>
      </c>
      <c r="AB66">
        <v>146.5263609089765</v>
      </c>
      <c r="AC66">
        <v>145.81506789485519</v>
      </c>
      <c r="AD66">
        <v>145.81506789485519</v>
      </c>
      <c r="AE66">
        <v>1.0315764034964729</v>
      </c>
      <c r="AF66">
        <v>1.0315764034964729</v>
      </c>
      <c r="AG66">
        <v>1.0315764034964729</v>
      </c>
      <c r="AH66">
        <v>1.0315764034964729</v>
      </c>
      <c r="AI66">
        <v>1.0315764034964729</v>
      </c>
      <c r="AJ66">
        <v>1.0315764034964729</v>
      </c>
      <c r="AK66">
        <v>1.0315764034964729</v>
      </c>
    </row>
    <row r="67" spans="1:37" hidden="1" x14ac:dyDescent="0.25">
      <c r="A67" t="s">
        <v>90</v>
      </c>
      <c r="B67" t="s">
        <v>91</v>
      </c>
      <c r="C67" t="s">
        <v>164</v>
      </c>
      <c r="F67" t="s">
        <v>101</v>
      </c>
      <c r="G67" t="s">
        <v>94</v>
      </c>
      <c r="H67" t="s">
        <v>95</v>
      </c>
      <c r="I67" t="s">
        <v>165</v>
      </c>
      <c r="J67" t="s">
        <v>167</v>
      </c>
      <c r="K67" t="s">
        <v>98</v>
      </c>
      <c r="L67">
        <v>1</v>
      </c>
      <c r="M67">
        <v>1</v>
      </c>
      <c r="N67">
        <v>2020</v>
      </c>
      <c r="O67">
        <v>85.500534378339864</v>
      </c>
      <c r="P67">
        <v>1</v>
      </c>
      <c r="Q67">
        <v>0.43908083086053429</v>
      </c>
      <c r="R67">
        <v>0.43510124629080099</v>
      </c>
      <c r="S67">
        <v>0.48816237388723999</v>
      </c>
      <c r="T67">
        <v>0.53061127596439173</v>
      </c>
      <c r="U67">
        <v>0.5597948961424335</v>
      </c>
      <c r="V67">
        <v>0.58897851632047493</v>
      </c>
      <c r="W67">
        <v>0.61948866468842767</v>
      </c>
      <c r="X67">
        <v>145.10377488073391</v>
      </c>
      <c r="Y67">
        <v>143.6811888524914</v>
      </c>
      <c r="Z67">
        <v>147.23765392309761</v>
      </c>
      <c r="AA67">
        <v>153.63929105018889</v>
      </c>
      <c r="AB67">
        <v>152.92799803606749</v>
      </c>
      <c r="AC67">
        <v>152.92799803606749</v>
      </c>
      <c r="AD67">
        <v>152.2167050219465</v>
      </c>
      <c r="AE67">
        <v>1.0315764034964729</v>
      </c>
      <c r="AF67">
        <v>1.0315764034964729</v>
      </c>
      <c r="AG67">
        <v>1.0315764034964729</v>
      </c>
      <c r="AH67">
        <v>1.0315764034964729</v>
      </c>
      <c r="AI67">
        <v>1.0315764034964729</v>
      </c>
      <c r="AJ67">
        <v>1.0315764034964729</v>
      </c>
      <c r="AK67">
        <v>1.0315764034964729</v>
      </c>
    </row>
    <row r="68" spans="1:37" hidden="1" x14ac:dyDescent="0.25">
      <c r="A68" t="s">
        <v>90</v>
      </c>
      <c r="B68" t="s">
        <v>91</v>
      </c>
      <c r="C68" t="s">
        <v>164</v>
      </c>
      <c r="F68" t="s">
        <v>101</v>
      </c>
      <c r="G68" t="s">
        <v>99</v>
      </c>
      <c r="H68" t="s">
        <v>100</v>
      </c>
      <c r="I68" t="s">
        <v>165</v>
      </c>
      <c r="J68" t="s">
        <v>167</v>
      </c>
      <c r="K68" t="s">
        <v>98</v>
      </c>
      <c r="L68">
        <v>0</v>
      </c>
      <c r="M68">
        <v>1</v>
      </c>
      <c r="N68">
        <v>2020</v>
      </c>
      <c r="O68">
        <v>85.500534378339864</v>
      </c>
      <c r="P68">
        <v>0.1</v>
      </c>
      <c r="Q68">
        <v>0.43908083086053429</v>
      </c>
      <c r="R68">
        <v>0.43510124629080099</v>
      </c>
      <c r="S68">
        <v>0.48816237388723999</v>
      </c>
      <c r="T68">
        <v>0.53061127596439173</v>
      </c>
      <c r="U68">
        <v>0.5597948961424335</v>
      </c>
      <c r="V68">
        <v>0.58897851632047493</v>
      </c>
      <c r="W68">
        <v>0.61948866468842767</v>
      </c>
      <c r="X68">
        <v>145.10377488073391</v>
      </c>
      <c r="Y68">
        <v>143.6811888524914</v>
      </c>
      <c r="Z68">
        <v>147.23765392309761</v>
      </c>
      <c r="AA68">
        <v>153.63929105018889</v>
      </c>
      <c r="AB68">
        <v>152.92799803606749</v>
      </c>
      <c r="AC68">
        <v>152.92799803606749</v>
      </c>
      <c r="AD68">
        <v>152.2167050219465</v>
      </c>
      <c r="AE68">
        <v>1.0315764034964729</v>
      </c>
      <c r="AF68">
        <v>1.0315764034964729</v>
      </c>
      <c r="AG68">
        <v>1.0315764034964729</v>
      </c>
      <c r="AH68">
        <v>1.0315764034964729</v>
      </c>
      <c r="AI68">
        <v>1.0315764034964729</v>
      </c>
      <c r="AJ68">
        <v>1.0315764034964729</v>
      </c>
      <c r="AK68">
        <v>1.0315764034964729</v>
      </c>
    </row>
    <row r="69" spans="1:37" hidden="1" x14ac:dyDescent="0.25">
      <c r="A69" t="s">
        <v>90</v>
      </c>
      <c r="B69" t="s">
        <v>91</v>
      </c>
      <c r="C69" t="s">
        <v>164</v>
      </c>
      <c r="F69" t="s">
        <v>103</v>
      </c>
      <c r="G69" t="s">
        <v>94</v>
      </c>
      <c r="H69" t="s">
        <v>95</v>
      </c>
      <c r="I69" t="s">
        <v>165</v>
      </c>
      <c r="J69" t="s">
        <v>168</v>
      </c>
      <c r="K69" t="s">
        <v>98</v>
      </c>
      <c r="L69">
        <v>1</v>
      </c>
      <c r="M69">
        <v>1</v>
      </c>
      <c r="N69">
        <v>2020</v>
      </c>
      <c r="O69">
        <v>85.500534378339864</v>
      </c>
      <c r="P69">
        <v>1</v>
      </c>
      <c r="Q69">
        <v>0.40724415430267091</v>
      </c>
      <c r="R69">
        <v>0.39928498516320488</v>
      </c>
      <c r="S69">
        <v>0.46428486646884271</v>
      </c>
      <c r="T69">
        <v>0.51071335311572696</v>
      </c>
      <c r="U69">
        <v>0.53591738872403571</v>
      </c>
      <c r="V69">
        <v>0.56112142433234391</v>
      </c>
      <c r="W69">
        <v>0.58765198813056352</v>
      </c>
      <c r="X69">
        <v>138.7021377536428</v>
      </c>
      <c r="Y69">
        <v>137.99084473952149</v>
      </c>
      <c r="Z69">
        <v>141.54730981012759</v>
      </c>
      <c r="AA69">
        <v>147.94894693721901</v>
      </c>
      <c r="AB69">
        <v>147.23765392309761</v>
      </c>
      <c r="AC69">
        <v>147.23765392309761</v>
      </c>
      <c r="AD69">
        <v>146.5263609089765</v>
      </c>
      <c r="AE69">
        <v>0.97334225168618782</v>
      </c>
      <c r="AF69">
        <v>0.97334225168618782</v>
      </c>
      <c r="AG69">
        <v>0.97334225168618782</v>
      </c>
      <c r="AH69">
        <v>0.97334225168618782</v>
      </c>
      <c r="AI69">
        <v>0.97334225168618782</v>
      </c>
      <c r="AJ69">
        <v>0.97334225168618782</v>
      </c>
      <c r="AK69">
        <v>0.97334225168618782</v>
      </c>
    </row>
    <row r="70" spans="1:37" hidden="1" x14ac:dyDescent="0.25">
      <c r="A70" t="s">
        <v>90</v>
      </c>
      <c r="B70" t="s">
        <v>91</v>
      </c>
      <c r="C70" t="s">
        <v>164</v>
      </c>
      <c r="F70" t="s">
        <v>103</v>
      </c>
      <c r="G70" t="s">
        <v>99</v>
      </c>
      <c r="H70" t="s">
        <v>100</v>
      </c>
      <c r="I70" t="s">
        <v>165</v>
      </c>
      <c r="J70" t="s">
        <v>168</v>
      </c>
      <c r="K70" t="s">
        <v>98</v>
      </c>
      <c r="L70">
        <v>0</v>
      </c>
      <c r="M70">
        <v>1</v>
      </c>
      <c r="N70">
        <v>2020</v>
      </c>
      <c r="O70">
        <v>85.500534378339864</v>
      </c>
      <c r="P70">
        <v>0.1</v>
      </c>
      <c r="Q70">
        <v>0.40724415430267091</v>
      </c>
      <c r="R70">
        <v>0.39928498516320488</v>
      </c>
      <c r="S70">
        <v>0.46428486646884271</v>
      </c>
      <c r="T70">
        <v>0.51071335311572696</v>
      </c>
      <c r="U70">
        <v>0.53591738872403571</v>
      </c>
      <c r="V70">
        <v>0.56112142433234391</v>
      </c>
      <c r="W70">
        <v>0.58765198813056352</v>
      </c>
      <c r="X70">
        <v>138.7021377536428</v>
      </c>
      <c r="Y70">
        <v>137.99084473952149</v>
      </c>
      <c r="Z70">
        <v>141.54730981012759</v>
      </c>
      <c r="AA70">
        <v>147.94894693721901</v>
      </c>
      <c r="AB70">
        <v>147.23765392309761</v>
      </c>
      <c r="AC70">
        <v>147.23765392309761</v>
      </c>
      <c r="AD70">
        <v>146.5263609089765</v>
      </c>
      <c r="AE70">
        <v>0.97334225168618782</v>
      </c>
      <c r="AF70">
        <v>0.97334225168618782</v>
      </c>
      <c r="AG70">
        <v>0.97334225168618782</v>
      </c>
      <c r="AH70">
        <v>0.97334225168618782</v>
      </c>
      <c r="AI70">
        <v>0.97334225168618782</v>
      </c>
      <c r="AJ70">
        <v>0.97334225168618782</v>
      </c>
      <c r="AK70">
        <v>0.97334225168618782</v>
      </c>
    </row>
    <row r="71" spans="1:37" hidden="1" x14ac:dyDescent="0.25">
      <c r="A71" t="s">
        <v>90</v>
      </c>
      <c r="B71" t="s">
        <v>91</v>
      </c>
      <c r="C71" t="s">
        <v>164</v>
      </c>
      <c r="F71" t="s">
        <v>105</v>
      </c>
      <c r="G71" t="s">
        <v>94</v>
      </c>
      <c r="H71" t="s">
        <v>95</v>
      </c>
      <c r="I71" t="s">
        <v>165</v>
      </c>
      <c r="J71" t="s">
        <v>169</v>
      </c>
      <c r="K71" t="s">
        <v>98</v>
      </c>
      <c r="L71">
        <v>1</v>
      </c>
      <c r="M71">
        <v>1</v>
      </c>
      <c r="N71">
        <v>2020</v>
      </c>
      <c r="O71">
        <v>85.500534378339864</v>
      </c>
      <c r="P71">
        <v>1</v>
      </c>
      <c r="Q71">
        <v>0.44571347181008908</v>
      </c>
      <c r="R71">
        <v>0.44173388724035578</v>
      </c>
      <c r="S71">
        <v>0.49744807121661722</v>
      </c>
      <c r="T71">
        <v>0.54122350148367915</v>
      </c>
      <c r="U71">
        <v>0.57040712166172114</v>
      </c>
      <c r="V71">
        <v>0.60091727002967321</v>
      </c>
      <c r="W71">
        <v>0.63142741839762584</v>
      </c>
      <c r="X71">
        <v>146.5263609089765</v>
      </c>
      <c r="Y71">
        <v>145.10377488073391</v>
      </c>
      <c r="Z71">
        <v>147.94894693721901</v>
      </c>
      <c r="AA71">
        <v>154.35058406431</v>
      </c>
      <c r="AB71">
        <v>154.35058406431</v>
      </c>
      <c r="AC71">
        <v>153.63929105018889</v>
      </c>
      <c r="AD71">
        <v>153.63929105018889</v>
      </c>
      <c r="AE71">
        <v>0.97334225168618782</v>
      </c>
      <c r="AF71">
        <v>0.97334225168618782</v>
      </c>
      <c r="AG71">
        <v>0.97334225168618782</v>
      </c>
      <c r="AH71">
        <v>0.97334225168618782</v>
      </c>
      <c r="AI71">
        <v>0.97334225168618782</v>
      </c>
      <c r="AJ71">
        <v>0.97334225168618782</v>
      </c>
      <c r="AK71">
        <v>0.97334225168618782</v>
      </c>
    </row>
    <row r="72" spans="1:37" hidden="1" x14ac:dyDescent="0.25">
      <c r="A72" t="s">
        <v>90</v>
      </c>
      <c r="B72" t="s">
        <v>91</v>
      </c>
      <c r="C72" t="s">
        <v>164</v>
      </c>
      <c r="F72" t="s">
        <v>105</v>
      </c>
      <c r="G72" t="s">
        <v>99</v>
      </c>
      <c r="H72" t="s">
        <v>100</v>
      </c>
      <c r="I72" t="s">
        <v>165</v>
      </c>
      <c r="J72" t="s">
        <v>169</v>
      </c>
      <c r="K72" t="s">
        <v>98</v>
      </c>
      <c r="L72">
        <v>0</v>
      </c>
      <c r="M72">
        <v>1</v>
      </c>
      <c r="N72">
        <v>2020</v>
      </c>
      <c r="O72">
        <v>85.500534378339864</v>
      </c>
      <c r="P72">
        <v>0.1</v>
      </c>
      <c r="Q72">
        <v>0.44571347181008908</v>
      </c>
      <c r="R72">
        <v>0.44173388724035578</v>
      </c>
      <c r="S72">
        <v>0.49744807121661722</v>
      </c>
      <c r="T72">
        <v>0.54122350148367915</v>
      </c>
      <c r="U72">
        <v>0.57040712166172114</v>
      </c>
      <c r="V72">
        <v>0.60091727002967321</v>
      </c>
      <c r="W72">
        <v>0.63142741839762584</v>
      </c>
      <c r="X72">
        <v>146.5263609089765</v>
      </c>
      <c r="Y72">
        <v>145.10377488073391</v>
      </c>
      <c r="Z72">
        <v>147.94894693721901</v>
      </c>
      <c r="AA72">
        <v>154.35058406431</v>
      </c>
      <c r="AB72">
        <v>154.35058406431</v>
      </c>
      <c r="AC72">
        <v>153.63929105018889</v>
      </c>
      <c r="AD72">
        <v>153.63929105018889</v>
      </c>
      <c r="AE72">
        <v>0.97334225168618782</v>
      </c>
      <c r="AF72">
        <v>0.97334225168618782</v>
      </c>
      <c r="AG72">
        <v>0.97334225168618782</v>
      </c>
      <c r="AH72">
        <v>0.97334225168618782</v>
      </c>
      <c r="AI72">
        <v>0.97334225168618782</v>
      </c>
      <c r="AJ72">
        <v>0.97334225168618782</v>
      </c>
      <c r="AK72">
        <v>0.97334225168618782</v>
      </c>
    </row>
    <row r="73" spans="1:37" hidden="1" x14ac:dyDescent="0.25">
      <c r="A73" t="s">
        <v>90</v>
      </c>
      <c r="B73" t="s">
        <v>91</v>
      </c>
      <c r="C73" t="s">
        <v>164</v>
      </c>
      <c r="F73" t="s">
        <v>107</v>
      </c>
      <c r="G73" t="s">
        <v>94</v>
      </c>
      <c r="H73" t="s">
        <v>95</v>
      </c>
      <c r="I73" t="s">
        <v>165</v>
      </c>
      <c r="J73" t="s">
        <v>170</v>
      </c>
      <c r="K73" t="s">
        <v>98</v>
      </c>
      <c r="L73">
        <v>1</v>
      </c>
      <c r="M73">
        <v>1</v>
      </c>
      <c r="N73">
        <v>2020</v>
      </c>
      <c r="O73">
        <v>85.500534378339864</v>
      </c>
      <c r="P73">
        <v>1</v>
      </c>
      <c r="Q73">
        <v>0.4178563798219585</v>
      </c>
      <c r="R73">
        <v>0.40989721068249241</v>
      </c>
      <c r="S73">
        <v>0.47887667655786348</v>
      </c>
      <c r="T73">
        <v>0.52397863501483688</v>
      </c>
      <c r="U73">
        <v>0.55316225519287865</v>
      </c>
      <c r="V73">
        <v>0.58101934718100867</v>
      </c>
      <c r="W73">
        <v>0.61020296735905044</v>
      </c>
      <c r="X73">
        <v>142.96989583837009</v>
      </c>
      <c r="Y73">
        <v>141.54730981012759</v>
      </c>
      <c r="Z73">
        <v>144.39248186661271</v>
      </c>
      <c r="AA73">
        <v>150.08282597958271</v>
      </c>
      <c r="AB73">
        <v>149.3715329654614</v>
      </c>
      <c r="AC73">
        <v>149.3715329654614</v>
      </c>
      <c r="AD73">
        <v>148.66023995134009</v>
      </c>
      <c r="AE73">
        <v>0.97334225168618782</v>
      </c>
      <c r="AF73">
        <v>0.97334225168618782</v>
      </c>
      <c r="AG73">
        <v>0.97334225168618782</v>
      </c>
      <c r="AH73">
        <v>0.97334225168618782</v>
      </c>
      <c r="AI73">
        <v>0.97334225168618782</v>
      </c>
      <c r="AJ73">
        <v>0.97334225168618782</v>
      </c>
      <c r="AK73">
        <v>0.97334225168618782</v>
      </c>
    </row>
    <row r="74" spans="1:37" hidden="1" x14ac:dyDescent="0.25">
      <c r="A74" t="s">
        <v>90</v>
      </c>
      <c r="B74" t="s">
        <v>91</v>
      </c>
      <c r="C74" t="s">
        <v>164</v>
      </c>
      <c r="F74" t="s">
        <v>107</v>
      </c>
      <c r="G74" t="s">
        <v>99</v>
      </c>
      <c r="H74" t="s">
        <v>100</v>
      </c>
      <c r="I74" t="s">
        <v>165</v>
      </c>
      <c r="J74" t="s">
        <v>170</v>
      </c>
      <c r="K74" t="s">
        <v>98</v>
      </c>
      <c r="L74">
        <v>0</v>
      </c>
      <c r="M74">
        <v>1</v>
      </c>
      <c r="N74">
        <v>2020</v>
      </c>
      <c r="O74">
        <v>85.500534378339864</v>
      </c>
      <c r="P74">
        <v>0.1</v>
      </c>
      <c r="Q74">
        <v>0.4178563798219585</v>
      </c>
      <c r="R74">
        <v>0.40989721068249241</v>
      </c>
      <c r="S74">
        <v>0.47887667655786348</v>
      </c>
      <c r="T74">
        <v>0.52397863501483688</v>
      </c>
      <c r="U74">
        <v>0.55316225519287865</v>
      </c>
      <c r="V74">
        <v>0.58101934718100867</v>
      </c>
      <c r="W74">
        <v>0.61020296735905044</v>
      </c>
      <c r="X74">
        <v>142.96989583837009</v>
      </c>
      <c r="Y74">
        <v>141.54730981012759</v>
      </c>
      <c r="Z74">
        <v>144.39248186661271</v>
      </c>
      <c r="AA74">
        <v>150.08282597958271</v>
      </c>
      <c r="AB74">
        <v>149.3715329654614</v>
      </c>
      <c r="AC74">
        <v>149.3715329654614</v>
      </c>
      <c r="AD74">
        <v>148.66023995134009</v>
      </c>
      <c r="AE74">
        <v>0.97334225168618782</v>
      </c>
      <c r="AF74">
        <v>0.97334225168618782</v>
      </c>
      <c r="AG74">
        <v>0.97334225168618782</v>
      </c>
      <c r="AH74">
        <v>0.97334225168618782</v>
      </c>
      <c r="AI74">
        <v>0.97334225168618782</v>
      </c>
      <c r="AJ74">
        <v>0.97334225168618782</v>
      </c>
      <c r="AK74">
        <v>0.97334225168618782</v>
      </c>
    </row>
    <row r="75" spans="1:37" hidden="1" x14ac:dyDescent="0.25">
      <c r="A75" t="s">
        <v>90</v>
      </c>
      <c r="B75" t="s">
        <v>91</v>
      </c>
      <c r="C75" t="s">
        <v>164</v>
      </c>
      <c r="F75" t="s">
        <v>109</v>
      </c>
      <c r="G75" t="s">
        <v>94</v>
      </c>
      <c r="H75" t="s">
        <v>95</v>
      </c>
      <c r="I75" t="s">
        <v>165</v>
      </c>
      <c r="J75" t="s">
        <v>170</v>
      </c>
      <c r="K75" t="s">
        <v>98</v>
      </c>
      <c r="L75">
        <v>0</v>
      </c>
      <c r="M75">
        <v>1</v>
      </c>
      <c r="N75">
        <v>2020</v>
      </c>
      <c r="O75">
        <v>85.500534378339864</v>
      </c>
      <c r="P75">
        <v>1</v>
      </c>
      <c r="Q75">
        <v>0.46693792284866492</v>
      </c>
      <c r="R75">
        <v>0.46030528189911002</v>
      </c>
      <c r="S75">
        <v>0.5213255786350145</v>
      </c>
      <c r="T75">
        <v>0.56642753709198845</v>
      </c>
      <c r="U75">
        <v>0.59959074183976291</v>
      </c>
      <c r="V75">
        <v>0.63408047477744778</v>
      </c>
      <c r="W75">
        <v>0.66724367952522223</v>
      </c>
      <c r="X75">
        <v>150.79411899370379</v>
      </c>
      <c r="Y75">
        <v>148.66023995134009</v>
      </c>
      <c r="Z75">
        <v>150.79411899370379</v>
      </c>
      <c r="AA75">
        <v>157.1957561207951</v>
      </c>
      <c r="AB75">
        <v>156.48446310667379</v>
      </c>
      <c r="AC75">
        <v>155.77317009255259</v>
      </c>
      <c r="AD75">
        <v>155.06187707843131</v>
      </c>
      <c r="AE75">
        <v>0.97334225168618782</v>
      </c>
      <c r="AF75">
        <v>0.97334225168618782</v>
      </c>
      <c r="AG75">
        <v>0.97334225168618782</v>
      </c>
      <c r="AH75">
        <v>0.97334225168618782</v>
      </c>
      <c r="AI75">
        <v>0.97334225168618782</v>
      </c>
      <c r="AJ75">
        <v>0.97334225168618782</v>
      </c>
      <c r="AK75">
        <v>0.97334225168618782</v>
      </c>
    </row>
    <row r="76" spans="1:37" hidden="1" x14ac:dyDescent="0.25">
      <c r="A76" t="s">
        <v>90</v>
      </c>
      <c r="B76" t="s">
        <v>91</v>
      </c>
      <c r="C76" t="s">
        <v>164</v>
      </c>
      <c r="F76" t="s">
        <v>109</v>
      </c>
      <c r="G76" t="s">
        <v>99</v>
      </c>
      <c r="H76" t="s">
        <v>100</v>
      </c>
      <c r="I76" t="s">
        <v>165</v>
      </c>
      <c r="J76" t="s">
        <v>170</v>
      </c>
      <c r="K76" t="s">
        <v>98</v>
      </c>
      <c r="L76">
        <v>0</v>
      </c>
      <c r="M76">
        <v>1</v>
      </c>
      <c r="N76">
        <v>2020</v>
      </c>
      <c r="O76">
        <v>85.500534378339864</v>
      </c>
      <c r="P76">
        <v>0.1</v>
      </c>
      <c r="Q76">
        <v>0.46693792284866492</v>
      </c>
      <c r="R76">
        <v>0.46030528189911002</v>
      </c>
      <c r="S76">
        <v>0.5213255786350145</v>
      </c>
      <c r="T76">
        <v>0.56642753709198845</v>
      </c>
      <c r="U76">
        <v>0.59959074183976291</v>
      </c>
      <c r="V76">
        <v>0.63408047477744778</v>
      </c>
      <c r="W76">
        <v>0.66724367952522223</v>
      </c>
      <c r="X76">
        <v>150.79411899370379</v>
      </c>
      <c r="Y76">
        <v>148.66023995134009</v>
      </c>
      <c r="Z76">
        <v>150.79411899370379</v>
      </c>
      <c r="AA76">
        <v>157.1957561207951</v>
      </c>
      <c r="AB76">
        <v>156.48446310667379</v>
      </c>
      <c r="AC76">
        <v>155.77317009255259</v>
      </c>
      <c r="AD76">
        <v>155.06187707843131</v>
      </c>
      <c r="AE76">
        <v>0.97334225168618782</v>
      </c>
      <c r="AF76">
        <v>0.97334225168618782</v>
      </c>
      <c r="AG76">
        <v>0.97334225168618782</v>
      </c>
      <c r="AH76">
        <v>0.97334225168618782</v>
      </c>
      <c r="AI76">
        <v>0.97334225168618782</v>
      </c>
      <c r="AJ76">
        <v>0.97334225168618782</v>
      </c>
      <c r="AK76">
        <v>0.97334225168618782</v>
      </c>
    </row>
    <row r="77" spans="1:37" hidden="1" x14ac:dyDescent="0.25">
      <c r="A77" t="s">
        <v>90</v>
      </c>
      <c r="B77" t="s">
        <v>91</v>
      </c>
      <c r="C77" t="s">
        <v>164</v>
      </c>
      <c r="F77" t="s">
        <v>110</v>
      </c>
      <c r="G77" t="s">
        <v>94</v>
      </c>
      <c r="H77" t="s">
        <v>95</v>
      </c>
      <c r="I77" t="s">
        <v>165</v>
      </c>
      <c r="J77" t="s">
        <v>171</v>
      </c>
      <c r="K77" t="s">
        <v>98</v>
      </c>
      <c r="L77">
        <v>1</v>
      </c>
      <c r="M77">
        <v>1</v>
      </c>
      <c r="N77">
        <v>2020</v>
      </c>
      <c r="O77">
        <v>85.500534378339864</v>
      </c>
      <c r="P77">
        <v>1</v>
      </c>
      <c r="Q77">
        <v>0.65530492581602395</v>
      </c>
      <c r="R77">
        <v>0.67520284866468872</v>
      </c>
      <c r="S77">
        <v>0.6911211869436199</v>
      </c>
      <c r="T77">
        <v>0.73754967359050416</v>
      </c>
      <c r="U77">
        <v>0.76805982195845746</v>
      </c>
      <c r="V77">
        <v>0.79856997032640986</v>
      </c>
      <c r="W77">
        <v>0.83040664688427257</v>
      </c>
      <c r="X77">
        <v>156.48446310667379</v>
      </c>
      <c r="Y77">
        <v>150.79411899370379</v>
      </c>
      <c r="Z77">
        <v>145.81506789485519</v>
      </c>
      <c r="AA77">
        <v>143.6811888524914</v>
      </c>
      <c r="AB77">
        <v>141.54730981012759</v>
      </c>
      <c r="AC77">
        <v>139.41343076776391</v>
      </c>
      <c r="AD77">
        <v>137.99084473952149</v>
      </c>
      <c r="AE77">
        <v>0.97334225168618782</v>
      </c>
      <c r="AF77">
        <v>0.97334225168618782</v>
      </c>
      <c r="AG77">
        <v>0.97334225168618782</v>
      </c>
      <c r="AH77">
        <v>0.97334225168618782</v>
      </c>
      <c r="AI77">
        <v>0.97334225168618782</v>
      </c>
      <c r="AJ77">
        <v>0.97334225168618782</v>
      </c>
      <c r="AK77">
        <v>0.97334225168618782</v>
      </c>
    </row>
    <row r="78" spans="1:37" hidden="1" x14ac:dyDescent="0.25">
      <c r="A78" t="s">
        <v>90</v>
      </c>
      <c r="B78" t="s">
        <v>91</v>
      </c>
      <c r="C78" t="s">
        <v>164</v>
      </c>
      <c r="F78" t="s">
        <v>110</v>
      </c>
      <c r="G78" t="s">
        <v>99</v>
      </c>
      <c r="H78" t="s">
        <v>100</v>
      </c>
      <c r="I78" t="s">
        <v>165</v>
      </c>
      <c r="J78" t="s">
        <v>171</v>
      </c>
      <c r="K78" t="s">
        <v>98</v>
      </c>
      <c r="L78">
        <v>0</v>
      </c>
      <c r="M78">
        <v>1</v>
      </c>
      <c r="N78">
        <v>2020</v>
      </c>
      <c r="O78">
        <v>85.500534378339864</v>
      </c>
      <c r="P78">
        <v>0.1</v>
      </c>
      <c r="Q78">
        <v>0.65530492581602395</v>
      </c>
      <c r="R78">
        <v>0.67520284866468872</v>
      </c>
      <c r="S78">
        <v>0.6911211869436199</v>
      </c>
      <c r="T78">
        <v>0.73754967359050416</v>
      </c>
      <c r="U78">
        <v>0.76805982195845746</v>
      </c>
      <c r="V78">
        <v>0.79856997032640986</v>
      </c>
      <c r="W78">
        <v>0.83040664688427257</v>
      </c>
      <c r="X78">
        <v>156.48446310667379</v>
      </c>
      <c r="Y78">
        <v>150.79411899370379</v>
      </c>
      <c r="Z78">
        <v>145.81506789485519</v>
      </c>
      <c r="AA78">
        <v>143.6811888524914</v>
      </c>
      <c r="AB78">
        <v>141.54730981012759</v>
      </c>
      <c r="AC78">
        <v>139.41343076776391</v>
      </c>
      <c r="AD78">
        <v>137.99084473952149</v>
      </c>
      <c r="AE78">
        <v>0.97334225168618782</v>
      </c>
      <c r="AF78">
        <v>0.97334225168618782</v>
      </c>
      <c r="AG78">
        <v>0.97334225168618782</v>
      </c>
      <c r="AH78">
        <v>0.97334225168618782</v>
      </c>
      <c r="AI78">
        <v>0.97334225168618782</v>
      </c>
      <c r="AJ78">
        <v>0.97334225168618782</v>
      </c>
      <c r="AK78">
        <v>0.97334225168618782</v>
      </c>
    </row>
    <row r="79" spans="1:37" hidden="1" x14ac:dyDescent="0.25">
      <c r="A79" t="s">
        <v>90</v>
      </c>
      <c r="B79" t="s">
        <v>91</v>
      </c>
      <c r="C79" t="s">
        <v>164</v>
      </c>
      <c r="F79" t="s">
        <v>112</v>
      </c>
      <c r="G79" t="s">
        <v>94</v>
      </c>
      <c r="H79" t="s">
        <v>95</v>
      </c>
      <c r="I79" t="s">
        <v>165</v>
      </c>
      <c r="J79" t="s">
        <v>172</v>
      </c>
      <c r="K79" t="s">
        <v>98</v>
      </c>
      <c r="L79">
        <v>1</v>
      </c>
      <c r="M79">
        <v>1</v>
      </c>
      <c r="N79">
        <v>2020</v>
      </c>
      <c r="O79">
        <v>85.500534378339864</v>
      </c>
      <c r="P79">
        <v>0.7889390519187337</v>
      </c>
      <c r="Q79">
        <v>0.90336569732937955</v>
      </c>
      <c r="R79">
        <v>0.93918195845696884</v>
      </c>
      <c r="S79">
        <v>0.96305946587537217</v>
      </c>
      <c r="T79">
        <v>1.033365459940653</v>
      </c>
      <c r="U79">
        <v>1.073161305637983</v>
      </c>
      <c r="V79">
        <v>1.114283679525222</v>
      </c>
      <c r="W79">
        <v>1.1554060534124611</v>
      </c>
      <c r="X79">
        <v>170.7103233890991</v>
      </c>
      <c r="Y79">
        <v>162.17480721964449</v>
      </c>
      <c r="Z79">
        <v>157.1957561207941</v>
      </c>
      <c r="AA79">
        <v>153.63929105018931</v>
      </c>
      <c r="AB79">
        <v>151.5054120078255</v>
      </c>
      <c r="AC79">
        <v>149.37153296546191</v>
      </c>
      <c r="AD79">
        <v>147.23765392309809</v>
      </c>
      <c r="AE79">
        <v>1.0149380744078189</v>
      </c>
      <c r="AF79">
        <v>1.0149380744078189</v>
      </c>
      <c r="AG79">
        <v>1.0149380744078189</v>
      </c>
      <c r="AH79">
        <v>1.0149380744078189</v>
      </c>
      <c r="AI79">
        <v>1.0149380744078189</v>
      </c>
      <c r="AJ79">
        <v>1.0149380744078189</v>
      </c>
      <c r="AK79">
        <v>1.0149380744078189</v>
      </c>
    </row>
    <row r="80" spans="1:37" hidden="1" x14ac:dyDescent="0.25">
      <c r="A80" t="s">
        <v>90</v>
      </c>
      <c r="B80" t="s">
        <v>91</v>
      </c>
      <c r="C80" t="s">
        <v>164</v>
      </c>
      <c r="F80" t="s">
        <v>112</v>
      </c>
      <c r="G80" t="s">
        <v>99</v>
      </c>
      <c r="H80" t="s">
        <v>100</v>
      </c>
      <c r="I80" t="s">
        <v>165</v>
      </c>
      <c r="J80" t="s">
        <v>172</v>
      </c>
      <c r="K80" t="s">
        <v>98</v>
      </c>
      <c r="L80">
        <v>0</v>
      </c>
      <c r="M80">
        <v>1</v>
      </c>
      <c r="N80">
        <v>2020</v>
      </c>
      <c r="O80">
        <v>85.500534378339864</v>
      </c>
      <c r="P80">
        <v>0.1</v>
      </c>
      <c r="Q80">
        <v>0.90336569732937955</v>
      </c>
      <c r="R80">
        <v>0.93918195845696884</v>
      </c>
      <c r="S80">
        <v>0.96305946587537217</v>
      </c>
      <c r="T80">
        <v>1.033365459940653</v>
      </c>
      <c r="U80">
        <v>1.073161305637983</v>
      </c>
      <c r="V80">
        <v>1.114283679525222</v>
      </c>
      <c r="W80">
        <v>1.1554060534124611</v>
      </c>
      <c r="X80">
        <v>170.7103233890991</v>
      </c>
      <c r="Y80">
        <v>162.17480721964449</v>
      </c>
      <c r="Z80">
        <v>157.1957561207941</v>
      </c>
      <c r="AA80">
        <v>153.63929105018931</v>
      </c>
      <c r="AB80">
        <v>151.5054120078255</v>
      </c>
      <c r="AC80">
        <v>149.37153296546191</v>
      </c>
      <c r="AD80">
        <v>147.23765392309809</v>
      </c>
      <c r="AE80">
        <v>1.0149380744078189</v>
      </c>
      <c r="AF80">
        <v>1.0149380744078189</v>
      </c>
      <c r="AG80">
        <v>1.0149380744078189</v>
      </c>
      <c r="AH80">
        <v>1.0149380744078189</v>
      </c>
      <c r="AI80">
        <v>1.0149380744078189</v>
      </c>
      <c r="AJ80">
        <v>1.0149380744078189</v>
      </c>
      <c r="AK80">
        <v>1.0149380744078189</v>
      </c>
    </row>
    <row r="81" spans="1:37" hidden="1" x14ac:dyDescent="0.25">
      <c r="A81" t="s">
        <v>90</v>
      </c>
      <c r="B81" t="s">
        <v>91</v>
      </c>
      <c r="C81" t="s">
        <v>164</v>
      </c>
      <c r="F81" t="s">
        <v>112</v>
      </c>
      <c r="G81" t="s">
        <v>114</v>
      </c>
      <c r="H81" t="s">
        <v>115</v>
      </c>
      <c r="I81" t="s">
        <v>165</v>
      </c>
      <c r="J81" t="s">
        <v>172</v>
      </c>
      <c r="K81" t="s">
        <v>98</v>
      </c>
      <c r="L81">
        <v>0</v>
      </c>
      <c r="M81">
        <v>1</v>
      </c>
      <c r="N81">
        <v>2020</v>
      </c>
      <c r="O81">
        <v>85.500534378339864</v>
      </c>
      <c r="P81">
        <v>0.2110609480812663</v>
      </c>
      <c r="Q81">
        <v>0.90336569732937955</v>
      </c>
      <c r="R81">
        <v>0.93918195845696884</v>
      </c>
      <c r="S81">
        <v>0.96305946587537217</v>
      </c>
      <c r="T81">
        <v>1.033365459940653</v>
      </c>
      <c r="U81">
        <v>1.073161305637983</v>
      </c>
      <c r="V81">
        <v>1.114283679525222</v>
      </c>
      <c r="W81">
        <v>1.1554060534124611</v>
      </c>
      <c r="X81">
        <v>170.7103233890991</v>
      </c>
      <c r="Y81">
        <v>162.17480721964449</v>
      </c>
      <c r="Z81">
        <v>157.1957561207941</v>
      </c>
      <c r="AA81">
        <v>153.63929105018931</v>
      </c>
      <c r="AB81">
        <v>151.5054120078255</v>
      </c>
      <c r="AC81">
        <v>149.37153296546191</v>
      </c>
      <c r="AD81">
        <v>147.23765392309809</v>
      </c>
      <c r="AE81">
        <v>1.0149380744078189</v>
      </c>
      <c r="AF81">
        <v>1.0149380744078189</v>
      </c>
      <c r="AG81">
        <v>1.0149380744078189</v>
      </c>
      <c r="AH81">
        <v>1.0149380744078189</v>
      </c>
      <c r="AI81">
        <v>1.0149380744078189</v>
      </c>
      <c r="AJ81">
        <v>1.0149380744078189</v>
      </c>
      <c r="AK81">
        <v>1.0149380744078189</v>
      </c>
    </row>
    <row r="82" spans="1:37" hidden="1" x14ac:dyDescent="0.25">
      <c r="A82" t="s">
        <v>90</v>
      </c>
      <c r="B82" t="s">
        <v>91</v>
      </c>
      <c r="C82" t="s">
        <v>164</v>
      </c>
      <c r="F82" t="s">
        <v>116</v>
      </c>
      <c r="G82" t="s">
        <v>94</v>
      </c>
      <c r="H82" t="s">
        <v>95</v>
      </c>
      <c r="I82" t="s">
        <v>165</v>
      </c>
      <c r="J82" t="s">
        <v>173</v>
      </c>
      <c r="K82" t="s">
        <v>98</v>
      </c>
      <c r="L82">
        <v>1</v>
      </c>
      <c r="M82">
        <v>1</v>
      </c>
      <c r="N82">
        <v>2020</v>
      </c>
      <c r="O82">
        <v>85.500534378339864</v>
      </c>
      <c r="P82">
        <v>0.59593679458238857</v>
      </c>
      <c r="Q82">
        <v>1.130202017804159</v>
      </c>
      <c r="R82">
        <v>1.188569258160235</v>
      </c>
      <c r="S82">
        <v>1.2084671810088989</v>
      </c>
      <c r="T82">
        <v>1.301324154302667</v>
      </c>
      <c r="U82">
        <v>1.3530587537091989</v>
      </c>
      <c r="V82">
        <v>1.4061198813056379</v>
      </c>
      <c r="W82">
        <v>1.4591810089020769</v>
      </c>
      <c r="X82">
        <v>190.62652778449399</v>
      </c>
      <c r="Y82">
        <v>174.97808147382671</v>
      </c>
      <c r="Z82">
        <v>162.17480721964449</v>
      </c>
      <c r="AA82">
        <v>155.7731700925531</v>
      </c>
      <c r="AB82">
        <v>152.92799803606849</v>
      </c>
      <c r="AC82">
        <v>150.08282597958191</v>
      </c>
      <c r="AD82">
        <v>147.23765392309809</v>
      </c>
      <c r="AE82">
        <v>1.0149380744078189</v>
      </c>
      <c r="AF82">
        <v>1.0149380744078189</v>
      </c>
      <c r="AG82">
        <v>1.0149380744078189</v>
      </c>
      <c r="AH82">
        <v>1.0149380744078189</v>
      </c>
      <c r="AI82">
        <v>1.0149380744078189</v>
      </c>
      <c r="AJ82">
        <v>1.0149380744078189</v>
      </c>
      <c r="AK82">
        <v>1.0149380744078189</v>
      </c>
    </row>
    <row r="83" spans="1:37" hidden="1" x14ac:dyDescent="0.25">
      <c r="A83" t="s">
        <v>90</v>
      </c>
      <c r="B83" t="s">
        <v>91</v>
      </c>
      <c r="C83" t="s">
        <v>164</v>
      </c>
      <c r="F83" t="s">
        <v>116</v>
      </c>
      <c r="G83" t="s">
        <v>99</v>
      </c>
      <c r="H83" t="s">
        <v>100</v>
      </c>
      <c r="I83" t="s">
        <v>165</v>
      </c>
      <c r="J83" t="s">
        <v>173</v>
      </c>
      <c r="K83" t="s">
        <v>98</v>
      </c>
      <c r="L83">
        <v>0</v>
      </c>
      <c r="M83">
        <v>1</v>
      </c>
      <c r="N83">
        <v>2020</v>
      </c>
      <c r="O83">
        <v>85.500534378339864</v>
      </c>
      <c r="P83">
        <v>0.1</v>
      </c>
      <c r="Q83">
        <v>1.130202017804159</v>
      </c>
      <c r="R83">
        <v>1.188569258160235</v>
      </c>
      <c r="S83">
        <v>1.2084671810088989</v>
      </c>
      <c r="T83">
        <v>1.301324154302667</v>
      </c>
      <c r="U83">
        <v>1.3530587537091989</v>
      </c>
      <c r="V83">
        <v>1.4061198813056379</v>
      </c>
      <c r="W83">
        <v>1.4591810089020769</v>
      </c>
      <c r="X83">
        <v>190.62652778449399</v>
      </c>
      <c r="Y83">
        <v>174.97808147382671</v>
      </c>
      <c r="Z83">
        <v>162.17480721964449</v>
      </c>
      <c r="AA83">
        <v>155.7731700925531</v>
      </c>
      <c r="AB83">
        <v>152.92799803606849</v>
      </c>
      <c r="AC83">
        <v>150.08282597958191</v>
      </c>
      <c r="AD83">
        <v>147.23765392309809</v>
      </c>
      <c r="AE83">
        <v>1.0149380744078189</v>
      </c>
      <c r="AF83">
        <v>1.0149380744078189</v>
      </c>
      <c r="AG83">
        <v>1.0149380744078189</v>
      </c>
      <c r="AH83">
        <v>1.0149380744078189</v>
      </c>
      <c r="AI83">
        <v>1.0149380744078189</v>
      </c>
      <c r="AJ83">
        <v>1.0149380744078189</v>
      </c>
      <c r="AK83">
        <v>1.0149380744078189</v>
      </c>
    </row>
    <row r="84" spans="1:37" hidden="1" x14ac:dyDescent="0.25">
      <c r="A84" t="s">
        <v>90</v>
      </c>
      <c r="B84" t="s">
        <v>91</v>
      </c>
      <c r="C84" t="s">
        <v>164</v>
      </c>
      <c r="F84" t="s">
        <v>116</v>
      </c>
      <c r="G84" t="s">
        <v>114</v>
      </c>
      <c r="H84" t="s">
        <v>115</v>
      </c>
      <c r="I84" t="s">
        <v>165</v>
      </c>
      <c r="J84" t="s">
        <v>173</v>
      </c>
      <c r="K84" t="s">
        <v>98</v>
      </c>
      <c r="L84">
        <v>0</v>
      </c>
      <c r="M84">
        <v>1</v>
      </c>
      <c r="N84">
        <v>2020</v>
      </c>
      <c r="O84">
        <v>85.500534378339864</v>
      </c>
      <c r="P84">
        <v>0.40406320541761148</v>
      </c>
      <c r="Q84">
        <v>1.130202017804159</v>
      </c>
      <c r="R84">
        <v>1.188569258160235</v>
      </c>
      <c r="S84">
        <v>1.2084671810088989</v>
      </c>
      <c r="T84">
        <v>1.301324154302667</v>
      </c>
      <c r="U84">
        <v>1.3530587537091989</v>
      </c>
      <c r="V84">
        <v>1.4061198813056379</v>
      </c>
      <c r="W84">
        <v>1.4591810089020769</v>
      </c>
      <c r="X84">
        <v>190.62652778449399</v>
      </c>
      <c r="Y84">
        <v>174.97808147382671</v>
      </c>
      <c r="Z84">
        <v>162.17480721964449</v>
      </c>
      <c r="AA84">
        <v>155.7731700925531</v>
      </c>
      <c r="AB84">
        <v>152.92799803606849</v>
      </c>
      <c r="AC84">
        <v>150.08282597958191</v>
      </c>
      <c r="AD84">
        <v>147.23765392309809</v>
      </c>
      <c r="AE84">
        <v>1.0149380744078189</v>
      </c>
      <c r="AF84">
        <v>1.0149380744078189</v>
      </c>
      <c r="AG84">
        <v>1.0149380744078189</v>
      </c>
      <c r="AH84">
        <v>1.0149380744078189</v>
      </c>
      <c r="AI84">
        <v>1.0149380744078189</v>
      </c>
      <c r="AJ84">
        <v>1.0149380744078189</v>
      </c>
      <c r="AK84">
        <v>1.0149380744078189</v>
      </c>
    </row>
    <row r="85" spans="1:37" hidden="1" x14ac:dyDescent="0.25">
      <c r="A85" t="s">
        <v>90</v>
      </c>
      <c r="B85" t="s">
        <v>91</v>
      </c>
      <c r="C85" t="s">
        <v>164</v>
      </c>
      <c r="F85" t="s">
        <v>118</v>
      </c>
      <c r="G85" t="s">
        <v>119</v>
      </c>
      <c r="H85" t="s">
        <v>120</v>
      </c>
      <c r="I85" t="s">
        <v>165</v>
      </c>
      <c r="J85" t="s">
        <v>174</v>
      </c>
      <c r="K85" t="s">
        <v>98</v>
      </c>
      <c r="L85">
        <v>1</v>
      </c>
      <c r="M85">
        <v>1</v>
      </c>
      <c r="N85">
        <v>2020</v>
      </c>
      <c r="O85">
        <v>85.500534378339864</v>
      </c>
      <c r="P85">
        <v>1</v>
      </c>
      <c r="Q85">
        <v>0.48816237388724038</v>
      </c>
      <c r="R85">
        <v>0.47224403560830858</v>
      </c>
      <c r="S85">
        <v>0.54387655786350142</v>
      </c>
      <c r="T85">
        <v>0.57173364985163211</v>
      </c>
      <c r="U85">
        <v>0.60357032640949559</v>
      </c>
      <c r="V85">
        <v>0.63408047477744811</v>
      </c>
      <c r="W85">
        <v>0.66591715133531149</v>
      </c>
      <c r="X85">
        <v>171.42161640322001</v>
      </c>
      <c r="Y85">
        <v>168.576444346735</v>
      </c>
      <c r="Z85">
        <v>167.86515133261369</v>
      </c>
      <c r="AA85">
        <v>167.1538583184925</v>
      </c>
      <c r="AB85">
        <v>167.1538583184925</v>
      </c>
      <c r="AC85">
        <v>166.4425653043713</v>
      </c>
      <c r="AD85">
        <v>166.4425653043713</v>
      </c>
      <c r="AE85">
        <v>1.0315764034964729</v>
      </c>
      <c r="AF85">
        <v>1.0315764034964729</v>
      </c>
      <c r="AG85">
        <v>1.0315764034964729</v>
      </c>
      <c r="AH85">
        <v>1.0315764034964729</v>
      </c>
      <c r="AI85">
        <v>1.0315764034964729</v>
      </c>
      <c r="AJ85">
        <v>1.0315764034964729</v>
      </c>
      <c r="AK85">
        <v>1.0315764034964729</v>
      </c>
    </row>
    <row r="86" spans="1:37" hidden="1" x14ac:dyDescent="0.25">
      <c r="A86" t="s">
        <v>90</v>
      </c>
      <c r="B86" t="s">
        <v>91</v>
      </c>
      <c r="C86" t="s">
        <v>164</v>
      </c>
      <c r="F86" t="s">
        <v>118</v>
      </c>
      <c r="G86" t="s">
        <v>122</v>
      </c>
      <c r="H86" t="s">
        <v>123</v>
      </c>
      <c r="I86" t="s">
        <v>165</v>
      </c>
      <c r="J86" t="s">
        <v>174</v>
      </c>
      <c r="K86" t="s">
        <v>98</v>
      </c>
      <c r="L86">
        <v>0</v>
      </c>
      <c r="M86">
        <v>1</v>
      </c>
      <c r="N86">
        <v>2020</v>
      </c>
      <c r="O86">
        <v>85.500534378339864</v>
      </c>
      <c r="P86">
        <v>1</v>
      </c>
      <c r="Q86">
        <v>0.48816237388724038</v>
      </c>
      <c r="R86">
        <v>0.47224403560830858</v>
      </c>
      <c r="S86">
        <v>0.54387655786350142</v>
      </c>
      <c r="T86">
        <v>0.57173364985163211</v>
      </c>
      <c r="U86">
        <v>0.60357032640949559</v>
      </c>
      <c r="V86">
        <v>0.63408047477744811</v>
      </c>
      <c r="W86">
        <v>0.66591715133531149</v>
      </c>
      <c r="X86">
        <v>171.42161640322001</v>
      </c>
      <c r="Y86">
        <v>168.576444346735</v>
      </c>
      <c r="Z86">
        <v>167.86515133261369</v>
      </c>
      <c r="AA86">
        <v>167.1538583184925</v>
      </c>
      <c r="AB86">
        <v>167.1538583184925</v>
      </c>
      <c r="AC86">
        <v>166.4425653043713</v>
      </c>
      <c r="AD86">
        <v>166.4425653043713</v>
      </c>
      <c r="AE86">
        <v>1.0315764034964729</v>
      </c>
      <c r="AF86">
        <v>1.0315764034964729</v>
      </c>
      <c r="AG86">
        <v>1.0315764034964729</v>
      </c>
      <c r="AH86">
        <v>1.0315764034964729</v>
      </c>
      <c r="AI86">
        <v>1.0315764034964729</v>
      </c>
      <c r="AJ86">
        <v>1.0315764034964729</v>
      </c>
      <c r="AK86">
        <v>1.0315764034964729</v>
      </c>
    </row>
    <row r="87" spans="1:37" hidden="1" x14ac:dyDescent="0.25">
      <c r="A87" t="s">
        <v>90</v>
      </c>
      <c r="B87" t="s">
        <v>91</v>
      </c>
      <c r="C87" t="s">
        <v>164</v>
      </c>
      <c r="F87" t="s">
        <v>118</v>
      </c>
      <c r="G87" t="s">
        <v>124</v>
      </c>
      <c r="H87" t="s">
        <v>125</v>
      </c>
      <c r="I87" t="s">
        <v>165</v>
      </c>
      <c r="J87" t="s">
        <v>174</v>
      </c>
      <c r="K87" t="s">
        <v>98</v>
      </c>
      <c r="L87">
        <v>0</v>
      </c>
      <c r="M87">
        <v>1</v>
      </c>
      <c r="N87">
        <v>2020</v>
      </c>
      <c r="O87">
        <v>85.500534378339864</v>
      </c>
      <c r="P87">
        <v>0.1</v>
      </c>
      <c r="Q87">
        <v>0.48816237388724038</v>
      </c>
      <c r="R87">
        <v>0.47224403560830858</v>
      </c>
      <c r="S87">
        <v>0.54387655786350142</v>
      </c>
      <c r="T87">
        <v>0.57173364985163211</v>
      </c>
      <c r="U87">
        <v>0.60357032640949559</v>
      </c>
      <c r="V87">
        <v>0.63408047477744811</v>
      </c>
      <c r="W87">
        <v>0.66591715133531149</v>
      </c>
      <c r="X87">
        <v>171.42161640322001</v>
      </c>
      <c r="Y87">
        <v>168.576444346735</v>
      </c>
      <c r="Z87">
        <v>167.86515133261369</v>
      </c>
      <c r="AA87">
        <v>167.1538583184925</v>
      </c>
      <c r="AB87">
        <v>167.1538583184925</v>
      </c>
      <c r="AC87">
        <v>166.4425653043713</v>
      </c>
      <c r="AD87">
        <v>166.4425653043713</v>
      </c>
      <c r="AE87">
        <v>1.0315764034964729</v>
      </c>
      <c r="AF87">
        <v>1.0315764034964729</v>
      </c>
      <c r="AG87">
        <v>1.0315764034964729</v>
      </c>
      <c r="AH87">
        <v>1.0315764034964729</v>
      </c>
      <c r="AI87">
        <v>1.0315764034964729</v>
      </c>
      <c r="AJ87">
        <v>1.0315764034964729</v>
      </c>
      <c r="AK87">
        <v>1.0315764034964729</v>
      </c>
    </row>
    <row r="88" spans="1:37" hidden="1" x14ac:dyDescent="0.25">
      <c r="A88" t="s">
        <v>90</v>
      </c>
      <c r="B88" t="s">
        <v>91</v>
      </c>
      <c r="C88" t="s">
        <v>164</v>
      </c>
      <c r="F88" t="s">
        <v>126</v>
      </c>
      <c r="G88" t="s">
        <v>127</v>
      </c>
      <c r="H88" t="s">
        <v>128</v>
      </c>
      <c r="I88" t="s">
        <v>165</v>
      </c>
      <c r="J88" t="s">
        <v>175</v>
      </c>
      <c r="K88" t="s">
        <v>98</v>
      </c>
      <c r="L88">
        <v>1</v>
      </c>
      <c r="M88">
        <v>1</v>
      </c>
      <c r="N88">
        <v>2020</v>
      </c>
      <c r="O88">
        <v>85.500534378339864</v>
      </c>
      <c r="P88">
        <v>1</v>
      </c>
      <c r="Q88">
        <v>0.39397887240356078</v>
      </c>
      <c r="R88">
        <v>0.42050943620178038</v>
      </c>
      <c r="S88">
        <v>0.47489709198813052</v>
      </c>
      <c r="T88">
        <v>0.509386824925816</v>
      </c>
      <c r="U88">
        <v>0.53724391691394657</v>
      </c>
      <c r="V88">
        <v>0.56510100890207715</v>
      </c>
      <c r="W88">
        <v>0.59163157270029676</v>
      </c>
      <c r="X88">
        <v>185.64747668564479</v>
      </c>
      <c r="Y88">
        <v>182.80230462915989</v>
      </c>
      <c r="Z88">
        <v>182.80230462915989</v>
      </c>
      <c r="AA88">
        <v>182.09101161503861</v>
      </c>
      <c r="AB88">
        <v>182.09101161503861</v>
      </c>
      <c r="AC88">
        <v>181.37971860091741</v>
      </c>
      <c r="AD88">
        <v>181.37971860091741</v>
      </c>
      <c r="AE88">
        <v>1.0315764034964729</v>
      </c>
      <c r="AF88">
        <v>1.0315764034964729</v>
      </c>
      <c r="AG88">
        <v>1.0315764034964729</v>
      </c>
      <c r="AH88">
        <v>1.0315764034964729</v>
      </c>
      <c r="AI88">
        <v>1.0315764034964729</v>
      </c>
      <c r="AJ88">
        <v>1.0315764034964729</v>
      </c>
      <c r="AK88">
        <v>1.0315764034964729</v>
      </c>
    </row>
    <row r="89" spans="1:37" hidden="1" x14ac:dyDescent="0.25">
      <c r="A89" t="s">
        <v>90</v>
      </c>
      <c r="B89" t="s">
        <v>91</v>
      </c>
      <c r="C89" t="s">
        <v>164</v>
      </c>
      <c r="F89" t="s">
        <v>126</v>
      </c>
      <c r="G89" t="s">
        <v>130</v>
      </c>
      <c r="H89" t="s">
        <v>131</v>
      </c>
      <c r="I89" t="s">
        <v>165</v>
      </c>
      <c r="J89" t="s">
        <v>175</v>
      </c>
      <c r="K89" t="s">
        <v>98</v>
      </c>
      <c r="L89">
        <v>0</v>
      </c>
      <c r="M89">
        <v>1</v>
      </c>
      <c r="N89">
        <v>2020</v>
      </c>
      <c r="O89">
        <v>85.500534378339864</v>
      </c>
      <c r="P89">
        <v>1</v>
      </c>
      <c r="Q89">
        <v>0.39397887240356078</v>
      </c>
      <c r="R89">
        <v>0.42050943620178038</v>
      </c>
      <c r="S89">
        <v>0.47489709198813052</v>
      </c>
      <c r="T89">
        <v>0.509386824925816</v>
      </c>
      <c r="U89">
        <v>0.53724391691394657</v>
      </c>
      <c r="V89">
        <v>0.56510100890207715</v>
      </c>
      <c r="W89">
        <v>0.59163157270029676</v>
      </c>
      <c r="X89">
        <v>185.64747668564479</v>
      </c>
      <c r="Y89">
        <v>182.80230462915989</v>
      </c>
      <c r="Z89">
        <v>182.80230462915989</v>
      </c>
      <c r="AA89">
        <v>182.09101161503861</v>
      </c>
      <c r="AB89">
        <v>182.09101161503861</v>
      </c>
      <c r="AC89">
        <v>181.37971860091741</v>
      </c>
      <c r="AD89">
        <v>181.37971860091741</v>
      </c>
      <c r="AE89">
        <v>1.0315764034964729</v>
      </c>
      <c r="AF89">
        <v>1.0315764034964729</v>
      </c>
      <c r="AG89">
        <v>1.0315764034964729</v>
      </c>
      <c r="AH89">
        <v>1.0315764034964729</v>
      </c>
      <c r="AI89">
        <v>1.0315764034964729</v>
      </c>
      <c r="AJ89">
        <v>1.0315764034964729</v>
      </c>
      <c r="AK89">
        <v>1.0315764034964729</v>
      </c>
    </row>
    <row r="90" spans="1:37" hidden="1" x14ac:dyDescent="0.25">
      <c r="A90" t="s">
        <v>90</v>
      </c>
      <c r="B90" t="s">
        <v>91</v>
      </c>
      <c r="C90" t="s">
        <v>164</v>
      </c>
      <c r="F90" t="s">
        <v>132</v>
      </c>
      <c r="G90" t="s">
        <v>133</v>
      </c>
      <c r="H90" t="s">
        <v>134</v>
      </c>
      <c r="I90" t="s">
        <v>165</v>
      </c>
      <c r="J90" t="s">
        <v>176</v>
      </c>
      <c r="K90" t="s">
        <v>98</v>
      </c>
      <c r="L90">
        <v>1</v>
      </c>
      <c r="M90">
        <v>1</v>
      </c>
      <c r="N90">
        <v>2020</v>
      </c>
      <c r="O90">
        <v>85.500534378339864</v>
      </c>
      <c r="P90">
        <v>1</v>
      </c>
      <c r="Q90">
        <v>0.99887572700296734</v>
      </c>
      <c r="R90">
        <v>1.036018516320474</v>
      </c>
      <c r="S90">
        <v>1.058569495548962</v>
      </c>
      <c r="T90">
        <v>1.1328550741839769</v>
      </c>
      <c r="U90">
        <v>1.163365222551928</v>
      </c>
      <c r="V90">
        <v>1.1938753709198811</v>
      </c>
      <c r="W90">
        <v>1.2230589910979219</v>
      </c>
      <c r="X90">
        <v>197.7394579257062</v>
      </c>
      <c r="Y90">
        <v>182.09101161503881</v>
      </c>
      <c r="Z90">
        <v>168.57644434673509</v>
      </c>
      <c r="AA90">
        <v>152.2167050219465</v>
      </c>
      <c r="AB90">
        <v>147.94894693721901</v>
      </c>
      <c r="AC90">
        <v>143.6811888524914</v>
      </c>
      <c r="AD90">
        <v>139.41343076776391</v>
      </c>
      <c r="AE90">
        <v>0.74872480898937499</v>
      </c>
      <c r="AF90">
        <v>0.74872480898937499</v>
      </c>
      <c r="AG90">
        <v>0.74872480898937499</v>
      </c>
      <c r="AH90">
        <v>0.74872480898937499</v>
      </c>
      <c r="AI90">
        <v>0.74872480898937499</v>
      </c>
      <c r="AJ90">
        <v>0.74872480898937499</v>
      </c>
      <c r="AK90">
        <v>0.74872480898937499</v>
      </c>
    </row>
    <row r="91" spans="1:37" hidden="1" x14ac:dyDescent="0.25">
      <c r="A91" t="s">
        <v>90</v>
      </c>
      <c r="B91" t="s">
        <v>91</v>
      </c>
      <c r="C91" t="s">
        <v>164</v>
      </c>
      <c r="F91" t="s">
        <v>136</v>
      </c>
      <c r="G91" t="s">
        <v>133</v>
      </c>
      <c r="H91" t="s">
        <v>134</v>
      </c>
      <c r="I91" t="s">
        <v>165</v>
      </c>
      <c r="J91" t="s">
        <v>177</v>
      </c>
      <c r="K91" t="s">
        <v>98</v>
      </c>
      <c r="L91">
        <v>1</v>
      </c>
      <c r="M91">
        <v>1</v>
      </c>
      <c r="N91">
        <v>2020</v>
      </c>
      <c r="O91">
        <v>85.500534378339864</v>
      </c>
      <c r="P91">
        <v>1</v>
      </c>
      <c r="Q91">
        <v>0.98959002967358989</v>
      </c>
      <c r="R91">
        <v>1.0254062908011869</v>
      </c>
      <c r="S91">
        <v>1.045304213649852</v>
      </c>
      <c r="T91">
        <v>1.1209163204747781</v>
      </c>
      <c r="U91">
        <v>1.150099940652819</v>
      </c>
      <c r="V91">
        <v>1.1792835608308609</v>
      </c>
      <c r="W91">
        <v>1.2084671810089009</v>
      </c>
      <c r="X91">
        <v>203.4298020386758</v>
      </c>
      <c r="Y91">
        <v>187.0700627138873</v>
      </c>
      <c r="Z91">
        <v>174.266788459705</v>
      </c>
      <c r="AA91">
        <v>156.48446310667379</v>
      </c>
      <c r="AB91">
        <v>152.2167050219465</v>
      </c>
      <c r="AC91">
        <v>147.94894693721901</v>
      </c>
      <c r="AD91">
        <v>143.6811888524914</v>
      </c>
      <c r="AE91">
        <v>0.74872480898937499</v>
      </c>
      <c r="AF91">
        <v>0.74872480898937499</v>
      </c>
      <c r="AG91">
        <v>0.74872480898937499</v>
      </c>
      <c r="AH91">
        <v>0.74872480898937499</v>
      </c>
      <c r="AI91">
        <v>0.74872480898937499</v>
      </c>
      <c r="AJ91">
        <v>0.74872480898937499</v>
      </c>
      <c r="AK91">
        <v>0.74872480898937499</v>
      </c>
    </row>
    <row r="92" spans="1:37" hidden="1" x14ac:dyDescent="0.25">
      <c r="A92" t="s">
        <v>90</v>
      </c>
      <c r="B92" t="s">
        <v>91</v>
      </c>
      <c r="C92" t="s">
        <v>164</v>
      </c>
      <c r="F92" t="s">
        <v>138</v>
      </c>
      <c r="G92" t="s">
        <v>114</v>
      </c>
      <c r="H92" t="s">
        <v>115</v>
      </c>
      <c r="I92" t="s">
        <v>165</v>
      </c>
      <c r="J92" t="s">
        <v>178</v>
      </c>
      <c r="K92" t="s">
        <v>98</v>
      </c>
      <c r="L92">
        <v>1</v>
      </c>
      <c r="M92">
        <v>1</v>
      </c>
      <c r="N92">
        <v>2020</v>
      </c>
      <c r="O92">
        <v>85.500534378339864</v>
      </c>
      <c r="P92">
        <v>1</v>
      </c>
      <c r="Q92">
        <v>2.1357103857566768</v>
      </c>
      <c r="R92">
        <v>2.2285673590504449</v>
      </c>
      <c r="S92">
        <v>2.281628486646885</v>
      </c>
      <c r="T92">
        <v>2.4806077151335311</v>
      </c>
      <c r="U92">
        <v>2.5601994065281901</v>
      </c>
      <c r="V92">
        <v>2.6530563798219591</v>
      </c>
      <c r="W92">
        <v>2.7459133531157272</v>
      </c>
      <c r="X92">
        <v>160.04092817728011</v>
      </c>
      <c r="Y92">
        <v>149.3715329654614</v>
      </c>
      <c r="Z92">
        <v>134.43437966891531</v>
      </c>
      <c r="AA92">
        <v>125.18757048533899</v>
      </c>
      <c r="AB92">
        <v>120.9198124006116</v>
      </c>
      <c r="AC92">
        <v>116.6520543158841</v>
      </c>
      <c r="AD92">
        <v>112.3842962311567</v>
      </c>
      <c r="AE92">
        <v>0.69714598881455148</v>
      </c>
      <c r="AF92">
        <v>0.69714598881455148</v>
      </c>
      <c r="AG92">
        <v>0.69714598881455148</v>
      </c>
      <c r="AH92">
        <v>0.69714598881455148</v>
      </c>
      <c r="AI92">
        <v>0.69714598881455148</v>
      </c>
      <c r="AJ92">
        <v>0.69714598881455148</v>
      </c>
      <c r="AK92">
        <v>0.69714598881455148</v>
      </c>
    </row>
    <row r="93" spans="1:37" hidden="1" x14ac:dyDescent="0.25">
      <c r="A93" t="s">
        <v>90</v>
      </c>
      <c r="B93" t="s">
        <v>91</v>
      </c>
      <c r="C93" t="s">
        <v>164</v>
      </c>
      <c r="F93" t="s">
        <v>140</v>
      </c>
      <c r="G93" t="s">
        <v>114</v>
      </c>
      <c r="H93" t="s">
        <v>115</v>
      </c>
      <c r="I93" t="s">
        <v>165</v>
      </c>
      <c r="J93" t="s">
        <v>179</v>
      </c>
      <c r="K93" t="s">
        <v>98</v>
      </c>
      <c r="L93">
        <v>1</v>
      </c>
      <c r="M93">
        <v>1</v>
      </c>
      <c r="N93">
        <v>2020</v>
      </c>
      <c r="O93">
        <v>85.500534378339864</v>
      </c>
      <c r="P93">
        <v>1</v>
      </c>
      <c r="Q93">
        <v>2.0295881305637979</v>
      </c>
      <c r="R93">
        <v>2.1224451038575669</v>
      </c>
      <c r="S93">
        <v>2.202036795252226</v>
      </c>
      <c r="T93">
        <v>2.401016023738872</v>
      </c>
      <c r="U93">
        <v>2.4806077151335311</v>
      </c>
      <c r="V93">
        <v>2.5601994065281901</v>
      </c>
      <c r="W93">
        <v>2.6530563798219591</v>
      </c>
      <c r="X93">
        <v>192.76040682685729</v>
      </c>
      <c r="Y93">
        <v>177.11196051619001</v>
      </c>
      <c r="Z93">
        <v>155.06187707843131</v>
      </c>
      <c r="AA93">
        <v>142.2586028242489</v>
      </c>
      <c r="AB93">
        <v>135.85696569715779</v>
      </c>
      <c r="AC93">
        <v>129.45532857006651</v>
      </c>
      <c r="AD93">
        <v>123.05369144297531</v>
      </c>
      <c r="AE93">
        <v>0.69714598881455148</v>
      </c>
      <c r="AF93">
        <v>0.69714598881455148</v>
      </c>
      <c r="AG93">
        <v>0.69714598881455148</v>
      </c>
      <c r="AH93">
        <v>0.69714598881455148</v>
      </c>
      <c r="AI93">
        <v>0.69714598881455148</v>
      </c>
      <c r="AJ93">
        <v>0.69714598881455148</v>
      </c>
      <c r="AK93">
        <v>0.69714598881455148</v>
      </c>
    </row>
    <row r="94" spans="1:37" hidden="1" x14ac:dyDescent="0.25">
      <c r="A94" t="s">
        <v>90</v>
      </c>
      <c r="B94" t="s">
        <v>91</v>
      </c>
      <c r="C94" t="s">
        <v>164</v>
      </c>
      <c r="F94" t="s">
        <v>142</v>
      </c>
      <c r="G94" t="s">
        <v>114</v>
      </c>
      <c r="H94" t="s">
        <v>115</v>
      </c>
      <c r="I94" t="s">
        <v>165</v>
      </c>
      <c r="J94" t="s">
        <v>180</v>
      </c>
      <c r="K94" t="s">
        <v>98</v>
      </c>
      <c r="L94">
        <v>1</v>
      </c>
      <c r="M94">
        <v>1</v>
      </c>
      <c r="N94">
        <v>2020</v>
      </c>
      <c r="O94">
        <v>85.500534378339864</v>
      </c>
      <c r="P94">
        <v>1</v>
      </c>
      <c r="Q94">
        <v>1.830608902077151</v>
      </c>
      <c r="R94">
        <v>1.91020059347181</v>
      </c>
      <c r="S94">
        <v>2.003057566765579</v>
      </c>
      <c r="T94">
        <v>2.188771513353116</v>
      </c>
      <c r="U94">
        <v>2.2683632047477751</v>
      </c>
      <c r="V94">
        <v>2.3612201780415432</v>
      </c>
      <c r="W94">
        <v>2.4540771513353121</v>
      </c>
      <c r="X94">
        <v>236.8605737023745</v>
      </c>
      <c r="Y94">
        <v>216.23307629285841</v>
      </c>
      <c r="Z94">
        <v>182.80230462915989</v>
      </c>
      <c r="AA94">
        <v>164.30868626200751</v>
      </c>
      <c r="AB94">
        <v>155.77317009255259</v>
      </c>
      <c r="AC94">
        <v>146.52636090897639</v>
      </c>
      <c r="AD94">
        <v>137.99084473952149</v>
      </c>
      <c r="AE94">
        <v>0.69714598881455148</v>
      </c>
      <c r="AF94">
        <v>0.69714598881455148</v>
      </c>
      <c r="AG94">
        <v>0.69714598881455148</v>
      </c>
      <c r="AH94">
        <v>0.69714598881455148</v>
      </c>
      <c r="AI94">
        <v>0.69714598881455148</v>
      </c>
      <c r="AJ94">
        <v>0.69714598881455148</v>
      </c>
      <c r="AK94">
        <v>0.69714598881455148</v>
      </c>
    </row>
    <row r="95" spans="1:37" hidden="1" x14ac:dyDescent="0.25">
      <c r="A95" t="s">
        <v>90</v>
      </c>
      <c r="B95" t="s">
        <v>91</v>
      </c>
      <c r="C95" t="s">
        <v>164</v>
      </c>
      <c r="F95" t="s">
        <v>144</v>
      </c>
      <c r="G95" t="s">
        <v>114</v>
      </c>
      <c r="H95" t="s">
        <v>115</v>
      </c>
      <c r="I95" t="s">
        <v>165</v>
      </c>
      <c r="J95" t="s">
        <v>181</v>
      </c>
      <c r="K95" t="s">
        <v>98</v>
      </c>
      <c r="L95">
        <v>1</v>
      </c>
      <c r="M95">
        <v>1</v>
      </c>
      <c r="N95">
        <v>2020</v>
      </c>
      <c r="O95">
        <v>85.500534378339864</v>
      </c>
      <c r="P95">
        <v>1</v>
      </c>
      <c r="Q95">
        <v>1.644894955489614</v>
      </c>
      <c r="R95">
        <v>1.724486646884273</v>
      </c>
      <c r="S95">
        <v>1.8438741839762609</v>
      </c>
      <c r="T95">
        <v>2.016322848664688</v>
      </c>
      <c r="U95">
        <v>2.0826492581602372</v>
      </c>
      <c r="V95">
        <v>2.1622409495548962</v>
      </c>
      <c r="W95">
        <v>2.2550979228486652</v>
      </c>
      <c r="X95">
        <v>290.20754976146782</v>
      </c>
      <c r="Y95">
        <v>262.46712221073932</v>
      </c>
      <c r="Z95">
        <v>214.81049026461591</v>
      </c>
      <c r="AA95">
        <v>189.91523477037231</v>
      </c>
      <c r="AB95">
        <v>178.5345465444324</v>
      </c>
      <c r="AC95">
        <v>167.1538583184925</v>
      </c>
      <c r="AD95">
        <v>155.77317009255259</v>
      </c>
      <c r="AE95">
        <v>0.69714598881455148</v>
      </c>
      <c r="AF95">
        <v>0.69714598881455148</v>
      </c>
      <c r="AG95">
        <v>0.69714598881455148</v>
      </c>
      <c r="AH95">
        <v>0.69714598881455148</v>
      </c>
      <c r="AI95">
        <v>0.69714598881455148</v>
      </c>
      <c r="AJ95">
        <v>0.69714598881455148</v>
      </c>
      <c r="AK95">
        <v>0.69714598881455148</v>
      </c>
    </row>
    <row r="96" spans="1:37" hidden="1" x14ac:dyDescent="0.25">
      <c r="A96" t="s">
        <v>90</v>
      </c>
      <c r="B96" t="s">
        <v>182</v>
      </c>
      <c r="C96" t="s">
        <v>183</v>
      </c>
      <c r="F96" t="s">
        <v>93</v>
      </c>
      <c r="G96" t="s">
        <v>94</v>
      </c>
      <c r="H96" t="s">
        <v>95</v>
      </c>
      <c r="I96" t="s">
        <v>184</v>
      </c>
      <c r="J96" t="s">
        <v>185</v>
      </c>
      <c r="K96" t="s">
        <v>98</v>
      </c>
      <c r="L96">
        <v>1</v>
      </c>
      <c r="M96">
        <v>1</v>
      </c>
      <c r="N96">
        <v>2020</v>
      </c>
      <c r="O96">
        <v>15.579764908323551</v>
      </c>
      <c r="P96">
        <v>1</v>
      </c>
      <c r="Q96">
        <v>0.2480607715133531</v>
      </c>
      <c r="R96">
        <v>0.24540771513353121</v>
      </c>
      <c r="S96">
        <v>0.28255050445103852</v>
      </c>
      <c r="T96">
        <v>0.30908106824925802</v>
      </c>
      <c r="U96">
        <v>0.32499940652818993</v>
      </c>
      <c r="V96">
        <v>0.33959121661721092</v>
      </c>
      <c r="W96">
        <v>0.35418302670623159</v>
      </c>
      <c r="X96">
        <v>184.22489065740251</v>
      </c>
      <c r="Y96">
        <v>184.22489065740251</v>
      </c>
      <c r="Z96">
        <v>187.78135572800869</v>
      </c>
      <c r="AA96">
        <v>196.31687189746339</v>
      </c>
      <c r="AB96">
        <v>196.31687189746339</v>
      </c>
      <c r="AC96">
        <v>195.60557888334239</v>
      </c>
      <c r="AD96">
        <v>195.60557888334239</v>
      </c>
      <c r="AE96">
        <v>5.6155558990605714</v>
      </c>
      <c r="AF96">
        <v>5.6155558990605714</v>
      </c>
      <c r="AG96">
        <v>5.6155558990605714</v>
      </c>
      <c r="AH96">
        <v>5.6155558990605714</v>
      </c>
      <c r="AI96">
        <v>5.6155558990605714</v>
      </c>
      <c r="AJ96">
        <v>5.6155558990605714</v>
      </c>
      <c r="AK96">
        <v>5.6155558990605714</v>
      </c>
    </row>
    <row r="97" spans="1:37" hidden="1" x14ac:dyDescent="0.25">
      <c r="A97" t="s">
        <v>90</v>
      </c>
      <c r="B97" t="s">
        <v>182</v>
      </c>
      <c r="C97" t="s">
        <v>183</v>
      </c>
      <c r="F97" t="s">
        <v>93</v>
      </c>
      <c r="G97" t="s">
        <v>99</v>
      </c>
      <c r="H97" t="s">
        <v>100</v>
      </c>
      <c r="I97" t="s">
        <v>184</v>
      </c>
      <c r="J97" t="s">
        <v>185</v>
      </c>
      <c r="K97" t="s">
        <v>98</v>
      </c>
      <c r="L97">
        <v>0</v>
      </c>
      <c r="M97">
        <v>1</v>
      </c>
      <c r="N97">
        <v>2020</v>
      </c>
      <c r="O97">
        <v>15.579764908323551</v>
      </c>
      <c r="P97">
        <v>0.1</v>
      </c>
      <c r="Q97">
        <v>0.2480607715133531</v>
      </c>
      <c r="R97">
        <v>0.24540771513353121</v>
      </c>
      <c r="S97">
        <v>0.28255050445103852</v>
      </c>
      <c r="T97">
        <v>0.30908106824925802</v>
      </c>
      <c r="U97">
        <v>0.32499940652818993</v>
      </c>
      <c r="V97">
        <v>0.33959121661721092</v>
      </c>
      <c r="W97">
        <v>0.35418302670623159</v>
      </c>
      <c r="X97">
        <v>184.22489065740251</v>
      </c>
      <c r="Y97">
        <v>184.22489065740251</v>
      </c>
      <c r="Z97">
        <v>187.78135572800869</v>
      </c>
      <c r="AA97">
        <v>196.31687189746339</v>
      </c>
      <c r="AB97">
        <v>196.31687189746339</v>
      </c>
      <c r="AC97">
        <v>195.60557888334239</v>
      </c>
      <c r="AD97">
        <v>195.60557888334239</v>
      </c>
      <c r="AE97">
        <v>5.6155558990605714</v>
      </c>
      <c r="AF97">
        <v>5.6155558990605714</v>
      </c>
      <c r="AG97">
        <v>5.6155558990605714</v>
      </c>
      <c r="AH97">
        <v>5.6155558990605714</v>
      </c>
      <c r="AI97">
        <v>5.6155558990605714</v>
      </c>
      <c r="AJ97">
        <v>5.6155558990605714</v>
      </c>
      <c r="AK97">
        <v>5.6155558990605714</v>
      </c>
    </row>
    <row r="98" spans="1:37" hidden="1" x14ac:dyDescent="0.25">
      <c r="A98" t="s">
        <v>90</v>
      </c>
      <c r="B98" t="s">
        <v>182</v>
      </c>
      <c r="C98" t="s">
        <v>183</v>
      </c>
      <c r="F98" t="s">
        <v>101</v>
      </c>
      <c r="G98" t="s">
        <v>94</v>
      </c>
      <c r="H98" t="s">
        <v>95</v>
      </c>
      <c r="I98" t="s">
        <v>184</v>
      </c>
      <c r="J98" t="s">
        <v>186</v>
      </c>
      <c r="K98" t="s">
        <v>98</v>
      </c>
      <c r="L98">
        <v>1</v>
      </c>
      <c r="M98">
        <v>1</v>
      </c>
      <c r="N98">
        <v>2020</v>
      </c>
      <c r="O98">
        <v>15.579764908323551</v>
      </c>
      <c r="P98">
        <v>1</v>
      </c>
      <c r="Q98">
        <v>0.2732648071216619</v>
      </c>
      <c r="R98">
        <v>0.27459133531157282</v>
      </c>
      <c r="S98">
        <v>0.30377495548961408</v>
      </c>
      <c r="T98">
        <v>0.33163204747774477</v>
      </c>
      <c r="U98">
        <v>0.34887691394658737</v>
      </c>
      <c r="V98">
        <v>0.36612178041543048</v>
      </c>
      <c r="W98">
        <v>0.3833666468842728</v>
      </c>
      <c r="X98">
        <v>191.3378207986149</v>
      </c>
      <c r="Y98">
        <v>190.6265277844935</v>
      </c>
      <c r="Z98">
        <v>194.18299285509971</v>
      </c>
      <c r="AA98">
        <v>202.71850902455481</v>
      </c>
      <c r="AB98">
        <v>202.0072160104335</v>
      </c>
      <c r="AC98">
        <v>202.0072160104335</v>
      </c>
      <c r="AD98">
        <v>201.2959229963123</v>
      </c>
      <c r="AE98">
        <v>5.6155558990605714</v>
      </c>
      <c r="AF98">
        <v>5.6155558990605714</v>
      </c>
      <c r="AG98">
        <v>5.6155558990605714</v>
      </c>
      <c r="AH98">
        <v>5.6155558990605714</v>
      </c>
      <c r="AI98">
        <v>5.6155558990605714</v>
      </c>
      <c r="AJ98">
        <v>5.6155558990605714</v>
      </c>
      <c r="AK98">
        <v>5.6155558990605714</v>
      </c>
    </row>
    <row r="99" spans="1:37" hidden="1" x14ac:dyDescent="0.25">
      <c r="A99" t="s">
        <v>90</v>
      </c>
      <c r="B99" t="s">
        <v>182</v>
      </c>
      <c r="C99" t="s">
        <v>183</v>
      </c>
      <c r="F99" t="s">
        <v>101</v>
      </c>
      <c r="G99" t="s">
        <v>99</v>
      </c>
      <c r="H99" t="s">
        <v>100</v>
      </c>
      <c r="I99" t="s">
        <v>184</v>
      </c>
      <c r="J99" t="s">
        <v>186</v>
      </c>
      <c r="K99" t="s">
        <v>98</v>
      </c>
      <c r="L99">
        <v>0</v>
      </c>
      <c r="M99">
        <v>1</v>
      </c>
      <c r="N99">
        <v>2020</v>
      </c>
      <c r="O99">
        <v>15.579764908323551</v>
      </c>
      <c r="P99">
        <v>0.1</v>
      </c>
      <c r="Q99">
        <v>0.2732648071216619</v>
      </c>
      <c r="R99">
        <v>0.27459133531157282</v>
      </c>
      <c r="S99">
        <v>0.30377495548961408</v>
      </c>
      <c r="T99">
        <v>0.33163204747774477</v>
      </c>
      <c r="U99">
        <v>0.34887691394658737</v>
      </c>
      <c r="V99">
        <v>0.36612178041543048</v>
      </c>
      <c r="W99">
        <v>0.3833666468842728</v>
      </c>
      <c r="X99">
        <v>191.3378207986149</v>
      </c>
      <c r="Y99">
        <v>190.6265277844935</v>
      </c>
      <c r="Z99">
        <v>194.18299285509971</v>
      </c>
      <c r="AA99">
        <v>202.71850902455481</v>
      </c>
      <c r="AB99">
        <v>202.0072160104335</v>
      </c>
      <c r="AC99">
        <v>202.0072160104335</v>
      </c>
      <c r="AD99">
        <v>201.2959229963123</v>
      </c>
      <c r="AE99">
        <v>5.6155558990605714</v>
      </c>
      <c r="AF99">
        <v>5.6155558990605714</v>
      </c>
      <c r="AG99">
        <v>5.6155558990605714</v>
      </c>
      <c r="AH99">
        <v>5.6155558990605714</v>
      </c>
      <c r="AI99">
        <v>5.6155558990605714</v>
      </c>
      <c r="AJ99">
        <v>5.6155558990605714</v>
      </c>
      <c r="AK99">
        <v>5.6155558990605714</v>
      </c>
    </row>
    <row r="100" spans="1:37" hidden="1" x14ac:dyDescent="0.25">
      <c r="A100" t="s">
        <v>90</v>
      </c>
      <c r="B100" t="s">
        <v>182</v>
      </c>
      <c r="C100" t="s">
        <v>183</v>
      </c>
      <c r="F100" t="s">
        <v>103</v>
      </c>
      <c r="G100" t="s">
        <v>94</v>
      </c>
      <c r="H100" t="s">
        <v>95</v>
      </c>
      <c r="I100" t="s">
        <v>184</v>
      </c>
      <c r="J100" t="s">
        <v>187</v>
      </c>
      <c r="K100" t="s">
        <v>98</v>
      </c>
      <c r="L100">
        <v>1</v>
      </c>
      <c r="M100">
        <v>1</v>
      </c>
      <c r="N100">
        <v>2020</v>
      </c>
      <c r="O100">
        <v>15.579764908323551</v>
      </c>
      <c r="P100">
        <v>1</v>
      </c>
      <c r="Q100">
        <v>0.25469341246290811</v>
      </c>
      <c r="R100">
        <v>0.25336688427299719</v>
      </c>
      <c r="S100">
        <v>0.29183620178041542</v>
      </c>
      <c r="T100">
        <v>0.31969329376854611</v>
      </c>
      <c r="U100">
        <v>0.33561163204747763</v>
      </c>
      <c r="V100">
        <v>0.35152997032640948</v>
      </c>
      <c r="W100">
        <v>0.36612178041543048</v>
      </c>
      <c r="X100">
        <v>185.6474766856449</v>
      </c>
      <c r="Y100">
        <v>184.93618367152351</v>
      </c>
      <c r="Z100">
        <v>189.20394175625111</v>
      </c>
      <c r="AA100">
        <v>197.7394579257062</v>
      </c>
      <c r="AB100">
        <v>197.02816491158481</v>
      </c>
      <c r="AC100">
        <v>197.02816491158481</v>
      </c>
      <c r="AD100">
        <v>196.31687189746339</v>
      </c>
      <c r="AE100">
        <v>5.3872812690174499</v>
      </c>
      <c r="AF100">
        <v>5.3872812690174499</v>
      </c>
      <c r="AG100">
        <v>5.3872812690174499</v>
      </c>
      <c r="AH100">
        <v>5.3872812690174499</v>
      </c>
      <c r="AI100">
        <v>5.3872812690174499</v>
      </c>
      <c r="AJ100">
        <v>5.3872812690174499</v>
      </c>
      <c r="AK100">
        <v>5.3872812690174499</v>
      </c>
    </row>
    <row r="101" spans="1:37" hidden="1" x14ac:dyDescent="0.25">
      <c r="A101" t="s">
        <v>90</v>
      </c>
      <c r="B101" t="s">
        <v>182</v>
      </c>
      <c r="C101" t="s">
        <v>183</v>
      </c>
      <c r="F101" t="s">
        <v>103</v>
      </c>
      <c r="G101" t="s">
        <v>99</v>
      </c>
      <c r="H101" t="s">
        <v>100</v>
      </c>
      <c r="I101" t="s">
        <v>184</v>
      </c>
      <c r="J101" t="s">
        <v>187</v>
      </c>
      <c r="K101" t="s">
        <v>98</v>
      </c>
      <c r="L101">
        <v>0</v>
      </c>
      <c r="M101">
        <v>1</v>
      </c>
      <c r="N101">
        <v>2020</v>
      </c>
      <c r="O101">
        <v>15.579764908323551</v>
      </c>
      <c r="P101">
        <v>0.1</v>
      </c>
      <c r="Q101">
        <v>0.25469341246290811</v>
      </c>
      <c r="R101">
        <v>0.25336688427299719</v>
      </c>
      <c r="S101">
        <v>0.29183620178041542</v>
      </c>
      <c r="T101">
        <v>0.31969329376854611</v>
      </c>
      <c r="U101">
        <v>0.33561163204747763</v>
      </c>
      <c r="V101">
        <v>0.35152997032640948</v>
      </c>
      <c r="W101">
        <v>0.36612178041543048</v>
      </c>
      <c r="X101">
        <v>185.6474766856449</v>
      </c>
      <c r="Y101">
        <v>184.93618367152351</v>
      </c>
      <c r="Z101">
        <v>189.20394175625111</v>
      </c>
      <c r="AA101">
        <v>197.7394579257062</v>
      </c>
      <c r="AB101">
        <v>197.02816491158481</v>
      </c>
      <c r="AC101">
        <v>197.02816491158481</v>
      </c>
      <c r="AD101">
        <v>196.31687189746339</v>
      </c>
      <c r="AE101">
        <v>5.3872812690174499</v>
      </c>
      <c r="AF101">
        <v>5.3872812690174499</v>
      </c>
      <c r="AG101">
        <v>5.3872812690174499</v>
      </c>
      <c r="AH101">
        <v>5.3872812690174499</v>
      </c>
      <c r="AI101">
        <v>5.3872812690174499</v>
      </c>
      <c r="AJ101">
        <v>5.3872812690174499</v>
      </c>
      <c r="AK101">
        <v>5.3872812690174499</v>
      </c>
    </row>
    <row r="102" spans="1:37" hidden="1" x14ac:dyDescent="0.25">
      <c r="A102" t="s">
        <v>90</v>
      </c>
      <c r="B102" t="s">
        <v>182</v>
      </c>
      <c r="C102" t="s">
        <v>183</v>
      </c>
      <c r="F102" t="s">
        <v>105</v>
      </c>
      <c r="G102" t="s">
        <v>94</v>
      </c>
      <c r="H102" t="s">
        <v>95</v>
      </c>
      <c r="I102" t="s">
        <v>184</v>
      </c>
      <c r="J102" t="s">
        <v>188</v>
      </c>
      <c r="K102" t="s">
        <v>98</v>
      </c>
      <c r="L102">
        <v>1</v>
      </c>
      <c r="M102">
        <v>1</v>
      </c>
      <c r="N102">
        <v>2020</v>
      </c>
      <c r="O102">
        <v>15.579764908323551</v>
      </c>
      <c r="P102">
        <v>1</v>
      </c>
      <c r="Q102">
        <v>0.27857091988130561</v>
      </c>
      <c r="R102">
        <v>0.28122397626112772</v>
      </c>
      <c r="S102">
        <v>0.31040759643916899</v>
      </c>
      <c r="T102">
        <v>0.33959121661721092</v>
      </c>
      <c r="U102">
        <v>0.35816261127596438</v>
      </c>
      <c r="V102">
        <v>0.37540747774480687</v>
      </c>
      <c r="W102">
        <v>0.39397887240356111</v>
      </c>
      <c r="X102">
        <v>192.76040682685729</v>
      </c>
      <c r="Y102">
        <v>191.3378207986149</v>
      </c>
      <c r="Z102">
        <v>194.89428586922099</v>
      </c>
      <c r="AA102">
        <v>203.4298020386758</v>
      </c>
      <c r="AB102">
        <v>202.71850902455481</v>
      </c>
      <c r="AC102">
        <v>202.71850902455481</v>
      </c>
      <c r="AD102">
        <v>202.0072160104335</v>
      </c>
      <c r="AE102">
        <v>5.3872812690174499</v>
      </c>
      <c r="AF102">
        <v>5.3872812690174499</v>
      </c>
      <c r="AG102">
        <v>5.3872812690174499</v>
      </c>
      <c r="AH102">
        <v>5.3872812690174499</v>
      </c>
      <c r="AI102">
        <v>5.3872812690174499</v>
      </c>
      <c r="AJ102">
        <v>5.3872812690174499</v>
      </c>
      <c r="AK102">
        <v>5.3872812690174499</v>
      </c>
    </row>
    <row r="103" spans="1:37" hidden="1" x14ac:dyDescent="0.25">
      <c r="A103" t="s">
        <v>90</v>
      </c>
      <c r="B103" t="s">
        <v>182</v>
      </c>
      <c r="C103" t="s">
        <v>183</v>
      </c>
      <c r="F103" t="s">
        <v>105</v>
      </c>
      <c r="G103" t="s">
        <v>99</v>
      </c>
      <c r="H103" t="s">
        <v>100</v>
      </c>
      <c r="I103" t="s">
        <v>184</v>
      </c>
      <c r="J103" t="s">
        <v>188</v>
      </c>
      <c r="K103" t="s">
        <v>98</v>
      </c>
      <c r="L103">
        <v>0</v>
      </c>
      <c r="M103">
        <v>1</v>
      </c>
      <c r="N103">
        <v>2020</v>
      </c>
      <c r="O103">
        <v>15.579764908323551</v>
      </c>
      <c r="P103">
        <v>0.1</v>
      </c>
      <c r="Q103">
        <v>0.27857091988130561</v>
      </c>
      <c r="R103">
        <v>0.28122397626112772</v>
      </c>
      <c r="S103">
        <v>0.31040759643916899</v>
      </c>
      <c r="T103">
        <v>0.33959121661721092</v>
      </c>
      <c r="U103">
        <v>0.35816261127596438</v>
      </c>
      <c r="V103">
        <v>0.37540747774480687</v>
      </c>
      <c r="W103">
        <v>0.39397887240356111</v>
      </c>
      <c r="X103">
        <v>192.76040682685729</v>
      </c>
      <c r="Y103">
        <v>191.3378207986149</v>
      </c>
      <c r="Z103">
        <v>194.89428586922099</v>
      </c>
      <c r="AA103">
        <v>203.4298020386758</v>
      </c>
      <c r="AB103">
        <v>202.71850902455481</v>
      </c>
      <c r="AC103">
        <v>202.71850902455481</v>
      </c>
      <c r="AD103">
        <v>202.0072160104335</v>
      </c>
      <c r="AE103">
        <v>5.3872812690174499</v>
      </c>
      <c r="AF103">
        <v>5.3872812690174499</v>
      </c>
      <c r="AG103">
        <v>5.3872812690174499</v>
      </c>
      <c r="AH103">
        <v>5.3872812690174499</v>
      </c>
      <c r="AI103">
        <v>5.3872812690174499</v>
      </c>
      <c r="AJ103">
        <v>5.3872812690174499</v>
      </c>
      <c r="AK103">
        <v>5.3872812690174499</v>
      </c>
    </row>
    <row r="104" spans="1:37" hidden="1" x14ac:dyDescent="0.25">
      <c r="A104" t="s">
        <v>90</v>
      </c>
      <c r="B104" t="s">
        <v>182</v>
      </c>
      <c r="C104" t="s">
        <v>183</v>
      </c>
      <c r="F104" t="s">
        <v>107</v>
      </c>
      <c r="G104" t="s">
        <v>94</v>
      </c>
      <c r="H104" t="s">
        <v>95</v>
      </c>
      <c r="I104" t="s">
        <v>184</v>
      </c>
      <c r="J104" t="s">
        <v>189</v>
      </c>
      <c r="K104" t="s">
        <v>98</v>
      </c>
      <c r="L104">
        <v>1</v>
      </c>
      <c r="M104">
        <v>1</v>
      </c>
      <c r="N104">
        <v>2020</v>
      </c>
      <c r="O104">
        <v>15.579764908323551</v>
      </c>
      <c r="P104">
        <v>1</v>
      </c>
      <c r="Q104">
        <v>0.26132605341246301</v>
      </c>
      <c r="R104">
        <v>0.25867299703264102</v>
      </c>
      <c r="S104">
        <v>0.29846884272997032</v>
      </c>
      <c r="T104">
        <v>0.32632593471810112</v>
      </c>
      <c r="U104">
        <v>0.34357080118694339</v>
      </c>
      <c r="V104">
        <v>0.36081566765578649</v>
      </c>
      <c r="W104">
        <v>0.3767340059347179</v>
      </c>
      <c r="X104">
        <v>189.20394175625111</v>
      </c>
      <c r="Y104">
        <v>187.78135572800869</v>
      </c>
      <c r="Z104">
        <v>191.3378207986149</v>
      </c>
      <c r="AA104">
        <v>199.87333696806979</v>
      </c>
      <c r="AB104">
        <v>199.16204395394851</v>
      </c>
      <c r="AC104">
        <v>198.4507509398272</v>
      </c>
      <c r="AD104">
        <v>197.7394579257062</v>
      </c>
      <c r="AE104">
        <v>5.3872812690174499</v>
      </c>
      <c r="AF104">
        <v>5.3872812690174499</v>
      </c>
      <c r="AG104">
        <v>5.3872812690174499</v>
      </c>
      <c r="AH104">
        <v>5.3872812690174499</v>
      </c>
      <c r="AI104">
        <v>5.3872812690174499</v>
      </c>
      <c r="AJ104">
        <v>5.3872812690174499</v>
      </c>
      <c r="AK104">
        <v>5.3872812690174499</v>
      </c>
    </row>
    <row r="105" spans="1:37" hidden="1" x14ac:dyDescent="0.25">
      <c r="A105" t="s">
        <v>90</v>
      </c>
      <c r="B105" t="s">
        <v>182</v>
      </c>
      <c r="C105" t="s">
        <v>183</v>
      </c>
      <c r="F105" t="s">
        <v>107</v>
      </c>
      <c r="G105" t="s">
        <v>99</v>
      </c>
      <c r="H105" t="s">
        <v>100</v>
      </c>
      <c r="I105" t="s">
        <v>184</v>
      </c>
      <c r="J105" t="s">
        <v>189</v>
      </c>
      <c r="K105" t="s">
        <v>98</v>
      </c>
      <c r="L105">
        <v>0</v>
      </c>
      <c r="M105">
        <v>1</v>
      </c>
      <c r="N105">
        <v>2020</v>
      </c>
      <c r="O105">
        <v>15.579764908323551</v>
      </c>
      <c r="P105">
        <v>0.1</v>
      </c>
      <c r="Q105">
        <v>0.26132605341246301</v>
      </c>
      <c r="R105">
        <v>0.25867299703264102</v>
      </c>
      <c r="S105">
        <v>0.29846884272997032</v>
      </c>
      <c r="T105">
        <v>0.32632593471810112</v>
      </c>
      <c r="U105">
        <v>0.34357080118694339</v>
      </c>
      <c r="V105">
        <v>0.36081566765578649</v>
      </c>
      <c r="W105">
        <v>0.3767340059347179</v>
      </c>
      <c r="X105">
        <v>189.20394175625111</v>
      </c>
      <c r="Y105">
        <v>187.78135572800869</v>
      </c>
      <c r="Z105">
        <v>191.3378207986149</v>
      </c>
      <c r="AA105">
        <v>199.87333696806979</v>
      </c>
      <c r="AB105">
        <v>199.16204395394851</v>
      </c>
      <c r="AC105">
        <v>198.4507509398272</v>
      </c>
      <c r="AD105">
        <v>197.7394579257062</v>
      </c>
      <c r="AE105">
        <v>5.3872812690174499</v>
      </c>
      <c r="AF105">
        <v>5.3872812690174499</v>
      </c>
      <c r="AG105">
        <v>5.3872812690174499</v>
      </c>
      <c r="AH105">
        <v>5.3872812690174499</v>
      </c>
      <c r="AI105">
        <v>5.3872812690174499</v>
      </c>
      <c r="AJ105">
        <v>5.3872812690174499</v>
      </c>
      <c r="AK105">
        <v>5.3872812690174499</v>
      </c>
    </row>
    <row r="106" spans="1:37" hidden="1" x14ac:dyDescent="0.25">
      <c r="A106" t="s">
        <v>90</v>
      </c>
      <c r="B106" t="s">
        <v>182</v>
      </c>
      <c r="C106" t="s">
        <v>183</v>
      </c>
      <c r="F106" t="s">
        <v>109</v>
      </c>
      <c r="G106" t="s">
        <v>94</v>
      </c>
      <c r="H106" t="s">
        <v>95</v>
      </c>
      <c r="I106" t="s">
        <v>184</v>
      </c>
      <c r="J106" t="s">
        <v>189</v>
      </c>
      <c r="K106" t="s">
        <v>98</v>
      </c>
      <c r="L106">
        <v>0</v>
      </c>
      <c r="M106">
        <v>1</v>
      </c>
      <c r="N106">
        <v>2020</v>
      </c>
      <c r="O106">
        <v>15.579764908323551</v>
      </c>
      <c r="P106">
        <v>1</v>
      </c>
      <c r="Q106">
        <v>0.28785661721068262</v>
      </c>
      <c r="R106">
        <v>0.28918314540059342</v>
      </c>
      <c r="S106">
        <v>0.32101982195845707</v>
      </c>
      <c r="T106">
        <v>0.35152997032640948</v>
      </c>
      <c r="U106">
        <v>0.37010136498516299</v>
      </c>
      <c r="V106">
        <v>0.38999928783382759</v>
      </c>
      <c r="W106">
        <v>0.40857068249258138</v>
      </c>
      <c r="X106">
        <v>196.31687189746339</v>
      </c>
      <c r="Y106">
        <v>194.18299285509971</v>
      </c>
      <c r="Z106">
        <v>197.7394579257062</v>
      </c>
      <c r="AA106">
        <v>205.56368108103959</v>
      </c>
      <c r="AB106">
        <v>204.85238806691851</v>
      </c>
      <c r="AC106">
        <v>204.14109505279731</v>
      </c>
      <c r="AD106">
        <v>203.4298020386758</v>
      </c>
      <c r="AE106">
        <v>5.3872812690174499</v>
      </c>
      <c r="AF106">
        <v>5.3872812690174499</v>
      </c>
      <c r="AG106">
        <v>5.3872812690174499</v>
      </c>
      <c r="AH106">
        <v>5.3872812690174499</v>
      </c>
      <c r="AI106">
        <v>5.3872812690174499</v>
      </c>
      <c r="AJ106">
        <v>5.3872812690174499</v>
      </c>
      <c r="AK106">
        <v>5.3872812690174499</v>
      </c>
    </row>
    <row r="107" spans="1:37" hidden="1" x14ac:dyDescent="0.25">
      <c r="A107" t="s">
        <v>90</v>
      </c>
      <c r="B107" t="s">
        <v>182</v>
      </c>
      <c r="C107" t="s">
        <v>183</v>
      </c>
      <c r="F107" t="s">
        <v>109</v>
      </c>
      <c r="G107" t="s">
        <v>99</v>
      </c>
      <c r="H107" t="s">
        <v>100</v>
      </c>
      <c r="I107" t="s">
        <v>184</v>
      </c>
      <c r="J107" t="s">
        <v>189</v>
      </c>
      <c r="K107" t="s">
        <v>98</v>
      </c>
      <c r="L107">
        <v>0</v>
      </c>
      <c r="M107">
        <v>1</v>
      </c>
      <c r="N107">
        <v>2020</v>
      </c>
      <c r="O107">
        <v>15.579764908323551</v>
      </c>
      <c r="P107">
        <v>0.1</v>
      </c>
      <c r="Q107">
        <v>0.28785661721068262</v>
      </c>
      <c r="R107">
        <v>0.28918314540059342</v>
      </c>
      <c r="S107">
        <v>0.32101982195845707</v>
      </c>
      <c r="T107">
        <v>0.35152997032640948</v>
      </c>
      <c r="U107">
        <v>0.37010136498516299</v>
      </c>
      <c r="V107">
        <v>0.38999928783382759</v>
      </c>
      <c r="W107">
        <v>0.40857068249258138</v>
      </c>
      <c r="X107">
        <v>196.31687189746339</v>
      </c>
      <c r="Y107">
        <v>194.18299285509971</v>
      </c>
      <c r="Z107">
        <v>197.7394579257062</v>
      </c>
      <c r="AA107">
        <v>205.56368108103959</v>
      </c>
      <c r="AB107">
        <v>204.85238806691851</v>
      </c>
      <c r="AC107">
        <v>204.14109505279731</v>
      </c>
      <c r="AD107">
        <v>203.4298020386758</v>
      </c>
      <c r="AE107">
        <v>5.3872812690174499</v>
      </c>
      <c r="AF107">
        <v>5.3872812690174499</v>
      </c>
      <c r="AG107">
        <v>5.3872812690174499</v>
      </c>
      <c r="AH107">
        <v>5.3872812690174499</v>
      </c>
      <c r="AI107">
        <v>5.3872812690174499</v>
      </c>
      <c r="AJ107">
        <v>5.3872812690174499</v>
      </c>
      <c r="AK107">
        <v>5.3872812690174499</v>
      </c>
    </row>
    <row r="108" spans="1:37" hidden="1" x14ac:dyDescent="0.25">
      <c r="A108" t="s">
        <v>90</v>
      </c>
      <c r="B108" t="s">
        <v>182</v>
      </c>
      <c r="C108" t="s">
        <v>183</v>
      </c>
      <c r="F108" t="s">
        <v>110</v>
      </c>
      <c r="G108" t="s">
        <v>94</v>
      </c>
      <c r="H108" t="s">
        <v>95</v>
      </c>
      <c r="I108" t="s">
        <v>184</v>
      </c>
      <c r="J108" t="s">
        <v>190</v>
      </c>
      <c r="K108" t="s">
        <v>98</v>
      </c>
      <c r="L108">
        <v>1</v>
      </c>
      <c r="M108">
        <v>1</v>
      </c>
      <c r="N108">
        <v>2020</v>
      </c>
      <c r="O108">
        <v>15.579764908323551</v>
      </c>
      <c r="P108">
        <v>1</v>
      </c>
      <c r="Q108">
        <v>0.40989721068249241</v>
      </c>
      <c r="R108">
        <v>0.42183596439169119</v>
      </c>
      <c r="S108">
        <v>0.43377471810089052</v>
      </c>
      <c r="T108">
        <v>0.46030528189911002</v>
      </c>
      <c r="U108">
        <v>0.48285626112759639</v>
      </c>
      <c r="V108">
        <v>0.50408071216617212</v>
      </c>
      <c r="W108">
        <v>0.52663169139465904</v>
      </c>
      <c r="X108">
        <v>229.03635054704071</v>
      </c>
      <c r="Y108">
        <v>219.07824834934331</v>
      </c>
      <c r="Z108">
        <v>211.2540251940097</v>
      </c>
      <c r="AA108">
        <v>206.98626710928241</v>
      </c>
      <c r="AB108">
        <v>203.4298020386758</v>
      </c>
      <c r="AC108">
        <v>200.58462998219099</v>
      </c>
      <c r="AD108">
        <v>197.7394579257062</v>
      </c>
      <c r="AE108">
        <v>5.3872812690174499</v>
      </c>
      <c r="AF108">
        <v>5.3872812690174499</v>
      </c>
      <c r="AG108">
        <v>5.3872812690174499</v>
      </c>
      <c r="AH108">
        <v>5.3872812690174499</v>
      </c>
      <c r="AI108">
        <v>5.3872812690174499</v>
      </c>
      <c r="AJ108">
        <v>5.3872812690174499</v>
      </c>
      <c r="AK108">
        <v>5.3872812690174499</v>
      </c>
    </row>
    <row r="109" spans="1:37" hidden="1" x14ac:dyDescent="0.25">
      <c r="A109" t="s">
        <v>90</v>
      </c>
      <c r="B109" t="s">
        <v>182</v>
      </c>
      <c r="C109" t="s">
        <v>183</v>
      </c>
      <c r="F109" t="s">
        <v>110</v>
      </c>
      <c r="G109" t="s">
        <v>99</v>
      </c>
      <c r="H109" t="s">
        <v>100</v>
      </c>
      <c r="I109" t="s">
        <v>184</v>
      </c>
      <c r="J109" t="s">
        <v>190</v>
      </c>
      <c r="K109" t="s">
        <v>98</v>
      </c>
      <c r="L109">
        <v>0</v>
      </c>
      <c r="M109">
        <v>1</v>
      </c>
      <c r="N109">
        <v>2020</v>
      </c>
      <c r="O109">
        <v>15.579764908323551</v>
      </c>
      <c r="P109">
        <v>0.1</v>
      </c>
      <c r="Q109">
        <v>0.40989721068249241</v>
      </c>
      <c r="R109">
        <v>0.42183596439169119</v>
      </c>
      <c r="S109">
        <v>0.43377471810089052</v>
      </c>
      <c r="T109">
        <v>0.46030528189911002</v>
      </c>
      <c r="U109">
        <v>0.48285626112759639</v>
      </c>
      <c r="V109">
        <v>0.50408071216617212</v>
      </c>
      <c r="W109">
        <v>0.52663169139465904</v>
      </c>
      <c r="X109">
        <v>229.03635054704071</v>
      </c>
      <c r="Y109">
        <v>219.07824834934331</v>
      </c>
      <c r="Z109">
        <v>211.2540251940097</v>
      </c>
      <c r="AA109">
        <v>206.98626710928241</v>
      </c>
      <c r="AB109">
        <v>203.4298020386758</v>
      </c>
      <c r="AC109">
        <v>200.58462998219099</v>
      </c>
      <c r="AD109">
        <v>197.7394579257062</v>
      </c>
      <c r="AE109">
        <v>5.3872812690174499</v>
      </c>
      <c r="AF109">
        <v>5.3872812690174499</v>
      </c>
      <c r="AG109">
        <v>5.3872812690174499</v>
      </c>
      <c r="AH109">
        <v>5.3872812690174499</v>
      </c>
      <c r="AI109">
        <v>5.3872812690174499</v>
      </c>
      <c r="AJ109">
        <v>5.3872812690174499</v>
      </c>
      <c r="AK109">
        <v>5.3872812690174499</v>
      </c>
    </row>
    <row r="110" spans="1:37" hidden="1" x14ac:dyDescent="0.25">
      <c r="A110" t="s">
        <v>90</v>
      </c>
      <c r="B110" t="s">
        <v>182</v>
      </c>
      <c r="C110" t="s">
        <v>183</v>
      </c>
      <c r="F110" t="s">
        <v>112</v>
      </c>
      <c r="G110" t="s">
        <v>94</v>
      </c>
      <c r="H110" t="s">
        <v>95</v>
      </c>
      <c r="I110" t="s">
        <v>184</v>
      </c>
      <c r="J110" t="s">
        <v>191</v>
      </c>
      <c r="K110" t="s">
        <v>98</v>
      </c>
      <c r="L110">
        <v>1</v>
      </c>
      <c r="M110">
        <v>1</v>
      </c>
      <c r="N110">
        <v>2020</v>
      </c>
      <c r="O110">
        <v>15.579764908323551</v>
      </c>
      <c r="P110">
        <v>0.80278884462151479</v>
      </c>
      <c r="Q110">
        <v>0.54122350148367893</v>
      </c>
      <c r="R110">
        <v>0.5651010089020797</v>
      </c>
      <c r="S110">
        <v>0.57571323442136235</v>
      </c>
      <c r="T110">
        <v>0.62479477744807399</v>
      </c>
      <c r="U110">
        <v>0.65132534124629371</v>
      </c>
      <c r="V110">
        <v>0.67785590504451332</v>
      </c>
      <c r="W110">
        <v>0.70438646884273293</v>
      </c>
      <c r="X110">
        <v>243.97350384358839</v>
      </c>
      <c r="Y110">
        <v>226.902471504678</v>
      </c>
      <c r="Z110">
        <v>214.81049026461639</v>
      </c>
      <c r="AA110">
        <v>209.1201461516448</v>
      </c>
      <c r="AB110">
        <v>206.27497409516101</v>
      </c>
      <c r="AC110">
        <v>203.42980203867671</v>
      </c>
      <c r="AD110">
        <v>200.5846299821896</v>
      </c>
      <c r="AE110">
        <v>5.0676967869571161</v>
      </c>
      <c r="AF110">
        <v>5.0676967869571161</v>
      </c>
      <c r="AG110">
        <v>5.0676967869571161</v>
      </c>
      <c r="AH110">
        <v>5.0676967869571161</v>
      </c>
      <c r="AI110">
        <v>5.0676967869571161</v>
      </c>
      <c r="AJ110">
        <v>5.0676967869571161</v>
      </c>
      <c r="AK110">
        <v>5.0676967869571161</v>
      </c>
    </row>
    <row r="111" spans="1:37" hidden="1" x14ac:dyDescent="0.25">
      <c r="A111" t="s">
        <v>90</v>
      </c>
      <c r="B111" t="s">
        <v>182</v>
      </c>
      <c r="C111" t="s">
        <v>183</v>
      </c>
      <c r="F111" t="s">
        <v>112</v>
      </c>
      <c r="G111" t="s">
        <v>99</v>
      </c>
      <c r="H111" t="s">
        <v>100</v>
      </c>
      <c r="I111" t="s">
        <v>184</v>
      </c>
      <c r="J111" t="s">
        <v>191</v>
      </c>
      <c r="K111" t="s">
        <v>98</v>
      </c>
      <c r="L111">
        <v>0</v>
      </c>
      <c r="M111">
        <v>1</v>
      </c>
      <c r="N111">
        <v>2020</v>
      </c>
      <c r="O111">
        <v>15.579764908323551</v>
      </c>
      <c r="P111">
        <v>0.1</v>
      </c>
      <c r="Q111">
        <v>0.54122350148367893</v>
      </c>
      <c r="R111">
        <v>0.5651010089020797</v>
      </c>
      <c r="S111">
        <v>0.57571323442136235</v>
      </c>
      <c r="T111">
        <v>0.62479477744807399</v>
      </c>
      <c r="U111">
        <v>0.65132534124629371</v>
      </c>
      <c r="V111">
        <v>0.67785590504451332</v>
      </c>
      <c r="W111">
        <v>0.70438646884273293</v>
      </c>
      <c r="X111">
        <v>243.97350384358839</v>
      </c>
      <c r="Y111">
        <v>226.902471504678</v>
      </c>
      <c r="Z111">
        <v>214.81049026461639</v>
      </c>
      <c r="AA111">
        <v>209.1201461516448</v>
      </c>
      <c r="AB111">
        <v>206.27497409516101</v>
      </c>
      <c r="AC111">
        <v>203.42980203867671</v>
      </c>
      <c r="AD111">
        <v>200.5846299821896</v>
      </c>
      <c r="AE111">
        <v>5.0676967869571161</v>
      </c>
      <c r="AF111">
        <v>5.0676967869571161</v>
      </c>
      <c r="AG111">
        <v>5.0676967869571161</v>
      </c>
      <c r="AH111">
        <v>5.0676967869571161</v>
      </c>
      <c r="AI111">
        <v>5.0676967869571161</v>
      </c>
      <c r="AJ111">
        <v>5.0676967869571161</v>
      </c>
      <c r="AK111">
        <v>5.0676967869571161</v>
      </c>
    </row>
    <row r="112" spans="1:37" hidden="1" x14ac:dyDescent="0.25">
      <c r="A112" t="s">
        <v>90</v>
      </c>
      <c r="B112" t="s">
        <v>182</v>
      </c>
      <c r="C112" t="s">
        <v>183</v>
      </c>
      <c r="F112" t="s">
        <v>112</v>
      </c>
      <c r="G112" t="s">
        <v>114</v>
      </c>
      <c r="H112" t="s">
        <v>115</v>
      </c>
      <c r="I112" t="s">
        <v>184</v>
      </c>
      <c r="J112" t="s">
        <v>191</v>
      </c>
      <c r="K112" t="s">
        <v>98</v>
      </c>
      <c r="L112">
        <v>0</v>
      </c>
      <c r="M112">
        <v>1</v>
      </c>
      <c r="N112">
        <v>2020</v>
      </c>
      <c r="O112">
        <v>15.579764908323551</v>
      </c>
      <c r="P112">
        <v>0.1972111553784853</v>
      </c>
      <c r="Q112">
        <v>0.54122350148367893</v>
      </c>
      <c r="R112">
        <v>0.5651010089020797</v>
      </c>
      <c r="S112">
        <v>0.57571323442136235</v>
      </c>
      <c r="T112">
        <v>0.62479477744807399</v>
      </c>
      <c r="U112">
        <v>0.65132534124629371</v>
      </c>
      <c r="V112">
        <v>0.67785590504451332</v>
      </c>
      <c r="W112">
        <v>0.70438646884273293</v>
      </c>
      <c r="X112">
        <v>243.97350384358839</v>
      </c>
      <c r="Y112">
        <v>226.902471504678</v>
      </c>
      <c r="Z112">
        <v>214.81049026461639</v>
      </c>
      <c r="AA112">
        <v>209.1201461516448</v>
      </c>
      <c r="AB112">
        <v>206.27497409516101</v>
      </c>
      <c r="AC112">
        <v>203.42980203867671</v>
      </c>
      <c r="AD112">
        <v>200.5846299821896</v>
      </c>
      <c r="AE112">
        <v>5.0676967869571161</v>
      </c>
      <c r="AF112">
        <v>5.0676967869571161</v>
      </c>
      <c r="AG112">
        <v>5.0676967869571161</v>
      </c>
      <c r="AH112">
        <v>5.0676967869571161</v>
      </c>
      <c r="AI112">
        <v>5.0676967869571161</v>
      </c>
      <c r="AJ112">
        <v>5.0676967869571161</v>
      </c>
      <c r="AK112">
        <v>5.0676967869571161</v>
      </c>
    </row>
    <row r="113" spans="1:37" hidden="1" x14ac:dyDescent="0.25">
      <c r="A113" t="s">
        <v>90</v>
      </c>
      <c r="B113" t="s">
        <v>182</v>
      </c>
      <c r="C113" t="s">
        <v>183</v>
      </c>
      <c r="F113" t="s">
        <v>116</v>
      </c>
      <c r="G113" t="s">
        <v>94</v>
      </c>
      <c r="H113" t="s">
        <v>95</v>
      </c>
      <c r="I113" t="s">
        <v>184</v>
      </c>
      <c r="J113" t="s">
        <v>192</v>
      </c>
      <c r="K113" t="s">
        <v>98</v>
      </c>
      <c r="L113">
        <v>1</v>
      </c>
      <c r="M113">
        <v>1</v>
      </c>
      <c r="N113">
        <v>2020</v>
      </c>
      <c r="O113">
        <v>15.579764908323551</v>
      </c>
      <c r="P113">
        <v>0.6035856573705215</v>
      </c>
      <c r="Q113">
        <v>0.67387632047477508</v>
      </c>
      <c r="R113">
        <v>0.711019109792288</v>
      </c>
      <c r="S113">
        <v>0.72561091988130844</v>
      </c>
      <c r="T113">
        <v>0.78795774480711844</v>
      </c>
      <c r="U113">
        <v>0.82244747774480709</v>
      </c>
      <c r="V113">
        <v>0.85561068249258154</v>
      </c>
      <c r="W113">
        <v>0.89142694362018204</v>
      </c>
      <c r="X113">
        <v>270.29134536607239</v>
      </c>
      <c r="Y113">
        <v>246.10738288595039</v>
      </c>
      <c r="Z113">
        <v>226.902471504678</v>
      </c>
      <c r="AA113">
        <v>216.94436930698029</v>
      </c>
      <c r="AB113">
        <v>212.67661122225249</v>
      </c>
      <c r="AC113">
        <v>208.40885313752489</v>
      </c>
      <c r="AD113">
        <v>204.14109505279731</v>
      </c>
      <c r="AE113">
        <v>5.0676967869571161</v>
      </c>
      <c r="AF113">
        <v>5.0676967869571161</v>
      </c>
      <c r="AG113">
        <v>5.0676967869571161</v>
      </c>
      <c r="AH113">
        <v>5.0676967869571161</v>
      </c>
      <c r="AI113">
        <v>5.0676967869571161</v>
      </c>
      <c r="AJ113">
        <v>5.0676967869571161</v>
      </c>
      <c r="AK113">
        <v>5.0676967869571161</v>
      </c>
    </row>
    <row r="114" spans="1:37" hidden="1" x14ac:dyDescent="0.25">
      <c r="A114" t="s">
        <v>90</v>
      </c>
      <c r="B114" t="s">
        <v>182</v>
      </c>
      <c r="C114" t="s">
        <v>183</v>
      </c>
      <c r="F114" t="s">
        <v>116</v>
      </c>
      <c r="G114" t="s">
        <v>99</v>
      </c>
      <c r="H114" t="s">
        <v>100</v>
      </c>
      <c r="I114" t="s">
        <v>184</v>
      </c>
      <c r="J114" t="s">
        <v>192</v>
      </c>
      <c r="K114" t="s">
        <v>98</v>
      </c>
      <c r="L114">
        <v>0</v>
      </c>
      <c r="M114">
        <v>1</v>
      </c>
      <c r="N114">
        <v>2020</v>
      </c>
      <c r="O114">
        <v>15.579764908323551</v>
      </c>
      <c r="P114">
        <v>0.1</v>
      </c>
      <c r="Q114">
        <v>0.67387632047477508</v>
      </c>
      <c r="R114">
        <v>0.711019109792288</v>
      </c>
      <c r="S114">
        <v>0.72561091988130844</v>
      </c>
      <c r="T114">
        <v>0.78795774480711844</v>
      </c>
      <c r="U114">
        <v>0.82244747774480709</v>
      </c>
      <c r="V114">
        <v>0.85561068249258154</v>
      </c>
      <c r="W114">
        <v>0.89142694362018204</v>
      </c>
      <c r="X114">
        <v>270.29134536607239</v>
      </c>
      <c r="Y114">
        <v>246.10738288595039</v>
      </c>
      <c r="Z114">
        <v>226.902471504678</v>
      </c>
      <c r="AA114">
        <v>216.94436930698029</v>
      </c>
      <c r="AB114">
        <v>212.67661122225249</v>
      </c>
      <c r="AC114">
        <v>208.40885313752489</v>
      </c>
      <c r="AD114">
        <v>204.14109505279731</v>
      </c>
      <c r="AE114">
        <v>5.0676967869571161</v>
      </c>
      <c r="AF114">
        <v>5.0676967869571161</v>
      </c>
      <c r="AG114">
        <v>5.0676967869571161</v>
      </c>
      <c r="AH114">
        <v>5.0676967869571161</v>
      </c>
      <c r="AI114">
        <v>5.0676967869571161</v>
      </c>
      <c r="AJ114">
        <v>5.0676967869571161</v>
      </c>
      <c r="AK114">
        <v>5.0676967869571161</v>
      </c>
    </row>
    <row r="115" spans="1:37" hidden="1" x14ac:dyDescent="0.25">
      <c r="A115" t="s">
        <v>90</v>
      </c>
      <c r="B115" t="s">
        <v>182</v>
      </c>
      <c r="C115" t="s">
        <v>183</v>
      </c>
      <c r="F115" t="s">
        <v>116</v>
      </c>
      <c r="G115" t="s">
        <v>114</v>
      </c>
      <c r="H115" t="s">
        <v>115</v>
      </c>
      <c r="I115" t="s">
        <v>184</v>
      </c>
      <c r="J115" t="s">
        <v>192</v>
      </c>
      <c r="K115" t="s">
        <v>98</v>
      </c>
      <c r="L115">
        <v>0</v>
      </c>
      <c r="M115">
        <v>1</v>
      </c>
      <c r="N115">
        <v>2020</v>
      </c>
      <c r="O115">
        <v>15.579764908323551</v>
      </c>
      <c r="P115">
        <v>0.3964143426294785</v>
      </c>
      <c r="Q115">
        <v>0.67387632047477508</v>
      </c>
      <c r="R115">
        <v>0.711019109792288</v>
      </c>
      <c r="S115">
        <v>0.72561091988130844</v>
      </c>
      <c r="T115">
        <v>0.78795774480711844</v>
      </c>
      <c r="U115">
        <v>0.82244747774480709</v>
      </c>
      <c r="V115">
        <v>0.85561068249258154</v>
      </c>
      <c r="W115">
        <v>0.89142694362018204</v>
      </c>
      <c r="X115">
        <v>270.29134536607239</v>
      </c>
      <c r="Y115">
        <v>246.10738288595039</v>
      </c>
      <c r="Z115">
        <v>226.902471504678</v>
      </c>
      <c r="AA115">
        <v>216.94436930698029</v>
      </c>
      <c r="AB115">
        <v>212.67661122225249</v>
      </c>
      <c r="AC115">
        <v>208.40885313752489</v>
      </c>
      <c r="AD115">
        <v>204.14109505279731</v>
      </c>
      <c r="AE115">
        <v>5.0676967869571161</v>
      </c>
      <c r="AF115">
        <v>5.0676967869571161</v>
      </c>
      <c r="AG115">
        <v>5.0676967869571161</v>
      </c>
      <c r="AH115">
        <v>5.0676967869571161</v>
      </c>
      <c r="AI115">
        <v>5.0676967869571161</v>
      </c>
      <c r="AJ115">
        <v>5.0676967869571161</v>
      </c>
      <c r="AK115">
        <v>5.0676967869571161</v>
      </c>
    </row>
    <row r="116" spans="1:37" hidden="1" x14ac:dyDescent="0.25">
      <c r="A116" t="s">
        <v>90</v>
      </c>
      <c r="B116" t="s">
        <v>182</v>
      </c>
      <c r="C116" t="s">
        <v>183</v>
      </c>
      <c r="F116" t="s">
        <v>118</v>
      </c>
      <c r="G116" t="s">
        <v>119</v>
      </c>
      <c r="H116" t="s">
        <v>120</v>
      </c>
      <c r="I116" t="s">
        <v>184</v>
      </c>
      <c r="J116" t="s">
        <v>193</v>
      </c>
      <c r="K116" t="s">
        <v>98</v>
      </c>
      <c r="L116">
        <v>1</v>
      </c>
      <c r="M116">
        <v>1</v>
      </c>
      <c r="N116">
        <v>2020</v>
      </c>
      <c r="O116">
        <v>15.579764908323551</v>
      </c>
      <c r="P116">
        <v>1</v>
      </c>
      <c r="Q116">
        <v>0.30510148367952522</v>
      </c>
      <c r="R116">
        <v>0.30112189910979231</v>
      </c>
      <c r="S116">
        <v>0.34489732937685458</v>
      </c>
      <c r="T116">
        <v>0.37673400593471812</v>
      </c>
      <c r="U116">
        <v>0.39530540059347191</v>
      </c>
      <c r="V116">
        <v>0.41520332344213662</v>
      </c>
      <c r="W116">
        <v>0.43377471810089008</v>
      </c>
      <c r="X116">
        <v>220.50083437758579</v>
      </c>
      <c r="Y116">
        <v>217.65566232110089</v>
      </c>
      <c r="Z116">
        <v>216.23307629285841</v>
      </c>
      <c r="AA116">
        <v>216.23307629285841</v>
      </c>
      <c r="AB116">
        <v>215.5217832787371</v>
      </c>
      <c r="AC116">
        <v>215.5217832787371</v>
      </c>
      <c r="AD116">
        <v>214.81049026461591</v>
      </c>
      <c r="AE116">
        <v>5.6155558990605661</v>
      </c>
      <c r="AF116">
        <v>5.6155558990605661</v>
      </c>
      <c r="AG116">
        <v>5.6155558990605661</v>
      </c>
      <c r="AH116">
        <v>5.6155558990605661</v>
      </c>
      <c r="AI116">
        <v>5.6155558990605661</v>
      </c>
      <c r="AJ116">
        <v>5.6155558990605661</v>
      </c>
      <c r="AK116">
        <v>5.6155558990605661</v>
      </c>
    </row>
    <row r="117" spans="1:37" hidden="1" x14ac:dyDescent="0.25">
      <c r="A117" t="s">
        <v>90</v>
      </c>
      <c r="B117" t="s">
        <v>182</v>
      </c>
      <c r="C117" t="s">
        <v>183</v>
      </c>
      <c r="F117" t="s">
        <v>118</v>
      </c>
      <c r="G117" t="s">
        <v>122</v>
      </c>
      <c r="H117" t="s">
        <v>123</v>
      </c>
      <c r="I117" t="s">
        <v>184</v>
      </c>
      <c r="J117" t="s">
        <v>193</v>
      </c>
      <c r="K117" t="s">
        <v>98</v>
      </c>
      <c r="L117">
        <v>0</v>
      </c>
      <c r="M117">
        <v>1</v>
      </c>
      <c r="N117">
        <v>2020</v>
      </c>
      <c r="O117">
        <v>15.579764908323551</v>
      </c>
      <c r="P117">
        <v>1</v>
      </c>
      <c r="Q117">
        <v>0.30510148367952522</v>
      </c>
      <c r="R117">
        <v>0.30112189910979231</v>
      </c>
      <c r="S117">
        <v>0.34489732937685458</v>
      </c>
      <c r="T117">
        <v>0.37673400593471812</v>
      </c>
      <c r="U117">
        <v>0.39530540059347191</v>
      </c>
      <c r="V117">
        <v>0.41520332344213662</v>
      </c>
      <c r="W117">
        <v>0.43377471810089008</v>
      </c>
      <c r="X117">
        <v>220.50083437758579</v>
      </c>
      <c r="Y117">
        <v>217.65566232110089</v>
      </c>
      <c r="Z117">
        <v>216.23307629285841</v>
      </c>
      <c r="AA117">
        <v>216.23307629285841</v>
      </c>
      <c r="AB117">
        <v>215.5217832787371</v>
      </c>
      <c r="AC117">
        <v>215.5217832787371</v>
      </c>
      <c r="AD117">
        <v>214.81049026461591</v>
      </c>
      <c r="AE117">
        <v>5.6155558990605661</v>
      </c>
      <c r="AF117">
        <v>5.6155558990605661</v>
      </c>
      <c r="AG117">
        <v>5.6155558990605661</v>
      </c>
      <c r="AH117">
        <v>5.6155558990605661</v>
      </c>
      <c r="AI117">
        <v>5.6155558990605661</v>
      </c>
      <c r="AJ117">
        <v>5.6155558990605661</v>
      </c>
      <c r="AK117">
        <v>5.6155558990605661</v>
      </c>
    </row>
    <row r="118" spans="1:37" hidden="1" x14ac:dyDescent="0.25">
      <c r="A118" t="s">
        <v>90</v>
      </c>
      <c r="B118" t="s">
        <v>182</v>
      </c>
      <c r="C118" t="s">
        <v>183</v>
      </c>
      <c r="F118" t="s">
        <v>118</v>
      </c>
      <c r="G118" t="s">
        <v>124</v>
      </c>
      <c r="H118" t="s">
        <v>125</v>
      </c>
      <c r="I118" t="s">
        <v>184</v>
      </c>
      <c r="J118" t="s">
        <v>193</v>
      </c>
      <c r="K118" t="s">
        <v>98</v>
      </c>
      <c r="L118">
        <v>0</v>
      </c>
      <c r="M118">
        <v>1</v>
      </c>
      <c r="N118">
        <v>2020</v>
      </c>
      <c r="O118">
        <v>15.579764908323551</v>
      </c>
      <c r="P118">
        <v>0.1</v>
      </c>
      <c r="Q118">
        <v>0.30510148367952522</v>
      </c>
      <c r="R118">
        <v>0.30112189910979231</v>
      </c>
      <c r="S118">
        <v>0.34489732937685458</v>
      </c>
      <c r="T118">
        <v>0.37673400593471812</v>
      </c>
      <c r="U118">
        <v>0.39530540059347191</v>
      </c>
      <c r="V118">
        <v>0.41520332344213662</v>
      </c>
      <c r="W118">
        <v>0.43377471810089008</v>
      </c>
      <c r="X118">
        <v>220.50083437758579</v>
      </c>
      <c r="Y118">
        <v>217.65566232110089</v>
      </c>
      <c r="Z118">
        <v>216.23307629285841</v>
      </c>
      <c r="AA118">
        <v>216.23307629285841</v>
      </c>
      <c r="AB118">
        <v>215.5217832787371</v>
      </c>
      <c r="AC118">
        <v>215.5217832787371</v>
      </c>
      <c r="AD118">
        <v>214.81049026461591</v>
      </c>
      <c r="AE118">
        <v>5.6155558990605661</v>
      </c>
      <c r="AF118">
        <v>5.6155558990605661</v>
      </c>
      <c r="AG118">
        <v>5.6155558990605661</v>
      </c>
      <c r="AH118">
        <v>5.6155558990605661</v>
      </c>
      <c r="AI118">
        <v>5.6155558990605661</v>
      </c>
      <c r="AJ118">
        <v>5.6155558990605661</v>
      </c>
      <c r="AK118">
        <v>5.6155558990605661</v>
      </c>
    </row>
    <row r="119" spans="1:37" hidden="1" x14ac:dyDescent="0.25">
      <c r="A119" t="s">
        <v>90</v>
      </c>
      <c r="B119" t="s">
        <v>182</v>
      </c>
      <c r="C119" t="s">
        <v>183</v>
      </c>
      <c r="F119" t="s">
        <v>126</v>
      </c>
      <c r="G119" t="s">
        <v>127</v>
      </c>
      <c r="H119" t="s">
        <v>128</v>
      </c>
      <c r="I119" t="s">
        <v>184</v>
      </c>
      <c r="J119" t="s">
        <v>194</v>
      </c>
      <c r="K119" t="s">
        <v>98</v>
      </c>
      <c r="L119">
        <v>1</v>
      </c>
      <c r="M119">
        <v>1</v>
      </c>
      <c r="N119">
        <v>2020</v>
      </c>
      <c r="O119">
        <v>15.579764908323551</v>
      </c>
      <c r="P119">
        <v>1</v>
      </c>
      <c r="Q119">
        <v>0.25071382789317498</v>
      </c>
      <c r="R119">
        <v>0.27193827893175071</v>
      </c>
      <c r="S119">
        <v>0.30244842729970328</v>
      </c>
      <c r="T119">
        <v>0.32499940652818993</v>
      </c>
      <c r="U119">
        <v>0.34091774480712173</v>
      </c>
      <c r="V119">
        <v>0.35683608308605341</v>
      </c>
      <c r="W119">
        <v>0.37275442136498521</v>
      </c>
      <c r="X119">
        <v>227.61376451879829</v>
      </c>
      <c r="Y119">
        <v>225.47988547643459</v>
      </c>
      <c r="Z119">
        <v>224.76859246231331</v>
      </c>
      <c r="AA119">
        <v>224.05729944819211</v>
      </c>
      <c r="AB119">
        <v>224.05729944819211</v>
      </c>
      <c r="AC119">
        <v>224.05729944819211</v>
      </c>
      <c r="AD119">
        <v>223.3460064340708</v>
      </c>
      <c r="AE119">
        <v>5.6155558990605661</v>
      </c>
      <c r="AF119">
        <v>5.6155558990605661</v>
      </c>
      <c r="AG119">
        <v>5.6155558990605661</v>
      </c>
      <c r="AH119">
        <v>5.6155558990605661</v>
      </c>
      <c r="AI119">
        <v>5.6155558990605661</v>
      </c>
      <c r="AJ119">
        <v>5.6155558990605661</v>
      </c>
      <c r="AK119">
        <v>5.6155558990605661</v>
      </c>
    </row>
    <row r="120" spans="1:37" hidden="1" x14ac:dyDescent="0.25">
      <c r="A120" t="s">
        <v>90</v>
      </c>
      <c r="B120" t="s">
        <v>182</v>
      </c>
      <c r="C120" t="s">
        <v>183</v>
      </c>
      <c r="F120" t="s">
        <v>126</v>
      </c>
      <c r="G120" t="s">
        <v>130</v>
      </c>
      <c r="H120" t="s">
        <v>131</v>
      </c>
      <c r="I120" t="s">
        <v>184</v>
      </c>
      <c r="J120" t="s">
        <v>194</v>
      </c>
      <c r="K120" t="s">
        <v>98</v>
      </c>
      <c r="L120">
        <v>0</v>
      </c>
      <c r="M120">
        <v>1</v>
      </c>
      <c r="N120">
        <v>2020</v>
      </c>
      <c r="O120">
        <v>15.579764908323551</v>
      </c>
      <c r="P120">
        <v>1</v>
      </c>
      <c r="Q120">
        <v>0.25071382789317498</v>
      </c>
      <c r="R120">
        <v>0.27193827893175071</v>
      </c>
      <c r="S120">
        <v>0.30244842729970328</v>
      </c>
      <c r="T120">
        <v>0.32499940652818993</v>
      </c>
      <c r="U120">
        <v>0.34091774480712173</v>
      </c>
      <c r="V120">
        <v>0.35683608308605341</v>
      </c>
      <c r="W120">
        <v>0.37275442136498521</v>
      </c>
      <c r="X120">
        <v>227.61376451879829</v>
      </c>
      <c r="Y120">
        <v>225.47988547643459</v>
      </c>
      <c r="Z120">
        <v>224.76859246231331</v>
      </c>
      <c r="AA120">
        <v>224.05729944819211</v>
      </c>
      <c r="AB120">
        <v>224.05729944819211</v>
      </c>
      <c r="AC120">
        <v>224.05729944819211</v>
      </c>
      <c r="AD120">
        <v>223.3460064340708</v>
      </c>
      <c r="AE120">
        <v>5.6155558990605661</v>
      </c>
      <c r="AF120">
        <v>5.6155558990605661</v>
      </c>
      <c r="AG120">
        <v>5.6155558990605661</v>
      </c>
      <c r="AH120">
        <v>5.6155558990605661</v>
      </c>
      <c r="AI120">
        <v>5.6155558990605661</v>
      </c>
      <c r="AJ120">
        <v>5.6155558990605661</v>
      </c>
      <c r="AK120">
        <v>5.6155558990605661</v>
      </c>
    </row>
    <row r="121" spans="1:37" hidden="1" x14ac:dyDescent="0.25">
      <c r="A121" t="s">
        <v>90</v>
      </c>
      <c r="B121" t="s">
        <v>182</v>
      </c>
      <c r="C121" t="s">
        <v>183</v>
      </c>
      <c r="F121" t="s">
        <v>132</v>
      </c>
      <c r="G121" t="s">
        <v>133</v>
      </c>
      <c r="H121" t="s">
        <v>134</v>
      </c>
      <c r="I121" t="s">
        <v>184</v>
      </c>
      <c r="J121" t="s">
        <v>195</v>
      </c>
      <c r="K121" t="s">
        <v>98</v>
      </c>
      <c r="L121">
        <v>1</v>
      </c>
      <c r="M121">
        <v>1</v>
      </c>
      <c r="N121">
        <v>2020</v>
      </c>
      <c r="O121">
        <v>15.579764908323551</v>
      </c>
      <c r="P121">
        <v>1</v>
      </c>
      <c r="Q121">
        <v>0.54918267062314552</v>
      </c>
      <c r="R121">
        <v>0.56642753709198845</v>
      </c>
      <c r="S121">
        <v>0.57571323442136513</v>
      </c>
      <c r="T121">
        <v>0.61152949554896119</v>
      </c>
      <c r="U121">
        <v>0.62612130563798252</v>
      </c>
      <c r="V121">
        <v>0.64071311572700262</v>
      </c>
      <c r="W121">
        <v>0.65397839762611243</v>
      </c>
      <c r="X121">
        <v>344.26581883468242</v>
      </c>
      <c r="Y121">
        <v>313.68021922746908</v>
      </c>
      <c r="Z121">
        <v>288.07367071910397</v>
      </c>
      <c r="AA121">
        <v>257.48807111189058</v>
      </c>
      <c r="AB121">
        <v>248.95255494243551</v>
      </c>
      <c r="AC121">
        <v>241.1283317871021</v>
      </c>
      <c r="AD121">
        <v>232.59281561764701</v>
      </c>
      <c r="AE121">
        <v>4.2322116409993011</v>
      </c>
      <c r="AF121">
        <v>4.2322116409993011</v>
      </c>
      <c r="AG121">
        <v>4.2322116409993011</v>
      </c>
      <c r="AH121">
        <v>4.2322116409993011</v>
      </c>
      <c r="AI121">
        <v>4.2322116409993011</v>
      </c>
      <c r="AJ121">
        <v>4.2322116409993011</v>
      </c>
      <c r="AK121">
        <v>4.2322116409993011</v>
      </c>
    </row>
    <row r="122" spans="1:37" hidden="1" x14ac:dyDescent="0.25">
      <c r="A122" t="s">
        <v>90</v>
      </c>
      <c r="B122" t="s">
        <v>182</v>
      </c>
      <c r="C122" t="s">
        <v>183</v>
      </c>
      <c r="F122" t="s">
        <v>136</v>
      </c>
      <c r="G122" t="s">
        <v>133</v>
      </c>
      <c r="H122" t="s">
        <v>134</v>
      </c>
      <c r="I122" t="s">
        <v>184</v>
      </c>
      <c r="J122" t="s">
        <v>196</v>
      </c>
      <c r="K122" t="s">
        <v>98</v>
      </c>
      <c r="L122">
        <v>1</v>
      </c>
      <c r="M122">
        <v>1</v>
      </c>
      <c r="N122">
        <v>2020</v>
      </c>
      <c r="O122">
        <v>15.579764908323551</v>
      </c>
      <c r="P122">
        <v>1</v>
      </c>
      <c r="Q122">
        <v>0.54122350148367915</v>
      </c>
      <c r="R122">
        <v>0.5597948961424335</v>
      </c>
      <c r="S122">
        <v>0.56775406528189876</v>
      </c>
      <c r="T122">
        <v>0.60357032640949559</v>
      </c>
      <c r="U122">
        <v>0.61816213649851603</v>
      </c>
      <c r="V122">
        <v>0.63142741839762584</v>
      </c>
      <c r="W122">
        <v>0.64601922848664728</v>
      </c>
      <c r="X122">
        <v>356.35780007474341</v>
      </c>
      <c r="Y122">
        <v>324.34961443928739</v>
      </c>
      <c r="Z122">
        <v>298.74306593092268</v>
      </c>
      <c r="AA122">
        <v>266.73488029546672</v>
      </c>
      <c r="AB122">
        <v>258.19936412601157</v>
      </c>
      <c r="AC122">
        <v>248.95255494243551</v>
      </c>
      <c r="AD122">
        <v>240.4170387729805</v>
      </c>
      <c r="AE122">
        <v>4.2322116409993011</v>
      </c>
      <c r="AF122">
        <v>4.2322116409993011</v>
      </c>
      <c r="AG122">
        <v>4.2322116409993011</v>
      </c>
      <c r="AH122">
        <v>4.2322116409993011</v>
      </c>
      <c r="AI122">
        <v>4.2322116409993011</v>
      </c>
      <c r="AJ122">
        <v>4.2322116409993011</v>
      </c>
      <c r="AK122">
        <v>4.2322116409993011</v>
      </c>
    </row>
    <row r="123" spans="1:37" hidden="1" x14ac:dyDescent="0.25">
      <c r="A123" t="s">
        <v>90</v>
      </c>
      <c r="B123" t="s">
        <v>182</v>
      </c>
      <c r="C123" t="s">
        <v>183</v>
      </c>
      <c r="F123" t="s">
        <v>138</v>
      </c>
      <c r="G123" t="s">
        <v>114</v>
      </c>
      <c r="H123" t="s">
        <v>115</v>
      </c>
      <c r="I123" t="s">
        <v>184</v>
      </c>
      <c r="J123" t="s">
        <v>197</v>
      </c>
      <c r="K123" t="s">
        <v>98</v>
      </c>
      <c r="L123">
        <v>1</v>
      </c>
      <c r="M123">
        <v>1</v>
      </c>
      <c r="N123">
        <v>2020</v>
      </c>
      <c r="O123">
        <v>15.579764908323551</v>
      </c>
      <c r="P123">
        <v>1</v>
      </c>
      <c r="Q123">
        <v>1.2495895548961431</v>
      </c>
      <c r="R123">
        <v>1.307956795252226</v>
      </c>
      <c r="S123">
        <v>1.339793471810089</v>
      </c>
      <c r="T123">
        <v>1.4591810089020769</v>
      </c>
      <c r="U123">
        <v>1.5122421364985159</v>
      </c>
      <c r="V123">
        <v>1.565303264094956</v>
      </c>
      <c r="W123">
        <v>1.631629673590504</v>
      </c>
      <c r="X123">
        <v>243.97350384358691</v>
      </c>
      <c r="Y123">
        <v>226.90247150467701</v>
      </c>
      <c r="Z123">
        <v>204.1410950527972</v>
      </c>
      <c r="AA123">
        <v>189.91523477037231</v>
      </c>
      <c r="AB123">
        <v>183.51359764328109</v>
      </c>
      <c r="AC123">
        <v>177.11196051619001</v>
      </c>
      <c r="AD123">
        <v>169.99903037497739</v>
      </c>
      <c r="AE123">
        <v>4.0952468629734371</v>
      </c>
      <c r="AF123">
        <v>4.0952468629734371</v>
      </c>
      <c r="AG123">
        <v>4.0952468629734371</v>
      </c>
      <c r="AH123">
        <v>4.0952468629734371</v>
      </c>
      <c r="AI123">
        <v>4.0952468629734371</v>
      </c>
      <c r="AJ123">
        <v>4.0952468629734371</v>
      </c>
      <c r="AK123">
        <v>4.0952468629734371</v>
      </c>
    </row>
    <row r="124" spans="1:37" hidden="1" x14ac:dyDescent="0.25">
      <c r="A124" t="s">
        <v>90</v>
      </c>
      <c r="B124" t="s">
        <v>182</v>
      </c>
      <c r="C124" t="s">
        <v>183</v>
      </c>
      <c r="F124" t="s">
        <v>140</v>
      </c>
      <c r="G124" t="s">
        <v>114</v>
      </c>
      <c r="H124" t="s">
        <v>115</v>
      </c>
      <c r="I124" t="s">
        <v>184</v>
      </c>
      <c r="J124" t="s">
        <v>198</v>
      </c>
      <c r="K124" t="s">
        <v>98</v>
      </c>
      <c r="L124">
        <v>1</v>
      </c>
      <c r="M124">
        <v>1</v>
      </c>
      <c r="N124">
        <v>2020</v>
      </c>
      <c r="O124">
        <v>15.579764908323551</v>
      </c>
      <c r="P124">
        <v>1</v>
      </c>
      <c r="Q124">
        <v>1.196528427299703</v>
      </c>
      <c r="R124">
        <v>1.253569139465875</v>
      </c>
      <c r="S124">
        <v>1.293364985163205</v>
      </c>
      <c r="T124">
        <v>1.4193851632047481</v>
      </c>
      <c r="U124">
        <v>1.4724462908011871</v>
      </c>
      <c r="V124">
        <v>1.525507418397626</v>
      </c>
      <c r="W124">
        <v>1.591833827893175</v>
      </c>
      <c r="X124">
        <v>293.05272181795277</v>
      </c>
      <c r="Y124">
        <v>269.58005235195168</v>
      </c>
      <c r="Z124">
        <v>235.43798767413199</v>
      </c>
      <c r="AA124">
        <v>214.81049026461591</v>
      </c>
      <c r="AB124">
        <v>205.5636810810397</v>
      </c>
      <c r="AC124">
        <v>196.3168718974635</v>
      </c>
      <c r="AD124">
        <v>186.3587696997661</v>
      </c>
      <c r="AE124">
        <v>4.0952468629734371</v>
      </c>
      <c r="AF124">
        <v>4.0952468629734371</v>
      </c>
      <c r="AG124">
        <v>4.0952468629734371</v>
      </c>
      <c r="AH124">
        <v>4.0952468629734371</v>
      </c>
      <c r="AI124">
        <v>4.0952468629734371</v>
      </c>
      <c r="AJ124">
        <v>4.0952468629734371</v>
      </c>
      <c r="AK124">
        <v>4.0952468629734371</v>
      </c>
    </row>
    <row r="125" spans="1:37" hidden="1" x14ac:dyDescent="0.25">
      <c r="A125" t="s">
        <v>90</v>
      </c>
      <c r="B125" t="s">
        <v>182</v>
      </c>
      <c r="C125" t="s">
        <v>183</v>
      </c>
      <c r="F125" t="s">
        <v>142</v>
      </c>
      <c r="G125" t="s">
        <v>114</v>
      </c>
      <c r="H125" t="s">
        <v>115</v>
      </c>
      <c r="I125" t="s">
        <v>184</v>
      </c>
      <c r="J125" t="s">
        <v>199</v>
      </c>
      <c r="K125" t="s">
        <v>98</v>
      </c>
      <c r="L125">
        <v>1</v>
      </c>
      <c r="M125">
        <v>1</v>
      </c>
      <c r="N125">
        <v>2020</v>
      </c>
      <c r="O125">
        <v>15.579764908323551</v>
      </c>
      <c r="P125">
        <v>1</v>
      </c>
      <c r="Q125">
        <v>1.075814362017804</v>
      </c>
      <c r="R125">
        <v>1.1275489614243319</v>
      </c>
      <c r="S125">
        <v>1.1819366172106831</v>
      </c>
      <c r="T125">
        <v>1.297344569732938</v>
      </c>
      <c r="U125">
        <v>1.3530587537091989</v>
      </c>
      <c r="V125">
        <v>1.4061198813056379</v>
      </c>
      <c r="W125">
        <v>1.4591810089020769</v>
      </c>
      <c r="X125">
        <v>361.33685117359232</v>
      </c>
      <c r="Y125">
        <v>329.32866553813631</v>
      </c>
      <c r="Z125">
        <v>278.11556852140671</v>
      </c>
      <c r="AA125">
        <v>248.95255494243571</v>
      </c>
      <c r="AB125">
        <v>236.14928068825321</v>
      </c>
      <c r="AC125">
        <v>222.63471341994961</v>
      </c>
      <c r="AD125">
        <v>209.12014615164591</v>
      </c>
      <c r="AE125">
        <v>4.0952468629734371</v>
      </c>
      <c r="AF125">
        <v>4.0952468629734371</v>
      </c>
      <c r="AG125">
        <v>4.0952468629734371</v>
      </c>
      <c r="AH125">
        <v>4.0952468629734371</v>
      </c>
      <c r="AI125">
        <v>4.0952468629734371</v>
      </c>
      <c r="AJ125">
        <v>4.0952468629734371</v>
      </c>
      <c r="AK125">
        <v>4.0952468629734371</v>
      </c>
    </row>
    <row r="126" spans="1:37" hidden="1" x14ac:dyDescent="0.25">
      <c r="A126" t="s">
        <v>90</v>
      </c>
      <c r="B126" t="s">
        <v>182</v>
      </c>
      <c r="C126" t="s">
        <v>183</v>
      </c>
      <c r="F126" t="s">
        <v>144</v>
      </c>
      <c r="G126" t="s">
        <v>114</v>
      </c>
      <c r="H126" t="s">
        <v>115</v>
      </c>
      <c r="I126" t="s">
        <v>184</v>
      </c>
      <c r="J126" t="s">
        <v>200</v>
      </c>
      <c r="K126" t="s">
        <v>98</v>
      </c>
      <c r="L126">
        <v>1</v>
      </c>
      <c r="M126">
        <v>1</v>
      </c>
      <c r="N126">
        <v>2020</v>
      </c>
      <c r="O126">
        <v>15.579764908323551</v>
      </c>
      <c r="P126">
        <v>1</v>
      </c>
      <c r="Q126">
        <v>0.97101863501483687</v>
      </c>
      <c r="R126">
        <v>1.0174471216617209</v>
      </c>
      <c r="S126">
        <v>1.0917327002967361</v>
      </c>
      <c r="T126">
        <v>1.196528427299703</v>
      </c>
      <c r="U126">
        <v>1.2429569139465879</v>
      </c>
      <c r="V126">
        <v>1.2946915133531161</v>
      </c>
      <c r="W126">
        <v>1.3530587537091989</v>
      </c>
      <c r="X126">
        <v>443.13554779753542</v>
      </c>
      <c r="Y126">
        <v>399.74667393613959</v>
      </c>
      <c r="Z126">
        <v>325.77220046753013</v>
      </c>
      <c r="AA126">
        <v>287.3623777049828</v>
      </c>
      <c r="AB126">
        <v>269.58005235195168</v>
      </c>
      <c r="AC126">
        <v>252.50902001304189</v>
      </c>
      <c r="AD126">
        <v>234.72669466001071</v>
      </c>
      <c r="AE126">
        <v>4.0952468629734371</v>
      </c>
      <c r="AF126">
        <v>4.0952468629734371</v>
      </c>
      <c r="AG126">
        <v>4.0952468629734371</v>
      </c>
      <c r="AH126">
        <v>4.0952468629734371</v>
      </c>
      <c r="AI126">
        <v>4.0952468629734371</v>
      </c>
      <c r="AJ126">
        <v>4.0952468629734371</v>
      </c>
      <c r="AK126">
        <v>4.0952468629734371</v>
      </c>
    </row>
    <row r="127" spans="1:37" hidden="1" x14ac:dyDescent="0.25">
      <c r="A127" t="s">
        <v>90</v>
      </c>
      <c r="B127" t="s">
        <v>182</v>
      </c>
      <c r="C127" t="s">
        <v>201</v>
      </c>
      <c r="F127" t="s">
        <v>202</v>
      </c>
      <c r="G127" t="s">
        <v>119</v>
      </c>
      <c r="H127" t="s">
        <v>120</v>
      </c>
      <c r="I127" t="s">
        <v>203</v>
      </c>
      <c r="J127" t="s">
        <v>204</v>
      </c>
      <c r="K127" t="s">
        <v>98</v>
      </c>
      <c r="L127">
        <v>1</v>
      </c>
      <c r="M127">
        <v>1</v>
      </c>
      <c r="N127">
        <v>2020</v>
      </c>
      <c r="O127">
        <v>8</v>
      </c>
      <c r="P127">
        <v>1</v>
      </c>
      <c r="Q127">
        <v>0.14459157270029679</v>
      </c>
      <c r="R127">
        <v>0.14459157270029679</v>
      </c>
      <c r="S127">
        <v>0.1578568545994066</v>
      </c>
      <c r="T127">
        <v>0.1711221364985164</v>
      </c>
      <c r="U127">
        <v>0.1804078338278931</v>
      </c>
      <c r="V127">
        <v>0.18836700296735909</v>
      </c>
      <c r="W127">
        <v>0.1963261721068249</v>
      </c>
      <c r="X127">
        <v>421.08546435977678</v>
      </c>
      <c r="Y127">
        <v>421.08546435977678</v>
      </c>
      <c r="Z127">
        <v>423.93063641626179</v>
      </c>
      <c r="AA127">
        <v>423.21934340214051</v>
      </c>
      <c r="AB127">
        <v>423.93063641626179</v>
      </c>
      <c r="AC127">
        <v>424.64192943038302</v>
      </c>
      <c r="AD127">
        <v>426.06451545862558</v>
      </c>
      <c r="AE127">
        <v>10.491571958288359</v>
      </c>
      <c r="AF127">
        <v>10.491571958288359</v>
      </c>
      <c r="AG127">
        <v>10.491571958288359</v>
      </c>
      <c r="AH127">
        <v>10.491571958288359</v>
      </c>
      <c r="AI127">
        <v>10.491571958288359</v>
      </c>
      <c r="AJ127">
        <v>10.491571958288359</v>
      </c>
      <c r="AK127">
        <v>10.491571958288359</v>
      </c>
    </row>
    <row r="128" spans="1:37" hidden="1" x14ac:dyDescent="0.25">
      <c r="A128" t="s">
        <v>90</v>
      </c>
      <c r="B128" t="s">
        <v>182</v>
      </c>
      <c r="C128" t="s">
        <v>201</v>
      </c>
      <c r="F128" t="s">
        <v>202</v>
      </c>
      <c r="G128" t="s">
        <v>122</v>
      </c>
      <c r="H128" t="s">
        <v>123</v>
      </c>
      <c r="I128" t="s">
        <v>203</v>
      </c>
      <c r="J128" t="s">
        <v>204</v>
      </c>
      <c r="K128" t="s">
        <v>98</v>
      </c>
      <c r="L128">
        <v>0</v>
      </c>
      <c r="M128">
        <v>1</v>
      </c>
      <c r="N128">
        <v>2020</v>
      </c>
      <c r="O128">
        <v>8</v>
      </c>
      <c r="P128">
        <v>1</v>
      </c>
      <c r="Q128">
        <v>0.14459157270029679</v>
      </c>
      <c r="R128">
        <v>0.14459157270029679</v>
      </c>
      <c r="S128">
        <v>0.1578568545994066</v>
      </c>
      <c r="T128">
        <v>0.1711221364985164</v>
      </c>
      <c r="U128">
        <v>0.1804078338278931</v>
      </c>
      <c r="V128">
        <v>0.18836700296735909</v>
      </c>
      <c r="W128">
        <v>0.1963261721068249</v>
      </c>
      <c r="X128">
        <v>421.08546435977678</v>
      </c>
      <c r="Y128">
        <v>421.08546435977678</v>
      </c>
      <c r="Z128">
        <v>423.93063641626179</v>
      </c>
      <c r="AA128">
        <v>423.21934340214051</v>
      </c>
      <c r="AB128">
        <v>423.93063641626179</v>
      </c>
      <c r="AC128">
        <v>424.64192943038302</v>
      </c>
      <c r="AD128">
        <v>426.06451545862558</v>
      </c>
      <c r="AE128">
        <v>10.491571958288359</v>
      </c>
      <c r="AF128">
        <v>10.491571958288359</v>
      </c>
      <c r="AG128">
        <v>10.491571958288359</v>
      </c>
      <c r="AH128">
        <v>10.491571958288359</v>
      </c>
      <c r="AI128">
        <v>10.491571958288359</v>
      </c>
      <c r="AJ128">
        <v>10.491571958288359</v>
      </c>
      <c r="AK128">
        <v>10.491571958288359</v>
      </c>
    </row>
    <row r="129" spans="1:37" hidden="1" x14ac:dyDescent="0.25">
      <c r="A129" t="s">
        <v>90</v>
      </c>
      <c r="B129" t="s">
        <v>182</v>
      </c>
      <c r="C129" t="s">
        <v>201</v>
      </c>
      <c r="F129" t="s">
        <v>202</v>
      </c>
      <c r="G129" t="s">
        <v>124</v>
      </c>
      <c r="H129" t="s">
        <v>125</v>
      </c>
      <c r="I129" t="s">
        <v>203</v>
      </c>
      <c r="J129" t="s">
        <v>204</v>
      </c>
      <c r="K129" t="s">
        <v>98</v>
      </c>
      <c r="L129">
        <v>0</v>
      </c>
      <c r="M129">
        <v>1</v>
      </c>
      <c r="N129">
        <v>2020</v>
      </c>
      <c r="O129">
        <v>8</v>
      </c>
      <c r="P129">
        <v>0.1</v>
      </c>
      <c r="Q129">
        <v>0.14459157270029679</v>
      </c>
      <c r="R129">
        <v>0.14459157270029679</v>
      </c>
      <c r="S129">
        <v>0.1578568545994066</v>
      </c>
      <c r="T129">
        <v>0.1711221364985164</v>
      </c>
      <c r="U129">
        <v>0.1804078338278931</v>
      </c>
      <c r="V129">
        <v>0.18836700296735909</v>
      </c>
      <c r="W129">
        <v>0.1963261721068249</v>
      </c>
      <c r="X129">
        <v>421.08546435977678</v>
      </c>
      <c r="Y129">
        <v>421.08546435977678</v>
      </c>
      <c r="Z129">
        <v>423.93063641626179</v>
      </c>
      <c r="AA129">
        <v>423.21934340214051</v>
      </c>
      <c r="AB129">
        <v>423.93063641626179</v>
      </c>
      <c r="AC129">
        <v>424.64192943038302</v>
      </c>
      <c r="AD129">
        <v>426.06451545862558</v>
      </c>
      <c r="AE129">
        <v>10.491571958288359</v>
      </c>
      <c r="AF129">
        <v>10.491571958288359</v>
      </c>
      <c r="AG129">
        <v>10.491571958288359</v>
      </c>
      <c r="AH129">
        <v>10.491571958288359</v>
      </c>
      <c r="AI129">
        <v>10.491571958288359</v>
      </c>
      <c r="AJ129">
        <v>10.491571958288359</v>
      </c>
      <c r="AK129">
        <v>10.491571958288359</v>
      </c>
    </row>
    <row r="130" spans="1:37" hidden="1" x14ac:dyDescent="0.25">
      <c r="A130" t="s">
        <v>90</v>
      </c>
      <c r="B130" t="s">
        <v>182</v>
      </c>
      <c r="C130" t="s">
        <v>201</v>
      </c>
      <c r="F130" t="s">
        <v>205</v>
      </c>
      <c r="G130" t="s">
        <v>119</v>
      </c>
      <c r="H130" t="s">
        <v>120</v>
      </c>
      <c r="I130" t="s">
        <v>203</v>
      </c>
      <c r="J130" t="s">
        <v>206</v>
      </c>
      <c r="K130" t="s">
        <v>98</v>
      </c>
      <c r="L130">
        <v>1</v>
      </c>
      <c r="M130">
        <v>1</v>
      </c>
      <c r="N130">
        <v>2020</v>
      </c>
      <c r="O130">
        <v>8</v>
      </c>
      <c r="P130">
        <v>1</v>
      </c>
      <c r="Q130">
        <v>0.14459157270029679</v>
      </c>
      <c r="R130">
        <v>0.14459157270029679</v>
      </c>
      <c r="S130">
        <v>0.1578568545994066</v>
      </c>
      <c r="T130">
        <v>0.17244866468842729</v>
      </c>
      <c r="U130">
        <v>0.1804078338278931</v>
      </c>
      <c r="V130">
        <v>0.18836700296735909</v>
      </c>
      <c r="W130">
        <v>0.19765270029673601</v>
      </c>
      <c r="X130">
        <v>461.62916616468777</v>
      </c>
      <c r="Y130">
        <v>461.62916616468777</v>
      </c>
      <c r="Z130">
        <v>465.18563123529401</v>
      </c>
      <c r="AA130">
        <v>463.7630452070515</v>
      </c>
      <c r="AB130">
        <v>463.7630452070515</v>
      </c>
      <c r="AC130">
        <v>464.47433822117279</v>
      </c>
      <c r="AD130">
        <v>465.18563123529401</v>
      </c>
      <c r="AE130">
        <v>10.491571958288359</v>
      </c>
      <c r="AF130">
        <v>10.491571958288359</v>
      </c>
      <c r="AG130">
        <v>10.491571958288359</v>
      </c>
      <c r="AH130">
        <v>10.491571958288359</v>
      </c>
      <c r="AI130">
        <v>10.491571958288359</v>
      </c>
      <c r="AJ130">
        <v>10.491571958288359</v>
      </c>
      <c r="AK130">
        <v>10.491571958288359</v>
      </c>
    </row>
    <row r="131" spans="1:37" hidden="1" x14ac:dyDescent="0.25">
      <c r="A131" t="s">
        <v>90</v>
      </c>
      <c r="B131" t="s">
        <v>182</v>
      </c>
      <c r="C131" t="s">
        <v>201</v>
      </c>
      <c r="F131" t="s">
        <v>205</v>
      </c>
      <c r="G131" t="s">
        <v>122</v>
      </c>
      <c r="H131" t="s">
        <v>123</v>
      </c>
      <c r="I131" t="s">
        <v>203</v>
      </c>
      <c r="J131" t="s">
        <v>206</v>
      </c>
      <c r="K131" t="s">
        <v>98</v>
      </c>
      <c r="L131">
        <v>0</v>
      </c>
      <c r="M131">
        <v>1</v>
      </c>
      <c r="N131">
        <v>2020</v>
      </c>
      <c r="O131">
        <v>8</v>
      </c>
      <c r="P131">
        <v>1</v>
      </c>
      <c r="Q131">
        <v>0.14459157270029679</v>
      </c>
      <c r="R131">
        <v>0.14459157270029679</v>
      </c>
      <c r="S131">
        <v>0.1578568545994066</v>
      </c>
      <c r="T131">
        <v>0.17244866468842729</v>
      </c>
      <c r="U131">
        <v>0.1804078338278931</v>
      </c>
      <c r="V131">
        <v>0.18836700296735909</v>
      </c>
      <c r="W131">
        <v>0.19765270029673601</v>
      </c>
      <c r="X131">
        <v>461.62916616468777</v>
      </c>
      <c r="Y131">
        <v>461.62916616468777</v>
      </c>
      <c r="Z131">
        <v>465.18563123529401</v>
      </c>
      <c r="AA131">
        <v>463.7630452070515</v>
      </c>
      <c r="AB131">
        <v>463.7630452070515</v>
      </c>
      <c r="AC131">
        <v>464.47433822117279</v>
      </c>
      <c r="AD131">
        <v>465.18563123529401</v>
      </c>
      <c r="AE131">
        <v>10.491571958288359</v>
      </c>
      <c r="AF131">
        <v>10.491571958288359</v>
      </c>
      <c r="AG131">
        <v>10.491571958288359</v>
      </c>
      <c r="AH131">
        <v>10.491571958288359</v>
      </c>
      <c r="AI131">
        <v>10.491571958288359</v>
      </c>
      <c r="AJ131">
        <v>10.491571958288359</v>
      </c>
      <c r="AK131">
        <v>10.491571958288359</v>
      </c>
    </row>
    <row r="132" spans="1:37" hidden="1" x14ac:dyDescent="0.25">
      <c r="A132" t="s">
        <v>90</v>
      </c>
      <c r="B132" t="s">
        <v>182</v>
      </c>
      <c r="C132" t="s">
        <v>201</v>
      </c>
      <c r="F132" t="s">
        <v>205</v>
      </c>
      <c r="G132" t="s">
        <v>124</v>
      </c>
      <c r="H132" t="s">
        <v>125</v>
      </c>
      <c r="I132" t="s">
        <v>203</v>
      </c>
      <c r="J132" t="s">
        <v>206</v>
      </c>
      <c r="K132" t="s">
        <v>98</v>
      </c>
      <c r="L132">
        <v>0</v>
      </c>
      <c r="M132">
        <v>1</v>
      </c>
      <c r="N132">
        <v>2020</v>
      </c>
      <c r="O132">
        <v>8</v>
      </c>
      <c r="P132">
        <v>0.1</v>
      </c>
      <c r="Q132">
        <v>0.14459157270029679</v>
      </c>
      <c r="R132">
        <v>0.14459157270029679</v>
      </c>
      <c r="S132">
        <v>0.1578568545994066</v>
      </c>
      <c r="T132">
        <v>0.17244866468842729</v>
      </c>
      <c r="U132">
        <v>0.1804078338278931</v>
      </c>
      <c r="V132">
        <v>0.18836700296735909</v>
      </c>
      <c r="W132">
        <v>0.19765270029673601</v>
      </c>
      <c r="X132">
        <v>461.62916616468777</v>
      </c>
      <c r="Y132">
        <v>461.62916616468777</v>
      </c>
      <c r="Z132">
        <v>465.18563123529401</v>
      </c>
      <c r="AA132">
        <v>463.7630452070515</v>
      </c>
      <c r="AB132">
        <v>463.7630452070515</v>
      </c>
      <c r="AC132">
        <v>464.47433822117279</v>
      </c>
      <c r="AD132">
        <v>465.18563123529401</v>
      </c>
      <c r="AE132">
        <v>10.491571958288359</v>
      </c>
      <c r="AF132">
        <v>10.491571958288359</v>
      </c>
      <c r="AG132">
        <v>10.491571958288359</v>
      </c>
      <c r="AH132">
        <v>10.491571958288359</v>
      </c>
      <c r="AI132">
        <v>10.491571958288359</v>
      </c>
      <c r="AJ132">
        <v>10.491571958288359</v>
      </c>
      <c r="AK132">
        <v>10.491571958288359</v>
      </c>
    </row>
    <row r="133" spans="1:37" hidden="1" x14ac:dyDescent="0.25">
      <c r="A133" t="s">
        <v>90</v>
      </c>
      <c r="B133" t="s">
        <v>182</v>
      </c>
      <c r="C133" t="s">
        <v>201</v>
      </c>
      <c r="F133" t="s">
        <v>207</v>
      </c>
      <c r="G133" t="s">
        <v>119</v>
      </c>
      <c r="H133" t="s">
        <v>120</v>
      </c>
      <c r="I133" t="s">
        <v>203</v>
      </c>
      <c r="J133" t="s">
        <v>208</v>
      </c>
      <c r="K133" t="s">
        <v>98</v>
      </c>
      <c r="L133">
        <v>1</v>
      </c>
      <c r="M133">
        <v>1</v>
      </c>
      <c r="N133">
        <v>2020</v>
      </c>
      <c r="O133">
        <v>8</v>
      </c>
      <c r="P133">
        <v>1</v>
      </c>
      <c r="Q133">
        <v>0.14591810089020771</v>
      </c>
      <c r="R133">
        <v>0.14591810089020771</v>
      </c>
      <c r="S133">
        <v>0.16183643916913951</v>
      </c>
      <c r="T133">
        <v>0.1764282492581602</v>
      </c>
      <c r="U133">
        <v>0.18704047477744801</v>
      </c>
      <c r="V133">
        <v>0.1963261721068249</v>
      </c>
      <c r="W133">
        <v>0.2056118694362018</v>
      </c>
      <c r="X133">
        <v>465.89692424941529</v>
      </c>
      <c r="Y133">
        <v>465.89692424941529</v>
      </c>
      <c r="Z133">
        <v>464.47433822117279</v>
      </c>
      <c r="AA133">
        <v>460.91787315056649</v>
      </c>
      <c r="AB133">
        <v>459.49528712232399</v>
      </c>
      <c r="AC133">
        <v>458.78399410820282</v>
      </c>
      <c r="AD133">
        <v>458.07270109408159</v>
      </c>
      <c r="AE133">
        <v>10.491571958288359</v>
      </c>
      <c r="AF133">
        <v>10.491571958288359</v>
      </c>
      <c r="AG133">
        <v>10.491571958288359</v>
      </c>
      <c r="AH133">
        <v>10.491571958288359</v>
      </c>
      <c r="AI133">
        <v>10.491571958288359</v>
      </c>
      <c r="AJ133">
        <v>10.491571958288359</v>
      </c>
      <c r="AK133">
        <v>10.491571958288359</v>
      </c>
    </row>
    <row r="134" spans="1:37" hidden="1" x14ac:dyDescent="0.25">
      <c r="A134" t="s">
        <v>90</v>
      </c>
      <c r="B134" t="s">
        <v>182</v>
      </c>
      <c r="C134" t="s">
        <v>201</v>
      </c>
      <c r="F134" t="s">
        <v>207</v>
      </c>
      <c r="G134" t="s">
        <v>122</v>
      </c>
      <c r="H134" t="s">
        <v>123</v>
      </c>
      <c r="I134" t="s">
        <v>203</v>
      </c>
      <c r="J134" t="s">
        <v>208</v>
      </c>
      <c r="K134" t="s">
        <v>98</v>
      </c>
      <c r="L134">
        <v>0</v>
      </c>
      <c r="M134">
        <v>1</v>
      </c>
      <c r="N134">
        <v>2020</v>
      </c>
      <c r="O134">
        <v>8</v>
      </c>
      <c r="P134">
        <v>1</v>
      </c>
      <c r="Q134">
        <v>0.14591810089020771</v>
      </c>
      <c r="R134">
        <v>0.14591810089020771</v>
      </c>
      <c r="S134">
        <v>0.16183643916913951</v>
      </c>
      <c r="T134">
        <v>0.1764282492581602</v>
      </c>
      <c r="U134">
        <v>0.18704047477744801</v>
      </c>
      <c r="V134">
        <v>0.1963261721068249</v>
      </c>
      <c r="W134">
        <v>0.2056118694362018</v>
      </c>
      <c r="X134">
        <v>465.89692424941529</v>
      </c>
      <c r="Y134">
        <v>465.89692424941529</v>
      </c>
      <c r="Z134">
        <v>464.47433822117279</v>
      </c>
      <c r="AA134">
        <v>460.91787315056649</v>
      </c>
      <c r="AB134">
        <v>459.49528712232399</v>
      </c>
      <c r="AC134">
        <v>458.78399410820282</v>
      </c>
      <c r="AD134">
        <v>458.07270109408159</v>
      </c>
      <c r="AE134">
        <v>10.491571958288359</v>
      </c>
      <c r="AF134">
        <v>10.491571958288359</v>
      </c>
      <c r="AG134">
        <v>10.491571958288359</v>
      </c>
      <c r="AH134">
        <v>10.491571958288359</v>
      </c>
      <c r="AI134">
        <v>10.491571958288359</v>
      </c>
      <c r="AJ134">
        <v>10.491571958288359</v>
      </c>
      <c r="AK134">
        <v>10.491571958288359</v>
      </c>
    </row>
    <row r="135" spans="1:37" hidden="1" x14ac:dyDescent="0.25">
      <c r="A135" t="s">
        <v>90</v>
      </c>
      <c r="B135" t="s">
        <v>182</v>
      </c>
      <c r="C135" t="s">
        <v>201</v>
      </c>
      <c r="F135" t="s">
        <v>207</v>
      </c>
      <c r="G135" t="s">
        <v>124</v>
      </c>
      <c r="H135" t="s">
        <v>125</v>
      </c>
      <c r="I135" t="s">
        <v>203</v>
      </c>
      <c r="J135" t="s">
        <v>208</v>
      </c>
      <c r="K135" t="s">
        <v>98</v>
      </c>
      <c r="L135">
        <v>0</v>
      </c>
      <c r="M135">
        <v>1</v>
      </c>
      <c r="N135">
        <v>2020</v>
      </c>
      <c r="O135">
        <v>8</v>
      </c>
      <c r="P135">
        <v>0.1</v>
      </c>
      <c r="Q135">
        <v>0.14591810089020771</v>
      </c>
      <c r="R135">
        <v>0.14591810089020771</v>
      </c>
      <c r="S135">
        <v>0.16183643916913951</v>
      </c>
      <c r="T135">
        <v>0.1764282492581602</v>
      </c>
      <c r="U135">
        <v>0.18704047477744801</v>
      </c>
      <c r="V135">
        <v>0.1963261721068249</v>
      </c>
      <c r="W135">
        <v>0.2056118694362018</v>
      </c>
      <c r="X135">
        <v>465.89692424941529</v>
      </c>
      <c r="Y135">
        <v>465.89692424941529</v>
      </c>
      <c r="Z135">
        <v>464.47433822117279</v>
      </c>
      <c r="AA135">
        <v>460.91787315056649</v>
      </c>
      <c r="AB135">
        <v>459.49528712232399</v>
      </c>
      <c r="AC135">
        <v>458.78399410820282</v>
      </c>
      <c r="AD135">
        <v>458.07270109408159</v>
      </c>
      <c r="AE135">
        <v>10.491571958288359</v>
      </c>
      <c r="AF135">
        <v>10.491571958288359</v>
      </c>
      <c r="AG135">
        <v>10.491571958288359</v>
      </c>
      <c r="AH135">
        <v>10.491571958288359</v>
      </c>
      <c r="AI135">
        <v>10.491571958288359</v>
      </c>
      <c r="AJ135">
        <v>10.491571958288359</v>
      </c>
      <c r="AK135">
        <v>10.491571958288359</v>
      </c>
    </row>
    <row r="136" spans="1:37" hidden="1" x14ac:dyDescent="0.25">
      <c r="A136" t="s">
        <v>90</v>
      </c>
      <c r="B136" t="s">
        <v>182</v>
      </c>
      <c r="C136" t="s">
        <v>201</v>
      </c>
      <c r="F136" t="s">
        <v>209</v>
      </c>
      <c r="G136" t="s">
        <v>119</v>
      </c>
      <c r="H136" t="s">
        <v>120</v>
      </c>
      <c r="I136" t="s">
        <v>203</v>
      </c>
      <c r="J136" t="s">
        <v>210</v>
      </c>
      <c r="K136" t="s">
        <v>98</v>
      </c>
      <c r="L136">
        <v>1</v>
      </c>
      <c r="M136">
        <v>1</v>
      </c>
      <c r="N136">
        <v>2020</v>
      </c>
      <c r="O136">
        <v>8</v>
      </c>
      <c r="P136">
        <v>0.30952380952381148</v>
      </c>
      <c r="Q136">
        <v>0.29979537091988079</v>
      </c>
      <c r="R136">
        <v>0.29979537091988079</v>
      </c>
      <c r="S136">
        <v>0.33030551928783392</v>
      </c>
      <c r="T136">
        <v>0.35816261127596438</v>
      </c>
      <c r="U136">
        <v>0.37408094955489479</v>
      </c>
      <c r="V136">
        <v>0.3899992878338272</v>
      </c>
      <c r="W136">
        <v>0.4059176261127605</v>
      </c>
      <c r="X136">
        <v>515.68743523790056</v>
      </c>
      <c r="Y136">
        <v>515.68743523790056</v>
      </c>
      <c r="Z136">
        <v>484.39054261656662</v>
      </c>
      <c r="AA136">
        <v>464.47433822117449</v>
      </c>
      <c r="AB136">
        <v>456.65011506583812</v>
      </c>
      <c r="AC136">
        <v>449.53718492462809</v>
      </c>
      <c r="AD136">
        <v>441.71296176929172</v>
      </c>
      <c r="AE136">
        <v>10.491571958288329</v>
      </c>
      <c r="AF136">
        <v>10.491571958288329</v>
      </c>
      <c r="AG136">
        <v>10.491571958288329</v>
      </c>
      <c r="AH136">
        <v>10.491571958288329</v>
      </c>
      <c r="AI136">
        <v>10.491571958288329</v>
      </c>
      <c r="AJ136">
        <v>10.491571958288329</v>
      </c>
      <c r="AK136">
        <v>10.491571958288329</v>
      </c>
    </row>
    <row r="137" spans="1:37" hidden="1" x14ac:dyDescent="0.25">
      <c r="A137" t="s">
        <v>90</v>
      </c>
      <c r="B137" t="s">
        <v>182</v>
      </c>
      <c r="C137" t="s">
        <v>201</v>
      </c>
      <c r="F137" t="s">
        <v>209</v>
      </c>
      <c r="G137" t="s">
        <v>122</v>
      </c>
      <c r="H137" t="s">
        <v>123</v>
      </c>
      <c r="I137" t="s">
        <v>203</v>
      </c>
      <c r="J137" t="s">
        <v>210</v>
      </c>
      <c r="K137" t="s">
        <v>98</v>
      </c>
      <c r="L137">
        <v>0</v>
      </c>
      <c r="M137">
        <v>1</v>
      </c>
      <c r="N137">
        <v>2020</v>
      </c>
      <c r="O137">
        <v>8</v>
      </c>
      <c r="P137">
        <v>0.30952380952381148</v>
      </c>
      <c r="Q137">
        <v>0.29979537091988079</v>
      </c>
      <c r="R137">
        <v>0.29979537091988079</v>
      </c>
      <c r="S137">
        <v>0.33030551928783392</v>
      </c>
      <c r="T137">
        <v>0.35816261127596438</v>
      </c>
      <c r="U137">
        <v>0.37408094955489479</v>
      </c>
      <c r="V137">
        <v>0.3899992878338272</v>
      </c>
      <c r="W137">
        <v>0.4059176261127605</v>
      </c>
      <c r="X137">
        <v>515.68743523790056</v>
      </c>
      <c r="Y137">
        <v>515.68743523790056</v>
      </c>
      <c r="Z137">
        <v>484.39054261656662</v>
      </c>
      <c r="AA137">
        <v>464.47433822117449</v>
      </c>
      <c r="AB137">
        <v>456.65011506583812</v>
      </c>
      <c r="AC137">
        <v>449.53718492462809</v>
      </c>
      <c r="AD137">
        <v>441.71296176929172</v>
      </c>
      <c r="AE137">
        <v>10.491571958288329</v>
      </c>
      <c r="AF137">
        <v>10.491571958288329</v>
      </c>
      <c r="AG137">
        <v>10.491571958288329</v>
      </c>
      <c r="AH137">
        <v>10.491571958288329</v>
      </c>
      <c r="AI137">
        <v>10.491571958288329</v>
      </c>
      <c r="AJ137">
        <v>10.491571958288329</v>
      </c>
      <c r="AK137">
        <v>10.491571958288329</v>
      </c>
    </row>
    <row r="138" spans="1:37" hidden="1" x14ac:dyDescent="0.25">
      <c r="A138" t="s">
        <v>90</v>
      </c>
      <c r="B138" t="s">
        <v>182</v>
      </c>
      <c r="C138" t="s">
        <v>201</v>
      </c>
      <c r="F138" t="s">
        <v>209</v>
      </c>
      <c r="G138" t="s">
        <v>124</v>
      </c>
      <c r="H138" t="s">
        <v>125</v>
      </c>
      <c r="I138" t="s">
        <v>203</v>
      </c>
      <c r="J138" t="s">
        <v>210</v>
      </c>
      <c r="K138" t="s">
        <v>98</v>
      </c>
      <c r="L138">
        <v>0</v>
      </c>
      <c r="M138">
        <v>1</v>
      </c>
      <c r="N138">
        <v>2020</v>
      </c>
      <c r="O138">
        <v>8</v>
      </c>
      <c r="P138">
        <v>0.1</v>
      </c>
      <c r="Q138">
        <v>0.29979537091988079</v>
      </c>
      <c r="R138">
        <v>0.29979537091988079</v>
      </c>
      <c r="S138">
        <v>0.33030551928783392</v>
      </c>
      <c r="T138">
        <v>0.35816261127596438</v>
      </c>
      <c r="U138">
        <v>0.37408094955489479</v>
      </c>
      <c r="V138">
        <v>0.3899992878338272</v>
      </c>
      <c r="W138">
        <v>0.4059176261127605</v>
      </c>
      <c r="X138">
        <v>515.68743523790056</v>
      </c>
      <c r="Y138">
        <v>515.68743523790056</v>
      </c>
      <c r="Z138">
        <v>484.39054261656662</v>
      </c>
      <c r="AA138">
        <v>464.47433822117449</v>
      </c>
      <c r="AB138">
        <v>456.65011506583812</v>
      </c>
      <c r="AC138">
        <v>449.53718492462809</v>
      </c>
      <c r="AD138">
        <v>441.71296176929172</v>
      </c>
      <c r="AE138">
        <v>10.491571958288329</v>
      </c>
      <c r="AF138">
        <v>10.491571958288329</v>
      </c>
      <c r="AG138">
        <v>10.491571958288329</v>
      </c>
      <c r="AH138">
        <v>10.491571958288329</v>
      </c>
      <c r="AI138">
        <v>10.491571958288329</v>
      </c>
      <c r="AJ138">
        <v>10.491571958288329</v>
      </c>
      <c r="AK138">
        <v>10.491571958288329</v>
      </c>
    </row>
    <row r="139" spans="1:37" hidden="1" x14ac:dyDescent="0.25">
      <c r="A139" t="s">
        <v>90</v>
      </c>
      <c r="B139" t="s">
        <v>182</v>
      </c>
      <c r="C139" t="s">
        <v>201</v>
      </c>
      <c r="F139" t="s">
        <v>209</v>
      </c>
      <c r="G139" t="s">
        <v>211</v>
      </c>
      <c r="H139" t="s">
        <v>212</v>
      </c>
      <c r="I139" t="s">
        <v>203</v>
      </c>
      <c r="J139" t="s">
        <v>210</v>
      </c>
      <c r="K139" t="s">
        <v>98</v>
      </c>
      <c r="L139">
        <v>0</v>
      </c>
      <c r="M139">
        <v>1</v>
      </c>
      <c r="N139">
        <v>2020</v>
      </c>
      <c r="O139">
        <v>8</v>
      </c>
      <c r="P139">
        <v>0.69047619047618847</v>
      </c>
      <c r="Q139">
        <v>0.29979537091988079</v>
      </c>
      <c r="R139">
        <v>0.29979537091988079</v>
      </c>
      <c r="S139">
        <v>0.33030551928783392</v>
      </c>
      <c r="T139">
        <v>0.35816261127596438</v>
      </c>
      <c r="U139">
        <v>0.37408094955489479</v>
      </c>
      <c r="V139">
        <v>0.3899992878338272</v>
      </c>
      <c r="W139">
        <v>0.4059176261127605</v>
      </c>
      <c r="X139">
        <v>515.68743523790056</v>
      </c>
      <c r="Y139">
        <v>515.68743523790056</v>
      </c>
      <c r="Z139">
        <v>484.39054261656662</v>
      </c>
      <c r="AA139">
        <v>464.47433822117449</v>
      </c>
      <c r="AB139">
        <v>456.65011506583812</v>
      </c>
      <c r="AC139">
        <v>449.53718492462809</v>
      </c>
      <c r="AD139">
        <v>441.71296176929172</v>
      </c>
      <c r="AE139">
        <v>10.491571958288329</v>
      </c>
      <c r="AF139">
        <v>10.491571958288329</v>
      </c>
      <c r="AG139">
        <v>10.491571958288329</v>
      </c>
      <c r="AH139">
        <v>10.491571958288329</v>
      </c>
      <c r="AI139">
        <v>10.491571958288329</v>
      </c>
      <c r="AJ139">
        <v>10.491571958288329</v>
      </c>
      <c r="AK139">
        <v>10.491571958288329</v>
      </c>
    </row>
    <row r="140" spans="1:37" hidden="1" x14ac:dyDescent="0.25">
      <c r="A140" t="s">
        <v>90</v>
      </c>
      <c r="B140" t="s">
        <v>182</v>
      </c>
      <c r="C140" t="s">
        <v>201</v>
      </c>
      <c r="F140" t="s">
        <v>213</v>
      </c>
      <c r="G140" t="s">
        <v>133</v>
      </c>
      <c r="H140" t="s">
        <v>134</v>
      </c>
      <c r="I140" t="s">
        <v>203</v>
      </c>
      <c r="J140" t="s">
        <v>214</v>
      </c>
      <c r="K140" t="s">
        <v>98</v>
      </c>
      <c r="L140">
        <v>1</v>
      </c>
      <c r="M140">
        <v>1</v>
      </c>
      <c r="N140">
        <v>2020</v>
      </c>
      <c r="O140">
        <v>8</v>
      </c>
      <c r="P140">
        <v>1</v>
      </c>
      <c r="Q140">
        <v>0.20030575667655801</v>
      </c>
      <c r="R140">
        <v>0.20030575667655801</v>
      </c>
      <c r="S140">
        <v>0.22020367952522271</v>
      </c>
      <c r="T140">
        <v>0.24142813056379819</v>
      </c>
      <c r="U140">
        <v>0.25071382789317492</v>
      </c>
      <c r="V140">
        <v>0.26132605341246301</v>
      </c>
      <c r="W140">
        <v>0.27061175074183957</v>
      </c>
      <c r="X140">
        <v>635.89595462439217</v>
      </c>
      <c r="Y140">
        <v>635.89595462439217</v>
      </c>
      <c r="Z140">
        <v>598.19742487596693</v>
      </c>
      <c r="AA140">
        <v>566.18923924051046</v>
      </c>
      <c r="AB140">
        <v>553.38596498632808</v>
      </c>
      <c r="AC140">
        <v>540.58269073214626</v>
      </c>
      <c r="AD140">
        <v>527.77941647796388</v>
      </c>
      <c r="AE140">
        <v>10.49157195828835</v>
      </c>
      <c r="AF140">
        <v>10.49157195828835</v>
      </c>
      <c r="AG140">
        <v>10.49157195828835</v>
      </c>
      <c r="AH140">
        <v>10.49157195828835</v>
      </c>
      <c r="AI140">
        <v>10.49157195828835</v>
      </c>
      <c r="AJ140">
        <v>10.49157195828835</v>
      </c>
      <c r="AK140">
        <v>10.49157195828835</v>
      </c>
    </row>
    <row r="141" spans="1:37" hidden="1" x14ac:dyDescent="0.25">
      <c r="A141" t="s">
        <v>90</v>
      </c>
      <c r="B141" t="s">
        <v>182</v>
      </c>
      <c r="C141" t="s">
        <v>201</v>
      </c>
      <c r="F141" t="s">
        <v>215</v>
      </c>
      <c r="G141" t="s">
        <v>133</v>
      </c>
      <c r="H141" t="s">
        <v>134</v>
      </c>
      <c r="I141" t="s">
        <v>203</v>
      </c>
      <c r="J141" t="s">
        <v>216</v>
      </c>
      <c r="K141" t="s">
        <v>98</v>
      </c>
      <c r="L141">
        <v>1</v>
      </c>
      <c r="M141">
        <v>1</v>
      </c>
      <c r="N141">
        <v>2020</v>
      </c>
      <c r="O141">
        <v>8</v>
      </c>
      <c r="P141">
        <v>0.89763779527559173</v>
      </c>
      <c r="Q141">
        <v>0.2175506231454005</v>
      </c>
      <c r="R141">
        <v>0.2175506231454005</v>
      </c>
      <c r="S141">
        <v>0.24010160237388731</v>
      </c>
      <c r="T141">
        <v>0.25867299703264102</v>
      </c>
      <c r="U141">
        <v>0.26663216617210689</v>
      </c>
      <c r="V141">
        <v>0.27591786350148362</v>
      </c>
      <c r="W141">
        <v>0.28387703264094938</v>
      </c>
      <c r="X141">
        <v>537.02622566153968</v>
      </c>
      <c r="Y141">
        <v>537.02622566153968</v>
      </c>
      <c r="Z141">
        <v>500.03898892723481</v>
      </c>
      <c r="AA141">
        <v>476.56631946123417</v>
      </c>
      <c r="AB141">
        <v>466.60821726353652</v>
      </c>
      <c r="AC141">
        <v>456.65011506583892</v>
      </c>
      <c r="AD141">
        <v>446.69201286814172</v>
      </c>
      <c r="AE141">
        <v>10.49157195828835</v>
      </c>
      <c r="AF141">
        <v>10.49157195828835</v>
      </c>
      <c r="AG141">
        <v>10.49157195828835</v>
      </c>
      <c r="AH141">
        <v>10.49157195828835</v>
      </c>
      <c r="AI141">
        <v>10.49157195828835</v>
      </c>
      <c r="AJ141">
        <v>10.49157195828835</v>
      </c>
      <c r="AK141">
        <v>10.49157195828835</v>
      </c>
    </row>
    <row r="142" spans="1:37" hidden="1" x14ac:dyDescent="0.25">
      <c r="A142" t="s">
        <v>90</v>
      </c>
      <c r="B142" t="s">
        <v>182</v>
      </c>
      <c r="C142" t="s">
        <v>201</v>
      </c>
      <c r="F142" t="s">
        <v>215</v>
      </c>
      <c r="G142" t="s">
        <v>211</v>
      </c>
      <c r="H142" t="s">
        <v>212</v>
      </c>
      <c r="I142" t="s">
        <v>203</v>
      </c>
      <c r="J142" t="s">
        <v>216</v>
      </c>
      <c r="K142" t="s">
        <v>98</v>
      </c>
      <c r="L142">
        <v>0</v>
      </c>
      <c r="M142">
        <v>1</v>
      </c>
      <c r="N142">
        <v>2020</v>
      </c>
      <c r="O142">
        <v>8</v>
      </c>
      <c r="P142">
        <v>0.1023622047244083</v>
      </c>
      <c r="Q142">
        <v>0.2175506231454005</v>
      </c>
      <c r="R142">
        <v>0.2175506231454005</v>
      </c>
      <c r="S142">
        <v>0.24010160237388731</v>
      </c>
      <c r="T142">
        <v>0.25867299703264102</v>
      </c>
      <c r="U142">
        <v>0.26663216617210689</v>
      </c>
      <c r="V142">
        <v>0.27591786350148362</v>
      </c>
      <c r="W142">
        <v>0.28387703264094938</v>
      </c>
      <c r="X142">
        <v>537.02622566153968</v>
      </c>
      <c r="Y142">
        <v>537.02622566153968</v>
      </c>
      <c r="Z142">
        <v>500.03898892723481</v>
      </c>
      <c r="AA142">
        <v>476.56631946123417</v>
      </c>
      <c r="AB142">
        <v>466.60821726353652</v>
      </c>
      <c r="AC142">
        <v>456.65011506583892</v>
      </c>
      <c r="AD142">
        <v>446.69201286814172</v>
      </c>
      <c r="AE142">
        <v>10.49157195828835</v>
      </c>
      <c r="AF142">
        <v>10.49157195828835</v>
      </c>
      <c r="AG142">
        <v>10.49157195828835</v>
      </c>
      <c r="AH142">
        <v>10.49157195828835</v>
      </c>
      <c r="AI142">
        <v>10.49157195828835</v>
      </c>
      <c r="AJ142">
        <v>10.49157195828835</v>
      </c>
      <c r="AK142">
        <v>10.49157195828835</v>
      </c>
    </row>
    <row r="143" spans="1:37" hidden="1" x14ac:dyDescent="0.25">
      <c r="A143" t="s">
        <v>90</v>
      </c>
      <c r="B143" t="s">
        <v>182</v>
      </c>
      <c r="C143" t="s">
        <v>201</v>
      </c>
      <c r="F143" t="s">
        <v>217</v>
      </c>
      <c r="G143" t="s">
        <v>211</v>
      </c>
      <c r="H143" t="s">
        <v>212</v>
      </c>
      <c r="I143" t="s">
        <v>203</v>
      </c>
      <c r="J143" t="s">
        <v>218</v>
      </c>
      <c r="K143" t="s">
        <v>98</v>
      </c>
      <c r="L143">
        <v>1</v>
      </c>
      <c r="M143">
        <v>1</v>
      </c>
      <c r="N143">
        <v>2020</v>
      </c>
      <c r="O143">
        <v>8</v>
      </c>
      <c r="P143">
        <v>1</v>
      </c>
      <c r="Q143">
        <v>0.36877483679525219</v>
      </c>
      <c r="R143">
        <v>0.36877483679525219</v>
      </c>
      <c r="S143">
        <v>0.40061151335311579</v>
      </c>
      <c r="T143">
        <v>0.43510124629080099</v>
      </c>
      <c r="U143">
        <v>0.44969305637982182</v>
      </c>
      <c r="V143">
        <v>0.46428486646884271</v>
      </c>
      <c r="W143">
        <v>0.48152973293768542</v>
      </c>
      <c r="X143">
        <v>508.57450509669002</v>
      </c>
      <c r="Y143">
        <v>508.57450509669002</v>
      </c>
      <c r="Z143">
        <v>462.34045917880923</v>
      </c>
      <c r="AA143">
        <v>437.44520368456551</v>
      </c>
      <c r="AB143">
        <v>426.06451545862558</v>
      </c>
      <c r="AC143">
        <v>414.6838272326857</v>
      </c>
      <c r="AD143">
        <v>403.30313900674582</v>
      </c>
      <c r="AE143">
        <v>6.7572836341518263</v>
      </c>
      <c r="AF143">
        <v>6.7572836341518263</v>
      </c>
      <c r="AG143">
        <v>6.7572836341518263</v>
      </c>
      <c r="AH143">
        <v>6.7572836341518263</v>
      </c>
      <c r="AI143">
        <v>6.7572836341518263</v>
      </c>
      <c r="AJ143">
        <v>6.7572836341518263</v>
      </c>
      <c r="AK143">
        <v>6.7572836341518263</v>
      </c>
    </row>
    <row r="144" spans="1:37" hidden="1" x14ac:dyDescent="0.25">
      <c r="A144" t="s">
        <v>90</v>
      </c>
      <c r="B144" t="s">
        <v>182</v>
      </c>
      <c r="C144" t="s">
        <v>219</v>
      </c>
      <c r="F144" t="s">
        <v>202</v>
      </c>
      <c r="G144" t="s">
        <v>119</v>
      </c>
      <c r="H144" t="s">
        <v>120</v>
      </c>
      <c r="I144" t="s">
        <v>220</v>
      </c>
      <c r="J144" t="s">
        <v>221</v>
      </c>
      <c r="K144" t="s">
        <v>98</v>
      </c>
      <c r="L144">
        <v>1</v>
      </c>
      <c r="M144">
        <v>1</v>
      </c>
      <c r="N144">
        <v>2020</v>
      </c>
      <c r="O144">
        <v>10.89196958520898</v>
      </c>
      <c r="P144">
        <v>1</v>
      </c>
      <c r="Q144">
        <v>0.1014794065281899</v>
      </c>
      <c r="R144">
        <v>0.1014794065281899</v>
      </c>
      <c r="S144">
        <v>0.1114283679525223</v>
      </c>
      <c r="T144">
        <v>0.120581412462908</v>
      </c>
      <c r="U144">
        <v>0.12548956676557871</v>
      </c>
      <c r="V144">
        <v>0.13039772106824929</v>
      </c>
      <c r="W144">
        <v>0.1353058753709199</v>
      </c>
      <c r="X144">
        <v>241.12833178710201</v>
      </c>
      <c r="Y144">
        <v>241.12833178710201</v>
      </c>
      <c r="Z144">
        <v>243.26221082946569</v>
      </c>
      <c r="AA144">
        <v>243.97350384358691</v>
      </c>
      <c r="AB144">
        <v>246.1073828859507</v>
      </c>
      <c r="AC144">
        <v>247.52996891419309</v>
      </c>
      <c r="AD144">
        <v>249.66384795655691</v>
      </c>
      <c r="AE144">
        <v>9.9262614810501049</v>
      </c>
      <c r="AF144">
        <v>9.9262614810501049</v>
      </c>
      <c r="AG144">
        <v>9.9262614810501049</v>
      </c>
      <c r="AH144">
        <v>9.9262614810501049</v>
      </c>
      <c r="AI144">
        <v>9.9262614810501049</v>
      </c>
      <c r="AJ144">
        <v>9.9262614810501049</v>
      </c>
      <c r="AK144">
        <v>9.9262614810501049</v>
      </c>
    </row>
    <row r="145" spans="1:37" hidden="1" x14ac:dyDescent="0.25">
      <c r="A145" t="s">
        <v>90</v>
      </c>
      <c r="B145" t="s">
        <v>182</v>
      </c>
      <c r="C145" t="s">
        <v>219</v>
      </c>
      <c r="F145" t="s">
        <v>202</v>
      </c>
      <c r="G145" t="s">
        <v>122</v>
      </c>
      <c r="H145" t="s">
        <v>123</v>
      </c>
      <c r="I145" t="s">
        <v>220</v>
      </c>
      <c r="J145" t="s">
        <v>221</v>
      </c>
      <c r="K145" t="s">
        <v>98</v>
      </c>
      <c r="L145">
        <v>0</v>
      </c>
      <c r="M145">
        <v>1</v>
      </c>
      <c r="N145">
        <v>2020</v>
      </c>
      <c r="O145">
        <v>10.89196958520898</v>
      </c>
      <c r="P145">
        <v>1</v>
      </c>
      <c r="Q145">
        <v>0.1014794065281899</v>
      </c>
      <c r="R145">
        <v>0.1014794065281899</v>
      </c>
      <c r="S145">
        <v>0.1114283679525223</v>
      </c>
      <c r="T145">
        <v>0.120581412462908</v>
      </c>
      <c r="U145">
        <v>0.12548956676557871</v>
      </c>
      <c r="V145">
        <v>0.13039772106824929</v>
      </c>
      <c r="W145">
        <v>0.1353058753709199</v>
      </c>
      <c r="X145">
        <v>241.12833178710201</v>
      </c>
      <c r="Y145">
        <v>241.12833178710201</v>
      </c>
      <c r="Z145">
        <v>243.26221082946569</v>
      </c>
      <c r="AA145">
        <v>243.97350384358691</v>
      </c>
      <c r="AB145">
        <v>246.1073828859507</v>
      </c>
      <c r="AC145">
        <v>247.52996891419309</v>
      </c>
      <c r="AD145">
        <v>249.66384795655691</v>
      </c>
      <c r="AE145">
        <v>9.9262614810501049</v>
      </c>
      <c r="AF145">
        <v>9.9262614810501049</v>
      </c>
      <c r="AG145">
        <v>9.9262614810501049</v>
      </c>
      <c r="AH145">
        <v>9.9262614810501049</v>
      </c>
      <c r="AI145">
        <v>9.9262614810501049</v>
      </c>
      <c r="AJ145">
        <v>9.9262614810501049</v>
      </c>
      <c r="AK145">
        <v>9.9262614810501049</v>
      </c>
    </row>
    <row r="146" spans="1:37" hidden="1" x14ac:dyDescent="0.25">
      <c r="A146" t="s">
        <v>90</v>
      </c>
      <c r="B146" t="s">
        <v>182</v>
      </c>
      <c r="C146" t="s">
        <v>219</v>
      </c>
      <c r="F146" t="s">
        <v>202</v>
      </c>
      <c r="G146" t="s">
        <v>124</v>
      </c>
      <c r="H146" t="s">
        <v>125</v>
      </c>
      <c r="I146" t="s">
        <v>220</v>
      </c>
      <c r="J146" t="s">
        <v>221</v>
      </c>
      <c r="K146" t="s">
        <v>98</v>
      </c>
      <c r="L146">
        <v>0</v>
      </c>
      <c r="M146">
        <v>1</v>
      </c>
      <c r="N146">
        <v>2020</v>
      </c>
      <c r="O146">
        <v>10.89196958520898</v>
      </c>
      <c r="P146">
        <v>0.1</v>
      </c>
      <c r="Q146">
        <v>0.1014794065281899</v>
      </c>
      <c r="R146">
        <v>0.1014794065281899</v>
      </c>
      <c r="S146">
        <v>0.1114283679525223</v>
      </c>
      <c r="T146">
        <v>0.120581412462908</v>
      </c>
      <c r="U146">
        <v>0.12548956676557871</v>
      </c>
      <c r="V146">
        <v>0.13039772106824929</v>
      </c>
      <c r="W146">
        <v>0.1353058753709199</v>
      </c>
      <c r="X146">
        <v>241.12833178710201</v>
      </c>
      <c r="Y146">
        <v>241.12833178710201</v>
      </c>
      <c r="Z146">
        <v>243.26221082946569</v>
      </c>
      <c r="AA146">
        <v>243.97350384358691</v>
      </c>
      <c r="AB146">
        <v>246.1073828859507</v>
      </c>
      <c r="AC146">
        <v>247.52996891419309</v>
      </c>
      <c r="AD146">
        <v>249.66384795655691</v>
      </c>
      <c r="AE146">
        <v>9.9262614810501049</v>
      </c>
      <c r="AF146">
        <v>9.9262614810501049</v>
      </c>
      <c r="AG146">
        <v>9.9262614810501049</v>
      </c>
      <c r="AH146">
        <v>9.9262614810501049</v>
      </c>
      <c r="AI146">
        <v>9.9262614810501049</v>
      </c>
      <c r="AJ146">
        <v>9.9262614810501049</v>
      </c>
      <c r="AK146">
        <v>9.9262614810501049</v>
      </c>
    </row>
    <row r="147" spans="1:37" hidden="1" x14ac:dyDescent="0.25">
      <c r="A147" t="s">
        <v>90</v>
      </c>
      <c r="B147" t="s">
        <v>182</v>
      </c>
      <c r="C147" t="s">
        <v>219</v>
      </c>
      <c r="F147" t="s">
        <v>205</v>
      </c>
      <c r="G147" t="s">
        <v>119</v>
      </c>
      <c r="H147" t="s">
        <v>120</v>
      </c>
      <c r="I147" t="s">
        <v>220</v>
      </c>
      <c r="J147" t="s">
        <v>222</v>
      </c>
      <c r="K147" t="s">
        <v>98</v>
      </c>
      <c r="L147">
        <v>1</v>
      </c>
      <c r="M147">
        <v>1</v>
      </c>
      <c r="N147">
        <v>2020</v>
      </c>
      <c r="O147">
        <v>10.89196958520898</v>
      </c>
      <c r="P147">
        <v>1</v>
      </c>
      <c r="Q147">
        <v>0.1028059347181009</v>
      </c>
      <c r="R147">
        <v>0.1028059347181009</v>
      </c>
      <c r="S147">
        <v>0.1111630623145401</v>
      </c>
      <c r="T147">
        <v>0.12177528783382791</v>
      </c>
      <c r="U147">
        <v>0.12668344213649849</v>
      </c>
      <c r="V147">
        <v>0.1315915964391691</v>
      </c>
      <c r="W147">
        <v>0.1366324035608309</v>
      </c>
      <c r="X147">
        <v>253.22031302716309</v>
      </c>
      <c r="Y147">
        <v>253.22031302716309</v>
      </c>
      <c r="Z147">
        <v>255.35419206952679</v>
      </c>
      <c r="AA147">
        <v>256.06548508364801</v>
      </c>
      <c r="AB147">
        <v>257.48807111189058</v>
      </c>
      <c r="AC147">
        <v>259.62195015425431</v>
      </c>
      <c r="AD147">
        <v>261.75582919661798</v>
      </c>
      <c r="AE147">
        <v>9.9262614810501049</v>
      </c>
      <c r="AF147">
        <v>9.9262614810501049</v>
      </c>
      <c r="AG147">
        <v>9.9262614810501049</v>
      </c>
      <c r="AH147">
        <v>9.9262614810501049</v>
      </c>
      <c r="AI147">
        <v>9.9262614810501049</v>
      </c>
      <c r="AJ147">
        <v>9.9262614810501049</v>
      </c>
      <c r="AK147">
        <v>9.9262614810501049</v>
      </c>
    </row>
    <row r="148" spans="1:37" hidden="1" x14ac:dyDescent="0.25">
      <c r="A148" t="s">
        <v>90</v>
      </c>
      <c r="B148" t="s">
        <v>182</v>
      </c>
      <c r="C148" t="s">
        <v>219</v>
      </c>
      <c r="F148" t="s">
        <v>205</v>
      </c>
      <c r="G148" t="s">
        <v>122</v>
      </c>
      <c r="H148" t="s">
        <v>123</v>
      </c>
      <c r="I148" t="s">
        <v>220</v>
      </c>
      <c r="J148" t="s">
        <v>222</v>
      </c>
      <c r="K148" t="s">
        <v>98</v>
      </c>
      <c r="L148">
        <v>0</v>
      </c>
      <c r="M148">
        <v>1</v>
      </c>
      <c r="N148">
        <v>2020</v>
      </c>
      <c r="O148">
        <v>10.89196958520898</v>
      </c>
      <c r="P148">
        <v>1</v>
      </c>
      <c r="Q148">
        <v>0.1028059347181009</v>
      </c>
      <c r="R148">
        <v>0.1028059347181009</v>
      </c>
      <c r="S148">
        <v>0.1111630623145401</v>
      </c>
      <c r="T148">
        <v>0.12177528783382791</v>
      </c>
      <c r="U148">
        <v>0.12668344213649849</v>
      </c>
      <c r="V148">
        <v>0.1315915964391691</v>
      </c>
      <c r="W148">
        <v>0.1366324035608309</v>
      </c>
      <c r="X148">
        <v>253.22031302716309</v>
      </c>
      <c r="Y148">
        <v>253.22031302716309</v>
      </c>
      <c r="Z148">
        <v>255.35419206952679</v>
      </c>
      <c r="AA148">
        <v>256.06548508364801</v>
      </c>
      <c r="AB148">
        <v>257.48807111189058</v>
      </c>
      <c r="AC148">
        <v>259.62195015425431</v>
      </c>
      <c r="AD148">
        <v>261.75582919661798</v>
      </c>
      <c r="AE148">
        <v>9.9262614810501049</v>
      </c>
      <c r="AF148">
        <v>9.9262614810501049</v>
      </c>
      <c r="AG148">
        <v>9.9262614810501049</v>
      </c>
      <c r="AH148">
        <v>9.9262614810501049</v>
      </c>
      <c r="AI148">
        <v>9.9262614810501049</v>
      </c>
      <c r="AJ148">
        <v>9.9262614810501049</v>
      </c>
      <c r="AK148">
        <v>9.9262614810501049</v>
      </c>
    </row>
    <row r="149" spans="1:37" hidden="1" x14ac:dyDescent="0.25">
      <c r="A149" t="s">
        <v>90</v>
      </c>
      <c r="B149" t="s">
        <v>182</v>
      </c>
      <c r="C149" t="s">
        <v>219</v>
      </c>
      <c r="F149" t="s">
        <v>205</v>
      </c>
      <c r="G149" t="s">
        <v>124</v>
      </c>
      <c r="H149" t="s">
        <v>125</v>
      </c>
      <c r="I149" t="s">
        <v>220</v>
      </c>
      <c r="J149" t="s">
        <v>222</v>
      </c>
      <c r="K149" t="s">
        <v>98</v>
      </c>
      <c r="L149">
        <v>0</v>
      </c>
      <c r="M149">
        <v>1</v>
      </c>
      <c r="N149">
        <v>2020</v>
      </c>
      <c r="O149">
        <v>10.89196958520898</v>
      </c>
      <c r="P149">
        <v>0.1</v>
      </c>
      <c r="Q149">
        <v>0.1028059347181009</v>
      </c>
      <c r="R149">
        <v>0.1028059347181009</v>
      </c>
      <c r="S149">
        <v>0.1111630623145401</v>
      </c>
      <c r="T149">
        <v>0.12177528783382791</v>
      </c>
      <c r="U149">
        <v>0.12668344213649849</v>
      </c>
      <c r="V149">
        <v>0.1315915964391691</v>
      </c>
      <c r="W149">
        <v>0.1366324035608309</v>
      </c>
      <c r="X149">
        <v>253.22031302716309</v>
      </c>
      <c r="Y149">
        <v>253.22031302716309</v>
      </c>
      <c r="Z149">
        <v>255.35419206952679</v>
      </c>
      <c r="AA149">
        <v>256.06548508364801</v>
      </c>
      <c r="AB149">
        <v>257.48807111189058</v>
      </c>
      <c r="AC149">
        <v>259.62195015425431</v>
      </c>
      <c r="AD149">
        <v>261.75582919661798</v>
      </c>
      <c r="AE149">
        <v>9.9262614810501049</v>
      </c>
      <c r="AF149">
        <v>9.9262614810501049</v>
      </c>
      <c r="AG149">
        <v>9.9262614810501049</v>
      </c>
      <c r="AH149">
        <v>9.9262614810501049</v>
      </c>
      <c r="AI149">
        <v>9.9262614810501049</v>
      </c>
      <c r="AJ149">
        <v>9.9262614810501049</v>
      </c>
      <c r="AK149">
        <v>9.9262614810501049</v>
      </c>
    </row>
    <row r="150" spans="1:37" hidden="1" x14ac:dyDescent="0.25">
      <c r="A150" t="s">
        <v>90</v>
      </c>
      <c r="B150" t="s">
        <v>182</v>
      </c>
      <c r="C150" t="s">
        <v>219</v>
      </c>
      <c r="F150" t="s">
        <v>207</v>
      </c>
      <c r="G150" t="s">
        <v>119</v>
      </c>
      <c r="H150" t="s">
        <v>120</v>
      </c>
      <c r="I150" t="s">
        <v>220</v>
      </c>
      <c r="J150" t="s">
        <v>223</v>
      </c>
      <c r="K150" t="s">
        <v>98</v>
      </c>
      <c r="L150">
        <v>1</v>
      </c>
      <c r="M150">
        <v>1</v>
      </c>
      <c r="N150">
        <v>2020</v>
      </c>
      <c r="O150">
        <v>10.89196958520898</v>
      </c>
      <c r="P150">
        <v>1</v>
      </c>
      <c r="Q150">
        <v>0.10293858753709199</v>
      </c>
      <c r="R150">
        <v>0.10293858753709199</v>
      </c>
      <c r="S150">
        <v>0.1142140771513353</v>
      </c>
      <c r="T150">
        <v>0.1241630385756677</v>
      </c>
      <c r="U150">
        <v>0.12986710979228491</v>
      </c>
      <c r="V150">
        <v>0.1353058753709199</v>
      </c>
      <c r="W150">
        <v>0.1406119881305638</v>
      </c>
      <c r="X150">
        <v>259.62195015425431</v>
      </c>
      <c r="Y150">
        <v>259.62195015425431</v>
      </c>
      <c r="Z150">
        <v>260.33324316837559</v>
      </c>
      <c r="AA150">
        <v>260.33324316837559</v>
      </c>
      <c r="AB150">
        <v>261.75582919661798</v>
      </c>
      <c r="AC150">
        <v>263.88970823898183</v>
      </c>
      <c r="AD150">
        <v>266.02358728134561</v>
      </c>
      <c r="AE150">
        <v>9.9262614810501049</v>
      </c>
      <c r="AF150">
        <v>9.9262614810501049</v>
      </c>
      <c r="AG150">
        <v>9.9262614810501049</v>
      </c>
      <c r="AH150">
        <v>9.9262614810501049</v>
      </c>
      <c r="AI150">
        <v>9.9262614810501049</v>
      </c>
      <c r="AJ150">
        <v>9.9262614810501049</v>
      </c>
      <c r="AK150">
        <v>9.9262614810501049</v>
      </c>
    </row>
    <row r="151" spans="1:37" hidden="1" x14ac:dyDescent="0.25">
      <c r="A151" t="s">
        <v>90</v>
      </c>
      <c r="B151" t="s">
        <v>182</v>
      </c>
      <c r="C151" t="s">
        <v>219</v>
      </c>
      <c r="F151" t="s">
        <v>207</v>
      </c>
      <c r="G151" t="s">
        <v>122</v>
      </c>
      <c r="H151" t="s">
        <v>123</v>
      </c>
      <c r="I151" t="s">
        <v>220</v>
      </c>
      <c r="J151" t="s">
        <v>223</v>
      </c>
      <c r="K151" t="s">
        <v>98</v>
      </c>
      <c r="L151">
        <v>0</v>
      </c>
      <c r="M151">
        <v>1</v>
      </c>
      <c r="N151">
        <v>2020</v>
      </c>
      <c r="O151">
        <v>10.89196958520898</v>
      </c>
      <c r="P151">
        <v>1</v>
      </c>
      <c r="Q151">
        <v>0.10293858753709199</v>
      </c>
      <c r="R151">
        <v>0.10293858753709199</v>
      </c>
      <c r="S151">
        <v>0.1142140771513353</v>
      </c>
      <c r="T151">
        <v>0.1241630385756677</v>
      </c>
      <c r="U151">
        <v>0.12986710979228491</v>
      </c>
      <c r="V151">
        <v>0.1353058753709199</v>
      </c>
      <c r="W151">
        <v>0.1406119881305638</v>
      </c>
      <c r="X151">
        <v>259.62195015425431</v>
      </c>
      <c r="Y151">
        <v>259.62195015425431</v>
      </c>
      <c r="Z151">
        <v>260.33324316837559</v>
      </c>
      <c r="AA151">
        <v>260.33324316837559</v>
      </c>
      <c r="AB151">
        <v>261.75582919661798</v>
      </c>
      <c r="AC151">
        <v>263.88970823898183</v>
      </c>
      <c r="AD151">
        <v>266.02358728134561</v>
      </c>
      <c r="AE151">
        <v>9.9262614810501049</v>
      </c>
      <c r="AF151">
        <v>9.9262614810501049</v>
      </c>
      <c r="AG151">
        <v>9.9262614810501049</v>
      </c>
      <c r="AH151">
        <v>9.9262614810501049</v>
      </c>
      <c r="AI151">
        <v>9.9262614810501049</v>
      </c>
      <c r="AJ151">
        <v>9.9262614810501049</v>
      </c>
      <c r="AK151">
        <v>9.9262614810501049</v>
      </c>
    </row>
    <row r="152" spans="1:37" hidden="1" x14ac:dyDescent="0.25">
      <c r="A152" t="s">
        <v>90</v>
      </c>
      <c r="B152" t="s">
        <v>182</v>
      </c>
      <c r="C152" t="s">
        <v>219</v>
      </c>
      <c r="F152" t="s">
        <v>207</v>
      </c>
      <c r="G152" t="s">
        <v>124</v>
      </c>
      <c r="H152" t="s">
        <v>125</v>
      </c>
      <c r="I152" t="s">
        <v>220</v>
      </c>
      <c r="J152" t="s">
        <v>223</v>
      </c>
      <c r="K152" t="s">
        <v>98</v>
      </c>
      <c r="L152">
        <v>0</v>
      </c>
      <c r="M152">
        <v>1</v>
      </c>
      <c r="N152">
        <v>2020</v>
      </c>
      <c r="O152">
        <v>10.89196958520898</v>
      </c>
      <c r="P152">
        <v>0.1</v>
      </c>
      <c r="Q152">
        <v>0.10293858753709199</v>
      </c>
      <c r="R152">
        <v>0.10293858753709199</v>
      </c>
      <c r="S152">
        <v>0.1142140771513353</v>
      </c>
      <c r="T152">
        <v>0.1241630385756677</v>
      </c>
      <c r="U152">
        <v>0.12986710979228491</v>
      </c>
      <c r="V152">
        <v>0.1353058753709199</v>
      </c>
      <c r="W152">
        <v>0.1406119881305638</v>
      </c>
      <c r="X152">
        <v>259.62195015425431</v>
      </c>
      <c r="Y152">
        <v>259.62195015425431</v>
      </c>
      <c r="Z152">
        <v>260.33324316837559</v>
      </c>
      <c r="AA152">
        <v>260.33324316837559</v>
      </c>
      <c r="AB152">
        <v>261.75582919661798</v>
      </c>
      <c r="AC152">
        <v>263.88970823898183</v>
      </c>
      <c r="AD152">
        <v>266.02358728134561</v>
      </c>
      <c r="AE152">
        <v>9.9262614810501049</v>
      </c>
      <c r="AF152">
        <v>9.9262614810501049</v>
      </c>
      <c r="AG152">
        <v>9.9262614810501049</v>
      </c>
      <c r="AH152">
        <v>9.9262614810501049</v>
      </c>
      <c r="AI152">
        <v>9.9262614810501049</v>
      </c>
      <c r="AJ152">
        <v>9.9262614810501049</v>
      </c>
      <c r="AK152">
        <v>9.9262614810501049</v>
      </c>
    </row>
    <row r="153" spans="1:37" hidden="1" x14ac:dyDescent="0.25">
      <c r="A153" t="s">
        <v>90</v>
      </c>
      <c r="B153" t="s">
        <v>182</v>
      </c>
      <c r="C153" t="s">
        <v>219</v>
      </c>
      <c r="F153" t="s">
        <v>209</v>
      </c>
      <c r="G153" t="s">
        <v>119</v>
      </c>
      <c r="H153" t="s">
        <v>120</v>
      </c>
      <c r="I153" t="s">
        <v>220</v>
      </c>
      <c r="J153" t="s">
        <v>224</v>
      </c>
      <c r="K153" t="s">
        <v>98</v>
      </c>
      <c r="L153">
        <v>1</v>
      </c>
      <c r="M153">
        <v>1</v>
      </c>
      <c r="N153">
        <v>2020</v>
      </c>
      <c r="O153">
        <v>10.89196958520898</v>
      </c>
      <c r="P153">
        <v>0.34675615212528432</v>
      </c>
      <c r="Q153">
        <v>0.18040783382789249</v>
      </c>
      <c r="R153">
        <v>0.18040783382789249</v>
      </c>
      <c r="S153">
        <v>0.20163228486646839</v>
      </c>
      <c r="T153">
        <v>0.22285673590504509</v>
      </c>
      <c r="U153">
        <v>0.23214243323442141</v>
      </c>
      <c r="V153">
        <v>0.2414281305637975</v>
      </c>
      <c r="W153">
        <v>0.25204035608308611</v>
      </c>
      <c r="X153">
        <v>374.14012542777448</v>
      </c>
      <c r="Y153">
        <v>374.14012542777448</v>
      </c>
      <c r="Z153">
        <v>325.06090745340788</v>
      </c>
      <c r="AA153">
        <v>300.16565195916411</v>
      </c>
      <c r="AB153">
        <v>290.91884277558938</v>
      </c>
      <c r="AC153">
        <v>280.96074057789201</v>
      </c>
      <c r="AD153">
        <v>271.71393139431541</v>
      </c>
      <c r="AE153">
        <v>9.9262614810501226</v>
      </c>
      <c r="AF153">
        <v>9.9262614810501226</v>
      </c>
      <c r="AG153">
        <v>9.9262614810501226</v>
      </c>
      <c r="AH153">
        <v>9.9262614810501226</v>
      </c>
      <c r="AI153">
        <v>9.9262614810501226</v>
      </c>
      <c r="AJ153">
        <v>9.9262614810501226</v>
      </c>
      <c r="AK153">
        <v>9.9262614810501226</v>
      </c>
    </row>
    <row r="154" spans="1:37" hidden="1" x14ac:dyDescent="0.25">
      <c r="A154" t="s">
        <v>90</v>
      </c>
      <c r="B154" t="s">
        <v>182</v>
      </c>
      <c r="C154" t="s">
        <v>219</v>
      </c>
      <c r="F154" t="s">
        <v>209</v>
      </c>
      <c r="G154" t="s">
        <v>122</v>
      </c>
      <c r="H154" t="s">
        <v>123</v>
      </c>
      <c r="I154" t="s">
        <v>220</v>
      </c>
      <c r="J154" t="s">
        <v>224</v>
      </c>
      <c r="K154" t="s">
        <v>98</v>
      </c>
      <c r="L154">
        <v>0</v>
      </c>
      <c r="M154">
        <v>1</v>
      </c>
      <c r="N154">
        <v>2020</v>
      </c>
      <c r="O154">
        <v>10.89196958520898</v>
      </c>
      <c r="P154">
        <v>0.34675615212528432</v>
      </c>
      <c r="Q154">
        <v>0.18040783382789249</v>
      </c>
      <c r="R154">
        <v>0.18040783382789249</v>
      </c>
      <c r="S154">
        <v>0.20163228486646839</v>
      </c>
      <c r="T154">
        <v>0.22285673590504509</v>
      </c>
      <c r="U154">
        <v>0.23214243323442141</v>
      </c>
      <c r="V154">
        <v>0.2414281305637975</v>
      </c>
      <c r="W154">
        <v>0.25204035608308611</v>
      </c>
      <c r="X154">
        <v>374.14012542777448</v>
      </c>
      <c r="Y154">
        <v>374.14012542777448</v>
      </c>
      <c r="Z154">
        <v>325.06090745340788</v>
      </c>
      <c r="AA154">
        <v>300.16565195916411</v>
      </c>
      <c r="AB154">
        <v>290.91884277558938</v>
      </c>
      <c r="AC154">
        <v>280.96074057789201</v>
      </c>
      <c r="AD154">
        <v>271.71393139431541</v>
      </c>
      <c r="AE154">
        <v>9.9262614810501226</v>
      </c>
      <c r="AF154">
        <v>9.9262614810501226</v>
      </c>
      <c r="AG154">
        <v>9.9262614810501226</v>
      </c>
      <c r="AH154">
        <v>9.9262614810501226</v>
      </c>
      <c r="AI154">
        <v>9.9262614810501226</v>
      </c>
      <c r="AJ154">
        <v>9.9262614810501226</v>
      </c>
      <c r="AK154">
        <v>9.9262614810501226</v>
      </c>
    </row>
    <row r="155" spans="1:37" hidden="1" x14ac:dyDescent="0.25">
      <c r="A155" t="s">
        <v>90</v>
      </c>
      <c r="B155" t="s">
        <v>182</v>
      </c>
      <c r="C155" t="s">
        <v>219</v>
      </c>
      <c r="F155" t="s">
        <v>209</v>
      </c>
      <c r="G155" t="s">
        <v>124</v>
      </c>
      <c r="H155" t="s">
        <v>125</v>
      </c>
      <c r="I155" t="s">
        <v>220</v>
      </c>
      <c r="J155" t="s">
        <v>224</v>
      </c>
      <c r="K155" t="s">
        <v>98</v>
      </c>
      <c r="L155">
        <v>0</v>
      </c>
      <c r="M155">
        <v>1</v>
      </c>
      <c r="N155">
        <v>2020</v>
      </c>
      <c r="O155">
        <v>10.89196958520898</v>
      </c>
      <c r="P155">
        <v>0.1</v>
      </c>
      <c r="Q155">
        <v>0.18040783382789249</v>
      </c>
      <c r="R155">
        <v>0.18040783382789249</v>
      </c>
      <c r="S155">
        <v>0.20163228486646839</v>
      </c>
      <c r="T155">
        <v>0.22285673590504509</v>
      </c>
      <c r="U155">
        <v>0.23214243323442141</v>
      </c>
      <c r="V155">
        <v>0.2414281305637975</v>
      </c>
      <c r="W155">
        <v>0.25204035608308611</v>
      </c>
      <c r="X155">
        <v>374.14012542777448</v>
      </c>
      <c r="Y155">
        <v>374.14012542777448</v>
      </c>
      <c r="Z155">
        <v>325.06090745340788</v>
      </c>
      <c r="AA155">
        <v>300.16565195916411</v>
      </c>
      <c r="AB155">
        <v>290.91884277558938</v>
      </c>
      <c r="AC155">
        <v>280.96074057789201</v>
      </c>
      <c r="AD155">
        <v>271.71393139431541</v>
      </c>
      <c r="AE155">
        <v>9.9262614810501226</v>
      </c>
      <c r="AF155">
        <v>9.9262614810501226</v>
      </c>
      <c r="AG155">
        <v>9.9262614810501226</v>
      </c>
      <c r="AH155">
        <v>9.9262614810501226</v>
      </c>
      <c r="AI155">
        <v>9.9262614810501226</v>
      </c>
      <c r="AJ155">
        <v>9.9262614810501226</v>
      </c>
      <c r="AK155">
        <v>9.9262614810501226</v>
      </c>
    </row>
    <row r="156" spans="1:37" hidden="1" x14ac:dyDescent="0.25">
      <c r="A156" t="s">
        <v>90</v>
      </c>
      <c r="B156" t="s">
        <v>182</v>
      </c>
      <c r="C156" t="s">
        <v>219</v>
      </c>
      <c r="F156" t="s">
        <v>209</v>
      </c>
      <c r="G156" t="s">
        <v>211</v>
      </c>
      <c r="H156" t="s">
        <v>212</v>
      </c>
      <c r="I156" t="s">
        <v>220</v>
      </c>
      <c r="J156" t="s">
        <v>224</v>
      </c>
      <c r="K156" t="s">
        <v>98</v>
      </c>
      <c r="L156">
        <v>0</v>
      </c>
      <c r="M156">
        <v>1</v>
      </c>
      <c r="N156">
        <v>2020</v>
      </c>
      <c r="O156">
        <v>10.89196958520898</v>
      </c>
      <c r="P156">
        <v>0.65324384787471568</v>
      </c>
      <c r="Q156">
        <v>0.18040783382789249</v>
      </c>
      <c r="R156">
        <v>0.18040783382789249</v>
      </c>
      <c r="S156">
        <v>0.20163228486646839</v>
      </c>
      <c r="T156">
        <v>0.22285673590504509</v>
      </c>
      <c r="U156">
        <v>0.23214243323442141</v>
      </c>
      <c r="V156">
        <v>0.2414281305637975</v>
      </c>
      <c r="W156">
        <v>0.25204035608308611</v>
      </c>
      <c r="X156">
        <v>374.14012542777448</v>
      </c>
      <c r="Y156">
        <v>374.14012542777448</v>
      </c>
      <c r="Z156">
        <v>325.06090745340788</v>
      </c>
      <c r="AA156">
        <v>300.16565195916411</v>
      </c>
      <c r="AB156">
        <v>290.91884277558938</v>
      </c>
      <c r="AC156">
        <v>280.96074057789201</v>
      </c>
      <c r="AD156">
        <v>271.71393139431541</v>
      </c>
      <c r="AE156">
        <v>9.9262614810501226</v>
      </c>
      <c r="AF156">
        <v>9.9262614810501226</v>
      </c>
      <c r="AG156">
        <v>9.9262614810501226</v>
      </c>
      <c r="AH156">
        <v>9.9262614810501226</v>
      </c>
      <c r="AI156">
        <v>9.9262614810501226</v>
      </c>
      <c r="AJ156">
        <v>9.9262614810501226</v>
      </c>
      <c r="AK156">
        <v>9.9262614810501226</v>
      </c>
    </row>
    <row r="157" spans="1:37" hidden="1" x14ac:dyDescent="0.25">
      <c r="A157" t="s">
        <v>90</v>
      </c>
      <c r="B157" t="s">
        <v>182</v>
      </c>
      <c r="C157" t="s">
        <v>219</v>
      </c>
      <c r="F157" t="s">
        <v>213</v>
      </c>
      <c r="G157" t="s">
        <v>133</v>
      </c>
      <c r="H157" t="s">
        <v>134</v>
      </c>
      <c r="I157" t="s">
        <v>220</v>
      </c>
      <c r="J157" t="s">
        <v>225</v>
      </c>
      <c r="K157" t="s">
        <v>98</v>
      </c>
      <c r="L157">
        <v>1</v>
      </c>
      <c r="M157">
        <v>1</v>
      </c>
      <c r="N157">
        <v>2020</v>
      </c>
      <c r="O157">
        <v>10.89196958520898</v>
      </c>
      <c r="P157">
        <v>1</v>
      </c>
      <c r="Q157">
        <v>0.1150099940652819</v>
      </c>
      <c r="R157">
        <v>0.1150099940652819</v>
      </c>
      <c r="S157">
        <v>0.12933649851632051</v>
      </c>
      <c r="T157">
        <v>0.14326504451038591</v>
      </c>
      <c r="U157">
        <v>0.15122421364985161</v>
      </c>
      <c r="V157">
        <v>0.15918338278931751</v>
      </c>
      <c r="W157">
        <v>0.16714255192878349</v>
      </c>
      <c r="X157">
        <v>409.70477613383707</v>
      </c>
      <c r="Y157">
        <v>409.70477613383707</v>
      </c>
      <c r="Z157">
        <v>364.89331624419862</v>
      </c>
      <c r="AA157">
        <v>340.70935376407601</v>
      </c>
      <c r="AB157">
        <v>331.46254458049981</v>
      </c>
      <c r="AC157">
        <v>322.21573539692372</v>
      </c>
      <c r="AD157">
        <v>313.68021922746908</v>
      </c>
      <c r="AE157">
        <v>9.9915658328991128</v>
      </c>
      <c r="AF157">
        <v>9.9915658328991128</v>
      </c>
      <c r="AG157">
        <v>9.9915658328991128</v>
      </c>
      <c r="AH157">
        <v>9.9915658328991128</v>
      </c>
      <c r="AI157">
        <v>9.9915658328991128</v>
      </c>
      <c r="AJ157">
        <v>9.9915658328991128</v>
      </c>
      <c r="AK157">
        <v>9.9915658328991128</v>
      </c>
    </row>
    <row r="158" spans="1:37" hidden="1" x14ac:dyDescent="0.25">
      <c r="A158" t="s">
        <v>90</v>
      </c>
      <c r="B158" t="s">
        <v>182</v>
      </c>
      <c r="C158" t="s">
        <v>219</v>
      </c>
      <c r="F158" t="s">
        <v>215</v>
      </c>
      <c r="G158" t="s">
        <v>133</v>
      </c>
      <c r="H158" t="s">
        <v>134</v>
      </c>
      <c r="I158" t="s">
        <v>220</v>
      </c>
      <c r="J158" t="s">
        <v>226</v>
      </c>
      <c r="K158" t="s">
        <v>98</v>
      </c>
      <c r="L158">
        <v>1</v>
      </c>
      <c r="M158">
        <v>1</v>
      </c>
      <c r="N158">
        <v>2020</v>
      </c>
      <c r="O158">
        <v>10.89196958520898</v>
      </c>
      <c r="P158">
        <v>0.92029887920298814</v>
      </c>
      <c r="Q158">
        <v>0.1234997744807122</v>
      </c>
      <c r="R158">
        <v>0.1234997744807122</v>
      </c>
      <c r="S158">
        <v>0.13928545994065281</v>
      </c>
      <c r="T158">
        <v>0.15918338278931751</v>
      </c>
      <c r="U158">
        <v>0.16979560830860541</v>
      </c>
      <c r="V158">
        <v>0.17908130563798219</v>
      </c>
      <c r="W158">
        <v>0.18969353115727011</v>
      </c>
      <c r="X158">
        <v>322.92702841104523</v>
      </c>
      <c r="Y158">
        <v>322.92702841104523</v>
      </c>
      <c r="Z158">
        <v>289.49625674734659</v>
      </c>
      <c r="AA158">
        <v>270.29134536607307</v>
      </c>
      <c r="AB158">
        <v>262.46712221073909</v>
      </c>
      <c r="AC158">
        <v>255.35419206952679</v>
      </c>
      <c r="AD158">
        <v>248.24126192831449</v>
      </c>
      <c r="AE158">
        <v>9.9915658328991128</v>
      </c>
      <c r="AF158">
        <v>9.9915658328991128</v>
      </c>
      <c r="AG158">
        <v>9.9915658328991128</v>
      </c>
      <c r="AH158">
        <v>9.9915658328991128</v>
      </c>
      <c r="AI158">
        <v>9.9915658328991128</v>
      </c>
      <c r="AJ158">
        <v>9.9915658328991128</v>
      </c>
      <c r="AK158">
        <v>9.9915658328991128</v>
      </c>
    </row>
    <row r="159" spans="1:37" hidden="1" x14ac:dyDescent="0.25">
      <c r="A159" t="s">
        <v>90</v>
      </c>
      <c r="B159" t="s">
        <v>182</v>
      </c>
      <c r="C159" t="s">
        <v>219</v>
      </c>
      <c r="F159" t="s">
        <v>215</v>
      </c>
      <c r="G159" t="s">
        <v>211</v>
      </c>
      <c r="H159" t="s">
        <v>212</v>
      </c>
      <c r="I159" t="s">
        <v>220</v>
      </c>
      <c r="J159" t="s">
        <v>226</v>
      </c>
      <c r="K159" t="s">
        <v>98</v>
      </c>
      <c r="L159">
        <v>0</v>
      </c>
      <c r="M159">
        <v>1</v>
      </c>
      <c r="N159">
        <v>2020</v>
      </c>
      <c r="O159">
        <v>10.89196958520898</v>
      </c>
      <c r="P159">
        <v>7.9701120797011846E-2</v>
      </c>
      <c r="Q159">
        <v>0.1234997744807122</v>
      </c>
      <c r="R159">
        <v>0.1234997744807122</v>
      </c>
      <c r="S159">
        <v>0.13928545994065281</v>
      </c>
      <c r="T159">
        <v>0.15918338278931751</v>
      </c>
      <c r="U159">
        <v>0.16979560830860541</v>
      </c>
      <c r="V159">
        <v>0.17908130563798219</v>
      </c>
      <c r="W159">
        <v>0.18969353115727011</v>
      </c>
      <c r="X159">
        <v>322.92702841104523</v>
      </c>
      <c r="Y159">
        <v>322.92702841104523</v>
      </c>
      <c r="Z159">
        <v>289.49625674734659</v>
      </c>
      <c r="AA159">
        <v>270.29134536607307</v>
      </c>
      <c r="AB159">
        <v>262.46712221073909</v>
      </c>
      <c r="AC159">
        <v>255.35419206952679</v>
      </c>
      <c r="AD159">
        <v>248.24126192831449</v>
      </c>
      <c r="AE159">
        <v>9.9915658328991128</v>
      </c>
      <c r="AF159">
        <v>9.9915658328991128</v>
      </c>
      <c r="AG159">
        <v>9.9915658328991128</v>
      </c>
      <c r="AH159">
        <v>9.9915658328991128</v>
      </c>
      <c r="AI159">
        <v>9.9915658328991128</v>
      </c>
      <c r="AJ159">
        <v>9.9915658328991128</v>
      </c>
      <c r="AK159">
        <v>9.9915658328991128</v>
      </c>
    </row>
    <row r="160" spans="1:37" hidden="1" x14ac:dyDescent="0.25">
      <c r="A160" t="s">
        <v>90</v>
      </c>
      <c r="B160" t="s">
        <v>182</v>
      </c>
      <c r="C160" t="s">
        <v>219</v>
      </c>
      <c r="F160" t="s">
        <v>217</v>
      </c>
      <c r="G160" t="s">
        <v>211</v>
      </c>
      <c r="H160" t="s">
        <v>212</v>
      </c>
      <c r="I160" t="s">
        <v>220</v>
      </c>
      <c r="J160" t="s">
        <v>227</v>
      </c>
      <c r="K160" t="s">
        <v>98</v>
      </c>
      <c r="L160">
        <v>1</v>
      </c>
      <c r="M160">
        <v>1</v>
      </c>
      <c r="N160">
        <v>2020</v>
      </c>
      <c r="O160">
        <v>10.89196958520898</v>
      </c>
      <c r="P160">
        <v>1</v>
      </c>
      <c r="Q160">
        <v>0.2215302077151334</v>
      </c>
      <c r="R160">
        <v>0.2215302077151334</v>
      </c>
      <c r="S160">
        <v>0.24673424332344221</v>
      </c>
      <c r="T160">
        <v>0.27193827893175071</v>
      </c>
      <c r="U160">
        <v>0.2812239762611275</v>
      </c>
      <c r="V160">
        <v>0.29316272997032661</v>
      </c>
      <c r="W160">
        <v>0.30510148367952522</v>
      </c>
      <c r="X160">
        <v>477.277612475355</v>
      </c>
      <c r="Y160">
        <v>477.277612475355</v>
      </c>
      <c r="Z160">
        <v>392.63374379492677</v>
      </c>
      <c r="AA160">
        <v>348.53357691941</v>
      </c>
      <c r="AB160">
        <v>330.0399585522577</v>
      </c>
      <c r="AC160">
        <v>310.83504717098378</v>
      </c>
      <c r="AD160">
        <v>292.34142880383138</v>
      </c>
      <c r="AE160">
        <v>6.3998264812033572</v>
      </c>
      <c r="AF160">
        <v>6.3998264812033572</v>
      </c>
      <c r="AG160">
        <v>6.3998264812033572</v>
      </c>
      <c r="AH160">
        <v>6.3998264812033572</v>
      </c>
      <c r="AI160">
        <v>6.3998264812033572</v>
      </c>
      <c r="AJ160">
        <v>6.3998264812033572</v>
      </c>
      <c r="AK160">
        <v>6.3998264812033572</v>
      </c>
    </row>
    <row r="161" spans="1:37" hidden="1" x14ac:dyDescent="0.25">
      <c r="A161" t="s">
        <v>90</v>
      </c>
      <c r="B161" t="s">
        <v>182</v>
      </c>
      <c r="C161" t="s">
        <v>228</v>
      </c>
      <c r="F161" t="s">
        <v>202</v>
      </c>
      <c r="G161" t="s">
        <v>119</v>
      </c>
      <c r="H161" t="s">
        <v>120</v>
      </c>
      <c r="I161" t="s">
        <v>229</v>
      </c>
      <c r="J161" t="s">
        <v>230</v>
      </c>
      <c r="K161" t="s">
        <v>98</v>
      </c>
      <c r="L161">
        <v>1</v>
      </c>
      <c r="M161">
        <v>1</v>
      </c>
      <c r="N161">
        <v>2020</v>
      </c>
      <c r="O161">
        <v>8.7089799004097141</v>
      </c>
      <c r="P161">
        <v>1</v>
      </c>
      <c r="Q161">
        <v>0.15255074183976261</v>
      </c>
      <c r="R161">
        <v>0.15255074183976261</v>
      </c>
      <c r="S161">
        <v>0.16846908011869441</v>
      </c>
      <c r="T161">
        <v>0.18372415430267069</v>
      </c>
      <c r="U161">
        <v>0.19367311572700291</v>
      </c>
      <c r="V161">
        <v>0.20295881305637981</v>
      </c>
      <c r="W161">
        <v>0.21158124629080119</v>
      </c>
      <c r="X161">
        <v>301.23259148034708</v>
      </c>
      <c r="Y161">
        <v>301.23259148034708</v>
      </c>
      <c r="Z161">
        <v>302.29953100152898</v>
      </c>
      <c r="AA161">
        <v>301.94388449446831</v>
      </c>
      <c r="AB161">
        <v>302.65517750858959</v>
      </c>
      <c r="AC161">
        <v>303.0108240156502</v>
      </c>
      <c r="AD161">
        <v>304.07776353683221</v>
      </c>
      <c r="AE161">
        <v>9.637474954139952</v>
      </c>
      <c r="AF161">
        <v>9.637474954139952</v>
      </c>
      <c r="AG161">
        <v>9.637474954139952</v>
      </c>
      <c r="AH161">
        <v>9.637474954139952</v>
      </c>
      <c r="AI161">
        <v>9.637474954139952</v>
      </c>
      <c r="AJ161">
        <v>9.637474954139952</v>
      </c>
      <c r="AK161">
        <v>9.637474954139952</v>
      </c>
    </row>
    <row r="162" spans="1:37" hidden="1" x14ac:dyDescent="0.25">
      <c r="A162" t="s">
        <v>90</v>
      </c>
      <c r="B162" t="s">
        <v>182</v>
      </c>
      <c r="C162" t="s">
        <v>228</v>
      </c>
      <c r="F162" t="s">
        <v>202</v>
      </c>
      <c r="G162" t="s">
        <v>122</v>
      </c>
      <c r="H162" t="s">
        <v>123</v>
      </c>
      <c r="I162" t="s">
        <v>229</v>
      </c>
      <c r="J162" t="s">
        <v>230</v>
      </c>
      <c r="K162" t="s">
        <v>98</v>
      </c>
      <c r="L162">
        <v>0</v>
      </c>
      <c r="M162">
        <v>1</v>
      </c>
      <c r="N162">
        <v>2020</v>
      </c>
      <c r="O162">
        <v>8.7089799004097141</v>
      </c>
      <c r="P162">
        <v>1</v>
      </c>
      <c r="Q162">
        <v>0.15255074183976261</v>
      </c>
      <c r="R162">
        <v>0.15255074183976261</v>
      </c>
      <c r="S162">
        <v>0.16846908011869441</v>
      </c>
      <c r="T162">
        <v>0.18372415430267069</v>
      </c>
      <c r="U162">
        <v>0.19367311572700291</v>
      </c>
      <c r="V162">
        <v>0.20295881305637981</v>
      </c>
      <c r="W162">
        <v>0.21158124629080119</v>
      </c>
      <c r="X162">
        <v>301.23259148034708</v>
      </c>
      <c r="Y162">
        <v>301.23259148034708</v>
      </c>
      <c r="Z162">
        <v>302.29953100152898</v>
      </c>
      <c r="AA162">
        <v>301.94388449446831</v>
      </c>
      <c r="AB162">
        <v>302.65517750858959</v>
      </c>
      <c r="AC162">
        <v>303.0108240156502</v>
      </c>
      <c r="AD162">
        <v>304.07776353683221</v>
      </c>
      <c r="AE162">
        <v>9.637474954139952</v>
      </c>
      <c r="AF162">
        <v>9.637474954139952</v>
      </c>
      <c r="AG162">
        <v>9.637474954139952</v>
      </c>
      <c r="AH162">
        <v>9.637474954139952</v>
      </c>
      <c r="AI162">
        <v>9.637474954139952</v>
      </c>
      <c r="AJ162">
        <v>9.637474954139952</v>
      </c>
      <c r="AK162">
        <v>9.637474954139952</v>
      </c>
    </row>
    <row r="163" spans="1:37" hidden="1" x14ac:dyDescent="0.25">
      <c r="A163" t="s">
        <v>90</v>
      </c>
      <c r="B163" t="s">
        <v>182</v>
      </c>
      <c r="C163" t="s">
        <v>228</v>
      </c>
      <c r="F163" t="s">
        <v>202</v>
      </c>
      <c r="G163" t="s">
        <v>124</v>
      </c>
      <c r="H163" t="s">
        <v>125</v>
      </c>
      <c r="I163" t="s">
        <v>229</v>
      </c>
      <c r="J163" t="s">
        <v>230</v>
      </c>
      <c r="K163" t="s">
        <v>98</v>
      </c>
      <c r="L163">
        <v>0</v>
      </c>
      <c r="M163">
        <v>1</v>
      </c>
      <c r="N163">
        <v>2020</v>
      </c>
      <c r="O163">
        <v>8.7089799004097141</v>
      </c>
      <c r="P163">
        <v>0.1</v>
      </c>
      <c r="Q163">
        <v>0.15255074183976261</v>
      </c>
      <c r="R163">
        <v>0.15255074183976261</v>
      </c>
      <c r="S163">
        <v>0.16846908011869441</v>
      </c>
      <c r="T163">
        <v>0.18372415430267069</v>
      </c>
      <c r="U163">
        <v>0.19367311572700291</v>
      </c>
      <c r="V163">
        <v>0.20295881305637981</v>
      </c>
      <c r="W163">
        <v>0.21158124629080119</v>
      </c>
      <c r="X163">
        <v>301.23259148034708</v>
      </c>
      <c r="Y163">
        <v>301.23259148034708</v>
      </c>
      <c r="Z163">
        <v>302.29953100152898</v>
      </c>
      <c r="AA163">
        <v>301.94388449446831</v>
      </c>
      <c r="AB163">
        <v>302.65517750858959</v>
      </c>
      <c r="AC163">
        <v>303.0108240156502</v>
      </c>
      <c r="AD163">
        <v>304.07776353683221</v>
      </c>
      <c r="AE163">
        <v>9.637474954139952</v>
      </c>
      <c r="AF163">
        <v>9.637474954139952</v>
      </c>
      <c r="AG163">
        <v>9.637474954139952</v>
      </c>
      <c r="AH163">
        <v>9.637474954139952</v>
      </c>
      <c r="AI163">
        <v>9.637474954139952</v>
      </c>
      <c r="AJ163">
        <v>9.637474954139952</v>
      </c>
      <c r="AK163">
        <v>9.637474954139952</v>
      </c>
    </row>
    <row r="164" spans="1:37" hidden="1" x14ac:dyDescent="0.25">
      <c r="A164" t="s">
        <v>90</v>
      </c>
      <c r="B164" t="s">
        <v>182</v>
      </c>
      <c r="C164" t="s">
        <v>228</v>
      </c>
      <c r="F164" t="s">
        <v>205</v>
      </c>
      <c r="G164" t="s">
        <v>119</v>
      </c>
      <c r="H164" t="s">
        <v>120</v>
      </c>
      <c r="I164" t="s">
        <v>229</v>
      </c>
      <c r="J164" t="s">
        <v>231</v>
      </c>
      <c r="K164" t="s">
        <v>98</v>
      </c>
      <c r="L164">
        <v>1</v>
      </c>
      <c r="M164">
        <v>1</v>
      </c>
      <c r="N164">
        <v>2020</v>
      </c>
      <c r="O164">
        <v>8.7089799004097141</v>
      </c>
      <c r="P164">
        <v>1</v>
      </c>
      <c r="Q164">
        <v>0.15387727002967361</v>
      </c>
      <c r="R164">
        <v>0.15387727002967361</v>
      </c>
      <c r="S164">
        <v>0.16913234421364989</v>
      </c>
      <c r="T164">
        <v>0.18505068249258161</v>
      </c>
      <c r="U164">
        <v>0.19433637982195839</v>
      </c>
      <c r="V164">
        <v>0.20362207715133529</v>
      </c>
      <c r="W164">
        <v>0.21290777448071219</v>
      </c>
      <c r="X164">
        <v>333.2407771158031</v>
      </c>
      <c r="Y164">
        <v>333.2407771158031</v>
      </c>
      <c r="Z164">
        <v>335.01900965110627</v>
      </c>
      <c r="AA164">
        <v>333.95207012992438</v>
      </c>
      <c r="AB164">
        <v>333.95207012992438</v>
      </c>
      <c r="AC164">
        <v>334.66336314404572</v>
      </c>
      <c r="AD164">
        <v>335.01900965110627</v>
      </c>
      <c r="AE164">
        <v>9.637474954139952</v>
      </c>
      <c r="AF164">
        <v>9.637474954139952</v>
      </c>
      <c r="AG164">
        <v>9.637474954139952</v>
      </c>
      <c r="AH164">
        <v>9.637474954139952</v>
      </c>
      <c r="AI164">
        <v>9.637474954139952</v>
      </c>
      <c r="AJ164">
        <v>9.637474954139952</v>
      </c>
      <c r="AK164">
        <v>9.637474954139952</v>
      </c>
    </row>
    <row r="165" spans="1:37" hidden="1" x14ac:dyDescent="0.25">
      <c r="A165" t="s">
        <v>90</v>
      </c>
      <c r="B165" t="s">
        <v>182</v>
      </c>
      <c r="C165" t="s">
        <v>228</v>
      </c>
      <c r="F165" t="s">
        <v>205</v>
      </c>
      <c r="G165" t="s">
        <v>122</v>
      </c>
      <c r="H165" t="s">
        <v>123</v>
      </c>
      <c r="I165" t="s">
        <v>229</v>
      </c>
      <c r="J165" t="s">
        <v>231</v>
      </c>
      <c r="K165" t="s">
        <v>98</v>
      </c>
      <c r="L165">
        <v>0</v>
      </c>
      <c r="M165">
        <v>1</v>
      </c>
      <c r="N165">
        <v>2020</v>
      </c>
      <c r="O165">
        <v>8.7089799004097141</v>
      </c>
      <c r="P165">
        <v>1</v>
      </c>
      <c r="Q165">
        <v>0.15387727002967361</v>
      </c>
      <c r="R165">
        <v>0.15387727002967361</v>
      </c>
      <c r="S165">
        <v>0.16913234421364989</v>
      </c>
      <c r="T165">
        <v>0.18505068249258161</v>
      </c>
      <c r="U165">
        <v>0.19433637982195839</v>
      </c>
      <c r="V165">
        <v>0.20362207715133529</v>
      </c>
      <c r="W165">
        <v>0.21290777448071219</v>
      </c>
      <c r="X165">
        <v>333.2407771158031</v>
      </c>
      <c r="Y165">
        <v>333.2407771158031</v>
      </c>
      <c r="Z165">
        <v>335.01900965110627</v>
      </c>
      <c r="AA165">
        <v>333.95207012992438</v>
      </c>
      <c r="AB165">
        <v>333.95207012992438</v>
      </c>
      <c r="AC165">
        <v>334.66336314404572</v>
      </c>
      <c r="AD165">
        <v>335.01900965110627</v>
      </c>
      <c r="AE165">
        <v>9.637474954139952</v>
      </c>
      <c r="AF165">
        <v>9.637474954139952</v>
      </c>
      <c r="AG165">
        <v>9.637474954139952</v>
      </c>
      <c r="AH165">
        <v>9.637474954139952</v>
      </c>
      <c r="AI165">
        <v>9.637474954139952</v>
      </c>
      <c r="AJ165">
        <v>9.637474954139952</v>
      </c>
      <c r="AK165">
        <v>9.637474954139952</v>
      </c>
    </row>
    <row r="166" spans="1:37" hidden="1" x14ac:dyDescent="0.25">
      <c r="A166" t="s">
        <v>90</v>
      </c>
      <c r="B166" t="s">
        <v>182</v>
      </c>
      <c r="C166" t="s">
        <v>228</v>
      </c>
      <c r="F166" t="s">
        <v>205</v>
      </c>
      <c r="G166" t="s">
        <v>124</v>
      </c>
      <c r="H166" t="s">
        <v>125</v>
      </c>
      <c r="I166" t="s">
        <v>229</v>
      </c>
      <c r="J166" t="s">
        <v>231</v>
      </c>
      <c r="K166" t="s">
        <v>98</v>
      </c>
      <c r="L166">
        <v>0</v>
      </c>
      <c r="M166">
        <v>1</v>
      </c>
      <c r="N166">
        <v>2020</v>
      </c>
      <c r="O166">
        <v>8.7089799004097141</v>
      </c>
      <c r="P166">
        <v>0.1</v>
      </c>
      <c r="Q166">
        <v>0.15387727002967361</v>
      </c>
      <c r="R166">
        <v>0.15387727002967361</v>
      </c>
      <c r="S166">
        <v>0.16913234421364989</v>
      </c>
      <c r="T166">
        <v>0.18505068249258161</v>
      </c>
      <c r="U166">
        <v>0.19433637982195839</v>
      </c>
      <c r="V166">
        <v>0.20362207715133529</v>
      </c>
      <c r="W166">
        <v>0.21290777448071219</v>
      </c>
      <c r="X166">
        <v>333.2407771158031</v>
      </c>
      <c r="Y166">
        <v>333.2407771158031</v>
      </c>
      <c r="Z166">
        <v>335.01900965110627</v>
      </c>
      <c r="AA166">
        <v>333.95207012992438</v>
      </c>
      <c r="AB166">
        <v>333.95207012992438</v>
      </c>
      <c r="AC166">
        <v>334.66336314404572</v>
      </c>
      <c r="AD166">
        <v>335.01900965110627</v>
      </c>
      <c r="AE166">
        <v>9.637474954139952</v>
      </c>
      <c r="AF166">
        <v>9.637474954139952</v>
      </c>
      <c r="AG166">
        <v>9.637474954139952</v>
      </c>
      <c r="AH166">
        <v>9.637474954139952</v>
      </c>
      <c r="AI166">
        <v>9.637474954139952</v>
      </c>
      <c r="AJ166">
        <v>9.637474954139952</v>
      </c>
      <c r="AK166">
        <v>9.637474954139952</v>
      </c>
    </row>
    <row r="167" spans="1:37" hidden="1" x14ac:dyDescent="0.25">
      <c r="A167" t="s">
        <v>90</v>
      </c>
      <c r="B167" t="s">
        <v>182</v>
      </c>
      <c r="C167" t="s">
        <v>228</v>
      </c>
      <c r="F167" t="s">
        <v>207</v>
      </c>
      <c r="G167" t="s">
        <v>119</v>
      </c>
      <c r="H167" t="s">
        <v>120</v>
      </c>
      <c r="I167" t="s">
        <v>229</v>
      </c>
      <c r="J167" t="s">
        <v>232</v>
      </c>
      <c r="K167" t="s">
        <v>98</v>
      </c>
      <c r="L167">
        <v>1</v>
      </c>
      <c r="M167">
        <v>1</v>
      </c>
      <c r="N167">
        <v>2020</v>
      </c>
      <c r="O167">
        <v>8.7089799004097141</v>
      </c>
      <c r="P167">
        <v>1</v>
      </c>
      <c r="Q167">
        <v>0.15586706231454009</v>
      </c>
      <c r="R167">
        <v>0.15586706231454009</v>
      </c>
      <c r="S167">
        <v>0.17377519287833831</v>
      </c>
      <c r="T167">
        <v>0.191020059347181</v>
      </c>
      <c r="U167">
        <v>0.20163228486646881</v>
      </c>
      <c r="V167">
        <v>0.21158124629080119</v>
      </c>
      <c r="W167">
        <v>0.2215302077151336</v>
      </c>
      <c r="X167">
        <v>333.59642362286382</v>
      </c>
      <c r="Y167">
        <v>333.59642362286382</v>
      </c>
      <c r="Z167">
        <v>332.88513060874249</v>
      </c>
      <c r="AA167">
        <v>330.39560505931809</v>
      </c>
      <c r="AB167">
        <v>329.68431204519692</v>
      </c>
      <c r="AC167">
        <v>329.32866553813631</v>
      </c>
      <c r="AD167">
        <v>328.97301903107558</v>
      </c>
      <c r="AE167">
        <v>9.637474954139952</v>
      </c>
      <c r="AF167">
        <v>9.637474954139952</v>
      </c>
      <c r="AG167">
        <v>9.637474954139952</v>
      </c>
      <c r="AH167">
        <v>9.637474954139952</v>
      </c>
      <c r="AI167">
        <v>9.637474954139952</v>
      </c>
      <c r="AJ167">
        <v>9.637474954139952</v>
      </c>
      <c r="AK167">
        <v>9.637474954139952</v>
      </c>
    </row>
    <row r="168" spans="1:37" hidden="1" x14ac:dyDescent="0.25">
      <c r="A168" t="s">
        <v>90</v>
      </c>
      <c r="B168" t="s">
        <v>182</v>
      </c>
      <c r="C168" t="s">
        <v>228</v>
      </c>
      <c r="F168" t="s">
        <v>207</v>
      </c>
      <c r="G168" t="s">
        <v>122</v>
      </c>
      <c r="H168" t="s">
        <v>123</v>
      </c>
      <c r="I168" t="s">
        <v>229</v>
      </c>
      <c r="J168" t="s">
        <v>232</v>
      </c>
      <c r="K168" t="s">
        <v>98</v>
      </c>
      <c r="L168">
        <v>0</v>
      </c>
      <c r="M168">
        <v>1</v>
      </c>
      <c r="N168">
        <v>2020</v>
      </c>
      <c r="O168">
        <v>8.7089799004097141</v>
      </c>
      <c r="P168">
        <v>1</v>
      </c>
      <c r="Q168">
        <v>0.15586706231454009</v>
      </c>
      <c r="R168">
        <v>0.15586706231454009</v>
      </c>
      <c r="S168">
        <v>0.17377519287833831</v>
      </c>
      <c r="T168">
        <v>0.191020059347181</v>
      </c>
      <c r="U168">
        <v>0.20163228486646881</v>
      </c>
      <c r="V168">
        <v>0.21158124629080119</v>
      </c>
      <c r="W168">
        <v>0.2215302077151336</v>
      </c>
      <c r="X168">
        <v>333.59642362286382</v>
      </c>
      <c r="Y168">
        <v>333.59642362286382</v>
      </c>
      <c r="Z168">
        <v>332.88513060874249</v>
      </c>
      <c r="AA168">
        <v>330.39560505931809</v>
      </c>
      <c r="AB168">
        <v>329.68431204519692</v>
      </c>
      <c r="AC168">
        <v>329.32866553813631</v>
      </c>
      <c r="AD168">
        <v>328.97301903107558</v>
      </c>
      <c r="AE168">
        <v>9.637474954139952</v>
      </c>
      <c r="AF168">
        <v>9.637474954139952</v>
      </c>
      <c r="AG168">
        <v>9.637474954139952</v>
      </c>
      <c r="AH168">
        <v>9.637474954139952</v>
      </c>
      <c r="AI168">
        <v>9.637474954139952</v>
      </c>
      <c r="AJ168">
        <v>9.637474954139952</v>
      </c>
      <c r="AK168">
        <v>9.637474954139952</v>
      </c>
    </row>
    <row r="169" spans="1:37" hidden="1" x14ac:dyDescent="0.25">
      <c r="A169" t="s">
        <v>90</v>
      </c>
      <c r="B169" t="s">
        <v>182</v>
      </c>
      <c r="C169" t="s">
        <v>228</v>
      </c>
      <c r="F169" t="s">
        <v>207</v>
      </c>
      <c r="G169" t="s">
        <v>124</v>
      </c>
      <c r="H169" t="s">
        <v>125</v>
      </c>
      <c r="I169" t="s">
        <v>229</v>
      </c>
      <c r="J169" t="s">
        <v>232</v>
      </c>
      <c r="K169" t="s">
        <v>98</v>
      </c>
      <c r="L169">
        <v>0</v>
      </c>
      <c r="M169">
        <v>1</v>
      </c>
      <c r="N169">
        <v>2020</v>
      </c>
      <c r="O169">
        <v>8.7089799004097141</v>
      </c>
      <c r="P169">
        <v>0.1</v>
      </c>
      <c r="Q169">
        <v>0.15586706231454009</v>
      </c>
      <c r="R169">
        <v>0.15586706231454009</v>
      </c>
      <c r="S169">
        <v>0.17377519287833831</v>
      </c>
      <c r="T169">
        <v>0.191020059347181</v>
      </c>
      <c r="U169">
        <v>0.20163228486646881</v>
      </c>
      <c r="V169">
        <v>0.21158124629080119</v>
      </c>
      <c r="W169">
        <v>0.2215302077151336</v>
      </c>
      <c r="X169">
        <v>333.59642362286382</v>
      </c>
      <c r="Y169">
        <v>333.59642362286382</v>
      </c>
      <c r="Z169">
        <v>332.88513060874249</v>
      </c>
      <c r="AA169">
        <v>330.39560505931809</v>
      </c>
      <c r="AB169">
        <v>329.68431204519692</v>
      </c>
      <c r="AC169">
        <v>329.32866553813631</v>
      </c>
      <c r="AD169">
        <v>328.97301903107558</v>
      </c>
      <c r="AE169">
        <v>9.637474954139952</v>
      </c>
      <c r="AF169">
        <v>9.637474954139952</v>
      </c>
      <c r="AG169">
        <v>9.637474954139952</v>
      </c>
      <c r="AH169">
        <v>9.637474954139952</v>
      </c>
      <c r="AI169">
        <v>9.637474954139952</v>
      </c>
      <c r="AJ169">
        <v>9.637474954139952</v>
      </c>
      <c r="AK169">
        <v>9.637474954139952</v>
      </c>
    </row>
    <row r="170" spans="1:37" hidden="1" x14ac:dyDescent="0.25">
      <c r="A170" t="s">
        <v>90</v>
      </c>
      <c r="B170" t="s">
        <v>182</v>
      </c>
      <c r="C170" t="s">
        <v>228</v>
      </c>
      <c r="F170" t="s">
        <v>209</v>
      </c>
      <c r="G170" t="s">
        <v>119</v>
      </c>
      <c r="H170" t="s">
        <v>120</v>
      </c>
      <c r="I170" t="s">
        <v>229</v>
      </c>
      <c r="J170" t="s">
        <v>233</v>
      </c>
      <c r="K170" t="s">
        <v>98</v>
      </c>
      <c r="L170">
        <v>1</v>
      </c>
      <c r="M170">
        <v>1</v>
      </c>
      <c r="N170">
        <v>2020</v>
      </c>
      <c r="O170">
        <v>8.7089799004097141</v>
      </c>
      <c r="P170">
        <v>0.53273809523809801</v>
      </c>
      <c r="Q170">
        <v>0.25999952522255132</v>
      </c>
      <c r="R170">
        <v>0.25999952522255132</v>
      </c>
      <c r="S170">
        <v>0.28653008902077193</v>
      </c>
      <c r="T170">
        <v>0.31438718100890251</v>
      </c>
      <c r="U170">
        <v>0.33030551928783269</v>
      </c>
      <c r="V170">
        <v>0.34556059347180917</v>
      </c>
      <c r="W170">
        <v>0.36147893175074242</v>
      </c>
      <c r="X170">
        <v>378.40788351250092</v>
      </c>
      <c r="Y170">
        <v>378.40788351250092</v>
      </c>
      <c r="Z170">
        <v>354.57956753944029</v>
      </c>
      <c r="AA170">
        <v>338.93112122877358</v>
      </c>
      <c r="AB170">
        <v>332.88513060874158</v>
      </c>
      <c r="AC170">
        <v>327.19478649577292</v>
      </c>
      <c r="AD170">
        <v>321.14879587574069</v>
      </c>
      <c r="AE170">
        <v>9.6374749541399289</v>
      </c>
      <c r="AF170">
        <v>9.6374749541399289</v>
      </c>
      <c r="AG170">
        <v>9.6374749541399289</v>
      </c>
      <c r="AH170">
        <v>9.6374749541399289</v>
      </c>
      <c r="AI170">
        <v>9.6374749541399289</v>
      </c>
      <c r="AJ170">
        <v>9.6374749541399289</v>
      </c>
      <c r="AK170">
        <v>9.6374749541399289</v>
      </c>
    </row>
    <row r="171" spans="1:37" hidden="1" x14ac:dyDescent="0.25">
      <c r="A171" t="s">
        <v>90</v>
      </c>
      <c r="B171" t="s">
        <v>182</v>
      </c>
      <c r="C171" t="s">
        <v>228</v>
      </c>
      <c r="F171" t="s">
        <v>209</v>
      </c>
      <c r="G171" t="s">
        <v>122</v>
      </c>
      <c r="H171" t="s">
        <v>123</v>
      </c>
      <c r="I171" t="s">
        <v>229</v>
      </c>
      <c r="J171" t="s">
        <v>233</v>
      </c>
      <c r="K171" t="s">
        <v>98</v>
      </c>
      <c r="L171">
        <v>0</v>
      </c>
      <c r="M171">
        <v>1</v>
      </c>
      <c r="N171">
        <v>2020</v>
      </c>
      <c r="O171">
        <v>8.7089799004097141</v>
      </c>
      <c r="P171">
        <v>0.53273809523809801</v>
      </c>
      <c r="Q171">
        <v>0.25999952522255132</v>
      </c>
      <c r="R171">
        <v>0.25999952522255132</v>
      </c>
      <c r="S171">
        <v>0.28653008902077193</v>
      </c>
      <c r="T171">
        <v>0.31438718100890251</v>
      </c>
      <c r="U171">
        <v>0.33030551928783269</v>
      </c>
      <c r="V171">
        <v>0.34556059347180917</v>
      </c>
      <c r="W171">
        <v>0.36147893175074242</v>
      </c>
      <c r="X171">
        <v>378.40788351250092</v>
      </c>
      <c r="Y171">
        <v>378.40788351250092</v>
      </c>
      <c r="Z171">
        <v>354.57956753944029</v>
      </c>
      <c r="AA171">
        <v>338.93112122877358</v>
      </c>
      <c r="AB171">
        <v>332.88513060874158</v>
      </c>
      <c r="AC171">
        <v>327.19478649577292</v>
      </c>
      <c r="AD171">
        <v>321.14879587574069</v>
      </c>
      <c r="AE171">
        <v>9.6374749541399289</v>
      </c>
      <c r="AF171">
        <v>9.6374749541399289</v>
      </c>
      <c r="AG171">
        <v>9.6374749541399289</v>
      </c>
      <c r="AH171">
        <v>9.6374749541399289</v>
      </c>
      <c r="AI171">
        <v>9.6374749541399289</v>
      </c>
      <c r="AJ171">
        <v>9.6374749541399289</v>
      </c>
      <c r="AK171">
        <v>9.6374749541399289</v>
      </c>
    </row>
    <row r="172" spans="1:37" hidden="1" x14ac:dyDescent="0.25">
      <c r="A172" t="s">
        <v>90</v>
      </c>
      <c r="B172" t="s">
        <v>182</v>
      </c>
      <c r="C172" t="s">
        <v>228</v>
      </c>
      <c r="F172" t="s">
        <v>209</v>
      </c>
      <c r="G172" t="s">
        <v>124</v>
      </c>
      <c r="H172" t="s">
        <v>125</v>
      </c>
      <c r="I172" t="s">
        <v>229</v>
      </c>
      <c r="J172" t="s">
        <v>233</v>
      </c>
      <c r="K172" t="s">
        <v>98</v>
      </c>
      <c r="L172">
        <v>0</v>
      </c>
      <c r="M172">
        <v>1</v>
      </c>
      <c r="N172">
        <v>2020</v>
      </c>
      <c r="O172">
        <v>8.7089799004097141</v>
      </c>
      <c r="P172">
        <v>0.1</v>
      </c>
      <c r="Q172">
        <v>0.25999952522255132</v>
      </c>
      <c r="R172">
        <v>0.25999952522255132</v>
      </c>
      <c r="S172">
        <v>0.28653008902077193</v>
      </c>
      <c r="T172">
        <v>0.31438718100890251</v>
      </c>
      <c r="U172">
        <v>0.33030551928783269</v>
      </c>
      <c r="V172">
        <v>0.34556059347180917</v>
      </c>
      <c r="W172">
        <v>0.36147893175074242</v>
      </c>
      <c r="X172">
        <v>378.40788351250092</v>
      </c>
      <c r="Y172">
        <v>378.40788351250092</v>
      </c>
      <c r="Z172">
        <v>354.57956753944029</v>
      </c>
      <c r="AA172">
        <v>338.93112122877358</v>
      </c>
      <c r="AB172">
        <v>332.88513060874158</v>
      </c>
      <c r="AC172">
        <v>327.19478649577292</v>
      </c>
      <c r="AD172">
        <v>321.14879587574069</v>
      </c>
      <c r="AE172">
        <v>9.6374749541399289</v>
      </c>
      <c r="AF172">
        <v>9.6374749541399289</v>
      </c>
      <c r="AG172">
        <v>9.6374749541399289</v>
      </c>
      <c r="AH172">
        <v>9.6374749541399289</v>
      </c>
      <c r="AI172">
        <v>9.6374749541399289</v>
      </c>
      <c r="AJ172">
        <v>9.6374749541399289</v>
      </c>
      <c r="AK172">
        <v>9.6374749541399289</v>
      </c>
    </row>
    <row r="173" spans="1:37" hidden="1" x14ac:dyDescent="0.25">
      <c r="A173" t="s">
        <v>90</v>
      </c>
      <c r="B173" t="s">
        <v>182</v>
      </c>
      <c r="C173" t="s">
        <v>228</v>
      </c>
      <c r="F173" t="s">
        <v>209</v>
      </c>
      <c r="G173" t="s">
        <v>211</v>
      </c>
      <c r="H173" t="s">
        <v>212</v>
      </c>
      <c r="I173" t="s">
        <v>229</v>
      </c>
      <c r="J173" t="s">
        <v>233</v>
      </c>
      <c r="K173" t="s">
        <v>98</v>
      </c>
      <c r="L173">
        <v>0</v>
      </c>
      <c r="M173">
        <v>1</v>
      </c>
      <c r="N173">
        <v>2020</v>
      </c>
      <c r="O173">
        <v>8.7089799004097141</v>
      </c>
      <c r="P173">
        <v>0.46726190476190199</v>
      </c>
      <c r="Q173">
        <v>0.25999952522255132</v>
      </c>
      <c r="R173">
        <v>0.25999952522255132</v>
      </c>
      <c r="S173">
        <v>0.28653008902077193</v>
      </c>
      <c r="T173">
        <v>0.31438718100890251</v>
      </c>
      <c r="U173">
        <v>0.33030551928783269</v>
      </c>
      <c r="V173">
        <v>0.34556059347180917</v>
      </c>
      <c r="W173">
        <v>0.36147893175074242</v>
      </c>
      <c r="X173">
        <v>378.40788351250092</v>
      </c>
      <c r="Y173">
        <v>378.40788351250092</v>
      </c>
      <c r="Z173">
        <v>354.57956753944029</v>
      </c>
      <c r="AA173">
        <v>338.93112122877358</v>
      </c>
      <c r="AB173">
        <v>332.88513060874158</v>
      </c>
      <c r="AC173">
        <v>327.19478649577292</v>
      </c>
      <c r="AD173">
        <v>321.14879587574069</v>
      </c>
      <c r="AE173">
        <v>9.6374749541399289</v>
      </c>
      <c r="AF173">
        <v>9.6374749541399289</v>
      </c>
      <c r="AG173">
        <v>9.6374749541399289</v>
      </c>
      <c r="AH173">
        <v>9.6374749541399289</v>
      </c>
      <c r="AI173">
        <v>9.6374749541399289</v>
      </c>
      <c r="AJ173">
        <v>9.6374749541399289</v>
      </c>
      <c r="AK173">
        <v>9.6374749541399289</v>
      </c>
    </row>
    <row r="174" spans="1:37" hidden="1" x14ac:dyDescent="0.25">
      <c r="A174" t="s">
        <v>90</v>
      </c>
      <c r="B174" t="s">
        <v>182</v>
      </c>
      <c r="C174" t="s">
        <v>228</v>
      </c>
      <c r="F174" t="s">
        <v>213</v>
      </c>
      <c r="G174" t="s">
        <v>133</v>
      </c>
      <c r="H174" t="s">
        <v>134</v>
      </c>
      <c r="I174" t="s">
        <v>229</v>
      </c>
      <c r="J174" t="s">
        <v>234</v>
      </c>
      <c r="K174" t="s">
        <v>98</v>
      </c>
      <c r="L174">
        <v>1</v>
      </c>
      <c r="M174">
        <v>1</v>
      </c>
      <c r="N174">
        <v>2020</v>
      </c>
      <c r="O174">
        <v>8.7089799004097141</v>
      </c>
      <c r="P174">
        <v>1</v>
      </c>
      <c r="Q174">
        <v>0.2042853412462908</v>
      </c>
      <c r="R174">
        <v>0.2042853412462908</v>
      </c>
      <c r="S174">
        <v>0.22484652818991099</v>
      </c>
      <c r="T174">
        <v>0.24673424332344221</v>
      </c>
      <c r="U174">
        <v>0.2566832047477744</v>
      </c>
      <c r="V174">
        <v>0.26729543026706237</v>
      </c>
      <c r="W174">
        <v>0.27724439169139448</v>
      </c>
      <c r="X174">
        <v>456.29446855877808</v>
      </c>
      <c r="Y174">
        <v>456.29446855877808</v>
      </c>
      <c r="Z174">
        <v>426.06451545862558</v>
      </c>
      <c r="AA174">
        <v>401.88055297850298</v>
      </c>
      <c r="AB174">
        <v>392.63374379492689</v>
      </c>
      <c r="AC174">
        <v>383.38693461135102</v>
      </c>
      <c r="AD174">
        <v>374.14012542777488</v>
      </c>
      <c r="AE174">
        <v>9.6374749541399449</v>
      </c>
      <c r="AF174">
        <v>9.6374749541399449</v>
      </c>
      <c r="AG174">
        <v>9.6374749541399449</v>
      </c>
      <c r="AH174">
        <v>9.6374749541399449</v>
      </c>
      <c r="AI174">
        <v>9.6374749541399449</v>
      </c>
      <c r="AJ174">
        <v>9.6374749541399449</v>
      </c>
      <c r="AK174">
        <v>9.6374749541399449</v>
      </c>
    </row>
    <row r="175" spans="1:37" hidden="1" x14ac:dyDescent="0.25">
      <c r="A175" t="s">
        <v>90</v>
      </c>
      <c r="B175" t="s">
        <v>182</v>
      </c>
      <c r="C175" t="s">
        <v>228</v>
      </c>
      <c r="F175" t="s">
        <v>215</v>
      </c>
      <c r="G175" t="s">
        <v>133</v>
      </c>
      <c r="H175" t="s">
        <v>134</v>
      </c>
      <c r="I175" t="s">
        <v>229</v>
      </c>
      <c r="J175" t="s">
        <v>235</v>
      </c>
      <c r="K175" t="s">
        <v>98</v>
      </c>
      <c r="L175">
        <v>1</v>
      </c>
      <c r="M175">
        <v>1</v>
      </c>
      <c r="N175">
        <v>2020</v>
      </c>
      <c r="O175">
        <v>8.7089799004097141</v>
      </c>
      <c r="P175">
        <v>0.88973384030418268</v>
      </c>
      <c r="Q175">
        <v>0.22352</v>
      </c>
      <c r="R175">
        <v>0.22352</v>
      </c>
      <c r="S175">
        <v>0.24739750741839769</v>
      </c>
      <c r="T175">
        <v>0.26795869436201769</v>
      </c>
      <c r="U175">
        <v>0.27658112759643932</v>
      </c>
      <c r="V175">
        <v>0.28653008902077137</v>
      </c>
      <c r="W175">
        <v>0.29581578635014832</v>
      </c>
      <c r="X175">
        <v>386.58775317489648</v>
      </c>
      <c r="Y175">
        <v>386.58775317489648</v>
      </c>
      <c r="Z175">
        <v>358.84732562416781</v>
      </c>
      <c r="AA175">
        <v>340.70935376407652</v>
      </c>
      <c r="AB175">
        <v>333.59642362286371</v>
      </c>
      <c r="AC175">
        <v>326.12784697459062</v>
      </c>
      <c r="AD175">
        <v>318.6592703263176</v>
      </c>
      <c r="AE175">
        <v>9.6374749541399449</v>
      </c>
      <c r="AF175">
        <v>9.6374749541399449</v>
      </c>
      <c r="AG175">
        <v>9.6374749541399449</v>
      </c>
      <c r="AH175">
        <v>9.6374749541399449</v>
      </c>
      <c r="AI175">
        <v>9.6374749541399449</v>
      </c>
      <c r="AJ175">
        <v>9.6374749541399449</v>
      </c>
      <c r="AK175">
        <v>9.6374749541399449</v>
      </c>
    </row>
    <row r="176" spans="1:37" hidden="1" x14ac:dyDescent="0.25">
      <c r="A176" t="s">
        <v>90</v>
      </c>
      <c r="B176" t="s">
        <v>182</v>
      </c>
      <c r="C176" t="s">
        <v>228</v>
      </c>
      <c r="F176" t="s">
        <v>215</v>
      </c>
      <c r="G176" t="s">
        <v>211</v>
      </c>
      <c r="H176" t="s">
        <v>212</v>
      </c>
      <c r="I176" t="s">
        <v>229</v>
      </c>
      <c r="J176" t="s">
        <v>235</v>
      </c>
      <c r="K176" t="s">
        <v>98</v>
      </c>
      <c r="L176">
        <v>0</v>
      </c>
      <c r="M176">
        <v>1</v>
      </c>
      <c r="N176">
        <v>2020</v>
      </c>
      <c r="O176">
        <v>8.7089799004097141</v>
      </c>
      <c r="P176">
        <v>0.1102661596958173</v>
      </c>
      <c r="Q176">
        <v>0.22352</v>
      </c>
      <c r="R176">
        <v>0.22352</v>
      </c>
      <c r="S176">
        <v>0.24739750741839769</v>
      </c>
      <c r="T176">
        <v>0.26795869436201769</v>
      </c>
      <c r="U176">
        <v>0.27658112759643932</v>
      </c>
      <c r="V176">
        <v>0.28653008902077137</v>
      </c>
      <c r="W176">
        <v>0.29581578635014832</v>
      </c>
      <c r="X176">
        <v>386.58775317489648</v>
      </c>
      <c r="Y176">
        <v>386.58775317489648</v>
      </c>
      <c r="Z176">
        <v>358.84732562416781</v>
      </c>
      <c r="AA176">
        <v>340.70935376407652</v>
      </c>
      <c r="AB176">
        <v>333.59642362286371</v>
      </c>
      <c r="AC176">
        <v>326.12784697459062</v>
      </c>
      <c r="AD176">
        <v>318.6592703263176</v>
      </c>
      <c r="AE176">
        <v>9.6374749541399449</v>
      </c>
      <c r="AF176">
        <v>9.6374749541399449</v>
      </c>
      <c r="AG176">
        <v>9.6374749541399449</v>
      </c>
      <c r="AH176">
        <v>9.6374749541399449</v>
      </c>
      <c r="AI176">
        <v>9.6374749541399449</v>
      </c>
      <c r="AJ176">
        <v>9.6374749541399449</v>
      </c>
      <c r="AK176">
        <v>9.6374749541399449</v>
      </c>
    </row>
    <row r="177" spans="1:37" hidden="1" x14ac:dyDescent="0.25">
      <c r="A177" t="s">
        <v>90</v>
      </c>
      <c r="B177" t="s">
        <v>182</v>
      </c>
      <c r="C177" t="s">
        <v>228</v>
      </c>
      <c r="F177" t="s">
        <v>217</v>
      </c>
      <c r="G177" t="s">
        <v>211</v>
      </c>
      <c r="H177" t="s">
        <v>212</v>
      </c>
      <c r="I177" t="s">
        <v>229</v>
      </c>
      <c r="J177" t="s">
        <v>236</v>
      </c>
      <c r="K177" t="s">
        <v>98</v>
      </c>
      <c r="L177">
        <v>1</v>
      </c>
      <c r="M177">
        <v>1</v>
      </c>
      <c r="N177">
        <v>2020</v>
      </c>
      <c r="O177">
        <v>8.7089799004097141</v>
      </c>
      <c r="P177">
        <v>1</v>
      </c>
      <c r="Q177">
        <v>0.37872379821958457</v>
      </c>
      <c r="R177">
        <v>0.37872379821958457</v>
      </c>
      <c r="S177">
        <v>0.41188700296735897</v>
      </c>
      <c r="T177">
        <v>0.44902979228486628</v>
      </c>
      <c r="U177">
        <v>0.46428486646884271</v>
      </c>
      <c r="V177">
        <v>0.47953994065281891</v>
      </c>
      <c r="W177">
        <v>0.49612154302670608</v>
      </c>
      <c r="X177">
        <v>369.51672083598658</v>
      </c>
      <c r="Y177">
        <v>369.51672083598658</v>
      </c>
      <c r="Z177">
        <v>333.95207012992438</v>
      </c>
      <c r="AA177">
        <v>315.10280525571142</v>
      </c>
      <c r="AB177">
        <v>306.21164257919588</v>
      </c>
      <c r="AC177">
        <v>297.32047990268029</v>
      </c>
      <c r="AD177">
        <v>288.78496373322542</v>
      </c>
      <c r="AE177">
        <v>6.2071872585986148</v>
      </c>
      <c r="AF177">
        <v>6.2071872585986148</v>
      </c>
      <c r="AG177">
        <v>6.2071872585986148</v>
      </c>
      <c r="AH177">
        <v>6.2071872585986148</v>
      </c>
      <c r="AI177">
        <v>6.2071872585986148</v>
      </c>
      <c r="AJ177">
        <v>6.2071872585986148</v>
      </c>
      <c r="AK177">
        <v>6.2071872585986148</v>
      </c>
    </row>
    <row r="178" spans="1:37" hidden="1" x14ac:dyDescent="0.25">
      <c r="A178" t="s">
        <v>90</v>
      </c>
      <c r="B178" t="s">
        <v>182</v>
      </c>
      <c r="C178" t="s">
        <v>237</v>
      </c>
      <c r="F178" t="s">
        <v>202</v>
      </c>
      <c r="G178" t="s">
        <v>119</v>
      </c>
      <c r="H178" t="s">
        <v>120</v>
      </c>
      <c r="I178" t="s">
        <v>238</v>
      </c>
      <c r="J178" t="s">
        <v>239</v>
      </c>
      <c r="K178" t="s">
        <v>98</v>
      </c>
      <c r="L178">
        <v>1</v>
      </c>
      <c r="M178">
        <v>1</v>
      </c>
      <c r="N178">
        <v>2020</v>
      </c>
      <c r="O178">
        <v>10.89196958520898</v>
      </c>
      <c r="P178">
        <v>1</v>
      </c>
      <c r="Q178">
        <v>0.1014794065281899</v>
      </c>
      <c r="R178">
        <v>0.1014794065281899</v>
      </c>
      <c r="S178">
        <v>0.1114283679525223</v>
      </c>
      <c r="T178">
        <v>0.120581412462908</v>
      </c>
      <c r="U178">
        <v>0.12548956676557871</v>
      </c>
      <c r="V178">
        <v>0.13039772106824929</v>
      </c>
      <c r="W178">
        <v>0.1353058753709199</v>
      </c>
      <c r="X178">
        <v>241.12833178710201</v>
      </c>
      <c r="Y178">
        <v>241.12833178710201</v>
      </c>
      <c r="Z178">
        <v>243.26221082946569</v>
      </c>
      <c r="AA178">
        <v>243.97350384358691</v>
      </c>
      <c r="AB178">
        <v>246.1073828859507</v>
      </c>
      <c r="AC178">
        <v>247.52996891419309</v>
      </c>
      <c r="AD178">
        <v>249.66384795655691</v>
      </c>
      <c r="AE178">
        <v>9.9262614810501049</v>
      </c>
      <c r="AF178">
        <v>9.9262614810501049</v>
      </c>
      <c r="AG178">
        <v>9.9262614810501049</v>
      </c>
      <c r="AH178">
        <v>9.9262614810501049</v>
      </c>
      <c r="AI178">
        <v>9.9262614810501049</v>
      </c>
      <c r="AJ178">
        <v>9.9262614810501049</v>
      </c>
      <c r="AK178">
        <v>9.9262614810501049</v>
      </c>
    </row>
    <row r="179" spans="1:37" hidden="1" x14ac:dyDescent="0.25">
      <c r="A179" t="s">
        <v>90</v>
      </c>
      <c r="B179" t="s">
        <v>182</v>
      </c>
      <c r="C179" t="s">
        <v>237</v>
      </c>
      <c r="F179" t="s">
        <v>202</v>
      </c>
      <c r="G179" t="s">
        <v>122</v>
      </c>
      <c r="H179" t="s">
        <v>123</v>
      </c>
      <c r="I179" t="s">
        <v>238</v>
      </c>
      <c r="J179" t="s">
        <v>239</v>
      </c>
      <c r="K179" t="s">
        <v>98</v>
      </c>
      <c r="L179">
        <v>0</v>
      </c>
      <c r="M179">
        <v>1</v>
      </c>
      <c r="N179">
        <v>2020</v>
      </c>
      <c r="O179">
        <v>10.89196958520898</v>
      </c>
      <c r="P179">
        <v>1</v>
      </c>
      <c r="Q179">
        <v>0.1014794065281899</v>
      </c>
      <c r="R179">
        <v>0.1014794065281899</v>
      </c>
      <c r="S179">
        <v>0.1114283679525223</v>
      </c>
      <c r="T179">
        <v>0.120581412462908</v>
      </c>
      <c r="U179">
        <v>0.12548956676557871</v>
      </c>
      <c r="V179">
        <v>0.13039772106824929</v>
      </c>
      <c r="W179">
        <v>0.1353058753709199</v>
      </c>
      <c r="X179">
        <v>241.12833178710201</v>
      </c>
      <c r="Y179">
        <v>241.12833178710201</v>
      </c>
      <c r="Z179">
        <v>243.26221082946569</v>
      </c>
      <c r="AA179">
        <v>243.97350384358691</v>
      </c>
      <c r="AB179">
        <v>246.1073828859507</v>
      </c>
      <c r="AC179">
        <v>247.52996891419309</v>
      </c>
      <c r="AD179">
        <v>249.66384795655691</v>
      </c>
      <c r="AE179">
        <v>9.9262614810501049</v>
      </c>
      <c r="AF179">
        <v>9.9262614810501049</v>
      </c>
      <c r="AG179">
        <v>9.9262614810501049</v>
      </c>
      <c r="AH179">
        <v>9.9262614810501049</v>
      </c>
      <c r="AI179">
        <v>9.9262614810501049</v>
      </c>
      <c r="AJ179">
        <v>9.9262614810501049</v>
      </c>
      <c r="AK179">
        <v>9.9262614810501049</v>
      </c>
    </row>
    <row r="180" spans="1:37" hidden="1" x14ac:dyDescent="0.25">
      <c r="A180" t="s">
        <v>90</v>
      </c>
      <c r="B180" t="s">
        <v>182</v>
      </c>
      <c r="C180" t="s">
        <v>237</v>
      </c>
      <c r="F180" t="s">
        <v>202</v>
      </c>
      <c r="G180" t="s">
        <v>124</v>
      </c>
      <c r="H180" t="s">
        <v>125</v>
      </c>
      <c r="I180" t="s">
        <v>238</v>
      </c>
      <c r="J180" t="s">
        <v>239</v>
      </c>
      <c r="K180" t="s">
        <v>98</v>
      </c>
      <c r="L180">
        <v>0</v>
      </c>
      <c r="M180">
        <v>1</v>
      </c>
      <c r="N180">
        <v>2020</v>
      </c>
      <c r="O180">
        <v>10.89196958520898</v>
      </c>
      <c r="P180">
        <v>0.1</v>
      </c>
      <c r="Q180">
        <v>0.1014794065281899</v>
      </c>
      <c r="R180">
        <v>0.1014794065281899</v>
      </c>
      <c r="S180">
        <v>0.1114283679525223</v>
      </c>
      <c r="T180">
        <v>0.120581412462908</v>
      </c>
      <c r="U180">
        <v>0.12548956676557871</v>
      </c>
      <c r="V180">
        <v>0.13039772106824929</v>
      </c>
      <c r="W180">
        <v>0.1353058753709199</v>
      </c>
      <c r="X180">
        <v>241.12833178710201</v>
      </c>
      <c r="Y180">
        <v>241.12833178710201</v>
      </c>
      <c r="Z180">
        <v>243.26221082946569</v>
      </c>
      <c r="AA180">
        <v>243.97350384358691</v>
      </c>
      <c r="AB180">
        <v>246.1073828859507</v>
      </c>
      <c r="AC180">
        <v>247.52996891419309</v>
      </c>
      <c r="AD180">
        <v>249.66384795655691</v>
      </c>
      <c r="AE180">
        <v>9.9262614810501049</v>
      </c>
      <c r="AF180">
        <v>9.9262614810501049</v>
      </c>
      <c r="AG180">
        <v>9.9262614810501049</v>
      </c>
      <c r="AH180">
        <v>9.9262614810501049</v>
      </c>
      <c r="AI180">
        <v>9.9262614810501049</v>
      </c>
      <c r="AJ180">
        <v>9.9262614810501049</v>
      </c>
      <c r="AK180">
        <v>9.9262614810501049</v>
      </c>
    </row>
    <row r="181" spans="1:37" hidden="1" x14ac:dyDescent="0.25">
      <c r="A181" t="s">
        <v>90</v>
      </c>
      <c r="B181" t="s">
        <v>182</v>
      </c>
      <c r="C181" t="s">
        <v>237</v>
      </c>
      <c r="F181" t="s">
        <v>205</v>
      </c>
      <c r="G181" t="s">
        <v>119</v>
      </c>
      <c r="H181" t="s">
        <v>120</v>
      </c>
      <c r="I181" t="s">
        <v>238</v>
      </c>
      <c r="J181" t="s">
        <v>240</v>
      </c>
      <c r="K181" t="s">
        <v>98</v>
      </c>
      <c r="L181">
        <v>1</v>
      </c>
      <c r="M181">
        <v>1</v>
      </c>
      <c r="N181">
        <v>2020</v>
      </c>
      <c r="O181">
        <v>10.89196958520898</v>
      </c>
      <c r="P181">
        <v>1</v>
      </c>
      <c r="Q181">
        <v>0.1028059347181009</v>
      </c>
      <c r="R181">
        <v>0.1028059347181009</v>
      </c>
      <c r="S181">
        <v>0.1111630623145401</v>
      </c>
      <c r="T181">
        <v>0.12177528783382791</v>
      </c>
      <c r="U181">
        <v>0.12668344213649849</v>
      </c>
      <c r="V181">
        <v>0.1315915964391691</v>
      </c>
      <c r="W181">
        <v>0.1366324035608309</v>
      </c>
      <c r="X181">
        <v>253.22031302716309</v>
      </c>
      <c r="Y181">
        <v>253.22031302716309</v>
      </c>
      <c r="Z181">
        <v>255.35419206952679</v>
      </c>
      <c r="AA181">
        <v>256.06548508364801</v>
      </c>
      <c r="AB181">
        <v>257.48807111189058</v>
      </c>
      <c r="AC181">
        <v>259.62195015425431</v>
      </c>
      <c r="AD181">
        <v>261.75582919661798</v>
      </c>
      <c r="AE181">
        <v>9.9262614810501049</v>
      </c>
      <c r="AF181">
        <v>9.9262614810501049</v>
      </c>
      <c r="AG181">
        <v>9.9262614810501049</v>
      </c>
      <c r="AH181">
        <v>9.9262614810501049</v>
      </c>
      <c r="AI181">
        <v>9.9262614810501049</v>
      </c>
      <c r="AJ181">
        <v>9.9262614810501049</v>
      </c>
      <c r="AK181">
        <v>9.9262614810501049</v>
      </c>
    </row>
    <row r="182" spans="1:37" hidden="1" x14ac:dyDescent="0.25">
      <c r="A182" t="s">
        <v>90</v>
      </c>
      <c r="B182" t="s">
        <v>182</v>
      </c>
      <c r="C182" t="s">
        <v>237</v>
      </c>
      <c r="F182" t="s">
        <v>205</v>
      </c>
      <c r="G182" t="s">
        <v>122</v>
      </c>
      <c r="H182" t="s">
        <v>123</v>
      </c>
      <c r="I182" t="s">
        <v>238</v>
      </c>
      <c r="J182" t="s">
        <v>240</v>
      </c>
      <c r="K182" t="s">
        <v>98</v>
      </c>
      <c r="L182">
        <v>0</v>
      </c>
      <c r="M182">
        <v>1</v>
      </c>
      <c r="N182">
        <v>2020</v>
      </c>
      <c r="O182">
        <v>10.89196958520898</v>
      </c>
      <c r="P182">
        <v>1</v>
      </c>
      <c r="Q182">
        <v>0.1028059347181009</v>
      </c>
      <c r="R182">
        <v>0.1028059347181009</v>
      </c>
      <c r="S182">
        <v>0.1111630623145401</v>
      </c>
      <c r="T182">
        <v>0.12177528783382791</v>
      </c>
      <c r="U182">
        <v>0.12668344213649849</v>
      </c>
      <c r="V182">
        <v>0.1315915964391691</v>
      </c>
      <c r="W182">
        <v>0.1366324035608309</v>
      </c>
      <c r="X182">
        <v>253.22031302716309</v>
      </c>
      <c r="Y182">
        <v>253.22031302716309</v>
      </c>
      <c r="Z182">
        <v>255.35419206952679</v>
      </c>
      <c r="AA182">
        <v>256.06548508364801</v>
      </c>
      <c r="AB182">
        <v>257.48807111189058</v>
      </c>
      <c r="AC182">
        <v>259.62195015425431</v>
      </c>
      <c r="AD182">
        <v>261.75582919661798</v>
      </c>
      <c r="AE182">
        <v>9.9262614810501049</v>
      </c>
      <c r="AF182">
        <v>9.9262614810501049</v>
      </c>
      <c r="AG182">
        <v>9.9262614810501049</v>
      </c>
      <c r="AH182">
        <v>9.9262614810501049</v>
      </c>
      <c r="AI182">
        <v>9.9262614810501049</v>
      </c>
      <c r="AJ182">
        <v>9.9262614810501049</v>
      </c>
      <c r="AK182">
        <v>9.9262614810501049</v>
      </c>
    </row>
    <row r="183" spans="1:37" hidden="1" x14ac:dyDescent="0.25">
      <c r="A183" t="s">
        <v>90</v>
      </c>
      <c r="B183" t="s">
        <v>182</v>
      </c>
      <c r="C183" t="s">
        <v>237</v>
      </c>
      <c r="F183" t="s">
        <v>205</v>
      </c>
      <c r="G183" t="s">
        <v>124</v>
      </c>
      <c r="H183" t="s">
        <v>125</v>
      </c>
      <c r="I183" t="s">
        <v>238</v>
      </c>
      <c r="J183" t="s">
        <v>240</v>
      </c>
      <c r="K183" t="s">
        <v>98</v>
      </c>
      <c r="L183">
        <v>0</v>
      </c>
      <c r="M183">
        <v>1</v>
      </c>
      <c r="N183">
        <v>2020</v>
      </c>
      <c r="O183">
        <v>10.89196958520898</v>
      </c>
      <c r="P183">
        <v>0.1</v>
      </c>
      <c r="Q183">
        <v>0.1028059347181009</v>
      </c>
      <c r="R183">
        <v>0.1028059347181009</v>
      </c>
      <c r="S183">
        <v>0.1111630623145401</v>
      </c>
      <c r="T183">
        <v>0.12177528783382791</v>
      </c>
      <c r="U183">
        <v>0.12668344213649849</v>
      </c>
      <c r="V183">
        <v>0.1315915964391691</v>
      </c>
      <c r="W183">
        <v>0.1366324035608309</v>
      </c>
      <c r="X183">
        <v>253.22031302716309</v>
      </c>
      <c r="Y183">
        <v>253.22031302716309</v>
      </c>
      <c r="Z183">
        <v>255.35419206952679</v>
      </c>
      <c r="AA183">
        <v>256.06548508364801</v>
      </c>
      <c r="AB183">
        <v>257.48807111189058</v>
      </c>
      <c r="AC183">
        <v>259.62195015425431</v>
      </c>
      <c r="AD183">
        <v>261.75582919661798</v>
      </c>
      <c r="AE183">
        <v>9.9262614810501049</v>
      </c>
      <c r="AF183">
        <v>9.9262614810501049</v>
      </c>
      <c r="AG183">
        <v>9.9262614810501049</v>
      </c>
      <c r="AH183">
        <v>9.9262614810501049</v>
      </c>
      <c r="AI183">
        <v>9.9262614810501049</v>
      </c>
      <c r="AJ183">
        <v>9.9262614810501049</v>
      </c>
      <c r="AK183">
        <v>9.9262614810501049</v>
      </c>
    </row>
    <row r="184" spans="1:37" hidden="1" x14ac:dyDescent="0.25">
      <c r="A184" t="s">
        <v>90</v>
      </c>
      <c r="B184" t="s">
        <v>182</v>
      </c>
      <c r="C184" t="s">
        <v>237</v>
      </c>
      <c r="F184" t="s">
        <v>207</v>
      </c>
      <c r="G184" t="s">
        <v>119</v>
      </c>
      <c r="H184" t="s">
        <v>120</v>
      </c>
      <c r="I184" t="s">
        <v>238</v>
      </c>
      <c r="J184" t="s">
        <v>241</v>
      </c>
      <c r="K184" t="s">
        <v>98</v>
      </c>
      <c r="L184">
        <v>1</v>
      </c>
      <c r="M184">
        <v>1</v>
      </c>
      <c r="N184">
        <v>2020</v>
      </c>
      <c r="O184">
        <v>10.89196958520898</v>
      </c>
      <c r="P184">
        <v>1</v>
      </c>
      <c r="Q184">
        <v>0.10293858753709199</v>
      </c>
      <c r="R184">
        <v>0.10293858753709199</v>
      </c>
      <c r="S184">
        <v>0.1142140771513353</v>
      </c>
      <c r="T184">
        <v>0.1241630385756677</v>
      </c>
      <c r="U184">
        <v>0.12986710979228491</v>
      </c>
      <c r="V184">
        <v>0.1353058753709199</v>
      </c>
      <c r="W184">
        <v>0.1406119881305638</v>
      </c>
      <c r="X184">
        <v>259.62195015425431</v>
      </c>
      <c r="Y184">
        <v>259.62195015425431</v>
      </c>
      <c r="Z184">
        <v>260.33324316837559</v>
      </c>
      <c r="AA184">
        <v>260.33324316837559</v>
      </c>
      <c r="AB184">
        <v>261.75582919661798</v>
      </c>
      <c r="AC184">
        <v>263.88970823898183</v>
      </c>
      <c r="AD184">
        <v>266.02358728134561</v>
      </c>
      <c r="AE184">
        <v>9.9262614810501049</v>
      </c>
      <c r="AF184">
        <v>9.9262614810501049</v>
      </c>
      <c r="AG184">
        <v>9.9262614810501049</v>
      </c>
      <c r="AH184">
        <v>9.9262614810501049</v>
      </c>
      <c r="AI184">
        <v>9.9262614810501049</v>
      </c>
      <c r="AJ184">
        <v>9.9262614810501049</v>
      </c>
      <c r="AK184">
        <v>9.9262614810501049</v>
      </c>
    </row>
    <row r="185" spans="1:37" hidden="1" x14ac:dyDescent="0.25">
      <c r="A185" t="s">
        <v>90</v>
      </c>
      <c r="B185" t="s">
        <v>182</v>
      </c>
      <c r="C185" t="s">
        <v>237</v>
      </c>
      <c r="F185" t="s">
        <v>207</v>
      </c>
      <c r="G185" t="s">
        <v>122</v>
      </c>
      <c r="H185" t="s">
        <v>123</v>
      </c>
      <c r="I185" t="s">
        <v>238</v>
      </c>
      <c r="J185" t="s">
        <v>241</v>
      </c>
      <c r="K185" t="s">
        <v>98</v>
      </c>
      <c r="L185">
        <v>0</v>
      </c>
      <c r="M185">
        <v>1</v>
      </c>
      <c r="N185">
        <v>2020</v>
      </c>
      <c r="O185">
        <v>10.89196958520898</v>
      </c>
      <c r="P185">
        <v>1</v>
      </c>
      <c r="Q185">
        <v>0.10293858753709199</v>
      </c>
      <c r="R185">
        <v>0.10293858753709199</v>
      </c>
      <c r="S185">
        <v>0.1142140771513353</v>
      </c>
      <c r="T185">
        <v>0.1241630385756677</v>
      </c>
      <c r="U185">
        <v>0.12986710979228491</v>
      </c>
      <c r="V185">
        <v>0.1353058753709199</v>
      </c>
      <c r="W185">
        <v>0.1406119881305638</v>
      </c>
      <c r="X185">
        <v>259.62195015425431</v>
      </c>
      <c r="Y185">
        <v>259.62195015425431</v>
      </c>
      <c r="Z185">
        <v>260.33324316837559</v>
      </c>
      <c r="AA185">
        <v>260.33324316837559</v>
      </c>
      <c r="AB185">
        <v>261.75582919661798</v>
      </c>
      <c r="AC185">
        <v>263.88970823898183</v>
      </c>
      <c r="AD185">
        <v>266.02358728134561</v>
      </c>
      <c r="AE185">
        <v>9.9262614810501049</v>
      </c>
      <c r="AF185">
        <v>9.9262614810501049</v>
      </c>
      <c r="AG185">
        <v>9.9262614810501049</v>
      </c>
      <c r="AH185">
        <v>9.9262614810501049</v>
      </c>
      <c r="AI185">
        <v>9.9262614810501049</v>
      </c>
      <c r="AJ185">
        <v>9.9262614810501049</v>
      </c>
      <c r="AK185">
        <v>9.9262614810501049</v>
      </c>
    </row>
    <row r="186" spans="1:37" hidden="1" x14ac:dyDescent="0.25">
      <c r="A186" t="s">
        <v>90</v>
      </c>
      <c r="B186" t="s">
        <v>182</v>
      </c>
      <c r="C186" t="s">
        <v>237</v>
      </c>
      <c r="F186" t="s">
        <v>207</v>
      </c>
      <c r="G186" t="s">
        <v>124</v>
      </c>
      <c r="H186" t="s">
        <v>125</v>
      </c>
      <c r="I186" t="s">
        <v>238</v>
      </c>
      <c r="J186" t="s">
        <v>241</v>
      </c>
      <c r="K186" t="s">
        <v>98</v>
      </c>
      <c r="L186">
        <v>0</v>
      </c>
      <c r="M186">
        <v>1</v>
      </c>
      <c r="N186">
        <v>2020</v>
      </c>
      <c r="O186">
        <v>10.89196958520898</v>
      </c>
      <c r="P186">
        <v>0.1</v>
      </c>
      <c r="Q186">
        <v>0.10293858753709199</v>
      </c>
      <c r="R186">
        <v>0.10293858753709199</v>
      </c>
      <c r="S186">
        <v>0.1142140771513353</v>
      </c>
      <c r="T186">
        <v>0.1241630385756677</v>
      </c>
      <c r="U186">
        <v>0.12986710979228491</v>
      </c>
      <c r="V186">
        <v>0.1353058753709199</v>
      </c>
      <c r="W186">
        <v>0.1406119881305638</v>
      </c>
      <c r="X186">
        <v>259.62195015425431</v>
      </c>
      <c r="Y186">
        <v>259.62195015425431</v>
      </c>
      <c r="Z186">
        <v>260.33324316837559</v>
      </c>
      <c r="AA186">
        <v>260.33324316837559</v>
      </c>
      <c r="AB186">
        <v>261.75582919661798</v>
      </c>
      <c r="AC186">
        <v>263.88970823898183</v>
      </c>
      <c r="AD186">
        <v>266.02358728134561</v>
      </c>
      <c r="AE186">
        <v>9.9262614810501049</v>
      </c>
      <c r="AF186">
        <v>9.9262614810501049</v>
      </c>
      <c r="AG186">
        <v>9.9262614810501049</v>
      </c>
      <c r="AH186">
        <v>9.9262614810501049</v>
      </c>
      <c r="AI186">
        <v>9.9262614810501049</v>
      </c>
      <c r="AJ186">
        <v>9.9262614810501049</v>
      </c>
      <c r="AK186">
        <v>9.9262614810501049</v>
      </c>
    </row>
    <row r="187" spans="1:37" hidden="1" x14ac:dyDescent="0.25">
      <c r="A187" t="s">
        <v>90</v>
      </c>
      <c r="B187" t="s">
        <v>182</v>
      </c>
      <c r="C187" t="s">
        <v>237</v>
      </c>
      <c r="F187" t="s">
        <v>209</v>
      </c>
      <c r="G187" t="s">
        <v>119</v>
      </c>
      <c r="H187" t="s">
        <v>120</v>
      </c>
      <c r="I187" t="s">
        <v>238</v>
      </c>
      <c r="J187" t="s">
        <v>242</v>
      </c>
      <c r="K187" t="s">
        <v>98</v>
      </c>
      <c r="L187">
        <v>1</v>
      </c>
      <c r="M187">
        <v>1</v>
      </c>
      <c r="N187">
        <v>2020</v>
      </c>
      <c r="O187">
        <v>10.89196958520898</v>
      </c>
      <c r="P187">
        <v>0.34675615212528432</v>
      </c>
      <c r="Q187">
        <v>0.18040783382789249</v>
      </c>
      <c r="R187">
        <v>0.18040783382789249</v>
      </c>
      <c r="S187">
        <v>0.20163228486646839</v>
      </c>
      <c r="T187">
        <v>0.22285673590504509</v>
      </c>
      <c r="U187">
        <v>0.23214243323442141</v>
      </c>
      <c r="V187">
        <v>0.2414281305637975</v>
      </c>
      <c r="W187">
        <v>0.25204035608308611</v>
      </c>
      <c r="X187">
        <v>374.14012542777448</v>
      </c>
      <c r="Y187">
        <v>374.14012542777448</v>
      </c>
      <c r="Z187">
        <v>325.06090745340788</v>
      </c>
      <c r="AA187">
        <v>300.16565195916411</v>
      </c>
      <c r="AB187">
        <v>290.91884277558938</v>
      </c>
      <c r="AC187">
        <v>280.96074057789201</v>
      </c>
      <c r="AD187">
        <v>271.71393139431541</v>
      </c>
      <c r="AE187">
        <v>9.9262614810501226</v>
      </c>
      <c r="AF187">
        <v>9.9262614810501226</v>
      </c>
      <c r="AG187">
        <v>9.9262614810501226</v>
      </c>
      <c r="AH187">
        <v>9.9262614810501226</v>
      </c>
      <c r="AI187">
        <v>9.9262614810501226</v>
      </c>
      <c r="AJ187">
        <v>9.9262614810501226</v>
      </c>
      <c r="AK187">
        <v>9.9262614810501226</v>
      </c>
    </row>
    <row r="188" spans="1:37" hidden="1" x14ac:dyDescent="0.25">
      <c r="A188" t="s">
        <v>90</v>
      </c>
      <c r="B188" t="s">
        <v>182</v>
      </c>
      <c r="C188" t="s">
        <v>237</v>
      </c>
      <c r="F188" t="s">
        <v>209</v>
      </c>
      <c r="G188" t="s">
        <v>122</v>
      </c>
      <c r="H188" t="s">
        <v>123</v>
      </c>
      <c r="I188" t="s">
        <v>238</v>
      </c>
      <c r="J188" t="s">
        <v>242</v>
      </c>
      <c r="K188" t="s">
        <v>98</v>
      </c>
      <c r="L188">
        <v>0</v>
      </c>
      <c r="M188">
        <v>1</v>
      </c>
      <c r="N188">
        <v>2020</v>
      </c>
      <c r="O188">
        <v>10.89196958520898</v>
      </c>
      <c r="P188">
        <v>0.34675615212528432</v>
      </c>
      <c r="Q188">
        <v>0.18040783382789249</v>
      </c>
      <c r="R188">
        <v>0.18040783382789249</v>
      </c>
      <c r="S188">
        <v>0.20163228486646839</v>
      </c>
      <c r="T188">
        <v>0.22285673590504509</v>
      </c>
      <c r="U188">
        <v>0.23214243323442141</v>
      </c>
      <c r="V188">
        <v>0.2414281305637975</v>
      </c>
      <c r="W188">
        <v>0.25204035608308611</v>
      </c>
      <c r="X188">
        <v>374.14012542777448</v>
      </c>
      <c r="Y188">
        <v>374.14012542777448</v>
      </c>
      <c r="Z188">
        <v>325.06090745340788</v>
      </c>
      <c r="AA188">
        <v>300.16565195916411</v>
      </c>
      <c r="AB188">
        <v>290.91884277558938</v>
      </c>
      <c r="AC188">
        <v>280.96074057789201</v>
      </c>
      <c r="AD188">
        <v>271.71393139431541</v>
      </c>
      <c r="AE188">
        <v>9.9262614810501226</v>
      </c>
      <c r="AF188">
        <v>9.9262614810501226</v>
      </c>
      <c r="AG188">
        <v>9.9262614810501226</v>
      </c>
      <c r="AH188">
        <v>9.9262614810501226</v>
      </c>
      <c r="AI188">
        <v>9.9262614810501226</v>
      </c>
      <c r="AJ188">
        <v>9.9262614810501226</v>
      </c>
      <c r="AK188">
        <v>9.9262614810501226</v>
      </c>
    </row>
    <row r="189" spans="1:37" hidden="1" x14ac:dyDescent="0.25">
      <c r="A189" t="s">
        <v>90</v>
      </c>
      <c r="B189" t="s">
        <v>182</v>
      </c>
      <c r="C189" t="s">
        <v>237</v>
      </c>
      <c r="F189" t="s">
        <v>209</v>
      </c>
      <c r="G189" t="s">
        <v>124</v>
      </c>
      <c r="H189" t="s">
        <v>125</v>
      </c>
      <c r="I189" t="s">
        <v>238</v>
      </c>
      <c r="J189" t="s">
        <v>242</v>
      </c>
      <c r="K189" t="s">
        <v>98</v>
      </c>
      <c r="L189">
        <v>0</v>
      </c>
      <c r="M189">
        <v>1</v>
      </c>
      <c r="N189">
        <v>2020</v>
      </c>
      <c r="O189">
        <v>10.89196958520898</v>
      </c>
      <c r="P189">
        <v>0.1</v>
      </c>
      <c r="Q189">
        <v>0.18040783382789249</v>
      </c>
      <c r="R189">
        <v>0.18040783382789249</v>
      </c>
      <c r="S189">
        <v>0.20163228486646839</v>
      </c>
      <c r="T189">
        <v>0.22285673590504509</v>
      </c>
      <c r="U189">
        <v>0.23214243323442141</v>
      </c>
      <c r="V189">
        <v>0.2414281305637975</v>
      </c>
      <c r="W189">
        <v>0.25204035608308611</v>
      </c>
      <c r="X189">
        <v>374.14012542777448</v>
      </c>
      <c r="Y189">
        <v>374.14012542777448</v>
      </c>
      <c r="Z189">
        <v>325.06090745340788</v>
      </c>
      <c r="AA189">
        <v>300.16565195916411</v>
      </c>
      <c r="AB189">
        <v>290.91884277558938</v>
      </c>
      <c r="AC189">
        <v>280.96074057789201</v>
      </c>
      <c r="AD189">
        <v>271.71393139431541</v>
      </c>
      <c r="AE189">
        <v>9.9262614810501226</v>
      </c>
      <c r="AF189">
        <v>9.9262614810501226</v>
      </c>
      <c r="AG189">
        <v>9.9262614810501226</v>
      </c>
      <c r="AH189">
        <v>9.9262614810501226</v>
      </c>
      <c r="AI189">
        <v>9.9262614810501226</v>
      </c>
      <c r="AJ189">
        <v>9.9262614810501226</v>
      </c>
      <c r="AK189">
        <v>9.9262614810501226</v>
      </c>
    </row>
    <row r="190" spans="1:37" hidden="1" x14ac:dyDescent="0.25">
      <c r="A190" t="s">
        <v>90</v>
      </c>
      <c r="B190" t="s">
        <v>182</v>
      </c>
      <c r="C190" t="s">
        <v>237</v>
      </c>
      <c r="F190" t="s">
        <v>209</v>
      </c>
      <c r="G190" t="s">
        <v>211</v>
      </c>
      <c r="H190" t="s">
        <v>212</v>
      </c>
      <c r="I190" t="s">
        <v>238</v>
      </c>
      <c r="J190" t="s">
        <v>242</v>
      </c>
      <c r="K190" t="s">
        <v>98</v>
      </c>
      <c r="L190">
        <v>0</v>
      </c>
      <c r="M190">
        <v>1</v>
      </c>
      <c r="N190">
        <v>2020</v>
      </c>
      <c r="O190">
        <v>10.89196958520898</v>
      </c>
      <c r="P190">
        <v>0.65324384787471568</v>
      </c>
      <c r="Q190">
        <v>0.18040783382789249</v>
      </c>
      <c r="R190">
        <v>0.18040783382789249</v>
      </c>
      <c r="S190">
        <v>0.20163228486646839</v>
      </c>
      <c r="T190">
        <v>0.22285673590504509</v>
      </c>
      <c r="U190">
        <v>0.23214243323442141</v>
      </c>
      <c r="V190">
        <v>0.2414281305637975</v>
      </c>
      <c r="W190">
        <v>0.25204035608308611</v>
      </c>
      <c r="X190">
        <v>374.14012542777448</v>
      </c>
      <c r="Y190">
        <v>374.14012542777448</v>
      </c>
      <c r="Z190">
        <v>325.06090745340788</v>
      </c>
      <c r="AA190">
        <v>300.16565195916411</v>
      </c>
      <c r="AB190">
        <v>290.91884277558938</v>
      </c>
      <c r="AC190">
        <v>280.96074057789201</v>
      </c>
      <c r="AD190">
        <v>271.71393139431541</v>
      </c>
      <c r="AE190">
        <v>9.9262614810501226</v>
      </c>
      <c r="AF190">
        <v>9.9262614810501226</v>
      </c>
      <c r="AG190">
        <v>9.9262614810501226</v>
      </c>
      <c r="AH190">
        <v>9.9262614810501226</v>
      </c>
      <c r="AI190">
        <v>9.9262614810501226</v>
      </c>
      <c r="AJ190">
        <v>9.9262614810501226</v>
      </c>
      <c r="AK190">
        <v>9.9262614810501226</v>
      </c>
    </row>
    <row r="191" spans="1:37" hidden="1" x14ac:dyDescent="0.25">
      <c r="A191" t="s">
        <v>90</v>
      </c>
      <c r="B191" t="s">
        <v>182</v>
      </c>
      <c r="C191" t="s">
        <v>237</v>
      </c>
      <c r="F191" t="s">
        <v>213</v>
      </c>
      <c r="G191" t="s">
        <v>133</v>
      </c>
      <c r="H191" t="s">
        <v>134</v>
      </c>
      <c r="I191" t="s">
        <v>238</v>
      </c>
      <c r="J191" t="s">
        <v>243</v>
      </c>
      <c r="K191" t="s">
        <v>98</v>
      </c>
      <c r="L191">
        <v>1</v>
      </c>
      <c r="M191">
        <v>1</v>
      </c>
      <c r="N191">
        <v>2020</v>
      </c>
      <c r="O191">
        <v>10.89196958520898</v>
      </c>
      <c r="P191">
        <v>1</v>
      </c>
      <c r="Q191">
        <v>0.1150099940652819</v>
      </c>
      <c r="R191">
        <v>0.1150099940652819</v>
      </c>
      <c r="S191">
        <v>0.12933649851632051</v>
      </c>
      <c r="T191">
        <v>0.14326504451038591</v>
      </c>
      <c r="U191">
        <v>0.15122421364985161</v>
      </c>
      <c r="V191">
        <v>0.15918338278931751</v>
      </c>
      <c r="W191">
        <v>0.16714255192878349</v>
      </c>
      <c r="X191">
        <v>409.70477613383707</v>
      </c>
      <c r="Y191">
        <v>409.70477613383707</v>
      </c>
      <c r="Z191">
        <v>364.89331624419862</v>
      </c>
      <c r="AA191">
        <v>340.70935376407601</v>
      </c>
      <c r="AB191">
        <v>331.46254458049981</v>
      </c>
      <c r="AC191">
        <v>322.21573539692372</v>
      </c>
      <c r="AD191">
        <v>313.68021922746908</v>
      </c>
      <c r="AE191">
        <v>9.9915658328991128</v>
      </c>
      <c r="AF191">
        <v>9.9915658328991128</v>
      </c>
      <c r="AG191">
        <v>9.9915658328991128</v>
      </c>
      <c r="AH191">
        <v>9.9915658328991128</v>
      </c>
      <c r="AI191">
        <v>9.9915658328991128</v>
      </c>
      <c r="AJ191">
        <v>9.9915658328991128</v>
      </c>
      <c r="AK191">
        <v>9.9915658328991128</v>
      </c>
    </row>
    <row r="192" spans="1:37" hidden="1" x14ac:dyDescent="0.25">
      <c r="A192" t="s">
        <v>90</v>
      </c>
      <c r="B192" t="s">
        <v>182</v>
      </c>
      <c r="C192" t="s">
        <v>237</v>
      </c>
      <c r="F192" t="s">
        <v>215</v>
      </c>
      <c r="G192" t="s">
        <v>133</v>
      </c>
      <c r="H192" t="s">
        <v>134</v>
      </c>
      <c r="I192" t="s">
        <v>238</v>
      </c>
      <c r="J192" t="s">
        <v>244</v>
      </c>
      <c r="K192" t="s">
        <v>98</v>
      </c>
      <c r="L192">
        <v>1</v>
      </c>
      <c r="M192">
        <v>1</v>
      </c>
      <c r="N192">
        <v>2020</v>
      </c>
      <c r="O192">
        <v>10.89196958520898</v>
      </c>
      <c r="P192">
        <v>0.92029887920298814</v>
      </c>
      <c r="Q192">
        <v>0.1234997744807122</v>
      </c>
      <c r="R192">
        <v>0.1234997744807122</v>
      </c>
      <c r="S192">
        <v>0.13928545994065281</v>
      </c>
      <c r="T192">
        <v>0.15918338278931751</v>
      </c>
      <c r="U192">
        <v>0.16979560830860541</v>
      </c>
      <c r="V192">
        <v>0.17908130563798219</v>
      </c>
      <c r="W192">
        <v>0.18969353115727011</v>
      </c>
      <c r="X192">
        <v>322.92702841104523</v>
      </c>
      <c r="Y192">
        <v>322.92702841104523</v>
      </c>
      <c r="Z192">
        <v>289.49625674734659</v>
      </c>
      <c r="AA192">
        <v>270.29134536607307</v>
      </c>
      <c r="AB192">
        <v>262.46712221073909</v>
      </c>
      <c r="AC192">
        <v>255.35419206952679</v>
      </c>
      <c r="AD192">
        <v>248.24126192831449</v>
      </c>
      <c r="AE192">
        <v>9.9915658328991128</v>
      </c>
      <c r="AF192">
        <v>9.9915658328991128</v>
      </c>
      <c r="AG192">
        <v>9.9915658328991128</v>
      </c>
      <c r="AH192">
        <v>9.9915658328991128</v>
      </c>
      <c r="AI192">
        <v>9.9915658328991128</v>
      </c>
      <c r="AJ192">
        <v>9.9915658328991128</v>
      </c>
      <c r="AK192">
        <v>9.9915658328991128</v>
      </c>
    </row>
    <row r="193" spans="1:37" hidden="1" x14ac:dyDescent="0.25">
      <c r="A193" t="s">
        <v>90</v>
      </c>
      <c r="B193" t="s">
        <v>182</v>
      </c>
      <c r="C193" t="s">
        <v>237</v>
      </c>
      <c r="F193" t="s">
        <v>215</v>
      </c>
      <c r="G193" t="s">
        <v>211</v>
      </c>
      <c r="H193" t="s">
        <v>212</v>
      </c>
      <c r="I193" t="s">
        <v>238</v>
      </c>
      <c r="J193" t="s">
        <v>244</v>
      </c>
      <c r="K193" t="s">
        <v>98</v>
      </c>
      <c r="L193">
        <v>0</v>
      </c>
      <c r="M193">
        <v>1</v>
      </c>
      <c r="N193">
        <v>2020</v>
      </c>
      <c r="O193">
        <v>10.89196958520898</v>
      </c>
      <c r="P193">
        <v>7.9701120797011846E-2</v>
      </c>
      <c r="Q193">
        <v>0.1234997744807122</v>
      </c>
      <c r="R193">
        <v>0.1234997744807122</v>
      </c>
      <c r="S193">
        <v>0.13928545994065281</v>
      </c>
      <c r="T193">
        <v>0.15918338278931751</v>
      </c>
      <c r="U193">
        <v>0.16979560830860541</v>
      </c>
      <c r="V193">
        <v>0.17908130563798219</v>
      </c>
      <c r="W193">
        <v>0.18969353115727011</v>
      </c>
      <c r="X193">
        <v>322.92702841104523</v>
      </c>
      <c r="Y193">
        <v>322.92702841104523</v>
      </c>
      <c r="Z193">
        <v>289.49625674734659</v>
      </c>
      <c r="AA193">
        <v>270.29134536607307</v>
      </c>
      <c r="AB193">
        <v>262.46712221073909</v>
      </c>
      <c r="AC193">
        <v>255.35419206952679</v>
      </c>
      <c r="AD193">
        <v>248.24126192831449</v>
      </c>
      <c r="AE193">
        <v>9.9915658328991128</v>
      </c>
      <c r="AF193">
        <v>9.9915658328991128</v>
      </c>
      <c r="AG193">
        <v>9.9915658328991128</v>
      </c>
      <c r="AH193">
        <v>9.9915658328991128</v>
      </c>
      <c r="AI193">
        <v>9.9915658328991128</v>
      </c>
      <c r="AJ193">
        <v>9.9915658328991128</v>
      </c>
      <c r="AK193">
        <v>9.9915658328991128</v>
      </c>
    </row>
    <row r="194" spans="1:37" hidden="1" x14ac:dyDescent="0.25">
      <c r="A194" t="s">
        <v>90</v>
      </c>
      <c r="B194" t="s">
        <v>182</v>
      </c>
      <c r="C194" t="s">
        <v>237</v>
      </c>
      <c r="F194" t="s">
        <v>217</v>
      </c>
      <c r="G194" t="s">
        <v>211</v>
      </c>
      <c r="H194" t="s">
        <v>212</v>
      </c>
      <c r="I194" t="s">
        <v>238</v>
      </c>
      <c r="J194" t="s">
        <v>245</v>
      </c>
      <c r="K194" t="s">
        <v>98</v>
      </c>
      <c r="L194">
        <v>1</v>
      </c>
      <c r="M194">
        <v>1</v>
      </c>
      <c r="N194">
        <v>2020</v>
      </c>
      <c r="O194">
        <v>10.89196958520898</v>
      </c>
      <c r="P194">
        <v>1</v>
      </c>
      <c r="Q194">
        <v>0.2215302077151334</v>
      </c>
      <c r="R194">
        <v>0.2215302077151334</v>
      </c>
      <c r="S194">
        <v>0.24673424332344221</v>
      </c>
      <c r="T194">
        <v>0.27193827893175071</v>
      </c>
      <c r="U194">
        <v>0.2812239762611275</v>
      </c>
      <c r="V194">
        <v>0.29316272997032661</v>
      </c>
      <c r="W194">
        <v>0.30510148367952522</v>
      </c>
      <c r="X194">
        <v>477.277612475355</v>
      </c>
      <c r="Y194">
        <v>477.277612475355</v>
      </c>
      <c r="Z194">
        <v>392.63374379492677</v>
      </c>
      <c r="AA194">
        <v>348.53357691941</v>
      </c>
      <c r="AB194">
        <v>330.0399585522577</v>
      </c>
      <c r="AC194">
        <v>310.83504717098378</v>
      </c>
      <c r="AD194">
        <v>292.34142880383138</v>
      </c>
      <c r="AE194">
        <v>6.3998264812033572</v>
      </c>
      <c r="AF194">
        <v>6.3998264812033572</v>
      </c>
      <c r="AG194">
        <v>6.3998264812033572</v>
      </c>
      <c r="AH194">
        <v>6.3998264812033572</v>
      </c>
      <c r="AI194">
        <v>6.3998264812033572</v>
      </c>
      <c r="AJ194">
        <v>6.3998264812033572</v>
      </c>
      <c r="AK194">
        <v>6.3998264812033572</v>
      </c>
    </row>
    <row r="195" spans="1:37" hidden="1" x14ac:dyDescent="0.25">
      <c r="A195" t="s">
        <v>90</v>
      </c>
      <c r="B195" t="s">
        <v>182</v>
      </c>
      <c r="C195" t="s">
        <v>246</v>
      </c>
      <c r="F195" t="s">
        <v>202</v>
      </c>
      <c r="G195" t="s">
        <v>119</v>
      </c>
      <c r="H195" t="s">
        <v>120</v>
      </c>
      <c r="I195" t="s">
        <v>247</v>
      </c>
      <c r="J195" t="s">
        <v>248</v>
      </c>
      <c r="K195" t="s">
        <v>98</v>
      </c>
      <c r="L195">
        <v>1</v>
      </c>
      <c r="M195">
        <v>1</v>
      </c>
      <c r="N195">
        <v>2020</v>
      </c>
      <c r="O195">
        <v>21.783939170417959</v>
      </c>
      <c r="P195">
        <v>1</v>
      </c>
      <c r="Q195">
        <v>0.1014794065281899</v>
      </c>
      <c r="R195">
        <v>0.1014794065281899</v>
      </c>
      <c r="S195">
        <v>0.1114283679525223</v>
      </c>
      <c r="T195">
        <v>0.120581412462908</v>
      </c>
      <c r="U195">
        <v>0.12548956676557871</v>
      </c>
      <c r="V195">
        <v>0.13039772106824929</v>
      </c>
      <c r="W195">
        <v>0.1353058753709199</v>
      </c>
      <c r="X195">
        <v>241.12833178710201</v>
      </c>
      <c r="Y195">
        <v>241.12833178710201</v>
      </c>
      <c r="Z195">
        <v>243.26221082946569</v>
      </c>
      <c r="AA195">
        <v>243.97350384358691</v>
      </c>
      <c r="AB195">
        <v>246.1073828859507</v>
      </c>
      <c r="AC195">
        <v>247.52996891419309</v>
      </c>
      <c r="AD195">
        <v>249.66384795655691</v>
      </c>
      <c r="AE195">
        <v>4.9631307405250524</v>
      </c>
      <c r="AF195">
        <v>4.9631307405250524</v>
      </c>
      <c r="AG195">
        <v>4.9631307405250524</v>
      </c>
      <c r="AH195">
        <v>4.9631307405250524</v>
      </c>
      <c r="AI195">
        <v>4.9631307405250524</v>
      </c>
      <c r="AJ195">
        <v>4.9631307405250524</v>
      </c>
      <c r="AK195">
        <v>4.9631307405250524</v>
      </c>
    </row>
    <row r="196" spans="1:37" hidden="1" x14ac:dyDescent="0.25">
      <c r="A196" t="s">
        <v>90</v>
      </c>
      <c r="B196" t="s">
        <v>182</v>
      </c>
      <c r="C196" t="s">
        <v>246</v>
      </c>
      <c r="F196" t="s">
        <v>202</v>
      </c>
      <c r="G196" t="s">
        <v>122</v>
      </c>
      <c r="H196" t="s">
        <v>123</v>
      </c>
      <c r="I196" t="s">
        <v>247</v>
      </c>
      <c r="J196" t="s">
        <v>248</v>
      </c>
      <c r="K196" t="s">
        <v>98</v>
      </c>
      <c r="L196">
        <v>0</v>
      </c>
      <c r="M196">
        <v>1</v>
      </c>
      <c r="N196">
        <v>2020</v>
      </c>
      <c r="O196">
        <v>21.783939170417959</v>
      </c>
      <c r="P196">
        <v>1</v>
      </c>
      <c r="Q196">
        <v>0.1014794065281899</v>
      </c>
      <c r="R196">
        <v>0.1014794065281899</v>
      </c>
      <c r="S196">
        <v>0.1114283679525223</v>
      </c>
      <c r="T196">
        <v>0.120581412462908</v>
      </c>
      <c r="U196">
        <v>0.12548956676557871</v>
      </c>
      <c r="V196">
        <v>0.13039772106824929</v>
      </c>
      <c r="W196">
        <v>0.1353058753709199</v>
      </c>
      <c r="X196">
        <v>241.12833178710201</v>
      </c>
      <c r="Y196">
        <v>241.12833178710201</v>
      </c>
      <c r="Z196">
        <v>243.26221082946569</v>
      </c>
      <c r="AA196">
        <v>243.97350384358691</v>
      </c>
      <c r="AB196">
        <v>246.1073828859507</v>
      </c>
      <c r="AC196">
        <v>247.52996891419309</v>
      </c>
      <c r="AD196">
        <v>249.66384795655691</v>
      </c>
      <c r="AE196">
        <v>4.9631307405250524</v>
      </c>
      <c r="AF196">
        <v>4.9631307405250524</v>
      </c>
      <c r="AG196">
        <v>4.9631307405250524</v>
      </c>
      <c r="AH196">
        <v>4.9631307405250524</v>
      </c>
      <c r="AI196">
        <v>4.9631307405250524</v>
      </c>
      <c r="AJ196">
        <v>4.9631307405250524</v>
      </c>
      <c r="AK196">
        <v>4.9631307405250524</v>
      </c>
    </row>
    <row r="197" spans="1:37" hidden="1" x14ac:dyDescent="0.25">
      <c r="A197" t="s">
        <v>90</v>
      </c>
      <c r="B197" t="s">
        <v>182</v>
      </c>
      <c r="C197" t="s">
        <v>246</v>
      </c>
      <c r="F197" t="s">
        <v>202</v>
      </c>
      <c r="G197" t="s">
        <v>124</v>
      </c>
      <c r="H197" t="s">
        <v>125</v>
      </c>
      <c r="I197" t="s">
        <v>247</v>
      </c>
      <c r="J197" t="s">
        <v>248</v>
      </c>
      <c r="K197" t="s">
        <v>98</v>
      </c>
      <c r="L197">
        <v>0</v>
      </c>
      <c r="M197">
        <v>1</v>
      </c>
      <c r="N197">
        <v>2020</v>
      </c>
      <c r="O197">
        <v>21.783939170417959</v>
      </c>
      <c r="P197">
        <v>0.1</v>
      </c>
      <c r="Q197">
        <v>0.1014794065281899</v>
      </c>
      <c r="R197">
        <v>0.1014794065281899</v>
      </c>
      <c r="S197">
        <v>0.1114283679525223</v>
      </c>
      <c r="T197">
        <v>0.120581412462908</v>
      </c>
      <c r="U197">
        <v>0.12548956676557871</v>
      </c>
      <c r="V197">
        <v>0.13039772106824929</v>
      </c>
      <c r="W197">
        <v>0.1353058753709199</v>
      </c>
      <c r="X197">
        <v>241.12833178710201</v>
      </c>
      <c r="Y197">
        <v>241.12833178710201</v>
      </c>
      <c r="Z197">
        <v>243.26221082946569</v>
      </c>
      <c r="AA197">
        <v>243.97350384358691</v>
      </c>
      <c r="AB197">
        <v>246.1073828859507</v>
      </c>
      <c r="AC197">
        <v>247.52996891419309</v>
      </c>
      <c r="AD197">
        <v>249.66384795655691</v>
      </c>
      <c r="AE197">
        <v>4.9631307405250524</v>
      </c>
      <c r="AF197">
        <v>4.9631307405250524</v>
      </c>
      <c r="AG197">
        <v>4.9631307405250524</v>
      </c>
      <c r="AH197">
        <v>4.9631307405250524</v>
      </c>
      <c r="AI197">
        <v>4.9631307405250524</v>
      </c>
      <c r="AJ197">
        <v>4.9631307405250524</v>
      </c>
      <c r="AK197">
        <v>4.9631307405250524</v>
      </c>
    </row>
    <row r="198" spans="1:37" hidden="1" x14ac:dyDescent="0.25">
      <c r="A198" t="s">
        <v>90</v>
      </c>
      <c r="B198" t="s">
        <v>182</v>
      </c>
      <c r="C198" t="s">
        <v>246</v>
      </c>
      <c r="F198" t="s">
        <v>205</v>
      </c>
      <c r="G198" t="s">
        <v>119</v>
      </c>
      <c r="H198" t="s">
        <v>120</v>
      </c>
      <c r="I198" t="s">
        <v>247</v>
      </c>
      <c r="J198" t="s">
        <v>249</v>
      </c>
      <c r="K198" t="s">
        <v>98</v>
      </c>
      <c r="L198">
        <v>1</v>
      </c>
      <c r="M198">
        <v>1</v>
      </c>
      <c r="N198">
        <v>2020</v>
      </c>
      <c r="O198">
        <v>21.783939170417959</v>
      </c>
      <c r="P198">
        <v>1</v>
      </c>
      <c r="Q198">
        <v>0.1028059347181009</v>
      </c>
      <c r="R198">
        <v>0.1028059347181009</v>
      </c>
      <c r="S198">
        <v>0.1111630623145401</v>
      </c>
      <c r="T198">
        <v>0.12177528783382791</v>
      </c>
      <c r="U198">
        <v>0.12668344213649849</v>
      </c>
      <c r="V198">
        <v>0.1315915964391691</v>
      </c>
      <c r="W198">
        <v>0.1366324035608309</v>
      </c>
      <c r="X198">
        <v>253.22031302716309</v>
      </c>
      <c r="Y198">
        <v>253.22031302716309</v>
      </c>
      <c r="Z198">
        <v>255.35419206952679</v>
      </c>
      <c r="AA198">
        <v>256.06548508364801</v>
      </c>
      <c r="AB198">
        <v>257.48807111189058</v>
      </c>
      <c r="AC198">
        <v>259.62195015425431</v>
      </c>
      <c r="AD198">
        <v>261.75582919661798</v>
      </c>
      <c r="AE198">
        <v>4.9631307405250524</v>
      </c>
      <c r="AF198">
        <v>4.9631307405250524</v>
      </c>
      <c r="AG198">
        <v>4.9631307405250524</v>
      </c>
      <c r="AH198">
        <v>4.9631307405250524</v>
      </c>
      <c r="AI198">
        <v>4.9631307405250524</v>
      </c>
      <c r="AJ198">
        <v>4.9631307405250524</v>
      </c>
      <c r="AK198">
        <v>4.9631307405250524</v>
      </c>
    </row>
    <row r="199" spans="1:37" hidden="1" x14ac:dyDescent="0.25">
      <c r="A199" t="s">
        <v>90</v>
      </c>
      <c r="B199" t="s">
        <v>182</v>
      </c>
      <c r="C199" t="s">
        <v>246</v>
      </c>
      <c r="F199" t="s">
        <v>205</v>
      </c>
      <c r="G199" t="s">
        <v>122</v>
      </c>
      <c r="H199" t="s">
        <v>123</v>
      </c>
      <c r="I199" t="s">
        <v>247</v>
      </c>
      <c r="J199" t="s">
        <v>249</v>
      </c>
      <c r="K199" t="s">
        <v>98</v>
      </c>
      <c r="L199">
        <v>0</v>
      </c>
      <c r="M199">
        <v>1</v>
      </c>
      <c r="N199">
        <v>2020</v>
      </c>
      <c r="O199">
        <v>21.783939170417959</v>
      </c>
      <c r="P199">
        <v>1</v>
      </c>
      <c r="Q199">
        <v>0.1028059347181009</v>
      </c>
      <c r="R199">
        <v>0.1028059347181009</v>
      </c>
      <c r="S199">
        <v>0.1111630623145401</v>
      </c>
      <c r="T199">
        <v>0.12177528783382791</v>
      </c>
      <c r="U199">
        <v>0.12668344213649849</v>
      </c>
      <c r="V199">
        <v>0.1315915964391691</v>
      </c>
      <c r="W199">
        <v>0.1366324035608309</v>
      </c>
      <c r="X199">
        <v>253.22031302716309</v>
      </c>
      <c r="Y199">
        <v>253.22031302716309</v>
      </c>
      <c r="Z199">
        <v>255.35419206952679</v>
      </c>
      <c r="AA199">
        <v>256.06548508364801</v>
      </c>
      <c r="AB199">
        <v>257.48807111189058</v>
      </c>
      <c r="AC199">
        <v>259.62195015425431</v>
      </c>
      <c r="AD199">
        <v>261.75582919661798</v>
      </c>
      <c r="AE199">
        <v>4.9631307405250524</v>
      </c>
      <c r="AF199">
        <v>4.9631307405250524</v>
      </c>
      <c r="AG199">
        <v>4.9631307405250524</v>
      </c>
      <c r="AH199">
        <v>4.9631307405250524</v>
      </c>
      <c r="AI199">
        <v>4.9631307405250524</v>
      </c>
      <c r="AJ199">
        <v>4.9631307405250524</v>
      </c>
      <c r="AK199">
        <v>4.9631307405250524</v>
      </c>
    </row>
    <row r="200" spans="1:37" hidden="1" x14ac:dyDescent="0.25">
      <c r="A200" t="s">
        <v>90</v>
      </c>
      <c r="B200" t="s">
        <v>182</v>
      </c>
      <c r="C200" t="s">
        <v>246</v>
      </c>
      <c r="F200" t="s">
        <v>205</v>
      </c>
      <c r="G200" t="s">
        <v>124</v>
      </c>
      <c r="H200" t="s">
        <v>125</v>
      </c>
      <c r="I200" t="s">
        <v>247</v>
      </c>
      <c r="J200" t="s">
        <v>249</v>
      </c>
      <c r="K200" t="s">
        <v>98</v>
      </c>
      <c r="L200">
        <v>0</v>
      </c>
      <c r="M200">
        <v>1</v>
      </c>
      <c r="N200">
        <v>2020</v>
      </c>
      <c r="O200">
        <v>21.783939170417959</v>
      </c>
      <c r="P200">
        <v>0.1</v>
      </c>
      <c r="Q200">
        <v>0.1028059347181009</v>
      </c>
      <c r="R200">
        <v>0.1028059347181009</v>
      </c>
      <c r="S200">
        <v>0.1111630623145401</v>
      </c>
      <c r="T200">
        <v>0.12177528783382791</v>
      </c>
      <c r="U200">
        <v>0.12668344213649849</v>
      </c>
      <c r="V200">
        <v>0.1315915964391691</v>
      </c>
      <c r="W200">
        <v>0.1366324035608309</v>
      </c>
      <c r="X200">
        <v>253.22031302716309</v>
      </c>
      <c r="Y200">
        <v>253.22031302716309</v>
      </c>
      <c r="Z200">
        <v>255.35419206952679</v>
      </c>
      <c r="AA200">
        <v>256.06548508364801</v>
      </c>
      <c r="AB200">
        <v>257.48807111189058</v>
      </c>
      <c r="AC200">
        <v>259.62195015425431</v>
      </c>
      <c r="AD200">
        <v>261.75582919661798</v>
      </c>
      <c r="AE200">
        <v>4.9631307405250524</v>
      </c>
      <c r="AF200">
        <v>4.9631307405250524</v>
      </c>
      <c r="AG200">
        <v>4.9631307405250524</v>
      </c>
      <c r="AH200">
        <v>4.9631307405250524</v>
      </c>
      <c r="AI200">
        <v>4.9631307405250524</v>
      </c>
      <c r="AJ200">
        <v>4.9631307405250524</v>
      </c>
      <c r="AK200">
        <v>4.9631307405250524</v>
      </c>
    </row>
    <row r="201" spans="1:37" hidden="1" x14ac:dyDescent="0.25">
      <c r="A201" t="s">
        <v>90</v>
      </c>
      <c r="B201" t="s">
        <v>182</v>
      </c>
      <c r="C201" t="s">
        <v>246</v>
      </c>
      <c r="F201" t="s">
        <v>207</v>
      </c>
      <c r="G201" t="s">
        <v>119</v>
      </c>
      <c r="H201" t="s">
        <v>120</v>
      </c>
      <c r="I201" t="s">
        <v>247</v>
      </c>
      <c r="J201" t="s">
        <v>250</v>
      </c>
      <c r="K201" t="s">
        <v>98</v>
      </c>
      <c r="L201">
        <v>1</v>
      </c>
      <c r="M201">
        <v>1</v>
      </c>
      <c r="N201">
        <v>2020</v>
      </c>
      <c r="O201">
        <v>21.783939170417959</v>
      </c>
      <c r="P201">
        <v>1</v>
      </c>
      <c r="Q201">
        <v>0.10293858753709199</v>
      </c>
      <c r="R201">
        <v>0.10293858753709199</v>
      </c>
      <c r="S201">
        <v>0.1142140771513353</v>
      </c>
      <c r="T201">
        <v>0.1241630385756677</v>
      </c>
      <c r="U201">
        <v>0.12986710979228491</v>
      </c>
      <c r="V201">
        <v>0.1353058753709199</v>
      </c>
      <c r="W201">
        <v>0.1406119881305638</v>
      </c>
      <c r="X201">
        <v>259.62195015425431</v>
      </c>
      <c r="Y201">
        <v>259.62195015425431</v>
      </c>
      <c r="Z201">
        <v>260.33324316837559</v>
      </c>
      <c r="AA201">
        <v>260.33324316837559</v>
      </c>
      <c r="AB201">
        <v>261.75582919661798</v>
      </c>
      <c r="AC201">
        <v>263.88970823898183</v>
      </c>
      <c r="AD201">
        <v>266.02358728134561</v>
      </c>
      <c r="AE201">
        <v>4.9631307405250524</v>
      </c>
      <c r="AF201">
        <v>4.9631307405250524</v>
      </c>
      <c r="AG201">
        <v>4.9631307405250524</v>
      </c>
      <c r="AH201">
        <v>4.9631307405250524</v>
      </c>
      <c r="AI201">
        <v>4.9631307405250524</v>
      </c>
      <c r="AJ201">
        <v>4.9631307405250524</v>
      </c>
      <c r="AK201">
        <v>4.9631307405250524</v>
      </c>
    </row>
    <row r="202" spans="1:37" hidden="1" x14ac:dyDescent="0.25">
      <c r="A202" t="s">
        <v>90</v>
      </c>
      <c r="B202" t="s">
        <v>182</v>
      </c>
      <c r="C202" t="s">
        <v>246</v>
      </c>
      <c r="F202" t="s">
        <v>207</v>
      </c>
      <c r="G202" t="s">
        <v>122</v>
      </c>
      <c r="H202" t="s">
        <v>123</v>
      </c>
      <c r="I202" t="s">
        <v>247</v>
      </c>
      <c r="J202" t="s">
        <v>250</v>
      </c>
      <c r="K202" t="s">
        <v>98</v>
      </c>
      <c r="L202">
        <v>0</v>
      </c>
      <c r="M202">
        <v>1</v>
      </c>
      <c r="N202">
        <v>2020</v>
      </c>
      <c r="O202">
        <v>21.783939170417959</v>
      </c>
      <c r="P202">
        <v>1</v>
      </c>
      <c r="Q202">
        <v>0.10293858753709199</v>
      </c>
      <c r="R202">
        <v>0.10293858753709199</v>
      </c>
      <c r="S202">
        <v>0.1142140771513353</v>
      </c>
      <c r="T202">
        <v>0.1241630385756677</v>
      </c>
      <c r="U202">
        <v>0.12986710979228491</v>
      </c>
      <c r="V202">
        <v>0.1353058753709199</v>
      </c>
      <c r="W202">
        <v>0.1406119881305638</v>
      </c>
      <c r="X202">
        <v>259.62195015425431</v>
      </c>
      <c r="Y202">
        <v>259.62195015425431</v>
      </c>
      <c r="Z202">
        <v>260.33324316837559</v>
      </c>
      <c r="AA202">
        <v>260.33324316837559</v>
      </c>
      <c r="AB202">
        <v>261.75582919661798</v>
      </c>
      <c r="AC202">
        <v>263.88970823898183</v>
      </c>
      <c r="AD202">
        <v>266.02358728134561</v>
      </c>
      <c r="AE202">
        <v>4.9631307405250524</v>
      </c>
      <c r="AF202">
        <v>4.9631307405250524</v>
      </c>
      <c r="AG202">
        <v>4.9631307405250524</v>
      </c>
      <c r="AH202">
        <v>4.9631307405250524</v>
      </c>
      <c r="AI202">
        <v>4.9631307405250524</v>
      </c>
      <c r="AJ202">
        <v>4.9631307405250524</v>
      </c>
      <c r="AK202">
        <v>4.9631307405250524</v>
      </c>
    </row>
    <row r="203" spans="1:37" hidden="1" x14ac:dyDescent="0.25">
      <c r="A203" t="s">
        <v>90</v>
      </c>
      <c r="B203" t="s">
        <v>182</v>
      </c>
      <c r="C203" t="s">
        <v>246</v>
      </c>
      <c r="F203" t="s">
        <v>207</v>
      </c>
      <c r="G203" t="s">
        <v>124</v>
      </c>
      <c r="H203" t="s">
        <v>125</v>
      </c>
      <c r="I203" t="s">
        <v>247</v>
      </c>
      <c r="J203" t="s">
        <v>250</v>
      </c>
      <c r="K203" t="s">
        <v>98</v>
      </c>
      <c r="L203">
        <v>0</v>
      </c>
      <c r="M203">
        <v>1</v>
      </c>
      <c r="N203">
        <v>2020</v>
      </c>
      <c r="O203">
        <v>21.783939170417959</v>
      </c>
      <c r="P203">
        <v>0.1</v>
      </c>
      <c r="Q203">
        <v>0.10293858753709199</v>
      </c>
      <c r="R203">
        <v>0.10293858753709199</v>
      </c>
      <c r="S203">
        <v>0.1142140771513353</v>
      </c>
      <c r="T203">
        <v>0.1241630385756677</v>
      </c>
      <c r="U203">
        <v>0.12986710979228491</v>
      </c>
      <c r="V203">
        <v>0.1353058753709199</v>
      </c>
      <c r="W203">
        <v>0.1406119881305638</v>
      </c>
      <c r="X203">
        <v>259.62195015425431</v>
      </c>
      <c r="Y203">
        <v>259.62195015425431</v>
      </c>
      <c r="Z203">
        <v>260.33324316837559</v>
      </c>
      <c r="AA203">
        <v>260.33324316837559</v>
      </c>
      <c r="AB203">
        <v>261.75582919661798</v>
      </c>
      <c r="AC203">
        <v>263.88970823898183</v>
      </c>
      <c r="AD203">
        <v>266.02358728134561</v>
      </c>
      <c r="AE203">
        <v>4.9631307405250524</v>
      </c>
      <c r="AF203">
        <v>4.9631307405250524</v>
      </c>
      <c r="AG203">
        <v>4.9631307405250524</v>
      </c>
      <c r="AH203">
        <v>4.9631307405250524</v>
      </c>
      <c r="AI203">
        <v>4.9631307405250524</v>
      </c>
      <c r="AJ203">
        <v>4.9631307405250524</v>
      </c>
      <c r="AK203">
        <v>4.9631307405250524</v>
      </c>
    </row>
    <row r="204" spans="1:37" hidden="1" x14ac:dyDescent="0.25">
      <c r="A204" t="s">
        <v>90</v>
      </c>
      <c r="B204" t="s">
        <v>182</v>
      </c>
      <c r="C204" t="s">
        <v>246</v>
      </c>
      <c r="F204" t="s">
        <v>209</v>
      </c>
      <c r="G204" t="s">
        <v>119</v>
      </c>
      <c r="H204" t="s">
        <v>120</v>
      </c>
      <c r="I204" t="s">
        <v>247</v>
      </c>
      <c r="J204" t="s">
        <v>251</v>
      </c>
      <c r="K204" t="s">
        <v>98</v>
      </c>
      <c r="L204">
        <v>1</v>
      </c>
      <c r="M204">
        <v>1</v>
      </c>
      <c r="N204">
        <v>2020</v>
      </c>
      <c r="O204">
        <v>21.783939170417959</v>
      </c>
      <c r="P204">
        <v>0.34675615212528432</v>
      </c>
      <c r="Q204">
        <v>0.18040783382789249</v>
      </c>
      <c r="R204">
        <v>0.18040783382789249</v>
      </c>
      <c r="S204">
        <v>0.20163228486646839</v>
      </c>
      <c r="T204">
        <v>0.22285673590504509</v>
      </c>
      <c r="U204">
        <v>0.23214243323442141</v>
      </c>
      <c r="V204">
        <v>0.2414281305637975</v>
      </c>
      <c r="W204">
        <v>0.25204035608308611</v>
      </c>
      <c r="X204">
        <v>374.14012542777448</v>
      </c>
      <c r="Y204">
        <v>374.14012542777448</v>
      </c>
      <c r="Z204">
        <v>325.06090745340788</v>
      </c>
      <c r="AA204">
        <v>300.16565195916411</v>
      </c>
      <c r="AB204">
        <v>290.91884277558938</v>
      </c>
      <c r="AC204">
        <v>280.96074057789201</v>
      </c>
      <c r="AD204">
        <v>271.71393139431541</v>
      </c>
      <c r="AE204">
        <v>4.9631307405250613</v>
      </c>
      <c r="AF204">
        <v>4.9631307405250613</v>
      </c>
      <c r="AG204">
        <v>4.9631307405250613</v>
      </c>
      <c r="AH204">
        <v>4.9631307405250613</v>
      </c>
      <c r="AI204">
        <v>4.9631307405250613</v>
      </c>
      <c r="AJ204">
        <v>4.9631307405250613</v>
      </c>
      <c r="AK204">
        <v>4.9631307405250613</v>
      </c>
    </row>
    <row r="205" spans="1:37" hidden="1" x14ac:dyDescent="0.25">
      <c r="A205" t="s">
        <v>90</v>
      </c>
      <c r="B205" t="s">
        <v>182</v>
      </c>
      <c r="C205" t="s">
        <v>246</v>
      </c>
      <c r="F205" t="s">
        <v>209</v>
      </c>
      <c r="G205" t="s">
        <v>122</v>
      </c>
      <c r="H205" t="s">
        <v>123</v>
      </c>
      <c r="I205" t="s">
        <v>247</v>
      </c>
      <c r="J205" t="s">
        <v>251</v>
      </c>
      <c r="K205" t="s">
        <v>98</v>
      </c>
      <c r="L205">
        <v>0</v>
      </c>
      <c r="M205">
        <v>1</v>
      </c>
      <c r="N205">
        <v>2020</v>
      </c>
      <c r="O205">
        <v>21.783939170417959</v>
      </c>
      <c r="P205">
        <v>0.34675615212528432</v>
      </c>
      <c r="Q205">
        <v>0.18040783382789249</v>
      </c>
      <c r="R205">
        <v>0.18040783382789249</v>
      </c>
      <c r="S205">
        <v>0.20163228486646839</v>
      </c>
      <c r="T205">
        <v>0.22285673590504509</v>
      </c>
      <c r="U205">
        <v>0.23214243323442141</v>
      </c>
      <c r="V205">
        <v>0.2414281305637975</v>
      </c>
      <c r="W205">
        <v>0.25204035608308611</v>
      </c>
      <c r="X205">
        <v>374.14012542777448</v>
      </c>
      <c r="Y205">
        <v>374.14012542777448</v>
      </c>
      <c r="Z205">
        <v>325.06090745340788</v>
      </c>
      <c r="AA205">
        <v>300.16565195916411</v>
      </c>
      <c r="AB205">
        <v>290.91884277558938</v>
      </c>
      <c r="AC205">
        <v>280.96074057789201</v>
      </c>
      <c r="AD205">
        <v>271.71393139431541</v>
      </c>
      <c r="AE205">
        <v>4.9631307405250613</v>
      </c>
      <c r="AF205">
        <v>4.9631307405250613</v>
      </c>
      <c r="AG205">
        <v>4.9631307405250613</v>
      </c>
      <c r="AH205">
        <v>4.9631307405250613</v>
      </c>
      <c r="AI205">
        <v>4.9631307405250613</v>
      </c>
      <c r="AJ205">
        <v>4.9631307405250613</v>
      </c>
      <c r="AK205">
        <v>4.9631307405250613</v>
      </c>
    </row>
    <row r="206" spans="1:37" hidden="1" x14ac:dyDescent="0.25">
      <c r="A206" t="s">
        <v>90</v>
      </c>
      <c r="B206" t="s">
        <v>182</v>
      </c>
      <c r="C206" t="s">
        <v>246</v>
      </c>
      <c r="F206" t="s">
        <v>209</v>
      </c>
      <c r="G206" t="s">
        <v>124</v>
      </c>
      <c r="H206" t="s">
        <v>125</v>
      </c>
      <c r="I206" t="s">
        <v>247</v>
      </c>
      <c r="J206" t="s">
        <v>251</v>
      </c>
      <c r="K206" t="s">
        <v>98</v>
      </c>
      <c r="L206">
        <v>0</v>
      </c>
      <c r="M206">
        <v>1</v>
      </c>
      <c r="N206">
        <v>2020</v>
      </c>
      <c r="O206">
        <v>21.783939170417959</v>
      </c>
      <c r="P206">
        <v>0.1</v>
      </c>
      <c r="Q206">
        <v>0.18040783382789249</v>
      </c>
      <c r="R206">
        <v>0.18040783382789249</v>
      </c>
      <c r="S206">
        <v>0.20163228486646839</v>
      </c>
      <c r="T206">
        <v>0.22285673590504509</v>
      </c>
      <c r="U206">
        <v>0.23214243323442141</v>
      </c>
      <c r="V206">
        <v>0.2414281305637975</v>
      </c>
      <c r="W206">
        <v>0.25204035608308611</v>
      </c>
      <c r="X206">
        <v>374.14012542777448</v>
      </c>
      <c r="Y206">
        <v>374.14012542777448</v>
      </c>
      <c r="Z206">
        <v>325.06090745340788</v>
      </c>
      <c r="AA206">
        <v>300.16565195916411</v>
      </c>
      <c r="AB206">
        <v>290.91884277558938</v>
      </c>
      <c r="AC206">
        <v>280.96074057789201</v>
      </c>
      <c r="AD206">
        <v>271.71393139431541</v>
      </c>
      <c r="AE206">
        <v>4.9631307405250613</v>
      </c>
      <c r="AF206">
        <v>4.9631307405250613</v>
      </c>
      <c r="AG206">
        <v>4.9631307405250613</v>
      </c>
      <c r="AH206">
        <v>4.9631307405250613</v>
      </c>
      <c r="AI206">
        <v>4.9631307405250613</v>
      </c>
      <c r="AJ206">
        <v>4.9631307405250613</v>
      </c>
      <c r="AK206">
        <v>4.9631307405250613</v>
      </c>
    </row>
    <row r="207" spans="1:37" hidden="1" x14ac:dyDescent="0.25">
      <c r="A207" t="s">
        <v>90</v>
      </c>
      <c r="B207" t="s">
        <v>182</v>
      </c>
      <c r="C207" t="s">
        <v>246</v>
      </c>
      <c r="F207" t="s">
        <v>209</v>
      </c>
      <c r="G207" t="s">
        <v>211</v>
      </c>
      <c r="H207" t="s">
        <v>212</v>
      </c>
      <c r="I207" t="s">
        <v>247</v>
      </c>
      <c r="J207" t="s">
        <v>251</v>
      </c>
      <c r="K207" t="s">
        <v>98</v>
      </c>
      <c r="L207">
        <v>0</v>
      </c>
      <c r="M207">
        <v>1</v>
      </c>
      <c r="N207">
        <v>2020</v>
      </c>
      <c r="O207">
        <v>21.783939170417959</v>
      </c>
      <c r="P207">
        <v>0.65324384787471568</v>
      </c>
      <c r="Q207">
        <v>0.18040783382789249</v>
      </c>
      <c r="R207">
        <v>0.18040783382789249</v>
      </c>
      <c r="S207">
        <v>0.20163228486646839</v>
      </c>
      <c r="T207">
        <v>0.22285673590504509</v>
      </c>
      <c r="U207">
        <v>0.23214243323442141</v>
      </c>
      <c r="V207">
        <v>0.2414281305637975</v>
      </c>
      <c r="W207">
        <v>0.25204035608308611</v>
      </c>
      <c r="X207">
        <v>374.14012542777448</v>
      </c>
      <c r="Y207">
        <v>374.14012542777448</v>
      </c>
      <c r="Z207">
        <v>325.06090745340788</v>
      </c>
      <c r="AA207">
        <v>300.16565195916411</v>
      </c>
      <c r="AB207">
        <v>290.91884277558938</v>
      </c>
      <c r="AC207">
        <v>280.96074057789201</v>
      </c>
      <c r="AD207">
        <v>271.71393139431541</v>
      </c>
      <c r="AE207">
        <v>4.9631307405250613</v>
      </c>
      <c r="AF207">
        <v>4.9631307405250613</v>
      </c>
      <c r="AG207">
        <v>4.9631307405250613</v>
      </c>
      <c r="AH207">
        <v>4.9631307405250613</v>
      </c>
      <c r="AI207">
        <v>4.9631307405250613</v>
      </c>
      <c r="AJ207">
        <v>4.9631307405250613</v>
      </c>
      <c r="AK207">
        <v>4.9631307405250613</v>
      </c>
    </row>
    <row r="208" spans="1:37" hidden="1" x14ac:dyDescent="0.25">
      <c r="A208" t="s">
        <v>90</v>
      </c>
      <c r="B208" t="s">
        <v>182</v>
      </c>
      <c r="C208" t="s">
        <v>246</v>
      </c>
      <c r="F208" t="s">
        <v>213</v>
      </c>
      <c r="G208" t="s">
        <v>133</v>
      </c>
      <c r="H208" t="s">
        <v>134</v>
      </c>
      <c r="I208" t="s">
        <v>247</v>
      </c>
      <c r="J208" t="s">
        <v>252</v>
      </c>
      <c r="K208" t="s">
        <v>98</v>
      </c>
      <c r="L208">
        <v>1</v>
      </c>
      <c r="M208">
        <v>1</v>
      </c>
      <c r="N208">
        <v>2020</v>
      </c>
      <c r="O208">
        <v>21.783939170417959</v>
      </c>
      <c r="P208">
        <v>1</v>
      </c>
      <c r="Q208">
        <v>0.1150099940652819</v>
      </c>
      <c r="R208">
        <v>0.1150099940652819</v>
      </c>
      <c r="S208">
        <v>0.12933649851632051</v>
      </c>
      <c r="T208">
        <v>0.14326504451038591</v>
      </c>
      <c r="U208">
        <v>0.15122421364985161</v>
      </c>
      <c r="V208">
        <v>0.15918338278931751</v>
      </c>
      <c r="W208">
        <v>0.16714255192878349</v>
      </c>
      <c r="X208">
        <v>409.70477613383707</v>
      </c>
      <c r="Y208">
        <v>409.70477613383707</v>
      </c>
      <c r="Z208">
        <v>364.89331624419862</v>
      </c>
      <c r="AA208">
        <v>340.70935376407601</v>
      </c>
      <c r="AB208">
        <v>331.46254458049981</v>
      </c>
      <c r="AC208">
        <v>322.21573539692372</v>
      </c>
      <c r="AD208">
        <v>313.68021922746908</v>
      </c>
      <c r="AE208">
        <v>4.9957829164495564</v>
      </c>
      <c r="AF208">
        <v>4.9957829164495564</v>
      </c>
      <c r="AG208">
        <v>4.9957829164495564</v>
      </c>
      <c r="AH208">
        <v>4.9957829164495564</v>
      </c>
      <c r="AI208">
        <v>4.9957829164495564</v>
      </c>
      <c r="AJ208">
        <v>4.9957829164495564</v>
      </c>
      <c r="AK208">
        <v>4.9957829164495564</v>
      </c>
    </row>
    <row r="209" spans="1:37" hidden="1" x14ac:dyDescent="0.25">
      <c r="A209" t="s">
        <v>90</v>
      </c>
      <c r="B209" t="s">
        <v>182</v>
      </c>
      <c r="C209" t="s">
        <v>246</v>
      </c>
      <c r="F209" t="s">
        <v>215</v>
      </c>
      <c r="G209" t="s">
        <v>133</v>
      </c>
      <c r="H209" t="s">
        <v>134</v>
      </c>
      <c r="I209" t="s">
        <v>247</v>
      </c>
      <c r="J209" t="s">
        <v>253</v>
      </c>
      <c r="K209" t="s">
        <v>98</v>
      </c>
      <c r="L209">
        <v>1</v>
      </c>
      <c r="M209">
        <v>1</v>
      </c>
      <c r="N209">
        <v>2020</v>
      </c>
      <c r="O209">
        <v>21.783939170417959</v>
      </c>
      <c r="P209">
        <v>0.92029887920298814</v>
      </c>
      <c r="Q209">
        <v>0.1234997744807122</v>
      </c>
      <c r="R209">
        <v>0.1234997744807122</v>
      </c>
      <c r="S209">
        <v>0.13928545994065281</v>
      </c>
      <c r="T209">
        <v>0.15918338278931751</v>
      </c>
      <c r="U209">
        <v>0.16979560830860541</v>
      </c>
      <c r="V209">
        <v>0.17908130563798219</v>
      </c>
      <c r="W209">
        <v>0.18969353115727011</v>
      </c>
      <c r="X209">
        <v>322.92702841104523</v>
      </c>
      <c r="Y209">
        <v>322.92702841104523</v>
      </c>
      <c r="Z209">
        <v>289.49625674734659</v>
      </c>
      <c r="AA209">
        <v>270.29134536607307</v>
      </c>
      <c r="AB209">
        <v>262.46712221073909</v>
      </c>
      <c r="AC209">
        <v>255.35419206952679</v>
      </c>
      <c r="AD209">
        <v>248.24126192831449</v>
      </c>
      <c r="AE209">
        <v>4.9957829164495564</v>
      </c>
      <c r="AF209">
        <v>4.9957829164495564</v>
      </c>
      <c r="AG209">
        <v>4.9957829164495564</v>
      </c>
      <c r="AH209">
        <v>4.9957829164495564</v>
      </c>
      <c r="AI209">
        <v>4.9957829164495564</v>
      </c>
      <c r="AJ209">
        <v>4.9957829164495564</v>
      </c>
      <c r="AK209">
        <v>4.9957829164495564</v>
      </c>
    </row>
    <row r="210" spans="1:37" hidden="1" x14ac:dyDescent="0.25">
      <c r="A210" t="s">
        <v>90</v>
      </c>
      <c r="B210" t="s">
        <v>182</v>
      </c>
      <c r="C210" t="s">
        <v>246</v>
      </c>
      <c r="F210" t="s">
        <v>215</v>
      </c>
      <c r="G210" t="s">
        <v>211</v>
      </c>
      <c r="H210" t="s">
        <v>212</v>
      </c>
      <c r="I210" t="s">
        <v>247</v>
      </c>
      <c r="J210" t="s">
        <v>253</v>
      </c>
      <c r="K210" t="s">
        <v>98</v>
      </c>
      <c r="L210">
        <v>0</v>
      </c>
      <c r="M210">
        <v>1</v>
      </c>
      <c r="N210">
        <v>2020</v>
      </c>
      <c r="O210">
        <v>21.783939170417959</v>
      </c>
      <c r="P210">
        <v>7.9701120797011846E-2</v>
      </c>
      <c r="Q210">
        <v>0.1234997744807122</v>
      </c>
      <c r="R210">
        <v>0.1234997744807122</v>
      </c>
      <c r="S210">
        <v>0.13928545994065281</v>
      </c>
      <c r="T210">
        <v>0.15918338278931751</v>
      </c>
      <c r="U210">
        <v>0.16979560830860541</v>
      </c>
      <c r="V210">
        <v>0.17908130563798219</v>
      </c>
      <c r="W210">
        <v>0.18969353115727011</v>
      </c>
      <c r="X210">
        <v>322.92702841104523</v>
      </c>
      <c r="Y210">
        <v>322.92702841104523</v>
      </c>
      <c r="Z210">
        <v>289.49625674734659</v>
      </c>
      <c r="AA210">
        <v>270.29134536607307</v>
      </c>
      <c r="AB210">
        <v>262.46712221073909</v>
      </c>
      <c r="AC210">
        <v>255.35419206952679</v>
      </c>
      <c r="AD210">
        <v>248.24126192831449</v>
      </c>
      <c r="AE210">
        <v>4.9957829164495564</v>
      </c>
      <c r="AF210">
        <v>4.9957829164495564</v>
      </c>
      <c r="AG210">
        <v>4.9957829164495564</v>
      </c>
      <c r="AH210">
        <v>4.9957829164495564</v>
      </c>
      <c r="AI210">
        <v>4.9957829164495564</v>
      </c>
      <c r="AJ210">
        <v>4.9957829164495564</v>
      </c>
      <c r="AK210">
        <v>4.9957829164495564</v>
      </c>
    </row>
    <row r="211" spans="1:37" hidden="1" x14ac:dyDescent="0.25">
      <c r="A211" t="s">
        <v>90</v>
      </c>
      <c r="B211" t="s">
        <v>182</v>
      </c>
      <c r="C211" t="s">
        <v>246</v>
      </c>
      <c r="F211" t="s">
        <v>217</v>
      </c>
      <c r="G211" t="s">
        <v>211</v>
      </c>
      <c r="H211" t="s">
        <v>212</v>
      </c>
      <c r="I211" t="s">
        <v>247</v>
      </c>
      <c r="J211" t="s">
        <v>254</v>
      </c>
      <c r="K211" t="s">
        <v>98</v>
      </c>
      <c r="L211">
        <v>1</v>
      </c>
      <c r="M211">
        <v>1</v>
      </c>
      <c r="N211">
        <v>2020</v>
      </c>
      <c r="O211">
        <v>21.783939170417959</v>
      </c>
      <c r="P211">
        <v>1</v>
      </c>
      <c r="Q211">
        <v>0.2215302077151334</v>
      </c>
      <c r="R211">
        <v>0.2215302077151334</v>
      </c>
      <c r="S211">
        <v>0.24673424332344221</v>
      </c>
      <c r="T211">
        <v>0.27193827893175071</v>
      </c>
      <c r="U211">
        <v>0.2812239762611275</v>
      </c>
      <c r="V211">
        <v>0.29316272997032661</v>
      </c>
      <c r="W211">
        <v>0.30510148367952522</v>
      </c>
      <c r="X211">
        <v>477.277612475355</v>
      </c>
      <c r="Y211">
        <v>477.277612475355</v>
      </c>
      <c r="Z211">
        <v>392.63374379492677</v>
      </c>
      <c r="AA211">
        <v>348.53357691941</v>
      </c>
      <c r="AB211">
        <v>330.0399585522577</v>
      </c>
      <c r="AC211">
        <v>310.83504717098378</v>
      </c>
      <c r="AD211">
        <v>292.34142880383138</v>
      </c>
      <c r="AE211">
        <v>3.199913240601679</v>
      </c>
      <c r="AF211">
        <v>3.199913240601679</v>
      </c>
      <c r="AG211">
        <v>3.199913240601679</v>
      </c>
      <c r="AH211">
        <v>3.199913240601679</v>
      </c>
      <c r="AI211">
        <v>3.199913240601679</v>
      </c>
      <c r="AJ211">
        <v>3.199913240601679</v>
      </c>
      <c r="AK211">
        <v>3.199913240601679</v>
      </c>
    </row>
    <row r="212" spans="1:37" hidden="1" x14ac:dyDescent="0.25">
      <c r="A212" t="s">
        <v>90</v>
      </c>
      <c r="B212" t="s">
        <v>91</v>
      </c>
      <c r="C212" t="s">
        <v>255</v>
      </c>
      <c r="F212" t="s">
        <v>202</v>
      </c>
      <c r="G212" t="s">
        <v>119</v>
      </c>
      <c r="H212" t="s">
        <v>120</v>
      </c>
      <c r="I212" t="s">
        <v>256</v>
      </c>
      <c r="J212" t="s">
        <v>257</v>
      </c>
      <c r="K212" t="s">
        <v>98</v>
      </c>
      <c r="L212">
        <v>1</v>
      </c>
      <c r="M212">
        <v>1</v>
      </c>
      <c r="N212">
        <v>2020</v>
      </c>
      <c r="O212">
        <v>4.6576618537494188</v>
      </c>
      <c r="P212">
        <v>1</v>
      </c>
      <c r="Q212">
        <v>0.14459157270029679</v>
      </c>
      <c r="R212">
        <v>0.14459157270029679</v>
      </c>
      <c r="S212">
        <v>0.1578568545994066</v>
      </c>
      <c r="T212">
        <v>0.1711221364985164</v>
      </c>
      <c r="U212">
        <v>0.1804078338278931</v>
      </c>
      <c r="V212">
        <v>0.18836700296735909</v>
      </c>
      <c r="W212">
        <v>0.1963261721068249</v>
      </c>
      <c r="X212">
        <v>421.08546435977678</v>
      </c>
      <c r="Y212">
        <v>421.08546435977678</v>
      </c>
      <c r="Z212">
        <v>423.93063641626179</v>
      </c>
      <c r="AA212">
        <v>423.21934340214051</v>
      </c>
      <c r="AB212">
        <v>423.93063641626179</v>
      </c>
      <c r="AC212">
        <v>424.64192943038302</v>
      </c>
      <c r="AD212">
        <v>426.06451545862558</v>
      </c>
      <c r="AE212">
        <v>18.02032399555608</v>
      </c>
      <c r="AF212">
        <v>18.02032399555608</v>
      </c>
      <c r="AG212">
        <v>18.02032399555608</v>
      </c>
      <c r="AH212">
        <v>18.02032399555608</v>
      </c>
      <c r="AI212">
        <v>18.02032399555608</v>
      </c>
      <c r="AJ212">
        <v>18.02032399555608</v>
      </c>
      <c r="AK212">
        <v>18.02032399555608</v>
      </c>
    </row>
    <row r="213" spans="1:37" hidden="1" x14ac:dyDescent="0.25">
      <c r="A213" t="s">
        <v>90</v>
      </c>
      <c r="B213" t="s">
        <v>91</v>
      </c>
      <c r="C213" t="s">
        <v>255</v>
      </c>
      <c r="F213" t="s">
        <v>202</v>
      </c>
      <c r="G213" t="s">
        <v>122</v>
      </c>
      <c r="H213" t="s">
        <v>123</v>
      </c>
      <c r="I213" t="s">
        <v>256</v>
      </c>
      <c r="J213" t="s">
        <v>257</v>
      </c>
      <c r="K213" t="s">
        <v>98</v>
      </c>
      <c r="L213">
        <v>0</v>
      </c>
      <c r="M213">
        <v>1</v>
      </c>
      <c r="N213">
        <v>2020</v>
      </c>
      <c r="O213">
        <v>4.6576618537494188</v>
      </c>
      <c r="P213">
        <v>1</v>
      </c>
      <c r="Q213">
        <v>0.14459157270029679</v>
      </c>
      <c r="R213">
        <v>0.14459157270029679</v>
      </c>
      <c r="S213">
        <v>0.1578568545994066</v>
      </c>
      <c r="T213">
        <v>0.1711221364985164</v>
      </c>
      <c r="U213">
        <v>0.1804078338278931</v>
      </c>
      <c r="V213">
        <v>0.18836700296735909</v>
      </c>
      <c r="W213">
        <v>0.1963261721068249</v>
      </c>
      <c r="X213">
        <v>421.08546435977678</v>
      </c>
      <c r="Y213">
        <v>421.08546435977678</v>
      </c>
      <c r="Z213">
        <v>423.93063641626179</v>
      </c>
      <c r="AA213">
        <v>423.21934340214051</v>
      </c>
      <c r="AB213">
        <v>423.93063641626179</v>
      </c>
      <c r="AC213">
        <v>424.64192943038302</v>
      </c>
      <c r="AD213">
        <v>426.06451545862558</v>
      </c>
      <c r="AE213">
        <v>18.02032399555608</v>
      </c>
      <c r="AF213">
        <v>18.02032399555608</v>
      </c>
      <c r="AG213">
        <v>18.02032399555608</v>
      </c>
      <c r="AH213">
        <v>18.02032399555608</v>
      </c>
      <c r="AI213">
        <v>18.02032399555608</v>
      </c>
      <c r="AJ213">
        <v>18.02032399555608</v>
      </c>
      <c r="AK213">
        <v>18.02032399555608</v>
      </c>
    </row>
    <row r="214" spans="1:37" hidden="1" x14ac:dyDescent="0.25">
      <c r="A214" t="s">
        <v>90</v>
      </c>
      <c r="B214" t="s">
        <v>91</v>
      </c>
      <c r="C214" t="s">
        <v>255</v>
      </c>
      <c r="F214" t="s">
        <v>202</v>
      </c>
      <c r="G214" t="s">
        <v>124</v>
      </c>
      <c r="H214" t="s">
        <v>125</v>
      </c>
      <c r="I214" t="s">
        <v>256</v>
      </c>
      <c r="J214" t="s">
        <v>257</v>
      </c>
      <c r="K214" t="s">
        <v>98</v>
      </c>
      <c r="L214">
        <v>0</v>
      </c>
      <c r="M214">
        <v>1</v>
      </c>
      <c r="N214">
        <v>2020</v>
      </c>
      <c r="O214">
        <v>4.6576618537494188</v>
      </c>
      <c r="P214">
        <v>0.1</v>
      </c>
      <c r="Q214">
        <v>0.14459157270029679</v>
      </c>
      <c r="R214">
        <v>0.14459157270029679</v>
      </c>
      <c r="S214">
        <v>0.1578568545994066</v>
      </c>
      <c r="T214">
        <v>0.1711221364985164</v>
      </c>
      <c r="U214">
        <v>0.1804078338278931</v>
      </c>
      <c r="V214">
        <v>0.18836700296735909</v>
      </c>
      <c r="W214">
        <v>0.1963261721068249</v>
      </c>
      <c r="X214">
        <v>421.08546435977678</v>
      </c>
      <c r="Y214">
        <v>421.08546435977678</v>
      </c>
      <c r="Z214">
        <v>423.93063641626179</v>
      </c>
      <c r="AA214">
        <v>423.21934340214051</v>
      </c>
      <c r="AB214">
        <v>423.93063641626179</v>
      </c>
      <c r="AC214">
        <v>424.64192943038302</v>
      </c>
      <c r="AD214">
        <v>426.06451545862558</v>
      </c>
      <c r="AE214">
        <v>18.02032399555608</v>
      </c>
      <c r="AF214">
        <v>18.02032399555608</v>
      </c>
      <c r="AG214">
        <v>18.02032399555608</v>
      </c>
      <c r="AH214">
        <v>18.02032399555608</v>
      </c>
      <c r="AI214">
        <v>18.02032399555608</v>
      </c>
      <c r="AJ214">
        <v>18.02032399555608</v>
      </c>
      <c r="AK214">
        <v>18.02032399555608</v>
      </c>
    </row>
    <row r="215" spans="1:37" hidden="1" x14ac:dyDescent="0.25">
      <c r="A215" t="s">
        <v>90</v>
      </c>
      <c r="B215" t="s">
        <v>91</v>
      </c>
      <c r="C215" t="s">
        <v>255</v>
      </c>
      <c r="F215" t="s">
        <v>205</v>
      </c>
      <c r="G215" t="s">
        <v>119</v>
      </c>
      <c r="H215" t="s">
        <v>120</v>
      </c>
      <c r="I215" t="s">
        <v>256</v>
      </c>
      <c r="J215" t="s">
        <v>258</v>
      </c>
      <c r="K215" t="s">
        <v>98</v>
      </c>
      <c r="L215">
        <v>1</v>
      </c>
      <c r="M215">
        <v>1</v>
      </c>
      <c r="N215">
        <v>2020</v>
      </c>
      <c r="O215">
        <v>4.6576618537494188</v>
      </c>
      <c r="P215">
        <v>1</v>
      </c>
      <c r="Q215">
        <v>0.14459157270029679</v>
      </c>
      <c r="R215">
        <v>0.14459157270029679</v>
      </c>
      <c r="S215">
        <v>0.1578568545994066</v>
      </c>
      <c r="T215">
        <v>0.17244866468842729</v>
      </c>
      <c r="U215">
        <v>0.1804078338278931</v>
      </c>
      <c r="V215">
        <v>0.18836700296735909</v>
      </c>
      <c r="W215">
        <v>0.19765270029673601</v>
      </c>
      <c r="X215">
        <v>461.62916616468777</v>
      </c>
      <c r="Y215">
        <v>461.62916616468777</v>
      </c>
      <c r="Z215">
        <v>465.18563123529401</v>
      </c>
      <c r="AA215">
        <v>463.7630452070515</v>
      </c>
      <c r="AB215">
        <v>463.7630452070515</v>
      </c>
      <c r="AC215">
        <v>464.47433822117279</v>
      </c>
      <c r="AD215">
        <v>465.18563123529401</v>
      </c>
      <c r="AE215">
        <v>18.02032399555608</v>
      </c>
      <c r="AF215">
        <v>18.02032399555608</v>
      </c>
      <c r="AG215">
        <v>18.02032399555608</v>
      </c>
      <c r="AH215">
        <v>18.02032399555608</v>
      </c>
      <c r="AI215">
        <v>18.02032399555608</v>
      </c>
      <c r="AJ215">
        <v>18.02032399555608</v>
      </c>
      <c r="AK215">
        <v>18.02032399555608</v>
      </c>
    </row>
    <row r="216" spans="1:37" hidden="1" x14ac:dyDescent="0.25">
      <c r="A216" t="s">
        <v>90</v>
      </c>
      <c r="B216" t="s">
        <v>91</v>
      </c>
      <c r="C216" t="s">
        <v>255</v>
      </c>
      <c r="F216" t="s">
        <v>205</v>
      </c>
      <c r="G216" t="s">
        <v>122</v>
      </c>
      <c r="H216" t="s">
        <v>123</v>
      </c>
      <c r="I216" t="s">
        <v>256</v>
      </c>
      <c r="J216" t="s">
        <v>258</v>
      </c>
      <c r="K216" t="s">
        <v>98</v>
      </c>
      <c r="L216">
        <v>0</v>
      </c>
      <c r="M216">
        <v>1</v>
      </c>
      <c r="N216">
        <v>2020</v>
      </c>
      <c r="O216">
        <v>4.6576618537494188</v>
      </c>
      <c r="P216">
        <v>1</v>
      </c>
      <c r="Q216">
        <v>0.14459157270029679</v>
      </c>
      <c r="R216">
        <v>0.14459157270029679</v>
      </c>
      <c r="S216">
        <v>0.1578568545994066</v>
      </c>
      <c r="T216">
        <v>0.17244866468842729</v>
      </c>
      <c r="U216">
        <v>0.1804078338278931</v>
      </c>
      <c r="V216">
        <v>0.18836700296735909</v>
      </c>
      <c r="W216">
        <v>0.19765270029673601</v>
      </c>
      <c r="X216">
        <v>461.62916616468777</v>
      </c>
      <c r="Y216">
        <v>461.62916616468777</v>
      </c>
      <c r="Z216">
        <v>465.18563123529401</v>
      </c>
      <c r="AA216">
        <v>463.7630452070515</v>
      </c>
      <c r="AB216">
        <v>463.7630452070515</v>
      </c>
      <c r="AC216">
        <v>464.47433822117279</v>
      </c>
      <c r="AD216">
        <v>465.18563123529401</v>
      </c>
      <c r="AE216">
        <v>18.02032399555608</v>
      </c>
      <c r="AF216">
        <v>18.02032399555608</v>
      </c>
      <c r="AG216">
        <v>18.02032399555608</v>
      </c>
      <c r="AH216">
        <v>18.02032399555608</v>
      </c>
      <c r="AI216">
        <v>18.02032399555608</v>
      </c>
      <c r="AJ216">
        <v>18.02032399555608</v>
      </c>
      <c r="AK216">
        <v>18.02032399555608</v>
      </c>
    </row>
    <row r="217" spans="1:37" hidden="1" x14ac:dyDescent="0.25">
      <c r="A217" t="s">
        <v>90</v>
      </c>
      <c r="B217" t="s">
        <v>91</v>
      </c>
      <c r="C217" t="s">
        <v>255</v>
      </c>
      <c r="F217" t="s">
        <v>205</v>
      </c>
      <c r="G217" t="s">
        <v>124</v>
      </c>
      <c r="H217" t="s">
        <v>125</v>
      </c>
      <c r="I217" t="s">
        <v>256</v>
      </c>
      <c r="J217" t="s">
        <v>258</v>
      </c>
      <c r="K217" t="s">
        <v>98</v>
      </c>
      <c r="L217">
        <v>0</v>
      </c>
      <c r="M217">
        <v>1</v>
      </c>
      <c r="N217">
        <v>2020</v>
      </c>
      <c r="O217">
        <v>4.6576618537494188</v>
      </c>
      <c r="P217">
        <v>0.1</v>
      </c>
      <c r="Q217">
        <v>0.14459157270029679</v>
      </c>
      <c r="R217">
        <v>0.14459157270029679</v>
      </c>
      <c r="S217">
        <v>0.1578568545994066</v>
      </c>
      <c r="T217">
        <v>0.17244866468842729</v>
      </c>
      <c r="U217">
        <v>0.1804078338278931</v>
      </c>
      <c r="V217">
        <v>0.18836700296735909</v>
      </c>
      <c r="W217">
        <v>0.19765270029673601</v>
      </c>
      <c r="X217">
        <v>461.62916616468777</v>
      </c>
      <c r="Y217">
        <v>461.62916616468777</v>
      </c>
      <c r="Z217">
        <v>465.18563123529401</v>
      </c>
      <c r="AA217">
        <v>463.7630452070515</v>
      </c>
      <c r="AB217">
        <v>463.7630452070515</v>
      </c>
      <c r="AC217">
        <v>464.47433822117279</v>
      </c>
      <c r="AD217">
        <v>465.18563123529401</v>
      </c>
      <c r="AE217">
        <v>18.02032399555608</v>
      </c>
      <c r="AF217">
        <v>18.02032399555608</v>
      </c>
      <c r="AG217">
        <v>18.02032399555608</v>
      </c>
      <c r="AH217">
        <v>18.02032399555608</v>
      </c>
      <c r="AI217">
        <v>18.02032399555608</v>
      </c>
      <c r="AJ217">
        <v>18.02032399555608</v>
      </c>
      <c r="AK217">
        <v>18.02032399555608</v>
      </c>
    </row>
    <row r="218" spans="1:37" hidden="1" x14ac:dyDescent="0.25">
      <c r="A218" t="s">
        <v>90</v>
      </c>
      <c r="B218" t="s">
        <v>91</v>
      </c>
      <c r="C218" t="s">
        <v>255</v>
      </c>
      <c r="F218" t="s">
        <v>207</v>
      </c>
      <c r="G218" t="s">
        <v>119</v>
      </c>
      <c r="H218" t="s">
        <v>120</v>
      </c>
      <c r="I218" t="s">
        <v>256</v>
      </c>
      <c r="J218" t="s">
        <v>259</v>
      </c>
      <c r="K218" t="s">
        <v>98</v>
      </c>
      <c r="L218">
        <v>1</v>
      </c>
      <c r="M218">
        <v>1</v>
      </c>
      <c r="N218">
        <v>2020</v>
      </c>
      <c r="O218">
        <v>4.6576618537494188</v>
      </c>
      <c r="P218">
        <v>1</v>
      </c>
      <c r="Q218">
        <v>0.14591810089020771</v>
      </c>
      <c r="R218">
        <v>0.14591810089020771</v>
      </c>
      <c r="S218">
        <v>0.16183643916913951</v>
      </c>
      <c r="T218">
        <v>0.1764282492581602</v>
      </c>
      <c r="U218">
        <v>0.18704047477744801</v>
      </c>
      <c r="V218">
        <v>0.1963261721068249</v>
      </c>
      <c r="W218">
        <v>0.2056118694362018</v>
      </c>
      <c r="X218">
        <v>465.89692424941529</v>
      </c>
      <c r="Y218">
        <v>465.89692424941529</v>
      </c>
      <c r="Z218">
        <v>464.47433822117279</v>
      </c>
      <c r="AA218">
        <v>460.91787315056649</v>
      </c>
      <c r="AB218">
        <v>459.49528712232399</v>
      </c>
      <c r="AC218">
        <v>458.78399410820282</v>
      </c>
      <c r="AD218">
        <v>458.07270109408159</v>
      </c>
      <c r="AE218">
        <v>18.02032399555608</v>
      </c>
      <c r="AF218">
        <v>18.02032399555608</v>
      </c>
      <c r="AG218">
        <v>18.02032399555608</v>
      </c>
      <c r="AH218">
        <v>18.02032399555608</v>
      </c>
      <c r="AI218">
        <v>18.02032399555608</v>
      </c>
      <c r="AJ218">
        <v>18.02032399555608</v>
      </c>
      <c r="AK218">
        <v>18.02032399555608</v>
      </c>
    </row>
    <row r="219" spans="1:37" hidden="1" x14ac:dyDescent="0.25">
      <c r="A219" t="s">
        <v>90</v>
      </c>
      <c r="B219" t="s">
        <v>91</v>
      </c>
      <c r="C219" t="s">
        <v>255</v>
      </c>
      <c r="F219" t="s">
        <v>207</v>
      </c>
      <c r="G219" t="s">
        <v>122</v>
      </c>
      <c r="H219" t="s">
        <v>123</v>
      </c>
      <c r="I219" t="s">
        <v>256</v>
      </c>
      <c r="J219" t="s">
        <v>259</v>
      </c>
      <c r="K219" t="s">
        <v>98</v>
      </c>
      <c r="L219">
        <v>0</v>
      </c>
      <c r="M219">
        <v>1</v>
      </c>
      <c r="N219">
        <v>2020</v>
      </c>
      <c r="O219">
        <v>4.6576618537494188</v>
      </c>
      <c r="P219">
        <v>1</v>
      </c>
      <c r="Q219">
        <v>0.14591810089020771</v>
      </c>
      <c r="R219">
        <v>0.14591810089020771</v>
      </c>
      <c r="S219">
        <v>0.16183643916913951</v>
      </c>
      <c r="T219">
        <v>0.1764282492581602</v>
      </c>
      <c r="U219">
        <v>0.18704047477744801</v>
      </c>
      <c r="V219">
        <v>0.1963261721068249</v>
      </c>
      <c r="W219">
        <v>0.2056118694362018</v>
      </c>
      <c r="X219">
        <v>465.89692424941529</v>
      </c>
      <c r="Y219">
        <v>465.89692424941529</v>
      </c>
      <c r="Z219">
        <v>464.47433822117279</v>
      </c>
      <c r="AA219">
        <v>460.91787315056649</v>
      </c>
      <c r="AB219">
        <v>459.49528712232399</v>
      </c>
      <c r="AC219">
        <v>458.78399410820282</v>
      </c>
      <c r="AD219">
        <v>458.07270109408159</v>
      </c>
      <c r="AE219">
        <v>18.02032399555608</v>
      </c>
      <c r="AF219">
        <v>18.02032399555608</v>
      </c>
      <c r="AG219">
        <v>18.02032399555608</v>
      </c>
      <c r="AH219">
        <v>18.02032399555608</v>
      </c>
      <c r="AI219">
        <v>18.02032399555608</v>
      </c>
      <c r="AJ219">
        <v>18.02032399555608</v>
      </c>
      <c r="AK219">
        <v>18.02032399555608</v>
      </c>
    </row>
    <row r="220" spans="1:37" hidden="1" x14ac:dyDescent="0.25">
      <c r="A220" t="s">
        <v>90</v>
      </c>
      <c r="B220" t="s">
        <v>91</v>
      </c>
      <c r="C220" t="s">
        <v>255</v>
      </c>
      <c r="F220" t="s">
        <v>207</v>
      </c>
      <c r="G220" t="s">
        <v>124</v>
      </c>
      <c r="H220" t="s">
        <v>125</v>
      </c>
      <c r="I220" t="s">
        <v>256</v>
      </c>
      <c r="J220" t="s">
        <v>259</v>
      </c>
      <c r="K220" t="s">
        <v>98</v>
      </c>
      <c r="L220">
        <v>0</v>
      </c>
      <c r="M220">
        <v>1</v>
      </c>
      <c r="N220">
        <v>2020</v>
      </c>
      <c r="O220">
        <v>4.6576618537494188</v>
      </c>
      <c r="P220">
        <v>0.1</v>
      </c>
      <c r="Q220">
        <v>0.14591810089020771</v>
      </c>
      <c r="R220">
        <v>0.14591810089020771</v>
      </c>
      <c r="S220">
        <v>0.16183643916913951</v>
      </c>
      <c r="T220">
        <v>0.1764282492581602</v>
      </c>
      <c r="U220">
        <v>0.18704047477744801</v>
      </c>
      <c r="V220">
        <v>0.1963261721068249</v>
      </c>
      <c r="W220">
        <v>0.2056118694362018</v>
      </c>
      <c r="X220">
        <v>465.89692424941529</v>
      </c>
      <c r="Y220">
        <v>465.89692424941529</v>
      </c>
      <c r="Z220">
        <v>464.47433822117279</v>
      </c>
      <c r="AA220">
        <v>460.91787315056649</v>
      </c>
      <c r="AB220">
        <v>459.49528712232399</v>
      </c>
      <c r="AC220">
        <v>458.78399410820282</v>
      </c>
      <c r="AD220">
        <v>458.07270109408159</v>
      </c>
      <c r="AE220">
        <v>18.02032399555608</v>
      </c>
      <c r="AF220">
        <v>18.02032399555608</v>
      </c>
      <c r="AG220">
        <v>18.02032399555608</v>
      </c>
      <c r="AH220">
        <v>18.02032399555608</v>
      </c>
      <c r="AI220">
        <v>18.02032399555608</v>
      </c>
      <c r="AJ220">
        <v>18.02032399555608</v>
      </c>
      <c r="AK220">
        <v>18.02032399555608</v>
      </c>
    </row>
    <row r="221" spans="1:37" hidden="1" x14ac:dyDescent="0.25">
      <c r="A221" t="s">
        <v>90</v>
      </c>
      <c r="B221" t="s">
        <v>91</v>
      </c>
      <c r="C221" t="s">
        <v>255</v>
      </c>
      <c r="F221" t="s">
        <v>209</v>
      </c>
      <c r="G221" t="s">
        <v>119</v>
      </c>
      <c r="H221" t="s">
        <v>120</v>
      </c>
      <c r="I221" t="s">
        <v>256</v>
      </c>
      <c r="J221" t="s">
        <v>260</v>
      </c>
      <c r="K221" t="s">
        <v>98</v>
      </c>
      <c r="L221">
        <v>1</v>
      </c>
      <c r="M221">
        <v>1</v>
      </c>
      <c r="N221">
        <v>2020</v>
      </c>
      <c r="O221">
        <v>4.6576618537494188</v>
      </c>
      <c r="P221">
        <v>0.30952380952381148</v>
      </c>
      <c r="Q221">
        <v>0.29979537091988079</v>
      </c>
      <c r="R221">
        <v>0.29979537091988079</v>
      </c>
      <c r="S221">
        <v>0.33030551928783392</v>
      </c>
      <c r="T221">
        <v>0.35816261127596438</v>
      </c>
      <c r="U221">
        <v>0.37408094955489479</v>
      </c>
      <c r="V221">
        <v>0.3899992878338272</v>
      </c>
      <c r="W221">
        <v>0.4059176261127605</v>
      </c>
      <c r="X221">
        <v>515.68743523790056</v>
      </c>
      <c r="Y221">
        <v>515.68743523790056</v>
      </c>
      <c r="Z221">
        <v>484.39054261656662</v>
      </c>
      <c r="AA221">
        <v>464.47433822117449</v>
      </c>
      <c r="AB221">
        <v>456.65011506583812</v>
      </c>
      <c r="AC221">
        <v>449.53718492462809</v>
      </c>
      <c r="AD221">
        <v>441.71296176929172</v>
      </c>
      <c r="AE221">
        <v>18.020323995556041</v>
      </c>
      <c r="AF221">
        <v>18.020323995556041</v>
      </c>
      <c r="AG221">
        <v>18.020323995556041</v>
      </c>
      <c r="AH221">
        <v>18.020323995556041</v>
      </c>
      <c r="AI221">
        <v>18.020323995556041</v>
      </c>
      <c r="AJ221">
        <v>18.020323995556041</v>
      </c>
      <c r="AK221">
        <v>18.020323995556041</v>
      </c>
    </row>
    <row r="222" spans="1:37" hidden="1" x14ac:dyDescent="0.25">
      <c r="A222" t="s">
        <v>90</v>
      </c>
      <c r="B222" t="s">
        <v>91</v>
      </c>
      <c r="C222" t="s">
        <v>255</v>
      </c>
      <c r="F222" t="s">
        <v>209</v>
      </c>
      <c r="G222" t="s">
        <v>122</v>
      </c>
      <c r="H222" t="s">
        <v>123</v>
      </c>
      <c r="I222" t="s">
        <v>256</v>
      </c>
      <c r="J222" t="s">
        <v>260</v>
      </c>
      <c r="K222" t="s">
        <v>98</v>
      </c>
      <c r="L222">
        <v>0</v>
      </c>
      <c r="M222">
        <v>1</v>
      </c>
      <c r="N222">
        <v>2020</v>
      </c>
      <c r="O222">
        <v>4.6576618537494188</v>
      </c>
      <c r="P222">
        <v>0.30952380952381148</v>
      </c>
      <c r="Q222">
        <v>0.29979537091988079</v>
      </c>
      <c r="R222">
        <v>0.29979537091988079</v>
      </c>
      <c r="S222">
        <v>0.33030551928783392</v>
      </c>
      <c r="T222">
        <v>0.35816261127596438</v>
      </c>
      <c r="U222">
        <v>0.37408094955489479</v>
      </c>
      <c r="V222">
        <v>0.3899992878338272</v>
      </c>
      <c r="W222">
        <v>0.4059176261127605</v>
      </c>
      <c r="X222">
        <v>515.68743523790056</v>
      </c>
      <c r="Y222">
        <v>515.68743523790056</v>
      </c>
      <c r="Z222">
        <v>484.39054261656662</v>
      </c>
      <c r="AA222">
        <v>464.47433822117449</v>
      </c>
      <c r="AB222">
        <v>456.65011506583812</v>
      </c>
      <c r="AC222">
        <v>449.53718492462809</v>
      </c>
      <c r="AD222">
        <v>441.71296176929172</v>
      </c>
      <c r="AE222">
        <v>18.020323995556041</v>
      </c>
      <c r="AF222">
        <v>18.020323995556041</v>
      </c>
      <c r="AG222">
        <v>18.020323995556041</v>
      </c>
      <c r="AH222">
        <v>18.020323995556041</v>
      </c>
      <c r="AI222">
        <v>18.020323995556041</v>
      </c>
      <c r="AJ222">
        <v>18.020323995556041</v>
      </c>
      <c r="AK222">
        <v>18.020323995556041</v>
      </c>
    </row>
    <row r="223" spans="1:37" hidden="1" x14ac:dyDescent="0.25">
      <c r="A223" t="s">
        <v>90</v>
      </c>
      <c r="B223" t="s">
        <v>91</v>
      </c>
      <c r="C223" t="s">
        <v>255</v>
      </c>
      <c r="F223" t="s">
        <v>209</v>
      </c>
      <c r="G223" t="s">
        <v>124</v>
      </c>
      <c r="H223" t="s">
        <v>125</v>
      </c>
      <c r="I223" t="s">
        <v>256</v>
      </c>
      <c r="J223" t="s">
        <v>260</v>
      </c>
      <c r="K223" t="s">
        <v>98</v>
      </c>
      <c r="L223">
        <v>0</v>
      </c>
      <c r="M223">
        <v>1</v>
      </c>
      <c r="N223">
        <v>2020</v>
      </c>
      <c r="O223">
        <v>4.6576618537494188</v>
      </c>
      <c r="P223">
        <v>0.1</v>
      </c>
      <c r="Q223">
        <v>0.29979537091988079</v>
      </c>
      <c r="R223">
        <v>0.29979537091988079</v>
      </c>
      <c r="S223">
        <v>0.33030551928783392</v>
      </c>
      <c r="T223">
        <v>0.35816261127596438</v>
      </c>
      <c r="U223">
        <v>0.37408094955489479</v>
      </c>
      <c r="V223">
        <v>0.3899992878338272</v>
      </c>
      <c r="W223">
        <v>0.4059176261127605</v>
      </c>
      <c r="X223">
        <v>515.68743523790056</v>
      </c>
      <c r="Y223">
        <v>515.68743523790056</v>
      </c>
      <c r="Z223">
        <v>484.39054261656662</v>
      </c>
      <c r="AA223">
        <v>464.47433822117449</v>
      </c>
      <c r="AB223">
        <v>456.65011506583812</v>
      </c>
      <c r="AC223">
        <v>449.53718492462809</v>
      </c>
      <c r="AD223">
        <v>441.71296176929172</v>
      </c>
      <c r="AE223">
        <v>18.020323995556041</v>
      </c>
      <c r="AF223">
        <v>18.020323995556041</v>
      </c>
      <c r="AG223">
        <v>18.020323995556041</v>
      </c>
      <c r="AH223">
        <v>18.020323995556041</v>
      </c>
      <c r="AI223">
        <v>18.020323995556041</v>
      </c>
      <c r="AJ223">
        <v>18.020323995556041</v>
      </c>
      <c r="AK223">
        <v>18.020323995556041</v>
      </c>
    </row>
    <row r="224" spans="1:37" hidden="1" x14ac:dyDescent="0.25">
      <c r="A224" t="s">
        <v>90</v>
      </c>
      <c r="B224" t="s">
        <v>91</v>
      </c>
      <c r="C224" t="s">
        <v>255</v>
      </c>
      <c r="F224" t="s">
        <v>209</v>
      </c>
      <c r="G224" t="s">
        <v>211</v>
      </c>
      <c r="H224" t="s">
        <v>212</v>
      </c>
      <c r="I224" t="s">
        <v>256</v>
      </c>
      <c r="J224" t="s">
        <v>260</v>
      </c>
      <c r="K224" t="s">
        <v>98</v>
      </c>
      <c r="L224">
        <v>0</v>
      </c>
      <c r="M224">
        <v>1</v>
      </c>
      <c r="N224">
        <v>2020</v>
      </c>
      <c r="O224">
        <v>4.6576618537494188</v>
      </c>
      <c r="P224">
        <v>0.69047619047618847</v>
      </c>
      <c r="Q224">
        <v>0.29979537091988079</v>
      </c>
      <c r="R224">
        <v>0.29979537091988079</v>
      </c>
      <c r="S224">
        <v>0.33030551928783392</v>
      </c>
      <c r="T224">
        <v>0.35816261127596438</v>
      </c>
      <c r="U224">
        <v>0.37408094955489479</v>
      </c>
      <c r="V224">
        <v>0.3899992878338272</v>
      </c>
      <c r="W224">
        <v>0.4059176261127605</v>
      </c>
      <c r="X224">
        <v>515.68743523790056</v>
      </c>
      <c r="Y224">
        <v>515.68743523790056</v>
      </c>
      <c r="Z224">
        <v>484.39054261656662</v>
      </c>
      <c r="AA224">
        <v>464.47433822117449</v>
      </c>
      <c r="AB224">
        <v>456.65011506583812</v>
      </c>
      <c r="AC224">
        <v>449.53718492462809</v>
      </c>
      <c r="AD224">
        <v>441.71296176929172</v>
      </c>
      <c r="AE224">
        <v>18.020323995556041</v>
      </c>
      <c r="AF224">
        <v>18.020323995556041</v>
      </c>
      <c r="AG224">
        <v>18.020323995556041</v>
      </c>
      <c r="AH224">
        <v>18.020323995556041</v>
      </c>
      <c r="AI224">
        <v>18.020323995556041</v>
      </c>
      <c r="AJ224">
        <v>18.020323995556041</v>
      </c>
      <c r="AK224">
        <v>18.020323995556041</v>
      </c>
    </row>
    <row r="225" spans="1:37" hidden="1" x14ac:dyDescent="0.25">
      <c r="A225" t="s">
        <v>90</v>
      </c>
      <c r="B225" t="s">
        <v>91</v>
      </c>
      <c r="C225" t="s">
        <v>255</v>
      </c>
      <c r="F225" t="s">
        <v>213</v>
      </c>
      <c r="G225" t="s">
        <v>133</v>
      </c>
      <c r="H225" t="s">
        <v>134</v>
      </c>
      <c r="I225" t="s">
        <v>256</v>
      </c>
      <c r="J225" t="s">
        <v>261</v>
      </c>
      <c r="K225" t="s">
        <v>98</v>
      </c>
      <c r="L225">
        <v>1</v>
      </c>
      <c r="M225">
        <v>1</v>
      </c>
      <c r="N225">
        <v>2020</v>
      </c>
      <c r="O225">
        <v>4.6576618537494188</v>
      </c>
      <c r="P225">
        <v>1</v>
      </c>
      <c r="Q225">
        <v>0.20030575667655801</v>
      </c>
      <c r="R225">
        <v>0.20030575667655801</v>
      </c>
      <c r="S225">
        <v>0.22020367952522271</v>
      </c>
      <c r="T225">
        <v>0.24142813056379819</v>
      </c>
      <c r="U225">
        <v>0.25071382789317492</v>
      </c>
      <c r="V225">
        <v>0.26132605341246301</v>
      </c>
      <c r="W225">
        <v>0.27061175074183957</v>
      </c>
      <c r="X225">
        <v>635.89595462439217</v>
      </c>
      <c r="Y225">
        <v>635.89595462439217</v>
      </c>
      <c r="Z225">
        <v>598.19742487596693</v>
      </c>
      <c r="AA225">
        <v>566.18923924051046</v>
      </c>
      <c r="AB225">
        <v>553.38596498632808</v>
      </c>
      <c r="AC225">
        <v>540.58269073214626</v>
      </c>
      <c r="AD225">
        <v>527.77941647796388</v>
      </c>
      <c r="AE225">
        <v>18.020323995556069</v>
      </c>
      <c r="AF225">
        <v>18.020323995556069</v>
      </c>
      <c r="AG225">
        <v>18.020323995556069</v>
      </c>
      <c r="AH225">
        <v>18.020323995556069</v>
      </c>
      <c r="AI225">
        <v>18.020323995556069</v>
      </c>
      <c r="AJ225">
        <v>18.020323995556069</v>
      </c>
      <c r="AK225">
        <v>18.020323995556069</v>
      </c>
    </row>
    <row r="226" spans="1:37" hidden="1" x14ac:dyDescent="0.25">
      <c r="A226" t="s">
        <v>90</v>
      </c>
      <c r="B226" t="s">
        <v>91</v>
      </c>
      <c r="C226" t="s">
        <v>255</v>
      </c>
      <c r="F226" t="s">
        <v>215</v>
      </c>
      <c r="G226" t="s">
        <v>133</v>
      </c>
      <c r="H226" t="s">
        <v>134</v>
      </c>
      <c r="I226" t="s">
        <v>256</v>
      </c>
      <c r="J226" t="s">
        <v>262</v>
      </c>
      <c r="K226" t="s">
        <v>98</v>
      </c>
      <c r="L226">
        <v>1</v>
      </c>
      <c r="M226">
        <v>1</v>
      </c>
      <c r="N226">
        <v>2020</v>
      </c>
      <c r="O226">
        <v>4.6576618537494188</v>
      </c>
      <c r="P226">
        <v>0.89763779527559173</v>
      </c>
      <c r="Q226">
        <v>0.2175506231454005</v>
      </c>
      <c r="R226">
        <v>0.2175506231454005</v>
      </c>
      <c r="S226">
        <v>0.24010160237388731</v>
      </c>
      <c r="T226">
        <v>0.25867299703264102</v>
      </c>
      <c r="U226">
        <v>0.26663216617210689</v>
      </c>
      <c r="V226">
        <v>0.27591786350148362</v>
      </c>
      <c r="W226">
        <v>0.28387703264094938</v>
      </c>
      <c r="X226">
        <v>537.02622566153968</v>
      </c>
      <c r="Y226">
        <v>537.02622566153968</v>
      </c>
      <c r="Z226">
        <v>500.03898892723481</v>
      </c>
      <c r="AA226">
        <v>476.56631946123417</v>
      </c>
      <c r="AB226">
        <v>466.60821726353652</v>
      </c>
      <c r="AC226">
        <v>456.65011506583892</v>
      </c>
      <c r="AD226">
        <v>446.69201286814172</v>
      </c>
      <c r="AE226">
        <v>18.020323995556069</v>
      </c>
      <c r="AF226">
        <v>18.020323995556069</v>
      </c>
      <c r="AG226">
        <v>18.020323995556069</v>
      </c>
      <c r="AH226">
        <v>18.020323995556069</v>
      </c>
      <c r="AI226">
        <v>18.020323995556069</v>
      </c>
      <c r="AJ226">
        <v>18.020323995556069</v>
      </c>
      <c r="AK226">
        <v>18.020323995556069</v>
      </c>
    </row>
    <row r="227" spans="1:37" hidden="1" x14ac:dyDescent="0.25">
      <c r="A227" t="s">
        <v>90</v>
      </c>
      <c r="B227" t="s">
        <v>91</v>
      </c>
      <c r="C227" t="s">
        <v>255</v>
      </c>
      <c r="F227" t="s">
        <v>215</v>
      </c>
      <c r="G227" t="s">
        <v>211</v>
      </c>
      <c r="H227" t="s">
        <v>212</v>
      </c>
      <c r="I227" t="s">
        <v>256</v>
      </c>
      <c r="J227" t="s">
        <v>262</v>
      </c>
      <c r="K227" t="s">
        <v>98</v>
      </c>
      <c r="L227">
        <v>0</v>
      </c>
      <c r="M227">
        <v>1</v>
      </c>
      <c r="N227">
        <v>2020</v>
      </c>
      <c r="O227">
        <v>4.6576618537494188</v>
      </c>
      <c r="P227">
        <v>0.1023622047244083</v>
      </c>
      <c r="Q227">
        <v>0.2175506231454005</v>
      </c>
      <c r="R227">
        <v>0.2175506231454005</v>
      </c>
      <c r="S227">
        <v>0.24010160237388731</v>
      </c>
      <c r="T227">
        <v>0.25867299703264102</v>
      </c>
      <c r="U227">
        <v>0.26663216617210689</v>
      </c>
      <c r="V227">
        <v>0.27591786350148362</v>
      </c>
      <c r="W227">
        <v>0.28387703264094938</v>
      </c>
      <c r="X227">
        <v>537.02622566153968</v>
      </c>
      <c r="Y227">
        <v>537.02622566153968</v>
      </c>
      <c r="Z227">
        <v>500.03898892723481</v>
      </c>
      <c r="AA227">
        <v>476.56631946123417</v>
      </c>
      <c r="AB227">
        <v>466.60821726353652</v>
      </c>
      <c r="AC227">
        <v>456.65011506583892</v>
      </c>
      <c r="AD227">
        <v>446.69201286814172</v>
      </c>
      <c r="AE227">
        <v>18.020323995556069</v>
      </c>
      <c r="AF227">
        <v>18.020323995556069</v>
      </c>
      <c r="AG227">
        <v>18.020323995556069</v>
      </c>
      <c r="AH227">
        <v>18.020323995556069</v>
      </c>
      <c r="AI227">
        <v>18.020323995556069</v>
      </c>
      <c r="AJ227">
        <v>18.020323995556069</v>
      </c>
      <c r="AK227">
        <v>18.020323995556069</v>
      </c>
    </row>
    <row r="228" spans="1:37" hidden="1" x14ac:dyDescent="0.25">
      <c r="A228" t="s">
        <v>90</v>
      </c>
      <c r="B228" t="s">
        <v>91</v>
      </c>
      <c r="C228" t="s">
        <v>255</v>
      </c>
      <c r="F228" t="s">
        <v>217</v>
      </c>
      <c r="G228" t="s">
        <v>211</v>
      </c>
      <c r="H228" t="s">
        <v>212</v>
      </c>
      <c r="I228" t="s">
        <v>256</v>
      </c>
      <c r="J228" t="s">
        <v>263</v>
      </c>
      <c r="K228" t="s">
        <v>98</v>
      </c>
      <c r="L228">
        <v>1</v>
      </c>
      <c r="M228">
        <v>1</v>
      </c>
      <c r="N228">
        <v>2020</v>
      </c>
      <c r="O228">
        <v>4.6576618537494188</v>
      </c>
      <c r="P228">
        <v>1</v>
      </c>
      <c r="Q228">
        <v>0.36877483679525219</v>
      </c>
      <c r="R228">
        <v>0.36877483679525219</v>
      </c>
      <c r="S228">
        <v>0.40061151335311579</v>
      </c>
      <c r="T228">
        <v>0.43510124629080099</v>
      </c>
      <c r="U228">
        <v>0.44969305637982182</v>
      </c>
      <c r="V228">
        <v>0.46428486646884271</v>
      </c>
      <c r="W228">
        <v>0.48152973293768542</v>
      </c>
      <c r="X228">
        <v>508.57450509669002</v>
      </c>
      <c r="Y228">
        <v>508.57450509669002</v>
      </c>
      <c r="Z228">
        <v>462.34045917880923</v>
      </c>
      <c r="AA228">
        <v>437.44520368456551</v>
      </c>
      <c r="AB228">
        <v>426.06451545862558</v>
      </c>
      <c r="AC228">
        <v>414.6838272326857</v>
      </c>
      <c r="AD228">
        <v>403.30313900674582</v>
      </c>
      <c r="AE228">
        <v>11.60631037001917</v>
      </c>
      <c r="AF228">
        <v>11.60631037001917</v>
      </c>
      <c r="AG228">
        <v>11.60631037001917</v>
      </c>
      <c r="AH228">
        <v>11.60631037001917</v>
      </c>
      <c r="AI228">
        <v>11.60631037001917</v>
      </c>
      <c r="AJ228">
        <v>11.60631037001917</v>
      </c>
      <c r="AK228">
        <v>11.60631037001917</v>
      </c>
    </row>
    <row r="229" spans="1:37" hidden="1" x14ac:dyDescent="0.25">
      <c r="A229" t="s">
        <v>90</v>
      </c>
      <c r="B229" t="s">
        <v>91</v>
      </c>
      <c r="C229" t="s">
        <v>264</v>
      </c>
      <c r="F229" t="s">
        <v>202</v>
      </c>
      <c r="G229" t="s">
        <v>119</v>
      </c>
      <c r="H229" t="s">
        <v>120</v>
      </c>
      <c r="I229" t="s">
        <v>265</v>
      </c>
      <c r="J229" t="s">
        <v>266</v>
      </c>
      <c r="K229" t="s">
        <v>98</v>
      </c>
      <c r="L229">
        <v>1</v>
      </c>
      <c r="M229">
        <v>1</v>
      </c>
      <c r="N229">
        <v>2020</v>
      </c>
      <c r="O229">
        <v>14.200511218403861</v>
      </c>
      <c r="P229">
        <v>1</v>
      </c>
      <c r="Q229">
        <v>0.14459157270029679</v>
      </c>
      <c r="R229">
        <v>0.14459157270029679</v>
      </c>
      <c r="S229">
        <v>0.1578568545994066</v>
      </c>
      <c r="T229">
        <v>0.1711221364985164</v>
      </c>
      <c r="U229">
        <v>0.1804078338278931</v>
      </c>
      <c r="V229">
        <v>0.18836700296735909</v>
      </c>
      <c r="W229">
        <v>0.1963261721068249</v>
      </c>
      <c r="X229">
        <v>421.08546435977678</v>
      </c>
      <c r="Y229">
        <v>421.08546435977678</v>
      </c>
      <c r="Z229">
        <v>423.93063641626179</v>
      </c>
      <c r="AA229">
        <v>423.21934340214051</v>
      </c>
      <c r="AB229">
        <v>423.93063641626179</v>
      </c>
      <c r="AC229">
        <v>424.64192943038302</v>
      </c>
      <c r="AD229">
        <v>426.06451545862558</v>
      </c>
      <c r="AE229">
        <v>5.9105319784213286</v>
      </c>
      <c r="AF229">
        <v>5.9105319784213286</v>
      </c>
      <c r="AG229">
        <v>5.9105319784213286</v>
      </c>
      <c r="AH229">
        <v>5.9105319784213286</v>
      </c>
      <c r="AI229">
        <v>5.9105319784213286</v>
      </c>
      <c r="AJ229">
        <v>5.9105319784213286</v>
      </c>
      <c r="AK229">
        <v>5.9105319784213286</v>
      </c>
    </row>
    <row r="230" spans="1:37" hidden="1" x14ac:dyDescent="0.25">
      <c r="A230" t="s">
        <v>90</v>
      </c>
      <c r="B230" t="s">
        <v>91</v>
      </c>
      <c r="C230" t="s">
        <v>264</v>
      </c>
      <c r="F230" t="s">
        <v>202</v>
      </c>
      <c r="G230" t="s">
        <v>122</v>
      </c>
      <c r="H230" t="s">
        <v>123</v>
      </c>
      <c r="I230" t="s">
        <v>265</v>
      </c>
      <c r="J230" t="s">
        <v>266</v>
      </c>
      <c r="K230" t="s">
        <v>98</v>
      </c>
      <c r="L230">
        <v>0</v>
      </c>
      <c r="M230">
        <v>1</v>
      </c>
      <c r="N230">
        <v>2020</v>
      </c>
      <c r="O230">
        <v>14.200511218403861</v>
      </c>
      <c r="P230">
        <v>1</v>
      </c>
      <c r="Q230">
        <v>0.14459157270029679</v>
      </c>
      <c r="R230">
        <v>0.14459157270029679</v>
      </c>
      <c r="S230">
        <v>0.1578568545994066</v>
      </c>
      <c r="T230">
        <v>0.1711221364985164</v>
      </c>
      <c r="U230">
        <v>0.1804078338278931</v>
      </c>
      <c r="V230">
        <v>0.18836700296735909</v>
      </c>
      <c r="W230">
        <v>0.1963261721068249</v>
      </c>
      <c r="X230">
        <v>421.08546435977678</v>
      </c>
      <c r="Y230">
        <v>421.08546435977678</v>
      </c>
      <c r="Z230">
        <v>423.93063641626179</v>
      </c>
      <c r="AA230">
        <v>423.21934340214051</v>
      </c>
      <c r="AB230">
        <v>423.93063641626179</v>
      </c>
      <c r="AC230">
        <v>424.64192943038302</v>
      </c>
      <c r="AD230">
        <v>426.06451545862558</v>
      </c>
      <c r="AE230">
        <v>5.9105319784213286</v>
      </c>
      <c r="AF230">
        <v>5.9105319784213286</v>
      </c>
      <c r="AG230">
        <v>5.9105319784213286</v>
      </c>
      <c r="AH230">
        <v>5.9105319784213286</v>
      </c>
      <c r="AI230">
        <v>5.9105319784213286</v>
      </c>
      <c r="AJ230">
        <v>5.9105319784213286</v>
      </c>
      <c r="AK230">
        <v>5.9105319784213286</v>
      </c>
    </row>
    <row r="231" spans="1:37" hidden="1" x14ac:dyDescent="0.25">
      <c r="A231" t="s">
        <v>90</v>
      </c>
      <c r="B231" t="s">
        <v>91</v>
      </c>
      <c r="C231" t="s">
        <v>264</v>
      </c>
      <c r="F231" t="s">
        <v>202</v>
      </c>
      <c r="G231" t="s">
        <v>124</v>
      </c>
      <c r="H231" t="s">
        <v>125</v>
      </c>
      <c r="I231" t="s">
        <v>265</v>
      </c>
      <c r="J231" t="s">
        <v>266</v>
      </c>
      <c r="K231" t="s">
        <v>98</v>
      </c>
      <c r="L231">
        <v>0</v>
      </c>
      <c r="M231">
        <v>1</v>
      </c>
      <c r="N231">
        <v>2020</v>
      </c>
      <c r="O231">
        <v>14.200511218403861</v>
      </c>
      <c r="P231">
        <v>0.1</v>
      </c>
      <c r="Q231">
        <v>0.14459157270029679</v>
      </c>
      <c r="R231">
        <v>0.14459157270029679</v>
      </c>
      <c r="S231">
        <v>0.1578568545994066</v>
      </c>
      <c r="T231">
        <v>0.1711221364985164</v>
      </c>
      <c r="U231">
        <v>0.1804078338278931</v>
      </c>
      <c r="V231">
        <v>0.18836700296735909</v>
      </c>
      <c r="W231">
        <v>0.1963261721068249</v>
      </c>
      <c r="X231">
        <v>421.08546435977678</v>
      </c>
      <c r="Y231">
        <v>421.08546435977678</v>
      </c>
      <c r="Z231">
        <v>423.93063641626179</v>
      </c>
      <c r="AA231">
        <v>423.21934340214051</v>
      </c>
      <c r="AB231">
        <v>423.93063641626179</v>
      </c>
      <c r="AC231">
        <v>424.64192943038302</v>
      </c>
      <c r="AD231">
        <v>426.06451545862558</v>
      </c>
      <c r="AE231">
        <v>5.9105319784213286</v>
      </c>
      <c r="AF231">
        <v>5.9105319784213286</v>
      </c>
      <c r="AG231">
        <v>5.9105319784213286</v>
      </c>
      <c r="AH231">
        <v>5.9105319784213286</v>
      </c>
      <c r="AI231">
        <v>5.9105319784213286</v>
      </c>
      <c r="AJ231">
        <v>5.9105319784213286</v>
      </c>
      <c r="AK231">
        <v>5.9105319784213286</v>
      </c>
    </row>
    <row r="232" spans="1:37" hidden="1" x14ac:dyDescent="0.25">
      <c r="A232" t="s">
        <v>90</v>
      </c>
      <c r="B232" t="s">
        <v>91</v>
      </c>
      <c r="C232" t="s">
        <v>264</v>
      </c>
      <c r="F232" t="s">
        <v>205</v>
      </c>
      <c r="G232" t="s">
        <v>119</v>
      </c>
      <c r="H232" t="s">
        <v>120</v>
      </c>
      <c r="I232" t="s">
        <v>265</v>
      </c>
      <c r="J232" t="s">
        <v>267</v>
      </c>
      <c r="K232" t="s">
        <v>98</v>
      </c>
      <c r="L232">
        <v>1</v>
      </c>
      <c r="M232">
        <v>1</v>
      </c>
      <c r="N232">
        <v>2020</v>
      </c>
      <c r="O232">
        <v>14.200511218403861</v>
      </c>
      <c r="P232">
        <v>1</v>
      </c>
      <c r="Q232">
        <v>0.14459157270029679</v>
      </c>
      <c r="R232">
        <v>0.14459157270029679</v>
      </c>
      <c r="S232">
        <v>0.1578568545994066</v>
      </c>
      <c r="T232">
        <v>0.17244866468842729</v>
      </c>
      <c r="U232">
        <v>0.1804078338278931</v>
      </c>
      <c r="V232">
        <v>0.18836700296735909</v>
      </c>
      <c r="W232">
        <v>0.19765270029673601</v>
      </c>
      <c r="X232">
        <v>461.62916616468777</v>
      </c>
      <c r="Y232">
        <v>461.62916616468777</v>
      </c>
      <c r="Z232">
        <v>465.18563123529401</v>
      </c>
      <c r="AA232">
        <v>463.7630452070515</v>
      </c>
      <c r="AB232">
        <v>463.7630452070515</v>
      </c>
      <c r="AC232">
        <v>464.47433822117279</v>
      </c>
      <c r="AD232">
        <v>465.18563123529401</v>
      </c>
      <c r="AE232">
        <v>5.9105319784213286</v>
      </c>
      <c r="AF232">
        <v>5.9105319784213286</v>
      </c>
      <c r="AG232">
        <v>5.9105319784213286</v>
      </c>
      <c r="AH232">
        <v>5.9105319784213286</v>
      </c>
      <c r="AI232">
        <v>5.9105319784213286</v>
      </c>
      <c r="AJ232">
        <v>5.9105319784213286</v>
      </c>
      <c r="AK232">
        <v>5.9105319784213286</v>
      </c>
    </row>
    <row r="233" spans="1:37" hidden="1" x14ac:dyDescent="0.25">
      <c r="A233" t="s">
        <v>90</v>
      </c>
      <c r="B233" t="s">
        <v>91</v>
      </c>
      <c r="C233" t="s">
        <v>264</v>
      </c>
      <c r="F233" t="s">
        <v>205</v>
      </c>
      <c r="G233" t="s">
        <v>122</v>
      </c>
      <c r="H233" t="s">
        <v>123</v>
      </c>
      <c r="I233" t="s">
        <v>265</v>
      </c>
      <c r="J233" t="s">
        <v>267</v>
      </c>
      <c r="K233" t="s">
        <v>98</v>
      </c>
      <c r="L233">
        <v>0</v>
      </c>
      <c r="M233">
        <v>1</v>
      </c>
      <c r="N233">
        <v>2020</v>
      </c>
      <c r="O233">
        <v>14.200511218403861</v>
      </c>
      <c r="P233">
        <v>1</v>
      </c>
      <c r="Q233">
        <v>0.14459157270029679</v>
      </c>
      <c r="R233">
        <v>0.14459157270029679</v>
      </c>
      <c r="S233">
        <v>0.1578568545994066</v>
      </c>
      <c r="T233">
        <v>0.17244866468842729</v>
      </c>
      <c r="U233">
        <v>0.1804078338278931</v>
      </c>
      <c r="V233">
        <v>0.18836700296735909</v>
      </c>
      <c r="W233">
        <v>0.19765270029673601</v>
      </c>
      <c r="X233">
        <v>461.62916616468777</v>
      </c>
      <c r="Y233">
        <v>461.62916616468777</v>
      </c>
      <c r="Z233">
        <v>465.18563123529401</v>
      </c>
      <c r="AA233">
        <v>463.7630452070515</v>
      </c>
      <c r="AB233">
        <v>463.7630452070515</v>
      </c>
      <c r="AC233">
        <v>464.47433822117279</v>
      </c>
      <c r="AD233">
        <v>465.18563123529401</v>
      </c>
      <c r="AE233">
        <v>5.9105319784213286</v>
      </c>
      <c r="AF233">
        <v>5.9105319784213286</v>
      </c>
      <c r="AG233">
        <v>5.9105319784213286</v>
      </c>
      <c r="AH233">
        <v>5.9105319784213286</v>
      </c>
      <c r="AI233">
        <v>5.9105319784213286</v>
      </c>
      <c r="AJ233">
        <v>5.9105319784213286</v>
      </c>
      <c r="AK233">
        <v>5.9105319784213286</v>
      </c>
    </row>
    <row r="234" spans="1:37" hidden="1" x14ac:dyDescent="0.25">
      <c r="A234" t="s">
        <v>90</v>
      </c>
      <c r="B234" t="s">
        <v>91</v>
      </c>
      <c r="C234" t="s">
        <v>264</v>
      </c>
      <c r="F234" t="s">
        <v>205</v>
      </c>
      <c r="G234" t="s">
        <v>124</v>
      </c>
      <c r="H234" t="s">
        <v>125</v>
      </c>
      <c r="I234" t="s">
        <v>265</v>
      </c>
      <c r="J234" t="s">
        <v>267</v>
      </c>
      <c r="K234" t="s">
        <v>98</v>
      </c>
      <c r="L234">
        <v>0</v>
      </c>
      <c r="M234">
        <v>1</v>
      </c>
      <c r="N234">
        <v>2020</v>
      </c>
      <c r="O234">
        <v>14.200511218403861</v>
      </c>
      <c r="P234">
        <v>0.1</v>
      </c>
      <c r="Q234">
        <v>0.14459157270029679</v>
      </c>
      <c r="R234">
        <v>0.14459157270029679</v>
      </c>
      <c r="S234">
        <v>0.1578568545994066</v>
      </c>
      <c r="T234">
        <v>0.17244866468842729</v>
      </c>
      <c r="U234">
        <v>0.1804078338278931</v>
      </c>
      <c r="V234">
        <v>0.18836700296735909</v>
      </c>
      <c r="W234">
        <v>0.19765270029673601</v>
      </c>
      <c r="X234">
        <v>461.62916616468777</v>
      </c>
      <c r="Y234">
        <v>461.62916616468777</v>
      </c>
      <c r="Z234">
        <v>465.18563123529401</v>
      </c>
      <c r="AA234">
        <v>463.7630452070515</v>
      </c>
      <c r="AB234">
        <v>463.7630452070515</v>
      </c>
      <c r="AC234">
        <v>464.47433822117279</v>
      </c>
      <c r="AD234">
        <v>465.18563123529401</v>
      </c>
      <c r="AE234">
        <v>5.9105319784213286</v>
      </c>
      <c r="AF234">
        <v>5.9105319784213286</v>
      </c>
      <c r="AG234">
        <v>5.9105319784213286</v>
      </c>
      <c r="AH234">
        <v>5.9105319784213286</v>
      </c>
      <c r="AI234">
        <v>5.9105319784213286</v>
      </c>
      <c r="AJ234">
        <v>5.9105319784213286</v>
      </c>
      <c r="AK234">
        <v>5.9105319784213286</v>
      </c>
    </row>
    <row r="235" spans="1:37" hidden="1" x14ac:dyDescent="0.25">
      <c r="A235" t="s">
        <v>90</v>
      </c>
      <c r="B235" t="s">
        <v>91</v>
      </c>
      <c r="C235" t="s">
        <v>264</v>
      </c>
      <c r="F235" t="s">
        <v>207</v>
      </c>
      <c r="G235" t="s">
        <v>119</v>
      </c>
      <c r="H235" t="s">
        <v>120</v>
      </c>
      <c r="I235" t="s">
        <v>265</v>
      </c>
      <c r="J235" t="s">
        <v>268</v>
      </c>
      <c r="K235" t="s">
        <v>98</v>
      </c>
      <c r="L235">
        <v>1</v>
      </c>
      <c r="M235">
        <v>1</v>
      </c>
      <c r="N235">
        <v>2020</v>
      </c>
      <c r="O235">
        <v>14.200511218403861</v>
      </c>
      <c r="P235">
        <v>1</v>
      </c>
      <c r="Q235">
        <v>0.14591810089020771</v>
      </c>
      <c r="R235">
        <v>0.14591810089020771</v>
      </c>
      <c r="S235">
        <v>0.16183643916913951</v>
      </c>
      <c r="T235">
        <v>0.1764282492581602</v>
      </c>
      <c r="U235">
        <v>0.18704047477744801</v>
      </c>
      <c r="V235">
        <v>0.1963261721068249</v>
      </c>
      <c r="W235">
        <v>0.2056118694362018</v>
      </c>
      <c r="X235">
        <v>465.89692424941529</v>
      </c>
      <c r="Y235">
        <v>465.89692424941529</v>
      </c>
      <c r="Z235">
        <v>464.47433822117279</v>
      </c>
      <c r="AA235">
        <v>460.91787315056649</v>
      </c>
      <c r="AB235">
        <v>459.49528712232399</v>
      </c>
      <c r="AC235">
        <v>458.78399410820282</v>
      </c>
      <c r="AD235">
        <v>458.07270109408159</v>
      </c>
      <c r="AE235">
        <v>5.9105319784213286</v>
      </c>
      <c r="AF235">
        <v>5.9105319784213286</v>
      </c>
      <c r="AG235">
        <v>5.9105319784213286</v>
      </c>
      <c r="AH235">
        <v>5.9105319784213286</v>
      </c>
      <c r="AI235">
        <v>5.9105319784213286</v>
      </c>
      <c r="AJ235">
        <v>5.9105319784213286</v>
      </c>
      <c r="AK235">
        <v>5.9105319784213286</v>
      </c>
    </row>
    <row r="236" spans="1:37" hidden="1" x14ac:dyDescent="0.25">
      <c r="A236" t="s">
        <v>90</v>
      </c>
      <c r="B236" t="s">
        <v>91</v>
      </c>
      <c r="C236" t="s">
        <v>264</v>
      </c>
      <c r="F236" t="s">
        <v>207</v>
      </c>
      <c r="G236" t="s">
        <v>122</v>
      </c>
      <c r="H236" t="s">
        <v>123</v>
      </c>
      <c r="I236" t="s">
        <v>265</v>
      </c>
      <c r="J236" t="s">
        <v>268</v>
      </c>
      <c r="K236" t="s">
        <v>98</v>
      </c>
      <c r="L236">
        <v>0</v>
      </c>
      <c r="M236">
        <v>1</v>
      </c>
      <c r="N236">
        <v>2020</v>
      </c>
      <c r="O236">
        <v>14.200511218403861</v>
      </c>
      <c r="P236">
        <v>1</v>
      </c>
      <c r="Q236">
        <v>0.14591810089020771</v>
      </c>
      <c r="R236">
        <v>0.14591810089020771</v>
      </c>
      <c r="S236">
        <v>0.16183643916913951</v>
      </c>
      <c r="T236">
        <v>0.1764282492581602</v>
      </c>
      <c r="U236">
        <v>0.18704047477744801</v>
      </c>
      <c r="V236">
        <v>0.1963261721068249</v>
      </c>
      <c r="W236">
        <v>0.2056118694362018</v>
      </c>
      <c r="X236">
        <v>465.89692424941529</v>
      </c>
      <c r="Y236">
        <v>465.89692424941529</v>
      </c>
      <c r="Z236">
        <v>464.47433822117279</v>
      </c>
      <c r="AA236">
        <v>460.91787315056649</v>
      </c>
      <c r="AB236">
        <v>459.49528712232399</v>
      </c>
      <c r="AC236">
        <v>458.78399410820282</v>
      </c>
      <c r="AD236">
        <v>458.07270109408159</v>
      </c>
      <c r="AE236">
        <v>5.9105319784213286</v>
      </c>
      <c r="AF236">
        <v>5.9105319784213286</v>
      </c>
      <c r="AG236">
        <v>5.9105319784213286</v>
      </c>
      <c r="AH236">
        <v>5.9105319784213286</v>
      </c>
      <c r="AI236">
        <v>5.9105319784213286</v>
      </c>
      <c r="AJ236">
        <v>5.9105319784213286</v>
      </c>
      <c r="AK236">
        <v>5.9105319784213286</v>
      </c>
    </row>
    <row r="237" spans="1:37" hidden="1" x14ac:dyDescent="0.25">
      <c r="A237" t="s">
        <v>90</v>
      </c>
      <c r="B237" t="s">
        <v>91</v>
      </c>
      <c r="C237" t="s">
        <v>264</v>
      </c>
      <c r="F237" t="s">
        <v>207</v>
      </c>
      <c r="G237" t="s">
        <v>124</v>
      </c>
      <c r="H237" t="s">
        <v>125</v>
      </c>
      <c r="I237" t="s">
        <v>265</v>
      </c>
      <c r="J237" t="s">
        <v>268</v>
      </c>
      <c r="K237" t="s">
        <v>98</v>
      </c>
      <c r="L237">
        <v>0</v>
      </c>
      <c r="M237">
        <v>1</v>
      </c>
      <c r="N237">
        <v>2020</v>
      </c>
      <c r="O237">
        <v>14.200511218403861</v>
      </c>
      <c r="P237">
        <v>0.1</v>
      </c>
      <c r="Q237">
        <v>0.14591810089020771</v>
      </c>
      <c r="R237">
        <v>0.14591810089020771</v>
      </c>
      <c r="S237">
        <v>0.16183643916913951</v>
      </c>
      <c r="T237">
        <v>0.1764282492581602</v>
      </c>
      <c r="U237">
        <v>0.18704047477744801</v>
      </c>
      <c r="V237">
        <v>0.1963261721068249</v>
      </c>
      <c r="W237">
        <v>0.2056118694362018</v>
      </c>
      <c r="X237">
        <v>465.89692424941529</v>
      </c>
      <c r="Y237">
        <v>465.89692424941529</v>
      </c>
      <c r="Z237">
        <v>464.47433822117279</v>
      </c>
      <c r="AA237">
        <v>460.91787315056649</v>
      </c>
      <c r="AB237">
        <v>459.49528712232399</v>
      </c>
      <c r="AC237">
        <v>458.78399410820282</v>
      </c>
      <c r="AD237">
        <v>458.07270109408159</v>
      </c>
      <c r="AE237">
        <v>5.9105319784213286</v>
      </c>
      <c r="AF237">
        <v>5.9105319784213286</v>
      </c>
      <c r="AG237">
        <v>5.9105319784213286</v>
      </c>
      <c r="AH237">
        <v>5.9105319784213286</v>
      </c>
      <c r="AI237">
        <v>5.9105319784213286</v>
      </c>
      <c r="AJ237">
        <v>5.9105319784213286</v>
      </c>
      <c r="AK237">
        <v>5.9105319784213286</v>
      </c>
    </row>
    <row r="238" spans="1:37" hidden="1" x14ac:dyDescent="0.25">
      <c r="A238" t="s">
        <v>90</v>
      </c>
      <c r="B238" t="s">
        <v>91</v>
      </c>
      <c r="C238" t="s">
        <v>264</v>
      </c>
      <c r="F238" t="s">
        <v>209</v>
      </c>
      <c r="G238" t="s">
        <v>119</v>
      </c>
      <c r="H238" t="s">
        <v>120</v>
      </c>
      <c r="I238" t="s">
        <v>265</v>
      </c>
      <c r="J238" t="s">
        <v>269</v>
      </c>
      <c r="K238" t="s">
        <v>98</v>
      </c>
      <c r="L238">
        <v>1</v>
      </c>
      <c r="M238">
        <v>1</v>
      </c>
      <c r="N238">
        <v>2020</v>
      </c>
      <c r="O238">
        <v>14.200511218403861</v>
      </c>
      <c r="P238">
        <v>0.30952380952381148</v>
      </c>
      <c r="Q238">
        <v>0.29979537091988079</v>
      </c>
      <c r="R238">
        <v>0.29979537091988079</v>
      </c>
      <c r="S238">
        <v>0.33030551928783392</v>
      </c>
      <c r="T238">
        <v>0.35816261127596438</v>
      </c>
      <c r="U238">
        <v>0.37408094955489479</v>
      </c>
      <c r="V238">
        <v>0.3899992878338272</v>
      </c>
      <c r="W238">
        <v>0.4059176261127605</v>
      </c>
      <c r="X238">
        <v>515.68743523790056</v>
      </c>
      <c r="Y238">
        <v>515.68743523790056</v>
      </c>
      <c r="Z238">
        <v>484.39054261656662</v>
      </c>
      <c r="AA238">
        <v>464.47433822117449</v>
      </c>
      <c r="AB238">
        <v>456.65011506583812</v>
      </c>
      <c r="AC238">
        <v>449.53718492462809</v>
      </c>
      <c r="AD238">
        <v>441.71296176929172</v>
      </c>
      <c r="AE238">
        <v>5.9105319784213153</v>
      </c>
      <c r="AF238">
        <v>5.9105319784213153</v>
      </c>
      <c r="AG238">
        <v>5.9105319784213153</v>
      </c>
      <c r="AH238">
        <v>5.9105319784213153</v>
      </c>
      <c r="AI238">
        <v>5.9105319784213153</v>
      </c>
      <c r="AJ238">
        <v>5.9105319784213153</v>
      </c>
      <c r="AK238">
        <v>5.9105319784213153</v>
      </c>
    </row>
    <row r="239" spans="1:37" hidden="1" x14ac:dyDescent="0.25">
      <c r="A239" t="s">
        <v>90</v>
      </c>
      <c r="B239" t="s">
        <v>91</v>
      </c>
      <c r="C239" t="s">
        <v>264</v>
      </c>
      <c r="F239" t="s">
        <v>209</v>
      </c>
      <c r="G239" t="s">
        <v>122</v>
      </c>
      <c r="H239" t="s">
        <v>123</v>
      </c>
      <c r="I239" t="s">
        <v>265</v>
      </c>
      <c r="J239" t="s">
        <v>269</v>
      </c>
      <c r="K239" t="s">
        <v>98</v>
      </c>
      <c r="L239">
        <v>0</v>
      </c>
      <c r="M239">
        <v>1</v>
      </c>
      <c r="N239">
        <v>2020</v>
      </c>
      <c r="O239">
        <v>14.200511218403861</v>
      </c>
      <c r="P239">
        <v>0.30952380952381148</v>
      </c>
      <c r="Q239">
        <v>0.29979537091988079</v>
      </c>
      <c r="R239">
        <v>0.29979537091988079</v>
      </c>
      <c r="S239">
        <v>0.33030551928783392</v>
      </c>
      <c r="T239">
        <v>0.35816261127596438</v>
      </c>
      <c r="U239">
        <v>0.37408094955489479</v>
      </c>
      <c r="V239">
        <v>0.3899992878338272</v>
      </c>
      <c r="W239">
        <v>0.4059176261127605</v>
      </c>
      <c r="X239">
        <v>515.68743523790056</v>
      </c>
      <c r="Y239">
        <v>515.68743523790056</v>
      </c>
      <c r="Z239">
        <v>484.39054261656662</v>
      </c>
      <c r="AA239">
        <v>464.47433822117449</v>
      </c>
      <c r="AB239">
        <v>456.65011506583812</v>
      </c>
      <c r="AC239">
        <v>449.53718492462809</v>
      </c>
      <c r="AD239">
        <v>441.71296176929172</v>
      </c>
      <c r="AE239">
        <v>5.9105319784213153</v>
      </c>
      <c r="AF239">
        <v>5.9105319784213153</v>
      </c>
      <c r="AG239">
        <v>5.9105319784213153</v>
      </c>
      <c r="AH239">
        <v>5.9105319784213153</v>
      </c>
      <c r="AI239">
        <v>5.9105319784213153</v>
      </c>
      <c r="AJ239">
        <v>5.9105319784213153</v>
      </c>
      <c r="AK239">
        <v>5.9105319784213153</v>
      </c>
    </row>
    <row r="240" spans="1:37" hidden="1" x14ac:dyDescent="0.25">
      <c r="A240" t="s">
        <v>90</v>
      </c>
      <c r="B240" t="s">
        <v>91</v>
      </c>
      <c r="C240" t="s">
        <v>264</v>
      </c>
      <c r="F240" t="s">
        <v>209</v>
      </c>
      <c r="G240" t="s">
        <v>124</v>
      </c>
      <c r="H240" t="s">
        <v>125</v>
      </c>
      <c r="I240" t="s">
        <v>265</v>
      </c>
      <c r="J240" t="s">
        <v>269</v>
      </c>
      <c r="K240" t="s">
        <v>98</v>
      </c>
      <c r="L240">
        <v>0</v>
      </c>
      <c r="M240">
        <v>1</v>
      </c>
      <c r="N240">
        <v>2020</v>
      </c>
      <c r="O240">
        <v>14.200511218403861</v>
      </c>
      <c r="P240">
        <v>0.1</v>
      </c>
      <c r="Q240">
        <v>0.29979537091988079</v>
      </c>
      <c r="R240">
        <v>0.29979537091988079</v>
      </c>
      <c r="S240">
        <v>0.33030551928783392</v>
      </c>
      <c r="T240">
        <v>0.35816261127596438</v>
      </c>
      <c r="U240">
        <v>0.37408094955489479</v>
      </c>
      <c r="V240">
        <v>0.3899992878338272</v>
      </c>
      <c r="W240">
        <v>0.4059176261127605</v>
      </c>
      <c r="X240">
        <v>515.68743523790056</v>
      </c>
      <c r="Y240">
        <v>515.68743523790056</v>
      </c>
      <c r="Z240">
        <v>484.39054261656662</v>
      </c>
      <c r="AA240">
        <v>464.47433822117449</v>
      </c>
      <c r="AB240">
        <v>456.65011506583812</v>
      </c>
      <c r="AC240">
        <v>449.53718492462809</v>
      </c>
      <c r="AD240">
        <v>441.71296176929172</v>
      </c>
      <c r="AE240">
        <v>5.9105319784213153</v>
      </c>
      <c r="AF240">
        <v>5.9105319784213153</v>
      </c>
      <c r="AG240">
        <v>5.9105319784213153</v>
      </c>
      <c r="AH240">
        <v>5.9105319784213153</v>
      </c>
      <c r="AI240">
        <v>5.9105319784213153</v>
      </c>
      <c r="AJ240">
        <v>5.9105319784213153</v>
      </c>
      <c r="AK240">
        <v>5.9105319784213153</v>
      </c>
    </row>
    <row r="241" spans="1:37" hidden="1" x14ac:dyDescent="0.25">
      <c r="A241" t="s">
        <v>90</v>
      </c>
      <c r="B241" t="s">
        <v>91</v>
      </c>
      <c r="C241" t="s">
        <v>264</v>
      </c>
      <c r="F241" t="s">
        <v>209</v>
      </c>
      <c r="G241" t="s">
        <v>114</v>
      </c>
      <c r="H241" t="s">
        <v>115</v>
      </c>
      <c r="I241" t="s">
        <v>265</v>
      </c>
      <c r="J241" t="s">
        <v>269</v>
      </c>
      <c r="K241" t="s">
        <v>98</v>
      </c>
      <c r="L241">
        <v>0</v>
      </c>
      <c r="M241">
        <v>1</v>
      </c>
      <c r="N241">
        <v>2020</v>
      </c>
      <c r="O241">
        <v>14.200511218403861</v>
      </c>
      <c r="P241">
        <v>0.69047619047618847</v>
      </c>
      <c r="Q241">
        <v>0.29979537091988079</v>
      </c>
      <c r="R241">
        <v>0.29979537091988079</v>
      </c>
      <c r="S241">
        <v>0.33030551928783392</v>
      </c>
      <c r="T241">
        <v>0.35816261127596438</v>
      </c>
      <c r="U241">
        <v>0.37408094955489479</v>
      </c>
      <c r="V241">
        <v>0.3899992878338272</v>
      </c>
      <c r="W241">
        <v>0.4059176261127605</v>
      </c>
      <c r="X241">
        <v>515.68743523790056</v>
      </c>
      <c r="Y241">
        <v>515.68743523790056</v>
      </c>
      <c r="Z241">
        <v>484.39054261656662</v>
      </c>
      <c r="AA241">
        <v>464.47433822117449</v>
      </c>
      <c r="AB241">
        <v>456.65011506583812</v>
      </c>
      <c r="AC241">
        <v>449.53718492462809</v>
      </c>
      <c r="AD241">
        <v>441.71296176929172</v>
      </c>
      <c r="AE241">
        <v>5.9105319784213153</v>
      </c>
      <c r="AF241">
        <v>5.9105319784213153</v>
      </c>
      <c r="AG241">
        <v>5.9105319784213153</v>
      </c>
      <c r="AH241">
        <v>5.9105319784213153</v>
      </c>
      <c r="AI241">
        <v>5.9105319784213153</v>
      </c>
      <c r="AJ241">
        <v>5.9105319784213153</v>
      </c>
      <c r="AK241">
        <v>5.9105319784213153</v>
      </c>
    </row>
    <row r="242" spans="1:37" hidden="1" x14ac:dyDescent="0.25">
      <c r="A242" t="s">
        <v>90</v>
      </c>
      <c r="B242" t="s">
        <v>91</v>
      </c>
      <c r="C242" t="s">
        <v>264</v>
      </c>
      <c r="F242" t="s">
        <v>213</v>
      </c>
      <c r="G242" t="s">
        <v>133</v>
      </c>
      <c r="H242" t="s">
        <v>134</v>
      </c>
      <c r="I242" t="s">
        <v>265</v>
      </c>
      <c r="J242" t="s">
        <v>270</v>
      </c>
      <c r="K242" t="s">
        <v>98</v>
      </c>
      <c r="L242">
        <v>1</v>
      </c>
      <c r="M242">
        <v>1</v>
      </c>
      <c r="N242">
        <v>2020</v>
      </c>
      <c r="O242">
        <v>14.200511218403861</v>
      </c>
      <c r="P242">
        <v>1</v>
      </c>
      <c r="Q242">
        <v>0.20030575667655801</v>
      </c>
      <c r="R242">
        <v>0.20030575667655801</v>
      </c>
      <c r="S242">
        <v>0.22020367952522271</v>
      </c>
      <c r="T242">
        <v>0.24142813056379819</v>
      </c>
      <c r="U242">
        <v>0.25071382789317492</v>
      </c>
      <c r="V242">
        <v>0.26132605341246301</v>
      </c>
      <c r="W242">
        <v>0.27061175074183957</v>
      </c>
      <c r="X242">
        <v>635.89595462439217</v>
      </c>
      <c r="Y242">
        <v>635.89595462439217</v>
      </c>
      <c r="Z242">
        <v>598.19742487596693</v>
      </c>
      <c r="AA242">
        <v>566.18923924051046</v>
      </c>
      <c r="AB242">
        <v>553.38596498632808</v>
      </c>
      <c r="AC242">
        <v>540.58269073214626</v>
      </c>
      <c r="AD242">
        <v>527.77941647796388</v>
      </c>
      <c r="AE242">
        <v>5.9105319784213251</v>
      </c>
      <c r="AF242">
        <v>5.9105319784213251</v>
      </c>
      <c r="AG242">
        <v>5.9105319784213251</v>
      </c>
      <c r="AH242">
        <v>5.9105319784213251</v>
      </c>
      <c r="AI242">
        <v>5.9105319784213251</v>
      </c>
      <c r="AJ242">
        <v>5.9105319784213251</v>
      </c>
      <c r="AK242">
        <v>5.9105319784213251</v>
      </c>
    </row>
    <row r="243" spans="1:37" hidden="1" x14ac:dyDescent="0.25">
      <c r="A243" t="s">
        <v>90</v>
      </c>
      <c r="B243" t="s">
        <v>91</v>
      </c>
      <c r="C243" t="s">
        <v>264</v>
      </c>
      <c r="F243" t="s">
        <v>215</v>
      </c>
      <c r="G243" t="s">
        <v>133</v>
      </c>
      <c r="H243" t="s">
        <v>134</v>
      </c>
      <c r="I243" t="s">
        <v>265</v>
      </c>
      <c r="J243" t="s">
        <v>271</v>
      </c>
      <c r="K243" t="s">
        <v>98</v>
      </c>
      <c r="L243">
        <v>1</v>
      </c>
      <c r="M243">
        <v>1</v>
      </c>
      <c r="N243">
        <v>2020</v>
      </c>
      <c r="O243">
        <v>14.200511218403861</v>
      </c>
      <c r="P243">
        <v>0.89763779527559173</v>
      </c>
      <c r="Q243">
        <v>0.2175506231454005</v>
      </c>
      <c r="R243">
        <v>0.2175506231454005</v>
      </c>
      <c r="S243">
        <v>0.24010160237388731</v>
      </c>
      <c r="T243">
        <v>0.25867299703264102</v>
      </c>
      <c r="U243">
        <v>0.26663216617210689</v>
      </c>
      <c r="V243">
        <v>0.27591786350148362</v>
      </c>
      <c r="W243">
        <v>0.28387703264094938</v>
      </c>
      <c r="X243">
        <v>537.02622566153968</v>
      </c>
      <c r="Y243">
        <v>537.02622566153968</v>
      </c>
      <c r="Z243">
        <v>500.03898892723481</v>
      </c>
      <c r="AA243">
        <v>476.56631946123417</v>
      </c>
      <c r="AB243">
        <v>466.60821726353652</v>
      </c>
      <c r="AC243">
        <v>456.65011506583892</v>
      </c>
      <c r="AD243">
        <v>446.69201286814172</v>
      </c>
      <c r="AE243">
        <v>5.9105319784213251</v>
      </c>
      <c r="AF243">
        <v>5.9105319784213251</v>
      </c>
      <c r="AG243">
        <v>5.9105319784213251</v>
      </c>
      <c r="AH243">
        <v>5.9105319784213251</v>
      </c>
      <c r="AI243">
        <v>5.9105319784213251</v>
      </c>
      <c r="AJ243">
        <v>5.9105319784213251</v>
      </c>
      <c r="AK243">
        <v>5.9105319784213251</v>
      </c>
    </row>
    <row r="244" spans="1:37" hidden="1" x14ac:dyDescent="0.25">
      <c r="A244" t="s">
        <v>90</v>
      </c>
      <c r="B244" t="s">
        <v>91</v>
      </c>
      <c r="C244" t="s">
        <v>264</v>
      </c>
      <c r="F244" t="s">
        <v>215</v>
      </c>
      <c r="G244" t="s">
        <v>114</v>
      </c>
      <c r="H244" t="s">
        <v>115</v>
      </c>
      <c r="I244" t="s">
        <v>265</v>
      </c>
      <c r="J244" t="s">
        <v>271</v>
      </c>
      <c r="K244" t="s">
        <v>98</v>
      </c>
      <c r="L244">
        <v>0</v>
      </c>
      <c r="M244">
        <v>1</v>
      </c>
      <c r="N244">
        <v>2020</v>
      </c>
      <c r="O244">
        <v>14.200511218403861</v>
      </c>
      <c r="P244">
        <v>0.1023622047244083</v>
      </c>
      <c r="Q244">
        <v>0.2175506231454005</v>
      </c>
      <c r="R244">
        <v>0.2175506231454005</v>
      </c>
      <c r="S244">
        <v>0.24010160237388731</v>
      </c>
      <c r="T244">
        <v>0.25867299703264102</v>
      </c>
      <c r="U244">
        <v>0.26663216617210689</v>
      </c>
      <c r="V244">
        <v>0.27591786350148362</v>
      </c>
      <c r="W244">
        <v>0.28387703264094938</v>
      </c>
      <c r="X244">
        <v>537.02622566153968</v>
      </c>
      <c r="Y244">
        <v>537.02622566153968</v>
      </c>
      <c r="Z244">
        <v>500.03898892723481</v>
      </c>
      <c r="AA244">
        <v>476.56631946123417</v>
      </c>
      <c r="AB244">
        <v>466.60821726353652</v>
      </c>
      <c r="AC244">
        <v>456.65011506583892</v>
      </c>
      <c r="AD244">
        <v>446.69201286814172</v>
      </c>
      <c r="AE244">
        <v>5.9105319784213251</v>
      </c>
      <c r="AF244">
        <v>5.9105319784213251</v>
      </c>
      <c r="AG244">
        <v>5.9105319784213251</v>
      </c>
      <c r="AH244">
        <v>5.9105319784213251</v>
      </c>
      <c r="AI244">
        <v>5.9105319784213251</v>
      </c>
      <c r="AJ244">
        <v>5.9105319784213251</v>
      </c>
      <c r="AK244">
        <v>5.9105319784213251</v>
      </c>
    </row>
    <row r="245" spans="1:37" hidden="1" x14ac:dyDescent="0.25">
      <c r="A245" t="s">
        <v>90</v>
      </c>
      <c r="B245" t="s">
        <v>91</v>
      </c>
      <c r="C245" t="s">
        <v>264</v>
      </c>
      <c r="F245" t="s">
        <v>217</v>
      </c>
      <c r="G245" t="s">
        <v>114</v>
      </c>
      <c r="H245" t="s">
        <v>115</v>
      </c>
      <c r="I245" t="s">
        <v>265</v>
      </c>
      <c r="J245" t="s">
        <v>272</v>
      </c>
      <c r="K245" t="s">
        <v>98</v>
      </c>
      <c r="L245">
        <v>1</v>
      </c>
      <c r="M245">
        <v>1</v>
      </c>
      <c r="N245">
        <v>2020</v>
      </c>
      <c r="O245">
        <v>14.200511218403861</v>
      </c>
      <c r="P245">
        <v>1</v>
      </c>
      <c r="Q245">
        <v>0.36877483679525219</v>
      </c>
      <c r="R245">
        <v>0.36877483679525219</v>
      </c>
      <c r="S245">
        <v>0.40061151335311579</v>
      </c>
      <c r="T245">
        <v>0.43510124629080099</v>
      </c>
      <c r="U245">
        <v>0.44969305637982182</v>
      </c>
      <c r="V245">
        <v>0.46428486646884271</v>
      </c>
      <c r="W245">
        <v>0.48152973293768542</v>
      </c>
      <c r="X245">
        <v>508.57450509669002</v>
      </c>
      <c r="Y245">
        <v>508.57450509669002</v>
      </c>
      <c r="Z245">
        <v>462.34045917880923</v>
      </c>
      <c r="AA245">
        <v>437.44520368456551</v>
      </c>
      <c r="AB245">
        <v>426.06451545862558</v>
      </c>
      <c r="AC245">
        <v>414.6838272326857</v>
      </c>
      <c r="AD245">
        <v>403.30313900674582</v>
      </c>
      <c r="AE245">
        <v>3.8067833081357718</v>
      </c>
      <c r="AF245">
        <v>3.8067833081357718</v>
      </c>
      <c r="AG245">
        <v>3.8067833081357718</v>
      </c>
      <c r="AH245">
        <v>3.8067833081357718</v>
      </c>
      <c r="AI245">
        <v>3.8067833081357718</v>
      </c>
      <c r="AJ245">
        <v>3.8067833081357718</v>
      </c>
      <c r="AK245">
        <v>3.8067833081357718</v>
      </c>
    </row>
    <row r="246" spans="1:37" hidden="1" x14ac:dyDescent="0.25">
      <c r="A246" t="s">
        <v>90</v>
      </c>
      <c r="B246" t="s">
        <v>91</v>
      </c>
      <c r="C246" t="s">
        <v>273</v>
      </c>
      <c r="F246" t="s">
        <v>202</v>
      </c>
      <c r="G246" t="s">
        <v>119</v>
      </c>
      <c r="H246" t="s">
        <v>120</v>
      </c>
      <c r="I246" t="s">
        <v>274</v>
      </c>
      <c r="J246" t="s">
        <v>275</v>
      </c>
      <c r="K246" t="s">
        <v>98</v>
      </c>
      <c r="L246">
        <v>1</v>
      </c>
      <c r="M246">
        <v>1</v>
      </c>
      <c r="N246">
        <v>2020</v>
      </c>
      <c r="O246">
        <v>4.6576618537494188</v>
      </c>
      <c r="P246">
        <v>1</v>
      </c>
      <c r="Q246">
        <v>0.14459157270029679</v>
      </c>
      <c r="R246">
        <v>0.14459157270029679</v>
      </c>
      <c r="S246">
        <v>0.1578568545994066</v>
      </c>
      <c r="T246">
        <v>0.1711221364985164</v>
      </c>
      <c r="U246">
        <v>0.1804078338278931</v>
      </c>
      <c r="V246">
        <v>0.18836700296735909</v>
      </c>
      <c r="W246">
        <v>0.1963261721068249</v>
      </c>
      <c r="X246">
        <v>421.08546435977678</v>
      </c>
      <c r="Y246">
        <v>421.08546435977678</v>
      </c>
      <c r="Z246">
        <v>423.93063641626179</v>
      </c>
      <c r="AA246">
        <v>423.21934340214051</v>
      </c>
      <c r="AB246">
        <v>423.93063641626179</v>
      </c>
      <c r="AC246">
        <v>424.64192943038302</v>
      </c>
      <c r="AD246">
        <v>426.06451545862558</v>
      </c>
      <c r="AE246">
        <v>18.02032399555608</v>
      </c>
      <c r="AF246">
        <v>18.02032399555608</v>
      </c>
      <c r="AG246">
        <v>18.02032399555608</v>
      </c>
      <c r="AH246">
        <v>18.02032399555608</v>
      </c>
      <c r="AI246">
        <v>18.02032399555608</v>
      </c>
      <c r="AJ246">
        <v>18.02032399555608</v>
      </c>
      <c r="AK246">
        <v>18.02032399555608</v>
      </c>
    </row>
    <row r="247" spans="1:37" hidden="1" x14ac:dyDescent="0.25">
      <c r="A247" t="s">
        <v>90</v>
      </c>
      <c r="B247" t="s">
        <v>91</v>
      </c>
      <c r="C247" t="s">
        <v>273</v>
      </c>
      <c r="F247" t="s">
        <v>202</v>
      </c>
      <c r="G247" t="s">
        <v>122</v>
      </c>
      <c r="H247" t="s">
        <v>123</v>
      </c>
      <c r="I247" t="s">
        <v>274</v>
      </c>
      <c r="J247" t="s">
        <v>275</v>
      </c>
      <c r="K247" t="s">
        <v>98</v>
      </c>
      <c r="L247">
        <v>0</v>
      </c>
      <c r="M247">
        <v>1</v>
      </c>
      <c r="N247">
        <v>2020</v>
      </c>
      <c r="O247">
        <v>4.6576618537494188</v>
      </c>
      <c r="P247">
        <v>1</v>
      </c>
      <c r="Q247">
        <v>0.14459157270029679</v>
      </c>
      <c r="R247">
        <v>0.14459157270029679</v>
      </c>
      <c r="S247">
        <v>0.1578568545994066</v>
      </c>
      <c r="T247">
        <v>0.1711221364985164</v>
      </c>
      <c r="U247">
        <v>0.1804078338278931</v>
      </c>
      <c r="V247">
        <v>0.18836700296735909</v>
      </c>
      <c r="W247">
        <v>0.1963261721068249</v>
      </c>
      <c r="X247">
        <v>421.08546435977678</v>
      </c>
      <c r="Y247">
        <v>421.08546435977678</v>
      </c>
      <c r="Z247">
        <v>423.93063641626179</v>
      </c>
      <c r="AA247">
        <v>423.21934340214051</v>
      </c>
      <c r="AB247">
        <v>423.93063641626179</v>
      </c>
      <c r="AC247">
        <v>424.64192943038302</v>
      </c>
      <c r="AD247">
        <v>426.06451545862558</v>
      </c>
      <c r="AE247">
        <v>18.02032399555608</v>
      </c>
      <c r="AF247">
        <v>18.02032399555608</v>
      </c>
      <c r="AG247">
        <v>18.02032399555608</v>
      </c>
      <c r="AH247">
        <v>18.02032399555608</v>
      </c>
      <c r="AI247">
        <v>18.02032399555608</v>
      </c>
      <c r="AJ247">
        <v>18.02032399555608</v>
      </c>
      <c r="AK247">
        <v>18.02032399555608</v>
      </c>
    </row>
    <row r="248" spans="1:37" hidden="1" x14ac:dyDescent="0.25">
      <c r="A248" t="s">
        <v>90</v>
      </c>
      <c r="B248" t="s">
        <v>91</v>
      </c>
      <c r="C248" t="s">
        <v>273</v>
      </c>
      <c r="F248" t="s">
        <v>202</v>
      </c>
      <c r="G248" t="s">
        <v>124</v>
      </c>
      <c r="H248" t="s">
        <v>125</v>
      </c>
      <c r="I248" t="s">
        <v>274</v>
      </c>
      <c r="J248" t="s">
        <v>275</v>
      </c>
      <c r="K248" t="s">
        <v>98</v>
      </c>
      <c r="L248">
        <v>0</v>
      </c>
      <c r="M248">
        <v>1</v>
      </c>
      <c r="N248">
        <v>2020</v>
      </c>
      <c r="O248">
        <v>4.6576618537494188</v>
      </c>
      <c r="P248">
        <v>0.1</v>
      </c>
      <c r="Q248">
        <v>0.14459157270029679</v>
      </c>
      <c r="R248">
        <v>0.14459157270029679</v>
      </c>
      <c r="S248">
        <v>0.1578568545994066</v>
      </c>
      <c r="T248">
        <v>0.1711221364985164</v>
      </c>
      <c r="U248">
        <v>0.1804078338278931</v>
      </c>
      <c r="V248">
        <v>0.18836700296735909</v>
      </c>
      <c r="W248">
        <v>0.1963261721068249</v>
      </c>
      <c r="X248">
        <v>421.08546435977678</v>
      </c>
      <c r="Y248">
        <v>421.08546435977678</v>
      </c>
      <c r="Z248">
        <v>423.93063641626179</v>
      </c>
      <c r="AA248">
        <v>423.21934340214051</v>
      </c>
      <c r="AB248">
        <v>423.93063641626179</v>
      </c>
      <c r="AC248">
        <v>424.64192943038302</v>
      </c>
      <c r="AD248">
        <v>426.06451545862558</v>
      </c>
      <c r="AE248">
        <v>18.02032399555608</v>
      </c>
      <c r="AF248">
        <v>18.02032399555608</v>
      </c>
      <c r="AG248">
        <v>18.02032399555608</v>
      </c>
      <c r="AH248">
        <v>18.02032399555608</v>
      </c>
      <c r="AI248">
        <v>18.02032399555608</v>
      </c>
      <c r="AJ248">
        <v>18.02032399555608</v>
      </c>
      <c r="AK248">
        <v>18.02032399555608</v>
      </c>
    </row>
    <row r="249" spans="1:37" hidden="1" x14ac:dyDescent="0.25">
      <c r="A249" t="s">
        <v>90</v>
      </c>
      <c r="B249" t="s">
        <v>91</v>
      </c>
      <c r="C249" t="s">
        <v>273</v>
      </c>
      <c r="F249" t="s">
        <v>205</v>
      </c>
      <c r="G249" t="s">
        <v>119</v>
      </c>
      <c r="H249" t="s">
        <v>120</v>
      </c>
      <c r="I249" t="s">
        <v>274</v>
      </c>
      <c r="J249" t="s">
        <v>276</v>
      </c>
      <c r="K249" t="s">
        <v>98</v>
      </c>
      <c r="L249">
        <v>1</v>
      </c>
      <c r="M249">
        <v>1</v>
      </c>
      <c r="N249">
        <v>2020</v>
      </c>
      <c r="O249">
        <v>4.6576618537494188</v>
      </c>
      <c r="P249">
        <v>1</v>
      </c>
      <c r="Q249">
        <v>0.14459157270029679</v>
      </c>
      <c r="R249">
        <v>0.14459157270029679</v>
      </c>
      <c r="S249">
        <v>0.1578568545994066</v>
      </c>
      <c r="T249">
        <v>0.17244866468842729</v>
      </c>
      <c r="U249">
        <v>0.1804078338278931</v>
      </c>
      <c r="V249">
        <v>0.18836700296735909</v>
      </c>
      <c r="W249">
        <v>0.19765270029673601</v>
      </c>
      <c r="X249">
        <v>461.62916616468777</v>
      </c>
      <c r="Y249">
        <v>461.62916616468777</v>
      </c>
      <c r="Z249">
        <v>465.18563123529401</v>
      </c>
      <c r="AA249">
        <v>463.7630452070515</v>
      </c>
      <c r="AB249">
        <v>463.7630452070515</v>
      </c>
      <c r="AC249">
        <v>464.47433822117279</v>
      </c>
      <c r="AD249">
        <v>465.18563123529401</v>
      </c>
      <c r="AE249">
        <v>18.02032399555608</v>
      </c>
      <c r="AF249">
        <v>18.02032399555608</v>
      </c>
      <c r="AG249">
        <v>18.02032399555608</v>
      </c>
      <c r="AH249">
        <v>18.02032399555608</v>
      </c>
      <c r="AI249">
        <v>18.02032399555608</v>
      </c>
      <c r="AJ249">
        <v>18.02032399555608</v>
      </c>
      <c r="AK249">
        <v>18.02032399555608</v>
      </c>
    </row>
    <row r="250" spans="1:37" hidden="1" x14ac:dyDescent="0.25">
      <c r="A250" t="s">
        <v>90</v>
      </c>
      <c r="B250" t="s">
        <v>91</v>
      </c>
      <c r="C250" t="s">
        <v>273</v>
      </c>
      <c r="F250" t="s">
        <v>205</v>
      </c>
      <c r="G250" t="s">
        <v>122</v>
      </c>
      <c r="H250" t="s">
        <v>123</v>
      </c>
      <c r="I250" t="s">
        <v>274</v>
      </c>
      <c r="J250" t="s">
        <v>276</v>
      </c>
      <c r="K250" t="s">
        <v>98</v>
      </c>
      <c r="L250">
        <v>0</v>
      </c>
      <c r="M250">
        <v>1</v>
      </c>
      <c r="N250">
        <v>2020</v>
      </c>
      <c r="O250">
        <v>4.6576618537494188</v>
      </c>
      <c r="P250">
        <v>1</v>
      </c>
      <c r="Q250">
        <v>0.14459157270029679</v>
      </c>
      <c r="R250">
        <v>0.14459157270029679</v>
      </c>
      <c r="S250">
        <v>0.1578568545994066</v>
      </c>
      <c r="T250">
        <v>0.17244866468842729</v>
      </c>
      <c r="U250">
        <v>0.1804078338278931</v>
      </c>
      <c r="V250">
        <v>0.18836700296735909</v>
      </c>
      <c r="W250">
        <v>0.19765270029673601</v>
      </c>
      <c r="X250">
        <v>461.62916616468777</v>
      </c>
      <c r="Y250">
        <v>461.62916616468777</v>
      </c>
      <c r="Z250">
        <v>465.18563123529401</v>
      </c>
      <c r="AA250">
        <v>463.7630452070515</v>
      </c>
      <c r="AB250">
        <v>463.7630452070515</v>
      </c>
      <c r="AC250">
        <v>464.47433822117279</v>
      </c>
      <c r="AD250">
        <v>465.18563123529401</v>
      </c>
      <c r="AE250">
        <v>18.02032399555608</v>
      </c>
      <c r="AF250">
        <v>18.02032399555608</v>
      </c>
      <c r="AG250">
        <v>18.02032399555608</v>
      </c>
      <c r="AH250">
        <v>18.02032399555608</v>
      </c>
      <c r="AI250">
        <v>18.02032399555608</v>
      </c>
      <c r="AJ250">
        <v>18.02032399555608</v>
      </c>
      <c r="AK250">
        <v>18.02032399555608</v>
      </c>
    </row>
    <row r="251" spans="1:37" hidden="1" x14ac:dyDescent="0.25">
      <c r="A251" t="s">
        <v>90</v>
      </c>
      <c r="B251" t="s">
        <v>91</v>
      </c>
      <c r="C251" t="s">
        <v>273</v>
      </c>
      <c r="F251" t="s">
        <v>205</v>
      </c>
      <c r="G251" t="s">
        <v>124</v>
      </c>
      <c r="H251" t="s">
        <v>125</v>
      </c>
      <c r="I251" t="s">
        <v>274</v>
      </c>
      <c r="J251" t="s">
        <v>276</v>
      </c>
      <c r="K251" t="s">
        <v>98</v>
      </c>
      <c r="L251">
        <v>0</v>
      </c>
      <c r="M251">
        <v>1</v>
      </c>
      <c r="N251">
        <v>2020</v>
      </c>
      <c r="O251">
        <v>4.6576618537494188</v>
      </c>
      <c r="P251">
        <v>0.1</v>
      </c>
      <c r="Q251">
        <v>0.14459157270029679</v>
      </c>
      <c r="R251">
        <v>0.14459157270029679</v>
      </c>
      <c r="S251">
        <v>0.1578568545994066</v>
      </c>
      <c r="T251">
        <v>0.17244866468842729</v>
      </c>
      <c r="U251">
        <v>0.1804078338278931</v>
      </c>
      <c r="V251">
        <v>0.18836700296735909</v>
      </c>
      <c r="W251">
        <v>0.19765270029673601</v>
      </c>
      <c r="X251">
        <v>461.62916616468777</v>
      </c>
      <c r="Y251">
        <v>461.62916616468777</v>
      </c>
      <c r="Z251">
        <v>465.18563123529401</v>
      </c>
      <c r="AA251">
        <v>463.7630452070515</v>
      </c>
      <c r="AB251">
        <v>463.7630452070515</v>
      </c>
      <c r="AC251">
        <v>464.47433822117279</v>
      </c>
      <c r="AD251">
        <v>465.18563123529401</v>
      </c>
      <c r="AE251">
        <v>18.02032399555608</v>
      </c>
      <c r="AF251">
        <v>18.02032399555608</v>
      </c>
      <c r="AG251">
        <v>18.02032399555608</v>
      </c>
      <c r="AH251">
        <v>18.02032399555608</v>
      </c>
      <c r="AI251">
        <v>18.02032399555608</v>
      </c>
      <c r="AJ251">
        <v>18.02032399555608</v>
      </c>
      <c r="AK251">
        <v>18.02032399555608</v>
      </c>
    </row>
    <row r="252" spans="1:37" hidden="1" x14ac:dyDescent="0.25">
      <c r="A252" t="s">
        <v>90</v>
      </c>
      <c r="B252" t="s">
        <v>91</v>
      </c>
      <c r="C252" t="s">
        <v>273</v>
      </c>
      <c r="F252" t="s">
        <v>207</v>
      </c>
      <c r="G252" t="s">
        <v>119</v>
      </c>
      <c r="H252" t="s">
        <v>120</v>
      </c>
      <c r="I252" t="s">
        <v>274</v>
      </c>
      <c r="J252" t="s">
        <v>277</v>
      </c>
      <c r="K252" t="s">
        <v>98</v>
      </c>
      <c r="L252">
        <v>1</v>
      </c>
      <c r="M252">
        <v>1</v>
      </c>
      <c r="N252">
        <v>2020</v>
      </c>
      <c r="O252">
        <v>4.6576618537494188</v>
      </c>
      <c r="P252">
        <v>1</v>
      </c>
      <c r="Q252">
        <v>0.14591810089020771</v>
      </c>
      <c r="R252">
        <v>0.14591810089020771</v>
      </c>
      <c r="S252">
        <v>0.16183643916913951</v>
      </c>
      <c r="T252">
        <v>0.1764282492581602</v>
      </c>
      <c r="U252">
        <v>0.18704047477744801</v>
      </c>
      <c r="V252">
        <v>0.1963261721068249</v>
      </c>
      <c r="W252">
        <v>0.2056118694362018</v>
      </c>
      <c r="X252">
        <v>465.89692424941529</v>
      </c>
      <c r="Y252">
        <v>465.89692424941529</v>
      </c>
      <c r="Z252">
        <v>464.47433822117279</v>
      </c>
      <c r="AA252">
        <v>460.91787315056649</v>
      </c>
      <c r="AB252">
        <v>459.49528712232399</v>
      </c>
      <c r="AC252">
        <v>458.78399410820282</v>
      </c>
      <c r="AD252">
        <v>458.07270109408159</v>
      </c>
      <c r="AE252">
        <v>18.02032399555608</v>
      </c>
      <c r="AF252">
        <v>18.02032399555608</v>
      </c>
      <c r="AG252">
        <v>18.02032399555608</v>
      </c>
      <c r="AH252">
        <v>18.02032399555608</v>
      </c>
      <c r="AI252">
        <v>18.02032399555608</v>
      </c>
      <c r="AJ252">
        <v>18.02032399555608</v>
      </c>
      <c r="AK252">
        <v>18.02032399555608</v>
      </c>
    </row>
    <row r="253" spans="1:37" hidden="1" x14ac:dyDescent="0.25">
      <c r="A253" t="s">
        <v>90</v>
      </c>
      <c r="B253" t="s">
        <v>91</v>
      </c>
      <c r="C253" t="s">
        <v>273</v>
      </c>
      <c r="F253" t="s">
        <v>207</v>
      </c>
      <c r="G253" t="s">
        <v>122</v>
      </c>
      <c r="H253" t="s">
        <v>123</v>
      </c>
      <c r="I253" t="s">
        <v>274</v>
      </c>
      <c r="J253" t="s">
        <v>277</v>
      </c>
      <c r="K253" t="s">
        <v>98</v>
      </c>
      <c r="L253">
        <v>0</v>
      </c>
      <c r="M253">
        <v>1</v>
      </c>
      <c r="N253">
        <v>2020</v>
      </c>
      <c r="O253">
        <v>4.6576618537494188</v>
      </c>
      <c r="P253">
        <v>1</v>
      </c>
      <c r="Q253">
        <v>0.14591810089020771</v>
      </c>
      <c r="R253">
        <v>0.14591810089020771</v>
      </c>
      <c r="S253">
        <v>0.16183643916913951</v>
      </c>
      <c r="T253">
        <v>0.1764282492581602</v>
      </c>
      <c r="U253">
        <v>0.18704047477744801</v>
      </c>
      <c r="V253">
        <v>0.1963261721068249</v>
      </c>
      <c r="W253">
        <v>0.2056118694362018</v>
      </c>
      <c r="X253">
        <v>465.89692424941529</v>
      </c>
      <c r="Y253">
        <v>465.89692424941529</v>
      </c>
      <c r="Z253">
        <v>464.47433822117279</v>
      </c>
      <c r="AA253">
        <v>460.91787315056649</v>
      </c>
      <c r="AB253">
        <v>459.49528712232399</v>
      </c>
      <c r="AC253">
        <v>458.78399410820282</v>
      </c>
      <c r="AD253">
        <v>458.07270109408159</v>
      </c>
      <c r="AE253">
        <v>18.02032399555608</v>
      </c>
      <c r="AF253">
        <v>18.02032399555608</v>
      </c>
      <c r="AG253">
        <v>18.02032399555608</v>
      </c>
      <c r="AH253">
        <v>18.02032399555608</v>
      </c>
      <c r="AI253">
        <v>18.02032399555608</v>
      </c>
      <c r="AJ253">
        <v>18.02032399555608</v>
      </c>
      <c r="AK253">
        <v>18.02032399555608</v>
      </c>
    </row>
    <row r="254" spans="1:37" hidden="1" x14ac:dyDescent="0.25">
      <c r="A254" t="s">
        <v>90</v>
      </c>
      <c r="B254" t="s">
        <v>91</v>
      </c>
      <c r="C254" t="s">
        <v>273</v>
      </c>
      <c r="F254" t="s">
        <v>207</v>
      </c>
      <c r="G254" t="s">
        <v>124</v>
      </c>
      <c r="H254" t="s">
        <v>125</v>
      </c>
      <c r="I254" t="s">
        <v>274</v>
      </c>
      <c r="J254" t="s">
        <v>277</v>
      </c>
      <c r="K254" t="s">
        <v>98</v>
      </c>
      <c r="L254">
        <v>0</v>
      </c>
      <c r="M254">
        <v>1</v>
      </c>
      <c r="N254">
        <v>2020</v>
      </c>
      <c r="O254">
        <v>4.6576618537494188</v>
      </c>
      <c r="P254">
        <v>0.1</v>
      </c>
      <c r="Q254">
        <v>0.14591810089020771</v>
      </c>
      <c r="R254">
        <v>0.14591810089020771</v>
      </c>
      <c r="S254">
        <v>0.16183643916913951</v>
      </c>
      <c r="T254">
        <v>0.1764282492581602</v>
      </c>
      <c r="U254">
        <v>0.18704047477744801</v>
      </c>
      <c r="V254">
        <v>0.1963261721068249</v>
      </c>
      <c r="W254">
        <v>0.2056118694362018</v>
      </c>
      <c r="X254">
        <v>465.89692424941529</v>
      </c>
      <c r="Y254">
        <v>465.89692424941529</v>
      </c>
      <c r="Z254">
        <v>464.47433822117279</v>
      </c>
      <c r="AA254">
        <v>460.91787315056649</v>
      </c>
      <c r="AB254">
        <v>459.49528712232399</v>
      </c>
      <c r="AC254">
        <v>458.78399410820282</v>
      </c>
      <c r="AD254">
        <v>458.07270109408159</v>
      </c>
      <c r="AE254">
        <v>18.02032399555608</v>
      </c>
      <c r="AF254">
        <v>18.02032399555608</v>
      </c>
      <c r="AG254">
        <v>18.02032399555608</v>
      </c>
      <c r="AH254">
        <v>18.02032399555608</v>
      </c>
      <c r="AI254">
        <v>18.02032399555608</v>
      </c>
      <c r="AJ254">
        <v>18.02032399555608</v>
      </c>
      <c r="AK254">
        <v>18.02032399555608</v>
      </c>
    </row>
    <row r="255" spans="1:37" hidden="1" x14ac:dyDescent="0.25">
      <c r="A255" t="s">
        <v>90</v>
      </c>
      <c r="B255" t="s">
        <v>91</v>
      </c>
      <c r="C255" t="s">
        <v>273</v>
      </c>
      <c r="F255" t="s">
        <v>209</v>
      </c>
      <c r="G255" t="s">
        <v>119</v>
      </c>
      <c r="H255" t="s">
        <v>120</v>
      </c>
      <c r="I255" t="s">
        <v>274</v>
      </c>
      <c r="J255" t="s">
        <v>278</v>
      </c>
      <c r="K255" t="s">
        <v>98</v>
      </c>
      <c r="L255">
        <v>1</v>
      </c>
      <c r="M255">
        <v>1</v>
      </c>
      <c r="N255">
        <v>2020</v>
      </c>
      <c r="O255">
        <v>4.6576618537494188</v>
      </c>
      <c r="P255">
        <v>0.30952380952381148</v>
      </c>
      <c r="Q255">
        <v>0.29979537091988079</v>
      </c>
      <c r="R255">
        <v>0.29979537091988079</v>
      </c>
      <c r="S255">
        <v>0.33030551928783392</v>
      </c>
      <c r="T255">
        <v>0.35816261127596438</v>
      </c>
      <c r="U255">
        <v>0.37408094955489479</v>
      </c>
      <c r="V255">
        <v>0.3899992878338272</v>
      </c>
      <c r="W255">
        <v>0.4059176261127605</v>
      </c>
      <c r="X255">
        <v>515.68743523790056</v>
      </c>
      <c r="Y255">
        <v>515.68743523790056</v>
      </c>
      <c r="Z255">
        <v>484.39054261656662</v>
      </c>
      <c r="AA255">
        <v>464.47433822117449</v>
      </c>
      <c r="AB255">
        <v>456.65011506583812</v>
      </c>
      <c r="AC255">
        <v>449.53718492462809</v>
      </c>
      <c r="AD255">
        <v>441.71296176929172</v>
      </c>
      <c r="AE255">
        <v>18.020323995556041</v>
      </c>
      <c r="AF255">
        <v>18.020323995556041</v>
      </c>
      <c r="AG255">
        <v>18.020323995556041</v>
      </c>
      <c r="AH255">
        <v>18.020323995556041</v>
      </c>
      <c r="AI255">
        <v>18.020323995556041</v>
      </c>
      <c r="AJ255">
        <v>18.020323995556041</v>
      </c>
      <c r="AK255">
        <v>18.020323995556041</v>
      </c>
    </row>
    <row r="256" spans="1:37" hidden="1" x14ac:dyDescent="0.25">
      <c r="A256" t="s">
        <v>90</v>
      </c>
      <c r="B256" t="s">
        <v>91</v>
      </c>
      <c r="C256" t="s">
        <v>273</v>
      </c>
      <c r="F256" t="s">
        <v>209</v>
      </c>
      <c r="G256" t="s">
        <v>122</v>
      </c>
      <c r="H256" t="s">
        <v>123</v>
      </c>
      <c r="I256" t="s">
        <v>274</v>
      </c>
      <c r="J256" t="s">
        <v>278</v>
      </c>
      <c r="K256" t="s">
        <v>98</v>
      </c>
      <c r="L256">
        <v>0</v>
      </c>
      <c r="M256">
        <v>1</v>
      </c>
      <c r="N256">
        <v>2020</v>
      </c>
      <c r="O256">
        <v>4.6576618537494188</v>
      </c>
      <c r="P256">
        <v>0.30952380952381148</v>
      </c>
      <c r="Q256">
        <v>0.29979537091988079</v>
      </c>
      <c r="R256">
        <v>0.29979537091988079</v>
      </c>
      <c r="S256">
        <v>0.33030551928783392</v>
      </c>
      <c r="T256">
        <v>0.35816261127596438</v>
      </c>
      <c r="U256">
        <v>0.37408094955489479</v>
      </c>
      <c r="V256">
        <v>0.3899992878338272</v>
      </c>
      <c r="W256">
        <v>0.4059176261127605</v>
      </c>
      <c r="X256">
        <v>515.68743523790056</v>
      </c>
      <c r="Y256">
        <v>515.68743523790056</v>
      </c>
      <c r="Z256">
        <v>484.39054261656662</v>
      </c>
      <c r="AA256">
        <v>464.47433822117449</v>
      </c>
      <c r="AB256">
        <v>456.65011506583812</v>
      </c>
      <c r="AC256">
        <v>449.53718492462809</v>
      </c>
      <c r="AD256">
        <v>441.71296176929172</v>
      </c>
      <c r="AE256">
        <v>18.020323995556041</v>
      </c>
      <c r="AF256">
        <v>18.020323995556041</v>
      </c>
      <c r="AG256">
        <v>18.020323995556041</v>
      </c>
      <c r="AH256">
        <v>18.020323995556041</v>
      </c>
      <c r="AI256">
        <v>18.020323995556041</v>
      </c>
      <c r="AJ256">
        <v>18.020323995556041</v>
      </c>
      <c r="AK256">
        <v>18.020323995556041</v>
      </c>
    </row>
    <row r="257" spans="1:37" hidden="1" x14ac:dyDescent="0.25">
      <c r="A257" t="s">
        <v>90</v>
      </c>
      <c r="B257" t="s">
        <v>91</v>
      </c>
      <c r="C257" t="s">
        <v>273</v>
      </c>
      <c r="F257" t="s">
        <v>209</v>
      </c>
      <c r="G257" t="s">
        <v>124</v>
      </c>
      <c r="H257" t="s">
        <v>125</v>
      </c>
      <c r="I257" t="s">
        <v>274</v>
      </c>
      <c r="J257" t="s">
        <v>278</v>
      </c>
      <c r="K257" t="s">
        <v>98</v>
      </c>
      <c r="L257">
        <v>0</v>
      </c>
      <c r="M257">
        <v>1</v>
      </c>
      <c r="N257">
        <v>2020</v>
      </c>
      <c r="O257">
        <v>4.6576618537494188</v>
      </c>
      <c r="P257">
        <v>0.1</v>
      </c>
      <c r="Q257">
        <v>0.29979537091988079</v>
      </c>
      <c r="R257">
        <v>0.29979537091988079</v>
      </c>
      <c r="S257">
        <v>0.33030551928783392</v>
      </c>
      <c r="T257">
        <v>0.35816261127596438</v>
      </c>
      <c r="U257">
        <v>0.37408094955489479</v>
      </c>
      <c r="V257">
        <v>0.3899992878338272</v>
      </c>
      <c r="W257">
        <v>0.4059176261127605</v>
      </c>
      <c r="X257">
        <v>515.68743523790056</v>
      </c>
      <c r="Y257">
        <v>515.68743523790056</v>
      </c>
      <c r="Z257">
        <v>484.39054261656662</v>
      </c>
      <c r="AA257">
        <v>464.47433822117449</v>
      </c>
      <c r="AB257">
        <v>456.65011506583812</v>
      </c>
      <c r="AC257">
        <v>449.53718492462809</v>
      </c>
      <c r="AD257">
        <v>441.71296176929172</v>
      </c>
      <c r="AE257">
        <v>18.020323995556041</v>
      </c>
      <c r="AF257">
        <v>18.020323995556041</v>
      </c>
      <c r="AG257">
        <v>18.020323995556041</v>
      </c>
      <c r="AH257">
        <v>18.020323995556041</v>
      </c>
      <c r="AI257">
        <v>18.020323995556041</v>
      </c>
      <c r="AJ257">
        <v>18.020323995556041</v>
      </c>
      <c r="AK257">
        <v>18.020323995556041</v>
      </c>
    </row>
    <row r="258" spans="1:37" hidden="1" x14ac:dyDescent="0.25">
      <c r="A258" t="s">
        <v>90</v>
      </c>
      <c r="B258" t="s">
        <v>91</v>
      </c>
      <c r="C258" t="s">
        <v>273</v>
      </c>
      <c r="F258" t="s">
        <v>209</v>
      </c>
      <c r="G258" t="s">
        <v>211</v>
      </c>
      <c r="H258" t="s">
        <v>212</v>
      </c>
      <c r="I258" t="s">
        <v>274</v>
      </c>
      <c r="J258" t="s">
        <v>278</v>
      </c>
      <c r="K258" t="s">
        <v>98</v>
      </c>
      <c r="L258">
        <v>0</v>
      </c>
      <c r="M258">
        <v>1</v>
      </c>
      <c r="N258">
        <v>2020</v>
      </c>
      <c r="O258">
        <v>4.6576618537494188</v>
      </c>
      <c r="P258">
        <v>0.69047619047618847</v>
      </c>
      <c r="Q258">
        <v>0.29979537091988079</v>
      </c>
      <c r="R258">
        <v>0.29979537091988079</v>
      </c>
      <c r="S258">
        <v>0.33030551928783392</v>
      </c>
      <c r="T258">
        <v>0.35816261127596438</v>
      </c>
      <c r="U258">
        <v>0.37408094955489479</v>
      </c>
      <c r="V258">
        <v>0.3899992878338272</v>
      </c>
      <c r="W258">
        <v>0.4059176261127605</v>
      </c>
      <c r="X258">
        <v>515.68743523790056</v>
      </c>
      <c r="Y258">
        <v>515.68743523790056</v>
      </c>
      <c r="Z258">
        <v>484.39054261656662</v>
      </c>
      <c r="AA258">
        <v>464.47433822117449</v>
      </c>
      <c r="AB258">
        <v>456.65011506583812</v>
      </c>
      <c r="AC258">
        <v>449.53718492462809</v>
      </c>
      <c r="AD258">
        <v>441.71296176929172</v>
      </c>
      <c r="AE258">
        <v>18.020323995556041</v>
      </c>
      <c r="AF258">
        <v>18.020323995556041</v>
      </c>
      <c r="AG258">
        <v>18.020323995556041</v>
      </c>
      <c r="AH258">
        <v>18.020323995556041</v>
      </c>
      <c r="AI258">
        <v>18.020323995556041</v>
      </c>
      <c r="AJ258">
        <v>18.020323995556041</v>
      </c>
      <c r="AK258">
        <v>18.020323995556041</v>
      </c>
    </row>
    <row r="259" spans="1:37" hidden="1" x14ac:dyDescent="0.25">
      <c r="A259" t="s">
        <v>90</v>
      </c>
      <c r="B259" t="s">
        <v>91</v>
      </c>
      <c r="C259" t="s">
        <v>273</v>
      </c>
      <c r="F259" t="s">
        <v>213</v>
      </c>
      <c r="G259" t="s">
        <v>133</v>
      </c>
      <c r="H259" t="s">
        <v>134</v>
      </c>
      <c r="I259" t="s">
        <v>274</v>
      </c>
      <c r="J259" t="s">
        <v>279</v>
      </c>
      <c r="K259" t="s">
        <v>98</v>
      </c>
      <c r="L259">
        <v>1</v>
      </c>
      <c r="M259">
        <v>1</v>
      </c>
      <c r="N259">
        <v>2020</v>
      </c>
      <c r="O259">
        <v>4.6576618537494188</v>
      </c>
      <c r="P259">
        <v>1</v>
      </c>
      <c r="Q259">
        <v>0.20030575667655801</v>
      </c>
      <c r="R259">
        <v>0.20030575667655801</v>
      </c>
      <c r="S259">
        <v>0.22020367952522271</v>
      </c>
      <c r="T259">
        <v>0.24142813056379819</v>
      </c>
      <c r="U259">
        <v>0.25071382789317492</v>
      </c>
      <c r="V259">
        <v>0.26132605341246301</v>
      </c>
      <c r="W259">
        <v>0.27061175074183957</v>
      </c>
      <c r="X259">
        <v>635.89595462439217</v>
      </c>
      <c r="Y259">
        <v>635.89595462439217</v>
      </c>
      <c r="Z259">
        <v>598.19742487596693</v>
      </c>
      <c r="AA259">
        <v>566.18923924051046</v>
      </c>
      <c r="AB259">
        <v>553.38596498632808</v>
      </c>
      <c r="AC259">
        <v>540.58269073214626</v>
      </c>
      <c r="AD259">
        <v>527.77941647796388</v>
      </c>
      <c r="AE259">
        <v>18.020323995556069</v>
      </c>
      <c r="AF259">
        <v>18.020323995556069</v>
      </c>
      <c r="AG259">
        <v>18.020323995556069</v>
      </c>
      <c r="AH259">
        <v>18.020323995556069</v>
      </c>
      <c r="AI259">
        <v>18.020323995556069</v>
      </c>
      <c r="AJ259">
        <v>18.020323995556069</v>
      </c>
      <c r="AK259">
        <v>18.020323995556069</v>
      </c>
    </row>
    <row r="260" spans="1:37" hidden="1" x14ac:dyDescent="0.25">
      <c r="A260" t="s">
        <v>90</v>
      </c>
      <c r="B260" t="s">
        <v>91</v>
      </c>
      <c r="C260" t="s">
        <v>273</v>
      </c>
      <c r="F260" t="s">
        <v>215</v>
      </c>
      <c r="G260" t="s">
        <v>133</v>
      </c>
      <c r="H260" t="s">
        <v>134</v>
      </c>
      <c r="I260" t="s">
        <v>274</v>
      </c>
      <c r="J260" t="s">
        <v>280</v>
      </c>
      <c r="K260" t="s">
        <v>98</v>
      </c>
      <c r="L260">
        <v>1</v>
      </c>
      <c r="M260">
        <v>1</v>
      </c>
      <c r="N260">
        <v>2020</v>
      </c>
      <c r="O260">
        <v>4.6576618537494188</v>
      </c>
      <c r="P260">
        <v>0.89763779527559173</v>
      </c>
      <c r="Q260">
        <v>0.2175506231454005</v>
      </c>
      <c r="R260">
        <v>0.2175506231454005</v>
      </c>
      <c r="S260">
        <v>0.24010160237388731</v>
      </c>
      <c r="T260">
        <v>0.25867299703264102</v>
      </c>
      <c r="U260">
        <v>0.26663216617210689</v>
      </c>
      <c r="V260">
        <v>0.27591786350148362</v>
      </c>
      <c r="W260">
        <v>0.28387703264094938</v>
      </c>
      <c r="X260">
        <v>537.02622566153968</v>
      </c>
      <c r="Y260">
        <v>537.02622566153968</v>
      </c>
      <c r="Z260">
        <v>500.03898892723481</v>
      </c>
      <c r="AA260">
        <v>476.56631946123417</v>
      </c>
      <c r="AB260">
        <v>466.60821726353652</v>
      </c>
      <c r="AC260">
        <v>456.65011506583892</v>
      </c>
      <c r="AD260">
        <v>446.69201286814172</v>
      </c>
      <c r="AE260">
        <v>18.020323995556069</v>
      </c>
      <c r="AF260">
        <v>18.020323995556069</v>
      </c>
      <c r="AG260">
        <v>18.020323995556069</v>
      </c>
      <c r="AH260">
        <v>18.020323995556069</v>
      </c>
      <c r="AI260">
        <v>18.020323995556069</v>
      </c>
      <c r="AJ260">
        <v>18.020323995556069</v>
      </c>
      <c r="AK260">
        <v>18.020323995556069</v>
      </c>
    </row>
    <row r="261" spans="1:37" hidden="1" x14ac:dyDescent="0.25">
      <c r="A261" t="s">
        <v>90</v>
      </c>
      <c r="B261" t="s">
        <v>91</v>
      </c>
      <c r="C261" t="s">
        <v>273</v>
      </c>
      <c r="F261" t="s">
        <v>215</v>
      </c>
      <c r="G261" t="s">
        <v>211</v>
      </c>
      <c r="H261" t="s">
        <v>212</v>
      </c>
      <c r="I261" t="s">
        <v>274</v>
      </c>
      <c r="J261" t="s">
        <v>280</v>
      </c>
      <c r="K261" t="s">
        <v>98</v>
      </c>
      <c r="L261">
        <v>0</v>
      </c>
      <c r="M261">
        <v>1</v>
      </c>
      <c r="N261">
        <v>2020</v>
      </c>
      <c r="O261">
        <v>4.6576618537494188</v>
      </c>
      <c r="P261">
        <v>0.1023622047244083</v>
      </c>
      <c r="Q261">
        <v>0.2175506231454005</v>
      </c>
      <c r="R261">
        <v>0.2175506231454005</v>
      </c>
      <c r="S261">
        <v>0.24010160237388731</v>
      </c>
      <c r="T261">
        <v>0.25867299703264102</v>
      </c>
      <c r="U261">
        <v>0.26663216617210689</v>
      </c>
      <c r="V261">
        <v>0.27591786350148362</v>
      </c>
      <c r="W261">
        <v>0.28387703264094938</v>
      </c>
      <c r="X261">
        <v>537.02622566153968</v>
      </c>
      <c r="Y261">
        <v>537.02622566153968</v>
      </c>
      <c r="Z261">
        <v>500.03898892723481</v>
      </c>
      <c r="AA261">
        <v>476.56631946123417</v>
      </c>
      <c r="AB261">
        <v>466.60821726353652</v>
      </c>
      <c r="AC261">
        <v>456.65011506583892</v>
      </c>
      <c r="AD261">
        <v>446.69201286814172</v>
      </c>
      <c r="AE261">
        <v>18.020323995556069</v>
      </c>
      <c r="AF261">
        <v>18.020323995556069</v>
      </c>
      <c r="AG261">
        <v>18.020323995556069</v>
      </c>
      <c r="AH261">
        <v>18.020323995556069</v>
      </c>
      <c r="AI261">
        <v>18.020323995556069</v>
      </c>
      <c r="AJ261">
        <v>18.020323995556069</v>
      </c>
      <c r="AK261">
        <v>18.020323995556069</v>
      </c>
    </row>
    <row r="262" spans="1:37" hidden="1" x14ac:dyDescent="0.25">
      <c r="A262" t="s">
        <v>90</v>
      </c>
      <c r="B262" t="s">
        <v>91</v>
      </c>
      <c r="C262" t="s">
        <v>273</v>
      </c>
      <c r="F262" t="s">
        <v>217</v>
      </c>
      <c r="G262" t="s">
        <v>211</v>
      </c>
      <c r="H262" t="s">
        <v>212</v>
      </c>
      <c r="I262" t="s">
        <v>274</v>
      </c>
      <c r="J262" t="s">
        <v>281</v>
      </c>
      <c r="K262" t="s">
        <v>98</v>
      </c>
      <c r="L262">
        <v>1</v>
      </c>
      <c r="M262">
        <v>1</v>
      </c>
      <c r="N262">
        <v>2020</v>
      </c>
      <c r="O262">
        <v>4.6576618537494188</v>
      </c>
      <c r="P262">
        <v>1</v>
      </c>
      <c r="Q262">
        <v>0.36877483679525219</v>
      </c>
      <c r="R262">
        <v>0.36877483679525219</v>
      </c>
      <c r="S262">
        <v>0.40061151335311579</v>
      </c>
      <c r="T262">
        <v>0.43510124629080099</v>
      </c>
      <c r="U262">
        <v>0.44969305637982182</v>
      </c>
      <c r="V262">
        <v>0.46428486646884271</v>
      </c>
      <c r="W262">
        <v>0.48152973293768542</v>
      </c>
      <c r="X262">
        <v>508.57450509669002</v>
      </c>
      <c r="Y262">
        <v>508.57450509669002</v>
      </c>
      <c r="Z262">
        <v>462.34045917880923</v>
      </c>
      <c r="AA262">
        <v>437.44520368456551</v>
      </c>
      <c r="AB262">
        <v>426.06451545862558</v>
      </c>
      <c r="AC262">
        <v>414.6838272326857</v>
      </c>
      <c r="AD262">
        <v>403.30313900674582</v>
      </c>
      <c r="AE262">
        <v>11.60631037001917</v>
      </c>
      <c r="AF262">
        <v>11.60631037001917</v>
      </c>
      <c r="AG262">
        <v>11.60631037001917</v>
      </c>
      <c r="AH262">
        <v>11.60631037001917</v>
      </c>
      <c r="AI262">
        <v>11.60631037001917</v>
      </c>
      <c r="AJ262">
        <v>11.60631037001917</v>
      </c>
      <c r="AK262">
        <v>11.60631037001917</v>
      </c>
    </row>
    <row r="263" spans="1:37" hidden="1" x14ac:dyDescent="0.25">
      <c r="A263" t="s">
        <v>90</v>
      </c>
      <c r="B263" t="s">
        <v>282</v>
      </c>
      <c r="C263" t="s">
        <v>283</v>
      </c>
      <c r="F263" t="s">
        <v>202</v>
      </c>
      <c r="G263" t="s">
        <v>119</v>
      </c>
      <c r="H263" t="s">
        <v>120</v>
      </c>
      <c r="I263" t="s">
        <v>284</v>
      </c>
      <c r="J263" t="s">
        <v>285</v>
      </c>
      <c r="K263" t="s">
        <v>98</v>
      </c>
      <c r="L263">
        <v>1</v>
      </c>
      <c r="M263">
        <v>1</v>
      </c>
      <c r="N263">
        <v>2020</v>
      </c>
      <c r="O263">
        <v>8</v>
      </c>
      <c r="P263">
        <v>1</v>
      </c>
      <c r="Q263">
        <v>0.14459157270029679</v>
      </c>
      <c r="R263">
        <v>0.14459157270029679</v>
      </c>
      <c r="S263">
        <v>0.1578568545994066</v>
      </c>
      <c r="T263">
        <v>0.1711221364985164</v>
      </c>
      <c r="U263">
        <v>0.1804078338278931</v>
      </c>
      <c r="V263">
        <v>0.18836700296735909</v>
      </c>
      <c r="W263">
        <v>0.1963261721068249</v>
      </c>
      <c r="X263">
        <v>421.08546435977678</v>
      </c>
      <c r="Y263">
        <v>421.08546435977678</v>
      </c>
      <c r="Z263">
        <v>423.93063641626179</v>
      </c>
      <c r="AA263">
        <v>423.21934340214051</v>
      </c>
      <c r="AB263">
        <v>423.93063641626179</v>
      </c>
      <c r="AC263">
        <v>424.64192943038302</v>
      </c>
      <c r="AD263">
        <v>426.06451545862558</v>
      </c>
      <c r="AE263">
        <v>10.491571958288359</v>
      </c>
      <c r="AF263">
        <v>10.491571958288359</v>
      </c>
      <c r="AG263">
        <v>10.491571958288359</v>
      </c>
      <c r="AH263">
        <v>10.491571958288359</v>
      </c>
      <c r="AI263">
        <v>10.491571958288359</v>
      </c>
      <c r="AJ263">
        <v>10.491571958288359</v>
      </c>
      <c r="AK263">
        <v>10.491571958288359</v>
      </c>
    </row>
    <row r="264" spans="1:37" hidden="1" x14ac:dyDescent="0.25">
      <c r="A264" t="s">
        <v>90</v>
      </c>
      <c r="B264" t="s">
        <v>282</v>
      </c>
      <c r="C264" t="s">
        <v>283</v>
      </c>
      <c r="F264" t="s">
        <v>202</v>
      </c>
      <c r="G264" t="s">
        <v>122</v>
      </c>
      <c r="H264" t="s">
        <v>123</v>
      </c>
      <c r="I264" t="s">
        <v>284</v>
      </c>
      <c r="J264" t="s">
        <v>285</v>
      </c>
      <c r="K264" t="s">
        <v>98</v>
      </c>
      <c r="L264">
        <v>0</v>
      </c>
      <c r="M264">
        <v>1</v>
      </c>
      <c r="N264">
        <v>2020</v>
      </c>
      <c r="O264">
        <v>8</v>
      </c>
      <c r="P264">
        <v>1</v>
      </c>
      <c r="Q264">
        <v>0.14459157270029679</v>
      </c>
      <c r="R264">
        <v>0.14459157270029679</v>
      </c>
      <c r="S264">
        <v>0.1578568545994066</v>
      </c>
      <c r="T264">
        <v>0.1711221364985164</v>
      </c>
      <c r="U264">
        <v>0.1804078338278931</v>
      </c>
      <c r="V264">
        <v>0.18836700296735909</v>
      </c>
      <c r="W264">
        <v>0.1963261721068249</v>
      </c>
      <c r="X264">
        <v>421.08546435977678</v>
      </c>
      <c r="Y264">
        <v>421.08546435977678</v>
      </c>
      <c r="Z264">
        <v>423.93063641626179</v>
      </c>
      <c r="AA264">
        <v>423.21934340214051</v>
      </c>
      <c r="AB264">
        <v>423.93063641626179</v>
      </c>
      <c r="AC264">
        <v>424.64192943038302</v>
      </c>
      <c r="AD264">
        <v>426.06451545862558</v>
      </c>
      <c r="AE264">
        <v>10.491571958288359</v>
      </c>
      <c r="AF264">
        <v>10.491571958288359</v>
      </c>
      <c r="AG264">
        <v>10.491571958288359</v>
      </c>
      <c r="AH264">
        <v>10.491571958288359</v>
      </c>
      <c r="AI264">
        <v>10.491571958288359</v>
      </c>
      <c r="AJ264">
        <v>10.491571958288359</v>
      </c>
      <c r="AK264">
        <v>10.491571958288359</v>
      </c>
    </row>
    <row r="265" spans="1:37" hidden="1" x14ac:dyDescent="0.25">
      <c r="A265" t="s">
        <v>90</v>
      </c>
      <c r="B265" t="s">
        <v>282</v>
      </c>
      <c r="C265" t="s">
        <v>283</v>
      </c>
      <c r="F265" t="s">
        <v>202</v>
      </c>
      <c r="G265" t="s">
        <v>124</v>
      </c>
      <c r="H265" t="s">
        <v>125</v>
      </c>
      <c r="I265" t="s">
        <v>284</v>
      </c>
      <c r="J265" t="s">
        <v>285</v>
      </c>
      <c r="K265" t="s">
        <v>98</v>
      </c>
      <c r="L265">
        <v>0</v>
      </c>
      <c r="M265">
        <v>1</v>
      </c>
      <c r="N265">
        <v>2020</v>
      </c>
      <c r="O265">
        <v>8</v>
      </c>
      <c r="P265">
        <v>0.1</v>
      </c>
      <c r="Q265">
        <v>0.14459157270029679</v>
      </c>
      <c r="R265">
        <v>0.14459157270029679</v>
      </c>
      <c r="S265">
        <v>0.1578568545994066</v>
      </c>
      <c r="T265">
        <v>0.1711221364985164</v>
      </c>
      <c r="U265">
        <v>0.1804078338278931</v>
      </c>
      <c r="V265">
        <v>0.18836700296735909</v>
      </c>
      <c r="W265">
        <v>0.1963261721068249</v>
      </c>
      <c r="X265">
        <v>421.08546435977678</v>
      </c>
      <c r="Y265">
        <v>421.08546435977678</v>
      </c>
      <c r="Z265">
        <v>423.93063641626179</v>
      </c>
      <c r="AA265">
        <v>423.21934340214051</v>
      </c>
      <c r="AB265">
        <v>423.93063641626179</v>
      </c>
      <c r="AC265">
        <v>424.64192943038302</v>
      </c>
      <c r="AD265">
        <v>426.06451545862558</v>
      </c>
      <c r="AE265">
        <v>10.491571958288359</v>
      </c>
      <c r="AF265">
        <v>10.491571958288359</v>
      </c>
      <c r="AG265">
        <v>10.491571958288359</v>
      </c>
      <c r="AH265">
        <v>10.491571958288359</v>
      </c>
      <c r="AI265">
        <v>10.491571958288359</v>
      </c>
      <c r="AJ265">
        <v>10.491571958288359</v>
      </c>
      <c r="AK265">
        <v>10.491571958288359</v>
      </c>
    </row>
    <row r="266" spans="1:37" hidden="1" x14ac:dyDescent="0.25">
      <c r="A266" t="s">
        <v>90</v>
      </c>
      <c r="B266" t="s">
        <v>282</v>
      </c>
      <c r="C266" t="s">
        <v>283</v>
      </c>
      <c r="F266" t="s">
        <v>205</v>
      </c>
      <c r="G266" t="s">
        <v>119</v>
      </c>
      <c r="H266" t="s">
        <v>120</v>
      </c>
      <c r="I266" t="s">
        <v>284</v>
      </c>
      <c r="J266" t="s">
        <v>286</v>
      </c>
      <c r="K266" t="s">
        <v>98</v>
      </c>
      <c r="L266">
        <v>1</v>
      </c>
      <c r="M266">
        <v>1</v>
      </c>
      <c r="N266">
        <v>2020</v>
      </c>
      <c r="O266">
        <v>8</v>
      </c>
      <c r="P266">
        <v>1</v>
      </c>
      <c r="Q266">
        <v>0.14459157270029679</v>
      </c>
      <c r="R266">
        <v>0.14459157270029679</v>
      </c>
      <c r="S266">
        <v>0.1578568545994066</v>
      </c>
      <c r="T266">
        <v>0.17244866468842729</v>
      </c>
      <c r="U266">
        <v>0.1804078338278931</v>
      </c>
      <c r="V266">
        <v>0.18836700296735909</v>
      </c>
      <c r="W266">
        <v>0.19765270029673601</v>
      </c>
      <c r="X266">
        <v>461.62916616468777</v>
      </c>
      <c r="Y266">
        <v>461.62916616468777</v>
      </c>
      <c r="Z266">
        <v>465.18563123529401</v>
      </c>
      <c r="AA266">
        <v>463.7630452070515</v>
      </c>
      <c r="AB266">
        <v>463.7630452070515</v>
      </c>
      <c r="AC266">
        <v>464.47433822117279</v>
      </c>
      <c r="AD266">
        <v>465.18563123529401</v>
      </c>
      <c r="AE266">
        <v>10.491571958288359</v>
      </c>
      <c r="AF266">
        <v>10.491571958288359</v>
      </c>
      <c r="AG266">
        <v>10.491571958288359</v>
      </c>
      <c r="AH266">
        <v>10.491571958288359</v>
      </c>
      <c r="AI266">
        <v>10.491571958288359</v>
      </c>
      <c r="AJ266">
        <v>10.491571958288359</v>
      </c>
      <c r="AK266">
        <v>10.491571958288359</v>
      </c>
    </row>
    <row r="267" spans="1:37" hidden="1" x14ac:dyDescent="0.25">
      <c r="A267" t="s">
        <v>90</v>
      </c>
      <c r="B267" t="s">
        <v>282</v>
      </c>
      <c r="C267" t="s">
        <v>283</v>
      </c>
      <c r="F267" t="s">
        <v>205</v>
      </c>
      <c r="G267" t="s">
        <v>122</v>
      </c>
      <c r="H267" t="s">
        <v>123</v>
      </c>
      <c r="I267" t="s">
        <v>284</v>
      </c>
      <c r="J267" t="s">
        <v>286</v>
      </c>
      <c r="K267" t="s">
        <v>98</v>
      </c>
      <c r="L267">
        <v>0</v>
      </c>
      <c r="M267">
        <v>1</v>
      </c>
      <c r="N267">
        <v>2020</v>
      </c>
      <c r="O267">
        <v>8</v>
      </c>
      <c r="P267">
        <v>1</v>
      </c>
      <c r="Q267">
        <v>0.14459157270029679</v>
      </c>
      <c r="R267">
        <v>0.14459157270029679</v>
      </c>
      <c r="S267">
        <v>0.1578568545994066</v>
      </c>
      <c r="T267">
        <v>0.17244866468842729</v>
      </c>
      <c r="U267">
        <v>0.1804078338278931</v>
      </c>
      <c r="V267">
        <v>0.18836700296735909</v>
      </c>
      <c r="W267">
        <v>0.19765270029673601</v>
      </c>
      <c r="X267">
        <v>461.62916616468777</v>
      </c>
      <c r="Y267">
        <v>461.62916616468777</v>
      </c>
      <c r="Z267">
        <v>465.18563123529401</v>
      </c>
      <c r="AA267">
        <v>463.7630452070515</v>
      </c>
      <c r="AB267">
        <v>463.7630452070515</v>
      </c>
      <c r="AC267">
        <v>464.47433822117279</v>
      </c>
      <c r="AD267">
        <v>465.18563123529401</v>
      </c>
      <c r="AE267">
        <v>10.491571958288359</v>
      </c>
      <c r="AF267">
        <v>10.491571958288359</v>
      </c>
      <c r="AG267">
        <v>10.491571958288359</v>
      </c>
      <c r="AH267">
        <v>10.491571958288359</v>
      </c>
      <c r="AI267">
        <v>10.491571958288359</v>
      </c>
      <c r="AJ267">
        <v>10.491571958288359</v>
      </c>
      <c r="AK267">
        <v>10.491571958288359</v>
      </c>
    </row>
    <row r="268" spans="1:37" hidden="1" x14ac:dyDescent="0.25">
      <c r="A268" t="s">
        <v>90</v>
      </c>
      <c r="B268" t="s">
        <v>282</v>
      </c>
      <c r="C268" t="s">
        <v>283</v>
      </c>
      <c r="F268" t="s">
        <v>205</v>
      </c>
      <c r="G268" t="s">
        <v>124</v>
      </c>
      <c r="H268" t="s">
        <v>125</v>
      </c>
      <c r="I268" t="s">
        <v>284</v>
      </c>
      <c r="J268" t="s">
        <v>286</v>
      </c>
      <c r="K268" t="s">
        <v>98</v>
      </c>
      <c r="L268">
        <v>0</v>
      </c>
      <c r="M268">
        <v>1</v>
      </c>
      <c r="N268">
        <v>2020</v>
      </c>
      <c r="O268">
        <v>8</v>
      </c>
      <c r="P268">
        <v>0.1</v>
      </c>
      <c r="Q268">
        <v>0.14459157270029679</v>
      </c>
      <c r="R268">
        <v>0.14459157270029679</v>
      </c>
      <c r="S268">
        <v>0.1578568545994066</v>
      </c>
      <c r="T268">
        <v>0.17244866468842729</v>
      </c>
      <c r="U268">
        <v>0.1804078338278931</v>
      </c>
      <c r="V268">
        <v>0.18836700296735909</v>
      </c>
      <c r="W268">
        <v>0.19765270029673601</v>
      </c>
      <c r="X268">
        <v>461.62916616468777</v>
      </c>
      <c r="Y268">
        <v>461.62916616468777</v>
      </c>
      <c r="Z268">
        <v>465.18563123529401</v>
      </c>
      <c r="AA268">
        <v>463.7630452070515</v>
      </c>
      <c r="AB268">
        <v>463.7630452070515</v>
      </c>
      <c r="AC268">
        <v>464.47433822117279</v>
      </c>
      <c r="AD268">
        <v>465.18563123529401</v>
      </c>
      <c r="AE268">
        <v>10.491571958288359</v>
      </c>
      <c r="AF268">
        <v>10.491571958288359</v>
      </c>
      <c r="AG268">
        <v>10.491571958288359</v>
      </c>
      <c r="AH268">
        <v>10.491571958288359</v>
      </c>
      <c r="AI268">
        <v>10.491571958288359</v>
      </c>
      <c r="AJ268">
        <v>10.491571958288359</v>
      </c>
      <c r="AK268">
        <v>10.491571958288359</v>
      </c>
    </row>
    <row r="269" spans="1:37" hidden="1" x14ac:dyDescent="0.25">
      <c r="A269" t="s">
        <v>90</v>
      </c>
      <c r="B269" t="s">
        <v>282</v>
      </c>
      <c r="C269" t="s">
        <v>283</v>
      </c>
      <c r="F269" t="s">
        <v>207</v>
      </c>
      <c r="G269" t="s">
        <v>119</v>
      </c>
      <c r="H269" t="s">
        <v>120</v>
      </c>
      <c r="I269" t="s">
        <v>284</v>
      </c>
      <c r="J269" t="s">
        <v>287</v>
      </c>
      <c r="K269" t="s">
        <v>98</v>
      </c>
      <c r="L269">
        <v>1</v>
      </c>
      <c r="M269">
        <v>1</v>
      </c>
      <c r="N269">
        <v>2020</v>
      </c>
      <c r="O269">
        <v>8</v>
      </c>
      <c r="P269">
        <v>1</v>
      </c>
      <c r="Q269">
        <v>0.14591810089020771</v>
      </c>
      <c r="R269">
        <v>0.14591810089020771</v>
      </c>
      <c r="S269">
        <v>0.16183643916913951</v>
      </c>
      <c r="T269">
        <v>0.1764282492581602</v>
      </c>
      <c r="U269">
        <v>0.18704047477744801</v>
      </c>
      <c r="V269">
        <v>0.1963261721068249</v>
      </c>
      <c r="W269">
        <v>0.2056118694362018</v>
      </c>
      <c r="X269">
        <v>465.89692424941529</v>
      </c>
      <c r="Y269">
        <v>465.89692424941529</v>
      </c>
      <c r="Z269">
        <v>464.47433822117279</v>
      </c>
      <c r="AA269">
        <v>460.91787315056649</v>
      </c>
      <c r="AB269">
        <v>459.49528712232399</v>
      </c>
      <c r="AC269">
        <v>458.78399410820282</v>
      </c>
      <c r="AD269">
        <v>458.07270109408159</v>
      </c>
      <c r="AE269">
        <v>10.491571958288359</v>
      </c>
      <c r="AF269">
        <v>10.491571958288359</v>
      </c>
      <c r="AG269">
        <v>10.491571958288359</v>
      </c>
      <c r="AH269">
        <v>10.491571958288359</v>
      </c>
      <c r="AI269">
        <v>10.491571958288359</v>
      </c>
      <c r="AJ269">
        <v>10.491571958288359</v>
      </c>
      <c r="AK269">
        <v>10.491571958288359</v>
      </c>
    </row>
    <row r="270" spans="1:37" hidden="1" x14ac:dyDescent="0.25">
      <c r="A270" t="s">
        <v>90</v>
      </c>
      <c r="B270" t="s">
        <v>282</v>
      </c>
      <c r="C270" t="s">
        <v>283</v>
      </c>
      <c r="F270" t="s">
        <v>207</v>
      </c>
      <c r="G270" t="s">
        <v>122</v>
      </c>
      <c r="H270" t="s">
        <v>123</v>
      </c>
      <c r="I270" t="s">
        <v>284</v>
      </c>
      <c r="J270" t="s">
        <v>287</v>
      </c>
      <c r="K270" t="s">
        <v>98</v>
      </c>
      <c r="L270">
        <v>0</v>
      </c>
      <c r="M270">
        <v>1</v>
      </c>
      <c r="N270">
        <v>2020</v>
      </c>
      <c r="O270">
        <v>8</v>
      </c>
      <c r="P270">
        <v>1</v>
      </c>
      <c r="Q270">
        <v>0.14591810089020771</v>
      </c>
      <c r="R270">
        <v>0.14591810089020771</v>
      </c>
      <c r="S270">
        <v>0.16183643916913951</v>
      </c>
      <c r="T270">
        <v>0.1764282492581602</v>
      </c>
      <c r="U270">
        <v>0.18704047477744801</v>
      </c>
      <c r="V270">
        <v>0.1963261721068249</v>
      </c>
      <c r="W270">
        <v>0.2056118694362018</v>
      </c>
      <c r="X270">
        <v>465.89692424941529</v>
      </c>
      <c r="Y270">
        <v>465.89692424941529</v>
      </c>
      <c r="Z270">
        <v>464.47433822117279</v>
      </c>
      <c r="AA270">
        <v>460.91787315056649</v>
      </c>
      <c r="AB270">
        <v>459.49528712232399</v>
      </c>
      <c r="AC270">
        <v>458.78399410820282</v>
      </c>
      <c r="AD270">
        <v>458.07270109408159</v>
      </c>
      <c r="AE270">
        <v>10.491571958288359</v>
      </c>
      <c r="AF270">
        <v>10.491571958288359</v>
      </c>
      <c r="AG270">
        <v>10.491571958288359</v>
      </c>
      <c r="AH270">
        <v>10.491571958288359</v>
      </c>
      <c r="AI270">
        <v>10.491571958288359</v>
      </c>
      <c r="AJ270">
        <v>10.491571958288359</v>
      </c>
      <c r="AK270">
        <v>10.491571958288359</v>
      </c>
    </row>
    <row r="271" spans="1:37" hidden="1" x14ac:dyDescent="0.25">
      <c r="A271" t="s">
        <v>90</v>
      </c>
      <c r="B271" t="s">
        <v>282</v>
      </c>
      <c r="C271" t="s">
        <v>283</v>
      </c>
      <c r="F271" t="s">
        <v>207</v>
      </c>
      <c r="G271" t="s">
        <v>124</v>
      </c>
      <c r="H271" t="s">
        <v>125</v>
      </c>
      <c r="I271" t="s">
        <v>284</v>
      </c>
      <c r="J271" t="s">
        <v>287</v>
      </c>
      <c r="K271" t="s">
        <v>98</v>
      </c>
      <c r="L271">
        <v>0</v>
      </c>
      <c r="M271">
        <v>1</v>
      </c>
      <c r="N271">
        <v>2020</v>
      </c>
      <c r="O271">
        <v>8</v>
      </c>
      <c r="P271">
        <v>0.1</v>
      </c>
      <c r="Q271">
        <v>0.14591810089020771</v>
      </c>
      <c r="R271">
        <v>0.14591810089020771</v>
      </c>
      <c r="S271">
        <v>0.16183643916913951</v>
      </c>
      <c r="T271">
        <v>0.1764282492581602</v>
      </c>
      <c r="U271">
        <v>0.18704047477744801</v>
      </c>
      <c r="V271">
        <v>0.1963261721068249</v>
      </c>
      <c r="W271">
        <v>0.2056118694362018</v>
      </c>
      <c r="X271">
        <v>465.89692424941529</v>
      </c>
      <c r="Y271">
        <v>465.89692424941529</v>
      </c>
      <c r="Z271">
        <v>464.47433822117279</v>
      </c>
      <c r="AA271">
        <v>460.91787315056649</v>
      </c>
      <c r="AB271">
        <v>459.49528712232399</v>
      </c>
      <c r="AC271">
        <v>458.78399410820282</v>
      </c>
      <c r="AD271">
        <v>458.07270109408159</v>
      </c>
      <c r="AE271">
        <v>10.491571958288359</v>
      </c>
      <c r="AF271">
        <v>10.491571958288359</v>
      </c>
      <c r="AG271">
        <v>10.491571958288359</v>
      </c>
      <c r="AH271">
        <v>10.491571958288359</v>
      </c>
      <c r="AI271">
        <v>10.491571958288359</v>
      </c>
      <c r="AJ271">
        <v>10.491571958288359</v>
      </c>
      <c r="AK271">
        <v>10.491571958288359</v>
      </c>
    </row>
    <row r="272" spans="1:37" hidden="1" x14ac:dyDescent="0.25">
      <c r="A272" t="s">
        <v>90</v>
      </c>
      <c r="B272" t="s">
        <v>282</v>
      </c>
      <c r="C272" t="s">
        <v>283</v>
      </c>
      <c r="F272" t="s">
        <v>209</v>
      </c>
      <c r="G272" t="s">
        <v>119</v>
      </c>
      <c r="H272" t="s">
        <v>120</v>
      </c>
      <c r="I272" t="s">
        <v>284</v>
      </c>
      <c r="J272" t="s">
        <v>288</v>
      </c>
      <c r="K272" t="s">
        <v>98</v>
      </c>
      <c r="L272">
        <v>1</v>
      </c>
      <c r="M272">
        <v>1</v>
      </c>
      <c r="N272">
        <v>2020</v>
      </c>
      <c r="O272">
        <v>8</v>
      </c>
      <c r="P272">
        <v>0.30952380952381148</v>
      </c>
      <c r="Q272">
        <v>0.29979537091988079</v>
      </c>
      <c r="R272">
        <v>0.29979537091988079</v>
      </c>
      <c r="S272">
        <v>0.33030551928783392</v>
      </c>
      <c r="T272">
        <v>0.35816261127596438</v>
      </c>
      <c r="U272">
        <v>0.37408094955489479</v>
      </c>
      <c r="V272">
        <v>0.3899992878338272</v>
      </c>
      <c r="W272">
        <v>0.4059176261127605</v>
      </c>
      <c r="X272">
        <v>515.68743523790056</v>
      </c>
      <c r="Y272">
        <v>515.68743523790056</v>
      </c>
      <c r="Z272">
        <v>484.39054261656662</v>
      </c>
      <c r="AA272">
        <v>464.47433822117449</v>
      </c>
      <c r="AB272">
        <v>456.65011506583812</v>
      </c>
      <c r="AC272">
        <v>449.53718492462809</v>
      </c>
      <c r="AD272">
        <v>441.71296176929172</v>
      </c>
      <c r="AE272">
        <v>10.491571958288329</v>
      </c>
      <c r="AF272">
        <v>10.491571958288329</v>
      </c>
      <c r="AG272">
        <v>10.491571958288329</v>
      </c>
      <c r="AH272">
        <v>10.491571958288329</v>
      </c>
      <c r="AI272">
        <v>10.491571958288329</v>
      </c>
      <c r="AJ272">
        <v>10.491571958288329</v>
      </c>
      <c r="AK272">
        <v>10.491571958288329</v>
      </c>
    </row>
    <row r="273" spans="1:37" hidden="1" x14ac:dyDescent="0.25">
      <c r="A273" t="s">
        <v>90</v>
      </c>
      <c r="B273" t="s">
        <v>282</v>
      </c>
      <c r="C273" t="s">
        <v>283</v>
      </c>
      <c r="F273" t="s">
        <v>209</v>
      </c>
      <c r="G273" t="s">
        <v>122</v>
      </c>
      <c r="H273" t="s">
        <v>123</v>
      </c>
      <c r="I273" t="s">
        <v>284</v>
      </c>
      <c r="J273" t="s">
        <v>288</v>
      </c>
      <c r="K273" t="s">
        <v>98</v>
      </c>
      <c r="L273">
        <v>0</v>
      </c>
      <c r="M273">
        <v>1</v>
      </c>
      <c r="N273">
        <v>2020</v>
      </c>
      <c r="O273">
        <v>8</v>
      </c>
      <c r="P273">
        <v>0.30952380952381148</v>
      </c>
      <c r="Q273">
        <v>0.29979537091988079</v>
      </c>
      <c r="R273">
        <v>0.29979537091988079</v>
      </c>
      <c r="S273">
        <v>0.33030551928783392</v>
      </c>
      <c r="T273">
        <v>0.35816261127596438</v>
      </c>
      <c r="U273">
        <v>0.37408094955489479</v>
      </c>
      <c r="V273">
        <v>0.3899992878338272</v>
      </c>
      <c r="W273">
        <v>0.4059176261127605</v>
      </c>
      <c r="X273">
        <v>515.68743523790056</v>
      </c>
      <c r="Y273">
        <v>515.68743523790056</v>
      </c>
      <c r="Z273">
        <v>484.39054261656662</v>
      </c>
      <c r="AA273">
        <v>464.47433822117449</v>
      </c>
      <c r="AB273">
        <v>456.65011506583812</v>
      </c>
      <c r="AC273">
        <v>449.53718492462809</v>
      </c>
      <c r="AD273">
        <v>441.71296176929172</v>
      </c>
      <c r="AE273">
        <v>10.491571958288329</v>
      </c>
      <c r="AF273">
        <v>10.491571958288329</v>
      </c>
      <c r="AG273">
        <v>10.491571958288329</v>
      </c>
      <c r="AH273">
        <v>10.491571958288329</v>
      </c>
      <c r="AI273">
        <v>10.491571958288329</v>
      </c>
      <c r="AJ273">
        <v>10.491571958288329</v>
      </c>
      <c r="AK273">
        <v>10.491571958288329</v>
      </c>
    </row>
    <row r="274" spans="1:37" hidden="1" x14ac:dyDescent="0.25">
      <c r="A274" t="s">
        <v>90</v>
      </c>
      <c r="B274" t="s">
        <v>282</v>
      </c>
      <c r="C274" t="s">
        <v>283</v>
      </c>
      <c r="F274" t="s">
        <v>209</v>
      </c>
      <c r="G274" t="s">
        <v>124</v>
      </c>
      <c r="H274" t="s">
        <v>125</v>
      </c>
      <c r="I274" t="s">
        <v>284</v>
      </c>
      <c r="J274" t="s">
        <v>288</v>
      </c>
      <c r="K274" t="s">
        <v>98</v>
      </c>
      <c r="L274">
        <v>0</v>
      </c>
      <c r="M274">
        <v>1</v>
      </c>
      <c r="N274">
        <v>2020</v>
      </c>
      <c r="O274">
        <v>8</v>
      </c>
      <c r="P274">
        <v>0.1</v>
      </c>
      <c r="Q274">
        <v>0.29979537091988079</v>
      </c>
      <c r="R274">
        <v>0.29979537091988079</v>
      </c>
      <c r="S274">
        <v>0.33030551928783392</v>
      </c>
      <c r="T274">
        <v>0.35816261127596438</v>
      </c>
      <c r="U274">
        <v>0.37408094955489479</v>
      </c>
      <c r="V274">
        <v>0.3899992878338272</v>
      </c>
      <c r="W274">
        <v>0.4059176261127605</v>
      </c>
      <c r="X274">
        <v>515.68743523790056</v>
      </c>
      <c r="Y274">
        <v>515.68743523790056</v>
      </c>
      <c r="Z274">
        <v>484.39054261656662</v>
      </c>
      <c r="AA274">
        <v>464.47433822117449</v>
      </c>
      <c r="AB274">
        <v>456.65011506583812</v>
      </c>
      <c r="AC274">
        <v>449.53718492462809</v>
      </c>
      <c r="AD274">
        <v>441.71296176929172</v>
      </c>
      <c r="AE274">
        <v>10.491571958288329</v>
      </c>
      <c r="AF274">
        <v>10.491571958288329</v>
      </c>
      <c r="AG274">
        <v>10.491571958288329</v>
      </c>
      <c r="AH274">
        <v>10.491571958288329</v>
      </c>
      <c r="AI274">
        <v>10.491571958288329</v>
      </c>
      <c r="AJ274">
        <v>10.491571958288329</v>
      </c>
      <c r="AK274">
        <v>10.491571958288329</v>
      </c>
    </row>
    <row r="275" spans="1:37" hidden="1" x14ac:dyDescent="0.25">
      <c r="A275" t="s">
        <v>90</v>
      </c>
      <c r="B275" t="s">
        <v>282</v>
      </c>
      <c r="C275" t="s">
        <v>283</v>
      </c>
      <c r="F275" t="s">
        <v>209</v>
      </c>
      <c r="G275" t="s">
        <v>211</v>
      </c>
      <c r="H275" t="s">
        <v>212</v>
      </c>
      <c r="I275" t="s">
        <v>284</v>
      </c>
      <c r="J275" t="s">
        <v>288</v>
      </c>
      <c r="K275" t="s">
        <v>98</v>
      </c>
      <c r="L275">
        <v>0</v>
      </c>
      <c r="M275">
        <v>1</v>
      </c>
      <c r="N275">
        <v>2020</v>
      </c>
      <c r="O275">
        <v>8</v>
      </c>
      <c r="P275">
        <v>0.69047619047618847</v>
      </c>
      <c r="Q275">
        <v>0.29979537091988079</v>
      </c>
      <c r="R275">
        <v>0.29979537091988079</v>
      </c>
      <c r="S275">
        <v>0.33030551928783392</v>
      </c>
      <c r="T275">
        <v>0.35816261127596438</v>
      </c>
      <c r="U275">
        <v>0.37408094955489479</v>
      </c>
      <c r="V275">
        <v>0.3899992878338272</v>
      </c>
      <c r="W275">
        <v>0.4059176261127605</v>
      </c>
      <c r="X275">
        <v>515.68743523790056</v>
      </c>
      <c r="Y275">
        <v>515.68743523790056</v>
      </c>
      <c r="Z275">
        <v>484.39054261656662</v>
      </c>
      <c r="AA275">
        <v>464.47433822117449</v>
      </c>
      <c r="AB275">
        <v>456.65011506583812</v>
      </c>
      <c r="AC275">
        <v>449.53718492462809</v>
      </c>
      <c r="AD275">
        <v>441.71296176929172</v>
      </c>
      <c r="AE275">
        <v>10.491571958288329</v>
      </c>
      <c r="AF275">
        <v>10.491571958288329</v>
      </c>
      <c r="AG275">
        <v>10.491571958288329</v>
      </c>
      <c r="AH275">
        <v>10.491571958288329</v>
      </c>
      <c r="AI275">
        <v>10.491571958288329</v>
      </c>
      <c r="AJ275">
        <v>10.491571958288329</v>
      </c>
      <c r="AK275">
        <v>10.491571958288329</v>
      </c>
    </row>
    <row r="276" spans="1:37" hidden="1" x14ac:dyDescent="0.25">
      <c r="A276" t="s">
        <v>90</v>
      </c>
      <c r="B276" t="s">
        <v>282</v>
      </c>
      <c r="C276" t="s">
        <v>283</v>
      </c>
      <c r="F276" t="s">
        <v>213</v>
      </c>
      <c r="G276" t="s">
        <v>133</v>
      </c>
      <c r="H276" t="s">
        <v>134</v>
      </c>
      <c r="I276" t="s">
        <v>284</v>
      </c>
      <c r="J276" t="s">
        <v>289</v>
      </c>
      <c r="K276" t="s">
        <v>98</v>
      </c>
      <c r="L276">
        <v>1</v>
      </c>
      <c r="M276">
        <v>1</v>
      </c>
      <c r="N276">
        <v>2020</v>
      </c>
      <c r="O276">
        <v>8</v>
      </c>
      <c r="P276">
        <v>1</v>
      </c>
      <c r="Q276">
        <v>0.20030575667655801</v>
      </c>
      <c r="R276">
        <v>0.20030575667655801</v>
      </c>
      <c r="S276">
        <v>0.22020367952522271</v>
      </c>
      <c r="T276">
        <v>0.24142813056379819</v>
      </c>
      <c r="U276">
        <v>0.25071382789317492</v>
      </c>
      <c r="V276">
        <v>0.26132605341246301</v>
      </c>
      <c r="W276">
        <v>0.27061175074183957</v>
      </c>
      <c r="X276">
        <v>635.89595462439217</v>
      </c>
      <c r="Y276">
        <v>635.89595462439217</v>
      </c>
      <c r="Z276">
        <v>598.19742487596693</v>
      </c>
      <c r="AA276">
        <v>566.18923924051046</v>
      </c>
      <c r="AB276">
        <v>553.38596498632808</v>
      </c>
      <c r="AC276">
        <v>540.58269073214626</v>
      </c>
      <c r="AD276">
        <v>527.77941647796388</v>
      </c>
      <c r="AE276">
        <v>10.49157195828835</v>
      </c>
      <c r="AF276">
        <v>10.49157195828835</v>
      </c>
      <c r="AG276">
        <v>10.49157195828835</v>
      </c>
      <c r="AH276">
        <v>10.49157195828835</v>
      </c>
      <c r="AI276">
        <v>10.49157195828835</v>
      </c>
      <c r="AJ276">
        <v>10.49157195828835</v>
      </c>
      <c r="AK276">
        <v>10.49157195828835</v>
      </c>
    </row>
    <row r="277" spans="1:37" hidden="1" x14ac:dyDescent="0.25">
      <c r="A277" t="s">
        <v>90</v>
      </c>
      <c r="B277" t="s">
        <v>282</v>
      </c>
      <c r="C277" t="s">
        <v>283</v>
      </c>
      <c r="F277" t="s">
        <v>215</v>
      </c>
      <c r="G277" t="s">
        <v>133</v>
      </c>
      <c r="H277" t="s">
        <v>134</v>
      </c>
      <c r="I277" t="s">
        <v>284</v>
      </c>
      <c r="J277" t="s">
        <v>290</v>
      </c>
      <c r="K277" t="s">
        <v>98</v>
      </c>
      <c r="L277">
        <v>1</v>
      </c>
      <c r="M277">
        <v>1</v>
      </c>
      <c r="N277">
        <v>2020</v>
      </c>
      <c r="O277">
        <v>8</v>
      </c>
      <c r="P277">
        <v>0.89763779527559173</v>
      </c>
      <c r="Q277">
        <v>0.2175506231454005</v>
      </c>
      <c r="R277">
        <v>0.2175506231454005</v>
      </c>
      <c r="S277">
        <v>0.24010160237388731</v>
      </c>
      <c r="T277">
        <v>0.25867299703264102</v>
      </c>
      <c r="U277">
        <v>0.26663216617210689</v>
      </c>
      <c r="V277">
        <v>0.27591786350148362</v>
      </c>
      <c r="W277">
        <v>0.28387703264094938</v>
      </c>
      <c r="X277">
        <v>537.02622566153968</v>
      </c>
      <c r="Y277">
        <v>537.02622566153968</v>
      </c>
      <c r="Z277">
        <v>500.03898892723481</v>
      </c>
      <c r="AA277">
        <v>476.56631946123417</v>
      </c>
      <c r="AB277">
        <v>466.60821726353652</v>
      </c>
      <c r="AC277">
        <v>456.65011506583892</v>
      </c>
      <c r="AD277">
        <v>446.69201286814172</v>
      </c>
      <c r="AE277">
        <v>10.49157195828835</v>
      </c>
      <c r="AF277">
        <v>10.49157195828835</v>
      </c>
      <c r="AG277">
        <v>10.49157195828835</v>
      </c>
      <c r="AH277">
        <v>10.49157195828835</v>
      </c>
      <c r="AI277">
        <v>10.49157195828835</v>
      </c>
      <c r="AJ277">
        <v>10.49157195828835</v>
      </c>
      <c r="AK277">
        <v>10.49157195828835</v>
      </c>
    </row>
    <row r="278" spans="1:37" hidden="1" x14ac:dyDescent="0.25">
      <c r="A278" t="s">
        <v>90</v>
      </c>
      <c r="B278" t="s">
        <v>282</v>
      </c>
      <c r="C278" t="s">
        <v>283</v>
      </c>
      <c r="F278" t="s">
        <v>215</v>
      </c>
      <c r="G278" t="s">
        <v>211</v>
      </c>
      <c r="H278" t="s">
        <v>212</v>
      </c>
      <c r="I278" t="s">
        <v>284</v>
      </c>
      <c r="J278" t="s">
        <v>290</v>
      </c>
      <c r="K278" t="s">
        <v>98</v>
      </c>
      <c r="L278">
        <v>0</v>
      </c>
      <c r="M278">
        <v>1</v>
      </c>
      <c r="N278">
        <v>2020</v>
      </c>
      <c r="O278">
        <v>8</v>
      </c>
      <c r="P278">
        <v>0.1023622047244083</v>
      </c>
      <c r="Q278">
        <v>0.2175506231454005</v>
      </c>
      <c r="R278">
        <v>0.2175506231454005</v>
      </c>
      <c r="S278">
        <v>0.24010160237388731</v>
      </c>
      <c r="T278">
        <v>0.25867299703264102</v>
      </c>
      <c r="U278">
        <v>0.26663216617210689</v>
      </c>
      <c r="V278">
        <v>0.27591786350148362</v>
      </c>
      <c r="W278">
        <v>0.28387703264094938</v>
      </c>
      <c r="X278">
        <v>537.02622566153968</v>
      </c>
      <c r="Y278">
        <v>537.02622566153968</v>
      </c>
      <c r="Z278">
        <v>500.03898892723481</v>
      </c>
      <c r="AA278">
        <v>476.56631946123417</v>
      </c>
      <c r="AB278">
        <v>466.60821726353652</v>
      </c>
      <c r="AC278">
        <v>456.65011506583892</v>
      </c>
      <c r="AD278">
        <v>446.69201286814172</v>
      </c>
      <c r="AE278">
        <v>10.49157195828835</v>
      </c>
      <c r="AF278">
        <v>10.49157195828835</v>
      </c>
      <c r="AG278">
        <v>10.49157195828835</v>
      </c>
      <c r="AH278">
        <v>10.49157195828835</v>
      </c>
      <c r="AI278">
        <v>10.49157195828835</v>
      </c>
      <c r="AJ278">
        <v>10.49157195828835</v>
      </c>
      <c r="AK278">
        <v>10.49157195828835</v>
      </c>
    </row>
    <row r="279" spans="1:37" hidden="1" x14ac:dyDescent="0.25">
      <c r="A279" t="s">
        <v>90</v>
      </c>
      <c r="B279" t="s">
        <v>282</v>
      </c>
      <c r="C279" t="s">
        <v>283</v>
      </c>
      <c r="F279" t="s">
        <v>217</v>
      </c>
      <c r="G279" t="s">
        <v>211</v>
      </c>
      <c r="H279" t="s">
        <v>212</v>
      </c>
      <c r="I279" t="s">
        <v>284</v>
      </c>
      <c r="J279" t="s">
        <v>291</v>
      </c>
      <c r="K279" t="s">
        <v>98</v>
      </c>
      <c r="L279">
        <v>1</v>
      </c>
      <c r="M279">
        <v>1</v>
      </c>
      <c r="N279">
        <v>2020</v>
      </c>
      <c r="O279">
        <v>8</v>
      </c>
      <c r="P279">
        <v>1</v>
      </c>
      <c r="Q279">
        <v>0.36877483679525219</v>
      </c>
      <c r="R279">
        <v>0.36877483679525219</v>
      </c>
      <c r="S279">
        <v>0.40061151335311579</v>
      </c>
      <c r="T279">
        <v>0.43510124629080099</v>
      </c>
      <c r="U279">
        <v>0.44969305637982182</v>
      </c>
      <c r="V279">
        <v>0.46428486646884271</v>
      </c>
      <c r="W279">
        <v>0.48152973293768542</v>
      </c>
      <c r="X279">
        <v>508.57450509669002</v>
      </c>
      <c r="Y279">
        <v>508.57450509669002</v>
      </c>
      <c r="Z279">
        <v>462.34045917880923</v>
      </c>
      <c r="AA279">
        <v>437.44520368456551</v>
      </c>
      <c r="AB279">
        <v>426.06451545862558</v>
      </c>
      <c r="AC279">
        <v>414.6838272326857</v>
      </c>
      <c r="AD279">
        <v>403.30313900674582</v>
      </c>
      <c r="AE279">
        <v>6.7572836341518263</v>
      </c>
      <c r="AF279">
        <v>6.7572836341518263</v>
      </c>
      <c r="AG279">
        <v>6.7572836341518263</v>
      </c>
      <c r="AH279">
        <v>6.7572836341518263</v>
      </c>
      <c r="AI279">
        <v>6.7572836341518263</v>
      </c>
      <c r="AJ279">
        <v>6.7572836341518263</v>
      </c>
      <c r="AK279">
        <v>6.7572836341518263</v>
      </c>
    </row>
    <row r="280" spans="1:37" hidden="1" x14ac:dyDescent="0.25">
      <c r="A280" t="s">
        <v>90</v>
      </c>
      <c r="B280" t="s">
        <v>91</v>
      </c>
      <c r="C280" t="s">
        <v>292</v>
      </c>
      <c r="F280" t="s">
        <v>293</v>
      </c>
      <c r="G280" t="s">
        <v>293</v>
      </c>
      <c r="H280" t="s">
        <v>294</v>
      </c>
      <c r="I280" t="s">
        <v>295</v>
      </c>
      <c r="J280" t="s">
        <v>296</v>
      </c>
      <c r="K280" t="s">
        <v>98</v>
      </c>
      <c r="L280">
        <v>1</v>
      </c>
      <c r="M280">
        <v>1</v>
      </c>
      <c r="N280">
        <v>2020</v>
      </c>
      <c r="P280">
        <v>0</v>
      </c>
    </row>
    <row r="281" spans="1:37" hidden="1" x14ac:dyDescent="0.25">
      <c r="A281" t="s">
        <v>90</v>
      </c>
      <c r="B281" t="s">
        <v>91</v>
      </c>
      <c r="C281" t="s">
        <v>297</v>
      </c>
      <c r="F281" t="s">
        <v>293</v>
      </c>
      <c r="G281" t="s">
        <v>293</v>
      </c>
      <c r="H281" t="s">
        <v>294</v>
      </c>
      <c r="I281" t="s">
        <v>298</v>
      </c>
      <c r="J281" t="s">
        <v>299</v>
      </c>
      <c r="K281" t="s">
        <v>98</v>
      </c>
      <c r="L281">
        <v>1</v>
      </c>
      <c r="M281">
        <v>1</v>
      </c>
      <c r="N281">
        <v>2020</v>
      </c>
      <c r="P281">
        <v>0</v>
      </c>
    </row>
    <row r="282" spans="1:37" hidden="1" x14ac:dyDescent="0.25">
      <c r="A282" t="s">
        <v>90</v>
      </c>
      <c r="B282" t="s">
        <v>91</v>
      </c>
      <c r="C282" t="s">
        <v>300</v>
      </c>
      <c r="F282" t="s">
        <v>202</v>
      </c>
      <c r="G282" t="s">
        <v>119</v>
      </c>
      <c r="H282" t="s">
        <v>120</v>
      </c>
      <c r="I282" t="s">
        <v>301</v>
      </c>
      <c r="J282" t="s">
        <v>302</v>
      </c>
      <c r="K282" t="s">
        <v>98</v>
      </c>
      <c r="L282">
        <v>1</v>
      </c>
      <c r="M282">
        <v>1</v>
      </c>
      <c r="N282">
        <v>2020</v>
      </c>
      <c r="O282">
        <v>30</v>
      </c>
      <c r="P282">
        <v>1</v>
      </c>
      <c r="Q282">
        <v>4.0874686539039071E-2</v>
      </c>
      <c r="R282">
        <v>4.0874686539039071E-2</v>
      </c>
      <c r="S282">
        <v>4.0874686539039071E-2</v>
      </c>
      <c r="T282">
        <v>4.0874686539039071E-2</v>
      </c>
      <c r="U282">
        <v>4.0874686539039071E-2</v>
      </c>
      <c r="V282">
        <v>4.0874686539039071E-2</v>
      </c>
      <c r="W282">
        <v>4.0874686539039071E-2</v>
      </c>
      <c r="X282">
        <v>35064.743526515987</v>
      </c>
      <c r="Y282">
        <v>35064.743526515987</v>
      </c>
      <c r="Z282">
        <v>35064.743526515987</v>
      </c>
      <c r="AA282">
        <v>35064.743526515987</v>
      </c>
      <c r="AB282">
        <v>35064.743526515987</v>
      </c>
      <c r="AC282">
        <v>35064.743526515987</v>
      </c>
      <c r="AD282">
        <v>35064.743526515987</v>
      </c>
      <c r="AE282">
        <v>3506.474352651599</v>
      </c>
      <c r="AF282">
        <v>3506.474352651599</v>
      </c>
      <c r="AG282">
        <v>3506.474352651599</v>
      </c>
      <c r="AH282">
        <v>3506.474352651599</v>
      </c>
      <c r="AI282">
        <v>3506.474352651599</v>
      </c>
      <c r="AJ282">
        <v>3506.474352651599</v>
      </c>
      <c r="AK282">
        <v>3506.474352651599</v>
      </c>
    </row>
    <row r="283" spans="1:37" hidden="1" x14ac:dyDescent="0.25">
      <c r="A283" t="s">
        <v>90</v>
      </c>
      <c r="B283" t="s">
        <v>91</v>
      </c>
      <c r="C283" t="s">
        <v>300</v>
      </c>
      <c r="F283" t="s">
        <v>202</v>
      </c>
      <c r="G283" t="s">
        <v>122</v>
      </c>
      <c r="H283" t="s">
        <v>123</v>
      </c>
      <c r="I283" t="s">
        <v>301</v>
      </c>
      <c r="J283" t="s">
        <v>302</v>
      </c>
      <c r="K283" t="s">
        <v>98</v>
      </c>
      <c r="L283">
        <v>0</v>
      </c>
      <c r="M283">
        <v>1</v>
      </c>
      <c r="N283">
        <v>2020</v>
      </c>
      <c r="O283">
        <v>30</v>
      </c>
      <c r="P283">
        <v>1</v>
      </c>
      <c r="Q283">
        <v>4.0874686539039071E-2</v>
      </c>
      <c r="R283">
        <v>4.0874686539039071E-2</v>
      </c>
      <c r="S283">
        <v>4.0874686539039071E-2</v>
      </c>
      <c r="T283">
        <v>4.0874686539039071E-2</v>
      </c>
      <c r="U283">
        <v>4.0874686539039071E-2</v>
      </c>
      <c r="V283">
        <v>4.0874686539039071E-2</v>
      </c>
      <c r="W283">
        <v>4.0874686539039071E-2</v>
      </c>
      <c r="X283">
        <v>35064.743526515987</v>
      </c>
      <c r="Y283">
        <v>35064.743526515987</v>
      </c>
      <c r="Z283">
        <v>35064.743526515987</v>
      </c>
      <c r="AA283">
        <v>35064.743526515987</v>
      </c>
      <c r="AB283">
        <v>35064.743526515987</v>
      </c>
      <c r="AC283">
        <v>35064.743526515987</v>
      </c>
      <c r="AD283">
        <v>35064.743526515987</v>
      </c>
      <c r="AE283">
        <v>3506.474352651599</v>
      </c>
      <c r="AF283">
        <v>3506.474352651599</v>
      </c>
      <c r="AG283">
        <v>3506.474352651599</v>
      </c>
      <c r="AH283">
        <v>3506.474352651599</v>
      </c>
      <c r="AI283">
        <v>3506.474352651599</v>
      </c>
      <c r="AJ283">
        <v>3506.474352651599</v>
      </c>
      <c r="AK283">
        <v>3506.474352651599</v>
      </c>
    </row>
    <row r="284" spans="1:37" hidden="1" x14ac:dyDescent="0.25">
      <c r="A284" t="s">
        <v>90</v>
      </c>
      <c r="B284" t="s">
        <v>91</v>
      </c>
      <c r="C284" t="s">
        <v>300</v>
      </c>
      <c r="F284" t="s">
        <v>202</v>
      </c>
      <c r="G284" t="s">
        <v>124</v>
      </c>
      <c r="H284" t="s">
        <v>125</v>
      </c>
      <c r="I284" t="s">
        <v>301</v>
      </c>
      <c r="J284" t="s">
        <v>302</v>
      </c>
      <c r="K284" t="s">
        <v>98</v>
      </c>
      <c r="L284">
        <v>0</v>
      </c>
      <c r="M284">
        <v>1</v>
      </c>
      <c r="N284">
        <v>2020</v>
      </c>
      <c r="O284">
        <v>30</v>
      </c>
      <c r="P284">
        <v>0.1</v>
      </c>
      <c r="Q284">
        <v>4.0874686539039071E-2</v>
      </c>
      <c r="R284">
        <v>4.0874686539039071E-2</v>
      </c>
      <c r="S284">
        <v>4.0874686539039071E-2</v>
      </c>
      <c r="T284">
        <v>4.0874686539039071E-2</v>
      </c>
      <c r="U284">
        <v>4.0874686539039071E-2</v>
      </c>
      <c r="V284">
        <v>4.0874686539039071E-2</v>
      </c>
      <c r="W284">
        <v>4.0874686539039071E-2</v>
      </c>
      <c r="X284">
        <v>35064.743526515987</v>
      </c>
      <c r="Y284">
        <v>35064.743526515987</v>
      </c>
      <c r="Z284">
        <v>35064.743526515987</v>
      </c>
      <c r="AA284">
        <v>35064.743526515987</v>
      </c>
      <c r="AB284">
        <v>35064.743526515987</v>
      </c>
      <c r="AC284">
        <v>35064.743526515987</v>
      </c>
      <c r="AD284">
        <v>35064.743526515987</v>
      </c>
      <c r="AE284">
        <v>3506.474352651599</v>
      </c>
      <c r="AF284">
        <v>3506.474352651599</v>
      </c>
      <c r="AG284">
        <v>3506.474352651599</v>
      </c>
      <c r="AH284">
        <v>3506.474352651599</v>
      </c>
      <c r="AI284">
        <v>3506.474352651599</v>
      </c>
      <c r="AJ284">
        <v>3506.474352651599</v>
      </c>
      <c r="AK284">
        <v>3506.474352651599</v>
      </c>
    </row>
    <row r="285" spans="1:37" hidden="1" x14ac:dyDescent="0.25">
      <c r="A285" t="s">
        <v>90</v>
      </c>
      <c r="B285" t="s">
        <v>91</v>
      </c>
      <c r="C285" t="s">
        <v>300</v>
      </c>
      <c r="F285" t="s">
        <v>303</v>
      </c>
      <c r="G285" t="s">
        <v>304</v>
      </c>
      <c r="H285" t="s">
        <v>305</v>
      </c>
      <c r="I285" t="s">
        <v>301</v>
      </c>
      <c r="J285" t="s">
        <v>306</v>
      </c>
      <c r="K285" t="s">
        <v>98</v>
      </c>
      <c r="L285">
        <v>1</v>
      </c>
      <c r="M285">
        <v>1</v>
      </c>
      <c r="N285">
        <v>2020</v>
      </c>
      <c r="O285">
        <v>30</v>
      </c>
      <c r="P285">
        <v>1</v>
      </c>
      <c r="Q285">
        <v>4.0874686539039071E-2</v>
      </c>
      <c r="R285">
        <v>4.0874686539039071E-2</v>
      </c>
      <c r="S285">
        <v>4.0874686539039071E-2</v>
      </c>
      <c r="T285">
        <v>4.0874686539039071E-2</v>
      </c>
      <c r="U285">
        <v>4.0874686539039071E-2</v>
      </c>
      <c r="V285">
        <v>4.0874686539039071E-2</v>
      </c>
      <c r="W285">
        <v>4.0874686539039071E-2</v>
      </c>
      <c r="X285">
        <v>35064.743526515987</v>
      </c>
      <c r="Y285">
        <v>35064.743526515987</v>
      </c>
      <c r="Z285">
        <v>35064.743526515987</v>
      </c>
      <c r="AA285">
        <v>35064.743526515987</v>
      </c>
      <c r="AB285">
        <v>35064.743526515987</v>
      </c>
      <c r="AC285">
        <v>35064.743526515987</v>
      </c>
      <c r="AD285">
        <v>35064.743526515987</v>
      </c>
      <c r="AE285">
        <v>3506.474352651599</v>
      </c>
      <c r="AF285">
        <v>3506.474352651599</v>
      </c>
      <c r="AG285">
        <v>3506.474352651599</v>
      </c>
      <c r="AH285">
        <v>3506.474352651599</v>
      </c>
      <c r="AI285">
        <v>3506.474352651599</v>
      </c>
      <c r="AJ285">
        <v>3506.474352651599</v>
      </c>
      <c r="AK285">
        <v>3506.474352651599</v>
      </c>
    </row>
    <row r="286" spans="1:37" hidden="1" x14ac:dyDescent="0.25">
      <c r="A286" t="s">
        <v>90</v>
      </c>
      <c r="B286" t="s">
        <v>91</v>
      </c>
      <c r="C286" t="s">
        <v>300</v>
      </c>
      <c r="F286" t="s">
        <v>213</v>
      </c>
      <c r="G286" t="s">
        <v>133</v>
      </c>
      <c r="H286" t="s">
        <v>134</v>
      </c>
      <c r="I286" t="s">
        <v>301</v>
      </c>
      <c r="J286" t="s">
        <v>307</v>
      </c>
      <c r="K286" t="s">
        <v>98</v>
      </c>
      <c r="L286">
        <v>1</v>
      </c>
      <c r="M286">
        <v>1</v>
      </c>
      <c r="N286">
        <v>2020</v>
      </c>
      <c r="O286">
        <v>30</v>
      </c>
      <c r="P286">
        <v>1</v>
      </c>
      <c r="Q286">
        <v>4.0874686539039071E-2</v>
      </c>
      <c r="R286">
        <v>4.0874686539039071E-2</v>
      </c>
      <c r="S286">
        <v>4.0874686539039071E-2</v>
      </c>
      <c r="T286">
        <v>4.0874686539039071E-2</v>
      </c>
      <c r="U286">
        <v>4.0874686539039071E-2</v>
      </c>
      <c r="V286">
        <v>4.0874686539039071E-2</v>
      </c>
      <c r="W286">
        <v>4.0874686539039071E-2</v>
      </c>
      <c r="X286">
        <v>35064.743526515987</v>
      </c>
      <c r="Y286">
        <v>35064.743526515987</v>
      </c>
      <c r="Z286">
        <v>35064.743526515987</v>
      </c>
      <c r="AA286">
        <v>35064.743526515987</v>
      </c>
      <c r="AB286">
        <v>35064.743526515987</v>
      </c>
      <c r="AC286">
        <v>35064.743526515987</v>
      </c>
      <c r="AD286">
        <v>35064.743526515987</v>
      </c>
      <c r="AE286">
        <v>3506.474352651599</v>
      </c>
      <c r="AF286">
        <v>3506.474352651599</v>
      </c>
      <c r="AG286">
        <v>3506.474352651599</v>
      </c>
      <c r="AH286">
        <v>3506.474352651599</v>
      </c>
      <c r="AI286">
        <v>3506.474352651599</v>
      </c>
      <c r="AJ286">
        <v>3506.474352651599</v>
      </c>
      <c r="AK286">
        <v>3506.474352651599</v>
      </c>
    </row>
    <row r="287" spans="1:37" hidden="1" x14ac:dyDescent="0.25">
      <c r="A287" t="s">
        <v>90</v>
      </c>
      <c r="B287" t="s">
        <v>91</v>
      </c>
      <c r="C287" t="s">
        <v>308</v>
      </c>
      <c r="F287" t="s">
        <v>303</v>
      </c>
      <c r="G287" t="s">
        <v>304</v>
      </c>
      <c r="H287" t="s">
        <v>305</v>
      </c>
      <c r="I287" t="s">
        <v>309</v>
      </c>
      <c r="J287" t="s">
        <v>310</v>
      </c>
      <c r="K287" t="s">
        <v>98</v>
      </c>
      <c r="L287">
        <v>1</v>
      </c>
      <c r="M287">
        <v>1</v>
      </c>
      <c r="N287">
        <v>2020</v>
      </c>
      <c r="O287">
        <v>30</v>
      </c>
      <c r="P287">
        <v>1</v>
      </c>
      <c r="Q287">
        <v>7.814652044054797E-2</v>
      </c>
      <c r="R287">
        <v>7.814652044054797E-2</v>
      </c>
      <c r="S287">
        <v>7.814652044054797E-2</v>
      </c>
      <c r="T287">
        <v>7.814652044054797E-2</v>
      </c>
      <c r="U287">
        <v>7.814652044054797E-2</v>
      </c>
      <c r="V287">
        <v>7.814652044054797E-2</v>
      </c>
      <c r="W287">
        <v>7.814652044054797E-2</v>
      </c>
      <c r="X287">
        <v>1585.923890582003</v>
      </c>
      <c r="Y287">
        <v>1585.923890582003</v>
      </c>
      <c r="Z287">
        <v>1585.923890582003</v>
      </c>
      <c r="AA287">
        <v>1585.923890582003</v>
      </c>
      <c r="AB287">
        <v>1585.923890582003</v>
      </c>
      <c r="AC287">
        <v>1585.923890582003</v>
      </c>
      <c r="AD287">
        <v>1585.923890582003</v>
      </c>
      <c r="AE287">
        <v>158.5923890582003</v>
      </c>
      <c r="AF287">
        <v>158.5923890582003</v>
      </c>
      <c r="AG287">
        <v>158.5923890582003</v>
      </c>
      <c r="AH287">
        <v>158.5923890582003</v>
      </c>
      <c r="AI287">
        <v>158.5923890582003</v>
      </c>
      <c r="AJ287">
        <v>158.5923890582003</v>
      </c>
      <c r="AK287">
        <v>158.5923890582003</v>
      </c>
    </row>
    <row r="288" spans="1:37" hidden="1" x14ac:dyDescent="0.25">
      <c r="A288" t="s">
        <v>90</v>
      </c>
      <c r="B288" t="s">
        <v>91</v>
      </c>
      <c r="C288" t="s">
        <v>311</v>
      </c>
      <c r="F288" t="s">
        <v>303</v>
      </c>
      <c r="G288" t="s">
        <v>304</v>
      </c>
      <c r="H288" t="s">
        <v>305</v>
      </c>
      <c r="I288" t="s">
        <v>312</v>
      </c>
      <c r="J288" t="s">
        <v>313</v>
      </c>
      <c r="K288" t="s">
        <v>98</v>
      </c>
      <c r="L288">
        <v>1</v>
      </c>
      <c r="M288">
        <v>1</v>
      </c>
      <c r="N288">
        <v>2020</v>
      </c>
      <c r="O288">
        <v>30</v>
      </c>
      <c r="P288">
        <v>1</v>
      </c>
      <c r="Q288">
        <v>7.814652044054797E-2</v>
      </c>
      <c r="R288">
        <v>7.814652044054797E-2</v>
      </c>
      <c r="S288">
        <v>7.814652044054797E-2</v>
      </c>
      <c r="T288">
        <v>7.814652044054797E-2</v>
      </c>
      <c r="U288">
        <v>7.814652044054797E-2</v>
      </c>
      <c r="V288">
        <v>7.814652044054797E-2</v>
      </c>
      <c r="W288">
        <v>7.814652044054797E-2</v>
      </c>
      <c r="X288">
        <v>1585.923890582003</v>
      </c>
      <c r="Y288">
        <v>1585.923890582003</v>
      </c>
      <c r="Z288">
        <v>1585.923890582003</v>
      </c>
      <c r="AA288">
        <v>1585.923890582003</v>
      </c>
      <c r="AB288">
        <v>1585.923890582003</v>
      </c>
      <c r="AC288">
        <v>1585.923890582003</v>
      </c>
      <c r="AD288">
        <v>1585.923890582003</v>
      </c>
      <c r="AE288">
        <v>158.5923890582003</v>
      </c>
      <c r="AF288">
        <v>158.5923890582003</v>
      </c>
      <c r="AG288">
        <v>158.5923890582003</v>
      </c>
      <c r="AH288">
        <v>158.5923890582003</v>
      </c>
      <c r="AI288">
        <v>158.5923890582003</v>
      </c>
      <c r="AJ288">
        <v>158.5923890582003</v>
      </c>
      <c r="AK288">
        <v>158.5923890582003</v>
      </c>
    </row>
    <row r="289" spans="1:37" hidden="1" x14ac:dyDescent="0.25">
      <c r="A289" t="s">
        <v>90</v>
      </c>
      <c r="B289" t="s">
        <v>282</v>
      </c>
      <c r="C289" t="s">
        <v>314</v>
      </c>
      <c r="F289" t="s">
        <v>202</v>
      </c>
      <c r="G289" t="s">
        <v>119</v>
      </c>
      <c r="H289" t="s">
        <v>120</v>
      </c>
      <c r="I289" t="s">
        <v>315</v>
      </c>
      <c r="J289" t="s">
        <v>316</v>
      </c>
      <c r="K289" t="s">
        <v>98</v>
      </c>
      <c r="L289">
        <v>1</v>
      </c>
      <c r="M289">
        <v>1</v>
      </c>
      <c r="N289">
        <v>2020</v>
      </c>
      <c r="O289">
        <v>30</v>
      </c>
      <c r="P289">
        <v>1</v>
      </c>
      <c r="Q289">
        <v>1.142762194627794E-3</v>
      </c>
      <c r="R289">
        <v>1.142762194627794E-3</v>
      </c>
      <c r="S289">
        <v>1.142762194627794E-3</v>
      </c>
      <c r="T289">
        <v>1.142762194627794E-3</v>
      </c>
      <c r="U289">
        <v>1.142762194627794E-3</v>
      </c>
      <c r="V289">
        <v>1.142762194627794E-3</v>
      </c>
      <c r="W289">
        <v>1.142762194627794E-3</v>
      </c>
      <c r="X289">
        <v>59271.955492113273</v>
      </c>
      <c r="Y289">
        <v>59271.955492113273</v>
      </c>
      <c r="Z289">
        <v>59271.955492113273</v>
      </c>
      <c r="AA289">
        <v>59271.955492113273</v>
      </c>
      <c r="AB289">
        <v>59271.955492113273</v>
      </c>
      <c r="AC289">
        <v>59271.955492113273</v>
      </c>
      <c r="AD289">
        <v>59271.955492113273</v>
      </c>
      <c r="AE289">
        <v>2963.5977746056642</v>
      </c>
      <c r="AF289">
        <v>2963.5977746056642</v>
      </c>
      <c r="AG289">
        <v>2963.5977746056642</v>
      </c>
      <c r="AH289">
        <v>2963.5977746056642</v>
      </c>
      <c r="AI289">
        <v>2963.5977746056642</v>
      </c>
      <c r="AJ289">
        <v>2963.5977746056642</v>
      </c>
      <c r="AK289">
        <v>2963.5977746056642</v>
      </c>
    </row>
    <row r="290" spans="1:37" hidden="1" x14ac:dyDescent="0.25">
      <c r="A290" t="s">
        <v>90</v>
      </c>
      <c r="B290" t="s">
        <v>282</v>
      </c>
      <c r="C290" t="s">
        <v>314</v>
      </c>
      <c r="F290" t="s">
        <v>202</v>
      </c>
      <c r="G290" t="s">
        <v>122</v>
      </c>
      <c r="H290" t="s">
        <v>123</v>
      </c>
      <c r="I290" t="s">
        <v>315</v>
      </c>
      <c r="J290" t="s">
        <v>316</v>
      </c>
      <c r="K290" t="s">
        <v>98</v>
      </c>
      <c r="L290">
        <v>0</v>
      </c>
      <c r="M290">
        <v>1</v>
      </c>
      <c r="N290">
        <v>2020</v>
      </c>
      <c r="O290">
        <v>30</v>
      </c>
      <c r="P290">
        <v>1</v>
      </c>
      <c r="Q290">
        <v>1.142762194627794E-3</v>
      </c>
      <c r="R290">
        <v>1.142762194627794E-3</v>
      </c>
      <c r="S290">
        <v>1.142762194627794E-3</v>
      </c>
      <c r="T290">
        <v>1.142762194627794E-3</v>
      </c>
      <c r="U290">
        <v>1.142762194627794E-3</v>
      </c>
      <c r="V290">
        <v>1.142762194627794E-3</v>
      </c>
      <c r="W290">
        <v>1.142762194627794E-3</v>
      </c>
      <c r="X290">
        <v>59271.955492113273</v>
      </c>
      <c r="Y290">
        <v>59271.955492113273</v>
      </c>
      <c r="Z290">
        <v>59271.955492113273</v>
      </c>
      <c r="AA290">
        <v>59271.955492113273</v>
      </c>
      <c r="AB290">
        <v>59271.955492113273</v>
      </c>
      <c r="AC290">
        <v>59271.955492113273</v>
      </c>
      <c r="AD290">
        <v>59271.955492113273</v>
      </c>
      <c r="AE290">
        <v>2963.5977746056642</v>
      </c>
      <c r="AF290">
        <v>2963.5977746056642</v>
      </c>
      <c r="AG290">
        <v>2963.5977746056642</v>
      </c>
      <c r="AH290">
        <v>2963.5977746056642</v>
      </c>
      <c r="AI290">
        <v>2963.5977746056642</v>
      </c>
      <c r="AJ290">
        <v>2963.5977746056642</v>
      </c>
      <c r="AK290">
        <v>2963.5977746056642</v>
      </c>
    </row>
    <row r="291" spans="1:37" hidden="1" x14ac:dyDescent="0.25">
      <c r="A291" t="s">
        <v>90</v>
      </c>
      <c r="B291" t="s">
        <v>282</v>
      </c>
      <c r="C291" t="s">
        <v>314</v>
      </c>
      <c r="F291" t="s">
        <v>202</v>
      </c>
      <c r="G291" t="s">
        <v>124</v>
      </c>
      <c r="H291" t="s">
        <v>125</v>
      </c>
      <c r="I291" t="s">
        <v>315</v>
      </c>
      <c r="J291" t="s">
        <v>316</v>
      </c>
      <c r="K291" t="s">
        <v>98</v>
      </c>
      <c r="L291">
        <v>0</v>
      </c>
      <c r="M291">
        <v>1</v>
      </c>
      <c r="N291">
        <v>2020</v>
      </c>
      <c r="O291">
        <v>30</v>
      </c>
      <c r="P291">
        <v>0.1</v>
      </c>
      <c r="Q291">
        <v>1.142762194627794E-3</v>
      </c>
      <c r="R291">
        <v>1.142762194627794E-3</v>
      </c>
      <c r="S291">
        <v>1.142762194627794E-3</v>
      </c>
      <c r="T291">
        <v>1.142762194627794E-3</v>
      </c>
      <c r="U291">
        <v>1.142762194627794E-3</v>
      </c>
      <c r="V291">
        <v>1.142762194627794E-3</v>
      </c>
      <c r="W291">
        <v>1.142762194627794E-3</v>
      </c>
      <c r="X291">
        <v>59271.955492113273</v>
      </c>
      <c r="Y291">
        <v>59271.955492113273</v>
      </c>
      <c r="Z291">
        <v>59271.955492113273</v>
      </c>
      <c r="AA291">
        <v>59271.955492113273</v>
      </c>
      <c r="AB291">
        <v>59271.955492113273</v>
      </c>
      <c r="AC291">
        <v>59271.955492113273</v>
      </c>
      <c r="AD291">
        <v>59271.955492113273</v>
      </c>
      <c r="AE291">
        <v>2963.5977746056642</v>
      </c>
      <c r="AF291">
        <v>2963.5977746056642</v>
      </c>
      <c r="AG291">
        <v>2963.5977746056642</v>
      </c>
      <c r="AH291">
        <v>2963.5977746056642</v>
      </c>
      <c r="AI291">
        <v>2963.5977746056642</v>
      </c>
      <c r="AJ291">
        <v>2963.5977746056642</v>
      </c>
      <c r="AK291">
        <v>2963.5977746056642</v>
      </c>
    </row>
    <row r="292" spans="1:37" hidden="1" x14ac:dyDescent="0.25">
      <c r="A292" t="s">
        <v>90</v>
      </c>
      <c r="B292" t="s">
        <v>282</v>
      </c>
      <c r="C292" t="s">
        <v>314</v>
      </c>
      <c r="F292" t="s">
        <v>317</v>
      </c>
      <c r="G292" t="s">
        <v>119</v>
      </c>
      <c r="H292" t="s">
        <v>120</v>
      </c>
      <c r="I292" t="s">
        <v>315</v>
      </c>
      <c r="J292" t="s">
        <v>316</v>
      </c>
      <c r="K292" t="s">
        <v>98</v>
      </c>
      <c r="L292">
        <v>0</v>
      </c>
      <c r="M292">
        <v>1</v>
      </c>
      <c r="N292">
        <v>2020</v>
      </c>
      <c r="O292">
        <v>30</v>
      </c>
      <c r="P292">
        <v>1</v>
      </c>
      <c r="Q292">
        <v>1.2985934029861291E-3</v>
      </c>
      <c r="R292">
        <v>1.2985934029861291E-3</v>
      </c>
      <c r="S292">
        <v>1.2985934029861291E-3</v>
      </c>
      <c r="T292">
        <v>1.2985934029861291E-3</v>
      </c>
      <c r="U292">
        <v>1.2985934029861291E-3</v>
      </c>
      <c r="V292">
        <v>1.2985934029861291E-3</v>
      </c>
      <c r="W292">
        <v>1.2985934029861291E-3</v>
      </c>
      <c r="X292">
        <v>61074.414708565899</v>
      </c>
      <c r="Y292">
        <v>61074.414708565899</v>
      </c>
      <c r="Z292">
        <v>61074.414708565899</v>
      </c>
      <c r="AA292">
        <v>61074.414708565899</v>
      </c>
      <c r="AB292">
        <v>61074.414708565899</v>
      </c>
      <c r="AC292">
        <v>61074.414708565899</v>
      </c>
      <c r="AD292">
        <v>61074.414708565899</v>
      </c>
      <c r="AE292">
        <v>3029.795657556575</v>
      </c>
      <c r="AF292">
        <v>3029.795657556575</v>
      </c>
      <c r="AG292">
        <v>3029.795657556575</v>
      </c>
      <c r="AH292">
        <v>3029.795657556575</v>
      </c>
      <c r="AI292">
        <v>3029.795657556575</v>
      </c>
      <c r="AJ292">
        <v>3029.795657556575</v>
      </c>
      <c r="AK292">
        <v>3029.795657556575</v>
      </c>
    </row>
    <row r="293" spans="1:37" hidden="1" x14ac:dyDescent="0.25">
      <c r="A293" t="s">
        <v>90</v>
      </c>
      <c r="B293" t="s">
        <v>282</v>
      </c>
      <c r="C293" t="s">
        <v>314</v>
      </c>
      <c r="F293" t="s">
        <v>317</v>
      </c>
      <c r="G293" t="s">
        <v>122</v>
      </c>
      <c r="H293" t="s">
        <v>123</v>
      </c>
      <c r="I293" t="s">
        <v>315</v>
      </c>
      <c r="J293" t="s">
        <v>316</v>
      </c>
      <c r="K293" t="s">
        <v>98</v>
      </c>
      <c r="L293">
        <v>0</v>
      </c>
      <c r="M293">
        <v>1</v>
      </c>
      <c r="N293">
        <v>2020</v>
      </c>
      <c r="O293">
        <v>30</v>
      </c>
      <c r="P293">
        <v>1</v>
      </c>
      <c r="Q293">
        <v>1.2985934029861291E-3</v>
      </c>
      <c r="R293">
        <v>1.2985934029861291E-3</v>
      </c>
      <c r="S293">
        <v>1.2985934029861291E-3</v>
      </c>
      <c r="T293">
        <v>1.2985934029861291E-3</v>
      </c>
      <c r="U293">
        <v>1.2985934029861291E-3</v>
      </c>
      <c r="V293">
        <v>1.2985934029861291E-3</v>
      </c>
      <c r="W293">
        <v>1.2985934029861291E-3</v>
      </c>
      <c r="X293">
        <v>61074.414708565899</v>
      </c>
      <c r="Y293">
        <v>61074.414708565899</v>
      </c>
      <c r="Z293">
        <v>61074.414708565899</v>
      </c>
      <c r="AA293">
        <v>61074.414708565899</v>
      </c>
      <c r="AB293">
        <v>61074.414708565899</v>
      </c>
      <c r="AC293">
        <v>61074.414708565899</v>
      </c>
      <c r="AD293">
        <v>61074.414708565899</v>
      </c>
      <c r="AE293">
        <v>3029.795657556575</v>
      </c>
      <c r="AF293">
        <v>3029.795657556575</v>
      </c>
      <c r="AG293">
        <v>3029.795657556575</v>
      </c>
      <c r="AH293">
        <v>3029.795657556575</v>
      </c>
      <c r="AI293">
        <v>3029.795657556575</v>
      </c>
      <c r="AJ293">
        <v>3029.795657556575</v>
      </c>
      <c r="AK293">
        <v>3029.795657556575</v>
      </c>
    </row>
    <row r="294" spans="1:37" hidden="1" x14ac:dyDescent="0.25">
      <c r="A294" t="s">
        <v>90</v>
      </c>
      <c r="B294" t="s">
        <v>282</v>
      </c>
      <c r="C294" t="s">
        <v>314</v>
      </c>
      <c r="F294" t="s">
        <v>317</v>
      </c>
      <c r="G294" t="s">
        <v>124</v>
      </c>
      <c r="H294" t="s">
        <v>125</v>
      </c>
      <c r="I294" t="s">
        <v>315</v>
      </c>
      <c r="J294" t="s">
        <v>316</v>
      </c>
      <c r="K294" t="s">
        <v>98</v>
      </c>
      <c r="L294">
        <v>0</v>
      </c>
      <c r="M294">
        <v>1</v>
      </c>
      <c r="N294">
        <v>2020</v>
      </c>
      <c r="O294">
        <v>30</v>
      </c>
      <c r="P294">
        <v>0.1</v>
      </c>
      <c r="Q294">
        <v>1.2985934029861291E-3</v>
      </c>
      <c r="R294">
        <v>1.2985934029861291E-3</v>
      </c>
      <c r="S294">
        <v>1.2985934029861291E-3</v>
      </c>
      <c r="T294">
        <v>1.2985934029861291E-3</v>
      </c>
      <c r="U294">
        <v>1.2985934029861291E-3</v>
      </c>
      <c r="V294">
        <v>1.2985934029861291E-3</v>
      </c>
      <c r="W294">
        <v>1.2985934029861291E-3</v>
      </c>
      <c r="X294">
        <v>61074.414708565899</v>
      </c>
      <c r="Y294">
        <v>61074.414708565899</v>
      </c>
      <c r="Z294">
        <v>61074.414708565899</v>
      </c>
      <c r="AA294">
        <v>61074.414708565899</v>
      </c>
      <c r="AB294">
        <v>61074.414708565899</v>
      </c>
      <c r="AC294">
        <v>61074.414708565899</v>
      </c>
      <c r="AD294">
        <v>61074.414708565899</v>
      </c>
      <c r="AE294">
        <v>3029.795657556575</v>
      </c>
      <c r="AF294">
        <v>3029.795657556575</v>
      </c>
      <c r="AG294">
        <v>3029.795657556575</v>
      </c>
      <c r="AH294">
        <v>3029.795657556575</v>
      </c>
      <c r="AI294">
        <v>3029.795657556575</v>
      </c>
      <c r="AJ294">
        <v>3029.795657556575</v>
      </c>
      <c r="AK294">
        <v>3029.795657556575</v>
      </c>
    </row>
    <row r="295" spans="1:37" hidden="1" x14ac:dyDescent="0.25">
      <c r="A295" t="s">
        <v>90</v>
      </c>
      <c r="B295" t="s">
        <v>282</v>
      </c>
      <c r="C295" t="s">
        <v>314</v>
      </c>
      <c r="F295" t="s">
        <v>318</v>
      </c>
      <c r="G295" t="s">
        <v>119</v>
      </c>
      <c r="H295" t="s">
        <v>120</v>
      </c>
      <c r="I295" t="s">
        <v>315</v>
      </c>
      <c r="J295" t="s">
        <v>319</v>
      </c>
      <c r="K295" t="s">
        <v>98</v>
      </c>
      <c r="L295">
        <v>1</v>
      </c>
      <c r="M295">
        <v>1</v>
      </c>
      <c r="N295">
        <v>2020</v>
      </c>
      <c r="O295">
        <v>30</v>
      </c>
      <c r="P295">
        <v>1</v>
      </c>
      <c r="Q295">
        <v>1.4284527432847419E-3</v>
      </c>
      <c r="R295">
        <v>1.4284527432847419E-3</v>
      </c>
      <c r="S295">
        <v>1.4284527432847419E-3</v>
      </c>
      <c r="T295">
        <v>1.4284527432847419E-3</v>
      </c>
      <c r="U295">
        <v>1.4284527432847419E-3</v>
      </c>
      <c r="V295">
        <v>1.4284527432847419E-3</v>
      </c>
      <c r="W295">
        <v>1.4284527432847419E-3</v>
      </c>
      <c r="X295">
        <v>70358.979429618339</v>
      </c>
      <c r="Y295">
        <v>70358.979429618339</v>
      </c>
      <c r="Z295">
        <v>70358.979429618339</v>
      </c>
      <c r="AA295">
        <v>70358.979429618339</v>
      </c>
      <c r="AB295">
        <v>70358.979429618339</v>
      </c>
      <c r="AC295">
        <v>70358.979429618339</v>
      </c>
      <c r="AD295">
        <v>70358.979429618339</v>
      </c>
      <c r="AE295">
        <v>3517.948971480917</v>
      </c>
      <c r="AF295">
        <v>3517.948971480917</v>
      </c>
      <c r="AG295">
        <v>3517.948971480917</v>
      </c>
      <c r="AH295">
        <v>3517.948971480917</v>
      </c>
      <c r="AI295">
        <v>3517.948971480917</v>
      </c>
      <c r="AJ295">
        <v>3517.948971480917</v>
      </c>
      <c r="AK295">
        <v>3517.948971480917</v>
      </c>
    </row>
    <row r="296" spans="1:37" hidden="1" x14ac:dyDescent="0.25">
      <c r="A296" t="s">
        <v>90</v>
      </c>
      <c r="B296" t="s">
        <v>282</v>
      </c>
      <c r="C296" t="s">
        <v>314</v>
      </c>
      <c r="F296" t="s">
        <v>318</v>
      </c>
      <c r="G296" t="s">
        <v>122</v>
      </c>
      <c r="H296" t="s">
        <v>123</v>
      </c>
      <c r="I296" t="s">
        <v>315</v>
      </c>
      <c r="J296" t="s">
        <v>319</v>
      </c>
      <c r="K296" t="s">
        <v>98</v>
      </c>
      <c r="L296">
        <v>0</v>
      </c>
      <c r="M296">
        <v>1</v>
      </c>
      <c r="N296">
        <v>2020</v>
      </c>
      <c r="O296">
        <v>30</v>
      </c>
      <c r="P296">
        <v>1</v>
      </c>
      <c r="Q296">
        <v>1.4284527432847419E-3</v>
      </c>
      <c r="R296">
        <v>1.4284527432847419E-3</v>
      </c>
      <c r="S296">
        <v>1.4284527432847419E-3</v>
      </c>
      <c r="T296">
        <v>1.4284527432847419E-3</v>
      </c>
      <c r="U296">
        <v>1.4284527432847419E-3</v>
      </c>
      <c r="V296">
        <v>1.4284527432847419E-3</v>
      </c>
      <c r="W296">
        <v>1.4284527432847419E-3</v>
      </c>
      <c r="X296">
        <v>70358.979429618339</v>
      </c>
      <c r="Y296">
        <v>70358.979429618339</v>
      </c>
      <c r="Z296">
        <v>70358.979429618339</v>
      </c>
      <c r="AA296">
        <v>70358.979429618339</v>
      </c>
      <c r="AB296">
        <v>70358.979429618339</v>
      </c>
      <c r="AC296">
        <v>70358.979429618339</v>
      </c>
      <c r="AD296">
        <v>70358.979429618339</v>
      </c>
      <c r="AE296">
        <v>3517.948971480917</v>
      </c>
      <c r="AF296">
        <v>3517.948971480917</v>
      </c>
      <c r="AG296">
        <v>3517.948971480917</v>
      </c>
      <c r="AH296">
        <v>3517.948971480917</v>
      </c>
      <c r="AI296">
        <v>3517.948971480917</v>
      </c>
      <c r="AJ296">
        <v>3517.948971480917</v>
      </c>
      <c r="AK296">
        <v>3517.948971480917</v>
      </c>
    </row>
    <row r="297" spans="1:37" hidden="1" x14ac:dyDescent="0.25">
      <c r="A297" t="s">
        <v>90</v>
      </c>
      <c r="B297" t="s">
        <v>282</v>
      </c>
      <c r="C297" t="s">
        <v>314</v>
      </c>
      <c r="F297" t="s">
        <v>318</v>
      </c>
      <c r="G297" t="s">
        <v>124</v>
      </c>
      <c r="H297" t="s">
        <v>125</v>
      </c>
      <c r="I297" t="s">
        <v>315</v>
      </c>
      <c r="J297" t="s">
        <v>319</v>
      </c>
      <c r="K297" t="s">
        <v>98</v>
      </c>
      <c r="L297">
        <v>0</v>
      </c>
      <c r="M297">
        <v>1</v>
      </c>
      <c r="N297">
        <v>2020</v>
      </c>
      <c r="O297">
        <v>30</v>
      </c>
      <c r="P297">
        <v>0.1</v>
      </c>
      <c r="Q297">
        <v>1.4284527432847419E-3</v>
      </c>
      <c r="R297">
        <v>1.4284527432847419E-3</v>
      </c>
      <c r="S297">
        <v>1.4284527432847419E-3</v>
      </c>
      <c r="T297">
        <v>1.4284527432847419E-3</v>
      </c>
      <c r="U297">
        <v>1.4284527432847419E-3</v>
      </c>
      <c r="V297">
        <v>1.4284527432847419E-3</v>
      </c>
      <c r="W297">
        <v>1.4284527432847419E-3</v>
      </c>
      <c r="X297">
        <v>70358.979429618339</v>
      </c>
      <c r="Y297">
        <v>70358.979429618339</v>
      </c>
      <c r="Z297">
        <v>70358.979429618339</v>
      </c>
      <c r="AA297">
        <v>70358.979429618339</v>
      </c>
      <c r="AB297">
        <v>70358.979429618339</v>
      </c>
      <c r="AC297">
        <v>70358.979429618339</v>
      </c>
      <c r="AD297">
        <v>70358.979429618339</v>
      </c>
      <c r="AE297">
        <v>3517.948971480917</v>
      </c>
      <c r="AF297">
        <v>3517.948971480917</v>
      </c>
      <c r="AG297">
        <v>3517.948971480917</v>
      </c>
      <c r="AH297">
        <v>3517.948971480917</v>
      </c>
      <c r="AI297">
        <v>3517.948971480917</v>
      </c>
      <c r="AJ297">
        <v>3517.948971480917</v>
      </c>
      <c r="AK297">
        <v>3517.948971480917</v>
      </c>
    </row>
    <row r="298" spans="1:37" hidden="1" x14ac:dyDescent="0.25">
      <c r="A298" t="s">
        <v>90</v>
      </c>
      <c r="B298" t="s">
        <v>282</v>
      </c>
      <c r="C298" t="s">
        <v>314</v>
      </c>
      <c r="F298" t="s">
        <v>320</v>
      </c>
      <c r="G298" t="s">
        <v>321</v>
      </c>
      <c r="H298" t="s">
        <v>322</v>
      </c>
      <c r="I298" t="s">
        <v>315</v>
      </c>
      <c r="J298" t="s">
        <v>323</v>
      </c>
      <c r="K298" t="s">
        <v>98</v>
      </c>
      <c r="L298">
        <v>1</v>
      </c>
      <c r="M298">
        <v>1</v>
      </c>
      <c r="N298">
        <v>2020</v>
      </c>
      <c r="O298">
        <v>30</v>
      </c>
      <c r="P298">
        <v>1</v>
      </c>
      <c r="Q298">
        <v>1.465216971197143E-3</v>
      </c>
      <c r="R298">
        <v>1.465216971197143E-3</v>
      </c>
      <c r="S298">
        <v>1.465216971197143E-3</v>
      </c>
      <c r="T298">
        <v>1.465216971197143E-3</v>
      </c>
      <c r="U298">
        <v>1.465216971197143E-3</v>
      </c>
      <c r="V298">
        <v>1.465216971197143E-3</v>
      </c>
      <c r="W298">
        <v>1.465216971197143E-3</v>
      </c>
      <c r="X298">
        <v>343962.96330090298</v>
      </c>
      <c r="Y298">
        <v>343962.96330090298</v>
      </c>
      <c r="Z298">
        <v>343962.96330090298</v>
      </c>
      <c r="AA298">
        <v>343962.96330090298</v>
      </c>
      <c r="AB298">
        <v>343962.96330090298</v>
      </c>
      <c r="AC298">
        <v>343962.96330090298</v>
      </c>
      <c r="AD298">
        <v>343962.96330090298</v>
      </c>
      <c r="AE298">
        <v>17198.14816504515</v>
      </c>
      <c r="AF298">
        <v>17198.14816504515</v>
      </c>
      <c r="AG298">
        <v>17198.14816504515</v>
      </c>
      <c r="AH298">
        <v>17198.14816504515</v>
      </c>
      <c r="AI298">
        <v>17198.14816504515</v>
      </c>
      <c r="AJ298">
        <v>17198.14816504515</v>
      </c>
      <c r="AK298">
        <v>17198.14816504515</v>
      </c>
    </row>
    <row r="299" spans="1:37" hidden="1" x14ac:dyDescent="0.25">
      <c r="A299" t="s">
        <v>90</v>
      </c>
      <c r="B299" t="s">
        <v>282</v>
      </c>
      <c r="C299" t="s">
        <v>314</v>
      </c>
      <c r="F299" t="s">
        <v>324</v>
      </c>
      <c r="G299" t="s">
        <v>321</v>
      </c>
      <c r="H299" t="s">
        <v>322</v>
      </c>
      <c r="I299" t="s">
        <v>315</v>
      </c>
      <c r="J299" t="s">
        <v>325</v>
      </c>
      <c r="K299" t="s">
        <v>98</v>
      </c>
      <c r="L299">
        <v>1</v>
      </c>
      <c r="M299">
        <v>1</v>
      </c>
      <c r="N299">
        <v>2020</v>
      </c>
      <c r="O299">
        <v>30</v>
      </c>
      <c r="P299">
        <v>1</v>
      </c>
      <c r="Q299">
        <v>1.6650192854512991E-3</v>
      </c>
      <c r="R299">
        <v>1.6650192854512991E-3</v>
      </c>
      <c r="S299">
        <v>1.6650192854512991E-3</v>
      </c>
      <c r="T299">
        <v>1.6650192854512991E-3</v>
      </c>
      <c r="U299">
        <v>1.6650192854512991E-3</v>
      </c>
      <c r="V299">
        <v>1.6650192854512991E-3</v>
      </c>
      <c r="W299">
        <v>1.6650192854512991E-3</v>
      </c>
      <c r="X299">
        <v>355838.65077076718</v>
      </c>
      <c r="Y299">
        <v>355838.65077076718</v>
      </c>
      <c r="Z299">
        <v>355838.65077076718</v>
      </c>
      <c r="AA299">
        <v>355838.65077076718</v>
      </c>
      <c r="AB299">
        <v>355838.65077076718</v>
      </c>
      <c r="AC299">
        <v>355838.65077076718</v>
      </c>
      <c r="AD299">
        <v>355838.65077076718</v>
      </c>
      <c r="AE299">
        <v>17791.93253853836</v>
      </c>
      <c r="AF299">
        <v>17791.93253853836</v>
      </c>
      <c r="AG299">
        <v>17791.93253853836</v>
      </c>
      <c r="AH299">
        <v>17791.93253853836</v>
      </c>
      <c r="AI299">
        <v>17791.93253853836</v>
      </c>
      <c r="AJ299">
        <v>17791.93253853836</v>
      </c>
      <c r="AK299">
        <v>17791.93253853836</v>
      </c>
    </row>
    <row r="300" spans="1:37" hidden="1" x14ac:dyDescent="0.25">
      <c r="A300" t="s">
        <v>90</v>
      </c>
      <c r="B300" t="s">
        <v>282</v>
      </c>
      <c r="C300" t="s">
        <v>314</v>
      </c>
      <c r="F300" t="s">
        <v>326</v>
      </c>
      <c r="G300" t="s">
        <v>321</v>
      </c>
      <c r="H300" t="s">
        <v>322</v>
      </c>
      <c r="I300" t="s">
        <v>315</v>
      </c>
      <c r="J300" t="s">
        <v>327</v>
      </c>
      <c r="K300" t="s">
        <v>98</v>
      </c>
      <c r="L300">
        <v>1</v>
      </c>
      <c r="M300">
        <v>1</v>
      </c>
      <c r="N300">
        <v>2020</v>
      </c>
      <c r="O300">
        <v>30</v>
      </c>
      <c r="P300">
        <v>1</v>
      </c>
      <c r="Q300">
        <v>1.674533681368163E-3</v>
      </c>
      <c r="R300">
        <v>1.674533681368163E-3</v>
      </c>
      <c r="S300">
        <v>1.674533681368163E-3</v>
      </c>
      <c r="T300">
        <v>1.674533681368163E-3</v>
      </c>
      <c r="U300">
        <v>1.674533681368163E-3</v>
      </c>
      <c r="V300">
        <v>1.674533681368163E-3</v>
      </c>
      <c r="W300">
        <v>1.674533681368163E-3</v>
      </c>
      <c r="X300">
        <v>356861.5744246869</v>
      </c>
      <c r="Y300">
        <v>356861.5744246869</v>
      </c>
      <c r="Z300">
        <v>356861.5744246869</v>
      </c>
      <c r="AA300">
        <v>356861.5744246869</v>
      </c>
      <c r="AB300">
        <v>356861.5744246869</v>
      </c>
      <c r="AC300">
        <v>356861.5744246869</v>
      </c>
      <c r="AD300">
        <v>356861.5744246869</v>
      </c>
      <c r="AE300">
        <v>17843.078721234349</v>
      </c>
      <c r="AF300">
        <v>17843.078721234349</v>
      </c>
      <c r="AG300">
        <v>17843.078721234349</v>
      </c>
      <c r="AH300">
        <v>17843.078721234349</v>
      </c>
      <c r="AI300">
        <v>17843.078721234349</v>
      </c>
      <c r="AJ300">
        <v>17843.078721234349</v>
      </c>
      <c r="AK300">
        <v>17843.078721234349</v>
      </c>
    </row>
    <row r="301" spans="1:37" hidden="1" x14ac:dyDescent="0.25">
      <c r="A301" t="s">
        <v>90</v>
      </c>
      <c r="B301" t="s">
        <v>282</v>
      </c>
      <c r="C301" t="s">
        <v>328</v>
      </c>
      <c r="F301" t="s">
        <v>329</v>
      </c>
      <c r="G301" t="s">
        <v>330</v>
      </c>
      <c r="H301" t="s">
        <v>331</v>
      </c>
      <c r="I301" t="s">
        <v>332</v>
      </c>
      <c r="J301" t="s">
        <v>333</v>
      </c>
      <c r="K301" t="s">
        <v>98</v>
      </c>
      <c r="L301">
        <v>1</v>
      </c>
      <c r="M301">
        <v>1</v>
      </c>
      <c r="N301">
        <v>2020</v>
      </c>
      <c r="O301">
        <v>25</v>
      </c>
      <c r="P301">
        <v>1</v>
      </c>
      <c r="Q301">
        <v>4.4035199083936726E-3</v>
      </c>
      <c r="R301">
        <v>4.4035199083936726E-3</v>
      </c>
      <c r="S301">
        <v>4.4035199083936726E-3</v>
      </c>
      <c r="T301">
        <v>4.4035199083936726E-3</v>
      </c>
      <c r="U301">
        <v>4.4035199083936726E-3</v>
      </c>
      <c r="V301">
        <v>4.4035199083936726E-3</v>
      </c>
      <c r="W301">
        <v>4.4035199083936726E-3</v>
      </c>
      <c r="X301">
        <v>146720.0337907295</v>
      </c>
      <c r="Y301">
        <v>146720.0337907295</v>
      </c>
      <c r="Z301">
        <v>146720.0337907295</v>
      </c>
      <c r="AA301">
        <v>146720.0337907295</v>
      </c>
      <c r="AB301">
        <v>146720.0337907295</v>
      </c>
      <c r="AC301">
        <v>146720.0337907295</v>
      </c>
      <c r="AD301">
        <v>146720.0337907295</v>
      </c>
      <c r="AE301">
        <v>1344.2183809101291</v>
      </c>
      <c r="AF301">
        <v>1344.2183809101291</v>
      </c>
      <c r="AG301">
        <v>1344.2183809101291</v>
      </c>
      <c r="AH301">
        <v>1344.2183809101291</v>
      </c>
      <c r="AI301">
        <v>1344.2183809101291</v>
      </c>
      <c r="AJ301">
        <v>1344.2183809101291</v>
      </c>
      <c r="AK301">
        <v>1344.2183809101291</v>
      </c>
    </row>
    <row r="302" spans="1:37" hidden="1" x14ac:dyDescent="0.25">
      <c r="A302" t="s">
        <v>90</v>
      </c>
      <c r="B302" t="s">
        <v>282</v>
      </c>
      <c r="C302" t="s">
        <v>328</v>
      </c>
      <c r="F302" t="s">
        <v>329</v>
      </c>
      <c r="G302" t="s">
        <v>334</v>
      </c>
      <c r="H302" t="s">
        <v>335</v>
      </c>
      <c r="I302" t="s">
        <v>332</v>
      </c>
      <c r="J302" t="s">
        <v>333</v>
      </c>
      <c r="K302" t="s">
        <v>98</v>
      </c>
      <c r="L302">
        <v>0</v>
      </c>
      <c r="M302">
        <v>1</v>
      </c>
      <c r="N302">
        <v>2020</v>
      </c>
      <c r="O302">
        <v>25</v>
      </c>
      <c r="P302">
        <v>1</v>
      </c>
      <c r="Q302">
        <v>4.4035199083936726E-3</v>
      </c>
      <c r="R302">
        <v>4.4035199083936726E-3</v>
      </c>
      <c r="S302">
        <v>4.4035199083936726E-3</v>
      </c>
      <c r="T302">
        <v>4.4035199083936726E-3</v>
      </c>
      <c r="U302">
        <v>4.4035199083936726E-3</v>
      </c>
      <c r="V302">
        <v>4.4035199083936726E-3</v>
      </c>
      <c r="W302">
        <v>4.4035199083936726E-3</v>
      </c>
      <c r="X302">
        <v>146720.0337907295</v>
      </c>
      <c r="Y302">
        <v>146720.0337907295</v>
      </c>
      <c r="Z302">
        <v>146720.0337907295</v>
      </c>
      <c r="AA302">
        <v>146720.0337907295</v>
      </c>
      <c r="AB302">
        <v>146720.0337907295</v>
      </c>
      <c r="AC302">
        <v>146720.0337907295</v>
      </c>
      <c r="AD302">
        <v>146720.0337907295</v>
      </c>
      <c r="AE302">
        <v>1344.2183809101291</v>
      </c>
      <c r="AF302">
        <v>1344.2183809101291</v>
      </c>
      <c r="AG302">
        <v>1344.2183809101291</v>
      </c>
      <c r="AH302">
        <v>1344.2183809101291</v>
      </c>
      <c r="AI302">
        <v>1344.2183809101291</v>
      </c>
      <c r="AJ302">
        <v>1344.2183809101291</v>
      </c>
      <c r="AK302">
        <v>1344.2183809101291</v>
      </c>
    </row>
    <row r="303" spans="1:37" hidden="1" x14ac:dyDescent="0.25">
      <c r="A303" t="s">
        <v>90</v>
      </c>
      <c r="B303" t="s">
        <v>282</v>
      </c>
      <c r="C303" t="s">
        <v>328</v>
      </c>
      <c r="F303" t="s">
        <v>336</v>
      </c>
      <c r="G303" t="s">
        <v>330</v>
      </c>
      <c r="H303" t="s">
        <v>331</v>
      </c>
      <c r="I303" t="s">
        <v>332</v>
      </c>
      <c r="J303" t="s">
        <v>337</v>
      </c>
      <c r="K303" t="s">
        <v>98</v>
      </c>
      <c r="L303">
        <v>1</v>
      </c>
      <c r="M303">
        <v>1</v>
      </c>
      <c r="N303">
        <v>2020</v>
      </c>
      <c r="O303">
        <v>25</v>
      </c>
      <c r="P303">
        <v>1</v>
      </c>
      <c r="Q303">
        <v>4.6110156108834276E-3</v>
      </c>
      <c r="R303">
        <v>4.6110156108834276E-3</v>
      </c>
      <c r="S303">
        <v>4.6110156108834276E-3</v>
      </c>
      <c r="T303">
        <v>4.6110156108834276E-3</v>
      </c>
      <c r="U303">
        <v>4.6110156108834276E-3</v>
      </c>
      <c r="V303">
        <v>4.6110156108834276E-3</v>
      </c>
      <c r="W303">
        <v>4.6110156108834276E-3</v>
      </c>
      <c r="X303">
        <v>147828.19114564441</v>
      </c>
      <c r="Y303">
        <v>147828.19114564441</v>
      </c>
      <c r="Z303">
        <v>147828.19114564441</v>
      </c>
      <c r="AA303">
        <v>147828.19114564441</v>
      </c>
      <c r="AB303">
        <v>147828.19114564441</v>
      </c>
      <c r="AC303">
        <v>147828.19114564441</v>
      </c>
      <c r="AD303">
        <v>147828.19114564441</v>
      </c>
      <c r="AE303">
        <v>1344.2183809101291</v>
      </c>
      <c r="AF303">
        <v>1344.2183809101291</v>
      </c>
      <c r="AG303">
        <v>1344.2183809101291</v>
      </c>
      <c r="AH303">
        <v>1344.2183809101291</v>
      </c>
      <c r="AI303">
        <v>1344.2183809101291</v>
      </c>
      <c r="AJ303">
        <v>1344.2183809101291</v>
      </c>
      <c r="AK303">
        <v>1344.2183809101291</v>
      </c>
    </row>
    <row r="304" spans="1:37" hidden="1" x14ac:dyDescent="0.25">
      <c r="A304" t="s">
        <v>90</v>
      </c>
      <c r="B304" t="s">
        <v>282</v>
      </c>
      <c r="C304" t="s">
        <v>328</v>
      </c>
      <c r="F304" t="s">
        <v>336</v>
      </c>
      <c r="G304" t="s">
        <v>334</v>
      </c>
      <c r="H304" t="s">
        <v>335</v>
      </c>
      <c r="I304" t="s">
        <v>332</v>
      </c>
      <c r="J304" t="s">
        <v>337</v>
      </c>
      <c r="K304" t="s">
        <v>98</v>
      </c>
      <c r="L304">
        <v>0</v>
      </c>
      <c r="M304">
        <v>1</v>
      </c>
      <c r="N304">
        <v>2020</v>
      </c>
      <c r="O304">
        <v>25</v>
      </c>
      <c r="P304">
        <v>1</v>
      </c>
      <c r="Q304">
        <v>4.6110156108834276E-3</v>
      </c>
      <c r="R304">
        <v>4.6110156108834276E-3</v>
      </c>
      <c r="S304">
        <v>4.6110156108834276E-3</v>
      </c>
      <c r="T304">
        <v>4.6110156108834276E-3</v>
      </c>
      <c r="U304">
        <v>4.6110156108834276E-3</v>
      </c>
      <c r="V304">
        <v>4.6110156108834276E-3</v>
      </c>
      <c r="W304">
        <v>4.6110156108834276E-3</v>
      </c>
      <c r="X304">
        <v>147828.19114564441</v>
      </c>
      <c r="Y304">
        <v>147828.19114564441</v>
      </c>
      <c r="Z304">
        <v>147828.19114564441</v>
      </c>
      <c r="AA304">
        <v>147828.19114564441</v>
      </c>
      <c r="AB304">
        <v>147828.19114564441</v>
      </c>
      <c r="AC304">
        <v>147828.19114564441</v>
      </c>
      <c r="AD304">
        <v>147828.19114564441</v>
      </c>
      <c r="AE304">
        <v>1344.2183809101291</v>
      </c>
      <c r="AF304">
        <v>1344.2183809101291</v>
      </c>
      <c r="AG304">
        <v>1344.2183809101291</v>
      </c>
      <c r="AH304">
        <v>1344.2183809101291</v>
      </c>
      <c r="AI304">
        <v>1344.2183809101291</v>
      </c>
      <c r="AJ304">
        <v>1344.2183809101291</v>
      </c>
      <c r="AK304">
        <v>1344.2183809101291</v>
      </c>
    </row>
    <row r="305" spans="1:37" hidden="1" x14ac:dyDescent="0.25">
      <c r="A305" t="s">
        <v>90</v>
      </c>
      <c r="B305" t="s">
        <v>282</v>
      </c>
      <c r="C305" t="s">
        <v>328</v>
      </c>
      <c r="F305" t="s">
        <v>338</v>
      </c>
      <c r="G305" t="s">
        <v>133</v>
      </c>
      <c r="H305" t="s">
        <v>134</v>
      </c>
      <c r="I305" t="s">
        <v>332</v>
      </c>
      <c r="J305" t="s">
        <v>339</v>
      </c>
      <c r="K305" t="s">
        <v>98</v>
      </c>
      <c r="L305">
        <v>1</v>
      </c>
      <c r="M305">
        <v>1</v>
      </c>
      <c r="N305">
        <v>2020</v>
      </c>
      <c r="O305">
        <v>25</v>
      </c>
      <c r="P305">
        <v>1</v>
      </c>
      <c r="Q305">
        <v>4.3171763807781111E-3</v>
      </c>
      <c r="R305">
        <v>4.3171763807781111E-3</v>
      </c>
      <c r="S305">
        <v>4.3171763807781111E-3</v>
      </c>
      <c r="T305">
        <v>4.3171763807781111E-3</v>
      </c>
      <c r="U305">
        <v>4.3171763807781111E-3</v>
      </c>
      <c r="V305">
        <v>4.3171763807781111E-3</v>
      </c>
      <c r="W305">
        <v>4.3171763807781111E-3</v>
      </c>
      <c r="X305">
        <v>221853.1024539581</v>
      </c>
      <c r="Y305">
        <v>221853.1024539581</v>
      </c>
      <c r="Z305">
        <v>221853.1024539581</v>
      </c>
      <c r="AA305">
        <v>221853.1024539581</v>
      </c>
      <c r="AB305">
        <v>221853.1024539581</v>
      </c>
      <c r="AC305">
        <v>221853.1024539581</v>
      </c>
      <c r="AD305">
        <v>221853.1024539581</v>
      </c>
      <c r="AE305">
        <v>1397.9871161465351</v>
      </c>
      <c r="AF305">
        <v>1397.9871161465351</v>
      </c>
      <c r="AG305">
        <v>1397.9871161465351</v>
      </c>
      <c r="AH305">
        <v>1397.9871161465351</v>
      </c>
      <c r="AI305">
        <v>1397.9871161465351</v>
      </c>
      <c r="AJ305">
        <v>1397.9871161465351</v>
      </c>
      <c r="AK305">
        <v>1397.9871161465351</v>
      </c>
    </row>
    <row r="306" spans="1:37" hidden="1" x14ac:dyDescent="0.25">
      <c r="A306" t="s">
        <v>90</v>
      </c>
      <c r="B306" t="s">
        <v>282</v>
      </c>
      <c r="C306" t="s">
        <v>328</v>
      </c>
      <c r="F306" t="s">
        <v>340</v>
      </c>
      <c r="G306" t="s">
        <v>330</v>
      </c>
      <c r="H306" t="s">
        <v>331</v>
      </c>
      <c r="I306" t="s">
        <v>332</v>
      </c>
      <c r="J306" t="s">
        <v>341</v>
      </c>
      <c r="K306" t="s">
        <v>98</v>
      </c>
      <c r="L306">
        <v>1</v>
      </c>
      <c r="M306">
        <v>1</v>
      </c>
      <c r="N306">
        <v>2020</v>
      </c>
      <c r="O306">
        <v>25</v>
      </c>
      <c r="P306">
        <v>1</v>
      </c>
      <c r="Q306">
        <v>4.4240919358955882E-3</v>
      </c>
      <c r="R306">
        <v>4.4240919358955882E-3</v>
      </c>
      <c r="S306">
        <v>4.4240919358955882E-3</v>
      </c>
      <c r="T306">
        <v>4.4240919358955882E-3</v>
      </c>
      <c r="U306">
        <v>4.4240919358955882E-3</v>
      </c>
      <c r="V306">
        <v>4.4240919358955882E-3</v>
      </c>
      <c r="W306">
        <v>4.4240919358955882E-3</v>
      </c>
      <c r="X306">
        <v>146887.46710107001</v>
      </c>
      <c r="Y306">
        <v>146887.46710107001</v>
      </c>
      <c r="Z306">
        <v>146887.46710107001</v>
      </c>
      <c r="AA306">
        <v>146887.46710107001</v>
      </c>
      <c r="AB306">
        <v>146887.46710107001</v>
      </c>
      <c r="AC306">
        <v>146887.46710107001</v>
      </c>
      <c r="AD306">
        <v>146887.46710107001</v>
      </c>
      <c r="AE306">
        <v>1352.457345260636</v>
      </c>
      <c r="AF306">
        <v>1352.457345260636</v>
      </c>
      <c r="AG306">
        <v>1352.457345260636</v>
      </c>
      <c r="AH306">
        <v>1352.457345260636</v>
      </c>
      <c r="AI306">
        <v>1352.457345260636</v>
      </c>
      <c r="AJ306">
        <v>1352.457345260636</v>
      </c>
      <c r="AK306">
        <v>1352.457345260636</v>
      </c>
    </row>
    <row r="307" spans="1:37" hidden="1" x14ac:dyDescent="0.25">
      <c r="A307" t="s">
        <v>90</v>
      </c>
      <c r="B307" t="s">
        <v>282</v>
      </c>
      <c r="C307" t="s">
        <v>328</v>
      </c>
      <c r="F307" t="s">
        <v>340</v>
      </c>
      <c r="G307" t="s">
        <v>334</v>
      </c>
      <c r="H307" t="s">
        <v>335</v>
      </c>
      <c r="I307" t="s">
        <v>332</v>
      </c>
      <c r="J307" t="s">
        <v>341</v>
      </c>
      <c r="K307" t="s">
        <v>98</v>
      </c>
      <c r="L307">
        <v>0</v>
      </c>
      <c r="M307">
        <v>1</v>
      </c>
      <c r="N307">
        <v>2020</v>
      </c>
      <c r="O307">
        <v>25</v>
      </c>
      <c r="P307">
        <v>1</v>
      </c>
      <c r="Q307">
        <v>4.4240919358955882E-3</v>
      </c>
      <c r="R307">
        <v>4.4240919358955882E-3</v>
      </c>
      <c r="S307">
        <v>4.4240919358955882E-3</v>
      </c>
      <c r="T307">
        <v>4.4240919358955882E-3</v>
      </c>
      <c r="U307">
        <v>4.4240919358955882E-3</v>
      </c>
      <c r="V307">
        <v>4.4240919358955882E-3</v>
      </c>
      <c r="W307">
        <v>4.4240919358955882E-3</v>
      </c>
      <c r="X307">
        <v>146887.46710107001</v>
      </c>
      <c r="Y307">
        <v>146887.46710107001</v>
      </c>
      <c r="Z307">
        <v>146887.46710107001</v>
      </c>
      <c r="AA307">
        <v>146887.46710107001</v>
      </c>
      <c r="AB307">
        <v>146887.46710107001</v>
      </c>
      <c r="AC307">
        <v>146887.46710107001</v>
      </c>
      <c r="AD307">
        <v>146887.46710107001</v>
      </c>
      <c r="AE307">
        <v>1352.457345260636</v>
      </c>
      <c r="AF307">
        <v>1352.457345260636</v>
      </c>
      <c r="AG307">
        <v>1352.457345260636</v>
      </c>
      <c r="AH307">
        <v>1352.457345260636</v>
      </c>
      <c r="AI307">
        <v>1352.457345260636</v>
      </c>
      <c r="AJ307">
        <v>1352.457345260636</v>
      </c>
      <c r="AK307">
        <v>1352.457345260636</v>
      </c>
    </row>
    <row r="308" spans="1:37" hidden="1" x14ac:dyDescent="0.25">
      <c r="A308" t="s">
        <v>90</v>
      </c>
      <c r="B308" t="s">
        <v>282</v>
      </c>
      <c r="C308" t="s">
        <v>328</v>
      </c>
      <c r="F308" t="s">
        <v>342</v>
      </c>
      <c r="G308" t="s">
        <v>330</v>
      </c>
      <c r="H308" t="s">
        <v>331</v>
      </c>
      <c r="I308" t="s">
        <v>332</v>
      </c>
      <c r="J308" t="s">
        <v>343</v>
      </c>
      <c r="K308" t="s">
        <v>98</v>
      </c>
      <c r="L308">
        <v>1</v>
      </c>
      <c r="M308">
        <v>1</v>
      </c>
      <c r="N308">
        <v>2020</v>
      </c>
      <c r="O308">
        <v>25</v>
      </c>
      <c r="P308">
        <v>1</v>
      </c>
      <c r="Q308">
        <v>6.2907427262766779E-3</v>
      </c>
      <c r="R308">
        <v>6.2907427262766779E-3</v>
      </c>
      <c r="S308">
        <v>6.2907427262766779E-3</v>
      </c>
      <c r="T308">
        <v>6.2907427262766779E-3</v>
      </c>
      <c r="U308">
        <v>6.2907427262766779E-3</v>
      </c>
      <c r="V308">
        <v>6.2907427262766779E-3</v>
      </c>
      <c r="W308">
        <v>6.2907427262766779E-3</v>
      </c>
      <c r="X308">
        <v>203129.0179554903</v>
      </c>
      <c r="Y308">
        <v>203129.0179554903</v>
      </c>
      <c r="Z308">
        <v>203129.0179554903</v>
      </c>
      <c r="AA308">
        <v>203129.0179554903</v>
      </c>
      <c r="AB308">
        <v>203129.0179554903</v>
      </c>
      <c r="AC308">
        <v>203129.0179554903</v>
      </c>
      <c r="AD308">
        <v>203129.0179554903</v>
      </c>
      <c r="AE308">
        <v>1344.2183809101291</v>
      </c>
      <c r="AF308">
        <v>1344.2183809101291</v>
      </c>
      <c r="AG308">
        <v>1344.2183809101291</v>
      </c>
      <c r="AH308">
        <v>1344.2183809101291</v>
      </c>
      <c r="AI308">
        <v>1344.2183809101291</v>
      </c>
      <c r="AJ308">
        <v>1344.2183809101291</v>
      </c>
      <c r="AK308">
        <v>1344.2183809101291</v>
      </c>
    </row>
    <row r="309" spans="1:37" hidden="1" x14ac:dyDescent="0.25">
      <c r="A309" t="s">
        <v>90</v>
      </c>
      <c r="B309" t="s">
        <v>282</v>
      </c>
      <c r="C309" t="s">
        <v>328</v>
      </c>
      <c r="F309" t="s">
        <v>342</v>
      </c>
      <c r="G309" t="s">
        <v>334</v>
      </c>
      <c r="H309" t="s">
        <v>335</v>
      </c>
      <c r="I309" t="s">
        <v>332</v>
      </c>
      <c r="J309" t="s">
        <v>343</v>
      </c>
      <c r="K309" t="s">
        <v>98</v>
      </c>
      <c r="L309">
        <v>0</v>
      </c>
      <c r="M309">
        <v>1</v>
      </c>
      <c r="N309">
        <v>2020</v>
      </c>
      <c r="O309">
        <v>25</v>
      </c>
      <c r="P309">
        <v>1</v>
      </c>
      <c r="Q309">
        <v>6.2907427262766779E-3</v>
      </c>
      <c r="R309">
        <v>6.2907427262766779E-3</v>
      </c>
      <c r="S309">
        <v>6.2907427262766779E-3</v>
      </c>
      <c r="T309">
        <v>6.2907427262766779E-3</v>
      </c>
      <c r="U309">
        <v>6.2907427262766779E-3</v>
      </c>
      <c r="V309">
        <v>6.2907427262766779E-3</v>
      </c>
      <c r="W309">
        <v>6.2907427262766779E-3</v>
      </c>
      <c r="X309">
        <v>203129.0179554903</v>
      </c>
      <c r="Y309">
        <v>203129.0179554903</v>
      </c>
      <c r="Z309">
        <v>203129.0179554903</v>
      </c>
      <c r="AA309">
        <v>203129.0179554903</v>
      </c>
      <c r="AB309">
        <v>203129.0179554903</v>
      </c>
      <c r="AC309">
        <v>203129.0179554903</v>
      </c>
      <c r="AD309">
        <v>203129.0179554903</v>
      </c>
      <c r="AE309">
        <v>1344.2183809101291</v>
      </c>
      <c r="AF309">
        <v>1344.2183809101291</v>
      </c>
      <c r="AG309">
        <v>1344.2183809101291</v>
      </c>
      <c r="AH309">
        <v>1344.2183809101291</v>
      </c>
      <c r="AI309">
        <v>1344.2183809101291</v>
      </c>
      <c r="AJ309">
        <v>1344.2183809101291</v>
      </c>
      <c r="AK309">
        <v>1344.2183809101291</v>
      </c>
    </row>
    <row r="310" spans="1:37" hidden="1" x14ac:dyDescent="0.25">
      <c r="A310" t="s">
        <v>90</v>
      </c>
      <c r="B310" t="s">
        <v>282</v>
      </c>
      <c r="C310" t="s">
        <v>328</v>
      </c>
      <c r="F310" t="s">
        <v>344</v>
      </c>
      <c r="G310" t="s">
        <v>330</v>
      </c>
      <c r="H310" t="s">
        <v>331</v>
      </c>
      <c r="I310" t="s">
        <v>332</v>
      </c>
      <c r="J310" t="s">
        <v>345</v>
      </c>
      <c r="K310" t="s">
        <v>98</v>
      </c>
      <c r="L310">
        <v>1</v>
      </c>
      <c r="M310">
        <v>1</v>
      </c>
      <c r="N310">
        <v>2020</v>
      </c>
      <c r="O310">
        <v>25</v>
      </c>
      <c r="P310">
        <v>1</v>
      </c>
      <c r="Q310">
        <v>4.892799898215193E-3</v>
      </c>
      <c r="R310">
        <v>4.892799898215193E-3</v>
      </c>
      <c r="S310">
        <v>4.892799898215193E-3</v>
      </c>
      <c r="T310">
        <v>4.892799898215193E-3</v>
      </c>
      <c r="U310">
        <v>4.892799898215193E-3</v>
      </c>
      <c r="V310">
        <v>4.892799898215193E-3</v>
      </c>
      <c r="W310">
        <v>4.892799898215193E-3</v>
      </c>
      <c r="X310">
        <v>161392.03716980241</v>
      </c>
      <c r="Y310">
        <v>161392.03716980241</v>
      </c>
      <c r="Z310">
        <v>161392.03716980241</v>
      </c>
      <c r="AA310">
        <v>161392.03716980241</v>
      </c>
      <c r="AB310">
        <v>161392.03716980241</v>
      </c>
      <c r="AC310">
        <v>161392.03716980241</v>
      </c>
      <c r="AD310">
        <v>161392.03716980241</v>
      </c>
      <c r="AE310">
        <v>1344.2183809101291</v>
      </c>
      <c r="AF310">
        <v>1344.2183809101291</v>
      </c>
      <c r="AG310">
        <v>1344.2183809101291</v>
      </c>
      <c r="AH310">
        <v>1344.2183809101291</v>
      </c>
      <c r="AI310">
        <v>1344.2183809101291</v>
      </c>
      <c r="AJ310">
        <v>1344.2183809101291</v>
      </c>
      <c r="AK310">
        <v>1344.2183809101291</v>
      </c>
    </row>
    <row r="311" spans="1:37" hidden="1" x14ac:dyDescent="0.25">
      <c r="A311" t="s">
        <v>90</v>
      </c>
      <c r="B311" t="s">
        <v>282</v>
      </c>
      <c r="C311" t="s">
        <v>328</v>
      </c>
      <c r="F311" t="s">
        <v>344</v>
      </c>
      <c r="G311" t="s">
        <v>334</v>
      </c>
      <c r="H311" t="s">
        <v>335</v>
      </c>
      <c r="I311" t="s">
        <v>332</v>
      </c>
      <c r="J311" t="s">
        <v>345</v>
      </c>
      <c r="K311" t="s">
        <v>98</v>
      </c>
      <c r="L311">
        <v>0</v>
      </c>
      <c r="M311">
        <v>1</v>
      </c>
      <c r="N311">
        <v>2020</v>
      </c>
      <c r="O311">
        <v>25</v>
      </c>
      <c r="P311">
        <v>1</v>
      </c>
      <c r="Q311">
        <v>4.892799898215193E-3</v>
      </c>
      <c r="R311">
        <v>4.892799898215193E-3</v>
      </c>
      <c r="S311">
        <v>4.892799898215193E-3</v>
      </c>
      <c r="T311">
        <v>4.892799898215193E-3</v>
      </c>
      <c r="U311">
        <v>4.892799898215193E-3</v>
      </c>
      <c r="V311">
        <v>4.892799898215193E-3</v>
      </c>
      <c r="W311">
        <v>4.892799898215193E-3</v>
      </c>
      <c r="X311">
        <v>161392.03716980241</v>
      </c>
      <c r="Y311">
        <v>161392.03716980241</v>
      </c>
      <c r="Z311">
        <v>161392.03716980241</v>
      </c>
      <c r="AA311">
        <v>161392.03716980241</v>
      </c>
      <c r="AB311">
        <v>161392.03716980241</v>
      </c>
      <c r="AC311">
        <v>161392.03716980241</v>
      </c>
      <c r="AD311">
        <v>161392.03716980241</v>
      </c>
      <c r="AE311">
        <v>1344.2183809101291</v>
      </c>
      <c r="AF311">
        <v>1344.2183809101291</v>
      </c>
      <c r="AG311">
        <v>1344.2183809101291</v>
      </c>
      <c r="AH311">
        <v>1344.2183809101291</v>
      </c>
      <c r="AI311">
        <v>1344.2183809101291</v>
      </c>
      <c r="AJ311">
        <v>1344.2183809101291</v>
      </c>
      <c r="AK311">
        <v>1344.2183809101291</v>
      </c>
    </row>
    <row r="312" spans="1:37" hidden="1" x14ac:dyDescent="0.25">
      <c r="A312" t="s">
        <v>90</v>
      </c>
      <c r="B312" t="s">
        <v>282</v>
      </c>
      <c r="C312" t="s">
        <v>328</v>
      </c>
      <c r="F312" t="s">
        <v>346</v>
      </c>
      <c r="G312" t="s">
        <v>330</v>
      </c>
      <c r="H312" t="s">
        <v>331</v>
      </c>
      <c r="I312" t="s">
        <v>332</v>
      </c>
      <c r="J312" t="s">
        <v>347</v>
      </c>
      <c r="K312" t="s">
        <v>98</v>
      </c>
      <c r="L312">
        <v>1</v>
      </c>
      <c r="M312">
        <v>1</v>
      </c>
      <c r="N312">
        <v>2020</v>
      </c>
      <c r="O312">
        <v>25</v>
      </c>
      <c r="P312">
        <v>1</v>
      </c>
      <c r="Q312">
        <v>5.0325941810213408E-3</v>
      </c>
      <c r="R312">
        <v>5.0325941810213408E-3</v>
      </c>
      <c r="S312">
        <v>5.0325941810213408E-3</v>
      </c>
      <c r="T312">
        <v>5.0325941810213408E-3</v>
      </c>
      <c r="U312">
        <v>5.0325941810213408E-3</v>
      </c>
      <c r="V312">
        <v>5.0325941810213408E-3</v>
      </c>
      <c r="W312">
        <v>5.0325941810213408E-3</v>
      </c>
      <c r="X312">
        <v>217642.10450528149</v>
      </c>
      <c r="Y312">
        <v>217642.10450528149</v>
      </c>
      <c r="Z312">
        <v>217642.10450528149</v>
      </c>
      <c r="AA312">
        <v>217642.10450528149</v>
      </c>
      <c r="AB312">
        <v>217642.10450528149</v>
      </c>
      <c r="AC312">
        <v>217642.10450528149</v>
      </c>
      <c r="AD312">
        <v>217642.10450528149</v>
      </c>
      <c r="AE312">
        <v>1993.9916163953881</v>
      </c>
      <c r="AF312">
        <v>1993.9916163953881</v>
      </c>
      <c r="AG312">
        <v>1993.9916163953881</v>
      </c>
      <c r="AH312">
        <v>1993.9916163953881</v>
      </c>
      <c r="AI312">
        <v>1993.9916163953881</v>
      </c>
      <c r="AJ312">
        <v>1993.9916163953881</v>
      </c>
      <c r="AK312">
        <v>1993.9916163953881</v>
      </c>
    </row>
    <row r="313" spans="1:37" hidden="1" x14ac:dyDescent="0.25">
      <c r="A313" t="s">
        <v>90</v>
      </c>
      <c r="B313" t="s">
        <v>282</v>
      </c>
      <c r="C313" t="s">
        <v>328</v>
      </c>
      <c r="F313" t="s">
        <v>346</v>
      </c>
      <c r="G313" t="s">
        <v>334</v>
      </c>
      <c r="H313" t="s">
        <v>335</v>
      </c>
      <c r="I313" t="s">
        <v>332</v>
      </c>
      <c r="J313" t="s">
        <v>347</v>
      </c>
      <c r="K313" t="s">
        <v>98</v>
      </c>
      <c r="L313">
        <v>0</v>
      </c>
      <c r="M313">
        <v>1</v>
      </c>
      <c r="N313">
        <v>2020</v>
      </c>
      <c r="O313">
        <v>25</v>
      </c>
      <c r="P313">
        <v>1</v>
      </c>
      <c r="Q313">
        <v>5.0325941810213408E-3</v>
      </c>
      <c r="R313">
        <v>5.0325941810213408E-3</v>
      </c>
      <c r="S313">
        <v>5.0325941810213408E-3</v>
      </c>
      <c r="T313">
        <v>5.0325941810213408E-3</v>
      </c>
      <c r="U313">
        <v>5.0325941810213408E-3</v>
      </c>
      <c r="V313">
        <v>5.0325941810213408E-3</v>
      </c>
      <c r="W313">
        <v>5.0325941810213408E-3</v>
      </c>
      <c r="X313">
        <v>217642.10450528149</v>
      </c>
      <c r="Y313">
        <v>217642.10450528149</v>
      </c>
      <c r="Z313">
        <v>217642.10450528149</v>
      </c>
      <c r="AA313">
        <v>217642.10450528149</v>
      </c>
      <c r="AB313">
        <v>217642.10450528149</v>
      </c>
      <c r="AC313">
        <v>217642.10450528149</v>
      </c>
      <c r="AD313">
        <v>217642.10450528149</v>
      </c>
      <c r="AE313">
        <v>1993.9916163953881</v>
      </c>
      <c r="AF313">
        <v>1993.9916163953881</v>
      </c>
      <c r="AG313">
        <v>1993.9916163953881</v>
      </c>
      <c r="AH313">
        <v>1993.9916163953881</v>
      </c>
      <c r="AI313">
        <v>1993.9916163953881</v>
      </c>
      <c r="AJ313">
        <v>1993.9916163953881</v>
      </c>
      <c r="AK313">
        <v>1993.9916163953881</v>
      </c>
    </row>
    <row r="314" spans="1:37" hidden="1" x14ac:dyDescent="0.25">
      <c r="A314" t="s">
        <v>90</v>
      </c>
      <c r="B314" t="s">
        <v>282</v>
      </c>
      <c r="C314" t="s">
        <v>328</v>
      </c>
      <c r="F314" t="s">
        <v>348</v>
      </c>
      <c r="G314" t="s">
        <v>330</v>
      </c>
      <c r="H314" t="s">
        <v>331</v>
      </c>
      <c r="I314" t="s">
        <v>332</v>
      </c>
      <c r="J314" t="s">
        <v>349</v>
      </c>
      <c r="K314" t="s">
        <v>98</v>
      </c>
      <c r="L314">
        <v>1</v>
      </c>
      <c r="M314">
        <v>1</v>
      </c>
      <c r="N314">
        <v>2020</v>
      </c>
      <c r="O314">
        <v>25</v>
      </c>
      <c r="P314">
        <v>1</v>
      </c>
      <c r="Q314">
        <v>5.0325941810213408E-3</v>
      </c>
      <c r="R314">
        <v>5.0325941810213408E-3</v>
      </c>
      <c r="S314">
        <v>5.0325941810213408E-3</v>
      </c>
      <c r="T314">
        <v>5.0325941810213408E-3</v>
      </c>
      <c r="U314">
        <v>5.0325941810213408E-3</v>
      </c>
      <c r="V314">
        <v>5.0325941810213408E-3</v>
      </c>
      <c r="W314">
        <v>5.0325941810213408E-3</v>
      </c>
      <c r="X314">
        <v>167450.02350561251</v>
      </c>
      <c r="Y314">
        <v>167450.02350561251</v>
      </c>
      <c r="Z314">
        <v>167450.02350561251</v>
      </c>
      <c r="AA314">
        <v>167450.02350561251</v>
      </c>
      <c r="AB314">
        <v>167450.02350561251</v>
      </c>
      <c r="AC314">
        <v>167450.02350561251</v>
      </c>
      <c r="AD314">
        <v>167450.02350561251</v>
      </c>
      <c r="AE314">
        <v>1534.1422276464859</v>
      </c>
      <c r="AF314">
        <v>1534.1422276464859</v>
      </c>
      <c r="AG314">
        <v>1534.1422276464859</v>
      </c>
      <c r="AH314">
        <v>1534.1422276464859</v>
      </c>
      <c r="AI314">
        <v>1534.1422276464859</v>
      </c>
      <c r="AJ314">
        <v>1534.1422276464859</v>
      </c>
      <c r="AK314">
        <v>1534.1422276464859</v>
      </c>
    </row>
    <row r="315" spans="1:37" hidden="1" x14ac:dyDescent="0.25">
      <c r="A315" t="s">
        <v>90</v>
      </c>
      <c r="B315" t="s">
        <v>282</v>
      </c>
      <c r="C315" t="s">
        <v>328</v>
      </c>
      <c r="F315" t="s">
        <v>348</v>
      </c>
      <c r="G315" t="s">
        <v>334</v>
      </c>
      <c r="H315" t="s">
        <v>335</v>
      </c>
      <c r="I315" t="s">
        <v>332</v>
      </c>
      <c r="J315" t="s">
        <v>349</v>
      </c>
      <c r="K315" t="s">
        <v>98</v>
      </c>
      <c r="L315">
        <v>0</v>
      </c>
      <c r="M315">
        <v>1</v>
      </c>
      <c r="N315">
        <v>2020</v>
      </c>
      <c r="O315">
        <v>25</v>
      </c>
      <c r="P315">
        <v>1</v>
      </c>
      <c r="Q315">
        <v>5.0325941810213408E-3</v>
      </c>
      <c r="R315">
        <v>5.0325941810213408E-3</v>
      </c>
      <c r="S315">
        <v>5.0325941810213408E-3</v>
      </c>
      <c r="T315">
        <v>5.0325941810213408E-3</v>
      </c>
      <c r="U315">
        <v>5.0325941810213408E-3</v>
      </c>
      <c r="V315">
        <v>5.0325941810213408E-3</v>
      </c>
      <c r="W315">
        <v>5.0325941810213408E-3</v>
      </c>
      <c r="X315">
        <v>167450.02350561251</v>
      </c>
      <c r="Y315">
        <v>167450.02350561251</v>
      </c>
      <c r="Z315">
        <v>167450.02350561251</v>
      </c>
      <c r="AA315">
        <v>167450.02350561251</v>
      </c>
      <c r="AB315">
        <v>167450.02350561251</v>
      </c>
      <c r="AC315">
        <v>167450.02350561251</v>
      </c>
      <c r="AD315">
        <v>167450.02350561251</v>
      </c>
      <c r="AE315">
        <v>1534.1422276464859</v>
      </c>
      <c r="AF315">
        <v>1534.1422276464859</v>
      </c>
      <c r="AG315">
        <v>1534.1422276464859</v>
      </c>
      <c r="AH315">
        <v>1534.1422276464859</v>
      </c>
      <c r="AI315">
        <v>1534.1422276464859</v>
      </c>
      <c r="AJ315">
        <v>1534.1422276464859</v>
      </c>
      <c r="AK315">
        <v>1534.1422276464859</v>
      </c>
    </row>
    <row r="316" spans="1:37" hidden="1" x14ac:dyDescent="0.25">
      <c r="A316" t="s">
        <v>90</v>
      </c>
      <c r="B316" t="s">
        <v>282</v>
      </c>
      <c r="C316" t="s">
        <v>328</v>
      </c>
      <c r="F316" t="s">
        <v>350</v>
      </c>
      <c r="G316" t="s">
        <v>330</v>
      </c>
      <c r="H316" t="s">
        <v>331</v>
      </c>
      <c r="I316" t="s">
        <v>332</v>
      </c>
      <c r="J316" t="s">
        <v>351</v>
      </c>
      <c r="K316" t="s">
        <v>98</v>
      </c>
      <c r="L316">
        <v>1</v>
      </c>
      <c r="M316">
        <v>1</v>
      </c>
      <c r="N316">
        <v>2020</v>
      </c>
      <c r="O316">
        <v>25</v>
      </c>
      <c r="P316">
        <v>1</v>
      </c>
      <c r="Q316">
        <v>5.180611656933733E-3</v>
      </c>
      <c r="R316">
        <v>5.180611656933733E-3</v>
      </c>
      <c r="S316">
        <v>5.180611656933733E-3</v>
      </c>
      <c r="T316">
        <v>5.180611656933733E-3</v>
      </c>
      <c r="U316">
        <v>5.180611656933733E-3</v>
      </c>
      <c r="V316">
        <v>5.180611656933733E-3</v>
      </c>
      <c r="W316">
        <v>5.180611656933733E-3</v>
      </c>
      <c r="X316">
        <v>306294.69289847172</v>
      </c>
      <c r="Y316">
        <v>306294.69289847172</v>
      </c>
      <c r="Z316">
        <v>306294.69289847172</v>
      </c>
      <c r="AA316">
        <v>306294.69289847172</v>
      </c>
      <c r="AB316">
        <v>306294.69289847172</v>
      </c>
      <c r="AC316">
        <v>306294.69289847172</v>
      </c>
      <c r="AD316">
        <v>306294.69289847172</v>
      </c>
      <c r="AE316">
        <v>2806.2081607519622</v>
      </c>
      <c r="AF316">
        <v>2806.2081607519622</v>
      </c>
      <c r="AG316">
        <v>2806.2081607519622</v>
      </c>
      <c r="AH316">
        <v>2806.2081607519622</v>
      </c>
      <c r="AI316">
        <v>2806.2081607519622</v>
      </c>
      <c r="AJ316">
        <v>2806.2081607519622</v>
      </c>
      <c r="AK316">
        <v>2806.2081607519622</v>
      </c>
    </row>
    <row r="317" spans="1:37" hidden="1" x14ac:dyDescent="0.25">
      <c r="A317" t="s">
        <v>90</v>
      </c>
      <c r="B317" t="s">
        <v>282</v>
      </c>
      <c r="C317" t="s">
        <v>328</v>
      </c>
      <c r="F317" t="s">
        <v>350</v>
      </c>
      <c r="G317" t="s">
        <v>334</v>
      </c>
      <c r="H317" t="s">
        <v>335</v>
      </c>
      <c r="I317" t="s">
        <v>332</v>
      </c>
      <c r="J317" t="s">
        <v>351</v>
      </c>
      <c r="K317" t="s">
        <v>98</v>
      </c>
      <c r="L317">
        <v>0</v>
      </c>
      <c r="M317">
        <v>1</v>
      </c>
      <c r="N317">
        <v>2020</v>
      </c>
      <c r="O317">
        <v>25</v>
      </c>
      <c r="P317">
        <v>1</v>
      </c>
      <c r="Q317">
        <v>5.180611656933733E-3</v>
      </c>
      <c r="R317">
        <v>5.180611656933733E-3</v>
      </c>
      <c r="S317">
        <v>5.180611656933733E-3</v>
      </c>
      <c r="T317">
        <v>5.180611656933733E-3</v>
      </c>
      <c r="U317">
        <v>5.180611656933733E-3</v>
      </c>
      <c r="V317">
        <v>5.180611656933733E-3</v>
      </c>
      <c r="W317">
        <v>5.180611656933733E-3</v>
      </c>
      <c r="X317">
        <v>306294.69289847172</v>
      </c>
      <c r="Y317">
        <v>306294.69289847172</v>
      </c>
      <c r="Z317">
        <v>306294.69289847172</v>
      </c>
      <c r="AA317">
        <v>306294.69289847172</v>
      </c>
      <c r="AB317">
        <v>306294.69289847172</v>
      </c>
      <c r="AC317">
        <v>306294.69289847172</v>
      </c>
      <c r="AD317">
        <v>306294.69289847172</v>
      </c>
      <c r="AE317">
        <v>2806.2081607519622</v>
      </c>
      <c r="AF317">
        <v>2806.2081607519622</v>
      </c>
      <c r="AG317">
        <v>2806.2081607519622</v>
      </c>
      <c r="AH317">
        <v>2806.2081607519622</v>
      </c>
      <c r="AI317">
        <v>2806.2081607519622</v>
      </c>
      <c r="AJ317">
        <v>2806.2081607519622</v>
      </c>
      <c r="AK317">
        <v>2806.2081607519622</v>
      </c>
    </row>
    <row r="318" spans="1:37" hidden="1" x14ac:dyDescent="0.25">
      <c r="A318" t="s">
        <v>90</v>
      </c>
      <c r="B318" t="s">
        <v>282</v>
      </c>
      <c r="C318" t="s">
        <v>328</v>
      </c>
      <c r="F318" t="s">
        <v>352</v>
      </c>
      <c r="G318" t="s">
        <v>353</v>
      </c>
      <c r="H318" t="s">
        <v>354</v>
      </c>
      <c r="I318" t="s">
        <v>332</v>
      </c>
      <c r="J318" t="s">
        <v>355</v>
      </c>
      <c r="K318" t="s">
        <v>98</v>
      </c>
      <c r="L318">
        <v>1</v>
      </c>
      <c r="M318">
        <v>1</v>
      </c>
      <c r="N318">
        <v>2020</v>
      </c>
      <c r="O318">
        <v>20</v>
      </c>
      <c r="P318">
        <v>1</v>
      </c>
      <c r="Q318">
        <v>3.9411544272050774E-3</v>
      </c>
      <c r="R318">
        <v>3.9411544272050774E-3</v>
      </c>
      <c r="S318">
        <v>3.9411544272050774E-3</v>
      </c>
      <c r="T318">
        <v>3.9411544272050774E-3</v>
      </c>
      <c r="U318">
        <v>3.9411544272050774E-3</v>
      </c>
      <c r="V318">
        <v>3.9411544272050774E-3</v>
      </c>
      <c r="W318">
        <v>3.9411544272050774E-3</v>
      </c>
      <c r="X318">
        <v>3154.2202085101062</v>
      </c>
      <c r="Y318">
        <v>3154.2202085101062</v>
      </c>
      <c r="Z318">
        <v>3154.2202085101062</v>
      </c>
      <c r="AA318">
        <v>3154.2202085101062</v>
      </c>
      <c r="AB318">
        <v>3154.2202085101062</v>
      </c>
      <c r="AC318">
        <v>3154.2202085101062</v>
      </c>
      <c r="AD318">
        <v>3154.2202085101062</v>
      </c>
      <c r="AE318">
        <v>315.42202085101059</v>
      </c>
      <c r="AF318">
        <v>315.42202085101059</v>
      </c>
      <c r="AG318">
        <v>315.42202085101059</v>
      </c>
      <c r="AH318">
        <v>315.42202085101059</v>
      </c>
      <c r="AI318">
        <v>315.42202085101059</v>
      </c>
      <c r="AJ318">
        <v>315.42202085101059</v>
      </c>
      <c r="AK318">
        <v>315.42202085101059</v>
      </c>
    </row>
    <row r="319" spans="1:37" hidden="1" x14ac:dyDescent="0.25">
      <c r="A319" t="s">
        <v>90</v>
      </c>
      <c r="B319" t="s">
        <v>282</v>
      </c>
      <c r="C319" t="s">
        <v>328</v>
      </c>
      <c r="F319" t="s">
        <v>356</v>
      </c>
      <c r="G319" t="s">
        <v>353</v>
      </c>
      <c r="H319" t="s">
        <v>354</v>
      </c>
      <c r="I319" t="s">
        <v>332</v>
      </c>
      <c r="J319" t="s">
        <v>357</v>
      </c>
      <c r="K319" t="s">
        <v>98</v>
      </c>
      <c r="L319">
        <v>1</v>
      </c>
      <c r="M319">
        <v>1</v>
      </c>
      <c r="N319">
        <v>2020</v>
      </c>
      <c r="O319">
        <v>20</v>
      </c>
      <c r="P319">
        <v>1</v>
      </c>
      <c r="Q319">
        <v>4.0699935799414022E-3</v>
      </c>
      <c r="R319">
        <v>4.0699935799414022E-3</v>
      </c>
      <c r="S319">
        <v>4.0699935799414022E-3</v>
      </c>
      <c r="T319">
        <v>4.0699935799414022E-3</v>
      </c>
      <c r="U319">
        <v>4.0699935799414022E-3</v>
      </c>
      <c r="V319">
        <v>4.0699935799414022E-3</v>
      </c>
      <c r="W319">
        <v>4.0699935799414022E-3</v>
      </c>
      <c r="X319">
        <v>3154.2202085101062</v>
      </c>
      <c r="Y319">
        <v>3154.2202085101062</v>
      </c>
      <c r="Z319">
        <v>3154.2202085101062</v>
      </c>
      <c r="AA319">
        <v>3154.2202085101062</v>
      </c>
      <c r="AB319">
        <v>3154.2202085101062</v>
      </c>
      <c r="AC319">
        <v>3154.2202085101062</v>
      </c>
      <c r="AD319">
        <v>3154.2202085101062</v>
      </c>
      <c r="AE319">
        <v>315.42202085101059</v>
      </c>
      <c r="AF319">
        <v>315.42202085101059</v>
      </c>
      <c r="AG319">
        <v>315.42202085101059</v>
      </c>
      <c r="AH319">
        <v>315.42202085101059</v>
      </c>
      <c r="AI319">
        <v>315.42202085101059</v>
      </c>
      <c r="AJ319">
        <v>315.42202085101059</v>
      </c>
      <c r="AK319">
        <v>315.42202085101059</v>
      </c>
    </row>
    <row r="320" spans="1:37" hidden="1" x14ac:dyDescent="0.25">
      <c r="A320" t="s">
        <v>358</v>
      </c>
      <c r="B320" t="s">
        <v>359</v>
      </c>
      <c r="J320" t="s">
        <v>358</v>
      </c>
      <c r="L320">
        <v>0</v>
      </c>
      <c r="M320" t="s">
        <v>358</v>
      </c>
    </row>
    <row r="321" spans="1:37" hidden="1" x14ac:dyDescent="0.25">
      <c r="A321" t="s">
        <v>90</v>
      </c>
      <c r="B321" t="s">
        <v>360</v>
      </c>
      <c r="E321" t="s">
        <v>114</v>
      </c>
      <c r="F321" t="s">
        <v>361</v>
      </c>
      <c r="G321" t="s">
        <v>304</v>
      </c>
      <c r="H321" t="s">
        <v>305</v>
      </c>
      <c r="I321" t="s">
        <v>115</v>
      </c>
      <c r="J321" t="s">
        <v>362</v>
      </c>
      <c r="K321" t="s">
        <v>363</v>
      </c>
      <c r="L321">
        <v>1</v>
      </c>
      <c r="M321">
        <v>1</v>
      </c>
      <c r="N321">
        <v>2019</v>
      </c>
      <c r="O321">
        <v>25</v>
      </c>
      <c r="Q321">
        <v>0.9</v>
      </c>
      <c r="R321">
        <v>0.91</v>
      </c>
      <c r="S321">
        <v>0.92</v>
      </c>
      <c r="T321">
        <v>0.93</v>
      </c>
      <c r="U321">
        <v>0.94</v>
      </c>
      <c r="V321">
        <v>0.95</v>
      </c>
      <c r="W321">
        <v>0.95</v>
      </c>
      <c r="X321">
        <v>1083.8776025609291</v>
      </c>
      <c r="Y321">
        <v>757.54886200495059</v>
      </c>
      <c r="Z321">
        <v>692.28311389375483</v>
      </c>
      <c r="AA321">
        <v>627.01736578255918</v>
      </c>
      <c r="AB321">
        <v>561.75161767136342</v>
      </c>
      <c r="AC321">
        <v>496.48586956016771</v>
      </c>
      <c r="AD321">
        <v>431.2201214489719</v>
      </c>
      <c r="AE321">
        <v>29.136494692498101</v>
      </c>
      <c r="AF321">
        <v>26.80557511709825</v>
      </c>
      <c r="AG321">
        <v>24.4746555416984</v>
      </c>
      <c r="AH321">
        <v>22.143735966298561</v>
      </c>
      <c r="AI321">
        <v>19.81281639089871</v>
      </c>
      <c r="AJ321">
        <v>17.48189681549886</v>
      </c>
      <c r="AK321">
        <v>15.15097724009901</v>
      </c>
    </row>
    <row r="322" spans="1:37" hidden="1" x14ac:dyDescent="0.25">
      <c r="A322" t="s">
        <v>90</v>
      </c>
      <c r="B322" t="s">
        <v>360</v>
      </c>
      <c r="E322" t="s">
        <v>114</v>
      </c>
      <c r="F322" t="s">
        <v>364</v>
      </c>
      <c r="G322" t="s">
        <v>304</v>
      </c>
      <c r="H322" t="s">
        <v>305</v>
      </c>
      <c r="I322" t="s">
        <v>115</v>
      </c>
      <c r="J322" t="s">
        <v>365</v>
      </c>
      <c r="K322" t="s">
        <v>363</v>
      </c>
      <c r="L322">
        <v>1</v>
      </c>
      <c r="M322">
        <v>1</v>
      </c>
      <c r="N322">
        <v>2019</v>
      </c>
      <c r="O322">
        <v>25</v>
      </c>
      <c r="Q322">
        <v>0.9</v>
      </c>
      <c r="R322">
        <v>0.91</v>
      </c>
      <c r="S322">
        <v>0.92</v>
      </c>
      <c r="T322">
        <v>0.93</v>
      </c>
      <c r="U322">
        <v>0.94</v>
      </c>
      <c r="V322">
        <v>0.95</v>
      </c>
      <c r="W322">
        <v>0.95</v>
      </c>
      <c r="X322">
        <v>970.82800315403665</v>
      </c>
      <c r="Y322">
        <v>675.96667686595595</v>
      </c>
      <c r="Z322">
        <v>617.69368748095974</v>
      </c>
      <c r="AA322">
        <v>559.42069809596353</v>
      </c>
      <c r="AB322">
        <v>501.14770871096732</v>
      </c>
      <c r="AC322">
        <v>442.87471932597111</v>
      </c>
      <c r="AD322">
        <v>384.60172994097491</v>
      </c>
      <c r="AE322">
        <v>37.294713206397567</v>
      </c>
      <c r="AF322">
        <v>34.186820439197767</v>
      </c>
      <c r="AG322">
        <v>31.07892767199797</v>
      </c>
      <c r="AH322">
        <v>27.97103490479817</v>
      </c>
      <c r="AI322">
        <v>24.863142137598381</v>
      </c>
      <c r="AJ322">
        <v>21.75524937039858</v>
      </c>
      <c r="AK322">
        <v>18.64735660319878</v>
      </c>
    </row>
    <row r="323" spans="1:37" hidden="1" x14ac:dyDescent="0.25">
      <c r="A323" t="s">
        <v>90</v>
      </c>
      <c r="B323" t="s">
        <v>360</v>
      </c>
      <c r="E323" t="s">
        <v>114</v>
      </c>
      <c r="F323" t="s">
        <v>366</v>
      </c>
      <c r="G323" t="s">
        <v>304</v>
      </c>
      <c r="H323" t="s">
        <v>305</v>
      </c>
      <c r="I323" t="s">
        <v>115</v>
      </c>
      <c r="J323" t="s">
        <v>367</v>
      </c>
      <c r="K323" t="s">
        <v>363</v>
      </c>
      <c r="L323">
        <v>1</v>
      </c>
      <c r="M323">
        <v>1</v>
      </c>
      <c r="N323">
        <v>2019</v>
      </c>
      <c r="O323">
        <v>25</v>
      </c>
      <c r="Q323">
        <v>0.9</v>
      </c>
      <c r="R323">
        <v>0.91</v>
      </c>
      <c r="S323">
        <v>0.92</v>
      </c>
      <c r="T323">
        <v>0.93</v>
      </c>
      <c r="U323">
        <v>0.94</v>
      </c>
      <c r="V323">
        <v>0.95</v>
      </c>
      <c r="W323">
        <v>0.95</v>
      </c>
      <c r="X323">
        <v>1165.4597876999239</v>
      </c>
      <c r="Y323">
        <v>815.8218513899468</v>
      </c>
      <c r="Z323">
        <v>745.89426412795137</v>
      </c>
      <c r="AA323">
        <v>675.96667686595595</v>
      </c>
      <c r="AB323">
        <v>606.03908960396052</v>
      </c>
      <c r="AC323">
        <v>536.11150234196498</v>
      </c>
      <c r="AD323">
        <v>466.18391507996961</v>
      </c>
      <c r="AE323">
        <v>44.287471932597107</v>
      </c>
      <c r="AF323">
        <v>40.596849271547363</v>
      </c>
      <c r="AG323">
        <v>36.906226610497598</v>
      </c>
      <c r="AH323">
        <v>33.215603949447839</v>
      </c>
      <c r="AI323">
        <v>29.52498128839807</v>
      </c>
      <c r="AJ323">
        <v>25.834358627348319</v>
      </c>
      <c r="AK323">
        <v>22.143735966298561</v>
      </c>
    </row>
    <row r="324" spans="1:37" hidden="1" x14ac:dyDescent="0.25">
      <c r="A324" t="s">
        <v>90</v>
      </c>
      <c r="B324" t="s">
        <v>360</v>
      </c>
      <c r="E324" t="s">
        <v>114</v>
      </c>
      <c r="F324" t="s">
        <v>368</v>
      </c>
      <c r="G324" t="s">
        <v>304</v>
      </c>
      <c r="H324" t="s">
        <v>305</v>
      </c>
      <c r="I324" t="s">
        <v>115</v>
      </c>
      <c r="J324" t="s">
        <v>369</v>
      </c>
      <c r="K324" t="s">
        <v>363</v>
      </c>
      <c r="L324">
        <v>1</v>
      </c>
      <c r="M324">
        <v>1</v>
      </c>
      <c r="N324">
        <v>2019</v>
      </c>
      <c r="O324">
        <v>25</v>
      </c>
      <c r="Q324">
        <v>0.9</v>
      </c>
      <c r="R324">
        <v>0.91</v>
      </c>
      <c r="S324">
        <v>0.92</v>
      </c>
      <c r="T324">
        <v>0.93</v>
      </c>
      <c r="U324">
        <v>0.94</v>
      </c>
      <c r="V324">
        <v>0.95</v>
      </c>
      <c r="W324">
        <v>0.95</v>
      </c>
      <c r="X324">
        <v>1748.189681549886</v>
      </c>
      <c r="Y324">
        <v>1223.7327770849199</v>
      </c>
      <c r="Z324">
        <v>1118.8413961919271</v>
      </c>
      <c r="AA324">
        <v>1118.8413961919271</v>
      </c>
      <c r="AB324">
        <v>1118.8413961919271</v>
      </c>
      <c r="AC324">
        <v>1118.8413961919271</v>
      </c>
      <c r="AD324">
        <v>699.27587261995438</v>
      </c>
      <c r="AE324">
        <v>60.603908960396048</v>
      </c>
      <c r="AF324">
        <v>55.553583213696378</v>
      </c>
      <c r="AG324">
        <v>50.503257466996708</v>
      </c>
      <c r="AH324">
        <v>45.45293172029703</v>
      </c>
      <c r="AI324">
        <v>40.40260597359736</v>
      </c>
      <c r="AJ324">
        <v>35.35228022689769</v>
      </c>
      <c r="AK324">
        <v>30.30195448019802</v>
      </c>
    </row>
    <row r="325" spans="1:37" hidden="1" x14ac:dyDescent="0.25">
      <c r="A325" t="s">
        <v>90</v>
      </c>
      <c r="B325" t="s">
        <v>370</v>
      </c>
      <c r="E325" t="s">
        <v>211</v>
      </c>
      <c r="F325" t="s">
        <v>371</v>
      </c>
      <c r="G325" t="s">
        <v>304</v>
      </c>
      <c r="H325" t="s">
        <v>305</v>
      </c>
      <c r="I325" t="s">
        <v>212</v>
      </c>
      <c r="J325" t="s">
        <v>372</v>
      </c>
      <c r="K325" t="s">
        <v>363</v>
      </c>
      <c r="L325">
        <v>1</v>
      </c>
      <c r="M325">
        <v>1</v>
      </c>
      <c r="N325">
        <v>2019</v>
      </c>
      <c r="O325">
        <v>25</v>
      </c>
      <c r="Q325">
        <v>0.9</v>
      </c>
      <c r="R325">
        <v>0.91</v>
      </c>
      <c r="S325">
        <v>0.92</v>
      </c>
      <c r="T325">
        <v>0.93</v>
      </c>
      <c r="U325">
        <v>0.94</v>
      </c>
      <c r="V325">
        <v>0.95</v>
      </c>
      <c r="W325">
        <v>0.95</v>
      </c>
      <c r="X325">
        <v>582.72989384996197</v>
      </c>
      <c r="Y325">
        <v>524.45690446496576</v>
      </c>
      <c r="Z325">
        <v>466.18391507996961</v>
      </c>
      <c r="AA325">
        <v>466.18391507996961</v>
      </c>
      <c r="AB325">
        <v>466.18391507996961</v>
      </c>
      <c r="AC325">
        <v>466.18391507996961</v>
      </c>
      <c r="AD325">
        <v>466.18391507996961</v>
      </c>
      <c r="AE325">
        <v>163.16437027798929</v>
      </c>
      <c r="AF325">
        <v>143.9342837809406</v>
      </c>
      <c r="AG325">
        <v>124.7041972838919</v>
      </c>
      <c r="AH325">
        <v>105.4741107868431</v>
      </c>
      <c r="AI325">
        <v>86.244024289794368</v>
      </c>
      <c r="AJ325">
        <v>67.013937792745622</v>
      </c>
      <c r="AK325">
        <v>47.783851295696877</v>
      </c>
    </row>
    <row r="326" spans="1:37" hidden="1" x14ac:dyDescent="0.25">
      <c r="A326" t="s">
        <v>90</v>
      </c>
      <c r="B326" t="s">
        <v>370</v>
      </c>
      <c r="E326" t="s">
        <v>211</v>
      </c>
      <c r="F326" t="s">
        <v>373</v>
      </c>
      <c r="G326" t="s">
        <v>304</v>
      </c>
      <c r="H326" t="s">
        <v>305</v>
      </c>
      <c r="I326" t="s">
        <v>212</v>
      </c>
      <c r="J326" t="s">
        <v>374</v>
      </c>
      <c r="K326" t="s">
        <v>363</v>
      </c>
      <c r="L326">
        <v>1</v>
      </c>
      <c r="M326">
        <v>1</v>
      </c>
      <c r="N326">
        <v>2019</v>
      </c>
      <c r="O326">
        <v>25</v>
      </c>
      <c r="Q326">
        <v>0.9</v>
      </c>
      <c r="R326">
        <v>0.91</v>
      </c>
      <c r="S326">
        <v>0.92</v>
      </c>
      <c r="T326">
        <v>0.93</v>
      </c>
      <c r="U326">
        <v>0.94</v>
      </c>
      <c r="V326">
        <v>0.95</v>
      </c>
      <c r="W326">
        <v>0.95</v>
      </c>
      <c r="X326">
        <v>874.09484077494301</v>
      </c>
      <c r="Y326">
        <v>757.54886200495059</v>
      </c>
      <c r="Z326">
        <v>641.00288323495818</v>
      </c>
      <c r="AA326">
        <v>641.00288323495818</v>
      </c>
      <c r="AB326">
        <v>641.00288323495818</v>
      </c>
      <c r="AC326">
        <v>641.00288323495818</v>
      </c>
      <c r="AD326">
        <v>641.00288323495818</v>
      </c>
      <c r="AE326">
        <v>174.8189681549886</v>
      </c>
      <c r="AF326">
        <v>156.3658548497398</v>
      </c>
      <c r="AG326">
        <v>137.91274154449101</v>
      </c>
      <c r="AH326">
        <v>119.45962823924221</v>
      </c>
      <c r="AI326">
        <v>101.0065149339934</v>
      </c>
      <c r="AJ326">
        <v>82.553401628744624</v>
      </c>
      <c r="AK326">
        <v>64.100288323495818</v>
      </c>
    </row>
  </sheetData>
  <autoFilter ref="A2:AK326" xr:uid="{00000000-0009-0000-0000-000004000000}">
    <filterColumn colId="7">
      <filters>
        <filter val="TRADSL"/>
        <filter val="TRAGSL"/>
      </filters>
    </filterColumn>
    <filterColumn colId="8">
      <filters>
        <filter val="TRAPASCARDMD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43"/>
  <sheetViews>
    <sheetView workbookViewId="0">
      <selection activeCell="K9" sqref="K9"/>
    </sheetView>
  </sheetViews>
  <sheetFormatPr defaultRowHeight="15" x14ac:dyDescent="0.25"/>
  <cols>
    <col min="1" max="1" width="8.5703125" bestFit="1" customWidth="1"/>
    <col min="2" max="2" width="11.28515625" bestFit="1" customWidth="1"/>
    <col min="3" max="3" width="9.28515625" bestFit="1" customWidth="1"/>
    <col min="4" max="4" width="7.5703125" bestFit="1" customWidth="1"/>
    <col min="5" max="5" width="9.7109375" bestFit="1" customWidth="1"/>
    <col min="6" max="6" width="48" bestFit="1" customWidth="1"/>
    <col min="7" max="7" width="23.28515625" bestFit="1" customWidth="1"/>
    <col min="8" max="8" width="10.85546875" bestFit="1" customWidth="1"/>
    <col min="9" max="9" width="16.7109375" bestFit="1" customWidth="1"/>
    <col min="10" max="10" width="22.28515625" bestFit="1" customWidth="1"/>
    <col min="11" max="11" width="22.28515625" customWidth="1"/>
    <col min="12" max="12" width="22.85546875" bestFit="1" customWidth="1"/>
    <col min="13" max="13" width="17.140625" bestFit="1" customWidth="1"/>
    <col min="14" max="15" width="17.140625" customWidth="1"/>
    <col min="16" max="16" width="19" bestFit="1" customWidth="1"/>
    <col min="17" max="17" width="19.85546875" bestFit="1" customWidth="1"/>
    <col min="18" max="18" width="16.7109375" bestFit="1" customWidth="1"/>
    <col min="19" max="19" width="13.28515625" bestFit="1" customWidth="1"/>
    <col min="20" max="20" width="15.7109375" bestFit="1" customWidth="1"/>
  </cols>
  <sheetData>
    <row r="1" spans="1:24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82</v>
      </c>
      <c r="L1" t="s">
        <v>375</v>
      </c>
      <c r="M1" t="s">
        <v>376</v>
      </c>
      <c r="N1" t="s">
        <v>377</v>
      </c>
      <c r="O1" t="s">
        <v>378</v>
      </c>
      <c r="P1" t="s">
        <v>379</v>
      </c>
      <c r="Q1" t="s">
        <v>380</v>
      </c>
      <c r="R1" t="s">
        <v>381</v>
      </c>
      <c r="S1" t="s">
        <v>87</v>
      </c>
      <c r="T1" t="s">
        <v>382</v>
      </c>
      <c r="U1" t="s">
        <v>383</v>
      </c>
      <c r="V1" t="s">
        <v>384</v>
      </c>
      <c r="W1" t="s">
        <v>385</v>
      </c>
      <c r="X1" t="s">
        <v>386</v>
      </c>
    </row>
    <row r="2" spans="1:24" x14ac:dyDescent="0.25">
      <c r="A2" t="s">
        <v>90</v>
      </c>
      <c r="B2" t="s">
        <v>91</v>
      </c>
      <c r="C2" t="s">
        <v>92</v>
      </c>
      <c r="F2" t="s">
        <v>93</v>
      </c>
      <c r="G2" t="s">
        <v>94</v>
      </c>
      <c r="H2" t="s">
        <v>95</v>
      </c>
      <c r="I2" t="s">
        <v>96</v>
      </c>
      <c r="J2" t="s">
        <v>387</v>
      </c>
      <c r="K2">
        <v>1</v>
      </c>
      <c r="L2">
        <v>68921.250890371171</v>
      </c>
      <c r="M2">
        <v>0.97948822194383345</v>
      </c>
      <c r="N2">
        <v>0.9</v>
      </c>
      <c r="O2">
        <v>1</v>
      </c>
      <c r="P2">
        <v>67507.553488754507</v>
      </c>
      <c r="Q2">
        <v>205180.57951491431</v>
      </c>
      <c r="R2">
        <v>67507.553488754507</v>
      </c>
      <c r="S2">
        <v>0.32901531737728362</v>
      </c>
      <c r="T2">
        <v>12</v>
      </c>
      <c r="U2">
        <v>6.4729489937102871</v>
      </c>
      <c r="W2">
        <v>1</v>
      </c>
      <c r="X2">
        <v>1</v>
      </c>
    </row>
    <row r="3" spans="1:24" x14ac:dyDescent="0.25">
      <c r="A3" t="s">
        <v>90</v>
      </c>
      <c r="B3" t="s">
        <v>91</v>
      </c>
      <c r="C3" t="s">
        <v>92</v>
      </c>
      <c r="F3" t="s">
        <v>93</v>
      </c>
      <c r="G3" t="s">
        <v>99</v>
      </c>
      <c r="H3" t="s">
        <v>100</v>
      </c>
      <c r="I3" t="s">
        <v>96</v>
      </c>
      <c r="J3" t="s">
        <v>387</v>
      </c>
      <c r="K3">
        <v>0</v>
      </c>
      <c r="L3">
        <v>68921.250890371171</v>
      </c>
      <c r="M3">
        <v>0</v>
      </c>
      <c r="N3">
        <v>0</v>
      </c>
      <c r="O3">
        <v>0.1</v>
      </c>
      <c r="P3">
        <v>0</v>
      </c>
      <c r="Q3">
        <v>0</v>
      </c>
      <c r="R3">
        <v>0</v>
      </c>
      <c r="S3">
        <v>0.32901531737728362</v>
      </c>
      <c r="T3">
        <v>12</v>
      </c>
      <c r="U3">
        <v>6.4729489937102871</v>
      </c>
      <c r="W3">
        <v>1</v>
      </c>
      <c r="X3">
        <v>1</v>
      </c>
    </row>
    <row r="4" spans="1:24" x14ac:dyDescent="0.25">
      <c r="A4" t="s">
        <v>90</v>
      </c>
      <c r="B4" t="s">
        <v>91</v>
      </c>
      <c r="C4" t="s">
        <v>92</v>
      </c>
      <c r="F4" t="s">
        <v>118</v>
      </c>
      <c r="G4" t="s">
        <v>119</v>
      </c>
      <c r="H4" t="s">
        <v>120</v>
      </c>
      <c r="I4" t="s">
        <v>96</v>
      </c>
      <c r="J4" t="s">
        <v>388</v>
      </c>
      <c r="K4">
        <v>1</v>
      </c>
      <c r="L4">
        <v>68921.250890371171</v>
      </c>
      <c r="M4">
        <v>1.107478589525775E-2</v>
      </c>
      <c r="N4">
        <v>0</v>
      </c>
      <c r="O4">
        <v>1</v>
      </c>
      <c r="P4">
        <v>763.28809724420307</v>
      </c>
      <c r="Q4">
        <v>2284.357007672636</v>
      </c>
      <c r="R4">
        <v>763.28809724420307</v>
      </c>
      <c r="S4">
        <v>0.33413695612397348</v>
      </c>
      <c r="T4">
        <v>12</v>
      </c>
      <c r="U4">
        <v>6.4729489937102871</v>
      </c>
      <c r="W4">
        <v>1</v>
      </c>
      <c r="X4">
        <v>1</v>
      </c>
    </row>
    <row r="5" spans="1:24" x14ac:dyDescent="0.25">
      <c r="A5" t="s">
        <v>90</v>
      </c>
      <c r="B5" t="s">
        <v>91</v>
      </c>
      <c r="C5" t="s">
        <v>92</v>
      </c>
      <c r="F5" t="s">
        <v>118</v>
      </c>
      <c r="G5" t="s">
        <v>122</v>
      </c>
      <c r="H5" t="s">
        <v>123</v>
      </c>
      <c r="I5" t="s">
        <v>96</v>
      </c>
      <c r="J5" t="s">
        <v>388</v>
      </c>
      <c r="K5">
        <v>0</v>
      </c>
      <c r="L5">
        <v>68921.250890371171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0.33413695612397348</v>
      </c>
      <c r="T5">
        <v>12</v>
      </c>
      <c r="U5">
        <v>6.4729489937102871</v>
      </c>
      <c r="W5">
        <v>1</v>
      </c>
      <c r="X5">
        <v>1</v>
      </c>
    </row>
    <row r="6" spans="1:24" x14ac:dyDescent="0.25">
      <c r="A6" t="s">
        <v>90</v>
      </c>
      <c r="B6" t="s">
        <v>91</v>
      </c>
      <c r="C6" t="s">
        <v>92</v>
      </c>
      <c r="F6" t="s">
        <v>118</v>
      </c>
      <c r="G6" t="s">
        <v>124</v>
      </c>
      <c r="H6" t="s">
        <v>125</v>
      </c>
      <c r="I6" t="s">
        <v>96</v>
      </c>
      <c r="J6" t="s">
        <v>388</v>
      </c>
      <c r="K6">
        <v>0</v>
      </c>
      <c r="L6">
        <v>68921.250890371171</v>
      </c>
      <c r="M6">
        <v>0</v>
      </c>
      <c r="N6">
        <v>0</v>
      </c>
      <c r="O6">
        <v>0.1</v>
      </c>
      <c r="P6">
        <v>0</v>
      </c>
      <c r="Q6">
        <v>0</v>
      </c>
      <c r="R6">
        <v>0</v>
      </c>
      <c r="S6">
        <v>0.33413695612397348</v>
      </c>
      <c r="T6">
        <v>12</v>
      </c>
      <c r="U6">
        <v>6.4729489937102871</v>
      </c>
      <c r="W6">
        <v>1</v>
      </c>
      <c r="X6">
        <v>1</v>
      </c>
    </row>
    <row r="7" spans="1:24" x14ac:dyDescent="0.25">
      <c r="A7" t="s">
        <v>90</v>
      </c>
      <c r="B7" t="s">
        <v>91</v>
      </c>
      <c r="C7" t="s">
        <v>92</v>
      </c>
      <c r="F7" t="s">
        <v>126</v>
      </c>
      <c r="G7" t="s">
        <v>389</v>
      </c>
      <c r="H7" t="s">
        <v>128</v>
      </c>
      <c r="I7" t="s">
        <v>96</v>
      </c>
      <c r="J7" t="s">
        <v>390</v>
      </c>
      <c r="K7">
        <v>1</v>
      </c>
      <c r="L7">
        <v>68921.250890371171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0.25976727580466458</v>
      </c>
      <c r="T7">
        <v>12</v>
      </c>
      <c r="U7">
        <v>6.4729489937102871</v>
      </c>
      <c r="W7">
        <v>1</v>
      </c>
      <c r="X7">
        <v>1</v>
      </c>
    </row>
    <row r="8" spans="1:24" x14ac:dyDescent="0.25">
      <c r="A8" t="s">
        <v>90</v>
      </c>
      <c r="B8" t="s">
        <v>91</v>
      </c>
      <c r="C8" t="s">
        <v>92</v>
      </c>
      <c r="F8" t="s">
        <v>126</v>
      </c>
      <c r="G8" t="s">
        <v>130</v>
      </c>
      <c r="H8" t="s">
        <v>131</v>
      </c>
      <c r="I8" t="s">
        <v>96</v>
      </c>
      <c r="J8" t="s">
        <v>390</v>
      </c>
      <c r="K8">
        <v>0</v>
      </c>
      <c r="L8">
        <v>68921.250890371171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0.25976727580466458</v>
      </c>
      <c r="T8">
        <v>12</v>
      </c>
      <c r="U8">
        <v>6.4729489937102871</v>
      </c>
      <c r="W8">
        <v>1</v>
      </c>
      <c r="X8">
        <v>1</v>
      </c>
    </row>
    <row r="9" spans="1:24" x14ac:dyDescent="0.25">
      <c r="A9" t="s">
        <v>90</v>
      </c>
      <c r="B9" t="s">
        <v>91</v>
      </c>
      <c r="C9" t="s">
        <v>92</v>
      </c>
      <c r="F9" t="s">
        <v>140</v>
      </c>
      <c r="G9" t="s">
        <v>114</v>
      </c>
      <c r="H9" t="s">
        <v>115</v>
      </c>
      <c r="I9" t="s">
        <v>96</v>
      </c>
      <c r="J9" t="s">
        <v>391</v>
      </c>
      <c r="K9">
        <v>1</v>
      </c>
      <c r="L9">
        <v>68921.250890371171</v>
      </c>
      <c r="M9">
        <v>9.436992160908755E-3</v>
      </c>
      <c r="N9">
        <v>1</v>
      </c>
      <c r="O9">
        <v>1</v>
      </c>
      <c r="P9">
        <v>650.40930437245834</v>
      </c>
      <c r="Q9">
        <v>884.34671872651302</v>
      </c>
      <c r="R9">
        <v>650.40930437245834</v>
      </c>
      <c r="S9">
        <v>0.73546866924442045</v>
      </c>
      <c r="T9">
        <v>12</v>
      </c>
      <c r="U9">
        <v>6.4729489937102871</v>
      </c>
      <c r="W9">
        <v>1</v>
      </c>
      <c r="X9">
        <v>1</v>
      </c>
    </row>
    <row r="10" spans="1:24" x14ac:dyDescent="0.25">
      <c r="A10" t="s">
        <v>90</v>
      </c>
      <c r="B10" t="s">
        <v>91</v>
      </c>
      <c r="C10" t="s">
        <v>92</v>
      </c>
      <c r="F10" t="s">
        <v>132</v>
      </c>
      <c r="G10" t="s">
        <v>133</v>
      </c>
      <c r="H10" t="s">
        <v>134</v>
      </c>
      <c r="I10" t="s">
        <v>96</v>
      </c>
      <c r="J10" t="s">
        <v>392</v>
      </c>
      <c r="K10">
        <v>1</v>
      </c>
      <c r="L10">
        <v>68921.250890371171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0.73546866924442045</v>
      </c>
      <c r="T10">
        <v>12</v>
      </c>
      <c r="U10">
        <v>6.4729489937102871</v>
      </c>
      <c r="W10">
        <v>1</v>
      </c>
      <c r="X10">
        <v>1</v>
      </c>
    </row>
    <row r="11" spans="1:24" x14ac:dyDescent="0.25">
      <c r="A11" t="s">
        <v>90</v>
      </c>
      <c r="B11" t="s">
        <v>91</v>
      </c>
      <c r="C11" t="s">
        <v>146</v>
      </c>
      <c r="F11" t="s">
        <v>93</v>
      </c>
      <c r="G11" t="s">
        <v>94</v>
      </c>
      <c r="H11" t="s">
        <v>95</v>
      </c>
      <c r="I11" t="s">
        <v>147</v>
      </c>
      <c r="J11" t="s">
        <v>393</v>
      </c>
      <c r="K11">
        <v>1</v>
      </c>
      <c r="L11">
        <v>0</v>
      </c>
      <c r="M11">
        <v>0</v>
      </c>
      <c r="N11">
        <v>0.9</v>
      </c>
      <c r="O11">
        <v>1</v>
      </c>
      <c r="P11">
        <v>0</v>
      </c>
      <c r="Q11">
        <v>0</v>
      </c>
      <c r="R11">
        <v>0</v>
      </c>
      <c r="S11">
        <v>0.2492597874721639</v>
      </c>
      <c r="T11">
        <v>13</v>
      </c>
      <c r="U11">
        <v>5.8122531888635924</v>
      </c>
      <c r="W11">
        <v>1</v>
      </c>
      <c r="X11">
        <v>1</v>
      </c>
    </row>
    <row r="12" spans="1:24" x14ac:dyDescent="0.25">
      <c r="A12" t="s">
        <v>90</v>
      </c>
      <c r="B12" t="s">
        <v>91</v>
      </c>
      <c r="C12" t="s">
        <v>146</v>
      </c>
      <c r="F12" t="s">
        <v>93</v>
      </c>
      <c r="G12" t="s">
        <v>99</v>
      </c>
      <c r="H12" t="s">
        <v>100</v>
      </c>
      <c r="I12" t="s">
        <v>147</v>
      </c>
      <c r="J12" t="s">
        <v>393</v>
      </c>
      <c r="K12">
        <v>0</v>
      </c>
      <c r="L12">
        <v>0</v>
      </c>
      <c r="M12">
        <v>0</v>
      </c>
      <c r="N12">
        <v>0</v>
      </c>
      <c r="O12">
        <v>0.1</v>
      </c>
      <c r="P12">
        <v>0</v>
      </c>
      <c r="Q12">
        <v>0</v>
      </c>
      <c r="R12">
        <v>0</v>
      </c>
      <c r="S12">
        <v>0.2492597874721639</v>
      </c>
      <c r="T12">
        <v>13</v>
      </c>
      <c r="U12">
        <v>5.8122531888635924</v>
      </c>
      <c r="W12">
        <v>1</v>
      </c>
      <c r="X12">
        <v>1</v>
      </c>
    </row>
    <row r="13" spans="1:24" x14ac:dyDescent="0.25">
      <c r="A13" t="s">
        <v>90</v>
      </c>
      <c r="B13" t="s">
        <v>91</v>
      </c>
      <c r="C13" t="s">
        <v>146</v>
      </c>
      <c r="F13" t="s">
        <v>118</v>
      </c>
      <c r="G13" t="s">
        <v>119</v>
      </c>
      <c r="H13" t="s">
        <v>120</v>
      </c>
      <c r="I13" t="s">
        <v>147</v>
      </c>
      <c r="J13" t="s">
        <v>394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0.1975698698773741</v>
      </c>
      <c r="T13">
        <v>13</v>
      </c>
      <c r="U13">
        <v>5.8122531888635924</v>
      </c>
      <c r="W13">
        <v>1</v>
      </c>
      <c r="X13">
        <v>1</v>
      </c>
    </row>
    <row r="14" spans="1:24" x14ac:dyDescent="0.25">
      <c r="A14" t="s">
        <v>90</v>
      </c>
      <c r="B14" t="s">
        <v>91</v>
      </c>
      <c r="C14" t="s">
        <v>146</v>
      </c>
      <c r="F14" t="s">
        <v>118</v>
      </c>
      <c r="G14" t="s">
        <v>122</v>
      </c>
      <c r="H14" t="s">
        <v>123</v>
      </c>
      <c r="I14" t="s">
        <v>147</v>
      </c>
      <c r="J14" t="s">
        <v>394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0.1975698698773741</v>
      </c>
      <c r="T14">
        <v>13</v>
      </c>
      <c r="U14">
        <v>5.8122531888635924</v>
      </c>
      <c r="W14">
        <v>1</v>
      </c>
      <c r="X14">
        <v>1</v>
      </c>
    </row>
    <row r="15" spans="1:24" x14ac:dyDescent="0.25">
      <c r="A15" t="s">
        <v>90</v>
      </c>
      <c r="B15" t="s">
        <v>91</v>
      </c>
      <c r="C15" t="s">
        <v>146</v>
      </c>
      <c r="F15" t="s">
        <v>118</v>
      </c>
      <c r="G15" t="s">
        <v>124</v>
      </c>
      <c r="H15" t="s">
        <v>125</v>
      </c>
      <c r="I15" t="s">
        <v>147</v>
      </c>
      <c r="J15" t="s">
        <v>394</v>
      </c>
      <c r="K15">
        <v>0</v>
      </c>
      <c r="L15">
        <v>0</v>
      </c>
      <c r="M15">
        <v>0</v>
      </c>
      <c r="N15">
        <v>0</v>
      </c>
      <c r="O15">
        <v>0.1</v>
      </c>
      <c r="P15">
        <v>0</v>
      </c>
      <c r="Q15">
        <v>0</v>
      </c>
      <c r="R15">
        <v>0</v>
      </c>
      <c r="S15">
        <v>0.1975698698773741</v>
      </c>
      <c r="T15">
        <v>13</v>
      </c>
      <c r="U15">
        <v>5.8122531888635924</v>
      </c>
      <c r="W15">
        <v>1</v>
      </c>
      <c r="X15">
        <v>1</v>
      </c>
    </row>
    <row r="16" spans="1:24" x14ac:dyDescent="0.25">
      <c r="A16" t="s">
        <v>90</v>
      </c>
      <c r="B16" t="s">
        <v>91</v>
      </c>
      <c r="C16" t="s">
        <v>146</v>
      </c>
      <c r="F16" t="s">
        <v>126</v>
      </c>
      <c r="G16" t="s">
        <v>389</v>
      </c>
      <c r="H16" t="s">
        <v>128</v>
      </c>
      <c r="I16" t="s">
        <v>147</v>
      </c>
      <c r="J16" t="s">
        <v>395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0.18842471273321851</v>
      </c>
      <c r="T16">
        <v>13</v>
      </c>
      <c r="U16">
        <v>5.8122531888635924</v>
      </c>
      <c r="W16">
        <v>1</v>
      </c>
      <c r="X16">
        <v>1</v>
      </c>
    </row>
    <row r="17" spans="1:24" x14ac:dyDescent="0.25">
      <c r="A17" t="s">
        <v>90</v>
      </c>
      <c r="B17" t="s">
        <v>91</v>
      </c>
      <c r="C17" t="s">
        <v>146</v>
      </c>
      <c r="F17" t="s">
        <v>126</v>
      </c>
      <c r="G17" t="s">
        <v>130</v>
      </c>
      <c r="H17" t="s">
        <v>131</v>
      </c>
      <c r="I17" t="s">
        <v>147</v>
      </c>
      <c r="J17" t="s">
        <v>395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0.18842471273321851</v>
      </c>
      <c r="T17">
        <v>13</v>
      </c>
      <c r="U17">
        <v>5.8122531888635924</v>
      </c>
      <c r="W17">
        <v>1</v>
      </c>
      <c r="X17">
        <v>1</v>
      </c>
    </row>
    <row r="18" spans="1:24" x14ac:dyDescent="0.25">
      <c r="A18" t="s">
        <v>90</v>
      </c>
      <c r="B18" t="s">
        <v>91</v>
      </c>
      <c r="C18" t="s">
        <v>146</v>
      </c>
      <c r="F18" t="s">
        <v>140</v>
      </c>
      <c r="G18" t="s">
        <v>114</v>
      </c>
      <c r="H18" t="s">
        <v>115</v>
      </c>
      <c r="I18" t="s">
        <v>147</v>
      </c>
      <c r="J18" t="s">
        <v>396</v>
      </c>
      <c r="K18">
        <v>1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0.34221936387625351</v>
      </c>
      <c r="T18">
        <v>13</v>
      </c>
      <c r="U18">
        <v>5.8122531888635924</v>
      </c>
      <c r="W18">
        <v>1</v>
      </c>
      <c r="X18">
        <v>1</v>
      </c>
    </row>
    <row r="19" spans="1:24" x14ac:dyDescent="0.25">
      <c r="A19" t="s">
        <v>90</v>
      </c>
      <c r="B19" t="s">
        <v>91</v>
      </c>
      <c r="C19" t="s">
        <v>146</v>
      </c>
      <c r="F19" t="s">
        <v>132</v>
      </c>
      <c r="G19" t="s">
        <v>133</v>
      </c>
      <c r="H19" t="s">
        <v>134</v>
      </c>
      <c r="I19" t="s">
        <v>147</v>
      </c>
      <c r="J19" t="s">
        <v>397</v>
      </c>
      <c r="K19">
        <v>1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0.34221936387625351</v>
      </c>
      <c r="T19">
        <v>13</v>
      </c>
      <c r="U19">
        <v>5.8122531888635924</v>
      </c>
      <c r="W19">
        <v>1</v>
      </c>
      <c r="X19">
        <v>1</v>
      </c>
    </row>
    <row r="20" spans="1:24" x14ac:dyDescent="0.25">
      <c r="A20" t="s">
        <v>90</v>
      </c>
      <c r="B20" t="s">
        <v>91</v>
      </c>
      <c r="C20" t="s">
        <v>164</v>
      </c>
      <c r="F20" t="s">
        <v>93</v>
      </c>
      <c r="G20" t="s">
        <v>94</v>
      </c>
      <c r="H20" t="s">
        <v>95</v>
      </c>
      <c r="I20" t="s">
        <v>165</v>
      </c>
      <c r="J20" t="s">
        <v>398</v>
      </c>
      <c r="K20">
        <v>1</v>
      </c>
      <c r="L20">
        <v>0</v>
      </c>
      <c r="M20">
        <v>0</v>
      </c>
      <c r="N20">
        <v>0.9</v>
      </c>
      <c r="O20">
        <v>1</v>
      </c>
      <c r="P20">
        <v>0</v>
      </c>
      <c r="Q20">
        <v>0</v>
      </c>
      <c r="R20">
        <v>0</v>
      </c>
      <c r="S20">
        <v>0.27793892005546322</v>
      </c>
      <c r="T20">
        <v>73</v>
      </c>
      <c r="U20">
        <v>1.212166586851716</v>
      </c>
      <c r="W20">
        <v>1</v>
      </c>
      <c r="X20">
        <v>1</v>
      </c>
    </row>
    <row r="21" spans="1:24" x14ac:dyDescent="0.25">
      <c r="A21" t="s">
        <v>90</v>
      </c>
      <c r="B21" t="s">
        <v>91</v>
      </c>
      <c r="C21" t="s">
        <v>164</v>
      </c>
      <c r="F21" t="s">
        <v>93</v>
      </c>
      <c r="G21" t="s">
        <v>99</v>
      </c>
      <c r="H21" t="s">
        <v>100</v>
      </c>
      <c r="I21" t="s">
        <v>165</v>
      </c>
      <c r="J21" t="s">
        <v>398</v>
      </c>
      <c r="K21">
        <v>0</v>
      </c>
      <c r="L21">
        <v>0</v>
      </c>
      <c r="M21">
        <v>0</v>
      </c>
      <c r="N21">
        <v>0</v>
      </c>
      <c r="O21">
        <v>0.1</v>
      </c>
      <c r="P21">
        <v>0</v>
      </c>
      <c r="Q21">
        <v>0</v>
      </c>
      <c r="R21">
        <v>0</v>
      </c>
      <c r="S21">
        <v>0.27793892005546322</v>
      </c>
      <c r="T21">
        <v>73</v>
      </c>
      <c r="U21">
        <v>1.212166586851716</v>
      </c>
      <c r="W21">
        <v>1</v>
      </c>
      <c r="X21">
        <v>1</v>
      </c>
    </row>
    <row r="22" spans="1:24" x14ac:dyDescent="0.25">
      <c r="A22" t="s">
        <v>90</v>
      </c>
      <c r="B22" t="s">
        <v>91</v>
      </c>
      <c r="C22" t="s">
        <v>164</v>
      </c>
      <c r="F22" t="s">
        <v>118</v>
      </c>
      <c r="G22" t="s">
        <v>119</v>
      </c>
      <c r="H22" t="s">
        <v>120</v>
      </c>
      <c r="I22" t="s">
        <v>165</v>
      </c>
      <c r="J22" t="s">
        <v>399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0.60859220633235001</v>
      </c>
      <c r="T22">
        <v>73</v>
      </c>
      <c r="U22">
        <v>1.212166586851716</v>
      </c>
      <c r="W22">
        <v>1</v>
      </c>
      <c r="X22">
        <v>1</v>
      </c>
    </row>
    <row r="23" spans="1:24" x14ac:dyDescent="0.25">
      <c r="A23" t="s">
        <v>90</v>
      </c>
      <c r="B23" t="s">
        <v>91</v>
      </c>
      <c r="C23" t="s">
        <v>164</v>
      </c>
      <c r="F23" t="s">
        <v>118</v>
      </c>
      <c r="G23" t="s">
        <v>122</v>
      </c>
      <c r="H23" t="s">
        <v>123</v>
      </c>
      <c r="I23" t="s">
        <v>165</v>
      </c>
      <c r="J23" t="s">
        <v>399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0.60859220633235001</v>
      </c>
      <c r="T23">
        <v>73</v>
      </c>
      <c r="U23">
        <v>1.212166586851716</v>
      </c>
      <c r="W23">
        <v>1</v>
      </c>
      <c r="X23">
        <v>1</v>
      </c>
    </row>
    <row r="24" spans="1:24" x14ac:dyDescent="0.25">
      <c r="A24" t="s">
        <v>90</v>
      </c>
      <c r="B24" t="s">
        <v>91</v>
      </c>
      <c r="C24" t="s">
        <v>164</v>
      </c>
      <c r="F24" t="s">
        <v>118</v>
      </c>
      <c r="G24" t="s">
        <v>124</v>
      </c>
      <c r="H24" t="s">
        <v>125</v>
      </c>
      <c r="I24" t="s">
        <v>165</v>
      </c>
      <c r="J24" t="s">
        <v>399</v>
      </c>
      <c r="K24">
        <v>0</v>
      </c>
      <c r="L24">
        <v>0</v>
      </c>
      <c r="M24">
        <v>0</v>
      </c>
      <c r="N24">
        <v>0</v>
      </c>
      <c r="O24">
        <v>0.1</v>
      </c>
      <c r="P24">
        <v>0</v>
      </c>
      <c r="Q24">
        <v>0</v>
      </c>
      <c r="R24">
        <v>0</v>
      </c>
      <c r="S24">
        <v>0.60859220633235001</v>
      </c>
      <c r="T24">
        <v>73</v>
      </c>
      <c r="U24">
        <v>1.212166586851716</v>
      </c>
      <c r="W24">
        <v>1</v>
      </c>
      <c r="X24">
        <v>1</v>
      </c>
    </row>
    <row r="25" spans="1:24" x14ac:dyDescent="0.25">
      <c r="A25" t="s">
        <v>90</v>
      </c>
      <c r="B25" t="s">
        <v>91</v>
      </c>
      <c r="C25" t="s">
        <v>164</v>
      </c>
      <c r="F25" t="s">
        <v>126</v>
      </c>
      <c r="G25" t="s">
        <v>389</v>
      </c>
      <c r="H25" t="s">
        <v>128</v>
      </c>
      <c r="I25" t="s">
        <v>165</v>
      </c>
      <c r="J25" t="s">
        <v>400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0.49814213089078491</v>
      </c>
      <c r="T25">
        <v>73</v>
      </c>
      <c r="U25">
        <v>1.212166586851716</v>
      </c>
      <c r="W25">
        <v>1</v>
      </c>
      <c r="X25">
        <v>1</v>
      </c>
    </row>
    <row r="26" spans="1:24" x14ac:dyDescent="0.25">
      <c r="A26" t="s">
        <v>90</v>
      </c>
      <c r="B26" t="s">
        <v>91</v>
      </c>
      <c r="C26" t="s">
        <v>164</v>
      </c>
      <c r="F26" t="s">
        <v>126</v>
      </c>
      <c r="G26" t="s">
        <v>130</v>
      </c>
      <c r="H26" t="s">
        <v>131</v>
      </c>
      <c r="I26" t="s">
        <v>165</v>
      </c>
      <c r="J26" t="s">
        <v>400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0.49814213089078491</v>
      </c>
      <c r="T26">
        <v>73</v>
      </c>
      <c r="U26">
        <v>1.212166586851716</v>
      </c>
      <c r="W26">
        <v>1</v>
      </c>
      <c r="X26">
        <v>1</v>
      </c>
    </row>
    <row r="27" spans="1:24" x14ac:dyDescent="0.25">
      <c r="A27" t="s">
        <v>90</v>
      </c>
      <c r="B27" t="s">
        <v>91</v>
      </c>
      <c r="C27" t="s">
        <v>164</v>
      </c>
      <c r="F27" t="s">
        <v>140</v>
      </c>
      <c r="G27" t="s">
        <v>114</v>
      </c>
      <c r="H27" t="s">
        <v>115</v>
      </c>
      <c r="I27" t="s">
        <v>165</v>
      </c>
      <c r="J27" t="s">
        <v>401</v>
      </c>
      <c r="K27">
        <v>1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1.0113384849146789</v>
      </c>
      <c r="T27">
        <v>73</v>
      </c>
      <c r="U27">
        <v>1.212166586851716</v>
      </c>
      <c r="W27">
        <v>1</v>
      </c>
      <c r="X27">
        <v>1</v>
      </c>
    </row>
    <row r="28" spans="1:24" x14ac:dyDescent="0.25">
      <c r="A28" t="s">
        <v>90</v>
      </c>
      <c r="B28" t="s">
        <v>91</v>
      </c>
      <c r="C28" t="s">
        <v>164</v>
      </c>
      <c r="F28" t="s">
        <v>132</v>
      </c>
      <c r="G28" t="s">
        <v>133</v>
      </c>
      <c r="H28" t="s">
        <v>134</v>
      </c>
      <c r="I28" t="s">
        <v>165</v>
      </c>
      <c r="J28" t="s">
        <v>402</v>
      </c>
      <c r="K28">
        <v>1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1.0113384849146789</v>
      </c>
      <c r="T28">
        <v>73</v>
      </c>
      <c r="U28">
        <v>1.212166586851716</v>
      </c>
      <c r="W28">
        <v>1</v>
      </c>
      <c r="X28">
        <v>1</v>
      </c>
    </row>
    <row r="29" spans="1:24" x14ac:dyDescent="0.25">
      <c r="A29" t="s">
        <v>90</v>
      </c>
      <c r="B29" t="s">
        <v>182</v>
      </c>
      <c r="C29" t="s">
        <v>183</v>
      </c>
      <c r="F29" t="s">
        <v>93</v>
      </c>
      <c r="G29" t="s">
        <v>94</v>
      </c>
      <c r="H29" t="s">
        <v>95</v>
      </c>
      <c r="I29" t="s">
        <v>184</v>
      </c>
      <c r="J29" t="s">
        <v>403</v>
      </c>
      <c r="K29">
        <v>1</v>
      </c>
      <c r="L29">
        <v>1578.5178847930749</v>
      </c>
      <c r="M29">
        <v>0.83013533837128906</v>
      </c>
      <c r="N29">
        <v>0.9</v>
      </c>
      <c r="O29">
        <v>1</v>
      </c>
      <c r="P29">
        <v>1310.3834784178309</v>
      </c>
      <c r="Q29">
        <v>5439.0502992313704</v>
      </c>
      <c r="R29">
        <v>1310.3834784178309</v>
      </c>
      <c r="S29">
        <v>0.2409213753002083</v>
      </c>
      <c r="T29">
        <v>15</v>
      </c>
      <c r="U29">
        <v>5.922224573942124</v>
      </c>
      <c r="W29">
        <v>1</v>
      </c>
      <c r="X29">
        <v>1</v>
      </c>
    </row>
    <row r="30" spans="1:24" x14ac:dyDescent="0.25">
      <c r="A30" t="s">
        <v>90</v>
      </c>
      <c r="B30" t="s">
        <v>182</v>
      </c>
      <c r="C30" t="s">
        <v>183</v>
      </c>
      <c r="F30" t="s">
        <v>93</v>
      </c>
      <c r="G30" t="s">
        <v>99</v>
      </c>
      <c r="H30" t="s">
        <v>100</v>
      </c>
      <c r="I30" t="s">
        <v>184</v>
      </c>
      <c r="J30" t="s">
        <v>403</v>
      </c>
      <c r="K30">
        <v>0</v>
      </c>
      <c r="L30">
        <v>1578.5178847930749</v>
      </c>
      <c r="M30">
        <v>0</v>
      </c>
      <c r="N30">
        <v>0</v>
      </c>
      <c r="O30">
        <v>0.1</v>
      </c>
      <c r="P30">
        <v>0</v>
      </c>
      <c r="Q30">
        <v>0</v>
      </c>
      <c r="R30">
        <v>0</v>
      </c>
      <c r="S30">
        <v>0.2409213753002083</v>
      </c>
      <c r="T30">
        <v>15</v>
      </c>
      <c r="U30">
        <v>5.922224573942124</v>
      </c>
      <c r="W30">
        <v>1</v>
      </c>
      <c r="X30">
        <v>1</v>
      </c>
    </row>
    <row r="31" spans="1:24" x14ac:dyDescent="0.25">
      <c r="A31" t="s">
        <v>90</v>
      </c>
      <c r="B31" t="s">
        <v>182</v>
      </c>
      <c r="C31" t="s">
        <v>183</v>
      </c>
      <c r="F31" t="s">
        <v>118</v>
      </c>
      <c r="G31" t="s">
        <v>119</v>
      </c>
      <c r="H31" t="s">
        <v>120</v>
      </c>
      <c r="I31" t="s">
        <v>184</v>
      </c>
      <c r="J31" t="s">
        <v>404</v>
      </c>
      <c r="K31">
        <v>1</v>
      </c>
      <c r="L31">
        <v>1578.5178847930749</v>
      </c>
      <c r="M31">
        <v>0.16200256102354729</v>
      </c>
      <c r="N31">
        <v>0</v>
      </c>
      <c r="O31">
        <v>1</v>
      </c>
      <c r="P31">
        <v>255.72393995795099</v>
      </c>
      <c r="Q31">
        <v>1444.03486828822</v>
      </c>
      <c r="R31">
        <v>255.72393995795099</v>
      </c>
      <c r="S31">
        <v>0.17708986505366731</v>
      </c>
      <c r="T31">
        <v>15</v>
      </c>
      <c r="U31">
        <v>5.922224573942124</v>
      </c>
      <c r="W31">
        <v>1</v>
      </c>
      <c r="X31">
        <v>1</v>
      </c>
    </row>
    <row r="32" spans="1:24" x14ac:dyDescent="0.25">
      <c r="A32" t="s">
        <v>90</v>
      </c>
      <c r="B32" t="s">
        <v>182</v>
      </c>
      <c r="C32" t="s">
        <v>183</v>
      </c>
      <c r="F32" t="s">
        <v>118</v>
      </c>
      <c r="G32" t="s">
        <v>122</v>
      </c>
      <c r="H32" t="s">
        <v>123</v>
      </c>
      <c r="I32" t="s">
        <v>184</v>
      </c>
      <c r="J32" t="s">
        <v>404</v>
      </c>
      <c r="K32">
        <v>0</v>
      </c>
      <c r="L32">
        <v>1578.5178847930749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0.17708986505366731</v>
      </c>
      <c r="T32">
        <v>15</v>
      </c>
      <c r="U32">
        <v>5.922224573942124</v>
      </c>
      <c r="W32">
        <v>1</v>
      </c>
      <c r="X32">
        <v>1</v>
      </c>
    </row>
    <row r="33" spans="1:24" x14ac:dyDescent="0.25">
      <c r="A33" t="s">
        <v>90</v>
      </c>
      <c r="B33" t="s">
        <v>182</v>
      </c>
      <c r="C33" t="s">
        <v>183</v>
      </c>
      <c r="F33" t="s">
        <v>118</v>
      </c>
      <c r="G33" t="s">
        <v>124</v>
      </c>
      <c r="H33" t="s">
        <v>125</v>
      </c>
      <c r="I33" t="s">
        <v>184</v>
      </c>
      <c r="J33" t="s">
        <v>404</v>
      </c>
      <c r="K33">
        <v>0</v>
      </c>
      <c r="L33">
        <v>1578.5178847930749</v>
      </c>
      <c r="M33">
        <v>0</v>
      </c>
      <c r="N33">
        <v>0</v>
      </c>
      <c r="O33">
        <v>0.1</v>
      </c>
      <c r="P33">
        <v>0</v>
      </c>
      <c r="Q33">
        <v>0</v>
      </c>
      <c r="R33">
        <v>0</v>
      </c>
      <c r="S33">
        <v>0.17708986505366731</v>
      </c>
      <c r="T33">
        <v>15</v>
      </c>
      <c r="U33">
        <v>5.922224573942124</v>
      </c>
      <c r="W33">
        <v>1</v>
      </c>
      <c r="X33">
        <v>1</v>
      </c>
    </row>
    <row r="34" spans="1:24" x14ac:dyDescent="0.25">
      <c r="A34" t="s">
        <v>90</v>
      </c>
      <c r="B34" t="s">
        <v>182</v>
      </c>
      <c r="C34" t="s">
        <v>183</v>
      </c>
      <c r="F34" t="s">
        <v>126</v>
      </c>
      <c r="G34" t="s">
        <v>389</v>
      </c>
      <c r="H34" t="s">
        <v>128</v>
      </c>
      <c r="I34" t="s">
        <v>184</v>
      </c>
      <c r="J34" t="s">
        <v>405</v>
      </c>
      <c r="K34">
        <v>1</v>
      </c>
      <c r="L34">
        <v>1578.5178847930749</v>
      </c>
      <c r="M34">
        <v>1.363285754824705E-3</v>
      </c>
      <c r="N34">
        <v>0</v>
      </c>
      <c r="O34">
        <v>1</v>
      </c>
      <c r="P34">
        <v>2.151970946074425</v>
      </c>
      <c r="Q34">
        <v>11.4208530020226</v>
      </c>
      <c r="R34">
        <v>2.151970946074425</v>
      </c>
      <c r="S34">
        <v>0.18842471273321851</v>
      </c>
      <c r="T34">
        <v>15</v>
      </c>
      <c r="U34">
        <v>5.922224573942124</v>
      </c>
      <c r="W34">
        <v>1</v>
      </c>
      <c r="X34">
        <v>1</v>
      </c>
    </row>
    <row r="35" spans="1:24" x14ac:dyDescent="0.25">
      <c r="A35" t="s">
        <v>90</v>
      </c>
      <c r="B35" t="s">
        <v>182</v>
      </c>
      <c r="C35" t="s">
        <v>183</v>
      </c>
      <c r="F35" t="s">
        <v>126</v>
      </c>
      <c r="G35" t="s">
        <v>130</v>
      </c>
      <c r="H35" t="s">
        <v>131</v>
      </c>
      <c r="I35" t="s">
        <v>184</v>
      </c>
      <c r="J35" t="s">
        <v>405</v>
      </c>
      <c r="K35">
        <v>0</v>
      </c>
      <c r="L35">
        <v>1578.5178847930749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0.18842471273321851</v>
      </c>
      <c r="T35">
        <v>15</v>
      </c>
      <c r="U35">
        <v>5.922224573942124</v>
      </c>
      <c r="W35">
        <v>1</v>
      </c>
      <c r="X35">
        <v>1</v>
      </c>
    </row>
    <row r="36" spans="1:24" x14ac:dyDescent="0.25">
      <c r="A36" t="s">
        <v>90</v>
      </c>
      <c r="B36" t="s">
        <v>182</v>
      </c>
      <c r="C36" t="s">
        <v>183</v>
      </c>
      <c r="F36" t="s">
        <v>140</v>
      </c>
      <c r="G36" t="s">
        <v>114</v>
      </c>
      <c r="H36" t="s">
        <v>115</v>
      </c>
      <c r="I36" t="s">
        <v>184</v>
      </c>
      <c r="J36" t="s">
        <v>406</v>
      </c>
      <c r="K36">
        <v>1</v>
      </c>
      <c r="L36">
        <v>1578.5178847930749</v>
      </c>
      <c r="M36">
        <v>6.4988148503388986E-3</v>
      </c>
      <c r="N36">
        <v>1</v>
      </c>
      <c r="O36">
        <v>1</v>
      </c>
      <c r="P36">
        <v>10.258495471218779</v>
      </c>
      <c r="Q36">
        <v>29.976373502138401</v>
      </c>
      <c r="R36">
        <v>10.258495471218779</v>
      </c>
      <c r="S36">
        <v>0.34221936387625351</v>
      </c>
      <c r="T36">
        <v>15</v>
      </c>
      <c r="U36">
        <v>5.922224573942124</v>
      </c>
      <c r="W36">
        <v>1</v>
      </c>
      <c r="X36">
        <v>1</v>
      </c>
    </row>
    <row r="37" spans="1:24" x14ac:dyDescent="0.25">
      <c r="A37" t="s">
        <v>90</v>
      </c>
      <c r="B37" t="s">
        <v>182</v>
      </c>
      <c r="C37" t="s">
        <v>183</v>
      </c>
      <c r="F37" t="s">
        <v>132</v>
      </c>
      <c r="G37" t="s">
        <v>133</v>
      </c>
      <c r="H37" t="s">
        <v>134</v>
      </c>
      <c r="I37" t="s">
        <v>184</v>
      </c>
      <c r="J37" t="s">
        <v>407</v>
      </c>
      <c r="K37">
        <v>1</v>
      </c>
      <c r="L37">
        <v>1578.5178847930749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0.34221936387625351</v>
      </c>
      <c r="T37">
        <v>15</v>
      </c>
      <c r="U37">
        <v>5.922224573942124</v>
      </c>
      <c r="W37">
        <v>1</v>
      </c>
      <c r="X37">
        <v>1</v>
      </c>
    </row>
    <row r="38" spans="1:24" x14ac:dyDescent="0.25">
      <c r="A38" t="s">
        <v>90</v>
      </c>
      <c r="B38" t="s">
        <v>182</v>
      </c>
      <c r="C38" t="s">
        <v>201</v>
      </c>
      <c r="F38" t="s">
        <v>93</v>
      </c>
      <c r="G38" t="s">
        <v>94</v>
      </c>
      <c r="H38" t="s">
        <v>95</v>
      </c>
      <c r="I38" t="s">
        <v>203</v>
      </c>
      <c r="J38" t="s">
        <v>408</v>
      </c>
      <c r="K38">
        <v>1</v>
      </c>
      <c r="L38">
        <v>70.026308273942732</v>
      </c>
      <c r="M38">
        <v>3.6974795514361967E-2</v>
      </c>
      <c r="N38">
        <v>0.9</v>
      </c>
      <c r="O38">
        <v>1</v>
      </c>
      <c r="P38">
        <v>2.5892084290547062</v>
      </c>
      <c r="Q38">
        <v>26.454713120968201</v>
      </c>
      <c r="R38">
        <v>2.5892084290547062</v>
      </c>
      <c r="S38">
        <v>9.7873237831578697E-2</v>
      </c>
      <c r="T38">
        <v>8</v>
      </c>
      <c r="U38">
        <v>10.491571958288359</v>
      </c>
      <c r="W38">
        <v>1</v>
      </c>
      <c r="X38">
        <v>1</v>
      </c>
    </row>
    <row r="39" spans="1:24" x14ac:dyDescent="0.25">
      <c r="A39" t="s">
        <v>90</v>
      </c>
      <c r="B39" t="s">
        <v>182</v>
      </c>
      <c r="C39" t="s">
        <v>201</v>
      </c>
      <c r="F39" t="s">
        <v>93</v>
      </c>
      <c r="G39" t="s">
        <v>99</v>
      </c>
      <c r="H39" t="s">
        <v>100</v>
      </c>
      <c r="I39" t="s">
        <v>203</v>
      </c>
      <c r="J39" t="s">
        <v>408</v>
      </c>
      <c r="K39">
        <v>0</v>
      </c>
      <c r="L39">
        <v>70.026308273942732</v>
      </c>
      <c r="M39">
        <v>0</v>
      </c>
      <c r="N39">
        <v>0</v>
      </c>
      <c r="O39">
        <v>0.1</v>
      </c>
      <c r="P39">
        <v>0</v>
      </c>
      <c r="Q39">
        <v>0</v>
      </c>
      <c r="R39">
        <v>0</v>
      </c>
      <c r="S39">
        <v>9.7873237831578697E-2</v>
      </c>
      <c r="T39">
        <v>8</v>
      </c>
      <c r="U39">
        <v>10.491571958288359</v>
      </c>
      <c r="W39">
        <v>1</v>
      </c>
      <c r="X39">
        <v>1</v>
      </c>
    </row>
    <row r="40" spans="1:24" x14ac:dyDescent="0.25">
      <c r="A40" t="s">
        <v>90</v>
      </c>
      <c r="B40" t="s">
        <v>182</v>
      </c>
      <c r="C40" t="s">
        <v>201</v>
      </c>
      <c r="F40" t="s">
        <v>118</v>
      </c>
      <c r="G40" t="s">
        <v>119</v>
      </c>
      <c r="H40" t="s">
        <v>120</v>
      </c>
      <c r="I40" t="s">
        <v>203</v>
      </c>
      <c r="J40" t="s">
        <v>409</v>
      </c>
      <c r="K40">
        <v>1</v>
      </c>
      <c r="L40">
        <v>70.026308273942732</v>
      </c>
      <c r="M40">
        <v>0.95883868427741081</v>
      </c>
      <c r="N40">
        <v>0</v>
      </c>
      <c r="O40">
        <v>1</v>
      </c>
      <c r="P40">
        <v>67.143933290191612</v>
      </c>
      <c r="Q40">
        <v>1000.0455256896601</v>
      </c>
      <c r="R40">
        <v>67.143933290191612</v>
      </c>
      <c r="S40">
        <v>6.7140876655477494E-2</v>
      </c>
      <c r="T40">
        <v>8</v>
      </c>
      <c r="U40">
        <v>10.491571958288359</v>
      </c>
      <c r="W40">
        <v>1</v>
      </c>
      <c r="X40">
        <v>1</v>
      </c>
    </row>
    <row r="41" spans="1:24" x14ac:dyDescent="0.25">
      <c r="A41" t="s">
        <v>90</v>
      </c>
      <c r="B41" t="s">
        <v>182</v>
      </c>
      <c r="C41" t="s">
        <v>201</v>
      </c>
      <c r="F41" t="s">
        <v>118</v>
      </c>
      <c r="G41" t="s">
        <v>122</v>
      </c>
      <c r="H41" t="s">
        <v>123</v>
      </c>
      <c r="I41" t="s">
        <v>203</v>
      </c>
      <c r="J41" t="s">
        <v>409</v>
      </c>
      <c r="K41">
        <v>0</v>
      </c>
      <c r="L41">
        <v>70.026308273942732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6.7140876655477494E-2</v>
      </c>
      <c r="T41">
        <v>8</v>
      </c>
      <c r="U41">
        <v>10.491571958288359</v>
      </c>
      <c r="W41">
        <v>1</v>
      </c>
      <c r="X41">
        <v>1</v>
      </c>
    </row>
    <row r="42" spans="1:24" x14ac:dyDescent="0.25">
      <c r="A42" t="s">
        <v>90</v>
      </c>
      <c r="B42" t="s">
        <v>182</v>
      </c>
      <c r="C42" t="s">
        <v>201</v>
      </c>
      <c r="F42" t="s">
        <v>118</v>
      </c>
      <c r="G42" t="s">
        <v>124</v>
      </c>
      <c r="H42" t="s">
        <v>125</v>
      </c>
      <c r="I42" t="s">
        <v>203</v>
      </c>
      <c r="J42" t="s">
        <v>409</v>
      </c>
      <c r="K42">
        <v>0</v>
      </c>
      <c r="L42">
        <v>70.026308273942732</v>
      </c>
      <c r="M42">
        <v>0</v>
      </c>
      <c r="N42">
        <v>0</v>
      </c>
      <c r="O42">
        <v>0.1</v>
      </c>
      <c r="P42">
        <v>0</v>
      </c>
      <c r="Q42">
        <v>0</v>
      </c>
      <c r="R42">
        <v>0</v>
      </c>
      <c r="S42">
        <v>6.7140876655477494E-2</v>
      </c>
      <c r="T42">
        <v>8</v>
      </c>
      <c r="U42">
        <v>10.491571958288359</v>
      </c>
      <c r="W42">
        <v>1</v>
      </c>
      <c r="X42">
        <v>1</v>
      </c>
    </row>
    <row r="43" spans="1:24" x14ac:dyDescent="0.25">
      <c r="A43" t="s">
        <v>90</v>
      </c>
      <c r="B43" t="s">
        <v>182</v>
      </c>
      <c r="C43" t="s">
        <v>201</v>
      </c>
      <c r="F43" t="s">
        <v>126</v>
      </c>
      <c r="G43" t="s">
        <v>389</v>
      </c>
      <c r="H43" t="s">
        <v>128</v>
      </c>
      <c r="I43" t="s">
        <v>203</v>
      </c>
      <c r="J43" t="s">
        <v>410</v>
      </c>
      <c r="K43">
        <v>1</v>
      </c>
      <c r="L43">
        <v>70.026308273942732</v>
      </c>
      <c r="M43">
        <v>4.1865202082272141E-3</v>
      </c>
      <c r="N43">
        <v>0</v>
      </c>
      <c r="O43">
        <v>1</v>
      </c>
      <c r="P43">
        <v>0.29316655469640979</v>
      </c>
      <c r="Q43">
        <v>5.4830303130142299</v>
      </c>
      <c r="R43">
        <v>0.29316655469640979</v>
      </c>
      <c r="S43">
        <v>5.3467979923540673E-2</v>
      </c>
      <c r="T43">
        <v>8</v>
      </c>
      <c r="U43">
        <v>10.491571958288359</v>
      </c>
      <c r="W43">
        <v>1</v>
      </c>
      <c r="X43">
        <v>1</v>
      </c>
    </row>
    <row r="44" spans="1:24" x14ac:dyDescent="0.25">
      <c r="A44" t="s">
        <v>90</v>
      </c>
      <c r="B44" t="s">
        <v>182</v>
      </c>
      <c r="C44" t="s">
        <v>201</v>
      </c>
      <c r="F44" t="s">
        <v>126</v>
      </c>
      <c r="G44" t="s">
        <v>130</v>
      </c>
      <c r="H44" t="s">
        <v>131</v>
      </c>
      <c r="I44" t="s">
        <v>203</v>
      </c>
      <c r="J44" t="s">
        <v>410</v>
      </c>
      <c r="K44">
        <v>0</v>
      </c>
      <c r="L44">
        <v>70.026308273942732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1.046666208307984E-2</v>
      </c>
      <c r="T44">
        <v>8</v>
      </c>
      <c r="U44">
        <v>10.491571958288359</v>
      </c>
      <c r="W44">
        <v>1</v>
      </c>
      <c r="X44">
        <v>1</v>
      </c>
    </row>
    <row r="45" spans="1:24" x14ac:dyDescent="0.25">
      <c r="A45" t="s">
        <v>90</v>
      </c>
      <c r="B45" t="s">
        <v>182</v>
      </c>
      <c r="C45" t="s">
        <v>201</v>
      </c>
      <c r="F45" t="s">
        <v>140</v>
      </c>
      <c r="G45" t="s">
        <v>211</v>
      </c>
      <c r="H45" t="s">
        <v>212</v>
      </c>
      <c r="I45" t="s">
        <v>203</v>
      </c>
      <c r="J45" t="s">
        <v>411</v>
      </c>
      <c r="K45">
        <v>1</v>
      </c>
      <c r="L45">
        <v>70.026308273942732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0.21465701666491771</v>
      </c>
      <c r="T45">
        <v>8</v>
      </c>
      <c r="U45">
        <v>10.491571958288359</v>
      </c>
      <c r="W45">
        <v>1</v>
      </c>
      <c r="X45">
        <v>1</v>
      </c>
    </row>
    <row r="46" spans="1:24" x14ac:dyDescent="0.25">
      <c r="A46" t="s">
        <v>90</v>
      </c>
      <c r="B46" t="s">
        <v>182</v>
      </c>
      <c r="C46" t="s">
        <v>201</v>
      </c>
      <c r="F46" t="s">
        <v>132</v>
      </c>
      <c r="G46" t="s">
        <v>133</v>
      </c>
      <c r="H46" t="s">
        <v>134</v>
      </c>
      <c r="I46" t="s">
        <v>203</v>
      </c>
      <c r="J46" t="s">
        <v>412</v>
      </c>
      <c r="K46">
        <v>1</v>
      </c>
      <c r="L46">
        <v>70.026308273942732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0.14310467777661179</v>
      </c>
      <c r="T46">
        <v>8</v>
      </c>
      <c r="U46">
        <v>10.491571958288359</v>
      </c>
      <c r="W46">
        <v>1</v>
      </c>
      <c r="X46">
        <v>1</v>
      </c>
    </row>
    <row r="47" spans="1:24" x14ac:dyDescent="0.25">
      <c r="A47" t="s">
        <v>90</v>
      </c>
      <c r="B47" t="s">
        <v>182</v>
      </c>
      <c r="C47" t="s">
        <v>219</v>
      </c>
      <c r="F47" t="s">
        <v>413</v>
      </c>
      <c r="G47" t="s">
        <v>94</v>
      </c>
      <c r="H47" t="s">
        <v>95</v>
      </c>
      <c r="I47" t="s">
        <v>220</v>
      </c>
      <c r="J47" t="s">
        <v>414</v>
      </c>
      <c r="K47">
        <v>1</v>
      </c>
      <c r="L47">
        <v>0</v>
      </c>
      <c r="M47">
        <v>0</v>
      </c>
      <c r="N47">
        <v>0.9</v>
      </c>
      <c r="O47">
        <v>1</v>
      </c>
      <c r="P47">
        <v>0</v>
      </c>
      <c r="Q47">
        <v>0</v>
      </c>
      <c r="R47">
        <v>0</v>
      </c>
      <c r="S47">
        <v>0.1122163330779205</v>
      </c>
      <c r="T47">
        <v>11</v>
      </c>
      <c r="U47">
        <v>10.127280690055271</v>
      </c>
      <c r="W47">
        <v>1</v>
      </c>
      <c r="X47">
        <v>1</v>
      </c>
    </row>
    <row r="48" spans="1:24" x14ac:dyDescent="0.25">
      <c r="A48" t="s">
        <v>90</v>
      </c>
      <c r="B48" t="s">
        <v>182</v>
      </c>
      <c r="C48" t="s">
        <v>219</v>
      </c>
      <c r="F48" t="s">
        <v>413</v>
      </c>
      <c r="G48" t="s">
        <v>99</v>
      </c>
      <c r="H48" t="s">
        <v>100</v>
      </c>
      <c r="I48" t="s">
        <v>220</v>
      </c>
      <c r="J48" t="s">
        <v>414</v>
      </c>
      <c r="K48">
        <v>0</v>
      </c>
      <c r="L48">
        <v>0</v>
      </c>
      <c r="M48">
        <v>0</v>
      </c>
      <c r="N48">
        <v>0</v>
      </c>
      <c r="O48">
        <v>0.1</v>
      </c>
      <c r="P48">
        <v>0</v>
      </c>
      <c r="Q48">
        <v>0</v>
      </c>
      <c r="R48">
        <v>0</v>
      </c>
      <c r="S48">
        <v>0.1122163330779205</v>
      </c>
      <c r="T48">
        <v>11</v>
      </c>
      <c r="U48">
        <v>10.127280690055271</v>
      </c>
      <c r="W48">
        <v>1</v>
      </c>
      <c r="X48">
        <v>1</v>
      </c>
    </row>
    <row r="49" spans="1:24" x14ac:dyDescent="0.25">
      <c r="A49" t="s">
        <v>90</v>
      </c>
      <c r="B49" t="s">
        <v>182</v>
      </c>
      <c r="C49" t="s">
        <v>219</v>
      </c>
      <c r="F49" t="s">
        <v>202</v>
      </c>
      <c r="G49" t="s">
        <v>119</v>
      </c>
      <c r="H49" t="s">
        <v>120</v>
      </c>
      <c r="I49" t="s">
        <v>220</v>
      </c>
      <c r="J49" t="s">
        <v>415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0.1180076741117386</v>
      </c>
      <c r="T49">
        <v>11</v>
      </c>
      <c r="U49">
        <v>10.127280690055271</v>
      </c>
      <c r="W49">
        <v>1</v>
      </c>
      <c r="X49">
        <v>1</v>
      </c>
    </row>
    <row r="50" spans="1:24" x14ac:dyDescent="0.25">
      <c r="A50" t="s">
        <v>90</v>
      </c>
      <c r="B50" t="s">
        <v>182</v>
      </c>
      <c r="C50" t="s">
        <v>219</v>
      </c>
      <c r="F50" t="s">
        <v>202</v>
      </c>
      <c r="G50" t="s">
        <v>122</v>
      </c>
      <c r="H50" t="s">
        <v>123</v>
      </c>
      <c r="I50" t="s">
        <v>220</v>
      </c>
      <c r="J50" t="s">
        <v>415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0.1180076741117386</v>
      </c>
      <c r="T50">
        <v>11</v>
      </c>
      <c r="U50">
        <v>10.127280690055271</v>
      </c>
      <c r="W50">
        <v>1</v>
      </c>
      <c r="X50">
        <v>1</v>
      </c>
    </row>
    <row r="51" spans="1:24" x14ac:dyDescent="0.25">
      <c r="A51" t="s">
        <v>90</v>
      </c>
      <c r="B51" t="s">
        <v>182</v>
      </c>
      <c r="C51" t="s">
        <v>219</v>
      </c>
      <c r="F51" t="s">
        <v>202</v>
      </c>
      <c r="G51" t="s">
        <v>124</v>
      </c>
      <c r="H51" t="s">
        <v>125</v>
      </c>
      <c r="I51" t="s">
        <v>220</v>
      </c>
      <c r="J51" t="s">
        <v>415</v>
      </c>
      <c r="K51">
        <v>0</v>
      </c>
      <c r="L51">
        <v>0</v>
      </c>
      <c r="M51">
        <v>0</v>
      </c>
      <c r="N51">
        <v>0</v>
      </c>
      <c r="O51">
        <v>0.1</v>
      </c>
      <c r="P51">
        <v>0</v>
      </c>
      <c r="Q51">
        <v>0</v>
      </c>
      <c r="R51">
        <v>0</v>
      </c>
      <c r="S51">
        <v>0.1180076741117386</v>
      </c>
      <c r="T51">
        <v>11</v>
      </c>
      <c r="U51">
        <v>10.127280690055271</v>
      </c>
      <c r="W51">
        <v>1</v>
      </c>
      <c r="X51">
        <v>1</v>
      </c>
    </row>
    <row r="52" spans="1:24" x14ac:dyDescent="0.25">
      <c r="A52" t="s">
        <v>90</v>
      </c>
      <c r="B52" t="s">
        <v>182</v>
      </c>
      <c r="C52" t="s">
        <v>219</v>
      </c>
      <c r="F52" t="s">
        <v>126</v>
      </c>
      <c r="G52" t="s">
        <v>389</v>
      </c>
      <c r="H52" t="s">
        <v>128</v>
      </c>
      <c r="I52" t="s">
        <v>220</v>
      </c>
      <c r="J52" t="s">
        <v>416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6.3695954502814248E-2</v>
      </c>
      <c r="T52">
        <v>11</v>
      </c>
      <c r="U52">
        <v>10.127280690055271</v>
      </c>
      <c r="W52">
        <v>1</v>
      </c>
      <c r="X52">
        <v>1</v>
      </c>
    </row>
    <row r="53" spans="1:24" x14ac:dyDescent="0.25">
      <c r="A53" t="s">
        <v>90</v>
      </c>
      <c r="B53" t="s">
        <v>182</v>
      </c>
      <c r="C53" t="s">
        <v>219</v>
      </c>
      <c r="F53" t="s">
        <v>126</v>
      </c>
      <c r="G53" t="s">
        <v>130</v>
      </c>
      <c r="H53" t="s">
        <v>131</v>
      </c>
      <c r="I53" t="s">
        <v>220</v>
      </c>
      <c r="J53" t="s">
        <v>416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1.246245723504761E-2</v>
      </c>
      <c r="T53">
        <v>11</v>
      </c>
      <c r="U53">
        <v>10.127280690055271</v>
      </c>
      <c r="W53">
        <v>1</v>
      </c>
      <c r="X53">
        <v>1</v>
      </c>
    </row>
    <row r="54" spans="1:24" x14ac:dyDescent="0.25">
      <c r="A54" t="s">
        <v>90</v>
      </c>
      <c r="B54" t="s">
        <v>182</v>
      </c>
      <c r="C54" t="s">
        <v>219</v>
      </c>
      <c r="F54" t="s">
        <v>217</v>
      </c>
      <c r="G54" t="s">
        <v>211</v>
      </c>
      <c r="H54" t="s">
        <v>212</v>
      </c>
      <c r="I54" t="s">
        <v>220</v>
      </c>
      <c r="J54" t="s">
        <v>417</v>
      </c>
      <c r="K54">
        <v>1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0.21465701666491771</v>
      </c>
      <c r="T54">
        <v>11</v>
      </c>
      <c r="U54">
        <v>10.127280690055271</v>
      </c>
      <c r="W54">
        <v>1</v>
      </c>
      <c r="X54">
        <v>1</v>
      </c>
    </row>
    <row r="55" spans="1:24" x14ac:dyDescent="0.25">
      <c r="A55" t="s">
        <v>90</v>
      </c>
      <c r="B55" t="s">
        <v>182</v>
      </c>
      <c r="C55" t="s">
        <v>219</v>
      </c>
      <c r="F55" t="s">
        <v>213</v>
      </c>
      <c r="G55" t="s">
        <v>133</v>
      </c>
      <c r="H55" t="s">
        <v>134</v>
      </c>
      <c r="I55" t="s">
        <v>220</v>
      </c>
      <c r="J55" t="s">
        <v>418</v>
      </c>
      <c r="K55">
        <v>1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0.21465701666491771</v>
      </c>
      <c r="T55">
        <v>11</v>
      </c>
      <c r="U55">
        <v>10.127280690055271</v>
      </c>
      <c r="W55">
        <v>1</v>
      </c>
      <c r="X55">
        <v>1</v>
      </c>
    </row>
    <row r="56" spans="1:24" x14ac:dyDescent="0.25">
      <c r="A56" t="s">
        <v>90</v>
      </c>
      <c r="B56" t="s">
        <v>182</v>
      </c>
      <c r="C56" t="s">
        <v>228</v>
      </c>
      <c r="F56" t="s">
        <v>413</v>
      </c>
      <c r="G56" t="s">
        <v>94</v>
      </c>
      <c r="H56" t="s">
        <v>95</v>
      </c>
      <c r="I56" t="s">
        <v>229</v>
      </c>
      <c r="J56" t="s">
        <v>419</v>
      </c>
      <c r="K56">
        <v>1</v>
      </c>
      <c r="L56">
        <v>0</v>
      </c>
      <c r="M56">
        <v>0</v>
      </c>
      <c r="N56">
        <v>0.9</v>
      </c>
      <c r="O56">
        <v>1</v>
      </c>
      <c r="P56">
        <v>0</v>
      </c>
      <c r="Q56">
        <v>0</v>
      </c>
      <c r="R56">
        <v>0</v>
      </c>
      <c r="S56">
        <v>0.10656537023636201</v>
      </c>
      <c r="T56">
        <v>9</v>
      </c>
      <c r="U56">
        <v>9.8326458748120285</v>
      </c>
      <c r="W56">
        <v>1</v>
      </c>
      <c r="X56">
        <v>1</v>
      </c>
    </row>
    <row r="57" spans="1:24" x14ac:dyDescent="0.25">
      <c r="A57" t="s">
        <v>90</v>
      </c>
      <c r="B57" t="s">
        <v>182</v>
      </c>
      <c r="C57" t="s">
        <v>228</v>
      </c>
      <c r="F57" t="s">
        <v>413</v>
      </c>
      <c r="G57" t="s">
        <v>99</v>
      </c>
      <c r="H57" t="s">
        <v>100</v>
      </c>
      <c r="I57" t="s">
        <v>229</v>
      </c>
      <c r="J57" t="s">
        <v>419</v>
      </c>
      <c r="K57">
        <v>0</v>
      </c>
      <c r="L57">
        <v>0</v>
      </c>
      <c r="M57">
        <v>0</v>
      </c>
      <c r="N57">
        <v>0</v>
      </c>
      <c r="O57">
        <v>0.1</v>
      </c>
      <c r="P57">
        <v>0</v>
      </c>
      <c r="Q57">
        <v>0</v>
      </c>
      <c r="R57">
        <v>0</v>
      </c>
      <c r="S57">
        <v>0.10656537023636201</v>
      </c>
      <c r="T57">
        <v>9</v>
      </c>
      <c r="U57">
        <v>9.8326458748120285</v>
      </c>
      <c r="W57">
        <v>1</v>
      </c>
      <c r="X57">
        <v>1</v>
      </c>
    </row>
    <row r="58" spans="1:24" x14ac:dyDescent="0.25">
      <c r="A58" t="s">
        <v>90</v>
      </c>
      <c r="B58" t="s">
        <v>182</v>
      </c>
      <c r="C58" t="s">
        <v>228</v>
      </c>
      <c r="F58" t="s">
        <v>202</v>
      </c>
      <c r="G58" t="s">
        <v>119</v>
      </c>
      <c r="H58" t="s">
        <v>120</v>
      </c>
      <c r="I58" t="s">
        <v>229</v>
      </c>
      <c r="J58" t="s">
        <v>420</v>
      </c>
      <c r="K58">
        <v>1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0.10893421111131051</v>
      </c>
      <c r="T58">
        <v>9</v>
      </c>
      <c r="U58">
        <v>9.8326458748120285</v>
      </c>
      <c r="W58">
        <v>1</v>
      </c>
      <c r="X58">
        <v>1</v>
      </c>
    </row>
    <row r="59" spans="1:24" x14ac:dyDescent="0.25">
      <c r="A59" t="s">
        <v>90</v>
      </c>
      <c r="B59" t="s">
        <v>182</v>
      </c>
      <c r="C59" t="s">
        <v>228</v>
      </c>
      <c r="F59" t="s">
        <v>202</v>
      </c>
      <c r="G59" t="s">
        <v>122</v>
      </c>
      <c r="H59" t="s">
        <v>123</v>
      </c>
      <c r="I59" t="s">
        <v>229</v>
      </c>
      <c r="J59" t="s">
        <v>420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0.10893421111131051</v>
      </c>
      <c r="T59">
        <v>9</v>
      </c>
      <c r="U59">
        <v>9.8326458748120285</v>
      </c>
      <c r="W59">
        <v>1</v>
      </c>
      <c r="X59">
        <v>1</v>
      </c>
    </row>
    <row r="60" spans="1:24" x14ac:dyDescent="0.25">
      <c r="A60" t="s">
        <v>90</v>
      </c>
      <c r="B60" t="s">
        <v>182</v>
      </c>
      <c r="C60" t="s">
        <v>228</v>
      </c>
      <c r="F60" t="s">
        <v>202</v>
      </c>
      <c r="G60" t="s">
        <v>124</v>
      </c>
      <c r="H60" t="s">
        <v>125</v>
      </c>
      <c r="I60" t="s">
        <v>229</v>
      </c>
      <c r="J60" t="s">
        <v>420</v>
      </c>
      <c r="K60">
        <v>0</v>
      </c>
      <c r="L60">
        <v>0</v>
      </c>
      <c r="M60">
        <v>0</v>
      </c>
      <c r="N60">
        <v>0</v>
      </c>
      <c r="O60">
        <v>0.1</v>
      </c>
      <c r="P60">
        <v>0</v>
      </c>
      <c r="Q60">
        <v>0</v>
      </c>
      <c r="R60">
        <v>0</v>
      </c>
      <c r="S60">
        <v>0.10893421111131051</v>
      </c>
      <c r="T60">
        <v>9</v>
      </c>
      <c r="U60">
        <v>9.8326458748120285</v>
      </c>
      <c r="W60">
        <v>1</v>
      </c>
      <c r="X60">
        <v>1</v>
      </c>
    </row>
    <row r="61" spans="1:24" x14ac:dyDescent="0.25">
      <c r="A61" t="s">
        <v>90</v>
      </c>
      <c r="B61" t="s">
        <v>182</v>
      </c>
      <c r="C61" t="s">
        <v>228</v>
      </c>
      <c r="F61" t="s">
        <v>126</v>
      </c>
      <c r="G61" t="s">
        <v>389</v>
      </c>
      <c r="H61" t="s">
        <v>128</v>
      </c>
      <c r="I61" t="s">
        <v>229</v>
      </c>
      <c r="J61" t="s">
        <v>421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5.8933359971575977E-2</v>
      </c>
      <c r="T61">
        <v>9</v>
      </c>
      <c r="U61">
        <v>9.8326458748120285</v>
      </c>
      <c r="W61">
        <v>1</v>
      </c>
      <c r="X61">
        <v>1</v>
      </c>
    </row>
    <row r="62" spans="1:24" x14ac:dyDescent="0.25">
      <c r="A62" t="s">
        <v>90</v>
      </c>
      <c r="B62" t="s">
        <v>182</v>
      </c>
      <c r="C62" t="s">
        <v>228</v>
      </c>
      <c r="F62" t="s">
        <v>126</v>
      </c>
      <c r="G62" t="s">
        <v>130</v>
      </c>
      <c r="H62" t="s">
        <v>131</v>
      </c>
      <c r="I62" t="s">
        <v>229</v>
      </c>
      <c r="J62" t="s">
        <v>421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1.152389717713093E-2</v>
      </c>
      <c r="T62">
        <v>9</v>
      </c>
      <c r="U62">
        <v>9.8326458748120285</v>
      </c>
      <c r="W62">
        <v>1</v>
      </c>
      <c r="X62">
        <v>1</v>
      </c>
    </row>
    <row r="63" spans="1:24" x14ac:dyDescent="0.25">
      <c r="A63" t="s">
        <v>90</v>
      </c>
      <c r="B63" t="s">
        <v>182</v>
      </c>
      <c r="C63" t="s">
        <v>228</v>
      </c>
      <c r="F63" t="s">
        <v>217</v>
      </c>
      <c r="G63" t="s">
        <v>211</v>
      </c>
      <c r="H63" t="s">
        <v>212</v>
      </c>
      <c r="I63" t="s">
        <v>229</v>
      </c>
      <c r="J63" t="s">
        <v>422</v>
      </c>
      <c r="K63">
        <v>1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0.21465701666491771</v>
      </c>
      <c r="T63">
        <v>9</v>
      </c>
      <c r="U63">
        <v>9.8326458748120285</v>
      </c>
      <c r="W63">
        <v>1</v>
      </c>
      <c r="X63">
        <v>1</v>
      </c>
    </row>
    <row r="64" spans="1:24" x14ac:dyDescent="0.25">
      <c r="A64" t="s">
        <v>90</v>
      </c>
      <c r="B64" t="s">
        <v>182</v>
      </c>
      <c r="C64" t="s">
        <v>228</v>
      </c>
      <c r="F64" t="s">
        <v>213</v>
      </c>
      <c r="G64" t="s">
        <v>133</v>
      </c>
      <c r="H64" t="s">
        <v>134</v>
      </c>
      <c r="I64" t="s">
        <v>229</v>
      </c>
      <c r="J64" t="s">
        <v>423</v>
      </c>
      <c r="K64">
        <v>1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0.21465701666491771</v>
      </c>
      <c r="T64">
        <v>9</v>
      </c>
      <c r="U64">
        <v>9.8326458748120285</v>
      </c>
      <c r="W64">
        <v>1</v>
      </c>
      <c r="X64">
        <v>1</v>
      </c>
    </row>
    <row r="65" spans="1:24" x14ac:dyDescent="0.25">
      <c r="A65" t="s">
        <v>90</v>
      </c>
      <c r="B65" t="s">
        <v>182</v>
      </c>
      <c r="C65" t="s">
        <v>237</v>
      </c>
      <c r="F65" t="s">
        <v>413</v>
      </c>
      <c r="G65" t="s">
        <v>94</v>
      </c>
      <c r="H65" t="s">
        <v>95</v>
      </c>
      <c r="I65" t="s">
        <v>238</v>
      </c>
      <c r="J65" t="s">
        <v>424</v>
      </c>
      <c r="K65">
        <v>1</v>
      </c>
      <c r="L65">
        <v>1367.6201505846741</v>
      </c>
      <c r="M65">
        <v>6.6088185994020894E-3</v>
      </c>
      <c r="N65">
        <v>0.9</v>
      </c>
      <c r="O65">
        <v>1</v>
      </c>
      <c r="P65">
        <v>9.0383534881010803</v>
      </c>
      <c r="Q65">
        <v>166.79063573432799</v>
      </c>
      <c r="R65">
        <v>9.0383534881010821</v>
      </c>
      <c r="S65">
        <v>5.4189813764471753E-2</v>
      </c>
      <c r="T65">
        <v>11</v>
      </c>
      <c r="U65">
        <v>10.127280690055271</v>
      </c>
      <c r="W65">
        <v>1</v>
      </c>
      <c r="X65">
        <v>1</v>
      </c>
    </row>
    <row r="66" spans="1:24" x14ac:dyDescent="0.25">
      <c r="A66" t="s">
        <v>90</v>
      </c>
      <c r="B66" t="s">
        <v>182</v>
      </c>
      <c r="C66" t="s">
        <v>237</v>
      </c>
      <c r="F66" t="s">
        <v>413</v>
      </c>
      <c r="G66" t="s">
        <v>99</v>
      </c>
      <c r="H66" t="s">
        <v>100</v>
      </c>
      <c r="I66" t="s">
        <v>238</v>
      </c>
      <c r="J66" t="s">
        <v>424</v>
      </c>
      <c r="K66">
        <v>0</v>
      </c>
      <c r="L66">
        <v>1367.6201505846741</v>
      </c>
      <c r="M66">
        <v>0</v>
      </c>
      <c r="N66">
        <v>0</v>
      </c>
      <c r="O66">
        <v>0.1</v>
      </c>
      <c r="P66">
        <v>0</v>
      </c>
      <c r="Q66">
        <v>0</v>
      </c>
      <c r="R66">
        <v>0</v>
      </c>
      <c r="S66">
        <v>5.4189813764471753E-2</v>
      </c>
      <c r="T66">
        <v>11</v>
      </c>
      <c r="U66">
        <v>10.127280690055271</v>
      </c>
      <c r="W66">
        <v>1</v>
      </c>
      <c r="X66">
        <v>1</v>
      </c>
    </row>
    <row r="67" spans="1:24" x14ac:dyDescent="0.25">
      <c r="A67" t="s">
        <v>90</v>
      </c>
      <c r="B67" t="s">
        <v>182</v>
      </c>
      <c r="C67" t="s">
        <v>237</v>
      </c>
      <c r="F67" t="s">
        <v>202</v>
      </c>
      <c r="G67" t="s">
        <v>119</v>
      </c>
      <c r="H67" t="s">
        <v>120</v>
      </c>
      <c r="I67" t="s">
        <v>238</v>
      </c>
      <c r="J67" t="s">
        <v>425</v>
      </c>
      <c r="K67">
        <v>1</v>
      </c>
      <c r="L67">
        <v>1367.6201505846741</v>
      </c>
      <c r="M67">
        <v>0.98805750297496564</v>
      </c>
      <c r="N67">
        <v>0</v>
      </c>
      <c r="O67">
        <v>1</v>
      </c>
      <c r="P67">
        <v>1351.2873510049401</v>
      </c>
      <c r="Q67">
        <v>20961.412208494599</v>
      </c>
      <c r="R67">
        <v>1351.2873510049401</v>
      </c>
      <c r="S67">
        <v>6.446547291586259E-2</v>
      </c>
      <c r="T67">
        <v>11</v>
      </c>
      <c r="U67">
        <v>10.127280690055271</v>
      </c>
      <c r="W67">
        <v>1</v>
      </c>
      <c r="X67">
        <v>1</v>
      </c>
    </row>
    <row r="68" spans="1:24" x14ac:dyDescent="0.25">
      <c r="A68" t="s">
        <v>90</v>
      </c>
      <c r="B68" t="s">
        <v>182</v>
      </c>
      <c r="C68" t="s">
        <v>237</v>
      </c>
      <c r="F68" t="s">
        <v>202</v>
      </c>
      <c r="G68" t="s">
        <v>122</v>
      </c>
      <c r="H68" t="s">
        <v>123</v>
      </c>
      <c r="I68" t="s">
        <v>238</v>
      </c>
      <c r="J68" t="s">
        <v>425</v>
      </c>
      <c r="K68">
        <v>0</v>
      </c>
      <c r="L68">
        <v>1367.6201505846741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6.446547291586259E-2</v>
      </c>
      <c r="T68">
        <v>11</v>
      </c>
      <c r="U68">
        <v>10.127280690055271</v>
      </c>
      <c r="W68">
        <v>1</v>
      </c>
      <c r="X68">
        <v>1</v>
      </c>
    </row>
    <row r="69" spans="1:24" x14ac:dyDescent="0.25">
      <c r="A69" t="s">
        <v>90</v>
      </c>
      <c r="B69" t="s">
        <v>182</v>
      </c>
      <c r="C69" t="s">
        <v>237</v>
      </c>
      <c r="F69" t="s">
        <v>202</v>
      </c>
      <c r="G69" t="s">
        <v>124</v>
      </c>
      <c r="H69" t="s">
        <v>125</v>
      </c>
      <c r="I69" t="s">
        <v>238</v>
      </c>
      <c r="J69" t="s">
        <v>425</v>
      </c>
      <c r="K69">
        <v>0</v>
      </c>
      <c r="L69">
        <v>1367.6201505846741</v>
      </c>
      <c r="M69">
        <v>0</v>
      </c>
      <c r="N69">
        <v>0</v>
      </c>
      <c r="O69">
        <v>0.1</v>
      </c>
      <c r="P69">
        <v>0</v>
      </c>
      <c r="Q69">
        <v>0</v>
      </c>
      <c r="R69">
        <v>0</v>
      </c>
      <c r="S69">
        <v>6.446547291586259E-2</v>
      </c>
      <c r="T69">
        <v>11</v>
      </c>
      <c r="U69">
        <v>10.127280690055271</v>
      </c>
      <c r="W69">
        <v>1</v>
      </c>
      <c r="X69">
        <v>1</v>
      </c>
    </row>
    <row r="70" spans="1:24" x14ac:dyDescent="0.25">
      <c r="A70" t="s">
        <v>90</v>
      </c>
      <c r="B70" t="s">
        <v>182</v>
      </c>
      <c r="C70" t="s">
        <v>237</v>
      </c>
      <c r="F70" t="s">
        <v>126</v>
      </c>
      <c r="G70" t="s">
        <v>389</v>
      </c>
      <c r="H70" t="s">
        <v>128</v>
      </c>
      <c r="I70" t="s">
        <v>238</v>
      </c>
      <c r="J70" t="s">
        <v>426</v>
      </c>
      <c r="K70">
        <v>1</v>
      </c>
      <c r="L70">
        <v>1367.6201505846741</v>
      </c>
      <c r="M70">
        <v>5.3336784256322002E-3</v>
      </c>
      <c r="N70">
        <v>0</v>
      </c>
      <c r="O70">
        <v>1</v>
      </c>
      <c r="P70">
        <v>7.294446091633338</v>
      </c>
      <c r="Q70">
        <v>134.609174398303</v>
      </c>
      <c r="R70">
        <v>7.2944460916333389</v>
      </c>
      <c r="S70">
        <v>5.4189813764471753E-2</v>
      </c>
      <c r="T70">
        <v>11</v>
      </c>
      <c r="U70">
        <v>10.127280690055271</v>
      </c>
      <c r="W70">
        <v>1</v>
      </c>
      <c r="X70">
        <v>1</v>
      </c>
    </row>
    <row r="71" spans="1:24" x14ac:dyDescent="0.25">
      <c r="A71" t="s">
        <v>90</v>
      </c>
      <c r="B71" t="s">
        <v>182</v>
      </c>
      <c r="C71" t="s">
        <v>237</v>
      </c>
      <c r="F71" t="s">
        <v>126</v>
      </c>
      <c r="G71" t="s">
        <v>130</v>
      </c>
      <c r="H71" t="s">
        <v>131</v>
      </c>
      <c r="I71" t="s">
        <v>238</v>
      </c>
      <c r="J71" t="s">
        <v>426</v>
      </c>
      <c r="K71">
        <v>0</v>
      </c>
      <c r="L71">
        <v>1367.6201505846741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5.4189813764471753E-2</v>
      </c>
      <c r="T71">
        <v>11</v>
      </c>
      <c r="U71">
        <v>10.127280690055271</v>
      </c>
      <c r="W71">
        <v>1</v>
      </c>
      <c r="X71">
        <v>1</v>
      </c>
    </row>
    <row r="72" spans="1:24" x14ac:dyDescent="0.25">
      <c r="A72" t="s">
        <v>90</v>
      </c>
      <c r="B72" t="s">
        <v>182</v>
      </c>
      <c r="C72" t="s">
        <v>237</v>
      </c>
      <c r="F72" t="s">
        <v>217</v>
      </c>
      <c r="G72" t="s">
        <v>211</v>
      </c>
      <c r="H72" t="s">
        <v>212</v>
      </c>
      <c r="I72" t="s">
        <v>238</v>
      </c>
      <c r="J72" t="s">
        <v>427</v>
      </c>
      <c r="K72">
        <v>1</v>
      </c>
      <c r="L72">
        <v>1367.6201505846741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0.1073285083324588</v>
      </c>
      <c r="T72">
        <v>11</v>
      </c>
      <c r="U72">
        <v>10.127280690055271</v>
      </c>
      <c r="W72">
        <v>1</v>
      </c>
      <c r="X72">
        <v>1</v>
      </c>
    </row>
    <row r="73" spans="1:24" x14ac:dyDescent="0.25">
      <c r="A73" t="s">
        <v>90</v>
      </c>
      <c r="B73" t="s">
        <v>182</v>
      </c>
      <c r="C73" t="s">
        <v>237</v>
      </c>
      <c r="F73" t="s">
        <v>213</v>
      </c>
      <c r="G73" t="s">
        <v>133</v>
      </c>
      <c r="H73" t="s">
        <v>134</v>
      </c>
      <c r="I73" t="s">
        <v>238</v>
      </c>
      <c r="J73" t="s">
        <v>428</v>
      </c>
      <c r="K73">
        <v>1</v>
      </c>
      <c r="L73">
        <v>1367.6201505846741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  <c r="S73">
        <v>0.1073285083324588</v>
      </c>
      <c r="T73">
        <v>11</v>
      </c>
      <c r="U73">
        <v>10.127280690055271</v>
      </c>
      <c r="W73">
        <v>1</v>
      </c>
      <c r="X73">
        <v>1</v>
      </c>
    </row>
    <row r="74" spans="1:24" x14ac:dyDescent="0.25">
      <c r="A74" t="s">
        <v>90</v>
      </c>
      <c r="B74" t="s">
        <v>182</v>
      </c>
      <c r="C74" t="s">
        <v>246</v>
      </c>
      <c r="F74" t="s">
        <v>413</v>
      </c>
      <c r="G74" t="s">
        <v>94</v>
      </c>
      <c r="H74" t="s">
        <v>95</v>
      </c>
      <c r="I74" t="s">
        <v>247</v>
      </c>
      <c r="J74" t="s">
        <v>429</v>
      </c>
      <c r="K74">
        <v>1</v>
      </c>
      <c r="L74">
        <v>0</v>
      </c>
      <c r="M74">
        <v>0</v>
      </c>
      <c r="N74">
        <v>0.9</v>
      </c>
      <c r="O74">
        <v>1</v>
      </c>
      <c r="P74">
        <v>0</v>
      </c>
      <c r="Q74">
        <v>0</v>
      </c>
      <c r="R74">
        <v>0</v>
      </c>
      <c r="S74">
        <v>7.0956301746689932E-2</v>
      </c>
      <c r="T74">
        <v>21</v>
      </c>
      <c r="U74">
        <v>5.0636403450276344</v>
      </c>
      <c r="W74">
        <v>1</v>
      </c>
      <c r="X74">
        <v>1</v>
      </c>
    </row>
    <row r="75" spans="1:24" x14ac:dyDescent="0.25">
      <c r="A75" t="s">
        <v>90</v>
      </c>
      <c r="B75" t="s">
        <v>182</v>
      </c>
      <c r="C75" t="s">
        <v>246</v>
      </c>
      <c r="F75" t="s">
        <v>413</v>
      </c>
      <c r="G75" t="s">
        <v>99</v>
      </c>
      <c r="H75" t="s">
        <v>100</v>
      </c>
      <c r="I75" t="s">
        <v>247</v>
      </c>
      <c r="J75" t="s">
        <v>429</v>
      </c>
      <c r="K75">
        <v>0</v>
      </c>
      <c r="L75">
        <v>0</v>
      </c>
      <c r="M75">
        <v>0</v>
      </c>
      <c r="N75">
        <v>0</v>
      </c>
      <c r="O75">
        <v>0.1</v>
      </c>
      <c r="P75">
        <v>0</v>
      </c>
      <c r="Q75">
        <v>0</v>
      </c>
      <c r="R75">
        <v>0</v>
      </c>
      <c r="S75">
        <v>7.0956301746689932E-2</v>
      </c>
      <c r="T75">
        <v>21</v>
      </c>
      <c r="U75">
        <v>5.0636403450276344</v>
      </c>
      <c r="W75">
        <v>1</v>
      </c>
      <c r="X75">
        <v>1</v>
      </c>
    </row>
    <row r="76" spans="1:24" x14ac:dyDescent="0.25">
      <c r="A76" t="s">
        <v>90</v>
      </c>
      <c r="B76" t="s">
        <v>182</v>
      </c>
      <c r="C76" t="s">
        <v>246</v>
      </c>
      <c r="F76" t="s">
        <v>202</v>
      </c>
      <c r="G76" t="s">
        <v>119</v>
      </c>
      <c r="H76" t="s">
        <v>120</v>
      </c>
      <c r="I76" t="s">
        <v>247</v>
      </c>
      <c r="J76" t="s">
        <v>430</v>
      </c>
      <c r="K76">
        <v>1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6.5846402492820186E-2</v>
      </c>
      <c r="T76">
        <v>21</v>
      </c>
      <c r="U76">
        <v>5.0636403450276344</v>
      </c>
      <c r="W76">
        <v>1</v>
      </c>
      <c r="X76">
        <v>1</v>
      </c>
    </row>
    <row r="77" spans="1:24" x14ac:dyDescent="0.25">
      <c r="A77" t="s">
        <v>90</v>
      </c>
      <c r="B77" t="s">
        <v>182</v>
      </c>
      <c r="C77" t="s">
        <v>246</v>
      </c>
      <c r="F77" t="s">
        <v>202</v>
      </c>
      <c r="G77" t="s">
        <v>122</v>
      </c>
      <c r="H77" t="s">
        <v>123</v>
      </c>
      <c r="I77" t="s">
        <v>247</v>
      </c>
      <c r="J77" t="s">
        <v>430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6.5846402492820186E-2</v>
      </c>
      <c r="T77">
        <v>21</v>
      </c>
      <c r="U77">
        <v>5.0636403450276344</v>
      </c>
      <c r="W77">
        <v>1</v>
      </c>
      <c r="X77">
        <v>1</v>
      </c>
    </row>
    <row r="78" spans="1:24" x14ac:dyDescent="0.25">
      <c r="A78" t="s">
        <v>90</v>
      </c>
      <c r="B78" t="s">
        <v>182</v>
      </c>
      <c r="C78" t="s">
        <v>246</v>
      </c>
      <c r="F78" t="s">
        <v>202</v>
      </c>
      <c r="G78" t="s">
        <v>124</v>
      </c>
      <c r="H78" t="s">
        <v>125</v>
      </c>
      <c r="I78" t="s">
        <v>247</v>
      </c>
      <c r="J78" t="s">
        <v>430</v>
      </c>
      <c r="K78">
        <v>0</v>
      </c>
      <c r="L78">
        <v>0</v>
      </c>
      <c r="M78">
        <v>0</v>
      </c>
      <c r="N78">
        <v>0</v>
      </c>
      <c r="O78">
        <v>0.1</v>
      </c>
      <c r="P78">
        <v>0</v>
      </c>
      <c r="Q78">
        <v>0</v>
      </c>
      <c r="R78">
        <v>0</v>
      </c>
      <c r="S78">
        <v>6.5846402492820186E-2</v>
      </c>
      <c r="T78">
        <v>21</v>
      </c>
      <c r="U78">
        <v>5.0636403450276344</v>
      </c>
      <c r="W78">
        <v>1</v>
      </c>
      <c r="X78">
        <v>1</v>
      </c>
    </row>
    <row r="79" spans="1:24" x14ac:dyDescent="0.25">
      <c r="A79" t="s">
        <v>90</v>
      </c>
      <c r="B79" t="s">
        <v>182</v>
      </c>
      <c r="C79" t="s">
        <v>246</v>
      </c>
      <c r="F79" t="s">
        <v>126</v>
      </c>
      <c r="G79" t="s">
        <v>389</v>
      </c>
      <c r="H79" t="s">
        <v>128</v>
      </c>
      <c r="I79" t="s">
        <v>247</v>
      </c>
      <c r="J79" t="s">
        <v>431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5.3888711643790478E-2</v>
      </c>
      <c r="T79">
        <v>21</v>
      </c>
      <c r="U79">
        <v>5.0636403450276344</v>
      </c>
      <c r="W79">
        <v>1</v>
      </c>
      <c r="X79">
        <v>1</v>
      </c>
    </row>
    <row r="80" spans="1:24" x14ac:dyDescent="0.25">
      <c r="A80" t="s">
        <v>90</v>
      </c>
      <c r="B80" t="s">
        <v>182</v>
      </c>
      <c r="C80" t="s">
        <v>246</v>
      </c>
      <c r="F80" t="s">
        <v>126</v>
      </c>
      <c r="G80" t="s">
        <v>130</v>
      </c>
      <c r="H80" t="s">
        <v>131</v>
      </c>
      <c r="I80" t="s">
        <v>247</v>
      </c>
      <c r="J80" t="s">
        <v>431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1.043064523539269E-2</v>
      </c>
      <c r="T80">
        <v>21</v>
      </c>
      <c r="U80">
        <v>5.0636403450276344</v>
      </c>
      <c r="W80">
        <v>1</v>
      </c>
      <c r="X80">
        <v>1</v>
      </c>
    </row>
    <row r="81" spans="1:24" x14ac:dyDescent="0.25">
      <c r="A81" t="s">
        <v>90</v>
      </c>
      <c r="B81" t="s">
        <v>182</v>
      </c>
      <c r="C81" t="s">
        <v>246</v>
      </c>
      <c r="F81" t="s">
        <v>217</v>
      </c>
      <c r="G81" t="s">
        <v>211</v>
      </c>
      <c r="H81" t="s">
        <v>212</v>
      </c>
      <c r="I81" t="s">
        <v>247</v>
      </c>
      <c r="J81" t="s">
        <v>432</v>
      </c>
      <c r="K81">
        <v>1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  <c r="R81">
        <v>0</v>
      </c>
      <c r="S81">
        <v>0.1073285083324588</v>
      </c>
      <c r="T81">
        <v>21</v>
      </c>
      <c r="U81">
        <v>5.0636403450276344</v>
      </c>
      <c r="W81">
        <v>1</v>
      </c>
      <c r="X81">
        <v>1</v>
      </c>
    </row>
    <row r="82" spans="1:24" x14ac:dyDescent="0.25">
      <c r="A82" t="s">
        <v>90</v>
      </c>
      <c r="B82" t="s">
        <v>182</v>
      </c>
      <c r="C82" t="s">
        <v>246</v>
      </c>
      <c r="F82" t="s">
        <v>213</v>
      </c>
      <c r="G82" t="s">
        <v>133</v>
      </c>
      <c r="H82" t="s">
        <v>134</v>
      </c>
      <c r="I82" t="s">
        <v>247</v>
      </c>
      <c r="J82" t="s">
        <v>433</v>
      </c>
      <c r="K82">
        <v>1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0.1073285083324588</v>
      </c>
      <c r="T82">
        <v>21</v>
      </c>
      <c r="U82">
        <v>5.0636403450276344</v>
      </c>
      <c r="W82">
        <v>1</v>
      </c>
      <c r="X82">
        <v>1</v>
      </c>
    </row>
    <row r="83" spans="1:24" x14ac:dyDescent="0.25">
      <c r="A83" t="s">
        <v>90</v>
      </c>
      <c r="B83" t="s">
        <v>91</v>
      </c>
      <c r="C83" t="s">
        <v>255</v>
      </c>
      <c r="F83" t="s">
        <v>413</v>
      </c>
      <c r="G83" t="s">
        <v>94</v>
      </c>
      <c r="H83" t="s">
        <v>95</v>
      </c>
      <c r="I83" t="s">
        <v>256</v>
      </c>
      <c r="J83" t="s">
        <v>434</v>
      </c>
      <c r="K83">
        <v>1</v>
      </c>
      <c r="L83">
        <v>498.20418535334039</v>
      </c>
      <c r="M83">
        <v>0</v>
      </c>
      <c r="N83">
        <v>0.9</v>
      </c>
      <c r="O83">
        <v>1</v>
      </c>
      <c r="P83">
        <v>0</v>
      </c>
      <c r="Q83">
        <v>0</v>
      </c>
      <c r="R83">
        <v>0</v>
      </c>
      <c r="S83">
        <v>6.9654071185951086E-2</v>
      </c>
      <c r="T83">
        <v>10</v>
      </c>
      <c r="U83">
        <v>8.7429766319069646</v>
      </c>
      <c r="W83">
        <v>1</v>
      </c>
      <c r="X83">
        <v>1</v>
      </c>
    </row>
    <row r="84" spans="1:24" x14ac:dyDescent="0.25">
      <c r="A84" t="s">
        <v>90</v>
      </c>
      <c r="B84" t="s">
        <v>91</v>
      </c>
      <c r="C84" t="s">
        <v>255</v>
      </c>
      <c r="F84" t="s">
        <v>413</v>
      </c>
      <c r="G84" t="s">
        <v>99</v>
      </c>
      <c r="H84" t="s">
        <v>100</v>
      </c>
      <c r="I84" t="s">
        <v>256</v>
      </c>
      <c r="J84" t="s">
        <v>434</v>
      </c>
      <c r="K84">
        <v>0</v>
      </c>
      <c r="L84">
        <v>498.20418535334039</v>
      </c>
      <c r="M84">
        <v>0</v>
      </c>
      <c r="N84">
        <v>0</v>
      </c>
      <c r="O84">
        <v>0.1</v>
      </c>
      <c r="P84">
        <v>0</v>
      </c>
      <c r="Q84">
        <v>0</v>
      </c>
      <c r="R84">
        <v>0</v>
      </c>
      <c r="S84">
        <v>6.9654071185951086E-2</v>
      </c>
      <c r="T84">
        <v>10</v>
      </c>
      <c r="U84">
        <v>8.7429766319069646</v>
      </c>
      <c r="W84">
        <v>1</v>
      </c>
      <c r="X84">
        <v>1</v>
      </c>
    </row>
    <row r="85" spans="1:24" x14ac:dyDescent="0.25">
      <c r="A85" t="s">
        <v>90</v>
      </c>
      <c r="B85" t="s">
        <v>91</v>
      </c>
      <c r="C85" t="s">
        <v>255</v>
      </c>
      <c r="F85" t="s">
        <v>202</v>
      </c>
      <c r="G85" t="s">
        <v>119</v>
      </c>
      <c r="H85" t="s">
        <v>120</v>
      </c>
      <c r="I85" t="s">
        <v>256</v>
      </c>
      <c r="J85" t="s">
        <v>435</v>
      </c>
      <c r="K85">
        <v>1</v>
      </c>
      <c r="L85">
        <v>498.20418535334039</v>
      </c>
      <c r="M85">
        <v>0.88345246589273663</v>
      </c>
      <c r="N85">
        <v>0</v>
      </c>
      <c r="O85">
        <v>1</v>
      </c>
      <c r="P85">
        <v>440.1397160684906</v>
      </c>
      <c r="Q85">
        <v>6299.78916204506</v>
      </c>
      <c r="R85">
        <v>440.1397160684906</v>
      </c>
      <c r="S85">
        <v>6.9865785147262119E-2</v>
      </c>
      <c r="T85">
        <v>10</v>
      </c>
      <c r="U85">
        <v>8.7429766319069646</v>
      </c>
      <c r="W85">
        <v>1</v>
      </c>
      <c r="X85">
        <v>1</v>
      </c>
    </row>
    <row r="86" spans="1:24" x14ac:dyDescent="0.25">
      <c r="A86" t="s">
        <v>90</v>
      </c>
      <c r="B86" t="s">
        <v>91</v>
      </c>
      <c r="C86" t="s">
        <v>255</v>
      </c>
      <c r="F86" t="s">
        <v>202</v>
      </c>
      <c r="G86" t="s">
        <v>122</v>
      </c>
      <c r="H86" t="s">
        <v>123</v>
      </c>
      <c r="I86" t="s">
        <v>256</v>
      </c>
      <c r="J86" t="s">
        <v>435</v>
      </c>
      <c r="K86">
        <v>0</v>
      </c>
      <c r="L86">
        <v>498.20418535334039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6.9865785147262119E-2</v>
      </c>
      <c r="T86">
        <v>10</v>
      </c>
      <c r="U86">
        <v>8.7429766319069646</v>
      </c>
      <c r="W86">
        <v>1</v>
      </c>
      <c r="X86">
        <v>1</v>
      </c>
    </row>
    <row r="87" spans="1:24" x14ac:dyDescent="0.25">
      <c r="A87" t="s">
        <v>90</v>
      </c>
      <c r="B87" t="s">
        <v>91</v>
      </c>
      <c r="C87" t="s">
        <v>255</v>
      </c>
      <c r="F87" t="s">
        <v>202</v>
      </c>
      <c r="G87" t="s">
        <v>124</v>
      </c>
      <c r="H87" t="s">
        <v>125</v>
      </c>
      <c r="I87" t="s">
        <v>256</v>
      </c>
      <c r="J87" t="s">
        <v>435</v>
      </c>
      <c r="K87">
        <v>0</v>
      </c>
      <c r="L87">
        <v>498.20418535334039</v>
      </c>
      <c r="M87">
        <v>0</v>
      </c>
      <c r="N87">
        <v>0</v>
      </c>
      <c r="O87">
        <v>0.1</v>
      </c>
      <c r="P87">
        <v>0</v>
      </c>
      <c r="Q87">
        <v>0</v>
      </c>
      <c r="R87">
        <v>0</v>
      </c>
      <c r="S87">
        <v>6.9865785147262119E-2</v>
      </c>
      <c r="T87">
        <v>10</v>
      </c>
      <c r="U87">
        <v>8.7429766319069646</v>
      </c>
      <c r="W87">
        <v>1</v>
      </c>
      <c r="X87">
        <v>1</v>
      </c>
    </row>
    <row r="88" spans="1:24" x14ac:dyDescent="0.25">
      <c r="A88" t="s">
        <v>90</v>
      </c>
      <c r="B88" t="s">
        <v>91</v>
      </c>
      <c r="C88" t="s">
        <v>255</v>
      </c>
      <c r="F88" t="s">
        <v>126</v>
      </c>
      <c r="G88" t="s">
        <v>389</v>
      </c>
      <c r="H88" t="s">
        <v>128</v>
      </c>
      <c r="I88" t="s">
        <v>256</v>
      </c>
      <c r="J88" t="s">
        <v>436</v>
      </c>
      <c r="K88">
        <v>1</v>
      </c>
      <c r="L88">
        <v>498.20418535334039</v>
      </c>
      <c r="M88">
        <v>0.1165475341072634</v>
      </c>
      <c r="N88">
        <v>0</v>
      </c>
      <c r="O88">
        <v>1</v>
      </c>
      <c r="P88">
        <v>58.064469284849793</v>
      </c>
      <c r="Q88">
        <v>1071.43578502788</v>
      </c>
      <c r="R88">
        <v>58.064469284849793</v>
      </c>
      <c r="S88">
        <v>5.4193139800103728E-2</v>
      </c>
      <c r="T88">
        <v>10</v>
      </c>
      <c r="U88">
        <v>8.7429766319069646</v>
      </c>
      <c r="W88">
        <v>1</v>
      </c>
      <c r="X88">
        <v>1</v>
      </c>
    </row>
    <row r="89" spans="1:24" x14ac:dyDescent="0.25">
      <c r="A89" t="s">
        <v>90</v>
      </c>
      <c r="B89" t="s">
        <v>91</v>
      </c>
      <c r="C89" t="s">
        <v>255</v>
      </c>
      <c r="F89" t="s">
        <v>126</v>
      </c>
      <c r="G89" t="s">
        <v>130</v>
      </c>
      <c r="H89" t="s">
        <v>131</v>
      </c>
      <c r="I89" t="s">
        <v>256</v>
      </c>
      <c r="J89" t="s">
        <v>436</v>
      </c>
      <c r="K89">
        <v>0</v>
      </c>
      <c r="L89">
        <v>498.20418535334039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1.0705899694656641E-2</v>
      </c>
      <c r="T89">
        <v>10</v>
      </c>
      <c r="U89">
        <v>8.7429766319069646</v>
      </c>
      <c r="W89">
        <v>1</v>
      </c>
      <c r="X89">
        <v>1</v>
      </c>
    </row>
    <row r="90" spans="1:24" x14ac:dyDescent="0.25">
      <c r="A90" t="s">
        <v>90</v>
      </c>
      <c r="B90" t="s">
        <v>91</v>
      </c>
      <c r="C90" t="s">
        <v>255</v>
      </c>
      <c r="F90" t="s">
        <v>217</v>
      </c>
      <c r="G90" t="s">
        <v>211</v>
      </c>
      <c r="H90" t="s">
        <v>212</v>
      </c>
      <c r="I90" t="s">
        <v>256</v>
      </c>
      <c r="J90" t="s">
        <v>437</v>
      </c>
      <c r="K90">
        <v>1</v>
      </c>
      <c r="L90">
        <v>498.20418535334039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0.21507770694487269</v>
      </c>
      <c r="T90">
        <v>10</v>
      </c>
      <c r="U90">
        <v>8.7429766319069646</v>
      </c>
      <c r="W90">
        <v>1</v>
      </c>
      <c r="X90">
        <v>1</v>
      </c>
    </row>
    <row r="91" spans="1:24" x14ac:dyDescent="0.25">
      <c r="A91" t="s">
        <v>90</v>
      </c>
      <c r="B91" t="s">
        <v>91</v>
      </c>
      <c r="C91" t="s">
        <v>255</v>
      </c>
      <c r="F91" t="s">
        <v>213</v>
      </c>
      <c r="G91" t="s">
        <v>133</v>
      </c>
      <c r="H91" t="s">
        <v>134</v>
      </c>
      <c r="I91" t="s">
        <v>256</v>
      </c>
      <c r="J91" t="s">
        <v>438</v>
      </c>
      <c r="K91">
        <v>1</v>
      </c>
      <c r="L91">
        <v>498.20418535334039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0.21507770694487269</v>
      </c>
      <c r="T91">
        <v>10</v>
      </c>
      <c r="U91">
        <v>8.7429766319069646</v>
      </c>
      <c r="W91">
        <v>1</v>
      </c>
      <c r="X91">
        <v>1</v>
      </c>
    </row>
    <row r="92" spans="1:24" x14ac:dyDescent="0.25">
      <c r="A92" t="s">
        <v>90</v>
      </c>
      <c r="B92" t="s">
        <v>91</v>
      </c>
      <c r="C92" t="s">
        <v>264</v>
      </c>
      <c r="F92" t="s">
        <v>413</v>
      </c>
      <c r="G92" t="s">
        <v>94</v>
      </c>
      <c r="H92" t="s">
        <v>95</v>
      </c>
      <c r="I92" t="s">
        <v>265</v>
      </c>
      <c r="J92" t="s">
        <v>439</v>
      </c>
      <c r="K92">
        <v>1</v>
      </c>
      <c r="L92">
        <v>86.053217342719677</v>
      </c>
      <c r="M92">
        <v>0.29920853931978519</v>
      </c>
      <c r="N92">
        <v>0.9</v>
      </c>
      <c r="O92">
        <v>1</v>
      </c>
      <c r="P92">
        <v>25.747857464883161</v>
      </c>
      <c r="Q92">
        <v>301.63917065400102</v>
      </c>
      <c r="R92">
        <v>25.747857464883161</v>
      </c>
      <c r="S92">
        <v>8.535979398517031E-2</v>
      </c>
      <c r="T92">
        <v>17</v>
      </c>
      <c r="U92">
        <v>5.0359545399784116</v>
      </c>
      <c r="W92">
        <v>1</v>
      </c>
      <c r="X92">
        <v>1</v>
      </c>
    </row>
    <row r="93" spans="1:24" x14ac:dyDescent="0.25">
      <c r="A93" t="s">
        <v>90</v>
      </c>
      <c r="B93" t="s">
        <v>91</v>
      </c>
      <c r="C93" t="s">
        <v>264</v>
      </c>
      <c r="F93" t="s">
        <v>413</v>
      </c>
      <c r="G93" t="s">
        <v>99</v>
      </c>
      <c r="H93" t="s">
        <v>100</v>
      </c>
      <c r="I93" t="s">
        <v>265</v>
      </c>
      <c r="J93" t="s">
        <v>439</v>
      </c>
      <c r="K93">
        <v>0</v>
      </c>
      <c r="L93">
        <v>86.053217342719677</v>
      </c>
      <c r="M93">
        <v>0</v>
      </c>
      <c r="N93">
        <v>0</v>
      </c>
      <c r="O93">
        <v>0.1</v>
      </c>
      <c r="P93">
        <v>0</v>
      </c>
      <c r="Q93">
        <v>0</v>
      </c>
      <c r="R93">
        <v>0</v>
      </c>
      <c r="S93">
        <v>8.535979398517031E-2</v>
      </c>
      <c r="T93">
        <v>17</v>
      </c>
      <c r="U93">
        <v>5.0359545399784116</v>
      </c>
      <c r="W93">
        <v>1</v>
      </c>
      <c r="X93">
        <v>1</v>
      </c>
    </row>
    <row r="94" spans="1:24" x14ac:dyDescent="0.25">
      <c r="A94" t="s">
        <v>90</v>
      </c>
      <c r="B94" t="s">
        <v>91</v>
      </c>
      <c r="C94" t="s">
        <v>264</v>
      </c>
      <c r="F94" t="s">
        <v>202</v>
      </c>
      <c r="G94" t="s">
        <v>119</v>
      </c>
      <c r="H94" t="s">
        <v>120</v>
      </c>
      <c r="I94" t="s">
        <v>265</v>
      </c>
      <c r="J94" t="s">
        <v>440</v>
      </c>
      <c r="K94">
        <v>1</v>
      </c>
      <c r="L94">
        <v>86.053217342719677</v>
      </c>
      <c r="M94">
        <v>0.70079146068021481</v>
      </c>
      <c r="N94">
        <v>0</v>
      </c>
      <c r="O94">
        <v>1</v>
      </c>
      <c r="P94">
        <v>60.305359877836523</v>
      </c>
      <c r="Q94">
        <v>678.68286660515594</v>
      </c>
      <c r="R94">
        <v>60.305359877836509</v>
      </c>
      <c r="S94">
        <v>8.8856464256259107E-2</v>
      </c>
      <c r="T94">
        <v>17</v>
      </c>
      <c r="U94">
        <v>5.0359545399784116</v>
      </c>
      <c r="W94">
        <v>1</v>
      </c>
      <c r="X94">
        <v>1</v>
      </c>
    </row>
    <row r="95" spans="1:24" x14ac:dyDescent="0.25">
      <c r="A95" t="s">
        <v>90</v>
      </c>
      <c r="B95" t="s">
        <v>91</v>
      </c>
      <c r="C95" t="s">
        <v>264</v>
      </c>
      <c r="F95" t="s">
        <v>202</v>
      </c>
      <c r="G95" t="s">
        <v>122</v>
      </c>
      <c r="H95" t="s">
        <v>123</v>
      </c>
      <c r="I95" t="s">
        <v>265</v>
      </c>
      <c r="J95" t="s">
        <v>440</v>
      </c>
      <c r="K95">
        <v>0</v>
      </c>
      <c r="L95">
        <v>86.053217342719677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8.8856464256259107E-2</v>
      </c>
      <c r="T95">
        <v>17</v>
      </c>
      <c r="U95">
        <v>5.0359545399784116</v>
      </c>
      <c r="W95">
        <v>1</v>
      </c>
      <c r="X95">
        <v>1</v>
      </c>
    </row>
    <row r="96" spans="1:24" x14ac:dyDescent="0.25">
      <c r="A96" t="s">
        <v>90</v>
      </c>
      <c r="B96" t="s">
        <v>91</v>
      </c>
      <c r="C96" t="s">
        <v>264</v>
      </c>
      <c r="F96" t="s">
        <v>202</v>
      </c>
      <c r="G96" t="s">
        <v>124</v>
      </c>
      <c r="H96" t="s">
        <v>125</v>
      </c>
      <c r="I96" t="s">
        <v>265</v>
      </c>
      <c r="J96" t="s">
        <v>440</v>
      </c>
      <c r="K96">
        <v>0</v>
      </c>
      <c r="L96">
        <v>86.053217342719677</v>
      </c>
      <c r="M96">
        <v>0</v>
      </c>
      <c r="N96">
        <v>0</v>
      </c>
      <c r="O96">
        <v>0.1</v>
      </c>
      <c r="P96">
        <v>0</v>
      </c>
      <c r="Q96">
        <v>0</v>
      </c>
      <c r="R96">
        <v>0</v>
      </c>
      <c r="S96">
        <v>8.8856464256259107E-2</v>
      </c>
      <c r="T96">
        <v>17</v>
      </c>
      <c r="U96">
        <v>5.0359545399784116</v>
      </c>
      <c r="W96">
        <v>1</v>
      </c>
      <c r="X96">
        <v>1</v>
      </c>
    </row>
    <row r="97" spans="1:24" x14ac:dyDescent="0.25">
      <c r="A97" t="s">
        <v>90</v>
      </c>
      <c r="B97" t="s">
        <v>91</v>
      </c>
      <c r="C97" t="s">
        <v>264</v>
      </c>
      <c r="F97" t="s">
        <v>126</v>
      </c>
      <c r="G97" t="s">
        <v>389</v>
      </c>
      <c r="H97" t="s">
        <v>128</v>
      </c>
      <c r="I97" t="s">
        <v>265</v>
      </c>
      <c r="J97" t="s">
        <v>441</v>
      </c>
      <c r="K97">
        <v>1</v>
      </c>
      <c r="L97">
        <v>86.053217342719677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6.1385733879640317E-2</v>
      </c>
      <c r="T97">
        <v>17</v>
      </c>
      <c r="U97">
        <v>5.0359545399784116</v>
      </c>
      <c r="W97">
        <v>1</v>
      </c>
      <c r="X97">
        <v>1</v>
      </c>
    </row>
    <row r="98" spans="1:24" x14ac:dyDescent="0.25">
      <c r="A98" t="s">
        <v>90</v>
      </c>
      <c r="B98" t="s">
        <v>91</v>
      </c>
      <c r="C98" t="s">
        <v>264</v>
      </c>
      <c r="F98" t="s">
        <v>126</v>
      </c>
      <c r="G98" t="s">
        <v>130</v>
      </c>
      <c r="H98" t="s">
        <v>131</v>
      </c>
      <c r="I98" t="s">
        <v>265</v>
      </c>
      <c r="J98" t="s">
        <v>441</v>
      </c>
      <c r="K98">
        <v>0</v>
      </c>
      <c r="L98">
        <v>86.053217342719677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1.2132772469277381E-2</v>
      </c>
      <c r="T98">
        <v>17</v>
      </c>
      <c r="U98">
        <v>5.0359545399784116</v>
      </c>
      <c r="W98">
        <v>1</v>
      </c>
      <c r="X98">
        <v>1</v>
      </c>
    </row>
    <row r="99" spans="1:24" x14ac:dyDescent="0.25">
      <c r="A99" t="s">
        <v>90</v>
      </c>
      <c r="B99" t="s">
        <v>91</v>
      </c>
      <c r="C99" t="s">
        <v>264</v>
      </c>
      <c r="F99" t="s">
        <v>217</v>
      </c>
      <c r="G99" t="s">
        <v>211</v>
      </c>
      <c r="H99" t="s">
        <v>212</v>
      </c>
      <c r="I99" t="s">
        <v>265</v>
      </c>
      <c r="J99" t="s">
        <v>442</v>
      </c>
      <c r="K99">
        <v>1</v>
      </c>
      <c r="L99">
        <v>86.053217342719677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0.21507770694487269</v>
      </c>
      <c r="T99">
        <v>17</v>
      </c>
      <c r="U99">
        <v>5.0359545399784116</v>
      </c>
      <c r="W99">
        <v>1</v>
      </c>
      <c r="X99">
        <v>1</v>
      </c>
    </row>
    <row r="100" spans="1:24" x14ac:dyDescent="0.25">
      <c r="A100" t="s">
        <v>90</v>
      </c>
      <c r="B100" t="s">
        <v>91</v>
      </c>
      <c r="C100" t="s">
        <v>264</v>
      </c>
      <c r="F100" t="s">
        <v>213</v>
      </c>
      <c r="G100" t="s">
        <v>133</v>
      </c>
      <c r="H100" t="s">
        <v>134</v>
      </c>
      <c r="I100" t="s">
        <v>265</v>
      </c>
      <c r="J100" t="s">
        <v>443</v>
      </c>
      <c r="K100">
        <v>1</v>
      </c>
      <c r="L100">
        <v>86.053217342719677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0.21507770694487269</v>
      </c>
      <c r="T100">
        <v>17</v>
      </c>
      <c r="U100">
        <v>5.0359545399784116</v>
      </c>
      <c r="W100">
        <v>1</v>
      </c>
      <c r="X100">
        <v>1</v>
      </c>
    </row>
    <row r="101" spans="1:24" x14ac:dyDescent="0.25">
      <c r="A101" t="s">
        <v>90</v>
      </c>
      <c r="B101" t="s">
        <v>91</v>
      </c>
      <c r="C101" t="s">
        <v>273</v>
      </c>
      <c r="F101" t="s">
        <v>413</v>
      </c>
      <c r="G101" t="s">
        <v>94</v>
      </c>
      <c r="H101" t="s">
        <v>95</v>
      </c>
      <c r="I101" t="s">
        <v>274</v>
      </c>
      <c r="J101" t="s">
        <v>444</v>
      </c>
      <c r="K101">
        <v>1</v>
      </c>
      <c r="L101">
        <v>0</v>
      </c>
      <c r="M101">
        <v>0</v>
      </c>
      <c r="N101">
        <v>0.9</v>
      </c>
      <c r="O101">
        <v>1</v>
      </c>
      <c r="P101">
        <v>0</v>
      </c>
      <c r="Q101">
        <v>0</v>
      </c>
      <c r="R101">
        <v>0</v>
      </c>
      <c r="S101">
        <v>7.0102468573991827E-2</v>
      </c>
      <c r="T101">
        <v>9</v>
      </c>
      <c r="U101">
        <v>9.5175344176808672</v>
      </c>
      <c r="W101">
        <v>1</v>
      </c>
      <c r="X101">
        <v>1</v>
      </c>
    </row>
    <row r="102" spans="1:24" x14ac:dyDescent="0.25">
      <c r="A102" t="s">
        <v>90</v>
      </c>
      <c r="B102" t="s">
        <v>91</v>
      </c>
      <c r="C102" t="s">
        <v>273</v>
      </c>
      <c r="F102" t="s">
        <v>413</v>
      </c>
      <c r="G102" t="s">
        <v>99</v>
      </c>
      <c r="H102" t="s">
        <v>100</v>
      </c>
      <c r="I102" t="s">
        <v>274</v>
      </c>
      <c r="J102" t="s">
        <v>444</v>
      </c>
      <c r="K102">
        <v>0</v>
      </c>
      <c r="L102">
        <v>0</v>
      </c>
      <c r="M102">
        <v>0</v>
      </c>
      <c r="N102">
        <v>0</v>
      </c>
      <c r="O102">
        <v>0.1</v>
      </c>
      <c r="P102">
        <v>0</v>
      </c>
      <c r="Q102">
        <v>0</v>
      </c>
      <c r="R102">
        <v>0</v>
      </c>
      <c r="S102">
        <v>7.0102468573991827E-2</v>
      </c>
      <c r="T102">
        <v>9</v>
      </c>
      <c r="U102">
        <v>9.5175344176808672</v>
      </c>
      <c r="W102">
        <v>1</v>
      </c>
      <c r="X102">
        <v>1</v>
      </c>
    </row>
    <row r="103" spans="1:24" x14ac:dyDescent="0.25">
      <c r="A103" t="s">
        <v>90</v>
      </c>
      <c r="B103" t="s">
        <v>91</v>
      </c>
      <c r="C103" t="s">
        <v>273</v>
      </c>
      <c r="F103" t="s">
        <v>202</v>
      </c>
      <c r="G103" t="s">
        <v>119</v>
      </c>
      <c r="H103" t="s">
        <v>120</v>
      </c>
      <c r="I103" t="s">
        <v>274</v>
      </c>
      <c r="J103" t="s">
        <v>445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6.8429855158963215E-2</v>
      </c>
      <c r="T103">
        <v>9</v>
      </c>
      <c r="U103">
        <v>9.5175344176808672</v>
      </c>
      <c r="W103">
        <v>1</v>
      </c>
      <c r="X103">
        <v>1</v>
      </c>
    </row>
    <row r="104" spans="1:24" x14ac:dyDescent="0.25">
      <c r="A104" t="s">
        <v>90</v>
      </c>
      <c r="B104" t="s">
        <v>91</v>
      </c>
      <c r="C104" t="s">
        <v>273</v>
      </c>
      <c r="F104" t="s">
        <v>202</v>
      </c>
      <c r="G104" t="s">
        <v>122</v>
      </c>
      <c r="H104" t="s">
        <v>123</v>
      </c>
      <c r="I104" t="s">
        <v>274</v>
      </c>
      <c r="J104" t="s">
        <v>445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6.8429855158963215E-2</v>
      </c>
      <c r="T104">
        <v>9</v>
      </c>
      <c r="U104">
        <v>9.5175344176808672</v>
      </c>
      <c r="W104">
        <v>1</v>
      </c>
      <c r="X104">
        <v>1</v>
      </c>
    </row>
    <row r="105" spans="1:24" x14ac:dyDescent="0.25">
      <c r="A105" t="s">
        <v>90</v>
      </c>
      <c r="B105" t="s">
        <v>91</v>
      </c>
      <c r="C105" t="s">
        <v>273</v>
      </c>
      <c r="F105" t="s">
        <v>202</v>
      </c>
      <c r="G105" t="s">
        <v>124</v>
      </c>
      <c r="H105" t="s">
        <v>125</v>
      </c>
      <c r="I105" t="s">
        <v>274</v>
      </c>
      <c r="J105" t="s">
        <v>445</v>
      </c>
      <c r="K105">
        <v>0</v>
      </c>
      <c r="L105">
        <v>0</v>
      </c>
      <c r="M105">
        <v>0</v>
      </c>
      <c r="N105">
        <v>0</v>
      </c>
      <c r="O105">
        <v>0.1</v>
      </c>
      <c r="P105">
        <v>0</v>
      </c>
      <c r="Q105">
        <v>0</v>
      </c>
      <c r="R105">
        <v>0</v>
      </c>
      <c r="S105">
        <v>6.8429855158963215E-2</v>
      </c>
      <c r="T105">
        <v>9</v>
      </c>
      <c r="U105">
        <v>9.5175344176808672</v>
      </c>
      <c r="W105">
        <v>1</v>
      </c>
      <c r="X105">
        <v>1</v>
      </c>
    </row>
    <row r="106" spans="1:24" x14ac:dyDescent="0.25">
      <c r="A106" t="s">
        <v>90</v>
      </c>
      <c r="B106" t="s">
        <v>91</v>
      </c>
      <c r="C106" t="s">
        <v>273</v>
      </c>
      <c r="F106" t="s">
        <v>126</v>
      </c>
      <c r="G106" t="s">
        <v>389</v>
      </c>
      <c r="H106" t="s">
        <v>128</v>
      </c>
      <c r="I106" t="s">
        <v>274</v>
      </c>
      <c r="J106" t="s">
        <v>446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5.2339471305836681E-2</v>
      </c>
      <c r="T106">
        <v>9</v>
      </c>
      <c r="U106">
        <v>9.5175344176808672</v>
      </c>
      <c r="W106">
        <v>1</v>
      </c>
      <c r="X106">
        <v>1</v>
      </c>
    </row>
    <row r="107" spans="1:24" x14ac:dyDescent="0.25">
      <c r="A107" t="s">
        <v>90</v>
      </c>
      <c r="B107" t="s">
        <v>91</v>
      </c>
      <c r="C107" t="s">
        <v>273</v>
      </c>
      <c r="F107" t="s">
        <v>126</v>
      </c>
      <c r="G107" t="s">
        <v>130</v>
      </c>
      <c r="H107" t="s">
        <v>131</v>
      </c>
      <c r="I107" t="s">
        <v>274</v>
      </c>
      <c r="J107" t="s">
        <v>446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1.023594180704201E-2</v>
      </c>
      <c r="T107">
        <v>9</v>
      </c>
      <c r="U107">
        <v>9.5175344176808672</v>
      </c>
      <c r="W107">
        <v>1</v>
      </c>
      <c r="X107">
        <v>1</v>
      </c>
    </row>
    <row r="108" spans="1:24" x14ac:dyDescent="0.25">
      <c r="A108" t="s">
        <v>90</v>
      </c>
      <c r="B108" t="s">
        <v>91</v>
      </c>
      <c r="C108" t="s">
        <v>273</v>
      </c>
      <c r="F108" t="s">
        <v>217</v>
      </c>
      <c r="G108" t="s">
        <v>211</v>
      </c>
      <c r="H108" t="s">
        <v>212</v>
      </c>
      <c r="I108" t="s">
        <v>274</v>
      </c>
      <c r="J108" t="s">
        <v>447</v>
      </c>
      <c r="K108">
        <v>1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0.21507770694487269</v>
      </c>
      <c r="T108">
        <v>9</v>
      </c>
      <c r="U108">
        <v>9.5175344176808672</v>
      </c>
      <c r="W108">
        <v>1</v>
      </c>
      <c r="X108">
        <v>1</v>
      </c>
    </row>
    <row r="109" spans="1:24" x14ac:dyDescent="0.25">
      <c r="A109" t="s">
        <v>90</v>
      </c>
      <c r="B109" t="s">
        <v>91</v>
      </c>
      <c r="C109" t="s">
        <v>273</v>
      </c>
      <c r="F109" t="s">
        <v>213</v>
      </c>
      <c r="G109" t="s">
        <v>133</v>
      </c>
      <c r="H109" t="s">
        <v>134</v>
      </c>
      <c r="I109" t="s">
        <v>274</v>
      </c>
      <c r="J109" t="s">
        <v>448</v>
      </c>
      <c r="K109">
        <v>1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0.21507770694487269</v>
      </c>
      <c r="T109">
        <v>9</v>
      </c>
      <c r="U109">
        <v>9.5175344176808672</v>
      </c>
      <c r="W109">
        <v>1</v>
      </c>
      <c r="X109">
        <v>1</v>
      </c>
    </row>
    <row r="110" spans="1:24" x14ac:dyDescent="0.25">
      <c r="A110" t="s">
        <v>90</v>
      </c>
      <c r="B110" t="s">
        <v>91</v>
      </c>
      <c r="C110" t="s">
        <v>300</v>
      </c>
      <c r="F110" t="s">
        <v>202</v>
      </c>
      <c r="G110" t="s">
        <v>119</v>
      </c>
      <c r="H110" t="s">
        <v>120</v>
      </c>
      <c r="I110" t="s">
        <v>301</v>
      </c>
      <c r="J110" t="s">
        <v>449</v>
      </c>
      <c r="K110">
        <v>1</v>
      </c>
      <c r="L110">
        <v>364.1076787683694</v>
      </c>
      <c r="M110">
        <v>3.0543994309469039E-2</v>
      </c>
      <c r="N110">
        <v>0</v>
      </c>
      <c r="O110">
        <v>1</v>
      </c>
      <c r="P110">
        <v>11.121302868335061</v>
      </c>
      <c r="Q110">
        <v>247.90562236925601</v>
      </c>
      <c r="R110">
        <v>11.121302868335061</v>
      </c>
      <c r="S110">
        <v>4.4861035268372623E-2</v>
      </c>
      <c r="T110">
        <v>30</v>
      </c>
      <c r="U110">
        <v>3506.474352651599</v>
      </c>
      <c r="W110">
        <v>1</v>
      </c>
      <c r="X110">
        <v>1</v>
      </c>
    </row>
    <row r="111" spans="1:24" x14ac:dyDescent="0.25">
      <c r="A111" t="s">
        <v>90</v>
      </c>
      <c r="B111" t="s">
        <v>91</v>
      </c>
      <c r="C111" t="s">
        <v>300</v>
      </c>
      <c r="F111" t="s">
        <v>202</v>
      </c>
      <c r="G111" t="s">
        <v>122</v>
      </c>
      <c r="H111" t="s">
        <v>123</v>
      </c>
      <c r="I111" t="s">
        <v>301</v>
      </c>
      <c r="J111" t="s">
        <v>449</v>
      </c>
      <c r="K111">
        <v>0</v>
      </c>
      <c r="L111">
        <v>364.1076787683694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4.4861035268372623E-2</v>
      </c>
      <c r="T111">
        <v>30</v>
      </c>
      <c r="U111">
        <v>3506.474352651599</v>
      </c>
      <c r="W111">
        <v>1</v>
      </c>
      <c r="X111">
        <v>1</v>
      </c>
    </row>
    <row r="112" spans="1:24" x14ac:dyDescent="0.25">
      <c r="A112" t="s">
        <v>90</v>
      </c>
      <c r="B112" t="s">
        <v>91</v>
      </c>
      <c r="C112" t="s">
        <v>300</v>
      </c>
      <c r="F112" t="s">
        <v>202</v>
      </c>
      <c r="G112" t="s">
        <v>124</v>
      </c>
      <c r="H112" t="s">
        <v>125</v>
      </c>
      <c r="I112" t="s">
        <v>301</v>
      </c>
      <c r="J112" t="s">
        <v>449</v>
      </c>
      <c r="K112">
        <v>0</v>
      </c>
      <c r="L112">
        <v>364.1076787683694</v>
      </c>
      <c r="M112">
        <v>0</v>
      </c>
      <c r="N112">
        <v>0</v>
      </c>
      <c r="O112">
        <v>0.1</v>
      </c>
      <c r="P112">
        <v>0</v>
      </c>
      <c r="Q112">
        <v>0</v>
      </c>
      <c r="R112">
        <v>0</v>
      </c>
      <c r="S112">
        <v>4.4861035268372623E-2</v>
      </c>
      <c r="T112">
        <v>30</v>
      </c>
      <c r="U112">
        <v>3506.474352651599</v>
      </c>
      <c r="W112">
        <v>1</v>
      </c>
      <c r="X112">
        <v>1</v>
      </c>
    </row>
    <row r="113" spans="1:24" x14ac:dyDescent="0.25">
      <c r="A113" t="s">
        <v>90</v>
      </c>
      <c r="B113" t="s">
        <v>91</v>
      </c>
      <c r="C113" t="s">
        <v>300</v>
      </c>
      <c r="F113" t="s">
        <v>126</v>
      </c>
      <c r="G113" t="s">
        <v>389</v>
      </c>
      <c r="H113" t="s">
        <v>128</v>
      </c>
      <c r="I113" t="s">
        <v>301</v>
      </c>
      <c r="J113" t="s">
        <v>450</v>
      </c>
      <c r="K113">
        <v>1</v>
      </c>
      <c r="L113">
        <v>364.1076787683694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5.0632630449098923E-2</v>
      </c>
      <c r="T113">
        <v>30</v>
      </c>
      <c r="U113">
        <v>3506.474352651599</v>
      </c>
      <c r="W113">
        <v>1</v>
      </c>
      <c r="X113">
        <v>1</v>
      </c>
    </row>
    <row r="114" spans="1:24" x14ac:dyDescent="0.25">
      <c r="A114" t="s">
        <v>90</v>
      </c>
      <c r="B114" t="s">
        <v>91</v>
      </c>
      <c r="C114" t="s">
        <v>300</v>
      </c>
      <c r="F114" t="s">
        <v>126</v>
      </c>
      <c r="G114" t="s">
        <v>130</v>
      </c>
      <c r="H114" t="s">
        <v>131</v>
      </c>
      <c r="I114" t="s">
        <v>301</v>
      </c>
      <c r="J114" t="s">
        <v>450</v>
      </c>
      <c r="K114">
        <v>0</v>
      </c>
      <c r="L114">
        <v>364.1076787683694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5.0632630449098923E-2</v>
      </c>
      <c r="T114">
        <v>30</v>
      </c>
      <c r="U114">
        <v>3506.474352651599</v>
      </c>
      <c r="W114">
        <v>1</v>
      </c>
      <c r="X114">
        <v>1</v>
      </c>
    </row>
    <row r="115" spans="1:24" x14ac:dyDescent="0.25">
      <c r="A115" t="s">
        <v>90</v>
      </c>
      <c r="B115" t="s">
        <v>91</v>
      </c>
      <c r="C115" t="s">
        <v>300</v>
      </c>
      <c r="F115" t="s">
        <v>303</v>
      </c>
      <c r="G115" t="s">
        <v>304</v>
      </c>
      <c r="H115" t="s">
        <v>305</v>
      </c>
      <c r="I115" t="s">
        <v>301</v>
      </c>
      <c r="J115" t="s">
        <v>451</v>
      </c>
      <c r="K115">
        <v>1</v>
      </c>
      <c r="L115">
        <v>364.1076787683694</v>
      </c>
      <c r="M115">
        <v>0.96945600569053092</v>
      </c>
      <c r="N115">
        <v>1</v>
      </c>
      <c r="O115">
        <v>1</v>
      </c>
      <c r="P115">
        <v>352.98637590003432</v>
      </c>
      <c r="Q115">
        <v>8021.3211901118002</v>
      </c>
      <c r="R115">
        <v>352.98637590003432</v>
      </c>
      <c r="S115">
        <v>4.4006014412585122E-2</v>
      </c>
      <c r="T115">
        <v>30</v>
      </c>
      <c r="U115">
        <v>3506.474352651599</v>
      </c>
      <c r="W115">
        <v>1</v>
      </c>
      <c r="X115">
        <v>1</v>
      </c>
    </row>
    <row r="116" spans="1:24" x14ac:dyDescent="0.25">
      <c r="A116" t="s">
        <v>90</v>
      </c>
      <c r="B116" t="s">
        <v>91</v>
      </c>
      <c r="C116" t="s">
        <v>300</v>
      </c>
      <c r="F116" t="s">
        <v>213</v>
      </c>
      <c r="G116" t="s">
        <v>133</v>
      </c>
      <c r="H116" t="s">
        <v>134</v>
      </c>
      <c r="I116" t="s">
        <v>301</v>
      </c>
      <c r="J116" t="s">
        <v>452</v>
      </c>
      <c r="K116">
        <v>1</v>
      </c>
      <c r="L116">
        <v>364.1076787683694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4.4006014412585122E-2</v>
      </c>
      <c r="T116">
        <v>30</v>
      </c>
      <c r="U116">
        <v>3506.474352651599</v>
      </c>
      <c r="W116">
        <v>1</v>
      </c>
      <c r="X116">
        <v>1</v>
      </c>
    </row>
    <row r="117" spans="1:24" x14ac:dyDescent="0.25">
      <c r="A117" t="s">
        <v>90</v>
      </c>
      <c r="B117" t="s">
        <v>91</v>
      </c>
      <c r="C117" t="s">
        <v>308</v>
      </c>
      <c r="F117" t="s">
        <v>202</v>
      </c>
      <c r="G117" t="s">
        <v>119</v>
      </c>
      <c r="H117" t="s">
        <v>120</v>
      </c>
      <c r="I117" t="s">
        <v>309</v>
      </c>
      <c r="J117" t="s">
        <v>453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7.1504496939081452E-2</v>
      </c>
      <c r="T117">
        <v>30</v>
      </c>
      <c r="U117">
        <v>158.5923890582003</v>
      </c>
      <c r="W117">
        <v>1</v>
      </c>
      <c r="X117">
        <v>1</v>
      </c>
    </row>
    <row r="118" spans="1:24" x14ac:dyDescent="0.25">
      <c r="A118" t="s">
        <v>90</v>
      </c>
      <c r="B118" t="s">
        <v>91</v>
      </c>
      <c r="C118" t="s">
        <v>308</v>
      </c>
      <c r="F118" t="s">
        <v>202</v>
      </c>
      <c r="G118" t="s">
        <v>122</v>
      </c>
      <c r="H118" t="s">
        <v>123</v>
      </c>
      <c r="I118" t="s">
        <v>309</v>
      </c>
      <c r="J118" t="s">
        <v>453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7.1504496939081452E-2</v>
      </c>
      <c r="T118">
        <v>30</v>
      </c>
      <c r="U118">
        <v>158.5923890582003</v>
      </c>
      <c r="W118">
        <v>1</v>
      </c>
      <c r="X118">
        <v>1</v>
      </c>
    </row>
    <row r="119" spans="1:24" x14ac:dyDescent="0.25">
      <c r="A119" t="s">
        <v>90</v>
      </c>
      <c r="B119" t="s">
        <v>91</v>
      </c>
      <c r="C119" t="s">
        <v>308</v>
      </c>
      <c r="F119" t="s">
        <v>202</v>
      </c>
      <c r="G119" t="s">
        <v>124</v>
      </c>
      <c r="H119" t="s">
        <v>125</v>
      </c>
      <c r="I119" t="s">
        <v>309</v>
      </c>
      <c r="J119" t="s">
        <v>453</v>
      </c>
      <c r="K119">
        <v>0</v>
      </c>
      <c r="L119">
        <v>0</v>
      </c>
      <c r="M119">
        <v>0</v>
      </c>
      <c r="N119">
        <v>0</v>
      </c>
      <c r="O119">
        <v>0.1</v>
      </c>
      <c r="P119">
        <v>0</v>
      </c>
      <c r="Q119">
        <v>0</v>
      </c>
      <c r="R119">
        <v>0</v>
      </c>
      <c r="S119">
        <v>7.1504496939081452E-2</v>
      </c>
      <c r="T119">
        <v>30</v>
      </c>
      <c r="U119">
        <v>158.5923890582003</v>
      </c>
      <c r="W119">
        <v>1</v>
      </c>
      <c r="X119">
        <v>1</v>
      </c>
    </row>
    <row r="120" spans="1:24" x14ac:dyDescent="0.25">
      <c r="A120" t="s">
        <v>90</v>
      </c>
      <c r="B120" t="s">
        <v>91</v>
      </c>
      <c r="C120" t="s">
        <v>308</v>
      </c>
      <c r="F120" t="s">
        <v>126</v>
      </c>
      <c r="G120" t="s">
        <v>389</v>
      </c>
      <c r="H120" t="s">
        <v>128</v>
      </c>
      <c r="I120" t="s">
        <v>309</v>
      </c>
      <c r="J120" t="s">
        <v>454</v>
      </c>
      <c r="K120">
        <v>1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8.0703905902004214E-2</v>
      </c>
      <c r="T120">
        <v>30</v>
      </c>
      <c r="U120">
        <v>158.5923890582003</v>
      </c>
      <c r="W120">
        <v>1</v>
      </c>
      <c r="X120">
        <v>1</v>
      </c>
    </row>
    <row r="121" spans="1:24" x14ac:dyDescent="0.25">
      <c r="A121" t="s">
        <v>90</v>
      </c>
      <c r="B121" t="s">
        <v>91</v>
      </c>
      <c r="C121" t="s">
        <v>308</v>
      </c>
      <c r="F121" t="s">
        <v>126</v>
      </c>
      <c r="G121" t="s">
        <v>130</v>
      </c>
      <c r="H121" t="s">
        <v>131</v>
      </c>
      <c r="I121" t="s">
        <v>309</v>
      </c>
      <c r="J121" t="s">
        <v>454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8.0703905902004214E-2</v>
      </c>
      <c r="T121">
        <v>30</v>
      </c>
      <c r="U121">
        <v>158.5923890582003</v>
      </c>
      <c r="W121">
        <v>1</v>
      </c>
      <c r="X121">
        <v>1</v>
      </c>
    </row>
    <row r="122" spans="1:24" x14ac:dyDescent="0.25">
      <c r="A122" t="s">
        <v>90</v>
      </c>
      <c r="B122" t="s">
        <v>91</v>
      </c>
      <c r="C122" t="s">
        <v>308</v>
      </c>
      <c r="F122" t="s">
        <v>303</v>
      </c>
      <c r="G122" t="s">
        <v>304</v>
      </c>
      <c r="H122" t="s">
        <v>305</v>
      </c>
      <c r="I122" t="s">
        <v>309</v>
      </c>
      <c r="J122" t="s">
        <v>455</v>
      </c>
      <c r="K122">
        <v>1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8.0703905902004214E-2</v>
      </c>
      <c r="T122">
        <v>30</v>
      </c>
      <c r="U122">
        <v>158.5923890582003</v>
      </c>
      <c r="W122">
        <v>1</v>
      </c>
      <c r="X122">
        <v>1</v>
      </c>
    </row>
    <row r="123" spans="1:24" x14ac:dyDescent="0.25">
      <c r="A123" t="s">
        <v>90</v>
      </c>
      <c r="B123" t="s">
        <v>91</v>
      </c>
      <c r="C123" t="s">
        <v>311</v>
      </c>
      <c r="F123" t="s">
        <v>303</v>
      </c>
      <c r="G123" t="s">
        <v>304</v>
      </c>
      <c r="H123" t="s">
        <v>305</v>
      </c>
      <c r="I123" t="s">
        <v>312</v>
      </c>
      <c r="J123" t="s">
        <v>456</v>
      </c>
      <c r="K123">
        <v>1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8.0703905902004214E-2</v>
      </c>
      <c r="T123">
        <v>30</v>
      </c>
      <c r="U123">
        <v>158.5923890582003</v>
      </c>
      <c r="W123">
        <v>1</v>
      </c>
      <c r="X123">
        <v>1</v>
      </c>
    </row>
    <row r="124" spans="1:24" x14ac:dyDescent="0.25">
      <c r="A124" t="s">
        <v>90</v>
      </c>
      <c r="B124" t="s">
        <v>91</v>
      </c>
      <c r="C124" t="s">
        <v>292</v>
      </c>
      <c r="F124" t="s">
        <v>293</v>
      </c>
      <c r="G124" t="s">
        <v>293</v>
      </c>
      <c r="I124" t="s">
        <v>295</v>
      </c>
      <c r="J124" t="s">
        <v>457</v>
      </c>
      <c r="K124">
        <v>1</v>
      </c>
      <c r="L124">
        <v>783.71641071992963</v>
      </c>
      <c r="M124">
        <v>1</v>
      </c>
      <c r="N124">
        <v>0</v>
      </c>
      <c r="O124">
        <v>0</v>
      </c>
      <c r="P124">
        <v>783.71641071992963</v>
      </c>
      <c r="Q124">
        <v>0</v>
      </c>
      <c r="R124">
        <v>783.71641071992963</v>
      </c>
      <c r="S124">
        <v>1</v>
      </c>
      <c r="T124">
        <v>50</v>
      </c>
      <c r="U124">
        <v>0</v>
      </c>
      <c r="W124">
        <v>1</v>
      </c>
      <c r="X124">
        <v>1</v>
      </c>
    </row>
    <row r="125" spans="1:24" x14ac:dyDescent="0.25">
      <c r="A125" t="s">
        <v>90</v>
      </c>
      <c r="B125" t="s">
        <v>91</v>
      </c>
      <c r="C125" t="s">
        <v>297</v>
      </c>
      <c r="F125" t="s">
        <v>293</v>
      </c>
      <c r="G125" t="s">
        <v>293</v>
      </c>
      <c r="I125" t="s">
        <v>298</v>
      </c>
      <c r="J125" t="s">
        <v>458</v>
      </c>
      <c r="K125">
        <v>1</v>
      </c>
      <c r="L125">
        <v>4185.0616827171943</v>
      </c>
      <c r="M125">
        <v>1</v>
      </c>
      <c r="N125">
        <v>0</v>
      </c>
      <c r="O125">
        <v>0</v>
      </c>
      <c r="P125">
        <v>4185.0616827171943</v>
      </c>
      <c r="Q125">
        <v>0</v>
      </c>
      <c r="R125">
        <v>4185.0616827171943</v>
      </c>
      <c r="S125">
        <v>1</v>
      </c>
      <c r="T125">
        <v>100</v>
      </c>
      <c r="U125">
        <v>0</v>
      </c>
      <c r="W125">
        <v>1</v>
      </c>
      <c r="X125">
        <v>1</v>
      </c>
    </row>
    <row r="126" spans="1:24" x14ac:dyDescent="0.25">
      <c r="A126" t="s">
        <v>90</v>
      </c>
      <c r="B126" t="s">
        <v>282</v>
      </c>
      <c r="C126" t="s">
        <v>283</v>
      </c>
      <c r="F126" t="s">
        <v>413</v>
      </c>
      <c r="G126" t="s">
        <v>94</v>
      </c>
      <c r="H126" t="s">
        <v>95</v>
      </c>
      <c r="I126" t="s">
        <v>284</v>
      </c>
      <c r="J126" t="s">
        <v>459</v>
      </c>
      <c r="K126">
        <v>1</v>
      </c>
      <c r="L126">
        <v>0</v>
      </c>
      <c r="M126">
        <v>0</v>
      </c>
      <c r="N126">
        <v>0.9</v>
      </c>
      <c r="O126">
        <v>1</v>
      </c>
      <c r="P126">
        <v>0</v>
      </c>
      <c r="Q126">
        <v>0</v>
      </c>
      <c r="R126">
        <v>0</v>
      </c>
      <c r="S126">
        <v>0.10837962752894351</v>
      </c>
      <c r="T126">
        <v>8</v>
      </c>
      <c r="U126">
        <v>10.491571958288359</v>
      </c>
      <c r="W126">
        <v>1</v>
      </c>
      <c r="X126">
        <v>1</v>
      </c>
    </row>
    <row r="127" spans="1:24" x14ac:dyDescent="0.25">
      <c r="A127" t="s">
        <v>90</v>
      </c>
      <c r="B127" t="s">
        <v>282</v>
      </c>
      <c r="C127" t="s">
        <v>283</v>
      </c>
      <c r="F127" t="s">
        <v>413</v>
      </c>
      <c r="G127" t="s">
        <v>99</v>
      </c>
      <c r="H127" t="s">
        <v>100</v>
      </c>
      <c r="I127" t="s">
        <v>284</v>
      </c>
      <c r="J127" t="s">
        <v>459</v>
      </c>
      <c r="K127">
        <v>0</v>
      </c>
      <c r="L127">
        <v>0</v>
      </c>
      <c r="M127">
        <v>0</v>
      </c>
      <c r="N127">
        <v>0</v>
      </c>
      <c r="O127">
        <v>0.1</v>
      </c>
      <c r="P127">
        <v>0</v>
      </c>
      <c r="Q127">
        <v>0</v>
      </c>
      <c r="R127">
        <v>0</v>
      </c>
      <c r="S127">
        <v>0.10837962752894351</v>
      </c>
      <c r="T127">
        <v>8</v>
      </c>
      <c r="U127">
        <v>10.491571958288359</v>
      </c>
      <c r="W127">
        <v>1</v>
      </c>
      <c r="X127">
        <v>1</v>
      </c>
    </row>
    <row r="128" spans="1:24" x14ac:dyDescent="0.25">
      <c r="A128" t="s">
        <v>90</v>
      </c>
      <c r="B128" t="s">
        <v>282</v>
      </c>
      <c r="C128" t="s">
        <v>283</v>
      </c>
      <c r="F128" t="s">
        <v>202</v>
      </c>
      <c r="G128" t="s">
        <v>119</v>
      </c>
      <c r="H128" t="s">
        <v>120</v>
      </c>
      <c r="I128" t="s">
        <v>284</v>
      </c>
      <c r="J128" t="s">
        <v>460</v>
      </c>
      <c r="K128">
        <v>1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0.10461489771314229</v>
      </c>
      <c r="T128">
        <v>8</v>
      </c>
      <c r="U128">
        <v>10.491571958288359</v>
      </c>
      <c r="W128">
        <v>1</v>
      </c>
      <c r="X128">
        <v>1</v>
      </c>
    </row>
    <row r="129" spans="1:24" x14ac:dyDescent="0.25">
      <c r="A129" t="s">
        <v>90</v>
      </c>
      <c r="B129" t="s">
        <v>282</v>
      </c>
      <c r="C129" t="s">
        <v>283</v>
      </c>
      <c r="F129" t="s">
        <v>202</v>
      </c>
      <c r="G129" t="s">
        <v>122</v>
      </c>
      <c r="H129" t="s">
        <v>123</v>
      </c>
      <c r="I129" t="s">
        <v>284</v>
      </c>
      <c r="J129" t="s">
        <v>460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0.10461489771314229</v>
      </c>
      <c r="T129">
        <v>8</v>
      </c>
      <c r="U129">
        <v>10.491571958288359</v>
      </c>
      <c r="W129">
        <v>1</v>
      </c>
      <c r="X129">
        <v>1</v>
      </c>
    </row>
    <row r="130" spans="1:24" x14ac:dyDescent="0.25">
      <c r="A130" t="s">
        <v>90</v>
      </c>
      <c r="B130" t="s">
        <v>282</v>
      </c>
      <c r="C130" t="s">
        <v>283</v>
      </c>
      <c r="F130" t="s">
        <v>202</v>
      </c>
      <c r="G130" t="s">
        <v>124</v>
      </c>
      <c r="H130" t="s">
        <v>125</v>
      </c>
      <c r="I130" t="s">
        <v>284</v>
      </c>
      <c r="J130" t="s">
        <v>460</v>
      </c>
      <c r="K130">
        <v>0</v>
      </c>
      <c r="L130">
        <v>0</v>
      </c>
      <c r="M130">
        <v>0</v>
      </c>
      <c r="N130">
        <v>0</v>
      </c>
      <c r="O130">
        <v>0.1</v>
      </c>
      <c r="P130">
        <v>0</v>
      </c>
      <c r="Q130">
        <v>0</v>
      </c>
      <c r="R130">
        <v>0</v>
      </c>
      <c r="S130">
        <v>0.10461489771314229</v>
      </c>
      <c r="T130">
        <v>8</v>
      </c>
      <c r="U130">
        <v>10.491571958288359</v>
      </c>
      <c r="W130">
        <v>1</v>
      </c>
      <c r="X130">
        <v>1</v>
      </c>
    </row>
    <row r="131" spans="1:24" x14ac:dyDescent="0.25">
      <c r="A131" t="s">
        <v>90</v>
      </c>
      <c r="B131" t="s">
        <v>282</v>
      </c>
      <c r="C131" t="s">
        <v>283</v>
      </c>
      <c r="F131" t="s">
        <v>126</v>
      </c>
      <c r="G131" t="s">
        <v>389</v>
      </c>
      <c r="H131" t="s">
        <v>128</v>
      </c>
      <c r="I131" t="s">
        <v>284</v>
      </c>
      <c r="J131" t="s">
        <v>461</v>
      </c>
      <c r="K131">
        <v>1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0.10837962752894351</v>
      </c>
      <c r="T131">
        <v>8</v>
      </c>
      <c r="U131">
        <v>10.491571958288359</v>
      </c>
      <c r="W131">
        <v>1</v>
      </c>
      <c r="X131">
        <v>1</v>
      </c>
    </row>
    <row r="132" spans="1:24" x14ac:dyDescent="0.25">
      <c r="A132" t="s">
        <v>90</v>
      </c>
      <c r="B132" t="s">
        <v>282</v>
      </c>
      <c r="C132" t="s">
        <v>283</v>
      </c>
      <c r="F132" t="s">
        <v>126</v>
      </c>
      <c r="G132" t="s">
        <v>130</v>
      </c>
      <c r="H132" t="s">
        <v>131</v>
      </c>
      <c r="I132" t="s">
        <v>284</v>
      </c>
      <c r="J132" t="s">
        <v>461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0.10837962752894351</v>
      </c>
      <c r="T132">
        <v>8</v>
      </c>
      <c r="U132">
        <v>10.491571958288359</v>
      </c>
      <c r="W132">
        <v>1</v>
      </c>
      <c r="X132">
        <v>1</v>
      </c>
    </row>
    <row r="133" spans="1:24" x14ac:dyDescent="0.25">
      <c r="A133" t="s">
        <v>90</v>
      </c>
      <c r="B133" t="s">
        <v>282</v>
      </c>
      <c r="C133" t="s">
        <v>283</v>
      </c>
      <c r="F133" t="s">
        <v>217</v>
      </c>
      <c r="G133" t="s">
        <v>211</v>
      </c>
      <c r="H133" t="s">
        <v>212</v>
      </c>
      <c r="I133" t="s">
        <v>284</v>
      </c>
      <c r="J133" t="s">
        <v>462</v>
      </c>
      <c r="K133">
        <v>1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0.21465701666491771</v>
      </c>
      <c r="T133">
        <v>8</v>
      </c>
      <c r="U133">
        <v>10.491571958288359</v>
      </c>
      <c r="W133">
        <v>1</v>
      </c>
      <c r="X133">
        <v>1</v>
      </c>
    </row>
    <row r="134" spans="1:24" x14ac:dyDescent="0.25">
      <c r="A134" t="s">
        <v>90</v>
      </c>
      <c r="B134" t="s">
        <v>282</v>
      </c>
      <c r="C134" t="s">
        <v>283</v>
      </c>
      <c r="F134" t="s">
        <v>213</v>
      </c>
      <c r="G134" t="s">
        <v>133</v>
      </c>
      <c r="H134" t="s">
        <v>134</v>
      </c>
      <c r="I134" t="s">
        <v>284</v>
      </c>
      <c r="J134" t="s">
        <v>463</v>
      </c>
      <c r="K134">
        <v>1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0.21465701666491771</v>
      </c>
      <c r="T134">
        <v>8</v>
      </c>
      <c r="U134">
        <v>10.491571958288359</v>
      </c>
      <c r="W134">
        <v>1</v>
      </c>
      <c r="X134">
        <v>1</v>
      </c>
    </row>
    <row r="135" spans="1:24" x14ac:dyDescent="0.25">
      <c r="A135" t="s">
        <v>90</v>
      </c>
      <c r="B135" t="s">
        <v>282</v>
      </c>
      <c r="C135" t="s">
        <v>314</v>
      </c>
      <c r="F135" t="s">
        <v>413</v>
      </c>
      <c r="G135" t="s">
        <v>94</v>
      </c>
      <c r="H135" t="s">
        <v>95</v>
      </c>
      <c r="I135" t="s">
        <v>315</v>
      </c>
      <c r="J135" t="s">
        <v>464</v>
      </c>
      <c r="K135">
        <v>1</v>
      </c>
      <c r="L135">
        <v>1.605430432772551</v>
      </c>
      <c r="M135">
        <v>0</v>
      </c>
      <c r="N135">
        <v>0.9</v>
      </c>
      <c r="O135">
        <v>1</v>
      </c>
      <c r="P135">
        <v>0</v>
      </c>
      <c r="Q135">
        <v>0</v>
      </c>
      <c r="R135">
        <v>0</v>
      </c>
      <c r="S135">
        <v>1.2937722477707771E-3</v>
      </c>
      <c r="T135">
        <v>30</v>
      </c>
      <c r="U135">
        <v>6522.2353722155358</v>
      </c>
      <c r="W135">
        <v>1</v>
      </c>
      <c r="X135">
        <v>1</v>
      </c>
    </row>
    <row r="136" spans="1:24" x14ac:dyDescent="0.25">
      <c r="A136" t="s">
        <v>90</v>
      </c>
      <c r="B136" t="s">
        <v>282</v>
      </c>
      <c r="C136" t="s">
        <v>314</v>
      </c>
      <c r="F136" t="s">
        <v>413</v>
      </c>
      <c r="G136" t="s">
        <v>99</v>
      </c>
      <c r="H136" t="s">
        <v>100</v>
      </c>
      <c r="I136" t="s">
        <v>315</v>
      </c>
      <c r="J136" t="s">
        <v>464</v>
      </c>
      <c r="K136">
        <v>0</v>
      </c>
      <c r="L136">
        <v>1.605430432772551</v>
      </c>
      <c r="M136">
        <v>0</v>
      </c>
      <c r="N136">
        <v>0</v>
      </c>
      <c r="O136">
        <v>0.1</v>
      </c>
      <c r="P136">
        <v>0</v>
      </c>
      <c r="Q136">
        <v>0</v>
      </c>
      <c r="R136">
        <v>0</v>
      </c>
      <c r="S136">
        <v>1.2937722477707771E-3</v>
      </c>
      <c r="T136">
        <v>30</v>
      </c>
      <c r="U136">
        <v>6522.2353722155358</v>
      </c>
      <c r="W136">
        <v>1</v>
      </c>
      <c r="X136">
        <v>1</v>
      </c>
    </row>
    <row r="137" spans="1:24" x14ac:dyDescent="0.25">
      <c r="A137" t="s">
        <v>90</v>
      </c>
      <c r="B137" t="s">
        <v>282</v>
      </c>
      <c r="C137" t="s">
        <v>314</v>
      </c>
      <c r="F137" t="s">
        <v>202</v>
      </c>
      <c r="G137" t="s">
        <v>119</v>
      </c>
      <c r="H137" t="s">
        <v>120</v>
      </c>
      <c r="I137" t="s">
        <v>315</v>
      </c>
      <c r="J137" t="s">
        <v>465</v>
      </c>
      <c r="K137">
        <v>1</v>
      </c>
      <c r="L137">
        <v>1.605430432772551</v>
      </c>
      <c r="M137">
        <v>1</v>
      </c>
      <c r="N137">
        <v>0</v>
      </c>
      <c r="O137">
        <v>1</v>
      </c>
      <c r="P137">
        <v>1.605430432772551</v>
      </c>
      <c r="Q137">
        <v>1400.5378777297201</v>
      </c>
      <c r="R137">
        <v>1.605430432772551</v>
      </c>
      <c r="S137">
        <v>1.1462956184912069E-3</v>
      </c>
      <c r="T137">
        <v>30</v>
      </c>
      <c r="U137">
        <v>6522.2353722155358</v>
      </c>
      <c r="W137">
        <v>1</v>
      </c>
      <c r="X137">
        <v>1</v>
      </c>
    </row>
    <row r="138" spans="1:24" x14ac:dyDescent="0.25">
      <c r="A138" t="s">
        <v>90</v>
      </c>
      <c r="B138" t="s">
        <v>282</v>
      </c>
      <c r="C138" t="s">
        <v>314</v>
      </c>
      <c r="F138" t="s">
        <v>202</v>
      </c>
      <c r="G138" t="s">
        <v>122</v>
      </c>
      <c r="H138" t="s">
        <v>123</v>
      </c>
      <c r="I138" t="s">
        <v>315</v>
      </c>
      <c r="J138" t="s">
        <v>465</v>
      </c>
      <c r="K138">
        <v>0</v>
      </c>
      <c r="L138">
        <v>1.605430432772551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1.1462956184912069E-3</v>
      </c>
      <c r="T138">
        <v>30</v>
      </c>
      <c r="U138">
        <v>6522.2353722155358</v>
      </c>
      <c r="W138">
        <v>1</v>
      </c>
      <c r="X138">
        <v>1</v>
      </c>
    </row>
    <row r="139" spans="1:24" x14ac:dyDescent="0.25">
      <c r="A139" t="s">
        <v>90</v>
      </c>
      <c r="B139" t="s">
        <v>282</v>
      </c>
      <c r="C139" t="s">
        <v>314</v>
      </c>
      <c r="F139" t="s">
        <v>202</v>
      </c>
      <c r="G139" t="s">
        <v>124</v>
      </c>
      <c r="H139" t="s">
        <v>125</v>
      </c>
      <c r="I139" t="s">
        <v>315</v>
      </c>
      <c r="J139" t="s">
        <v>465</v>
      </c>
      <c r="K139">
        <v>0</v>
      </c>
      <c r="L139">
        <v>1.605430432772551</v>
      </c>
      <c r="M139">
        <v>0</v>
      </c>
      <c r="N139">
        <v>0</v>
      </c>
      <c r="O139">
        <v>0.1</v>
      </c>
      <c r="P139">
        <v>0</v>
      </c>
      <c r="Q139">
        <v>0</v>
      </c>
      <c r="R139">
        <v>0</v>
      </c>
      <c r="S139">
        <v>1.1462956184912069E-3</v>
      </c>
      <c r="T139">
        <v>30</v>
      </c>
      <c r="U139">
        <v>6522.2353722155358</v>
      </c>
      <c r="W139">
        <v>1</v>
      </c>
      <c r="X139">
        <v>1</v>
      </c>
    </row>
    <row r="140" spans="1:24" x14ac:dyDescent="0.25">
      <c r="A140" t="s">
        <v>90</v>
      </c>
      <c r="B140" t="s">
        <v>282</v>
      </c>
      <c r="C140" t="s">
        <v>314</v>
      </c>
      <c r="F140" t="s">
        <v>320</v>
      </c>
      <c r="G140" t="s">
        <v>321</v>
      </c>
      <c r="H140" t="s">
        <v>322</v>
      </c>
      <c r="I140" t="s">
        <v>315</v>
      </c>
      <c r="J140" t="s">
        <v>466</v>
      </c>
      <c r="K140">
        <v>1</v>
      </c>
      <c r="L140">
        <v>1.605430432772551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1.079195387164892E-3</v>
      </c>
      <c r="T140">
        <v>30</v>
      </c>
      <c r="U140">
        <v>6522.2353722155358</v>
      </c>
      <c r="W140">
        <v>1</v>
      </c>
      <c r="X140">
        <v>1</v>
      </c>
    </row>
    <row r="141" spans="1:24" x14ac:dyDescent="0.25">
      <c r="A141" t="s">
        <v>90</v>
      </c>
      <c r="B141" t="s">
        <v>282</v>
      </c>
      <c r="C141" t="s">
        <v>328</v>
      </c>
      <c r="F141" t="s">
        <v>352</v>
      </c>
      <c r="G141" t="s">
        <v>353</v>
      </c>
      <c r="H141" t="s">
        <v>354</v>
      </c>
      <c r="I141" t="s">
        <v>332</v>
      </c>
      <c r="J141" t="s">
        <v>467</v>
      </c>
      <c r="K141">
        <v>1</v>
      </c>
      <c r="L141">
        <v>0.1257155698946095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4.3975373790677216E-3</v>
      </c>
      <c r="T141">
        <v>24</v>
      </c>
      <c r="U141">
        <v>1249.462599766664</v>
      </c>
      <c r="W141">
        <v>1</v>
      </c>
      <c r="X141">
        <v>1</v>
      </c>
    </row>
    <row r="142" spans="1:24" x14ac:dyDescent="0.25">
      <c r="A142" t="s">
        <v>90</v>
      </c>
      <c r="B142" t="s">
        <v>282</v>
      </c>
      <c r="C142" t="s">
        <v>328</v>
      </c>
      <c r="F142" t="s">
        <v>329</v>
      </c>
      <c r="G142" t="s">
        <v>330</v>
      </c>
      <c r="H142" t="s">
        <v>331</v>
      </c>
      <c r="I142" t="s">
        <v>332</v>
      </c>
      <c r="J142" t="s">
        <v>468</v>
      </c>
      <c r="K142">
        <v>1</v>
      </c>
      <c r="L142">
        <v>0.1257155698946095</v>
      </c>
      <c r="M142">
        <v>1</v>
      </c>
      <c r="N142">
        <v>0</v>
      </c>
      <c r="O142">
        <v>1</v>
      </c>
      <c r="P142">
        <v>0.1257155698946095</v>
      </c>
      <c r="Q142">
        <v>28.587720594034199</v>
      </c>
      <c r="R142">
        <v>0.1257155698946095</v>
      </c>
      <c r="S142">
        <v>4.3975373790677216E-3</v>
      </c>
      <c r="T142">
        <v>24</v>
      </c>
      <c r="U142">
        <v>1249.462599766664</v>
      </c>
      <c r="W142">
        <v>1</v>
      </c>
      <c r="X142">
        <v>1</v>
      </c>
    </row>
    <row r="143" spans="1:24" x14ac:dyDescent="0.25">
      <c r="A143" t="s">
        <v>90</v>
      </c>
      <c r="B143" t="s">
        <v>282</v>
      </c>
      <c r="C143" t="s">
        <v>328</v>
      </c>
      <c r="F143" t="s">
        <v>329</v>
      </c>
      <c r="G143" t="s">
        <v>334</v>
      </c>
      <c r="H143" t="s">
        <v>335</v>
      </c>
      <c r="I143" t="s">
        <v>332</v>
      </c>
      <c r="J143" t="s">
        <v>468</v>
      </c>
      <c r="K143">
        <v>0</v>
      </c>
      <c r="L143">
        <v>0.1257155698946095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4.3975373790677216E-3</v>
      </c>
      <c r="T143">
        <v>24</v>
      </c>
      <c r="U143">
        <v>1249.462599766664</v>
      </c>
      <c r="W143">
        <v>1</v>
      </c>
      <c r="X14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1"/>
  <sheetViews>
    <sheetView workbookViewId="0">
      <selection activeCell="H18" sqref="H18"/>
    </sheetView>
  </sheetViews>
  <sheetFormatPr defaultRowHeight="15" x14ac:dyDescent="0.25"/>
  <cols>
    <col min="1" max="1" width="17.85546875" bestFit="1" customWidth="1"/>
    <col min="2" max="2" width="10.85546875" bestFit="1" customWidth="1"/>
    <col min="3" max="3" width="19.5703125" bestFit="1" customWidth="1"/>
    <col min="4" max="4" width="6.28515625" bestFit="1" customWidth="1"/>
    <col min="8" max="8" width="16.7109375" bestFit="1" customWidth="1"/>
    <col min="9" max="9" width="99.28515625" bestFit="1" customWidth="1"/>
    <col min="11" max="11" width="48" bestFit="1" customWidth="1"/>
    <col min="18" max="18" width="16.7109375" bestFit="1" customWidth="1"/>
  </cols>
  <sheetData>
    <row r="1" spans="1:9" x14ac:dyDescent="0.25">
      <c r="A1" t="s">
        <v>469</v>
      </c>
      <c r="B1" t="str">
        <f t="array" ref="B1:C141">_xlfn.UNIQUE(_xlfn._xlws.FILTER('TRA RESID'!$H:$I,'TRA RESID'!$H:$H&lt;&gt;""))</f>
        <v>Input Label</v>
      </c>
      <c r="C1" t="str">
        <v>Output Label</v>
      </c>
      <c r="D1" t="s">
        <v>470</v>
      </c>
      <c r="G1" t="s">
        <v>469</v>
      </c>
      <c r="H1" t="str">
        <f t="array" ref="H1:H21">_xlfn.UNIQUE(_xlfn._xlws.FILTER('TRA RESID'!$I:$I,'TRA RESID'!$I:$I&lt;&gt;""))</f>
        <v>Output Label</v>
      </c>
    </row>
    <row r="2" spans="1:9" x14ac:dyDescent="0.25">
      <c r="A2">
        <f>COUNTA($B$2:B2)</f>
        <v>1</v>
      </c>
      <c r="B2" t="str">
        <v>TRAGSL</v>
      </c>
      <c r="C2" t="str">
        <v>TRAPASCARDMD</v>
      </c>
      <c r="D2">
        <f t="array" ref="D2">COUNTA(_xlfn.UNIQUE(_xlfn._xlws.FILTER('TRA TECH'!$H:$H,('TRA TECH'!$I:$I=C2)*('TRA TECH'!$M:$M=1))))</f>
        <v>9</v>
      </c>
      <c r="G2">
        <f>COUNTA($H$2:H2)</f>
        <v>1</v>
      </c>
      <c r="H2" t="str">
        <v>TRAPASCARDMD</v>
      </c>
      <c r="I2">
        <f t="array" ref="I2">COUNTA(_xlfn.UNIQUE(_xlfn._xlws.FILTER('TRA RESID'!$F:$F,('TRA RESID'!$I:$I=$H2)*('TRA RESID'!$R:$R&lt;&gt;0))))</f>
        <v>3</v>
      </c>
    </row>
    <row r="3" spans="1:9" x14ac:dyDescent="0.25">
      <c r="A3">
        <f>COUNTA($B$2:B3)</f>
        <v>2</v>
      </c>
      <c r="B3" t="str">
        <v>TRAETH</v>
      </c>
      <c r="C3" t="str">
        <v>TRAPASCARDMD</v>
      </c>
      <c r="D3">
        <f t="array" ref="D3">COUNTA(_xlfn.UNIQUE(_xlfn._xlws.FILTER('TRA TECH'!$H:$H,('TRA TECH'!$I:$I=C3)*('TRA TECH'!$M:$M=1))))</f>
        <v>9</v>
      </c>
      <c r="G3">
        <f>COUNTA($H$2:H3)</f>
        <v>2</v>
      </c>
      <c r="H3" t="str">
        <v>TRAPASLDTDMD</v>
      </c>
      <c r="I3">
        <f t="array" ref="I3">COUNTA(_xlfn.UNIQUE(_xlfn._xlws.FILTER('TRA RESID'!$F:$F,('TRA RESID'!$I:$I=$H3)*('TRA RESID'!$R:$R&lt;&gt;0))))</f>
        <v>1</v>
      </c>
    </row>
    <row r="4" spans="1:9" x14ac:dyDescent="0.25">
      <c r="A4">
        <f>COUNTA($B$2:B4)</f>
        <v>3</v>
      </c>
      <c r="B4" t="str">
        <v>TRADSL</v>
      </c>
      <c r="C4" t="str">
        <v>TRAPASCARDMD</v>
      </c>
      <c r="D4">
        <f t="array" ref="D4">COUNTA(_xlfn.UNIQUE(_xlfn._xlws.FILTER('TRA TECH'!$H:$H,('TRA TECH'!$I:$I=C4)*('TRA TECH'!$M:$M=1))))</f>
        <v>9</v>
      </c>
      <c r="G4">
        <f>COUNTA($H$2:H4)</f>
        <v>3</v>
      </c>
      <c r="H4" t="str">
        <v>TRAPASMOTDMD</v>
      </c>
      <c r="I4">
        <f t="array" ref="I4">COUNTA(_xlfn.UNIQUE(_xlfn._xlws.FILTER('TRA RESID'!$F:$F,('TRA RESID'!$I:$I=$H4)*('TRA RESID'!$R:$R&lt;&gt;0))))</f>
        <v>1</v>
      </c>
    </row>
    <row r="5" spans="1:9" x14ac:dyDescent="0.25">
      <c r="A5">
        <f>COUNTA($B$2:B5)</f>
        <v>4</v>
      </c>
      <c r="B5" t="str">
        <v>TRARDS</v>
      </c>
      <c r="C5" t="str">
        <v>TRAPASCARDMD</v>
      </c>
      <c r="D5">
        <f t="array" ref="D5">COUNTA(_xlfn.UNIQUE(_xlfn._xlws.FILTER('TRA TECH'!$H:$H,('TRA TECH'!$I:$I=C5)*('TRA TECH'!$M:$M=1))))</f>
        <v>9</v>
      </c>
      <c r="G5">
        <f>COUNTA($H$2:H5)</f>
        <v>4</v>
      </c>
      <c r="H5" t="str">
        <v>TRAFRECLTDMD</v>
      </c>
      <c r="I5">
        <f t="array" ref="I5">COUNTA(_xlfn.UNIQUE(_xlfn._xlws.FILTER('TRA RESID'!$F:$F,('TRA RESID'!$I:$I=$H5)*('TRA RESID'!$R:$R&lt;&gt;0))))</f>
        <v>4</v>
      </c>
    </row>
    <row r="6" spans="1:9" x14ac:dyDescent="0.25">
      <c r="A6">
        <f>COUNTA($B$2:B6)</f>
        <v>5</v>
      </c>
      <c r="B6" t="str">
        <v>TRABDS</v>
      </c>
      <c r="C6" t="str">
        <v>TRAPASCARDMD</v>
      </c>
      <c r="D6">
        <f t="array" ref="D6">COUNTA(_xlfn.UNIQUE(_xlfn._xlws.FILTER('TRA TECH'!$H:$H,('TRA TECH'!$I:$I=C6)*('TRA TECH'!$M:$M=1))))</f>
        <v>9</v>
      </c>
      <c r="G6">
        <f>COUNTA($H$2:H6)</f>
        <v>5</v>
      </c>
      <c r="H6" t="str">
        <v>TRAFRERFTDMD</v>
      </c>
      <c r="I6">
        <f t="array" ref="I6">COUNTA(_xlfn.UNIQUE(_xlfn._xlws.FILTER('TRA RESID'!$F:$F,('TRA RESID'!$I:$I=$H6)*('TRA RESID'!$R:$R&lt;&gt;0))))</f>
        <v>3</v>
      </c>
    </row>
    <row r="7" spans="1:9" x14ac:dyDescent="0.25">
      <c r="A7">
        <f>COUNTA($B$2:B7)</f>
        <v>6</v>
      </c>
      <c r="B7" t="str">
        <v>TRACNG</v>
      </c>
      <c r="C7" t="str">
        <v>TRAPASCARDMD</v>
      </c>
      <c r="D7">
        <f t="array" ref="D7">COUNTA(_xlfn.UNIQUE(_xlfn._xlws.FILTER('TRA TECH'!$H:$H,('TRA TECH'!$I:$I=C7)*('TRA TECH'!$M:$M=1))))</f>
        <v>9</v>
      </c>
      <c r="G7">
        <f>COUNTA($H$2:H7)</f>
        <v>6</v>
      </c>
      <c r="H7" t="str">
        <v>TRAFRESLHDMD</v>
      </c>
      <c r="I7">
        <f t="array" ref="I7">COUNTA(_xlfn.UNIQUE(_xlfn._xlws.FILTER('TRA RESID'!$F:$F,('TRA RESID'!$I:$I=$H7)*('TRA RESID'!$R:$R&lt;&gt;0))))</f>
        <v>1</v>
      </c>
    </row>
    <row r="8" spans="1:9" x14ac:dyDescent="0.25">
      <c r="A8">
        <f>COUNTA($B$2:B8)</f>
        <v>7</v>
      </c>
      <c r="B8" t="str">
        <v>TRARNG</v>
      </c>
      <c r="C8" t="str">
        <v>TRAPASCARDMD</v>
      </c>
      <c r="D8">
        <f t="array" ref="D8">COUNTA(_xlfn.UNIQUE(_xlfn._xlws.FILTER('TRA TECH'!$H:$H,('TRA TECH'!$I:$I=C8)*('TRA TECH'!$M:$M=1))))</f>
        <v>9</v>
      </c>
      <c r="G8">
        <f>COUNTA($H$2:H8)</f>
        <v>7</v>
      </c>
      <c r="H8" t="str">
        <v>TRAFRESSHDMD</v>
      </c>
      <c r="I8">
        <f t="array" ref="I8">COUNTA(_xlfn.UNIQUE(_xlfn._xlws.FILTER('TRA RESID'!$F:$F,('TRA RESID'!$I:$I=$H8)*('TRA RESID'!$R:$R&lt;&gt;0))))</f>
        <v>1</v>
      </c>
    </row>
    <row r="9" spans="1:9" x14ac:dyDescent="0.25">
      <c r="A9">
        <f>COUNTA($B$2:B9)</f>
        <v>8</v>
      </c>
      <c r="B9" t="str">
        <v>TRABAT</v>
      </c>
      <c r="C9" t="str">
        <v>TRAPASCARDMD</v>
      </c>
      <c r="D9">
        <f t="array" ref="D9">COUNTA(_xlfn.UNIQUE(_xlfn._xlws.FILTER('TRA TECH'!$H:$H,('TRA TECH'!$I:$I=C9)*('TRA TECH'!$M:$M=1))))</f>
        <v>9</v>
      </c>
      <c r="G9">
        <f>COUNTA($H$2:H9)</f>
        <v>8</v>
      </c>
      <c r="H9" t="str">
        <v>TRAFRECLHDMD</v>
      </c>
      <c r="I9">
        <f t="array" ref="I9">COUNTA(_xlfn.UNIQUE(_xlfn._xlws.FILTER('TRA RESID'!$F:$F,('TRA RESID'!$I:$I=$H9)*('TRA RESID'!$R:$R&lt;&gt;0))))</f>
        <v>3</v>
      </c>
    </row>
    <row r="10" spans="1:9" x14ac:dyDescent="0.25">
      <c r="A10">
        <f>COUNTA($B$2:B10)</f>
        <v>9</v>
      </c>
      <c r="B10" t="str">
        <v>TRAH2G</v>
      </c>
      <c r="C10" t="str">
        <v>TRAPASCARDMD</v>
      </c>
      <c r="D10">
        <f t="array" ref="D10">COUNTA(_xlfn.UNIQUE(_xlfn._xlws.FILTER('TRA TECH'!$H:$H,('TRA TECH'!$I:$I=C10)*('TRA TECH'!$M:$M=1))))</f>
        <v>9</v>
      </c>
      <c r="G10">
        <f>COUNTA($H$2:H10)</f>
        <v>9</v>
      </c>
      <c r="H10" t="str">
        <v>TRAFRECSHDMD</v>
      </c>
      <c r="I10">
        <f t="array" ref="I10">COUNTA(_xlfn.UNIQUE(_xlfn._xlws.FILTER('TRA RESID'!$F:$F,('TRA RESID'!$I:$I=$H10)*('TRA RESID'!$R:$R&lt;&gt;0))))</f>
        <v>1</v>
      </c>
    </row>
    <row r="11" spans="1:9" x14ac:dyDescent="0.25">
      <c r="A11">
        <f>COUNTA($B$2:B11)</f>
        <v>10</v>
      </c>
      <c r="B11" t="str">
        <v>TRAGSL</v>
      </c>
      <c r="C11" t="str">
        <v>TRAPASLDTDMD</v>
      </c>
      <c r="D11">
        <f t="array" ref="D11">COUNTA(_xlfn.UNIQUE(_xlfn._xlws.FILTER('TRA TECH'!$H:$H,('TRA TECH'!$I:$I=C11)*('TRA TECH'!$M:$M=1))))</f>
        <v>9</v>
      </c>
      <c r="G11">
        <f>COUNTA($H$2:H11)</f>
        <v>10</v>
      </c>
      <c r="H11" t="str">
        <v>TRAPASTBUDMD</v>
      </c>
      <c r="I11">
        <f t="array" ref="I11">COUNTA(_xlfn.UNIQUE(_xlfn._xlws.FILTER('TRA RESID'!$F:$F,('TRA RESID'!$I:$I=$H11)*('TRA RESID'!$R:$R&lt;&gt;0))))</f>
        <v>2</v>
      </c>
    </row>
    <row r="12" spans="1:9" x14ac:dyDescent="0.25">
      <c r="A12">
        <f>COUNTA($B$2:B12)</f>
        <v>11</v>
      </c>
      <c r="B12" t="str">
        <v>TRAETH</v>
      </c>
      <c r="C12" t="str">
        <v>TRAPASLDTDMD</v>
      </c>
      <c r="D12">
        <f t="array" ref="D12">COUNTA(_xlfn.UNIQUE(_xlfn._xlws.FILTER('TRA TECH'!$H:$H,('TRA TECH'!$I:$I=C12)*('TRA TECH'!$M:$M=1))))</f>
        <v>9</v>
      </c>
      <c r="G12">
        <f>COUNTA($H$2:H12)</f>
        <v>11</v>
      </c>
      <c r="H12" t="str">
        <v>TRAPASSBUDMD</v>
      </c>
      <c r="I12">
        <f t="array" ref="I12">COUNTA(_xlfn.UNIQUE(_xlfn._xlws.FILTER('TRA RESID'!$F:$F,('TRA RESID'!$I:$I=$H12)*('TRA RESID'!$R:$R&lt;&gt;0))))</f>
        <v>2</v>
      </c>
    </row>
    <row r="13" spans="1:9" x14ac:dyDescent="0.25">
      <c r="A13">
        <f>COUNTA($B$2:B13)</f>
        <v>12</v>
      </c>
      <c r="B13" t="str">
        <v>TRADSL</v>
      </c>
      <c r="C13" t="str">
        <v>TRAPASLDTDMD</v>
      </c>
      <c r="D13">
        <f t="array" ref="D13">COUNTA(_xlfn.UNIQUE(_xlfn._xlws.FILTER('TRA TECH'!$H:$H,('TRA TECH'!$I:$I=C13)*('TRA TECH'!$M:$M=1))))</f>
        <v>9</v>
      </c>
      <c r="G13">
        <f>COUNTA($H$2:H13)</f>
        <v>12</v>
      </c>
      <c r="H13" t="str">
        <v>TRAPASOBUDMD</v>
      </c>
      <c r="I13">
        <f t="array" ref="I13">COUNTA(_xlfn.UNIQUE(_xlfn._xlws.FILTER('TRA RESID'!$F:$F,('TRA RESID'!$I:$I=$H13)*('TRA RESID'!$R:$R&lt;&gt;0))))</f>
        <v>1</v>
      </c>
    </row>
    <row r="14" spans="1:9" x14ac:dyDescent="0.25">
      <c r="A14">
        <f>COUNTA($B$2:B14)</f>
        <v>13</v>
      </c>
      <c r="B14" t="str">
        <v>TRARDS</v>
      </c>
      <c r="C14" t="str">
        <v>TRAPASLDTDMD</v>
      </c>
      <c r="D14">
        <f t="array" ref="D14">COUNTA(_xlfn.UNIQUE(_xlfn._xlws.FILTER('TRA TECH'!$H:$H,('TRA TECH'!$I:$I=C14)*('TRA TECH'!$M:$M=1))))</f>
        <v>9</v>
      </c>
      <c r="G14">
        <f>COUNTA($H$2:H14)</f>
        <v>13</v>
      </c>
      <c r="H14" t="str">
        <v>TRAPASRAIDMD</v>
      </c>
      <c r="I14">
        <f t="array" ref="I14">COUNTA(_xlfn.UNIQUE(_xlfn._xlws.FILTER('TRA RESID'!$F:$F,('TRA RESID'!$I:$I=$H14)*('TRA RESID'!$R:$R&lt;&gt;0))))</f>
        <v>2</v>
      </c>
    </row>
    <row r="15" spans="1:9" x14ac:dyDescent="0.25">
      <c r="A15">
        <f>COUNTA($B$2:B15)</f>
        <v>14</v>
      </c>
      <c r="B15" t="str">
        <v>TRABDS</v>
      </c>
      <c r="C15" t="str">
        <v>TRAPASLDTDMD</v>
      </c>
      <c r="D15">
        <f t="array" ref="D15">COUNTA(_xlfn.UNIQUE(_xlfn._xlws.FILTER('TRA TECH'!$H:$H,('TRA TECH'!$I:$I=C15)*('TRA TECH'!$M:$M=1))))</f>
        <v>9</v>
      </c>
      <c r="G15">
        <f>COUNTA($H$2:H15)</f>
        <v>14</v>
      </c>
      <c r="H15" t="str">
        <v>TRAPASTRMDMD</v>
      </c>
      <c r="I15">
        <f t="array" ref="I15">COUNTA(_xlfn.UNIQUE(_xlfn._xlws.FILTER('TRA RESID'!$F:$F,('TRA RESID'!$I:$I=$H15)*('TRA RESID'!$R:$R&lt;&gt;0))))</f>
        <v>1</v>
      </c>
    </row>
    <row r="16" spans="1:9" x14ac:dyDescent="0.25">
      <c r="A16">
        <f>COUNTA($B$2:B16)</f>
        <v>15</v>
      </c>
      <c r="B16" t="str">
        <v>TRACNG</v>
      </c>
      <c r="C16" t="str">
        <v>TRAPASLDTDMD</v>
      </c>
      <c r="D16">
        <f t="array" ref="D16">COUNTA(_xlfn.UNIQUE(_xlfn._xlws.FILTER('TRA TECH'!$H:$H,('TRA TECH'!$I:$I=C16)*('TRA TECH'!$M:$M=1))))</f>
        <v>9</v>
      </c>
      <c r="G16">
        <f>COUNTA($H$2:H16)</f>
        <v>15</v>
      </c>
      <c r="H16" t="str">
        <v>TRAPASSUBDMD</v>
      </c>
      <c r="I16">
        <f t="array" ref="I16">COUNTA(_xlfn.UNIQUE(_xlfn._xlws.FILTER('TRA RESID'!$F:$F,('TRA RESID'!$I:$I=$H16)*('TRA RESID'!$R:$R&lt;&gt;0))))</f>
        <v>1</v>
      </c>
    </row>
    <row r="17" spans="1:9" x14ac:dyDescent="0.25">
      <c r="A17">
        <f>COUNTA($B$2:B17)</f>
        <v>16</v>
      </c>
      <c r="B17" t="str">
        <v>TRARNG</v>
      </c>
      <c r="C17" t="str">
        <v>TRAPASLDTDMD</v>
      </c>
      <c r="D17">
        <f t="array" ref="D17">COUNTA(_xlfn.UNIQUE(_xlfn._xlws.FILTER('TRA TECH'!$H:$H,('TRA TECH'!$I:$I=C17)*('TRA TECH'!$M:$M=1))))</f>
        <v>9</v>
      </c>
      <c r="G17">
        <f>COUNTA($H$2:H17)</f>
        <v>16</v>
      </c>
      <c r="H17" t="str">
        <v>TRAPASBICDMD</v>
      </c>
      <c r="I17">
        <f t="array" ref="I17">COUNTA(_xlfn.UNIQUE(_xlfn._xlws.FILTER('TRA RESID'!$F:$F,('TRA RESID'!$I:$I=$H17)*('TRA RESID'!$R:$R&lt;&gt;0))))</f>
        <v>1</v>
      </c>
    </row>
    <row r="18" spans="1:9" x14ac:dyDescent="0.25">
      <c r="A18">
        <f>COUNTA($B$2:B18)</f>
        <v>17</v>
      </c>
      <c r="B18" t="str">
        <v>TRABAT</v>
      </c>
      <c r="C18" t="str">
        <v>TRAPASLDTDMD</v>
      </c>
      <c r="D18">
        <f t="array" ref="D18">COUNTA(_xlfn.UNIQUE(_xlfn._xlws.FILTER('TRA TECH'!$H:$H,('TRA TECH'!$I:$I=C18)*('TRA TECH'!$M:$M=1))))</f>
        <v>9</v>
      </c>
      <c r="G18">
        <f>COUNTA($H$2:H18)</f>
        <v>17</v>
      </c>
      <c r="H18" t="str">
        <v>TRAPASWALDMD</v>
      </c>
      <c r="I18">
        <f t="array" ref="I18">COUNTA(_xlfn.UNIQUE(_xlfn._xlws.FILTER('TRA RESID'!$F:$F,('TRA RESID'!$I:$I=$H18)*('TRA RESID'!$R:$R&lt;&gt;0))))</f>
        <v>1</v>
      </c>
    </row>
    <row r="19" spans="1:9" x14ac:dyDescent="0.25">
      <c r="A19">
        <f>COUNTA($B$2:B19)</f>
        <v>18</v>
      </c>
      <c r="B19" t="str">
        <v>TRAH2G</v>
      </c>
      <c r="C19" t="str">
        <v>TRAPASLDTDMD</v>
      </c>
      <c r="D19">
        <f t="array" ref="D19">COUNTA(_xlfn.UNIQUE(_xlfn._xlws.FILTER('TRA TECH'!$H:$H,('TRA TECH'!$I:$I=C19)*('TRA TECH'!$M:$M=1))))</f>
        <v>9</v>
      </c>
      <c r="G19">
        <f>COUNTA($H$2:H19)</f>
        <v>18</v>
      </c>
      <c r="H19" t="str">
        <v>TRAOTHOFRDMD</v>
      </c>
      <c r="I19">
        <f t="array" ref="I19">COUNTA(_xlfn.UNIQUE(_xlfn._xlws.FILTER('TRA RESID'!$F:$F,('TRA RESID'!$I:$I=$H19)*('TRA RESID'!$R:$R&lt;&gt;0))))</f>
        <v>1</v>
      </c>
    </row>
    <row r="20" spans="1:9" x14ac:dyDescent="0.25">
      <c r="A20">
        <f>COUNTA($B$2:B20)</f>
        <v>19</v>
      </c>
      <c r="B20" t="str">
        <v>TRAGSL</v>
      </c>
      <c r="C20" t="str">
        <v>TRAPASMOTDMD</v>
      </c>
      <c r="D20">
        <f t="array" ref="D20">COUNTA(_xlfn.UNIQUE(_xlfn._xlws.FILTER('TRA TECH'!$H:$H,('TRA TECH'!$I:$I=C20)*('TRA TECH'!$M:$M=1))))</f>
        <v>9</v>
      </c>
      <c r="G20">
        <f>COUNTA($H$2:H20)</f>
        <v>19</v>
      </c>
      <c r="H20" t="str">
        <v>TRAOTHWATDMD</v>
      </c>
      <c r="I20">
        <f t="array" ref="I20">COUNTA(_xlfn.UNIQUE(_xlfn._xlws.FILTER('TRA RESID'!$F:$F,('TRA RESID'!$I:$I=$H20)*('TRA RESID'!$R:$R&lt;&gt;0))))</f>
        <v>1</v>
      </c>
    </row>
    <row r="21" spans="1:9" x14ac:dyDescent="0.25">
      <c r="A21">
        <f>COUNTA($B$2:B21)</f>
        <v>20</v>
      </c>
      <c r="B21" t="str">
        <v>TRAETH</v>
      </c>
      <c r="C21" t="str">
        <v>TRAPASMOTDMD</v>
      </c>
      <c r="D21">
        <f t="array" ref="D21">COUNTA(_xlfn.UNIQUE(_xlfn._xlws.FILTER('TRA TECH'!$H:$H,('TRA TECH'!$I:$I=C21)*('TRA TECH'!$M:$M=1))))</f>
        <v>9</v>
      </c>
      <c r="G21">
        <f>COUNTA($H$2:H21)</f>
        <v>20</v>
      </c>
      <c r="H21" t="str">
        <v>TRAOTHAIRDMD</v>
      </c>
      <c r="I21">
        <f t="array" ref="I21">COUNTA(_xlfn.UNIQUE(_xlfn._xlws.FILTER('TRA RESID'!$F:$F,('TRA RESID'!$I:$I=$H21)*('TRA RESID'!$R:$R&lt;&gt;0))))</f>
        <v>1</v>
      </c>
    </row>
    <row r="22" spans="1:9" x14ac:dyDescent="0.25">
      <c r="A22">
        <f>COUNTA($B$2:B22)</f>
        <v>21</v>
      </c>
      <c r="B22" t="str">
        <v>TRADSL</v>
      </c>
      <c r="C22" t="str">
        <v>TRAPASMOTDMD</v>
      </c>
      <c r="D22">
        <f t="array" ref="D22">COUNTA(_xlfn.UNIQUE(_xlfn._xlws.FILTER('TRA TECH'!$H:$H,('TRA TECH'!$I:$I=C22)*('TRA TECH'!$M:$M=1))))</f>
        <v>9</v>
      </c>
    </row>
    <row r="23" spans="1:9" x14ac:dyDescent="0.25">
      <c r="A23">
        <f>COUNTA($B$2:B23)</f>
        <v>22</v>
      </c>
      <c r="B23" t="str">
        <v>TRARDS</v>
      </c>
      <c r="C23" t="str">
        <v>TRAPASMOTDMD</v>
      </c>
      <c r="D23">
        <f t="array" ref="D23">COUNTA(_xlfn.UNIQUE(_xlfn._xlws.FILTER('TRA TECH'!$H:$H,('TRA TECH'!$I:$I=C23)*('TRA TECH'!$M:$M=1))))</f>
        <v>9</v>
      </c>
    </row>
    <row r="24" spans="1:9" x14ac:dyDescent="0.25">
      <c r="A24">
        <f>COUNTA($B$2:B24)</f>
        <v>23</v>
      </c>
      <c r="B24" t="str">
        <v>TRABDS</v>
      </c>
      <c r="C24" t="str">
        <v>TRAPASMOTDMD</v>
      </c>
      <c r="D24">
        <f t="array" ref="D24">COUNTA(_xlfn.UNIQUE(_xlfn._xlws.FILTER('TRA TECH'!$H:$H,('TRA TECH'!$I:$I=C24)*('TRA TECH'!$M:$M=1))))</f>
        <v>9</v>
      </c>
    </row>
    <row r="25" spans="1:9" x14ac:dyDescent="0.25">
      <c r="A25">
        <f>COUNTA($B$2:B25)</f>
        <v>24</v>
      </c>
      <c r="B25" t="str">
        <v>TRACNG</v>
      </c>
      <c r="C25" t="str">
        <v>TRAPASMOTDMD</v>
      </c>
      <c r="D25">
        <f t="array" ref="D25">COUNTA(_xlfn.UNIQUE(_xlfn._xlws.FILTER('TRA TECH'!$H:$H,('TRA TECH'!$I:$I=C25)*('TRA TECH'!$M:$M=1))))</f>
        <v>9</v>
      </c>
    </row>
    <row r="26" spans="1:9" x14ac:dyDescent="0.25">
      <c r="A26">
        <f>COUNTA($B$2:B26)</f>
        <v>25</v>
      </c>
      <c r="B26" t="str">
        <v>TRARNG</v>
      </c>
      <c r="C26" t="str">
        <v>TRAPASMOTDMD</v>
      </c>
      <c r="D26">
        <f t="array" ref="D26">COUNTA(_xlfn.UNIQUE(_xlfn._xlws.FILTER('TRA TECH'!$H:$H,('TRA TECH'!$I:$I=C26)*('TRA TECH'!$M:$M=1))))</f>
        <v>9</v>
      </c>
    </row>
    <row r="27" spans="1:9" x14ac:dyDescent="0.25">
      <c r="A27">
        <f>COUNTA($B$2:B27)</f>
        <v>26</v>
      </c>
      <c r="B27" t="str">
        <v>TRABAT</v>
      </c>
      <c r="C27" t="str">
        <v>TRAPASMOTDMD</v>
      </c>
      <c r="D27">
        <f t="array" ref="D27">COUNTA(_xlfn.UNIQUE(_xlfn._xlws.FILTER('TRA TECH'!$H:$H,('TRA TECH'!$I:$I=C27)*('TRA TECH'!$M:$M=1))))</f>
        <v>9</v>
      </c>
    </row>
    <row r="28" spans="1:9" x14ac:dyDescent="0.25">
      <c r="A28">
        <f>COUNTA($B$2:B28)</f>
        <v>27</v>
      </c>
      <c r="B28" t="str">
        <v>TRAH2G</v>
      </c>
      <c r="C28" t="str">
        <v>TRAPASMOTDMD</v>
      </c>
      <c r="D28">
        <f t="array" ref="D28">COUNTA(_xlfn.UNIQUE(_xlfn._xlws.FILTER('TRA TECH'!$H:$H,('TRA TECH'!$I:$I=C28)*('TRA TECH'!$M:$M=1))))</f>
        <v>9</v>
      </c>
    </row>
    <row r="29" spans="1:9" x14ac:dyDescent="0.25">
      <c r="A29">
        <f>COUNTA($B$2:B29)</f>
        <v>28</v>
      </c>
      <c r="B29" t="str">
        <v>TRAGSL</v>
      </c>
      <c r="C29" t="str">
        <v>TRAFRECLTDMD</v>
      </c>
      <c r="D29">
        <f t="array" ref="D29">COUNTA(_xlfn.UNIQUE(_xlfn._xlws.FILTER('TRA TECH'!$H:$H,('TRA TECH'!$I:$I=C29)*('TRA TECH'!$M:$M=1))))</f>
        <v>9</v>
      </c>
    </row>
    <row r="30" spans="1:9" x14ac:dyDescent="0.25">
      <c r="A30">
        <f>COUNTA($B$2:B30)</f>
        <v>29</v>
      </c>
      <c r="B30" t="str">
        <v>TRAETH</v>
      </c>
      <c r="C30" t="str">
        <v>TRAFRECLTDMD</v>
      </c>
      <c r="D30">
        <f t="array" ref="D30">COUNTA(_xlfn.UNIQUE(_xlfn._xlws.FILTER('TRA TECH'!$H:$H,('TRA TECH'!$I:$I=C30)*('TRA TECH'!$M:$M=1))))</f>
        <v>9</v>
      </c>
    </row>
    <row r="31" spans="1:9" x14ac:dyDescent="0.25">
      <c r="A31">
        <f>COUNTA($B$2:B31)</f>
        <v>30</v>
      </c>
      <c r="B31" t="str">
        <v>TRADSL</v>
      </c>
      <c r="C31" t="str">
        <v>TRAFRECLTDMD</v>
      </c>
      <c r="D31">
        <f t="array" ref="D31">COUNTA(_xlfn.UNIQUE(_xlfn._xlws.FILTER('TRA TECH'!$H:$H,('TRA TECH'!$I:$I=C31)*('TRA TECH'!$M:$M=1))))</f>
        <v>9</v>
      </c>
    </row>
    <row r="32" spans="1:9" x14ac:dyDescent="0.25">
      <c r="A32">
        <f>COUNTA($B$2:B32)</f>
        <v>31</v>
      </c>
      <c r="B32" t="str">
        <v>TRARDS</v>
      </c>
      <c r="C32" t="str">
        <v>TRAFRECLTDMD</v>
      </c>
      <c r="D32">
        <f t="array" ref="D32">COUNTA(_xlfn.UNIQUE(_xlfn._xlws.FILTER('TRA TECH'!$H:$H,('TRA TECH'!$I:$I=C32)*('TRA TECH'!$M:$M=1))))</f>
        <v>9</v>
      </c>
    </row>
    <row r="33" spans="1:4" x14ac:dyDescent="0.25">
      <c r="A33">
        <f>COUNTA($B$2:B33)</f>
        <v>32</v>
      </c>
      <c r="B33" t="str">
        <v>TRABDS</v>
      </c>
      <c r="C33" t="str">
        <v>TRAFRECLTDMD</v>
      </c>
      <c r="D33">
        <f t="array" ref="D33">COUNTA(_xlfn.UNIQUE(_xlfn._xlws.FILTER('TRA TECH'!$H:$H,('TRA TECH'!$I:$I=C33)*('TRA TECH'!$M:$M=1))))</f>
        <v>9</v>
      </c>
    </row>
    <row r="34" spans="1:4" x14ac:dyDescent="0.25">
      <c r="A34">
        <f>COUNTA($B$2:B34)</f>
        <v>33</v>
      </c>
      <c r="B34" t="str">
        <v>TRACNG</v>
      </c>
      <c r="C34" t="str">
        <v>TRAFRECLTDMD</v>
      </c>
      <c r="D34">
        <f t="array" ref="D34">COUNTA(_xlfn.UNIQUE(_xlfn._xlws.FILTER('TRA TECH'!$H:$H,('TRA TECH'!$I:$I=C34)*('TRA TECH'!$M:$M=1))))</f>
        <v>9</v>
      </c>
    </row>
    <row r="35" spans="1:4" x14ac:dyDescent="0.25">
      <c r="A35">
        <f>COUNTA($B$2:B35)</f>
        <v>34</v>
      </c>
      <c r="B35" t="str">
        <v>TRARNG</v>
      </c>
      <c r="C35" t="str">
        <v>TRAFRECLTDMD</v>
      </c>
      <c r="D35">
        <f t="array" ref="D35">COUNTA(_xlfn.UNIQUE(_xlfn._xlws.FILTER('TRA TECH'!$H:$H,('TRA TECH'!$I:$I=C35)*('TRA TECH'!$M:$M=1))))</f>
        <v>9</v>
      </c>
    </row>
    <row r="36" spans="1:4" x14ac:dyDescent="0.25">
      <c r="A36">
        <f>COUNTA($B$2:B36)</f>
        <v>35</v>
      </c>
      <c r="B36" t="str">
        <v>TRABAT</v>
      </c>
      <c r="C36" t="str">
        <v>TRAFRECLTDMD</v>
      </c>
      <c r="D36">
        <f t="array" ref="D36">COUNTA(_xlfn.UNIQUE(_xlfn._xlws.FILTER('TRA TECH'!$H:$H,('TRA TECH'!$I:$I=C36)*('TRA TECH'!$M:$M=1))))</f>
        <v>9</v>
      </c>
    </row>
    <row r="37" spans="1:4" x14ac:dyDescent="0.25">
      <c r="A37">
        <f>COUNTA($B$2:B37)</f>
        <v>36</v>
      </c>
      <c r="B37" t="str">
        <v>TRAH2G</v>
      </c>
      <c r="C37" t="str">
        <v>TRAFRECLTDMD</v>
      </c>
      <c r="D37">
        <f t="array" ref="D37">COUNTA(_xlfn.UNIQUE(_xlfn._xlws.FILTER('TRA TECH'!$H:$H,('TRA TECH'!$I:$I=C37)*('TRA TECH'!$M:$M=1))))</f>
        <v>9</v>
      </c>
    </row>
    <row r="38" spans="1:4" x14ac:dyDescent="0.25">
      <c r="A38">
        <f>COUNTA($B$2:B38)</f>
        <v>37</v>
      </c>
      <c r="B38" t="str">
        <v>TRAGSL</v>
      </c>
      <c r="C38" t="str">
        <v>TRAFRERFTDMD</v>
      </c>
      <c r="D38">
        <f t="array" ref="D38">COUNTA(_xlfn.UNIQUE(_xlfn._xlws.FILTER('TRA TECH'!$H:$H,('TRA TECH'!$I:$I=C38)*('TRA TECH'!$M:$M=1))))</f>
        <v>5</v>
      </c>
    </row>
    <row r="39" spans="1:4" x14ac:dyDescent="0.25">
      <c r="A39">
        <f>COUNTA($B$2:B39)</f>
        <v>38</v>
      </c>
      <c r="B39" t="str">
        <v>TRAETH</v>
      </c>
      <c r="C39" t="str">
        <v>TRAFRERFTDMD</v>
      </c>
      <c r="D39">
        <f t="array" ref="D39">COUNTA(_xlfn.UNIQUE(_xlfn._xlws.FILTER('TRA TECH'!$H:$H,('TRA TECH'!$I:$I=C39)*('TRA TECH'!$M:$M=1))))</f>
        <v>5</v>
      </c>
    </row>
    <row r="40" spans="1:4" x14ac:dyDescent="0.25">
      <c r="A40">
        <f>COUNTA($B$2:B40)</f>
        <v>39</v>
      </c>
      <c r="B40" t="str">
        <v>TRADSL</v>
      </c>
      <c r="C40" t="str">
        <v>TRAFRERFTDMD</v>
      </c>
      <c r="D40">
        <f t="array" ref="D40">COUNTA(_xlfn.UNIQUE(_xlfn._xlws.FILTER('TRA TECH'!$H:$H,('TRA TECH'!$I:$I=C40)*('TRA TECH'!$M:$M=1))))</f>
        <v>5</v>
      </c>
    </row>
    <row r="41" spans="1:4" x14ac:dyDescent="0.25">
      <c r="A41">
        <f>COUNTA($B$2:B41)</f>
        <v>40</v>
      </c>
      <c r="B41" t="str">
        <v>TRARDS</v>
      </c>
      <c r="C41" t="str">
        <v>TRAFRERFTDMD</v>
      </c>
      <c r="D41">
        <f t="array" ref="D41">COUNTA(_xlfn.UNIQUE(_xlfn._xlws.FILTER('TRA TECH'!$H:$H,('TRA TECH'!$I:$I=C41)*('TRA TECH'!$M:$M=1))))</f>
        <v>5</v>
      </c>
    </row>
    <row r="42" spans="1:4" x14ac:dyDescent="0.25">
      <c r="A42">
        <f>COUNTA($B$2:B42)</f>
        <v>41</v>
      </c>
      <c r="B42" t="str">
        <v>TRABDS</v>
      </c>
      <c r="C42" t="str">
        <v>TRAFRERFTDMD</v>
      </c>
      <c r="D42">
        <f t="array" ref="D42">COUNTA(_xlfn.UNIQUE(_xlfn._xlws.FILTER('TRA TECH'!$H:$H,('TRA TECH'!$I:$I=C42)*('TRA TECH'!$M:$M=1))))</f>
        <v>5</v>
      </c>
    </row>
    <row r="43" spans="1:4" x14ac:dyDescent="0.25">
      <c r="A43">
        <f>COUNTA($B$2:B43)</f>
        <v>42</v>
      </c>
      <c r="B43" t="str">
        <v>TRACNG</v>
      </c>
      <c r="C43" t="str">
        <v>TRAFRERFTDMD</v>
      </c>
      <c r="D43">
        <f t="array" ref="D43">COUNTA(_xlfn.UNIQUE(_xlfn._xlws.FILTER('TRA TECH'!$H:$H,('TRA TECH'!$I:$I=C43)*('TRA TECH'!$M:$M=1))))</f>
        <v>5</v>
      </c>
    </row>
    <row r="44" spans="1:4" x14ac:dyDescent="0.25">
      <c r="A44">
        <f>COUNTA($B$2:B44)</f>
        <v>43</v>
      </c>
      <c r="B44" t="str">
        <v>TRARNG</v>
      </c>
      <c r="C44" t="str">
        <v>TRAFRERFTDMD</v>
      </c>
      <c r="D44">
        <f t="array" ref="D44">COUNTA(_xlfn.UNIQUE(_xlfn._xlws.FILTER('TRA TECH'!$H:$H,('TRA TECH'!$I:$I=C44)*('TRA TECH'!$M:$M=1))))</f>
        <v>5</v>
      </c>
    </row>
    <row r="45" spans="1:4" x14ac:dyDescent="0.25">
      <c r="A45">
        <f>COUNTA($B$2:B45)</f>
        <v>44</v>
      </c>
      <c r="B45" t="str">
        <v>TRABAF</v>
      </c>
      <c r="C45" t="str">
        <v>TRAFRERFTDMD</v>
      </c>
      <c r="D45">
        <f t="array" ref="D45">COUNTA(_xlfn.UNIQUE(_xlfn._xlws.FILTER('TRA TECH'!$H:$H,('TRA TECH'!$I:$I=C45)*('TRA TECH'!$M:$M=1))))</f>
        <v>5</v>
      </c>
    </row>
    <row r="46" spans="1:4" x14ac:dyDescent="0.25">
      <c r="A46">
        <f>COUNTA($B$2:B46)</f>
        <v>45</v>
      </c>
      <c r="B46" t="str">
        <v>TRAH2G</v>
      </c>
      <c r="C46" t="str">
        <v>TRAFRERFTDMD</v>
      </c>
      <c r="D46">
        <f t="array" ref="D46">COUNTA(_xlfn.UNIQUE(_xlfn._xlws.FILTER('TRA TECH'!$H:$H,('TRA TECH'!$I:$I=C46)*('TRA TECH'!$M:$M=1))))</f>
        <v>5</v>
      </c>
    </row>
    <row r="47" spans="1:4" x14ac:dyDescent="0.25">
      <c r="A47">
        <f>COUNTA($B$2:B47)</f>
        <v>46</v>
      </c>
      <c r="B47" t="str">
        <v>TRAGSL</v>
      </c>
      <c r="C47" t="str">
        <v>TRAFRESLHDMD</v>
      </c>
      <c r="D47">
        <f t="array" ref="D47">COUNTA(_xlfn.UNIQUE(_xlfn._xlws.FILTER('TRA TECH'!$H:$H,('TRA TECH'!$I:$I=C47)*('TRA TECH'!$M:$M=1))))</f>
        <v>5</v>
      </c>
    </row>
    <row r="48" spans="1:4" x14ac:dyDescent="0.25">
      <c r="A48">
        <f>COUNTA($B$2:B48)</f>
        <v>47</v>
      </c>
      <c r="B48" t="str">
        <v>TRAETH</v>
      </c>
      <c r="C48" t="str">
        <v>TRAFRESLHDMD</v>
      </c>
      <c r="D48">
        <f t="array" ref="D48">COUNTA(_xlfn.UNIQUE(_xlfn._xlws.FILTER('TRA TECH'!$H:$H,('TRA TECH'!$I:$I=C48)*('TRA TECH'!$M:$M=1))))</f>
        <v>5</v>
      </c>
    </row>
    <row r="49" spans="1:4" x14ac:dyDescent="0.25">
      <c r="A49">
        <f>COUNTA($B$2:B49)</f>
        <v>48</v>
      </c>
      <c r="B49" t="str">
        <v>TRADSL</v>
      </c>
      <c r="C49" t="str">
        <v>TRAFRESLHDMD</v>
      </c>
      <c r="D49">
        <f t="array" ref="D49">COUNTA(_xlfn.UNIQUE(_xlfn._xlws.FILTER('TRA TECH'!$H:$H,('TRA TECH'!$I:$I=C49)*('TRA TECH'!$M:$M=1))))</f>
        <v>5</v>
      </c>
    </row>
    <row r="50" spans="1:4" x14ac:dyDescent="0.25">
      <c r="A50">
        <f>COUNTA($B$2:B50)</f>
        <v>49</v>
      </c>
      <c r="B50" t="str">
        <v>TRARDS</v>
      </c>
      <c r="C50" t="str">
        <v>TRAFRESLHDMD</v>
      </c>
      <c r="D50">
        <f t="array" ref="D50">COUNTA(_xlfn.UNIQUE(_xlfn._xlws.FILTER('TRA TECH'!$H:$H,('TRA TECH'!$I:$I=C50)*('TRA TECH'!$M:$M=1))))</f>
        <v>5</v>
      </c>
    </row>
    <row r="51" spans="1:4" x14ac:dyDescent="0.25">
      <c r="A51">
        <f>COUNTA($B$2:B51)</f>
        <v>50</v>
      </c>
      <c r="B51" t="str">
        <v>TRABDS</v>
      </c>
      <c r="C51" t="str">
        <v>TRAFRESLHDMD</v>
      </c>
      <c r="D51">
        <f t="array" ref="D51">COUNTA(_xlfn.UNIQUE(_xlfn._xlws.FILTER('TRA TECH'!$H:$H,('TRA TECH'!$I:$I=C51)*('TRA TECH'!$M:$M=1))))</f>
        <v>5</v>
      </c>
    </row>
    <row r="52" spans="1:4" x14ac:dyDescent="0.25">
      <c r="A52">
        <f>COUNTA($B$2:B52)</f>
        <v>51</v>
      </c>
      <c r="B52" t="str">
        <v>TRACNG</v>
      </c>
      <c r="C52" t="str">
        <v>TRAFRESLHDMD</v>
      </c>
      <c r="D52">
        <f t="array" ref="D52">COUNTA(_xlfn.UNIQUE(_xlfn._xlws.FILTER('TRA TECH'!$H:$H,('TRA TECH'!$I:$I=C52)*('TRA TECH'!$M:$M=1))))</f>
        <v>5</v>
      </c>
    </row>
    <row r="53" spans="1:4" x14ac:dyDescent="0.25">
      <c r="A53">
        <f>COUNTA($B$2:B53)</f>
        <v>52</v>
      </c>
      <c r="B53" t="str">
        <v>TRARNG</v>
      </c>
      <c r="C53" t="str">
        <v>TRAFRESLHDMD</v>
      </c>
      <c r="D53">
        <f t="array" ref="D53">COUNTA(_xlfn.UNIQUE(_xlfn._xlws.FILTER('TRA TECH'!$H:$H,('TRA TECH'!$I:$I=C53)*('TRA TECH'!$M:$M=1))))</f>
        <v>5</v>
      </c>
    </row>
    <row r="54" spans="1:4" x14ac:dyDescent="0.25">
      <c r="A54">
        <f>COUNTA($B$2:B54)</f>
        <v>53</v>
      </c>
      <c r="B54" t="str">
        <v>TRABAF</v>
      </c>
      <c r="C54" t="str">
        <v>TRAFRESLHDMD</v>
      </c>
      <c r="D54">
        <f t="array" ref="D54">COUNTA(_xlfn.UNIQUE(_xlfn._xlws.FILTER('TRA TECH'!$H:$H,('TRA TECH'!$I:$I=C54)*('TRA TECH'!$M:$M=1))))</f>
        <v>5</v>
      </c>
    </row>
    <row r="55" spans="1:4" x14ac:dyDescent="0.25">
      <c r="A55">
        <f>COUNTA($B$2:B55)</f>
        <v>54</v>
      </c>
      <c r="B55" t="str">
        <v>TRAH2G</v>
      </c>
      <c r="C55" t="str">
        <v>TRAFRESLHDMD</v>
      </c>
      <c r="D55">
        <f t="array" ref="D55">COUNTA(_xlfn.UNIQUE(_xlfn._xlws.FILTER('TRA TECH'!$H:$H,('TRA TECH'!$I:$I=C55)*('TRA TECH'!$M:$M=1))))</f>
        <v>5</v>
      </c>
    </row>
    <row r="56" spans="1:4" x14ac:dyDescent="0.25">
      <c r="A56">
        <f>COUNTA($B$2:B56)</f>
        <v>55</v>
      </c>
      <c r="B56" t="str">
        <v>TRAGSL</v>
      </c>
      <c r="C56" t="str">
        <v>TRAFRESSHDMD</v>
      </c>
      <c r="D56">
        <f t="array" ref="D56">COUNTA(_xlfn.UNIQUE(_xlfn._xlws.FILTER('TRA TECH'!$H:$H,('TRA TECH'!$I:$I=C56)*('TRA TECH'!$M:$M=1))))</f>
        <v>5</v>
      </c>
    </row>
    <row r="57" spans="1:4" x14ac:dyDescent="0.25">
      <c r="A57">
        <f>COUNTA($B$2:B57)</f>
        <v>56</v>
      </c>
      <c r="B57" t="str">
        <v>TRAETH</v>
      </c>
      <c r="C57" t="str">
        <v>TRAFRESSHDMD</v>
      </c>
      <c r="D57">
        <f t="array" ref="D57">COUNTA(_xlfn.UNIQUE(_xlfn._xlws.FILTER('TRA TECH'!$H:$H,('TRA TECH'!$I:$I=C57)*('TRA TECH'!$M:$M=1))))</f>
        <v>5</v>
      </c>
    </row>
    <row r="58" spans="1:4" x14ac:dyDescent="0.25">
      <c r="A58">
        <f>COUNTA($B$2:B58)</f>
        <v>57</v>
      </c>
      <c r="B58" t="str">
        <v>TRADSL</v>
      </c>
      <c r="C58" t="str">
        <v>TRAFRESSHDMD</v>
      </c>
      <c r="D58">
        <f t="array" ref="D58">COUNTA(_xlfn.UNIQUE(_xlfn._xlws.FILTER('TRA TECH'!$H:$H,('TRA TECH'!$I:$I=C58)*('TRA TECH'!$M:$M=1))))</f>
        <v>5</v>
      </c>
    </row>
    <row r="59" spans="1:4" x14ac:dyDescent="0.25">
      <c r="A59">
        <f>COUNTA($B$2:B59)</f>
        <v>58</v>
      </c>
      <c r="B59" t="str">
        <v>TRARDS</v>
      </c>
      <c r="C59" t="str">
        <v>TRAFRESSHDMD</v>
      </c>
      <c r="D59">
        <f t="array" ref="D59">COUNTA(_xlfn.UNIQUE(_xlfn._xlws.FILTER('TRA TECH'!$H:$H,('TRA TECH'!$I:$I=C59)*('TRA TECH'!$M:$M=1))))</f>
        <v>5</v>
      </c>
    </row>
    <row r="60" spans="1:4" x14ac:dyDescent="0.25">
      <c r="A60">
        <f>COUNTA($B$2:B60)</f>
        <v>59</v>
      </c>
      <c r="B60" t="str">
        <v>TRABDS</v>
      </c>
      <c r="C60" t="str">
        <v>TRAFRESSHDMD</v>
      </c>
      <c r="D60">
        <f t="array" ref="D60">COUNTA(_xlfn.UNIQUE(_xlfn._xlws.FILTER('TRA TECH'!$H:$H,('TRA TECH'!$I:$I=C60)*('TRA TECH'!$M:$M=1))))</f>
        <v>5</v>
      </c>
    </row>
    <row r="61" spans="1:4" x14ac:dyDescent="0.25">
      <c r="A61">
        <f>COUNTA($B$2:B61)</f>
        <v>60</v>
      </c>
      <c r="B61" t="str">
        <v>TRACNG</v>
      </c>
      <c r="C61" t="str">
        <v>TRAFRESSHDMD</v>
      </c>
      <c r="D61">
        <f t="array" ref="D61">COUNTA(_xlfn.UNIQUE(_xlfn._xlws.FILTER('TRA TECH'!$H:$H,('TRA TECH'!$I:$I=C61)*('TRA TECH'!$M:$M=1))))</f>
        <v>5</v>
      </c>
    </row>
    <row r="62" spans="1:4" x14ac:dyDescent="0.25">
      <c r="A62">
        <f>COUNTA($B$2:B62)</f>
        <v>61</v>
      </c>
      <c r="B62" t="str">
        <v>TRARNG</v>
      </c>
      <c r="C62" t="str">
        <v>TRAFRESSHDMD</v>
      </c>
      <c r="D62">
        <f t="array" ref="D62">COUNTA(_xlfn.UNIQUE(_xlfn._xlws.FILTER('TRA TECH'!$H:$H,('TRA TECH'!$I:$I=C62)*('TRA TECH'!$M:$M=1))))</f>
        <v>5</v>
      </c>
    </row>
    <row r="63" spans="1:4" x14ac:dyDescent="0.25">
      <c r="A63">
        <f>COUNTA($B$2:B63)</f>
        <v>62</v>
      </c>
      <c r="B63" t="str">
        <v>TRABAF</v>
      </c>
      <c r="C63" t="str">
        <v>TRAFRESSHDMD</v>
      </c>
      <c r="D63">
        <f t="array" ref="D63">COUNTA(_xlfn.UNIQUE(_xlfn._xlws.FILTER('TRA TECH'!$H:$H,('TRA TECH'!$I:$I=C63)*('TRA TECH'!$M:$M=1))))</f>
        <v>5</v>
      </c>
    </row>
    <row r="64" spans="1:4" x14ac:dyDescent="0.25">
      <c r="A64">
        <f>COUNTA($B$2:B64)</f>
        <v>63</v>
      </c>
      <c r="B64" t="str">
        <v>TRAH2G</v>
      </c>
      <c r="C64" t="str">
        <v>TRAFRESSHDMD</v>
      </c>
      <c r="D64">
        <f t="array" ref="D64">COUNTA(_xlfn.UNIQUE(_xlfn._xlws.FILTER('TRA TECH'!$H:$H,('TRA TECH'!$I:$I=C64)*('TRA TECH'!$M:$M=1))))</f>
        <v>5</v>
      </c>
    </row>
    <row r="65" spans="1:4" x14ac:dyDescent="0.25">
      <c r="A65">
        <f>COUNTA($B$2:B65)</f>
        <v>64</v>
      </c>
      <c r="B65" t="str">
        <v>TRAGSL</v>
      </c>
      <c r="C65" t="str">
        <v>TRAFRECLHDMD</v>
      </c>
      <c r="D65">
        <f t="array" ref="D65">COUNTA(_xlfn.UNIQUE(_xlfn._xlws.FILTER('TRA TECH'!$H:$H,('TRA TECH'!$I:$I=C65)*('TRA TECH'!$M:$M=1))))</f>
        <v>5</v>
      </c>
    </row>
    <row r="66" spans="1:4" x14ac:dyDescent="0.25">
      <c r="A66">
        <f>COUNTA($B$2:B66)</f>
        <v>65</v>
      </c>
      <c r="B66" t="str">
        <v>TRAETH</v>
      </c>
      <c r="C66" t="str">
        <v>TRAFRECLHDMD</v>
      </c>
      <c r="D66">
        <f t="array" ref="D66">COUNTA(_xlfn.UNIQUE(_xlfn._xlws.FILTER('TRA TECH'!$H:$H,('TRA TECH'!$I:$I=C66)*('TRA TECH'!$M:$M=1))))</f>
        <v>5</v>
      </c>
    </row>
    <row r="67" spans="1:4" x14ac:dyDescent="0.25">
      <c r="A67">
        <f>COUNTA($B$2:B67)</f>
        <v>66</v>
      </c>
      <c r="B67" t="str">
        <v>TRADSL</v>
      </c>
      <c r="C67" t="str">
        <v>TRAFRECLHDMD</v>
      </c>
      <c r="D67">
        <f t="array" ref="D67">COUNTA(_xlfn.UNIQUE(_xlfn._xlws.FILTER('TRA TECH'!$H:$H,('TRA TECH'!$I:$I=C67)*('TRA TECH'!$M:$M=1))))</f>
        <v>5</v>
      </c>
    </row>
    <row r="68" spans="1:4" x14ac:dyDescent="0.25">
      <c r="A68">
        <f>COUNTA($B$2:B68)</f>
        <v>67</v>
      </c>
      <c r="B68" t="str">
        <v>TRARDS</v>
      </c>
      <c r="C68" t="str">
        <v>TRAFRECLHDMD</v>
      </c>
      <c r="D68">
        <f t="array" ref="D68">COUNTA(_xlfn.UNIQUE(_xlfn._xlws.FILTER('TRA TECH'!$H:$H,('TRA TECH'!$I:$I=C68)*('TRA TECH'!$M:$M=1))))</f>
        <v>5</v>
      </c>
    </row>
    <row r="69" spans="1:4" x14ac:dyDescent="0.25">
      <c r="A69">
        <f>COUNTA($B$2:B69)</f>
        <v>68</v>
      </c>
      <c r="B69" t="str">
        <v>TRABDS</v>
      </c>
      <c r="C69" t="str">
        <v>TRAFRECLHDMD</v>
      </c>
      <c r="D69">
        <f t="array" ref="D69">COUNTA(_xlfn.UNIQUE(_xlfn._xlws.FILTER('TRA TECH'!$H:$H,('TRA TECH'!$I:$I=C69)*('TRA TECH'!$M:$M=1))))</f>
        <v>5</v>
      </c>
    </row>
    <row r="70" spans="1:4" x14ac:dyDescent="0.25">
      <c r="A70">
        <f>COUNTA($B$2:B70)</f>
        <v>69</v>
      </c>
      <c r="B70" t="str">
        <v>TRACNG</v>
      </c>
      <c r="C70" t="str">
        <v>TRAFRECLHDMD</v>
      </c>
      <c r="D70">
        <f t="array" ref="D70">COUNTA(_xlfn.UNIQUE(_xlfn._xlws.FILTER('TRA TECH'!$H:$H,('TRA TECH'!$I:$I=C70)*('TRA TECH'!$M:$M=1))))</f>
        <v>5</v>
      </c>
    </row>
    <row r="71" spans="1:4" x14ac:dyDescent="0.25">
      <c r="A71">
        <f>COUNTA($B$2:B71)</f>
        <v>70</v>
      </c>
      <c r="B71" t="str">
        <v>TRARNG</v>
      </c>
      <c r="C71" t="str">
        <v>TRAFRECLHDMD</v>
      </c>
      <c r="D71">
        <f t="array" ref="D71">COUNTA(_xlfn.UNIQUE(_xlfn._xlws.FILTER('TRA TECH'!$H:$H,('TRA TECH'!$I:$I=C71)*('TRA TECH'!$M:$M=1))))</f>
        <v>5</v>
      </c>
    </row>
    <row r="72" spans="1:4" x14ac:dyDescent="0.25">
      <c r="A72">
        <f>COUNTA($B$2:B72)</f>
        <v>71</v>
      </c>
      <c r="B72" t="str">
        <v>TRABAF</v>
      </c>
      <c r="C72" t="str">
        <v>TRAFRECLHDMD</v>
      </c>
      <c r="D72">
        <f t="array" ref="D72">COUNTA(_xlfn.UNIQUE(_xlfn._xlws.FILTER('TRA TECH'!$H:$H,('TRA TECH'!$I:$I=C72)*('TRA TECH'!$M:$M=1))))</f>
        <v>5</v>
      </c>
    </row>
    <row r="73" spans="1:4" x14ac:dyDescent="0.25">
      <c r="A73">
        <f>COUNTA($B$2:B73)</f>
        <v>72</v>
      </c>
      <c r="B73" t="str">
        <v>TRAH2G</v>
      </c>
      <c r="C73" t="str">
        <v>TRAFRECLHDMD</v>
      </c>
      <c r="D73">
        <f t="array" ref="D73">COUNTA(_xlfn.UNIQUE(_xlfn._xlws.FILTER('TRA TECH'!$H:$H,('TRA TECH'!$I:$I=C73)*('TRA TECH'!$M:$M=1))))</f>
        <v>5</v>
      </c>
    </row>
    <row r="74" spans="1:4" x14ac:dyDescent="0.25">
      <c r="A74">
        <f>COUNTA($B$2:B74)</f>
        <v>73</v>
      </c>
      <c r="B74" t="str">
        <v>TRAGSL</v>
      </c>
      <c r="C74" t="str">
        <v>TRAFRECSHDMD</v>
      </c>
      <c r="D74">
        <f t="array" ref="D74">COUNTA(_xlfn.UNIQUE(_xlfn._xlws.FILTER('TRA TECH'!$H:$H,('TRA TECH'!$I:$I=C74)*('TRA TECH'!$M:$M=1))))</f>
        <v>5</v>
      </c>
    </row>
    <row r="75" spans="1:4" x14ac:dyDescent="0.25">
      <c r="A75">
        <f>COUNTA($B$2:B75)</f>
        <v>74</v>
      </c>
      <c r="B75" t="str">
        <v>TRAETH</v>
      </c>
      <c r="C75" t="str">
        <v>TRAFRECSHDMD</v>
      </c>
      <c r="D75">
        <f t="array" ref="D75">COUNTA(_xlfn.UNIQUE(_xlfn._xlws.FILTER('TRA TECH'!$H:$H,('TRA TECH'!$I:$I=C75)*('TRA TECH'!$M:$M=1))))</f>
        <v>5</v>
      </c>
    </row>
    <row r="76" spans="1:4" x14ac:dyDescent="0.25">
      <c r="A76">
        <f>COUNTA($B$2:B76)</f>
        <v>75</v>
      </c>
      <c r="B76" t="str">
        <v>TRADSL</v>
      </c>
      <c r="C76" t="str">
        <v>TRAFRECSHDMD</v>
      </c>
      <c r="D76">
        <f t="array" ref="D76">COUNTA(_xlfn.UNIQUE(_xlfn._xlws.FILTER('TRA TECH'!$H:$H,('TRA TECH'!$I:$I=C76)*('TRA TECH'!$M:$M=1))))</f>
        <v>5</v>
      </c>
    </row>
    <row r="77" spans="1:4" x14ac:dyDescent="0.25">
      <c r="A77">
        <f>COUNTA($B$2:B77)</f>
        <v>76</v>
      </c>
      <c r="B77" t="str">
        <v>TRARDS</v>
      </c>
      <c r="C77" t="str">
        <v>TRAFRECSHDMD</v>
      </c>
      <c r="D77">
        <f t="array" ref="D77">COUNTA(_xlfn.UNIQUE(_xlfn._xlws.FILTER('TRA TECH'!$H:$H,('TRA TECH'!$I:$I=C77)*('TRA TECH'!$M:$M=1))))</f>
        <v>5</v>
      </c>
    </row>
    <row r="78" spans="1:4" x14ac:dyDescent="0.25">
      <c r="A78">
        <f>COUNTA($B$2:B78)</f>
        <v>77</v>
      </c>
      <c r="B78" t="str">
        <v>TRABDS</v>
      </c>
      <c r="C78" t="str">
        <v>TRAFRECSHDMD</v>
      </c>
      <c r="D78">
        <f t="array" ref="D78">COUNTA(_xlfn.UNIQUE(_xlfn._xlws.FILTER('TRA TECH'!$H:$H,('TRA TECH'!$I:$I=C78)*('TRA TECH'!$M:$M=1))))</f>
        <v>5</v>
      </c>
    </row>
    <row r="79" spans="1:4" x14ac:dyDescent="0.25">
      <c r="A79">
        <f>COUNTA($B$2:B79)</f>
        <v>78</v>
      </c>
      <c r="B79" t="str">
        <v>TRACNG</v>
      </c>
      <c r="C79" t="str">
        <v>TRAFRECSHDMD</v>
      </c>
      <c r="D79">
        <f t="array" ref="D79">COUNTA(_xlfn.UNIQUE(_xlfn._xlws.FILTER('TRA TECH'!$H:$H,('TRA TECH'!$I:$I=C79)*('TRA TECH'!$M:$M=1))))</f>
        <v>5</v>
      </c>
    </row>
    <row r="80" spans="1:4" x14ac:dyDescent="0.25">
      <c r="A80">
        <f>COUNTA($B$2:B80)</f>
        <v>79</v>
      </c>
      <c r="B80" t="str">
        <v>TRARNG</v>
      </c>
      <c r="C80" t="str">
        <v>TRAFRECSHDMD</v>
      </c>
      <c r="D80">
        <f t="array" ref="D80">COUNTA(_xlfn.UNIQUE(_xlfn._xlws.FILTER('TRA TECH'!$H:$H,('TRA TECH'!$I:$I=C80)*('TRA TECH'!$M:$M=1))))</f>
        <v>5</v>
      </c>
    </row>
    <row r="81" spans="1:4" x14ac:dyDescent="0.25">
      <c r="A81">
        <f>COUNTA($B$2:B81)</f>
        <v>80</v>
      </c>
      <c r="B81" t="str">
        <v>TRABAF</v>
      </c>
      <c r="C81" t="str">
        <v>TRAFRECSHDMD</v>
      </c>
      <c r="D81">
        <f t="array" ref="D81">COUNTA(_xlfn.UNIQUE(_xlfn._xlws.FILTER('TRA TECH'!$H:$H,('TRA TECH'!$I:$I=C81)*('TRA TECH'!$M:$M=1))))</f>
        <v>5</v>
      </c>
    </row>
    <row r="82" spans="1:4" x14ac:dyDescent="0.25">
      <c r="A82">
        <f>COUNTA($B$2:B82)</f>
        <v>81</v>
      </c>
      <c r="B82" t="str">
        <v>TRAH2G</v>
      </c>
      <c r="C82" t="str">
        <v>TRAFRECSHDMD</v>
      </c>
      <c r="D82">
        <f t="array" ref="D82">COUNTA(_xlfn.UNIQUE(_xlfn._xlws.FILTER('TRA TECH'!$H:$H,('TRA TECH'!$I:$I=C82)*('TRA TECH'!$M:$M=1))))</f>
        <v>5</v>
      </c>
    </row>
    <row r="83" spans="1:4" x14ac:dyDescent="0.25">
      <c r="A83">
        <f>COUNTA($B$2:B83)</f>
        <v>82</v>
      </c>
      <c r="B83" t="str">
        <v>TRAGSL</v>
      </c>
      <c r="C83" t="str">
        <v>TRAPASTBUDMD</v>
      </c>
      <c r="D83">
        <f t="array" ref="D83">COUNTA(_xlfn.UNIQUE(_xlfn._xlws.FILTER('TRA TECH'!$H:$H,('TRA TECH'!$I:$I=C83)*('TRA TECH'!$M:$M=1))))</f>
        <v>5</v>
      </c>
    </row>
    <row r="84" spans="1:4" x14ac:dyDescent="0.25">
      <c r="A84">
        <f>COUNTA($B$2:B84)</f>
        <v>83</v>
      </c>
      <c r="B84" t="str">
        <v>TRAETH</v>
      </c>
      <c r="C84" t="str">
        <v>TRAPASTBUDMD</v>
      </c>
      <c r="D84">
        <f t="array" ref="D84">COUNTA(_xlfn.UNIQUE(_xlfn._xlws.FILTER('TRA TECH'!$H:$H,('TRA TECH'!$I:$I=C84)*('TRA TECH'!$M:$M=1))))</f>
        <v>5</v>
      </c>
    </row>
    <row r="85" spans="1:4" x14ac:dyDescent="0.25">
      <c r="A85">
        <f>COUNTA($B$2:B85)</f>
        <v>84</v>
      </c>
      <c r="B85" t="str">
        <v>TRADSL</v>
      </c>
      <c r="C85" t="str">
        <v>TRAPASTBUDMD</v>
      </c>
      <c r="D85">
        <f t="array" ref="D85">COUNTA(_xlfn.UNIQUE(_xlfn._xlws.FILTER('TRA TECH'!$H:$H,('TRA TECH'!$I:$I=C85)*('TRA TECH'!$M:$M=1))))</f>
        <v>5</v>
      </c>
    </row>
    <row r="86" spans="1:4" x14ac:dyDescent="0.25">
      <c r="A86">
        <f>COUNTA($B$2:B86)</f>
        <v>85</v>
      </c>
      <c r="B86" t="str">
        <v>TRARDS</v>
      </c>
      <c r="C86" t="str">
        <v>TRAPASTBUDMD</v>
      </c>
      <c r="D86">
        <f t="array" ref="D86">COUNTA(_xlfn.UNIQUE(_xlfn._xlws.FILTER('TRA TECH'!$H:$H,('TRA TECH'!$I:$I=C86)*('TRA TECH'!$M:$M=1))))</f>
        <v>5</v>
      </c>
    </row>
    <row r="87" spans="1:4" x14ac:dyDescent="0.25">
      <c r="A87">
        <f>COUNTA($B$2:B87)</f>
        <v>86</v>
      </c>
      <c r="B87" t="str">
        <v>TRABDS</v>
      </c>
      <c r="C87" t="str">
        <v>TRAPASTBUDMD</v>
      </c>
      <c r="D87">
        <f t="array" ref="D87">COUNTA(_xlfn.UNIQUE(_xlfn._xlws.FILTER('TRA TECH'!$H:$H,('TRA TECH'!$I:$I=C87)*('TRA TECH'!$M:$M=1))))</f>
        <v>5</v>
      </c>
    </row>
    <row r="88" spans="1:4" x14ac:dyDescent="0.25">
      <c r="A88">
        <f>COUNTA($B$2:B88)</f>
        <v>87</v>
      </c>
      <c r="B88" t="str">
        <v>TRACNG</v>
      </c>
      <c r="C88" t="str">
        <v>TRAPASTBUDMD</v>
      </c>
      <c r="D88">
        <f t="array" ref="D88">COUNTA(_xlfn.UNIQUE(_xlfn._xlws.FILTER('TRA TECH'!$H:$H,('TRA TECH'!$I:$I=C88)*('TRA TECH'!$M:$M=1))))</f>
        <v>5</v>
      </c>
    </row>
    <row r="89" spans="1:4" x14ac:dyDescent="0.25">
      <c r="A89">
        <f>COUNTA($B$2:B89)</f>
        <v>88</v>
      </c>
      <c r="B89" t="str">
        <v>TRARNG</v>
      </c>
      <c r="C89" t="str">
        <v>TRAPASTBUDMD</v>
      </c>
      <c r="D89">
        <f t="array" ref="D89">COUNTA(_xlfn.UNIQUE(_xlfn._xlws.FILTER('TRA TECH'!$H:$H,('TRA TECH'!$I:$I=C89)*('TRA TECH'!$M:$M=1))))</f>
        <v>5</v>
      </c>
    </row>
    <row r="90" spans="1:4" x14ac:dyDescent="0.25">
      <c r="A90">
        <f>COUNTA($B$2:B90)</f>
        <v>89</v>
      </c>
      <c r="B90" t="str">
        <v>TRABAF</v>
      </c>
      <c r="C90" t="str">
        <v>TRAPASTBUDMD</v>
      </c>
      <c r="D90">
        <f t="array" ref="D90">COUNTA(_xlfn.UNIQUE(_xlfn._xlws.FILTER('TRA TECH'!$H:$H,('TRA TECH'!$I:$I=C90)*('TRA TECH'!$M:$M=1))))</f>
        <v>5</v>
      </c>
    </row>
    <row r="91" spans="1:4" x14ac:dyDescent="0.25">
      <c r="A91">
        <f>COUNTA($B$2:B91)</f>
        <v>90</v>
      </c>
      <c r="B91" t="str">
        <v>TRAH2G</v>
      </c>
      <c r="C91" t="str">
        <v>TRAPASTBUDMD</v>
      </c>
      <c r="D91">
        <f t="array" ref="D91">COUNTA(_xlfn.UNIQUE(_xlfn._xlws.FILTER('TRA TECH'!$H:$H,('TRA TECH'!$I:$I=C91)*('TRA TECH'!$M:$M=1))))</f>
        <v>5</v>
      </c>
    </row>
    <row r="92" spans="1:4" x14ac:dyDescent="0.25">
      <c r="A92">
        <f>COUNTA($B$2:B92)</f>
        <v>91</v>
      </c>
      <c r="B92" t="str">
        <v>TRAGSL</v>
      </c>
      <c r="C92" t="str">
        <v>TRAPASSBUDMD</v>
      </c>
      <c r="D92">
        <f t="array" ref="D92">COUNTA(_xlfn.UNIQUE(_xlfn._xlws.FILTER('TRA TECH'!$H:$H,('TRA TECH'!$I:$I=C92)*('TRA TECH'!$M:$M=1))))</f>
        <v>5</v>
      </c>
    </row>
    <row r="93" spans="1:4" x14ac:dyDescent="0.25">
      <c r="A93">
        <f>COUNTA($B$2:B93)</f>
        <v>92</v>
      </c>
      <c r="B93" t="str">
        <v>TRAETH</v>
      </c>
      <c r="C93" t="str">
        <v>TRAPASSBUDMD</v>
      </c>
      <c r="D93">
        <f t="array" ref="D93">COUNTA(_xlfn.UNIQUE(_xlfn._xlws.FILTER('TRA TECH'!$H:$H,('TRA TECH'!$I:$I=C93)*('TRA TECH'!$M:$M=1))))</f>
        <v>5</v>
      </c>
    </row>
    <row r="94" spans="1:4" x14ac:dyDescent="0.25">
      <c r="A94">
        <f>COUNTA($B$2:B94)</f>
        <v>93</v>
      </c>
      <c r="B94" t="str">
        <v>TRADSL</v>
      </c>
      <c r="C94" t="str">
        <v>TRAPASSBUDMD</v>
      </c>
      <c r="D94">
        <f t="array" ref="D94">COUNTA(_xlfn.UNIQUE(_xlfn._xlws.FILTER('TRA TECH'!$H:$H,('TRA TECH'!$I:$I=C94)*('TRA TECH'!$M:$M=1))))</f>
        <v>5</v>
      </c>
    </row>
    <row r="95" spans="1:4" x14ac:dyDescent="0.25">
      <c r="A95">
        <f>COUNTA($B$2:B95)</f>
        <v>94</v>
      </c>
      <c r="B95" t="str">
        <v>TRARDS</v>
      </c>
      <c r="C95" t="str">
        <v>TRAPASSBUDMD</v>
      </c>
      <c r="D95">
        <f t="array" ref="D95">COUNTA(_xlfn.UNIQUE(_xlfn._xlws.FILTER('TRA TECH'!$H:$H,('TRA TECH'!$I:$I=C95)*('TRA TECH'!$M:$M=1))))</f>
        <v>5</v>
      </c>
    </row>
    <row r="96" spans="1:4" x14ac:dyDescent="0.25">
      <c r="A96">
        <f>COUNTA($B$2:B96)</f>
        <v>95</v>
      </c>
      <c r="B96" t="str">
        <v>TRABDS</v>
      </c>
      <c r="C96" t="str">
        <v>TRAPASSBUDMD</v>
      </c>
      <c r="D96">
        <f t="array" ref="D96">COUNTA(_xlfn.UNIQUE(_xlfn._xlws.FILTER('TRA TECH'!$H:$H,('TRA TECH'!$I:$I=C96)*('TRA TECH'!$M:$M=1))))</f>
        <v>5</v>
      </c>
    </row>
    <row r="97" spans="1:4" x14ac:dyDescent="0.25">
      <c r="A97">
        <f>COUNTA($B$2:B97)</f>
        <v>96</v>
      </c>
      <c r="B97" t="str">
        <v>TRACNG</v>
      </c>
      <c r="C97" t="str">
        <v>TRAPASSBUDMD</v>
      </c>
      <c r="D97">
        <f t="array" ref="D97">COUNTA(_xlfn.UNIQUE(_xlfn._xlws.FILTER('TRA TECH'!$H:$H,('TRA TECH'!$I:$I=C97)*('TRA TECH'!$M:$M=1))))</f>
        <v>5</v>
      </c>
    </row>
    <row r="98" spans="1:4" x14ac:dyDescent="0.25">
      <c r="A98">
        <f>COUNTA($B$2:B98)</f>
        <v>97</v>
      </c>
      <c r="B98" t="str">
        <v>TRARNG</v>
      </c>
      <c r="C98" t="str">
        <v>TRAPASSBUDMD</v>
      </c>
      <c r="D98">
        <f t="array" ref="D98">COUNTA(_xlfn.UNIQUE(_xlfn._xlws.FILTER('TRA TECH'!$H:$H,('TRA TECH'!$I:$I=C98)*('TRA TECH'!$M:$M=1))))</f>
        <v>5</v>
      </c>
    </row>
    <row r="99" spans="1:4" x14ac:dyDescent="0.25">
      <c r="A99">
        <f>COUNTA($B$2:B99)</f>
        <v>98</v>
      </c>
      <c r="B99" t="str">
        <v>TRABAF</v>
      </c>
      <c r="C99" t="str">
        <v>TRAPASSBUDMD</v>
      </c>
      <c r="D99">
        <f t="array" ref="D99">COUNTA(_xlfn.UNIQUE(_xlfn._xlws.FILTER('TRA TECH'!$H:$H,('TRA TECH'!$I:$I=C99)*('TRA TECH'!$M:$M=1))))</f>
        <v>5</v>
      </c>
    </row>
    <row r="100" spans="1:4" x14ac:dyDescent="0.25">
      <c r="A100">
        <f>COUNTA($B$2:B100)</f>
        <v>99</v>
      </c>
      <c r="B100" t="str">
        <v>TRAH2G</v>
      </c>
      <c r="C100" t="str">
        <v>TRAPASSBUDMD</v>
      </c>
      <c r="D100">
        <f t="array" ref="D100">COUNTA(_xlfn.UNIQUE(_xlfn._xlws.FILTER('TRA TECH'!$H:$H,('TRA TECH'!$I:$I=C100)*('TRA TECH'!$M:$M=1))))</f>
        <v>5</v>
      </c>
    </row>
    <row r="101" spans="1:4" x14ac:dyDescent="0.25">
      <c r="A101">
        <f>COUNTA($B$2:B101)</f>
        <v>100</v>
      </c>
      <c r="B101" t="str">
        <v>TRAGSL</v>
      </c>
      <c r="C101" t="str">
        <v>TRAPASOBUDMD</v>
      </c>
      <c r="D101">
        <f t="array" ref="D101">COUNTA(_xlfn.UNIQUE(_xlfn._xlws.FILTER('TRA TECH'!$H:$H,('TRA TECH'!$I:$I=C101)*('TRA TECH'!$M:$M=1))))</f>
        <v>5</v>
      </c>
    </row>
    <row r="102" spans="1:4" x14ac:dyDescent="0.25">
      <c r="A102">
        <f>COUNTA($B$2:B102)</f>
        <v>101</v>
      </c>
      <c r="B102" t="str">
        <v>TRAETH</v>
      </c>
      <c r="C102" t="str">
        <v>TRAPASOBUDMD</v>
      </c>
      <c r="D102">
        <f t="array" ref="D102">COUNTA(_xlfn.UNIQUE(_xlfn._xlws.FILTER('TRA TECH'!$H:$H,('TRA TECH'!$I:$I=C102)*('TRA TECH'!$M:$M=1))))</f>
        <v>5</v>
      </c>
    </row>
    <row r="103" spans="1:4" x14ac:dyDescent="0.25">
      <c r="A103">
        <f>COUNTA($B$2:B103)</f>
        <v>102</v>
      </c>
      <c r="B103" t="str">
        <v>TRADSL</v>
      </c>
      <c r="C103" t="str">
        <v>TRAPASOBUDMD</v>
      </c>
      <c r="D103">
        <f t="array" ref="D103">COUNTA(_xlfn.UNIQUE(_xlfn._xlws.FILTER('TRA TECH'!$H:$H,('TRA TECH'!$I:$I=C103)*('TRA TECH'!$M:$M=1))))</f>
        <v>5</v>
      </c>
    </row>
    <row r="104" spans="1:4" x14ac:dyDescent="0.25">
      <c r="A104">
        <f>COUNTA($B$2:B104)</f>
        <v>103</v>
      </c>
      <c r="B104" t="str">
        <v>TRARDS</v>
      </c>
      <c r="C104" t="str">
        <v>TRAPASOBUDMD</v>
      </c>
      <c r="D104">
        <f t="array" ref="D104">COUNTA(_xlfn.UNIQUE(_xlfn._xlws.FILTER('TRA TECH'!$H:$H,('TRA TECH'!$I:$I=C104)*('TRA TECH'!$M:$M=1))))</f>
        <v>5</v>
      </c>
    </row>
    <row r="105" spans="1:4" x14ac:dyDescent="0.25">
      <c r="A105">
        <f>COUNTA($B$2:B105)</f>
        <v>104</v>
      </c>
      <c r="B105" t="str">
        <v>TRABDS</v>
      </c>
      <c r="C105" t="str">
        <v>TRAPASOBUDMD</v>
      </c>
      <c r="D105">
        <f t="array" ref="D105">COUNTA(_xlfn.UNIQUE(_xlfn._xlws.FILTER('TRA TECH'!$H:$H,('TRA TECH'!$I:$I=C105)*('TRA TECH'!$M:$M=1))))</f>
        <v>5</v>
      </c>
    </row>
    <row r="106" spans="1:4" x14ac:dyDescent="0.25">
      <c r="A106">
        <f>COUNTA($B$2:B106)</f>
        <v>105</v>
      </c>
      <c r="B106" t="str">
        <v>TRACNG</v>
      </c>
      <c r="C106" t="str">
        <v>TRAPASOBUDMD</v>
      </c>
      <c r="D106">
        <f t="array" ref="D106">COUNTA(_xlfn.UNIQUE(_xlfn._xlws.FILTER('TRA TECH'!$H:$H,('TRA TECH'!$I:$I=C106)*('TRA TECH'!$M:$M=1))))</f>
        <v>5</v>
      </c>
    </row>
    <row r="107" spans="1:4" x14ac:dyDescent="0.25">
      <c r="A107">
        <f>COUNTA($B$2:B107)</f>
        <v>106</v>
      </c>
      <c r="B107" t="str">
        <v>TRARNG</v>
      </c>
      <c r="C107" t="str">
        <v>TRAPASOBUDMD</v>
      </c>
      <c r="D107">
        <f t="array" ref="D107">COUNTA(_xlfn.UNIQUE(_xlfn._xlws.FILTER('TRA TECH'!$H:$H,('TRA TECH'!$I:$I=C107)*('TRA TECH'!$M:$M=1))))</f>
        <v>5</v>
      </c>
    </row>
    <row r="108" spans="1:4" x14ac:dyDescent="0.25">
      <c r="A108">
        <f>COUNTA($B$2:B108)</f>
        <v>107</v>
      </c>
      <c r="B108" t="str">
        <v>TRABAF</v>
      </c>
      <c r="C108" t="str">
        <v>TRAPASOBUDMD</v>
      </c>
      <c r="D108">
        <f t="array" ref="D108">COUNTA(_xlfn.UNIQUE(_xlfn._xlws.FILTER('TRA TECH'!$H:$H,('TRA TECH'!$I:$I=C108)*('TRA TECH'!$M:$M=1))))</f>
        <v>5</v>
      </c>
    </row>
    <row r="109" spans="1:4" x14ac:dyDescent="0.25">
      <c r="A109">
        <f>COUNTA($B$2:B109)</f>
        <v>108</v>
      </c>
      <c r="B109" t="str">
        <v>TRAH2G</v>
      </c>
      <c r="C109" t="str">
        <v>TRAPASOBUDMD</v>
      </c>
      <c r="D109">
        <f t="array" ref="D109">COUNTA(_xlfn.UNIQUE(_xlfn._xlws.FILTER('TRA TECH'!$H:$H,('TRA TECH'!$I:$I=C109)*('TRA TECH'!$M:$M=1))))</f>
        <v>5</v>
      </c>
    </row>
    <row r="110" spans="1:4" x14ac:dyDescent="0.25">
      <c r="A110">
        <f>COUNTA($B$2:B110)</f>
        <v>109</v>
      </c>
      <c r="B110" t="str">
        <v>TRADSL</v>
      </c>
      <c r="C110" t="str">
        <v>TRAPASRAIDMD</v>
      </c>
      <c r="D110">
        <f t="array" ref="D110">COUNTA(_xlfn.UNIQUE(_xlfn._xlws.FILTER('TRA TECH'!$H:$H,('TRA TECH'!$I:$I=C110)*('TRA TECH'!$M:$M=1))))</f>
        <v>5</v>
      </c>
    </row>
    <row r="111" spans="1:4" x14ac:dyDescent="0.25">
      <c r="A111">
        <f>COUNTA($B$2:B111)</f>
        <v>110</v>
      </c>
      <c r="B111" t="str">
        <v>TRARDS</v>
      </c>
      <c r="C111" t="str">
        <v>TRAPASRAIDMD</v>
      </c>
      <c r="D111">
        <f t="array" ref="D111">COUNTA(_xlfn.UNIQUE(_xlfn._xlws.FILTER('TRA TECH'!$H:$H,('TRA TECH'!$I:$I=C111)*('TRA TECH'!$M:$M=1))))</f>
        <v>5</v>
      </c>
    </row>
    <row r="112" spans="1:4" x14ac:dyDescent="0.25">
      <c r="A112">
        <f>COUNTA($B$2:B112)</f>
        <v>111</v>
      </c>
      <c r="B112" t="str">
        <v>TRABDS</v>
      </c>
      <c r="C112" t="str">
        <v>TRAPASRAIDMD</v>
      </c>
      <c r="D112">
        <f t="array" ref="D112">COUNTA(_xlfn.UNIQUE(_xlfn._xlws.FILTER('TRA TECH'!$H:$H,('TRA TECH'!$I:$I=C112)*('TRA TECH'!$M:$M=1))))</f>
        <v>5</v>
      </c>
    </row>
    <row r="113" spans="1:4" x14ac:dyDescent="0.25">
      <c r="A113">
        <f>COUNTA($B$2:B113)</f>
        <v>112</v>
      </c>
      <c r="B113" t="str">
        <v>TRACNG</v>
      </c>
      <c r="C113" t="str">
        <v>TRAPASRAIDMD</v>
      </c>
      <c r="D113">
        <f t="array" ref="D113">COUNTA(_xlfn.UNIQUE(_xlfn._xlws.FILTER('TRA TECH'!$H:$H,('TRA TECH'!$I:$I=C113)*('TRA TECH'!$M:$M=1))))</f>
        <v>5</v>
      </c>
    </row>
    <row r="114" spans="1:4" x14ac:dyDescent="0.25">
      <c r="A114">
        <f>COUNTA($B$2:B114)</f>
        <v>113</v>
      </c>
      <c r="B114" t="str">
        <v>TRARNG</v>
      </c>
      <c r="C114" t="str">
        <v>TRAPASRAIDMD</v>
      </c>
      <c r="D114">
        <f t="array" ref="D114">COUNTA(_xlfn.UNIQUE(_xlfn._xlws.FILTER('TRA TECH'!$H:$H,('TRA TECH'!$I:$I=C114)*('TRA TECH'!$M:$M=1))))</f>
        <v>5</v>
      </c>
    </row>
    <row r="115" spans="1:4" x14ac:dyDescent="0.25">
      <c r="A115">
        <f>COUNTA($B$2:B115)</f>
        <v>114</v>
      </c>
      <c r="B115" t="str">
        <v>TRAELC</v>
      </c>
      <c r="C115" t="str">
        <v>TRAPASRAIDMD</v>
      </c>
      <c r="D115">
        <f t="array" ref="D115">COUNTA(_xlfn.UNIQUE(_xlfn._xlws.FILTER('TRA TECH'!$H:$H,('TRA TECH'!$I:$I=C115)*('TRA TECH'!$M:$M=1))))</f>
        <v>5</v>
      </c>
    </row>
    <row r="116" spans="1:4" x14ac:dyDescent="0.25">
      <c r="A116">
        <f>COUNTA($B$2:B116)</f>
        <v>115</v>
      </c>
      <c r="B116" t="str">
        <v>TRAH2G</v>
      </c>
      <c r="C116" t="str">
        <v>TRAPASRAIDMD</v>
      </c>
      <c r="D116">
        <f t="array" ref="D116">COUNTA(_xlfn.UNIQUE(_xlfn._xlws.FILTER('TRA TECH'!$H:$H,('TRA TECH'!$I:$I=C116)*('TRA TECH'!$M:$M=1))))</f>
        <v>5</v>
      </c>
    </row>
    <row r="117" spans="1:4" x14ac:dyDescent="0.25">
      <c r="A117">
        <f>COUNTA($B$2:B117)</f>
        <v>116</v>
      </c>
      <c r="B117" t="str">
        <v>TRADSL</v>
      </c>
      <c r="C117" t="str">
        <v>TRAPASTRMDMD</v>
      </c>
      <c r="D117">
        <f t="array" ref="D117">COUNTA(_xlfn.UNIQUE(_xlfn._xlws.FILTER('TRA TECH'!$H:$H,('TRA TECH'!$I:$I=C117)*('TRA TECH'!$M:$M=1))))</f>
        <v>1</v>
      </c>
    </row>
    <row r="118" spans="1:4" x14ac:dyDescent="0.25">
      <c r="A118">
        <f>COUNTA($B$2:B118)</f>
        <v>117</v>
      </c>
      <c r="B118" t="str">
        <v>TRARDS</v>
      </c>
      <c r="C118" t="str">
        <v>TRAPASTRMDMD</v>
      </c>
      <c r="D118">
        <f t="array" ref="D118">COUNTA(_xlfn.UNIQUE(_xlfn._xlws.FILTER('TRA TECH'!$H:$H,('TRA TECH'!$I:$I=C118)*('TRA TECH'!$M:$M=1))))</f>
        <v>1</v>
      </c>
    </row>
    <row r="119" spans="1:4" x14ac:dyDescent="0.25">
      <c r="A119">
        <f>COUNTA($B$2:B119)</f>
        <v>118</v>
      </c>
      <c r="B119" t="str">
        <v>TRABDS</v>
      </c>
      <c r="C119" t="str">
        <v>TRAPASTRMDMD</v>
      </c>
      <c r="D119">
        <f t="array" ref="D119">COUNTA(_xlfn.UNIQUE(_xlfn._xlws.FILTER('TRA TECH'!$H:$H,('TRA TECH'!$I:$I=C119)*('TRA TECH'!$M:$M=1))))</f>
        <v>1</v>
      </c>
    </row>
    <row r="120" spans="1:4" x14ac:dyDescent="0.25">
      <c r="A120">
        <f>COUNTA($B$2:B120)</f>
        <v>119</v>
      </c>
      <c r="B120" t="str">
        <v>TRACNG</v>
      </c>
      <c r="C120" t="str">
        <v>TRAPASTRMDMD</v>
      </c>
      <c r="D120">
        <f t="array" ref="D120">COUNTA(_xlfn.UNIQUE(_xlfn._xlws.FILTER('TRA TECH'!$H:$H,('TRA TECH'!$I:$I=C120)*('TRA TECH'!$M:$M=1))))</f>
        <v>1</v>
      </c>
    </row>
    <row r="121" spans="1:4" x14ac:dyDescent="0.25">
      <c r="A121">
        <f>COUNTA($B$2:B121)</f>
        <v>120</v>
      </c>
      <c r="B121" t="str">
        <v>TRARNG</v>
      </c>
      <c r="C121" t="str">
        <v>TRAPASTRMDMD</v>
      </c>
      <c r="D121">
        <f t="array" ref="D121">COUNTA(_xlfn.UNIQUE(_xlfn._xlws.FILTER('TRA TECH'!$H:$H,('TRA TECH'!$I:$I=C121)*('TRA TECH'!$M:$M=1))))</f>
        <v>1</v>
      </c>
    </row>
    <row r="122" spans="1:4" x14ac:dyDescent="0.25">
      <c r="A122">
        <f>COUNTA($B$2:B122)</f>
        <v>121</v>
      </c>
      <c r="B122" t="str">
        <v>TRAELC</v>
      </c>
      <c r="C122" t="str">
        <v>TRAPASTRMDMD</v>
      </c>
      <c r="D122">
        <f t="array" ref="D122">COUNTA(_xlfn.UNIQUE(_xlfn._xlws.FILTER('TRA TECH'!$H:$H,('TRA TECH'!$I:$I=C122)*('TRA TECH'!$M:$M=1))))</f>
        <v>1</v>
      </c>
    </row>
    <row r="123" spans="1:4" x14ac:dyDescent="0.25">
      <c r="A123">
        <f>COUNTA($B$2:B123)</f>
        <v>122</v>
      </c>
      <c r="B123" t="str">
        <v>TRAELC</v>
      </c>
      <c r="C123" t="str">
        <v>TRAPASSUBDMD</v>
      </c>
      <c r="D123">
        <f t="array" ref="D123">COUNTA(_xlfn.UNIQUE(_xlfn._xlws.FILTER('TRA TECH'!$H:$H,('TRA TECH'!$I:$I=C123)*('TRA TECH'!$M:$M=1))))</f>
        <v>1</v>
      </c>
    </row>
    <row r="124" spans="1:4" x14ac:dyDescent="0.25">
      <c r="A124">
        <f>COUNTA($B$2:B124)</f>
        <v>123</v>
      </c>
      <c r="B124" t="str">
        <v>TRAGSL</v>
      </c>
      <c r="C124" t="str">
        <v>TRAOTHOFRDMD</v>
      </c>
      <c r="D124">
        <f t="array" ref="D124">COUNTA(_xlfn.UNIQUE(_xlfn._xlws.FILTER('TRA TECH'!$H:$H,('TRA TECH'!$I:$I=C124)*('TRA TECH'!$M:$M=1))))</f>
        <v>5</v>
      </c>
    </row>
    <row r="125" spans="1:4" x14ac:dyDescent="0.25">
      <c r="A125">
        <f>COUNTA($B$2:B125)</f>
        <v>124</v>
      </c>
      <c r="B125" t="str">
        <v>TRAETH</v>
      </c>
      <c r="C125" t="str">
        <v>TRAOTHOFRDMD</v>
      </c>
      <c r="D125">
        <f t="array" ref="D125">COUNTA(_xlfn.UNIQUE(_xlfn._xlws.FILTER('TRA TECH'!$H:$H,('TRA TECH'!$I:$I=C125)*('TRA TECH'!$M:$M=1))))</f>
        <v>5</v>
      </c>
    </row>
    <row r="126" spans="1:4" x14ac:dyDescent="0.25">
      <c r="A126">
        <f>COUNTA($B$2:B126)</f>
        <v>125</v>
      </c>
      <c r="B126" t="str">
        <v>TRADSL</v>
      </c>
      <c r="C126" t="str">
        <v>TRAOTHOFRDMD</v>
      </c>
      <c r="D126">
        <f t="array" ref="D126">COUNTA(_xlfn.UNIQUE(_xlfn._xlws.FILTER('TRA TECH'!$H:$H,('TRA TECH'!$I:$I=C126)*('TRA TECH'!$M:$M=1))))</f>
        <v>5</v>
      </c>
    </row>
    <row r="127" spans="1:4" x14ac:dyDescent="0.25">
      <c r="A127">
        <f>COUNTA($B$2:B127)</f>
        <v>126</v>
      </c>
      <c r="B127" t="str">
        <v>TRARDS</v>
      </c>
      <c r="C127" t="str">
        <v>TRAOTHOFRDMD</v>
      </c>
      <c r="D127">
        <f t="array" ref="D127">COUNTA(_xlfn.UNIQUE(_xlfn._xlws.FILTER('TRA TECH'!$H:$H,('TRA TECH'!$I:$I=C127)*('TRA TECH'!$M:$M=1))))</f>
        <v>5</v>
      </c>
    </row>
    <row r="128" spans="1:4" x14ac:dyDescent="0.25">
      <c r="A128">
        <f>COUNTA($B$2:B128)</f>
        <v>127</v>
      </c>
      <c r="B128" t="str">
        <v>TRABDS</v>
      </c>
      <c r="C128" t="str">
        <v>TRAOTHOFRDMD</v>
      </c>
      <c r="D128">
        <f t="array" ref="D128">COUNTA(_xlfn.UNIQUE(_xlfn._xlws.FILTER('TRA TECH'!$H:$H,('TRA TECH'!$I:$I=C128)*('TRA TECH'!$M:$M=1))))</f>
        <v>5</v>
      </c>
    </row>
    <row r="129" spans="1:4" x14ac:dyDescent="0.25">
      <c r="A129">
        <f>COUNTA($B$2:B129)</f>
        <v>128</v>
      </c>
      <c r="B129" t="str">
        <v>TRACNG</v>
      </c>
      <c r="C129" t="str">
        <v>TRAOTHOFRDMD</v>
      </c>
      <c r="D129">
        <f t="array" ref="D129">COUNTA(_xlfn.UNIQUE(_xlfn._xlws.FILTER('TRA TECH'!$H:$H,('TRA TECH'!$I:$I=C129)*('TRA TECH'!$M:$M=1))))</f>
        <v>5</v>
      </c>
    </row>
    <row r="130" spans="1:4" x14ac:dyDescent="0.25">
      <c r="A130">
        <f>COUNTA($B$2:B130)</f>
        <v>129</v>
      </c>
      <c r="B130" t="str">
        <v>TRARNG</v>
      </c>
      <c r="C130" t="str">
        <v>TRAOTHOFRDMD</v>
      </c>
      <c r="D130">
        <f t="array" ref="D130">COUNTA(_xlfn.UNIQUE(_xlfn._xlws.FILTER('TRA TECH'!$H:$H,('TRA TECH'!$I:$I=C130)*('TRA TECH'!$M:$M=1))))</f>
        <v>5</v>
      </c>
    </row>
    <row r="131" spans="1:4" x14ac:dyDescent="0.25">
      <c r="A131">
        <f>COUNTA($B$2:B131)</f>
        <v>130</v>
      </c>
      <c r="B131" t="str">
        <v>TRABAF</v>
      </c>
      <c r="C131" t="str">
        <v>TRAOTHOFRDMD</v>
      </c>
      <c r="D131">
        <f t="array" ref="D131">COUNTA(_xlfn.UNIQUE(_xlfn._xlws.FILTER('TRA TECH'!$H:$H,('TRA TECH'!$I:$I=C131)*('TRA TECH'!$M:$M=1))))</f>
        <v>5</v>
      </c>
    </row>
    <row r="132" spans="1:4" x14ac:dyDescent="0.25">
      <c r="A132">
        <f>COUNTA($B$2:B132)</f>
        <v>131</v>
      </c>
      <c r="B132" t="str">
        <v>TRAH2G</v>
      </c>
      <c r="C132" t="str">
        <v>TRAOTHOFRDMD</v>
      </c>
      <c r="D132">
        <f t="array" ref="D132">COUNTA(_xlfn.UNIQUE(_xlfn._xlws.FILTER('TRA TECH'!$H:$H,('TRA TECH'!$I:$I=C132)*('TRA TECH'!$M:$M=1))))</f>
        <v>5</v>
      </c>
    </row>
    <row r="133" spans="1:4" x14ac:dyDescent="0.25">
      <c r="A133">
        <f>COUNTA($B$2:B133)</f>
        <v>132</v>
      </c>
      <c r="B133" t="str">
        <v>TRAGSL</v>
      </c>
      <c r="C133" t="str">
        <v>TRAOTHWATDMD</v>
      </c>
      <c r="D133">
        <f t="array" ref="D133">COUNTA(_xlfn.UNIQUE(_xlfn._xlws.FILTER('TRA TECH'!$H:$H,('TRA TECH'!$I:$I=C133)*('TRA TECH'!$M:$M=1))))</f>
        <v>4</v>
      </c>
    </row>
    <row r="134" spans="1:4" x14ac:dyDescent="0.25">
      <c r="A134">
        <f>COUNTA($B$2:B134)</f>
        <v>133</v>
      </c>
      <c r="B134" t="str">
        <v>TRAETH</v>
      </c>
      <c r="C134" t="str">
        <v>TRAOTHWATDMD</v>
      </c>
      <c r="D134">
        <f t="array" ref="D134">COUNTA(_xlfn.UNIQUE(_xlfn._xlws.FILTER('TRA TECH'!$H:$H,('TRA TECH'!$I:$I=C134)*('TRA TECH'!$M:$M=1))))</f>
        <v>4</v>
      </c>
    </row>
    <row r="135" spans="1:4" x14ac:dyDescent="0.25">
      <c r="A135">
        <f>COUNTA($B$2:B135)</f>
        <v>134</v>
      </c>
      <c r="B135" t="str">
        <v>TRADSL</v>
      </c>
      <c r="C135" t="str">
        <v>TRAOTHWATDMD</v>
      </c>
      <c r="D135">
        <f t="array" ref="D135">COUNTA(_xlfn.UNIQUE(_xlfn._xlws.FILTER('TRA TECH'!$H:$H,('TRA TECH'!$I:$I=C135)*('TRA TECH'!$M:$M=1))))</f>
        <v>4</v>
      </c>
    </row>
    <row r="136" spans="1:4" x14ac:dyDescent="0.25">
      <c r="A136">
        <f>COUNTA($B$2:B136)</f>
        <v>135</v>
      </c>
      <c r="B136" t="str">
        <v>TRARDS</v>
      </c>
      <c r="C136" t="str">
        <v>TRAOTHWATDMD</v>
      </c>
      <c r="D136">
        <f t="array" ref="D136">COUNTA(_xlfn.UNIQUE(_xlfn._xlws.FILTER('TRA TECH'!$H:$H,('TRA TECH'!$I:$I=C136)*('TRA TECH'!$M:$M=1))))</f>
        <v>4</v>
      </c>
    </row>
    <row r="137" spans="1:4" x14ac:dyDescent="0.25">
      <c r="A137">
        <f>COUNTA($B$2:B137)</f>
        <v>136</v>
      </c>
      <c r="B137" t="str">
        <v>TRABDS</v>
      </c>
      <c r="C137" t="str">
        <v>TRAOTHWATDMD</v>
      </c>
      <c r="D137">
        <f t="array" ref="D137">COUNTA(_xlfn.UNIQUE(_xlfn._xlws.FILTER('TRA TECH'!$H:$H,('TRA TECH'!$I:$I=C137)*('TRA TECH'!$M:$M=1))))</f>
        <v>4</v>
      </c>
    </row>
    <row r="138" spans="1:4" x14ac:dyDescent="0.25">
      <c r="A138">
        <f>COUNTA($B$2:B138)</f>
        <v>137</v>
      </c>
      <c r="B138" t="str">
        <v>TRAFOI</v>
      </c>
      <c r="C138" t="str">
        <v>TRAOTHWATDMD</v>
      </c>
      <c r="D138">
        <f t="array" ref="D138">COUNTA(_xlfn.UNIQUE(_xlfn._xlws.FILTER('TRA TECH'!$H:$H,('TRA TECH'!$I:$I=C138)*('TRA TECH'!$M:$M=1))))</f>
        <v>4</v>
      </c>
    </row>
    <row r="139" spans="1:4" x14ac:dyDescent="0.25">
      <c r="A139">
        <f>COUNTA($B$2:B139)</f>
        <v>138</v>
      </c>
      <c r="B139" t="str">
        <v>TRAAGA</v>
      </c>
      <c r="C139" t="str">
        <v>TRAOTHAIRDMD</v>
      </c>
      <c r="D139">
        <f t="array" ref="D139">COUNTA(_xlfn.UNIQUE(_xlfn._xlws.FILTER('TRA TECH'!$H:$H,('TRA TECH'!$I:$I=C139)*('TRA TECH'!$M:$M=1))))</f>
        <v>4</v>
      </c>
    </row>
    <row r="140" spans="1:4" x14ac:dyDescent="0.25">
      <c r="A140">
        <f>COUNTA($B$2:B140)</f>
        <v>139</v>
      </c>
      <c r="B140" t="str">
        <v>TRAATF</v>
      </c>
      <c r="C140" t="str">
        <v>TRAOTHAIRDMD</v>
      </c>
      <c r="D140">
        <f t="array" ref="D140">COUNTA(_xlfn.UNIQUE(_xlfn._xlws.FILTER('TRA TECH'!$H:$H,('TRA TECH'!$I:$I=C140)*('TRA TECH'!$M:$M=1))))</f>
        <v>4</v>
      </c>
    </row>
    <row r="141" spans="1:4" x14ac:dyDescent="0.25">
      <c r="A141">
        <f>COUNTA($B$2:B141)</f>
        <v>140</v>
      </c>
      <c r="B141" t="str">
        <v>TRASAF</v>
      </c>
      <c r="C141" t="str">
        <v>TRAOTHAIRDMD</v>
      </c>
      <c r="D141">
        <f t="array" ref="D141">COUNTA(_xlfn.UNIQUE(_xlfn._xlws.FILTER('TRA TECH'!$H:$H,('TRA TECH'!$I:$I=C141)*('TRA TECH'!$M:$M=1))))</f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/>
  </sheetPr>
  <dimension ref="A1"/>
  <sheetViews>
    <sheetView workbookViewId="0">
      <selection activeCell="B42" sqref="B42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C564"/>
  <sheetViews>
    <sheetView topLeftCell="B1" workbookViewId="0">
      <selection activeCell="AC143" sqref="AC143"/>
    </sheetView>
  </sheetViews>
  <sheetFormatPr defaultColWidth="9.28515625" defaultRowHeight="15" x14ac:dyDescent="0.25"/>
  <cols>
    <col min="3" max="3" width="37.140625" bestFit="1" customWidth="1"/>
    <col min="4" max="4" width="12.28515625" bestFit="1" customWidth="1"/>
    <col min="5" max="5" width="28.5703125" bestFit="1" customWidth="1"/>
    <col min="6" max="6" width="28.5703125" customWidth="1"/>
    <col min="7" max="7" width="18.5703125" bestFit="1" customWidth="1"/>
    <col min="8" max="8" width="18" bestFit="1" customWidth="1"/>
    <col min="9" max="9" width="18" customWidth="1"/>
    <col min="10" max="10" width="7.42578125" bestFit="1" customWidth="1"/>
    <col min="11" max="11" width="11.5703125" bestFit="1" customWidth="1"/>
    <col min="12" max="12" width="14.42578125" bestFit="1" customWidth="1"/>
    <col min="13" max="13" width="16.42578125" bestFit="1" customWidth="1"/>
    <col min="17" max="17" width="37.140625" bestFit="1" customWidth="1"/>
    <col min="18" max="18" width="12.28515625" bestFit="1" customWidth="1"/>
    <col min="19" max="19" width="28.5703125" bestFit="1" customWidth="1"/>
    <col min="20" max="20" width="28.5703125" customWidth="1"/>
    <col min="21" max="21" width="18.5703125" bestFit="1" customWidth="1"/>
    <col min="22" max="22" width="18" bestFit="1" customWidth="1"/>
    <col min="23" max="23" width="18" customWidth="1"/>
    <col min="24" max="24" width="7.42578125" bestFit="1" customWidth="1"/>
    <col min="25" max="25" width="11.5703125" bestFit="1" customWidth="1"/>
    <col min="26" max="26" width="14.42578125" bestFit="1" customWidth="1"/>
    <col min="27" max="27" width="16.42578125" bestFit="1" customWidth="1"/>
  </cols>
  <sheetData>
    <row r="2" spans="1:29" s="9" customFormat="1" ht="12" customHeight="1" x14ac:dyDescent="0.2">
      <c r="C2" s="10" t="s">
        <v>471</v>
      </c>
      <c r="Q2" s="10" t="s">
        <v>471</v>
      </c>
    </row>
    <row r="3" spans="1:29" s="9" customFormat="1" ht="12" customHeight="1" x14ac:dyDescent="0.2">
      <c r="H3" s="10" t="s">
        <v>472</v>
      </c>
      <c r="I3" s="10"/>
      <c r="V3" s="10" t="s">
        <v>472</v>
      </c>
      <c r="W3" s="10"/>
    </row>
    <row r="4" spans="1:29" s="9" customFormat="1" ht="15.75" customHeight="1" thickBot="1" x14ac:dyDescent="0.25">
      <c r="C4" s="11" t="s">
        <v>473</v>
      </c>
      <c r="D4" s="12" t="s">
        <v>474</v>
      </c>
      <c r="E4" s="11" t="s">
        <v>475</v>
      </c>
      <c r="F4" s="11" t="s">
        <v>476</v>
      </c>
      <c r="G4" s="11" t="s">
        <v>477</v>
      </c>
      <c r="H4" s="11" t="s">
        <v>30</v>
      </c>
      <c r="I4" s="11" t="s">
        <v>478</v>
      </c>
      <c r="J4" s="11" t="s">
        <v>479</v>
      </c>
      <c r="K4" s="13" t="s">
        <v>480</v>
      </c>
      <c r="L4" s="13" t="s">
        <v>481</v>
      </c>
      <c r="M4" s="13" t="s">
        <v>482</v>
      </c>
      <c r="Q4" s="11" t="s">
        <v>473</v>
      </c>
      <c r="R4" s="12" t="s">
        <v>474</v>
      </c>
      <c r="S4" s="11" t="s">
        <v>475</v>
      </c>
      <c r="T4" s="11" t="s">
        <v>476</v>
      </c>
      <c r="U4" s="11" t="s">
        <v>477</v>
      </c>
      <c r="V4" s="11" t="s">
        <v>30</v>
      </c>
      <c r="W4" s="11" t="s">
        <v>478</v>
      </c>
      <c r="X4" s="11" t="s">
        <v>479</v>
      </c>
      <c r="Y4" s="13" t="s">
        <v>480</v>
      </c>
      <c r="Z4" s="13" t="s">
        <v>481</v>
      </c>
      <c r="AA4" s="13" t="s">
        <v>482</v>
      </c>
    </row>
    <row r="5" spans="1:29" s="9" customFormat="1" x14ac:dyDescent="0.25">
      <c r="A5" s="14">
        <v>1</v>
      </c>
      <c r="C5" s="15" t="str">
        <f>IF(E5="","",IF(_xlfn.XLOOKUP($A5,Selected_constraint!$A:$A,Selected_constraint!$D:$D)=1,"*",IF(SUMIFS('TRA TECH'!$M:$M,'TRA TECH'!$H:$H,E5,'TRA TECH'!$I:$I,F5)=0,"*",IF(SUMIFS('TRA RESID'!$P:$P,'TRA RESID'!$H:$H,$E5,'TRA RESID'!$I:$I,$F5)=0,"*","UC_MarketShare_"&amp;LEFT(F5,LEN(F5)-3)&amp;"_"&amp;RIGHT(E5,3)&amp;"_MIN"))))</f>
        <v>UC_MarketShare_TRAPASCAR_GSL_MIN</v>
      </c>
      <c r="D5" s="16"/>
      <c r="E5" s="17" t="str">
        <f>_xlfn.XLOOKUP($A5,Selected_constraint!$A:$A,Selected_constraint!$B:$B)</f>
        <v>TRAGSL</v>
      </c>
      <c r="F5" s="17" t="str">
        <f>_xlfn.XLOOKUP($A5,Selected_constraint!$A:$A,Selected_constraint!$C:$C)</f>
        <v>TRAPASCARDMD</v>
      </c>
      <c r="G5" s="17" t="str">
        <f>F5</f>
        <v>TRAPASCARDMD</v>
      </c>
      <c r="H5" s="18">
        <v>2019</v>
      </c>
      <c r="I5" s="19" t="s">
        <v>483</v>
      </c>
      <c r="J5" s="18">
        <v>1</v>
      </c>
      <c r="K5" s="20">
        <f>-SUMIFS('TRA RESID'!$P:$P,'TRA RESID'!$H:$H,$E5,'TRA RESID'!$I:$I,$F5)/SUMIFS('TRA RESID'!$P:$P,'TRA RESID'!$I:$I,$F5)*O5</f>
        <v>-0.95989845750495673</v>
      </c>
      <c r="L5" s="18">
        <v>0</v>
      </c>
      <c r="M5" s="18">
        <v>5</v>
      </c>
      <c r="O5" s="21">
        <v>0.98</v>
      </c>
      <c r="Q5" s="15" t="str">
        <f t="shared" ref="Q5:Q68" si="0">SUBSTITUTE(C5,"MIN","MAX")</f>
        <v>UC_MarketShare_TRAPASCAR_GSL_MAX</v>
      </c>
      <c r="R5" s="16"/>
      <c r="S5" s="17" t="str">
        <f>E5</f>
        <v>TRAGSL</v>
      </c>
      <c r="T5" s="17" t="str">
        <f>F5</f>
        <v>TRAPASCARDMD</v>
      </c>
      <c r="U5" s="17" t="str">
        <f>G5</f>
        <v>TRAPASCARDMD</v>
      </c>
      <c r="V5" s="18">
        <f>H5</f>
        <v>2019</v>
      </c>
      <c r="W5" s="19" t="s">
        <v>484</v>
      </c>
      <c r="X5" s="18">
        <v>1</v>
      </c>
      <c r="Y5" s="20">
        <f>-MIN(SUMIFS('TRA RESID'!$P:$P,'TRA RESID'!$H:$H,$E5,'TRA RESID'!$I:$I,$F5)/SUMIFS('TRA RESID'!$P:$P,'TRA RESID'!$I:$I,$F5)*AC5,1)</f>
        <v>-0.99907798638271017</v>
      </c>
      <c r="Z5" s="18">
        <v>0</v>
      </c>
      <c r="AA5" s="18">
        <v>5</v>
      </c>
      <c r="AC5" s="21">
        <v>1.02</v>
      </c>
    </row>
    <row r="6" spans="1:29" s="9" customFormat="1" x14ac:dyDescent="0.25">
      <c r="A6" s="9">
        <f>A5</f>
        <v>1</v>
      </c>
      <c r="C6" s="15" t="str">
        <f>IF(C5="*",C5,"")</f>
        <v/>
      </c>
      <c r="D6" s="16"/>
      <c r="E6" s="17" t="str">
        <f t="shared" ref="E6:G8" si="1">E5</f>
        <v>TRAGSL</v>
      </c>
      <c r="F6" s="17" t="str">
        <f t="shared" si="1"/>
        <v>TRAPASCARDMD</v>
      </c>
      <c r="G6" s="17" t="str">
        <f t="shared" si="1"/>
        <v>TRAPASCARDMD</v>
      </c>
      <c r="H6" s="18">
        <v>2025</v>
      </c>
      <c r="I6" s="18" t="str">
        <f>I5</f>
        <v>LO</v>
      </c>
      <c r="J6" s="18"/>
      <c r="K6" s="20">
        <f>-SUMIFS('TRA RESID'!$P:$P,'TRA RESID'!$H:$H,$E6,'TRA RESID'!$I:$I,$F6)/SUMIFS('TRA RESID'!$P:$P,'TRA RESID'!$I:$I,$F6)*O6</f>
        <v>-0.78359057755506678</v>
      </c>
      <c r="L6" s="18"/>
      <c r="M6" s="18"/>
      <c r="O6" s="21">
        <v>0.8</v>
      </c>
      <c r="Q6" s="15" t="str">
        <f t="shared" si="0"/>
        <v/>
      </c>
      <c r="R6" s="16"/>
      <c r="S6" s="17" t="str">
        <f t="shared" ref="S6:S69" si="2">E6</f>
        <v>TRAGSL</v>
      </c>
      <c r="T6" s="17" t="str">
        <f t="shared" ref="T6:T69" si="3">F6</f>
        <v>TRAPASCARDMD</v>
      </c>
      <c r="U6" s="17" t="str">
        <f t="shared" ref="U6:U69" si="4">G6</f>
        <v>TRAPASCARDMD</v>
      </c>
      <c r="V6" s="18">
        <v>2025</v>
      </c>
      <c r="W6" s="18" t="str">
        <f>W5</f>
        <v>UP</v>
      </c>
      <c r="X6" s="18"/>
      <c r="Y6" s="20">
        <f>-MIN(SUMIFS('TRA RESID'!$P:$P,'TRA RESID'!$H:$H,$E6,'TRA RESID'!$I:$I,$F6)/SUMIFS('TRA RESID'!$P:$P,'TRA RESID'!$I:$I,$F6)*AC6,1)</f>
        <v>-1</v>
      </c>
      <c r="Z6" s="18"/>
      <c r="AA6" s="18"/>
      <c r="AC6" s="21">
        <v>1.2</v>
      </c>
    </row>
    <row r="7" spans="1:29" s="9" customFormat="1" x14ac:dyDescent="0.25">
      <c r="A7" s="9">
        <f>A6</f>
        <v>1</v>
      </c>
      <c r="C7" s="15" t="str">
        <f>IF(C6="*",C6,"")</f>
        <v/>
      </c>
      <c r="D7" s="16"/>
      <c r="E7" s="17" t="str">
        <f t="shared" si="1"/>
        <v>TRAGSL</v>
      </c>
      <c r="F7" s="17" t="str">
        <f t="shared" si="1"/>
        <v>TRAPASCARDMD</v>
      </c>
      <c r="G7" s="17" t="str">
        <f t="shared" si="1"/>
        <v>TRAPASCARDMD</v>
      </c>
      <c r="H7" s="18">
        <v>2030</v>
      </c>
      <c r="I7" s="18" t="str">
        <f>I6</f>
        <v>LO</v>
      </c>
      <c r="J7" s="18"/>
      <c r="K7" s="20">
        <f>-SUMIFS('TRA RESID'!$P:$P,'TRA RESID'!$H:$H,$E7,'TRA RESID'!$I:$I,$F7)/SUMIFS('TRA RESID'!$P:$P,'TRA RESID'!$I:$I,$F7)*O7</f>
        <v>-0.1958976443887667</v>
      </c>
      <c r="L7" s="18"/>
      <c r="M7" s="18"/>
      <c r="O7" s="21">
        <v>0.2</v>
      </c>
      <c r="Q7" s="15" t="str">
        <f t="shared" si="0"/>
        <v/>
      </c>
      <c r="R7" s="16"/>
      <c r="S7" s="17" t="str">
        <f t="shared" si="2"/>
        <v>TRAGSL</v>
      </c>
      <c r="T7" s="17" t="str">
        <f t="shared" si="3"/>
        <v>TRAPASCARDMD</v>
      </c>
      <c r="U7" s="17" t="str">
        <f t="shared" si="4"/>
        <v>TRAPASCARDMD</v>
      </c>
      <c r="V7" s="18">
        <v>2030</v>
      </c>
      <c r="W7" s="18" t="str">
        <f>W6</f>
        <v>UP</v>
      </c>
      <c r="X7" s="18"/>
      <c r="Y7" s="20">
        <f>-MIN(SUMIFS('TRA RESID'!$P:$P,'TRA RESID'!$H:$H,$E7,'TRA RESID'!$I:$I,$F7)/SUMIFS('TRA RESID'!$P:$P,'TRA RESID'!$I:$I,$F7)*AC7,1)</f>
        <v>-1</v>
      </c>
      <c r="Z7" s="18"/>
      <c r="AA7" s="18"/>
      <c r="AC7" s="21">
        <v>1.5</v>
      </c>
    </row>
    <row r="8" spans="1:29" s="9" customFormat="1" x14ac:dyDescent="0.25">
      <c r="A8" s="22">
        <f>A7</f>
        <v>1</v>
      </c>
      <c r="B8" s="22"/>
      <c r="C8" s="23" t="str">
        <f>IF(C7="*",C7,"")</f>
        <v/>
      </c>
      <c r="D8" s="24"/>
      <c r="E8" s="25" t="str">
        <f t="shared" si="1"/>
        <v>TRAGSL</v>
      </c>
      <c r="F8" s="25" t="str">
        <f t="shared" si="1"/>
        <v>TRAPASCARDMD</v>
      </c>
      <c r="G8" s="25" t="str">
        <f t="shared" si="1"/>
        <v>TRAPASCARDMD</v>
      </c>
      <c r="H8" s="26">
        <v>2050</v>
      </c>
      <c r="I8" s="26" t="str">
        <f>I7</f>
        <v>LO</v>
      </c>
      <c r="J8" s="26"/>
      <c r="K8" s="27">
        <f>-SUMIFS('TRA RESID'!$P:$P,'TRA RESID'!$H:$H,$E8,'TRA RESID'!$I:$I,$F8)/SUMIFS('TRA RESID'!$P:$P,'TRA RESID'!$I:$I,$F8)*O8</f>
        <v>0</v>
      </c>
      <c r="L8" s="26"/>
      <c r="M8" s="26"/>
      <c r="N8" s="22"/>
      <c r="O8" s="28">
        <v>0</v>
      </c>
      <c r="Q8" s="23" t="str">
        <f t="shared" si="0"/>
        <v/>
      </c>
      <c r="R8" s="24"/>
      <c r="S8" s="25" t="str">
        <f t="shared" si="2"/>
        <v>TRAGSL</v>
      </c>
      <c r="T8" s="25" t="str">
        <f t="shared" si="3"/>
        <v>TRAPASCARDMD</v>
      </c>
      <c r="U8" s="25" t="str">
        <f t="shared" si="4"/>
        <v>TRAPASCARDMD</v>
      </c>
      <c r="V8" s="26">
        <v>2050</v>
      </c>
      <c r="W8" s="26" t="str">
        <f>W7</f>
        <v>UP</v>
      </c>
      <c r="X8" s="26"/>
      <c r="Y8" s="27">
        <f>-MIN(SUMIFS('TRA RESID'!$P:$P,'TRA RESID'!$H:$H,$E8,'TRA RESID'!$I:$I,$F8)/SUMIFS('TRA RESID'!$P:$P,'TRA RESID'!$I:$I,$F8)*AC8,1)</f>
        <v>-1</v>
      </c>
      <c r="Z8" s="26"/>
      <c r="AA8" s="26"/>
      <c r="AB8" s="22"/>
      <c r="AC8" s="28">
        <v>3</v>
      </c>
    </row>
    <row r="9" spans="1:29" x14ac:dyDescent="0.25">
      <c r="A9" s="14">
        <f>A5+1</f>
        <v>2</v>
      </c>
      <c r="B9" s="9"/>
      <c r="C9" s="15" t="str">
        <f>IF(E9="","",IF(_xlfn.XLOOKUP($A9,Selected_constraint!$A:$A,Selected_constraint!$D:$D)=1,"*",IF(SUMIFS('TRA TECH'!$M:$M,'TRA TECH'!$H:$H,E9,'TRA TECH'!$I:$I,F9)=0,"*",IF(SUMIFS('TRA RESID'!$P:$P,'TRA RESID'!$H:$H,$E9,'TRA RESID'!$I:$I,$F9)=0,"*","UC_MarketShare_"&amp;LEFT(F9,LEN(F9)-3)&amp;"_"&amp;RIGHT(E9,3)&amp;"_MIN"))))</f>
        <v>*</v>
      </c>
      <c r="D9" s="16"/>
      <c r="E9" s="17" t="str">
        <f>_xlfn.XLOOKUP($A9,Selected_constraint!$A:$A,Selected_constraint!$B:$B)</f>
        <v>TRAETH</v>
      </c>
      <c r="F9" s="17" t="str">
        <f>_xlfn.XLOOKUP($A9,Selected_constraint!$A:$A,Selected_constraint!$C:$C)</f>
        <v>TRAPASCARDMD</v>
      </c>
      <c r="G9" s="17" t="str">
        <f>F9</f>
        <v>TRAPASCARDMD</v>
      </c>
      <c r="H9" s="18">
        <v>2019</v>
      </c>
      <c r="I9" s="18" t="s">
        <v>483</v>
      </c>
      <c r="J9" s="18">
        <v>1</v>
      </c>
      <c r="K9" s="20">
        <f>-SUMIFS('TRA RESID'!$P:$P,'TRA RESID'!$H:$H,$E9,'TRA RESID'!$I:$I,$F9)/SUMIFS('TRA RESID'!$P:$P,'TRA RESID'!$I:$I,$F9)*O9</f>
        <v>0</v>
      </c>
      <c r="L9" s="18">
        <v>0</v>
      </c>
      <c r="M9" s="18">
        <v>5</v>
      </c>
      <c r="N9" s="9"/>
      <c r="O9" s="21">
        <v>0.98</v>
      </c>
      <c r="Q9" s="15" t="str">
        <f t="shared" si="0"/>
        <v>*</v>
      </c>
      <c r="R9" s="16"/>
      <c r="S9" s="17" t="str">
        <f t="shared" si="2"/>
        <v>TRAETH</v>
      </c>
      <c r="T9" s="17" t="str">
        <f t="shared" si="3"/>
        <v>TRAPASCARDMD</v>
      </c>
      <c r="U9" s="17" t="str">
        <f t="shared" si="4"/>
        <v>TRAPASCARDMD</v>
      </c>
      <c r="V9" s="18">
        <v>2019</v>
      </c>
      <c r="W9" s="18" t="s">
        <v>484</v>
      </c>
      <c r="X9" s="18">
        <v>1</v>
      </c>
      <c r="Y9" s="20">
        <f>-MIN(SUMIFS('TRA RESID'!$P:$P,'TRA RESID'!$H:$H,$E9,'TRA RESID'!$I:$I,$F9)/SUMIFS('TRA RESID'!$P:$P,'TRA RESID'!$I:$I,$F9)*AC9,1)</f>
        <v>0</v>
      </c>
      <c r="Z9" s="18">
        <v>0</v>
      </c>
      <c r="AA9" s="18">
        <v>5</v>
      </c>
      <c r="AB9" s="9"/>
      <c r="AC9" s="21">
        <v>1.02</v>
      </c>
    </row>
    <row r="10" spans="1:29" x14ac:dyDescent="0.25">
      <c r="A10" s="9">
        <f>A9</f>
        <v>2</v>
      </c>
      <c r="B10" s="9"/>
      <c r="C10" s="15" t="str">
        <f>IF(C9="*",C9,"")</f>
        <v>*</v>
      </c>
      <c r="D10" s="16"/>
      <c r="E10" s="17" t="str">
        <f t="shared" ref="E10:G12" si="5">E9</f>
        <v>TRAETH</v>
      </c>
      <c r="F10" s="17" t="str">
        <f t="shared" si="5"/>
        <v>TRAPASCARDMD</v>
      </c>
      <c r="G10" s="17" t="str">
        <f t="shared" si="5"/>
        <v>TRAPASCARDMD</v>
      </c>
      <c r="H10" s="18">
        <v>2025</v>
      </c>
      <c r="I10" s="18" t="str">
        <f>I9</f>
        <v>LO</v>
      </c>
      <c r="J10" s="18"/>
      <c r="K10" s="20">
        <f>-SUMIFS('TRA RESID'!$P:$P,'TRA RESID'!$H:$H,$E10,'TRA RESID'!$I:$I,$F10)/SUMIFS('TRA RESID'!$P:$P,'TRA RESID'!$I:$I,$F10)*O10</f>
        <v>0</v>
      </c>
      <c r="L10" s="18"/>
      <c r="M10" s="18"/>
      <c r="N10" s="9"/>
      <c r="O10" s="21">
        <v>0.8</v>
      </c>
      <c r="Q10" s="15" t="str">
        <f t="shared" si="0"/>
        <v>*</v>
      </c>
      <c r="R10" s="16"/>
      <c r="S10" s="17" t="str">
        <f t="shared" si="2"/>
        <v>TRAETH</v>
      </c>
      <c r="T10" s="17" t="str">
        <f t="shared" si="3"/>
        <v>TRAPASCARDMD</v>
      </c>
      <c r="U10" s="17" t="str">
        <f t="shared" si="4"/>
        <v>TRAPASCARDMD</v>
      </c>
      <c r="V10" s="18">
        <v>2025</v>
      </c>
      <c r="W10" s="18" t="str">
        <f>W9</f>
        <v>UP</v>
      </c>
      <c r="X10" s="18"/>
      <c r="Y10" s="20">
        <f>-MIN(SUMIFS('TRA RESID'!$P:$P,'TRA RESID'!$H:$H,$E10,'TRA RESID'!$I:$I,$F10)/SUMIFS('TRA RESID'!$P:$P,'TRA RESID'!$I:$I,$F10)*AC10,1)</f>
        <v>0</v>
      </c>
      <c r="Z10" s="18"/>
      <c r="AA10" s="18"/>
      <c r="AB10" s="9"/>
      <c r="AC10" s="21">
        <v>1.2</v>
      </c>
    </row>
    <row r="11" spans="1:29" x14ac:dyDescent="0.25">
      <c r="A11" s="9">
        <f>A10</f>
        <v>2</v>
      </c>
      <c r="B11" s="9"/>
      <c r="C11" s="15" t="str">
        <f>IF(C10="*",C10,"")</f>
        <v>*</v>
      </c>
      <c r="D11" s="16"/>
      <c r="E11" s="17" t="str">
        <f t="shared" si="5"/>
        <v>TRAETH</v>
      </c>
      <c r="F11" s="17" t="str">
        <f t="shared" si="5"/>
        <v>TRAPASCARDMD</v>
      </c>
      <c r="G11" s="17" t="str">
        <f t="shared" si="5"/>
        <v>TRAPASCARDMD</v>
      </c>
      <c r="H11" s="18">
        <v>2030</v>
      </c>
      <c r="I11" s="18" t="str">
        <f>I10</f>
        <v>LO</v>
      </c>
      <c r="J11" s="18"/>
      <c r="K11" s="20">
        <f>-SUMIFS('TRA RESID'!$P:$P,'TRA RESID'!$H:$H,$E11,'TRA RESID'!$I:$I,$F11)/SUMIFS('TRA RESID'!$P:$P,'TRA RESID'!$I:$I,$F11)*O11</f>
        <v>0</v>
      </c>
      <c r="L11" s="18"/>
      <c r="M11" s="18"/>
      <c r="N11" s="9"/>
      <c r="O11" s="21">
        <v>0.2</v>
      </c>
      <c r="Q11" s="15" t="str">
        <f t="shared" si="0"/>
        <v>*</v>
      </c>
      <c r="R11" s="16"/>
      <c r="S11" s="17" t="str">
        <f t="shared" si="2"/>
        <v>TRAETH</v>
      </c>
      <c r="T11" s="17" t="str">
        <f t="shared" si="3"/>
        <v>TRAPASCARDMD</v>
      </c>
      <c r="U11" s="17" t="str">
        <f t="shared" si="4"/>
        <v>TRAPASCARDMD</v>
      </c>
      <c r="V11" s="18">
        <v>2030</v>
      </c>
      <c r="W11" s="18" t="str">
        <f>W10</f>
        <v>UP</v>
      </c>
      <c r="X11" s="18"/>
      <c r="Y11" s="20">
        <f>-MIN(SUMIFS('TRA RESID'!$P:$P,'TRA RESID'!$H:$H,$E11,'TRA RESID'!$I:$I,$F11)/SUMIFS('TRA RESID'!$P:$P,'TRA RESID'!$I:$I,$F11)*AC11,1)</f>
        <v>0</v>
      </c>
      <c r="Z11" s="18"/>
      <c r="AA11" s="18"/>
      <c r="AB11" s="9"/>
      <c r="AC11" s="21">
        <v>1.5</v>
      </c>
    </row>
    <row r="12" spans="1:29" x14ac:dyDescent="0.25">
      <c r="A12" s="22">
        <f>A11</f>
        <v>2</v>
      </c>
      <c r="B12" s="22"/>
      <c r="C12" s="23" t="str">
        <f>IF(C11="*",C11,"")</f>
        <v>*</v>
      </c>
      <c r="D12" s="24"/>
      <c r="E12" s="25" t="str">
        <f t="shared" si="5"/>
        <v>TRAETH</v>
      </c>
      <c r="F12" s="25" t="str">
        <f t="shared" si="5"/>
        <v>TRAPASCARDMD</v>
      </c>
      <c r="G12" s="25" t="str">
        <f t="shared" si="5"/>
        <v>TRAPASCARDMD</v>
      </c>
      <c r="H12" s="26">
        <v>2050</v>
      </c>
      <c r="I12" s="26" t="str">
        <f>I11</f>
        <v>LO</v>
      </c>
      <c r="J12" s="26"/>
      <c r="K12" s="27">
        <f>-SUMIFS('TRA RESID'!$P:$P,'TRA RESID'!$H:$H,$E12,'TRA RESID'!$I:$I,$F12)/SUMIFS('TRA RESID'!$P:$P,'TRA RESID'!$I:$I,$F12)*O12</f>
        <v>0</v>
      </c>
      <c r="L12" s="26"/>
      <c r="M12" s="26"/>
      <c r="N12" s="22"/>
      <c r="O12" s="28">
        <v>0</v>
      </c>
      <c r="Q12" s="23" t="str">
        <f t="shared" si="0"/>
        <v>*</v>
      </c>
      <c r="R12" s="24"/>
      <c r="S12" s="25" t="str">
        <f t="shared" si="2"/>
        <v>TRAETH</v>
      </c>
      <c r="T12" s="25" t="str">
        <f t="shared" si="3"/>
        <v>TRAPASCARDMD</v>
      </c>
      <c r="U12" s="25" t="str">
        <f t="shared" si="4"/>
        <v>TRAPASCARDMD</v>
      </c>
      <c r="V12" s="26">
        <v>2050</v>
      </c>
      <c r="W12" s="26" t="str">
        <f>W11</f>
        <v>UP</v>
      </c>
      <c r="X12" s="26"/>
      <c r="Y12" s="27">
        <f>-MIN(SUMIFS('TRA RESID'!$P:$P,'TRA RESID'!$H:$H,$E12,'TRA RESID'!$I:$I,$F12)/SUMIFS('TRA RESID'!$P:$P,'TRA RESID'!$I:$I,$F12)*AC12,1)</f>
        <v>0</v>
      </c>
      <c r="Z12" s="26"/>
      <c r="AA12" s="26"/>
      <c r="AB12" s="22"/>
      <c r="AC12" s="28">
        <v>3</v>
      </c>
    </row>
    <row r="13" spans="1:29" x14ac:dyDescent="0.25">
      <c r="A13" s="14">
        <f>A9+1</f>
        <v>3</v>
      </c>
      <c r="B13" s="9"/>
      <c r="C13" s="15" t="str">
        <f>IF(E13="","",IF(_xlfn.XLOOKUP($A13,Selected_constraint!$A:$A,Selected_constraint!$D:$D)=1,"*",IF(SUMIFS('TRA TECH'!$M:$M,'TRA TECH'!$H:$H,E13,'TRA TECH'!$I:$I,F13)=0,"*",IF(SUMIFS('TRA RESID'!$P:$P,'TRA RESID'!$H:$H,$E13,'TRA RESID'!$I:$I,$F13)=0,"*","UC_MarketShare_"&amp;LEFT(F13,LEN(F13)-3)&amp;"_"&amp;RIGHT(E13,3)&amp;"_MIN"))))</f>
        <v>UC_MarketShare_TRAPASCAR_DSL_MIN</v>
      </c>
      <c r="D13" s="16"/>
      <c r="E13" s="17" t="str">
        <f>_xlfn.XLOOKUP($A13,Selected_constraint!$A:$A,Selected_constraint!$B:$B)</f>
        <v>TRADSL</v>
      </c>
      <c r="F13" s="17" t="str">
        <f>_xlfn.XLOOKUP($A13,Selected_constraint!$A:$A,Selected_constraint!$C:$C)</f>
        <v>TRAPASCARDMD</v>
      </c>
      <c r="G13" s="17" t="str">
        <f>F13</f>
        <v>TRAPASCARDMD</v>
      </c>
      <c r="H13" s="18">
        <v>2019</v>
      </c>
      <c r="I13" s="18" t="s">
        <v>483</v>
      </c>
      <c r="J13" s="18">
        <v>1</v>
      </c>
      <c r="K13" s="20">
        <f>-SUMIFS('TRA RESID'!$P:$P,'TRA RESID'!$H:$H,$E13,'TRA RESID'!$I:$I,$F13)/SUMIFS('TRA RESID'!$P:$P,'TRA RESID'!$I:$I,$F13)*O13</f>
        <v>-1.0853290177352591E-2</v>
      </c>
      <c r="L13" s="18">
        <v>0</v>
      </c>
      <c r="M13" s="18">
        <v>5</v>
      </c>
      <c r="N13" s="9"/>
      <c r="O13" s="21">
        <v>0.98</v>
      </c>
      <c r="Q13" s="15" t="str">
        <f t="shared" si="0"/>
        <v>UC_MarketShare_TRAPASCAR_DSL_MAX</v>
      </c>
      <c r="R13" s="16"/>
      <c r="S13" s="17" t="str">
        <f t="shared" si="2"/>
        <v>TRADSL</v>
      </c>
      <c r="T13" s="17" t="str">
        <f t="shared" si="3"/>
        <v>TRAPASCARDMD</v>
      </c>
      <c r="U13" s="17" t="str">
        <f t="shared" si="4"/>
        <v>TRAPASCARDMD</v>
      </c>
      <c r="V13" s="18">
        <v>2019</v>
      </c>
      <c r="W13" s="18" t="s">
        <v>484</v>
      </c>
      <c r="X13" s="18">
        <v>1</v>
      </c>
      <c r="Y13" s="20">
        <f>-MIN(SUMIFS('TRA RESID'!$P:$P,'TRA RESID'!$H:$H,$E13,'TRA RESID'!$I:$I,$F13)/SUMIFS('TRA RESID'!$P:$P,'TRA RESID'!$I:$I,$F13)*AC13,1)</f>
        <v>-1.1296281613162902E-2</v>
      </c>
      <c r="Z13" s="18">
        <v>0</v>
      </c>
      <c r="AA13" s="18">
        <v>5</v>
      </c>
      <c r="AB13" s="9"/>
      <c r="AC13" s="21">
        <v>1.02</v>
      </c>
    </row>
    <row r="14" spans="1:29" x14ac:dyDescent="0.25">
      <c r="A14" s="9">
        <f>A13</f>
        <v>3</v>
      </c>
      <c r="B14" s="9"/>
      <c r="C14" s="15" t="str">
        <f>IF(C13="*",C13,"")</f>
        <v/>
      </c>
      <c r="D14" s="16"/>
      <c r="E14" s="17" t="str">
        <f t="shared" ref="E14:G16" si="6">E13</f>
        <v>TRADSL</v>
      </c>
      <c r="F14" s="17" t="str">
        <f t="shared" si="6"/>
        <v>TRAPASCARDMD</v>
      </c>
      <c r="G14" s="17" t="str">
        <f t="shared" si="6"/>
        <v>TRAPASCARDMD</v>
      </c>
      <c r="H14" s="18">
        <v>2025</v>
      </c>
      <c r="I14" s="18" t="str">
        <f>I13</f>
        <v>LO</v>
      </c>
      <c r="J14" s="18"/>
      <c r="K14" s="20">
        <f>-SUMIFS('TRA RESID'!$P:$P,'TRA RESID'!$H:$H,$E14,'TRA RESID'!$I:$I,$F14)/SUMIFS('TRA RESID'!$P:$P,'TRA RESID'!$I:$I,$F14)*O14</f>
        <v>-8.8598287162061969E-3</v>
      </c>
      <c r="L14" s="18"/>
      <c r="M14" s="18"/>
      <c r="N14" s="9"/>
      <c r="O14" s="21">
        <v>0.8</v>
      </c>
      <c r="Q14" s="15" t="str">
        <f t="shared" si="0"/>
        <v/>
      </c>
      <c r="R14" s="16"/>
      <c r="S14" s="17" t="str">
        <f t="shared" si="2"/>
        <v>TRADSL</v>
      </c>
      <c r="T14" s="17" t="str">
        <f t="shared" si="3"/>
        <v>TRAPASCARDMD</v>
      </c>
      <c r="U14" s="17" t="str">
        <f t="shared" si="4"/>
        <v>TRAPASCARDMD</v>
      </c>
      <c r="V14" s="18">
        <v>2025</v>
      </c>
      <c r="W14" s="18" t="str">
        <f>W13</f>
        <v>UP</v>
      </c>
      <c r="X14" s="18"/>
      <c r="Y14" s="20">
        <f>-MIN(SUMIFS('TRA RESID'!$P:$P,'TRA RESID'!$H:$H,$E14,'TRA RESID'!$I:$I,$F14)/SUMIFS('TRA RESID'!$P:$P,'TRA RESID'!$I:$I,$F14)*AC14,1)</f>
        <v>-1.3289743074309296E-2</v>
      </c>
      <c r="Z14" s="18"/>
      <c r="AA14" s="18"/>
      <c r="AB14" s="9"/>
      <c r="AC14" s="21">
        <v>1.2</v>
      </c>
    </row>
    <row r="15" spans="1:29" x14ac:dyDescent="0.25">
      <c r="A15" s="9">
        <f>A14</f>
        <v>3</v>
      </c>
      <c r="B15" s="9"/>
      <c r="C15" s="15" t="str">
        <f>IF(C14="*",C14,"")</f>
        <v/>
      </c>
      <c r="D15" s="16"/>
      <c r="E15" s="17" t="str">
        <f t="shared" si="6"/>
        <v>TRADSL</v>
      </c>
      <c r="F15" s="17" t="str">
        <f t="shared" si="6"/>
        <v>TRAPASCARDMD</v>
      </c>
      <c r="G15" s="17" t="str">
        <f t="shared" si="6"/>
        <v>TRAPASCARDMD</v>
      </c>
      <c r="H15" s="18">
        <v>2030</v>
      </c>
      <c r="I15" s="18" t="str">
        <f>I14</f>
        <v>LO</v>
      </c>
      <c r="J15" s="18"/>
      <c r="K15" s="20">
        <f>-SUMIFS('TRA RESID'!$P:$P,'TRA RESID'!$H:$H,$E15,'TRA RESID'!$I:$I,$F15)/SUMIFS('TRA RESID'!$P:$P,'TRA RESID'!$I:$I,$F15)*O15</f>
        <v>-2.2149571790515492E-3</v>
      </c>
      <c r="L15" s="18"/>
      <c r="M15" s="18"/>
      <c r="N15" s="9"/>
      <c r="O15" s="21">
        <v>0.2</v>
      </c>
      <c r="Q15" s="15" t="str">
        <f t="shared" si="0"/>
        <v/>
      </c>
      <c r="R15" s="16"/>
      <c r="S15" s="17" t="str">
        <f t="shared" si="2"/>
        <v>TRADSL</v>
      </c>
      <c r="T15" s="17" t="str">
        <f t="shared" si="3"/>
        <v>TRAPASCARDMD</v>
      </c>
      <c r="U15" s="17" t="str">
        <f t="shared" si="4"/>
        <v>TRAPASCARDMD</v>
      </c>
      <c r="V15" s="18">
        <v>2030</v>
      </c>
      <c r="W15" s="18" t="str">
        <f>W14</f>
        <v>UP</v>
      </c>
      <c r="X15" s="18"/>
      <c r="Y15" s="20">
        <f>-MIN(SUMIFS('TRA RESID'!$P:$P,'TRA RESID'!$H:$H,$E15,'TRA RESID'!$I:$I,$F15)/SUMIFS('TRA RESID'!$P:$P,'TRA RESID'!$I:$I,$F15)*AC15,1)</f>
        <v>-1.661217884288662E-2</v>
      </c>
      <c r="Z15" s="18"/>
      <c r="AA15" s="18"/>
      <c r="AB15" s="9"/>
      <c r="AC15" s="21">
        <v>1.5</v>
      </c>
    </row>
    <row r="16" spans="1:29" x14ac:dyDescent="0.25">
      <c r="A16" s="22">
        <f>A15</f>
        <v>3</v>
      </c>
      <c r="B16" s="22"/>
      <c r="C16" s="23" t="str">
        <f>IF(C15="*",C15,"")</f>
        <v/>
      </c>
      <c r="D16" s="24"/>
      <c r="E16" s="25" t="str">
        <f t="shared" si="6"/>
        <v>TRADSL</v>
      </c>
      <c r="F16" s="25" t="str">
        <f t="shared" si="6"/>
        <v>TRAPASCARDMD</v>
      </c>
      <c r="G16" s="25" t="str">
        <f t="shared" si="6"/>
        <v>TRAPASCARDMD</v>
      </c>
      <c r="H16" s="26">
        <v>2050</v>
      </c>
      <c r="I16" s="26" t="str">
        <f>I15</f>
        <v>LO</v>
      </c>
      <c r="J16" s="26"/>
      <c r="K16" s="27">
        <f>-SUMIFS('TRA RESID'!$P:$P,'TRA RESID'!$H:$H,$E16,'TRA RESID'!$I:$I,$F16)/SUMIFS('TRA RESID'!$P:$P,'TRA RESID'!$I:$I,$F16)*O16</f>
        <v>0</v>
      </c>
      <c r="L16" s="26"/>
      <c r="M16" s="26"/>
      <c r="N16" s="22"/>
      <c r="O16" s="28">
        <v>0</v>
      </c>
      <c r="Q16" s="23" t="str">
        <f t="shared" si="0"/>
        <v/>
      </c>
      <c r="R16" s="24"/>
      <c r="S16" s="25" t="str">
        <f t="shared" si="2"/>
        <v>TRADSL</v>
      </c>
      <c r="T16" s="25" t="str">
        <f t="shared" si="3"/>
        <v>TRAPASCARDMD</v>
      </c>
      <c r="U16" s="25" t="str">
        <f t="shared" si="4"/>
        <v>TRAPASCARDMD</v>
      </c>
      <c r="V16" s="26">
        <v>2050</v>
      </c>
      <c r="W16" s="26" t="str">
        <f>W15</f>
        <v>UP</v>
      </c>
      <c r="X16" s="26"/>
      <c r="Y16" s="27">
        <f>-MIN(SUMIFS('TRA RESID'!$P:$P,'TRA RESID'!$H:$H,$E16,'TRA RESID'!$I:$I,$F16)/SUMIFS('TRA RESID'!$P:$P,'TRA RESID'!$I:$I,$F16)*AC16,1)</f>
        <v>-3.322435768577324E-2</v>
      </c>
      <c r="Z16" s="26"/>
      <c r="AA16" s="26"/>
      <c r="AB16" s="22"/>
      <c r="AC16" s="28">
        <v>3</v>
      </c>
    </row>
    <row r="17" spans="1:29" x14ac:dyDescent="0.25">
      <c r="A17" s="14">
        <f>A13+1</f>
        <v>4</v>
      </c>
      <c r="B17" s="9"/>
      <c r="C17" s="15" t="str">
        <f>IF(E17="","",IF(_xlfn.XLOOKUP($A17,Selected_constraint!$A:$A,Selected_constraint!$D:$D)=1,"*",IF(SUMIFS('TRA TECH'!$M:$M,'TRA TECH'!$H:$H,E17,'TRA TECH'!$I:$I,F17)=0,"*",IF(SUMIFS('TRA RESID'!$P:$P,'TRA RESID'!$H:$H,$E17,'TRA RESID'!$I:$I,$F17)=0,"*","UC_MarketShare_"&amp;LEFT(F17,LEN(F17)-3)&amp;"_"&amp;RIGHT(E17,3)&amp;"_MIN"))))</f>
        <v>*</v>
      </c>
      <c r="D17" s="16"/>
      <c r="E17" s="17" t="str">
        <f>_xlfn.XLOOKUP($A17,Selected_constraint!$A:$A,Selected_constraint!$B:$B)</f>
        <v>TRARDS</v>
      </c>
      <c r="F17" s="17" t="str">
        <f>_xlfn.XLOOKUP($A17,Selected_constraint!$A:$A,Selected_constraint!$C:$C)</f>
        <v>TRAPASCARDMD</v>
      </c>
      <c r="G17" s="17" t="str">
        <f>F17</f>
        <v>TRAPASCARDMD</v>
      </c>
      <c r="H17" s="18">
        <v>2019</v>
      </c>
      <c r="I17" s="18" t="s">
        <v>483</v>
      </c>
      <c r="J17" s="18">
        <v>1</v>
      </c>
      <c r="K17" s="20">
        <f>-SUMIFS('TRA RESID'!$P:$P,'TRA RESID'!$H:$H,$E17,'TRA RESID'!$I:$I,$F17)/SUMIFS('TRA RESID'!$P:$P,'TRA RESID'!$I:$I,$F17)*O17</f>
        <v>0</v>
      </c>
      <c r="L17" s="18">
        <v>0</v>
      </c>
      <c r="M17" s="18">
        <v>5</v>
      </c>
      <c r="N17" s="9"/>
      <c r="O17" s="21">
        <v>0.98</v>
      </c>
      <c r="Q17" s="15" t="str">
        <f t="shared" si="0"/>
        <v>*</v>
      </c>
      <c r="R17" s="16"/>
      <c r="S17" s="17" t="str">
        <f t="shared" si="2"/>
        <v>TRARDS</v>
      </c>
      <c r="T17" s="17" t="str">
        <f t="shared" si="3"/>
        <v>TRAPASCARDMD</v>
      </c>
      <c r="U17" s="17" t="str">
        <f t="shared" si="4"/>
        <v>TRAPASCARDMD</v>
      </c>
      <c r="V17" s="18">
        <v>2019</v>
      </c>
      <c r="W17" s="18" t="s">
        <v>484</v>
      </c>
      <c r="X17" s="18">
        <v>1</v>
      </c>
      <c r="Y17" s="20">
        <f>-MIN(SUMIFS('TRA RESID'!$P:$P,'TRA RESID'!$H:$H,$E17,'TRA RESID'!$I:$I,$F17)/SUMIFS('TRA RESID'!$P:$P,'TRA RESID'!$I:$I,$F17)*AC17,1)</f>
        <v>0</v>
      </c>
      <c r="Z17" s="18">
        <v>0</v>
      </c>
      <c r="AA17" s="18">
        <v>5</v>
      </c>
      <c r="AB17" s="9"/>
      <c r="AC17" s="21">
        <v>1.02</v>
      </c>
    </row>
    <row r="18" spans="1:29" x14ac:dyDescent="0.25">
      <c r="A18" s="9">
        <f>A17</f>
        <v>4</v>
      </c>
      <c r="B18" s="9"/>
      <c r="C18" s="15" t="str">
        <f>IF(C17="*",C17,"")</f>
        <v>*</v>
      </c>
      <c r="D18" s="16"/>
      <c r="E18" s="17" t="str">
        <f t="shared" ref="E18:G20" si="7">E17</f>
        <v>TRARDS</v>
      </c>
      <c r="F18" s="17" t="str">
        <f t="shared" si="7"/>
        <v>TRAPASCARDMD</v>
      </c>
      <c r="G18" s="17" t="str">
        <f t="shared" si="7"/>
        <v>TRAPASCARDMD</v>
      </c>
      <c r="H18" s="18">
        <v>2025</v>
      </c>
      <c r="I18" s="18" t="str">
        <f>I17</f>
        <v>LO</v>
      </c>
      <c r="J18" s="18"/>
      <c r="K18" s="20">
        <f>-SUMIFS('TRA RESID'!$P:$P,'TRA RESID'!$H:$H,$E18,'TRA RESID'!$I:$I,$F18)/SUMIFS('TRA RESID'!$P:$P,'TRA RESID'!$I:$I,$F18)*O18</f>
        <v>0</v>
      </c>
      <c r="L18" s="18"/>
      <c r="M18" s="18"/>
      <c r="N18" s="9"/>
      <c r="O18" s="21">
        <v>0.8</v>
      </c>
      <c r="Q18" s="15" t="str">
        <f t="shared" si="0"/>
        <v>*</v>
      </c>
      <c r="R18" s="16"/>
      <c r="S18" s="17" t="str">
        <f t="shared" si="2"/>
        <v>TRARDS</v>
      </c>
      <c r="T18" s="17" t="str">
        <f t="shared" si="3"/>
        <v>TRAPASCARDMD</v>
      </c>
      <c r="U18" s="17" t="str">
        <f t="shared" si="4"/>
        <v>TRAPASCARDMD</v>
      </c>
      <c r="V18" s="18">
        <v>2025</v>
      </c>
      <c r="W18" s="18" t="str">
        <f>W17</f>
        <v>UP</v>
      </c>
      <c r="X18" s="18"/>
      <c r="Y18" s="20">
        <f>-MIN(SUMIFS('TRA RESID'!$P:$P,'TRA RESID'!$H:$H,$E18,'TRA RESID'!$I:$I,$F18)/SUMIFS('TRA RESID'!$P:$P,'TRA RESID'!$I:$I,$F18)*AC18,1)</f>
        <v>0</v>
      </c>
      <c r="Z18" s="18"/>
      <c r="AA18" s="18"/>
      <c r="AB18" s="9"/>
      <c r="AC18" s="21">
        <v>1.2</v>
      </c>
    </row>
    <row r="19" spans="1:29" x14ac:dyDescent="0.25">
      <c r="A19" s="9">
        <f>A18</f>
        <v>4</v>
      </c>
      <c r="B19" s="9"/>
      <c r="C19" s="15" t="str">
        <f>IF(C18="*",C18,"")</f>
        <v>*</v>
      </c>
      <c r="D19" s="16"/>
      <c r="E19" s="17" t="str">
        <f t="shared" si="7"/>
        <v>TRARDS</v>
      </c>
      <c r="F19" s="17" t="str">
        <f t="shared" si="7"/>
        <v>TRAPASCARDMD</v>
      </c>
      <c r="G19" s="17" t="str">
        <f t="shared" si="7"/>
        <v>TRAPASCARDMD</v>
      </c>
      <c r="H19" s="18">
        <v>2030</v>
      </c>
      <c r="I19" s="18" t="str">
        <f>I18</f>
        <v>LO</v>
      </c>
      <c r="J19" s="18"/>
      <c r="K19" s="20">
        <f>-SUMIFS('TRA RESID'!$P:$P,'TRA RESID'!$H:$H,$E19,'TRA RESID'!$I:$I,$F19)/SUMIFS('TRA RESID'!$P:$P,'TRA RESID'!$I:$I,$F19)*O19</f>
        <v>0</v>
      </c>
      <c r="L19" s="18"/>
      <c r="M19" s="18"/>
      <c r="N19" s="9"/>
      <c r="O19" s="21">
        <v>0.2</v>
      </c>
      <c r="Q19" s="15" t="str">
        <f t="shared" si="0"/>
        <v>*</v>
      </c>
      <c r="R19" s="16"/>
      <c r="S19" s="17" t="str">
        <f t="shared" si="2"/>
        <v>TRARDS</v>
      </c>
      <c r="T19" s="17" t="str">
        <f t="shared" si="3"/>
        <v>TRAPASCARDMD</v>
      </c>
      <c r="U19" s="17" t="str">
        <f t="shared" si="4"/>
        <v>TRAPASCARDMD</v>
      </c>
      <c r="V19" s="18">
        <v>2030</v>
      </c>
      <c r="W19" s="18" t="str">
        <f>W18</f>
        <v>UP</v>
      </c>
      <c r="X19" s="18"/>
      <c r="Y19" s="20">
        <f>-MIN(SUMIFS('TRA RESID'!$P:$P,'TRA RESID'!$H:$H,$E19,'TRA RESID'!$I:$I,$F19)/SUMIFS('TRA RESID'!$P:$P,'TRA RESID'!$I:$I,$F19)*AC19,1)</f>
        <v>0</v>
      </c>
      <c r="Z19" s="18"/>
      <c r="AA19" s="18"/>
      <c r="AB19" s="9"/>
      <c r="AC19" s="21">
        <v>1.5</v>
      </c>
    </row>
    <row r="20" spans="1:29" x14ac:dyDescent="0.25">
      <c r="A20" s="22">
        <f>A19</f>
        <v>4</v>
      </c>
      <c r="B20" s="22"/>
      <c r="C20" s="23" t="str">
        <f>IF(C19="*",C19,"")</f>
        <v>*</v>
      </c>
      <c r="D20" s="24"/>
      <c r="E20" s="25" t="str">
        <f t="shared" si="7"/>
        <v>TRARDS</v>
      </c>
      <c r="F20" s="25" t="str">
        <f t="shared" si="7"/>
        <v>TRAPASCARDMD</v>
      </c>
      <c r="G20" s="25" t="str">
        <f t="shared" si="7"/>
        <v>TRAPASCARDMD</v>
      </c>
      <c r="H20" s="26">
        <v>2050</v>
      </c>
      <c r="I20" s="26" t="str">
        <f>I19</f>
        <v>LO</v>
      </c>
      <c r="J20" s="26"/>
      <c r="K20" s="27">
        <f>-SUMIFS('TRA RESID'!$P:$P,'TRA RESID'!$H:$H,$E20,'TRA RESID'!$I:$I,$F20)/SUMIFS('TRA RESID'!$P:$P,'TRA RESID'!$I:$I,$F20)*O20</f>
        <v>0</v>
      </c>
      <c r="L20" s="26"/>
      <c r="M20" s="26"/>
      <c r="N20" s="22"/>
      <c r="O20" s="28">
        <v>0</v>
      </c>
      <c r="Q20" s="23" t="str">
        <f t="shared" si="0"/>
        <v>*</v>
      </c>
      <c r="R20" s="24"/>
      <c r="S20" s="25" t="str">
        <f t="shared" si="2"/>
        <v>TRARDS</v>
      </c>
      <c r="T20" s="25" t="str">
        <f t="shared" si="3"/>
        <v>TRAPASCARDMD</v>
      </c>
      <c r="U20" s="25" t="str">
        <f t="shared" si="4"/>
        <v>TRAPASCARDMD</v>
      </c>
      <c r="V20" s="26">
        <v>2050</v>
      </c>
      <c r="W20" s="26" t="str">
        <f>W19</f>
        <v>UP</v>
      </c>
      <c r="X20" s="26"/>
      <c r="Y20" s="27">
        <f>-MIN(SUMIFS('TRA RESID'!$P:$P,'TRA RESID'!$H:$H,$E20,'TRA RESID'!$I:$I,$F20)/SUMIFS('TRA RESID'!$P:$P,'TRA RESID'!$I:$I,$F20)*AC20,1)</f>
        <v>0</v>
      </c>
      <c r="Z20" s="26"/>
      <c r="AA20" s="26"/>
      <c r="AB20" s="22"/>
      <c r="AC20" s="28">
        <v>3</v>
      </c>
    </row>
    <row r="21" spans="1:29" x14ac:dyDescent="0.25">
      <c r="A21" s="14">
        <f>A17+1</f>
        <v>5</v>
      </c>
      <c r="B21" s="9"/>
      <c r="C21" s="15" t="str">
        <f>IF(E21="","",IF(_xlfn.XLOOKUP($A21,Selected_constraint!$A:$A,Selected_constraint!$D:$D)=1,"*",IF(SUMIFS('TRA TECH'!$M:$M,'TRA TECH'!$H:$H,E21,'TRA TECH'!$I:$I,F21)=0,"*",IF(SUMIFS('TRA RESID'!$P:$P,'TRA RESID'!$H:$H,$E21,'TRA RESID'!$I:$I,$F21)=0,"*","UC_MarketShare_"&amp;LEFT(F21,LEN(F21)-3)&amp;"_"&amp;RIGHT(E21,3)&amp;"_MIN"))))</f>
        <v>*</v>
      </c>
      <c r="D21" s="16"/>
      <c r="E21" s="17" t="str">
        <f>_xlfn.XLOOKUP($A21,Selected_constraint!$A:$A,Selected_constraint!$B:$B)</f>
        <v>TRABDS</v>
      </c>
      <c r="F21" s="17" t="str">
        <f>_xlfn.XLOOKUP($A21,Selected_constraint!$A:$A,Selected_constraint!$C:$C)</f>
        <v>TRAPASCARDMD</v>
      </c>
      <c r="G21" s="17" t="str">
        <f>F21</f>
        <v>TRAPASCARDMD</v>
      </c>
      <c r="H21" s="18">
        <v>2019</v>
      </c>
      <c r="I21" s="18" t="s">
        <v>483</v>
      </c>
      <c r="J21" s="18">
        <v>1</v>
      </c>
      <c r="K21" s="20">
        <f>-SUMIFS('TRA RESID'!$P:$P,'TRA RESID'!$H:$H,$E21,'TRA RESID'!$I:$I,$F21)/SUMIFS('TRA RESID'!$P:$P,'TRA RESID'!$I:$I,$F21)*O21</f>
        <v>0</v>
      </c>
      <c r="L21" s="18">
        <v>0</v>
      </c>
      <c r="M21" s="18">
        <v>5</v>
      </c>
      <c r="N21" s="9"/>
      <c r="O21" s="21">
        <v>0.98</v>
      </c>
      <c r="Q21" s="15" t="str">
        <f t="shared" si="0"/>
        <v>*</v>
      </c>
      <c r="R21" s="16"/>
      <c r="S21" s="17" t="str">
        <f t="shared" si="2"/>
        <v>TRABDS</v>
      </c>
      <c r="T21" s="17" t="str">
        <f t="shared" si="3"/>
        <v>TRAPASCARDMD</v>
      </c>
      <c r="U21" s="17" t="str">
        <f t="shared" si="4"/>
        <v>TRAPASCARDMD</v>
      </c>
      <c r="V21" s="18">
        <v>2019</v>
      </c>
      <c r="W21" s="18" t="s">
        <v>484</v>
      </c>
      <c r="X21" s="18">
        <v>1</v>
      </c>
      <c r="Y21" s="20">
        <f>-MIN(SUMIFS('TRA RESID'!$P:$P,'TRA RESID'!$H:$H,$E21,'TRA RESID'!$I:$I,$F21)/SUMIFS('TRA RESID'!$P:$P,'TRA RESID'!$I:$I,$F21)*AC21,1)</f>
        <v>0</v>
      </c>
      <c r="Z21" s="18">
        <v>0</v>
      </c>
      <c r="AA21" s="18">
        <v>5</v>
      </c>
      <c r="AB21" s="9"/>
      <c r="AC21" s="21">
        <v>1.02</v>
      </c>
    </row>
    <row r="22" spans="1:29" x14ac:dyDescent="0.25">
      <c r="A22" s="9">
        <f>A21</f>
        <v>5</v>
      </c>
      <c r="B22" s="9"/>
      <c r="C22" s="15" t="str">
        <f>IF(C21="*",C21,"")</f>
        <v>*</v>
      </c>
      <c r="D22" s="16"/>
      <c r="E22" s="17" t="str">
        <f t="shared" ref="E22:G24" si="8">E21</f>
        <v>TRABDS</v>
      </c>
      <c r="F22" s="17" t="str">
        <f t="shared" si="8"/>
        <v>TRAPASCARDMD</v>
      </c>
      <c r="G22" s="17" t="str">
        <f t="shared" si="8"/>
        <v>TRAPASCARDMD</v>
      </c>
      <c r="H22" s="18">
        <v>2025</v>
      </c>
      <c r="I22" s="18" t="str">
        <f>I21</f>
        <v>LO</v>
      </c>
      <c r="J22" s="18"/>
      <c r="K22" s="20">
        <f>-SUMIFS('TRA RESID'!$P:$P,'TRA RESID'!$H:$H,$E22,'TRA RESID'!$I:$I,$F22)/SUMIFS('TRA RESID'!$P:$P,'TRA RESID'!$I:$I,$F22)*O22</f>
        <v>0</v>
      </c>
      <c r="L22" s="18"/>
      <c r="M22" s="18"/>
      <c r="N22" s="9"/>
      <c r="O22" s="21">
        <v>0.8</v>
      </c>
      <c r="Q22" s="15" t="str">
        <f t="shared" si="0"/>
        <v>*</v>
      </c>
      <c r="R22" s="16"/>
      <c r="S22" s="17" t="str">
        <f t="shared" si="2"/>
        <v>TRABDS</v>
      </c>
      <c r="T22" s="17" t="str">
        <f t="shared" si="3"/>
        <v>TRAPASCARDMD</v>
      </c>
      <c r="U22" s="17" t="str">
        <f t="shared" si="4"/>
        <v>TRAPASCARDMD</v>
      </c>
      <c r="V22" s="18">
        <v>2025</v>
      </c>
      <c r="W22" s="18" t="str">
        <f>W21</f>
        <v>UP</v>
      </c>
      <c r="X22" s="18"/>
      <c r="Y22" s="20">
        <f>-MIN(SUMIFS('TRA RESID'!$P:$P,'TRA RESID'!$H:$H,$E22,'TRA RESID'!$I:$I,$F22)/SUMIFS('TRA RESID'!$P:$P,'TRA RESID'!$I:$I,$F22)*AC22,1)</f>
        <v>0</v>
      </c>
      <c r="Z22" s="18"/>
      <c r="AA22" s="18"/>
      <c r="AB22" s="9"/>
      <c r="AC22" s="21">
        <v>1.2</v>
      </c>
    </row>
    <row r="23" spans="1:29" x14ac:dyDescent="0.25">
      <c r="A23" s="9">
        <f>A22</f>
        <v>5</v>
      </c>
      <c r="B23" s="9"/>
      <c r="C23" s="15" t="str">
        <f>IF(C22="*",C22,"")</f>
        <v>*</v>
      </c>
      <c r="D23" s="16"/>
      <c r="E23" s="17" t="str">
        <f t="shared" si="8"/>
        <v>TRABDS</v>
      </c>
      <c r="F23" s="17" t="str">
        <f t="shared" si="8"/>
        <v>TRAPASCARDMD</v>
      </c>
      <c r="G23" s="17" t="str">
        <f t="shared" si="8"/>
        <v>TRAPASCARDMD</v>
      </c>
      <c r="H23" s="18">
        <v>2030</v>
      </c>
      <c r="I23" s="18" t="str">
        <f>I22</f>
        <v>LO</v>
      </c>
      <c r="J23" s="18"/>
      <c r="K23" s="20">
        <f>-SUMIFS('TRA RESID'!$P:$P,'TRA RESID'!$H:$H,$E23,'TRA RESID'!$I:$I,$F23)/SUMIFS('TRA RESID'!$P:$P,'TRA RESID'!$I:$I,$F23)*O23</f>
        <v>0</v>
      </c>
      <c r="L23" s="18"/>
      <c r="M23" s="18"/>
      <c r="N23" s="9"/>
      <c r="O23" s="21">
        <v>0.2</v>
      </c>
      <c r="Q23" s="15" t="str">
        <f t="shared" si="0"/>
        <v>*</v>
      </c>
      <c r="R23" s="16"/>
      <c r="S23" s="17" t="str">
        <f t="shared" si="2"/>
        <v>TRABDS</v>
      </c>
      <c r="T23" s="17" t="str">
        <f t="shared" si="3"/>
        <v>TRAPASCARDMD</v>
      </c>
      <c r="U23" s="17" t="str">
        <f t="shared" si="4"/>
        <v>TRAPASCARDMD</v>
      </c>
      <c r="V23" s="18">
        <v>2030</v>
      </c>
      <c r="W23" s="18" t="str">
        <f>W22</f>
        <v>UP</v>
      </c>
      <c r="X23" s="18"/>
      <c r="Y23" s="20">
        <f>-MIN(SUMIFS('TRA RESID'!$P:$P,'TRA RESID'!$H:$H,$E23,'TRA RESID'!$I:$I,$F23)/SUMIFS('TRA RESID'!$P:$P,'TRA RESID'!$I:$I,$F23)*AC23,1)</f>
        <v>0</v>
      </c>
      <c r="Z23" s="18"/>
      <c r="AA23" s="18"/>
      <c r="AB23" s="9"/>
      <c r="AC23" s="21">
        <v>1.5</v>
      </c>
    </row>
    <row r="24" spans="1:29" x14ac:dyDescent="0.25">
      <c r="A24" s="22">
        <f>A23</f>
        <v>5</v>
      </c>
      <c r="B24" s="22"/>
      <c r="C24" s="23" t="str">
        <f>IF(C23="*",C23,"")</f>
        <v>*</v>
      </c>
      <c r="D24" s="24"/>
      <c r="E24" s="25" t="str">
        <f t="shared" si="8"/>
        <v>TRABDS</v>
      </c>
      <c r="F24" s="25" t="str">
        <f t="shared" si="8"/>
        <v>TRAPASCARDMD</v>
      </c>
      <c r="G24" s="25" t="str">
        <f t="shared" si="8"/>
        <v>TRAPASCARDMD</v>
      </c>
      <c r="H24" s="26">
        <v>2050</v>
      </c>
      <c r="I24" s="26" t="str">
        <f>I23</f>
        <v>LO</v>
      </c>
      <c r="J24" s="26"/>
      <c r="K24" s="27">
        <f>-SUMIFS('TRA RESID'!$P:$P,'TRA RESID'!$H:$H,$E24,'TRA RESID'!$I:$I,$F24)/SUMIFS('TRA RESID'!$P:$P,'TRA RESID'!$I:$I,$F24)*O24</f>
        <v>0</v>
      </c>
      <c r="L24" s="26"/>
      <c r="M24" s="26"/>
      <c r="N24" s="22"/>
      <c r="O24" s="28">
        <v>0</v>
      </c>
      <c r="Q24" s="23" t="str">
        <f t="shared" si="0"/>
        <v>*</v>
      </c>
      <c r="R24" s="24"/>
      <c r="S24" s="25" t="str">
        <f t="shared" si="2"/>
        <v>TRABDS</v>
      </c>
      <c r="T24" s="25" t="str">
        <f t="shared" si="3"/>
        <v>TRAPASCARDMD</v>
      </c>
      <c r="U24" s="25" t="str">
        <f t="shared" si="4"/>
        <v>TRAPASCARDMD</v>
      </c>
      <c r="V24" s="26">
        <v>2050</v>
      </c>
      <c r="W24" s="26" t="str">
        <f>W23</f>
        <v>UP</v>
      </c>
      <c r="X24" s="26"/>
      <c r="Y24" s="27">
        <f>-MIN(SUMIFS('TRA RESID'!$P:$P,'TRA RESID'!$H:$H,$E24,'TRA RESID'!$I:$I,$F24)/SUMIFS('TRA RESID'!$P:$P,'TRA RESID'!$I:$I,$F24)*AC24,1)</f>
        <v>0</v>
      </c>
      <c r="Z24" s="26"/>
      <c r="AA24" s="26"/>
      <c r="AB24" s="22"/>
      <c r="AC24" s="28">
        <v>3</v>
      </c>
    </row>
    <row r="25" spans="1:29" x14ac:dyDescent="0.25">
      <c r="A25" s="14">
        <f>A21+1</f>
        <v>6</v>
      </c>
      <c r="B25" s="9"/>
      <c r="C25" s="15" t="str">
        <f>IF(E25="","",IF(_xlfn.XLOOKUP($A25,Selected_constraint!$A:$A,Selected_constraint!$D:$D)=1,"*",IF(SUMIFS('TRA TECH'!$M:$M,'TRA TECH'!$H:$H,E25,'TRA TECH'!$I:$I,F25)=0,"*",IF(SUMIFS('TRA RESID'!$P:$P,'TRA RESID'!$H:$H,$E25,'TRA RESID'!$I:$I,$F25)=0,"*","UC_MarketShare_"&amp;LEFT(F25,LEN(F25)-3)&amp;"_"&amp;RIGHT(E25,3)&amp;"_MIN"))))</f>
        <v>*</v>
      </c>
      <c r="D25" s="16"/>
      <c r="E25" s="17" t="str">
        <f>_xlfn.XLOOKUP($A25,Selected_constraint!$A:$A,Selected_constraint!$B:$B)</f>
        <v>TRACNG</v>
      </c>
      <c r="F25" s="17" t="str">
        <f>_xlfn.XLOOKUP($A25,Selected_constraint!$A:$A,Selected_constraint!$C:$C)</f>
        <v>TRAPASCARDMD</v>
      </c>
      <c r="G25" s="17" t="str">
        <f>F25</f>
        <v>TRAPASCARDMD</v>
      </c>
      <c r="H25" s="18">
        <v>2019</v>
      </c>
      <c r="I25" s="18" t="s">
        <v>483</v>
      </c>
      <c r="J25" s="18">
        <v>1</v>
      </c>
      <c r="K25" s="20">
        <f>-SUMIFS('TRA RESID'!$P:$P,'TRA RESID'!$H:$H,$E25,'TRA RESID'!$I:$I,$F25)/SUMIFS('TRA RESID'!$P:$P,'TRA RESID'!$I:$I,$F25)*O25</f>
        <v>0</v>
      </c>
      <c r="L25" s="18">
        <v>0</v>
      </c>
      <c r="M25" s="18">
        <v>5</v>
      </c>
      <c r="N25" s="9"/>
      <c r="O25" s="21">
        <v>0.98</v>
      </c>
      <c r="Q25" s="15" t="str">
        <f t="shared" si="0"/>
        <v>*</v>
      </c>
      <c r="R25" s="16"/>
      <c r="S25" s="17" t="str">
        <f t="shared" si="2"/>
        <v>TRACNG</v>
      </c>
      <c r="T25" s="17" t="str">
        <f t="shared" si="3"/>
        <v>TRAPASCARDMD</v>
      </c>
      <c r="U25" s="17" t="str">
        <f t="shared" si="4"/>
        <v>TRAPASCARDMD</v>
      </c>
      <c r="V25" s="18">
        <v>2019</v>
      </c>
      <c r="W25" s="18" t="s">
        <v>484</v>
      </c>
      <c r="X25" s="18">
        <v>1</v>
      </c>
      <c r="Y25" s="20">
        <f>-MIN(SUMIFS('TRA RESID'!$P:$P,'TRA RESID'!$H:$H,$E25,'TRA RESID'!$I:$I,$F25)/SUMIFS('TRA RESID'!$P:$P,'TRA RESID'!$I:$I,$F25)*AC25,1)</f>
        <v>0</v>
      </c>
      <c r="Z25" s="18">
        <v>0</v>
      </c>
      <c r="AA25" s="18">
        <v>5</v>
      </c>
      <c r="AB25" s="9"/>
      <c r="AC25" s="21">
        <v>1.02</v>
      </c>
    </row>
    <row r="26" spans="1:29" x14ac:dyDescent="0.25">
      <c r="A26" s="9">
        <f>A25</f>
        <v>6</v>
      </c>
      <c r="B26" s="9"/>
      <c r="C26" s="15" t="str">
        <f>IF(C25="*",C25,"")</f>
        <v>*</v>
      </c>
      <c r="D26" s="16"/>
      <c r="E26" s="17" t="str">
        <f t="shared" ref="E26:G28" si="9">E25</f>
        <v>TRACNG</v>
      </c>
      <c r="F26" s="17" t="str">
        <f t="shared" si="9"/>
        <v>TRAPASCARDMD</v>
      </c>
      <c r="G26" s="17" t="str">
        <f t="shared" si="9"/>
        <v>TRAPASCARDMD</v>
      </c>
      <c r="H26" s="18">
        <v>2025</v>
      </c>
      <c r="I26" s="18" t="str">
        <f>I25</f>
        <v>LO</v>
      </c>
      <c r="J26" s="18"/>
      <c r="K26" s="20">
        <f>-SUMIFS('TRA RESID'!$P:$P,'TRA RESID'!$H:$H,$E26,'TRA RESID'!$I:$I,$F26)/SUMIFS('TRA RESID'!$P:$P,'TRA RESID'!$I:$I,$F26)*O26</f>
        <v>0</v>
      </c>
      <c r="L26" s="18"/>
      <c r="M26" s="18"/>
      <c r="N26" s="9"/>
      <c r="O26" s="21">
        <v>0.8</v>
      </c>
      <c r="Q26" s="15" t="str">
        <f t="shared" si="0"/>
        <v>*</v>
      </c>
      <c r="R26" s="16"/>
      <c r="S26" s="17" t="str">
        <f t="shared" si="2"/>
        <v>TRACNG</v>
      </c>
      <c r="T26" s="17" t="str">
        <f t="shared" si="3"/>
        <v>TRAPASCARDMD</v>
      </c>
      <c r="U26" s="17" t="str">
        <f t="shared" si="4"/>
        <v>TRAPASCARDMD</v>
      </c>
      <c r="V26" s="18">
        <v>2025</v>
      </c>
      <c r="W26" s="18" t="str">
        <f>W25</f>
        <v>UP</v>
      </c>
      <c r="X26" s="18"/>
      <c r="Y26" s="20">
        <f>-MIN(SUMIFS('TRA RESID'!$P:$P,'TRA RESID'!$H:$H,$E26,'TRA RESID'!$I:$I,$F26)/SUMIFS('TRA RESID'!$P:$P,'TRA RESID'!$I:$I,$F26)*AC26,1)</f>
        <v>0</v>
      </c>
      <c r="Z26" s="18"/>
      <c r="AA26" s="18"/>
      <c r="AB26" s="9"/>
      <c r="AC26" s="21">
        <v>1.2</v>
      </c>
    </row>
    <row r="27" spans="1:29" x14ac:dyDescent="0.25">
      <c r="A27" s="9">
        <f>A26</f>
        <v>6</v>
      </c>
      <c r="B27" s="9"/>
      <c r="C27" s="15" t="str">
        <f>IF(C26="*",C26,"")</f>
        <v>*</v>
      </c>
      <c r="D27" s="16"/>
      <c r="E27" s="17" t="str">
        <f t="shared" si="9"/>
        <v>TRACNG</v>
      </c>
      <c r="F27" s="17" t="str">
        <f t="shared" si="9"/>
        <v>TRAPASCARDMD</v>
      </c>
      <c r="G27" s="17" t="str">
        <f t="shared" si="9"/>
        <v>TRAPASCARDMD</v>
      </c>
      <c r="H27" s="18">
        <v>2030</v>
      </c>
      <c r="I27" s="18" t="str">
        <f>I26</f>
        <v>LO</v>
      </c>
      <c r="J27" s="18"/>
      <c r="K27" s="20">
        <f>-SUMIFS('TRA RESID'!$P:$P,'TRA RESID'!$H:$H,$E27,'TRA RESID'!$I:$I,$F27)/SUMIFS('TRA RESID'!$P:$P,'TRA RESID'!$I:$I,$F27)*O27</f>
        <v>0</v>
      </c>
      <c r="L27" s="18"/>
      <c r="M27" s="18"/>
      <c r="N27" s="9"/>
      <c r="O27" s="21">
        <v>0.2</v>
      </c>
      <c r="Q27" s="15" t="str">
        <f t="shared" si="0"/>
        <v>*</v>
      </c>
      <c r="R27" s="16"/>
      <c r="S27" s="17" t="str">
        <f t="shared" si="2"/>
        <v>TRACNG</v>
      </c>
      <c r="T27" s="17" t="str">
        <f t="shared" si="3"/>
        <v>TRAPASCARDMD</v>
      </c>
      <c r="U27" s="17" t="str">
        <f t="shared" si="4"/>
        <v>TRAPASCARDMD</v>
      </c>
      <c r="V27" s="18">
        <v>2030</v>
      </c>
      <c r="W27" s="18" t="str">
        <f>W26</f>
        <v>UP</v>
      </c>
      <c r="X27" s="18"/>
      <c r="Y27" s="20">
        <f>-MIN(SUMIFS('TRA RESID'!$P:$P,'TRA RESID'!$H:$H,$E27,'TRA RESID'!$I:$I,$F27)/SUMIFS('TRA RESID'!$P:$P,'TRA RESID'!$I:$I,$F27)*AC27,1)</f>
        <v>0</v>
      </c>
      <c r="Z27" s="18"/>
      <c r="AA27" s="18"/>
      <c r="AB27" s="9"/>
      <c r="AC27" s="21">
        <v>1.5</v>
      </c>
    </row>
    <row r="28" spans="1:29" x14ac:dyDescent="0.25">
      <c r="A28" s="22">
        <f>A27</f>
        <v>6</v>
      </c>
      <c r="B28" s="22"/>
      <c r="C28" s="23" t="str">
        <f>IF(C27="*",C27,"")</f>
        <v>*</v>
      </c>
      <c r="D28" s="24"/>
      <c r="E28" s="25" t="str">
        <f t="shared" si="9"/>
        <v>TRACNG</v>
      </c>
      <c r="F28" s="25" t="str">
        <f t="shared" si="9"/>
        <v>TRAPASCARDMD</v>
      </c>
      <c r="G28" s="25" t="str">
        <f t="shared" si="9"/>
        <v>TRAPASCARDMD</v>
      </c>
      <c r="H28" s="26">
        <v>2050</v>
      </c>
      <c r="I28" s="26" t="str">
        <f>I27</f>
        <v>LO</v>
      </c>
      <c r="J28" s="26"/>
      <c r="K28" s="27">
        <f>-SUMIFS('TRA RESID'!$P:$P,'TRA RESID'!$H:$H,$E28,'TRA RESID'!$I:$I,$F28)/SUMIFS('TRA RESID'!$P:$P,'TRA RESID'!$I:$I,$F28)*O28</f>
        <v>0</v>
      </c>
      <c r="L28" s="26"/>
      <c r="M28" s="26"/>
      <c r="N28" s="22"/>
      <c r="O28" s="28">
        <v>0</v>
      </c>
      <c r="Q28" s="23" t="str">
        <f t="shared" si="0"/>
        <v>*</v>
      </c>
      <c r="R28" s="24"/>
      <c r="S28" s="25" t="str">
        <f t="shared" si="2"/>
        <v>TRACNG</v>
      </c>
      <c r="T28" s="25" t="str">
        <f t="shared" si="3"/>
        <v>TRAPASCARDMD</v>
      </c>
      <c r="U28" s="25" t="str">
        <f t="shared" si="4"/>
        <v>TRAPASCARDMD</v>
      </c>
      <c r="V28" s="26">
        <v>2050</v>
      </c>
      <c r="W28" s="26" t="str">
        <f>W27</f>
        <v>UP</v>
      </c>
      <c r="X28" s="26"/>
      <c r="Y28" s="27">
        <f>-MIN(SUMIFS('TRA RESID'!$P:$P,'TRA RESID'!$H:$H,$E28,'TRA RESID'!$I:$I,$F28)/SUMIFS('TRA RESID'!$P:$P,'TRA RESID'!$I:$I,$F28)*AC28,1)</f>
        <v>0</v>
      </c>
      <c r="Z28" s="26"/>
      <c r="AA28" s="26"/>
      <c r="AB28" s="22"/>
      <c r="AC28" s="28">
        <v>3</v>
      </c>
    </row>
    <row r="29" spans="1:29" x14ac:dyDescent="0.25">
      <c r="A29" s="14">
        <f>A25+1</f>
        <v>7</v>
      </c>
      <c r="B29" s="9"/>
      <c r="C29" s="15" t="str">
        <f>IF(E29="","",IF(_xlfn.XLOOKUP($A29,Selected_constraint!$A:$A,Selected_constraint!$D:$D)=1,"*",IF(SUMIFS('TRA TECH'!$M:$M,'TRA TECH'!$H:$H,E29,'TRA TECH'!$I:$I,F29)=0,"*",IF(SUMIFS('TRA RESID'!$P:$P,'TRA RESID'!$H:$H,$E29,'TRA RESID'!$I:$I,$F29)=0,"*","UC_MarketShare_"&amp;LEFT(F29,LEN(F29)-3)&amp;"_"&amp;RIGHT(E29,3)&amp;"_MIN"))))</f>
        <v>*</v>
      </c>
      <c r="D29" s="16"/>
      <c r="E29" s="17" t="str">
        <f>_xlfn.XLOOKUP($A29,Selected_constraint!$A:$A,Selected_constraint!$B:$B)</f>
        <v>TRARNG</v>
      </c>
      <c r="F29" s="17" t="str">
        <f>_xlfn.XLOOKUP($A29,Selected_constraint!$A:$A,Selected_constraint!$C:$C)</f>
        <v>TRAPASCARDMD</v>
      </c>
      <c r="G29" s="17" t="str">
        <f>F29</f>
        <v>TRAPASCARDMD</v>
      </c>
      <c r="H29" s="18">
        <v>2019</v>
      </c>
      <c r="I29" s="18" t="s">
        <v>483</v>
      </c>
      <c r="J29" s="18">
        <v>1</v>
      </c>
      <c r="K29" s="20">
        <f>-SUMIFS('TRA RESID'!$P:$P,'TRA RESID'!$H:$H,$E29,'TRA RESID'!$I:$I,$F29)/SUMIFS('TRA RESID'!$P:$P,'TRA RESID'!$I:$I,$F29)*O29</f>
        <v>0</v>
      </c>
      <c r="L29" s="18">
        <v>0</v>
      </c>
      <c r="M29" s="18">
        <v>5</v>
      </c>
      <c r="N29" s="9"/>
      <c r="O29" s="21">
        <v>0.98</v>
      </c>
      <c r="Q29" s="15" t="str">
        <f t="shared" si="0"/>
        <v>*</v>
      </c>
      <c r="R29" s="16"/>
      <c r="S29" s="17" t="str">
        <f t="shared" si="2"/>
        <v>TRARNG</v>
      </c>
      <c r="T29" s="17" t="str">
        <f t="shared" si="3"/>
        <v>TRAPASCARDMD</v>
      </c>
      <c r="U29" s="17" t="str">
        <f t="shared" si="4"/>
        <v>TRAPASCARDMD</v>
      </c>
      <c r="V29" s="18">
        <v>2019</v>
      </c>
      <c r="W29" s="18" t="s">
        <v>484</v>
      </c>
      <c r="X29" s="18">
        <v>1</v>
      </c>
      <c r="Y29" s="20">
        <f>-MIN(SUMIFS('TRA RESID'!$P:$P,'TRA RESID'!$H:$H,$E29,'TRA RESID'!$I:$I,$F29)/SUMIFS('TRA RESID'!$P:$P,'TRA RESID'!$I:$I,$F29)*AC29,1)</f>
        <v>0</v>
      </c>
      <c r="Z29" s="18">
        <v>0</v>
      </c>
      <c r="AA29" s="18">
        <v>5</v>
      </c>
      <c r="AB29" s="9"/>
      <c r="AC29" s="21">
        <v>1.02</v>
      </c>
    </row>
    <row r="30" spans="1:29" x14ac:dyDescent="0.25">
      <c r="A30" s="9">
        <f>A29</f>
        <v>7</v>
      </c>
      <c r="B30" s="9"/>
      <c r="C30" s="15" t="str">
        <f>IF(C29="*",C29,"")</f>
        <v>*</v>
      </c>
      <c r="D30" s="16"/>
      <c r="E30" s="17" t="str">
        <f t="shared" ref="E30:G32" si="10">E29</f>
        <v>TRARNG</v>
      </c>
      <c r="F30" s="17" t="str">
        <f t="shared" si="10"/>
        <v>TRAPASCARDMD</v>
      </c>
      <c r="G30" s="17" t="str">
        <f t="shared" si="10"/>
        <v>TRAPASCARDMD</v>
      </c>
      <c r="H30" s="18">
        <v>2025</v>
      </c>
      <c r="I30" s="18" t="str">
        <f>I29</f>
        <v>LO</v>
      </c>
      <c r="J30" s="18"/>
      <c r="K30" s="20">
        <f>-SUMIFS('TRA RESID'!$P:$P,'TRA RESID'!$H:$H,$E30,'TRA RESID'!$I:$I,$F30)/SUMIFS('TRA RESID'!$P:$P,'TRA RESID'!$I:$I,$F30)*O30</f>
        <v>0</v>
      </c>
      <c r="L30" s="18"/>
      <c r="M30" s="18"/>
      <c r="N30" s="9"/>
      <c r="O30" s="21">
        <v>0.8</v>
      </c>
      <c r="Q30" s="15" t="str">
        <f t="shared" si="0"/>
        <v>*</v>
      </c>
      <c r="R30" s="16"/>
      <c r="S30" s="17" t="str">
        <f t="shared" si="2"/>
        <v>TRARNG</v>
      </c>
      <c r="T30" s="17" t="str">
        <f t="shared" si="3"/>
        <v>TRAPASCARDMD</v>
      </c>
      <c r="U30" s="17" t="str">
        <f t="shared" si="4"/>
        <v>TRAPASCARDMD</v>
      </c>
      <c r="V30" s="18">
        <v>2025</v>
      </c>
      <c r="W30" s="18" t="str">
        <f>W29</f>
        <v>UP</v>
      </c>
      <c r="X30" s="18"/>
      <c r="Y30" s="20">
        <f>-MIN(SUMIFS('TRA RESID'!$P:$P,'TRA RESID'!$H:$H,$E30,'TRA RESID'!$I:$I,$F30)/SUMIFS('TRA RESID'!$P:$P,'TRA RESID'!$I:$I,$F30)*AC30,1)</f>
        <v>0</v>
      </c>
      <c r="Z30" s="18"/>
      <c r="AA30" s="18"/>
      <c r="AB30" s="9"/>
      <c r="AC30" s="21">
        <v>1.2</v>
      </c>
    </row>
    <row r="31" spans="1:29" x14ac:dyDescent="0.25">
      <c r="A31" s="9">
        <f>A30</f>
        <v>7</v>
      </c>
      <c r="B31" s="9"/>
      <c r="C31" s="15" t="str">
        <f>IF(C30="*",C30,"")</f>
        <v>*</v>
      </c>
      <c r="D31" s="16"/>
      <c r="E31" s="17" t="str">
        <f t="shared" si="10"/>
        <v>TRARNG</v>
      </c>
      <c r="F31" s="17" t="str">
        <f t="shared" si="10"/>
        <v>TRAPASCARDMD</v>
      </c>
      <c r="G31" s="17" t="str">
        <f t="shared" si="10"/>
        <v>TRAPASCARDMD</v>
      </c>
      <c r="H31" s="18">
        <v>2030</v>
      </c>
      <c r="I31" s="18" t="str">
        <f>I30</f>
        <v>LO</v>
      </c>
      <c r="J31" s="18"/>
      <c r="K31" s="20">
        <f>-SUMIFS('TRA RESID'!$P:$P,'TRA RESID'!$H:$H,$E31,'TRA RESID'!$I:$I,$F31)/SUMIFS('TRA RESID'!$P:$P,'TRA RESID'!$I:$I,$F31)*O31</f>
        <v>0</v>
      </c>
      <c r="L31" s="18"/>
      <c r="M31" s="18"/>
      <c r="N31" s="9"/>
      <c r="O31" s="21">
        <v>0.2</v>
      </c>
      <c r="Q31" s="15" t="str">
        <f t="shared" si="0"/>
        <v>*</v>
      </c>
      <c r="R31" s="16"/>
      <c r="S31" s="17" t="str">
        <f t="shared" si="2"/>
        <v>TRARNG</v>
      </c>
      <c r="T31" s="17" t="str">
        <f t="shared" si="3"/>
        <v>TRAPASCARDMD</v>
      </c>
      <c r="U31" s="17" t="str">
        <f t="shared" si="4"/>
        <v>TRAPASCARDMD</v>
      </c>
      <c r="V31" s="18">
        <v>2030</v>
      </c>
      <c r="W31" s="18" t="str">
        <f>W30</f>
        <v>UP</v>
      </c>
      <c r="X31" s="18"/>
      <c r="Y31" s="20">
        <f>-MIN(SUMIFS('TRA RESID'!$P:$P,'TRA RESID'!$H:$H,$E31,'TRA RESID'!$I:$I,$F31)/SUMIFS('TRA RESID'!$P:$P,'TRA RESID'!$I:$I,$F31)*AC31,1)</f>
        <v>0</v>
      </c>
      <c r="Z31" s="18"/>
      <c r="AA31" s="18"/>
      <c r="AB31" s="9"/>
      <c r="AC31" s="21">
        <v>1.5</v>
      </c>
    </row>
    <row r="32" spans="1:29" x14ac:dyDescent="0.25">
      <c r="A32" s="22">
        <f>A31</f>
        <v>7</v>
      </c>
      <c r="B32" s="22"/>
      <c r="C32" s="23" t="str">
        <f>IF(C31="*",C31,"")</f>
        <v>*</v>
      </c>
      <c r="D32" s="24"/>
      <c r="E32" s="25" t="str">
        <f t="shared" si="10"/>
        <v>TRARNG</v>
      </c>
      <c r="F32" s="25" t="str">
        <f t="shared" si="10"/>
        <v>TRAPASCARDMD</v>
      </c>
      <c r="G32" s="25" t="str">
        <f t="shared" si="10"/>
        <v>TRAPASCARDMD</v>
      </c>
      <c r="H32" s="26">
        <v>2050</v>
      </c>
      <c r="I32" s="26" t="str">
        <f>I31</f>
        <v>LO</v>
      </c>
      <c r="J32" s="26"/>
      <c r="K32" s="27">
        <f>-SUMIFS('TRA RESID'!$P:$P,'TRA RESID'!$H:$H,$E32,'TRA RESID'!$I:$I,$F32)/SUMIFS('TRA RESID'!$P:$P,'TRA RESID'!$I:$I,$F32)*O32</f>
        <v>0</v>
      </c>
      <c r="L32" s="26"/>
      <c r="M32" s="26"/>
      <c r="N32" s="22"/>
      <c r="O32" s="28">
        <v>0</v>
      </c>
      <c r="Q32" s="23" t="str">
        <f t="shared" si="0"/>
        <v>*</v>
      </c>
      <c r="R32" s="24"/>
      <c r="S32" s="25" t="str">
        <f t="shared" si="2"/>
        <v>TRARNG</v>
      </c>
      <c r="T32" s="25" t="str">
        <f t="shared" si="3"/>
        <v>TRAPASCARDMD</v>
      </c>
      <c r="U32" s="25" t="str">
        <f t="shared" si="4"/>
        <v>TRAPASCARDMD</v>
      </c>
      <c r="V32" s="26">
        <v>2050</v>
      </c>
      <c r="W32" s="26" t="str">
        <f>W31</f>
        <v>UP</v>
      </c>
      <c r="X32" s="26"/>
      <c r="Y32" s="27">
        <f>-MIN(SUMIFS('TRA RESID'!$P:$P,'TRA RESID'!$H:$H,$E32,'TRA RESID'!$I:$I,$F32)/SUMIFS('TRA RESID'!$P:$P,'TRA RESID'!$I:$I,$F32)*AC32,1)</f>
        <v>0</v>
      </c>
      <c r="Z32" s="26"/>
      <c r="AA32" s="26"/>
      <c r="AB32" s="22"/>
      <c r="AC32" s="28">
        <v>3</v>
      </c>
    </row>
    <row r="33" spans="1:29" x14ac:dyDescent="0.25">
      <c r="A33" s="14">
        <f>A29+1</f>
        <v>8</v>
      </c>
      <c r="B33" s="9"/>
      <c r="C33" s="15" t="str">
        <f>IF(E33="","",IF(_xlfn.XLOOKUP($A33,Selected_constraint!$A:$A,Selected_constraint!$D:$D)=1,"*",IF(SUMIFS('TRA TECH'!$M:$M,'TRA TECH'!$H:$H,E33,'TRA TECH'!$I:$I,F33)=0,"*",IF(SUMIFS('TRA RESID'!$P:$P,'TRA RESID'!$H:$H,$E33,'TRA RESID'!$I:$I,$F33)=0,"*","UC_MarketShare_"&amp;LEFT(F33,LEN(F33)-3)&amp;"_"&amp;RIGHT(E33,3)&amp;"_MIN"))))</f>
        <v>UC_MarketShare_TRAPASCAR_BAT_MIN</v>
      </c>
      <c r="D33" s="16"/>
      <c r="E33" s="17" t="str">
        <f>_xlfn.XLOOKUP($A33,Selected_constraint!$A:$A,Selected_constraint!$B:$B)</f>
        <v>TRABAT</v>
      </c>
      <c r="F33" s="17" t="str">
        <f>_xlfn.XLOOKUP($A33,Selected_constraint!$A:$A,Selected_constraint!$C:$C)</f>
        <v>TRAPASCARDMD</v>
      </c>
      <c r="G33" s="17" t="str">
        <f>F33</f>
        <v>TRAPASCARDMD</v>
      </c>
      <c r="H33" s="18">
        <v>2019</v>
      </c>
      <c r="I33" s="18" t="s">
        <v>483</v>
      </c>
      <c r="J33" s="18">
        <v>1</v>
      </c>
      <c r="K33" s="20">
        <f>-SUMIFS('TRA RESID'!$P:$P,'TRA RESID'!$H:$H,$E33,'TRA RESID'!$I:$I,$F33)/SUMIFS('TRA RESID'!$P:$P,'TRA RESID'!$I:$I,$F33)*O33</f>
        <v>-9.2482523176905789E-3</v>
      </c>
      <c r="L33" s="18">
        <v>0</v>
      </c>
      <c r="M33" s="18">
        <v>5</v>
      </c>
      <c r="N33" s="9"/>
      <c r="O33" s="21">
        <v>0.98</v>
      </c>
      <c r="Q33" s="15" t="str">
        <f t="shared" si="0"/>
        <v>UC_MarketShare_TRAPASCAR_BAT_MAX</v>
      </c>
      <c r="R33" s="16"/>
      <c r="S33" s="17" t="str">
        <f t="shared" si="2"/>
        <v>TRABAT</v>
      </c>
      <c r="T33" s="17" t="str">
        <f t="shared" si="3"/>
        <v>TRAPASCARDMD</v>
      </c>
      <c r="U33" s="17" t="str">
        <f t="shared" si="4"/>
        <v>TRAPASCARDMD</v>
      </c>
      <c r="V33" s="18">
        <v>2019</v>
      </c>
      <c r="W33" s="18" t="s">
        <v>484</v>
      </c>
      <c r="X33" s="18">
        <v>1</v>
      </c>
      <c r="Y33" s="20">
        <f>-MIN(SUMIFS('TRA RESID'!$P:$P,'TRA RESID'!$H:$H,$E33,'TRA RESID'!$I:$I,$F33)/SUMIFS('TRA RESID'!$P:$P,'TRA RESID'!$I:$I,$F33)*AC33,1)</f>
        <v>-9.6257320041269311E-3</v>
      </c>
      <c r="Z33" s="18">
        <v>0</v>
      </c>
      <c r="AA33" s="18">
        <v>5</v>
      </c>
      <c r="AB33" s="9"/>
      <c r="AC33" s="21">
        <v>1.02</v>
      </c>
    </row>
    <row r="34" spans="1:29" x14ac:dyDescent="0.25">
      <c r="A34" s="9">
        <f>A33</f>
        <v>8</v>
      </c>
      <c r="B34" s="9"/>
      <c r="C34" s="15" t="str">
        <f>IF(C33="*",C33,"")</f>
        <v/>
      </c>
      <c r="D34" s="16"/>
      <c r="E34" s="17" t="str">
        <f t="shared" ref="E34:G36" si="11">E33</f>
        <v>TRABAT</v>
      </c>
      <c r="F34" s="17" t="str">
        <f t="shared" si="11"/>
        <v>TRAPASCARDMD</v>
      </c>
      <c r="G34" s="17" t="str">
        <f t="shared" si="11"/>
        <v>TRAPASCARDMD</v>
      </c>
      <c r="H34" s="18">
        <v>2025</v>
      </c>
      <c r="I34" s="18" t="str">
        <f>I33</f>
        <v>LO</v>
      </c>
      <c r="J34" s="18"/>
      <c r="K34" s="20">
        <f>-SUMIFS('TRA RESID'!$P:$P,'TRA RESID'!$H:$H,$E34,'TRA RESID'!$I:$I,$F34)/SUMIFS('TRA RESID'!$P:$P,'TRA RESID'!$I:$I,$F34)*O34</f>
        <v>-9.436992160908755E-3</v>
      </c>
      <c r="L34" s="18"/>
      <c r="M34" s="18"/>
      <c r="N34" s="9"/>
      <c r="O34" s="21">
        <v>1</v>
      </c>
      <c r="Q34" s="15" t="str">
        <f t="shared" si="0"/>
        <v/>
      </c>
      <c r="R34" s="16"/>
      <c r="S34" s="17" t="str">
        <f t="shared" si="2"/>
        <v>TRABAT</v>
      </c>
      <c r="T34" s="17" t="str">
        <f t="shared" si="3"/>
        <v>TRAPASCARDMD</v>
      </c>
      <c r="U34" s="17" t="str">
        <f t="shared" si="4"/>
        <v>TRAPASCARDMD</v>
      </c>
      <c r="V34" s="18">
        <v>2025</v>
      </c>
      <c r="W34" s="18" t="str">
        <f>W33</f>
        <v>UP</v>
      </c>
      <c r="X34" s="18"/>
      <c r="Y34" s="20">
        <f>-MIN(SUMIFS('TRA RESID'!$P:$P,'TRA RESID'!$H:$H,$E34,'TRA RESID'!$I:$I,$F34)/SUMIFS('TRA RESID'!$P:$P,'TRA RESID'!$I:$I,$F34)*AC34,1)</f>
        <v>-0.18873984321817511</v>
      </c>
      <c r="Z34" s="18"/>
      <c r="AA34" s="18"/>
      <c r="AB34" s="9"/>
      <c r="AC34" s="21">
        <v>20</v>
      </c>
    </row>
    <row r="35" spans="1:29" x14ac:dyDescent="0.25">
      <c r="A35" s="9">
        <f>A34</f>
        <v>8</v>
      </c>
      <c r="B35" s="9"/>
      <c r="C35" s="15" t="str">
        <f>IF(C34="*",C34,"")</f>
        <v/>
      </c>
      <c r="D35" s="16"/>
      <c r="E35" s="17" t="str">
        <f t="shared" si="11"/>
        <v>TRABAT</v>
      </c>
      <c r="F35" s="17" t="str">
        <f t="shared" si="11"/>
        <v>TRAPASCARDMD</v>
      </c>
      <c r="G35" s="17" t="str">
        <f t="shared" si="11"/>
        <v>TRAPASCARDMD</v>
      </c>
      <c r="H35" s="18">
        <v>2030</v>
      </c>
      <c r="I35" s="18" t="str">
        <f>I34</f>
        <v>LO</v>
      </c>
      <c r="J35" s="18"/>
      <c r="K35" s="20">
        <f>-SUMIFS('TRA RESID'!$P:$P,'TRA RESID'!$H:$H,$E35,'TRA RESID'!$I:$I,$F35)/SUMIFS('TRA RESID'!$P:$P,'TRA RESID'!$I:$I,$F35)*O35</f>
        <v>-9.436992160908755E-3</v>
      </c>
      <c r="L35" s="18"/>
      <c r="M35" s="18"/>
      <c r="N35" s="9"/>
      <c r="O35" s="21">
        <v>1</v>
      </c>
      <c r="Q35" s="15" t="str">
        <f t="shared" si="0"/>
        <v/>
      </c>
      <c r="R35" s="16"/>
      <c r="S35" s="17" t="str">
        <f t="shared" si="2"/>
        <v>TRABAT</v>
      </c>
      <c r="T35" s="17" t="str">
        <f t="shared" si="3"/>
        <v>TRAPASCARDMD</v>
      </c>
      <c r="U35" s="17" t="str">
        <f t="shared" si="4"/>
        <v>TRAPASCARDMD</v>
      </c>
      <c r="V35" s="18">
        <v>2030</v>
      </c>
      <c r="W35" s="18" t="str">
        <f>W34</f>
        <v>UP</v>
      </c>
      <c r="X35" s="18"/>
      <c r="Y35" s="20">
        <f>-MIN(SUMIFS('TRA RESID'!$P:$P,'TRA RESID'!$H:$H,$E35,'TRA RESID'!$I:$I,$F35)/SUMIFS('TRA RESID'!$P:$P,'TRA RESID'!$I:$I,$F35)*AC35,1)</f>
        <v>-0.47184960804543774</v>
      </c>
      <c r="Z35" s="18"/>
      <c r="AA35" s="18"/>
      <c r="AB35" s="9"/>
      <c r="AC35" s="21">
        <v>50</v>
      </c>
    </row>
    <row r="36" spans="1:29" x14ac:dyDescent="0.25">
      <c r="A36" s="22">
        <f>A35</f>
        <v>8</v>
      </c>
      <c r="B36" s="22"/>
      <c r="C36" s="23" t="str">
        <f>IF(C35="*",C35,"")</f>
        <v/>
      </c>
      <c r="D36" s="24"/>
      <c r="E36" s="25" t="str">
        <f t="shared" si="11"/>
        <v>TRABAT</v>
      </c>
      <c r="F36" s="25" t="str">
        <f t="shared" si="11"/>
        <v>TRAPASCARDMD</v>
      </c>
      <c r="G36" s="25" t="str">
        <f t="shared" si="11"/>
        <v>TRAPASCARDMD</v>
      </c>
      <c r="H36" s="26">
        <v>2050</v>
      </c>
      <c r="I36" s="26" t="str">
        <f>I35</f>
        <v>LO</v>
      </c>
      <c r="J36" s="26"/>
      <c r="K36" s="27">
        <f>-SUMIFS('TRA RESID'!$P:$P,'TRA RESID'!$H:$H,$E36,'TRA RESID'!$I:$I,$F36)/SUMIFS('TRA RESID'!$P:$P,'TRA RESID'!$I:$I,$F36)*O36</f>
        <v>-9.436992160908755E-3</v>
      </c>
      <c r="L36" s="26"/>
      <c r="M36" s="26"/>
      <c r="N36" s="22"/>
      <c r="O36" s="28">
        <v>1</v>
      </c>
      <c r="Q36" s="23" t="str">
        <f t="shared" si="0"/>
        <v/>
      </c>
      <c r="R36" s="24"/>
      <c r="S36" s="25" t="str">
        <f t="shared" si="2"/>
        <v>TRABAT</v>
      </c>
      <c r="T36" s="25" t="str">
        <f t="shared" si="3"/>
        <v>TRAPASCARDMD</v>
      </c>
      <c r="U36" s="25" t="str">
        <f t="shared" si="4"/>
        <v>TRAPASCARDMD</v>
      </c>
      <c r="V36" s="26">
        <v>2050</v>
      </c>
      <c r="W36" s="26" t="str">
        <f>W35</f>
        <v>UP</v>
      </c>
      <c r="X36" s="26"/>
      <c r="Y36" s="27">
        <f>-MIN(SUMIFS('TRA RESID'!$P:$P,'TRA RESID'!$H:$H,$E36,'TRA RESID'!$I:$I,$F36)/SUMIFS('TRA RESID'!$P:$P,'TRA RESID'!$I:$I,$F36)*AC36,1)</f>
        <v>-1</v>
      </c>
      <c r="Z36" s="26"/>
      <c r="AA36" s="26"/>
      <c r="AB36" s="22"/>
      <c r="AC36" s="28">
        <v>150</v>
      </c>
    </row>
    <row r="37" spans="1:29" x14ac:dyDescent="0.25">
      <c r="A37" s="14">
        <f>A33+1</f>
        <v>9</v>
      </c>
      <c r="B37" s="9"/>
      <c r="C37" s="15" t="str">
        <f>IF(E37="","",IF(_xlfn.XLOOKUP($A37,Selected_constraint!$A:$A,Selected_constraint!$D:$D)=1,"*",IF(SUMIFS('TRA TECH'!$M:$M,'TRA TECH'!$H:$H,E37,'TRA TECH'!$I:$I,F37)=0,"*",IF(SUMIFS('TRA RESID'!$P:$P,'TRA RESID'!$H:$H,$E37,'TRA RESID'!$I:$I,$F37)=0,"*","UC_MarketShare_"&amp;LEFT(F37,LEN(F37)-3)&amp;"_"&amp;RIGHT(E37,3)&amp;"_MIN"))))</f>
        <v>*</v>
      </c>
      <c r="D37" s="16"/>
      <c r="E37" s="17" t="str">
        <f>_xlfn.XLOOKUP($A37,Selected_constraint!$A:$A,Selected_constraint!$B:$B)</f>
        <v>TRAH2G</v>
      </c>
      <c r="F37" s="17" t="str">
        <f>_xlfn.XLOOKUP($A37,Selected_constraint!$A:$A,Selected_constraint!$C:$C)</f>
        <v>TRAPASCARDMD</v>
      </c>
      <c r="G37" s="17" t="str">
        <f>F37</f>
        <v>TRAPASCARDMD</v>
      </c>
      <c r="H37" s="18">
        <v>2019</v>
      </c>
      <c r="I37" s="18" t="s">
        <v>483</v>
      </c>
      <c r="J37" s="18">
        <v>1</v>
      </c>
      <c r="K37" s="20">
        <f>-SUMIFS('TRA RESID'!$P:$P,'TRA RESID'!$H:$H,$E37,'TRA RESID'!$I:$I,$F37)/SUMIFS('TRA RESID'!$P:$P,'TRA RESID'!$I:$I,$F37)*O37</f>
        <v>0</v>
      </c>
      <c r="L37" s="18">
        <v>0</v>
      </c>
      <c r="M37" s="18">
        <v>5</v>
      </c>
      <c r="N37" s="9"/>
      <c r="O37" s="21">
        <v>0.98</v>
      </c>
      <c r="Q37" s="15" t="str">
        <f t="shared" si="0"/>
        <v>*</v>
      </c>
      <c r="R37" s="16"/>
      <c r="S37" s="17" t="str">
        <f t="shared" si="2"/>
        <v>TRAH2G</v>
      </c>
      <c r="T37" s="17" t="str">
        <f t="shared" si="3"/>
        <v>TRAPASCARDMD</v>
      </c>
      <c r="U37" s="17" t="str">
        <f t="shared" si="4"/>
        <v>TRAPASCARDMD</v>
      </c>
      <c r="V37" s="18">
        <v>2019</v>
      </c>
      <c r="W37" s="18" t="s">
        <v>484</v>
      </c>
      <c r="X37" s="18">
        <v>1</v>
      </c>
      <c r="Y37" s="20">
        <f>-MIN(SUMIFS('TRA RESID'!$P:$P,'TRA RESID'!$H:$H,$E37,'TRA RESID'!$I:$I,$F37)/SUMIFS('TRA RESID'!$P:$P,'TRA RESID'!$I:$I,$F37)*AC37,1)</f>
        <v>0</v>
      </c>
      <c r="Z37" s="18">
        <v>0</v>
      </c>
      <c r="AA37" s="18">
        <v>5</v>
      </c>
      <c r="AB37" s="9"/>
      <c r="AC37" s="21">
        <v>1.02</v>
      </c>
    </row>
    <row r="38" spans="1:29" x14ac:dyDescent="0.25">
      <c r="A38" s="9">
        <f>A37</f>
        <v>9</v>
      </c>
      <c r="B38" s="9"/>
      <c r="C38" s="15" t="str">
        <f>IF(C37="*",C37,"")</f>
        <v>*</v>
      </c>
      <c r="D38" s="16"/>
      <c r="E38" s="17" t="str">
        <f t="shared" ref="E38:G40" si="12">E37</f>
        <v>TRAH2G</v>
      </c>
      <c r="F38" s="17" t="str">
        <f t="shared" si="12"/>
        <v>TRAPASCARDMD</v>
      </c>
      <c r="G38" s="17" t="str">
        <f t="shared" si="12"/>
        <v>TRAPASCARDMD</v>
      </c>
      <c r="H38" s="18">
        <v>2025</v>
      </c>
      <c r="I38" s="18" t="str">
        <f>I37</f>
        <v>LO</v>
      </c>
      <c r="J38" s="18"/>
      <c r="K38" s="20">
        <f>-SUMIFS('TRA RESID'!$P:$P,'TRA RESID'!$H:$H,$E38,'TRA RESID'!$I:$I,$F38)/SUMIFS('TRA RESID'!$P:$P,'TRA RESID'!$I:$I,$F38)*O38</f>
        <v>0</v>
      </c>
      <c r="L38" s="18"/>
      <c r="M38" s="18"/>
      <c r="N38" s="9"/>
      <c r="O38" s="21">
        <v>0.8</v>
      </c>
      <c r="Q38" s="15" t="str">
        <f t="shared" si="0"/>
        <v>*</v>
      </c>
      <c r="R38" s="16"/>
      <c r="S38" s="17" t="str">
        <f t="shared" si="2"/>
        <v>TRAH2G</v>
      </c>
      <c r="T38" s="17" t="str">
        <f t="shared" si="3"/>
        <v>TRAPASCARDMD</v>
      </c>
      <c r="U38" s="17" t="str">
        <f t="shared" si="4"/>
        <v>TRAPASCARDMD</v>
      </c>
      <c r="V38" s="18">
        <v>2025</v>
      </c>
      <c r="W38" s="18" t="str">
        <f>W37</f>
        <v>UP</v>
      </c>
      <c r="X38" s="18"/>
      <c r="Y38" s="20">
        <f>-MIN(SUMIFS('TRA RESID'!$P:$P,'TRA RESID'!$H:$H,$E38,'TRA RESID'!$I:$I,$F38)/SUMIFS('TRA RESID'!$P:$P,'TRA RESID'!$I:$I,$F38)*AC38,1)</f>
        <v>0</v>
      </c>
      <c r="Z38" s="18"/>
      <c r="AA38" s="18"/>
      <c r="AB38" s="9"/>
      <c r="AC38" s="21">
        <v>1.2</v>
      </c>
    </row>
    <row r="39" spans="1:29" x14ac:dyDescent="0.25">
      <c r="A39" s="9">
        <f>A38</f>
        <v>9</v>
      </c>
      <c r="B39" s="9"/>
      <c r="C39" s="15" t="str">
        <f>IF(C38="*",C38,"")</f>
        <v>*</v>
      </c>
      <c r="D39" s="16"/>
      <c r="E39" s="17" t="str">
        <f t="shared" si="12"/>
        <v>TRAH2G</v>
      </c>
      <c r="F39" s="17" t="str">
        <f t="shared" si="12"/>
        <v>TRAPASCARDMD</v>
      </c>
      <c r="G39" s="17" t="str">
        <f t="shared" si="12"/>
        <v>TRAPASCARDMD</v>
      </c>
      <c r="H39" s="18">
        <v>2030</v>
      </c>
      <c r="I39" s="18" t="str">
        <f>I38</f>
        <v>LO</v>
      </c>
      <c r="J39" s="18"/>
      <c r="K39" s="20">
        <f>-SUMIFS('TRA RESID'!$P:$P,'TRA RESID'!$H:$H,$E39,'TRA RESID'!$I:$I,$F39)/SUMIFS('TRA RESID'!$P:$P,'TRA RESID'!$I:$I,$F39)*O39</f>
        <v>0</v>
      </c>
      <c r="L39" s="18"/>
      <c r="M39" s="18"/>
      <c r="N39" s="9"/>
      <c r="O39" s="21">
        <v>0.2</v>
      </c>
      <c r="Q39" s="15" t="str">
        <f t="shared" si="0"/>
        <v>*</v>
      </c>
      <c r="R39" s="16"/>
      <c r="S39" s="17" t="str">
        <f t="shared" si="2"/>
        <v>TRAH2G</v>
      </c>
      <c r="T39" s="17" t="str">
        <f t="shared" si="3"/>
        <v>TRAPASCARDMD</v>
      </c>
      <c r="U39" s="17" t="str">
        <f t="shared" si="4"/>
        <v>TRAPASCARDMD</v>
      </c>
      <c r="V39" s="18">
        <v>2030</v>
      </c>
      <c r="W39" s="18" t="str">
        <f>W38</f>
        <v>UP</v>
      </c>
      <c r="X39" s="18"/>
      <c r="Y39" s="20">
        <f>-MIN(SUMIFS('TRA RESID'!$P:$P,'TRA RESID'!$H:$H,$E39,'TRA RESID'!$I:$I,$F39)/SUMIFS('TRA RESID'!$P:$P,'TRA RESID'!$I:$I,$F39)*AC39,1)</f>
        <v>0</v>
      </c>
      <c r="Z39" s="18"/>
      <c r="AA39" s="18"/>
      <c r="AB39" s="9"/>
      <c r="AC39" s="21">
        <v>1.5</v>
      </c>
    </row>
    <row r="40" spans="1:29" x14ac:dyDescent="0.25">
      <c r="A40" s="22">
        <f>A39</f>
        <v>9</v>
      </c>
      <c r="B40" s="22"/>
      <c r="C40" s="23" t="str">
        <f>IF(C39="*",C39,"")</f>
        <v>*</v>
      </c>
      <c r="D40" s="24"/>
      <c r="E40" s="25" t="str">
        <f t="shared" si="12"/>
        <v>TRAH2G</v>
      </c>
      <c r="F40" s="25" t="str">
        <f t="shared" si="12"/>
        <v>TRAPASCARDMD</v>
      </c>
      <c r="G40" s="25" t="str">
        <f t="shared" si="12"/>
        <v>TRAPASCARDMD</v>
      </c>
      <c r="H40" s="26">
        <v>2050</v>
      </c>
      <c r="I40" s="26" t="str">
        <f>I39</f>
        <v>LO</v>
      </c>
      <c r="J40" s="26"/>
      <c r="K40" s="27">
        <f>-SUMIFS('TRA RESID'!$P:$P,'TRA RESID'!$H:$H,$E40,'TRA RESID'!$I:$I,$F40)/SUMIFS('TRA RESID'!$P:$P,'TRA RESID'!$I:$I,$F40)*O40</f>
        <v>0</v>
      </c>
      <c r="L40" s="26"/>
      <c r="M40" s="26"/>
      <c r="N40" s="22"/>
      <c r="O40" s="28">
        <v>0</v>
      </c>
      <c r="Q40" s="23" t="str">
        <f t="shared" si="0"/>
        <v>*</v>
      </c>
      <c r="R40" s="24"/>
      <c r="S40" s="25" t="str">
        <f t="shared" si="2"/>
        <v>TRAH2G</v>
      </c>
      <c r="T40" s="25" t="str">
        <f t="shared" si="3"/>
        <v>TRAPASCARDMD</v>
      </c>
      <c r="U40" s="25" t="str">
        <f t="shared" si="4"/>
        <v>TRAPASCARDMD</v>
      </c>
      <c r="V40" s="26">
        <v>2050</v>
      </c>
      <c r="W40" s="26" t="str">
        <f>W39</f>
        <v>UP</v>
      </c>
      <c r="X40" s="26"/>
      <c r="Y40" s="27">
        <f>-MIN(SUMIFS('TRA RESID'!$P:$P,'TRA RESID'!$H:$H,$E40,'TRA RESID'!$I:$I,$F40)/SUMIFS('TRA RESID'!$P:$P,'TRA RESID'!$I:$I,$F40)*AC40,1)</f>
        <v>0</v>
      </c>
      <c r="Z40" s="26"/>
      <c r="AA40" s="26"/>
      <c r="AB40" s="22"/>
      <c r="AC40" s="28">
        <v>3</v>
      </c>
    </row>
    <row r="41" spans="1:29" x14ac:dyDescent="0.25">
      <c r="A41" s="14">
        <f>A37+1</f>
        <v>10</v>
      </c>
      <c r="B41" s="9"/>
      <c r="C41" s="15" t="str">
        <f>IF(E41="","",IF(_xlfn.XLOOKUP($A41,Selected_constraint!$A:$A,Selected_constraint!$D:$D)=1,"*",IF(SUMIFS('TRA TECH'!$M:$M,'TRA TECH'!$H:$H,E41,'TRA TECH'!$I:$I,F41)=0,"*",IF(SUMIFS('TRA RESID'!$P:$P,'TRA RESID'!$H:$H,$E41,'TRA RESID'!$I:$I,$F41)=0,"*","UC_MarketShare_"&amp;LEFT(F41,LEN(F41)-3)&amp;"_"&amp;RIGHT(E41,3)&amp;"_MIN"))))</f>
        <v>*</v>
      </c>
      <c r="D41" s="16"/>
      <c r="E41" s="17" t="str">
        <f>_xlfn.XLOOKUP($A41,Selected_constraint!$A:$A,Selected_constraint!$B:$B)</f>
        <v>TRAGSL</v>
      </c>
      <c r="F41" s="17" t="str">
        <f>_xlfn.XLOOKUP($A41,Selected_constraint!$A:$A,Selected_constraint!$C:$C)</f>
        <v>TRAPASLDTDMD</v>
      </c>
      <c r="G41" s="17" t="str">
        <f>F41</f>
        <v>TRAPASLDTDMD</v>
      </c>
      <c r="H41" s="18">
        <v>2019</v>
      </c>
      <c r="I41" s="18" t="s">
        <v>483</v>
      </c>
      <c r="J41" s="18">
        <v>1</v>
      </c>
      <c r="K41" s="20" t="e">
        <f>-SUMIFS('TRA RESID'!$P:$P,'TRA RESID'!$H:$H,$E41,'TRA RESID'!$I:$I,$F41)/SUMIFS('TRA RESID'!$P:$P,'TRA RESID'!$I:$I,$F41)*O41</f>
        <v>#DIV/0!</v>
      </c>
      <c r="L41" s="18">
        <v>0</v>
      </c>
      <c r="M41" s="18">
        <v>5</v>
      </c>
      <c r="N41" s="9"/>
      <c r="O41" s="21">
        <v>0.98</v>
      </c>
      <c r="Q41" s="15" t="str">
        <f t="shared" si="0"/>
        <v>*</v>
      </c>
      <c r="R41" s="16"/>
      <c r="S41" s="17" t="str">
        <f t="shared" si="2"/>
        <v>TRAGSL</v>
      </c>
      <c r="T41" s="17" t="str">
        <f t="shared" si="3"/>
        <v>TRAPASLDTDMD</v>
      </c>
      <c r="U41" s="17" t="str">
        <f t="shared" si="4"/>
        <v>TRAPASLDTDMD</v>
      </c>
      <c r="V41" s="18">
        <v>2019</v>
      </c>
      <c r="W41" s="18" t="s">
        <v>484</v>
      </c>
      <c r="X41" s="18">
        <v>1</v>
      </c>
      <c r="Y41" s="20" t="e">
        <f>-MIN(SUMIFS('TRA RESID'!$P:$P,'TRA RESID'!$H:$H,$E41,'TRA RESID'!$I:$I,$F41)/SUMIFS('TRA RESID'!$P:$P,'TRA RESID'!$I:$I,$F41)*AC41,1)</f>
        <v>#DIV/0!</v>
      </c>
      <c r="Z41" s="18">
        <v>0</v>
      </c>
      <c r="AA41" s="18">
        <v>5</v>
      </c>
      <c r="AB41" s="9"/>
      <c r="AC41" s="21">
        <v>1.02</v>
      </c>
    </row>
    <row r="42" spans="1:29" x14ac:dyDescent="0.25">
      <c r="A42" s="9">
        <f>A41</f>
        <v>10</v>
      </c>
      <c r="B42" s="9"/>
      <c r="C42" s="15" t="str">
        <f>IF(C41="*",C41,"")</f>
        <v>*</v>
      </c>
      <c r="D42" s="16"/>
      <c r="E42" s="17" t="str">
        <f t="shared" ref="E42:G44" si="13">E41</f>
        <v>TRAGSL</v>
      </c>
      <c r="F42" s="17" t="str">
        <f t="shared" si="13"/>
        <v>TRAPASLDTDMD</v>
      </c>
      <c r="G42" s="17" t="str">
        <f t="shared" si="13"/>
        <v>TRAPASLDTDMD</v>
      </c>
      <c r="H42" s="18">
        <v>2025</v>
      </c>
      <c r="I42" s="18" t="str">
        <f>I41</f>
        <v>LO</v>
      </c>
      <c r="J42" s="18"/>
      <c r="K42" s="20" t="e">
        <f>-SUMIFS('TRA RESID'!$P:$P,'TRA RESID'!$H:$H,$E42,'TRA RESID'!$I:$I,$F42)/SUMIFS('TRA RESID'!$P:$P,'TRA RESID'!$I:$I,$F42)*O42</f>
        <v>#DIV/0!</v>
      </c>
      <c r="L42" s="18"/>
      <c r="M42" s="18"/>
      <c r="N42" s="9"/>
      <c r="O42" s="21">
        <v>0.8</v>
      </c>
      <c r="Q42" s="15" t="str">
        <f t="shared" si="0"/>
        <v>*</v>
      </c>
      <c r="R42" s="16"/>
      <c r="S42" s="17" t="str">
        <f t="shared" si="2"/>
        <v>TRAGSL</v>
      </c>
      <c r="T42" s="17" t="str">
        <f t="shared" si="3"/>
        <v>TRAPASLDTDMD</v>
      </c>
      <c r="U42" s="17" t="str">
        <f t="shared" si="4"/>
        <v>TRAPASLDTDMD</v>
      </c>
      <c r="V42" s="18">
        <v>2025</v>
      </c>
      <c r="W42" s="18" t="str">
        <f>W41</f>
        <v>UP</v>
      </c>
      <c r="X42" s="18"/>
      <c r="Y42" s="20" t="e">
        <f>-MIN(SUMIFS('TRA RESID'!$P:$P,'TRA RESID'!$H:$H,$E42,'TRA RESID'!$I:$I,$F42)/SUMIFS('TRA RESID'!$P:$P,'TRA RESID'!$I:$I,$F42)*AC42,1)</f>
        <v>#DIV/0!</v>
      </c>
      <c r="Z42" s="18"/>
      <c r="AA42" s="18"/>
      <c r="AB42" s="9"/>
      <c r="AC42" s="21">
        <v>1.2</v>
      </c>
    </row>
    <row r="43" spans="1:29" x14ac:dyDescent="0.25">
      <c r="A43" s="9">
        <f>A42</f>
        <v>10</v>
      </c>
      <c r="B43" s="9"/>
      <c r="C43" s="15" t="str">
        <f>IF(C42="*",C42,"")</f>
        <v>*</v>
      </c>
      <c r="D43" s="16"/>
      <c r="E43" s="17" t="str">
        <f t="shared" si="13"/>
        <v>TRAGSL</v>
      </c>
      <c r="F43" s="17" t="str">
        <f t="shared" si="13"/>
        <v>TRAPASLDTDMD</v>
      </c>
      <c r="G43" s="17" t="str">
        <f t="shared" si="13"/>
        <v>TRAPASLDTDMD</v>
      </c>
      <c r="H43" s="18">
        <v>2030</v>
      </c>
      <c r="I43" s="18" t="str">
        <f>I42</f>
        <v>LO</v>
      </c>
      <c r="J43" s="18"/>
      <c r="K43" s="20" t="e">
        <f>-SUMIFS('TRA RESID'!$P:$P,'TRA RESID'!$H:$H,$E43,'TRA RESID'!$I:$I,$F43)/SUMIFS('TRA RESID'!$P:$P,'TRA RESID'!$I:$I,$F43)*O43</f>
        <v>#DIV/0!</v>
      </c>
      <c r="L43" s="18"/>
      <c r="M43" s="18"/>
      <c r="N43" s="9"/>
      <c r="O43" s="21">
        <v>0.2</v>
      </c>
      <c r="Q43" s="15" t="str">
        <f t="shared" si="0"/>
        <v>*</v>
      </c>
      <c r="R43" s="16"/>
      <c r="S43" s="17" t="str">
        <f t="shared" si="2"/>
        <v>TRAGSL</v>
      </c>
      <c r="T43" s="17" t="str">
        <f t="shared" si="3"/>
        <v>TRAPASLDTDMD</v>
      </c>
      <c r="U43" s="17" t="str">
        <f t="shared" si="4"/>
        <v>TRAPASLDTDMD</v>
      </c>
      <c r="V43" s="18">
        <v>2030</v>
      </c>
      <c r="W43" s="18" t="str">
        <f>W42</f>
        <v>UP</v>
      </c>
      <c r="X43" s="18"/>
      <c r="Y43" s="20" t="e">
        <f>-MIN(SUMIFS('TRA RESID'!$P:$P,'TRA RESID'!$H:$H,$E43,'TRA RESID'!$I:$I,$F43)/SUMIFS('TRA RESID'!$P:$P,'TRA RESID'!$I:$I,$F43)*AC43,1)</f>
        <v>#DIV/0!</v>
      </c>
      <c r="Z43" s="18"/>
      <c r="AA43" s="18"/>
      <c r="AB43" s="9"/>
      <c r="AC43" s="21">
        <v>1.5</v>
      </c>
    </row>
    <row r="44" spans="1:29" x14ac:dyDescent="0.25">
      <c r="A44" s="22">
        <f>A43</f>
        <v>10</v>
      </c>
      <c r="B44" s="22"/>
      <c r="C44" s="23" t="str">
        <f>IF(C43="*",C43,"")</f>
        <v>*</v>
      </c>
      <c r="D44" s="24"/>
      <c r="E44" s="25" t="str">
        <f t="shared" si="13"/>
        <v>TRAGSL</v>
      </c>
      <c r="F44" s="25" t="str">
        <f t="shared" si="13"/>
        <v>TRAPASLDTDMD</v>
      </c>
      <c r="G44" s="25" t="str">
        <f t="shared" si="13"/>
        <v>TRAPASLDTDMD</v>
      </c>
      <c r="H44" s="26">
        <v>2050</v>
      </c>
      <c r="I44" s="26" t="str">
        <f>I43</f>
        <v>LO</v>
      </c>
      <c r="J44" s="26"/>
      <c r="K44" s="27" t="e">
        <f>-SUMIFS('TRA RESID'!$P:$P,'TRA RESID'!$H:$H,$E44,'TRA RESID'!$I:$I,$F44)/SUMIFS('TRA RESID'!$P:$P,'TRA RESID'!$I:$I,$F44)*O44</f>
        <v>#DIV/0!</v>
      </c>
      <c r="L44" s="26"/>
      <c r="M44" s="26"/>
      <c r="N44" s="22"/>
      <c r="O44" s="28">
        <v>0</v>
      </c>
      <c r="Q44" s="23" t="str">
        <f t="shared" si="0"/>
        <v>*</v>
      </c>
      <c r="R44" s="24"/>
      <c r="S44" s="25" t="str">
        <f t="shared" si="2"/>
        <v>TRAGSL</v>
      </c>
      <c r="T44" s="25" t="str">
        <f t="shared" si="3"/>
        <v>TRAPASLDTDMD</v>
      </c>
      <c r="U44" s="25" t="str">
        <f t="shared" si="4"/>
        <v>TRAPASLDTDMD</v>
      </c>
      <c r="V44" s="26">
        <v>2050</v>
      </c>
      <c r="W44" s="26" t="str">
        <f>W43</f>
        <v>UP</v>
      </c>
      <c r="X44" s="26"/>
      <c r="Y44" s="27" t="e">
        <f>-MIN(SUMIFS('TRA RESID'!$P:$P,'TRA RESID'!$H:$H,$E44,'TRA RESID'!$I:$I,$F44)/SUMIFS('TRA RESID'!$P:$P,'TRA RESID'!$I:$I,$F44)*AC44,1)</f>
        <v>#DIV/0!</v>
      </c>
      <c r="Z44" s="26"/>
      <c r="AA44" s="26"/>
      <c r="AB44" s="22"/>
      <c r="AC44" s="28">
        <v>3</v>
      </c>
    </row>
    <row r="45" spans="1:29" x14ac:dyDescent="0.25">
      <c r="A45" s="14">
        <f>A41+1</f>
        <v>11</v>
      </c>
      <c r="B45" s="9"/>
      <c r="C45" s="15" t="str">
        <f>IF(E45="","",IF(_xlfn.XLOOKUP($A45,Selected_constraint!$A:$A,Selected_constraint!$D:$D)=1,"*",IF(SUMIFS('TRA TECH'!$M:$M,'TRA TECH'!$H:$H,E45,'TRA TECH'!$I:$I,F45)=0,"*",IF(SUMIFS('TRA RESID'!$P:$P,'TRA RESID'!$H:$H,$E45,'TRA RESID'!$I:$I,$F45)=0,"*","UC_MarketShare_"&amp;LEFT(F45,LEN(F45)-3)&amp;"_"&amp;RIGHT(E45,3)&amp;"_MIN"))))</f>
        <v>*</v>
      </c>
      <c r="D45" s="16"/>
      <c r="E45" s="17" t="str">
        <f>_xlfn.XLOOKUP($A45,Selected_constraint!$A:$A,Selected_constraint!$B:$B)</f>
        <v>TRAETH</v>
      </c>
      <c r="F45" s="17" t="str">
        <f>_xlfn.XLOOKUP($A45,Selected_constraint!$A:$A,Selected_constraint!$C:$C)</f>
        <v>TRAPASLDTDMD</v>
      </c>
      <c r="G45" s="17" t="str">
        <f>F45</f>
        <v>TRAPASLDTDMD</v>
      </c>
      <c r="H45" s="18">
        <v>2019</v>
      </c>
      <c r="I45" s="18" t="s">
        <v>483</v>
      </c>
      <c r="J45" s="18">
        <v>1</v>
      </c>
      <c r="K45" s="20" t="e">
        <f>-SUMIFS('TRA RESID'!$P:$P,'TRA RESID'!$H:$H,$E45,'TRA RESID'!$I:$I,$F45)/SUMIFS('TRA RESID'!$P:$P,'TRA RESID'!$I:$I,$F45)*O45</f>
        <v>#DIV/0!</v>
      </c>
      <c r="L45" s="18">
        <v>0</v>
      </c>
      <c r="M45" s="18">
        <v>5</v>
      </c>
      <c r="N45" s="9"/>
      <c r="O45" s="21">
        <v>0.98</v>
      </c>
      <c r="Q45" s="15" t="str">
        <f t="shared" si="0"/>
        <v>*</v>
      </c>
      <c r="R45" s="16"/>
      <c r="S45" s="17" t="str">
        <f t="shared" si="2"/>
        <v>TRAETH</v>
      </c>
      <c r="T45" s="17" t="str">
        <f t="shared" si="3"/>
        <v>TRAPASLDTDMD</v>
      </c>
      <c r="U45" s="17" t="str">
        <f t="shared" si="4"/>
        <v>TRAPASLDTDMD</v>
      </c>
      <c r="V45" s="18">
        <v>2019</v>
      </c>
      <c r="W45" s="18" t="s">
        <v>484</v>
      </c>
      <c r="X45" s="18">
        <v>1</v>
      </c>
      <c r="Y45" s="20" t="e">
        <f>-MIN(SUMIFS('TRA RESID'!$P:$P,'TRA RESID'!$H:$H,$E45,'TRA RESID'!$I:$I,$F45)/SUMIFS('TRA RESID'!$P:$P,'TRA RESID'!$I:$I,$F45)*AC45,1)</f>
        <v>#DIV/0!</v>
      </c>
      <c r="Z45" s="18">
        <v>0</v>
      </c>
      <c r="AA45" s="18">
        <v>5</v>
      </c>
      <c r="AB45" s="9"/>
      <c r="AC45" s="21">
        <v>1.02</v>
      </c>
    </row>
    <row r="46" spans="1:29" x14ac:dyDescent="0.25">
      <c r="A46" s="9">
        <f>A45</f>
        <v>11</v>
      </c>
      <c r="B46" s="9"/>
      <c r="C46" s="15" t="str">
        <f>IF(C45="*",C45,"")</f>
        <v>*</v>
      </c>
      <c r="D46" s="16"/>
      <c r="E46" s="17" t="str">
        <f t="shared" ref="E46:G48" si="14">E45</f>
        <v>TRAETH</v>
      </c>
      <c r="F46" s="17" t="str">
        <f t="shared" si="14"/>
        <v>TRAPASLDTDMD</v>
      </c>
      <c r="G46" s="17" t="str">
        <f t="shared" si="14"/>
        <v>TRAPASLDTDMD</v>
      </c>
      <c r="H46" s="18">
        <v>2025</v>
      </c>
      <c r="I46" s="18" t="str">
        <f>I45</f>
        <v>LO</v>
      </c>
      <c r="J46" s="18"/>
      <c r="K46" s="20" t="e">
        <f>-SUMIFS('TRA RESID'!$P:$P,'TRA RESID'!$H:$H,$E46,'TRA RESID'!$I:$I,$F46)/SUMIFS('TRA RESID'!$P:$P,'TRA RESID'!$I:$I,$F46)*O46</f>
        <v>#DIV/0!</v>
      </c>
      <c r="L46" s="18"/>
      <c r="M46" s="18"/>
      <c r="N46" s="9"/>
      <c r="O46" s="21">
        <v>0.8</v>
      </c>
      <c r="Q46" s="15" t="str">
        <f t="shared" si="0"/>
        <v>*</v>
      </c>
      <c r="R46" s="16"/>
      <c r="S46" s="17" t="str">
        <f t="shared" si="2"/>
        <v>TRAETH</v>
      </c>
      <c r="T46" s="17" t="str">
        <f t="shared" si="3"/>
        <v>TRAPASLDTDMD</v>
      </c>
      <c r="U46" s="17" t="str">
        <f t="shared" si="4"/>
        <v>TRAPASLDTDMD</v>
      </c>
      <c r="V46" s="18">
        <v>2025</v>
      </c>
      <c r="W46" s="18" t="str">
        <f>W45</f>
        <v>UP</v>
      </c>
      <c r="X46" s="18"/>
      <c r="Y46" s="20" t="e">
        <f>-MIN(SUMIFS('TRA RESID'!$P:$P,'TRA RESID'!$H:$H,$E46,'TRA RESID'!$I:$I,$F46)/SUMIFS('TRA RESID'!$P:$P,'TRA RESID'!$I:$I,$F46)*AC46,1)</f>
        <v>#DIV/0!</v>
      </c>
      <c r="Z46" s="18"/>
      <c r="AA46" s="18"/>
      <c r="AB46" s="9"/>
      <c r="AC46" s="21">
        <v>1.2</v>
      </c>
    </row>
    <row r="47" spans="1:29" x14ac:dyDescent="0.25">
      <c r="A47" s="9">
        <f>A46</f>
        <v>11</v>
      </c>
      <c r="B47" s="9"/>
      <c r="C47" s="15" t="str">
        <f>IF(C46="*",C46,"")</f>
        <v>*</v>
      </c>
      <c r="D47" s="16"/>
      <c r="E47" s="17" t="str">
        <f t="shared" si="14"/>
        <v>TRAETH</v>
      </c>
      <c r="F47" s="17" t="str">
        <f t="shared" si="14"/>
        <v>TRAPASLDTDMD</v>
      </c>
      <c r="G47" s="17" t="str">
        <f t="shared" si="14"/>
        <v>TRAPASLDTDMD</v>
      </c>
      <c r="H47" s="18">
        <v>2030</v>
      </c>
      <c r="I47" s="18" t="str">
        <f>I46</f>
        <v>LO</v>
      </c>
      <c r="J47" s="18"/>
      <c r="K47" s="20" t="e">
        <f>-SUMIFS('TRA RESID'!$P:$P,'TRA RESID'!$H:$H,$E47,'TRA RESID'!$I:$I,$F47)/SUMIFS('TRA RESID'!$P:$P,'TRA RESID'!$I:$I,$F47)*O47</f>
        <v>#DIV/0!</v>
      </c>
      <c r="L47" s="18"/>
      <c r="M47" s="18"/>
      <c r="N47" s="9"/>
      <c r="O47" s="21">
        <v>0.2</v>
      </c>
      <c r="Q47" s="15" t="str">
        <f t="shared" si="0"/>
        <v>*</v>
      </c>
      <c r="R47" s="16"/>
      <c r="S47" s="17" t="str">
        <f t="shared" si="2"/>
        <v>TRAETH</v>
      </c>
      <c r="T47" s="17" t="str">
        <f t="shared" si="3"/>
        <v>TRAPASLDTDMD</v>
      </c>
      <c r="U47" s="17" t="str">
        <f t="shared" si="4"/>
        <v>TRAPASLDTDMD</v>
      </c>
      <c r="V47" s="18">
        <v>2030</v>
      </c>
      <c r="W47" s="18" t="str">
        <f>W46</f>
        <v>UP</v>
      </c>
      <c r="X47" s="18"/>
      <c r="Y47" s="20" t="e">
        <f>-MIN(SUMIFS('TRA RESID'!$P:$P,'TRA RESID'!$H:$H,$E47,'TRA RESID'!$I:$I,$F47)/SUMIFS('TRA RESID'!$P:$P,'TRA RESID'!$I:$I,$F47)*AC47,1)</f>
        <v>#DIV/0!</v>
      </c>
      <c r="Z47" s="18"/>
      <c r="AA47" s="18"/>
      <c r="AB47" s="9"/>
      <c r="AC47" s="21">
        <v>1.5</v>
      </c>
    </row>
    <row r="48" spans="1:29" x14ac:dyDescent="0.25">
      <c r="A48" s="22">
        <f>A47</f>
        <v>11</v>
      </c>
      <c r="B48" s="22"/>
      <c r="C48" s="23" t="str">
        <f>IF(C47="*",C47,"")</f>
        <v>*</v>
      </c>
      <c r="D48" s="24"/>
      <c r="E48" s="25" t="str">
        <f t="shared" si="14"/>
        <v>TRAETH</v>
      </c>
      <c r="F48" s="25" t="str">
        <f t="shared" si="14"/>
        <v>TRAPASLDTDMD</v>
      </c>
      <c r="G48" s="25" t="str">
        <f t="shared" si="14"/>
        <v>TRAPASLDTDMD</v>
      </c>
      <c r="H48" s="26">
        <v>2050</v>
      </c>
      <c r="I48" s="26" t="str">
        <f>I47</f>
        <v>LO</v>
      </c>
      <c r="J48" s="26"/>
      <c r="K48" s="27" t="e">
        <f>-SUMIFS('TRA RESID'!$P:$P,'TRA RESID'!$H:$H,$E48,'TRA RESID'!$I:$I,$F48)/SUMIFS('TRA RESID'!$P:$P,'TRA RESID'!$I:$I,$F48)*O48</f>
        <v>#DIV/0!</v>
      </c>
      <c r="L48" s="26"/>
      <c r="M48" s="26"/>
      <c r="N48" s="22"/>
      <c r="O48" s="28">
        <v>0</v>
      </c>
      <c r="Q48" s="23" t="str">
        <f t="shared" si="0"/>
        <v>*</v>
      </c>
      <c r="R48" s="24"/>
      <c r="S48" s="25" t="str">
        <f t="shared" si="2"/>
        <v>TRAETH</v>
      </c>
      <c r="T48" s="25" t="str">
        <f t="shared" si="3"/>
        <v>TRAPASLDTDMD</v>
      </c>
      <c r="U48" s="25" t="str">
        <f t="shared" si="4"/>
        <v>TRAPASLDTDMD</v>
      </c>
      <c r="V48" s="26">
        <v>2050</v>
      </c>
      <c r="W48" s="26" t="str">
        <f>W47</f>
        <v>UP</v>
      </c>
      <c r="X48" s="26"/>
      <c r="Y48" s="27" t="e">
        <f>-MIN(SUMIFS('TRA RESID'!$P:$P,'TRA RESID'!$H:$H,$E48,'TRA RESID'!$I:$I,$F48)/SUMIFS('TRA RESID'!$P:$P,'TRA RESID'!$I:$I,$F48)*AC48,1)</f>
        <v>#DIV/0!</v>
      </c>
      <c r="Z48" s="26"/>
      <c r="AA48" s="26"/>
      <c r="AB48" s="22"/>
      <c r="AC48" s="28">
        <v>3</v>
      </c>
    </row>
    <row r="49" spans="1:29" x14ac:dyDescent="0.25">
      <c r="A49" s="14">
        <f>A45+1</f>
        <v>12</v>
      </c>
      <c r="B49" s="9"/>
      <c r="C49" s="15" t="str">
        <f>IF(E49="","",IF(_xlfn.XLOOKUP($A49,Selected_constraint!$A:$A,Selected_constraint!$D:$D)=1,"*",IF(SUMIFS('TRA TECH'!$M:$M,'TRA TECH'!$H:$H,E49,'TRA TECH'!$I:$I,F49)=0,"*",IF(SUMIFS('TRA RESID'!$P:$P,'TRA RESID'!$H:$H,$E49,'TRA RESID'!$I:$I,$F49)=0,"*","UC_MarketShare_"&amp;LEFT(F49,LEN(F49)-3)&amp;"_"&amp;RIGHT(E49,3)&amp;"_MIN"))))</f>
        <v>*</v>
      </c>
      <c r="D49" s="16"/>
      <c r="E49" s="17" t="str">
        <f>_xlfn.XLOOKUP($A49,Selected_constraint!$A:$A,Selected_constraint!$B:$B)</f>
        <v>TRADSL</v>
      </c>
      <c r="F49" s="17" t="str">
        <f>_xlfn.XLOOKUP($A49,Selected_constraint!$A:$A,Selected_constraint!$C:$C)</f>
        <v>TRAPASLDTDMD</v>
      </c>
      <c r="G49" s="17" t="str">
        <f>F49</f>
        <v>TRAPASLDTDMD</v>
      </c>
      <c r="H49" s="18">
        <v>2019</v>
      </c>
      <c r="I49" s="18" t="s">
        <v>483</v>
      </c>
      <c r="J49" s="18">
        <v>1</v>
      </c>
      <c r="K49" s="20" t="e">
        <f>-SUMIFS('TRA RESID'!$P:$P,'TRA RESID'!$H:$H,$E49,'TRA RESID'!$I:$I,$F49)/SUMIFS('TRA RESID'!$P:$P,'TRA RESID'!$I:$I,$F49)*O49</f>
        <v>#DIV/0!</v>
      </c>
      <c r="L49" s="18">
        <v>0</v>
      </c>
      <c r="M49" s="18">
        <v>5</v>
      </c>
      <c r="N49" s="9"/>
      <c r="O49" s="21">
        <v>0.98</v>
      </c>
      <c r="Q49" s="15" t="str">
        <f t="shared" si="0"/>
        <v>*</v>
      </c>
      <c r="R49" s="16"/>
      <c r="S49" s="17" t="str">
        <f t="shared" si="2"/>
        <v>TRADSL</v>
      </c>
      <c r="T49" s="17" t="str">
        <f t="shared" si="3"/>
        <v>TRAPASLDTDMD</v>
      </c>
      <c r="U49" s="17" t="str">
        <f t="shared" si="4"/>
        <v>TRAPASLDTDMD</v>
      </c>
      <c r="V49" s="18">
        <v>2019</v>
      </c>
      <c r="W49" s="18" t="s">
        <v>484</v>
      </c>
      <c r="X49" s="18">
        <v>1</v>
      </c>
      <c r="Y49" s="20" t="e">
        <f>-MIN(SUMIFS('TRA RESID'!$P:$P,'TRA RESID'!$H:$H,$E49,'TRA RESID'!$I:$I,$F49)/SUMIFS('TRA RESID'!$P:$P,'TRA RESID'!$I:$I,$F49)*AC49,1)</f>
        <v>#DIV/0!</v>
      </c>
      <c r="Z49" s="18">
        <v>0</v>
      </c>
      <c r="AA49" s="18">
        <v>5</v>
      </c>
      <c r="AB49" s="9"/>
      <c r="AC49" s="21">
        <v>1.02</v>
      </c>
    </row>
    <row r="50" spans="1:29" x14ac:dyDescent="0.25">
      <c r="A50" s="9">
        <f>A49</f>
        <v>12</v>
      </c>
      <c r="B50" s="9"/>
      <c r="C50" s="15" t="str">
        <f>IF(C49="*",C49,"")</f>
        <v>*</v>
      </c>
      <c r="D50" s="16"/>
      <c r="E50" s="17" t="str">
        <f t="shared" ref="E50:G52" si="15">E49</f>
        <v>TRADSL</v>
      </c>
      <c r="F50" s="17" t="str">
        <f t="shared" si="15"/>
        <v>TRAPASLDTDMD</v>
      </c>
      <c r="G50" s="17" t="str">
        <f t="shared" si="15"/>
        <v>TRAPASLDTDMD</v>
      </c>
      <c r="H50" s="18">
        <v>2025</v>
      </c>
      <c r="I50" s="18" t="str">
        <f>I49</f>
        <v>LO</v>
      </c>
      <c r="J50" s="18"/>
      <c r="K50" s="20" t="e">
        <f>-SUMIFS('TRA RESID'!$P:$P,'TRA RESID'!$H:$H,$E50,'TRA RESID'!$I:$I,$F50)/SUMIFS('TRA RESID'!$P:$P,'TRA RESID'!$I:$I,$F50)*O50</f>
        <v>#DIV/0!</v>
      </c>
      <c r="L50" s="18"/>
      <c r="M50" s="18"/>
      <c r="N50" s="9"/>
      <c r="O50" s="21">
        <v>0.8</v>
      </c>
      <c r="Q50" s="15" t="str">
        <f t="shared" si="0"/>
        <v>*</v>
      </c>
      <c r="R50" s="16"/>
      <c r="S50" s="17" t="str">
        <f t="shared" si="2"/>
        <v>TRADSL</v>
      </c>
      <c r="T50" s="17" t="str">
        <f t="shared" si="3"/>
        <v>TRAPASLDTDMD</v>
      </c>
      <c r="U50" s="17" t="str">
        <f t="shared" si="4"/>
        <v>TRAPASLDTDMD</v>
      </c>
      <c r="V50" s="18">
        <v>2025</v>
      </c>
      <c r="W50" s="18" t="str">
        <f>W49</f>
        <v>UP</v>
      </c>
      <c r="X50" s="18"/>
      <c r="Y50" s="20" t="e">
        <f>-MIN(SUMIFS('TRA RESID'!$P:$P,'TRA RESID'!$H:$H,$E50,'TRA RESID'!$I:$I,$F50)/SUMIFS('TRA RESID'!$P:$P,'TRA RESID'!$I:$I,$F50)*AC50,1)</f>
        <v>#DIV/0!</v>
      </c>
      <c r="Z50" s="18"/>
      <c r="AA50" s="18"/>
      <c r="AB50" s="9"/>
      <c r="AC50" s="21">
        <v>1.2</v>
      </c>
    </row>
    <row r="51" spans="1:29" x14ac:dyDescent="0.25">
      <c r="A51" s="9">
        <f>A50</f>
        <v>12</v>
      </c>
      <c r="B51" s="9"/>
      <c r="C51" s="15" t="str">
        <f>IF(C50="*",C50,"")</f>
        <v>*</v>
      </c>
      <c r="D51" s="16"/>
      <c r="E51" s="17" t="str">
        <f t="shared" si="15"/>
        <v>TRADSL</v>
      </c>
      <c r="F51" s="17" t="str">
        <f t="shared" si="15"/>
        <v>TRAPASLDTDMD</v>
      </c>
      <c r="G51" s="17" t="str">
        <f t="shared" si="15"/>
        <v>TRAPASLDTDMD</v>
      </c>
      <c r="H51" s="18">
        <v>2030</v>
      </c>
      <c r="I51" s="18" t="str">
        <f>I50</f>
        <v>LO</v>
      </c>
      <c r="J51" s="18"/>
      <c r="K51" s="20" t="e">
        <f>-SUMIFS('TRA RESID'!$P:$P,'TRA RESID'!$H:$H,$E51,'TRA RESID'!$I:$I,$F51)/SUMIFS('TRA RESID'!$P:$P,'TRA RESID'!$I:$I,$F51)*O51</f>
        <v>#DIV/0!</v>
      </c>
      <c r="L51" s="18"/>
      <c r="M51" s="18"/>
      <c r="N51" s="9"/>
      <c r="O51" s="21">
        <v>0.2</v>
      </c>
      <c r="Q51" s="15" t="str">
        <f t="shared" si="0"/>
        <v>*</v>
      </c>
      <c r="R51" s="16"/>
      <c r="S51" s="17" t="str">
        <f t="shared" si="2"/>
        <v>TRADSL</v>
      </c>
      <c r="T51" s="17" t="str">
        <f t="shared" si="3"/>
        <v>TRAPASLDTDMD</v>
      </c>
      <c r="U51" s="17" t="str">
        <f t="shared" si="4"/>
        <v>TRAPASLDTDMD</v>
      </c>
      <c r="V51" s="18">
        <v>2030</v>
      </c>
      <c r="W51" s="18" t="str">
        <f>W50</f>
        <v>UP</v>
      </c>
      <c r="X51" s="18"/>
      <c r="Y51" s="20" t="e">
        <f>-MIN(SUMIFS('TRA RESID'!$P:$P,'TRA RESID'!$H:$H,$E51,'TRA RESID'!$I:$I,$F51)/SUMIFS('TRA RESID'!$P:$P,'TRA RESID'!$I:$I,$F51)*AC51,1)</f>
        <v>#DIV/0!</v>
      </c>
      <c r="Z51" s="18"/>
      <c r="AA51" s="18"/>
      <c r="AB51" s="9"/>
      <c r="AC51" s="21">
        <v>1.5</v>
      </c>
    </row>
    <row r="52" spans="1:29" x14ac:dyDescent="0.25">
      <c r="A52" s="22">
        <f>A51</f>
        <v>12</v>
      </c>
      <c r="B52" s="22"/>
      <c r="C52" s="23" t="str">
        <f>IF(C51="*",C51,"")</f>
        <v>*</v>
      </c>
      <c r="D52" s="24"/>
      <c r="E52" s="25" t="str">
        <f t="shared" si="15"/>
        <v>TRADSL</v>
      </c>
      <c r="F52" s="25" t="str">
        <f t="shared" si="15"/>
        <v>TRAPASLDTDMD</v>
      </c>
      <c r="G52" s="25" t="str">
        <f t="shared" si="15"/>
        <v>TRAPASLDTDMD</v>
      </c>
      <c r="H52" s="26">
        <v>2050</v>
      </c>
      <c r="I52" s="26" t="str">
        <f>I51</f>
        <v>LO</v>
      </c>
      <c r="J52" s="26"/>
      <c r="K52" s="27" t="e">
        <f>-SUMIFS('TRA RESID'!$P:$P,'TRA RESID'!$H:$H,$E52,'TRA RESID'!$I:$I,$F52)/SUMIFS('TRA RESID'!$P:$P,'TRA RESID'!$I:$I,$F52)*O52</f>
        <v>#DIV/0!</v>
      </c>
      <c r="L52" s="26"/>
      <c r="M52" s="26"/>
      <c r="N52" s="22"/>
      <c r="O52" s="28">
        <v>0</v>
      </c>
      <c r="Q52" s="23" t="str">
        <f t="shared" si="0"/>
        <v>*</v>
      </c>
      <c r="R52" s="24"/>
      <c r="S52" s="25" t="str">
        <f t="shared" si="2"/>
        <v>TRADSL</v>
      </c>
      <c r="T52" s="25" t="str">
        <f t="shared" si="3"/>
        <v>TRAPASLDTDMD</v>
      </c>
      <c r="U52" s="25" t="str">
        <f t="shared" si="4"/>
        <v>TRAPASLDTDMD</v>
      </c>
      <c r="V52" s="26">
        <v>2050</v>
      </c>
      <c r="W52" s="26" t="str">
        <f>W51</f>
        <v>UP</v>
      </c>
      <c r="X52" s="26"/>
      <c r="Y52" s="27" t="e">
        <f>-MIN(SUMIFS('TRA RESID'!$P:$P,'TRA RESID'!$H:$H,$E52,'TRA RESID'!$I:$I,$F52)/SUMIFS('TRA RESID'!$P:$P,'TRA RESID'!$I:$I,$F52)*AC52,1)</f>
        <v>#DIV/0!</v>
      </c>
      <c r="Z52" s="26"/>
      <c r="AA52" s="26"/>
      <c r="AB52" s="22"/>
      <c r="AC52" s="28">
        <v>3</v>
      </c>
    </row>
    <row r="53" spans="1:29" x14ac:dyDescent="0.25">
      <c r="A53" s="14">
        <f>A49+1</f>
        <v>13</v>
      </c>
      <c r="B53" s="9"/>
      <c r="C53" s="15" t="str">
        <f>IF(E53="","",IF(_xlfn.XLOOKUP($A53,Selected_constraint!$A:$A,Selected_constraint!$D:$D)=1,"*",IF(SUMIFS('TRA TECH'!$M:$M,'TRA TECH'!$H:$H,E53,'TRA TECH'!$I:$I,F53)=0,"*",IF(SUMIFS('TRA RESID'!$P:$P,'TRA RESID'!$H:$H,$E53,'TRA RESID'!$I:$I,$F53)=0,"*","UC_MarketShare_"&amp;LEFT(F53,LEN(F53)-3)&amp;"_"&amp;RIGHT(E53,3)&amp;"_MIN"))))</f>
        <v>*</v>
      </c>
      <c r="D53" s="16"/>
      <c r="E53" s="17" t="str">
        <f>_xlfn.XLOOKUP($A53,Selected_constraint!$A:$A,Selected_constraint!$B:$B)</f>
        <v>TRARDS</v>
      </c>
      <c r="F53" s="17" t="str">
        <f>_xlfn.XLOOKUP($A53,Selected_constraint!$A:$A,Selected_constraint!$C:$C)</f>
        <v>TRAPASLDTDMD</v>
      </c>
      <c r="G53" s="17" t="str">
        <f>F53</f>
        <v>TRAPASLDTDMD</v>
      </c>
      <c r="H53" s="18">
        <v>2019</v>
      </c>
      <c r="I53" s="18" t="s">
        <v>483</v>
      </c>
      <c r="J53" s="18">
        <v>1</v>
      </c>
      <c r="K53" s="20" t="e">
        <f>-SUMIFS('TRA RESID'!$P:$P,'TRA RESID'!$H:$H,$E53,'TRA RESID'!$I:$I,$F53)/SUMIFS('TRA RESID'!$P:$P,'TRA RESID'!$I:$I,$F53)*O53</f>
        <v>#DIV/0!</v>
      </c>
      <c r="L53" s="18">
        <v>0</v>
      </c>
      <c r="M53" s="18">
        <v>5</v>
      </c>
      <c r="N53" s="9"/>
      <c r="O53" s="21">
        <v>0.98</v>
      </c>
      <c r="Q53" s="15" t="str">
        <f t="shared" si="0"/>
        <v>*</v>
      </c>
      <c r="R53" s="16"/>
      <c r="S53" s="17" t="str">
        <f t="shared" si="2"/>
        <v>TRARDS</v>
      </c>
      <c r="T53" s="17" t="str">
        <f t="shared" si="3"/>
        <v>TRAPASLDTDMD</v>
      </c>
      <c r="U53" s="17" t="str">
        <f t="shared" si="4"/>
        <v>TRAPASLDTDMD</v>
      </c>
      <c r="V53" s="18">
        <v>2019</v>
      </c>
      <c r="W53" s="18" t="s">
        <v>484</v>
      </c>
      <c r="X53" s="18">
        <v>1</v>
      </c>
      <c r="Y53" s="20" t="e">
        <f>-MIN(SUMIFS('TRA RESID'!$P:$P,'TRA RESID'!$H:$H,$E53,'TRA RESID'!$I:$I,$F53)/SUMIFS('TRA RESID'!$P:$P,'TRA RESID'!$I:$I,$F53)*AC53,1)</f>
        <v>#DIV/0!</v>
      </c>
      <c r="Z53" s="18">
        <v>0</v>
      </c>
      <c r="AA53" s="18">
        <v>5</v>
      </c>
      <c r="AB53" s="9"/>
      <c r="AC53" s="21">
        <v>1.02</v>
      </c>
    </row>
    <row r="54" spans="1:29" x14ac:dyDescent="0.25">
      <c r="A54" s="9">
        <f>A53</f>
        <v>13</v>
      </c>
      <c r="B54" s="9"/>
      <c r="C54" s="15" t="str">
        <f>IF(C53="*",C53,"")</f>
        <v>*</v>
      </c>
      <c r="D54" s="16"/>
      <c r="E54" s="17" t="str">
        <f t="shared" ref="E54:G56" si="16">E53</f>
        <v>TRARDS</v>
      </c>
      <c r="F54" s="17" t="str">
        <f t="shared" si="16"/>
        <v>TRAPASLDTDMD</v>
      </c>
      <c r="G54" s="17" t="str">
        <f t="shared" si="16"/>
        <v>TRAPASLDTDMD</v>
      </c>
      <c r="H54" s="18">
        <v>2025</v>
      </c>
      <c r="I54" s="18" t="str">
        <f>I53</f>
        <v>LO</v>
      </c>
      <c r="J54" s="18"/>
      <c r="K54" s="20" t="e">
        <f>-SUMIFS('TRA RESID'!$P:$P,'TRA RESID'!$H:$H,$E54,'TRA RESID'!$I:$I,$F54)/SUMIFS('TRA RESID'!$P:$P,'TRA RESID'!$I:$I,$F54)*O54</f>
        <v>#DIV/0!</v>
      </c>
      <c r="L54" s="18"/>
      <c r="M54" s="18"/>
      <c r="N54" s="9"/>
      <c r="O54" s="21">
        <v>0.8</v>
      </c>
      <c r="Q54" s="15" t="str">
        <f t="shared" si="0"/>
        <v>*</v>
      </c>
      <c r="R54" s="16"/>
      <c r="S54" s="17" t="str">
        <f t="shared" si="2"/>
        <v>TRARDS</v>
      </c>
      <c r="T54" s="17" t="str">
        <f t="shared" si="3"/>
        <v>TRAPASLDTDMD</v>
      </c>
      <c r="U54" s="17" t="str">
        <f t="shared" si="4"/>
        <v>TRAPASLDTDMD</v>
      </c>
      <c r="V54" s="18">
        <v>2025</v>
      </c>
      <c r="W54" s="18" t="str">
        <f>W53</f>
        <v>UP</v>
      </c>
      <c r="X54" s="18"/>
      <c r="Y54" s="20" t="e">
        <f>-MIN(SUMIFS('TRA RESID'!$P:$P,'TRA RESID'!$H:$H,$E54,'TRA RESID'!$I:$I,$F54)/SUMIFS('TRA RESID'!$P:$P,'TRA RESID'!$I:$I,$F54)*AC54,1)</f>
        <v>#DIV/0!</v>
      </c>
      <c r="Z54" s="18"/>
      <c r="AA54" s="18"/>
      <c r="AB54" s="9"/>
      <c r="AC54" s="21">
        <v>1.2</v>
      </c>
    </row>
    <row r="55" spans="1:29" x14ac:dyDescent="0.25">
      <c r="A55" s="9">
        <f>A54</f>
        <v>13</v>
      </c>
      <c r="B55" s="9"/>
      <c r="C55" s="15" t="str">
        <f>IF(C54="*",C54,"")</f>
        <v>*</v>
      </c>
      <c r="D55" s="16"/>
      <c r="E55" s="17" t="str">
        <f t="shared" si="16"/>
        <v>TRARDS</v>
      </c>
      <c r="F55" s="17" t="str">
        <f t="shared" si="16"/>
        <v>TRAPASLDTDMD</v>
      </c>
      <c r="G55" s="17" t="str">
        <f t="shared" si="16"/>
        <v>TRAPASLDTDMD</v>
      </c>
      <c r="H55" s="18">
        <v>2030</v>
      </c>
      <c r="I55" s="18" t="str">
        <f>I54</f>
        <v>LO</v>
      </c>
      <c r="J55" s="18"/>
      <c r="K55" s="20" t="e">
        <f>-SUMIFS('TRA RESID'!$P:$P,'TRA RESID'!$H:$H,$E55,'TRA RESID'!$I:$I,$F55)/SUMIFS('TRA RESID'!$P:$P,'TRA RESID'!$I:$I,$F55)*O55</f>
        <v>#DIV/0!</v>
      </c>
      <c r="L55" s="18"/>
      <c r="M55" s="18"/>
      <c r="N55" s="9"/>
      <c r="O55" s="21">
        <v>0.2</v>
      </c>
      <c r="Q55" s="15" t="str">
        <f t="shared" si="0"/>
        <v>*</v>
      </c>
      <c r="R55" s="16"/>
      <c r="S55" s="17" t="str">
        <f t="shared" si="2"/>
        <v>TRARDS</v>
      </c>
      <c r="T55" s="17" t="str">
        <f t="shared" si="3"/>
        <v>TRAPASLDTDMD</v>
      </c>
      <c r="U55" s="17" t="str">
        <f t="shared" si="4"/>
        <v>TRAPASLDTDMD</v>
      </c>
      <c r="V55" s="18">
        <v>2030</v>
      </c>
      <c r="W55" s="18" t="str">
        <f>W54</f>
        <v>UP</v>
      </c>
      <c r="X55" s="18"/>
      <c r="Y55" s="20" t="e">
        <f>-MIN(SUMIFS('TRA RESID'!$P:$P,'TRA RESID'!$H:$H,$E55,'TRA RESID'!$I:$I,$F55)/SUMIFS('TRA RESID'!$P:$P,'TRA RESID'!$I:$I,$F55)*AC55,1)</f>
        <v>#DIV/0!</v>
      </c>
      <c r="Z55" s="18"/>
      <c r="AA55" s="18"/>
      <c r="AB55" s="9"/>
      <c r="AC55" s="21">
        <v>1.5</v>
      </c>
    </row>
    <row r="56" spans="1:29" x14ac:dyDescent="0.25">
      <c r="A56" s="22">
        <f>A55</f>
        <v>13</v>
      </c>
      <c r="B56" s="22"/>
      <c r="C56" s="23" t="str">
        <f>IF(C55="*",C55,"")</f>
        <v>*</v>
      </c>
      <c r="D56" s="24"/>
      <c r="E56" s="25" t="str">
        <f t="shared" si="16"/>
        <v>TRARDS</v>
      </c>
      <c r="F56" s="25" t="str">
        <f t="shared" si="16"/>
        <v>TRAPASLDTDMD</v>
      </c>
      <c r="G56" s="25" t="str">
        <f t="shared" si="16"/>
        <v>TRAPASLDTDMD</v>
      </c>
      <c r="H56" s="26">
        <v>2050</v>
      </c>
      <c r="I56" s="26" t="str">
        <f>I55</f>
        <v>LO</v>
      </c>
      <c r="J56" s="26"/>
      <c r="K56" s="27" t="e">
        <f>-SUMIFS('TRA RESID'!$P:$P,'TRA RESID'!$H:$H,$E56,'TRA RESID'!$I:$I,$F56)/SUMIFS('TRA RESID'!$P:$P,'TRA RESID'!$I:$I,$F56)*O56</f>
        <v>#DIV/0!</v>
      </c>
      <c r="L56" s="26"/>
      <c r="M56" s="26"/>
      <c r="N56" s="22"/>
      <c r="O56" s="28">
        <v>0</v>
      </c>
      <c r="Q56" s="23" t="str">
        <f t="shared" si="0"/>
        <v>*</v>
      </c>
      <c r="R56" s="24"/>
      <c r="S56" s="25" t="str">
        <f t="shared" si="2"/>
        <v>TRARDS</v>
      </c>
      <c r="T56" s="25" t="str">
        <f t="shared" si="3"/>
        <v>TRAPASLDTDMD</v>
      </c>
      <c r="U56" s="25" t="str">
        <f t="shared" si="4"/>
        <v>TRAPASLDTDMD</v>
      </c>
      <c r="V56" s="26">
        <v>2050</v>
      </c>
      <c r="W56" s="26" t="str">
        <f>W55</f>
        <v>UP</v>
      </c>
      <c r="X56" s="26"/>
      <c r="Y56" s="27" t="e">
        <f>-MIN(SUMIFS('TRA RESID'!$P:$P,'TRA RESID'!$H:$H,$E56,'TRA RESID'!$I:$I,$F56)/SUMIFS('TRA RESID'!$P:$P,'TRA RESID'!$I:$I,$F56)*AC56,1)</f>
        <v>#DIV/0!</v>
      </c>
      <c r="Z56" s="26"/>
      <c r="AA56" s="26"/>
      <c r="AB56" s="22"/>
      <c r="AC56" s="28">
        <v>3</v>
      </c>
    </row>
    <row r="57" spans="1:29" x14ac:dyDescent="0.25">
      <c r="A57" s="14">
        <f>A53+1</f>
        <v>14</v>
      </c>
      <c r="B57" s="9"/>
      <c r="C57" s="15" t="str">
        <f>IF(E57="","",IF(_xlfn.XLOOKUP($A57,Selected_constraint!$A:$A,Selected_constraint!$D:$D)=1,"*",IF(SUMIFS('TRA TECH'!$M:$M,'TRA TECH'!$H:$H,E57,'TRA TECH'!$I:$I,F57)=0,"*",IF(SUMIFS('TRA RESID'!$P:$P,'TRA RESID'!$H:$H,$E57,'TRA RESID'!$I:$I,$F57)=0,"*","UC_MarketShare_"&amp;LEFT(F57,LEN(F57)-3)&amp;"_"&amp;RIGHT(E57,3)&amp;"_MIN"))))</f>
        <v>*</v>
      </c>
      <c r="D57" s="16"/>
      <c r="E57" s="17" t="str">
        <f>_xlfn.XLOOKUP($A57,Selected_constraint!$A:$A,Selected_constraint!$B:$B)</f>
        <v>TRABDS</v>
      </c>
      <c r="F57" s="17" t="str">
        <f>_xlfn.XLOOKUP($A57,Selected_constraint!$A:$A,Selected_constraint!$C:$C)</f>
        <v>TRAPASLDTDMD</v>
      </c>
      <c r="G57" s="17" t="str">
        <f>F57</f>
        <v>TRAPASLDTDMD</v>
      </c>
      <c r="H57" s="18">
        <v>2019</v>
      </c>
      <c r="I57" s="18" t="s">
        <v>483</v>
      </c>
      <c r="J57" s="18">
        <v>1</v>
      </c>
      <c r="K57" s="20" t="e">
        <f>-SUMIFS('TRA RESID'!$P:$P,'TRA RESID'!$H:$H,$E57,'TRA RESID'!$I:$I,$F57)/SUMIFS('TRA RESID'!$P:$P,'TRA RESID'!$I:$I,$F57)*O57</f>
        <v>#DIV/0!</v>
      </c>
      <c r="L57" s="18">
        <v>0</v>
      </c>
      <c r="M57" s="18">
        <v>5</v>
      </c>
      <c r="N57" s="9"/>
      <c r="O57" s="21">
        <v>0.98</v>
      </c>
      <c r="Q57" s="15" t="str">
        <f t="shared" si="0"/>
        <v>*</v>
      </c>
      <c r="R57" s="16"/>
      <c r="S57" s="17" t="str">
        <f t="shared" si="2"/>
        <v>TRABDS</v>
      </c>
      <c r="T57" s="17" t="str">
        <f t="shared" si="3"/>
        <v>TRAPASLDTDMD</v>
      </c>
      <c r="U57" s="17" t="str">
        <f t="shared" si="4"/>
        <v>TRAPASLDTDMD</v>
      </c>
      <c r="V57" s="18">
        <v>2019</v>
      </c>
      <c r="W57" s="18" t="s">
        <v>484</v>
      </c>
      <c r="X57" s="18">
        <v>1</v>
      </c>
      <c r="Y57" s="20" t="e">
        <f>-MIN(SUMIFS('TRA RESID'!$P:$P,'TRA RESID'!$H:$H,$E57,'TRA RESID'!$I:$I,$F57)/SUMIFS('TRA RESID'!$P:$P,'TRA RESID'!$I:$I,$F57)*AC57,1)</f>
        <v>#DIV/0!</v>
      </c>
      <c r="Z57" s="18">
        <v>0</v>
      </c>
      <c r="AA57" s="18">
        <v>5</v>
      </c>
      <c r="AB57" s="9"/>
      <c r="AC57" s="21">
        <v>1.02</v>
      </c>
    </row>
    <row r="58" spans="1:29" x14ac:dyDescent="0.25">
      <c r="A58" s="9">
        <f>A57</f>
        <v>14</v>
      </c>
      <c r="B58" s="9"/>
      <c r="C58" s="15" t="str">
        <f>IF(C57="*",C57,"")</f>
        <v>*</v>
      </c>
      <c r="D58" s="16"/>
      <c r="E58" s="17" t="str">
        <f t="shared" ref="E58:G60" si="17">E57</f>
        <v>TRABDS</v>
      </c>
      <c r="F58" s="17" t="str">
        <f t="shared" si="17"/>
        <v>TRAPASLDTDMD</v>
      </c>
      <c r="G58" s="17" t="str">
        <f t="shared" si="17"/>
        <v>TRAPASLDTDMD</v>
      </c>
      <c r="H58" s="18">
        <v>2025</v>
      </c>
      <c r="I58" s="18" t="str">
        <f>I57</f>
        <v>LO</v>
      </c>
      <c r="J58" s="18"/>
      <c r="K58" s="20" t="e">
        <f>-SUMIFS('TRA RESID'!$P:$P,'TRA RESID'!$H:$H,$E58,'TRA RESID'!$I:$I,$F58)/SUMIFS('TRA RESID'!$P:$P,'TRA RESID'!$I:$I,$F58)*O58</f>
        <v>#DIV/0!</v>
      </c>
      <c r="L58" s="18"/>
      <c r="M58" s="18"/>
      <c r="N58" s="9"/>
      <c r="O58" s="21">
        <v>0.8</v>
      </c>
      <c r="Q58" s="15" t="str">
        <f t="shared" si="0"/>
        <v>*</v>
      </c>
      <c r="R58" s="16"/>
      <c r="S58" s="17" t="str">
        <f t="shared" si="2"/>
        <v>TRABDS</v>
      </c>
      <c r="T58" s="17" t="str">
        <f t="shared" si="3"/>
        <v>TRAPASLDTDMD</v>
      </c>
      <c r="U58" s="17" t="str">
        <f t="shared" si="4"/>
        <v>TRAPASLDTDMD</v>
      </c>
      <c r="V58" s="18">
        <v>2025</v>
      </c>
      <c r="W58" s="18" t="str">
        <f>W57</f>
        <v>UP</v>
      </c>
      <c r="X58" s="18"/>
      <c r="Y58" s="20" t="e">
        <f>-MIN(SUMIFS('TRA RESID'!$P:$P,'TRA RESID'!$H:$H,$E58,'TRA RESID'!$I:$I,$F58)/SUMIFS('TRA RESID'!$P:$P,'TRA RESID'!$I:$I,$F58)*AC58,1)</f>
        <v>#DIV/0!</v>
      </c>
      <c r="Z58" s="18"/>
      <c r="AA58" s="18"/>
      <c r="AB58" s="9"/>
      <c r="AC58" s="21">
        <v>1.2</v>
      </c>
    </row>
    <row r="59" spans="1:29" x14ac:dyDescent="0.25">
      <c r="A59" s="9">
        <f>A58</f>
        <v>14</v>
      </c>
      <c r="B59" s="9"/>
      <c r="C59" s="15" t="str">
        <f>IF(C58="*",C58,"")</f>
        <v>*</v>
      </c>
      <c r="D59" s="16"/>
      <c r="E59" s="17" t="str">
        <f t="shared" si="17"/>
        <v>TRABDS</v>
      </c>
      <c r="F59" s="17" t="str">
        <f t="shared" si="17"/>
        <v>TRAPASLDTDMD</v>
      </c>
      <c r="G59" s="17" t="str">
        <f t="shared" si="17"/>
        <v>TRAPASLDTDMD</v>
      </c>
      <c r="H59" s="18">
        <v>2030</v>
      </c>
      <c r="I59" s="18" t="str">
        <f>I58</f>
        <v>LO</v>
      </c>
      <c r="J59" s="18"/>
      <c r="K59" s="20" t="e">
        <f>-SUMIFS('TRA RESID'!$P:$P,'TRA RESID'!$H:$H,$E59,'TRA RESID'!$I:$I,$F59)/SUMIFS('TRA RESID'!$P:$P,'TRA RESID'!$I:$I,$F59)*O59</f>
        <v>#DIV/0!</v>
      </c>
      <c r="L59" s="18"/>
      <c r="M59" s="18"/>
      <c r="N59" s="9"/>
      <c r="O59" s="21">
        <v>0.2</v>
      </c>
      <c r="Q59" s="15" t="str">
        <f t="shared" si="0"/>
        <v>*</v>
      </c>
      <c r="R59" s="16"/>
      <c r="S59" s="17" t="str">
        <f t="shared" si="2"/>
        <v>TRABDS</v>
      </c>
      <c r="T59" s="17" t="str">
        <f t="shared" si="3"/>
        <v>TRAPASLDTDMD</v>
      </c>
      <c r="U59" s="17" t="str">
        <f t="shared" si="4"/>
        <v>TRAPASLDTDMD</v>
      </c>
      <c r="V59" s="18">
        <v>2030</v>
      </c>
      <c r="W59" s="18" t="str">
        <f>W58</f>
        <v>UP</v>
      </c>
      <c r="X59" s="18"/>
      <c r="Y59" s="20" t="e">
        <f>-MIN(SUMIFS('TRA RESID'!$P:$P,'TRA RESID'!$H:$H,$E59,'TRA RESID'!$I:$I,$F59)/SUMIFS('TRA RESID'!$P:$P,'TRA RESID'!$I:$I,$F59)*AC59,1)</f>
        <v>#DIV/0!</v>
      </c>
      <c r="Z59" s="18"/>
      <c r="AA59" s="18"/>
      <c r="AB59" s="9"/>
      <c r="AC59" s="21">
        <v>1.5</v>
      </c>
    </row>
    <row r="60" spans="1:29" x14ac:dyDescent="0.25">
      <c r="A60" s="22">
        <f>A59</f>
        <v>14</v>
      </c>
      <c r="B60" s="22"/>
      <c r="C60" s="23" t="str">
        <f>IF(C59="*",C59,"")</f>
        <v>*</v>
      </c>
      <c r="D60" s="24"/>
      <c r="E60" s="25" t="str">
        <f t="shared" si="17"/>
        <v>TRABDS</v>
      </c>
      <c r="F60" s="25" t="str">
        <f t="shared" si="17"/>
        <v>TRAPASLDTDMD</v>
      </c>
      <c r="G60" s="25" t="str">
        <f t="shared" si="17"/>
        <v>TRAPASLDTDMD</v>
      </c>
      <c r="H60" s="26">
        <v>2050</v>
      </c>
      <c r="I60" s="26" t="str">
        <f>I59</f>
        <v>LO</v>
      </c>
      <c r="J60" s="26"/>
      <c r="K60" s="27" t="e">
        <f>-SUMIFS('TRA RESID'!$P:$P,'TRA RESID'!$H:$H,$E60,'TRA RESID'!$I:$I,$F60)/SUMIFS('TRA RESID'!$P:$P,'TRA RESID'!$I:$I,$F60)*O60</f>
        <v>#DIV/0!</v>
      </c>
      <c r="L60" s="26"/>
      <c r="M60" s="26"/>
      <c r="N60" s="22"/>
      <c r="O60" s="28">
        <v>0</v>
      </c>
      <c r="Q60" s="23" t="str">
        <f t="shared" si="0"/>
        <v>*</v>
      </c>
      <c r="R60" s="24"/>
      <c r="S60" s="25" t="str">
        <f t="shared" si="2"/>
        <v>TRABDS</v>
      </c>
      <c r="T60" s="25" t="str">
        <f t="shared" si="3"/>
        <v>TRAPASLDTDMD</v>
      </c>
      <c r="U60" s="25" t="str">
        <f t="shared" si="4"/>
        <v>TRAPASLDTDMD</v>
      </c>
      <c r="V60" s="26">
        <v>2050</v>
      </c>
      <c r="W60" s="26" t="str">
        <f>W59</f>
        <v>UP</v>
      </c>
      <c r="X60" s="26"/>
      <c r="Y60" s="27" t="e">
        <f>-MIN(SUMIFS('TRA RESID'!$P:$P,'TRA RESID'!$H:$H,$E60,'TRA RESID'!$I:$I,$F60)/SUMIFS('TRA RESID'!$P:$P,'TRA RESID'!$I:$I,$F60)*AC60,1)</f>
        <v>#DIV/0!</v>
      </c>
      <c r="Z60" s="26"/>
      <c r="AA60" s="26"/>
      <c r="AB60" s="22"/>
      <c r="AC60" s="28">
        <v>3</v>
      </c>
    </row>
    <row r="61" spans="1:29" x14ac:dyDescent="0.25">
      <c r="A61" s="14">
        <f>A57+1</f>
        <v>15</v>
      </c>
      <c r="B61" s="9"/>
      <c r="C61" s="15" t="str">
        <f>IF(E61="","",IF(_xlfn.XLOOKUP($A61,Selected_constraint!$A:$A,Selected_constraint!$D:$D)=1,"*",IF(SUMIFS('TRA TECH'!$M:$M,'TRA TECH'!$H:$H,E61,'TRA TECH'!$I:$I,F61)=0,"*",IF(SUMIFS('TRA RESID'!$P:$P,'TRA RESID'!$H:$H,$E61,'TRA RESID'!$I:$I,$F61)=0,"*","UC_MarketShare_"&amp;LEFT(F61,LEN(F61)-3)&amp;"_"&amp;RIGHT(E61,3)&amp;"_MIN"))))</f>
        <v>*</v>
      </c>
      <c r="D61" s="16"/>
      <c r="E61" s="17" t="str">
        <f>_xlfn.XLOOKUP($A61,Selected_constraint!$A:$A,Selected_constraint!$B:$B)</f>
        <v>TRACNG</v>
      </c>
      <c r="F61" s="17" t="str">
        <f>_xlfn.XLOOKUP($A61,Selected_constraint!$A:$A,Selected_constraint!$C:$C)</f>
        <v>TRAPASLDTDMD</v>
      </c>
      <c r="G61" s="17" t="str">
        <f>F61</f>
        <v>TRAPASLDTDMD</v>
      </c>
      <c r="H61" s="18">
        <v>2019</v>
      </c>
      <c r="I61" s="18" t="s">
        <v>483</v>
      </c>
      <c r="J61" s="18">
        <v>1</v>
      </c>
      <c r="K61" s="20" t="e">
        <f>-SUMIFS('TRA RESID'!$P:$P,'TRA RESID'!$H:$H,$E61,'TRA RESID'!$I:$I,$F61)/SUMIFS('TRA RESID'!$P:$P,'TRA RESID'!$I:$I,$F61)*O61</f>
        <v>#DIV/0!</v>
      </c>
      <c r="L61" s="18">
        <v>0</v>
      </c>
      <c r="M61" s="18">
        <v>5</v>
      </c>
      <c r="N61" s="9"/>
      <c r="O61" s="21">
        <v>0.98</v>
      </c>
      <c r="Q61" s="15" t="str">
        <f t="shared" si="0"/>
        <v>*</v>
      </c>
      <c r="R61" s="16"/>
      <c r="S61" s="17" t="str">
        <f t="shared" si="2"/>
        <v>TRACNG</v>
      </c>
      <c r="T61" s="17" t="str">
        <f t="shared" si="3"/>
        <v>TRAPASLDTDMD</v>
      </c>
      <c r="U61" s="17" t="str">
        <f t="shared" si="4"/>
        <v>TRAPASLDTDMD</v>
      </c>
      <c r="V61" s="18">
        <v>2019</v>
      </c>
      <c r="W61" s="18" t="s">
        <v>484</v>
      </c>
      <c r="X61" s="18">
        <v>1</v>
      </c>
      <c r="Y61" s="20" t="e">
        <f>-MIN(SUMIFS('TRA RESID'!$P:$P,'TRA RESID'!$H:$H,$E61,'TRA RESID'!$I:$I,$F61)/SUMIFS('TRA RESID'!$P:$P,'TRA RESID'!$I:$I,$F61)*AC61,1)</f>
        <v>#DIV/0!</v>
      </c>
      <c r="Z61" s="18">
        <v>0</v>
      </c>
      <c r="AA61" s="18">
        <v>5</v>
      </c>
      <c r="AB61" s="9"/>
      <c r="AC61" s="21">
        <v>1.02</v>
      </c>
    </row>
    <row r="62" spans="1:29" x14ac:dyDescent="0.25">
      <c r="A62" s="9">
        <f>A61</f>
        <v>15</v>
      </c>
      <c r="B62" s="9"/>
      <c r="C62" s="15" t="str">
        <f>IF(C61="*",C61,"")</f>
        <v>*</v>
      </c>
      <c r="D62" s="16"/>
      <c r="E62" s="17" t="str">
        <f t="shared" ref="E62:G64" si="18">E61</f>
        <v>TRACNG</v>
      </c>
      <c r="F62" s="17" t="str">
        <f t="shared" si="18"/>
        <v>TRAPASLDTDMD</v>
      </c>
      <c r="G62" s="17" t="str">
        <f t="shared" si="18"/>
        <v>TRAPASLDTDMD</v>
      </c>
      <c r="H62" s="18">
        <v>2025</v>
      </c>
      <c r="I62" s="18" t="str">
        <f>I61</f>
        <v>LO</v>
      </c>
      <c r="J62" s="18"/>
      <c r="K62" s="20" t="e">
        <f>-SUMIFS('TRA RESID'!$P:$P,'TRA RESID'!$H:$H,$E62,'TRA RESID'!$I:$I,$F62)/SUMIFS('TRA RESID'!$P:$P,'TRA RESID'!$I:$I,$F62)*O62</f>
        <v>#DIV/0!</v>
      </c>
      <c r="L62" s="18"/>
      <c r="M62" s="18"/>
      <c r="N62" s="9"/>
      <c r="O62" s="21">
        <v>0.8</v>
      </c>
      <c r="Q62" s="15" t="str">
        <f t="shared" si="0"/>
        <v>*</v>
      </c>
      <c r="R62" s="16"/>
      <c r="S62" s="17" t="str">
        <f t="shared" si="2"/>
        <v>TRACNG</v>
      </c>
      <c r="T62" s="17" t="str">
        <f t="shared" si="3"/>
        <v>TRAPASLDTDMD</v>
      </c>
      <c r="U62" s="17" t="str">
        <f t="shared" si="4"/>
        <v>TRAPASLDTDMD</v>
      </c>
      <c r="V62" s="18">
        <v>2025</v>
      </c>
      <c r="W62" s="18" t="str">
        <f>W61</f>
        <v>UP</v>
      </c>
      <c r="X62" s="18"/>
      <c r="Y62" s="20" t="e">
        <f>-MIN(SUMIFS('TRA RESID'!$P:$P,'TRA RESID'!$H:$H,$E62,'TRA RESID'!$I:$I,$F62)/SUMIFS('TRA RESID'!$P:$P,'TRA RESID'!$I:$I,$F62)*AC62,1)</f>
        <v>#DIV/0!</v>
      </c>
      <c r="Z62" s="18"/>
      <c r="AA62" s="18"/>
      <c r="AB62" s="9"/>
      <c r="AC62" s="21">
        <v>1.2</v>
      </c>
    </row>
    <row r="63" spans="1:29" x14ac:dyDescent="0.25">
      <c r="A63" s="9">
        <f>A62</f>
        <v>15</v>
      </c>
      <c r="B63" s="9"/>
      <c r="C63" s="15" t="str">
        <f>IF(C62="*",C62,"")</f>
        <v>*</v>
      </c>
      <c r="D63" s="16"/>
      <c r="E63" s="17" t="str">
        <f t="shared" si="18"/>
        <v>TRACNG</v>
      </c>
      <c r="F63" s="17" t="str">
        <f t="shared" si="18"/>
        <v>TRAPASLDTDMD</v>
      </c>
      <c r="G63" s="17" t="str">
        <f t="shared" si="18"/>
        <v>TRAPASLDTDMD</v>
      </c>
      <c r="H63" s="18">
        <v>2030</v>
      </c>
      <c r="I63" s="18" t="str">
        <f>I62</f>
        <v>LO</v>
      </c>
      <c r="J63" s="18"/>
      <c r="K63" s="20" t="e">
        <f>-SUMIFS('TRA RESID'!$P:$P,'TRA RESID'!$H:$H,$E63,'TRA RESID'!$I:$I,$F63)/SUMIFS('TRA RESID'!$P:$P,'TRA RESID'!$I:$I,$F63)*O63</f>
        <v>#DIV/0!</v>
      </c>
      <c r="L63" s="18"/>
      <c r="M63" s="18"/>
      <c r="N63" s="9"/>
      <c r="O63" s="21">
        <v>0.2</v>
      </c>
      <c r="Q63" s="15" t="str">
        <f t="shared" si="0"/>
        <v>*</v>
      </c>
      <c r="R63" s="16"/>
      <c r="S63" s="17" t="str">
        <f t="shared" si="2"/>
        <v>TRACNG</v>
      </c>
      <c r="T63" s="17" t="str">
        <f t="shared" si="3"/>
        <v>TRAPASLDTDMD</v>
      </c>
      <c r="U63" s="17" t="str">
        <f t="shared" si="4"/>
        <v>TRAPASLDTDMD</v>
      </c>
      <c r="V63" s="18">
        <v>2030</v>
      </c>
      <c r="W63" s="18" t="str">
        <f>W62</f>
        <v>UP</v>
      </c>
      <c r="X63" s="18"/>
      <c r="Y63" s="20" t="e">
        <f>-MIN(SUMIFS('TRA RESID'!$P:$P,'TRA RESID'!$H:$H,$E63,'TRA RESID'!$I:$I,$F63)/SUMIFS('TRA RESID'!$P:$P,'TRA RESID'!$I:$I,$F63)*AC63,1)</f>
        <v>#DIV/0!</v>
      </c>
      <c r="Z63" s="18"/>
      <c r="AA63" s="18"/>
      <c r="AB63" s="9"/>
      <c r="AC63" s="21">
        <v>1.5</v>
      </c>
    </row>
    <row r="64" spans="1:29" x14ac:dyDescent="0.25">
      <c r="A64" s="22">
        <f>A63</f>
        <v>15</v>
      </c>
      <c r="B64" s="22"/>
      <c r="C64" s="23" t="str">
        <f>IF(C63="*",C63,"")</f>
        <v>*</v>
      </c>
      <c r="D64" s="24"/>
      <c r="E64" s="25" t="str">
        <f t="shared" si="18"/>
        <v>TRACNG</v>
      </c>
      <c r="F64" s="25" t="str">
        <f t="shared" si="18"/>
        <v>TRAPASLDTDMD</v>
      </c>
      <c r="G64" s="25" t="str">
        <f t="shared" si="18"/>
        <v>TRAPASLDTDMD</v>
      </c>
      <c r="H64" s="26">
        <v>2050</v>
      </c>
      <c r="I64" s="26" t="str">
        <f>I63</f>
        <v>LO</v>
      </c>
      <c r="J64" s="26"/>
      <c r="K64" s="27" t="e">
        <f>-SUMIFS('TRA RESID'!$P:$P,'TRA RESID'!$H:$H,$E64,'TRA RESID'!$I:$I,$F64)/SUMIFS('TRA RESID'!$P:$P,'TRA RESID'!$I:$I,$F64)*O64</f>
        <v>#DIV/0!</v>
      </c>
      <c r="L64" s="26"/>
      <c r="M64" s="26"/>
      <c r="N64" s="22"/>
      <c r="O64" s="28">
        <v>0</v>
      </c>
      <c r="Q64" s="23" t="str">
        <f t="shared" si="0"/>
        <v>*</v>
      </c>
      <c r="R64" s="24"/>
      <c r="S64" s="25" t="str">
        <f t="shared" si="2"/>
        <v>TRACNG</v>
      </c>
      <c r="T64" s="25" t="str">
        <f t="shared" si="3"/>
        <v>TRAPASLDTDMD</v>
      </c>
      <c r="U64" s="25" t="str">
        <f t="shared" si="4"/>
        <v>TRAPASLDTDMD</v>
      </c>
      <c r="V64" s="26">
        <v>2050</v>
      </c>
      <c r="W64" s="26" t="str">
        <f>W63</f>
        <v>UP</v>
      </c>
      <c r="X64" s="26"/>
      <c r="Y64" s="27" t="e">
        <f>-MIN(SUMIFS('TRA RESID'!$P:$P,'TRA RESID'!$H:$H,$E64,'TRA RESID'!$I:$I,$F64)/SUMIFS('TRA RESID'!$P:$P,'TRA RESID'!$I:$I,$F64)*AC64,1)</f>
        <v>#DIV/0!</v>
      </c>
      <c r="Z64" s="26"/>
      <c r="AA64" s="26"/>
      <c r="AB64" s="22"/>
      <c r="AC64" s="28">
        <v>3</v>
      </c>
    </row>
    <row r="65" spans="1:29" x14ac:dyDescent="0.25">
      <c r="A65" s="14">
        <f>A61+1</f>
        <v>16</v>
      </c>
      <c r="B65" s="9"/>
      <c r="C65" s="15" t="str">
        <f>IF(E65="","",IF(_xlfn.XLOOKUP($A65,Selected_constraint!$A:$A,Selected_constraint!$D:$D)=1,"*",IF(SUMIFS('TRA TECH'!$M:$M,'TRA TECH'!$H:$H,E65,'TRA TECH'!$I:$I,F65)=0,"*",IF(SUMIFS('TRA RESID'!$P:$P,'TRA RESID'!$H:$H,$E65,'TRA RESID'!$I:$I,$F65)=0,"*","UC_MarketShare_"&amp;LEFT(F65,LEN(F65)-3)&amp;"_"&amp;RIGHT(E65,3)&amp;"_MIN"))))</f>
        <v>*</v>
      </c>
      <c r="D65" s="16"/>
      <c r="E65" s="17" t="str">
        <f>_xlfn.XLOOKUP($A65,Selected_constraint!$A:$A,Selected_constraint!$B:$B)</f>
        <v>TRARNG</v>
      </c>
      <c r="F65" s="17" t="str">
        <f>_xlfn.XLOOKUP($A65,Selected_constraint!$A:$A,Selected_constraint!$C:$C)</f>
        <v>TRAPASLDTDMD</v>
      </c>
      <c r="G65" s="17" t="str">
        <f>F65</f>
        <v>TRAPASLDTDMD</v>
      </c>
      <c r="H65" s="18">
        <v>2019</v>
      </c>
      <c r="I65" s="18" t="s">
        <v>483</v>
      </c>
      <c r="J65" s="18">
        <v>1</v>
      </c>
      <c r="K65" s="20" t="e">
        <f>-SUMIFS('TRA RESID'!$P:$P,'TRA RESID'!$H:$H,$E65,'TRA RESID'!$I:$I,$F65)/SUMIFS('TRA RESID'!$P:$P,'TRA RESID'!$I:$I,$F65)*O65</f>
        <v>#DIV/0!</v>
      </c>
      <c r="L65" s="18">
        <v>0</v>
      </c>
      <c r="M65" s="18">
        <v>5</v>
      </c>
      <c r="N65" s="9"/>
      <c r="O65" s="21">
        <v>0.98</v>
      </c>
      <c r="Q65" s="15" t="str">
        <f t="shared" si="0"/>
        <v>*</v>
      </c>
      <c r="R65" s="16"/>
      <c r="S65" s="17" t="str">
        <f t="shared" si="2"/>
        <v>TRARNG</v>
      </c>
      <c r="T65" s="17" t="str">
        <f t="shared" si="3"/>
        <v>TRAPASLDTDMD</v>
      </c>
      <c r="U65" s="17" t="str">
        <f t="shared" si="4"/>
        <v>TRAPASLDTDMD</v>
      </c>
      <c r="V65" s="18">
        <v>2019</v>
      </c>
      <c r="W65" s="18" t="s">
        <v>484</v>
      </c>
      <c r="X65" s="18">
        <v>1</v>
      </c>
      <c r="Y65" s="20" t="e">
        <f>-MIN(SUMIFS('TRA RESID'!$P:$P,'TRA RESID'!$H:$H,$E65,'TRA RESID'!$I:$I,$F65)/SUMIFS('TRA RESID'!$P:$P,'TRA RESID'!$I:$I,$F65)*AC65,1)</f>
        <v>#DIV/0!</v>
      </c>
      <c r="Z65" s="18">
        <v>0</v>
      </c>
      <c r="AA65" s="18">
        <v>5</v>
      </c>
      <c r="AB65" s="9"/>
      <c r="AC65" s="21">
        <v>1.02</v>
      </c>
    </row>
    <row r="66" spans="1:29" x14ac:dyDescent="0.25">
      <c r="A66" s="9">
        <f>A65</f>
        <v>16</v>
      </c>
      <c r="B66" s="9"/>
      <c r="C66" s="15" t="str">
        <f>IF(C65="*",C65,"")</f>
        <v>*</v>
      </c>
      <c r="D66" s="16"/>
      <c r="E66" s="17" t="str">
        <f t="shared" ref="E66:G68" si="19">E65</f>
        <v>TRARNG</v>
      </c>
      <c r="F66" s="17" t="str">
        <f t="shared" si="19"/>
        <v>TRAPASLDTDMD</v>
      </c>
      <c r="G66" s="17" t="str">
        <f t="shared" si="19"/>
        <v>TRAPASLDTDMD</v>
      </c>
      <c r="H66" s="18">
        <v>2025</v>
      </c>
      <c r="I66" s="18" t="str">
        <f>I65</f>
        <v>LO</v>
      </c>
      <c r="J66" s="18"/>
      <c r="K66" s="20" t="e">
        <f>-SUMIFS('TRA RESID'!$P:$P,'TRA RESID'!$H:$H,$E66,'TRA RESID'!$I:$I,$F66)/SUMIFS('TRA RESID'!$P:$P,'TRA RESID'!$I:$I,$F66)*O66</f>
        <v>#DIV/0!</v>
      </c>
      <c r="L66" s="18"/>
      <c r="M66" s="18"/>
      <c r="N66" s="9"/>
      <c r="O66" s="21">
        <v>0.8</v>
      </c>
      <c r="Q66" s="15" t="str">
        <f t="shared" si="0"/>
        <v>*</v>
      </c>
      <c r="R66" s="16"/>
      <c r="S66" s="17" t="str">
        <f t="shared" si="2"/>
        <v>TRARNG</v>
      </c>
      <c r="T66" s="17" t="str">
        <f t="shared" si="3"/>
        <v>TRAPASLDTDMD</v>
      </c>
      <c r="U66" s="17" t="str">
        <f t="shared" si="4"/>
        <v>TRAPASLDTDMD</v>
      </c>
      <c r="V66" s="18">
        <v>2025</v>
      </c>
      <c r="W66" s="18" t="str">
        <f>W65</f>
        <v>UP</v>
      </c>
      <c r="X66" s="18"/>
      <c r="Y66" s="20" t="e">
        <f>-MIN(SUMIFS('TRA RESID'!$P:$P,'TRA RESID'!$H:$H,$E66,'TRA RESID'!$I:$I,$F66)/SUMIFS('TRA RESID'!$P:$P,'TRA RESID'!$I:$I,$F66)*AC66,1)</f>
        <v>#DIV/0!</v>
      </c>
      <c r="Z66" s="18"/>
      <c r="AA66" s="18"/>
      <c r="AB66" s="9"/>
      <c r="AC66" s="21">
        <v>1.2</v>
      </c>
    </row>
    <row r="67" spans="1:29" x14ac:dyDescent="0.25">
      <c r="A67" s="9">
        <f>A66</f>
        <v>16</v>
      </c>
      <c r="B67" s="9"/>
      <c r="C67" s="15" t="str">
        <f>IF(C66="*",C66,"")</f>
        <v>*</v>
      </c>
      <c r="D67" s="16"/>
      <c r="E67" s="17" t="str">
        <f t="shared" si="19"/>
        <v>TRARNG</v>
      </c>
      <c r="F67" s="17" t="str">
        <f t="shared" si="19"/>
        <v>TRAPASLDTDMD</v>
      </c>
      <c r="G67" s="17" t="str">
        <f t="shared" si="19"/>
        <v>TRAPASLDTDMD</v>
      </c>
      <c r="H67" s="18">
        <v>2030</v>
      </c>
      <c r="I67" s="18" t="str">
        <f>I66</f>
        <v>LO</v>
      </c>
      <c r="J67" s="18"/>
      <c r="K67" s="20" t="e">
        <f>-SUMIFS('TRA RESID'!$P:$P,'TRA RESID'!$H:$H,$E67,'TRA RESID'!$I:$I,$F67)/SUMIFS('TRA RESID'!$P:$P,'TRA RESID'!$I:$I,$F67)*O67</f>
        <v>#DIV/0!</v>
      </c>
      <c r="L67" s="18"/>
      <c r="M67" s="18"/>
      <c r="N67" s="9"/>
      <c r="O67" s="21">
        <v>0.2</v>
      </c>
      <c r="Q67" s="15" t="str">
        <f t="shared" si="0"/>
        <v>*</v>
      </c>
      <c r="R67" s="16"/>
      <c r="S67" s="17" t="str">
        <f t="shared" si="2"/>
        <v>TRARNG</v>
      </c>
      <c r="T67" s="17" t="str">
        <f t="shared" si="3"/>
        <v>TRAPASLDTDMD</v>
      </c>
      <c r="U67" s="17" t="str">
        <f t="shared" si="4"/>
        <v>TRAPASLDTDMD</v>
      </c>
      <c r="V67" s="18">
        <v>2030</v>
      </c>
      <c r="W67" s="18" t="str">
        <f>W66</f>
        <v>UP</v>
      </c>
      <c r="X67" s="18"/>
      <c r="Y67" s="20" t="e">
        <f>-MIN(SUMIFS('TRA RESID'!$P:$P,'TRA RESID'!$H:$H,$E67,'TRA RESID'!$I:$I,$F67)/SUMIFS('TRA RESID'!$P:$P,'TRA RESID'!$I:$I,$F67)*AC67,1)</f>
        <v>#DIV/0!</v>
      </c>
      <c r="Z67" s="18"/>
      <c r="AA67" s="18"/>
      <c r="AB67" s="9"/>
      <c r="AC67" s="21">
        <v>1.5</v>
      </c>
    </row>
    <row r="68" spans="1:29" x14ac:dyDescent="0.25">
      <c r="A68" s="22">
        <f>A67</f>
        <v>16</v>
      </c>
      <c r="B68" s="22"/>
      <c r="C68" s="23" t="str">
        <f>IF(C67="*",C67,"")</f>
        <v>*</v>
      </c>
      <c r="D68" s="24"/>
      <c r="E68" s="25" t="str">
        <f t="shared" si="19"/>
        <v>TRARNG</v>
      </c>
      <c r="F68" s="25" t="str">
        <f t="shared" si="19"/>
        <v>TRAPASLDTDMD</v>
      </c>
      <c r="G68" s="25" t="str">
        <f t="shared" si="19"/>
        <v>TRAPASLDTDMD</v>
      </c>
      <c r="H68" s="26">
        <v>2050</v>
      </c>
      <c r="I68" s="26" t="str">
        <f>I67</f>
        <v>LO</v>
      </c>
      <c r="J68" s="26"/>
      <c r="K68" s="27" t="e">
        <f>-SUMIFS('TRA RESID'!$P:$P,'TRA RESID'!$H:$H,$E68,'TRA RESID'!$I:$I,$F68)/SUMIFS('TRA RESID'!$P:$P,'TRA RESID'!$I:$I,$F68)*O68</f>
        <v>#DIV/0!</v>
      </c>
      <c r="L68" s="26"/>
      <c r="M68" s="26"/>
      <c r="N68" s="22"/>
      <c r="O68" s="28">
        <v>0</v>
      </c>
      <c r="Q68" s="23" t="str">
        <f t="shared" si="0"/>
        <v>*</v>
      </c>
      <c r="R68" s="24"/>
      <c r="S68" s="25" t="str">
        <f t="shared" si="2"/>
        <v>TRARNG</v>
      </c>
      <c r="T68" s="25" t="str">
        <f t="shared" si="3"/>
        <v>TRAPASLDTDMD</v>
      </c>
      <c r="U68" s="25" t="str">
        <f t="shared" si="4"/>
        <v>TRAPASLDTDMD</v>
      </c>
      <c r="V68" s="26">
        <v>2050</v>
      </c>
      <c r="W68" s="26" t="str">
        <f>W67</f>
        <v>UP</v>
      </c>
      <c r="X68" s="26"/>
      <c r="Y68" s="27" t="e">
        <f>-MIN(SUMIFS('TRA RESID'!$P:$P,'TRA RESID'!$H:$H,$E68,'TRA RESID'!$I:$I,$F68)/SUMIFS('TRA RESID'!$P:$P,'TRA RESID'!$I:$I,$F68)*AC68,1)</f>
        <v>#DIV/0!</v>
      </c>
      <c r="Z68" s="26"/>
      <c r="AA68" s="26"/>
      <c r="AB68" s="22"/>
      <c r="AC68" s="28">
        <v>3</v>
      </c>
    </row>
    <row r="69" spans="1:29" x14ac:dyDescent="0.25">
      <c r="A69" s="14">
        <f>A65+1</f>
        <v>17</v>
      </c>
      <c r="B69" s="9"/>
      <c r="C69" s="15" t="str">
        <f>IF(E69="","",IF(_xlfn.XLOOKUP($A69,Selected_constraint!$A:$A,Selected_constraint!$D:$D)=1,"*",IF(SUMIFS('TRA TECH'!$M:$M,'TRA TECH'!$H:$H,E69,'TRA TECH'!$I:$I,F69)=0,"*",IF(SUMIFS('TRA RESID'!$P:$P,'TRA RESID'!$H:$H,$E69,'TRA RESID'!$I:$I,$F69)=0,"*","UC_MarketShare_"&amp;LEFT(F69,LEN(F69)-3)&amp;"_"&amp;RIGHT(E69,3)&amp;"_MIN"))))</f>
        <v>*</v>
      </c>
      <c r="D69" s="16"/>
      <c r="E69" s="17" t="str">
        <f>_xlfn.XLOOKUP($A69,Selected_constraint!$A:$A,Selected_constraint!$B:$B)</f>
        <v>TRABAT</v>
      </c>
      <c r="F69" s="17" t="str">
        <f>_xlfn.XLOOKUP($A69,Selected_constraint!$A:$A,Selected_constraint!$C:$C)</f>
        <v>TRAPASLDTDMD</v>
      </c>
      <c r="G69" s="17" t="str">
        <f>F69</f>
        <v>TRAPASLDTDMD</v>
      </c>
      <c r="H69" s="18">
        <v>2019</v>
      </c>
      <c r="I69" s="18" t="s">
        <v>483</v>
      </c>
      <c r="J69" s="18">
        <v>1</v>
      </c>
      <c r="K69" s="20" t="e">
        <f>-SUMIFS('TRA RESID'!$P:$P,'TRA RESID'!$H:$H,$E69,'TRA RESID'!$I:$I,$F69)/SUMIFS('TRA RESID'!$P:$P,'TRA RESID'!$I:$I,$F69)*O69</f>
        <v>#DIV/0!</v>
      </c>
      <c r="L69" s="18">
        <v>0</v>
      </c>
      <c r="M69" s="18">
        <v>5</v>
      </c>
      <c r="N69" s="9"/>
      <c r="O69" s="21">
        <v>0.98</v>
      </c>
      <c r="Q69" s="15" t="str">
        <f t="shared" ref="Q69:Q132" si="20">SUBSTITUTE(C69,"MIN","MAX")</f>
        <v>*</v>
      </c>
      <c r="R69" s="16"/>
      <c r="S69" s="17" t="str">
        <f t="shared" si="2"/>
        <v>TRABAT</v>
      </c>
      <c r="T69" s="17" t="str">
        <f t="shared" si="3"/>
        <v>TRAPASLDTDMD</v>
      </c>
      <c r="U69" s="17" t="str">
        <f t="shared" si="4"/>
        <v>TRAPASLDTDMD</v>
      </c>
      <c r="V69" s="18">
        <v>2019</v>
      </c>
      <c r="W69" s="18" t="s">
        <v>484</v>
      </c>
      <c r="X69" s="18">
        <v>1</v>
      </c>
      <c r="Y69" s="20" t="e">
        <f>-MIN(SUMIFS('TRA RESID'!$P:$P,'TRA RESID'!$H:$H,$E69,'TRA RESID'!$I:$I,$F69)/SUMIFS('TRA RESID'!$P:$P,'TRA RESID'!$I:$I,$F69)*AC69,1)</f>
        <v>#DIV/0!</v>
      </c>
      <c r="Z69" s="18">
        <v>0</v>
      </c>
      <c r="AA69" s="18">
        <v>5</v>
      </c>
      <c r="AB69" s="9"/>
      <c r="AC69" s="21">
        <v>1.02</v>
      </c>
    </row>
    <row r="70" spans="1:29" x14ac:dyDescent="0.25">
      <c r="A70" s="9">
        <f>A69</f>
        <v>17</v>
      </c>
      <c r="B70" s="9"/>
      <c r="C70" s="15" t="str">
        <f>IF(C69="*",C69,"")</f>
        <v>*</v>
      </c>
      <c r="D70" s="16"/>
      <c r="E70" s="17" t="str">
        <f t="shared" ref="E70:G72" si="21">E69</f>
        <v>TRABAT</v>
      </c>
      <c r="F70" s="17" t="str">
        <f t="shared" si="21"/>
        <v>TRAPASLDTDMD</v>
      </c>
      <c r="G70" s="17" t="str">
        <f t="shared" si="21"/>
        <v>TRAPASLDTDMD</v>
      </c>
      <c r="H70" s="18">
        <v>2025</v>
      </c>
      <c r="I70" s="18" t="str">
        <f>I69</f>
        <v>LO</v>
      </c>
      <c r="J70" s="18"/>
      <c r="K70" s="20" t="e">
        <f>-SUMIFS('TRA RESID'!$P:$P,'TRA RESID'!$H:$H,$E70,'TRA RESID'!$I:$I,$F70)/SUMIFS('TRA RESID'!$P:$P,'TRA RESID'!$I:$I,$F70)*O70</f>
        <v>#DIV/0!</v>
      </c>
      <c r="L70" s="18"/>
      <c r="M70" s="18"/>
      <c r="N70" s="9"/>
      <c r="O70" s="21">
        <v>1</v>
      </c>
      <c r="Q70" s="15" t="str">
        <f t="shared" si="20"/>
        <v>*</v>
      </c>
      <c r="R70" s="16"/>
      <c r="S70" s="17" t="str">
        <f t="shared" ref="S70:S133" si="22">E70</f>
        <v>TRABAT</v>
      </c>
      <c r="T70" s="17" t="str">
        <f t="shared" ref="T70:T133" si="23">F70</f>
        <v>TRAPASLDTDMD</v>
      </c>
      <c r="U70" s="17" t="str">
        <f t="shared" ref="U70:U133" si="24">G70</f>
        <v>TRAPASLDTDMD</v>
      </c>
      <c r="V70" s="18">
        <v>2025</v>
      </c>
      <c r="W70" s="18" t="str">
        <f>W69</f>
        <v>UP</v>
      </c>
      <c r="X70" s="18"/>
      <c r="Y70" s="20" t="e">
        <f>-MIN(SUMIFS('TRA RESID'!$P:$P,'TRA RESID'!$H:$H,$E70,'TRA RESID'!$I:$I,$F70)/SUMIFS('TRA RESID'!$P:$P,'TRA RESID'!$I:$I,$F70)*AC70,1)</f>
        <v>#DIV/0!</v>
      </c>
      <c r="Z70" s="18"/>
      <c r="AA70" s="18"/>
      <c r="AB70" s="9"/>
      <c r="AC70" s="21">
        <v>20</v>
      </c>
    </row>
    <row r="71" spans="1:29" x14ac:dyDescent="0.25">
      <c r="A71" s="9">
        <f>A70</f>
        <v>17</v>
      </c>
      <c r="B71" s="9"/>
      <c r="C71" s="15" t="str">
        <f>IF(C70="*",C70,"")</f>
        <v>*</v>
      </c>
      <c r="D71" s="16"/>
      <c r="E71" s="17" t="str">
        <f t="shared" si="21"/>
        <v>TRABAT</v>
      </c>
      <c r="F71" s="17" t="str">
        <f t="shared" si="21"/>
        <v>TRAPASLDTDMD</v>
      </c>
      <c r="G71" s="17" t="str">
        <f t="shared" si="21"/>
        <v>TRAPASLDTDMD</v>
      </c>
      <c r="H71" s="18">
        <v>2030</v>
      </c>
      <c r="I71" s="18" t="str">
        <f>I70</f>
        <v>LO</v>
      </c>
      <c r="J71" s="18"/>
      <c r="K71" s="20" t="e">
        <f>-SUMIFS('TRA RESID'!$P:$P,'TRA RESID'!$H:$H,$E71,'TRA RESID'!$I:$I,$F71)/SUMIFS('TRA RESID'!$P:$P,'TRA RESID'!$I:$I,$F71)*O71</f>
        <v>#DIV/0!</v>
      </c>
      <c r="L71" s="18"/>
      <c r="M71" s="18"/>
      <c r="N71" s="9"/>
      <c r="O71" s="21">
        <v>1</v>
      </c>
      <c r="Q71" s="15" t="str">
        <f t="shared" si="20"/>
        <v>*</v>
      </c>
      <c r="R71" s="16"/>
      <c r="S71" s="17" t="str">
        <f t="shared" si="22"/>
        <v>TRABAT</v>
      </c>
      <c r="T71" s="17" t="str">
        <f t="shared" si="23"/>
        <v>TRAPASLDTDMD</v>
      </c>
      <c r="U71" s="17" t="str">
        <f t="shared" si="24"/>
        <v>TRAPASLDTDMD</v>
      </c>
      <c r="V71" s="18">
        <v>2030</v>
      </c>
      <c r="W71" s="18" t="str">
        <f>W70</f>
        <v>UP</v>
      </c>
      <c r="X71" s="18"/>
      <c r="Y71" s="20" t="e">
        <f>-MIN(SUMIFS('TRA RESID'!$P:$P,'TRA RESID'!$H:$H,$E71,'TRA RESID'!$I:$I,$F71)/SUMIFS('TRA RESID'!$P:$P,'TRA RESID'!$I:$I,$F71)*AC71,1)</f>
        <v>#DIV/0!</v>
      </c>
      <c r="Z71" s="18"/>
      <c r="AA71" s="18"/>
      <c r="AB71" s="9"/>
      <c r="AC71" s="21">
        <v>50</v>
      </c>
    </row>
    <row r="72" spans="1:29" x14ac:dyDescent="0.25">
      <c r="A72" s="22">
        <f>A71</f>
        <v>17</v>
      </c>
      <c r="B72" s="22"/>
      <c r="C72" s="23" t="str">
        <f>IF(C71="*",C71,"")</f>
        <v>*</v>
      </c>
      <c r="D72" s="24"/>
      <c r="E72" s="25" t="str">
        <f t="shared" si="21"/>
        <v>TRABAT</v>
      </c>
      <c r="F72" s="25" t="str">
        <f t="shared" si="21"/>
        <v>TRAPASLDTDMD</v>
      </c>
      <c r="G72" s="25" t="str">
        <f t="shared" si="21"/>
        <v>TRAPASLDTDMD</v>
      </c>
      <c r="H72" s="26">
        <v>2050</v>
      </c>
      <c r="I72" s="26" t="str">
        <f>I71</f>
        <v>LO</v>
      </c>
      <c r="J72" s="26"/>
      <c r="K72" s="27" t="e">
        <f>-SUMIFS('TRA RESID'!$P:$P,'TRA RESID'!$H:$H,$E72,'TRA RESID'!$I:$I,$F72)/SUMIFS('TRA RESID'!$P:$P,'TRA RESID'!$I:$I,$F72)*O72</f>
        <v>#DIV/0!</v>
      </c>
      <c r="L72" s="26"/>
      <c r="M72" s="26"/>
      <c r="N72" s="22"/>
      <c r="O72" s="28">
        <v>1</v>
      </c>
      <c r="Q72" s="23" t="str">
        <f t="shared" si="20"/>
        <v>*</v>
      </c>
      <c r="R72" s="24"/>
      <c r="S72" s="25" t="str">
        <f t="shared" si="22"/>
        <v>TRABAT</v>
      </c>
      <c r="T72" s="25" t="str">
        <f t="shared" si="23"/>
        <v>TRAPASLDTDMD</v>
      </c>
      <c r="U72" s="25" t="str">
        <f t="shared" si="24"/>
        <v>TRAPASLDTDMD</v>
      </c>
      <c r="V72" s="26">
        <v>2050</v>
      </c>
      <c r="W72" s="26" t="str">
        <f>W71</f>
        <v>UP</v>
      </c>
      <c r="X72" s="26"/>
      <c r="Y72" s="27" t="e">
        <f>-MIN(SUMIFS('TRA RESID'!$P:$P,'TRA RESID'!$H:$H,$E72,'TRA RESID'!$I:$I,$F72)/SUMIFS('TRA RESID'!$P:$P,'TRA RESID'!$I:$I,$F72)*AC72,1)</f>
        <v>#DIV/0!</v>
      </c>
      <c r="Z72" s="26"/>
      <c r="AA72" s="26"/>
      <c r="AB72" s="22"/>
      <c r="AC72" s="28">
        <v>150</v>
      </c>
    </row>
    <row r="73" spans="1:29" x14ac:dyDescent="0.25">
      <c r="A73" s="14">
        <f>A69+1</f>
        <v>18</v>
      </c>
      <c r="B73" s="9"/>
      <c r="C73" s="15" t="str">
        <f>IF(E73="","",IF(_xlfn.XLOOKUP($A73,Selected_constraint!$A:$A,Selected_constraint!$D:$D)=1,"*",IF(SUMIFS('TRA TECH'!$M:$M,'TRA TECH'!$H:$H,E73,'TRA TECH'!$I:$I,F73)=0,"*",IF(SUMIFS('TRA RESID'!$P:$P,'TRA RESID'!$H:$H,$E73,'TRA RESID'!$I:$I,$F73)=0,"*","UC_MarketShare_"&amp;LEFT(F73,LEN(F73)-3)&amp;"_"&amp;RIGHT(E73,3)&amp;"_MIN"))))</f>
        <v>*</v>
      </c>
      <c r="D73" s="16"/>
      <c r="E73" s="17" t="str">
        <f>_xlfn.XLOOKUP($A73,Selected_constraint!$A:$A,Selected_constraint!$B:$B)</f>
        <v>TRAH2G</v>
      </c>
      <c r="F73" s="17" t="str">
        <f>_xlfn.XLOOKUP($A73,Selected_constraint!$A:$A,Selected_constraint!$C:$C)</f>
        <v>TRAPASLDTDMD</v>
      </c>
      <c r="G73" s="17" t="str">
        <f>F73</f>
        <v>TRAPASLDTDMD</v>
      </c>
      <c r="H73" s="18">
        <v>2019</v>
      </c>
      <c r="I73" s="18" t="s">
        <v>483</v>
      </c>
      <c r="J73" s="18">
        <v>1</v>
      </c>
      <c r="K73" s="20" t="e">
        <f>-SUMIFS('TRA RESID'!$P:$P,'TRA RESID'!$H:$H,$E73,'TRA RESID'!$I:$I,$F73)/SUMIFS('TRA RESID'!$P:$P,'TRA RESID'!$I:$I,$F73)*O73</f>
        <v>#DIV/0!</v>
      </c>
      <c r="L73" s="18">
        <v>0</v>
      </c>
      <c r="M73" s="18">
        <v>5</v>
      </c>
      <c r="N73" s="9"/>
      <c r="O73" s="21">
        <v>0.98</v>
      </c>
      <c r="Q73" s="15" t="str">
        <f t="shared" si="20"/>
        <v>*</v>
      </c>
      <c r="R73" s="16"/>
      <c r="S73" s="17" t="str">
        <f t="shared" si="22"/>
        <v>TRAH2G</v>
      </c>
      <c r="T73" s="17" t="str">
        <f t="shared" si="23"/>
        <v>TRAPASLDTDMD</v>
      </c>
      <c r="U73" s="17" t="str">
        <f t="shared" si="24"/>
        <v>TRAPASLDTDMD</v>
      </c>
      <c r="V73" s="18">
        <v>2019</v>
      </c>
      <c r="W73" s="18" t="s">
        <v>484</v>
      </c>
      <c r="X73" s="18">
        <v>1</v>
      </c>
      <c r="Y73" s="20" t="e">
        <f>-MIN(SUMIFS('TRA RESID'!$P:$P,'TRA RESID'!$H:$H,$E73,'TRA RESID'!$I:$I,$F73)/SUMIFS('TRA RESID'!$P:$P,'TRA RESID'!$I:$I,$F73)*AC73,1)</f>
        <v>#DIV/0!</v>
      </c>
      <c r="Z73" s="18">
        <v>0</v>
      </c>
      <c r="AA73" s="18">
        <v>5</v>
      </c>
      <c r="AB73" s="9"/>
      <c r="AC73" s="21">
        <v>1.02</v>
      </c>
    </row>
    <row r="74" spans="1:29" x14ac:dyDescent="0.25">
      <c r="A74" s="9">
        <f>A73</f>
        <v>18</v>
      </c>
      <c r="B74" s="9"/>
      <c r="C74" s="15" t="str">
        <f>IF(C73="*",C73,"")</f>
        <v>*</v>
      </c>
      <c r="D74" s="16"/>
      <c r="E74" s="17" t="str">
        <f t="shared" ref="E74:G76" si="25">E73</f>
        <v>TRAH2G</v>
      </c>
      <c r="F74" s="17" t="str">
        <f t="shared" si="25"/>
        <v>TRAPASLDTDMD</v>
      </c>
      <c r="G74" s="17" t="str">
        <f t="shared" si="25"/>
        <v>TRAPASLDTDMD</v>
      </c>
      <c r="H74" s="18">
        <v>2025</v>
      </c>
      <c r="I74" s="18" t="str">
        <f>I73</f>
        <v>LO</v>
      </c>
      <c r="J74" s="18"/>
      <c r="K74" s="20" t="e">
        <f>-SUMIFS('TRA RESID'!$P:$P,'TRA RESID'!$H:$H,$E74,'TRA RESID'!$I:$I,$F74)/SUMIFS('TRA RESID'!$P:$P,'TRA RESID'!$I:$I,$F74)*O74</f>
        <v>#DIV/0!</v>
      </c>
      <c r="L74" s="18"/>
      <c r="M74" s="18"/>
      <c r="N74" s="9"/>
      <c r="O74" s="21">
        <v>0.8</v>
      </c>
      <c r="Q74" s="15" t="str">
        <f t="shared" si="20"/>
        <v>*</v>
      </c>
      <c r="R74" s="16"/>
      <c r="S74" s="17" t="str">
        <f t="shared" si="22"/>
        <v>TRAH2G</v>
      </c>
      <c r="T74" s="17" t="str">
        <f t="shared" si="23"/>
        <v>TRAPASLDTDMD</v>
      </c>
      <c r="U74" s="17" t="str">
        <f t="shared" si="24"/>
        <v>TRAPASLDTDMD</v>
      </c>
      <c r="V74" s="18">
        <v>2025</v>
      </c>
      <c r="W74" s="18" t="str">
        <f>W73</f>
        <v>UP</v>
      </c>
      <c r="X74" s="18"/>
      <c r="Y74" s="20" t="e">
        <f>-MIN(SUMIFS('TRA RESID'!$P:$P,'TRA RESID'!$H:$H,$E74,'TRA RESID'!$I:$I,$F74)/SUMIFS('TRA RESID'!$P:$P,'TRA RESID'!$I:$I,$F74)*AC74,1)</f>
        <v>#DIV/0!</v>
      </c>
      <c r="Z74" s="18"/>
      <c r="AA74" s="18"/>
      <c r="AB74" s="9"/>
      <c r="AC74" s="21">
        <v>1.2</v>
      </c>
    </row>
    <row r="75" spans="1:29" x14ac:dyDescent="0.25">
      <c r="A75" s="9">
        <f>A74</f>
        <v>18</v>
      </c>
      <c r="B75" s="9"/>
      <c r="C75" s="15" t="str">
        <f>IF(C74="*",C74,"")</f>
        <v>*</v>
      </c>
      <c r="D75" s="16"/>
      <c r="E75" s="17" t="str">
        <f t="shared" si="25"/>
        <v>TRAH2G</v>
      </c>
      <c r="F75" s="17" t="str">
        <f t="shared" si="25"/>
        <v>TRAPASLDTDMD</v>
      </c>
      <c r="G75" s="17" t="str">
        <f t="shared" si="25"/>
        <v>TRAPASLDTDMD</v>
      </c>
      <c r="H75" s="18">
        <v>2030</v>
      </c>
      <c r="I75" s="18" t="str">
        <f>I74</f>
        <v>LO</v>
      </c>
      <c r="J75" s="18"/>
      <c r="K75" s="20" t="e">
        <f>-SUMIFS('TRA RESID'!$P:$P,'TRA RESID'!$H:$H,$E75,'TRA RESID'!$I:$I,$F75)/SUMIFS('TRA RESID'!$P:$P,'TRA RESID'!$I:$I,$F75)*O75</f>
        <v>#DIV/0!</v>
      </c>
      <c r="L75" s="18"/>
      <c r="M75" s="18"/>
      <c r="N75" s="9"/>
      <c r="O75" s="21">
        <v>0.2</v>
      </c>
      <c r="Q75" s="15" t="str">
        <f t="shared" si="20"/>
        <v>*</v>
      </c>
      <c r="R75" s="16"/>
      <c r="S75" s="17" t="str">
        <f t="shared" si="22"/>
        <v>TRAH2G</v>
      </c>
      <c r="T75" s="17" t="str">
        <f t="shared" si="23"/>
        <v>TRAPASLDTDMD</v>
      </c>
      <c r="U75" s="17" t="str">
        <f t="shared" si="24"/>
        <v>TRAPASLDTDMD</v>
      </c>
      <c r="V75" s="18">
        <v>2030</v>
      </c>
      <c r="W75" s="18" t="str">
        <f>W74</f>
        <v>UP</v>
      </c>
      <c r="X75" s="18"/>
      <c r="Y75" s="20" t="e">
        <f>-MIN(SUMIFS('TRA RESID'!$P:$P,'TRA RESID'!$H:$H,$E75,'TRA RESID'!$I:$I,$F75)/SUMIFS('TRA RESID'!$P:$P,'TRA RESID'!$I:$I,$F75)*AC75,1)</f>
        <v>#DIV/0!</v>
      </c>
      <c r="Z75" s="18"/>
      <c r="AA75" s="18"/>
      <c r="AB75" s="9"/>
      <c r="AC75" s="21">
        <v>1.5</v>
      </c>
    </row>
    <row r="76" spans="1:29" x14ac:dyDescent="0.25">
      <c r="A76" s="22">
        <f>A75</f>
        <v>18</v>
      </c>
      <c r="B76" s="22"/>
      <c r="C76" s="23" t="str">
        <f>IF(C75="*",C75,"")</f>
        <v>*</v>
      </c>
      <c r="D76" s="24"/>
      <c r="E76" s="25" t="str">
        <f t="shared" si="25"/>
        <v>TRAH2G</v>
      </c>
      <c r="F76" s="25" t="str">
        <f t="shared" si="25"/>
        <v>TRAPASLDTDMD</v>
      </c>
      <c r="G76" s="25" t="str">
        <f t="shared" si="25"/>
        <v>TRAPASLDTDMD</v>
      </c>
      <c r="H76" s="26">
        <v>2050</v>
      </c>
      <c r="I76" s="26" t="str">
        <f>I75</f>
        <v>LO</v>
      </c>
      <c r="J76" s="26"/>
      <c r="K76" s="27" t="e">
        <f>-SUMIFS('TRA RESID'!$P:$P,'TRA RESID'!$H:$H,$E76,'TRA RESID'!$I:$I,$F76)/SUMIFS('TRA RESID'!$P:$P,'TRA RESID'!$I:$I,$F76)*O76</f>
        <v>#DIV/0!</v>
      </c>
      <c r="L76" s="26"/>
      <c r="M76" s="26"/>
      <c r="N76" s="22"/>
      <c r="O76" s="28">
        <v>0</v>
      </c>
      <c r="Q76" s="23" t="str">
        <f t="shared" si="20"/>
        <v>*</v>
      </c>
      <c r="R76" s="24"/>
      <c r="S76" s="25" t="str">
        <f t="shared" si="22"/>
        <v>TRAH2G</v>
      </c>
      <c r="T76" s="25" t="str">
        <f t="shared" si="23"/>
        <v>TRAPASLDTDMD</v>
      </c>
      <c r="U76" s="25" t="str">
        <f t="shared" si="24"/>
        <v>TRAPASLDTDMD</v>
      </c>
      <c r="V76" s="26">
        <v>2050</v>
      </c>
      <c r="W76" s="26" t="str">
        <f>W75</f>
        <v>UP</v>
      </c>
      <c r="X76" s="26"/>
      <c r="Y76" s="27" t="e">
        <f>-MIN(SUMIFS('TRA RESID'!$P:$P,'TRA RESID'!$H:$H,$E76,'TRA RESID'!$I:$I,$F76)/SUMIFS('TRA RESID'!$P:$P,'TRA RESID'!$I:$I,$F76)*AC76,1)</f>
        <v>#DIV/0!</v>
      </c>
      <c r="Z76" s="26"/>
      <c r="AA76" s="26"/>
      <c r="AB76" s="22"/>
      <c r="AC76" s="28">
        <v>3</v>
      </c>
    </row>
    <row r="77" spans="1:29" x14ac:dyDescent="0.25">
      <c r="A77" s="14">
        <f>A73+1</f>
        <v>19</v>
      </c>
      <c r="B77" s="9"/>
      <c r="C77" s="15" t="str">
        <f>IF(E77="","",IF(_xlfn.XLOOKUP($A77,Selected_constraint!$A:$A,Selected_constraint!$D:$D)=1,"*",IF(SUMIFS('TRA TECH'!$M:$M,'TRA TECH'!$H:$H,E77,'TRA TECH'!$I:$I,F77)=0,"*",IF(SUMIFS('TRA RESID'!$P:$P,'TRA RESID'!$H:$H,$E77,'TRA RESID'!$I:$I,$F77)=0,"*","UC_MarketShare_"&amp;LEFT(F77,LEN(F77)-3)&amp;"_"&amp;RIGHT(E77,3)&amp;"_MIN"))))</f>
        <v>*</v>
      </c>
      <c r="D77" s="16"/>
      <c r="E77" s="17" t="str">
        <f>_xlfn.XLOOKUP($A77,Selected_constraint!$A:$A,Selected_constraint!$B:$B)</f>
        <v>TRAGSL</v>
      </c>
      <c r="F77" s="17" t="str">
        <f>_xlfn.XLOOKUP($A77,Selected_constraint!$A:$A,Selected_constraint!$C:$C)</f>
        <v>TRAPASMOTDMD</v>
      </c>
      <c r="G77" s="17" t="str">
        <f>F77</f>
        <v>TRAPASMOTDMD</v>
      </c>
      <c r="H77" s="18">
        <v>2019</v>
      </c>
      <c r="I77" s="18" t="s">
        <v>483</v>
      </c>
      <c r="J77" s="18">
        <v>1</v>
      </c>
      <c r="K77" s="20" t="e">
        <f>-SUMIFS('TRA RESID'!$P:$P,'TRA RESID'!$H:$H,$E77,'TRA RESID'!$I:$I,$F77)/SUMIFS('TRA RESID'!$P:$P,'TRA RESID'!$I:$I,$F77)*O77</f>
        <v>#DIV/0!</v>
      </c>
      <c r="L77" s="18">
        <v>0</v>
      </c>
      <c r="M77" s="18">
        <v>5</v>
      </c>
      <c r="N77" s="9"/>
      <c r="O77" s="21">
        <v>0.98</v>
      </c>
      <c r="Q77" s="15" t="str">
        <f t="shared" si="20"/>
        <v>*</v>
      </c>
      <c r="R77" s="16"/>
      <c r="S77" s="17" t="str">
        <f t="shared" si="22"/>
        <v>TRAGSL</v>
      </c>
      <c r="T77" s="17" t="str">
        <f t="shared" si="23"/>
        <v>TRAPASMOTDMD</v>
      </c>
      <c r="U77" s="17" t="str">
        <f t="shared" si="24"/>
        <v>TRAPASMOTDMD</v>
      </c>
      <c r="V77" s="18">
        <v>2019</v>
      </c>
      <c r="W77" s="18" t="s">
        <v>484</v>
      </c>
      <c r="X77" s="18">
        <v>1</v>
      </c>
      <c r="Y77" s="20" t="e">
        <f>-MIN(SUMIFS('TRA RESID'!$P:$P,'TRA RESID'!$H:$H,$E77,'TRA RESID'!$I:$I,$F77)/SUMIFS('TRA RESID'!$P:$P,'TRA RESID'!$I:$I,$F77)*AC77,1)</f>
        <v>#DIV/0!</v>
      </c>
      <c r="Z77" s="18">
        <v>0</v>
      </c>
      <c r="AA77" s="18">
        <v>5</v>
      </c>
      <c r="AB77" s="9"/>
      <c r="AC77" s="21">
        <v>1.02</v>
      </c>
    </row>
    <row r="78" spans="1:29" x14ac:dyDescent="0.25">
      <c r="A78" s="9">
        <f>A77</f>
        <v>19</v>
      </c>
      <c r="B78" s="9"/>
      <c r="C78" s="15" t="str">
        <f>IF(C77="*",C77,"")</f>
        <v>*</v>
      </c>
      <c r="D78" s="16"/>
      <c r="E78" s="17" t="str">
        <f t="shared" ref="E78:G80" si="26">E77</f>
        <v>TRAGSL</v>
      </c>
      <c r="F78" s="17" t="str">
        <f t="shared" si="26"/>
        <v>TRAPASMOTDMD</v>
      </c>
      <c r="G78" s="17" t="str">
        <f t="shared" si="26"/>
        <v>TRAPASMOTDMD</v>
      </c>
      <c r="H78" s="18">
        <v>2025</v>
      </c>
      <c r="I78" s="18" t="str">
        <f>I77</f>
        <v>LO</v>
      </c>
      <c r="J78" s="18"/>
      <c r="K78" s="20" t="e">
        <f>-SUMIFS('TRA RESID'!$P:$P,'TRA RESID'!$H:$H,$E78,'TRA RESID'!$I:$I,$F78)/SUMIFS('TRA RESID'!$P:$P,'TRA RESID'!$I:$I,$F78)*O78</f>
        <v>#DIV/0!</v>
      </c>
      <c r="L78" s="18"/>
      <c r="M78" s="18"/>
      <c r="N78" s="9"/>
      <c r="O78" s="21">
        <v>0.8</v>
      </c>
      <c r="Q78" s="15" t="str">
        <f t="shared" si="20"/>
        <v>*</v>
      </c>
      <c r="R78" s="16"/>
      <c r="S78" s="17" t="str">
        <f t="shared" si="22"/>
        <v>TRAGSL</v>
      </c>
      <c r="T78" s="17" t="str">
        <f t="shared" si="23"/>
        <v>TRAPASMOTDMD</v>
      </c>
      <c r="U78" s="17" t="str">
        <f t="shared" si="24"/>
        <v>TRAPASMOTDMD</v>
      </c>
      <c r="V78" s="18">
        <v>2025</v>
      </c>
      <c r="W78" s="18" t="str">
        <f>W77</f>
        <v>UP</v>
      </c>
      <c r="X78" s="18"/>
      <c r="Y78" s="20" t="e">
        <f>-MIN(SUMIFS('TRA RESID'!$P:$P,'TRA RESID'!$H:$H,$E78,'TRA RESID'!$I:$I,$F78)/SUMIFS('TRA RESID'!$P:$P,'TRA RESID'!$I:$I,$F78)*AC78,1)</f>
        <v>#DIV/0!</v>
      </c>
      <c r="Z78" s="18"/>
      <c r="AA78" s="18"/>
      <c r="AB78" s="9"/>
      <c r="AC78" s="21">
        <v>1.2</v>
      </c>
    </row>
    <row r="79" spans="1:29" x14ac:dyDescent="0.25">
      <c r="A79" s="9">
        <f>A78</f>
        <v>19</v>
      </c>
      <c r="B79" s="9"/>
      <c r="C79" s="15" t="str">
        <f>IF(C78="*",C78,"")</f>
        <v>*</v>
      </c>
      <c r="D79" s="16"/>
      <c r="E79" s="17" t="str">
        <f t="shared" si="26"/>
        <v>TRAGSL</v>
      </c>
      <c r="F79" s="17" t="str">
        <f t="shared" si="26"/>
        <v>TRAPASMOTDMD</v>
      </c>
      <c r="G79" s="17" t="str">
        <f t="shared" si="26"/>
        <v>TRAPASMOTDMD</v>
      </c>
      <c r="H79" s="18">
        <v>2030</v>
      </c>
      <c r="I79" s="18" t="str">
        <f>I78</f>
        <v>LO</v>
      </c>
      <c r="J79" s="18"/>
      <c r="K79" s="20" t="e">
        <f>-SUMIFS('TRA RESID'!$P:$P,'TRA RESID'!$H:$H,$E79,'TRA RESID'!$I:$I,$F79)/SUMIFS('TRA RESID'!$P:$P,'TRA RESID'!$I:$I,$F79)*O79</f>
        <v>#DIV/0!</v>
      </c>
      <c r="L79" s="18"/>
      <c r="M79" s="18"/>
      <c r="N79" s="9"/>
      <c r="O79" s="21">
        <v>0.2</v>
      </c>
      <c r="Q79" s="15" t="str">
        <f t="shared" si="20"/>
        <v>*</v>
      </c>
      <c r="R79" s="16"/>
      <c r="S79" s="17" t="str">
        <f t="shared" si="22"/>
        <v>TRAGSL</v>
      </c>
      <c r="T79" s="17" t="str">
        <f t="shared" si="23"/>
        <v>TRAPASMOTDMD</v>
      </c>
      <c r="U79" s="17" t="str">
        <f t="shared" si="24"/>
        <v>TRAPASMOTDMD</v>
      </c>
      <c r="V79" s="18">
        <v>2030</v>
      </c>
      <c r="W79" s="18" t="str">
        <f>W78</f>
        <v>UP</v>
      </c>
      <c r="X79" s="18"/>
      <c r="Y79" s="20" t="e">
        <f>-MIN(SUMIFS('TRA RESID'!$P:$P,'TRA RESID'!$H:$H,$E79,'TRA RESID'!$I:$I,$F79)/SUMIFS('TRA RESID'!$P:$P,'TRA RESID'!$I:$I,$F79)*AC79,1)</f>
        <v>#DIV/0!</v>
      </c>
      <c r="Z79" s="18"/>
      <c r="AA79" s="18"/>
      <c r="AB79" s="9"/>
      <c r="AC79" s="21">
        <v>1.5</v>
      </c>
    </row>
    <row r="80" spans="1:29" x14ac:dyDescent="0.25">
      <c r="A80" s="22">
        <f>A79</f>
        <v>19</v>
      </c>
      <c r="B80" s="22"/>
      <c r="C80" s="23" t="str">
        <f>IF(C79="*",C79,"")</f>
        <v>*</v>
      </c>
      <c r="D80" s="24"/>
      <c r="E80" s="25" t="str">
        <f t="shared" si="26"/>
        <v>TRAGSL</v>
      </c>
      <c r="F80" s="25" t="str">
        <f t="shared" si="26"/>
        <v>TRAPASMOTDMD</v>
      </c>
      <c r="G80" s="25" t="str">
        <f t="shared" si="26"/>
        <v>TRAPASMOTDMD</v>
      </c>
      <c r="H80" s="26">
        <v>2050</v>
      </c>
      <c r="I80" s="26" t="str">
        <f>I79</f>
        <v>LO</v>
      </c>
      <c r="J80" s="26"/>
      <c r="K80" s="27" t="e">
        <f>-SUMIFS('TRA RESID'!$P:$P,'TRA RESID'!$H:$H,$E80,'TRA RESID'!$I:$I,$F80)/SUMIFS('TRA RESID'!$P:$P,'TRA RESID'!$I:$I,$F80)*O80</f>
        <v>#DIV/0!</v>
      </c>
      <c r="L80" s="26"/>
      <c r="M80" s="26"/>
      <c r="N80" s="22"/>
      <c r="O80" s="28">
        <v>0</v>
      </c>
      <c r="Q80" s="23" t="str">
        <f t="shared" si="20"/>
        <v>*</v>
      </c>
      <c r="R80" s="24"/>
      <c r="S80" s="25" t="str">
        <f t="shared" si="22"/>
        <v>TRAGSL</v>
      </c>
      <c r="T80" s="25" t="str">
        <f t="shared" si="23"/>
        <v>TRAPASMOTDMD</v>
      </c>
      <c r="U80" s="25" t="str">
        <f t="shared" si="24"/>
        <v>TRAPASMOTDMD</v>
      </c>
      <c r="V80" s="26">
        <v>2050</v>
      </c>
      <c r="W80" s="26" t="str">
        <f>W79</f>
        <v>UP</v>
      </c>
      <c r="X80" s="26"/>
      <c r="Y80" s="27" t="e">
        <f>-MIN(SUMIFS('TRA RESID'!$P:$P,'TRA RESID'!$H:$H,$E80,'TRA RESID'!$I:$I,$F80)/SUMIFS('TRA RESID'!$P:$P,'TRA RESID'!$I:$I,$F80)*AC80,1)</f>
        <v>#DIV/0!</v>
      </c>
      <c r="Z80" s="26"/>
      <c r="AA80" s="26"/>
      <c r="AB80" s="22"/>
      <c r="AC80" s="28">
        <v>3</v>
      </c>
    </row>
    <row r="81" spans="1:29" x14ac:dyDescent="0.25">
      <c r="A81" s="14">
        <f>A77+1</f>
        <v>20</v>
      </c>
      <c r="B81" s="9"/>
      <c r="C81" s="15" t="str">
        <f>IF(E81="","",IF(_xlfn.XLOOKUP($A81,Selected_constraint!$A:$A,Selected_constraint!$D:$D)=1,"*",IF(SUMIFS('TRA TECH'!$M:$M,'TRA TECH'!$H:$H,E81,'TRA TECH'!$I:$I,F81)=0,"*",IF(SUMIFS('TRA RESID'!$P:$P,'TRA RESID'!$H:$H,$E81,'TRA RESID'!$I:$I,$F81)=0,"*","UC_MarketShare_"&amp;LEFT(F81,LEN(F81)-3)&amp;"_"&amp;RIGHT(E81,3)&amp;"_MIN"))))</f>
        <v>*</v>
      </c>
      <c r="D81" s="16"/>
      <c r="E81" s="17" t="str">
        <f>_xlfn.XLOOKUP($A81,Selected_constraint!$A:$A,Selected_constraint!$B:$B)</f>
        <v>TRAETH</v>
      </c>
      <c r="F81" s="17" t="str">
        <f>_xlfn.XLOOKUP($A81,Selected_constraint!$A:$A,Selected_constraint!$C:$C)</f>
        <v>TRAPASMOTDMD</v>
      </c>
      <c r="G81" s="17" t="str">
        <f>F81</f>
        <v>TRAPASMOTDMD</v>
      </c>
      <c r="H81" s="18">
        <v>2019</v>
      </c>
      <c r="I81" s="18" t="s">
        <v>483</v>
      </c>
      <c r="J81" s="18">
        <v>1</v>
      </c>
      <c r="K81" s="20" t="e">
        <f>-SUMIFS('TRA RESID'!$P:$P,'TRA RESID'!$H:$H,$E81,'TRA RESID'!$I:$I,$F81)/SUMIFS('TRA RESID'!$P:$P,'TRA RESID'!$I:$I,$F81)*O81</f>
        <v>#DIV/0!</v>
      </c>
      <c r="L81" s="18">
        <v>0</v>
      </c>
      <c r="M81" s="18">
        <v>5</v>
      </c>
      <c r="N81" s="9"/>
      <c r="O81" s="21">
        <v>0.98</v>
      </c>
      <c r="Q81" s="15" t="str">
        <f t="shared" si="20"/>
        <v>*</v>
      </c>
      <c r="R81" s="16"/>
      <c r="S81" s="17" t="str">
        <f t="shared" si="22"/>
        <v>TRAETH</v>
      </c>
      <c r="T81" s="17" t="str">
        <f t="shared" si="23"/>
        <v>TRAPASMOTDMD</v>
      </c>
      <c r="U81" s="17" t="str">
        <f t="shared" si="24"/>
        <v>TRAPASMOTDMD</v>
      </c>
      <c r="V81" s="18">
        <v>2019</v>
      </c>
      <c r="W81" s="18" t="s">
        <v>484</v>
      </c>
      <c r="X81" s="18">
        <v>1</v>
      </c>
      <c r="Y81" s="20" t="e">
        <f>-MIN(SUMIFS('TRA RESID'!$P:$P,'TRA RESID'!$H:$H,$E81,'TRA RESID'!$I:$I,$F81)/SUMIFS('TRA RESID'!$P:$P,'TRA RESID'!$I:$I,$F81)*AC81,1)</f>
        <v>#DIV/0!</v>
      </c>
      <c r="Z81" s="18">
        <v>0</v>
      </c>
      <c r="AA81" s="18">
        <v>5</v>
      </c>
      <c r="AB81" s="9"/>
      <c r="AC81" s="21">
        <v>1.02</v>
      </c>
    </row>
    <row r="82" spans="1:29" x14ac:dyDescent="0.25">
      <c r="A82" s="9">
        <f>A81</f>
        <v>20</v>
      </c>
      <c r="B82" s="9"/>
      <c r="C82" s="15" t="str">
        <f>IF(C81="*",C81,"")</f>
        <v>*</v>
      </c>
      <c r="D82" s="16"/>
      <c r="E82" s="17" t="str">
        <f t="shared" ref="E82:G84" si="27">E81</f>
        <v>TRAETH</v>
      </c>
      <c r="F82" s="17" t="str">
        <f t="shared" si="27"/>
        <v>TRAPASMOTDMD</v>
      </c>
      <c r="G82" s="17" t="str">
        <f t="shared" si="27"/>
        <v>TRAPASMOTDMD</v>
      </c>
      <c r="H82" s="18">
        <v>2025</v>
      </c>
      <c r="I82" s="18" t="str">
        <f>I81</f>
        <v>LO</v>
      </c>
      <c r="J82" s="18"/>
      <c r="K82" s="20" t="e">
        <f>-SUMIFS('TRA RESID'!$P:$P,'TRA RESID'!$H:$H,$E82,'TRA RESID'!$I:$I,$F82)/SUMIFS('TRA RESID'!$P:$P,'TRA RESID'!$I:$I,$F82)*O82</f>
        <v>#DIV/0!</v>
      </c>
      <c r="L82" s="18"/>
      <c r="M82" s="18"/>
      <c r="N82" s="9"/>
      <c r="O82" s="21">
        <v>0.8</v>
      </c>
      <c r="Q82" s="15" t="str">
        <f t="shared" si="20"/>
        <v>*</v>
      </c>
      <c r="R82" s="16"/>
      <c r="S82" s="17" t="str">
        <f t="shared" si="22"/>
        <v>TRAETH</v>
      </c>
      <c r="T82" s="17" t="str">
        <f t="shared" si="23"/>
        <v>TRAPASMOTDMD</v>
      </c>
      <c r="U82" s="17" t="str">
        <f t="shared" si="24"/>
        <v>TRAPASMOTDMD</v>
      </c>
      <c r="V82" s="18">
        <v>2025</v>
      </c>
      <c r="W82" s="18" t="str">
        <f>W81</f>
        <v>UP</v>
      </c>
      <c r="X82" s="18"/>
      <c r="Y82" s="20" t="e">
        <f>-MIN(SUMIFS('TRA RESID'!$P:$P,'TRA RESID'!$H:$H,$E82,'TRA RESID'!$I:$I,$F82)/SUMIFS('TRA RESID'!$P:$P,'TRA RESID'!$I:$I,$F82)*AC82,1)</f>
        <v>#DIV/0!</v>
      </c>
      <c r="Z82" s="18"/>
      <c r="AA82" s="18"/>
      <c r="AB82" s="9"/>
      <c r="AC82" s="21">
        <v>1.2</v>
      </c>
    </row>
    <row r="83" spans="1:29" x14ac:dyDescent="0.25">
      <c r="A83" s="9">
        <f>A82</f>
        <v>20</v>
      </c>
      <c r="B83" s="9"/>
      <c r="C83" s="15" t="str">
        <f>IF(C82="*",C82,"")</f>
        <v>*</v>
      </c>
      <c r="D83" s="16"/>
      <c r="E83" s="17" t="str">
        <f t="shared" si="27"/>
        <v>TRAETH</v>
      </c>
      <c r="F83" s="17" t="str">
        <f t="shared" si="27"/>
        <v>TRAPASMOTDMD</v>
      </c>
      <c r="G83" s="17" t="str">
        <f t="shared" si="27"/>
        <v>TRAPASMOTDMD</v>
      </c>
      <c r="H83" s="18">
        <v>2030</v>
      </c>
      <c r="I83" s="18" t="str">
        <f>I82</f>
        <v>LO</v>
      </c>
      <c r="J83" s="18"/>
      <c r="K83" s="20" t="e">
        <f>-SUMIFS('TRA RESID'!$P:$P,'TRA RESID'!$H:$H,$E83,'TRA RESID'!$I:$I,$F83)/SUMIFS('TRA RESID'!$P:$P,'TRA RESID'!$I:$I,$F83)*O83</f>
        <v>#DIV/0!</v>
      </c>
      <c r="L83" s="18"/>
      <c r="M83" s="18"/>
      <c r="N83" s="9"/>
      <c r="O83" s="21">
        <v>0.2</v>
      </c>
      <c r="Q83" s="15" t="str">
        <f t="shared" si="20"/>
        <v>*</v>
      </c>
      <c r="R83" s="16"/>
      <c r="S83" s="17" t="str">
        <f t="shared" si="22"/>
        <v>TRAETH</v>
      </c>
      <c r="T83" s="17" t="str">
        <f t="shared" si="23"/>
        <v>TRAPASMOTDMD</v>
      </c>
      <c r="U83" s="17" t="str">
        <f t="shared" si="24"/>
        <v>TRAPASMOTDMD</v>
      </c>
      <c r="V83" s="18">
        <v>2030</v>
      </c>
      <c r="W83" s="18" t="str">
        <f>W82</f>
        <v>UP</v>
      </c>
      <c r="X83" s="18"/>
      <c r="Y83" s="20" t="e">
        <f>-MIN(SUMIFS('TRA RESID'!$P:$P,'TRA RESID'!$H:$H,$E83,'TRA RESID'!$I:$I,$F83)/SUMIFS('TRA RESID'!$P:$P,'TRA RESID'!$I:$I,$F83)*AC83,1)</f>
        <v>#DIV/0!</v>
      </c>
      <c r="Z83" s="18"/>
      <c r="AA83" s="18"/>
      <c r="AB83" s="9"/>
      <c r="AC83" s="21">
        <v>1.5</v>
      </c>
    </row>
    <row r="84" spans="1:29" x14ac:dyDescent="0.25">
      <c r="A84" s="22">
        <f>A83</f>
        <v>20</v>
      </c>
      <c r="B84" s="22"/>
      <c r="C84" s="23" t="str">
        <f>IF(C83="*",C83,"")</f>
        <v>*</v>
      </c>
      <c r="D84" s="24"/>
      <c r="E84" s="25" t="str">
        <f t="shared" si="27"/>
        <v>TRAETH</v>
      </c>
      <c r="F84" s="25" t="str">
        <f t="shared" si="27"/>
        <v>TRAPASMOTDMD</v>
      </c>
      <c r="G84" s="25" t="str">
        <f t="shared" si="27"/>
        <v>TRAPASMOTDMD</v>
      </c>
      <c r="H84" s="26">
        <v>2050</v>
      </c>
      <c r="I84" s="26" t="str">
        <f>I83</f>
        <v>LO</v>
      </c>
      <c r="J84" s="26"/>
      <c r="K84" s="27" t="e">
        <f>-SUMIFS('TRA RESID'!$P:$P,'TRA RESID'!$H:$H,$E84,'TRA RESID'!$I:$I,$F84)/SUMIFS('TRA RESID'!$P:$P,'TRA RESID'!$I:$I,$F84)*O84</f>
        <v>#DIV/0!</v>
      </c>
      <c r="L84" s="26"/>
      <c r="M84" s="26"/>
      <c r="N84" s="22"/>
      <c r="O84" s="28">
        <v>0</v>
      </c>
      <c r="Q84" s="23" t="str">
        <f t="shared" si="20"/>
        <v>*</v>
      </c>
      <c r="R84" s="24"/>
      <c r="S84" s="25" t="str">
        <f t="shared" si="22"/>
        <v>TRAETH</v>
      </c>
      <c r="T84" s="25" t="str">
        <f t="shared" si="23"/>
        <v>TRAPASMOTDMD</v>
      </c>
      <c r="U84" s="25" t="str">
        <f t="shared" si="24"/>
        <v>TRAPASMOTDMD</v>
      </c>
      <c r="V84" s="26">
        <v>2050</v>
      </c>
      <c r="W84" s="26" t="str">
        <f>W83</f>
        <v>UP</v>
      </c>
      <c r="X84" s="26"/>
      <c r="Y84" s="27" t="e">
        <f>-MIN(SUMIFS('TRA RESID'!$P:$P,'TRA RESID'!$H:$H,$E84,'TRA RESID'!$I:$I,$F84)/SUMIFS('TRA RESID'!$P:$P,'TRA RESID'!$I:$I,$F84)*AC84,1)</f>
        <v>#DIV/0!</v>
      </c>
      <c r="Z84" s="26"/>
      <c r="AA84" s="26"/>
      <c r="AB84" s="22"/>
      <c r="AC84" s="28">
        <v>3</v>
      </c>
    </row>
    <row r="85" spans="1:29" x14ac:dyDescent="0.25">
      <c r="A85" s="14">
        <f>A81+1</f>
        <v>21</v>
      </c>
      <c r="B85" s="9"/>
      <c r="C85" s="15" t="str">
        <f>IF(E85="","",IF(_xlfn.XLOOKUP($A85,Selected_constraint!$A:$A,Selected_constraint!$D:$D)=1,"*",IF(SUMIFS('TRA TECH'!$M:$M,'TRA TECH'!$H:$H,E85,'TRA TECH'!$I:$I,F85)=0,"*",IF(SUMIFS('TRA RESID'!$P:$P,'TRA RESID'!$H:$H,$E85,'TRA RESID'!$I:$I,$F85)=0,"*","UC_MarketShare_"&amp;LEFT(F85,LEN(F85)-3)&amp;"_"&amp;RIGHT(E85,3)&amp;"_MIN"))))</f>
        <v>*</v>
      </c>
      <c r="D85" s="16"/>
      <c r="E85" s="17" t="str">
        <f>_xlfn.XLOOKUP($A85,Selected_constraint!$A:$A,Selected_constraint!$B:$B)</f>
        <v>TRADSL</v>
      </c>
      <c r="F85" s="17" t="str">
        <f>_xlfn.XLOOKUP($A85,Selected_constraint!$A:$A,Selected_constraint!$C:$C)</f>
        <v>TRAPASMOTDMD</v>
      </c>
      <c r="G85" s="17" t="str">
        <f>F85</f>
        <v>TRAPASMOTDMD</v>
      </c>
      <c r="H85" s="18">
        <v>2019</v>
      </c>
      <c r="I85" s="18" t="s">
        <v>483</v>
      </c>
      <c r="J85" s="18">
        <v>1</v>
      </c>
      <c r="K85" s="20" t="e">
        <f>-SUMIFS('TRA RESID'!$P:$P,'TRA RESID'!$H:$H,$E85,'TRA RESID'!$I:$I,$F85)/SUMIFS('TRA RESID'!$P:$P,'TRA RESID'!$I:$I,$F85)*O85</f>
        <v>#DIV/0!</v>
      </c>
      <c r="L85" s="18">
        <v>0</v>
      </c>
      <c r="M85" s="18">
        <v>5</v>
      </c>
      <c r="N85" s="9"/>
      <c r="O85" s="21">
        <v>0.98</v>
      </c>
      <c r="Q85" s="15" t="str">
        <f t="shared" si="20"/>
        <v>*</v>
      </c>
      <c r="R85" s="16"/>
      <c r="S85" s="17" t="str">
        <f t="shared" si="22"/>
        <v>TRADSL</v>
      </c>
      <c r="T85" s="17" t="str">
        <f t="shared" si="23"/>
        <v>TRAPASMOTDMD</v>
      </c>
      <c r="U85" s="17" t="str">
        <f t="shared" si="24"/>
        <v>TRAPASMOTDMD</v>
      </c>
      <c r="V85" s="18">
        <v>2019</v>
      </c>
      <c r="W85" s="18" t="s">
        <v>484</v>
      </c>
      <c r="X85" s="18">
        <v>1</v>
      </c>
      <c r="Y85" s="20" t="e">
        <f>-MIN(SUMIFS('TRA RESID'!$P:$P,'TRA RESID'!$H:$H,$E85,'TRA RESID'!$I:$I,$F85)/SUMIFS('TRA RESID'!$P:$P,'TRA RESID'!$I:$I,$F85)*AC85,1)</f>
        <v>#DIV/0!</v>
      </c>
      <c r="Z85" s="18">
        <v>0</v>
      </c>
      <c r="AA85" s="18">
        <v>5</v>
      </c>
      <c r="AB85" s="9"/>
      <c r="AC85" s="21">
        <v>1.02</v>
      </c>
    </row>
    <row r="86" spans="1:29" x14ac:dyDescent="0.25">
      <c r="A86" s="9">
        <f>A85</f>
        <v>21</v>
      </c>
      <c r="B86" s="9"/>
      <c r="C86" s="15" t="str">
        <f>IF(C85="*",C85,"")</f>
        <v>*</v>
      </c>
      <c r="D86" s="16"/>
      <c r="E86" s="17" t="str">
        <f t="shared" ref="E86:G88" si="28">E85</f>
        <v>TRADSL</v>
      </c>
      <c r="F86" s="17" t="str">
        <f t="shared" si="28"/>
        <v>TRAPASMOTDMD</v>
      </c>
      <c r="G86" s="17" t="str">
        <f t="shared" si="28"/>
        <v>TRAPASMOTDMD</v>
      </c>
      <c r="H86" s="18">
        <v>2025</v>
      </c>
      <c r="I86" s="18" t="str">
        <f>I85</f>
        <v>LO</v>
      </c>
      <c r="J86" s="18"/>
      <c r="K86" s="20" t="e">
        <f>-SUMIFS('TRA RESID'!$P:$P,'TRA RESID'!$H:$H,$E86,'TRA RESID'!$I:$I,$F86)/SUMIFS('TRA RESID'!$P:$P,'TRA RESID'!$I:$I,$F86)*O86</f>
        <v>#DIV/0!</v>
      </c>
      <c r="L86" s="18"/>
      <c r="M86" s="18"/>
      <c r="N86" s="9"/>
      <c r="O86" s="21">
        <v>0.8</v>
      </c>
      <c r="Q86" s="15" t="str">
        <f t="shared" si="20"/>
        <v>*</v>
      </c>
      <c r="R86" s="16"/>
      <c r="S86" s="17" t="str">
        <f t="shared" si="22"/>
        <v>TRADSL</v>
      </c>
      <c r="T86" s="17" t="str">
        <f t="shared" si="23"/>
        <v>TRAPASMOTDMD</v>
      </c>
      <c r="U86" s="17" t="str">
        <f t="shared" si="24"/>
        <v>TRAPASMOTDMD</v>
      </c>
      <c r="V86" s="18">
        <v>2025</v>
      </c>
      <c r="W86" s="18" t="str">
        <f>W85</f>
        <v>UP</v>
      </c>
      <c r="X86" s="18"/>
      <c r="Y86" s="20" t="e">
        <f>-MIN(SUMIFS('TRA RESID'!$P:$P,'TRA RESID'!$H:$H,$E86,'TRA RESID'!$I:$I,$F86)/SUMIFS('TRA RESID'!$P:$P,'TRA RESID'!$I:$I,$F86)*AC86,1)</f>
        <v>#DIV/0!</v>
      </c>
      <c r="Z86" s="18"/>
      <c r="AA86" s="18"/>
      <c r="AB86" s="9"/>
      <c r="AC86" s="21">
        <v>1.2</v>
      </c>
    </row>
    <row r="87" spans="1:29" x14ac:dyDescent="0.25">
      <c r="A87" s="9">
        <f>A86</f>
        <v>21</v>
      </c>
      <c r="B87" s="9"/>
      <c r="C87" s="15" t="str">
        <f>IF(C86="*",C86,"")</f>
        <v>*</v>
      </c>
      <c r="D87" s="16"/>
      <c r="E87" s="17" t="str">
        <f t="shared" si="28"/>
        <v>TRADSL</v>
      </c>
      <c r="F87" s="17" t="str">
        <f t="shared" si="28"/>
        <v>TRAPASMOTDMD</v>
      </c>
      <c r="G87" s="17" t="str">
        <f t="shared" si="28"/>
        <v>TRAPASMOTDMD</v>
      </c>
      <c r="H87" s="18">
        <v>2030</v>
      </c>
      <c r="I87" s="18" t="str">
        <f>I86</f>
        <v>LO</v>
      </c>
      <c r="J87" s="18"/>
      <c r="K87" s="20" t="e">
        <f>-SUMIFS('TRA RESID'!$P:$P,'TRA RESID'!$H:$H,$E87,'TRA RESID'!$I:$I,$F87)/SUMIFS('TRA RESID'!$P:$P,'TRA RESID'!$I:$I,$F87)*O87</f>
        <v>#DIV/0!</v>
      </c>
      <c r="L87" s="18"/>
      <c r="M87" s="18"/>
      <c r="N87" s="9"/>
      <c r="O87" s="21">
        <v>0.2</v>
      </c>
      <c r="Q87" s="15" t="str">
        <f t="shared" si="20"/>
        <v>*</v>
      </c>
      <c r="R87" s="16"/>
      <c r="S87" s="17" t="str">
        <f t="shared" si="22"/>
        <v>TRADSL</v>
      </c>
      <c r="T87" s="17" t="str">
        <f t="shared" si="23"/>
        <v>TRAPASMOTDMD</v>
      </c>
      <c r="U87" s="17" t="str">
        <f t="shared" si="24"/>
        <v>TRAPASMOTDMD</v>
      </c>
      <c r="V87" s="18">
        <v>2030</v>
      </c>
      <c r="W87" s="18" t="str">
        <f>W86</f>
        <v>UP</v>
      </c>
      <c r="X87" s="18"/>
      <c r="Y87" s="20" t="e">
        <f>-MIN(SUMIFS('TRA RESID'!$P:$P,'TRA RESID'!$H:$H,$E87,'TRA RESID'!$I:$I,$F87)/SUMIFS('TRA RESID'!$P:$P,'TRA RESID'!$I:$I,$F87)*AC87,1)</f>
        <v>#DIV/0!</v>
      </c>
      <c r="Z87" s="18"/>
      <c r="AA87" s="18"/>
      <c r="AB87" s="9"/>
      <c r="AC87" s="21">
        <v>1.5</v>
      </c>
    </row>
    <row r="88" spans="1:29" x14ac:dyDescent="0.25">
      <c r="A88" s="22">
        <f>A87</f>
        <v>21</v>
      </c>
      <c r="B88" s="22"/>
      <c r="C88" s="23" t="str">
        <f>IF(C87="*",C87,"")</f>
        <v>*</v>
      </c>
      <c r="D88" s="24"/>
      <c r="E88" s="25" t="str">
        <f t="shared" si="28"/>
        <v>TRADSL</v>
      </c>
      <c r="F88" s="25" t="str">
        <f t="shared" si="28"/>
        <v>TRAPASMOTDMD</v>
      </c>
      <c r="G88" s="25" t="str">
        <f t="shared" si="28"/>
        <v>TRAPASMOTDMD</v>
      </c>
      <c r="H88" s="26">
        <v>2050</v>
      </c>
      <c r="I88" s="26" t="str">
        <f>I87</f>
        <v>LO</v>
      </c>
      <c r="J88" s="26"/>
      <c r="K88" s="27" t="e">
        <f>-SUMIFS('TRA RESID'!$P:$P,'TRA RESID'!$H:$H,$E88,'TRA RESID'!$I:$I,$F88)/SUMIFS('TRA RESID'!$P:$P,'TRA RESID'!$I:$I,$F88)*O88</f>
        <v>#DIV/0!</v>
      </c>
      <c r="L88" s="26"/>
      <c r="M88" s="26"/>
      <c r="N88" s="22"/>
      <c r="O88" s="28">
        <v>0</v>
      </c>
      <c r="Q88" s="23" t="str">
        <f t="shared" si="20"/>
        <v>*</v>
      </c>
      <c r="R88" s="24"/>
      <c r="S88" s="25" t="str">
        <f t="shared" si="22"/>
        <v>TRADSL</v>
      </c>
      <c r="T88" s="25" t="str">
        <f t="shared" si="23"/>
        <v>TRAPASMOTDMD</v>
      </c>
      <c r="U88" s="25" t="str">
        <f t="shared" si="24"/>
        <v>TRAPASMOTDMD</v>
      </c>
      <c r="V88" s="26">
        <v>2050</v>
      </c>
      <c r="W88" s="26" t="str">
        <f>W87</f>
        <v>UP</v>
      </c>
      <c r="X88" s="26"/>
      <c r="Y88" s="27" t="e">
        <f>-MIN(SUMIFS('TRA RESID'!$P:$P,'TRA RESID'!$H:$H,$E88,'TRA RESID'!$I:$I,$F88)/SUMIFS('TRA RESID'!$P:$P,'TRA RESID'!$I:$I,$F88)*AC88,1)</f>
        <v>#DIV/0!</v>
      </c>
      <c r="Z88" s="26"/>
      <c r="AA88" s="26"/>
      <c r="AB88" s="22"/>
      <c r="AC88" s="28">
        <v>3</v>
      </c>
    </row>
    <row r="89" spans="1:29" x14ac:dyDescent="0.25">
      <c r="A89" s="14">
        <f>A85+1</f>
        <v>22</v>
      </c>
      <c r="B89" s="9"/>
      <c r="C89" s="15" t="str">
        <f>IF(E89="","",IF(_xlfn.XLOOKUP($A89,Selected_constraint!$A:$A,Selected_constraint!$D:$D)=1,"*",IF(SUMIFS('TRA TECH'!$M:$M,'TRA TECH'!$H:$H,E89,'TRA TECH'!$I:$I,F89)=0,"*",IF(SUMIFS('TRA RESID'!$P:$P,'TRA RESID'!$H:$H,$E89,'TRA RESID'!$I:$I,$F89)=0,"*","UC_MarketShare_"&amp;LEFT(F89,LEN(F89)-3)&amp;"_"&amp;RIGHT(E89,3)&amp;"_MIN"))))</f>
        <v>*</v>
      </c>
      <c r="D89" s="16"/>
      <c r="E89" s="17" t="str">
        <f>_xlfn.XLOOKUP($A89,Selected_constraint!$A:$A,Selected_constraint!$B:$B)</f>
        <v>TRARDS</v>
      </c>
      <c r="F89" s="17" t="str">
        <f>_xlfn.XLOOKUP($A89,Selected_constraint!$A:$A,Selected_constraint!$C:$C)</f>
        <v>TRAPASMOTDMD</v>
      </c>
      <c r="G89" s="17" t="str">
        <f>F89</f>
        <v>TRAPASMOTDMD</v>
      </c>
      <c r="H89" s="18">
        <v>2019</v>
      </c>
      <c r="I89" s="18" t="s">
        <v>483</v>
      </c>
      <c r="J89" s="18">
        <v>1</v>
      </c>
      <c r="K89" s="20" t="e">
        <f>-SUMIFS('TRA RESID'!$P:$P,'TRA RESID'!$H:$H,$E89,'TRA RESID'!$I:$I,$F89)/SUMIFS('TRA RESID'!$P:$P,'TRA RESID'!$I:$I,$F89)*O89</f>
        <v>#DIV/0!</v>
      </c>
      <c r="L89" s="18">
        <v>0</v>
      </c>
      <c r="M89" s="18">
        <v>5</v>
      </c>
      <c r="N89" s="9"/>
      <c r="O89" s="21">
        <v>0.98</v>
      </c>
      <c r="Q89" s="15" t="str">
        <f t="shared" si="20"/>
        <v>*</v>
      </c>
      <c r="R89" s="16"/>
      <c r="S89" s="17" t="str">
        <f t="shared" si="22"/>
        <v>TRARDS</v>
      </c>
      <c r="T89" s="17" t="str">
        <f t="shared" si="23"/>
        <v>TRAPASMOTDMD</v>
      </c>
      <c r="U89" s="17" t="str">
        <f t="shared" si="24"/>
        <v>TRAPASMOTDMD</v>
      </c>
      <c r="V89" s="18">
        <v>2019</v>
      </c>
      <c r="W89" s="18" t="s">
        <v>484</v>
      </c>
      <c r="X89" s="18">
        <v>1</v>
      </c>
      <c r="Y89" s="20" t="e">
        <f>-MIN(SUMIFS('TRA RESID'!$P:$P,'TRA RESID'!$H:$H,$E89,'TRA RESID'!$I:$I,$F89)/SUMIFS('TRA RESID'!$P:$P,'TRA RESID'!$I:$I,$F89)*AC89,1)</f>
        <v>#DIV/0!</v>
      </c>
      <c r="Z89" s="18">
        <v>0</v>
      </c>
      <c r="AA89" s="18">
        <v>5</v>
      </c>
      <c r="AB89" s="9"/>
      <c r="AC89" s="21">
        <v>1.02</v>
      </c>
    </row>
    <row r="90" spans="1:29" x14ac:dyDescent="0.25">
      <c r="A90" s="9">
        <f>A89</f>
        <v>22</v>
      </c>
      <c r="B90" s="9"/>
      <c r="C90" s="15" t="str">
        <f>IF(C89="*",C89,"")</f>
        <v>*</v>
      </c>
      <c r="D90" s="16"/>
      <c r="E90" s="17" t="str">
        <f t="shared" ref="E90:G92" si="29">E89</f>
        <v>TRARDS</v>
      </c>
      <c r="F90" s="17" t="str">
        <f t="shared" si="29"/>
        <v>TRAPASMOTDMD</v>
      </c>
      <c r="G90" s="17" t="str">
        <f t="shared" si="29"/>
        <v>TRAPASMOTDMD</v>
      </c>
      <c r="H90" s="18">
        <v>2025</v>
      </c>
      <c r="I90" s="18" t="str">
        <f>I89</f>
        <v>LO</v>
      </c>
      <c r="J90" s="18"/>
      <c r="K90" s="20" t="e">
        <f>-SUMIFS('TRA RESID'!$P:$P,'TRA RESID'!$H:$H,$E90,'TRA RESID'!$I:$I,$F90)/SUMIFS('TRA RESID'!$P:$P,'TRA RESID'!$I:$I,$F90)*O90</f>
        <v>#DIV/0!</v>
      </c>
      <c r="L90" s="18"/>
      <c r="M90" s="18"/>
      <c r="N90" s="9"/>
      <c r="O90" s="21">
        <v>0.8</v>
      </c>
      <c r="Q90" s="15" t="str">
        <f t="shared" si="20"/>
        <v>*</v>
      </c>
      <c r="R90" s="16"/>
      <c r="S90" s="17" t="str">
        <f t="shared" si="22"/>
        <v>TRARDS</v>
      </c>
      <c r="T90" s="17" t="str">
        <f t="shared" si="23"/>
        <v>TRAPASMOTDMD</v>
      </c>
      <c r="U90" s="17" t="str">
        <f t="shared" si="24"/>
        <v>TRAPASMOTDMD</v>
      </c>
      <c r="V90" s="18">
        <v>2025</v>
      </c>
      <c r="W90" s="18" t="str">
        <f>W89</f>
        <v>UP</v>
      </c>
      <c r="X90" s="18"/>
      <c r="Y90" s="20" t="e">
        <f>-MIN(SUMIFS('TRA RESID'!$P:$P,'TRA RESID'!$H:$H,$E90,'TRA RESID'!$I:$I,$F90)/SUMIFS('TRA RESID'!$P:$P,'TRA RESID'!$I:$I,$F90)*AC90,1)</f>
        <v>#DIV/0!</v>
      </c>
      <c r="Z90" s="18"/>
      <c r="AA90" s="18"/>
      <c r="AB90" s="9"/>
      <c r="AC90" s="21">
        <v>1.2</v>
      </c>
    </row>
    <row r="91" spans="1:29" x14ac:dyDescent="0.25">
      <c r="A91" s="9">
        <f>A90</f>
        <v>22</v>
      </c>
      <c r="B91" s="9"/>
      <c r="C91" s="15" t="str">
        <f>IF(C90="*",C90,"")</f>
        <v>*</v>
      </c>
      <c r="D91" s="16"/>
      <c r="E91" s="17" t="str">
        <f t="shared" si="29"/>
        <v>TRARDS</v>
      </c>
      <c r="F91" s="17" t="str">
        <f t="shared" si="29"/>
        <v>TRAPASMOTDMD</v>
      </c>
      <c r="G91" s="17" t="str">
        <f t="shared" si="29"/>
        <v>TRAPASMOTDMD</v>
      </c>
      <c r="H91" s="18">
        <v>2030</v>
      </c>
      <c r="I91" s="18" t="str">
        <f>I90</f>
        <v>LO</v>
      </c>
      <c r="J91" s="18"/>
      <c r="K91" s="20" t="e">
        <f>-SUMIFS('TRA RESID'!$P:$P,'TRA RESID'!$H:$H,$E91,'TRA RESID'!$I:$I,$F91)/SUMIFS('TRA RESID'!$P:$P,'TRA RESID'!$I:$I,$F91)*O91</f>
        <v>#DIV/0!</v>
      </c>
      <c r="L91" s="18"/>
      <c r="M91" s="18"/>
      <c r="N91" s="9"/>
      <c r="O91" s="21">
        <v>0.2</v>
      </c>
      <c r="Q91" s="15" t="str">
        <f t="shared" si="20"/>
        <v>*</v>
      </c>
      <c r="R91" s="16"/>
      <c r="S91" s="17" t="str">
        <f t="shared" si="22"/>
        <v>TRARDS</v>
      </c>
      <c r="T91" s="17" t="str">
        <f t="shared" si="23"/>
        <v>TRAPASMOTDMD</v>
      </c>
      <c r="U91" s="17" t="str">
        <f t="shared" si="24"/>
        <v>TRAPASMOTDMD</v>
      </c>
      <c r="V91" s="18">
        <v>2030</v>
      </c>
      <c r="W91" s="18" t="str">
        <f>W90</f>
        <v>UP</v>
      </c>
      <c r="X91" s="18"/>
      <c r="Y91" s="20" t="e">
        <f>-MIN(SUMIFS('TRA RESID'!$P:$P,'TRA RESID'!$H:$H,$E91,'TRA RESID'!$I:$I,$F91)/SUMIFS('TRA RESID'!$P:$P,'TRA RESID'!$I:$I,$F91)*AC91,1)</f>
        <v>#DIV/0!</v>
      </c>
      <c r="Z91" s="18"/>
      <c r="AA91" s="18"/>
      <c r="AB91" s="9"/>
      <c r="AC91" s="21">
        <v>1.5</v>
      </c>
    </row>
    <row r="92" spans="1:29" x14ac:dyDescent="0.25">
      <c r="A92" s="22">
        <f>A91</f>
        <v>22</v>
      </c>
      <c r="B92" s="22"/>
      <c r="C92" s="23" t="str">
        <f>IF(C91="*",C91,"")</f>
        <v>*</v>
      </c>
      <c r="D92" s="24"/>
      <c r="E92" s="25" t="str">
        <f t="shared" si="29"/>
        <v>TRARDS</v>
      </c>
      <c r="F92" s="25" t="str">
        <f t="shared" si="29"/>
        <v>TRAPASMOTDMD</v>
      </c>
      <c r="G92" s="25" t="str">
        <f t="shared" si="29"/>
        <v>TRAPASMOTDMD</v>
      </c>
      <c r="H92" s="26">
        <v>2050</v>
      </c>
      <c r="I92" s="26" t="str">
        <f>I91</f>
        <v>LO</v>
      </c>
      <c r="J92" s="26"/>
      <c r="K92" s="27" t="e">
        <f>-SUMIFS('TRA RESID'!$P:$P,'TRA RESID'!$H:$H,$E92,'TRA RESID'!$I:$I,$F92)/SUMIFS('TRA RESID'!$P:$P,'TRA RESID'!$I:$I,$F92)*O92</f>
        <v>#DIV/0!</v>
      </c>
      <c r="L92" s="26"/>
      <c r="M92" s="26"/>
      <c r="N92" s="22"/>
      <c r="O92" s="28">
        <v>0</v>
      </c>
      <c r="Q92" s="23" t="str">
        <f t="shared" si="20"/>
        <v>*</v>
      </c>
      <c r="R92" s="24"/>
      <c r="S92" s="25" t="str">
        <f t="shared" si="22"/>
        <v>TRARDS</v>
      </c>
      <c r="T92" s="25" t="str">
        <f t="shared" si="23"/>
        <v>TRAPASMOTDMD</v>
      </c>
      <c r="U92" s="25" t="str">
        <f t="shared" si="24"/>
        <v>TRAPASMOTDMD</v>
      </c>
      <c r="V92" s="26">
        <v>2050</v>
      </c>
      <c r="W92" s="26" t="str">
        <f>W91</f>
        <v>UP</v>
      </c>
      <c r="X92" s="26"/>
      <c r="Y92" s="27" t="e">
        <f>-MIN(SUMIFS('TRA RESID'!$P:$P,'TRA RESID'!$H:$H,$E92,'TRA RESID'!$I:$I,$F92)/SUMIFS('TRA RESID'!$P:$P,'TRA RESID'!$I:$I,$F92)*AC92,1)</f>
        <v>#DIV/0!</v>
      </c>
      <c r="Z92" s="26"/>
      <c r="AA92" s="26"/>
      <c r="AB92" s="22"/>
      <c r="AC92" s="28">
        <v>3</v>
      </c>
    </row>
    <row r="93" spans="1:29" x14ac:dyDescent="0.25">
      <c r="A93" s="14">
        <f>A89+1</f>
        <v>23</v>
      </c>
      <c r="B93" s="9"/>
      <c r="C93" s="15" t="str">
        <f>IF(E93="","",IF(_xlfn.XLOOKUP($A93,Selected_constraint!$A:$A,Selected_constraint!$D:$D)=1,"*",IF(SUMIFS('TRA TECH'!$M:$M,'TRA TECH'!$H:$H,E93,'TRA TECH'!$I:$I,F93)=0,"*",IF(SUMIFS('TRA RESID'!$P:$P,'TRA RESID'!$H:$H,$E93,'TRA RESID'!$I:$I,$F93)=0,"*","UC_MarketShare_"&amp;LEFT(F93,LEN(F93)-3)&amp;"_"&amp;RIGHT(E93,3)&amp;"_MIN"))))</f>
        <v>*</v>
      </c>
      <c r="D93" s="16"/>
      <c r="E93" s="17" t="str">
        <f>_xlfn.XLOOKUP($A93,Selected_constraint!$A:$A,Selected_constraint!$B:$B)</f>
        <v>TRABDS</v>
      </c>
      <c r="F93" s="17" t="str">
        <f>_xlfn.XLOOKUP($A93,Selected_constraint!$A:$A,Selected_constraint!$C:$C)</f>
        <v>TRAPASMOTDMD</v>
      </c>
      <c r="G93" s="17" t="str">
        <f>F93</f>
        <v>TRAPASMOTDMD</v>
      </c>
      <c r="H93" s="18">
        <v>2019</v>
      </c>
      <c r="I93" s="18" t="s">
        <v>483</v>
      </c>
      <c r="J93" s="18">
        <v>1</v>
      </c>
      <c r="K93" s="20" t="e">
        <f>-SUMIFS('TRA RESID'!$P:$P,'TRA RESID'!$H:$H,$E93,'TRA RESID'!$I:$I,$F93)/SUMIFS('TRA RESID'!$P:$P,'TRA RESID'!$I:$I,$F93)*O93</f>
        <v>#DIV/0!</v>
      </c>
      <c r="L93" s="18">
        <v>0</v>
      </c>
      <c r="M93" s="18">
        <v>5</v>
      </c>
      <c r="N93" s="9"/>
      <c r="O93" s="21">
        <v>0.98</v>
      </c>
      <c r="Q93" s="15" t="str">
        <f t="shared" si="20"/>
        <v>*</v>
      </c>
      <c r="R93" s="16"/>
      <c r="S93" s="17" t="str">
        <f t="shared" si="22"/>
        <v>TRABDS</v>
      </c>
      <c r="T93" s="17" t="str">
        <f t="shared" si="23"/>
        <v>TRAPASMOTDMD</v>
      </c>
      <c r="U93" s="17" t="str">
        <f t="shared" si="24"/>
        <v>TRAPASMOTDMD</v>
      </c>
      <c r="V93" s="18">
        <v>2019</v>
      </c>
      <c r="W93" s="18" t="s">
        <v>484</v>
      </c>
      <c r="X93" s="18">
        <v>1</v>
      </c>
      <c r="Y93" s="20" t="e">
        <f>-MIN(SUMIFS('TRA RESID'!$P:$P,'TRA RESID'!$H:$H,$E93,'TRA RESID'!$I:$I,$F93)/SUMIFS('TRA RESID'!$P:$P,'TRA RESID'!$I:$I,$F93)*AC93,1)</f>
        <v>#DIV/0!</v>
      </c>
      <c r="Z93" s="18">
        <v>0</v>
      </c>
      <c r="AA93" s="18">
        <v>5</v>
      </c>
      <c r="AB93" s="9"/>
      <c r="AC93" s="21">
        <v>1.02</v>
      </c>
    </row>
    <row r="94" spans="1:29" x14ac:dyDescent="0.25">
      <c r="A94" s="9">
        <f>A93</f>
        <v>23</v>
      </c>
      <c r="B94" s="9"/>
      <c r="C94" s="15" t="str">
        <f>IF(C93="*",C93,"")</f>
        <v>*</v>
      </c>
      <c r="D94" s="16"/>
      <c r="E94" s="17" t="str">
        <f t="shared" ref="E94:G96" si="30">E93</f>
        <v>TRABDS</v>
      </c>
      <c r="F94" s="17" t="str">
        <f t="shared" si="30"/>
        <v>TRAPASMOTDMD</v>
      </c>
      <c r="G94" s="17" t="str">
        <f t="shared" si="30"/>
        <v>TRAPASMOTDMD</v>
      </c>
      <c r="H94" s="18">
        <v>2025</v>
      </c>
      <c r="I94" s="18" t="str">
        <f>I93</f>
        <v>LO</v>
      </c>
      <c r="J94" s="18"/>
      <c r="K94" s="20" t="e">
        <f>-SUMIFS('TRA RESID'!$P:$P,'TRA RESID'!$H:$H,$E94,'TRA RESID'!$I:$I,$F94)/SUMIFS('TRA RESID'!$P:$P,'TRA RESID'!$I:$I,$F94)*O94</f>
        <v>#DIV/0!</v>
      </c>
      <c r="L94" s="18"/>
      <c r="M94" s="18"/>
      <c r="N94" s="9"/>
      <c r="O94" s="21">
        <v>0.8</v>
      </c>
      <c r="Q94" s="15" t="str">
        <f t="shared" si="20"/>
        <v>*</v>
      </c>
      <c r="R94" s="16"/>
      <c r="S94" s="17" t="str">
        <f t="shared" si="22"/>
        <v>TRABDS</v>
      </c>
      <c r="T94" s="17" t="str">
        <f t="shared" si="23"/>
        <v>TRAPASMOTDMD</v>
      </c>
      <c r="U94" s="17" t="str">
        <f t="shared" si="24"/>
        <v>TRAPASMOTDMD</v>
      </c>
      <c r="V94" s="18">
        <v>2025</v>
      </c>
      <c r="W94" s="18" t="str">
        <f>W93</f>
        <v>UP</v>
      </c>
      <c r="X94" s="18"/>
      <c r="Y94" s="20" t="e">
        <f>-MIN(SUMIFS('TRA RESID'!$P:$P,'TRA RESID'!$H:$H,$E94,'TRA RESID'!$I:$I,$F94)/SUMIFS('TRA RESID'!$P:$P,'TRA RESID'!$I:$I,$F94)*AC94,1)</f>
        <v>#DIV/0!</v>
      </c>
      <c r="Z94" s="18"/>
      <c r="AA94" s="18"/>
      <c r="AB94" s="9"/>
      <c r="AC94" s="21">
        <v>1.2</v>
      </c>
    </row>
    <row r="95" spans="1:29" x14ac:dyDescent="0.25">
      <c r="A95" s="9">
        <f>A94</f>
        <v>23</v>
      </c>
      <c r="B95" s="9"/>
      <c r="C95" s="15" t="str">
        <f>IF(C94="*",C94,"")</f>
        <v>*</v>
      </c>
      <c r="D95" s="16"/>
      <c r="E95" s="17" t="str">
        <f t="shared" si="30"/>
        <v>TRABDS</v>
      </c>
      <c r="F95" s="17" t="str">
        <f t="shared" si="30"/>
        <v>TRAPASMOTDMD</v>
      </c>
      <c r="G95" s="17" t="str">
        <f t="shared" si="30"/>
        <v>TRAPASMOTDMD</v>
      </c>
      <c r="H95" s="18">
        <v>2030</v>
      </c>
      <c r="I95" s="18" t="str">
        <f>I94</f>
        <v>LO</v>
      </c>
      <c r="J95" s="18"/>
      <c r="K95" s="20" t="e">
        <f>-SUMIFS('TRA RESID'!$P:$P,'TRA RESID'!$H:$H,$E95,'TRA RESID'!$I:$I,$F95)/SUMIFS('TRA RESID'!$P:$P,'TRA RESID'!$I:$I,$F95)*O95</f>
        <v>#DIV/0!</v>
      </c>
      <c r="L95" s="18"/>
      <c r="M95" s="18"/>
      <c r="N95" s="9"/>
      <c r="O95" s="21">
        <v>0.2</v>
      </c>
      <c r="Q95" s="15" t="str">
        <f t="shared" si="20"/>
        <v>*</v>
      </c>
      <c r="R95" s="16"/>
      <c r="S95" s="17" t="str">
        <f t="shared" si="22"/>
        <v>TRABDS</v>
      </c>
      <c r="T95" s="17" t="str">
        <f t="shared" si="23"/>
        <v>TRAPASMOTDMD</v>
      </c>
      <c r="U95" s="17" t="str">
        <f t="shared" si="24"/>
        <v>TRAPASMOTDMD</v>
      </c>
      <c r="V95" s="18">
        <v>2030</v>
      </c>
      <c r="W95" s="18" t="str">
        <f>W94</f>
        <v>UP</v>
      </c>
      <c r="X95" s="18"/>
      <c r="Y95" s="20" t="e">
        <f>-MIN(SUMIFS('TRA RESID'!$P:$P,'TRA RESID'!$H:$H,$E95,'TRA RESID'!$I:$I,$F95)/SUMIFS('TRA RESID'!$P:$P,'TRA RESID'!$I:$I,$F95)*AC95,1)</f>
        <v>#DIV/0!</v>
      </c>
      <c r="Z95" s="18"/>
      <c r="AA95" s="18"/>
      <c r="AB95" s="9"/>
      <c r="AC95" s="21">
        <v>1.5</v>
      </c>
    </row>
    <row r="96" spans="1:29" x14ac:dyDescent="0.25">
      <c r="A96" s="22">
        <f>A95</f>
        <v>23</v>
      </c>
      <c r="B96" s="22"/>
      <c r="C96" s="23" t="str">
        <f>IF(C95="*",C95,"")</f>
        <v>*</v>
      </c>
      <c r="D96" s="24"/>
      <c r="E96" s="25" t="str">
        <f t="shared" si="30"/>
        <v>TRABDS</v>
      </c>
      <c r="F96" s="25" t="str">
        <f t="shared" si="30"/>
        <v>TRAPASMOTDMD</v>
      </c>
      <c r="G96" s="25" t="str">
        <f t="shared" si="30"/>
        <v>TRAPASMOTDMD</v>
      </c>
      <c r="H96" s="26">
        <v>2050</v>
      </c>
      <c r="I96" s="26" t="str">
        <f>I95</f>
        <v>LO</v>
      </c>
      <c r="J96" s="26"/>
      <c r="K96" s="27" t="e">
        <f>-SUMIFS('TRA RESID'!$P:$P,'TRA RESID'!$H:$H,$E96,'TRA RESID'!$I:$I,$F96)/SUMIFS('TRA RESID'!$P:$P,'TRA RESID'!$I:$I,$F96)*O96</f>
        <v>#DIV/0!</v>
      </c>
      <c r="L96" s="26"/>
      <c r="M96" s="26"/>
      <c r="N96" s="22"/>
      <c r="O96" s="28">
        <v>0</v>
      </c>
      <c r="Q96" s="23" t="str">
        <f t="shared" si="20"/>
        <v>*</v>
      </c>
      <c r="R96" s="24"/>
      <c r="S96" s="25" t="str">
        <f t="shared" si="22"/>
        <v>TRABDS</v>
      </c>
      <c r="T96" s="25" t="str">
        <f t="shared" si="23"/>
        <v>TRAPASMOTDMD</v>
      </c>
      <c r="U96" s="25" t="str">
        <f t="shared" si="24"/>
        <v>TRAPASMOTDMD</v>
      </c>
      <c r="V96" s="26">
        <v>2050</v>
      </c>
      <c r="W96" s="26" t="str">
        <f>W95</f>
        <v>UP</v>
      </c>
      <c r="X96" s="26"/>
      <c r="Y96" s="27" t="e">
        <f>-MIN(SUMIFS('TRA RESID'!$P:$P,'TRA RESID'!$H:$H,$E96,'TRA RESID'!$I:$I,$F96)/SUMIFS('TRA RESID'!$P:$P,'TRA RESID'!$I:$I,$F96)*AC96,1)</f>
        <v>#DIV/0!</v>
      </c>
      <c r="Z96" s="26"/>
      <c r="AA96" s="26"/>
      <c r="AB96" s="22"/>
      <c r="AC96" s="28">
        <v>3</v>
      </c>
    </row>
    <row r="97" spans="1:29" x14ac:dyDescent="0.25">
      <c r="A97" s="14">
        <f>A93+1</f>
        <v>24</v>
      </c>
      <c r="B97" s="9"/>
      <c r="C97" s="15" t="str">
        <f>IF(E97="","",IF(_xlfn.XLOOKUP($A97,Selected_constraint!$A:$A,Selected_constraint!$D:$D)=1,"*",IF(SUMIFS('TRA TECH'!$M:$M,'TRA TECH'!$H:$H,E97,'TRA TECH'!$I:$I,F97)=0,"*",IF(SUMIFS('TRA RESID'!$P:$P,'TRA RESID'!$H:$H,$E97,'TRA RESID'!$I:$I,$F97)=0,"*","UC_MarketShare_"&amp;LEFT(F97,LEN(F97)-3)&amp;"_"&amp;RIGHT(E97,3)&amp;"_MIN"))))</f>
        <v>*</v>
      </c>
      <c r="D97" s="16"/>
      <c r="E97" s="17" t="str">
        <f>_xlfn.XLOOKUP($A97,Selected_constraint!$A:$A,Selected_constraint!$B:$B)</f>
        <v>TRACNG</v>
      </c>
      <c r="F97" s="17" t="str">
        <f>_xlfn.XLOOKUP($A97,Selected_constraint!$A:$A,Selected_constraint!$C:$C)</f>
        <v>TRAPASMOTDMD</v>
      </c>
      <c r="G97" s="17" t="str">
        <f>F97</f>
        <v>TRAPASMOTDMD</v>
      </c>
      <c r="H97" s="18">
        <v>2019</v>
      </c>
      <c r="I97" s="18" t="s">
        <v>483</v>
      </c>
      <c r="J97" s="18">
        <v>1</v>
      </c>
      <c r="K97" s="20" t="e">
        <f>-SUMIFS('TRA RESID'!$P:$P,'TRA RESID'!$H:$H,$E97,'TRA RESID'!$I:$I,$F97)/SUMIFS('TRA RESID'!$P:$P,'TRA RESID'!$I:$I,$F97)*O97</f>
        <v>#DIV/0!</v>
      </c>
      <c r="L97" s="18">
        <v>0</v>
      </c>
      <c r="M97" s="18">
        <v>5</v>
      </c>
      <c r="N97" s="9"/>
      <c r="O97" s="21">
        <v>0.98</v>
      </c>
      <c r="Q97" s="15" t="str">
        <f t="shared" si="20"/>
        <v>*</v>
      </c>
      <c r="R97" s="16"/>
      <c r="S97" s="17" t="str">
        <f t="shared" si="22"/>
        <v>TRACNG</v>
      </c>
      <c r="T97" s="17" t="str">
        <f t="shared" si="23"/>
        <v>TRAPASMOTDMD</v>
      </c>
      <c r="U97" s="17" t="str">
        <f t="shared" si="24"/>
        <v>TRAPASMOTDMD</v>
      </c>
      <c r="V97" s="18">
        <v>2019</v>
      </c>
      <c r="W97" s="18" t="s">
        <v>484</v>
      </c>
      <c r="X97" s="18">
        <v>1</v>
      </c>
      <c r="Y97" s="20" t="e">
        <f>-MIN(SUMIFS('TRA RESID'!$P:$P,'TRA RESID'!$H:$H,$E97,'TRA RESID'!$I:$I,$F97)/SUMIFS('TRA RESID'!$P:$P,'TRA RESID'!$I:$I,$F97)*AC97,1)</f>
        <v>#DIV/0!</v>
      </c>
      <c r="Z97" s="18">
        <v>0</v>
      </c>
      <c r="AA97" s="18">
        <v>5</v>
      </c>
      <c r="AB97" s="9"/>
      <c r="AC97" s="21">
        <v>1.02</v>
      </c>
    </row>
    <row r="98" spans="1:29" x14ac:dyDescent="0.25">
      <c r="A98" s="9">
        <f>A97</f>
        <v>24</v>
      </c>
      <c r="B98" s="9"/>
      <c r="C98" s="15" t="str">
        <f>IF(C97="*",C97,"")</f>
        <v>*</v>
      </c>
      <c r="D98" s="16"/>
      <c r="E98" s="17" t="str">
        <f t="shared" ref="E98:G100" si="31">E97</f>
        <v>TRACNG</v>
      </c>
      <c r="F98" s="17" t="str">
        <f t="shared" si="31"/>
        <v>TRAPASMOTDMD</v>
      </c>
      <c r="G98" s="17" t="str">
        <f t="shared" si="31"/>
        <v>TRAPASMOTDMD</v>
      </c>
      <c r="H98" s="18">
        <v>2025</v>
      </c>
      <c r="I98" s="18" t="str">
        <f>I97</f>
        <v>LO</v>
      </c>
      <c r="J98" s="18"/>
      <c r="K98" s="20" t="e">
        <f>-SUMIFS('TRA RESID'!$P:$P,'TRA RESID'!$H:$H,$E98,'TRA RESID'!$I:$I,$F98)/SUMIFS('TRA RESID'!$P:$P,'TRA RESID'!$I:$I,$F98)*O98</f>
        <v>#DIV/0!</v>
      </c>
      <c r="L98" s="18"/>
      <c r="M98" s="18"/>
      <c r="N98" s="9"/>
      <c r="O98" s="21">
        <v>0.8</v>
      </c>
      <c r="Q98" s="15" t="str">
        <f t="shared" si="20"/>
        <v>*</v>
      </c>
      <c r="R98" s="16"/>
      <c r="S98" s="17" t="str">
        <f t="shared" si="22"/>
        <v>TRACNG</v>
      </c>
      <c r="T98" s="17" t="str">
        <f t="shared" si="23"/>
        <v>TRAPASMOTDMD</v>
      </c>
      <c r="U98" s="17" t="str">
        <f t="shared" si="24"/>
        <v>TRAPASMOTDMD</v>
      </c>
      <c r="V98" s="18">
        <v>2025</v>
      </c>
      <c r="W98" s="18" t="str">
        <f>W97</f>
        <v>UP</v>
      </c>
      <c r="X98" s="18"/>
      <c r="Y98" s="20" t="e">
        <f>-MIN(SUMIFS('TRA RESID'!$P:$P,'TRA RESID'!$H:$H,$E98,'TRA RESID'!$I:$I,$F98)/SUMIFS('TRA RESID'!$P:$P,'TRA RESID'!$I:$I,$F98)*AC98,1)</f>
        <v>#DIV/0!</v>
      </c>
      <c r="Z98" s="18"/>
      <c r="AA98" s="18"/>
      <c r="AB98" s="9"/>
      <c r="AC98" s="21">
        <v>1.2</v>
      </c>
    </row>
    <row r="99" spans="1:29" x14ac:dyDescent="0.25">
      <c r="A99" s="9">
        <f>A98</f>
        <v>24</v>
      </c>
      <c r="B99" s="9"/>
      <c r="C99" s="15" t="str">
        <f>IF(C98="*",C98,"")</f>
        <v>*</v>
      </c>
      <c r="D99" s="16"/>
      <c r="E99" s="17" t="str">
        <f t="shared" si="31"/>
        <v>TRACNG</v>
      </c>
      <c r="F99" s="17" t="str">
        <f t="shared" si="31"/>
        <v>TRAPASMOTDMD</v>
      </c>
      <c r="G99" s="17" t="str">
        <f t="shared" si="31"/>
        <v>TRAPASMOTDMD</v>
      </c>
      <c r="H99" s="18">
        <v>2030</v>
      </c>
      <c r="I99" s="18" t="str">
        <f>I98</f>
        <v>LO</v>
      </c>
      <c r="J99" s="18"/>
      <c r="K99" s="20" t="e">
        <f>-SUMIFS('TRA RESID'!$P:$P,'TRA RESID'!$H:$H,$E99,'TRA RESID'!$I:$I,$F99)/SUMIFS('TRA RESID'!$P:$P,'TRA RESID'!$I:$I,$F99)*O99</f>
        <v>#DIV/0!</v>
      </c>
      <c r="L99" s="18"/>
      <c r="M99" s="18"/>
      <c r="N99" s="9"/>
      <c r="O99" s="21">
        <v>0.2</v>
      </c>
      <c r="Q99" s="15" t="str">
        <f t="shared" si="20"/>
        <v>*</v>
      </c>
      <c r="R99" s="16"/>
      <c r="S99" s="17" t="str">
        <f t="shared" si="22"/>
        <v>TRACNG</v>
      </c>
      <c r="T99" s="17" t="str">
        <f t="shared" si="23"/>
        <v>TRAPASMOTDMD</v>
      </c>
      <c r="U99" s="17" t="str">
        <f t="shared" si="24"/>
        <v>TRAPASMOTDMD</v>
      </c>
      <c r="V99" s="18">
        <v>2030</v>
      </c>
      <c r="W99" s="18" t="str">
        <f>W98</f>
        <v>UP</v>
      </c>
      <c r="X99" s="18"/>
      <c r="Y99" s="20" t="e">
        <f>-MIN(SUMIFS('TRA RESID'!$P:$P,'TRA RESID'!$H:$H,$E99,'TRA RESID'!$I:$I,$F99)/SUMIFS('TRA RESID'!$P:$P,'TRA RESID'!$I:$I,$F99)*AC99,1)</f>
        <v>#DIV/0!</v>
      </c>
      <c r="Z99" s="18"/>
      <c r="AA99" s="18"/>
      <c r="AB99" s="9"/>
      <c r="AC99" s="21">
        <v>1.5</v>
      </c>
    </row>
    <row r="100" spans="1:29" x14ac:dyDescent="0.25">
      <c r="A100" s="22">
        <f>A99</f>
        <v>24</v>
      </c>
      <c r="B100" s="22"/>
      <c r="C100" s="23" t="str">
        <f>IF(C99="*",C99,"")</f>
        <v>*</v>
      </c>
      <c r="D100" s="24"/>
      <c r="E100" s="25" t="str">
        <f t="shared" si="31"/>
        <v>TRACNG</v>
      </c>
      <c r="F100" s="25" t="str">
        <f t="shared" si="31"/>
        <v>TRAPASMOTDMD</v>
      </c>
      <c r="G100" s="25" t="str">
        <f t="shared" si="31"/>
        <v>TRAPASMOTDMD</v>
      </c>
      <c r="H100" s="26">
        <v>2050</v>
      </c>
      <c r="I100" s="26" t="str">
        <f>I99</f>
        <v>LO</v>
      </c>
      <c r="J100" s="26"/>
      <c r="K100" s="27" t="e">
        <f>-SUMIFS('TRA RESID'!$P:$P,'TRA RESID'!$H:$H,$E100,'TRA RESID'!$I:$I,$F100)/SUMIFS('TRA RESID'!$P:$P,'TRA RESID'!$I:$I,$F100)*O100</f>
        <v>#DIV/0!</v>
      </c>
      <c r="L100" s="26"/>
      <c r="M100" s="26"/>
      <c r="N100" s="22"/>
      <c r="O100" s="28">
        <v>0</v>
      </c>
      <c r="Q100" s="23" t="str">
        <f t="shared" si="20"/>
        <v>*</v>
      </c>
      <c r="R100" s="24"/>
      <c r="S100" s="25" t="str">
        <f t="shared" si="22"/>
        <v>TRACNG</v>
      </c>
      <c r="T100" s="25" t="str">
        <f t="shared" si="23"/>
        <v>TRAPASMOTDMD</v>
      </c>
      <c r="U100" s="25" t="str">
        <f t="shared" si="24"/>
        <v>TRAPASMOTDMD</v>
      </c>
      <c r="V100" s="26">
        <v>2050</v>
      </c>
      <c r="W100" s="26" t="str">
        <f>W99</f>
        <v>UP</v>
      </c>
      <c r="X100" s="26"/>
      <c r="Y100" s="27" t="e">
        <f>-MIN(SUMIFS('TRA RESID'!$P:$P,'TRA RESID'!$H:$H,$E100,'TRA RESID'!$I:$I,$F100)/SUMIFS('TRA RESID'!$P:$P,'TRA RESID'!$I:$I,$F100)*AC100,1)</f>
        <v>#DIV/0!</v>
      </c>
      <c r="Z100" s="26"/>
      <c r="AA100" s="26"/>
      <c r="AB100" s="22"/>
      <c r="AC100" s="28">
        <v>3</v>
      </c>
    </row>
    <row r="101" spans="1:29" x14ac:dyDescent="0.25">
      <c r="A101" s="14">
        <f>A97+1</f>
        <v>25</v>
      </c>
      <c r="B101" s="9"/>
      <c r="C101" s="15" t="str">
        <f>IF(E101="","",IF(_xlfn.XLOOKUP($A101,Selected_constraint!$A:$A,Selected_constraint!$D:$D)=1,"*",IF(SUMIFS('TRA TECH'!$M:$M,'TRA TECH'!$H:$H,E101,'TRA TECH'!$I:$I,F101)=0,"*",IF(SUMIFS('TRA RESID'!$P:$P,'TRA RESID'!$H:$H,$E101,'TRA RESID'!$I:$I,$F101)=0,"*","UC_MarketShare_"&amp;LEFT(F101,LEN(F101)-3)&amp;"_"&amp;RIGHT(E101,3)&amp;"_MIN"))))</f>
        <v>*</v>
      </c>
      <c r="D101" s="16"/>
      <c r="E101" s="17" t="str">
        <f>_xlfn.XLOOKUP($A101,Selected_constraint!$A:$A,Selected_constraint!$B:$B)</f>
        <v>TRARNG</v>
      </c>
      <c r="F101" s="17" t="str">
        <f>_xlfn.XLOOKUP($A101,Selected_constraint!$A:$A,Selected_constraint!$C:$C)</f>
        <v>TRAPASMOTDMD</v>
      </c>
      <c r="G101" s="17" t="str">
        <f>F101</f>
        <v>TRAPASMOTDMD</v>
      </c>
      <c r="H101" s="18">
        <v>2019</v>
      </c>
      <c r="I101" s="18" t="s">
        <v>483</v>
      </c>
      <c r="J101" s="18">
        <v>1</v>
      </c>
      <c r="K101" s="20" t="e">
        <f>-SUMIFS('TRA RESID'!$P:$P,'TRA RESID'!$H:$H,$E101,'TRA RESID'!$I:$I,$F101)/SUMIFS('TRA RESID'!$P:$P,'TRA RESID'!$I:$I,$F101)*O101</f>
        <v>#DIV/0!</v>
      </c>
      <c r="L101" s="18">
        <v>0</v>
      </c>
      <c r="M101" s="18">
        <v>5</v>
      </c>
      <c r="N101" s="9"/>
      <c r="O101" s="21">
        <v>0.98</v>
      </c>
      <c r="Q101" s="15" t="str">
        <f t="shared" si="20"/>
        <v>*</v>
      </c>
      <c r="R101" s="16"/>
      <c r="S101" s="17" t="str">
        <f t="shared" si="22"/>
        <v>TRARNG</v>
      </c>
      <c r="T101" s="17" t="str">
        <f t="shared" si="23"/>
        <v>TRAPASMOTDMD</v>
      </c>
      <c r="U101" s="17" t="str">
        <f t="shared" si="24"/>
        <v>TRAPASMOTDMD</v>
      </c>
      <c r="V101" s="18">
        <v>2019</v>
      </c>
      <c r="W101" s="18" t="s">
        <v>484</v>
      </c>
      <c r="X101" s="18">
        <v>1</v>
      </c>
      <c r="Y101" s="20" t="e">
        <f>-MIN(SUMIFS('TRA RESID'!$P:$P,'TRA RESID'!$H:$H,$E101,'TRA RESID'!$I:$I,$F101)/SUMIFS('TRA RESID'!$P:$P,'TRA RESID'!$I:$I,$F101)*AC101,1)</f>
        <v>#DIV/0!</v>
      </c>
      <c r="Z101" s="18">
        <v>0</v>
      </c>
      <c r="AA101" s="18">
        <v>5</v>
      </c>
      <c r="AB101" s="9"/>
      <c r="AC101" s="21">
        <v>1.02</v>
      </c>
    </row>
    <row r="102" spans="1:29" x14ac:dyDescent="0.25">
      <c r="A102" s="9">
        <f>A101</f>
        <v>25</v>
      </c>
      <c r="B102" s="9"/>
      <c r="C102" s="15" t="str">
        <f>IF(C101="*",C101,"")</f>
        <v>*</v>
      </c>
      <c r="D102" s="16"/>
      <c r="E102" s="17" t="str">
        <f t="shared" ref="E102:G104" si="32">E101</f>
        <v>TRARNG</v>
      </c>
      <c r="F102" s="17" t="str">
        <f t="shared" si="32"/>
        <v>TRAPASMOTDMD</v>
      </c>
      <c r="G102" s="17" t="str">
        <f t="shared" si="32"/>
        <v>TRAPASMOTDMD</v>
      </c>
      <c r="H102" s="18">
        <v>2025</v>
      </c>
      <c r="I102" s="18" t="str">
        <f>I101</f>
        <v>LO</v>
      </c>
      <c r="J102" s="18"/>
      <c r="K102" s="20" t="e">
        <f>-SUMIFS('TRA RESID'!$P:$P,'TRA RESID'!$H:$H,$E102,'TRA RESID'!$I:$I,$F102)/SUMIFS('TRA RESID'!$P:$P,'TRA RESID'!$I:$I,$F102)*O102</f>
        <v>#DIV/0!</v>
      </c>
      <c r="L102" s="18"/>
      <c r="M102" s="18"/>
      <c r="N102" s="9"/>
      <c r="O102" s="21">
        <v>0.8</v>
      </c>
      <c r="Q102" s="15" t="str">
        <f t="shared" si="20"/>
        <v>*</v>
      </c>
      <c r="R102" s="16"/>
      <c r="S102" s="17" t="str">
        <f t="shared" si="22"/>
        <v>TRARNG</v>
      </c>
      <c r="T102" s="17" t="str">
        <f t="shared" si="23"/>
        <v>TRAPASMOTDMD</v>
      </c>
      <c r="U102" s="17" t="str">
        <f t="shared" si="24"/>
        <v>TRAPASMOTDMD</v>
      </c>
      <c r="V102" s="18">
        <v>2025</v>
      </c>
      <c r="W102" s="18" t="str">
        <f>W101</f>
        <v>UP</v>
      </c>
      <c r="X102" s="18"/>
      <c r="Y102" s="20" t="e">
        <f>-MIN(SUMIFS('TRA RESID'!$P:$P,'TRA RESID'!$H:$H,$E102,'TRA RESID'!$I:$I,$F102)/SUMIFS('TRA RESID'!$P:$P,'TRA RESID'!$I:$I,$F102)*AC102,1)</f>
        <v>#DIV/0!</v>
      </c>
      <c r="Z102" s="18"/>
      <c r="AA102" s="18"/>
      <c r="AB102" s="9"/>
      <c r="AC102" s="21">
        <v>1.2</v>
      </c>
    </row>
    <row r="103" spans="1:29" x14ac:dyDescent="0.25">
      <c r="A103" s="9">
        <f>A102</f>
        <v>25</v>
      </c>
      <c r="B103" s="9"/>
      <c r="C103" s="15" t="str">
        <f>IF(C102="*",C102,"")</f>
        <v>*</v>
      </c>
      <c r="D103" s="16"/>
      <c r="E103" s="17" t="str">
        <f t="shared" si="32"/>
        <v>TRARNG</v>
      </c>
      <c r="F103" s="17" t="str">
        <f t="shared" si="32"/>
        <v>TRAPASMOTDMD</v>
      </c>
      <c r="G103" s="17" t="str">
        <f t="shared" si="32"/>
        <v>TRAPASMOTDMD</v>
      </c>
      <c r="H103" s="18">
        <v>2030</v>
      </c>
      <c r="I103" s="18" t="str">
        <f>I102</f>
        <v>LO</v>
      </c>
      <c r="J103" s="18"/>
      <c r="K103" s="20" t="e">
        <f>-SUMIFS('TRA RESID'!$P:$P,'TRA RESID'!$H:$H,$E103,'TRA RESID'!$I:$I,$F103)/SUMIFS('TRA RESID'!$P:$P,'TRA RESID'!$I:$I,$F103)*O103</f>
        <v>#DIV/0!</v>
      </c>
      <c r="L103" s="18"/>
      <c r="M103" s="18"/>
      <c r="N103" s="9"/>
      <c r="O103" s="21">
        <v>0.2</v>
      </c>
      <c r="Q103" s="15" t="str">
        <f t="shared" si="20"/>
        <v>*</v>
      </c>
      <c r="R103" s="16"/>
      <c r="S103" s="17" t="str">
        <f t="shared" si="22"/>
        <v>TRARNG</v>
      </c>
      <c r="T103" s="17" t="str">
        <f t="shared" si="23"/>
        <v>TRAPASMOTDMD</v>
      </c>
      <c r="U103" s="17" t="str">
        <f t="shared" si="24"/>
        <v>TRAPASMOTDMD</v>
      </c>
      <c r="V103" s="18">
        <v>2030</v>
      </c>
      <c r="W103" s="18" t="str">
        <f>W102</f>
        <v>UP</v>
      </c>
      <c r="X103" s="18"/>
      <c r="Y103" s="20" t="e">
        <f>-MIN(SUMIFS('TRA RESID'!$P:$P,'TRA RESID'!$H:$H,$E103,'TRA RESID'!$I:$I,$F103)/SUMIFS('TRA RESID'!$P:$P,'TRA RESID'!$I:$I,$F103)*AC103,1)</f>
        <v>#DIV/0!</v>
      </c>
      <c r="Z103" s="18"/>
      <c r="AA103" s="18"/>
      <c r="AB103" s="9"/>
      <c r="AC103" s="21">
        <v>1.5</v>
      </c>
    </row>
    <row r="104" spans="1:29" x14ac:dyDescent="0.25">
      <c r="A104" s="22">
        <f>A103</f>
        <v>25</v>
      </c>
      <c r="B104" s="22"/>
      <c r="C104" s="23" t="str">
        <f>IF(C103="*",C103,"")</f>
        <v>*</v>
      </c>
      <c r="D104" s="24"/>
      <c r="E104" s="25" t="str">
        <f t="shared" si="32"/>
        <v>TRARNG</v>
      </c>
      <c r="F104" s="25" t="str">
        <f t="shared" si="32"/>
        <v>TRAPASMOTDMD</v>
      </c>
      <c r="G104" s="25" t="str">
        <f t="shared" si="32"/>
        <v>TRAPASMOTDMD</v>
      </c>
      <c r="H104" s="26">
        <v>2050</v>
      </c>
      <c r="I104" s="26" t="str">
        <f>I103</f>
        <v>LO</v>
      </c>
      <c r="J104" s="26"/>
      <c r="K104" s="27" t="e">
        <f>-SUMIFS('TRA RESID'!$P:$P,'TRA RESID'!$H:$H,$E104,'TRA RESID'!$I:$I,$F104)/SUMIFS('TRA RESID'!$P:$P,'TRA RESID'!$I:$I,$F104)*O104</f>
        <v>#DIV/0!</v>
      </c>
      <c r="L104" s="26"/>
      <c r="M104" s="26"/>
      <c r="N104" s="22"/>
      <c r="O104" s="28">
        <v>0</v>
      </c>
      <c r="Q104" s="23" t="str">
        <f t="shared" si="20"/>
        <v>*</v>
      </c>
      <c r="R104" s="24"/>
      <c r="S104" s="25" t="str">
        <f t="shared" si="22"/>
        <v>TRARNG</v>
      </c>
      <c r="T104" s="25" t="str">
        <f t="shared" si="23"/>
        <v>TRAPASMOTDMD</v>
      </c>
      <c r="U104" s="25" t="str">
        <f t="shared" si="24"/>
        <v>TRAPASMOTDMD</v>
      </c>
      <c r="V104" s="26">
        <v>2050</v>
      </c>
      <c r="W104" s="26" t="str">
        <f>W103</f>
        <v>UP</v>
      </c>
      <c r="X104" s="26"/>
      <c r="Y104" s="27" t="e">
        <f>-MIN(SUMIFS('TRA RESID'!$P:$P,'TRA RESID'!$H:$H,$E104,'TRA RESID'!$I:$I,$F104)/SUMIFS('TRA RESID'!$P:$P,'TRA RESID'!$I:$I,$F104)*AC104,1)</f>
        <v>#DIV/0!</v>
      </c>
      <c r="Z104" s="26"/>
      <c r="AA104" s="26"/>
      <c r="AB104" s="22"/>
      <c r="AC104" s="28">
        <v>3</v>
      </c>
    </row>
    <row r="105" spans="1:29" x14ac:dyDescent="0.25">
      <c r="A105" s="14">
        <f>A101+1</f>
        <v>26</v>
      </c>
      <c r="B105" s="9"/>
      <c r="C105" s="15" t="str">
        <f>IF(E105="","",IF(_xlfn.XLOOKUP($A105,Selected_constraint!$A:$A,Selected_constraint!$D:$D)=1,"*",IF(SUMIFS('TRA TECH'!$M:$M,'TRA TECH'!$H:$H,E105,'TRA TECH'!$I:$I,F105)=0,"*",IF(SUMIFS('TRA RESID'!$P:$P,'TRA RESID'!$H:$H,$E105,'TRA RESID'!$I:$I,$F105)=0,"*","UC_MarketShare_"&amp;LEFT(F105,LEN(F105)-3)&amp;"_"&amp;RIGHT(E105,3)&amp;"_MIN"))))</f>
        <v>*</v>
      </c>
      <c r="D105" s="16"/>
      <c r="E105" s="17" t="str">
        <f>_xlfn.XLOOKUP($A105,Selected_constraint!$A:$A,Selected_constraint!$B:$B)</f>
        <v>TRABAT</v>
      </c>
      <c r="F105" s="17" t="str">
        <f>_xlfn.XLOOKUP($A105,Selected_constraint!$A:$A,Selected_constraint!$C:$C)</f>
        <v>TRAPASMOTDMD</v>
      </c>
      <c r="G105" s="17" t="str">
        <f>F105</f>
        <v>TRAPASMOTDMD</v>
      </c>
      <c r="H105" s="18">
        <v>2019</v>
      </c>
      <c r="I105" s="18" t="s">
        <v>483</v>
      </c>
      <c r="J105" s="18">
        <v>1</v>
      </c>
      <c r="K105" s="20" t="e">
        <f>-SUMIFS('TRA RESID'!$P:$P,'TRA RESID'!$H:$H,$E105,'TRA RESID'!$I:$I,$F105)/SUMIFS('TRA RESID'!$P:$P,'TRA RESID'!$I:$I,$F105)*O105</f>
        <v>#DIV/0!</v>
      </c>
      <c r="L105" s="18">
        <v>0</v>
      </c>
      <c r="M105" s="18">
        <v>5</v>
      </c>
      <c r="N105" s="9"/>
      <c r="O105" s="21">
        <v>0.98</v>
      </c>
      <c r="Q105" s="15" t="str">
        <f t="shared" si="20"/>
        <v>*</v>
      </c>
      <c r="R105" s="16"/>
      <c r="S105" s="17" t="str">
        <f t="shared" si="22"/>
        <v>TRABAT</v>
      </c>
      <c r="T105" s="17" t="str">
        <f t="shared" si="23"/>
        <v>TRAPASMOTDMD</v>
      </c>
      <c r="U105" s="17" t="str">
        <f t="shared" si="24"/>
        <v>TRAPASMOTDMD</v>
      </c>
      <c r="V105" s="18">
        <v>2019</v>
      </c>
      <c r="W105" s="18" t="s">
        <v>484</v>
      </c>
      <c r="X105" s="18">
        <v>1</v>
      </c>
      <c r="Y105" s="20" t="e">
        <f>-MIN(SUMIFS('TRA RESID'!$P:$P,'TRA RESID'!$H:$H,$E105,'TRA RESID'!$I:$I,$F105)/SUMIFS('TRA RESID'!$P:$P,'TRA RESID'!$I:$I,$F105)*AC105,1)</f>
        <v>#DIV/0!</v>
      </c>
      <c r="Z105" s="18">
        <v>0</v>
      </c>
      <c r="AA105" s="18">
        <v>5</v>
      </c>
      <c r="AB105" s="9"/>
      <c r="AC105" s="21">
        <v>1.02</v>
      </c>
    </row>
    <row r="106" spans="1:29" x14ac:dyDescent="0.25">
      <c r="A106" s="9">
        <f>A105</f>
        <v>26</v>
      </c>
      <c r="B106" s="9"/>
      <c r="C106" s="15" t="str">
        <f>IF(C105="*",C105,"")</f>
        <v>*</v>
      </c>
      <c r="D106" s="16"/>
      <c r="E106" s="17" t="str">
        <f t="shared" ref="E106:G108" si="33">E105</f>
        <v>TRABAT</v>
      </c>
      <c r="F106" s="17" t="str">
        <f t="shared" si="33"/>
        <v>TRAPASMOTDMD</v>
      </c>
      <c r="G106" s="17" t="str">
        <f t="shared" si="33"/>
        <v>TRAPASMOTDMD</v>
      </c>
      <c r="H106" s="18">
        <v>2025</v>
      </c>
      <c r="I106" s="18" t="str">
        <f>I105</f>
        <v>LO</v>
      </c>
      <c r="J106" s="18"/>
      <c r="K106" s="20" t="e">
        <f>-SUMIFS('TRA RESID'!$P:$P,'TRA RESID'!$H:$H,$E106,'TRA RESID'!$I:$I,$F106)/SUMIFS('TRA RESID'!$P:$P,'TRA RESID'!$I:$I,$F106)*O106</f>
        <v>#DIV/0!</v>
      </c>
      <c r="L106" s="18"/>
      <c r="M106" s="18"/>
      <c r="N106" s="9"/>
      <c r="O106" s="21">
        <v>1</v>
      </c>
      <c r="Q106" s="15" t="str">
        <f t="shared" si="20"/>
        <v>*</v>
      </c>
      <c r="R106" s="16"/>
      <c r="S106" s="17" t="str">
        <f t="shared" si="22"/>
        <v>TRABAT</v>
      </c>
      <c r="T106" s="17" t="str">
        <f t="shared" si="23"/>
        <v>TRAPASMOTDMD</v>
      </c>
      <c r="U106" s="17" t="str">
        <f t="shared" si="24"/>
        <v>TRAPASMOTDMD</v>
      </c>
      <c r="V106" s="18">
        <v>2025</v>
      </c>
      <c r="W106" s="18" t="str">
        <f>W105</f>
        <v>UP</v>
      </c>
      <c r="X106" s="18"/>
      <c r="Y106" s="20" t="e">
        <f>-MIN(SUMIFS('TRA RESID'!$P:$P,'TRA RESID'!$H:$H,$E106,'TRA RESID'!$I:$I,$F106)/SUMIFS('TRA RESID'!$P:$P,'TRA RESID'!$I:$I,$F106)*AC106,1)</f>
        <v>#DIV/0!</v>
      </c>
      <c r="Z106" s="18"/>
      <c r="AA106" s="18"/>
      <c r="AB106" s="9"/>
      <c r="AC106" s="21">
        <v>20</v>
      </c>
    </row>
    <row r="107" spans="1:29" x14ac:dyDescent="0.25">
      <c r="A107" s="9">
        <f>A106</f>
        <v>26</v>
      </c>
      <c r="B107" s="9"/>
      <c r="C107" s="15" t="str">
        <f>IF(C106="*",C106,"")</f>
        <v>*</v>
      </c>
      <c r="D107" s="16"/>
      <c r="E107" s="17" t="str">
        <f t="shared" si="33"/>
        <v>TRABAT</v>
      </c>
      <c r="F107" s="17" t="str">
        <f t="shared" si="33"/>
        <v>TRAPASMOTDMD</v>
      </c>
      <c r="G107" s="17" t="str">
        <f t="shared" si="33"/>
        <v>TRAPASMOTDMD</v>
      </c>
      <c r="H107" s="18">
        <v>2030</v>
      </c>
      <c r="I107" s="18" t="str">
        <f>I106</f>
        <v>LO</v>
      </c>
      <c r="J107" s="18"/>
      <c r="K107" s="20" t="e">
        <f>-SUMIFS('TRA RESID'!$P:$P,'TRA RESID'!$H:$H,$E107,'TRA RESID'!$I:$I,$F107)/SUMIFS('TRA RESID'!$P:$P,'TRA RESID'!$I:$I,$F107)*O107</f>
        <v>#DIV/0!</v>
      </c>
      <c r="L107" s="18"/>
      <c r="M107" s="18"/>
      <c r="N107" s="9"/>
      <c r="O107" s="21">
        <v>1</v>
      </c>
      <c r="Q107" s="15" t="str">
        <f t="shared" si="20"/>
        <v>*</v>
      </c>
      <c r="R107" s="16"/>
      <c r="S107" s="17" t="str">
        <f t="shared" si="22"/>
        <v>TRABAT</v>
      </c>
      <c r="T107" s="17" t="str">
        <f t="shared" si="23"/>
        <v>TRAPASMOTDMD</v>
      </c>
      <c r="U107" s="17" t="str">
        <f t="shared" si="24"/>
        <v>TRAPASMOTDMD</v>
      </c>
      <c r="V107" s="18">
        <v>2030</v>
      </c>
      <c r="W107" s="18" t="str">
        <f>W106</f>
        <v>UP</v>
      </c>
      <c r="X107" s="18"/>
      <c r="Y107" s="20" t="e">
        <f>-MIN(SUMIFS('TRA RESID'!$P:$P,'TRA RESID'!$H:$H,$E107,'TRA RESID'!$I:$I,$F107)/SUMIFS('TRA RESID'!$P:$P,'TRA RESID'!$I:$I,$F107)*AC107,1)</f>
        <v>#DIV/0!</v>
      </c>
      <c r="Z107" s="18"/>
      <c r="AA107" s="18"/>
      <c r="AB107" s="9"/>
      <c r="AC107" s="21">
        <v>50</v>
      </c>
    </row>
    <row r="108" spans="1:29" x14ac:dyDescent="0.25">
      <c r="A108" s="22">
        <f>A107</f>
        <v>26</v>
      </c>
      <c r="B108" s="22"/>
      <c r="C108" s="23" t="str">
        <f>IF(C107="*",C107,"")</f>
        <v>*</v>
      </c>
      <c r="D108" s="24"/>
      <c r="E108" s="25" t="str">
        <f t="shared" si="33"/>
        <v>TRABAT</v>
      </c>
      <c r="F108" s="25" t="str">
        <f t="shared" si="33"/>
        <v>TRAPASMOTDMD</v>
      </c>
      <c r="G108" s="25" t="str">
        <f t="shared" si="33"/>
        <v>TRAPASMOTDMD</v>
      </c>
      <c r="H108" s="26">
        <v>2050</v>
      </c>
      <c r="I108" s="26" t="str">
        <f>I107</f>
        <v>LO</v>
      </c>
      <c r="J108" s="26"/>
      <c r="K108" s="27" t="e">
        <f>-SUMIFS('TRA RESID'!$P:$P,'TRA RESID'!$H:$H,$E108,'TRA RESID'!$I:$I,$F108)/SUMIFS('TRA RESID'!$P:$P,'TRA RESID'!$I:$I,$F108)*O108</f>
        <v>#DIV/0!</v>
      </c>
      <c r="L108" s="26"/>
      <c r="M108" s="26"/>
      <c r="N108" s="22"/>
      <c r="O108" s="28">
        <v>1</v>
      </c>
      <c r="Q108" s="23" t="str">
        <f t="shared" si="20"/>
        <v>*</v>
      </c>
      <c r="R108" s="24"/>
      <c r="S108" s="25" t="str">
        <f t="shared" si="22"/>
        <v>TRABAT</v>
      </c>
      <c r="T108" s="25" t="str">
        <f t="shared" si="23"/>
        <v>TRAPASMOTDMD</v>
      </c>
      <c r="U108" s="25" t="str">
        <f t="shared" si="24"/>
        <v>TRAPASMOTDMD</v>
      </c>
      <c r="V108" s="26">
        <v>2050</v>
      </c>
      <c r="W108" s="26" t="str">
        <f>W107</f>
        <v>UP</v>
      </c>
      <c r="X108" s="26"/>
      <c r="Y108" s="27" t="e">
        <f>-MIN(SUMIFS('TRA RESID'!$P:$P,'TRA RESID'!$H:$H,$E108,'TRA RESID'!$I:$I,$F108)/SUMIFS('TRA RESID'!$P:$P,'TRA RESID'!$I:$I,$F108)*AC108,1)</f>
        <v>#DIV/0!</v>
      </c>
      <c r="Z108" s="26"/>
      <c r="AA108" s="26"/>
      <c r="AB108" s="22"/>
      <c r="AC108" s="28">
        <v>150</v>
      </c>
    </row>
    <row r="109" spans="1:29" x14ac:dyDescent="0.25">
      <c r="A109" s="14">
        <f>A105+1</f>
        <v>27</v>
      </c>
      <c r="B109" s="9"/>
      <c r="C109" s="15" t="str">
        <f>IF(E109="","",IF(_xlfn.XLOOKUP($A109,Selected_constraint!$A:$A,Selected_constraint!$D:$D)=1,"*",IF(SUMIFS('TRA TECH'!$M:$M,'TRA TECH'!$H:$H,E109,'TRA TECH'!$I:$I,F109)=0,"*",IF(SUMIFS('TRA RESID'!$P:$P,'TRA RESID'!$H:$H,$E109,'TRA RESID'!$I:$I,$F109)=0,"*","UC_MarketShare_"&amp;LEFT(F109,LEN(F109)-3)&amp;"_"&amp;RIGHT(E109,3)&amp;"_MIN"))))</f>
        <v>*</v>
      </c>
      <c r="D109" s="16"/>
      <c r="E109" s="17" t="str">
        <f>_xlfn.XLOOKUP($A109,Selected_constraint!$A:$A,Selected_constraint!$B:$B)</f>
        <v>TRAH2G</v>
      </c>
      <c r="F109" s="17" t="str">
        <f>_xlfn.XLOOKUP($A109,Selected_constraint!$A:$A,Selected_constraint!$C:$C)</f>
        <v>TRAPASMOTDMD</v>
      </c>
      <c r="G109" s="17" t="str">
        <f>F109</f>
        <v>TRAPASMOTDMD</v>
      </c>
      <c r="H109" s="18">
        <v>2019</v>
      </c>
      <c r="I109" s="18" t="s">
        <v>483</v>
      </c>
      <c r="J109" s="18">
        <v>1</v>
      </c>
      <c r="K109" s="20" t="e">
        <f>-SUMIFS('TRA RESID'!$P:$P,'TRA RESID'!$H:$H,$E109,'TRA RESID'!$I:$I,$F109)/SUMIFS('TRA RESID'!$P:$P,'TRA RESID'!$I:$I,$F109)*O109</f>
        <v>#DIV/0!</v>
      </c>
      <c r="L109" s="18">
        <v>0</v>
      </c>
      <c r="M109" s="18">
        <v>5</v>
      </c>
      <c r="N109" s="9"/>
      <c r="O109" s="21">
        <v>0.98</v>
      </c>
      <c r="Q109" s="15" t="str">
        <f t="shared" si="20"/>
        <v>*</v>
      </c>
      <c r="R109" s="16"/>
      <c r="S109" s="17" t="str">
        <f t="shared" si="22"/>
        <v>TRAH2G</v>
      </c>
      <c r="T109" s="17" t="str">
        <f t="shared" si="23"/>
        <v>TRAPASMOTDMD</v>
      </c>
      <c r="U109" s="17" t="str">
        <f t="shared" si="24"/>
        <v>TRAPASMOTDMD</v>
      </c>
      <c r="V109" s="18">
        <v>2019</v>
      </c>
      <c r="W109" s="18" t="s">
        <v>484</v>
      </c>
      <c r="X109" s="18">
        <v>1</v>
      </c>
      <c r="Y109" s="20" t="e">
        <f>-MIN(SUMIFS('TRA RESID'!$P:$P,'TRA RESID'!$H:$H,$E109,'TRA RESID'!$I:$I,$F109)/SUMIFS('TRA RESID'!$P:$P,'TRA RESID'!$I:$I,$F109)*AC109,1)</f>
        <v>#DIV/0!</v>
      </c>
      <c r="Z109" s="18">
        <v>0</v>
      </c>
      <c r="AA109" s="18">
        <v>5</v>
      </c>
      <c r="AB109" s="9"/>
      <c r="AC109" s="21">
        <v>1.02</v>
      </c>
    </row>
    <row r="110" spans="1:29" x14ac:dyDescent="0.25">
      <c r="A110" s="9">
        <f>A109</f>
        <v>27</v>
      </c>
      <c r="B110" s="9"/>
      <c r="C110" s="15" t="str">
        <f>IF(C109="*",C109,"")</f>
        <v>*</v>
      </c>
      <c r="D110" s="16"/>
      <c r="E110" s="17" t="str">
        <f t="shared" ref="E110:G112" si="34">E109</f>
        <v>TRAH2G</v>
      </c>
      <c r="F110" s="17" t="str">
        <f t="shared" si="34"/>
        <v>TRAPASMOTDMD</v>
      </c>
      <c r="G110" s="17" t="str">
        <f t="shared" si="34"/>
        <v>TRAPASMOTDMD</v>
      </c>
      <c r="H110" s="18">
        <v>2025</v>
      </c>
      <c r="I110" s="18" t="str">
        <f>I109</f>
        <v>LO</v>
      </c>
      <c r="J110" s="18"/>
      <c r="K110" s="20" t="e">
        <f>-SUMIFS('TRA RESID'!$P:$P,'TRA RESID'!$H:$H,$E110,'TRA RESID'!$I:$I,$F110)/SUMIFS('TRA RESID'!$P:$P,'TRA RESID'!$I:$I,$F110)*O110</f>
        <v>#DIV/0!</v>
      </c>
      <c r="L110" s="18"/>
      <c r="M110" s="18"/>
      <c r="N110" s="9"/>
      <c r="O110" s="21">
        <v>0.8</v>
      </c>
      <c r="Q110" s="15" t="str">
        <f t="shared" si="20"/>
        <v>*</v>
      </c>
      <c r="R110" s="16"/>
      <c r="S110" s="17" t="str">
        <f t="shared" si="22"/>
        <v>TRAH2G</v>
      </c>
      <c r="T110" s="17" t="str">
        <f t="shared" si="23"/>
        <v>TRAPASMOTDMD</v>
      </c>
      <c r="U110" s="17" t="str">
        <f t="shared" si="24"/>
        <v>TRAPASMOTDMD</v>
      </c>
      <c r="V110" s="18">
        <v>2025</v>
      </c>
      <c r="W110" s="18" t="str">
        <f>W109</f>
        <v>UP</v>
      </c>
      <c r="X110" s="18"/>
      <c r="Y110" s="20" t="e">
        <f>-MIN(SUMIFS('TRA RESID'!$P:$P,'TRA RESID'!$H:$H,$E110,'TRA RESID'!$I:$I,$F110)/SUMIFS('TRA RESID'!$P:$P,'TRA RESID'!$I:$I,$F110)*AC110,1)</f>
        <v>#DIV/0!</v>
      </c>
      <c r="Z110" s="18"/>
      <c r="AA110" s="18"/>
      <c r="AB110" s="9"/>
      <c r="AC110" s="21">
        <v>1.2</v>
      </c>
    </row>
    <row r="111" spans="1:29" x14ac:dyDescent="0.25">
      <c r="A111" s="9">
        <f>A110</f>
        <v>27</v>
      </c>
      <c r="B111" s="9"/>
      <c r="C111" s="15" t="str">
        <f>IF(C110="*",C110,"")</f>
        <v>*</v>
      </c>
      <c r="D111" s="16"/>
      <c r="E111" s="17" t="str">
        <f t="shared" si="34"/>
        <v>TRAH2G</v>
      </c>
      <c r="F111" s="17" t="str">
        <f t="shared" si="34"/>
        <v>TRAPASMOTDMD</v>
      </c>
      <c r="G111" s="17" t="str">
        <f t="shared" si="34"/>
        <v>TRAPASMOTDMD</v>
      </c>
      <c r="H111" s="18">
        <v>2030</v>
      </c>
      <c r="I111" s="18" t="str">
        <f>I110</f>
        <v>LO</v>
      </c>
      <c r="J111" s="18"/>
      <c r="K111" s="20" t="e">
        <f>-SUMIFS('TRA RESID'!$P:$P,'TRA RESID'!$H:$H,$E111,'TRA RESID'!$I:$I,$F111)/SUMIFS('TRA RESID'!$P:$P,'TRA RESID'!$I:$I,$F111)*O111</f>
        <v>#DIV/0!</v>
      </c>
      <c r="L111" s="18"/>
      <c r="M111" s="18"/>
      <c r="N111" s="9"/>
      <c r="O111" s="21">
        <v>0.2</v>
      </c>
      <c r="Q111" s="15" t="str">
        <f t="shared" si="20"/>
        <v>*</v>
      </c>
      <c r="R111" s="16"/>
      <c r="S111" s="17" t="str">
        <f t="shared" si="22"/>
        <v>TRAH2G</v>
      </c>
      <c r="T111" s="17" t="str">
        <f t="shared" si="23"/>
        <v>TRAPASMOTDMD</v>
      </c>
      <c r="U111" s="17" t="str">
        <f t="shared" si="24"/>
        <v>TRAPASMOTDMD</v>
      </c>
      <c r="V111" s="18">
        <v>2030</v>
      </c>
      <c r="W111" s="18" t="str">
        <f>W110</f>
        <v>UP</v>
      </c>
      <c r="X111" s="18"/>
      <c r="Y111" s="20" t="e">
        <f>-MIN(SUMIFS('TRA RESID'!$P:$P,'TRA RESID'!$H:$H,$E111,'TRA RESID'!$I:$I,$F111)/SUMIFS('TRA RESID'!$P:$P,'TRA RESID'!$I:$I,$F111)*AC111,1)</f>
        <v>#DIV/0!</v>
      </c>
      <c r="Z111" s="18"/>
      <c r="AA111" s="18"/>
      <c r="AB111" s="9"/>
      <c r="AC111" s="21">
        <v>1.5</v>
      </c>
    </row>
    <row r="112" spans="1:29" x14ac:dyDescent="0.25">
      <c r="A112" s="22">
        <f>A111</f>
        <v>27</v>
      </c>
      <c r="B112" s="22"/>
      <c r="C112" s="23" t="str">
        <f>IF(C111="*",C111,"")</f>
        <v>*</v>
      </c>
      <c r="D112" s="24"/>
      <c r="E112" s="25" t="str">
        <f t="shared" si="34"/>
        <v>TRAH2G</v>
      </c>
      <c r="F112" s="25" t="str">
        <f t="shared" si="34"/>
        <v>TRAPASMOTDMD</v>
      </c>
      <c r="G112" s="25" t="str">
        <f t="shared" si="34"/>
        <v>TRAPASMOTDMD</v>
      </c>
      <c r="H112" s="26">
        <v>2050</v>
      </c>
      <c r="I112" s="26" t="str">
        <f>I111</f>
        <v>LO</v>
      </c>
      <c r="J112" s="26"/>
      <c r="K112" s="27" t="e">
        <f>-SUMIFS('TRA RESID'!$P:$P,'TRA RESID'!$H:$H,$E112,'TRA RESID'!$I:$I,$F112)/SUMIFS('TRA RESID'!$P:$P,'TRA RESID'!$I:$I,$F112)*O112</f>
        <v>#DIV/0!</v>
      </c>
      <c r="L112" s="26"/>
      <c r="M112" s="26"/>
      <c r="N112" s="22"/>
      <c r="O112" s="28">
        <v>0</v>
      </c>
      <c r="Q112" s="23" t="str">
        <f t="shared" si="20"/>
        <v>*</v>
      </c>
      <c r="R112" s="24"/>
      <c r="S112" s="25" t="str">
        <f t="shared" si="22"/>
        <v>TRAH2G</v>
      </c>
      <c r="T112" s="25" t="str">
        <f t="shared" si="23"/>
        <v>TRAPASMOTDMD</v>
      </c>
      <c r="U112" s="25" t="str">
        <f t="shared" si="24"/>
        <v>TRAPASMOTDMD</v>
      </c>
      <c r="V112" s="26">
        <v>2050</v>
      </c>
      <c r="W112" s="26" t="str">
        <f>W111</f>
        <v>UP</v>
      </c>
      <c r="X112" s="26"/>
      <c r="Y112" s="27" t="e">
        <f>-MIN(SUMIFS('TRA RESID'!$P:$P,'TRA RESID'!$H:$H,$E112,'TRA RESID'!$I:$I,$F112)/SUMIFS('TRA RESID'!$P:$P,'TRA RESID'!$I:$I,$F112)*AC112,1)</f>
        <v>#DIV/0!</v>
      </c>
      <c r="Z112" s="26"/>
      <c r="AA112" s="26"/>
      <c r="AB112" s="22"/>
      <c r="AC112" s="28">
        <v>3</v>
      </c>
    </row>
    <row r="113" spans="1:29" x14ac:dyDescent="0.25">
      <c r="A113" s="14">
        <f>A109+1</f>
        <v>28</v>
      </c>
      <c r="B113" s="9"/>
      <c r="C113" s="15" t="str">
        <f>IF(E113="","",IF(_xlfn.XLOOKUP($A113,Selected_constraint!$A:$A,Selected_constraint!$D:$D)=1,"*",IF(SUMIFS('TRA TECH'!$M:$M,'TRA TECH'!$H:$H,E113,'TRA TECH'!$I:$I,F113)=0,"*",IF(SUMIFS('TRA RESID'!$P:$P,'TRA RESID'!$H:$H,$E113,'TRA RESID'!$I:$I,$F113)=0,"*","UC_MarketShare_"&amp;LEFT(F113,LEN(F113)-3)&amp;"_"&amp;RIGHT(E113,3)&amp;"_MIN"))))</f>
        <v>UC_MarketShare_TRAFRECLT_GSL_MIN</v>
      </c>
      <c r="D113" s="16"/>
      <c r="E113" s="17" t="str">
        <f>_xlfn.XLOOKUP($A113,Selected_constraint!$A:$A,Selected_constraint!$B:$B)</f>
        <v>TRAGSL</v>
      </c>
      <c r="F113" s="17" t="str">
        <f>_xlfn.XLOOKUP($A113,Selected_constraint!$A:$A,Selected_constraint!$C:$C)</f>
        <v>TRAFRECLTDMD</v>
      </c>
      <c r="G113" s="17" t="str">
        <f>F113</f>
        <v>TRAFRECLTDMD</v>
      </c>
      <c r="H113" s="18">
        <v>2019</v>
      </c>
      <c r="I113" s="18" t="s">
        <v>483</v>
      </c>
      <c r="J113" s="18">
        <v>1</v>
      </c>
      <c r="K113" s="20">
        <f>-SUMIFS('TRA RESID'!$P:$P,'TRA RESID'!$H:$H,$E113,'TRA RESID'!$I:$I,$F113)/SUMIFS('TRA RESID'!$P:$P,'TRA RESID'!$I:$I,$F113)*O113</f>
        <v>-0.81353263160386324</v>
      </c>
      <c r="L113" s="18">
        <v>0</v>
      </c>
      <c r="M113" s="18">
        <v>5</v>
      </c>
      <c r="N113" s="9"/>
      <c r="O113" s="21">
        <v>0.98</v>
      </c>
      <c r="Q113" s="15" t="str">
        <f t="shared" si="20"/>
        <v>UC_MarketShare_TRAFRECLT_GSL_MAX</v>
      </c>
      <c r="R113" s="16"/>
      <c r="S113" s="17" t="str">
        <f t="shared" si="22"/>
        <v>TRAGSL</v>
      </c>
      <c r="T113" s="17" t="str">
        <f t="shared" si="23"/>
        <v>TRAFRECLTDMD</v>
      </c>
      <c r="U113" s="17" t="str">
        <f t="shared" si="24"/>
        <v>TRAFRECLTDMD</v>
      </c>
      <c r="V113" s="18">
        <v>2019</v>
      </c>
      <c r="W113" s="18" t="s">
        <v>484</v>
      </c>
      <c r="X113" s="18">
        <v>1</v>
      </c>
      <c r="Y113" s="20">
        <f>-MIN(SUMIFS('TRA RESID'!$P:$P,'TRA RESID'!$H:$H,$E113,'TRA RESID'!$I:$I,$F113)/SUMIFS('TRA RESID'!$P:$P,'TRA RESID'!$I:$I,$F113)*AC113,1)</f>
        <v>-0.84673804513871487</v>
      </c>
      <c r="Z113" s="18">
        <v>0</v>
      </c>
      <c r="AA113" s="18">
        <v>5</v>
      </c>
      <c r="AB113" s="9"/>
      <c r="AC113" s="21">
        <v>1.02</v>
      </c>
    </row>
    <row r="114" spans="1:29" x14ac:dyDescent="0.25">
      <c r="A114" s="9">
        <f>A113</f>
        <v>28</v>
      </c>
      <c r="B114" s="9"/>
      <c r="C114" s="15" t="str">
        <f>IF(C113="*",C113,"")</f>
        <v/>
      </c>
      <c r="D114" s="16"/>
      <c r="E114" s="17" t="str">
        <f t="shared" ref="E114:G116" si="35">E113</f>
        <v>TRAGSL</v>
      </c>
      <c r="F114" s="17" t="str">
        <f t="shared" si="35"/>
        <v>TRAFRECLTDMD</v>
      </c>
      <c r="G114" s="17" t="str">
        <f t="shared" si="35"/>
        <v>TRAFRECLTDMD</v>
      </c>
      <c r="H114" s="18">
        <v>2025</v>
      </c>
      <c r="I114" s="18" t="str">
        <f>I113</f>
        <v>LO</v>
      </c>
      <c r="J114" s="18"/>
      <c r="K114" s="20">
        <f>-SUMIFS('TRA RESID'!$P:$P,'TRA RESID'!$H:$H,$E114,'TRA RESID'!$I:$I,$F114)/SUMIFS('TRA RESID'!$P:$P,'TRA RESID'!$I:$I,$F114)*O114</f>
        <v>-0.66410827069703127</v>
      </c>
      <c r="L114" s="18"/>
      <c r="M114" s="18"/>
      <c r="N114" s="9"/>
      <c r="O114" s="21">
        <v>0.8</v>
      </c>
      <c r="Q114" s="15" t="str">
        <f t="shared" si="20"/>
        <v/>
      </c>
      <c r="R114" s="16"/>
      <c r="S114" s="17" t="str">
        <f t="shared" si="22"/>
        <v>TRAGSL</v>
      </c>
      <c r="T114" s="17" t="str">
        <f t="shared" si="23"/>
        <v>TRAFRECLTDMD</v>
      </c>
      <c r="U114" s="17" t="str">
        <f t="shared" si="24"/>
        <v>TRAFRECLTDMD</v>
      </c>
      <c r="V114" s="18">
        <v>2025</v>
      </c>
      <c r="W114" s="18" t="str">
        <f>W113</f>
        <v>UP</v>
      </c>
      <c r="X114" s="18"/>
      <c r="Y114" s="20">
        <f>-MIN(SUMIFS('TRA RESID'!$P:$P,'TRA RESID'!$H:$H,$E114,'TRA RESID'!$I:$I,$F114)/SUMIFS('TRA RESID'!$P:$P,'TRA RESID'!$I:$I,$F114)*AC114,1)</f>
        <v>-0.99616240604554684</v>
      </c>
      <c r="Z114" s="18"/>
      <c r="AA114" s="18"/>
      <c r="AB114" s="9"/>
      <c r="AC114" s="21">
        <v>1.2</v>
      </c>
    </row>
    <row r="115" spans="1:29" x14ac:dyDescent="0.25">
      <c r="A115" s="9">
        <f>A114</f>
        <v>28</v>
      </c>
      <c r="B115" s="9"/>
      <c r="C115" s="15" t="str">
        <f>IF(C114="*",C114,"")</f>
        <v/>
      </c>
      <c r="D115" s="16"/>
      <c r="E115" s="17" t="str">
        <f t="shared" si="35"/>
        <v>TRAGSL</v>
      </c>
      <c r="F115" s="17" t="str">
        <f t="shared" si="35"/>
        <v>TRAFRECLTDMD</v>
      </c>
      <c r="G115" s="17" t="str">
        <f t="shared" si="35"/>
        <v>TRAFRECLTDMD</v>
      </c>
      <c r="H115" s="18">
        <v>2030</v>
      </c>
      <c r="I115" s="18" t="str">
        <f>I114</f>
        <v>LO</v>
      </c>
      <c r="J115" s="18"/>
      <c r="K115" s="20">
        <f>-SUMIFS('TRA RESID'!$P:$P,'TRA RESID'!$H:$H,$E115,'TRA RESID'!$I:$I,$F115)/SUMIFS('TRA RESID'!$P:$P,'TRA RESID'!$I:$I,$F115)*O115</f>
        <v>-0.16602706767425782</v>
      </c>
      <c r="L115" s="18"/>
      <c r="M115" s="18"/>
      <c r="N115" s="9"/>
      <c r="O115" s="21">
        <v>0.2</v>
      </c>
      <c r="Q115" s="15" t="str">
        <f t="shared" si="20"/>
        <v/>
      </c>
      <c r="R115" s="16"/>
      <c r="S115" s="17" t="str">
        <f t="shared" si="22"/>
        <v>TRAGSL</v>
      </c>
      <c r="T115" s="17" t="str">
        <f t="shared" si="23"/>
        <v>TRAFRECLTDMD</v>
      </c>
      <c r="U115" s="17" t="str">
        <f t="shared" si="24"/>
        <v>TRAFRECLTDMD</v>
      </c>
      <c r="V115" s="18">
        <v>2030</v>
      </c>
      <c r="W115" s="18" t="str">
        <f>W114</f>
        <v>UP</v>
      </c>
      <c r="X115" s="18"/>
      <c r="Y115" s="20">
        <f>-MIN(SUMIFS('TRA RESID'!$P:$P,'TRA RESID'!$H:$H,$E115,'TRA RESID'!$I:$I,$F115)/SUMIFS('TRA RESID'!$P:$P,'TRA RESID'!$I:$I,$F115)*AC115,1)</f>
        <v>-1</v>
      </c>
      <c r="Z115" s="18"/>
      <c r="AA115" s="18"/>
      <c r="AB115" s="9"/>
      <c r="AC115" s="21">
        <v>1.5</v>
      </c>
    </row>
    <row r="116" spans="1:29" x14ac:dyDescent="0.25">
      <c r="A116" s="22">
        <f>A115</f>
        <v>28</v>
      </c>
      <c r="B116" s="22"/>
      <c r="C116" s="23" t="str">
        <f>IF(C115="*",C115,"")</f>
        <v/>
      </c>
      <c r="D116" s="24"/>
      <c r="E116" s="25" t="str">
        <f t="shared" si="35"/>
        <v>TRAGSL</v>
      </c>
      <c r="F116" s="25" t="str">
        <f t="shared" si="35"/>
        <v>TRAFRECLTDMD</v>
      </c>
      <c r="G116" s="25" t="str">
        <f t="shared" si="35"/>
        <v>TRAFRECLTDMD</v>
      </c>
      <c r="H116" s="26">
        <v>2050</v>
      </c>
      <c r="I116" s="26" t="str">
        <f>I115</f>
        <v>LO</v>
      </c>
      <c r="J116" s="26"/>
      <c r="K116" s="27">
        <f>-SUMIFS('TRA RESID'!$P:$P,'TRA RESID'!$H:$H,$E116,'TRA RESID'!$I:$I,$F116)/SUMIFS('TRA RESID'!$P:$P,'TRA RESID'!$I:$I,$F116)*O116</f>
        <v>0</v>
      </c>
      <c r="L116" s="26"/>
      <c r="M116" s="26"/>
      <c r="N116" s="22"/>
      <c r="O116" s="28">
        <v>0</v>
      </c>
      <c r="Q116" s="23" t="str">
        <f t="shared" si="20"/>
        <v/>
      </c>
      <c r="R116" s="24"/>
      <c r="S116" s="25" t="str">
        <f t="shared" si="22"/>
        <v>TRAGSL</v>
      </c>
      <c r="T116" s="25" t="str">
        <f t="shared" si="23"/>
        <v>TRAFRECLTDMD</v>
      </c>
      <c r="U116" s="25" t="str">
        <f t="shared" si="24"/>
        <v>TRAFRECLTDMD</v>
      </c>
      <c r="V116" s="26">
        <v>2050</v>
      </c>
      <c r="W116" s="26" t="str">
        <f>W115</f>
        <v>UP</v>
      </c>
      <c r="X116" s="26"/>
      <c r="Y116" s="27">
        <f>-MIN(SUMIFS('TRA RESID'!$P:$P,'TRA RESID'!$H:$H,$E116,'TRA RESID'!$I:$I,$F116)/SUMIFS('TRA RESID'!$P:$P,'TRA RESID'!$I:$I,$F116)*AC116,1)</f>
        <v>-1</v>
      </c>
      <c r="Z116" s="26"/>
      <c r="AA116" s="26"/>
      <c r="AB116" s="22"/>
      <c r="AC116" s="28">
        <v>3</v>
      </c>
    </row>
    <row r="117" spans="1:29" x14ac:dyDescent="0.25">
      <c r="A117" s="14">
        <f>A113+1</f>
        <v>29</v>
      </c>
      <c r="B117" s="9"/>
      <c r="C117" s="15" t="str">
        <f>IF(E117="","",IF(_xlfn.XLOOKUP($A117,Selected_constraint!$A:$A,Selected_constraint!$D:$D)=1,"*",IF(SUMIFS('TRA TECH'!$M:$M,'TRA TECH'!$H:$H,E117,'TRA TECH'!$I:$I,F117)=0,"*",IF(SUMIFS('TRA RESID'!$P:$P,'TRA RESID'!$H:$H,$E117,'TRA RESID'!$I:$I,$F117)=0,"*","UC_MarketShare_"&amp;LEFT(F117,LEN(F117)-3)&amp;"_"&amp;RIGHT(E117,3)&amp;"_MIN"))))</f>
        <v>*</v>
      </c>
      <c r="D117" s="16"/>
      <c r="E117" s="17" t="str">
        <f>_xlfn.XLOOKUP($A117,Selected_constraint!$A:$A,Selected_constraint!$B:$B)</f>
        <v>TRAETH</v>
      </c>
      <c r="F117" s="17" t="str">
        <f>_xlfn.XLOOKUP($A117,Selected_constraint!$A:$A,Selected_constraint!$C:$C)</f>
        <v>TRAFRECLTDMD</v>
      </c>
      <c r="G117" s="17" t="str">
        <f>F117</f>
        <v>TRAFRECLTDMD</v>
      </c>
      <c r="H117" s="18">
        <v>2019</v>
      </c>
      <c r="I117" s="18" t="s">
        <v>483</v>
      </c>
      <c r="J117" s="18">
        <v>1</v>
      </c>
      <c r="K117" s="20">
        <f>-SUMIFS('TRA RESID'!$P:$P,'TRA RESID'!$H:$H,$E117,'TRA RESID'!$I:$I,$F117)/SUMIFS('TRA RESID'!$P:$P,'TRA RESID'!$I:$I,$F117)*O117</f>
        <v>0</v>
      </c>
      <c r="L117" s="18">
        <v>0</v>
      </c>
      <c r="M117" s="18">
        <v>5</v>
      </c>
      <c r="N117" s="9"/>
      <c r="O117" s="21">
        <v>0.98</v>
      </c>
      <c r="Q117" s="15" t="str">
        <f t="shared" si="20"/>
        <v>*</v>
      </c>
      <c r="R117" s="16"/>
      <c r="S117" s="17" t="str">
        <f t="shared" si="22"/>
        <v>TRAETH</v>
      </c>
      <c r="T117" s="17" t="str">
        <f t="shared" si="23"/>
        <v>TRAFRECLTDMD</v>
      </c>
      <c r="U117" s="17" t="str">
        <f t="shared" si="24"/>
        <v>TRAFRECLTDMD</v>
      </c>
      <c r="V117" s="18">
        <v>2019</v>
      </c>
      <c r="W117" s="18" t="s">
        <v>484</v>
      </c>
      <c r="X117" s="18">
        <v>1</v>
      </c>
      <c r="Y117" s="20">
        <f>-MIN(SUMIFS('TRA RESID'!$P:$P,'TRA RESID'!$H:$H,$E117,'TRA RESID'!$I:$I,$F117)/SUMIFS('TRA RESID'!$P:$P,'TRA RESID'!$I:$I,$F117)*AC117,1)</f>
        <v>0</v>
      </c>
      <c r="Z117" s="18">
        <v>0</v>
      </c>
      <c r="AA117" s="18">
        <v>5</v>
      </c>
      <c r="AB117" s="9"/>
      <c r="AC117" s="21">
        <v>1.02</v>
      </c>
    </row>
    <row r="118" spans="1:29" x14ac:dyDescent="0.25">
      <c r="A118" s="9">
        <f>A117</f>
        <v>29</v>
      </c>
      <c r="B118" s="9"/>
      <c r="C118" s="15" t="str">
        <f>IF(C117="*",C117,"")</f>
        <v>*</v>
      </c>
      <c r="D118" s="16"/>
      <c r="E118" s="17" t="str">
        <f t="shared" ref="E118:G120" si="36">E117</f>
        <v>TRAETH</v>
      </c>
      <c r="F118" s="17" t="str">
        <f t="shared" si="36"/>
        <v>TRAFRECLTDMD</v>
      </c>
      <c r="G118" s="17" t="str">
        <f t="shared" si="36"/>
        <v>TRAFRECLTDMD</v>
      </c>
      <c r="H118" s="18">
        <v>2025</v>
      </c>
      <c r="I118" s="18" t="str">
        <f>I117</f>
        <v>LO</v>
      </c>
      <c r="J118" s="18"/>
      <c r="K118" s="20">
        <f>-SUMIFS('TRA RESID'!$P:$P,'TRA RESID'!$H:$H,$E118,'TRA RESID'!$I:$I,$F118)/SUMIFS('TRA RESID'!$P:$P,'TRA RESID'!$I:$I,$F118)*O118</f>
        <v>0</v>
      </c>
      <c r="L118" s="18"/>
      <c r="M118" s="18"/>
      <c r="N118" s="9"/>
      <c r="O118" s="21">
        <v>0.8</v>
      </c>
      <c r="Q118" s="15" t="str">
        <f t="shared" si="20"/>
        <v>*</v>
      </c>
      <c r="R118" s="16"/>
      <c r="S118" s="17" t="str">
        <f t="shared" si="22"/>
        <v>TRAETH</v>
      </c>
      <c r="T118" s="17" t="str">
        <f t="shared" si="23"/>
        <v>TRAFRECLTDMD</v>
      </c>
      <c r="U118" s="17" t="str">
        <f t="shared" si="24"/>
        <v>TRAFRECLTDMD</v>
      </c>
      <c r="V118" s="18">
        <v>2025</v>
      </c>
      <c r="W118" s="18" t="str">
        <f>W117</f>
        <v>UP</v>
      </c>
      <c r="X118" s="18"/>
      <c r="Y118" s="20">
        <f>-MIN(SUMIFS('TRA RESID'!$P:$P,'TRA RESID'!$H:$H,$E118,'TRA RESID'!$I:$I,$F118)/SUMIFS('TRA RESID'!$P:$P,'TRA RESID'!$I:$I,$F118)*AC118,1)</f>
        <v>0</v>
      </c>
      <c r="Z118" s="18"/>
      <c r="AA118" s="18"/>
      <c r="AB118" s="9"/>
      <c r="AC118" s="21">
        <v>1.2</v>
      </c>
    </row>
    <row r="119" spans="1:29" x14ac:dyDescent="0.25">
      <c r="A119" s="9">
        <f>A118</f>
        <v>29</v>
      </c>
      <c r="B119" s="9"/>
      <c r="C119" s="15" t="str">
        <f>IF(C118="*",C118,"")</f>
        <v>*</v>
      </c>
      <c r="D119" s="16"/>
      <c r="E119" s="17" t="str">
        <f t="shared" si="36"/>
        <v>TRAETH</v>
      </c>
      <c r="F119" s="17" t="str">
        <f t="shared" si="36"/>
        <v>TRAFRECLTDMD</v>
      </c>
      <c r="G119" s="17" t="str">
        <f t="shared" si="36"/>
        <v>TRAFRECLTDMD</v>
      </c>
      <c r="H119" s="18">
        <v>2030</v>
      </c>
      <c r="I119" s="18" t="str">
        <f>I118</f>
        <v>LO</v>
      </c>
      <c r="J119" s="18"/>
      <c r="K119" s="20">
        <f>-SUMIFS('TRA RESID'!$P:$P,'TRA RESID'!$H:$H,$E119,'TRA RESID'!$I:$I,$F119)/SUMIFS('TRA RESID'!$P:$P,'TRA RESID'!$I:$I,$F119)*O119</f>
        <v>0</v>
      </c>
      <c r="L119" s="18"/>
      <c r="M119" s="18"/>
      <c r="N119" s="9"/>
      <c r="O119" s="21">
        <v>0.2</v>
      </c>
      <c r="Q119" s="15" t="str">
        <f t="shared" si="20"/>
        <v>*</v>
      </c>
      <c r="R119" s="16"/>
      <c r="S119" s="17" t="str">
        <f t="shared" si="22"/>
        <v>TRAETH</v>
      </c>
      <c r="T119" s="17" t="str">
        <f t="shared" si="23"/>
        <v>TRAFRECLTDMD</v>
      </c>
      <c r="U119" s="17" t="str">
        <f t="shared" si="24"/>
        <v>TRAFRECLTDMD</v>
      </c>
      <c r="V119" s="18">
        <v>2030</v>
      </c>
      <c r="W119" s="18" t="str">
        <f>W118</f>
        <v>UP</v>
      </c>
      <c r="X119" s="18"/>
      <c r="Y119" s="20">
        <f>-MIN(SUMIFS('TRA RESID'!$P:$P,'TRA RESID'!$H:$H,$E119,'TRA RESID'!$I:$I,$F119)/SUMIFS('TRA RESID'!$P:$P,'TRA RESID'!$I:$I,$F119)*AC119,1)</f>
        <v>0</v>
      </c>
      <c r="Z119" s="18"/>
      <c r="AA119" s="18"/>
      <c r="AB119" s="9"/>
      <c r="AC119" s="21">
        <v>1.5</v>
      </c>
    </row>
    <row r="120" spans="1:29" x14ac:dyDescent="0.25">
      <c r="A120" s="22">
        <f>A119</f>
        <v>29</v>
      </c>
      <c r="B120" s="22"/>
      <c r="C120" s="23" t="str">
        <f>IF(C119="*",C119,"")</f>
        <v>*</v>
      </c>
      <c r="D120" s="24"/>
      <c r="E120" s="25" t="str">
        <f t="shared" si="36"/>
        <v>TRAETH</v>
      </c>
      <c r="F120" s="25" t="str">
        <f t="shared" si="36"/>
        <v>TRAFRECLTDMD</v>
      </c>
      <c r="G120" s="25" t="str">
        <f t="shared" si="36"/>
        <v>TRAFRECLTDMD</v>
      </c>
      <c r="H120" s="26">
        <v>2050</v>
      </c>
      <c r="I120" s="26" t="str">
        <f>I119</f>
        <v>LO</v>
      </c>
      <c r="J120" s="26"/>
      <c r="K120" s="27">
        <f>-SUMIFS('TRA RESID'!$P:$P,'TRA RESID'!$H:$H,$E120,'TRA RESID'!$I:$I,$F120)/SUMIFS('TRA RESID'!$P:$P,'TRA RESID'!$I:$I,$F120)*O120</f>
        <v>0</v>
      </c>
      <c r="L120" s="26"/>
      <c r="M120" s="26"/>
      <c r="N120" s="22"/>
      <c r="O120" s="28">
        <v>0</v>
      </c>
      <c r="Q120" s="23" t="str">
        <f t="shared" si="20"/>
        <v>*</v>
      </c>
      <c r="R120" s="24"/>
      <c r="S120" s="25" t="str">
        <f t="shared" si="22"/>
        <v>TRAETH</v>
      </c>
      <c r="T120" s="25" t="str">
        <f t="shared" si="23"/>
        <v>TRAFRECLTDMD</v>
      </c>
      <c r="U120" s="25" t="str">
        <f t="shared" si="24"/>
        <v>TRAFRECLTDMD</v>
      </c>
      <c r="V120" s="26">
        <v>2050</v>
      </c>
      <c r="W120" s="26" t="str">
        <f>W119</f>
        <v>UP</v>
      </c>
      <c r="X120" s="26"/>
      <c r="Y120" s="27">
        <f>-MIN(SUMIFS('TRA RESID'!$P:$P,'TRA RESID'!$H:$H,$E120,'TRA RESID'!$I:$I,$F120)/SUMIFS('TRA RESID'!$P:$P,'TRA RESID'!$I:$I,$F120)*AC120,1)</f>
        <v>0</v>
      </c>
      <c r="Z120" s="26"/>
      <c r="AA120" s="26"/>
      <c r="AB120" s="22"/>
      <c r="AC120" s="28">
        <v>3</v>
      </c>
    </row>
    <row r="121" spans="1:29" x14ac:dyDescent="0.25">
      <c r="A121" s="14">
        <f>A117+1</f>
        <v>30</v>
      </c>
      <c r="B121" s="9"/>
      <c r="C121" s="15" t="str">
        <f>IF(E121="","",IF(_xlfn.XLOOKUP($A121,Selected_constraint!$A:$A,Selected_constraint!$D:$D)=1,"*",IF(SUMIFS('TRA TECH'!$M:$M,'TRA TECH'!$H:$H,E121,'TRA TECH'!$I:$I,F121)=0,"*",IF(SUMIFS('TRA RESID'!$P:$P,'TRA RESID'!$H:$H,$E121,'TRA RESID'!$I:$I,$F121)=0,"*","UC_MarketShare_"&amp;LEFT(F121,LEN(F121)-3)&amp;"_"&amp;RIGHT(E121,3)&amp;"_MIN"))))</f>
        <v>UC_MarketShare_TRAFRECLT_DSL_MIN</v>
      </c>
      <c r="D121" s="16"/>
      <c r="E121" s="17" t="str">
        <f>_xlfn.XLOOKUP($A121,Selected_constraint!$A:$A,Selected_constraint!$B:$B)</f>
        <v>TRADSL</v>
      </c>
      <c r="F121" s="17" t="str">
        <f>_xlfn.XLOOKUP($A121,Selected_constraint!$A:$A,Selected_constraint!$C:$C)</f>
        <v>TRAFRECLTDMD</v>
      </c>
      <c r="G121" s="17" t="str">
        <f>F121</f>
        <v>TRAFRECLTDMD</v>
      </c>
      <c r="H121" s="18">
        <v>2019</v>
      </c>
      <c r="I121" s="18" t="s">
        <v>483</v>
      </c>
      <c r="J121" s="18">
        <v>1</v>
      </c>
      <c r="K121" s="20">
        <f>-SUMIFS('TRA RESID'!$P:$P,'TRA RESID'!$H:$H,$E121,'TRA RESID'!$I:$I,$F121)/SUMIFS('TRA RESID'!$P:$P,'TRA RESID'!$I:$I,$F121)*O121</f>
        <v>-0.15876250980307638</v>
      </c>
      <c r="L121" s="18">
        <v>0</v>
      </c>
      <c r="M121" s="18">
        <v>5</v>
      </c>
      <c r="N121" s="9"/>
      <c r="O121" s="21">
        <v>0.98</v>
      </c>
      <c r="Q121" s="15" t="str">
        <f t="shared" si="20"/>
        <v>UC_MarketShare_TRAFRECLT_DSL_MAX</v>
      </c>
      <c r="R121" s="16"/>
      <c r="S121" s="17" t="str">
        <f t="shared" si="22"/>
        <v>TRADSL</v>
      </c>
      <c r="T121" s="17" t="str">
        <f t="shared" si="23"/>
        <v>TRAFRECLTDMD</v>
      </c>
      <c r="U121" s="17" t="str">
        <f t="shared" si="24"/>
        <v>TRAFRECLTDMD</v>
      </c>
      <c r="V121" s="18">
        <v>2019</v>
      </c>
      <c r="W121" s="18" t="s">
        <v>484</v>
      </c>
      <c r="X121" s="18">
        <v>1</v>
      </c>
      <c r="Y121" s="20">
        <f>-MIN(SUMIFS('TRA RESID'!$P:$P,'TRA RESID'!$H:$H,$E121,'TRA RESID'!$I:$I,$F121)/SUMIFS('TRA RESID'!$P:$P,'TRA RESID'!$I:$I,$F121)*AC121,1)</f>
        <v>-0.16524261224401826</v>
      </c>
      <c r="Z121" s="18">
        <v>0</v>
      </c>
      <c r="AA121" s="18">
        <v>5</v>
      </c>
      <c r="AB121" s="9"/>
      <c r="AC121" s="21">
        <v>1.02</v>
      </c>
    </row>
    <row r="122" spans="1:29" x14ac:dyDescent="0.25">
      <c r="A122" s="9">
        <f>A121</f>
        <v>30</v>
      </c>
      <c r="B122" s="9"/>
      <c r="C122" s="15" t="str">
        <f>IF(C121="*",C121,"")</f>
        <v/>
      </c>
      <c r="D122" s="16"/>
      <c r="E122" s="17" t="str">
        <f t="shared" ref="E122:G124" si="37">E121</f>
        <v>TRADSL</v>
      </c>
      <c r="F122" s="17" t="str">
        <f t="shared" si="37"/>
        <v>TRAFRECLTDMD</v>
      </c>
      <c r="G122" s="17" t="str">
        <f t="shared" si="37"/>
        <v>TRAFRECLTDMD</v>
      </c>
      <c r="H122" s="18">
        <v>2025</v>
      </c>
      <c r="I122" s="18" t="str">
        <f>I121</f>
        <v>LO</v>
      </c>
      <c r="J122" s="18"/>
      <c r="K122" s="20">
        <f>-SUMIFS('TRA RESID'!$P:$P,'TRA RESID'!$H:$H,$E122,'TRA RESID'!$I:$I,$F122)/SUMIFS('TRA RESID'!$P:$P,'TRA RESID'!$I:$I,$F122)*O122</f>
        <v>-0.12960204881883786</v>
      </c>
      <c r="L122" s="18"/>
      <c r="M122" s="18"/>
      <c r="N122" s="9"/>
      <c r="O122" s="21">
        <v>0.8</v>
      </c>
      <c r="Q122" s="15" t="str">
        <f t="shared" si="20"/>
        <v/>
      </c>
      <c r="R122" s="16"/>
      <c r="S122" s="17" t="str">
        <f t="shared" si="22"/>
        <v>TRADSL</v>
      </c>
      <c r="T122" s="17" t="str">
        <f t="shared" si="23"/>
        <v>TRAFRECLTDMD</v>
      </c>
      <c r="U122" s="17" t="str">
        <f t="shared" si="24"/>
        <v>TRAFRECLTDMD</v>
      </c>
      <c r="V122" s="18">
        <v>2025</v>
      </c>
      <c r="W122" s="18" t="str">
        <f>W121</f>
        <v>UP</v>
      </c>
      <c r="X122" s="18"/>
      <c r="Y122" s="20">
        <f>-MIN(SUMIFS('TRA RESID'!$P:$P,'TRA RESID'!$H:$H,$E122,'TRA RESID'!$I:$I,$F122)/SUMIFS('TRA RESID'!$P:$P,'TRA RESID'!$I:$I,$F122)*AC122,1)</f>
        <v>-0.19440307322825678</v>
      </c>
      <c r="Z122" s="18"/>
      <c r="AA122" s="18"/>
      <c r="AB122" s="9"/>
      <c r="AC122" s="21">
        <v>1.2</v>
      </c>
    </row>
    <row r="123" spans="1:29" x14ac:dyDescent="0.25">
      <c r="A123" s="9">
        <f>A122</f>
        <v>30</v>
      </c>
      <c r="B123" s="9"/>
      <c r="C123" s="15" t="str">
        <f>IF(C122="*",C122,"")</f>
        <v/>
      </c>
      <c r="D123" s="16"/>
      <c r="E123" s="17" t="str">
        <f t="shared" si="37"/>
        <v>TRADSL</v>
      </c>
      <c r="F123" s="17" t="str">
        <f t="shared" si="37"/>
        <v>TRAFRECLTDMD</v>
      </c>
      <c r="G123" s="17" t="str">
        <f t="shared" si="37"/>
        <v>TRAFRECLTDMD</v>
      </c>
      <c r="H123" s="18">
        <v>2030</v>
      </c>
      <c r="I123" s="18" t="str">
        <f>I122</f>
        <v>LO</v>
      </c>
      <c r="J123" s="18"/>
      <c r="K123" s="20">
        <f>-SUMIFS('TRA RESID'!$P:$P,'TRA RESID'!$H:$H,$E123,'TRA RESID'!$I:$I,$F123)/SUMIFS('TRA RESID'!$P:$P,'TRA RESID'!$I:$I,$F123)*O123</f>
        <v>-3.2400512204709464E-2</v>
      </c>
      <c r="L123" s="18"/>
      <c r="M123" s="18"/>
      <c r="N123" s="9"/>
      <c r="O123" s="21">
        <v>0.2</v>
      </c>
      <c r="Q123" s="15" t="str">
        <f t="shared" si="20"/>
        <v/>
      </c>
      <c r="R123" s="16"/>
      <c r="S123" s="17" t="str">
        <f t="shared" si="22"/>
        <v>TRADSL</v>
      </c>
      <c r="T123" s="17" t="str">
        <f t="shared" si="23"/>
        <v>TRAFRECLTDMD</v>
      </c>
      <c r="U123" s="17" t="str">
        <f t="shared" si="24"/>
        <v>TRAFRECLTDMD</v>
      </c>
      <c r="V123" s="18">
        <v>2030</v>
      </c>
      <c r="W123" s="18" t="str">
        <f>W122</f>
        <v>UP</v>
      </c>
      <c r="X123" s="18"/>
      <c r="Y123" s="20">
        <f>-MIN(SUMIFS('TRA RESID'!$P:$P,'TRA RESID'!$H:$H,$E123,'TRA RESID'!$I:$I,$F123)/SUMIFS('TRA RESID'!$P:$P,'TRA RESID'!$I:$I,$F123)*AC123,1)</f>
        <v>-0.24300384153532098</v>
      </c>
      <c r="Z123" s="18"/>
      <c r="AA123" s="18"/>
      <c r="AB123" s="9"/>
      <c r="AC123" s="21">
        <v>1.5</v>
      </c>
    </row>
    <row r="124" spans="1:29" x14ac:dyDescent="0.25">
      <c r="A124" s="22">
        <f>A123</f>
        <v>30</v>
      </c>
      <c r="B124" s="22"/>
      <c r="C124" s="23" t="str">
        <f>IF(C123="*",C123,"")</f>
        <v/>
      </c>
      <c r="D124" s="24"/>
      <c r="E124" s="25" t="str">
        <f t="shared" si="37"/>
        <v>TRADSL</v>
      </c>
      <c r="F124" s="25" t="str">
        <f t="shared" si="37"/>
        <v>TRAFRECLTDMD</v>
      </c>
      <c r="G124" s="25" t="str">
        <f t="shared" si="37"/>
        <v>TRAFRECLTDMD</v>
      </c>
      <c r="H124" s="26">
        <v>2050</v>
      </c>
      <c r="I124" s="26" t="str">
        <f>I123</f>
        <v>LO</v>
      </c>
      <c r="J124" s="26"/>
      <c r="K124" s="27">
        <f>-SUMIFS('TRA RESID'!$P:$P,'TRA RESID'!$H:$H,$E124,'TRA RESID'!$I:$I,$F124)/SUMIFS('TRA RESID'!$P:$P,'TRA RESID'!$I:$I,$F124)*O124</f>
        <v>0</v>
      </c>
      <c r="L124" s="26"/>
      <c r="M124" s="26"/>
      <c r="N124" s="22"/>
      <c r="O124" s="28">
        <v>0</v>
      </c>
      <c r="Q124" s="23" t="str">
        <f t="shared" si="20"/>
        <v/>
      </c>
      <c r="R124" s="24"/>
      <c r="S124" s="25" t="str">
        <f t="shared" si="22"/>
        <v>TRADSL</v>
      </c>
      <c r="T124" s="25" t="str">
        <f t="shared" si="23"/>
        <v>TRAFRECLTDMD</v>
      </c>
      <c r="U124" s="25" t="str">
        <f t="shared" si="24"/>
        <v>TRAFRECLTDMD</v>
      </c>
      <c r="V124" s="26">
        <v>2050</v>
      </c>
      <c r="W124" s="26" t="str">
        <f>W123</f>
        <v>UP</v>
      </c>
      <c r="X124" s="26"/>
      <c r="Y124" s="27">
        <f>-MIN(SUMIFS('TRA RESID'!$P:$P,'TRA RESID'!$H:$H,$E124,'TRA RESID'!$I:$I,$F124)/SUMIFS('TRA RESID'!$P:$P,'TRA RESID'!$I:$I,$F124)*AC124,1)</f>
        <v>-0.48600768307064196</v>
      </c>
      <c r="Z124" s="26"/>
      <c r="AA124" s="26"/>
      <c r="AB124" s="22"/>
      <c r="AC124" s="28">
        <v>3</v>
      </c>
    </row>
    <row r="125" spans="1:29" x14ac:dyDescent="0.25">
      <c r="A125" s="14">
        <f>A121+1</f>
        <v>31</v>
      </c>
      <c r="B125" s="9"/>
      <c r="C125" s="15" t="str">
        <f>IF(E125="","",IF(_xlfn.XLOOKUP($A125,Selected_constraint!$A:$A,Selected_constraint!$D:$D)=1,"*",IF(SUMIFS('TRA TECH'!$M:$M,'TRA TECH'!$H:$H,E125,'TRA TECH'!$I:$I,F125)=0,"*",IF(SUMIFS('TRA RESID'!$P:$P,'TRA RESID'!$H:$H,$E125,'TRA RESID'!$I:$I,$F125)=0,"*","UC_MarketShare_"&amp;LEFT(F125,LEN(F125)-3)&amp;"_"&amp;RIGHT(E125,3)&amp;"_MIN"))))</f>
        <v>*</v>
      </c>
      <c r="D125" s="16"/>
      <c r="E125" s="17" t="str">
        <f>_xlfn.XLOOKUP($A125,Selected_constraint!$A:$A,Selected_constraint!$B:$B)</f>
        <v>TRARDS</v>
      </c>
      <c r="F125" s="17" t="str">
        <f>_xlfn.XLOOKUP($A125,Selected_constraint!$A:$A,Selected_constraint!$C:$C)</f>
        <v>TRAFRECLTDMD</v>
      </c>
      <c r="G125" s="17" t="str">
        <f>F125</f>
        <v>TRAFRECLTDMD</v>
      </c>
      <c r="H125" s="18">
        <v>2019</v>
      </c>
      <c r="I125" s="18" t="s">
        <v>483</v>
      </c>
      <c r="J125" s="18">
        <v>1</v>
      </c>
      <c r="K125" s="20">
        <f>-SUMIFS('TRA RESID'!$P:$P,'TRA RESID'!$H:$H,$E125,'TRA RESID'!$I:$I,$F125)/SUMIFS('TRA RESID'!$P:$P,'TRA RESID'!$I:$I,$F125)*O125</f>
        <v>0</v>
      </c>
      <c r="L125" s="18">
        <v>0</v>
      </c>
      <c r="M125" s="18">
        <v>5</v>
      </c>
      <c r="N125" s="9"/>
      <c r="O125" s="21">
        <v>0.98</v>
      </c>
      <c r="Q125" s="15" t="str">
        <f t="shared" si="20"/>
        <v>*</v>
      </c>
      <c r="R125" s="16"/>
      <c r="S125" s="17" t="str">
        <f t="shared" si="22"/>
        <v>TRARDS</v>
      </c>
      <c r="T125" s="17" t="str">
        <f t="shared" si="23"/>
        <v>TRAFRECLTDMD</v>
      </c>
      <c r="U125" s="17" t="str">
        <f t="shared" si="24"/>
        <v>TRAFRECLTDMD</v>
      </c>
      <c r="V125" s="18">
        <v>2019</v>
      </c>
      <c r="W125" s="18" t="s">
        <v>484</v>
      </c>
      <c r="X125" s="18">
        <v>1</v>
      </c>
      <c r="Y125" s="20">
        <f>-MIN(SUMIFS('TRA RESID'!$P:$P,'TRA RESID'!$H:$H,$E125,'TRA RESID'!$I:$I,$F125)/SUMIFS('TRA RESID'!$P:$P,'TRA RESID'!$I:$I,$F125)*AC125,1)</f>
        <v>0</v>
      </c>
      <c r="Z125" s="18">
        <v>0</v>
      </c>
      <c r="AA125" s="18">
        <v>5</v>
      </c>
      <c r="AB125" s="9"/>
      <c r="AC125" s="21">
        <v>1.02</v>
      </c>
    </row>
    <row r="126" spans="1:29" x14ac:dyDescent="0.25">
      <c r="A126" s="9">
        <f>A125</f>
        <v>31</v>
      </c>
      <c r="B126" s="9"/>
      <c r="C126" s="15" t="str">
        <f>IF(C125="*",C125,"")</f>
        <v>*</v>
      </c>
      <c r="D126" s="16"/>
      <c r="E126" s="17" t="str">
        <f t="shared" ref="E126:G128" si="38">E125</f>
        <v>TRARDS</v>
      </c>
      <c r="F126" s="17" t="str">
        <f t="shared" si="38"/>
        <v>TRAFRECLTDMD</v>
      </c>
      <c r="G126" s="17" t="str">
        <f t="shared" si="38"/>
        <v>TRAFRECLTDMD</v>
      </c>
      <c r="H126" s="18">
        <v>2025</v>
      </c>
      <c r="I126" s="18" t="str">
        <f>I125</f>
        <v>LO</v>
      </c>
      <c r="J126" s="18"/>
      <c r="K126" s="20">
        <f>-SUMIFS('TRA RESID'!$P:$P,'TRA RESID'!$H:$H,$E126,'TRA RESID'!$I:$I,$F126)/SUMIFS('TRA RESID'!$P:$P,'TRA RESID'!$I:$I,$F126)*O126</f>
        <v>0</v>
      </c>
      <c r="L126" s="18"/>
      <c r="M126" s="18"/>
      <c r="N126" s="9"/>
      <c r="O126" s="21">
        <v>0.8</v>
      </c>
      <c r="Q126" s="15" t="str">
        <f t="shared" si="20"/>
        <v>*</v>
      </c>
      <c r="R126" s="16"/>
      <c r="S126" s="17" t="str">
        <f t="shared" si="22"/>
        <v>TRARDS</v>
      </c>
      <c r="T126" s="17" t="str">
        <f t="shared" si="23"/>
        <v>TRAFRECLTDMD</v>
      </c>
      <c r="U126" s="17" t="str">
        <f t="shared" si="24"/>
        <v>TRAFRECLTDMD</v>
      </c>
      <c r="V126" s="18">
        <v>2025</v>
      </c>
      <c r="W126" s="18" t="str">
        <f>W125</f>
        <v>UP</v>
      </c>
      <c r="X126" s="18"/>
      <c r="Y126" s="20">
        <f>-MIN(SUMIFS('TRA RESID'!$P:$P,'TRA RESID'!$H:$H,$E126,'TRA RESID'!$I:$I,$F126)/SUMIFS('TRA RESID'!$P:$P,'TRA RESID'!$I:$I,$F126)*AC126,1)</f>
        <v>0</v>
      </c>
      <c r="Z126" s="18"/>
      <c r="AA126" s="18"/>
      <c r="AB126" s="9"/>
      <c r="AC126" s="21">
        <v>1.2</v>
      </c>
    </row>
    <row r="127" spans="1:29" x14ac:dyDescent="0.25">
      <c r="A127" s="9">
        <f>A126</f>
        <v>31</v>
      </c>
      <c r="B127" s="9"/>
      <c r="C127" s="15" t="str">
        <f>IF(C126="*",C126,"")</f>
        <v>*</v>
      </c>
      <c r="D127" s="16"/>
      <c r="E127" s="17" t="str">
        <f t="shared" si="38"/>
        <v>TRARDS</v>
      </c>
      <c r="F127" s="17" t="str">
        <f t="shared" si="38"/>
        <v>TRAFRECLTDMD</v>
      </c>
      <c r="G127" s="17" t="str">
        <f t="shared" si="38"/>
        <v>TRAFRECLTDMD</v>
      </c>
      <c r="H127" s="18">
        <v>2030</v>
      </c>
      <c r="I127" s="18" t="str">
        <f>I126</f>
        <v>LO</v>
      </c>
      <c r="J127" s="18"/>
      <c r="K127" s="20">
        <f>-SUMIFS('TRA RESID'!$P:$P,'TRA RESID'!$H:$H,$E127,'TRA RESID'!$I:$I,$F127)/SUMIFS('TRA RESID'!$P:$P,'TRA RESID'!$I:$I,$F127)*O127</f>
        <v>0</v>
      </c>
      <c r="L127" s="18"/>
      <c r="M127" s="18"/>
      <c r="N127" s="9"/>
      <c r="O127" s="21">
        <v>0.2</v>
      </c>
      <c r="Q127" s="15" t="str">
        <f t="shared" si="20"/>
        <v>*</v>
      </c>
      <c r="R127" s="16"/>
      <c r="S127" s="17" t="str">
        <f t="shared" si="22"/>
        <v>TRARDS</v>
      </c>
      <c r="T127" s="17" t="str">
        <f t="shared" si="23"/>
        <v>TRAFRECLTDMD</v>
      </c>
      <c r="U127" s="17" t="str">
        <f t="shared" si="24"/>
        <v>TRAFRECLTDMD</v>
      </c>
      <c r="V127" s="18">
        <v>2030</v>
      </c>
      <c r="W127" s="18" t="str">
        <f>W126</f>
        <v>UP</v>
      </c>
      <c r="X127" s="18"/>
      <c r="Y127" s="20">
        <f>-MIN(SUMIFS('TRA RESID'!$P:$P,'TRA RESID'!$H:$H,$E127,'TRA RESID'!$I:$I,$F127)/SUMIFS('TRA RESID'!$P:$P,'TRA RESID'!$I:$I,$F127)*AC127,1)</f>
        <v>0</v>
      </c>
      <c r="Z127" s="18"/>
      <c r="AA127" s="18"/>
      <c r="AB127" s="9"/>
      <c r="AC127" s="21">
        <v>1.5</v>
      </c>
    </row>
    <row r="128" spans="1:29" x14ac:dyDescent="0.25">
      <c r="A128" s="22">
        <f>A127</f>
        <v>31</v>
      </c>
      <c r="B128" s="22"/>
      <c r="C128" s="23" t="str">
        <f>IF(C127="*",C127,"")</f>
        <v>*</v>
      </c>
      <c r="D128" s="24"/>
      <c r="E128" s="25" t="str">
        <f t="shared" si="38"/>
        <v>TRARDS</v>
      </c>
      <c r="F128" s="25" t="str">
        <f t="shared" si="38"/>
        <v>TRAFRECLTDMD</v>
      </c>
      <c r="G128" s="25" t="str">
        <f t="shared" si="38"/>
        <v>TRAFRECLTDMD</v>
      </c>
      <c r="H128" s="26">
        <v>2050</v>
      </c>
      <c r="I128" s="26" t="str">
        <f>I127</f>
        <v>LO</v>
      </c>
      <c r="J128" s="26"/>
      <c r="K128" s="27">
        <f>-SUMIFS('TRA RESID'!$P:$P,'TRA RESID'!$H:$H,$E128,'TRA RESID'!$I:$I,$F128)/SUMIFS('TRA RESID'!$P:$P,'TRA RESID'!$I:$I,$F128)*O128</f>
        <v>0</v>
      </c>
      <c r="L128" s="26"/>
      <c r="M128" s="26"/>
      <c r="N128" s="22"/>
      <c r="O128" s="28">
        <v>0</v>
      </c>
      <c r="Q128" s="23" t="str">
        <f t="shared" si="20"/>
        <v>*</v>
      </c>
      <c r="R128" s="24"/>
      <c r="S128" s="25" t="str">
        <f t="shared" si="22"/>
        <v>TRARDS</v>
      </c>
      <c r="T128" s="25" t="str">
        <f t="shared" si="23"/>
        <v>TRAFRECLTDMD</v>
      </c>
      <c r="U128" s="25" t="str">
        <f t="shared" si="24"/>
        <v>TRAFRECLTDMD</v>
      </c>
      <c r="V128" s="26">
        <v>2050</v>
      </c>
      <c r="W128" s="26" t="str">
        <f>W127</f>
        <v>UP</v>
      </c>
      <c r="X128" s="26"/>
      <c r="Y128" s="27">
        <f>-MIN(SUMIFS('TRA RESID'!$P:$P,'TRA RESID'!$H:$H,$E128,'TRA RESID'!$I:$I,$F128)/SUMIFS('TRA RESID'!$P:$P,'TRA RESID'!$I:$I,$F128)*AC128,1)</f>
        <v>0</v>
      </c>
      <c r="Z128" s="26"/>
      <c r="AA128" s="26"/>
      <c r="AB128" s="22"/>
      <c r="AC128" s="28">
        <v>3</v>
      </c>
    </row>
    <row r="129" spans="1:29" x14ac:dyDescent="0.25">
      <c r="A129" s="14">
        <f>A125+1</f>
        <v>32</v>
      </c>
      <c r="B129" s="9"/>
      <c r="C129" s="15" t="str">
        <f>IF(E129="","",IF(_xlfn.XLOOKUP($A129,Selected_constraint!$A:$A,Selected_constraint!$D:$D)=1,"*",IF(SUMIFS('TRA TECH'!$M:$M,'TRA TECH'!$H:$H,E129,'TRA TECH'!$I:$I,F129)=0,"*",IF(SUMIFS('TRA RESID'!$P:$P,'TRA RESID'!$H:$H,$E129,'TRA RESID'!$I:$I,$F129)=0,"*","UC_MarketShare_"&amp;LEFT(F129,LEN(F129)-3)&amp;"_"&amp;RIGHT(E129,3)&amp;"_MIN"))))</f>
        <v>*</v>
      </c>
      <c r="D129" s="16"/>
      <c r="E129" s="17" t="str">
        <f>_xlfn.XLOOKUP($A129,Selected_constraint!$A:$A,Selected_constraint!$B:$B)</f>
        <v>TRABDS</v>
      </c>
      <c r="F129" s="17" t="str">
        <f>_xlfn.XLOOKUP($A129,Selected_constraint!$A:$A,Selected_constraint!$C:$C)</f>
        <v>TRAFRECLTDMD</v>
      </c>
      <c r="G129" s="17" t="str">
        <f>F129</f>
        <v>TRAFRECLTDMD</v>
      </c>
      <c r="H129" s="18">
        <v>2019</v>
      </c>
      <c r="I129" s="18" t="s">
        <v>483</v>
      </c>
      <c r="J129" s="18">
        <v>1</v>
      </c>
      <c r="K129" s="20">
        <f>-SUMIFS('TRA RESID'!$P:$P,'TRA RESID'!$H:$H,$E129,'TRA RESID'!$I:$I,$F129)/SUMIFS('TRA RESID'!$P:$P,'TRA RESID'!$I:$I,$F129)*O129</f>
        <v>0</v>
      </c>
      <c r="L129" s="18">
        <v>0</v>
      </c>
      <c r="M129" s="18">
        <v>5</v>
      </c>
      <c r="N129" s="9"/>
      <c r="O129" s="21">
        <v>0.98</v>
      </c>
      <c r="Q129" s="15" t="str">
        <f t="shared" si="20"/>
        <v>*</v>
      </c>
      <c r="R129" s="16"/>
      <c r="S129" s="17" t="str">
        <f t="shared" si="22"/>
        <v>TRABDS</v>
      </c>
      <c r="T129" s="17" t="str">
        <f t="shared" si="23"/>
        <v>TRAFRECLTDMD</v>
      </c>
      <c r="U129" s="17" t="str">
        <f t="shared" si="24"/>
        <v>TRAFRECLTDMD</v>
      </c>
      <c r="V129" s="18">
        <v>2019</v>
      </c>
      <c r="W129" s="18" t="s">
        <v>484</v>
      </c>
      <c r="X129" s="18">
        <v>1</v>
      </c>
      <c r="Y129" s="20">
        <f>-MIN(SUMIFS('TRA RESID'!$P:$P,'TRA RESID'!$H:$H,$E129,'TRA RESID'!$I:$I,$F129)/SUMIFS('TRA RESID'!$P:$P,'TRA RESID'!$I:$I,$F129)*AC129,1)</f>
        <v>0</v>
      </c>
      <c r="Z129" s="18">
        <v>0</v>
      </c>
      <c r="AA129" s="18">
        <v>5</v>
      </c>
      <c r="AB129" s="9"/>
      <c r="AC129" s="21">
        <v>1.02</v>
      </c>
    </row>
    <row r="130" spans="1:29" x14ac:dyDescent="0.25">
      <c r="A130" s="9">
        <f>A129</f>
        <v>32</v>
      </c>
      <c r="B130" s="9"/>
      <c r="C130" s="15" t="str">
        <f>IF(C129="*",C129,"")</f>
        <v>*</v>
      </c>
      <c r="D130" s="16"/>
      <c r="E130" s="17" t="str">
        <f t="shared" ref="E130:G132" si="39">E129</f>
        <v>TRABDS</v>
      </c>
      <c r="F130" s="17" t="str">
        <f t="shared" si="39"/>
        <v>TRAFRECLTDMD</v>
      </c>
      <c r="G130" s="17" t="str">
        <f t="shared" si="39"/>
        <v>TRAFRECLTDMD</v>
      </c>
      <c r="H130" s="18">
        <v>2025</v>
      </c>
      <c r="I130" s="18" t="str">
        <f>I129</f>
        <v>LO</v>
      </c>
      <c r="J130" s="18"/>
      <c r="K130" s="20">
        <f>-SUMIFS('TRA RESID'!$P:$P,'TRA RESID'!$H:$H,$E130,'TRA RESID'!$I:$I,$F130)/SUMIFS('TRA RESID'!$P:$P,'TRA RESID'!$I:$I,$F130)*O130</f>
        <v>0</v>
      </c>
      <c r="L130" s="18"/>
      <c r="M130" s="18"/>
      <c r="N130" s="9"/>
      <c r="O130" s="21">
        <v>0.8</v>
      </c>
      <c r="Q130" s="15" t="str">
        <f t="shared" si="20"/>
        <v>*</v>
      </c>
      <c r="R130" s="16"/>
      <c r="S130" s="17" t="str">
        <f t="shared" si="22"/>
        <v>TRABDS</v>
      </c>
      <c r="T130" s="17" t="str">
        <f t="shared" si="23"/>
        <v>TRAFRECLTDMD</v>
      </c>
      <c r="U130" s="17" t="str">
        <f t="shared" si="24"/>
        <v>TRAFRECLTDMD</v>
      </c>
      <c r="V130" s="18">
        <v>2025</v>
      </c>
      <c r="W130" s="18" t="str">
        <f>W129</f>
        <v>UP</v>
      </c>
      <c r="X130" s="18"/>
      <c r="Y130" s="20">
        <f>-MIN(SUMIFS('TRA RESID'!$P:$P,'TRA RESID'!$H:$H,$E130,'TRA RESID'!$I:$I,$F130)/SUMIFS('TRA RESID'!$P:$P,'TRA RESID'!$I:$I,$F130)*AC130,1)</f>
        <v>0</v>
      </c>
      <c r="Z130" s="18"/>
      <c r="AA130" s="18"/>
      <c r="AB130" s="9"/>
      <c r="AC130" s="21">
        <v>1.2</v>
      </c>
    </row>
    <row r="131" spans="1:29" x14ac:dyDescent="0.25">
      <c r="A131" s="9">
        <f>A130</f>
        <v>32</v>
      </c>
      <c r="B131" s="9"/>
      <c r="C131" s="15" t="str">
        <f>IF(C130="*",C130,"")</f>
        <v>*</v>
      </c>
      <c r="D131" s="16"/>
      <c r="E131" s="17" t="str">
        <f t="shared" si="39"/>
        <v>TRABDS</v>
      </c>
      <c r="F131" s="17" t="str">
        <f t="shared" si="39"/>
        <v>TRAFRECLTDMD</v>
      </c>
      <c r="G131" s="17" t="str">
        <f t="shared" si="39"/>
        <v>TRAFRECLTDMD</v>
      </c>
      <c r="H131" s="18">
        <v>2030</v>
      </c>
      <c r="I131" s="18" t="str">
        <f>I130</f>
        <v>LO</v>
      </c>
      <c r="J131" s="18"/>
      <c r="K131" s="20">
        <f>-SUMIFS('TRA RESID'!$P:$P,'TRA RESID'!$H:$H,$E131,'TRA RESID'!$I:$I,$F131)/SUMIFS('TRA RESID'!$P:$P,'TRA RESID'!$I:$I,$F131)*O131</f>
        <v>0</v>
      </c>
      <c r="L131" s="18"/>
      <c r="M131" s="18"/>
      <c r="N131" s="9"/>
      <c r="O131" s="21">
        <v>0.2</v>
      </c>
      <c r="Q131" s="15" t="str">
        <f t="shared" si="20"/>
        <v>*</v>
      </c>
      <c r="R131" s="16"/>
      <c r="S131" s="17" t="str">
        <f t="shared" si="22"/>
        <v>TRABDS</v>
      </c>
      <c r="T131" s="17" t="str">
        <f t="shared" si="23"/>
        <v>TRAFRECLTDMD</v>
      </c>
      <c r="U131" s="17" t="str">
        <f t="shared" si="24"/>
        <v>TRAFRECLTDMD</v>
      </c>
      <c r="V131" s="18">
        <v>2030</v>
      </c>
      <c r="W131" s="18" t="str">
        <f>W130</f>
        <v>UP</v>
      </c>
      <c r="X131" s="18"/>
      <c r="Y131" s="20">
        <f>-MIN(SUMIFS('TRA RESID'!$P:$P,'TRA RESID'!$H:$H,$E131,'TRA RESID'!$I:$I,$F131)/SUMIFS('TRA RESID'!$P:$P,'TRA RESID'!$I:$I,$F131)*AC131,1)</f>
        <v>0</v>
      </c>
      <c r="Z131" s="18"/>
      <c r="AA131" s="18"/>
      <c r="AB131" s="9"/>
      <c r="AC131" s="21">
        <v>1.5</v>
      </c>
    </row>
    <row r="132" spans="1:29" x14ac:dyDescent="0.25">
      <c r="A132" s="22">
        <f>A131</f>
        <v>32</v>
      </c>
      <c r="B132" s="22"/>
      <c r="C132" s="23" t="str">
        <f>IF(C131="*",C131,"")</f>
        <v>*</v>
      </c>
      <c r="D132" s="24"/>
      <c r="E132" s="25" t="str">
        <f t="shared" si="39"/>
        <v>TRABDS</v>
      </c>
      <c r="F132" s="25" t="str">
        <f t="shared" si="39"/>
        <v>TRAFRECLTDMD</v>
      </c>
      <c r="G132" s="25" t="str">
        <f t="shared" si="39"/>
        <v>TRAFRECLTDMD</v>
      </c>
      <c r="H132" s="26">
        <v>2050</v>
      </c>
      <c r="I132" s="26" t="str">
        <f>I131</f>
        <v>LO</v>
      </c>
      <c r="J132" s="26"/>
      <c r="K132" s="27">
        <f>-SUMIFS('TRA RESID'!$P:$P,'TRA RESID'!$H:$H,$E132,'TRA RESID'!$I:$I,$F132)/SUMIFS('TRA RESID'!$P:$P,'TRA RESID'!$I:$I,$F132)*O132</f>
        <v>0</v>
      </c>
      <c r="L132" s="26"/>
      <c r="M132" s="26"/>
      <c r="N132" s="22"/>
      <c r="O132" s="28">
        <v>0</v>
      </c>
      <c r="Q132" s="23" t="str">
        <f t="shared" si="20"/>
        <v>*</v>
      </c>
      <c r="R132" s="24"/>
      <c r="S132" s="25" t="str">
        <f t="shared" si="22"/>
        <v>TRABDS</v>
      </c>
      <c r="T132" s="25" t="str">
        <f t="shared" si="23"/>
        <v>TRAFRECLTDMD</v>
      </c>
      <c r="U132" s="25" t="str">
        <f t="shared" si="24"/>
        <v>TRAFRECLTDMD</v>
      </c>
      <c r="V132" s="26">
        <v>2050</v>
      </c>
      <c r="W132" s="26" t="str">
        <f>W131</f>
        <v>UP</v>
      </c>
      <c r="X132" s="26"/>
      <c r="Y132" s="27">
        <f>-MIN(SUMIFS('TRA RESID'!$P:$P,'TRA RESID'!$H:$H,$E132,'TRA RESID'!$I:$I,$F132)/SUMIFS('TRA RESID'!$P:$P,'TRA RESID'!$I:$I,$F132)*AC132,1)</f>
        <v>0</v>
      </c>
      <c r="Z132" s="26"/>
      <c r="AA132" s="26"/>
      <c r="AB132" s="22"/>
      <c r="AC132" s="28">
        <v>3</v>
      </c>
    </row>
    <row r="133" spans="1:29" x14ac:dyDescent="0.25">
      <c r="A133" s="14">
        <f>A129+1</f>
        <v>33</v>
      </c>
      <c r="B133" s="9"/>
      <c r="C133" s="15" t="str">
        <f>IF(E133="","",IF(_xlfn.XLOOKUP($A133,Selected_constraint!$A:$A,Selected_constraint!$D:$D)=1,"*",IF(SUMIFS('TRA TECH'!$M:$M,'TRA TECH'!$H:$H,E133,'TRA TECH'!$I:$I,F133)=0,"*",IF(SUMIFS('TRA RESID'!$P:$P,'TRA RESID'!$H:$H,$E133,'TRA RESID'!$I:$I,$F133)=0,"*","UC_MarketShare_"&amp;LEFT(F133,LEN(F133)-3)&amp;"_"&amp;RIGHT(E133,3)&amp;"_MIN"))))</f>
        <v>UC_MarketShare_TRAFRECLT_CNG_MIN</v>
      </c>
      <c r="D133" s="16"/>
      <c r="E133" s="17" t="str">
        <f>_xlfn.XLOOKUP($A133,Selected_constraint!$A:$A,Selected_constraint!$B:$B)</f>
        <v>TRACNG</v>
      </c>
      <c r="F133" s="17" t="str">
        <f>_xlfn.XLOOKUP($A133,Selected_constraint!$A:$A,Selected_constraint!$C:$C)</f>
        <v>TRAFRECLTDMD</v>
      </c>
      <c r="G133" s="17" t="str">
        <f>F133</f>
        <v>TRAFRECLTDMD</v>
      </c>
      <c r="H133" s="18">
        <v>2019</v>
      </c>
      <c r="I133" s="18" t="s">
        <v>483</v>
      </c>
      <c r="J133" s="18">
        <v>1</v>
      </c>
      <c r="K133" s="20">
        <f>-SUMIFS('TRA RESID'!$P:$P,'TRA RESID'!$H:$H,$E133,'TRA RESID'!$I:$I,$F133)/SUMIFS('TRA RESID'!$P:$P,'TRA RESID'!$I:$I,$F133)*O133</f>
        <v>-1.3360200397282112E-3</v>
      </c>
      <c r="L133" s="18">
        <v>0</v>
      </c>
      <c r="M133" s="18">
        <v>5</v>
      </c>
      <c r="N133" s="9"/>
      <c r="O133" s="21">
        <v>0.98</v>
      </c>
      <c r="Q133" s="15" t="str">
        <f t="shared" ref="Q133:Q196" si="40">SUBSTITUTE(C133,"MIN","MAX")</f>
        <v>UC_MarketShare_TRAFRECLT_CNG_MAX</v>
      </c>
      <c r="R133" s="16"/>
      <c r="S133" s="17" t="str">
        <f t="shared" si="22"/>
        <v>TRACNG</v>
      </c>
      <c r="T133" s="17" t="str">
        <f t="shared" si="23"/>
        <v>TRAFRECLTDMD</v>
      </c>
      <c r="U133" s="17" t="str">
        <f t="shared" si="24"/>
        <v>TRAFRECLTDMD</v>
      </c>
      <c r="V133" s="18">
        <v>2019</v>
      </c>
      <c r="W133" s="18" t="s">
        <v>484</v>
      </c>
      <c r="X133" s="18">
        <v>1</v>
      </c>
      <c r="Y133" s="20">
        <f>-MIN(SUMIFS('TRA RESID'!$P:$P,'TRA RESID'!$H:$H,$E133,'TRA RESID'!$I:$I,$F133)/SUMIFS('TRA RESID'!$P:$P,'TRA RESID'!$I:$I,$F133)*AC133,1)</f>
        <v>-1.3905514699211997E-3</v>
      </c>
      <c r="Z133" s="18">
        <v>0</v>
      </c>
      <c r="AA133" s="18">
        <v>5</v>
      </c>
      <c r="AB133" s="9"/>
      <c r="AC133" s="21">
        <v>1.02</v>
      </c>
    </row>
    <row r="134" spans="1:29" x14ac:dyDescent="0.25">
      <c r="A134" s="9">
        <f>A133</f>
        <v>33</v>
      </c>
      <c r="B134" s="9"/>
      <c r="C134" s="15" t="str">
        <f>IF(C133="*",C133,"")</f>
        <v/>
      </c>
      <c r="D134" s="16"/>
      <c r="E134" s="17" t="str">
        <f t="shared" ref="E134:G136" si="41">E133</f>
        <v>TRACNG</v>
      </c>
      <c r="F134" s="17" t="str">
        <f t="shared" si="41"/>
        <v>TRAFRECLTDMD</v>
      </c>
      <c r="G134" s="17" t="str">
        <f t="shared" si="41"/>
        <v>TRAFRECLTDMD</v>
      </c>
      <c r="H134" s="18">
        <v>2025</v>
      </c>
      <c r="I134" s="18" t="str">
        <f>I133</f>
        <v>LO</v>
      </c>
      <c r="J134" s="18"/>
      <c r="K134" s="20">
        <f>-SUMIFS('TRA RESID'!$P:$P,'TRA RESID'!$H:$H,$E134,'TRA RESID'!$I:$I,$F134)/SUMIFS('TRA RESID'!$P:$P,'TRA RESID'!$I:$I,$F134)*O134</f>
        <v>-1.0906286038597644E-3</v>
      </c>
      <c r="L134" s="18"/>
      <c r="M134" s="18"/>
      <c r="N134" s="9"/>
      <c r="O134" s="21">
        <v>0.8</v>
      </c>
      <c r="Q134" s="15" t="str">
        <f t="shared" si="40"/>
        <v/>
      </c>
      <c r="R134" s="16"/>
      <c r="S134" s="17" t="str">
        <f t="shared" ref="S134:S197" si="42">E134</f>
        <v>TRACNG</v>
      </c>
      <c r="T134" s="17" t="str">
        <f t="shared" ref="T134:T197" si="43">F134</f>
        <v>TRAFRECLTDMD</v>
      </c>
      <c r="U134" s="17" t="str">
        <f t="shared" ref="U134:U197" si="44">G134</f>
        <v>TRAFRECLTDMD</v>
      </c>
      <c r="V134" s="18">
        <v>2025</v>
      </c>
      <c r="W134" s="18" t="str">
        <f>W133</f>
        <v>UP</v>
      </c>
      <c r="X134" s="18"/>
      <c r="Y134" s="20">
        <f>-MIN(SUMIFS('TRA RESID'!$P:$P,'TRA RESID'!$H:$H,$E134,'TRA RESID'!$I:$I,$F134)/SUMIFS('TRA RESID'!$P:$P,'TRA RESID'!$I:$I,$F134)*AC134,1)</f>
        <v>-1.6359429057896465E-3</v>
      </c>
      <c r="Z134" s="18"/>
      <c r="AA134" s="18"/>
      <c r="AB134" s="9"/>
      <c r="AC134" s="21">
        <v>1.2</v>
      </c>
    </row>
    <row r="135" spans="1:29" x14ac:dyDescent="0.25">
      <c r="A135" s="9">
        <f>A134</f>
        <v>33</v>
      </c>
      <c r="B135" s="9"/>
      <c r="C135" s="15" t="str">
        <f>IF(C134="*",C134,"")</f>
        <v/>
      </c>
      <c r="D135" s="16"/>
      <c r="E135" s="17" t="str">
        <f t="shared" si="41"/>
        <v>TRACNG</v>
      </c>
      <c r="F135" s="17" t="str">
        <f t="shared" si="41"/>
        <v>TRAFRECLTDMD</v>
      </c>
      <c r="G135" s="17" t="str">
        <f t="shared" si="41"/>
        <v>TRAFRECLTDMD</v>
      </c>
      <c r="H135" s="18">
        <v>2030</v>
      </c>
      <c r="I135" s="18" t="str">
        <f>I134</f>
        <v>LO</v>
      </c>
      <c r="J135" s="18"/>
      <c r="K135" s="20">
        <f>-SUMIFS('TRA RESID'!$P:$P,'TRA RESID'!$H:$H,$E135,'TRA RESID'!$I:$I,$F135)/SUMIFS('TRA RESID'!$P:$P,'TRA RESID'!$I:$I,$F135)*O135</f>
        <v>-2.7265715096494111E-4</v>
      </c>
      <c r="L135" s="18"/>
      <c r="M135" s="18"/>
      <c r="N135" s="9"/>
      <c r="O135" s="21">
        <v>0.2</v>
      </c>
      <c r="Q135" s="15" t="str">
        <f t="shared" si="40"/>
        <v/>
      </c>
      <c r="R135" s="16"/>
      <c r="S135" s="17" t="str">
        <f t="shared" si="42"/>
        <v>TRACNG</v>
      </c>
      <c r="T135" s="17" t="str">
        <f t="shared" si="43"/>
        <v>TRAFRECLTDMD</v>
      </c>
      <c r="U135" s="17" t="str">
        <f t="shared" si="44"/>
        <v>TRAFRECLTDMD</v>
      </c>
      <c r="V135" s="18">
        <v>2030</v>
      </c>
      <c r="W135" s="18" t="str">
        <f>W134</f>
        <v>UP</v>
      </c>
      <c r="X135" s="18"/>
      <c r="Y135" s="20">
        <f>-MIN(SUMIFS('TRA RESID'!$P:$P,'TRA RESID'!$H:$H,$E135,'TRA RESID'!$I:$I,$F135)/SUMIFS('TRA RESID'!$P:$P,'TRA RESID'!$I:$I,$F135)*AC135,1)</f>
        <v>-2.0449286322370584E-3</v>
      </c>
      <c r="Z135" s="18"/>
      <c r="AA135" s="18"/>
      <c r="AB135" s="9"/>
      <c r="AC135" s="21">
        <v>1.5</v>
      </c>
    </row>
    <row r="136" spans="1:29" x14ac:dyDescent="0.25">
      <c r="A136" s="22">
        <f>A135</f>
        <v>33</v>
      </c>
      <c r="B136" s="22"/>
      <c r="C136" s="23" t="str">
        <f>IF(C135="*",C135,"")</f>
        <v/>
      </c>
      <c r="D136" s="24"/>
      <c r="E136" s="25" t="str">
        <f t="shared" si="41"/>
        <v>TRACNG</v>
      </c>
      <c r="F136" s="25" t="str">
        <f t="shared" si="41"/>
        <v>TRAFRECLTDMD</v>
      </c>
      <c r="G136" s="25" t="str">
        <f t="shared" si="41"/>
        <v>TRAFRECLTDMD</v>
      </c>
      <c r="H136" s="26">
        <v>2050</v>
      </c>
      <c r="I136" s="26" t="str">
        <f>I135</f>
        <v>LO</v>
      </c>
      <c r="J136" s="26"/>
      <c r="K136" s="27">
        <f>-SUMIFS('TRA RESID'!$P:$P,'TRA RESID'!$H:$H,$E136,'TRA RESID'!$I:$I,$F136)/SUMIFS('TRA RESID'!$P:$P,'TRA RESID'!$I:$I,$F136)*O136</f>
        <v>0</v>
      </c>
      <c r="L136" s="26"/>
      <c r="M136" s="26"/>
      <c r="N136" s="22"/>
      <c r="O136" s="28">
        <v>0</v>
      </c>
      <c r="Q136" s="23" t="str">
        <f t="shared" si="40"/>
        <v/>
      </c>
      <c r="R136" s="24"/>
      <c r="S136" s="25" t="str">
        <f t="shared" si="42"/>
        <v>TRACNG</v>
      </c>
      <c r="T136" s="25" t="str">
        <f t="shared" si="43"/>
        <v>TRAFRECLTDMD</v>
      </c>
      <c r="U136" s="25" t="str">
        <f t="shared" si="44"/>
        <v>TRAFRECLTDMD</v>
      </c>
      <c r="V136" s="26">
        <v>2050</v>
      </c>
      <c r="W136" s="26" t="str">
        <f>W135</f>
        <v>UP</v>
      </c>
      <c r="X136" s="26"/>
      <c r="Y136" s="27">
        <f>-MIN(SUMIFS('TRA RESID'!$P:$P,'TRA RESID'!$H:$H,$E136,'TRA RESID'!$I:$I,$F136)/SUMIFS('TRA RESID'!$P:$P,'TRA RESID'!$I:$I,$F136)*AC136,1)</f>
        <v>-4.0898572644741168E-3</v>
      </c>
      <c r="Z136" s="26"/>
      <c r="AA136" s="26"/>
      <c r="AB136" s="22"/>
      <c r="AC136" s="28">
        <v>3</v>
      </c>
    </row>
    <row r="137" spans="1:29" x14ac:dyDescent="0.25">
      <c r="A137" s="14">
        <f>A133+1</f>
        <v>34</v>
      </c>
      <c r="B137" s="9"/>
      <c r="C137" s="15" t="str">
        <f>IF(E137="","",IF(_xlfn.XLOOKUP($A137,Selected_constraint!$A:$A,Selected_constraint!$D:$D)=1,"*",IF(SUMIFS('TRA TECH'!$M:$M,'TRA TECH'!$H:$H,E137,'TRA TECH'!$I:$I,F137)=0,"*",IF(SUMIFS('TRA RESID'!$P:$P,'TRA RESID'!$H:$H,$E137,'TRA RESID'!$I:$I,$F137)=0,"*","UC_MarketShare_"&amp;LEFT(F137,LEN(F137)-3)&amp;"_"&amp;RIGHT(E137,3)&amp;"_MIN"))))</f>
        <v>*</v>
      </c>
      <c r="D137" s="16"/>
      <c r="E137" s="17" t="str">
        <f>_xlfn.XLOOKUP($A137,Selected_constraint!$A:$A,Selected_constraint!$B:$B)</f>
        <v>TRARNG</v>
      </c>
      <c r="F137" s="17" t="str">
        <f>_xlfn.XLOOKUP($A137,Selected_constraint!$A:$A,Selected_constraint!$C:$C)</f>
        <v>TRAFRECLTDMD</v>
      </c>
      <c r="G137" s="17" t="str">
        <f>F137</f>
        <v>TRAFRECLTDMD</v>
      </c>
      <c r="H137" s="18">
        <v>2019</v>
      </c>
      <c r="I137" s="18" t="s">
        <v>483</v>
      </c>
      <c r="J137" s="18">
        <v>1</v>
      </c>
      <c r="K137" s="20">
        <f>-SUMIFS('TRA RESID'!$P:$P,'TRA RESID'!$H:$H,$E137,'TRA RESID'!$I:$I,$F137)/SUMIFS('TRA RESID'!$P:$P,'TRA RESID'!$I:$I,$F137)*O137</f>
        <v>0</v>
      </c>
      <c r="L137" s="18">
        <v>0</v>
      </c>
      <c r="M137" s="18">
        <v>5</v>
      </c>
      <c r="N137" s="9"/>
      <c r="O137" s="21">
        <v>0.98</v>
      </c>
      <c r="Q137" s="15" t="str">
        <f t="shared" si="40"/>
        <v>*</v>
      </c>
      <c r="R137" s="16"/>
      <c r="S137" s="17" t="str">
        <f t="shared" si="42"/>
        <v>TRARNG</v>
      </c>
      <c r="T137" s="17" t="str">
        <f t="shared" si="43"/>
        <v>TRAFRECLTDMD</v>
      </c>
      <c r="U137" s="17" t="str">
        <f t="shared" si="44"/>
        <v>TRAFRECLTDMD</v>
      </c>
      <c r="V137" s="18">
        <v>2019</v>
      </c>
      <c r="W137" s="18" t="s">
        <v>484</v>
      </c>
      <c r="X137" s="18">
        <v>1</v>
      </c>
      <c r="Y137" s="20">
        <f>-MIN(SUMIFS('TRA RESID'!$P:$P,'TRA RESID'!$H:$H,$E137,'TRA RESID'!$I:$I,$F137)/SUMIFS('TRA RESID'!$P:$P,'TRA RESID'!$I:$I,$F137)*AC137,1)</f>
        <v>0</v>
      </c>
      <c r="Z137" s="18">
        <v>0</v>
      </c>
      <c r="AA137" s="18">
        <v>5</v>
      </c>
      <c r="AB137" s="9"/>
      <c r="AC137" s="21">
        <v>1.02</v>
      </c>
    </row>
    <row r="138" spans="1:29" x14ac:dyDescent="0.25">
      <c r="A138" s="9">
        <f>A137</f>
        <v>34</v>
      </c>
      <c r="B138" s="9"/>
      <c r="C138" s="15" t="str">
        <f>IF(C137="*",C137,"")</f>
        <v>*</v>
      </c>
      <c r="D138" s="16"/>
      <c r="E138" s="17" t="str">
        <f t="shared" ref="E138:G140" si="45">E137</f>
        <v>TRARNG</v>
      </c>
      <c r="F138" s="17" t="str">
        <f t="shared" si="45"/>
        <v>TRAFRECLTDMD</v>
      </c>
      <c r="G138" s="17" t="str">
        <f t="shared" si="45"/>
        <v>TRAFRECLTDMD</v>
      </c>
      <c r="H138" s="18">
        <v>2025</v>
      </c>
      <c r="I138" s="18" t="str">
        <f>I137</f>
        <v>LO</v>
      </c>
      <c r="J138" s="18"/>
      <c r="K138" s="20">
        <f>-SUMIFS('TRA RESID'!$P:$P,'TRA RESID'!$H:$H,$E138,'TRA RESID'!$I:$I,$F138)/SUMIFS('TRA RESID'!$P:$P,'TRA RESID'!$I:$I,$F138)*O138</f>
        <v>0</v>
      </c>
      <c r="L138" s="18"/>
      <c r="M138" s="18"/>
      <c r="N138" s="9"/>
      <c r="O138" s="21">
        <v>0.8</v>
      </c>
      <c r="Q138" s="15" t="str">
        <f t="shared" si="40"/>
        <v>*</v>
      </c>
      <c r="R138" s="16"/>
      <c r="S138" s="17" t="str">
        <f t="shared" si="42"/>
        <v>TRARNG</v>
      </c>
      <c r="T138" s="17" t="str">
        <f t="shared" si="43"/>
        <v>TRAFRECLTDMD</v>
      </c>
      <c r="U138" s="17" t="str">
        <f t="shared" si="44"/>
        <v>TRAFRECLTDMD</v>
      </c>
      <c r="V138" s="18">
        <v>2025</v>
      </c>
      <c r="W138" s="18" t="str">
        <f>W137</f>
        <v>UP</v>
      </c>
      <c r="X138" s="18"/>
      <c r="Y138" s="20">
        <f>-MIN(SUMIFS('TRA RESID'!$P:$P,'TRA RESID'!$H:$H,$E138,'TRA RESID'!$I:$I,$F138)/SUMIFS('TRA RESID'!$P:$P,'TRA RESID'!$I:$I,$F138)*AC138,1)</f>
        <v>0</v>
      </c>
      <c r="Z138" s="18"/>
      <c r="AA138" s="18"/>
      <c r="AB138" s="9"/>
      <c r="AC138" s="21">
        <v>1.2</v>
      </c>
    </row>
    <row r="139" spans="1:29" x14ac:dyDescent="0.25">
      <c r="A139" s="9">
        <f>A138</f>
        <v>34</v>
      </c>
      <c r="B139" s="9"/>
      <c r="C139" s="15" t="str">
        <f>IF(C138="*",C138,"")</f>
        <v>*</v>
      </c>
      <c r="D139" s="16"/>
      <c r="E139" s="17" t="str">
        <f t="shared" si="45"/>
        <v>TRARNG</v>
      </c>
      <c r="F139" s="17" t="str">
        <f t="shared" si="45"/>
        <v>TRAFRECLTDMD</v>
      </c>
      <c r="G139" s="17" t="str">
        <f t="shared" si="45"/>
        <v>TRAFRECLTDMD</v>
      </c>
      <c r="H139" s="18">
        <v>2030</v>
      </c>
      <c r="I139" s="18" t="str">
        <f>I138</f>
        <v>LO</v>
      </c>
      <c r="J139" s="18"/>
      <c r="K139" s="20">
        <f>-SUMIFS('TRA RESID'!$P:$P,'TRA RESID'!$H:$H,$E139,'TRA RESID'!$I:$I,$F139)/SUMIFS('TRA RESID'!$P:$P,'TRA RESID'!$I:$I,$F139)*O139</f>
        <v>0</v>
      </c>
      <c r="L139" s="18"/>
      <c r="M139" s="18"/>
      <c r="N139" s="9"/>
      <c r="O139" s="21">
        <v>0.2</v>
      </c>
      <c r="Q139" s="15" t="str">
        <f t="shared" si="40"/>
        <v>*</v>
      </c>
      <c r="R139" s="16"/>
      <c r="S139" s="17" t="str">
        <f t="shared" si="42"/>
        <v>TRARNG</v>
      </c>
      <c r="T139" s="17" t="str">
        <f t="shared" si="43"/>
        <v>TRAFRECLTDMD</v>
      </c>
      <c r="U139" s="17" t="str">
        <f t="shared" si="44"/>
        <v>TRAFRECLTDMD</v>
      </c>
      <c r="V139" s="18">
        <v>2030</v>
      </c>
      <c r="W139" s="18" t="str">
        <f>W138</f>
        <v>UP</v>
      </c>
      <c r="X139" s="18"/>
      <c r="Y139" s="20">
        <f>-MIN(SUMIFS('TRA RESID'!$P:$P,'TRA RESID'!$H:$H,$E139,'TRA RESID'!$I:$I,$F139)/SUMIFS('TRA RESID'!$P:$P,'TRA RESID'!$I:$I,$F139)*AC139,1)</f>
        <v>0</v>
      </c>
      <c r="Z139" s="18"/>
      <c r="AA139" s="18"/>
      <c r="AB139" s="9"/>
      <c r="AC139" s="21">
        <v>1.5</v>
      </c>
    </row>
    <row r="140" spans="1:29" x14ac:dyDescent="0.25">
      <c r="A140" s="22">
        <f>A139</f>
        <v>34</v>
      </c>
      <c r="B140" s="22"/>
      <c r="C140" s="23" t="str">
        <f>IF(C139="*",C139,"")</f>
        <v>*</v>
      </c>
      <c r="D140" s="24"/>
      <c r="E140" s="25" t="str">
        <f t="shared" si="45"/>
        <v>TRARNG</v>
      </c>
      <c r="F140" s="25" t="str">
        <f t="shared" si="45"/>
        <v>TRAFRECLTDMD</v>
      </c>
      <c r="G140" s="25" t="str">
        <f t="shared" si="45"/>
        <v>TRAFRECLTDMD</v>
      </c>
      <c r="H140" s="26">
        <v>2050</v>
      </c>
      <c r="I140" s="26" t="str">
        <f>I139</f>
        <v>LO</v>
      </c>
      <c r="J140" s="26"/>
      <c r="K140" s="27">
        <f>-SUMIFS('TRA RESID'!$P:$P,'TRA RESID'!$H:$H,$E140,'TRA RESID'!$I:$I,$F140)/SUMIFS('TRA RESID'!$P:$P,'TRA RESID'!$I:$I,$F140)*O140</f>
        <v>0</v>
      </c>
      <c r="L140" s="26"/>
      <c r="M140" s="26"/>
      <c r="N140" s="22"/>
      <c r="O140" s="28">
        <v>0</v>
      </c>
      <c r="Q140" s="23" t="str">
        <f t="shared" si="40"/>
        <v>*</v>
      </c>
      <c r="R140" s="24"/>
      <c r="S140" s="25" t="str">
        <f t="shared" si="42"/>
        <v>TRARNG</v>
      </c>
      <c r="T140" s="25" t="str">
        <f t="shared" si="43"/>
        <v>TRAFRECLTDMD</v>
      </c>
      <c r="U140" s="25" t="str">
        <f t="shared" si="44"/>
        <v>TRAFRECLTDMD</v>
      </c>
      <c r="V140" s="26">
        <v>2050</v>
      </c>
      <c r="W140" s="26" t="str">
        <f>W139</f>
        <v>UP</v>
      </c>
      <c r="X140" s="26"/>
      <c r="Y140" s="27">
        <f>-MIN(SUMIFS('TRA RESID'!$P:$P,'TRA RESID'!$H:$H,$E140,'TRA RESID'!$I:$I,$F140)/SUMIFS('TRA RESID'!$P:$P,'TRA RESID'!$I:$I,$F140)*AC140,1)</f>
        <v>0</v>
      </c>
      <c r="Z140" s="26"/>
      <c r="AA140" s="26"/>
      <c r="AB140" s="22"/>
      <c r="AC140" s="28">
        <v>3</v>
      </c>
    </row>
    <row r="141" spans="1:29" x14ac:dyDescent="0.25">
      <c r="A141" s="14">
        <f>A137+1</f>
        <v>35</v>
      </c>
      <c r="B141" s="9"/>
      <c r="C141" s="15" t="str">
        <f>IF(E141="","",IF(_xlfn.XLOOKUP($A141,Selected_constraint!$A:$A,Selected_constraint!$D:$D)=1,"*",IF(SUMIFS('TRA TECH'!$M:$M,'TRA TECH'!$H:$H,E141,'TRA TECH'!$I:$I,F141)=0,"*",IF(SUMIFS('TRA RESID'!$P:$P,'TRA RESID'!$H:$H,$E141,'TRA RESID'!$I:$I,$F141)=0,"*","UC_MarketShare_"&amp;LEFT(F141,LEN(F141)-3)&amp;"_"&amp;RIGHT(E141,3)&amp;"_MIN"))))</f>
        <v>UC_MarketShare_TRAFRECLT_BAT_MIN</v>
      </c>
      <c r="D141" s="16"/>
      <c r="E141" s="17" t="str">
        <f>_xlfn.XLOOKUP($A141,Selected_constraint!$A:$A,Selected_constraint!$B:$B)</f>
        <v>TRABAT</v>
      </c>
      <c r="F141" s="17" t="str">
        <f>_xlfn.XLOOKUP($A141,Selected_constraint!$A:$A,Selected_constraint!$C:$C)</f>
        <v>TRAFRECLTDMD</v>
      </c>
      <c r="G141" s="17" t="str">
        <f>F141</f>
        <v>TRAFRECLTDMD</v>
      </c>
      <c r="H141" s="18">
        <v>2019</v>
      </c>
      <c r="I141" s="18" t="s">
        <v>483</v>
      </c>
      <c r="J141" s="18">
        <v>1</v>
      </c>
      <c r="K141" s="20">
        <f>-SUMIFS('TRA RESID'!$P:$P,'TRA RESID'!$H:$H,$E141,'TRA RESID'!$I:$I,$F141)/SUMIFS('TRA RESID'!$P:$P,'TRA RESID'!$I:$I,$F141)*O141</f>
        <v>-6.3688385533321179E-3</v>
      </c>
      <c r="L141" s="18">
        <v>0</v>
      </c>
      <c r="M141" s="18">
        <v>5</v>
      </c>
      <c r="N141" s="9"/>
      <c r="O141" s="21">
        <v>0.98</v>
      </c>
      <c r="Q141" s="15" t="str">
        <f t="shared" si="40"/>
        <v>UC_MarketShare_TRAFRECLT_BAT_MAX</v>
      </c>
      <c r="R141" s="16"/>
      <c r="S141" s="17" t="str">
        <f t="shared" si="42"/>
        <v>TRABAT</v>
      </c>
      <c r="T141" s="17" t="str">
        <f t="shared" si="43"/>
        <v>TRAFRECLTDMD</v>
      </c>
      <c r="U141" s="17" t="str">
        <f t="shared" si="44"/>
        <v>TRAFRECLTDMD</v>
      </c>
      <c r="V141" s="18">
        <v>2019</v>
      </c>
      <c r="W141" s="18" t="s">
        <v>484</v>
      </c>
      <c r="X141" s="18">
        <v>1</v>
      </c>
      <c r="Y141" s="20">
        <f>-MIN(SUMIFS('TRA RESID'!$P:$P,'TRA RESID'!$H:$H,$E141,'TRA RESID'!$I:$I,$F141)/SUMIFS('TRA RESID'!$P:$P,'TRA RESID'!$I:$I,$F141)*AC141,1)</f>
        <v>-6.6287911473456741E-3</v>
      </c>
      <c r="Z141" s="18">
        <v>0</v>
      </c>
      <c r="AA141" s="18">
        <v>5</v>
      </c>
      <c r="AB141" s="9"/>
      <c r="AC141" s="21">
        <v>1.02</v>
      </c>
    </row>
    <row r="142" spans="1:29" x14ac:dyDescent="0.25">
      <c r="A142" s="9">
        <f>A141</f>
        <v>35</v>
      </c>
      <c r="B142" s="9"/>
      <c r="C142" s="15" t="str">
        <f>IF(C141="*",C141,"")</f>
        <v/>
      </c>
      <c r="D142" s="16"/>
      <c r="E142" s="17" t="str">
        <f t="shared" ref="E142:G144" si="46">E141</f>
        <v>TRABAT</v>
      </c>
      <c r="F142" s="17" t="str">
        <f t="shared" si="46"/>
        <v>TRAFRECLTDMD</v>
      </c>
      <c r="G142" s="17" t="str">
        <f t="shared" si="46"/>
        <v>TRAFRECLTDMD</v>
      </c>
      <c r="H142" s="18">
        <v>2025</v>
      </c>
      <c r="I142" s="18" t="str">
        <f>I141</f>
        <v>LO</v>
      </c>
      <c r="J142" s="18"/>
      <c r="K142" s="20">
        <f>-SUMIFS('TRA RESID'!$P:$P,'TRA RESID'!$H:$H,$E142,'TRA RESID'!$I:$I,$F142)/SUMIFS('TRA RESID'!$P:$P,'TRA RESID'!$I:$I,$F142)*O142</f>
        <v>-6.498814850338896E-3</v>
      </c>
      <c r="L142" s="18"/>
      <c r="M142" s="18"/>
      <c r="N142" s="9"/>
      <c r="O142" s="21">
        <v>1</v>
      </c>
      <c r="Q142" s="15" t="str">
        <f t="shared" si="40"/>
        <v/>
      </c>
      <c r="R142" s="16"/>
      <c r="S142" s="17" t="str">
        <f t="shared" si="42"/>
        <v>TRABAT</v>
      </c>
      <c r="T142" s="17" t="str">
        <f t="shared" si="43"/>
        <v>TRAFRECLTDMD</v>
      </c>
      <c r="U142" s="17" t="str">
        <f t="shared" si="44"/>
        <v>TRAFRECLTDMD</v>
      </c>
      <c r="V142" s="18">
        <v>2025</v>
      </c>
      <c r="W142" s="18" t="str">
        <f>W141</f>
        <v>UP</v>
      </c>
      <c r="X142" s="18"/>
      <c r="Y142" s="20">
        <f>-MIN(SUMIFS('TRA RESID'!$P:$P,'TRA RESID'!$H:$H,$E142,'TRA RESID'!$I:$I,$F142)/SUMIFS('TRA RESID'!$P:$P,'TRA RESID'!$I:$I,$F142)*AC142,1)</f>
        <v>-0.19496444551016687</v>
      </c>
      <c r="Z142" s="18"/>
      <c r="AA142" s="18"/>
      <c r="AB142" s="9"/>
      <c r="AC142" s="21">
        <v>30</v>
      </c>
    </row>
    <row r="143" spans="1:29" x14ac:dyDescent="0.25">
      <c r="A143" s="9">
        <f>A142</f>
        <v>35</v>
      </c>
      <c r="B143" s="9"/>
      <c r="C143" s="15" t="str">
        <f>IF(C142="*",C142,"")</f>
        <v/>
      </c>
      <c r="D143" s="16"/>
      <c r="E143" s="17" t="str">
        <f t="shared" si="46"/>
        <v>TRABAT</v>
      </c>
      <c r="F143" s="17" t="str">
        <f t="shared" si="46"/>
        <v>TRAFRECLTDMD</v>
      </c>
      <c r="G143" s="17" t="str">
        <f t="shared" si="46"/>
        <v>TRAFRECLTDMD</v>
      </c>
      <c r="H143" s="18">
        <v>2030</v>
      </c>
      <c r="I143" s="18" t="str">
        <f>I142</f>
        <v>LO</v>
      </c>
      <c r="J143" s="18"/>
      <c r="K143" s="20">
        <f>-SUMIFS('TRA RESID'!$P:$P,'TRA RESID'!$H:$H,$E143,'TRA RESID'!$I:$I,$F143)/SUMIFS('TRA RESID'!$P:$P,'TRA RESID'!$I:$I,$F143)*O143</f>
        <v>-6.498814850338896E-3</v>
      </c>
      <c r="L143" s="18"/>
      <c r="M143" s="18"/>
      <c r="N143" s="9"/>
      <c r="O143" s="21">
        <v>1</v>
      </c>
      <c r="Q143" s="15" t="str">
        <f t="shared" si="40"/>
        <v/>
      </c>
      <c r="R143" s="16"/>
      <c r="S143" s="17" t="str">
        <f t="shared" si="42"/>
        <v>TRABAT</v>
      </c>
      <c r="T143" s="17" t="str">
        <f t="shared" si="43"/>
        <v>TRAFRECLTDMD</v>
      </c>
      <c r="U143" s="17" t="str">
        <f t="shared" si="44"/>
        <v>TRAFRECLTDMD</v>
      </c>
      <c r="V143" s="18">
        <v>2030</v>
      </c>
      <c r="W143" s="18" t="str">
        <f>W142</f>
        <v>UP</v>
      </c>
      <c r="X143" s="18"/>
      <c r="Y143" s="20">
        <f>-MIN(SUMIFS('TRA RESID'!$P:$P,'TRA RESID'!$H:$H,$E143,'TRA RESID'!$I:$I,$F143)/SUMIFS('TRA RESID'!$P:$P,'TRA RESID'!$I:$I,$F143)*AC143,1)</f>
        <v>-0.4549170395237227</v>
      </c>
      <c r="Z143" s="18"/>
      <c r="AA143" s="18"/>
      <c r="AB143" s="9"/>
      <c r="AC143" s="21">
        <v>70</v>
      </c>
    </row>
    <row r="144" spans="1:29" x14ac:dyDescent="0.25">
      <c r="A144" s="22">
        <f>A143</f>
        <v>35</v>
      </c>
      <c r="B144" s="22"/>
      <c r="C144" s="23" t="str">
        <f>IF(C143="*",C143,"")</f>
        <v/>
      </c>
      <c r="D144" s="24"/>
      <c r="E144" s="25" t="str">
        <f t="shared" si="46"/>
        <v>TRABAT</v>
      </c>
      <c r="F144" s="25" t="str">
        <f t="shared" si="46"/>
        <v>TRAFRECLTDMD</v>
      </c>
      <c r="G144" s="25" t="str">
        <f t="shared" si="46"/>
        <v>TRAFRECLTDMD</v>
      </c>
      <c r="H144" s="26">
        <v>2050</v>
      </c>
      <c r="I144" s="26" t="str">
        <f>I143</f>
        <v>LO</v>
      </c>
      <c r="J144" s="26"/>
      <c r="K144" s="27">
        <f>-SUMIFS('TRA RESID'!$P:$P,'TRA RESID'!$H:$H,$E144,'TRA RESID'!$I:$I,$F144)/SUMIFS('TRA RESID'!$P:$P,'TRA RESID'!$I:$I,$F144)*O144</f>
        <v>-6.498814850338896E-3</v>
      </c>
      <c r="L144" s="26"/>
      <c r="M144" s="26"/>
      <c r="N144" s="22"/>
      <c r="O144" s="28">
        <v>1</v>
      </c>
      <c r="Q144" s="23" t="str">
        <f t="shared" si="40"/>
        <v/>
      </c>
      <c r="R144" s="24"/>
      <c r="S144" s="25" t="str">
        <f t="shared" si="42"/>
        <v>TRABAT</v>
      </c>
      <c r="T144" s="25" t="str">
        <f t="shared" si="43"/>
        <v>TRAFRECLTDMD</v>
      </c>
      <c r="U144" s="25" t="str">
        <f t="shared" si="44"/>
        <v>TRAFRECLTDMD</v>
      </c>
      <c r="V144" s="26">
        <v>2050</v>
      </c>
      <c r="W144" s="26" t="str">
        <f>W143</f>
        <v>UP</v>
      </c>
      <c r="X144" s="26"/>
      <c r="Y144" s="27">
        <f>-MIN(SUMIFS('TRA RESID'!$P:$P,'TRA RESID'!$H:$H,$E144,'TRA RESID'!$I:$I,$F144)/SUMIFS('TRA RESID'!$P:$P,'TRA RESID'!$I:$I,$F144)*AC144,1)</f>
        <v>-1</v>
      </c>
      <c r="Z144" s="26"/>
      <c r="AA144" s="26"/>
      <c r="AB144" s="22"/>
      <c r="AC144" s="28">
        <v>200</v>
      </c>
    </row>
    <row r="145" spans="1:29" x14ac:dyDescent="0.25">
      <c r="A145" s="14">
        <f>A141+1</f>
        <v>36</v>
      </c>
      <c r="B145" s="9"/>
      <c r="C145" s="15" t="str">
        <f>IF(E145="","",IF(_xlfn.XLOOKUP($A145,Selected_constraint!$A:$A,Selected_constraint!$D:$D)=1,"*",IF(SUMIFS('TRA TECH'!$M:$M,'TRA TECH'!$H:$H,E145,'TRA TECH'!$I:$I,F145)=0,"*",IF(SUMIFS('TRA RESID'!$P:$P,'TRA RESID'!$H:$H,$E145,'TRA RESID'!$I:$I,$F145)=0,"*","UC_MarketShare_"&amp;LEFT(F145,LEN(F145)-3)&amp;"_"&amp;RIGHT(E145,3)&amp;"_MIN"))))</f>
        <v>*</v>
      </c>
      <c r="D145" s="16"/>
      <c r="E145" s="17" t="str">
        <f>_xlfn.XLOOKUP($A145,Selected_constraint!$A:$A,Selected_constraint!$B:$B)</f>
        <v>TRAH2G</v>
      </c>
      <c r="F145" s="17" t="str">
        <f>_xlfn.XLOOKUP($A145,Selected_constraint!$A:$A,Selected_constraint!$C:$C)</f>
        <v>TRAFRECLTDMD</v>
      </c>
      <c r="G145" s="17" t="str">
        <f>F145</f>
        <v>TRAFRECLTDMD</v>
      </c>
      <c r="H145" s="18">
        <v>2019</v>
      </c>
      <c r="I145" s="18" t="s">
        <v>483</v>
      </c>
      <c r="J145" s="18">
        <v>1</v>
      </c>
      <c r="K145" s="20">
        <f>-SUMIFS('TRA RESID'!$P:$P,'TRA RESID'!$H:$H,$E145,'TRA RESID'!$I:$I,$F145)/SUMIFS('TRA RESID'!$P:$P,'TRA RESID'!$I:$I,$F145)*O145</f>
        <v>0</v>
      </c>
      <c r="L145" s="18">
        <v>0</v>
      </c>
      <c r="M145" s="18">
        <v>5</v>
      </c>
      <c r="N145" s="9"/>
      <c r="O145" s="21">
        <v>0.98</v>
      </c>
      <c r="Q145" s="15" t="str">
        <f t="shared" si="40"/>
        <v>*</v>
      </c>
      <c r="R145" s="16"/>
      <c r="S145" s="17" t="str">
        <f t="shared" si="42"/>
        <v>TRAH2G</v>
      </c>
      <c r="T145" s="17" t="str">
        <f t="shared" si="43"/>
        <v>TRAFRECLTDMD</v>
      </c>
      <c r="U145" s="17" t="str">
        <f t="shared" si="44"/>
        <v>TRAFRECLTDMD</v>
      </c>
      <c r="V145" s="18">
        <v>2019</v>
      </c>
      <c r="W145" s="18" t="s">
        <v>484</v>
      </c>
      <c r="X145" s="18">
        <v>1</v>
      </c>
      <c r="Y145" s="20">
        <f>-MIN(SUMIFS('TRA RESID'!$P:$P,'TRA RESID'!$H:$H,$E145,'TRA RESID'!$I:$I,$F145)/SUMIFS('TRA RESID'!$P:$P,'TRA RESID'!$I:$I,$F145)*AC145,1)</f>
        <v>0</v>
      </c>
      <c r="Z145" s="18">
        <v>0</v>
      </c>
      <c r="AA145" s="18">
        <v>5</v>
      </c>
      <c r="AB145" s="9"/>
      <c r="AC145" s="21">
        <v>1.02</v>
      </c>
    </row>
    <row r="146" spans="1:29" x14ac:dyDescent="0.25">
      <c r="A146" s="9">
        <f>A145</f>
        <v>36</v>
      </c>
      <c r="B146" s="9"/>
      <c r="C146" s="15" t="str">
        <f>IF(C145="*",C145,"")</f>
        <v>*</v>
      </c>
      <c r="D146" s="16"/>
      <c r="E146" s="17" t="str">
        <f t="shared" ref="E146:G148" si="47">E145</f>
        <v>TRAH2G</v>
      </c>
      <c r="F146" s="17" t="str">
        <f t="shared" si="47"/>
        <v>TRAFRECLTDMD</v>
      </c>
      <c r="G146" s="17" t="str">
        <f t="shared" si="47"/>
        <v>TRAFRECLTDMD</v>
      </c>
      <c r="H146" s="18">
        <v>2025</v>
      </c>
      <c r="I146" s="18" t="str">
        <f>I145</f>
        <v>LO</v>
      </c>
      <c r="J146" s="18"/>
      <c r="K146" s="20">
        <f>-SUMIFS('TRA RESID'!$P:$P,'TRA RESID'!$H:$H,$E146,'TRA RESID'!$I:$I,$F146)/SUMIFS('TRA RESID'!$P:$P,'TRA RESID'!$I:$I,$F146)*O146</f>
        <v>0</v>
      </c>
      <c r="L146" s="18"/>
      <c r="M146" s="18"/>
      <c r="N146" s="9"/>
      <c r="O146" s="21">
        <v>0.8</v>
      </c>
      <c r="Q146" s="15" t="str">
        <f t="shared" si="40"/>
        <v>*</v>
      </c>
      <c r="R146" s="16"/>
      <c r="S146" s="17" t="str">
        <f t="shared" si="42"/>
        <v>TRAH2G</v>
      </c>
      <c r="T146" s="17" t="str">
        <f t="shared" si="43"/>
        <v>TRAFRECLTDMD</v>
      </c>
      <c r="U146" s="17" t="str">
        <f t="shared" si="44"/>
        <v>TRAFRECLTDMD</v>
      </c>
      <c r="V146" s="18">
        <v>2025</v>
      </c>
      <c r="W146" s="18" t="str">
        <f>W145</f>
        <v>UP</v>
      </c>
      <c r="X146" s="18"/>
      <c r="Y146" s="20">
        <f>-MIN(SUMIFS('TRA RESID'!$P:$P,'TRA RESID'!$H:$H,$E146,'TRA RESID'!$I:$I,$F146)/SUMIFS('TRA RESID'!$P:$P,'TRA RESID'!$I:$I,$F146)*AC146,1)</f>
        <v>0</v>
      </c>
      <c r="Z146" s="18"/>
      <c r="AA146" s="18"/>
      <c r="AB146" s="9"/>
      <c r="AC146" s="21">
        <v>1.2</v>
      </c>
    </row>
    <row r="147" spans="1:29" x14ac:dyDescent="0.25">
      <c r="A147" s="9">
        <f>A146</f>
        <v>36</v>
      </c>
      <c r="B147" s="9"/>
      <c r="C147" s="15" t="str">
        <f>IF(C146="*",C146,"")</f>
        <v>*</v>
      </c>
      <c r="D147" s="16"/>
      <c r="E147" s="17" t="str">
        <f t="shared" si="47"/>
        <v>TRAH2G</v>
      </c>
      <c r="F147" s="17" t="str">
        <f t="shared" si="47"/>
        <v>TRAFRECLTDMD</v>
      </c>
      <c r="G147" s="17" t="str">
        <f t="shared" si="47"/>
        <v>TRAFRECLTDMD</v>
      </c>
      <c r="H147" s="18">
        <v>2030</v>
      </c>
      <c r="I147" s="18" t="str">
        <f>I146</f>
        <v>LO</v>
      </c>
      <c r="J147" s="18"/>
      <c r="K147" s="20">
        <f>-SUMIFS('TRA RESID'!$P:$P,'TRA RESID'!$H:$H,$E147,'TRA RESID'!$I:$I,$F147)/SUMIFS('TRA RESID'!$P:$P,'TRA RESID'!$I:$I,$F147)*O147</f>
        <v>0</v>
      </c>
      <c r="L147" s="18"/>
      <c r="M147" s="18"/>
      <c r="N147" s="9"/>
      <c r="O147" s="21">
        <v>0.2</v>
      </c>
      <c r="Q147" s="15" t="str">
        <f t="shared" si="40"/>
        <v>*</v>
      </c>
      <c r="R147" s="16"/>
      <c r="S147" s="17" t="str">
        <f t="shared" si="42"/>
        <v>TRAH2G</v>
      </c>
      <c r="T147" s="17" t="str">
        <f t="shared" si="43"/>
        <v>TRAFRECLTDMD</v>
      </c>
      <c r="U147" s="17" t="str">
        <f t="shared" si="44"/>
        <v>TRAFRECLTDMD</v>
      </c>
      <c r="V147" s="18">
        <v>2030</v>
      </c>
      <c r="W147" s="18" t="str">
        <f>W146</f>
        <v>UP</v>
      </c>
      <c r="X147" s="18"/>
      <c r="Y147" s="20">
        <f>-MIN(SUMIFS('TRA RESID'!$P:$P,'TRA RESID'!$H:$H,$E147,'TRA RESID'!$I:$I,$F147)/SUMIFS('TRA RESID'!$P:$P,'TRA RESID'!$I:$I,$F147)*AC147,1)</f>
        <v>0</v>
      </c>
      <c r="Z147" s="18"/>
      <c r="AA147" s="18"/>
      <c r="AB147" s="9"/>
      <c r="AC147" s="21">
        <v>1.5</v>
      </c>
    </row>
    <row r="148" spans="1:29" x14ac:dyDescent="0.25">
      <c r="A148" s="22">
        <f>A147</f>
        <v>36</v>
      </c>
      <c r="B148" s="22"/>
      <c r="C148" s="23" t="str">
        <f>IF(C147="*",C147,"")</f>
        <v>*</v>
      </c>
      <c r="D148" s="24"/>
      <c r="E148" s="25" t="str">
        <f t="shared" si="47"/>
        <v>TRAH2G</v>
      </c>
      <c r="F148" s="25" t="str">
        <f t="shared" si="47"/>
        <v>TRAFRECLTDMD</v>
      </c>
      <c r="G148" s="25" t="str">
        <f t="shared" si="47"/>
        <v>TRAFRECLTDMD</v>
      </c>
      <c r="H148" s="26">
        <v>2050</v>
      </c>
      <c r="I148" s="26" t="str">
        <f>I147</f>
        <v>LO</v>
      </c>
      <c r="J148" s="26"/>
      <c r="K148" s="27">
        <f>-SUMIFS('TRA RESID'!$P:$P,'TRA RESID'!$H:$H,$E148,'TRA RESID'!$I:$I,$F148)/SUMIFS('TRA RESID'!$P:$P,'TRA RESID'!$I:$I,$F148)*O148</f>
        <v>0</v>
      </c>
      <c r="L148" s="26"/>
      <c r="M148" s="26"/>
      <c r="N148" s="22"/>
      <c r="O148" s="28">
        <v>0</v>
      </c>
      <c r="Q148" s="23" t="str">
        <f t="shared" si="40"/>
        <v>*</v>
      </c>
      <c r="R148" s="24"/>
      <c r="S148" s="25" t="str">
        <f t="shared" si="42"/>
        <v>TRAH2G</v>
      </c>
      <c r="T148" s="25" t="str">
        <f t="shared" si="43"/>
        <v>TRAFRECLTDMD</v>
      </c>
      <c r="U148" s="25" t="str">
        <f t="shared" si="44"/>
        <v>TRAFRECLTDMD</v>
      </c>
      <c r="V148" s="26">
        <v>2050</v>
      </c>
      <c r="W148" s="26" t="str">
        <f>W147</f>
        <v>UP</v>
      </c>
      <c r="X148" s="26"/>
      <c r="Y148" s="27">
        <f>-MIN(SUMIFS('TRA RESID'!$P:$P,'TRA RESID'!$H:$H,$E148,'TRA RESID'!$I:$I,$F148)/SUMIFS('TRA RESID'!$P:$P,'TRA RESID'!$I:$I,$F148)*AC148,1)</f>
        <v>0</v>
      </c>
      <c r="Z148" s="26"/>
      <c r="AA148" s="26"/>
      <c r="AB148" s="22"/>
      <c r="AC148" s="28">
        <v>3</v>
      </c>
    </row>
    <row r="149" spans="1:29" x14ac:dyDescent="0.25">
      <c r="A149" s="14">
        <f>A145+1</f>
        <v>37</v>
      </c>
      <c r="B149" s="9"/>
      <c r="C149" s="15" t="str">
        <f>IF(E149="","",IF(_xlfn.XLOOKUP($A149,Selected_constraint!$A:$A,Selected_constraint!$D:$D)=1,"*",IF(SUMIFS('TRA TECH'!$M:$M,'TRA TECH'!$H:$H,E149,'TRA TECH'!$I:$I,F149)=0,"*",IF(SUMIFS('TRA RESID'!$P:$P,'TRA RESID'!$H:$H,$E149,'TRA RESID'!$I:$I,$F149)=0,"*","UC_MarketShare_"&amp;LEFT(F149,LEN(F149)-3)&amp;"_"&amp;RIGHT(E149,3)&amp;"_MIN"))))</f>
        <v>*</v>
      </c>
      <c r="D149" s="16"/>
      <c r="E149" s="17" t="str">
        <f>_xlfn.XLOOKUP($A149,Selected_constraint!$A:$A,Selected_constraint!$B:$B)</f>
        <v>TRAGSL</v>
      </c>
      <c r="F149" s="17" t="str">
        <f>_xlfn.XLOOKUP($A149,Selected_constraint!$A:$A,Selected_constraint!$C:$C)</f>
        <v>TRAFRERFTDMD</v>
      </c>
      <c r="G149" s="17" t="str">
        <f>F149</f>
        <v>TRAFRERFTDMD</v>
      </c>
      <c r="H149" s="18">
        <v>2019</v>
      </c>
      <c r="I149" s="18" t="s">
        <v>483</v>
      </c>
      <c r="J149" s="18">
        <v>1</v>
      </c>
      <c r="K149" s="20">
        <f>-SUMIFS('TRA RESID'!$P:$P,'TRA RESID'!$H:$H,$E149,'TRA RESID'!$I:$I,$F149)/SUMIFS('TRA RESID'!$P:$P,'TRA RESID'!$I:$I,$F149)*O149</f>
        <v>-3.6235299604074726E-2</v>
      </c>
      <c r="L149" s="18">
        <v>0</v>
      </c>
      <c r="M149" s="18">
        <v>5</v>
      </c>
      <c r="N149" s="9"/>
      <c r="O149" s="21">
        <v>0.98</v>
      </c>
      <c r="Q149" s="15" t="str">
        <f t="shared" si="40"/>
        <v>*</v>
      </c>
      <c r="R149" s="16"/>
      <c r="S149" s="17" t="str">
        <f t="shared" si="42"/>
        <v>TRAGSL</v>
      </c>
      <c r="T149" s="17" t="str">
        <f t="shared" si="43"/>
        <v>TRAFRERFTDMD</v>
      </c>
      <c r="U149" s="17" t="str">
        <f t="shared" si="44"/>
        <v>TRAFRERFTDMD</v>
      </c>
      <c r="V149" s="18">
        <v>2019</v>
      </c>
      <c r="W149" s="18" t="s">
        <v>484</v>
      </c>
      <c r="X149" s="18">
        <v>1</v>
      </c>
      <c r="Y149" s="20">
        <f>-MIN(SUMIFS('TRA RESID'!$P:$P,'TRA RESID'!$H:$H,$E149,'TRA RESID'!$I:$I,$F149)/SUMIFS('TRA RESID'!$P:$P,'TRA RESID'!$I:$I,$F149)*AC149,1)</f>
        <v>-3.7714291424649209E-2</v>
      </c>
      <c r="Z149" s="18">
        <v>0</v>
      </c>
      <c r="AA149" s="18">
        <v>5</v>
      </c>
      <c r="AB149" s="9"/>
      <c r="AC149" s="21">
        <v>1.02</v>
      </c>
    </row>
    <row r="150" spans="1:29" x14ac:dyDescent="0.25">
      <c r="A150" s="9">
        <f>A149</f>
        <v>37</v>
      </c>
      <c r="B150" s="9"/>
      <c r="C150" s="15" t="str">
        <f>IF(C149="*",C149,"")</f>
        <v>*</v>
      </c>
      <c r="D150" s="16"/>
      <c r="E150" s="17" t="str">
        <f t="shared" ref="E150:G152" si="48">E149</f>
        <v>TRAGSL</v>
      </c>
      <c r="F150" s="17" t="str">
        <f t="shared" si="48"/>
        <v>TRAFRERFTDMD</v>
      </c>
      <c r="G150" s="17" t="str">
        <f t="shared" si="48"/>
        <v>TRAFRERFTDMD</v>
      </c>
      <c r="H150" s="18">
        <v>2025</v>
      </c>
      <c r="I150" s="18" t="str">
        <f>I149</f>
        <v>LO</v>
      </c>
      <c r="J150" s="18"/>
      <c r="K150" s="20">
        <f>-SUMIFS('TRA RESID'!$P:$P,'TRA RESID'!$H:$H,$E150,'TRA RESID'!$I:$I,$F150)/SUMIFS('TRA RESID'!$P:$P,'TRA RESID'!$I:$I,$F150)*O150</f>
        <v>-2.9579836411489577E-2</v>
      </c>
      <c r="L150" s="18"/>
      <c r="M150" s="18"/>
      <c r="N150" s="9"/>
      <c r="O150" s="21">
        <v>0.8</v>
      </c>
      <c r="Q150" s="15" t="str">
        <f t="shared" si="40"/>
        <v>*</v>
      </c>
      <c r="R150" s="16"/>
      <c r="S150" s="17" t="str">
        <f t="shared" si="42"/>
        <v>TRAGSL</v>
      </c>
      <c r="T150" s="17" t="str">
        <f t="shared" si="43"/>
        <v>TRAFRERFTDMD</v>
      </c>
      <c r="U150" s="17" t="str">
        <f t="shared" si="44"/>
        <v>TRAFRERFTDMD</v>
      </c>
      <c r="V150" s="18">
        <v>2025</v>
      </c>
      <c r="W150" s="18" t="str">
        <f>W149</f>
        <v>UP</v>
      </c>
      <c r="X150" s="18"/>
      <c r="Y150" s="20">
        <f>-MIN(SUMIFS('TRA RESID'!$P:$P,'TRA RESID'!$H:$H,$E150,'TRA RESID'!$I:$I,$F150)/SUMIFS('TRA RESID'!$P:$P,'TRA RESID'!$I:$I,$F150)*AC150,1)</f>
        <v>-4.4369754617234358E-2</v>
      </c>
      <c r="Z150" s="18"/>
      <c r="AA150" s="18"/>
      <c r="AB150" s="9"/>
      <c r="AC150" s="21">
        <v>1.2</v>
      </c>
    </row>
    <row r="151" spans="1:29" x14ac:dyDescent="0.25">
      <c r="A151" s="9">
        <f>A150</f>
        <v>37</v>
      </c>
      <c r="B151" s="9"/>
      <c r="C151" s="15" t="str">
        <f>IF(C150="*",C150,"")</f>
        <v>*</v>
      </c>
      <c r="D151" s="16"/>
      <c r="E151" s="17" t="str">
        <f t="shared" si="48"/>
        <v>TRAGSL</v>
      </c>
      <c r="F151" s="17" t="str">
        <f t="shared" si="48"/>
        <v>TRAFRERFTDMD</v>
      </c>
      <c r="G151" s="17" t="str">
        <f t="shared" si="48"/>
        <v>TRAFRERFTDMD</v>
      </c>
      <c r="H151" s="18">
        <v>2030</v>
      </c>
      <c r="I151" s="18" t="str">
        <f>I150</f>
        <v>LO</v>
      </c>
      <c r="J151" s="18"/>
      <c r="K151" s="20">
        <f>-SUMIFS('TRA RESID'!$P:$P,'TRA RESID'!$H:$H,$E151,'TRA RESID'!$I:$I,$F151)/SUMIFS('TRA RESID'!$P:$P,'TRA RESID'!$I:$I,$F151)*O151</f>
        <v>-7.3949591028723942E-3</v>
      </c>
      <c r="L151" s="18"/>
      <c r="M151" s="18"/>
      <c r="N151" s="9"/>
      <c r="O151" s="21">
        <v>0.2</v>
      </c>
      <c r="Q151" s="15" t="str">
        <f t="shared" si="40"/>
        <v>*</v>
      </c>
      <c r="R151" s="16"/>
      <c r="S151" s="17" t="str">
        <f t="shared" si="42"/>
        <v>TRAGSL</v>
      </c>
      <c r="T151" s="17" t="str">
        <f t="shared" si="43"/>
        <v>TRAFRERFTDMD</v>
      </c>
      <c r="U151" s="17" t="str">
        <f t="shared" si="44"/>
        <v>TRAFRERFTDMD</v>
      </c>
      <c r="V151" s="18">
        <v>2030</v>
      </c>
      <c r="W151" s="18" t="str">
        <f>W150</f>
        <v>UP</v>
      </c>
      <c r="X151" s="18"/>
      <c r="Y151" s="20">
        <f>-MIN(SUMIFS('TRA RESID'!$P:$P,'TRA RESID'!$H:$H,$E151,'TRA RESID'!$I:$I,$F151)/SUMIFS('TRA RESID'!$P:$P,'TRA RESID'!$I:$I,$F151)*AC151,1)</f>
        <v>-5.5462193271542948E-2</v>
      </c>
      <c r="Z151" s="18"/>
      <c r="AA151" s="18"/>
      <c r="AB151" s="9"/>
      <c r="AC151" s="21">
        <v>1.5</v>
      </c>
    </row>
    <row r="152" spans="1:29" x14ac:dyDescent="0.25">
      <c r="A152" s="22">
        <f>A151</f>
        <v>37</v>
      </c>
      <c r="B152" s="22"/>
      <c r="C152" s="23" t="str">
        <f>IF(C151="*",C151,"")</f>
        <v>*</v>
      </c>
      <c r="D152" s="24"/>
      <c r="E152" s="25" t="str">
        <f t="shared" si="48"/>
        <v>TRAGSL</v>
      </c>
      <c r="F152" s="25" t="str">
        <f t="shared" si="48"/>
        <v>TRAFRERFTDMD</v>
      </c>
      <c r="G152" s="25" t="str">
        <f t="shared" si="48"/>
        <v>TRAFRERFTDMD</v>
      </c>
      <c r="H152" s="26">
        <v>2050</v>
      </c>
      <c r="I152" s="26" t="str">
        <f>I151</f>
        <v>LO</v>
      </c>
      <c r="J152" s="26"/>
      <c r="K152" s="27">
        <f>-SUMIFS('TRA RESID'!$P:$P,'TRA RESID'!$H:$H,$E152,'TRA RESID'!$I:$I,$F152)/SUMIFS('TRA RESID'!$P:$P,'TRA RESID'!$I:$I,$F152)*O152</f>
        <v>0</v>
      </c>
      <c r="L152" s="26"/>
      <c r="M152" s="26"/>
      <c r="N152" s="22"/>
      <c r="O152" s="28">
        <v>0</v>
      </c>
      <c r="Q152" s="23" t="str">
        <f t="shared" si="40"/>
        <v>*</v>
      </c>
      <c r="R152" s="24"/>
      <c r="S152" s="25" t="str">
        <f t="shared" si="42"/>
        <v>TRAGSL</v>
      </c>
      <c r="T152" s="25" t="str">
        <f t="shared" si="43"/>
        <v>TRAFRERFTDMD</v>
      </c>
      <c r="U152" s="25" t="str">
        <f t="shared" si="44"/>
        <v>TRAFRERFTDMD</v>
      </c>
      <c r="V152" s="26">
        <v>2050</v>
      </c>
      <c r="W152" s="26" t="str">
        <f>W151</f>
        <v>UP</v>
      </c>
      <c r="X152" s="26"/>
      <c r="Y152" s="27">
        <f>-MIN(SUMIFS('TRA RESID'!$P:$P,'TRA RESID'!$H:$H,$E152,'TRA RESID'!$I:$I,$F152)/SUMIFS('TRA RESID'!$P:$P,'TRA RESID'!$I:$I,$F152)*AC152,1)</f>
        <v>-0.1109243865430859</v>
      </c>
      <c r="Z152" s="26"/>
      <c r="AA152" s="26"/>
      <c r="AB152" s="22"/>
      <c r="AC152" s="28">
        <v>3</v>
      </c>
    </row>
    <row r="153" spans="1:29" x14ac:dyDescent="0.25">
      <c r="A153" s="14">
        <f>A149+1</f>
        <v>38</v>
      </c>
      <c r="B153" s="9"/>
      <c r="C153" s="15" t="str">
        <f>IF(E153="","",IF(_xlfn.XLOOKUP($A153,Selected_constraint!$A:$A,Selected_constraint!$D:$D)=1,"*",IF(SUMIFS('TRA TECH'!$M:$M,'TRA TECH'!$H:$H,E153,'TRA TECH'!$I:$I,F153)=0,"*",IF(SUMIFS('TRA RESID'!$P:$P,'TRA RESID'!$H:$H,$E153,'TRA RESID'!$I:$I,$F153)=0,"*","UC_MarketShare_"&amp;LEFT(F153,LEN(F153)-3)&amp;"_"&amp;RIGHT(E153,3)&amp;"_MIN"))))</f>
        <v>*</v>
      </c>
      <c r="D153" s="16"/>
      <c r="E153" s="17" t="str">
        <f>_xlfn.XLOOKUP($A153,Selected_constraint!$A:$A,Selected_constraint!$B:$B)</f>
        <v>TRAETH</v>
      </c>
      <c r="F153" s="17" t="str">
        <f>_xlfn.XLOOKUP($A153,Selected_constraint!$A:$A,Selected_constraint!$C:$C)</f>
        <v>TRAFRERFTDMD</v>
      </c>
      <c r="G153" s="17" t="str">
        <f>F153</f>
        <v>TRAFRERFTDMD</v>
      </c>
      <c r="H153" s="18">
        <v>2019</v>
      </c>
      <c r="I153" s="18" t="s">
        <v>483</v>
      </c>
      <c r="J153" s="18">
        <v>1</v>
      </c>
      <c r="K153" s="20">
        <f>-SUMIFS('TRA RESID'!$P:$P,'TRA RESID'!$H:$H,$E153,'TRA RESID'!$I:$I,$F153)/SUMIFS('TRA RESID'!$P:$P,'TRA RESID'!$I:$I,$F153)*O153</f>
        <v>0</v>
      </c>
      <c r="L153" s="18">
        <v>0</v>
      </c>
      <c r="M153" s="18">
        <v>5</v>
      </c>
      <c r="N153" s="9"/>
      <c r="O153" s="21">
        <v>0.98</v>
      </c>
      <c r="Q153" s="15" t="str">
        <f t="shared" si="40"/>
        <v>*</v>
      </c>
      <c r="R153" s="16"/>
      <c r="S153" s="17" t="str">
        <f t="shared" si="42"/>
        <v>TRAETH</v>
      </c>
      <c r="T153" s="17" t="str">
        <f t="shared" si="43"/>
        <v>TRAFRERFTDMD</v>
      </c>
      <c r="U153" s="17" t="str">
        <f t="shared" si="44"/>
        <v>TRAFRERFTDMD</v>
      </c>
      <c r="V153" s="18">
        <v>2019</v>
      </c>
      <c r="W153" s="18" t="s">
        <v>484</v>
      </c>
      <c r="X153" s="18">
        <v>1</v>
      </c>
      <c r="Y153" s="20">
        <f>-MIN(SUMIFS('TRA RESID'!$P:$P,'TRA RESID'!$H:$H,$E153,'TRA RESID'!$I:$I,$F153)/SUMIFS('TRA RESID'!$P:$P,'TRA RESID'!$I:$I,$F153)*AC153,1)</f>
        <v>0</v>
      </c>
      <c r="Z153" s="18">
        <v>0</v>
      </c>
      <c r="AA153" s="18">
        <v>5</v>
      </c>
      <c r="AB153" s="9"/>
      <c r="AC153" s="21">
        <v>1.02</v>
      </c>
    </row>
    <row r="154" spans="1:29" x14ac:dyDescent="0.25">
      <c r="A154" s="9">
        <f>A153</f>
        <v>38</v>
      </c>
      <c r="B154" s="9"/>
      <c r="C154" s="15" t="str">
        <f>IF(C153="*",C153,"")</f>
        <v>*</v>
      </c>
      <c r="D154" s="16"/>
      <c r="E154" s="17" t="str">
        <f t="shared" ref="E154:G156" si="49">E153</f>
        <v>TRAETH</v>
      </c>
      <c r="F154" s="17" t="str">
        <f t="shared" si="49"/>
        <v>TRAFRERFTDMD</v>
      </c>
      <c r="G154" s="17" t="str">
        <f t="shared" si="49"/>
        <v>TRAFRERFTDMD</v>
      </c>
      <c r="H154" s="18">
        <v>2025</v>
      </c>
      <c r="I154" s="18" t="str">
        <f>I153</f>
        <v>LO</v>
      </c>
      <c r="J154" s="18"/>
      <c r="K154" s="20">
        <f>-SUMIFS('TRA RESID'!$P:$P,'TRA RESID'!$H:$H,$E154,'TRA RESID'!$I:$I,$F154)/SUMIFS('TRA RESID'!$P:$P,'TRA RESID'!$I:$I,$F154)*O154</f>
        <v>0</v>
      </c>
      <c r="L154" s="18"/>
      <c r="M154" s="18"/>
      <c r="N154" s="9"/>
      <c r="O154" s="21">
        <v>0.8</v>
      </c>
      <c r="Q154" s="15" t="str">
        <f t="shared" si="40"/>
        <v>*</v>
      </c>
      <c r="R154" s="16"/>
      <c r="S154" s="17" t="str">
        <f t="shared" si="42"/>
        <v>TRAETH</v>
      </c>
      <c r="T154" s="17" t="str">
        <f t="shared" si="43"/>
        <v>TRAFRERFTDMD</v>
      </c>
      <c r="U154" s="17" t="str">
        <f t="shared" si="44"/>
        <v>TRAFRERFTDMD</v>
      </c>
      <c r="V154" s="18">
        <v>2025</v>
      </c>
      <c r="W154" s="18" t="str">
        <f>W153</f>
        <v>UP</v>
      </c>
      <c r="X154" s="18"/>
      <c r="Y154" s="20">
        <f>-MIN(SUMIFS('TRA RESID'!$P:$P,'TRA RESID'!$H:$H,$E154,'TRA RESID'!$I:$I,$F154)/SUMIFS('TRA RESID'!$P:$P,'TRA RESID'!$I:$I,$F154)*AC154,1)</f>
        <v>0</v>
      </c>
      <c r="Z154" s="18"/>
      <c r="AA154" s="18"/>
      <c r="AB154" s="9"/>
      <c r="AC154" s="21">
        <v>1.2</v>
      </c>
    </row>
    <row r="155" spans="1:29" x14ac:dyDescent="0.25">
      <c r="A155" s="9">
        <f>A154</f>
        <v>38</v>
      </c>
      <c r="B155" s="9"/>
      <c r="C155" s="15" t="str">
        <f>IF(C154="*",C154,"")</f>
        <v>*</v>
      </c>
      <c r="D155" s="16"/>
      <c r="E155" s="17" t="str">
        <f t="shared" si="49"/>
        <v>TRAETH</v>
      </c>
      <c r="F155" s="17" t="str">
        <f t="shared" si="49"/>
        <v>TRAFRERFTDMD</v>
      </c>
      <c r="G155" s="17" t="str">
        <f t="shared" si="49"/>
        <v>TRAFRERFTDMD</v>
      </c>
      <c r="H155" s="18">
        <v>2030</v>
      </c>
      <c r="I155" s="18" t="str">
        <f>I154</f>
        <v>LO</v>
      </c>
      <c r="J155" s="18"/>
      <c r="K155" s="20">
        <f>-SUMIFS('TRA RESID'!$P:$P,'TRA RESID'!$H:$H,$E155,'TRA RESID'!$I:$I,$F155)/SUMIFS('TRA RESID'!$P:$P,'TRA RESID'!$I:$I,$F155)*O155</f>
        <v>0</v>
      </c>
      <c r="L155" s="18"/>
      <c r="M155" s="18"/>
      <c r="N155" s="9"/>
      <c r="O155" s="21">
        <v>0.2</v>
      </c>
      <c r="Q155" s="15" t="str">
        <f t="shared" si="40"/>
        <v>*</v>
      </c>
      <c r="R155" s="16"/>
      <c r="S155" s="17" t="str">
        <f t="shared" si="42"/>
        <v>TRAETH</v>
      </c>
      <c r="T155" s="17" t="str">
        <f t="shared" si="43"/>
        <v>TRAFRERFTDMD</v>
      </c>
      <c r="U155" s="17" t="str">
        <f t="shared" si="44"/>
        <v>TRAFRERFTDMD</v>
      </c>
      <c r="V155" s="18">
        <v>2030</v>
      </c>
      <c r="W155" s="18" t="str">
        <f>W154</f>
        <v>UP</v>
      </c>
      <c r="X155" s="18"/>
      <c r="Y155" s="20">
        <f>-MIN(SUMIFS('TRA RESID'!$P:$P,'TRA RESID'!$H:$H,$E155,'TRA RESID'!$I:$I,$F155)/SUMIFS('TRA RESID'!$P:$P,'TRA RESID'!$I:$I,$F155)*AC155,1)</f>
        <v>0</v>
      </c>
      <c r="Z155" s="18"/>
      <c r="AA155" s="18"/>
      <c r="AB155" s="9"/>
      <c r="AC155" s="21">
        <v>1.5</v>
      </c>
    </row>
    <row r="156" spans="1:29" x14ac:dyDescent="0.25">
      <c r="A156" s="22">
        <f>A155</f>
        <v>38</v>
      </c>
      <c r="B156" s="22"/>
      <c r="C156" s="23" t="str">
        <f>IF(C155="*",C155,"")</f>
        <v>*</v>
      </c>
      <c r="D156" s="24"/>
      <c r="E156" s="25" t="str">
        <f t="shared" si="49"/>
        <v>TRAETH</v>
      </c>
      <c r="F156" s="25" t="str">
        <f t="shared" si="49"/>
        <v>TRAFRERFTDMD</v>
      </c>
      <c r="G156" s="25" t="str">
        <f t="shared" si="49"/>
        <v>TRAFRERFTDMD</v>
      </c>
      <c r="H156" s="26">
        <v>2050</v>
      </c>
      <c r="I156" s="26" t="str">
        <f>I155</f>
        <v>LO</v>
      </c>
      <c r="J156" s="26"/>
      <c r="K156" s="27">
        <f>-SUMIFS('TRA RESID'!$P:$P,'TRA RESID'!$H:$H,$E156,'TRA RESID'!$I:$I,$F156)/SUMIFS('TRA RESID'!$P:$P,'TRA RESID'!$I:$I,$F156)*O156</f>
        <v>0</v>
      </c>
      <c r="L156" s="26"/>
      <c r="M156" s="26"/>
      <c r="N156" s="22"/>
      <c r="O156" s="28">
        <v>0</v>
      </c>
      <c r="Q156" s="23" t="str">
        <f t="shared" si="40"/>
        <v>*</v>
      </c>
      <c r="R156" s="24"/>
      <c r="S156" s="25" t="str">
        <f t="shared" si="42"/>
        <v>TRAETH</v>
      </c>
      <c r="T156" s="25" t="str">
        <f t="shared" si="43"/>
        <v>TRAFRERFTDMD</v>
      </c>
      <c r="U156" s="25" t="str">
        <f t="shared" si="44"/>
        <v>TRAFRERFTDMD</v>
      </c>
      <c r="V156" s="26">
        <v>2050</v>
      </c>
      <c r="W156" s="26" t="str">
        <f>W155</f>
        <v>UP</v>
      </c>
      <c r="X156" s="26"/>
      <c r="Y156" s="27">
        <f>-MIN(SUMIFS('TRA RESID'!$P:$P,'TRA RESID'!$H:$H,$E156,'TRA RESID'!$I:$I,$F156)/SUMIFS('TRA RESID'!$P:$P,'TRA RESID'!$I:$I,$F156)*AC156,1)</f>
        <v>0</v>
      </c>
      <c r="Z156" s="26"/>
      <c r="AA156" s="26"/>
      <c r="AB156" s="22"/>
      <c r="AC156" s="28">
        <v>3</v>
      </c>
    </row>
    <row r="157" spans="1:29" x14ac:dyDescent="0.25">
      <c r="A157" s="14">
        <f>A153+1</f>
        <v>39</v>
      </c>
      <c r="B157" s="9"/>
      <c r="C157" s="15" t="str">
        <f>IF(E157="","",IF(_xlfn.XLOOKUP($A157,Selected_constraint!$A:$A,Selected_constraint!$D:$D)=1,"*",IF(SUMIFS('TRA TECH'!$M:$M,'TRA TECH'!$H:$H,E157,'TRA TECH'!$I:$I,F157)=0,"*",IF(SUMIFS('TRA RESID'!$P:$P,'TRA RESID'!$H:$H,$E157,'TRA RESID'!$I:$I,$F157)=0,"*","UC_MarketShare_"&amp;LEFT(F157,LEN(F157)-3)&amp;"_"&amp;RIGHT(E157,3)&amp;"_MIN"))))</f>
        <v>UC_MarketShare_TRAFRERFT_DSL_MIN</v>
      </c>
      <c r="D157" s="16"/>
      <c r="E157" s="17" t="str">
        <f>_xlfn.XLOOKUP($A157,Selected_constraint!$A:$A,Selected_constraint!$B:$B)</f>
        <v>TRADSL</v>
      </c>
      <c r="F157" s="17" t="str">
        <f>_xlfn.XLOOKUP($A157,Selected_constraint!$A:$A,Selected_constraint!$C:$C)</f>
        <v>TRAFRERFTDMD</v>
      </c>
      <c r="G157" s="17" t="str">
        <f>F157</f>
        <v>TRAFRERFTDMD</v>
      </c>
      <c r="H157" s="18">
        <v>2019</v>
      </c>
      <c r="I157" s="18" t="s">
        <v>483</v>
      </c>
      <c r="J157" s="18">
        <v>1</v>
      </c>
      <c r="K157" s="20">
        <f>-SUMIFS('TRA RESID'!$P:$P,'TRA RESID'!$H:$H,$E157,'TRA RESID'!$I:$I,$F157)/SUMIFS('TRA RESID'!$P:$P,'TRA RESID'!$I:$I,$F157)*O157</f>
        <v>-0.93966191059186255</v>
      </c>
      <c r="L157" s="18">
        <v>0</v>
      </c>
      <c r="M157" s="18">
        <v>5</v>
      </c>
      <c r="N157" s="9"/>
      <c r="O157" s="21">
        <v>0.98</v>
      </c>
      <c r="Q157" s="15" t="str">
        <f t="shared" si="40"/>
        <v>UC_MarketShare_TRAFRERFT_DSL_MAX</v>
      </c>
      <c r="R157" s="16"/>
      <c r="S157" s="17" t="str">
        <f t="shared" si="42"/>
        <v>TRADSL</v>
      </c>
      <c r="T157" s="17" t="str">
        <f t="shared" si="43"/>
        <v>TRAFRERFTDMD</v>
      </c>
      <c r="U157" s="17" t="str">
        <f t="shared" si="44"/>
        <v>TRAFRERFTDMD</v>
      </c>
      <c r="V157" s="18">
        <v>2019</v>
      </c>
      <c r="W157" s="18" t="s">
        <v>484</v>
      </c>
      <c r="X157" s="18">
        <v>1</v>
      </c>
      <c r="Y157" s="20">
        <f>-MIN(SUMIFS('TRA RESID'!$P:$P,'TRA RESID'!$H:$H,$E157,'TRA RESID'!$I:$I,$F157)/SUMIFS('TRA RESID'!$P:$P,'TRA RESID'!$I:$I,$F157)*AC157,1)</f>
        <v>-0.97801545796295908</v>
      </c>
      <c r="Z157" s="18">
        <v>0</v>
      </c>
      <c r="AA157" s="18">
        <v>5</v>
      </c>
      <c r="AB157" s="9"/>
      <c r="AC157" s="21">
        <v>1.02</v>
      </c>
    </row>
    <row r="158" spans="1:29" x14ac:dyDescent="0.25">
      <c r="A158" s="9">
        <f>A157</f>
        <v>39</v>
      </c>
      <c r="B158" s="9"/>
      <c r="C158" s="15" t="str">
        <f>IF(C157="*",C157,"")</f>
        <v/>
      </c>
      <c r="D158" s="16"/>
      <c r="E158" s="17" t="str">
        <f t="shared" ref="E158:G160" si="50">E157</f>
        <v>TRADSL</v>
      </c>
      <c r="F158" s="17" t="str">
        <f t="shared" si="50"/>
        <v>TRAFRERFTDMD</v>
      </c>
      <c r="G158" s="17" t="str">
        <f t="shared" si="50"/>
        <v>TRAFRERFTDMD</v>
      </c>
      <c r="H158" s="18">
        <v>2025</v>
      </c>
      <c r="I158" s="18" t="str">
        <f>I157</f>
        <v>LO</v>
      </c>
      <c r="J158" s="18"/>
      <c r="K158" s="20">
        <f>-SUMIFS('TRA RESID'!$P:$P,'TRA RESID'!$H:$H,$E158,'TRA RESID'!$I:$I,$F158)/SUMIFS('TRA RESID'!$P:$P,'TRA RESID'!$I:$I,$F158)*O158</f>
        <v>-0.76707094742192872</v>
      </c>
      <c r="L158" s="18"/>
      <c r="M158" s="18"/>
      <c r="N158" s="9"/>
      <c r="O158" s="21">
        <v>0.8</v>
      </c>
      <c r="Q158" s="15" t="str">
        <f t="shared" si="40"/>
        <v/>
      </c>
      <c r="R158" s="16"/>
      <c r="S158" s="17" t="str">
        <f t="shared" si="42"/>
        <v>TRADSL</v>
      </c>
      <c r="T158" s="17" t="str">
        <f t="shared" si="43"/>
        <v>TRAFRERFTDMD</v>
      </c>
      <c r="U158" s="17" t="str">
        <f t="shared" si="44"/>
        <v>TRAFRERFTDMD</v>
      </c>
      <c r="V158" s="18">
        <v>2025</v>
      </c>
      <c r="W158" s="18" t="str">
        <f>W157</f>
        <v>UP</v>
      </c>
      <c r="X158" s="18"/>
      <c r="Y158" s="20">
        <f>-MIN(SUMIFS('TRA RESID'!$P:$P,'TRA RESID'!$H:$H,$E158,'TRA RESID'!$I:$I,$F158)/SUMIFS('TRA RESID'!$P:$P,'TRA RESID'!$I:$I,$F158)*AC158,1)</f>
        <v>-1</v>
      </c>
      <c r="Z158" s="18"/>
      <c r="AA158" s="18"/>
      <c r="AB158" s="9"/>
      <c r="AC158" s="21">
        <v>1.2</v>
      </c>
    </row>
    <row r="159" spans="1:29" x14ac:dyDescent="0.25">
      <c r="A159" s="9">
        <f>A158</f>
        <v>39</v>
      </c>
      <c r="B159" s="9"/>
      <c r="C159" s="15" t="str">
        <f>IF(C158="*",C158,"")</f>
        <v/>
      </c>
      <c r="D159" s="16"/>
      <c r="E159" s="17" t="str">
        <f t="shared" si="50"/>
        <v>TRADSL</v>
      </c>
      <c r="F159" s="17" t="str">
        <f t="shared" si="50"/>
        <v>TRAFRERFTDMD</v>
      </c>
      <c r="G159" s="17" t="str">
        <f t="shared" si="50"/>
        <v>TRAFRERFTDMD</v>
      </c>
      <c r="H159" s="18">
        <v>2030</v>
      </c>
      <c r="I159" s="18" t="str">
        <f>I158</f>
        <v>LO</v>
      </c>
      <c r="J159" s="18"/>
      <c r="K159" s="20">
        <f>-SUMIFS('TRA RESID'!$P:$P,'TRA RESID'!$H:$H,$E159,'TRA RESID'!$I:$I,$F159)/SUMIFS('TRA RESID'!$P:$P,'TRA RESID'!$I:$I,$F159)*O159</f>
        <v>-0.19176773685548218</v>
      </c>
      <c r="L159" s="18"/>
      <c r="M159" s="18"/>
      <c r="N159" s="9"/>
      <c r="O159" s="21">
        <v>0.2</v>
      </c>
      <c r="Q159" s="15" t="str">
        <f t="shared" si="40"/>
        <v/>
      </c>
      <c r="R159" s="16"/>
      <c r="S159" s="17" t="str">
        <f t="shared" si="42"/>
        <v>TRADSL</v>
      </c>
      <c r="T159" s="17" t="str">
        <f t="shared" si="43"/>
        <v>TRAFRERFTDMD</v>
      </c>
      <c r="U159" s="17" t="str">
        <f t="shared" si="44"/>
        <v>TRAFRERFTDMD</v>
      </c>
      <c r="V159" s="18">
        <v>2030</v>
      </c>
      <c r="W159" s="18" t="str">
        <f>W158</f>
        <v>UP</v>
      </c>
      <c r="X159" s="18"/>
      <c r="Y159" s="20">
        <f>-MIN(SUMIFS('TRA RESID'!$P:$P,'TRA RESID'!$H:$H,$E159,'TRA RESID'!$I:$I,$F159)/SUMIFS('TRA RESID'!$P:$P,'TRA RESID'!$I:$I,$F159)*AC159,1)</f>
        <v>-1</v>
      </c>
      <c r="Z159" s="18"/>
      <c r="AA159" s="18"/>
      <c r="AB159" s="9"/>
      <c r="AC159" s="21">
        <v>1.5</v>
      </c>
    </row>
    <row r="160" spans="1:29" x14ac:dyDescent="0.25">
      <c r="A160" s="22">
        <f>A159</f>
        <v>39</v>
      </c>
      <c r="B160" s="22"/>
      <c r="C160" s="23" t="str">
        <f>IF(C159="*",C159,"")</f>
        <v/>
      </c>
      <c r="D160" s="24"/>
      <c r="E160" s="25" t="str">
        <f t="shared" si="50"/>
        <v>TRADSL</v>
      </c>
      <c r="F160" s="25" t="str">
        <f t="shared" si="50"/>
        <v>TRAFRERFTDMD</v>
      </c>
      <c r="G160" s="25" t="str">
        <f t="shared" si="50"/>
        <v>TRAFRERFTDMD</v>
      </c>
      <c r="H160" s="26">
        <v>2050</v>
      </c>
      <c r="I160" s="26" t="str">
        <f>I159</f>
        <v>LO</v>
      </c>
      <c r="J160" s="26"/>
      <c r="K160" s="27">
        <f>-SUMIFS('TRA RESID'!$P:$P,'TRA RESID'!$H:$H,$E160,'TRA RESID'!$I:$I,$F160)/SUMIFS('TRA RESID'!$P:$P,'TRA RESID'!$I:$I,$F160)*O160</f>
        <v>0</v>
      </c>
      <c r="L160" s="26"/>
      <c r="M160" s="26"/>
      <c r="N160" s="22"/>
      <c r="O160" s="28">
        <v>0</v>
      </c>
      <c r="Q160" s="23" t="str">
        <f t="shared" si="40"/>
        <v/>
      </c>
      <c r="R160" s="24"/>
      <c r="S160" s="25" t="str">
        <f t="shared" si="42"/>
        <v>TRADSL</v>
      </c>
      <c r="T160" s="25" t="str">
        <f t="shared" si="43"/>
        <v>TRAFRERFTDMD</v>
      </c>
      <c r="U160" s="25" t="str">
        <f t="shared" si="44"/>
        <v>TRAFRERFTDMD</v>
      </c>
      <c r="V160" s="26">
        <v>2050</v>
      </c>
      <c r="W160" s="26" t="str">
        <f>W159</f>
        <v>UP</v>
      </c>
      <c r="X160" s="26"/>
      <c r="Y160" s="27">
        <f>-MIN(SUMIFS('TRA RESID'!$P:$P,'TRA RESID'!$H:$H,$E160,'TRA RESID'!$I:$I,$F160)/SUMIFS('TRA RESID'!$P:$P,'TRA RESID'!$I:$I,$F160)*AC160,1)</f>
        <v>-1</v>
      </c>
      <c r="Z160" s="26"/>
      <c r="AA160" s="26"/>
      <c r="AB160" s="22"/>
      <c r="AC160" s="28">
        <v>3</v>
      </c>
    </row>
    <row r="161" spans="1:29" x14ac:dyDescent="0.25">
      <c r="A161" s="14">
        <f>A157+1</f>
        <v>40</v>
      </c>
      <c r="B161" s="9"/>
      <c r="C161" s="15" t="str">
        <f>IF(E161="","",IF(_xlfn.XLOOKUP($A161,Selected_constraint!$A:$A,Selected_constraint!$D:$D)=1,"*",IF(SUMIFS('TRA TECH'!$M:$M,'TRA TECH'!$H:$H,E161,'TRA TECH'!$I:$I,F161)=0,"*",IF(SUMIFS('TRA RESID'!$P:$P,'TRA RESID'!$H:$H,$E161,'TRA RESID'!$I:$I,$F161)=0,"*","UC_MarketShare_"&amp;LEFT(F161,LEN(F161)-3)&amp;"_"&amp;RIGHT(E161,3)&amp;"_MIN"))))</f>
        <v>*</v>
      </c>
      <c r="D161" s="16"/>
      <c r="E161" s="17" t="str">
        <f>_xlfn.XLOOKUP($A161,Selected_constraint!$A:$A,Selected_constraint!$B:$B)</f>
        <v>TRARDS</v>
      </c>
      <c r="F161" s="17" t="str">
        <f>_xlfn.XLOOKUP($A161,Selected_constraint!$A:$A,Selected_constraint!$C:$C)</f>
        <v>TRAFRERFTDMD</v>
      </c>
      <c r="G161" s="17" t="str">
        <f>F161</f>
        <v>TRAFRERFTDMD</v>
      </c>
      <c r="H161" s="18">
        <v>2019</v>
      </c>
      <c r="I161" s="18" t="s">
        <v>483</v>
      </c>
      <c r="J161" s="18">
        <v>1</v>
      </c>
      <c r="K161" s="20">
        <f>-SUMIFS('TRA RESID'!$P:$P,'TRA RESID'!$H:$H,$E161,'TRA RESID'!$I:$I,$F161)/SUMIFS('TRA RESID'!$P:$P,'TRA RESID'!$I:$I,$F161)*O161</f>
        <v>0</v>
      </c>
      <c r="L161" s="18">
        <v>0</v>
      </c>
      <c r="M161" s="18">
        <v>5</v>
      </c>
      <c r="N161" s="9"/>
      <c r="O161" s="21">
        <v>0.98</v>
      </c>
      <c r="Q161" s="15" t="str">
        <f t="shared" si="40"/>
        <v>*</v>
      </c>
      <c r="R161" s="16"/>
      <c r="S161" s="17" t="str">
        <f t="shared" si="42"/>
        <v>TRARDS</v>
      </c>
      <c r="T161" s="17" t="str">
        <f t="shared" si="43"/>
        <v>TRAFRERFTDMD</v>
      </c>
      <c r="U161" s="17" t="str">
        <f t="shared" si="44"/>
        <v>TRAFRERFTDMD</v>
      </c>
      <c r="V161" s="18">
        <v>2019</v>
      </c>
      <c r="W161" s="18" t="s">
        <v>484</v>
      </c>
      <c r="X161" s="18">
        <v>1</v>
      </c>
      <c r="Y161" s="20">
        <f>-MIN(SUMIFS('TRA RESID'!$P:$P,'TRA RESID'!$H:$H,$E161,'TRA RESID'!$I:$I,$F161)/SUMIFS('TRA RESID'!$P:$P,'TRA RESID'!$I:$I,$F161)*AC161,1)</f>
        <v>0</v>
      </c>
      <c r="Z161" s="18">
        <v>0</v>
      </c>
      <c r="AA161" s="18">
        <v>5</v>
      </c>
      <c r="AB161" s="9"/>
      <c r="AC161" s="21">
        <v>1.02</v>
      </c>
    </row>
    <row r="162" spans="1:29" x14ac:dyDescent="0.25">
      <c r="A162" s="9">
        <f>A161</f>
        <v>40</v>
      </c>
      <c r="B162" s="9"/>
      <c r="C162" s="15" t="str">
        <f>IF(C161="*",C161,"")</f>
        <v>*</v>
      </c>
      <c r="D162" s="16"/>
      <c r="E162" s="17" t="str">
        <f t="shared" ref="E162:G164" si="51">E161</f>
        <v>TRARDS</v>
      </c>
      <c r="F162" s="17" t="str">
        <f t="shared" si="51"/>
        <v>TRAFRERFTDMD</v>
      </c>
      <c r="G162" s="17" t="str">
        <f t="shared" si="51"/>
        <v>TRAFRERFTDMD</v>
      </c>
      <c r="H162" s="18">
        <v>2025</v>
      </c>
      <c r="I162" s="18" t="str">
        <f>I161</f>
        <v>LO</v>
      </c>
      <c r="J162" s="18"/>
      <c r="K162" s="20">
        <f>-SUMIFS('TRA RESID'!$P:$P,'TRA RESID'!$H:$H,$E162,'TRA RESID'!$I:$I,$F162)/SUMIFS('TRA RESID'!$P:$P,'TRA RESID'!$I:$I,$F162)*O162</f>
        <v>0</v>
      </c>
      <c r="L162" s="18"/>
      <c r="M162" s="18"/>
      <c r="N162" s="9"/>
      <c r="O162" s="21">
        <v>0.8</v>
      </c>
      <c r="Q162" s="15" t="str">
        <f t="shared" si="40"/>
        <v>*</v>
      </c>
      <c r="R162" s="16"/>
      <c r="S162" s="17" t="str">
        <f t="shared" si="42"/>
        <v>TRARDS</v>
      </c>
      <c r="T162" s="17" t="str">
        <f t="shared" si="43"/>
        <v>TRAFRERFTDMD</v>
      </c>
      <c r="U162" s="17" t="str">
        <f t="shared" si="44"/>
        <v>TRAFRERFTDMD</v>
      </c>
      <c r="V162" s="18">
        <v>2025</v>
      </c>
      <c r="W162" s="18" t="str">
        <f>W161</f>
        <v>UP</v>
      </c>
      <c r="X162" s="18"/>
      <c r="Y162" s="20">
        <f>-MIN(SUMIFS('TRA RESID'!$P:$P,'TRA RESID'!$H:$H,$E162,'TRA RESID'!$I:$I,$F162)/SUMIFS('TRA RESID'!$P:$P,'TRA RESID'!$I:$I,$F162)*AC162,1)</f>
        <v>0</v>
      </c>
      <c r="Z162" s="18"/>
      <c r="AA162" s="18"/>
      <c r="AB162" s="9"/>
      <c r="AC162" s="21">
        <v>1.2</v>
      </c>
    </row>
    <row r="163" spans="1:29" x14ac:dyDescent="0.25">
      <c r="A163" s="9">
        <f>A162</f>
        <v>40</v>
      </c>
      <c r="B163" s="9"/>
      <c r="C163" s="15" t="str">
        <f>IF(C162="*",C162,"")</f>
        <v>*</v>
      </c>
      <c r="D163" s="16"/>
      <c r="E163" s="17" t="str">
        <f t="shared" si="51"/>
        <v>TRARDS</v>
      </c>
      <c r="F163" s="17" t="str">
        <f t="shared" si="51"/>
        <v>TRAFRERFTDMD</v>
      </c>
      <c r="G163" s="17" t="str">
        <f t="shared" si="51"/>
        <v>TRAFRERFTDMD</v>
      </c>
      <c r="H163" s="18">
        <v>2030</v>
      </c>
      <c r="I163" s="18" t="str">
        <f>I162</f>
        <v>LO</v>
      </c>
      <c r="J163" s="18"/>
      <c r="K163" s="20">
        <f>-SUMIFS('TRA RESID'!$P:$P,'TRA RESID'!$H:$H,$E163,'TRA RESID'!$I:$I,$F163)/SUMIFS('TRA RESID'!$P:$P,'TRA RESID'!$I:$I,$F163)*O163</f>
        <v>0</v>
      </c>
      <c r="L163" s="18"/>
      <c r="M163" s="18"/>
      <c r="N163" s="9"/>
      <c r="O163" s="21">
        <v>0.2</v>
      </c>
      <c r="Q163" s="15" t="str">
        <f t="shared" si="40"/>
        <v>*</v>
      </c>
      <c r="R163" s="16"/>
      <c r="S163" s="17" t="str">
        <f t="shared" si="42"/>
        <v>TRARDS</v>
      </c>
      <c r="T163" s="17" t="str">
        <f t="shared" si="43"/>
        <v>TRAFRERFTDMD</v>
      </c>
      <c r="U163" s="17" t="str">
        <f t="shared" si="44"/>
        <v>TRAFRERFTDMD</v>
      </c>
      <c r="V163" s="18">
        <v>2030</v>
      </c>
      <c r="W163" s="18" t="str">
        <f>W162</f>
        <v>UP</v>
      </c>
      <c r="X163" s="18"/>
      <c r="Y163" s="20">
        <f>-MIN(SUMIFS('TRA RESID'!$P:$P,'TRA RESID'!$H:$H,$E163,'TRA RESID'!$I:$I,$F163)/SUMIFS('TRA RESID'!$P:$P,'TRA RESID'!$I:$I,$F163)*AC163,1)</f>
        <v>0</v>
      </c>
      <c r="Z163" s="18"/>
      <c r="AA163" s="18"/>
      <c r="AB163" s="9"/>
      <c r="AC163" s="21">
        <v>1.5</v>
      </c>
    </row>
    <row r="164" spans="1:29" x14ac:dyDescent="0.25">
      <c r="A164" s="22">
        <f>A163</f>
        <v>40</v>
      </c>
      <c r="B164" s="22"/>
      <c r="C164" s="23" t="str">
        <f>IF(C163="*",C163,"")</f>
        <v>*</v>
      </c>
      <c r="D164" s="24"/>
      <c r="E164" s="25" t="str">
        <f t="shared" si="51"/>
        <v>TRARDS</v>
      </c>
      <c r="F164" s="25" t="str">
        <f t="shared" si="51"/>
        <v>TRAFRERFTDMD</v>
      </c>
      <c r="G164" s="25" t="str">
        <f t="shared" si="51"/>
        <v>TRAFRERFTDMD</v>
      </c>
      <c r="H164" s="26">
        <v>2050</v>
      </c>
      <c r="I164" s="26" t="str">
        <f>I163</f>
        <v>LO</v>
      </c>
      <c r="J164" s="26"/>
      <c r="K164" s="27">
        <f>-SUMIFS('TRA RESID'!$P:$P,'TRA RESID'!$H:$H,$E164,'TRA RESID'!$I:$I,$F164)/SUMIFS('TRA RESID'!$P:$P,'TRA RESID'!$I:$I,$F164)*O164</f>
        <v>0</v>
      </c>
      <c r="L164" s="26"/>
      <c r="M164" s="26"/>
      <c r="N164" s="22"/>
      <c r="O164" s="28">
        <v>0</v>
      </c>
      <c r="Q164" s="23" t="str">
        <f t="shared" si="40"/>
        <v>*</v>
      </c>
      <c r="R164" s="24"/>
      <c r="S164" s="25" t="str">
        <f t="shared" si="42"/>
        <v>TRARDS</v>
      </c>
      <c r="T164" s="25" t="str">
        <f t="shared" si="43"/>
        <v>TRAFRERFTDMD</v>
      </c>
      <c r="U164" s="25" t="str">
        <f t="shared" si="44"/>
        <v>TRAFRERFTDMD</v>
      </c>
      <c r="V164" s="26">
        <v>2050</v>
      </c>
      <c r="W164" s="26" t="str">
        <f>W163</f>
        <v>UP</v>
      </c>
      <c r="X164" s="26"/>
      <c r="Y164" s="27">
        <f>-MIN(SUMIFS('TRA RESID'!$P:$P,'TRA RESID'!$H:$H,$E164,'TRA RESID'!$I:$I,$F164)/SUMIFS('TRA RESID'!$P:$P,'TRA RESID'!$I:$I,$F164)*AC164,1)</f>
        <v>0</v>
      </c>
      <c r="Z164" s="26"/>
      <c r="AA164" s="26"/>
      <c r="AB164" s="22"/>
      <c r="AC164" s="28">
        <v>3</v>
      </c>
    </row>
    <row r="165" spans="1:29" x14ac:dyDescent="0.25">
      <c r="A165" s="14">
        <f>A161+1</f>
        <v>41</v>
      </c>
      <c r="B165" s="9"/>
      <c r="C165" s="15" t="str">
        <f>IF(E165="","",IF(_xlfn.XLOOKUP($A165,Selected_constraint!$A:$A,Selected_constraint!$D:$D)=1,"*",IF(SUMIFS('TRA TECH'!$M:$M,'TRA TECH'!$H:$H,E165,'TRA TECH'!$I:$I,F165)=0,"*",IF(SUMIFS('TRA RESID'!$P:$P,'TRA RESID'!$H:$H,$E165,'TRA RESID'!$I:$I,$F165)=0,"*","UC_MarketShare_"&amp;LEFT(F165,LEN(F165)-3)&amp;"_"&amp;RIGHT(E165,3)&amp;"_MIN"))))</f>
        <v>*</v>
      </c>
      <c r="D165" s="16"/>
      <c r="E165" s="17" t="str">
        <f>_xlfn.XLOOKUP($A165,Selected_constraint!$A:$A,Selected_constraint!$B:$B)</f>
        <v>TRABDS</v>
      </c>
      <c r="F165" s="17" t="str">
        <f>_xlfn.XLOOKUP($A165,Selected_constraint!$A:$A,Selected_constraint!$C:$C)</f>
        <v>TRAFRERFTDMD</v>
      </c>
      <c r="G165" s="17" t="str">
        <f>F165</f>
        <v>TRAFRERFTDMD</v>
      </c>
      <c r="H165" s="18">
        <v>2019</v>
      </c>
      <c r="I165" s="18" t="s">
        <v>483</v>
      </c>
      <c r="J165" s="18">
        <v>1</v>
      </c>
      <c r="K165" s="20">
        <f>-SUMIFS('TRA RESID'!$P:$P,'TRA RESID'!$H:$H,$E165,'TRA RESID'!$I:$I,$F165)/SUMIFS('TRA RESID'!$P:$P,'TRA RESID'!$I:$I,$F165)*O165</f>
        <v>0</v>
      </c>
      <c r="L165" s="18">
        <v>0</v>
      </c>
      <c r="M165" s="18">
        <v>5</v>
      </c>
      <c r="N165" s="9"/>
      <c r="O165" s="21">
        <v>0.98</v>
      </c>
      <c r="Q165" s="15" t="str">
        <f t="shared" si="40"/>
        <v>*</v>
      </c>
      <c r="R165" s="16"/>
      <c r="S165" s="17" t="str">
        <f t="shared" si="42"/>
        <v>TRABDS</v>
      </c>
      <c r="T165" s="17" t="str">
        <f t="shared" si="43"/>
        <v>TRAFRERFTDMD</v>
      </c>
      <c r="U165" s="17" t="str">
        <f t="shared" si="44"/>
        <v>TRAFRERFTDMD</v>
      </c>
      <c r="V165" s="18">
        <v>2019</v>
      </c>
      <c r="W165" s="18" t="s">
        <v>484</v>
      </c>
      <c r="X165" s="18">
        <v>1</v>
      </c>
      <c r="Y165" s="20">
        <f>-MIN(SUMIFS('TRA RESID'!$P:$P,'TRA RESID'!$H:$H,$E165,'TRA RESID'!$I:$I,$F165)/SUMIFS('TRA RESID'!$P:$P,'TRA RESID'!$I:$I,$F165)*AC165,1)</f>
        <v>0</v>
      </c>
      <c r="Z165" s="18">
        <v>0</v>
      </c>
      <c r="AA165" s="18">
        <v>5</v>
      </c>
      <c r="AB165" s="9"/>
      <c r="AC165" s="21">
        <v>1.02</v>
      </c>
    </row>
    <row r="166" spans="1:29" x14ac:dyDescent="0.25">
      <c r="A166" s="9">
        <f>A165</f>
        <v>41</v>
      </c>
      <c r="B166" s="9"/>
      <c r="C166" s="15" t="str">
        <f>IF(C165="*",C165,"")</f>
        <v>*</v>
      </c>
      <c r="D166" s="16"/>
      <c r="E166" s="17" t="str">
        <f t="shared" ref="E166:G168" si="52">E165</f>
        <v>TRABDS</v>
      </c>
      <c r="F166" s="17" t="str">
        <f t="shared" si="52"/>
        <v>TRAFRERFTDMD</v>
      </c>
      <c r="G166" s="17" t="str">
        <f t="shared" si="52"/>
        <v>TRAFRERFTDMD</v>
      </c>
      <c r="H166" s="18">
        <v>2025</v>
      </c>
      <c r="I166" s="18" t="str">
        <f>I165</f>
        <v>LO</v>
      </c>
      <c r="J166" s="18"/>
      <c r="K166" s="20">
        <f>-SUMIFS('TRA RESID'!$P:$P,'TRA RESID'!$H:$H,$E166,'TRA RESID'!$I:$I,$F166)/SUMIFS('TRA RESID'!$P:$P,'TRA RESID'!$I:$I,$F166)*O166</f>
        <v>0</v>
      </c>
      <c r="L166" s="18"/>
      <c r="M166" s="18"/>
      <c r="N166" s="9"/>
      <c r="O166" s="21">
        <v>0.8</v>
      </c>
      <c r="Q166" s="15" t="str">
        <f t="shared" si="40"/>
        <v>*</v>
      </c>
      <c r="R166" s="16"/>
      <c r="S166" s="17" t="str">
        <f t="shared" si="42"/>
        <v>TRABDS</v>
      </c>
      <c r="T166" s="17" t="str">
        <f t="shared" si="43"/>
        <v>TRAFRERFTDMD</v>
      </c>
      <c r="U166" s="17" t="str">
        <f t="shared" si="44"/>
        <v>TRAFRERFTDMD</v>
      </c>
      <c r="V166" s="18">
        <v>2025</v>
      </c>
      <c r="W166" s="18" t="str">
        <f>W165</f>
        <v>UP</v>
      </c>
      <c r="X166" s="18"/>
      <c r="Y166" s="20">
        <f>-MIN(SUMIFS('TRA RESID'!$P:$P,'TRA RESID'!$H:$H,$E166,'TRA RESID'!$I:$I,$F166)/SUMIFS('TRA RESID'!$P:$P,'TRA RESID'!$I:$I,$F166)*AC166,1)</f>
        <v>0</v>
      </c>
      <c r="Z166" s="18"/>
      <c r="AA166" s="18"/>
      <c r="AB166" s="9"/>
      <c r="AC166" s="21">
        <v>1.2</v>
      </c>
    </row>
    <row r="167" spans="1:29" x14ac:dyDescent="0.25">
      <c r="A167" s="9">
        <f>A166</f>
        <v>41</v>
      </c>
      <c r="B167" s="9"/>
      <c r="C167" s="15" t="str">
        <f>IF(C166="*",C166,"")</f>
        <v>*</v>
      </c>
      <c r="D167" s="16"/>
      <c r="E167" s="17" t="str">
        <f t="shared" si="52"/>
        <v>TRABDS</v>
      </c>
      <c r="F167" s="17" t="str">
        <f t="shared" si="52"/>
        <v>TRAFRERFTDMD</v>
      </c>
      <c r="G167" s="17" t="str">
        <f t="shared" si="52"/>
        <v>TRAFRERFTDMD</v>
      </c>
      <c r="H167" s="18">
        <v>2030</v>
      </c>
      <c r="I167" s="18" t="str">
        <f>I166</f>
        <v>LO</v>
      </c>
      <c r="J167" s="18"/>
      <c r="K167" s="20">
        <f>-SUMIFS('TRA RESID'!$P:$P,'TRA RESID'!$H:$H,$E167,'TRA RESID'!$I:$I,$F167)/SUMIFS('TRA RESID'!$P:$P,'TRA RESID'!$I:$I,$F167)*O167</f>
        <v>0</v>
      </c>
      <c r="L167" s="18"/>
      <c r="M167" s="18"/>
      <c r="N167" s="9"/>
      <c r="O167" s="21">
        <v>0.2</v>
      </c>
      <c r="Q167" s="15" t="str">
        <f t="shared" si="40"/>
        <v>*</v>
      </c>
      <c r="R167" s="16"/>
      <c r="S167" s="17" t="str">
        <f t="shared" si="42"/>
        <v>TRABDS</v>
      </c>
      <c r="T167" s="17" t="str">
        <f t="shared" si="43"/>
        <v>TRAFRERFTDMD</v>
      </c>
      <c r="U167" s="17" t="str">
        <f t="shared" si="44"/>
        <v>TRAFRERFTDMD</v>
      </c>
      <c r="V167" s="18">
        <v>2030</v>
      </c>
      <c r="W167" s="18" t="str">
        <f>W166</f>
        <v>UP</v>
      </c>
      <c r="X167" s="18"/>
      <c r="Y167" s="20">
        <f>-MIN(SUMIFS('TRA RESID'!$P:$P,'TRA RESID'!$H:$H,$E167,'TRA RESID'!$I:$I,$F167)/SUMIFS('TRA RESID'!$P:$P,'TRA RESID'!$I:$I,$F167)*AC167,1)</f>
        <v>0</v>
      </c>
      <c r="Z167" s="18"/>
      <c r="AA167" s="18"/>
      <c r="AB167" s="9"/>
      <c r="AC167" s="21">
        <v>1.5</v>
      </c>
    </row>
    <row r="168" spans="1:29" x14ac:dyDescent="0.25">
      <c r="A168" s="22">
        <f>A167</f>
        <v>41</v>
      </c>
      <c r="B168" s="22"/>
      <c r="C168" s="23" t="str">
        <f>IF(C167="*",C167,"")</f>
        <v>*</v>
      </c>
      <c r="D168" s="24"/>
      <c r="E168" s="25" t="str">
        <f t="shared" si="52"/>
        <v>TRABDS</v>
      </c>
      <c r="F168" s="25" t="str">
        <f t="shared" si="52"/>
        <v>TRAFRERFTDMD</v>
      </c>
      <c r="G168" s="25" t="str">
        <f t="shared" si="52"/>
        <v>TRAFRERFTDMD</v>
      </c>
      <c r="H168" s="26">
        <v>2050</v>
      </c>
      <c r="I168" s="26" t="str">
        <f>I167</f>
        <v>LO</v>
      </c>
      <c r="J168" s="26"/>
      <c r="K168" s="27">
        <f>-SUMIFS('TRA RESID'!$P:$P,'TRA RESID'!$H:$H,$E168,'TRA RESID'!$I:$I,$F168)/SUMIFS('TRA RESID'!$P:$P,'TRA RESID'!$I:$I,$F168)*O168</f>
        <v>0</v>
      </c>
      <c r="L168" s="26"/>
      <c r="M168" s="26"/>
      <c r="N168" s="22"/>
      <c r="O168" s="28">
        <v>0</v>
      </c>
      <c r="Q168" s="23" t="str">
        <f t="shared" si="40"/>
        <v>*</v>
      </c>
      <c r="R168" s="24"/>
      <c r="S168" s="25" t="str">
        <f t="shared" si="42"/>
        <v>TRABDS</v>
      </c>
      <c r="T168" s="25" t="str">
        <f t="shared" si="43"/>
        <v>TRAFRERFTDMD</v>
      </c>
      <c r="U168" s="25" t="str">
        <f t="shared" si="44"/>
        <v>TRAFRERFTDMD</v>
      </c>
      <c r="V168" s="26">
        <v>2050</v>
      </c>
      <c r="W168" s="26" t="str">
        <f>W167</f>
        <v>UP</v>
      </c>
      <c r="X168" s="26"/>
      <c r="Y168" s="27">
        <f>-MIN(SUMIFS('TRA RESID'!$P:$P,'TRA RESID'!$H:$H,$E168,'TRA RESID'!$I:$I,$F168)/SUMIFS('TRA RESID'!$P:$P,'TRA RESID'!$I:$I,$F168)*AC168,1)</f>
        <v>0</v>
      </c>
      <c r="Z168" s="26"/>
      <c r="AA168" s="26"/>
      <c r="AB168" s="22"/>
      <c r="AC168" s="28">
        <v>3</v>
      </c>
    </row>
    <row r="169" spans="1:29" x14ac:dyDescent="0.25">
      <c r="A169" s="14">
        <f>A165+1</f>
        <v>42</v>
      </c>
      <c r="B169" s="9"/>
      <c r="C169" s="15" t="str">
        <f>IF(E169="","",IF(_xlfn.XLOOKUP($A169,Selected_constraint!$A:$A,Selected_constraint!$D:$D)=1,"*",IF(SUMIFS('TRA TECH'!$M:$M,'TRA TECH'!$H:$H,E169,'TRA TECH'!$I:$I,F169)=0,"*",IF(SUMIFS('TRA RESID'!$P:$P,'TRA RESID'!$H:$H,$E169,'TRA RESID'!$I:$I,$F169)=0,"*","UC_MarketShare_"&amp;LEFT(F169,LEN(F169)-3)&amp;"_"&amp;RIGHT(E169,3)&amp;"_MIN"))))</f>
        <v>*</v>
      </c>
      <c r="D169" s="16"/>
      <c r="E169" s="17" t="str">
        <f>_xlfn.XLOOKUP($A169,Selected_constraint!$A:$A,Selected_constraint!$B:$B)</f>
        <v>TRACNG</v>
      </c>
      <c r="F169" s="17" t="str">
        <f>_xlfn.XLOOKUP($A169,Selected_constraint!$A:$A,Selected_constraint!$C:$C)</f>
        <v>TRAFRERFTDMD</v>
      </c>
      <c r="G169" s="17" t="str">
        <f>F169</f>
        <v>TRAFRERFTDMD</v>
      </c>
      <c r="H169" s="18">
        <v>2019</v>
      </c>
      <c r="I169" s="18" t="s">
        <v>483</v>
      </c>
      <c r="J169" s="18">
        <v>1</v>
      </c>
      <c r="K169" s="20">
        <f>-SUMIFS('TRA RESID'!$P:$P,'TRA RESID'!$H:$H,$E169,'TRA RESID'!$I:$I,$F169)/SUMIFS('TRA RESID'!$P:$P,'TRA RESID'!$I:$I,$F169)*O169</f>
        <v>-4.1027898040626697E-3</v>
      </c>
      <c r="L169" s="18">
        <v>0</v>
      </c>
      <c r="M169" s="18">
        <v>5</v>
      </c>
      <c r="N169" s="9"/>
      <c r="O169" s="21">
        <v>0.98</v>
      </c>
      <c r="Q169" s="15" t="str">
        <f t="shared" si="40"/>
        <v>*</v>
      </c>
      <c r="R169" s="16"/>
      <c r="S169" s="17" t="str">
        <f t="shared" si="42"/>
        <v>TRACNG</v>
      </c>
      <c r="T169" s="17" t="str">
        <f t="shared" si="43"/>
        <v>TRAFRERFTDMD</v>
      </c>
      <c r="U169" s="17" t="str">
        <f t="shared" si="44"/>
        <v>TRAFRERFTDMD</v>
      </c>
      <c r="V169" s="18">
        <v>2019</v>
      </c>
      <c r="W169" s="18" t="s">
        <v>484</v>
      </c>
      <c r="X169" s="18">
        <v>1</v>
      </c>
      <c r="Y169" s="20">
        <f>-MIN(SUMIFS('TRA RESID'!$P:$P,'TRA RESID'!$H:$H,$E169,'TRA RESID'!$I:$I,$F169)/SUMIFS('TRA RESID'!$P:$P,'TRA RESID'!$I:$I,$F169)*AC169,1)</f>
        <v>-4.2702506123917586E-3</v>
      </c>
      <c r="Z169" s="18">
        <v>0</v>
      </c>
      <c r="AA169" s="18">
        <v>5</v>
      </c>
      <c r="AB169" s="9"/>
      <c r="AC169" s="21">
        <v>1.02</v>
      </c>
    </row>
    <row r="170" spans="1:29" x14ac:dyDescent="0.25">
      <c r="A170" s="9">
        <f>A169</f>
        <v>42</v>
      </c>
      <c r="B170" s="9"/>
      <c r="C170" s="15" t="str">
        <f>IF(C169="*",C169,"")</f>
        <v>*</v>
      </c>
      <c r="D170" s="16"/>
      <c r="E170" s="17" t="str">
        <f t="shared" ref="E170:G172" si="53">E169</f>
        <v>TRACNG</v>
      </c>
      <c r="F170" s="17" t="str">
        <f t="shared" si="53"/>
        <v>TRAFRERFTDMD</v>
      </c>
      <c r="G170" s="17" t="str">
        <f t="shared" si="53"/>
        <v>TRAFRERFTDMD</v>
      </c>
      <c r="H170" s="18">
        <v>2025</v>
      </c>
      <c r="I170" s="18" t="str">
        <f>I169</f>
        <v>LO</v>
      </c>
      <c r="J170" s="18"/>
      <c r="K170" s="20">
        <f>-SUMIFS('TRA RESID'!$P:$P,'TRA RESID'!$H:$H,$E170,'TRA RESID'!$I:$I,$F170)/SUMIFS('TRA RESID'!$P:$P,'TRA RESID'!$I:$I,$F170)*O170</f>
        <v>-3.3492161665817713E-3</v>
      </c>
      <c r="L170" s="18"/>
      <c r="M170" s="18"/>
      <c r="N170" s="9"/>
      <c r="O170" s="21">
        <v>0.8</v>
      </c>
      <c r="Q170" s="15" t="str">
        <f t="shared" si="40"/>
        <v>*</v>
      </c>
      <c r="R170" s="16"/>
      <c r="S170" s="17" t="str">
        <f t="shared" si="42"/>
        <v>TRACNG</v>
      </c>
      <c r="T170" s="17" t="str">
        <f t="shared" si="43"/>
        <v>TRAFRERFTDMD</v>
      </c>
      <c r="U170" s="17" t="str">
        <f t="shared" si="44"/>
        <v>TRAFRERFTDMD</v>
      </c>
      <c r="V170" s="18">
        <v>2025</v>
      </c>
      <c r="W170" s="18" t="str">
        <f>W169</f>
        <v>UP</v>
      </c>
      <c r="X170" s="18"/>
      <c r="Y170" s="20">
        <f>-MIN(SUMIFS('TRA RESID'!$P:$P,'TRA RESID'!$H:$H,$E170,'TRA RESID'!$I:$I,$F170)/SUMIFS('TRA RESID'!$P:$P,'TRA RESID'!$I:$I,$F170)*AC170,1)</f>
        <v>-5.0238242498726569E-3</v>
      </c>
      <c r="Z170" s="18"/>
      <c r="AA170" s="18"/>
      <c r="AB170" s="9"/>
      <c r="AC170" s="21">
        <v>1.2</v>
      </c>
    </row>
    <row r="171" spans="1:29" x14ac:dyDescent="0.25">
      <c r="A171" s="9">
        <f>A170</f>
        <v>42</v>
      </c>
      <c r="B171" s="9"/>
      <c r="C171" s="15" t="str">
        <f>IF(C170="*",C170,"")</f>
        <v>*</v>
      </c>
      <c r="D171" s="16"/>
      <c r="E171" s="17" t="str">
        <f t="shared" si="53"/>
        <v>TRACNG</v>
      </c>
      <c r="F171" s="17" t="str">
        <f t="shared" si="53"/>
        <v>TRAFRERFTDMD</v>
      </c>
      <c r="G171" s="17" t="str">
        <f t="shared" si="53"/>
        <v>TRAFRERFTDMD</v>
      </c>
      <c r="H171" s="18">
        <v>2030</v>
      </c>
      <c r="I171" s="18" t="str">
        <f>I170</f>
        <v>LO</v>
      </c>
      <c r="J171" s="18"/>
      <c r="K171" s="20">
        <f>-SUMIFS('TRA RESID'!$P:$P,'TRA RESID'!$H:$H,$E171,'TRA RESID'!$I:$I,$F171)/SUMIFS('TRA RESID'!$P:$P,'TRA RESID'!$I:$I,$F171)*O171</f>
        <v>-8.3730404164544282E-4</v>
      </c>
      <c r="L171" s="18"/>
      <c r="M171" s="18"/>
      <c r="N171" s="9"/>
      <c r="O171" s="21">
        <v>0.2</v>
      </c>
      <c r="Q171" s="15" t="str">
        <f t="shared" si="40"/>
        <v>*</v>
      </c>
      <c r="R171" s="16"/>
      <c r="S171" s="17" t="str">
        <f t="shared" si="42"/>
        <v>TRACNG</v>
      </c>
      <c r="T171" s="17" t="str">
        <f t="shared" si="43"/>
        <v>TRAFRERFTDMD</v>
      </c>
      <c r="U171" s="17" t="str">
        <f t="shared" si="44"/>
        <v>TRAFRERFTDMD</v>
      </c>
      <c r="V171" s="18">
        <v>2030</v>
      </c>
      <c r="W171" s="18" t="str">
        <f>W170</f>
        <v>UP</v>
      </c>
      <c r="X171" s="18"/>
      <c r="Y171" s="20">
        <f>-MIN(SUMIFS('TRA RESID'!$P:$P,'TRA RESID'!$H:$H,$E171,'TRA RESID'!$I:$I,$F171)/SUMIFS('TRA RESID'!$P:$P,'TRA RESID'!$I:$I,$F171)*AC171,1)</f>
        <v>-6.2797803123408212E-3</v>
      </c>
      <c r="Z171" s="18"/>
      <c r="AA171" s="18"/>
      <c r="AB171" s="9"/>
      <c r="AC171" s="21">
        <v>1.5</v>
      </c>
    </row>
    <row r="172" spans="1:29" x14ac:dyDescent="0.25">
      <c r="A172" s="22">
        <f>A171</f>
        <v>42</v>
      </c>
      <c r="B172" s="22"/>
      <c r="C172" s="23" t="str">
        <f>IF(C171="*",C171,"")</f>
        <v>*</v>
      </c>
      <c r="D172" s="24"/>
      <c r="E172" s="25" t="str">
        <f t="shared" si="53"/>
        <v>TRACNG</v>
      </c>
      <c r="F172" s="25" t="str">
        <f t="shared" si="53"/>
        <v>TRAFRERFTDMD</v>
      </c>
      <c r="G172" s="25" t="str">
        <f t="shared" si="53"/>
        <v>TRAFRERFTDMD</v>
      </c>
      <c r="H172" s="26">
        <v>2050</v>
      </c>
      <c r="I172" s="26" t="str">
        <f>I171</f>
        <v>LO</v>
      </c>
      <c r="J172" s="26"/>
      <c r="K172" s="27">
        <f>-SUMIFS('TRA RESID'!$P:$P,'TRA RESID'!$H:$H,$E172,'TRA RESID'!$I:$I,$F172)/SUMIFS('TRA RESID'!$P:$P,'TRA RESID'!$I:$I,$F172)*O172</f>
        <v>0</v>
      </c>
      <c r="L172" s="26"/>
      <c r="M172" s="26"/>
      <c r="N172" s="22"/>
      <c r="O172" s="28">
        <v>0</v>
      </c>
      <c r="Q172" s="23" t="str">
        <f t="shared" si="40"/>
        <v>*</v>
      </c>
      <c r="R172" s="24"/>
      <c r="S172" s="25" t="str">
        <f t="shared" si="42"/>
        <v>TRACNG</v>
      </c>
      <c r="T172" s="25" t="str">
        <f t="shared" si="43"/>
        <v>TRAFRERFTDMD</v>
      </c>
      <c r="U172" s="25" t="str">
        <f t="shared" si="44"/>
        <v>TRAFRERFTDMD</v>
      </c>
      <c r="V172" s="26">
        <v>2050</v>
      </c>
      <c r="W172" s="26" t="str">
        <f>W171</f>
        <v>UP</v>
      </c>
      <c r="X172" s="26"/>
      <c r="Y172" s="27">
        <f>-MIN(SUMIFS('TRA RESID'!$P:$P,'TRA RESID'!$H:$H,$E172,'TRA RESID'!$I:$I,$F172)/SUMIFS('TRA RESID'!$P:$P,'TRA RESID'!$I:$I,$F172)*AC172,1)</f>
        <v>-1.2559560624681642E-2</v>
      </c>
      <c r="Z172" s="26"/>
      <c r="AA172" s="26"/>
      <c r="AB172" s="22"/>
      <c r="AC172" s="28">
        <v>3</v>
      </c>
    </row>
    <row r="173" spans="1:29" x14ac:dyDescent="0.25">
      <c r="A173" s="14">
        <f>A169+1</f>
        <v>43</v>
      </c>
      <c r="B173" s="9"/>
      <c r="C173" s="15" t="str">
        <f>IF(E173="","",IF(_xlfn.XLOOKUP($A173,Selected_constraint!$A:$A,Selected_constraint!$D:$D)=1,"*",IF(SUMIFS('TRA TECH'!$M:$M,'TRA TECH'!$H:$H,E173,'TRA TECH'!$I:$I,F173)=0,"*",IF(SUMIFS('TRA RESID'!$P:$P,'TRA RESID'!$H:$H,$E173,'TRA RESID'!$I:$I,$F173)=0,"*","UC_MarketShare_"&amp;LEFT(F173,LEN(F173)-3)&amp;"_"&amp;RIGHT(E173,3)&amp;"_MIN"))))</f>
        <v>*</v>
      </c>
      <c r="D173" s="16"/>
      <c r="E173" s="17" t="str">
        <f>_xlfn.XLOOKUP($A173,Selected_constraint!$A:$A,Selected_constraint!$B:$B)</f>
        <v>TRARNG</v>
      </c>
      <c r="F173" s="17" t="str">
        <f>_xlfn.XLOOKUP($A173,Selected_constraint!$A:$A,Selected_constraint!$C:$C)</f>
        <v>TRAFRERFTDMD</v>
      </c>
      <c r="G173" s="17" t="str">
        <f>F173</f>
        <v>TRAFRERFTDMD</v>
      </c>
      <c r="H173" s="18">
        <v>2019</v>
      </c>
      <c r="I173" s="18" t="s">
        <v>483</v>
      </c>
      <c r="J173" s="18">
        <v>1</v>
      </c>
      <c r="K173" s="20">
        <f>-SUMIFS('TRA RESID'!$P:$P,'TRA RESID'!$H:$H,$E173,'TRA RESID'!$I:$I,$F173)/SUMIFS('TRA RESID'!$P:$P,'TRA RESID'!$I:$I,$F173)*O173</f>
        <v>0</v>
      </c>
      <c r="L173" s="18">
        <v>0</v>
      </c>
      <c r="M173" s="18">
        <v>5</v>
      </c>
      <c r="N173" s="9"/>
      <c r="O173" s="21">
        <v>0.98</v>
      </c>
      <c r="Q173" s="15" t="str">
        <f t="shared" si="40"/>
        <v>*</v>
      </c>
      <c r="R173" s="16"/>
      <c r="S173" s="17" t="str">
        <f t="shared" si="42"/>
        <v>TRARNG</v>
      </c>
      <c r="T173" s="17" t="str">
        <f t="shared" si="43"/>
        <v>TRAFRERFTDMD</v>
      </c>
      <c r="U173" s="17" t="str">
        <f t="shared" si="44"/>
        <v>TRAFRERFTDMD</v>
      </c>
      <c r="V173" s="18">
        <v>2019</v>
      </c>
      <c r="W173" s="18" t="s">
        <v>484</v>
      </c>
      <c r="X173" s="18">
        <v>1</v>
      </c>
      <c r="Y173" s="20">
        <f>-MIN(SUMIFS('TRA RESID'!$P:$P,'TRA RESID'!$H:$H,$E173,'TRA RESID'!$I:$I,$F173)/SUMIFS('TRA RESID'!$P:$P,'TRA RESID'!$I:$I,$F173)*AC173,1)</f>
        <v>0</v>
      </c>
      <c r="Z173" s="18">
        <v>0</v>
      </c>
      <c r="AA173" s="18">
        <v>5</v>
      </c>
      <c r="AB173" s="9"/>
      <c r="AC173" s="21">
        <v>1.02</v>
      </c>
    </row>
    <row r="174" spans="1:29" x14ac:dyDescent="0.25">
      <c r="A174" s="9">
        <f>A173</f>
        <v>43</v>
      </c>
      <c r="B174" s="9"/>
      <c r="C174" s="15" t="str">
        <f>IF(C173="*",C173,"")</f>
        <v>*</v>
      </c>
      <c r="D174" s="16"/>
      <c r="E174" s="17" t="str">
        <f t="shared" ref="E174:G176" si="54">E173</f>
        <v>TRARNG</v>
      </c>
      <c r="F174" s="17" t="str">
        <f t="shared" si="54"/>
        <v>TRAFRERFTDMD</v>
      </c>
      <c r="G174" s="17" t="str">
        <f t="shared" si="54"/>
        <v>TRAFRERFTDMD</v>
      </c>
      <c r="H174" s="18">
        <v>2025</v>
      </c>
      <c r="I174" s="18" t="str">
        <f>I173</f>
        <v>LO</v>
      </c>
      <c r="J174" s="18"/>
      <c r="K174" s="20">
        <f>-SUMIFS('TRA RESID'!$P:$P,'TRA RESID'!$H:$H,$E174,'TRA RESID'!$I:$I,$F174)/SUMIFS('TRA RESID'!$P:$P,'TRA RESID'!$I:$I,$F174)*O174</f>
        <v>0</v>
      </c>
      <c r="L174" s="18"/>
      <c r="M174" s="18"/>
      <c r="N174" s="9"/>
      <c r="O174" s="21">
        <v>0.8</v>
      </c>
      <c r="Q174" s="15" t="str">
        <f t="shared" si="40"/>
        <v>*</v>
      </c>
      <c r="R174" s="16"/>
      <c r="S174" s="17" t="str">
        <f t="shared" si="42"/>
        <v>TRARNG</v>
      </c>
      <c r="T174" s="17" t="str">
        <f t="shared" si="43"/>
        <v>TRAFRERFTDMD</v>
      </c>
      <c r="U174" s="17" t="str">
        <f t="shared" si="44"/>
        <v>TRAFRERFTDMD</v>
      </c>
      <c r="V174" s="18">
        <v>2025</v>
      </c>
      <c r="W174" s="18" t="str">
        <f>W173</f>
        <v>UP</v>
      </c>
      <c r="X174" s="18"/>
      <c r="Y174" s="20">
        <f>-MIN(SUMIFS('TRA RESID'!$P:$P,'TRA RESID'!$H:$H,$E174,'TRA RESID'!$I:$I,$F174)/SUMIFS('TRA RESID'!$P:$P,'TRA RESID'!$I:$I,$F174)*AC174,1)</f>
        <v>0</v>
      </c>
      <c r="Z174" s="18"/>
      <c r="AA174" s="18"/>
      <c r="AB174" s="9"/>
      <c r="AC174" s="21">
        <v>1.2</v>
      </c>
    </row>
    <row r="175" spans="1:29" x14ac:dyDescent="0.25">
      <c r="A175" s="9">
        <f>A174</f>
        <v>43</v>
      </c>
      <c r="B175" s="9"/>
      <c r="C175" s="15" t="str">
        <f>IF(C174="*",C174,"")</f>
        <v>*</v>
      </c>
      <c r="D175" s="16"/>
      <c r="E175" s="17" t="str">
        <f t="shared" si="54"/>
        <v>TRARNG</v>
      </c>
      <c r="F175" s="17" t="str">
        <f t="shared" si="54"/>
        <v>TRAFRERFTDMD</v>
      </c>
      <c r="G175" s="17" t="str">
        <f t="shared" si="54"/>
        <v>TRAFRERFTDMD</v>
      </c>
      <c r="H175" s="18">
        <v>2030</v>
      </c>
      <c r="I175" s="18" t="str">
        <f>I174</f>
        <v>LO</v>
      </c>
      <c r="J175" s="18"/>
      <c r="K175" s="20">
        <f>-SUMIFS('TRA RESID'!$P:$P,'TRA RESID'!$H:$H,$E175,'TRA RESID'!$I:$I,$F175)/SUMIFS('TRA RESID'!$P:$P,'TRA RESID'!$I:$I,$F175)*O175</f>
        <v>0</v>
      </c>
      <c r="L175" s="18"/>
      <c r="M175" s="18"/>
      <c r="N175" s="9"/>
      <c r="O175" s="21">
        <v>0.2</v>
      </c>
      <c r="Q175" s="15" t="str">
        <f t="shared" si="40"/>
        <v>*</v>
      </c>
      <c r="R175" s="16"/>
      <c r="S175" s="17" t="str">
        <f t="shared" si="42"/>
        <v>TRARNG</v>
      </c>
      <c r="T175" s="17" t="str">
        <f t="shared" si="43"/>
        <v>TRAFRERFTDMD</v>
      </c>
      <c r="U175" s="17" t="str">
        <f t="shared" si="44"/>
        <v>TRAFRERFTDMD</v>
      </c>
      <c r="V175" s="18">
        <v>2030</v>
      </c>
      <c r="W175" s="18" t="str">
        <f>W174</f>
        <v>UP</v>
      </c>
      <c r="X175" s="18"/>
      <c r="Y175" s="20">
        <f>-MIN(SUMIFS('TRA RESID'!$P:$P,'TRA RESID'!$H:$H,$E175,'TRA RESID'!$I:$I,$F175)/SUMIFS('TRA RESID'!$P:$P,'TRA RESID'!$I:$I,$F175)*AC175,1)</f>
        <v>0</v>
      </c>
      <c r="Z175" s="18"/>
      <c r="AA175" s="18"/>
      <c r="AB175" s="9"/>
      <c r="AC175" s="21">
        <v>1.5</v>
      </c>
    </row>
    <row r="176" spans="1:29" x14ac:dyDescent="0.25">
      <c r="A176" s="22">
        <f>A175</f>
        <v>43</v>
      </c>
      <c r="B176" s="22"/>
      <c r="C176" s="23" t="str">
        <f>IF(C175="*",C175,"")</f>
        <v>*</v>
      </c>
      <c r="D176" s="24"/>
      <c r="E176" s="25" t="str">
        <f t="shared" si="54"/>
        <v>TRARNG</v>
      </c>
      <c r="F176" s="25" t="str">
        <f t="shared" si="54"/>
        <v>TRAFRERFTDMD</v>
      </c>
      <c r="G176" s="25" t="str">
        <f t="shared" si="54"/>
        <v>TRAFRERFTDMD</v>
      </c>
      <c r="H176" s="26">
        <v>2050</v>
      </c>
      <c r="I176" s="26" t="str">
        <f>I175</f>
        <v>LO</v>
      </c>
      <c r="J176" s="26"/>
      <c r="K176" s="27">
        <f>-SUMIFS('TRA RESID'!$P:$P,'TRA RESID'!$H:$H,$E176,'TRA RESID'!$I:$I,$F176)/SUMIFS('TRA RESID'!$P:$P,'TRA RESID'!$I:$I,$F176)*O176</f>
        <v>0</v>
      </c>
      <c r="L176" s="26"/>
      <c r="M176" s="26"/>
      <c r="N176" s="22"/>
      <c r="O176" s="28">
        <v>0</v>
      </c>
      <c r="Q176" s="23" t="str">
        <f t="shared" si="40"/>
        <v>*</v>
      </c>
      <c r="R176" s="24"/>
      <c r="S176" s="25" t="str">
        <f t="shared" si="42"/>
        <v>TRARNG</v>
      </c>
      <c r="T176" s="25" t="str">
        <f t="shared" si="43"/>
        <v>TRAFRERFTDMD</v>
      </c>
      <c r="U176" s="25" t="str">
        <f t="shared" si="44"/>
        <v>TRAFRERFTDMD</v>
      </c>
      <c r="V176" s="26">
        <v>2050</v>
      </c>
      <c r="W176" s="26" t="str">
        <f>W175</f>
        <v>UP</v>
      </c>
      <c r="X176" s="26"/>
      <c r="Y176" s="27">
        <f>-MIN(SUMIFS('TRA RESID'!$P:$P,'TRA RESID'!$H:$H,$E176,'TRA RESID'!$I:$I,$F176)/SUMIFS('TRA RESID'!$P:$P,'TRA RESID'!$I:$I,$F176)*AC176,1)</f>
        <v>0</v>
      </c>
      <c r="Z176" s="26"/>
      <c r="AA176" s="26"/>
      <c r="AB176" s="22"/>
      <c r="AC176" s="28">
        <v>3</v>
      </c>
    </row>
    <row r="177" spans="1:29" x14ac:dyDescent="0.25">
      <c r="A177" s="14">
        <f>A173+1</f>
        <v>44</v>
      </c>
      <c r="B177" s="9"/>
      <c r="C177" s="15" t="str">
        <f>IF(E177="","",IF(_xlfn.XLOOKUP($A177,Selected_constraint!$A:$A,Selected_constraint!$D:$D)=1,"*",IF(SUMIFS('TRA TECH'!$M:$M,'TRA TECH'!$H:$H,E177,'TRA TECH'!$I:$I,F177)=0,"*",IF(SUMIFS('TRA RESID'!$P:$P,'TRA RESID'!$H:$H,$E177,'TRA RESID'!$I:$I,$F177)=0,"*","UC_MarketShare_"&amp;LEFT(F177,LEN(F177)-3)&amp;"_"&amp;RIGHT(E177,3)&amp;"_MIN"))))</f>
        <v>*</v>
      </c>
      <c r="D177" s="16"/>
      <c r="E177" s="17" t="str">
        <f>_xlfn.XLOOKUP($A177,Selected_constraint!$A:$A,Selected_constraint!$B:$B)</f>
        <v>TRABAF</v>
      </c>
      <c r="F177" s="17" t="str">
        <f>_xlfn.XLOOKUP($A177,Selected_constraint!$A:$A,Selected_constraint!$C:$C)</f>
        <v>TRAFRERFTDMD</v>
      </c>
      <c r="G177" s="17" t="str">
        <f>F177</f>
        <v>TRAFRERFTDMD</v>
      </c>
      <c r="H177" s="18">
        <v>2019</v>
      </c>
      <c r="I177" s="18" t="s">
        <v>483</v>
      </c>
      <c r="J177" s="18">
        <v>1</v>
      </c>
      <c r="K177" s="20">
        <f>-SUMIFS('TRA RESID'!$P:$P,'TRA RESID'!$H:$H,$E177,'TRA RESID'!$I:$I,$F177)/SUMIFS('TRA RESID'!$P:$P,'TRA RESID'!$I:$I,$F177)*O177</f>
        <v>0</v>
      </c>
      <c r="L177" s="18">
        <v>0</v>
      </c>
      <c r="M177" s="18">
        <v>5</v>
      </c>
      <c r="N177" s="9"/>
      <c r="O177" s="21">
        <v>0.98</v>
      </c>
      <c r="Q177" s="15" t="str">
        <f t="shared" si="40"/>
        <v>*</v>
      </c>
      <c r="R177" s="16"/>
      <c r="S177" s="17" t="str">
        <f t="shared" si="42"/>
        <v>TRABAF</v>
      </c>
      <c r="T177" s="17" t="str">
        <f t="shared" si="43"/>
        <v>TRAFRERFTDMD</v>
      </c>
      <c r="U177" s="17" t="str">
        <f t="shared" si="44"/>
        <v>TRAFRERFTDMD</v>
      </c>
      <c r="V177" s="18">
        <v>2019</v>
      </c>
      <c r="W177" s="18" t="s">
        <v>484</v>
      </c>
      <c r="X177" s="18">
        <v>1</v>
      </c>
      <c r="Y177" s="20">
        <f>-MIN(SUMIFS('TRA RESID'!$P:$P,'TRA RESID'!$H:$H,$E177,'TRA RESID'!$I:$I,$F177)/SUMIFS('TRA RESID'!$P:$P,'TRA RESID'!$I:$I,$F177)*AC177,1)</f>
        <v>0</v>
      </c>
      <c r="Z177" s="18">
        <v>0</v>
      </c>
      <c r="AA177" s="18">
        <v>5</v>
      </c>
      <c r="AB177" s="9"/>
      <c r="AC177" s="21">
        <v>1.02</v>
      </c>
    </row>
    <row r="178" spans="1:29" x14ac:dyDescent="0.25">
      <c r="A178" s="9">
        <f>A177</f>
        <v>44</v>
      </c>
      <c r="B178" s="9"/>
      <c r="C178" s="15" t="str">
        <f>IF(C177="*",C177,"")</f>
        <v>*</v>
      </c>
      <c r="D178" s="16"/>
      <c r="E178" s="17" t="str">
        <f t="shared" ref="E178:G180" si="55">E177</f>
        <v>TRABAF</v>
      </c>
      <c r="F178" s="17" t="str">
        <f t="shared" si="55"/>
        <v>TRAFRERFTDMD</v>
      </c>
      <c r="G178" s="17" t="str">
        <f t="shared" si="55"/>
        <v>TRAFRERFTDMD</v>
      </c>
      <c r="H178" s="18">
        <v>2025</v>
      </c>
      <c r="I178" s="18" t="str">
        <f>I177</f>
        <v>LO</v>
      </c>
      <c r="J178" s="18"/>
      <c r="K178" s="20">
        <f>-SUMIFS('TRA RESID'!$P:$P,'TRA RESID'!$H:$H,$E178,'TRA RESID'!$I:$I,$F178)/SUMIFS('TRA RESID'!$P:$P,'TRA RESID'!$I:$I,$F178)*O178</f>
        <v>0</v>
      </c>
      <c r="L178" s="18"/>
      <c r="M178" s="18"/>
      <c r="N178" s="9"/>
      <c r="O178" s="21">
        <v>0.8</v>
      </c>
      <c r="Q178" s="15" t="str">
        <f t="shared" si="40"/>
        <v>*</v>
      </c>
      <c r="R178" s="16"/>
      <c r="S178" s="17" t="str">
        <f t="shared" si="42"/>
        <v>TRABAF</v>
      </c>
      <c r="T178" s="17" t="str">
        <f t="shared" si="43"/>
        <v>TRAFRERFTDMD</v>
      </c>
      <c r="U178" s="17" t="str">
        <f t="shared" si="44"/>
        <v>TRAFRERFTDMD</v>
      </c>
      <c r="V178" s="18">
        <v>2025</v>
      </c>
      <c r="W178" s="18" t="str">
        <f>W177</f>
        <v>UP</v>
      </c>
      <c r="X178" s="18"/>
      <c r="Y178" s="20">
        <f>-MIN(SUMIFS('TRA RESID'!$P:$P,'TRA RESID'!$H:$H,$E178,'TRA RESID'!$I:$I,$F178)/SUMIFS('TRA RESID'!$P:$P,'TRA RESID'!$I:$I,$F178)*AC178,1)</f>
        <v>0</v>
      </c>
      <c r="Z178" s="18"/>
      <c r="AA178" s="18"/>
      <c r="AB178" s="9"/>
      <c r="AC178" s="21">
        <v>1.2</v>
      </c>
    </row>
    <row r="179" spans="1:29" x14ac:dyDescent="0.25">
      <c r="A179" s="9">
        <f>A178</f>
        <v>44</v>
      </c>
      <c r="B179" s="9"/>
      <c r="C179" s="15" t="str">
        <f>IF(C178="*",C178,"")</f>
        <v>*</v>
      </c>
      <c r="D179" s="16"/>
      <c r="E179" s="17" t="str">
        <f t="shared" si="55"/>
        <v>TRABAF</v>
      </c>
      <c r="F179" s="17" t="str">
        <f t="shared" si="55"/>
        <v>TRAFRERFTDMD</v>
      </c>
      <c r="G179" s="17" t="str">
        <f t="shared" si="55"/>
        <v>TRAFRERFTDMD</v>
      </c>
      <c r="H179" s="18">
        <v>2030</v>
      </c>
      <c r="I179" s="18" t="str">
        <f>I178</f>
        <v>LO</v>
      </c>
      <c r="J179" s="18"/>
      <c r="K179" s="20">
        <f>-SUMIFS('TRA RESID'!$P:$P,'TRA RESID'!$H:$H,$E179,'TRA RESID'!$I:$I,$F179)/SUMIFS('TRA RESID'!$P:$P,'TRA RESID'!$I:$I,$F179)*O179</f>
        <v>0</v>
      </c>
      <c r="L179" s="18"/>
      <c r="M179" s="18"/>
      <c r="N179" s="9"/>
      <c r="O179" s="21">
        <v>0.2</v>
      </c>
      <c r="Q179" s="15" t="str">
        <f t="shared" si="40"/>
        <v>*</v>
      </c>
      <c r="R179" s="16"/>
      <c r="S179" s="17" t="str">
        <f t="shared" si="42"/>
        <v>TRABAF</v>
      </c>
      <c r="T179" s="17" t="str">
        <f t="shared" si="43"/>
        <v>TRAFRERFTDMD</v>
      </c>
      <c r="U179" s="17" t="str">
        <f t="shared" si="44"/>
        <v>TRAFRERFTDMD</v>
      </c>
      <c r="V179" s="18">
        <v>2030</v>
      </c>
      <c r="W179" s="18" t="str">
        <f>W178</f>
        <v>UP</v>
      </c>
      <c r="X179" s="18"/>
      <c r="Y179" s="20">
        <f>-MIN(SUMIFS('TRA RESID'!$P:$P,'TRA RESID'!$H:$H,$E179,'TRA RESID'!$I:$I,$F179)/SUMIFS('TRA RESID'!$P:$P,'TRA RESID'!$I:$I,$F179)*AC179,1)</f>
        <v>0</v>
      </c>
      <c r="Z179" s="18"/>
      <c r="AA179" s="18"/>
      <c r="AB179" s="9"/>
      <c r="AC179" s="21">
        <v>1.5</v>
      </c>
    </row>
    <row r="180" spans="1:29" x14ac:dyDescent="0.25">
      <c r="A180" s="22">
        <f>A179</f>
        <v>44</v>
      </c>
      <c r="B180" s="22"/>
      <c r="C180" s="23" t="str">
        <f>IF(C179="*",C179,"")</f>
        <v>*</v>
      </c>
      <c r="D180" s="24"/>
      <c r="E180" s="25" t="str">
        <f t="shared" si="55"/>
        <v>TRABAF</v>
      </c>
      <c r="F180" s="25" t="str">
        <f t="shared" si="55"/>
        <v>TRAFRERFTDMD</v>
      </c>
      <c r="G180" s="25" t="str">
        <f t="shared" si="55"/>
        <v>TRAFRERFTDMD</v>
      </c>
      <c r="H180" s="26">
        <v>2050</v>
      </c>
      <c r="I180" s="26" t="str">
        <f>I179</f>
        <v>LO</v>
      </c>
      <c r="J180" s="26"/>
      <c r="K180" s="27">
        <f>-SUMIFS('TRA RESID'!$P:$P,'TRA RESID'!$H:$H,$E180,'TRA RESID'!$I:$I,$F180)/SUMIFS('TRA RESID'!$P:$P,'TRA RESID'!$I:$I,$F180)*O180</f>
        <v>0</v>
      </c>
      <c r="L180" s="26"/>
      <c r="M180" s="26"/>
      <c r="N180" s="22"/>
      <c r="O180" s="28">
        <v>0</v>
      </c>
      <c r="Q180" s="23" t="str">
        <f t="shared" si="40"/>
        <v>*</v>
      </c>
      <c r="R180" s="24"/>
      <c r="S180" s="25" t="str">
        <f t="shared" si="42"/>
        <v>TRABAF</v>
      </c>
      <c r="T180" s="25" t="str">
        <f t="shared" si="43"/>
        <v>TRAFRERFTDMD</v>
      </c>
      <c r="U180" s="25" t="str">
        <f t="shared" si="44"/>
        <v>TRAFRERFTDMD</v>
      </c>
      <c r="V180" s="26">
        <v>2050</v>
      </c>
      <c r="W180" s="26" t="str">
        <f>W179</f>
        <v>UP</v>
      </c>
      <c r="X180" s="26"/>
      <c r="Y180" s="27">
        <f>-MIN(SUMIFS('TRA RESID'!$P:$P,'TRA RESID'!$H:$H,$E180,'TRA RESID'!$I:$I,$F180)/SUMIFS('TRA RESID'!$P:$P,'TRA RESID'!$I:$I,$F180)*AC180,1)</f>
        <v>0</v>
      </c>
      <c r="Z180" s="26"/>
      <c r="AA180" s="26"/>
      <c r="AB180" s="22"/>
      <c r="AC180" s="28">
        <v>3</v>
      </c>
    </row>
    <row r="181" spans="1:29" x14ac:dyDescent="0.25">
      <c r="A181" s="14">
        <f>A177+1</f>
        <v>45</v>
      </c>
      <c r="B181" s="9"/>
      <c r="C181" s="15" t="str">
        <f>IF(E181="","",IF(_xlfn.XLOOKUP($A181,Selected_constraint!$A:$A,Selected_constraint!$D:$D)=1,"*",IF(SUMIFS('TRA TECH'!$M:$M,'TRA TECH'!$H:$H,E181,'TRA TECH'!$I:$I,F181)=0,"*",IF(SUMIFS('TRA RESID'!$P:$P,'TRA RESID'!$H:$H,$E181,'TRA RESID'!$I:$I,$F181)=0,"*","UC_MarketShare_"&amp;LEFT(F181,LEN(F181)-3)&amp;"_"&amp;RIGHT(E181,3)&amp;"_MIN"))))</f>
        <v>*</v>
      </c>
      <c r="D181" s="16"/>
      <c r="E181" s="17" t="str">
        <f>_xlfn.XLOOKUP($A181,Selected_constraint!$A:$A,Selected_constraint!$B:$B)</f>
        <v>TRAH2G</v>
      </c>
      <c r="F181" s="17" t="str">
        <f>_xlfn.XLOOKUP($A181,Selected_constraint!$A:$A,Selected_constraint!$C:$C)</f>
        <v>TRAFRERFTDMD</v>
      </c>
      <c r="G181" s="17" t="str">
        <f>F181</f>
        <v>TRAFRERFTDMD</v>
      </c>
      <c r="H181" s="18">
        <v>2019</v>
      </c>
      <c r="I181" s="18" t="s">
        <v>483</v>
      </c>
      <c r="J181" s="18">
        <v>1</v>
      </c>
      <c r="K181" s="20">
        <f>-SUMIFS('TRA RESID'!$P:$P,'TRA RESID'!$H:$H,$E181,'TRA RESID'!$I:$I,$F181)/SUMIFS('TRA RESID'!$P:$P,'TRA RESID'!$I:$I,$F181)*O181</f>
        <v>0</v>
      </c>
      <c r="L181" s="18">
        <v>0</v>
      </c>
      <c r="M181" s="18">
        <v>5</v>
      </c>
      <c r="N181" s="9"/>
      <c r="O181" s="21">
        <v>0.98</v>
      </c>
      <c r="Q181" s="15" t="str">
        <f t="shared" si="40"/>
        <v>*</v>
      </c>
      <c r="R181" s="16"/>
      <c r="S181" s="17" t="str">
        <f t="shared" si="42"/>
        <v>TRAH2G</v>
      </c>
      <c r="T181" s="17" t="str">
        <f t="shared" si="43"/>
        <v>TRAFRERFTDMD</v>
      </c>
      <c r="U181" s="17" t="str">
        <f t="shared" si="44"/>
        <v>TRAFRERFTDMD</v>
      </c>
      <c r="V181" s="18">
        <v>2019</v>
      </c>
      <c r="W181" s="18" t="s">
        <v>484</v>
      </c>
      <c r="X181" s="18">
        <v>1</v>
      </c>
      <c r="Y181" s="20">
        <f>-MIN(SUMIFS('TRA RESID'!$P:$P,'TRA RESID'!$H:$H,$E181,'TRA RESID'!$I:$I,$F181)/SUMIFS('TRA RESID'!$P:$P,'TRA RESID'!$I:$I,$F181)*AC181,1)</f>
        <v>0</v>
      </c>
      <c r="Z181" s="18">
        <v>0</v>
      </c>
      <c r="AA181" s="18">
        <v>5</v>
      </c>
      <c r="AB181" s="9"/>
      <c r="AC181" s="21">
        <v>1.02</v>
      </c>
    </row>
    <row r="182" spans="1:29" x14ac:dyDescent="0.25">
      <c r="A182" s="9">
        <f>A181</f>
        <v>45</v>
      </c>
      <c r="B182" s="9"/>
      <c r="C182" s="15" t="str">
        <f>IF(C181="*",C181,"")</f>
        <v>*</v>
      </c>
      <c r="D182" s="16"/>
      <c r="E182" s="17" t="str">
        <f t="shared" ref="E182:G184" si="56">E181</f>
        <v>TRAH2G</v>
      </c>
      <c r="F182" s="17" t="str">
        <f t="shared" si="56"/>
        <v>TRAFRERFTDMD</v>
      </c>
      <c r="G182" s="17" t="str">
        <f t="shared" si="56"/>
        <v>TRAFRERFTDMD</v>
      </c>
      <c r="H182" s="18">
        <v>2025</v>
      </c>
      <c r="I182" s="18" t="str">
        <f>I181</f>
        <v>LO</v>
      </c>
      <c r="J182" s="18"/>
      <c r="K182" s="20">
        <f>-SUMIFS('TRA RESID'!$P:$P,'TRA RESID'!$H:$H,$E182,'TRA RESID'!$I:$I,$F182)/SUMIFS('TRA RESID'!$P:$P,'TRA RESID'!$I:$I,$F182)*O182</f>
        <v>0</v>
      </c>
      <c r="L182" s="18"/>
      <c r="M182" s="18"/>
      <c r="N182" s="9"/>
      <c r="O182" s="21">
        <v>0.8</v>
      </c>
      <c r="Q182" s="15" t="str">
        <f t="shared" si="40"/>
        <v>*</v>
      </c>
      <c r="R182" s="16"/>
      <c r="S182" s="17" t="str">
        <f t="shared" si="42"/>
        <v>TRAH2G</v>
      </c>
      <c r="T182" s="17" t="str">
        <f t="shared" si="43"/>
        <v>TRAFRERFTDMD</v>
      </c>
      <c r="U182" s="17" t="str">
        <f t="shared" si="44"/>
        <v>TRAFRERFTDMD</v>
      </c>
      <c r="V182" s="18">
        <v>2025</v>
      </c>
      <c r="W182" s="18" t="str">
        <f>W181</f>
        <v>UP</v>
      </c>
      <c r="X182" s="18"/>
      <c r="Y182" s="20">
        <f>-MIN(SUMIFS('TRA RESID'!$P:$P,'TRA RESID'!$H:$H,$E182,'TRA RESID'!$I:$I,$F182)/SUMIFS('TRA RESID'!$P:$P,'TRA RESID'!$I:$I,$F182)*AC182,1)</f>
        <v>0</v>
      </c>
      <c r="Z182" s="18"/>
      <c r="AA182" s="18"/>
      <c r="AB182" s="9"/>
      <c r="AC182" s="21">
        <v>1.2</v>
      </c>
    </row>
    <row r="183" spans="1:29" x14ac:dyDescent="0.25">
      <c r="A183" s="9">
        <f>A182</f>
        <v>45</v>
      </c>
      <c r="B183" s="9"/>
      <c r="C183" s="15" t="str">
        <f>IF(C182="*",C182,"")</f>
        <v>*</v>
      </c>
      <c r="D183" s="16"/>
      <c r="E183" s="17" t="str">
        <f t="shared" si="56"/>
        <v>TRAH2G</v>
      </c>
      <c r="F183" s="17" t="str">
        <f t="shared" si="56"/>
        <v>TRAFRERFTDMD</v>
      </c>
      <c r="G183" s="17" t="str">
        <f t="shared" si="56"/>
        <v>TRAFRERFTDMD</v>
      </c>
      <c r="H183" s="18">
        <v>2030</v>
      </c>
      <c r="I183" s="18" t="str">
        <f>I182</f>
        <v>LO</v>
      </c>
      <c r="J183" s="18"/>
      <c r="K183" s="20">
        <f>-SUMIFS('TRA RESID'!$P:$P,'TRA RESID'!$H:$H,$E183,'TRA RESID'!$I:$I,$F183)/SUMIFS('TRA RESID'!$P:$P,'TRA RESID'!$I:$I,$F183)*O183</f>
        <v>0</v>
      </c>
      <c r="L183" s="18"/>
      <c r="M183" s="18"/>
      <c r="N183" s="9"/>
      <c r="O183" s="21">
        <v>0.2</v>
      </c>
      <c r="Q183" s="15" t="str">
        <f t="shared" si="40"/>
        <v>*</v>
      </c>
      <c r="R183" s="16"/>
      <c r="S183" s="17" t="str">
        <f t="shared" si="42"/>
        <v>TRAH2G</v>
      </c>
      <c r="T183" s="17" t="str">
        <f t="shared" si="43"/>
        <v>TRAFRERFTDMD</v>
      </c>
      <c r="U183" s="17" t="str">
        <f t="shared" si="44"/>
        <v>TRAFRERFTDMD</v>
      </c>
      <c r="V183" s="18">
        <v>2030</v>
      </c>
      <c r="W183" s="18" t="str">
        <f>W182</f>
        <v>UP</v>
      </c>
      <c r="X183" s="18"/>
      <c r="Y183" s="20">
        <f>-MIN(SUMIFS('TRA RESID'!$P:$P,'TRA RESID'!$H:$H,$E183,'TRA RESID'!$I:$I,$F183)/SUMIFS('TRA RESID'!$P:$P,'TRA RESID'!$I:$I,$F183)*AC183,1)</f>
        <v>0</v>
      </c>
      <c r="Z183" s="18"/>
      <c r="AA183" s="18"/>
      <c r="AB183" s="9"/>
      <c r="AC183" s="21">
        <v>1.5</v>
      </c>
    </row>
    <row r="184" spans="1:29" x14ac:dyDescent="0.25">
      <c r="A184" s="22">
        <f>A183</f>
        <v>45</v>
      </c>
      <c r="B184" s="22"/>
      <c r="C184" s="23" t="str">
        <f>IF(C183="*",C183,"")</f>
        <v>*</v>
      </c>
      <c r="D184" s="24"/>
      <c r="E184" s="25" t="str">
        <f t="shared" si="56"/>
        <v>TRAH2G</v>
      </c>
      <c r="F184" s="25" t="str">
        <f t="shared" si="56"/>
        <v>TRAFRERFTDMD</v>
      </c>
      <c r="G184" s="25" t="str">
        <f t="shared" si="56"/>
        <v>TRAFRERFTDMD</v>
      </c>
      <c r="H184" s="26">
        <v>2050</v>
      </c>
      <c r="I184" s="26" t="str">
        <f>I183</f>
        <v>LO</v>
      </c>
      <c r="J184" s="26"/>
      <c r="K184" s="27">
        <f>-SUMIFS('TRA RESID'!$P:$P,'TRA RESID'!$H:$H,$E184,'TRA RESID'!$I:$I,$F184)/SUMIFS('TRA RESID'!$P:$P,'TRA RESID'!$I:$I,$F184)*O184</f>
        <v>0</v>
      </c>
      <c r="L184" s="26"/>
      <c r="M184" s="26"/>
      <c r="N184" s="22"/>
      <c r="O184" s="28">
        <v>0</v>
      </c>
      <c r="Q184" s="23" t="str">
        <f t="shared" si="40"/>
        <v>*</v>
      </c>
      <c r="R184" s="24"/>
      <c r="S184" s="25" t="str">
        <f t="shared" si="42"/>
        <v>TRAH2G</v>
      </c>
      <c r="T184" s="25" t="str">
        <f t="shared" si="43"/>
        <v>TRAFRERFTDMD</v>
      </c>
      <c r="U184" s="25" t="str">
        <f t="shared" si="44"/>
        <v>TRAFRERFTDMD</v>
      </c>
      <c r="V184" s="26">
        <v>2050</v>
      </c>
      <c r="W184" s="26" t="str">
        <f>W183</f>
        <v>UP</v>
      </c>
      <c r="X184" s="26"/>
      <c r="Y184" s="27">
        <f>-MIN(SUMIFS('TRA RESID'!$P:$P,'TRA RESID'!$H:$H,$E184,'TRA RESID'!$I:$I,$F184)/SUMIFS('TRA RESID'!$P:$P,'TRA RESID'!$I:$I,$F184)*AC184,1)</f>
        <v>0</v>
      </c>
      <c r="Z184" s="26"/>
      <c r="AA184" s="26"/>
      <c r="AB184" s="22"/>
      <c r="AC184" s="28">
        <v>3</v>
      </c>
    </row>
    <row r="185" spans="1:29" x14ac:dyDescent="0.25">
      <c r="A185" s="14">
        <f>A181+1</f>
        <v>46</v>
      </c>
      <c r="B185" s="9"/>
      <c r="C185" s="15" t="str">
        <f>IF(E185="","",IF(_xlfn.XLOOKUP($A185,Selected_constraint!$A:$A,Selected_constraint!$D:$D)=1,"*",IF(SUMIFS('TRA TECH'!$M:$M,'TRA TECH'!$H:$H,E185,'TRA TECH'!$I:$I,F185)=0,"*",IF(SUMIFS('TRA RESID'!$P:$P,'TRA RESID'!$H:$H,$E185,'TRA RESID'!$I:$I,$F185)=0,"*","UC_MarketShare_"&amp;LEFT(F185,LEN(F185)-3)&amp;"_"&amp;RIGHT(E185,3)&amp;"_MIN"))))</f>
        <v>*</v>
      </c>
      <c r="D185" s="16"/>
      <c r="E185" s="17" t="str">
        <f>_xlfn.XLOOKUP($A185,Selected_constraint!$A:$A,Selected_constraint!$B:$B)</f>
        <v>TRAGSL</v>
      </c>
      <c r="F185" s="17" t="str">
        <f>_xlfn.XLOOKUP($A185,Selected_constraint!$A:$A,Selected_constraint!$C:$C)</f>
        <v>TRAFRESLHDMD</v>
      </c>
      <c r="G185" s="17" t="str">
        <f>F185</f>
        <v>TRAFRESLHDMD</v>
      </c>
      <c r="H185" s="18">
        <v>2019</v>
      </c>
      <c r="I185" s="18" t="s">
        <v>483</v>
      </c>
      <c r="J185" s="18">
        <v>1</v>
      </c>
      <c r="K185" s="20" t="e">
        <f>-SUMIFS('TRA RESID'!$P:$P,'TRA RESID'!$H:$H,$E185,'TRA RESID'!$I:$I,$F185)/SUMIFS('TRA RESID'!$P:$P,'TRA RESID'!$I:$I,$F185)*O185</f>
        <v>#DIV/0!</v>
      </c>
      <c r="L185" s="18">
        <v>0</v>
      </c>
      <c r="M185" s="18">
        <v>5</v>
      </c>
      <c r="N185" s="9"/>
      <c r="O185" s="21">
        <v>0.98</v>
      </c>
      <c r="Q185" s="15" t="str">
        <f t="shared" si="40"/>
        <v>*</v>
      </c>
      <c r="R185" s="16"/>
      <c r="S185" s="17" t="str">
        <f t="shared" si="42"/>
        <v>TRAGSL</v>
      </c>
      <c r="T185" s="17" t="str">
        <f t="shared" si="43"/>
        <v>TRAFRESLHDMD</v>
      </c>
      <c r="U185" s="17" t="str">
        <f t="shared" si="44"/>
        <v>TRAFRESLHDMD</v>
      </c>
      <c r="V185" s="18">
        <v>2019</v>
      </c>
      <c r="W185" s="18" t="s">
        <v>484</v>
      </c>
      <c r="X185" s="18">
        <v>1</v>
      </c>
      <c r="Y185" s="20" t="e">
        <f>-MIN(SUMIFS('TRA RESID'!$P:$P,'TRA RESID'!$H:$H,$E185,'TRA RESID'!$I:$I,$F185)/SUMIFS('TRA RESID'!$P:$P,'TRA RESID'!$I:$I,$F185)*AC185,1)</f>
        <v>#DIV/0!</v>
      </c>
      <c r="Z185" s="18">
        <v>0</v>
      </c>
      <c r="AA185" s="18">
        <v>5</v>
      </c>
      <c r="AB185" s="9"/>
      <c r="AC185" s="21">
        <v>1.02</v>
      </c>
    </row>
    <row r="186" spans="1:29" x14ac:dyDescent="0.25">
      <c r="A186" s="9">
        <f>A185</f>
        <v>46</v>
      </c>
      <c r="B186" s="9"/>
      <c r="C186" s="15" t="str">
        <f>IF(C185="*",C185,"")</f>
        <v>*</v>
      </c>
      <c r="D186" s="16"/>
      <c r="E186" s="17" t="str">
        <f t="shared" ref="E186:G188" si="57">E185</f>
        <v>TRAGSL</v>
      </c>
      <c r="F186" s="17" t="str">
        <f t="shared" si="57"/>
        <v>TRAFRESLHDMD</v>
      </c>
      <c r="G186" s="17" t="str">
        <f t="shared" si="57"/>
        <v>TRAFRESLHDMD</v>
      </c>
      <c r="H186" s="18">
        <v>2025</v>
      </c>
      <c r="I186" s="18" t="str">
        <f>I185</f>
        <v>LO</v>
      </c>
      <c r="J186" s="18"/>
      <c r="K186" s="20" t="e">
        <f>-SUMIFS('TRA RESID'!$P:$P,'TRA RESID'!$H:$H,$E186,'TRA RESID'!$I:$I,$F186)/SUMIFS('TRA RESID'!$P:$P,'TRA RESID'!$I:$I,$F186)*O186</f>
        <v>#DIV/0!</v>
      </c>
      <c r="L186" s="18"/>
      <c r="M186" s="18"/>
      <c r="N186" s="9"/>
      <c r="O186" s="21">
        <v>0.8</v>
      </c>
      <c r="Q186" s="15" t="str">
        <f t="shared" si="40"/>
        <v>*</v>
      </c>
      <c r="R186" s="16"/>
      <c r="S186" s="17" t="str">
        <f t="shared" si="42"/>
        <v>TRAGSL</v>
      </c>
      <c r="T186" s="17" t="str">
        <f t="shared" si="43"/>
        <v>TRAFRESLHDMD</v>
      </c>
      <c r="U186" s="17" t="str">
        <f t="shared" si="44"/>
        <v>TRAFRESLHDMD</v>
      </c>
      <c r="V186" s="18">
        <v>2025</v>
      </c>
      <c r="W186" s="18" t="str">
        <f>W185</f>
        <v>UP</v>
      </c>
      <c r="X186" s="18"/>
      <c r="Y186" s="20" t="e">
        <f>-MIN(SUMIFS('TRA RESID'!$P:$P,'TRA RESID'!$H:$H,$E186,'TRA RESID'!$I:$I,$F186)/SUMIFS('TRA RESID'!$P:$P,'TRA RESID'!$I:$I,$F186)*AC186,1)</f>
        <v>#DIV/0!</v>
      </c>
      <c r="Z186" s="18"/>
      <c r="AA186" s="18"/>
      <c r="AB186" s="9"/>
      <c r="AC186" s="21">
        <v>1.2</v>
      </c>
    </row>
    <row r="187" spans="1:29" x14ac:dyDescent="0.25">
      <c r="A187" s="9">
        <f>A186</f>
        <v>46</v>
      </c>
      <c r="B187" s="9"/>
      <c r="C187" s="15" t="str">
        <f>IF(C186="*",C186,"")</f>
        <v>*</v>
      </c>
      <c r="D187" s="16"/>
      <c r="E187" s="17" t="str">
        <f t="shared" si="57"/>
        <v>TRAGSL</v>
      </c>
      <c r="F187" s="17" t="str">
        <f t="shared" si="57"/>
        <v>TRAFRESLHDMD</v>
      </c>
      <c r="G187" s="17" t="str">
        <f t="shared" si="57"/>
        <v>TRAFRESLHDMD</v>
      </c>
      <c r="H187" s="18">
        <v>2030</v>
      </c>
      <c r="I187" s="18" t="str">
        <f>I186</f>
        <v>LO</v>
      </c>
      <c r="J187" s="18"/>
      <c r="K187" s="20" t="e">
        <f>-SUMIFS('TRA RESID'!$P:$P,'TRA RESID'!$H:$H,$E187,'TRA RESID'!$I:$I,$F187)/SUMIFS('TRA RESID'!$P:$P,'TRA RESID'!$I:$I,$F187)*O187</f>
        <v>#DIV/0!</v>
      </c>
      <c r="L187" s="18"/>
      <c r="M187" s="18"/>
      <c r="N187" s="9"/>
      <c r="O187" s="21">
        <v>0.2</v>
      </c>
      <c r="Q187" s="15" t="str">
        <f t="shared" si="40"/>
        <v>*</v>
      </c>
      <c r="R187" s="16"/>
      <c r="S187" s="17" t="str">
        <f t="shared" si="42"/>
        <v>TRAGSL</v>
      </c>
      <c r="T187" s="17" t="str">
        <f t="shared" si="43"/>
        <v>TRAFRESLHDMD</v>
      </c>
      <c r="U187" s="17" t="str">
        <f t="shared" si="44"/>
        <v>TRAFRESLHDMD</v>
      </c>
      <c r="V187" s="18">
        <v>2030</v>
      </c>
      <c r="W187" s="18" t="str">
        <f>W186</f>
        <v>UP</v>
      </c>
      <c r="X187" s="18"/>
      <c r="Y187" s="20" t="e">
        <f>-MIN(SUMIFS('TRA RESID'!$P:$P,'TRA RESID'!$H:$H,$E187,'TRA RESID'!$I:$I,$F187)/SUMIFS('TRA RESID'!$P:$P,'TRA RESID'!$I:$I,$F187)*AC187,1)</f>
        <v>#DIV/0!</v>
      </c>
      <c r="Z187" s="18"/>
      <c r="AA187" s="18"/>
      <c r="AB187" s="9"/>
      <c r="AC187" s="21">
        <v>1.5</v>
      </c>
    </row>
    <row r="188" spans="1:29" x14ac:dyDescent="0.25">
      <c r="A188" s="22">
        <f>A187</f>
        <v>46</v>
      </c>
      <c r="B188" s="22"/>
      <c r="C188" s="23" t="str">
        <f>IF(C187="*",C187,"")</f>
        <v>*</v>
      </c>
      <c r="D188" s="24"/>
      <c r="E188" s="25" t="str">
        <f t="shared" si="57"/>
        <v>TRAGSL</v>
      </c>
      <c r="F188" s="25" t="str">
        <f t="shared" si="57"/>
        <v>TRAFRESLHDMD</v>
      </c>
      <c r="G188" s="25" t="str">
        <f t="shared" si="57"/>
        <v>TRAFRESLHDMD</v>
      </c>
      <c r="H188" s="26">
        <v>2050</v>
      </c>
      <c r="I188" s="26" t="str">
        <f>I187</f>
        <v>LO</v>
      </c>
      <c r="J188" s="26"/>
      <c r="K188" s="27" t="e">
        <f>-SUMIFS('TRA RESID'!$P:$P,'TRA RESID'!$H:$H,$E188,'TRA RESID'!$I:$I,$F188)/SUMIFS('TRA RESID'!$P:$P,'TRA RESID'!$I:$I,$F188)*O188</f>
        <v>#DIV/0!</v>
      </c>
      <c r="L188" s="26"/>
      <c r="M188" s="26"/>
      <c r="N188" s="22"/>
      <c r="O188" s="28">
        <v>0</v>
      </c>
      <c r="Q188" s="23" t="str">
        <f t="shared" si="40"/>
        <v>*</v>
      </c>
      <c r="R188" s="24"/>
      <c r="S188" s="25" t="str">
        <f t="shared" si="42"/>
        <v>TRAGSL</v>
      </c>
      <c r="T188" s="25" t="str">
        <f t="shared" si="43"/>
        <v>TRAFRESLHDMD</v>
      </c>
      <c r="U188" s="25" t="str">
        <f t="shared" si="44"/>
        <v>TRAFRESLHDMD</v>
      </c>
      <c r="V188" s="26">
        <v>2050</v>
      </c>
      <c r="W188" s="26" t="str">
        <f>W187</f>
        <v>UP</v>
      </c>
      <c r="X188" s="26"/>
      <c r="Y188" s="27" t="e">
        <f>-MIN(SUMIFS('TRA RESID'!$P:$P,'TRA RESID'!$H:$H,$E188,'TRA RESID'!$I:$I,$F188)/SUMIFS('TRA RESID'!$P:$P,'TRA RESID'!$I:$I,$F188)*AC188,1)</f>
        <v>#DIV/0!</v>
      </c>
      <c r="Z188" s="26"/>
      <c r="AA188" s="26"/>
      <c r="AB188" s="22"/>
      <c r="AC188" s="28">
        <v>3</v>
      </c>
    </row>
    <row r="189" spans="1:29" x14ac:dyDescent="0.25">
      <c r="A189" s="14">
        <f>A185+1</f>
        <v>47</v>
      </c>
      <c r="B189" s="9"/>
      <c r="C189" s="15" t="str">
        <f>IF(E189="","",IF(_xlfn.XLOOKUP($A189,Selected_constraint!$A:$A,Selected_constraint!$D:$D)=1,"*",IF(SUMIFS('TRA TECH'!$M:$M,'TRA TECH'!$H:$H,E189,'TRA TECH'!$I:$I,F189)=0,"*",IF(SUMIFS('TRA RESID'!$P:$P,'TRA RESID'!$H:$H,$E189,'TRA RESID'!$I:$I,$F189)=0,"*","UC_MarketShare_"&amp;LEFT(F189,LEN(F189)-3)&amp;"_"&amp;RIGHT(E189,3)&amp;"_MIN"))))</f>
        <v>*</v>
      </c>
      <c r="D189" s="16"/>
      <c r="E189" s="17" t="str">
        <f>_xlfn.XLOOKUP($A189,Selected_constraint!$A:$A,Selected_constraint!$B:$B)</f>
        <v>TRAETH</v>
      </c>
      <c r="F189" s="17" t="str">
        <f>_xlfn.XLOOKUP($A189,Selected_constraint!$A:$A,Selected_constraint!$C:$C)</f>
        <v>TRAFRESLHDMD</v>
      </c>
      <c r="G189" s="17" t="str">
        <f>F189</f>
        <v>TRAFRESLHDMD</v>
      </c>
      <c r="H189" s="18">
        <v>2019</v>
      </c>
      <c r="I189" s="18" t="s">
        <v>483</v>
      </c>
      <c r="J189" s="18">
        <v>1</v>
      </c>
      <c r="K189" s="20" t="e">
        <f>-SUMIFS('TRA RESID'!$P:$P,'TRA RESID'!$H:$H,$E189,'TRA RESID'!$I:$I,$F189)/SUMIFS('TRA RESID'!$P:$P,'TRA RESID'!$I:$I,$F189)*O189</f>
        <v>#DIV/0!</v>
      </c>
      <c r="L189" s="18">
        <v>0</v>
      </c>
      <c r="M189" s="18">
        <v>5</v>
      </c>
      <c r="N189" s="9"/>
      <c r="O189" s="21">
        <v>0.98</v>
      </c>
      <c r="Q189" s="15" t="str">
        <f t="shared" si="40"/>
        <v>*</v>
      </c>
      <c r="R189" s="16"/>
      <c r="S189" s="17" t="str">
        <f t="shared" si="42"/>
        <v>TRAETH</v>
      </c>
      <c r="T189" s="17" t="str">
        <f t="shared" si="43"/>
        <v>TRAFRESLHDMD</v>
      </c>
      <c r="U189" s="17" t="str">
        <f t="shared" si="44"/>
        <v>TRAFRESLHDMD</v>
      </c>
      <c r="V189" s="18">
        <v>2019</v>
      </c>
      <c r="W189" s="18" t="s">
        <v>484</v>
      </c>
      <c r="X189" s="18">
        <v>1</v>
      </c>
      <c r="Y189" s="20" t="e">
        <f>-MIN(SUMIFS('TRA RESID'!$P:$P,'TRA RESID'!$H:$H,$E189,'TRA RESID'!$I:$I,$F189)/SUMIFS('TRA RESID'!$P:$P,'TRA RESID'!$I:$I,$F189)*AC189,1)</f>
        <v>#DIV/0!</v>
      </c>
      <c r="Z189" s="18">
        <v>0</v>
      </c>
      <c r="AA189" s="18">
        <v>5</v>
      </c>
      <c r="AB189" s="9"/>
      <c r="AC189" s="21">
        <v>1.02</v>
      </c>
    </row>
    <row r="190" spans="1:29" x14ac:dyDescent="0.25">
      <c r="A190" s="9">
        <f>A189</f>
        <v>47</v>
      </c>
      <c r="B190" s="9"/>
      <c r="C190" s="15" t="str">
        <f>IF(C189="*",C189,"")</f>
        <v>*</v>
      </c>
      <c r="D190" s="16"/>
      <c r="E190" s="17" t="str">
        <f t="shared" ref="E190:G192" si="58">E189</f>
        <v>TRAETH</v>
      </c>
      <c r="F190" s="17" t="str">
        <f t="shared" si="58"/>
        <v>TRAFRESLHDMD</v>
      </c>
      <c r="G190" s="17" t="str">
        <f t="shared" si="58"/>
        <v>TRAFRESLHDMD</v>
      </c>
      <c r="H190" s="18">
        <v>2025</v>
      </c>
      <c r="I190" s="18" t="str">
        <f>I189</f>
        <v>LO</v>
      </c>
      <c r="J190" s="18"/>
      <c r="K190" s="20" t="e">
        <f>-SUMIFS('TRA RESID'!$P:$P,'TRA RESID'!$H:$H,$E190,'TRA RESID'!$I:$I,$F190)/SUMIFS('TRA RESID'!$P:$P,'TRA RESID'!$I:$I,$F190)*O190</f>
        <v>#DIV/0!</v>
      </c>
      <c r="L190" s="18"/>
      <c r="M190" s="18"/>
      <c r="N190" s="9"/>
      <c r="O190" s="21">
        <v>0.8</v>
      </c>
      <c r="Q190" s="15" t="str">
        <f t="shared" si="40"/>
        <v>*</v>
      </c>
      <c r="R190" s="16"/>
      <c r="S190" s="17" t="str">
        <f t="shared" si="42"/>
        <v>TRAETH</v>
      </c>
      <c r="T190" s="17" t="str">
        <f t="shared" si="43"/>
        <v>TRAFRESLHDMD</v>
      </c>
      <c r="U190" s="17" t="str">
        <f t="shared" si="44"/>
        <v>TRAFRESLHDMD</v>
      </c>
      <c r="V190" s="18">
        <v>2025</v>
      </c>
      <c r="W190" s="18" t="str">
        <f>W189</f>
        <v>UP</v>
      </c>
      <c r="X190" s="18"/>
      <c r="Y190" s="20" t="e">
        <f>-MIN(SUMIFS('TRA RESID'!$P:$P,'TRA RESID'!$H:$H,$E190,'TRA RESID'!$I:$I,$F190)/SUMIFS('TRA RESID'!$P:$P,'TRA RESID'!$I:$I,$F190)*AC190,1)</f>
        <v>#DIV/0!</v>
      </c>
      <c r="Z190" s="18"/>
      <c r="AA190" s="18"/>
      <c r="AB190" s="9"/>
      <c r="AC190" s="21">
        <v>1.2</v>
      </c>
    </row>
    <row r="191" spans="1:29" x14ac:dyDescent="0.25">
      <c r="A191" s="9">
        <f>A190</f>
        <v>47</v>
      </c>
      <c r="B191" s="9"/>
      <c r="C191" s="15" t="str">
        <f>IF(C190="*",C190,"")</f>
        <v>*</v>
      </c>
      <c r="D191" s="16"/>
      <c r="E191" s="17" t="str">
        <f t="shared" si="58"/>
        <v>TRAETH</v>
      </c>
      <c r="F191" s="17" t="str">
        <f t="shared" si="58"/>
        <v>TRAFRESLHDMD</v>
      </c>
      <c r="G191" s="17" t="str">
        <f t="shared" si="58"/>
        <v>TRAFRESLHDMD</v>
      </c>
      <c r="H191" s="18">
        <v>2030</v>
      </c>
      <c r="I191" s="18" t="str">
        <f>I190</f>
        <v>LO</v>
      </c>
      <c r="J191" s="18"/>
      <c r="K191" s="20" t="e">
        <f>-SUMIFS('TRA RESID'!$P:$P,'TRA RESID'!$H:$H,$E191,'TRA RESID'!$I:$I,$F191)/SUMIFS('TRA RESID'!$P:$P,'TRA RESID'!$I:$I,$F191)*O191</f>
        <v>#DIV/0!</v>
      </c>
      <c r="L191" s="18"/>
      <c r="M191" s="18"/>
      <c r="N191" s="9"/>
      <c r="O191" s="21">
        <v>0.2</v>
      </c>
      <c r="Q191" s="15" t="str">
        <f t="shared" si="40"/>
        <v>*</v>
      </c>
      <c r="R191" s="16"/>
      <c r="S191" s="17" t="str">
        <f t="shared" si="42"/>
        <v>TRAETH</v>
      </c>
      <c r="T191" s="17" t="str">
        <f t="shared" si="43"/>
        <v>TRAFRESLHDMD</v>
      </c>
      <c r="U191" s="17" t="str">
        <f t="shared" si="44"/>
        <v>TRAFRESLHDMD</v>
      </c>
      <c r="V191" s="18">
        <v>2030</v>
      </c>
      <c r="W191" s="18" t="str">
        <f>W190</f>
        <v>UP</v>
      </c>
      <c r="X191" s="18"/>
      <c r="Y191" s="20" t="e">
        <f>-MIN(SUMIFS('TRA RESID'!$P:$P,'TRA RESID'!$H:$H,$E191,'TRA RESID'!$I:$I,$F191)/SUMIFS('TRA RESID'!$P:$P,'TRA RESID'!$I:$I,$F191)*AC191,1)</f>
        <v>#DIV/0!</v>
      </c>
      <c r="Z191" s="18"/>
      <c r="AA191" s="18"/>
      <c r="AB191" s="9"/>
      <c r="AC191" s="21">
        <v>1.5</v>
      </c>
    </row>
    <row r="192" spans="1:29" x14ac:dyDescent="0.25">
      <c r="A192" s="22">
        <f>A191</f>
        <v>47</v>
      </c>
      <c r="B192" s="22"/>
      <c r="C192" s="23" t="str">
        <f>IF(C191="*",C191,"")</f>
        <v>*</v>
      </c>
      <c r="D192" s="24"/>
      <c r="E192" s="25" t="str">
        <f t="shared" si="58"/>
        <v>TRAETH</v>
      </c>
      <c r="F192" s="25" t="str">
        <f t="shared" si="58"/>
        <v>TRAFRESLHDMD</v>
      </c>
      <c r="G192" s="25" t="str">
        <f t="shared" si="58"/>
        <v>TRAFRESLHDMD</v>
      </c>
      <c r="H192" s="26">
        <v>2050</v>
      </c>
      <c r="I192" s="26" t="str">
        <f>I191</f>
        <v>LO</v>
      </c>
      <c r="J192" s="26"/>
      <c r="K192" s="27" t="e">
        <f>-SUMIFS('TRA RESID'!$P:$P,'TRA RESID'!$H:$H,$E192,'TRA RESID'!$I:$I,$F192)/SUMIFS('TRA RESID'!$P:$P,'TRA RESID'!$I:$I,$F192)*O192</f>
        <v>#DIV/0!</v>
      </c>
      <c r="L192" s="26"/>
      <c r="M192" s="26"/>
      <c r="N192" s="22"/>
      <c r="O192" s="28">
        <v>0</v>
      </c>
      <c r="Q192" s="23" t="str">
        <f t="shared" si="40"/>
        <v>*</v>
      </c>
      <c r="R192" s="24"/>
      <c r="S192" s="25" t="str">
        <f t="shared" si="42"/>
        <v>TRAETH</v>
      </c>
      <c r="T192" s="25" t="str">
        <f t="shared" si="43"/>
        <v>TRAFRESLHDMD</v>
      </c>
      <c r="U192" s="25" t="str">
        <f t="shared" si="44"/>
        <v>TRAFRESLHDMD</v>
      </c>
      <c r="V192" s="26">
        <v>2050</v>
      </c>
      <c r="W192" s="26" t="str">
        <f>W191</f>
        <v>UP</v>
      </c>
      <c r="X192" s="26"/>
      <c r="Y192" s="27" t="e">
        <f>-MIN(SUMIFS('TRA RESID'!$P:$P,'TRA RESID'!$H:$H,$E192,'TRA RESID'!$I:$I,$F192)/SUMIFS('TRA RESID'!$P:$P,'TRA RESID'!$I:$I,$F192)*AC192,1)</f>
        <v>#DIV/0!</v>
      </c>
      <c r="Z192" s="26"/>
      <c r="AA192" s="26"/>
      <c r="AB192" s="22"/>
      <c r="AC192" s="28">
        <v>3</v>
      </c>
    </row>
    <row r="193" spans="1:29" x14ac:dyDescent="0.25">
      <c r="A193" s="14">
        <f>A189+1</f>
        <v>48</v>
      </c>
      <c r="B193" s="9"/>
      <c r="C193" s="15" t="str">
        <f>IF(E193="","",IF(_xlfn.XLOOKUP($A193,Selected_constraint!$A:$A,Selected_constraint!$D:$D)=1,"*",IF(SUMIFS('TRA TECH'!$M:$M,'TRA TECH'!$H:$H,E193,'TRA TECH'!$I:$I,F193)=0,"*",IF(SUMIFS('TRA RESID'!$P:$P,'TRA RESID'!$H:$H,$E193,'TRA RESID'!$I:$I,$F193)=0,"*","UC_MarketShare_"&amp;LEFT(F193,LEN(F193)-3)&amp;"_"&amp;RIGHT(E193,3)&amp;"_MIN"))))</f>
        <v>*</v>
      </c>
      <c r="D193" s="16"/>
      <c r="E193" s="17" t="str">
        <f>_xlfn.XLOOKUP($A193,Selected_constraint!$A:$A,Selected_constraint!$B:$B)</f>
        <v>TRADSL</v>
      </c>
      <c r="F193" s="17" t="str">
        <f>_xlfn.XLOOKUP($A193,Selected_constraint!$A:$A,Selected_constraint!$C:$C)</f>
        <v>TRAFRESLHDMD</v>
      </c>
      <c r="G193" s="17" t="str">
        <f>F193</f>
        <v>TRAFRESLHDMD</v>
      </c>
      <c r="H193" s="18">
        <v>2019</v>
      </c>
      <c r="I193" s="18" t="s">
        <v>483</v>
      </c>
      <c r="J193" s="18">
        <v>1</v>
      </c>
      <c r="K193" s="20" t="e">
        <f>-SUMIFS('TRA RESID'!$P:$P,'TRA RESID'!$H:$H,$E193,'TRA RESID'!$I:$I,$F193)/SUMIFS('TRA RESID'!$P:$P,'TRA RESID'!$I:$I,$F193)*O193</f>
        <v>#DIV/0!</v>
      </c>
      <c r="L193" s="18">
        <v>0</v>
      </c>
      <c r="M193" s="18">
        <v>5</v>
      </c>
      <c r="N193" s="9"/>
      <c r="O193" s="21">
        <v>0.98</v>
      </c>
      <c r="Q193" s="15" t="str">
        <f t="shared" si="40"/>
        <v>*</v>
      </c>
      <c r="R193" s="16"/>
      <c r="S193" s="17" t="str">
        <f t="shared" si="42"/>
        <v>TRADSL</v>
      </c>
      <c r="T193" s="17" t="str">
        <f t="shared" si="43"/>
        <v>TRAFRESLHDMD</v>
      </c>
      <c r="U193" s="17" t="str">
        <f t="shared" si="44"/>
        <v>TRAFRESLHDMD</v>
      </c>
      <c r="V193" s="18">
        <v>2019</v>
      </c>
      <c r="W193" s="18" t="s">
        <v>484</v>
      </c>
      <c r="X193" s="18">
        <v>1</v>
      </c>
      <c r="Y193" s="20" t="e">
        <f>-MIN(SUMIFS('TRA RESID'!$P:$P,'TRA RESID'!$H:$H,$E193,'TRA RESID'!$I:$I,$F193)/SUMIFS('TRA RESID'!$P:$P,'TRA RESID'!$I:$I,$F193)*AC193,1)</f>
        <v>#DIV/0!</v>
      </c>
      <c r="Z193" s="18">
        <v>0</v>
      </c>
      <c r="AA193" s="18">
        <v>5</v>
      </c>
      <c r="AB193" s="9"/>
      <c r="AC193" s="21">
        <v>1.02</v>
      </c>
    </row>
    <row r="194" spans="1:29" x14ac:dyDescent="0.25">
      <c r="A194" s="9">
        <f>A193</f>
        <v>48</v>
      </c>
      <c r="B194" s="9"/>
      <c r="C194" s="15" t="str">
        <f>IF(C193="*",C193,"")</f>
        <v>*</v>
      </c>
      <c r="D194" s="16"/>
      <c r="E194" s="17" t="str">
        <f t="shared" ref="E194:G196" si="59">E193</f>
        <v>TRADSL</v>
      </c>
      <c r="F194" s="17" t="str">
        <f t="shared" si="59"/>
        <v>TRAFRESLHDMD</v>
      </c>
      <c r="G194" s="17" t="str">
        <f t="shared" si="59"/>
        <v>TRAFRESLHDMD</v>
      </c>
      <c r="H194" s="18">
        <v>2025</v>
      </c>
      <c r="I194" s="18" t="str">
        <f>I193</f>
        <v>LO</v>
      </c>
      <c r="J194" s="18"/>
      <c r="K194" s="20" t="e">
        <f>-SUMIFS('TRA RESID'!$P:$P,'TRA RESID'!$H:$H,$E194,'TRA RESID'!$I:$I,$F194)/SUMIFS('TRA RESID'!$P:$P,'TRA RESID'!$I:$I,$F194)*O194</f>
        <v>#DIV/0!</v>
      </c>
      <c r="L194" s="18"/>
      <c r="M194" s="18"/>
      <c r="N194" s="9"/>
      <c r="O194" s="21">
        <v>0.8</v>
      </c>
      <c r="Q194" s="15" t="str">
        <f t="shared" si="40"/>
        <v>*</v>
      </c>
      <c r="R194" s="16"/>
      <c r="S194" s="17" t="str">
        <f t="shared" si="42"/>
        <v>TRADSL</v>
      </c>
      <c r="T194" s="17" t="str">
        <f t="shared" si="43"/>
        <v>TRAFRESLHDMD</v>
      </c>
      <c r="U194" s="17" t="str">
        <f t="shared" si="44"/>
        <v>TRAFRESLHDMD</v>
      </c>
      <c r="V194" s="18">
        <v>2025</v>
      </c>
      <c r="W194" s="18" t="str">
        <f>W193</f>
        <v>UP</v>
      </c>
      <c r="X194" s="18"/>
      <c r="Y194" s="20" t="e">
        <f>-MIN(SUMIFS('TRA RESID'!$P:$P,'TRA RESID'!$H:$H,$E194,'TRA RESID'!$I:$I,$F194)/SUMIFS('TRA RESID'!$P:$P,'TRA RESID'!$I:$I,$F194)*AC194,1)</f>
        <v>#DIV/0!</v>
      </c>
      <c r="Z194" s="18"/>
      <c r="AA194" s="18"/>
      <c r="AB194" s="9"/>
      <c r="AC194" s="21">
        <v>1.2</v>
      </c>
    </row>
    <row r="195" spans="1:29" x14ac:dyDescent="0.25">
      <c r="A195" s="9">
        <f>A194</f>
        <v>48</v>
      </c>
      <c r="B195" s="9"/>
      <c r="C195" s="15" t="str">
        <f>IF(C194="*",C194,"")</f>
        <v>*</v>
      </c>
      <c r="D195" s="16"/>
      <c r="E195" s="17" t="str">
        <f t="shared" si="59"/>
        <v>TRADSL</v>
      </c>
      <c r="F195" s="17" t="str">
        <f t="shared" si="59"/>
        <v>TRAFRESLHDMD</v>
      </c>
      <c r="G195" s="17" t="str">
        <f t="shared" si="59"/>
        <v>TRAFRESLHDMD</v>
      </c>
      <c r="H195" s="18">
        <v>2030</v>
      </c>
      <c r="I195" s="18" t="str">
        <f>I194</f>
        <v>LO</v>
      </c>
      <c r="J195" s="18"/>
      <c r="K195" s="20" t="e">
        <f>-SUMIFS('TRA RESID'!$P:$P,'TRA RESID'!$H:$H,$E195,'TRA RESID'!$I:$I,$F195)/SUMIFS('TRA RESID'!$P:$P,'TRA RESID'!$I:$I,$F195)*O195</f>
        <v>#DIV/0!</v>
      </c>
      <c r="L195" s="18"/>
      <c r="M195" s="18"/>
      <c r="N195" s="9"/>
      <c r="O195" s="21">
        <v>0.2</v>
      </c>
      <c r="Q195" s="15" t="str">
        <f t="shared" si="40"/>
        <v>*</v>
      </c>
      <c r="R195" s="16"/>
      <c r="S195" s="17" t="str">
        <f t="shared" si="42"/>
        <v>TRADSL</v>
      </c>
      <c r="T195" s="17" t="str">
        <f t="shared" si="43"/>
        <v>TRAFRESLHDMD</v>
      </c>
      <c r="U195" s="17" t="str">
        <f t="shared" si="44"/>
        <v>TRAFRESLHDMD</v>
      </c>
      <c r="V195" s="18">
        <v>2030</v>
      </c>
      <c r="W195" s="18" t="str">
        <f>W194</f>
        <v>UP</v>
      </c>
      <c r="X195" s="18"/>
      <c r="Y195" s="20" t="e">
        <f>-MIN(SUMIFS('TRA RESID'!$P:$P,'TRA RESID'!$H:$H,$E195,'TRA RESID'!$I:$I,$F195)/SUMIFS('TRA RESID'!$P:$P,'TRA RESID'!$I:$I,$F195)*AC195,1)</f>
        <v>#DIV/0!</v>
      </c>
      <c r="Z195" s="18"/>
      <c r="AA195" s="18"/>
      <c r="AB195" s="9"/>
      <c r="AC195" s="21">
        <v>1.5</v>
      </c>
    </row>
    <row r="196" spans="1:29" x14ac:dyDescent="0.25">
      <c r="A196" s="22">
        <f>A195</f>
        <v>48</v>
      </c>
      <c r="B196" s="22"/>
      <c r="C196" s="23" t="str">
        <f>IF(C195="*",C195,"")</f>
        <v>*</v>
      </c>
      <c r="D196" s="24"/>
      <c r="E196" s="25" t="str">
        <f t="shared" si="59"/>
        <v>TRADSL</v>
      </c>
      <c r="F196" s="25" t="str">
        <f t="shared" si="59"/>
        <v>TRAFRESLHDMD</v>
      </c>
      <c r="G196" s="25" t="str">
        <f t="shared" si="59"/>
        <v>TRAFRESLHDMD</v>
      </c>
      <c r="H196" s="26">
        <v>2050</v>
      </c>
      <c r="I196" s="26" t="str">
        <f>I195</f>
        <v>LO</v>
      </c>
      <c r="J196" s="26"/>
      <c r="K196" s="27" t="e">
        <f>-SUMIFS('TRA RESID'!$P:$P,'TRA RESID'!$H:$H,$E196,'TRA RESID'!$I:$I,$F196)/SUMIFS('TRA RESID'!$P:$P,'TRA RESID'!$I:$I,$F196)*O196</f>
        <v>#DIV/0!</v>
      </c>
      <c r="L196" s="26"/>
      <c r="M196" s="26"/>
      <c r="N196" s="22"/>
      <c r="O196" s="28">
        <v>0</v>
      </c>
      <c r="Q196" s="23" t="str">
        <f t="shared" si="40"/>
        <v>*</v>
      </c>
      <c r="R196" s="24"/>
      <c r="S196" s="25" t="str">
        <f t="shared" si="42"/>
        <v>TRADSL</v>
      </c>
      <c r="T196" s="25" t="str">
        <f t="shared" si="43"/>
        <v>TRAFRESLHDMD</v>
      </c>
      <c r="U196" s="25" t="str">
        <f t="shared" si="44"/>
        <v>TRAFRESLHDMD</v>
      </c>
      <c r="V196" s="26">
        <v>2050</v>
      </c>
      <c r="W196" s="26" t="str">
        <f>W195</f>
        <v>UP</v>
      </c>
      <c r="X196" s="26"/>
      <c r="Y196" s="27" t="e">
        <f>-MIN(SUMIFS('TRA RESID'!$P:$P,'TRA RESID'!$H:$H,$E196,'TRA RESID'!$I:$I,$F196)/SUMIFS('TRA RESID'!$P:$P,'TRA RESID'!$I:$I,$F196)*AC196,1)</f>
        <v>#DIV/0!</v>
      </c>
      <c r="Z196" s="26"/>
      <c r="AA196" s="26"/>
      <c r="AB196" s="22"/>
      <c r="AC196" s="28">
        <v>3</v>
      </c>
    </row>
    <row r="197" spans="1:29" x14ac:dyDescent="0.25">
      <c r="A197" s="14">
        <f>A193+1</f>
        <v>49</v>
      </c>
      <c r="B197" s="9"/>
      <c r="C197" s="15" t="str">
        <f>IF(E197="","",IF(_xlfn.XLOOKUP($A197,Selected_constraint!$A:$A,Selected_constraint!$D:$D)=1,"*",IF(SUMIFS('TRA TECH'!$M:$M,'TRA TECH'!$H:$H,E197,'TRA TECH'!$I:$I,F197)=0,"*",IF(SUMIFS('TRA RESID'!$P:$P,'TRA RESID'!$H:$H,$E197,'TRA RESID'!$I:$I,$F197)=0,"*","UC_MarketShare_"&amp;LEFT(F197,LEN(F197)-3)&amp;"_"&amp;RIGHT(E197,3)&amp;"_MIN"))))</f>
        <v>*</v>
      </c>
      <c r="D197" s="16"/>
      <c r="E197" s="17" t="str">
        <f>_xlfn.XLOOKUP($A197,Selected_constraint!$A:$A,Selected_constraint!$B:$B)</f>
        <v>TRARDS</v>
      </c>
      <c r="F197" s="17" t="str">
        <f>_xlfn.XLOOKUP($A197,Selected_constraint!$A:$A,Selected_constraint!$C:$C)</f>
        <v>TRAFRESLHDMD</v>
      </c>
      <c r="G197" s="17" t="str">
        <f>F197</f>
        <v>TRAFRESLHDMD</v>
      </c>
      <c r="H197" s="18">
        <v>2019</v>
      </c>
      <c r="I197" s="18" t="s">
        <v>483</v>
      </c>
      <c r="J197" s="18">
        <v>1</v>
      </c>
      <c r="K197" s="20" t="e">
        <f>-SUMIFS('TRA RESID'!$P:$P,'TRA RESID'!$H:$H,$E197,'TRA RESID'!$I:$I,$F197)/SUMIFS('TRA RESID'!$P:$P,'TRA RESID'!$I:$I,$F197)*O197</f>
        <v>#DIV/0!</v>
      </c>
      <c r="L197" s="18">
        <v>0</v>
      </c>
      <c r="M197" s="18">
        <v>5</v>
      </c>
      <c r="N197" s="9"/>
      <c r="O197" s="21">
        <v>0.98</v>
      </c>
      <c r="Q197" s="15" t="str">
        <f t="shared" ref="Q197:Q260" si="60">SUBSTITUTE(C197,"MIN","MAX")</f>
        <v>*</v>
      </c>
      <c r="R197" s="16"/>
      <c r="S197" s="17" t="str">
        <f t="shared" si="42"/>
        <v>TRARDS</v>
      </c>
      <c r="T197" s="17" t="str">
        <f t="shared" si="43"/>
        <v>TRAFRESLHDMD</v>
      </c>
      <c r="U197" s="17" t="str">
        <f t="shared" si="44"/>
        <v>TRAFRESLHDMD</v>
      </c>
      <c r="V197" s="18">
        <v>2019</v>
      </c>
      <c r="W197" s="18" t="s">
        <v>484</v>
      </c>
      <c r="X197" s="18">
        <v>1</v>
      </c>
      <c r="Y197" s="20" t="e">
        <f>-MIN(SUMIFS('TRA RESID'!$P:$P,'TRA RESID'!$H:$H,$E197,'TRA RESID'!$I:$I,$F197)/SUMIFS('TRA RESID'!$P:$P,'TRA RESID'!$I:$I,$F197)*AC197,1)</f>
        <v>#DIV/0!</v>
      </c>
      <c r="Z197" s="18">
        <v>0</v>
      </c>
      <c r="AA197" s="18">
        <v>5</v>
      </c>
      <c r="AB197" s="9"/>
      <c r="AC197" s="21">
        <v>1.02</v>
      </c>
    </row>
    <row r="198" spans="1:29" x14ac:dyDescent="0.25">
      <c r="A198" s="9">
        <f>A197</f>
        <v>49</v>
      </c>
      <c r="B198" s="9"/>
      <c r="C198" s="15" t="str">
        <f>IF(C197="*",C197,"")</f>
        <v>*</v>
      </c>
      <c r="D198" s="16"/>
      <c r="E198" s="17" t="str">
        <f t="shared" ref="E198:G200" si="61">E197</f>
        <v>TRARDS</v>
      </c>
      <c r="F198" s="17" t="str">
        <f t="shared" si="61"/>
        <v>TRAFRESLHDMD</v>
      </c>
      <c r="G198" s="17" t="str">
        <f t="shared" si="61"/>
        <v>TRAFRESLHDMD</v>
      </c>
      <c r="H198" s="18">
        <v>2025</v>
      </c>
      <c r="I198" s="18" t="str">
        <f>I197</f>
        <v>LO</v>
      </c>
      <c r="J198" s="18"/>
      <c r="K198" s="20" t="e">
        <f>-SUMIFS('TRA RESID'!$P:$P,'TRA RESID'!$H:$H,$E198,'TRA RESID'!$I:$I,$F198)/SUMIFS('TRA RESID'!$P:$P,'TRA RESID'!$I:$I,$F198)*O198</f>
        <v>#DIV/0!</v>
      </c>
      <c r="L198" s="18"/>
      <c r="M198" s="18"/>
      <c r="N198" s="9"/>
      <c r="O198" s="21">
        <v>0.8</v>
      </c>
      <c r="Q198" s="15" t="str">
        <f t="shared" si="60"/>
        <v>*</v>
      </c>
      <c r="R198" s="16"/>
      <c r="S198" s="17" t="str">
        <f t="shared" ref="S198:S261" si="62">E198</f>
        <v>TRARDS</v>
      </c>
      <c r="T198" s="17" t="str">
        <f t="shared" ref="T198:T261" si="63">F198</f>
        <v>TRAFRESLHDMD</v>
      </c>
      <c r="U198" s="17" t="str">
        <f t="shared" ref="U198:U261" si="64">G198</f>
        <v>TRAFRESLHDMD</v>
      </c>
      <c r="V198" s="18">
        <v>2025</v>
      </c>
      <c r="W198" s="18" t="str">
        <f>W197</f>
        <v>UP</v>
      </c>
      <c r="X198" s="18"/>
      <c r="Y198" s="20" t="e">
        <f>-MIN(SUMIFS('TRA RESID'!$P:$P,'TRA RESID'!$H:$H,$E198,'TRA RESID'!$I:$I,$F198)/SUMIFS('TRA RESID'!$P:$P,'TRA RESID'!$I:$I,$F198)*AC198,1)</f>
        <v>#DIV/0!</v>
      </c>
      <c r="Z198" s="18"/>
      <c r="AA198" s="18"/>
      <c r="AB198" s="9"/>
      <c r="AC198" s="21">
        <v>1.2</v>
      </c>
    </row>
    <row r="199" spans="1:29" x14ac:dyDescent="0.25">
      <c r="A199" s="9">
        <f>A198</f>
        <v>49</v>
      </c>
      <c r="B199" s="9"/>
      <c r="C199" s="15" t="str">
        <f>IF(C198="*",C198,"")</f>
        <v>*</v>
      </c>
      <c r="D199" s="16"/>
      <c r="E199" s="17" t="str">
        <f t="shared" si="61"/>
        <v>TRARDS</v>
      </c>
      <c r="F199" s="17" t="str">
        <f t="shared" si="61"/>
        <v>TRAFRESLHDMD</v>
      </c>
      <c r="G199" s="17" t="str">
        <f t="shared" si="61"/>
        <v>TRAFRESLHDMD</v>
      </c>
      <c r="H199" s="18">
        <v>2030</v>
      </c>
      <c r="I199" s="18" t="str">
        <f>I198</f>
        <v>LO</v>
      </c>
      <c r="J199" s="18"/>
      <c r="K199" s="20" t="e">
        <f>-SUMIFS('TRA RESID'!$P:$P,'TRA RESID'!$H:$H,$E199,'TRA RESID'!$I:$I,$F199)/SUMIFS('TRA RESID'!$P:$P,'TRA RESID'!$I:$I,$F199)*O199</f>
        <v>#DIV/0!</v>
      </c>
      <c r="L199" s="18"/>
      <c r="M199" s="18"/>
      <c r="N199" s="9"/>
      <c r="O199" s="21">
        <v>0.2</v>
      </c>
      <c r="Q199" s="15" t="str">
        <f t="shared" si="60"/>
        <v>*</v>
      </c>
      <c r="R199" s="16"/>
      <c r="S199" s="17" t="str">
        <f t="shared" si="62"/>
        <v>TRARDS</v>
      </c>
      <c r="T199" s="17" t="str">
        <f t="shared" si="63"/>
        <v>TRAFRESLHDMD</v>
      </c>
      <c r="U199" s="17" t="str">
        <f t="shared" si="64"/>
        <v>TRAFRESLHDMD</v>
      </c>
      <c r="V199" s="18">
        <v>2030</v>
      </c>
      <c r="W199" s="18" t="str">
        <f>W198</f>
        <v>UP</v>
      </c>
      <c r="X199" s="18"/>
      <c r="Y199" s="20" t="e">
        <f>-MIN(SUMIFS('TRA RESID'!$P:$P,'TRA RESID'!$H:$H,$E199,'TRA RESID'!$I:$I,$F199)/SUMIFS('TRA RESID'!$P:$P,'TRA RESID'!$I:$I,$F199)*AC199,1)</f>
        <v>#DIV/0!</v>
      </c>
      <c r="Z199" s="18"/>
      <c r="AA199" s="18"/>
      <c r="AB199" s="9"/>
      <c r="AC199" s="21">
        <v>1.5</v>
      </c>
    </row>
    <row r="200" spans="1:29" x14ac:dyDescent="0.25">
      <c r="A200" s="22">
        <f>A199</f>
        <v>49</v>
      </c>
      <c r="B200" s="22"/>
      <c r="C200" s="23" t="str">
        <f>IF(C199="*",C199,"")</f>
        <v>*</v>
      </c>
      <c r="D200" s="24"/>
      <c r="E200" s="25" t="str">
        <f t="shared" si="61"/>
        <v>TRARDS</v>
      </c>
      <c r="F200" s="25" t="str">
        <f t="shared" si="61"/>
        <v>TRAFRESLHDMD</v>
      </c>
      <c r="G200" s="25" t="str">
        <f t="shared" si="61"/>
        <v>TRAFRESLHDMD</v>
      </c>
      <c r="H200" s="26">
        <v>2050</v>
      </c>
      <c r="I200" s="26" t="str">
        <f>I199</f>
        <v>LO</v>
      </c>
      <c r="J200" s="26"/>
      <c r="K200" s="27" t="e">
        <f>-SUMIFS('TRA RESID'!$P:$P,'TRA RESID'!$H:$H,$E200,'TRA RESID'!$I:$I,$F200)/SUMIFS('TRA RESID'!$P:$P,'TRA RESID'!$I:$I,$F200)*O200</f>
        <v>#DIV/0!</v>
      </c>
      <c r="L200" s="26"/>
      <c r="M200" s="26"/>
      <c r="N200" s="22"/>
      <c r="O200" s="28">
        <v>0</v>
      </c>
      <c r="Q200" s="23" t="str">
        <f t="shared" si="60"/>
        <v>*</v>
      </c>
      <c r="R200" s="24"/>
      <c r="S200" s="25" t="str">
        <f t="shared" si="62"/>
        <v>TRARDS</v>
      </c>
      <c r="T200" s="25" t="str">
        <f t="shared" si="63"/>
        <v>TRAFRESLHDMD</v>
      </c>
      <c r="U200" s="25" t="str">
        <f t="shared" si="64"/>
        <v>TRAFRESLHDMD</v>
      </c>
      <c r="V200" s="26">
        <v>2050</v>
      </c>
      <c r="W200" s="26" t="str">
        <f>W199</f>
        <v>UP</v>
      </c>
      <c r="X200" s="26"/>
      <c r="Y200" s="27" t="e">
        <f>-MIN(SUMIFS('TRA RESID'!$P:$P,'TRA RESID'!$H:$H,$E200,'TRA RESID'!$I:$I,$F200)/SUMIFS('TRA RESID'!$P:$P,'TRA RESID'!$I:$I,$F200)*AC200,1)</f>
        <v>#DIV/0!</v>
      </c>
      <c r="Z200" s="26"/>
      <c r="AA200" s="26"/>
      <c r="AB200" s="22"/>
      <c r="AC200" s="28">
        <v>3</v>
      </c>
    </row>
    <row r="201" spans="1:29" x14ac:dyDescent="0.25">
      <c r="A201" s="14">
        <f>A197+1</f>
        <v>50</v>
      </c>
      <c r="B201" s="9"/>
      <c r="C201" s="15" t="str">
        <f>IF(E201="","",IF(_xlfn.XLOOKUP($A201,Selected_constraint!$A:$A,Selected_constraint!$D:$D)=1,"*",IF(SUMIFS('TRA TECH'!$M:$M,'TRA TECH'!$H:$H,E201,'TRA TECH'!$I:$I,F201)=0,"*",IF(SUMIFS('TRA RESID'!$P:$P,'TRA RESID'!$H:$H,$E201,'TRA RESID'!$I:$I,$F201)=0,"*","UC_MarketShare_"&amp;LEFT(F201,LEN(F201)-3)&amp;"_"&amp;RIGHT(E201,3)&amp;"_MIN"))))</f>
        <v>*</v>
      </c>
      <c r="D201" s="16"/>
      <c r="E201" s="17" t="str">
        <f>_xlfn.XLOOKUP($A201,Selected_constraint!$A:$A,Selected_constraint!$B:$B)</f>
        <v>TRABDS</v>
      </c>
      <c r="F201" s="17" t="str">
        <f>_xlfn.XLOOKUP($A201,Selected_constraint!$A:$A,Selected_constraint!$C:$C)</f>
        <v>TRAFRESLHDMD</v>
      </c>
      <c r="G201" s="17" t="str">
        <f>F201</f>
        <v>TRAFRESLHDMD</v>
      </c>
      <c r="H201" s="18">
        <v>2019</v>
      </c>
      <c r="I201" s="18" t="s">
        <v>483</v>
      </c>
      <c r="J201" s="18">
        <v>1</v>
      </c>
      <c r="K201" s="20" t="e">
        <f>-SUMIFS('TRA RESID'!$P:$P,'TRA RESID'!$H:$H,$E201,'TRA RESID'!$I:$I,$F201)/SUMIFS('TRA RESID'!$P:$P,'TRA RESID'!$I:$I,$F201)*O201</f>
        <v>#DIV/0!</v>
      </c>
      <c r="L201" s="18">
        <v>0</v>
      </c>
      <c r="M201" s="18">
        <v>5</v>
      </c>
      <c r="N201" s="9"/>
      <c r="O201" s="21">
        <v>0.98</v>
      </c>
      <c r="Q201" s="15" t="str">
        <f t="shared" si="60"/>
        <v>*</v>
      </c>
      <c r="R201" s="16"/>
      <c r="S201" s="17" t="str">
        <f t="shared" si="62"/>
        <v>TRABDS</v>
      </c>
      <c r="T201" s="17" t="str">
        <f t="shared" si="63"/>
        <v>TRAFRESLHDMD</v>
      </c>
      <c r="U201" s="17" t="str">
        <f t="shared" si="64"/>
        <v>TRAFRESLHDMD</v>
      </c>
      <c r="V201" s="18">
        <v>2019</v>
      </c>
      <c r="W201" s="18" t="s">
        <v>484</v>
      </c>
      <c r="X201" s="18">
        <v>1</v>
      </c>
      <c r="Y201" s="20" t="e">
        <f>-MIN(SUMIFS('TRA RESID'!$P:$P,'TRA RESID'!$H:$H,$E201,'TRA RESID'!$I:$I,$F201)/SUMIFS('TRA RESID'!$P:$P,'TRA RESID'!$I:$I,$F201)*AC201,1)</f>
        <v>#DIV/0!</v>
      </c>
      <c r="Z201" s="18">
        <v>0</v>
      </c>
      <c r="AA201" s="18">
        <v>5</v>
      </c>
      <c r="AB201" s="9"/>
      <c r="AC201" s="21">
        <v>1.02</v>
      </c>
    </row>
    <row r="202" spans="1:29" x14ac:dyDescent="0.25">
      <c r="A202" s="9">
        <f>A201</f>
        <v>50</v>
      </c>
      <c r="B202" s="9"/>
      <c r="C202" s="15" t="str">
        <f>IF(C201="*",C201,"")</f>
        <v>*</v>
      </c>
      <c r="D202" s="16"/>
      <c r="E202" s="17" t="str">
        <f t="shared" ref="E202:G204" si="65">E201</f>
        <v>TRABDS</v>
      </c>
      <c r="F202" s="17" t="str">
        <f t="shared" si="65"/>
        <v>TRAFRESLHDMD</v>
      </c>
      <c r="G202" s="17" t="str">
        <f t="shared" si="65"/>
        <v>TRAFRESLHDMD</v>
      </c>
      <c r="H202" s="18">
        <v>2025</v>
      </c>
      <c r="I202" s="18" t="str">
        <f>I201</f>
        <v>LO</v>
      </c>
      <c r="J202" s="18"/>
      <c r="K202" s="20" t="e">
        <f>-SUMIFS('TRA RESID'!$P:$P,'TRA RESID'!$H:$H,$E202,'TRA RESID'!$I:$I,$F202)/SUMIFS('TRA RESID'!$P:$P,'TRA RESID'!$I:$I,$F202)*O202</f>
        <v>#DIV/0!</v>
      </c>
      <c r="L202" s="18"/>
      <c r="M202" s="18"/>
      <c r="N202" s="9"/>
      <c r="O202" s="21">
        <v>0.8</v>
      </c>
      <c r="Q202" s="15" t="str">
        <f t="shared" si="60"/>
        <v>*</v>
      </c>
      <c r="R202" s="16"/>
      <c r="S202" s="17" t="str">
        <f t="shared" si="62"/>
        <v>TRABDS</v>
      </c>
      <c r="T202" s="17" t="str">
        <f t="shared" si="63"/>
        <v>TRAFRESLHDMD</v>
      </c>
      <c r="U202" s="17" t="str">
        <f t="shared" si="64"/>
        <v>TRAFRESLHDMD</v>
      </c>
      <c r="V202" s="18">
        <v>2025</v>
      </c>
      <c r="W202" s="18" t="str">
        <f>W201</f>
        <v>UP</v>
      </c>
      <c r="X202" s="18"/>
      <c r="Y202" s="20" t="e">
        <f>-MIN(SUMIFS('TRA RESID'!$P:$P,'TRA RESID'!$H:$H,$E202,'TRA RESID'!$I:$I,$F202)/SUMIFS('TRA RESID'!$P:$P,'TRA RESID'!$I:$I,$F202)*AC202,1)</f>
        <v>#DIV/0!</v>
      </c>
      <c r="Z202" s="18"/>
      <c r="AA202" s="18"/>
      <c r="AB202" s="9"/>
      <c r="AC202" s="21">
        <v>1.2</v>
      </c>
    </row>
    <row r="203" spans="1:29" x14ac:dyDescent="0.25">
      <c r="A203" s="9">
        <f>A202</f>
        <v>50</v>
      </c>
      <c r="B203" s="9"/>
      <c r="C203" s="15" t="str">
        <f>IF(C202="*",C202,"")</f>
        <v>*</v>
      </c>
      <c r="D203" s="16"/>
      <c r="E203" s="17" t="str">
        <f t="shared" si="65"/>
        <v>TRABDS</v>
      </c>
      <c r="F203" s="17" t="str">
        <f t="shared" si="65"/>
        <v>TRAFRESLHDMD</v>
      </c>
      <c r="G203" s="17" t="str">
        <f t="shared" si="65"/>
        <v>TRAFRESLHDMD</v>
      </c>
      <c r="H203" s="18">
        <v>2030</v>
      </c>
      <c r="I203" s="18" t="str">
        <f>I202</f>
        <v>LO</v>
      </c>
      <c r="J203" s="18"/>
      <c r="K203" s="20" t="e">
        <f>-SUMIFS('TRA RESID'!$P:$P,'TRA RESID'!$H:$H,$E203,'TRA RESID'!$I:$I,$F203)/SUMIFS('TRA RESID'!$P:$P,'TRA RESID'!$I:$I,$F203)*O203</f>
        <v>#DIV/0!</v>
      </c>
      <c r="L203" s="18"/>
      <c r="M203" s="18"/>
      <c r="N203" s="9"/>
      <c r="O203" s="21">
        <v>0.2</v>
      </c>
      <c r="Q203" s="15" t="str">
        <f t="shared" si="60"/>
        <v>*</v>
      </c>
      <c r="R203" s="16"/>
      <c r="S203" s="17" t="str">
        <f t="shared" si="62"/>
        <v>TRABDS</v>
      </c>
      <c r="T203" s="17" t="str">
        <f t="shared" si="63"/>
        <v>TRAFRESLHDMD</v>
      </c>
      <c r="U203" s="17" t="str">
        <f t="shared" si="64"/>
        <v>TRAFRESLHDMD</v>
      </c>
      <c r="V203" s="18">
        <v>2030</v>
      </c>
      <c r="W203" s="18" t="str">
        <f>W202</f>
        <v>UP</v>
      </c>
      <c r="X203" s="18"/>
      <c r="Y203" s="20" t="e">
        <f>-MIN(SUMIFS('TRA RESID'!$P:$P,'TRA RESID'!$H:$H,$E203,'TRA RESID'!$I:$I,$F203)/SUMIFS('TRA RESID'!$P:$P,'TRA RESID'!$I:$I,$F203)*AC203,1)</f>
        <v>#DIV/0!</v>
      </c>
      <c r="Z203" s="18"/>
      <c r="AA203" s="18"/>
      <c r="AB203" s="9"/>
      <c r="AC203" s="21">
        <v>1.5</v>
      </c>
    </row>
    <row r="204" spans="1:29" x14ac:dyDescent="0.25">
      <c r="A204" s="22">
        <f>A203</f>
        <v>50</v>
      </c>
      <c r="B204" s="22"/>
      <c r="C204" s="23" t="str">
        <f>IF(C203="*",C203,"")</f>
        <v>*</v>
      </c>
      <c r="D204" s="24"/>
      <c r="E204" s="25" t="str">
        <f t="shared" si="65"/>
        <v>TRABDS</v>
      </c>
      <c r="F204" s="25" t="str">
        <f t="shared" si="65"/>
        <v>TRAFRESLHDMD</v>
      </c>
      <c r="G204" s="25" t="str">
        <f t="shared" si="65"/>
        <v>TRAFRESLHDMD</v>
      </c>
      <c r="H204" s="26">
        <v>2050</v>
      </c>
      <c r="I204" s="26" t="str">
        <f>I203</f>
        <v>LO</v>
      </c>
      <c r="J204" s="26"/>
      <c r="K204" s="27" t="e">
        <f>-SUMIFS('TRA RESID'!$P:$P,'TRA RESID'!$H:$H,$E204,'TRA RESID'!$I:$I,$F204)/SUMIFS('TRA RESID'!$P:$P,'TRA RESID'!$I:$I,$F204)*O204</f>
        <v>#DIV/0!</v>
      </c>
      <c r="L204" s="26"/>
      <c r="M204" s="26"/>
      <c r="N204" s="22"/>
      <c r="O204" s="28">
        <v>0</v>
      </c>
      <c r="Q204" s="23" t="str">
        <f t="shared" si="60"/>
        <v>*</v>
      </c>
      <c r="R204" s="24"/>
      <c r="S204" s="25" t="str">
        <f t="shared" si="62"/>
        <v>TRABDS</v>
      </c>
      <c r="T204" s="25" t="str">
        <f t="shared" si="63"/>
        <v>TRAFRESLHDMD</v>
      </c>
      <c r="U204" s="25" t="str">
        <f t="shared" si="64"/>
        <v>TRAFRESLHDMD</v>
      </c>
      <c r="V204" s="26">
        <v>2050</v>
      </c>
      <c r="W204" s="26" t="str">
        <f>W203</f>
        <v>UP</v>
      </c>
      <c r="X204" s="26"/>
      <c r="Y204" s="27" t="e">
        <f>-MIN(SUMIFS('TRA RESID'!$P:$P,'TRA RESID'!$H:$H,$E204,'TRA RESID'!$I:$I,$F204)/SUMIFS('TRA RESID'!$P:$P,'TRA RESID'!$I:$I,$F204)*AC204,1)</f>
        <v>#DIV/0!</v>
      </c>
      <c r="Z204" s="26"/>
      <c r="AA204" s="26"/>
      <c r="AB204" s="22"/>
      <c r="AC204" s="28">
        <v>3</v>
      </c>
    </row>
    <row r="205" spans="1:29" x14ac:dyDescent="0.25">
      <c r="A205" s="14">
        <f>A201+1</f>
        <v>51</v>
      </c>
      <c r="B205" s="9"/>
      <c r="C205" s="15" t="str">
        <f>IF(E205="","",IF(_xlfn.XLOOKUP($A205,Selected_constraint!$A:$A,Selected_constraint!$D:$D)=1,"*",IF(SUMIFS('TRA TECH'!$M:$M,'TRA TECH'!$H:$H,E205,'TRA TECH'!$I:$I,F205)=0,"*",IF(SUMIFS('TRA RESID'!$P:$P,'TRA RESID'!$H:$H,$E205,'TRA RESID'!$I:$I,$F205)=0,"*","UC_MarketShare_"&amp;LEFT(F205,LEN(F205)-3)&amp;"_"&amp;RIGHT(E205,3)&amp;"_MIN"))))</f>
        <v>*</v>
      </c>
      <c r="D205" s="16"/>
      <c r="E205" s="17" t="str">
        <f>_xlfn.XLOOKUP($A205,Selected_constraint!$A:$A,Selected_constraint!$B:$B)</f>
        <v>TRACNG</v>
      </c>
      <c r="F205" s="17" t="str">
        <f>_xlfn.XLOOKUP($A205,Selected_constraint!$A:$A,Selected_constraint!$C:$C)</f>
        <v>TRAFRESLHDMD</v>
      </c>
      <c r="G205" s="17" t="str">
        <f>F205</f>
        <v>TRAFRESLHDMD</v>
      </c>
      <c r="H205" s="18">
        <v>2019</v>
      </c>
      <c r="I205" s="18" t="s">
        <v>483</v>
      </c>
      <c r="J205" s="18">
        <v>1</v>
      </c>
      <c r="K205" s="20" t="e">
        <f>-SUMIFS('TRA RESID'!$P:$P,'TRA RESID'!$H:$H,$E205,'TRA RESID'!$I:$I,$F205)/SUMIFS('TRA RESID'!$P:$P,'TRA RESID'!$I:$I,$F205)*O205</f>
        <v>#DIV/0!</v>
      </c>
      <c r="L205" s="18">
        <v>0</v>
      </c>
      <c r="M205" s="18">
        <v>5</v>
      </c>
      <c r="N205" s="9"/>
      <c r="O205" s="21">
        <v>0.98</v>
      </c>
      <c r="Q205" s="15" t="str">
        <f t="shared" si="60"/>
        <v>*</v>
      </c>
      <c r="R205" s="16"/>
      <c r="S205" s="17" t="str">
        <f t="shared" si="62"/>
        <v>TRACNG</v>
      </c>
      <c r="T205" s="17" t="str">
        <f t="shared" si="63"/>
        <v>TRAFRESLHDMD</v>
      </c>
      <c r="U205" s="17" t="str">
        <f t="shared" si="64"/>
        <v>TRAFRESLHDMD</v>
      </c>
      <c r="V205" s="18">
        <v>2019</v>
      </c>
      <c r="W205" s="18" t="s">
        <v>484</v>
      </c>
      <c r="X205" s="18">
        <v>1</v>
      </c>
      <c r="Y205" s="20" t="e">
        <f>-MIN(SUMIFS('TRA RESID'!$P:$P,'TRA RESID'!$H:$H,$E205,'TRA RESID'!$I:$I,$F205)/SUMIFS('TRA RESID'!$P:$P,'TRA RESID'!$I:$I,$F205)*AC205,1)</f>
        <v>#DIV/0!</v>
      </c>
      <c r="Z205" s="18">
        <v>0</v>
      </c>
      <c r="AA205" s="18">
        <v>5</v>
      </c>
      <c r="AB205" s="9"/>
      <c r="AC205" s="21">
        <v>1.02</v>
      </c>
    </row>
    <row r="206" spans="1:29" x14ac:dyDescent="0.25">
      <c r="A206" s="9">
        <f>A205</f>
        <v>51</v>
      </c>
      <c r="B206" s="9"/>
      <c r="C206" s="15" t="str">
        <f>IF(C205="*",C205,"")</f>
        <v>*</v>
      </c>
      <c r="D206" s="16"/>
      <c r="E206" s="17" t="str">
        <f t="shared" ref="E206:G208" si="66">E205</f>
        <v>TRACNG</v>
      </c>
      <c r="F206" s="17" t="str">
        <f t="shared" si="66"/>
        <v>TRAFRESLHDMD</v>
      </c>
      <c r="G206" s="17" t="str">
        <f t="shared" si="66"/>
        <v>TRAFRESLHDMD</v>
      </c>
      <c r="H206" s="18">
        <v>2025</v>
      </c>
      <c r="I206" s="18" t="str">
        <f>I205</f>
        <v>LO</v>
      </c>
      <c r="J206" s="18"/>
      <c r="K206" s="20" t="e">
        <f>-SUMIFS('TRA RESID'!$P:$P,'TRA RESID'!$H:$H,$E206,'TRA RESID'!$I:$I,$F206)/SUMIFS('TRA RESID'!$P:$P,'TRA RESID'!$I:$I,$F206)*O206</f>
        <v>#DIV/0!</v>
      </c>
      <c r="L206" s="18"/>
      <c r="M206" s="18"/>
      <c r="N206" s="9"/>
      <c r="O206" s="21">
        <v>0.8</v>
      </c>
      <c r="Q206" s="15" t="str">
        <f t="shared" si="60"/>
        <v>*</v>
      </c>
      <c r="R206" s="16"/>
      <c r="S206" s="17" t="str">
        <f t="shared" si="62"/>
        <v>TRACNG</v>
      </c>
      <c r="T206" s="17" t="str">
        <f t="shared" si="63"/>
        <v>TRAFRESLHDMD</v>
      </c>
      <c r="U206" s="17" t="str">
        <f t="shared" si="64"/>
        <v>TRAFRESLHDMD</v>
      </c>
      <c r="V206" s="18">
        <v>2025</v>
      </c>
      <c r="W206" s="18" t="str">
        <f>W205</f>
        <v>UP</v>
      </c>
      <c r="X206" s="18"/>
      <c r="Y206" s="20" t="e">
        <f>-MIN(SUMIFS('TRA RESID'!$P:$P,'TRA RESID'!$H:$H,$E206,'TRA RESID'!$I:$I,$F206)/SUMIFS('TRA RESID'!$P:$P,'TRA RESID'!$I:$I,$F206)*AC206,1)</f>
        <v>#DIV/0!</v>
      </c>
      <c r="Z206" s="18"/>
      <c r="AA206" s="18"/>
      <c r="AB206" s="9"/>
      <c r="AC206" s="21">
        <v>1.2</v>
      </c>
    </row>
    <row r="207" spans="1:29" x14ac:dyDescent="0.25">
      <c r="A207" s="9">
        <f>A206</f>
        <v>51</v>
      </c>
      <c r="B207" s="9"/>
      <c r="C207" s="15" t="str">
        <f>IF(C206="*",C206,"")</f>
        <v>*</v>
      </c>
      <c r="D207" s="16"/>
      <c r="E207" s="17" t="str">
        <f t="shared" si="66"/>
        <v>TRACNG</v>
      </c>
      <c r="F207" s="17" t="str">
        <f t="shared" si="66"/>
        <v>TRAFRESLHDMD</v>
      </c>
      <c r="G207" s="17" t="str">
        <f t="shared" si="66"/>
        <v>TRAFRESLHDMD</v>
      </c>
      <c r="H207" s="18">
        <v>2030</v>
      </c>
      <c r="I207" s="18" t="str">
        <f>I206</f>
        <v>LO</v>
      </c>
      <c r="J207" s="18"/>
      <c r="K207" s="20" t="e">
        <f>-SUMIFS('TRA RESID'!$P:$P,'TRA RESID'!$H:$H,$E207,'TRA RESID'!$I:$I,$F207)/SUMIFS('TRA RESID'!$P:$P,'TRA RESID'!$I:$I,$F207)*O207</f>
        <v>#DIV/0!</v>
      </c>
      <c r="L207" s="18"/>
      <c r="M207" s="18"/>
      <c r="N207" s="9"/>
      <c r="O207" s="21">
        <v>0.2</v>
      </c>
      <c r="Q207" s="15" t="str">
        <f t="shared" si="60"/>
        <v>*</v>
      </c>
      <c r="R207" s="16"/>
      <c r="S207" s="17" t="str">
        <f t="shared" si="62"/>
        <v>TRACNG</v>
      </c>
      <c r="T207" s="17" t="str">
        <f t="shared" si="63"/>
        <v>TRAFRESLHDMD</v>
      </c>
      <c r="U207" s="17" t="str">
        <f t="shared" si="64"/>
        <v>TRAFRESLHDMD</v>
      </c>
      <c r="V207" s="18">
        <v>2030</v>
      </c>
      <c r="W207" s="18" t="str">
        <f>W206</f>
        <v>UP</v>
      </c>
      <c r="X207" s="18"/>
      <c r="Y207" s="20" t="e">
        <f>-MIN(SUMIFS('TRA RESID'!$P:$P,'TRA RESID'!$H:$H,$E207,'TRA RESID'!$I:$I,$F207)/SUMIFS('TRA RESID'!$P:$P,'TRA RESID'!$I:$I,$F207)*AC207,1)</f>
        <v>#DIV/0!</v>
      </c>
      <c r="Z207" s="18"/>
      <c r="AA207" s="18"/>
      <c r="AB207" s="9"/>
      <c r="AC207" s="21">
        <v>1.5</v>
      </c>
    </row>
    <row r="208" spans="1:29" x14ac:dyDescent="0.25">
      <c r="A208" s="22">
        <f>A207</f>
        <v>51</v>
      </c>
      <c r="B208" s="22"/>
      <c r="C208" s="23" t="str">
        <f>IF(C207="*",C207,"")</f>
        <v>*</v>
      </c>
      <c r="D208" s="24"/>
      <c r="E208" s="25" t="str">
        <f t="shared" si="66"/>
        <v>TRACNG</v>
      </c>
      <c r="F208" s="25" t="str">
        <f t="shared" si="66"/>
        <v>TRAFRESLHDMD</v>
      </c>
      <c r="G208" s="25" t="str">
        <f t="shared" si="66"/>
        <v>TRAFRESLHDMD</v>
      </c>
      <c r="H208" s="26">
        <v>2050</v>
      </c>
      <c r="I208" s="26" t="str">
        <f>I207</f>
        <v>LO</v>
      </c>
      <c r="J208" s="26"/>
      <c r="K208" s="27" t="e">
        <f>-SUMIFS('TRA RESID'!$P:$P,'TRA RESID'!$H:$H,$E208,'TRA RESID'!$I:$I,$F208)/SUMIFS('TRA RESID'!$P:$P,'TRA RESID'!$I:$I,$F208)*O208</f>
        <v>#DIV/0!</v>
      </c>
      <c r="L208" s="26"/>
      <c r="M208" s="26"/>
      <c r="N208" s="22"/>
      <c r="O208" s="28">
        <v>0</v>
      </c>
      <c r="Q208" s="23" t="str">
        <f t="shared" si="60"/>
        <v>*</v>
      </c>
      <c r="R208" s="24"/>
      <c r="S208" s="25" t="str">
        <f t="shared" si="62"/>
        <v>TRACNG</v>
      </c>
      <c r="T208" s="25" t="str">
        <f t="shared" si="63"/>
        <v>TRAFRESLHDMD</v>
      </c>
      <c r="U208" s="25" t="str">
        <f t="shared" si="64"/>
        <v>TRAFRESLHDMD</v>
      </c>
      <c r="V208" s="26">
        <v>2050</v>
      </c>
      <c r="W208" s="26" t="str">
        <f>W207</f>
        <v>UP</v>
      </c>
      <c r="X208" s="26"/>
      <c r="Y208" s="27" t="e">
        <f>-MIN(SUMIFS('TRA RESID'!$P:$P,'TRA RESID'!$H:$H,$E208,'TRA RESID'!$I:$I,$F208)/SUMIFS('TRA RESID'!$P:$P,'TRA RESID'!$I:$I,$F208)*AC208,1)</f>
        <v>#DIV/0!</v>
      </c>
      <c r="Z208" s="26"/>
      <c r="AA208" s="26"/>
      <c r="AB208" s="22"/>
      <c r="AC208" s="28">
        <v>3</v>
      </c>
    </row>
    <row r="209" spans="1:29" x14ac:dyDescent="0.25">
      <c r="A209" s="14">
        <f>A205+1</f>
        <v>52</v>
      </c>
      <c r="B209" s="9"/>
      <c r="C209" s="15" t="str">
        <f>IF(E209="","",IF(_xlfn.XLOOKUP($A209,Selected_constraint!$A:$A,Selected_constraint!$D:$D)=1,"*",IF(SUMIFS('TRA TECH'!$M:$M,'TRA TECH'!$H:$H,E209,'TRA TECH'!$I:$I,F209)=0,"*",IF(SUMIFS('TRA RESID'!$P:$P,'TRA RESID'!$H:$H,$E209,'TRA RESID'!$I:$I,$F209)=0,"*","UC_MarketShare_"&amp;LEFT(F209,LEN(F209)-3)&amp;"_"&amp;RIGHT(E209,3)&amp;"_MIN"))))</f>
        <v>*</v>
      </c>
      <c r="D209" s="16"/>
      <c r="E209" s="17" t="str">
        <f>_xlfn.XLOOKUP($A209,Selected_constraint!$A:$A,Selected_constraint!$B:$B)</f>
        <v>TRARNG</v>
      </c>
      <c r="F209" s="17" t="str">
        <f>_xlfn.XLOOKUP($A209,Selected_constraint!$A:$A,Selected_constraint!$C:$C)</f>
        <v>TRAFRESLHDMD</v>
      </c>
      <c r="G209" s="17" t="str">
        <f>F209</f>
        <v>TRAFRESLHDMD</v>
      </c>
      <c r="H209" s="18">
        <v>2019</v>
      </c>
      <c r="I209" s="18" t="s">
        <v>483</v>
      </c>
      <c r="J209" s="18">
        <v>1</v>
      </c>
      <c r="K209" s="20" t="e">
        <f>-SUMIFS('TRA RESID'!$P:$P,'TRA RESID'!$H:$H,$E209,'TRA RESID'!$I:$I,$F209)/SUMIFS('TRA RESID'!$P:$P,'TRA RESID'!$I:$I,$F209)*O209</f>
        <v>#DIV/0!</v>
      </c>
      <c r="L209" s="18">
        <v>0</v>
      </c>
      <c r="M209" s="18">
        <v>5</v>
      </c>
      <c r="N209" s="9"/>
      <c r="O209" s="21">
        <v>0.98</v>
      </c>
      <c r="Q209" s="15" t="str">
        <f t="shared" si="60"/>
        <v>*</v>
      </c>
      <c r="R209" s="16"/>
      <c r="S209" s="17" t="str">
        <f t="shared" si="62"/>
        <v>TRARNG</v>
      </c>
      <c r="T209" s="17" t="str">
        <f t="shared" si="63"/>
        <v>TRAFRESLHDMD</v>
      </c>
      <c r="U209" s="17" t="str">
        <f t="shared" si="64"/>
        <v>TRAFRESLHDMD</v>
      </c>
      <c r="V209" s="18">
        <v>2019</v>
      </c>
      <c r="W209" s="18" t="s">
        <v>484</v>
      </c>
      <c r="X209" s="18">
        <v>1</v>
      </c>
      <c r="Y209" s="20" t="e">
        <f>-MIN(SUMIFS('TRA RESID'!$P:$P,'TRA RESID'!$H:$H,$E209,'TRA RESID'!$I:$I,$F209)/SUMIFS('TRA RESID'!$P:$P,'TRA RESID'!$I:$I,$F209)*AC209,1)</f>
        <v>#DIV/0!</v>
      </c>
      <c r="Z209" s="18">
        <v>0</v>
      </c>
      <c r="AA209" s="18">
        <v>5</v>
      </c>
      <c r="AB209" s="9"/>
      <c r="AC209" s="21">
        <v>1.02</v>
      </c>
    </row>
    <row r="210" spans="1:29" x14ac:dyDescent="0.25">
      <c r="A210" s="9">
        <f>A209</f>
        <v>52</v>
      </c>
      <c r="B210" s="9"/>
      <c r="C210" s="15" t="str">
        <f>IF(C209="*",C209,"")</f>
        <v>*</v>
      </c>
      <c r="D210" s="16"/>
      <c r="E210" s="17" t="str">
        <f t="shared" ref="E210:G212" si="67">E209</f>
        <v>TRARNG</v>
      </c>
      <c r="F210" s="17" t="str">
        <f t="shared" si="67"/>
        <v>TRAFRESLHDMD</v>
      </c>
      <c r="G210" s="17" t="str">
        <f t="shared" si="67"/>
        <v>TRAFRESLHDMD</v>
      </c>
      <c r="H210" s="18">
        <v>2025</v>
      </c>
      <c r="I210" s="18" t="str">
        <f>I209</f>
        <v>LO</v>
      </c>
      <c r="J210" s="18"/>
      <c r="K210" s="20" t="e">
        <f>-SUMIFS('TRA RESID'!$P:$P,'TRA RESID'!$H:$H,$E210,'TRA RESID'!$I:$I,$F210)/SUMIFS('TRA RESID'!$P:$P,'TRA RESID'!$I:$I,$F210)*O210</f>
        <v>#DIV/0!</v>
      </c>
      <c r="L210" s="18"/>
      <c r="M210" s="18"/>
      <c r="N210" s="9"/>
      <c r="O210" s="21">
        <v>0.8</v>
      </c>
      <c r="Q210" s="15" t="str">
        <f t="shared" si="60"/>
        <v>*</v>
      </c>
      <c r="R210" s="16"/>
      <c r="S210" s="17" t="str">
        <f t="shared" si="62"/>
        <v>TRARNG</v>
      </c>
      <c r="T210" s="17" t="str">
        <f t="shared" si="63"/>
        <v>TRAFRESLHDMD</v>
      </c>
      <c r="U210" s="17" t="str">
        <f t="shared" si="64"/>
        <v>TRAFRESLHDMD</v>
      </c>
      <c r="V210" s="18">
        <v>2025</v>
      </c>
      <c r="W210" s="18" t="str">
        <f>W209</f>
        <v>UP</v>
      </c>
      <c r="X210" s="18"/>
      <c r="Y210" s="20" t="e">
        <f>-MIN(SUMIFS('TRA RESID'!$P:$P,'TRA RESID'!$H:$H,$E210,'TRA RESID'!$I:$I,$F210)/SUMIFS('TRA RESID'!$P:$P,'TRA RESID'!$I:$I,$F210)*AC210,1)</f>
        <v>#DIV/0!</v>
      </c>
      <c r="Z210" s="18"/>
      <c r="AA210" s="18"/>
      <c r="AB210" s="9"/>
      <c r="AC210" s="21">
        <v>1.2</v>
      </c>
    </row>
    <row r="211" spans="1:29" x14ac:dyDescent="0.25">
      <c r="A211" s="9">
        <f>A210</f>
        <v>52</v>
      </c>
      <c r="B211" s="9"/>
      <c r="C211" s="15" t="str">
        <f>IF(C210="*",C210,"")</f>
        <v>*</v>
      </c>
      <c r="D211" s="16"/>
      <c r="E211" s="17" t="str">
        <f t="shared" si="67"/>
        <v>TRARNG</v>
      </c>
      <c r="F211" s="17" t="str">
        <f t="shared" si="67"/>
        <v>TRAFRESLHDMD</v>
      </c>
      <c r="G211" s="17" t="str">
        <f t="shared" si="67"/>
        <v>TRAFRESLHDMD</v>
      </c>
      <c r="H211" s="18">
        <v>2030</v>
      </c>
      <c r="I211" s="18" t="str">
        <f>I210</f>
        <v>LO</v>
      </c>
      <c r="J211" s="18"/>
      <c r="K211" s="20" t="e">
        <f>-SUMIFS('TRA RESID'!$P:$P,'TRA RESID'!$H:$H,$E211,'TRA RESID'!$I:$I,$F211)/SUMIFS('TRA RESID'!$P:$P,'TRA RESID'!$I:$I,$F211)*O211</f>
        <v>#DIV/0!</v>
      </c>
      <c r="L211" s="18"/>
      <c r="M211" s="18"/>
      <c r="N211" s="9"/>
      <c r="O211" s="21">
        <v>0.2</v>
      </c>
      <c r="Q211" s="15" t="str">
        <f t="shared" si="60"/>
        <v>*</v>
      </c>
      <c r="R211" s="16"/>
      <c r="S211" s="17" t="str">
        <f t="shared" si="62"/>
        <v>TRARNG</v>
      </c>
      <c r="T211" s="17" t="str">
        <f t="shared" si="63"/>
        <v>TRAFRESLHDMD</v>
      </c>
      <c r="U211" s="17" t="str">
        <f t="shared" si="64"/>
        <v>TRAFRESLHDMD</v>
      </c>
      <c r="V211" s="18">
        <v>2030</v>
      </c>
      <c r="W211" s="18" t="str">
        <f>W210</f>
        <v>UP</v>
      </c>
      <c r="X211" s="18"/>
      <c r="Y211" s="20" t="e">
        <f>-MIN(SUMIFS('TRA RESID'!$P:$P,'TRA RESID'!$H:$H,$E211,'TRA RESID'!$I:$I,$F211)/SUMIFS('TRA RESID'!$P:$P,'TRA RESID'!$I:$I,$F211)*AC211,1)</f>
        <v>#DIV/0!</v>
      </c>
      <c r="Z211" s="18"/>
      <c r="AA211" s="18"/>
      <c r="AB211" s="9"/>
      <c r="AC211" s="21">
        <v>1.5</v>
      </c>
    </row>
    <row r="212" spans="1:29" x14ac:dyDescent="0.25">
      <c r="A212" s="22">
        <f>A211</f>
        <v>52</v>
      </c>
      <c r="B212" s="22"/>
      <c r="C212" s="23" t="str">
        <f>IF(C211="*",C211,"")</f>
        <v>*</v>
      </c>
      <c r="D212" s="24"/>
      <c r="E212" s="25" t="str">
        <f t="shared" si="67"/>
        <v>TRARNG</v>
      </c>
      <c r="F212" s="25" t="str">
        <f t="shared" si="67"/>
        <v>TRAFRESLHDMD</v>
      </c>
      <c r="G212" s="25" t="str">
        <f t="shared" si="67"/>
        <v>TRAFRESLHDMD</v>
      </c>
      <c r="H212" s="26">
        <v>2050</v>
      </c>
      <c r="I212" s="26" t="str">
        <f>I211</f>
        <v>LO</v>
      </c>
      <c r="J212" s="26"/>
      <c r="K212" s="27" t="e">
        <f>-SUMIFS('TRA RESID'!$P:$P,'TRA RESID'!$H:$H,$E212,'TRA RESID'!$I:$I,$F212)/SUMIFS('TRA RESID'!$P:$P,'TRA RESID'!$I:$I,$F212)*O212</f>
        <v>#DIV/0!</v>
      </c>
      <c r="L212" s="26"/>
      <c r="M212" s="26"/>
      <c r="N212" s="22"/>
      <c r="O212" s="28">
        <v>0</v>
      </c>
      <c r="Q212" s="23" t="str">
        <f t="shared" si="60"/>
        <v>*</v>
      </c>
      <c r="R212" s="24"/>
      <c r="S212" s="25" t="str">
        <f t="shared" si="62"/>
        <v>TRARNG</v>
      </c>
      <c r="T212" s="25" t="str">
        <f t="shared" si="63"/>
        <v>TRAFRESLHDMD</v>
      </c>
      <c r="U212" s="25" t="str">
        <f t="shared" si="64"/>
        <v>TRAFRESLHDMD</v>
      </c>
      <c r="V212" s="26">
        <v>2050</v>
      </c>
      <c r="W212" s="26" t="str">
        <f>W211</f>
        <v>UP</v>
      </c>
      <c r="X212" s="26"/>
      <c r="Y212" s="27" t="e">
        <f>-MIN(SUMIFS('TRA RESID'!$P:$P,'TRA RESID'!$H:$H,$E212,'TRA RESID'!$I:$I,$F212)/SUMIFS('TRA RESID'!$P:$P,'TRA RESID'!$I:$I,$F212)*AC212,1)</f>
        <v>#DIV/0!</v>
      </c>
      <c r="Z212" s="26"/>
      <c r="AA212" s="26"/>
      <c r="AB212" s="22"/>
      <c r="AC212" s="28">
        <v>3</v>
      </c>
    </row>
    <row r="213" spans="1:29" x14ac:dyDescent="0.25">
      <c r="A213" s="14">
        <f>A209+1</f>
        <v>53</v>
      </c>
      <c r="B213" s="9"/>
      <c r="C213" s="15" t="str">
        <f>IF(E213="","",IF(_xlfn.XLOOKUP($A213,Selected_constraint!$A:$A,Selected_constraint!$D:$D)=1,"*",IF(SUMIFS('TRA TECH'!$M:$M,'TRA TECH'!$H:$H,E213,'TRA TECH'!$I:$I,F213)=0,"*",IF(SUMIFS('TRA RESID'!$P:$P,'TRA RESID'!$H:$H,$E213,'TRA RESID'!$I:$I,$F213)=0,"*","UC_MarketShare_"&amp;LEFT(F213,LEN(F213)-3)&amp;"_"&amp;RIGHT(E213,3)&amp;"_MIN"))))</f>
        <v>*</v>
      </c>
      <c r="D213" s="16"/>
      <c r="E213" s="17" t="str">
        <f>_xlfn.XLOOKUP($A213,Selected_constraint!$A:$A,Selected_constraint!$B:$B)</f>
        <v>TRABAF</v>
      </c>
      <c r="F213" s="17" t="str">
        <f>_xlfn.XLOOKUP($A213,Selected_constraint!$A:$A,Selected_constraint!$C:$C)</f>
        <v>TRAFRESLHDMD</v>
      </c>
      <c r="G213" s="17" t="str">
        <f>F213</f>
        <v>TRAFRESLHDMD</v>
      </c>
      <c r="H213" s="18">
        <v>2019</v>
      </c>
      <c r="I213" s="18" t="s">
        <v>483</v>
      </c>
      <c r="J213" s="18">
        <v>1</v>
      </c>
      <c r="K213" s="20" t="e">
        <f>-SUMIFS('TRA RESID'!$P:$P,'TRA RESID'!$H:$H,$E213,'TRA RESID'!$I:$I,$F213)/SUMIFS('TRA RESID'!$P:$P,'TRA RESID'!$I:$I,$F213)*O213</f>
        <v>#DIV/0!</v>
      </c>
      <c r="L213" s="18">
        <v>0</v>
      </c>
      <c r="M213" s="18">
        <v>5</v>
      </c>
      <c r="N213" s="9"/>
      <c r="O213" s="21">
        <v>0.98</v>
      </c>
      <c r="Q213" s="15" t="str">
        <f t="shared" si="60"/>
        <v>*</v>
      </c>
      <c r="R213" s="16"/>
      <c r="S213" s="17" t="str">
        <f t="shared" si="62"/>
        <v>TRABAF</v>
      </c>
      <c r="T213" s="17" t="str">
        <f t="shared" si="63"/>
        <v>TRAFRESLHDMD</v>
      </c>
      <c r="U213" s="17" t="str">
        <f t="shared" si="64"/>
        <v>TRAFRESLHDMD</v>
      </c>
      <c r="V213" s="18">
        <v>2019</v>
      </c>
      <c r="W213" s="18" t="s">
        <v>484</v>
      </c>
      <c r="X213" s="18">
        <v>1</v>
      </c>
      <c r="Y213" s="20" t="e">
        <f>-MIN(SUMIFS('TRA RESID'!$P:$P,'TRA RESID'!$H:$H,$E213,'TRA RESID'!$I:$I,$F213)/SUMIFS('TRA RESID'!$P:$P,'TRA RESID'!$I:$I,$F213)*AC213,1)</f>
        <v>#DIV/0!</v>
      </c>
      <c r="Z213" s="18">
        <v>0</v>
      </c>
      <c r="AA213" s="18">
        <v>5</v>
      </c>
      <c r="AB213" s="9"/>
      <c r="AC213" s="21">
        <v>1.02</v>
      </c>
    </row>
    <row r="214" spans="1:29" x14ac:dyDescent="0.25">
      <c r="A214" s="9">
        <f>A213</f>
        <v>53</v>
      </c>
      <c r="B214" s="9"/>
      <c r="C214" s="15" t="str">
        <f>IF(C213="*",C213,"")</f>
        <v>*</v>
      </c>
      <c r="D214" s="16"/>
      <c r="E214" s="17" t="str">
        <f t="shared" ref="E214:G216" si="68">E213</f>
        <v>TRABAF</v>
      </c>
      <c r="F214" s="17" t="str">
        <f t="shared" si="68"/>
        <v>TRAFRESLHDMD</v>
      </c>
      <c r="G214" s="17" t="str">
        <f t="shared" si="68"/>
        <v>TRAFRESLHDMD</v>
      </c>
      <c r="H214" s="18">
        <v>2025</v>
      </c>
      <c r="I214" s="18" t="str">
        <f>I213</f>
        <v>LO</v>
      </c>
      <c r="J214" s="18"/>
      <c r="K214" s="20" t="e">
        <f>-SUMIFS('TRA RESID'!$P:$P,'TRA RESID'!$H:$H,$E214,'TRA RESID'!$I:$I,$F214)/SUMIFS('TRA RESID'!$P:$P,'TRA RESID'!$I:$I,$F214)*O214</f>
        <v>#DIV/0!</v>
      </c>
      <c r="L214" s="18"/>
      <c r="M214" s="18"/>
      <c r="N214" s="9"/>
      <c r="O214" s="21">
        <v>0.8</v>
      </c>
      <c r="Q214" s="15" t="str">
        <f t="shared" si="60"/>
        <v>*</v>
      </c>
      <c r="R214" s="16"/>
      <c r="S214" s="17" t="str">
        <f t="shared" si="62"/>
        <v>TRABAF</v>
      </c>
      <c r="T214" s="17" t="str">
        <f t="shared" si="63"/>
        <v>TRAFRESLHDMD</v>
      </c>
      <c r="U214" s="17" t="str">
        <f t="shared" si="64"/>
        <v>TRAFRESLHDMD</v>
      </c>
      <c r="V214" s="18">
        <v>2025</v>
      </c>
      <c r="W214" s="18" t="str">
        <f>W213</f>
        <v>UP</v>
      </c>
      <c r="X214" s="18"/>
      <c r="Y214" s="20" t="e">
        <f>-MIN(SUMIFS('TRA RESID'!$P:$P,'TRA RESID'!$H:$H,$E214,'TRA RESID'!$I:$I,$F214)/SUMIFS('TRA RESID'!$P:$P,'TRA RESID'!$I:$I,$F214)*AC214,1)</f>
        <v>#DIV/0!</v>
      </c>
      <c r="Z214" s="18"/>
      <c r="AA214" s="18"/>
      <c r="AB214" s="9"/>
      <c r="AC214" s="21">
        <v>1.2</v>
      </c>
    </row>
    <row r="215" spans="1:29" x14ac:dyDescent="0.25">
      <c r="A215" s="9">
        <f>A214</f>
        <v>53</v>
      </c>
      <c r="B215" s="9"/>
      <c r="C215" s="15" t="str">
        <f>IF(C214="*",C214,"")</f>
        <v>*</v>
      </c>
      <c r="D215" s="16"/>
      <c r="E215" s="17" t="str">
        <f t="shared" si="68"/>
        <v>TRABAF</v>
      </c>
      <c r="F215" s="17" t="str">
        <f t="shared" si="68"/>
        <v>TRAFRESLHDMD</v>
      </c>
      <c r="G215" s="17" t="str">
        <f t="shared" si="68"/>
        <v>TRAFRESLHDMD</v>
      </c>
      <c r="H215" s="18">
        <v>2030</v>
      </c>
      <c r="I215" s="18" t="str">
        <f>I214</f>
        <v>LO</v>
      </c>
      <c r="J215" s="18"/>
      <c r="K215" s="20" t="e">
        <f>-SUMIFS('TRA RESID'!$P:$P,'TRA RESID'!$H:$H,$E215,'TRA RESID'!$I:$I,$F215)/SUMIFS('TRA RESID'!$P:$P,'TRA RESID'!$I:$I,$F215)*O215</f>
        <v>#DIV/0!</v>
      </c>
      <c r="L215" s="18"/>
      <c r="M215" s="18"/>
      <c r="N215" s="9"/>
      <c r="O215" s="21">
        <v>0.2</v>
      </c>
      <c r="Q215" s="15" t="str">
        <f t="shared" si="60"/>
        <v>*</v>
      </c>
      <c r="R215" s="16"/>
      <c r="S215" s="17" t="str">
        <f t="shared" si="62"/>
        <v>TRABAF</v>
      </c>
      <c r="T215" s="17" t="str">
        <f t="shared" si="63"/>
        <v>TRAFRESLHDMD</v>
      </c>
      <c r="U215" s="17" t="str">
        <f t="shared" si="64"/>
        <v>TRAFRESLHDMD</v>
      </c>
      <c r="V215" s="18">
        <v>2030</v>
      </c>
      <c r="W215" s="18" t="str">
        <f>W214</f>
        <v>UP</v>
      </c>
      <c r="X215" s="18"/>
      <c r="Y215" s="20" t="e">
        <f>-MIN(SUMIFS('TRA RESID'!$P:$P,'TRA RESID'!$H:$H,$E215,'TRA RESID'!$I:$I,$F215)/SUMIFS('TRA RESID'!$P:$P,'TRA RESID'!$I:$I,$F215)*AC215,1)</f>
        <v>#DIV/0!</v>
      </c>
      <c r="Z215" s="18"/>
      <c r="AA215" s="18"/>
      <c r="AB215" s="9"/>
      <c r="AC215" s="21">
        <v>1.5</v>
      </c>
    </row>
    <row r="216" spans="1:29" x14ac:dyDescent="0.25">
      <c r="A216" s="22">
        <f>A215</f>
        <v>53</v>
      </c>
      <c r="B216" s="22"/>
      <c r="C216" s="23" t="str">
        <f>IF(C215="*",C215,"")</f>
        <v>*</v>
      </c>
      <c r="D216" s="24"/>
      <c r="E216" s="25" t="str">
        <f t="shared" si="68"/>
        <v>TRABAF</v>
      </c>
      <c r="F216" s="25" t="str">
        <f t="shared" si="68"/>
        <v>TRAFRESLHDMD</v>
      </c>
      <c r="G216" s="25" t="str">
        <f t="shared" si="68"/>
        <v>TRAFRESLHDMD</v>
      </c>
      <c r="H216" s="26">
        <v>2050</v>
      </c>
      <c r="I216" s="26" t="str">
        <f>I215</f>
        <v>LO</v>
      </c>
      <c r="J216" s="26"/>
      <c r="K216" s="27" t="e">
        <f>-SUMIFS('TRA RESID'!$P:$P,'TRA RESID'!$H:$H,$E216,'TRA RESID'!$I:$I,$F216)/SUMIFS('TRA RESID'!$P:$P,'TRA RESID'!$I:$I,$F216)*O216</f>
        <v>#DIV/0!</v>
      </c>
      <c r="L216" s="26"/>
      <c r="M216" s="26"/>
      <c r="N216" s="22"/>
      <c r="O216" s="28">
        <v>0</v>
      </c>
      <c r="Q216" s="23" t="str">
        <f t="shared" si="60"/>
        <v>*</v>
      </c>
      <c r="R216" s="24"/>
      <c r="S216" s="25" t="str">
        <f t="shared" si="62"/>
        <v>TRABAF</v>
      </c>
      <c r="T216" s="25" t="str">
        <f t="shared" si="63"/>
        <v>TRAFRESLHDMD</v>
      </c>
      <c r="U216" s="25" t="str">
        <f t="shared" si="64"/>
        <v>TRAFRESLHDMD</v>
      </c>
      <c r="V216" s="26">
        <v>2050</v>
      </c>
      <c r="W216" s="26" t="str">
        <f>W215</f>
        <v>UP</v>
      </c>
      <c r="X216" s="26"/>
      <c r="Y216" s="27" t="e">
        <f>-MIN(SUMIFS('TRA RESID'!$P:$P,'TRA RESID'!$H:$H,$E216,'TRA RESID'!$I:$I,$F216)/SUMIFS('TRA RESID'!$P:$P,'TRA RESID'!$I:$I,$F216)*AC216,1)</f>
        <v>#DIV/0!</v>
      </c>
      <c r="Z216" s="26"/>
      <c r="AA216" s="26"/>
      <c r="AB216" s="22"/>
      <c r="AC216" s="28">
        <v>3</v>
      </c>
    </row>
    <row r="217" spans="1:29" x14ac:dyDescent="0.25">
      <c r="A217" s="14">
        <f>A213+1</f>
        <v>54</v>
      </c>
      <c r="B217" s="9"/>
      <c r="C217" s="15" t="str">
        <f>IF(E217="","",IF(_xlfn.XLOOKUP($A217,Selected_constraint!$A:$A,Selected_constraint!$D:$D)=1,"*",IF(SUMIFS('TRA TECH'!$M:$M,'TRA TECH'!$H:$H,E217,'TRA TECH'!$I:$I,F217)=0,"*",IF(SUMIFS('TRA RESID'!$P:$P,'TRA RESID'!$H:$H,$E217,'TRA RESID'!$I:$I,$F217)=0,"*","UC_MarketShare_"&amp;LEFT(F217,LEN(F217)-3)&amp;"_"&amp;RIGHT(E217,3)&amp;"_MIN"))))</f>
        <v>*</v>
      </c>
      <c r="D217" s="16"/>
      <c r="E217" s="17" t="str">
        <f>_xlfn.XLOOKUP($A217,Selected_constraint!$A:$A,Selected_constraint!$B:$B)</f>
        <v>TRAH2G</v>
      </c>
      <c r="F217" s="17" t="str">
        <f>_xlfn.XLOOKUP($A217,Selected_constraint!$A:$A,Selected_constraint!$C:$C)</f>
        <v>TRAFRESLHDMD</v>
      </c>
      <c r="G217" s="17" t="str">
        <f>F217</f>
        <v>TRAFRESLHDMD</v>
      </c>
      <c r="H217" s="18">
        <v>2019</v>
      </c>
      <c r="I217" s="18" t="s">
        <v>483</v>
      </c>
      <c r="J217" s="18">
        <v>1</v>
      </c>
      <c r="K217" s="20" t="e">
        <f>-SUMIFS('TRA RESID'!$P:$P,'TRA RESID'!$H:$H,$E217,'TRA RESID'!$I:$I,$F217)/SUMIFS('TRA RESID'!$P:$P,'TRA RESID'!$I:$I,$F217)*O217</f>
        <v>#DIV/0!</v>
      </c>
      <c r="L217" s="18">
        <v>0</v>
      </c>
      <c r="M217" s="18">
        <v>5</v>
      </c>
      <c r="N217" s="9"/>
      <c r="O217" s="21">
        <v>0.98</v>
      </c>
      <c r="Q217" s="15" t="str">
        <f t="shared" si="60"/>
        <v>*</v>
      </c>
      <c r="R217" s="16"/>
      <c r="S217" s="17" t="str">
        <f t="shared" si="62"/>
        <v>TRAH2G</v>
      </c>
      <c r="T217" s="17" t="str">
        <f t="shared" si="63"/>
        <v>TRAFRESLHDMD</v>
      </c>
      <c r="U217" s="17" t="str">
        <f t="shared" si="64"/>
        <v>TRAFRESLHDMD</v>
      </c>
      <c r="V217" s="18">
        <v>2019</v>
      </c>
      <c r="W217" s="18" t="s">
        <v>484</v>
      </c>
      <c r="X217" s="18">
        <v>1</v>
      </c>
      <c r="Y217" s="20" t="e">
        <f>-MIN(SUMIFS('TRA RESID'!$P:$P,'TRA RESID'!$H:$H,$E217,'TRA RESID'!$I:$I,$F217)/SUMIFS('TRA RESID'!$P:$P,'TRA RESID'!$I:$I,$F217)*AC217,1)</f>
        <v>#DIV/0!</v>
      </c>
      <c r="Z217" s="18">
        <v>0</v>
      </c>
      <c r="AA217" s="18">
        <v>5</v>
      </c>
      <c r="AB217" s="9"/>
      <c r="AC217" s="21">
        <v>1.02</v>
      </c>
    </row>
    <row r="218" spans="1:29" x14ac:dyDescent="0.25">
      <c r="A218" s="9">
        <f>A217</f>
        <v>54</v>
      </c>
      <c r="B218" s="9"/>
      <c r="C218" s="15" t="str">
        <f>IF(C217="*",C217,"")</f>
        <v>*</v>
      </c>
      <c r="D218" s="16"/>
      <c r="E218" s="17" t="str">
        <f t="shared" ref="E218:G220" si="69">E217</f>
        <v>TRAH2G</v>
      </c>
      <c r="F218" s="17" t="str">
        <f t="shared" si="69"/>
        <v>TRAFRESLHDMD</v>
      </c>
      <c r="G218" s="17" t="str">
        <f t="shared" si="69"/>
        <v>TRAFRESLHDMD</v>
      </c>
      <c r="H218" s="18">
        <v>2025</v>
      </c>
      <c r="I218" s="18" t="str">
        <f>I217</f>
        <v>LO</v>
      </c>
      <c r="J218" s="18"/>
      <c r="K218" s="20" t="e">
        <f>-SUMIFS('TRA RESID'!$P:$P,'TRA RESID'!$H:$H,$E218,'TRA RESID'!$I:$I,$F218)/SUMIFS('TRA RESID'!$P:$P,'TRA RESID'!$I:$I,$F218)*O218</f>
        <v>#DIV/0!</v>
      </c>
      <c r="L218" s="18"/>
      <c r="M218" s="18"/>
      <c r="N218" s="9"/>
      <c r="O218" s="21">
        <v>0.8</v>
      </c>
      <c r="Q218" s="15" t="str">
        <f t="shared" si="60"/>
        <v>*</v>
      </c>
      <c r="R218" s="16"/>
      <c r="S218" s="17" t="str">
        <f t="shared" si="62"/>
        <v>TRAH2G</v>
      </c>
      <c r="T218" s="17" t="str">
        <f t="shared" si="63"/>
        <v>TRAFRESLHDMD</v>
      </c>
      <c r="U218" s="17" t="str">
        <f t="shared" si="64"/>
        <v>TRAFRESLHDMD</v>
      </c>
      <c r="V218" s="18">
        <v>2025</v>
      </c>
      <c r="W218" s="18" t="str">
        <f>W217</f>
        <v>UP</v>
      </c>
      <c r="X218" s="18"/>
      <c r="Y218" s="20" t="e">
        <f>-MIN(SUMIFS('TRA RESID'!$P:$P,'TRA RESID'!$H:$H,$E218,'TRA RESID'!$I:$I,$F218)/SUMIFS('TRA RESID'!$P:$P,'TRA RESID'!$I:$I,$F218)*AC218,1)</f>
        <v>#DIV/0!</v>
      </c>
      <c r="Z218" s="18"/>
      <c r="AA218" s="18"/>
      <c r="AB218" s="9"/>
      <c r="AC218" s="21">
        <v>1.2</v>
      </c>
    </row>
    <row r="219" spans="1:29" x14ac:dyDescent="0.25">
      <c r="A219" s="9">
        <f>A218</f>
        <v>54</v>
      </c>
      <c r="B219" s="9"/>
      <c r="C219" s="15" t="str">
        <f>IF(C218="*",C218,"")</f>
        <v>*</v>
      </c>
      <c r="D219" s="16"/>
      <c r="E219" s="17" t="str">
        <f t="shared" si="69"/>
        <v>TRAH2G</v>
      </c>
      <c r="F219" s="17" t="str">
        <f t="shared" si="69"/>
        <v>TRAFRESLHDMD</v>
      </c>
      <c r="G219" s="17" t="str">
        <f t="shared" si="69"/>
        <v>TRAFRESLHDMD</v>
      </c>
      <c r="H219" s="18">
        <v>2030</v>
      </c>
      <c r="I219" s="18" t="str">
        <f>I218</f>
        <v>LO</v>
      </c>
      <c r="J219" s="18"/>
      <c r="K219" s="20" t="e">
        <f>-SUMIFS('TRA RESID'!$P:$P,'TRA RESID'!$H:$H,$E219,'TRA RESID'!$I:$I,$F219)/SUMIFS('TRA RESID'!$P:$P,'TRA RESID'!$I:$I,$F219)*O219</f>
        <v>#DIV/0!</v>
      </c>
      <c r="L219" s="18"/>
      <c r="M219" s="18"/>
      <c r="N219" s="9"/>
      <c r="O219" s="21">
        <v>0.2</v>
      </c>
      <c r="Q219" s="15" t="str">
        <f t="shared" si="60"/>
        <v>*</v>
      </c>
      <c r="R219" s="16"/>
      <c r="S219" s="17" t="str">
        <f t="shared" si="62"/>
        <v>TRAH2G</v>
      </c>
      <c r="T219" s="17" t="str">
        <f t="shared" si="63"/>
        <v>TRAFRESLHDMD</v>
      </c>
      <c r="U219" s="17" t="str">
        <f t="shared" si="64"/>
        <v>TRAFRESLHDMD</v>
      </c>
      <c r="V219" s="18">
        <v>2030</v>
      </c>
      <c r="W219" s="18" t="str">
        <f>W218</f>
        <v>UP</v>
      </c>
      <c r="X219" s="18"/>
      <c r="Y219" s="20" t="e">
        <f>-MIN(SUMIFS('TRA RESID'!$P:$P,'TRA RESID'!$H:$H,$E219,'TRA RESID'!$I:$I,$F219)/SUMIFS('TRA RESID'!$P:$P,'TRA RESID'!$I:$I,$F219)*AC219,1)</f>
        <v>#DIV/0!</v>
      </c>
      <c r="Z219" s="18"/>
      <c r="AA219" s="18"/>
      <c r="AB219" s="9"/>
      <c r="AC219" s="21">
        <v>1.5</v>
      </c>
    </row>
    <row r="220" spans="1:29" x14ac:dyDescent="0.25">
      <c r="A220" s="22">
        <f>A219</f>
        <v>54</v>
      </c>
      <c r="B220" s="22"/>
      <c r="C220" s="23" t="str">
        <f>IF(C219="*",C219,"")</f>
        <v>*</v>
      </c>
      <c r="D220" s="24"/>
      <c r="E220" s="25" t="str">
        <f t="shared" si="69"/>
        <v>TRAH2G</v>
      </c>
      <c r="F220" s="25" t="str">
        <f t="shared" si="69"/>
        <v>TRAFRESLHDMD</v>
      </c>
      <c r="G220" s="25" t="str">
        <f t="shared" si="69"/>
        <v>TRAFRESLHDMD</v>
      </c>
      <c r="H220" s="26">
        <v>2050</v>
      </c>
      <c r="I220" s="26" t="str">
        <f>I219</f>
        <v>LO</v>
      </c>
      <c r="J220" s="26"/>
      <c r="K220" s="27" t="e">
        <f>-SUMIFS('TRA RESID'!$P:$P,'TRA RESID'!$H:$H,$E220,'TRA RESID'!$I:$I,$F220)/SUMIFS('TRA RESID'!$P:$P,'TRA RESID'!$I:$I,$F220)*O220</f>
        <v>#DIV/0!</v>
      </c>
      <c r="L220" s="26"/>
      <c r="M220" s="26"/>
      <c r="N220" s="22"/>
      <c r="O220" s="28">
        <v>0</v>
      </c>
      <c r="Q220" s="23" t="str">
        <f t="shared" si="60"/>
        <v>*</v>
      </c>
      <c r="R220" s="24"/>
      <c r="S220" s="25" t="str">
        <f t="shared" si="62"/>
        <v>TRAH2G</v>
      </c>
      <c r="T220" s="25" t="str">
        <f t="shared" si="63"/>
        <v>TRAFRESLHDMD</v>
      </c>
      <c r="U220" s="25" t="str">
        <f t="shared" si="64"/>
        <v>TRAFRESLHDMD</v>
      </c>
      <c r="V220" s="26">
        <v>2050</v>
      </c>
      <c r="W220" s="26" t="str">
        <f>W219</f>
        <v>UP</v>
      </c>
      <c r="X220" s="26"/>
      <c r="Y220" s="27" t="e">
        <f>-MIN(SUMIFS('TRA RESID'!$P:$P,'TRA RESID'!$H:$H,$E220,'TRA RESID'!$I:$I,$F220)/SUMIFS('TRA RESID'!$P:$P,'TRA RESID'!$I:$I,$F220)*AC220,1)</f>
        <v>#DIV/0!</v>
      </c>
      <c r="Z220" s="26"/>
      <c r="AA220" s="26"/>
      <c r="AB220" s="22"/>
      <c r="AC220" s="28">
        <v>3</v>
      </c>
    </row>
    <row r="221" spans="1:29" x14ac:dyDescent="0.25">
      <c r="A221" s="14">
        <f>A217+1</f>
        <v>55</v>
      </c>
      <c r="B221" s="9"/>
      <c r="C221" s="15" t="str">
        <f>IF(E221="","",IF(_xlfn.XLOOKUP($A221,Selected_constraint!$A:$A,Selected_constraint!$D:$D)=1,"*",IF(SUMIFS('TRA TECH'!$M:$M,'TRA TECH'!$H:$H,E221,'TRA TECH'!$I:$I,F221)=0,"*",IF(SUMIFS('TRA RESID'!$P:$P,'TRA RESID'!$H:$H,$E221,'TRA RESID'!$I:$I,$F221)=0,"*","UC_MarketShare_"&amp;LEFT(F221,LEN(F221)-3)&amp;"_"&amp;RIGHT(E221,3)&amp;"_MIN"))))</f>
        <v>*</v>
      </c>
      <c r="D221" s="16"/>
      <c r="E221" s="17" t="str">
        <f>_xlfn.XLOOKUP($A221,Selected_constraint!$A:$A,Selected_constraint!$B:$B)</f>
        <v>TRAGSL</v>
      </c>
      <c r="F221" s="17" t="str">
        <f>_xlfn.XLOOKUP($A221,Selected_constraint!$A:$A,Selected_constraint!$C:$C)</f>
        <v>TRAFRESSHDMD</v>
      </c>
      <c r="G221" s="17" t="str">
        <f>F221</f>
        <v>TRAFRESSHDMD</v>
      </c>
      <c r="H221" s="18">
        <v>2019</v>
      </c>
      <c r="I221" s="18" t="s">
        <v>483</v>
      </c>
      <c r="J221" s="18">
        <v>1</v>
      </c>
      <c r="K221" s="20" t="e">
        <f>-SUMIFS('TRA RESID'!$P:$P,'TRA RESID'!$H:$H,$E221,'TRA RESID'!$I:$I,$F221)/SUMIFS('TRA RESID'!$P:$P,'TRA RESID'!$I:$I,$F221)*O221</f>
        <v>#DIV/0!</v>
      </c>
      <c r="L221" s="18">
        <v>0</v>
      </c>
      <c r="M221" s="18">
        <v>5</v>
      </c>
      <c r="N221" s="9"/>
      <c r="O221" s="21">
        <v>0.98</v>
      </c>
      <c r="Q221" s="15" t="str">
        <f t="shared" si="60"/>
        <v>*</v>
      </c>
      <c r="R221" s="16"/>
      <c r="S221" s="17" t="str">
        <f t="shared" si="62"/>
        <v>TRAGSL</v>
      </c>
      <c r="T221" s="17" t="str">
        <f t="shared" si="63"/>
        <v>TRAFRESSHDMD</v>
      </c>
      <c r="U221" s="17" t="str">
        <f t="shared" si="64"/>
        <v>TRAFRESSHDMD</v>
      </c>
      <c r="V221" s="18">
        <v>2019</v>
      </c>
      <c r="W221" s="18" t="s">
        <v>484</v>
      </c>
      <c r="X221" s="18">
        <v>1</v>
      </c>
      <c r="Y221" s="20" t="e">
        <f>-MIN(SUMIFS('TRA RESID'!$P:$P,'TRA RESID'!$H:$H,$E221,'TRA RESID'!$I:$I,$F221)/SUMIFS('TRA RESID'!$P:$P,'TRA RESID'!$I:$I,$F221)*AC221,1)</f>
        <v>#DIV/0!</v>
      </c>
      <c r="Z221" s="18">
        <v>0</v>
      </c>
      <c r="AA221" s="18">
        <v>5</v>
      </c>
      <c r="AB221" s="9"/>
      <c r="AC221" s="21">
        <v>1.02</v>
      </c>
    </row>
    <row r="222" spans="1:29" x14ac:dyDescent="0.25">
      <c r="A222" s="9">
        <f>A221</f>
        <v>55</v>
      </c>
      <c r="B222" s="9"/>
      <c r="C222" s="15" t="str">
        <f>IF(C221="*",C221,"")</f>
        <v>*</v>
      </c>
      <c r="D222" s="16"/>
      <c r="E222" s="17" t="str">
        <f t="shared" ref="E222:G224" si="70">E221</f>
        <v>TRAGSL</v>
      </c>
      <c r="F222" s="17" t="str">
        <f t="shared" si="70"/>
        <v>TRAFRESSHDMD</v>
      </c>
      <c r="G222" s="17" t="str">
        <f t="shared" si="70"/>
        <v>TRAFRESSHDMD</v>
      </c>
      <c r="H222" s="18">
        <v>2025</v>
      </c>
      <c r="I222" s="18" t="str">
        <f>I221</f>
        <v>LO</v>
      </c>
      <c r="J222" s="18"/>
      <c r="K222" s="20" t="e">
        <f>-SUMIFS('TRA RESID'!$P:$P,'TRA RESID'!$H:$H,$E222,'TRA RESID'!$I:$I,$F222)/SUMIFS('TRA RESID'!$P:$P,'TRA RESID'!$I:$I,$F222)*O222</f>
        <v>#DIV/0!</v>
      </c>
      <c r="L222" s="18"/>
      <c r="M222" s="18"/>
      <c r="N222" s="9"/>
      <c r="O222" s="21">
        <v>0.8</v>
      </c>
      <c r="Q222" s="15" t="str">
        <f t="shared" si="60"/>
        <v>*</v>
      </c>
      <c r="R222" s="16"/>
      <c r="S222" s="17" t="str">
        <f t="shared" si="62"/>
        <v>TRAGSL</v>
      </c>
      <c r="T222" s="17" t="str">
        <f t="shared" si="63"/>
        <v>TRAFRESSHDMD</v>
      </c>
      <c r="U222" s="17" t="str">
        <f t="shared" si="64"/>
        <v>TRAFRESSHDMD</v>
      </c>
      <c r="V222" s="18">
        <v>2025</v>
      </c>
      <c r="W222" s="18" t="str">
        <f>W221</f>
        <v>UP</v>
      </c>
      <c r="X222" s="18"/>
      <c r="Y222" s="20" t="e">
        <f>-MIN(SUMIFS('TRA RESID'!$P:$P,'TRA RESID'!$H:$H,$E222,'TRA RESID'!$I:$I,$F222)/SUMIFS('TRA RESID'!$P:$P,'TRA RESID'!$I:$I,$F222)*AC222,1)</f>
        <v>#DIV/0!</v>
      </c>
      <c r="Z222" s="18"/>
      <c r="AA222" s="18"/>
      <c r="AB222" s="9"/>
      <c r="AC222" s="21">
        <v>1.2</v>
      </c>
    </row>
    <row r="223" spans="1:29" x14ac:dyDescent="0.25">
      <c r="A223" s="9">
        <f>A222</f>
        <v>55</v>
      </c>
      <c r="B223" s="9"/>
      <c r="C223" s="15" t="str">
        <f>IF(C222="*",C222,"")</f>
        <v>*</v>
      </c>
      <c r="D223" s="16"/>
      <c r="E223" s="17" t="str">
        <f t="shared" si="70"/>
        <v>TRAGSL</v>
      </c>
      <c r="F223" s="17" t="str">
        <f t="shared" si="70"/>
        <v>TRAFRESSHDMD</v>
      </c>
      <c r="G223" s="17" t="str">
        <f t="shared" si="70"/>
        <v>TRAFRESSHDMD</v>
      </c>
      <c r="H223" s="18">
        <v>2030</v>
      </c>
      <c r="I223" s="18" t="str">
        <f>I222</f>
        <v>LO</v>
      </c>
      <c r="J223" s="18"/>
      <c r="K223" s="20" t="e">
        <f>-SUMIFS('TRA RESID'!$P:$P,'TRA RESID'!$H:$H,$E223,'TRA RESID'!$I:$I,$F223)/SUMIFS('TRA RESID'!$P:$P,'TRA RESID'!$I:$I,$F223)*O223</f>
        <v>#DIV/0!</v>
      </c>
      <c r="L223" s="18"/>
      <c r="M223" s="18"/>
      <c r="N223" s="9"/>
      <c r="O223" s="21">
        <v>0.2</v>
      </c>
      <c r="Q223" s="15" t="str">
        <f t="shared" si="60"/>
        <v>*</v>
      </c>
      <c r="R223" s="16"/>
      <c r="S223" s="17" t="str">
        <f t="shared" si="62"/>
        <v>TRAGSL</v>
      </c>
      <c r="T223" s="17" t="str">
        <f t="shared" si="63"/>
        <v>TRAFRESSHDMD</v>
      </c>
      <c r="U223" s="17" t="str">
        <f t="shared" si="64"/>
        <v>TRAFRESSHDMD</v>
      </c>
      <c r="V223" s="18">
        <v>2030</v>
      </c>
      <c r="W223" s="18" t="str">
        <f>W222</f>
        <v>UP</v>
      </c>
      <c r="X223" s="18"/>
      <c r="Y223" s="20" t="e">
        <f>-MIN(SUMIFS('TRA RESID'!$P:$P,'TRA RESID'!$H:$H,$E223,'TRA RESID'!$I:$I,$F223)/SUMIFS('TRA RESID'!$P:$P,'TRA RESID'!$I:$I,$F223)*AC223,1)</f>
        <v>#DIV/0!</v>
      </c>
      <c r="Z223" s="18"/>
      <c r="AA223" s="18"/>
      <c r="AB223" s="9"/>
      <c r="AC223" s="21">
        <v>1.5</v>
      </c>
    </row>
    <row r="224" spans="1:29" x14ac:dyDescent="0.25">
      <c r="A224" s="22">
        <f>A223</f>
        <v>55</v>
      </c>
      <c r="B224" s="22"/>
      <c r="C224" s="23" t="str">
        <f>IF(C223="*",C223,"")</f>
        <v>*</v>
      </c>
      <c r="D224" s="24"/>
      <c r="E224" s="25" t="str">
        <f t="shared" si="70"/>
        <v>TRAGSL</v>
      </c>
      <c r="F224" s="25" t="str">
        <f t="shared" si="70"/>
        <v>TRAFRESSHDMD</v>
      </c>
      <c r="G224" s="25" t="str">
        <f t="shared" si="70"/>
        <v>TRAFRESSHDMD</v>
      </c>
      <c r="H224" s="26">
        <v>2050</v>
      </c>
      <c r="I224" s="26" t="str">
        <f>I223</f>
        <v>LO</v>
      </c>
      <c r="J224" s="26"/>
      <c r="K224" s="27" t="e">
        <f>-SUMIFS('TRA RESID'!$P:$P,'TRA RESID'!$H:$H,$E224,'TRA RESID'!$I:$I,$F224)/SUMIFS('TRA RESID'!$P:$P,'TRA RESID'!$I:$I,$F224)*O224</f>
        <v>#DIV/0!</v>
      </c>
      <c r="L224" s="26"/>
      <c r="M224" s="26"/>
      <c r="N224" s="22"/>
      <c r="O224" s="28">
        <v>0</v>
      </c>
      <c r="Q224" s="23" t="str">
        <f t="shared" si="60"/>
        <v>*</v>
      </c>
      <c r="R224" s="24"/>
      <c r="S224" s="25" t="str">
        <f t="shared" si="62"/>
        <v>TRAGSL</v>
      </c>
      <c r="T224" s="25" t="str">
        <f t="shared" si="63"/>
        <v>TRAFRESSHDMD</v>
      </c>
      <c r="U224" s="25" t="str">
        <f t="shared" si="64"/>
        <v>TRAFRESSHDMD</v>
      </c>
      <c r="V224" s="26">
        <v>2050</v>
      </c>
      <c r="W224" s="26" t="str">
        <f>W223</f>
        <v>UP</v>
      </c>
      <c r="X224" s="26"/>
      <c r="Y224" s="27" t="e">
        <f>-MIN(SUMIFS('TRA RESID'!$P:$P,'TRA RESID'!$H:$H,$E224,'TRA RESID'!$I:$I,$F224)/SUMIFS('TRA RESID'!$P:$P,'TRA RESID'!$I:$I,$F224)*AC224,1)</f>
        <v>#DIV/0!</v>
      </c>
      <c r="Z224" s="26"/>
      <c r="AA224" s="26"/>
      <c r="AB224" s="22"/>
      <c r="AC224" s="28">
        <v>3</v>
      </c>
    </row>
    <row r="225" spans="1:29" x14ac:dyDescent="0.25">
      <c r="A225" s="14">
        <f>A221+1</f>
        <v>56</v>
      </c>
      <c r="B225" s="9"/>
      <c r="C225" s="15" t="str">
        <f>IF(E225="","",IF(_xlfn.XLOOKUP($A225,Selected_constraint!$A:$A,Selected_constraint!$D:$D)=1,"*",IF(SUMIFS('TRA TECH'!$M:$M,'TRA TECH'!$H:$H,E225,'TRA TECH'!$I:$I,F225)=0,"*",IF(SUMIFS('TRA RESID'!$P:$P,'TRA RESID'!$H:$H,$E225,'TRA RESID'!$I:$I,$F225)=0,"*","UC_MarketShare_"&amp;LEFT(F225,LEN(F225)-3)&amp;"_"&amp;RIGHT(E225,3)&amp;"_MIN"))))</f>
        <v>*</v>
      </c>
      <c r="D225" s="16"/>
      <c r="E225" s="17" t="str">
        <f>_xlfn.XLOOKUP($A225,Selected_constraint!$A:$A,Selected_constraint!$B:$B)</f>
        <v>TRAETH</v>
      </c>
      <c r="F225" s="17" t="str">
        <f>_xlfn.XLOOKUP($A225,Selected_constraint!$A:$A,Selected_constraint!$C:$C)</f>
        <v>TRAFRESSHDMD</v>
      </c>
      <c r="G225" s="17" t="str">
        <f>F225</f>
        <v>TRAFRESSHDMD</v>
      </c>
      <c r="H225" s="18">
        <v>2019</v>
      </c>
      <c r="I225" s="18" t="s">
        <v>483</v>
      </c>
      <c r="J225" s="18">
        <v>1</v>
      </c>
      <c r="K225" s="20" t="e">
        <f>-SUMIFS('TRA RESID'!$P:$P,'TRA RESID'!$H:$H,$E225,'TRA RESID'!$I:$I,$F225)/SUMIFS('TRA RESID'!$P:$P,'TRA RESID'!$I:$I,$F225)*O225</f>
        <v>#DIV/0!</v>
      </c>
      <c r="L225" s="18">
        <v>0</v>
      </c>
      <c r="M225" s="18">
        <v>5</v>
      </c>
      <c r="N225" s="9"/>
      <c r="O225" s="21">
        <v>0.98</v>
      </c>
      <c r="Q225" s="15" t="str">
        <f t="shared" si="60"/>
        <v>*</v>
      </c>
      <c r="R225" s="16"/>
      <c r="S225" s="17" t="str">
        <f t="shared" si="62"/>
        <v>TRAETH</v>
      </c>
      <c r="T225" s="17" t="str">
        <f t="shared" si="63"/>
        <v>TRAFRESSHDMD</v>
      </c>
      <c r="U225" s="17" t="str">
        <f t="shared" si="64"/>
        <v>TRAFRESSHDMD</v>
      </c>
      <c r="V225" s="18">
        <v>2019</v>
      </c>
      <c r="W225" s="18" t="s">
        <v>484</v>
      </c>
      <c r="X225" s="18">
        <v>1</v>
      </c>
      <c r="Y225" s="20" t="e">
        <f>-MIN(SUMIFS('TRA RESID'!$P:$P,'TRA RESID'!$H:$H,$E225,'TRA RESID'!$I:$I,$F225)/SUMIFS('TRA RESID'!$P:$P,'TRA RESID'!$I:$I,$F225)*AC225,1)</f>
        <v>#DIV/0!</v>
      </c>
      <c r="Z225" s="18">
        <v>0</v>
      </c>
      <c r="AA225" s="18">
        <v>5</v>
      </c>
      <c r="AB225" s="9"/>
      <c r="AC225" s="21">
        <v>1.02</v>
      </c>
    </row>
    <row r="226" spans="1:29" x14ac:dyDescent="0.25">
      <c r="A226" s="9">
        <f>A225</f>
        <v>56</v>
      </c>
      <c r="B226" s="9"/>
      <c r="C226" s="15" t="str">
        <f>IF(C225="*",C225,"")</f>
        <v>*</v>
      </c>
      <c r="D226" s="16"/>
      <c r="E226" s="17" t="str">
        <f t="shared" ref="E226:G228" si="71">E225</f>
        <v>TRAETH</v>
      </c>
      <c r="F226" s="17" t="str">
        <f t="shared" si="71"/>
        <v>TRAFRESSHDMD</v>
      </c>
      <c r="G226" s="17" t="str">
        <f t="shared" si="71"/>
        <v>TRAFRESSHDMD</v>
      </c>
      <c r="H226" s="18">
        <v>2025</v>
      </c>
      <c r="I226" s="18" t="str">
        <f>I225</f>
        <v>LO</v>
      </c>
      <c r="J226" s="18"/>
      <c r="K226" s="20" t="e">
        <f>-SUMIFS('TRA RESID'!$P:$P,'TRA RESID'!$H:$H,$E226,'TRA RESID'!$I:$I,$F226)/SUMIFS('TRA RESID'!$P:$P,'TRA RESID'!$I:$I,$F226)*O226</f>
        <v>#DIV/0!</v>
      </c>
      <c r="L226" s="18"/>
      <c r="M226" s="18"/>
      <c r="N226" s="9"/>
      <c r="O226" s="21">
        <v>0.8</v>
      </c>
      <c r="Q226" s="15" t="str">
        <f t="shared" si="60"/>
        <v>*</v>
      </c>
      <c r="R226" s="16"/>
      <c r="S226" s="17" t="str">
        <f t="shared" si="62"/>
        <v>TRAETH</v>
      </c>
      <c r="T226" s="17" t="str">
        <f t="shared" si="63"/>
        <v>TRAFRESSHDMD</v>
      </c>
      <c r="U226" s="17" t="str">
        <f t="shared" si="64"/>
        <v>TRAFRESSHDMD</v>
      </c>
      <c r="V226" s="18">
        <v>2025</v>
      </c>
      <c r="W226" s="18" t="str">
        <f>W225</f>
        <v>UP</v>
      </c>
      <c r="X226" s="18"/>
      <c r="Y226" s="20" t="e">
        <f>-MIN(SUMIFS('TRA RESID'!$P:$P,'TRA RESID'!$H:$H,$E226,'TRA RESID'!$I:$I,$F226)/SUMIFS('TRA RESID'!$P:$P,'TRA RESID'!$I:$I,$F226)*AC226,1)</f>
        <v>#DIV/0!</v>
      </c>
      <c r="Z226" s="18"/>
      <c r="AA226" s="18"/>
      <c r="AB226" s="9"/>
      <c r="AC226" s="21">
        <v>1.2</v>
      </c>
    </row>
    <row r="227" spans="1:29" x14ac:dyDescent="0.25">
      <c r="A227" s="9">
        <f>A226</f>
        <v>56</v>
      </c>
      <c r="B227" s="9"/>
      <c r="C227" s="15" t="str">
        <f>IF(C226="*",C226,"")</f>
        <v>*</v>
      </c>
      <c r="D227" s="16"/>
      <c r="E227" s="17" t="str">
        <f t="shared" si="71"/>
        <v>TRAETH</v>
      </c>
      <c r="F227" s="17" t="str">
        <f t="shared" si="71"/>
        <v>TRAFRESSHDMD</v>
      </c>
      <c r="G227" s="17" t="str">
        <f t="shared" si="71"/>
        <v>TRAFRESSHDMD</v>
      </c>
      <c r="H227" s="18">
        <v>2030</v>
      </c>
      <c r="I227" s="18" t="str">
        <f>I226</f>
        <v>LO</v>
      </c>
      <c r="J227" s="18"/>
      <c r="K227" s="20" t="e">
        <f>-SUMIFS('TRA RESID'!$P:$P,'TRA RESID'!$H:$H,$E227,'TRA RESID'!$I:$I,$F227)/SUMIFS('TRA RESID'!$P:$P,'TRA RESID'!$I:$I,$F227)*O227</f>
        <v>#DIV/0!</v>
      </c>
      <c r="L227" s="18"/>
      <c r="M227" s="18"/>
      <c r="N227" s="9"/>
      <c r="O227" s="21">
        <v>0.2</v>
      </c>
      <c r="Q227" s="15" t="str">
        <f t="shared" si="60"/>
        <v>*</v>
      </c>
      <c r="R227" s="16"/>
      <c r="S227" s="17" t="str">
        <f t="shared" si="62"/>
        <v>TRAETH</v>
      </c>
      <c r="T227" s="17" t="str">
        <f t="shared" si="63"/>
        <v>TRAFRESSHDMD</v>
      </c>
      <c r="U227" s="17" t="str">
        <f t="shared" si="64"/>
        <v>TRAFRESSHDMD</v>
      </c>
      <c r="V227" s="18">
        <v>2030</v>
      </c>
      <c r="W227" s="18" t="str">
        <f>W226</f>
        <v>UP</v>
      </c>
      <c r="X227" s="18"/>
      <c r="Y227" s="20" t="e">
        <f>-MIN(SUMIFS('TRA RESID'!$P:$P,'TRA RESID'!$H:$H,$E227,'TRA RESID'!$I:$I,$F227)/SUMIFS('TRA RESID'!$P:$P,'TRA RESID'!$I:$I,$F227)*AC227,1)</f>
        <v>#DIV/0!</v>
      </c>
      <c r="Z227" s="18"/>
      <c r="AA227" s="18"/>
      <c r="AB227" s="9"/>
      <c r="AC227" s="21">
        <v>1.5</v>
      </c>
    </row>
    <row r="228" spans="1:29" x14ac:dyDescent="0.25">
      <c r="A228" s="22">
        <f>A227</f>
        <v>56</v>
      </c>
      <c r="B228" s="22"/>
      <c r="C228" s="23" t="str">
        <f>IF(C227="*",C227,"")</f>
        <v>*</v>
      </c>
      <c r="D228" s="24"/>
      <c r="E228" s="25" t="str">
        <f t="shared" si="71"/>
        <v>TRAETH</v>
      </c>
      <c r="F228" s="25" t="str">
        <f t="shared" si="71"/>
        <v>TRAFRESSHDMD</v>
      </c>
      <c r="G228" s="25" t="str">
        <f t="shared" si="71"/>
        <v>TRAFRESSHDMD</v>
      </c>
      <c r="H228" s="26">
        <v>2050</v>
      </c>
      <c r="I228" s="26" t="str">
        <f>I227</f>
        <v>LO</v>
      </c>
      <c r="J228" s="26"/>
      <c r="K228" s="27" t="e">
        <f>-SUMIFS('TRA RESID'!$P:$P,'TRA RESID'!$H:$H,$E228,'TRA RESID'!$I:$I,$F228)/SUMIFS('TRA RESID'!$P:$P,'TRA RESID'!$I:$I,$F228)*O228</f>
        <v>#DIV/0!</v>
      </c>
      <c r="L228" s="26"/>
      <c r="M228" s="26"/>
      <c r="N228" s="22"/>
      <c r="O228" s="28">
        <v>0</v>
      </c>
      <c r="Q228" s="23" t="str">
        <f t="shared" si="60"/>
        <v>*</v>
      </c>
      <c r="R228" s="24"/>
      <c r="S228" s="25" t="str">
        <f t="shared" si="62"/>
        <v>TRAETH</v>
      </c>
      <c r="T228" s="25" t="str">
        <f t="shared" si="63"/>
        <v>TRAFRESSHDMD</v>
      </c>
      <c r="U228" s="25" t="str">
        <f t="shared" si="64"/>
        <v>TRAFRESSHDMD</v>
      </c>
      <c r="V228" s="26">
        <v>2050</v>
      </c>
      <c r="W228" s="26" t="str">
        <f>W227</f>
        <v>UP</v>
      </c>
      <c r="X228" s="26"/>
      <c r="Y228" s="27" t="e">
        <f>-MIN(SUMIFS('TRA RESID'!$P:$P,'TRA RESID'!$H:$H,$E228,'TRA RESID'!$I:$I,$F228)/SUMIFS('TRA RESID'!$P:$P,'TRA RESID'!$I:$I,$F228)*AC228,1)</f>
        <v>#DIV/0!</v>
      </c>
      <c r="Z228" s="26"/>
      <c r="AA228" s="26"/>
      <c r="AB228" s="22"/>
      <c r="AC228" s="28">
        <v>3</v>
      </c>
    </row>
    <row r="229" spans="1:29" x14ac:dyDescent="0.25">
      <c r="A229" s="14">
        <f>A225+1</f>
        <v>57</v>
      </c>
      <c r="B229" s="9"/>
      <c r="C229" s="15" t="str">
        <f>IF(E229="","",IF(_xlfn.XLOOKUP($A229,Selected_constraint!$A:$A,Selected_constraint!$D:$D)=1,"*",IF(SUMIFS('TRA TECH'!$M:$M,'TRA TECH'!$H:$H,E229,'TRA TECH'!$I:$I,F229)=0,"*",IF(SUMIFS('TRA RESID'!$P:$P,'TRA RESID'!$H:$H,$E229,'TRA RESID'!$I:$I,$F229)=0,"*","UC_MarketShare_"&amp;LEFT(F229,LEN(F229)-3)&amp;"_"&amp;RIGHT(E229,3)&amp;"_MIN"))))</f>
        <v>*</v>
      </c>
      <c r="D229" s="16"/>
      <c r="E229" s="17" t="str">
        <f>_xlfn.XLOOKUP($A229,Selected_constraint!$A:$A,Selected_constraint!$B:$B)</f>
        <v>TRADSL</v>
      </c>
      <c r="F229" s="17" t="str">
        <f>_xlfn.XLOOKUP($A229,Selected_constraint!$A:$A,Selected_constraint!$C:$C)</f>
        <v>TRAFRESSHDMD</v>
      </c>
      <c r="G229" s="17" t="str">
        <f>F229</f>
        <v>TRAFRESSHDMD</v>
      </c>
      <c r="H229" s="18">
        <v>2019</v>
      </c>
      <c r="I229" s="18" t="s">
        <v>483</v>
      </c>
      <c r="J229" s="18">
        <v>1</v>
      </c>
      <c r="K229" s="20" t="e">
        <f>-SUMIFS('TRA RESID'!$P:$P,'TRA RESID'!$H:$H,$E229,'TRA RESID'!$I:$I,$F229)/SUMIFS('TRA RESID'!$P:$P,'TRA RESID'!$I:$I,$F229)*O229</f>
        <v>#DIV/0!</v>
      </c>
      <c r="L229" s="18">
        <v>0</v>
      </c>
      <c r="M229" s="18">
        <v>5</v>
      </c>
      <c r="N229" s="9"/>
      <c r="O229" s="21">
        <v>0.98</v>
      </c>
      <c r="Q229" s="15" t="str">
        <f t="shared" si="60"/>
        <v>*</v>
      </c>
      <c r="R229" s="16"/>
      <c r="S229" s="17" t="str">
        <f t="shared" si="62"/>
        <v>TRADSL</v>
      </c>
      <c r="T229" s="17" t="str">
        <f t="shared" si="63"/>
        <v>TRAFRESSHDMD</v>
      </c>
      <c r="U229" s="17" t="str">
        <f t="shared" si="64"/>
        <v>TRAFRESSHDMD</v>
      </c>
      <c r="V229" s="18">
        <v>2019</v>
      </c>
      <c r="W229" s="18" t="s">
        <v>484</v>
      </c>
      <c r="X229" s="18">
        <v>1</v>
      </c>
      <c r="Y229" s="20" t="e">
        <f>-MIN(SUMIFS('TRA RESID'!$P:$P,'TRA RESID'!$H:$H,$E229,'TRA RESID'!$I:$I,$F229)/SUMIFS('TRA RESID'!$P:$P,'TRA RESID'!$I:$I,$F229)*AC229,1)</f>
        <v>#DIV/0!</v>
      </c>
      <c r="Z229" s="18">
        <v>0</v>
      </c>
      <c r="AA229" s="18">
        <v>5</v>
      </c>
      <c r="AB229" s="9"/>
      <c r="AC229" s="21">
        <v>1.02</v>
      </c>
    </row>
    <row r="230" spans="1:29" x14ac:dyDescent="0.25">
      <c r="A230" s="9">
        <f>A229</f>
        <v>57</v>
      </c>
      <c r="B230" s="9"/>
      <c r="C230" s="15" t="str">
        <f>IF(C229="*",C229,"")</f>
        <v>*</v>
      </c>
      <c r="D230" s="16"/>
      <c r="E230" s="17" t="str">
        <f t="shared" ref="E230:G232" si="72">E229</f>
        <v>TRADSL</v>
      </c>
      <c r="F230" s="17" t="str">
        <f t="shared" si="72"/>
        <v>TRAFRESSHDMD</v>
      </c>
      <c r="G230" s="17" t="str">
        <f t="shared" si="72"/>
        <v>TRAFRESSHDMD</v>
      </c>
      <c r="H230" s="18">
        <v>2025</v>
      </c>
      <c r="I230" s="18" t="str">
        <f>I229</f>
        <v>LO</v>
      </c>
      <c r="J230" s="18"/>
      <c r="K230" s="20" t="e">
        <f>-SUMIFS('TRA RESID'!$P:$P,'TRA RESID'!$H:$H,$E230,'TRA RESID'!$I:$I,$F230)/SUMIFS('TRA RESID'!$P:$P,'TRA RESID'!$I:$I,$F230)*O230</f>
        <v>#DIV/0!</v>
      </c>
      <c r="L230" s="18"/>
      <c r="M230" s="18"/>
      <c r="N230" s="9"/>
      <c r="O230" s="21">
        <v>0.8</v>
      </c>
      <c r="Q230" s="15" t="str">
        <f t="shared" si="60"/>
        <v>*</v>
      </c>
      <c r="R230" s="16"/>
      <c r="S230" s="17" t="str">
        <f t="shared" si="62"/>
        <v>TRADSL</v>
      </c>
      <c r="T230" s="17" t="str">
        <f t="shared" si="63"/>
        <v>TRAFRESSHDMD</v>
      </c>
      <c r="U230" s="17" t="str">
        <f t="shared" si="64"/>
        <v>TRAFRESSHDMD</v>
      </c>
      <c r="V230" s="18">
        <v>2025</v>
      </c>
      <c r="W230" s="18" t="str">
        <f>W229</f>
        <v>UP</v>
      </c>
      <c r="X230" s="18"/>
      <c r="Y230" s="20" t="e">
        <f>-MIN(SUMIFS('TRA RESID'!$P:$P,'TRA RESID'!$H:$H,$E230,'TRA RESID'!$I:$I,$F230)/SUMIFS('TRA RESID'!$P:$P,'TRA RESID'!$I:$I,$F230)*AC230,1)</f>
        <v>#DIV/0!</v>
      </c>
      <c r="Z230" s="18"/>
      <c r="AA230" s="18"/>
      <c r="AB230" s="9"/>
      <c r="AC230" s="21">
        <v>1.2</v>
      </c>
    </row>
    <row r="231" spans="1:29" x14ac:dyDescent="0.25">
      <c r="A231" s="9">
        <f>A230</f>
        <v>57</v>
      </c>
      <c r="B231" s="9"/>
      <c r="C231" s="15" t="str">
        <f>IF(C230="*",C230,"")</f>
        <v>*</v>
      </c>
      <c r="D231" s="16"/>
      <c r="E231" s="17" t="str">
        <f t="shared" si="72"/>
        <v>TRADSL</v>
      </c>
      <c r="F231" s="17" t="str">
        <f t="shared" si="72"/>
        <v>TRAFRESSHDMD</v>
      </c>
      <c r="G231" s="17" t="str">
        <f t="shared" si="72"/>
        <v>TRAFRESSHDMD</v>
      </c>
      <c r="H231" s="18">
        <v>2030</v>
      </c>
      <c r="I231" s="18" t="str">
        <f>I230</f>
        <v>LO</v>
      </c>
      <c r="J231" s="18"/>
      <c r="K231" s="20" t="e">
        <f>-SUMIFS('TRA RESID'!$P:$P,'TRA RESID'!$H:$H,$E231,'TRA RESID'!$I:$I,$F231)/SUMIFS('TRA RESID'!$P:$P,'TRA RESID'!$I:$I,$F231)*O231</f>
        <v>#DIV/0!</v>
      </c>
      <c r="L231" s="18"/>
      <c r="M231" s="18"/>
      <c r="N231" s="9"/>
      <c r="O231" s="21">
        <v>0.2</v>
      </c>
      <c r="Q231" s="15" t="str">
        <f t="shared" si="60"/>
        <v>*</v>
      </c>
      <c r="R231" s="16"/>
      <c r="S231" s="17" t="str">
        <f t="shared" si="62"/>
        <v>TRADSL</v>
      </c>
      <c r="T231" s="17" t="str">
        <f t="shared" si="63"/>
        <v>TRAFRESSHDMD</v>
      </c>
      <c r="U231" s="17" t="str">
        <f t="shared" si="64"/>
        <v>TRAFRESSHDMD</v>
      </c>
      <c r="V231" s="18">
        <v>2030</v>
      </c>
      <c r="W231" s="18" t="str">
        <f>W230</f>
        <v>UP</v>
      </c>
      <c r="X231" s="18"/>
      <c r="Y231" s="20" t="e">
        <f>-MIN(SUMIFS('TRA RESID'!$P:$P,'TRA RESID'!$H:$H,$E231,'TRA RESID'!$I:$I,$F231)/SUMIFS('TRA RESID'!$P:$P,'TRA RESID'!$I:$I,$F231)*AC231,1)</f>
        <v>#DIV/0!</v>
      </c>
      <c r="Z231" s="18"/>
      <c r="AA231" s="18"/>
      <c r="AB231" s="9"/>
      <c r="AC231" s="21">
        <v>1.5</v>
      </c>
    </row>
    <row r="232" spans="1:29" x14ac:dyDescent="0.25">
      <c r="A232" s="22">
        <f>A231</f>
        <v>57</v>
      </c>
      <c r="B232" s="22"/>
      <c r="C232" s="23" t="str">
        <f>IF(C231="*",C231,"")</f>
        <v>*</v>
      </c>
      <c r="D232" s="24"/>
      <c r="E232" s="25" t="str">
        <f t="shared" si="72"/>
        <v>TRADSL</v>
      </c>
      <c r="F232" s="25" t="str">
        <f t="shared" si="72"/>
        <v>TRAFRESSHDMD</v>
      </c>
      <c r="G232" s="25" t="str">
        <f t="shared" si="72"/>
        <v>TRAFRESSHDMD</v>
      </c>
      <c r="H232" s="26">
        <v>2050</v>
      </c>
      <c r="I232" s="26" t="str">
        <f>I231</f>
        <v>LO</v>
      </c>
      <c r="J232" s="26"/>
      <c r="K232" s="27" t="e">
        <f>-SUMIFS('TRA RESID'!$P:$P,'TRA RESID'!$H:$H,$E232,'TRA RESID'!$I:$I,$F232)/SUMIFS('TRA RESID'!$P:$P,'TRA RESID'!$I:$I,$F232)*O232</f>
        <v>#DIV/0!</v>
      </c>
      <c r="L232" s="26"/>
      <c r="M232" s="26"/>
      <c r="N232" s="22"/>
      <c r="O232" s="28">
        <v>0</v>
      </c>
      <c r="Q232" s="23" t="str">
        <f t="shared" si="60"/>
        <v>*</v>
      </c>
      <c r="R232" s="24"/>
      <c r="S232" s="25" t="str">
        <f t="shared" si="62"/>
        <v>TRADSL</v>
      </c>
      <c r="T232" s="25" t="str">
        <f t="shared" si="63"/>
        <v>TRAFRESSHDMD</v>
      </c>
      <c r="U232" s="25" t="str">
        <f t="shared" si="64"/>
        <v>TRAFRESSHDMD</v>
      </c>
      <c r="V232" s="26">
        <v>2050</v>
      </c>
      <c r="W232" s="26" t="str">
        <f>W231</f>
        <v>UP</v>
      </c>
      <c r="X232" s="26"/>
      <c r="Y232" s="27" t="e">
        <f>-MIN(SUMIFS('TRA RESID'!$P:$P,'TRA RESID'!$H:$H,$E232,'TRA RESID'!$I:$I,$F232)/SUMIFS('TRA RESID'!$P:$P,'TRA RESID'!$I:$I,$F232)*AC232,1)</f>
        <v>#DIV/0!</v>
      </c>
      <c r="Z232" s="26"/>
      <c r="AA232" s="26"/>
      <c r="AB232" s="22"/>
      <c r="AC232" s="28">
        <v>3</v>
      </c>
    </row>
    <row r="233" spans="1:29" x14ac:dyDescent="0.25">
      <c r="A233" s="14">
        <f>A229+1</f>
        <v>58</v>
      </c>
      <c r="B233" s="9"/>
      <c r="C233" s="15" t="str">
        <f>IF(E233="","",IF(_xlfn.XLOOKUP($A233,Selected_constraint!$A:$A,Selected_constraint!$D:$D)=1,"*",IF(SUMIFS('TRA TECH'!$M:$M,'TRA TECH'!$H:$H,E233,'TRA TECH'!$I:$I,F233)=0,"*",IF(SUMIFS('TRA RESID'!$P:$P,'TRA RESID'!$H:$H,$E233,'TRA RESID'!$I:$I,$F233)=0,"*","UC_MarketShare_"&amp;LEFT(F233,LEN(F233)-3)&amp;"_"&amp;RIGHT(E233,3)&amp;"_MIN"))))</f>
        <v>*</v>
      </c>
      <c r="D233" s="16"/>
      <c r="E233" s="17" t="str">
        <f>_xlfn.XLOOKUP($A233,Selected_constraint!$A:$A,Selected_constraint!$B:$B)</f>
        <v>TRARDS</v>
      </c>
      <c r="F233" s="17" t="str">
        <f>_xlfn.XLOOKUP($A233,Selected_constraint!$A:$A,Selected_constraint!$C:$C)</f>
        <v>TRAFRESSHDMD</v>
      </c>
      <c r="G233" s="17" t="str">
        <f>F233</f>
        <v>TRAFRESSHDMD</v>
      </c>
      <c r="H233" s="18">
        <v>2019</v>
      </c>
      <c r="I233" s="18" t="s">
        <v>483</v>
      </c>
      <c r="J233" s="18">
        <v>1</v>
      </c>
      <c r="K233" s="20" t="e">
        <f>-SUMIFS('TRA RESID'!$P:$P,'TRA RESID'!$H:$H,$E233,'TRA RESID'!$I:$I,$F233)/SUMIFS('TRA RESID'!$P:$P,'TRA RESID'!$I:$I,$F233)*O233</f>
        <v>#DIV/0!</v>
      </c>
      <c r="L233" s="18">
        <v>0</v>
      </c>
      <c r="M233" s="18">
        <v>5</v>
      </c>
      <c r="N233" s="9"/>
      <c r="O233" s="21">
        <v>0.98</v>
      </c>
      <c r="Q233" s="15" t="str">
        <f t="shared" si="60"/>
        <v>*</v>
      </c>
      <c r="R233" s="16"/>
      <c r="S233" s="17" t="str">
        <f t="shared" si="62"/>
        <v>TRARDS</v>
      </c>
      <c r="T233" s="17" t="str">
        <f t="shared" si="63"/>
        <v>TRAFRESSHDMD</v>
      </c>
      <c r="U233" s="17" t="str">
        <f t="shared" si="64"/>
        <v>TRAFRESSHDMD</v>
      </c>
      <c r="V233" s="18">
        <v>2019</v>
      </c>
      <c r="W233" s="18" t="s">
        <v>484</v>
      </c>
      <c r="X233" s="18">
        <v>1</v>
      </c>
      <c r="Y233" s="20" t="e">
        <f>-MIN(SUMIFS('TRA RESID'!$P:$P,'TRA RESID'!$H:$H,$E233,'TRA RESID'!$I:$I,$F233)/SUMIFS('TRA RESID'!$P:$P,'TRA RESID'!$I:$I,$F233)*AC233,1)</f>
        <v>#DIV/0!</v>
      </c>
      <c r="Z233" s="18">
        <v>0</v>
      </c>
      <c r="AA233" s="18">
        <v>5</v>
      </c>
      <c r="AB233" s="9"/>
      <c r="AC233" s="21">
        <v>1.02</v>
      </c>
    </row>
    <row r="234" spans="1:29" x14ac:dyDescent="0.25">
      <c r="A234" s="9">
        <f>A233</f>
        <v>58</v>
      </c>
      <c r="B234" s="9"/>
      <c r="C234" s="15" t="str">
        <f>IF(C233="*",C233,"")</f>
        <v>*</v>
      </c>
      <c r="D234" s="16"/>
      <c r="E234" s="17" t="str">
        <f t="shared" ref="E234:G236" si="73">E233</f>
        <v>TRARDS</v>
      </c>
      <c r="F234" s="17" t="str">
        <f t="shared" si="73"/>
        <v>TRAFRESSHDMD</v>
      </c>
      <c r="G234" s="17" t="str">
        <f t="shared" si="73"/>
        <v>TRAFRESSHDMD</v>
      </c>
      <c r="H234" s="18">
        <v>2025</v>
      </c>
      <c r="I234" s="18" t="str">
        <f>I233</f>
        <v>LO</v>
      </c>
      <c r="J234" s="18"/>
      <c r="K234" s="20" t="e">
        <f>-SUMIFS('TRA RESID'!$P:$P,'TRA RESID'!$H:$H,$E234,'TRA RESID'!$I:$I,$F234)/SUMIFS('TRA RESID'!$P:$P,'TRA RESID'!$I:$I,$F234)*O234</f>
        <v>#DIV/0!</v>
      </c>
      <c r="L234" s="18"/>
      <c r="M234" s="18"/>
      <c r="N234" s="9"/>
      <c r="O234" s="21">
        <v>0.8</v>
      </c>
      <c r="Q234" s="15" t="str">
        <f t="shared" si="60"/>
        <v>*</v>
      </c>
      <c r="R234" s="16"/>
      <c r="S234" s="17" t="str">
        <f t="shared" si="62"/>
        <v>TRARDS</v>
      </c>
      <c r="T234" s="17" t="str">
        <f t="shared" si="63"/>
        <v>TRAFRESSHDMD</v>
      </c>
      <c r="U234" s="17" t="str">
        <f t="shared" si="64"/>
        <v>TRAFRESSHDMD</v>
      </c>
      <c r="V234" s="18">
        <v>2025</v>
      </c>
      <c r="W234" s="18" t="str">
        <f>W233</f>
        <v>UP</v>
      </c>
      <c r="X234" s="18"/>
      <c r="Y234" s="20" t="e">
        <f>-MIN(SUMIFS('TRA RESID'!$P:$P,'TRA RESID'!$H:$H,$E234,'TRA RESID'!$I:$I,$F234)/SUMIFS('TRA RESID'!$P:$P,'TRA RESID'!$I:$I,$F234)*AC234,1)</f>
        <v>#DIV/0!</v>
      </c>
      <c r="Z234" s="18"/>
      <c r="AA234" s="18"/>
      <c r="AB234" s="9"/>
      <c r="AC234" s="21">
        <v>1.2</v>
      </c>
    </row>
    <row r="235" spans="1:29" x14ac:dyDescent="0.25">
      <c r="A235" s="9">
        <f>A234</f>
        <v>58</v>
      </c>
      <c r="B235" s="9"/>
      <c r="C235" s="15" t="str">
        <f>IF(C234="*",C234,"")</f>
        <v>*</v>
      </c>
      <c r="D235" s="16"/>
      <c r="E235" s="17" t="str">
        <f t="shared" si="73"/>
        <v>TRARDS</v>
      </c>
      <c r="F235" s="17" t="str">
        <f t="shared" si="73"/>
        <v>TRAFRESSHDMD</v>
      </c>
      <c r="G235" s="17" t="str">
        <f t="shared" si="73"/>
        <v>TRAFRESSHDMD</v>
      </c>
      <c r="H235" s="18">
        <v>2030</v>
      </c>
      <c r="I235" s="18" t="str">
        <f>I234</f>
        <v>LO</v>
      </c>
      <c r="J235" s="18"/>
      <c r="K235" s="20" t="e">
        <f>-SUMIFS('TRA RESID'!$P:$P,'TRA RESID'!$H:$H,$E235,'TRA RESID'!$I:$I,$F235)/SUMIFS('TRA RESID'!$P:$P,'TRA RESID'!$I:$I,$F235)*O235</f>
        <v>#DIV/0!</v>
      </c>
      <c r="L235" s="18"/>
      <c r="M235" s="18"/>
      <c r="N235" s="9"/>
      <c r="O235" s="21">
        <v>0.2</v>
      </c>
      <c r="Q235" s="15" t="str">
        <f t="shared" si="60"/>
        <v>*</v>
      </c>
      <c r="R235" s="16"/>
      <c r="S235" s="17" t="str">
        <f t="shared" si="62"/>
        <v>TRARDS</v>
      </c>
      <c r="T235" s="17" t="str">
        <f t="shared" si="63"/>
        <v>TRAFRESSHDMD</v>
      </c>
      <c r="U235" s="17" t="str">
        <f t="shared" si="64"/>
        <v>TRAFRESSHDMD</v>
      </c>
      <c r="V235" s="18">
        <v>2030</v>
      </c>
      <c r="W235" s="18" t="str">
        <f>W234</f>
        <v>UP</v>
      </c>
      <c r="X235" s="18"/>
      <c r="Y235" s="20" t="e">
        <f>-MIN(SUMIFS('TRA RESID'!$P:$P,'TRA RESID'!$H:$H,$E235,'TRA RESID'!$I:$I,$F235)/SUMIFS('TRA RESID'!$P:$P,'TRA RESID'!$I:$I,$F235)*AC235,1)</f>
        <v>#DIV/0!</v>
      </c>
      <c r="Z235" s="18"/>
      <c r="AA235" s="18"/>
      <c r="AB235" s="9"/>
      <c r="AC235" s="21">
        <v>1.5</v>
      </c>
    </row>
    <row r="236" spans="1:29" x14ac:dyDescent="0.25">
      <c r="A236" s="22">
        <f>A235</f>
        <v>58</v>
      </c>
      <c r="B236" s="22"/>
      <c r="C236" s="23" t="str">
        <f>IF(C235="*",C235,"")</f>
        <v>*</v>
      </c>
      <c r="D236" s="24"/>
      <c r="E236" s="25" t="str">
        <f t="shared" si="73"/>
        <v>TRARDS</v>
      </c>
      <c r="F236" s="25" t="str">
        <f t="shared" si="73"/>
        <v>TRAFRESSHDMD</v>
      </c>
      <c r="G236" s="25" t="str">
        <f t="shared" si="73"/>
        <v>TRAFRESSHDMD</v>
      </c>
      <c r="H236" s="26">
        <v>2050</v>
      </c>
      <c r="I236" s="26" t="str">
        <f>I235</f>
        <v>LO</v>
      </c>
      <c r="J236" s="26"/>
      <c r="K236" s="27" t="e">
        <f>-SUMIFS('TRA RESID'!$P:$P,'TRA RESID'!$H:$H,$E236,'TRA RESID'!$I:$I,$F236)/SUMIFS('TRA RESID'!$P:$P,'TRA RESID'!$I:$I,$F236)*O236</f>
        <v>#DIV/0!</v>
      </c>
      <c r="L236" s="26"/>
      <c r="M236" s="26"/>
      <c r="N236" s="22"/>
      <c r="O236" s="28">
        <v>0</v>
      </c>
      <c r="Q236" s="23" t="str">
        <f t="shared" si="60"/>
        <v>*</v>
      </c>
      <c r="R236" s="24"/>
      <c r="S236" s="25" t="str">
        <f t="shared" si="62"/>
        <v>TRARDS</v>
      </c>
      <c r="T236" s="25" t="str">
        <f t="shared" si="63"/>
        <v>TRAFRESSHDMD</v>
      </c>
      <c r="U236" s="25" t="str">
        <f t="shared" si="64"/>
        <v>TRAFRESSHDMD</v>
      </c>
      <c r="V236" s="26">
        <v>2050</v>
      </c>
      <c r="W236" s="26" t="str">
        <f>W235</f>
        <v>UP</v>
      </c>
      <c r="X236" s="26"/>
      <c r="Y236" s="27" t="e">
        <f>-MIN(SUMIFS('TRA RESID'!$P:$P,'TRA RESID'!$H:$H,$E236,'TRA RESID'!$I:$I,$F236)/SUMIFS('TRA RESID'!$P:$P,'TRA RESID'!$I:$I,$F236)*AC236,1)</f>
        <v>#DIV/0!</v>
      </c>
      <c r="Z236" s="26"/>
      <c r="AA236" s="26"/>
      <c r="AB236" s="22"/>
      <c r="AC236" s="28">
        <v>3</v>
      </c>
    </row>
    <row r="237" spans="1:29" x14ac:dyDescent="0.25">
      <c r="A237" s="14">
        <f>A233+1</f>
        <v>59</v>
      </c>
      <c r="B237" s="9"/>
      <c r="C237" s="15" t="str">
        <f>IF(E237="","",IF(_xlfn.XLOOKUP($A237,Selected_constraint!$A:$A,Selected_constraint!$D:$D)=1,"*",IF(SUMIFS('TRA TECH'!$M:$M,'TRA TECH'!$H:$H,E237,'TRA TECH'!$I:$I,F237)=0,"*",IF(SUMIFS('TRA RESID'!$P:$P,'TRA RESID'!$H:$H,$E237,'TRA RESID'!$I:$I,$F237)=0,"*","UC_MarketShare_"&amp;LEFT(F237,LEN(F237)-3)&amp;"_"&amp;RIGHT(E237,3)&amp;"_MIN"))))</f>
        <v>*</v>
      </c>
      <c r="D237" s="16"/>
      <c r="E237" s="17" t="str">
        <f>_xlfn.XLOOKUP($A237,Selected_constraint!$A:$A,Selected_constraint!$B:$B)</f>
        <v>TRABDS</v>
      </c>
      <c r="F237" s="17" t="str">
        <f>_xlfn.XLOOKUP($A237,Selected_constraint!$A:$A,Selected_constraint!$C:$C)</f>
        <v>TRAFRESSHDMD</v>
      </c>
      <c r="G237" s="17" t="str">
        <f>F237</f>
        <v>TRAFRESSHDMD</v>
      </c>
      <c r="H237" s="18">
        <v>2019</v>
      </c>
      <c r="I237" s="18" t="s">
        <v>483</v>
      </c>
      <c r="J237" s="18">
        <v>1</v>
      </c>
      <c r="K237" s="20" t="e">
        <f>-SUMIFS('TRA RESID'!$P:$P,'TRA RESID'!$H:$H,$E237,'TRA RESID'!$I:$I,$F237)/SUMIFS('TRA RESID'!$P:$P,'TRA RESID'!$I:$I,$F237)*O237</f>
        <v>#DIV/0!</v>
      </c>
      <c r="L237" s="18">
        <v>0</v>
      </c>
      <c r="M237" s="18">
        <v>5</v>
      </c>
      <c r="N237" s="9"/>
      <c r="O237" s="21">
        <v>0.98</v>
      </c>
      <c r="Q237" s="15" t="str">
        <f t="shared" si="60"/>
        <v>*</v>
      </c>
      <c r="R237" s="16"/>
      <c r="S237" s="17" t="str">
        <f t="shared" si="62"/>
        <v>TRABDS</v>
      </c>
      <c r="T237" s="17" t="str">
        <f t="shared" si="63"/>
        <v>TRAFRESSHDMD</v>
      </c>
      <c r="U237" s="17" t="str">
        <f t="shared" si="64"/>
        <v>TRAFRESSHDMD</v>
      </c>
      <c r="V237" s="18">
        <v>2019</v>
      </c>
      <c r="W237" s="18" t="s">
        <v>484</v>
      </c>
      <c r="X237" s="18">
        <v>1</v>
      </c>
      <c r="Y237" s="20" t="e">
        <f>-MIN(SUMIFS('TRA RESID'!$P:$P,'TRA RESID'!$H:$H,$E237,'TRA RESID'!$I:$I,$F237)/SUMIFS('TRA RESID'!$P:$P,'TRA RESID'!$I:$I,$F237)*AC237,1)</f>
        <v>#DIV/0!</v>
      </c>
      <c r="Z237" s="18">
        <v>0</v>
      </c>
      <c r="AA237" s="18">
        <v>5</v>
      </c>
      <c r="AB237" s="9"/>
      <c r="AC237" s="21">
        <v>1.02</v>
      </c>
    </row>
    <row r="238" spans="1:29" x14ac:dyDescent="0.25">
      <c r="A238" s="9">
        <f>A237</f>
        <v>59</v>
      </c>
      <c r="B238" s="9"/>
      <c r="C238" s="15" t="str">
        <f>IF(C237="*",C237,"")</f>
        <v>*</v>
      </c>
      <c r="D238" s="16"/>
      <c r="E238" s="17" t="str">
        <f t="shared" ref="E238:G240" si="74">E237</f>
        <v>TRABDS</v>
      </c>
      <c r="F238" s="17" t="str">
        <f t="shared" si="74"/>
        <v>TRAFRESSHDMD</v>
      </c>
      <c r="G238" s="17" t="str">
        <f t="shared" si="74"/>
        <v>TRAFRESSHDMD</v>
      </c>
      <c r="H238" s="18">
        <v>2025</v>
      </c>
      <c r="I238" s="18" t="str">
        <f>I237</f>
        <v>LO</v>
      </c>
      <c r="J238" s="18"/>
      <c r="K238" s="20" t="e">
        <f>-SUMIFS('TRA RESID'!$P:$P,'TRA RESID'!$H:$H,$E238,'TRA RESID'!$I:$I,$F238)/SUMIFS('TRA RESID'!$P:$P,'TRA RESID'!$I:$I,$F238)*O238</f>
        <v>#DIV/0!</v>
      </c>
      <c r="L238" s="18"/>
      <c r="M238" s="18"/>
      <c r="N238" s="9"/>
      <c r="O238" s="21">
        <v>0.8</v>
      </c>
      <c r="Q238" s="15" t="str">
        <f t="shared" si="60"/>
        <v>*</v>
      </c>
      <c r="R238" s="16"/>
      <c r="S238" s="17" t="str">
        <f t="shared" si="62"/>
        <v>TRABDS</v>
      </c>
      <c r="T238" s="17" t="str">
        <f t="shared" si="63"/>
        <v>TRAFRESSHDMD</v>
      </c>
      <c r="U238" s="17" t="str">
        <f t="shared" si="64"/>
        <v>TRAFRESSHDMD</v>
      </c>
      <c r="V238" s="18">
        <v>2025</v>
      </c>
      <c r="W238" s="18" t="str">
        <f>W237</f>
        <v>UP</v>
      </c>
      <c r="X238" s="18"/>
      <c r="Y238" s="20" t="e">
        <f>-MIN(SUMIFS('TRA RESID'!$P:$P,'TRA RESID'!$H:$H,$E238,'TRA RESID'!$I:$I,$F238)/SUMIFS('TRA RESID'!$P:$P,'TRA RESID'!$I:$I,$F238)*AC238,1)</f>
        <v>#DIV/0!</v>
      </c>
      <c r="Z238" s="18"/>
      <c r="AA238" s="18"/>
      <c r="AB238" s="9"/>
      <c r="AC238" s="21">
        <v>1.2</v>
      </c>
    </row>
    <row r="239" spans="1:29" x14ac:dyDescent="0.25">
      <c r="A239" s="9">
        <f>A238</f>
        <v>59</v>
      </c>
      <c r="B239" s="9"/>
      <c r="C239" s="15" t="str">
        <f>IF(C238="*",C238,"")</f>
        <v>*</v>
      </c>
      <c r="D239" s="16"/>
      <c r="E239" s="17" t="str">
        <f t="shared" si="74"/>
        <v>TRABDS</v>
      </c>
      <c r="F239" s="17" t="str">
        <f t="shared" si="74"/>
        <v>TRAFRESSHDMD</v>
      </c>
      <c r="G239" s="17" t="str">
        <f t="shared" si="74"/>
        <v>TRAFRESSHDMD</v>
      </c>
      <c r="H239" s="18">
        <v>2030</v>
      </c>
      <c r="I239" s="18" t="str">
        <f>I238</f>
        <v>LO</v>
      </c>
      <c r="J239" s="18"/>
      <c r="K239" s="20" t="e">
        <f>-SUMIFS('TRA RESID'!$P:$P,'TRA RESID'!$H:$H,$E239,'TRA RESID'!$I:$I,$F239)/SUMIFS('TRA RESID'!$P:$P,'TRA RESID'!$I:$I,$F239)*O239</f>
        <v>#DIV/0!</v>
      </c>
      <c r="L239" s="18"/>
      <c r="M239" s="18"/>
      <c r="N239" s="9"/>
      <c r="O239" s="21">
        <v>0.2</v>
      </c>
      <c r="Q239" s="15" t="str">
        <f t="shared" si="60"/>
        <v>*</v>
      </c>
      <c r="R239" s="16"/>
      <c r="S239" s="17" t="str">
        <f t="shared" si="62"/>
        <v>TRABDS</v>
      </c>
      <c r="T239" s="17" t="str">
        <f t="shared" si="63"/>
        <v>TRAFRESSHDMD</v>
      </c>
      <c r="U239" s="17" t="str">
        <f t="shared" si="64"/>
        <v>TRAFRESSHDMD</v>
      </c>
      <c r="V239" s="18">
        <v>2030</v>
      </c>
      <c r="W239" s="18" t="str">
        <f>W238</f>
        <v>UP</v>
      </c>
      <c r="X239" s="18"/>
      <c r="Y239" s="20" t="e">
        <f>-MIN(SUMIFS('TRA RESID'!$P:$P,'TRA RESID'!$H:$H,$E239,'TRA RESID'!$I:$I,$F239)/SUMIFS('TRA RESID'!$P:$P,'TRA RESID'!$I:$I,$F239)*AC239,1)</f>
        <v>#DIV/0!</v>
      </c>
      <c r="Z239" s="18"/>
      <c r="AA239" s="18"/>
      <c r="AB239" s="9"/>
      <c r="AC239" s="21">
        <v>1.5</v>
      </c>
    </row>
    <row r="240" spans="1:29" x14ac:dyDescent="0.25">
      <c r="A240" s="22">
        <f>A239</f>
        <v>59</v>
      </c>
      <c r="B240" s="22"/>
      <c r="C240" s="23" t="str">
        <f>IF(C239="*",C239,"")</f>
        <v>*</v>
      </c>
      <c r="D240" s="24"/>
      <c r="E240" s="25" t="str">
        <f t="shared" si="74"/>
        <v>TRABDS</v>
      </c>
      <c r="F240" s="25" t="str">
        <f t="shared" si="74"/>
        <v>TRAFRESSHDMD</v>
      </c>
      <c r="G240" s="25" t="str">
        <f t="shared" si="74"/>
        <v>TRAFRESSHDMD</v>
      </c>
      <c r="H240" s="26">
        <v>2050</v>
      </c>
      <c r="I240" s="26" t="str">
        <f>I239</f>
        <v>LO</v>
      </c>
      <c r="J240" s="26"/>
      <c r="K240" s="27" t="e">
        <f>-SUMIFS('TRA RESID'!$P:$P,'TRA RESID'!$H:$H,$E240,'TRA RESID'!$I:$I,$F240)/SUMIFS('TRA RESID'!$P:$P,'TRA RESID'!$I:$I,$F240)*O240</f>
        <v>#DIV/0!</v>
      </c>
      <c r="L240" s="26"/>
      <c r="M240" s="26"/>
      <c r="N240" s="22"/>
      <c r="O240" s="28">
        <v>0</v>
      </c>
      <c r="Q240" s="23" t="str">
        <f t="shared" si="60"/>
        <v>*</v>
      </c>
      <c r="R240" s="24"/>
      <c r="S240" s="25" t="str">
        <f t="shared" si="62"/>
        <v>TRABDS</v>
      </c>
      <c r="T240" s="25" t="str">
        <f t="shared" si="63"/>
        <v>TRAFRESSHDMD</v>
      </c>
      <c r="U240" s="25" t="str">
        <f t="shared" si="64"/>
        <v>TRAFRESSHDMD</v>
      </c>
      <c r="V240" s="26">
        <v>2050</v>
      </c>
      <c r="W240" s="26" t="str">
        <f>W239</f>
        <v>UP</v>
      </c>
      <c r="X240" s="26"/>
      <c r="Y240" s="27" t="e">
        <f>-MIN(SUMIFS('TRA RESID'!$P:$P,'TRA RESID'!$H:$H,$E240,'TRA RESID'!$I:$I,$F240)/SUMIFS('TRA RESID'!$P:$P,'TRA RESID'!$I:$I,$F240)*AC240,1)</f>
        <v>#DIV/0!</v>
      </c>
      <c r="Z240" s="26"/>
      <c r="AA240" s="26"/>
      <c r="AB240" s="22"/>
      <c r="AC240" s="28">
        <v>3</v>
      </c>
    </row>
    <row r="241" spans="1:29" x14ac:dyDescent="0.25">
      <c r="A241" s="14">
        <f>A237+1</f>
        <v>60</v>
      </c>
      <c r="B241" s="9"/>
      <c r="C241" s="15" t="str">
        <f>IF(E241="","",IF(_xlfn.XLOOKUP($A241,Selected_constraint!$A:$A,Selected_constraint!$D:$D)=1,"*",IF(SUMIFS('TRA TECH'!$M:$M,'TRA TECH'!$H:$H,E241,'TRA TECH'!$I:$I,F241)=0,"*",IF(SUMIFS('TRA RESID'!$P:$P,'TRA RESID'!$H:$H,$E241,'TRA RESID'!$I:$I,$F241)=0,"*","UC_MarketShare_"&amp;LEFT(F241,LEN(F241)-3)&amp;"_"&amp;RIGHT(E241,3)&amp;"_MIN"))))</f>
        <v>*</v>
      </c>
      <c r="D241" s="16"/>
      <c r="E241" s="17" t="str">
        <f>_xlfn.XLOOKUP($A241,Selected_constraint!$A:$A,Selected_constraint!$B:$B)</f>
        <v>TRACNG</v>
      </c>
      <c r="F241" s="17" t="str">
        <f>_xlfn.XLOOKUP($A241,Selected_constraint!$A:$A,Selected_constraint!$C:$C)</f>
        <v>TRAFRESSHDMD</v>
      </c>
      <c r="G241" s="17" t="str">
        <f>F241</f>
        <v>TRAFRESSHDMD</v>
      </c>
      <c r="H241" s="18">
        <v>2019</v>
      </c>
      <c r="I241" s="18" t="s">
        <v>483</v>
      </c>
      <c r="J241" s="18">
        <v>1</v>
      </c>
      <c r="K241" s="20" t="e">
        <f>-SUMIFS('TRA RESID'!$P:$P,'TRA RESID'!$H:$H,$E241,'TRA RESID'!$I:$I,$F241)/SUMIFS('TRA RESID'!$P:$P,'TRA RESID'!$I:$I,$F241)*O241</f>
        <v>#DIV/0!</v>
      </c>
      <c r="L241" s="18">
        <v>0</v>
      </c>
      <c r="M241" s="18">
        <v>5</v>
      </c>
      <c r="N241" s="9"/>
      <c r="O241" s="21">
        <v>0.98</v>
      </c>
      <c r="Q241" s="15" t="str">
        <f t="shared" si="60"/>
        <v>*</v>
      </c>
      <c r="R241" s="16"/>
      <c r="S241" s="17" t="str">
        <f t="shared" si="62"/>
        <v>TRACNG</v>
      </c>
      <c r="T241" s="17" t="str">
        <f t="shared" si="63"/>
        <v>TRAFRESSHDMD</v>
      </c>
      <c r="U241" s="17" t="str">
        <f t="shared" si="64"/>
        <v>TRAFRESSHDMD</v>
      </c>
      <c r="V241" s="18">
        <v>2019</v>
      </c>
      <c r="W241" s="18" t="s">
        <v>484</v>
      </c>
      <c r="X241" s="18">
        <v>1</v>
      </c>
      <c r="Y241" s="20" t="e">
        <f>-MIN(SUMIFS('TRA RESID'!$P:$P,'TRA RESID'!$H:$H,$E241,'TRA RESID'!$I:$I,$F241)/SUMIFS('TRA RESID'!$P:$P,'TRA RESID'!$I:$I,$F241)*AC241,1)</f>
        <v>#DIV/0!</v>
      </c>
      <c r="Z241" s="18">
        <v>0</v>
      </c>
      <c r="AA241" s="18">
        <v>5</v>
      </c>
      <c r="AB241" s="9"/>
      <c r="AC241" s="21">
        <v>1.02</v>
      </c>
    </row>
    <row r="242" spans="1:29" x14ac:dyDescent="0.25">
      <c r="A242" s="9">
        <f>A241</f>
        <v>60</v>
      </c>
      <c r="B242" s="9"/>
      <c r="C242" s="15" t="str">
        <f>IF(C241="*",C241,"")</f>
        <v>*</v>
      </c>
      <c r="D242" s="16"/>
      <c r="E242" s="17" t="str">
        <f t="shared" ref="E242:G244" si="75">E241</f>
        <v>TRACNG</v>
      </c>
      <c r="F242" s="17" t="str">
        <f t="shared" si="75"/>
        <v>TRAFRESSHDMD</v>
      </c>
      <c r="G242" s="17" t="str">
        <f t="shared" si="75"/>
        <v>TRAFRESSHDMD</v>
      </c>
      <c r="H242" s="18">
        <v>2025</v>
      </c>
      <c r="I242" s="18" t="str">
        <f>I241</f>
        <v>LO</v>
      </c>
      <c r="J242" s="18"/>
      <c r="K242" s="20" t="e">
        <f>-SUMIFS('TRA RESID'!$P:$P,'TRA RESID'!$H:$H,$E242,'TRA RESID'!$I:$I,$F242)/SUMIFS('TRA RESID'!$P:$P,'TRA RESID'!$I:$I,$F242)*O242</f>
        <v>#DIV/0!</v>
      </c>
      <c r="L242" s="18"/>
      <c r="M242" s="18"/>
      <c r="N242" s="9"/>
      <c r="O242" s="21">
        <v>0.8</v>
      </c>
      <c r="Q242" s="15" t="str">
        <f t="shared" si="60"/>
        <v>*</v>
      </c>
      <c r="R242" s="16"/>
      <c r="S242" s="17" t="str">
        <f t="shared" si="62"/>
        <v>TRACNG</v>
      </c>
      <c r="T242" s="17" t="str">
        <f t="shared" si="63"/>
        <v>TRAFRESSHDMD</v>
      </c>
      <c r="U242" s="17" t="str">
        <f t="shared" si="64"/>
        <v>TRAFRESSHDMD</v>
      </c>
      <c r="V242" s="18">
        <v>2025</v>
      </c>
      <c r="W242" s="18" t="str">
        <f>W241</f>
        <v>UP</v>
      </c>
      <c r="X242" s="18"/>
      <c r="Y242" s="20" t="e">
        <f>-MIN(SUMIFS('TRA RESID'!$P:$P,'TRA RESID'!$H:$H,$E242,'TRA RESID'!$I:$I,$F242)/SUMIFS('TRA RESID'!$P:$P,'TRA RESID'!$I:$I,$F242)*AC242,1)</f>
        <v>#DIV/0!</v>
      </c>
      <c r="Z242" s="18"/>
      <c r="AA242" s="18"/>
      <c r="AB242" s="9"/>
      <c r="AC242" s="21">
        <v>1.2</v>
      </c>
    </row>
    <row r="243" spans="1:29" x14ac:dyDescent="0.25">
      <c r="A243" s="9">
        <f>A242</f>
        <v>60</v>
      </c>
      <c r="B243" s="9"/>
      <c r="C243" s="15" t="str">
        <f>IF(C242="*",C242,"")</f>
        <v>*</v>
      </c>
      <c r="D243" s="16"/>
      <c r="E243" s="17" t="str">
        <f t="shared" si="75"/>
        <v>TRACNG</v>
      </c>
      <c r="F243" s="17" t="str">
        <f t="shared" si="75"/>
        <v>TRAFRESSHDMD</v>
      </c>
      <c r="G243" s="17" t="str">
        <f t="shared" si="75"/>
        <v>TRAFRESSHDMD</v>
      </c>
      <c r="H243" s="18">
        <v>2030</v>
      </c>
      <c r="I243" s="18" t="str">
        <f>I242</f>
        <v>LO</v>
      </c>
      <c r="J243" s="18"/>
      <c r="K243" s="20" t="e">
        <f>-SUMIFS('TRA RESID'!$P:$P,'TRA RESID'!$H:$H,$E243,'TRA RESID'!$I:$I,$F243)/SUMIFS('TRA RESID'!$P:$P,'TRA RESID'!$I:$I,$F243)*O243</f>
        <v>#DIV/0!</v>
      </c>
      <c r="L243" s="18"/>
      <c r="M243" s="18"/>
      <c r="N243" s="9"/>
      <c r="O243" s="21">
        <v>0.2</v>
      </c>
      <c r="Q243" s="15" t="str">
        <f t="shared" si="60"/>
        <v>*</v>
      </c>
      <c r="R243" s="16"/>
      <c r="S243" s="17" t="str">
        <f t="shared" si="62"/>
        <v>TRACNG</v>
      </c>
      <c r="T243" s="17" t="str">
        <f t="shared" si="63"/>
        <v>TRAFRESSHDMD</v>
      </c>
      <c r="U243" s="17" t="str">
        <f t="shared" si="64"/>
        <v>TRAFRESSHDMD</v>
      </c>
      <c r="V243" s="18">
        <v>2030</v>
      </c>
      <c r="W243" s="18" t="str">
        <f>W242</f>
        <v>UP</v>
      </c>
      <c r="X243" s="18"/>
      <c r="Y243" s="20" t="e">
        <f>-MIN(SUMIFS('TRA RESID'!$P:$P,'TRA RESID'!$H:$H,$E243,'TRA RESID'!$I:$I,$F243)/SUMIFS('TRA RESID'!$P:$P,'TRA RESID'!$I:$I,$F243)*AC243,1)</f>
        <v>#DIV/0!</v>
      </c>
      <c r="Z243" s="18"/>
      <c r="AA243" s="18"/>
      <c r="AB243" s="9"/>
      <c r="AC243" s="21">
        <v>1.5</v>
      </c>
    </row>
    <row r="244" spans="1:29" x14ac:dyDescent="0.25">
      <c r="A244" s="22">
        <f>A243</f>
        <v>60</v>
      </c>
      <c r="B244" s="22"/>
      <c r="C244" s="23" t="str">
        <f>IF(C243="*",C243,"")</f>
        <v>*</v>
      </c>
      <c r="D244" s="24"/>
      <c r="E244" s="25" t="str">
        <f t="shared" si="75"/>
        <v>TRACNG</v>
      </c>
      <c r="F244" s="25" t="str">
        <f t="shared" si="75"/>
        <v>TRAFRESSHDMD</v>
      </c>
      <c r="G244" s="25" t="str">
        <f t="shared" si="75"/>
        <v>TRAFRESSHDMD</v>
      </c>
      <c r="H244" s="26">
        <v>2050</v>
      </c>
      <c r="I244" s="26" t="str">
        <f>I243</f>
        <v>LO</v>
      </c>
      <c r="J244" s="26"/>
      <c r="K244" s="27" t="e">
        <f>-SUMIFS('TRA RESID'!$P:$P,'TRA RESID'!$H:$H,$E244,'TRA RESID'!$I:$I,$F244)/SUMIFS('TRA RESID'!$P:$P,'TRA RESID'!$I:$I,$F244)*O244</f>
        <v>#DIV/0!</v>
      </c>
      <c r="L244" s="26"/>
      <c r="M244" s="26"/>
      <c r="N244" s="22"/>
      <c r="O244" s="28">
        <v>0</v>
      </c>
      <c r="Q244" s="23" t="str">
        <f t="shared" si="60"/>
        <v>*</v>
      </c>
      <c r="R244" s="24"/>
      <c r="S244" s="25" t="str">
        <f t="shared" si="62"/>
        <v>TRACNG</v>
      </c>
      <c r="T244" s="25" t="str">
        <f t="shared" si="63"/>
        <v>TRAFRESSHDMD</v>
      </c>
      <c r="U244" s="25" t="str">
        <f t="shared" si="64"/>
        <v>TRAFRESSHDMD</v>
      </c>
      <c r="V244" s="26">
        <v>2050</v>
      </c>
      <c r="W244" s="26" t="str">
        <f>W243</f>
        <v>UP</v>
      </c>
      <c r="X244" s="26"/>
      <c r="Y244" s="27" t="e">
        <f>-MIN(SUMIFS('TRA RESID'!$P:$P,'TRA RESID'!$H:$H,$E244,'TRA RESID'!$I:$I,$F244)/SUMIFS('TRA RESID'!$P:$P,'TRA RESID'!$I:$I,$F244)*AC244,1)</f>
        <v>#DIV/0!</v>
      </c>
      <c r="Z244" s="26"/>
      <c r="AA244" s="26"/>
      <c r="AB244" s="22"/>
      <c r="AC244" s="28">
        <v>3</v>
      </c>
    </row>
    <row r="245" spans="1:29" x14ac:dyDescent="0.25">
      <c r="A245" s="14">
        <f>A241+1</f>
        <v>61</v>
      </c>
      <c r="B245" s="9"/>
      <c r="C245" s="15" t="str">
        <f>IF(E245="","",IF(_xlfn.XLOOKUP($A245,Selected_constraint!$A:$A,Selected_constraint!$D:$D)=1,"*",IF(SUMIFS('TRA TECH'!$M:$M,'TRA TECH'!$H:$H,E245,'TRA TECH'!$I:$I,F245)=0,"*",IF(SUMIFS('TRA RESID'!$P:$P,'TRA RESID'!$H:$H,$E245,'TRA RESID'!$I:$I,$F245)=0,"*","UC_MarketShare_"&amp;LEFT(F245,LEN(F245)-3)&amp;"_"&amp;RIGHT(E245,3)&amp;"_MIN"))))</f>
        <v>*</v>
      </c>
      <c r="D245" s="16"/>
      <c r="E245" s="17" t="str">
        <f>_xlfn.XLOOKUP($A245,Selected_constraint!$A:$A,Selected_constraint!$B:$B)</f>
        <v>TRARNG</v>
      </c>
      <c r="F245" s="17" t="str">
        <f>_xlfn.XLOOKUP($A245,Selected_constraint!$A:$A,Selected_constraint!$C:$C)</f>
        <v>TRAFRESSHDMD</v>
      </c>
      <c r="G245" s="17" t="str">
        <f>F245</f>
        <v>TRAFRESSHDMD</v>
      </c>
      <c r="H245" s="18">
        <v>2019</v>
      </c>
      <c r="I245" s="18" t="s">
        <v>483</v>
      </c>
      <c r="J245" s="18">
        <v>1</v>
      </c>
      <c r="K245" s="20" t="e">
        <f>-SUMIFS('TRA RESID'!$P:$P,'TRA RESID'!$H:$H,$E245,'TRA RESID'!$I:$I,$F245)/SUMIFS('TRA RESID'!$P:$P,'TRA RESID'!$I:$I,$F245)*O245</f>
        <v>#DIV/0!</v>
      </c>
      <c r="L245" s="18">
        <v>0</v>
      </c>
      <c r="M245" s="18">
        <v>5</v>
      </c>
      <c r="N245" s="9"/>
      <c r="O245" s="21">
        <v>0.98</v>
      </c>
      <c r="Q245" s="15" t="str">
        <f t="shared" si="60"/>
        <v>*</v>
      </c>
      <c r="R245" s="16"/>
      <c r="S245" s="17" t="str">
        <f t="shared" si="62"/>
        <v>TRARNG</v>
      </c>
      <c r="T245" s="17" t="str">
        <f t="shared" si="63"/>
        <v>TRAFRESSHDMD</v>
      </c>
      <c r="U245" s="17" t="str">
        <f t="shared" si="64"/>
        <v>TRAFRESSHDMD</v>
      </c>
      <c r="V245" s="18">
        <v>2019</v>
      </c>
      <c r="W245" s="18" t="s">
        <v>484</v>
      </c>
      <c r="X245" s="18">
        <v>1</v>
      </c>
      <c r="Y245" s="20" t="e">
        <f>-MIN(SUMIFS('TRA RESID'!$P:$P,'TRA RESID'!$H:$H,$E245,'TRA RESID'!$I:$I,$F245)/SUMIFS('TRA RESID'!$P:$P,'TRA RESID'!$I:$I,$F245)*AC245,1)</f>
        <v>#DIV/0!</v>
      </c>
      <c r="Z245" s="18">
        <v>0</v>
      </c>
      <c r="AA245" s="18">
        <v>5</v>
      </c>
      <c r="AB245" s="9"/>
      <c r="AC245" s="21">
        <v>1.02</v>
      </c>
    </row>
    <row r="246" spans="1:29" x14ac:dyDescent="0.25">
      <c r="A246" s="9">
        <f>A245</f>
        <v>61</v>
      </c>
      <c r="B246" s="9"/>
      <c r="C246" s="15" t="str">
        <f>IF(C245="*",C245,"")</f>
        <v>*</v>
      </c>
      <c r="D246" s="16"/>
      <c r="E246" s="17" t="str">
        <f t="shared" ref="E246:G248" si="76">E245</f>
        <v>TRARNG</v>
      </c>
      <c r="F246" s="17" t="str">
        <f t="shared" si="76"/>
        <v>TRAFRESSHDMD</v>
      </c>
      <c r="G246" s="17" t="str">
        <f t="shared" si="76"/>
        <v>TRAFRESSHDMD</v>
      </c>
      <c r="H246" s="18">
        <v>2025</v>
      </c>
      <c r="I246" s="18" t="str">
        <f>I245</f>
        <v>LO</v>
      </c>
      <c r="J246" s="18"/>
      <c r="K246" s="20" t="e">
        <f>-SUMIFS('TRA RESID'!$P:$P,'TRA RESID'!$H:$H,$E246,'TRA RESID'!$I:$I,$F246)/SUMIFS('TRA RESID'!$P:$P,'TRA RESID'!$I:$I,$F246)*O246</f>
        <v>#DIV/0!</v>
      </c>
      <c r="L246" s="18"/>
      <c r="M246" s="18"/>
      <c r="N246" s="9"/>
      <c r="O246" s="21">
        <v>0.8</v>
      </c>
      <c r="Q246" s="15" t="str">
        <f t="shared" si="60"/>
        <v>*</v>
      </c>
      <c r="R246" s="16"/>
      <c r="S246" s="17" t="str">
        <f t="shared" si="62"/>
        <v>TRARNG</v>
      </c>
      <c r="T246" s="17" t="str">
        <f t="shared" si="63"/>
        <v>TRAFRESSHDMD</v>
      </c>
      <c r="U246" s="17" t="str">
        <f t="shared" si="64"/>
        <v>TRAFRESSHDMD</v>
      </c>
      <c r="V246" s="18">
        <v>2025</v>
      </c>
      <c r="W246" s="18" t="str">
        <f>W245</f>
        <v>UP</v>
      </c>
      <c r="X246" s="18"/>
      <c r="Y246" s="20" t="e">
        <f>-MIN(SUMIFS('TRA RESID'!$P:$P,'TRA RESID'!$H:$H,$E246,'TRA RESID'!$I:$I,$F246)/SUMIFS('TRA RESID'!$P:$P,'TRA RESID'!$I:$I,$F246)*AC246,1)</f>
        <v>#DIV/0!</v>
      </c>
      <c r="Z246" s="18"/>
      <c r="AA246" s="18"/>
      <c r="AB246" s="9"/>
      <c r="AC246" s="21">
        <v>1.2</v>
      </c>
    </row>
    <row r="247" spans="1:29" x14ac:dyDescent="0.25">
      <c r="A247" s="9">
        <f>A246</f>
        <v>61</v>
      </c>
      <c r="B247" s="9"/>
      <c r="C247" s="15" t="str">
        <f>IF(C246="*",C246,"")</f>
        <v>*</v>
      </c>
      <c r="D247" s="16"/>
      <c r="E247" s="17" t="str">
        <f t="shared" si="76"/>
        <v>TRARNG</v>
      </c>
      <c r="F247" s="17" t="str">
        <f t="shared" si="76"/>
        <v>TRAFRESSHDMD</v>
      </c>
      <c r="G247" s="17" t="str">
        <f t="shared" si="76"/>
        <v>TRAFRESSHDMD</v>
      </c>
      <c r="H247" s="18">
        <v>2030</v>
      </c>
      <c r="I247" s="18" t="str">
        <f>I246</f>
        <v>LO</v>
      </c>
      <c r="J247" s="18"/>
      <c r="K247" s="20" t="e">
        <f>-SUMIFS('TRA RESID'!$P:$P,'TRA RESID'!$H:$H,$E247,'TRA RESID'!$I:$I,$F247)/SUMIFS('TRA RESID'!$P:$P,'TRA RESID'!$I:$I,$F247)*O247</f>
        <v>#DIV/0!</v>
      </c>
      <c r="L247" s="18"/>
      <c r="M247" s="18"/>
      <c r="N247" s="9"/>
      <c r="O247" s="21">
        <v>0.2</v>
      </c>
      <c r="Q247" s="15" t="str">
        <f t="shared" si="60"/>
        <v>*</v>
      </c>
      <c r="R247" s="16"/>
      <c r="S247" s="17" t="str">
        <f t="shared" si="62"/>
        <v>TRARNG</v>
      </c>
      <c r="T247" s="17" t="str">
        <f t="shared" si="63"/>
        <v>TRAFRESSHDMD</v>
      </c>
      <c r="U247" s="17" t="str">
        <f t="shared" si="64"/>
        <v>TRAFRESSHDMD</v>
      </c>
      <c r="V247" s="18">
        <v>2030</v>
      </c>
      <c r="W247" s="18" t="str">
        <f>W246</f>
        <v>UP</v>
      </c>
      <c r="X247" s="18"/>
      <c r="Y247" s="20" t="e">
        <f>-MIN(SUMIFS('TRA RESID'!$P:$P,'TRA RESID'!$H:$H,$E247,'TRA RESID'!$I:$I,$F247)/SUMIFS('TRA RESID'!$P:$P,'TRA RESID'!$I:$I,$F247)*AC247,1)</f>
        <v>#DIV/0!</v>
      </c>
      <c r="Z247" s="18"/>
      <c r="AA247" s="18"/>
      <c r="AB247" s="9"/>
      <c r="AC247" s="21">
        <v>1.5</v>
      </c>
    </row>
    <row r="248" spans="1:29" x14ac:dyDescent="0.25">
      <c r="A248" s="22">
        <f>A247</f>
        <v>61</v>
      </c>
      <c r="B248" s="22"/>
      <c r="C248" s="23" t="str">
        <f>IF(C247="*",C247,"")</f>
        <v>*</v>
      </c>
      <c r="D248" s="24"/>
      <c r="E248" s="25" t="str">
        <f t="shared" si="76"/>
        <v>TRARNG</v>
      </c>
      <c r="F248" s="25" t="str">
        <f t="shared" si="76"/>
        <v>TRAFRESSHDMD</v>
      </c>
      <c r="G248" s="25" t="str">
        <f t="shared" si="76"/>
        <v>TRAFRESSHDMD</v>
      </c>
      <c r="H248" s="26">
        <v>2050</v>
      </c>
      <c r="I248" s="26" t="str">
        <f>I247</f>
        <v>LO</v>
      </c>
      <c r="J248" s="26"/>
      <c r="K248" s="27" t="e">
        <f>-SUMIFS('TRA RESID'!$P:$P,'TRA RESID'!$H:$H,$E248,'TRA RESID'!$I:$I,$F248)/SUMIFS('TRA RESID'!$P:$P,'TRA RESID'!$I:$I,$F248)*O248</f>
        <v>#DIV/0!</v>
      </c>
      <c r="L248" s="26"/>
      <c r="M248" s="26"/>
      <c r="N248" s="22"/>
      <c r="O248" s="28">
        <v>0</v>
      </c>
      <c r="Q248" s="23" t="str">
        <f t="shared" si="60"/>
        <v>*</v>
      </c>
      <c r="R248" s="24"/>
      <c r="S248" s="25" t="str">
        <f t="shared" si="62"/>
        <v>TRARNG</v>
      </c>
      <c r="T248" s="25" t="str">
        <f t="shared" si="63"/>
        <v>TRAFRESSHDMD</v>
      </c>
      <c r="U248" s="25" t="str">
        <f t="shared" si="64"/>
        <v>TRAFRESSHDMD</v>
      </c>
      <c r="V248" s="26">
        <v>2050</v>
      </c>
      <c r="W248" s="26" t="str">
        <f>W247</f>
        <v>UP</v>
      </c>
      <c r="X248" s="26"/>
      <c r="Y248" s="27" t="e">
        <f>-MIN(SUMIFS('TRA RESID'!$P:$P,'TRA RESID'!$H:$H,$E248,'TRA RESID'!$I:$I,$F248)/SUMIFS('TRA RESID'!$P:$P,'TRA RESID'!$I:$I,$F248)*AC248,1)</f>
        <v>#DIV/0!</v>
      </c>
      <c r="Z248" s="26"/>
      <c r="AA248" s="26"/>
      <c r="AB248" s="22"/>
      <c r="AC248" s="28">
        <v>3</v>
      </c>
    </row>
    <row r="249" spans="1:29" x14ac:dyDescent="0.25">
      <c r="A249" s="14">
        <f>A245+1</f>
        <v>62</v>
      </c>
      <c r="B249" s="9"/>
      <c r="C249" s="15" t="str">
        <f>IF(E249="","",IF(_xlfn.XLOOKUP($A249,Selected_constraint!$A:$A,Selected_constraint!$D:$D)=1,"*",IF(SUMIFS('TRA TECH'!$M:$M,'TRA TECH'!$H:$H,E249,'TRA TECH'!$I:$I,F249)=0,"*",IF(SUMIFS('TRA RESID'!$P:$P,'TRA RESID'!$H:$H,$E249,'TRA RESID'!$I:$I,$F249)=0,"*","UC_MarketShare_"&amp;LEFT(F249,LEN(F249)-3)&amp;"_"&amp;RIGHT(E249,3)&amp;"_MIN"))))</f>
        <v>*</v>
      </c>
      <c r="D249" s="16"/>
      <c r="E249" s="17" t="str">
        <f>_xlfn.XLOOKUP($A249,Selected_constraint!$A:$A,Selected_constraint!$B:$B)</f>
        <v>TRABAF</v>
      </c>
      <c r="F249" s="17" t="str">
        <f>_xlfn.XLOOKUP($A249,Selected_constraint!$A:$A,Selected_constraint!$C:$C)</f>
        <v>TRAFRESSHDMD</v>
      </c>
      <c r="G249" s="17" t="str">
        <f>F249</f>
        <v>TRAFRESSHDMD</v>
      </c>
      <c r="H249" s="18">
        <v>2019</v>
      </c>
      <c r="I249" s="18" t="s">
        <v>483</v>
      </c>
      <c r="J249" s="18">
        <v>1</v>
      </c>
      <c r="K249" s="20" t="e">
        <f>-SUMIFS('TRA RESID'!$P:$P,'TRA RESID'!$H:$H,$E249,'TRA RESID'!$I:$I,$F249)/SUMIFS('TRA RESID'!$P:$P,'TRA RESID'!$I:$I,$F249)*O249</f>
        <v>#DIV/0!</v>
      </c>
      <c r="L249" s="18">
        <v>0</v>
      </c>
      <c r="M249" s="18">
        <v>5</v>
      </c>
      <c r="N249" s="9"/>
      <c r="O249" s="21">
        <v>0.98</v>
      </c>
      <c r="Q249" s="15" t="str">
        <f t="shared" si="60"/>
        <v>*</v>
      </c>
      <c r="R249" s="16"/>
      <c r="S249" s="17" t="str">
        <f t="shared" si="62"/>
        <v>TRABAF</v>
      </c>
      <c r="T249" s="17" t="str">
        <f t="shared" si="63"/>
        <v>TRAFRESSHDMD</v>
      </c>
      <c r="U249" s="17" t="str">
        <f t="shared" si="64"/>
        <v>TRAFRESSHDMD</v>
      </c>
      <c r="V249" s="18">
        <v>2019</v>
      </c>
      <c r="W249" s="18" t="s">
        <v>484</v>
      </c>
      <c r="X249" s="18">
        <v>1</v>
      </c>
      <c r="Y249" s="20" t="e">
        <f>-MIN(SUMIFS('TRA RESID'!$P:$P,'TRA RESID'!$H:$H,$E249,'TRA RESID'!$I:$I,$F249)/SUMIFS('TRA RESID'!$P:$P,'TRA RESID'!$I:$I,$F249)*AC249,1)</f>
        <v>#DIV/0!</v>
      </c>
      <c r="Z249" s="18">
        <v>0</v>
      </c>
      <c r="AA249" s="18">
        <v>5</v>
      </c>
      <c r="AB249" s="9"/>
      <c r="AC249" s="21">
        <v>1.02</v>
      </c>
    </row>
    <row r="250" spans="1:29" x14ac:dyDescent="0.25">
      <c r="A250" s="9">
        <f>A249</f>
        <v>62</v>
      </c>
      <c r="B250" s="9"/>
      <c r="C250" s="15" t="str">
        <f>IF(C249="*",C249,"")</f>
        <v>*</v>
      </c>
      <c r="D250" s="16"/>
      <c r="E250" s="17" t="str">
        <f t="shared" ref="E250:G252" si="77">E249</f>
        <v>TRABAF</v>
      </c>
      <c r="F250" s="17" t="str">
        <f t="shared" si="77"/>
        <v>TRAFRESSHDMD</v>
      </c>
      <c r="G250" s="17" t="str">
        <f t="shared" si="77"/>
        <v>TRAFRESSHDMD</v>
      </c>
      <c r="H250" s="18">
        <v>2025</v>
      </c>
      <c r="I250" s="18" t="str">
        <f>I249</f>
        <v>LO</v>
      </c>
      <c r="J250" s="18"/>
      <c r="K250" s="20" t="e">
        <f>-SUMIFS('TRA RESID'!$P:$P,'TRA RESID'!$H:$H,$E250,'TRA RESID'!$I:$I,$F250)/SUMIFS('TRA RESID'!$P:$P,'TRA RESID'!$I:$I,$F250)*O250</f>
        <v>#DIV/0!</v>
      </c>
      <c r="L250" s="18"/>
      <c r="M250" s="18"/>
      <c r="N250" s="9"/>
      <c r="O250" s="21">
        <v>0.8</v>
      </c>
      <c r="Q250" s="15" t="str">
        <f t="shared" si="60"/>
        <v>*</v>
      </c>
      <c r="R250" s="16"/>
      <c r="S250" s="17" t="str">
        <f t="shared" si="62"/>
        <v>TRABAF</v>
      </c>
      <c r="T250" s="17" t="str">
        <f t="shared" si="63"/>
        <v>TRAFRESSHDMD</v>
      </c>
      <c r="U250" s="17" t="str">
        <f t="shared" si="64"/>
        <v>TRAFRESSHDMD</v>
      </c>
      <c r="V250" s="18">
        <v>2025</v>
      </c>
      <c r="W250" s="18" t="str">
        <f>W249</f>
        <v>UP</v>
      </c>
      <c r="X250" s="18"/>
      <c r="Y250" s="20" t="e">
        <f>-MIN(SUMIFS('TRA RESID'!$P:$P,'TRA RESID'!$H:$H,$E250,'TRA RESID'!$I:$I,$F250)/SUMIFS('TRA RESID'!$P:$P,'TRA RESID'!$I:$I,$F250)*AC250,1)</f>
        <v>#DIV/0!</v>
      </c>
      <c r="Z250" s="18"/>
      <c r="AA250" s="18"/>
      <c r="AB250" s="9"/>
      <c r="AC250" s="21">
        <v>1.2</v>
      </c>
    </row>
    <row r="251" spans="1:29" x14ac:dyDescent="0.25">
      <c r="A251" s="9">
        <f>A250</f>
        <v>62</v>
      </c>
      <c r="B251" s="9"/>
      <c r="C251" s="15" t="str">
        <f>IF(C250="*",C250,"")</f>
        <v>*</v>
      </c>
      <c r="D251" s="16"/>
      <c r="E251" s="17" t="str">
        <f t="shared" si="77"/>
        <v>TRABAF</v>
      </c>
      <c r="F251" s="17" t="str">
        <f t="shared" si="77"/>
        <v>TRAFRESSHDMD</v>
      </c>
      <c r="G251" s="17" t="str">
        <f t="shared" si="77"/>
        <v>TRAFRESSHDMD</v>
      </c>
      <c r="H251" s="18">
        <v>2030</v>
      </c>
      <c r="I251" s="18" t="str">
        <f>I250</f>
        <v>LO</v>
      </c>
      <c r="J251" s="18"/>
      <c r="K251" s="20" t="e">
        <f>-SUMIFS('TRA RESID'!$P:$P,'TRA RESID'!$H:$H,$E251,'TRA RESID'!$I:$I,$F251)/SUMIFS('TRA RESID'!$P:$P,'TRA RESID'!$I:$I,$F251)*O251</f>
        <v>#DIV/0!</v>
      </c>
      <c r="L251" s="18"/>
      <c r="M251" s="18"/>
      <c r="N251" s="9"/>
      <c r="O251" s="21">
        <v>0.2</v>
      </c>
      <c r="Q251" s="15" t="str">
        <f t="shared" si="60"/>
        <v>*</v>
      </c>
      <c r="R251" s="16"/>
      <c r="S251" s="17" t="str">
        <f t="shared" si="62"/>
        <v>TRABAF</v>
      </c>
      <c r="T251" s="17" t="str">
        <f t="shared" si="63"/>
        <v>TRAFRESSHDMD</v>
      </c>
      <c r="U251" s="17" t="str">
        <f t="shared" si="64"/>
        <v>TRAFRESSHDMD</v>
      </c>
      <c r="V251" s="18">
        <v>2030</v>
      </c>
      <c r="W251" s="18" t="str">
        <f>W250</f>
        <v>UP</v>
      </c>
      <c r="X251" s="18"/>
      <c r="Y251" s="20" t="e">
        <f>-MIN(SUMIFS('TRA RESID'!$P:$P,'TRA RESID'!$H:$H,$E251,'TRA RESID'!$I:$I,$F251)/SUMIFS('TRA RESID'!$P:$P,'TRA RESID'!$I:$I,$F251)*AC251,1)</f>
        <v>#DIV/0!</v>
      </c>
      <c r="Z251" s="18"/>
      <c r="AA251" s="18"/>
      <c r="AB251" s="9"/>
      <c r="AC251" s="21">
        <v>1.5</v>
      </c>
    </row>
    <row r="252" spans="1:29" x14ac:dyDescent="0.25">
      <c r="A252" s="22">
        <f>A251</f>
        <v>62</v>
      </c>
      <c r="B252" s="22"/>
      <c r="C252" s="23" t="str">
        <f>IF(C251="*",C251,"")</f>
        <v>*</v>
      </c>
      <c r="D252" s="24"/>
      <c r="E252" s="25" t="str">
        <f t="shared" si="77"/>
        <v>TRABAF</v>
      </c>
      <c r="F252" s="25" t="str">
        <f t="shared" si="77"/>
        <v>TRAFRESSHDMD</v>
      </c>
      <c r="G252" s="25" t="str">
        <f t="shared" si="77"/>
        <v>TRAFRESSHDMD</v>
      </c>
      <c r="H252" s="26">
        <v>2050</v>
      </c>
      <c r="I252" s="26" t="str">
        <f>I251</f>
        <v>LO</v>
      </c>
      <c r="J252" s="26"/>
      <c r="K252" s="27" t="e">
        <f>-SUMIFS('TRA RESID'!$P:$P,'TRA RESID'!$H:$H,$E252,'TRA RESID'!$I:$I,$F252)/SUMIFS('TRA RESID'!$P:$P,'TRA RESID'!$I:$I,$F252)*O252</f>
        <v>#DIV/0!</v>
      </c>
      <c r="L252" s="26"/>
      <c r="M252" s="26"/>
      <c r="N252" s="22"/>
      <c r="O252" s="28">
        <v>0</v>
      </c>
      <c r="Q252" s="23" t="str">
        <f t="shared" si="60"/>
        <v>*</v>
      </c>
      <c r="R252" s="24"/>
      <c r="S252" s="25" t="str">
        <f t="shared" si="62"/>
        <v>TRABAF</v>
      </c>
      <c r="T252" s="25" t="str">
        <f t="shared" si="63"/>
        <v>TRAFRESSHDMD</v>
      </c>
      <c r="U252" s="25" t="str">
        <f t="shared" si="64"/>
        <v>TRAFRESSHDMD</v>
      </c>
      <c r="V252" s="26">
        <v>2050</v>
      </c>
      <c r="W252" s="26" t="str">
        <f>W251</f>
        <v>UP</v>
      </c>
      <c r="X252" s="26"/>
      <c r="Y252" s="27" t="e">
        <f>-MIN(SUMIFS('TRA RESID'!$P:$P,'TRA RESID'!$H:$H,$E252,'TRA RESID'!$I:$I,$F252)/SUMIFS('TRA RESID'!$P:$P,'TRA RESID'!$I:$I,$F252)*AC252,1)</f>
        <v>#DIV/0!</v>
      </c>
      <c r="Z252" s="26"/>
      <c r="AA252" s="26"/>
      <c r="AB252" s="22"/>
      <c r="AC252" s="28">
        <v>3</v>
      </c>
    </row>
    <row r="253" spans="1:29" x14ac:dyDescent="0.25">
      <c r="A253" s="14">
        <f>A249+1</f>
        <v>63</v>
      </c>
      <c r="B253" s="9"/>
      <c r="C253" s="15" t="str">
        <f>IF(E253="","",IF(_xlfn.XLOOKUP($A253,Selected_constraint!$A:$A,Selected_constraint!$D:$D)=1,"*",IF(SUMIFS('TRA TECH'!$M:$M,'TRA TECH'!$H:$H,E253,'TRA TECH'!$I:$I,F253)=0,"*",IF(SUMIFS('TRA RESID'!$P:$P,'TRA RESID'!$H:$H,$E253,'TRA RESID'!$I:$I,$F253)=0,"*","UC_MarketShare_"&amp;LEFT(F253,LEN(F253)-3)&amp;"_"&amp;RIGHT(E253,3)&amp;"_MIN"))))</f>
        <v>*</v>
      </c>
      <c r="D253" s="16"/>
      <c r="E253" s="17" t="str">
        <f>_xlfn.XLOOKUP($A253,Selected_constraint!$A:$A,Selected_constraint!$B:$B)</f>
        <v>TRAH2G</v>
      </c>
      <c r="F253" s="17" t="str">
        <f>_xlfn.XLOOKUP($A253,Selected_constraint!$A:$A,Selected_constraint!$C:$C)</f>
        <v>TRAFRESSHDMD</v>
      </c>
      <c r="G253" s="17" t="str">
        <f>F253</f>
        <v>TRAFRESSHDMD</v>
      </c>
      <c r="H253" s="18">
        <v>2019</v>
      </c>
      <c r="I253" s="18" t="s">
        <v>483</v>
      </c>
      <c r="J253" s="18">
        <v>1</v>
      </c>
      <c r="K253" s="20" t="e">
        <f>-SUMIFS('TRA RESID'!$P:$P,'TRA RESID'!$H:$H,$E253,'TRA RESID'!$I:$I,$F253)/SUMIFS('TRA RESID'!$P:$P,'TRA RESID'!$I:$I,$F253)*O253</f>
        <v>#DIV/0!</v>
      </c>
      <c r="L253" s="18">
        <v>0</v>
      </c>
      <c r="M253" s="18">
        <v>5</v>
      </c>
      <c r="N253" s="9"/>
      <c r="O253" s="21">
        <v>0.98</v>
      </c>
      <c r="Q253" s="15" t="str">
        <f t="shared" si="60"/>
        <v>*</v>
      </c>
      <c r="R253" s="16"/>
      <c r="S253" s="17" t="str">
        <f t="shared" si="62"/>
        <v>TRAH2G</v>
      </c>
      <c r="T253" s="17" t="str">
        <f t="shared" si="63"/>
        <v>TRAFRESSHDMD</v>
      </c>
      <c r="U253" s="17" t="str">
        <f t="shared" si="64"/>
        <v>TRAFRESSHDMD</v>
      </c>
      <c r="V253" s="18">
        <v>2019</v>
      </c>
      <c r="W253" s="18" t="s">
        <v>484</v>
      </c>
      <c r="X253" s="18">
        <v>1</v>
      </c>
      <c r="Y253" s="20" t="e">
        <f>-MIN(SUMIFS('TRA RESID'!$P:$P,'TRA RESID'!$H:$H,$E253,'TRA RESID'!$I:$I,$F253)/SUMIFS('TRA RESID'!$P:$P,'TRA RESID'!$I:$I,$F253)*AC253,1)</f>
        <v>#DIV/0!</v>
      </c>
      <c r="Z253" s="18">
        <v>0</v>
      </c>
      <c r="AA253" s="18">
        <v>5</v>
      </c>
      <c r="AB253" s="9"/>
      <c r="AC253" s="21">
        <v>1.02</v>
      </c>
    </row>
    <row r="254" spans="1:29" x14ac:dyDescent="0.25">
      <c r="A254" s="9">
        <f>A253</f>
        <v>63</v>
      </c>
      <c r="B254" s="9"/>
      <c r="C254" s="15" t="str">
        <f>IF(C253="*",C253,"")</f>
        <v>*</v>
      </c>
      <c r="D254" s="16"/>
      <c r="E254" s="17" t="str">
        <f t="shared" ref="E254:G256" si="78">E253</f>
        <v>TRAH2G</v>
      </c>
      <c r="F254" s="17" t="str">
        <f t="shared" si="78"/>
        <v>TRAFRESSHDMD</v>
      </c>
      <c r="G254" s="17" t="str">
        <f t="shared" si="78"/>
        <v>TRAFRESSHDMD</v>
      </c>
      <c r="H254" s="18">
        <v>2025</v>
      </c>
      <c r="I254" s="18" t="str">
        <f>I253</f>
        <v>LO</v>
      </c>
      <c r="J254" s="18"/>
      <c r="K254" s="20" t="e">
        <f>-SUMIFS('TRA RESID'!$P:$P,'TRA RESID'!$H:$H,$E254,'TRA RESID'!$I:$I,$F254)/SUMIFS('TRA RESID'!$P:$P,'TRA RESID'!$I:$I,$F254)*O254</f>
        <v>#DIV/0!</v>
      </c>
      <c r="L254" s="18"/>
      <c r="M254" s="18"/>
      <c r="N254" s="9"/>
      <c r="O254" s="21">
        <v>0.8</v>
      </c>
      <c r="Q254" s="15" t="str">
        <f t="shared" si="60"/>
        <v>*</v>
      </c>
      <c r="R254" s="16"/>
      <c r="S254" s="17" t="str">
        <f t="shared" si="62"/>
        <v>TRAH2G</v>
      </c>
      <c r="T254" s="17" t="str">
        <f t="shared" si="63"/>
        <v>TRAFRESSHDMD</v>
      </c>
      <c r="U254" s="17" t="str">
        <f t="shared" si="64"/>
        <v>TRAFRESSHDMD</v>
      </c>
      <c r="V254" s="18">
        <v>2025</v>
      </c>
      <c r="W254" s="18" t="str">
        <f>W253</f>
        <v>UP</v>
      </c>
      <c r="X254" s="18"/>
      <c r="Y254" s="20" t="e">
        <f>-MIN(SUMIFS('TRA RESID'!$P:$P,'TRA RESID'!$H:$H,$E254,'TRA RESID'!$I:$I,$F254)/SUMIFS('TRA RESID'!$P:$P,'TRA RESID'!$I:$I,$F254)*AC254,1)</f>
        <v>#DIV/0!</v>
      </c>
      <c r="Z254" s="18"/>
      <c r="AA254" s="18"/>
      <c r="AB254" s="9"/>
      <c r="AC254" s="21">
        <v>1.2</v>
      </c>
    </row>
    <row r="255" spans="1:29" x14ac:dyDescent="0.25">
      <c r="A255" s="9">
        <f>A254</f>
        <v>63</v>
      </c>
      <c r="B255" s="9"/>
      <c r="C255" s="15" t="str">
        <f>IF(C254="*",C254,"")</f>
        <v>*</v>
      </c>
      <c r="D255" s="16"/>
      <c r="E255" s="17" t="str">
        <f t="shared" si="78"/>
        <v>TRAH2G</v>
      </c>
      <c r="F255" s="17" t="str">
        <f t="shared" si="78"/>
        <v>TRAFRESSHDMD</v>
      </c>
      <c r="G255" s="17" t="str">
        <f t="shared" si="78"/>
        <v>TRAFRESSHDMD</v>
      </c>
      <c r="H255" s="18">
        <v>2030</v>
      </c>
      <c r="I255" s="18" t="str">
        <f>I254</f>
        <v>LO</v>
      </c>
      <c r="J255" s="18"/>
      <c r="K255" s="20" t="e">
        <f>-SUMIFS('TRA RESID'!$P:$P,'TRA RESID'!$H:$H,$E255,'TRA RESID'!$I:$I,$F255)/SUMIFS('TRA RESID'!$P:$P,'TRA RESID'!$I:$I,$F255)*O255</f>
        <v>#DIV/0!</v>
      </c>
      <c r="L255" s="18"/>
      <c r="M255" s="18"/>
      <c r="N255" s="9"/>
      <c r="O255" s="21">
        <v>0.2</v>
      </c>
      <c r="Q255" s="15" t="str">
        <f t="shared" si="60"/>
        <v>*</v>
      </c>
      <c r="R255" s="16"/>
      <c r="S255" s="17" t="str">
        <f t="shared" si="62"/>
        <v>TRAH2G</v>
      </c>
      <c r="T255" s="17" t="str">
        <f t="shared" si="63"/>
        <v>TRAFRESSHDMD</v>
      </c>
      <c r="U255" s="17" t="str">
        <f t="shared" si="64"/>
        <v>TRAFRESSHDMD</v>
      </c>
      <c r="V255" s="18">
        <v>2030</v>
      </c>
      <c r="W255" s="18" t="str">
        <f>W254</f>
        <v>UP</v>
      </c>
      <c r="X255" s="18"/>
      <c r="Y255" s="20" t="e">
        <f>-MIN(SUMIFS('TRA RESID'!$P:$P,'TRA RESID'!$H:$H,$E255,'TRA RESID'!$I:$I,$F255)/SUMIFS('TRA RESID'!$P:$P,'TRA RESID'!$I:$I,$F255)*AC255,1)</f>
        <v>#DIV/0!</v>
      </c>
      <c r="Z255" s="18"/>
      <c r="AA255" s="18"/>
      <c r="AB255" s="9"/>
      <c r="AC255" s="21">
        <v>1.5</v>
      </c>
    </row>
    <row r="256" spans="1:29" x14ac:dyDescent="0.25">
      <c r="A256" s="22">
        <f>A255</f>
        <v>63</v>
      </c>
      <c r="B256" s="22"/>
      <c r="C256" s="23" t="str">
        <f>IF(C255="*",C255,"")</f>
        <v>*</v>
      </c>
      <c r="D256" s="24"/>
      <c r="E256" s="25" t="str">
        <f t="shared" si="78"/>
        <v>TRAH2G</v>
      </c>
      <c r="F256" s="25" t="str">
        <f t="shared" si="78"/>
        <v>TRAFRESSHDMD</v>
      </c>
      <c r="G256" s="25" t="str">
        <f t="shared" si="78"/>
        <v>TRAFRESSHDMD</v>
      </c>
      <c r="H256" s="26">
        <v>2050</v>
      </c>
      <c r="I256" s="26" t="str">
        <f>I255</f>
        <v>LO</v>
      </c>
      <c r="J256" s="26"/>
      <c r="K256" s="27" t="e">
        <f>-SUMIFS('TRA RESID'!$P:$P,'TRA RESID'!$H:$H,$E256,'TRA RESID'!$I:$I,$F256)/SUMIFS('TRA RESID'!$P:$P,'TRA RESID'!$I:$I,$F256)*O256</f>
        <v>#DIV/0!</v>
      </c>
      <c r="L256" s="26"/>
      <c r="M256" s="26"/>
      <c r="N256" s="22"/>
      <c r="O256" s="28">
        <v>0</v>
      </c>
      <c r="Q256" s="23" t="str">
        <f t="shared" si="60"/>
        <v>*</v>
      </c>
      <c r="R256" s="24"/>
      <c r="S256" s="25" t="str">
        <f t="shared" si="62"/>
        <v>TRAH2G</v>
      </c>
      <c r="T256" s="25" t="str">
        <f t="shared" si="63"/>
        <v>TRAFRESSHDMD</v>
      </c>
      <c r="U256" s="25" t="str">
        <f t="shared" si="64"/>
        <v>TRAFRESSHDMD</v>
      </c>
      <c r="V256" s="26">
        <v>2050</v>
      </c>
      <c r="W256" s="26" t="str">
        <f>W255</f>
        <v>UP</v>
      </c>
      <c r="X256" s="26"/>
      <c r="Y256" s="27" t="e">
        <f>-MIN(SUMIFS('TRA RESID'!$P:$P,'TRA RESID'!$H:$H,$E256,'TRA RESID'!$I:$I,$F256)/SUMIFS('TRA RESID'!$P:$P,'TRA RESID'!$I:$I,$F256)*AC256,1)</f>
        <v>#DIV/0!</v>
      </c>
      <c r="Z256" s="26"/>
      <c r="AA256" s="26"/>
      <c r="AB256" s="22"/>
      <c r="AC256" s="28">
        <v>3</v>
      </c>
    </row>
    <row r="257" spans="1:29" x14ac:dyDescent="0.25">
      <c r="A257" s="14">
        <f>A253+1</f>
        <v>64</v>
      </c>
      <c r="B257" s="9"/>
      <c r="C257" s="15" t="str">
        <f>IF(E257="","",IF(_xlfn.XLOOKUP($A257,Selected_constraint!$A:$A,Selected_constraint!$D:$D)=1,"*",IF(SUMIFS('TRA TECH'!$M:$M,'TRA TECH'!$H:$H,E257,'TRA TECH'!$I:$I,F257)=0,"*",IF(SUMIFS('TRA RESID'!$P:$P,'TRA RESID'!$H:$H,$E257,'TRA RESID'!$I:$I,$F257)=0,"*","UC_MarketShare_"&amp;LEFT(F257,LEN(F257)-3)&amp;"_"&amp;RIGHT(E257,3)&amp;"_MIN"))))</f>
        <v>*</v>
      </c>
      <c r="D257" s="16"/>
      <c r="E257" s="17" t="str">
        <f>_xlfn.XLOOKUP($A257,Selected_constraint!$A:$A,Selected_constraint!$B:$B)</f>
        <v>TRAGSL</v>
      </c>
      <c r="F257" s="17" t="str">
        <f>_xlfn.XLOOKUP($A257,Selected_constraint!$A:$A,Selected_constraint!$C:$C)</f>
        <v>TRAFRECLHDMD</v>
      </c>
      <c r="G257" s="17" t="str">
        <f>F257</f>
        <v>TRAFRECLHDMD</v>
      </c>
      <c r="H257" s="18">
        <v>2019</v>
      </c>
      <c r="I257" s="18" t="s">
        <v>483</v>
      </c>
      <c r="J257" s="18">
        <v>1</v>
      </c>
      <c r="K257" s="20">
        <f>-SUMIFS('TRA RESID'!$P:$P,'TRA RESID'!$H:$H,$E257,'TRA RESID'!$I:$I,$F257)/SUMIFS('TRA RESID'!$P:$P,'TRA RESID'!$I:$I,$F257)*O257</f>
        <v>-6.4766422274140445E-3</v>
      </c>
      <c r="L257" s="18">
        <v>0</v>
      </c>
      <c r="M257" s="18">
        <v>5</v>
      </c>
      <c r="N257" s="9"/>
      <c r="O257" s="21">
        <v>0.98</v>
      </c>
      <c r="Q257" s="15" t="str">
        <f t="shared" si="60"/>
        <v>*</v>
      </c>
      <c r="R257" s="16"/>
      <c r="S257" s="17" t="str">
        <f t="shared" si="62"/>
        <v>TRAGSL</v>
      </c>
      <c r="T257" s="17" t="str">
        <f t="shared" si="63"/>
        <v>TRAFRECLHDMD</v>
      </c>
      <c r="U257" s="17" t="str">
        <f t="shared" si="64"/>
        <v>TRAFRECLHDMD</v>
      </c>
      <c r="V257" s="18">
        <v>2019</v>
      </c>
      <c r="W257" s="18" t="s">
        <v>484</v>
      </c>
      <c r="X257" s="18">
        <v>1</v>
      </c>
      <c r="Y257" s="20">
        <f>-MIN(SUMIFS('TRA RESID'!$P:$P,'TRA RESID'!$H:$H,$E257,'TRA RESID'!$I:$I,$F257)/SUMIFS('TRA RESID'!$P:$P,'TRA RESID'!$I:$I,$F257)*AC257,1)</f>
        <v>-6.7409949713901291E-3</v>
      </c>
      <c r="Z257" s="18">
        <v>0</v>
      </c>
      <c r="AA257" s="18">
        <v>5</v>
      </c>
      <c r="AB257" s="9"/>
      <c r="AC257" s="21">
        <v>1.02</v>
      </c>
    </row>
    <row r="258" spans="1:29" x14ac:dyDescent="0.25">
      <c r="A258" s="9">
        <f>A257</f>
        <v>64</v>
      </c>
      <c r="B258" s="9"/>
      <c r="C258" s="15" t="str">
        <f>IF(C257="*",C257,"")</f>
        <v>*</v>
      </c>
      <c r="D258" s="16"/>
      <c r="E258" s="17" t="str">
        <f t="shared" ref="E258:G260" si="79">E257</f>
        <v>TRAGSL</v>
      </c>
      <c r="F258" s="17" t="str">
        <f t="shared" si="79"/>
        <v>TRAFRECLHDMD</v>
      </c>
      <c r="G258" s="17" t="str">
        <f t="shared" si="79"/>
        <v>TRAFRECLHDMD</v>
      </c>
      <c r="H258" s="18">
        <v>2025</v>
      </c>
      <c r="I258" s="18" t="str">
        <f>I257</f>
        <v>LO</v>
      </c>
      <c r="J258" s="18"/>
      <c r="K258" s="20">
        <f>-SUMIFS('TRA RESID'!$P:$P,'TRA RESID'!$H:$H,$E258,'TRA RESID'!$I:$I,$F258)/SUMIFS('TRA RESID'!$P:$P,'TRA RESID'!$I:$I,$F258)*O258</f>
        <v>-5.2870548795216701E-3</v>
      </c>
      <c r="L258" s="18"/>
      <c r="M258" s="18"/>
      <c r="N258" s="9"/>
      <c r="O258" s="21">
        <v>0.8</v>
      </c>
      <c r="Q258" s="15" t="str">
        <f t="shared" si="60"/>
        <v>*</v>
      </c>
      <c r="R258" s="16"/>
      <c r="S258" s="17" t="str">
        <f t="shared" si="62"/>
        <v>TRAGSL</v>
      </c>
      <c r="T258" s="17" t="str">
        <f t="shared" si="63"/>
        <v>TRAFRECLHDMD</v>
      </c>
      <c r="U258" s="17" t="str">
        <f t="shared" si="64"/>
        <v>TRAFRECLHDMD</v>
      </c>
      <c r="V258" s="18">
        <v>2025</v>
      </c>
      <c r="W258" s="18" t="str">
        <f>W257</f>
        <v>UP</v>
      </c>
      <c r="X258" s="18"/>
      <c r="Y258" s="20">
        <f>-MIN(SUMIFS('TRA RESID'!$P:$P,'TRA RESID'!$H:$H,$E258,'TRA RESID'!$I:$I,$F258)/SUMIFS('TRA RESID'!$P:$P,'TRA RESID'!$I:$I,$F258)*AC258,1)</f>
        <v>-7.9305823192825035E-3</v>
      </c>
      <c r="Z258" s="18"/>
      <c r="AA258" s="18"/>
      <c r="AB258" s="9"/>
      <c r="AC258" s="21">
        <v>1.2</v>
      </c>
    </row>
    <row r="259" spans="1:29" x14ac:dyDescent="0.25">
      <c r="A259" s="9">
        <f>A258</f>
        <v>64</v>
      </c>
      <c r="B259" s="9"/>
      <c r="C259" s="15" t="str">
        <f>IF(C258="*",C258,"")</f>
        <v>*</v>
      </c>
      <c r="D259" s="16"/>
      <c r="E259" s="17" t="str">
        <f t="shared" si="79"/>
        <v>TRAGSL</v>
      </c>
      <c r="F259" s="17" t="str">
        <f t="shared" si="79"/>
        <v>TRAFRECLHDMD</v>
      </c>
      <c r="G259" s="17" t="str">
        <f t="shared" si="79"/>
        <v>TRAFRECLHDMD</v>
      </c>
      <c r="H259" s="18">
        <v>2030</v>
      </c>
      <c r="I259" s="18" t="str">
        <f>I258</f>
        <v>LO</v>
      </c>
      <c r="J259" s="18"/>
      <c r="K259" s="20">
        <f>-SUMIFS('TRA RESID'!$P:$P,'TRA RESID'!$H:$H,$E259,'TRA RESID'!$I:$I,$F259)/SUMIFS('TRA RESID'!$P:$P,'TRA RESID'!$I:$I,$F259)*O259</f>
        <v>-1.3217637198804175E-3</v>
      </c>
      <c r="L259" s="18"/>
      <c r="M259" s="18"/>
      <c r="N259" s="9"/>
      <c r="O259" s="21">
        <v>0.2</v>
      </c>
      <c r="Q259" s="15" t="str">
        <f t="shared" si="60"/>
        <v>*</v>
      </c>
      <c r="R259" s="16"/>
      <c r="S259" s="17" t="str">
        <f t="shared" si="62"/>
        <v>TRAGSL</v>
      </c>
      <c r="T259" s="17" t="str">
        <f t="shared" si="63"/>
        <v>TRAFRECLHDMD</v>
      </c>
      <c r="U259" s="17" t="str">
        <f t="shared" si="64"/>
        <v>TRAFRECLHDMD</v>
      </c>
      <c r="V259" s="18">
        <v>2030</v>
      </c>
      <c r="W259" s="18" t="str">
        <f>W258</f>
        <v>UP</v>
      </c>
      <c r="X259" s="18"/>
      <c r="Y259" s="20">
        <f>-MIN(SUMIFS('TRA RESID'!$P:$P,'TRA RESID'!$H:$H,$E259,'TRA RESID'!$I:$I,$F259)/SUMIFS('TRA RESID'!$P:$P,'TRA RESID'!$I:$I,$F259)*AC259,1)</f>
        <v>-9.9132278991031306E-3</v>
      </c>
      <c r="Z259" s="18"/>
      <c r="AA259" s="18"/>
      <c r="AB259" s="9"/>
      <c r="AC259" s="21">
        <v>1.5</v>
      </c>
    </row>
    <row r="260" spans="1:29" x14ac:dyDescent="0.25">
      <c r="A260" s="22">
        <f>A259</f>
        <v>64</v>
      </c>
      <c r="B260" s="22"/>
      <c r="C260" s="23" t="str">
        <f>IF(C259="*",C259,"")</f>
        <v>*</v>
      </c>
      <c r="D260" s="24"/>
      <c r="E260" s="25" t="str">
        <f t="shared" si="79"/>
        <v>TRAGSL</v>
      </c>
      <c r="F260" s="25" t="str">
        <f t="shared" si="79"/>
        <v>TRAFRECLHDMD</v>
      </c>
      <c r="G260" s="25" t="str">
        <f t="shared" si="79"/>
        <v>TRAFRECLHDMD</v>
      </c>
      <c r="H260" s="26">
        <v>2050</v>
      </c>
      <c r="I260" s="26" t="str">
        <f>I259</f>
        <v>LO</v>
      </c>
      <c r="J260" s="26"/>
      <c r="K260" s="27">
        <f>-SUMIFS('TRA RESID'!$P:$P,'TRA RESID'!$H:$H,$E260,'TRA RESID'!$I:$I,$F260)/SUMIFS('TRA RESID'!$P:$P,'TRA RESID'!$I:$I,$F260)*O260</f>
        <v>0</v>
      </c>
      <c r="L260" s="26"/>
      <c r="M260" s="26"/>
      <c r="N260" s="22"/>
      <c r="O260" s="28">
        <v>0</v>
      </c>
      <c r="Q260" s="23" t="str">
        <f t="shared" si="60"/>
        <v>*</v>
      </c>
      <c r="R260" s="24"/>
      <c r="S260" s="25" t="str">
        <f t="shared" si="62"/>
        <v>TRAGSL</v>
      </c>
      <c r="T260" s="25" t="str">
        <f t="shared" si="63"/>
        <v>TRAFRECLHDMD</v>
      </c>
      <c r="U260" s="25" t="str">
        <f t="shared" si="64"/>
        <v>TRAFRECLHDMD</v>
      </c>
      <c r="V260" s="26">
        <v>2050</v>
      </c>
      <c r="W260" s="26" t="str">
        <f>W259</f>
        <v>UP</v>
      </c>
      <c r="X260" s="26"/>
      <c r="Y260" s="27">
        <f>-MIN(SUMIFS('TRA RESID'!$P:$P,'TRA RESID'!$H:$H,$E260,'TRA RESID'!$I:$I,$F260)/SUMIFS('TRA RESID'!$P:$P,'TRA RESID'!$I:$I,$F260)*AC260,1)</f>
        <v>-1.9826455798206261E-2</v>
      </c>
      <c r="Z260" s="26"/>
      <c r="AA260" s="26"/>
      <c r="AB260" s="22"/>
      <c r="AC260" s="28">
        <v>3</v>
      </c>
    </row>
    <row r="261" spans="1:29" x14ac:dyDescent="0.25">
      <c r="A261" s="14">
        <f>A257+1</f>
        <v>65</v>
      </c>
      <c r="B261" s="9"/>
      <c r="C261" s="15" t="str">
        <f>IF(E261="","",IF(_xlfn.XLOOKUP($A261,Selected_constraint!$A:$A,Selected_constraint!$D:$D)=1,"*",IF(SUMIFS('TRA TECH'!$M:$M,'TRA TECH'!$H:$H,E261,'TRA TECH'!$I:$I,F261)=0,"*",IF(SUMIFS('TRA RESID'!$P:$P,'TRA RESID'!$H:$H,$E261,'TRA RESID'!$I:$I,$F261)=0,"*","UC_MarketShare_"&amp;LEFT(F261,LEN(F261)-3)&amp;"_"&amp;RIGHT(E261,3)&amp;"_MIN"))))</f>
        <v>*</v>
      </c>
      <c r="D261" s="16"/>
      <c r="E261" s="17" t="str">
        <f>_xlfn.XLOOKUP($A261,Selected_constraint!$A:$A,Selected_constraint!$B:$B)</f>
        <v>TRAETH</v>
      </c>
      <c r="F261" s="17" t="str">
        <f>_xlfn.XLOOKUP($A261,Selected_constraint!$A:$A,Selected_constraint!$C:$C)</f>
        <v>TRAFRECLHDMD</v>
      </c>
      <c r="G261" s="17" t="str">
        <f>F261</f>
        <v>TRAFRECLHDMD</v>
      </c>
      <c r="H261" s="18">
        <v>2019</v>
      </c>
      <c r="I261" s="18" t="s">
        <v>483</v>
      </c>
      <c r="J261" s="18">
        <v>1</v>
      </c>
      <c r="K261" s="20">
        <f>-SUMIFS('TRA RESID'!$P:$P,'TRA RESID'!$H:$H,$E261,'TRA RESID'!$I:$I,$F261)/SUMIFS('TRA RESID'!$P:$P,'TRA RESID'!$I:$I,$F261)*O261</f>
        <v>0</v>
      </c>
      <c r="L261" s="18">
        <v>0</v>
      </c>
      <c r="M261" s="18">
        <v>5</v>
      </c>
      <c r="N261" s="9"/>
      <c r="O261" s="21">
        <v>0.98</v>
      </c>
      <c r="Q261" s="15" t="str">
        <f t="shared" ref="Q261:Q324" si="80">SUBSTITUTE(C261,"MIN","MAX")</f>
        <v>*</v>
      </c>
      <c r="R261" s="16"/>
      <c r="S261" s="17" t="str">
        <f t="shared" si="62"/>
        <v>TRAETH</v>
      </c>
      <c r="T261" s="17" t="str">
        <f t="shared" si="63"/>
        <v>TRAFRECLHDMD</v>
      </c>
      <c r="U261" s="17" t="str">
        <f t="shared" si="64"/>
        <v>TRAFRECLHDMD</v>
      </c>
      <c r="V261" s="18">
        <v>2019</v>
      </c>
      <c r="W261" s="18" t="s">
        <v>484</v>
      </c>
      <c r="X261" s="18">
        <v>1</v>
      </c>
      <c r="Y261" s="20">
        <f>-MIN(SUMIFS('TRA RESID'!$P:$P,'TRA RESID'!$H:$H,$E261,'TRA RESID'!$I:$I,$F261)/SUMIFS('TRA RESID'!$P:$P,'TRA RESID'!$I:$I,$F261)*AC261,1)</f>
        <v>0</v>
      </c>
      <c r="Z261" s="18">
        <v>0</v>
      </c>
      <c r="AA261" s="18">
        <v>5</v>
      </c>
      <c r="AB261" s="9"/>
      <c r="AC261" s="21">
        <v>1.02</v>
      </c>
    </row>
    <row r="262" spans="1:29" x14ac:dyDescent="0.25">
      <c r="A262" s="9">
        <f>A261</f>
        <v>65</v>
      </c>
      <c r="B262" s="9"/>
      <c r="C262" s="15" t="str">
        <f>IF(C261="*",C261,"")</f>
        <v>*</v>
      </c>
      <c r="D262" s="16"/>
      <c r="E262" s="17" t="str">
        <f t="shared" ref="E262:G264" si="81">E261</f>
        <v>TRAETH</v>
      </c>
      <c r="F262" s="17" t="str">
        <f t="shared" si="81"/>
        <v>TRAFRECLHDMD</v>
      </c>
      <c r="G262" s="17" t="str">
        <f t="shared" si="81"/>
        <v>TRAFRECLHDMD</v>
      </c>
      <c r="H262" s="18">
        <v>2025</v>
      </c>
      <c r="I262" s="18" t="str">
        <f>I261</f>
        <v>LO</v>
      </c>
      <c r="J262" s="18"/>
      <c r="K262" s="20">
        <f>-SUMIFS('TRA RESID'!$P:$P,'TRA RESID'!$H:$H,$E262,'TRA RESID'!$I:$I,$F262)/SUMIFS('TRA RESID'!$P:$P,'TRA RESID'!$I:$I,$F262)*O262</f>
        <v>0</v>
      </c>
      <c r="L262" s="18"/>
      <c r="M262" s="18"/>
      <c r="N262" s="9"/>
      <c r="O262" s="21">
        <v>0.8</v>
      </c>
      <c r="Q262" s="15" t="str">
        <f t="shared" si="80"/>
        <v>*</v>
      </c>
      <c r="R262" s="16"/>
      <c r="S262" s="17" t="str">
        <f t="shared" ref="S262:S325" si="82">E262</f>
        <v>TRAETH</v>
      </c>
      <c r="T262" s="17" t="str">
        <f t="shared" ref="T262:T325" si="83">F262</f>
        <v>TRAFRECLHDMD</v>
      </c>
      <c r="U262" s="17" t="str">
        <f t="shared" ref="U262:U325" si="84">G262</f>
        <v>TRAFRECLHDMD</v>
      </c>
      <c r="V262" s="18">
        <v>2025</v>
      </c>
      <c r="W262" s="18" t="str">
        <f>W261</f>
        <v>UP</v>
      </c>
      <c r="X262" s="18"/>
      <c r="Y262" s="20">
        <f>-MIN(SUMIFS('TRA RESID'!$P:$P,'TRA RESID'!$H:$H,$E262,'TRA RESID'!$I:$I,$F262)/SUMIFS('TRA RESID'!$P:$P,'TRA RESID'!$I:$I,$F262)*AC262,1)</f>
        <v>0</v>
      </c>
      <c r="Z262" s="18"/>
      <c r="AA262" s="18"/>
      <c r="AB262" s="9"/>
      <c r="AC262" s="21">
        <v>1.2</v>
      </c>
    </row>
    <row r="263" spans="1:29" x14ac:dyDescent="0.25">
      <c r="A263" s="9">
        <f>A262</f>
        <v>65</v>
      </c>
      <c r="B263" s="9"/>
      <c r="C263" s="15" t="str">
        <f>IF(C262="*",C262,"")</f>
        <v>*</v>
      </c>
      <c r="D263" s="16"/>
      <c r="E263" s="17" t="str">
        <f t="shared" si="81"/>
        <v>TRAETH</v>
      </c>
      <c r="F263" s="17" t="str">
        <f t="shared" si="81"/>
        <v>TRAFRECLHDMD</v>
      </c>
      <c r="G263" s="17" t="str">
        <f t="shared" si="81"/>
        <v>TRAFRECLHDMD</v>
      </c>
      <c r="H263" s="18">
        <v>2030</v>
      </c>
      <c r="I263" s="18" t="str">
        <f>I262</f>
        <v>LO</v>
      </c>
      <c r="J263" s="18"/>
      <c r="K263" s="20">
        <f>-SUMIFS('TRA RESID'!$P:$P,'TRA RESID'!$H:$H,$E263,'TRA RESID'!$I:$I,$F263)/SUMIFS('TRA RESID'!$P:$P,'TRA RESID'!$I:$I,$F263)*O263</f>
        <v>0</v>
      </c>
      <c r="L263" s="18"/>
      <c r="M263" s="18"/>
      <c r="N263" s="9"/>
      <c r="O263" s="21">
        <v>0.2</v>
      </c>
      <c r="Q263" s="15" t="str">
        <f t="shared" si="80"/>
        <v>*</v>
      </c>
      <c r="R263" s="16"/>
      <c r="S263" s="17" t="str">
        <f t="shared" si="82"/>
        <v>TRAETH</v>
      </c>
      <c r="T263" s="17" t="str">
        <f t="shared" si="83"/>
        <v>TRAFRECLHDMD</v>
      </c>
      <c r="U263" s="17" t="str">
        <f t="shared" si="84"/>
        <v>TRAFRECLHDMD</v>
      </c>
      <c r="V263" s="18">
        <v>2030</v>
      </c>
      <c r="W263" s="18" t="str">
        <f>W262</f>
        <v>UP</v>
      </c>
      <c r="X263" s="18"/>
      <c r="Y263" s="20">
        <f>-MIN(SUMIFS('TRA RESID'!$P:$P,'TRA RESID'!$H:$H,$E263,'TRA RESID'!$I:$I,$F263)/SUMIFS('TRA RESID'!$P:$P,'TRA RESID'!$I:$I,$F263)*AC263,1)</f>
        <v>0</v>
      </c>
      <c r="Z263" s="18"/>
      <c r="AA263" s="18"/>
      <c r="AB263" s="9"/>
      <c r="AC263" s="21">
        <v>1.5</v>
      </c>
    </row>
    <row r="264" spans="1:29" x14ac:dyDescent="0.25">
      <c r="A264" s="22">
        <f>A263</f>
        <v>65</v>
      </c>
      <c r="B264" s="22"/>
      <c r="C264" s="23" t="str">
        <f>IF(C263="*",C263,"")</f>
        <v>*</v>
      </c>
      <c r="D264" s="24"/>
      <c r="E264" s="25" t="str">
        <f t="shared" si="81"/>
        <v>TRAETH</v>
      </c>
      <c r="F264" s="25" t="str">
        <f t="shared" si="81"/>
        <v>TRAFRECLHDMD</v>
      </c>
      <c r="G264" s="25" t="str">
        <f t="shared" si="81"/>
        <v>TRAFRECLHDMD</v>
      </c>
      <c r="H264" s="26">
        <v>2050</v>
      </c>
      <c r="I264" s="26" t="str">
        <f>I263</f>
        <v>LO</v>
      </c>
      <c r="J264" s="26"/>
      <c r="K264" s="27">
        <f>-SUMIFS('TRA RESID'!$P:$P,'TRA RESID'!$H:$H,$E264,'TRA RESID'!$I:$I,$F264)/SUMIFS('TRA RESID'!$P:$P,'TRA RESID'!$I:$I,$F264)*O264</f>
        <v>0</v>
      </c>
      <c r="L264" s="26"/>
      <c r="M264" s="26"/>
      <c r="N264" s="22"/>
      <c r="O264" s="28">
        <v>0</v>
      </c>
      <c r="Q264" s="23" t="str">
        <f t="shared" si="80"/>
        <v>*</v>
      </c>
      <c r="R264" s="24"/>
      <c r="S264" s="25" t="str">
        <f t="shared" si="82"/>
        <v>TRAETH</v>
      </c>
      <c r="T264" s="25" t="str">
        <f t="shared" si="83"/>
        <v>TRAFRECLHDMD</v>
      </c>
      <c r="U264" s="25" t="str">
        <f t="shared" si="84"/>
        <v>TRAFRECLHDMD</v>
      </c>
      <c r="V264" s="26">
        <v>2050</v>
      </c>
      <c r="W264" s="26" t="str">
        <f>W263</f>
        <v>UP</v>
      </c>
      <c r="X264" s="26"/>
      <c r="Y264" s="27">
        <f>-MIN(SUMIFS('TRA RESID'!$P:$P,'TRA RESID'!$H:$H,$E264,'TRA RESID'!$I:$I,$F264)/SUMIFS('TRA RESID'!$P:$P,'TRA RESID'!$I:$I,$F264)*AC264,1)</f>
        <v>0</v>
      </c>
      <c r="Z264" s="26"/>
      <c r="AA264" s="26"/>
      <c r="AB264" s="22"/>
      <c r="AC264" s="28">
        <v>3</v>
      </c>
    </row>
    <row r="265" spans="1:29" x14ac:dyDescent="0.25">
      <c r="A265" s="14">
        <f>A261+1</f>
        <v>66</v>
      </c>
      <c r="B265" s="9"/>
      <c r="C265" s="15" t="str">
        <f>IF(E265="","",IF(_xlfn.XLOOKUP($A265,Selected_constraint!$A:$A,Selected_constraint!$D:$D)=1,"*",IF(SUMIFS('TRA TECH'!$M:$M,'TRA TECH'!$H:$H,E265,'TRA TECH'!$I:$I,F265)=0,"*",IF(SUMIFS('TRA RESID'!$P:$P,'TRA RESID'!$H:$H,$E265,'TRA RESID'!$I:$I,$F265)=0,"*","UC_MarketShare_"&amp;LEFT(F265,LEN(F265)-3)&amp;"_"&amp;RIGHT(E265,3)&amp;"_MIN"))))</f>
        <v>UC_MarketShare_TRAFRECLH_DSL_MIN</v>
      </c>
      <c r="D265" s="16"/>
      <c r="E265" s="17" t="str">
        <f>_xlfn.XLOOKUP($A265,Selected_constraint!$A:$A,Selected_constraint!$B:$B)</f>
        <v>TRADSL</v>
      </c>
      <c r="F265" s="17" t="str">
        <f>_xlfn.XLOOKUP($A265,Selected_constraint!$A:$A,Selected_constraint!$C:$C)</f>
        <v>TRAFRECLHDMD</v>
      </c>
      <c r="G265" s="17" t="str">
        <f>F265</f>
        <v>TRAFRECLHDMD</v>
      </c>
      <c r="H265" s="18">
        <v>2019</v>
      </c>
      <c r="I265" s="18" t="s">
        <v>483</v>
      </c>
      <c r="J265" s="18">
        <v>1</v>
      </c>
      <c r="K265" s="20">
        <f>-SUMIFS('TRA RESID'!$P:$P,'TRA RESID'!$H:$H,$E265,'TRA RESID'!$I:$I,$F265)/SUMIFS('TRA RESID'!$P:$P,'TRA RESID'!$I:$I,$F265)*O265</f>
        <v>-0.96829635291546634</v>
      </c>
      <c r="L265" s="18">
        <v>0</v>
      </c>
      <c r="M265" s="18">
        <v>5</v>
      </c>
      <c r="N265" s="9"/>
      <c r="O265" s="21">
        <v>0.98</v>
      </c>
      <c r="Q265" s="15" t="str">
        <f t="shared" si="80"/>
        <v>UC_MarketShare_TRAFRECLH_DSL_MAX</v>
      </c>
      <c r="R265" s="16"/>
      <c r="S265" s="17" t="str">
        <f t="shared" si="82"/>
        <v>TRADSL</v>
      </c>
      <c r="T265" s="17" t="str">
        <f t="shared" si="83"/>
        <v>TRAFRECLHDMD</v>
      </c>
      <c r="U265" s="17" t="str">
        <f t="shared" si="84"/>
        <v>TRAFRECLHDMD</v>
      </c>
      <c r="V265" s="18">
        <v>2019</v>
      </c>
      <c r="W265" s="18" t="s">
        <v>484</v>
      </c>
      <c r="X265" s="18">
        <v>1</v>
      </c>
      <c r="Y265" s="20">
        <f>-MIN(SUMIFS('TRA RESID'!$P:$P,'TRA RESID'!$H:$H,$E265,'TRA RESID'!$I:$I,$F265)/SUMIFS('TRA RESID'!$P:$P,'TRA RESID'!$I:$I,$F265)*AC265,1)</f>
        <v>-1</v>
      </c>
      <c r="Z265" s="18">
        <v>0</v>
      </c>
      <c r="AA265" s="18">
        <v>5</v>
      </c>
      <c r="AB265" s="9"/>
      <c r="AC265" s="21">
        <v>1.02</v>
      </c>
    </row>
    <row r="266" spans="1:29" x14ac:dyDescent="0.25">
      <c r="A266" s="9">
        <f>A265</f>
        <v>66</v>
      </c>
      <c r="B266" s="9"/>
      <c r="C266" s="15" t="str">
        <f>IF(C265="*",C265,"")</f>
        <v/>
      </c>
      <c r="D266" s="16"/>
      <c r="E266" s="17" t="str">
        <f t="shared" ref="E266:G268" si="85">E265</f>
        <v>TRADSL</v>
      </c>
      <c r="F266" s="17" t="str">
        <f t="shared" si="85"/>
        <v>TRAFRECLHDMD</v>
      </c>
      <c r="G266" s="17" t="str">
        <f t="shared" si="85"/>
        <v>TRAFRECLHDMD</v>
      </c>
      <c r="H266" s="18">
        <v>2025</v>
      </c>
      <c r="I266" s="18" t="str">
        <f>I265</f>
        <v>LO</v>
      </c>
      <c r="J266" s="18"/>
      <c r="K266" s="20">
        <f>-SUMIFS('TRA RESID'!$P:$P,'TRA RESID'!$H:$H,$E266,'TRA RESID'!$I:$I,$F266)/SUMIFS('TRA RESID'!$P:$P,'TRA RESID'!$I:$I,$F266)*O266</f>
        <v>-0.79044600237997253</v>
      </c>
      <c r="L266" s="18"/>
      <c r="M266" s="18"/>
      <c r="N266" s="9"/>
      <c r="O266" s="21">
        <v>0.8</v>
      </c>
      <c r="Q266" s="15" t="str">
        <f t="shared" si="80"/>
        <v/>
      </c>
      <c r="R266" s="16"/>
      <c r="S266" s="17" t="str">
        <f t="shared" si="82"/>
        <v>TRADSL</v>
      </c>
      <c r="T266" s="17" t="str">
        <f t="shared" si="83"/>
        <v>TRAFRECLHDMD</v>
      </c>
      <c r="U266" s="17" t="str">
        <f t="shared" si="84"/>
        <v>TRAFRECLHDMD</v>
      </c>
      <c r="V266" s="18">
        <v>2025</v>
      </c>
      <c r="W266" s="18" t="str">
        <f>W265</f>
        <v>UP</v>
      </c>
      <c r="X266" s="18"/>
      <c r="Y266" s="20">
        <f>-MIN(SUMIFS('TRA RESID'!$P:$P,'TRA RESID'!$H:$H,$E266,'TRA RESID'!$I:$I,$F266)/SUMIFS('TRA RESID'!$P:$P,'TRA RESID'!$I:$I,$F266)*AC266,1)</f>
        <v>-1</v>
      </c>
      <c r="Z266" s="18"/>
      <c r="AA266" s="18"/>
      <c r="AB266" s="9"/>
      <c r="AC266" s="21">
        <v>1.2</v>
      </c>
    </row>
    <row r="267" spans="1:29" x14ac:dyDescent="0.25">
      <c r="A267" s="9">
        <f>A266</f>
        <v>66</v>
      </c>
      <c r="B267" s="9"/>
      <c r="C267" s="15" t="str">
        <f>IF(C266="*",C266,"")</f>
        <v/>
      </c>
      <c r="D267" s="16"/>
      <c r="E267" s="17" t="str">
        <f t="shared" si="85"/>
        <v>TRADSL</v>
      </c>
      <c r="F267" s="17" t="str">
        <f t="shared" si="85"/>
        <v>TRAFRECLHDMD</v>
      </c>
      <c r="G267" s="17" t="str">
        <f t="shared" si="85"/>
        <v>TRAFRECLHDMD</v>
      </c>
      <c r="H267" s="18">
        <v>2030</v>
      </c>
      <c r="I267" s="18" t="str">
        <f>I266</f>
        <v>LO</v>
      </c>
      <c r="J267" s="18"/>
      <c r="K267" s="20">
        <f>-SUMIFS('TRA RESID'!$P:$P,'TRA RESID'!$H:$H,$E267,'TRA RESID'!$I:$I,$F267)/SUMIFS('TRA RESID'!$P:$P,'TRA RESID'!$I:$I,$F267)*O267</f>
        <v>-0.19761150059499313</v>
      </c>
      <c r="L267" s="18"/>
      <c r="M267" s="18"/>
      <c r="N267" s="9"/>
      <c r="O267" s="21">
        <v>0.2</v>
      </c>
      <c r="Q267" s="15" t="str">
        <f t="shared" si="80"/>
        <v/>
      </c>
      <c r="R267" s="16"/>
      <c r="S267" s="17" t="str">
        <f t="shared" si="82"/>
        <v>TRADSL</v>
      </c>
      <c r="T267" s="17" t="str">
        <f t="shared" si="83"/>
        <v>TRAFRECLHDMD</v>
      </c>
      <c r="U267" s="17" t="str">
        <f t="shared" si="84"/>
        <v>TRAFRECLHDMD</v>
      </c>
      <c r="V267" s="18">
        <v>2030</v>
      </c>
      <c r="W267" s="18" t="str">
        <f>W266</f>
        <v>UP</v>
      </c>
      <c r="X267" s="18"/>
      <c r="Y267" s="20">
        <f>-MIN(SUMIFS('TRA RESID'!$P:$P,'TRA RESID'!$H:$H,$E267,'TRA RESID'!$I:$I,$F267)/SUMIFS('TRA RESID'!$P:$P,'TRA RESID'!$I:$I,$F267)*AC267,1)</f>
        <v>-1</v>
      </c>
      <c r="Z267" s="18"/>
      <c r="AA267" s="18"/>
      <c r="AB267" s="9"/>
      <c r="AC267" s="21">
        <v>1.5</v>
      </c>
    </row>
    <row r="268" spans="1:29" x14ac:dyDescent="0.25">
      <c r="A268" s="22">
        <f>A267</f>
        <v>66</v>
      </c>
      <c r="B268" s="22"/>
      <c r="C268" s="23" t="str">
        <f>IF(C267="*",C267,"")</f>
        <v/>
      </c>
      <c r="D268" s="24"/>
      <c r="E268" s="25" t="str">
        <f t="shared" si="85"/>
        <v>TRADSL</v>
      </c>
      <c r="F268" s="25" t="str">
        <f t="shared" si="85"/>
        <v>TRAFRECLHDMD</v>
      </c>
      <c r="G268" s="25" t="str">
        <f t="shared" si="85"/>
        <v>TRAFRECLHDMD</v>
      </c>
      <c r="H268" s="26">
        <v>2050</v>
      </c>
      <c r="I268" s="26" t="str">
        <f>I267</f>
        <v>LO</v>
      </c>
      <c r="J268" s="26"/>
      <c r="K268" s="27">
        <f>-SUMIFS('TRA RESID'!$P:$P,'TRA RESID'!$H:$H,$E268,'TRA RESID'!$I:$I,$F268)/SUMIFS('TRA RESID'!$P:$P,'TRA RESID'!$I:$I,$F268)*O268</f>
        <v>0</v>
      </c>
      <c r="L268" s="26"/>
      <c r="M268" s="26"/>
      <c r="N268" s="22"/>
      <c r="O268" s="28">
        <v>0</v>
      </c>
      <c r="Q268" s="23" t="str">
        <f t="shared" si="80"/>
        <v/>
      </c>
      <c r="R268" s="24"/>
      <c r="S268" s="25" t="str">
        <f t="shared" si="82"/>
        <v>TRADSL</v>
      </c>
      <c r="T268" s="25" t="str">
        <f t="shared" si="83"/>
        <v>TRAFRECLHDMD</v>
      </c>
      <c r="U268" s="25" t="str">
        <f t="shared" si="84"/>
        <v>TRAFRECLHDMD</v>
      </c>
      <c r="V268" s="26">
        <v>2050</v>
      </c>
      <c r="W268" s="26" t="str">
        <f>W267</f>
        <v>UP</v>
      </c>
      <c r="X268" s="26"/>
      <c r="Y268" s="27">
        <f>-MIN(SUMIFS('TRA RESID'!$P:$P,'TRA RESID'!$H:$H,$E268,'TRA RESID'!$I:$I,$F268)/SUMIFS('TRA RESID'!$P:$P,'TRA RESID'!$I:$I,$F268)*AC268,1)</f>
        <v>-1</v>
      </c>
      <c r="Z268" s="26"/>
      <c r="AA268" s="26"/>
      <c r="AB268" s="22"/>
      <c r="AC268" s="28">
        <v>3</v>
      </c>
    </row>
    <row r="269" spans="1:29" x14ac:dyDescent="0.25">
      <c r="A269" s="14">
        <f>A265+1</f>
        <v>67</v>
      </c>
      <c r="B269" s="9"/>
      <c r="C269" s="15" t="str">
        <f>IF(E269="","",IF(_xlfn.XLOOKUP($A269,Selected_constraint!$A:$A,Selected_constraint!$D:$D)=1,"*",IF(SUMIFS('TRA TECH'!$M:$M,'TRA TECH'!$H:$H,E269,'TRA TECH'!$I:$I,F269)=0,"*",IF(SUMIFS('TRA RESID'!$P:$P,'TRA RESID'!$H:$H,$E269,'TRA RESID'!$I:$I,$F269)=0,"*","UC_MarketShare_"&amp;LEFT(F269,LEN(F269)-3)&amp;"_"&amp;RIGHT(E269,3)&amp;"_MIN"))))</f>
        <v>*</v>
      </c>
      <c r="D269" s="16"/>
      <c r="E269" s="17" t="str">
        <f>_xlfn.XLOOKUP($A269,Selected_constraint!$A:$A,Selected_constraint!$B:$B)</f>
        <v>TRARDS</v>
      </c>
      <c r="F269" s="17" t="str">
        <f>_xlfn.XLOOKUP($A269,Selected_constraint!$A:$A,Selected_constraint!$C:$C)</f>
        <v>TRAFRECLHDMD</v>
      </c>
      <c r="G269" s="17" t="str">
        <f>F269</f>
        <v>TRAFRECLHDMD</v>
      </c>
      <c r="H269" s="18">
        <v>2019</v>
      </c>
      <c r="I269" s="18" t="s">
        <v>483</v>
      </c>
      <c r="J269" s="18">
        <v>1</v>
      </c>
      <c r="K269" s="20">
        <f>-SUMIFS('TRA RESID'!$P:$P,'TRA RESID'!$H:$H,$E269,'TRA RESID'!$I:$I,$F269)/SUMIFS('TRA RESID'!$P:$P,'TRA RESID'!$I:$I,$F269)*O269</f>
        <v>0</v>
      </c>
      <c r="L269" s="18">
        <v>0</v>
      </c>
      <c r="M269" s="18">
        <v>5</v>
      </c>
      <c r="N269" s="9"/>
      <c r="O269" s="21">
        <v>0.98</v>
      </c>
      <c r="Q269" s="15" t="str">
        <f t="shared" si="80"/>
        <v>*</v>
      </c>
      <c r="R269" s="16"/>
      <c r="S269" s="17" t="str">
        <f t="shared" si="82"/>
        <v>TRARDS</v>
      </c>
      <c r="T269" s="17" t="str">
        <f t="shared" si="83"/>
        <v>TRAFRECLHDMD</v>
      </c>
      <c r="U269" s="17" t="str">
        <f t="shared" si="84"/>
        <v>TRAFRECLHDMD</v>
      </c>
      <c r="V269" s="18">
        <v>2019</v>
      </c>
      <c r="W269" s="18" t="s">
        <v>484</v>
      </c>
      <c r="X269" s="18">
        <v>1</v>
      </c>
      <c r="Y269" s="20">
        <f>-MIN(SUMIFS('TRA RESID'!$P:$P,'TRA RESID'!$H:$H,$E269,'TRA RESID'!$I:$I,$F269)/SUMIFS('TRA RESID'!$P:$P,'TRA RESID'!$I:$I,$F269)*AC269,1)</f>
        <v>0</v>
      </c>
      <c r="Z269" s="18">
        <v>0</v>
      </c>
      <c r="AA269" s="18">
        <v>5</v>
      </c>
      <c r="AB269" s="9"/>
      <c r="AC269" s="21">
        <v>1.02</v>
      </c>
    </row>
    <row r="270" spans="1:29" x14ac:dyDescent="0.25">
      <c r="A270" s="9">
        <f>A269</f>
        <v>67</v>
      </c>
      <c r="B270" s="9"/>
      <c r="C270" s="15" t="str">
        <f>IF(C269="*",C269,"")</f>
        <v>*</v>
      </c>
      <c r="D270" s="16"/>
      <c r="E270" s="17" t="str">
        <f t="shared" ref="E270:G272" si="86">E269</f>
        <v>TRARDS</v>
      </c>
      <c r="F270" s="17" t="str">
        <f t="shared" si="86"/>
        <v>TRAFRECLHDMD</v>
      </c>
      <c r="G270" s="17" t="str">
        <f t="shared" si="86"/>
        <v>TRAFRECLHDMD</v>
      </c>
      <c r="H270" s="18">
        <v>2025</v>
      </c>
      <c r="I270" s="18" t="str">
        <f>I269</f>
        <v>LO</v>
      </c>
      <c r="J270" s="18"/>
      <c r="K270" s="20">
        <f>-SUMIFS('TRA RESID'!$P:$P,'TRA RESID'!$H:$H,$E270,'TRA RESID'!$I:$I,$F270)/SUMIFS('TRA RESID'!$P:$P,'TRA RESID'!$I:$I,$F270)*O270</f>
        <v>0</v>
      </c>
      <c r="L270" s="18"/>
      <c r="M270" s="18"/>
      <c r="N270" s="9"/>
      <c r="O270" s="21">
        <v>0.8</v>
      </c>
      <c r="Q270" s="15" t="str">
        <f t="shared" si="80"/>
        <v>*</v>
      </c>
      <c r="R270" s="16"/>
      <c r="S270" s="17" t="str">
        <f t="shared" si="82"/>
        <v>TRARDS</v>
      </c>
      <c r="T270" s="17" t="str">
        <f t="shared" si="83"/>
        <v>TRAFRECLHDMD</v>
      </c>
      <c r="U270" s="17" t="str">
        <f t="shared" si="84"/>
        <v>TRAFRECLHDMD</v>
      </c>
      <c r="V270" s="18">
        <v>2025</v>
      </c>
      <c r="W270" s="18" t="str">
        <f>W269</f>
        <v>UP</v>
      </c>
      <c r="X270" s="18"/>
      <c r="Y270" s="20">
        <f>-MIN(SUMIFS('TRA RESID'!$P:$P,'TRA RESID'!$H:$H,$E270,'TRA RESID'!$I:$I,$F270)/SUMIFS('TRA RESID'!$P:$P,'TRA RESID'!$I:$I,$F270)*AC270,1)</f>
        <v>0</v>
      </c>
      <c r="Z270" s="18"/>
      <c r="AA270" s="18"/>
      <c r="AB270" s="9"/>
      <c r="AC270" s="21">
        <v>1.2</v>
      </c>
    </row>
    <row r="271" spans="1:29" x14ac:dyDescent="0.25">
      <c r="A271" s="9">
        <f>A270</f>
        <v>67</v>
      </c>
      <c r="B271" s="9"/>
      <c r="C271" s="15" t="str">
        <f>IF(C270="*",C270,"")</f>
        <v>*</v>
      </c>
      <c r="D271" s="16"/>
      <c r="E271" s="17" t="str">
        <f t="shared" si="86"/>
        <v>TRARDS</v>
      </c>
      <c r="F271" s="17" t="str">
        <f t="shared" si="86"/>
        <v>TRAFRECLHDMD</v>
      </c>
      <c r="G271" s="17" t="str">
        <f t="shared" si="86"/>
        <v>TRAFRECLHDMD</v>
      </c>
      <c r="H271" s="18">
        <v>2030</v>
      </c>
      <c r="I271" s="18" t="str">
        <f>I270</f>
        <v>LO</v>
      </c>
      <c r="J271" s="18"/>
      <c r="K271" s="20">
        <f>-SUMIFS('TRA RESID'!$P:$P,'TRA RESID'!$H:$H,$E271,'TRA RESID'!$I:$I,$F271)/SUMIFS('TRA RESID'!$P:$P,'TRA RESID'!$I:$I,$F271)*O271</f>
        <v>0</v>
      </c>
      <c r="L271" s="18"/>
      <c r="M271" s="18"/>
      <c r="N271" s="9"/>
      <c r="O271" s="21">
        <v>0.2</v>
      </c>
      <c r="Q271" s="15" t="str">
        <f t="shared" si="80"/>
        <v>*</v>
      </c>
      <c r="R271" s="16"/>
      <c r="S271" s="17" t="str">
        <f t="shared" si="82"/>
        <v>TRARDS</v>
      </c>
      <c r="T271" s="17" t="str">
        <f t="shared" si="83"/>
        <v>TRAFRECLHDMD</v>
      </c>
      <c r="U271" s="17" t="str">
        <f t="shared" si="84"/>
        <v>TRAFRECLHDMD</v>
      </c>
      <c r="V271" s="18">
        <v>2030</v>
      </c>
      <c r="W271" s="18" t="str">
        <f>W270</f>
        <v>UP</v>
      </c>
      <c r="X271" s="18"/>
      <c r="Y271" s="20">
        <f>-MIN(SUMIFS('TRA RESID'!$P:$P,'TRA RESID'!$H:$H,$E271,'TRA RESID'!$I:$I,$F271)/SUMIFS('TRA RESID'!$P:$P,'TRA RESID'!$I:$I,$F271)*AC271,1)</f>
        <v>0</v>
      </c>
      <c r="Z271" s="18"/>
      <c r="AA271" s="18"/>
      <c r="AB271" s="9"/>
      <c r="AC271" s="21">
        <v>1.5</v>
      </c>
    </row>
    <row r="272" spans="1:29" x14ac:dyDescent="0.25">
      <c r="A272" s="22">
        <f>A271</f>
        <v>67</v>
      </c>
      <c r="B272" s="22"/>
      <c r="C272" s="23" t="str">
        <f>IF(C271="*",C271,"")</f>
        <v>*</v>
      </c>
      <c r="D272" s="24"/>
      <c r="E272" s="25" t="str">
        <f t="shared" si="86"/>
        <v>TRARDS</v>
      </c>
      <c r="F272" s="25" t="str">
        <f t="shared" si="86"/>
        <v>TRAFRECLHDMD</v>
      </c>
      <c r="G272" s="25" t="str">
        <f t="shared" si="86"/>
        <v>TRAFRECLHDMD</v>
      </c>
      <c r="H272" s="26">
        <v>2050</v>
      </c>
      <c r="I272" s="26" t="str">
        <f>I271</f>
        <v>LO</v>
      </c>
      <c r="J272" s="26"/>
      <c r="K272" s="27">
        <f>-SUMIFS('TRA RESID'!$P:$P,'TRA RESID'!$H:$H,$E272,'TRA RESID'!$I:$I,$F272)/SUMIFS('TRA RESID'!$P:$P,'TRA RESID'!$I:$I,$F272)*O272</f>
        <v>0</v>
      </c>
      <c r="L272" s="26"/>
      <c r="M272" s="26"/>
      <c r="N272" s="22"/>
      <c r="O272" s="28">
        <v>0</v>
      </c>
      <c r="Q272" s="23" t="str">
        <f t="shared" si="80"/>
        <v>*</v>
      </c>
      <c r="R272" s="24"/>
      <c r="S272" s="25" t="str">
        <f t="shared" si="82"/>
        <v>TRARDS</v>
      </c>
      <c r="T272" s="25" t="str">
        <f t="shared" si="83"/>
        <v>TRAFRECLHDMD</v>
      </c>
      <c r="U272" s="25" t="str">
        <f t="shared" si="84"/>
        <v>TRAFRECLHDMD</v>
      </c>
      <c r="V272" s="26">
        <v>2050</v>
      </c>
      <c r="W272" s="26" t="str">
        <f>W271</f>
        <v>UP</v>
      </c>
      <c r="X272" s="26"/>
      <c r="Y272" s="27">
        <f>-MIN(SUMIFS('TRA RESID'!$P:$P,'TRA RESID'!$H:$H,$E272,'TRA RESID'!$I:$I,$F272)/SUMIFS('TRA RESID'!$P:$P,'TRA RESID'!$I:$I,$F272)*AC272,1)</f>
        <v>0</v>
      </c>
      <c r="Z272" s="26"/>
      <c r="AA272" s="26"/>
      <c r="AB272" s="22"/>
      <c r="AC272" s="28">
        <v>3</v>
      </c>
    </row>
    <row r="273" spans="1:29" x14ac:dyDescent="0.25">
      <c r="A273" s="14">
        <f>A269+1</f>
        <v>68</v>
      </c>
      <c r="B273" s="9"/>
      <c r="C273" s="15" t="str">
        <f>IF(E273="","",IF(_xlfn.XLOOKUP($A273,Selected_constraint!$A:$A,Selected_constraint!$D:$D)=1,"*",IF(SUMIFS('TRA TECH'!$M:$M,'TRA TECH'!$H:$H,E273,'TRA TECH'!$I:$I,F273)=0,"*",IF(SUMIFS('TRA RESID'!$P:$P,'TRA RESID'!$H:$H,$E273,'TRA RESID'!$I:$I,$F273)=0,"*","UC_MarketShare_"&amp;LEFT(F273,LEN(F273)-3)&amp;"_"&amp;RIGHT(E273,3)&amp;"_MIN"))))</f>
        <v>*</v>
      </c>
      <c r="D273" s="16"/>
      <c r="E273" s="17" t="str">
        <f>_xlfn.XLOOKUP($A273,Selected_constraint!$A:$A,Selected_constraint!$B:$B)</f>
        <v>TRABDS</v>
      </c>
      <c r="F273" s="17" t="str">
        <f>_xlfn.XLOOKUP($A273,Selected_constraint!$A:$A,Selected_constraint!$C:$C)</f>
        <v>TRAFRECLHDMD</v>
      </c>
      <c r="G273" s="17" t="str">
        <f>F273</f>
        <v>TRAFRECLHDMD</v>
      </c>
      <c r="H273" s="18">
        <v>2019</v>
      </c>
      <c r="I273" s="18" t="s">
        <v>483</v>
      </c>
      <c r="J273" s="18">
        <v>1</v>
      </c>
      <c r="K273" s="20">
        <f>-SUMIFS('TRA RESID'!$P:$P,'TRA RESID'!$H:$H,$E273,'TRA RESID'!$I:$I,$F273)/SUMIFS('TRA RESID'!$P:$P,'TRA RESID'!$I:$I,$F273)*O273</f>
        <v>0</v>
      </c>
      <c r="L273" s="18">
        <v>0</v>
      </c>
      <c r="M273" s="18">
        <v>5</v>
      </c>
      <c r="N273" s="9"/>
      <c r="O273" s="21">
        <v>0.98</v>
      </c>
      <c r="Q273" s="15" t="str">
        <f t="shared" si="80"/>
        <v>*</v>
      </c>
      <c r="R273" s="16"/>
      <c r="S273" s="17" t="str">
        <f t="shared" si="82"/>
        <v>TRABDS</v>
      </c>
      <c r="T273" s="17" t="str">
        <f t="shared" si="83"/>
        <v>TRAFRECLHDMD</v>
      </c>
      <c r="U273" s="17" t="str">
        <f t="shared" si="84"/>
        <v>TRAFRECLHDMD</v>
      </c>
      <c r="V273" s="18">
        <v>2019</v>
      </c>
      <c r="W273" s="18" t="s">
        <v>484</v>
      </c>
      <c r="X273" s="18">
        <v>1</v>
      </c>
      <c r="Y273" s="20">
        <f>-MIN(SUMIFS('TRA RESID'!$P:$P,'TRA RESID'!$H:$H,$E273,'TRA RESID'!$I:$I,$F273)/SUMIFS('TRA RESID'!$P:$P,'TRA RESID'!$I:$I,$F273)*AC273,1)</f>
        <v>0</v>
      </c>
      <c r="Z273" s="18">
        <v>0</v>
      </c>
      <c r="AA273" s="18">
        <v>5</v>
      </c>
      <c r="AB273" s="9"/>
      <c r="AC273" s="21">
        <v>1.02</v>
      </c>
    </row>
    <row r="274" spans="1:29" x14ac:dyDescent="0.25">
      <c r="A274" s="9">
        <f>A273</f>
        <v>68</v>
      </c>
      <c r="B274" s="9"/>
      <c r="C274" s="15" t="str">
        <f>IF(C273="*",C273,"")</f>
        <v>*</v>
      </c>
      <c r="D274" s="16"/>
      <c r="E274" s="17" t="str">
        <f t="shared" ref="E274:G276" si="87">E273</f>
        <v>TRABDS</v>
      </c>
      <c r="F274" s="17" t="str">
        <f t="shared" si="87"/>
        <v>TRAFRECLHDMD</v>
      </c>
      <c r="G274" s="17" t="str">
        <f t="shared" si="87"/>
        <v>TRAFRECLHDMD</v>
      </c>
      <c r="H274" s="18">
        <v>2025</v>
      </c>
      <c r="I274" s="18" t="str">
        <f>I273</f>
        <v>LO</v>
      </c>
      <c r="J274" s="18"/>
      <c r="K274" s="20">
        <f>-SUMIFS('TRA RESID'!$P:$P,'TRA RESID'!$H:$H,$E274,'TRA RESID'!$I:$I,$F274)/SUMIFS('TRA RESID'!$P:$P,'TRA RESID'!$I:$I,$F274)*O274</f>
        <v>0</v>
      </c>
      <c r="L274" s="18"/>
      <c r="M274" s="18"/>
      <c r="N274" s="9"/>
      <c r="O274" s="21">
        <v>0.8</v>
      </c>
      <c r="Q274" s="15" t="str">
        <f t="shared" si="80"/>
        <v>*</v>
      </c>
      <c r="R274" s="16"/>
      <c r="S274" s="17" t="str">
        <f t="shared" si="82"/>
        <v>TRABDS</v>
      </c>
      <c r="T274" s="17" t="str">
        <f t="shared" si="83"/>
        <v>TRAFRECLHDMD</v>
      </c>
      <c r="U274" s="17" t="str">
        <f t="shared" si="84"/>
        <v>TRAFRECLHDMD</v>
      </c>
      <c r="V274" s="18">
        <v>2025</v>
      </c>
      <c r="W274" s="18" t="str">
        <f>W273</f>
        <v>UP</v>
      </c>
      <c r="X274" s="18"/>
      <c r="Y274" s="20">
        <f>-MIN(SUMIFS('TRA RESID'!$P:$P,'TRA RESID'!$H:$H,$E274,'TRA RESID'!$I:$I,$F274)/SUMIFS('TRA RESID'!$P:$P,'TRA RESID'!$I:$I,$F274)*AC274,1)</f>
        <v>0</v>
      </c>
      <c r="Z274" s="18"/>
      <c r="AA274" s="18"/>
      <c r="AB274" s="9"/>
      <c r="AC274" s="21">
        <v>1.2</v>
      </c>
    </row>
    <row r="275" spans="1:29" x14ac:dyDescent="0.25">
      <c r="A275" s="9">
        <f>A274</f>
        <v>68</v>
      </c>
      <c r="B275" s="9"/>
      <c r="C275" s="15" t="str">
        <f>IF(C274="*",C274,"")</f>
        <v>*</v>
      </c>
      <c r="D275" s="16"/>
      <c r="E275" s="17" t="str">
        <f t="shared" si="87"/>
        <v>TRABDS</v>
      </c>
      <c r="F275" s="17" t="str">
        <f t="shared" si="87"/>
        <v>TRAFRECLHDMD</v>
      </c>
      <c r="G275" s="17" t="str">
        <f t="shared" si="87"/>
        <v>TRAFRECLHDMD</v>
      </c>
      <c r="H275" s="18">
        <v>2030</v>
      </c>
      <c r="I275" s="18" t="str">
        <f>I274</f>
        <v>LO</v>
      </c>
      <c r="J275" s="18"/>
      <c r="K275" s="20">
        <f>-SUMIFS('TRA RESID'!$P:$P,'TRA RESID'!$H:$H,$E275,'TRA RESID'!$I:$I,$F275)/SUMIFS('TRA RESID'!$P:$P,'TRA RESID'!$I:$I,$F275)*O275</f>
        <v>0</v>
      </c>
      <c r="L275" s="18"/>
      <c r="M275" s="18"/>
      <c r="N275" s="9"/>
      <c r="O275" s="21">
        <v>0.2</v>
      </c>
      <c r="Q275" s="15" t="str">
        <f t="shared" si="80"/>
        <v>*</v>
      </c>
      <c r="R275" s="16"/>
      <c r="S275" s="17" t="str">
        <f t="shared" si="82"/>
        <v>TRABDS</v>
      </c>
      <c r="T275" s="17" t="str">
        <f t="shared" si="83"/>
        <v>TRAFRECLHDMD</v>
      </c>
      <c r="U275" s="17" t="str">
        <f t="shared" si="84"/>
        <v>TRAFRECLHDMD</v>
      </c>
      <c r="V275" s="18">
        <v>2030</v>
      </c>
      <c r="W275" s="18" t="str">
        <f>W274</f>
        <v>UP</v>
      </c>
      <c r="X275" s="18"/>
      <c r="Y275" s="20">
        <f>-MIN(SUMIFS('TRA RESID'!$P:$P,'TRA RESID'!$H:$H,$E275,'TRA RESID'!$I:$I,$F275)/SUMIFS('TRA RESID'!$P:$P,'TRA RESID'!$I:$I,$F275)*AC275,1)</f>
        <v>0</v>
      </c>
      <c r="Z275" s="18"/>
      <c r="AA275" s="18"/>
      <c r="AB275" s="9"/>
      <c r="AC275" s="21">
        <v>1.5</v>
      </c>
    </row>
    <row r="276" spans="1:29" x14ac:dyDescent="0.25">
      <c r="A276" s="22">
        <f>A275</f>
        <v>68</v>
      </c>
      <c r="B276" s="22"/>
      <c r="C276" s="23" t="str">
        <f>IF(C275="*",C275,"")</f>
        <v>*</v>
      </c>
      <c r="D276" s="24"/>
      <c r="E276" s="25" t="str">
        <f t="shared" si="87"/>
        <v>TRABDS</v>
      </c>
      <c r="F276" s="25" t="str">
        <f t="shared" si="87"/>
        <v>TRAFRECLHDMD</v>
      </c>
      <c r="G276" s="25" t="str">
        <f t="shared" si="87"/>
        <v>TRAFRECLHDMD</v>
      </c>
      <c r="H276" s="26">
        <v>2050</v>
      </c>
      <c r="I276" s="26" t="str">
        <f>I275</f>
        <v>LO</v>
      </c>
      <c r="J276" s="26"/>
      <c r="K276" s="27">
        <f>-SUMIFS('TRA RESID'!$P:$P,'TRA RESID'!$H:$H,$E276,'TRA RESID'!$I:$I,$F276)/SUMIFS('TRA RESID'!$P:$P,'TRA RESID'!$I:$I,$F276)*O276</f>
        <v>0</v>
      </c>
      <c r="L276" s="26"/>
      <c r="M276" s="26"/>
      <c r="N276" s="22"/>
      <c r="O276" s="28">
        <v>0</v>
      </c>
      <c r="Q276" s="23" t="str">
        <f t="shared" si="80"/>
        <v>*</v>
      </c>
      <c r="R276" s="24"/>
      <c r="S276" s="25" t="str">
        <f t="shared" si="82"/>
        <v>TRABDS</v>
      </c>
      <c r="T276" s="25" t="str">
        <f t="shared" si="83"/>
        <v>TRAFRECLHDMD</v>
      </c>
      <c r="U276" s="25" t="str">
        <f t="shared" si="84"/>
        <v>TRAFRECLHDMD</v>
      </c>
      <c r="V276" s="26">
        <v>2050</v>
      </c>
      <c r="W276" s="26" t="str">
        <f>W275</f>
        <v>UP</v>
      </c>
      <c r="X276" s="26"/>
      <c r="Y276" s="27">
        <f>-MIN(SUMIFS('TRA RESID'!$P:$P,'TRA RESID'!$H:$H,$E276,'TRA RESID'!$I:$I,$F276)/SUMIFS('TRA RESID'!$P:$P,'TRA RESID'!$I:$I,$F276)*AC276,1)</f>
        <v>0</v>
      </c>
      <c r="Z276" s="26"/>
      <c r="AA276" s="26"/>
      <c r="AB276" s="22"/>
      <c r="AC276" s="28">
        <v>3</v>
      </c>
    </row>
    <row r="277" spans="1:29" x14ac:dyDescent="0.25">
      <c r="A277" s="14">
        <f>A273+1</f>
        <v>69</v>
      </c>
      <c r="B277" s="9"/>
      <c r="C277" s="15" t="str">
        <f>IF(E277="","",IF(_xlfn.XLOOKUP($A277,Selected_constraint!$A:$A,Selected_constraint!$D:$D)=1,"*",IF(SUMIFS('TRA TECH'!$M:$M,'TRA TECH'!$H:$H,E277,'TRA TECH'!$I:$I,F277)=0,"*",IF(SUMIFS('TRA RESID'!$P:$P,'TRA RESID'!$H:$H,$E277,'TRA RESID'!$I:$I,$F277)=0,"*","UC_MarketShare_"&amp;LEFT(F277,LEN(F277)-3)&amp;"_"&amp;RIGHT(E277,3)&amp;"_MIN"))))</f>
        <v>*</v>
      </c>
      <c r="D277" s="16"/>
      <c r="E277" s="17" t="str">
        <f>_xlfn.XLOOKUP($A277,Selected_constraint!$A:$A,Selected_constraint!$B:$B)</f>
        <v>TRACNG</v>
      </c>
      <c r="F277" s="17" t="str">
        <f>_xlfn.XLOOKUP($A277,Selected_constraint!$A:$A,Selected_constraint!$C:$C)</f>
        <v>TRAFRECLHDMD</v>
      </c>
      <c r="G277" s="17" t="str">
        <f>F277</f>
        <v>TRAFRECLHDMD</v>
      </c>
      <c r="H277" s="18">
        <v>2019</v>
      </c>
      <c r="I277" s="18" t="s">
        <v>483</v>
      </c>
      <c r="J277" s="18">
        <v>1</v>
      </c>
      <c r="K277" s="20">
        <f>-SUMIFS('TRA RESID'!$P:$P,'TRA RESID'!$H:$H,$E277,'TRA RESID'!$I:$I,$F277)/SUMIFS('TRA RESID'!$P:$P,'TRA RESID'!$I:$I,$F277)*O277</f>
        <v>-5.2270048571195554E-3</v>
      </c>
      <c r="L277" s="18">
        <v>0</v>
      </c>
      <c r="M277" s="18">
        <v>5</v>
      </c>
      <c r="N277" s="9"/>
      <c r="O277" s="21">
        <v>0.98</v>
      </c>
      <c r="Q277" s="15" t="str">
        <f t="shared" si="80"/>
        <v>*</v>
      </c>
      <c r="R277" s="16"/>
      <c r="S277" s="17" t="str">
        <f t="shared" si="82"/>
        <v>TRACNG</v>
      </c>
      <c r="T277" s="17" t="str">
        <f t="shared" si="83"/>
        <v>TRAFRECLHDMD</v>
      </c>
      <c r="U277" s="17" t="str">
        <f t="shared" si="84"/>
        <v>TRAFRECLHDMD</v>
      </c>
      <c r="V277" s="18">
        <v>2019</v>
      </c>
      <c r="W277" s="18" t="s">
        <v>484</v>
      </c>
      <c r="X277" s="18">
        <v>1</v>
      </c>
      <c r="Y277" s="20">
        <f>-MIN(SUMIFS('TRA RESID'!$P:$P,'TRA RESID'!$H:$H,$E277,'TRA RESID'!$I:$I,$F277)/SUMIFS('TRA RESID'!$P:$P,'TRA RESID'!$I:$I,$F277)*AC277,1)</f>
        <v>-5.4403519941448432E-3</v>
      </c>
      <c r="Z277" s="18">
        <v>0</v>
      </c>
      <c r="AA277" s="18">
        <v>5</v>
      </c>
      <c r="AB277" s="9"/>
      <c r="AC277" s="21">
        <v>1.02</v>
      </c>
    </row>
    <row r="278" spans="1:29" x14ac:dyDescent="0.25">
      <c r="A278" s="9">
        <f>A277</f>
        <v>69</v>
      </c>
      <c r="B278" s="9"/>
      <c r="C278" s="15" t="str">
        <f>IF(C277="*",C277,"")</f>
        <v>*</v>
      </c>
      <c r="D278" s="16"/>
      <c r="E278" s="17" t="str">
        <f t="shared" ref="E278:G280" si="88">E277</f>
        <v>TRACNG</v>
      </c>
      <c r="F278" s="17" t="str">
        <f t="shared" si="88"/>
        <v>TRAFRECLHDMD</v>
      </c>
      <c r="G278" s="17" t="str">
        <f t="shared" si="88"/>
        <v>TRAFRECLHDMD</v>
      </c>
      <c r="H278" s="18">
        <v>2025</v>
      </c>
      <c r="I278" s="18" t="str">
        <f>I277</f>
        <v>LO</v>
      </c>
      <c r="J278" s="18"/>
      <c r="K278" s="20">
        <f>-SUMIFS('TRA RESID'!$P:$P,'TRA RESID'!$H:$H,$E278,'TRA RESID'!$I:$I,$F278)/SUMIFS('TRA RESID'!$P:$P,'TRA RESID'!$I:$I,$F278)*O278</f>
        <v>-4.2669427405057593E-3</v>
      </c>
      <c r="L278" s="18"/>
      <c r="M278" s="18"/>
      <c r="N278" s="9"/>
      <c r="O278" s="21">
        <v>0.8</v>
      </c>
      <c r="Q278" s="15" t="str">
        <f t="shared" si="80"/>
        <v>*</v>
      </c>
      <c r="R278" s="16"/>
      <c r="S278" s="17" t="str">
        <f t="shared" si="82"/>
        <v>TRACNG</v>
      </c>
      <c r="T278" s="17" t="str">
        <f t="shared" si="83"/>
        <v>TRAFRECLHDMD</v>
      </c>
      <c r="U278" s="17" t="str">
        <f t="shared" si="84"/>
        <v>TRAFRECLHDMD</v>
      </c>
      <c r="V278" s="18">
        <v>2025</v>
      </c>
      <c r="W278" s="18" t="str">
        <f>W277</f>
        <v>UP</v>
      </c>
      <c r="X278" s="18"/>
      <c r="Y278" s="20">
        <f>-MIN(SUMIFS('TRA RESID'!$P:$P,'TRA RESID'!$H:$H,$E278,'TRA RESID'!$I:$I,$F278)/SUMIFS('TRA RESID'!$P:$P,'TRA RESID'!$I:$I,$F278)*AC278,1)</f>
        <v>-6.4004141107586393E-3</v>
      </c>
      <c r="Z278" s="18"/>
      <c r="AA278" s="18"/>
      <c r="AB278" s="9"/>
      <c r="AC278" s="21">
        <v>1.2</v>
      </c>
    </row>
    <row r="279" spans="1:29" x14ac:dyDescent="0.25">
      <c r="A279" s="9">
        <f>A278</f>
        <v>69</v>
      </c>
      <c r="B279" s="9"/>
      <c r="C279" s="15" t="str">
        <f>IF(C278="*",C278,"")</f>
        <v>*</v>
      </c>
      <c r="D279" s="16"/>
      <c r="E279" s="17" t="str">
        <f t="shared" si="88"/>
        <v>TRACNG</v>
      </c>
      <c r="F279" s="17" t="str">
        <f t="shared" si="88"/>
        <v>TRAFRECLHDMD</v>
      </c>
      <c r="G279" s="17" t="str">
        <f t="shared" si="88"/>
        <v>TRAFRECLHDMD</v>
      </c>
      <c r="H279" s="18">
        <v>2030</v>
      </c>
      <c r="I279" s="18" t="str">
        <f>I278</f>
        <v>LO</v>
      </c>
      <c r="J279" s="18"/>
      <c r="K279" s="20">
        <f>-SUMIFS('TRA RESID'!$P:$P,'TRA RESID'!$H:$H,$E279,'TRA RESID'!$I:$I,$F279)/SUMIFS('TRA RESID'!$P:$P,'TRA RESID'!$I:$I,$F279)*O279</f>
        <v>-1.0667356851264398E-3</v>
      </c>
      <c r="L279" s="18"/>
      <c r="M279" s="18"/>
      <c r="N279" s="9"/>
      <c r="O279" s="21">
        <v>0.2</v>
      </c>
      <c r="Q279" s="15" t="str">
        <f t="shared" si="80"/>
        <v>*</v>
      </c>
      <c r="R279" s="16"/>
      <c r="S279" s="17" t="str">
        <f t="shared" si="82"/>
        <v>TRACNG</v>
      </c>
      <c r="T279" s="17" t="str">
        <f t="shared" si="83"/>
        <v>TRAFRECLHDMD</v>
      </c>
      <c r="U279" s="17" t="str">
        <f t="shared" si="84"/>
        <v>TRAFRECLHDMD</v>
      </c>
      <c r="V279" s="18">
        <v>2030</v>
      </c>
      <c r="W279" s="18" t="str">
        <f>W278</f>
        <v>UP</v>
      </c>
      <c r="X279" s="18"/>
      <c r="Y279" s="20">
        <f>-MIN(SUMIFS('TRA RESID'!$P:$P,'TRA RESID'!$H:$H,$E279,'TRA RESID'!$I:$I,$F279)/SUMIFS('TRA RESID'!$P:$P,'TRA RESID'!$I:$I,$F279)*AC279,1)</f>
        <v>-8.0005176384482998E-3</v>
      </c>
      <c r="Z279" s="18"/>
      <c r="AA279" s="18"/>
      <c r="AB279" s="9"/>
      <c r="AC279" s="21">
        <v>1.5</v>
      </c>
    </row>
    <row r="280" spans="1:29" x14ac:dyDescent="0.25">
      <c r="A280" s="22">
        <f>A279</f>
        <v>69</v>
      </c>
      <c r="B280" s="22"/>
      <c r="C280" s="23" t="str">
        <f>IF(C279="*",C279,"")</f>
        <v>*</v>
      </c>
      <c r="D280" s="24"/>
      <c r="E280" s="25" t="str">
        <f t="shared" si="88"/>
        <v>TRACNG</v>
      </c>
      <c r="F280" s="25" t="str">
        <f t="shared" si="88"/>
        <v>TRAFRECLHDMD</v>
      </c>
      <c r="G280" s="25" t="str">
        <f t="shared" si="88"/>
        <v>TRAFRECLHDMD</v>
      </c>
      <c r="H280" s="26">
        <v>2050</v>
      </c>
      <c r="I280" s="26" t="str">
        <f>I279</f>
        <v>LO</v>
      </c>
      <c r="J280" s="26"/>
      <c r="K280" s="27">
        <f>-SUMIFS('TRA RESID'!$P:$P,'TRA RESID'!$H:$H,$E280,'TRA RESID'!$I:$I,$F280)/SUMIFS('TRA RESID'!$P:$P,'TRA RESID'!$I:$I,$F280)*O280</f>
        <v>0</v>
      </c>
      <c r="L280" s="26"/>
      <c r="M280" s="26"/>
      <c r="N280" s="22"/>
      <c r="O280" s="28">
        <v>0</v>
      </c>
      <c r="Q280" s="23" t="str">
        <f t="shared" si="80"/>
        <v>*</v>
      </c>
      <c r="R280" s="24"/>
      <c r="S280" s="25" t="str">
        <f t="shared" si="82"/>
        <v>TRACNG</v>
      </c>
      <c r="T280" s="25" t="str">
        <f t="shared" si="83"/>
        <v>TRAFRECLHDMD</v>
      </c>
      <c r="U280" s="25" t="str">
        <f t="shared" si="84"/>
        <v>TRAFRECLHDMD</v>
      </c>
      <c r="V280" s="26">
        <v>2050</v>
      </c>
      <c r="W280" s="26" t="str">
        <f>W279</f>
        <v>UP</v>
      </c>
      <c r="X280" s="26"/>
      <c r="Y280" s="27">
        <f>-MIN(SUMIFS('TRA RESID'!$P:$P,'TRA RESID'!$H:$H,$E280,'TRA RESID'!$I:$I,$F280)/SUMIFS('TRA RESID'!$P:$P,'TRA RESID'!$I:$I,$F280)*AC280,1)</f>
        <v>-1.60010352768966E-2</v>
      </c>
      <c r="Z280" s="26"/>
      <c r="AA280" s="26"/>
      <c r="AB280" s="22"/>
      <c r="AC280" s="28">
        <v>3</v>
      </c>
    </row>
    <row r="281" spans="1:29" x14ac:dyDescent="0.25">
      <c r="A281" s="14">
        <f>A277+1</f>
        <v>70</v>
      </c>
      <c r="B281" s="9"/>
      <c r="C281" s="15" t="str">
        <f>IF(E281="","",IF(_xlfn.XLOOKUP($A281,Selected_constraint!$A:$A,Selected_constraint!$D:$D)=1,"*",IF(SUMIFS('TRA TECH'!$M:$M,'TRA TECH'!$H:$H,E281,'TRA TECH'!$I:$I,F281)=0,"*",IF(SUMIFS('TRA RESID'!$P:$P,'TRA RESID'!$H:$H,$E281,'TRA RESID'!$I:$I,$F281)=0,"*","UC_MarketShare_"&amp;LEFT(F281,LEN(F281)-3)&amp;"_"&amp;RIGHT(E281,3)&amp;"_MIN"))))</f>
        <v>*</v>
      </c>
      <c r="D281" s="16"/>
      <c r="E281" s="17" t="str">
        <f>_xlfn.XLOOKUP($A281,Selected_constraint!$A:$A,Selected_constraint!$B:$B)</f>
        <v>TRARNG</v>
      </c>
      <c r="F281" s="17" t="str">
        <f>_xlfn.XLOOKUP($A281,Selected_constraint!$A:$A,Selected_constraint!$C:$C)</f>
        <v>TRAFRECLHDMD</v>
      </c>
      <c r="G281" s="17" t="str">
        <f>F281</f>
        <v>TRAFRECLHDMD</v>
      </c>
      <c r="H281" s="18">
        <v>2019</v>
      </c>
      <c r="I281" s="18" t="s">
        <v>483</v>
      </c>
      <c r="J281" s="18">
        <v>1</v>
      </c>
      <c r="K281" s="20">
        <f>-SUMIFS('TRA RESID'!$P:$P,'TRA RESID'!$H:$H,$E281,'TRA RESID'!$I:$I,$F281)/SUMIFS('TRA RESID'!$P:$P,'TRA RESID'!$I:$I,$F281)*O281</f>
        <v>0</v>
      </c>
      <c r="L281" s="18">
        <v>0</v>
      </c>
      <c r="M281" s="18">
        <v>5</v>
      </c>
      <c r="N281" s="9"/>
      <c r="O281" s="21">
        <v>0.98</v>
      </c>
      <c r="Q281" s="15" t="str">
        <f t="shared" si="80"/>
        <v>*</v>
      </c>
      <c r="R281" s="16"/>
      <c r="S281" s="17" t="str">
        <f t="shared" si="82"/>
        <v>TRARNG</v>
      </c>
      <c r="T281" s="17" t="str">
        <f t="shared" si="83"/>
        <v>TRAFRECLHDMD</v>
      </c>
      <c r="U281" s="17" t="str">
        <f t="shared" si="84"/>
        <v>TRAFRECLHDMD</v>
      </c>
      <c r="V281" s="18">
        <v>2019</v>
      </c>
      <c r="W281" s="18" t="s">
        <v>484</v>
      </c>
      <c r="X281" s="18">
        <v>1</v>
      </c>
      <c r="Y281" s="20">
        <f>-MIN(SUMIFS('TRA RESID'!$P:$P,'TRA RESID'!$H:$H,$E281,'TRA RESID'!$I:$I,$F281)/SUMIFS('TRA RESID'!$P:$P,'TRA RESID'!$I:$I,$F281)*AC281,1)</f>
        <v>0</v>
      </c>
      <c r="Z281" s="18">
        <v>0</v>
      </c>
      <c r="AA281" s="18">
        <v>5</v>
      </c>
      <c r="AB281" s="9"/>
      <c r="AC281" s="21">
        <v>1.02</v>
      </c>
    </row>
    <row r="282" spans="1:29" x14ac:dyDescent="0.25">
      <c r="A282" s="9">
        <f>A281</f>
        <v>70</v>
      </c>
      <c r="B282" s="9"/>
      <c r="C282" s="15" t="str">
        <f>IF(C281="*",C281,"")</f>
        <v>*</v>
      </c>
      <c r="D282" s="16"/>
      <c r="E282" s="17" t="str">
        <f t="shared" ref="E282:G284" si="89">E281</f>
        <v>TRARNG</v>
      </c>
      <c r="F282" s="17" t="str">
        <f t="shared" si="89"/>
        <v>TRAFRECLHDMD</v>
      </c>
      <c r="G282" s="17" t="str">
        <f t="shared" si="89"/>
        <v>TRAFRECLHDMD</v>
      </c>
      <c r="H282" s="18">
        <v>2025</v>
      </c>
      <c r="I282" s="18" t="str">
        <f>I281</f>
        <v>LO</v>
      </c>
      <c r="J282" s="18"/>
      <c r="K282" s="20">
        <f>-SUMIFS('TRA RESID'!$P:$P,'TRA RESID'!$H:$H,$E282,'TRA RESID'!$I:$I,$F282)/SUMIFS('TRA RESID'!$P:$P,'TRA RESID'!$I:$I,$F282)*O282</f>
        <v>0</v>
      </c>
      <c r="L282" s="18"/>
      <c r="M282" s="18"/>
      <c r="N282" s="9"/>
      <c r="O282" s="21">
        <v>0.8</v>
      </c>
      <c r="Q282" s="15" t="str">
        <f t="shared" si="80"/>
        <v>*</v>
      </c>
      <c r="R282" s="16"/>
      <c r="S282" s="17" t="str">
        <f t="shared" si="82"/>
        <v>TRARNG</v>
      </c>
      <c r="T282" s="17" t="str">
        <f t="shared" si="83"/>
        <v>TRAFRECLHDMD</v>
      </c>
      <c r="U282" s="17" t="str">
        <f t="shared" si="84"/>
        <v>TRAFRECLHDMD</v>
      </c>
      <c r="V282" s="18">
        <v>2025</v>
      </c>
      <c r="W282" s="18" t="str">
        <f>W281</f>
        <v>UP</v>
      </c>
      <c r="X282" s="18"/>
      <c r="Y282" s="20">
        <f>-MIN(SUMIFS('TRA RESID'!$P:$P,'TRA RESID'!$H:$H,$E282,'TRA RESID'!$I:$I,$F282)/SUMIFS('TRA RESID'!$P:$P,'TRA RESID'!$I:$I,$F282)*AC282,1)</f>
        <v>0</v>
      </c>
      <c r="Z282" s="18"/>
      <c r="AA282" s="18"/>
      <c r="AB282" s="9"/>
      <c r="AC282" s="21">
        <v>1.2</v>
      </c>
    </row>
    <row r="283" spans="1:29" x14ac:dyDescent="0.25">
      <c r="A283" s="9">
        <f>A282</f>
        <v>70</v>
      </c>
      <c r="B283" s="9"/>
      <c r="C283" s="15" t="str">
        <f>IF(C282="*",C282,"")</f>
        <v>*</v>
      </c>
      <c r="D283" s="16"/>
      <c r="E283" s="17" t="str">
        <f t="shared" si="89"/>
        <v>TRARNG</v>
      </c>
      <c r="F283" s="17" t="str">
        <f t="shared" si="89"/>
        <v>TRAFRECLHDMD</v>
      </c>
      <c r="G283" s="17" t="str">
        <f t="shared" si="89"/>
        <v>TRAFRECLHDMD</v>
      </c>
      <c r="H283" s="18">
        <v>2030</v>
      </c>
      <c r="I283" s="18" t="str">
        <f>I282</f>
        <v>LO</v>
      </c>
      <c r="J283" s="18"/>
      <c r="K283" s="20">
        <f>-SUMIFS('TRA RESID'!$P:$P,'TRA RESID'!$H:$H,$E283,'TRA RESID'!$I:$I,$F283)/SUMIFS('TRA RESID'!$P:$P,'TRA RESID'!$I:$I,$F283)*O283</f>
        <v>0</v>
      </c>
      <c r="L283" s="18"/>
      <c r="M283" s="18"/>
      <c r="N283" s="9"/>
      <c r="O283" s="21">
        <v>0.2</v>
      </c>
      <c r="Q283" s="15" t="str">
        <f t="shared" si="80"/>
        <v>*</v>
      </c>
      <c r="R283" s="16"/>
      <c r="S283" s="17" t="str">
        <f t="shared" si="82"/>
        <v>TRARNG</v>
      </c>
      <c r="T283" s="17" t="str">
        <f t="shared" si="83"/>
        <v>TRAFRECLHDMD</v>
      </c>
      <c r="U283" s="17" t="str">
        <f t="shared" si="84"/>
        <v>TRAFRECLHDMD</v>
      </c>
      <c r="V283" s="18">
        <v>2030</v>
      </c>
      <c r="W283" s="18" t="str">
        <f>W282</f>
        <v>UP</v>
      </c>
      <c r="X283" s="18"/>
      <c r="Y283" s="20">
        <f>-MIN(SUMIFS('TRA RESID'!$P:$P,'TRA RESID'!$H:$H,$E283,'TRA RESID'!$I:$I,$F283)/SUMIFS('TRA RESID'!$P:$P,'TRA RESID'!$I:$I,$F283)*AC283,1)</f>
        <v>0</v>
      </c>
      <c r="Z283" s="18"/>
      <c r="AA283" s="18"/>
      <c r="AB283" s="9"/>
      <c r="AC283" s="21">
        <v>1.5</v>
      </c>
    </row>
    <row r="284" spans="1:29" x14ac:dyDescent="0.25">
      <c r="A284" s="22">
        <f>A283</f>
        <v>70</v>
      </c>
      <c r="B284" s="22"/>
      <c r="C284" s="23" t="str">
        <f>IF(C283="*",C283,"")</f>
        <v>*</v>
      </c>
      <c r="D284" s="24"/>
      <c r="E284" s="25" t="str">
        <f t="shared" si="89"/>
        <v>TRARNG</v>
      </c>
      <c r="F284" s="25" t="str">
        <f t="shared" si="89"/>
        <v>TRAFRECLHDMD</v>
      </c>
      <c r="G284" s="25" t="str">
        <f t="shared" si="89"/>
        <v>TRAFRECLHDMD</v>
      </c>
      <c r="H284" s="26">
        <v>2050</v>
      </c>
      <c r="I284" s="26" t="str">
        <f>I283</f>
        <v>LO</v>
      </c>
      <c r="J284" s="26"/>
      <c r="K284" s="27">
        <f>-SUMIFS('TRA RESID'!$P:$P,'TRA RESID'!$H:$H,$E284,'TRA RESID'!$I:$I,$F284)/SUMIFS('TRA RESID'!$P:$P,'TRA RESID'!$I:$I,$F284)*O284</f>
        <v>0</v>
      </c>
      <c r="L284" s="26"/>
      <c r="M284" s="26"/>
      <c r="N284" s="22"/>
      <c r="O284" s="28">
        <v>0</v>
      </c>
      <c r="Q284" s="23" t="str">
        <f t="shared" si="80"/>
        <v>*</v>
      </c>
      <c r="R284" s="24"/>
      <c r="S284" s="25" t="str">
        <f t="shared" si="82"/>
        <v>TRARNG</v>
      </c>
      <c r="T284" s="25" t="str">
        <f t="shared" si="83"/>
        <v>TRAFRECLHDMD</v>
      </c>
      <c r="U284" s="25" t="str">
        <f t="shared" si="84"/>
        <v>TRAFRECLHDMD</v>
      </c>
      <c r="V284" s="26">
        <v>2050</v>
      </c>
      <c r="W284" s="26" t="str">
        <f>W283</f>
        <v>UP</v>
      </c>
      <c r="X284" s="26"/>
      <c r="Y284" s="27">
        <f>-MIN(SUMIFS('TRA RESID'!$P:$P,'TRA RESID'!$H:$H,$E284,'TRA RESID'!$I:$I,$F284)/SUMIFS('TRA RESID'!$P:$P,'TRA RESID'!$I:$I,$F284)*AC284,1)</f>
        <v>0</v>
      </c>
      <c r="Z284" s="26"/>
      <c r="AA284" s="26"/>
      <c r="AB284" s="22"/>
      <c r="AC284" s="28">
        <v>3</v>
      </c>
    </row>
    <row r="285" spans="1:29" x14ac:dyDescent="0.25">
      <c r="A285" s="14">
        <f>A281+1</f>
        <v>71</v>
      </c>
      <c r="B285" s="9"/>
      <c r="C285" s="15" t="str">
        <f>IF(E285="","",IF(_xlfn.XLOOKUP($A285,Selected_constraint!$A:$A,Selected_constraint!$D:$D)=1,"*",IF(SUMIFS('TRA TECH'!$M:$M,'TRA TECH'!$H:$H,E285,'TRA TECH'!$I:$I,F285)=0,"*",IF(SUMIFS('TRA RESID'!$P:$P,'TRA RESID'!$H:$H,$E285,'TRA RESID'!$I:$I,$F285)=0,"*","UC_MarketShare_"&amp;LEFT(F285,LEN(F285)-3)&amp;"_"&amp;RIGHT(E285,3)&amp;"_MIN"))))</f>
        <v>*</v>
      </c>
      <c r="D285" s="16"/>
      <c r="E285" s="17" t="str">
        <f>_xlfn.XLOOKUP($A285,Selected_constraint!$A:$A,Selected_constraint!$B:$B)</f>
        <v>TRABAF</v>
      </c>
      <c r="F285" s="17" t="str">
        <f>_xlfn.XLOOKUP($A285,Selected_constraint!$A:$A,Selected_constraint!$C:$C)</f>
        <v>TRAFRECLHDMD</v>
      </c>
      <c r="G285" s="17" t="str">
        <f>F285</f>
        <v>TRAFRECLHDMD</v>
      </c>
      <c r="H285" s="18">
        <v>2019</v>
      </c>
      <c r="I285" s="18" t="s">
        <v>483</v>
      </c>
      <c r="J285" s="18">
        <v>1</v>
      </c>
      <c r="K285" s="20">
        <f>-SUMIFS('TRA RESID'!$P:$P,'TRA RESID'!$H:$H,$E285,'TRA RESID'!$I:$I,$F285)/SUMIFS('TRA RESID'!$P:$P,'TRA RESID'!$I:$I,$F285)*O285</f>
        <v>0</v>
      </c>
      <c r="L285" s="18">
        <v>0</v>
      </c>
      <c r="M285" s="18">
        <v>5</v>
      </c>
      <c r="N285" s="9"/>
      <c r="O285" s="21">
        <v>0.98</v>
      </c>
      <c r="Q285" s="15" t="str">
        <f t="shared" si="80"/>
        <v>*</v>
      </c>
      <c r="R285" s="16"/>
      <c r="S285" s="17" t="str">
        <f t="shared" si="82"/>
        <v>TRABAF</v>
      </c>
      <c r="T285" s="17" t="str">
        <f t="shared" si="83"/>
        <v>TRAFRECLHDMD</v>
      </c>
      <c r="U285" s="17" t="str">
        <f t="shared" si="84"/>
        <v>TRAFRECLHDMD</v>
      </c>
      <c r="V285" s="18">
        <v>2019</v>
      </c>
      <c r="W285" s="18" t="s">
        <v>484</v>
      </c>
      <c r="X285" s="18">
        <v>1</v>
      </c>
      <c r="Y285" s="20">
        <f>-MIN(SUMIFS('TRA RESID'!$P:$P,'TRA RESID'!$H:$H,$E285,'TRA RESID'!$I:$I,$F285)/SUMIFS('TRA RESID'!$P:$P,'TRA RESID'!$I:$I,$F285)*AC285,1)</f>
        <v>0</v>
      </c>
      <c r="Z285" s="18">
        <v>0</v>
      </c>
      <c r="AA285" s="18">
        <v>5</v>
      </c>
      <c r="AB285" s="9"/>
      <c r="AC285" s="21">
        <v>1.02</v>
      </c>
    </row>
    <row r="286" spans="1:29" x14ac:dyDescent="0.25">
      <c r="A286" s="9">
        <f>A285</f>
        <v>71</v>
      </c>
      <c r="B286" s="9"/>
      <c r="C286" s="15" t="str">
        <f>IF(C285="*",C285,"")</f>
        <v>*</v>
      </c>
      <c r="D286" s="16"/>
      <c r="E286" s="17" t="str">
        <f t="shared" ref="E286:G288" si="90">E285</f>
        <v>TRABAF</v>
      </c>
      <c r="F286" s="17" t="str">
        <f t="shared" si="90"/>
        <v>TRAFRECLHDMD</v>
      </c>
      <c r="G286" s="17" t="str">
        <f t="shared" si="90"/>
        <v>TRAFRECLHDMD</v>
      </c>
      <c r="H286" s="18">
        <v>2025</v>
      </c>
      <c r="I286" s="18" t="str">
        <f>I285</f>
        <v>LO</v>
      </c>
      <c r="J286" s="18"/>
      <c r="K286" s="20">
        <f>-SUMIFS('TRA RESID'!$P:$P,'TRA RESID'!$H:$H,$E286,'TRA RESID'!$I:$I,$F286)/SUMIFS('TRA RESID'!$P:$P,'TRA RESID'!$I:$I,$F286)*O286</f>
        <v>0</v>
      </c>
      <c r="L286" s="18"/>
      <c r="M286" s="18"/>
      <c r="N286" s="9"/>
      <c r="O286" s="21">
        <v>0.8</v>
      </c>
      <c r="Q286" s="15" t="str">
        <f t="shared" si="80"/>
        <v>*</v>
      </c>
      <c r="R286" s="16"/>
      <c r="S286" s="17" t="str">
        <f t="shared" si="82"/>
        <v>TRABAF</v>
      </c>
      <c r="T286" s="17" t="str">
        <f t="shared" si="83"/>
        <v>TRAFRECLHDMD</v>
      </c>
      <c r="U286" s="17" t="str">
        <f t="shared" si="84"/>
        <v>TRAFRECLHDMD</v>
      </c>
      <c r="V286" s="18">
        <v>2025</v>
      </c>
      <c r="W286" s="18" t="str">
        <f>W285</f>
        <v>UP</v>
      </c>
      <c r="X286" s="18"/>
      <c r="Y286" s="20">
        <f>-MIN(SUMIFS('TRA RESID'!$P:$P,'TRA RESID'!$H:$H,$E286,'TRA RESID'!$I:$I,$F286)/SUMIFS('TRA RESID'!$P:$P,'TRA RESID'!$I:$I,$F286)*AC286,1)</f>
        <v>0</v>
      </c>
      <c r="Z286" s="18"/>
      <c r="AA286" s="18"/>
      <c r="AB286" s="9"/>
      <c r="AC286" s="21">
        <v>1.2</v>
      </c>
    </row>
    <row r="287" spans="1:29" x14ac:dyDescent="0.25">
      <c r="A287" s="9">
        <f>A286</f>
        <v>71</v>
      </c>
      <c r="B287" s="9"/>
      <c r="C287" s="15" t="str">
        <f>IF(C286="*",C286,"")</f>
        <v>*</v>
      </c>
      <c r="D287" s="16"/>
      <c r="E287" s="17" t="str">
        <f t="shared" si="90"/>
        <v>TRABAF</v>
      </c>
      <c r="F287" s="17" t="str">
        <f t="shared" si="90"/>
        <v>TRAFRECLHDMD</v>
      </c>
      <c r="G287" s="17" t="str">
        <f t="shared" si="90"/>
        <v>TRAFRECLHDMD</v>
      </c>
      <c r="H287" s="18">
        <v>2030</v>
      </c>
      <c r="I287" s="18" t="str">
        <f>I286</f>
        <v>LO</v>
      </c>
      <c r="J287" s="18"/>
      <c r="K287" s="20">
        <f>-SUMIFS('TRA RESID'!$P:$P,'TRA RESID'!$H:$H,$E287,'TRA RESID'!$I:$I,$F287)/SUMIFS('TRA RESID'!$P:$P,'TRA RESID'!$I:$I,$F287)*O287</f>
        <v>0</v>
      </c>
      <c r="L287" s="18"/>
      <c r="M287" s="18"/>
      <c r="N287" s="9"/>
      <c r="O287" s="21">
        <v>0.2</v>
      </c>
      <c r="Q287" s="15" t="str">
        <f t="shared" si="80"/>
        <v>*</v>
      </c>
      <c r="R287" s="16"/>
      <c r="S287" s="17" t="str">
        <f t="shared" si="82"/>
        <v>TRABAF</v>
      </c>
      <c r="T287" s="17" t="str">
        <f t="shared" si="83"/>
        <v>TRAFRECLHDMD</v>
      </c>
      <c r="U287" s="17" t="str">
        <f t="shared" si="84"/>
        <v>TRAFRECLHDMD</v>
      </c>
      <c r="V287" s="18">
        <v>2030</v>
      </c>
      <c r="W287" s="18" t="str">
        <f>W286</f>
        <v>UP</v>
      </c>
      <c r="X287" s="18"/>
      <c r="Y287" s="20">
        <f>-MIN(SUMIFS('TRA RESID'!$P:$P,'TRA RESID'!$H:$H,$E287,'TRA RESID'!$I:$I,$F287)/SUMIFS('TRA RESID'!$P:$P,'TRA RESID'!$I:$I,$F287)*AC287,1)</f>
        <v>0</v>
      </c>
      <c r="Z287" s="18"/>
      <c r="AA287" s="18"/>
      <c r="AB287" s="9"/>
      <c r="AC287" s="21">
        <v>1.5</v>
      </c>
    </row>
    <row r="288" spans="1:29" x14ac:dyDescent="0.25">
      <c r="A288" s="22">
        <f>A287</f>
        <v>71</v>
      </c>
      <c r="B288" s="22"/>
      <c r="C288" s="23" t="str">
        <f>IF(C287="*",C287,"")</f>
        <v>*</v>
      </c>
      <c r="D288" s="24"/>
      <c r="E288" s="25" t="str">
        <f t="shared" si="90"/>
        <v>TRABAF</v>
      </c>
      <c r="F288" s="25" t="str">
        <f t="shared" si="90"/>
        <v>TRAFRECLHDMD</v>
      </c>
      <c r="G288" s="25" t="str">
        <f t="shared" si="90"/>
        <v>TRAFRECLHDMD</v>
      </c>
      <c r="H288" s="26">
        <v>2050</v>
      </c>
      <c r="I288" s="26" t="str">
        <f>I287</f>
        <v>LO</v>
      </c>
      <c r="J288" s="26"/>
      <c r="K288" s="27">
        <f>-SUMIFS('TRA RESID'!$P:$P,'TRA RESID'!$H:$H,$E288,'TRA RESID'!$I:$I,$F288)/SUMIFS('TRA RESID'!$P:$P,'TRA RESID'!$I:$I,$F288)*O288</f>
        <v>0</v>
      </c>
      <c r="L288" s="26"/>
      <c r="M288" s="26"/>
      <c r="N288" s="22"/>
      <c r="O288" s="28">
        <v>0</v>
      </c>
      <c r="Q288" s="23" t="str">
        <f t="shared" si="80"/>
        <v>*</v>
      </c>
      <c r="R288" s="24"/>
      <c r="S288" s="25" t="str">
        <f t="shared" si="82"/>
        <v>TRABAF</v>
      </c>
      <c r="T288" s="25" t="str">
        <f t="shared" si="83"/>
        <v>TRAFRECLHDMD</v>
      </c>
      <c r="U288" s="25" t="str">
        <f t="shared" si="84"/>
        <v>TRAFRECLHDMD</v>
      </c>
      <c r="V288" s="26">
        <v>2050</v>
      </c>
      <c r="W288" s="26" t="str">
        <f>W287</f>
        <v>UP</v>
      </c>
      <c r="X288" s="26"/>
      <c r="Y288" s="27">
        <f>-MIN(SUMIFS('TRA RESID'!$P:$P,'TRA RESID'!$H:$H,$E288,'TRA RESID'!$I:$I,$F288)/SUMIFS('TRA RESID'!$P:$P,'TRA RESID'!$I:$I,$F288)*AC288,1)</f>
        <v>0</v>
      </c>
      <c r="Z288" s="26"/>
      <c r="AA288" s="26"/>
      <c r="AB288" s="22"/>
      <c r="AC288" s="28">
        <v>3</v>
      </c>
    </row>
    <row r="289" spans="1:29" x14ac:dyDescent="0.25">
      <c r="A289" s="14">
        <f>A285+1</f>
        <v>72</v>
      </c>
      <c r="B289" s="9"/>
      <c r="C289" s="15" t="str">
        <f>IF(E289="","",IF(_xlfn.XLOOKUP($A289,Selected_constraint!$A:$A,Selected_constraint!$D:$D)=1,"*",IF(SUMIFS('TRA TECH'!$M:$M,'TRA TECH'!$H:$H,E289,'TRA TECH'!$I:$I,F289)=0,"*",IF(SUMIFS('TRA RESID'!$P:$P,'TRA RESID'!$H:$H,$E289,'TRA RESID'!$I:$I,$F289)=0,"*","UC_MarketShare_"&amp;LEFT(F289,LEN(F289)-3)&amp;"_"&amp;RIGHT(E289,3)&amp;"_MIN"))))</f>
        <v>*</v>
      </c>
      <c r="D289" s="16"/>
      <c r="E289" s="17" t="str">
        <f>_xlfn.XLOOKUP($A289,Selected_constraint!$A:$A,Selected_constraint!$B:$B)</f>
        <v>TRAH2G</v>
      </c>
      <c r="F289" s="17" t="str">
        <f>_xlfn.XLOOKUP($A289,Selected_constraint!$A:$A,Selected_constraint!$C:$C)</f>
        <v>TRAFRECLHDMD</v>
      </c>
      <c r="G289" s="17" t="str">
        <f>F289</f>
        <v>TRAFRECLHDMD</v>
      </c>
      <c r="H289" s="18">
        <v>2019</v>
      </c>
      <c r="I289" s="18" t="s">
        <v>483</v>
      </c>
      <c r="J289" s="18">
        <v>1</v>
      </c>
      <c r="K289" s="20">
        <f>-SUMIFS('TRA RESID'!$P:$P,'TRA RESID'!$H:$H,$E289,'TRA RESID'!$I:$I,$F289)/SUMIFS('TRA RESID'!$P:$P,'TRA RESID'!$I:$I,$F289)*O289</f>
        <v>0</v>
      </c>
      <c r="L289" s="18">
        <v>0</v>
      </c>
      <c r="M289" s="18">
        <v>5</v>
      </c>
      <c r="N289" s="9"/>
      <c r="O289" s="21">
        <v>0.98</v>
      </c>
      <c r="Q289" s="15" t="str">
        <f t="shared" si="80"/>
        <v>*</v>
      </c>
      <c r="R289" s="16"/>
      <c r="S289" s="17" t="str">
        <f t="shared" si="82"/>
        <v>TRAH2G</v>
      </c>
      <c r="T289" s="17" t="str">
        <f t="shared" si="83"/>
        <v>TRAFRECLHDMD</v>
      </c>
      <c r="U289" s="17" t="str">
        <f t="shared" si="84"/>
        <v>TRAFRECLHDMD</v>
      </c>
      <c r="V289" s="18">
        <v>2019</v>
      </c>
      <c r="W289" s="18" t="s">
        <v>484</v>
      </c>
      <c r="X289" s="18">
        <v>1</v>
      </c>
      <c r="Y289" s="20">
        <f>-MIN(SUMIFS('TRA RESID'!$P:$P,'TRA RESID'!$H:$H,$E289,'TRA RESID'!$I:$I,$F289)/SUMIFS('TRA RESID'!$P:$P,'TRA RESID'!$I:$I,$F289)*AC289,1)</f>
        <v>0</v>
      </c>
      <c r="Z289" s="18">
        <v>0</v>
      </c>
      <c r="AA289" s="18">
        <v>5</v>
      </c>
      <c r="AB289" s="9"/>
      <c r="AC289" s="21">
        <v>1.02</v>
      </c>
    </row>
    <row r="290" spans="1:29" x14ac:dyDescent="0.25">
      <c r="A290" s="9">
        <f>A289</f>
        <v>72</v>
      </c>
      <c r="B290" s="9"/>
      <c r="C290" s="15" t="str">
        <f>IF(C289="*",C289,"")</f>
        <v>*</v>
      </c>
      <c r="D290" s="16"/>
      <c r="E290" s="17" t="str">
        <f t="shared" ref="E290:G292" si="91">E289</f>
        <v>TRAH2G</v>
      </c>
      <c r="F290" s="17" t="str">
        <f t="shared" si="91"/>
        <v>TRAFRECLHDMD</v>
      </c>
      <c r="G290" s="17" t="str">
        <f t="shared" si="91"/>
        <v>TRAFRECLHDMD</v>
      </c>
      <c r="H290" s="18">
        <v>2025</v>
      </c>
      <c r="I290" s="18" t="str">
        <f>I289</f>
        <v>LO</v>
      </c>
      <c r="J290" s="18"/>
      <c r="K290" s="20">
        <f>-SUMIFS('TRA RESID'!$P:$P,'TRA RESID'!$H:$H,$E290,'TRA RESID'!$I:$I,$F290)/SUMIFS('TRA RESID'!$P:$P,'TRA RESID'!$I:$I,$F290)*O290</f>
        <v>0</v>
      </c>
      <c r="L290" s="18"/>
      <c r="M290" s="18"/>
      <c r="N290" s="9"/>
      <c r="O290" s="21">
        <v>0.8</v>
      </c>
      <c r="Q290" s="15" t="str">
        <f t="shared" si="80"/>
        <v>*</v>
      </c>
      <c r="R290" s="16"/>
      <c r="S290" s="17" t="str">
        <f t="shared" si="82"/>
        <v>TRAH2G</v>
      </c>
      <c r="T290" s="17" t="str">
        <f t="shared" si="83"/>
        <v>TRAFRECLHDMD</v>
      </c>
      <c r="U290" s="17" t="str">
        <f t="shared" si="84"/>
        <v>TRAFRECLHDMD</v>
      </c>
      <c r="V290" s="18">
        <v>2025</v>
      </c>
      <c r="W290" s="18" t="str">
        <f>W289</f>
        <v>UP</v>
      </c>
      <c r="X290" s="18"/>
      <c r="Y290" s="20">
        <f>-MIN(SUMIFS('TRA RESID'!$P:$P,'TRA RESID'!$H:$H,$E290,'TRA RESID'!$I:$I,$F290)/SUMIFS('TRA RESID'!$P:$P,'TRA RESID'!$I:$I,$F290)*AC290,1)</f>
        <v>0</v>
      </c>
      <c r="Z290" s="18"/>
      <c r="AA290" s="18"/>
      <c r="AB290" s="9"/>
      <c r="AC290" s="21">
        <v>1.2</v>
      </c>
    </row>
    <row r="291" spans="1:29" x14ac:dyDescent="0.25">
      <c r="A291" s="9">
        <f>A290</f>
        <v>72</v>
      </c>
      <c r="B291" s="9"/>
      <c r="C291" s="15" t="str">
        <f>IF(C290="*",C290,"")</f>
        <v>*</v>
      </c>
      <c r="D291" s="16"/>
      <c r="E291" s="17" t="str">
        <f t="shared" si="91"/>
        <v>TRAH2G</v>
      </c>
      <c r="F291" s="17" t="str">
        <f t="shared" si="91"/>
        <v>TRAFRECLHDMD</v>
      </c>
      <c r="G291" s="17" t="str">
        <f t="shared" si="91"/>
        <v>TRAFRECLHDMD</v>
      </c>
      <c r="H291" s="18">
        <v>2030</v>
      </c>
      <c r="I291" s="18" t="str">
        <f>I290</f>
        <v>LO</v>
      </c>
      <c r="J291" s="18"/>
      <c r="K291" s="20">
        <f>-SUMIFS('TRA RESID'!$P:$P,'TRA RESID'!$H:$H,$E291,'TRA RESID'!$I:$I,$F291)/SUMIFS('TRA RESID'!$P:$P,'TRA RESID'!$I:$I,$F291)*O291</f>
        <v>0</v>
      </c>
      <c r="L291" s="18"/>
      <c r="M291" s="18"/>
      <c r="N291" s="9"/>
      <c r="O291" s="21">
        <v>0.2</v>
      </c>
      <c r="Q291" s="15" t="str">
        <f t="shared" si="80"/>
        <v>*</v>
      </c>
      <c r="R291" s="16"/>
      <c r="S291" s="17" t="str">
        <f t="shared" si="82"/>
        <v>TRAH2G</v>
      </c>
      <c r="T291" s="17" t="str">
        <f t="shared" si="83"/>
        <v>TRAFRECLHDMD</v>
      </c>
      <c r="U291" s="17" t="str">
        <f t="shared" si="84"/>
        <v>TRAFRECLHDMD</v>
      </c>
      <c r="V291" s="18">
        <v>2030</v>
      </c>
      <c r="W291" s="18" t="str">
        <f>W290</f>
        <v>UP</v>
      </c>
      <c r="X291" s="18"/>
      <c r="Y291" s="20">
        <f>-MIN(SUMIFS('TRA RESID'!$P:$P,'TRA RESID'!$H:$H,$E291,'TRA RESID'!$I:$I,$F291)/SUMIFS('TRA RESID'!$P:$P,'TRA RESID'!$I:$I,$F291)*AC291,1)</f>
        <v>0</v>
      </c>
      <c r="Z291" s="18"/>
      <c r="AA291" s="18"/>
      <c r="AB291" s="9"/>
      <c r="AC291" s="21">
        <v>1.5</v>
      </c>
    </row>
    <row r="292" spans="1:29" x14ac:dyDescent="0.25">
      <c r="A292" s="22">
        <f>A291</f>
        <v>72</v>
      </c>
      <c r="B292" s="22"/>
      <c r="C292" s="23" t="str">
        <f>IF(C291="*",C291,"")</f>
        <v>*</v>
      </c>
      <c r="D292" s="24"/>
      <c r="E292" s="25" t="str">
        <f t="shared" si="91"/>
        <v>TRAH2G</v>
      </c>
      <c r="F292" s="25" t="str">
        <f t="shared" si="91"/>
        <v>TRAFRECLHDMD</v>
      </c>
      <c r="G292" s="25" t="str">
        <f t="shared" si="91"/>
        <v>TRAFRECLHDMD</v>
      </c>
      <c r="H292" s="26">
        <v>2050</v>
      </c>
      <c r="I292" s="26" t="str">
        <f>I291</f>
        <v>LO</v>
      </c>
      <c r="J292" s="26"/>
      <c r="K292" s="27">
        <f>-SUMIFS('TRA RESID'!$P:$P,'TRA RESID'!$H:$H,$E292,'TRA RESID'!$I:$I,$F292)/SUMIFS('TRA RESID'!$P:$P,'TRA RESID'!$I:$I,$F292)*O292</f>
        <v>0</v>
      </c>
      <c r="L292" s="26"/>
      <c r="M292" s="26"/>
      <c r="N292" s="22"/>
      <c r="O292" s="28">
        <v>0</v>
      </c>
      <c r="Q292" s="23" t="str">
        <f t="shared" si="80"/>
        <v>*</v>
      </c>
      <c r="R292" s="24"/>
      <c r="S292" s="25" t="str">
        <f t="shared" si="82"/>
        <v>TRAH2G</v>
      </c>
      <c r="T292" s="25" t="str">
        <f t="shared" si="83"/>
        <v>TRAFRECLHDMD</v>
      </c>
      <c r="U292" s="25" t="str">
        <f t="shared" si="84"/>
        <v>TRAFRECLHDMD</v>
      </c>
      <c r="V292" s="26">
        <v>2050</v>
      </c>
      <c r="W292" s="26" t="str">
        <f>W291</f>
        <v>UP</v>
      </c>
      <c r="X292" s="26"/>
      <c r="Y292" s="27">
        <f>-MIN(SUMIFS('TRA RESID'!$P:$P,'TRA RESID'!$H:$H,$E292,'TRA RESID'!$I:$I,$F292)/SUMIFS('TRA RESID'!$P:$P,'TRA RESID'!$I:$I,$F292)*AC292,1)</f>
        <v>0</v>
      </c>
      <c r="Z292" s="26"/>
      <c r="AA292" s="26"/>
      <c r="AB292" s="22"/>
      <c r="AC292" s="28">
        <v>3</v>
      </c>
    </row>
    <row r="293" spans="1:29" x14ac:dyDescent="0.25">
      <c r="A293" s="14">
        <f>A289+1</f>
        <v>73</v>
      </c>
      <c r="B293" s="9"/>
      <c r="C293" s="15" t="str">
        <f>IF(E293="","",IF(_xlfn.XLOOKUP($A293,Selected_constraint!$A:$A,Selected_constraint!$D:$D)=1,"*",IF(SUMIFS('TRA TECH'!$M:$M,'TRA TECH'!$H:$H,E293,'TRA TECH'!$I:$I,F293)=0,"*",IF(SUMIFS('TRA RESID'!$P:$P,'TRA RESID'!$H:$H,$E293,'TRA RESID'!$I:$I,$F293)=0,"*","UC_MarketShare_"&amp;LEFT(F293,LEN(F293)-3)&amp;"_"&amp;RIGHT(E293,3)&amp;"_MIN"))))</f>
        <v>*</v>
      </c>
      <c r="D293" s="16"/>
      <c r="E293" s="17" t="str">
        <f>_xlfn.XLOOKUP($A293,Selected_constraint!$A:$A,Selected_constraint!$B:$B)</f>
        <v>TRAGSL</v>
      </c>
      <c r="F293" s="17" t="str">
        <f>_xlfn.XLOOKUP($A293,Selected_constraint!$A:$A,Selected_constraint!$C:$C)</f>
        <v>TRAFRECSHDMD</v>
      </c>
      <c r="G293" s="17" t="str">
        <f>F293</f>
        <v>TRAFRECSHDMD</v>
      </c>
      <c r="H293" s="18">
        <v>2019</v>
      </c>
      <c r="I293" s="18" t="s">
        <v>483</v>
      </c>
      <c r="J293" s="18">
        <v>1</v>
      </c>
      <c r="K293" s="20" t="e">
        <f>-SUMIFS('TRA RESID'!$P:$P,'TRA RESID'!$H:$H,$E293,'TRA RESID'!$I:$I,$F293)/SUMIFS('TRA RESID'!$P:$P,'TRA RESID'!$I:$I,$F293)*O293</f>
        <v>#DIV/0!</v>
      </c>
      <c r="L293" s="18">
        <v>0</v>
      </c>
      <c r="M293" s="18">
        <v>5</v>
      </c>
      <c r="N293" s="9"/>
      <c r="O293" s="21">
        <v>0.98</v>
      </c>
      <c r="Q293" s="15" t="str">
        <f t="shared" si="80"/>
        <v>*</v>
      </c>
      <c r="R293" s="16"/>
      <c r="S293" s="17" t="str">
        <f t="shared" si="82"/>
        <v>TRAGSL</v>
      </c>
      <c r="T293" s="17" t="str">
        <f t="shared" si="83"/>
        <v>TRAFRECSHDMD</v>
      </c>
      <c r="U293" s="17" t="str">
        <f t="shared" si="84"/>
        <v>TRAFRECSHDMD</v>
      </c>
      <c r="V293" s="18">
        <v>2019</v>
      </c>
      <c r="W293" s="18" t="s">
        <v>484</v>
      </c>
      <c r="X293" s="18">
        <v>1</v>
      </c>
      <c r="Y293" s="20" t="e">
        <f>-MIN(SUMIFS('TRA RESID'!$P:$P,'TRA RESID'!$H:$H,$E293,'TRA RESID'!$I:$I,$F293)/SUMIFS('TRA RESID'!$P:$P,'TRA RESID'!$I:$I,$F293)*AC293,1)</f>
        <v>#DIV/0!</v>
      </c>
      <c r="Z293" s="18">
        <v>0</v>
      </c>
      <c r="AA293" s="18">
        <v>5</v>
      </c>
      <c r="AB293" s="9"/>
      <c r="AC293" s="21">
        <v>1.02</v>
      </c>
    </row>
    <row r="294" spans="1:29" x14ac:dyDescent="0.25">
      <c r="A294" s="9">
        <f>A293</f>
        <v>73</v>
      </c>
      <c r="B294" s="9"/>
      <c r="C294" s="15" t="str">
        <f>IF(C293="*",C293,"")</f>
        <v>*</v>
      </c>
      <c r="D294" s="16"/>
      <c r="E294" s="17" t="str">
        <f t="shared" ref="E294:G296" si="92">E293</f>
        <v>TRAGSL</v>
      </c>
      <c r="F294" s="17" t="str">
        <f t="shared" si="92"/>
        <v>TRAFRECSHDMD</v>
      </c>
      <c r="G294" s="17" t="str">
        <f t="shared" si="92"/>
        <v>TRAFRECSHDMD</v>
      </c>
      <c r="H294" s="18">
        <v>2025</v>
      </c>
      <c r="I294" s="18" t="str">
        <f>I293</f>
        <v>LO</v>
      </c>
      <c r="J294" s="18"/>
      <c r="K294" s="20" t="e">
        <f>-SUMIFS('TRA RESID'!$P:$P,'TRA RESID'!$H:$H,$E294,'TRA RESID'!$I:$I,$F294)/SUMIFS('TRA RESID'!$P:$P,'TRA RESID'!$I:$I,$F294)*O294</f>
        <v>#DIV/0!</v>
      </c>
      <c r="L294" s="18"/>
      <c r="M294" s="18"/>
      <c r="N294" s="9"/>
      <c r="O294" s="21">
        <v>0.8</v>
      </c>
      <c r="Q294" s="15" t="str">
        <f t="shared" si="80"/>
        <v>*</v>
      </c>
      <c r="R294" s="16"/>
      <c r="S294" s="17" t="str">
        <f t="shared" si="82"/>
        <v>TRAGSL</v>
      </c>
      <c r="T294" s="17" t="str">
        <f t="shared" si="83"/>
        <v>TRAFRECSHDMD</v>
      </c>
      <c r="U294" s="17" t="str">
        <f t="shared" si="84"/>
        <v>TRAFRECSHDMD</v>
      </c>
      <c r="V294" s="18">
        <v>2025</v>
      </c>
      <c r="W294" s="18" t="str">
        <f>W293</f>
        <v>UP</v>
      </c>
      <c r="X294" s="18"/>
      <c r="Y294" s="20" t="e">
        <f>-MIN(SUMIFS('TRA RESID'!$P:$P,'TRA RESID'!$H:$H,$E294,'TRA RESID'!$I:$I,$F294)/SUMIFS('TRA RESID'!$P:$P,'TRA RESID'!$I:$I,$F294)*AC294,1)</f>
        <v>#DIV/0!</v>
      </c>
      <c r="Z294" s="18"/>
      <c r="AA294" s="18"/>
      <c r="AB294" s="9"/>
      <c r="AC294" s="21">
        <v>1.2</v>
      </c>
    </row>
    <row r="295" spans="1:29" x14ac:dyDescent="0.25">
      <c r="A295" s="9">
        <f>A294</f>
        <v>73</v>
      </c>
      <c r="B295" s="9"/>
      <c r="C295" s="15" t="str">
        <f>IF(C294="*",C294,"")</f>
        <v>*</v>
      </c>
      <c r="D295" s="16"/>
      <c r="E295" s="17" t="str">
        <f t="shared" si="92"/>
        <v>TRAGSL</v>
      </c>
      <c r="F295" s="17" t="str">
        <f t="shared" si="92"/>
        <v>TRAFRECSHDMD</v>
      </c>
      <c r="G295" s="17" t="str">
        <f t="shared" si="92"/>
        <v>TRAFRECSHDMD</v>
      </c>
      <c r="H295" s="18">
        <v>2030</v>
      </c>
      <c r="I295" s="18" t="str">
        <f>I294</f>
        <v>LO</v>
      </c>
      <c r="J295" s="18"/>
      <c r="K295" s="20" t="e">
        <f>-SUMIFS('TRA RESID'!$P:$P,'TRA RESID'!$H:$H,$E295,'TRA RESID'!$I:$I,$F295)/SUMIFS('TRA RESID'!$P:$P,'TRA RESID'!$I:$I,$F295)*O295</f>
        <v>#DIV/0!</v>
      </c>
      <c r="L295" s="18"/>
      <c r="M295" s="18"/>
      <c r="N295" s="9"/>
      <c r="O295" s="21">
        <v>0.2</v>
      </c>
      <c r="Q295" s="15" t="str">
        <f t="shared" si="80"/>
        <v>*</v>
      </c>
      <c r="R295" s="16"/>
      <c r="S295" s="17" t="str">
        <f t="shared" si="82"/>
        <v>TRAGSL</v>
      </c>
      <c r="T295" s="17" t="str">
        <f t="shared" si="83"/>
        <v>TRAFRECSHDMD</v>
      </c>
      <c r="U295" s="17" t="str">
        <f t="shared" si="84"/>
        <v>TRAFRECSHDMD</v>
      </c>
      <c r="V295" s="18">
        <v>2030</v>
      </c>
      <c r="W295" s="18" t="str">
        <f>W294</f>
        <v>UP</v>
      </c>
      <c r="X295" s="18"/>
      <c r="Y295" s="20" t="e">
        <f>-MIN(SUMIFS('TRA RESID'!$P:$P,'TRA RESID'!$H:$H,$E295,'TRA RESID'!$I:$I,$F295)/SUMIFS('TRA RESID'!$P:$P,'TRA RESID'!$I:$I,$F295)*AC295,1)</f>
        <v>#DIV/0!</v>
      </c>
      <c r="Z295" s="18"/>
      <c r="AA295" s="18"/>
      <c r="AB295" s="9"/>
      <c r="AC295" s="21">
        <v>1.5</v>
      </c>
    </row>
    <row r="296" spans="1:29" x14ac:dyDescent="0.25">
      <c r="A296" s="22">
        <f>A295</f>
        <v>73</v>
      </c>
      <c r="B296" s="22"/>
      <c r="C296" s="23" t="str">
        <f>IF(C295="*",C295,"")</f>
        <v>*</v>
      </c>
      <c r="D296" s="24"/>
      <c r="E296" s="25" t="str">
        <f t="shared" si="92"/>
        <v>TRAGSL</v>
      </c>
      <c r="F296" s="25" t="str">
        <f t="shared" si="92"/>
        <v>TRAFRECSHDMD</v>
      </c>
      <c r="G296" s="25" t="str">
        <f t="shared" si="92"/>
        <v>TRAFRECSHDMD</v>
      </c>
      <c r="H296" s="26">
        <v>2050</v>
      </c>
      <c r="I296" s="26" t="str">
        <f>I295</f>
        <v>LO</v>
      </c>
      <c r="J296" s="26"/>
      <c r="K296" s="27" t="e">
        <f>-SUMIFS('TRA RESID'!$P:$P,'TRA RESID'!$H:$H,$E296,'TRA RESID'!$I:$I,$F296)/SUMIFS('TRA RESID'!$P:$P,'TRA RESID'!$I:$I,$F296)*O296</f>
        <v>#DIV/0!</v>
      </c>
      <c r="L296" s="26"/>
      <c r="M296" s="26"/>
      <c r="N296" s="22"/>
      <c r="O296" s="28">
        <v>0</v>
      </c>
      <c r="Q296" s="23" t="str">
        <f t="shared" si="80"/>
        <v>*</v>
      </c>
      <c r="R296" s="24"/>
      <c r="S296" s="25" t="str">
        <f t="shared" si="82"/>
        <v>TRAGSL</v>
      </c>
      <c r="T296" s="25" t="str">
        <f t="shared" si="83"/>
        <v>TRAFRECSHDMD</v>
      </c>
      <c r="U296" s="25" t="str">
        <f t="shared" si="84"/>
        <v>TRAFRECSHDMD</v>
      </c>
      <c r="V296" s="26">
        <v>2050</v>
      </c>
      <c r="W296" s="26" t="str">
        <f>W295</f>
        <v>UP</v>
      </c>
      <c r="X296" s="26"/>
      <c r="Y296" s="27" t="e">
        <f>-MIN(SUMIFS('TRA RESID'!$P:$P,'TRA RESID'!$H:$H,$E296,'TRA RESID'!$I:$I,$F296)/SUMIFS('TRA RESID'!$P:$P,'TRA RESID'!$I:$I,$F296)*AC296,1)</f>
        <v>#DIV/0!</v>
      </c>
      <c r="Z296" s="26"/>
      <c r="AA296" s="26"/>
      <c r="AB296" s="22"/>
      <c r="AC296" s="28">
        <v>3</v>
      </c>
    </row>
    <row r="297" spans="1:29" x14ac:dyDescent="0.25">
      <c r="A297" s="14">
        <f>A293+1</f>
        <v>74</v>
      </c>
      <c r="B297" s="9"/>
      <c r="C297" s="15" t="str">
        <f>IF(E297="","",IF(_xlfn.XLOOKUP($A297,Selected_constraint!$A:$A,Selected_constraint!$D:$D)=1,"*",IF(SUMIFS('TRA TECH'!$M:$M,'TRA TECH'!$H:$H,E297,'TRA TECH'!$I:$I,F297)=0,"*",IF(SUMIFS('TRA RESID'!$P:$P,'TRA RESID'!$H:$H,$E297,'TRA RESID'!$I:$I,$F297)=0,"*","UC_MarketShare_"&amp;LEFT(F297,LEN(F297)-3)&amp;"_"&amp;RIGHT(E297,3)&amp;"_MIN"))))</f>
        <v>*</v>
      </c>
      <c r="D297" s="16"/>
      <c r="E297" s="17" t="str">
        <f>_xlfn.XLOOKUP($A297,Selected_constraint!$A:$A,Selected_constraint!$B:$B)</f>
        <v>TRAETH</v>
      </c>
      <c r="F297" s="17" t="str">
        <f>_xlfn.XLOOKUP($A297,Selected_constraint!$A:$A,Selected_constraint!$C:$C)</f>
        <v>TRAFRECSHDMD</v>
      </c>
      <c r="G297" s="17" t="str">
        <f>F297</f>
        <v>TRAFRECSHDMD</v>
      </c>
      <c r="H297" s="18">
        <v>2019</v>
      </c>
      <c r="I297" s="18" t="s">
        <v>483</v>
      </c>
      <c r="J297" s="18">
        <v>1</v>
      </c>
      <c r="K297" s="20" t="e">
        <f>-SUMIFS('TRA RESID'!$P:$P,'TRA RESID'!$H:$H,$E297,'TRA RESID'!$I:$I,$F297)/SUMIFS('TRA RESID'!$P:$P,'TRA RESID'!$I:$I,$F297)*O297</f>
        <v>#DIV/0!</v>
      </c>
      <c r="L297" s="18">
        <v>0</v>
      </c>
      <c r="M297" s="18">
        <v>5</v>
      </c>
      <c r="N297" s="9"/>
      <c r="O297" s="21">
        <v>0.98</v>
      </c>
      <c r="Q297" s="15" t="str">
        <f t="shared" si="80"/>
        <v>*</v>
      </c>
      <c r="R297" s="16"/>
      <c r="S297" s="17" t="str">
        <f t="shared" si="82"/>
        <v>TRAETH</v>
      </c>
      <c r="T297" s="17" t="str">
        <f t="shared" si="83"/>
        <v>TRAFRECSHDMD</v>
      </c>
      <c r="U297" s="17" t="str">
        <f t="shared" si="84"/>
        <v>TRAFRECSHDMD</v>
      </c>
      <c r="V297" s="18">
        <v>2019</v>
      </c>
      <c r="W297" s="18" t="s">
        <v>484</v>
      </c>
      <c r="X297" s="18">
        <v>1</v>
      </c>
      <c r="Y297" s="20" t="e">
        <f>-MIN(SUMIFS('TRA RESID'!$P:$P,'TRA RESID'!$H:$H,$E297,'TRA RESID'!$I:$I,$F297)/SUMIFS('TRA RESID'!$P:$P,'TRA RESID'!$I:$I,$F297)*AC297,1)</f>
        <v>#DIV/0!</v>
      </c>
      <c r="Z297" s="18">
        <v>0</v>
      </c>
      <c r="AA297" s="18">
        <v>5</v>
      </c>
      <c r="AB297" s="9"/>
      <c r="AC297" s="21">
        <v>1.02</v>
      </c>
    </row>
    <row r="298" spans="1:29" x14ac:dyDescent="0.25">
      <c r="A298" s="9">
        <f>A297</f>
        <v>74</v>
      </c>
      <c r="B298" s="9"/>
      <c r="C298" s="15" t="str">
        <f>IF(C297="*",C297,"")</f>
        <v>*</v>
      </c>
      <c r="D298" s="16"/>
      <c r="E298" s="17" t="str">
        <f t="shared" ref="E298:G300" si="93">E297</f>
        <v>TRAETH</v>
      </c>
      <c r="F298" s="17" t="str">
        <f t="shared" si="93"/>
        <v>TRAFRECSHDMD</v>
      </c>
      <c r="G298" s="17" t="str">
        <f t="shared" si="93"/>
        <v>TRAFRECSHDMD</v>
      </c>
      <c r="H298" s="18">
        <v>2025</v>
      </c>
      <c r="I298" s="18" t="str">
        <f>I297</f>
        <v>LO</v>
      </c>
      <c r="J298" s="18"/>
      <c r="K298" s="20" t="e">
        <f>-SUMIFS('TRA RESID'!$P:$P,'TRA RESID'!$H:$H,$E298,'TRA RESID'!$I:$I,$F298)/SUMIFS('TRA RESID'!$P:$P,'TRA RESID'!$I:$I,$F298)*O298</f>
        <v>#DIV/0!</v>
      </c>
      <c r="L298" s="18"/>
      <c r="M298" s="18"/>
      <c r="N298" s="9"/>
      <c r="O298" s="21">
        <v>0.8</v>
      </c>
      <c r="Q298" s="15" t="str">
        <f t="shared" si="80"/>
        <v>*</v>
      </c>
      <c r="R298" s="16"/>
      <c r="S298" s="17" t="str">
        <f t="shared" si="82"/>
        <v>TRAETH</v>
      </c>
      <c r="T298" s="17" t="str">
        <f t="shared" si="83"/>
        <v>TRAFRECSHDMD</v>
      </c>
      <c r="U298" s="17" t="str">
        <f t="shared" si="84"/>
        <v>TRAFRECSHDMD</v>
      </c>
      <c r="V298" s="18">
        <v>2025</v>
      </c>
      <c r="W298" s="18" t="str">
        <f>W297</f>
        <v>UP</v>
      </c>
      <c r="X298" s="18"/>
      <c r="Y298" s="20" t="e">
        <f>-MIN(SUMIFS('TRA RESID'!$P:$P,'TRA RESID'!$H:$H,$E298,'TRA RESID'!$I:$I,$F298)/SUMIFS('TRA RESID'!$P:$P,'TRA RESID'!$I:$I,$F298)*AC298,1)</f>
        <v>#DIV/0!</v>
      </c>
      <c r="Z298" s="18"/>
      <c r="AA298" s="18"/>
      <c r="AB298" s="9"/>
      <c r="AC298" s="21">
        <v>1.2</v>
      </c>
    </row>
    <row r="299" spans="1:29" x14ac:dyDescent="0.25">
      <c r="A299" s="9">
        <f>A298</f>
        <v>74</v>
      </c>
      <c r="B299" s="9"/>
      <c r="C299" s="15" t="str">
        <f>IF(C298="*",C298,"")</f>
        <v>*</v>
      </c>
      <c r="D299" s="16"/>
      <c r="E299" s="17" t="str">
        <f t="shared" si="93"/>
        <v>TRAETH</v>
      </c>
      <c r="F299" s="17" t="str">
        <f t="shared" si="93"/>
        <v>TRAFRECSHDMD</v>
      </c>
      <c r="G299" s="17" t="str">
        <f t="shared" si="93"/>
        <v>TRAFRECSHDMD</v>
      </c>
      <c r="H299" s="18">
        <v>2030</v>
      </c>
      <c r="I299" s="18" t="str">
        <f>I298</f>
        <v>LO</v>
      </c>
      <c r="J299" s="18"/>
      <c r="K299" s="20" t="e">
        <f>-SUMIFS('TRA RESID'!$P:$P,'TRA RESID'!$H:$H,$E299,'TRA RESID'!$I:$I,$F299)/SUMIFS('TRA RESID'!$P:$P,'TRA RESID'!$I:$I,$F299)*O299</f>
        <v>#DIV/0!</v>
      </c>
      <c r="L299" s="18"/>
      <c r="M299" s="18"/>
      <c r="N299" s="9"/>
      <c r="O299" s="21">
        <v>0.2</v>
      </c>
      <c r="Q299" s="15" t="str">
        <f t="shared" si="80"/>
        <v>*</v>
      </c>
      <c r="R299" s="16"/>
      <c r="S299" s="17" t="str">
        <f t="shared" si="82"/>
        <v>TRAETH</v>
      </c>
      <c r="T299" s="17" t="str">
        <f t="shared" si="83"/>
        <v>TRAFRECSHDMD</v>
      </c>
      <c r="U299" s="17" t="str">
        <f t="shared" si="84"/>
        <v>TRAFRECSHDMD</v>
      </c>
      <c r="V299" s="18">
        <v>2030</v>
      </c>
      <c r="W299" s="18" t="str">
        <f>W298</f>
        <v>UP</v>
      </c>
      <c r="X299" s="18"/>
      <c r="Y299" s="20" t="e">
        <f>-MIN(SUMIFS('TRA RESID'!$P:$P,'TRA RESID'!$H:$H,$E299,'TRA RESID'!$I:$I,$F299)/SUMIFS('TRA RESID'!$P:$P,'TRA RESID'!$I:$I,$F299)*AC299,1)</f>
        <v>#DIV/0!</v>
      </c>
      <c r="Z299" s="18"/>
      <c r="AA299" s="18"/>
      <c r="AB299" s="9"/>
      <c r="AC299" s="21">
        <v>1.5</v>
      </c>
    </row>
    <row r="300" spans="1:29" x14ac:dyDescent="0.25">
      <c r="A300" s="22">
        <f>A299</f>
        <v>74</v>
      </c>
      <c r="B300" s="22"/>
      <c r="C300" s="23" t="str">
        <f>IF(C299="*",C299,"")</f>
        <v>*</v>
      </c>
      <c r="D300" s="24"/>
      <c r="E300" s="25" t="str">
        <f t="shared" si="93"/>
        <v>TRAETH</v>
      </c>
      <c r="F300" s="25" t="str">
        <f t="shared" si="93"/>
        <v>TRAFRECSHDMD</v>
      </c>
      <c r="G300" s="25" t="str">
        <f t="shared" si="93"/>
        <v>TRAFRECSHDMD</v>
      </c>
      <c r="H300" s="26">
        <v>2050</v>
      </c>
      <c r="I300" s="26" t="str">
        <f>I299</f>
        <v>LO</v>
      </c>
      <c r="J300" s="26"/>
      <c r="K300" s="27" t="e">
        <f>-SUMIFS('TRA RESID'!$P:$P,'TRA RESID'!$H:$H,$E300,'TRA RESID'!$I:$I,$F300)/SUMIFS('TRA RESID'!$P:$P,'TRA RESID'!$I:$I,$F300)*O300</f>
        <v>#DIV/0!</v>
      </c>
      <c r="L300" s="26"/>
      <c r="M300" s="26"/>
      <c r="N300" s="22"/>
      <c r="O300" s="28">
        <v>0</v>
      </c>
      <c r="Q300" s="23" t="str">
        <f t="shared" si="80"/>
        <v>*</v>
      </c>
      <c r="R300" s="24"/>
      <c r="S300" s="25" t="str">
        <f t="shared" si="82"/>
        <v>TRAETH</v>
      </c>
      <c r="T300" s="25" t="str">
        <f t="shared" si="83"/>
        <v>TRAFRECSHDMD</v>
      </c>
      <c r="U300" s="25" t="str">
        <f t="shared" si="84"/>
        <v>TRAFRECSHDMD</v>
      </c>
      <c r="V300" s="26">
        <v>2050</v>
      </c>
      <c r="W300" s="26" t="str">
        <f>W299</f>
        <v>UP</v>
      </c>
      <c r="X300" s="26"/>
      <c r="Y300" s="27" t="e">
        <f>-MIN(SUMIFS('TRA RESID'!$P:$P,'TRA RESID'!$H:$H,$E300,'TRA RESID'!$I:$I,$F300)/SUMIFS('TRA RESID'!$P:$P,'TRA RESID'!$I:$I,$F300)*AC300,1)</f>
        <v>#DIV/0!</v>
      </c>
      <c r="Z300" s="26"/>
      <c r="AA300" s="26"/>
      <c r="AB300" s="22"/>
      <c r="AC300" s="28">
        <v>3</v>
      </c>
    </row>
    <row r="301" spans="1:29" x14ac:dyDescent="0.25">
      <c r="A301" s="14">
        <f>A297+1</f>
        <v>75</v>
      </c>
      <c r="B301" s="9"/>
      <c r="C301" s="15" t="str">
        <f>IF(E301="","",IF(_xlfn.XLOOKUP($A301,Selected_constraint!$A:$A,Selected_constraint!$D:$D)=1,"*",IF(SUMIFS('TRA TECH'!$M:$M,'TRA TECH'!$H:$H,E301,'TRA TECH'!$I:$I,F301)=0,"*",IF(SUMIFS('TRA RESID'!$P:$P,'TRA RESID'!$H:$H,$E301,'TRA RESID'!$I:$I,$F301)=0,"*","UC_MarketShare_"&amp;LEFT(F301,LEN(F301)-3)&amp;"_"&amp;RIGHT(E301,3)&amp;"_MIN"))))</f>
        <v>*</v>
      </c>
      <c r="D301" s="16"/>
      <c r="E301" s="17" t="str">
        <f>_xlfn.XLOOKUP($A301,Selected_constraint!$A:$A,Selected_constraint!$B:$B)</f>
        <v>TRADSL</v>
      </c>
      <c r="F301" s="17" t="str">
        <f>_xlfn.XLOOKUP($A301,Selected_constraint!$A:$A,Selected_constraint!$C:$C)</f>
        <v>TRAFRECSHDMD</v>
      </c>
      <c r="G301" s="17" t="str">
        <f>F301</f>
        <v>TRAFRECSHDMD</v>
      </c>
      <c r="H301" s="18">
        <v>2019</v>
      </c>
      <c r="I301" s="18" t="s">
        <v>483</v>
      </c>
      <c r="J301" s="18">
        <v>1</v>
      </c>
      <c r="K301" s="20" t="e">
        <f>-SUMIFS('TRA RESID'!$P:$P,'TRA RESID'!$H:$H,$E301,'TRA RESID'!$I:$I,$F301)/SUMIFS('TRA RESID'!$P:$P,'TRA RESID'!$I:$I,$F301)*O301</f>
        <v>#DIV/0!</v>
      </c>
      <c r="L301" s="18">
        <v>0</v>
      </c>
      <c r="M301" s="18">
        <v>5</v>
      </c>
      <c r="N301" s="9"/>
      <c r="O301" s="21">
        <v>0.98</v>
      </c>
      <c r="Q301" s="15" t="str">
        <f t="shared" si="80"/>
        <v>*</v>
      </c>
      <c r="R301" s="16"/>
      <c r="S301" s="17" t="str">
        <f t="shared" si="82"/>
        <v>TRADSL</v>
      </c>
      <c r="T301" s="17" t="str">
        <f t="shared" si="83"/>
        <v>TRAFRECSHDMD</v>
      </c>
      <c r="U301" s="17" t="str">
        <f t="shared" si="84"/>
        <v>TRAFRECSHDMD</v>
      </c>
      <c r="V301" s="18">
        <v>2019</v>
      </c>
      <c r="W301" s="18" t="s">
        <v>484</v>
      </c>
      <c r="X301" s="18">
        <v>1</v>
      </c>
      <c r="Y301" s="20" t="e">
        <f>-MIN(SUMIFS('TRA RESID'!$P:$P,'TRA RESID'!$H:$H,$E301,'TRA RESID'!$I:$I,$F301)/SUMIFS('TRA RESID'!$P:$P,'TRA RESID'!$I:$I,$F301)*AC301,1)</f>
        <v>#DIV/0!</v>
      </c>
      <c r="Z301" s="18">
        <v>0</v>
      </c>
      <c r="AA301" s="18">
        <v>5</v>
      </c>
      <c r="AB301" s="9"/>
      <c r="AC301" s="21">
        <v>1.02</v>
      </c>
    </row>
    <row r="302" spans="1:29" x14ac:dyDescent="0.25">
      <c r="A302" s="9">
        <f>A301</f>
        <v>75</v>
      </c>
      <c r="B302" s="9"/>
      <c r="C302" s="15" t="str">
        <f>IF(C301="*",C301,"")</f>
        <v>*</v>
      </c>
      <c r="D302" s="16"/>
      <c r="E302" s="17" t="str">
        <f t="shared" ref="E302:G304" si="94">E301</f>
        <v>TRADSL</v>
      </c>
      <c r="F302" s="17" t="str">
        <f t="shared" si="94"/>
        <v>TRAFRECSHDMD</v>
      </c>
      <c r="G302" s="17" t="str">
        <f t="shared" si="94"/>
        <v>TRAFRECSHDMD</v>
      </c>
      <c r="H302" s="18">
        <v>2025</v>
      </c>
      <c r="I302" s="18" t="str">
        <f>I301</f>
        <v>LO</v>
      </c>
      <c r="J302" s="18"/>
      <c r="K302" s="20" t="e">
        <f>-SUMIFS('TRA RESID'!$P:$P,'TRA RESID'!$H:$H,$E302,'TRA RESID'!$I:$I,$F302)/SUMIFS('TRA RESID'!$P:$P,'TRA RESID'!$I:$I,$F302)*O302</f>
        <v>#DIV/0!</v>
      </c>
      <c r="L302" s="18"/>
      <c r="M302" s="18"/>
      <c r="N302" s="9"/>
      <c r="O302" s="21">
        <v>0.8</v>
      </c>
      <c r="Q302" s="15" t="str">
        <f t="shared" si="80"/>
        <v>*</v>
      </c>
      <c r="R302" s="16"/>
      <c r="S302" s="17" t="str">
        <f t="shared" si="82"/>
        <v>TRADSL</v>
      </c>
      <c r="T302" s="17" t="str">
        <f t="shared" si="83"/>
        <v>TRAFRECSHDMD</v>
      </c>
      <c r="U302" s="17" t="str">
        <f t="shared" si="84"/>
        <v>TRAFRECSHDMD</v>
      </c>
      <c r="V302" s="18">
        <v>2025</v>
      </c>
      <c r="W302" s="18" t="str">
        <f>W301</f>
        <v>UP</v>
      </c>
      <c r="X302" s="18"/>
      <c r="Y302" s="20" t="e">
        <f>-MIN(SUMIFS('TRA RESID'!$P:$P,'TRA RESID'!$H:$H,$E302,'TRA RESID'!$I:$I,$F302)/SUMIFS('TRA RESID'!$P:$P,'TRA RESID'!$I:$I,$F302)*AC302,1)</f>
        <v>#DIV/0!</v>
      </c>
      <c r="Z302" s="18"/>
      <c r="AA302" s="18"/>
      <c r="AB302" s="9"/>
      <c r="AC302" s="21">
        <v>1.2</v>
      </c>
    </row>
    <row r="303" spans="1:29" x14ac:dyDescent="0.25">
      <c r="A303" s="9">
        <f>A302</f>
        <v>75</v>
      </c>
      <c r="B303" s="9"/>
      <c r="C303" s="15" t="str">
        <f>IF(C302="*",C302,"")</f>
        <v>*</v>
      </c>
      <c r="D303" s="16"/>
      <c r="E303" s="17" t="str">
        <f t="shared" si="94"/>
        <v>TRADSL</v>
      </c>
      <c r="F303" s="17" t="str">
        <f t="shared" si="94"/>
        <v>TRAFRECSHDMD</v>
      </c>
      <c r="G303" s="17" t="str">
        <f t="shared" si="94"/>
        <v>TRAFRECSHDMD</v>
      </c>
      <c r="H303" s="18">
        <v>2030</v>
      </c>
      <c r="I303" s="18" t="str">
        <f>I302</f>
        <v>LO</v>
      </c>
      <c r="J303" s="18"/>
      <c r="K303" s="20" t="e">
        <f>-SUMIFS('TRA RESID'!$P:$P,'TRA RESID'!$H:$H,$E303,'TRA RESID'!$I:$I,$F303)/SUMIFS('TRA RESID'!$P:$P,'TRA RESID'!$I:$I,$F303)*O303</f>
        <v>#DIV/0!</v>
      </c>
      <c r="L303" s="18"/>
      <c r="M303" s="18"/>
      <c r="N303" s="9"/>
      <c r="O303" s="21">
        <v>0.2</v>
      </c>
      <c r="Q303" s="15" t="str">
        <f t="shared" si="80"/>
        <v>*</v>
      </c>
      <c r="R303" s="16"/>
      <c r="S303" s="17" t="str">
        <f t="shared" si="82"/>
        <v>TRADSL</v>
      </c>
      <c r="T303" s="17" t="str">
        <f t="shared" si="83"/>
        <v>TRAFRECSHDMD</v>
      </c>
      <c r="U303" s="17" t="str">
        <f t="shared" si="84"/>
        <v>TRAFRECSHDMD</v>
      </c>
      <c r="V303" s="18">
        <v>2030</v>
      </c>
      <c r="W303" s="18" t="str">
        <f>W302</f>
        <v>UP</v>
      </c>
      <c r="X303" s="18"/>
      <c r="Y303" s="20" t="e">
        <f>-MIN(SUMIFS('TRA RESID'!$P:$P,'TRA RESID'!$H:$H,$E303,'TRA RESID'!$I:$I,$F303)/SUMIFS('TRA RESID'!$P:$P,'TRA RESID'!$I:$I,$F303)*AC303,1)</f>
        <v>#DIV/0!</v>
      </c>
      <c r="Z303" s="18"/>
      <c r="AA303" s="18"/>
      <c r="AB303" s="9"/>
      <c r="AC303" s="21">
        <v>1.5</v>
      </c>
    </row>
    <row r="304" spans="1:29" x14ac:dyDescent="0.25">
      <c r="A304" s="22">
        <f>A303</f>
        <v>75</v>
      </c>
      <c r="B304" s="22"/>
      <c r="C304" s="23" t="str">
        <f>IF(C303="*",C303,"")</f>
        <v>*</v>
      </c>
      <c r="D304" s="24"/>
      <c r="E304" s="25" t="str">
        <f t="shared" si="94"/>
        <v>TRADSL</v>
      </c>
      <c r="F304" s="25" t="str">
        <f t="shared" si="94"/>
        <v>TRAFRECSHDMD</v>
      </c>
      <c r="G304" s="25" t="str">
        <f t="shared" si="94"/>
        <v>TRAFRECSHDMD</v>
      </c>
      <c r="H304" s="26">
        <v>2050</v>
      </c>
      <c r="I304" s="26" t="str">
        <f>I303</f>
        <v>LO</v>
      </c>
      <c r="J304" s="26"/>
      <c r="K304" s="27" t="e">
        <f>-SUMIFS('TRA RESID'!$P:$P,'TRA RESID'!$H:$H,$E304,'TRA RESID'!$I:$I,$F304)/SUMIFS('TRA RESID'!$P:$P,'TRA RESID'!$I:$I,$F304)*O304</f>
        <v>#DIV/0!</v>
      </c>
      <c r="L304" s="26"/>
      <c r="M304" s="26"/>
      <c r="N304" s="22"/>
      <c r="O304" s="28">
        <v>0</v>
      </c>
      <c r="Q304" s="23" t="str">
        <f t="shared" si="80"/>
        <v>*</v>
      </c>
      <c r="R304" s="24"/>
      <c r="S304" s="25" t="str">
        <f t="shared" si="82"/>
        <v>TRADSL</v>
      </c>
      <c r="T304" s="25" t="str">
        <f t="shared" si="83"/>
        <v>TRAFRECSHDMD</v>
      </c>
      <c r="U304" s="25" t="str">
        <f t="shared" si="84"/>
        <v>TRAFRECSHDMD</v>
      </c>
      <c r="V304" s="26">
        <v>2050</v>
      </c>
      <c r="W304" s="26" t="str">
        <f>W303</f>
        <v>UP</v>
      </c>
      <c r="X304" s="26"/>
      <c r="Y304" s="27" t="e">
        <f>-MIN(SUMIFS('TRA RESID'!$P:$P,'TRA RESID'!$H:$H,$E304,'TRA RESID'!$I:$I,$F304)/SUMIFS('TRA RESID'!$P:$P,'TRA RESID'!$I:$I,$F304)*AC304,1)</f>
        <v>#DIV/0!</v>
      </c>
      <c r="Z304" s="26"/>
      <c r="AA304" s="26"/>
      <c r="AB304" s="22"/>
      <c r="AC304" s="28">
        <v>3</v>
      </c>
    </row>
    <row r="305" spans="1:29" x14ac:dyDescent="0.25">
      <c r="A305" s="14">
        <f>A301+1</f>
        <v>76</v>
      </c>
      <c r="B305" s="9"/>
      <c r="C305" s="15" t="str">
        <f>IF(E305="","",IF(_xlfn.XLOOKUP($A305,Selected_constraint!$A:$A,Selected_constraint!$D:$D)=1,"*",IF(SUMIFS('TRA TECH'!$M:$M,'TRA TECH'!$H:$H,E305,'TRA TECH'!$I:$I,F305)=0,"*",IF(SUMIFS('TRA RESID'!$P:$P,'TRA RESID'!$H:$H,$E305,'TRA RESID'!$I:$I,$F305)=0,"*","UC_MarketShare_"&amp;LEFT(F305,LEN(F305)-3)&amp;"_"&amp;RIGHT(E305,3)&amp;"_MIN"))))</f>
        <v>*</v>
      </c>
      <c r="D305" s="16"/>
      <c r="E305" s="17" t="str">
        <f>_xlfn.XLOOKUP($A305,Selected_constraint!$A:$A,Selected_constraint!$B:$B)</f>
        <v>TRARDS</v>
      </c>
      <c r="F305" s="17" t="str">
        <f>_xlfn.XLOOKUP($A305,Selected_constraint!$A:$A,Selected_constraint!$C:$C)</f>
        <v>TRAFRECSHDMD</v>
      </c>
      <c r="G305" s="17" t="str">
        <f>F305</f>
        <v>TRAFRECSHDMD</v>
      </c>
      <c r="H305" s="18">
        <v>2019</v>
      </c>
      <c r="I305" s="18" t="s">
        <v>483</v>
      </c>
      <c r="J305" s="18">
        <v>1</v>
      </c>
      <c r="K305" s="20" t="e">
        <f>-SUMIFS('TRA RESID'!$P:$P,'TRA RESID'!$H:$H,$E305,'TRA RESID'!$I:$I,$F305)/SUMIFS('TRA RESID'!$P:$P,'TRA RESID'!$I:$I,$F305)*O305</f>
        <v>#DIV/0!</v>
      </c>
      <c r="L305" s="18">
        <v>0</v>
      </c>
      <c r="M305" s="18">
        <v>5</v>
      </c>
      <c r="N305" s="9"/>
      <c r="O305" s="21">
        <v>0.98</v>
      </c>
      <c r="Q305" s="15" t="str">
        <f t="shared" si="80"/>
        <v>*</v>
      </c>
      <c r="R305" s="16"/>
      <c r="S305" s="17" t="str">
        <f t="shared" si="82"/>
        <v>TRARDS</v>
      </c>
      <c r="T305" s="17" t="str">
        <f t="shared" si="83"/>
        <v>TRAFRECSHDMD</v>
      </c>
      <c r="U305" s="17" t="str">
        <f t="shared" si="84"/>
        <v>TRAFRECSHDMD</v>
      </c>
      <c r="V305" s="18">
        <v>2019</v>
      </c>
      <c r="W305" s="18" t="s">
        <v>484</v>
      </c>
      <c r="X305" s="18">
        <v>1</v>
      </c>
      <c r="Y305" s="20" t="e">
        <f>-MIN(SUMIFS('TRA RESID'!$P:$P,'TRA RESID'!$H:$H,$E305,'TRA RESID'!$I:$I,$F305)/SUMIFS('TRA RESID'!$P:$P,'TRA RESID'!$I:$I,$F305)*AC305,1)</f>
        <v>#DIV/0!</v>
      </c>
      <c r="Z305" s="18">
        <v>0</v>
      </c>
      <c r="AA305" s="18">
        <v>5</v>
      </c>
      <c r="AB305" s="9"/>
      <c r="AC305" s="21">
        <v>1.02</v>
      </c>
    </row>
    <row r="306" spans="1:29" x14ac:dyDescent="0.25">
      <c r="A306" s="9">
        <f>A305</f>
        <v>76</v>
      </c>
      <c r="B306" s="9"/>
      <c r="C306" s="15" t="str">
        <f>IF(C305="*",C305,"")</f>
        <v>*</v>
      </c>
      <c r="D306" s="16"/>
      <c r="E306" s="17" t="str">
        <f t="shared" ref="E306:G308" si="95">E305</f>
        <v>TRARDS</v>
      </c>
      <c r="F306" s="17" t="str">
        <f t="shared" si="95"/>
        <v>TRAFRECSHDMD</v>
      </c>
      <c r="G306" s="17" t="str">
        <f t="shared" si="95"/>
        <v>TRAFRECSHDMD</v>
      </c>
      <c r="H306" s="18">
        <v>2025</v>
      </c>
      <c r="I306" s="18" t="str">
        <f>I305</f>
        <v>LO</v>
      </c>
      <c r="J306" s="18"/>
      <c r="K306" s="20" t="e">
        <f>-SUMIFS('TRA RESID'!$P:$P,'TRA RESID'!$H:$H,$E306,'TRA RESID'!$I:$I,$F306)/SUMIFS('TRA RESID'!$P:$P,'TRA RESID'!$I:$I,$F306)*O306</f>
        <v>#DIV/0!</v>
      </c>
      <c r="L306" s="18"/>
      <c r="M306" s="18"/>
      <c r="N306" s="9"/>
      <c r="O306" s="21">
        <v>0.8</v>
      </c>
      <c r="Q306" s="15" t="str">
        <f t="shared" si="80"/>
        <v>*</v>
      </c>
      <c r="R306" s="16"/>
      <c r="S306" s="17" t="str">
        <f t="shared" si="82"/>
        <v>TRARDS</v>
      </c>
      <c r="T306" s="17" t="str">
        <f t="shared" si="83"/>
        <v>TRAFRECSHDMD</v>
      </c>
      <c r="U306" s="17" t="str">
        <f t="shared" si="84"/>
        <v>TRAFRECSHDMD</v>
      </c>
      <c r="V306" s="18">
        <v>2025</v>
      </c>
      <c r="W306" s="18" t="str">
        <f>W305</f>
        <v>UP</v>
      </c>
      <c r="X306" s="18"/>
      <c r="Y306" s="20" t="e">
        <f>-MIN(SUMIFS('TRA RESID'!$P:$P,'TRA RESID'!$H:$H,$E306,'TRA RESID'!$I:$I,$F306)/SUMIFS('TRA RESID'!$P:$P,'TRA RESID'!$I:$I,$F306)*AC306,1)</f>
        <v>#DIV/0!</v>
      </c>
      <c r="Z306" s="18"/>
      <c r="AA306" s="18"/>
      <c r="AB306" s="9"/>
      <c r="AC306" s="21">
        <v>1.2</v>
      </c>
    </row>
    <row r="307" spans="1:29" x14ac:dyDescent="0.25">
      <c r="A307" s="9">
        <f>A306</f>
        <v>76</v>
      </c>
      <c r="B307" s="9"/>
      <c r="C307" s="15" t="str">
        <f>IF(C306="*",C306,"")</f>
        <v>*</v>
      </c>
      <c r="D307" s="16"/>
      <c r="E307" s="17" t="str">
        <f t="shared" si="95"/>
        <v>TRARDS</v>
      </c>
      <c r="F307" s="17" t="str">
        <f t="shared" si="95"/>
        <v>TRAFRECSHDMD</v>
      </c>
      <c r="G307" s="17" t="str">
        <f t="shared" si="95"/>
        <v>TRAFRECSHDMD</v>
      </c>
      <c r="H307" s="18">
        <v>2030</v>
      </c>
      <c r="I307" s="18" t="str">
        <f>I306</f>
        <v>LO</v>
      </c>
      <c r="J307" s="18"/>
      <c r="K307" s="20" t="e">
        <f>-SUMIFS('TRA RESID'!$P:$P,'TRA RESID'!$H:$H,$E307,'TRA RESID'!$I:$I,$F307)/SUMIFS('TRA RESID'!$P:$P,'TRA RESID'!$I:$I,$F307)*O307</f>
        <v>#DIV/0!</v>
      </c>
      <c r="L307" s="18"/>
      <c r="M307" s="18"/>
      <c r="N307" s="9"/>
      <c r="O307" s="21">
        <v>0.2</v>
      </c>
      <c r="Q307" s="15" t="str">
        <f t="shared" si="80"/>
        <v>*</v>
      </c>
      <c r="R307" s="16"/>
      <c r="S307" s="17" t="str">
        <f t="shared" si="82"/>
        <v>TRARDS</v>
      </c>
      <c r="T307" s="17" t="str">
        <f t="shared" si="83"/>
        <v>TRAFRECSHDMD</v>
      </c>
      <c r="U307" s="17" t="str">
        <f t="shared" si="84"/>
        <v>TRAFRECSHDMD</v>
      </c>
      <c r="V307" s="18">
        <v>2030</v>
      </c>
      <c r="W307" s="18" t="str">
        <f>W306</f>
        <v>UP</v>
      </c>
      <c r="X307" s="18"/>
      <c r="Y307" s="20" t="e">
        <f>-MIN(SUMIFS('TRA RESID'!$P:$P,'TRA RESID'!$H:$H,$E307,'TRA RESID'!$I:$I,$F307)/SUMIFS('TRA RESID'!$P:$P,'TRA RESID'!$I:$I,$F307)*AC307,1)</f>
        <v>#DIV/0!</v>
      </c>
      <c r="Z307" s="18"/>
      <c r="AA307" s="18"/>
      <c r="AB307" s="9"/>
      <c r="AC307" s="21">
        <v>1.5</v>
      </c>
    </row>
    <row r="308" spans="1:29" x14ac:dyDescent="0.25">
      <c r="A308" s="22">
        <f>A307</f>
        <v>76</v>
      </c>
      <c r="B308" s="22"/>
      <c r="C308" s="23" t="str">
        <f>IF(C307="*",C307,"")</f>
        <v>*</v>
      </c>
      <c r="D308" s="24"/>
      <c r="E308" s="25" t="str">
        <f t="shared" si="95"/>
        <v>TRARDS</v>
      </c>
      <c r="F308" s="25" t="str">
        <f t="shared" si="95"/>
        <v>TRAFRECSHDMD</v>
      </c>
      <c r="G308" s="25" t="str">
        <f t="shared" si="95"/>
        <v>TRAFRECSHDMD</v>
      </c>
      <c r="H308" s="26">
        <v>2050</v>
      </c>
      <c r="I308" s="26" t="str">
        <f>I307</f>
        <v>LO</v>
      </c>
      <c r="J308" s="26"/>
      <c r="K308" s="27" t="e">
        <f>-SUMIFS('TRA RESID'!$P:$P,'TRA RESID'!$H:$H,$E308,'TRA RESID'!$I:$I,$F308)/SUMIFS('TRA RESID'!$P:$P,'TRA RESID'!$I:$I,$F308)*O308</f>
        <v>#DIV/0!</v>
      </c>
      <c r="L308" s="26"/>
      <c r="M308" s="26"/>
      <c r="N308" s="22"/>
      <c r="O308" s="28">
        <v>0</v>
      </c>
      <c r="Q308" s="23" t="str">
        <f t="shared" si="80"/>
        <v>*</v>
      </c>
      <c r="R308" s="24"/>
      <c r="S308" s="25" t="str">
        <f t="shared" si="82"/>
        <v>TRARDS</v>
      </c>
      <c r="T308" s="25" t="str">
        <f t="shared" si="83"/>
        <v>TRAFRECSHDMD</v>
      </c>
      <c r="U308" s="25" t="str">
        <f t="shared" si="84"/>
        <v>TRAFRECSHDMD</v>
      </c>
      <c r="V308" s="26">
        <v>2050</v>
      </c>
      <c r="W308" s="26" t="str">
        <f>W307</f>
        <v>UP</v>
      </c>
      <c r="X308" s="26"/>
      <c r="Y308" s="27" t="e">
        <f>-MIN(SUMIFS('TRA RESID'!$P:$P,'TRA RESID'!$H:$H,$E308,'TRA RESID'!$I:$I,$F308)/SUMIFS('TRA RESID'!$P:$P,'TRA RESID'!$I:$I,$F308)*AC308,1)</f>
        <v>#DIV/0!</v>
      </c>
      <c r="Z308" s="26"/>
      <c r="AA308" s="26"/>
      <c r="AB308" s="22"/>
      <c r="AC308" s="28">
        <v>3</v>
      </c>
    </row>
    <row r="309" spans="1:29" x14ac:dyDescent="0.25">
      <c r="A309" s="14">
        <f>A305+1</f>
        <v>77</v>
      </c>
      <c r="B309" s="9"/>
      <c r="C309" s="15" t="str">
        <f>IF(E309="","",IF(_xlfn.XLOOKUP($A309,Selected_constraint!$A:$A,Selected_constraint!$D:$D)=1,"*",IF(SUMIFS('TRA TECH'!$M:$M,'TRA TECH'!$H:$H,E309,'TRA TECH'!$I:$I,F309)=0,"*",IF(SUMIFS('TRA RESID'!$P:$P,'TRA RESID'!$H:$H,$E309,'TRA RESID'!$I:$I,$F309)=0,"*","UC_MarketShare_"&amp;LEFT(F309,LEN(F309)-3)&amp;"_"&amp;RIGHT(E309,3)&amp;"_MIN"))))</f>
        <v>*</v>
      </c>
      <c r="D309" s="16"/>
      <c r="E309" s="17" t="str">
        <f>_xlfn.XLOOKUP($A309,Selected_constraint!$A:$A,Selected_constraint!$B:$B)</f>
        <v>TRABDS</v>
      </c>
      <c r="F309" s="17" t="str">
        <f>_xlfn.XLOOKUP($A309,Selected_constraint!$A:$A,Selected_constraint!$C:$C)</f>
        <v>TRAFRECSHDMD</v>
      </c>
      <c r="G309" s="17" t="str">
        <f>F309</f>
        <v>TRAFRECSHDMD</v>
      </c>
      <c r="H309" s="18">
        <v>2019</v>
      </c>
      <c r="I309" s="18" t="s">
        <v>483</v>
      </c>
      <c r="J309" s="18">
        <v>1</v>
      </c>
      <c r="K309" s="20" t="e">
        <f>-SUMIFS('TRA RESID'!$P:$P,'TRA RESID'!$H:$H,$E309,'TRA RESID'!$I:$I,$F309)/SUMIFS('TRA RESID'!$P:$P,'TRA RESID'!$I:$I,$F309)*O309</f>
        <v>#DIV/0!</v>
      </c>
      <c r="L309" s="18">
        <v>0</v>
      </c>
      <c r="M309" s="18">
        <v>5</v>
      </c>
      <c r="N309" s="9"/>
      <c r="O309" s="21">
        <v>0.98</v>
      </c>
      <c r="Q309" s="15" t="str">
        <f t="shared" si="80"/>
        <v>*</v>
      </c>
      <c r="R309" s="16"/>
      <c r="S309" s="17" t="str">
        <f t="shared" si="82"/>
        <v>TRABDS</v>
      </c>
      <c r="T309" s="17" t="str">
        <f t="shared" si="83"/>
        <v>TRAFRECSHDMD</v>
      </c>
      <c r="U309" s="17" t="str">
        <f t="shared" si="84"/>
        <v>TRAFRECSHDMD</v>
      </c>
      <c r="V309" s="18">
        <v>2019</v>
      </c>
      <c r="W309" s="18" t="s">
        <v>484</v>
      </c>
      <c r="X309" s="18">
        <v>1</v>
      </c>
      <c r="Y309" s="20" t="e">
        <f>-MIN(SUMIFS('TRA RESID'!$P:$P,'TRA RESID'!$H:$H,$E309,'TRA RESID'!$I:$I,$F309)/SUMIFS('TRA RESID'!$P:$P,'TRA RESID'!$I:$I,$F309)*AC309,1)</f>
        <v>#DIV/0!</v>
      </c>
      <c r="Z309" s="18">
        <v>0</v>
      </c>
      <c r="AA309" s="18">
        <v>5</v>
      </c>
      <c r="AB309" s="9"/>
      <c r="AC309" s="21">
        <v>1.02</v>
      </c>
    </row>
    <row r="310" spans="1:29" x14ac:dyDescent="0.25">
      <c r="A310" s="9">
        <f>A309</f>
        <v>77</v>
      </c>
      <c r="B310" s="9"/>
      <c r="C310" s="15" t="str">
        <f>IF(C309="*",C309,"")</f>
        <v>*</v>
      </c>
      <c r="D310" s="16"/>
      <c r="E310" s="17" t="str">
        <f t="shared" ref="E310:G312" si="96">E309</f>
        <v>TRABDS</v>
      </c>
      <c r="F310" s="17" t="str">
        <f t="shared" si="96"/>
        <v>TRAFRECSHDMD</v>
      </c>
      <c r="G310" s="17" t="str">
        <f t="shared" si="96"/>
        <v>TRAFRECSHDMD</v>
      </c>
      <c r="H310" s="18">
        <v>2025</v>
      </c>
      <c r="I310" s="18" t="str">
        <f>I309</f>
        <v>LO</v>
      </c>
      <c r="J310" s="18"/>
      <c r="K310" s="20" t="e">
        <f>-SUMIFS('TRA RESID'!$P:$P,'TRA RESID'!$H:$H,$E310,'TRA RESID'!$I:$I,$F310)/SUMIFS('TRA RESID'!$P:$P,'TRA RESID'!$I:$I,$F310)*O310</f>
        <v>#DIV/0!</v>
      </c>
      <c r="L310" s="18"/>
      <c r="M310" s="18"/>
      <c r="N310" s="9"/>
      <c r="O310" s="21">
        <v>0.8</v>
      </c>
      <c r="Q310" s="15" t="str">
        <f t="shared" si="80"/>
        <v>*</v>
      </c>
      <c r="R310" s="16"/>
      <c r="S310" s="17" t="str">
        <f t="shared" si="82"/>
        <v>TRABDS</v>
      </c>
      <c r="T310" s="17" t="str">
        <f t="shared" si="83"/>
        <v>TRAFRECSHDMD</v>
      </c>
      <c r="U310" s="17" t="str">
        <f t="shared" si="84"/>
        <v>TRAFRECSHDMD</v>
      </c>
      <c r="V310" s="18">
        <v>2025</v>
      </c>
      <c r="W310" s="18" t="str">
        <f>W309</f>
        <v>UP</v>
      </c>
      <c r="X310" s="18"/>
      <c r="Y310" s="20" t="e">
        <f>-MIN(SUMIFS('TRA RESID'!$P:$P,'TRA RESID'!$H:$H,$E310,'TRA RESID'!$I:$I,$F310)/SUMIFS('TRA RESID'!$P:$P,'TRA RESID'!$I:$I,$F310)*AC310,1)</f>
        <v>#DIV/0!</v>
      </c>
      <c r="Z310" s="18"/>
      <c r="AA310" s="18"/>
      <c r="AB310" s="9"/>
      <c r="AC310" s="21">
        <v>1.2</v>
      </c>
    </row>
    <row r="311" spans="1:29" x14ac:dyDescent="0.25">
      <c r="A311" s="9">
        <f>A310</f>
        <v>77</v>
      </c>
      <c r="B311" s="9"/>
      <c r="C311" s="15" t="str">
        <f>IF(C310="*",C310,"")</f>
        <v>*</v>
      </c>
      <c r="D311" s="16"/>
      <c r="E311" s="17" t="str">
        <f t="shared" si="96"/>
        <v>TRABDS</v>
      </c>
      <c r="F311" s="17" t="str">
        <f t="shared" si="96"/>
        <v>TRAFRECSHDMD</v>
      </c>
      <c r="G311" s="17" t="str">
        <f t="shared" si="96"/>
        <v>TRAFRECSHDMD</v>
      </c>
      <c r="H311" s="18">
        <v>2030</v>
      </c>
      <c r="I311" s="18" t="str">
        <f>I310</f>
        <v>LO</v>
      </c>
      <c r="J311" s="18"/>
      <c r="K311" s="20" t="e">
        <f>-SUMIFS('TRA RESID'!$P:$P,'TRA RESID'!$H:$H,$E311,'TRA RESID'!$I:$I,$F311)/SUMIFS('TRA RESID'!$P:$P,'TRA RESID'!$I:$I,$F311)*O311</f>
        <v>#DIV/0!</v>
      </c>
      <c r="L311" s="18"/>
      <c r="M311" s="18"/>
      <c r="N311" s="9"/>
      <c r="O311" s="21">
        <v>0.2</v>
      </c>
      <c r="Q311" s="15" t="str">
        <f t="shared" si="80"/>
        <v>*</v>
      </c>
      <c r="R311" s="16"/>
      <c r="S311" s="17" t="str">
        <f t="shared" si="82"/>
        <v>TRABDS</v>
      </c>
      <c r="T311" s="17" t="str">
        <f t="shared" si="83"/>
        <v>TRAFRECSHDMD</v>
      </c>
      <c r="U311" s="17" t="str">
        <f t="shared" si="84"/>
        <v>TRAFRECSHDMD</v>
      </c>
      <c r="V311" s="18">
        <v>2030</v>
      </c>
      <c r="W311" s="18" t="str">
        <f>W310</f>
        <v>UP</v>
      </c>
      <c r="X311" s="18"/>
      <c r="Y311" s="20" t="e">
        <f>-MIN(SUMIFS('TRA RESID'!$P:$P,'TRA RESID'!$H:$H,$E311,'TRA RESID'!$I:$I,$F311)/SUMIFS('TRA RESID'!$P:$P,'TRA RESID'!$I:$I,$F311)*AC311,1)</f>
        <v>#DIV/0!</v>
      </c>
      <c r="Z311" s="18"/>
      <c r="AA311" s="18"/>
      <c r="AB311" s="9"/>
      <c r="AC311" s="21">
        <v>1.5</v>
      </c>
    </row>
    <row r="312" spans="1:29" x14ac:dyDescent="0.25">
      <c r="A312" s="22">
        <f>A311</f>
        <v>77</v>
      </c>
      <c r="B312" s="22"/>
      <c r="C312" s="23" t="str">
        <f>IF(C311="*",C311,"")</f>
        <v>*</v>
      </c>
      <c r="D312" s="24"/>
      <c r="E312" s="25" t="str">
        <f t="shared" si="96"/>
        <v>TRABDS</v>
      </c>
      <c r="F312" s="25" t="str">
        <f t="shared" si="96"/>
        <v>TRAFRECSHDMD</v>
      </c>
      <c r="G312" s="25" t="str">
        <f t="shared" si="96"/>
        <v>TRAFRECSHDMD</v>
      </c>
      <c r="H312" s="26">
        <v>2050</v>
      </c>
      <c r="I312" s="26" t="str">
        <f>I311</f>
        <v>LO</v>
      </c>
      <c r="J312" s="26"/>
      <c r="K312" s="27" t="e">
        <f>-SUMIFS('TRA RESID'!$P:$P,'TRA RESID'!$H:$H,$E312,'TRA RESID'!$I:$I,$F312)/SUMIFS('TRA RESID'!$P:$P,'TRA RESID'!$I:$I,$F312)*O312</f>
        <v>#DIV/0!</v>
      </c>
      <c r="L312" s="26"/>
      <c r="M312" s="26"/>
      <c r="N312" s="22"/>
      <c r="O312" s="28">
        <v>0</v>
      </c>
      <c r="Q312" s="23" t="str">
        <f t="shared" si="80"/>
        <v>*</v>
      </c>
      <c r="R312" s="24"/>
      <c r="S312" s="25" t="str">
        <f t="shared" si="82"/>
        <v>TRABDS</v>
      </c>
      <c r="T312" s="25" t="str">
        <f t="shared" si="83"/>
        <v>TRAFRECSHDMD</v>
      </c>
      <c r="U312" s="25" t="str">
        <f t="shared" si="84"/>
        <v>TRAFRECSHDMD</v>
      </c>
      <c r="V312" s="26">
        <v>2050</v>
      </c>
      <c r="W312" s="26" t="str">
        <f>W311</f>
        <v>UP</v>
      </c>
      <c r="X312" s="26"/>
      <c r="Y312" s="27" t="e">
        <f>-MIN(SUMIFS('TRA RESID'!$P:$P,'TRA RESID'!$H:$H,$E312,'TRA RESID'!$I:$I,$F312)/SUMIFS('TRA RESID'!$P:$P,'TRA RESID'!$I:$I,$F312)*AC312,1)</f>
        <v>#DIV/0!</v>
      </c>
      <c r="Z312" s="26"/>
      <c r="AA312" s="26"/>
      <c r="AB312" s="22"/>
      <c r="AC312" s="28">
        <v>3</v>
      </c>
    </row>
    <row r="313" spans="1:29" x14ac:dyDescent="0.25">
      <c r="A313" s="14">
        <f>A309+1</f>
        <v>78</v>
      </c>
      <c r="B313" s="9"/>
      <c r="C313" s="15" t="str">
        <f>IF(E313="","",IF(_xlfn.XLOOKUP($A313,Selected_constraint!$A:$A,Selected_constraint!$D:$D)=1,"*",IF(SUMIFS('TRA TECH'!$M:$M,'TRA TECH'!$H:$H,E313,'TRA TECH'!$I:$I,F313)=0,"*",IF(SUMIFS('TRA RESID'!$P:$P,'TRA RESID'!$H:$H,$E313,'TRA RESID'!$I:$I,$F313)=0,"*","UC_MarketShare_"&amp;LEFT(F313,LEN(F313)-3)&amp;"_"&amp;RIGHT(E313,3)&amp;"_MIN"))))</f>
        <v>*</v>
      </c>
      <c r="D313" s="16"/>
      <c r="E313" s="17" t="str">
        <f>_xlfn.XLOOKUP($A313,Selected_constraint!$A:$A,Selected_constraint!$B:$B)</f>
        <v>TRACNG</v>
      </c>
      <c r="F313" s="17" t="str">
        <f>_xlfn.XLOOKUP($A313,Selected_constraint!$A:$A,Selected_constraint!$C:$C)</f>
        <v>TRAFRECSHDMD</v>
      </c>
      <c r="G313" s="17" t="str">
        <f>F313</f>
        <v>TRAFRECSHDMD</v>
      </c>
      <c r="H313" s="18">
        <v>2019</v>
      </c>
      <c r="I313" s="18" t="s">
        <v>483</v>
      </c>
      <c r="J313" s="18">
        <v>1</v>
      </c>
      <c r="K313" s="20" t="e">
        <f>-SUMIFS('TRA RESID'!$P:$P,'TRA RESID'!$H:$H,$E313,'TRA RESID'!$I:$I,$F313)/SUMIFS('TRA RESID'!$P:$P,'TRA RESID'!$I:$I,$F313)*O313</f>
        <v>#DIV/0!</v>
      </c>
      <c r="L313" s="18">
        <v>0</v>
      </c>
      <c r="M313" s="18">
        <v>5</v>
      </c>
      <c r="N313" s="9"/>
      <c r="O313" s="21">
        <v>0.98</v>
      </c>
      <c r="Q313" s="15" t="str">
        <f t="shared" si="80"/>
        <v>*</v>
      </c>
      <c r="R313" s="16"/>
      <c r="S313" s="17" t="str">
        <f t="shared" si="82"/>
        <v>TRACNG</v>
      </c>
      <c r="T313" s="17" t="str">
        <f t="shared" si="83"/>
        <v>TRAFRECSHDMD</v>
      </c>
      <c r="U313" s="17" t="str">
        <f t="shared" si="84"/>
        <v>TRAFRECSHDMD</v>
      </c>
      <c r="V313" s="18">
        <v>2019</v>
      </c>
      <c r="W313" s="18" t="s">
        <v>484</v>
      </c>
      <c r="X313" s="18">
        <v>1</v>
      </c>
      <c r="Y313" s="20" t="e">
        <f>-MIN(SUMIFS('TRA RESID'!$P:$P,'TRA RESID'!$H:$H,$E313,'TRA RESID'!$I:$I,$F313)/SUMIFS('TRA RESID'!$P:$P,'TRA RESID'!$I:$I,$F313)*AC313,1)</f>
        <v>#DIV/0!</v>
      </c>
      <c r="Z313" s="18">
        <v>0</v>
      </c>
      <c r="AA313" s="18">
        <v>5</v>
      </c>
      <c r="AB313" s="9"/>
      <c r="AC313" s="21">
        <v>1.02</v>
      </c>
    </row>
    <row r="314" spans="1:29" x14ac:dyDescent="0.25">
      <c r="A314" s="9">
        <f>A313</f>
        <v>78</v>
      </c>
      <c r="B314" s="9"/>
      <c r="C314" s="15" t="str">
        <f>IF(C313="*",C313,"")</f>
        <v>*</v>
      </c>
      <c r="D314" s="16"/>
      <c r="E314" s="17" t="str">
        <f t="shared" ref="E314:G316" si="97">E313</f>
        <v>TRACNG</v>
      </c>
      <c r="F314" s="17" t="str">
        <f t="shared" si="97"/>
        <v>TRAFRECSHDMD</v>
      </c>
      <c r="G314" s="17" t="str">
        <f t="shared" si="97"/>
        <v>TRAFRECSHDMD</v>
      </c>
      <c r="H314" s="18">
        <v>2025</v>
      </c>
      <c r="I314" s="18" t="str">
        <f>I313</f>
        <v>LO</v>
      </c>
      <c r="J314" s="18"/>
      <c r="K314" s="20" t="e">
        <f>-SUMIFS('TRA RESID'!$P:$P,'TRA RESID'!$H:$H,$E314,'TRA RESID'!$I:$I,$F314)/SUMIFS('TRA RESID'!$P:$P,'TRA RESID'!$I:$I,$F314)*O314</f>
        <v>#DIV/0!</v>
      </c>
      <c r="L314" s="18"/>
      <c r="M314" s="18"/>
      <c r="N314" s="9"/>
      <c r="O314" s="21">
        <v>0.8</v>
      </c>
      <c r="Q314" s="15" t="str">
        <f t="shared" si="80"/>
        <v>*</v>
      </c>
      <c r="R314" s="16"/>
      <c r="S314" s="17" t="str">
        <f t="shared" si="82"/>
        <v>TRACNG</v>
      </c>
      <c r="T314" s="17" t="str">
        <f t="shared" si="83"/>
        <v>TRAFRECSHDMD</v>
      </c>
      <c r="U314" s="17" t="str">
        <f t="shared" si="84"/>
        <v>TRAFRECSHDMD</v>
      </c>
      <c r="V314" s="18">
        <v>2025</v>
      </c>
      <c r="W314" s="18" t="str">
        <f>W313</f>
        <v>UP</v>
      </c>
      <c r="X314" s="18"/>
      <c r="Y314" s="20" t="e">
        <f>-MIN(SUMIFS('TRA RESID'!$P:$P,'TRA RESID'!$H:$H,$E314,'TRA RESID'!$I:$I,$F314)/SUMIFS('TRA RESID'!$P:$P,'TRA RESID'!$I:$I,$F314)*AC314,1)</f>
        <v>#DIV/0!</v>
      </c>
      <c r="Z314" s="18"/>
      <c r="AA314" s="18"/>
      <c r="AB314" s="9"/>
      <c r="AC314" s="21">
        <v>1.2</v>
      </c>
    </row>
    <row r="315" spans="1:29" x14ac:dyDescent="0.25">
      <c r="A315" s="9">
        <f>A314</f>
        <v>78</v>
      </c>
      <c r="B315" s="9"/>
      <c r="C315" s="15" t="str">
        <f>IF(C314="*",C314,"")</f>
        <v>*</v>
      </c>
      <c r="D315" s="16"/>
      <c r="E315" s="17" t="str">
        <f t="shared" si="97"/>
        <v>TRACNG</v>
      </c>
      <c r="F315" s="17" t="str">
        <f t="shared" si="97"/>
        <v>TRAFRECSHDMD</v>
      </c>
      <c r="G315" s="17" t="str">
        <f t="shared" si="97"/>
        <v>TRAFRECSHDMD</v>
      </c>
      <c r="H315" s="18">
        <v>2030</v>
      </c>
      <c r="I315" s="18" t="str">
        <f>I314</f>
        <v>LO</v>
      </c>
      <c r="J315" s="18"/>
      <c r="K315" s="20" t="e">
        <f>-SUMIFS('TRA RESID'!$P:$P,'TRA RESID'!$H:$H,$E315,'TRA RESID'!$I:$I,$F315)/SUMIFS('TRA RESID'!$P:$P,'TRA RESID'!$I:$I,$F315)*O315</f>
        <v>#DIV/0!</v>
      </c>
      <c r="L315" s="18"/>
      <c r="M315" s="18"/>
      <c r="N315" s="9"/>
      <c r="O315" s="21">
        <v>0.2</v>
      </c>
      <c r="Q315" s="15" t="str">
        <f t="shared" si="80"/>
        <v>*</v>
      </c>
      <c r="R315" s="16"/>
      <c r="S315" s="17" t="str">
        <f t="shared" si="82"/>
        <v>TRACNG</v>
      </c>
      <c r="T315" s="17" t="str">
        <f t="shared" si="83"/>
        <v>TRAFRECSHDMD</v>
      </c>
      <c r="U315" s="17" t="str">
        <f t="shared" si="84"/>
        <v>TRAFRECSHDMD</v>
      </c>
      <c r="V315" s="18">
        <v>2030</v>
      </c>
      <c r="W315" s="18" t="str">
        <f>W314</f>
        <v>UP</v>
      </c>
      <c r="X315" s="18"/>
      <c r="Y315" s="20" t="e">
        <f>-MIN(SUMIFS('TRA RESID'!$P:$P,'TRA RESID'!$H:$H,$E315,'TRA RESID'!$I:$I,$F315)/SUMIFS('TRA RESID'!$P:$P,'TRA RESID'!$I:$I,$F315)*AC315,1)</f>
        <v>#DIV/0!</v>
      </c>
      <c r="Z315" s="18"/>
      <c r="AA315" s="18"/>
      <c r="AB315" s="9"/>
      <c r="AC315" s="21">
        <v>1.5</v>
      </c>
    </row>
    <row r="316" spans="1:29" x14ac:dyDescent="0.25">
      <c r="A316" s="22">
        <f>A315</f>
        <v>78</v>
      </c>
      <c r="B316" s="22"/>
      <c r="C316" s="23" t="str">
        <f>IF(C315="*",C315,"")</f>
        <v>*</v>
      </c>
      <c r="D316" s="24"/>
      <c r="E316" s="25" t="str">
        <f t="shared" si="97"/>
        <v>TRACNG</v>
      </c>
      <c r="F316" s="25" t="str">
        <f t="shared" si="97"/>
        <v>TRAFRECSHDMD</v>
      </c>
      <c r="G316" s="25" t="str">
        <f t="shared" si="97"/>
        <v>TRAFRECSHDMD</v>
      </c>
      <c r="H316" s="26">
        <v>2050</v>
      </c>
      <c r="I316" s="26" t="str">
        <f>I315</f>
        <v>LO</v>
      </c>
      <c r="J316" s="26"/>
      <c r="K316" s="27" t="e">
        <f>-SUMIFS('TRA RESID'!$P:$P,'TRA RESID'!$H:$H,$E316,'TRA RESID'!$I:$I,$F316)/SUMIFS('TRA RESID'!$P:$P,'TRA RESID'!$I:$I,$F316)*O316</f>
        <v>#DIV/0!</v>
      </c>
      <c r="L316" s="26"/>
      <c r="M316" s="26"/>
      <c r="N316" s="22"/>
      <c r="O316" s="28">
        <v>0</v>
      </c>
      <c r="Q316" s="23" t="str">
        <f t="shared" si="80"/>
        <v>*</v>
      </c>
      <c r="R316" s="24"/>
      <c r="S316" s="25" t="str">
        <f t="shared" si="82"/>
        <v>TRACNG</v>
      </c>
      <c r="T316" s="25" t="str">
        <f t="shared" si="83"/>
        <v>TRAFRECSHDMD</v>
      </c>
      <c r="U316" s="25" t="str">
        <f t="shared" si="84"/>
        <v>TRAFRECSHDMD</v>
      </c>
      <c r="V316" s="26">
        <v>2050</v>
      </c>
      <c r="W316" s="26" t="str">
        <f>W315</f>
        <v>UP</v>
      </c>
      <c r="X316" s="26"/>
      <c r="Y316" s="27" t="e">
        <f>-MIN(SUMIFS('TRA RESID'!$P:$P,'TRA RESID'!$H:$H,$E316,'TRA RESID'!$I:$I,$F316)/SUMIFS('TRA RESID'!$P:$P,'TRA RESID'!$I:$I,$F316)*AC316,1)</f>
        <v>#DIV/0!</v>
      </c>
      <c r="Z316" s="26"/>
      <c r="AA316" s="26"/>
      <c r="AB316" s="22"/>
      <c r="AC316" s="28">
        <v>3</v>
      </c>
    </row>
    <row r="317" spans="1:29" x14ac:dyDescent="0.25">
      <c r="A317" s="14">
        <f>A313+1</f>
        <v>79</v>
      </c>
      <c r="B317" s="9"/>
      <c r="C317" s="15" t="str">
        <f>IF(E317="","",IF(_xlfn.XLOOKUP($A317,Selected_constraint!$A:$A,Selected_constraint!$D:$D)=1,"*",IF(SUMIFS('TRA TECH'!$M:$M,'TRA TECH'!$H:$H,E317,'TRA TECH'!$I:$I,F317)=0,"*",IF(SUMIFS('TRA RESID'!$P:$P,'TRA RESID'!$H:$H,$E317,'TRA RESID'!$I:$I,$F317)=0,"*","UC_MarketShare_"&amp;LEFT(F317,LEN(F317)-3)&amp;"_"&amp;RIGHT(E317,3)&amp;"_MIN"))))</f>
        <v>*</v>
      </c>
      <c r="D317" s="16"/>
      <c r="E317" s="17" t="str">
        <f>_xlfn.XLOOKUP($A317,Selected_constraint!$A:$A,Selected_constraint!$B:$B)</f>
        <v>TRARNG</v>
      </c>
      <c r="F317" s="17" t="str">
        <f>_xlfn.XLOOKUP($A317,Selected_constraint!$A:$A,Selected_constraint!$C:$C)</f>
        <v>TRAFRECSHDMD</v>
      </c>
      <c r="G317" s="17" t="str">
        <f>F317</f>
        <v>TRAFRECSHDMD</v>
      </c>
      <c r="H317" s="18">
        <v>2019</v>
      </c>
      <c r="I317" s="18" t="s">
        <v>483</v>
      </c>
      <c r="J317" s="18">
        <v>1</v>
      </c>
      <c r="K317" s="20" t="e">
        <f>-SUMIFS('TRA RESID'!$P:$P,'TRA RESID'!$H:$H,$E317,'TRA RESID'!$I:$I,$F317)/SUMIFS('TRA RESID'!$P:$P,'TRA RESID'!$I:$I,$F317)*O317</f>
        <v>#DIV/0!</v>
      </c>
      <c r="L317" s="18">
        <v>0</v>
      </c>
      <c r="M317" s="18">
        <v>5</v>
      </c>
      <c r="N317" s="9"/>
      <c r="O317" s="21">
        <v>0.98</v>
      </c>
      <c r="Q317" s="15" t="str">
        <f t="shared" si="80"/>
        <v>*</v>
      </c>
      <c r="R317" s="16"/>
      <c r="S317" s="17" t="str">
        <f t="shared" si="82"/>
        <v>TRARNG</v>
      </c>
      <c r="T317" s="17" t="str">
        <f t="shared" si="83"/>
        <v>TRAFRECSHDMD</v>
      </c>
      <c r="U317" s="17" t="str">
        <f t="shared" si="84"/>
        <v>TRAFRECSHDMD</v>
      </c>
      <c r="V317" s="18">
        <v>2019</v>
      </c>
      <c r="W317" s="18" t="s">
        <v>484</v>
      </c>
      <c r="X317" s="18">
        <v>1</v>
      </c>
      <c r="Y317" s="20" t="e">
        <f>-MIN(SUMIFS('TRA RESID'!$P:$P,'TRA RESID'!$H:$H,$E317,'TRA RESID'!$I:$I,$F317)/SUMIFS('TRA RESID'!$P:$P,'TRA RESID'!$I:$I,$F317)*AC317,1)</f>
        <v>#DIV/0!</v>
      </c>
      <c r="Z317" s="18">
        <v>0</v>
      </c>
      <c r="AA317" s="18">
        <v>5</v>
      </c>
      <c r="AB317" s="9"/>
      <c r="AC317" s="21">
        <v>1.02</v>
      </c>
    </row>
    <row r="318" spans="1:29" x14ac:dyDescent="0.25">
      <c r="A318" s="9">
        <f>A317</f>
        <v>79</v>
      </c>
      <c r="B318" s="9"/>
      <c r="C318" s="15" t="str">
        <f>IF(C317="*",C317,"")</f>
        <v>*</v>
      </c>
      <c r="D318" s="16"/>
      <c r="E318" s="17" t="str">
        <f t="shared" ref="E318:G320" si="98">E317</f>
        <v>TRARNG</v>
      </c>
      <c r="F318" s="17" t="str">
        <f t="shared" si="98"/>
        <v>TRAFRECSHDMD</v>
      </c>
      <c r="G318" s="17" t="str">
        <f t="shared" si="98"/>
        <v>TRAFRECSHDMD</v>
      </c>
      <c r="H318" s="18">
        <v>2025</v>
      </c>
      <c r="I318" s="18" t="str">
        <f>I317</f>
        <v>LO</v>
      </c>
      <c r="J318" s="18"/>
      <c r="K318" s="20" t="e">
        <f>-SUMIFS('TRA RESID'!$P:$P,'TRA RESID'!$H:$H,$E318,'TRA RESID'!$I:$I,$F318)/SUMIFS('TRA RESID'!$P:$P,'TRA RESID'!$I:$I,$F318)*O318</f>
        <v>#DIV/0!</v>
      </c>
      <c r="L318" s="18"/>
      <c r="M318" s="18"/>
      <c r="N318" s="9"/>
      <c r="O318" s="21">
        <v>0.8</v>
      </c>
      <c r="Q318" s="15" t="str">
        <f t="shared" si="80"/>
        <v>*</v>
      </c>
      <c r="R318" s="16"/>
      <c r="S318" s="17" t="str">
        <f t="shared" si="82"/>
        <v>TRARNG</v>
      </c>
      <c r="T318" s="17" t="str">
        <f t="shared" si="83"/>
        <v>TRAFRECSHDMD</v>
      </c>
      <c r="U318" s="17" t="str">
        <f t="shared" si="84"/>
        <v>TRAFRECSHDMD</v>
      </c>
      <c r="V318" s="18">
        <v>2025</v>
      </c>
      <c r="W318" s="18" t="str">
        <f>W317</f>
        <v>UP</v>
      </c>
      <c r="X318" s="18"/>
      <c r="Y318" s="20" t="e">
        <f>-MIN(SUMIFS('TRA RESID'!$P:$P,'TRA RESID'!$H:$H,$E318,'TRA RESID'!$I:$I,$F318)/SUMIFS('TRA RESID'!$P:$P,'TRA RESID'!$I:$I,$F318)*AC318,1)</f>
        <v>#DIV/0!</v>
      </c>
      <c r="Z318" s="18"/>
      <c r="AA318" s="18"/>
      <c r="AB318" s="9"/>
      <c r="AC318" s="21">
        <v>1.2</v>
      </c>
    </row>
    <row r="319" spans="1:29" x14ac:dyDescent="0.25">
      <c r="A319" s="9">
        <f>A318</f>
        <v>79</v>
      </c>
      <c r="B319" s="9"/>
      <c r="C319" s="15" t="str">
        <f>IF(C318="*",C318,"")</f>
        <v>*</v>
      </c>
      <c r="D319" s="16"/>
      <c r="E319" s="17" t="str">
        <f t="shared" si="98"/>
        <v>TRARNG</v>
      </c>
      <c r="F319" s="17" t="str">
        <f t="shared" si="98"/>
        <v>TRAFRECSHDMD</v>
      </c>
      <c r="G319" s="17" t="str">
        <f t="shared" si="98"/>
        <v>TRAFRECSHDMD</v>
      </c>
      <c r="H319" s="18">
        <v>2030</v>
      </c>
      <c r="I319" s="18" t="str">
        <f>I318</f>
        <v>LO</v>
      </c>
      <c r="J319" s="18"/>
      <c r="K319" s="20" t="e">
        <f>-SUMIFS('TRA RESID'!$P:$P,'TRA RESID'!$H:$H,$E319,'TRA RESID'!$I:$I,$F319)/SUMIFS('TRA RESID'!$P:$P,'TRA RESID'!$I:$I,$F319)*O319</f>
        <v>#DIV/0!</v>
      </c>
      <c r="L319" s="18"/>
      <c r="M319" s="18"/>
      <c r="N319" s="9"/>
      <c r="O319" s="21">
        <v>0.2</v>
      </c>
      <c r="Q319" s="15" t="str">
        <f t="shared" si="80"/>
        <v>*</v>
      </c>
      <c r="R319" s="16"/>
      <c r="S319" s="17" t="str">
        <f t="shared" si="82"/>
        <v>TRARNG</v>
      </c>
      <c r="T319" s="17" t="str">
        <f t="shared" si="83"/>
        <v>TRAFRECSHDMD</v>
      </c>
      <c r="U319" s="17" t="str">
        <f t="shared" si="84"/>
        <v>TRAFRECSHDMD</v>
      </c>
      <c r="V319" s="18">
        <v>2030</v>
      </c>
      <c r="W319" s="18" t="str">
        <f>W318</f>
        <v>UP</v>
      </c>
      <c r="X319" s="18"/>
      <c r="Y319" s="20" t="e">
        <f>-MIN(SUMIFS('TRA RESID'!$P:$P,'TRA RESID'!$H:$H,$E319,'TRA RESID'!$I:$I,$F319)/SUMIFS('TRA RESID'!$P:$P,'TRA RESID'!$I:$I,$F319)*AC319,1)</f>
        <v>#DIV/0!</v>
      </c>
      <c r="Z319" s="18"/>
      <c r="AA319" s="18"/>
      <c r="AB319" s="9"/>
      <c r="AC319" s="21">
        <v>1.5</v>
      </c>
    </row>
    <row r="320" spans="1:29" x14ac:dyDescent="0.25">
      <c r="A320" s="22">
        <f>A319</f>
        <v>79</v>
      </c>
      <c r="B320" s="22"/>
      <c r="C320" s="23" t="str">
        <f>IF(C319="*",C319,"")</f>
        <v>*</v>
      </c>
      <c r="D320" s="24"/>
      <c r="E320" s="25" t="str">
        <f t="shared" si="98"/>
        <v>TRARNG</v>
      </c>
      <c r="F320" s="25" t="str">
        <f t="shared" si="98"/>
        <v>TRAFRECSHDMD</v>
      </c>
      <c r="G320" s="25" t="str">
        <f t="shared" si="98"/>
        <v>TRAFRECSHDMD</v>
      </c>
      <c r="H320" s="26">
        <v>2050</v>
      </c>
      <c r="I320" s="26" t="str">
        <f>I319</f>
        <v>LO</v>
      </c>
      <c r="J320" s="26"/>
      <c r="K320" s="27" t="e">
        <f>-SUMIFS('TRA RESID'!$P:$P,'TRA RESID'!$H:$H,$E320,'TRA RESID'!$I:$I,$F320)/SUMIFS('TRA RESID'!$P:$P,'TRA RESID'!$I:$I,$F320)*O320</f>
        <v>#DIV/0!</v>
      </c>
      <c r="L320" s="26"/>
      <c r="M320" s="26"/>
      <c r="N320" s="22"/>
      <c r="O320" s="28">
        <v>0</v>
      </c>
      <c r="Q320" s="23" t="str">
        <f t="shared" si="80"/>
        <v>*</v>
      </c>
      <c r="R320" s="24"/>
      <c r="S320" s="25" t="str">
        <f t="shared" si="82"/>
        <v>TRARNG</v>
      </c>
      <c r="T320" s="25" t="str">
        <f t="shared" si="83"/>
        <v>TRAFRECSHDMD</v>
      </c>
      <c r="U320" s="25" t="str">
        <f t="shared" si="84"/>
        <v>TRAFRECSHDMD</v>
      </c>
      <c r="V320" s="26">
        <v>2050</v>
      </c>
      <c r="W320" s="26" t="str">
        <f>W319</f>
        <v>UP</v>
      </c>
      <c r="X320" s="26"/>
      <c r="Y320" s="27" t="e">
        <f>-MIN(SUMIFS('TRA RESID'!$P:$P,'TRA RESID'!$H:$H,$E320,'TRA RESID'!$I:$I,$F320)/SUMIFS('TRA RESID'!$P:$P,'TRA RESID'!$I:$I,$F320)*AC320,1)</f>
        <v>#DIV/0!</v>
      </c>
      <c r="Z320" s="26"/>
      <c r="AA320" s="26"/>
      <c r="AB320" s="22"/>
      <c r="AC320" s="28">
        <v>3</v>
      </c>
    </row>
    <row r="321" spans="1:29" x14ac:dyDescent="0.25">
      <c r="A321" s="14">
        <f>A317+1</f>
        <v>80</v>
      </c>
      <c r="B321" s="9"/>
      <c r="C321" s="15" t="str">
        <f>IF(E321="","",IF(_xlfn.XLOOKUP($A321,Selected_constraint!$A:$A,Selected_constraint!$D:$D)=1,"*",IF(SUMIFS('TRA TECH'!$M:$M,'TRA TECH'!$H:$H,E321,'TRA TECH'!$I:$I,F321)=0,"*",IF(SUMIFS('TRA RESID'!$P:$P,'TRA RESID'!$H:$H,$E321,'TRA RESID'!$I:$I,$F321)=0,"*","UC_MarketShare_"&amp;LEFT(F321,LEN(F321)-3)&amp;"_"&amp;RIGHT(E321,3)&amp;"_MIN"))))</f>
        <v>*</v>
      </c>
      <c r="D321" s="16"/>
      <c r="E321" s="17" t="str">
        <f>_xlfn.XLOOKUP($A321,Selected_constraint!$A:$A,Selected_constraint!$B:$B)</f>
        <v>TRABAF</v>
      </c>
      <c r="F321" s="17" t="str">
        <f>_xlfn.XLOOKUP($A321,Selected_constraint!$A:$A,Selected_constraint!$C:$C)</f>
        <v>TRAFRECSHDMD</v>
      </c>
      <c r="G321" s="17" t="str">
        <f>F321</f>
        <v>TRAFRECSHDMD</v>
      </c>
      <c r="H321" s="18">
        <v>2019</v>
      </c>
      <c r="I321" s="18" t="s">
        <v>483</v>
      </c>
      <c r="J321" s="18">
        <v>1</v>
      </c>
      <c r="K321" s="20" t="e">
        <f>-SUMIFS('TRA RESID'!$P:$P,'TRA RESID'!$H:$H,$E321,'TRA RESID'!$I:$I,$F321)/SUMIFS('TRA RESID'!$P:$P,'TRA RESID'!$I:$I,$F321)*O321</f>
        <v>#DIV/0!</v>
      </c>
      <c r="L321" s="18">
        <v>0</v>
      </c>
      <c r="M321" s="18">
        <v>5</v>
      </c>
      <c r="N321" s="9"/>
      <c r="O321" s="21">
        <v>0.98</v>
      </c>
      <c r="Q321" s="15" t="str">
        <f t="shared" si="80"/>
        <v>*</v>
      </c>
      <c r="R321" s="16"/>
      <c r="S321" s="17" t="str">
        <f t="shared" si="82"/>
        <v>TRABAF</v>
      </c>
      <c r="T321" s="17" t="str">
        <f t="shared" si="83"/>
        <v>TRAFRECSHDMD</v>
      </c>
      <c r="U321" s="17" t="str">
        <f t="shared" si="84"/>
        <v>TRAFRECSHDMD</v>
      </c>
      <c r="V321" s="18">
        <v>2019</v>
      </c>
      <c r="W321" s="18" t="s">
        <v>484</v>
      </c>
      <c r="X321" s="18">
        <v>1</v>
      </c>
      <c r="Y321" s="20" t="e">
        <f>-MIN(SUMIFS('TRA RESID'!$P:$P,'TRA RESID'!$H:$H,$E321,'TRA RESID'!$I:$I,$F321)/SUMIFS('TRA RESID'!$P:$P,'TRA RESID'!$I:$I,$F321)*AC321,1)</f>
        <v>#DIV/0!</v>
      </c>
      <c r="Z321" s="18">
        <v>0</v>
      </c>
      <c r="AA321" s="18">
        <v>5</v>
      </c>
      <c r="AB321" s="9"/>
      <c r="AC321" s="21">
        <v>1.02</v>
      </c>
    </row>
    <row r="322" spans="1:29" x14ac:dyDescent="0.25">
      <c r="A322" s="9">
        <f>A321</f>
        <v>80</v>
      </c>
      <c r="B322" s="9"/>
      <c r="C322" s="15" t="str">
        <f>IF(C321="*",C321,"")</f>
        <v>*</v>
      </c>
      <c r="D322" s="16"/>
      <c r="E322" s="17" t="str">
        <f t="shared" ref="E322:G324" si="99">E321</f>
        <v>TRABAF</v>
      </c>
      <c r="F322" s="17" t="str">
        <f t="shared" si="99"/>
        <v>TRAFRECSHDMD</v>
      </c>
      <c r="G322" s="17" t="str">
        <f t="shared" si="99"/>
        <v>TRAFRECSHDMD</v>
      </c>
      <c r="H322" s="18">
        <v>2025</v>
      </c>
      <c r="I322" s="18" t="str">
        <f>I321</f>
        <v>LO</v>
      </c>
      <c r="J322" s="18"/>
      <c r="K322" s="20" t="e">
        <f>-SUMIFS('TRA RESID'!$P:$P,'TRA RESID'!$H:$H,$E322,'TRA RESID'!$I:$I,$F322)/SUMIFS('TRA RESID'!$P:$P,'TRA RESID'!$I:$I,$F322)*O322</f>
        <v>#DIV/0!</v>
      </c>
      <c r="L322" s="18"/>
      <c r="M322" s="18"/>
      <c r="N322" s="9"/>
      <c r="O322" s="21">
        <v>0.8</v>
      </c>
      <c r="Q322" s="15" t="str">
        <f t="shared" si="80"/>
        <v>*</v>
      </c>
      <c r="R322" s="16"/>
      <c r="S322" s="17" t="str">
        <f t="shared" si="82"/>
        <v>TRABAF</v>
      </c>
      <c r="T322" s="17" t="str">
        <f t="shared" si="83"/>
        <v>TRAFRECSHDMD</v>
      </c>
      <c r="U322" s="17" t="str">
        <f t="shared" si="84"/>
        <v>TRAFRECSHDMD</v>
      </c>
      <c r="V322" s="18">
        <v>2025</v>
      </c>
      <c r="W322" s="18" t="str">
        <f>W321</f>
        <v>UP</v>
      </c>
      <c r="X322" s="18"/>
      <c r="Y322" s="20" t="e">
        <f>-MIN(SUMIFS('TRA RESID'!$P:$P,'TRA RESID'!$H:$H,$E322,'TRA RESID'!$I:$I,$F322)/SUMIFS('TRA RESID'!$P:$P,'TRA RESID'!$I:$I,$F322)*AC322,1)</f>
        <v>#DIV/0!</v>
      </c>
      <c r="Z322" s="18"/>
      <c r="AA322" s="18"/>
      <c r="AB322" s="9"/>
      <c r="AC322" s="21">
        <v>1.2</v>
      </c>
    </row>
    <row r="323" spans="1:29" x14ac:dyDescent="0.25">
      <c r="A323" s="9">
        <f>A322</f>
        <v>80</v>
      </c>
      <c r="B323" s="9"/>
      <c r="C323" s="15" t="str">
        <f>IF(C322="*",C322,"")</f>
        <v>*</v>
      </c>
      <c r="D323" s="16"/>
      <c r="E323" s="17" t="str">
        <f t="shared" si="99"/>
        <v>TRABAF</v>
      </c>
      <c r="F323" s="17" t="str">
        <f t="shared" si="99"/>
        <v>TRAFRECSHDMD</v>
      </c>
      <c r="G323" s="17" t="str">
        <f t="shared" si="99"/>
        <v>TRAFRECSHDMD</v>
      </c>
      <c r="H323" s="18">
        <v>2030</v>
      </c>
      <c r="I323" s="18" t="str">
        <f>I322</f>
        <v>LO</v>
      </c>
      <c r="J323" s="18"/>
      <c r="K323" s="20" t="e">
        <f>-SUMIFS('TRA RESID'!$P:$P,'TRA RESID'!$H:$H,$E323,'TRA RESID'!$I:$I,$F323)/SUMIFS('TRA RESID'!$P:$P,'TRA RESID'!$I:$I,$F323)*O323</f>
        <v>#DIV/0!</v>
      </c>
      <c r="L323" s="18"/>
      <c r="M323" s="18"/>
      <c r="N323" s="9"/>
      <c r="O323" s="21">
        <v>0.2</v>
      </c>
      <c r="Q323" s="15" t="str">
        <f t="shared" si="80"/>
        <v>*</v>
      </c>
      <c r="R323" s="16"/>
      <c r="S323" s="17" t="str">
        <f t="shared" si="82"/>
        <v>TRABAF</v>
      </c>
      <c r="T323" s="17" t="str">
        <f t="shared" si="83"/>
        <v>TRAFRECSHDMD</v>
      </c>
      <c r="U323" s="17" t="str">
        <f t="shared" si="84"/>
        <v>TRAFRECSHDMD</v>
      </c>
      <c r="V323" s="18">
        <v>2030</v>
      </c>
      <c r="W323" s="18" t="str">
        <f>W322</f>
        <v>UP</v>
      </c>
      <c r="X323" s="18"/>
      <c r="Y323" s="20" t="e">
        <f>-MIN(SUMIFS('TRA RESID'!$P:$P,'TRA RESID'!$H:$H,$E323,'TRA RESID'!$I:$I,$F323)/SUMIFS('TRA RESID'!$P:$P,'TRA RESID'!$I:$I,$F323)*AC323,1)</f>
        <v>#DIV/0!</v>
      </c>
      <c r="Z323" s="18"/>
      <c r="AA323" s="18"/>
      <c r="AB323" s="9"/>
      <c r="AC323" s="21">
        <v>1.5</v>
      </c>
    </row>
    <row r="324" spans="1:29" x14ac:dyDescent="0.25">
      <c r="A324" s="22">
        <f>A323</f>
        <v>80</v>
      </c>
      <c r="B324" s="22"/>
      <c r="C324" s="23" t="str">
        <f>IF(C323="*",C323,"")</f>
        <v>*</v>
      </c>
      <c r="D324" s="24"/>
      <c r="E324" s="25" t="str">
        <f t="shared" si="99"/>
        <v>TRABAF</v>
      </c>
      <c r="F324" s="25" t="str">
        <f t="shared" si="99"/>
        <v>TRAFRECSHDMD</v>
      </c>
      <c r="G324" s="25" t="str">
        <f t="shared" si="99"/>
        <v>TRAFRECSHDMD</v>
      </c>
      <c r="H324" s="26">
        <v>2050</v>
      </c>
      <c r="I324" s="26" t="str">
        <f>I323</f>
        <v>LO</v>
      </c>
      <c r="J324" s="26"/>
      <c r="K324" s="27" t="e">
        <f>-SUMIFS('TRA RESID'!$P:$P,'TRA RESID'!$H:$H,$E324,'TRA RESID'!$I:$I,$F324)/SUMIFS('TRA RESID'!$P:$P,'TRA RESID'!$I:$I,$F324)*O324</f>
        <v>#DIV/0!</v>
      </c>
      <c r="L324" s="26"/>
      <c r="M324" s="26"/>
      <c r="N324" s="22"/>
      <c r="O324" s="28">
        <v>0</v>
      </c>
      <c r="Q324" s="23" t="str">
        <f t="shared" si="80"/>
        <v>*</v>
      </c>
      <c r="R324" s="24"/>
      <c r="S324" s="25" t="str">
        <f t="shared" si="82"/>
        <v>TRABAF</v>
      </c>
      <c r="T324" s="25" t="str">
        <f t="shared" si="83"/>
        <v>TRAFRECSHDMD</v>
      </c>
      <c r="U324" s="25" t="str">
        <f t="shared" si="84"/>
        <v>TRAFRECSHDMD</v>
      </c>
      <c r="V324" s="26">
        <v>2050</v>
      </c>
      <c r="W324" s="26" t="str">
        <f>W323</f>
        <v>UP</v>
      </c>
      <c r="X324" s="26"/>
      <c r="Y324" s="27" t="e">
        <f>-MIN(SUMIFS('TRA RESID'!$P:$P,'TRA RESID'!$H:$H,$E324,'TRA RESID'!$I:$I,$F324)/SUMIFS('TRA RESID'!$P:$P,'TRA RESID'!$I:$I,$F324)*AC324,1)</f>
        <v>#DIV/0!</v>
      </c>
      <c r="Z324" s="26"/>
      <c r="AA324" s="26"/>
      <c r="AB324" s="22"/>
      <c r="AC324" s="28">
        <v>3</v>
      </c>
    </row>
    <row r="325" spans="1:29" x14ac:dyDescent="0.25">
      <c r="A325" s="14">
        <f>A321+1</f>
        <v>81</v>
      </c>
      <c r="B325" s="9"/>
      <c r="C325" s="15" t="str">
        <f>IF(E325="","",IF(_xlfn.XLOOKUP($A325,Selected_constraint!$A:$A,Selected_constraint!$D:$D)=1,"*",IF(SUMIFS('TRA TECH'!$M:$M,'TRA TECH'!$H:$H,E325,'TRA TECH'!$I:$I,F325)=0,"*",IF(SUMIFS('TRA RESID'!$P:$P,'TRA RESID'!$H:$H,$E325,'TRA RESID'!$I:$I,$F325)=0,"*","UC_MarketShare_"&amp;LEFT(F325,LEN(F325)-3)&amp;"_"&amp;RIGHT(E325,3)&amp;"_MIN"))))</f>
        <v>*</v>
      </c>
      <c r="D325" s="16"/>
      <c r="E325" s="17" t="str">
        <f>_xlfn.XLOOKUP($A325,Selected_constraint!$A:$A,Selected_constraint!$B:$B)</f>
        <v>TRAH2G</v>
      </c>
      <c r="F325" s="17" t="str">
        <f>_xlfn.XLOOKUP($A325,Selected_constraint!$A:$A,Selected_constraint!$C:$C)</f>
        <v>TRAFRECSHDMD</v>
      </c>
      <c r="G325" s="17" t="str">
        <f>F325</f>
        <v>TRAFRECSHDMD</v>
      </c>
      <c r="H325" s="18">
        <v>2019</v>
      </c>
      <c r="I325" s="18" t="s">
        <v>483</v>
      </c>
      <c r="J325" s="18">
        <v>1</v>
      </c>
      <c r="K325" s="20" t="e">
        <f>-SUMIFS('TRA RESID'!$P:$P,'TRA RESID'!$H:$H,$E325,'TRA RESID'!$I:$I,$F325)/SUMIFS('TRA RESID'!$P:$P,'TRA RESID'!$I:$I,$F325)*O325</f>
        <v>#DIV/0!</v>
      </c>
      <c r="L325" s="18">
        <v>0</v>
      </c>
      <c r="M325" s="18">
        <v>5</v>
      </c>
      <c r="N325" s="9"/>
      <c r="O325" s="21">
        <v>0.98</v>
      </c>
      <c r="Q325" s="15" t="str">
        <f t="shared" ref="Q325:Q388" si="100">SUBSTITUTE(C325,"MIN","MAX")</f>
        <v>*</v>
      </c>
      <c r="R325" s="16"/>
      <c r="S325" s="17" t="str">
        <f t="shared" si="82"/>
        <v>TRAH2G</v>
      </c>
      <c r="T325" s="17" t="str">
        <f t="shared" si="83"/>
        <v>TRAFRECSHDMD</v>
      </c>
      <c r="U325" s="17" t="str">
        <f t="shared" si="84"/>
        <v>TRAFRECSHDMD</v>
      </c>
      <c r="V325" s="18">
        <v>2019</v>
      </c>
      <c r="W325" s="18" t="s">
        <v>484</v>
      </c>
      <c r="X325" s="18">
        <v>1</v>
      </c>
      <c r="Y325" s="20" t="e">
        <f>-MIN(SUMIFS('TRA RESID'!$P:$P,'TRA RESID'!$H:$H,$E325,'TRA RESID'!$I:$I,$F325)/SUMIFS('TRA RESID'!$P:$P,'TRA RESID'!$I:$I,$F325)*AC325,1)</f>
        <v>#DIV/0!</v>
      </c>
      <c r="Z325" s="18">
        <v>0</v>
      </c>
      <c r="AA325" s="18">
        <v>5</v>
      </c>
      <c r="AB325" s="9"/>
      <c r="AC325" s="21">
        <v>1.02</v>
      </c>
    </row>
    <row r="326" spans="1:29" x14ac:dyDescent="0.25">
      <c r="A326" s="9">
        <f>A325</f>
        <v>81</v>
      </c>
      <c r="B326" s="9"/>
      <c r="C326" s="15" t="str">
        <f>IF(C325="*",C325,"")</f>
        <v>*</v>
      </c>
      <c r="D326" s="16"/>
      <c r="E326" s="17" t="str">
        <f t="shared" ref="E326:G328" si="101">E325</f>
        <v>TRAH2G</v>
      </c>
      <c r="F326" s="17" t="str">
        <f t="shared" si="101"/>
        <v>TRAFRECSHDMD</v>
      </c>
      <c r="G326" s="17" t="str">
        <f t="shared" si="101"/>
        <v>TRAFRECSHDMD</v>
      </c>
      <c r="H326" s="18">
        <v>2025</v>
      </c>
      <c r="I326" s="18" t="str">
        <f>I325</f>
        <v>LO</v>
      </c>
      <c r="J326" s="18"/>
      <c r="K326" s="20" t="e">
        <f>-SUMIFS('TRA RESID'!$P:$P,'TRA RESID'!$H:$H,$E326,'TRA RESID'!$I:$I,$F326)/SUMIFS('TRA RESID'!$P:$P,'TRA RESID'!$I:$I,$F326)*O326</f>
        <v>#DIV/0!</v>
      </c>
      <c r="L326" s="18"/>
      <c r="M326" s="18"/>
      <c r="N326" s="9"/>
      <c r="O326" s="21">
        <v>0.8</v>
      </c>
      <c r="Q326" s="15" t="str">
        <f t="shared" si="100"/>
        <v>*</v>
      </c>
      <c r="R326" s="16"/>
      <c r="S326" s="17" t="str">
        <f t="shared" ref="S326:S389" si="102">E326</f>
        <v>TRAH2G</v>
      </c>
      <c r="T326" s="17" t="str">
        <f t="shared" ref="T326:T389" si="103">F326</f>
        <v>TRAFRECSHDMD</v>
      </c>
      <c r="U326" s="17" t="str">
        <f t="shared" ref="U326:U389" si="104">G326</f>
        <v>TRAFRECSHDMD</v>
      </c>
      <c r="V326" s="18">
        <v>2025</v>
      </c>
      <c r="W326" s="18" t="str">
        <f>W325</f>
        <v>UP</v>
      </c>
      <c r="X326" s="18"/>
      <c r="Y326" s="20" t="e">
        <f>-MIN(SUMIFS('TRA RESID'!$P:$P,'TRA RESID'!$H:$H,$E326,'TRA RESID'!$I:$I,$F326)/SUMIFS('TRA RESID'!$P:$P,'TRA RESID'!$I:$I,$F326)*AC326,1)</f>
        <v>#DIV/0!</v>
      </c>
      <c r="Z326" s="18"/>
      <c r="AA326" s="18"/>
      <c r="AB326" s="9"/>
      <c r="AC326" s="21">
        <v>1.2</v>
      </c>
    </row>
    <row r="327" spans="1:29" x14ac:dyDescent="0.25">
      <c r="A327" s="9">
        <f>A326</f>
        <v>81</v>
      </c>
      <c r="B327" s="9"/>
      <c r="C327" s="15" t="str">
        <f>IF(C326="*",C326,"")</f>
        <v>*</v>
      </c>
      <c r="D327" s="16"/>
      <c r="E327" s="17" t="str">
        <f t="shared" si="101"/>
        <v>TRAH2G</v>
      </c>
      <c r="F327" s="17" t="str">
        <f t="shared" si="101"/>
        <v>TRAFRECSHDMD</v>
      </c>
      <c r="G327" s="17" t="str">
        <f t="shared" si="101"/>
        <v>TRAFRECSHDMD</v>
      </c>
      <c r="H327" s="18">
        <v>2030</v>
      </c>
      <c r="I327" s="18" t="str">
        <f>I326</f>
        <v>LO</v>
      </c>
      <c r="J327" s="18"/>
      <c r="K327" s="20" t="e">
        <f>-SUMIFS('TRA RESID'!$P:$P,'TRA RESID'!$H:$H,$E327,'TRA RESID'!$I:$I,$F327)/SUMIFS('TRA RESID'!$P:$P,'TRA RESID'!$I:$I,$F327)*O327</f>
        <v>#DIV/0!</v>
      </c>
      <c r="L327" s="18"/>
      <c r="M327" s="18"/>
      <c r="N327" s="9"/>
      <c r="O327" s="21">
        <v>0.2</v>
      </c>
      <c r="Q327" s="15" t="str">
        <f t="shared" si="100"/>
        <v>*</v>
      </c>
      <c r="R327" s="16"/>
      <c r="S327" s="17" t="str">
        <f t="shared" si="102"/>
        <v>TRAH2G</v>
      </c>
      <c r="T327" s="17" t="str">
        <f t="shared" si="103"/>
        <v>TRAFRECSHDMD</v>
      </c>
      <c r="U327" s="17" t="str">
        <f t="shared" si="104"/>
        <v>TRAFRECSHDMD</v>
      </c>
      <c r="V327" s="18">
        <v>2030</v>
      </c>
      <c r="W327" s="18" t="str">
        <f>W326</f>
        <v>UP</v>
      </c>
      <c r="X327" s="18"/>
      <c r="Y327" s="20" t="e">
        <f>-MIN(SUMIFS('TRA RESID'!$P:$P,'TRA RESID'!$H:$H,$E327,'TRA RESID'!$I:$I,$F327)/SUMIFS('TRA RESID'!$P:$P,'TRA RESID'!$I:$I,$F327)*AC327,1)</f>
        <v>#DIV/0!</v>
      </c>
      <c r="Z327" s="18"/>
      <c r="AA327" s="18"/>
      <c r="AB327" s="9"/>
      <c r="AC327" s="21">
        <v>1.5</v>
      </c>
    </row>
    <row r="328" spans="1:29" x14ac:dyDescent="0.25">
      <c r="A328" s="22">
        <f>A327</f>
        <v>81</v>
      </c>
      <c r="B328" s="22"/>
      <c r="C328" s="23" t="str">
        <f>IF(C327="*",C327,"")</f>
        <v>*</v>
      </c>
      <c r="D328" s="24"/>
      <c r="E328" s="25" t="str">
        <f t="shared" si="101"/>
        <v>TRAH2G</v>
      </c>
      <c r="F328" s="25" t="str">
        <f t="shared" si="101"/>
        <v>TRAFRECSHDMD</v>
      </c>
      <c r="G328" s="25" t="str">
        <f t="shared" si="101"/>
        <v>TRAFRECSHDMD</v>
      </c>
      <c r="H328" s="26">
        <v>2050</v>
      </c>
      <c r="I328" s="26" t="str">
        <f>I327</f>
        <v>LO</v>
      </c>
      <c r="J328" s="26"/>
      <c r="K328" s="27" t="e">
        <f>-SUMIFS('TRA RESID'!$P:$P,'TRA RESID'!$H:$H,$E328,'TRA RESID'!$I:$I,$F328)/SUMIFS('TRA RESID'!$P:$P,'TRA RESID'!$I:$I,$F328)*O328</f>
        <v>#DIV/0!</v>
      </c>
      <c r="L328" s="26"/>
      <c r="M328" s="26"/>
      <c r="N328" s="22"/>
      <c r="O328" s="28">
        <v>0</v>
      </c>
      <c r="Q328" s="23" t="str">
        <f t="shared" si="100"/>
        <v>*</v>
      </c>
      <c r="R328" s="24"/>
      <c r="S328" s="25" t="str">
        <f t="shared" si="102"/>
        <v>TRAH2G</v>
      </c>
      <c r="T328" s="25" t="str">
        <f t="shared" si="103"/>
        <v>TRAFRECSHDMD</v>
      </c>
      <c r="U328" s="25" t="str">
        <f t="shared" si="104"/>
        <v>TRAFRECSHDMD</v>
      </c>
      <c r="V328" s="26">
        <v>2050</v>
      </c>
      <c r="W328" s="26" t="str">
        <f>W327</f>
        <v>UP</v>
      </c>
      <c r="X328" s="26"/>
      <c r="Y328" s="27" t="e">
        <f>-MIN(SUMIFS('TRA RESID'!$P:$P,'TRA RESID'!$H:$H,$E328,'TRA RESID'!$I:$I,$F328)/SUMIFS('TRA RESID'!$P:$P,'TRA RESID'!$I:$I,$F328)*AC328,1)</f>
        <v>#DIV/0!</v>
      </c>
      <c r="Z328" s="26"/>
      <c r="AA328" s="26"/>
      <c r="AB328" s="22"/>
      <c r="AC328" s="28">
        <v>3</v>
      </c>
    </row>
    <row r="329" spans="1:29" x14ac:dyDescent="0.25">
      <c r="A329" s="14">
        <f>A325+1</f>
        <v>82</v>
      </c>
      <c r="B329" s="9"/>
      <c r="C329" s="15" t="str">
        <f>IF(E329="","",IF(_xlfn.XLOOKUP($A329,Selected_constraint!$A:$A,Selected_constraint!$D:$D)=1,"*",IF(SUMIFS('TRA TECH'!$M:$M,'TRA TECH'!$H:$H,E329,'TRA TECH'!$I:$I,F329)=0,"*",IF(SUMIFS('TRA RESID'!$P:$P,'TRA RESID'!$H:$H,$E329,'TRA RESID'!$I:$I,$F329)=0,"*","UC_MarketShare_"&amp;LEFT(F329,LEN(F329)-3)&amp;"_"&amp;RIGHT(E329,3)&amp;"_MIN"))))</f>
        <v>*</v>
      </c>
      <c r="D329" s="16"/>
      <c r="E329" s="17" t="str">
        <f>_xlfn.XLOOKUP($A329,Selected_constraint!$A:$A,Selected_constraint!$B:$B)</f>
        <v>TRAGSL</v>
      </c>
      <c r="F329" s="17" t="str">
        <f>_xlfn.XLOOKUP($A329,Selected_constraint!$A:$A,Selected_constraint!$C:$C)</f>
        <v>TRAPASTBUDMD</v>
      </c>
      <c r="G329" s="17" t="str">
        <f>F329</f>
        <v>TRAPASTBUDMD</v>
      </c>
      <c r="H329" s="18">
        <v>2019</v>
      </c>
      <c r="I329" s="18" t="s">
        <v>483</v>
      </c>
      <c r="J329" s="18">
        <v>1</v>
      </c>
      <c r="K329" s="20">
        <f>-SUMIFS('TRA RESID'!$P:$P,'TRA RESID'!$H:$H,$E329,'TRA RESID'!$I:$I,$F329)/SUMIFS('TRA RESID'!$P:$P,'TRA RESID'!$I:$I,$F329)*O329</f>
        <v>0</v>
      </c>
      <c r="L329" s="18">
        <v>0</v>
      </c>
      <c r="M329" s="18">
        <v>5</v>
      </c>
      <c r="N329" s="9"/>
      <c r="O329" s="21">
        <v>0.98</v>
      </c>
      <c r="Q329" s="15" t="str">
        <f t="shared" si="100"/>
        <v>*</v>
      </c>
      <c r="R329" s="16"/>
      <c r="S329" s="17" t="str">
        <f t="shared" si="102"/>
        <v>TRAGSL</v>
      </c>
      <c r="T329" s="17" t="str">
        <f t="shared" si="103"/>
        <v>TRAPASTBUDMD</v>
      </c>
      <c r="U329" s="17" t="str">
        <f t="shared" si="104"/>
        <v>TRAPASTBUDMD</v>
      </c>
      <c r="V329" s="18">
        <v>2019</v>
      </c>
      <c r="W329" s="18" t="s">
        <v>484</v>
      </c>
      <c r="X329" s="18">
        <v>1</v>
      </c>
      <c r="Y329" s="20">
        <f>-MIN(SUMIFS('TRA RESID'!$P:$P,'TRA RESID'!$H:$H,$E329,'TRA RESID'!$I:$I,$F329)/SUMIFS('TRA RESID'!$P:$P,'TRA RESID'!$I:$I,$F329)*AC329,1)</f>
        <v>0</v>
      </c>
      <c r="Z329" s="18">
        <v>0</v>
      </c>
      <c r="AA329" s="18">
        <v>5</v>
      </c>
      <c r="AB329" s="9"/>
      <c r="AC329" s="21">
        <v>1.02</v>
      </c>
    </row>
    <row r="330" spans="1:29" x14ac:dyDescent="0.25">
      <c r="A330" s="9">
        <f>A329</f>
        <v>82</v>
      </c>
      <c r="B330" s="9"/>
      <c r="C330" s="15" t="str">
        <f>IF(C329="*",C329,"")</f>
        <v>*</v>
      </c>
      <c r="D330" s="16"/>
      <c r="E330" s="17" t="str">
        <f t="shared" ref="E330:G332" si="105">E329</f>
        <v>TRAGSL</v>
      </c>
      <c r="F330" s="17" t="str">
        <f t="shared" si="105"/>
        <v>TRAPASTBUDMD</v>
      </c>
      <c r="G330" s="17" t="str">
        <f t="shared" si="105"/>
        <v>TRAPASTBUDMD</v>
      </c>
      <c r="H330" s="18">
        <v>2025</v>
      </c>
      <c r="I330" s="18" t="str">
        <f>I329</f>
        <v>LO</v>
      </c>
      <c r="J330" s="18"/>
      <c r="K330" s="20">
        <f>-SUMIFS('TRA RESID'!$P:$P,'TRA RESID'!$H:$H,$E330,'TRA RESID'!$I:$I,$F330)/SUMIFS('TRA RESID'!$P:$P,'TRA RESID'!$I:$I,$F330)*O330</f>
        <v>0</v>
      </c>
      <c r="L330" s="18"/>
      <c r="M330" s="18"/>
      <c r="N330" s="9"/>
      <c r="O330" s="21">
        <v>0.8</v>
      </c>
      <c r="Q330" s="15" t="str">
        <f t="shared" si="100"/>
        <v>*</v>
      </c>
      <c r="R330" s="16"/>
      <c r="S330" s="17" t="str">
        <f t="shared" si="102"/>
        <v>TRAGSL</v>
      </c>
      <c r="T330" s="17" t="str">
        <f t="shared" si="103"/>
        <v>TRAPASTBUDMD</v>
      </c>
      <c r="U330" s="17" t="str">
        <f t="shared" si="104"/>
        <v>TRAPASTBUDMD</v>
      </c>
      <c r="V330" s="18">
        <v>2025</v>
      </c>
      <c r="W330" s="18" t="str">
        <f>W329</f>
        <v>UP</v>
      </c>
      <c r="X330" s="18"/>
      <c r="Y330" s="20">
        <f>-MIN(SUMIFS('TRA RESID'!$P:$P,'TRA RESID'!$H:$H,$E330,'TRA RESID'!$I:$I,$F330)/SUMIFS('TRA RESID'!$P:$P,'TRA RESID'!$I:$I,$F330)*AC330,1)</f>
        <v>0</v>
      </c>
      <c r="Z330" s="18"/>
      <c r="AA330" s="18"/>
      <c r="AB330" s="9"/>
      <c r="AC330" s="21">
        <v>1.2</v>
      </c>
    </row>
    <row r="331" spans="1:29" x14ac:dyDescent="0.25">
      <c r="A331" s="9">
        <f>A330</f>
        <v>82</v>
      </c>
      <c r="B331" s="9"/>
      <c r="C331" s="15" t="str">
        <f>IF(C330="*",C330,"")</f>
        <v>*</v>
      </c>
      <c r="D331" s="16"/>
      <c r="E331" s="17" t="str">
        <f t="shared" si="105"/>
        <v>TRAGSL</v>
      </c>
      <c r="F331" s="17" t="str">
        <f t="shared" si="105"/>
        <v>TRAPASTBUDMD</v>
      </c>
      <c r="G331" s="17" t="str">
        <f t="shared" si="105"/>
        <v>TRAPASTBUDMD</v>
      </c>
      <c r="H331" s="18">
        <v>2030</v>
      </c>
      <c r="I331" s="18" t="str">
        <f>I330</f>
        <v>LO</v>
      </c>
      <c r="J331" s="18"/>
      <c r="K331" s="20">
        <f>-SUMIFS('TRA RESID'!$P:$P,'TRA RESID'!$H:$H,$E331,'TRA RESID'!$I:$I,$F331)/SUMIFS('TRA RESID'!$P:$P,'TRA RESID'!$I:$I,$F331)*O331</f>
        <v>0</v>
      </c>
      <c r="L331" s="18"/>
      <c r="M331" s="18"/>
      <c r="N331" s="9"/>
      <c r="O331" s="21">
        <v>0.2</v>
      </c>
      <c r="Q331" s="15" t="str">
        <f t="shared" si="100"/>
        <v>*</v>
      </c>
      <c r="R331" s="16"/>
      <c r="S331" s="17" t="str">
        <f t="shared" si="102"/>
        <v>TRAGSL</v>
      </c>
      <c r="T331" s="17" t="str">
        <f t="shared" si="103"/>
        <v>TRAPASTBUDMD</v>
      </c>
      <c r="U331" s="17" t="str">
        <f t="shared" si="104"/>
        <v>TRAPASTBUDMD</v>
      </c>
      <c r="V331" s="18">
        <v>2030</v>
      </c>
      <c r="W331" s="18" t="str">
        <f>W330</f>
        <v>UP</v>
      </c>
      <c r="X331" s="18"/>
      <c r="Y331" s="20">
        <f>-MIN(SUMIFS('TRA RESID'!$P:$P,'TRA RESID'!$H:$H,$E331,'TRA RESID'!$I:$I,$F331)/SUMIFS('TRA RESID'!$P:$P,'TRA RESID'!$I:$I,$F331)*AC331,1)</f>
        <v>0</v>
      </c>
      <c r="Z331" s="18"/>
      <c r="AA331" s="18"/>
      <c r="AB331" s="9"/>
      <c r="AC331" s="21">
        <v>1.5</v>
      </c>
    </row>
    <row r="332" spans="1:29" x14ac:dyDescent="0.25">
      <c r="A332" s="22">
        <f>A331</f>
        <v>82</v>
      </c>
      <c r="B332" s="22"/>
      <c r="C332" s="23" t="str">
        <f>IF(C331="*",C331,"")</f>
        <v>*</v>
      </c>
      <c r="D332" s="24"/>
      <c r="E332" s="25" t="str">
        <f t="shared" si="105"/>
        <v>TRAGSL</v>
      </c>
      <c r="F332" s="25" t="str">
        <f t="shared" si="105"/>
        <v>TRAPASTBUDMD</v>
      </c>
      <c r="G332" s="25" t="str">
        <f t="shared" si="105"/>
        <v>TRAPASTBUDMD</v>
      </c>
      <c r="H332" s="26">
        <v>2050</v>
      </c>
      <c r="I332" s="26" t="str">
        <f>I331</f>
        <v>LO</v>
      </c>
      <c r="J332" s="26"/>
      <c r="K332" s="27">
        <f>-SUMIFS('TRA RESID'!$P:$P,'TRA RESID'!$H:$H,$E332,'TRA RESID'!$I:$I,$F332)/SUMIFS('TRA RESID'!$P:$P,'TRA RESID'!$I:$I,$F332)*O332</f>
        <v>0</v>
      </c>
      <c r="L332" s="26"/>
      <c r="M332" s="26"/>
      <c r="N332" s="22"/>
      <c r="O332" s="28">
        <v>0</v>
      </c>
      <c r="Q332" s="23" t="str">
        <f t="shared" si="100"/>
        <v>*</v>
      </c>
      <c r="R332" s="24"/>
      <c r="S332" s="25" t="str">
        <f t="shared" si="102"/>
        <v>TRAGSL</v>
      </c>
      <c r="T332" s="25" t="str">
        <f t="shared" si="103"/>
        <v>TRAPASTBUDMD</v>
      </c>
      <c r="U332" s="25" t="str">
        <f t="shared" si="104"/>
        <v>TRAPASTBUDMD</v>
      </c>
      <c r="V332" s="26">
        <v>2050</v>
      </c>
      <c r="W332" s="26" t="str">
        <f>W331</f>
        <v>UP</v>
      </c>
      <c r="X332" s="26"/>
      <c r="Y332" s="27">
        <f>-MIN(SUMIFS('TRA RESID'!$P:$P,'TRA RESID'!$H:$H,$E332,'TRA RESID'!$I:$I,$F332)/SUMIFS('TRA RESID'!$P:$P,'TRA RESID'!$I:$I,$F332)*AC332,1)</f>
        <v>0</v>
      </c>
      <c r="Z332" s="26"/>
      <c r="AA332" s="26"/>
      <c r="AB332" s="22"/>
      <c r="AC332" s="28">
        <v>3</v>
      </c>
    </row>
    <row r="333" spans="1:29" x14ac:dyDescent="0.25">
      <c r="A333" s="14">
        <f>A329+1</f>
        <v>83</v>
      </c>
      <c r="B333" s="9"/>
      <c r="C333" s="15" t="str">
        <f>IF(E333="","",IF(_xlfn.XLOOKUP($A333,Selected_constraint!$A:$A,Selected_constraint!$D:$D)=1,"*",IF(SUMIFS('TRA TECH'!$M:$M,'TRA TECH'!$H:$H,E333,'TRA TECH'!$I:$I,F333)=0,"*",IF(SUMIFS('TRA RESID'!$P:$P,'TRA RESID'!$H:$H,$E333,'TRA RESID'!$I:$I,$F333)=0,"*","UC_MarketShare_"&amp;LEFT(F333,LEN(F333)-3)&amp;"_"&amp;RIGHT(E333,3)&amp;"_MIN"))))</f>
        <v>*</v>
      </c>
      <c r="D333" s="16"/>
      <c r="E333" s="17" t="str">
        <f>_xlfn.XLOOKUP($A333,Selected_constraint!$A:$A,Selected_constraint!$B:$B)</f>
        <v>TRAETH</v>
      </c>
      <c r="F333" s="17" t="str">
        <f>_xlfn.XLOOKUP($A333,Selected_constraint!$A:$A,Selected_constraint!$C:$C)</f>
        <v>TRAPASTBUDMD</v>
      </c>
      <c r="G333" s="17" t="str">
        <f>F333</f>
        <v>TRAPASTBUDMD</v>
      </c>
      <c r="H333" s="18">
        <v>2019</v>
      </c>
      <c r="I333" s="18" t="s">
        <v>483</v>
      </c>
      <c r="J333" s="18">
        <v>1</v>
      </c>
      <c r="K333" s="20">
        <f>-SUMIFS('TRA RESID'!$P:$P,'TRA RESID'!$H:$H,$E333,'TRA RESID'!$I:$I,$F333)/SUMIFS('TRA RESID'!$P:$P,'TRA RESID'!$I:$I,$F333)*O333</f>
        <v>0</v>
      </c>
      <c r="L333" s="18">
        <v>0</v>
      </c>
      <c r="M333" s="18">
        <v>5</v>
      </c>
      <c r="N333" s="9"/>
      <c r="O333" s="21">
        <v>0.98</v>
      </c>
      <c r="Q333" s="15" t="str">
        <f t="shared" si="100"/>
        <v>*</v>
      </c>
      <c r="R333" s="16"/>
      <c r="S333" s="17" t="str">
        <f t="shared" si="102"/>
        <v>TRAETH</v>
      </c>
      <c r="T333" s="17" t="str">
        <f t="shared" si="103"/>
        <v>TRAPASTBUDMD</v>
      </c>
      <c r="U333" s="17" t="str">
        <f t="shared" si="104"/>
        <v>TRAPASTBUDMD</v>
      </c>
      <c r="V333" s="18">
        <v>2019</v>
      </c>
      <c r="W333" s="18" t="s">
        <v>484</v>
      </c>
      <c r="X333" s="18">
        <v>1</v>
      </c>
      <c r="Y333" s="20">
        <f>-MIN(SUMIFS('TRA RESID'!$P:$P,'TRA RESID'!$H:$H,$E333,'TRA RESID'!$I:$I,$F333)/SUMIFS('TRA RESID'!$P:$P,'TRA RESID'!$I:$I,$F333)*AC333,1)</f>
        <v>0</v>
      </c>
      <c r="Z333" s="18">
        <v>0</v>
      </c>
      <c r="AA333" s="18">
        <v>5</v>
      </c>
      <c r="AB333" s="9"/>
      <c r="AC333" s="21">
        <v>1.02</v>
      </c>
    </row>
    <row r="334" spans="1:29" x14ac:dyDescent="0.25">
      <c r="A334" s="9">
        <f>A333</f>
        <v>83</v>
      </c>
      <c r="B334" s="9"/>
      <c r="C334" s="15" t="str">
        <f>IF(C333="*",C333,"")</f>
        <v>*</v>
      </c>
      <c r="D334" s="16"/>
      <c r="E334" s="17" t="str">
        <f t="shared" ref="E334:G336" si="106">E333</f>
        <v>TRAETH</v>
      </c>
      <c r="F334" s="17" t="str">
        <f t="shared" si="106"/>
        <v>TRAPASTBUDMD</v>
      </c>
      <c r="G334" s="17" t="str">
        <f t="shared" si="106"/>
        <v>TRAPASTBUDMD</v>
      </c>
      <c r="H334" s="18">
        <v>2025</v>
      </c>
      <c r="I334" s="18" t="str">
        <f>I333</f>
        <v>LO</v>
      </c>
      <c r="J334" s="18"/>
      <c r="K334" s="20">
        <f>-SUMIFS('TRA RESID'!$P:$P,'TRA RESID'!$H:$H,$E334,'TRA RESID'!$I:$I,$F334)/SUMIFS('TRA RESID'!$P:$P,'TRA RESID'!$I:$I,$F334)*O334</f>
        <v>0</v>
      </c>
      <c r="L334" s="18"/>
      <c r="M334" s="18"/>
      <c r="N334" s="9"/>
      <c r="O334" s="21">
        <v>0.8</v>
      </c>
      <c r="Q334" s="15" t="str">
        <f t="shared" si="100"/>
        <v>*</v>
      </c>
      <c r="R334" s="16"/>
      <c r="S334" s="17" t="str">
        <f t="shared" si="102"/>
        <v>TRAETH</v>
      </c>
      <c r="T334" s="17" t="str">
        <f t="shared" si="103"/>
        <v>TRAPASTBUDMD</v>
      </c>
      <c r="U334" s="17" t="str">
        <f t="shared" si="104"/>
        <v>TRAPASTBUDMD</v>
      </c>
      <c r="V334" s="18">
        <v>2025</v>
      </c>
      <c r="W334" s="18" t="str">
        <f>W333</f>
        <v>UP</v>
      </c>
      <c r="X334" s="18"/>
      <c r="Y334" s="20">
        <f>-MIN(SUMIFS('TRA RESID'!$P:$P,'TRA RESID'!$H:$H,$E334,'TRA RESID'!$I:$I,$F334)/SUMIFS('TRA RESID'!$P:$P,'TRA RESID'!$I:$I,$F334)*AC334,1)</f>
        <v>0</v>
      </c>
      <c r="Z334" s="18"/>
      <c r="AA334" s="18"/>
      <c r="AB334" s="9"/>
      <c r="AC334" s="21">
        <v>1.2</v>
      </c>
    </row>
    <row r="335" spans="1:29" x14ac:dyDescent="0.25">
      <c r="A335" s="9">
        <f>A334</f>
        <v>83</v>
      </c>
      <c r="B335" s="9"/>
      <c r="C335" s="15" t="str">
        <f>IF(C334="*",C334,"")</f>
        <v>*</v>
      </c>
      <c r="D335" s="16"/>
      <c r="E335" s="17" t="str">
        <f t="shared" si="106"/>
        <v>TRAETH</v>
      </c>
      <c r="F335" s="17" t="str">
        <f t="shared" si="106"/>
        <v>TRAPASTBUDMD</v>
      </c>
      <c r="G335" s="17" t="str">
        <f t="shared" si="106"/>
        <v>TRAPASTBUDMD</v>
      </c>
      <c r="H335" s="18">
        <v>2030</v>
      </c>
      <c r="I335" s="18" t="str">
        <f>I334</f>
        <v>LO</v>
      </c>
      <c r="J335" s="18"/>
      <c r="K335" s="20">
        <f>-SUMIFS('TRA RESID'!$P:$P,'TRA RESID'!$H:$H,$E335,'TRA RESID'!$I:$I,$F335)/SUMIFS('TRA RESID'!$P:$P,'TRA RESID'!$I:$I,$F335)*O335</f>
        <v>0</v>
      </c>
      <c r="L335" s="18"/>
      <c r="M335" s="18"/>
      <c r="N335" s="9"/>
      <c r="O335" s="21">
        <v>0.2</v>
      </c>
      <c r="Q335" s="15" t="str">
        <f t="shared" si="100"/>
        <v>*</v>
      </c>
      <c r="R335" s="16"/>
      <c r="S335" s="17" t="str">
        <f t="shared" si="102"/>
        <v>TRAETH</v>
      </c>
      <c r="T335" s="17" t="str">
        <f t="shared" si="103"/>
        <v>TRAPASTBUDMD</v>
      </c>
      <c r="U335" s="17" t="str">
        <f t="shared" si="104"/>
        <v>TRAPASTBUDMD</v>
      </c>
      <c r="V335" s="18">
        <v>2030</v>
      </c>
      <c r="W335" s="18" t="str">
        <f>W334</f>
        <v>UP</v>
      </c>
      <c r="X335" s="18"/>
      <c r="Y335" s="20">
        <f>-MIN(SUMIFS('TRA RESID'!$P:$P,'TRA RESID'!$H:$H,$E335,'TRA RESID'!$I:$I,$F335)/SUMIFS('TRA RESID'!$P:$P,'TRA RESID'!$I:$I,$F335)*AC335,1)</f>
        <v>0</v>
      </c>
      <c r="Z335" s="18"/>
      <c r="AA335" s="18"/>
      <c r="AB335" s="9"/>
      <c r="AC335" s="21">
        <v>1.5</v>
      </c>
    </row>
    <row r="336" spans="1:29" x14ac:dyDescent="0.25">
      <c r="A336" s="22">
        <f>A335</f>
        <v>83</v>
      </c>
      <c r="B336" s="22"/>
      <c r="C336" s="23" t="str">
        <f>IF(C335="*",C335,"")</f>
        <v>*</v>
      </c>
      <c r="D336" s="24"/>
      <c r="E336" s="25" t="str">
        <f t="shared" si="106"/>
        <v>TRAETH</v>
      </c>
      <c r="F336" s="25" t="str">
        <f t="shared" si="106"/>
        <v>TRAPASTBUDMD</v>
      </c>
      <c r="G336" s="25" t="str">
        <f t="shared" si="106"/>
        <v>TRAPASTBUDMD</v>
      </c>
      <c r="H336" s="26">
        <v>2050</v>
      </c>
      <c r="I336" s="26" t="str">
        <f>I335</f>
        <v>LO</v>
      </c>
      <c r="J336" s="26"/>
      <c r="K336" s="27">
        <f>-SUMIFS('TRA RESID'!$P:$P,'TRA RESID'!$H:$H,$E336,'TRA RESID'!$I:$I,$F336)/SUMIFS('TRA RESID'!$P:$P,'TRA RESID'!$I:$I,$F336)*O336</f>
        <v>0</v>
      </c>
      <c r="L336" s="26"/>
      <c r="M336" s="26"/>
      <c r="N336" s="22"/>
      <c r="O336" s="28">
        <v>0</v>
      </c>
      <c r="Q336" s="23" t="str">
        <f t="shared" si="100"/>
        <v>*</v>
      </c>
      <c r="R336" s="24"/>
      <c r="S336" s="25" t="str">
        <f t="shared" si="102"/>
        <v>TRAETH</v>
      </c>
      <c r="T336" s="25" t="str">
        <f t="shared" si="103"/>
        <v>TRAPASTBUDMD</v>
      </c>
      <c r="U336" s="25" t="str">
        <f t="shared" si="104"/>
        <v>TRAPASTBUDMD</v>
      </c>
      <c r="V336" s="26">
        <v>2050</v>
      </c>
      <c r="W336" s="26" t="str">
        <f>W335</f>
        <v>UP</v>
      </c>
      <c r="X336" s="26"/>
      <c r="Y336" s="27">
        <f>-MIN(SUMIFS('TRA RESID'!$P:$P,'TRA RESID'!$H:$H,$E336,'TRA RESID'!$I:$I,$F336)/SUMIFS('TRA RESID'!$P:$P,'TRA RESID'!$I:$I,$F336)*AC336,1)</f>
        <v>0</v>
      </c>
      <c r="Z336" s="26"/>
      <c r="AA336" s="26"/>
      <c r="AB336" s="22"/>
      <c r="AC336" s="28">
        <v>3</v>
      </c>
    </row>
    <row r="337" spans="1:29" x14ac:dyDescent="0.25">
      <c r="A337" s="14">
        <f>A333+1</f>
        <v>84</v>
      </c>
      <c r="B337" s="9"/>
      <c r="C337" s="15" t="str">
        <f>IF(E337="","",IF(_xlfn.XLOOKUP($A337,Selected_constraint!$A:$A,Selected_constraint!$D:$D)=1,"*",IF(SUMIFS('TRA TECH'!$M:$M,'TRA TECH'!$H:$H,E337,'TRA TECH'!$I:$I,F337)=0,"*",IF(SUMIFS('TRA RESID'!$P:$P,'TRA RESID'!$H:$H,$E337,'TRA RESID'!$I:$I,$F337)=0,"*","UC_MarketShare_"&amp;LEFT(F337,LEN(F337)-3)&amp;"_"&amp;RIGHT(E337,3)&amp;"_MIN"))))</f>
        <v>UC_MarketShare_TRAPASTBU_DSL_MIN</v>
      </c>
      <c r="D337" s="16"/>
      <c r="E337" s="17" t="str">
        <f>_xlfn.XLOOKUP($A337,Selected_constraint!$A:$A,Selected_constraint!$B:$B)</f>
        <v>TRADSL</v>
      </c>
      <c r="F337" s="17" t="str">
        <f>_xlfn.XLOOKUP($A337,Selected_constraint!$A:$A,Selected_constraint!$C:$C)</f>
        <v>TRAPASTBUDMD</v>
      </c>
      <c r="G337" s="17" t="str">
        <f>F337</f>
        <v>TRAPASTBUDMD</v>
      </c>
      <c r="H337" s="18">
        <v>2019</v>
      </c>
      <c r="I337" s="18" t="s">
        <v>483</v>
      </c>
      <c r="J337" s="18">
        <v>1</v>
      </c>
      <c r="K337" s="20">
        <f>-SUMIFS('TRA RESID'!$P:$P,'TRA RESID'!$H:$H,$E337,'TRA RESID'!$I:$I,$F337)/SUMIFS('TRA RESID'!$P:$P,'TRA RESID'!$I:$I,$F337)*O337</f>
        <v>-0.86578341657488189</v>
      </c>
      <c r="L337" s="18">
        <v>0</v>
      </c>
      <c r="M337" s="18">
        <v>5</v>
      </c>
      <c r="N337" s="9"/>
      <c r="O337" s="21">
        <v>0.98</v>
      </c>
      <c r="Q337" s="15" t="str">
        <f t="shared" si="100"/>
        <v>UC_MarketShare_TRAPASTBU_DSL_MAX</v>
      </c>
      <c r="R337" s="16"/>
      <c r="S337" s="17" t="str">
        <f t="shared" si="102"/>
        <v>TRADSL</v>
      </c>
      <c r="T337" s="17" t="str">
        <f t="shared" si="103"/>
        <v>TRAPASTBUDMD</v>
      </c>
      <c r="U337" s="17" t="str">
        <f t="shared" si="104"/>
        <v>TRAPASTBUDMD</v>
      </c>
      <c r="V337" s="18">
        <v>2019</v>
      </c>
      <c r="W337" s="18" t="s">
        <v>484</v>
      </c>
      <c r="X337" s="18">
        <v>1</v>
      </c>
      <c r="Y337" s="20">
        <f>-MIN(SUMIFS('TRA RESID'!$P:$P,'TRA RESID'!$H:$H,$E337,'TRA RESID'!$I:$I,$F337)/SUMIFS('TRA RESID'!$P:$P,'TRA RESID'!$I:$I,$F337)*AC337,1)</f>
        <v>-0.90112151521059136</v>
      </c>
      <c r="Z337" s="18">
        <v>0</v>
      </c>
      <c r="AA337" s="18">
        <v>5</v>
      </c>
      <c r="AB337" s="9"/>
      <c r="AC337" s="21">
        <v>1.02</v>
      </c>
    </row>
    <row r="338" spans="1:29" x14ac:dyDescent="0.25">
      <c r="A338" s="9">
        <f>A337</f>
        <v>84</v>
      </c>
      <c r="B338" s="9"/>
      <c r="C338" s="15" t="str">
        <f>IF(C337="*",C337,"")</f>
        <v/>
      </c>
      <c r="D338" s="16"/>
      <c r="E338" s="17" t="str">
        <f t="shared" ref="E338:G340" si="107">E337</f>
        <v>TRADSL</v>
      </c>
      <c r="F338" s="17" t="str">
        <f t="shared" si="107"/>
        <v>TRAPASTBUDMD</v>
      </c>
      <c r="G338" s="17" t="str">
        <f t="shared" si="107"/>
        <v>TRAPASTBUDMD</v>
      </c>
      <c r="H338" s="18">
        <v>2025</v>
      </c>
      <c r="I338" s="18" t="str">
        <f>I337</f>
        <v>LO</v>
      </c>
      <c r="J338" s="18"/>
      <c r="K338" s="20">
        <f>-SUMIFS('TRA RESID'!$P:$P,'TRA RESID'!$H:$H,$E338,'TRA RESID'!$I:$I,$F338)/SUMIFS('TRA RESID'!$P:$P,'TRA RESID'!$I:$I,$F338)*O338</f>
        <v>-0.70676197271418939</v>
      </c>
      <c r="L338" s="18"/>
      <c r="M338" s="18"/>
      <c r="N338" s="9"/>
      <c r="O338" s="21">
        <v>0.8</v>
      </c>
      <c r="Q338" s="15" t="str">
        <f t="shared" si="100"/>
        <v/>
      </c>
      <c r="R338" s="16"/>
      <c r="S338" s="17" t="str">
        <f t="shared" si="102"/>
        <v>TRADSL</v>
      </c>
      <c r="T338" s="17" t="str">
        <f t="shared" si="103"/>
        <v>TRAPASTBUDMD</v>
      </c>
      <c r="U338" s="17" t="str">
        <f t="shared" si="104"/>
        <v>TRAPASTBUDMD</v>
      </c>
      <c r="V338" s="18">
        <v>2025</v>
      </c>
      <c r="W338" s="18" t="str">
        <f>W337</f>
        <v>UP</v>
      </c>
      <c r="X338" s="18"/>
      <c r="Y338" s="20">
        <f>-MIN(SUMIFS('TRA RESID'!$P:$P,'TRA RESID'!$H:$H,$E338,'TRA RESID'!$I:$I,$F338)/SUMIFS('TRA RESID'!$P:$P,'TRA RESID'!$I:$I,$F338)*AC338,1)</f>
        <v>-1</v>
      </c>
      <c r="Z338" s="18"/>
      <c r="AA338" s="18"/>
      <c r="AB338" s="9"/>
      <c r="AC338" s="21">
        <v>1.2</v>
      </c>
    </row>
    <row r="339" spans="1:29" x14ac:dyDescent="0.25">
      <c r="A339" s="9">
        <f>A338</f>
        <v>84</v>
      </c>
      <c r="B339" s="9"/>
      <c r="C339" s="15" t="str">
        <f>IF(C338="*",C338,"")</f>
        <v/>
      </c>
      <c r="D339" s="16"/>
      <c r="E339" s="17" t="str">
        <f t="shared" si="107"/>
        <v>TRADSL</v>
      </c>
      <c r="F339" s="17" t="str">
        <f t="shared" si="107"/>
        <v>TRAPASTBUDMD</v>
      </c>
      <c r="G339" s="17" t="str">
        <f t="shared" si="107"/>
        <v>TRAPASTBUDMD</v>
      </c>
      <c r="H339" s="18">
        <v>2030</v>
      </c>
      <c r="I339" s="18" t="str">
        <f>I338</f>
        <v>LO</v>
      </c>
      <c r="J339" s="18"/>
      <c r="K339" s="20">
        <f>-SUMIFS('TRA RESID'!$P:$P,'TRA RESID'!$H:$H,$E339,'TRA RESID'!$I:$I,$F339)/SUMIFS('TRA RESID'!$P:$P,'TRA RESID'!$I:$I,$F339)*O339</f>
        <v>-0.17669049317854735</v>
      </c>
      <c r="L339" s="18"/>
      <c r="M339" s="18"/>
      <c r="N339" s="9"/>
      <c r="O339" s="21">
        <v>0.2</v>
      </c>
      <c r="Q339" s="15" t="str">
        <f t="shared" si="100"/>
        <v/>
      </c>
      <c r="R339" s="16"/>
      <c r="S339" s="17" t="str">
        <f t="shared" si="102"/>
        <v>TRADSL</v>
      </c>
      <c r="T339" s="17" t="str">
        <f t="shared" si="103"/>
        <v>TRAPASTBUDMD</v>
      </c>
      <c r="U339" s="17" t="str">
        <f t="shared" si="104"/>
        <v>TRAPASTBUDMD</v>
      </c>
      <c r="V339" s="18">
        <v>2030</v>
      </c>
      <c r="W339" s="18" t="str">
        <f>W338</f>
        <v>UP</v>
      </c>
      <c r="X339" s="18"/>
      <c r="Y339" s="20">
        <f>-MIN(SUMIFS('TRA RESID'!$P:$P,'TRA RESID'!$H:$H,$E339,'TRA RESID'!$I:$I,$F339)/SUMIFS('TRA RESID'!$P:$P,'TRA RESID'!$I:$I,$F339)*AC339,1)</f>
        <v>-1</v>
      </c>
      <c r="Z339" s="18"/>
      <c r="AA339" s="18"/>
      <c r="AB339" s="9"/>
      <c r="AC339" s="21">
        <v>1.5</v>
      </c>
    </row>
    <row r="340" spans="1:29" x14ac:dyDescent="0.25">
      <c r="A340" s="22">
        <f>A339</f>
        <v>84</v>
      </c>
      <c r="B340" s="22"/>
      <c r="C340" s="23" t="str">
        <f>IF(C339="*",C339,"")</f>
        <v/>
      </c>
      <c r="D340" s="24"/>
      <c r="E340" s="25" t="str">
        <f t="shared" si="107"/>
        <v>TRADSL</v>
      </c>
      <c r="F340" s="25" t="str">
        <f t="shared" si="107"/>
        <v>TRAPASTBUDMD</v>
      </c>
      <c r="G340" s="25" t="str">
        <f t="shared" si="107"/>
        <v>TRAPASTBUDMD</v>
      </c>
      <c r="H340" s="26">
        <v>2050</v>
      </c>
      <c r="I340" s="26" t="str">
        <f>I339</f>
        <v>LO</v>
      </c>
      <c r="J340" s="26"/>
      <c r="K340" s="27">
        <f>-SUMIFS('TRA RESID'!$P:$P,'TRA RESID'!$H:$H,$E340,'TRA RESID'!$I:$I,$F340)/SUMIFS('TRA RESID'!$P:$P,'TRA RESID'!$I:$I,$F340)*O340</f>
        <v>0</v>
      </c>
      <c r="L340" s="26"/>
      <c r="M340" s="26"/>
      <c r="N340" s="22"/>
      <c r="O340" s="28">
        <v>0</v>
      </c>
      <c r="Q340" s="23" t="str">
        <f t="shared" si="100"/>
        <v/>
      </c>
      <c r="R340" s="24"/>
      <c r="S340" s="25" t="str">
        <f t="shared" si="102"/>
        <v>TRADSL</v>
      </c>
      <c r="T340" s="25" t="str">
        <f t="shared" si="103"/>
        <v>TRAPASTBUDMD</v>
      </c>
      <c r="U340" s="25" t="str">
        <f t="shared" si="104"/>
        <v>TRAPASTBUDMD</v>
      </c>
      <c r="V340" s="26">
        <v>2050</v>
      </c>
      <c r="W340" s="26" t="str">
        <f>W339</f>
        <v>UP</v>
      </c>
      <c r="X340" s="26"/>
      <c r="Y340" s="27">
        <f>-MIN(SUMIFS('TRA RESID'!$P:$P,'TRA RESID'!$H:$H,$E340,'TRA RESID'!$I:$I,$F340)/SUMIFS('TRA RESID'!$P:$P,'TRA RESID'!$I:$I,$F340)*AC340,1)</f>
        <v>-1</v>
      </c>
      <c r="Z340" s="26"/>
      <c r="AA340" s="26"/>
      <c r="AB340" s="22"/>
      <c r="AC340" s="28">
        <v>3</v>
      </c>
    </row>
    <row r="341" spans="1:29" x14ac:dyDescent="0.25">
      <c r="A341" s="14">
        <f>A337+1</f>
        <v>85</v>
      </c>
      <c r="B341" s="9"/>
      <c r="C341" s="15" t="str">
        <f>IF(E341="","",IF(_xlfn.XLOOKUP($A341,Selected_constraint!$A:$A,Selected_constraint!$D:$D)=1,"*",IF(SUMIFS('TRA TECH'!$M:$M,'TRA TECH'!$H:$H,E341,'TRA TECH'!$I:$I,F341)=0,"*",IF(SUMIFS('TRA RESID'!$P:$P,'TRA RESID'!$H:$H,$E341,'TRA RESID'!$I:$I,$F341)=0,"*","UC_MarketShare_"&amp;LEFT(F341,LEN(F341)-3)&amp;"_"&amp;RIGHT(E341,3)&amp;"_MIN"))))</f>
        <v>*</v>
      </c>
      <c r="D341" s="16"/>
      <c r="E341" s="17" t="str">
        <f>_xlfn.XLOOKUP($A341,Selected_constraint!$A:$A,Selected_constraint!$B:$B)</f>
        <v>TRARDS</v>
      </c>
      <c r="F341" s="17" t="str">
        <f>_xlfn.XLOOKUP($A341,Selected_constraint!$A:$A,Selected_constraint!$C:$C)</f>
        <v>TRAPASTBUDMD</v>
      </c>
      <c r="G341" s="17" t="str">
        <f>F341</f>
        <v>TRAPASTBUDMD</v>
      </c>
      <c r="H341" s="18">
        <v>2019</v>
      </c>
      <c r="I341" s="18" t="s">
        <v>483</v>
      </c>
      <c r="J341" s="18">
        <v>1</v>
      </c>
      <c r="K341" s="20">
        <f>-SUMIFS('TRA RESID'!$P:$P,'TRA RESID'!$H:$H,$E341,'TRA RESID'!$I:$I,$F341)/SUMIFS('TRA RESID'!$P:$P,'TRA RESID'!$I:$I,$F341)*O341</f>
        <v>0</v>
      </c>
      <c r="L341" s="18">
        <v>0</v>
      </c>
      <c r="M341" s="18">
        <v>5</v>
      </c>
      <c r="N341" s="9"/>
      <c r="O341" s="21">
        <v>0.98</v>
      </c>
      <c r="Q341" s="15" t="str">
        <f t="shared" si="100"/>
        <v>*</v>
      </c>
      <c r="R341" s="16"/>
      <c r="S341" s="17" t="str">
        <f t="shared" si="102"/>
        <v>TRARDS</v>
      </c>
      <c r="T341" s="17" t="str">
        <f t="shared" si="103"/>
        <v>TRAPASTBUDMD</v>
      </c>
      <c r="U341" s="17" t="str">
        <f t="shared" si="104"/>
        <v>TRAPASTBUDMD</v>
      </c>
      <c r="V341" s="18">
        <v>2019</v>
      </c>
      <c r="W341" s="18" t="s">
        <v>484</v>
      </c>
      <c r="X341" s="18">
        <v>1</v>
      </c>
      <c r="Y341" s="20">
        <f>-MIN(SUMIFS('TRA RESID'!$P:$P,'TRA RESID'!$H:$H,$E341,'TRA RESID'!$I:$I,$F341)/SUMIFS('TRA RESID'!$P:$P,'TRA RESID'!$I:$I,$F341)*AC341,1)</f>
        <v>0</v>
      </c>
      <c r="Z341" s="18">
        <v>0</v>
      </c>
      <c r="AA341" s="18">
        <v>5</v>
      </c>
      <c r="AB341" s="9"/>
      <c r="AC341" s="21">
        <v>1.02</v>
      </c>
    </row>
    <row r="342" spans="1:29" x14ac:dyDescent="0.25">
      <c r="A342" s="9">
        <f>A341</f>
        <v>85</v>
      </c>
      <c r="B342" s="9"/>
      <c r="C342" s="15" t="str">
        <f>IF(C341="*",C341,"")</f>
        <v>*</v>
      </c>
      <c r="D342" s="16"/>
      <c r="E342" s="17" t="str">
        <f t="shared" ref="E342:G344" si="108">E341</f>
        <v>TRARDS</v>
      </c>
      <c r="F342" s="17" t="str">
        <f t="shared" si="108"/>
        <v>TRAPASTBUDMD</v>
      </c>
      <c r="G342" s="17" t="str">
        <f t="shared" si="108"/>
        <v>TRAPASTBUDMD</v>
      </c>
      <c r="H342" s="18">
        <v>2025</v>
      </c>
      <c r="I342" s="18" t="str">
        <f>I341</f>
        <v>LO</v>
      </c>
      <c r="J342" s="18"/>
      <c r="K342" s="20">
        <f>-SUMIFS('TRA RESID'!$P:$P,'TRA RESID'!$H:$H,$E342,'TRA RESID'!$I:$I,$F342)/SUMIFS('TRA RESID'!$P:$P,'TRA RESID'!$I:$I,$F342)*O342</f>
        <v>0</v>
      </c>
      <c r="L342" s="18"/>
      <c r="M342" s="18"/>
      <c r="N342" s="9"/>
      <c r="O342" s="21">
        <v>0.8</v>
      </c>
      <c r="Q342" s="15" t="str">
        <f t="shared" si="100"/>
        <v>*</v>
      </c>
      <c r="R342" s="16"/>
      <c r="S342" s="17" t="str">
        <f t="shared" si="102"/>
        <v>TRARDS</v>
      </c>
      <c r="T342" s="17" t="str">
        <f t="shared" si="103"/>
        <v>TRAPASTBUDMD</v>
      </c>
      <c r="U342" s="17" t="str">
        <f t="shared" si="104"/>
        <v>TRAPASTBUDMD</v>
      </c>
      <c r="V342" s="18">
        <v>2025</v>
      </c>
      <c r="W342" s="18" t="str">
        <f>W341</f>
        <v>UP</v>
      </c>
      <c r="X342" s="18"/>
      <c r="Y342" s="20">
        <f>-MIN(SUMIFS('TRA RESID'!$P:$P,'TRA RESID'!$H:$H,$E342,'TRA RESID'!$I:$I,$F342)/SUMIFS('TRA RESID'!$P:$P,'TRA RESID'!$I:$I,$F342)*AC342,1)</f>
        <v>0</v>
      </c>
      <c r="Z342" s="18"/>
      <c r="AA342" s="18"/>
      <c r="AB342" s="9"/>
      <c r="AC342" s="21">
        <v>1.2</v>
      </c>
    </row>
    <row r="343" spans="1:29" x14ac:dyDescent="0.25">
      <c r="A343" s="9">
        <f>A342</f>
        <v>85</v>
      </c>
      <c r="B343" s="9"/>
      <c r="C343" s="15" t="str">
        <f>IF(C342="*",C342,"")</f>
        <v>*</v>
      </c>
      <c r="D343" s="16"/>
      <c r="E343" s="17" t="str">
        <f t="shared" si="108"/>
        <v>TRARDS</v>
      </c>
      <c r="F343" s="17" t="str">
        <f t="shared" si="108"/>
        <v>TRAPASTBUDMD</v>
      </c>
      <c r="G343" s="17" t="str">
        <f t="shared" si="108"/>
        <v>TRAPASTBUDMD</v>
      </c>
      <c r="H343" s="18">
        <v>2030</v>
      </c>
      <c r="I343" s="18" t="str">
        <f>I342</f>
        <v>LO</v>
      </c>
      <c r="J343" s="18"/>
      <c r="K343" s="20">
        <f>-SUMIFS('TRA RESID'!$P:$P,'TRA RESID'!$H:$H,$E343,'TRA RESID'!$I:$I,$F343)/SUMIFS('TRA RESID'!$P:$P,'TRA RESID'!$I:$I,$F343)*O343</f>
        <v>0</v>
      </c>
      <c r="L343" s="18"/>
      <c r="M343" s="18"/>
      <c r="N343" s="9"/>
      <c r="O343" s="21">
        <v>0.2</v>
      </c>
      <c r="Q343" s="15" t="str">
        <f t="shared" si="100"/>
        <v>*</v>
      </c>
      <c r="R343" s="16"/>
      <c r="S343" s="17" t="str">
        <f t="shared" si="102"/>
        <v>TRARDS</v>
      </c>
      <c r="T343" s="17" t="str">
        <f t="shared" si="103"/>
        <v>TRAPASTBUDMD</v>
      </c>
      <c r="U343" s="17" t="str">
        <f t="shared" si="104"/>
        <v>TRAPASTBUDMD</v>
      </c>
      <c r="V343" s="18">
        <v>2030</v>
      </c>
      <c r="W343" s="18" t="str">
        <f>W342</f>
        <v>UP</v>
      </c>
      <c r="X343" s="18"/>
      <c r="Y343" s="20">
        <f>-MIN(SUMIFS('TRA RESID'!$P:$P,'TRA RESID'!$H:$H,$E343,'TRA RESID'!$I:$I,$F343)/SUMIFS('TRA RESID'!$P:$P,'TRA RESID'!$I:$I,$F343)*AC343,1)</f>
        <v>0</v>
      </c>
      <c r="Z343" s="18"/>
      <c r="AA343" s="18"/>
      <c r="AB343" s="9"/>
      <c r="AC343" s="21">
        <v>1.5</v>
      </c>
    </row>
    <row r="344" spans="1:29" x14ac:dyDescent="0.25">
      <c r="A344" s="22">
        <f>A343</f>
        <v>85</v>
      </c>
      <c r="B344" s="22"/>
      <c r="C344" s="23" t="str">
        <f>IF(C343="*",C343,"")</f>
        <v>*</v>
      </c>
      <c r="D344" s="24"/>
      <c r="E344" s="25" t="str">
        <f t="shared" si="108"/>
        <v>TRARDS</v>
      </c>
      <c r="F344" s="25" t="str">
        <f t="shared" si="108"/>
        <v>TRAPASTBUDMD</v>
      </c>
      <c r="G344" s="25" t="str">
        <f t="shared" si="108"/>
        <v>TRAPASTBUDMD</v>
      </c>
      <c r="H344" s="26">
        <v>2050</v>
      </c>
      <c r="I344" s="26" t="str">
        <f>I343</f>
        <v>LO</v>
      </c>
      <c r="J344" s="26"/>
      <c r="K344" s="27">
        <f>-SUMIFS('TRA RESID'!$P:$P,'TRA RESID'!$H:$H,$E344,'TRA RESID'!$I:$I,$F344)/SUMIFS('TRA RESID'!$P:$P,'TRA RESID'!$I:$I,$F344)*O344</f>
        <v>0</v>
      </c>
      <c r="L344" s="26"/>
      <c r="M344" s="26"/>
      <c r="N344" s="22"/>
      <c r="O344" s="28">
        <v>0</v>
      </c>
      <c r="Q344" s="23" t="str">
        <f t="shared" si="100"/>
        <v>*</v>
      </c>
      <c r="R344" s="24"/>
      <c r="S344" s="25" t="str">
        <f t="shared" si="102"/>
        <v>TRARDS</v>
      </c>
      <c r="T344" s="25" t="str">
        <f t="shared" si="103"/>
        <v>TRAPASTBUDMD</v>
      </c>
      <c r="U344" s="25" t="str">
        <f t="shared" si="104"/>
        <v>TRAPASTBUDMD</v>
      </c>
      <c r="V344" s="26">
        <v>2050</v>
      </c>
      <c r="W344" s="26" t="str">
        <f>W343</f>
        <v>UP</v>
      </c>
      <c r="X344" s="26"/>
      <c r="Y344" s="27">
        <f>-MIN(SUMIFS('TRA RESID'!$P:$P,'TRA RESID'!$H:$H,$E344,'TRA RESID'!$I:$I,$F344)/SUMIFS('TRA RESID'!$P:$P,'TRA RESID'!$I:$I,$F344)*AC344,1)</f>
        <v>0</v>
      </c>
      <c r="Z344" s="26"/>
      <c r="AA344" s="26"/>
      <c r="AB344" s="22"/>
      <c r="AC344" s="28">
        <v>3</v>
      </c>
    </row>
    <row r="345" spans="1:29" x14ac:dyDescent="0.25">
      <c r="A345" s="14">
        <f>A341+1</f>
        <v>86</v>
      </c>
      <c r="B345" s="9"/>
      <c r="C345" s="15" t="str">
        <f>IF(E345="","",IF(_xlfn.XLOOKUP($A345,Selected_constraint!$A:$A,Selected_constraint!$D:$D)=1,"*",IF(SUMIFS('TRA TECH'!$M:$M,'TRA TECH'!$H:$H,E345,'TRA TECH'!$I:$I,F345)=0,"*",IF(SUMIFS('TRA RESID'!$P:$P,'TRA RESID'!$H:$H,$E345,'TRA RESID'!$I:$I,$F345)=0,"*","UC_MarketShare_"&amp;LEFT(F345,LEN(F345)-3)&amp;"_"&amp;RIGHT(E345,3)&amp;"_MIN"))))</f>
        <v>*</v>
      </c>
      <c r="D345" s="16"/>
      <c r="E345" s="17" t="str">
        <f>_xlfn.XLOOKUP($A345,Selected_constraint!$A:$A,Selected_constraint!$B:$B)</f>
        <v>TRABDS</v>
      </c>
      <c r="F345" s="17" t="str">
        <f>_xlfn.XLOOKUP($A345,Selected_constraint!$A:$A,Selected_constraint!$C:$C)</f>
        <v>TRAPASTBUDMD</v>
      </c>
      <c r="G345" s="17" t="str">
        <f>F345</f>
        <v>TRAPASTBUDMD</v>
      </c>
      <c r="H345" s="18">
        <v>2019</v>
      </c>
      <c r="I345" s="18" t="s">
        <v>483</v>
      </c>
      <c r="J345" s="18">
        <v>1</v>
      </c>
      <c r="K345" s="20">
        <f>-SUMIFS('TRA RESID'!$P:$P,'TRA RESID'!$H:$H,$E345,'TRA RESID'!$I:$I,$F345)/SUMIFS('TRA RESID'!$P:$P,'TRA RESID'!$I:$I,$F345)*O345</f>
        <v>0</v>
      </c>
      <c r="L345" s="18">
        <v>0</v>
      </c>
      <c r="M345" s="18">
        <v>5</v>
      </c>
      <c r="N345" s="9"/>
      <c r="O345" s="21">
        <v>0.98</v>
      </c>
      <c r="Q345" s="15" t="str">
        <f t="shared" si="100"/>
        <v>*</v>
      </c>
      <c r="R345" s="16"/>
      <c r="S345" s="17" t="str">
        <f t="shared" si="102"/>
        <v>TRABDS</v>
      </c>
      <c r="T345" s="17" t="str">
        <f t="shared" si="103"/>
        <v>TRAPASTBUDMD</v>
      </c>
      <c r="U345" s="17" t="str">
        <f t="shared" si="104"/>
        <v>TRAPASTBUDMD</v>
      </c>
      <c r="V345" s="18">
        <v>2019</v>
      </c>
      <c r="W345" s="18" t="s">
        <v>484</v>
      </c>
      <c r="X345" s="18">
        <v>1</v>
      </c>
      <c r="Y345" s="20">
        <f>-MIN(SUMIFS('TRA RESID'!$P:$P,'TRA RESID'!$H:$H,$E345,'TRA RESID'!$I:$I,$F345)/SUMIFS('TRA RESID'!$P:$P,'TRA RESID'!$I:$I,$F345)*AC345,1)</f>
        <v>0</v>
      </c>
      <c r="Z345" s="18">
        <v>0</v>
      </c>
      <c r="AA345" s="18">
        <v>5</v>
      </c>
      <c r="AB345" s="9"/>
      <c r="AC345" s="21">
        <v>1.02</v>
      </c>
    </row>
    <row r="346" spans="1:29" x14ac:dyDescent="0.25">
      <c r="A346" s="9">
        <f>A345</f>
        <v>86</v>
      </c>
      <c r="B346" s="9"/>
      <c r="C346" s="15" t="str">
        <f>IF(C345="*",C345,"")</f>
        <v>*</v>
      </c>
      <c r="D346" s="16"/>
      <c r="E346" s="17" t="str">
        <f t="shared" ref="E346:G348" si="109">E345</f>
        <v>TRABDS</v>
      </c>
      <c r="F346" s="17" t="str">
        <f t="shared" si="109"/>
        <v>TRAPASTBUDMD</v>
      </c>
      <c r="G346" s="17" t="str">
        <f t="shared" si="109"/>
        <v>TRAPASTBUDMD</v>
      </c>
      <c r="H346" s="18">
        <v>2025</v>
      </c>
      <c r="I346" s="18" t="str">
        <f>I345</f>
        <v>LO</v>
      </c>
      <c r="J346" s="18"/>
      <c r="K346" s="20">
        <f>-SUMIFS('TRA RESID'!$P:$P,'TRA RESID'!$H:$H,$E346,'TRA RESID'!$I:$I,$F346)/SUMIFS('TRA RESID'!$P:$P,'TRA RESID'!$I:$I,$F346)*O346</f>
        <v>0</v>
      </c>
      <c r="L346" s="18"/>
      <c r="M346" s="18"/>
      <c r="N346" s="9"/>
      <c r="O346" s="21">
        <v>0.8</v>
      </c>
      <c r="Q346" s="15" t="str">
        <f t="shared" si="100"/>
        <v>*</v>
      </c>
      <c r="R346" s="16"/>
      <c r="S346" s="17" t="str">
        <f t="shared" si="102"/>
        <v>TRABDS</v>
      </c>
      <c r="T346" s="17" t="str">
        <f t="shared" si="103"/>
        <v>TRAPASTBUDMD</v>
      </c>
      <c r="U346" s="17" t="str">
        <f t="shared" si="104"/>
        <v>TRAPASTBUDMD</v>
      </c>
      <c r="V346" s="18">
        <v>2025</v>
      </c>
      <c r="W346" s="18" t="str">
        <f>W345</f>
        <v>UP</v>
      </c>
      <c r="X346" s="18"/>
      <c r="Y346" s="20">
        <f>-MIN(SUMIFS('TRA RESID'!$P:$P,'TRA RESID'!$H:$H,$E346,'TRA RESID'!$I:$I,$F346)/SUMIFS('TRA RESID'!$P:$P,'TRA RESID'!$I:$I,$F346)*AC346,1)</f>
        <v>0</v>
      </c>
      <c r="Z346" s="18"/>
      <c r="AA346" s="18"/>
      <c r="AB346" s="9"/>
      <c r="AC346" s="21">
        <v>1.2</v>
      </c>
    </row>
    <row r="347" spans="1:29" x14ac:dyDescent="0.25">
      <c r="A347" s="9">
        <f>A346</f>
        <v>86</v>
      </c>
      <c r="B347" s="9"/>
      <c r="C347" s="15" t="str">
        <f>IF(C346="*",C346,"")</f>
        <v>*</v>
      </c>
      <c r="D347" s="16"/>
      <c r="E347" s="17" t="str">
        <f t="shared" si="109"/>
        <v>TRABDS</v>
      </c>
      <c r="F347" s="17" t="str">
        <f t="shared" si="109"/>
        <v>TRAPASTBUDMD</v>
      </c>
      <c r="G347" s="17" t="str">
        <f t="shared" si="109"/>
        <v>TRAPASTBUDMD</v>
      </c>
      <c r="H347" s="18">
        <v>2030</v>
      </c>
      <c r="I347" s="18" t="str">
        <f>I346</f>
        <v>LO</v>
      </c>
      <c r="J347" s="18"/>
      <c r="K347" s="20">
        <f>-SUMIFS('TRA RESID'!$P:$P,'TRA RESID'!$H:$H,$E347,'TRA RESID'!$I:$I,$F347)/SUMIFS('TRA RESID'!$P:$P,'TRA RESID'!$I:$I,$F347)*O347</f>
        <v>0</v>
      </c>
      <c r="L347" s="18"/>
      <c r="M347" s="18"/>
      <c r="N347" s="9"/>
      <c r="O347" s="21">
        <v>0.2</v>
      </c>
      <c r="Q347" s="15" t="str">
        <f t="shared" si="100"/>
        <v>*</v>
      </c>
      <c r="R347" s="16"/>
      <c r="S347" s="17" t="str">
        <f t="shared" si="102"/>
        <v>TRABDS</v>
      </c>
      <c r="T347" s="17" t="str">
        <f t="shared" si="103"/>
        <v>TRAPASTBUDMD</v>
      </c>
      <c r="U347" s="17" t="str">
        <f t="shared" si="104"/>
        <v>TRAPASTBUDMD</v>
      </c>
      <c r="V347" s="18">
        <v>2030</v>
      </c>
      <c r="W347" s="18" t="str">
        <f>W346</f>
        <v>UP</v>
      </c>
      <c r="X347" s="18"/>
      <c r="Y347" s="20">
        <f>-MIN(SUMIFS('TRA RESID'!$P:$P,'TRA RESID'!$H:$H,$E347,'TRA RESID'!$I:$I,$F347)/SUMIFS('TRA RESID'!$P:$P,'TRA RESID'!$I:$I,$F347)*AC347,1)</f>
        <v>0</v>
      </c>
      <c r="Z347" s="18"/>
      <c r="AA347" s="18"/>
      <c r="AB347" s="9"/>
      <c r="AC347" s="21">
        <v>1.5</v>
      </c>
    </row>
    <row r="348" spans="1:29" x14ac:dyDescent="0.25">
      <c r="A348" s="22">
        <f>A347</f>
        <v>86</v>
      </c>
      <c r="B348" s="22"/>
      <c r="C348" s="23" t="str">
        <f>IF(C347="*",C347,"")</f>
        <v>*</v>
      </c>
      <c r="D348" s="24"/>
      <c r="E348" s="25" t="str">
        <f t="shared" si="109"/>
        <v>TRABDS</v>
      </c>
      <c r="F348" s="25" t="str">
        <f t="shared" si="109"/>
        <v>TRAPASTBUDMD</v>
      </c>
      <c r="G348" s="25" t="str">
        <f t="shared" si="109"/>
        <v>TRAPASTBUDMD</v>
      </c>
      <c r="H348" s="26">
        <v>2050</v>
      </c>
      <c r="I348" s="26" t="str">
        <f>I347</f>
        <v>LO</v>
      </c>
      <c r="J348" s="26"/>
      <c r="K348" s="27">
        <f>-SUMIFS('TRA RESID'!$P:$P,'TRA RESID'!$H:$H,$E348,'TRA RESID'!$I:$I,$F348)/SUMIFS('TRA RESID'!$P:$P,'TRA RESID'!$I:$I,$F348)*O348</f>
        <v>0</v>
      </c>
      <c r="L348" s="26"/>
      <c r="M348" s="26"/>
      <c r="N348" s="22"/>
      <c r="O348" s="28">
        <v>0</v>
      </c>
      <c r="Q348" s="23" t="str">
        <f t="shared" si="100"/>
        <v>*</v>
      </c>
      <c r="R348" s="24"/>
      <c r="S348" s="25" t="str">
        <f t="shared" si="102"/>
        <v>TRABDS</v>
      </c>
      <c r="T348" s="25" t="str">
        <f t="shared" si="103"/>
        <v>TRAPASTBUDMD</v>
      </c>
      <c r="U348" s="25" t="str">
        <f t="shared" si="104"/>
        <v>TRAPASTBUDMD</v>
      </c>
      <c r="V348" s="26">
        <v>2050</v>
      </c>
      <c r="W348" s="26" t="str">
        <f>W347</f>
        <v>UP</v>
      </c>
      <c r="X348" s="26"/>
      <c r="Y348" s="27">
        <f>-MIN(SUMIFS('TRA RESID'!$P:$P,'TRA RESID'!$H:$H,$E348,'TRA RESID'!$I:$I,$F348)/SUMIFS('TRA RESID'!$P:$P,'TRA RESID'!$I:$I,$F348)*AC348,1)</f>
        <v>0</v>
      </c>
      <c r="Z348" s="26"/>
      <c r="AA348" s="26"/>
      <c r="AB348" s="22"/>
      <c r="AC348" s="28">
        <v>3</v>
      </c>
    </row>
    <row r="349" spans="1:29" x14ac:dyDescent="0.25">
      <c r="A349" s="14">
        <f>A345+1</f>
        <v>87</v>
      </c>
      <c r="B349" s="9"/>
      <c r="C349" s="15" t="str">
        <f>IF(E349="","",IF(_xlfn.XLOOKUP($A349,Selected_constraint!$A:$A,Selected_constraint!$D:$D)=1,"*",IF(SUMIFS('TRA TECH'!$M:$M,'TRA TECH'!$H:$H,E349,'TRA TECH'!$I:$I,F349)=0,"*",IF(SUMIFS('TRA RESID'!$P:$P,'TRA RESID'!$H:$H,$E349,'TRA RESID'!$I:$I,$F349)=0,"*","UC_MarketShare_"&amp;LEFT(F349,LEN(F349)-3)&amp;"_"&amp;RIGHT(E349,3)&amp;"_MIN"))))</f>
        <v>*</v>
      </c>
      <c r="D349" s="16"/>
      <c r="E349" s="17" t="str">
        <f>_xlfn.XLOOKUP($A349,Selected_constraint!$A:$A,Selected_constraint!$B:$B)</f>
        <v>TRACNG</v>
      </c>
      <c r="F349" s="17" t="str">
        <f>_xlfn.XLOOKUP($A349,Selected_constraint!$A:$A,Selected_constraint!$C:$C)</f>
        <v>TRAPASTBUDMD</v>
      </c>
      <c r="G349" s="17" t="str">
        <f>F349</f>
        <v>TRAPASTBUDMD</v>
      </c>
      <c r="H349" s="18">
        <v>2019</v>
      </c>
      <c r="I349" s="18" t="s">
        <v>483</v>
      </c>
      <c r="J349" s="18">
        <v>1</v>
      </c>
      <c r="K349" s="20">
        <f>-SUMIFS('TRA RESID'!$P:$P,'TRA RESID'!$H:$H,$E349,'TRA RESID'!$I:$I,$F349)/SUMIFS('TRA RESID'!$P:$P,'TRA RESID'!$I:$I,$F349)*O349</f>
        <v>-0.11421658342511809</v>
      </c>
      <c r="L349" s="18">
        <v>0</v>
      </c>
      <c r="M349" s="18">
        <v>5</v>
      </c>
      <c r="N349" s="9"/>
      <c r="O349" s="21">
        <v>0.98</v>
      </c>
      <c r="Q349" s="15" t="str">
        <f t="shared" si="100"/>
        <v>*</v>
      </c>
      <c r="R349" s="16"/>
      <c r="S349" s="17" t="str">
        <f t="shared" si="102"/>
        <v>TRACNG</v>
      </c>
      <c r="T349" s="17" t="str">
        <f t="shared" si="103"/>
        <v>TRAPASTBUDMD</v>
      </c>
      <c r="U349" s="17" t="str">
        <f t="shared" si="104"/>
        <v>TRAPASTBUDMD</v>
      </c>
      <c r="V349" s="18">
        <v>2019</v>
      </c>
      <c r="W349" s="18" t="s">
        <v>484</v>
      </c>
      <c r="X349" s="18">
        <v>1</v>
      </c>
      <c r="Y349" s="20">
        <f>-MIN(SUMIFS('TRA RESID'!$P:$P,'TRA RESID'!$H:$H,$E349,'TRA RESID'!$I:$I,$F349)/SUMIFS('TRA RESID'!$P:$P,'TRA RESID'!$I:$I,$F349)*AC349,1)</f>
        <v>-0.11887848478940863</v>
      </c>
      <c r="Z349" s="18">
        <v>0</v>
      </c>
      <c r="AA349" s="18">
        <v>5</v>
      </c>
      <c r="AB349" s="9"/>
      <c r="AC349" s="21">
        <v>1.02</v>
      </c>
    </row>
    <row r="350" spans="1:29" x14ac:dyDescent="0.25">
      <c r="A350" s="9">
        <f>A349</f>
        <v>87</v>
      </c>
      <c r="B350" s="9"/>
      <c r="C350" s="15" t="str">
        <f>IF(C349="*",C349,"")</f>
        <v>*</v>
      </c>
      <c r="D350" s="16"/>
      <c r="E350" s="17" t="str">
        <f t="shared" ref="E350:G352" si="110">E349</f>
        <v>TRACNG</v>
      </c>
      <c r="F350" s="17" t="str">
        <f t="shared" si="110"/>
        <v>TRAPASTBUDMD</v>
      </c>
      <c r="G350" s="17" t="str">
        <f t="shared" si="110"/>
        <v>TRAPASTBUDMD</v>
      </c>
      <c r="H350" s="18">
        <v>2025</v>
      </c>
      <c r="I350" s="18" t="str">
        <f>I349</f>
        <v>LO</v>
      </c>
      <c r="J350" s="18"/>
      <c r="K350" s="20">
        <f>-SUMIFS('TRA RESID'!$P:$P,'TRA RESID'!$H:$H,$E350,'TRA RESID'!$I:$I,$F350)/SUMIFS('TRA RESID'!$P:$P,'TRA RESID'!$I:$I,$F350)*O350</f>
        <v>-9.3238027285810696E-2</v>
      </c>
      <c r="L350" s="18"/>
      <c r="M350" s="18"/>
      <c r="N350" s="9"/>
      <c r="O350" s="21">
        <v>0.8</v>
      </c>
      <c r="Q350" s="15" t="str">
        <f t="shared" si="100"/>
        <v>*</v>
      </c>
      <c r="R350" s="16"/>
      <c r="S350" s="17" t="str">
        <f t="shared" si="102"/>
        <v>TRACNG</v>
      </c>
      <c r="T350" s="17" t="str">
        <f t="shared" si="103"/>
        <v>TRAPASTBUDMD</v>
      </c>
      <c r="U350" s="17" t="str">
        <f t="shared" si="104"/>
        <v>TRAPASTBUDMD</v>
      </c>
      <c r="V350" s="18">
        <v>2025</v>
      </c>
      <c r="W350" s="18" t="str">
        <f>W349</f>
        <v>UP</v>
      </c>
      <c r="X350" s="18"/>
      <c r="Y350" s="20">
        <f>-MIN(SUMIFS('TRA RESID'!$P:$P,'TRA RESID'!$H:$H,$E350,'TRA RESID'!$I:$I,$F350)/SUMIFS('TRA RESID'!$P:$P,'TRA RESID'!$I:$I,$F350)*AC350,1)</f>
        <v>-0.13985704092871604</v>
      </c>
      <c r="Z350" s="18"/>
      <c r="AA350" s="18"/>
      <c r="AB350" s="9"/>
      <c r="AC350" s="21">
        <v>1.2</v>
      </c>
    </row>
    <row r="351" spans="1:29" x14ac:dyDescent="0.25">
      <c r="A351" s="9">
        <f>A350</f>
        <v>87</v>
      </c>
      <c r="B351" s="9"/>
      <c r="C351" s="15" t="str">
        <f>IF(C350="*",C350,"")</f>
        <v>*</v>
      </c>
      <c r="D351" s="16"/>
      <c r="E351" s="17" t="str">
        <f t="shared" si="110"/>
        <v>TRACNG</v>
      </c>
      <c r="F351" s="17" t="str">
        <f t="shared" si="110"/>
        <v>TRAPASTBUDMD</v>
      </c>
      <c r="G351" s="17" t="str">
        <f t="shared" si="110"/>
        <v>TRAPASTBUDMD</v>
      </c>
      <c r="H351" s="18">
        <v>2030</v>
      </c>
      <c r="I351" s="18" t="str">
        <f>I350</f>
        <v>LO</v>
      </c>
      <c r="J351" s="18"/>
      <c r="K351" s="20">
        <f>-SUMIFS('TRA RESID'!$P:$P,'TRA RESID'!$H:$H,$E351,'TRA RESID'!$I:$I,$F351)/SUMIFS('TRA RESID'!$P:$P,'TRA RESID'!$I:$I,$F351)*O351</f>
        <v>-2.3309506821452674E-2</v>
      </c>
      <c r="L351" s="18"/>
      <c r="M351" s="18"/>
      <c r="N351" s="9"/>
      <c r="O351" s="21">
        <v>0.2</v>
      </c>
      <c r="Q351" s="15" t="str">
        <f t="shared" si="100"/>
        <v>*</v>
      </c>
      <c r="R351" s="16"/>
      <c r="S351" s="17" t="str">
        <f t="shared" si="102"/>
        <v>TRACNG</v>
      </c>
      <c r="T351" s="17" t="str">
        <f t="shared" si="103"/>
        <v>TRAPASTBUDMD</v>
      </c>
      <c r="U351" s="17" t="str">
        <f t="shared" si="104"/>
        <v>TRAPASTBUDMD</v>
      </c>
      <c r="V351" s="18">
        <v>2030</v>
      </c>
      <c r="W351" s="18" t="str">
        <f>W350</f>
        <v>UP</v>
      </c>
      <c r="X351" s="18"/>
      <c r="Y351" s="20">
        <f>-MIN(SUMIFS('TRA RESID'!$P:$P,'TRA RESID'!$H:$H,$E351,'TRA RESID'!$I:$I,$F351)/SUMIFS('TRA RESID'!$P:$P,'TRA RESID'!$I:$I,$F351)*AC351,1)</f>
        <v>-0.17482130116089503</v>
      </c>
      <c r="Z351" s="18"/>
      <c r="AA351" s="18"/>
      <c r="AB351" s="9"/>
      <c r="AC351" s="21">
        <v>1.5</v>
      </c>
    </row>
    <row r="352" spans="1:29" x14ac:dyDescent="0.25">
      <c r="A352" s="22">
        <f>A351</f>
        <v>87</v>
      </c>
      <c r="B352" s="22"/>
      <c r="C352" s="23" t="str">
        <f>IF(C351="*",C351,"")</f>
        <v>*</v>
      </c>
      <c r="D352" s="24"/>
      <c r="E352" s="25" t="str">
        <f t="shared" si="110"/>
        <v>TRACNG</v>
      </c>
      <c r="F352" s="25" t="str">
        <f t="shared" si="110"/>
        <v>TRAPASTBUDMD</v>
      </c>
      <c r="G352" s="25" t="str">
        <f t="shared" si="110"/>
        <v>TRAPASTBUDMD</v>
      </c>
      <c r="H352" s="26">
        <v>2050</v>
      </c>
      <c r="I352" s="26" t="str">
        <f>I351</f>
        <v>LO</v>
      </c>
      <c r="J352" s="26"/>
      <c r="K352" s="27">
        <f>-SUMIFS('TRA RESID'!$P:$P,'TRA RESID'!$H:$H,$E352,'TRA RESID'!$I:$I,$F352)/SUMIFS('TRA RESID'!$P:$P,'TRA RESID'!$I:$I,$F352)*O352</f>
        <v>0</v>
      </c>
      <c r="L352" s="26"/>
      <c r="M352" s="26"/>
      <c r="N352" s="22"/>
      <c r="O352" s="28">
        <v>0</v>
      </c>
      <c r="Q352" s="23" t="str">
        <f t="shared" si="100"/>
        <v>*</v>
      </c>
      <c r="R352" s="24"/>
      <c r="S352" s="25" t="str">
        <f t="shared" si="102"/>
        <v>TRACNG</v>
      </c>
      <c r="T352" s="25" t="str">
        <f t="shared" si="103"/>
        <v>TRAPASTBUDMD</v>
      </c>
      <c r="U352" s="25" t="str">
        <f t="shared" si="104"/>
        <v>TRAPASTBUDMD</v>
      </c>
      <c r="V352" s="26">
        <v>2050</v>
      </c>
      <c r="W352" s="26" t="str">
        <f>W351</f>
        <v>UP</v>
      </c>
      <c r="X352" s="26"/>
      <c r="Y352" s="27">
        <f>-MIN(SUMIFS('TRA RESID'!$P:$P,'TRA RESID'!$H:$H,$E352,'TRA RESID'!$I:$I,$F352)/SUMIFS('TRA RESID'!$P:$P,'TRA RESID'!$I:$I,$F352)*AC352,1)</f>
        <v>-0.34964260232179006</v>
      </c>
      <c r="Z352" s="26"/>
      <c r="AA352" s="26"/>
      <c r="AB352" s="22"/>
      <c r="AC352" s="28">
        <v>3</v>
      </c>
    </row>
    <row r="353" spans="1:29" x14ac:dyDescent="0.25">
      <c r="A353" s="14">
        <f>A349+1</f>
        <v>88</v>
      </c>
      <c r="B353" s="9"/>
      <c r="C353" s="15" t="str">
        <f>IF(E353="","",IF(_xlfn.XLOOKUP($A353,Selected_constraint!$A:$A,Selected_constraint!$D:$D)=1,"*",IF(SUMIFS('TRA TECH'!$M:$M,'TRA TECH'!$H:$H,E353,'TRA TECH'!$I:$I,F353)=0,"*",IF(SUMIFS('TRA RESID'!$P:$P,'TRA RESID'!$H:$H,$E353,'TRA RESID'!$I:$I,$F353)=0,"*","UC_MarketShare_"&amp;LEFT(F353,LEN(F353)-3)&amp;"_"&amp;RIGHT(E353,3)&amp;"_MIN"))))</f>
        <v>*</v>
      </c>
      <c r="D353" s="16"/>
      <c r="E353" s="17" t="str">
        <f>_xlfn.XLOOKUP($A353,Selected_constraint!$A:$A,Selected_constraint!$B:$B)</f>
        <v>TRARNG</v>
      </c>
      <c r="F353" s="17" t="str">
        <f>_xlfn.XLOOKUP($A353,Selected_constraint!$A:$A,Selected_constraint!$C:$C)</f>
        <v>TRAPASTBUDMD</v>
      </c>
      <c r="G353" s="17" t="str">
        <f>F353</f>
        <v>TRAPASTBUDMD</v>
      </c>
      <c r="H353" s="18">
        <v>2019</v>
      </c>
      <c r="I353" s="18" t="s">
        <v>483</v>
      </c>
      <c r="J353" s="18">
        <v>1</v>
      </c>
      <c r="K353" s="20">
        <f>-SUMIFS('TRA RESID'!$P:$P,'TRA RESID'!$H:$H,$E353,'TRA RESID'!$I:$I,$F353)/SUMIFS('TRA RESID'!$P:$P,'TRA RESID'!$I:$I,$F353)*O353</f>
        <v>0</v>
      </c>
      <c r="L353" s="18">
        <v>0</v>
      </c>
      <c r="M353" s="18">
        <v>5</v>
      </c>
      <c r="N353" s="9"/>
      <c r="O353" s="21">
        <v>0.98</v>
      </c>
      <c r="Q353" s="15" t="str">
        <f t="shared" si="100"/>
        <v>*</v>
      </c>
      <c r="R353" s="16"/>
      <c r="S353" s="17" t="str">
        <f t="shared" si="102"/>
        <v>TRARNG</v>
      </c>
      <c r="T353" s="17" t="str">
        <f t="shared" si="103"/>
        <v>TRAPASTBUDMD</v>
      </c>
      <c r="U353" s="17" t="str">
        <f t="shared" si="104"/>
        <v>TRAPASTBUDMD</v>
      </c>
      <c r="V353" s="18">
        <v>2019</v>
      </c>
      <c r="W353" s="18" t="s">
        <v>484</v>
      </c>
      <c r="X353" s="18">
        <v>1</v>
      </c>
      <c r="Y353" s="20">
        <f>-MIN(SUMIFS('TRA RESID'!$P:$P,'TRA RESID'!$H:$H,$E353,'TRA RESID'!$I:$I,$F353)/SUMIFS('TRA RESID'!$P:$P,'TRA RESID'!$I:$I,$F353)*AC353,1)</f>
        <v>0</v>
      </c>
      <c r="Z353" s="18">
        <v>0</v>
      </c>
      <c r="AA353" s="18">
        <v>5</v>
      </c>
      <c r="AB353" s="9"/>
      <c r="AC353" s="21">
        <v>1.02</v>
      </c>
    </row>
    <row r="354" spans="1:29" x14ac:dyDescent="0.25">
      <c r="A354" s="9">
        <f>A353</f>
        <v>88</v>
      </c>
      <c r="B354" s="9"/>
      <c r="C354" s="15" t="str">
        <f>IF(C353="*",C353,"")</f>
        <v>*</v>
      </c>
      <c r="D354" s="16"/>
      <c r="E354" s="17" t="str">
        <f t="shared" ref="E354:G356" si="111">E353</f>
        <v>TRARNG</v>
      </c>
      <c r="F354" s="17" t="str">
        <f t="shared" si="111"/>
        <v>TRAPASTBUDMD</v>
      </c>
      <c r="G354" s="17" t="str">
        <f t="shared" si="111"/>
        <v>TRAPASTBUDMD</v>
      </c>
      <c r="H354" s="18">
        <v>2025</v>
      </c>
      <c r="I354" s="18" t="str">
        <f>I353</f>
        <v>LO</v>
      </c>
      <c r="J354" s="18"/>
      <c r="K354" s="20">
        <f>-SUMIFS('TRA RESID'!$P:$P,'TRA RESID'!$H:$H,$E354,'TRA RESID'!$I:$I,$F354)/SUMIFS('TRA RESID'!$P:$P,'TRA RESID'!$I:$I,$F354)*O354</f>
        <v>0</v>
      </c>
      <c r="L354" s="18"/>
      <c r="M354" s="18"/>
      <c r="N354" s="9"/>
      <c r="O354" s="21">
        <v>0.8</v>
      </c>
      <c r="Q354" s="15" t="str">
        <f t="shared" si="100"/>
        <v>*</v>
      </c>
      <c r="R354" s="16"/>
      <c r="S354" s="17" t="str">
        <f t="shared" si="102"/>
        <v>TRARNG</v>
      </c>
      <c r="T354" s="17" t="str">
        <f t="shared" si="103"/>
        <v>TRAPASTBUDMD</v>
      </c>
      <c r="U354" s="17" t="str">
        <f t="shared" si="104"/>
        <v>TRAPASTBUDMD</v>
      </c>
      <c r="V354" s="18">
        <v>2025</v>
      </c>
      <c r="W354" s="18" t="str">
        <f>W353</f>
        <v>UP</v>
      </c>
      <c r="X354" s="18"/>
      <c r="Y354" s="20">
        <f>-MIN(SUMIFS('TRA RESID'!$P:$P,'TRA RESID'!$H:$H,$E354,'TRA RESID'!$I:$I,$F354)/SUMIFS('TRA RESID'!$P:$P,'TRA RESID'!$I:$I,$F354)*AC354,1)</f>
        <v>0</v>
      </c>
      <c r="Z354" s="18"/>
      <c r="AA354" s="18"/>
      <c r="AB354" s="9"/>
      <c r="AC354" s="21">
        <v>1.2</v>
      </c>
    </row>
    <row r="355" spans="1:29" x14ac:dyDescent="0.25">
      <c r="A355" s="9">
        <f>A354</f>
        <v>88</v>
      </c>
      <c r="B355" s="9"/>
      <c r="C355" s="15" t="str">
        <f>IF(C354="*",C354,"")</f>
        <v>*</v>
      </c>
      <c r="D355" s="16"/>
      <c r="E355" s="17" t="str">
        <f t="shared" si="111"/>
        <v>TRARNG</v>
      </c>
      <c r="F355" s="17" t="str">
        <f t="shared" si="111"/>
        <v>TRAPASTBUDMD</v>
      </c>
      <c r="G355" s="17" t="str">
        <f t="shared" si="111"/>
        <v>TRAPASTBUDMD</v>
      </c>
      <c r="H355" s="18">
        <v>2030</v>
      </c>
      <c r="I355" s="18" t="str">
        <f>I354</f>
        <v>LO</v>
      </c>
      <c r="J355" s="18"/>
      <c r="K355" s="20">
        <f>-SUMIFS('TRA RESID'!$P:$P,'TRA RESID'!$H:$H,$E355,'TRA RESID'!$I:$I,$F355)/SUMIFS('TRA RESID'!$P:$P,'TRA RESID'!$I:$I,$F355)*O355</f>
        <v>0</v>
      </c>
      <c r="L355" s="18"/>
      <c r="M355" s="18"/>
      <c r="N355" s="9"/>
      <c r="O355" s="21">
        <v>0.2</v>
      </c>
      <c r="Q355" s="15" t="str">
        <f t="shared" si="100"/>
        <v>*</v>
      </c>
      <c r="R355" s="16"/>
      <c r="S355" s="17" t="str">
        <f t="shared" si="102"/>
        <v>TRARNG</v>
      </c>
      <c r="T355" s="17" t="str">
        <f t="shared" si="103"/>
        <v>TRAPASTBUDMD</v>
      </c>
      <c r="U355" s="17" t="str">
        <f t="shared" si="104"/>
        <v>TRAPASTBUDMD</v>
      </c>
      <c r="V355" s="18">
        <v>2030</v>
      </c>
      <c r="W355" s="18" t="str">
        <f>W354</f>
        <v>UP</v>
      </c>
      <c r="X355" s="18"/>
      <c r="Y355" s="20">
        <f>-MIN(SUMIFS('TRA RESID'!$P:$P,'TRA RESID'!$H:$H,$E355,'TRA RESID'!$I:$I,$F355)/SUMIFS('TRA RESID'!$P:$P,'TRA RESID'!$I:$I,$F355)*AC355,1)</f>
        <v>0</v>
      </c>
      <c r="Z355" s="18"/>
      <c r="AA355" s="18"/>
      <c r="AB355" s="9"/>
      <c r="AC355" s="21">
        <v>1.5</v>
      </c>
    </row>
    <row r="356" spans="1:29" x14ac:dyDescent="0.25">
      <c r="A356" s="22">
        <f>A355</f>
        <v>88</v>
      </c>
      <c r="B356" s="22"/>
      <c r="C356" s="23" t="str">
        <f>IF(C355="*",C355,"")</f>
        <v>*</v>
      </c>
      <c r="D356" s="24"/>
      <c r="E356" s="25" t="str">
        <f t="shared" si="111"/>
        <v>TRARNG</v>
      </c>
      <c r="F356" s="25" t="str">
        <f t="shared" si="111"/>
        <v>TRAPASTBUDMD</v>
      </c>
      <c r="G356" s="25" t="str">
        <f t="shared" si="111"/>
        <v>TRAPASTBUDMD</v>
      </c>
      <c r="H356" s="26">
        <v>2050</v>
      </c>
      <c r="I356" s="26" t="str">
        <f>I355</f>
        <v>LO</v>
      </c>
      <c r="J356" s="26"/>
      <c r="K356" s="27">
        <f>-SUMIFS('TRA RESID'!$P:$P,'TRA RESID'!$H:$H,$E356,'TRA RESID'!$I:$I,$F356)/SUMIFS('TRA RESID'!$P:$P,'TRA RESID'!$I:$I,$F356)*O356</f>
        <v>0</v>
      </c>
      <c r="L356" s="26"/>
      <c r="M356" s="26"/>
      <c r="N356" s="22"/>
      <c r="O356" s="28">
        <v>0</v>
      </c>
      <c r="Q356" s="23" t="str">
        <f t="shared" si="100"/>
        <v>*</v>
      </c>
      <c r="R356" s="24"/>
      <c r="S356" s="25" t="str">
        <f t="shared" si="102"/>
        <v>TRARNG</v>
      </c>
      <c r="T356" s="25" t="str">
        <f t="shared" si="103"/>
        <v>TRAPASTBUDMD</v>
      </c>
      <c r="U356" s="25" t="str">
        <f t="shared" si="104"/>
        <v>TRAPASTBUDMD</v>
      </c>
      <c r="V356" s="26">
        <v>2050</v>
      </c>
      <c r="W356" s="26" t="str">
        <f>W355</f>
        <v>UP</v>
      </c>
      <c r="X356" s="26"/>
      <c r="Y356" s="27">
        <f>-MIN(SUMIFS('TRA RESID'!$P:$P,'TRA RESID'!$H:$H,$E356,'TRA RESID'!$I:$I,$F356)/SUMIFS('TRA RESID'!$P:$P,'TRA RESID'!$I:$I,$F356)*AC356,1)</f>
        <v>0</v>
      </c>
      <c r="Z356" s="26"/>
      <c r="AA356" s="26"/>
      <c r="AB356" s="22"/>
      <c r="AC356" s="28">
        <v>3</v>
      </c>
    </row>
    <row r="357" spans="1:29" x14ac:dyDescent="0.25">
      <c r="A357" s="14">
        <f>A353+1</f>
        <v>89</v>
      </c>
      <c r="B357" s="9"/>
      <c r="C357" s="15" t="str">
        <f>IF(E357="","",IF(_xlfn.XLOOKUP($A357,Selected_constraint!$A:$A,Selected_constraint!$D:$D)=1,"*",IF(SUMIFS('TRA TECH'!$M:$M,'TRA TECH'!$H:$H,E357,'TRA TECH'!$I:$I,F357)=0,"*",IF(SUMIFS('TRA RESID'!$P:$P,'TRA RESID'!$H:$H,$E357,'TRA RESID'!$I:$I,$F357)=0,"*","UC_MarketShare_"&amp;LEFT(F357,LEN(F357)-3)&amp;"_"&amp;RIGHT(E357,3)&amp;"_MIN"))))</f>
        <v>*</v>
      </c>
      <c r="D357" s="16"/>
      <c r="E357" s="17" t="str">
        <f>_xlfn.XLOOKUP($A357,Selected_constraint!$A:$A,Selected_constraint!$B:$B)</f>
        <v>TRABAF</v>
      </c>
      <c r="F357" s="17" t="str">
        <f>_xlfn.XLOOKUP($A357,Selected_constraint!$A:$A,Selected_constraint!$C:$C)</f>
        <v>TRAPASTBUDMD</v>
      </c>
      <c r="G357" s="17" t="str">
        <f>F357</f>
        <v>TRAPASTBUDMD</v>
      </c>
      <c r="H357" s="18">
        <v>2019</v>
      </c>
      <c r="I357" s="18" t="s">
        <v>483</v>
      </c>
      <c r="J357" s="18">
        <v>1</v>
      </c>
      <c r="K357" s="20">
        <f>-SUMIFS('TRA RESID'!$P:$P,'TRA RESID'!$H:$H,$E357,'TRA RESID'!$I:$I,$F357)/SUMIFS('TRA RESID'!$P:$P,'TRA RESID'!$I:$I,$F357)*O357</f>
        <v>0</v>
      </c>
      <c r="L357" s="18">
        <v>0</v>
      </c>
      <c r="M357" s="18">
        <v>5</v>
      </c>
      <c r="N357" s="9"/>
      <c r="O357" s="21">
        <v>0.98</v>
      </c>
      <c r="Q357" s="15" t="str">
        <f t="shared" si="100"/>
        <v>*</v>
      </c>
      <c r="R357" s="16"/>
      <c r="S357" s="17" t="str">
        <f t="shared" si="102"/>
        <v>TRABAF</v>
      </c>
      <c r="T357" s="17" t="str">
        <f t="shared" si="103"/>
        <v>TRAPASTBUDMD</v>
      </c>
      <c r="U357" s="17" t="str">
        <f t="shared" si="104"/>
        <v>TRAPASTBUDMD</v>
      </c>
      <c r="V357" s="18">
        <v>2019</v>
      </c>
      <c r="W357" s="18" t="s">
        <v>484</v>
      </c>
      <c r="X357" s="18">
        <v>1</v>
      </c>
      <c r="Y357" s="20">
        <f>-MIN(SUMIFS('TRA RESID'!$P:$P,'TRA RESID'!$H:$H,$E357,'TRA RESID'!$I:$I,$F357)/SUMIFS('TRA RESID'!$P:$P,'TRA RESID'!$I:$I,$F357)*AC357,1)</f>
        <v>0</v>
      </c>
      <c r="Z357" s="18">
        <v>0</v>
      </c>
      <c r="AA357" s="18">
        <v>5</v>
      </c>
      <c r="AB357" s="9"/>
      <c r="AC357" s="21">
        <v>1.02</v>
      </c>
    </row>
    <row r="358" spans="1:29" x14ac:dyDescent="0.25">
      <c r="A358" s="9">
        <f>A357</f>
        <v>89</v>
      </c>
      <c r="B358" s="9"/>
      <c r="C358" s="15" t="str">
        <f>IF(C357="*",C357,"")</f>
        <v>*</v>
      </c>
      <c r="D358" s="16"/>
      <c r="E358" s="17" t="str">
        <f t="shared" ref="E358:G360" si="112">E357</f>
        <v>TRABAF</v>
      </c>
      <c r="F358" s="17" t="str">
        <f t="shared" si="112"/>
        <v>TRAPASTBUDMD</v>
      </c>
      <c r="G358" s="17" t="str">
        <f t="shared" si="112"/>
        <v>TRAPASTBUDMD</v>
      </c>
      <c r="H358" s="18">
        <v>2025</v>
      </c>
      <c r="I358" s="18" t="str">
        <f>I357</f>
        <v>LO</v>
      </c>
      <c r="J358" s="18"/>
      <c r="K358" s="20">
        <f>-SUMIFS('TRA RESID'!$P:$P,'TRA RESID'!$H:$H,$E358,'TRA RESID'!$I:$I,$F358)/SUMIFS('TRA RESID'!$P:$P,'TRA RESID'!$I:$I,$F358)*O358</f>
        <v>0</v>
      </c>
      <c r="L358" s="18"/>
      <c r="M358" s="18"/>
      <c r="N358" s="9"/>
      <c r="O358" s="21">
        <v>0.8</v>
      </c>
      <c r="Q358" s="15" t="str">
        <f t="shared" si="100"/>
        <v>*</v>
      </c>
      <c r="R358" s="16"/>
      <c r="S358" s="17" t="str">
        <f t="shared" si="102"/>
        <v>TRABAF</v>
      </c>
      <c r="T358" s="17" t="str">
        <f t="shared" si="103"/>
        <v>TRAPASTBUDMD</v>
      </c>
      <c r="U358" s="17" t="str">
        <f t="shared" si="104"/>
        <v>TRAPASTBUDMD</v>
      </c>
      <c r="V358" s="18">
        <v>2025</v>
      </c>
      <c r="W358" s="18" t="str">
        <f>W357</f>
        <v>UP</v>
      </c>
      <c r="X358" s="18"/>
      <c r="Y358" s="20">
        <f>-MIN(SUMIFS('TRA RESID'!$P:$P,'TRA RESID'!$H:$H,$E358,'TRA RESID'!$I:$I,$F358)/SUMIFS('TRA RESID'!$P:$P,'TRA RESID'!$I:$I,$F358)*AC358,1)</f>
        <v>0</v>
      </c>
      <c r="Z358" s="18"/>
      <c r="AA358" s="18"/>
      <c r="AB358" s="9"/>
      <c r="AC358" s="21">
        <v>1.2</v>
      </c>
    </row>
    <row r="359" spans="1:29" x14ac:dyDescent="0.25">
      <c r="A359" s="9">
        <f>A358</f>
        <v>89</v>
      </c>
      <c r="B359" s="9"/>
      <c r="C359" s="15" t="str">
        <f>IF(C358="*",C358,"")</f>
        <v>*</v>
      </c>
      <c r="D359" s="16"/>
      <c r="E359" s="17" t="str">
        <f t="shared" si="112"/>
        <v>TRABAF</v>
      </c>
      <c r="F359" s="17" t="str">
        <f t="shared" si="112"/>
        <v>TRAPASTBUDMD</v>
      </c>
      <c r="G359" s="17" t="str">
        <f t="shared" si="112"/>
        <v>TRAPASTBUDMD</v>
      </c>
      <c r="H359" s="18">
        <v>2030</v>
      </c>
      <c r="I359" s="18" t="str">
        <f>I358</f>
        <v>LO</v>
      </c>
      <c r="J359" s="18"/>
      <c r="K359" s="20">
        <f>-SUMIFS('TRA RESID'!$P:$P,'TRA RESID'!$H:$H,$E359,'TRA RESID'!$I:$I,$F359)/SUMIFS('TRA RESID'!$P:$P,'TRA RESID'!$I:$I,$F359)*O359</f>
        <v>0</v>
      </c>
      <c r="L359" s="18"/>
      <c r="M359" s="18"/>
      <c r="N359" s="9"/>
      <c r="O359" s="21">
        <v>0.2</v>
      </c>
      <c r="Q359" s="15" t="str">
        <f t="shared" si="100"/>
        <v>*</v>
      </c>
      <c r="R359" s="16"/>
      <c r="S359" s="17" t="str">
        <f t="shared" si="102"/>
        <v>TRABAF</v>
      </c>
      <c r="T359" s="17" t="str">
        <f t="shared" si="103"/>
        <v>TRAPASTBUDMD</v>
      </c>
      <c r="U359" s="17" t="str">
        <f t="shared" si="104"/>
        <v>TRAPASTBUDMD</v>
      </c>
      <c r="V359" s="18">
        <v>2030</v>
      </c>
      <c r="W359" s="18" t="str">
        <f>W358</f>
        <v>UP</v>
      </c>
      <c r="X359" s="18"/>
      <c r="Y359" s="20">
        <f>-MIN(SUMIFS('TRA RESID'!$P:$P,'TRA RESID'!$H:$H,$E359,'TRA RESID'!$I:$I,$F359)/SUMIFS('TRA RESID'!$P:$P,'TRA RESID'!$I:$I,$F359)*AC359,1)</f>
        <v>0</v>
      </c>
      <c r="Z359" s="18"/>
      <c r="AA359" s="18"/>
      <c r="AB359" s="9"/>
      <c r="AC359" s="21">
        <v>1.5</v>
      </c>
    </row>
    <row r="360" spans="1:29" x14ac:dyDescent="0.25">
      <c r="A360" s="22">
        <f>A359</f>
        <v>89</v>
      </c>
      <c r="B360" s="22"/>
      <c r="C360" s="23" t="str">
        <f>IF(C359="*",C359,"")</f>
        <v>*</v>
      </c>
      <c r="D360" s="24"/>
      <c r="E360" s="25" t="str">
        <f t="shared" si="112"/>
        <v>TRABAF</v>
      </c>
      <c r="F360" s="25" t="str">
        <f t="shared" si="112"/>
        <v>TRAPASTBUDMD</v>
      </c>
      <c r="G360" s="25" t="str">
        <f t="shared" si="112"/>
        <v>TRAPASTBUDMD</v>
      </c>
      <c r="H360" s="26">
        <v>2050</v>
      </c>
      <c r="I360" s="26" t="str">
        <f>I359</f>
        <v>LO</v>
      </c>
      <c r="J360" s="26"/>
      <c r="K360" s="27">
        <f>-SUMIFS('TRA RESID'!$P:$P,'TRA RESID'!$H:$H,$E360,'TRA RESID'!$I:$I,$F360)/SUMIFS('TRA RESID'!$P:$P,'TRA RESID'!$I:$I,$F360)*O360</f>
        <v>0</v>
      </c>
      <c r="L360" s="26"/>
      <c r="M360" s="26"/>
      <c r="N360" s="22"/>
      <c r="O360" s="28">
        <v>0</v>
      </c>
      <c r="Q360" s="23" t="str">
        <f t="shared" si="100"/>
        <v>*</v>
      </c>
      <c r="R360" s="24"/>
      <c r="S360" s="25" t="str">
        <f t="shared" si="102"/>
        <v>TRABAF</v>
      </c>
      <c r="T360" s="25" t="str">
        <f t="shared" si="103"/>
        <v>TRAPASTBUDMD</v>
      </c>
      <c r="U360" s="25" t="str">
        <f t="shared" si="104"/>
        <v>TRAPASTBUDMD</v>
      </c>
      <c r="V360" s="26">
        <v>2050</v>
      </c>
      <c r="W360" s="26" t="str">
        <f>W359</f>
        <v>UP</v>
      </c>
      <c r="X360" s="26"/>
      <c r="Y360" s="27">
        <f>-MIN(SUMIFS('TRA RESID'!$P:$P,'TRA RESID'!$H:$H,$E360,'TRA RESID'!$I:$I,$F360)/SUMIFS('TRA RESID'!$P:$P,'TRA RESID'!$I:$I,$F360)*AC360,1)</f>
        <v>0</v>
      </c>
      <c r="Z360" s="26"/>
      <c r="AA360" s="26"/>
      <c r="AB360" s="22"/>
      <c r="AC360" s="28">
        <v>3</v>
      </c>
    </row>
    <row r="361" spans="1:29" x14ac:dyDescent="0.25">
      <c r="A361" s="14">
        <f>A357+1</f>
        <v>90</v>
      </c>
      <c r="B361" s="9"/>
      <c r="C361" s="15" t="str">
        <f>IF(E361="","",IF(_xlfn.XLOOKUP($A361,Selected_constraint!$A:$A,Selected_constraint!$D:$D)=1,"*",IF(SUMIFS('TRA TECH'!$M:$M,'TRA TECH'!$H:$H,E361,'TRA TECH'!$I:$I,F361)=0,"*",IF(SUMIFS('TRA RESID'!$P:$P,'TRA RESID'!$H:$H,$E361,'TRA RESID'!$I:$I,$F361)=0,"*","UC_MarketShare_"&amp;LEFT(F361,LEN(F361)-3)&amp;"_"&amp;RIGHT(E361,3)&amp;"_MIN"))))</f>
        <v>*</v>
      </c>
      <c r="D361" s="16"/>
      <c r="E361" s="17" t="str">
        <f>_xlfn.XLOOKUP($A361,Selected_constraint!$A:$A,Selected_constraint!$B:$B)</f>
        <v>TRAH2G</v>
      </c>
      <c r="F361" s="17" t="str">
        <f>_xlfn.XLOOKUP($A361,Selected_constraint!$A:$A,Selected_constraint!$C:$C)</f>
        <v>TRAPASTBUDMD</v>
      </c>
      <c r="G361" s="17" t="str">
        <f>F361</f>
        <v>TRAPASTBUDMD</v>
      </c>
      <c r="H361" s="18">
        <v>2019</v>
      </c>
      <c r="I361" s="18" t="s">
        <v>483</v>
      </c>
      <c r="J361" s="18">
        <v>1</v>
      </c>
      <c r="K361" s="20">
        <f>-SUMIFS('TRA RESID'!$P:$P,'TRA RESID'!$H:$H,$E361,'TRA RESID'!$I:$I,$F361)/SUMIFS('TRA RESID'!$P:$P,'TRA RESID'!$I:$I,$F361)*O361</f>
        <v>0</v>
      </c>
      <c r="L361" s="18">
        <v>0</v>
      </c>
      <c r="M361" s="18">
        <v>5</v>
      </c>
      <c r="N361" s="9"/>
      <c r="O361" s="21">
        <v>0.98</v>
      </c>
      <c r="Q361" s="15" t="str">
        <f t="shared" si="100"/>
        <v>*</v>
      </c>
      <c r="R361" s="16"/>
      <c r="S361" s="17" t="str">
        <f t="shared" si="102"/>
        <v>TRAH2G</v>
      </c>
      <c r="T361" s="17" t="str">
        <f t="shared" si="103"/>
        <v>TRAPASTBUDMD</v>
      </c>
      <c r="U361" s="17" t="str">
        <f t="shared" si="104"/>
        <v>TRAPASTBUDMD</v>
      </c>
      <c r="V361" s="18">
        <v>2019</v>
      </c>
      <c r="W361" s="18" t="s">
        <v>484</v>
      </c>
      <c r="X361" s="18">
        <v>1</v>
      </c>
      <c r="Y361" s="20">
        <f>-MIN(SUMIFS('TRA RESID'!$P:$P,'TRA RESID'!$H:$H,$E361,'TRA RESID'!$I:$I,$F361)/SUMIFS('TRA RESID'!$P:$P,'TRA RESID'!$I:$I,$F361)*AC361,1)</f>
        <v>0</v>
      </c>
      <c r="Z361" s="18">
        <v>0</v>
      </c>
      <c r="AA361" s="18">
        <v>5</v>
      </c>
      <c r="AB361" s="9"/>
      <c r="AC361" s="21">
        <v>1.02</v>
      </c>
    </row>
    <row r="362" spans="1:29" x14ac:dyDescent="0.25">
      <c r="A362" s="9">
        <f>A361</f>
        <v>90</v>
      </c>
      <c r="B362" s="9"/>
      <c r="C362" s="15" t="str">
        <f>IF(C361="*",C361,"")</f>
        <v>*</v>
      </c>
      <c r="D362" s="16"/>
      <c r="E362" s="17" t="str">
        <f t="shared" ref="E362:G364" si="113">E361</f>
        <v>TRAH2G</v>
      </c>
      <c r="F362" s="17" t="str">
        <f t="shared" si="113"/>
        <v>TRAPASTBUDMD</v>
      </c>
      <c r="G362" s="17" t="str">
        <f t="shared" si="113"/>
        <v>TRAPASTBUDMD</v>
      </c>
      <c r="H362" s="18">
        <v>2025</v>
      </c>
      <c r="I362" s="18" t="str">
        <f>I361</f>
        <v>LO</v>
      </c>
      <c r="J362" s="18"/>
      <c r="K362" s="20">
        <f>-SUMIFS('TRA RESID'!$P:$P,'TRA RESID'!$H:$H,$E362,'TRA RESID'!$I:$I,$F362)/SUMIFS('TRA RESID'!$P:$P,'TRA RESID'!$I:$I,$F362)*O362</f>
        <v>0</v>
      </c>
      <c r="L362" s="18"/>
      <c r="M362" s="18"/>
      <c r="N362" s="9"/>
      <c r="O362" s="21">
        <v>0.8</v>
      </c>
      <c r="Q362" s="15" t="str">
        <f t="shared" si="100"/>
        <v>*</v>
      </c>
      <c r="R362" s="16"/>
      <c r="S362" s="17" t="str">
        <f t="shared" si="102"/>
        <v>TRAH2G</v>
      </c>
      <c r="T362" s="17" t="str">
        <f t="shared" si="103"/>
        <v>TRAPASTBUDMD</v>
      </c>
      <c r="U362" s="17" t="str">
        <f t="shared" si="104"/>
        <v>TRAPASTBUDMD</v>
      </c>
      <c r="V362" s="18">
        <v>2025</v>
      </c>
      <c r="W362" s="18" t="str">
        <f>W361</f>
        <v>UP</v>
      </c>
      <c r="X362" s="18"/>
      <c r="Y362" s="20">
        <f>-MIN(SUMIFS('TRA RESID'!$P:$P,'TRA RESID'!$H:$H,$E362,'TRA RESID'!$I:$I,$F362)/SUMIFS('TRA RESID'!$P:$P,'TRA RESID'!$I:$I,$F362)*AC362,1)</f>
        <v>0</v>
      </c>
      <c r="Z362" s="18"/>
      <c r="AA362" s="18"/>
      <c r="AB362" s="9"/>
      <c r="AC362" s="21">
        <v>1.2</v>
      </c>
    </row>
    <row r="363" spans="1:29" x14ac:dyDescent="0.25">
      <c r="A363" s="9">
        <f>A362</f>
        <v>90</v>
      </c>
      <c r="B363" s="9"/>
      <c r="C363" s="15" t="str">
        <f>IF(C362="*",C362,"")</f>
        <v>*</v>
      </c>
      <c r="D363" s="16"/>
      <c r="E363" s="17" t="str">
        <f t="shared" si="113"/>
        <v>TRAH2G</v>
      </c>
      <c r="F363" s="17" t="str">
        <f t="shared" si="113"/>
        <v>TRAPASTBUDMD</v>
      </c>
      <c r="G363" s="17" t="str">
        <f t="shared" si="113"/>
        <v>TRAPASTBUDMD</v>
      </c>
      <c r="H363" s="18">
        <v>2030</v>
      </c>
      <c r="I363" s="18" t="str">
        <f>I362</f>
        <v>LO</v>
      </c>
      <c r="J363" s="18"/>
      <c r="K363" s="20">
        <f>-SUMIFS('TRA RESID'!$P:$P,'TRA RESID'!$H:$H,$E363,'TRA RESID'!$I:$I,$F363)/SUMIFS('TRA RESID'!$P:$P,'TRA RESID'!$I:$I,$F363)*O363</f>
        <v>0</v>
      </c>
      <c r="L363" s="18"/>
      <c r="M363" s="18"/>
      <c r="N363" s="9"/>
      <c r="O363" s="21">
        <v>0.2</v>
      </c>
      <c r="Q363" s="15" t="str">
        <f t="shared" si="100"/>
        <v>*</v>
      </c>
      <c r="R363" s="16"/>
      <c r="S363" s="17" t="str">
        <f t="shared" si="102"/>
        <v>TRAH2G</v>
      </c>
      <c r="T363" s="17" t="str">
        <f t="shared" si="103"/>
        <v>TRAPASTBUDMD</v>
      </c>
      <c r="U363" s="17" t="str">
        <f t="shared" si="104"/>
        <v>TRAPASTBUDMD</v>
      </c>
      <c r="V363" s="18">
        <v>2030</v>
      </c>
      <c r="W363" s="18" t="str">
        <f>W362</f>
        <v>UP</v>
      </c>
      <c r="X363" s="18"/>
      <c r="Y363" s="20">
        <f>-MIN(SUMIFS('TRA RESID'!$P:$P,'TRA RESID'!$H:$H,$E363,'TRA RESID'!$I:$I,$F363)/SUMIFS('TRA RESID'!$P:$P,'TRA RESID'!$I:$I,$F363)*AC363,1)</f>
        <v>0</v>
      </c>
      <c r="Z363" s="18"/>
      <c r="AA363" s="18"/>
      <c r="AB363" s="9"/>
      <c r="AC363" s="21">
        <v>1.5</v>
      </c>
    </row>
    <row r="364" spans="1:29" x14ac:dyDescent="0.25">
      <c r="A364" s="22">
        <f>A363</f>
        <v>90</v>
      </c>
      <c r="B364" s="22"/>
      <c r="C364" s="23" t="str">
        <f>IF(C363="*",C363,"")</f>
        <v>*</v>
      </c>
      <c r="D364" s="24"/>
      <c r="E364" s="25" t="str">
        <f t="shared" si="113"/>
        <v>TRAH2G</v>
      </c>
      <c r="F364" s="25" t="str">
        <f t="shared" si="113"/>
        <v>TRAPASTBUDMD</v>
      </c>
      <c r="G364" s="25" t="str">
        <f t="shared" si="113"/>
        <v>TRAPASTBUDMD</v>
      </c>
      <c r="H364" s="26">
        <v>2050</v>
      </c>
      <c r="I364" s="26" t="str">
        <f>I363</f>
        <v>LO</v>
      </c>
      <c r="J364" s="26"/>
      <c r="K364" s="27">
        <f>-SUMIFS('TRA RESID'!$P:$P,'TRA RESID'!$H:$H,$E364,'TRA RESID'!$I:$I,$F364)/SUMIFS('TRA RESID'!$P:$P,'TRA RESID'!$I:$I,$F364)*O364</f>
        <v>0</v>
      </c>
      <c r="L364" s="26"/>
      <c r="M364" s="26"/>
      <c r="N364" s="22"/>
      <c r="O364" s="28">
        <v>0</v>
      </c>
      <c r="Q364" s="23" t="str">
        <f t="shared" si="100"/>
        <v>*</v>
      </c>
      <c r="R364" s="24"/>
      <c r="S364" s="25" t="str">
        <f t="shared" si="102"/>
        <v>TRAH2G</v>
      </c>
      <c r="T364" s="25" t="str">
        <f t="shared" si="103"/>
        <v>TRAPASTBUDMD</v>
      </c>
      <c r="U364" s="25" t="str">
        <f t="shared" si="104"/>
        <v>TRAPASTBUDMD</v>
      </c>
      <c r="V364" s="26">
        <v>2050</v>
      </c>
      <c r="W364" s="26" t="str">
        <f>W363</f>
        <v>UP</v>
      </c>
      <c r="X364" s="26"/>
      <c r="Y364" s="27">
        <f>-MIN(SUMIFS('TRA RESID'!$P:$P,'TRA RESID'!$H:$H,$E364,'TRA RESID'!$I:$I,$F364)/SUMIFS('TRA RESID'!$P:$P,'TRA RESID'!$I:$I,$F364)*AC364,1)</f>
        <v>0</v>
      </c>
      <c r="Z364" s="26"/>
      <c r="AA364" s="26"/>
      <c r="AB364" s="22"/>
      <c r="AC364" s="28">
        <v>3</v>
      </c>
    </row>
    <row r="365" spans="1:29" x14ac:dyDescent="0.25">
      <c r="A365" s="14">
        <f>A361+1</f>
        <v>91</v>
      </c>
      <c r="B365" s="9"/>
      <c r="C365" s="15" t="str">
        <f>IF(E365="","",IF(_xlfn.XLOOKUP($A365,Selected_constraint!$A:$A,Selected_constraint!$D:$D)=1,"*",IF(SUMIFS('TRA TECH'!$M:$M,'TRA TECH'!$H:$H,E365,'TRA TECH'!$I:$I,F365)=0,"*",IF(SUMIFS('TRA RESID'!$P:$P,'TRA RESID'!$H:$H,$E365,'TRA RESID'!$I:$I,$F365)=0,"*","UC_MarketShare_"&amp;LEFT(F365,LEN(F365)-3)&amp;"_"&amp;RIGHT(E365,3)&amp;"_MIN"))))</f>
        <v>*</v>
      </c>
      <c r="D365" s="16"/>
      <c r="E365" s="17" t="str">
        <f>_xlfn.XLOOKUP($A365,Selected_constraint!$A:$A,Selected_constraint!$B:$B)</f>
        <v>TRAGSL</v>
      </c>
      <c r="F365" s="17" t="str">
        <f>_xlfn.XLOOKUP($A365,Selected_constraint!$A:$A,Selected_constraint!$C:$C)</f>
        <v>TRAPASSBUDMD</v>
      </c>
      <c r="G365" s="17" t="str">
        <f>F365</f>
        <v>TRAPASSBUDMD</v>
      </c>
      <c r="H365" s="18">
        <v>2019</v>
      </c>
      <c r="I365" s="18" t="s">
        <v>483</v>
      </c>
      <c r="J365" s="18">
        <v>1</v>
      </c>
      <c r="K365" s="20">
        <f>-SUMIFS('TRA RESID'!$P:$P,'TRA RESID'!$H:$H,$E365,'TRA RESID'!$I:$I,$F365)/SUMIFS('TRA RESID'!$P:$P,'TRA RESID'!$I:$I,$F365)*O365</f>
        <v>-0.29322436853338951</v>
      </c>
      <c r="L365" s="18">
        <v>0</v>
      </c>
      <c r="M365" s="18">
        <v>5</v>
      </c>
      <c r="N365" s="9"/>
      <c r="O365" s="21">
        <v>0.98</v>
      </c>
      <c r="Q365" s="15" t="str">
        <f t="shared" si="100"/>
        <v>*</v>
      </c>
      <c r="R365" s="16"/>
      <c r="S365" s="17" t="str">
        <f t="shared" si="102"/>
        <v>TRAGSL</v>
      </c>
      <c r="T365" s="17" t="str">
        <f t="shared" si="103"/>
        <v>TRAPASSBUDMD</v>
      </c>
      <c r="U365" s="17" t="str">
        <f t="shared" si="104"/>
        <v>TRAPASSBUDMD</v>
      </c>
      <c r="V365" s="18">
        <v>2019</v>
      </c>
      <c r="W365" s="18" t="s">
        <v>484</v>
      </c>
      <c r="X365" s="18">
        <v>1</v>
      </c>
      <c r="Y365" s="20">
        <f>-MIN(SUMIFS('TRA RESID'!$P:$P,'TRA RESID'!$H:$H,$E365,'TRA RESID'!$I:$I,$F365)/SUMIFS('TRA RESID'!$P:$P,'TRA RESID'!$I:$I,$F365)*AC365,1)</f>
        <v>-0.30519271010618088</v>
      </c>
      <c r="Z365" s="18">
        <v>0</v>
      </c>
      <c r="AA365" s="18">
        <v>5</v>
      </c>
      <c r="AB365" s="9"/>
      <c r="AC365" s="21">
        <v>1.02</v>
      </c>
    </row>
    <row r="366" spans="1:29" x14ac:dyDescent="0.25">
      <c r="A366" s="9">
        <f>A365</f>
        <v>91</v>
      </c>
      <c r="B366" s="9"/>
      <c r="C366" s="15" t="str">
        <f>IF(C365="*",C365,"")</f>
        <v>*</v>
      </c>
      <c r="D366" s="16"/>
      <c r="E366" s="17" t="str">
        <f t="shared" ref="E366:G368" si="114">E365</f>
        <v>TRAGSL</v>
      </c>
      <c r="F366" s="17" t="str">
        <f t="shared" si="114"/>
        <v>TRAPASSBUDMD</v>
      </c>
      <c r="G366" s="17" t="str">
        <f t="shared" si="114"/>
        <v>TRAPASSBUDMD</v>
      </c>
      <c r="H366" s="18">
        <v>2025</v>
      </c>
      <c r="I366" s="18" t="str">
        <f>I365</f>
        <v>LO</v>
      </c>
      <c r="J366" s="18"/>
      <c r="K366" s="20">
        <f>-SUMIFS('TRA RESID'!$P:$P,'TRA RESID'!$H:$H,$E366,'TRA RESID'!$I:$I,$F366)/SUMIFS('TRA RESID'!$P:$P,'TRA RESID'!$I:$I,$F366)*O366</f>
        <v>-0.23936683145582816</v>
      </c>
      <c r="L366" s="18"/>
      <c r="M366" s="18"/>
      <c r="N366" s="9"/>
      <c r="O366" s="21">
        <v>0.8</v>
      </c>
      <c r="Q366" s="15" t="str">
        <f t="shared" si="100"/>
        <v>*</v>
      </c>
      <c r="R366" s="16"/>
      <c r="S366" s="17" t="str">
        <f t="shared" si="102"/>
        <v>TRAGSL</v>
      </c>
      <c r="T366" s="17" t="str">
        <f t="shared" si="103"/>
        <v>TRAPASSBUDMD</v>
      </c>
      <c r="U366" s="17" t="str">
        <f t="shared" si="104"/>
        <v>TRAPASSBUDMD</v>
      </c>
      <c r="V366" s="18">
        <v>2025</v>
      </c>
      <c r="W366" s="18" t="str">
        <f>W365</f>
        <v>UP</v>
      </c>
      <c r="X366" s="18"/>
      <c r="Y366" s="20">
        <f>-MIN(SUMIFS('TRA RESID'!$P:$P,'TRA RESID'!$H:$H,$E366,'TRA RESID'!$I:$I,$F366)/SUMIFS('TRA RESID'!$P:$P,'TRA RESID'!$I:$I,$F366)*AC366,1)</f>
        <v>-0.35905024718374223</v>
      </c>
      <c r="Z366" s="18"/>
      <c r="AA366" s="18"/>
      <c r="AB366" s="9"/>
      <c r="AC366" s="21">
        <v>1.2</v>
      </c>
    </row>
    <row r="367" spans="1:29" x14ac:dyDescent="0.25">
      <c r="A367" s="9">
        <f>A366</f>
        <v>91</v>
      </c>
      <c r="B367" s="9"/>
      <c r="C367" s="15" t="str">
        <f>IF(C366="*",C366,"")</f>
        <v>*</v>
      </c>
      <c r="D367" s="16"/>
      <c r="E367" s="17" t="str">
        <f t="shared" si="114"/>
        <v>TRAGSL</v>
      </c>
      <c r="F367" s="17" t="str">
        <f t="shared" si="114"/>
        <v>TRAPASSBUDMD</v>
      </c>
      <c r="G367" s="17" t="str">
        <f t="shared" si="114"/>
        <v>TRAPASSBUDMD</v>
      </c>
      <c r="H367" s="18">
        <v>2030</v>
      </c>
      <c r="I367" s="18" t="str">
        <f>I366</f>
        <v>LO</v>
      </c>
      <c r="J367" s="18"/>
      <c r="K367" s="20">
        <f>-SUMIFS('TRA RESID'!$P:$P,'TRA RESID'!$H:$H,$E367,'TRA RESID'!$I:$I,$F367)/SUMIFS('TRA RESID'!$P:$P,'TRA RESID'!$I:$I,$F367)*O367</f>
        <v>-5.9841707863957039E-2</v>
      </c>
      <c r="L367" s="18"/>
      <c r="M367" s="18"/>
      <c r="N367" s="9"/>
      <c r="O367" s="21">
        <v>0.2</v>
      </c>
      <c r="Q367" s="15" t="str">
        <f t="shared" si="100"/>
        <v>*</v>
      </c>
      <c r="R367" s="16"/>
      <c r="S367" s="17" t="str">
        <f t="shared" si="102"/>
        <v>TRAGSL</v>
      </c>
      <c r="T367" s="17" t="str">
        <f t="shared" si="103"/>
        <v>TRAPASSBUDMD</v>
      </c>
      <c r="U367" s="17" t="str">
        <f t="shared" si="104"/>
        <v>TRAPASSBUDMD</v>
      </c>
      <c r="V367" s="18">
        <v>2030</v>
      </c>
      <c r="W367" s="18" t="str">
        <f>W366</f>
        <v>UP</v>
      </c>
      <c r="X367" s="18"/>
      <c r="Y367" s="20">
        <f>-MIN(SUMIFS('TRA RESID'!$P:$P,'TRA RESID'!$H:$H,$E367,'TRA RESID'!$I:$I,$F367)/SUMIFS('TRA RESID'!$P:$P,'TRA RESID'!$I:$I,$F367)*AC367,1)</f>
        <v>-0.44881280897967779</v>
      </c>
      <c r="Z367" s="18"/>
      <c r="AA367" s="18"/>
      <c r="AB367" s="9"/>
      <c r="AC367" s="21">
        <v>1.5</v>
      </c>
    </row>
    <row r="368" spans="1:29" x14ac:dyDescent="0.25">
      <c r="A368" s="22">
        <f>A367</f>
        <v>91</v>
      </c>
      <c r="B368" s="22"/>
      <c r="C368" s="23" t="str">
        <f>IF(C367="*",C367,"")</f>
        <v>*</v>
      </c>
      <c r="D368" s="24"/>
      <c r="E368" s="25" t="str">
        <f t="shared" si="114"/>
        <v>TRAGSL</v>
      </c>
      <c r="F368" s="25" t="str">
        <f t="shared" si="114"/>
        <v>TRAPASSBUDMD</v>
      </c>
      <c r="G368" s="25" t="str">
        <f t="shared" si="114"/>
        <v>TRAPASSBUDMD</v>
      </c>
      <c r="H368" s="26">
        <v>2050</v>
      </c>
      <c r="I368" s="26" t="str">
        <f>I367</f>
        <v>LO</v>
      </c>
      <c r="J368" s="26"/>
      <c r="K368" s="27">
        <f>-SUMIFS('TRA RESID'!$P:$P,'TRA RESID'!$H:$H,$E368,'TRA RESID'!$I:$I,$F368)/SUMIFS('TRA RESID'!$P:$P,'TRA RESID'!$I:$I,$F368)*O368</f>
        <v>0</v>
      </c>
      <c r="L368" s="26"/>
      <c r="M368" s="26"/>
      <c r="N368" s="22"/>
      <c r="O368" s="28">
        <v>0</v>
      </c>
      <c r="Q368" s="23" t="str">
        <f t="shared" si="100"/>
        <v>*</v>
      </c>
      <c r="R368" s="24"/>
      <c r="S368" s="25" t="str">
        <f t="shared" si="102"/>
        <v>TRAGSL</v>
      </c>
      <c r="T368" s="25" t="str">
        <f t="shared" si="103"/>
        <v>TRAPASSBUDMD</v>
      </c>
      <c r="U368" s="25" t="str">
        <f t="shared" si="104"/>
        <v>TRAPASSBUDMD</v>
      </c>
      <c r="V368" s="26">
        <v>2050</v>
      </c>
      <c r="W368" s="26" t="str">
        <f>W367</f>
        <v>UP</v>
      </c>
      <c r="X368" s="26"/>
      <c r="Y368" s="27">
        <f>-MIN(SUMIFS('TRA RESID'!$P:$P,'TRA RESID'!$H:$H,$E368,'TRA RESID'!$I:$I,$F368)/SUMIFS('TRA RESID'!$P:$P,'TRA RESID'!$I:$I,$F368)*AC368,1)</f>
        <v>-0.89762561795935558</v>
      </c>
      <c r="Z368" s="26"/>
      <c r="AA368" s="26"/>
      <c r="AB368" s="22"/>
      <c r="AC368" s="28">
        <v>3</v>
      </c>
    </row>
    <row r="369" spans="1:29" x14ac:dyDescent="0.25">
      <c r="A369" s="14">
        <f>A365+1</f>
        <v>92</v>
      </c>
      <c r="B369" s="9"/>
      <c r="C369" s="15" t="str">
        <f>IF(E369="","",IF(_xlfn.XLOOKUP($A369,Selected_constraint!$A:$A,Selected_constraint!$D:$D)=1,"*",IF(SUMIFS('TRA TECH'!$M:$M,'TRA TECH'!$H:$H,E369,'TRA TECH'!$I:$I,F369)=0,"*",IF(SUMIFS('TRA RESID'!$P:$P,'TRA RESID'!$H:$H,$E369,'TRA RESID'!$I:$I,$F369)=0,"*","UC_MarketShare_"&amp;LEFT(F369,LEN(F369)-3)&amp;"_"&amp;RIGHT(E369,3)&amp;"_MIN"))))</f>
        <v>*</v>
      </c>
      <c r="D369" s="16"/>
      <c r="E369" s="17" t="str">
        <f>_xlfn.XLOOKUP($A369,Selected_constraint!$A:$A,Selected_constraint!$B:$B)</f>
        <v>TRAETH</v>
      </c>
      <c r="F369" s="17" t="str">
        <f>_xlfn.XLOOKUP($A369,Selected_constraint!$A:$A,Selected_constraint!$C:$C)</f>
        <v>TRAPASSBUDMD</v>
      </c>
      <c r="G369" s="17" t="str">
        <f>F369</f>
        <v>TRAPASSBUDMD</v>
      </c>
      <c r="H369" s="18">
        <v>2019</v>
      </c>
      <c r="I369" s="18" t="s">
        <v>483</v>
      </c>
      <c r="J369" s="18">
        <v>1</v>
      </c>
      <c r="K369" s="20">
        <f>-SUMIFS('TRA RESID'!$P:$P,'TRA RESID'!$H:$H,$E369,'TRA RESID'!$I:$I,$F369)/SUMIFS('TRA RESID'!$P:$P,'TRA RESID'!$I:$I,$F369)*O369</f>
        <v>0</v>
      </c>
      <c r="L369" s="18">
        <v>0</v>
      </c>
      <c r="M369" s="18">
        <v>5</v>
      </c>
      <c r="N369" s="9"/>
      <c r="O369" s="21">
        <v>0.98</v>
      </c>
      <c r="Q369" s="15" t="str">
        <f t="shared" si="100"/>
        <v>*</v>
      </c>
      <c r="R369" s="16"/>
      <c r="S369" s="17" t="str">
        <f t="shared" si="102"/>
        <v>TRAETH</v>
      </c>
      <c r="T369" s="17" t="str">
        <f t="shared" si="103"/>
        <v>TRAPASSBUDMD</v>
      </c>
      <c r="U369" s="17" t="str">
        <f t="shared" si="104"/>
        <v>TRAPASSBUDMD</v>
      </c>
      <c r="V369" s="18">
        <v>2019</v>
      </c>
      <c r="W369" s="18" t="s">
        <v>484</v>
      </c>
      <c r="X369" s="18">
        <v>1</v>
      </c>
      <c r="Y369" s="20">
        <f>-MIN(SUMIFS('TRA RESID'!$P:$P,'TRA RESID'!$H:$H,$E369,'TRA RESID'!$I:$I,$F369)/SUMIFS('TRA RESID'!$P:$P,'TRA RESID'!$I:$I,$F369)*AC369,1)</f>
        <v>0</v>
      </c>
      <c r="Z369" s="18">
        <v>0</v>
      </c>
      <c r="AA369" s="18">
        <v>5</v>
      </c>
      <c r="AB369" s="9"/>
      <c r="AC369" s="21">
        <v>1.02</v>
      </c>
    </row>
    <row r="370" spans="1:29" x14ac:dyDescent="0.25">
      <c r="A370" s="9">
        <f>A369</f>
        <v>92</v>
      </c>
      <c r="B370" s="9"/>
      <c r="C370" s="15" t="str">
        <f>IF(C369="*",C369,"")</f>
        <v>*</v>
      </c>
      <c r="D370" s="16"/>
      <c r="E370" s="17" t="str">
        <f t="shared" ref="E370:G372" si="115">E369</f>
        <v>TRAETH</v>
      </c>
      <c r="F370" s="17" t="str">
        <f t="shared" si="115"/>
        <v>TRAPASSBUDMD</v>
      </c>
      <c r="G370" s="17" t="str">
        <f t="shared" si="115"/>
        <v>TRAPASSBUDMD</v>
      </c>
      <c r="H370" s="18">
        <v>2025</v>
      </c>
      <c r="I370" s="18" t="str">
        <f>I369</f>
        <v>LO</v>
      </c>
      <c r="J370" s="18"/>
      <c r="K370" s="20">
        <f>-SUMIFS('TRA RESID'!$P:$P,'TRA RESID'!$H:$H,$E370,'TRA RESID'!$I:$I,$F370)/SUMIFS('TRA RESID'!$P:$P,'TRA RESID'!$I:$I,$F370)*O370</f>
        <v>0</v>
      </c>
      <c r="L370" s="18"/>
      <c r="M370" s="18"/>
      <c r="N370" s="9"/>
      <c r="O370" s="21">
        <v>0.8</v>
      </c>
      <c r="Q370" s="15" t="str">
        <f t="shared" si="100"/>
        <v>*</v>
      </c>
      <c r="R370" s="16"/>
      <c r="S370" s="17" t="str">
        <f t="shared" si="102"/>
        <v>TRAETH</v>
      </c>
      <c r="T370" s="17" t="str">
        <f t="shared" si="103"/>
        <v>TRAPASSBUDMD</v>
      </c>
      <c r="U370" s="17" t="str">
        <f t="shared" si="104"/>
        <v>TRAPASSBUDMD</v>
      </c>
      <c r="V370" s="18">
        <v>2025</v>
      </c>
      <c r="W370" s="18" t="str">
        <f>W369</f>
        <v>UP</v>
      </c>
      <c r="X370" s="18"/>
      <c r="Y370" s="20">
        <f>-MIN(SUMIFS('TRA RESID'!$P:$P,'TRA RESID'!$H:$H,$E370,'TRA RESID'!$I:$I,$F370)/SUMIFS('TRA RESID'!$P:$P,'TRA RESID'!$I:$I,$F370)*AC370,1)</f>
        <v>0</v>
      </c>
      <c r="Z370" s="18"/>
      <c r="AA370" s="18"/>
      <c r="AB370" s="9"/>
      <c r="AC370" s="21">
        <v>1.2</v>
      </c>
    </row>
    <row r="371" spans="1:29" x14ac:dyDescent="0.25">
      <c r="A371" s="9">
        <f>A370</f>
        <v>92</v>
      </c>
      <c r="B371" s="9"/>
      <c r="C371" s="15" t="str">
        <f>IF(C370="*",C370,"")</f>
        <v>*</v>
      </c>
      <c r="D371" s="16"/>
      <c r="E371" s="17" t="str">
        <f t="shared" si="115"/>
        <v>TRAETH</v>
      </c>
      <c r="F371" s="17" t="str">
        <f t="shared" si="115"/>
        <v>TRAPASSBUDMD</v>
      </c>
      <c r="G371" s="17" t="str">
        <f t="shared" si="115"/>
        <v>TRAPASSBUDMD</v>
      </c>
      <c r="H371" s="18">
        <v>2030</v>
      </c>
      <c r="I371" s="18" t="str">
        <f>I370</f>
        <v>LO</v>
      </c>
      <c r="J371" s="18"/>
      <c r="K371" s="20">
        <f>-SUMIFS('TRA RESID'!$P:$P,'TRA RESID'!$H:$H,$E371,'TRA RESID'!$I:$I,$F371)/SUMIFS('TRA RESID'!$P:$P,'TRA RESID'!$I:$I,$F371)*O371</f>
        <v>0</v>
      </c>
      <c r="L371" s="18"/>
      <c r="M371" s="18"/>
      <c r="N371" s="9"/>
      <c r="O371" s="21">
        <v>0.2</v>
      </c>
      <c r="Q371" s="15" t="str">
        <f t="shared" si="100"/>
        <v>*</v>
      </c>
      <c r="R371" s="16"/>
      <c r="S371" s="17" t="str">
        <f t="shared" si="102"/>
        <v>TRAETH</v>
      </c>
      <c r="T371" s="17" t="str">
        <f t="shared" si="103"/>
        <v>TRAPASSBUDMD</v>
      </c>
      <c r="U371" s="17" t="str">
        <f t="shared" si="104"/>
        <v>TRAPASSBUDMD</v>
      </c>
      <c r="V371" s="18">
        <v>2030</v>
      </c>
      <c r="W371" s="18" t="str">
        <f>W370</f>
        <v>UP</v>
      </c>
      <c r="X371" s="18"/>
      <c r="Y371" s="20">
        <f>-MIN(SUMIFS('TRA RESID'!$P:$P,'TRA RESID'!$H:$H,$E371,'TRA RESID'!$I:$I,$F371)/SUMIFS('TRA RESID'!$P:$P,'TRA RESID'!$I:$I,$F371)*AC371,1)</f>
        <v>0</v>
      </c>
      <c r="Z371" s="18"/>
      <c r="AA371" s="18"/>
      <c r="AB371" s="9"/>
      <c r="AC371" s="21">
        <v>1.5</v>
      </c>
    </row>
    <row r="372" spans="1:29" x14ac:dyDescent="0.25">
      <c r="A372" s="22">
        <f>A371</f>
        <v>92</v>
      </c>
      <c r="B372" s="22"/>
      <c r="C372" s="23" t="str">
        <f>IF(C371="*",C371,"")</f>
        <v>*</v>
      </c>
      <c r="D372" s="24"/>
      <c r="E372" s="25" t="str">
        <f t="shared" si="115"/>
        <v>TRAETH</v>
      </c>
      <c r="F372" s="25" t="str">
        <f t="shared" si="115"/>
        <v>TRAPASSBUDMD</v>
      </c>
      <c r="G372" s="25" t="str">
        <f t="shared" si="115"/>
        <v>TRAPASSBUDMD</v>
      </c>
      <c r="H372" s="26">
        <v>2050</v>
      </c>
      <c r="I372" s="26" t="str">
        <f>I371</f>
        <v>LO</v>
      </c>
      <c r="J372" s="26"/>
      <c r="K372" s="27">
        <f>-SUMIFS('TRA RESID'!$P:$P,'TRA RESID'!$H:$H,$E372,'TRA RESID'!$I:$I,$F372)/SUMIFS('TRA RESID'!$P:$P,'TRA RESID'!$I:$I,$F372)*O372</f>
        <v>0</v>
      </c>
      <c r="L372" s="26"/>
      <c r="M372" s="26"/>
      <c r="N372" s="22"/>
      <c r="O372" s="28">
        <v>0</v>
      </c>
      <c r="Q372" s="23" t="str">
        <f t="shared" si="100"/>
        <v>*</v>
      </c>
      <c r="R372" s="24"/>
      <c r="S372" s="25" t="str">
        <f t="shared" si="102"/>
        <v>TRAETH</v>
      </c>
      <c r="T372" s="25" t="str">
        <f t="shared" si="103"/>
        <v>TRAPASSBUDMD</v>
      </c>
      <c r="U372" s="25" t="str">
        <f t="shared" si="104"/>
        <v>TRAPASSBUDMD</v>
      </c>
      <c r="V372" s="26">
        <v>2050</v>
      </c>
      <c r="W372" s="26" t="str">
        <f>W371</f>
        <v>UP</v>
      </c>
      <c r="X372" s="26"/>
      <c r="Y372" s="27">
        <f>-MIN(SUMIFS('TRA RESID'!$P:$P,'TRA RESID'!$H:$H,$E372,'TRA RESID'!$I:$I,$F372)/SUMIFS('TRA RESID'!$P:$P,'TRA RESID'!$I:$I,$F372)*AC372,1)</f>
        <v>0</v>
      </c>
      <c r="Z372" s="26"/>
      <c r="AA372" s="26"/>
      <c r="AB372" s="22"/>
      <c r="AC372" s="28">
        <v>3</v>
      </c>
    </row>
    <row r="373" spans="1:29" x14ac:dyDescent="0.25">
      <c r="A373" s="14">
        <f>A369+1</f>
        <v>93</v>
      </c>
      <c r="B373" s="9"/>
      <c r="C373" s="15" t="str">
        <f>IF(E373="","",IF(_xlfn.XLOOKUP($A373,Selected_constraint!$A:$A,Selected_constraint!$D:$D)=1,"*",IF(SUMIFS('TRA TECH'!$M:$M,'TRA TECH'!$H:$H,E373,'TRA TECH'!$I:$I,F373)=0,"*",IF(SUMIFS('TRA RESID'!$P:$P,'TRA RESID'!$H:$H,$E373,'TRA RESID'!$I:$I,$F373)=0,"*","UC_MarketShare_"&amp;LEFT(F373,LEN(F373)-3)&amp;"_"&amp;RIGHT(E373,3)&amp;"_MIN"))))</f>
        <v>UC_MarketShare_TRAPASSBU_DSL_MIN</v>
      </c>
      <c r="D373" s="16"/>
      <c r="E373" s="17" t="str">
        <f>_xlfn.XLOOKUP($A373,Selected_constraint!$A:$A,Selected_constraint!$B:$B)</f>
        <v>TRADSL</v>
      </c>
      <c r="F373" s="17" t="str">
        <f>_xlfn.XLOOKUP($A373,Selected_constraint!$A:$A,Selected_constraint!$C:$C)</f>
        <v>TRAPASSBUDMD</v>
      </c>
      <c r="G373" s="17" t="str">
        <f>F373</f>
        <v>TRAPASSBUDMD</v>
      </c>
      <c r="H373" s="18">
        <v>2019</v>
      </c>
      <c r="I373" s="18" t="s">
        <v>483</v>
      </c>
      <c r="J373" s="18">
        <v>1</v>
      </c>
      <c r="K373" s="20">
        <f>-SUMIFS('TRA RESID'!$P:$P,'TRA RESID'!$H:$H,$E373,'TRA RESID'!$I:$I,$F373)/SUMIFS('TRA RESID'!$P:$P,'TRA RESID'!$I:$I,$F373)*O373</f>
        <v>-0.68677563146661058</v>
      </c>
      <c r="L373" s="18">
        <v>0</v>
      </c>
      <c r="M373" s="18">
        <v>5</v>
      </c>
      <c r="N373" s="9"/>
      <c r="O373" s="21">
        <v>0.98</v>
      </c>
      <c r="Q373" s="15" t="str">
        <f t="shared" si="100"/>
        <v>UC_MarketShare_TRAPASSBU_DSL_MAX</v>
      </c>
      <c r="R373" s="16"/>
      <c r="S373" s="17" t="str">
        <f t="shared" si="102"/>
        <v>TRADSL</v>
      </c>
      <c r="T373" s="17" t="str">
        <f t="shared" si="103"/>
        <v>TRAPASSBUDMD</v>
      </c>
      <c r="U373" s="17" t="str">
        <f t="shared" si="104"/>
        <v>TRAPASSBUDMD</v>
      </c>
      <c r="V373" s="18">
        <v>2019</v>
      </c>
      <c r="W373" s="18" t="s">
        <v>484</v>
      </c>
      <c r="X373" s="18">
        <v>1</v>
      </c>
      <c r="Y373" s="20">
        <f>-MIN(SUMIFS('TRA RESID'!$P:$P,'TRA RESID'!$H:$H,$E373,'TRA RESID'!$I:$I,$F373)/SUMIFS('TRA RESID'!$P:$P,'TRA RESID'!$I:$I,$F373)*AC373,1)</f>
        <v>-0.71480728989381925</v>
      </c>
      <c r="Z373" s="18">
        <v>0</v>
      </c>
      <c r="AA373" s="18">
        <v>5</v>
      </c>
      <c r="AB373" s="9"/>
      <c r="AC373" s="21">
        <v>1.02</v>
      </c>
    </row>
    <row r="374" spans="1:29" x14ac:dyDescent="0.25">
      <c r="A374" s="9">
        <f>A373</f>
        <v>93</v>
      </c>
      <c r="B374" s="9"/>
      <c r="C374" s="15" t="str">
        <f>IF(C373="*",C373,"")</f>
        <v/>
      </c>
      <c r="D374" s="16"/>
      <c r="E374" s="17" t="str">
        <f t="shared" ref="E374:G376" si="116">E373</f>
        <v>TRADSL</v>
      </c>
      <c r="F374" s="17" t="str">
        <f t="shared" si="116"/>
        <v>TRAPASSBUDMD</v>
      </c>
      <c r="G374" s="17" t="str">
        <f t="shared" si="116"/>
        <v>TRAPASSBUDMD</v>
      </c>
      <c r="H374" s="18">
        <v>2025</v>
      </c>
      <c r="I374" s="18" t="str">
        <f>I373</f>
        <v>LO</v>
      </c>
      <c r="J374" s="18"/>
      <c r="K374" s="20">
        <f>-SUMIFS('TRA RESID'!$P:$P,'TRA RESID'!$H:$H,$E374,'TRA RESID'!$I:$I,$F374)/SUMIFS('TRA RESID'!$P:$P,'TRA RESID'!$I:$I,$F374)*O374</f>
        <v>-0.560633168544172</v>
      </c>
      <c r="L374" s="18"/>
      <c r="M374" s="18"/>
      <c r="N374" s="9"/>
      <c r="O374" s="21">
        <v>0.8</v>
      </c>
      <c r="Q374" s="15" t="str">
        <f t="shared" si="100"/>
        <v/>
      </c>
      <c r="R374" s="16"/>
      <c r="S374" s="17" t="str">
        <f t="shared" si="102"/>
        <v>TRADSL</v>
      </c>
      <c r="T374" s="17" t="str">
        <f t="shared" si="103"/>
        <v>TRAPASSBUDMD</v>
      </c>
      <c r="U374" s="17" t="str">
        <f t="shared" si="104"/>
        <v>TRAPASSBUDMD</v>
      </c>
      <c r="V374" s="18">
        <v>2025</v>
      </c>
      <c r="W374" s="18" t="str">
        <f>W373</f>
        <v>UP</v>
      </c>
      <c r="X374" s="18"/>
      <c r="Y374" s="20">
        <f>-MIN(SUMIFS('TRA RESID'!$P:$P,'TRA RESID'!$H:$H,$E374,'TRA RESID'!$I:$I,$F374)/SUMIFS('TRA RESID'!$P:$P,'TRA RESID'!$I:$I,$F374)*AC374,1)</f>
        <v>-0.84094975281625783</v>
      </c>
      <c r="Z374" s="18"/>
      <c r="AA374" s="18"/>
      <c r="AB374" s="9"/>
      <c r="AC374" s="21">
        <v>1.2</v>
      </c>
    </row>
    <row r="375" spans="1:29" x14ac:dyDescent="0.25">
      <c r="A375" s="9">
        <f>A374</f>
        <v>93</v>
      </c>
      <c r="B375" s="9"/>
      <c r="C375" s="15" t="str">
        <f>IF(C374="*",C374,"")</f>
        <v/>
      </c>
      <c r="D375" s="16"/>
      <c r="E375" s="17" t="str">
        <f t="shared" si="116"/>
        <v>TRADSL</v>
      </c>
      <c r="F375" s="17" t="str">
        <f t="shared" si="116"/>
        <v>TRAPASSBUDMD</v>
      </c>
      <c r="G375" s="17" t="str">
        <f t="shared" si="116"/>
        <v>TRAPASSBUDMD</v>
      </c>
      <c r="H375" s="18">
        <v>2030</v>
      </c>
      <c r="I375" s="18" t="str">
        <f>I374</f>
        <v>LO</v>
      </c>
      <c r="J375" s="18"/>
      <c r="K375" s="20">
        <f>-SUMIFS('TRA RESID'!$P:$P,'TRA RESID'!$H:$H,$E375,'TRA RESID'!$I:$I,$F375)/SUMIFS('TRA RESID'!$P:$P,'TRA RESID'!$I:$I,$F375)*O375</f>
        <v>-0.140158292136043</v>
      </c>
      <c r="L375" s="18"/>
      <c r="M375" s="18"/>
      <c r="N375" s="9"/>
      <c r="O375" s="21">
        <v>0.2</v>
      </c>
      <c r="Q375" s="15" t="str">
        <f t="shared" si="100"/>
        <v/>
      </c>
      <c r="R375" s="16"/>
      <c r="S375" s="17" t="str">
        <f t="shared" si="102"/>
        <v>TRADSL</v>
      </c>
      <c r="T375" s="17" t="str">
        <f t="shared" si="103"/>
        <v>TRAPASSBUDMD</v>
      </c>
      <c r="U375" s="17" t="str">
        <f t="shared" si="104"/>
        <v>TRAPASSBUDMD</v>
      </c>
      <c r="V375" s="18">
        <v>2030</v>
      </c>
      <c r="W375" s="18" t="str">
        <f>W374</f>
        <v>UP</v>
      </c>
      <c r="X375" s="18"/>
      <c r="Y375" s="20">
        <f>-MIN(SUMIFS('TRA RESID'!$P:$P,'TRA RESID'!$H:$H,$E375,'TRA RESID'!$I:$I,$F375)/SUMIFS('TRA RESID'!$P:$P,'TRA RESID'!$I:$I,$F375)*AC375,1)</f>
        <v>-1</v>
      </c>
      <c r="Z375" s="18"/>
      <c r="AA375" s="18"/>
      <c r="AB375" s="9"/>
      <c r="AC375" s="21">
        <v>1.5</v>
      </c>
    </row>
    <row r="376" spans="1:29" x14ac:dyDescent="0.25">
      <c r="A376" s="22">
        <f>A375</f>
        <v>93</v>
      </c>
      <c r="B376" s="22"/>
      <c r="C376" s="23" t="str">
        <f>IF(C375="*",C375,"")</f>
        <v/>
      </c>
      <c r="D376" s="24"/>
      <c r="E376" s="25" t="str">
        <f t="shared" si="116"/>
        <v>TRADSL</v>
      </c>
      <c r="F376" s="25" t="str">
        <f t="shared" si="116"/>
        <v>TRAPASSBUDMD</v>
      </c>
      <c r="G376" s="25" t="str">
        <f t="shared" si="116"/>
        <v>TRAPASSBUDMD</v>
      </c>
      <c r="H376" s="26">
        <v>2050</v>
      </c>
      <c r="I376" s="26" t="str">
        <f>I375</f>
        <v>LO</v>
      </c>
      <c r="J376" s="26"/>
      <c r="K376" s="27">
        <f>-SUMIFS('TRA RESID'!$P:$P,'TRA RESID'!$H:$H,$E376,'TRA RESID'!$I:$I,$F376)/SUMIFS('TRA RESID'!$P:$P,'TRA RESID'!$I:$I,$F376)*O376</f>
        <v>0</v>
      </c>
      <c r="L376" s="26"/>
      <c r="M376" s="26"/>
      <c r="N376" s="22"/>
      <c r="O376" s="28">
        <v>0</v>
      </c>
      <c r="Q376" s="23" t="str">
        <f t="shared" si="100"/>
        <v/>
      </c>
      <c r="R376" s="24"/>
      <c r="S376" s="25" t="str">
        <f t="shared" si="102"/>
        <v>TRADSL</v>
      </c>
      <c r="T376" s="25" t="str">
        <f t="shared" si="103"/>
        <v>TRAPASSBUDMD</v>
      </c>
      <c r="U376" s="25" t="str">
        <f t="shared" si="104"/>
        <v>TRAPASSBUDMD</v>
      </c>
      <c r="V376" s="26">
        <v>2050</v>
      </c>
      <c r="W376" s="26" t="str">
        <f>W375</f>
        <v>UP</v>
      </c>
      <c r="X376" s="26"/>
      <c r="Y376" s="27">
        <f>-MIN(SUMIFS('TRA RESID'!$P:$P,'TRA RESID'!$H:$H,$E376,'TRA RESID'!$I:$I,$F376)/SUMIFS('TRA RESID'!$P:$P,'TRA RESID'!$I:$I,$F376)*AC376,1)</f>
        <v>-1</v>
      </c>
      <c r="Z376" s="26"/>
      <c r="AA376" s="26"/>
      <c r="AB376" s="22"/>
      <c r="AC376" s="28">
        <v>3</v>
      </c>
    </row>
    <row r="377" spans="1:29" x14ac:dyDescent="0.25">
      <c r="A377" s="14">
        <f>A373+1</f>
        <v>94</v>
      </c>
      <c r="B377" s="9"/>
      <c r="C377" s="15" t="str">
        <f>IF(E377="","",IF(_xlfn.XLOOKUP($A377,Selected_constraint!$A:$A,Selected_constraint!$D:$D)=1,"*",IF(SUMIFS('TRA TECH'!$M:$M,'TRA TECH'!$H:$H,E377,'TRA TECH'!$I:$I,F377)=0,"*",IF(SUMIFS('TRA RESID'!$P:$P,'TRA RESID'!$H:$H,$E377,'TRA RESID'!$I:$I,$F377)=0,"*","UC_MarketShare_"&amp;LEFT(F377,LEN(F377)-3)&amp;"_"&amp;RIGHT(E377,3)&amp;"_MIN"))))</f>
        <v>*</v>
      </c>
      <c r="D377" s="16"/>
      <c r="E377" s="17" t="str">
        <f>_xlfn.XLOOKUP($A377,Selected_constraint!$A:$A,Selected_constraint!$B:$B)</f>
        <v>TRARDS</v>
      </c>
      <c r="F377" s="17" t="str">
        <f>_xlfn.XLOOKUP($A377,Selected_constraint!$A:$A,Selected_constraint!$C:$C)</f>
        <v>TRAPASSBUDMD</v>
      </c>
      <c r="G377" s="17" t="str">
        <f>F377</f>
        <v>TRAPASSBUDMD</v>
      </c>
      <c r="H377" s="18">
        <v>2019</v>
      </c>
      <c r="I377" s="18" t="s">
        <v>483</v>
      </c>
      <c r="J377" s="18">
        <v>1</v>
      </c>
      <c r="K377" s="20">
        <f>-SUMIFS('TRA RESID'!$P:$P,'TRA RESID'!$H:$H,$E377,'TRA RESID'!$I:$I,$F377)/SUMIFS('TRA RESID'!$P:$P,'TRA RESID'!$I:$I,$F377)*O377</f>
        <v>0</v>
      </c>
      <c r="L377" s="18">
        <v>0</v>
      </c>
      <c r="M377" s="18">
        <v>5</v>
      </c>
      <c r="N377" s="9"/>
      <c r="O377" s="21">
        <v>0.98</v>
      </c>
      <c r="Q377" s="15" t="str">
        <f t="shared" si="100"/>
        <v>*</v>
      </c>
      <c r="R377" s="16"/>
      <c r="S377" s="17" t="str">
        <f t="shared" si="102"/>
        <v>TRARDS</v>
      </c>
      <c r="T377" s="17" t="str">
        <f t="shared" si="103"/>
        <v>TRAPASSBUDMD</v>
      </c>
      <c r="U377" s="17" t="str">
        <f t="shared" si="104"/>
        <v>TRAPASSBUDMD</v>
      </c>
      <c r="V377" s="18">
        <v>2019</v>
      </c>
      <c r="W377" s="18" t="s">
        <v>484</v>
      </c>
      <c r="X377" s="18">
        <v>1</v>
      </c>
      <c r="Y377" s="20">
        <f>-MIN(SUMIFS('TRA RESID'!$P:$P,'TRA RESID'!$H:$H,$E377,'TRA RESID'!$I:$I,$F377)/SUMIFS('TRA RESID'!$P:$P,'TRA RESID'!$I:$I,$F377)*AC377,1)</f>
        <v>0</v>
      </c>
      <c r="Z377" s="18">
        <v>0</v>
      </c>
      <c r="AA377" s="18">
        <v>5</v>
      </c>
      <c r="AB377" s="9"/>
      <c r="AC377" s="21">
        <v>1.02</v>
      </c>
    </row>
    <row r="378" spans="1:29" x14ac:dyDescent="0.25">
      <c r="A378" s="9">
        <f>A377</f>
        <v>94</v>
      </c>
      <c r="B378" s="9"/>
      <c r="C378" s="15" t="str">
        <f>IF(C377="*",C377,"")</f>
        <v>*</v>
      </c>
      <c r="D378" s="16"/>
      <c r="E378" s="17" t="str">
        <f t="shared" ref="E378:G380" si="117">E377</f>
        <v>TRARDS</v>
      </c>
      <c r="F378" s="17" t="str">
        <f t="shared" si="117"/>
        <v>TRAPASSBUDMD</v>
      </c>
      <c r="G378" s="17" t="str">
        <f t="shared" si="117"/>
        <v>TRAPASSBUDMD</v>
      </c>
      <c r="H378" s="18">
        <v>2025</v>
      </c>
      <c r="I378" s="18" t="str">
        <f>I377</f>
        <v>LO</v>
      </c>
      <c r="J378" s="18"/>
      <c r="K378" s="20">
        <f>-SUMIFS('TRA RESID'!$P:$P,'TRA RESID'!$H:$H,$E378,'TRA RESID'!$I:$I,$F378)/SUMIFS('TRA RESID'!$P:$P,'TRA RESID'!$I:$I,$F378)*O378</f>
        <v>0</v>
      </c>
      <c r="L378" s="18"/>
      <c r="M378" s="18"/>
      <c r="N378" s="9"/>
      <c r="O378" s="21">
        <v>0.8</v>
      </c>
      <c r="Q378" s="15" t="str">
        <f t="shared" si="100"/>
        <v>*</v>
      </c>
      <c r="R378" s="16"/>
      <c r="S378" s="17" t="str">
        <f t="shared" si="102"/>
        <v>TRARDS</v>
      </c>
      <c r="T378" s="17" t="str">
        <f t="shared" si="103"/>
        <v>TRAPASSBUDMD</v>
      </c>
      <c r="U378" s="17" t="str">
        <f t="shared" si="104"/>
        <v>TRAPASSBUDMD</v>
      </c>
      <c r="V378" s="18">
        <v>2025</v>
      </c>
      <c r="W378" s="18" t="str">
        <f>W377</f>
        <v>UP</v>
      </c>
      <c r="X378" s="18"/>
      <c r="Y378" s="20">
        <f>-MIN(SUMIFS('TRA RESID'!$P:$P,'TRA RESID'!$H:$H,$E378,'TRA RESID'!$I:$I,$F378)/SUMIFS('TRA RESID'!$P:$P,'TRA RESID'!$I:$I,$F378)*AC378,1)</f>
        <v>0</v>
      </c>
      <c r="Z378" s="18"/>
      <c r="AA378" s="18"/>
      <c r="AB378" s="9"/>
      <c r="AC378" s="21">
        <v>1.2</v>
      </c>
    </row>
    <row r="379" spans="1:29" x14ac:dyDescent="0.25">
      <c r="A379" s="9">
        <f>A378</f>
        <v>94</v>
      </c>
      <c r="B379" s="9"/>
      <c r="C379" s="15" t="str">
        <f>IF(C378="*",C378,"")</f>
        <v>*</v>
      </c>
      <c r="D379" s="16"/>
      <c r="E379" s="17" t="str">
        <f t="shared" si="117"/>
        <v>TRARDS</v>
      </c>
      <c r="F379" s="17" t="str">
        <f t="shared" si="117"/>
        <v>TRAPASSBUDMD</v>
      </c>
      <c r="G379" s="17" t="str">
        <f t="shared" si="117"/>
        <v>TRAPASSBUDMD</v>
      </c>
      <c r="H379" s="18">
        <v>2030</v>
      </c>
      <c r="I379" s="18" t="str">
        <f>I378</f>
        <v>LO</v>
      </c>
      <c r="J379" s="18"/>
      <c r="K379" s="20">
        <f>-SUMIFS('TRA RESID'!$P:$P,'TRA RESID'!$H:$H,$E379,'TRA RESID'!$I:$I,$F379)/SUMIFS('TRA RESID'!$P:$P,'TRA RESID'!$I:$I,$F379)*O379</f>
        <v>0</v>
      </c>
      <c r="L379" s="18"/>
      <c r="M379" s="18"/>
      <c r="N379" s="9"/>
      <c r="O379" s="21">
        <v>0.2</v>
      </c>
      <c r="Q379" s="15" t="str">
        <f t="shared" si="100"/>
        <v>*</v>
      </c>
      <c r="R379" s="16"/>
      <c r="S379" s="17" t="str">
        <f t="shared" si="102"/>
        <v>TRARDS</v>
      </c>
      <c r="T379" s="17" t="str">
        <f t="shared" si="103"/>
        <v>TRAPASSBUDMD</v>
      </c>
      <c r="U379" s="17" t="str">
        <f t="shared" si="104"/>
        <v>TRAPASSBUDMD</v>
      </c>
      <c r="V379" s="18">
        <v>2030</v>
      </c>
      <c r="W379" s="18" t="str">
        <f>W378</f>
        <v>UP</v>
      </c>
      <c r="X379" s="18"/>
      <c r="Y379" s="20">
        <f>-MIN(SUMIFS('TRA RESID'!$P:$P,'TRA RESID'!$H:$H,$E379,'TRA RESID'!$I:$I,$F379)/SUMIFS('TRA RESID'!$P:$P,'TRA RESID'!$I:$I,$F379)*AC379,1)</f>
        <v>0</v>
      </c>
      <c r="Z379" s="18"/>
      <c r="AA379" s="18"/>
      <c r="AB379" s="9"/>
      <c r="AC379" s="21">
        <v>1.5</v>
      </c>
    </row>
    <row r="380" spans="1:29" x14ac:dyDescent="0.25">
      <c r="A380" s="22">
        <f>A379</f>
        <v>94</v>
      </c>
      <c r="B380" s="22"/>
      <c r="C380" s="23" t="str">
        <f>IF(C379="*",C379,"")</f>
        <v>*</v>
      </c>
      <c r="D380" s="24"/>
      <c r="E380" s="25" t="str">
        <f t="shared" si="117"/>
        <v>TRARDS</v>
      </c>
      <c r="F380" s="25" t="str">
        <f t="shared" si="117"/>
        <v>TRAPASSBUDMD</v>
      </c>
      <c r="G380" s="25" t="str">
        <f t="shared" si="117"/>
        <v>TRAPASSBUDMD</v>
      </c>
      <c r="H380" s="26">
        <v>2050</v>
      </c>
      <c r="I380" s="26" t="str">
        <f>I379</f>
        <v>LO</v>
      </c>
      <c r="J380" s="26"/>
      <c r="K380" s="27">
        <f>-SUMIFS('TRA RESID'!$P:$P,'TRA RESID'!$H:$H,$E380,'TRA RESID'!$I:$I,$F380)/SUMIFS('TRA RESID'!$P:$P,'TRA RESID'!$I:$I,$F380)*O380</f>
        <v>0</v>
      </c>
      <c r="L380" s="26"/>
      <c r="M380" s="26"/>
      <c r="N380" s="22"/>
      <c r="O380" s="28">
        <v>0</v>
      </c>
      <c r="Q380" s="23" t="str">
        <f t="shared" si="100"/>
        <v>*</v>
      </c>
      <c r="R380" s="24"/>
      <c r="S380" s="25" t="str">
        <f t="shared" si="102"/>
        <v>TRARDS</v>
      </c>
      <c r="T380" s="25" t="str">
        <f t="shared" si="103"/>
        <v>TRAPASSBUDMD</v>
      </c>
      <c r="U380" s="25" t="str">
        <f t="shared" si="104"/>
        <v>TRAPASSBUDMD</v>
      </c>
      <c r="V380" s="26">
        <v>2050</v>
      </c>
      <c r="W380" s="26" t="str">
        <f>W379</f>
        <v>UP</v>
      </c>
      <c r="X380" s="26"/>
      <c r="Y380" s="27">
        <f>-MIN(SUMIFS('TRA RESID'!$P:$P,'TRA RESID'!$H:$H,$E380,'TRA RESID'!$I:$I,$F380)/SUMIFS('TRA RESID'!$P:$P,'TRA RESID'!$I:$I,$F380)*AC380,1)</f>
        <v>0</v>
      </c>
      <c r="Z380" s="26"/>
      <c r="AA380" s="26"/>
      <c r="AB380" s="22"/>
      <c r="AC380" s="28">
        <v>3</v>
      </c>
    </row>
    <row r="381" spans="1:29" x14ac:dyDescent="0.25">
      <c r="A381" s="14">
        <f>A377+1</f>
        <v>95</v>
      </c>
      <c r="B381" s="9"/>
      <c r="C381" s="15" t="str">
        <f>IF(E381="","",IF(_xlfn.XLOOKUP($A381,Selected_constraint!$A:$A,Selected_constraint!$D:$D)=1,"*",IF(SUMIFS('TRA TECH'!$M:$M,'TRA TECH'!$H:$H,E381,'TRA TECH'!$I:$I,F381)=0,"*",IF(SUMIFS('TRA RESID'!$P:$P,'TRA RESID'!$H:$H,$E381,'TRA RESID'!$I:$I,$F381)=0,"*","UC_MarketShare_"&amp;LEFT(F381,LEN(F381)-3)&amp;"_"&amp;RIGHT(E381,3)&amp;"_MIN"))))</f>
        <v>*</v>
      </c>
      <c r="D381" s="16"/>
      <c r="E381" s="17" t="str">
        <f>_xlfn.XLOOKUP($A381,Selected_constraint!$A:$A,Selected_constraint!$B:$B)</f>
        <v>TRABDS</v>
      </c>
      <c r="F381" s="17" t="str">
        <f>_xlfn.XLOOKUP($A381,Selected_constraint!$A:$A,Selected_constraint!$C:$C)</f>
        <v>TRAPASSBUDMD</v>
      </c>
      <c r="G381" s="17" t="str">
        <f>F381</f>
        <v>TRAPASSBUDMD</v>
      </c>
      <c r="H381" s="18">
        <v>2019</v>
      </c>
      <c r="I381" s="18" t="s">
        <v>483</v>
      </c>
      <c r="J381" s="18">
        <v>1</v>
      </c>
      <c r="K381" s="20">
        <f>-SUMIFS('TRA RESID'!$P:$P,'TRA RESID'!$H:$H,$E381,'TRA RESID'!$I:$I,$F381)/SUMIFS('TRA RESID'!$P:$P,'TRA RESID'!$I:$I,$F381)*O381</f>
        <v>0</v>
      </c>
      <c r="L381" s="18">
        <v>0</v>
      </c>
      <c r="M381" s="18">
        <v>5</v>
      </c>
      <c r="N381" s="9"/>
      <c r="O381" s="21">
        <v>0.98</v>
      </c>
      <c r="Q381" s="15" t="str">
        <f t="shared" si="100"/>
        <v>*</v>
      </c>
      <c r="R381" s="16"/>
      <c r="S381" s="17" t="str">
        <f t="shared" si="102"/>
        <v>TRABDS</v>
      </c>
      <c r="T381" s="17" t="str">
        <f t="shared" si="103"/>
        <v>TRAPASSBUDMD</v>
      </c>
      <c r="U381" s="17" t="str">
        <f t="shared" si="104"/>
        <v>TRAPASSBUDMD</v>
      </c>
      <c r="V381" s="18">
        <v>2019</v>
      </c>
      <c r="W381" s="18" t="s">
        <v>484</v>
      </c>
      <c r="X381" s="18">
        <v>1</v>
      </c>
      <c r="Y381" s="20">
        <f>-MIN(SUMIFS('TRA RESID'!$P:$P,'TRA RESID'!$H:$H,$E381,'TRA RESID'!$I:$I,$F381)/SUMIFS('TRA RESID'!$P:$P,'TRA RESID'!$I:$I,$F381)*AC381,1)</f>
        <v>0</v>
      </c>
      <c r="Z381" s="18">
        <v>0</v>
      </c>
      <c r="AA381" s="18">
        <v>5</v>
      </c>
      <c r="AB381" s="9"/>
      <c r="AC381" s="21">
        <v>1.02</v>
      </c>
    </row>
    <row r="382" spans="1:29" x14ac:dyDescent="0.25">
      <c r="A382" s="9">
        <f>A381</f>
        <v>95</v>
      </c>
      <c r="B382" s="9"/>
      <c r="C382" s="15" t="str">
        <f>IF(C381="*",C381,"")</f>
        <v>*</v>
      </c>
      <c r="D382" s="16"/>
      <c r="E382" s="17" t="str">
        <f t="shared" ref="E382:G384" si="118">E381</f>
        <v>TRABDS</v>
      </c>
      <c r="F382" s="17" t="str">
        <f t="shared" si="118"/>
        <v>TRAPASSBUDMD</v>
      </c>
      <c r="G382" s="17" t="str">
        <f t="shared" si="118"/>
        <v>TRAPASSBUDMD</v>
      </c>
      <c r="H382" s="18">
        <v>2025</v>
      </c>
      <c r="I382" s="18" t="str">
        <f>I381</f>
        <v>LO</v>
      </c>
      <c r="J382" s="18"/>
      <c r="K382" s="20">
        <f>-SUMIFS('TRA RESID'!$P:$P,'TRA RESID'!$H:$H,$E382,'TRA RESID'!$I:$I,$F382)/SUMIFS('TRA RESID'!$P:$P,'TRA RESID'!$I:$I,$F382)*O382</f>
        <v>0</v>
      </c>
      <c r="L382" s="18"/>
      <c r="M382" s="18"/>
      <c r="N382" s="9"/>
      <c r="O382" s="21">
        <v>0.8</v>
      </c>
      <c r="Q382" s="15" t="str">
        <f t="shared" si="100"/>
        <v>*</v>
      </c>
      <c r="R382" s="16"/>
      <c r="S382" s="17" t="str">
        <f t="shared" si="102"/>
        <v>TRABDS</v>
      </c>
      <c r="T382" s="17" t="str">
        <f t="shared" si="103"/>
        <v>TRAPASSBUDMD</v>
      </c>
      <c r="U382" s="17" t="str">
        <f t="shared" si="104"/>
        <v>TRAPASSBUDMD</v>
      </c>
      <c r="V382" s="18">
        <v>2025</v>
      </c>
      <c r="W382" s="18" t="str">
        <f>W381</f>
        <v>UP</v>
      </c>
      <c r="X382" s="18"/>
      <c r="Y382" s="20">
        <f>-MIN(SUMIFS('TRA RESID'!$P:$P,'TRA RESID'!$H:$H,$E382,'TRA RESID'!$I:$I,$F382)/SUMIFS('TRA RESID'!$P:$P,'TRA RESID'!$I:$I,$F382)*AC382,1)</f>
        <v>0</v>
      </c>
      <c r="Z382" s="18"/>
      <c r="AA382" s="18"/>
      <c r="AB382" s="9"/>
      <c r="AC382" s="21">
        <v>1.2</v>
      </c>
    </row>
    <row r="383" spans="1:29" x14ac:dyDescent="0.25">
      <c r="A383" s="9">
        <f>A382</f>
        <v>95</v>
      </c>
      <c r="B383" s="9"/>
      <c r="C383" s="15" t="str">
        <f>IF(C382="*",C382,"")</f>
        <v>*</v>
      </c>
      <c r="D383" s="16"/>
      <c r="E383" s="17" t="str">
        <f t="shared" si="118"/>
        <v>TRABDS</v>
      </c>
      <c r="F383" s="17" t="str">
        <f t="shared" si="118"/>
        <v>TRAPASSBUDMD</v>
      </c>
      <c r="G383" s="17" t="str">
        <f t="shared" si="118"/>
        <v>TRAPASSBUDMD</v>
      </c>
      <c r="H383" s="18">
        <v>2030</v>
      </c>
      <c r="I383" s="18" t="str">
        <f>I382</f>
        <v>LO</v>
      </c>
      <c r="J383" s="18"/>
      <c r="K383" s="20">
        <f>-SUMIFS('TRA RESID'!$P:$P,'TRA RESID'!$H:$H,$E383,'TRA RESID'!$I:$I,$F383)/SUMIFS('TRA RESID'!$P:$P,'TRA RESID'!$I:$I,$F383)*O383</f>
        <v>0</v>
      </c>
      <c r="L383" s="18"/>
      <c r="M383" s="18"/>
      <c r="N383" s="9"/>
      <c r="O383" s="21">
        <v>0.2</v>
      </c>
      <c r="Q383" s="15" t="str">
        <f t="shared" si="100"/>
        <v>*</v>
      </c>
      <c r="R383" s="16"/>
      <c r="S383" s="17" t="str">
        <f t="shared" si="102"/>
        <v>TRABDS</v>
      </c>
      <c r="T383" s="17" t="str">
        <f t="shared" si="103"/>
        <v>TRAPASSBUDMD</v>
      </c>
      <c r="U383" s="17" t="str">
        <f t="shared" si="104"/>
        <v>TRAPASSBUDMD</v>
      </c>
      <c r="V383" s="18">
        <v>2030</v>
      </c>
      <c r="W383" s="18" t="str">
        <f>W382</f>
        <v>UP</v>
      </c>
      <c r="X383" s="18"/>
      <c r="Y383" s="20">
        <f>-MIN(SUMIFS('TRA RESID'!$P:$P,'TRA RESID'!$H:$H,$E383,'TRA RESID'!$I:$I,$F383)/SUMIFS('TRA RESID'!$P:$P,'TRA RESID'!$I:$I,$F383)*AC383,1)</f>
        <v>0</v>
      </c>
      <c r="Z383" s="18"/>
      <c r="AA383" s="18"/>
      <c r="AB383" s="9"/>
      <c r="AC383" s="21">
        <v>1.5</v>
      </c>
    </row>
    <row r="384" spans="1:29" x14ac:dyDescent="0.25">
      <c r="A384" s="22">
        <f>A383</f>
        <v>95</v>
      </c>
      <c r="B384" s="22"/>
      <c r="C384" s="23" t="str">
        <f>IF(C383="*",C383,"")</f>
        <v>*</v>
      </c>
      <c r="D384" s="24"/>
      <c r="E384" s="25" t="str">
        <f t="shared" si="118"/>
        <v>TRABDS</v>
      </c>
      <c r="F384" s="25" t="str">
        <f t="shared" si="118"/>
        <v>TRAPASSBUDMD</v>
      </c>
      <c r="G384" s="25" t="str">
        <f t="shared" si="118"/>
        <v>TRAPASSBUDMD</v>
      </c>
      <c r="H384" s="26">
        <v>2050</v>
      </c>
      <c r="I384" s="26" t="str">
        <f>I383</f>
        <v>LO</v>
      </c>
      <c r="J384" s="26"/>
      <c r="K384" s="27">
        <f>-SUMIFS('TRA RESID'!$P:$P,'TRA RESID'!$H:$H,$E384,'TRA RESID'!$I:$I,$F384)/SUMIFS('TRA RESID'!$P:$P,'TRA RESID'!$I:$I,$F384)*O384</f>
        <v>0</v>
      </c>
      <c r="L384" s="26"/>
      <c r="M384" s="26"/>
      <c r="N384" s="22"/>
      <c r="O384" s="28">
        <v>0</v>
      </c>
      <c r="Q384" s="23" t="str">
        <f t="shared" si="100"/>
        <v>*</v>
      </c>
      <c r="R384" s="24"/>
      <c r="S384" s="25" t="str">
        <f t="shared" si="102"/>
        <v>TRABDS</v>
      </c>
      <c r="T384" s="25" t="str">
        <f t="shared" si="103"/>
        <v>TRAPASSBUDMD</v>
      </c>
      <c r="U384" s="25" t="str">
        <f t="shared" si="104"/>
        <v>TRAPASSBUDMD</v>
      </c>
      <c r="V384" s="26">
        <v>2050</v>
      </c>
      <c r="W384" s="26" t="str">
        <f>W383</f>
        <v>UP</v>
      </c>
      <c r="X384" s="26"/>
      <c r="Y384" s="27">
        <f>-MIN(SUMIFS('TRA RESID'!$P:$P,'TRA RESID'!$H:$H,$E384,'TRA RESID'!$I:$I,$F384)/SUMIFS('TRA RESID'!$P:$P,'TRA RESID'!$I:$I,$F384)*AC384,1)</f>
        <v>0</v>
      </c>
      <c r="Z384" s="26"/>
      <c r="AA384" s="26"/>
      <c r="AB384" s="22"/>
      <c r="AC384" s="28">
        <v>3</v>
      </c>
    </row>
    <row r="385" spans="1:29" x14ac:dyDescent="0.25">
      <c r="A385" s="14">
        <f>A381+1</f>
        <v>96</v>
      </c>
      <c r="B385" s="9"/>
      <c r="C385" s="15" t="str">
        <f>IF(E385="","",IF(_xlfn.XLOOKUP($A385,Selected_constraint!$A:$A,Selected_constraint!$D:$D)=1,"*",IF(SUMIFS('TRA TECH'!$M:$M,'TRA TECH'!$H:$H,E385,'TRA TECH'!$I:$I,F385)=0,"*",IF(SUMIFS('TRA RESID'!$P:$P,'TRA RESID'!$H:$H,$E385,'TRA RESID'!$I:$I,$F385)=0,"*","UC_MarketShare_"&amp;LEFT(F385,LEN(F385)-3)&amp;"_"&amp;RIGHT(E385,3)&amp;"_MIN"))))</f>
        <v>*</v>
      </c>
      <c r="D385" s="16"/>
      <c r="E385" s="17" t="str">
        <f>_xlfn.XLOOKUP($A385,Selected_constraint!$A:$A,Selected_constraint!$B:$B)</f>
        <v>TRACNG</v>
      </c>
      <c r="F385" s="17" t="str">
        <f>_xlfn.XLOOKUP($A385,Selected_constraint!$A:$A,Selected_constraint!$C:$C)</f>
        <v>TRAPASSBUDMD</v>
      </c>
      <c r="G385" s="17" t="str">
        <f>F385</f>
        <v>TRAPASSBUDMD</v>
      </c>
      <c r="H385" s="18">
        <v>2019</v>
      </c>
      <c r="I385" s="18" t="s">
        <v>483</v>
      </c>
      <c r="J385" s="18">
        <v>1</v>
      </c>
      <c r="K385" s="20">
        <f>-SUMIFS('TRA RESID'!$P:$P,'TRA RESID'!$H:$H,$E385,'TRA RESID'!$I:$I,$F385)/SUMIFS('TRA RESID'!$P:$P,'TRA RESID'!$I:$I,$F385)*O385</f>
        <v>0</v>
      </c>
      <c r="L385" s="18">
        <v>0</v>
      </c>
      <c r="M385" s="18">
        <v>5</v>
      </c>
      <c r="N385" s="9"/>
      <c r="O385" s="21">
        <v>0.98</v>
      </c>
      <c r="Q385" s="15" t="str">
        <f t="shared" si="100"/>
        <v>*</v>
      </c>
      <c r="R385" s="16"/>
      <c r="S385" s="17" t="str">
        <f t="shared" si="102"/>
        <v>TRACNG</v>
      </c>
      <c r="T385" s="17" t="str">
        <f t="shared" si="103"/>
        <v>TRAPASSBUDMD</v>
      </c>
      <c r="U385" s="17" t="str">
        <f t="shared" si="104"/>
        <v>TRAPASSBUDMD</v>
      </c>
      <c r="V385" s="18">
        <v>2019</v>
      </c>
      <c r="W385" s="18" t="s">
        <v>484</v>
      </c>
      <c r="X385" s="18">
        <v>1</v>
      </c>
      <c r="Y385" s="20">
        <f>-MIN(SUMIFS('TRA RESID'!$P:$P,'TRA RESID'!$H:$H,$E385,'TRA RESID'!$I:$I,$F385)/SUMIFS('TRA RESID'!$P:$P,'TRA RESID'!$I:$I,$F385)*AC385,1)</f>
        <v>0</v>
      </c>
      <c r="Z385" s="18">
        <v>0</v>
      </c>
      <c r="AA385" s="18">
        <v>5</v>
      </c>
      <c r="AB385" s="9"/>
      <c r="AC385" s="21">
        <v>1.02</v>
      </c>
    </row>
    <row r="386" spans="1:29" x14ac:dyDescent="0.25">
      <c r="A386" s="9">
        <f>A385</f>
        <v>96</v>
      </c>
      <c r="B386" s="9"/>
      <c r="C386" s="15" t="str">
        <f>IF(C385="*",C385,"")</f>
        <v>*</v>
      </c>
      <c r="D386" s="16"/>
      <c r="E386" s="17" t="str">
        <f t="shared" ref="E386:G388" si="119">E385</f>
        <v>TRACNG</v>
      </c>
      <c r="F386" s="17" t="str">
        <f t="shared" si="119"/>
        <v>TRAPASSBUDMD</v>
      </c>
      <c r="G386" s="17" t="str">
        <f t="shared" si="119"/>
        <v>TRAPASSBUDMD</v>
      </c>
      <c r="H386" s="18">
        <v>2025</v>
      </c>
      <c r="I386" s="18" t="str">
        <f>I385</f>
        <v>LO</v>
      </c>
      <c r="J386" s="18"/>
      <c r="K386" s="20">
        <f>-SUMIFS('TRA RESID'!$P:$P,'TRA RESID'!$H:$H,$E386,'TRA RESID'!$I:$I,$F386)/SUMIFS('TRA RESID'!$P:$P,'TRA RESID'!$I:$I,$F386)*O386</f>
        <v>0</v>
      </c>
      <c r="L386" s="18"/>
      <c r="M386" s="18"/>
      <c r="N386" s="9"/>
      <c r="O386" s="21">
        <v>0.8</v>
      </c>
      <c r="Q386" s="15" t="str">
        <f t="shared" si="100"/>
        <v>*</v>
      </c>
      <c r="R386" s="16"/>
      <c r="S386" s="17" t="str">
        <f t="shared" si="102"/>
        <v>TRACNG</v>
      </c>
      <c r="T386" s="17" t="str">
        <f t="shared" si="103"/>
        <v>TRAPASSBUDMD</v>
      </c>
      <c r="U386" s="17" t="str">
        <f t="shared" si="104"/>
        <v>TRAPASSBUDMD</v>
      </c>
      <c r="V386" s="18">
        <v>2025</v>
      </c>
      <c r="W386" s="18" t="str">
        <f>W385</f>
        <v>UP</v>
      </c>
      <c r="X386" s="18"/>
      <c r="Y386" s="20">
        <f>-MIN(SUMIFS('TRA RESID'!$P:$P,'TRA RESID'!$H:$H,$E386,'TRA RESID'!$I:$I,$F386)/SUMIFS('TRA RESID'!$P:$P,'TRA RESID'!$I:$I,$F386)*AC386,1)</f>
        <v>0</v>
      </c>
      <c r="Z386" s="18"/>
      <c r="AA386" s="18"/>
      <c r="AB386" s="9"/>
      <c r="AC386" s="21">
        <v>1.2</v>
      </c>
    </row>
    <row r="387" spans="1:29" x14ac:dyDescent="0.25">
      <c r="A387" s="9">
        <f>A386</f>
        <v>96</v>
      </c>
      <c r="B387" s="9"/>
      <c r="C387" s="15" t="str">
        <f>IF(C386="*",C386,"")</f>
        <v>*</v>
      </c>
      <c r="D387" s="16"/>
      <c r="E387" s="17" t="str">
        <f t="shared" si="119"/>
        <v>TRACNG</v>
      </c>
      <c r="F387" s="17" t="str">
        <f t="shared" si="119"/>
        <v>TRAPASSBUDMD</v>
      </c>
      <c r="G387" s="17" t="str">
        <f t="shared" si="119"/>
        <v>TRAPASSBUDMD</v>
      </c>
      <c r="H387" s="18">
        <v>2030</v>
      </c>
      <c r="I387" s="18" t="str">
        <f>I386</f>
        <v>LO</v>
      </c>
      <c r="J387" s="18"/>
      <c r="K387" s="20">
        <f>-SUMIFS('TRA RESID'!$P:$P,'TRA RESID'!$H:$H,$E387,'TRA RESID'!$I:$I,$F387)/SUMIFS('TRA RESID'!$P:$P,'TRA RESID'!$I:$I,$F387)*O387</f>
        <v>0</v>
      </c>
      <c r="L387" s="18"/>
      <c r="M387" s="18"/>
      <c r="N387" s="9"/>
      <c r="O387" s="21">
        <v>0.2</v>
      </c>
      <c r="Q387" s="15" t="str">
        <f t="shared" si="100"/>
        <v>*</v>
      </c>
      <c r="R387" s="16"/>
      <c r="S387" s="17" t="str">
        <f t="shared" si="102"/>
        <v>TRACNG</v>
      </c>
      <c r="T387" s="17" t="str">
        <f t="shared" si="103"/>
        <v>TRAPASSBUDMD</v>
      </c>
      <c r="U387" s="17" t="str">
        <f t="shared" si="104"/>
        <v>TRAPASSBUDMD</v>
      </c>
      <c r="V387" s="18">
        <v>2030</v>
      </c>
      <c r="W387" s="18" t="str">
        <f>W386</f>
        <v>UP</v>
      </c>
      <c r="X387" s="18"/>
      <c r="Y387" s="20">
        <f>-MIN(SUMIFS('TRA RESID'!$P:$P,'TRA RESID'!$H:$H,$E387,'TRA RESID'!$I:$I,$F387)/SUMIFS('TRA RESID'!$P:$P,'TRA RESID'!$I:$I,$F387)*AC387,1)</f>
        <v>0</v>
      </c>
      <c r="Z387" s="18"/>
      <c r="AA387" s="18"/>
      <c r="AB387" s="9"/>
      <c r="AC387" s="21">
        <v>1.5</v>
      </c>
    </row>
    <row r="388" spans="1:29" x14ac:dyDescent="0.25">
      <c r="A388" s="22">
        <f>A387</f>
        <v>96</v>
      </c>
      <c r="B388" s="22"/>
      <c r="C388" s="23" t="str">
        <f>IF(C387="*",C387,"")</f>
        <v>*</v>
      </c>
      <c r="D388" s="24"/>
      <c r="E388" s="25" t="str">
        <f t="shared" si="119"/>
        <v>TRACNG</v>
      </c>
      <c r="F388" s="25" t="str">
        <f t="shared" si="119"/>
        <v>TRAPASSBUDMD</v>
      </c>
      <c r="G388" s="25" t="str">
        <f t="shared" si="119"/>
        <v>TRAPASSBUDMD</v>
      </c>
      <c r="H388" s="26">
        <v>2050</v>
      </c>
      <c r="I388" s="26" t="str">
        <f>I387</f>
        <v>LO</v>
      </c>
      <c r="J388" s="26"/>
      <c r="K388" s="27">
        <f>-SUMIFS('TRA RESID'!$P:$P,'TRA RESID'!$H:$H,$E388,'TRA RESID'!$I:$I,$F388)/SUMIFS('TRA RESID'!$P:$P,'TRA RESID'!$I:$I,$F388)*O388</f>
        <v>0</v>
      </c>
      <c r="L388" s="26"/>
      <c r="M388" s="26"/>
      <c r="N388" s="22"/>
      <c r="O388" s="28">
        <v>0</v>
      </c>
      <c r="Q388" s="23" t="str">
        <f t="shared" si="100"/>
        <v>*</v>
      </c>
      <c r="R388" s="24"/>
      <c r="S388" s="25" t="str">
        <f t="shared" si="102"/>
        <v>TRACNG</v>
      </c>
      <c r="T388" s="25" t="str">
        <f t="shared" si="103"/>
        <v>TRAPASSBUDMD</v>
      </c>
      <c r="U388" s="25" t="str">
        <f t="shared" si="104"/>
        <v>TRAPASSBUDMD</v>
      </c>
      <c r="V388" s="26">
        <v>2050</v>
      </c>
      <c r="W388" s="26" t="str">
        <f>W387</f>
        <v>UP</v>
      </c>
      <c r="X388" s="26"/>
      <c r="Y388" s="27">
        <f>-MIN(SUMIFS('TRA RESID'!$P:$P,'TRA RESID'!$H:$H,$E388,'TRA RESID'!$I:$I,$F388)/SUMIFS('TRA RESID'!$P:$P,'TRA RESID'!$I:$I,$F388)*AC388,1)</f>
        <v>0</v>
      </c>
      <c r="Z388" s="26"/>
      <c r="AA388" s="26"/>
      <c r="AB388" s="22"/>
      <c r="AC388" s="28">
        <v>3</v>
      </c>
    </row>
    <row r="389" spans="1:29" x14ac:dyDescent="0.25">
      <c r="A389" s="14">
        <f>A385+1</f>
        <v>97</v>
      </c>
      <c r="B389" s="9"/>
      <c r="C389" s="15" t="str">
        <f>IF(E389="","",IF(_xlfn.XLOOKUP($A389,Selected_constraint!$A:$A,Selected_constraint!$D:$D)=1,"*",IF(SUMIFS('TRA TECH'!$M:$M,'TRA TECH'!$H:$H,E389,'TRA TECH'!$I:$I,F389)=0,"*",IF(SUMIFS('TRA RESID'!$P:$P,'TRA RESID'!$H:$H,$E389,'TRA RESID'!$I:$I,$F389)=0,"*","UC_MarketShare_"&amp;LEFT(F389,LEN(F389)-3)&amp;"_"&amp;RIGHT(E389,3)&amp;"_MIN"))))</f>
        <v>*</v>
      </c>
      <c r="D389" s="16"/>
      <c r="E389" s="17" t="str">
        <f>_xlfn.XLOOKUP($A389,Selected_constraint!$A:$A,Selected_constraint!$B:$B)</f>
        <v>TRARNG</v>
      </c>
      <c r="F389" s="17" t="str">
        <f>_xlfn.XLOOKUP($A389,Selected_constraint!$A:$A,Selected_constraint!$C:$C)</f>
        <v>TRAPASSBUDMD</v>
      </c>
      <c r="G389" s="17" t="str">
        <f>F389</f>
        <v>TRAPASSBUDMD</v>
      </c>
      <c r="H389" s="18">
        <v>2019</v>
      </c>
      <c r="I389" s="18" t="s">
        <v>483</v>
      </c>
      <c r="J389" s="18">
        <v>1</v>
      </c>
      <c r="K389" s="20">
        <f>-SUMIFS('TRA RESID'!$P:$P,'TRA RESID'!$H:$H,$E389,'TRA RESID'!$I:$I,$F389)/SUMIFS('TRA RESID'!$P:$P,'TRA RESID'!$I:$I,$F389)*O389</f>
        <v>0</v>
      </c>
      <c r="L389" s="18">
        <v>0</v>
      </c>
      <c r="M389" s="18">
        <v>5</v>
      </c>
      <c r="N389" s="9"/>
      <c r="O389" s="21">
        <v>0.98</v>
      </c>
      <c r="Q389" s="15" t="str">
        <f t="shared" ref="Q389:Q452" si="120">SUBSTITUTE(C389,"MIN","MAX")</f>
        <v>*</v>
      </c>
      <c r="R389" s="16"/>
      <c r="S389" s="17" t="str">
        <f t="shared" si="102"/>
        <v>TRARNG</v>
      </c>
      <c r="T389" s="17" t="str">
        <f t="shared" si="103"/>
        <v>TRAPASSBUDMD</v>
      </c>
      <c r="U389" s="17" t="str">
        <f t="shared" si="104"/>
        <v>TRAPASSBUDMD</v>
      </c>
      <c r="V389" s="18">
        <v>2019</v>
      </c>
      <c r="W389" s="18" t="s">
        <v>484</v>
      </c>
      <c r="X389" s="18">
        <v>1</v>
      </c>
      <c r="Y389" s="20">
        <f>-MIN(SUMIFS('TRA RESID'!$P:$P,'TRA RESID'!$H:$H,$E389,'TRA RESID'!$I:$I,$F389)/SUMIFS('TRA RESID'!$P:$P,'TRA RESID'!$I:$I,$F389)*AC389,1)</f>
        <v>0</v>
      </c>
      <c r="Z389" s="18">
        <v>0</v>
      </c>
      <c r="AA389" s="18">
        <v>5</v>
      </c>
      <c r="AB389" s="9"/>
      <c r="AC389" s="21">
        <v>1.02</v>
      </c>
    </row>
    <row r="390" spans="1:29" x14ac:dyDescent="0.25">
      <c r="A390" s="9">
        <f>A389</f>
        <v>97</v>
      </c>
      <c r="B390" s="9"/>
      <c r="C390" s="15" t="str">
        <f>IF(C389="*",C389,"")</f>
        <v>*</v>
      </c>
      <c r="D390" s="16"/>
      <c r="E390" s="17" t="str">
        <f t="shared" ref="E390:G392" si="121">E389</f>
        <v>TRARNG</v>
      </c>
      <c r="F390" s="17" t="str">
        <f t="shared" si="121"/>
        <v>TRAPASSBUDMD</v>
      </c>
      <c r="G390" s="17" t="str">
        <f t="shared" si="121"/>
        <v>TRAPASSBUDMD</v>
      </c>
      <c r="H390" s="18">
        <v>2025</v>
      </c>
      <c r="I390" s="18" t="str">
        <f>I389</f>
        <v>LO</v>
      </c>
      <c r="J390" s="18"/>
      <c r="K390" s="20">
        <f>-SUMIFS('TRA RESID'!$P:$P,'TRA RESID'!$H:$H,$E390,'TRA RESID'!$I:$I,$F390)/SUMIFS('TRA RESID'!$P:$P,'TRA RESID'!$I:$I,$F390)*O390</f>
        <v>0</v>
      </c>
      <c r="L390" s="18"/>
      <c r="M390" s="18"/>
      <c r="N390" s="9"/>
      <c r="O390" s="21">
        <v>0.8</v>
      </c>
      <c r="Q390" s="15" t="str">
        <f t="shared" si="120"/>
        <v>*</v>
      </c>
      <c r="R390" s="16"/>
      <c r="S390" s="17" t="str">
        <f t="shared" ref="S390:S453" si="122">E390</f>
        <v>TRARNG</v>
      </c>
      <c r="T390" s="17" t="str">
        <f t="shared" ref="T390:T453" si="123">F390</f>
        <v>TRAPASSBUDMD</v>
      </c>
      <c r="U390" s="17" t="str">
        <f t="shared" ref="U390:U453" si="124">G390</f>
        <v>TRAPASSBUDMD</v>
      </c>
      <c r="V390" s="18">
        <v>2025</v>
      </c>
      <c r="W390" s="18" t="str">
        <f>W389</f>
        <v>UP</v>
      </c>
      <c r="X390" s="18"/>
      <c r="Y390" s="20">
        <f>-MIN(SUMIFS('TRA RESID'!$P:$P,'TRA RESID'!$H:$H,$E390,'TRA RESID'!$I:$I,$F390)/SUMIFS('TRA RESID'!$P:$P,'TRA RESID'!$I:$I,$F390)*AC390,1)</f>
        <v>0</v>
      </c>
      <c r="Z390" s="18"/>
      <c r="AA390" s="18"/>
      <c r="AB390" s="9"/>
      <c r="AC390" s="21">
        <v>1.2</v>
      </c>
    </row>
    <row r="391" spans="1:29" x14ac:dyDescent="0.25">
      <c r="A391" s="9">
        <f>A390</f>
        <v>97</v>
      </c>
      <c r="B391" s="9"/>
      <c r="C391" s="15" t="str">
        <f>IF(C390="*",C390,"")</f>
        <v>*</v>
      </c>
      <c r="D391" s="16"/>
      <c r="E391" s="17" t="str">
        <f t="shared" si="121"/>
        <v>TRARNG</v>
      </c>
      <c r="F391" s="17" t="str">
        <f t="shared" si="121"/>
        <v>TRAPASSBUDMD</v>
      </c>
      <c r="G391" s="17" t="str">
        <f t="shared" si="121"/>
        <v>TRAPASSBUDMD</v>
      </c>
      <c r="H391" s="18">
        <v>2030</v>
      </c>
      <c r="I391" s="18" t="str">
        <f>I390</f>
        <v>LO</v>
      </c>
      <c r="J391" s="18"/>
      <c r="K391" s="20">
        <f>-SUMIFS('TRA RESID'!$P:$P,'TRA RESID'!$H:$H,$E391,'TRA RESID'!$I:$I,$F391)/SUMIFS('TRA RESID'!$P:$P,'TRA RESID'!$I:$I,$F391)*O391</f>
        <v>0</v>
      </c>
      <c r="L391" s="18"/>
      <c r="M391" s="18"/>
      <c r="N391" s="9"/>
      <c r="O391" s="21">
        <v>0.2</v>
      </c>
      <c r="Q391" s="15" t="str">
        <f t="shared" si="120"/>
        <v>*</v>
      </c>
      <c r="R391" s="16"/>
      <c r="S391" s="17" t="str">
        <f t="shared" si="122"/>
        <v>TRARNG</v>
      </c>
      <c r="T391" s="17" t="str">
        <f t="shared" si="123"/>
        <v>TRAPASSBUDMD</v>
      </c>
      <c r="U391" s="17" t="str">
        <f t="shared" si="124"/>
        <v>TRAPASSBUDMD</v>
      </c>
      <c r="V391" s="18">
        <v>2030</v>
      </c>
      <c r="W391" s="18" t="str">
        <f>W390</f>
        <v>UP</v>
      </c>
      <c r="X391" s="18"/>
      <c r="Y391" s="20">
        <f>-MIN(SUMIFS('TRA RESID'!$P:$P,'TRA RESID'!$H:$H,$E391,'TRA RESID'!$I:$I,$F391)/SUMIFS('TRA RESID'!$P:$P,'TRA RESID'!$I:$I,$F391)*AC391,1)</f>
        <v>0</v>
      </c>
      <c r="Z391" s="18"/>
      <c r="AA391" s="18"/>
      <c r="AB391" s="9"/>
      <c r="AC391" s="21">
        <v>1.5</v>
      </c>
    </row>
    <row r="392" spans="1:29" x14ac:dyDescent="0.25">
      <c r="A392" s="22">
        <f>A391</f>
        <v>97</v>
      </c>
      <c r="B392" s="22"/>
      <c r="C392" s="23" t="str">
        <f>IF(C391="*",C391,"")</f>
        <v>*</v>
      </c>
      <c r="D392" s="24"/>
      <c r="E392" s="25" t="str">
        <f t="shared" si="121"/>
        <v>TRARNG</v>
      </c>
      <c r="F392" s="25" t="str">
        <f t="shared" si="121"/>
        <v>TRAPASSBUDMD</v>
      </c>
      <c r="G392" s="25" t="str">
        <f t="shared" si="121"/>
        <v>TRAPASSBUDMD</v>
      </c>
      <c r="H392" s="26">
        <v>2050</v>
      </c>
      <c r="I392" s="26" t="str">
        <f>I391</f>
        <v>LO</v>
      </c>
      <c r="J392" s="26"/>
      <c r="K392" s="27">
        <f>-SUMIFS('TRA RESID'!$P:$P,'TRA RESID'!$H:$H,$E392,'TRA RESID'!$I:$I,$F392)/SUMIFS('TRA RESID'!$P:$P,'TRA RESID'!$I:$I,$F392)*O392</f>
        <v>0</v>
      </c>
      <c r="L392" s="26"/>
      <c r="M392" s="26"/>
      <c r="N392" s="22"/>
      <c r="O392" s="28">
        <v>0</v>
      </c>
      <c r="Q392" s="23" t="str">
        <f t="shared" si="120"/>
        <v>*</v>
      </c>
      <c r="R392" s="24"/>
      <c r="S392" s="25" t="str">
        <f t="shared" si="122"/>
        <v>TRARNG</v>
      </c>
      <c r="T392" s="25" t="str">
        <f t="shared" si="123"/>
        <v>TRAPASSBUDMD</v>
      </c>
      <c r="U392" s="25" t="str">
        <f t="shared" si="124"/>
        <v>TRAPASSBUDMD</v>
      </c>
      <c r="V392" s="26">
        <v>2050</v>
      </c>
      <c r="W392" s="26" t="str">
        <f>W391</f>
        <v>UP</v>
      </c>
      <c r="X392" s="26"/>
      <c r="Y392" s="27">
        <f>-MIN(SUMIFS('TRA RESID'!$P:$P,'TRA RESID'!$H:$H,$E392,'TRA RESID'!$I:$I,$F392)/SUMIFS('TRA RESID'!$P:$P,'TRA RESID'!$I:$I,$F392)*AC392,1)</f>
        <v>0</v>
      </c>
      <c r="Z392" s="26"/>
      <c r="AA392" s="26"/>
      <c r="AB392" s="22"/>
      <c r="AC392" s="28">
        <v>3</v>
      </c>
    </row>
    <row r="393" spans="1:29" x14ac:dyDescent="0.25">
      <c r="A393" s="14">
        <f>A389+1</f>
        <v>98</v>
      </c>
      <c r="B393" s="9"/>
      <c r="C393" s="15" t="str">
        <f>IF(E393="","",IF(_xlfn.XLOOKUP($A393,Selected_constraint!$A:$A,Selected_constraint!$D:$D)=1,"*",IF(SUMIFS('TRA TECH'!$M:$M,'TRA TECH'!$H:$H,E393,'TRA TECH'!$I:$I,F393)=0,"*",IF(SUMIFS('TRA RESID'!$P:$P,'TRA RESID'!$H:$H,$E393,'TRA RESID'!$I:$I,$F393)=0,"*","UC_MarketShare_"&amp;LEFT(F393,LEN(F393)-3)&amp;"_"&amp;RIGHT(E393,3)&amp;"_MIN"))))</f>
        <v>*</v>
      </c>
      <c r="D393" s="16"/>
      <c r="E393" s="17" t="str">
        <f>_xlfn.XLOOKUP($A393,Selected_constraint!$A:$A,Selected_constraint!$B:$B)</f>
        <v>TRABAF</v>
      </c>
      <c r="F393" s="17" t="str">
        <f>_xlfn.XLOOKUP($A393,Selected_constraint!$A:$A,Selected_constraint!$C:$C)</f>
        <v>TRAPASSBUDMD</v>
      </c>
      <c r="G393" s="17" t="str">
        <f>F393</f>
        <v>TRAPASSBUDMD</v>
      </c>
      <c r="H393" s="18">
        <v>2019</v>
      </c>
      <c r="I393" s="18" t="s">
        <v>483</v>
      </c>
      <c r="J393" s="18">
        <v>1</v>
      </c>
      <c r="K393" s="20">
        <f>-SUMIFS('TRA RESID'!$P:$P,'TRA RESID'!$H:$H,$E393,'TRA RESID'!$I:$I,$F393)/SUMIFS('TRA RESID'!$P:$P,'TRA RESID'!$I:$I,$F393)*O393</f>
        <v>0</v>
      </c>
      <c r="L393" s="18">
        <v>0</v>
      </c>
      <c r="M393" s="18">
        <v>5</v>
      </c>
      <c r="N393" s="9"/>
      <c r="O393" s="21">
        <v>0.98</v>
      </c>
      <c r="Q393" s="15" t="str">
        <f t="shared" si="120"/>
        <v>*</v>
      </c>
      <c r="R393" s="16"/>
      <c r="S393" s="17" t="str">
        <f t="shared" si="122"/>
        <v>TRABAF</v>
      </c>
      <c r="T393" s="17" t="str">
        <f t="shared" si="123"/>
        <v>TRAPASSBUDMD</v>
      </c>
      <c r="U393" s="17" t="str">
        <f t="shared" si="124"/>
        <v>TRAPASSBUDMD</v>
      </c>
      <c r="V393" s="18">
        <v>2019</v>
      </c>
      <c r="W393" s="18" t="s">
        <v>484</v>
      </c>
      <c r="X393" s="18">
        <v>1</v>
      </c>
      <c r="Y393" s="20">
        <f>-MIN(SUMIFS('TRA RESID'!$P:$P,'TRA RESID'!$H:$H,$E393,'TRA RESID'!$I:$I,$F393)/SUMIFS('TRA RESID'!$P:$P,'TRA RESID'!$I:$I,$F393)*AC393,1)</f>
        <v>0</v>
      </c>
      <c r="Z393" s="18">
        <v>0</v>
      </c>
      <c r="AA393" s="18">
        <v>5</v>
      </c>
      <c r="AB393" s="9"/>
      <c r="AC393" s="21">
        <v>1.02</v>
      </c>
    </row>
    <row r="394" spans="1:29" x14ac:dyDescent="0.25">
      <c r="A394" s="9">
        <f>A393</f>
        <v>98</v>
      </c>
      <c r="B394" s="9"/>
      <c r="C394" s="15" t="str">
        <f>IF(C393="*",C393,"")</f>
        <v>*</v>
      </c>
      <c r="D394" s="16"/>
      <c r="E394" s="17" t="str">
        <f t="shared" ref="E394:G396" si="125">E393</f>
        <v>TRABAF</v>
      </c>
      <c r="F394" s="17" t="str">
        <f t="shared" si="125"/>
        <v>TRAPASSBUDMD</v>
      </c>
      <c r="G394" s="17" t="str">
        <f t="shared" si="125"/>
        <v>TRAPASSBUDMD</v>
      </c>
      <c r="H394" s="18">
        <v>2025</v>
      </c>
      <c r="I394" s="18" t="str">
        <f>I393</f>
        <v>LO</v>
      </c>
      <c r="J394" s="18"/>
      <c r="K394" s="20">
        <f>-SUMIFS('TRA RESID'!$P:$P,'TRA RESID'!$H:$H,$E394,'TRA RESID'!$I:$I,$F394)/SUMIFS('TRA RESID'!$P:$P,'TRA RESID'!$I:$I,$F394)*O394</f>
        <v>0</v>
      </c>
      <c r="L394" s="18"/>
      <c r="M394" s="18"/>
      <c r="N394" s="9"/>
      <c r="O394" s="21">
        <v>0.8</v>
      </c>
      <c r="Q394" s="15" t="str">
        <f t="shared" si="120"/>
        <v>*</v>
      </c>
      <c r="R394" s="16"/>
      <c r="S394" s="17" t="str">
        <f t="shared" si="122"/>
        <v>TRABAF</v>
      </c>
      <c r="T394" s="17" t="str">
        <f t="shared" si="123"/>
        <v>TRAPASSBUDMD</v>
      </c>
      <c r="U394" s="17" t="str">
        <f t="shared" si="124"/>
        <v>TRAPASSBUDMD</v>
      </c>
      <c r="V394" s="18">
        <v>2025</v>
      </c>
      <c r="W394" s="18" t="str">
        <f>W393</f>
        <v>UP</v>
      </c>
      <c r="X394" s="18"/>
      <c r="Y394" s="20">
        <f>-MIN(SUMIFS('TRA RESID'!$P:$P,'TRA RESID'!$H:$H,$E394,'TRA RESID'!$I:$I,$F394)/SUMIFS('TRA RESID'!$P:$P,'TRA RESID'!$I:$I,$F394)*AC394,1)</f>
        <v>0</v>
      </c>
      <c r="Z394" s="18"/>
      <c r="AA394" s="18"/>
      <c r="AB394" s="9"/>
      <c r="AC394" s="21">
        <v>1.2</v>
      </c>
    </row>
    <row r="395" spans="1:29" x14ac:dyDescent="0.25">
      <c r="A395" s="9">
        <f>A394</f>
        <v>98</v>
      </c>
      <c r="B395" s="9"/>
      <c r="C395" s="15" t="str">
        <f>IF(C394="*",C394,"")</f>
        <v>*</v>
      </c>
      <c r="D395" s="16"/>
      <c r="E395" s="17" t="str">
        <f t="shared" si="125"/>
        <v>TRABAF</v>
      </c>
      <c r="F395" s="17" t="str">
        <f t="shared" si="125"/>
        <v>TRAPASSBUDMD</v>
      </c>
      <c r="G395" s="17" t="str">
        <f t="shared" si="125"/>
        <v>TRAPASSBUDMD</v>
      </c>
      <c r="H395" s="18">
        <v>2030</v>
      </c>
      <c r="I395" s="18" t="str">
        <f>I394</f>
        <v>LO</v>
      </c>
      <c r="J395" s="18"/>
      <c r="K395" s="20">
        <f>-SUMIFS('TRA RESID'!$P:$P,'TRA RESID'!$H:$H,$E395,'TRA RESID'!$I:$I,$F395)/SUMIFS('TRA RESID'!$P:$P,'TRA RESID'!$I:$I,$F395)*O395</f>
        <v>0</v>
      </c>
      <c r="L395" s="18"/>
      <c r="M395" s="18"/>
      <c r="N395" s="9"/>
      <c r="O395" s="21">
        <v>0.2</v>
      </c>
      <c r="Q395" s="15" t="str">
        <f t="shared" si="120"/>
        <v>*</v>
      </c>
      <c r="R395" s="16"/>
      <c r="S395" s="17" t="str">
        <f t="shared" si="122"/>
        <v>TRABAF</v>
      </c>
      <c r="T395" s="17" t="str">
        <f t="shared" si="123"/>
        <v>TRAPASSBUDMD</v>
      </c>
      <c r="U395" s="17" t="str">
        <f t="shared" si="124"/>
        <v>TRAPASSBUDMD</v>
      </c>
      <c r="V395" s="18">
        <v>2030</v>
      </c>
      <c r="W395" s="18" t="str">
        <f>W394</f>
        <v>UP</v>
      </c>
      <c r="X395" s="18"/>
      <c r="Y395" s="20">
        <f>-MIN(SUMIFS('TRA RESID'!$P:$P,'TRA RESID'!$H:$H,$E395,'TRA RESID'!$I:$I,$F395)/SUMIFS('TRA RESID'!$P:$P,'TRA RESID'!$I:$I,$F395)*AC395,1)</f>
        <v>0</v>
      </c>
      <c r="Z395" s="18"/>
      <c r="AA395" s="18"/>
      <c r="AB395" s="9"/>
      <c r="AC395" s="21">
        <v>1.5</v>
      </c>
    </row>
    <row r="396" spans="1:29" x14ac:dyDescent="0.25">
      <c r="A396" s="22">
        <f>A395</f>
        <v>98</v>
      </c>
      <c r="B396" s="22"/>
      <c r="C396" s="23" t="str">
        <f>IF(C395="*",C395,"")</f>
        <v>*</v>
      </c>
      <c r="D396" s="24"/>
      <c r="E396" s="25" t="str">
        <f t="shared" si="125"/>
        <v>TRABAF</v>
      </c>
      <c r="F396" s="25" t="str">
        <f t="shared" si="125"/>
        <v>TRAPASSBUDMD</v>
      </c>
      <c r="G396" s="25" t="str">
        <f t="shared" si="125"/>
        <v>TRAPASSBUDMD</v>
      </c>
      <c r="H396" s="26">
        <v>2050</v>
      </c>
      <c r="I396" s="26" t="str">
        <f>I395</f>
        <v>LO</v>
      </c>
      <c r="J396" s="26"/>
      <c r="K396" s="27">
        <f>-SUMIFS('TRA RESID'!$P:$P,'TRA RESID'!$H:$H,$E396,'TRA RESID'!$I:$I,$F396)/SUMIFS('TRA RESID'!$P:$P,'TRA RESID'!$I:$I,$F396)*O396</f>
        <v>0</v>
      </c>
      <c r="L396" s="26"/>
      <c r="M396" s="26"/>
      <c r="N396" s="22"/>
      <c r="O396" s="28">
        <v>0</v>
      </c>
      <c r="Q396" s="23" t="str">
        <f t="shared" si="120"/>
        <v>*</v>
      </c>
      <c r="R396" s="24"/>
      <c r="S396" s="25" t="str">
        <f t="shared" si="122"/>
        <v>TRABAF</v>
      </c>
      <c r="T396" s="25" t="str">
        <f t="shared" si="123"/>
        <v>TRAPASSBUDMD</v>
      </c>
      <c r="U396" s="25" t="str">
        <f t="shared" si="124"/>
        <v>TRAPASSBUDMD</v>
      </c>
      <c r="V396" s="26">
        <v>2050</v>
      </c>
      <c r="W396" s="26" t="str">
        <f>W395</f>
        <v>UP</v>
      </c>
      <c r="X396" s="26"/>
      <c r="Y396" s="27">
        <f>-MIN(SUMIFS('TRA RESID'!$P:$P,'TRA RESID'!$H:$H,$E396,'TRA RESID'!$I:$I,$F396)/SUMIFS('TRA RESID'!$P:$P,'TRA RESID'!$I:$I,$F396)*AC396,1)</f>
        <v>0</v>
      </c>
      <c r="Z396" s="26"/>
      <c r="AA396" s="26"/>
      <c r="AB396" s="22"/>
      <c r="AC396" s="28">
        <v>3</v>
      </c>
    </row>
    <row r="397" spans="1:29" x14ac:dyDescent="0.25">
      <c r="A397" s="14">
        <f>A393+1</f>
        <v>99</v>
      </c>
      <c r="B397" s="9"/>
      <c r="C397" s="15" t="str">
        <f>IF(E397="","",IF(_xlfn.XLOOKUP($A397,Selected_constraint!$A:$A,Selected_constraint!$D:$D)=1,"*",IF(SUMIFS('TRA TECH'!$M:$M,'TRA TECH'!$H:$H,E397,'TRA TECH'!$I:$I,F397)=0,"*",IF(SUMIFS('TRA RESID'!$P:$P,'TRA RESID'!$H:$H,$E397,'TRA RESID'!$I:$I,$F397)=0,"*","UC_MarketShare_"&amp;LEFT(F397,LEN(F397)-3)&amp;"_"&amp;RIGHT(E397,3)&amp;"_MIN"))))</f>
        <v>*</v>
      </c>
      <c r="D397" s="16"/>
      <c r="E397" s="17" t="str">
        <f>_xlfn.XLOOKUP($A397,Selected_constraint!$A:$A,Selected_constraint!$B:$B)</f>
        <v>TRAH2G</v>
      </c>
      <c r="F397" s="17" t="str">
        <f>_xlfn.XLOOKUP($A397,Selected_constraint!$A:$A,Selected_constraint!$C:$C)</f>
        <v>TRAPASSBUDMD</v>
      </c>
      <c r="G397" s="17" t="str">
        <f>F397</f>
        <v>TRAPASSBUDMD</v>
      </c>
      <c r="H397" s="18">
        <v>2019</v>
      </c>
      <c r="I397" s="18" t="s">
        <v>483</v>
      </c>
      <c r="J397" s="18">
        <v>1</v>
      </c>
      <c r="K397" s="20">
        <f>-SUMIFS('TRA RESID'!$P:$P,'TRA RESID'!$H:$H,$E397,'TRA RESID'!$I:$I,$F397)/SUMIFS('TRA RESID'!$P:$P,'TRA RESID'!$I:$I,$F397)*O397</f>
        <v>0</v>
      </c>
      <c r="L397" s="18">
        <v>0</v>
      </c>
      <c r="M397" s="18">
        <v>5</v>
      </c>
      <c r="N397" s="9"/>
      <c r="O397" s="21">
        <v>0.98</v>
      </c>
      <c r="Q397" s="15" t="str">
        <f t="shared" si="120"/>
        <v>*</v>
      </c>
      <c r="R397" s="16"/>
      <c r="S397" s="17" t="str">
        <f t="shared" si="122"/>
        <v>TRAH2G</v>
      </c>
      <c r="T397" s="17" t="str">
        <f t="shared" si="123"/>
        <v>TRAPASSBUDMD</v>
      </c>
      <c r="U397" s="17" t="str">
        <f t="shared" si="124"/>
        <v>TRAPASSBUDMD</v>
      </c>
      <c r="V397" s="18">
        <v>2019</v>
      </c>
      <c r="W397" s="18" t="s">
        <v>484</v>
      </c>
      <c r="X397" s="18">
        <v>1</v>
      </c>
      <c r="Y397" s="20">
        <f>-MIN(SUMIFS('TRA RESID'!$P:$P,'TRA RESID'!$H:$H,$E397,'TRA RESID'!$I:$I,$F397)/SUMIFS('TRA RESID'!$P:$P,'TRA RESID'!$I:$I,$F397)*AC397,1)</f>
        <v>0</v>
      </c>
      <c r="Z397" s="18">
        <v>0</v>
      </c>
      <c r="AA397" s="18">
        <v>5</v>
      </c>
      <c r="AB397" s="9"/>
      <c r="AC397" s="21">
        <v>1.02</v>
      </c>
    </row>
    <row r="398" spans="1:29" x14ac:dyDescent="0.25">
      <c r="A398" s="9">
        <f>A397</f>
        <v>99</v>
      </c>
      <c r="B398" s="9"/>
      <c r="C398" s="15" t="str">
        <f>IF(C397="*",C397,"")</f>
        <v>*</v>
      </c>
      <c r="D398" s="16"/>
      <c r="E398" s="17" t="str">
        <f t="shared" ref="E398:G400" si="126">E397</f>
        <v>TRAH2G</v>
      </c>
      <c r="F398" s="17" t="str">
        <f t="shared" si="126"/>
        <v>TRAPASSBUDMD</v>
      </c>
      <c r="G398" s="17" t="str">
        <f t="shared" si="126"/>
        <v>TRAPASSBUDMD</v>
      </c>
      <c r="H398" s="18">
        <v>2025</v>
      </c>
      <c r="I398" s="18" t="str">
        <f>I397</f>
        <v>LO</v>
      </c>
      <c r="J398" s="18"/>
      <c r="K398" s="20">
        <f>-SUMIFS('TRA RESID'!$P:$P,'TRA RESID'!$H:$H,$E398,'TRA RESID'!$I:$I,$F398)/SUMIFS('TRA RESID'!$P:$P,'TRA RESID'!$I:$I,$F398)*O398</f>
        <v>0</v>
      </c>
      <c r="L398" s="18"/>
      <c r="M398" s="18"/>
      <c r="N398" s="9"/>
      <c r="O398" s="21">
        <v>0.8</v>
      </c>
      <c r="Q398" s="15" t="str">
        <f t="shared" si="120"/>
        <v>*</v>
      </c>
      <c r="R398" s="16"/>
      <c r="S398" s="17" t="str">
        <f t="shared" si="122"/>
        <v>TRAH2G</v>
      </c>
      <c r="T398" s="17" t="str">
        <f t="shared" si="123"/>
        <v>TRAPASSBUDMD</v>
      </c>
      <c r="U398" s="17" t="str">
        <f t="shared" si="124"/>
        <v>TRAPASSBUDMD</v>
      </c>
      <c r="V398" s="18">
        <v>2025</v>
      </c>
      <c r="W398" s="18" t="str">
        <f>W397</f>
        <v>UP</v>
      </c>
      <c r="X398" s="18"/>
      <c r="Y398" s="20">
        <f>-MIN(SUMIFS('TRA RESID'!$P:$P,'TRA RESID'!$H:$H,$E398,'TRA RESID'!$I:$I,$F398)/SUMIFS('TRA RESID'!$P:$P,'TRA RESID'!$I:$I,$F398)*AC398,1)</f>
        <v>0</v>
      </c>
      <c r="Z398" s="18"/>
      <c r="AA398" s="18"/>
      <c r="AB398" s="9"/>
      <c r="AC398" s="21">
        <v>1.2</v>
      </c>
    </row>
    <row r="399" spans="1:29" x14ac:dyDescent="0.25">
      <c r="A399" s="9">
        <f>A398</f>
        <v>99</v>
      </c>
      <c r="B399" s="9"/>
      <c r="C399" s="15" t="str">
        <f>IF(C398="*",C398,"")</f>
        <v>*</v>
      </c>
      <c r="D399" s="16"/>
      <c r="E399" s="17" t="str">
        <f t="shared" si="126"/>
        <v>TRAH2G</v>
      </c>
      <c r="F399" s="17" t="str">
        <f t="shared" si="126"/>
        <v>TRAPASSBUDMD</v>
      </c>
      <c r="G399" s="17" t="str">
        <f t="shared" si="126"/>
        <v>TRAPASSBUDMD</v>
      </c>
      <c r="H399" s="18">
        <v>2030</v>
      </c>
      <c r="I399" s="18" t="str">
        <f>I398</f>
        <v>LO</v>
      </c>
      <c r="J399" s="18"/>
      <c r="K399" s="20">
        <f>-SUMIFS('TRA RESID'!$P:$P,'TRA RESID'!$H:$H,$E399,'TRA RESID'!$I:$I,$F399)/SUMIFS('TRA RESID'!$P:$P,'TRA RESID'!$I:$I,$F399)*O399</f>
        <v>0</v>
      </c>
      <c r="L399" s="18"/>
      <c r="M399" s="18"/>
      <c r="N399" s="9"/>
      <c r="O399" s="21">
        <v>0.2</v>
      </c>
      <c r="Q399" s="15" t="str">
        <f t="shared" si="120"/>
        <v>*</v>
      </c>
      <c r="R399" s="16"/>
      <c r="S399" s="17" t="str">
        <f t="shared" si="122"/>
        <v>TRAH2G</v>
      </c>
      <c r="T399" s="17" t="str">
        <f t="shared" si="123"/>
        <v>TRAPASSBUDMD</v>
      </c>
      <c r="U399" s="17" t="str">
        <f t="shared" si="124"/>
        <v>TRAPASSBUDMD</v>
      </c>
      <c r="V399" s="18">
        <v>2030</v>
      </c>
      <c r="W399" s="18" t="str">
        <f>W398</f>
        <v>UP</v>
      </c>
      <c r="X399" s="18"/>
      <c r="Y399" s="20">
        <f>-MIN(SUMIFS('TRA RESID'!$P:$P,'TRA RESID'!$H:$H,$E399,'TRA RESID'!$I:$I,$F399)/SUMIFS('TRA RESID'!$P:$P,'TRA RESID'!$I:$I,$F399)*AC399,1)</f>
        <v>0</v>
      </c>
      <c r="Z399" s="18"/>
      <c r="AA399" s="18"/>
      <c r="AB399" s="9"/>
      <c r="AC399" s="21">
        <v>1.5</v>
      </c>
    </row>
    <row r="400" spans="1:29" x14ac:dyDescent="0.25">
      <c r="A400" s="22">
        <f>A399</f>
        <v>99</v>
      </c>
      <c r="B400" s="22"/>
      <c r="C400" s="23" t="str">
        <f>IF(C399="*",C399,"")</f>
        <v>*</v>
      </c>
      <c r="D400" s="24"/>
      <c r="E400" s="25" t="str">
        <f t="shared" si="126"/>
        <v>TRAH2G</v>
      </c>
      <c r="F400" s="25" t="str">
        <f t="shared" si="126"/>
        <v>TRAPASSBUDMD</v>
      </c>
      <c r="G400" s="25" t="str">
        <f t="shared" si="126"/>
        <v>TRAPASSBUDMD</v>
      </c>
      <c r="H400" s="26">
        <v>2050</v>
      </c>
      <c r="I400" s="26" t="str">
        <f>I399</f>
        <v>LO</v>
      </c>
      <c r="J400" s="26"/>
      <c r="K400" s="27">
        <f>-SUMIFS('TRA RESID'!$P:$P,'TRA RESID'!$H:$H,$E400,'TRA RESID'!$I:$I,$F400)/SUMIFS('TRA RESID'!$P:$P,'TRA RESID'!$I:$I,$F400)*O400</f>
        <v>0</v>
      </c>
      <c r="L400" s="26"/>
      <c r="M400" s="26"/>
      <c r="N400" s="22"/>
      <c r="O400" s="28">
        <v>0</v>
      </c>
      <c r="Q400" s="23" t="str">
        <f t="shared" si="120"/>
        <v>*</v>
      </c>
      <c r="R400" s="24"/>
      <c r="S400" s="25" t="str">
        <f t="shared" si="122"/>
        <v>TRAH2G</v>
      </c>
      <c r="T400" s="25" t="str">
        <f t="shared" si="123"/>
        <v>TRAPASSBUDMD</v>
      </c>
      <c r="U400" s="25" t="str">
        <f t="shared" si="124"/>
        <v>TRAPASSBUDMD</v>
      </c>
      <c r="V400" s="26">
        <v>2050</v>
      </c>
      <c r="W400" s="26" t="str">
        <f>W399</f>
        <v>UP</v>
      </c>
      <c r="X400" s="26"/>
      <c r="Y400" s="27">
        <f>-MIN(SUMIFS('TRA RESID'!$P:$P,'TRA RESID'!$H:$H,$E400,'TRA RESID'!$I:$I,$F400)/SUMIFS('TRA RESID'!$P:$P,'TRA RESID'!$I:$I,$F400)*AC400,1)</f>
        <v>0</v>
      </c>
      <c r="Z400" s="26"/>
      <c r="AA400" s="26"/>
      <c r="AB400" s="22"/>
      <c r="AC400" s="28">
        <v>3</v>
      </c>
    </row>
    <row r="401" spans="1:29" x14ac:dyDescent="0.25">
      <c r="A401" s="14">
        <f>A397+1</f>
        <v>100</v>
      </c>
      <c r="B401" s="9"/>
      <c r="C401" s="15" t="str">
        <f>IF(E401="","",IF(_xlfn.XLOOKUP($A401,Selected_constraint!$A:$A,Selected_constraint!$D:$D)=1,"*",IF(SUMIFS('TRA TECH'!$M:$M,'TRA TECH'!$H:$H,E401,'TRA TECH'!$I:$I,F401)=0,"*",IF(SUMIFS('TRA RESID'!$P:$P,'TRA RESID'!$H:$H,$E401,'TRA RESID'!$I:$I,$F401)=0,"*","UC_MarketShare_"&amp;LEFT(F401,LEN(F401)-3)&amp;"_"&amp;RIGHT(E401,3)&amp;"_MIN"))))</f>
        <v>*</v>
      </c>
      <c r="D401" s="16"/>
      <c r="E401" s="17" t="str">
        <f>_xlfn.XLOOKUP($A401,Selected_constraint!$A:$A,Selected_constraint!$B:$B)</f>
        <v>TRAGSL</v>
      </c>
      <c r="F401" s="17" t="str">
        <f>_xlfn.XLOOKUP($A401,Selected_constraint!$A:$A,Selected_constraint!$C:$C)</f>
        <v>TRAPASOBUDMD</v>
      </c>
      <c r="G401" s="17" t="str">
        <f>F401</f>
        <v>TRAPASOBUDMD</v>
      </c>
      <c r="H401" s="18">
        <v>2019</v>
      </c>
      <c r="I401" s="18" t="s">
        <v>483</v>
      </c>
      <c r="J401" s="18">
        <v>1</v>
      </c>
      <c r="K401" s="20" t="e">
        <f>-SUMIFS('TRA RESID'!$P:$P,'TRA RESID'!$H:$H,$E401,'TRA RESID'!$I:$I,$F401)/SUMIFS('TRA RESID'!$P:$P,'TRA RESID'!$I:$I,$F401)*O401</f>
        <v>#DIV/0!</v>
      </c>
      <c r="L401" s="18">
        <v>0</v>
      </c>
      <c r="M401" s="18">
        <v>5</v>
      </c>
      <c r="N401" s="9"/>
      <c r="O401" s="21">
        <v>0.98</v>
      </c>
      <c r="Q401" s="15" t="str">
        <f t="shared" si="120"/>
        <v>*</v>
      </c>
      <c r="R401" s="16"/>
      <c r="S401" s="17" t="str">
        <f t="shared" si="122"/>
        <v>TRAGSL</v>
      </c>
      <c r="T401" s="17" t="str">
        <f t="shared" si="123"/>
        <v>TRAPASOBUDMD</v>
      </c>
      <c r="U401" s="17" t="str">
        <f t="shared" si="124"/>
        <v>TRAPASOBUDMD</v>
      </c>
      <c r="V401" s="18">
        <v>2019</v>
      </c>
      <c r="W401" s="18" t="s">
        <v>484</v>
      </c>
      <c r="X401" s="18">
        <v>1</v>
      </c>
      <c r="Y401" s="20" t="e">
        <f>-MIN(SUMIFS('TRA RESID'!$P:$P,'TRA RESID'!$H:$H,$E401,'TRA RESID'!$I:$I,$F401)/SUMIFS('TRA RESID'!$P:$P,'TRA RESID'!$I:$I,$F401)*AC401,1)</f>
        <v>#DIV/0!</v>
      </c>
      <c r="Z401" s="18">
        <v>0</v>
      </c>
      <c r="AA401" s="18">
        <v>5</v>
      </c>
      <c r="AB401" s="9"/>
      <c r="AC401" s="21">
        <v>1.02</v>
      </c>
    </row>
    <row r="402" spans="1:29" x14ac:dyDescent="0.25">
      <c r="A402" s="9">
        <f>A401</f>
        <v>100</v>
      </c>
      <c r="B402" s="9"/>
      <c r="C402" s="15" t="str">
        <f>IF(C401="*",C401,"")</f>
        <v>*</v>
      </c>
      <c r="D402" s="16"/>
      <c r="E402" s="17" t="str">
        <f t="shared" ref="E402:G404" si="127">E401</f>
        <v>TRAGSL</v>
      </c>
      <c r="F402" s="17" t="str">
        <f t="shared" si="127"/>
        <v>TRAPASOBUDMD</v>
      </c>
      <c r="G402" s="17" t="str">
        <f t="shared" si="127"/>
        <v>TRAPASOBUDMD</v>
      </c>
      <c r="H402" s="18">
        <v>2025</v>
      </c>
      <c r="I402" s="18" t="str">
        <f>I401</f>
        <v>LO</v>
      </c>
      <c r="J402" s="18"/>
      <c r="K402" s="20" t="e">
        <f>-SUMIFS('TRA RESID'!$P:$P,'TRA RESID'!$H:$H,$E402,'TRA RESID'!$I:$I,$F402)/SUMIFS('TRA RESID'!$P:$P,'TRA RESID'!$I:$I,$F402)*O402</f>
        <v>#DIV/0!</v>
      </c>
      <c r="L402" s="18"/>
      <c r="M402" s="18"/>
      <c r="N402" s="9"/>
      <c r="O402" s="21">
        <v>0.8</v>
      </c>
      <c r="Q402" s="15" t="str">
        <f t="shared" si="120"/>
        <v>*</v>
      </c>
      <c r="R402" s="16"/>
      <c r="S402" s="17" t="str">
        <f t="shared" si="122"/>
        <v>TRAGSL</v>
      </c>
      <c r="T402" s="17" t="str">
        <f t="shared" si="123"/>
        <v>TRAPASOBUDMD</v>
      </c>
      <c r="U402" s="17" t="str">
        <f t="shared" si="124"/>
        <v>TRAPASOBUDMD</v>
      </c>
      <c r="V402" s="18">
        <v>2025</v>
      </c>
      <c r="W402" s="18" t="str">
        <f>W401</f>
        <v>UP</v>
      </c>
      <c r="X402" s="18"/>
      <c r="Y402" s="20" t="e">
        <f>-MIN(SUMIFS('TRA RESID'!$P:$P,'TRA RESID'!$H:$H,$E402,'TRA RESID'!$I:$I,$F402)/SUMIFS('TRA RESID'!$P:$P,'TRA RESID'!$I:$I,$F402)*AC402,1)</f>
        <v>#DIV/0!</v>
      </c>
      <c r="Z402" s="18"/>
      <c r="AA402" s="18"/>
      <c r="AB402" s="9"/>
      <c r="AC402" s="21">
        <v>1.2</v>
      </c>
    </row>
    <row r="403" spans="1:29" x14ac:dyDescent="0.25">
      <c r="A403" s="9">
        <f>A402</f>
        <v>100</v>
      </c>
      <c r="B403" s="9"/>
      <c r="C403" s="15" t="str">
        <f>IF(C402="*",C402,"")</f>
        <v>*</v>
      </c>
      <c r="D403" s="16"/>
      <c r="E403" s="17" t="str">
        <f t="shared" si="127"/>
        <v>TRAGSL</v>
      </c>
      <c r="F403" s="17" t="str">
        <f t="shared" si="127"/>
        <v>TRAPASOBUDMD</v>
      </c>
      <c r="G403" s="17" t="str">
        <f t="shared" si="127"/>
        <v>TRAPASOBUDMD</v>
      </c>
      <c r="H403" s="18">
        <v>2030</v>
      </c>
      <c r="I403" s="18" t="str">
        <f>I402</f>
        <v>LO</v>
      </c>
      <c r="J403" s="18"/>
      <c r="K403" s="20" t="e">
        <f>-SUMIFS('TRA RESID'!$P:$P,'TRA RESID'!$H:$H,$E403,'TRA RESID'!$I:$I,$F403)/SUMIFS('TRA RESID'!$P:$P,'TRA RESID'!$I:$I,$F403)*O403</f>
        <v>#DIV/0!</v>
      </c>
      <c r="L403" s="18"/>
      <c r="M403" s="18"/>
      <c r="N403" s="9"/>
      <c r="O403" s="21">
        <v>0.2</v>
      </c>
      <c r="Q403" s="15" t="str">
        <f t="shared" si="120"/>
        <v>*</v>
      </c>
      <c r="R403" s="16"/>
      <c r="S403" s="17" t="str">
        <f t="shared" si="122"/>
        <v>TRAGSL</v>
      </c>
      <c r="T403" s="17" t="str">
        <f t="shared" si="123"/>
        <v>TRAPASOBUDMD</v>
      </c>
      <c r="U403" s="17" t="str">
        <f t="shared" si="124"/>
        <v>TRAPASOBUDMD</v>
      </c>
      <c r="V403" s="18">
        <v>2030</v>
      </c>
      <c r="W403" s="18" t="str">
        <f>W402</f>
        <v>UP</v>
      </c>
      <c r="X403" s="18"/>
      <c r="Y403" s="20" t="e">
        <f>-MIN(SUMIFS('TRA RESID'!$P:$P,'TRA RESID'!$H:$H,$E403,'TRA RESID'!$I:$I,$F403)/SUMIFS('TRA RESID'!$P:$P,'TRA RESID'!$I:$I,$F403)*AC403,1)</f>
        <v>#DIV/0!</v>
      </c>
      <c r="Z403" s="18"/>
      <c r="AA403" s="18"/>
      <c r="AB403" s="9"/>
      <c r="AC403" s="21">
        <v>1.5</v>
      </c>
    </row>
    <row r="404" spans="1:29" x14ac:dyDescent="0.25">
      <c r="A404" s="22">
        <f>A403</f>
        <v>100</v>
      </c>
      <c r="B404" s="22"/>
      <c r="C404" s="23" t="str">
        <f>IF(C403="*",C403,"")</f>
        <v>*</v>
      </c>
      <c r="D404" s="24"/>
      <c r="E404" s="25" t="str">
        <f t="shared" si="127"/>
        <v>TRAGSL</v>
      </c>
      <c r="F404" s="25" t="str">
        <f t="shared" si="127"/>
        <v>TRAPASOBUDMD</v>
      </c>
      <c r="G404" s="25" t="str">
        <f t="shared" si="127"/>
        <v>TRAPASOBUDMD</v>
      </c>
      <c r="H404" s="26">
        <v>2050</v>
      </c>
      <c r="I404" s="26" t="str">
        <f>I403</f>
        <v>LO</v>
      </c>
      <c r="J404" s="26"/>
      <c r="K404" s="27" t="e">
        <f>-SUMIFS('TRA RESID'!$P:$P,'TRA RESID'!$H:$H,$E404,'TRA RESID'!$I:$I,$F404)/SUMIFS('TRA RESID'!$P:$P,'TRA RESID'!$I:$I,$F404)*O404</f>
        <v>#DIV/0!</v>
      </c>
      <c r="L404" s="26"/>
      <c r="M404" s="26"/>
      <c r="N404" s="22"/>
      <c r="O404" s="28">
        <v>0</v>
      </c>
      <c r="Q404" s="23" t="str">
        <f t="shared" si="120"/>
        <v>*</v>
      </c>
      <c r="R404" s="24"/>
      <c r="S404" s="25" t="str">
        <f t="shared" si="122"/>
        <v>TRAGSL</v>
      </c>
      <c r="T404" s="25" t="str">
        <f t="shared" si="123"/>
        <v>TRAPASOBUDMD</v>
      </c>
      <c r="U404" s="25" t="str">
        <f t="shared" si="124"/>
        <v>TRAPASOBUDMD</v>
      </c>
      <c r="V404" s="26">
        <v>2050</v>
      </c>
      <c r="W404" s="26" t="str">
        <f>W403</f>
        <v>UP</v>
      </c>
      <c r="X404" s="26"/>
      <c r="Y404" s="27" t="e">
        <f>-MIN(SUMIFS('TRA RESID'!$P:$P,'TRA RESID'!$H:$H,$E404,'TRA RESID'!$I:$I,$F404)/SUMIFS('TRA RESID'!$P:$P,'TRA RESID'!$I:$I,$F404)*AC404,1)</f>
        <v>#DIV/0!</v>
      </c>
      <c r="Z404" s="26"/>
      <c r="AA404" s="26"/>
      <c r="AB404" s="22"/>
      <c r="AC404" s="28">
        <v>3</v>
      </c>
    </row>
    <row r="405" spans="1:29" x14ac:dyDescent="0.25">
      <c r="A405" s="14">
        <f>A401+1</f>
        <v>101</v>
      </c>
      <c r="B405" s="9"/>
      <c r="C405" s="15" t="str">
        <f>IF(E405="","",IF(_xlfn.XLOOKUP($A405,Selected_constraint!$A:$A,Selected_constraint!$D:$D)=1,"*",IF(SUMIFS('TRA TECH'!$M:$M,'TRA TECH'!$H:$H,E405,'TRA TECH'!$I:$I,F405)=0,"*",IF(SUMIFS('TRA RESID'!$P:$P,'TRA RESID'!$H:$H,$E405,'TRA RESID'!$I:$I,$F405)=0,"*","UC_MarketShare_"&amp;LEFT(F405,LEN(F405)-3)&amp;"_"&amp;RIGHT(E405,3)&amp;"_MIN"))))</f>
        <v>*</v>
      </c>
      <c r="D405" s="16"/>
      <c r="E405" s="17" t="str">
        <f>_xlfn.XLOOKUP($A405,Selected_constraint!$A:$A,Selected_constraint!$B:$B)</f>
        <v>TRAETH</v>
      </c>
      <c r="F405" s="17" t="str">
        <f>_xlfn.XLOOKUP($A405,Selected_constraint!$A:$A,Selected_constraint!$C:$C)</f>
        <v>TRAPASOBUDMD</v>
      </c>
      <c r="G405" s="17" t="str">
        <f>F405</f>
        <v>TRAPASOBUDMD</v>
      </c>
      <c r="H405" s="18">
        <v>2019</v>
      </c>
      <c r="I405" s="18" t="s">
        <v>483</v>
      </c>
      <c r="J405" s="18">
        <v>1</v>
      </c>
      <c r="K405" s="20" t="e">
        <f>-SUMIFS('TRA RESID'!$P:$P,'TRA RESID'!$H:$H,$E405,'TRA RESID'!$I:$I,$F405)/SUMIFS('TRA RESID'!$P:$P,'TRA RESID'!$I:$I,$F405)*O405</f>
        <v>#DIV/0!</v>
      </c>
      <c r="L405" s="18">
        <v>0</v>
      </c>
      <c r="M405" s="18">
        <v>5</v>
      </c>
      <c r="N405" s="9"/>
      <c r="O405" s="21">
        <v>0.98</v>
      </c>
      <c r="Q405" s="15" t="str">
        <f t="shared" si="120"/>
        <v>*</v>
      </c>
      <c r="R405" s="16"/>
      <c r="S405" s="17" t="str">
        <f t="shared" si="122"/>
        <v>TRAETH</v>
      </c>
      <c r="T405" s="17" t="str">
        <f t="shared" si="123"/>
        <v>TRAPASOBUDMD</v>
      </c>
      <c r="U405" s="17" t="str">
        <f t="shared" si="124"/>
        <v>TRAPASOBUDMD</v>
      </c>
      <c r="V405" s="18">
        <v>2019</v>
      </c>
      <c r="W405" s="18" t="s">
        <v>484</v>
      </c>
      <c r="X405" s="18">
        <v>1</v>
      </c>
      <c r="Y405" s="20" t="e">
        <f>-MIN(SUMIFS('TRA RESID'!$P:$P,'TRA RESID'!$H:$H,$E405,'TRA RESID'!$I:$I,$F405)/SUMIFS('TRA RESID'!$P:$P,'TRA RESID'!$I:$I,$F405)*AC405,1)</f>
        <v>#DIV/0!</v>
      </c>
      <c r="Z405" s="18">
        <v>0</v>
      </c>
      <c r="AA405" s="18">
        <v>5</v>
      </c>
      <c r="AB405" s="9"/>
      <c r="AC405" s="21">
        <v>1.02</v>
      </c>
    </row>
    <row r="406" spans="1:29" x14ac:dyDescent="0.25">
      <c r="A406" s="9">
        <f>A405</f>
        <v>101</v>
      </c>
      <c r="B406" s="9"/>
      <c r="C406" s="15" t="str">
        <f>IF(C405="*",C405,"")</f>
        <v>*</v>
      </c>
      <c r="D406" s="16"/>
      <c r="E406" s="17" t="str">
        <f t="shared" ref="E406:G408" si="128">E405</f>
        <v>TRAETH</v>
      </c>
      <c r="F406" s="17" t="str">
        <f t="shared" si="128"/>
        <v>TRAPASOBUDMD</v>
      </c>
      <c r="G406" s="17" t="str">
        <f t="shared" si="128"/>
        <v>TRAPASOBUDMD</v>
      </c>
      <c r="H406" s="18">
        <v>2025</v>
      </c>
      <c r="I406" s="18" t="str">
        <f>I405</f>
        <v>LO</v>
      </c>
      <c r="J406" s="18"/>
      <c r="K406" s="20" t="e">
        <f>-SUMIFS('TRA RESID'!$P:$P,'TRA RESID'!$H:$H,$E406,'TRA RESID'!$I:$I,$F406)/SUMIFS('TRA RESID'!$P:$P,'TRA RESID'!$I:$I,$F406)*O406</f>
        <v>#DIV/0!</v>
      </c>
      <c r="L406" s="18"/>
      <c r="M406" s="18"/>
      <c r="N406" s="9"/>
      <c r="O406" s="21">
        <v>0.8</v>
      </c>
      <c r="Q406" s="15" t="str">
        <f t="shared" si="120"/>
        <v>*</v>
      </c>
      <c r="R406" s="16"/>
      <c r="S406" s="17" t="str">
        <f t="shared" si="122"/>
        <v>TRAETH</v>
      </c>
      <c r="T406" s="17" t="str">
        <f t="shared" si="123"/>
        <v>TRAPASOBUDMD</v>
      </c>
      <c r="U406" s="17" t="str">
        <f t="shared" si="124"/>
        <v>TRAPASOBUDMD</v>
      </c>
      <c r="V406" s="18">
        <v>2025</v>
      </c>
      <c r="W406" s="18" t="str">
        <f>W405</f>
        <v>UP</v>
      </c>
      <c r="X406" s="18"/>
      <c r="Y406" s="20" t="e">
        <f>-MIN(SUMIFS('TRA RESID'!$P:$P,'TRA RESID'!$H:$H,$E406,'TRA RESID'!$I:$I,$F406)/SUMIFS('TRA RESID'!$P:$P,'TRA RESID'!$I:$I,$F406)*AC406,1)</f>
        <v>#DIV/0!</v>
      </c>
      <c r="Z406" s="18"/>
      <c r="AA406" s="18"/>
      <c r="AB406" s="9"/>
      <c r="AC406" s="21">
        <v>1.2</v>
      </c>
    </row>
    <row r="407" spans="1:29" x14ac:dyDescent="0.25">
      <c r="A407" s="9">
        <f>A406</f>
        <v>101</v>
      </c>
      <c r="B407" s="9"/>
      <c r="C407" s="15" t="str">
        <f>IF(C406="*",C406,"")</f>
        <v>*</v>
      </c>
      <c r="D407" s="16"/>
      <c r="E407" s="17" t="str">
        <f t="shared" si="128"/>
        <v>TRAETH</v>
      </c>
      <c r="F407" s="17" t="str">
        <f t="shared" si="128"/>
        <v>TRAPASOBUDMD</v>
      </c>
      <c r="G407" s="17" t="str">
        <f t="shared" si="128"/>
        <v>TRAPASOBUDMD</v>
      </c>
      <c r="H407" s="18">
        <v>2030</v>
      </c>
      <c r="I407" s="18" t="str">
        <f>I406</f>
        <v>LO</v>
      </c>
      <c r="J407" s="18"/>
      <c r="K407" s="20" t="e">
        <f>-SUMIFS('TRA RESID'!$P:$P,'TRA RESID'!$H:$H,$E407,'TRA RESID'!$I:$I,$F407)/SUMIFS('TRA RESID'!$P:$P,'TRA RESID'!$I:$I,$F407)*O407</f>
        <v>#DIV/0!</v>
      </c>
      <c r="L407" s="18"/>
      <c r="M407" s="18"/>
      <c r="N407" s="9"/>
      <c r="O407" s="21">
        <v>0.2</v>
      </c>
      <c r="Q407" s="15" t="str">
        <f t="shared" si="120"/>
        <v>*</v>
      </c>
      <c r="R407" s="16"/>
      <c r="S407" s="17" t="str">
        <f t="shared" si="122"/>
        <v>TRAETH</v>
      </c>
      <c r="T407" s="17" t="str">
        <f t="shared" si="123"/>
        <v>TRAPASOBUDMD</v>
      </c>
      <c r="U407" s="17" t="str">
        <f t="shared" si="124"/>
        <v>TRAPASOBUDMD</v>
      </c>
      <c r="V407" s="18">
        <v>2030</v>
      </c>
      <c r="W407" s="18" t="str">
        <f>W406</f>
        <v>UP</v>
      </c>
      <c r="X407" s="18"/>
      <c r="Y407" s="20" t="e">
        <f>-MIN(SUMIFS('TRA RESID'!$P:$P,'TRA RESID'!$H:$H,$E407,'TRA RESID'!$I:$I,$F407)/SUMIFS('TRA RESID'!$P:$P,'TRA RESID'!$I:$I,$F407)*AC407,1)</f>
        <v>#DIV/0!</v>
      </c>
      <c r="Z407" s="18"/>
      <c r="AA407" s="18"/>
      <c r="AB407" s="9"/>
      <c r="AC407" s="21">
        <v>1.5</v>
      </c>
    </row>
    <row r="408" spans="1:29" x14ac:dyDescent="0.25">
      <c r="A408" s="22">
        <f>A407</f>
        <v>101</v>
      </c>
      <c r="B408" s="22"/>
      <c r="C408" s="23" t="str">
        <f>IF(C407="*",C407,"")</f>
        <v>*</v>
      </c>
      <c r="D408" s="24"/>
      <c r="E408" s="25" t="str">
        <f t="shared" si="128"/>
        <v>TRAETH</v>
      </c>
      <c r="F408" s="25" t="str">
        <f t="shared" si="128"/>
        <v>TRAPASOBUDMD</v>
      </c>
      <c r="G408" s="25" t="str">
        <f t="shared" si="128"/>
        <v>TRAPASOBUDMD</v>
      </c>
      <c r="H408" s="26">
        <v>2050</v>
      </c>
      <c r="I408" s="26" t="str">
        <f>I407</f>
        <v>LO</v>
      </c>
      <c r="J408" s="26"/>
      <c r="K408" s="27" t="e">
        <f>-SUMIFS('TRA RESID'!$P:$P,'TRA RESID'!$H:$H,$E408,'TRA RESID'!$I:$I,$F408)/SUMIFS('TRA RESID'!$P:$P,'TRA RESID'!$I:$I,$F408)*O408</f>
        <v>#DIV/0!</v>
      </c>
      <c r="L408" s="26"/>
      <c r="M408" s="26"/>
      <c r="N408" s="22"/>
      <c r="O408" s="28">
        <v>0</v>
      </c>
      <c r="Q408" s="23" t="str">
        <f t="shared" si="120"/>
        <v>*</v>
      </c>
      <c r="R408" s="24"/>
      <c r="S408" s="25" t="str">
        <f t="shared" si="122"/>
        <v>TRAETH</v>
      </c>
      <c r="T408" s="25" t="str">
        <f t="shared" si="123"/>
        <v>TRAPASOBUDMD</v>
      </c>
      <c r="U408" s="25" t="str">
        <f t="shared" si="124"/>
        <v>TRAPASOBUDMD</v>
      </c>
      <c r="V408" s="26">
        <v>2050</v>
      </c>
      <c r="W408" s="26" t="str">
        <f>W407</f>
        <v>UP</v>
      </c>
      <c r="X408" s="26"/>
      <c r="Y408" s="27" t="e">
        <f>-MIN(SUMIFS('TRA RESID'!$P:$P,'TRA RESID'!$H:$H,$E408,'TRA RESID'!$I:$I,$F408)/SUMIFS('TRA RESID'!$P:$P,'TRA RESID'!$I:$I,$F408)*AC408,1)</f>
        <v>#DIV/0!</v>
      </c>
      <c r="Z408" s="26"/>
      <c r="AA408" s="26"/>
      <c r="AB408" s="22"/>
      <c r="AC408" s="28">
        <v>3</v>
      </c>
    </row>
    <row r="409" spans="1:29" x14ac:dyDescent="0.25">
      <c r="A409" s="14">
        <f>A405+1</f>
        <v>102</v>
      </c>
      <c r="B409" s="9"/>
      <c r="C409" s="15" t="str">
        <f>IF(E409="","",IF(_xlfn.XLOOKUP($A409,Selected_constraint!$A:$A,Selected_constraint!$D:$D)=1,"*",IF(SUMIFS('TRA TECH'!$M:$M,'TRA TECH'!$H:$H,E409,'TRA TECH'!$I:$I,F409)=0,"*",IF(SUMIFS('TRA RESID'!$P:$P,'TRA RESID'!$H:$H,$E409,'TRA RESID'!$I:$I,$F409)=0,"*","UC_MarketShare_"&amp;LEFT(F409,LEN(F409)-3)&amp;"_"&amp;RIGHT(E409,3)&amp;"_MIN"))))</f>
        <v>*</v>
      </c>
      <c r="D409" s="16"/>
      <c r="E409" s="17" t="str">
        <f>_xlfn.XLOOKUP($A409,Selected_constraint!$A:$A,Selected_constraint!$B:$B)</f>
        <v>TRADSL</v>
      </c>
      <c r="F409" s="17" t="str">
        <f>_xlfn.XLOOKUP($A409,Selected_constraint!$A:$A,Selected_constraint!$C:$C)</f>
        <v>TRAPASOBUDMD</v>
      </c>
      <c r="G409" s="17" t="str">
        <f>F409</f>
        <v>TRAPASOBUDMD</v>
      </c>
      <c r="H409" s="18">
        <v>2019</v>
      </c>
      <c r="I409" s="18" t="s">
        <v>483</v>
      </c>
      <c r="J409" s="18">
        <v>1</v>
      </c>
      <c r="K409" s="20" t="e">
        <f>-SUMIFS('TRA RESID'!$P:$P,'TRA RESID'!$H:$H,$E409,'TRA RESID'!$I:$I,$F409)/SUMIFS('TRA RESID'!$P:$P,'TRA RESID'!$I:$I,$F409)*O409</f>
        <v>#DIV/0!</v>
      </c>
      <c r="L409" s="18">
        <v>0</v>
      </c>
      <c r="M409" s="18">
        <v>5</v>
      </c>
      <c r="N409" s="9"/>
      <c r="O409" s="21">
        <v>0.98</v>
      </c>
      <c r="Q409" s="15" t="str">
        <f t="shared" si="120"/>
        <v>*</v>
      </c>
      <c r="R409" s="16"/>
      <c r="S409" s="17" t="str">
        <f t="shared" si="122"/>
        <v>TRADSL</v>
      </c>
      <c r="T409" s="17" t="str">
        <f t="shared" si="123"/>
        <v>TRAPASOBUDMD</v>
      </c>
      <c r="U409" s="17" t="str">
        <f t="shared" si="124"/>
        <v>TRAPASOBUDMD</v>
      </c>
      <c r="V409" s="18">
        <v>2019</v>
      </c>
      <c r="W409" s="18" t="s">
        <v>484</v>
      </c>
      <c r="X409" s="18">
        <v>1</v>
      </c>
      <c r="Y409" s="20" t="e">
        <f>-MIN(SUMIFS('TRA RESID'!$P:$P,'TRA RESID'!$H:$H,$E409,'TRA RESID'!$I:$I,$F409)/SUMIFS('TRA RESID'!$P:$P,'TRA RESID'!$I:$I,$F409)*AC409,1)</f>
        <v>#DIV/0!</v>
      </c>
      <c r="Z409" s="18">
        <v>0</v>
      </c>
      <c r="AA409" s="18">
        <v>5</v>
      </c>
      <c r="AB409" s="9"/>
      <c r="AC409" s="21">
        <v>1.02</v>
      </c>
    </row>
    <row r="410" spans="1:29" x14ac:dyDescent="0.25">
      <c r="A410" s="9">
        <f>A409</f>
        <v>102</v>
      </c>
      <c r="B410" s="9"/>
      <c r="C410" s="15" t="str">
        <f>IF(C409="*",C409,"")</f>
        <v>*</v>
      </c>
      <c r="D410" s="16"/>
      <c r="E410" s="17" t="str">
        <f t="shared" ref="E410:G412" si="129">E409</f>
        <v>TRADSL</v>
      </c>
      <c r="F410" s="17" t="str">
        <f t="shared" si="129"/>
        <v>TRAPASOBUDMD</v>
      </c>
      <c r="G410" s="17" t="str">
        <f t="shared" si="129"/>
        <v>TRAPASOBUDMD</v>
      </c>
      <c r="H410" s="18">
        <v>2025</v>
      </c>
      <c r="I410" s="18" t="str">
        <f>I409</f>
        <v>LO</v>
      </c>
      <c r="J410" s="18"/>
      <c r="K410" s="20" t="e">
        <f>-SUMIFS('TRA RESID'!$P:$P,'TRA RESID'!$H:$H,$E410,'TRA RESID'!$I:$I,$F410)/SUMIFS('TRA RESID'!$P:$P,'TRA RESID'!$I:$I,$F410)*O410</f>
        <v>#DIV/0!</v>
      </c>
      <c r="L410" s="18"/>
      <c r="M410" s="18"/>
      <c r="N410" s="9"/>
      <c r="O410" s="21">
        <v>0.8</v>
      </c>
      <c r="Q410" s="15" t="str">
        <f t="shared" si="120"/>
        <v>*</v>
      </c>
      <c r="R410" s="16"/>
      <c r="S410" s="17" t="str">
        <f t="shared" si="122"/>
        <v>TRADSL</v>
      </c>
      <c r="T410" s="17" t="str">
        <f t="shared" si="123"/>
        <v>TRAPASOBUDMD</v>
      </c>
      <c r="U410" s="17" t="str">
        <f t="shared" si="124"/>
        <v>TRAPASOBUDMD</v>
      </c>
      <c r="V410" s="18">
        <v>2025</v>
      </c>
      <c r="W410" s="18" t="str">
        <f>W409</f>
        <v>UP</v>
      </c>
      <c r="X410" s="18"/>
      <c r="Y410" s="20" t="e">
        <f>-MIN(SUMIFS('TRA RESID'!$P:$P,'TRA RESID'!$H:$H,$E410,'TRA RESID'!$I:$I,$F410)/SUMIFS('TRA RESID'!$P:$P,'TRA RESID'!$I:$I,$F410)*AC410,1)</f>
        <v>#DIV/0!</v>
      </c>
      <c r="Z410" s="18"/>
      <c r="AA410" s="18"/>
      <c r="AB410" s="9"/>
      <c r="AC410" s="21">
        <v>1.2</v>
      </c>
    </row>
    <row r="411" spans="1:29" x14ac:dyDescent="0.25">
      <c r="A411" s="9">
        <f>A410</f>
        <v>102</v>
      </c>
      <c r="B411" s="9"/>
      <c r="C411" s="15" t="str">
        <f>IF(C410="*",C410,"")</f>
        <v>*</v>
      </c>
      <c r="D411" s="16"/>
      <c r="E411" s="17" t="str">
        <f t="shared" si="129"/>
        <v>TRADSL</v>
      </c>
      <c r="F411" s="17" t="str">
        <f t="shared" si="129"/>
        <v>TRAPASOBUDMD</v>
      </c>
      <c r="G411" s="17" t="str">
        <f t="shared" si="129"/>
        <v>TRAPASOBUDMD</v>
      </c>
      <c r="H411" s="18">
        <v>2030</v>
      </c>
      <c r="I411" s="18" t="str">
        <f>I410</f>
        <v>LO</v>
      </c>
      <c r="J411" s="18"/>
      <c r="K411" s="20" t="e">
        <f>-SUMIFS('TRA RESID'!$P:$P,'TRA RESID'!$H:$H,$E411,'TRA RESID'!$I:$I,$F411)/SUMIFS('TRA RESID'!$P:$P,'TRA RESID'!$I:$I,$F411)*O411</f>
        <v>#DIV/0!</v>
      </c>
      <c r="L411" s="18"/>
      <c r="M411" s="18"/>
      <c r="N411" s="9"/>
      <c r="O411" s="21">
        <v>0.2</v>
      </c>
      <c r="Q411" s="15" t="str">
        <f t="shared" si="120"/>
        <v>*</v>
      </c>
      <c r="R411" s="16"/>
      <c r="S411" s="17" t="str">
        <f t="shared" si="122"/>
        <v>TRADSL</v>
      </c>
      <c r="T411" s="17" t="str">
        <f t="shared" si="123"/>
        <v>TRAPASOBUDMD</v>
      </c>
      <c r="U411" s="17" t="str">
        <f t="shared" si="124"/>
        <v>TRAPASOBUDMD</v>
      </c>
      <c r="V411" s="18">
        <v>2030</v>
      </c>
      <c r="W411" s="18" t="str">
        <f>W410</f>
        <v>UP</v>
      </c>
      <c r="X411" s="18"/>
      <c r="Y411" s="20" t="e">
        <f>-MIN(SUMIFS('TRA RESID'!$P:$P,'TRA RESID'!$H:$H,$E411,'TRA RESID'!$I:$I,$F411)/SUMIFS('TRA RESID'!$P:$P,'TRA RESID'!$I:$I,$F411)*AC411,1)</f>
        <v>#DIV/0!</v>
      </c>
      <c r="Z411" s="18"/>
      <c r="AA411" s="18"/>
      <c r="AB411" s="9"/>
      <c r="AC411" s="21">
        <v>1.5</v>
      </c>
    </row>
    <row r="412" spans="1:29" x14ac:dyDescent="0.25">
      <c r="A412" s="22">
        <f>A411</f>
        <v>102</v>
      </c>
      <c r="B412" s="22"/>
      <c r="C412" s="23" t="str">
        <f>IF(C411="*",C411,"")</f>
        <v>*</v>
      </c>
      <c r="D412" s="24"/>
      <c r="E412" s="25" t="str">
        <f t="shared" si="129"/>
        <v>TRADSL</v>
      </c>
      <c r="F412" s="25" t="str">
        <f t="shared" si="129"/>
        <v>TRAPASOBUDMD</v>
      </c>
      <c r="G412" s="25" t="str">
        <f t="shared" si="129"/>
        <v>TRAPASOBUDMD</v>
      </c>
      <c r="H412" s="26">
        <v>2050</v>
      </c>
      <c r="I412" s="26" t="str">
        <f>I411</f>
        <v>LO</v>
      </c>
      <c r="J412" s="26"/>
      <c r="K412" s="27" t="e">
        <f>-SUMIFS('TRA RESID'!$P:$P,'TRA RESID'!$H:$H,$E412,'TRA RESID'!$I:$I,$F412)/SUMIFS('TRA RESID'!$P:$P,'TRA RESID'!$I:$I,$F412)*O412</f>
        <v>#DIV/0!</v>
      </c>
      <c r="L412" s="26"/>
      <c r="M412" s="26"/>
      <c r="N412" s="22"/>
      <c r="O412" s="28">
        <v>0</v>
      </c>
      <c r="Q412" s="23" t="str">
        <f t="shared" si="120"/>
        <v>*</v>
      </c>
      <c r="R412" s="24"/>
      <c r="S412" s="25" t="str">
        <f t="shared" si="122"/>
        <v>TRADSL</v>
      </c>
      <c r="T412" s="25" t="str">
        <f t="shared" si="123"/>
        <v>TRAPASOBUDMD</v>
      </c>
      <c r="U412" s="25" t="str">
        <f t="shared" si="124"/>
        <v>TRAPASOBUDMD</v>
      </c>
      <c r="V412" s="26">
        <v>2050</v>
      </c>
      <c r="W412" s="26" t="str">
        <f>W411</f>
        <v>UP</v>
      </c>
      <c r="X412" s="26"/>
      <c r="Y412" s="27" t="e">
        <f>-MIN(SUMIFS('TRA RESID'!$P:$P,'TRA RESID'!$H:$H,$E412,'TRA RESID'!$I:$I,$F412)/SUMIFS('TRA RESID'!$P:$P,'TRA RESID'!$I:$I,$F412)*AC412,1)</f>
        <v>#DIV/0!</v>
      </c>
      <c r="Z412" s="26"/>
      <c r="AA412" s="26"/>
      <c r="AB412" s="22"/>
      <c r="AC412" s="28">
        <v>3</v>
      </c>
    </row>
    <row r="413" spans="1:29" x14ac:dyDescent="0.25">
      <c r="A413" s="14">
        <f>A409+1</f>
        <v>103</v>
      </c>
      <c r="B413" s="9"/>
      <c r="C413" s="15" t="str">
        <f>IF(E413="","",IF(_xlfn.XLOOKUP($A413,Selected_constraint!$A:$A,Selected_constraint!$D:$D)=1,"*",IF(SUMIFS('TRA TECH'!$M:$M,'TRA TECH'!$H:$H,E413,'TRA TECH'!$I:$I,F413)=0,"*",IF(SUMIFS('TRA RESID'!$P:$P,'TRA RESID'!$H:$H,$E413,'TRA RESID'!$I:$I,$F413)=0,"*","UC_MarketShare_"&amp;LEFT(F413,LEN(F413)-3)&amp;"_"&amp;RIGHT(E413,3)&amp;"_MIN"))))</f>
        <v>*</v>
      </c>
      <c r="D413" s="16"/>
      <c r="E413" s="17" t="str">
        <f>_xlfn.XLOOKUP($A413,Selected_constraint!$A:$A,Selected_constraint!$B:$B)</f>
        <v>TRARDS</v>
      </c>
      <c r="F413" s="17" t="str">
        <f>_xlfn.XLOOKUP($A413,Selected_constraint!$A:$A,Selected_constraint!$C:$C)</f>
        <v>TRAPASOBUDMD</v>
      </c>
      <c r="G413" s="17" t="str">
        <f>F413</f>
        <v>TRAPASOBUDMD</v>
      </c>
      <c r="H413" s="18">
        <v>2019</v>
      </c>
      <c r="I413" s="18" t="s">
        <v>483</v>
      </c>
      <c r="J413" s="18">
        <v>1</v>
      </c>
      <c r="K413" s="20" t="e">
        <f>-SUMIFS('TRA RESID'!$P:$P,'TRA RESID'!$H:$H,$E413,'TRA RESID'!$I:$I,$F413)/SUMIFS('TRA RESID'!$P:$P,'TRA RESID'!$I:$I,$F413)*O413</f>
        <v>#DIV/0!</v>
      </c>
      <c r="L413" s="18">
        <v>0</v>
      </c>
      <c r="M413" s="18">
        <v>5</v>
      </c>
      <c r="N413" s="9"/>
      <c r="O413" s="21">
        <v>0.98</v>
      </c>
      <c r="Q413" s="15" t="str">
        <f t="shared" si="120"/>
        <v>*</v>
      </c>
      <c r="R413" s="16"/>
      <c r="S413" s="17" t="str">
        <f t="shared" si="122"/>
        <v>TRARDS</v>
      </c>
      <c r="T413" s="17" t="str">
        <f t="shared" si="123"/>
        <v>TRAPASOBUDMD</v>
      </c>
      <c r="U413" s="17" t="str">
        <f t="shared" si="124"/>
        <v>TRAPASOBUDMD</v>
      </c>
      <c r="V413" s="18">
        <v>2019</v>
      </c>
      <c r="W413" s="18" t="s">
        <v>484</v>
      </c>
      <c r="X413" s="18">
        <v>1</v>
      </c>
      <c r="Y413" s="20" t="e">
        <f>-MIN(SUMIFS('TRA RESID'!$P:$P,'TRA RESID'!$H:$H,$E413,'TRA RESID'!$I:$I,$F413)/SUMIFS('TRA RESID'!$P:$P,'TRA RESID'!$I:$I,$F413)*AC413,1)</f>
        <v>#DIV/0!</v>
      </c>
      <c r="Z413" s="18">
        <v>0</v>
      </c>
      <c r="AA413" s="18">
        <v>5</v>
      </c>
      <c r="AB413" s="9"/>
      <c r="AC413" s="21">
        <v>1.02</v>
      </c>
    </row>
    <row r="414" spans="1:29" x14ac:dyDescent="0.25">
      <c r="A414" s="9">
        <f>A413</f>
        <v>103</v>
      </c>
      <c r="B414" s="9"/>
      <c r="C414" s="15" t="str">
        <f>IF(C413="*",C413,"")</f>
        <v>*</v>
      </c>
      <c r="D414" s="16"/>
      <c r="E414" s="17" t="str">
        <f t="shared" ref="E414:G416" si="130">E413</f>
        <v>TRARDS</v>
      </c>
      <c r="F414" s="17" t="str">
        <f t="shared" si="130"/>
        <v>TRAPASOBUDMD</v>
      </c>
      <c r="G414" s="17" t="str">
        <f t="shared" si="130"/>
        <v>TRAPASOBUDMD</v>
      </c>
      <c r="H414" s="18">
        <v>2025</v>
      </c>
      <c r="I414" s="18" t="str">
        <f>I413</f>
        <v>LO</v>
      </c>
      <c r="J414" s="18"/>
      <c r="K414" s="20" t="e">
        <f>-SUMIFS('TRA RESID'!$P:$P,'TRA RESID'!$H:$H,$E414,'TRA RESID'!$I:$I,$F414)/SUMIFS('TRA RESID'!$P:$P,'TRA RESID'!$I:$I,$F414)*O414</f>
        <v>#DIV/0!</v>
      </c>
      <c r="L414" s="18"/>
      <c r="M414" s="18"/>
      <c r="N414" s="9"/>
      <c r="O414" s="21">
        <v>0.8</v>
      </c>
      <c r="Q414" s="15" t="str">
        <f t="shared" si="120"/>
        <v>*</v>
      </c>
      <c r="R414" s="16"/>
      <c r="S414" s="17" t="str">
        <f t="shared" si="122"/>
        <v>TRARDS</v>
      </c>
      <c r="T414" s="17" t="str">
        <f t="shared" si="123"/>
        <v>TRAPASOBUDMD</v>
      </c>
      <c r="U414" s="17" t="str">
        <f t="shared" si="124"/>
        <v>TRAPASOBUDMD</v>
      </c>
      <c r="V414" s="18">
        <v>2025</v>
      </c>
      <c r="W414" s="18" t="str">
        <f>W413</f>
        <v>UP</v>
      </c>
      <c r="X414" s="18"/>
      <c r="Y414" s="20" t="e">
        <f>-MIN(SUMIFS('TRA RESID'!$P:$P,'TRA RESID'!$H:$H,$E414,'TRA RESID'!$I:$I,$F414)/SUMIFS('TRA RESID'!$P:$P,'TRA RESID'!$I:$I,$F414)*AC414,1)</f>
        <v>#DIV/0!</v>
      </c>
      <c r="Z414" s="18"/>
      <c r="AA414" s="18"/>
      <c r="AB414" s="9"/>
      <c r="AC414" s="21">
        <v>1.2</v>
      </c>
    </row>
    <row r="415" spans="1:29" x14ac:dyDescent="0.25">
      <c r="A415" s="9">
        <f>A414</f>
        <v>103</v>
      </c>
      <c r="B415" s="9"/>
      <c r="C415" s="15" t="str">
        <f>IF(C414="*",C414,"")</f>
        <v>*</v>
      </c>
      <c r="D415" s="16"/>
      <c r="E415" s="17" t="str">
        <f t="shared" si="130"/>
        <v>TRARDS</v>
      </c>
      <c r="F415" s="17" t="str">
        <f t="shared" si="130"/>
        <v>TRAPASOBUDMD</v>
      </c>
      <c r="G415" s="17" t="str">
        <f t="shared" si="130"/>
        <v>TRAPASOBUDMD</v>
      </c>
      <c r="H415" s="18">
        <v>2030</v>
      </c>
      <c r="I415" s="18" t="str">
        <f>I414</f>
        <v>LO</v>
      </c>
      <c r="J415" s="18"/>
      <c r="K415" s="20" t="e">
        <f>-SUMIFS('TRA RESID'!$P:$P,'TRA RESID'!$H:$H,$E415,'TRA RESID'!$I:$I,$F415)/SUMIFS('TRA RESID'!$P:$P,'TRA RESID'!$I:$I,$F415)*O415</f>
        <v>#DIV/0!</v>
      </c>
      <c r="L415" s="18"/>
      <c r="M415" s="18"/>
      <c r="N415" s="9"/>
      <c r="O415" s="21">
        <v>0.2</v>
      </c>
      <c r="Q415" s="15" t="str">
        <f t="shared" si="120"/>
        <v>*</v>
      </c>
      <c r="R415" s="16"/>
      <c r="S415" s="17" t="str">
        <f t="shared" si="122"/>
        <v>TRARDS</v>
      </c>
      <c r="T415" s="17" t="str">
        <f t="shared" si="123"/>
        <v>TRAPASOBUDMD</v>
      </c>
      <c r="U415" s="17" t="str">
        <f t="shared" si="124"/>
        <v>TRAPASOBUDMD</v>
      </c>
      <c r="V415" s="18">
        <v>2030</v>
      </c>
      <c r="W415" s="18" t="str">
        <f>W414</f>
        <v>UP</v>
      </c>
      <c r="X415" s="18"/>
      <c r="Y415" s="20" t="e">
        <f>-MIN(SUMIFS('TRA RESID'!$P:$P,'TRA RESID'!$H:$H,$E415,'TRA RESID'!$I:$I,$F415)/SUMIFS('TRA RESID'!$P:$P,'TRA RESID'!$I:$I,$F415)*AC415,1)</f>
        <v>#DIV/0!</v>
      </c>
      <c r="Z415" s="18"/>
      <c r="AA415" s="18"/>
      <c r="AB415" s="9"/>
      <c r="AC415" s="21">
        <v>1.5</v>
      </c>
    </row>
    <row r="416" spans="1:29" x14ac:dyDescent="0.25">
      <c r="A416" s="22">
        <f>A415</f>
        <v>103</v>
      </c>
      <c r="B416" s="22"/>
      <c r="C416" s="23" t="str">
        <f>IF(C415="*",C415,"")</f>
        <v>*</v>
      </c>
      <c r="D416" s="24"/>
      <c r="E416" s="25" t="str">
        <f t="shared" si="130"/>
        <v>TRARDS</v>
      </c>
      <c r="F416" s="25" t="str">
        <f t="shared" si="130"/>
        <v>TRAPASOBUDMD</v>
      </c>
      <c r="G416" s="25" t="str">
        <f t="shared" si="130"/>
        <v>TRAPASOBUDMD</v>
      </c>
      <c r="H416" s="26">
        <v>2050</v>
      </c>
      <c r="I416" s="26" t="str">
        <f>I415</f>
        <v>LO</v>
      </c>
      <c r="J416" s="26"/>
      <c r="K416" s="27" t="e">
        <f>-SUMIFS('TRA RESID'!$P:$P,'TRA RESID'!$H:$H,$E416,'TRA RESID'!$I:$I,$F416)/SUMIFS('TRA RESID'!$P:$P,'TRA RESID'!$I:$I,$F416)*O416</f>
        <v>#DIV/0!</v>
      </c>
      <c r="L416" s="26"/>
      <c r="M416" s="26"/>
      <c r="N416" s="22"/>
      <c r="O416" s="28">
        <v>0</v>
      </c>
      <c r="Q416" s="23" t="str">
        <f t="shared" si="120"/>
        <v>*</v>
      </c>
      <c r="R416" s="24"/>
      <c r="S416" s="25" t="str">
        <f t="shared" si="122"/>
        <v>TRARDS</v>
      </c>
      <c r="T416" s="25" t="str">
        <f t="shared" si="123"/>
        <v>TRAPASOBUDMD</v>
      </c>
      <c r="U416" s="25" t="str">
        <f t="shared" si="124"/>
        <v>TRAPASOBUDMD</v>
      </c>
      <c r="V416" s="26">
        <v>2050</v>
      </c>
      <c r="W416" s="26" t="str">
        <f>W415</f>
        <v>UP</v>
      </c>
      <c r="X416" s="26"/>
      <c r="Y416" s="27" t="e">
        <f>-MIN(SUMIFS('TRA RESID'!$P:$P,'TRA RESID'!$H:$H,$E416,'TRA RESID'!$I:$I,$F416)/SUMIFS('TRA RESID'!$P:$P,'TRA RESID'!$I:$I,$F416)*AC416,1)</f>
        <v>#DIV/0!</v>
      </c>
      <c r="Z416" s="26"/>
      <c r="AA416" s="26"/>
      <c r="AB416" s="22"/>
      <c r="AC416" s="28">
        <v>3</v>
      </c>
    </row>
    <row r="417" spans="1:29" x14ac:dyDescent="0.25">
      <c r="A417" s="14">
        <f>A413+1</f>
        <v>104</v>
      </c>
      <c r="B417" s="9"/>
      <c r="C417" s="15" t="str">
        <f>IF(E417="","",IF(_xlfn.XLOOKUP($A417,Selected_constraint!$A:$A,Selected_constraint!$D:$D)=1,"*",IF(SUMIFS('TRA TECH'!$M:$M,'TRA TECH'!$H:$H,E417,'TRA TECH'!$I:$I,F417)=0,"*",IF(SUMIFS('TRA RESID'!$P:$P,'TRA RESID'!$H:$H,$E417,'TRA RESID'!$I:$I,$F417)=0,"*","UC_MarketShare_"&amp;LEFT(F417,LEN(F417)-3)&amp;"_"&amp;RIGHT(E417,3)&amp;"_MIN"))))</f>
        <v>*</v>
      </c>
      <c r="D417" s="16"/>
      <c r="E417" s="17" t="str">
        <f>_xlfn.XLOOKUP($A417,Selected_constraint!$A:$A,Selected_constraint!$B:$B)</f>
        <v>TRABDS</v>
      </c>
      <c r="F417" s="17" t="str">
        <f>_xlfn.XLOOKUP($A417,Selected_constraint!$A:$A,Selected_constraint!$C:$C)</f>
        <v>TRAPASOBUDMD</v>
      </c>
      <c r="G417" s="17" t="str">
        <f>F417</f>
        <v>TRAPASOBUDMD</v>
      </c>
      <c r="H417" s="18">
        <v>2019</v>
      </c>
      <c r="I417" s="18" t="s">
        <v>483</v>
      </c>
      <c r="J417" s="18">
        <v>1</v>
      </c>
      <c r="K417" s="20" t="e">
        <f>-SUMIFS('TRA RESID'!$P:$P,'TRA RESID'!$H:$H,$E417,'TRA RESID'!$I:$I,$F417)/SUMIFS('TRA RESID'!$P:$P,'TRA RESID'!$I:$I,$F417)*O417</f>
        <v>#DIV/0!</v>
      </c>
      <c r="L417" s="18">
        <v>0</v>
      </c>
      <c r="M417" s="18">
        <v>5</v>
      </c>
      <c r="N417" s="9"/>
      <c r="O417" s="21">
        <v>0.98</v>
      </c>
      <c r="Q417" s="15" t="str">
        <f t="shared" si="120"/>
        <v>*</v>
      </c>
      <c r="R417" s="16"/>
      <c r="S417" s="17" t="str">
        <f t="shared" si="122"/>
        <v>TRABDS</v>
      </c>
      <c r="T417" s="17" t="str">
        <f t="shared" si="123"/>
        <v>TRAPASOBUDMD</v>
      </c>
      <c r="U417" s="17" t="str">
        <f t="shared" si="124"/>
        <v>TRAPASOBUDMD</v>
      </c>
      <c r="V417" s="18">
        <v>2019</v>
      </c>
      <c r="W417" s="18" t="s">
        <v>484</v>
      </c>
      <c r="X417" s="18">
        <v>1</v>
      </c>
      <c r="Y417" s="20" t="e">
        <f>-MIN(SUMIFS('TRA RESID'!$P:$P,'TRA RESID'!$H:$H,$E417,'TRA RESID'!$I:$I,$F417)/SUMIFS('TRA RESID'!$P:$P,'TRA RESID'!$I:$I,$F417)*AC417,1)</f>
        <v>#DIV/0!</v>
      </c>
      <c r="Z417" s="18">
        <v>0</v>
      </c>
      <c r="AA417" s="18">
        <v>5</v>
      </c>
      <c r="AB417" s="9"/>
      <c r="AC417" s="21">
        <v>1.02</v>
      </c>
    </row>
    <row r="418" spans="1:29" x14ac:dyDescent="0.25">
      <c r="A418" s="9">
        <f>A417</f>
        <v>104</v>
      </c>
      <c r="B418" s="9"/>
      <c r="C418" s="15" t="str">
        <f>IF(C417="*",C417,"")</f>
        <v>*</v>
      </c>
      <c r="D418" s="16"/>
      <c r="E418" s="17" t="str">
        <f t="shared" ref="E418:G420" si="131">E417</f>
        <v>TRABDS</v>
      </c>
      <c r="F418" s="17" t="str">
        <f t="shared" si="131"/>
        <v>TRAPASOBUDMD</v>
      </c>
      <c r="G418" s="17" t="str">
        <f t="shared" si="131"/>
        <v>TRAPASOBUDMD</v>
      </c>
      <c r="H418" s="18">
        <v>2025</v>
      </c>
      <c r="I418" s="18" t="str">
        <f>I417</f>
        <v>LO</v>
      </c>
      <c r="J418" s="18"/>
      <c r="K418" s="20" t="e">
        <f>-SUMIFS('TRA RESID'!$P:$P,'TRA RESID'!$H:$H,$E418,'TRA RESID'!$I:$I,$F418)/SUMIFS('TRA RESID'!$P:$P,'TRA RESID'!$I:$I,$F418)*O418</f>
        <v>#DIV/0!</v>
      </c>
      <c r="L418" s="18"/>
      <c r="M418" s="18"/>
      <c r="N418" s="9"/>
      <c r="O418" s="21">
        <v>0.8</v>
      </c>
      <c r="Q418" s="15" t="str">
        <f t="shared" si="120"/>
        <v>*</v>
      </c>
      <c r="R418" s="16"/>
      <c r="S418" s="17" t="str">
        <f t="shared" si="122"/>
        <v>TRABDS</v>
      </c>
      <c r="T418" s="17" t="str">
        <f t="shared" si="123"/>
        <v>TRAPASOBUDMD</v>
      </c>
      <c r="U418" s="17" t="str">
        <f t="shared" si="124"/>
        <v>TRAPASOBUDMD</v>
      </c>
      <c r="V418" s="18">
        <v>2025</v>
      </c>
      <c r="W418" s="18" t="str">
        <f>W417</f>
        <v>UP</v>
      </c>
      <c r="X418" s="18"/>
      <c r="Y418" s="20" t="e">
        <f>-MIN(SUMIFS('TRA RESID'!$P:$P,'TRA RESID'!$H:$H,$E418,'TRA RESID'!$I:$I,$F418)/SUMIFS('TRA RESID'!$P:$P,'TRA RESID'!$I:$I,$F418)*AC418,1)</f>
        <v>#DIV/0!</v>
      </c>
      <c r="Z418" s="18"/>
      <c r="AA418" s="18"/>
      <c r="AB418" s="9"/>
      <c r="AC418" s="21">
        <v>1.2</v>
      </c>
    </row>
    <row r="419" spans="1:29" x14ac:dyDescent="0.25">
      <c r="A419" s="9">
        <f>A418</f>
        <v>104</v>
      </c>
      <c r="B419" s="9"/>
      <c r="C419" s="15" t="str">
        <f>IF(C418="*",C418,"")</f>
        <v>*</v>
      </c>
      <c r="D419" s="16"/>
      <c r="E419" s="17" t="str">
        <f t="shared" si="131"/>
        <v>TRABDS</v>
      </c>
      <c r="F419" s="17" t="str">
        <f t="shared" si="131"/>
        <v>TRAPASOBUDMD</v>
      </c>
      <c r="G419" s="17" t="str">
        <f t="shared" si="131"/>
        <v>TRAPASOBUDMD</v>
      </c>
      <c r="H419" s="18">
        <v>2030</v>
      </c>
      <c r="I419" s="18" t="str">
        <f>I418</f>
        <v>LO</v>
      </c>
      <c r="J419" s="18"/>
      <c r="K419" s="20" t="e">
        <f>-SUMIFS('TRA RESID'!$P:$P,'TRA RESID'!$H:$H,$E419,'TRA RESID'!$I:$I,$F419)/SUMIFS('TRA RESID'!$P:$P,'TRA RESID'!$I:$I,$F419)*O419</f>
        <v>#DIV/0!</v>
      </c>
      <c r="L419" s="18"/>
      <c r="M419" s="18"/>
      <c r="N419" s="9"/>
      <c r="O419" s="21">
        <v>0.2</v>
      </c>
      <c r="Q419" s="15" t="str">
        <f t="shared" si="120"/>
        <v>*</v>
      </c>
      <c r="R419" s="16"/>
      <c r="S419" s="17" t="str">
        <f t="shared" si="122"/>
        <v>TRABDS</v>
      </c>
      <c r="T419" s="17" t="str">
        <f t="shared" si="123"/>
        <v>TRAPASOBUDMD</v>
      </c>
      <c r="U419" s="17" t="str">
        <f t="shared" si="124"/>
        <v>TRAPASOBUDMD</v>
      </c>
      <c r="V419" s="18">
        <v>2030</v>
      </c>
      <c r="W419" s="18" t="str">
        <f>W418</f>
        <v>UP</v>
      </c>
      <c r="X419" s="18"/>
      <c r="Y419" s="20" t="e">
        <f>-MIN(SUMIFS('TRA RESID'!$P:$P,'TRA RESID'!$H:$H,$E419,'TRA RESID'!$I:$I,$F419)/SUMIFS('TRA RESID'!$P:$P,'TRA RESID'!$I:$I,$F419)*AC419,1)</f>
        <v>#DIV/0!</v>
      </c>
      <c r="Z419" s="18"/>
      <c r="AA419" s="18"/>
      <c r="AB419" s="9"/>
      <c r="AC419" s="21">
        <v>1.5</v>
      </c>
    </row>
    <row r="420" spans="1:29" x14ac:dyDescent="0.25">
      <c r="A420" s="22">
        <f>A419</f>
        <v>104</v>
      </c>
      <c r="B420" s="22"/>
      <c r="C420" s="23" t="str">
        <f>IF(C419="*",C419,"")</f>
        <v>*</v>
      </c>
      <c r="D420" s="24"/>
      <c r="E420" s="25" t="str">
        <f t="shared" si="131"/>
        <v>TRABDS</v>
      </c>
      <c r="F420" s="25" t="str">
        <f t="shared" si="131"/>
        <v>TRAPASOBUDMD</v>
      </c>
      <c r="G420" s="25" t="str">
        <f t="shared" si="131"/>
        <v>TRAPASOBUDMD</v>
      </c>
      <c r="H420" s="26">
        <v>2050</v>
      </c>
      <c r="I420" s="26" t="str">
        <f>I419</f>
        <v>LO</v>
      </c>
      <c r="J420" s="26"/>
      <c r="K420" s="27" t="e">
        <f>-SUMIFS('TRA RESID'!$P:$P,'TRA RESID'!$H:$H,$E420,'TRA RESID'!$I:$I,$F420)/SUMIFS('TRA RESID'!$P:$P,'TRA RESID'!$I:$I,$F420)*O420</f>
        <v>#DIV/0!</v>
      </c>
      <c r="L420" s="26"/>
      <c r="M420" s="26"/>
      <c r="N420" s="22"/>
      <c r="O420" s="28">
        <v>0</v>
      </c>
      <c r="Q420" s="23" t="str">
        <f t="shared" si="120"/>
        <v>*</v>
      </c>
      <c r="R420" s="24"/>
      <c r="S420" s="25" t="str">
        <f t="shared" si="122"/>
        <v>TRABDS</v>
      </c>
      <c r="T420" s="25" t="str">
        <f t="shared" si="123"/>
        <v>TRAPASOBUDMD</v>
      </c>
      <c r="U420" s="25" t="str">
        <f t="shared" si="124"/>
        <v>TRAPASOBUDMD</v>
      </c>
      <c r="V420" s="26">
        <v>2050</v>
      </c>
      <c r="W420" s="26" t="str">
        <f>W419</f>
        <v>UP</v>
      </c>
      <c r="X420" s="26"/>
      <c r="Y420" s="27" t="e">
        <f>-MIN(SUMIFS('TRA RESID'!$P:$P,'TRA RESID'!$H:$H,$E420,'TRA RESID'!$I:$I,$F420)/SUMIFS('TRA RESID'!$P:$P,'TRA RESID'!$I:$I,$F420)*AC420,1)</f>
        <v>#DIV/0!</v>
      </c>
      <c r="Z420" s="26"/>
      <c r="AA420" s="26"/>
      <c r="AB420" s="22"/>
      <c r="AC420" s="28">
        <v>3</v>
      </c>
    </row>
    <row r="421" spans="1:29" x14ac:dyDescent="0.25">
      <c r="A421" s="14">
        <f>A417+1</f>
        <v>105</v>
      </c>
      <c r="B421" s="9"/>
      <c r="C421" s="15" t="str">
        <f>IF(E421="","",IF(_xlfn.XLOOKUP($A421,Selected_constraint!$A:$A,Selected_constraint!$D:$D)=1,"*",IF(SUMIFS('TRA TECH'!$M:$M,'TRA TECH'!$H:$H,E421,'TRA TECH'!$I:$I,F421)=0,"*",IF(SUMIFS('TRA RESID'!$P:$P,'TRA RESID'!$H:$H,$E421,'TRA RESID'!$I:$I,$F421)=0,"*","UC_MarketShare_"&amp;LEFT(F421,LEN(F421)-3)&amp;"_"&amp;RIGHT(E421,3)&amp;"_MIN"))))</f>
        <v>*</v>
      </c>
      <c r="D421" s="16"/>
      <c r="E421" s="17" t="str">
        <f>_xlfn.XLOOKUP($A421,Selected_constraint!$A:$A,Selected_constraint!$B:$B)</f>
        <v>TRACNG</v>
      </c>
      <c r="F421" s="17" t="str">
        <f>_xlfn.XLOOKUP($A421,Selected_constraint!$A:$A,Selected_constraint!$C:$C)</f>
        <v>TRAPASOBUDMD</v>
      </c>
      <c r="G421" s="17" t="str">
        <f>F421</f>
        <v>TRAPASOBUDMD</v>
      </c>
      <c r="H421" s="18">
        <v>2019</v>
      </c>
      <c r="I421" s="18" t="s">
        <v>483</v>
      </c>
      <c r="J421" s="18">
        <v>1</v>
      </c>
      <c r="K421" s="20" t="e">
        <f>-SUMIFS('TRA RESID'!$P:$P,'TRA RESID'!$H:$H,$E421,'TRA RESID'!$I:$I,$F421)/SUMIFS('TRA RESID'!$P:$P,'TRA RESID'!$I:$I,$F421)*O421</f>
        <v>#DIV/0!</v>
      </c>
      <c r="L421" s="18">
        <v>0</v>
      </c>
      <c r="M421" s="18">
        <v>5</v>
      </c>
      <c r="N421" s="9"/>
      <c r="O421" s="21">
        <v>0.98</v>
      </c>
      <c r="Q421" s="15" t="str">
        <f t="shared" si="120"/>
        <v>*</v>
      </c>
      <c r="R421" s="16"/>
      <c r="S421" s="17" t="str">
        <f t="shared" si="122"/>
        <v>TRACNG</v>
      </c>
      <c r="T421" s="17" t="str">
        <f t="shared" si="123"/>
        <v>TRAPASOBUDMD</v>
      </c>
      <c r="U421" s="17" t="str">
        <f t="shared" si="124"/>
        <v>TRAPASOBUDMD</v>
      </c>
      <c r="V421" s="18">
        <v>2019</v>
      </c>
      <c r="W421" s="18" t="s">
        <v>484</v>
      </c>
      <c r="X421" s="18">
        <v>1</v>
      </c>
      <c r="Y421" s="20" t="e">
        <f>-MIN(SUMIFS('TRA RESID'!$P:$P,'TRA RESID'!$H:$H,$E421,'TRA RESID'!$I:$I,$F421)/SUMIFS('TRA RESID'!$P:$P,'TRA RESID'!$I:$I,$F421)*AC421,1)</f>
        <v>#DIV/0!</v>
      </c>
      <c r="Z421" s="18">
        <v>0</v>
      </c>
      <c r="AA421" s="18">
        <v>5</v>
      </c>
      <c r="AB421" s="9"/>
      <c r="AC421" s="21">
        <v>1.02</v>
      </c>
    </row>
    <row r="422" spans="1:29" x14ac:dyDescent="0.25">
      <c r="A422" s="9">
        <f>A421</f>
        <v>105</v>
      </c>
      <c r="B422" s="9"/>
      <c r="C422" s="15" t="str">
        <f>IF(C421="*",C421,"")</f>
        <v>*</v>
      </c>
      <c r="D422" s="16"/>
      <c r="E422" s="17" t="str">
        <f t="shared" ref="E422:G424" si="132">E421</f>
        <v>TRACNG</v>
      </c>
      <c r="F422" s="17" t="str">
        <f t="shared" si="132"/>
        <v>TRAPASOBUDMD</v>
      </c>
      <c r="G422" s="17" t="str">
        <f t="shared" si="132"/>
        <v>TRAPASOBUDMD</v>
      </c>
      <c r="H422" s="18">
        <v>2025</v>
      </c>
      <c r="I422" s="18" t="str">
        <f>I421</f>
        <v>LO</v>
      </c>
      <c r="J422" s="18"/>
      <c r="K422" s="20" t="e">
        <f>-SUMIFS('TRA RESID'!$P:$P,'TRA RESID'!$H:$H,$E422,'TRA RESID'!$I:$I,$F422)/SUMIFS('TRA RESID'!$P:$P,'TRA RESID'!$I:$I,$F422)*O422</f>
        <v>#DIV/0!</v>
      </c>
      <c r="L422" s="18"/>
      <c r="M422" s="18"/>
      <c r="N422" s="9"/>
      <c r="O422" s="21">
        <v>0.8</v>
      </c>
      <c r="Q422" s="15" t="str">
        <f t="shared" si="120"/>
        <v>*</v>
      </c>
      <c r="R422" s="16"/>
      <c r="S422" s="17" t="str">
        <f t="shared" si="122"/>
        <v>TRACNG</v>
      </c>
      <c r="T422" s="17" t="str">
        <f t="shared" si="123"/>
        <v>TRAPASOBUDMD</v>
      </c>
      <c r="U422" s="17" t="str">
        <f t="shared" si="124"/>
        <v>TRAPASOBUDMD</v>
      </c>
      <c r="V422" s="18">
        <v>2025</v>
      </c>
      <c r="W422" s="18" t="str">
        <f>W421</f>
        <v>UP</v>
      </c>
      <c r="X422" s="18"/>
      <c r="Y422" s="20" t="e">
        <f>-MIN(SUMIFS('TRA RESID'!$P:$P,'TRA RESID'!$H:$H,$E422,'TRA RESID'!$I:$I,$F422)/SUMIFS('TRA RESID'!$P:$P,'TRA RESID'!$I:$I,$F422)*AC422,1)</f>
        <v>#DIV/0!</v>
      </c>
      <c r="Z422" s="18"/>
      <c r="AA422" s="18"/>
      <c r="AB422" s="9"/>
      <c r="AC422" s="21">
        <v>1.2</v>
      </c>
    </row>
    <row r="423" spans="1:29" x14ac:dyDescent="0.25">
      <c r="A423" s="9">
        <f>A422</f>
        <v>105</v>
      </c>
      <c r="B423" s="9"/>
      <c r="C423" s="15" t="str">
        <f>IF(C422="*",C422,"")</f>
        <v>*</v>
      </c>
      <c r="D423" s="16"/>
      <c r="E423" s="17" t="str">
        <f t="shared" si="132"/>
        <v>TRACNG</v>
      </c>
      <c r="F423" s="17" t="str">
        <f t="shared" si="132"/>
        <v>TRAPASOBUDMD</v>
      </c>
      <c r="G423" s="17" t="str">
        <f t="shared" si="132"/>
        <v>TRAPASOBUDMD</v>
      </c>
      <c r="H423" s="18">
        <v>2030</v>
      </c>
      <c r="I423" s="18" t="str">
        <f>I422</f>
        <v>LO</v>
      </c>
      <c r="J423" s="18"/>
      <c r="K423" s="20" t="e">
        <f>-SUMIFS('TRA RESID'!$P:$P,'TRA RESID'!$H:$H,$E423,'TRA RESID'!$I:$I,$F423)/SUMIFS('TRA RESID'!$P:$P,'TRA RESID'!$I:$I,$F423)*O423</f>
        <v>#DIV/0!</v>
      </c>
      <c r="L423" s="18"/>
      <c r="M423" s="18"/>
      <c r="N423" s="9"/>
      <c r="O423" s="21">
        <v>0.2</v>
      </c>
      <c r="Q423" s="15" t="str">
        <f t="shared" si="120"/>
        <v>*</v>
      </c>
      <c r="R423" s="16"/>
      <c r="S423" s="17" t="str">
        <f t="shared" si="122"/>
        <v>TRACNG</v>
      </c>
      <c r="T423" s="17" t="str">
        <f t="shared" si="123"/>
        <v>TRAPASOBUDMD</v>
      </c>
      <c r="U423" s="17" t="str">
        <f t="shared" si="124"/>
        <v>TRAPASOBUDMD</v>
      </c>
      <c r="V423" s="18">
        <v>2030</v>
      </c>
      <c r="W423" s="18" t="str">
        <f>W422</f>
        <v>UP</v>
      </c>
      <c r="X423" s="18"/>
      <c r="Y423" s="20" t="e">
        <f>-MIN(SUMIFS('TRA RESID'!$P:$P,'TRA RESID'!$H:$H,$E423,'TRA RESID'!$I:$I,$F423)/SUMIFS('TRA RESID'!$P:$P,'TRA RESID'!$I:$I,$F423)*AC423,1)</f>
        <v>#DIV/0!</v>
      </c>
      <c r="Z423" s="18"/>
      <c r="AA423" s="18"/>
      <c r="AB423" s="9"/>
      <c r="AC423" s="21">
        <v>1.5</v>
      </c>
    </row>
    <row r="424" spans="1:29" x14ac:dyDescent="0.25">
      <c r="A424" s="22">
        <f>A423</f>
        <v>105</v>
      </c>
      <c r="B424" s="22"/>
      <c r="C424" s="23" t="str">
        <f>IF(C423="*",C423,"")</f>
        <v>*</v>
      </c>
      <c r="D424" s="24"/>
      <c r="E424" s="25" t="str">
        <f t="shared" si="132"/>
        <v>TRACNG</v>
      </c>
      <c r="F424" s="25" t="str">
        <f t="shared" si="132"/>
        <v>TRAPASOBUDMD</v>
      </c>
      <c r="G424" s="25" t="str">
        <f t="shared" si="132"/>
        <v>TRAPASOBUDMD</v>
      </c>
      <c r="H424" s="26">
        <v>2050</v>
      </c>
      <c r="I424" s="26" t="str">
        <f>I423</f>
        <v>LO</v>
      </c>
      <c r="J424" s="26"/>
      <c r="K424" s="27" t="e">
        <f>-SUMIFS('TRA RESID'!$P:$P,'TRA RESID'!$H:$H,$E424,'TRA RESID'!$I:$I,$F424)/SUMIFS('TRA RESID'!$P:$P,'TRA RESID'!$I:$I,$F424)*O424</f>
        <v>#DIV/0!</v>
      </c>
      <c r="L424" s="26"/>
      <c r="M424" s="26"/>
      <c r="N424" s="22"/>
      <c r="O424" s="28">
        <v>0</v>
      </c>
      <c r="Q424" s="23" t="str">
        <f t="shared" si="120"/>
        <v>*</v>
      </c>
      <c r="R424" s="24"/>
      <c r="S424" s="25" t="str">
        <f t="shared" si="122"/>
        <v>TRACNG</v>
      </c>
      <c r="T424" s="25" t="str">
        <f t="shared" si="123"/>
        <v>TRAPASOBUDMD</v>
      </c>
      <c r="U424" s="25" t="str">
        <f t="shared" si="124"/>
        <v>TRAPASOBUDMD</v>
      </c>
      <c r="V424" s="26">
        <v>2050</v>
      </c>
      <c r="W424" s="26" t="str">
        <f>W423</f>
        <v>UP</v>
      </c>
      <c r="X424" s="26"/>
      <c r="Y424" s="27" t="e">
        <f>-MIN(SUMIFS('TRA RESID'!$P:$P,'TRA RESID'!$H:$H,$E424,'TRA RESID'!$I:$I,$F424)/SUMIFS('TRA RESID'!$P:$P,'TRA RESID'!$I:$I,$F424)*AC424,1)</f>
        <v>#DIV/0!</v>
      </c>
      <c r="Z424" s="26"/>
      <c r="AA424" s="26"/>
      <c r="AB424" s="22"/>
      <c r="AC424" s="28">
        <v>3</v>
      </c>
    </row>
    <row r="425" spans="1:29" x14ac:dyDescent="0.25">
      <c r="A425" s="14">
        <f>A421+1</f>
        <v>106</v>
      </c>
      <c r="B425" s="9"/>
      <c r="C425" s="15" t="str">
        <f>IF(E425="","",IF(_xlfn.XLOOKUP($A425,Selected_constraint!$A:$A,Selected_constraint!$D:$D)=1,"*",IF(SUMIFS('TRA TECH'!$M:$M,'TRA TECH'!$H:$H,E425,'TRA TECH'!$I:$I,F425)=0,"*",IF(SUMIFS('TRA RESID'!$P:$P,'TRA RESID'!$H:$H,$E425,'TRA RESID'!$I:$I,$F425)=0,"*","UC_MarketShare_"&amp;LEFT(F425,LEN(F425)-3)&amp;"_"&amp;RIGHT(E425,3)&amp;"_MIN"))))</f>
        <v>*</v>
      </c>
      <c r="D425" s="16"/>
      <c r="E425" s="17" t="str">
        <f>_xlfn.XLOOKUP($A425,Selected_constraint!$A:$A,Selected_constraint!$B:$B)</f>
        <v>TRARNG</v>
      </c>
      <c r="F425" s="17" t="str">
        <f>_xlfn.XLOOKUP($A425,Selected_constraint!$A:$A,Selected_constraint!$C:$C)</f>
        <v>TRAPASOBUDMD</v>
      </c>
      <c r="G425" s="17" t="str">
        <f>F425</f>
        <v>TRAPASOBUDMD</v>
      </c>
      <c r="H425" s="18">
        <v>2019</v>
      </c>
      <c r="I425" s="18" t="s">
        <v>483</v>
      </c>
      <c r="J425" s="18">
        <v>1</v>
      </c>
      <c r="K425" s="20" t="e">
        <f>-SUMIFS('TRA RESID'!$P:$P,'TRA RESID'!$H:$H,$E425,'TRA RESID'!$I:$I,$F425)/SUMIFS('TRA RESID'!$P:$P,'TRA RESID'!$I:$I,$F425)*O425</f>
        <v>#DIV/0!</v>
      </c>
      <c r="L425" s="18">
        <v>0</v>
      </c>
      <c r="M425" s="18">
        <v>5</v>
      </c>
      <c r="N425" s="9"/>
      <c r="O425" s="21">
        <v>0.98</v>
      </c>
      <c r="Q425" s="15" t="str">
        <f t="shared" si="120"/>
        <v>*</v>
      </c>
      <c r="R425" s="16"/>
      <c r="S425" s="17" t="str">
        <f t="shared" si="122"/>
        <v>TRARNG</v>
      </c>
      <c r="T425" s="17" t="str">
        <f t="shared" si="123"/>
        <v>TRAPASOBUDMD</v>
      </c>
      <c r="U425" s="17" t="str">
        <f t="shared" si="124"/>
        <v>TRAPASOBUDMD</v>
      </c>
      <c r="V425" s="18">
        <v>2019</v>
      </c>
      <c r="W425" s="18" t="s">
        <v>484</v>
      </c>
      <c r="X425" s="18">
        <v>1</v>
      </c>
      <c r="Y425" s="20" t="e">
        <f>-MIN(SUMIFS('TRA RESID'!$P:$P,'TRA RESID'!$H:$H,$E425,'TRA RESID'!$I:$I,$F425)/SUMIFS('TRA RESID'!$P:$P,'TRA RESID'!$I:$I,$F425)*AC425,1)</f>
        <v>#DIV/0!</v>
      </c>
      <c r="Z425" s="18">
        <v>0</v>
      </c>
      <c r="AA425" s="18">
        <v>5</v>
      </c>
      <c r="AB425" s="9"/>
      <c r="AC425" s="21">
        <v>1.02</v>
      </c>
    </row>
    <row r="426" spans="1:29" x14ac:dyDescent="0.25">
      <c r="A426" s="9">
        <f>A425</f>
        <v>106</v>
      </c>
      <c r="B426" s="9"/>
      <c r="C426" s="15" t="str">
        <f>IF(C425="*",C425,"")</f>
        <v>*</v>
      </c>
      <c r="D426" s="16"/>
      <c r="E426" s="17" t="str">
        <f t="shared" ref="E426:G428" si="133">E425</f>
        <v>TRARNG</v>
      </c>
      <c r="F426" s="17" t="str">
        <f t="shared" si="133"/>
        <v>TRAPASOBUDMD</v>
      </c>
      <c r="G426" s="17" t="str">
        <f t="shared" si="133"/>
        <v>TRAPASOBUDMD</v>
      </c>
      <c r="H426" s="18">
        <v>2025</v>
      </c>
      <c r="I426" s="18" t="str">
        <f>I425</f>
        <v>LO</v>
      </c>
      <c r="J426" s="18"/>
      <c r="K426" s="20" t="e">
        <f>-SUMIFS('TRA RESID'!$P:$P,'TRA RESID'!$H:$H,$E426,'TRA RESID'!$I:$I,$F426)/SUMIFS('TRA RESID'!$P:$P,'TRA RESID'!$I:$I,$F426)*O426</f>
        <v>#DIV/0!</v>
      </c>
      <c r="L426" s="18"/>
      <c r="M426" s="18"/>
      <c r="N426" s="9"/>
      <c r="O426" s="21">
        <v>0.8</v>
      </c>
      <c r="Q426" s="15" t="str">
        <f t="shared" si="120"/>
        <v>*</v>
      </c>
      <c r="R426" s="16"/>
      <c r="S426" s="17" t="str">
        <f t="shared" si="122"/>
        <v>TRARNG</v>
      </c>
      <c r="T426" s="17" t="str">
        <f t="shared" si="123"/>
        <v>TRAPASOBUDMD</v>
      </c>
      <c r="U426" s="17" t="str">
        <f t="shared" si="124"/>
        <v>TRAPASOBUDMD</v>
      </c>
      <c r="V426" s="18">
        <v>2025</v>
      </c>
      <c r="W426" s="18" t="str">
        <f>W425</f>
        <v>UP</v>
      </c>
      <c r="X426" s="18"/>
      <c r="Y426" s="20" t="e">
        <f>-MIN(SUMIFS('TRA RESID'!$P:$P,'TRA RESID'!$H:$H,$E426,'TRA RESID'!$I:$I,$F426)/SUMIFS('TRA RESID'!$P:$P,'TRA RESID'!$I:$I,$F426)*AC426,1)</f>
        <v>#DIV/0!</v>
      </c>
      <c r="Z426" s="18"/>
      <c r="AA426" s="18"/>
      <c r="AB426" s="9"/>
      <c r="AC426" s="21">
        <v>1.2</v>
      </c>
    </row>
    <row r="427" spans="1:29" x14ac:dyDescent="0.25">
      <c r="A427" s="9">
        <f>A426</f>
        <v>106</v>
      </c>
      <c r="B427" s="9"/>
      <c r="C427" s="15" t="str">
        <f>IF(C426="*",C426,"")</f>
        <v>*</v>
      </c>
      <c r="D427" s="16"/>
      <c r="E427" s="17" t="str">
        <f t="shared" si="133"/>
        <v>TRARNG</v>
      </c>
      <c r="F427" s="17" t="str">
        <f t="shared" si="133"/>
        <v>TRAPASOBUDMD</v>
      </c>
      <c r="G427" s="17" t="str">
        <f t="shared" si="133"/>
        <v>TRAPASOBUDMD</v>
      </c>
      <c r="H427" s="18">
        <v>2030</v>
      </c>
      <c r="I427" s="18" t="str">
        <f>I426</f>
        <v>LO</v>
      </c>
      <c r="J427" s="18"/>
      <c r="K427" s="20" t="e">
        <f>-SUMIFS('TRA RESID'!$P:$P,'TRA RESID'!$H:$H,$E427,'TRA RESID'!$I:$I,$F427)/SUMIFS('TRA RESID'!$P:$P,'TRA RESID'!$I:$I,$F427)*O427</f>
        <v>#DIV/0!</v>
      </c>
      <c r="L427" s="18"/>
      <c r="M427" s="18"/>
      <c r="N427" s="9"/>
      <c r="O427" s="21">
        <v>0.2</v>
      </c>
      <c r="Q427" s="15" t="str">
        <f t="shared" si="120"/>
        <v>*</v>
      </c>
      <c r="R427" s="16"/>
      <c r="S427" s="17" t="str">
        <f t="shared" si="122"/>
        <v>TRARNG</v>
      </c>
      <c r="T427" s="17" t="str">
        <f t="shared" si="123"/>
        <v>TRAPASOBUDMD</v>
      </c>
      <c r="U427" s="17" t="str">
        <f t="shared" si="124"/>
        <v>TRAPASOBUDMD</v>
      </c>
      <c r="V427" s="18">
        <v>2030</v>
      </c>
      <c r="W427" s="18" t="str">
        <f>W426</f>
        <v>UP</v>
      </c>
      <c r="X427" s="18"/>
      <c r="Y427" s="20" t="e">
        <f>-MIN(SUMIFS('TRA RESID'!$P:$P,'TRA RESID'!$H:$H,$E427,'TRA RESID'!$I:$I,$F427)/SUMIFS('TRA RESID'!$P:$P,'TRA RESID'!$I:$I,$F427)*AC427,1)</f>
        <v>#DIV/0!</v>
      </c>
      <c r="Z427" s="18"/>
      <c r="AA427" s="18"/>
      <c r="AB427" s="9"/>
      <c r="AC427" s="21">
        <v>1.5</v>
      </c>
    </row>
    <row r="428" spans="1:29" x14ac:dyDescent="0.25">
      <c r="A428" s="22">
        <f>A427</f>
        <v>106</v>
      </c>
      <c r="B428" s="22"/>
      <c r="C428" s="23" t="str">
        <f>IF(C427="*",C427,"")</f>
        <v>*</v>
      </c>
      <c r="D428" s="24"/>
      <c r="E428" s="25" t="str">
        <f t="shared" si="133"/>
        <v>TRARNG</v>
      </c>
      <c r="F428" s="25" t="str">
        <f t="shared" si="133"/>
        <v>TRAPASOBUDMD</v>
      </c>
      <c r="G428" s="25" t="str">
        <f t="shared" si="133"/>
        <v>TRAPASOBUDMD</v>
      </c>
      <c r="H428" s="26">
        <v>2050</v>
      </c>
      <c r="I428" s="26" t="str">
        <f>I427</f>
        <v>LO</v>
      </c>
      <c r="J428" s="26"/>
      <c r="K428" s="27" t="e">
        <f>-SUMIFS('TRA RESID'!$P:$P,'TRA RESID'!$H:$H,$E428,'TRA RESID'!$I:$I,$F428)/SUMIFS('TRA RESID'!$P:$P,'TRA RESID'!$I:$I,$F428)*O428</f>
        <v>#DIV/0!</v>
      </c>
      <c r="L428" s="26"/>
      <c r="M428" s="26"/>
      <c r="N428" s="22"/>
      <c r="O428" s="28">
        <v>0</v>
      </c>
      <c r="Q428" s="23" t="str">
        <f t="shared" si="120"/>
        <v>*</v>
      </c>
      <c r="R428" s="24"/>
      <c r="S428" s="25" t="str">
        <f t="shared" si="122"/>
        <v>TRARNG</v>
      </c>
      <c r="T428" s="25" t="str">
        <f t="shared" si="123"/>
        <v>TRAPASOBUDMD</v>
      </c>
      <c r="U428" s="25" t="str">
        <f t="shared" si="124"/>
        <v>TRAPASOBUDMD</v>
      </c>
      <c r="V428" s="26">
        <v>2050</v>
      </c>
      <c r="W428" s="26" t="str">
        <f>W427</f>
        <v>UP</v>
      </c>
      <c r="X428" s="26"/>
      <c r="Y428" s="27" t="e">
        <f>-MIN(SUMIFS('TRA RESID'!$P:$P,'TRA RESID'!$H:$H,$E428,'TRA RESID'!$I:$I,$F428)/SUMIFS('TRA RESID'!$P:$P,'TRA RESID'!$I:$I,$F428)*AC428,1)</f>
        <v>#DIV/0!</v>
      </c>
      <c r="Z428" s="26"/>
      <c r="AA428" s="26"/>
      <c r="AB428" s="22"/>
      <c r="AC428" s="28">
        <v>3</v>
      </c>
    </row>
    <row r="429" spans="1:29" x14ac:dyDescent="0.25">
      <c r="A429" s="14">
        <f>A425+1</f>
        <v>107</v>
      </c>
      <c r="B429" s="9"/>
      <c r="C429" s="15" t="str">
        <f>IF(E429="","",IF(_xlfn.XLOOKUP($A429,Selected_constraint!$A:$A,Selected_constraint!$D:$D)=1,"*",IF(SUMIFS('TRA TECH'!$M:$M,'TRA TECH'!$H:$H,E429,'TRA TECH'!$I:$I,F429)=0,"*",IF(SUMIFS('TRA RESID'!$P:$P,'TRA RESID'!$H:$H,$E429,'TRA RESID'!$I:$I,$F429)=0,"*","UC_MarketShare_"&amp;LEFT(F429,LEN(F429)-3)&amp;"_"&amp;RIGHT(E429,3)&amp;"_MIN"))))</f>
        <v>*</v>
      </c>
      <c r="D429" s="16"/>
      <c r="E429" s="17" t="str">
        <f>_xlfn.XLOOKUP($A429,Selected_constraint!$A:$A,Selected_constraint!$B:$B)</f>
        <v>TRABAF</v>
      </c>
      <c r="F429" s="17" t="str">
        <f>_xlfn.XLOOKUP($A429,Selected_constraint!$A:$A,Selected_constraint!$C:$C)</f>
        <v>TRAPASOBUDMD</v>
      </c>
      <c r="G429" s="17" t="str">
        <f>F429</f>
        <v>TRAPASOBUDMD</v>
      </c>
      <c r="H429" s="18">
        <v>2019</v>
      </c>
      <c r="I429" s="18" t="s">
        <v>483</v>
      </c>
      <c r="J429" s="18">
        <v>1</v>
      </c>
      <c r="K429" s="20" t="e">
        <f>-SUMIFS('TRA RESID'!$P:$P,'TRA RESID'!$H:$H,$E429,'TRA RESID'!$I:$I,$F429)/SUMIFS('TRA RESID'!$P:$P,'TRA RESID'!$I:$I,$F429)*O429</f>
        <v>#DIV/0!</v>
      </c>
      <c r="L429" s="18">
        <v>0</v>
      </c>
      <c r="M429" s="18">
        <v>5</v>
      </c>
      <c r="N429" s="9"/>
      <c r="O429" s="21">
        <v>0.98</v>
      </c>
      <c r="Q429" s="15" t="str">
        <f t="shared" si="120"/>
        <v>*</v>
      </c>
      <c r="R429" s="16"/>
      <c r="S429" s="17" t="str">
        <f t="shared" si="122"/>
        <v>TRABAF</v>
      </c>
      <c r="T429" s="17" t="str">
        <f t="shared" si="123"/>
        <v>TRAPASOBUDMD</v>
      </c>
      <c r="U429" s="17" t="str">
        <f t="shared" si="124"/>
        <v>TRAPASOBUDMD</v>
      </c>
      <c r="V429" s="18">
        <v>2019</v>
      </c>
      <c r="W429" s="18" t="s">
        <v>484</v>
      </c>
      <c r="X429" s="18">
        <v>1</v>
      </c>
      <c r="Y429" s="20" t="e">
        <f>-MIN(SUMIFS('TRA RESID'!$P:$P,'TRA RESID'!$H:$H,$E429,'TRA RESID'!$I:$I,$F429)/SUMIFS('TRA RESID'!$P:$P,'TRA RESID'!$I:$I,$F429)*AC429,1)</f>
        <v>#DIV/0!</v>
      </c>
      <c r="Z429" s="18">
        <v>0</v>
      </c>
      <c r="AA429" s="18">
        <v>5</v>
      </c>
      <c r="AB429" s="9"/>
      <c r="AC429" s="21">
        <v>1.02</v>
      </c>
    </row>
    <row r="430" spans="1:29" x14ac:dyDescent="0.25">
      <c r="A430" s="9">
        <f>A429</f>
        <v>107</v>
      </c>
      <c r="B430" s="9"/>
      <c r="C430" s="15" t="str">
        <f>IF(C429="*",C429,"")</f>
        <v>*</v>
      </c>
      <c r="D430" s="16"/>
      <c r="E430" s="17" t="str">
        <f t="shared" ref="E430:G432" si="134">E429</f>
        <v>TRABAF</v>
      </c>
      <c r="F430" s="17" t="str">
        <f t="shared" si="134"/>
        <v>TRAPASOBUDMD</v>
      </c>
      <c r="G430" s="17" t="str">
        <f t="shared" si="134"/>
        <v>TRAPASOBUDMD</v>
      </c>
      <c r="H430" s="18">
        <v>2025</v>
      </c>
      <c r="I430" s="18" t="str">
        <f>I429</f>
        <v>LO</v>
      </c>
      <c r="J430" s="18"/>
      <c r="K430" s="20" t="e">
        <f>-SUMIFS('TRA RESID'!$P:$P,'TRA RESID'!$H:$H,$E430,'TRA RESID'!$I:$I,$F430)/SUMIFS('TRA RESID'!$P:$P,'TRA RESID'!$I:$I,$F430)*O430</f>
        <v>#DIV/0!</v>
      </c>
      <c r="L430" s="18"/>
      <c r="M430" s="18"/>
      <c r="N430" s="9"/>
      <c r="O430" s="21">
        <v>0.8</v>
      </c>
      <c r="Q430" s="15" t="str">
        <f t="shared" si="120"/>
        <v>*</v>
      </c>
      <c r="R430" s="16"/>
      <c r="S430" s="17" t="str">
        <f t="shared" si="122"/>
        <v>TRABAF</v>
      </c>
      <c r="T430" s="17" t="str">
        <f t="shared" si="123"/>
        <v>TRAPASOBUDMD</v>
      </c>
      <c r="U430" s="17" t="str">
        <f t="shared" si="124"/>
        <v>TRAPASOBUDMD</v>
      </c>
      <c r="V430" s="18">
        <v>2025</v>
      </c>
      <c r="W430" s="18" t="str">
        <f>W429</f>
        <v>UP</v>
      </c>
      <c r="X430" s="18"/>
      <c r="Y430" s="20" t="e">
        <f>-MIN(SUMIFS('TRA RESID'!$P:$P,'TRA RESID'!$H:$H,$E430,'TRA RESID'!$I:$I,$F430)/SUMIFS('TRA RESID'!$P:$P,'TRA RESID'!$I:$I,$F430)*AC430,1)</f>
        <v>#DIV/0!</v>
      </c>
      <c r="Z430" s="18"/>
      <c r="AA430" s="18"/>
      <c r="AB430" s="9"/>
      <c r="AC430" s="21">
        <v>1.2</v>
      </c>
    </row>
    <row r="431" spans="1:29" x14ac:dyDescent="0.25">
      <c r="A431" s="9">
        <f>A430</f>
        <v>107</v>
      </c>
      <c r="B431" s="9"/>
      <c r="C431" s="15" t="str">
        <f>IF(C430="*",C430,"")</f>
        <v>*</v>
      </c>
      <c r="D431" s="16"/>
      <c r="E431" s="17" t="str">
        <f t="shared" si="134"/>
        <v>TRABAF</v>
      </c>
      <c r="F431" s="17" t="str">
        <f t="shared" si="134"/>
        <v>TRAPASOBUDMD</v>
      </c>
      <c r="G431" s="17" t="str">
        <f t="shared" si="134"/>
        <v>TRAPASOBUDMD</v>
      </c>
      <c r="H431" s="18">
        <v>2030</v>
      </c>
      <c r="I431" s="18" t="str">
        <f>I430</f>
        <v>LO</v>
      </c>
      <c r="J431" s="18"/>
      <c r="K431" s="20" t="e">
        <f>-SUMIFS('TRA RESID'!$P:$P,'TRA RESID'!$H:$H,$E431,'TRA RESID'!$I:$I,$F431)/SUMIFS('TRA RESID'!$P:$P,'TRA RESID'!$I:$I,$F431)*O431</f>
        <v>#DIV/0!</v>
      </c>
      <c r="L431" s="18"/>
      <c r="M431" s="18"/>
      <c r="N431" s="9"/>
      <c r="O431" s="21">
        <v>0.2</v>
      </c>
      <c r="Q431" s="15" t="str">
        <f t="shared" si="120"/>
        <v>*</v>
      </c>
      <c r="R431" s="16"/>
      <c r="S431" s="17" t="str">
        <f t="shared" si="122"/>
        <v>TRABAF</v>
      </c>
      <c r="T431" s="17" t="str">
        <f t="shared" si="123"/>
        <v>TRAPASOBUDMD</v>
      </c>
      <c r="U431" s="17" t="str">
        <f t="shared" si="124"/>
        <v>TRAPASOBUDMD</v>
      </c>
      <c r="V431" s="18">
        <v>2030</v>
      </c>
      <c r="W431" s="18" t="str">
        <f>W430</f>
        <v>UP</v>
      </c>
      <c r="X431" s="18"/>
      <c r="Y431" s="20" t="e">
        <f>-MIN(SUMIFS('TRA RESID'!$P:$P,'TRA RESID'!$H:$H,$E431,'TRA RESID'!$I:$I,$F431)/SUMIFS('TRA RESID'!$P:$P,'TRA RESID'!$I:$I,$F431)*AC431,1)</f>
        <v>#DIV/0!</v>
      </c>
      <c r="Z431" s="18"/>
      <c r="AA431" s="18"/>
      <c r="AB431" s="9"/>
      <c r="AC431" s="21">
        <v>1.5</v>
      </c>
    </row>
    <row r="432" spans="1:29" x14ac:dyDescent="0.25">
      <c r="A432" s="22">
        <f>A431</f>
        <v>107</v>
      </c>
      <c r="B432" s="22"/>
      <c r="C432" s="23" t="str">
        <f>IF(C431="*",C431,"")</f>
        <v>*</v>
      </c>
      <c r="D432" s="24"/>
      <c r="E432" s="25" t="str">
        <f t="shared" si="134"/>
        <v>TRABAF</v>
      </c>
      <c r="F432" s="25" t="str">
        <f t="shared" si="134"/>
        <v>TRAPASOBUDMD</v>
      </c>
      <c r="G432" s="25" t="str">
        <f t="shared" si="134"/>
        <v>TRAPASOBUDMD</v>
      </c>
      <c r="H432" s="26">
        <v>2050</v>
      </c>
      <c r="I432" s="26" t="str">
        <f>I431</f>
        <v>LO</v>
      </c>
      <c r="J432" s="26"/>
      <c r="K432" s="27" t="e">
        <f>-SUMIFS('TRA RESID'!$P:$P,'TRA RESID'!$H:$H,$E432,'TRA RESID'!$I:$I,$F432)/SUMIFS('TRA RESID'!$P:$P,'TRA RESID'!$I:$I,$F432)*O432</f>
        <v>#DIV/0!</v>
      </c>
      <c r="L432" s="26"/>
      <c r="M432" s="26"/>
      <c r="N432" s="22"/>
      <c r="O432" s="28">
        <v>0</v>
      </c>
      <c r="Q432" s="23" t="str">
        <f t="shared" si="120"/>
        <v>*</v>
      </c>
      <c r="R432" s="24"/>
      <c r="S432" s="25" t="str">
        <f t="shared" si="122"/>
        <v>TRABAF</v>
      </c>
      <c r="T432" s="25" t="str">
        <f t="shared" si="123"/>
        <v>TRAPASOBUDMD</v>
      </c>
      <c r="U432" s="25" t="str">
        <f t="shared" si="124"/>
        <v>TRAPASOBUDMD</v>
      </c>
      <c r="V432" s="26">
        <v>2050</v>
      </c>
      <c r="W432" s="26" t="str">
        <f>W431</f>
        <v>UP</v>
      </c>
      <c r="X432" s="26"/>
      <c r="Y432" s="27" t="e">
        <f>-MIN(SUMIFS('TRA RESID'!$P:$P,'TRA RESID'!$H:$H,$E432,'TRA RESID'!$I:$I,$F432)/SUMIFS('TRA RESID'!$P:$P,'TRA RESID'!$I:$I,$F432)*AC432,1)</f>
        <v>#DIV/0!</v>
      </c>
      <c r="Z432" s="26"/>
      <c r="AA432" s="26"/>
      <c r="AB432" s="22"/>
      <c r="AC432" s="28">
        <v>3</v>
      </c>
    </row>
    <row r="433" spans="1:29" x14ac:dyDescent="0.25">
      <c r="A433" s="14">
        <f>A429+1</f>
        <v>108</v>
      </c>
      <c r="B433" s="9"/>
      <c r="C433" s="15" t="str">
        <f>IF(E433="","",IF(_xlfn.XLOOKUP($A433,Selected_constraint!$A:$A,Selected_constraint!$D:$D)=1,"*",IF(SUMIFS('TRA TECH'!$M:$M,'TRA TECH'!$H:$H,E433,'TRA TECH'!$I:$I,F433)=0,"*",IF(SUMIFS('TRA RESID'!$P:$P,'TRA RESID'!$H:$H,$E433,'TRA RESID'!$I:$I,$F433)=0,"*","UC_MarketShare_"&amp;LEFT(F433,LEN(F433)-3)&amp;"_"&amp;RIGHT(E433,3)&amp;"_MIN"))))</f>
        <v>*</v>
      </c>
      <c r="D433" s="16"/>
      <c r="E433" s="17" t="str">
        <f>_xlfn.XLOOKUP($A433,Selected_constraint!$A:$A,Selected_constraint!$B:$B)</f>
        <v>TRAH2G</v>
      </c>
      <c r="F433" s="17" t="str">
        <f>_xlfn.XLOOKUP($A433,Selected_constraint!$A:$A,Selected_constraint!$C:$C)</f>
        <v>TRAPASOBUDMD</v>
      </c>
      <c r="G433" s="17" t="str">
        <f>F433</f>
        <v>TRAPASOBUDMD</v>
      </c>
      <c r="H433" s="18">
        <v>2019</v>
      </c>
      <c r="I433" s="18" t="s">
        <v>483</v>
      </c>
      <c r="J433" s="18">
        <v>1</v>
      </c>
      <c r="K433" s="20" t="e">
        <f>-SUMIFS('TRA RESID'!$P:$P,'TRA RESID'!$H:$H,$E433,'TRA RESID'!$I:$I,$F433)/SUMIFS('TRA RESID'!$P:$P,'TRA RESID'!$I:$I,$F433)*O433</f>
        <v>#DIV/0!</v>
      </c>
      <c r="L433" s="18">
        <v>0</v>
      </c>
      <c r="M433" s="18">
        <v>5</v>
      </c>
      <c r="N433" s="9"/>
      <c r="O433" s="21">
        <v>0.98</v>
      </c>
      <c r="Q433" s="15" t="str">
        <f t="shared" si="120"/>
        <v>*</v>
      </c>
      <c r="R433" s="16"/>
      <c r="S433" s="17" t="str">
        <f t="shared" si="122"/>
        <v>TRAH2G</v>
      </c>
      <c r="T433" s="17" t="str">
        <f t="shared" si="123"/>
        <v>TRAPASOBUDMD</v>
      </c>
      <c r="U433" s="17" t="str">
        <f t="shared" si="124"/>
        <v>TRAPASOBUDMD</v>
      </c>
      <c r="V433" s="18">
        <v>2019</v>
      </c>
      <c r="W433" s="18" t="s">
        <v>484</v>
      </c>
      <c r="X433" s="18">
        <v>1</v>
      </c>
      <c r="Y433" s="20" t="e">
        <f>-MIN(SUMIFS('TRA RESID'!$P:$P,'TRA RESID'!$H:$H,$E433,'TRA RESID'!$I:$I,$F433)/SUMIFS('TRA RESID'!$P:$P,'TRA RESID'!$I:$I,$F433)*AC433,1)</f>
        <v>#DIV/0!</v>
      </c>
      <c r="Z433" s="18">
        <v>0</v>
      </c>
      <c r="AA433" s="18">
        <v>5</v>
      </c>
      <c r="AB433" s="9"/>
      <c r="AC433" s="21">
        <v>1.02</v>
      </c>
    </row>
    <row r="434" spans="1:29" x14ac:dyDescent="0.25">
      <c r="A434" s="9">
        <f>A433</f>
        <v>108</v>
      </c>
      <c r="B434" s="9"/>
      <c r="C434" s="15" t="str">
        <f>IF(C433="*",C433,"")</f>
        <v>*</v>
      </c>
      <c r="D434" s="16"/>
      <c r="E434" s="17" t="str">
        <f t="shared" ref="E434:G436" si="135">E433</f>
        <v>TRAH2G</v>
      </c>
      <c r="F434" s="17" t="str">
        <f t="shared" si="135"/>
        <v>TRAPASOBUDMD</v>
      </c>
      <c r="G434" s="17" t="str">
        <f t="shared" si="135"/>
        <v>TRAPASOBUDMD</v>
      </c>
      <c r="H434" s="18">
        <v>2025</v>
      </c>
      <c r="I434" s="18" t="str">
        <f>I433</f>
        <v>LO</v>
      </c>
      <c r="J434" s="18"/>
      <c r="K434" s="20" t="e">
        <f>-SUMIFS('TRA RESID'!$P:$P,'TRA RESID'!$H:$H,$E434,'TRA RESID'!$I:$I,$F434)/SUMIFS('TRA RESID'!$P:$P,'TRA RESID'!$I:$I,$F434)*O434</f>
        <v>#DIV/0!</v>
      </c>
      <c r="L434" s="18"/>
      <c r="M434" s="18"/>
      <c r="N434" s="9"/>
      <c r="O434" s="21">
        <v>0.8</v>
      </c>
      <c r="Q434" s="15" t="str">
        <f t="shared" si="120"/>
        <v>*</v>
      </c>
      <c r="R434" s="16"/>
      <c r="S434" s="17" t="str">
        <f t="shared" si="122"/>
        <v>TRAH2G</v>
      </c>
      <c r="T434" s="17" t="str">
        <f t="shared" si="123"/>
        <v>TRAPASOBUDMD</v>
      </c>
      <c r="U434" s="17" t="str">
        <f t="shared" si="124"/>
        <v>TRAPASOBUDMD</v>
      </c>
      <c r="V434" s="18">
        <v>2025</v>
      </c>
      <c r="W434" s="18" t="str">
        <f>W433</f>
        <v>UP</v>
      </c>
      <c r="X434" s="18"/>
      <c r="Y434" s="20" t="e">
        <f>-MIN(SUMIFS('TRA RESID'!$P:$P,'TRA RESID'!$H:$H,$E434,'TRA RESID'!$I:$I,$F434)/SUMIFS('TRA RESID'!$P:$P,'TRA RESID'!$I:$I,$F434)*AC434,1)</f>
        <v>#DIV/0!</v>
      </c>
      <c r="Z434" s="18"/>
      <c r="AA434" s="18"/>
      <c r="AB434" s="9"/>
      <c r="AC434" s="21">
        <v>1.2</v>
      </c>
    </row>
    <row r="435" spans="1:29" x14ac:dyDescent="0.25">
      <c r="A435" s="9">
        <f>A434</f>
        <v>108</v>
      </c>
      <c r="B435" s="9"/>
      <c r="C435" s="15" t="str">
        <f>IF(C434="*",C434,"")</f>
        <v>*</v>
      </c>
      <c r="D435" s="16"/>
      <c r="E435" s="17" t="str">
        <f t="shared" si="135"/>
        <v>TRAH2G</v>
      </c>
      <c r="F435" s="17" t="str">
        <f t="shared" si="135"/>
        <v>TRAPASOBUDMD</v>
      </c>
      <c r="G435" s="17" t="str">
        <f t="shared" si="135"/>
        <v>TRAPASOBUDMD</v>
      </c>
      <c r="H435" s="18">
        <v>2030</v>
      </c>
      <c r="I435" s="18" t="str">
        <f>I434</f>
        <v>LO</v>
      </c>
      <c r="J435" s="18"/>
      <c r="K435" s="20" t="e">
        <f>-SUMIFS('TRA RESID'!$P:$P,'TRA RESID'!$H:$H,$E435,'TRA RESID'!$I:$I,$F435)/SUMIFS('TRA RESID'!$P:$P,'TRA RESID'!$I:$I,$F435)*O435</f>
        <v>#DIV/0!</v>
      </c>
      <c r="L435" s="18"/>
      <c r="M435" s="18"/>
      <c r="N435" s="9"/>
      <c r="O435" s="21">
        <v>0.2</v>
      </c>
      <c r="Q435" s="15" t="str">
        <f t="shared" si="120"/>
        <v>*</v>
      </c>
      <c r="R435" s="16"/>
      <c r="S435" s="17" t="str">
        <f t="shared" si="122"/>
        <v>TRAH2G</v>
      </c>
      <c r="T435" s="17" t="str">
        <f t="shared" si="123"/>
        <v>TRAPASOBUDMD</v>
      </c>
      <c r="U435" s="17" t="str">
        <f t="shared" si="124"/>
        <v>TRAPASOBUDMD</v>
      </c>
      <c r="V435" s="18">
        <v>2030</v>
      </c>
      <c r="W435" s="18" t="str">
        <f>W434</f>
        <v>UP</v>
      </c>
      <c r="X435" s="18"/>
      <c r="Y435" s="20" t="e">
        <f>-MIN(SUMIFS('TRA RESID'!$P:$P,'TRA RESID'!$H:$H,$E435,'TRA RESID'!$I:$I,$F435)/SUMIFS('TRA RESID'!$P:$P,'TRA RESID'!$I:$I,$F435)*AC435,1)</f>
        <v>#DIV/0!</v>
      </c>
      <c r="Z435" s="18"/>
      <c r="AA435" s="18"/>
      <c r="AB435" s="9"/>
      <c r="AC435" s="21">
        <v>1.5</v>
      </c>
    </row>
    <row r="436" spans="1:29" x14ac:dyDescent="0.25">
      <c r="A436" s="22">
        <f>A435</f>
        <v>108</v>
      </c>
      <c r="B436" s="22"/>
      <c r="C436" s="23" t="str">
        <f>IF(C435="*",C435,"")</f>
        <v>*</v>
      </c>
      <c r="D436" s="24"/>
      <c r="E436" s="25" t="str">
        <f t="shared" si="135"/>
        <v>TRAH2G</v>
      </c>
      <c r="F436" s="25" t="str">
        <f t="shared" si="135"/>
        <v>TRAPASOBUDMD</v>
      </c>
      <c r="G436" s="25" t="str">
        <f t="shared" si="135"/>
        <v>TRAPASOBUDMD</v>
      </c>
      <c r="H436" s="26">
        <v>2050</v>
      </c>
      <c r="I436" s="26" t="str">
        <f>I435</f>
        <v>LO</v>
      </c>
      <c r="J436" s="26"/>
      <c r="K436" s="27" t="e">
        <f>-SUMIFS('TRA RESID'!$P:$P,'TRA RESID'!$H:$H,$E436,'TRA RESID'!$I:$I,$F436)/SUMIFS('TRA RESID'!$P:$P,'TRA RESID'!$I:$I,$F436)*O436</f>
        <v>#DIV/0!</v>
      </c>
      <c r="L436" s="26"/>
      <c r="M436" s="26"/>
      <c r="N436" s="22"/>
      <c r="O436" s="28">
        <v>0</v>
      </c>
      <c r="Q436" s="23" t="str">
        <f t="shared" si="120"/>
        <v>*</v>
      </c>
      <c r="R436" s="24"/>
      <c r="S436" s="25" t="str">
        <f t="shared" si="122"/>
        <v>TRAH2G</v>
      </c>
      <c r="T436" s="25" t="str">
        <f t="shared" si="123"/>
        <v>TRAPASOBUDMD</v>
      </c>
      <c r="U436" s="25" t="str">
        <f t="shared" si="124"/>
        <v>TRAPASOBUDMD</v>
      </c>
      <c r="V436" s="26">
        <v>2050</v>
      </c>
      <c r="W436" s="26" t="str">
        <f>W435</f>
        <v>UP</v>
      </c>
      <c r="X436" s="26"/>
      <c r="Y436" s="27" t="e">
        <f>-MIN(SUMIFS('TRA RESID'!$P:$P,'TRA RESID'!$H:$H,$E436,'TRA RESID'!$I:$I,$F436)/SUMIFS('TRA RESID'!$P:$P,'TRA RESID'!$I:$I,$F436)*AC436,1)</f>
        <v>#DIV/0!</v>
      </c>
      <c r="Z436" s="26"/>
      <c r="AA436" s="26"/>
      <c r="AB436" s="22"/>
      <c r="AC436" s="28">
        <v>3</v>
      </c>
    </row>
    <row r="437" spans="1:29" x14ac:dyDescent="0.25">
      <c r="A437" s="14">
        <f>A433+1</f>
        <v>109</v>
      </c>
      <c r="B437" s="9"/>
      <c r="C437" s="15" t="str">
        <f>IF(E437="","",IF(_xlfn.XLOOKUP($A437,Selected_constraint!$A:$A,Selected_constraint!$D:$D)=1,"*",IF(SUMIFS('TRA TECH'!$M:$M,'TRA TECH'!$H:$H,E437,'TRA TECH'!$I:$I,F437)=0,"*",IF(SUMIFS('TRA RESID'!$P:$P,'TRA RESID'!$H:$H,$E437,'TRA RESID'!$I:$I,$F437)=0,"*","UC_MarketShare_"&amp;LEFT(F437,LEN(F437)-3)&amp;"_"&amp;RIGHT(E437,3)&amp;"_MIN"))))</f>
        <v>UC_MarketShare_TRAPASRAI_DSL_MIN</v>
      </c>
      <c r="D437" s="16"/>
      <c r="E437" s="17" t="str">
        <f>_xlfn.XLOOKUP($A437,Selected_constraint!$A:$A,Selected_constraint!$B:$B)</f>
        <v>TRADSL</v>
      </c>
      <c r="F437" s="17" t="str">
        <f>_xlfn.XLOOKUP($A437,Selected_constraint!$A:$A,Selected_constraint!$C:$C)</f>
        <v>TRAPASRAIDMD</v>
      </c>
      <c r="G437" s="17" t="str">
        <f>F437</f>
        <v>TRAPASRAIDMD</v>
      </c>
      <c r="H437" s="18">
        <v>2019</v>
      </c>
      <c r="I437" s="18" t="s">
        <v>483</v>
      </c>
      <c r="J437" s="18">
        <v>1</v>
      </c>
      <c r="K437" s="20">
        <f>-SUMIFS('TRA RESID'!$P:$P,'TRA RESID'!$H:$H,$E437,'TRA RESID'!$I:$I,$F437)/SUMIFS('TRA RESID'!$P:$P,'TRA RESID'!$I:$I,$F437)*O437</f>
        <v>-2.9933114423279672E-2</v>
      </c>
      <c r="L437" s="18">
        <v>0</v>
      </c>
      <c r="M437" s="18">
        <v>5</v>
      </c>
      <c r="N437" s="9"/>
      <c r="O437" s="21">
        <v>0.98</v>
      </c>
      <c r="Q437" s="15" t="str">
        <f t="shared" si="120"/>
        <v>UC_MarketShare_TRAPASRAI_DSL_MAX</v>
      </c>
      <c r="R437" s="16"/>
      <c r="S437" s="17" t="str">
        <f t="shared" si="122"/>
        <v>TRADSL</v>
      </c>
      <c r="T437" s="17" t="str">
        <f t="shared" si="123"/>
        <v>TRAPASRAIDMD</v>
      </c>
      <c r="U437" s="17" t="str">
        <f t="shared" si="124"/>
        <v>TRAPASRAIDMD</v>
      </c>
      <c r="V437" s="18">
        <v>2019</v>
      </c>
      <c r="W437" s="18" t="s">
        <v>484</v>
      </c>
      <c r="X437" s="18">
        <v>1</v>
      </c>
      <c r="Y437" s="20">
        <f>-MIN(SUMIFS('TRA RESID'!$P:$P,'TRA RESID'!$H:$H,$E437,'TRA RESID'!$I:$I,$F437)/SUMIFS('TRA RESID'!$P:$P,'TRA RESID'!$I:$I,$F437)*AC437,1)</f>
        <v>-3.1154874195658433E-2</v>
      </c>
      <c r="Z437" s="18">
        <v>0</v>
      </c>
      <c r="AA437" s="18">
        <v>5</v>
      </c>
      <c r="AB437" s="9"/>
      <c r="AC437" s="21">
        <v>1.02</v>
      </c>
    </row>
    <row r="438" spans="1:29" x14ac:dyDescent="0.25">
      <c r="A438" s="9">
        <f>A437</f>
        <v>109</v>
      </c>
      <c r="B438" s="9"/>
      <c r="C438" s="15" t="str">
        <f>IF(C437="*",C437,"")</f>
        <v/>
      </c>
      <c r="D438" s="16"/>
      <c r="E438" s="17" t="str">
        <f t="shared" ref="E438:G440" si="136">E437</f>
        <v>TRADSL</v>
      </c>
      <c r="F438" s="17" t="str">
        <f t="shared" si="136"/>
        <v>TRAPASRAIDMD</v>
      </c>
      <c r="G438" s="17" t="str">
        <f t="shared" si="136"/>
        <v>TRAPASRAIDMD</v>
      </c>
      <c r="H438" s="18">
        <v>2025</v>
      </c>
      <c r="I438" s="18" t="str">
        <f>I437</f>
        <v>LO</v>
      </c>
      <c r="J438" s="18"/>
      <c r="K438" s="20">
        <f>-SUMIFS('TRA RESID'!$P:$P,'TRA RESID'!$H:$H,$E438,'TRA RESID'!$I:$I,$F438)/SUMIFS('TRA RESID'!$P:$P,'TRA RESID'!$I:$I,$F438)*O438</f>
        <v>-2.4435195447575244E-2</v>
      </c>
      <c r="L438" s="18"/>
      <c r="M438" s="18"/>
      <c r="N438" s="9"/>
      <c r="O438" s="21">
        <v>0.8</v>
      </c>
      <c r="Q438" s="15" t="str">
        <f t="shared" si="120"/>
        <v/>
      </c>
      <c r="R438" s="16"/>
      <c r="S438" s="17" t="str">
        <f t="shared" si="122"/>
        <v>TRADSL</v>
      </c>
      <c r="T438" s="17" t="str">
        <f t="shared" si="123"/>
        <v>TRAPASRAIDMD</v>
      </c>
      <c r="U438" s="17" t="str">
        <f t="shared" si="124"/>
        <v>TRAPASRAIDMD</v>
      </c>
      <c r="V438" s="18">
        <v>2025</v>
      </c>
      <c r="W438" s="18" t="str">
        <f>W437</f>
        <v>UP</v>
      </c>
      <c r="X438" s="18"/>
      <c r="Y438" s="20">
        <f>-MIN(SUMIFS('TRA RESID'!$P:$P,'TRA RESID'!$H:$H,$E438,'TRA RESID'!$I:$I,$F438)/SUMIFS('TRA RESID'!$P:$P,'TRA RESID'!$I:$I,$F438)*AC438,1)</f>
        <v>-3.6652793171362864E-2</v>
      </c>
      <c r="Z438" s="18"/>
      <c r="AA438" s="18"/>
      <c r="AB438" s="9"/>
      <c r="AC438" s="21">
        <v>1.2</v>
      </c>
    </row>
    <row r="439" spans="1:29" x14ac:dyDescent="0.25">
      <c r="A439" s="9">
        <f>A438</f>
        <v>109</v>
      </c>
      <c r="B439" s="9"/>
      <c r="C439" s="15" t="str">
        <f>IF(C438="*",C438,"")</f>
        <v/>
      </c>
      <c r="D439" s="16"/>
      <c r="E439" s="17" t="str">
        <f t="shared" si="136"/>
        <v>TRADSL</v>
      </c>
      <c r="F439" s="17" t="str">
        <f t="shared" si="136"/>
        <v>TRAPASRAIDMD</v>
      </c>
      <c r="G439" s="17" t="str">
        <f t="shared" si="136"/>
        <v>TRAPASRAIDMD</v>
      </c>
      <c r="H439" s="18">
        <v>2030</v>
      </c>
      <c r="I439" s="18" t="str">
        <f>I438</f>
        <v>LO</v>
      </c>
      <c r="J439" s="18"/>
      <c r="K439" s="20">
        <f>-SUMIFS('TRA RESID'!$P:$P,'TRA RESID'!$H:$H,$E439,'TRA RESID'!$I:$I,$F439)/SUMIFS('TRA RESID'!$P:$P,'TRA RESID'!$I:$I,$F439)*O439</f>
        <v>-6.108798861893811E-3</v>
      </c>
      <c r="L439" s="18"/>
      <c r="M439" s="18"/>
      <c r="N439" s="9"/>
      <c r="O439" s="21">
        <v>0.2</v>
      </c>
      <c r="Q439" s="15" t="str">
        <f t="shared" si="120"/>
        <v/>
      </c>
      <c r="R439" s="16"/>
      <c r="S439" s="17" t="str">
        <f t="shared" si="122"/>
        <v>TRADSL</v>
      </c>
      <c r="T439" s="17" t="str">
        <f t="shared" si="123"/>
        <v>TRAPASRAIDMD</v>
      </c>
      <c r="U439" s="17" t="str">
        <f t="shared" si="124"/>
        <v>TRAPASRAIDMD</v>
      </c>
      <c r="V439" s="18">
        <v>2030</v>
      </c>
      <c r="W439" s="18" t="str">
        <f>W438</f>
        <v>UP</v>
      </c>
      <c r="X439" s="18"/>
      <c r="Y439" s="20">
        <f>-MIN(SUMIFS('TRA RESID'!$P:$P,'TRA RESID'!$H:$H,$E439,'TRA RESID'!$I:$I,$F439)/SUMIFS('TRA RESID'!$P:$P,'TRA RESID'!$I:$I,$F439)*AC439,1)</f>
        <v>-4.5815991464203579E-2</v>
      </c>
      <c r="Z439" s="18"/>
      <c r="AA439" s="18"/>
      <c r="AB439" s="9"/>
      <c r="AC439" s="21">
        <v>1.5</v>
      </c>
    </row>
    <row r="440" spans="1:29" x14ac:dyDescent="0.25">
      <c r="A440" s="22">
        <f>A439</f>
        <v>109</v>
      </c>
      <c r="B440" s="22"/>
      <c r="C440" s="23" t="str">
        <f>IF(C439="*",C439,"")</f>
        <v/>
      </c>
      <c r="D440" s="24"/>
      <c r="E440" s="25" t="str">
        <f t="shared" si="136"/>
        <v>TRADSL</v>
      </c>
      <c r="F440" s="25" t="str">
        <f t="shared" si="136"/>
        <v>TRAPASRAIDMD</v>
      </c>
      <c r="G440" s="25" t="str">
        <f t="shared" si="136"/>
        <v>TRAPASRAIDMD</v>
      </c>
      <c r="H440" s="26">
        <v>2050</v>
      </c>
      <c r="I440" s="26" t="str">
        <f>I439</f>
        <v>LO</v>
      </c>
      <c r="J440" s="26"/>
      <c r="K440" s="27">
        <f>-SUMIFS('TRA RESID'!$P:$P,'TRA RESID'!$H:$H,$E440,'TRA RESID'!$I:$I,$F440)/SUMIFS('TRA RESID'!$P:$P,'TRA RESID'!$I:$I,$F440)*O440</f>
        <v>0</v>
      </c>
      <c r="L440" s="26"/>
      <c r="M440" s="26"/>
      <c r="N440" s="22"/>
      <c r="O440" s="28">
        <v>0</v>
      </c>
      <c r="Q440" s="23" t="str">
        <f t="shared" si="120"/>
        <v/>
      </c>
      <c r="R440" s="24"/>
      <c r="S440" s="25" t="str">
        <f t="shared" si="122"/>
        <v>TRADSL</v>
      </c>
      <c r="T440" s="25" t="str">
        <f t="shared" si="123"/>
        <v>TRAPASRAIDMD</v>
      </c>
      <c r="U440" s="25" t="str">
        <f t="shared" si="124"/>
        <v>TRAPASRAIDMD</v>
      </c>
      <c r="V440" s="26">
        <v>2050</v>
      </c>
      <c r="W440" s="26" t="str">
        <f>W439</f>
        <v>UP</v>
      </c>
      <c r="X440" s="26"/>
      <c r="Y440" s="27">
        <f>-MIN(SUMIFS('TRA RESID'!$P:$P,'TRA RESID'!$H:$H,$E440,'TRA RESID'!$I:$I,$F440)/SUMIFS('TRA RESID'!$P:$P,'TRA RESID'!$I:$I,$F440)*AC440,1)</f>
        <v>-9.1631982928407157E-2</v>
      </c>
      <c r="Z440" s="26"/>
      <c r="AA440" s="26"/>
      <c r="AB440" s="22"/>
      <c r="AC440" s="28">
        <v>3</v>
      </c>
    </row>
    <row r="441" spans="1:29" x14ac:dyDescent="0.25">
      <c r="A441" s="14">
        <f>A437+1</f>
        <v>110</v>
      </c>
      <c r="B441" s="9"/>
      <c r="C441" s="15" t="str">
        <f>IF(E441="","",IF(_xlfn.XLOOKUP($A441,Selected_constraint!$A:$A,Selected_constraint!$D:$D)=1,"*",IF(SUMIFS('TRA TECH'!$M:$M,'TRA TECH'!$H:$H,E441,'TRA TECH'!$I:$I,F441)=0,"*",IF(SUMIFS('TRA RESID'!$P:$P,'TRA RESID'!$H:$H,$E441,'TRA RESID'!$I:$I,$F441)=0,"*","UC_MarketShare_"&amp;LEFT(F441,LEN(F441)-3)&amp;"_"&amp;RIGHT(E441,3)&amp;"_MIN"))))</f>
        <v>*</v>
      </c>
      <c r="D441" s="16"/>
      <c r="E441" s="17" t="str">
        <f>_xlfn.XLOOKUP($A441,Selected_constraint!$A:$A,Selected_constraint!$B:$B)</f>
        <v>TRARDS</v>
      </c>
      <c r="F441" s="17" t="str">
        <f>_xlfn.XLOOKUP($A441,Selected_constraint!$A:$A,Selected_constraint!$C:$C)</f>
        <v>TRAPASRAIDMD</v>
      </c>
      <c r="G441" s="17" t="str">
        <f>F441</f>
        <v>TRAPASRAIDMD</v>
      </c>
      <c r="H441" s="18">
        <v>2019</v>
      </c>
      <c r="I441" s="18" t="s">
        <v>483</v>
      </c>
      <c r="J441" s="18">
        <v>1</v>
      </c>
      <c r="K441" s="20">
        <f>-SUMIFS('TRA RESID'!$P:$P,'TRA RESID'!$H:$H,$E441,'TRA RESID'!$I:$I,$F441)/SUMIFS('TRA RESID'!$P:$P,'TRA RESID'!$I:$I,$F441)*O441</f>
        <v>0</v>
      </c>
      <c r="L441" s="18">
        <v>0</v>
      </c>
      <c r="M441" s="18">
        <v>5</v>
      </c>
      <c r="N441" s="9"/>
      <c r="O441" s="21">
        <v>0.98</v>
      </c>
      <c r="Q441" s="15" t="str">
        <f t="shared" si="120"/>
        <v>*</v>
      </c>
      <c r="R441" s="16"/>
      <c r="S441" s="17" t="str">
        <f t="shared" si="122"/>
        <v>TRARDS</v>
      </c>
      <c r="T441" s="17" t="str">
        <f t="shared" si="123"/>
        <v>TRAPASRAIDMD</v>
      </c>
      <c r="U441" s="17" t="str">
        <f t="shared" si="124"/>
        <v>TRAPASRAIDMD</v>
      </c>
      <c r="V441" s="18">
        <v>2019</v>
      </c>
      <c r="W441" s="18" t="s">
        <v>484</v>
      </c>
      <c r="X441" s="18">
        <v>1</v>
      </c>
      <c r="Y441" s="20">
        <f>-MIN(SUMIFS('TRA RESID'!$P:$P,'TRA RESID'!$H:$H,$E441,'TRA RESID'!$I:$I,$F441)/SUMIFS('TRA RESID'!$P:$P,'TRA RESID'!$I:$I,$F441)*AC441,1)</f>
        <v>0</v>
      </c>
      <c r="Z441" s="18">
        <v>0</v>
      </c>
      <c r="AA441" s="18">
        <v>5</v>
      </c>
      <c r="AB441" s="9"/>
      <c r="AC441" s="21">
        <v>1.02</v>
      </c>
    </row>
    <row r="442" spans="1:29" x14ac:dyDescent="0.25">
      <c r="A442" s="9">
        <f>A441</f>
        <v>110</v>
      </c>
      <c r="B442" s="9"/>
      <c r="C442" s="15" t="str">
        <f>IF(C441="*",C441,"")</f>
        <v>*</v>
      </c>
      <c r="D442" s="16"/>
      <c r="E442" s="17" t="str">
        <f t="shared" ref="E442:G444" si="137">E441</f>
        <v>TRARDS</v>
      </c>
      <c r="F442" s="17" t="str">
        <f t="shared" si="137"/>
        <v>TRAPASRAIDMD</v>
      </c>
      <c r="G442" s="17" t="str">
        <f t="shared" si="137"/>
        <v>TRAPASRAIDMD</v>
      </c>
      <c r="H442" s="18">
        <v>2025</v>
      </c>
      <c r="I442" s="18" t="str">
        <f>I441</f>
        <v>LO</v>
      </c>
      <c r="J442" s="18"/>
      <c r="K442" s="20">
        <f>-SUMIFS('TRA RESID'!$P:$P,'TRA RESID'!$H:$H,$E442,'TRA RESID'!$I:$I,$F442)/SUMIFS('TRA RESID'!$P:$P,'TRA RESID'!$I:$I,$F442)*O442</f>
        <v>0</v>
      </c>
      <c r="L442" s="18"/>
      <c r="M442" s="18"/>
      <c r="N442" s="9"/>
      <c r="O442" s="21">
        <v>0.8</v>
      </c>
      <c r="Q442" s="15" t="str">
        <f t="shared" si="120"/>
        <v>*</v>
      </c>
      <c r="R442" s="16"/>
      <c r="S442" s="17" t="str">
        <f t="shared" si="122"/>
        <v>TRARDS</v>
      </c>
      <c r="T442" s="17" t="str">
        <f t="shared" si="123"/>
        <v>TRAPASRAIDMD</v>
      </c>
      <c r="U442" s="17" t="str">
        <f t="shared" si="124"/>
        <v>TRAPASRAIDMD</v>
      </c>
      <c r="V442" s="18">
        <v>2025</v>
      </c>
      <c r="W442" s="18" t="str">
        <f>W441</f>
        <v>UP</v>
      </c>
      <c r="X442" s="18"/>
      <c r="Y442" s="20">
        <f>-MIN(SUMIFS('TRA RESID'!$P:$P,'TRA RESID'!$H:$H,$E442,'TRA RESID'!$I:$I,$F442)/SUMIFS('TRA RESID'!$P:$P,'TRA RESID'!$I:$I,$F442)*AC442,1)</f>
        <v>0</v>
      </c>
      <c r="Z442" s="18"/>
      <c r="AA442" s="18"/>
      <c r="AB442" s="9"/>
      <c r="AC442" s="21">
        <v>1.2</v>
      </c>
    </row>
    <row r="443" spans="1:29" x14ac:dyDescent="0.25">
      <c r="A443" s="9">
        <f>A442</f>
        <v>110</v>
      </c>
      <c r="B443" s="9"/>
      <c r="C443" s="15" t="str">
        <f>IF(C442="*",C442,"")</f>
        <v>*</v>
      </c>
      <c r="D443" s="16"/>
      <c r="E443" s="17" t="str">
        <f t="shared" si="137"/>
        <v>TRARDS</v>
      </c>
      <c r="F443" s="17" t="str">
        <f t="shared" si="137"/>
        <v>TRAPASRAIDMD</v>
      </c>
      <c r="G443" s="17" t="str">
        <f t="shared" si="137"/>
        <v>TRAPASRAIDMD</v>
      </c>
      <c r="H443" s="18">
        <v>2030</v>
      </c>
      <c r="I443" s="18" t="str">
        <f>I442</f>
        <v>LO</v>
      </c>
      <c r="J443" s="18"/>
      <c r="K443" s="20">
        <f>-SUMIFS('TRA RESID'!$P:$P,'TRA RESID'!$H:$H,$E443,'TRA RESID'!$I:$I,$F443)/SUMIFS('TRA RESID'!$P:$P,'TRA RESID'!$I:$I,$F443)*O443</f>
        <v>0</v>
      </c>
      <c r="L443" s="18"/>
      <c r="M443" s="18"/>
      <c r="N443" s="9"/>
      <c r="O443" s="21">
        <v>0.2</v>
      </c>
      <c r="Q443" s="15" t="str">
        <f t="shared" si="120"/>
        <v>*</v>
      </c>
      <c r="R443" s="16"/>
      <c r="S443" s="17" t="str">
        <f t="shared" si="122"/>
        <v>TRARDS</v>
      </c>
      <c r="T443" s="17" t="str">
        <f t="shared" si="123"/>
        <v>TRAPASRAIDMD</v>
      </c>
      <c r="U443" s="17" t="str">
        <f t="shared" si="124"/>
        <v>TRAPASRAIDMD</v>
      </c>
      <c r="V443" s="18">
        <v>2030</v>
      </c>
      <c r="W443" s="18" t="str">
        <f>W442</f>
        <v>UP</v>
      </c>
      <c r="X443" s="18"/>
      <c r="Y443" s="20">
        <f>-MIN(SUMIFS('TRA RESID'!$P:$P,'TRA RESID'!$H:$H,$E443,'TRA RESID'!$I:$I,$F443)/SUMIFS('TRA RESID'!$P:$P,'TRA RESID'!$I:$I,$F443)*AC443,1)</f>
        <v>0</v>
      </c>
      <c r="Z443" s="18"/>
      <c r="AA443" s="18"/>
      <c r="AB443" s="9"/>
      <c r="AC443" s="21">
        <v>1.5</v>
      </c>
    </row>
    <row r="444" spans="1:29" x14ac:dyDescent="0.25">
      <c r="A444" s="22">
        <f>A443</f>
        <v>110</v>
      </c>
      <c r="B444" s="22"/>
      <c r="C444" s="23" t="str">
        <f>IF(C443="*",C443,"")</f>
        <v>*</v>
      </c>
      <c r="D444" s="24"/>
      <c r="E444" s="25" t="str">
        <f t="shared" si="137"/>
        <v>TRARDS</v>
      </c>
      <c r="F444" s="25" t="str">
        <f t="shared" si="137"/>
        <v>TRAPASRAIDMD</v>
      </c>
      <c r="G444" s="25" t="str">
        <f t="shared" si="137"/>
        <v>TRAPASRAIDMD</v>
      </c>
      <c r="H444" s="26">
        <v>2050</v>
      </c>
      <c r="I444" s="26" t="str">
        <f>I443</f>
        <v>LO</v>
      </c>
      <c r="J444" s="26"/>
      <c r="K444" s="27">
        <f>-SUMIFS('TRA RESID'!$P:$P,'TRA RESID'!$H:$H,$E444,'TRA RESID'!$I:$I,$F444)/SUMIFS('TRA RESID'!$P:$P,'TRA RESID'!$I:$I,$F444)*O444</f>
        <v>0</v>
      </c>
      <c r="L444" s="26"/>
      <c r="M444" s="26"/>
      <c r="N444" s="22"/>
      <c r="O444" s="28">
        <v>0</v>
      </c>
      <c r="Q444" s="23" t="str">
        <f t="shared" si="120"/>
        <v>*</v>
      </c>
      <c r="R444" s="24"/>
      <c r="S444" s="25" t="str">
        <f t="shared" si="122"/>
        <v>TRARDS</v>
      </c>
      <c r="T444" s="25" t="str">
        <f t="shared" si="123"/>
        <v>TRAPASRAIDMD</v>
      </c>
      <c r="U444" s="25" t="str">
        <f t="shared" si="124"/>
        <v>TRAPASRAIDMD</v>
      </c>
      <c r="V444" s="26">
        <v>2050</v>
      </c>
      <c r="W444" s="26" t="str">
        <f>W443</f>
        <v>UP</v>
      </c>
      <c r="X444" s="26"/>
      <c r="Y444" s="27">
        <f>-MIN(SUMIFS('TRA RESID'!$P:$P,'TRA RESID'!$H:$H,$E444,'TRA RESID'!$I:$I,$F444)/SUMIFS('TRA RESID'!$P:$P,'TRA RESID'!$I:$I,$F444)*AC444,1)</f>
        <v>0</v>
      </c>
      <c r="Z444" s="26"/>
      <c r="AA444" s="26"/>
      <c r="AB444" s="22"/>
      <c r="AC444" s="28">
        <v>3</v>
      </c>
    </row>
    <row r="445" spans="1:29" x14ac:dyDescent="0.25">
      <c r="A445" s="14">
        <f>A441+1</f>
        <v>111</v>
      </c>
      <c r="B445" s="9"/>
      <c r="C445" s="15" t="str">
        <f>IF(E445="","",IF(_xlfn.XLOOKUP($A445,Selected_constraint!$A:$A,Selected_constraint!$D:$D)=1,"*",IF(SUMIFS('TRA TECH'!$M:$M,'TRA TECH'!$H:$H,E445,'TRA TECH'!$I:$I,F445)=0,"*",IF(SUMIFS('TRA RESID'!$P:$P,'TRA RESID'!$H:$H,$E445,'TRA RESID'!$I:$I,$F445)=0,"*","UC_MarketShare_"&amp;LEFT(F445,LEN(F445)-3)&amp;"_"&amp;RIGHT(E445,3)&amp;"_MIN"))))</f>
        <v>*</v>
      </c>
      <c r="D445" s="16"/>
      <c r="E445" s="17" t="str">
        <f>_xlfn.XLOOKUP($A445,Selected_constraint!$A:$A,Selected_constraint!$B:$B)</f>
        <v>TRABDS</v>
      </c>
      <c r="F445" s="17" t="str">
        <f>_xlfn.XLOOKUP($A445,Selected_constraint!$A:$A,Selected_constraint!$C:$C)</f>
        <v>TRAPASRAIDMD</v>
      </c>
      <c r="G445" s="17" t="str">
        <f>F445</f>
        <v>TRAPASRAIDMD</v>
      </c>
      <c r="H445" s="18">
        <v>2019</v>
      </c>
      <c r="I445" s="18" t="s">
        <v>483</v>
      </c>
      <c r="J445" s="18">
        <v>1</v>
      </c>
      <c r="K445" s="20">
        <f>-SUMIFS('TRA RESID'!$P:$P,'TRA RESID'!$H:$H,$E445,'TRA RESID'!$I:$I,$F445)/SUMIFS('TRA RESID'!$P:$P,'TRA RESID'!$I:$I,$F445)*O445</f>
        <v>0</v>
      </c>
      <c r="L445" s="18">
        <v>0</v>
      </c>
      <c r="M445" s="18">
        <v>5</v>
      </c>
      <c r="N445" s="9"/>
      <c r="O445" s="21">
        <v>0.98</v>
      </c>
      <c r="Q445" s="15" t="str">
        <f t="shared" si="120"/>
        <v>*</v>
      </c>
      <c r="R445" s="16"/>
      <c r="S445" s="17" t="str">
        <f t="shared" si="122"/>
        <v>TRABDS</v>
      </c>
      <c r="T445" s="17" t="str">
        <f t="shared" si="123"/>
        <v>TRAPASRAIDMD</v>
      </c>
      <c r="U445" s="17" t="str">
        <f t="shared" si="124"/>
        <v>TRAPASRAIDMD</v>
      </c>
      <c r="V445" s="18">
        <v>2019</v>
      </c>
      <c r="W445" s="18" t="s">
        <v>484</v>
      </c>
      <c r="X445" s="18">
        <v>1</v>
      </c>
      <c r="Y445" s="20">
        <f>-MIN(SUMIFS('TRA RESID'!$P:$P,'TRA RESID'!$H:$H,$E445,'TRA RESID'!$I:$I,$F445)/SUMIFS('TRA RESID'!$P:$P,'TRA RESID'!$I:$I,$F445)*AC445,1)</f>
        <v>0</v>
      </c>
      <c r="Z445" s="18">
        <v>0</v>
      </c>
      <c r="AA445" s="18">
        <v>5</v>
      </c>
      <c r="AB445" s="9"/>
      <c r="AC445" s="21">
        <v>1.02</v>
      </c>
    </row>
    <row r="446" spans="1:29" x14ac:dyDescent="0.25">
      <c r="A446" s="9">
        <f>A445</f>
        <v>111</v>
      </c>
      <c r="B446" s="9"/>
      <c r="C446" s="15" t="str">
        <f>IF(C445="*",C445,"")</f>
        <v>*</v>
      </c>
      <c r="D446" s="16"/>
      <c r="E446" s="17" t="str">
        <f t="shared" ref="E446:G448" si="138">E445</f>
        <v>TRABDS</v>
      </c>
      <c r="F446" s="17" t="str">
        <f t="shared" si="138"/>
        <v>TRAPASRAIDMD</v>
      </c>
      <c r="G446" s="17" t="str">
        <f t="shared" si="138"/>
        <v>TRAPASRAIDMD</v>
      </c>
      <c r="H446" s="18">
        <v>2025</v>
      </c>
      <c r="I446" s="18" t="str">
        <f>I445</f>
        <v>LO</v>
      </c>
      <c r="J446" s="18"/>
      <c r="K446" s="20">
        <f>-SUMIFS('TRA RESID'!$P:$P,'TRA RESID'!$H:$H,$E446,'TRA RESID'!$I:$I,$F446)/SUMIFS('TRA RESID'!$P:$P,'TRA RESID'!$I:$I,$F446)*O446</f>
        <v>0</v>
      </c>
      <c r="L446" s="18"/>
      <c r="M446" s="18"/>
      <c r="N446" s="9"/>
      <c r="O446" s="21">
        <v>0.8</v>
      </c>
      <c r="Q446" s="15" t="str">
        <f t="shared" si="120"/>
        <v>*</v>
      </c>
      <c r="R446" s="16"/>
      <c r="S446" s="17" t="str">
        <f t="shared" si="122"/>
        <v>TRABDS</v>
      </c>
      <c r="T446" s="17" t="str">
        <f t="shared" si="123"/>
        <v>TRAPASRAIDMD</v>
      </c>
      <c r="U446" s="17" t="str">
        <f t="shared" si="124"/>
        <v>TRAPASRAIDMD</v>
      </c>
      <c r="V446" s="18">
        <v>2025</v>
      </c>
      <c r="W446" s="18" t="str">
        <f>W445</f>
        <v>UP</v>
      </c>
      <c r="X446" s="18"/>
      <c r="Y446" s="20">
        <f>-MIN(SUMIFS('TRA RESID'!$P:$P,'TRA RESID'!$H:$H,$E446,'TRA RESID'!$I:$I,$F446)/SUMIFS('TRA RESID'!$P:$P,'TRA RESID'!$I:$I,$F446)*AC446,1)</f>
        <v>0</v>
      </c>
      <c r="Z446" s="18"/>
      <c r="AA446" s="18"/>
      <c r="AB446" s="9"/>
      <c r="AC446" s="21">
        <v>1.2</v>
      </c>
    </row>
    <row r="447" spans="1:29" x14ac:dyDescent="0.25">
      <c r="A447" s="9">
        <f>A446</f>
        <v>111</v>
      </c>
      <c r="B447" s="9"/>
      <c r="C447" s="15" t="str">
        <f>IF(C446="*",C446,"")</f>
        <v>*</v>
      </c>
      <c r="D447" s="16"/>
      <c r="E447" s="17" t="str">
        <f t="shared" si="138"/>
        <v>TRABDS</v>
      </c>
      <c r="F447" s="17" t="str">
        <f t="shared" si="138"/>
        <v>TRAPASRAIDMD</v>
      </c>
      <c r="G447" s="17" t="str">
        <f t="shared" si="138"/>
        <v>TRAPASRAIDMD</v>
      </c>
      <c r="H447" s="18">
        <v>2030</v>
      </c>
      <c r="I447" s="18" t="str">
        <f>I446</f>
        <v>LO</v>
      </c>
      <c r="J447" s="18"/>
      <c r="K447" s="20">
        <f>-SUMIFS('TRA RESID'!$P:$P,'TRA RESID'!$H:$H,$E447,'TRA RESID'!$I:$I,$F447)/SUMIFS('TRA RESID'!$P:$P,'TRA RESID'!$I:$I,$F447)*O447</f>
        <v>0</v>
      </c>
      <c r="L447" s="18"/>
      <c r="M447" s="18"/>
      <c r="N447" s="9"/>
      <c r="O447" s="21">
        <v>0.2</v>
      </c>
      <c r="Q447" s="15" t="str">
        <f t="shared" si="120"/>
        <v>*</v>
      </c>
      <c r="R447" s="16"/>
      <c r="S447" s="17" t="str">
        <f t="shared" si="122"/>
        <v>TRABDS</v>
      </c>
      <c r="T447" s="17" t="str">
        <f t="shared" si="123"/>
        <v>TRAPASRAIDMD</v>
      </c>
      <c r="U447" s="17" t="str">
        <f t="shared" si="124"/>
        <v>TRAPASRAIDMD</v>
      </c>
      <c r="V447" s="18">
        <v>2030</v>
      </c>
      <c r="W447" s="18" t="str">
        <f>W446</f>
        <v>UP</v>
      </c>
      <c r="X447" s="18"/>
      <c r="Y447" s="20">
        <f>-MIN(SUMIFS('TRA RESID'!$P:$P,'TRA RESID'!$H:$H,$E447,'TRA RESID'!$I:$I,$F447)/SUMIFS('TRA RESID'!$P:$P,'TRA RESID'!$I:$I,$F447)*AC447,1)</f>
        <v>0</v>
      </c>
      <c r="Z447" s="18"/>
      <c r="AA447" s="18"/>
      <c r="AB447" s="9"/>
      <c r="AC447" s="21">
        <v>1.5</v>
      </c>
    </row>
    <row r="448" spans="1:29" x14ac:dyDescent="0.25">
      <c r="A448" s="22">
        <f>A447</f>
        <v>111</v>
      </c>
      <c r="B448" s="22"/>
      <c r="C448" s="23" t="str">
        <f>IF(C447="*",C447,"")</f>
        <v>*</v>
      </c>
      <c r="D448" s="24"/>
      <c r="E448" s="25" t="str">
        <f t="shared" si="138"/>
        <v>TRABDS</v>
      </c>
      <c r="F448" s="25" t="str">
        <f t="shared" si="138"/>
        <v>TRAPASRAIDMD</v>
      </c>
      <c r="G448" s="25" t="str">
        <f t="shared" si="138"/>
        <v>TRAPASRAIDMD</v>
      </c>
      <c r="H448" s="26">
        <v>2050</v>
      </c>
      <c r="I448" s="26" t="str">
        <f>I447</f>
        <v>LO</v>
      </c>
      <c r="J448" s="26"/>
      <c r="K448" s="27">
        <f>-SUMIFS('TRA RESID'!$P:$P,'TRA RESID'!$H:$H,$E448,'TRA RESID'!$I:$I,$F448)/SUMIFS('TRA RESID'!$P:$P,'TRA RESID'!$I:$I,$F448)*O448</f>
        <v>0</v>
      </c>
      <c r="L448" s="26"/>
      <c r="M448" s="26"/>
      <c r="N448" s="22"/>
      <c r="O448" s="28">
        <v>0</v>
      </c>
      <c r="Q448" s="23" t="str">
        <f t="shared" si="120"/>
        <v>*</v>
      </c>
      <c r="R448" s="24"/>
      <c r="S448" s="25" t="str">
        <f t="shared" si="122"/>
        <v>TRABDS</v>
      </c>
      <c r="T448" s="25" t="str">
        <f t="shared" si="123"/>
        <v>TRAPASRAIDMD</v>
      </c>
      <c r="U448" s="25" t="str">
        <f t="shared" si="124"/>
        <v>TRAPASRAIDMD</v>
      </c>
      <c r="V448" s="26">
        <v>2050</v>
      </c>
      <c r="W448" s="26" t="str">
        <f>W447</f>
        <v>UP</v>
      </c>
      <c r="X448" s="26"/>
      <c r="Y448" s="27">
        <f>-MIN(SUMIFS('TRA RESID'!$P:$P,'TRA RESID'!$H:$H,$E448,'TRA RESID'!$I:$I,$F448)/SUMIFS('TRA RESID'!$P:$P,'TRA RESID'!$I:$I,$F448)*AC448,1)</f>
        <v>0</v>
      </c>
      <c r="Z448" s="26"/>
      <c r="AA448" s="26"/>
      <c r="AB448" s="22"/>
      <c r="AC448" s="28">
        <v>3</v>
      </c>
    </row>
    <row r="449" spans="1:29" x14ac:dyDescent="0.25">
      <c r="A449" s="14">
        <f>A445+1</f>
        <v>112</v>
      </c>
      <c r="B449" s="9"/>
      <c r="C449" s="15" t="str">
        <f>IF(E449="","",IF(_xlfn.XLOOKUP($A449,Selected_constraint!$A:$A,Selected_constraint!$D:$D)=1,"*",IF(SUMIFS('TRA TECH'!$M:$M,'TRA TECH'!$H:$H,E449,'TRA TECH'!$I:$I,F449)=0,"*",IF(SUMIFS('TRA RESID'!$P:$P,'TRA RESID'!$H:$H,$E449,'TRA RESID'!$I:$I,$F449)=0,"*","UC_MarketShare_"&amp;LEFT(F449,LEN(F449)-3)&amp;"_"&amp;RIGHT(E449,3)&amp;"_MIN"))))</f>
        <v>*</v>
      </c>
      <c r="D449" s="16"/>
      <c r="E449" s="17" t="str">
        <f>_xlfn.XLOOKUP($A449,Selected_constraint!$A:$A,Selected_constraint!$B:$B)</f>
        <v>TRACNG</v>
      </c>
      <c r="F449" s="17" t="str">
        <f>_xlfn.XLOOKUP($A449,Selected_constraint!$A:$A,Selected_constraint!$C:$C)</f>
        <v>TRAPASRAIDMD</v>
      </c>
      <c r="G449" s="17" t="str">
        <f>F449</f>
        <v>TRAPASRAIDMD</v>
      </c>
      <c r="H449" s="18">
        <v>2019</v>
      </c>
      <c r="I449" s="18" t="s">
        <v>483</v>
      </c>
      <c r="J449" s="18">
        <v>1</v>
      </c>
      <c r="K449" s="20">
        <f>-SUMIFS('TRA RESID'!$P:$P,'TRA RESID'!$H:$H,$E449,'TRA RESID'!$I:$I,$F449)/SUMIFS('TRA RESID'!$P:$P,'TRA RESID'!$I:$I,$F449)*O449</f>
        <v>0</v>
      </c>
      <c r="L449" s="18">
        <v>0</v>
      </c>
      <c r="M449" s="18">
        <v>5</v>
      </c>
      <c r="N449" s="9"/>
      <c r="O449" s="21">
        <v>0.98</v>
      </c>
      <c r="Q449" s="15" t="str">
        <f t="shared" si="120"/>
        <v>*</v>
      </c>
      <c r="R449" s="16"/>
      <c r="S449" s="17" t="str">
        <f t="shared" si="122"/>
        <v>TRACNG</v>
      </c>
      <c r="T449" s="17" t="str">
        <f t="shared" si="123"/>
        <v>TRAPASRAIDMD</v>
      </c>
      <c r="U449" s="17" t="str">
        <f t="shared" si="124"/>
        <v>TRAPASRAIDMD</v>
      </c>
      <c r="V449" s="18">
        <v>2019</v>
      </c>
      <c r="W449" s="18" t="s">
        <v>484</v>
      </c>
      <c r="X449" s="18">
        <v>1</v>
      </c>
      <c r="Y449" s="20">
        <f>-MIN(SUMIFS('TRA RESID'!$P:$P,'TRA RESID'!$H:$H,$E449,'TRA RESID'!$I:$I,$F449)/SUMIFS('TRA RESID'!$P:$P,'TRA RESID'!$I:$I,$F449)*AC449,1)</f>
        <v>0</v>
      </c>
      <c r="Z449" s="18">
        <v>0</v>
      </c>
      <c r="AA449" s="18">
        <v>5</v>
      </c>
      <c r="AB449" s="9"/>
      <c r="AC449" s="21">
        <v>1.02</v>
      </c>
    </row>
    <row r="450" spans="1:29" x14ac:dyDescent="0.25">
      <c r="A450" s="9">
        <f>A449</f>
        <v>112</v>
      </c>
      <c r="B450" s="9"/>
      <c r="C450" s="15" t="str">
        <f>IF(C449="*",C449,"")</f>
        <v>*</v>
      </c>
      <c r="D450" s="16"/>
      <c r="E450" s="17" t="str">
        <f t="shared" ref="E450:G452" si="139">E449</f>
        <v>TRACNG</v>
      </c>
      <c r="F450" s="17" t="str">
        <f t="shared" si="139"/>
        <v>TRAPASRAIDMD</v>
      </c>
      <c r="G450" s="17" t="str">
        <f t="shared" si="139"/>
        <v>TRAPASRAIDMD</v>
      </c>
      <c r="H450" s="18">
        <v>2025</v>
      </c>
      <c r="I450" s="18" t="str">
        <f>I449</f>
        <v>LO</v>
      </c>
      <c r="J450" s="18"/>
      <c r="K450" s="20">
        <f>-SUMIFS('TRA RESID'!$P:$P,'TRA RESID'!$H:$H,$E450,'TRA RESID'!$I:$I,$F450)/SUMIFS('TRA RESID'!$P:$P,'TRA RESID'!$I:$I,$F450)*O450</f>
        <v>0</v>
      </c>
      <c r="L450" s="18"/>
      <c r="M450" s="18"/>
      <c r="N450" s="9"/>
      <c r="O450" s="21">
        <v>0.8</v>
      </c>
      <c r="Q450" s="15" t="str">
        <f t="shared" si="120"/>
        <v>*</v>
      </c>
      <c r="R450" s="16"/>
      <c r="S450" s="17" t="str">
        <f t="shared" si="122"/>
        <v>TRACNG</v>
      </c>
      <c r="T450" s="17" t="str">
        <f t="shared" si="123"/>
        <v>TRAPASRAIDMD</v>
      </c>
      <c r="U450" s="17" t="str">
        <f t="shared" si="124"/>
        <v>TRAPASRAIDMD</v>
      </c>
      <c r="V450" s="18">
        <v>2025</v>
      </c>
      <c r="W450" s="18" t="str">
        <f>W449</f>
        <v>UP</v>
      </c>
      <c r="X450" s="18"/>
      <c r="Y450" s="20">
        <f>-MIN(SUMIFS('TRA RESID'!$P:$P,'TRA RESID'!$H:$H,$E450,'TRA RESID'!$I:$I,$F450)/SUMIFS('TRA RESID'!$P:$P,'TRA RESID'!$I:$I,$F450)*AC450,1)</f>
        <v>0</v>
      </c>
      <c r="Z450" s="18"/>
      <c r="AA450" s="18"/>
      <c r="AB450" s="9"/>
      <c r="AC450" s="21">
        <v>1.2</v>
      </c>
    </row>
    <row r="451" spans="1:29" x14ac:dyDescent="0.25">
      <c r="A451" s="9">
        <f>A450</f>
        <v>112</v>
      </c>
      <c r="B451" s="9"/>
      <c r="C451" s="15" t="str">
        <f>IF(C450="*",C450,"")</f>
        <v>*</v>
      </c>
      <c r="D451" s="16"/>
      <c r="E451" s="17" t="str">
        <f t="shared" si="139"/>
        <v>TRACNG</v>
      </c>
      <c r="F451" s="17" t="str">
        <f t="shared" si="139"/>
        <v>TRAPASRAIDMD</v>
      </c>
      <c r="G451" s="17" t="str">
        <f t="shared" si="139"/>
        <v>TRAPASRAIDMD</v>
      </c>
      <c r="H451" s="18">
        <v>2030</v>
      </c>
      <c r="I451" s="18" t="str">
        <f>I450</f>
        <v>LO</v>
      </c>
      <c r="J451" s="18"/>
      <c r="K451" s="20">
        <f>-SUMIFS('TRA RESID'!$P:$P,'TRA RESID'!$H:$H,$E451,'TRA RESID'!$I:$I,$F451)/SUMIFS('TRA RESID'!$P:$P,'TRA RESID'!$I:$I,$F451)*O451</f>
        <v>0</v>
      </c>
      <c r="L451" s="18"/>
      <c r="M451" s="18"/>
      <c r="N451" s="9"/>
      <c r="O451" s="21">
        <v>0.2</v>
      </c>
      <c r="Q451" s="15" t="str">
        <f t="shared" si="120"/>
        <v>*</v>
      </c>
      <c r="R451" s="16"/>
      <c r="S451" s="17" t="str">
        <f t="shared" si="122"/>
        <v>TRACNG</v>
      </c>
      <c r="T451" s="17" t="str">
        <f t="shared" si="123"/>
        <v>TRAPASRAIDMD</v>
      </c>
      <c r="U451" s="17" t="str">
        <f t="shared" si="124"/>
        <v>TRAPASRAIDMD</v>
      </c>
      <c r="V451" s="18">
        <v>2030</v>
      </c>
      <c r="W451" s="18" t="str">
        <f>W450</f>
        <v>UP</v>
      </c>
      <c r="X451" s="18"/>
      <c r="Y451" s="20">
        <f>-MIN(SUMIFS('TRA RESID'!$P:$P,'TRA RESID'!$H:$H,$E451,'TRA RESID'!$I:$I,$F451)/SUMIFS('TRA RESID'!$P:$P,'TRA RESID'!$I:$I,$F451)*AC451,1)</f>
        <v>0</v>
      </c>
      <c r="Z451" s="18"/>
      <c r="AA451" s="18"/>
      <c r="AB451" s="9"/>
      <c r="AC451" s="21">
        <v>1.5</v>
      </c>
    </row>
    <row r="452" spans="1:29" x14ac:dyDescent="0.25">
      <c r="A452" s="22">
        <f>A451</f>
        <v>112</v>
      </c>
      <c r="B452" s="22"/>
      <c r="C452" s="23" t="str">
        <f>IF(C451="*",C451,"")</f>
        <v>*</v>
      </c>
      <c r="D452" s="24"/>
      <c r="E452" s="25" t="str">
        <f t="shared" si="139"/>
        <v>TRACNG</v>
      </c>
      <c r="F452" s="25" t="str">
        <f t="shared" si="139"/>
        <v>TRAPASRAIDMD</v>
      </c>
      <c r="G452" s="25" t="str">
        <f t="shared" si="139"/>
        <v>TRAPASRAIDMD</v>
      </c>
      <c r="H452" s="26">
        <v>2050</v>
      </c>
      <c r="I452" s="26" t="str">
        <f>I451</f>
        <v>LO</v>
      </c>
      <c r="J452" s="26"/>
      <c r="K452" s="27">
        <f>-SUMIFS('TRA RESID'!$P:$P,'TRA RESID'!$H:$H,$E452,'TRA RESID'!$I:$I,$F452)/SUMIFS('TRA RESID'!$P:$P,'TRA RESID'!$I:$I,$F452)*O452</f>
        <v>0</v>
      </c>
      <c r="L452" s="26"/>
      <c r="M452" s="26"/>
      <c r="N452" s="22"/>
      <c r="O452" s="28">
        <v>0</v>
      </c>
      <c r="Q452" s="23" t="str">
        <f t="shared" si="120"/>
        <v>*</v>
      </c>
      <c r="R452" s="24"/>
      <c r="S452" s="25" t="str">
        <f t="shared" si="122"/>
        <v>TRACNG</v>
      </c>
      <c r="T452" s="25" t="str">
        <f t="shared" si="123"/>
        <v>TRAPASRAIDMD</v>
      </c>
      <c r="U452" s="25" t="str">
        <f t="shared" si="124"/>
        <v>TRAPASRAIDMD</v>
      </c>
      <c r="V452" s="26">
        <v>2050</v>
      </c>
      <c r="W452" s="26" t="str">
        <f>W451</f>
        <v>UP</v>
      </c>
      <c r="X452" s="26"/>
      <c r="Y452" s="27">
        <f>-MIN(SUMIFS('TRA RESID'!$P:$P,'TRA RESID'!$H:$H,$E452,'TRA RESID'!$I:$I,$F452)/SUMIFS('TRA RESID'!$P:$P,'TRA RESID'!$I:$I,$F452)*AC452,1)</f>
        <v>0</v>
      </c>
      <c r="Z452" s="26"/>
      <c r="AA452" s="26"/>
      <c r="AB452" s="22"/>
      <c r="AC452" s="28">
        <v>3</v>
      </c>
    </row>
    <row r="453" spans="1:29" x14ac:dyDescent="0.25">
      <c r="A453" s="14">
        <f>A449+1</f>
        <v>113</v>
      </c>
      <c r="B453" s="9"/>
      <c r="C453" s="15" t="str">
        <f>IF(E453="","",IF(_xlfn.XLOOKUP($A453,Selected_constraint!$A:$A,Selected_constraint!$D:$D)=1,"*",IF(SUMIFS('TRA TECH'!$M:$M,'TRA TECH'!$H:$H,E453,'TRA TECH'!$I:$I,F453)=0,"*",IF(SUMIFS('TRA RESID'!$P:$P,'TRA RESID'!$H:$H,$E453,'TRA RESID'!$I:$I,$F453)=0,"*","UC_MarketShare_"&amp;LEFT(F453,LEN(F453)-3)&amp;"_"&amp;RIGHT(E453,3)&amp;"_MIN"))))</f>
        <v>*</v>
      </c>
      <c r="D453" s="16"/>
      <c r="E453" s="17" t="str">
        <f>_xlfn.XLOOKUP($A453,Selected_constraint!$A:$A,Selected_constraint!$B:$B)</f>
        <v>TRARNG</v>
      </c>
      <c r="F453" s="17" t="str">
        <f>_xlfn.XLOOKUP($A453,Selected_constraint!$A:$A,Selected_constraint!$C:$C)</f>
        <v>TRAPASRAIDMD</v>
      </c>
      <c r="G453" s="17" t="str">
        <f>F453</f>
        <v>TRAPASRAIDMD</v>
      </c>
      <c r="H453" s="18">
        <v>2019</v>
      </c>
      <c r="I453" s="18" t="s">
        <v>483</v>
      </c>
      <c r="J453" s="18">
        <v>1</v>
      </c>
      <c r="K453" s="20">
        <f>-SUMIFS('TRA RESID'!$P:$P,'TRA RESID'!$H:$H,$E453,'TRA RESID'!$I:$I,$F453)/SUMIFS('TRA RESID'!$P:$P,'TRA RESID'!$I:$I,$F453)*O453</f>
        <v>0</v>
      </c>
      <c r="L453" s="18">
        <v>0</v>
      </c>
      <c r="M453" s="18">
        <v>5</v>
      </c>
      <c r="N453" s="9"/>
      <c r="O453" s="21">
        <v>0.98</v>
      </c>
      <c r="Q453" s="15" t="str">
        <f t="shared" ref="Q453:Q516" si="140">SUBSTITUTE(C453,"MIN","MAX")</f>
        <v>*</v>
      </c>
      <c r="R453" s="16"/>
      <c r="S453" s="17" t="str">
        <f t="shared" si="122"/>
        <v>TRARNG</v>
      </c>
      <c r="T453" s="17" t="str">
        <f t="shared" si="123"/>
        <v>TRAPASRAIDMD</v>
      </c>
      <c r="U453" s="17" t="str">
        <f t="shared" si="124"/>
        <v>TRAPASRAIDMD</v>
      </c>
      <c r="V453" s="18">
        <v>2019</v>
      </c>
      <c r="W453" s="18" t="s">
        <v>484</v>
      </c>
      <c r="X453" s="18">
        <v>1</v>
      </c>
      <c r="Y453" s="20">
        <f>-MIN(SUMIFS('TRA RESID'!$P:$P,'TRA RESID'!$H:$H,$E453,'TRA RESID'!$I:$I,$F453)/SUMIFS('TRA RESID'!$P:$P,'TRA RESID'!$I:$I,$F453)*AC453,1)</f>
        <v>0</v>
      </c>
      <c r="Z453" s="18">
        <v>0</v>
      </c>
      <c r="AA453" s="18">
        <v>5</v>
      </c>
      <c r="AB453" s="9"/>
      <c r="AC453" s="21">
        <v>1.02</v>
      </c>
    </row>
    <row r="454" spans="1:29" x14ac:dyDescent="0.25">
      <c r="A454" s="9">
        <f>A453</f>
        <v>113</v>
      </c>
      <c r="B454" s="9"/>
      <c r="C454" s="15" t="str">
        <f>IF(C453="*",C453,"")</f>
        <v>*</v>
      </c>
      <c r="D454" s="16"/>
      <c r="E454" s="17" t="str">
        <f t="shared" ref="E454:G456" si="141">E453</f>
        <v>TRARNG</v>
      </c>
      <c r="F454" s="17" t="str">
        <f t="shared" si="141"/>
        <v>TRAPASRAIDMD</v>
      </c>
      <c r="G454" s="17" t="str">
        <f t="shared" si="141"/>
        <v>TRAPASRAIDMD</v>
      </c>
      <c r="H454" s="18">
        <v>2025</v>
      </c>
      <c r="I454" s="18" t="str">
        <f>I453</f>
        <v>LO</v>
      </c>
      <c r="J454" s="18"/>
      <c r="K454" s="20">
        <f>-SUMIFS('TRA RESID'!$P:$P,'TRA RESID'!$H:$H,$E454,'TRA RESID'!$I:$I,$F454)/SUMIFS('TRA RESID'!$P:$P,'TRA RESID'!$I:$I,$F454)*O454</f>
        <v>0</v>
      </c>
      <c r="L454" s="18"/>
      <c r="M454" s="18"/>
      <c r="N454" s="9"/>
      <c r="O454" s="21">
        <v>0.8</v>
      </c>
      <c r="Q454" s="15" t="str">
        <f t="shared" si="140"/>
        <v>*</v>
      </c>
      <c r="R454" s="16"/>
      <c r="S454" s="17" t="str">
        <f t="shared" ref="S454:S517" si="142">E454</f>
        <v>TRARNG</v>
      </c>
      <c r="T454" s="17" t="str">
        <f t="shared" ref="T454:T517" si="143">F454</f>
        <v>TRAPASRAIDMD</v>
      </c>
      <c r="U454" s="17" t="str">
        <f t="shared" ref="U454:U517" si="144">G454</f>
        <v>TRAPASRAIDMD</v>
      </c>
      <c r="V454" s="18">
        <v>2025</v>
      </c>
      <c r="W454" s="18" t="str">
        <f>W453</f>
        <v>UP</v>
      </c>
      <c r="X454" s="18"/>
      <c r="Y454" s="20">
        <f>-MIN(SUMIFS('TRA RESID'!$P:$P,'TRA RESID'!$H:$H,$E454,'TRA RESID'!$I:$I,$F454)/SUMIFS('TRA RESID'!$P:$P,'TRA RESID'!$I:$I,$F454)*AC454,1)</f>
        <v>0</v>
      </c>
      <c r="Z454" s="18"/>
      <c r="AA454" s="18"/>
      <c r="AB454" s="9"/>
      <c r="AC454" s="21">
        <v>1.2</v>
      </c>
    </row>
    <row r="455" spans="1:29" x14ac:dyDescent="0.25">
      <c r="A455" s="9">
        <f>A454</f>
        <v>113</v>
      </c>
      <c r="B455" s="9"/>
      <c r="C455" s="15" t="str">
        <f>IF(C454="*",C454,"")</f>
        <v>*</v>
      </c>
      <c r="D455" s="16"/>
      <c r="E455" s="17" t="str">
        <f t="shared" si="141"/>
        <v>TRARNG</v>
      </c>
      <c r="F455" s="17" t="str">
        <f t="shared" si="141"/>
        <v>TRAPASRAIDMD</v>
      </c>
      <c r="G455" s="17" t="str">
        <f t="shared" si="141"/>
        <v>TRAPASRAIDMD</v>
      </c>
      <c r="H455" s="18">
        <v>2030</v>
      </c>
      <c r="I455" s="18" t="str">
        <f>I454</f>
        <v>LO</v>
      </c>
      <c r="J455" s="18"/>
      <c r="K455" s="20">
        <f>-SUMIFS('TRA RESID'!$P:$P,'TRA RESID'!$H:$H,$E455,'TRA RESID'!$I:$I,$F455)/SUMIFS('TRA RESID'!$P:$P,'TRA RESID'!$I:$I,$F455)*O455</f>
        <v>0</v>
      </c>
      <c r="L455" s="18"/>
      <c r="M455" s="18"/>
      <c r="N455" s="9"/>
      <c r="O455" s="21">
        <v>0.2</v>
      </c>
      <c r="Q455" s="15" t="str">
        <f t="shared" si="140"/>
        <v>*</v>
      </c>
      <c r="R455" s="16"/>
      <c r="S455" s="17" t="str">
        <f t="shared" si="142"/>
        <v>TRARNG</v>
      </c>
      <c r="T455" s="17" t="str">
        <f t="shared" si="143"/>
        <v>TRAPASRAIDMD</v>
      </c>
      <c r="U455" s="17" t="str">
        <f t="shared" si="144"/>
        <v>TRAPASRAIDMD</v>
      </c>
      <c r="V455" s="18">
        <v>2030</v>
      </c>
      <c r="W455" s="18" t="str">
        <f>W454</f>
        <v>UP</v>
      </c>
      <c r="X455" s="18"/>
      <c r="Y455" s="20">
        <f>-MIN(SUMIFS('TRA RESID'!$P:$P,'TRA RESID'!$H:$H,$E455,'TRA RESID'!$I:$I,$F455)/SUMIFS('TRA RESID'!$P:$P,'TRA RESID'!$I:$I,$F455)*AC455,1)</f>
        <v>0</v>
      </c>
      <c r="Z455" s="18"/>
      <c r="AA455" s="18"/>
      <c r="AB455" s="9"/>
      <c r="AC455" s="21">
        <v>1.5</v>
      </c>
    </row>
    <row r="456" spans="1:29" x14ac:dyDescent="0.25">
      <c r="A456" s="22">
        <f>A455</f>
        <v>113</v>
      </c>
      <c r="B456" s="22"/>
      <c r="C456" s="23" t="str">
        <f>IF(C455="*",C455,"")</f>
        <v>*</v>
      </c>
      <c r="D456" s="24"/>
      <c r="E456" s="25" t="str">
        <f t="shared" si="141"/>
        <v>TRARNG</v>
      </c>
      <c r="F456" s="25" t="str">
        <f t="shared" si="141"/>
        <v>TRAPASRAIDMD</v>
      </c>
      <c r="G456" s="25" t="str">
        <f t="shared" si="141"/>
        <v>TRAPASRAIDMD</v>
      </c>
      <c r="H456" s="26">
        <v>2050</v>
      </c>
      <c r="I456" s="26" t="str">
        <f>I455</f>
        <v>LO</v>
      </c>
      <c r="J456" s="26"/>
      <c r="K456" s="27">
        <f>-SUMIFS('TRA RESID'!$P:$P,'TRA RESID'!$H:$H,$E456,'TRA RESID'!$I:$I,$F456)/SUMIFS('TRA RESID'!$P:$P,'TRA RESID'!$I:$I,$F456)*O456</f>
        <v>0</v>
      </c>
      <c r="L456" s="26"/>
      <c r="M456" s="26"/>
      <c r="N456" s="22"/>
      <c r="O456" s="28">
        <v>0</v>
      </c>
      <c r="Q456" s="23" t="str">
        <f t="shared" si="140"/>
        <v>*</v>
      </c>
      <c r="R456" s="24"/>
      <c r="S456" s="25" t="str">
        <f t="shared" si="142"/>
        <v>TRARNG</v>
      </c>
      <c r="T456" s="25" t="str">
        <f t="shared" si="143"/>
        <v>TRAPASRAIDMD</v>
      </c>
      <c r="U456" s="25" t="str">
        <f t="shared" si="144"/>
        <v>TRAPASRAIDMD</v>
      </c>
      <c r="V456" s="26">
        <v>2050</v>
      </c>
      <c r="W456" s="26" t="str">
        <f>W455</f>
        <v>UP</v>
      </c>
      <c r="X456" s="26"/>
      <c r="Y456" s="27">
        <f>-MIN(SUMIFS('TRA RESID'!$P:$P,'TRA RESID'!$H:$H,$E456,'TRA RESID'!$I:$I,$F456)/SUMIFS('TRA RESID'!$P:$P,'TRA RESID'!$I:$I,$F456)*AC456,1)</f>
        <v>0</v>
      </c>
      <c r="Z456" s="26"/>
      <c r="AA456" s="26"/>
      <c r="AB456" s="22"/>
      <c r="AC456" s="28">
        <v>3</v>
      </c>
    </row>
    <row r="457" spans="1:29" x14ac:dyDescent="0.25">
      <c r="A457" s="14">
        <f>A453+1</f>
        <v>114</v>
      </c>
      <c r="B457" s="9"/>
      <c r="C457" s="15" t="str">
        <f>IF(E457="","",IF(_xlfn.XLOOKUP($A457,Selected_constraint!$A:$A,Selected_constraint!$D:$D)=1,"*",IF(SUMIFS('TRA TECH'!$M:$M,'TRA TECH'!$H:$H,E457,'TRA TECH'!$I:$I,F457)=0,"*",IF(SUMIFS('TRA RESID'!$P:$P,'TRA RESID'!$H:$H,$E457,'TRA RESID'!$I:$I,$F457)=0,"*","UC_MarketShare_"&amp;LEFT(F457,LEN(F457)-3)&amp;"_"&amp;RIGHT(E457,3)&amp;"_MIN"))))</f>
        <v>UC_MarketShare_TRAPASRAI_ELC_MIN</v>
      </c>
      <c r="D457" s="16"/>
      <c r="E457" s="17" t="str">
        <f>_xlfn.XLOOKUP($A457,Selected_constraint!$A:$A,Selected_constraint!$B:$B)</f>
        <v>TRAELC</v>
      </c>
      <c r="F457" s="17" t="str">
        <f>_xlfn.XLOOKUP($A457,Selected_constraint!$A:$A,Selected_constraint!$C:$C)</f>
        <v>TRAPASRAIDMD</v>
      </c>
      <c r="G457" s="17" t="str">
        <f>F457</f>
        <v>TRAPASRAIDMD</v>
      </c>
      <c r="H457" s="18">
        <v>2019</v>
      </c>
      <c r="I457" s="18" t="s">
        <v>483</v>
      </c>
      <c r="J457" s="18">
        <v>1</v>
      </c>
      <c r="K457" s="20">
        <f>-SUMIFS('TRA RESID'!$P:$P,'TRA RESID'!$H:$H,$E457,'TRA RESID'!$I:$I,$F457)/SUMIFS('TRA RESID'!$P:$P,'TRA RESID'!$I:$I,$F457)*O457</f>
        <v>-0.95006688557672025</v>
      </c>
      <c r="L457" s="18">
        <v>0</v>
      </c>
      <c r="M457" s="18">
        <v>5</v>
      </c>
      <c r="N457" s="9"/>
      <c r="O457" s="21">
        <v>0.98</v>
      </c>
      <c r="Q457" s="15" t="str">
        <f t="shared" si="140"/>
        <v>UC_MarketShare_TRAPASRAI_ELC_MAX</v>
      </c>
      <c r="R457" s="16"/>
      <c r="S457" s="17" t="str">
        <f t="shared" si="142"/>
        <v>TRAELC</v>
      </c>
      <c r="T457" s="17" t="str">
        <f t="shared" si="143"/>
        <v>TRAPASRAIDMD</v>
      </c>
      <c r="U457" s="17" t="str">
        <f t="shared" si="144"/>
        <v>TRAPASRAIDMD</v>
      </c>
      <c r="V457" s="18">
        <v>2019</v>
      </c>
      <c r="W457" s="18" t="s">
        <v>484</v>
      </c>
      <c r="X457" s="18">
        <v>1</v>
      </c>
      <c r="Y457" s="20">
        <f>-MIN(SUMIFS('TRA RESID'!$P:$P,'TRA RESID'!$H:$H,$E457,'TRA RESID'!$I:$I,$F457)/SUMIFS('TRA RESID'!$P:$P,'TRA RESID'!$I:$I,$F457)*AC457,1)</f>
        <v>-0.98884512580434158</v>
      </c>
      <c r="Z457" s="18">
        <v>0</v>
      </c>
      <c r="AA457" s="18">
        <v>5</v>
      </c>
      <c r="AB457" s="9"/>
      <c r="AC457" s="21">
        <v>1.02</v>
      </c>
    </row>
    <row r="458" spans="1:29" x14ac:dyDescent="0.25">
      <c r="A458" s="9">
        <f>A457</f>
        <v>114</v>
      </c>
      <c r="B458" s="9"/>
      <c r="C458" s="15" t="str">
        <f>IF(C457="*",C457,"")</f>
        <v/>
      </c>
      <c r="D458" s="16"/>
      <c r="E458" s="17" t="str">
        <f t="shared" ref="E458:G460" si="145">E457</f>
        <v>TRAELC</v>
      </c>
      <c r="F458" s="17" t="str">
        <f t="shared" si="145"/>
        <v>TRAPASRAIDMD</v>
      </c>
      <c r="G458" s="17" t="str">
        <f t="shared" si="145"/>
        <v>TRAPASRAIDMD</v>
      </c>
      <c r="H458" s="18">
        <v>2025</v>
      </c>
      <c r="I458" s="18" t="str">
        <f>I457</f>
        <v>LO</v>
      </c>
      <c r="J458" s="18"/>
      <c r="K458" s="20">
        <f>-SUMIFS('TRA RESID'!$P:$P,'TRA RESID'!$H:$H,$E458,'TRA RESID'!$I:$I,$F458)/SUMIFS('TRA RESID'!$P:$P,'TRA RESID'!$I:$I,$F458)*O458</f>
        <v>-0.77556480455242482</v>
      </c>
      <c r="L458" s="18"/>
      <c r="M458" s="18"/>
      <c r="N458" s="9"/>
      <c r="O458" s="21">
        <v>0.8</v>
      </c>
      <c r="Q458" s="15" t="str">
        <f t="shared" si="140"/>
        <v/>
      </c>
      <c r="R458" s="16"/>
      <c r="S458" s="17" t="str">
        <f t="shared" si="142"/>
        <v>TRAELC</v>
      </c>
      <c r="T458" s="17" t="str">
        <f t="shared" si="143"/>
        <v>TRAPASRAIDMD</v>
      </c>
      <c r="U458" s="17" t="str">
        <f t="shared" si="144"/>
        <v>TRAPASRAIDMD</v>
      </c>
      <c r="V458" s="18">
        <v>2025</v>
      </c>
      <c r="W458" s="18" t="str">
        <f>W457</f>
        <v>UP</v>
      </c>
      <c r="X458" s="18"/>
      <c r="Y458" s="20">
        <f>-MIN(SUMIFS('TRA RESID'!$P:$P,'TRA RESID'!$H:$H,$E458,'TRA RESID'!$I:$I,$F458)/SUMIFS('TRA RESID'!$P:$P,'TRA RESID'!$I:$I,$F458)*AC458,1)</f>
        <v>-1</v>
      </c>
      <c r="Z458" s="18"/>
      <c r="AA458" s="18"/>
      <c r="AB458" s="9"/>
      <c r="AC458" s="21">
        <v>1.2</v>
      </c>
    </row>
    <row r="459" spans="1:29" x14ac:dyDescent="0.25">
      <c r="A459" s="9">
        <f>A458</f>
        <v>114</v>
      </c>
      <c r="B459" s="9"/>
      <c r="C459" s="15" t="str">
        <f>IF(C458="*",C458,"")</f>
        <v/>
      </c>
      <c r="D459" s="16"/>
      <c r="E459" s="17" t="str">
        <f t="shared" si="145"/>
        <v>TRAELC</v>
      </c>
      <c r="F459" s="17" t="str">
        <f t="shared" si="145"/>
        <v>TRAPASRAIDMD</v>
      </c>
      <c r="G459" s="17" t="str">
        <f t="shared" si="145"/>
        <v>TRAPASRAIDMD</v>
      </c>
      <c r="H459" s="18">
        <v>2030</v>
      </c>
      <c r="I459" s="18" t="str">
        <f>I458</f>
        <v>LO</v>
      </c>
      <c r="J459" s="18"/>
      <c r="K459" s="20">
        <f>-SUMIFS('TRA RESID'!$P:$P,'TRA RESID'!$H:$H,$E459,'TRA RESID'!$I:$I,$F459)/SUMIFS('TRA RESID'!$P:$P,'TRA RESID'!$I:$I,$F459)*O459</f>
        <v>-0.19389120113810621</v>
      </c>
      <c r="L459" s="18"/>
      <c r="M459" s="18"/>
      <c r="N459" s="9"/>
      <c r="O459" s="21">
        <v>0.2</v>
      </c>
      <c r="Q459" s="15" t="str">
        <f t="shared" si="140"/>
        <v/>
      </c>
      <c r="R459" s="16"/>
      <c r="S459" s="17" t="str">
        <f t="shared" si="142"/>
        <v>TRAELC</v>
      </c>
      <c r="T459" s="17" t="str">
        <f t="shared" si="143"/>
        <v>TRAPASRAIDMD</v>
      </c>
      <c r="U459" s="17" t="str">
        <f t="shared" si="144"/>
        <v>TRAPASRAIDMD</v>
      </c>
      <c r="V459" s="18">
        <v>2030</v>
      </c>
      <c r="W459" s="18" t="str">
        <f>W458</f>
        <v>UP</v>
      </c>
      <c r="X459" s="18"/>
      <c r="Y459" s="20">
        <f>-MIN(SUMIFS('TRA RESID'!$P:$P,'TRA RESID'!$H:$H,$E459,'TRA RESID'!$I:$I,$F459)/SUMIFS('TRA RESID'!$P:$P,'TRA RESID'!$I:$I,$F459)*AC459,1)</f>
        <v>-1</v>
      </c>
      <c r="Z459" s="18"/>
      <c r="AA459" s="18"/>
      <c r="AB459" s="9"/>
      <c r="AC459" s="21">
        <v>1.5</v>
      </c>
    </row>
    <row r="460" spans="1:29" x14ac:dyDescent="0.25">
      <c r="A460" s="22">
        <f>A459</f>
        <v>114</v>
      </c>
      <c r="B460" s="22"/>
      <c r="C460" s="23" t="str">
        <f>IF(C459="*",C459,"")</f>
        <v/>
      </c>
      <c r="D460" s="24"/>
      <c r="E460" s="25" t="str">
        <f t="shared" si="145"/>
        <v>TRAELC</v>
      </c>
      <c r="F460" s="25" t="str">
        <f t="shared" si="145"/>
        <v>TRAPASRAIDMD</v>
      </c>
      <c r="G460" s="25" t="str">
        <f t="shared" si="145"/>
        <v>TRAPASRAIDMD</v>
      </c>
      <c r="H460" s="26">
        <v>2050</v>
      </c>
      <c r="I460" s="26" t="str">
        <f>I459</f>
        <v>LO</v>
      </c>
      <c r="J460" s="26"/>
      <c r="K460" s="27">
        <f>-SUMIFS('TRA RESID'!$P:$P,'TRA RESID'!$H:$H,$E460,'TRA RESID'!$I:$I,$F460)/SUMIFS('TRA RESID'!$P:$P,'TRA RESID'!$I:$I,$F460)*O460</f>
        <v>0</v>
      </c>
      <c r="L460" s="26"/>
      <c r="M460" s="26"/>
      <c r="N460" s="22"/>
      <c r="O460" s="28">
        <v>0</v>
      </c>
      <c r="Q460" s="23" t="str">
        <f t="shared" si="140"/>
        <v/>
      </c>
      <c r="R460" s="24"/>
      <c r="S460" s="25" t="str">
        <f t="shared" si="142"/>
        <v>TRAELC</v>
      </c>
      <c r="T460" s="25" t="str">
        <f t="shared" si="143"/>
        <v>TRAPASRAIDMD</v>
      </c>
      <c r="U460" s="25" t="str">
        <f t="shared" si="144"/>
        <v>TRAPASRAIDMD</v>
      </c>
      <c r="V460" s="26">
        <v>2050</v>
      </c>
      <c r="W460" s="26" t="str">
        <f>W459</f>
        <v>UP</v>
      </c>
      <c r="X460" s="26"/>
      <c r="Y460" s="27">
        <f>-MIN(SUMIFS('TRA RESID'!$P:$P,'TRA RESID'!$H:$H,$E460,'TRA RESID'!$I:$I,$F460)/SUMIFS('TRA RESID'!$P:$P,'TRA RESID'!$I:$I,$F460)*AC460,1)</f>
        <v>-1</v>
      </c>
      <c r="Z460" s="26"/>
      <c r="AA460" s="26"/>
      <c r="AB460" s="22"/>
      <c r="AC460" s="28">
        <v>3</v>
      </c>
    </row>
    <row r="461" spans="1:29" x14ac:dyDescent="0.25">
      <c r="A461" s="14">
        <f>A457+1</f>
        <v>115</v>
      </c>
      <c r="B461" s="9"/>
      <c r="C461" s="15" t="str">
        <f>IF(E461="","",IF(_xlfn.XLOOKUP($A461,Selected_constraint!$A:$A,Selected_constraint!$D:$D)=1,"*",IF(SUMIFS('TRA TECH'!$M:$M,'TRA TECH'!$H:$H,E461,'TRA TECH'!$I:$I,F461)=0,"*",IF(SUMIFS('TRA RESID'!$P:$P,'TRA RESID'!$H:$H,$E461,'TRA RESID'!$I:$I,$F461)=0,"*","UC_MarketShare_"&amp;LEFT(F461,LEN(F461)-3)&amp;"_"&amp;RIGHT(E461,3)&amp;"_MIN"))))</f>
        <v>*</v>
      </c>
      <c r="D461" s="16"/>
      <c r="E461" s="17" t="str">
        <f>_xlfn.XLOOKUP($A461,Selected_constraint!$A:$A,Selected_constraint!$B:$B)</f>
        <v>TRAH2G</v>
      </c>
      <c r="F461" s="17" t="str">
        <f>_xlfn.XLOOKUP($A461,Selected_constraint!$A:$A,Selected_constraint!$C:$C)</f>
        <v>TRAPASRAIDMD</v>
      </c>
      <c r="G461" s="17" t="str">
        <f>F461</f>
        <v>TRAPASRAIDMD</v>
      </c>
      <c r="H461" s="18">
        <v>2019</v>
      </c>
      <c r="I461" s="18" t="s">
        <v>483</v>
      </c>
      <c r="J461" s="18">
        <v>1</v>
      </c>
      <c r="K461" s="20">
        <f>-SUMIFS('TRA RESID'!$P:$P,'TRA RESID'!$H:$H,$E461,'TRA RESID'!$I:$I,$F461)/SUMIFS('TRA RESID'!$P:$P,'TRA RESID'!$I:$I,$F461)*O461</f>
        <v>0</v>
      </c>
      <c r="L461" s="18">
        <v>0</v>
      </c>
      <c r="M461" s="18">
        <v>5</v>
      </c>
      <c r="N461" s="9"/>
      <c r="O461" s="21">
        <v>0.98</v>
      </c>
      <c r="Q461" s="15" t="str">
        <f t="shared" si="140"/>
        <v>*</v>
      </c>
      <c r="R461" s="16"/>
      <c r="S461" s="17" t="str">
        <f t="shared" si="142"/>
        <v>TRAH2G</v>
      </c>
      <c r="T461" s="17" t="str">
        <f t="shared" si="143"/>
        <v>TRAPASRAIDMD</v>
      </c>
      <c r="U461" s="17" t="str">
        <f t="shared" si="144"/>
        <v>TRAPASRAIDMD</v>
      </c>
      <c r="V461" s="18">
        <v>2019</v>
      </c>
      <c r="W461" s="18" t="s">
        <v>484</v>
      </c>
      <c r="X461" s="18">
        <v>1</v>
      </c>
      <c r="Y461" s="20">
        <f>-MIN(SUMIFS('TRA RESID'!$P:$P,'TRA RESID'!$H:$H,$E461,'TRA RESID'!$I:$I,$F461)/SUMIFS('TRA RESID'!$P:$P,'TRA RESID'!$I:$I,$F461)*AC461,1)</f>
        <v>0</v>
      </c>
      <c r="Z461" s="18">
        <v>0</v>
      </c>
      <c r="AA461" s="18">
        <v>5</v>
      </c>
      <c r="AB461" s="9"/>
      <c r="AC461" s="21">
        <v>1.02</v>
      </c>
    </row>
    <row r="462" spans="1:29" x14ac:dyDescent="0.25">
      <c r="A462" s="9">
        <f>A461</f>
        <v>115</v>
      </c>
      <c r="B462" s="9"/>
      <c r="C462" s="15" t="str">
        <f>IF(C461="*",C461,"")</f>
        <v>*</v>
      </c>
      <c r="D462" s="16"/>
      <c r="E462" s="17" t="str">
        <f t="shared" ref="E462:G464" si="146">E461</f>
        <v>TRAH2G</v>
      </c>
      <c r="F462" s="17" t="str">
        <f t="shared" si="146"/>
        <v>TRAPASRAIDMD</v>
      </c>
      <c r="G462" s="17" t="str">
        <f t="shared" si="146"/>
        <v>TRAPASRAIDMD</v>
      </c>
      <c r="H462" s="18">
        <v>2025</v>
      </c>
      <c r="I462" s="18" t="str">
        <f>I461</f>
        <v>LO</v>
      </c>
      <c r="J462" s="18"/>
      <c r="K462" s="20">
        <f>-SUMIFS('TRA RESID'!$P:$P,'TRA RESID'!$H:$H,$E462,'TRA RESID'!$I:$I,$F462)/SUMIFS('TRA RESID'!$P:$P,'TRA RESID'!$I:$I,$F462)*O462</f>
        <v>0</v>
      </c>
      <c r="L462" s="18"/>
      <c r="M462" s="18"/>
      <c r="N462" s="9"/>
      <c r="O462" s="21">
        <v>0.8</v>
      </c>
      <c r="Q462" s="15" t="str">
        <f t="shared" si="140"/>
        <v>*</v>
      </c>
      <c r="R462" s="16"/>
      <c r="S462" s="17" t="str">
        <f t="shared" si="142"/>
        <v>TRAH2G</v>
      </c>
      <c r="T462" s="17" t="str">
        <f t="shared" si="143"/>
        <v>TRAPASRAIDMD</v>
      </c>
      <c r="U462" s="17" t="str">
        <f t="shared" si="144"/>
        <v>TRAPASRAIDMD</v>
      </c>
      <c r="V462" s="18">
        <v>2025</v>
      </c>
      <c r="W462" s="18" t="str">
        <f>W461</f>
        <v>UP</v>
      </c>
      <c r="X462" s="18"/>
      <c r="Y462" s="20">
        <f>-MIN(SUMIFS('TRA RESID'!$P:$P,'TRA RESID'!$H:$H,$E462,'TRA RESID'!$I:$I,$F462)/SUMIFS('TRA RESID'!$P:$P,'TRA RESID'!$I:$I,$F462)*AC462,1)</f>
        <v>0</v>
      </c>
      <c r="Z462" s="18"/>
      <c r="AA462" s="18"/>
      <c r="AB462" s="9"/>
      <c r="AC462" s="21">
        <v>1.2</v>
      </c>
    </row>
    <row r="463" spans="1:29" x14ac:dyDescent="0.25">
      <c r="A463" s="9">
        <f>A462</f>
        <v>115</v>
      </c>
      <c r="B463" s="9"/>
      <c r="C463" s="15" t="str">
        <f>IF(C462="*",C462,"")</f>
        <v>*</v>
      </c>
      <c r="D463" s="16"/>
      <c r="E463" s="17" t="str">
        <f t="shared" si="146"/>
        <v>TRAH2G</v>
      </c>
      <c r="F463" s="17" t="str">
        <f t="shared" si="146"/>
        <v>TRAPASRAIDMD</v>
      </c>
      <c r="G463" s="17" t="str">
        <f t="shared" si="146"/>
        <v>TRAPASRAIDMD</v>
      </c>
      <c r="H463" s="18">
        <v>2030</v>
      </c>
      <c r="I463" s="18" t="str">
        <f>I462</f>
        <v>LO</v>
      </c>
      <c r="J463" s="18"/>
      <c r="K463" s="20">
        <f>-SUMIFS('TRA RESID'!$P:$P,'TRA RESID'!$H:$H,$E463,'TRA RESID'!$I:$I,$F463)/SUMIFS('TRA RESID'!$P:$P,'TRA RESID'!$I:$I,$F463)*O463</f>
        <v>0</v>
      </c>
      <c r="L463" s="18"/>
      <c r="M463" s="18"/>
      <c r="N463" s="9"/>
      <c r="O463" s="21">
        <v>0.2</v>
      </c>
      <c r="Q463" s="15" t="str">
        <f t="shared" si="140"/>
        <v>*</v>
      </c>
      <c r="R463" s="16"/>
      <c r="S463" s="17" t="str">
        <f t="shared" si="142"/>
        <v>TRAH2G</v>
      </c>
      <c r="T463" s="17" t="str">
        <f t="shared" si="143"/>
        <v>TRAPASRAIDMD</v>
      </c>
      <c r="U463" s="17" t="str">
        <f t="shared" si="144"/>
        <v>TRAPASRAIDMD</v>
      </c>
      <c r="V463" s="18">
        <v>2030</v>
      </c>
      <c r="W463" s="18" t="str">
        <f>W462</f>
        <v>UP</v>
      </c>
      <c r="X463" s="18"/>
      <c r="Y463" s="20">
        <f>-MIN(SUMIFS('TRA RESID'!$P:$P,'TRA RESID'!$H:$H,$E463,'TRA RESID'!$I:$I,$F463)/SUMIFS('TRA RESID'!$P:$P,'TRA RESID'!$I:$I,$F463)*AC463,1)</f>
        <v>0</v>
      </c>
      <c r="Z463" s="18"/>
      <c r="AA463" s="18"/>
      <c r="AB463" s="9"/>
      <c r="AC463" s="21">
        <v>1.5</v>
      </c>
    </row>
    <row r="464" spans="1:29" x14ac:dyDescent="0.25">
      <c r="A464" s="22">
        <f>A463</f>
        <v>115</v>
      </c>
      <c r="B464" s="22"/>
      <c r="C464" s="23" t="str">
        <f>IF(C463="*",C463,"")</f>
        <v>*</v>
      </c>
      <c r="D464" s="24"/>
      <c r="E464" s="25" t="str">
        <f t="shared" si="146"/>
        <v>TRAH2G</v>
      </c>
      <c r="F464" s="25" t="str">
        <f t="shared" si="146"/>
        <v>TRAPASRAIDMD</v>
      </c>
      <c r="G464" s="25" t="str">
        <f t="shared" si="146"/>
        <v>TRAPASRAIDMD</v>
      </c>
      <c r="H464" s="26">
        <v>2050</v>
      </c>
      <c r="I464" s="26" t="str">
        <f>I463</f>
        <v>LO</v>
      </c>
      <c r="J464" s="26"/>
      <c r="K464" s="27">
        <f>-SUMIFS('TRA RESID'!$P:$P,'TRA RESID'!$H:$H,$E464,'TRA RESID'!$I:$I,$F464)/SUMIFS('TRA RESID'!$P:$P,'TRA RESID'!$I:$I,$F464)*O464</f>
        <v>0</v>
      </c>
      <c r="L464" s="26"/>
      <c r="M464" s="26"/>
      <c r="N464" s="22"/>
      <c r="O464" s="28">
        <v>0</v>
      </c>
      <c r="Q464" s="23" t="str">
        <f t="shared" si="140"/>
        <v>*</v>
      </c>
      <c r="R464" s="24"/>
      <c r="S464" s="25" t="str">
        <f t="shared" si="142"/>
        <v>TRAH2G</v>
      </c>
      <c r="T464" s="25" t="str">
        <f t="shared" si="143"/>
        <v>TRAPASRAIDMD</v>
      </c>
      <c r="U464" s="25" t="str">
        <f t="shared" si="144"/>
        <v>TRAPASRAIDMD</v>
      </c>
      <c r="V464" s="26">
        <v>2050</v>
      </c>
      <c r="W464" s="26" t="str">
        <f>W463</f>
        <v>UP</v>
      </c>
      <c r="X464" s="26"/>
      <c r="Y464" s="27">
        <f>-MIN(SUMIFS('TRA RESID'!$P:$P,'TRA RESID'!$H:$H,$E464,'TRA RESID'!$I:$I,$F464)/SUMIFS('TRA RESID'!$P:$P,'TRA RESID'!$I:$I,$F464)*AC464,1)</f>
        <v>0</v>
      </c>
      <c r="Z464" s="26"/>
      <c r="AA464" s="26"/>
      <c r="AB464" s="22"/>
      <c r="AC464" s="28">
        <v>3</v>
      </c>
    </row>
    <row r="465" spans="1:29" x14ac:dyDescent="0.25">
      <c r="A465" s="14">
        <f>A461+1</f>
        <v>116</v>
      </c>
      <c r="B465" s="9"/>
      <c r="C465" s="15" t="str">
        <f>IF(E465="","",IF(_xlfn.XLOOKUP($A465,Selected_constraint!$A:$A,Selected_constraint!$D:$D)=1,"*",IF(SUMIFS('TRA TECH'!$M:$M,'TRA TECH'!$H:$H,E465,'TRA TECH'!$I:$I,F465)=0,"*",IF(SUMIFS('TRA RESID'!$P:$P,'TRA RESID'!$H:$H,$E465,'TRA RESID'!$I:$I,$F465)=0,"*","UC_MarketShare_"&amp;LEFT(F465,LEN(F465)-3)&amp;"_"&amp;RIGHT(E465,3)&amp;"_MIN"))))</f>
        <v>*</v>
      </c>
      <c r="D465" s="16"/>
      <c r="E465" s="17" t="str">
        <f>_xlfn.XLOOKUP($A465,Selected_constraint!$A:$A,Selected_constraint!$B:$B)</f>
        <v>TRADSL</v>
      </c>
      <c r="F465" s="17" t="str">
        <f>_xlfn.XLOOKUP($A465,Selected_constraint!$A:$A,Selected_constraint!$C:$C)</f>
        <v>TRAPASTRMDMD</v>
      </c>
      <c r="G465" s="17" t="str">
        <f>F465</f>
        <v>TRAPASTRMDMD</v>
      </c>
      <c r="H465" s="18">
        <v>2019</v>
      </c>
      <c r="I465" s="18" t="s">
        <v>483</v>
      </c>
      <c r="J465" s="18">
        <v>1</v>
      </c>
      <c r="K465" s="20" t="e">
        <f>-SUMIFS('TRA RESID'!$P:$P,'TRA RESID'!$H:$H,$E465,'TRA RESID'!$I:$I,$F465)/SUMIFS('TRA RESID'!$P:$P,'TRA RESID'!$I:$I,$F465)*O465</f>
        <v>#DIV/0!</v>
      </c>
      <c r="L465" s="18">
        <v>0</v>
      </c>
      <c r="M465" s="18">
        <v>5</v>
      </c>
      <c r="N465" s="9"/>
      <c r="O465" s="21">
        <v>0.98</v>
      </c>
      <c r="Q465" s="15" t="str">
        <f t="shared" si="140"/>
        <v>*</v>
      </c>
      <c r="R465" s="16"/>
      <c r="S465" s="17" t="str">
        <f t="shared" si="142"/>
        <v>TRADSL</v>
      </c>
      <c r="T465" s="17" t="str">
        <f t="shared" si="143"/>
        <v>TRAPASTRMDMD</v>
      </c>
      <c r="U465" s="17" t="str">
        <f t="shared" si="144"/>
        <v>TRAPASTRMDMD</v>
      </c>
      <c r="V465" s="18">
        <v>2019</v>
      </c>
      <c r="W465" s="18" t="s">
        <v>484</v>
      </c>
      <c r="X465" s="18">
        <v>1</v>
      </c>
      <c r="Y465" s="20" t="e">
        <f>-MIN(SUMIFS('TRA RESID'!$P:$P,'TRA RESID'!$H:$H,$E465,'TRA RESID'!$I:$I,$F465)/SUMIFS('TRA RESID'!$P:$P,'TRA RESID'!$I:$I,$F465)*AC465,1)</f>
        <v>#DIV/0!</v>
      </c>
      <c r="Z465" s="18">
        <v>0</v>
      </c>
      <c r="AA465" s="18">
        <v>5</v>
      </c>
      <c r="AB465" s="9"/>
      <c r="AC465" s="21">
        <v>1.02</v>
      </c>
    </row>
    <row r="466" spans="1:29" x14ac:dyDescent="0.25">
      <c r="A466" s="9">
        <f>A465</f>
        <v>116</v>
      </c>
      <c r="B466" s="9"/>
      <c r="C466" s="15" t="str">
        <f>IF(C465="*",C465,"")</f>
        <v>*</v>
      </c>
      <c r="D466" s="16"/>
      <c r="E466" s="17" t="str">
        <f t="shared" ref="E466:G468" si="147">E465</f>
        <v>TRADSL</v>
      </c>
      <c r="F466" s="17" t="str">
        <f t="shared" si="147"/>
        <v>TRAPASTRMDMD</v>
      </c>
      <c r="G466" s="17" t="str">
        <f t="shared" si="147"/>
        <v>TRAPASTRMDMD</v>
      </c>
      <c r="H466" s="18">
        <v>2025</v>
      </c>
      <c r="I466" s="18" t="str">
        <f>I465</f>
        <v>LO</v>
      </c>
      <c r="J466" s="18"/>
      <c r="K466" s="20" t="e">
        <f>-SUMIFS('TRA RESID'!$P:$P,'TRA RESID'!$H:$H,$E466,'TRA RESID'!$I:$I,$F466)/SUMIFS('TRA RESID'!$P:$P,'TRA RESID'!$I:$I,$F466)*O466</f>
        <v>#DIV/0!</v>
      </c>
      <c r="L466" s="18"/>
      <c r="M466" s="18"/>
      <c r="N466" s="9"/>
      <c r="O466" s="21">
        <v>0.8</v>
      </c>
      <c r="Q466" s="15" t="str">
        <f t="shared" si="140"/>
        <v>*</v>
      </c>
      <c r="R466" s="16"/>
      <c r="S466" s="17" t="str">
        <f t="shared" si="142"/>
        <v>TRADSL</v>
      </c>
      <c r="T466" s="17" t="str">
        <f t="shared" si="143"/>
        <v>TRAPASTRMDMD</v>
      </c>
      <c r="U466" s="17" t="str">
        <f t="shared" si="144"/>
        <v>TRAPASTRMDMD</v>
      </c>
      <c r="V466" s="18">
        <v>2025</v>
      </c>
      <c r="W466" s="18" t="str">
        <f>W465</f>
        <v>UP</v>
      </c>
      <c r="X466" s="18"/>
      <c r="Y466" s="20" t="e">
        <f>-MIN(SUMIFS('TRA RESID'!$P:$P,'TRA RESID'!$H:$H,$E466,'TRA RESID'!$I:$I,$F466)/SUMIFS('TRA RESID'!$P:$P,'TRA RESID'!$I:$I,$F466)*AC466,1)</f>
        <v>#DIV/0!</v>
      </c>
      <c r="Z466" s="18"/>
      <c r="AA466" s="18"/>
      <c r="AB466" s="9"/>
      <c r="AC466" s="21">
        <v>1.2</v>
      </c>
    </row>
    <row r="467" spans="1:29" x14ac:dyDescent="0.25">
      <c r="A467" s="9">
        <f>A466</f>
        <v>116</v>
      </c>
      <c r="B467" s="9"/>
      <c r="C467" s="15" t="str">
        <f>IF(C466="*",C466,"")</f>
        <v>*</v>
      </c>
      <c r="D467" s="16"/>
      <c r="E467" s="17" t="str">
        <f t="shared" si="147"/>
        <v>TRADSL</v>
      </c>
      <c r="F467" s="17" t="str">
        <f t="shared" si="147"/>
        <v>TRAPASTRMDMD</v>
      </c>
      <c r="G467" s="17" t="str">
        <f t="shared" si="147"/>
        <v>TRAPASTRMDMD</v>
      </c>
      <c r="H467" s="18">
        <v>2030</v>
      </c>
      <c r="I467" s="18" t="str">
        <f>I466</f>
        <v>LO</v>
      </c>
      <c r="J467" s="18"/>
      <c r="K467" s="20" t="e">
        <f>-SUMIFS('TRA RESID'!$P:$P,'TRA RESID'!$H:$H,$E467,'TRA RESID'!$I:$I,$F467)/SUMIFS('TRA RESID'!$P:$P,'TRA RESID'!$I:$I,$F467)*O467</f>
        <v>#DIV/0!</v>
      </c>
      <c r="L467" s="18"/>
      <c r="M467" s="18"/>
      <c r="N467" s="9"/>
      <c r="O467" s="21">
        <v>0.2</v>
      </c>
      <c r="Q467" s="15" t="str">
        <f t="shared" si="140"/>
        <v>*</v>
      </c>
      <c r="R467" s="16"/>
      <c r="S467" s="17" t="str">
        <f t="shared" si="142"/>
        <v>TRADSL</v>
      </c>
      <c r="T467" s="17" t="str">
        <f t="shared" si="143"/>
        <v>TRAPASTRMDMD</v>
      </c>
      <c r="U467" s="17" t="str">
        <f t="shared" si="144"/>
        <v>TRAPASTRMDMD</v>
      </c>
      <c r="V467" s="18">
        <v>2030</v>
      </c>
      <c r="W467" s="18" t="str">
        <f>W466</f>
        <v>UP</v>
      </c>
      <c r="X467" s="18"/>
      <c r="Y467" s="20" t="e">
        <f>-MIN(SUMIFS('TRA RESID'!$P:$P,'TRA RESID'!$H:$H,$E467,'TRA RESID'!$I:$I,$F467)/SUMIFS('TRA RESID'!$P:$P,'TRA RESID'!$I:$I,$F467)*AC467,1)</f>
        <v>#DIV/0!</v>
      </c>
      <c r="Z467" s="18"/>
      <c r="AA467" s="18"/>
      <c r="AB467" s="9"/>
      <c r="AC467" s="21">
        <v>1.5</v>
      </c>
    </row>
    <row r="468" spans="1:29" x14ac:dyDescent="0.25">
      <c r="A468" s="22">
        <f>A467</f>
        <v>116</v>
      </c>
      <c r="B468" s="22"/>
      <c r="C468" s="23" t="str">
        <f>IF(C467="*",C467,"")</f>
        <v>*</v>
      </c>
      <c r="D468" s="24"/>
      <c r="E468" s="25" t="str">
        <f t="shared" si="147"/>
        <v>TRADSL</v>
      </c>
      <c r="F468" s="25" t="str">
        <f t="shared" si="147"/>
        <v>TRAPASTRMDMD</v>
      </c>
      <c r="G468" s="25" t="str">
        <f t="shared" si="147"/>
        <v>TRAPASTRMDMD</v>
      </c>
      <c r="H468" s="26">
        <v>2050</v>
      </c>
      <c r="I468" s="26" t="str">
        <f>I467</f>
        <v>LO</v>
      </c>
      <c r="J468" s="26"/>
      <c r="K468" s="27" t="e">
        <f>-SUMIFS('TRA RESID'!$P:$P,'TRA RESID'!$H:$H,$E468,'TRA RESID'!$I:$I,$F468)/SUMIFS('TRA RESID'!$P:$P,'TRA RESID'!$I:$I,$F468)*O468</f>
        <v>#DIV/0!</v>
      </c>
      <c r="L468" s="26"/>
      <c r="M468" s="26"/>
      <c r="N468" s="22"/>
      <c r="O468" s="28">
        <v>0</v>
      </c>
      <c r="Q468" s="23" t="str">
        <f t="shared" si="140"/>
        <v>*</v>
      </c>
      <c r="R468" s="24"/>
      <c r="S468" s="25" t="str">
        <f t="shared" si="142"/>
        <v>TRADSL</v>
      </c>
      <c r="T468" s="25" t="str">
        <f t="shared" si="143"/>
        <v>TRAPASTRMDMD</v>
      </c>
      <c r="U468" s="25" t="str">
        <f t="shared" si="144"/>
        <v>TRAPASTRMDMD</v>
      </c>
      <c r="V468" s="26">
        <v>2050</v>
      </c>
      <c r="W468" s="26" t="str">
        <f>W467</f>
        <v>UP</v>
      </c>
      <c r="X468" s="26"/>
      <c r="Y468" s="27" t="e">
        <f>-MIN(SUMIFS('TRA RESID'!$P:$P,'TRA RESID'!$H:$H,$E468,'TRA RESID'!$I:$I,$F468)/SUMIFS('TRA RESID'!$P:$P,'TRA RESID'!$I:$I,$F468)*AC468,1)</f>
        <v>#DIV/0!</v>
      </c>
      <c r="Z468" s="26"/>
      <c r="AA468" s="26"/>
      <c r="AB468" s="22"/>
      <c r="AC468" s="28">
        <v>3</v>
      </c>
    </row>
    <row r="469" spans="1:29" x14ac:dyDescent="0.25">
      <c r="A469" s="14">
        <f>A465+1</f>
        <v>117</v>
      </c>
      <c r="B469" s="9"/>
      <c r="C469" s="15" t="str">
        <f>IF(E469="","",IF(_xlfn.XLOOKUP($A469,Selected_constraint!$A:$A,Selected_constraint!$D:$D)=1,"*",IF(SUMIFS('TRA TECH'!$M:$M,'TRA TECH'!$H:$H,E469,'TRA TECH'!$I:$I,F469)=0,"*",IF(SUMIFS('TRA RESID'!$P:$P,'TRA RESID'!$H:$H,$E469,'TRA RESID'!$I:$I,$F469)=0,"*","UC_MarketShare_"&amp;LEFT(F469,LEN(F469)-3)&amp;"_"&amp;RIGHT(E469,3)&amp;"_MIN"))))</f>
        <v>*</v>
      </c>
      <c r="D469" s="16"/>
      <c r="E469" s="17" t="str">
        <f>_xlfn.XLOOKUP($A469,Selected_constraint!$A:$A,Selected_constraint!$B:$B)</f>
        <v>TRARDS</v>
      </c>
      <c r="F469" s="17" t="str">
        <f>_xlfn.XLOOKUP($A469,Selected_constraint!$A:$A,Selected_constraint!$C:$C)</f>
        <v>TRAPASTRMDMD</v>
      </c>
      <c r="G469" s="17" t="str">
        <f>F469</f>
        <v>TRAPASTRMDMD</v>
      </c>
      <c r="H469" s="18">
        <v>2019</v>
      </c>
      <c r="I469" s="18" t="s">
        <v>483</v>
      </c>
      <c r="J469" s="18">
        <v>1</v>
      </c>
      <c r="K469" s="20" t="e">
        <f>-SUMIFS('TRA RESID'!$P:$P,'TRA RESID'!$H:$H,$E469,'TRA RESID'!$I:$I,$F469)/SUMIFS('TRA RESID'!$P:$P,'TRA RESID'!$I:$I,$F469)*O469</f>
        <v>#DIV/0!</v>
      </c>
      <c r="L469" s="18">
        <v>0</v>
      </c>
      <c r="M469" s="18">
        <v>5</v>
      </c>
      <c r="N469" s="9"/>
      <c r="O469" s="21">
        <v>0.98</v>
      </c>
      <c r="Q469" s="15" t="str">
        <f t="shared" si="140"/>
        <v>*</v>
      </c>
      <c r="R469" s="16"/>
      <c r="S469" s="17" t="str">
        <f t="shared" si="142"/>
        <v>TRARDS</v>
      </c>
      <c r="T469" s="17" t="str">
        <f t="shared" si="143"/>
        <v>TRAPASTRMDMD</v>
      </c>
      <c r="U469" s="17" t="str">
        <f t="shared" si="144"/>
        <v>TRAPASTRMDMD</v>
      </c>
      <c r="V469" s="18">
        <v>2019</v>
      </c>
      <c r="W469" s="18" t="s">
        <v>484</v>
      </c>
      <c r="X469" s="18">
        <v>1</v>
      </c>
      <c r="Y469" s="20" t="e">
        <f>-MIN(SUMIFS('TRA RESID'!$P:$P,'TRA RESID'!$H:$H,$E469,'TRA RESID'!$I:$I,$F469)/SUMIFS('TRA RESID'!$P:$P,'TRA RESID'!$I:$I,$F469)*AC469,1)</f>
        <v>#DIV/0!</v>
      </c>
      <c r="Z469" s="18">
        <v>0</v>
      </c>
      <c r="AA469" s="18">
        <v>5</v>
      </c>
      <c r="AB469" s="9"/>
      <c r="AC469" s="21">
        <v>1.02</v>
      </c>
    </row>
    <row r="470" spans="1:29" x14ac:dyDescent="0.25">
      <c r="A470" s="9">
        <f>A469</f>
        <v>117</v>
      </c>
      <c r="B470" s="9"/>
      <c r="C470" s="15" t="str">
        <f>IF(C469="*",C469,"")</f>
        <v>*</v>
      </c>
      <c r="D470" s="16"/>
      <c r="E470" s="17" t="str">
        <f t="shared" ref="E470:G472" si="148">E469</f>
        <v>TRARDS</v>
      </c>
      <c r="F470" s="17" t="str">
        <f t="shared" si="148"/>
        <v>TRAPASTRMDMD</v>
      </c>
      <c r="G470" s="17" t="str">
        <f t="shared" si="148"/>
        <v>TRAPASTRMDMD</v>
      </c>
      <c r="H470" s="18">
        <v>2025</v>
      </c>
      <c r="I470" s="18" t="str">
        <f>I469</f>
        <v>LO</v>
      </c>
      <c r="J470" s="18"/>
      <c r="K470" s="20" t="e">
        <f>-SUMIFS('TRA RESID'!$P:$P,'TRA RESID'!$H:$H,$E470,'TRA RESID'!$I:$I,$F470)/SUMIFS('TRA RESID'!$P:$P,'TRA RESID'!$I:$I,$F470)*O470</f>
        <v>#DIV/0!</v>
      </c>
      <c r="L470" s="18"/>
      <c r="M470" s="18"/>
      <c r="N470" s="9"/>
      <c r="O470" s="21">
        <v>0.8</v>
      </c>
      <c r="Q470" s="15" t="str">
        <f t="shared" si="140"/>
        <v>*</v>
      </c>
      <c r="R470" s="16"/>
      <c r="S470" s="17" t="str">
        <f t="shared" si="142"/>
        <v>TRARDS</v>
      </c>
      <c r="T470" s="17" t="str">
        <f t="shared" si="143"/>
        <v>TRAPASTRMDMD</v>
      </c>
      <c r="U470" s="17" t="str">
        <f t="shared" si="144"/>
        <v>TRAPASTRMDMD</v>
      </c>
      <c r="V470" s="18">
        <v>2025</v>
      </c>
      <c r="W470" s="18" t="str">
        <f>W469</f>
        <v>UP</v>
      </c>
      <c r="X470" s="18"/>
      <c r="Y470" s="20" t="e">
        <f>-MIN(SUMIFS('TRA RESID'!$P:$P,'TRA RESID'!$H:$H,$E470,'TRA RESID'!$I:$I,$F470)/SUMIFS('TRA RESID'!$P:$P,'TRA RESID'!$I:$I,$F470)*AC470,1)</f>
        <v>#DIV/0!</v>
      </c>
      <c r="Z470" s="18"/>
      <c r="AA470" s="18"/>
      <c r="AB470" s="9"/>
      <c r="AC470" s="21">
        <v>1.2</v>
      </c>
    </row>
    <row r="471" spans="1:29" x14ac:dyDescent="0.25">
      <c r="A471" s="9">
        <f>A470</f>
        <v>117</v>
      </c>
      <c r="B471" s="9"/>
      <c r="C471" s="15" t="str">
        <f>IF(C470="*",C470,"")</f>
        <v>*</v>
      </c>
      <c r="D471" s="16"/>
      <c r="E471" s="17" t="str">
        <f t="shared" si="148"/>
        <v>TRARDS</v>
      </c>
      <c r="F471" s="17" t="str">
        <f t="shared" si="148"/>
        <v>TRAPASTRMDMD</v>
      </c>
      <c r="G471" s="17" t="str">
        <f t="shared" si="148"/>
        <v>TRAPASTRMDMD</v>
      </c>
      <c r="H471" s="18">
        <v>2030</v>
      </c>
      <c r="I471" s="18" t="str">
        <f>I470</f>
        <v>LO</v>
      </c>
      <c r="J471" s="18"/>
      <c r="K471" s="20" t="e">
        <f>-SUMIFS('TRA RESID'!$P:$P,'TRA RESID'!$H:$H,$E471,'TRA RESID'!$I:$I,$F471)/SUMIFS('TRA RESID'!$P:$P,'TRA RESID'!$I:$I,$F471)*O471</f>
        <v>#DIV/0!</v>
      </c>
      <c r="L471" s="18"/>
      <c r="M471" s="18"/>
      <c r="N471" s="9"/>
      <c r="O471" s="21">
        <v>0.2</v>
      </c>
      <c r="Q471" s="15" t="str">
        <f t="shared" si="140"/>
        <v>*</v>
      </c>
      <c r="R471" s="16"/>
      <c r="S471" s="17" t="str">
        <f t="shared" si="142"/>
        <v>TRARDS</v>
      </c>
      <c r="T471" s="17" t="str">
        <f t="shared" si="143"/>
        <v>TRAPASTRMDMD</v>
      </c>
      <c r="U471" s="17" t="str">
        <f t="shared" si="144"/>
        <v>TRAPASTRMDMD</v>
      </c>
      <c r="V471" s="18">
        <v>2030</v>
      </c>
      <c r="W471" s="18" t="str">
        <f>W470</f>
        <v>UP</v>
      </c>
      <c r="X471" s="18"/>
      <c r="Y471" s="20" t="e">
        <f>-MIN(SUMIFS('TRA RESID'!$P:$P,'TRA RESID'!$H:$H,$E471,'TRA RESID'!$I:$I,$F471)/SUMIFS('TRA RESID'!$P:$P,'TRA RESID'!$I:$I,$F471)*AC471,1)</f>
        <v>#DIV/0!</v>
      </c>
      <c r="Z471" s="18"/>
      <c r="AA471" s="18"/>
      <c r="AB471" s="9"/>
      <c r="AC471" s="21">
        <v>1.5</v>
      </c>
    </row>
    <row r="472" spans="1:29" x14ac:dyDescent="0.25">
      <c r="A472" s="22">
        <f>A471</f>
        <v>117</v>
      </c>
      <c r="B472" s="22"/>
      <c r="C472" s="23" t="str">
        <f>IF(C471="*",C471,"")</f>
        <v>*</v>
      </c>
      <c r="D472" s="24"/>
      <c r="E472" s="25" t="str">
        <f t="shared" si="148"/>
        <v>TRARDS</v>
      </c>
      <c r="F472" s="25" t="str">
        <f t="shared" si="148"/>
        <v>TRAPASTRMDMD</v>
      </c>
      <c r="G472" s="25" t="str">
        <f t="shared" si="148"/>
        <v>TRAPASTRMDMD</v>
      </c>
      <c r="H472" s="26">
        <v>2050</v>
      </c>
      <c r="I472" s="26" t="str">
        <f>I471</f>
        <v>LO</v>
      </c>
      <c r="J472" s="26"/>
      <c r="K472" s="27" t="e">
        <f>-SUMIFS('TRA RESID'!$P:$P,'TRA RESID'!$H:$H,$E472,'TRA RESID'!$I:$I,$F472)/SUMIFS('TRA RESID'!$P:$P,'TRA RESID'!$I:$I,$F472)*O472</f>
        <v>#DIV/0!</v>
      </c>
      <c r="L472" s="26"/>
      <c r="M472" s="26"/>
      <c r="N472" s="22"/>
      <c r="O472" s="28">
        <v>0</v>
      </c>
      <c r="Q472" s="23" t="str">
        <f t="shared" si="140"/>
        <v>*</v>
      </c>
      <c r="R472" s="24"/>
      <c r="S472" s="25" t="str">
        <f t="shared" si="142"/>
        <v>TRARDS</v>
      </c>
      <c r="T472" s="25" t="str">
        <f t="shared" si="143"/>
        <v>TRAPASTRMDMD</v>
      </c>
      <c r="U472" s="25" t="str">
        <f t="shared" si="144"/>
        <v>TRAPASTRMDMD</v>
      </c>
      <c r="V472" s="26">
        <v>2050</v>
      </c>
      <c r="W472" s="26" t="str">
        <f>W471</f>
        <v>UP</v>
      </c>
      <c r="X472" s="26"/>
      <c r="Y472" s="27" t="e">
        <f>-MIN(SUMIFS('TRA RESID'!$P:$P,'TRA RESID'!$H:$H,$E472,'TRA RESID'!$I:$I,$F472)/SUMIFS('TRA RESID'!$P:$P,'TRA RESID'!$I:$I,$F472)*AC472,1)</f>
        <v>#DIV/0!</v>
      </c>
      <c r="Z472" s="26"/>
      <c r="AA472" s="26"/>
      <c r="AB472" s="22"/>
      <c r="AC472" s="28">
        <v>3</v>
      </c>
    </row>
    <row r="473" spans="1:29" x14ac:dyDescent="0.25">
      <c r="A473" s="14">
        <f>A469+1</f>
        <v>118</v>
      </c>
      <c r="B473" s="9"/>
      <c r="C473" s="15" t="str">
        <f>IF(E473="","",IF(_xlfn.XLOOKUP($A473,Selected_constraint!$A:$A,Selected_constraint!$D:$D)=1,"*",IF(SUMIFS('TRA TECH'!$M:$M,'TRA TECH'!$H:$H,E473,'TRA TECH'!$I:$I,F473)=0,"*",IF(SUMIFS('TRA RESID'!$P:$P,'TRA RESID'!$H:$H,$E473,'TRA RESID'!$I:$I,$F473)=0,"*","UC_MarketShare_"&amp;LEFT(F473,LEN(F473)-3)&amp;"_"&amp;RIGHT(E473,3)&amp;"_MIN"))))</f>
        <v>*</v>
      </c>
      <c r="D473" s="16"/>
      <c r="E473" s="17" t="str">
        <f>_xlfn.XLOOKUP($A473,Selected_constraint!$A:$A,Selected_constraint!$B:$B)</f>
        <v>TRABDS</v>
      </c>
      <c r="F473" s="17" t="str">
        <f>_xlfn.XLOOKUP($A473,Selected_constraint!$A:$A,Selected_constraint!$C:$C)</f>
        <v>TRAPASTRMDMD</v>
      </c>
      <c r="G473" s="17" t="str">
        <f>F473</f>
        <v>TRAPASTRMDMD</v>
      </c>
      <c r="H473" s="18">
        <v>2019</v>
      </c>
      <c r="I473" s="18" t="s">
        <v>483</v>
      </c>
      <c r="J473" s="18">
        <v>1</v>
      </c>
      <c r="K473" s="20" t="e">
        <f>-SUMIFS('TRA RESID'!$P:$P,'TRA RESID'!$H:$H,$E473,'TRA RESID'!$I:$I,$F473)/SUMIFS('TRA RESID'!$P:$P,'TRA RESID'!$I:$I,$F473)*O473</f>
        <v>#DIV/0!</v>
      </c>
      <c r="L473" s="18">
        <v>0</v>
      </c>
      <c r="M473" s="18">
        <v>5</v>
      </c>
      <c r="N473" s="9"/>
      <c r="O473" s="21">
        <v>0.98</v>
      </c>
      <c r="Q473" s="15" t="str">
        <f t="shared" si="140"/>
        <v>*</v>
      </c>
      <c r="R473" s="16"/>
      <c r="S473" s="17" t="str">
        <f t="shared" si="142"/>
        <v>TRABDS</v>
      </c>
      <c r="T473" s="17" t="str">
        <f t="shared" si="143"/>
        <v>TRAPASTRMDMD</v>
      </c>
      <c r="U473" s="17" t="str">
        <f t="shared" si="144"/>
        <v>TRAPASTRMDMD</v>
      </c>
      <c r="V473" s="18">
        <v>2019</v>
      </c>
      <c r="W473" s="18" t="s">
        <v>484</v>
      </c>
      <c r="X473" s="18">
        <v>1</v>
      </c>
      <c r="Y473" s="20" t="e">
        <f>-MIN(SUMIFS('TRA RESID'!$P:$P,'TRA RESID'!$H:$H,$E473,'TRA RESID'!$I:$I,$F473)/SUMIFS('TRA RESID'!$P:$P,'TRA RESID'!$I:$I,$F473)*AC473,1)</f>
        <v>#DIV/0!</v>
      </c>
      <c r="Z473" s="18">
        <v>0</v>
      </c>
      <c r="AA473" s="18">
        <v>5</v>
      </c>
      <c r="AB473" s="9"/>
      <c r="AC473" s="21">
        <v>1.02</v>
      </c>
    </row>
    <row r="474" spans="1:29" x14ac:dyDescent="0.25">
      <c r="A474" s="9">
        <f>A473</f>
        <v>118</v>
      </c>
      <c r="B474" s="9"/>
      <c r="C474" s="15" t="str">
        <f>IF(C473="*",C473,"")</f>
        <v>*</v>
      </c>
      <c r="D474" s="16"/>
      <c r="E474" s="17" t="str">
        <f t="shared" ref="E474:G476" si="149">E473</f>
        <v>TRABDS</v>
      </c>
      <c r="F474" s="17" t="str">
        <f t="shared" si="149"/>
        <v>TRAPASTRMDMD</v>
      </c>
      <c r="G474" s="17" t="str">
        <f t="shared" si="149"/>
        <v>TRAPASTRMDMD</v>
      </c>
      <c r="H474" s="18">
        <v>2025</v>
      </c>
      <c r="I474" s="18" t="str">
        <f>I473</f>
        <v>LO</v>
      </c>
      <c r="J474" s="18"/>
      <c r="K474" s="20" t="e">
        <f>-SUMIFS('TRA RESID'!$P:$P,'TRA RESID'!$H:$H,$E474,'TRA RESID'!$I:$I,$F474)/SUMIFS('TRA RESID'!$P:$P,'TRA RESID'!$I:$I,$F474)*O474</f>
        <v>#DIV/0!</v>
      </c>
      <c r="L474" s="18"/>
      <c r="M474" s="18"/>
      <c r="N474" s="9"/>
      <c r="O474" s="21">
        <v>0.8</v>
      </c>
      <c r="Q474" s="15" t="str">
        <f t="shared" si="140"/>
        <v>*</v>
      </c>
      <c r="R474" s="16"/>
      <c r="S474" s="17" t="str">
        <f t="shared" si="142"/>
        <v>TRABDS</v>
      </c>
      <c r="T474" s="17" t="str">
        <f t="shared" si="143"/>
        <v>TRAPASTRMDMD</v>
      </c>
      <c r="U474" s="17" t="str">
        <f t="shared" si="144"/>
        <v>TRAPASTRMDMD</v>
      </c>
      <c r="V474" s="18">
        <v>2025</v>
      </c>
      <c r="W474" s="18" t="str">
        <f>W473</f>
        <v>UP</v>
      </c>
      <c r="X474" s="18"/>
      <c r="Y474" s="20" t="e">
        <f>-MIN(SUMIFS('TRA RESID'!$P:$P,'TRA RESID'!$H:$H,$E474,'TRA RESID'!$I:$I,$F474)/SUMIFS('TRA RESID'!$P:$P,'TRA RESID'!$I:$I,$F474)*AC474,1)</f>
        <v>#DIV/0!</v>
      </c>
      <c r="Z474" s="18"/>
      <c r="AA474" s="18"/>
      <c r="AB474" s="9"/>
      <c r="AC474" s="21">
        <v>1.2</v>
      </c>
    </row>
    <row r="475" spans="1:29" x14ac:dyDescent="0.25">
      <c r="A475" s="9">
        <f>A474</f>
        <v>118</v>
      </c>
      <c r="B475" s="9"/>
      <c r="C475" s="15" t="str">
        <f>IF(C474="*",C474,"")</f>
        <v>*</v>
      </c>
      <c r="D475" s="16"/>
      <c r="E475" s="17" t="str">
        <f t="shared" si="149"/>
        <v>TRABDS</v>
      </c>
      <c r="F475" s="17" t="str">
        <f t="shared" si="149"/>
        <v>TRAPASTRMDMD</v>
      </c>
      <c r="G475" s="17" t="str">
        <f t="shared" si="149"/>
        <v>TRAPASTRMDMD</v>
      </c>
      <c r="H475" s="18">
        <v>2030</v>
      </c>
      <c r="I475" s="18" t="str">
        <f>I474</f>
        <v>LO</v>
      </c>
      <c r="J475" s="18"/>
      <c r="K475" s="20" t="e">
        <f>-SUMIFS('TRA RESID'!$P:$P,'TRA RESID'!$H:$H,$E475,'TRA RESID'!$I:$I,$F475)/SUMIFS('TRA RESID'!$P:$P,'TRA RESID'!$I:$I,$F475)*O475</f>
        <v>#DIV/0!</v>
      </c>
      <c r="L475" s="18"/>
      <c r="M475" s="18"/>
      <c r="N475" s="9"/>
      <c r="O475" s="21">
        <v>0.2</v>
      </c>
      <c r="Q475" s="15" t="str">
        <f t="shared" si="140"/>
        <v>*</v>
      </c>
      <c r="R475" s="16"/>
      <c r="S475" s="17" t="str">
        <f t="shared" si="142"/>
        <v>TRABDS</v>
      </c>
      <c r="T475" s="17" t="str">
        <f t="shared" si="143"/>
        <v>TRAPASTRMDMD</v>
      </c>
      <c r="U475" s="17" t="str">
        <f t="shared" si="144"/>
        <v>TRAPASTRMDMD</v>
      </c>
      <c r="V475" s="18">
        <v>2030</v>
      </c>
      <c r="W475" s="18" t="str">
        <f>W474</f>
        <v>UP</v>
      </c>
      <c r="X475" s="18"/>
      <c r="Y475" s="20" t="e">
        <f>-MIN(SUMIFS('TRA RESID'!$P:$P,'TRA RESID'!$H:$H,$E475,'TRA RESID'!$I:$I,$F475)/SUMIFS('TRA RESID'!$P:$P,'TRA RESID'!$I:$I,$F475)*AC475,1)</f>
        <v>#DIV/0!</v>
      </c>
      <c r="Z475" s="18"/>
      <c r="AA475" s="18"/>
      <c r="AB475" s="9"/>
      <c r="AC475" s="21">
        <v>1.5</v>
      </c>
    </row>
    <row r="476" spans="1:29" x14ac:dyDescent="0.25">
      <c r="A476" s="22">
        <f>A475</f>
        <v>118</v>
      </c>
      <c r="B476" s="22"/>
      <c r="C476" s="23" t="str">
        <f>IF(C475="*",C475,"")</f>
        <v>*</v>
      </c>
      <c r="D476" s="24"/>
      <c r="E476" s="25" t="str">
        <f t="shared" si="149"/>
        <v>TRABDS</v>
      </c>
      <c r="F476" s="25" t="str">
        <f t="shared" si="149"/>
        <v>TRAPASTRMDMD</v>
      </c>
      <c r="G476" s="25" t="str">
        <f t="shared" si="149"/>
        <v>TRAPASTRMDMD</v>
      </c>
      <c r="H476" s="26">
        <v>2050</v>
      </c>
      <c r="I476" s="26" t="str">
        <f>I475</f>
        <v>LO</v>
      </c>
      <c r="J476" s="26"/>
      <c r="K476" s="27" t="e">
        <f>-SUMIFS('TRA RESID'!$P:$P,'TRA RESID'!$H:$H,$E476,'TRA RESID'!$I:$I,$F476)/SUMIFS('TRA RESID'!$P:$P,'TRA RESID'!$I:$I,$F476)*O476</f>
        <v>#DIV/0!</v>
      </c>
      <c r="L476" s="26"/>
      <c r="M476" s="26"/>
      <c r="N476" s="22"/>
      <c r="O476" s="28">
        <v>0</v>
      </c>
      <c r="Q476" s="23" t="str">
        <f t="shared" si="140"/>
        <v>*</v>
      </c>
      <c r="R476" s="24"/>
      <c r="S476" s="25" t="str">
        <f t="shared" si="142"/>
        <v>TRABDS</v>
      </c>
      <c r="T476" s="25" t="str">
        <f t="shared" si="143"/>
        <v>TRAPASTRMDMD</v>
      </c>
      <c r="U476" s="25" t="str">
        <f t="shared" si="144"/>
        <v>TRAPASTRMDMD</v>
      </c>
      <c r="V476" s="26">
        <v>2050</v>
      </c>
      <c r="W476" s="26" t="str">
        <f>W475</f>
        <v>UP</v>
      </c>
      <c r="X476" s="26"/>
      <c r="Y476" s="27" t="e">
        <f>-MIN(SUMIFS('TRA RESID'!$P:$P,'TRA RESID'!$H:$H,$E476,'TRA RESID'!$I:$I,$F476)/SUMIFS('TRA RESID'!$P:$P,'TRA RESID'!$I:$I,$F476)*AC476,1)</f>
        <v>#DIV/0!</v>
      </c>
      <c r="Z476" s="26"/>
      <c r="AA476" s="26"/>
      <c r="AB476" s="22"/>
      <c r="AC476" s="28">
        <v>3</v>
      </c>
    </row>
    <row r="477" spans="1:29" x14ac:dyDescent="0.25">
      <c r="A477" s="14">
        <f>A473+1</f>
        <v>119</v>
      </c>
      <c r="B477" s="9"/>
      <c r="C477" s="15" t="str">
        <f>IF(E477="","",IF(_xlfn.XLOOKUP($A477,Selected_constraint!$A:$A,Selected_constraint!$D:$D)=1,"*",IF(SUMIFS('TRA TECH'!$M:$M,'TRA TECH'!$H:$H,E477,'TRA TECH'!$I:$I,F477)=0,"*",IF(SUMIFS('TRA RESID'!$P:$P,'TRA RESID'!$H:$H,$E477,'TRA RESID'!$I:$I,$F477)=0,"*","UC_MarketShare_"&amp;LEFT(F477,LEN(F477)-3)&amp;"_"&amp;RIGHT(E477,3)&amp;"_MIN"))))</f>
        <v>*</v>
      </c>
      <c r="D477" s="16"/>
      <c r="E477" s="17" t="str">
        <f>_xlfn.XLOOKUP($A477,Selected_constraint!$A:$A,Selected_constraint!$B:$B)</f>
        <v>TRACNG</v>
      </c>
      <c r="F477" s="17" t="str">
        <f>_xlfn.XLOOKUP($A477,Selected_constraint!$A:$A,Selected_constraint!$C:$C)</f>
        <v>TRAPASTRMDMD</v>
      </c>
      <c r="G477" s="17" t="str">
        <f>F477</f>
        <v>TRAPASTRMDMD</v>
      </c>
      <c r="H477" s="18">
        <v>2019</v>
      </c>
      <c r="I477" s="18" t="s">
        <v>483</v>
      </c>
      <c r="J477" s="18">
        <v>1</v>
      </c>
      <c r="K477" s="20" t="e">
        <f>-SUMIFS('TRA RESID'!$P:$P,'TRA RESID'!$H:$H,$E477,'TRA RESID'!$I:$I,$F477)/SUMIFS('TRA RESID'!$P:$P,'TRA RESID'!$I:$I,$F477)*O477</f>
        <v>#DIV/0!</v>
      </c>
      <c r="L477" s="18">
        <v>0</v>
      </c>
      <c r="M477" s="18">
        <v>5</v>
      </c>
      <c r="N477" s="9"/>
      <c r="O477" s="21">
        <v>0.98</v>
      </c>
      <c r="Q477" s="15" t="str">
        <f t="shared" si="140"/>
        <v>*</v>
      </c>
      <c r="R477" s="16"/>
      <c r="S477" s="17" t="str">
        <f t="shared" si="142"/>
        <v>TRACNG</v>
      </c>
      <c r="T477" s="17" t="str">
        <f t="shared" si="143"/>
        <v>TRAPASTRMDMD</v>
      </c>
      <c r="U477" s="17" t="str">
        <f t="shared" si="144"/>
        <v>TRAPASTRMDMD</v>
      </c>
      <c r="V477" s="18">
        <v>2019</v>
      </c>
      <c r="W477" s="18" t="s">
        <v>484</v>
      </c>
      <c r="X477" s="18">
        <v>1</v>
      </c>
      <c r="Y477" s="20" t="e">
        <f>-MIN(SUMIFS('TRA RESID'!$P:$P,'TRA RESID'!$H:$H,$E477,'TRA RESID'!$I:$I,$F477)/SUMIFS('TRA RESID'!$P:$P,'TRA RESID'!$I:$I,$F477)*AC477,1)</f>
        <v>#DIV/0!</v>
      </c>
      <c r="Z477" s="18">
        <v>0</v>
      </c>
      <c r="AA477" s="18">
        <v>5</v>
      </c>
      <c r="AB477" s="9"/>
      <c r="AC477" s="21">
        <v>1.02</v>
      </c>
    </row>
    <row r="478" spans="1:29" x14ac:dyDescent="0.25">
      <c r="A478" s="9">
        <f>A477</f>
        <v>119</v>
      </c>
      <c r="B478" s="9"/>
      <c r="C478" s="15" t="str">
        <f>IF(C477="*",C477,"")</f>
        <v>*</v>
      </c>
      <c r="D478" s="16"/>
      <c r="E478" s="17" t="str">
        <f t="shared" ref="E478:G480" si="150">E477</f>
        <v>TRACNG</v>
      </c>
      <c r="F478" s="17" t="str">
        <f t="shared" si="150"/>
        <v>TRAPASTRMDMD</v>
      </c>
      <c r="G478" s="17" t="str">
        <f t="shared" si="150"/>
        <v>TRAPASTRMDMD</v>
      </c>
      <c r="H478" s="18">
        <v>2025</v>
      </c>
      <c r="I478" s="18" t="str">
        <f>I477</f>
        <v>LO</v>
      </c>
      <c r="J478" s="18"/>
      <c r="K478" s="20" t="e">
        <f>-SUMIFS('TRA RESID'!$P:$P,'TRA RESID'!$H:$H,$E478,'TRA RESID'!$I:$I,$F478)/SUMIFS('TRA RESID'!$P:$P,'TRA RESID'!$I:$I,$F478)*O478</f>
        <v>#DIV/0!</v>
      </c>
      <c r="L478" s="18"/>
      <c r="M478" s="18"/>
      <c r="N478" s="9"/>
      <c r="O478" s="21">
        <v>0.8</v>
      </c>
      <c r="Q478" s="15" t="str">
        <f t="shared" si="140"/>
        <v>*</v>
      </c>
      <c r="R478" s="16"/>
      <c r="S478" s="17" t="str">
        <f t="shared" si="142"/>
        <v>TRACNG</v>
      </c>
      <c r="T478" s="17" t="str">
        <f t="shared" si="143"/>
        <v>TRAPASTRMDMD</v>
      </c>
      <c r="U478" s="17" t="str">
        <f t="shared" si="144"/>
        <v>TRAPASTRMDMD</v>
      </c>
      <c r="V478" s="18">
        <v>2025</v>
      </c>
      <c r="W478" s="18" t="str">
        <f>W477</f>
        <v>UP</v>
      </c>
      <c r="X478" s="18"/>
      <c r="Y478" s="20" t="e">
        <f>-MIN(SUMIFS('TRA RESID'!$P:$P,'TRA RESID'!$H:$H,$E478,'TRA RESID'!$I:$I,$F478)/SUMIFS('TRA RESID'!$P:$P,'TRA RESID'!$I:$I,$F478)*AC478,1)</f>
        <v>#DIV/0!</v>
      </c>
      <c r="Z478" s="18"/>
      <c r="AA478" s="18"/>
      <c r="AB478" s="9"/>
      <c r="AC478" s="21">
        <v>1.2</v>
      </c>
    </row>
    <row r="479" spans="1:29" x14ac:dyDescent="0.25">
      <c r="A479" s="9">
        <f>A478</f>
        <v>119</v>
      </c>
      <c r="B479" s="9"/>
      <c r="C479" s="15" t="str">
        <f>IF(C478="*",C478,"")</f>
        <v>*</v>
      </c>
      <c r="D479" s="16"/>
      <c r="E479" s="17" t="str">
        <f t="shared" si="150"/>
        <v>TRACNG</v>
      </c>
      <c r="F479" s="17" t="str">
        <f t="shared" si="150"/>
        <v>TRAPASTRMDMD</v>
      </c>
      <c r="G479" s="17" t="str">
        <f t="shared" si="150"/>
        <v>TRAPASTRMDMD</v>
      </c>
      <c r="H479" s="18">
        <v>2030</v>
      </c>
      <c r="I479" s="18" t="str">
        <f>I478</f>
        <v>LO</v>
      </c>
      <c r="J479" s="18"/>
      <c r="K479" s="20" t="e">
        <f>-SUMIFS('TRA RESID'!$P:$P,'TRA RESID'!$H:$H,$E479,'TRA RESID'!$I:$I,$F479)/SUMIFS('TRA RESID'!$P:$P,'TRA RESID'!$I:$I,$F479)*O479</f>
        <v>#DIV/0!</v>
      </c>
      <c r="L479" s="18"/>
      <c r="M479" s="18"/>
      <c r="N479" s="9"/>
      <c r="O479" s="21">
        <v>0.2</v>
      </c>
      <c r="Q479" s="15" t="str">
        <f t="shared" si="140"/>
        <v>*</v>
      </c>
      <c r="R479" s="16"/>
      <c r="S479" s="17" t="str">
        <f t="shared" si="142"/>
        <v>TRACNG</v>
      </c>
      <c r="T479" s="17" t="str">
        <f t="shared" si="143"/>
        <v>TRAPASTRMDMD</v>
      </c>
      <c r="U479" s="17" t="str">
        <f t="shared" si="144"/>
        <v>TRAPASTRMDMD</v>
      </c>
      <c r="V479" s="18">
        <v>2030</v>
      </c>
      <c r="W479" s="18" t="str">
        <f>W478</f>
        <v>UP</v>
      </c>
      <c r="X479" s="18"/>
      <c r="Y479" s="20" t="e">
        <f>-MIN(SUMIFS('TRA RESID'!$P:$P,'TRA RESID'!$H:$H,$E479,'TRA RESID'!$I:$I,$F479)/SUMIFS('TRA RESID'!$P:$P,'TRA RESID'!$I:$I,$F479)*AC479,1)</f>
        <v>#DIV/0!</v>
      </c>
      <c r="Z479" s="18"/>
      <c r="AA479" s="18"/>
      <c r="AB479" s="9"/>
      <c r="AC479" s="21">
        <v>1.5</v>
      </c>
    </row>
    <row r="480" spans="1:29" x14ac:dyDescent="0.25">
      <c r="A480" s="22">
        <f>A479</f>
        <v>119</v>
      </c>
      <c r="B480" s="22"/>
      <c r="C480" s="23" t="str">
        <f>IF(C479="*",C479,"")</f>
        <v>*</v>
      </c>
      <c r="D480" s="24"/>
      <c r="E480" s="25" t="str">
        <f t="shared" si="150"/>
        <v>TRACNG</v>
      </c>
      <c r="F480" s="25" t="str">
        <f t="shared" si="150"/>
        <v>TRAPASTRMDMD</v>
      </c>
      <c r="G480" s="25" t="str">
        <f t="shared" si="150"/>
        <v>TRAPASTRMDMD</v>
      </c>
      <c r="H480" s="26">
        <v>2050</v>
      </c>
      <c r="I480" s="26" t="str">
        <f>I479</f>
        <v>LO</v>
      </c>
      <c r="J480" s="26"/>
      <c r="K480" s="27" t="e">
        <f>-SUMIFS('TRA RESID'!$P:$P,'TRA RESID'!$H:$H,$E480,'TRA RESID'!$I:$I,$F480)/SUMIFS('TRA RESID'!$P:$P,'TRA RESID'!$I:$I,$F480)*O480</f>
        <v>#DIV/0!</v>
      </c>
      <c r="L480" s="26"/>
      <c r="M480" s="26"/>
      <c r="N480" s="22"/>
      <c r="O480" s="28">
        <v>0</v>
      </c>
      <c r="Q480" s="23" t="str">
        <f t="shared" si="140"/>
        <v>*</v>
      </c>
      <c r="R480" s="24"/>
      <c r="S480" s="25" t="str">
        <f t="shared" si="142"/>
        <v>TRACNG</v>
      </c>
      <c r="T480" s="25" t="str">
        <f t="shared" si="143"/>
        <v>TRAPASTRMDMD</v>
      </c>
      <c r="U480" s="25" t="str">
        <f t="shared" si="144"/>
        <v>TRAPASTRMDMD</v>
      </c>
      <c r="V480" s="26">
        <v>2050</v>
      </c>
      <c r="W480" s="26" t="str">
        <f>W479</f>
        <v>UP</v>
      </c>
      <c r="X480" s="26"/>
      <c r="Y480" s="27" t="e">
        <f>-MIN(SUMIFS('TRA RESID'!$P:$P,'TRA RESID'!$H:$H,$E480,'TRA RESID'!$I:$I,$F480)/SUMIFS('TRA RESID'!$P:$P,'TRA RESID'!$I:$I,$F480)*AC480,1)</f>
        <v>#DIV/0!</v>
      </c>
      <c r="Z480" s="26"/>
      <c r="AA480" s="26"/>
      <c r="AB480" s="22"/>
      <c r="AC480" s="28">
        <v>3</v>
      </c>
    </row>
    <row r="481" spans="1:29" x14ac:dyDescent="0.25">
      <c r="A481" s="14">
        <f>A477+1</f>
        <v>120</v>
      </c>
      <c r="B481" s="9"/>
      <c r="C481" s="15" t="str">
        <f>IF(E481="","",IF(_xlfn.XLOOKUP($A481,Selected_constraint!$A:$A,Selected_constraint!$D:$D)=1,"*",IF(SUMIFS('TRA TECH'!$M:$M,'TRA TECH'!$H:$H,E481,'TRA TECH'!$I:$I,F481)=0,"*",IF(SUMIFS('TRA RESID'!$P:$P,'TRA RESID'!$H:$H,$E481,'TRA RESID'!$I:$I,$F481)=0,"*","UC_MarketShare_"&amp;LEFT(F481,LEN(F481)-3)&amp;"_"&amp;RIGHT(E481,3)&amp;"_MIN"))))</f>
        <v>*</v>
      </c>
      <c r="D481" s="16"/>
      <c r="E481" s="17" t="str">
        <f>_xlfn.XLOOKUP($A481,Selected_constraint!$A:$A,Selected_constraint!$B:$B)</f>
        <v>TRARNG</v>
      </c>
      <c r="F481" s="17" t="str">
        <f>_xlfn.XLOOKUP($A481,Selected_constraint!$A:$A,Selected_constraint!$C:$C)</f>
        <v>TRAPASTRMDMD</v>
      </c>
      <c r="G481" s="17" t="str">
        <f>F481</f>
        <v>TRAPASTRMDMD</v>
      </c>
      <c r="H481" s="18">
        <v>2019</v>
      </c>
      <c r="I481" s="18" t="s">
        <v>483</v>
      </c>
      <c r="J481" s="18">
        <v>1</v>
      </c>
      <c r="K481" s="20" t="e">
        <f>-SUMIFS('TRA RESID'!$P:$P,'TRA RESID'!$H:$H,$E481,'TRA RESID'!$I:$I,$F481)/SUMIFS('TRA RESID'!$P:$P,'TRA RESID'!$I:$I,$F481)*O481</f>
        <v>#DIV/0!</v>
      </c>
      <c r="L481" s="18">
        <v>0</v>
      </c>
      <c r="M481" s="18">
        <v>5</v>
      </c>
      <c r="N481" s="9"/>
      <c r="O481" s="21">
        <v>0.98</v>
      </c>
      <c r="Q481" s="15" t="str">
        <f t="shared" si="140"/>
        <v>*</v>
      </c>
      <c r="R481" s="16"/>
      <c r="S481" s="17" t="str">
        <f t="shared" si="142"/>
        <v>TRARNG</v>
      </c>
      <c r="T481" s="17" t="str">
        <f t="shared" si="143"/>
        <v>TRAPASTRMDMD</v>
      </c>
      <c r="U481" s="17" t="str">
        <f t="shared" si="144"/>
        <v>TRAPASTRMDMD</v>
      </c>
      <c r="V481" s="18">
        <v>2019</v>
      </c>
      <c r="W481" s="18" t="s">
        <v>484</v>
      </c>
      <c r="X481" s="18">
        <v>1</v>
      </c>
      <c r="Y481" s="20" t="e">
        <f>-MIN(SUMIFS('TRA RESID'!$P:$P,'TRA RESID'!$H:$H,$E481,'TRA RESID'!$I:$I,$F481)/SUMIFS('TRA RESID'!$P:$P,'TRA RESID'!$I:$I,$F481)*AC481,1)</f>
        <v>#DIV/0!</v>
      </c>
      <c r="Z481" s="18">
        <v>0</v>
      </c>
      <c r="AA481" s="18">
        <v>5</v>
      </c>
      <c r="AB481" s="9"/>
      <c r="AC481" s="21">
        <v>1.02</v>
      </c>
    </row>
    <row r="482" spans="1:29" x14ac:dyDescent="0.25">
      <c r="A482" s="9">
        <f>A481</f>
        <v>120</v>
      </c>
      <c r="B482" s="9"/>
      <c r="C482" s="15" t="str">
        <f>IF(C481="*",C481,"")</f>
        <v>*</v>
      </c>
      <c r="D482" s="16"/>
      <c r="E482" s="17" t="str">
        <f t="shared" ref="E482:G484" si="151">E481</f>
        <v>TRARNG</v>
      </c>
      <c r="F482" s="17" t="str">
        <f t="shared" si="151"/>
        <v>TRAPASTRMDMD</v>
      </c>
      <c r="G482" s="17" t="str">
        <f t="shared" si="151"/>
        <v>TRAPASTRMDMD</v>
      </c>
      <c r="H482" s="18">
        <v>2025</v>
      </c>
      <c r="I482" s="18" t="str">
        <f>I481</f>
        <v>LO</v>
      </c>
      <c r="J482" s="18"/>
      <c r="K482" s="20" t="e">
        <f>-SUMIFS('TRA RESID'!$P:$P,'TRA RESID'!$H:$H,$E482,'TRA RESID'!$I:$I,$F482)/SUMIFS('TRA RESID'!$P:$P,'TRA RESID'!$I:$I,$F482)*O482</f>
        <v>#DIV/0!</v>
      </c>
      <c r="L482" s="18"/>
      <c r="M482" s="18"/>
      <c r="N482" s="9"/>
      <c r="O482" s="21">
        <v>0.8</v>
      </c>
      <c r="Q482" s="15" t="str">
        <f t="shared" si="140"/>
        <v>*</v>
      </c>
      <c r="R482" s="16"/>
      <c r="S482" s="17" t="str">
        <f t="shared" si="142"/>
        <v>TRARNG</v>
      </c>
      <c r="T482" s="17" t="str">
        <f t="shared" si="143"/>
        <v>TRAPASTRMDMD</v>
      </c>
      <c r="U482" s="17" t="str">
        <f t="shared" si="144"/>
        <v>TRAPASTRMDMD</v>
      </c>
      <c r="V482" s="18">
        <v>2025</v>
      </c>
      <c r="W482" s="18" t="str">
        <f>W481</f>
        <v>UP</v>
      </c>
      <c r="X482" s="18"/>
      <c r="Y482" s="20" t="e">
        <f>-MIN(SUMIFS('TRA RESID'!$P:$P,'TRA RESID'!$H:$H,$E482,'TRA RESID'!$I:$I,$F482)/SUMIFS('TRA RESID'!$P:$P,'TRA RESID'!$I:$I,$F482)*AC482,1)</f>
        <v>#DIV/0!</v>
      </c>
      <c r="Z482" s="18"/>
      <c r="AA482" s="18"/>
      <c r="AB482" s="9"/>
      <c r="AC482" s="21">
        <v>1.2</v>
      </c>
    </row>
    <row r="483" spans="1:29" x14ac:dyDescent="0.25">
      <c r="A483" s="9">
        <f>A482</f>
        <v>120</v>
      </c>
      <c r="B483" s="9"/>
      <c r="C483" s="15" t="str">
        <f>IF(C482="*",C482,"")</f>
        <v>*</v>
      </c>
      <c r="D483" s="16"/>
      <c r="E483" s="17" t="str">
        <f t="shared" si="151"/>
        <v>TRARNG</v>
      </c>
      <c r="F483" s="17" t="str">
        <f t="shared" si="151"/>
        <v>TRAPASTRMDMD</v>
      </c>
      <c r="G483" s="17" t="str">
        <f t="shared" si="151"/>
        <v>TRAPASTRMDMD</v>
      </c>
      <c r="H483" s="18">
        <v>2030</v>
      </c>
      <c r="I483" s="18" t="str">
        <f>I482</f>
        <v>LO</v>
      </c>
      <c r="J483" s="18"/>
      <c r="K483" s="20" t="e">
        <f>-SUMIFS('TRA RESID'!$P:$P,'TRA RESID'!$H:$H,$E483,'TRA RESID'!$I:$I,$F483)/SUMIFS('TRA RESID'!$P:$P,'TRA RESID'!$I:$I,$F483)*O483</f>
        <v>#DIV/0!</v>
      </c>
      <c r="L483" s="18"/>
      <c r="M483" s="18"/>
      <c r="N483" s="9"/>
      <c r="O483" s="21">
        <v>0.2</v>
      </c>
      <c r="Q483" s="15" t="str">
        <f t="shared" si="140"/>
        <v>*</v>
      </c>
      <c r="R483" s="16"/>
      <c r="S483" s="17" t="str">
        <f t="shared" si="142"/>
        <v>TRARNG</v>
      </c>
      <c r="T483" s="17" t="str">
        <f t="shared" si="143"/>
        <v>TRAPASTRMDMD</v>
      </c>
      <c r="U483" s="17" t="str">
        <f t="shared" si="144"/>
        <v>TRAPASTRMDMD</v>
      </c>
      <c r="V483" s="18">
        <v>2030</v>
      </c>
      <c r="W483" s="18" t="str">
        <f>W482</f>
        <v>UP</v>
      </c>
      <c r="X483" s="18"/>
      <c r="Y483" s="20" t="e">
        <f>-MIN(SUMIFS('TRA RESID'!$P:$P,'TRA RESID'!$H:$H,$E483,'TRA RESID'!$I:$I,$F483)/SUMIFS('TRA RESID'!$P:$P,'TRA RESID'!$I:$I,$F483)*AC483,1)</f>
        <v>#DIV/0!</v>
      </c>
      <c r="Z483" s="18"/>
      <c r="AA483" s="18"/>
      <c r="AB483" s="9"/>
      <c r="AC483" s="21">
        <v>1.5</v>
      </c>
    </row>
    <row r="484" spans="1:29" x14ac:dyDescent="0.25">
      <c r="A484" s="22">
        <f>A483</f>
        <v>120</v>
      </c>
      <c r="B484" s="22"/>
      <c r="C484" s="23" t="str">
        <f>IF(C483="*",C483,"")</f>
        <v>*</v>
      </c>
      <c r="D484" s="24"/>
      <c r="E484" s="25" t="str">
        <f t="shared" si="151"/>
        <v>TRARNG</v>
      </c>
      <c r="F484" s="25" t="str">
        <f t="shared" si="151"/>
        <v>TRAPASTRMDMD</v>
      </c>
      <c r="G484" s="25" t="str">
        <f t="shared" si="151"/>
        <v>TRAPASTRMDMD</v>
      </c>
      <c r="H484" s="26">
        <v>2050</v>
      </c>
      <c r="I484" s="26" t="str">
        <f>I483</f>
        <v>LO</v>
      </c>
      <c r="J484" s="26"/>
      <c r="K484" s="27" t="e">
        <f>-SUMIFS('TRA RESID'!$P:$P,'TRA RESID'!$H:$H,$E484,'TRA RESID'!$I:$I,$F484)/SUMIFS('TRA RESID'!$P:$P,'TRA RESID'!$I:$I,$F484)*O484</f>
        <v>#DIV/0!</v>
      </c>
      <c r="L484" s="26"/>
      <c r="M484" s="26"/>
      <c r="N484" s="22"/>
      <c r="O484" s="28">
        <v>0</v>
      </c>
      <c r="Q484" s="23" t="str">
        <f t="shared" si="140"/>
        <v>*</v>
      </c>
      <c r="R484" s="24"/>
      <c r="S484" s="25" t="str">
        <f t="shared" si="142"/>
        <v>TRARNG</v>
      </c>
      <c r="T484" s="25" t="str">
        <f t="shared" si="143"/>
        <v>TRAPASTRMDMD</v>
      </c>
      <c r="U484" s="25" t="str">
        <f t="shared" si="144"/>
        <v>TRAPASTRMDMD</v>
      </c>
      <c r="V484" s="26">
        <v>2050</v>
      </c>
      <c r="W484" s="26" t="str">
        <f>W483</f>
        <v>UP</v>
      </c>
      <c r="X484" s="26"/>
      <c r="Y484" s="27" t="e">
        <f>-MIN(SUMIFS('TRA RESID'!$P:$P,'TRA RESID'!$H:$H,$E484,'TRA RESID'!$I:$I,$F484)/SUMIFS('TRA RESID'!$P:$P,'TRA RESID'!$I:$I,$F484)*AC484,1)</f>
        <v>#DIV/0!</v>
      </c>
      <c r="Z484" s="26"/>
      <c r="AA484" s="26"/>
      <c r="AB484" s="22"/>
      <c r="AC484" s="28">
        <v>3</v>
      </c>
    </row>
    <row r="485" spans="1:29" x14ac:dyDescent="0.25">
      <c r="A485" s="14">
        <f>A481+1</f>
        <v>121</v>
      </c>
      <c r="B485" s="9"/>
      <c r="C485" s="15" t="str">
        <f>IF(E485="","",IF(_xlfn.XLOOKUP($A485,Selected_constraint!$A:$A,Selected_constraint!$D:$D)=1,"*",IF(SUMIFS('TRA TECH'!$M:$M,'TRA TECH'!$H:$H,E485,'TRA TECH'!$I:$I,F485)=0,"*",IF(SUMIFS('TRA RESID'!$P:$P,'TRA RESID'!$H:$H,$E485,'TRA RESID'!$I:$I,$F485)=0,"*","UC_MarketShare_"&amp;LEFT(F485,LEN(F485)-3)&amp;"_"&amp;RIGHT(E485,3)&amp;"_MIN"))))</f>
        <v>*</v>
      </c>
      <c r="D485" s="16"/>
      <c r="E485" s="17" t="str">
        <f>_xlfn.XLOOKUP($A485,Selected_constraint!$A:$A,Selected_constraint!$B:$B)</f>
        <v>TRAELC</v>
      </c>
      <c r="F485" s="17" t="str">
        <f>_xlfn.XLOOKUP($A485,Selected_constraint!$A:$A,Selected_constraint!$C:$C)</f>
        <v>TRAPASTRMDMD</v>
      </c>
      <c r="G485" s="17" t="str">
        <f>F485</f>
        <v>TRAPASTRMDMD</v>
      </c>
      <c r="H485" s="18">
        <v>2019</v>
      </c>
      <c r="I485" s="18" t="s">
        <v>483</v>
      </c>
      <c r="J485" s="18">
        <v>1</v>
      </c>
      <c r="K485" s="20" t="e">
        <f>-SUMIFS('TRA RESID'!$P:$P,'TRA RESID'!$H:$H,$E485,'TRA RESID'!$I:$I,$F485)/SUMIFS('TRA RESID'!$P:$P,'TRA RESID'!$I:$I,$F485)*O485</f>
        <v>#DIV/0!</v>
      </c>
      <c r="L485" s="18">
        <v>0</v>
      </c>
      <c r="M485" s="18">
        <v>5</v>
      </c>
      <c r="N485" s="9"/>
      <c r="O485" s="21">
        <v>0.98</v>
      </c>
      <c r="Q485" s="15" t="str">
        <f t="shared" si="140"/>
        <v>*</v>
      </c>
      <c r="R485" s="16"/>
      <c r="S485" s="17" t="str">
        <f t="shared" si="142"/>
        <v>TRAELC</v>
      </c>
      <c r="T485" s="17" t="str">
        <f t="shared" si="143"/>
        <v>TRAPASTRMDMD</v>
      </c>
      <c r="U485" s="17" t="str">
        <f t="shared" si="144"/>
        <v>TRAPASTRMDMD</v>
      </c>
      <c r="V485" s="18">
        <v>2019</v>
      </c>
      <c r="W485" s="18" t="s">
        <v>484</v>
      </c>
      <c r="X485" s="18">
        <v>1</v>
      </c>
      <c r="Y485" s="20" t="e">
        <f>-MIN(SUMIFS('TRA RESID'!$P:$P,'TRA RESID'!$H:$H,$E485,'TRA RESID'!$I:$I,$F485)/SUMIFS('TRA RESID'!$P:$P,'TRA RESID'!$I:$I,$F485)*AC485,1)</f>
        <v>#DIV/0!</v>
      </c>
      <c r="Z485" s="18">
        <v>0</v>
      </c>
      <c r="AA485" s="18">
        <v>5</v>
      </c>
      <c r="AB485" s="9"/>
      <c r="AC485" s="21">
        <v>1.02</v>
      </c>
    </row>
    <row r="486" spans="1:29" x14ac:dyDescent="0.25">
      <c r="A486" s="9">
        <f>A485</f>
        <v>121</v>
      </c>
      <c r="B486" s="9"/>
      <c r="C486" s="15" t="str">
        <f>IF(C485="*",C485,"")</f>
        <v>*</v>
      </c>
      <c r="D486" s="16"/>
      <c r="E486" s="17" t="str">
        <f t="shared" ref="E486:G488" si="152">E485</f>
        <v>TRAELC</v>
      </c>
      <c r="F486" s="17" t="str">
        <f t="shared" si="152"/>
        <v>TRAPASTRMDMD</v>
      </c>
      <c r="G486" s="17" t="str">
        <f t="shared" si="152"/>
        <v>TRAPASTRMDMD</v>
      </c>
      <c r="H486" s="18">
        <v>2025</v>
      </c>
      <c r="I486" s="18" t="str">
        <f>I485</f>
        <v>LO</v>
      </c>
      <c r="J486" s="18"/>
      <c r="K486" s="20" t="e">
        <f>-SUMIFS('TRA RESID'!$P:$P,'TRA RESID'!$H:$H,$E486,'TRA RESID'!$I:$I,$F486)/SUMIFS('TRA RESID'!$P:$P,'TRA RESID'!$I:$I,$F486)*O486</f>
        <v>#DIV/0!</v>
      </c>
      <c r="L486" s="18"/>
      <c r="M486" s="18"/>
      <c r="N486" s="9"/>
      <c r="O486" s="21">
        <v>0.8</v>
      </c>
      <c r="Q486" s="15" t="str">
        <f t="shared" si="140"/>
        <v>*</v>
      </c>
      <c r="R486" s="16"/>
      <c r="S486" s="17" t="str">
        <f t="shared" si="142"/>
        <v>TRAELC</v>
      </c>
      <c r="T486" s="17" t="str">
        <f t="shared" si="143"/>
        <v>TRAPASTRMDMD</v>
      </c>
      <c r="U486" s="17" t="str">
        <f t="shared" si="144"/>
        <v>TRAPASTRMDMD</v>
      </c>
      <c r="V486" s="18">
        <v>2025</v>
      </c>
      <c r="W486" s="18" t="str">
        <f>W485</f>
        <v>UP</v>
      </c>
      <c r="X486" s="18"/>
      <c r="Y486" s="20" t="e">
        <f>-MIN(SUMIFS('TRA RESID'!$P:$P,'TRA RESID'!$H:$H,$E486,'TRA RESID'!$I:$I,$F486)/SUMIFS('TRA RESID'!$P:$P,'TRA RESID'!$I:$I,$F486)*AC486,1)</f>
        <v>#DIV/0!</v>
      </c>
      <c r="Z486" s="18"/>
      <c r="AA486" s="18"/>
      <c r="AB486" s="9"/>
      <c r="AC486" s="21">
        <v>1.2</v>
      </c>
    </row>
    <row r="487" spans="1:29" x14ac:dyDescent="0.25">
      <c r="A487" s="9">
        <f>A486</f>
        <v>121</v>
      </c>
      <c r="B487" s="9"/>
      <c r="C487" s="15" t="str">
        <f>IF(C486="*",C486,"")</f>
        <v>*</v>
      </c>
      <c r="D487" s="16"/>
      <c r="E487" s="17" t="str">
        <f t="shared" si="152"/>
        <v>TRAELC</v>
      </c>
      <c r="F487" s="17" t="str">
        <f t="shared" si="152"/>
        <v>TRAPASTRMDMD</v>
      </c>
      <c r="G487" s="17" t="str">
        <f t="shared" si="152"/>
        <v>TRAPASTRMDMD</v>
      </c>
      <c r="H487" s="18">
        <v>2030</v>
      </c>
      <c r="I487" s="18" t="str">
        <f>I486</f>
        <v>LO</v>
      </c>
      <c r="J487" s="18"/>
      <c r="K487" s="20" t="e">
        <f>-SUMIFS('TRA RESID'!$P:$P,'TRA RESID'!$H:$H,$E487,'TRA RESID'!$I:$I,$F487)/SUMIFS('TRA RESID'!$P:$P,'TRA RESID'!$I:$I,$F487)*O487</f>
        <v>#DIV/0!</v>
      </c>
      <c r="L487" s="18"/>
      <c r="M487" s="18"/>
      <c r="N487" s="9"/>
      <c r="O487" s="21">
        <v>0.2</v>
      </c>
      <c r="Q487" s="15" t="str">
        <f t="shared" si="140"/>
        <v>*</v>
      </c>
      <c r="R487" s="16"/>
      <c r="S487" s="17" t="str">
        <f t="shared" si="142"/>
        <v>TRAELC</v>
      </c>
      <c r="T487" s="17" t="str">
        <f t="shared" si="143"/>
        <v>TRAPASTRMDMD</v>
      </c>
      <c r="U487" s="17" t="str">
        <f t="shared" si="144"/>
        <v>TRAPASTRMDMD</v>
      </c>
      <c r="V487" s="18">
        <v>2030</v>
      </c>
      <c r="W487" s="18" t="str">
        <f>W486</f>
        <v>UP</v>
      </c>
      <c r="X487" s="18"/>
      <c r="Y487" s="20" t="e">
        <f>-MIN(SUMIFS('TRA RESID'!$P:$P,'TRA RESID'!$H:$H,$E487,'TRA RESID'!$I:$I,$F487)/SUMIFS('TRA RESID'!$P:$P,'TRA RESID'!$I:$I,$F487)*AC487,1)</f>
        <v>#DIV/0!</v>
      </c>
      <c r="Z487" s="18"/>
      <c r="AA487" s="18"/>
      <c r="AB487" s="9"/>
      <c r="AC487" s="21">
        <v>1.5</v>
      </c>
    </row>
    <row r="488" spans="1:29" x14ac:dyDescent="0.25">
      <c r="A488" s="22">
        <f>A487</f>
        <v>121</v>
      </c>
      <c r="B488" s="22"/>
      <c r="C488" s="23" t="str">
        <f>IF(C487="*",C487,"")</f>
        <v>*</v>
      </c>
      <c r="D488" s="24"/>
      <c r="E488" s="25" t="str">
        <f t="shared" si="152"/>
        <v>TRAELC</v>
      </c>
      <c r="F488" s="25" t="str">
        <f t="shared" si="152"/>
        <v>TRAPASTRMDMD</v>
      </c>
      <c r="G488" s="25" t="str">
        <f t="shared" si="152"/>
        <v>TRAPASTRMDMD</v>
      </c>
      <c r="H488" s="26">
        <v>2050</v>
      </c>
      <c r="I488" s="26" t="str">
        <f>I487</f>
        <v>LO</v>
      </c>
      <c r="J488" s="26"/>
      <c r="K488" s="27" t="e">
        <f>-SUMIFS('TRA RESID'!$P:$P,'TRA RESID'!$H:$H,$E488,'TRA RESID'!$I:$I,$F488)/SUMIFS('TRA RESID'!$P:$P,'TRA RESID'!$I:$I,$F488)*O488</f>
        <v>#DIV/0!</v>
      </c>
      <c r="L488" s="26"/>
      <c r="M488" s="26"/>
      <c r="N488" s="22"/>
      <c r="O488" s="28">
        <v>0</v>
      </c>
      <c r="Q488" s="23" t="str">
        <f t="shared" si="140"/>
        <v>*</v>
      </c>
      <c r="R488" s="24"/>
      <c r="S488" s="25" t="str">
        <f t="shared" si="142"/>
        <v>TRAELC</v>
      </c>
      <c r="T488" s="25" t="str">
        <f t="shared" si="143"/>
        <v>TRAPASTRMDMD</v>
      </c>
      <c r="U488" s="25" t="str">
        <f t="shared" si="144"/>
        <v>TRAPASTRMDMD</v>
      </c>
      <c r="V488" s="26">
        <v>2050</v>
      </c>
      <c r="W488" s="26" t="str">
        <f>W487</f>
        <v>UP</v>
      </c>
      <c r="X488" s="26"/>
      <c r="Y488" s="27" t="e">
        <f>-MIN(SUMIFS('TRA RESID'!$P:$P,'TRA RESID'!$H:$H,$E488,'TRA RESID'!$I:$I,$F488)/SUMIFS('TRA RESID'!$P:$P,'TRA RESID'!$I:$I,$F488)*AC488,1)</f>
        <v>#DIV/0!</v>
      </c>
      <c r="Z488" s="26"/>
      <c r="AA488" s="26"/>
      <c r="AB488" s="22"/>
      <c r="AC488" s="28">
        <v>3</v>
      </c>
    </row>
    <row r="489" spans="1:29" x14ac:dyDescent="0.25">
      <c r="A489" s="14">
        <f>A485+1</f>
        <v>122</v>
      </c>
      <c r="B489" s="9"/>
      <c r="C489" s="15" t="str">
        <f>IF(E489="","",IF(_xlfn.XLOOKUP($A489,Selected_constraint!$A:$A,Selected_constraint!$D:$D)=1,"*",IF(SUMIFS('TRA TECH'!$M:$M,'TRA TECH'!$H:$H,E489,'TRA TECH'!$I:$I,F489)=0,"*",IF(SUMIFS('TRA RESID'!$P:$P,'TRA RESID'!$H:$H,$E489,'TRA RESID'!$I:$I,$F489)=0,"*","UC_MarketShare_"&amp;LEFT(F489,LEN(F489)-3)&amp;"_"&amp;RIGHT(E489,3)&amp;"_MIN"))))</f>
        <v>*</v>
      </c>
      <c r="D489" s="16"/>
      <c r="E489" s="17" t="str">
        <f>_xlfn.XLOOKUP($A489,Selected_constraint!$A:$A,Selected_constraint!$B:$B)</f>
        <v>TRAELC</v>
      </c>
      <c r="F489" s="17" t="str">
        <f>_xlfn.XLOOKUP($A489,Selected_constraint!$A:$A,Selected_constraint!$C:$C)</f>
        <v>TRAPASSUBDMD</v>
      </c>
      <c r="G489" s="17" t="str">
        <f>F489</f>
        <v>TRAPASSUBDMD</v>
      </c>
      <c r="H489" s="18">
        <v>2019</v>
      </c>
      <c r="I489" s="18" t="s">
        <v>483</v>
      </c>
      <c r="J489" s="18">
        <v>1</v>
      </c>
      <c r="K489" s="20" t="e">
        <f>-SUMIFS('TRA RESID'!$P:$P,'TRA RESID'!$H:$H,$E489,'TRA RESID'!$I:$I,$F489)/SUMIFS('TRA RESID'!$P:$P,'TRA RESID'!$I:$I,$F489)*O489</f>
        <v>#DIV/0!</v>
      </c>
      <c r="L489" s="18">
        <v>0</v>
      </c>
      <c r="M489" s="18">
        <v>5</v>
      </c>
      <c r="N489" s="9"/>
      <c r="O489" s="21">
        <v>0.98</v>
      </c>
      <c r="Q489" s="15" t="str">
        <f t="shared" si="140"/>
        <v>*</v>
      </c>
      <c r="R489" s="16"/>
      <c r="S489" s="17" t="str">
        <f t="shared" si="142"/>
        <v>TRAELC</v>
      </c>
      <c r="T489" s="17" t="str">
        <f t="shared" si="143"/>
        <v>TRAPASSUBDMD</v>
      </c>
      <c r="U489" s="17" t="str">
        <f t="shared" si="144"/>
        <v>TRAPASSUBDMD</v>
      </c>
      <c r="V489" s="18">
        <v>2019</v>
      </c>
      <c r="W489" s="18" t="s">
        <v>484</v>
      </c>
      <c r="X489" s="18">
        <v>1</v>
      </c>
      <c r="Y489" s="20" t="e">
        <f>-MIN(SUMIFS('TRA RESID'!$P:$P,'TRA RESID'!$H:$H,$E489,'TRA RESID'!$I:$I,$F489)/SUMIFS('TRA RESID'!$P:$P,'TRA RESID'!$I:$I,$F489)*AC489,1)</f>
        <v>#DIV/0!</v>
      </c>
      <c r="Z489" s="18">
        <v>0</v>
      </c>
      <c r="AA489" s="18">
        <v>5</v>
      </c>
      <c r="AB489" s="9"/>
      <c r="AC489" s="21">
        <v>1.02</v>
      </c>
    </row>
    <row r="490" spans="1:29" x14ac:dyDescent="0.25">
      <c r="A490" s="9">
        <f>A489</f>
        <v>122</v>
      </c>
      <c r="B490" s="9"/>
      <c r="C490" s="15" t="str">
        <f>IF(C489="*",C489,"")</f>
        <v>*</v>
      </c>
      <c r="D490" s="16"/>
      <c r="E490" s="17" t="str">
        <f t="shared" ref="E490:G492" si="153">E489</f>
        <v>TRAELC</v>
      </c>
      <c r="F490" s="17" t="str">
        <f t="shared" si="153"/>
        <v>TRAPASSUBDMD</v>
      </c>
      <c r="G490" s="17" t="str">
        <f t="shared" si="153"/>
        <v>TRAPASSUBDMD</v>
      </c>
      <c r="H490" s="18">
        <v>2025</v>
      </c>
      <c r="I490" s="18" t="str">
        <f>I489</f>
        <v>LO</v>
      </c>
      <c r="J490" s="18"/>
      <c r="K490" s="20" t="e">
        <f>-SUMIFS('TRA RESID'!$P:$P,'TRA RESID'!$H:$H,$E490,'TRA RESID'!$I:$I,$F490)/SUMIFS('TRA RESID'!$P:$P,'TRA RESID'!$I:$I,$F490)*O490</f>
        <v>#DIV/0!</v>
      </c>
      <c r="L490" s="18"/>
      <c r="M490" s="18"/>
      <c r="N490" s="9"/>
      <c r="O490" s="21">
        <v>0.8</v>
      </c>
      <c r="Q490" s="15" t="str">
        <f t="shared" si="140"/>
        <v>*</v>
      </c>
      <c r="R490" s="16"/>
      <c r="S490" s="17" t="str">
        <f t="shared" si="142"/>
        <v>TRAELC</v>
      </c>
      <c r="T490" s="17" t="str">
        <f t="shared" si="143"/>
        <v>TRAPASSUBDMD</v>
      </c>
      <c r="U490" s="17" t="str">
        <f t="shared" si="144"/>
        <v>TRAPASSUBDMD</v>
      </c>
      <c r="V490" s="18">
        <v>2025</v>
      </c>
      <c r="W490" s="18" t="str">
        <f>W489</f>
        <v>UP</v>
      </c>
      <c r="X490" s="18"/>
      <c r="Y490" s="20" t="e">
        <f>-MIN(SUMIFS('TRA RESID'!$P:$P,'TRA RESID'!$H:$H,$E490,'TRA RESID'!$I:$I,$F490)/SUMIFS('TRA RESID'!$P:$P,'TRA RESID'!$I:$I,$F490)*AC490,1)</f>
        <v>#DIV/0!</v>
      </c>
      <c r="Z490" s="18"/>
      <c r="AA490" s="18"/>
      <c r="AB490" s="9"/>
      <c r="AC490" s="21">
        <v>1.2</v>
      </c>
    </row>
    <row r="491" spans="1:29" x14ac:dyDescent="0.25">
      <c r="A491" s="9">
        <f>A490</f>
        <v>122</v>
      </c>
      <c r="B491" s="9"/>
      <c r="C491" s="15" t="str">
        <f>IF(C490="*",C490,"")</f>
        <v>*</v>
      </c>
      <c r="D491" s="16"/>
      <c r="E491" s="17" t="str">
        <f t="shared" si="153"/>
        <v>TRAELC</v>
      </c>
      <c r="F491" s="17" t="str">
        <f t="shared" si="153"/>
        <v>TRAPASSUBDMD</v>
      </c>
      <c r="G491" s="17" t="str">
        <f t="shared" si="153"/>
        <v>TRAPASSUBDMD</v>
      </c>
      <c r="H491" s="18">
        <v>2030</v>
      </c>
      <c r="I491" s="18" t="str">
        <f>I490</f>
        <v>LO</v>
      </c>
      <c r="J491" s="18"/>
      <c r="K491" s="20" t="e">
        <f>-SUMIFS('TRA RESID'!$P:$P,'TRA RESID'!$H:$H,$E491,'TRA RESID'!$I:$I,$F491)/SUMIFS('TRA RESID'!$P:$P,'TRA RESID'!$I:$I,$F491)*O491</f>
        <v>#DIV/0!</v>
      </c>
      <c r="L491" s="18"/>
      <c r="M491" s="18"/>
      <c r="N491" s="9"/>
      <c r="O491" s="21">
        <v>0.2</v>
      </c>
      <c r="Q491" s="15" t="str">
        <f t="shared" si="140"/>
        <v>*</v>
      </c>
      <c r="R491" s="16"/>
      <c r="S491" s="17" t="str">
        <f t="shared" si="142"/>
        <v>TRAELC</v>
      </c>
      <c r="T491" s="17" t="str">
        <f t="shared" si="143"/>
        <v>TRAPASSUBDMD</v>
      </c>
      <c r="U491" s="17" t="str">
        <f t="shared" si="144"/>
        <v>TRAPASSUBDMD</v>
      </c>
      <c r="V491" s="18">
        <v>2030</v>
      </c>
      <c r="W491" s="18" t="str">
        <f>W490</f>
        <v>UP</v>
      </c>
      <c r="X491" s="18"/>
      <c r="Y491" s="20" t="e">
        <f>-MIN(SUMIFS('TRA RESID'!$P:$P,'TRA RESID'!$H:$H,$E491,'TRA RESID'!$I:$I,$F491)/SUMIFS('TRA RESID'!$P:$P,'TRA RESID'!$I:$I,$F491)*AC491,1)</f>
        <v>#DIV/0!</v>
      </c>
      <c r="Z491" s="18"/>
      <c r="AA491" s="18"/>
      <c r="AB491" s="9"/>
      <c r="AC491" s="21">
        <v>1.5</v>
      </c>
    </row>
    <row r="492" spans="1:29" x14ac:dyDescent="0.25">
      <c r="A492" s="22">
        <f>A491</f>
        <v>122</v>
      </c>
      <c r="B492" s="22"/>
      <c r="C492" s="23" t="str">
        <f>IF(C491="*",C491,"")</f>
        <v>*</v>
      </c>
      <c r="D492" s="24"/>
      <c r="E492" s="25" t="str">
        <f t="shared" si="153"/>
        <v>TRAELC</v>
      </c>
      <c r="F492" s="25" t="str">
        <f t="shared" si="153"/>
        <v>TRAPASSUBDMD</v>
      </c>
      <c r="G492" s="25" t="str">
        <f t="shared" si="153"/>
        <v>TRAPASSUBDMD</v>
      </c>
      <c r="H492" s="26">
        <v>2050</v>
      </c>
      <c r="I492" s="26" t="str">
        <f>I491</f>
        <v>LO</v>
      </c>
      <c r="J492" s="26"/>
      <c r="K492" s="27" t="e">
        <f>-SUMIFS('TRA RESID'!$P:$P,'TRA RESID'!$H:$H,$E492,'TRA RESID'!$I:$I,$F492)/SUMIFS('TRA RESID'!$P:$P,'TRA RESID'!$I:$I,$F492)*O492</f>
        <v>#DIV/0!</v>
      </c>
      <c r="L492" s="26"/>
      <c r="M492" s="26"/>
      <c r="N492" s="22"/>
      <c r="O492" s="28">
        <v>0</v>
      </c>
      <c r="Q492" s="23" t="str">
        <f t="shared" si="140"/>
        <v>*</v>
      </c>
      <c r="R492" s="24"/>
      <c r="S492" s="25" t="str">
        <f t="shared" si="142"/>
        <v>TRAELC</v>
      </c>
      <c r="T492" s="25" t="str">
        <f t="shared" si="143"/>
        <v>TRAPASSUBDMD</v>
      </c>
      <c r="U492" s="25" t="str">
        <f t="shared" si="144"/>
        <v>TRAPASSUBDMD</v>
      </c>
      <c r="V492" s="26">
        <v>2050</v>
      </c>
      <c r="W492" s="26" t="str">
        <f>W491</f>
        <v>UP</v>
      </c>
      <c r="X492" s="26"/>
      <c r="Y492" s="27" t="e">
        <f>-MIN(SUMIFS('TRA RESID'!$P:$P,'TRA RESID'!$H:$H,$E492,'TRA RESID'!$I:$I,$F492)/SUMIFS('TRA RESID'!$P:$P,'TRA RESID'!$I:$I,$F492)*AC492,1)</f>
        <v>#DIV/0!</v>
      </c>
      <c r="Z492" s="26"/>
      <c r="AA492" s="26"/>
      <c r="AB492" s="22"/>
      <c r="AC492" s="28">
        <v>3</v>
      </c>
    </row>
    <row r="493" spans="1:29" x14ac:dyDescent="0.25">
      <c r="A493" s="14">
        <f>A489+1</f>
        <v>123</v>
      </c>
      <c r="B493" s="9"/>
      <c r="C493" s="15" t="str">
        <f>IF(E493="","",IF(_xlfn.XLOOKUP($A493,Selected_constraint!$A:$A,Selected_constraint!$D:$D)=1,"*",IF(SUMIFS('TRA TECH'!$M:$M,'TRA TECH'!$H:$H,E493,'TRA TECH'!$I:$I,F493)=0,"*",IF(SUMIFS('TRA RESID'!$P:$P,'TRA RESID'!$H:$H,$E493,'TRA RESID'!$I:$I,$F493)=0,"*","UC_MarketShare_"&amp;LEFT(F493,LEN(F493)-3)&amp;"_"&amp;RIGHT(E493,3)&amp;"_MIN"))))</f>
        <v>*</v>
      </c>
      <c r="D493" s="16"/>
      <c r="E493" s="17" t="str">
        <f>_xlfn.XLOOKUP($A493,Selected_constraint!$A:$A,Selected_constraint!$B:$B)</f>
        <v>TRAGSL</v>
      </c>
      <c r="F493" s="17" t="str">
        <f>_xlfn.XLOOKUP($A493,Selected_constraint!$A:$A,Selected_constraint!$C:$C)</f>
        <v>TRAOTHOFRDMD</v>
      </c>
      <c r="G493" s="17" t="str">
        <f>F493</f>
        <v>TRAOTHOFRDMD</v>
      </c>
      <c r="H493" s="18">
        <v>2019</v>
      </c>
      <c r="I493" s="18" t="s">
        <v>483</v>
      </c>
      <c r="J493" s="18">
        <v>1</v>
      </c>
      <c r="K493" s="20" t="e">
        <f>-SUMIFS('TRA RESID'!$P:$P,'TRA RESID'!$H:$H,$E493,'TRA RESID'!$I:$I,$F493)/SUMIFS('TRA RESID'!$P:$P,'TRA RESID'!$I:$I,$F493)*O493</f>
        <v>#DIV/0!</v>
      </c>
      <c r="L493" s="18">
        <v>0</v>
      </c>
      <c r="M493" s="18">
        <v>5</v>
      </c>
      <c r="N493" s="9"/>
      <c r="O493" s="21">
        <v>0.98</v>
      </c>
      <c r="Q493" s="15" t="str">
        <f t="shared" si="140"/>
        <v>*</v>
      </c>
      <c r="R493" s="16"/>
      <c r="S493" s="17" t="str">
        <f t="shared" si="142"/>
        <v>TRAGSL</v>
      </c>
      <c r="T493" s="17" t="str">
        <f t="shared" si="143"/>
        <v>TRAOTHOFRDMD</v>
      </c>
      <c r="U493" s="17" t="str">
        <f t="shared" si="144"/>
        <v>TRAOTHOFRDMD</v>
      </c>
      <c r="V493" s="18">
        <v>2019</v>
      </c>
      <c r="W493" s="18" t="s">
        <v>484</v>
      </c>
      <c r="X493" s="18">
        <v>1</v>
      </c>
      <c r="Y493" s="20" t="e">
        <f>-MIN(SUMIFS('TRA RESID'!$P:$P,'TRA RESID'!$H:$H,$E493,'TRA RESID'!$I:$I,$F493)/SUMIFS('TRA RESID'!$P:$P,'TRA RESID'!$I:$I,$F493)*AC493,1)</f>
        <v>#DIV/0!</v>
      </c>
      <c r="Z493" s="18">
        <v>0</v>
      </c>
      <c r="AA493" s="18">
        <v>5</v>
      </c>
      <c r="AB493" s="9"/>
      <c r="AC493" s="21">
        <v>1.02</v>
      </c>
    </row>
    <row r="494" spans="1:29" x14ac:dyDescent="0.25">
      <c r="A494" s="9">
        <f>A493</f>
        <v>123</v>
      </c>
      <c r="B494" s="9"/>
      <c r="C494" s="15" t="str">
        <f>IF(C493="*",C493,"")</f>
        <v>*</v>
      </c>
      <c r="D494" s="16"/>
      <c r="E494" s="17" t="str">
        <f t="shared" ref="E494:G496" si="154">E493</f>
        <v>TRAGSL</v>
      </c>
      <c r="F494" s="17" t="str">
        <f t="shared" si="154"/>
        <v>TRAOTHOFRDMD</v>
      </c>
      <c r="G494" s="17" t="str">
        <f t="shared" si="154"/>
        <v>TRAOTHOFRDMD</v>
      </c>
      <c r="H494" s="18">
        <v>2025</v>
      </c>
      <c r="I494" s="18" t="str">
        <f>I493</f>
        <v>LO</v>
      </c>
      <c r="J494" s="18"/>
      <c r="K494" s="20" t="e">
        <f>-SUMIFS('TRA RESID'!$P:$P,'TRA RESID'!$H:$H,$E494,'TRA RESID'!$I:$I,$F494)/SUMIFS('TRA RESID'!$P:$P,'TRA RESID'!$I:$I,$F494)*O494</f>
        <v>#DIV/0!</v>
      </c>
      <c r="L494" s="18"/>
      <c r="M494" s="18"/>
      <c r="N494" s="9"/>
      <c r="O494" s="21">
        <v>0.8</v>
      </c>
      <c r="Q494" s="15" t="str">
        <f t="shared" si="140"/>
        <v>*</v>
      </c>
      <c r="R494" s="16"/>
      <c r="S494" s="17" t="str">
        <f t="shared" si="142"/>
        <v>TRAGSL</v>
      </c>
      <c r="T494" s="17" t="str">
        <f t="shared" si="143"/>
        <v>TRAOTHOFRDMD</v>
      </c>
      <c r="U494" s="17" t="str">
        <f t="shared" si="144"/>
        <v>TRAOTHOFRDMD</v>
      </c>
      <c r="V494" s="18">
        <v>2025</v>
      </c>
      <c r="W494" s="18" t="str">
        <f>W493</f>
        <v>UP</v>
      </c>
      <c r="X494" s="18"/>
      <c r="Y494" s="20" t="e">
        <f>-MIN(SUMIFS('TRA RESID'!$P:$P,'TRA RESID'!$H:$H,$E494,'TRA RESID'!$I:$I,$F494)/SUMIFS('TRA RESID'!$P:$P,'TRA RESID'!$I:$I,$F494)*AC494,1)</f>
        <v>#DIV/0!</v>
      </c>
      <c r="Z494" s="18"/>
      <c r="AA494" s="18"/>
      <c r="AB494" s="9"/>
      <c r="AC494" s="21">
        <v>1.2</v>
      </c>
    </row>
    <row r="495" spans="1:29" x14ac:dyDescent="0.25">
      <c r="A495" s="9">
        <f>A494</f>
        <v>123</v>
      </c>
      <c r="B495" s="9"/>
      <c r="C495" s="15" t="str">
        <f>IF(C494="*",C494,"")</f>
        <v>*</v>
      </c>
      <c r="D495" s="16"/>
      <c r="E495" s="17" t="str">
        <f t="shared" si="154"/>
        <v>TRAGSL</v>
      </c>
      <c r="F495" s="17" t="str">
        <f t="shared" si="154"/>
        <v>TRAOTHOFRDMD</v>
      </c>
      <c r="G495" s="17" t="str">
        <f t="shared" si="154"/>
        <v>TRAOTHOFRDMD</v>
      </c>
      <c r="H495" s="18">
        <v>2030</v>
      </c>
      <c r="I495" s="18" t="str">
        <f>I494</f>
        <v>LO</v>
      </c>
      <c r="J495" s="18"/>
      <c r="K495" s="20" t="e">
        <f>-SUMIFS('TRA RESID'!$P:$P,'TRA RESID'!$H:$H,$E495,'TRA RESID'!$I:$I,$F495)/SUMIFS('TRA RESID'!$P:$P,'TRA RESID'!$I:$I,$F495)*O495</f>
        <v>#DIV/0!</v>
      </c>
      <c r="L495" s="18"/>
      <c r="M495" s="18"/>
      <c r="N495" s="9"/>
      <c r="O495" s="21">
        <v>0.2</v>
      </c>
      <c r="Q495" s="15" t="str">
        <f t="shared" si="140"/>
        <v>*</v>
      </c>
      <c r="R495" s="16"/>
      <c r="S495" s="17" t="str">
        <f t="shared" si="142"/>
        <v>TRAGSL</v>
      </c>
      <c r="T495" s="17" t="str">
        <f t="shared" si="143"/>
        <v>TRAOTHOFRDMD</v>
      </c>
      <c r="U495" s="17" t="str">
        <f t="shared" si="144"/>
        <v>TRAOTHOFRDMD</v>
      </c>
      <c r="V495" s="18">
        <v>2030</v>
      </c>
      <c r="W495" s="18" t="str">
        <f>W494</f>
        <v>UP</v>
      </c>
      <c r="X495" s="18"/>
      <c r="Y495" s="20" t="e">
        <f>-MIN(SUMIFS('TRA RESID'!$P:$P,'TRA RESID'!$H:$H,$E495,'TRA RESID'!$I:$I,$F495)/SUMIFS('TRA RESID'!$P:$P,'TRA RESID'!$I:$I,$F495)*AC495,1)</f>
        <v>#DIV/0!</v>
      </c>
      <c r="Z495" s="18"/>
      <c r="AA495" s="18"/>
      <c r="AB495" s="9"/>
      <c r="AC495" s="21">
        <v>1.5</v>
      </c>
    </row>
    <row r="496" spans="1:29" x14ac:dyDescent="0.25">
      <c r="A496" s="22">
        <f>A495</f>
        <v>123</v>
      </c>
      <c r="B496" s="22"/>
      <c r="C496" s="23" t="str">
        <f>IF(C495="*",C495,"")</f>
        <v>*</v>
      </c>
      <c r="D496" s="24"/>
      <c r="E496" s="25" t="str">
        <f t="shared" si="154"/>
        <v>TRAGSL</v>
      </c>
      <c r="F496" s="25" t="str">
        <f t="shared" si="154"/>
        <v>TRAOTHOFRDMD</v>
      </c>
      <c r="G496" s="25" t="str">
        <f t="shared" si="154"/>
        <v>TRAOTHOFRDMD</v>
      </c>
      <c r="H496" s="26">
        <v>2050</v>
      </c>
      <c r="I496" s="26" t="str">
        <f>I495</f>
        <v>LO</v>
      </c>
      <c r="J496" s="26"/>
      <c r="K496" s="27" t="e">
        <f>-SUMIFS('TRA RESID'!$P:$P,'TRA RESID'!$H:$H,$E496,'TRA RESID'!$I:$I,$F496)/SUMIFS('TRA RESID'!$P:$P,'TRA RESID'!$I:$I,$F496)*O496</f>
        <v>#DIV/0!</v>
      </c>
      <c r="L496" s="26"/>
      <c r="M496" s="26"/>
      <c r="N496" s="22"/>
      <c r="O496" s="28">
        <v>0</v>
      </c>
      <c r="Q496" s="23" t="str">
        <f t="shared" si="140"/>
        <v>*</v>
      </c>
      <c r="R496" s="24"/>
      <c r="S496" s="25" t="str">
        <f t="shared" si="142"/>
        <v>TRAGSL</v>
      </c>
      <c r="T496" s="25" t="str">
        <f t="shared" si="143"/>
        <v>TRAOTHOFRDMD</v>
      </c>
      <c r="U496" s="25" t="str">
        <f t="shared" si="144"/>
        <v>TRAOTHOFRDMD</v>
      </c>
      <c r="V496" s="26">
        <v>2050</v>
      </c>
      <c r="W496" s="26" t="str">
        <f>W495</f>
        <v>UP</v>
      </c>
      <c r="X496" s="26"/>
      <c r="Y496" s="27" t="e">
        <f>-MIN(SUMIFS('TRA RESID'!$P:$P,'TRA RESID'!$H:$H,$E496,'TRA RESID'!$I:$I,$F496)/SUMIFS('TRA RESID'!$P:$P,'TRA RESID'!$I:$I,$F496)*AC496,1)</f>
        <v>#DIV/0!</v>
      </c>
      <c r="Z496" s="26"/>
      <c r="AA496" s="26"/>
      <c r="AB496" s="22"/>
      <c r="AC496" s="28">
        <v>3</v>
      </c>
    </row>
    <row r="497" spans="1:29" x14ac:dyDescent="0.25">
      <c r="A497" s="14">
        <f>A493+1</f>
        <v>124</v>
      </c>
      <c r="B497" s="9"/>
      <c r="C497" s="15" t="str">
        <f>IF(E497="","",IF(_xlfn.XLOOKUP($A497,Selected_constraint!$A:$A,Selected_constraint!$D:$D)=1,"*",IF(SUMIFS('TRA TECH'!$M:$M,'TRA TECH'!$H:$H,E497,'TRA TECH'!$I:$I,F497)=0,"*",IF(SUMIFS('TRA RESID'!$P:$P,'TRA RESID'!$H:$H,$E497,'TRA RESID'!$I:$I,$F497)=0,"*","UC_MarketShare_"&amp;LEFT(F497,LEN(F497)-3)&amp;"_"&amp;RIGHT(E497,3)&amp;"_MIN"))))</f>
        <v>*</v>
      </c>
      <c r="D497" s="16"/>
      <c r="E497" s="17" t="str">
        <f>_xlfn.XLOOKUP($A497,Selected_constraint!$A:$A,Selected_constraint!$B:$B)</f>
        <v>TRAETH</v>
      </c>
      <c r="F497" s="17" t="str">
        <f>_xlfn.XLOOKUP($A497,Selected_constraint!$A:$A,Selected_constraint!$C:$C)</f>
        <v>TRAOTHOFRDMD</v>
      </c>
      <c r="G497" s="17" t="str">
        <f>F497</f>
        <v>TRAOTHOFRDMD</v>
      </c>
      <c r="H497" s="18">
        <v>2019</v>
      </c>
      <c r="I497" s="18" t="s">
        <v>483</v>
      </c>
      <c r="J497" s="18">
        <v>1</v>
      </c>
      <c r="K497" s="20" t="e">
        <f>-SUMIFS('TRA RESID'!$P:$P,'TRA RESID'!$H:$H,$E497,'TRA RESID'!$I:$I,$F497)/SUMIFS('TRA RESID'!$P:$P,'TRA RESID'!$I:$I,$F497)*O497</f>
        <v>#DIV/0!</v>
      </c>
      <c r="L497" s="18">
        <v>0</v>
      </c>
      <c r="M497" s="18">
        <v>5</v>
      </c>
      <c r="N497" s="9"/>
      <c r="O497" s="21">
        <v>0.98</v>
      </c>
      <c r="Q497" s="15" t="str">
        <f t="shared" si="140"/>
        <v>*</v>
      </c>
      <c r="R497" s="16"/>
      <c r="S497" s="17" t="str">
        <f t="shared" si="142"/>
        <v>TRAETH</v>
      </c>
      <c r="T497" s="17" t="str">
        <f t="shared" si="143"/>
        <v>TRAOTHOFRDMD</v>
      </c>
      <c r="U497" s="17" t="str">
        <f t="shared" si="144"/>
        <v>TRAOTHOFRDMD</v>
      </c>
      <c r="V497" s="18">
        <v>2019</v>
      </c>
      <c r="W497" s="18" t="s">
        <v>484</v>
      </c>
      <c r="X497" s="18">
        <v>1</v>
      </c>
      <c r="Y497" s="20" t="e">
        <f>-MIN(SUMIFS('TRA RESID'!$P:$P,'TRA RESID'!$H:$H,$E497,'TRA RESID'!$I:$I,$F497)/SUMIFS('TRA RESID'!$P:$P,'TRA RESID'!$I:$I,$F497)*AC497,1)</f>
        <v>#DIV/0!</v>
      </c>
      <c r="Z497" s="18">
        <v>0</v>
      </c>
      <c r="AA497" s="18">
        <v>5</v>
      </c>
      <c r="AB497" s="9"/>
      <c r="AC497" s="21">
        <v>1.02</v>
      </c>
    </row>
    <row r="498" spans="1:29" x14ac:dyDescent="0.25">
      <c r="A498" s="9">
        <f>A497</f>
        <v>124</v>
      </c>
      <c r="B498" s="9"/>
      <c r="C498" s="15" t="str">
        <f>IF(C497="*",C497,"")</f>
        <v>*</v>
      </c>
      <c r="D498" s="16"/>
      <c r="E498" s="17" t="str">
        <f t="shared" ref="E498:G500" si="155">E497</f>
        <v>TRAETH</v>
      </c>
      <c r="F498" s="17" t="str">
        <f t="shared" si="155"/>
        <v>TRAOTHOFRDMD</v>
      </c>
      <c r="G498" s="17" t="str">
        <f t="shared" si="155"/>
        <v>TRAOTHOFRDMD</v>
      </c>
      <c r="H498" s="18">
        <v>2025</v>
      </c>
      <c r="I498" s="18" t="str">
        <f>I497</f>
        <v>LO</v>
      </c>
      <c r="J498" s="18"/>
      <c r="K498" s="20" t="e">
        <f>-SUMIFS('TRA RESID'!$P:$P,'TRA RESID'!$H:$H,$E498,'TRA RESID'!$I:$I,$F498)/SUMIFS('TRA RESID'!$P:$P,'TRA RESID'!$I:$I,$F498)*O498</f>
        <v>#DIV/0!</v>
      </c>
      <c r="L498" s="18"/>
      <c r="M498" s="18"/>
      <c r="N498" s="9"/>
      <c r="O498" s="21">
        <v>0.8</v>
      </c>
      <c r="Q498" s="15" t="str">
        <f t="shared" si="140"/>
        <v>*</v>
      </c>
      <c r="R498" s="16"/>
      <c r="S498" s="17" t="str">
        <f t="shared" si="142"/>
        <v>TRAETH</v>
      </c>
      <c r="T498" s="17" t="str">
        <f t="shared" si="143"/>
        <v>TRAOTHOFRDMD</v>
      </c>
      <c r="U498" s="17" t="str">
        <f t="shared" si="144"/>
        <v>TRAOTHOFRDMD</v>
      </c>
      <c r="V498" s="18">
        <v>2025</v>
      </c>
      <c r="W498" s="18" t="str">
        <f>W497</f>
        <v>UP</v>
      </c>
      <c r="X498" s="18"/>
      <c r="Y498" s="20" t="e">
        <f>-MIN(SUMIFS('TRA RESID'!$P:$P,'TRA RESID'!$H:$H,$E498,'TRA RESID'!$I:$I,$F498)/SUMIFS('TRA RESID'!$P:$P,'TRA RESID'!$I:$I,$F498)*AC498,1)</f>
        <v>#DIV/0!</v>
      </c>
      <c r="Z498" s="18"/>
      <c r="AA498" s="18"/>
      <c r="AB498" s="9"/>
      <c r="AC498" s="21">
        <v>1.2</v>
      </c>
    </row>
    <row r="499" spans="1:29" x14ac:dyDescent="0.25">
      <c r="A499" s="9">
        <f>A498</f>
        <v>124</v>
      </c>
      <c r="B499" s="9"/>
      <c r="C499" s="15" t="str">
        <f>IF(C498="*",C498,"")</f>
        <v>*</v>
      </c>
      <c r="D499" s="16"/>
      <c r="E499" s="17" t="str">
        <f t="shared" si="155"/>
        <v>TRAETH</v>
      </c>
      <c r="F499" s="17" t="str">
        <f t="shared" si="155"/>
        <v>TRAOTHOFRDMD</v>
      </c>
      <c r="G499" s="17" t="str">
        <f t="shared" si="155"/>
        <v>TRAOTHOFRDMD</v>
      </c>
      <c r="H499" s="18">
        <v>2030</v>
      </c>
      <c r="I499" s="18" t="str">
        <f>I498</f>
        <v>LO</v>
      </c>
      <c r="J499" s="18"/>
      <c r="K499" s="20" t="e">
        <f>-SUMIFS('TRA RESID'!$P:$P,'TRA RESID'!$H:$H,$E499,'TRA RESID'!$I:$I,$F499)/SUMIFS('TRA RESID'!$P:$P,'TRA RESID'!$I:$I,$F499)*O499</f>
        <v>#DIV/0!</v>
      </c>
      <c r="L499" s="18"/>
      <c r="M499" s="18"/>
      <c r="N499" s="9"/>
      <c r="O499" s="21">
        <v>0.2</v>
      </c>
      <c r="Q499" s="15" t="str">
        <f t="shared" si="140"/>
        <v>*</v>
      </c>
      <c r="R499" s="16"/>
      <c r="S499" s="17" t="str">
        <f t="shared" si="142"/>
        <v>TRAETH</v>
      </c>
      <c r="T499" s="17" t="str">
        <f t="shared" si="143"/>
        <v>TRAOTHOFRDMD</v>
      </c>
      <c r="U499" s="17" t="str">
        <f t="shared" si="144"/>
        <v>TRAOTHOFRDMD</v>
      </c>
      <c r="V499" s="18">
        <v>2030</v>
      </c>
      <c r="W499" s="18" t="str">
        <f>W498</f>
        <v>UP</v>
      </c>
      <c r="X499" s="18"/>
      <c r="Y499" s="20" t="e">
        <f>-MIN(SUMIFS('TRA RESID'!$P:$P,'TRA RESID'!$H:$H,$E499,'TRA RESID'!$I:$I,$F499)/SUMIFS('TRA RESID'!$P:$P,'TRA RESID'!$I:$I,$F499)*AC499,1)</f>
        <v>#DIV/0!</v>
      </c>
      <c r="Z499" s="18"/>
      <c r="AA499" s="18"/>
      <c r="AB499" s="9"/>
      <c r="AC499" s="21">
        <v>1.5</v>
      </c>
    </row>
    <row r="500" spans="1:29" x14ac:dyDescent="0.25">
      <c r="A500" s="22">
        <f>A499</f>
        <v>124</v>
      </c>
      <c r="B500" s="22"/>
      <c r="C500" s="23" t="str">
        <f>IF(C499="*",C499,"")</f>
        <v>*</v>
      </c>
      <c r="D500" s="24"/>
      <c r="E500" s="25" t="str">
        <f t="shared" si="155"/>
        <v>TRAETH</v>
      </c>
      <c r="F500" s="25" t="str">
        <f t="shared" si="155"/>
        <v>TRAOTHOFRDMD</v>
      </c>
      <c r="G500" s="25" t="str">
        <f t="shared" si="155"/>
        <v>TRAOTHOFRDMD</v>
      </c>
      <c r="H500" s="26">
        <v>2050</v>
      </c>
      <c r="I500" s="26" t="str">
        <f>I499</f>
        <v>LO</v>
      </c>
      <c r="J500" s="26"/>
      <c r="K500" s="27" t="e">
        <f>-SUMIFS('TRA RESID'!$P:$P,'TRA RESID'!$H:$H,$E500,'TRA RESID'!$I:$I,$F500)/SUMIFS('TRA RESID'!$P:$P,'TRA RESID'!$I:$I,$F500)*O500</f>
        <v>#DIV/0!</v>
      </c>
      <c r="L500" s="26"/>
      <c r="M500" s="26"/>
      <c r="N500" s="22"/>
      <c r="O500" s="28">
        <v>0</v>
      </c>
      <c r="Q500" s="23" t="str">
        <f t="shared" si="140"/>
        <v>*</v>
      </c>
      <c r="R500" s="24"/>
      <c r="S500" s="25" t="str">
        <f t="shared" si="142"/>
        <v>TRAETH</v>
      </c>
      <c r="T500" s="25" t="str">
        <f t="shared" si="143"/>
        <v>TRAOTHOFRDMD</v>
      </c>
      <c r="U500" s="25" t="str">
        <f t="shared" si="144"/>
        <v>TRAOTHOFRDMD</v>
      </c>
      <c r="V500" s="26">
        <v>2050</v>
      </c>
      <c r="W500" s="26" t="str">
        <f>W499</f>
        <v>UP</v>
      </c>
      <c r="X500" s="26"/>
      <c r="Y500" s="27" t="e">
        <f>-MIN(SUMIFS('TRA RESID'!$P:$P,'TRA RESID'!$H:$H,$E500,'TRA RESID'!$I:$I,$F500)/SUMIFS('TRA RESID'!$P:$P,'TRA RESID'!$I:$I,$F500)*AC500,1)</f>
        <v>#DIV/0!</v>
      </c>
      <c r="Z500" s="26"/>
      <c r="AA500" s="26"/>
      <c r="AB500" s="22"/>
      <c r="AC500" s="28">
        <v>3</v>
      </c>
    </row>
    <row r="501" spans="1:29" x14ac:dyDescent="0.25">
      <c r="A501" s="14">
        <f>A497+1</f>
        <v>125</v>
      </c>
      <c r="B501" s="9"/>
      <c r="C501" s="15" t="str">
        <f>IF(E501="","",IF(_xlfn.XLOOKUP($A501,Selected_constraint!$A:$A,Selected_constraint!$D:$D)=1,"*",IF(SUMIFS('TRA TECH'!$M:$M,'TRA TECH'!$H:$H,E501,'TRA TECH'!$I:$I,F501)=0,"*",IF(SUMIFS('TRA RESID'!$P:$P,'TRA RESID'!$H:$H,$E501,'TRA RESID'!$I:$I,$F501)=0,"*","UC_MarketShare_"&amp;LEFT(F501,LEN(F501)-3)&amp;"_"&amp;RIGHT(E501,3)&amp;"_MIN"))))</f>
        <v>*</v>
      </c>
      <c r="D501" s="16"/>
      <c r="E501" s="17" t="str">
        <f>_xlfn.XLOOKUP($A501,Selected_constraint!$A:$A,Selected_constraint!$B:$B)</f>
        <v>TRADSL</v>
      </c>
      <c r="F501" s="17" t="str">
        <f>_xlfn.XLOOKUP($A501,Selected_constraint!$A:$A,Selected_constraint!$C:$C)</f>
        <v>TRAOTHOFRDMD</v>
      </c>
      <c r="G501" s="17" t="str">
        <f>F501</f>
        <v>TRAOTHOFRDMD</v>
      </c>
      <c r="H501" s="18">
        <v>2019</v>
      </c>
      <c r="I501" s="18" t="s">
        <v>483</v>
      </c>
      <c r="J501" s="18">
        <v>1</v>
      </c>
      <c r="K501" s="20" t="e">
        <f>-SUMIFS('TRA RESID'!$P:$P,'TRA RESID'!$H:$H,$E501,'TRA RESID'!$I:$I,$F501)/SUMIFS('TRA RESID'!$P:$P,'TRA RESID'!$I:$I,$F501)*O501</f>
        <v>#DIV/0!</v>
      </c>
      <c r="L501" s="18">
        <v>0</v>
      </c>
      <c r="M501" s="18">
        <v>5</v>
      </c>
      <c r="N501" s="9"/>
      <c r="O501" s="21">
        <v>0.98</v>
      </c>
      <c r="Q501" s="15" t="str">
        <f t="shared" si="140"/>
        <v>*</v>
      </c>
      <c r="R501" s="16"/>
      <c r="S501" s="17" t="str">
        <f t="shared" si="142"/>
        <v>TRADSL</v>
      </c>
      <c r="T501" s="17" t="str">
        <f t="shared" si="143"/>
        <v>TRAOTHOFRDMD</v>
      </c>
      <c r="U501" s="17" t="str">
        <f t="shared" si="144"/>
        <v>TRAOTHOFRDMD</v>
      </c>
      <c r="V501" s="18">
        <v>2019</v>
      </c>
      <c r="W501" s="18" t="s">
        <v>484</v>
      </c>
      <c r="X501" s="18">
        <v>1</v>
      </c>
      <c r="Y501" s="20" t="e">
        <f>-MIN(SUMIFS('TRA RESID'!$P:$P,'TRA RESID'!$H:$H,$E501,'TRA RESID'!$I:$I,$F501)/SUMIFS('TRA RESID'!$P:$P,'TRA RESID'!$I:$I,$F501)*AC501,1)</f>
        <v>#DIV/0!</v>
      </c>
      <c r="Z501" s="18">
        <v>0</v>
      </c>
      <c r="AA501" s="18">
        <v>5</v>
      </c>
      <c r="AB501" s="9"/>
      <c r="AC501" s="21">
        <v>1.02</v>
      </c>
    </row>
    <row r="502" spans="1:29" x14ac:dyDescent="0.25">
      <c r="A502" s="9">
        <f>A501</f>
        <v>125</v>
      </c>
      <c r="B502" s="9"/>
      <c r="C502" s="15" t="str">
        <f>IF(C501="*",C501,"")</f>
        <v>*</v>
      </c>
      <c r="D502" s="16"/>
      <c r="E502" s="17" t="str">
        <f t="shared" ref="E502:G504" si="156">E501</f>
        <v>TRADSL</v>
      </c>
      <c r="F502" s="17" t="str">
        <f t="shared" si="156"/>
        <v>TRAOTHOFRDMD</v>
      </c>
      <c r="G502" s="17" t="str">
        <f t="shared" si="156"/>
        <v>TRAOTHOFRDMD</v>
      </c>
      <c r="H502" s="18">
        <v>2025</v>
      </c>
      <c r="I502" s="18" t="str">
        <f>I501</f>
        <v>LO</v>
      </c>
      <c r="J502" s="18"/>
      <c r="K502" s="20" t="e">
        <f>-SUMIFS('TRA RESID'!$P:$P,'TRA RESID'!$H:$H,$E502,'TRA RESID'!$I:$I,$F502)/SUMIFS('TRA RESID'!$P:$P,'TRA RESID'!$I:$I,$F502)*O502</f>
        <v>#DIV/0!</v>
      </c>
      <c r="L502" s="18"/>
      <c r="M502" s="18"/>
      <c r="N502" s="9"/>
      <c r="O502" s="21">
        <v>0.8</v>
      </c>
      <c r="Q502" s="15" t="str">
        <f t="shared" si="140"/>
        <v>*</v>
      </c>
      <c r="R502" s="16"/>
      <c r="S502" s="17" t="str">
        <f t="shared" si="142"/>
        <v>TRADSL</v>
      </c>
      <c r="T502" s="17" t="str">
        <f t="shared" si="143"/>
        <v>TRAOTHOFRDMD</v>
      </c>
      <c r="U502" s="17" t="str">
        <f t="shared" si="144"/>
        <v>TRAOTHOFRDMD</v>
      </c>
      <c r="V502" s="18">
        <v>2025</v>
      </c>
      <c r="W502" s="18" t="str">
        <f>W501</f>
        <v>UP</v>
      </c>
      <c r="X502" s="18"/>
      <c r="Y502" s="20" t="e">
        <f>-MIN(SUMIFS('TRA RESID'!$P:$P,'TRA RESID'!$H:$H,$E502,'TRA RESID'!$I:$I,$F502)/SUMIFS('TRA RESID'!$P:$P,'TRA RESID'!$I:$I,$F502)*AC502,1)</f>
        <v>#DIV/0!</v>
      </c>
      <c r="Z502" s="18"/>
      <c r="AA502" s="18"/>
      <c r="AB502" s="9"/>
      <c r="AC502" s="21">
        <v>1.2</v>
      </c>
    </row>
    <row r="503" spans="1:29" x14ac:dyDescent="0.25">
      <c r="A503" s="9">
        <f>A502</f>
        <v>125</v>
      </c>
      <c r="B503" s="9"/>
      <c r="C503" s="15" t="str">
        <f>IF(C502="*",C502,"")</f>
        <v>*</v>
      </c>
      <c r="D503" s="16"/>
      <c r="E503" s="17" t="str">
        <f t="shared" si="156"/>
        <v>TRADSL</v>
      </c>
      <c r="F503" s="17" t="str">
        <f t="shared" si="156"/>
        <v>TRAOTHOFRDMD</v>
      </c>
      <c r="G503" s="17" t="str">
        <f t="shared" si="156"/>
        <v>TRAOTHOFRDMD</v>
      </c>
      <c r="H503" s="18">
        <v>2030</v>
      </c>
      <c r="I503" s="18" t="str">
        <f>I502</f>
        <v>LO</v>
      </c>
      <c r="J503" s="18"/>
      <c r="K503" s="20" t="e">
        <f>-SUMIFS('TRA RESID'!$P:$P,'TRA RESID'!$H:$H,$E503,'TRA RESID'!$I:$I,$F503)/SUMIFS('TRA RESID'!$P:$P,'TRA RESID'!$I:$I,$F503)*O503</f>
        <v>#DIV/0!</v>
      </c>
      <c r="L503" s="18"/>
      <c r="M503" s="18"/>
      <c r="N503" s="9"/>
      <c r="O503" s="21">
        <v>0.2</v>
      </c>
      <c r="Q503" s="15" t="str">
        <f t="shared" si="140"/>
        <v>*</v>
      </c>
      <c r="R503" s="16"/>
      <c r="S503" s="17" t="str">
        <f t="shared" si="142"/>
        <v>TRADSL</v>
      </c>
      <c r="T503" s="17" t="str">
        <f t="shared" si="143"/>
        <v>TRAOTHOFRDMD</v>
      </c>
      <c r="U503" s="17" t="str">
        <f t="shared" si="144"/>
        <v>TRAOTHOFRDMD</v>
      </c>
      <c r="V503" s="18">
        <v>2030</v>
      </c>
      <c r="W503" s="18" t="str">
        <f>W502</f>
        <v>UP</v>
      </c>
      <c r="X503" s="18"/>
      <c r="Y503" s="20" t="e">
        <f>-MIN(SUMIFS('TRA RESID'!$P:$P,'TRA RESID'!$H:$H,$E503,'TRA RESID'!$I:$I,$F503)/SUMIFS('TRA RESID'!$P:$P,'TRA RESID'!$I:$I,$F503)*AC503,1)</f>
        <v>#DIV/0!</v>
      </c>
      <c r="Z503" s="18"/>
      <c r="AA503" s="18"/>
      <c r="AB503" s="9"/>
      <c r="AC503" s="21">
        <v>1.5</v>
      </c>
    </row>
    <row r="504" spans="1:29" x14ac:dyDescent="0.25">
      <c r="A504" s="22">
        <f>A503</f>
        <v>125</v>
      </c>
      <c r="B504" s="22"/>
      <c r="C504" s="23" t="str">
        <f>IF(C503="*",C503,"")</f>
        <v>*</v>
      </c>
      <c r="D504" s="24"/>
      <c r="E504" s="25" t="str">
        <f t="shared" si="156"/>
        <v>TRADSL</v>
      </c>
      <c r="F504" s="25" t="str">
        <f t="shared" si="156"/>
        <v>TRAOTHOFRDMD</v>
      </c>
      <c r="G504" s="25" t="str">
        <f t="shared" si="156"/>
        <v>TRAOTHOFRDMD</v>
      </c>
      <c r="H504" s="26">
        <v>2050</v>
      </c>
      <c r="I504" s="26" t="str">
        <f>I503</f>
        <v>LO</v>
      </c>
      <c r="J504" s="26"/>
      <c r="K504" s="27" t="e">
        <f>-SUMIFS('TRA RESID'!$P:$P,'TRA RESID'!$H:$H,$E504,'TRA RESID'!$I:$I,$F504)/SUMIFS('TRA RESID'!$P:$P,'TRA RESID'!$I:$I,$F504)*O504</f>
        <v>#DIV/0!</v>
      </c>
      <c r="L504" s="26"/>
      <c r="M504" s="26"/>
      <c r="N504" s="22"/>
      <c r="O504" s="28">
        <v>0</v>
      </c>
      <c r="Q504" s="23" t="str">
        <f t="shared" si="140"/>
        <v>*</v>
      </c>
      <c r="R504" s="24"/>
      <c r="S504" s="25" t="str">
        <f t="shared" si="142"/>
        <v>TRADSL</v>
      </c>
      <c r="T504" s="25" t="str">
        <f t="shared" si="143"/>
        <v>TRAOTHOFRDMD</v>
      </c>
      <c r="U504" s="25" t="str">
        <f t="shared" si="144"/>
        <v>TRAOTHOFRDMD</v>
      </c>
      <c r="V504" s="26">
        <v>2050</v>
      </c>
      <c r="W504" s="26" t="str">
        <f>W503</f>
        <v>UP</v>
      </c>
      <c r="X504" s="26"/>
      <c r="Y504" s="27" t="e">
        <f>-MIN(SUMIFS('TRA RESID'!$P:$P,'TRA RESID'!$H:$H,$E504,'TRA RESID'!$I:$I,$F504)/SUMIFS('TRA RESID'!$P:$P,'TRA RESID'!$I:$I,$F504)*AC504,1)</f>
        <v>#DIV/0!</v>
      </c>
      <c r="Z504" s="26"/>
      <c r="AA504" s="26"/>
      <c r="AB504" s="22"/>
      <c r="AC504" s="28">
        <v>3</v>
      </c>
    </row>
    <row r="505" spans="1:29" x14ac:dyDescent="0.25">
      <c r="A505" s="14">
        <f>A501+1</f>
        <v>126</v>
      </c>
      <c r="B505" s="9"/>
      <c r="C505" s="15" t="str">
        <f>IF(E505="","",IF(_xlfn.XLOOKUP($A505,Selected_constraint!$A:$A,Selected_constraint!$D:$D)=1,"*",IF(SUMIFS('TRA TECH'!$M:$M,'TRA TECH'!$H:$H,E505,'TRA TECH'!$I:$I,F505)=0,"*",IF(SUMIFS('TRA RESID'!$P:$P,'TRA RESID'!$H:$H,$E505,'TRA RESID'!$I:$I,$F505)=0,"*","UC_MarketShare_"&amp;LEFT(F505,LEN(F505)-3)&amp;"_"&amp;RIGHT(E505,3)&amp;"_MIN"))))</f>
        <v>*</v>
      </c>
      <c r="D505" s="16"/>
      <c r="E505" s="17" t="str">
        <f>_xlfn.XLOOKUP($A505,Selected_constraint!$A:$A,Selected_constraint!$B:$B)</f>
        <v>TRARDS</v>
      </c>
      <c r="F505" s="17" t="str">
        <f>_xlfn.XLOOKUP($A505,Selected_constraint!$A:$A,Selected_constraint!$C:$C)</f>
        <v>TRAOTHOFRDMD</v>
      </c>
      <c r="G505" s="17" t="str">
        <f>F505</f>
        <v>TRAOTHOFRDMD</v>
      </c>
      <c r="H505" s="18">
        <v>2019</v>
      </c>
      <c r="I505" s="18" t="s">
        <v>483</v>
      </c>
      <c r="J505" s="18">
        <v>1</v>
      </c>
      <c r="K505" s="20" t="e">
        <f>-SUMIFS('TRA RESID'!$P:$P,'TRA RESID'!$H:$H,$E505,'TRA RESID'!$I:$I,$F505)/SUMIFS('TRA RESID'!$P:$P,'TRA RESID'!$I:$I,$F505)*O505</f>
        <v>#DIV/0!</v>
      </c>
      <c r="L505" s="18">
        <v>0</v>
      </c>
      <c r="M505" s="18">
        <v>5</v>
      </c>
      <c r="N505" s="9"/>
      <c r="O505" s="21">
        <v>0.98</v>
      </c>
      <c r="Q505" s="15" t="str">
        <f t="shared" si="140"/>
        <v>*</v>
      </c>
      <c r="R505" s="16"/>
      <c r="S505" s="17" t="str">
        <f t="shared" si="142"/>
        <v>TRARDS</v>
      </c>
      <c r="T505" s="17" t="str">
        <f t="shared" si="143"/>
        <v>TRAOTHOFRDMD</v>
      </c>
      <c r="U505" s="17" t="str">
        <f t="shared" si="144"/>
        <v>TRAOTHOFRDMD</v>
      </c>
      <c r="V505" s="18">
        <v>2019</v>
      </c>
      <c r="W505" s="18" t="s">
        <v>484</v>
      </c>
      <c r="X505" s="18">
        <v>1</v>
      </c>
      <c r="Y505" s="20" t="e">
        <f>-MIN(SUMIFS('TRA RESID'!$P:$P,'TRA RESID'!$H:$H,$E505,'TRA RESID'!$I:$I,$F505)/SUMIFS('TRA RESID'!$P:$P,'TRA RESID'!$I:$I,$F505)*AC505,1)</f>
        <v>#DIV/0!</v>
      </c>
      <c r="Z505" s="18">
        <v>0</v>
      </c>
      <c r="AA505" s="18">
        <v>5</v>
      </c>
      <c r="AB505" s="9"/>
      <c r="AC505" s="21">
        <v>1.02</v>
      </c>
    </row>
    <row r="506" spans="1:29" x14ac:dyDescent="0.25">
      <c r="A506" s="9">
        <f>A505</f>
        <v>126</v>
      </c>
      <c r="B506" s="9"/>
      <c r="C506" s="15" t="str">
        <f>IF(C505="*",C505,"")</f>
        <v>*</v>
      </c>
      <c r="D506" s="16"/>
      <c r="E506" s="17" t="str">
        <f t="shared" ref="E506:G508" si="157">E505</f>
        <v>TRARDS</v>
      </c>
      <c r="F506" s="17" t="str">
        <f t="shared" si="157"/>
        <v>TRAOTHOFRDMD</v>
      </c>
      <c r="G506" s="17" t="str">
        <f t="shared" si="157"/>
        <v>TRAOTHOFRDMD</v>
      </c>
      <c r="H506" s="18">
        <v>2025</v>
      </c>
      <c r="I506" s="18" t="str">
        <f>I505</f>
        <v>LO</v>
      </c>
      <c r="J506" s="18"/>
      <c r="K506" s="20" t="e">
        <f>-SUMIFS('TRA RESID'!$P:$P,'TRA RESID'!$H:$H,$E506,'TRA RESID'!$I:$I,$F506)/SUMIFS('TRA RESID'!$P:$P,'TRA RESID'!$I:$I,$F506)*O506</f>
        <v>#DIV/0!</v>
      </c>
      <c r="L506" s="18"/>
      <c r="M506" s="18"/>
      <c r="N506" s="9"/>
      <c r="O506" s="21">
        <v>0.8</v>
      </c>
      <c r="Q506" s="15" t="str">
        <f t="shared" si="140"/>
        <v>*</v>
      </c>
      <c r="R506" s="16"/>
      <c r="S506" s="17" t="str">
        <f t="shared" si="142"/>
        <v>TRARDS</v>
      </c>
      <c r="T506" s="17" t="str">
        <f t="shared" si="143"/>
        <v>TRAOTHOFRDMD</v>
      </c>
      <c r="U506" s="17" t="str">
        <f t="shared" si="144"/>
        <v>TRAOTHOFRDMD</v>
      </c>
      <c r="V506" s="18">
        <v>2025</v>
      </c>
      <c r="W506" s="18" t="str">
        <f>W505</f>
        <v>UP</v>
      </c>
      <c r="X506" s="18"/>
      <c r="Y506" s="20" t="e">
        <f>-MIN(SUMIFS('TRA RESID'!$P:$P,'TRA RESID'!$H:$H,$E506,'TRA RESID'!$I:$I,$F506)/SUMIFS('TRA RESID'!$P:$P,'TRA RESID'!$I:$I,$F506)*AC506,1)</f>
        <v>#DIV/0!</v>
      </c>
      <c r="Z506" s="18"/>
      <c r="AA506" s="18"/>
      <c r="AB506" s="9"/>
      <c r="AC506" s="21">
        <v>1.2</v>
      </c>
    </row>
    <row r="507" spans="1:29" x14ac:dyDescent="0.25">
      <c r="A507" s="9">
        <f>A506</f>
        <v>126</v>
      </c>
      <c r="B507" s="9"/>
      <c r="C507" s="15" t="str">
        <f>IF(C506="*",C506,"")</f>
        <v>*</v>
      </c>
      <c r="D507" s="16"/>
      <c r="E507" s="17" t="str">
        <f t="shared" si="157"/>
        <v>TRARDS</v>
      </c>
      <c r="F507" s="17" t="str">
        <f t="shared" si="157"/>
        <v>TRAOTHOFRDMD</v>
      </c>
      <c r="G507" s="17" t="str">
        <f t="shared" si="157"/>
        <v>TRAOTHOFRDMD</v>
      </c>
      <c r="H507" s="18">
        <v>2030</v>
      </c>
      <c r="I507" s="18" t="str">
        <f>I506</f>
        <v>LO</v>
      </c>
      <c r="J507" s="18"/>
      <c r="K507" s="20" t="e">
        <f>-SUMIFS('TRA RESID'!$P:$P,'TRA RESID'!$H:$H,$E507,'TRA RESID'!$I:$I,$F507)/SUMIFS('TRA RESID'!$P:$P,'TRA RESID'!$I:$I,$F507)*O507</f>
        <v>#DIV/0!</v>
      </c>
      <c r="L507" s="18"/>
      <c r="M507" s="18"/>
      <c r="N507" s="9"/>
      <c r="O507" s="21">
        <v>0.2</v>
      </c>
      <c r="Q507" s="15" t="str">
        <f t="shared" si="140"/>
        <v>*</v>
      </c>
      <c r="R507" s="16"/>
      <c r="S507" s="17" t="str">
        <f t="shared" si="142"/>
        <v>TRARDS</v>
      </c>
      <c r="T507" s="17" t="str">
        <f t="shared" si="143"/>
        <v>TRAOTHOFRDMD</v>
      </c>
      <c r="U507" s="17" t="str">
        <f t="shared" si="144"/>
        <v>TRAOTHOFRDMD</v>
      </c>
      <c r="V507" s="18">
        <v>2030</v>
      </c>
      <c r="W507" s="18" t="str">
        <f>W506</f>
        <v>UP</v>
      </c>
      <c r="X507" s="18"/>
      <c r="Y507" s="20" t="e">
        <f>-MIN(SUMIFS('TRA RESID'!$P:$P,'TRA RESID'!$H:$H,$E507,'TRA RESID'!$I:$I,$F507)/SUMIFS('TRA RESID'!$P:$P,'TRA RESID'!$I:$I,$F507)*AC507,1)</f>
        <v>#DIV/0!</v>
      </c>
      <c r="Z507" s="18"/>
      <c r="AA507" s="18"/>
      <c r="AB507" s="9"/>
      <c r="AC507" s="21">
        <v>1.5</v>
      </c>
    </row>
    <row r="508" spans="1:29" x14ac:dyDescent="0.25">
      <c r="A508" s="22">
        <f>A507</f>
        <v>126</v>
      </c>
      <c r="B508" s="22"/>
      <c r="C508" s="23" t="str">
        <f>IF(C507="*",C507,"")</f>
        <v>*</v>
      </c>
      <c r="D508" s="24"/>
      <c r="E508" s="25" t="str">
        <f t="shared" si="157"/>
        <v>TRARDS</v>
      </c>
      <c r="F508" s="25" t="str">
        <f t="shared" si="157"/>
        <v>TRAOTHOFRDMD</v>
      </c>
      <c r="G508" s="25" t="str">
        <f t="shared" si="157"/>
        <v>TRAOTHOFRDMD</v>
      </c>
      <c r="H508" s="26">
        <v>2050</v>
      </c>
      <c r="I508" s="26" t="str">
        <f>I507</f>
        <v>LO</v>
      </c>
      <c r="J508" s="26"/>
      <c r="K508" s="27" t="e">
        <f>-SUMIFS('TRA RESID'!$P:$P,'TRA RESID'!$H:$H,$E508,'TRA RESID'!$I:$I,$F508)/SUMIFS('TRA RESID'!$P:$P,'TRA RESID'!$I:$I,$F508)*O508</f>
        <v>#DIV/0!</v>
      </c>
      <c r="L508" s="26"/>
      <c r="M508" s="26"/>
      <c r="N508" s="22"/>
      <c r="O508" s="28">
        <v>0</v>
      </c>
      <c r="Q508" s="23" t="str">
        <f t="shared" si="140"/>
        <v>*</v>
      </c>
      <c r="R508" s="24"/>
      <c r="S508" s="25" t="str">
        <f t="shared" si="142"/>
        <v>TRARDS</v>
      </c>
      <c r="T508" s="25" t="str">
        <f t="shared" si="143"/>
        <v>TRAOTHOFRDMD</v>
      </c>
      <c r="U508" s="25" t="str">
        <f t="shared" si="144"/>
        <v>TRAOTHOFRDMD</v>
      </c>
      <c r="V508" s="26">
        <v>2050</v>
      </c>
      <c r="W508" s="26" t="str">
        <f>W507</f>
        <v>UP</v>
      </c>
      <c r="X508" s="26"/>
      <c r="Y508" s="27" t="e">
        <f>-MIN(SUMIFS('TRA RESID'!$P:$P,'TRA RESID'!$H:$H,$E508,'TRA RESID'!$I:$I,$F508)/SUMIFS('TRA RESID'!$P:$P,'TRA RESID'!$I:$I,$F508)*AC508,1)</f>
        <v>#DIV/0!</v>
      </c>
      <c r="Z508" s="26"/>
      <c r="AA508" s="26"/>
      <c r="AB508" s="22"/>
      <c r="AC508" s="28">
        <v>3</v>
      </c>
    </row>
    <row r="509" spans="1:29" x14ac:dyDescent="0.25">
      <c r="A509" s="14">
        <f>A505+1</f>
        <v>127</v>
      </c>
      <c r="B509" s="9"/>
      <c r="C509" s="15" t="str">
        <f>IF(E509="","",IF(_xlfn.XLOOKUP($A509,Selected_constraint!$A:$A,Selected_constraint!$D:$D)=1,"*",IF(SUMIFS('TRA TECH'!$M:$M,'TRA TECH'!$H:$H,E509,'TRA TECH'!$I:$I,F509)=0,"*",IF(SUMIFS('TRA RESID'!$P:$P,'TRA RESID'!$H:$H,$E509,'TRA RESID'!$I:$I,$F509)=0,"*","UC_MarketShare_"&amp;LEFT(F509,LEN(F509)-3)&amp;"_"&amp;RIGHT(E509,3)&amp;"_MIN"))))</f>
        <v>*</v>
      </c>
      <c r="D509" s="16"/>
      <c r="E509" s="17" t="str">
        <f>_xlfn.XLOOKUP($A509,Selected_constraint!$A:$A,Selected_constraint!$B:$B)</f>
        <v>TRABDS</v>
      </c>
      <c r="F509" s="17" t="str">
        <f>_xlfn.XLOOKUP($A509,Selected_constraint!$A:$A,Selected_constraint!$C:$C)</f>
        <v>TRAOTHOFRDMD</v>
      </c>
      <c r="G509" s="17" t="str">
        <f>F509</f>
        <v>TRAOTHOFRDMD</v>
      </c>
      <c r="H509" s="18">
        <v>2019</v>
      </c>
      <c r="I509" s="18" t="s">
        <v>483</v>
      </c>
      <c r="J509" s="18">
        <v>1</v>
      </c>
      <c r="K509" s="20" t="e">
        <f>-SUMIFS('TRA RESID'!$P:$P,'TRA RESID'!$H:$H,$E509,'TRA RESID'!$I:$I,$F509)/SUMIFS('TRA RESID'!$P:$P,'TRA RESID'!$I:$I,$F509)*O509</f>
        <v>#DIV/0!</v>
      </c>
      <c r="L509" s="18">
        <v>0</v>
      </c>
      <c r="M509" s="18">
        <v>5</v>
      </c>
      <c r="N509" s="9"/>
      <c r="O509" s="21">
        <v>0.98</v>
      </c>
      <c r="Q509" s="15" t="str">
        <f t="shared" si="140"/>
        <v>*</v>
      </c>
      <c r="R509" s="16"/>
      <c r="S509" s="17" t="str">
        <f t="shared" si="142"/>
        <v>TRABDS</v>
      </c>
      <c r="T509" s="17" t="str">
        <f t="shared" si="143"/>
        <v>TRAOTHOFRDMD</v>
      </c>
      <c r="U509" s="17" t="str">
        <f t="shared" si="144"/>
        <v>TRAOTHOFRDMD</v>
      </c>
      <c r="V509" s="18">
        <v>2019</v>
      </c>
      <c r="W509" s="18" t="s">
        <v>484</v>
      </c>
      <c r="X509" s="18">
        <v>1</v>
      </c>
      <c r="Y509" s="20" t="e">
        <f>-MIN(SUMIFS('TRA RESID'!$P:$P,'TRA RESID'!$H:$H,$E509,'TRA RESID'!$I:$I,$F509)/SUMIFS('TRA RESID'!$P:$P,'TRA RESID'!$I:$I,$F509)*AC509,1)</f>
        <v>#DIV/0!</v>
      </c>
      <c r="Z509" s="18">
        <v>0</v>
      </c>
      <c r="AA509" s="18">
        <v>5</v>
      </c>
      <c r="AB509" s="9"/>
      <c r="AC509" s="21">
        <v>1.02</v>
      </c>
    </row>
    <row r="510" spans="1:29" x14ac:dyDescent="0.25">
      <c r="A510" s="9">
        <f>A509</f>
        <v>127</v>
      </c>
      <c r="B510" s="9"/>
      <c r="C510" s="15" t="str">
        <f>IF(C509="*",C509,"")</f>
        <v>*</v>
      </c>
      <c r="D510" s="16"/>
      <c r="E510" s="17" t="str">
        <f t="shared" ref="E510:G512" si="158">E509</f>
        <v>TRABDS</v>
      </c>
      <c r="F510" s="17" t="str">
        <f t="shared" si="158"/>
        <v>TRAOTHOFRDMD</v>
      </c>
      <c r="G510" s="17" t="str">
        <f t="shared" si="158"/>
        <v>TRAOTHOFRDMD</v>
      </c>
      <c r="H510" s="18">
        <v>2025</v>
      </c>
      <c r="I510" s="18" t="str">
        <f>I509</f>
        <v>LO</v>
      </c>
      <c r="J510" s="18"/>
      <c r="K510" s="20" t="e">
        <f>-SUMIFS('TRA RESID'!$P:$P,'TRA RESID'!$H:$H,$E510,'TRA RESID'!$I:$I,$F510)/SUMIFS('TRA RESID'!$P:$P,'TRA RESID'!$I:$I,$F510)*O510</f>
        <v>#DIV/0!</v>
      </c>
      <c r="L510" s="18"/>
      <c r="M510" s="18"/>
      <c r="N510" s="9"/>
      <c r="O510" s="21">
        <v>0.8</v>
      </c>
      <c r="Q510" s="15" t="str">
        <f t="shared" si="140"/>
        <v>*</v>
      </c>
      <c r="R510" s="16"/>
      <c r="S510" s="17" t="str">
        <f t="shared" si="142"/>
        <v>TRABDS</v>
      </c>
      <c r="T510" s="17" t="str">
        <f t="shared" si="143"/>
        <v>TRAOTHOFRDMD</v>
      </c>
      <c r="U510" s="17" t="str">
        <f t="shared" si="144"/>
        <v>TRAOTHOFRDMD</v>
      </c>
      <c r="V510" s="18">
        <v>2025</v>
      </c>
      <c r="W510" s="18" t="str">
        <f>W509</f>
        <v>UP</v>
      </c>
      <c r="X510" s="18"/>
      <c r="Y510" s="20" t="e">
        <f>-MIN(SUMIFS('TRA RESID'!$P:$P,'TRA RESID'!$H:$H,$E510,'TRA RESID'!$I:$I,$F510)/SUMIFS('TRA RESID'!$P:$P,'TRA RESID'!$I:$I,$F510)*AC510,1)</f>
        <v>#DIV/0!</v>
      </c>
      <c r="Z510" s="18"/>
      <c r="AA510" s="18"/>
      <c r="AB510" s="9"/>
      <c r="AC510" s="21">
        <v>1.2</v>
      </c>
    </row>
    <row r="511" spans="1:29" x14ac:dyDescent="0.25">
      <c r="A511" s="9">
        <f>A510</f>
        <v>127</v>
      </c>
      <c r="B511" s="9"/>
      <c r="C511" s="15" t="str">
        <f>IF(C510="*",C510,"")</f>
        <v>*</v>
      </c>
      <c r="D511" s="16"/>
      <c r="E511" s="17" t="str">
        <f t="shared" si="158"/>
        <v>TRABDS</v>
      </c>
      <c r="F511" s="17" t="str">
        <f t="shared" si="158"/>
        <v>TRAOTHOFRDMD</v>
      </c>
      <c r="G511" s="17" t="str">
        <f t="shared" si="158"/>
        <v>TRAOTHOFRDMD</v>
      </c>
      <c r="H511" s="18">
        <v>2030</v>
      </c>
      <c r="I511" s="18" t="str">
        <f>I510</f>
        <v>LO</v>
      </c>
      <c r="J511" s="18"/>
      <c r="K511" s="20" t="e">
        <f>-SUMIFS('TRA RESID'!$P:$P,'TRA RESID'!$H:$H,$E511,'TRA RESID'!$I:$I,$F511)/SUMIFS('TRA RESID'!$P:$P,'TRA RESID'!$I:$I,$F511)*O511</f>
        <v>#DIV/0!</v>
      </c>
      <c r="L511" s="18"/>
      <c r="M511" s="18"/>
      <c r="N511" s="9"/>
      <c r="O511" s="21">
        <v>0.2</v>
      </c>
      <c r="Q511" s="15" t="str">
        <f t="shared" si="140"/>
        <v>*</v>
      </c>
      <c r="R511" s="16"/>
      <c r="S511" s="17" t="str">
        <f t="shared" si="142"/>
        <v>TRABDS</v>
      </c>
      <c r="T511" s="17" t="str">
        <f t="shared" si="143"/>
        <v>TRAOTHOFRDMD</v>
      </c>
      <c r="U511" s="17" t="str">
        <f t="shared" si="144"/>
        <v>TRAOTHOFRDMD</v>
      </c>
      <c r="V511" s="18">
        <v>2030</v>
      </c>
      <c r="W511" s="18" t="str">
        <f>W510</f>
        <v>UP</v>
      </c>
      <c r="X511" s="18"/>
      <c r="Y511" s="20" t="e">
        <f>-MIN(SUMIFS('TRA RESID'!$P:$P,'TRA RESID'!$H:$H,$E511,'TRA RESID'!$I:$I,$F511)/SUMIFS('TRA RESID'!$P:$P,'TRA RESID'!$I:$I,$F511)*AC511,1)</f>
        <v>#DIV/0!</v>
      </c>
      <c r="Z511" s="18"/>
      <c r="AA511" s="18"/>
      <c r="AB511" s="9"/>
      <c r="AC511" s="21">
        <v>1.5</v>
      </c>
    </row>
    <row r="512" spans="1:29" x14ac:dyDescent="0.25">
      <c r="A512" s="22">
        <f>A511</f>
        <v>127</v>
      </c>
      <c r="B512" s="22"/>
      <c r="C512" s="23" t="str">
        <f>IF(C511="*",C511,"")</f>
        <v>*</v>
      </c>
      <c r="D512" s="24"/>
      <c r="E512" s="25" t="str">
        <f t="shared" si="158"/>
        <v>TRABDS</v>
      </c>
      <c r="F512" s="25" t="str">
        <f t="shared" si="158"/>
        <v>TRAOTHOFRDMD</v>
      </c>
      <c r="G512" s="25" t="str">
        <f t="shared" si="158"/>
        <v>TRAOTHOFRDMD</v>
      </c>
      <c r="H512" s="26">
        <v>2050</v>
      </c>
      <c r="I512" s="26" t="str">
        <f>I511</f>
        <v>LO</v>
      </c>
      <c r="J512" s="26"/>
      <c r="K512" s="27" t="e">
        <f>-SUMIFS('TRA RESID'!$P:$P,'TRA RESID'!$H:$H,$E512,'TRA RESID'!$I:$I,$F512)/SUMIFS('TRA RESID'!$P:$P,'TRA RESID'!$I:$I,$F512)*O512</f>
        <v>#DIV/0!</v>
      </c>
      <c r="L512" s="26"/>
      <c r="M512" s="26"/>
      <c r="N512" s="22"/>
      <c r="O512" s="28">
        <v>0</v>
      </c>
      <c r="Q512" s="23" t="str">
        <f t="shared" si="140"/>
        <v>*</v>
      </c>
      <c r="R512" s="24"/>
      <c r="S512" s="25" t="str">
        <f t="shared" si="142"/>
        <v>TRABDS</v>
      </c>
      <c r="T512" s="25" t="str">
        <f t="shared" si="143"/>
        <v>TRAOTHOFRDMD</v>
      </c>
      <c r="U512" s="25" t="str">
        <f t="shared" si="144"/>
        <v>TRAOTHOFRDMD</v>
      </c>
      <c r="V512" s="26">
        <v>2050</v>
      </c>
      <c r="W512" s="26" t="str">
        <f>W511</f>
        <v>UP</v>
      </c>
      <c r="X512" s="26"/>
      <c r="Y512" s="27" t="e">
        <f>-MIN(SUMIFS('TRA RESID'!$P:$P,'TRA RESID'!$H:$H,$E512,'TRA RESID'!$I:$I,$F512)/SUMIFS('TRA RESID'!$P:$P,'TRA RESID'!$I:$I,$F512)*AC512,1)</f>
        <v>#DIV/0!</v>
      </c>
      <c r="Z512" s="26"/>
      <c r="AA512" s="26"/>
      <c r="AB512" s="22"/>
      <c r="AC512" s="28">
        <v>3</v>
      </c>
    </row>
    <row r="513" spans="1:29" x14ac:dyDescent="0.25">
      <c r="A513" s="14">
        <f>A509+1</f>
        <v>128</v>
      </c>
      <c r="B513" s="9"/>
      <c r="C513" s="15" t="str">
        <f>IF(E513="","",IF(_xlfn.XLOOKUP($A513,Selected_constraint!$A:$A,Selected_constraint!$D:$D)=1,"*",IF(SUMIFS('TRA TECH'!$M:$M,'TRA TECH'!$H:$H,E513,'TRA TECH'!$I:$I,F513)=0,"*",IF(SUMIFS('TRA RESID'!$P:$P,'TRA RESID'!$H:$H,$E513,'TRA RESID'!$I:$I,$F513)=0,"*","UC_MarketShare_"&amp;LEFT(F513,LEN(F513)-3)&amp;"_"&amp;RIGHT(E513,3)&amp;"_MIN"))))</f>
        <v>*</v>
      </c>
      <c r="D513" s="16"/>
      <c r="E513" s="17" t="str">
        <f>_xlfn.XLOOKUP($A513,Selected_constraint!$A:$A,Selected_constraint!$B:$B)</f>
        <v>TRACNG</v>
      </c>
      <c r="F513" s="17" t="str">
        <f>_xlfn.XLOOKUP($A513,Selected_constraint!$A:$A,Selected_constraint!$C:$C)</f>
        <v>TRAOTHOFRDMD</v>
      </c>
      <c r="G513" s="17" t="str">
        <f>F513</f>
        <v>TRAOTHOFRDMD</v>
      </c>
      <c r="H513" s="18">
        <v>2019</v>
      </c>
      <c r="I513" s="18" t="s">
        <v>483</v>
      </c>
      <c r="J513" s="18">
        <v>1</v>
      </c>
      <c r="K513" s="20" t="e">
        <f>-SUMIFS('TRA RESID'!$P:$P,'TRA RESID'!$H:$H,$E513,'TRA RESID'!$I:$I,$F513)/SUMIFS('TRA RESID'!$P:$P,'TRA RESID'!$I:$I,$F513)*O513</f>
        <v>#DIV/0!</v>
      </c>
      <c r="L513" s="18">
        <v>0</v>
      </c>
      <c r="M513" s="18">
        <v>5</v>
      </c>
      <c r="N513" s="9"/>
      <c r="O513" s="21">
        <v>0.98</v>
      </c>
      <c r="Q513" s="15" t="str">
        <f t="shared" si="140"/>
        <v>*</v>
      </c>
      <c r="R513" s="16"/>
      <c r="S513" s="17" t="str">
        <f t="shared" si="142"/>
        <v>TRACNG</v>
      </c>
      <c r="T513" s="17" t="str">
        <f t="shared" si="143"/>
        <v>TRAOTHOFRDMD</v>
      </c>
      <c r="U513" s="17" t="str">
        <f t="shared" si="144"/>
        <v>TRAOTHOFRDMD</v>
      </c>
      <c r="V513" s="18">
        <v>2019</v>
      </c>
      <c r="W513" s="18" t="s">
        <v>484</v>
      </c>
      <c r="X513" s="18">
        <v>1</v>
      </c>
      <c r="Y513" s="20" t="e">
        <f>-MIN(SUMIFS('TRA RESID'!$P:$P,'TRA RESID'!$H:$H,$E513,'TRA RESID'!$I:$I,$F513)/SUMIFS('TRA RESID'!$P:$P,'TRA RESID'!$I:$I,$F513)*AC513,1)</f>
        <v>#DIV/0!</v>
      </c>
      <c r="Z513" s="18">
        <v>0</v>
      </c>
      <c r="AA513" s="18">
        <v>5</v>
      </c>
      <c r="AB513" s="9"/>
      <c r="AC513" s="21">
        <v>1.02</v>
      </c>
    </row>
    <row r="514" spans="1:29" x14ac:dyDescent="0.25">
      <c r="A514" s="9">
        <f>A513</f>
        <v>128</v>
      </c>
      <c r="B514" s="9"/>
      <c r="C514" s="15" t="str">
        <f>IF(C513="*",C513,"")</f>
        <v>*</v>
      </c>
      <c r="D514" s="16"/>
      <c r="E514" s="17" t="str">
        <f t="shared" ref="E514:G516" si="159">E513</f>
        <v>TRACNG</v>
      </c>
      <c r="F514" s="17" t="str">
        <f t="shared" si="159"/>
        <v>TRAOTHOFRDMD</v>
      </c>
      <c r="G514" s="17" t="str">
        <f t="shared" si="159"/>
        <v>TRAOTHOFRDMD</v>
      </c>
      <c r="H514" s="18">
        <v>2025</v>
      </c>
      <c r="I514" s="18" t="str">
        <f>I513</f>
        <v>LO</v>
      </c>
      <c r="J514" s="18"/>
      <c r="K514" s="20" t="e">
        <f>-SUMIFS('TRA RESID'!$P:$P,'TRA RESID'!$H:$H,$E514,'TRA RESID'!$I:$I,$F514)/SUMIFS('TRA RESID'!$P:$P,'TRA RESID'!$I:$I,$F514)*O514</f>
        <v>#DIV/0!</v>
      </c>
      <c r="L514" s="18"/>
      <c r="M514" s="18"/>
      <c r="N514" s="9"/>
      <c r="O514" s="21">
        <v>0.8</v>
      </c>
      <c r="Q514" s="15" t="str">
        <f t="shared" si="140"/>
        <v>*</v>
      </c>
      <c r="R514" s="16"/>
      <c r="S514" s="17" t="str">
        <f t="shared" si="142"/>
        <v>TRACNG</v>
      </c>
      <c r="T514" s="17" t="str">
        <f t="shared" si="143"/>
        <v>TRAOTHOFRDMD</v>
      </c>
      <c r="U514" s="17" t="str">
        <f t="shared" si="144"/>
        <v>TRAOTHOFRDMD</v>
      </c>
      <c r="V514" s="18">
        <v>2025</v>
      </c>
      <c r="W514" s="18" t="str">
        <f>W513</f>
        <v>UP</v>
      </c>
      <c r="X514" s="18"/>
      <c r="Y514" s="20" t="e">
        <f>-MIN(SUMIFS('TRA RESID'!$P:$P,'TRA RESID'!$H:$H,$E514,'TRA RESID'!$I:$I,$F514)/SUMIFS('TRA RESID'!$P:$P,'TRA RESID'!$I:$I,$F514)*AC514,1)</f>
        <v>#DIV/0!</v>
      </c>
      <c r="Z514" s="18"/>
      <c r="AA514" s="18"/>
      <c r="AB514" s="9"/>
      <c r="AC514" s="21">
        <v>1.2</v>
      </c>
    </row>
    <row r="515" spans="1:29" x14ac:dyDescent="0.25">
      <c r="A515" s="9">
        <f>A514</f>
        <v>128</v>
      </c>
      <c r="B515" s="9"/>
      <c r="C515" s="15" t="str">
        <f>IF(C514="*",C514,"")</f>
        <v>*</v>
      </c>
      <c r="D515" s="16"/>
      <c r="E515" s="17" t="str">
        <f t="shared" si="159"/>
        <v>TRACNG</v>
      </c>
      <c r="F515" s="17" t="str">
        <f t="shared" si="159"/>
        <v>TRAOTHOFRDMD</v>
      </c>
      <c r="G515" s="17" t="str">
        <f t="shared" si="159"/>
        <v>TRAOTHOFRDMD</v>
      </c>
      <c r="H515" s="18">
        <v>2030</v>
      </c>
      <c r="I515" s="18" t="str">
        <f>I514</f>
        <v>LO</v>
      </c>
      <c r="J515" s="18"/>
      <c r="K515" s="20" t="e">
        <f>-SUMIFS('TRA RESID'!$P:$P,'TRA RESID'!$H:$H,$E515,'TRA RESID'!$I:$I,$F515)/SUMIFS('TRA RESID'!$P:$P,'TRA RESID'!$I:$I,$F515)*O515</f>
        <v>#DIV/0!</v>
      </c>
      <c r="L515" s="18"/>
      <c r="M515" s="18"/>
      <c r="N515" s="9"/>
      <c r="O515" s="21">
        <v>0.2</v>
      </c>
      <c r="Q515" s="15" t="str">
        <f t="shared" si="140"/>
        <v>*</v>
      </c>
      <c r="R515" s="16"/>
      <c r="S515" s="17" t="str">
        <f t="shared" si="142"/>
        <v>TRACNG</v>
      </c>
      <c r="T515" s="17" t="str">
        <f t="shared" si="143"/>
        <v>TRAOTHOFRDMD</v>
      </c>
      <c r="U515" s="17" t="str">
        <f t="shared" si="144"/>
        <v>TRAOTHOFRDMD</v>
      </c>
      <c r="V515" s="18">
        <v>2030</v>
      </c>
      <c r="W515" s="18" t="str">
        <f>W514</f>
        <v>UP</v>
      </c>
      <c r="X515" s="18"/>
      <c r="Y515" s="20" t="e">
        <f>-MIN(SUMIFS('TRA RESID'!$P:$P,'TRA RESID'!$H:$H,$E515,'TRA RESID'!$I:$I,$F515)/SUMIFS('TRA RESID'!$P:$P,'TRA RESID'!$I:$I,$F515)*AC515,1)</f>
        <v>#DIV/0!</v>
      </c>
      <c r="Z515" s="18"/>
      <c r="AA515" s="18"/>
      <c r="AB515" s="9"/>
      <c r="AC515" s="21">
        <v>1.5</v>
      </c>
    </row>
    <row r="516" spans="1:29" x14ac:dyDescent="0.25">
      <c r="A516" s="22">
        <f>A515</f>
        <v>128</v>
      </c>
      <c r="B516" s="22"/>
      <c r="C516" s="23" t="str">
        <f>IF(C515="*",C515,"")</f>
        <v>*</v>
      </c>
      <c r="D516" s="24"/>
      <c r="E516" s="25" t="str">
        <f t="shared" si="159"/>
        <v>TRACNG</v>
      </c>
      <c r="F516" s="25" t="str">
        <f t="shared" si="159"/>
        <v>TRAOTHOFRDMD</v>
      </c>
      <c r="G516" s="25" t="str">
        <f t="shared" si="159"/>
        <v>TRAOTHOFRDMD</v>
      </c>
      <c r="H516" s="26">
        <v>2050</v>
      </c>
      <c r="I516" s="26" t="str">
        <f>I515</f>
        <v>LO</v>
      </c>
      <c r="J516" s="26"/>
      <c r="K516" s="27" t="e">
        <f>-SUMIFS('TRA RESID'!$P:$P,'TRA RESID'!$H:$H,$E516,'TRA RESID'!$I:$I,$F516)/SUMIFS('TRA RESID'!$P:$P,'TRA RESID'!$I:$I,$F516)*O516</f>
        <v>#DIV/0!</v>
      </c>
      <c r="L516" s="26"/>
      <c r="M516" s="26"/>
      <c r="N516" s="22"/>
      <c r="O516" s="28">
        <v>0</v>
      </c>
      <c r="Q516" s="23" t="str">
        <f t="shared" si="140"/>
        <v>*</v>
      </c>
      <c r="R516" s="24"/>
      <c r="S516" s="25" t="str">
        <f t="shared" si="142"/>
        <v>TRACNG</v>
      </c>
      <c r="T516" s="25" t="str">
        <f t="shared" si="143"/>
        <v>TRAOTHOFRDMD</v>
      </c>
      <c r="U516" s="25" t="str">
        <f t="shared" si="144"/>
        <v>TRAOTHOFRDMD</v>
      </c>
      <c r="V516" s="26">
        <v>2050</v>
      </c>
      <c r="W516" s="26" t="str">
        <f>W515</f>
        <v>UP</v>
      </c>
      <c r="X516" s="26"/>
      <c r="Y516" s="27" t="e">
        <f>-MIN(SUMIFS('TRA RESID'!$P:$P,'TRA RESID'!$H:$H,$E516,'TRA RESID'!$I:$I,$F516)/SUMIFS('TRA RESID'!$P:$P,'TRA RESID'!$I:$I,$F516)*AC516,1)</f>
        <v>#DIV/0!</v>
      </c>
      <c r="Z516" s="26"/>
      <c r="AA516" s="26"/>
      <c r="AB516" s="22"/>
      <c r="AC516" s="28">
        <v>3</v>
      </c>
    </row>
    <row r="517" spans="1:29" x14ac:dyDescent="0.25">
      <c r="A517" s="14">
        <f>A513+1</f>
        <v>129</v>
      </c>
      <c r="B517" s="9"/>
      <c r="C517" s="15" t="str">
        <f>IF(E517="","",IF(_xlfn.XLOOKUP($A517,Selected_constraint!$A:$A,Selected_constraint!$D:$D)=1,"*",IF(SUMIFS('TRA TECH'!$M:$M,'TRA TECH'!$H:$H,E517,'TRA TECH'!$I:$I,F517)=0,"*",IF(SUMIFS('TRA RESID'!$P:$P,'TRA RESID'!$H:$H,$E517,'TRA RESID'!$I:$I,$F517)=0,"*","UC_MarketShare_"&amp;LEFT(F517,LEN(F517)-3)&amp;"_"&amp;RIGHT(E517,3)&amp;"_MIN"))))</f>
        <v>*</v>
      </c>
      <c r="D517" s="16"/>
      <c r="E517" s="17" t="str">
        <f>_xlfn.XLOOKUP($A517,Selected_constraint!$A:$A,Selected_constraint!$B:$B)</f>
        <v>TRARNG</v>
      </c>
      <c r="F517" s="17" t="str">
        <f>_xlfn.XLOOKUP($A517,Selected_constraint!$A:$A,Selected_constraint!$C:$C)</f>
        <v>TRAOTHOFRDMD</v>
      </c>
      <c r="G517" s="17" t="str">
        <f>F517</f>
        <v>TRAOTHOFRDMD</v>
      </c>
      <c r="H517" s="18">
        <v>2019</v>
      </c>
      <c r="I517" s="18" t="s">
        <v>483</v>
      </c>
      <c r="J517" s="18">
        <v>1</v>
      </c>
      <c r="K517" s="20" t="e">
        <f>-SUMIFS('TRA RESID'!$P:$P,'TRA RESID'!$H:$H,$E517,'TRA RESID'!$I:$I,$F517)/SUMIFS('TRA RESID'!$P:$P,'TRA RESID'!$I:$I,$F517)*O517</f>
        <v>#DIV/0!</v>
      </c>
      <c r="L517" s="18">
        <v>0</v>
      </c>
      <c r="M517" s="18">
        <v>5</v>
      </c>
      <c r="N517" s="9"/>
      <c r="O517" s="21">
        <v>0.98</v>
      </c>
      <c r="Q517" s="15" t="str">
        <f t="shared" ref="Q517:Q564" si="160">SUBSTITUTE(C517,"MIN","MAX")</f>
        <v>*</v>
      </c>
      <c r="R517" s="16"/>
      <c r="S517" s="17" t="str">
        <f t="shared" si="142"/>
        <v>TRARNG</v>
      </c>
      <c r="T517" s="17" t="str">
        <f t="shared" si="143"/>
        <v>TRAOTHOFRDMD</v>
      </c>
      <c r="U517" s="17" t="str">
        <f t="shared" si="144"/>
        <v>TRAOTHOFRDMD</v>
      </c>
      <c r="V517" s="18">
        <v>2019</v>
      </c>
      <c r="W517" s="18" t="s">
        <v>484</v>
      </c>
      <c r="X517" s="18">
        <v>1</v>
      </c>
      <c r="Y517" s="20" t="e">
        <f>-MIN(SUMIFS('TRA RESID'!$P:$P,'TRA RESID'!$H:$H,$E517,'TRA RESID'!$I:$I,$F517)/SUMIFS('TRA RESID'!$P:$P,'TRA RESID'!$I:$I,$F517)*AC517,1)</f>
        <v>#DIV/0!</v>
      </c>
      <c r="Z517" s="18">
        <v>0</v>
      </c>
      <c r="AA517" s="18">
        <v>5</v>
      </c>
      <c r="AB517" s="9"/>
      <c r="AC517" s="21">
        <v>1.02</v>
      </c>
    </row>
    <row r="518" spans="1:29" x14ac:dyDescent="0.25">
      <c r="A518" s="9">
        <f>A517</f>
        <v>129</v>
      </c>
      <c r="B518" s="9"/>
      <c r="C518" s="15" t="str">
        <f>IF(C517="*",C517,"")</f>
        <v>*</v>
      </c>
      <c r="D518" s="16"/>
      <c r="E518" s="17" t="str">
        <f t="shared" ref="E518:G520" si="161">E517</f>
        <v>TRARNG</v>
      </c>
      <c r="F518" s="17" t="str">
        <f t="shared" si="161"/>
        <v>TRAOTHOFRDMD</v>
      </c>
      <c r="G518" s="17" t="str">
        <f t="shared" si="161"/>
        <v>TRAOTHOFRDMD</v>
      </c>
      <c r="H518" s="18">
        <v>2025</v>
      </c>
      <c r="I518" s="18" t="str">
        <f>I517</f>
        <v>LO</v>
      </c>
      <c r="J518" s="18"/>
      <c r="K518" s="20" t="e">
        <f>-SUMIFS('TRA RESID'!$P:$P,'TRA RESID'!$H:$H,$E518,'TRA RESID'!$I:$I,$F518)/SUMIFS('TRA RESID'!$P:$P,'TRA RESID'!$I:$I,$F518)*O518</f>
        <v>#DIV/0!</v>
      </c>
      <c r="L518" s="18"/>
      <c r="M518" s="18"/>
      <c r="N518" s="9"/>
      <c r="O518" s="21">
        <v>0.8</v>
      </c>
      <c r="Q518" s="15" t="str">
        <f t="shared" si="160"/>
        <v>*</v>
      </c>
      <c r="R518" s="16"/>
      <c r="S518" s="17" t="str">
        <f t="shared" ref="S518:S564" si="162">E518</f>
        <v>TRARNG</v>
      </c>
      <c r="T518" s="17" t="str">
        <f t="shared" ref="T518:T564" si="163">F518</f>
        <v>TRAOTHOFRDMD</v>
      </c>
      <c r="U518" s="17" t="str">
        <f t="shared" ref="U518:U564" si="164">G518</f>
        <v>TRAOTHOFRDMD</v>
      </c>
      <c r="V518" s="18">
        <v>2025</v>
      </c>
      <c r="W518" s="18" t="str">
        <f>W517</f>
        <v>UP</v>
      </c>
      <c r="X518" s="18"/>
      <c r="Y518" s="20" t="e">
        <f>-MIN(SUMIFS('TRA RESID'!$P:$P,'TRA RESID'!$H:$H,$E518,'TRA RESID'!$I:$I,$F518)/SUMIFS('TRA RESID'!$P:$P,'TRA RESID'!$I:$I,$F518)*AC518,1)</f>
        <v>#DIV/0!</v>
      </c>
      <c r="Z518" s="18"/>
      <c r="AA518" s="18"/>
      <c r="AB518" s="9"/>
      <c r="AC518" s="21">
        <v>1.2</v>
      </c>
    </row>
    <row r="519" spans="1:29" x14ac:dyDescent="0.25">
      <c r="A519" s="9">
        <f>A518</f>
        <v>129</v>
      </c>
      <c r="B519" s="9"/>
      <c r="C519" s="15" t="str">
        <f>IF(C518="*",C518,"")</f>
        <v>*</v>
      </c>
      <c r="D519" s="16"/>
      <c r="E519" s="17" t="str">
        <f t="shared" si="161"/>
        <v>TRARNG</v>
      </c>
      <c r="F519" s="17" t="str">
        <f t="shared" si="161"/>
        <v>TRAOTHOFRDMD</v>
      </c>
      <c r="G519" s="17" t="str">
        <f t="shared" si="161"/>
        <v>TRAOTHOFRDMD</v>
      </c>
      <c r="H519" s="18">
        <v>2030</v>
      </c>
      <c r="I519" s="18" t="str">
        <f>I518</f>
        <v>LO</v>
      </c>
      <c r="J519" s="18"/>
      <c r="K519" s="20" t="e">
        <f>-SUMIFS('TRA RESID'!$P:$P,'TRA RESID'!$H:$H,$E519,'TRA RESID'!$I:$I,$F519)/SUMIFS('TRA RESID'!$P:$P,'TRA RESID'!$I:$I,$F519)*O519</f>
        <v>#DIV/0!</v>
      </c>
      <c r="L519" s="18"/>
      <c r="M519" s="18"/>
      <c r="N519" s="9"/>
      <c r="O519" s="21">
        <v>0.2</v>
      </c>
      <c r="Q519" s="15" t="str">
        <f t="shared" si="160"/>
        <v>*</v>
      </c>
      <c r="R519" s="16"/>
      <c r="S519" s="17" t="str">
        <f t="shared" si="162"/>
        <v>TRARNG</v>
      </c>
      <c r="T519" s="17" t="str">
        <f t="shared" si="163"/>
        <v>TRAOTHOFRDMD</v>
      </c>
      <c r="U519" s="17" t="str">
        <f t="shared" si="164"/>
        <v>TRAOTHOFRDMD</v>
      </c>
      <c r="V519" s="18">
        <v>2030</v>
      </c>
      <c r="W519" s="18" t="str">
        <f>W518</f>
        <v>UP</v>
      </c>
      <c r="X519" s="18"/>
      <c r="Y519" s="20" t="e">
        <f>-MIN(SUMIFS('TRA RESID'!$P:$P,'TRA RESID'!$H:$H,$E519,'TRA RESID'!$I:$I,$F519)/SUMIFS('TRA RESID'!$P:$P,'TRA RESID'!$I:$I,$F519)*AC519,1)</f>
        <v>#DIV/0!</v>
      </c>
      <c r="Z519" s="18"/>
      <c r="AA519" s="18"/>
      <c r="AB519" s="9"/>
      <c r="AC519" s="21">
        <v>1.5</v>
      </c>
    </row>
    <row r="520" spans="1:29" x14ac:dyDescent="0.25">
      <c r="A520" s="22">
        <f>A519</f>
        <v>129</v>
      </c>
      <c r="B520" s="22"/>
      <c r="C520" s="23" t="str">
        <f>IF(C519="*",C519,"")</f>
        <v>*</v>
      </c>
      <c r="D520" s="24"/>
      <c r="E520" s="25" t="str">
        <f t="shared" si="161"/>
        <v>TRARNG</v>
      </c>
      <c r="F520" s="25" t="str">
        <f t="shared" si="161"/>
        <v>TRAOTHOFRDMD</v>
      </c>
      <c r="G520" s="25" t="str">
        <f t="shared" si="161"/>
        <v>TRAOTHOFRDMD</v>
      </c>
      <c r="H520" s="26">
        <v>2050</v>
      </c>
      <c r="I520" s="26" t="str">
        <f>I519</f>
        <v>LO</v>
      </c>
      <c r="J520" s="26"/>
      <c r="K520" s="27" t="e">
        <f>-SUMIFS('TRA RESID'!$P:$P,'TRA RESID'!$H:$H,$E520,'TRA RESID'!$I:$I,$F520)/SUMIFS('TRA RESID'!$P:$P,'TRA RESID'!$I:$I,$F520)*O520</f>
        <v>#DIV/0!</v>
      </c>
      <c r="L520" s="26"/>
      <c r="M520" s="26"/>
      <c r="N520" s="22"/>
      <c r="O520" s="28">
        <v>0</v>
      </c>
      <c r="Q520" s="23" t="str">
        <f t="shared" si="160"/>
        <v>*</v>
      </c>
      <c r="R520" s="24"/>
      <c r="S520" s="25" t="str">
        <f t="shared" si="162"/>
        <v>TRARNG</v>
      </c>
      <c r="T520" s="25" t="str">
        <f t="shared" si="163"/>
        <v>TRAOTHOFRDMD</v>
      </c>
      <c r="U520" s="25" t="str">
        <f t="shared" si="164"/>
        <v>TRAOTHOFRDMD</v>
      </c>
      <c r="V520" s="26">
        <v>2050</v>
      </c>
      <c r="W520" s="26" t="str">
        <f>W519</f>
        <v>UP</v>
      </c>
      <c r="X520" s="26"/>
      <c r="Y520" s="27" t="e">
        <f>-MIN(SUMIFS('TRA RESID'!$P:$P,'TRA RESID'!$H:$H,$E520,'TRA RESID'!$I:$I,$F520)/SUMIFS('TRA RESID'!$P:$P,'TRA RESID'!$I:$I,$F520)*AC520,1)</f>
        <v>#DIV/0!</v>
      </c>
      <c r="Z520" s="26"/>
      <c r="AA520" s="26"/>
      <c r="AB520" s="22"/>
      <c r="AC520" s="28">
        <v>3</v>
      </c>
    </row>
    <row r="521" spans="1:29" x14ac:dyDescent="0.25">
      <c r="A521" s="14">
        <f>A517+1</f>
        <v>130</v>
      </c>
      <c r="B521" s="9"/>
      <c r="C521" s="15" t="str">
        <f>IF(E521="","",IF(_xlfn.XLOOKUP($A521,Selected_constraint!$A:$A,Selected_constraint!$D:$D)=1,"*",IF(SUMIFS('TRA TECH'!$M:$M,'TRA TECH'!$H:$H,E521,'TRA TECH'!$I:$I,F521)=0,"*",IF(SUMIFS('TRA RESID'!$P:$P,'TRA RESID'!$H:$H,$E521,'TRA RESID'!$I:$I,$F521)=0,"*","UC_MarketShare_"&amp;LEFT(F521,LEN(F521)-3)&amp;"_"&amp;RIGHT(E521,3)&amp;"_MIN"))))</f>
        <v>*</v>
      </c>
      <c r="D521" s="16"/>
      <c r="E521" s="17" t="str">
        <f>_xlfn.XLOOKUP($A521,Selected_constraint!$A:$A,Selected_constraint!$B:$B)</f>
        <v>TRABAF</v>
      </c>
      <c r="F521" s="17" t="str">
        <f>_xlfn.XLOOKUP($A521,Selected_constraint!$A:$A,Selected_constraint!$C:$C)</f>
        <v>TRAOTHOFRDMD</v>
      </c>
      <c r="G521" s="17" t="str">
        <f>F521</f>
        <v>TRAOTHOFRDMD</v>
      </c>
      <c r="H521" s="18">
        <v>2019</v>
      </c>
      <c r="I521" s="18" t="s">
        <v>483</v>
      </c>
      <c r="J521" s="18">
        <v>1</v>
      </c>
      <c r="K521" s="20" t="e">
        <f>-SUMIFS('TRA RESID'!$P:$P,'TRA RESID'!$H:$H,$E521,'TRA RESID'!$I:$I,$F521)/SUMIFS('TRA RESID'!$P:$P,'TRA RESID'!$I:$I,$F521)*O521</f>
        <v>#DIV/0!</v>
      </c>
      <c r="L521" s="18">
        <v>0</v>
      </c>
      <c r="M521" s="18">
        <v>5</v>
      </c>
      <c r="N521" s="9"/>
      <c r="O521" s="21">
        <v>0.98</v>
      </c>
      <c r="Q521" s="15" t="str">
        <f t="shared" si="160"/>
        <v>*</v>
      </c>
      <c r="R521" s="16"/>
      <c r="S521" s="17" t="str">
        <f t="shared" si="162"/>
        <v>TRABAF</v>
      </c>
      <c r="T521" s="17" t="str">
        <f t="shared" si="163"/>
        <v>TRAOTHOFRDMD</v>
      </c>
      <c r="U521" s="17" t="str">
        <f t="shared" si="164"/>
        <v>TRAOTHOFRDMD</v>
      </c>
      <c r="V521" s="18">
        <v>2019</v>
      </c>
      <c r="W521" s="18" t="s">
        <v>484</v>
      </c>
      <c r="X521" s="18">
        <v>1</v>
      </c>
      <c r="Y521" s="20" t="e">
        <f>-MIN(SUMIFS('TRA RESID'!$P:$P,'TRA RESID'!$H:$H,$E521,'TRA RESID'!$I:$I,$F521)/SUMIFS('TRA RESID'!$P:$P,'TRA RESID'!$I:$I,$F521)*AC521,1)</f>
        <v>#DIV/0!</v>
      </c>
      <c r="Z521" s="18">
        <v>0</v>
      </c>
      <c r="AA521" s="18">
        <v>5</v>
      </c>
      <c r="AB521" s="9"/>
      <c r="AC521" s="21">
        <v>1.02</v>
      </c>
    </row>
    <row r="522" spans="1:29" x14ac:dyDescent="0.25">
      <c r="A522" s="9">
        <f>A521</f>
        <v>130</v>
      </c>
      <c r="B522" s="9"/>
      <c r="C522" s="15" t="str">
        <f>IF(C521="*",C521,"")</f>
        <v>*</v>
      </c>
      <c r="D522" s="16"/>
      <c r="E522" s="17" t="str">
        <f t="shared" ref="E522:G524" si="165">E521</f>
        <v>TRABAF</v>
      </c>
      <c r="F522" s="17" t="str">
        <f t="shared" si="165"/>
        <v>TRAOTHOFRDMD</v>
      </c>
      <c r="G522" s="17" t="str">
        <f t="shared" si="165"/>
        <v>TRAOTHOFRDMD</v>
      </c>
      <c r="H522" s="18">
        <v>2025</v>
      </c>
      <c r="I522" s="18" t="str">
        <f>I521</f>
        <v>LO</v>
      </c>
      <c r="J522" s="18"/>
      <c r="K522" s="20" t="e">
        <f>-SUMIFS('TRA RESID'!$P:$P,'TRA RESID'!$H:$H,$E522,'TRA RESID'!$I:$I,$F522)/SUMIFS('TRA RESID'!$P:$P,'TRA RESID'!$I:$I,$F522)*O522</f>
        <v>#DIV/0!</v>
      </c>
      <c r="L522" s="18"/>
      <c r="M522" s="18"/>
      <c r="N522" s="9"/>
      <c r="O522" s="21">
        <v>0.8</v>
      </c>
      <c r="Q522" s="15" t="str">
        <f t="shared" si="160"/>
        <v>*</v>
      </c>
      <c r="R522" s="16"/>
      <c r="S522" s="17" t="str">
        <f t="shared" si="162"/>
        <v>TRABAF</v>
      </c>
      <c r="T522" s="17" t="str">
        <f t="shared" si="163"/>
        <v>TRAOTHOFRDMD</v>
      </c>
      <c r="U522" s="17" t="str">
        <f t="shared" si="164"/>
        <v>TRAOTHOFRDMD</v>
      </c>
      <c r="V522" s="18">
        <v>2025</v>
      </c>
      <c r="W522" s="18" t="str">
        <f>W521</f>
        <v>UP</v>
      </c>
      <c r="X522" s="18"/>
      <c r="Y522" s="20" t="e">
        <f>-MIN(SUMIFS('TRA RESID'!$P:$P,'TRA RESID'!$H:$H,$E522,'TRA RESID'!$I:$I,$F522)/SUMIFS('TRA RESID'!$P:$P,'TRA RESID'!$I:$I,$F522)*AC522,1)</f>
        <v>#DIV/0!</v>
      </c>
      <c r="Z522" s="18"/>
      <c r="AA522" s="18"/>
      <c r="AB522" s="9"/>
      <c r="AC522" s="21">
        <v>1.2</v>
      </c>
    </row>
    <row r="523" spans="1:29" x14ac:dyDescent="0.25">
      <c r="A523" s="9">
        <f>A522</f>
        <v>130</v>
      </c>
      <c r="B523" s="9"/>
      <c r="C523" s="15" t="str">
        <f>IF(C522="*",C522,"")</f>
        <v>*</v>
      </c>
      <c r="D523" s="16"/>
      <c r="E523" s="17" t="str">
        <f t="shared" si="165"/>
        <v>TRABAF</v>
      </c>
      <c r="F523" s="17" t="str">
        <f t="shared" si="165"/>
        <v>TRAOTHOFRDMD</v>
      </c>
      <c r="G523" s="17" t="str">
        <f t="shared" si="165"/>
        <v>TRAOTHOFRDMD</v>
      </c>
      <c r="H523" s="18">
        <v>2030</v>
      </c>
      <c r="I523" s="18" t="str">
        <f>I522</f>
        <v>LO</v>
      </c>
      <c r="J523" s="18"/>
      <c r="K523" s="20" t="e">
        <f>-SUMIFS('TRA RESID'!$P:$P,'TRA RESID'!$H:$H,$E523,'TRA RESID'!$I:$I,$F523)/SUMIFS('TRA RESID'!$P:$P,'TRA RESID'!$I:$I,$F523)*O523</f>
        <v>#DIV/0!</v>
      </c>
      <c r="L523" s="18"/>
      <c r="M523" s="18"/>
      <c r="N523" s="9"/>
      <c r="O523" s="21">
        <v>0.2</v>
      </c>
      <c r="Q523" s="15" t="str">
        <f t="shared" si="160"/>
        <v>*</v>
      </c>
      <c r="R523" s="16"/>
      <c r="S523" s="17" t="str">
        <f t="shared" si="162"/>
        <v>TRABAF</v>
      </c>
      <c r="T523" s="17" t="str">
        <f t="shared" si="163"/>
        <v>TRAOTHOFRDMD</v>
      </c>
      <c r="U523" s="17" t="str">
        <f t="shared" si="164"/>
        <v>TRAOTHOFRDMD</v>
      </c>
      <c r="V523" s="18">
        <v>2030</v>
      </c>
      <c r="W523" s="18" t="str">
        <f>W522</f>
        <v>UP</v>
      </c>
      <c r="X523" s="18"/>
      <c r="Y523" s="20" t="e">
        <f>-MIN(SUMIFS('TRA RESID'!$P:$P,'TRA RESID'!$H:$H,$E523,'TRA RESID'!$I:$I,$F523)/SUMIFS('TRA RESID'!$P:$P,'TRA RESID'!$I:$I,$F523)*AC523,1)</f>
        <v>#DIV/0!</v>
      </c>
      <c r="Z523" s="18"/>
      <c r="AA523" s="18"/>
      <c r="AB523" s="9"/>
      <c r="AC523" s="21">
        <v>1.5</v>
      </c>
    </row>
    <row r="524" spans="1:29" x14ac:dyDescent="0.25">
      <c r="A524" s="22">
        <f>A523</f>
        <v>130</v>
      </c>
      <c r="B524" s="22"/>
      <c r="C524" s="23" t="str">
        <f>IF(C523="*",C523,"")</f>
        <v>*</v>
      </c>
      <c r="D524" s="24"/>
      <c r="E524" s="25" t="str">
        <f t="shared" si="165"/>
        <v>TRABAF</v>
      </c>
      <c r="F524" s="25" t="str">
        <f t="shared" si="165"/>
        <v>TRAOTHOFRDMD</v>
      </c>
      <c r="G524" s="25" t="str">
        <f t="shared" si="165"/>
        <v>TRAOTHOFRDMD</v>
      </c>
      <c r="H524" s="26">
        <v>2050</v>
      </c>
      <c r="I524" s="26" t="str">
        <f>I523</f>
        <v>LO</v>
      </c>
      <c r="J524" s="26"/>
      <c r="K524" s="27" t="e">
        <f>-SUMIFS('TRA RESID'!$P:$P,'TRA RESID'!$H:$H,$E524,'TRA RESID'!$I:$I,$F524)/SUMIFS('TRA RESID'!$P:$P,'TRA RESID'!$I:$I,$F524)*O524</f>
        <v>#DIV/0!</v>
      </c>
      <c r="L524" s="26"/>
      <c r="M524" s="26"/>
      <c r="N524" s="22"/>
      <c r="O524" s="28">
        <v>0</v>
      </c>
      <c r="Q524" s="23" t="str">
        <f t="shared" si="160"/>
        <v>*</v>
      </c>
      <c r="R524" s="24"/>
      <c r="S524" s="25" t="str">
        <f t="shared" si="162"/>
        <v>TRABAF</v>
      </c>
      <c r="T524" s="25" t="str">
        <f t="shared" si="163"/>
        <v>TRAOTHOFRDMD</v>
      </c>
      <c r="U524" s="25" t="str">
        <f t="shared" si="164"/>
        <v>TRAOTHOFRDMD</v>
      </c>
      <c r="V524" s="26">
        <v>2050</v>
      </c>
      <c r="W524" s="26" t="str">
        <f>W523</f>
        <v>UP</v>
      </c>
      <c r="X524" s="26"/>
      <c r="Y524" s="27" t="e">
        <f>-MIN(SUMIFS('TRA RESID'!$P:$P,'TRA RESID'!$H:$H,$E524,'TRA RESID'!$I:$I,$F524)/SUMIFS('TRA RESID'!$P:$P,'TRA RESID'!$I:$I,$F524)*AC524,1)</f>
        <v>#DIV/0!</v>
      </c>
      <c r="Z524" s="26"/>
      <c r="AA524" s="26"/>
      <c r="AB524" s="22"/>
      <c r="AC524" s="28">
        <v>3</v>
      </c>
    </row>
    <row r="525" spans="1:29" x14ac:dyDescent="0.25">
      <c r="A525" s="14">
        <f>A521+1</f>
        <v>131</v>
      </c>
      <c r="B525" s="9"/>
      <c r="C525" s="15" t="str">
        <f>IF(E525="","",IF(_xlfn.XLOOKUP($A525,Selected_constraint!$A:$A,Selected_constraint!$D:$D)=1,"*",IF(SUMIFS('TRA TECH'!$M:$M,'TRA TECH'!$H:$H,E525,'TRA TECH'!$I:$I,F525)=0,"*",IF(SUMIFS('TRA RESID'!$P:$P,'TRA RESID'!$H:$H,$E525,'TRA RESID'!$I:$I,$F525)=0,"*","UC_MarketShare_"&amp;LEFT(F525,LEN(F525)-3)&amp;"_"&amp;RIGHT(E525,3)&amp;"_MIN"))))</f>
        <v>*</v>
      </c>
      <c r="D525" s="16"/>
      <c r="E525" s="17" t="str">
        <f>_xlfn.XLOOKUP($A525,Selected_constraint!$A:$A,Selected_constraint!$B:$B)</f>
        <v>TRAH2G</v>
      </c>
      <c r="F525" s="17" t="str">
        <f>_xlfn.XLOOKUP($A525,Selected_constraint!$A:$A,Selected_constraint!$C:$C)</f>
        <v>TRAOTHOFRDMD</v>
      </c>
      <c r="G525" s="17" t="str">
        <f>F525</f>
        <v>TRAOTHOFRDMD</v>
      </c>
      <c r="H525" s="18">
        <v>2019</v>
      </c>
      <c r="I525" s="18" t="s">
        <v>483</v>
      </c>
      <c r="J525" s="18">
        <v>1</v>
      </c>
      <c r="K525" s="20" t="e">
        <f>-SUMIFS('TRA RESID'!$P:$P,'TRA RESID'!$H:$H,$E525,'TRA RESID'!$I:$I,$F525)/SUMIFS('TRA RESID'!$P:$P,'TRA RESID'!$I:$I,$F525)*O525</f>
        <v>#DIV/0!</v>
      </c>
      <c r="L525" s="18">
        <v>0</v>
      </c>
      <c r="M525" s="18">
        <v>5</v>
      </c>
      <c r="N525" s="9"/>
      <c r="O525" s="21">
        <v>0.98</v>
      </c>
      <c r="Q525" s="15" t="str">
        <f t="shared" si="160"/>
        <v>*</v>
      </c>
      <c r="R525" s="16"/>
      <c r="S525" s="17" t="str">
        <f t="shared" si="162"/>
        <v>TRAH2G</v>
      </c>
      <c r="T525" s="17" t="str">
        <f t="shared" si="163"/>
        <v>TRAOTHOFRDMD</v>
      </c>
      <c r="U525" s="17" t="str">
        <f t="shared" si="164"/>
        <v>TRAOTHOFRDMD</v>
      </c>
      <c r="V525" s="18">
        <v>2019</v>
      </c>
      <c r="W525" s="18" t="s">
        <v>484</v>
      </c>
      <c r="X525" s="18">
        <v>1</v>
      </c>
      <c r="Y525" s="20" t="e">
        <f>-MIN(SUMIFS('TRA RESID'!$P:$P,'TRA RESID'!$H:$H,$E525,'TRA RESID'!$I:$I,$F525)/SUMIFS('TRA RESID'!$P:$P,'TRA RESID'!$I:$I,$F525)*AC525,1)</f>
        <v>#DIV/0!</v>
      </c>
      <c r="Z525" s="18">
        <v>0</v>
      </c>
      <c r="AA525" s="18">
        <v>5</v>
      </c>
      <c r="AB525" s="9"/>
      <c r="AC525" s="21">
        <v>1.02</v>
      </c>
    </row>
    <row r="526" spans="1:29" x14ac:dyDescent="0.25">
      <c r="A526" s="9">
        <f>A525</f>
        <v>131</v>
      </c>
      <c r="B526" s="9"/>
      <c r="C526" s="15" t="str">
        <f>IF(C525="*",C525,"")</f>
        <v>*</v>
      </c>
      <c r="D526" s="16"/>
      <c r="E526" s="17" t="str">
        <f t="shared" ref="E526:G528" si="166">E525</f>
        <v>TRAH2G</v>
      </c>
      <c r="F526" s="17" t="str">
        <f t="shared" si="166"/>
        <v>TRAOTHOFRDMD</v>
      </c>
      <c r="G526" s="17" t="str">
        <f t="shared" si="166"/>
        <v>TRAOTHOFRDMD</v>
      </c>
      <c r="H526" s="18">
        <v>2025</v>
      </c>
      <c r="I526" s="18" t="str">
        <f>I525</f>
        <v>LO</v>
      </c>
      <c r="J526" s="18"/>
      <c r="K526" s="20" t="e">
        <f>-SUMIFS('TRA RESID'!$P:$P,'TRA RESID'!$H:$H,$E526,'TRA RESID'!$I:$I,$F526)/SUMIFS('TRA RESID'!$P:$P,'TRA RESID'!$I:$I,$F526)*O526</f>
        <v>#DIV/0!</v>
      </c>
      <c r="L526" s="18"/>
      <c r="M526" s="18"/>
      <c r="N526" s="9"/>
      <c r="O526" s="21">
        <v>0.8</v>
      </c>
      <c r="Q526" s="15" t="str">
        <f t="shared" si="160"/>
        <v>*</v>
      </c>
      <c r="R526" s="16"/>
      <c r="S526" s="17" t="str">
        <f t="shared" si="162"/>
        <v>TRAH2G</v>
      </c>
      <c r="T526" s="17" t="str">
        <f t="shared" si="163"/>
        <v>TRAOTHOFRDMD</v>
      </c>
      <c r="U526" s="17" t="str">
        <f t="shared" si="164"/>
        <v>TRAOTHOFRDMD</v>
      </c>
      <c r="V526" s="18">
        <v>2025</v>
      </c>
      <c r="W526" s="18" t="str">
        <f>W525</f>
        <v>UP</v>
      </c>
      <c r="X526" s="18"/>
      <c r="Y526" s="20" t="e">
        <f>-MIN(SUMIFS('TRA RESID'!$P:$P,'TRA RESID'!$H:$H,$E526,'TRA RESID'!$I:$I,$F526)/SUMIFS('TRA RESID'!$P:$P,'TRA RESID'!$I:$I,$F526)*AC526,1)</f>
        <v>#DIV/0!</v>
      </c>
      <c r="Z526" s="18"/>
      <c r="AA526" s="18"/>
      <c r="AB526" s="9"/>
      <c r="AC526" s="21">
        <v>1.2</v>
      </c>
    </row>
    <row r="527" spans="1:29" x14ac:dyDescent="0.25">
      <c r="A527" s="9">
        <f>A526</f>
        <v>131</v>
      </c>
      <c r="B527" s="9"/>
      <c r="C527" s="15" t="str">
        <f>IF(C526="*",C526,"")</f>
        <v>*</v>
      </c>
      <c r="D527" s="16"/>
      <c r="E527" s="17" t="str">
        <f t="shared" si="166"/>
        <v>TRAH2G</v>
      </c>
      <c r="F527" s="17" t="str">
        <f t="shared" si="166"/>
        <v>TRAOTHOFRDMD</v>
      </c>
      <c r="G527" s="17" t="str">
        <f t="shared" si="166"/>
        <v>TRAOTHOFRDMD</v>
      </c>
      <c r="H527" s="18">
        <v>2030</v>
      </c>
      <c r="I527" s="18" t="str">
        <f>I526</f>
        <v>LO</v>
      </c>
      <c r="J527" s="18"/>
      <c r="K527" s="20" t="e">
        <f>-SUMIFS('TRA RESID'!$P:$P,'TRA RESID'!$H:$H,$E527,'TRA RESID'!$I:$I,$F527)/SUMIFS('TRA RESID'!$P:$P,'TRA RESID'!$I:$I,$F527)*O527</f>
        <v>#DIV/0!</v>
      </c>
      <c r="L527" s="18"/>
      <c r="M527" s="18"/>
      <c r="N527" s="9"/>
      <c r="O527" s="21">
        <v>0.2</v>
      </c>
      <c r="Q527" s="15" t="str">
        <f t="shared" si="160"/>
        <v>*</v>
      </c>
      <c r="R527" s="16"/>
      <c r="S527" s="17" t="str">
        <f t="shared" si="162"/>
        <v>TRAH2G</v>
      </c>
      <c r="T527" s="17" t="str">
        <f t="shared" si="163"/>
        <v>TRAOTHOFRDMD</v>
      </c>
      <c r="U527" s="17" t="str">
        <f t="shared" si="164"/>
        <v>TRAOTHOFRDMD</v>
      </c>
      <c r="V527" s="18">
        <v>2030</v>
      </c>
      <c r="W527" s="18" t="str">
        <f>W526</f>
        <v>UP</v>
      </c>
      <c r="X527" s="18"/>
      <c r="Y527" s="20" t="e">
        <f>-MIN(SUMIFS('TRA RESID'!$P:$P,'TRA RESID'!$H:$H,$E527,'TRA RESID'!$I:$I,$F527)/SUMIFS('TRA RESID'!$P:$P,'TRA RESID'!$I:$I,$F527)*AC527,1)</f>
        <v>#DIV/0!</v>
      </c>
      <c r="Z527" s="18"/>
      <c r="AA527" s="18"/>
      <c r="AB527" s="9"/>
      <c r="AC527" s="21">
        <v>1.5</v>
      </c>
    </row>
    <row r="528" spans="1:29" x14ac:dyDescent="0.25">
      <c r="A528" s="22">
        <f>A527</f>
        <v>131</v>
      </c>
      <c r="B528" s="22"/>
      <c r="C528" s="23" t="str">
        <f>IF(C527="*",C527,"")</f>
        <v>*</v>
      </c>
      <c r="D528" s="24"/>
      <c r="E528" s="25" t="str">
        <f t="shared" si="166"/>
        <v>TRAH2G</v>
      </c>
      <c r="F528" s="25" t="str">
        <f t="shared" si="166"/>
        <v>TRAOTHOFRDMD</v>
      </c>
      <c r="G528" s="25" t="str">
        <f t="shared" si="166"/>
        <v>TRAOTHOFRDMD</v>
      </c>
      <c r="H528" s="26">
        <v>2050</v>
      </c>
      <c r="I528" s="26" t="str">
        <f>I527</f>
        <v>LO</v>
      </c>
      <c r="J528" s="26"/>
      <c r="K528" s="27" t="e">
        <f>-SUMIFS('TRA RESID'!$P:$P,'TRA RESID'!$H:$H,$E528,'TRA RESID'!$I:$I,$F528)/SUMIFS('TRA RESID'!$P:$P,'TRA RESID'!$I:$I,$F528)*O528</f>
        <v>#DIV/0!</v>
      </c>
      <c r="L528" s="26"/>
      <c r="M528" s="26"/>
      <c r="N528" s="22"/>
      <c r="O528" s="28">
        <v>0</v>
      </c>
      <c r="Q528" s="23" t="str">
        <f t="shared" si="160"/>
        <v>*</v>
      </c>
      <c r="R528" s="24"/>
      <c r="S528" s="25" t="str">
        <f t="shared" si="162"/>
        <v>TRAH2G</v>
      </c>
      <c r="T528" s="25" t="str">
        <f t="shared" si="163"/>
        <v>TRAOTHOFRDMD</v>
      </c>
      <c r="U528" s="25" t="str">
        <f t="shared" si="164"/>
        <v>TRAOTHOFRDMD</v>
      </c>
      <c r="V528" s="26">
        <v>2050</v>
      </c>
      <c r="W528" s="26" t="str">
        <f>W527</f>
        <v>UP</v>
      </c>
      <c r="X528" s="26"/>
      <c r="Y528" s="27" t="e">
        <f>-MIN(SUMIFS('TRA RESID'!$P:$P,'TRA RESID'!$H:$H,$E528,'TRA RESID'!$I:$I,$F528)/SUMIFS('TRA RESID'!$P:$P,'TRA RESID'!$I:$I,$F528)*AC528,1)</f>
        <v>#DIV/0!</v>
      </c>
      <c r="Z528" s="26"/>
      <c r="AA528" s="26"/>
      <c r="AB528" s="22"/>
      <c r="AC528" s="28">
        <v>3</v>
      </c>
    </row>
    <row r="529" spans="1:29" x14ac:dyDescent="0.25">
      <c r="A529" s="14">
        <f>A525+1</f>
        <v>132</v>
      </c>
      <c r="B529" s="9"/>
      <c r="C529" s="15" t="str">
        <f>IF(E529="","",IF(_xlfn.XLOOKUP($A529,Selected_constraint!$A:$A,Selected_constraint!$D:$D)=1,"*",IF(SUMIFS('TRA TECH'!$M:$M,'TRA TECH'!$H:$H,E529,'TRA TECH'!$I:$I,F529)=0,"*",IF(SUMIFS('TRA RESID'!$P:$P,'TRA RESID'!$H:$H,$E529,'TRA RESID'!$I:$I,$F529)=0,"*","UC_MarketShare_"&amp;LEFT(F529,LEN(F529)-3)&amp;"_"&amp;RIGHT(E529,3)&amp;"_MIN"))))</f>
        <v>*</v>
      </c>
      <c r="D529" s="16"/>
      <c r="E529" s="17" t="str">
        <f>_xlfn.XLOOKUP($A529,Selected_constraint!$A:$A,Selected_constraint!$B:$B)</f>
        <v>TRAGSL</v>
      </c>
      <c r="F529" s="17" t="str">
        <f>_xlfn.XLOOKUP($A529,Selected_constraint!$A:$A,Selected_constraint!$C:$C)</f>
        <v>TRAOTHWATDMD</v>
      </c>
      <c r="G529" s="17" t="str">
        <f>F529</f>
        <v>TRAOTHWATDMD</v>
      </c>
      <c r="H529" s="18">
        <v>2019</v>
      </c>
      <c r="I529" s="18" t="s">
        <v>483</v>
      </c>
      <c r="J529" s="18">
        <v>1</v>
      </c>
      <c r="K529" s="20">
        <f>-SUMIFS('TRA RESID'!$P:$P,'TRA RESID'!$H:$H,$E529,'TRA RESID'!$I:$I,$F529)/SUMIFS('TRA RESID'!$P:$P,'TRA RESID'!$I:$I,$F529)*O529</f>
        <v>0</v>
      </c>
      <c r="L529" s="18">
        <v>0</v>
      </c>
      <c r="M529" s="18">
        <v>5</v>
      </c>
      <c r="N529" s="9"/>
      <c r="O529" s="21">
        <v>0.98</v>
      </c>
      <c r="Q529" s="15" t="str">
        <f t="shared" si="160"/>
        <v>*</v>
      </c>
      <c r="R529" s="16"/>
      <c r="S529" s="17" t="str">
        <f t="shared" si="162"/>
        <v>TRAGSL</v>
      </c>
      <c r="T529" s="17" t="str">
        <f t="shared" si="163"/>
        <v>TRAOTHWATDMD</v>
      </c>
      <c r="U529" s="17" t="str">
        <f t="shared" si="164"/>
        <v>TRAOTHWATDMD</v>
      </c>
      <c r="V529" s="18">
        <v>2019</v>
      </c>
      <c r="W529" s="18" t="s">
        <v>484</v>
      </c>
      <c r="X529" s="18">
        <v>1</v>
      </c>
      <c r="Y529" s="20">
        <f>-MIN(SUMIFS('TRA RESID'!$P:$P,'TRA RESID'!$H:$H,$E529,'TRA RESID'!$I:$I,$F529)/SUMIFS('TRA RESID'!$P:$P,'TRA RESID'!$I:$I,$F529)*AC529,1)</f>
        <v>0</v>
      </c>
      <c r="Z529" s="18">
        <v>0</v>
      </c>
      <c r="AA529" s="18">
        <v>5</v>
      </c>
      <c r="AB529" s="9"/>
      <c r="AC529" s="21">
        <v>1.02</v>
      </c>
    </row>
    <row r="530" spans="1:29" x14ac:dyDescent="0.25">
      <c r="A530" s="9">
        <f>A529</f>
        <v>132</v>
      </c>
      <c r="B530" s="9"/>
      <c r="C530" s="15" t="str">
        <f>IF(C529="*",C529,"")</f>
        <v>*</v>
      </c>
      <c r="D530" s="16"/>
      <c r="E530" s="17" t="str">
        <f t="shared" ref="E530:G532" si="167">E529</f>
        <v>TRAGSL</v>
      </c>
      <c r="F530" s="17" t="str">
        <f t="shared" si="167"/>
        <v>TRAOTHWATDMD</v>
      </c>
      <c r="G530" s="17" t="str">
        <f t="shared" si="167"/>
        <v>TRAOTHWATDMD</v>
      </c>
      <c r="H530" s="18">
        <v>2025</v>
      </c>
      <c r="I530" s="18" t="str">
        <f>I529</f>
        <v>LO</v>
      </c>
      <c r="J530" s="18"/>
      <c r="K530" s="20">
        <f>-SUMIFS('TRA RESID'!$P:$P,'TRA RESID'!$H:$H,$E530,'TRA RESID'!$I:$I,$F530)/SUMIFS('TRA RESID'!$P:$P,'TRA RESID'!$I:$I,$F530)*O530</f>
        <v>0</v>
      </c>
      <c r="L530" s="18"/>
      <c r="M530" s="18"/>
      <c r="N530" s="9"/>
      <c r="O530" s="21">
        <v>0.8</v>
      </c>
      <c r="Q530" s="15" t="str">
        <f t="shared" si="160"/>
        <v>*</v>
      </c>
      <c r="R530" s="16"/>
      <c r="S530" s="17" t="str">
        <f t="shared" si="162"/>
        <v>TRAGSL</v>
      </c>
      <c r="T530" s="17" t="str">
        <f t="shared" si="163"/>
        <v>TRAOTHWATDMD</v>
      </c>
      <c r="U530" s="17" t="str">
        <f t="shared" si="164"/>
        <v>TRAOTHWATDMD</v>
      </c>
      <c r="V530" s="18">
        <v>2025</v>
      </c>
      <c r="W530" s="18" t="str">
        <f>W529</f>
        <v>UP</v>
      </c>
      <c r="X530" s="18"/>
      <c r="Y530" s="20">
        <f>-MIN(SUMIFS('TRA RESID'!$P:$P,'TRA RESID'!$H:$H,$E530,'TRA RESID'!$I:$I,$F530)/SUMIFS('TRA RESID'!$P:$P,'TRA RESID'!$I:$I,$F530)*AC530,1)</f>
        <v>0</v>
      </c>
      <c r="Z530" s="18"/>
      <c r="AA530" s="18"/>
      <c r="AB530" s="9"/>
      <c r="AC530" s="21">
        <v>1.2</v>
      </c>
    </row>
    <row r="531" spans="1:29" x14ac:dyDescent="0.25">
      <c r="A531" s="9">
        <f>A530</f>
        <v>132</v>
      </c>
      <c r="B531" s="9"/>
      <c r="C531" s="15" t="str">
        <f>IF(C530="*",C530,"")</f>
        <v>*</v>
      </c>
      <c r="D531" s="16"/>
      <c r="E531" s="17" t="str">
        <f t="shared" si="167"/>
        <v>TRAGSL</v>
      </c>
      <c r="F531" s="17" t="str">
        <f t="shared" si="167"/>
        <v>TRAOTHWATDMD</v>
      </c>
      <c r="G531" s="17" t="str">
        <f t="shared" si="167"/>
        <v>TRAOTHWATDMD</v>
      </c>
      <c r="H531" s="18">
        <v>2030</v>
      </c>
      <c r="I531" s="18" t="str">
        <f>I530</f>
        <v>LO</v>
      </c>
      <c r="J531" s="18"/>
      <c r="K531" s="20">
        <f>-SUMIFS('TRA RESID'!$P:$P,'TRA RESID'!$H:$H,$E531,'TRA RESID'!$I:$I,$F531)/SUMIFS('TRA RESID'!$P:$P,'TRA RESID'!$I:$I,$F531)*O531</f>
        <v>0</v>
      </c>
      <c r="L531" s="18"/>
      <c r="M531" s="18"/>
      <c r="N531" s="9"/>
      <c r="O531" s="21">
        <v>0.2</v>
      </c>
      <c r="Q531" s="15" t="str">
        <f t="shared" si="160"/>
        <v>*</v>
      </c>
      <c r="R531" s="16"/>
      <c r="S531" s="17" t="str">
        <f t="shared" si="162"/>
        <v>TRAGSL</v>
      </c>
      <c r="T531" s="17" t="str">
        <f t="shared" si="163"/>
        <v>TRAOTHWATDMD</v>
      </c>
      <c r="U531" s="17" t="str">
        <f t="shared" si="164"/>
        <v>TRAOTHWATDMD</v>
      </c>
      <c r="V531" s="18">
        <v>2030</v>
      </c>
      <c r="W531" s="18" t="str">
        <f>W530</f>
        <v>UP</v>
      </c>
      <c r="X531" s="18"/>
      <c r="Y531" s="20">
        <f>-MIN(SUMIFS('TRA RESID'!$P:$P,'TRA RESID'!$H:$H,$E531,'TRA RESID'!$I:$I,$F531)/SUMIFS('TRA RESID'!$P:$P,'TRA RESID'!$I:$I,$F531)*AC531,1)</f>
        <v>0</v>
      </c>
      <c r="Z531" s="18"/>
      <c r="AA531" s="18"/>
      <c r="AB531" s="9"/>
      <c r="AC531" s="21">
        <v>1.5</v>
      </c>
    </row>
    <row r="532" spans="1:29" x14ac:dyDescent="0.25">
      <c r="A532" s="22">
        <f>A531</f>
        <v>132</v>
      </c>
      <c r="B532" s="22"/>
      <c r="C532" s="23" t="str">
        <f>IF(C531="*",C531,"")</f>
        <v>*</v>
      </c>
      <c r="D532" s="24"/>
      <c r="E532" s="25" t="str">
        <f t="shared" si="167"/>
        <v>TRAGSL</v>
      </c>
      <c r="F532" s="25" t="str">
        <f t="shared" si="167"/>
        <v>TRAOTHWATDMD</v>
      </c>
      <c r="G532" s="25" t="str">
        <f t="shared" si="167"/>
        <v>TRAOTHWATDMD</v>
      </c>
      <c r="H532" s="26">
        <v>2050</v>
      </c>
      <c r="I532" s="26" t="str">
        <f>I531</f>
        <v>LO</v>
      </c>
      <c r="J532" s="26"/>
      <c r="K532" s="27">
        <f>-SUMIFS('TRA RESID'!$P:$P,'TRA RESID'!$H:$H,$E532,'TRA RESID'!$I:$I,$F532)/SUMIFS('TRA RESID'!$P:$P,'TRA RESID'!$I:$I,$F532)*O532</f>
        <v>0</v>
      </c>
      <c r="L532" s="26"/>
      <c r="M532" s="26"/>
      <c r="N532" s="22"/>
      <c r="O532" s="28">
        <v>0</v>
      </c>
      <c r="Q532" s="23" t="str">
        <f t="shared" si="160"/>
        <v>*</v>
      </c>
      <c r="R532" s="24"/>
      <c r="S532" s="25" t="str">
        <f t="shared" si="162"/>
        <v>TRAGSL</v>
      </c>
      <c r="T532" s="25" t="str">
        <f t="shared" si="163"/>
        <v>TRAOTHWATDMD</v>
      </c>
      <c r="U532" s="25" t="str">
        <f t="shared" si="164"/>
        <v>TRAOTHWATDMD</v>
      </c>
      <c r="V532" s="26">
        <v>2050</v>
      </c>
      <c r="W532" s="26" t="str">
        <f>W531</f>
        <v>UP</v>
      </c>
      <c r="X532" s="26"/>
      <c r="Y532" s="27">
        <f>-MIN(SUMIFS('TRA RESID'!$P:$P,'TRA RESID'!$H:$H,$E532,'TRA RESID'!$I:$I,$F532)/SUMIFS('TRA RESID'!$P:$P,'TRA RESID'!$I:$I,$F532)*AC532,1)</f>
        <v>0</v>
      </c>
      <c r="Z532" s="26"/>
      <c r="AA532" s="26"/>
      <c r="AB532" s="22"/>
      <c r="AC532" s="28">
        <v>3</v>
      </c>
    </row>
    <row r="533" spans="1:29" x14ac:dyDescent="0.25">
      <c r="A533" s="14">
        <f>A529+1</f>
        <v>133</v>
      </c>
      <c r="B533" s="9"/>
      <c r="C533" s="15" t="str">
        <f>IF(E533="","",IF(_xlfn.XLOOKUP($A533,Selected_constraint!$A:$A,Selected_constraint!$D:$D)=1,"*",IF(SUMIFS('TRA TECH'!$M:$M,'TRA TECH'!$H:$H,E533,'TRA TECH'!$I:$I,F533)=0,"*",IF(SUMIFS('TRA RESID'!$P:$P,'TRA RESID'!$H:$H,$E533,'TRA RESID'!$I:$I,$F533)=0,"*","UC_MarketShare_"&amp;LEFT(F533,LEN(F533)-3)&amp;"_"&amp;RIGHT(E533,3)&amp;"_MIN"))))</f>
        <v>*</v>
      </c>
      <c r="D533" s="16"/>
      <c r="E533" s="17" t="str">
        <f>_xlfn.XLOOKUP($A533,Selected_constraint!$A:$A,Selected_constraint!$B:$B)</f>
        <v>TRAETH</v>
      </c>
      <c r="F533" s="17" t="str">
        <f>_xlfn.XLOOKUP($A533,Selected_constraint!$A:$A,Selected_constraint!$C:$C)</f>
        <v>TRAOTHWATDMD</v>
      </c>
      <c r="G533" s="17" t="str">
        <f>F533</f>
        <v>TRAOTHWATDMD</v>
      </c>
      <c r="H533" s="18">
        <v>2019</v>
      </c>
      <c r="I533" s="18" t="s">
        <v>483</v>
      </c>
      <c r="J533" s="18">
        <v>1</v>
      </c>
      <c r="K533" s="20">
        <f>-SUMIFS('TRA RESID'!$P:$P,'TRA RESID'!$H:$H,$E533,'TRA RESID'!$I:$I,$F533)/SUMIFS('TRA RESID'!$P:$P,'TRA RESID'!$I:$I,$F533)*O533</f>
        <v>0</v>
      </c>
      <c r="L533" s="18">
        <v>0</v>
      </c>
      <c r="M533" s="18">
        <v>5</v>
      </c>
      <c r="N533" s="9"/>
      <c r="O533" s="21">
        <v>0.98</v>
      </c>
      <c r="Q533" s="15" t="str">
        <f t="shared" si="160"/>
        <v>*</v>
      </c>
      <c r="R533" s="16"/>
      <c r="S533" s="17" t="str">
        <f t="shared" si="162"/>
        <v>TRAETH</v>
      </c>
      <c r="T533" s="17" t="str">
        <f t="shared" si="163"/>
        <v>TRAOTHWATDMD</v>
      </c>
      <c r="U533" s="17" t="str">
        <f t="shared" si="164"/>
        <v>TRAOTHWATDMD</v>
      </c>
      <c r="V533" s="18">
        <v>2019</v>
      </c>
      <c r="W533" s="18" t="s">
        <v>484</v>
      </c>
      <c r="X533" s="18">
        <v>1</v>
      </c>
      <c r="Y533" s="20">
        <f>-MIN(SUMIFS('TRA RESID'!$P:$P,'TRA RESID'!$H:$H,$E533,'TRA RESID'!$I:$I,$F533)/SUMIFS('TRA RESID'!$P:$P,'TRA RESID'!$I:$I,$F533)*AC533,1)</f>
        <v>0</v>
      </c>
      <c r="Z533" s="18">
        <v>0</v>
      </c>
      <c r="AA533" s="18">
        <v>5</v>
      </c>
      <c r="AB533" s="9"/>
      <c r="AC533" s="21">
        <v>1.02</v>
      </c>
    </row>
    <row r="534" spans="1:29" x14ac:dyDescent="0.25">
      <c r="A534" s="9">
        <f>A533</f>
        <v>133</v>
      </c>
      <c r="B534" s="9"/>
      <c r="C534" s="15" t="str">
        <f>IF(C533="*",C533,"")</f>
        <v>*</v>
      </c>
      <c r="D534" s="16"/>
      <c r="E534" s="17" t="str">
        <f t="shared" ref="E534:G536" si="168">E533</f>
        <v>TRAETH</v>
      </c>
      <c r="F534" s="17" t="str">
        <f t="shared" si="168"/>
        <v>TRAOTHWATDMD</v>
      </c>
      <c r="G534" s="17" t="str">
        <f t="shared" si="168"/>
        <v>TRAOTHWATDMD</v>
      </c>
      <c r="H534" s="18">
        <v>2025</v>
      </c>
      <c r="I534" s="18" t="str">
        <f>I533</f>
        <v>LO</v>
      </c>
      <c r="J534" s="18"/>
      <c r="K534" s="20">
        <f>-SUMIFS('TRA RESID'!$P:$P,'TRA RESID'!$H:$H,$E534,'TRA RESID'!$I:$I,$F534)/SUMIFS('TRA RESID'!$P:$P,'TRA RESID'!$I:$I,$F534)*O534</f>
        <v>0</v>
      </c>
      <c r="L534" s="18"/>
      <c r="M534" s="18"/>
      <c r="N534" s="9"/>
      <c r="O534" s="21">
        <v>0.8</v>
      </c>
      <c r="Q534" s="15" t="str">
        <f t="shared" si="160"/>
        <v>*</v>
      </c>
      <c r="R534" s="16"/>
      <c r="S534" s="17" t="str">
        <f t="shared" si="162"/>
        <v>TRAETH</v>
      </c>
      <c r="T534" s="17" t="str">
        <f t="shared" si="163"/>
        <v>TRAOTHWATDMD</v>
      </c>
      <c r="U534" s="17" t="str">
        <f t="shared" si="164"/>
        <v>TRAOTHWATDMD</v>
      </c>
      <c r="V534" s="18">
        <v>2025</v>
      </c>
      <c r="W534" s="18" t="str">
        <f>W533</f>
        <v>UP</v>
      </c>
      <c r="X534" s="18"/>
      <c r="Y534" s="20">
        <f>-MIN(SUMIFS('TRA RESID'!$P:$P,'TRA RESID'!$H:$H,$E534,'TRA RESID'!$I:$I,$F534)/SUMIFS('TRA RESID'!$P:$P,'TRA RESID'!$I:$I,$F534)*AC534,1)</f>
        <v>0</v>
      </c>
      <c r="Z534" s="18"/>
      <c r="AA534" s="18"/>
      <c r="AB534" s="9"/>
      <c r="AC534" s="21">
        <v>1.2</v>
      </c>
    </row>
    <row r="535" spans="1:29" x14ac:dyDescent="0.25">
      <c r="A535" s="9">
        <f>A534</f>
        <v>133</v>
      </c>
      <c r="B535" s="9"/>
      <c r="C535" s="15" t="str">
        <f>IF(C534="*",C534,"")</f>
        <v>*</v>
      </c>
      <c r="D535" s="16"/>
      <c r="E535" s="17" t="str">
        <f t="shared" si="168"/>
        <v>TRAETH</v>
      </c>
      <c r="F535" s="17" t="str">
        <f t="shared" si="168"/>
        <v>TRAOTHWATDMD</v>
      </c>
      <c r="G535" s="17" t="str">
        <f t="shared" si="168"/>
        <v>TRAOTHWATDMD</v>
      </c>
      <c r="H535" s="18">
        <v>2030</v>
      </c>
      <c r="I535" s="18" t="str">
        <f>I534</f>
        <v>LO</v>
      </c>
      <c r="J535" s="18"/>
      <c r="K535" s="20">
        <f>-SUMIFS('TRA RESID'!$P:$P,'TRA RESID'!$H:$H,$E535,'TRA RESID'!$I:$I,$F535)/SUMIFS('TRA RESID'!$P:$P,'TRA RESID'!$I:$I,$F535)*O535</f>
        <v>0</v>
      </c>
      <c r="L535" s="18"/>
      <c r="M535" s="18"/>
      <c r="N535" s="9"/>
      <c r="O535" s="21">
        <v>0.2</v>
      </c>
      <c r="Q535" s="15" t="str">
        <f t="shared" si="160"/>
        <v>*</v>
      </c>
      <c r="R535" s="16"/>
      <c r="S535" s="17" t="str">
        <f t="shared" si="162"/>
        <v>TRAETH</v>
      </c>
      <c r="T535" s="17" t="str">
        <f t="shared" si="163"/>
        <v>TRAOTHWATDMD</v>
      </c>
      <c r="U535" s="17" t="str">
        <f t="shared" si="164"/>
        <v>TRAOTHWATDMD</v>
      </c>
      <c r="V535" s="18">
        <v>2030</v>
      </c>
      <c r="W535" s="18" t="str">
        <f>W534</f>
        <v>UP</v>
      </c>
      <c r="X535" s="18"/>
      <c r="Y535" s="20">
        <f>-MIN(SUMIFS('TRA RESID'!$P:$P,'TRA RESID'!$H:$H,$E535,'TRA RESID'!$I:$I,$F535)/SUMIFS('TRA RESID'!$P:$P,'TRA RESID'!$I:$I,$F535)*AC535,1)</f>
        <v>0</v>
      </c>
      <c r="Z535" s="18"/>
      <c r="AA535" s="18"/>
      <c r="AB535" s="9"/>
      <c r="AC535" s="21">
        <v>1.5</v>
      </c>
    </row>
    <row r="536" spans="1:29" x14ac:dyDescent="0.25">
      <c r="A536" s="22">
        <f>A535</f>
        <v>133</v>
      </c>
      <c r="B536" s="22"/>
      <c r="C536" s="23" t="str">
        <f>IF(C535="*",C535,"")</f>
        <v>*</v>
      </c>
      <c r="D536" s="24"/>
      <c r="E536" s="25" t="str">
        <f t="shared" si="168"/>
        <v>TRAETH</v>
      </c>
      <c r="F536" s="25" t="str">
        <f t="shared" si="168"/>
        <v>TRAOTHWATDMD</v>
      </c>
      <c r="G536" s="25" t="str">
        <f t="shared" si="168"/>
        <v>TRAOTHWATDMD</v>
      </c>
      <c r="H536" s="26">
        <v>2050</v>
      </c>
      <c r="I536" s="26" t="str">
        <f>I535</f>
        <v>LO</v>
      </c>
      <c r="J536" s="26"/>
      <c r="K536" s="27">
        <f>-SUMIFS('TRA RESID'!$P:$P,'TRA RESID'!$H:$H,$E536,'TRA RESID'!$I:$I,$F536)/SUMIFS('TRA RESID'!$P:$P,'TRA RESID'!$I:$I,$F536)*O536</f>
        <v>0</v>
      </c>
      <c r="L536" s="26"/>
      <c r="M536" s="26"/>
      <c r="N536" s="22"/>
      <c r="O536" s="28">
        <v>0</v>
      </c>
      <c r="Q536" s="23" t="str">
        <f t="shared" si="160"/>
        <v>*</v>
      </c>
      <c r="R536" s="24"/>
      <c r="S536" s="25" t="str">
        <f t="shared" si="162"/>
        <v>TRAETH</v>
      </c>
      <c r="T536" s="25" t="str">
        <f t="shared" si="163"/>
        <v>TRAOTHWATDMD</v>
      </c>
      <c r="U536" s="25" t="str">
        <f t="shared" si="164"/>
        <v>TRAOTHWATDMD</v>
      </c>
      <c r="V536" s="26">
        <v>2050</v>
      </c>
      <c r="W536" s="26" t="str">
        <f>W535</f>
        <v>UP</v>
      </c>
      <c r="X536" s="26"/>
      <c r="Y536" s="27">
        <f>-MIN(SUMIFS('TRA RESID'!$P:$P,'TRA RESID'!$H:$H,$E536,'TRA RESID'!$I:$I,$F536)/SUMIFS('TRA RESID'!$P:$P,'TRA RESID'!$I:$I,$F536)*AC536,1)</f>
        <v>0</v>
      </c>
      <c r="Z536" s="26"/>
      <c r="AA536" s="26"/>
      <c r="AB536" s="22"/>
      <c r="AC536" s="28">
        <v>3</v>
      </c>
    </row>
    <row r="537" spans="1:29" x14ac:dyDescent="0.25">
      <c r="A537" s="14">
        <f>A533+1</f>
        <v>134</v>
      </c>
      <c r="B537" s="9"/>
      <c r="C537" s="15" t="str">
        <f>IF(E537="","",IF(_xlfn.XLOOKUP($A537,Selected_constraint!$A:$A,Selected_constraint!$D:$D)=1,"*",IF(SUMIFS('TRA TECH'!$M:$M,'TRA TECH'!$H:$H,E537,'TRA TECH'!$I:$I,F537)=0,"*",IF(SUMIFS('TRA RESID'!$P:$P,'TRA RESID'!$H:$H,$E537,'TRA RESID'!$I:$I,$F537)=0,"*","UC_MarketShare_"&amp;LEFT(F537,LEN(F537)-3)&amp;"_"&amp;RIGHT(E537,3)&amp;"_MIN"))))</f>
        <v>UC_MarketShare_TRAOTHWAT_DSL_MIN</v>
      </c>
      <c r="D537" s="16"/>
      <c r="E537" s="17" t="str">
        <f>_xlfn.XLOOKUP($A537,Selected_constraint!$A:$A,Selected_constraint!$B:$B)</f>
        <v>TRADSL</v>
      </c>
      <c r="F537" s="17" t="str">
        <f>_xlfn.XLOOKUP($A537,Selected_constraint!$A:$A,Selected_constraint!$C:$C)</f>
        <v>TRAOTHWATDMD</v>
      </c>
      <c r="G537" s="17" t="str">
        <f>F537</f>
        <v>TRAOTHWATDMD</v>
      </c>
      <c r="H537" s="18">
        <v>2019</v>
      </c>
      <c r="I537" s="18" t="s">
        <v>483</v>
      </c>
      <c r="J537" s="18">
        <v>1</v>
      </c>
      <c r="K537" s="20">
        <f>-SUMIFS('TRA RESID'!$P:$P,'TRA RESID'!$H:$H,$E537,'TRA RESID'!$I:$I,$F537)/SUMIFS('TRA RESID'!$P:$P,'TRA RESID'!$I:$I,$F537)*O537</f>
        <v>-0.98</v>
      </c>
      <c r="L537" s="18">
        <v>0</v>
      </c>
      <c r="M537" s="18">
        <v>5</v>
      </c>
      <c r="N537" s="9"/>
      <c r="O537" s="21">
        <v>0.98</v>
      </c>
      <c r="Q537" s="15" t="str">
        <f t="shared" si="160"/>
        <v>UC_MarketShare_TRAOTHWAT_DSL_MAX</v>
      </c>
      <c r="R537" s="16"/>
      <c r="S537" s="17" t="str">
        <f t="shared" si="162"/>
        <v>TRADSL</v>
      </c>
      <c r="T537" s="17" t="str">
        <f t="shared" si="163"/>
        <v>TRAOTHWATDMD</v>
      </c>
      <c r="U537" s="17" t="str">
        <f t="shared" si="164"/>
        <v>TRAOTHWATDMD</v>
      </c>
      <c r="V537" s="18">
        <v>2019</v>
      </c>
      <c r="W537" s="18" t="s">
        <v>484</v>
      </c>
      <c r="X537" s="18">
        <v>1</v>
      </c>
      <c r="Y537" s="20">
        <f>-MIN(SUMIFS('TRA RESID'!$P:$P,'TRA RESID'!$H:$H,$E537,'TRA RESID'!$I:$I,$F537)/SUMIFS('TRA RESID'!$P:$P,'TRA RESID'!$I:$I,$F537)*AC537,1)</f>
        <v>-1</v>
      </c>
      <c r="Z537" s="18">
        <v>0</v>
      </c>
      <c r="AA537" s="18">
        <v>5</v>
      </c>
      <c r="AB537" s="9"/>
      <c r="AC537" s="21">
        <v>1.02</v>
      </c>
    </row>
    <row r="538" spans="1:29" x14ac:dyDescent="0.25">
      <c r="A538" s="9">
        <f>A537</f>
        <v>134</v>
      </c>
      <c r="B538" s="9"/>
      <c r="C538" s="15" t="str">
        <f>IF(C537="*",C537,"")</f>
        <v/>
      </c>
      <c r="D538" s="16"/>
      <c r="E538" s="17" t="str">
        <f t="shared" ref="E538:G540" si="169">E537</f>
        <v>TRADSL</v>
      </c>
      <c r="F538" s="17" t="str">
        <f t="shared" si="169"/>
        <v>TRAOTHWATDMD</v>
      </c>
      <c r="G538" s="17" t="str">
        <f t="shared" si="169"/>
        <v>TRAOTHWATDMD</v>
      </c>
      <c r="H538" s="18">
        <v>2025</v>
      </c>
      <c r="I538" s="18" t="str">
        <f>I537</f>
        <v>LO</v>
      </c>
      <c r="J538" s="18"/>
      <c r="K538" s="20">
        <f>-SUMIFS('TRA RESID'!$P:$P,'TRA RESID'!$H:$H,$E538,'TRA RESID'!$I:$I,$F538)/SUMIFS('TRA RESID'!$P:$P,'TRA RESID'!$I:$I,$F538)*O538</f>
        <v>-0.8</v>
      </c>
      <c r="L538" s="18"/>
      <c r="M538" s="18"/>
      <c r="N538" s="9"/>
      <c r="O538" s="21">
        <v>0.8</v>
      </c>
      <c r="Q538" s="15" t="str">
        <f t="shared" si="160"/>
        <v/>
      </c>
      <c r="R538" s="16"/>
      <c r="S538" s="17" t="str">
        <f t="shared" si="162"/>
        <v>TRADSL</v>
      </c>
      <c r="T538" s="17" t="str">
        <f t="shared" si="163"/>
        <v>TRAOTHWATDMD</v>
      </c>
      <c r="U538" s="17" t="str">
        <f t="shared" si="164"/>
        <v>TRAOTHWATDMD</v>
      </c>
      <c r="V538" s="18">
        <v>2025</v>
      </c>
      <c r="W538" s="18" t="str">
        <f>W537</f>
        <v>UP</v>
      </c>
      <c r="X538" s="18"/>
      <c r="Y538" s="20">
        <f>-MIN(SUMIFS('TRA RESID'!$P:$P,'TRA RESID'!$H:$H,$E538,'TRA RESID'!$I:$I,$F538)/SUMIFS('TRA RESID'!$P:$P,'TRA RESID'!$I:$I,$F538)*AC538,1)</f>
        <v>-1</v>
      </c>
      <c r="Z538" s="18"/>
      <c r="AA538" s="18"/>
      <c r="AB538" s="9"/>
      <c r="AC538" s="21">
        <v>1.2</v>
      </c>
    </row>
    <row r="539" spans="1:29" x14ac:dyDescent="0.25">
      <c r="A539" s="9">
        <f>A538</f>
        <v>134</v>
      </c>
      <c r="B539" s="9"/>
      <c r="C539" s="15" t="str">
        <f>IF(C538="*",C538,"")</f>
        <v/>
      </c>
      <c r="D539" s="16"/>
      <c r="E539" s="17" t="str">
        <f t="shared" si="169"/>
        <v>TRADSL</v>
      </c>
      <c r="F539" s="17" t="str">
        <f t="shared" si="169"/>
        <v>TRAOTHWATDMD</v>
      </c>
      <c r="G539" s="17" t="str">
        <f t="shared" si="169"/>
        <v>TRAOTHWATDMD</v>
      </c>
      <c r="H539" s="18">
        <v>2030</v>
      </c>
      <c r="I539" s="18" t="str">
        <f>I538</f>
        <v>LO</v>
      </c>
      <c r="J539" s="18"/>
      <c r="K539" s="20">
        <f>-SUMIFS('TRA RESID'!$P:$P,'TRA RESID'!$H:$H,$E539,'TRA RESID'!$I:$I,$F539)/SUMIFS('TRA RESID'!$P:$P,'TRA RESID'!$I:$I,$F539)*O539</f>
        <v>-0.2</v>
      </c>
      <c r="L539" s="18"/>
      <c r="M539" s="18"/>
      <c r="N539" s="9"/>
      <c r="O539" s="21">
        <v>0.2</v>
      </c>
      <c r="Q539" s="15" t="str">
        <f t="shared" si="160"/>
        <v/>
      </c>
      <c r="R539" s="16"/>
      <c r="S539" s="17" t="str">
        <f t="shared" si="162"/>
        <v>TRADSL</v>
      </c>
      <c r="T539" s="17" t="str">
        <f t="shared" si="163"/>
        <v>TRAOTHWATDMD</v>
      </c>
      <c r="U539" s="17" t="str">
        <f t="shared" si="164"/>
        <v>TRAOTHWATDMD</v>
      </c>
      <c r="V539" s="18">
        <v>2030</v>
      </c>
      <c r="W539" s="18" t="str">
        <f>W538</f>
        <v>UP</v>
      </c>
      <c r="X539" s="18"/>
      <c r="Y539" s="20">
        <f>-MIN(SUMIFS('TRA RESID'!$P:$P,'TRA RESID'!$H:$H,$E539,'TRA RESID'!$I:$I,$F539)/SUMIFS('TRA RESID'!$P:$P,'TRA RESID'!$I:$I,$F539)*AC539,1)</f>
        <v>-1</v>
      </c>
      <c r="Z539" s="18"/>
      <c r="AA539" s="18"/>
      <c r="AB539" s="9"/>
      <c r="AC539" s="21">
        <v>1.5</v>
      </c>
    </row>
    <row r="540" spans="1:29" x14ac:dyDescent="0.25">
      <c r="A540" s="22">
        <f>A539</f>
        <v>134</v>
      </c>
      <c r="B540" s="22"/>
      <c r="C540" s="23" t="str">
        <f>IF(C539="*",C539,"")</f>
        <v/>
      </c>
      <c r="D540" s="24"/>
      <c r="E540" s="25" t="str">
        <f t="shared" si="169"/>
        <v>TRADSL</v>
      </c>
      <c r="F540" s="25" t="str">
        <f t="shared" si="169"/>
        <v>TRAOTHWATDMD</v>
      </c>
      <c r="G540" s="25" t="str">
        <f t="shared" si="169"/>
        <v>TRAOTHWATDMD</v>
      </c>
      <c r="H540" s="26">
        <v>2050</v>
      </c>
      <c r="I540" s="26" t="str">
        <f>I539</f>
        <v>LO</v>
      </c>
      <c r="J540" s="26"/>
      <c r="K540" s="27">
        <f>-SUMIFS('TRA RESID'!$P:$P,'TRA RESID'!$H:$H,$E540,'TRA RESID'!$I:$I,$F540)/SUMIFS('TRA RESID'!$P:$P,'TRA RESID'!$I:$I,$F540)*O540</f>
        <v>0</v>
      </c>
      <c r="L540" s="26"/>
      <c r="M540" s="26"/>
      <c r="N540" s="22"/>
      <c r="O540" s="28">
        <v>0</v>
      </c>
      <c r="Q540" s="23" t="str">
        <f t="shared" si="160"/>
        <v/>
      </c>
      <c r="R540" s="24"/>
      <c r="S540" s="25" t="str">
        <f t="shared" si="162"/>
        <v>TRADSL</v>
      </c>
      <c r="T540" s="25" t="str">
        <f t="shared" si="163"/>
        <v>TRAOTHWATDMD</v>
      </c>
      <c r="U540" s="25" t="str">
        <f t="shared" si="164"/>
        <v>TRAOTHWATDMD</v>
      </c>
      <c r="V540" s="26">
        <v>2050</v>
      </c>
      <c r="W540" s="26" t="str">
        <f>W539</f>
        <v>UP</v>
      </c>
      <c r="X540" s="26"/>
      <c r="Y540" s="27">
        <f>-MIN(SUMIFS('TRA RESID'!$P:$P,'TRA RESID'!$H:$H,$E540,'TRA RESID'!$I:$I,$F540)/SUMIFS('TRA RESID'!$P:$P,'TRA RESID'!$I:$I,$F540)*AC540,1)</f>
        <v>-1</v>
      </c>
      <c r="Z540" s="26"/>
      <c r="AA540" s="26"/>
      <c r="AB540" s="22"/>
      <c r="AC540" s="28">
        <v>3</v>
      </c>
    </row>
    <row r="541" spans="1:29" x14ac:dyDescent="0.25">
      <c r="A541" s="14">
        <f>A537+1</f>
        <v>135</v>
      </c>
      <c r="B541" s="9"/>
      <c r="C541" s="15" t="str">
        <f>IF(E541="","",IF(_xlfn.XLOOKUP($A541,Selected_constraint!$A:$A,Selected_constraint!$D:$D)=1,"*",IF(SUMIFS('TRA TECH'!$M:$M,'TRA TECH'!$H:$H,E541,'TRA TECH'!$I:$I,F541)=0,"*",IF(SUMIFS('TRA RESID'!$P:$P,'TRA RESID'!$H:$H,$E541,'TRA RESID'!$I:$I,$F541)=0,"*","UC_MarketShare_"&amp;LEFT(F541,LEN(F541)-3)&amp;"_"&amp;RIGHT(E541,3)&amp;"_MIN"))))</f>
        <v>*</v>
      </c>
      <c r="D541" s="16"/>
      <c r="E541" s="17" t="str">
        <f>_xlfn.XLOOKUP($A541,Selected_constraint!$A:$A,Selected_constraint!$B:$B)</f>
        <v>TRARDS</v>
      </c>
      <c r="F541" s="17" t="str">
        <f>_xlfn.XLOOKUP($A541,Selected_constraint!$A:$A,Selected_constraint!$C:$C)</f>
        <v>TRAOTHWATDMD</v>
      </c>
      <c r="G541" s="17" t="str">
        <f>F541</f>
        <v>TRAOTHWATDMD</v>
      </c>
      <c r="H541" s="18">
        <v>2019</v>
      </c>
      <c r="I541" s="18" t="s">
        <v>483</v>
      </c>
      <c r="J541" s="18">
        <v>1</v>
      </c>
      <c r="K541" s="20">
        <f>-SUMIFS('TRA RESID'!$P:$P,'TRA RESID'!$H:$H,$E541,'TRA RESID'!$I:$I,$F541)/SUMIFS('TRA RESID'!$P:$P,'TRA RESID'!$I:$I,$F541)*O541</f>
        <v>0</v>
      </c>
      <c r="L541" s="18">
        <v>0</v>
      </c>
      <c r="M541" s="18">
        <v>5</v>
      </c>
      <c r="N541" s="9"/>
      <c r="O541" s="21">
        <v>0.98</v>
      </c>
      <c r="Q541" s="15" t="str">
        <f t="shared" si="160"/>
        <v>*</v>
      </c>
      <c r="R541" s="16"/>
      <c r="S541" s="17" t="str">
        <f t="shared" si="162"/>
        <v>TRARDS</v>
      </c>
      <c r="T541" s="17" t="str">
        <f t="shared" si="163"/>
        <v>TRAOTHWATDMD</v>
      </c>
      <c r="U541" s="17" t="str">
        <f t="shared" si="164"/>
        <v>TRAOTHWATDMD</v>
      </c>
      <c r="V541" s="18">
        <v>2019</v>
      </c>
      <c r="W541" s="18" t="s">
        <v>484</v>
      </c>
      <c r="X541" s="18">
        <v>1</v>
      </c>
      <c r="Y541" s="20">
        <f>-MIN(SUMIFS('TRA RESID'!$P:$P,'TRA RESID'!$H:$H,$E541,'TRA RESID'!$I:$I,$F541)/SUMIFS('TRA RESID'!$P:$P,'TRA RESID'!$I:$I,$F541)*AC541,1)</f>
        <v>0</v>
      </c>
      <c r="Z541" s="18">
        <v>0</v>
      </c>
      <c r="AA541" s="18">
        <v>5</v>
      </c>
      <c r="AB541" s="9"/>
      <c r="AC541" s="21">
        <v>1.02</v>
      </c>
    </row>
    <row r="542" spans="1:29" x14ac:dyDescent="0.25">
      <c r="A542" s="9">
        <f>A541</f>
        <v>135</v>
      </c>
      <c r="B542" s="9"/>
      <c r="C542" s="15" t="str">
        <f>IF(C541="*",C541,"")</f>
        <v>*</v>
      </c>
      <c r="D542" s="16"/>
      <c r="E542" s="17" t="str">
        <f t="shared" ref="E542:G544" si="170">E541</f>
        <v>TRARDS</v>
      </c>
      <c r="F542" s="17" t="str">
        <f t="shared" si="170"/>
        <v>TRAOTHWATDMD</v>
      </c>
      <c r="G542" s="17" t="str">
        <f t="shared" si="170"/>
        <v>TRAOTHWATDMD</v>
      </c>
      <c r="H542" s="18">
        <v>2025</v>
      </c>
      <c r="I542" s="18" t="str">
        <f>I541</f>
        <v>LO</v>
      </c>
      <c r="J542" s="18"/>
      <c r="K542" s="20">
        <f>-SUMIFS('TRA RESID'!$P:$P,'TRA RESID'!$H:$H,$E542,'TRA RESID'!$I:$I,$F542)/SUMIFS('TRA RESID'!$P:$P,'TRA RESID'!$I:$I,$F542)*O542</f>
        <v>0</v>
      </c>
      <c r="L542" s="18"/>
      <c r="M542" s="18"/>
      <c r="N542" s="9"/>
      <c r="O542" s="21">
        <v>0.8</v>
      </c>
      <c r="Q542" s="15" t="str">
        <f t="shared" si="160"/>
        <v>*</v>
      </c>
      <c r="R542" s="16"/>
      <c r="S542" s="17" t="str">
        <f t="shared" si="162"/>
        <v>TRARDS</v>
      </c>
      <c r="T542" s="17" t="str">
        <f t="shared" si="163"/>
        <v>TRAOTHWATDMD</v>
      </c>
      <c r="U542" s="17" t="str">
        <f t="shared" si="164"/>
        <v>TRAOTHWATDMD</v>
      </c>
      <c r="V542" s="18">
        <v>2025</v>
      </c>
      <c r="W542" s="18" t="str">
        <f>W541</f>
        <v>UP</v>
      </c>
      <c r="X542" s="18"/>
      <c r="Y542" s="20">
        <f>-MIN(SUMIFS('TRA RESID'!$P:$P,'TRA RESID'!$H:$H,$E542,'TRA RESID'!$I:$I,$F542)/SUMIFS('TRA RESID'!$P:$P,'TRA RESID'!$I:$I,$F542)*AC542,1)</f>
        <v>0</v>
      </c>
      <c r="Z542" s="18"/>
      <c r="AA542" s="18"/>
      <c r="AB542" s="9"/>
      <c r="AC542" s="21">
        <v>1.2</v>
      </c>
    </row>
    <row r="543" spans="1:29" x14ac:dyDescent="0.25">
      <c r="A543" s="9">
        <f>A542</f>
        <v>135</v>
      </c>
      <c r="B543" s="9"/>
      <c r="C543" s="15" t="str">
        <f>IF(C542="*",C542,"")</f>
        <v>*</v>
      </c>
      <c r="D543" s="16"/>
      <c r="E543" s="17" t="str">
        <f t="shared" si="170"/>
        <v>TRARDS</v>
      </c>
      <c r="F543" s="17" t="str">
        <f t="shared" si="170"/>
        <v>TRAOTHWATDMD</v>
      </c>
      <c r="G543" s="17" t="str">
        <f t="shared" si="170"/>
        <v>TRAOTHWATDMD</v>
      </c>
      <c r="H543" s="18">
        <v>2030</v>
      </c>
      <c r="I543" s="18" t="str">
        <f>I542</f>
        <v>LO</v>
      </c>
      <c r="J543" s="18"/>
      <c r="K543" s="20">
        <f>-SUMIFS('TRA RESID'!$P:$P,'TRA RESID'!$H:$H,$E543,'TRA RESID'!$I:$I,$F543)/SUMIFS('TRA RESID'!$P:$P,'TRA RESID'!$I:$I,$F543)*O543</f>
        <v>0</v>
      </c>
      <c r="L543" s="18"/>
      <c r="M543" s="18"/>
      <c r="N543" s="9"/>
      <c r="O543" s="21">
        <v>0.2</v>
      </c>
      <c r="Q543" s="15" t="str">
        <f t="shared" si="160"/>
        <v>*</v>
      </c>
      <c r="R543" s="16"/>
      <c r="S543" s="17" t="str">
        <f t="shared" si="162"/>
        <v>TRARDS</v>
      </c>
      <c r="T543" s="17" t="str">
        <f t="shared" si="163"/>
        <v>TRAOTHWATDMD</v>
      </c>
      <c r="U543" s="17" t="str">
        <f t="shared" si="164"/>
        <v>TRAOTHWATDMD</v>
      </c>
      <c r="V543" s="18">
        <v>2030</v>
      </c>
      <c r="W543" s="18" t="str">
        <f>W542</f>
        <v>UP</v>
      </c>
      <c r="X543" s="18"/>
      <c r="Y543" s="20">
        <f>-MIN(SUMIFS('TRA RESID'!$P:$P,'TRA RESID'!$H:$H,$E543,'TRA RESID'!$I:$I,$F543)/SUMIFS('TRA RESID'!$P:$P,'TRA RESID'!$I:$I,$F543)*AC543,1)</f>
        <v>0</v>
      </c>
      <c r="Z543" s="18"/>
      <c r="AA543" s="18"/>
      <c r="AB543" s="9"/>
      <c r="AC543" s="21">
        <v>1.5</v>
      </c>
    </row>
    <row r="544" spans="1:29" x14ac:dyDescent="0.25">
      <c r="A544" s="22">
        <f>A543</f>
        <v>135</v>
      </c>
      <c r="B544" s="22"/>
      <c r="C544" s="23" t="str">
        <f>IF(C543="*",C543,"")</f>
        <v>*</v>
      </c>
      <c r="D544" s="24"/>
      <c r="E544" s="25" t="str">
        <f t="shared" si="170"/>
        <v>TRARDS</v>
      </c>
      <c r="F544" s="25" t="str">
        <f t="shared" si="170"/>
        <v>TRAOTHWATDMD</v>
      </c>
      <c r="G544" s="25" t="str">
        <f t="shared" si="170"/>
        <v>TRAOTHWATDMD</v>
      </c>
      <c r="H544" s="26">
        <v>2050</v>
      </c>
      <c r="I544" s="26" t="str">
        <f>I543</f>
        <v>LO</v>
      </c>
      <c r="J544" s="26"/>
      <c r="K544" s="27">
        <f>-SUMIFS('TRA RESID'!$P:$P,'TRA RESID'!$H:$H,$E544,'TRA RESID'!$I:$I,$F544)/SUMIFS('TRA RESID'!$P:$P,'TRA RESID'!$I:$I,$F544)*O544</f>
        <v>0</v>
      </c>
      <c r="L544" s="26"/>
      <c r="M544" s="26"/>
      <c r="N544" s="22"/>
      <c r="O544" s="28">
        <v>0</v>
      </c>
      <c r="Q544" s="23" t="str">
        <f t="shared" si="160"/>
        <v>*</v>
      </c>
      <c r="R544" s="24"/>
      <c r="S544" s="25" t="str">
        <f t="shared" si="162"/>
        <v>TRARDS</v>
      </c>
      <c r="T544" s="25" t="str">
        <f t="shared" si="163"/>
        <v>TRAOTHWATDMD</v>
      </c>
      <c r="U544" s="25" t="str">
        <f t="shared" si="164"/>
        <v>TRAOTHWATDMD</v>
      </c>
      <c r="V544" s="26">
        <v>2050</v>
      </c>
      <c r="W544" s="26" t="str">
        <f>W543</f>
        <v>UP</v>
      </c>
      <c r="X544" s="26"/>
      <c r="Y544" s="27">
        <f>-MIN(SUMIFS('TRA RESID'!$P:$P,'TRA RESID'!$H:$H,$E544,'TRA RESID'!$I:$I,$F544)/SUMIFS('TRA RESID'!$P:$P,'TRA RESID'!$I:$I,$F544)*AC544,1)</f>
        <v>0</v>
      </c>
      <c r="Z544" s="26"/>
      <c r="AA544" s="26"/>
      <c r="AB544" s="22"/>
      <c r="AC544" s="28">
        <v>3</v>
      </c>
    </row>
    <row r="545" spans="1:29" x14ac:dyDescent="0.25">
      <c r="A545" s="14">
        <f>A541+1</f>
        <v>136</v>
      </c>
      <c r="B545" s="9"/>
      <c r="C545" s="15" t="str">
        <f>IF(E545="","",IF(_xlfn.XLOOKUP($A545,Selected_constraint!$A:$A,Selected_constraint!$D:$D)=1,"*",IF(SUMIFS('TRA TECH'!$M:$M,'TRA TECH'!$H:$H,E545,'TRA TECH'!$I:$I,F545)=0,"*",IF(SUMIFS('TRA RESID'!$P:$P,'TRA RESID'!$H:$H,$E545,'TRA RESID'!$I:$I,$F545)=0,"*","UC_MarketShare_"&amp;LEFT(F545,LEN(F545)-3)&amp;"_"&amp;RIGHT(E545,3)&amp;"_MIN"))))</f>
        <v>*</v>
      </c>
      <c r="D545" s="16"/>
      <c r="E545" s="17" t="str">
        <f>_xlfn.XLOOKUP($A545,Selected_constraint!$A:$A,Selected_constraint!$B:$B)</f>
        <v>TRABDS</v>
      </c>
      <c r="F545" s="17" t="str">
        <f>_xlfn.XLOOKUP($A545,Selected_constraint!$A:$A,Selected_constraint!$C:$C)</f>
        <v>TRAOTHWATDMD</v>
      </c>
      <c r="G545" s="17" t="str">
        <f>F545</f>
        <v>TRAOTHWATDMD</v>
      </c>
      <c r="H545" s="18">
        <v>2019</v>
      </c>
      <c r="I545" s="18" t="s">
        <v>483</v>
      </c>
      <c r="J545" s="18">
        <v>1</v>
      </c>
      <c r="K545" s="20">
        <f>-SUMIFS('TRA RESID'!$P:$P,'TRA RESID'!$H:$H,$E545,'TRA RESID'!$I:$I,$F545)/SUMIFS('TRA RESID'!$P:$P,'TRA RESID'!$I:$I,$F545)*O545</f>
        <v>0</v>
      </c>
      <c r="L545" s="18">
        <v>0</v>
      </c>
      <c r="M545" s="18">
        <v>5</v>
      </c>
      <c r="N545" s="9"/>
      <c r="O545" s="21">
        <v>0.98</v>
      </c>
      <c r="Q545" s="15" t="str">
        <f t="shared" si="160"/>
        <v>*</v>
      </c>
      <c r="R545" s="16"/>
      <c r="S545" s="17" t="str">
        <f t="shared" si="162"/>
        <v>TRABDS</v>
      </c>
      <c r="T545" s="17" t="str">
        <f t="shared" si="163"/>
        <v>TRAOTHWATDMD</v>
      </c>
      <c r="U545" s="17" t="str">
        <f t="shared" si="164"/>
        <v>TRAOTHWATDMD</v>
      </c>
      <c r="V545" s="18">
        <v>2019</v>
      </c>
      <c r="W545" s="18" t="s">
        <v>484</v>
      </c>
      <c r="X545" s="18">
        <v>1</v>
      </c>
      <c r="Y545" s="20">
        <f>-MIN(SUMIFS('TRA RESID'!$P:$P,'TRA RESID'!$H:$H,$E545,'TRA RESID'!$I:$I,$F545)/SUMIFS('TRA RESID'!$P:$P,'TRA RESID'!$I:$I,$F545)*AC545,1)</f>
        <v>0</v>
      </c>
      <c r="Z545" s="18">
        <v>0</v>
      </c>
      <c r="AA545" s="18">
        <v>5</v>
      </c>
      <c r="AB545" s="9"/>
      <c r="AC545" s="21">
        <v>1.02</v>
      </c>
    </row>
    <row r="546" spans="1:29" x14ac:dyDescent="0.25">
      <c r="A546" s="9">
        <f>A545</f>
        <v>136</v>
      </c>
      <c r="B546" s="9"/>
      <c r="C546" s="15" t="str">
        <f>IF(C545="*",C545,"")</f>
        <v>*</v>
      </c>
      <c r="D546" s="16"/>
      <c r="E546" s="17" t="str">
        <f t="shared" ref="E546:G548" si="171">E545</f>
        <v>TRABDS</v>
      </c>
      <c r="F546" s="17" t="str">
        <f t="shared" si="171"/>
        <v>TRAOTHWATDMD</v>
      </c>
      <c r="G546" s="17" t="str">
        <f t="shared" si="171"/>
        <v>TRAOTHWATDMD</v>
      </c>
      <c r="H546" s="18">
        <v>2025</v>
      </c>
      <c r="I546" s="18" t="str">
        <f>I545</f>
        <v>LO</v>
      </c>
      <c r="J546" s="18"/>
      <c r="K546" s="20">
        <f>-SUMIFS('TRA RESID'!$P:$P,'TRA RESID'!$H:$H,$E546,'TRA RESID'!$I:$I,$F546)/SUMIFS('TRA RESID'!$P:$P,'TRA RESID'!$I:$I,$F546)*O546</f>
        <v>0</v>
      </c>
      <c r="L546" s="18"/>
      <c r="M546" s="18"/>
      <c r="N546" s="9"/>
      <c r="O546" s="21">
        <v>0.8</v>
      </c>
      <c r="Q546" s="15" t="str">
        <f t="shared" si="160"/>
        <v>*</v>
      </c>
      <c r="R546" s="16"/>
      <c r="S546" s="17" t="str">
        <f t="shared" si="162"/>
        <v>TRABDS</v>
      </c>
      <c r="T546" s="17" t="str">
        <f t="shared" si="163"/>
        <v>TRAOTHWATDMD</v>
      </c>
      <c r="U546" s="17" t="str">
        <f t="shared" si="164"/>
        <v>TRAOTHWATDMD</v>
      </c>
      <c r="V546" s="18">
        <v>2025</v>
      </c>
      <c r="W546" s="18" t="str">
        <f>W545</f>
        <v>UP</v>
      </c>
      <c r="X546" s="18"/>
      <c r="Y546" s="20">
        <f>-MIN(SUMIFS('TRA RESID'!$P:$P,'TRA RESID'!$H:$H,$E546,'TRA RESID'!$I:$I,$F546)/SUMIFS('TRA RESID'!$P:$P,'TRA RESID'!$I:$I,$F546)*AC546,1)</f>
        <v>0</v>
      </c>
      <c r="Z546" s="18"/>
      <c r="AA546" s="18"/>
      <c r="AB546" s="9"/>
      <c r="AC546" s="21">
        <v>1.2</v>
      </c>
    </row>
    <row r="547" spans="1:29" x14ac:dyDescent="0.25">
      <c r="A547" s="9">
        <f>A546</f>
        <v>136</v>
      </c>
      <c r="B547" s="9"/>
      <c r="C547" s="15" t="str">
        <f>IF(C546="*",C546,"")</f>
        <v>*</v>
      </c>
      <c r="D547" s="16"/>
      <c r="E547" s="17" t="str">
        <f t="shared" si="171"/>
        <v>TRABDS</v>
      </c>
      <c r="F547" s="17" t="str">
        <f t="shared" si="171"/>
        <v>TRAOTHWATDMD</v>
      </c>
      <c r="G547" s="17" t="str">
        <f t="shared" si="171"/>
        <v>TRAOTHWATDMD</v>
      </c>
      <c r="H547" s="18">
        <v>2030</v>
      </c>
      <c r="I547" s="18" t="str">
        <f>I546</f>
        <v>LO</v>
      </c>
      <c r="J547" s="18"/>
      <c r="K547" s="20">
        <f>-SUMIFS('TRA RESID'!$P:$P,'TRA RESID'!$H:$H,$E547,'TRA RESID'!$I:$I,$F547)/SUMIFS('TRA RESID'!$P:$P,'TRA RESID'!$I:$I,$F547)*O547</f>
        <v>0</v>
      </c>
      <c r="L547" s="18"/>
      <c r="M547" s="18"/>
      <c r="N547" s="9"/>
      <c r="O547" s="21">
        <v>0.2</v>
      </c>
      <c r="Q547" s="15" t="str">
        <f t="shared" si="160"/>
        <v>*</v>
      </c>
      <c r="R547" s="16"/>
      <c r="S547" s="17" t="str">
        <f t="shared" si="162"/>
        <v>TRABDS</v>
      </c>
      <c r="T547" s="17" t="str">
        <f t="shared" si="163"/>
        <v>TRAOTHWATDMD</v>
      </c>
      <c r="U547" s="17" t="str">
        <f t="shared" si="164"/>
        <v>TRAOTHWATDMD</v>
      </c>
      <c r="V547" s="18">
        <v>2030</v>
      </c>
      <c r="W547" s="18" t="str">
        <f>W546</f>
        <v>UP</v>
      </c>
      <c r="X547" s="18"/>
      <c r="Y547" s="20">
        <f>-MIN(SUMIFS('TRA RESID'!$P:$P,'TRA RESID'!$H:$H,$E547,'TRA RESID'!$I:$I,$F547)/SUMIFS('TRA RESID'!$P:$P,'TRA RESID'!$I:$I,$F547)*AC547,1)</f>
        <v>0</v>
      </c>
      <c r="Z547" s="18"/>
      <c r="AA547" s="18"/>
      <c r="AB547" s="9"/>
      <c r="AC547" s="21">
        <v>1.5</v>
      </c>
    </row>
    <row r="548" spans="1:29" x14ac:dyDescent="0.25">
      <c r="A548" s="22">
        <f>A547</f>
        <v>136</v>
      </c>
      <c r="B548" s="22"/>
      <c r="C548" s="23" t="str">
        <f>IF(C547="*",C547,"")</f>
        <v>*</v>
      </c>
      <c r="D548" s="24"/>
      <c r="E548" s="25" t="str">
        <f t="shared" si="171"/>
        <v>TRABDS</v>
      </c>
      <c r="F548" s="25" t="str">
        <f t="shared" si="171"/>
        <v>TRAOTHWATDMD</v>
      </c>
      <c r="G548" s="25" t="str">
        <f t="shared" si="171"/>
        <v>TRAOTHWATDMD</v>
      </c>
      <c r="H548" s="26">
        <v>2050</v>
      </c>
      <c r="I548" s="26" t="str">
        <f>I547</f>
        <v>LO</v>
      </c>
      <c r="J548" s="26"/>
      <c r="K548" s="27">
        <f>-SUMIFS('TRA RESID'!$P:$P,'TRA RESID'!$H:$H,$E548,'TRA RESID'!$I:$I,$F548)/SUMIFS('TRA RESID'!$P:$P,'TRA RESID'!$I:$I,$F548)*O548</f>
        <v>0</v>
      </c>
      <c r="L548" s="26"/>
      <c r="M548" s="26"/>
      <c r="N548" s="22"/>
      <c r="O548" s="28">
        <v>0</v>
      </c>
      <c r="Q548" s="23" t="str">
        <f t="shared" si="160"/>
        <v>*</v>
      </c>
      <c r="R548" s="24"/>
      <c r="S548" s="25" t="str">
        <f t="shared" si="162"/>
        <v>TRABDS</v>
      </c>
      <c r="T548" s="25" t="str">
        <f t="shared" si="163"/>
        <v>TRAOTHWATDMD</v>
      </c>
      <c r="U548" s="25" t="str">
        <f t="shared" si="164"/>
        <v>TRAOTHWATDMD</v>
      </c>
      <c r="V548" s="26">
        <v>2050</v>
      </c>
      <c r="W548" s="26" t="str">
        <f>W547</f>
        <v>UP</v>
      </c>
      <c r="X548" s="26"/>
      <c r="Y548" s="27">
        <f>-MIN(SUMIFS('TRA RESID'!$P:$P,'TRA RESID'!$H:$H,$E548,'TRA RESID'!$I:$I,$F548)/SUMIFS('TRA RESID'!$P:$P,'TRA RESID'!$I:$I,$F548)*AC548,1)</f>
        <v>0</v>
      </c>
      <c r="Z548" s="26"/>
      <c r="AA548" s="26"/>
      <c r="AB548" s="22"/>
      <c r="AC548" s="28">
        <v>3</v>
      </c>
    </row>
    <row r="549" spans="1:29" x14ac:dyDescent="0.25">
      <c r="A549" s="14">
        <f>A545+1</f>
        <v>137</v>
      </c>
      <c r="B549" s="9"/>
      <c r="C549" s="15" t="str">
        <f>IF(E549="","",IF(_xlfn.XLOOKUP($A549,Selected_constraint!$A:$A,Selected_constraint!$D:$D)=1,"*",IF(SUMIFS('TRA TECH'!$M:$M,'TRA TECH'!$H:$H,E549,'TRA TECH'!$I:$I,F549)=0,"*",IF(SUMIFS('TRA RESID'!$P:$P,'TRA RESID'!$H:$H,$E549,'TRA RESID'!$I:$I,$F549)=0,"*","UC_MarketShare_"&amp;LEFT(F549,LEN(F549)-3)&amp;"_"&amp;RIGHT(E549,3)&amp;"_MIN"))))</f>
        <v>*</v>
      </c>
      <c r="D549" s="16"/>
      <c r="E549" s="17" t="str">
        <f>_xlfn.XLOOKUP($A549,Selected_constraint!$A:$A,Selected_constraint!$B:$B)</f>
        <v>TRAFOI</v>
      </c>
      <c r="F549" s="17" t="str">
        <f>_xlfn.XLOOKUP($A549,Selected_constraint!$A:$A,Selected_constraint!$C:$C)</f>
        <v>TRAOTHWATDMD</v>
      </c>
      <c r="G549" s="17" t="str">
        <f>F549</f>
        <v>TRAOTHWATDMD</v>
      </c>
      <c r="H549" s="18">
        <v>2019</v>
      </c>
      <c r="I549" s="18" t="s">
        <v>483</v>
      </c>
      <c r="J549" s="18">
        <v>1</v>
      </c>
      <c r="K549" s="20">
        <f>-SUMIFS('TRA RESID'!$P:$P,'TRA RESID'!$H:$H,$E549,'TRA RESID'!$I:$I,$F549)/SUMIFS('TRA RESID'!$P:$P,'TRA RESID'!$I:$I,$F549)*O549</f>
        <v>0</v>
      </c>
      <c r="L549" s="18">
        <v>0</v>
      </c>
      <c r="M549" s="18">
        <v>5</v>
      </c>
      <c r="N549" s="9"/>
      <c r="O549" s="21">
        <v>0.98</v>
      </c>
      <c r="Q549" s="15" t="str">
        <f t="shared" si="160"/>
        <v>*</v>
      </c>
      <c r="R549" s="16"/>
      <c r="S549" s="17" t="str">
        <f t="shared" si="162"/>
        <v>TRAFOI</v>
      </c>
      <c r="T549" s="17" t="str">
        <f t="shared" si="163"/>
        <v>TRAOTHWATDMD</v>
      </c>
      <c r="U549" s="17" t="str">
        <f t="shared" si="164"/>
        <v>TRAOTHWATDMD</v>
      </c>
      <c r="V549" s="18">
        <v>2019</v>
      </c>
      <c r="W549" s="18" t="s">
        <v>484</v>
      </c>
      <c r="X549" s="18">
        <v>1</v>
      </c>
      <c r="Y549" s="20">
        <f>-MIN(SUMIFS('TRA RESID'!$P:$P,'TRA RESID'!$H:$H,$E549,'TRA RESID'!$I:$I,$F549)/SUMIFS('TRA RESID'!$P:$P,'TRA RESID'!$I:$I,$F549)*AC549,1)</f>
        <v>0</v>
      </c>
      <c r="Z549" s="18">
        <v>0</v>
      </c>
      <c r="AA549" s="18">
        <v>5</v>
      </c>
      <c r="AB549" s="9"/>
      <c r="AC549" s="21">
        <v>1.02</v>
      </c>
    </row>
    <row r="550" spans="1:29" x14ac:dyDescent="0.25">
      <c r="A550" s="9">
        <f>A549</f>
        <v>137</v>
      </c>
      <c r="B550" s="9"/>
      <c r="C550" s="15" t="str">
        <f>IF(C549="*",C549,"")</f>
        <v>*</v>
      </c>
      <c r="D550" s="16"/>
      <c r="E550" s="17" t="str">
        <f t="shared" ref="E550:G552" si="172">E549</f>
        <v>TRAFOI</v>
      </c>
      <c r="F550" s="17" t="str">
        <f t="shared" si="172"/>
        <v>TRAOTHWATDMD</v>
      </c>
      <c r="G550" s="17" t="str">
        <f t="shared" si="172"/>
        <v>TRAOTHWATDMD</v>
      </c>
      <c r="H550" s="18">
        <v>2025</v>
      </c>
      <c r="I550" s="18" t="str">
        <f>I549</f>
        <v>LO</v>
      </c>
      <c r="J550" s="18"/>
      <c r="K550" s="20">
        <f>-SUMIFS('TRA RESID'!$P:$P,'TRA RESID'!$H:$H,$E550,'TRA RESID'!$I:$I,$F550)/SUMIFS('TRA RESID'!$P:$P,'TRA RESID'!$I:$I,$F550)*O550</f>
        <v>0</v>
      </c>
      <c r="L550" s="18"/>
      <c r="M550" s="18"/>
      <c r="N550" s="9"/>
      <c r="O550" s="21">
        <v>0.8</v>
      </c>
      <c r="Q550" s="15" t="str">
        <f t="shared" si="160"/>
        <v>*</v>
      </c>
      <c r="R550" s="16"/>
      <c r="S550" s="17" t="str">
        <f t="shared" si="162"/>
        <v>TRAFOI</v>
      </c>
      <c r="T550" s="17" t="str">
        <f t="shared" si="163"/>
        <v>TRAOTHWATDMD</v>
      </c>
      <c r="U550" s="17" t="str">
        <f t="shared" si="164"/>
        <v>TRAOTHWATDMD</v>
      </c>
      <c r="V550" s="18">
        <v>2025</v>
      </c>
      <c r="W550" s="18" t="str">
        <f>W549</f>
        <v>UP</v>
      </c>
      <c r="X550" s="18"/>
      <c r="Y550" s="20">
        <f>-MIN(SUMIFS('TRA RESID'!$P:$P,'TRA RESID'!$H:$H,$E550,'TRA RESID'!$I:$I,$F550)/SUMIFS('TRA RESID'!$P:$P,'TRA RESID'!$I:$I,$F550)*AC550,1)</f>
        <v>0</v>
      </c>
      <c r="Z550" s="18"/>
      <c r="AA550" s="18"/>
      <c r="AB550" s="9"/>
      <c r="AC550" s="21">
        <v>1.2</v>
      </c>
    </row>
    <row r="551" spans="1:29" x14ac:dyDescent="0.25">
      <c r="A551" s="9">
        <f>A550</f>
        <v>137</v>
      </c>
      <c r="B551" s="9"/>
      <c r="C551" s="15" t="str">
        <f>IF(C550="*",C550,"")</f>
        <v>*</v>
      </c>
      <c r="D551" s="16"/>
      <c r="E551" s="17" t="str">
        <f t="shared" si="172"/>
        <v>TRAFOI</v>
      </c>
      <c r="F551" s="17" t="str">
        <f t="shared" si="172"/>
        <v>TRAOTHWATDMD</v>
      </c>
      <c r="G551" s="17" t="str">
        <f t="shared" si="172"/>
        <v>TRAOTHWATDMD</v>
      </c>
      <c r="H551" s="18">
        <v>2030</v>
      </c>
      <c r="I551" s="18" t="str">
        <f>I550</f>
        <v>LO</v>
      </c>
      <c r="J551" s="18"/>
      <c r="K551" s="20">
        <f>-SUMIFS('TRA RESID'!$P:$P,'TRA RESID'!$H:$H,$E551,'TRA RESID'!$I:$I,$F551)/SUMIFS('TRA RESID'!$P:$P,'TRA RESID'!$I:$I,$F551)*O551</f>
        <v>0</v>
      </c>
      <c r="L551" s="18"/>
      <c r="M551" s="18"/>
      <c r="N551" s="9"/>
      <c r="O551" s="21">
        <v>0.2</v>
      </c>
      <c r="Q551" s="15" t="str">
        <f t="shared" si="160"/>
        <v>*</v>
      </c>
      <c r="R551" s="16"/>
      <c r="S551" s="17" t="str">
        <f t="shared" si="162"/>
        <v>TRAFOI</v>
      </c>
      <c r="T551" s="17" t="str">
        <f t="shared" si="163"/>
        <v>TRAOTHWATDMD</v>
      </c>
      <c r="U551" s="17" t="str">
        <f t="shared" si="164"/>
        <v>TRAOTHWATDMD</v>
      </c>
      <c r="V551" s="18">
        <v>2030</v>
      </c>
      <c r="W551" s="18" t="str">
        <f>W550</f>
        <v>UP</v>
      </c>
      <c r="X551" s="18"/>
      <c r="Y551" s="20">
        <f>-MIN(SUMIFS('TRA RESID'!$P:$P,'TRA RESID'!$H:$H,$E551,'TRA RESID'!$I:$I,$F551)/SUMIFS('TRA RESID'!$P:$P,'TRA RESID'!$I:$I,$F551)*AC551,1)</f>
        <v>0</v>
      </c>
      <c r="Z551" s="18"/>
      <c r="AA551" s="18"/>
      <c r="AB551" s="9"/>
      <c r="AC551" s="21">
        <v>1.5</v>
      </c>
    </row>
    <row r="552" spans="1:29" x14ac:dyDescent="0.25">
      <c r="A552" s="22">
        <f>A551</f>
        <v>137</v>
      </c>
      <c r="B552" s="22"/>
      <c r="C552" s="23" t="str">
        <f>IF(C551="*",C551,"")</f>
        <v>*</v>
      </c>
      <c r="D552" s="24"/>
      <c r="E552" s="25" t="str">
        <f t="shared" si="172"/>
        <v>TRAFOI</v>
      </c>
      <c r="F552" s="25" t="str">
        <f t="shared" si="172"/>
        <v>TRAOTHWATDMD</v>
      </c>
      <c r="G552" s="25" t="str">
        <f t="shared" si="172"/>
        <v>TRAOTHWATDMD</v>
      </c>
      <c r="H552" s="26">
        <v>2050</v>
      </c>
      <c r="I552" s="26" t="str">
        <f>I551</f>
        <v>LO</v>
      </c>
      <c r="J552" s="26"/>
      <c r="K552" s="27">
        <f>-SUMIFS('TRA RESID'!$P:$P,'TRA RESID'!$H:$H,$E552,'TRA RESID'!$I:$I,$F552)/SUMIFS('TRA RESID'!$P:$P,'TRA RESID'!$I:$I,$F552)*O552</f>
        <v>0</v>
      </c>
      <c r="L552" s="26"/>
      <c r="M552" s="26"/>
      <c r="N552" s="22"/>
      <c r="O552" s="28">
        <v>0</v>
      </c>
      <c r="Q552" s="23" t="str">
        <f t="shared" si="160"/>
        <v>*</v>
      </c>
      <c r="R552" s="24"/>
      <c r="S552" s="25" t="str">
        <f t="shared" si="162"/>
        <v>TRAFOI</v>
      </c>
      <c r="T552" s="25" t="str">
        <f t="shared" si="163"/>
        <v>TRAOTHWATDMD</v>
      </c>
      <c r="U552" s="25" t="str">
        <f t="shared" si="164"/>
        <v>TRAOTHWATDMD</v>
      </c>
      <c r="V552" s="26">
        <v>2050</v>
      </c>
      <c r="W552" s="26" t="str">
        <f>W551</f>
        <v>UP</v>
      </c>
      <c r="X552" s="26"/>
      <c r="Y552" s="27">
        <f>-MIN(SUMIFS('TRA RESID'!$P:$P,'TRA RESID'!$H:$H,$E552,'TRA RESID'!$I:$I,$F552)/SUMIFS('TRA RESID'!$P:$P,'TRA RESID'!$I:$I,$F552)*AC552,1)</f>
        <v>0</v>
      </c>
      <c r="Z552" s="26"/>
      <c r="AA552" s="26"/>
      <c r="AB552" s="22"/>
      <c r="AC552" s="28">
        <v>3</v>
      </c>
    </row>
    <row r="553" spans="1:29" x14ac:dyDescent="0.25">
      <c r="A553" s="14">
        <f>A549+1</f>
        <v>138</v>
      </c>
      <c r="B553" s="9"/>
      <c r="C553" s="15" t="str">
        <f>IF(E553="","",IF(_xlfn.XLOOKUP($A553,Selected_constraint!$A:$A,Selected_constraint!$D:$D)=1,"*",IF(SUMIFS('TRA TECH'!$M:$M,'TRA TECH'!$H:$H,E553,'TRA TECH'!$I:$I,F553)=0,"*",IF(SUMIFS('TRA RESID'!$P:$P,'TRA RESID'!$H:$H,$E553,'TRA RESID'!$I:$I,$F553)=0,"*","UC_MarketShare_"&amp;LEFT(F553,LEN(F553)-3)&amp;"_"&amp;RIGHT(E553,3)&amp;"_MIN"))))</f>
        <v>*</v>
      </c>
      <c r="D553" s="16"/>
      <c r="E553" s="17" t="str">
        <f>_xlfn.XLOOKUP($A553,Selected_constraint!$A:$A,Selected_constraint!$B:$B)</f>
        <v>TRAAGA</v>
      </c>
      <c r="F553" s="17" t="str">
        <f>_xlfn.XLOOKUP($A553,Selected_constraint!$A:$A,Selected_constraint!$C:$C)</f>
        <v>TRAOTHAIRDMD</v>
      </c>
      <c r="G553" s="17" t="str">
        <f>F553</f>
        <v>TRAOTHAIRDMD</v>
      </c>
      <c r="H553" s="18">
        <v>2019</v>
      </c>
      <c r="I553" s="18" t="s">
        <v>483</v>
      </c>
      <c r="J553" s="18">
        <v>1</v>
      </c>
      <c r="K553" s="20">
        <f>-SUMIFS('TRA RESID'!$P:$P,'TRA RESID'!$H:$H,$E553,'TRA RESID'!$I:$I,$F553)/SUMIFS('TRA RESID'!$P:$P,'TRA RESID'!$I:$I,$F553)*O553</f>
        <v>0</v>
      </c>
      <c r="L553" s="18">
        <v>0</v>
      </c>
      <c r="M553" s="18">
        <v>5</v>
      </c>
      <c r="N553" s="9"/>
      <c r="O553" s="21">
        <v>0.98</v>
      </c>
      <c r="Q553" s="15" t="str">
        <f t="shared" si="160"/>
        <v>*</v>
      </c>
      <c r="R553" s="16"/>
      <c r="S553" s="17" t="str">
        <f t="shared" si="162"/>
        <v>TRAAGA</v>
      </c>
      <c r="T553" s="17" t="str">
        <f t="shared" si="163"/>
        <v>TRAOTHAIRDMD</v>
      </c>
      <c r="U553" s="17" t="str">
        <f t="shared" si="164"/>
        <v>TRAOTHAIRDMD</v>
      </c>
      <c r="V553" s="18">
        <v>2019</v>
      </c>
      <c r="W553" s="18" t="s">
        <v>484</v>
      </c>
      <c r="X553" s="18">
        <v>1</v>
      </c>
      <c r="Y553" s="20">
        <f>-MIN(SUMIFS('TRA RESID'!$P:$P,'TRA RESID'!$H:$H,$E553,'TRA RESID'!$I:$I,$F553)/SUMIFS('TRA RESID'!$P:$P,'TRA RESID'!$I:$I,$F553)*AC553,1)</f>
        <v>0</v>
      </c>
      <c r="Z553" s="18">
        <v>0</v>
      </c>
      <c r="AA553" s="18">
        <v>5</v>
      </c>
      <c r="AB553" s="9"/>
      <c r="AC553" s="21">
        <v>1.02</v>
      </c>
    </row>
    <row r="554" spans="1:29" x14ac:dyDescent="0.25">
      <c r="A554" s="9">
        <f>A553</f>
        <v>138</v>
      </c>
      <c r="B554" s="9"/>
      <c r="C554" s="15" t="str">
        <f>IF(C553="*",C553,"")</f>
        <v>*</v>
      </c>
      <c r="D554" s="16"/>
      <c r="E554" s="17" t="str">
        <f t="shared" ref="E554:G556" si="173">E553</f>
        <v>TRAAGA</v>
      </c>
      <c r="F554" s="17" t="str">
        <f t="shared" si="173"/>
        <v>TRAOTHAIRDMD</v>
      </c>
      <c r="G554" s="17" t="str">
        <f t="shared" si="173"/>
        <v>TRAOTHAIRDMD</v>
      </c>
      <c r="H554" s="18">
        <v>2025</v>
      </c>
      <c r="I554" s="18" t="str">
        <f>I553</f>
        <v>LO</v>
      </c>
      <c r="J554" s="18"/>
      <c r="K554" s="20">
        <f>-SUMIFS('TRA RESID'!$P:$P,'TRA RESID'!$H:$H,$E554,'TRA RESID'!$I:$I,$F554)/SUMIFS('TRA RESID'!$P:$P,'TRA RESID'!$I:$I,$F554)*O554</f>
        <v>0</v>
      </c>
      <c r="L554" s="18"/>
      <c r="M554" s="18"/>
      <c r="N554" s="9"/>
      <c r="O554" s="21">
        <v>0.8</v>
      </c>
      <c r="Q554" s="15" t="str">
        <f t="shared" si="160"/>
        <v>*</v>
      </c>
      <c r="R554" s="16"/>
      <c r="S554" s="17" t="str">
        <f t="shared" si="162"/>
        <v>TRAAGA</v>
      </c>
      <c r="T554" s="17" t="str">
        <f t="shared" si="163"/>
        <v>TRAOTHAIRDMD</v>
      </c>
      <c r="U554" s="17" t="str">
        <f t="shared" si="164"/>
        <v>TRAOTHAIRDMD</v>
      </c>
      <c r="V554" s="18">
        <v>2025</v>
      </c>
      <c r="W554" s="18" t="str">
        <f>W553</f>
        <v>UP</v>
      </c>
      <c r="X554" s="18"/>
      <c r="Y554" s="20">
        <f>-MIN(SUMIFS('TRA RESID'!$P:$P,'TRA RESID'!$H:$H,$E554,'TRA RESID'!$I:$I,$F554)/SUMIFS('TRA RESID'!$P:$P,'TRA RESID'!$I:$I,$F554)*AC554,1)</f>
        <v>0</v>
      </c>
      <c r="Z554" s="18"/>
      <c r="AA554" s="18"/>
      <c r="AB554" s="9"/>
      <c r="AC554" s="21">
        <v>1.2</v>
      </c>
    </row>
    <row r="555" spans="1:29" x14ac:dyDescent="0.25">
      <c r="A555" s="9">
        <f>A554</f>
        <v>138</v>
      </c>
      <c r="B555" s="9"/>
      <c r="C555" s="15" t="str">
        <f>IF(C554="*",C554,"")</f>
        <v>*</v>
      </c>
      <c r="D555" s="16"/>
      <c r="E555" s="17" t="str">
        <f t="shared" si="173"/>
        <v>TRAAGA</v>
      </c>
      <c r="F555" s="17" t="str">
        <f t="shared" si="173"/>
        <v>TRAOTHAIRDMD</v>
      </c>
      <c r="G555" s="17" t="str">
        <f t="shared" si="173"/>
        <v>TRAOTHAIRDMD</v>
      </c>
      <c r="H555" s="18">
        <v>2030</v>
      </c>
      <c r="I555" s="18" t="str">
        <f>I554</f>
        <v>LO</v>
      </c>
      <c r="J555" s="18"/>
      <c r="K555" s="20">
        <f>-SUMIFS('TRA RESID'!$P:$P,'TRA RESID'!$H:$H,$E555,'TRA RESID'!$I:$I,$F555)/SUMIFS('TRA RESID'!$P:$P,'TRA RESID'!$I:$I,$F555)*O555</f>
        <v>0</v>
      </c>
      <c r="L555" s="18"/>
      <c r="M555" s="18"/>
      <c r="N555" s="9"/>
      <c r="O555" s="21">
        <v>0.2</v>
      </c>
      <c r="Q555" s="15" t="str">
        <f t="shared" si="160"/>
        <v>*</v>
      </c>
      <c r="R555" s="16"/>
      <c r="S555" s="17" t="str">
        <f t="shared" si="162"/>
        <v>TRAAGA</v>
      </c>
      <c r="T555" s="17" t="str">
        <f t="shared" si="163"/>
        <v>TRAOTHAIRDMD</v>
      </c>
      <c r="U555" s="17" t="str">
        <f t="shared" si="164"/>
        <v>TRAOTHAIRDMD</v>
      </c>
      <c r="V555" s="18">
        <v>2030</v>
      </c>
      <c r="W555" s="18" t="str">
        <f>W554</f>
        <v>UP</v>
      </c>
      <c r="X555" s="18"/>
      <c r="Y555" s="20">
        <f>-MIN(SUMIFS('TRA RESID'!$P:$P,'TRA RESID'!$H:$H,$E555,'TRA RESID'!$I:$I,$F555)/SUMIFS('TRA RESID'!$P:$P,'TRA RESID'!$I:$I,$F555)*AC555,1)</f>
        <v>0</v>
      </c>
      <c r="Z555" s="18"/>
      <c r="AA555" s="18"/>
      <c r="AB555" s="9"/>
      <c r="AC555" s="21">
        <v>1.5</v>
      </c>
    </row>
    <row r="556" spans="1:29" x14ac:dyDescent="0.25">
      <c r="A556" s="22">
        <f>A555</f>
        <v>138</v>
      </c>
      <c r="B556" s="22"/>
      <c r="C556" s="23" t="str">
        <f>IF(C555="*",C555,"")</f>
        <v>*</v>
      </c>
      <c r="D556" s="24"/>
      <c r="E556" s="25" t="str">
        <f t="shared" si="173"/>
        <v>TRAAGA</v>
      </c>
      <c r="F556" s="25" t="str">
        <f t="shared" si="173"/>
        <v>TRAOTHAIRDMD</v>
      </c>
      <c r="G556" s="25" t="str">
        <f t="shared" si="173"/>
        <v>TRAOTHAIRDMD</v>
      </c>
      <c r="H556" s="26">
        <v>2050</v>
      </c>
      <c r="I556" s="26" t="str">
        <f>I555</f>
        <v>LO</v>
      </c>
      <c r="J556" s="26"/>
      <c r="K556" s="27">
        <f>-SUMIFS('TRA RESID'!$P:$P,'TRA RESID'!$H:$H,$E556,'TRA RESID'!$I:$I,$F556)/SUMIFS('TRA RESID'!$P:$P,'TRA RESID'!$I:$I,$F556)*O556</f>
        <v>0</v>
      </c>
      <c r="L556" s="26"/>
      <c r="M556" s="26"/>
      <c r="N556" s="22"/>
      <c r="O556" s="28">
        <v>0</v>
      </c>
      <c r="Q556" s="23" t="str">
        <f t="shared" si="160"/>
        <v>*</v>
      </c>
      <c r="R556" s="24"/>
      <c r="S556" s="25" t="str">
        <f t="shared" si="162"/>
        <v>TRAAGA</v>
      </c>
      <c r="T556" s="25" t="str">
        <f t="shared" si="163"/>
        <v>TRAOTHAIRDMD</v>
      </c>
      <c r="U556" s="25" t="str">
        <f t="shared" si="164"/>
        <v>TRAOTHAIRDMD</v>
      </c>
      <c r="V556" s="26">
        <v>2050</v>
      </c>
      <c r="W556" s="26" t="str">
        <f>W555</f>
        <v>UP</v>
      </c>
      <c r="X556" s="26"/>
      <c r="Y556" s="27">
        <f>-MIN(SUMIFS('TRA RESID'!$P:$P,'TRA RESID'!$H:$H,$E556,'TRA RESID'!$I:$I,$F556)/SUMIFS('TRA RESID'!$P:$P,'TRA RESID'!$I:$I,$F556)*AC556,1)</f>
        <v>0</v>
      </c>
      <c r="Z556" s="26"/>
      <c r="AA556" s="26"/>
      <c r="AB556" s="22"/>
      <c r="AC556" s="28">
        <v>3</v>
      </c>
    </row>
    <row r="557" spans="1:29" x14ac:dyDescent="0.25">
      <c r="A557" s="14">
        <f>A553+1</f>
        <v>139</v>
      </c>
      <c r="B557" s="9"/>
      <c r="C557" s="15" t="str">
        <f>IF(E557="","",IF(_xlfn.XLOOKUP($A557,Selected_constraint!$A:$A,Selected_constraint!$D:$D)=1,"*",IF(SUMIFS('TRA TECH'!$M:$M,'TRA TECH'!$H:$H,E557,'TRA TECH'!$I:$I,F557)=0,"*",IF(SUMIFS('TRA RESID'!$P:$P,'TRA RESID'!$H:$H,$E557,'TRA RESID'!$I:$I,$F557)=0,"*","UC_MarketShare_"&amp;LEFT(F557,LEN(F557)-3)&amp;"_"&amp;RIGHT(E557,3)&amp;"_MIN"))))</f>
        <v>UC_MarketShare_TRAOTHAIR_ATF_MIN</v>
      </c>
      <c r="D557" s="16"/>
      <c r="E557" s="17" t="str">
        <f>_xlfn.XLOOKUP($A557,Selected_constraint!$A:$A,Selected_constraint!$B:$B)</f>
        <v>TRAATF</v>
      </c>
      <c r="F557" s="17" t="str">
        <f>_xlfn.XLOOKUP($A557,Selected_constraint!$A:$A,Selected_constraint!$C:$C)</f>
        <v>TRAOTHAIRDMD</v>
      </c>
      <c r="G557" s="17" t="str">
        <f>F557</f>
        <v>TRAOTHAIRDMD</v>
      </c>
      <c r="H557" s="18">
        <v>2019</v>
      </c>
      <c r="I557" s="18" t="s">
        <v>483</v>
      </c>
      <c r="J557" s="18">
        <v>1</v>
      </c>
      <c r="K557" s="20">
        <f>-SUMIFS('TRA RESID'!$P:$P,'TRA RESID'!$H:$H,$E557,'TRA RESID'!$I:$I,$F557)/SUMIFS('TRA RESID'!$P:$P,'TRA RESID'!$I:$I,$F557)*O557</f>
        <v>-0.98</v>
      </c>
      <c r="L557" s="18">
        <v>0</v>
      </c>
      <c r="M557" s="18">
        <v>5</v>
      </c>
      <c r="N557" s="9"/>
      <c r="O557" s="21">
        <v>0.98</v>
      </c>
      <c r="Q557" s="15" t="str">
        <f t="shared" si="160"/>
        <v>UC_MarketShare_TRAOTHAIR_ATF_MAX</v>
      </c>
      <c r="R557" s="16"/>
      <c r="S557" s="17" t="str">
        <f t="shared" si="162"/>
        <v>TRAATF</v>
      </c>
      <c r="T557" s="17" t="str">
        <f t="shared" si="163"/>
        <v>TRAOTHAIRDMD</v>
      </c>
      <c r="U557" s="17" t="str">
        <f t="shared" si="164"/>
        <v>TRAOTHAIRDMD</v>
      </c>
      <c r="V557" s="18">
        <v>2019</v>
      </c>
      <c r="W557" s="18" t="s">
        <v>484</v>
      </c>
      <c r="X557" s="18">
        <v>1</v>
      </c>
      <c r="Y557" s="20">
        <f>-MIN(SUMIFS('TRA RESID'!$P:$P,'TRA RESID'!$H:$H,$E557,'TRA RESID'!$I:$I,$F557)/SUMIFS('TRA RESID'!$P:$P,'TRA RESID'!$I:$I,$F557)*AC557,1)</f>
        <v>-1</v>
      </c>
      <c r="Z557" s="18">
        <v>0</v>
      </c>
      <c r="AA557" s="18">
        <v>5</v>
      </c>
      <c r="AB557" s="9"/>
      <c r="AC557" s="21">
        <v>1.02</v>
      </c>
    </row>
    <row r="558" spans="1:29" x14ac:dyDescent="0.25">
      <c r="A558" s="9">
        <f>A557</f>
        <v>139</v>
      </c>
      <c r="B558" s="9"/>
      <c r="C558" s="15" t="str">
        <f>IF(C557="*",C557,"")</f>
        <v/>
      </c>
      <c r="D558" s="16"/>
      <c r="E558" s="17" t="str">
        <f t="shared" ref="E558:G560" si="174">E557</f>
        <v>TRAATF</v>
      </c>
      <c r="F558" s="17" t="str">
        <f t="shared" si="174"/>
        <v>TRAOTHAIRDMD</v>
      </c>
      <c r="G558" s="17" t="str">
        <f t="shared" si="174"/>
        <v>TRAOTHAIRDMD</v>
      </c>
      <c r="H558" s="18">
        <v>2025</v>
      </c>
      <c r="I558" s="18" t="str">
        <f>I557</f>
        <v>LO</v>
      </c>
      <c r="J558" s="18"/>
      <c r="K558" s="20">
        <f>-SUMIFS('TRA RESID'!$P:$P,'TRA RESID'!$H:$H,$E558,'TRA RESID'!$I:$I,$F558)/SUMIFS('TRA RESID'!$P:$P,'TRA RESID'!$I:$I,$F558)*O558</f>
        <v>-0.8</v>
      </c>
      <c r="L558" s="18"/>
      <c r="M558" s="18"/>
      <c r="N558" s="9"/>
      <c r="O558" s="21">
        <v>0.8</v>
      </c>
      <c r="Q558" s="15" t="str">
        <f t="shared" si="160"/>
        <v/>
      </c>
      <c r="R558" s="16"/>
      <c r="S558" s="17" t="str">
        <f t="shared" si="162"/>
        <v>TRAATF</v>
      </c>
      <c r="T558" s="17" t="str">
        <f t="shared" si="163"/>
        <v>TRAOTHAIRDMD</v>
      </c>
      <c r="U558" s="17" t="str">
        <f t="shared" si="164"/>
        <v>TRAOTHAIRDMD</v>
      </c>
      <c r="V558" s="18">
        <v>2025</v>
      </c>
      <c r="W558" s="18" t="str">
        <f>W557</f>
        <v>UP</v>
      </c>
      <c r="X558" s="18"/>
      <c r="Y558" s="20">
        <f>-MIN(SUMIFS('TRA RESID'!$P:$P,'TRA RESID'!$H:$H,$E558,'TRA RESID'!$I:$I,$F558)/SUMIFS('TRA RESID'!$P:$P,'TRA RESID'!$I:$I,$F558)*AC558,1)</f>
        <v>-1</v>
      </c>
      <c r="Z558" s="18"/>
      <c r="AA558" s="18"/>
      <c r="AB558" s="9"/>
      <c r="AC558" s="21">
        <v>1.2</v>
      </c>
    </row>
    <row r="559" spans="1:29" x14ac:dyDescent="0.25">
      <c r="A559" s="9">
        <f>A558</f>
        <v>139</v>
      </c>
      <c r="B559" s="9"/>
      <c r="C559" s="15" t="str">
        <f>IF(C558="*",C558,"")</f>
        <v/>
      </c>
      <c r="D559" s="16"/>
      <c r="E559" s="17" t="str">
        <f t="shared" si="174"/>
        <v>TRAATF</v>
      </c>
      <c r="F559" s="17" t="str">
        <f t="shared" si="174"/>
        <v>TRAOTHAIRDMD</v>
      </c>
      <c r="G559" s="17" t="str">
        <f t="shared" si="174"/>
        <v>TRAOTHAIRDMD</v>
      </c>
      <c r="H559" s="18">
        <v>2030</v>
      </c>
      <c r="I559" s="18" t="str">
        <f>I558</f>
        <v>LO</v>
      </c>
      <c r="J559" s="18"/>
      <c r="K559" s="20">
        <f>-SUMIFS('TRA RESID'!$P:$P,'TRA RESID'!$H:$H,$E559,'TRA RESID'!$I:$I,$F559)/SUMIFS('TRA RESID'!$P:$P,'TRA RESID'!$I:$I,$F559)*O559</f>
        <v>-0.2</v>
      </c>
      <c r="L559" s="18"/>
      <c r="M559" s="18"/>
      <c r="N559" s="9"/>
      <c r="O559" s="21">
        <v>0.2</v>
      </c>
      <c r="Q559" s="15" t="str">
        <f t="shared" si="160"/>
        <v/>
      </c>
      <c r="R559" s="16"/>
      <c r="S559" s="17" t="str">
        <f t="shared" si="162"/>
        <v>TRAATF</v>
      </c>
      <c r="T559" s="17" t="str">
        <f t="shared" si="163"/>
        <v>TRAOTHAIRDMD</v>
      </c>
      <c r="U559" s="17" t="str">
        <f t="shared" si="164"/>
        <v>TRAOTHAIRDMD</v>
      </c>
      <c r="V559" s="18">
        <v>2030</v>
      </c>
      <c r="W559" s="18" t="str">
        <f>W558</f>
        <v>UP</v>
      </c>
      <c r="X559" s="18"/>
      <c r="Y559" s="20">
        <f>-MIN(SUMIFS('TRA RESID'!$P:$P,'TRA RESID'!$H:$H,$E559,'TRA RESID'!$I:$I,$F559)/SUMIFS('TRA RESID'!$P:$P,'TRA RESID'!$I:$I,$F559)*AC559,1)</f>
        <v>-1</v>
      </c>
      <c r="Z559" s="18"/>
      <c r="AA559" s="18"/>
      <c r="AB559" s="9"/>
      <c r="AC559" s="21">
        <v>1.5</v>
      </c>
    </row>
    <row r="560" spans="1:29" x14ac:dyDescent="0.25">
      <c r="A560" s="22">
        <f>A559</f>
        <v>139</v>
      </c>
      <c r="B560" s="22"/>
      <c r="C560" s="23" t="str">
        <f>IF(C559="*",C559,"")</f>
        <v/>
      </c>
      <c r="D560" s="24"/>
      <c r="E560" s="25" t="str">
        <f t="shared" si="174"/>
        <v>TRAATF</v>
      </c>
      <c r="F560" s="25" t="str">
        <f t="shared" si="174"/>
        <v>TRAOTHAIRDMD</v>
      </c>
      <c r="G560" s="25" t="str">
        <f t="shared" si="174"/>
        <v>TRAOTHAIRDMD</v>
      </c>
      <c r="H560" s="26">
        <v>2050</v>
      </c>
      <c r="I560" s="26" t="str">
        <f>I559</f>
        <v>LO</v>
      </c>
      <c r="J560" s="26"/>
      <c r="K560" s="27">
        <f>-SUMIFS('TRA RESID'!$P:$P,'TRA RESID'!$H:$H,$E560,'TRA RESID'!$I:$I,$F560)/SUMIFS('TRA RESID'!$P:$P,'TRA RESID'!$I:$I,$F560)*O560</f>
        <v>0</v>
      </c>
      <c r="L560" s="26"/>
      <c r="M560" s="26"/>
      <c r="N560" s="22"/>
      <c r="O560" s="28">
        <v>0</v>
      </c>
      <c r="Q560" s="23" t="str">
        <f t="shared" si="160"/>
        <v/>
      </c>
      <c r="R560" s="24"/>
      <c r="S560" s="25" t="str">
        <f t="shared" si="162"/>
        <v>TRAATF</v>
      </c>
      <c r="T560" s="25" t="str">
        <f t="shared" si="163"/>
        <v>TRAOTHAIRDMD</v>
      </c>
      <c r="U560" s="25" t="str">
        <f t="shared" si="164"/>
        <v>TRAOTHAIRDMD</v>
      </c>
      <c r="V560" s="26">
        <v>2050</v>
      </c>
      <c r="W560" s="26" t="str">
        <f>W559</f>
        <v>UP</v>
      </c>
      <c r="X560" s="26"/>
      <c r="Y560" s="27">
        <f>-MIN(SUMIFS('TRA RESID'!$P:$P,'TRA RESID'!$H:$H,$E560,'TRA RESID'!$I:$I,$F560)/SUMIFS('TRA RESID'!$P:$P,'TRA RESID'!$I:$I,$F560)*AC560,1)</f>
        <v>-1</v>
      </c>
      <c r="Z560" s="26"/>
      <c r="AA560" s="26"/>
      <c r="AB560" s="22"/>
      <c r="AC560" s="28">
        <v>3</v>
      </c>
    </row>
    <row r="561" spans="1:29" x14ac:dyDescent="0.25">
      <c r="A561" s="14">
        <f>A557+1</f>
        <v>140</v>
      </c>
      <c r="B561" s="9"/>
      <c r="C561" s="15" t="str">
        <f>IF(E561="","",IF(_xlfn.XLOOKUP($A561,Selected_constraint!$A:$A,Selected_constraint!$D:$D)=1,"*",IF(SUMIFS('TRA TECH'!$M:$M,'TRA TECH'!$H:$H,E561,'TRA TECH'!$I:$I,F561)=0,"*",IF(SUMIFS('TRA RESID'!$P:$P,'TRA RESID'!$H:$H,$E561,'TRA RESID'!$I:$I,$F561)=0,"*","UC_MarketShare_"&amp;LEFT(F561,LEN(F561)-3)&amp;"_"&amp;RIGHT(E561,3)&amp;"_MIN"))))</f>
        <v>*</v>
      </c>
      <c r="D561" s="16"/>
      <c r="E561" s="17" t="str">
        <f>_xlfn.XLOOKUP($A561,Selected_constraint!$A:$A,Selected_constraint!$B:$B)</f>
        <v>TRASAF</v>
      </c>
      <c r="F561" s="17" t="str">
        <f>_xlfn.XLOOKUP($A561,Selected_constraint!$A:$A,Selected_constraint!$C:$C)</f>
        <v>TRAOTHAIRDMD</v>
      </c>
      <c r="G561" s="17" t="str">
        <f>F561</f>
        <v>TRAOTHAIRDMD</v>
      </c>
      <c r="H561" s="18">
        <v>2019</v>
      </c>
      <c r="I561" s="18" t="s">
        <v>483</v>
      </c>
      <c r="J561" s="18">
        <v>1</v>
      </c>
      <c r="K561" s="20">
        <f>-SUMIFS('TRA RESID'!$P:$P,'TRA RESID'!$H:$H,$E561,'TRA RESID'!$I:$I,$F561)/SUMIFS('TRA RESID'!$P:$P,'TRA RESID'!$I:$I,$F561)*O561</f>
        <v>0</v>
      </c>
      <c r="L561" s="18">
        <v>0</v>
      </c>
      <c r="M561" s="18">
        <v>5</v>
      </c>
      <c r="N561" s="9"/>
      <c r="O561" s="21">
        <v>0.98</v>
      </c>
      <c r="Q561" s="15" t="str">
        <f t="shared" si="160"/>
        <v>*</v>
      </c>
      <c r="R561" s="16"/>
      <c r="S561" s="17" t="str">
        <f t="shared" si="162"/>
        <v>TRASAF</v>
      </c>
      <c r="T561" s="17" t="str">
        <f t="shared" si="163"/>
        <v>TRAOTHAIRDMD</v>
      </c>
      <c r="U561" s="17" t="str">
        <f t="shared" si="164"/>
        <v>TRAOTHAIRDMD</v>
      </c>
      <c r="V561" s="18">
        <v>2019</v>
      </c>
      <c r="W561" s="18" t="s">
        <v>484</v>
      </c>
      <c r="X561" s="18">
        <v>1</v>
      </c>
      <c r="Y561" s="20">
        <f>-MIN(SUMIFS('TRA RESID'!$P:$P,'TRA RESID'!$H:$H,$E561,'TRA RESID'!$I:$I,$F561)/SUMIFS('TRA RESID'!$P:$P,'TRA RESID'!$I:$I,$F561)*AC561,1)</f>
        <v>0</v>
      </c>
      <c r="Z561" s="18">
        <v>0</v>
      </c>
      <c r="AA561" s="18">
        <v>5</v>
      </c>
      <c r="AB561" s="9"/>
      <c r="AC561" s="21">
        <v>1.02</v>
      </c>
    </row>
    <row r="562" spans="1:29" x14ac:dyDescent="0.25">
      <c r="A562" s="9">
        <f>A561</f>
        <v>140</v>
      </c>
      <c r="B562" s="9"/>
      <c r="C562" s="15" t="str">
        <f>IF(C561="*",C561,"")</f>
        <v>*</v>
      </c>
      <c r="D562" s="16"/>
      <c r="E562" s="17" t="str">
        <f t="shared" ref="E562:G564" si="175">E561</f>
        <v>TRASAF</v>
      </c>
      <c r="F562" s="17" t="str">
        <f t="shared" si="175"/>
        <v>TRAOTHAIRDMD</v>
      </c>
      <c r="G562" s="17" t="str">
        <f t="shared" si="175"/>
        <v>TRAOTHAIRDMD</v>
      </c>
      <c r="H562" s="18">
        <v>2025</v>
      </c>
      <c r="I562" s="18" t="str">
        <f>I561</f>
        <v>LO</v>
      </c>
      <c r="J562" s="18"/>
      <c r="K562" s="20">
        <f>-SUMIFS('TRA RESID'!$P:$P,'TRA RESID'!$H:$H,$E562,'TRA RESID'!$I:$I,$F562)/SUMIFS('TRA RESID'!$P:$P,'TRA RESID'!$I:$I,$F562)*O562</f>
        <v>0</v>
      </c>
      <c r="L562" s="18"/>
      <c r="M562" s="18"/>
      <c r="N562" s="9"/>
      <c r="O562" s="21">
        <v>0.8</v>
      </c>
      <c r="Q562" s="15" t="str">
        <f t="shared" si="160"/>
        <v>*</v>
      </c>
      <c r="R562" s="16"/>
      <c r="S562" s="17" t="str">
        <f t="shared" si="162"/>
        <v>TRASAF</v>
      </c>
      <c r="T562" s="17" t="str">
        <f t="shared" si="163"/>
        <v>TRAOTHAIRDMD</v>
      </c>
      <c r="U562" s="17" t="str">
        <f t="shared" si="164"/>
        <v>TRAOTHAIRDMD</v>
      </c>
      <c r="V562" s="18">
        <v>2025</v>
      </c>
      <c r="W562" s="18" t="str">
        <f>W561</f>
        <v>UP</v>
      </c>
      <c r="X562" s="18"/>
      <c r="Y562" s="20">
        <f>-MIN(SUMIFS('TRA RESID'!$P:$P,'TRA RESID'!$H:$H,$E562,'TRA RESID'!$I:$I,$F562)/SUMIFS('TRA RESID'!$P:$P,'TRA RESID'!$I:$I,$F562)*AC562,1)</f>
        <v>0</v>
      </c>
      <c r="Z562" s="18"/>
      <c r="AA562" s="18"/>
      <c r="AB562" s="9"/>
      <c r="AC562" s="21">
        <v>1.2</v>
      </c>
    </row>
    <row r="563" spans="1:29" x14ac:dyDescent="0.25">
      <c r="A563" s="9">
        <f>A562</f>
        <v>140</v>
      </c>
      <c r="B563" s="9"/>
      <c r="C563" s="15" t="str">
        <f>IF(C562="*",C562,"")</f>
        <v>*</v>
      </c>
      <c r="D563" s="16"/>
      <c r="E563" s="17" t="str">
        <f t="shared" si="175"/>
        <v>TRASAF</v>
      </c>
      <c r="F563" s="17" t="str">
        <f t="shared" si="175"/>
        <v>TRAOTHAIRDMD</v>
      </c>
      <c r="G563" s="17" t="str">
        <f t="shared" si="175"/>
        <v>TRAOTHAIRDMD</v>
      </c>
      <c r="H563" s="18">
        <v>2030</v>
      </c>
      <c r="I563" s="18" t="str">
        <f>I562</f>
        <v>LO</v>
      </c>
      <c r="J563" s="18"/>
      <c r="K563" s="20">
        <f>-SUMIFS('TRA RESID'!$P:$P,'TRA RESID'!$H:$H,$E563,'TRA RESID'!$I:$I,$F563)/SUMIFS('TRA RESID'!$P:$P,'TRA RESID'!$I:$I,$F563)*O563</f>
        <v>0</v>
      </c>
      <c r="L563" s="18"/>
      <c r="M563" s="18"/>
      <c r="N563" s="9"/>
      <c r="O563" s="21">
        <v>0.2</v>
      </c>
      <c r="Q563" s="15" t="str">
        <f t="shared" si="160"/>
        <v>*</v>
      </c>
      <c r="R563" s="16"/>
      <c r="S563" s="17" t="str">
        <f t="shared" si="162"/>
        <v>TRASAF</v>
      </c>
      <c r="T563" s="17" t="str">
        <f t="shared" si="163"/>
        <v>TRAOTHAIRDMD</v>
      </c>
      <c r="U563" s="17" t="str">
        <f t="shared" si="164"/>
        <v>TRAOTHAIRDMD</v>
      </c>
      <c r="V563" s="18">
        <v>2030</v>
      </c>
      <c r="W563" s="18" t="str">
        <f>W562</f>
        <v>UP</v>
      </c>
      <c r="X563" s="18"/>
      <c r="Y563" s="20">
        <f>-MIN(SUMIFS('TRA RESID'!$P:$P,'TRA RESID'!$H:$H,$E563,'TRA RESID'!$I:$I,$F563)/SUMIFS('TRA RESID'!$P:$P,'TRA RESID'!$I:$I,$F563)*AC563,1)</f>
        <v>0</v>
      </c>
      <c r="Z563" s="18"/>
      <c r="AA563" s="18"/>
      <c r="AB563" s="9"/>
      <c r="AC563" s="21">
        <v>1.5</v>
      </c>
    </row>
    <row r="564" spans="1:29" x14ac:dyDescent="0.25">
      <c r="A564" s="22">
        <f>A563</f>
        <v>140</v>
      </c>
      <c r="B564" s="22"/>
      <c r="C564" s="23" t="str">
        <f>IF(C563="*",C563,"")</f>
        <v>*</v>
      </c>
      <c r="D564" s="24"/>
      <c r="E564" s="25" t="str">
        <f t="shared" si="175"/>
        <v>TRASAF</v>
      </c>
      <c r="F564" s="25" t="str">
        <f t="shared" si="175"/>
        <v>TRAOTHAIRDMD</v>
      </c>
      <c r="G564" s="25" t="str">
        <f t="shared" si="175"/>
        <v>TRAOTHAIRDMD</v>
      </c>
      <c r="H564" s="26">
        <v>2050</v>
      </c>
      <c r="I564" s="26" t="str">
        <f>I563</f>
        <v>LO</v>
      </c>
      <c r="J564" s="26"/>
      <c r="K564" s="27">
        <f>-SUMIFS('TRA RESID'!$P:$P,'TRA RESID'!$H:$H,$E564,'TRA RESID'!$I:$I,$F564)/SUMIFS('TRA RESID'!$P:$P,'TRA RESID'!$I:$I,$F564)*O564</f>
        <v>0</v>
      </c>
      <c r="L564" s="26"/>
      <c r="M564" s="26"/>
      <c r="N564" s="22"/>
      <c r="O564" s="28">
        <v>0</v>
      </c>
      <c r="Q564" s="23" t="str">
        <f t="shared" si="160"/>
        <v>*</v>
      </c>
      <c r="R564" s="24"/>
      <c r="S564" s="25" t="str">
        <f t="shared" si="162"/>
        <v>TRASAF</v>
      </c>
      <c r="T564" s="25" t="str">
        <f t="shared" si="163"/>
        <v>TRAOTHAIRDMD</v>
      </c>
      <c r="U564" s="25" t="str">
        <f t="shared" si="164"/>
        <v>TRAOTHAIRDMD</v>
      </c>
      <c r="V564" s="26">
        <v>2050</v>
      </c>
      <c r="W564" s="26" t="str">
        <f>W563</f>
        <v>UP</v>
      </c>
      <c r="X564" s="26"/>
      <c r="Y564" s="27">
        <f>-MIN(SUMIFS('TRA RESID'!$P:$P,'TRA RESID'!$H:$H,$E564,'TRA RESID'!$I:$I,$F564)/SUMIFS('TRA RESID'!$P:$P,'TRA RESID'!$I:$I,$F564)*AC564,1)</f>
        <v>0</v>
      </c>
      <c r="Z564" s="26"/>
      <c r="AA564" s="26"/>
      <c r="AB564" s="22"/>
      <c r="AC564" s="28">
        <v>3</v>
      </c>
    </row>
  </sheetData>
  <autoFilter ref="C2:M564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G699"/>
  <sheetViews>
    <sheetView topLeftCell="A662" workbookViewId="0">
      <selection sqref="A1:Q1048576"/>
    </sheetView>
  </sheetViews>
  <sheetFormatPr defaultRowHeight="15" x14ac:dyDescent="0.25"/>
  <cols>
    <col min="1" max="1" width="4" bestFit="1" customWidth="1"/>
    <col min="3" max="3" width="35.140625" bestFit="1" customWidth="1"/>
    <col min="4" max="4" width="8.42578125" bestFit="1" customWidth="1"/>
    <col min="5" max="5" width="8.5703125" bestFit="1" customWidth="1"/>
    <col min="6" max="7" width="16.5703125" bestFit="1" customWidth="1"/>
    <col min="8" max="8" width="17.5703125" bestFit="1" customWidth="1"/>
    <col min="9" max="9" width="7.85546875" bestFit="1" customWidth="1"/>
    <col min="10" max="10" width="7.42578125" bestFit="1" customWidth="1"/>
    <col min="11" max="11" width="10.5703125" bestFit="1" customWidth="1"/>
    <col min="12" max="12" width="16.140625" customWidth="1"/>
    <col min="13" max="13" width="13.140625" bestFit="1" customWidth="1"/>
    <col min="17" max="17" width="4" bestFit="1" customWidth="1"/>
    <col min="19" max="19" width="35.140625" bestFit="1" customWidth="1"/>
    <col min="20" max="20" width="8.42578125" bestFit="1" customWidth="1"/>
    <col min="21" max="21" width="8.5703125" bestFit="1" customWidth="1"/>
    <col min="22" max="23" width="16.5703125" bestFit="1" customWidth="1"/>
    <col min="24" max="24" width="17.5703125" bestFit="1" customWidth="1"/>
    <col min="25" max="25" width="7.85546875" bestFit="1" customWidth="1"/>
    <col min="26" max="26" width="7.42578125" bestFit="1" customWidth="1"/>
    <col min="27" max="27" width="10.5703125" bestFit="1" customWidth="1"/>
    <col min="28" max="28" width="16.140625" customWidth="1"/>
    <col min="29" max="29" width="13.140625" bestFit="1" customWidth="1"/>
    <col min="33" max="33" width="35.140625" bestFit="1" customWidth="1"/>
    <col min="34" max="34" width="8.42578125" bestFit="1" customWidth="1"/>
    <col min="35" max="35" width="8.5703125" bestFit="1" customWidth="1"/>
    <col min="36" max="37" width="16.5703125" bestFit="1" customWidth="1"/>
    <col min="38" max="38" width="17.5703125" bestFit="1" customWidth="1"/>
    <col min="39" max="39" width="7.85546875" bestFit="1" customWidth="1"/>
    <col min="40" max="40" width="7.42578125" bestFit="1" customWidth="1"/>
    <col min="41" max="41" width="10.5703125" bestFit="1" customWidth="1"/>
    <col min="42" max="42" width="16.140625" customWidth="1"/>
    <col min="43" max="43" width="13.140625" bestFit="1" customWidth="1"/>
    <col min="47" max="47" width="35.140625" bestFit="1" customWidth="1"/>
    <col min="48" max="48" width="8.42578125" bestFit="1" customWidth="1"/>
    <col min="49" max="49" width="8.5703125" bestFit="1" customWidth="1"/>
    <col min="50" max="51" width="16.5703125" bestFit="1" customWidth="1"/>
    <col min="52" max="52" width="17.5703125" bestFit="1" customWidth="1"/>
    <col min="53" max="53" width="7.85546875" bestFit="1" customWidth="1"/>
    <col min="54" max="54" width="7.42578125" bestFit="1" customWidth="1"/>
    <col min="55" max="55" width="10.5703125" bestFit="1" customWidth="1"/>
    <col min="56" max="56" width="16.140625" customWidth="1"/>
    <col min="57" max="57" width="13.140625" bestFit="1" customWidth="1"/>
  </cols>
  <sheetData>
    <row r="2" spans="1:59" x14ac:dyDescent="0.25">
      <c r="C2" s="10" t="s">
        <v>471</v>
      </c>
      <c r="D2" s="9"/>
      <c r="E2" s="9"/>
      <c r="F2" s="9"/>
      <c r="G2" s="9"/>
      <c r="H2" s="9"/>
      <c r="I2" s="9"/>
      <c r="J2" s="9"/>
      <c r="K2" s="9"/>
      <c r="L2" s="9"/>
      <c r="M2" s="9"/>
      <c r="S2" s="10" t="s">
        <v>471</v>
      </c>
      <c r="T2" s="9"/>
      <c r="U2" s="9"/>
      <c r="V2" s="9"/>
      <c r="W2" s="9"/>
      <c r="X2" s="9"/>
      <c r="Y2" s="9"/>
      <c r="Z2" s="9"/>
      <c r="AA2" s="9"/>
      <c r="AB2" s="9"/>
      <c r="AC2" s="9"/>
      <c r="AG2" s="10" t="s">
        <v>471</v>
      </c>
      <c r="AH2" s="9"/>
      <c r="AI2" s="9"/>
      <c r="AJ2" s="9"/>
      <c r="AK2" s="9"/>
      <c r="AL2" s="9"/>
      <c r="AM2" s="9"/>
      <c r="AN2" s="9"/>
      <c r="AO2" s="9"/>
      <c r="AP2" s="9"/>
      <c r="AQ2" s="9"/>
      <c r="AU2" s="10" t="s">
        <v>471</v>
      </c>
      <c r="AV2" s="9"/>
      <c r="AW2" s="9"/>
      <c r="AX2" s="9"/>
      <c r="AY2" s="9"/>
      <c r="AZ2" s="9"/>
      <c r="BA2" s="9"/>
      <c r="BB2" s="9"/>
      <c r="BC2" s="9"/>
      <c r="BD2" s="9"/>
      <c r="BE2" s="9"/>
    </row>
    <row r="3" spans="1:59" x14ac:dyDescent="0.25">
      <c r="C3" s="9"/>
      <c r="D3" s="9"/>
      <c r="E3" s="9"/>
      <c r="F3" s="9"/>
      <c r="G3" s="9"/>
      <c r="H3" s="10" t="s">
        <v>472</v>
      </c>
      <c r="I3" s="10"/>
      <c r="J3" s="9"/>
      <c r="K3" s="9"/>
      <c r="L3" s="9"/>
      <c r="M3" s="9"/>
      <c r="S3" s="9"/>
      <c r="T3" s="9"/>
      <c r="U3" s="9"/>
      <c r="V3" s="9"/>
      <c r="W3" s="9"/>
      <c r="X3" s="10" t="s">
        <v>472</v>
      </c>
      <c r="Y3" s="10"/>
      <c r="Z3" s="9"/>
      <c r="AA3" s="9"/>
      <c r="AB3" s="9"/>
      <c r="AC3" s="9"/>
      <c r="AG3" s="9"/>
      <c r="AH3" s="9"/>
      <c r="AI3" s="9"/>
      <c r="AJ3" s="9"/>
      <c r="AK3" s="9"/>
      <c r="AL3" s="10" t="s">
        <v>472</v>
      </c>
      <c r="AM3" s="10"/>
      <c r="AN3" s="9"/>
      <c r="AO3" s="9"/>
      <c r="AP3" s="9"/>
      <c r="AQ3" s="9"/>
      <c r="AU3" s="9"/>
      <c r="AV3" s="9"/>
      <c r="AW3" s="9"/>
      <c r="AX3" s="9"/>
      <c r="AY3" s="9"/>
      <c r="AZ3" s="10" t="s">
        <v>472</v>
      </c>
      <c r="BA3" s="10"/>
      <c r="BB3" s="9"/>
      <c r="BC3" s="9"/>
      <c r="BD3" s="9"/>
      <c r="BE3" s="9"/>
    </row>
    <row r="4" spans="1:59" ht="15.75" customHeight="1" thickBot="1" x14ac:dyDescent="0.3">
      <c r="C4" s="11" t="s">
        <v>473</v>
      </c>
      <c r="D4" s="12" t="s">
        <v>474</v>
      </c>
      <c r="E4" s="11" t="s">
        <v>475</v>
      </c>
      <c r="F4" s="11" t="s">
        <v>476</v>
      </c>
      <c r="G4" s="11" t="s">
        <v>477</v>
      </c>
      <c r="H4" s="11" t="s">
        <v>30</v>
      </c>
      <c r="I4" s="11" t="s">
        <v>478</v>
      </c>
      <c r="J4" s="11" t="s">
        <v>479</v>
      </c>
      <c r="K4" s="13" t="s">
        <v>480</v>
      </c>
      <c r="L4" s="13" t="s">
        <v>481</v>
      </c>
      <c r="M4" s="13" t="s">
        <v>482</v>
      </c>
      <c r="S4" s="11" t="s">
        <v>473</v>
      </c>
      <c r="T4" s="12" t="s">
        <v>474</v>
      </c>
      <c r="U4" s="11" t="s">
        <v>475</v>
      </c>
      <c r="V4" s="11" t="s">
        <v>476</v>
      </c>
      <c r="W4" s="11" t="s">
        <v>477</v>
      </c>
      <c r="X4" s="11" t="s">
        <v>30</v>
      </c>
      <c r="Y4" s="11" t="s">
        <v>478</v>
      </c>
      <c r="Z4" s="11" t="s">
        <v>479</v>
      </c>
      <c r="AA4" s="13" t="s">
        <v>480</v>
      </c>
      <c r="AB4" s="13" t="s">
        <v>481</v>
      </c>
      <c r="AC4" s="13" t="s">
        <v>482</v>
      </c>
      <c r="AG4" s="11" t="s">
        <v>473</v>
      </c>
      <c r="AH4" s="12" t="s">
        <v>474</v>
      </c>
      <c r="AI4" s="11" t="s">
        <v>475</v>
      </c>
      <c r="AJ4" s="11" t="s">
        <v>476</v>
      </c>
      <c r="AK4" s="11" t="s">
        <v>477</v>
      </c>
      <c r="AL4" s="11" t="s">
        <v>30</v>
      </c>
      <c r="AM4" s="11" t="s">
        <v>478</v>
      </c>
      <c r="AN4" s="11" t="s">
        <v>479</v>
      </c>
      <c r="AO4" s="13" t="s">
        <v>480</v>
      </c>
      <c r="AP4" s="13" t="s">
        <v>481</v>
      </c>
      <c r="AQ4" s="13" t="s">
        <v>482</v>
      </c>
      <c r="AU4" s="11" t="s">
        <v>473</v>
      </c>
      <c r="AV4" s="12" t="s">
        <v>474</v>
      </c>
      <c r="AW4" s="11" t="s">
        <v>475</v>
      </c>
      <c r="AX4" s="11" t="s">
        <v>476</v>
      </c>
      <c r="AY4" s="11" t="s">
        <v>477</v>
      </c>
      <c r="AZ4" s="11" t="s">
        <v>30</v>
      </c>
      <c r="BA4" s="11" t="s">
        <v>478</v>
      </c>
      <c r="BB4" s="11" t="s">
        <v>479</v>
      </c>
      <c r="BC4" s="13" t="s">
        <v>480</v>
      </c>
      <c r="BD4" s="13" t="s">
        <v>481</v>
      </c>
      <c r="BE4" s="13" t="s">
        <v>482</v>
      </c>
    </row>
    <row r="5" spans="1:59" x14ac:dyDescent="0.25">
      <c r="A5">
        <v>1</v>
      </c>
      <c r="C5" s="15" t="str">
        <f>IF(E5="","",IF(_xlfn.XLOOKUP($A5,Selected_constraint!$A:$A,Selected_constraint!$D:$D)=1,"*",IF(SUMIFS('TRA TECH'!$M:$M,'TRA TECH'!$H:$H,E5,'TRA TECH'!$I:$I,F5)=0,"*",IF(SUMIFS('TRA RESID'!$P:$P,'TRA RESID'!$I:$I,G5,'TRA RESID'!$J:$J,D5,'TRA RESID'!$H:$H,E5)=0,"*","UC_"&amp;SUBSTITUTE(D5,"*","")&amp;"_"&amp;RIGHT(E5,3)&amp;"_"&amp;F5))))</f>
        <v>UC_ICEV_GSL_TRAPASCARDMD</v>
      </c>
      <c r="D5" s="17" t="s">
        <v>485</v>
      </c>
      <c r="E5" s="17" t="str">
        <f>_xlfn.XLOOKUP($A5,Selected_constraint!$A:$A,Selected_constraint!$B:$B)</f>
        <v>TRAGSL</v>
      </c>
      <c r="F5" s="17" t="str">
        <f>_xlfn.XLOOKUP($A5,Selected_constraint!$A:$A,Selected_constraint!$C:$C)</f>
        <v>TRAPASCARDMD</v>
      </c>
      <c r="G5" s="17" t="str">
        <f>F5</f>
        <v>TRAPASCARDMD</v>
      </c>
      <c r="H5" s="18">
        <v>2019</v>
      </c>
      <c r="I5" s="19" t="s">
        <v>483</v>
      </c>
      <c r="J5" s="18">
        <v>1</v>
      </c>
      <c r="K5" s="20">
        <f>-SUMIFS('TRA RESID'!$P:$P,'TRA RESID'!$I:$I,G5,'TRA RESID'!$J:$J,D5,'TRA RESID'!$H:$H,E5)/SUMIFS('TRA RESID'!$P:$P,'TRA RESID'!$I:$I,G5)*O5</f>
        <v>-0.95989845750495673</v>
      </c>
      <c r="L5" s="18">
        <v>0</v>
      </c>
      <c r="M5" s="18">
        <v>5</v>
      </c>
      <c r="O5" s="21">
        <v>0.98</v>
      </c>
      <c r="Q5">
        <v>1</v>
      </c>
      <c r="S5" s="15" t="str">
        <f>IF(SUMIFS('TRA RESID'!$P:$P,'TRA RESID'!$I:$I,W5,'TRA RESID'!$J:$J,T5,'TRA RESID'!$H:$H,U5)=0,"*","UC_"&amp;SUBSTITUTE(T5,"*","")&amp;"_"&amp;RIGHT(U5,3)&amp;"_"&amp;V5)</f>
        <v>*</v>
      </c>
      <c r="T5" s="17" t="s">
        <v>486</v>
      </c>
      <c r="U5" s="17" t="str">
        <f>_xlfn.XLOOKUP($A5,Selected_constraint!$A:$A,Selected_constraint!$B:$B)</f>
        <v>TRAGSL</v>
      </c>
      <c r="V5" s="17" t="str">
        <f>_xlfn.XLOOKUP($A5,Selected_constraint!$A:$A,Selected_constraint!$C:$C)</f>
        <v>TRAPASCARDMD</v>
      </c>
      <c r="W5" s="17" t="str">
        <f>V5</f>
        <v>TRAPASCARDMD</v>
      </c>
      <c r="X5" s="18">
        <v>2019</v>
      </c>
      <c r="Y5" s="19" t="s">
        <v>483</v>
      </c>
      <c r="Z5" s="18">
        <v>1</v>
      </c>
      <c r="AA5" s="20">
        <f>-SUMIFS('TRA RESID'!$P:$P,'TRA RESID'!$I:$I,W5,'TRA RESID'!$J:$J,T5,'TRA RESID'!$H:$H,U5)/SUMIFS('TRA RESID'!$P:$P,'TRA RESID'!$I:$I,W5)*AE5</f>
        <v>0</v>
      </c>
      <c r="AB5" s="18">
        <v>0</v>
      </c>
      <c r="AC5" s="18">
        <v>5</v>
      </c>
      <c r="AE5" s="21">
        <v>0.98</v>
      </c>
      <c r="AG5" s="15" t="str">
        <f>IF(SUMIFS('TRA RESID'!$P:$P,'TRA RESID'!$I:$I,AK5,'TRA RESID'!$J:$J,AH5,'TRA RESID'!$H:$H,AI5)=0,"*","UC_"&amp;SUBSTITUTE(AH5,"*","")&amp;"_"&amp;RIGHT(AI5,3)&amp;"_"&amp;AJ5)</f>
        <v>*</v>
      </c>
      <c r="AH5" s="17" t="s">
        <v>487</v>
      </c>
      <c r="AI5" s="17" t="str">
        <f>_xlfn.XLOOKUP($A5,Selected_constraint!$A:$A,Selected_constraint!$B:$B)</f>
        <v>TRAGSL</v>
      </c>
      <c r="AJ5" s="17" t="str">
        <f>_xlfn.XLOOKUP($A5,Selected_constraint!$A:$A,Selected_constraint!$C:$C)</f>
        <v>TRAPASCARDMD</v>
      </c>
      <c r="AK5" s="17" t="str">
        <f>AJ5</f>
        <v>TRAPASCARDMD</v>
      </c>
      <c r="AL5" s="18">
        <v>2019</v>
      </c>
      <c r="AM5" s="19" t="s">
        <v>483</v>
      </c>
      <c r="AN5" s="18">
        <v>1</v>
      </c>
      <c r="AO5" s="20">
        <f>-SUMIFS('TRA RESID'!$P:$P,'TRA RESID'!$I:$I,AK5,'TRA RESID'!$J:$J,AH5,'TRA RESID'!$H:$H,AI5)/SUMIFS('TRA RESID'!$P:$P,'TRA RESID'!$I:$I,AK5)*AS5</f>
        <v>0</v>
      </c>
      <c r="AP5" s="18">
        <v>0</v>
      </c>
      <c r="AQ5" s="18">
        <v>5</v>
      </c>
      <c r="AS5" s="21">
        <v>0.98</v>
      </c>
      <c r="AU5" s="15" t="str">
        <f>IF(SUMIFS('TRA RESID'!$P:$P,'TRA RESID'!$I:$I,AY5,'TRA RESID'!$J:$J,AV5,'TRA RESID'!$H:$H,AW5)=0,"*","UC_"&amp;SUBSTITUTE(AV5,"*","")&amp;"_"&amp;RIGHT(AW5,3)&amp;"_"&amp;AX5)</f>
        <v>*</v>
      </c>
      <c r="AV5" s="17" t="s">
        <v>488</v>
      </c>
      <c r="AW5" s="17" t="str">
        <f>_xlfn.XLOOKUP($A5,Selected_constraint!$A:$A,Selected_constraint!$B:$B)</f>
        <v>TRAGSL</v>
      </c>
      <c r="AX5" s="17" t="str">
        <f>_xlfn.XLOOKUP($A5,Selected_constraint!$A:$A,Selected_constraint!$C:$C)</f>
        <v>TRAPASCARDMD</v>
      </c>
      <c r="AY5" s="17" t="str">
        <f>AX5</f>
        <v>TRAPASCARDMD</v>
      </c>
      <c r="AZ5" s="18">
        <v>2019</v>
      </c>
      <c r="BA5" s="19" t="s">
        <v>483</v>
      </c>
      <c r="BB5" s="18">
        <v>1</v>
      </c>
      <c r="BC5" s="20">
        <f>-SUMIFS('TRA RESID'!$P:$P,'TRA RESID'!$I:$I,AY5,'TRA RESID'!$J:$J,AV5,'TRA RESID'!$H:$H,AW5)/SUMIFS('TRA RESID'!$P:$P,'TRA RESID'!$I:$I,AY5)*BG5</f>
        <v>0</v>
      </c>
      <c r="BD5" s="18">
        <v>0</v>
      </c>
      <c r="BE5" s="18">
        <v>5</v>
      </c>
      <c r="BG5" s="21">
        <v>0.98</v>
      </c>
    </row>
    <row r="6" spans="1:59" x14ac:dyDescent="0.25">
      <c r="C6" s="15" t="str">
        <f>IF(C5="*",C5,"")</f>
        <v/>
      </c>
      <c r="D6" s="17" t="str">
        <f t="shared" ref="D6:G9" si="0">D5</f>
        <v>*ICEV*</v>
      </c>
      <c r="E6" s="17" t="str">
        <f t="shared" si="0"/>
        <v>TRAGSL</v>
      </c>
      <c r="F6" s="17" t="str">
        <f t="shared" si="0"/>
        <v>TRAPASCARDMD</v>
      </c>
      <c r="G6" s="17" t="str">
        <f t="shared" si="0"/>
        <v>TRAPASCARDMD</v>
      </c>
      <c r="H6" s="18">
        <v>2025</v>
      </c>
      <c r="I6" s="18" t="str">
        <f>I5</f>
        <v>LO</v>
      </c>
      <c r="J6" s="18"/>
      <c r="K6" s="20">
        <f>-SUMIFS('TRA RESID'!$P:$P,'TRA RESID'!$I:$I,G6,'TRA RESID'!$J:$J,D6,'TRA RESID'!$H:$H,E6)/SUMIFS('TRA RESID'!$P:$P,'TRA RESID'!$I:$I,G6)*O6</f>
        <v>-0.78359057755506678</v>
      </c>
      <c r="L6" s="18"/>
      <c r="M6" s="18"/>
      <c r="O6" s="21">
        <v>0.8</v>
      </c>
      <c r="S6" s="15" t="str">
        <f>IF(S5="*",S5,"")</f>
        <v>*</v>
      </c>
      <c r="T6" s="17" t="str">
        <f t="shared" ref="T6:W9" si="1">T5</f>
        <v>*BEV*</v>
      </c>
      <c r="U6" s="17" t="str">
        <f t="shared" si="1"/>
        <v>TRAGSL</v>
      </c>
      <c r="V6" s="17" t="str">
        <f t="shared" si="1"/>
        <v>TRAPASCARDMD</v>
      </c>
      <c r="W6" s="17" t="str">
        <f t="shared" si="1"/>
        <v>TRAPASCARDMD</v>
      </c>
      <c r="X6" s="18">
        <v>2025</v>
      </c>
      <c r="Y6" s="18" t="str">
        <f>Y5</f>
        <v>LO</v>
      </c>
      <c r="Z6" s="18"/>
      <c r="AA6" s="20">
        <f>-SUMIFS('TRA RESID'!$P:$P,'TRA RESID'!$I:$I,W6,'TRA RESID'!$J:$J,T6,'TRA RESID'!$H:$H,U6)/SUMIFS('TRA RESID'!$P:$P,'TRA RESID'!$I:$I,W6)*AE6</f>
        <v>0</v>
      </c>
      <c r="AB6" s="18"/>
      <c r="AC6" s="18"/>
      <c r="AE6" s="21">
        <v>1</v>
      </c>
      <c r="AG6" s="15" t="str">
        <f>IF(AG5="*",AG5,"")</f>
        <v>*</v>
      </c>
      <c r="AH6" s="17" t="str">
        <f t="shared" ref="AH6:AK9" si="2">AH5</f>
        <v>*HEV*</v>
      </c>
      <c r="AI6" s="17" t="str">
        <f t="shared" si="2"/>
        <v>TRAGSL</v>
      </c>
      <c r="AJ6" s="17" t="str">
        <f t="shared" si="2"/>
        <v>TRAPASCARDMD</v>
      </c>
      <c r="AK6" s="17" t="str">
        <f t="shared" si="2"/>
        <v>TRAPASCARDMD</v>
      </c>
      <c r="AL6" s="18">
        <v>2025</v>
      </c>
      <c r="AM6" s="18" t="str">
        <f>AM5</f>
        <v>LO</v>
      </c>
      <c r="AN6" s="18"/>
      <c r="AO6" s="20">
        <f>-SUMIFS('TRA RESID'!$P:$P,'TRA RESID'!$I:$I,AK6,'TRA RESID'!$J:$J,AH6,'TRA RESID'!$H:$H,AI6)/SUMIFS('TRA RESID'!$P:$P,'TRA RESID'!$I:$I,AK6)*AS6</f>
        <v>0</v>
      </c>
      <c r="AP6" s="18"/>
      <c r="AQ6" s="18"/>
      <c r="AS6" s="21">
        <v>0.8</v>
      </c>
      <c r="AU6" s="15" t="str">
        <f>IF(AU5="*",AU5,"")</f>
        <v>*</v>
      </c>
      <c r="AV6" s="17" t="str">
        <f t="shared" ref="AV6:AY9" si="3">AV5</f>
        <v>*FCEV*</v>
      </c>
      <c r="AW6" s="17" t="str">
        <f t="shared" si="3"/>
        <v>TRAGSL</v>
      </c>
      <c r="AX6" s="17" t="str">
        <f t="shared" si="3"/>
        <v>TRAPASCARDMD</v>
      </c>
      <c r="AY6" s="17" t="str">
        <f t="shared" si="3"/>
        <v>TRAPASCARDMD</v>
      </c>
      <c r="AZ6" s="18">
        <v>2025</v>
      </c>
      <c r="BA6" s="18" t="str">
        <f>BA5</f>
        <v>LO</v>
      </c>
      <c r="BB6" s="18"/>
      <c r="BC6" s="20">
        <f>-SUMIFS('TRA RESID'!$P:$P,'TRA RESID'!$I:$I,AY6,'TRA RESID'!$J:$J,AV6,'TRA RESID'!$H:$H,AW6)/SUMIFS('TRA RESID'!$P:$P,'TRA RESID'!$I:$I,AY6)*BG6</f>
        <v>0</v>
      </c>
      <c r="BD6" s="18"/>
      <c r="BE6" s="18"/>
      <c r="BG6" s="21">
        <v>0.8</v>
      </c>
    </row>
    <row r="7" spans="1:59" x14ac:dyDescent="0.25">
      <c r="C7" s="15" t="str">
        <f>IF(C6="*",C6,"")</f>
        <v/>
      </c>
      <c r="D7" s="17" t="str">
        <f t="shared" si="0"/>
        <v>*ICEV*</v>
      </c>
      <c r="E7" s="17" t="str">
        <f t="shared" si="0"/>
        <v>TRAGSL</v>
      </c>
      <c r="F7" s="17" t="str">
        <f t="shared" si="0"/>
        <v>TRAPASCARDMD</v>
      </c>
      <c r="G7" s="17" t="str">
        <f t="shared" si="0"/>
        <v>TRAPASCARDMD</v>
      </c>
      <c r="H7" s="18">
        <v>2030</v>
      </c>
      <c r="I7" s="18" t="str">
        <f>I6</f>
        <v>LO</v>
      </c>
      <c r="J7" s="18"/>
      <c r="K7" s="20">
        <f>-SUMIFS('TRA RESID'!$P:$P,'TRA RESID'!$I:$I,G7,'TRA RESID'!$J:$J,D7,'TRA RESID'!$H:$H,E7)/SUMIFS('TRA RESID'!$P:$P,'TRA RESID'!$I:$I,G7)*O7</f>
        <v>-0.48974411097191672</v>
      </c>
      <c r="L7" s="18"/>
      <c r="M7" s="18"/>
      <c r="O7" s="21">
        <v>0.5</v>
      </c>
      <c r="S7" s="15" t="str">
        <f>IF(S6="*",S6,"")</f>
        <v>*</v>
      </c>
      <c r="T7" s="17" t="str">
        <f t="shared" si="1"/>
        <v>*BEV*</v>
      </c>
      <c r="U7" s="17" t="str">
        <f t="shared" si="1"/>
        <v>TRAGSL</v>
      </c>
      <c r="V7" s="17" t="str">
        <f t="shared" si="1"/>
        <v>TRAPASCARDMD</v>
      </c>
      <c r="W7" s="17" t="str">
        <f t="shared" si="1"/>
        <v>TRAPASCARDMD</v>
      </c>
      <c r="X7" s="18">
        <v>2030</v>
      </c>
      <c r="Y7" s="18" t="str">
        <f>Y6</f>
        <v>LO</v>
      </c>
      <c r="Z7" s="18"/>
      <c r="AA7" s="20">
        <f>-SUMIFS('TRA RESID'!$P:$P,'TRA RESID'!$I:$I,W7,'TRA RESID'!$J:$J,T7,'TRA RESID'!$H:$H,U7)/SUMIFS('TRA RESID'!$P:$P,'TRA RESID'!$I:$I,W7)*AE7</f>
        <v>0</v>
      </c>
      <c r="AB7" s="18"/>
      <c r="AC7" s="18"/>
      <c r="AE7" s="21">
        <v>1</v>
      </c>
      <c r="AG7" s="15" t="str">
        <f>IF(AG6="*",AG6,"")</f>
        <v>*</v>
      </c>
      <c r="AH7" s="17" t="str">
        <f t="shared" si="2"/>
        <v>*HEV*</v>
      </c>
      <c r="AI7" s="17" t="str">
        <f t="shared" si="2"/>
        <v>TRAGSL</v>
      </c>
      <c r="AJ7" s="17" t="str">
        <f t="shared" si="2"/>
        <v>TRAPASCARDMD</v>
      </c>
      <c r="AK7" s="17" t="str">
        <f t="shared" si="2"/>
        <v>TRAPASCARDMD</v>
      </c>
      <c r="AL7" s="18">
        <v>2030</v>
      </c>
      <c r="AM7" s="18" t="str">
        <f>AM6</f>
        <v>LO</v>
      </c>
      <c r="AN7" s="18"/>
      <c r="AO7" s="20">
        <f>-SUMIFS('TRA RESID'!$P:$P,'TRA RESID'!$I:$I,AK7,'TRA RESID'!$J:$J,AH7,'TRA RESID'!$H:$H,AI7)/SUMIFS('TRA RESID'!$P:$P,'TRA RESID'!$I:$I,AK7)*AS7</f>
        <v>0</v>
      </c>
      <c r="AP7" s="18"/>
      <c r="AQ7" s="18"/>
      <c r="AS7" s="21">
        <v>0.5</v>
      </c>
      <c r="AU7" s="15" t="str">
        <f>IF(AU6="*",AU6,"")</f>
        <v>*</v>
      </c>
      <c r="AV7" s="17" t="str">
        <f t="shared" si="3"/>
        <v>*FCEV*</v>
      </c>
      <c r="AW7" s="17" t="str">
        <f t="shared" si="3"/>
        <v>TRAGSL</v>
      </c>
      <c r="AX7" s="17" t="str">
        <f t="shared" si="3"/>
        <v>TRAPASCARDMD</v>
      </c>
      <c r="AY7" s="17" t="str">
        <f t="shared" si="3"/>
        <v>TRAPASCARDMD</v>
      </c>
      <c r="AZ7" s="18">
        <v>2030</v>
      </c>
      <c r="BA7" s="18" t="str">
        <f>BA6</f>
        <v>LO</v>
      </c>
      <c r="BB7" s="18"/>
      <c r="BC7" s="20">
        <f>-SUMIFS('TRA RESID'!$P:$P,'TRA RESID'!$I:$I,AY7,'TRA RESID'!$J:$J,AV7,'TRA RESID'!$H:$H,AW7)/SUMIFS('TRA RESID'!$P:$P,'TRA RESID'!$I:$I,AY7)*BG7</f>
        <v>0</v>
      </c>
      <c r="BD7" s="18"/>
      <c r="BE7" s="18"/>
      <c r="BG7" s="21">
        <v>0.5</v>
      </c>
    </row>
    <row r="8" spans="1:59" x14ac:dyDescent="0.25">
      <c r="C8" s="15" t="str">
        <f>IF(C7="*",C7,"")</f>
        <v/>
      </c>
      <c r="D8" s="17" t="str">
        <f t="shared" si="0"/>
        <v>*ICEV*</v>
      </c>
      <c r="E8" s="17" t="str">
        <f t="shared" si="0"/>
        <v>TRAGSL</v>
      </c>
      <c r="F8" s="17" t="str">
        <f t="shared" si="0"/>
        <v>TRAPASCARDMD</v>
      </c>
      <c r="G8" s="17" t="str">
        <f t="shared" si="0"/>
        <v>TRAPASCARDMD</v>
      </c>
      <c r="H8" s="18">
        <v>2040</v>
      </c>
      <c r="I8" s="18" t="str">
        <f>I7</f>
        <v>LO</v>
      </c>
      <c r="J8" s="18"/>
      <c r="K8" s="20">
        <f>-SUMIFS('TRA RESID'!$P:$P,'TRA RESID'!$I:$I,G8,'TRA RESID'!$J:$J,D8,'TRA RESID'!$H:$H,E8)/SUMIFS('TRA RESID'!$P:$P,'TRA RESID'!$I:$I,G8)*O8</f>
        <v>0</v>
      </c>
      <c r="L8" s="18"/>
      <c r="M8" s="18"/>
      <c r="O8" s="21">
        <v>0</v>
      </c>
      <c r="S8" s="15" t="str">
        <f>IF(S7="*",S7,"")</f>
        <v>*</v>
      </c>
      <c r="T8" s="17" t="str">
        <f t="shared" si="1"/>
        <v>*BEV*</v>
      </c>
      <c r="U8" s="17" t="str">
        <f t="shared" si="1"/>
        <v>TRAGSL</v>
      </c>
      <c r="V8" s="17" t="str">
        <f t="shared" si="1"/>
        <v>TRAPASCARDMD</v>
      </c>
      <c r="W8" s="17" t="str">
        <f t="shared" si="1"/>
        <v>TRAPASCARDMD</v>
      </c>
      <c r="X8" s="18">
        <v>2040</v>
      </c>
      <c r="Y8" s="18" t="str">
        <f>Y7</f>
        <v>LO</v>
      </c>
      <c r="Z8" s="18"/>
      <c r="AA8" s="20">
        <f>-SUMIFS('TRA RESID'!$P:$P,'TRA RESID'!$I:$I,W8,'TRA RESID'!$J:$J,T8,'TRA RESID'!$H:$H,U8)/SUMIFS('TRA RESID'!$P:$P,'TRA RESID'!$I:$I,W8)*AE8</f>
        <v>0</v>
      </c>
      <c r="AB8" s="18"/>
      <c r="AC8" s="18"/>
      <c r="AE8" s="21">
        <v>1</v>
      </c>
      <c r="AG8" s="15" t="str">
        <f>IF(AG7="*",AG7,"")</f>
        <v>*</v>
      </c>
      <c r="AH8" s="17" t="str">
        <f t="shared" si="2"/>
        <v>*HEV*</v>
      </c>
      <c r="AI8" s="17" t="str">
        <f t="shared" si="2"/>
        <v>TRAGSL</v>
      </c>
      <c r="AJ8" s="17" t="str">
        <f t="shared" si="2"/>
        <v>TRAPASCARDMD</v>
      </c>
      <c r="AK8" s="17" t="str">
        <f t="shared" si="2"/>
        <v>TRAPASCARDMD</v>
      </c>
      <c r="AL8" s="18">
        <v>2040</v>
      </c>
      <c r="AM8" s="18" t="str">
        <f>AM7</f>
        <v>LO</v>
      </c>
      <c r="AN8" s="18"/>
      <c r="AO8" s="20">
        <f>-SUMIFS('TRA RESID'!$P:$P,'TRA RESID'!$I:$I,AK8,'TRA RESID'!$J:$J,AH8,'TRA RESID'!$H:$H,AI8)/SUMIFS('TRA RESID'!$P:$P,'TRA RESID'!$I:$I,AK8)*AS8</f>
        <v>0</v>
      </c>
      <c r="AP8" s="18"/>
      <c r="AQ8" s="18"/>
      <c r="AS8" s="21">
        <v>0</v>
      </c>
      <c r="AU8" s="15" t="str">
        <f>IF(AU7="*",AU7,"")</f>
        <v>*</v>
      </c>
      <c r="AV8" s="17" t="str">
        <f t="shared" si="3"/>
        <v>*FCEV*</v>
      </c>
      <c r="AW8" s="17" t="str">
        <f t="shared" si="3"/>
        <v>TRAGSL</v>
      </c>
      <c r="AX8" s="17" t="str">
        <f t="shared" si="3"/>
        <v>TRAPASCARDMD</v>
      </c>
      <c r="AY8" s="17" t="str">
        <f t="shared" si="3"/>
        <v>TRAPASCARDMD</v>
      </c>
      <c r="AZ8" s="18">
        <v>2040</v>
      </c>
      <c r="BA8" s="18" t="str">
        <f>BA7</f>
        <v>LO</v>
      </c>
      <c r="BB8" s="18"/>
      <c r="BC8" s="20">
        <f>-SUMIFS('TRA RESID'!$P:$P,'TRA RESID'!$I:$I,AY8,'TRA RESID'!$J:$J,AV8,'TRA RESID'!$H:$H,AW8)/SUMIFS('TRA RESID'!$P:$P,'TRA RESID'!$I:$I,AY8)*BG8</f>
        <v>0</v>
      </c>
      <c r="BD8" s="18"/>
      <c r="BE8" s="18"/>
      <c r="BG8" s="21">
        <v>0</v>
      </c>
    </row>
    <row r="9" spans="1:59" x14ac:dyDescent="0.25">
      <c r="C9" s="23" t="str">
        <f>IF(C8="*",C8,"")</f>
        <v/>
      </c>
      <c r="D9" s="25" t="str">
        <f t="shared" si="0"/>
        <v>*ICEV*</v>
      </c>
      <c r="E9" s="25" t="str">
        <f t="shared" si="0"/>
        <v>TRAGSL</v>
      </c>
      <c r="F9" s="25" t="str">
        <f t="shared" si="0"/>
        <v>TRAPASCARDMD</v>
      </c>
      <c r="G9" s="25" t="str">
        <f t="shared" si="0"/>
        <v>TRAPASCARDMD</v>
      </c>
      <c r="H9" s="26">
        <v>2050</v>
      </c>
      <c r="I9" s="26" t="str">
        <f>I7</f>
        <v>LO</v>
      </c>
      <c r="J9" s="26"/>
      <c r="K9" s="27">
        <f>-SUMIFS('TRA RESID'!$P:$P,'TRA RESID'!$I:$I,G9,'TRA RESID'!$J:$J,D9,'TRA RESID'!$H:$H,E9)/SUMIFS('TRA RESID'!$P:$P,'TRA RESID'!$I:$I,G9)*O9</f>
        <v>0</v>
      </c>
      <c r="L9" s="26"/>
      <c r="M9" s="26"/>
      <c r="O9" s="28">
        <v>0</v>
      </c>
      <c r="S9" s="23" t="str">
        <f>IF(S8="*",S8,"")</f>
        <v>*</v>
      </c>
      <c r="T9" s="25" t="str">
        <f t="shared" si="1"/>
        <v>*BEV*</v>
      </c>
      <c r="U9" s="25" t="str">
        <f t="shared" si="1"/>
        <v>TRAGSL</v>
      </c>
      <c r="V9" s="25" t="str">
        <f t="shared" si="1"/>
        <v>TRAPASCARDMD</v>
      </c>
      <c r="W9" s="25" t="str">
        <f t="shared" si="1"/>
        <v>TRAPASCARDMD</v>
      </c>
      <c r="X9" s="26">
        <v>2050</v>
      </c>
      <c r="Y9" s="26" t="str">
        <f>Y7</f>
        <v>LO</v>
      </c>
      <c r="Z9" s="26"/>
      <c r="AA9" s="27">
        <f>-SUMIFS('TRA RESID'!$P:$P,'TRA RESID'!$I:$I,W9,'TRA RESID'!$J:$J,T9,'TRA RESID'!$H:$H,U9)/SUMIFS('TRA RESID'!$P:$P,'TRA RESID'!$I:$I,W9)*AE9</f>
        <v>0</v>
      </c>
      <c r="AB9" s="26"/>
      <c r="AC9" s="26"/>
      <c r="AE9" s="28">
        <v>1</v>
      </c>
      <c r="AG9" s="23" t="str">
        <f>IF(AG8="*",AG8,"")</f>
        <v>*</v>
      </c>
      <c r="AH9" s="25" t="str">
        <f t="shared" si="2"/>
        <v>*HEV*</v>
      </c>
      <c r="AI9" s="25" t="str">
        <f t="shared" si="2"/>
        <v>TRAGSL</v>
      </c>
      <c r="AJ9" s="25" t="str">
        <f t="shared" si="2"/>
        <v>TRAPASCARDMD</v>
      </c>
      <c r="AK9" s="25" t="str">
        <f t="shared" si="2"/>
        <v>TRAPASCARDMD</v>
      </c>
      <c r="AL9" s="26">
        <v>2050</v>
      </c>
      <c r="AM9" s="26" t="str">
        <f>AM7</f>
        <v>LO</v>
      </c>
      <c r="AN9" s="26"/>
      <c r="AO9" s="27">
        <f>-SUMIFS('TRA RESID'!$P:$P,'TRA RESID'!$I:$I,AK9,'TRA RESID'!$J:$J,AH9,'TRA RESID'!$H:$H,AI9)/SUMIFS('TRA RESID'!$P:$P,'TRA RESID'!$I:$I,AK9)*AS9</f>
        <v>0</v>
      </c>
      <c r="AP9" s="26"/>
      <c r="AQ9" s="26"/>
      <c r="AS9" s="28">
        <v>0</v>
      </c>
      <c r="AU9" s="23" t="str">
        <f>IF(AU8="*",AU8,"")</f>
        <v>*</v>
      </c>
      <c r="AV9" s="25" t="str">
        <f t="shared" si="3"/>
        <v>*FCEV*</v>
      </c>
      <c r="AW9" s="25" t="str">
        <f t="shared" si="3"/>
        <v>TRAGSL</v>
      </c>
      <c r="AX9" s="25" t="str">
        <f t="shared" si="3"/>
        <v>TRAPASCARDMD</v>
      </c>
      <c r="AY9" s="25" t="str">
        <f t="shared" si="3"/>
        <v>TRAPASCARDMD</v>
      </c>
      <c r="AZ9" s="26">
        <v>2050</v>
      </c>
      <c r="BA9" s="26" t="str">
        <f>BA7</f>
        <v>LO</v>
      </c>
      <c r="BB9" s="26"/>
      <c r="BC9" s="27">
        <f>-SUMIFS('TRA RESID'!$P:$P,'TRA RESID'!$I:$I,AY9,'TRA RESID'!$J:$J,AV9,'TRA RESID'!$H:$H,AW9)/SUMIFS('TRA RESID'!$P:$P,'TRA RESID'!$I:$I,AY9)*BG9</f>
        <v>0</v>
      </c>
      <c r="BD9" s="26"/>
      <c r="BE9" s="26"/>
      <c r="BG9" s="28">
        <v>0</v>
      </c>
    </row>
    <row r="10" spans="1:59" x14ac:dyDescent="0.25">
      <c r="A10">
        <f>A5+1</f>
        <v>2</v>
      </c>
      <c r="C10" s="15" t="str">
        <f>IF(E10="","",IF(_xlfn.XLOOKUP($A10,Selected_constraint!$A:$A,Selected_constraint!$D:$D)=1,"*",IF(SUMIFS('TRA TECH'!$M:$M,'TRA TECH'!$H:$H,E10,'TRA TECH'!$I:$I,F10)=0,"*",IF(SUMIFS('TRA RESID'!$P:$P,'TRA RESID'!$I:$I,G10,'TRA RESID'!$J:$J,D10,'TRA RESID'!$H:$H,E10)=0,"*","UC_"&amp;SUBSTITUTE(D10,"*","")&amp;"_"&amp;RIGHT(E10,3)&amp;"_"&amp;F10))))</f>
        <v>*</v>
      </c>
      <c r="D10" s="17" t="s">
        <v>485</v>
      </c>
      <c r="E10" s="17" t="str">
        <f>_xlfn.XLOOKUP($A10,Selected_constraint!$A:$A,Selected_constraint!$B:$B)</f>
        <v>TRAETH</v>
      </c>
      <c r="F10" s="17" t="str">
        <f>_xlfn.XLOOKUP($A10,Selected_constraint!$A:$A,Selected_constraint!$C:$C)</f>
        <v>TRAPASCARDMD</v>
      </c>
      <c r="G10" s="17" t="str">
        <f>F10</f>
        <v>TRAPASCARDMD</v>
      </c>
      <c r="H10" s="18">
        <v>2019</v>
      </c>
      <c r="I10" s="18" t="s">
        <v>483</v>
      </c>
      <c r="J10" s="18">
        <v>1</v>
      </c>
      <c r="K10" s="20">
        <f>-SUMIFS('TRA RESID'!$P:$P,'TRA RESID'!$I:$I,G10,'TRA RESID'!$J:$J,D10,'TRA RESID'!$H:$H,E10)/SUMIFS('TRA RESID'!$P:$P,'TRA RESID'!$I:$I,G10)*O10</f>
        <v>0</v>
      </c>
      <c r="L10" s="18">
        <v>0</v>
      </c>
      <c r="M10" s="18">
        <v>5</v>
      </c>
      <c r="O10" s="21">
        <v>0.98</v>
      </c>
      <c r="Q10">
        <f>Q5+1</f>
        <v>2</v>
      </c>
      <c r="S10" s="15" t="str">
        <f>IF(SUMIFS('TRA RESID'!$P:$P,'TRA RESID'!$I:$I,W10,'TRA RESID'!$J:$J,T10,'TRA RESID'!$H:$H,U10)=0,"*","UC_"&amp;SUBSTITUTE(T10,"*","")&amp;"_"&amp;RIGHT(U10,3)&amp;"_"&amp;V10)</f>
        <v>*</v>
      </c>
      <c r="T10" s="17" t="s">
        <v>486</v>
      </c>
      <c r="U10" s="17" t="str">
        <f>_xlfn.XLOOKUP($A10,Selected_constraint!$A:$A,Selected_constraint!$B:$B)</f>
        <v>TRAETH</v>
      </c>
      <c r="V10" s="17" t="str">
        <f>_xlfn.XLOOKUP($A10,Selected_constraint!$A:$A,Selected_constraint!$C:$C)</f>
        <v>TRAPASCARDMD</v>
      </c>
      <c r="W10" s="17" t="str">
        <f>V10</f>
        <v>TRAPASCARDMD</v>
      </c>
      <c r="X10" s="18">
        <v>2019</v>
      </c>
      <c r="Y10" s="18" t="s">
        <v>483</v>
      </c>
      <c r="Z10" s="18">
        <v>1</v>
      </c>
      <c r="AA10" s="20">
        <f>-SUMIFS('TRA RESID'!$P:$P,'TRA RESID'!$I:$I,W10,'TRA RESID'!$J:$J,T10,'TRA RESID'!$H:$H,U10)/SUMIFS('TRA RESID'!$P:$P,'TRA RESID'!$I:$I,W10)*AE10</f>
        <v>0</v>
      </c>
      <c r="AB10" s="18">
        <v>0</v>
      </c>
      <c r="AC10" s="18">
        <v>5</v>
      </c>
      <c r="AE10" s="21">
        <v>0.98</v>
      </c>
      <c r="AG10" s="15" t="str">
        <f>IF(SUMIFS('TRA RESID'!$P:$P,'TRA RESID'!$I:$I,AK10,'TRA RESID'!$J:$J,AH10,'TRA RESID'!$H:$H,AI10)=0,"*","UC_"&amp;SUBSTITUTE(AH10,"*","")&amp;"_"&amp;RIGHT(AI10,3)&amp;"_"&amp;AJ10)</f>
        <v>*</v>
      </c>
      <c r="AH10" s="17" t="s">
        <v>487</v>
      </c>
      <c r="AI10" s="17" t="str">
        <f>_xlfn.XLOOKUP($A10,Selected_constraint!$A:$A,Selected_constraint!$B:$B)</f>
        <v>TRAETH</v>
      </c>
      <c r="AJ10" s="17" t="str">
        <f>_xlfn.XLOOKUP($A10,Selected_constraint!$A:$A,Selected_constraint!$C:$C)</f>
        <v>TRAPASCARDMD</v>
      </c>
      <c r="AK10" s="17" t="str">
        <f>AJ10</f>
        <v>TRAPASCARDMD</v>
      </c>
      <c r="AL10" s="18">
        <v>2019</v>
      </c>
      <c r="AM10" s="18" t="s">
        <v>483</v>
      </c>
      <c r="AN10" s="18">
        <v>1</v>
      </c>
      <c r="AO10" s="20">
        <f>-SUMIFS('TRA RESID'!$P:$P,'TRA RESID'!$I:$I,AK10,'TRA RESID'!$J:$J,AH10,'TRA RESID'!$H:$H,AI10)/SUMIFS('TRA RESID'!$P:$P,'TRA RESID'!$I:$I,AK10)*AS10</f>
        <v>0</v>
      </c>
      <c r="AP10" s="18">
        <v>0</v>
      </c>
      <c r="AQ10" s="18">
        <v>5</v>
      </c>
      <c r="AS10" s="21">
        <v>0.98</v>
      </c>
      <c r="AU10" s="15" t="str">
        <f>IF(SUMIFS('TRA RESID'!$P:$P,'TRA RESID'!$I:$I,AY10,'TRA RESID'!$J:$J,AV10,'TRA RESID'!$H:$H,AW10)=0,"*","UC_"&amp;SUBSTITUTE(AV10,"*","")&amp;"_"&amp;RIGHT(AW10,3)&amp;"_"&amp;AX10)</f>
        <v>*</v>
      </c>
      <c r="AV10" s="17" t="s">
        <v>488</v>
      </c>
      <c r="AW10" s="17" t="str">
        <f>_xlfn.XLOOKUP($A10,Selected_constraint!$A:$A,Selected_constraint!$B:$B)</f>
        <v>TRAETH</v>
      </c>
      <c r="AX10" s="17" t="str">
        <f>_xlfn.XLOOKUP($A10,Selected_constraint!$A:$A,Selected_constraint!$C:$C)</f>
        <v>TRAPASCARDMD</v>
      </c>
      <c r="AY10" s="17" t="str">
        <f>AX10</f>
        <v>TRAPASCARDMD</v>
      </c>
      <c r="AZ10" s="18">
        <v>2019</v>
      </c>
      <c r="BA10" s="18" t="s">
        <v>483</v>
      </c>
      <c r="BB10" s="18">
        <v>1</v>
      </c>
      <c r="BC10" s="20">
        <f>-SUMIFS('TRA RESID'!$P:$P,'TRA RESID'!$I:$I,AY10,'TRA RESID'!$J:$J,AV10,'TRA RESID'!$H:$H,AW10)/SUMIFS('TRA RESID'!$P:$P,'TRA RESID'!$I:$I,AY10)*BG10</f>
        <v>0</v>
      </c>
      <c r="BD10" s="18">
        <v>0</v>
      </c>
      <c r="BE10" s="18">
        <v>5</v>
      </c>
      <c r="BG10" s="21">
        <v>0.98</v>
      </c>
    </row>
    <row r="11" spans="1:59" x14ac:dyDescent="0.25">
      <c r="C11" s="15" t="str">
        <f>IF(C10="*",C10,"")</f>
        <v>*</v>
      </c>
      <c r="D11" s="17" t="str">
        <f t="shared" ref="D11:G14" si="4">D10</f>
        <v>*ICEV*</v>
      </c>
      <c r="E11" s="17" t="str">
        <f t="shared" si="4"/>
        <v>TRAETH</v>
      </c>
      <c r="F11" s="17" t="str">
        <f t="shared" si="4"/>
        <v>TRAPASCARDMD</v>
      </c>
      <c r="G11" s="17" t="str">
        <f t="shared" si="4"/>
        <v>TRAPASCARDMD</v>
      </c>
      <c r="H11" s="18">
        <v>2025</v>
      </c>
      <c r="I11" s="18" t="str">
        <f>I10</f>
        <v>LO</v>
      </c>
      <c r="J11" s="18"/>
      <c r="K11" s="20">
        <f>-SUMIFS('TRA RESID'!$P:$P,'TRA RESID'!$I:$I,G11,'TRA RESID'!$J:$J,D11,'TRA RESID'!$H:$H,E11)/SUMIFS('TRA RESID'!$P:$P,'TRA RESID'!$I:$I,G11)*O11</f>
        <v>0</v>
      </c>
      <c r="L11" s="18"/>
      <c r="M11" s="18"/>
      <c r="O11" s="21">
        <v>0.8</v>
      </c>
      <c r="S11" s="15" t="str">
        <f>IF(S10="*",S10,"")</f>
        <v>*</v>
      </c>
      <c r="T11" s="17" t="str">
        <f t="shared" ref="T11:W14" si="5">T10</f>
        <v>*BEV*</v>
      </c>
      <c r="U11" s="17" t="str">
        <f t="shared" si="5"/>
        <v>TRAETH</v>
      </c>
      <c r="V11" s="17" t="str">
        <f t="shared" si="5"/>
        <v>TRAPASCARDMD</v>
      </c>
      <c r="W11" s="17" t="str">
        <f t="shared" si="5"/>
        <v>TRAPASCARDMD</v>
      </c>
      <c r="X11" s="18">
        <v>2025</v>
      </c>
      <c r="Y11" s="18" t="str">
        <f>Y10</f>
        <v>LO</v>
      </c>
      <c r="Z11" s="18"/>
      <c r="AA11" s="20">
        <f>-SUMIFS('TRA RESID'!$P:$P,'TRA RESID'!$I:$I,W11,'TRA RESID'!$J:$J,T11,'TRA RESID'!$H:$H,U11)/SUMIFS('TRA RESID'!$P:$P,'TRA RESID'!$I:$I,W11)*AE11</f>
        <v>0</v>
      </c>
      <c r="AB11" s="18"/>
      <c r="AC11" s="18"/>
      <c r="AE11" s="21">
        <v>1</v>
      </c>
      <c r="AG11" s="15" t="str">
        <f>IF(AG10="*",AG10,"")</f>
        <v>*</v>
      </c>
      <c r="AH11" s="17" t="str">
        <f t="shared" ref="AH11:AK14" si="6">AH10</f>
        <v>*HEV*</v>
      </c>
      <c r="AI11" s="17" t="str">
        <f t="shared" si="6"/>
        <v>TRAETH</v>
      </c>
      <c r="AJ11" s="17" t="str">
        <f t="shared" si="6"/>
        <v>TRAPASCARDMD</v>
      </c>
      <c r="AK11" s="17" t="str">
        <f t="shared" si="6"/>
        <v>TRAPASCARDMD</v>
      </c>
      <c r="AL11" s="18">
        <v>2025</v>
      </c>
      <c r="AM11" s="18" t="str">
        <f>AM10</f>
        <v>LO</v>
      </c>
      <c r="AN11" s="18"/>
      <c r="AO11" s="20">
        <f>-SUMIFS('TRA RESID'!$P:$P,'TRA RESID'!$I:$I,AK11,'TRA RESID'!$J:$J,AH11,'TRA RESID'!$H:$H,AI11)/SUMIFS('TRA RESID'!$P:$P,'TRA RESID'!$I:$I,AK11)*AS11</f>
        <v>0</v>
      </c>
      <c r="AP11" s="18"/>
      <c r="AQ11" s="18"/>
      <c r="AS11" s="21">
        <v>0.8</v>
      </c>
      <c r="AU11" s="15" t="str">
        <f>IF(AU10="*",AU10,"")</f>
        <v>*</v>
      </c>
      <c r="AV11" s="17" t="str">
        <f t="shared" ref="AV11:AY14" si="7">AV10</f>
        <v>*FCEV*</v>
      </c>
      <c r="AW11" s="17" t="str">
        <f t="shared" si="7"/>
        <v>TRAETH</v>
      </c>
      <c r="AX11" s="17" t="str">
        <f t="shared" si="7"/>
        <v>TRAPASCARDMD</v>
      </c>
      <c r="AY11" s="17" t="str">
        <f t="shared" si="7"/>
        <v>TRAPASCARDMD</v>
      </c>
      <c r="AZ11" s="18">
        <v>2025</v>
      </c>
      <c r="BA11" s="18" t="str">
        <f>BA10</f>
        <v>LO</v>
      </c>
      <c r="BB11" s="18"/>
      <c r="BC11" s="20">
        <f>-SUMIFS('TRA RESID'!$P:$P,'TRA RESID'!$I:$I,AY11,'TRA RESID'!$J:$J,AV11,'TRA RESID'!$H:$H,AW11)/SUMIFS('TRA RESID'!$P:$P,'TRA RESID'!$I:$I,AY11)*BG11</f>
        <v>0</v>
      </c>
      <c r="BD11" s="18"/>
      <c r="BE11" s="18"/>
      <c r="BG11" s="21">
        <v>0.8</v>
      </c>
    </row>
    <row r="12" spans="1:59" x14ac:dyDescent="0.25">
      <c r="C12" s="15" t="str">
        <f>IF(C11="*",C11,"")</f>
        <v>*</v>
      </c>
      <c r="D12" s="17" t="str">
        <f t="shared" si="4"/>
        <v>*ICEV*</v>
      </c>
      <c r="E12" s="17" t="str">
        <f t="shared" si="4"/>
        <v>TRAETH</v>
      </c>
      <c r="F12" s="17" t="str">
        <f t="shared" si="4"/>
        <v>TRAPASCARDMD</v>
      </c>
      <c r="G12" s="17" t="str">
        <f t="shared" si="4"/>
        <v>TRAPASCARDMD</v>
      </c>
      <c r="H12" s="18">
        <v>2030</v>
      </c>
      <c r="I12" s="18" t="str">
        <f>I11</f>
        <v>LO</v>
      </c>
      <c r="J12" s="18"/>
      <c r="K12" s="20">
        <f>-SUMIFS('TRA RESID'!$P:$P,'TRA RESID'!$I:$I,G12,'TRA RESID'!$J:$J,D12,'TRA RESID'!$H:$H,E12)/SUMIFS('TRA RESID'!$P:$P,'TRA RESID'!$I:$I,G12)*O12</f>
        <v>0</v>
      </c>
      <c r="L12" s="18"/>
      <c r="M12" s="18"/>
      <c r="O12" s="21">
        <v>0.5</v>
      </c>
      <c r="S12" s="15" t="str">
        <f>IF(S11="*",S11,"")</f>
        <v>*</v>
      </c>
      <c r="T12" s="17" t="str">
        <f t="shared" si="5"/>
        <v>*BEV*</v>
      </c>
      <c r="U12" s="17" t="str">
        <f t="shared" si="5"/>
        <v>TRAETH</v>
      </c>
      <c r="V12" s="17" t="str">
        <f t="shared" si="5"/>
        <v>TRAPASCARDMD</v>
      </c>
      <c r="W12" s="17" t="str">
        <f t="shared" si="5"/>
        <v>TRAPASCARDMD</v>
      </c>
      <c r="X12" s="18">
        <v>2030</v>
      </c>
      <c r="Y12" s="18" t="str">
        <f>Y11</f>
        <v>LO</v>
      </c>
      <c r="Z12" s="18"/>
      <c r="AA12" s="20">
        <f>-SUMIFS('TRA RESID'!$P:$P,'TRA RESID'!$I:$I,W12,'TRA RESID'!$J:$J,T12,'TRA RESID'!$H:$H,U12)/SUMIFS('TRA RESID'!$P:$P,'TRA RESID'!$I:$I,W12)*AE12</f>
        <v>0</v>
      </c>
      <c r="AB12" s="18"/>
      <c r="AC12" s="18"/>
      <c r="AE12" s="21">
        <v>1</v>
      </c>
      <c r="AG12" s="15" t="str">
        <f>IF(AG11="*",AG11,"")</f>
        <v>*</v>
      </c>
      <c r="AH12" s="17" t="str">
        <f t="shared" si="6"/>
        <v>*HEV*</v>
      </c>
      <c r="AI12" s="17" t="str">
        <f t="shared" si="6"/>
        <v>TRAETH</v>
      </c>
      <c r="AJ12" s="17" t="str">
        <f t="shared" si="6"/>
        <v>TRAPASCARDMD</v>
      </c>
      <c r="AK12" s="17" t="str">
        <f t="shared" si="6"/>
        <v>TRAPASCARDMD</v>
      </c>
      <c r="AL12" s="18">
        <v>2030</v>
      </c>
      <c r="AM12" s="18" t="str">
        <f>AM11</f>
        <v>LO</v>
      </c>
      <c r="AN12" s="18"/>
      <c r="AO12" s="20">
        <f>-SUMIFS('TRA RESID'!$P:$P,'TRA RESID'!$I:$I,AK12,'TRA RESID'!$J:$J,AH12,'TRA RESID'!$H:$H,AI12)/SUMIFS('TRA RESID'!$P:$P,'TRA RESID'!$I:$I,AK12)*AS12</f>
        <v>0</v>
      </c>
      <c r="AP12" s="18"/>
      <c r="AQ12" s="18"/>
      <c r="AS12" s="21">
        <v>0.5</v>
      </c>
      <c r="AU12" s="15" t="str">
        <f>IF(AU11="*",AU11,"")</f>
        <v>*</v>
      </c>
      <c r="AV12" s="17" t="str">
        <f t="shared" si="7"/>
        <v>*FCEV*</v>
      </c>
      <c r="AW12" s="17" t="str">
        <f t="shared" si="7"/>
        <v>TRAETH</v>
      </c>
      <c r="AX12" s="17" t="str">
        <f t="shared" si="7"/>
        <v>TRAPASCARDMD</v>
      </c>
      <c r="AY12" s="17" t="str">
        <f t="shared" si="7"/>
        <v>TRAPASCARDMD</v>
      </c>
      <c r="AZ12" s="18">
        <v>2030</v>
      </c>
      <c r="BA12" s="18" t="str">
        <f>BA11</f>
        <v>LO</v>
      </c>
      <c r="BB12" s="18"/>
      <c r="BC12" s="20">
        <f>-SUMIFS('TRA RESID'!$P:$P,'TRA RESID'!$I:$I,AY12,'TRA RESID'!$J:$J,AV12,'TRA RESID'!$H:$H,AW12)/SUMIFS('TRA RESID'!$P:$P,'TRA RESID'!$I:$I,AY12)*BG12</f>
        <v>0</v>
      </c>
      <c r="BD12" s="18"/>
      <c r="BE12" s="18"/>
      <c r="BG12" s="21">
        <v>0.5</v>
      </c>
    </row>
    <row r="13" spans="1:59" x14ac:dyDescent="0.25">
      <c r="C13" s="15" t="str">
        <f>IF(C12="*",C12,"")</f>
        <v>*</v>
      </c>
      <c r="D13" s="17" t="str">
        <f t="shared" si="4"/>
        <v>*ICEV*</v>
      </c>
      <c r="E13" s="17" t="str">
        <f t="shared" si="4"/>
        <v>TRAETH</v>
      </c>
      <c r="F13" s="17" t="str">
        <f t="shared" si="4"/>
        <v>TRAPASCARDMD</v>
      </c>
      <c r="G13" s="17" t="str">
        <f t="shared" si="4"/>
        <v>TRAPASCARDMD</v>
      </c>
      <c r="H13" s="18">
        <v>2040</v>
      </c>
      <c r="I13" s="18" t="str">
        <f>I12</f>
        <v>LO</v>
      </c>
      <c r="J13" s="18"/>
      <c r="K13" s="20">
        <f>-SUMIFS('TRA RESID'!$P:$P,'TRA RESID'!$I:$I,G13,'TRA RESID'!$J:$J,D13,'TRA RESID'!$H:$H,E13)/SUMIFS('TRA RESID'!$P:$P,'TRA RESID'!$I:$I,G13)*O13</f>
        <v>0</v>
      </c>
      <c r="L13" s="18"/>
      <c r="M13" s="18"/>
      <c r="O13" s="21">
        <v>0</v>
      </c>
      <c r="S13" s="15" t="str">
        <f>IF(S12="*",S12,"")</f>
        <v>*</v>
      </c>
      <c r="T13" s="17" t="str">
        <f t="shared" si="5"/>
        <v>*BEV*</v>
      </c>
      <c r="U13" s="17" t="str">
        <f t="shared" si="5"/>
        <v>TRAETH</v>
      </c>
      <c r="V13" s="17" t="str">
        <f t="shared" si="5"/>
        <v>TRAPASCARDMD</v>
      </c>
      <c r="W13" s="17" t="str">
        <f t="shared" si="5"/>
        <v>TRAPASCARDMD</v>
      </c>
      <c r="X13" s="18">
        <v>2040</v>
      </c>
      <c r="Y13" s="18" t="str">
        <f>Y12</f>
        <v>LO</v>
      </c>
      <c r="Z13" s="18"/>
      <c r="AA13" s="20">
        <f>-SUMIFS('TRA RESID'!$P:$P,'TRA RESID'!$I:$I,W13,'TRA RESID'!$J:$J,T13,'TRA RESID'!$H:$H,U13)/SUMIFS('TRA RESID'!$P:$P,'TRA RESID'!$I:$I,W13)*AE13</f>
        <v>0</v>
      </c>
      <c r="AB13" s="18"/>
      <c r="AC13" s="18"/>
      <c r="AE13" s="21">
        <v>1</v>
      </c>
      <c r="AG13" s="15" t="str">
        <f>IF(AG12="*",AG12,"")</f>
        <v>*</v>
      </c>
      <c r="AH13" s="17" t="str">
        <f t="shared" si="6"/>
        <v>*HEV*</v>
      </c>
      <c r="AI13" s="17" t="str">
        <f t="shared" si="6"/>
        <v>TRAETH</v>
      </c>
      <c r="AJ13" s="17" t="str">
        <f t="shared" si="6"/>
        <v>TRAPASCARDMD</v>
      </c>
      <c r="AK13" s="17" t="str">
        <f t="shared" si="6"/>
        <v>TRAPASCARDMD</v>
      </c>
      <c r="AL13" s="18">
        <v>2040</v>
      </c>
      <c r="AM13" s="18" t="str">
        <f>AM12</f>
        <v>LO</v>
      </c>
      <c r="AN13" s="18"/>
      <c r="AO13" s="20">
        <f>-SUMIFS('TRA RESID'!$P:$P,'TRA RESID'!$I:$I,AK13,'TRA RESID'!$J:$J,AH13,'TRA RESID'!$H:$H,AI13)/SUMIFS('TRA RESID'!$P:$P,'TRA RESID'!$I:$I,AK13)*AS13</f>
        <v>0</v>
      </c>
      <c r="AP13" s="18"/>
      <c r="AQ13" s="18"/>
      <c r="AS13" s="21">
        <v>0</v>
      </c>
      <c r="AU13" s="15" t="str">
        <f>IF(AU12="*",AU12,"")</f>
        <v>*</v>
      </c>
      <c r="AV13" s="17" t="str">
        <f t="shared" si="7"/>
        <v>*FCEV*</v>
      </c>
      <c r="AW13" s="17" t="str">
        <f t="shared" si="7"/>
        <v>TRAETH</v>
      </c>
      <c r="AX13" s="17" t="str">
        <f t="shared" si="7"/>
        <v>TRAPASCARDMD</v>
      </c>
      <c r="AY13" s="17" t="str">
        <f t="shared" si="7"/>
        <v>TRAPASCARDMD</v>
      </c>
      <c r="AZ13" s="18">
        <v>2040</v>
      </c>
      <c r="BA13" s="18" t="str">
        <f>BA12</f>
        <v>LO</v>
      </c>
      <c r="BB13" s="18"/>
      <c r="BC13" s="20">
        <f>-SUMIFS('TRA RESID'!$P:$P,'TRA RESID'!$I:$I,AY13,'TRA RESID'!$J:$J,AV13,'TRA RESID'!$H:$H,AW13)/SUMIFS('TRA RESID'!$P:$P,'TRA RESID'!$I:$I,AY13)*BG13</f>
        <v>0</v>
      </c>
      <c r="BD13" s="18"/>
      <c r="BE13" s="18"/>
      <c r="BG13" s="21">
        <v>0</v>
      </c>
    </row>
    <row r="14" spans="1:59" x14ac:dyDescent="0.25">
      <c r="C14" s="23" t="str">
        <f>IF(C13="*",C13,"")</f>
        <v>*</v>
      </c>
      <c r="D14" s="25" t="str">
        <f t="shared" si="4"/>
        <v>*ICEV*</v>
      </c>
      <c r="E14" s="25" t="str">
        <f t="shared" si="4"/>
        <v>TRAETH</v>
      </c>
      <c r="F14" s="25" t="str">
        <f t="shared" si="4"/>
        <v>TRAPASCARDMD</v>
      </c>
      <c r="G14" s="25" t="str">
        <f t="shared" si="4"/>
        <v>TRAPASCARDMD</v>
      </c>
      <c r="H14" s="26">
        <v>2050</v>
      </c>
      <c r="I14" s="26" t="str">
        <f>I12</f>
        <v>LO</v>
      </c>
      <c r="J14" s="26"/>
      <c r="K14" s="27">
        <f>-SUMIFS('TRA RESID'!$P:$P,'TRA RESID'!$I:$I,G14,'TRA RESID'!$J:$J,D14,'TRA RESID'!$H:$H,E14)/SUMIFS('TRA RESID'!$P:$P,'TRA RESID'!$I:$I,G14)*O14</f>
        <v>0</v>
      </c>
      <c r="L14" s="26"/>
      <c r="M14" s="26"/>
      <c r="O14" s="28">
        <v>0</v>
      </c>
      <c r="S14" s="23" t="str">
        <f>IF(S13="*",S13,"")</f>
        <v>*</v>
      </c>
      <c r="T14" s="25" t="str">
        <f t="shared" si="5"/>
        <v>*BEV*</v>
      </c>
      <c r="U14" s="25" t="str">
        <f t="shared" si="5"/>
        <v>TRAETH</v>
      </c>
      <c r="V14" s="25" t="str">
        <f t="shared" si="5"/>
        <v>TRAPASCARDMD</v>
      </c>
      <c r="W14" s="25" t="str">
        <f t="shared" si="5"/>
        <v>TRAPASCARDMD</v>
      </c>
      <c r="X14" s="26">
        <v>2050</v>
      </c>
      <c r="Y14" s="26" t="str">
        <f>Y12</f>
        <v>LO</v>
      </c>
      <c r="Z14" s="26"/>
      <c r="AA14" s="27">
        <f>-SUMIFS('TRA RESID'!$P:$P,'TRA RESID'!$I:$I,W14,'TRA RESID'!$J:$J,T14,'TRA RESID'!$H:$H,U14)/SUMIFS('TRA RESID'!$P:$P,'TRA RESID'!$I:$I,W14)*AE14</f>
        <v>0</v>
      </c>
      <c r="AB14" s="26"/>
      <c r="AC14" s="26"/>
      <c r="AE14" s="28">
        <v>1</v>
      </c>
      <c r="AG14" s="23" t="str">
        <f>IF(AG13="*",AG13,"")</f>
        <v>*</v>
      </c>
      <c r="AH14" s="25" t="str">
        <f t="shared" si="6"/>
        <v>*HEV*</v>
      </c>
      <c r="AI14" s="25" t="str">
        <f t="shared" si="6"/>
        <v>TRAETH</v>
      </c>
      <c r="AJ14" s="25" t="str">
        <f t="shared" si="6"/>
        <v>TRAPASCARDMD</v>
      </c>
      <c r="AK14" s="25" t="str">
        <f t="shared" si="6"/>
        <v>TRAPASCARDMD</v>
      </c>
      <c r="AL14" s="26">
        <v>2050</v>
      </c>
      <c r="AM14" s="26" t="str">
        <f>AM12</f>
        <v>LO</v>
      </c>
      <c r="AN14" s="26"/>
      <c r="AO14" s="27">
        <f>-SUMIFS('TRA RESID'!$P:$P,'TRA RESID'!$I:$I,AK14,'TRA RESID'!$J:$J,AH14,'TRA RESID'!$H:$H,AI14)/SUMIFS('TRA RESID'!$P:$P,'TRA RESID'!$I:$I,AK14)*AS14</f>
        <v>0</v>
      </c>
      <c r="AP14" s="26"/>
      <c r="AQ14" s="26"/>
      <c r="AS14" s="28">
        <v>0</v>
      </c>
      <c r="AU14" s="23" t="str">
        <f>IF(AU13="*",AU13,"")</f>
        <v>*</v>
      </c>
      <c r="AV14" s="25" t="str">
        <f t="shared" si="7"/>
        <v>*FCEV*</v>
      </c>
      <c r="AW14" s="25" t="str">
        <f t="shared" si="7"/>
        <v>TRAETH</v>
      </c>
      <c r="AX14" s="25" t="str">
        <f t="shared" si="7"/>
        <v>TRAPASCARDMD</v>
      </c>
      <c r="AY14" s="25" t="str">
        <f t="shared" si="7"/>
        <v>TRAPASCARDMD</v>
      </c>
      <c r="AZ14" s="26">
        <v>2050</v>
      </c>
      <c r="BA14" s="26" t="str">
        <f>BA12</f>
        <v>LO</v>
      </c>
      <c r="BB14" s="26"/>
      <c r="BC14" s="27">
        <f>-SUMIFS('TRA RESID'!$P:$P,'TRA RESID'!$I:$I,AY14,'TRA RESID'!$J:$J,AV14,'TRA RESID'!$H:$H,AW14)/SUMIFS('TRA RESID'!$P:$P,'TRA RESID'!$I:$I,AY14)*BG14</f>
        <v>0</v>
      </c>
      <c r="BD14" s="26"/>
      <c r="BE14" s="26"/>
      <c r="BG14" s="28">
        <v>0</v>
      </c>
    </row>
    <row r="15" spans="1:59" x14ac:dyDescent="0.25">
      <c r="A15">
        <f>A10+1</f>
        <v>3</v>
      </c>
      <c r="C15" s="15" t="str">
        <f>IF(E15="","",IF(_xlfn.XLOOKUP($A15,Selected_constraint!$A:$A,Selected_constraint!$D:$D)=1,"*",IF(SUMIFS('TRA TECH'!$M:$M,'TRA TECH'!$H:$H,E15,'TRA TECH'!$I:$I,F15)=0,"*",IF(SUMIFS('TRA RESID'!$P:$P,'TRA RESID'!$I:$I,G15,'TRA RESID'!$J:$J,D15,'TRA RESID'!$H:$H,E15)=0,"*","UC_"&amp;SUBSTITUTE(D15,"*","")&amp;"_"&amp;RIGHT(E15,3)&amp;"_"&amp;F15))))</f>
        <v>UC_ICEV_DSL_TRAPASCARDMD</v>
      </c>
      <c r="D15" s="17" t="s">
        <v>485</v>
      </c>
      <c r="E15" s="17" t="str">
        <f>_xlfn.XLOOKUP($A15,Selected_constraint!$A:$A,Selected_constraint!$B:$B)</f>
        <v>TRADSL</v>
      </c>
      <c r="F15" s="17" t="str">
        <f>_xlfn.XLOOKUP($A15,Selected_constraint!$A:$A,Selected_constraint!$C:$C)</f>
        <v>TRAPASCARDMD</v>
      </c>
      <c r="G15" s="17" t="str">
        <f>F15</f>
        <v>TRAPASCARDMD</v>
      </c>
      <c r="H15" s="18">
        <v>2019</v>
      </c>
      <c r="I15" s="18" t="s">
        <v>483</v>
      </c>
      <c r="J15" s="18">
        <v>1</v>
      </c>
      <c r="K15" s="20">
        <f>-SUMIFS('TRA RESID'!$P:$P,'TRA RESID'!$I:$I,G15,'TRA RESID'!$J:$J,D15,'TRA RESID'!$H:$H,E15)/SUMIFS('TRA RESID'!$P:$P,'TRA RESID'!$I:$I,G15)*O15</f>
        <v>-1.0853290177352591E-2</v>
      </c>
      <c r="L15" s="18">
        <v>0</v>
      </c>
      <c r="M15" s="18">
        <v>5</v>
      </c>
      <c r="O15" s="21">
        <v>0.98</v>
      </c>
      <c r="Q15">
        <f>Q10+1</f>
        <v>3</v>
      </c>
      <c r="S15" s="15" t="str">
        <f>IF(SUMIFS('TRA RESID'!$P:$P,'TRA RESID'!$I:$I,W15,'TRA RESID'!$J:$J,T15,'TRA RESID'!$H:$H,U15)=0,"*","UC_"&amp;SUBSTITUTE(T15,"*","")&amp;"_"&amp;RIGHT(U15,3)&amp;"_"&amp;V15)</f>
        <v>*</v>
      </c>
      <c r="T15" s="17" t="s">
        <v>486</v>
      </c>
      <c r="U15" s="17" t="str">
        <f>_xlfn.XLOOKUP($A15,Selected_constraint!$A:$A,Selected_constraint!$B:$B)</f>
        <v>TRADSL</v>
      </c>
      <c r="V15" s="17" t="str">
        <f>_xlfn.XLOOKUP($A15,Selected_constraint!$A:$A,Selected_constraint!$C:$C)</f>
        <v>TRAPASCARDMD</v>
      </c>
      <c r="W15" s="17" t="str">
        <f>V15</f>
        <v>TRAPASCARDMD</v>
      </c>
      <c r="X15" s="18">
        <v>2019</v>
      </c>
      <c r="Y15" s="18" t="s">
        <v>483</v>
      </c>
      <c r="Z15" s="18">
        <v>1</v>
      </c>
      <c r="AA15" s="20">
        <f>-SUMIFS('TRA RESID'!$P:$P,'TRA RESID'!$I:$I,W15,'TRA RESID'!$J:$J,T15,'TRA RESID'!$H:$H,U15)/SUMIFS('TRA RESID'!$P:$P,'TRA RESID'!$I:$I,W15)*AE15</f>
        <v>0</v>
      </c>
      <c r="AB15" s="18">
        <v>0</v>
      </c>
      <c r="AC15" s="18">
        <v>5</v>
      </c>
      <c r="AE15" s="21">
        <v>0.98</v>
      </c>
      <c r="AG15" s="15" t="str">
        <f>IF(SUMIFS('TRA RESID'!$P:$P,'TRA RESID'!$I:$I,AK15,'TRA RESID'!$J:$J,AH15,'TRA RESID'!$H:$H,AI15)=0,"*","UC_"&amp;SUBSTITUTE(AH15,"*","")&amp;"_"&amp;RIGHT(AI15,3)&amp;"_"&amp;AJ15)</f>
        <v>*</v>
      </c>
      <c r="AH15" s="17" t="s">
        <v>487</v>
      </c>
      <c r="AI15" s="17" t="str">
        <f>_xlfn.XLOOKUP($A15,Selected_constraint!$A:$A,Selected_constraint!$B:$B)</f>
        <v>TRADSL</v>
      </c>
      <c r="AJ15" s="17" t="str">
        <f>_xlfn.XLOOKUP($A15,Selected_constraint!$A:$A,Selected_constraint!$C:$C)</f>
        <v>TRAPASCARDMD</v>
      </c>
      <c r="AK15" s="17" t="str">
        <f>AJ15</f>
        <v>TRAPASCARDMD</v>
      </c>
      <c r="AL15" s="18">
        <v>2019</v>
      </c>
      <c r="AM15" s="18" t="s">
        <v>483</v>
      </c>
      <c r="AN15" s="18">
        <v>1</v>
      </c>
      <c r="AO15" s="20">
        <f>-SUMIFS('TRA RESID'!$P:$P,'TRA RESID'!$I:$I,AK15,'TRA RESID'!$J:$J,AH15,'TRA RESID'!$H:$H,AI15)/SUMIFS('TRA RESID'!$P:$P,'TRA RESID'!$I:$I,AK15)*AS15</f>
        <v>0</v>
      </c>
      <c r="AP15" s="18">
        <v>0</v>
      </c>
      <c r="AQ15" s="18">
        <v>5</v>
      </c>
      <c r="AS15" s="21">
        <v>0.98</v>
      </c>
      <c r="AU15" s="15" t="str">
        <f>IF(SUMIFS('TRA RESID'!$P:$P,'TRA RESID'!$I:$I,AY15,'TRA RESID'!$J:$J,AV15,'TRA RESID'!$H:$H,AW15)=0,"*","UC_"&amp;SUBSTITUTE(AV15,"*","")&amp;"_"&amp;RIGHT(AW15,3)&amp;"_"&amp;AX15)</f>
        <v>*</v>
      </c>
      <c r="AV15" s="17" t="s">
        <v>488</v>
      </c>
      <c r="AW15" s="17" t="str">
        <f>_xlfn.XLOOKUP($A15,Selected_constraint!$A:$A,Selected_constraint!$B:$B)</f>
        <v>TRADSL</v>
      </c>
      <c r="AX15" s="17" t="str">
        <f>_xlfn.XLOOKUP($A15,Selected_constraint!$A:$A,Selected_constraint!$C:$C)</f>
        <v>TRAPASCARDMD</v>
      </c>
      <c r="AY15" s="17" t="str">
        <f>AX15</f>
        <v>TRAPASCARDMD</v>
      </c>
      <c r="AZ15" s="18">
        <v>2019</v>
      </c>
      <c r="BA15" s="18" t="s">
        <v>483</v>
      </c>
      <c r="BB15" s="18">
        <v>1</v>
      </c>
      <c r="BC15" s="20">
        <f>-SUMIFS('TRA RESID'!$P:$P,'TRA RESID'!$I:$I,AY15,'TRA RESID'!$J:$J,AV15,'TRA RESID'!$H:$H,AW15)/SUMIFS('TRA RESID'!$P:$P,'TRA RESID'!$I:$I,AY15)*BG15</f>
        <v>0</v>
      </c>
      <c r="BD15" s="18">
        <v>0</v>
      </c>
      <c r="BE15" s="18">
        <v>5</v>
      </c>
      <c r="BG15" s="21">
        <v>0.98</v>
      </c>
    </row>
    <row r="16" spans="1:59" x14ac:dyDescent="0.25">
      <c r="C16" s="15" t="str">
        <f>IF(C15="*",C15,"")</f>
        <v/>
      </c>
      <c r="D16" s="17" t="str">
        <f t="shared" ref="D16:G19" si="8">D15</f>
        <v>*ICEV*</v>
      </c>
      <c r="E16" s="17" t="str">
        <f t="shared" si="8"/>
        <v>TRADSL</v>
      </c>
      <c r="F16" s="17" t="str">
        <f t="shared" si="8"/>
        <v>TRAPASCARDMD</v>
      </c>
      <c r="G16" s="17" t="str">
        <f t="shared" si="8"/>
        <v>TRAPASCARDMD</v>
      </c>
      <c r="H16" s="18">
        <v>2025</v>
      </c>
      <c r="I16" s="18" t="str">
        <f>I15</f>
        <v>LO</v>
      </c>
      <c r="J16" s="18"/>
      <c r="K16" s="20">
        <f>-SUMIFS('TRA RESID'!$P:$P,'TRA RESID'!$I:$I,G16,'TRA RESID'!$J:$J,D16,'TRA RESID'!$H:$H,E16)/SUMIFS('TRA RESID'!$P:$P,'TRA RESID'!$I:$I,G16)*O16</f>
        <v>-8.8598287162061969E-3</v>
      </c>
      <c r="L16" s="18"/>
      <c r="M16" s="18"/>
      <c r="O16" s="21">
        <v>0.8</v>
      </c>
      <c r="S16" s="15" t="str">
        <f>IF(S15="*",S15,"")</f>
        <v>*</v>
      </c>
      <c r="T16" s="17" t="str">
        <f t="shared" ref="T16:W19" si="9">T15</f>
        <v>*BEV*</v>
      </c>
      <c r="U16" s="17" t="str">
        <f t="shared" si="9"/>
        <v>TRADSL</v>
      </c>
      <c r="V16" s="17" t="str">
        <f t="shared" si="9"/>
        <v>TRAPASCARDMD</v>
      </c>
      <c r="W16" s="17" t="str">
        <f t="shared" si="9"/>
        <v>TRAPASCARDMD</v>
      </c>
      <c r="X16" s="18">
        <v>2025</v>
      </c>
      <c r="Y16" s="18" t="str">
        <f>Y15</f>
        <v>LO</v>
      </c>
      <c r="Z16" s="18"/>
      <c r="AA16" s="20">
        <f>-SUMIFS('TRA RESID'!$P:$P,'TRA RESID'!$I:$I,W16,'TRA RESID'!$J:$J,T16,'TRA RESID'!$H:$H,U16)/SUMIFS('TRA RESID'!$P:$P,'TRA RESID'!$I:$I,W16)*AE16</f>
        <v>0</v>
      </c>
      <c r="AB16" s="18"/>
      <c r="AC16" s="18"/>
      <c r="AE16" s="21">
        <v>1</v>
      </c>
      <c r="AG16" s="15" t="str">
        <f>IF(AG15="*",AG15,"")</f>
        <v>*</v>
      </c>
      <c r="AH16" s="17" t="str">
        <f t="shared" ref="AH16:AK19" si="10">AH15</f>
        <v>*HEV*</v>
      </c>
      <c r="AI16" s="17" t="str">
        <f t="shared" si="10"/>
        <v>TRADSL</v>
      </c>
      <c r="AJ16" s="17" t="str">
        <f t="shared" si="10"/>
        <v>TRAPASCARDMD</v>
      </c>
      <c r="AK16" s="17" t="str">
        <f t="shared" si="10"/>
        <v>TRAPASCARDMD</v>
      </c>
      <c r="AL16" s="18">
        <v>2025</v>
      </c>
      <c r="AM16" s="18" t="str">
        <f>AM15</f>
        <v>LO</v>
      </c>
      <c r="AN16" s="18"/>
      <c r="AO16" s="20">
        <f>-SUMIFS('TRA RESID'!$P:$P,'TRA RESID'!$I:$I,AK16,'TRA RESID'!$J:$J,AH16,'TRA RESID'!$H:$H,AI16)/SUMIFS('TRA RESID'!$P:$P,'TRA RESID'!$I:$I,AK16)*AS16</f>
        <v>0</v>
      </c>
      <c r="AP16" s="18"/>
      <c r="AQ16" s="18"/>
      <c r="AS16" s="21">
        <v>0.8</v>
      </c>
      <c r="AU16" s="15" t="str">
        <f>IF(AU15="*",AU15,"")</f>
        <v>*</v>
      </c>
      <c r="AV16" s="17" t="str">
        <f t="shared" ref="AV16:AY19" si="11">AV15</f>
        <v>*FCEV*</v>
      </c>
      <c r="AW16" s="17" t="str">
        <f t="shared" si="11"/>
        <v>TRADSL</v>
      </c>
      <c r="AX16" s="17" t="str">
        <f t="shared" si="11"/>
        <v>TRAPASCARDMD</v>
      </c>
      <c r="AY16" s="17" t="str">
        <f t="shared" si="11"/>
        <v>TRAPASCARDMD</v>
      </c>
      <c r="AZ16" s="18">
        <v>2025</v>
      </c>
      <c r="BA16" s="18" t="str">
        <f>BA15</f>
        <v>LO</v>
      </c>
      <c r="BB16" s="18"/>
      <c r="BC16" s="20">
        <f>-SUMIFS('TRA RESID'!$P:$P,'TRA RESID'!$I:$I,AY16,'TRA RESID'!$J:$J,AV16,'TRA RESID'!$H:$H,AW16)/SUMIFS('TRA RESID'!$P:$P,'TRA RESID'!$I:$I,AY16)*BG16</f>
        <v>0</v>
      </c>
      <c r="BD16" s="18"/>
      <c r="BE16" s="18"/>
      <c r="BG16" s="21">
        <v>0.8</v>
      </c>
    </row>
    <row r="17" spans="1:59" x14ac:dyDescent="0.25">
      <c r="C17" s="15" t="str">
        <f>IF(C16="*",C16,"")</f>
        <v/>
      </c>
      <c r="D17" s="17" t="str">
        <f t="shared" si="8"/>
        <v>*ICEV*</v>
      </c>
      <c r="E17" s="17" t="str">
        <f t="shared" si="8"/>
        <v>TRADSL</v>
      </c>
      <c r="F17" s="17" t="str">
        <f t="shared" si="8"/>
        <v>TRAPASCARDMD</v>
      </c>
      <c r="G17" s="17" t="str">
        <f t="shared" si="8"/>
        <v>TRAPASCARDMD</v>
      </c>
      <c r="H17" s="18">
        <v>2030</v>
      </c>
      <c r="I17" s="18" t="str">
        <f>I16</f>
        <v>LO</v>
      </c>
      <c r="J17" s="18"/>
      <c r="K17" s="20">
        <f>-SUMIFS('TRA RESID'!$P:$P,'TRA RESID'!$I:$I,G17,'TRA RESID'!$J:$J,D17,'TRA RESID'!$H:$H,E17)/SUMIFS('TRA RESID'!$P:$P,'TRA RESID'!$I:$I,G17)*O17</f>
        <v>-5.5373929476288733E-3</v>
      </c>
      <c r="L17" s="18"/>
      <c r="M17" s="18"/>
      <c r="O17" s="21">
        <v>0.5</v>
      </c>
      <c r="S17" s="15" t="str">
        <f>IF(S16="*",S16,"")</f>
        <v>*</v>
      </c>
      <c r="T17" s="17" t="str">
        <f t="shared" si="9"/>
        <v>*BEV*</v>
      </c>
      <c r="U17" s="17" t="str">
        <f t="shared" si="9"/>
        <v>TRADSL</v>
      </c>
      <c r="V17" s="17" t="str">
        <f t="shared" si="9"/>
        <v>TRAPASCARDMD</v>
      </c>
      <c r="W17" s="17" t="str">
        <f t="shared" si="9"/>
        <v>TRAPASCARDMD</v>
      </c>
      <c r="X17" s="18">
        <v>2030</v>
      </c>
      <c r="Y17" s="18" t="str">
        <f>Y16</f>
        <v>LO</v>
      </c>
      <c r="Z17" s="18"/>
      <c r="AA17" s="20">
        <f>-SUMIFS('TRA RESID'!$P:$P,'TRA RESID'!$I:$I,W17,'TRA RESID'!$J:$J,T17,'TRA RESID'!$H:$H,U17)/SUMIFS('TRA RESID'!$P:$P,'TRA RESID'!$I:$I,W17)*AE17</f>
        <v>0</v>
      </c>
      <c r="AB17" s="18"/>
      <c r="AC17" s="18"/>
      <c r="AE17" s="21">
        <v>1</v>
      </c>
      <c r="AG17" s="15" t="str">
        <f>IF(AG16="*",AG16,"")</f>
        <v>*</v>
      </c>
      <c r="AH17" s="17" t="str">
        <f t="shared" si="10"/>
        <v>*HEV*</v>
      </c>
      <c r="AI17" s="17" t="str">
        <f t="shared" si="10"/>
        <v>TRADSL</v>
      </c>
      <c r="AJ17" s="17" t="str">
        <f t="shared" si="10"/>
        <v>TRAPASCARDMD</v>
      </c>
      <c r="AK17" s="17" t="str">
        <f t="shared" si="10"/>
        <v>TRAPASCARDMD</v>
      </c>
      <c r="AL17" s="18">
        <v>2030</v>
      </c>
      <c r="AM17" s="18" t="str">
        <f>AM16</f>
        <v>LO</v>
      </c>
      <c r="AN17" s="18"/>
      <c r="AO17" s="20">
        <f>-SUMIFS('TRA RESID'!$P:$P,'TRA RESID'!$I:$I,AK17,'TRA RESID'!$J:$J,AH17,'TRA RESID'!$H:$H,AI17)/SUMIFS('TRA RESID'!$P:$P,'TRA RESID'!$I:$I,AK17)*AS17</f>
        <v>0</v>
      </c>
      <c r="AP17" s="18"/>
      <c r="AQ17" s="18"/>
      <c r="AS17" s="21">
        <v>0.5</v>
      </c>
      <c r="AU17" s="15" t="str">
        <f>IF(AU16="*",AU16,"")</f>
        <v>*</v>
      </c>
      <c r="AV17" s="17" t="str">
        <f t="shared" si="11"/>
        <v>*FCEV*</v>
      </c>
      <c r="AW17" s="17" t="str">
        <f t="shared" si="11"/>
        <v>TRADSL</v>
      </c>
      <c r="AX17" s="17" t="str">
        <f t="shared" si="11"/>
        <v>TRAPASCARDMD</v>
      </c>
      <c r="AY17" s="17" t="str">
        <f t="shared" si="11"/>
        <v>TRAPASCARDMD</v>
      </c>
      <c r="AZ17" s="18">
        <v>2030</v>
      </c>
      <c r="BA17" s="18" t="str">
        <f>BA16</f>
        <v>LO</v>
      </c>
      <c r="BB17" s="18"/>
      <c r="BC17" s="20">
        <f>-SUMIFS('TRA RESID'!$P:$P,'TRA RESID'!$I:$I,AY17,'TRA RESID'!$J:$J,AV17,'TRA RESID'!$H:$H,AW17)/SUMIFS('TRA RESID'!$P:$P,'TRA RESID'!$I:$I,AY17)*BG17</f>
        <v>0</v>
      </c>
      <c r="BD17" s="18"/>
      <c r="BE17" s="18"/>
      <c r="BG17" s="21">
        <v>0.5</v>
      </c>
    </row>
    <row r="18" spans="1:59" x14ac:dyDescent="0.25">
      <c r="C18" s="15" t="str">
        <f>IF(C17="*",C17,"")</f>
        <v/>
      </c>
      <c r="D18" s="17" t="str">
        <f t="shared" si="8"/>
        <v>*ICEV*</v>
      </c>
      <c r="E18" s="17" t="str">
        <f t="shared" si="8"/>
        <v>TRADSL</v>
      </c>
      <c r="F18" s="17" t="str">
        <f t="shared" si="8"/>
        <v>TRAPASCARDMD</v>
      </c>
      <c r="G18" s="17" t="str">
        <f t="shared" si="8"/>
        <v>TRAPASCARDMD</v>
      </c>
      <c r="H18" s="18">
        <v>2040</v>
      </c>
      <c r="I18" s="18" t="str">
        <f>I17</f>
        <v>LO</v>
      </c>
      <c r="J18" s="18"/>
      <c r="K18" s="20">
        <f>-SUMIFS('TRA RESID'!$P:$P,'TRA RESID'!$I:$I,G18,'TRA RESID'!$J:$J,D18,'TRA RESID'!$H:$H,E18)/SUMIFS('TRA RESID'!$P:$P,'TRA RESID'!$I:$I,G18)*O18</f>
        <v>0</v>
      </c>
      <c r="L18" s="18"/>
      <c r="M18" s="18"/>
      <c r="O18" s="21">
        <v>0</v>
      </c>
      <c r="S18" s="15" t="str">
        <f>IF(S17="*",S17,"")</f>
        <v>*</v>
      </c>
      <c r="T18" s="17" t="str">
        <f t="shared" si="9"/>
        <v>*BEV*</v>
      </c>
      <c r="U18" s="17" t="str">
        <f t="shared" si="9"/>
        <v>TRADSL</v>
      </c>
      <c r="V18" s="17" t="str">
        <f t="shared" si="9"/>
        <v>TRAPASCARDMD</v>
      </c>
      <c r="W18" s="17" t="str">
        <f t="shared" si="9"/>
        <v>TRAPASCARDMD</v>
      </c>
      <c r="X18" s="18">
        <v>2040</v>
      </c>
      <c r="Y18" s="18" t="str">
        <f>Y17</f>
        <v>LO</v>
      </c>
      <c r="Z18" s="18"/>
      <c r="AA18" s="20">
        <f>-SUMIFS('TRA RESID'!$P:$P,'TRA RESID'!$I:$I,W18,'TRA RESID'!$J:$J,T18,'TRA RESID'!$H:$H,U18)/SUMIFS('TRA RESID'!$P:$P,'TRA RESID'!$I:$I,W18)*AE18</f>
        <v>0</v>
      </c>
      <c r="AB18" s="18"/>
      <c r="AC18" s="18"/>
      <c r="AE18" s="21">
        <v>1</v>
      </c>
      <c r="AG18" s="15" t="str">
        <f>IF(AG17="*",AG17,"")</f>
        <v>*</v>
      </c>
      <c r="AH18" s="17" t="str">
        <f t="shared" si="10"/>
        <v>*HEV*</v>
      </c>
      <c r="AI18" s="17" t="str">
        <f t="shared" si="10"/>
        <v>TRADSL</v>
      </c>
      <c r="AJ18" s="17" t="str">
        <f t="shared" si="10"/>
        <v>TRAPASCARDMD</v>
      </c>
      <c r="AK18" s="17" t="str">
        <f t="shared" si="10"/>
        <v>TRAPASCARDMD</v>
      </c>
      <c r="AL18" s="18">
        <v>2040</v>
      </c>
      <c r="AM18" s="18" t="str">
        <f>AM17</f>
        <v>LO</v>
      </c>
      <c r="AN18" s="18"/>
      <c r="AO18" s="20">
        <f>-SUMIFS('TRA RESID'!$P:$P,'TRA RESID'!$I:$I,AK18,'TRA RESID'!$J:$J,AH18,'TRA RESID'!$H:$H,AI18)/SUMIFS('TRA RESID'!$P:$P,'TRA RESID'!$I:$I,AK18)*AS18</f>
        <v>0</v>
      </c>
      <c r="AP18" s="18"/>
      <c r="AQ18" s="18"/>
      <c r="AS18" s="21">
        <v>0</v>
      </c>
      <c r="AU18" s="15" t="str">
        <f>IF(AU17="*",AU17,"")</f>
        <v>*</v>
      </c>
      <c r="AV18" s="17" t="str">
        <f t="shared" si="11"/>
        <v>*FCEV*</v>
      </c>
      <c r="AW18" s="17" t="str">
        <f t="shared" si="11"/>
        <v>TRADSL</v>
      </c>
      <c r="AX18" s="17" t="str">
        <f t="shared" si="11"/>
        <v>TRAPASCARDMD</v>
      </c>
      <c r="AY18" s="17" t="str">
        <f t="shared" si="11"/>
        <v>TRAPASCARDMD</v>
      </c>
      <c r="AZ18" s="18">
        <v>2040</v>
      </c>
      <c r="BA18" s="18" t="str">
        <f>BA17</f>
        <v>LO</v>
      </c>
      <c r="BB18" s="18"/>
      <c r="BC18" s="20">
        <f>-SUMIFS('TRA RESID'!$P:$P,'TRA RESID'!$I:$I,AY18,'TRA RESID'!$J:$J,AV18,'TRA RESID'!$H:$H,AW18)/SUMIFS('TRA RESID'!$P:$P,'TRA RESID'!$I:$I,AY18)*BG18</f>
        <v>0</v>
      </c>
      <c r="BD18" s="18"/>
      <c r="BE18" s="18"/>
      <c r="BG18" s="21">
        <v>0</v>
      </c>
    </row>
    <row r="19" spans="1:59" x14ac:dyDescent="0.25">
      <c r="C19" s="23" t="str">
        <f>IF(C18="*",C18,"")</f>
        <v/>
      </c>
      <c r="D19" s="25" t="str">
        <f t="shared" si="8"/>
        <v>*ICEV*</v>
      </c>
      <c r="E19" s="25" t="str">
        <f t="shared" si="8"/>
        <v>TRADSL</v>
      </c>
      <c r="F19" s="25" t="str">
        <f t="shared" si="8"/>
        <v>TRAPASCARDMD</v>
      </c>
      <c r="G19" s="25" t="str">
        <f t="shared" si="8"/>
        <v>TRAPASCARDMD</v>
      </c>
      <c r="H19" s="26">
        <v>2050</v>
      </c>
      <c r="I19" s="26" t="str">
        <f>I17</f>
        <v>LO</v>
      </c>
      <c r="J19" s="26"/>
      <c r="K19" s="27">
        <f>-SUMIFS('TRA RESID'!$P:$P,'TRA RESID'!$I:$I,G19,'TRA RESID'!$J:$J,D19,'TRA RESID'!$H:$H,E19)/SUMIFS('TRA RESID'!$P:$P,'TRA RESID'!$I:$I,G19)*O19</f>
        <v>0</v>
      </c>
      <c r="L19" s="26"/>
      <c r="M19" s="26"/>
      <c r="O19" s="28">
        <v>0</v>
      </c>
      <c r="S19" s="23" t="str">
        <f>IF(S18="*",S18,"")</f>
        <v>*</v>
      </c>
      <c r="T19" s="25" t="str">
        <f t="shared" si="9"/>
        <v>*BEV*</v>
      </c>
      <c r="U19" s="25" t="str">
        <f t="shared" si="9"/>
        <v>TRADSL</v>
      </c>
      <c r="V19" s="25" t="str">
        <f t="shared" si="9"/>
        <v>TRAPASCARDMD</v>
      </c>
      <c r="W19" s="25" t="str">
        <f t="shared" si="9"/>
        <v>TRAPASCARDMD</v>
      </c>
      <c r="X19" s="26">
        <v>2050</v>
      </c>
      <c r="Y19" s="26" t="str">
        <f>Y17</f>
        <v>LO</v>
      </c>
      <c r="Z19" s="26"/>
      <c r="AA19" s="27">
        <f>-SUMIFS('TRA RESID'!$P:$P,'TRA RESID'!$I:$I,W19,'TRA RESID'!$J:$J,T19,'TRA RESID'!$H:$H,U19)/SUMIFS('TRA RESID'!$P:$P,'TRA RESID'!$I:$I,W19)*AE19</f>
        <v>0</v>
      </c>
      <c r="AB19" s="26"/>
      <c r="AC19" s="26"/>
      <c r="AE19" s="28">
        <v>1</v>
      </c>
      <c r="AG19" s="23" t="str">
        <f>IF(AG18="*",AG18,"")</f>
        <v>*</v>
      </c>
      <c r="AH19" s="25" t="str">
        <f t="shared" si="10"/>
        <v>*HEV*</v>
      </c>
      <c r="AI19" s="25" t="str">
        <f t="shared" si="10"/>
        <v>TRADSL</v>
      </c>
      <c r="AJ19" s="25" t="str">
        <f t="shared" si="10"/>
        <v>TRAPASCARDMD</v>
      </c>
      <c r="AK19" s="25" t="str">
        <f t="shared" si="10"/>
        <v>TRAPASCARDMD</v>
      </c>
      <c r="AL19" s="26">
        <v>2050</v>
      </c>
      <c r="AM19" s="26" t="str">
        <f>AM17</f>
        <v>LO</v>
      </c>
      <c r="AN19" s="26"/>
      <c r="AO19" s="27">
        <f>-SUMIFS('TRA RESID'!$P:$P,'TRA RESID'!$I:$I,AK19,'TRA RESID'!$J:$J,AH19,'TRA RESID'!$H:$H,AI19)/SUMIFS('TRA RESID'!$P:$P,'TRA RESID'!$I:$I,AK19)*AS19</f>
        <v>0</v>
      </c>
      <c r="AP19" s="26"/>
      <c r="AQ19" s="26"/>
      <c r="AS19" s="28">
        <v>0</v>
      </c>
      <c r="AU19" s="23" t="str">
        <f>IF(AU18="*",AU18,"")</f>
        <v>*</v>
      </c>
      <c r="AV19" s="25" t="str">
        <f t="shared" si="11"/>
        <v>*FCEV*</v>
      </c>
      <c r="AW19" s="25" t="str">
        <f t="shared" si="11"/>
        <v>TRADSL</v>
      </c>
      <c r="AX19" s="25" t="str">
        <f t="shared" si="11"/>
        <v>TRAPASCARDMD</v>
      </c>
      <c r="AY19" s="25" t="str">
        <f t="shared" si="11"/>
        <v>TRAPASCARDMD</v>
      </c>
      <c r="AZ19" s="26">
        <v>2050</v>
      </c>
      <c r="BA19" s="26" t="str">
        <f>BA17</f>
        <v>LO</v>
      </c>
      <c r="BB19" s="26"/>
      <c r="BC19" s="27">
        <f>-SUMIFS('TRA RESID'!$P:$P,'TRA RESID'!$I:$I,AY19,'TRA RESID'!$J:$J,AV19,'TRA RESID'!$H:$H,AW19)/SUMIFS('TRA RESID'!$P:$P,'TRA RESID'!$I:$I,AY19)*BG19</f>
        <v>0</v>
      </c>
      <c r="BD19" s="26"/>
      <c r="BE19" s="26"/>
      <c r="BG19" s="28">
        <v>0</v>
      </c>
    </row>
    <row r="20" spans="1:59" x14ac:dyDescent="0.25">
      <c r="A20">
        <f>A15+1</f>
        <v>4</v>
      </c>
      <c r="C20" s="15" t="str">
        <f>IF(E20="","",IF(_xlfn.XLOOKUP($A20,Selected_constraint!$A:$A,Selected_constraint!$D:$D)=1,"*",IF(SUMIFS('TRA TECH'!$M:$M,'TRA TECH'!$H:$H,E20,'TRA TECH'!$I:$I,F20)=0,"*",IF(SUMIFS('TRA RESID'!$P:$P,'TRA RESID'!$I:$I,G20,'TRA RESID'!$J:$J,D20,'TRA RESID'!$H:$H,E20)=0,"*","UC_"&amp;SUBSTITUTE(D20,"*","")&amp;"_"&amp;RIGHT(E20,3)&amp;"_"&amp;F20))))</f>
        <v>*</v>
      </c>
      <c r="D20" s="17" t="s">
        <v>485</v>
      </c>
      <c r="E20" s="17" t="str">
        <f>_xlfn.XLOOKUP($A20,Selected_constraint!$A:$A,Selected_constraint!$B:$B)</f>
        <v>TRARDS</v>
      </c>
      <c r="F20" s="17" t="str">
        <f>_xlfn.XLOOKUP($A20,Selected_constraint!$A:$A,Selected_constraint!$C:$C)</f>
        <v>TRAPASCARDMD</v>
      </c>
      <c r="G20" s="17" t="str">
        <f>F20</f>
        <v>TRAPASCARDMD</v>
      </c>
      <c r="H20" s="18">
        <v>2019</v>
      </c>
      <c r="I20" s="18" t="s">
        <v>483</v>
      </c>
      <c r="J20" s="18">
        <v>1</v>
      </c>
      <c r="K20" s="20">
        <f>-SUMIFS('TRA RESID'!$P:$P,'TRA RESID'!$I:$I,G20,'TRA RESID'!$J:$J,D20,'TRA RESID'!$H:$H,E20)/SUMIFS('TRA RESID'!$P:$P,'TRA RESID'!$I:$I,G20)*O20</f>
        <v>0</v>
      </c>
      <c r="L20" s="18">
        <v>0</v>
      </c>
      <c r="M20" s="18">
        <v>5</v>
      </c>
      <c r="O20" s="21">
        <v>0.98</v>
      </c>
      <c r="Q20">
        <f>Q15+1</f>
        <v>4</v>
      </c>
      <c r="S20" s="15" t="str">
        <f>IF(SUMIFS('TRA RESID'!$P:$P,'TRA RESID'!$I:$I,W20,'TRA RESID'!$J:$J,T20,'TRA RESID'!$H:$H,U20)=0,"*","UC_"&amp;SUBSTITUTE(T20,"*","")&amp;"_"&amp;RIGHT(U20,3)&amp;"_"&amp;V20)</f>
        <v>*</v>
      </c>
      <c r="T20" s="17" t="s">
        <v>486</v>
      </c>
      <c r="U20" s="17" t="str">
        <f>_xlfn.XLOOKUP($A20,Selected_constraint!$A:$A,Selected_constraint!$B:$B)</f>
        <v>TRARDS</v>
      </c>
      <c r="V20" s="17" t="str">
        <f>_xlfn.XLOOKUP($A20,Selected_constraint!$A:$A,Selected_constraint!$C:$C)</f>
        <v>TRAPASCARDMD</v>
      </c>
      <c r="W20" s="17" t="str">
        <f>V20</f>
        <v>TRAPASCARDMD</v>
      </c>
      <c r="X20" s="18">
        <v>2019</v>
      </c>
      <c r="Y20" s="18" t="s">
        <v>483</v>
      </c>
      <c r="Z20" s="18">
        <v>1</v>
      </c>
      <c r="AA20" s="20">
        <f>-SUMIFS('TRA RESID'!$P:$P,'TRA RESID'!$I:$I,W20,'TRA RESID'!$J:$J,T20,'TRA RESID'!$H:$H,U20)/SUMIFS('TRA RESID'!$P:$P,'TRA RESID'!$I:$I,W20)*AE20</f>
        <v>0</v>
      </c>
      <c r="AB20" s="18">
        <v>0</v>
      </c>
      <c r="AC20" s="18">
        <v>5</v>
      </c>
      <c r="AE20" s="21">
        <v>0.98</v>
      </c>
      <c r="AG20" s="15" t="str">
        <f>IF(SUMIFS('TRA RESID'!$P:$P,'TRA RESID'!$I:$I,AK20,'TRA RESID'!$J:$J,AH20,'TRA RESID'!$H:$H,AI20)=0,"*","UC_"&amp;SUBSTITUTE(AH20,"*","")&amp;"_"&amp;RIGHT(AI20,3)&amp;"_"&amp;AJ20)</f>
        <v>*</v>
      </c>
      <c r="AH20" s="17" t="s">
        <v>487</v>
      </c>
      <c r="AI20" s="17" t="str">
        <f>_xlfn.XLOOKUP($A20,Selected_constraint!$A:$A,Selected_constraint!$B:$B)</f>
        <v>TRARDS</v>
      </c>
      <c r="AJ20" s="17" t="str">
        <f>_xlfn.XLOOKUP($A20,Selected_constraint!$A:$A,Selected_constraint!$C:$C)</f>
        <v>TRAPASCARDMD</v>
      </c>
      <c r="AK20" s="17" t="str">
        <f>AJ20</f>
        <v>TRAPASCARDMD</v>
      </c>
      <c r="AL20" s="18">
        <v>2019</v>
      </c>
      <c r="AM20" s="18" t="s">
        <v>483</v>
      </c>
      <c r="AN20" s="18">
        <v>1</v>
      </c>
      <c r="AO20" s="20">
        <f>-SUMIFS('TRA RESID'!$P:$P,'TRA RESID'!$I:$I,AK20,'TRA RESID'!$J:$J,AH20,'TRA RESID'!$H:$H,AI20)/SUMIFS('TRA RESID'!$P:$P,'TRA RESID'!$I:$I,AK20)*AS20</f>
        <v>0</v>
      </c>
      <c r="AP20" s="18">
        <v>0</v>
      </c>
      <c r="AQ20" s="18">
        <v>5</v>
      </c>
      <c r="AS20" s="21">
        <v>0.98</v>
      </c>
      <c r="AU20" s="15" t="str">
        <f>IF(SUMIFS('TRA RESID'!$P:$P,'TRA RESID'!$I:$I,AY20,'TRA RESID'!$J:$J,AV20,'TRA RESID'!$H:$H,AW20)=0,"*","UC_"&amp;SUBSTITUTE(AV20,"*","")&amp;"_"&amp;RIGHT(AW20,3)&amp;"_"&amp;AX20)</f>
        <v>*</v>
      </c>
      <c r="AV20" s="17" t="s">
        <v>488</v>
      </c>
      <c r="AW20" s="17" t="str">
        <f>_xlfn.XLOOKUP($A20,Selected_constraint!$A:$A,Selected_constraint!$B:$B)</f>
        <v>TRARDS</v>
      </c>
      <c r="AX20" s="17" t="str">
        <f>_xlfn.XLOOKUP($A20,Selected_constraint!$A:$A,Selected_constraint!$C:$C)</f>
        <v>TRAPASCARDMD</v>
      </c>
      <c r="AY20" s="17" t="str">
        <f>AX20</f>
        <v>TRAPASCARDMD</v>
      </c>
      <c r="AZ20" s="18">
        <v>2019</v>
      </c>
      <c r="BA20" s="18" t="s">
        <v>483</v>
      </c>
      <c r="BB20" s="18">
        <v>1</v>
      </c>
      <c r="BC20" s="20">
        <f>-SUMIFS('TRA RESID'!$P:$P,'TRA RESID'!$I:$I,AY20,'TRA RESID'!$J:$J,AV20,'TRA RESID'!$H:$H,AW20)/SUMIFS('TRA RESID'!$P:$P,'TRA RESID'!$I:$I,AY20)*BG20</f>
        <v>0</v>
      </c>
      <c r="BD20" s="18">
        <v>0</v>
      </c>
      <c r="BE20" s="18">
        <v>5</v>
      </c>
      <c r="BG20" s="21">
        <v>0.98</v>
      </c>
    </row>
    <row r="21" spans="1:59" x14ac:dyDescent="0.25">
      <c r="C21" s="15" t="str">
        <f>IF(C20="*",C20,"")</f>
        <v>*</v>
      </c>
      <c r="D21" s="17" t="str">
        <f t="shared" ref="D21:G24" si="12">D20</f>
        <v>*ICEV*</v>
      </c>
      <c r="E21" s="17" t="str">
        <f t="shared" si="12"/>
        <v>TRARDS</v>
      </c>
      <c r="F21" s="17" t="str">
        <f t="shared" si="12"/>
        <v>TRAPASCARDMD</v>
      </c>
      <c r="G21" s="17" t="str">
        <f t="shared" si="12"/>
        <v>TRAPASCARDMD</v>
      </c>
      <c r="H21" s="18">
        <v>2025</v>
      </c>
      <c r="I21" s="18" t="str">
        <f>I20</f>
        <v>LO</v>
      </c>
      <c r="J21" s="18"/>
      <c r="K21" s="20">
        <f>-SUMIFS('TRA RESID'!$P:$P,'TRA RESID'!$I:$I,G21,'TRA RESID'!$J:$J,D21,'TRA RESID'!$H:$H,E21)/SUMIFS('TRA RESID'!$P:$P,'TRA RESID'!$I:$I,G21)*O21</f>
        <v>0</v>
      </c>
      <c r="L21" s="18"/>
      <c r="M21" s="18"/>
      <c r="O21" s="21">
        <v>0.8</v>
      </c>
      <c r="S21" s="15" t="str">
        <f>IF(S20="*",S20,"")</f>
        <v>*</v>
      </c>
      <c r="T21" s="17" t="str">
        <f t="shared" ref="T21:W24" si="13">T20</f>
        <v>*BEV*</v>
      </c>
      <c r="U21" s="17" t="str">
        <f t="shared" si="13"/>
        <v>TRARDS</v>
      </c>
      <c r="V21" s="17" t="str">
        <f t="shared" si="13"/>
        <v>TRAPASCARDMD</v>
      </c>
      <c r="W21" s="17" t="str">
        <f t="shared" si="13"/>
        <v>TRAPASCARDMD</v>
      </c>
      <c r="X21" s="18">
        <v>2025</v>
      </c>
      <c r="Y21" s="18" t="str">
        <f>Y20</f>
        <v>LO</v>
      </c>
      <c r="Z21" s="18"/>
      <c r="AA21" s="20">
        <f>-SUMIFS('TRA RESID'!$P:$P,'TRA RESID'!$I:$I,W21,'TRA RESID'!$J:$J,T21,'TRA RESID'!$H:$H,U21)/SUMIFS('TRA RESID'!$P:$P,'TRA RESID'!$I:$I,W21)*AE21</f>
        <v>0</v>
      </c>
      <c r="AB21" s="18"/>
      <c r="AC21" s="18"/>
      <c r="AE21" s="21">
        <v>1</v>
      </c>
      <c r="AG21" s="15" t="str">
        <f>IF(AG20="*",AG20,"")</f>
        <v>*</v>
      </c>
      <c r="AH21" s="17" t="str">
        <f t="shared" ref="AH21:AK24" si="14">AH20</f>
        <v>*HEV*</v>
      </c>
      <c r="AI21" s="17" t="str">
        <f t="shared" si="14"/>
        <v>TRARDS</v>
      </c>
      <c r="AJ21" s="17" t="str">
        <f t="shared" si="14"/>
        <v>TRAPASCARDMD</v>
      </c>
      <c r="AK21" s="17" t="str">
        <f t="shared" si="14"/>
        <v>TRAPASCARDMD</v>
      </c>
      <c r="AL21" s="18">
        <v>2025</v>
      </c>
      <c r="AM21" s="18" t="str">
        <f>AM20</f>
        <v>LO</v>
      </c>
      <c r="AN21" s="18"/>
      <c r="AO21" s="20">
        <f>-SUMIFS('TRA RESID'!$P:$P,'TRA RESID'!$I:$I,AK21,'TRA RESID'!$J:$J,AH21,'TRA RESID'!$H:$H,AI21)/SUMIFS('TRA RESID'!$P:$P,'TRA RESID'!$I:$I,AK21)*AS21</f>
        <v>0</v>
      </c>
      <c r="AP21" s="18"/>
      <c r="AQ21" s="18"/>
      <c r="AS21" s="21">
        <v>0.8</v>
      </c>
      <c r="AU21" s="15" t="str">
        <f>IF(AU20="*",AU20,"")</f>
        <v>*</v>
      </c>
      <c r="AV21" s="17" t="str">
        <f t="shared" ref="AV21:AY24" si="15">AV20</f>
        <v>*FCEV*</v>
      </c>
      <c r="AW21" s="17" t="str">
        <f t="shared" si="15"/>
        <v>TRARDS</v>
      </c>
      <c r="AX21" s="17" t="str">
        <f t="shared" si="15"/>
        <v>TRAPASCARDMD</v>
      </c>
      <c r="AY21" s="17" t="str">
        <f t="shared" si="15"/>
        <v>TRAPASCARDMD</v>
      </c>
      <c r="AZ21" s="18">
        <v>2025</v>
      </c>
      <c r="BA21" s="18" t="str">
        <f>BA20</f>
        <v>LO</v>
      </c>
      <c r="BB21" s="18"/>
      <c r="BC21" s="20">
        <f>-SUMIFS('TRA RESID'!$P:$P,'TRA RESID'!$I:$I,AY21,'TRA RESID'!$J:$J,AV21,'TRA RESID'!$H:$H,AW21)/SUMIFS('TRA RESID'!$P:$P,'TRA RESID'!$I:$I,AY21)*BG21</f>
        <v>0</v>
      </c>
      <c r="BD21" s="18"/>
      <c r="BE21" s="18"/>
      <c r="BG21" s="21">
        <v>0.8</v>
      </c>
    </row>
    <row r="22" spans="1:59" x14ac:dyDescent="0.25">
      <c r="C22" s="15" t="str">
        <f>IF(C21="*",C21,"")</f>
        <v>*</v>
      </c>
      <c r="D22" s="17" t="str">
        <f t="shared" si="12"/>
        <v>*ICEV*</v>
      </c>
      <c r="E22" s="17" t="str">
        <f t="shared" si="12"/>
        <v>TRARDS</v>
      </c>
      <c r="F22" s="17" t="str">
        <f t="shared" si="12"/>
        <v>TRAPASCARDMD</v>
      </c>
      <c r="G22" s="17" t="str">
        <f t="shared" si="12"/>
        <v>TRAPASCARDMD</v>
      </c>
      <c r="H22" s="18">
        <v>2030</v>
      </c>
      <c r="I22" s="18" t="str">
        <f>I21</f>
        <v>LO</v>
      </c>
      <c r="J22" s="18"/>
      <c r="K22" s="20">
        <f>-SUMIFS('TRA RESID'!$P:$P,'TRA RESID'!$I:$I,G22,'TRA RESID'!$J:$J,D22,'TRA RESID'!$H:$H,E22)/SUMIFS('TRA RESID'!$P:$P,'TRA RESID'!$I:$I,G22)*O22</f>
        <v>0</v>
      </c>
      <c r="L22" s="18"/>
      <c r="M22" s="18"/>
      <c r="O22" s="21">
        <v>0.5</v>
      </c>
      <c r="S22" s="15" t="str">
        <f>IF(S21="*",S21,"")</f>
        <v>*</v>
      </c>
      <c r="T22" s="17" t="str">
        <f t="shared" si="13"/>
        <v>*BEV*</v>
      </c>
      <c r="U22" s="17" t="str">
        <f t="shared" si="13"/>
        <v>TRARDS</v>
      </c>
      <c r="V22" s="17" t="str">
        <f t="shared" si="13"/>
        <v>TRAPASCARDMD</v>
      </c>
      <c r="W22" s="17" t="str">
        <f t="shared" si="13"/>
        <v>TRAPASCARDMD</v>
      </c>
      <c r="X22" s="18">
        <v>2030</v>
      </c>
      <c r="Y22" s="18" t="str">
        <f>Y21</f>
        <v>LO</v>
      </c>
      <c r="Z22" s="18"/>
      <c r="AA22" s="20">
        <f>-SUMIFS('TRA RESID'!$P:$P,'TRA RESID'!$I:$I,W22,'TRA RESID'!$J:$J,T22,'TRA RESID'!$H:$H,U22)/SUMIFS('TRA RESID'!$P:$P,'TRA RESID'!$I:$I,W22)*AE22</f>
        <v>0</v>
      </c>
      <c r="AB22" s="18"/>
      <c r="AC22" s="18"/>
      <c r="AE22" s="21">
        <v>1</v>
      </c>
      <c r="AG22" s="15" t="str">
        <f>IF(AG21="*",AG21,"")</f>
        <v>*</v>
      </c>
      <c r="AH22" s="17" t="str">
        <f t="shared" si="14"/>
        <v>*HEV*</v>
      </c>
      <c r="AI22" s="17" t="str">
        <f t="shared" si="14"/>
        <v>TRARDS</v>
      </c>
      <c r="AJ22" s="17" t="str">
        <f t="shared" si="14"/>
        <v>TRAPASCARDMD</v>
      </c>
      <c r="AK22" s="17" t="str">
        <f t="shared" si="14"/>
        <v>TRAPASCARDMD</v>
      </c>
      <c r="AL22" s="18">
        <v>2030</v>
      </c>
      <c r="AM22" s="18" t="str">
        <f>AM21</f>
        <v>LO</v>
      </c>
      <c r="AN22" s="18"/>
      <c r="AO22" s="20">
        <f>-SUMIFS('TRA RESID'!$P:$P,'TRA RESID'!$I:$I,AK22,'TRA RESID'!$J:$J,AH22,'TRA RESID'!$H:$H,AI22)/SUMIFS('TRA RESID'!$P:$P,'TRA RESID'!$I:$I,AK22)*AS22</f>
        <v>0</v>
      </c>
      <c r="AP22" s="18"/>
      <c r="AQ22" s="18"/>
      <c r="AS22" s="21">
        <v>0.5</v>
      </c>
      <c r="AU22" s="15" t="str">
        <f>IF(AU21="*",AU21,"")</f>
        <v>*</v>
      </c>
      <c r="AV22" s="17" t="str">
        <f t="shared" si="15"/>
        <v>*FCEV*</v>
      </c>
      <c r="AW22" s="17" t="str">
        <f t="shared" si="15"/>
        <v>TRARDS</v>
      </c>
      <c r="AX22" s="17" t="str">
        <f t="shared" si="15"/>
        <v>TRAPASCARDMD</v>
      </c>
      <c r="AY22" s="17" t="str">
        <f t="shared" si="15"/>
        <v>TRAPASCARDMD</v>
      </c>
      <c r="AZ22" s="18">
        <v>2030</v>
      </c>
      <c r="BA22" s="18" t="str">
        <f>BA21</f>
        <v>LO</v>
      </c>
      <c r="BB22" s="18"/>
      <c r="BC22" s="20">
        <f>-SUMIFS('TRA RESID'!$P:$P,'TRA RESID'!$I:$I,AY22,'TRA RESID'!$J:$J,AV22,'TRA RESID'!$H:$H,AW22)/SUMIFS('TRA RESID'!$P:$P,'TRA RESID'!$I:$I,AY22)*BG22</f>
        <v>0</v>
      </c>
      <c r="BD22" s="18"/>
      <c r="BE22" s="18"/>
      <c r="BG22" s="21">
        <v>0.5</v>
      </c>
    </row>
    <row r="23" spans="1:59" x14ac:dyDescent="0.25">
      <c r="C23" s="15" t="str">
        <f>IF(C22="*",C22,"")</f>
        <v>*</v>
      </c>
      <c r="D23" s="17" t="str">
        <f t="shared" si="12"/>
        <v>*ICEV*</v>
      </c>
      <c r="E23" s="17" t="str">
        <f t="shared" si="12"/>
        <v>TRARDS</v>
      </c>
      <c r="F23" s="17" t="str">
        <f t="shared" si="12"/>
        <v>TRAPASCARDMD</v>
      </c>
      <c r="G23" s="17" t="str">
        <f t="shared" si="12"/>
        <v>TRAPASCARDMD</v>
      </c>
      <c r="H23" s="18">
        <v>2040</v>
      </c>
      <c r="I23" s="18" t="str">
        <f>I22</f>
        <v>LO</v>
      </c>
      <c r="J23" s="18"/>
      <c r="K23" s="20">
        <f>-SUMIFS('TRA RESID'!$P:$P,'TRA RESID'!$I:$I,G23,'TRA RESID'!$J:$J,D23,'TRA RESID'!$H:$H,E23)/SUMIFS('TRA RESID'!$P:$P,'TRA RESID'!$I:$I,G23)*O23</f>
        <v>0</v>
      </c>
      <c r="L23" s="18"/>
      <c r="M23" s="18"/>
      <c r="O23" s="21">
        <v>0</v>
      </c>
      <c r="S23" s="15" t="str">
        <f>IF(S22="*",S22,"")</f>
        <v>*</v>
      </c>
      <c r="T23" s="17" t="str">
        <f t="shared" si="13"/>
        <v>*BEV*</v>
      </c>
      <c r="U23" s="17" t="str">
        <f t="shared" si="13"/>
        <v>TRARDS</v>
      </c>
      <c r="V23" s="17" t="str">
        <f t="shared" si="13"/>
        <v>TRAPASCARDMD</v>
      </c>
      <c r="W23" s="17" t="str">
        <f t="shared" si="13"/>
        <v>TRAPASCARDMD</v>
      </c>
      <c r="X23" s="18">
        <v>2040</v>
      </c>
      <c r="Y23" s="18" t="str">
        <f>Y22</f>
        <v>LO</v>
      </c>
      <c r="Z23" s="18"/>
      <c r="AA23" s="20">
        <f>-SUMIFS('TRA RESID'!$P:$P,'TRA RESID'!$I:$I,W23,'TRA RESID'!$J:$J,T23,'TRA RESID'!$H:$H,U23)/SUMIFS('TRA RESID'!$P:$P,'TRA RESID'!$I:$I,W23)*AE23</f>
        <v>0</v>
      </c>
      <c r="AB23" s="18"/>
      <c r="AC23" s="18"/>
      <c r="AE23" s="21">
        <v>1</v>
      </c>
      <c r="AG23" s="15" t="str">
        <f>IF(AG22="*",AG22,"")</f>
        <v>*</v>
      </c>
      <c r="AH23" s="17" t="str">
        <f t="shared" si="14"/>
        <v>*HEV*</v>
      </c>
      <c r="AI23" s="17" t="str">
        <f t="shared" si="14"/>
        <v>TRARDS</v>
      </c>
      <c r="AJ23" s="17" t="str">
        <f t="shared" si="14"/>
        <v>TRAPASCARDMD</v>
      </c>
      <c r="AK23" s="17" t="str">
        <f t="shared" si="14"/>
        <v>TRAPASCARDMD</v>
      </c>
      <c r="AL23" s="18">
        <v>2040</v>
      </c>
      <c r="AM23" s="18" t="str">
        <f>AM22</f>
        <v>LO</v>
      </c>
      <c r="AN23" s="18"/>
      <c r="AO23" s="20">
        <f>-SUMIFS('TRA RESID'!$P:$P,'TRA RESID'!$I:$I,AK23,'TRA RESID'!$J:$J,AH23,'TRA RESID'!$H:$H,AI23)/SUMIFS('TRA RESID'!$P:$P,'TRA RESID'!$I:$I,AK23)*AS23</f>
        <v>0</v>
      </c>
      <c r="AP23" s="18"/>
      <c r="AQ23" s="18"/>
      <c r="AS23" s="21">
        <v>0</v>
      </c>
      <c r="AU23" s="15" t="str">
        <f>IF(AU22="*",AU22,"")</f>
        <v>*</v>
      </c>
      <c r="AV23" s="17" t="str">
        <f t="shared" si="15"/>
        <v>*FCEV*</v>
      </c>
      <c r="AW23" s="17" t="str">
        <f t="shared" si="15"/>
        <v>TRARDS</v>
      </c>
      <c r="AX23" s="17" t="str">
        <f t="shared" si="15"/>
        <v>TRAPASCARDMD</v>
      </c>
      <c r="AY23" s="17" t="str">
        <f t="shared" si="15"/>
        <v>TRAPASCARDMD</v>
      </c>
      <c r="AZ23" s="18">
        <v>2040</v>
      </c>
      <c r="BA23" s="18" t="str">
        <f>BA22</f>
        <v>LO</v>
      </c>
      <c r="BB23" s="18"/>
      <c r="BC23" s="20">
        <f>-SUMIFS('TRA RESID'!$P:$P,'TRA RESID'!$I:$I,AY23,'TRA RESID'!$J:$J,AV23,'TRA RESID'!$H:$H,AW23)/SUMIFS('TRA RESID'!$P:$P,'TRA RESID'!$I:$I,AY23)*BG23</f>
        <v>0</v>
      </c>
      <c r="BD23" s="18"/>
      <c r="BE23" s="18"/>
      <c r="BG23" s="21">
        <v>0</v>
      </c>
    </row>
    <row r="24" spans="1:59" x14ac:dyDescent="0.25">
      <c r="C24" s="23" t="str">
        <f>IF(C23="*",C23,"")</f>
        <v>*</v>
      </c>
      <c r="D24" s="25" t="str">
        <f t="shared" si="12"/>
        <v>*ICEV*</v>
      </c>
      <c r="E24" s="25" t="str">
        <f t="shared" si="12"/>
        <v>TRARDS</v>
      </c>
      <c r="F24" s="25" t="str">
        <f t="shared" si="12"/>
        <v>TRAPASCARDMD</v>
      </c>
      <c r="G24" s="25" t="str">
        <f t="shared" si="12"/>
        <v>TRAPASCARDMD</v>
      </c>
      <c r="H24" s="26">
        <v>2050</v>
      </c>
      <c r="I24" s="26" t="str">
        <f>I22</f>
        <v>LO</v>
      </c>
      <c r="J24" s="26"/>
      <c r="K24" s="27">
        <f>-SUMIFS('TRA RESID'!$P:$P,'TRA RESID'!$I:$I,G24,'TRA RESID'!$J:$J,D24,'TRA RESID'!$H:$H,E24)/SUMIFS('TRA RESID'!$P:$P,'TRA RESID'!$I:$I,G24)*O24</f>
        <v>0</v>
      </c>
      <c r="L24" s="26"/>
      <c r="M24" s="26"/>
      <c r="O24" s="28">
        <v>0</v>
      </c>
      <c r="S24" s="23" t="str">
        <f>IF(S23="*",S23,"")</f>
        <v>*</v>
      </c>
      <c r="T24" s="25" t="str">
        <f t="shared" si="13"/>
        <v>*BEV*</v>
      </c>
      <c r="U24" s="25" t="str">
        <f t="shared" si="13"/>
        <v>TRARDS</v>
      </c>
      <c r="V24" s="25" t="str">
        <f t="shared" si="13"/>
        <v>TRAPASCARDMD</v>
      </c>
      <c r="W24" s="25" t="str">
        <f t="shared" si="13"/>
        <v>TRAPASCARDMD</v>
      </c>
      <c r="X24" s="26">
        <v>2050</v>
      </c>
      <c r="Y24" s="26" t="str">
        <f>Y22</f>
        <v>LO</v>
      </c>
      <c r="Z24" s="26"/>
      <c r="AA24" s="27">
        <f>-SUMIFS('TRA RESID'!$P:$P,'TRA RESID'!$I:$I,W24,'TRA RESID'!$J:$J,T24,'TRA RESID'!$H:$H,U24)/SUMIFS('TRA RESID'!$P:$P,'TRA RESID'!$I:$I,W24)*AE24</f>
        <v>0</v>
      </c>
      <c r="AB24" s="26"/>
      <c r="AC24" s="26"/>
      <c r="AE24" s="28">
        <v>1</v>
      </c>
      <c r="AG24" s="23" t="str">
        <f>IF(AG23="*",AG23,"")</f>
        <v>*</v>
      </c>
      <c r="AH24" s="25" t="str">
        <f t="shared" si="14"/>
        <v>*HEV*</v>
      </c>
      <c r="AI24" s="25" t="str">
        <f t="shared" si="14"/>
        <v>TRARDS</v>
      </c>
      <c r="AJ24" s="25" t="str">
        <f t="shared" si="14"/>
        <v>TRAPASCARDMD</v>
      </c>
      <c r="AK24" s="25" t="str">
        <f t="shared" si="14"/>
        <v>TRAPASCARDMD</v>
      </c>
      <c r="AL24" s="26">
        <v>2050</v>
      </c>
      <c r="AM24" s="26" t="str">
        <f>AM22</f>
        <v>LO</v>
      </c>
      <c r="AN24" s="26"/>
      <c r="AO24" s="27">
        <f>-SUMIFS('TRA RESID'!$P:$P,'TRA RESID'!$I:$I,AK24,'TRA RESID'!$J:$J,AH24,'TRA RESID'!$H:$H,AI24)/SUMIFS('TRA RESID'!$P:$P,'TRA RESID'!$I:$I,AK24)*AS24</f>
        <v>0</v>
      </c>
      <c r="AP24" s="26"/>
      <c r="AQ24" s="26"/>
      <c r="AS24" s="28">
        <v>0</v>
      </c>
      <c r="AU24" s="23" t="str">
        <f>IF(AU23="*",AU23,"")</f>
        <v>*</v>
      </c>
      <c r="AV24" s="25" t="str">
        <f t="shared" si="15"/>
        <v>*FCEV*</v>
      </c>
      <c r="AW24" s="25" t="str">
        <f t="shared" si="15"/>
        <v>TRARDS</v>
      </c>
      <c r="AX24" s="25" t="str">
        <f t="shared" si="15"/>
        <v>TRAPASCARDMD</v>
      </c>
      <c r="AY24" s="25" t="str">
        <f t="shared" si="15"/>
        <v>TRAPASCARDMD</v>
      </c>
      <c r="AZ24" s="26">
        <v>2050</v>
      </c>
      <c r="BA24" s="26" t="str">
        <f>BA22</f>
        <v>LO</v>
      </c>
      <c r="BB24" s="26"/>
      <c r="BC24" s="27">
        <f>-SUMIFS('TRA RESID'!$P:$P,'TRA RESID'!$I:$I,AY24,'TRA RESID'!$J:$J,AV24,'TRA RESID'!$H:$H,AW24)/SUMIFS('TRA RESID'!$P:$P,'TRA RESID'!$I:$I,AY24)*BG24</f>
        <v>0</v>
      </c>
      <c r="BD24" s="26"/>
      <c r="BE24" s="26"/>
      <c r="BG24" s="28">
        <v>0</v>
      </c>
    </row>
    <row r="25" spans="1:59" x14ac:dyDescent="0.25">
      <c r="A25">
        <f>A20+1</f>
        <v>5</v>
      </c>
      <c r="C25" s="15" t="str">
        <f>IF(E25="","",IF(_xlfn.XLOOKUP($A25,Selected_constraint!$A:$A,Selected_constraint!$D:$D)=1,"*",IF(SUMIFS('TRA TECH'!$M:$M,'TRA TECH'!$H:$H,E25,'TRA TECH'!$I:$I,F25)=0,"*",IF(SUMIFS('TRA RESID'!$P:$P,'TRA RESID'!$I:$I,G25,'TRA RESID'!$J:$J,D25,'TRA RESID'!$H:$H,E25)=0,"*","UC_"&amp;SUBSTITUTE(D25,"*","")&amp;"_"&amp;RIGHT(E25,3)&amp;"_"&amp;F25))))</f>
        <v>*</v>
      </c>
      <c r="D25" s="17" t="s">
        <v>485</v>
      </c>
      <c r="E25" s="17" t="str">
        <f>_xlfn.XLOOKUP($A25,Selected_constraint!$A:$A,Selected_constraint!$B:$B)</f>
        <v>TRABDS</v>
      </c>
      <c r="F25" s="17" t="str">
        <f>_xlfn.XLOOKUP($A25,Selected_constraint!$A:$A,Selected_constraint!$C:$C)</f>
        <v>TRAPASCARDMD</v>
      </c>
      <c r="G25" s="17" t="str">
        <f>F25</f>
        <v>TRAPASCARDMD</v>
      </c>
      <c r="H25" s="18">
        <v>2019</v>
      </c>
      <c r="I25" s="18" t="s">
        <v>483</v>
      </c>
      <c r="J25" s="18">
        <v>1</v>
      </c>
      <c r="K25" s="20">
        <f>-SUMIFS('TRA RESID'!$P:$P,'TRA RESID'!$I:$I,G25,'TRA RESID'!$J:$J,D25,'TRA RESID'!$H:$H,E25)/SUMIFS('TRA RESID'!$P:$P,'TRA RESID'!$I:$I,G25)*O25</f>
        <v>0</v>
      </c>
      <c r="L25" s="18">
        <v>0</v>
      </c>
      <c r="M25" s="18">
        <v>5</v>
      </c>
      <c r="O25" s="21">
        <v>0.98</v>
      </c>
      <c r="Q25">
        <f>Q20+1</f>
        <v>5</v>
      </c>
      <c r="S25" s="15" t="str">
        <f>IF(SUMIFS('TRA RESID'!$P:$P,'TRA RESID'!$I:$I,W25,'TRA RESID'!$J:$J,T25,'TRA RESID'!$H:$H,U25)=0,"*","UC_"&amp;SUBSTITUTE(T25,"*","")&amp;"_"&amp;RIGHT(U25,3)&amp;"_"&amp;V25)</f>
        <v>*</v>
      </c>
      <c r="T25" s="17" t="s">
        <v>486</v>
      </c>
      <c r="U25" s="17" t="str">
        <f>_xlfn.XLOOKUP($A25,Selected_constraint!$A:$A,Selected_constraint!$B:$B)</f>
        <v>TRABDS</v>
      </c>
      <c r="V25" s="17" t="str">
        <f>_xlfn.XLOOKUP($A25,Selected_constraint!$A:$A,Selected_constraint!$C:$C)</f>
        <v>TRAPASCARDMD</v>
      </c>
      <c r="W25" s="17" t="str">
        <f>V25</f>
        <v>TRAPASCARDMD</v>
      </c>
      <c r="X25" s="18">
        <v>2019</v>
      </c>
      <c r="Y25" s="18" t="s">
        <v>483</v>
      </c>
      <c r="Z25" s="18">
        <v>1</v>
      </c>
      <c r="AA25" s="20">
        <f>-SUMIFS('TRA RESID'!$P:$P,'TRA RESID'!$I:$I,W25,'TRA RESID'!$J:$J,T25,'TRA RESID'!$H:$H,U25)/SUMIFS('TRA RESID'!$P:$P,'TRA RESID'!$I:$I,W25)*AE25</f>
        <v>0</v>
      </c>
      <c r="AB25" s="18">
        <v>0</v>
      </c>
      <c r="AC25" s="18">
        <v>5</v>
      </c>
      <c r="AE25" s="21">
        <v>0.98</v>
      </c>
      <c r="AG25" s="15" t="str">
        <f>IF(SUMIFS('TRA RESID'!$P:$P,'TRA RESID'!$I:$I,AK25,'TRA RESID'!$J:$J,AH25,'TRA RESID'!$H:$H,AI25)=0,"*","UC_"&amp;SUBSTITUTE(AH25,"*","")&amp;"_"&amp;RIGHT(AI25,3)&amp;"_"&amp;AJ25)</f>
        <v>*</v>
      </c>
      <c r="AH25" s="17" t="s">
        <v>487</v>
      </c>
      <c r="AI25" s="17" t="str">
        <f>_xlfn.XLOOKUP($A25,Selected_constraint!$A:$A,Selected_constraint!$B:$B)</f>
        <v>TRABDS</v>
      </c>
      <c r="AJ25" s="17" t="str">
        <f>_xlfn.XLOOKUP($A25,Selected_constraint!$A:$A,Selected_constraint!$C:$C)</f>
        <v>TRAPASCARDMD</v>
      </c>
      <c r="AK25" s="17" t="str">
        <f>AJ25</f>
        <v>TRAPASCARDMD</v>
      </c>
      <c r="AL25" s="18">
        <v>2019</v>
      </c>
      <c r="AM25" s="18" t="s">
        <v>483</v>
      </c>
      <c r="AN25" s="18">
        <v>1</v>
      </c>
      <c r="AO25" s="20">
        <f>-SUMIFS('TRA RESID'!$P:$P,'TRA RESID'!$I:$I,AK25,'TRA RESID'!$J:$J,AH25,'TRA RESID'!$H:$H,AI25)/SUMIFS('TRA RESID'!$P:$P,'TRA RESID'!$I:$I,AK25)*AS25</f>
        <v>0</v>
      </c>
      <c r="AP25" s="18">
        <v>0</v>
      </c>
      <c r="AQ25" s="18">
        <v>5</v>
      </c>
      <c r="AS25" s="21">
        <v>0.98</v>
      </c>
      <c r="AU25" s="15" t="str">
        <f>IF(SUMIFS('TRA RESID'!$P:$P,'TRA RESID'!$I:$I,AY25,'TRA RESID'!$J:$J,AV25,'TRA RESID'!$H:$H,AW25)=0,"*","UC_"&amp;SUBSTITUTE(AV25,"*","")&amp;"_"&amp;RIGHT(AW25,3)&amp;"_"&amp;AX25)</f>
        <v>*</v>
      </c>
      <c r="AV25" s="17" t="s">
        <v>488</v>
      </c>
      <c r="AW25" s="17" t="str">
        <f>_xlfn.XLOOKUP($A25,Selected_constraint!$A:$A,Selected_constraint!$B:$B)</f>
        <v>TRABDS</v>
      </c>
      <c r="AX25" s="17" t="str">
        <f>_xlfn.XLOOKUP($A25,Selected_constraint!$A:$A,Selected_constraint!$C:$C)</f>
        <v>TRAPASCARDMD</v>
      </c>
      <c r="AY25" s="17" t="str">
        <f>AX25</f>
        <v>TRAPASCARDMD</v>
      </c>
      <c r="AZ25" s="18">
        <v>2019</v>
      </c>
      <c r="BA25" s="18" t="s">
        <v>483</v>
      </c>
      <c r="BB25" s="18">
        <v>1</v>
      </c>
      <c r="BC25" s="20">
        <f>-SUMIFS('TRA RESID'!$P:$P,'TRA RESID'!$I:$I,AY25,'TRA RESID'!$J:$J,AV25,'TRA RESID'!$H:$H,AW25)/SUMIFS('TRA RESID'!$P:$P,'TRA RESID'!$I:$I,AY25)*BG25</f>
        <v>0</v>
      </c>
      <c r="BD25" s="18">
        <v>0</v>
      </c>
      <c r="BE25" s="18">
        <v>5</v>
      </c>
      <c r="BG25" s="21">
        <v>0.98</v>
      </c>
    </row>
    <row r="26" spans="1:59" x14ac:dyDescent="0.25">
      <c r="C26" s="15" t="str">
        <f>IF(C25="*",C25,"")</f>
        <v>*</v>
      </c>
      <c r="D26" s="17" t="str">
        <f t="shared" ref="D26:G29" si="16">D25</f>
        <v>*ICEV*</v>
      </c>
      <c r="E26" s="17" t="str">
        <f t="shared" si="16"/>
        <v>TRABDS</v>
      </c>
      <c r="F26" s="17" t="str">
        <f t="shared" si="16"/>
        <v>TRAPASCARDMD</v>
      </c>
      <c r="G26" s="17" t="str">
        <f t="shared" si="16"/>
        <v>TRAPASCARDMD</v>
      </c>
      <c r="H26" s="18">
        <v>2025</v>
      </c>
      <c r="I26" s="18" t="str">
        <f>I25</f>
        <v>LO</v>
      </c>
      <c r="J26" s="18"/>
      <c r="K26" s="20">
        <f>-SUMIFS('TRA RESID'!$P:$P,'TRA RESID'!$I:$I,G26,'TRA RESID'!$J:$J,D26,'TRA RESID'!$H:$H,E26)/SUMIFS('TRA RESID'!$P:$P,'TRA RESID'!$I:$I,G26)*O26</f>
        <v>0</v>
      </c>
      <c r="L26" s="18"/>
      <c r="M26" s="18"/>
      <c r="O26" s="21">
        <v>0.8</v>
      </c>
      <c r="S26" s="15" t="str">
        <f>IF(S25="*",S25,"")</f>
        <v>*</v>
      </c>
      <c r="T26" s="17" t="str">
        <f t="shared" ref="T26:W29" si="17">T25</f>
        <v>*BEV*</v>
      </c>
      <c r="U26" s="17" t="str">
        <f t="shared" si="17"/>
        <v>TRABDS</v>
      </c>
      <c r="V26" s="17" t="str">
        <f t="shared" si="17"/>
        <v>TRAPASCARDMD</v>
      </c>
      <c r="W26" s="17" t="str">
        <f t="shared" si="17"/>
        <v>TRAPASCARDMD</v>
      </c>
      <c r="X26" s="18">
        <v>2025</v>
      </c>
      <c r="Y26" s="18" t="str">
        <f>Y25</f>
        <v>LO</v>
      </c>
      <c r="Z26" s="18"/>
      <c r="AA26" s="20">
        <f>-SUMIFS('TRA RESID'!$P:$P,'TRA RESID'!$I:$I,W26,'TRA RESID'!$J:$J,T26,'TRA RESID'!$H:$H,U26)/SUMIFS('TRA RESID'!$P:$P,'TRA RESID'!$I:$I,W26)*AE26</f>
        <v>0</v>
      </c>
      <c r="AB26" s="18"/>
      <c r="AC26" s="18"/>
      <c r="AE26" s="21">
        <v>1</v>
      </c>
      <c r="AG26" s="15" t="str">
        <f>IF(AG25="*",AG25,"")</f>
        <v>*</v>
      </c>
      <c r="AH26" s="17" t="str">
        <f t="shared" ref="AH26:AK29" si="18">AH25</f>
        <v>*HEV*</v>
      </c>
      <c r="AI26" s="17" t="str">
        <f t="shared" si="18"/>
        <v>TRABDS</v>
      </c>
      <c r="AJ26" s="17" t="str">
        <f t="shared" si="18"/>
        <v>TRAPASCARDMD</v>
      </c>
      <c r="AK26" s="17" t="str">
        <f t="shared" si="18"/>
        <v>TRAPASCARDMD</v>
      </c>
      <c r="AL26" s="18">
        <v>2025</v>
      </c>
      <c r="AM26" s="18" t="str">
        <f>AM25</f>
        <v>LO</v>
      </c>
      <c r="AN26" s="18"/>
      <c r="AO26" s="20">
        <f>-SUMIFS('TRA RESID'!$P:$P,'TRA RESID'!$I:$I,AK26,'TRA RESID'!$J:$J,AH26,'TRA RESID'!$H:$H,AI26)/SUMIFS('TRA RESID'!$P:$P,'TRA RESID'!$I:$I,AK26)*AS26</f>
        <v>0</v>
      </c>
      <c r="AP26" s="18"/>
      <c r="AQ26" s="18"/>
      <c r="AS26" s="21">
        <v>0.8</v>
      </c>
      <c r="AU26" s="15" t="str">
        <f>IF(AU25="*",AU25,"")</f>
        <v>*</v>
      </c>
      <c r="AV26" s="17" t="str">
        <f t="shared" ref="AV26:AY29" si="19">AV25</f>
        <v>*FCEV*</v>
      </c>
      <c r="AW26" s="17" t="str">
        <f t="shared" si="19"/>
        <v>TRABDS</v>
      </c>
      <c r="AX26" s="17" t="str">
        <f t="shared" si="19"/>
        <v>TRAPASCARDMD</v>
      </c>
      <c r="AY26" s="17" t="str">
        <f t="shared" si="19"/>
        <v>TRAPASCARDMD</v>
      </c>
      <c r="AZ26" s="18">
        <v>2025</v>
      </c>
      <c r="BA26" s="18" t="str">
        <f>BA25</f>
        <v>LO</v>
      </c>
      <c r="BB26" s="18"/>
      <c r="BC26" s="20">
        <f>-SUMIFS('TRA RESID'!$P:$P,'TRA RESID'!$I:$I,AY26,'TRA RESID'!$J:$J,AV26,'TRA RESID'!$H:$H,AW26)/SUMIFS('TRA RESID'!$P:$P,'TRA RESID'!$I:$I,AY26)*BG26</f>
        <v>0</v>
      </c>
      <c r="BD26" s="18"/>
      <c r="BE26" s="18"/>
      <c r="BG26" s="21">
        <v>0.8</v>
      </c>
    </row>
    <row r="27" spans="1:59" x14ac:dyDescent="0.25">
      <c r="C27" s="15" t="str">
        <f>IF(C26="*",C26,"")</f>
        <v>*</v>
      </c>
      <c r="D27" s="17" t="str">
        <f t="shared" si="16"/>
        <v>*ICEV*</v>
      </c>
      <c r="E27" s="17" t="str">
        <f t="shared" si="16"/>
        <v>TRABDS</v>
      </c>
      <c r="F27" s="17" t="str">
        <f t="shared" si="16"/>
        <v>TRAPASCARDMD</v>
      </c>
      <c r="G27" s="17" t="str">
        <f t="shared" si="16"/>
        <v>TRAPASCARDMD</v>
      </c>
      <c r="H27" s="18">
        <v>2030</v>
      </c>
      <c r="I27" s="18" t="str">
        <f>I26</f>
        <v>LO</v>
      </c>
      <c r="J27" s="18"/>
      <c r="K27" s="20">
        <f>-SUMIFS('TRA RESID'!$P:$P,'TRA RESID'!$I:$I,G27,'TRA RESID'!$J:$J,D27,'TRA RESID'!$H:$H,E27)/SUMIFS('TRA RESID'!$P:$P,'TRA RESID'!$I:$I,G27)*O27</f>
        <v>0</v>
      </c>
      <c r="L27" s="18"/>
      <c r="M27" s="18"/>
      <c r="O27" s="21">
        <v>0.5</v>
      </c>
      <c r="S27" s="15" t="str">
        <f>IF(S26="*",S26,"")</f>
        <v>*</v>
      </c>
      <c r="T27" s="17" t="str">
        <f t="shared" si="17"/>
        <v>*BEV*</v>
      </c>
      <c r="U27" s="17" t="str">
        <f t="shared" si="17"/>
        <v>TRABDS</v>
      </c>
      <c r="V27" s="17" t="str">
        <f t="shared" si="17"/>
        <v>TRAPASCARDMD</v>
      </c>
      <c r="W27" s="17" t="str">
        <f t="shared" si="17"/>
        <v>TRAPASCARDMD</v>
      </c>
      <c r="X27" s="18">
        <v>2030</v>
      </c>
      <c r="Y27" s="18" t="str">
        <f>Y26</f>
        <v>LO</v>
      </c>
      <c r="Z27" s="18"/>
      <c r="AA27" s="20">
        <f>-SUMIFS('TRA RESID'!$P:$P,'TRA RESID'!$I:$I,W27,'TRA RESID'!$J:$J,T27,'TRA RESID'!$H:$H,U27)/SUMIFS('TRA RESID'!$P:$P,'TRA RESID'!$I:$I,W27)*AE27</f>
        <v>0</v>
      </c>
      <c r="AB27" s="18"/>
      <c r="AC27" s="18"/>
      <c r="AE27" s="21">
        <v>1</v>
      </c>
      <c r="AG27" s="15" t="str">
        <f>IF(AG26="*",AG26,"")</f>
        <v>*</v>
      </c>
      <c r="AH27" s="17" t="str">
        <f t="shared" si="18"/>
        <v>*HEV*</v>
      </c>
      <c r="AI27" s="17" t="str">
        <f t="shared" si="18"/>
        <v>TRABDS</v>
      </c>
      <c r="AJ27" s="17" t="str">
        <f t="shared" si="18"/>
        <v>TRAPASCARDMD</v>
      </c>
      <c r="AK27" s="17" t="str">
        <f t="shared" si="18"/>
        <v>TRAPASCARDMD</v>
      </c>
      <c r="AL27" s="18">
        <v>2030</v>
      </c>
      <c r="AM27" s="18" t="str">
        <f>AM26</f>
        <v>LO</v>
      </c>
      <c r="AN27" s="18"/>
      <c r="AO27" s="20">
        <f>-SUMIFS('TRA RESID'!$P:$P,'TRA RESID'!$I:$I,AK27,'TRA RESID'!$J:$J,AH27,'TRA RESID'!$H:$H,AI27)/SUMIFS('TRA RESID'!$P:$P,'TRA RESID'!$I:$I,AK27)*AS27</f>
        <v>0</v>
      </c>
      <c r="AP27" s="18"/>
      <c r="AQ27" s="18"/>
      <c r="AS27" s="21">
        <v>0.5</v>
      </c>
      <c r="AU27" s="15" t="str">
        <f>IF(AU26="*",AU26,"")</f>
        <v>*</v>
      </c>
      <c r="AV27" s="17" t="str">
        <f t="shared" si="19"/>
        <v>*FCEV*</v>
      </c>
      <c r="AW27" s="17" t="str">
        <f t="shared" si="19"/>
        <v>TRABDS</v>
      </c>
      <c r="AX27" s="17" t="str">
        <f t="shared" si="19"/>
        <v>TRAPASCARDMD</v>
      </c>
      <c r="AY27" s="17" t="str">
        <f t="shared" si="19"/>
        <v>TRAPASCARDMD</v>
      </c>
      <c r="AZ27" s="18">
        <v>2030</v>
      </c>
      <c r="BA27" s="18" t="str">
        <f>BA26</f>
        <v>LO</v>
      </c>
      <c r="BB27" s="18"/>
      <c r="BC27" s="20">
        <f>-SUMIFS('TRA RESID'!$P:$P,'TRA RESID'!$I:$I,AY27,'TRA RESID'!$J:$J,AV27,'TRA RESID'!$H:$H,AW27)/SUMIFS('TRA RESID'!$P:$P,'TRA RESID'!$I:$I,AY27)*BG27</f>
        <v>0</v>
      </c>
      <c r="BD27" s="18"/>
      <c r="BE27" s="18"/>
      <c r="BG27" s="21">
        <v>0.5</v>
      </c>
    </row>
    <row r="28" spans="1:59" x14ac:dyDescent="0.25">
      <c r="C28" s="15" t="str">
        <f>IF(C27="*",C27,"")</f>
        <v>*</v>
      </c>
      <c r="D28" s="17" t="str">
        <f t="shared" si="16"/>
        <v>*ICEV*</v>
      </c>
      <c r="E28" s="17" t="str">
        <f t="shared" si="16"/>
        <v>TRABDS</v>
      </c>
      <c r="F28" s="17" t="str">
        <f t="shared" si="16"/>
        <v>TRAPASCARDMD</v>
      </c>
      <c r="G28" s="17" t="str">
        <f t="shared" si="16"/>
        <v>TRAPASCARDMD</v>
      </c>
      <c r="H28" s="18">
        <v>2040</v>
      </c>
      <c r="I28" s="18" t="str">
        <f>I27</f>
        <v>LO</v>
      </c>
      <c r="J28" s="18"/>
      <c r="K28" s="20">
        <f>-SUMIFS('TRA RESID'!$P:$P,'TRA RESID'!$I:$I,G28,'TRA RESID'!$J:$J,D28,'TRA RESID'!$H:$H,E28)/SUMIFS('TRA RESID'!$P:$P,'TRA RESID'!$I:$I,G28)*O28</f>
        <v>0</v>
      </c>
      <c r="L28" s="18"/>
      <c r="M28" s="18"/>
      <c r="O28" s="21">
        <v>0</v>
      </c>
      <c r="S28" s="15" t="str">
        <f>IF(S27="*",S27,"")</f>
        <v>*</v>
      </c>
      <c r="T28" s="17" t="str">
        <f t="shared" si="17"/>
        <v>*BEV*</v>
      </c>
      <c r="U28" s="17" t="str">
        <f t="shared" si="17"/>
        <v>TRABDS</v>
      </c>
      <c r="V28" s="17" t="str">
        <f t="shared" si="17"/>
        <v>TRAPASCARDMD</v>
      </c>
      <c r="W28" s="17" t="str">
        <f t="shared" si="17"/>
        <v>TRAPASCARDMD</v>
      </c>
      <c r="X28" s="18">
        <v>2040</v>
      </c>
      <c r="Y28" s="18" t="str">
        <f>Y27</f>
        <v>LO</v>
      </c>
      <c r="Z28" s="18"/>
      <c r="AA28" s="20">
        <f>-SUMIFS('TRA RESID'!$P:$P,'TRA RESID'!$I:$I,W28,'TRA RESID'!$J:$J,T28,'TRA RESID'!$H:$H,U28)/SUMIFS('TRA RESID'!$P:$P,'TRA RESID'!$I:$I,W28)*AE28</f>
        <v>0</v>
      </c>
      <c r="AB28" s="18"/>
      <c r="AC28" s="18"/>
      <c r="AE28" s="21">
        <v>1</v>
      </c>
      <c r="AG28" s="15" t="str">
        <f>IF(AG27="*",AG27,"")</f>
        <v>*</v>
      </c>
      <c r="AH28" s="17" t="str">
        <f t="shared" si="18"/>
        <v>*HEV*</v>
      </c>
      <c r="AI28" s="17" t="str">
        <f t="shared" si="18"/>
        <v>TRABDS</v>
      </c>
      <c r="AJ28" s="17" t="str">
        <f t="shared" si="18"/>
        <v>TRAPASCARDMD</v>
      </c>
      <c r="AK28" s="17" t="str">
        <f t="shared" si="18"/>
        <v>TRAPASCARDMD</v>
      </c>
      <c r="AL28" s="18">
        <v>2040</v>
      </c>
      <c r="AM28" s="18" t="str">
        <f>AM27</f>
        <v>LO</v>
      </c>
      <c r="AN28" s="18"/>
      <c r="AO28" s="20">
        <f>-SUMIFS('TRA RESID'!$P:$P,'TRA RESID'!$I:$I,AK28,'TRA RESID'!$J:$J,AH28,'TRA RESID'!$H:$H,AI28)/SUMIFS('TRA RESID'!$P:$P,'TRA RESID'!$I:$I,AK28)*AS28</f>
        <v>0</v>
      </c>
      <c r="AP28" s="18"/>
      <c r="AQ28" s="18"/>
      <c r="AS28" s="21">
        <v>0</v>
      </c>
      <c r="AU28" s="15" t="str">
        <f>IF(AU27="*",AU27,"")</f>
        <v>*</v>
      </c>
      <c r="AV28" s="17" t="str">
        <f t="shared" si="19"/>
        <v>*FCEV*</v>
      </c>
      <c r="AW28" s="17" t="str">
        <f t="shared" si="19"/>
        <v>TRABDS</v>
      </c>
      <c r="AX28" s="17" t="str">
        <f t="shared" si="19"/>
        <v>TRAPASCARDMD</v>
      </c>
      <c r="AY28" s="17" t="str">
        <f t="shared" si="19"/>
        <v>TRAPASCARDMD</v>
      </c>
      <c r="AZ28" s="18">
        <v>2040</v>
      </c>
      <c r="BA28" s="18" t="str">
        <f>BA27</f>
        <v>LO</v>
      </c>
      <c r="BB28" s="18"/>
      <c r="BC28" s="20">
        <f>-SUMIFS('TRA RESID'!$P:$P,'TRA RESID'!$I:$I,AY28,'TRA RESID'!$J:$J,AV28,'TRA RESID'!$H:$H,AW28)/SUMIFS('TRA RESID'!$P:$P,'TRA RESID'!$I:$I,AY28)*BG28</f>
        <v>0</v>
      </c>
      <c r="BD28" s="18"/>
      <c r="BE28" s="18"/>
      <c r="BG28" s="21">
        <v>0</v>
      </c>
    </row>
    <row r="29" spans="1:59" x14ac:dyDescent="0.25">
      <c r="C29" s="23" t="str">
        <f>IF(C28="*",C28,"")</f>
        <v>*</v>
      </c>
      <c r="D29" s="25" t="str">
        <f t="shared" si="16"/>
        <v>*ICEV*</v>
      </c>
      <c r="E29" s="25" t="str">
        <f t="shared" si="16"/>
        <v>TRABDS</v>
      </c>
      <c r="F29" s="25" t="str">
        <f t="shared" si="16"/>
        <v>TRAPASCARDMD</v>
      </c>
      <c r="G29" s="25" t="str">
        <f t="shared" si="16"/>
        <v>TRAPASCARDMD</v>
      </c>
      <c r="H29" s="26">
        <v>2050</v>
      </c>
      <c r="I29" s="26" t="str">
        <f>I27</f>
        <v>LO</v>
      </c>
      <c r="J29" s="26"/>
      <c r="K29" s="27">
        <f>-SUMIFS('TRA RESID'!$P:$P,'TRA RESID'!$I:$I,G29,'TRA RESID'!$J:$J,D29,'TRA RESID'!$H:$H,E29)/SUMIFS('TRA RESID'!$P:$P,'TRA RESID'!$I:$I,G29)*O29</f>
        <v>0</v>
      </c>
      <c r="L29" s="26"/>
      <c r="M29" s="26"/>
      <c r="O29" s="28">
        <v>0</v>
      </c>
      <c r="S29" s="23" t="str">
        <f>IF(S28="*",S28,"")</f>
        <v>*</v>
      </c>
      <c r="T29" s="25" t="str">
        <f t="shared" si="17"/>
        <v>*BEV*</v>
      </c>
      <c r="U29" s="25" t="str">
        <f t="shared" si="17"/>
        <v>TRABDS</v>
      </c>
      <c r="V29" s="25" t="str">
        <f t="shared" si="17"/>
        <v>TRAPASCARDMD</v>
      </c>
      <c r="W29" s="25" t="str">
        <f t="shared" si="17"/>
        <v>TRAPASCARDMD</v>
      </c>
      <c r="X29" s="26">
        <v>2050</v>
      </c>
      <c r="Y29" s="26" t="str">
        <f>Y27</f>
        <v>LO</v>
      </c>
      <c r="Z29" s="26"/>
      <c r="AA29" s="27">
        <f>-SUMIFS('TRA RESID'!$P:$P,'TRA RESID'!$I:$I,W29,'TRA RESID'!$J:$J,T29,'TRA RESID'!$H:$H,U29)/SUMIFS('TRA RESID'!$P:$P,'TRA RESID'!$I:$I,W29)*AE29</f>
        <v>0</v>
      </c>
      <c r="AB29" s="26"/>
      <c r="AC29" s="26"/>
      <c r="AE29" s="28">
        <v>1</v>
      </c>
      <c r="AG29" s="23" t="str">
        <f>IF(AG28="*",AG28,"")</f>
        <v>*</v>
      </c>
      <c r="AH29" s="25" t="str">
        <f t="shared" si="18"/>
        <v>*HEV*</v>
      </c>
      <c r="AI29" s="25" t="str">
        <f t="shared" si="18"/>
        <v>TRABDS</v>
      </c>
      <c r="AJ29" s="25" t="str">
        <f t="shared" si="18"/>
        <v>TRAPASCARDMD</v>
      </c>
      <c r="AK29" s="25" t="str">
        <f t="shared" si="18"/>
        <v>TRAPASCARDMD</v>
      </c>
      <c r="AL29" s="26">
        <v>2050</v>
      </c>
      <c r="AM29" s="26" t="str">
        <f>AM27</f>
        <v>LO</v>
      </c>
      <c r="AN29" s="26"/>
      <c r="AO29" s="27">
        <f>-SUMIFS('TRA RESID'!$P:$P,'TRA RESID'!$I:$I,AK29,'TRA RESID'!$J:$J,AH29,'TRA RESID'!$H:$H,AI29)/SUMIFS('TRA RESID'!$P:$P,'TRA RESID'!$I:$I,AK29)*AS29</f>
        <v>0</v>
      </c>
      <c r="AP29" s="26"/>
      <c r="AQ29" s="26"/>
      <c r="AS29" s="28">
        <v>0</v>
      </c>
      <c r="AU29" s="23" t="str">
        <f>IF(AU28="*",AU28,"")</f>
        <v>*</v>
      </c>
      <c r="AV29" s="25" t="str">
        <f t="shared" si="19"/>
        <v>*FCEV*</v>
      </c>
      <c r="AW29" s="25" t="str">
        <f t="shared" si="19"/>
        <v>TRABDS</v>
      </c>
      <c r="AX29" s="25" t="str">
        <f t="shared" si="19"/>
        <v>TRAPASCARDMD</v>
      </c>
      <c r="AY29" s="25" t="str">
        <f t="shared" si="19"/>
        <v>TRAPASCARDMD</v>
      </c>
      <c r="AZ29" s="26">
        <v>2050</v>
      </c>
      <c r="BA29" s="26" t="str">
        <f>BA27</f>
        <v>LO</v>
      </c>
      <c r="BB29" s="26"/>
      <c r="BC29" s="27">
        <f>-SUMIFS('TRA RESID'!$P:$P,'TRA RESID'!$I:$I,AY29,'TRA RESID'!$J:$J,AV29,'TRA RESID'!$H:$H,AW29)/SUMIFS('TRA RESID'!$P:$P,'TRA RESID'!$I:$I,AY29)*BG29</f>
        <v>0</v>
      </c>
      <c r="BD29" s="26"/>
      <c r="BE29" s="26"/>
      <c r="BG29" s="28">
        <v>0</v>
      </c>
    </row>
    <row r="30" spans="1:59" x14ac:dyDescent="0.25">
      <c r="A30">
        <f>A25+1</f>
        <v>6</v>
      </c>
      <c r="C30" s="15" t="str">
        <f>IF(E30="","",IF(_xlfn.XLOOKUP($A30,Selected_constraint!$A:$A,Selected_constraint!$D:$D)=1,"*",IF(SUMIFS('TRA TECH'!$M:$M,'TRA TECH'!$H:$H,E30,'TRA TECH'!$I:$I,F30)=0,"*",IF(SUMIFS('TRA RESID'!$P:$P,'TRA RESID'!$I:$I,G30,'TRA RESID'!$J:$J,D30,'TRA RESID'!$H:$H,E30)=0,"*","UC_"&amp;SUBSTITUTE(D30,"*","")&amp;"_"&amp;RIGHT(E30,3)&amp;"_"&amp;F30))))</f>
        <v>*</v>
      </c>
      <c r="D30" s="17" t="s">
        <v>485</v>
      </c>
      <c r="E30" s="17" t="str">
        <f>_xlfn.XLOOKUP($A30,Selected_constraint!$A:$A,Selected_constraint!$B:$B)</f>
        <v>TRACNG</v>
      </c>
      <c r="F30" s="17" t="str">
        <f>_xlfn.XLOOKUP($A30,Selected_constraint!$A:$A,Selected_constraint!$C:$C)</f>
        <v>TRAPASCARDMD</v>
      </c>
      <c r="G30" s="17" t="str">
        <f>F30</f>
        <v>TRAPASCARDMD</v>
      </c>
      <c r="H30" s="18">
        <v>2019</v>
      </c>
      <c r="I30" s="18" t="s">
        <v>483</v>
      </c>
      <c r="J30" s="18">
        <v>1</v>
      </c>
      <c r="K30" s="20">
        <f>-SUMIFS('TRA RESID'!$P:$P,'TRA RESID'!$I:$I,G30,'TRA RESID'!$J:$J,D30,'TRA RESID'!$H:$H,E30)/SUMIFS('TRA RESID'!$P:$P,'TRA RESID'!$I:$I,G30)*O30</f>
        <v>0</v>
      </c>
      <c r="L30" s="18">
        <v>0</v>
      </c>
      <c r="M30" s="18">
        <v>5</v>
      </c>
      <c r="O30" s="21">
        <v>0.98</v>
      </c>
      <c r="Q30">
        <f>Q25+1</f>
        <v>6</v>
      </c>
      <c r="S30" s="15" t="str">
        <f>IF(SUMIFS('TRA RESID'!$P:$P,'TRA RESID'!$I:$I,W30,'TRA RESID'!$J:$J,T30,'TRA RESID'!$H:$H,U30)=0,"*","UC_"&amp;SUBSTITUTE(T30,"*","")&amp;"_"&amp;RIGHT(U30,3)&amp;"_"&amp;V30)</f>
        <v>*</v>
      </c>
      <c r="T30" s="17" t="s">
        <v>486</v>
      </c>
      <c r="U30" s="17" t="str">
        <f>_xlfn.XLOOKUP($A30,Selected_constraint!$A:$A,Selected_constraint!$B:$B)</f>
        <v>TRACNG</v>
      </c>
      <c r="V30" s="17" t="str">
        <f>_xlfn.XLOOKUP($A30,Selected_constraint!$A:$A,Selected_constraint!$C:$C)</f>
        <v>TRAPASCARDMD</v>
      </c>
      <c r="W30" s="17" t="str">
        <f>V30</f>
        <v>TRAPASCARDMD</v>
      </c>
      <c r="X30" s="18">
        <v>2019</v>
      </c>
      <c r="Y30" s="18" t="s">
        <v>483</v>
      </c>
      <c r="Z30" s="18">
        <v>1</v>
      </c>
      <c r="AA30" s="20">
        <f>-SUMIFS('TRA RESID'!$P:$P,'TRA RESID'!$I:$I,W30,'TRA RESID'!$J:$J,T30,'TRA RESID'!$H:$H,U30)/SUMIFS('TRA RESID'!$P:$P,'TRA RESID'!$I:$I,W30)*AE30</f>
        <v>0</v>
      </c>
      <c r="AB30" s="18">
        <v>0</v>
      </c>
      <c r="AC30" s="18">
        <v>5</v>
      </c>
      <c r="AE30" s="21">
        <v>0.98</v>
      </c>
      <c r="AG30" s="15" t="str">
        <f>IF(SUMIFS('TRA RESID'!$P:$P,'TRA RESID'!$I:$I,AK30,'TRA RESID'!$J:$J,AH30,'TRA RESID'!$H:$H,AI30)=0,"*","UC_"&amp;SUBSTITUTE(AH30,"*","")&amp;"_"&amp;RIGHT(AI30,3)&amp;"_"&amp;AJ30)</f>
        <v>*</v>
      </c>
      <c r="AH30" s="17" t="s">
        <v>487</v>
      </c>
      <c r="AI30" s="17" t="str">
        <f>_xlfn.XLOOKUP($A30,Selected_constraint!$A:$A,Selected_constraint!$B:$B)</f>
        <v>TRACNG</v>
      </c>
      <c r="AJ30" s="17" t="str">
        <f>_xlfn.XLOOKUP($A30,Selected_constraint!$A:$A,Selected_constraint!$C:$C)</f>
        <v>TRAPASCARDMD</v>
      </c>
      <c r="AK30" s="17" t="str">
        <f>AJ30</f>
        <v>TRAPASCARDMD</v>
      </c>
      <c r="AL30" s="18">
        <v>2019</v>
      </c>
      <c r="AM30" s="18" t="s">
        <v>483</v>
      </c>
      <c r="AN30" s="18">
        <v>1</v>
      </c>
      <c r="AO30" s="20">
        <f>-SUMIFS('TRA RESID'!$P:$P,'TRA RESID'!$I:$I,AK30,'TRA RESID'!$J:$J,AH30,'TRA RESID'!$H:$H,AI30)/SUMIFS('TRA RESID'!$P:$P,'TRA RESID'!$I:$I,AK30)*AS30</f>
        <v>0</v>
      </c>
      <c r="AP30" s="18">
        <v>0</v>
      </c>
      <c r="AQ30" s="18">
        <v>5</v>
      </c>
      <c r="AS30" s="21">
        <v>0.98</v>
      </c>
      <c r="AU30" s="15" t="str">
        <f>IF(SUMIFS('TRA RESID'!$P:$P,'TRA RESID'!$I:$I,AY30,'TRA RESID'!$J:$J,AV30,'TRA RESID'!$H:$H,AW30)=0,"*","UC_"&amp;SUBSTITUTE(AV30,"*","")&amp;"_"&amp;RIGHT(AW30,3)&amp;"_"&amp;AX30)</f>
        <v>*</v>
      </c>
      <c r="AV30" s="17" t="s">
        <v>488</v>
      </c>
      <c r="AW30" s="17" t="str">
        <f>_xlfn.XLOOKUP($A30,Selected_constraint!$A:$A,Selected_constraint!$B:$B)</f>
        <v>TRACNG</v>
      </c>
      <c r="AX30" s="17" t="str">
        <f>_xlfn.XLOOKUP($A30,Selected_constraint!$A:$A,Selected_constraint!$C:$C)</f>
        <v>TRAPASCARDMD</v>
      </c>
      <c r="AY30" s="17" t="str">
        <f>AX30</f>
        <v>TRAPASCARDMD</v>
      </c>
      <c r="AZ30" s="18">
        <v>2019</v>
      </c>
      <c r="BA30" s="18" t="s">
        <v>483</v>
      </c>
      <c r="BB30" s="18">
        <v>1</v>
      </c>
      <c r="BC30" s="20">
        <f>-SUMIFS('TRA RESID'!$P:$P,'TRA RESID'!$I:$I,AY30,'TRA RESID'!$J:$J,AV30,'TRA RESID'!$H:$H,AW30)/SUMIFS('TRA RESID'!$P:$P,'TRA RESID'!$I:$I,AY30)*BG30</f>
        <v>0</v>
      </c>
      <c r="BD30" s="18">
        <v>0</v>
      </c>
      <c r="BE30" s="18">
        <v>5</v>
      </c>
      <c r="BG30" s="21">
        <v>0.98</v>
      </c>
    </row>
    <row r="31" spans="1:59" x14ac:dyDescent="0.25">
      <c r="C31" s="15" t="str">
        <f>IF(C30="*",C30,"")</f>
        <v>*</v>
      </c>
      <c r="D31" s="17" t="str">
        <f t="shared" ref="D31:G34" si="20">D30</f>
        <v>*ICEV*</v>
      </c>
      <c r="E31" s="17" t="str">
        <f t="shared" si="20"/>
        <v>TRACNG</v>
      </c>
      <c r="F31" s="17" t="str">
        <f t="shared" si="20"/>
        <v>TRAPASCARDMD</v>
      </c>
      <c r="G31" s="17" t="str">
        <f t="shared" si="20"/>
        <v>TRAPASCARDMD</v>
      </c>
      <c r="H31" s="18">
        <v>2025</v>
      </c>
      <c r="I31" s="18" t="str">
        <f>I30</f>
        <v>LO</v>
      </c>
      <c r="J31" s="18"/>
      <c r="K31" s="20">
        <f>-SUMIFS('TRA RESID'!$P:$P,'TRA RESID'!$I:$I,G31,'TRA RESID'!$J:$J,D31,'TRA RESID'!$H:$H,E31)/SUMIFS('TRA RESID'!$P:$P,'TRA RESID'!$I:$I,G31)*O31</f>
        <v>0</v>
      </c>
      <c r="L31" s="18"/>
      <c r="M31" s="18"/>
      <c r="O31" s="21">
        <v>0.8</v>
      </c>
      <c r="S31" s="15" t="str">
        <f>IF(S30="*",S30,"")</f>
        <v>*</v>
      </c>
      <c r="T31" s="17" t="str">
        <f t="shared" ref="T31:W34" si="21">T30</f>
        <v>*BEV*</v>
      </c>
      <c r="U31" s="17" t="str">
        <f t="shared" si="21"/>
        <v>TRACNG</v>
      </c>
      <c r="V31" s="17" t="str">
        <f t="shared" si="21"/>
        <v>TRAPASCARDMD</v>
      </c>
      <c r="W31" s="17" t="str">
        <f t="shared" si="21"/>
        <v>TRAPASCARDMD</v>
      </c>
      <c r="X31" s="18">
        <v>2025</v>
      </c>
      <c r="Y31" s="18" t="str">
        <f>Y30</f>
        <v>LO</v>
      </c>
      <c r="Z31" s="18"/>
      <c r="AA31" s="20">
        <f>-SUMIFS('TRA RESID'!$P:$P,'TRA RESID'!$I:$I,W31,'TRA RESID'!$J:$J,T31,'TRA RESID'!$H:$H,U31)/SUMIFS('TRA RESID'!$P:$P,'TRA RESID'!$I:$I,W31)*AE31</f>
        <v>0</v>
      </c>
      <c r="AB31" s="18"/>
      <c r="AC31" s="18"/>
      <c r="AE31" s="21">
        <v>1</v>
      </c>
      <c r="AG31" s="15" t="str">
        <f>IF(AG30="*",AG30,"")</f>
        <v>*</v>
      </c>
      <c r="AH31" s="17" t="str">
        <f t="shared" ref="AH31:AK34" si="22">AH30</f>
        <v>*HEV*</v>
      </c>
      <c r="AI31" s="17" t="str">
        <f t="shared" si="22"/>
        <v>TRACNG</v>
      </c>
      <c r="AJ31" s="17" t="str">
        <f t="shared" si="22"/>
        <v>TRAPASCARDMD</v>
      </c>
      <c r="AK31" s="17" t="str">
        <f t="shared" si="22"/>
        <v>TRAPASCARDMD</v>
      </c>
      <c r="AL31" s="18">
        <v>2025</v>
      </c>
      <c r="AM31" s="18" t="str">
        <f>AM30</f>
        <v>LO</v>
      </c>
      <c r="AN31" s="18"/>
      <c r="AO31" s="20">
        <f>-SUMIFS('TRA RESID'!$P:$P,'TRA RESID'!$I:$I,AK31,'TRA RESID'!$J:$J,AH31,'TRA RESID'!$H:$H,AI31)/SUMIFS('TRA RESID'!$P:$P,'TRA RESID'!$I:$I,AK31)*AS31</f>
        <v>0</v>
      </c>
      <c r="AP31" s="18"/>
      <c r="AQ31" s="18"/>
      <c r="AS31" s="21">
        <v>0.8</v>
      </c>
      <c r="AU31" s="15" t="str">
        <f>IF(AU30="*",AU30,"")</f>
        <v>*</v>
      </c>
      <c r="AV31" s="17" t="str">
        <f t="shared" ref="AV31:AY34" si="23">AV30</f>
        <v>*FCEV*</v>
      </c>
      <c r="AW31" s="17" t="str">
        <f t="shared" si="23"/>
        <v>TRACNG</v>
      </c>
      <c r="AX31" s="17" t="str">
        <f t="shared" si="23"/>
        <v>TRAPASCARDMD</v>
      </c>
      <c r="AY31" s="17" t="str">
        <f t="shared" si="23"/>
        <v>TRAPASCARDMD</v>
      </c>
      <c r="AZ31" s="18">
        <v>2025</v>
      </c>
      <c r="BA31" s="18" t="str">
        <f>BA30</f>
        <v>LO</v>
      </c>
      <c r="BB31" s="18"/>
      <c r="BC31" s="20">
        <f>-SUMIFS('TRA RESID'!$P:$P,'TRA RESID'!$I:$I,AY31,'TRA RESID'!$J:$J,AV31,'TRA RESID'!$H:$H,AW31)/SUMIFS('TRA RESID'!$P:$P,'TRA RESID'!$I:$I,AY31)*BG31</f>
        <v>0</v>
      </c>
      <c r="BD31" s="18"/>
      <c r="BE31" s="18"/>
      <c r="BG31" s="21">
        <v>0.8</v>
      </c>
    </row>
    <row r="32" spans="1:59" x14ac:dyDescent="0.25">
      <c r="C32" s="15" t="str">
        <f>IF(C31="*",C31,"")</f>
        <v>*</v>
      </c>
      <c r="D32" s="17" t="str">
        <f t="shared" si="20"/>
        <v>*ICEV*</v>
      </c>
      <c r="E32" s="17" t="str">
        <f t="shared" si="20"/>
        <v>TRACNG</v>
      </c>
      <c r="F32" s="17" t="str">
        <f t="shared" si="20"/>
        <v>TRAPASCARDMD</v>
      </c>
      <c r="G32" s="17" t="str">
        <f t="shared" si="20"/>
        <v>TRAPASCARDMD</v>
      </c>
      <c r="H32" s="18">
        <v>2030</v>
      </c>
      <c r="I32" s="18" t="str">
        <f>I31</f>
        <v>LO</v>
      </c>
      <c r="J32" s="18"/>
      <c r="K32" s="20">
        <f>-SUMIFS('TRA RESID'!$P:$P,'TRA RESID'!$I:$I,G32,'TRA RESID'!$J:$J,D32,'TRA RESID'!$H:$H,E32)/SUMIFS('TRA RESID'!$P:$P,'TRA RESID'!$I:$I,G32)*O32</f>
        <v>0</v>
      </c>
      <c r="L32" s="18"/>
      <c r="M32" s="18"/>
      <c r="O32" s="21">
        <v>0.5</v>
      </c>
      <c r="S32" s="15" t="str">
        <f>IF(S31="*",S31,"")</f>
        <v>*</v>
      </c>
      <c r="T32" s="17" t="str">
        <f t="shared" si="21"/>
        <v>*BEV*</v>
      </c>
      <c r="U32" s="17" t="str">
        <f t="shared" si="21"/>
        <v>TRACNG</v>
      </c>
      <c r="V32" s="17" t="str">
        <f t="shared" si="21"/>
        <v>TRAPASCARDMD</v>
      </c>
      <c r="W32" s="17" t="str">
        <f t="shared" si="21"/>
        <v>TRAPASCARDMD</v>
      </c>
      <c r="X32" s="18">
        <v>2030</v>
      </c>
      <c r="Y32" s="18" t="str">
        <f>Y31</f>
        <v>LO</v>
      </c>
      <c r="Z32" s="18"/>
      <c r="AA32" s="20">
        <f>-SUMIFS('TRA RESID'!$P:$P,'TRA RESID'!$I:$I,W32,'TRA RESID'!$J:$J,T32,'TRA RESID'!$H:$H,U32)/SUMIFS('TRA RESID'!$P:$P,'TRA RESID'!$I:$I,W32)*AE32</f>
        <v>0</v>
      </c>
      <c r="AB32" s="18"/>
      <c r="AC32" s="18"/>
      <c r="AE32" s="21">
        <v>1</v>
      </c>
      <c r="AG32" s="15" t="str">
        <f>IF(AG31="*",AG31,"")</f>
        <v>*</v>
      </c>
      <c r="AH32" s="17" t="str">
        <f t="shared" si="22"/>
        <v>*HEV*</v>
      </c>
      <c r="AI32" s="17" t="str">
        <f t="shared" si="22"/>
        <v>TRACNG</v>
      </c>
      <c r="AJ32" s="17" t="str">
        <f t="shared" si="22"/>
        <v>TRAPASCARDMD</v>
      </c>
      <c r="AK32" s="17" t="str">
        <f t="shared" si="22"/>
        <v>TRAPASCARDMD</v>
      </c>
      <c r="AL32" s="18">
        <v>2030</v>
      </c>
      <c r="AM32" s="18" t="str">
        <f>AM31</f>
        <v>LO</v>
      </c>
      <c r="AN32" s="18"/>
      <c r="AO32" s="20">
        <f>-SUMIFS('TRA RESID'!$P:$P,'TRA RESID'!$I:$I,AK32,'TRA RESID'!$J:$J,AH32,'TRA RESID'!$H:$H,AI32)/SUMIFS('TRA RESID'!$P:$P,'TRA RESID'!$I:$I,AK32)*AS32</f>
        <v>0</v>
      </c>
      <c r="AP32" s="18"/>
      <c r="AQ32" s="18"/>
      <c r="AS32" s="21">
        <v>0.5</v>
      </c>
      <c r="AU32" s="15" t="str">
        <f>IF(AU31="*",AU31,"")</f>
        <v>*</v>
      </c>
      <c r="AV32" s="17" t="str">
        <f t="shared" si="23"/>
        <v>*FCEV*</v>
      </c>
      <c r="AW32" s="17" t="str">
        <f t="shared" si="23"/>
        <v>TRACNG</v>
      </c>
      <c r="AX32" s="17" t="str">
        <f t="shared" si="23"/>
        <v>TRAPASCARDMD</v>
      </c>
      <c r="AY32" s="17" t="str">
        <f t="shared" si="23"/>
        <v>TRAPASCARDMD</v>
      </c>
      <c r="AZ32" s="18">
        <v>2030</v>
      </c>
      <c r="BA32" s="18" t="str">
        <f>BA31</f>
        <v>LO</v>
      </c>
      <c r="BB32" s="18"/>
      <c r="BC32" s="20">
        <f>-SUMIFS('TRA RESID'!$P:$P,'TRA RESID'!$I:$I,AY32,'TRA RESID'!$J:$J,AV32,'TRA RESID'!$H:$H,AW32)/SUMIFS('TRA RESID'!$P:$P,'TRA RESID'!$I:$I,AY32)*BG32</f>
        <v>0</v>
      </c>
      <c r="BD32" s="18"/>
      <c r="BE32" s="18"/>
      <c r="BG32" s="21">
        <v>0.5</v>
      </c>
    </row>
    <row r="33" spans="1:59" x14ac:dyDescent="0.25">
      <c r="C33" s="15" t="str">
        <f>IF(C32="*",C32,"")</f>
        <v>*</v>
      </c>
      <c r="D33" s="17" t="str">
        <f t="shared" si="20"/>
        <v>*ICEV*</v>
      </c>
      <c r="E33" s="17" t="str">
        <f t="shared" si="20"/>
        <v>TRACNG</v>
      </c>
      <c r="F33" s="17" t="str">
        <f t="shared" si="20"/>
        <v>TRAPASCARDMD</v>
      </c>
      <c r="G33" s="17" t="str">
        <f t="shared" si="20"/>
        <v>TRAPASCARDMD</v>
      </c>
      <c r="H33" s="18">
        <v>2040</v>
      </c>
      <c r="I33" s="18" t="str">
        <f>I32</f>
        <v>LO</v>
      </c>
      <c r="J33" s="18"/>
      <c r="K33" s="20">
        <f>-SUMIFS('TRA RESID'!$P:$P,'TRA RESID'!$I:$I,G33,'TRA RESID'!$J:$J,D33,'TRA RESID'!$H:$H,E33)/SUMIFS('TRA RESID'!$P:$P,'TRA RESID'!$I:$I,G33)*O33</f>
        <v>0</v>
      </c>
      <c r="L33" s="18"/>
      <c r="M33" s="18"/>
      <c r="O33" s="21">
        <v>0</v>
      </c>
      <c r="S33" s="15" t="str">
        <f>IF(S32="*",S32,"")</f>
        <v>*</v>
      </c>
      <c r="T33" s="17" t="str">
        <f t="shared" si="21"/>
        <v>*BEV*</v>
      </c>
      <c r="U33" s="17" t="str">
        <f t="shared" si="21"/>
        <v>TRACNG</v>
      </c>
      <c r="V33" s="17" t="str">
        <f t="shared" si="21"/>
        <v>TRAPASCARDMD</v>
      </c>
      <c r="W33" s="17" t="str">
        <f t="shared" si="21"/>
        <v>TRAPASCARDMD</v>
      </c>
      <c r="X33" s="18">
        <v>2040</v>
      </c>
      <c r="Y33" s="18" t="str">
        <f>Y32</f>
        <v>LO</v>
      </c>
      <c r="Z33" s="18"/>
      <c r="AA33" s="20">
        <f>-SUMIFS('TRA RESID'!$P:$P,'TRA RESID'!$I:$I,W33,'TRA RESID'!$J:$J,T33,'TRA RESID'!$H:$H,U33)/SUMIFS('TRA RESID'!$P:$P,'TRA RESID'!$I:$I,W33)*AE33</f>
        <v>0</v>
      </c>
      <c r="AB33" s="18"/>
      <c r="AC33" s="18"/>
      <c r="AE33" s="21">
        <v>1</v>
      </c>
      <c r="AG33" s="15" t="str">
        <f>IF(AG32="*",AG32,"")</f>
        <v>*</v>
      </c>
      <c r="AH33" s="17" t="str">
        <f t="shared" si="22"/>
        <v>*HEV*</v>
      </c>
      <c r="AI33" s="17" t="str">
        <f t="shared" si="22"/>
        <v>TRACNG</v>
      </c>
      <c r="AJ33" s="17" t="str">
        <f t="shared" si="22"/>
        <v>TRAPASCARDMD</v>
      </c>
      <c r="AK33" s="17" t="str">
        <f t="shared" si="22"/>
        <v>TRAPASCARDMD</v>
      </c>
      <c r="AL33" s="18">
        <v>2040</v>
      </c>
      <c r="AM33" s="18" t="str">
        <f>AM32</f>
        <v>LO</v>
      </c>
      <c r="AN33" s="18"/>
      <c r="AO33" s="20">
        <f>-SUMIFS('TRA RESID'!$P:$P,'TRA RESID'!$I:$I,AK33,'TRA RESID'!$J:$J,AH33,'TRA RESID'!$H:$H,AI33)/SUMIFS('TRA RESID'!$P:$P,'TRA RESID'!$I:$I,AK33)*AS33</f>
        <v>0</v>
      </c>
      <c r="AP33" s="18"/>
      <c r="AQ33" s="18"/>
      <c r="AS33" s="21">
        <v>0</v>
      </c>
      <c r="AU33" s="15" t="str">
        <f>IF(AU32="*",AU32,"")</f>
        <v>*</v>
      </c>
      <c r="AV33" s="17" t="str">
        <f t="shared" si="23"/>
        <v>*FCEV*</v>
      </c>
      <c r="AW33" s="17" t="str">
        <f t="shared" si="23"/>
        <v>TRACNG</v>
      </c>
      <c r="AX33" s="17" t="str">
        <f t="shared" si="23"/>
        <v>TRAPASCARDMD</v>
      </c>
      <c r="AY33" s="17" t="str">
        <f t="shared" si="23"/>
        <v>TRAPASCARDMD</v>
      </c>
      <c r="AZ33" s="18">
        <v>2040</v>
      </c>
      <c r="BA33" s="18" t="str">
        <f>BA32</f>
        <v>LO</v>
      </c>
      <c r="BB33" s="18"/>
      <c r="BC33" s="20">
        <f>-SUMIFS('TRA RESID'!$P:$P,'TRA RESID'!$I:$I,AY33,'TRA RESID'!$J:$J,AV33,'TRA RESID'!$H:$H,AW33)/SUMIFS('TRA RESID'!$P:$P,'TRA RESID'!$I:$I,AY33)*BG33</f>
        <v>0</v>
      </c>
      <c r="BD33" s="18"/>
      <c r="BE33" s="18"/>
      <c r="BG33" s="21">
        <v>0</v>
      </c>
    </row>
    <row r="34" spans="1:59" x14ac:dyDescent="0.25">
      <c r="C34" s="23" t="str">
        <f>IF(C33="*",C33,"")</f>
        <v>*</v>
      </c>
      <c r="D34" s="25" t="str">
        <f t="shared" si="20"/>
        <v>*ICEV*</v>
      </c>
      <c r="E34" s="25" t="str">
        <f t="shared" si="20"/>
        <v>TRACNG</v>
      </c>
      <c r="F34" s="25" t="str">
        <f t="shared" si="20"/>
        <v>TRAPASCARDMD</v>
      </c>
      <c r="G34" s="25" t="str">
        <f t="shared" si="20"/>
        <v>TRAPASCARDMD</v>
      </c>
      <c r="H34" s="26">
        <v>2050</v>
      </c>
      <c r="I34" s="26" t="str">
        <f>I32</f>
        <v>LO</v>
      </c>
      <c r="J34" s="26"/>
      <c r="K34" s="27">
        <f>-SUMIFS('TRA RESID'!$P:$P,'TRA RESID'!$I:$I,G34,'TRA RESID'!$J:$J,D34,'TRA RESID'!$H:$H,E34)/SUMIFS('TRA RESID'!$P:$P,'TRA RESID'!$I:$I,G34)*O34</f>
        <v>0</v>
      </c>
      <c r="L34" s="26"/>
      <c r="M34" s="26"/>
      <c r="O34" s="28">
        <v>0</v>
      </c>
      <c r="S34" s="23" t="str">
        <f>IF(S33="*",S33,"")</f>
        <v>*</v>
      </c>
      <c r="T34" s="25" t="str">
        <f t="shared" si="21"/>
        <v>*BEV*</v>
      </c>
      <c r="U34" s="25" t="str">
        <f t="shared" si="21"/>
        <v>TRACNG</v>
      </c>
      <c r="V34" s="25" t="str">
        <f t="shared" si="21"/>
        <v>TRAPASCARDMD</v>
      </c>
      <c r="W34" s="25" t="str">
        <f t="shared" si="21"/>
        <v>TRAPASCARDMD</v>
      </c>
      <c r="X34" s="26">
        <v>2050</v>
      </c>
      <c r="Y34" s="26" t="str">
        <f>Y32</f>
        <v>LO</v>
      </c>
      <c r="Z34" s="26"/>
      <c r="AA34" s="27">
        <f>-SUMIFS('TRA RESID'!$P:$P,'TRA RESID'!$I:$I,W34,'TRA RESID'!$J:$J,T34,'TRA RESID'!$H:$H,U34)/SUMIFS('TRA RESID'!$P:$P,'TRA RESID'!$I:$I,W34)*AE34</f>
        <v>0</v>
      </c>
      <c r="AB34" s="26"/>
      <c r="AC34" s="26"/>
      <c r="AE34" s="28">
        <v>1</v>
      </c>
      <c r="AG34" s="23" t="str">
        <f>IF(AG33="*",AG33,"")</f>
        <v>*</v>
      </c>
      <c r="AH34" s="25" t="str">
        <f t="shared" si="22"/>
        <v>*HEV*</v>
      </c>
      <c r="AI34" s="25" t="str">
        <f t="shared" si="22"/>
        <v>TRACNG</v>
      </c>
      <c r="AJ34" s="25" t="str">
        <f t="shared" si="22"/>
        <v>TRAPASCARDMD</v>
      </c>
      <c r="AK34" s="25" t="str">
        <f t="shared" si="22"/>
        <v>TRAPASCARDMD</v>
      </c>
      <c r="AL34" s="26">
        <v>2050</v>
      </c>
      <c r="AM34" s="26" t="str">
        <f>AM32</f>
        <v>LO</v>
      </c>
      <c r="AN34" s="26"/>
      <c r="AO34" s="27">
        <f>-SUMIFS('TRA RESID'!$P:$P,'TRA RESID'!$I:$I,AK34,'TRA RESID'!$J:$J,AH34,'TRA RESID'!$H:$H,AI34)/SUMIFS('TRA RESID'!$P:$P,'TRA RESID'!$I:$I,AK34)*AS34</f>
        <v>0</v>
      </c>
      <c r="AP34" s="26"/>
      <c r="AQ34" s="26"/>
      <c r="AS34" s="28">
        <v>0</v>
      </c>
      <c r="AU34" s="23" t="str">
        <f>IF(AU33="*",AU33,"")</f>
        <v>*</v>
      </c>
      <c r="AV34" s="25" t="str">
        <f t="shared" si="23"/>
        <v>*FCEV*</v>
      </c>
      <c r="AW34" s="25" t="str">
        <f t="shared" si="23"/>
        <v>TRACNG</v>
      </c>
      <c r="AX34" s="25" t="str">
        <f t="shared" si="23"/>
        <v>TRAPASCARDMD</v>
      </c>
      <c r="AY34" s="25" t="str">
        <f t="shared" si="23"/>
        <v>TRAPASCARDMD</v>
      </c>
      <c r="AZ34" s="26">
        <v>2050</v>
      </c>
      <c r="BA34" s="26" t="str">
        <f>BA32</f>
        <v>LO</v>
      </c>
      <c r="BB34" s="26"/>
      <c r="BC34" s="27">
        <f>-SUMIFS('TRA RESID'!$P:$P,'TRA RESID'!$I:$I,AY34,'TRA RESID'!$J:$J,AV34,'TRA RESID'!$H:$H,AW34)/SUMIFS('TRA RESID'!$P:$P,'TRA RESID'!$I:$I,AY34)*BG34</f>
        <v>0</v>
      </c>
      <c r="BD34" s="26"/>
      <c r="BE34" s="26"/>
      <c r="BG34" s="28">
        <v>0</v>
      </c>
    </row>
    <row r="35" spans="1:59" x14ac:dyDescent="0.25">
      <c r="A35">
        <f>A30+1</f>
        <v>7</v>
      </c>
      <c r="C35" s="15" t="str">
        <f>IF(E35="","",IF(_xlfn.XLOOKUP($A35,Selected_constraint!$A:$A,Selected_constraint!$D:$D)=1,"*",IF(SUMIFS('TRA TECH'!$M:$M,'TRA TECH'!$H:$H,E35,'TRA TECH'!$I:$I,F35)=0,"*",IF(SUMIFS('TRA RESID'!$P:$P,'TRA RESID'!$I:$I,G35,'TRA RESID'!$J:$J,D35,'TRA RESID'!$H:$H,E35)=0,"*","UC_"&amp;SUBSTITUTE(D35,"*","")&amp;"_"&amp;RIGHT(E35,3)&amp;"_"&amp;F35))))</f>
        <v>*</v>
      </c>
      <c r="D35" s="17" t="s">
        <v>485</v>
      </c>
      <c r="E35" s="17" t="str">
        <f>_xlfn.XLOOKUP($A35,Selected_constraint!$A:$A,Selected_constraint!$B:$B)</f>
        <v>TRARNG</v>
      </c>
      <c r="F35" s="17" t="str">
        <f>_xlfn.XLOOKUP($A35,Selected_constraint!$A:$A,Selected_constraint!$C:$C)</f>
        <v>TRAPASCARDMD</v>
      </c>
      <c r="G35" s="17" t="str">
        <f>F35</f>
        <v>TRAPASCARDMD</v>
      </c>
      <c r="H35" s="18">
        <v>2019</v>
      </c>
      <c r="I35" s="18" t="s">
        <v>483</v>
      </c>
      <c r="J35" s="18">
        <v>1</v>
      </c>
      <c r="K35" s="20">
        <f>-SUMIFS('TRA RESID'!$P:$P,'TRA RESID'!$I:$I,G35,'TRA RESID'!$J:$J,D35,'TRA RESID'!$H:$H,E35)/SUMIFS('TRA RESID'!$P:$P,'TRA RESID'!$I:$I,G35)*O35</f>
        <v>0</v>
      </c>
      <c r="L35" s="18">
        <v>0</v>
      </c>
      <c r="M35" s="18">
        <v>5</v>
      </c>
      <c r="O35" s="21">
        <v>0.98</v>
      </c>
      <c r="Q35">
        <f>Q30+1</f>
        <v>7</v>
      </c>
      <c r="S35" s="15" t="str">
        <f>IF(SUMIFS('TRA RESID'!$P:$P,'TRA RESID'!$I:$I,W35,'TRA RESID'!$J:$J,T35,'TRA RESID'!$H:$H,U35)=0,"*","UC_"&amp;SUBSTITUTE(T35,"*","")&amp;"_"&amp;RIGHT(U35,3)&amp;"_"&amp;V35)</f>
        <v>*</v>
      </c>
      <c r="T35" s="17" t="s">
        <v>486</v>
      </c>
      <c r="U35" s="17" t="str">
        <f>_xlfn.XLOOKUP($A35,Selected_constraint!$A:$A,Selected_constraint!$B:$B)</f>
        <v>TRARNG</v>
      </c>
      <c r="V35" s="17" t="str">
        <f>_xlfn.XLOOKUP($A35,Selected_constraint!$A:$A,Selected_constraint!$C:$C)</f>
        <v>TRAPASCARDMD</v>
      </c>
      <c r="W35" s="17" t="str">
        <f>V35</f>
        <v>TRAPASCARDMD</v>
      </c>
      <c r="X35" s="18">
        <v>2019</v>
      </c>
      <c r="Y35" s="18" t="s">
        <v>483</v>
      </c>
      <c r="Z35" s="18">
        <v>1</v>
      </c>
      <c r="AA35" s="20">
        <f>-SUMIFS('TRA RESID'!$P:$P,'TRA RESID'!$I:$I,W35,'TRA RESID'!$J:$J,T35,'TRA RESID'!$H:$H,U35)/SUMIFS('TRA RESID'!$P:$P,'TRA RESID'!$I:$I,W35)*AE35</f>
        <v>0</v>
      </c>
      <c r="AB35" s="18">
        <v>0</v>
      </c>
      <c r="AC35" s="18">
        <v>5</v>
      </c>
      <c r="AE35" s="21">
        <v>0.98</v>
      </c>
      <c r="AG35" s="15" t="str">
        <f>IF(SUMIFS('TRA RESID'!$P:$P,'TRA RESID'!$I:$I,AK35,'TRA RESID'!$J:$J,AH35,'TRA RESID'!$H:$H,AI35)=0,"*","UC_"&amp;SUBSTITUTE(AH35,"*","")&amp;"_"&amp;RIGHT(AI35,3)&amp;"_"&amp;AJ35)</f>
        <v>*</v>
      </c>
      <c r="AH35" s="17" t="s">
        <v>487</v>
      </c>
      <c r="AI35" s="17" t="str">
        <f>_xlfn.XLOOKUP($A35,Selected_constraint!$A:$A,Selected_constraint!$B:$B)</f>
        <v>TRARNG</v>
      </c>
      <c r="AJ35" s="17" t="str">
        <f>_xlfn.XLOOKUP($A35,Selected_constraint!$A:$A,Selected_constraint!$C:$C)</f>
        <v>TRAPASCARDMD</v>
      </c>
      <c r="AK35" s="17" t="str">
        <f>AJ35</f>
        <v>TRAPASCARDMD</v>
      </c>
      <c r="AL35" s="18">
        <v>2019</v>
      </c>
      <c r="AM35" s="18" t="s">
        <v>483</v>
      </c>
      <c r="AN35" s="18">
        <v>1</v>
      </c>
      <c r="AO35" s="20">
        <f>-SUMIFS('TRA RESID'!$P:$P,'TRA RESID'!$I:$I,AK35,'TRA RESID'!$J:$J,AH35,'TRA RESID'!$H:$H,AI35)/SUMIFS('TRA RESID'!$P:$P,'TRA RESID'!$I:$I,AK35)*AS35</f>
        <v>0</v>
      </c>
      <c r="AP35" s="18">
        <v>0</v>
      </c>
      <c r="AQ35" s="18">
        <v>5</v>
      </c>
      <c r="AS35" s="21">
        <v>0.98</v>
      </c>
      <c r="AU35" s="15" t="str">
        <f>IF(SUMIFS('TRA RESID'!$P:$P,'TRA RESID'!$I:$I,AY35,'TRA RESID'!$J:$J,AV35,'TRA RESID'!$H:$H,AW35)=0,"*","UC_"&amp;SUBSTITUTE(AV35,"*","")&amp;"_"&amp;RIGHT(AW35,3)&amp;"_"&amp;AX35)</f>
        <v>*</v>
      </c>
      <c r="AV35" s="17" t="s">
        <v>488</v>
      </c>
      <c r="AW35" s="17" t="str">
        <f>_xlfn.XLOOKUP($A35,Selected_constraint!$A:$A,Selected_constraint!$B:$B)</f>
        <v>TRARNG</v>
      </c>
      <c r="AX35" s="17" t="str">
        <f>_xlfn.XLOOKUP($A35,Selected_constraint!$A:$A,Selected_constraint!$C:$C)</f>
        <v>TRAPASCARDMD</v>
      </c>
      <c r="AY35" s="17" t="str">
        <f>AX35</f>
        <v>TRAPASCARDMD</v>
      </c>
      <c r="AZ35" s="18">
        <v>2019</v>
      </c>
      <c r="BA35" s="18" t="s">
        <v>483</v>
      </c>
      <c r="BB35" s="18">
        <v>1</v>
      </c>
      <c r="BC35" s="20">
        <f>-SUMIFS('TRA RESID'!$P:$P,'TRA RESID'!$I:$I,AY35,'TRA RESID'!$J:$J,AV35,'TRA RESID'!$H:$H,AW35)/SUMIFS('TRA RESID'!$P:$P,'TRA RESID'!$I:$I,AY35)*BG35</f>
        <v>0</v>
      </c>
      <c r="BD35" s="18">
        <v>0</v>
      </c>
      <c r="BE35" s="18">
        <v>5</v>
      </c>
      <c r="BG35" s="21">
        <v>0.98</v>
      </c>
    </row>
    <row r="36" spans="1:59" x14ac:dyDescent="0.25">
      <c r="C36" s="15" t="str">
        <f>IF(C35="*",C35,"")</f>
        <v>*</v>
      </c>
      <c r="D36" s="17" t="str">
        <f t="shared" ref="D36:G39" si="24">D35</f>
        <v>*ICEV*</v>
      </c>
      <c r="E36" s="17" t="str">
        <f t="shared" si="24"/>
        <v>TRARNG</v>
      </c>
      <c r="F36" s="17" t="str">
        <f t="shared" si="24"/>
        <v>TRAPASCARDMD</v>
      </c>
      <c r="G36" s="17" t="str">
        <f t="shared" si="24"/>
        <v>TRAPASCARDMD</v>
      </c>
      <c r="H36" s="18">
        <v>2025</v>
      </c>
      <c r="I36" s="18" t="str">
        <f>I35</f>
        <v>LO</v>
      </c>
      <c r="J36" s="18"/>
      <c r="K36" s="20">
        <f>-SUMIFS('TRA RESID'!$P:$P,'TRA RESID'!$I:$I,G36,'TRA RESID'!$J:$J,D36,'TRA RESID'!$H:$H,E36)/SUMIFS('TRA RESID'!$P:$P,'TRA RESID'!$I:$I,G36)*O36</f>
        <v>0</v>
      </c>
      <c r="L36" s="18"/>
      <c r="M36" s="18"/>
      <c r="O36" s="21">
        <v>0.8</v>
      </c>
      <c r="S36" s="15" t="str">
        <f>IF(S35="*",S35,"")</f>
        <v>*</v>
      </c>
      <c r="T36" s="17" t="str">
        <f t="shared" ref="T36:W39" si="25">T35</f>
        <v>*BEV*</v>
      </c>
      <c r="U36" s="17" t="str">
        <f t="shared" si="25"/>
        <v>TRARNG</v>
      </c>
      <c r="V36" s="17" t="str">
        <f t="shared" si="25"/>
        <v>TRAPASCARDMD</v>
      </c>
      <c r="W36" s="17" t="str">
        <f t="shared" si="25"/>
        <v>TRAPASCARDMD</v>
      </c>
      <c r="X36" s="18">
        <v>2025</v>
      </c>
      <c r="Y36" s="18" t="str">
        <f>Y35</f>
        <v>LO</v>
      </c>
      <c r="Z36" s="18"/>
      <c r="AA36" s="20">
        <f>-SUMIFS('TRA RESID'!$P:$P,'TRA RESID'!$I:$I,W36,'TRA RESID'!$J:$J,T36,'TRA RESID'!$H:$H,U36)/SUMIFS('TRA RESID'!$P:$P,'TRA RESID'!$I:$I,W36)*AE36</f>
        <v>0</v>
      </c>
      <c r="AB36" s="18"/>
      <c r="AC36" s="18"/>
      <c r="AE36" s="21">
        <v>1</v>
      </c>
      <c r="AG36" s="15" t="str">
        <f>IF(AG35="*",AG35,"")</f>
        <v>*</v>
      </c>
      <c r="AH36" s="17" t="str">
        <f t="shared" ref="AH36:AK39" si="26">AH35</f>
        <v>*HEV*</v>
      </c>
      <c r="AI36" s="17" t="str">
        <f t="shared" si="26"/>
        <v>TRARNG</v>
      </c>
      <c r="AJ36" s="17" t="str">
        <f t="shared" si="26"/>
        <v>TRAPASCARDMD</v>
      </c>
      <c r="AK36" s="17" t="str">
        <f t="shared" si="26"/>
        <v>TRAPASCARDMD</v>
      </c>
      <c r="AL36" s="18">
        <v>2025</v>
      </c>
      <c r="AM36" s="18" t="str">
        <f>AM35</f>
        <v>LO</v>
      </c>
      <c r="AN36" s="18"/>
      <c r="AO36" s="20">
        <f>-SUMIFS('TRA RESID'!$P:$P,'TRA RESID'!$I:$I,AK36,'TRA RESID'!$J:$J,AH36,'TRA RESID'!$H:$H,AI36)/SUMIFS('TRA RESID'!$P:$P,'TRA RESID'!$I:$I,AK36)*AS36</f>
        <v>0</v>
      </c>
      <c r="AP36" s="18"/>
      <c r="AQ36" s="18"/>
      <c r="AS36" s="21">
        <v>0.8</v>
      </c>
      <c r="AU36" s="15" t="str">
        <f>IF(AU35="*",AU35,"")</f>
        <v>*</v>
      </c>
      <c r="AV36" s="17" t="str">
        <f t="shared" ref="AV36:AY39" si="27">AV35</f>
        <v>*FCEV*</v>
      </c>
      <c r="AW36" s="17" t="str">
        <f t="shared" si="27"/>
        <v>TRARNG</v>
      </c>
      <c r="AX36" s="17" t="str">
        <f t="shared" si="27"/>
        <v>TRAPASCARDMD</v>
      </c>
      <c r="AY36" s="17" t="str">
        <f t="shared" si="27"/>
        <v>TRAPASCARDMD</v>
      </c>
      <c r="AZ36" s="18">
        <v>2025</v>
      </c>
      <c r="BA36" s="18" t="str">
        <f>BA35</f>
        <v>LO</v>
      </c>
      <c r="BB36" s="18"/>
      <c r="BC36" s="20">
        <f>-SUMIFS('TRA RESID'!$P:$P,'TRA RESID'!$I:$I,AY36,'TRA RESID'!$J:$J,AV36,'TRA RESID'!$H:$H,AW36)/SUMIFS('TRA RESID'!$P:$P,'TRA RESID'!$I:$I,AY36)*BG36</f>
        <v>0</v>
      </c>
      <c r="BD36" s="18"/>
      <c r="BE36" s="18"/>
      <c r="BG36" s="21">
        <v>0.8</v>
      </c>
    </row>
    <row r="37" spans="1:59" x14ac:dyDescent="0.25">
      <c r="C37" s="15" t="str">
        <f>IF(C36="*",C36,"")</f>
        <v>*</v>
      </c>
      <c r="D37" s="17" t="str">
        <f t="shared" si="24"/>
        <v>*ICEV*</v>
      </c>
      <c r="E37" s="17" t="str">
        <f t="shared" si="24"/>
        <v>TRARNG</v>
      </c>
      <c r="F37" s="17" t="str">
        <f t="shared" si="24"/>
        <v>TRAPASCARDMD</v>
      </c>
      <c r="G37" s="17" t="str">
        <f t="shared" si="24"/>
        <v>TRAPASCARDMD</v>
      </c>
      <c r="H37" s="18">
        <v>2030</v>
      </c>
      <c r="I37" s="18" t="str">
        <f>I36</f>
        <v>LO</v>
      </c>
      <c r="J37" s="18"/>
      <c r="K37" s="20">
        <f>-SUMIFS('TRA RESID'!$P:$P,'TRA RESID'!$I:$I,G37,'TRA RESID'!$J:$J,D37,'TRA RESID'!$H:$H,E37)/SUMIFS('TRA RESID'!$P:$P,'TRA RESID'!$I:$I,G37)*O37</f>
        <v>0</v>
      </c>
      <c r="L37" s="18"/>
      <c r="M37" s="18"/>
      <c r="O37" s="21">
        <v>0.5</v>
      </c>
      <c r="S37" s="15" t="str">
        <f>IF(S36="*",S36,"")</f>
        <v>*</v>
      </c>
      <c r="T37" s="17" t="str">
        <f t="shared" si="25"/>
        <v>*BEV*</v>
      </c>
      <c r="U37" s="17" t="str">
        <f t="shared" si="25"/>
        <v>TRARNG</v>
      </c>
      <c r="V37" s="17" t="str">
        <f t="shared" si="25"/>
        <v>TRAPASCARDMD</v>
      </c>
      <c r="W37" s="17" t="str">
        <f t="shared" si="25"/>
        <v>TRAPASCARDMD</v>
      </c>
      <c r="X37" s="18">
        <v>2030</v>
      </c>
      <c r="Y37" s="18" t="str">
        <f>Y36</f>
        <v>LO</v>
      </c>
      <c r="Z37" s="18"/>
      <c r="AA37" s="20">
        <f>-SUMIFS('TRA RESID'!$P:$P,'TRA RESID'!$I:$I,W37,'TRA RESID'!$J:$J,T37,'TRA RESID'!$H:$H,U37)/SUMIFS('TRA RESID'!$P:$P,'TRA RESID'!$I:$I,W37)*AE37</f>
        <v>0</v>
      </c>
      <c r="AB37" s="18"/>
      <c r="AC37" s="18"/>
      <c r="AE37" s="21">
        <v>1</v>
      </c>
      <c r="AG37" s="15" t="str">
        <f>IF(AG36="*",AG36,"")</f>
        <v>*</v>
      </c>
      <c r="AH37" s="17" t="str">
        <f t="shared" si="26"/>
        <v>*HEV*</v>
      </c>
      <c r="AI37" s="17" t="str">
        <f t="shared" si="26"/>
        <v>TRARNG</v>
      </c>
      <c r="AJ37" s="17" t="str">
        <f t="shared" si="26"/>
        <v>TRAPASCARDMD</v>
      </c>
      <c r="AK37" s="17" t="str">
        <f t="shared" si="26"/>
        <v>TRAPASCARDMD</v>
      </c>
      <c r="AL37" s="18">
        <v>2030</v>
      </c>
      <c r="AM37" s="18" t="str">
        <f>AM36</f>
        <v>LO</v>
      </c>
      <c r="AN37" s="18"/>
      <c r="AO37" s="20">
        <f>-SUMIFS('TRA RESID'!$P:$P,'TRA RESID'!$I:$I,AK37,'TRA RESID'!$J:$J,AH37,'TRA RESID'!$H:$H,AI37)/SUMIFS('TRA RESID'!$P:$P,'TRA RESID'!$I:$I,AK37)*AS37</f>
        <v>0</v>
      </c>
      <c r="AP37" s="18"/>
      <c r="AQ37" s="18"/>
      <c r="AS37" s="21">
        <v>0.5</v>
      </c>
      <c r="AU37" s="15" t="str">
        <f>IF(AU36="*",AU36,"")</f>
        <v>*</v>
      </c>
      <c r="AV37" s="17" t="str">
        <f t="shared" si="27"/>
        <v>*FCEV*</v>
      </c>
      <c r="AW37" s="17" t="str">
        <f t="shared" si="27"/>
        <v>TRARNG</v>
      </c>
      <c r="AX37" s="17" t="str">
        <f t="shared" si="27"/>
        <v>TRAPASCARDMD</v>
      </c>
      <c r="AY37" s="17" t="str">
        <f t="shared" si="27"/>
        <v>TRAPASCARDMD</v>
      </c>
      <c r="AZ37" s="18">
        <v>2030</v>
      </c>
      <c r="BA37" s="18" t="str">
        <f>BA36</f>
        <v>LO</v>
      </c>
      <c r="BB37" s="18"/>
      <c r="BC37" s="20">
        <f>-SUMIFS('TRA RESID'!$P:$P,'TRA RESID'!$I:$I,AY37,'TRA RESID'!$J:$J,AV37,'TRA RESID'!$H:$H,AW37)/SUMIFS('TRA RESID'!$P:$P,'TRA RESID'!$I:$I,AY37)*BG37</f>
        <v>0</v>
      </c>
      <c r="BD37" s="18"/>
      <c r="BE37" s="18"/>
      <c r="BG37" s="21">
        <v>0.5</v>
      </c>
    </row>
    <row r="38" spans="1:59" x14ac:dyDescent="0.25">
      <c r="C38" s="15" t="str">
        <f>IF(C37="*",C37,"")</f>
        <v>*</v>
      </c>
      <c r="D38" s="17" t="str">
        <f t="shared" si="24"/>
        <v>*ICEV*</v>
      </c>
      <c r="E38" s="17" t="str">
        <f t="shared" si="24"/>
        <v>TRARNG</v>
      </c>
      <c r="F38" s="17" t="str">
        <f t="shared" si="24"/>
        <v>TRAPASCARDMD</v>
      </c>
      <c r="G38" s="17" t="str">
        <f t="shared" si="24"/>
        <v>TRAPASCARDMD</v>
      </c>
      <c r="H38" s="18">
        <v>2040</v>
      </c>
      <c r="I38" s="18" t="str">
        <f>I37</f>
        <v>LO</v>
      </c>
      <c r="J38" s="18"/>
      <c r="K38" s="20">
        <f>-SUMIFS('TRA RESID'!$P:$P,'TRA RESID'!$I:$I,G38,'TRA RESID'!$J:$J,D38,'TRA RESID'!$H:$H,E38)/SUMIFS('TRA RESID'!$P:$P,'TRA RESID'!$I:$I,G38)*O38</f>
        <v>0</v>
      </c>
      <c r="L38" s="18"/>
      <c r="M38" s="18"/>
      <c r="O38" s="21">
        <v>0</v>
      </c>
      <c r="S38" s="15" t="str">
        <f>IF(S37="*",S37,"")</f>
        <v>*</v>
      </c>
      <c r="T38" s="17" t="str">
        <f t="shared" si="25"/>
        <v>*BEV*</v>
      </c>
      <c r="U38" s="17" t="str">
        <f t="shared" si="25"/>
        <v>TRARNG</v>
      </c>
      <c r="V38" s="17" t="str">
        <f t="shared" si="25"/>
        <v>TRAPASCARDMD</v>
      </c>
      <c r="W38" s="17" t="str">
        <f t="shared" si="25"/>
        <v>TRAPASCARDMD</v>
      </c>
      <c r="X38" s="18">
        <v>2040</v>
      </c>
      <c r="Y38" s="18" t="str">
        <f>Y37</f>
        <v>LO</v>
      </c>
      <c r="Z38" s="18"/>
      <c r="AA38" s="20">
        <f>-SUMIFS('TRA RESID'!$P:$P,'TRA RESID'!$I:$I,W38,'TRA RESID'!$J:$J,T38,'TRA RESID'!$H:$H,U38)/SUMIFS('TRA RESID'!$P:$P,'TRA RESID'!$I:$I,W38)*AE38</f>
        <v>0</v>
      </c>
      <c r="AB38" s="18"/>
      <c r="AC38" s="18"/>
      <c r="AE38" s="21">
        <v>1</v>
      </c>
      <c r="AG38" s="15" t="str">
        <f>IF(AG37="*",AG37,"")</f>
        <v>*</v>
      </c>
      <c r="AH38" s="17" t="str">
        <f t="shared" si="26"/>
        <v>*HEV*</v>
      </c>
      <c r="AI38" s="17" t="str">
        <f t="shared" si="26"/>
        <v>TRARNG</v>
      </c>
      <c r="AJ38" s="17" t="str">
        <f t="shared" si="26"/>
        <v>TRAPASCARDMD</v>
      </c>
      <c r="AK38" s="17" t="str">
        <f t="shared" si="26"/>
        <v>TRAPASCARDMD</v>
      </c>
      <c r="AL38" s="18">
        <v>2040</v>
      </c>
      <c r="AM38" s="18" t="str">
        <f>AM37</f>
        <v>LO</v>
      </c>
      <c r="AN38" s="18"/>
      <c r="AO38" s="20">
        <f>-SUMIFS('TRA RESID'!$P:$P,'TRA RESID'!$I:$I,AK38,'TRA RESID'!$J:$J,AH38,'TRA RESID'!$H:$H,AI38)/SUMIFS('TRA RESID'!$P:$P,'TRA RESID'!$I:$I,AK38)*AS38</f>
        <v>0</v>
      </c>
      <c r="AP38" s="18"/>
      <c r="AQ38" s="18"/>
      <c r="AS38" s="21">
        <v>0</v>
      </c>
      <c r="AU38" s="15" t="str">
        <f>IF(AU37="*",AU37,"")</f>
        <v>*</v>
      </c>
      <c r="AV38" s="17" t="str">
        <f t="shared" si="27"/>
        <v>*FCEV*</v>
      </c>
      <c r="AW38" s="17" t="str">
        <f t="shared" si="27"/>
        <v>TRARNG</v>
      </c>
      <c r="AX38" s="17" t="str">
        <f t="shared" si="27"/>
        <v>TRAPASCARDMD</v>
      </c>
      <c r="AY38" s="17" t="str">
        <f t="shared" si="27"/>
        <v>TRAPASCARDMD</v>
      </c>
      <c r="AZ38" s="18">
        <v>2040</v>
      </c>
      <c r="BA38" s="18" t="str">
        <f>BA37</f>
        <v>LO</v>
      </c>
      <c r="BB38" s="18"/>
      <c r="BC38" s="20">
        <f>-SUMIFS('TRA RESID'!$P:$P,'TRA RESID'!$I:$I,AY38,'TRA RESID'!$J:$J,AV38,'TRA RESID'!$H:$H,AW38)/SUMIFS('TRA RESID'!$P:$P,'TRA RESID'!$I:$I,AY38)*BG38</f>
        <v>0</v>
      </c>
      <c r="BD38" s="18"/>
      <c r="BE38" s="18"/>
      <c r="BG38" s="21">
        <v>0</v>
      </c>
    </row>
    <row r="39" spans="1:59" x14ac:dyDescent="0.25">
      <c r="C39" s="23" t="str">
        <f>IF(C38="*",C38,"")</f>
        <v>*</v>
      </c>
      <c r="D39" s="25" t="str">
        <f t="shared" si="24"/>
        <v>*ICEV*</v>
      </c>
      <c r="E39" s="25" t="str">
        <f t="shared" si="24"/>
        <v>TRARNG</v>
      </c>
      <c r="F39" s="25" t="str">
        <f t="shared" si="24"/>
        <v>TRAPASCARDMD</v>
      </c>
      <c r="G39" s="25" t="str">
        <f t="shared" si="24"/>
        <v>TRAPASCARDMD</v>
      </c>
      <c r="H39" s="26">
        <v>2050</v>
      </c>
      <c r="I39" s="26" t="str">
        <f>I37</f>
        <v>LO</v>
      </c>
      <c r="J39" s="26"/>
      <c r="K39" s="27">
        <f>-SUMIFS('TRA RESID'!$P:$P,'TRA RESID'!$I:$I,G39,'TRA RESID'!$J:$J,D39,'TRA RESID'!$H:$H,E39)/SUMIFS('TRA RESID'!$P:$P,'TRA RESID'!$I:$I,G39)*O39</f>
        <v>0</v>
      </c>
      <c r="L39" s="26"/>
      <c r="M39" s="26"/>
      <c r="O39" s="28">
        <v>0</v>
      </c>
      <c r="S39" s="23" t="str">
        <f>IF(S38="*",S38,"")</f>
        <v>*</v>
      </c>
      <c r="T39" s="25" t="str">
        <f t="shared" si="25"/>
        <v>*BEV*</v>
      </c>
      <c r="U39" s="25" t="str">
        <f t="shared" si="25"/>
        <v>TRARNG</v>
      </c>
      <c r="V39" s="25" t="str">
        <f t="shared" si="25"/>
        <v>TRAPASCARDMD</v>
      </c>
      <c r="W39" s="25" t="str">
        <f t="shared" si="25"/>
        <v>TRAPASCARDMD</v>
      </c>
      <c r="X39" s="26">
        <v>2050</v>
      </c>
      <c r="Y39" s="26" t="str">
        <f>Y37</f>
        <v>LO</v>
      </c>
      <c r="Z39" s="26"/>
      <c r="AA39" s="27">
        <f>-SUMIFS('TRA RESID'!$P:$P,'TRA RESID'!$I:$I,W39,'TRA RESID'!$J:$J,T39,'TRA RESID'!$H:$H,U39)/SUMIFS('TRA RESID'!$P:$P,'TRA RESID'!$I:$I,W39)*AE39</f>
        <v>0</v>
      </c>
      <c r="AB39" s="26"/>
      <c r="AC39" s="26"/>
      <c r="AE39" s="28">
        <v>1</v>
      </c>
      <c r="AG39" s="23" t="str">
        <f>IF(AG38="*",AG38,"")</f>
        <v>*</v>
      </c>
      <c r="AH39" s="25" t="str">
        <f t="shared" si="26"/>
        <v>*HEV*</v>
      </c>
      <c r="AI39" s="25" t="str">
        <f t="shared" si="26"/>
        <v>TRARNG</v>
      </c>
      <c r="AJ39" s="25" t="str">
        <f t="shared" si="26"/>
        <v>TRAPASCARDMD</v>
      </c>
      <c r="AK39" s="25" t="str">
        <f t="shared" si="26"/>
        <v>TRAPASCARDMD</v>
      </c>
      <c r="AL39" s="26">
        <v>2050</v>
      </c>
      <c r="AM39" s="26" t="str">
        <f>AM37</f>
        <v>LO</v>
      </c>
      <c r="AN39" s="26"/>
      <c r="AO39" s="27">
        <f>-SUMIFS('TRA RESID'!$P:$P,'TRA RESID'!$I:$I,AK39,'TRA RESID'!$J:$J,AH39,'TRA RESID'!$H:$H,AI39)/SUMIFS('TRA RESID'!$P:$P,'TRA RESID'!$I:$I,AK39)*AS39</f>
        <v>0</v>
      </c>
      <c r="AP39" s="26"/>
      <c r="AQ39" s="26"/>
      <c r="AS39" s="28">
        <v>0</v>
      </c>
      <c r="AU39" s="23" t="str">
        <f>IF(AU38="*",AU38,"")</f>
        <v>*</v>
      </c>
      <c r="AV39" s="25" t="str">
        <f t="shared" si="27"/>
        <v>*FCEV*</v>
      </c>
      <c r="AW39" s="25" t="str">
        <f t="shared" si="27"/>
        <v>TRARNG</v>
      </c>
      <c r="AX39" s="25" t="str">
        <f t="shared" si="27"/>
        <v>TRAPASCARDMD</v>
      </c>
      <c r="AY39" s="25" t="str">
        <f t="shared" si="27"/>
        <v>TRAPASCARDMD</v>
      </c>
      <c r="AZ39" s="26">
        <v>2050</v>
      </c>
      <c r="BA39" s="26" t="str">
        <f>BA37</f>
        <v>LO</v>
      </c>
      <c r="BB39" s="26"/>
      <c r="BC39" s="27">
        <f>-SUMIFS('TRA RESID'!$P:$P,'TRA RESID'!$I:$I,AY39,'TRA RESID'!$J:$J,AV39,'TRA RESID'!$H:$H,AW39)/SUMIFS('TRA RESID'!$P:$P,'TRA RESID'!$I:$I,AY39)*BG39</f>
        <v>0</v>
      </c>
      <c r="BD39" s="26"/>
      <c r="BE39" s="26"/>
      <c r="BG39" s="28">
        <v>0</v>
      </c>
    </row>
    <row r="40" spans="1:59" x14ac:dyDescent="0.25">
      <c r="A40">
        <f>A35+1</f>
        <v>8</v>
      </c>
      <c r="C40" s="15" t="str">
        <f>IF(E40="","",IF(_xlfn.XLOOKUP($A40,Selected_constraint!$A:$A,Selected_constraint!$D:$D)=1,"*",IF(SUMIFS('TRA TECH'!$M:$M,'TRA TECH'!$H:$H,E40,'TRA TECH'!$I:$I,F40)=0,"*",IF(SUMIFS('TRA RESID'!$P:$P,'TRA RESID'!$I:$I,G40,'TRA RESID'!$J:$J,D40,'TRA RESID'!$H:$H,E40)=0,"*","UC_"&amp;SUBSTITUTE(D40,"*","")&amp;"_"&amp;RIGHT(E40,3)&amp;"_"&amp;F40))))</f>
        <v>*</v>
      </c>
      <c r="D40" s="17" t="s">
        <v>485</v>
      </c>
      <c r="E40" s="17" t="str">
        <f>_xlfn.XLOOKUP($A40,Selected_constraint!$A:$A,Selected_constraint!$B:$B)</f>
        <v>TRABAT</v>
      </c>
      <c r="F40" s="17" t="str">
        <f>_xlfn.XLOOKUP($A40,Selected_constraint!$A:$A,Selected_constraint!$C:$C)</f>
        <v>TRAPASCARDMD</v>
      </c>
      <c r="G40" s="17" t="str">
        <f>F40</f>
        <v>TRAPASCARDMD</v>
      </c>
      <c r="H40" s="18">
        <v>2019</v>
      </c>
      <c r="I40" s="18" t="s">
        <v>483</v>
      </c>
      <c r="J40" s="18">
        <v>1</v>
      </c>
      <c r="K40" s="20">
        <f>-SUMIFS('TRA RESID'!$P:$P,'TRA RESID'!$I:$I,G40,'TRA RESID'!$J:$J,D40,'TRA RESID'!$H:$H,E40)/SUMIFS('TRA RESID'!$P:$P,'TRA RESID'!$I:$I,G40)*O40</f>
        <v>0</v>
      </c>
      <c r="L40" s="18">
        <v>0</v>
      </c>
      <c r="M40" s="18">
        <v>5</v>
      </c>
      <c r="O40" s="21">
        <v>0.98</v>
      </c>
      <c r="Q40">
        <f>Q35+1</f>
        <v>8</v>
      </c>
      <c r="S40" s="15" t="str">
        <f>IF(SUMIFS('TRA RESID'!$P:$P,'TRA RESID'!$I:$I,W40,'TRA RESID'!$J:$J,T40,'TRA RESID'!$H:$H,U40)=0,"*","UC_"&amp;SUBSTITUTE(T40,"*","")&amp;"_"&amp;RIGHT(U40,3)&amp;"_"&amp;V40)</f>
        <v>UC_BEV_BAT_TRAPASCARDMD</v>
      </c>
      <c r="T40" s="17" t="s">
        <v>486</v>
      </c>
      <c r="U40" s="17" t="str">
        <f>_xlfn.XLOOKUP($A40,Selected_constraint!$A:$A,Selected_constraint!$B:$B)</f>
        <v>TRABAT</v>
      </c>
      <c r="V40" s="17" t="str">
        <f>_xlfn.XLOOKUP($A40,Selected_constraint!$A:$A,Selected_constraint!$C:$C)</f>
        <v>TRAPASCARDMD</v>
      </c>
      <c r="W40" s="17" t="str">
        <f>V40</f>
        <v>TRAPASCARDMD</v>
      </c>
      <c r="X40" s="18">
        <v>2019</v>
      </c>
      <c r="Y40" s="18" t="s">
        <v>483</v>
      </c>
      <c r="Z40" s="18">
        <v>1</v>
      </c>
      <c r="AA40" s="20">
        <f>-SUMIFS('TRA RESID'!$P:$P,'TRA RESID'!$I:$I,W40,'TRA RESID'!$J:$J,T40,'TRA RESID'!$H:$H,U40)/SUMIFS('TRA RESID'!$P:$P,'TRA RESID'!$I:$I,W40)*AE40</f>
        <v>-9.2482523176905789E-3</v>
      </c>
      <c r="AB40" s="18">
        <v>0</v>
      </c>
      <c r="AC40" s="18">
        <v>5</v>
      </c>
      <c r="AE40" s="21">
        <v>0.98</v>
      </c>
      <c r="AG40" s="15" t="str">
        <f>IF(SUMIFS('TRA RESID'!$P:$P,'TRA RESID'!$I:$I,AK40,'TRA RESID'!$J:$J,AH40,'TRA RESID'!$H:$H,AI40)=0,"*","UC_"&amp;SUBSTITUTE(AH40,"*","")&amp;"_"&amp;RIGHT(AI40,3)&amp;"_"&amp;AJ40)</f>
        <v>*</v>
      </c>
      <c r="AH40" s="17" t="s">
        <v>487</v>
      </c>
      <c r="AI40" s="17" t="str">
        <f>_xlfn.XLOOKUP($A40,Selected_constraint!$A:$A,Selected_constraint!$B:$B)</f>
        <v>TRABAT</v>
      </c>
      <c r="AJ40" s="17" t="str">
        <f>_xlfn.XLOOKUP($A40,Selected_constraint!$A:$A,Selected_constraint!$C:$C)</f>
        <v>TRAPASCARDMD</v>
      </c>
      <c r="AK40" s="17" t="str">
        <f>AJ40</f>
        <v>TRAPASCARDMD</v>
      </c>
      <c r="AL40" s="18">
        <v>2019</v>
      </c>
      <c r="AM40" s="18" t="s">
        <v>483</v>
      </c>
      <c r="AN40" s="18">
        <v>1</v>
      </c>
      <c r="AO40" s="20">
        <f>-SUMIFS('TRA RESID'!$P:$P,'TRA RESID'!$I:$I,AK40,'TRA RESID'!$J:$J,AH40,'TRA RESID'!$H:$H,AI40)/SUMIFS('TRA RESID'!$P:$P,'TRA RESID'!$I:$I,AK40)*AS40</f>
        <v>0</v>
      </c>
      <c r="AP40" s="18">
        <v>0</v>
      </c>
      <c r="AQ40" s="18">
        <v>5</v>
      </c>
      <c r="AS40" s="21">
        <v>0.98</v>
      </c>
      <c r="AU40" s="15" t="str">
        <f>IF(SUMIFS('TRA RESID'!$P:$P,'TRA RESID'!$I:$I,AY40,'TRA RESID'!$J:$J,AV40,'TRA RESID'!$H:$H,AW40)=0,"*","UC_"&amp;SUBSTITUTE(AV40,"*","")&amp;"_"&amp;RIGHT(AW40,3)&amp;"_"&amp;AX40)</f>
        <v>*</v>
      </c>
      <c r="AV40" s="17" t="s">
        <v>488</v>
      </c>
      <c r="AW40" s="17" t="str">
        <f>_xlfn.XLOOKUP($A40,Selected_constraint!$A:$A,Selected_constraint!$B:$B)</f>
        <v>TRABAT</v>
      </c>
      <c r="AX40" s="17" t="str">
        <f>_xlfn.XLOOKUP($A40,Selected_constraint!$A:$A,Selected_constraint!$C:$C)</f>
        <v>TRAPASCARDMD</v>
      </c>
      <c r="AY40" s="17" t="str">
        <f>AX40</f>
        <v>TRAPASCARDMD</v>
      </c>
      <c r="AZ40" s="18">
        <v>2019</v>
      </c>
      <c r="BA40" s="18" t="s">
        <v>483</v>
      </c>
      <c r="BB40" s="18">
        <v>1</v>
      </c>
      <c r="BC40" s="20">
        <f>-SUMIFS('TRA RESID'!$P:$P,'TRA RESID'!$I:$I,AY40,'TRA RESID'!$J:$J,AV40,'TRA RESID'!$H:$H,AW40)/SUMIFS('TRA RESID'!$P:$P,'TRA RESID'!$I:$I,AY40)*BG40</f>
        <v>0</v>
      </c>
      <c r="BD40" s="18">
        <v>0</v>
      </c>
      <c r="BE40" s="18">
        <v>5</v>
      </c>
      <c r="BG40" s="21">
        <v>0.98</v>
      </c>
    </row>
    <row r="41" spans="1:59" x14ac:dyDescent="0.25">
      <c r="C41" s="15" t="str">
        <f>IF(C40="*",C40,"")</f>
        <v>*</v>
      </c>
      <c r="D41" s="17" t="str">
        <f t="shared" ref="D41:G44" si="28">D40</f>
        <v>*ICEV*</v>
      </c>
      <c r="E41" s="17" t="str">
        <f t="shared" si="28"/>
        <v>TRABAT</v>
      </c>
      <c r="F41" s="17" t="str">
        <f t="shared" si="28"/>
        <v>TRAPASCARDMD</v>
      </c>
      <c r="G41" s="17" t="str">
        <f t="shared" si="28"/>
        <v>TRAPASCARDMD</v>
      </c>
      <c r="H41" s="18">
        <v>2025</v>
      </c>
      <c r="I41" s="18" t="str">
        <f>I40</f>
        <v>LO</v>
      </c>
      <c r="J41" s="18"/>
      <c r="K41" s="20">
        <f>-SUMIFS('TRA RESID'!$P:$P,'TRA RESID'!$I:$I,G41,'TRA RESID'!$J:$J,D41,'TRA RESID'!$H:$H,E41)/SUMIFS('TRA RESID'!$P:$P,'TRA RESID'!$I:$I,G41)*O41</f>
        <v>0</v>
      </c>
      <c r="L41" s="18"/>
      <c r="M41" s="18"/>
      <c r="O41" s="21">
        <v>0.8</v>
      </c>
      <c r="S41" s="15" t="str">
        <f>IF(S40="*",S40,"")</f>
        <v/>
      </c>
      <c r="T41" s="17" t="str">
        <f t="shared" ref="T41:W44" si="29">T40</f>
        <v>*BEV*</v>
      </c>
      <c r="U41" s="17" t="str">
        <f t="shared" si="29"/>
        <v>TRABAT</v>
      </c>
      <c r="V41" s="17" t="str">
        <f t="shared" si="29"/>
        <v>TRAPASCARDMD</v>
      </c>
      <c r="W41" s="17" t="str">
        <f t="shared" si="29"/>
        <v>TRAPASCARDMD</v>
      </c>
      <c r="X41" s="18">
        <v>2025</v>
      </c>
      <c r="Y41" s="18" t="str">
        <f>Y40</f>
        <v>LO</v>
      </c>
      <c r="Z41" s="18"/>
      <c r="AA41" s="20">
        <f>-SUMIFS('TRA RESID'!$P:$P,'TRA RESID'!$I:$I,W41,'TRA RESID'!$J:$J,T41,'TRA RESID'!$H:$H,U41)/SUMIFS('TRA RESID'!$P:$P,'TRA RESID'!$I:$I,W41)*AE41</f>
        <v>-9.436992160908755E-3</v>
      </c>
      <c r="AB41" s="18"/>
      <c r="AC41" s="18"/>
      <c r="AE41" s="21">
        <v>1</v>
      </c>
      <c r="AG41" s="15" t="str">
        <f>IF(AG40="*",AG40,"")</f>
        <v>*</v>
      </c>
      <c r="AH41" s="17" t="str">
        <f t="shared" ref="AH41:AK44" si="30">AH40</f>
        <v>*HEV*</v>
      </c>
      <c r="AI41" s="17" t="str">
        <f t="shared" si="30"/>
        <v>TRABAT</v>
      </c>
      <c r="AJ41" s="17" t="str">
        <f t="shared" si="30"/>
        <v>TRAPASCARDMD</v>
      </c>
      <c r="AK41" s="17" t="str">
        <f t="shared" si="30"/>
        <v>TRAPASCARDMD</v>
      </c>
      <c r="AL41" s="18">
        <v>2025</v>
      </c>
      <c r="AM41" s="18" t="str">
        <f>AM40</f>
        <v>LO</v>
      </c>
      <c r="AN41" s="18"/>
      <c r="AO41" s="20">
        <f>-SUMIFS('TRA RESID'!$P:$P,'TRA RESID'!$I:$I,AK41,'TRA RESID'!$J:$J,AH41,'TRA RESID'!$H:$H,AI41)/SUMIFS('TRA RESID'!$P:$P,'TRA RESID'!$I:$I,AK41)*AS41</f>
        <v>0</v>
      </c>
      <c r="AP41" s="18"/>
      <c r="AQ41" s="18"/>
      <c r="AS41" s="21">
        <v>0.8</v>
      </c>
      <c r="AU41" s="15" t="str">
        <f>IF(AU40="*",AU40,"")</f>
        <v>*</v>
      </c>
      <c r="AV41" s="17" t="str">
        <f t="shared" ref="AV41:AY44" si="31">AV40</f>
        <v>*FCEV*</v>
      </c>
      <c r="AW41" s="17" t="str">
        <f t="shared" si="31"/>
        <v>TRABAT</v>
      </c>
      <c r="AX41" s="17" t="str">
        <f t="shared" si="31"/>
        <v>TRAPASCARDMD</v>
      </c>
      <c r="AY41" s="17" t="str">
        <f t="shared" si="31"/>
        <v>TRAPASCARDMD</v>
      </c>
      <c r="AZ41" s="18">
        <v>2025</v>
      </c>
      <c r="BA41" s="18" t="str">
        <f>BA40</f>
        <v>LO</v>
      </c>
      <c r="BB41" s="18"/>
      <c r="BC41" s="20">
        <f>-SUMIFS('TRA RESID'!$P:$P,'TRA RESID'!$I:$I,AY41,'TRA RESID'!$J:$J,AV41,'TRA RESID'!$H:$H,AW41)/SUMIFS('TRA RESID'!$P:$P,'TRA RESID'!$I:$I,AY41)*BG41</f>
        <v>0</v>
      </c>
      <c r="BD41" s="18"/>
      <c r="BE41" s="18"/>
      <c r="BG41" s="21">
        <v>0.8</v>
      </c>
    </row>
    <row r="42" spans="1:59" x14ac:dyDescent="0.25">
      <c r="C42" s="15" t="str">
        <f>IF(C41="*",C41,"")</f>
        <v>*</v>
      </c>
      <c r="D42" s="17" t="str">
        <f t="shared" si="28"/>
        <v>*ICEV*</v>
      </c>
      <c r="E42" s="17" t="str">
        <f t="shared" si="28"/>
        <v>TRABAT</v>
      </c>
      <c r="F42" s="17" t="str">
        <f t="shared" si="28"/>
        <v>TRAPASCARDMD</v>
      </c>
      <c r="G42" s="17" t="str">
        <f t="shared" si="28"/>
        <v>TRAPASCARDMD</v>
      </c>
      <c r="H42" s="18">
        <v>2030</v>
      </c>
      <c r="I42" s="18" t="str">
        <f>I41</f>
        <v>LO</v>
      </c>
      <c r="J42" s="18"/>
      <c r="K42" s="20">
        <f>-SUMIFS('TRA RESID'!$P:$P,'TRA RESID'!$I:$I,G42,'TRA RESID'!$J:$J,D42,'TRA RESID'!$H:$H,E42)/SUMIFS('TRA RESID'!$P:$P,'TRA RESID'!$I:$I,G42)*O42</f>
        <v>0</v>
      </c>
      <c r="L42" s="18"/>
      <c r="M42" s="18"/>
      <c r="O42" s="21">
        <v>0.5</v>
      </c>
      <c r="S42" s="15" t="str">
        <f>IF(S41="*",S41,"")</f>
        <v/>
      </c>
      <c r="T42" s="17" t="str">
        <f t="shared" si="29"/>
        <v>*BEV*</v>
      </c>
      <c r="U42" s="17" t="str">
        <f t="shared" si="29"/>
        <v>TRABAT</v>
      </c>
      <c r="V42" s="17" t="str">
        <f t="shared" si="29"/>
        <v>TRAPASCARDMD</v>
      </c>
      <c r="W42" s="17" t="str">
        <f t="shared" si="29"/>
        <v>TRAPASCARDMD</v>
      </c>
      <c r="X42" s="18">
        <v>2030</v>
      </c>
      <c r="Y42" s="18" t="str">
        <f>Y41</f>
        <v>LO</v>
      </c>
      <c r="Z42" s="18"/>
      <c r="AA42" s="20">
        <f>-SUMIFS('TRA RESID'!$P:$P,'TRA RESID'!$I:$I,W42,'TRA RESID'!$J:$J,T42,'TRA RESID'!$H:$H,U42)/SUMIFS('TRA RESID'!$P:$P,'TRA RESID'!$I:$I,W42)*AE42</f>
        <v>-9.436992160908755E-3</v>
      </c>
      <c r="AB42" s="18"/>
      <c r="AC42" s="18"/>
      <c r="AE42" s="21">
        <v>1</v>
      </c>
      <c r="AG42" s="15" t="str">
        <f>IF(AG41="*",AG41,"")</f>
        <v>*</v>
      </c>
      <c r="AH42" s="17" t="str">
        <f t="shared" si="30"/>
        <v>*HEV*</v>
      </c>
      <c r="AI42" s="17" t="str">
        <f t="shared" si="30"/>
        <v>TRABAT</v>
      </c>
      <c r="AJ42" s="17" t="str">
        <f t="shared" si="30"/>
        <v>TRAPASCARDMD</v>
      </c>
      <c r="AK42" s="17" t="str">
        <f t="shared" si="30"/>
        <v>TRAPASCARDMD</v>
      </c>
      <c r="AL42" s="18">
        <v>2030</v>
      </c>
      <c r="AM42" s="18" t="str">
        <f>AM41</f>
        <v>LO</v>
      </c>
      <c r="AN42" s="18"/>
      <c r="AO42" s="20">
        <f>-SUMIFS('TRA RESID'!$P:$P,'TRA RESID'!$I:$I,AK42,'TRA RESID'!$J:$J,AH42,'TRA RESID'!$H:$H,AI42)/SUMIFS('TRA RESID'!$P:$P,'TRA RESID'!$I:$I,AK42)*AS42</f>
        <v>0</v>
      </c>
      <c r="AP42" s="18"/>
      <c r="AQ42" s="18"/>
      <c r="AS42" s="21">
        <v>0.5</v>
      </c>
      <c r="AU42" s="15" t="str">
        <f>IF(AU41="*",AU41,"")</f>
        <v>*</v>
      </c>
      <c r="AV42" s="17" t="str">
        <f t="shared" si="31"/>
        <v>*FCEV*</v>
      </c>
      <c r="AW42" s="17" t="str">
        <f t="shared" si="31"/>
        <v>TRABAT</v>
      </c>
      <c r="AX42" s="17" t="str">
        <f t="shared" si="31"/>
        <v>TRAPASCARDMD</v>
      </c>
      <c r="AY42" s="17" t="str">
        <f t="shared" si="31"/>
        <v>TRAPASCARDMD</v>
      </c>
      <c r="AZ42" s="18">
        <v>2030</v>
      </c>
      <c r="BA42" s="18" t="str">
        <f>BA41</f>
        <v>LO</v>
      </c>
      <c r="BB42" s="18"/>
      <c r="BC42" s="20">
        <f>-SUMIFS('TRA RESID'!$P:$P,'TRA RESID'!$I:$I,AY42,'TRA RESID'!$J:$J,AV42,'TRA RESID'!$H:$H,AW42)/SUMIFS('TRA RESID'!$P:$P,'TRA RESID'!$I:$I,AY42)*BG42</f>
        <v>0</v>
      </c>
      <c r="BD42" s="18"/>
      <c r="BE42" s="18"/>
      <c r="BG42" s="21">
        <v>0.5</v>
      </c>
    </row>
    <row r="43" spans="1:59" x14ac:dyDescent="0.25">
      <c r="C43" s="15" t="str">
        <f>IF(C42="*",C42,"")</f>
        <v>*</v>
      </c>
      <c r="D43" s="17" t="str">
        <f t="shared" si="28"/>
        <v>*ICEV*</v>
      </c>
      <c r="E43" s="17" t="str">
        <f t="shared" si="28"/>
        <v>TRABAT</v>
      </c>
      <c r="F43" s="17" t="str">
        <f t="shared" si="28"/>
        <v>TRAPASCARDMD</v>
      </c>
      <c r="G43" s="17" t="str">
        <f t="shared" si="28"/>
        <v>TRAPASCARDMD</v>
      </c>
      <c r="H43" s="18">
        <v>2040</v>
      </c>
      <c r="I43" s="18" t="str">
        <f>I42</f>
        <v>LO</v>
      </c>
      <c r="J43" s="18"/>
      <c r="K43" s="20">
        <f>-SUMIFS('TRA RESID'!$P:$P,'TRA RESID'!$I:$I,G43,'TRA RESID'!$J:$J,D43,'TRA RESID'!$H:$H,E43)/SUMIFS('TRA RESID'!$P:$P,'TRA RESID'!$I:$I,G43)*O43</f>
        <v>0</v>
      </c>
      <c r="L43" s="18"/>
      <c r="M43" s="18"/>
      <c r="O43" s="21">
        <v>0</v>
      </c>
      <c r="S43" s="15" t="str">
        <f>IF(S42="*",S42,"")</f>
        <v/>
      </c>
      <c r="T43" s="17" t="str">
        <f t="shared" si="29"/>
        <v>*BEV*</v>
      </c>
      <c r="U43" s="17" t="str">
        <f t="shared" si="29"/>
        <v>TRABAT</v>
      </c>
      <c r="V43" s="17" t="str">
        <f t="shared" si="29"/>
        <v>TRAPASCARDMD</v>
      </c>
      <c r="W43" s="17" t="str">
        <f t="shared" si="29"/>
        <v>TRAPASCARDMD</v>
      </c>
      <c r="X43" s="18">
        <v>2040</v>
      </c>
      <c r="Y43" s="18" t="str">
        <f>Y42</f>
        <v>LO</v>
      </c>
      <c r="Z43" s="18"/>
      <c r="AA43" s="20">
        <f>-SUMIFS('TRA RESID'!$P:$P,'TRA RESID'!$I:$I,W43,'TRA RESID'!$J:$J,T43,'TRA RESID'!$H:$H,U43)/SUMIFS('TRA RESID'!$P:$P,'TRA RESID'!$I:$I,W43)*AE43</f>
        <v>-9.436992160908755E-3</v>
      </c>
      <c r="AB43" s="18"/>
      <c r="AC43" s="18"/>
      <c r="AE43" s="21">
        <v>1</v>
      </c>
      <c r="AG43" s="15" t="str">
        <f>IF(AG42="*",AG42,"")</f>
        <v>*</v>
      </c>
      <c r="AH43" s="17" t="str">
        <f t="shared" si="30"/>
        <v>*HEV*</v>
      </c>
      <c r="AI43" s="17" t="str">
        <f t="shared" si="30"/>
        <v>TRABAT</v>
      </c>
      <c r="AJ43" s="17" t="str">
        <f t="shared" si="30"/>
        <v>TRAPASCARDMD</v>
      </c>
      <c r="AK43" s="17" t="str">
        <f t="shared" si="30"/>
        <v>TRAPASCARDMD</v>
      </c>
      <c r="AL43" s="18">
        <v>2040</v>
      </c>
      <c r="AM43" s="18" t="str">
        <f>AM42</f>
        <v>LO</v>
      </c>
      <c r="AN43" s="18"/>
      <c r="AO43" s="20">
        <f>-SUMIFS('TRA RESID'!$P:$P,'TRA RESID'!$I:$I,AK43,'TRA RESID'!$J:$J,AH43,'TRA RESID'!$H:$H,AI43)/SUMIFS('TRA RESID'!$P:$P,'TRA RESID'!$I:$I,AK43)*AS43</f>
        <v>0</v>
      </c>
      <c r="AP43" s="18"/>
      <c r="AQ43" s="18"/>
      <c r="AS43" s="21">
        <v>0</v>
      </c>
      <c r="AU43" s="15" t="str">
        <f>IF(AU42="*",AU42,"")</f>
        <v>*</v>
      </c>
      <c r="AV43" s="17" t="str">
        <f t="shared" si="31"/>
        <v>*FCEV*</v>
      </c>
      <c r="AW43" s="17" t="str">
        <f t="shared" si="31"/>
        <v>TRABAT</v>
      </c>
      <c r="AX43" s="17" t="str">
        <f t="shared" si="31"/>
        <v>TRAPASCARDMD</v>
      </c>
      <c r="AY43" s="17" t="str">
        <f t="shared" si="31"/>
        <v>TRAPASCARDMD</v>
      </c>
      <c r="AZ43" s="18">
        <v>2040</v>
      </c>
      <c r="BA43" s="18" t="str">
        <f>BA42</f>
        <v>LO</v>
      </c>
      <c r="BB43" s="18"/>
      <c r="BC43" s="20">
        <f>-SUMIFS('TRA RESID'!$P:$P,'TRA RESID'!$I:$I,AY43,'TRA RESID'!$J:$J,AV43,'TRA RESID'!$H:$H,AW43)/SUMIFS('TRA RESID'!$P:$P,'TRA RESID'!$I:$I,AY43)*BG43</f>
        <v>0</v>
      </c>
      <c r="BD43" s="18"/>
      <c r="BE43" s="18"/>
      <c r="BG43" s="21">
        <v>0</v>
      </c>
    </row>
    <row r="44" spans="1:59" x14ac:dyDescent="0.25">
      <c r="C44" s="23" t="str">
        <f>IF(C43="*",C43,"")</f>
        <v>*</v>
      </c>
      <c r="D44" s="25" t="str">
        <f t="shared" si="28"/>
        <v>*ICEV*</v>
      </c>
      <c r="E44" s="25" t="str">
        <f t="shared" si="28"/>
        <v>TRABAT</v>
      </c>
      <c r="F44" s="25" t="str">
        <f t="shared" si="28"/>
        <v>TRAPASCARDMD</v>
      </c>
      <c r="G44" s="25" t="str">
        <f t="shared" si="28"/>
        <v>TRAPASCARDMD</v>
      </c>
      <c r="H44" s="26">
        <v>2050</v>
      </c>
      <c r="I44" s="26" t="str">
        <f>I42</f>
        <v>LO</v>
      </c>
      <c r="J44" s="26"/>
      <c r="K44" s="27">
        <f>-SUMIFS('TRA RESID'!$P:$P,'TRA RESID'!$I:$I,G44,'TRA RESID'!$J:$J,D44,'TRA RESID'!$H:$H,E44)/SUMIFS('TRA RESID'!$P:$P,'TRA RESID'!$I:$I,G44)*O44</f>
        <v>0</v>
      </c>
      <c r="L44" s="26"/>
      <c r="M44" s="26"/>
      <c r="O44" s="28">
        <v>0</v>
      </c>
      <c r="S44" s="23" t="str">
        <f>IF(S43="*",S43,"")</f>
        <v/>
      </c>
      <c r="T44" s="25" t="str">
        <f t="shared" si="29"/>
        <v>*BEV*</v>
      </c>
      <c r="U44" s="25" t="str">
        <f t="shared" si="29"/>
        <v>TRABAT</v>
      </c>
      <c r="V44" s="25" t="str">
        <f t="shared" si="29"/>
        <v>TRAPASCARDMD</v>
      </c>
      <c r="W44" s="25" t="str">
        <f t="shared" si="29"/>
        <v>TRAPASCARDMD</v>
      </c>
      <c r="X44" s="26">
        <v>2050</v>
      </c>
      <c r="Y44" s="26" t="str">
        <f>Y42</f>
        <v>LO</v>
      </c>
      <c r="Z44" s="26"/>
      <c r="AA44" s="27">
        <f>-SUMIFS('TRA RESID'!$P:$P,'TRA RESID'!$I:$I,W44,'TRA RESID'!$J:$J,T44,'TRA RESID'!$H:$H,U44)/SUMIFS('TRA RESID'!$P:$P,'TRA RESID'!$I:$I,W44)*AE44</f>
        <v>-9.436992160908755E-3</v>
      </c>
      <c r="AB44" s="26"/>
      <c r="AC44" s="26"/>
      <c r="AE44" s="28">
        <v>1</v>
      </c>
      <c r="AG44" s="23" t="str">
        <f>IF(AG43="*",AG43,"")</f>
        <v>*</v>
      </c>
      <c r="AH44" s="25" t="str">
        <f t="shared" si="30"/>
        <v>*HEV*</v>
      </c>
      <c r="AI44" s="25" t="str">
        <f t="shared" si="30"/>
        <v>TRABAT</v>
      </c>
      <c r="AJ44" s="25" t="str">
        <f t="shared" si="30"/>
        <v>TRAPASCARDMD</v>
      </c>
      <c r="AK44" s="25" t="str">
        <f t="shared" si="30"/>
        <v>TRAPASCARDMD</v>
      </c>
      <c r="AL44" s="26">
        <v>2050</v>
      </c>
      <c r="AM44" s="26" t="str">
        <f>AM42</f>
        <v>LO</v>
      </c>
      <c r="AN44" s="26"/>
      <c r="AO44" s="27">
        <f>-SUMIFS('TRA RESID'!$P:$P,'TRA RESID'!$I:$I,AK44,'TRA RESID'!$J:$J,AH44,'TRA RESID'!$H:$H,AI44)/SUMIFS('TRA RESID'!$P:$P,'TRA RESID'!$I:$I,AK44)*AS44</f>
        <v>0</v>
      </c>
      <c r="AP44" s="26"/>
      <c r="AQ44" s="26"/>
      <c r="AS44" s="28">
        <v>0</v>
      </c>
      <c r="AU44" s="23" t="str">
        <f>IF(AU43="*",AU43,"")</f>
        <v>*</v>
      </c>
      <c r="AV44" s="25" t="str">
        <f t="shared" si="31"/>
        <v>*FCEV*</v>
      </c>
      <c r="AW44" s="25" t="str">
        <f t="shared" si="31"/>
        <v>TRABAT</v>
      </c>
      <c r="AX44" s="25" t="str">
        <f t="shared" si="31"/>
        <v>TRAPASCARDMD</v>
      </c>
      <c r="AY44" s="25" t="str">
        <f t="shared" si="31"/>
        <v>TRAPASCARDMD</v>
      </c>
      <c r="AZ44" s="26">
        <v>2050</v>
      </c>
      <c r="BA44" s="26" t="str">
        <f>BA42</f>
        <v>LO</v>
      </c>
      <c r="BB44" s="26"/>
      <c r="BC44" s="27">
        <f>-SUMIFS('TRA RESID'!$P:$P,'TRA RESID'!$I:$I,AY44,'TRA RESID'!$J:$J,AV44,'TRA RESID'!$H:$H,AW44)/SUMIFS('TRA RESID'!$P:$P,'TRA RESID'!$I:$I,AY44)*BG44</f>
        <v>0</v>
      </c>
      <c r="BD44" s="26"/>
      <c r="BE44" s="26"/>
      <c r="BG44" s="28">
        <v>0</v>
      </c>
    </row>
    <row r="45" spans="1:59" x14ac:dyDescent="0.25">
      <c r="A45">
        <f>A40+1</f>
        <v>9</v>
      </c>
      <c r="C45" s="15" t="str">
        <f>IF(E45="","",IF(_xlfn.XLOOKUP($A45,Selected_constraint!$A:$A,Selected_constraint!$D:$D)=1,"*",IF(SUMIFS('TRA TECH'!$M:$M,'TRA TECH'!$H:$H,E45,'TRA TECH'!$I:$I,F45)=0,"*",IF(SUMIFS('TRA RESID'!$P:$P,'TRA RESID'!$I:$I,G45,'TRA RESID'!$J:$J,D45,'TRA RESID'!$H:$H,E45)=0,"*","UC_"&amp;SUBSTITUTE(D45,"*","")&amp;"_"&amp;RIGHT(E45,3)&amp;"_"&amp;F45))))</f>
        <v>*</v>
      </c>
      <c r="D45" s="17" t="s">
        <v>485</v>
      </c>
      <c r="E45" s="17" t="str">
        <f>_xlfn.XLOOKUP($A45,Selected_constraint!$A:$A,Selected_constraint!$B:$B)</f>
        <v>TRAH2G</v>
      </c>
      <c r="F45" s="17" t="str">
        <f>_xlfn.XLOOKUP($A45,Selected_constraint!$A:$A,Selected_constraint!$C:$C)</f>
        <v>TRAPASCARDMD</v>
      </c>
      <c r="G45" s="17" t="str">
        <f>F45</f>
        <v>TRAPASCARDMD</v>
      </c>
      <c r="H45" s="18">
        <v>2019</v>
      </c>
      <c r="I45" s="18" t="s">
        <v>483</v>
      </c>
      <c r="J45" s="18">
        <v>1</v>
      </c>
      <c r="K45" s="20">
        <f>-SUMIFS('TRA RESID'!$P:$P,'TRA RESID'!$I:$I,G45,'TRA RESID'!$J:$J,D45,'TRA RESID'!$H:$H,E45)/SUMIFS('TRA RESID'!$P:$P,'TRA RESID'!$I:$I,G45)*O45</f>
        <v>0</v>
      </c>
      <c r="L45" s="18">
        <v>0</v>
      </c>
      <c r="M45" s="18">
        <v>5</v>
      </c>
      <c r="O45" s="21">
        <v>0.98</v>
      </c>
      <c r="Q45">
        <f>Q40+1</f>
        <v>9</v>
      </c>
      <c r="S45" s="15" t="str">
        <f>IF(SUMIFS('TRA RESID'!$P:$P,'TRA RESID'!$I:$I,W45,'TRA RESID'!$J:$J,T45,'TRA RESID'!$H:$H,U45)=0,"*","UC_"&amp;SUBSTITUTE(T45,"*","")&amp;"_"&amp;RIGHT(U45,3)&amp;"_"&amp;V45)</f>
        <v>*</v>
      </c>
      <c r="T45" s="17" t="s">
        <v>486</v>
      </c>
      <c r="U45" s="17" t="str">
        <f>_xlfn.XLOOKUP($A45,Selected_constraint!$A:$A,Selected_constraint!$B:$B)</f>
        <v>TRAH2G</v>
      </c>
      <c r="V45" s="17" t="str">
        <f>_xlfn.XLOOKUP($A45,Selected_constraint!$A:$A,Selected_constraint!$C:$C)</f>
        <v>TRAPASCARDMD</v>
      </c>
      <c r="W45" s="17" t="str">
        <f>V45</f>
        <v>TRAPASCARDMD</v>
      </c>
      <c r="X45" s="18">
        <v>2019</v>
      </c>
      <c r="Y45" s="18" t="s">
        <v>483</v>
      </c>
      <c r="Z45" s="18">
        <v>1</v>
      </c>
      <c r="AA45" s="20">
        <f>-SUMIFS('TRA RESID'!$P:$P,'TRA RESID'!$I:$I,W45,'TRA RESID'!$J:$J,T45,'TRA RESID'!$H:$H,U45)/SUMIFS('TRA RESID'!$P:$P,'TRA RESID'!$I:$I,W45)*AE45</f>
        <v>0</v>
      </c>
      <c r="AB45" s="18">
        <v>0</v>
      </c>
      <c r="AC45" s="18">
        <v>5</v>
      </c>
      <c r="AE45" s="21">
        <v>0.98</v>
      </c>
      <c r="AG45" s="15" t="str">
        <f>IF(SUMIFS('TRA RESID'!$P:$P,'TRA RESID'!$I:$I,AK45,'TRA RESID'!$J:$J,AH45,'TRA RESID'!$H:$H,AI45)=0,"*","UC_"&amp;SUBSTITUTE(AH45,"*","")&amp;"_"&amp;RIGHT(AI45,3)&amp;"_"&amp;AJ45)</f>
        <v>*</v>
      </c>
      <c r="AH45" s="17" t="s">
        <v>487</v>
      </c>
      <c r="AI45" s="17" t="str">
        <f>_xlfn.XLOOKUP($A45,Selected_constraint!$A:$A,Selected_constraint!$B:$B)</f>
        <v>TRAH2G</v>
      </c>
      <c r="AJ45" s="17" t="str">
        <f>_xlfn.XLOOKUP($A45,Selected_constraint!$A:$A,Selected_constraint!$C:$C)</f>
        <v>TRAPASCARDMD</v>
      </c>
      <c r="AK45" s="17" t="str">
        <f>AJ45</f>
        <v>TRAPASCARDMD</v>
      </c>
      <c r="AL45" s="18">
        <v>2019</v>
      </c>
      <c r="AM45" s="18" t="s">
        <v>483</v>
      </c>
      <c r="AN45" s="18">
        <v>1</v>
      </c>
      <c r="AO45" s="20">
        <f>-SUMIFS('TRA RESID'!$P:$P,'TRA RESID'!$I:$I,AK45,'TRA RESID'!$J:$J,AH45,'TRA RESID'!$H:$H,AI45)/SUMIFS('TRA RESID'!$P:$P,'TRA RESID'!$I:$I,AK45)*AS45</f>
        <v>0</v>
      </c>
      <c r="AP45" s="18">
        <v>0</v>
      </c>
      <c r="AQ45" s="18">
        <v>5</v>
      </c>
      <c r="AS45" s="21">
        <v>0.98</v>
      </c>
      <c r="AU45" s="15" t="str">
        <f>IF(SUMIFS('TRA RESID'!$P:$P,'TRA RESID'!$I:$I,AY45,'TRA RESID'!$J:$J,AV45,'TRA RESID'!$H:$H,AW45)=0,"*","UC_"&amp;SUBSTITUTE(AV45,"*","")&amp;"_"&amp;RIGHT(AW45,3)&amp;"_"&amp;AX45)</f>
        <v>*</v>
      </c>
      <c r="AV45" s="17" t="s">
        <v>488</v>
      </c>
      <c r="AW45" s="17" t="str">
        <f>_xlfn.XLOOKUP($A45,Selected_constraint!$A:$A,Selected_constraint!$B:$B)</f>
        <v>TRAH2G</v>
      </c>
      <c r="AX45" s="17" t="str">
        <f>_xlfn.XLOOKUP($A45,Selected_constraint!$A:$A,Selected_constraint!$C:$C)</f>
        <v>TRAPASCARDMD</v>
      </c>
      <c r="AY45" s="17" t="str">
        <f>AX45</f>
        <v>TRAPASCARDMD</v>
      </c>
      <c r="AZ45" s="18">
        <v>2019</v>
      </c>
      <c r="BA45" s="18" t="s">
        <v>483</v>
      </c>
      <c r="BB45" s="18">
        <v>1</v>
      </c>
      <c r="BC45" s="20">
        <f>-SUMIFS('TRA RESID'!$P:$P,'TRA RESID'!$I:$I,AY45,'TRA RESID'!$J:$J,AV45,'TRA RESID'!$H:$H,AW45)/SUMIFS('TRA RESID'!$P:$P,'TRA RESID'!$I:$I,AY45)*BG45</f>
        <v>0</v>
      </c>
      <c r="BD45" s="18">
        <v>0</v>
      </c>
      <c r="BE45" s="18">
        <v>5</v>
      </c>
      <c r="BG45" s="21">
        <v>0.98</v>
      </c>
    </row>
    <row r="46" spans="1:59" x14ac:dyDescent="0.25">
      <c r="C46" s="15" t="str">
        <f>IF(C45="*",C45,"")</f>
        <v>*</v>
      </c>
      <c r="D46" s="17" t="str">
        <f t="shared" ref="D46:G49" si="32">D45</f>
        <v>*ICEV*</v>
      </c>
      <c r="E46" s="17" t="str">
        <f t="shared" si="32"/>
        <v>TRAH2G</v>
      </c>
      <c r="F46" s="17" t="str">
        <f t="shared" si="32"/>
        <v>TRAPASCARDMD</v>
      </c>
      <c r="G46" s="17" t="str">
        <f t="shared" si="32"/>
        <v>TRAPASCARDMD</v>
      </c>
      <c r="H46" s="18">
        <v>2025</v>
      </c>
      <c r="I46" s="18" t="str">
        <f>I45</f>
        <v>LO</v>
      </c>
      <c r="J46" s="18"/>
      <c r="K46" s="20">
        <f>-SUMIFS('TRA RESID'!$P:$P,'TRA RESID'!$I:$I,G46,'TRA RESID'!$J:$J,D46,'TRA RESID'!$H:$H,E46)/SUMIFS('TRA RESID'!$P:$P,'TRA RESID'!$I:$I,G46)*O46</f>
        <v>0</v>
      </c>
      <c r="L46" s="18"/>
      <c r="M46" s="18"/>
      <c r="O46" s="21">
        <v>0.8</v>
      </c>
      <c r="S46" s="15" t="str">
        <f>IF(S45="*",S45,"")</f>
        <v>*</v>
      </c>
      <c r="T46" s="17" t="str">
        <f t="shared" ref="T46:W49" si="33">T45</f>
        <v>*BEV*</v>
      </c>
      <c r="U46" s="17" t="str">
        <f t="shared" si="33"/>
        <v>TRAH2G</v>
      </c>
      <c r="V46" s="17" t="str">
        <f t="shared" si="33"/>
        <v>TRAPASCARDMD</v>
      </c>
      <c r="W46" s="17" t="str">
        <f t="shared" si="33"/>
        <v>TRAPASCARDMD</v>
      </c>
      <c r="X46" s="18">
        <v>2025</v>
      </c>
      <c r="Y46" s="18" t="str">
        <f>Y45</f>
        <v>LO</v>
      </c>
      <c r="Z46" s="18"/>
      <c r="AA46" s="20">
        <f>-SUMIFS('TRA RESID'!$P:$P,'TRA RESID'!$I:$I,W46,'TRA RESID'!$J:$J,T46,'TRA RESID'!$H:$H,U46)/SUMIFS('TRA RESID'!$P:$P,'TRA RESID'!$I:$I,W46)*AE46</f>
        <v>0</v>
      </c>
      <c r="AB46" s="18"/>
      <c r="AC46" s="18"/>
      <c r="AE46" s="21">
        <v>1</v>
      </c>
      <c r="AG46" s="15" t="str">
        <f>IF(AG45="*",AG45,"")</f>
        <v>*</v>
      </c>
      <c r="AH46" s="17" t="str">
        <f t="shared" ref="AH46:AK49" si="34">AH45</f>
        <v>*HEV*</v>
      </c>
      <c r="AI46" s="17" t="str">
        <f t="shared" si="34"/>
        <v>TRAH2G</v>
      </c>
      <c r="AJ46" s="17" t="str">
        <f t="shared" si="34"/>
        <v>TRAPASCARDMD</v>
      </c>
      <c r="AK46" s="17" t="str">
        <f t="shared" si="34"/>
        <v>TRAPASCARDMD</v>
      </c>
      <c r="AL46" s="18">
        <v>2025</v>
      </c>
      <c r="AM46" s="18" t="str">
        <f>AM45</f>
        <v>LO</v>
      </c>
      <c r="AN46" s="18"/>
      <c r="AO46" s="20">
        <f>-SUMIFS('TRA RESID'!$P:$P,'TRA RESID'!$I:$I,AK46,'TRA RESID'!$J:$J,AH46,'TRA RESID'!$H:$H,AI46)/SUMIFS('TRA RESID'!$P:$P,'TRA RESID'!$I:$I,AK46)*AS46</f>
        <v>0</v>
      </c>
      <c r="AP46" s="18"/>
      <c r="AQ46" s="18"/>
      <c r="AS46" s="21">
        <v>0.8</v>
      </c>
      <c r="AU46" s="15" t="str">
        <f>IF(AU45="*",AU45,"")</f>
        <v>*</v>
      </c>
      <c r="AV46" s="17" t="str">
        <f t="shared" ref="AV46:AY49" si="35">AV45</f>
        <v>*FCEV*</v>
      </c>
      <c r="AW46" s="17" t="str">
        <f t="shared" si="35"/>
        <v>TRAH2G</v>
      </c>
      <c r="AX46" s="17" t="str">
        <f t="shared" si="35"/>
        <v>TRAPASCARDMD</v>
      </c>
      <c r="AY46" s="17" t="str">
        <f t="shared" si="35"/>
        <v>TRAPASCARDMD</v>
      </c>
      <c r="AZ46" s="18">
        <v>2025</v>
      </c>
      <c r="BA46" s="18" t="str">
        <f>BA45</f>
        <v>LO</v>
      </c>
      <c r="BB46" s="18"/>
      <c r="BC46" s="20">
        <f>-SUMIFS('TRA RESID'!$P:$P,'TRA RESID'!$I:$I,AY46,'TRA RESID'!$J:$J,AV46,'TRA RESID'!$H:$H,AW46)/SUMIFS('TRA RESID'!$P:$P,'TRA RESID'!$I:$I,AY46)*BG46</f>
        <v>0</v>
      </c>
      <c r="BD46" s="18"/>
      <c r="BE46" s="18"/>
      <c r="BG46" s="21">
        <v>0.8</v>
      </c>
    </row>
    <row r="47" spans="1:59" x14ac:dyDescent="0.25">
      <c r="C47" s="15" t="str">
        <f>IF(C46="*",C46,"")</f>
        <v>*</v>
      </c>
      <c r="D47" s="17" t="str">
        <f t="shared" si="32"/>
        <v>*ICEV*</v>
      </c>
      <c r="E47" s="17" t="str">
        <f t="shared" si="32"/>
        <v>TRAH2G</v>
      </c>
      <c r="F47" s="17" t="str">
        <f t="shared" si="32"/>
        <v>TRAPASCARDMD</v>
      </c>
      <c r="G47" s="17" t="str">
        <f t="shared" si="32"/>
        <v>TRAPASCARDMD</v>
      </c>
      <c r="H47" s="18">
        <v>2030</v>
      </c>
      <c r="I47" s="18" t="str">
        <f>I46</f>
        <v>LO</v>
      </c>
      <c r="J47" s="18"/>
      <c r="K47" s="20">
        <f>-SUMIFS('TRA RESID'!$P:$P,'TRA RESID'!$I:$I,G47,'TRA RESID'!$J:$J,D47,'TRA RESID'!$H:$H,E47)/SUMIFS('TRA RESID'!$P:$P,'TRA RESID'!$I:$I,G47)*O47</f>
        <v>0</v>
      </c>
      <c r="L47" s="18"/>
      <c r="M47" s="18"/>
      <c r="O47" s="21">
        <v>0.5</v>
      </c>
      <c r="S47" s="15" t="str">
        <f>IF(S46="*",S46,"")</f>
        <v>*</v>
      </c>
      <c r="T47" s="17" t="str">
        <f t="shared" si="33"/>
        <v>*BEV*</v>
      </c>
      <c r="U47" s="17" t="str">
        <f t="shared" si="33"/>
        <v>TRAH2G</v>
      </c>
      <c r="V47" s="17" t="str">
        <f t="shared" si="33"/>
        <v>TRAPASCARDMD</v>
      </c>
      <c r="W47" s="17" t="str">
        <f t="shared" si="33"/>
        <v>TRAPASCARDMD</v>
      </c>
      <c r="X47" s="18">
        <v>2030</v>
      </c>
      <c r="Y47" s="18" t="str">
        <f>Y46</f>
        <v>LO</v>
      </c>
      <c r="Z47" s="18"/>
      <c r="AA47" s="20">
        <f>-SUMIFS('TRA RESID'!$P:$P,'TRA RESID'!$I:$I,W47,'TRA RESID'!$J:$J,T47,'TRA RESID'!$H:$H,U47)/SUMIFS('TRA RESID'!$P:$P,'TRA RESID'!$I:$I,W47)*AE47</f>
        <v>0</v>
      </c>
      <c r="AB47" s="18"/>
      <c r="AC47" s="18"/>
      <c r="AE47" s="21">
        <v>1</v>
      </c>
      <c r="AG47" s="15" t="str">
        <f>IF(AG46="*",AG46,"")</f>
        <v>*</v>
      </c>
      <c r="AH47" s="17" t="str">
        <f t="shared" si="34"/>
        <v>*HEV*</v>
      </c>
      <c r="AI47" s="17" t="str">
        <f t="shared" si="34"/>
        <v>TRAH2G</v>
      </c>
      <c r="AJ47" s="17" t="str">
        <f t="shared" si="34"/>
        <v>TRAPASCARDMD</v>
      </c>
      <c r="AK47" s="17" t="str">
        <f t="shared" si="34"/>
        <v>TRAPASCARDMD</v>
      </c>
      <c r="AL47" s="18">
        <v>2030</v>
      </c>
      <c r="AM47" s="18" t="str">
        <f>AM46</f>
        <v>LO</v>
      </c>
      <c r="AN47" s="18"/>
      <c r="AO47" s="20">
        <f>-SUMIFS('TRA RESID'!$P:$P,'TRA RESID'!$I:$I,AK47,'TRA RESID'!$J:$J,AH47,'TRA RESID'!$H:$H,AI47)/SUMIFS('TRA RESID'!$P:$P,'TRA RESID'!$I:$I,AK47)*AS47</f>
        <v>0</v>
      </c>
      <c r="AP47" s="18"/>
      <c r="AQ47" s="18"/>
      <c r="AS47" s="21">
        <v>0.5</v>
      </c>
      <c r="AU47" s="15" t="str">
        <f>IF(AU46="*",AU46,"")</f>
        <v>*</v>
      </c>
      <c r="AV47" s="17" t="str">
        <f t="shared" si="35"/>
        <v>*FCEV*</v>
      </c>
      <c r="AW47" s="17" t="str">
        <f t="shared" si="35"/>
        <v>TRAH2G</v>
      </c>
      <c r="AX47" s="17" t="str">
        <f t="shared" si="35"/>
        <v>TRAPASCARDMD</v>
      </c>
      <c r="AY47" s="17" t="str">
        <f t="shared" si="35"/>
        <v>TRAPASCARDMD</v>
      </c>
      <c r="AZ47" s="18">
        <v>2030</v>
      </c>
      <c r="BA47" s="18" t="str">
        <f>BA46</f>
        <v>LO</v>
      </c>
      <c r="BB47" s="18"/>
      <c r="BC47" s="20">
        <f>-SUMIFS('TRA RESID'!$P:$P,'TRA RESID'!$I:$I,AY47,'TRA RESID'!$J:$J,AV47,'TRA RESID'!$H:$H,AW47)/SUMIFS('TRA RESID'!$P:$P,'TRA RESID'!$I:$I,AY47)*BG47</f>
        <v>0</v>
      </c>
      <c r="BD47" s="18"/>
      <c r="BE47" s="18"/>
      <c r="BG47" s="21">
        <v>0.5</v>
      </c>
    </row>
    <row r="48" spans="1:59" x14ac:dyDescent="0.25">
      <c r="C48" s="15" t="str">
        <f>IF(C47="*",C47,"")</f>
        <v>*</v>
      </c>
      <c r="D48" s="17" t="str">
        <f t="shared" si="32"/>
        <v>*ICEV*</v>
      </c>
      <c r="E48" s="17" t="str">
        <f t="shared" si="32"/>
        <v>TRAH2G</v>
      </c>
      <c r="F48" s="17" t="str">
        <f t="shared" si="32"/>
        <v>TRAPASCARDMD</v>
      </c>
      <c r="G48" s="17" t="str">
        <f t="shared" si="32"/>
        <v>TRAPASCARDMD</v>
      </c>
      <c r="H48" s="18">
        <v>2040</v>
      </c>
      <c r="I48" s="18" t="str">
        <f>I47</f>
        <v>LO</v>
      </c>
      <c r="J48" s="18"/>
      <c r="K48" s="20">
        <f>-SUMIFS('TRA RESID'!$P:$P,'TRA RESID'!$I:$I,G48,'TRA RESID'!$J:$J,D48,'TRA RESID'!$H:$H,E48)/SUMIFS('TRA RESID'!$P:$P,'TRA RESID'!$I:$I,G48)*O48</f>
        <v>0</v>
      </c>
      <c r="L48" s="18"/>
      <c r="M48" s="18"/>
      <c r="O48" s="21">
        <v>0</v>
      </c>
      <c r="S48" s="15" t="str">
        <f>IF(S47="*",S47,"")</f>
        <v>*</v>
      </c>
      <c r="T48" s="17" t="str">
        <f t="shared" si="33"/>
        <v>*BEV*</v>
      </c>
      <c r="U48" s="17" t="str">
        <f t="shared" si="33"/>
        <v>TRAH2G</v>
      </c>
      <c r="V48" s="17" t="str">
        <f t="shared" si="33"/>
        <v>TRAPASCARDMD</v>
      </c>
      <c r="W48" s="17" t="str">
        <f t="shared" si="33"/>
        <v>TRAPASCARDMD</v>
      </c>
      <c r="X48" s="18">
        <v>2040</v>
      </c>
      <c r="Y48" s="18" t="str">
        <f>Y47</f>
        <v>LO</v>
      </c>
      <c r="Z48" s="18"/>
      <c r="AA48" s="20">
        <f>-SUMIFS('TRA RESID'!$P:$P,'TRA RESID'!$I:$I,W48,'TRA RESID'!$J:$J,T48,'TRA RESID'!$H:$H,U48)/SUMIFS('TRA RESID'!$P:$P,'TRA RESID'!$I:$I,W48)*AE48</f>
        <v>0</v>
      </c>
      <c r="AB48" s="18"/>
      <c r="AC48" s="18"/>
      <c r="AE48" s="21">
        <v>1</v>
      </c>
      <c r="AG48" s="15" t="str">
        <f>IF(AG47="*",AG47,"")</f>
        <v>*</v>
      </c>
      <c r="AH48" s="17" t="str">
        <f t="shared" si="34"/>
        <v>*HEV*</v>
      </c>
      <c r="AI48" s="17" t="str">
        <f t="shared" si="34"/>
        <v>TRAH2G</v>
      </c>
      <c r="AJ48" s="17" t="str">
        <f t="shared" si="34"/>
        <v>TRAPASCARDMD</v>
      </c>
      <c r="AK48" s="17" t="str">
        <f t="shared" si="34"/>
        <v>TRAPASCARDMD</v>
      </c>
      <c r="AL48" s="18">
        <v>2040</v>
      </c>
      <c r="AM48" s="18" t="str">
        <f>AM47</f>
        <v>LO</v>
      </c>
      <c r="AN48" s="18"/>
      <c r="AO48" s="20">
        <f>-SUMIFS('TRA RESID'!$P:$P,'TRA RESID'!$I:$I,AK48,'TRA RESID'!$J:$J,AH48,'TRA RESID'!$H:$H,AI48)/SUMIFS('TRA RESID'!$P:$P,'TRA RESID'!$I:$I,AK48)*AS48</f>
        <v>0</v>
      </c>
      <c r="AP48" s="18"/>
      <c r="AQ48" s="18"/>
      <c r="AS48" s="21">
        <v>0</v>
      </c>
      <c r="AU48" s="15" t="str">
        <f>IF(AU47="*",AU47,"")</f>
        <v>*</v>
      </c>
      <c r="AV48" s="17" t="str">
        <f t="shared" si="35"/>
        <v>*FCEV*</v>
      </c>
      <c r="AW48" s="17" t="str">
        <f t="shared" si="35"/>
        <v>TRAH2G</v>
      </c>
      <c r="AX48" s="17" t="str">
        <f t="shared" si="35"/>
        <v>TRAPASCARDMD</v>
      </c>
      <c r="AY48" s="17" t="str">
        <f t="shared" si="35"/>
        <v>TRAPASCARDMD</v>
      </c>
      <c r="AZ48" s="18">
        <v>2040</v>
      </c>
      <c r="BA48" s="18" t="str">
        <f>BA47</f>
        <v>LO</v>
      </c>
      <c r="BB48" s="18"/>
      <c r="BC48" s="20">
        <f>-SUMIFS('TRA RESID'!$P:$P,'TRA RESID'!$I:$I,AY48,'TRA RESID'!$J:$J,AV48,'TRA RESID'!$H:$H,AW48)/SUMIFS('TRA RESID'!$P:$P,'TRA RESID'!$I:$I,AY48)*BG48</f>
        <v>0</v>
      </c>
      <c r="BD48" s="18"/>
      <c r="BE48" s="18"/>
      <c r="BG48" s="21">
        <v>0</v>
      </c>
    </row>
    <row r="49" spans="1:59" x14ac:dyDescent="0.25">
      <c r="C49" s="23" t="str">
        <f>IF(C48="*",C48,"")</f>
        <v>*</v>
      </c>
      <c r="D49" s="25" t="str">
        <f t="shared" si="32"/>
        <v>*ICEV*</v>
      </c>
      <c r="E49" s="25" t="str">
        <f t="shared" si="32"/>
        <v>TRAH2G</v>
      </c>
      <c r="F49" s="25" t="str">
        <f t="shared" si="32"/>
        <v>TRAPASCARDMD</v>
      </c>
      <c r="G49" s="25" t="str">
        <f t="shared" si="32"/>
        <v>TRAPASCARDMD</v>
      </c>
      <c r="H49" s="26">
        <v>2050</v>
      </c>
      <c r="I49" s="26" t="str">
        <f>I47</f>
        <v>LO</v>
      </c>
      <c r="J49" s="26"/>
      <c r="K49" s="27">
        <f>-SUMIFS('TRA RESID'!$P:$P,'TRA RESID'!$I:$I,G49,'TRA RESID'!$J:$J,D49,'TRA RESID'!$H:$H,E49)/SUMIFS('TRA RESID'!$P:$P,'TRA RESID'!$I:$I,G49)*O49</f>
        <v>0</v>
      </c>
      <c r="L49" s="26"/>
      <c r="M49" s="26"/>
      <c r="O49" s="28">
        <v>0</v>
      </c>
      <c r="S49" s="23" t="str">
        <f>IF(S48="*",S48,"")</f>
        <v>*</v>
      </c>
      <c r="T49" s="25" t="str">
        <f t="shared" si="33"/>
        <v>*BEV*</v>
      </c>
      <c r="U49" s="25" t="str">
        <f t="shared" si="33"/>
        <v>TRAH2G</v>
      </c>
      <c r="V49" s="25" t="str">
        <f t="shared" si="33"/>
        <v>TRAPASCARDMD</v>
      </c>
      <c r="W49" s="25" t="str">
        <f t="shared" si="33"/>
        <v>TRAPASCARDMD</v>
      </c>
      <c r="X49" s="26">
        <v>2050</v>
      </c>
      <c r="Y49" s="26" t="str">
        <f>Y47</f>
        <v>LO</v>
      </c>
      <c r="Z49" s="26"/>
      <c r="AA49" s="27">
        <f>-SUMIFS('TRA RESID'!$P:$P,'TRA RESID'!$I:$I,W49,'TRA RESID'!$J:$J,T49,'TRA RESID'!$H:$H,U49)/SUMIFS('TRA RESID'!$P:$P,'TRA RESID'!$I:$I,W49)*AE49</f>
        <v>0</v>
      </c>
      <c r="AB49" s="26"/>
      <c r="AC49" s="26"/>
      <c r="AE49" s="28">
        <v>1</v>
      </c>
      <c r="AG49" s="23" t="str">
        <f>IF(AG48="*",AG48,"")</f>
        <v>*</v>
      </c>
      <c r="AH49" s="25" t="str">
        <f t="shared" si="34"/>
        <v>*HEV*</v>
      </c>
      <c r="AI49" s="25" t="str">
        <f t="shared" si="34"/>
        <v>TRAH2G</v>
      </c>
      <c r="AJ49" s="25" t="str">
        <f t="shared" si="34"/>
        <v>TRAPASCARDMD</v>
      </c>
      <c r="AK49" s="25" t="str">
        <f t="shared" si="34"/>
        <v>TRAPASCARDMD</v>
      </c>
      <c r="AL49" s="26">
        <v>2050</v>
      </c>
      <c r="AM49" s="26" t="str">
        <f>AM47</f>
        <v>LO</v>
      </c>
      <c r="AN49" s="26"/>
      <c r="AO49" s="27">
        <f>-SUMIFS('TRA RESID'!$P:$P,'TRA RESID'!$I:$I,AK49,'TRA RESID'!$J:$J,AH49,'TRA RESID'!$H:$H,AI49)/SUMIFS('TRA RESID'!$P:$P,'TRA RESID'!$I:$I,AK49)*AS49</f>
        <v>0</v>
      </c>
      <c r="AP49" s="26"/>
      <c r="AQ49" s="26"/>
      <c r="AS49" s="28">
        <v>0</v>
      </c>
      <c r="AU49" s="23" t="str">
        <f>IF(AU48="*",AU48,"")</f>
        <v>*</v>
      </c>
      <c r="AV49" s="25" t="str">
        <f t="shared" si="35"/>
        <v>*FCEV*</v>
      </c>
      <c r="AW49" s="25" t="str">
        <f t="shared" si="35"/>
        <v>TRAH2G</v>
      </c>
      <c r="AX49" s="25" t="str">
        <f t="shared" si="35"/>
        <v>TRAPASCARDMD</v>
      </c>
      <c r="AY49" s="25" t="str">
        <f t="shared" si="35"/>
        <v>TRAPASCARDMD</v>
      </c>
      <c r="AZ49" s="26">
        <v>2050</v>
      </c>
      <c r="BA49" s="26" t="str">
        <f>BA47</f>
        <v>LO</v>
      </c>
      <c r="BB49" s="26"/>
      <c r="BC49" s="27">
        <f>-SUMIFS('TRA RESID'!$P:$P,'TRA RESID'!$I:$I,AY49,'TRA RESID'!$J:$J,AV49,'TRA RESID'!$H:$H,AW49)/SUMIFS('TRA RESID'!$P:$P,'TRA RESID'!$I:$I,AY49)*BG49</f>
        <v>0</v>
      </c>
      <c r="BD49" s="26"/>
      <c r="BE49" s="26"/>
      <c r="BG49" s="28">
        <v>0</v>
      </c>
    </row>
    <row r="50" spans="1:59" x14ac:dyDescent="0.25">
      <c r="A50">
        <f>A45+1</f>
        <v>10</v>
      </c>
      <c r="C50" s="15" t="str">
        <f>IF(E50="","",IF(_xlfn.XLOOKUP($A50,Selected_constraint!$A:$A,Selected_constraint!$D:$D)=1,"*",IF(SUMIFS('TRA TECH'!$M:$M,'TRA TECH'!$H:$H,E50,'TRA TECH'!$I:$I,F50)=0,"*",IF(SUMIFS('TRA RESID'!$P:$P,'TRA RESID'!$I:$I,G50,'TRA RESID'!$J:$J,D50,'TRA RESID'!$H:$H,E50)=0,"*","UC_"&amp;SUBSTITUTE(D50,"*","")&amp;"_"&amp;RIGHT(E50,3)&amp;"_"&amp;F50))))</f>
        <v>*</v>
      </c>
      <c r="D50" s="17" t="s">
        <v>485</v>
      </c>
      <c r="E50" s="17" t="str">
        <f>_xlfn.XLOOKUP($A50,Selected_constraint!$A:$A,Selected_constraint!$B:$B)</f>
        <v>TRAGSL</v>
      </c>
      <c r="F50" s="17" t="str">
        <f>_xlfn.XLOOKUP($A50,Selected_constraint!$A:$A,Selected_constraint!$C:$C)</f>
        <v>TRAPASLDTDMD</v>
      </c>
      <c r="G50" s="17" t="str">
        <f>F50</f>
        <v>TRAPASLDTDMD</v>
      </c>
      <c r="H50" s="18">
        <v>2019</v>
      </c>
      <c r="I50" s="18" t="s">
        <v>483</v>
      </c>
      <c r="J50" s="18">
        <v>1</v>
      </c>
      <c r="K50" s="20" t="e">
        <f>-SUMIFS('TRA RESID'!$P:$P,'TRA RESID'!$I:$I,G50,'TRA RESID'!$J:$J,D50,'TRA RESID'!$H:$H,E50)/SUMIFS('TRA RESID'!$P:$P,'TRA RESID'!$I:$I,G50)*O50</f>
        <v>#DIV/0!</v>
      </c>
      <c r="L50" s="18">
        <v>0</v>
      </c>
      <c r="M50" s="18">
        <v>5</v>
      </c>
      <c r="O50" s="21">
        <v>0.98</v>
      </c>
      <c r="Q50">
        <f>Q45+1</f>
        <v>10</v>
      </c>
      <c r="S50" s="15" t="str">
        <f>IF(SUMIFS('TRA RESID'!$P:$P,'TRA RESID'!$I:$I,W50,'TRA RESID'!$J:$J,T50,'TRA RESID'!$H:$H,U50)=0,"*","UC_"&amp;SUBSTITUTE(T50,"*","")&amp;"_"&amp;RIGHT(U50,3)&amp;"_"&amp;V50)</f>
        <v>*</v>
      </c>
      <c r="T50" s="17" t="s">
        <v>486</v>
      </c>
      <c r="U50" s="17" t="str">
        <f>_xlfn.XLOOKUP($A50,Selected_constraint!$A:$A,Selected_constraint!$B:$B)</f>
        <v>TRAGSL</v>
      </c>
      <c r="V50" s="17" t="str">
        <f>_xlfn.XLOOKUP($A50,Selected_constraint!$A:$A,Selected_constraint!$C:$C)</f>
        <v>TRAPASLDTDMD</v>
      </c>
      <c r="W50" s="17" t="str">
        <f>V50</f>
        <v>TRAPASLDTDMD</v>
      </c>
      <c r="X50" s="18">
        <v>2019</v>
      </c>
      <c r="Y50" s="18" t="s">
        <v>483</v>
      </c>
      <c r="Z50" s="18">
        <v>1</v>
      </c>
      <c r="AA50" s="20" t="e">
        <f>-SUMIFS('TRA RESID'!$P:$P,'TRA RESID'!$I:$I,W50,'TRA RESID'!$J:$J,T50,'TRA RESID'!$H:$H,U50)/SUMIFS('TRA RESID'!$P:$P,'TRA RESID'!$I:$I,W50)*AE50</f>
        <v>#DIV/0!</v>
      </c>
      <c r="AB50" s="18">
        <v>0</v>
      </c>
      <c r="AC50" s="18">
        <v>5</v>
      </c>
      <c r="AE50" s="21">
        <v>0.98</v>
      </c>
      <c r="AG50" s="15" t="str">
        <f>IF(SUMIFS('TRA RESID'!$P:$P,'TRA RESID'!$I:$I,AK50,'TRA RESID'!$J:$J,AH50,'TRA RESID'!$H:$H,AI50)=0,"*","UC_"&amp;SUBSTITUTE(AH50,"*","")&amp;"_"&amp;RIGHT(AI50,3)&amp;"_"&amp;AJ50)</f>
        <v>*</v>
      </c>
      <c r="AH50" s="17" t="s">
        <v>487</v>
      </c>
      <c r="AI50" s="17" t="str">
        <f>_xlfn.XLOOKUP($A50,Selected_constraint!$A:$A,Selected_constraint!$B:$B)</f>
        <v>TRAGSL</v>
      </c>
      <c r="AJ50" s="17" t="str">
        <f>_xlfn.XLOOKUP($A50,Selected_constraint!$A:$A,Selected_constraint!$C:$C)</f>
        <v>TRAPASLDTDMD</v>
      </c>
      <c r="AK50" s="17" t="str">
        <f>AJ50</f>
        <v>TRAPASLDTDMD</v>
      </c>
      <c r="AL50" s="18">
        <v>2019</v>
      </c>
      <c r="AM50" s="18" t="s">
        <v>483</v>
      </c>
      <c r="AN50" s="18">
        <v>1</v>
      </c>
      <c r="AO50" s="20" t="e">
        <f>-SUMIFS('TRA RESID'!$P:$P,'TRA RESID'!$I:$I,AK50,'TRA RESID'!$J:$J,AH50,'TRA RESID'!$H:$H,AI50)/SUMIFS('TRA RESID'!$P:$P,'TRA RESID'!$I:$I,AK50)*AS50</f>
        <v>#DIV/0!</v>
      </c>
      <c r="AP50" s="18">
        <v>0</v>
      </c>
      <c r="AQ50" s="18">
        <v>5</v>
      </c>
      <c r="AS50" s="21">
        <v>0.98</v>
      </c>
      <c r="AU50" s="15" t="str">
        <f>IF(SUMIFS('TRA RESID'!$P:$P,'TRA RESID'!$I:$I,AY50,'TRA RESID'!$J:$J,AV50,'TRA RESID'!$H:$H,AW50)=0,"*","UC_"&amp;SUBSTITUTE(AV50,"*","")&amp;"_"&amp;RIGHT(AW50,3)&amp;"_"&amp;AX50)</f>
        <v>*</v>
      </c>
      <c r="AV50" s="17" t="s">
        <v>488</v>
      </c>
      <c r="AW50" s="17" t="str">
        <f>_xlfn.XLOOKUP($A50,Selected_constraint!$A:$A,Selected_constraint!$B:$B)</f>
        <v>TRAGSL</v>
      </c>
      <c r="AX50" s="17" t="str">
        <f>_xlfn.XLOOKUP($A50,Selected_constraint!$A:$A,Selected_constraint!$C:$C)</f>
        <v>TRAPASLDTDMD</v>
      </c>
      <c r="AY50" s="17" t="str">
        <f>AX50</f>
        <v>TRAPASLDTDMD</v>
      </c>
      <c r="AZ50" s="18">
        <v>2019</v>
      </c>
      <c r="BA50" s="18" t="s">
        <v>483</v>
      </c>
      <c r="BB50" s="18">
        <v>1</v>
      </c>
      <c r="BC50" s="20" t="e">
        <f>-SUMIFS('TRA RESID'!$P:$P,'TRA RESID'!$I:$I,AY50,'TRA RESID'!$J:$J,AV50,'TRA RESID'!$H:$H,AW50)/SUMIFS('TRA RESID'!$P:$P,'TRA RESID'!$I:$I,AY50)*BG50</f>
        <v>#DIV/0!</v>
      </c>
      <c r="BD50" s="18">
        <v>0</v>
      </c>
      <c r="BE50" s="18">
        <v>5</v>
      </c>
      <c r="BG50" s="21">
        <v>0.98</v>
      </c>
    </row>
    <row r="51" spans="1:59" x14ac:dyDescent="0.25">
      <c r="C51" s="15" t="str">
        <f>IF(C50="*",C50,"")</f>
        <v>*</v>
      </c>
      <c r="D51" s="17" t="str">
        <f t="shared" ref="D51:G54" si="36">D50</f>
        <v>*ICEV*</v>
      </c>
      <c r="E51" s="17" t="str">
        <f t="shared" si="36"/>
        <v>TRAGSL</v>
      </c>
      <c r="F51" s="17" t="str">
        <f t="shared" si="36"/>
        <v>TRAPASLDTDMD</v>
      </c>
      <c r="G51" s="17" t="str">
        <f t="shared" si="36"/>
        <v>TRAPASLDTDMD</v>
      </c>
      <c r="H51" s="18">
        <v>2025</v>
      </c>
      <c r="I51" s="18" t="str">
        <f>I50</f>
        <v>LO</v>
      </c>
      <c r="J51" s="18"/>
      <c r="K51" s="20" t="e">
        <f>-SUMIFS('TRA RESID'!$P:$P,'TRA RESID'!$I:$I,G51,'TRA RESID'!$J:$J,D51,'TRA RESID'!$H:$H,E51)/SUMIFS('TRA RESID'!$P:$P,'TRA RESID'!$I:$I,G51)*O51</f>
        <v>#DIV/0!</v>
      </c>
      <c r="L51" s="18"/>
      <c r="M51" s="18"/>
      <c r="O51" s="21">
        <v>0.8</v>
      </c>
      <c r="S51" s="15" t="str">
        <f>IF(S50="*",S50,"")</f>
        <v>*</v>
      </c>
      <c r="T51" s="17" t="str">
        <f t="shared" ref="T51:W54" si="37">T50</f>
        <v>*BEV*</v>
      </c>
      <c r="U51" s="17" t="str">
        <f t="shared" si="37"/>
        <v>TRAGSL</v>
      </c>
      <c r="V51" s="17" t="str">
        <f t="shared" si="37"/>
        <v>TRAPASLDTDMD</v>
      </c>
      <c r="W51" s="17" t="str">
        <f t="shared" si="37"/>
        <v>TRAPASLDTDMD</v>
      </c>
      <c r="X51" s="18">
        <v>2025</v>
      </c>
      <c r="Y51" s="18" t="str">
        <f>Y50</f>
        <v>LO</v>
      </c>
      <c r="Z51" s="18"/>
      <c r="AA51" s="20" t="e">
        <f>-SUMIFS('TRA RESID'!$P:$P,'TRA RESID'!$I:$I,W51,'TRA RESID'!$J:$J,T51,'TRA RESID'!$H:$H,U51)/SUMIFS('TRA RESID'!$P:$P,'TRA RESID'!$I:$I,W51)*AE51</f>
        <v>#DIV/0!</v>
      </c>
      <c r="AB51" s="18"/>
      <c r="AC51" s="18"/>
      <c r="AE51" s="21">
        <v>1</v>
      </c>
      <c r="AG51" s="15" t="str">
        <f>IF(AG50="*",AG50,"")</f>
        <v>*</v>
      </c>
      <c r="AH51" s="17" t="str">
        <f t="shared" ref="AH51:AK54" si="38">AH50</f>
        <v>*HEV*</v>
      </c>
      <c r="AI51" s="17" t="str">
        <f t="shared" si="38"/>
        <v>TRAGSL</v>
      </c>
      <c r="AJ51" s="17" t="str">
        <f t="shared" si="38"/>
        <v>TRAPASLDTDMD</v>
      </c>
      <c r="AK51" s="17" t="str">
        <f t="shared" si="38"/>
        <v>TRAPASLDTDMD</v>
      </c>
      <c r="AL51" s="18">
        <v>2025</v>
      </c>
      <c r="AM51" s="18" t="str">
        <f>AM50</f>
        <v>LO</v>
      </c>
      <c r="AN51" s="18"/>
      <c r="AO51" s="20" t="e">
        <f>-SUMIFS('TRA RESID'!$P:$P,'TRA RESID'!$I:$I,AK51,'TRA RESID'!$J:$J,AH51,'TRA RESID'!$H:$H,AI51)/SUMIFS('TRA RESID'!$P:$P,'TRA RESID'!$I:$I,AK51)*AS51</f>
        <v>#DIV/0!</v>
      </c>
      <c r="AP51" s="18"/>
      <c r="AQ51" s="18"/>
      <c r="AS51" s="21">
        <v>0.8</v>
      </c>
      <c r="AU51" s="15" t="str">
        <f>IF(AU50="*",AU50,"")</f>
        <v>*</v>
      </c>
      <c r="AV51" s="17" t="str">
        <f t="shared" ref="AV51:AY54" si="39">AV50</f>
        <v>*FCEV*</v>
      </c>
      <c r="AW51" s="17" t="str">
        <f t="shared" si="39"/>
        <v>TRAGSL</v>
      </c>
      <c r="AX51" s="17" t="str">
        <f t="shared" si="39"/>
        <v>TRAPASLDTDMD</v>
      </c>
      <c r="AY51" s="17" t="str">
        <f t="shared" si="39"/>
        <v>TRAPASLDTDMD</v>
      </c>
      <c r="AZ51" s="18">
        <v>2025</v>
      </c>
      <c r="BA51" s="18" t="str">
        <f>BA50</f>
        <v>LO</v>
      </c>
      <c r="BB51" s="18"/>
      <c r="BC51" s="20" t="e">
        <f>-SUMIFS('TRA RESID'!$P:$P,'TRA RESID'!$I:$I,AY51,'TRA RESID'!$J:$J,AV51,'TRA RESID'!$H:$H,AW51)/SUMIFS('TRA RESID'!$P:$P,'TRA RESID'!$I:$I,AY51)*BG51</f>
        <v>#DIV/0!</v>
      </c>
      <c r="BD51" s="18"/>
      <c r="BE51" s="18"/>
      <c r="BG51" s="21">
        <v>0.8</v>
      </c>
    </row>
    <row r="52" spans="1:59" x14ac:dyDescent="0.25">
      <c r="C52" s="15" t="str">
        <f>IF(C51="*",C51,"")</f>
        <v>*</v>
      </c>
      <c r="D52" s="17" t="str">
        <f t="shared" si="36"/>
        <v>*ICEV*</v>
      </c>
      <c r="E52" s="17" t="str">
        <f t="shared" si="36"/>
        <v>TRAGSL</v>
      </c>
      <c r="F52" s="17" t="str">
        <f t="shared" si="36"/>
        <v>TRAPASLDTDMD</v>
      </c>
      <c r="G52" s="17" t="str">
        <f t="shared" si="36"/>
        <v>TRAPASLDTDMD</v>
      </c>
      <c r="H52" s="18">
        <v>2030</v>
      </c>
      <c r="I52" s="18" t="str">
        <f>I51</f>
        <v>LO</v>
      </c>
      <c r="J52" s="18"/>
      <c r="K52" s="20" t="e">
        <f>-SUMIFS('TRA RESID'!$P:$P,'TRA RESID'!$I:$I,G52,'TRA RESID'!$J:$J,D52,'TRA RESID'!$H:$H,E52)/SUMIFS('TRA RESID'!$P:$P,'TRA RESID'!$I:$I,G52)*O52</f>
        <v>#DIV/0!</v>
      </c>
      <c r="L52" s="18"/>
      <c r="M52" s="18"/>
      <c r="O52" s="21">
        <v>0.5</v>
      </c>
      <c r="S52" s="15" t="str">
        <f>IF(S51="*",S51,"")</f>
        <v>*</v>
      </c>
      <c r="T52" s="17" t="str">
        <f t="shared" si="37"/>
        <v>*BEV*</v>
      </c>
      <c r="U52" s="17" t="str">
        <f t="shared" si="37"/>
        <v>TRAGSL</v>
      </c>
      <c r="V52" s="17" t="str">
        <f t="shared" si="37"/>
        <v>TRAPASLDTDMD</v>
      </c>
      <c r="W52" s="17" t="str">
        <f t="shared" si="37"/>
        <v>TRAPASLDTDMD</v>
      </c>
      <c r="X52" s="18">
        <v>2030</v>
      </c>
      <c r="Y52" s="18" t="str">
        <f>Y51</f>
        <v>LO</v>
      </c>
      <c r="Z52" s="18"/>
      <c r="AA52" s="20" t="e">
        <f>-SUMIFS('TRA RESID'!$P:$P,'TRA RESID'!$I:$I,W52,'TRA RESID'!$J:$J,T52,'TRA RESID'!$H:$H,U52)/SUMIFS('TRA RESID'!$P:$P,'TRA RESID'!$I:$I,W52)*AE52</f>
        <v>#DIV/0!</v>
      </c>
      <c r="AB52" s="18"/>
      <c r="AC52" s="18"/>
      <c r="AE52" s="21">
        <v>1</v>
      </c>
      <c r="AG52" s="15" t="str">
        <f>IF(AG51="*",AG51,"")</f>
        <v>*</v>
      </c>
      <c r="AH52" s="17" t="str">
        <f t="shared" si="38"/>
        <v>*HEV*</v>
      </c>
      <c r="AI52" s="17" t="str">
        <f t="shared" si="38"/>
        <v>TRAGSL</v>
      </c>
      <c r="AJ52" s="17" t="str">
        <f t="shared" si="38"/>
        <v>TRAPASLDTDMD</v>
      </c>
      <c r="AK52" s="17" t="str">
        <f t="shared" si="38"/>
        <v>TRAPASLDTDMD</v>
      </c>
      <c r="AL52" s="18">
        <v>2030</v>
      </c>
      <c r="AM52" s="18" t="str">
        <f>AM51</f>
        <v>LO</v>
      </c>
      <c r="AN52" s="18"/>
      <c r="AO52" s="20" t="e">
        <f>-SUMIFS('TRA RESID'!$P:$P,'TRA RESID'!$I:$I,AK52,'TRA RESID'!$J:$J,AH52,'TRA RESID'!$H:$H,AI52)/SUMIFS('TRA RESID'!$P:$P,'TRA RESID'!$I:$I,AK52)*AS52</f>
        <v>#DIV/0!</v>
      </c>
      <c r="AP52" s="18"/>
      <c r="AQ52" s="18"/>
      <c r="AS52" s="21">
        <v>0.5</v>
      </c>
      <c r="AU52" s="15" t="str">
        <f>IF(AU51="*",AU51,"")</f>
        <v>*</v>
      </c>
      <c r="AV52" s="17" t="str">
        <f t="shared" si="39"/>
        <v>*FCEV*</v>
      </c>
      <c r="AW52" s="17" t="str">
        <f t="shared" si="39"/>
        <v>TRAGSL</v>
      </c>
      <c r="AX52" s="17" t="str">
        <f t="shared" si="39"/>
        <v>TRAPASLDTDMD</v>
      </c>
      <c r="AY52" s="17" t="str">
        <f t="shared" si="39"/>
        <v>TRAPASLDTDMD</v>
      </c>
      <c r="AZ52" s="18">
        <v>2030</v>
      </c>
      <c r="BA52" s="18" t="str">
        <f>BA51</f>
        <v>LO</v>
      </c>
      <c r="BB52" s="18"/>
      <c r="BC52" s="20" t="e">
        <f>-SUMIFS('TRA RESID'!$P:$P,'TRA RESID'!$I:$I,AY52,'TRA RESID'!$J:$J,AV52,'TRA RESID'!$H:$H,AW52)/SUMIFS('TRA RESID'!$P:$P,'TRA RESID'!$I:$I,AY52)*BG52</f>
        <v>#DIV/0!</v>
      </c>
      <c r="BD52" s="18"/>
      <c r="BE52" s="18"/>
      <c r="BG52" s="21">
        <v>0.5</v>
      </c>
    </row>
    <row r="53" spans="1:59" x14ac:dyDescent="0.25">
      <c r="C53" s="15" t="str">
        <f>IF(C52="*",C52,"")</f>
        <v>*</v>
      </c>
      <c r="D53" s="17" t="str">
        <f t="shared" si="36"/>
        <v>*ICEV*</v>
      </c>
      <c r="E53" s="17" t="str">
        <f t="shared" si="36"/>
        <v>TRAGSL</v>
      </c>
      <c r="F53" s="17" t="str">
        <f t="shared" si="36"/>
        <v>TRAPASLDTDMD</v>
      </c>
      <c r="G53" s="17" t="str">
        <f t="shared" si="36"/>
        <v>TRAPASLDTDMD</v>
      </c>
      <c r="H53" s="18">
        <v>2040</v>
      </c>
      <c r="I53" s="18" t="str">
        <f>I52</f>
        <v>LO</v>
      </c>
      <c r="J53" s="18"/>
      <c r="K53" s="20" t="e">
        <f>-SUMIFS('TRA RESID'!$P:$P,'TRA RESID'!$I:$I,G53,'TRA RESID'!$J:$J,D53,'TRA RESID'!$H:$H,E53)/SUMIFS('TRA RESID'!$P:$P,'TRA RESID'!$I:$I,G53)*O53</f>
        <v>#DIV/0!</v>
      </c>
      <c r="L53" s="18"/>
      <c r="M53" s="18"/>
      <c r="O53" s="21">
        <v>0</v>
      </c>
      <c r="S53" s="15" t="str">
        <f>IF(S52="*",S52,"")</f>
        <v>*</v>
      </c>
      <c r="T53" s="17" t="str">
        <f t="shared" si="37"/>
        <v>*BEV*</v>
      </c>
      <c r="U53" s="17" t="str">
        <f t="shared" si="37"/>
        <v>TRAGSL</v>
      </c>
      <c r="V53" s="17" t="str">
        <f t="shared" si="37"/>
        <v>TRAPASLDTDMD</v>
      </c>
      <c r="W53" s="17" t="str">
        <f t="shared" si="37"/>
        <v>TRAPASLDTDMD</v>
      </c>
      <c r="X53" s="18">
        <v>2040</v>
      </c>
      <c r="Y53" s="18" t="str">
        <f>Y52</f>
        <v>LO</v>
      </c>
      <c r="Z53" s="18"/>
      <c r="AA53" s="20" t="e">
        <f>-SUMIFS('TRA RESID'!$P:$P,'TRA RESID'!$I:$I,W53,'TRA RESID'!$J:$J,T53,'TRA RESID'!$H:$H,U53)/SUMIFS('TRA RESID'!$P:$P,'TRA RESID'!$I:$I,W53)*AE53</f>
        <v>#DIV/0!</v>
      </c>
      <c r="AB53" s="18"/>
      <c r="AC53" s="18"/>
      <c r="AE53" s="21">
        <v>1</v>
      </c>
      <c r="AG53" s="15" t="str">
        <f>IF(AG52="*",AG52,"")</f>
        <v>*</v>
      </c>
      <c r="AH53" s="17" t="str">
        <f t="shared" si="38"/>
        <v>*HEV*</v>
      </c>
      <c r="AI53" s="17" t="str">
        <f t="shared" si="38"/>
        <v>TRAGSL</v>
      </c>
      <c r="AJ53" s="17" t="str">
        <f t="shared" si="38"/>
        <v>TRAPASLDTDMD</v>
      </c>
      <c r="AK53" s="17" t="str">
        <f t="shared" si="38"/>
        <v>TRAPASLDTDMD</v>
      </c>
      <c r="AL53" s="18">
        <v>2040</v>
      </c>
      <c r="AM53" s="18" t="str">
        <f>AM52</f>
        <v>LO</v>
      </c>
      <c r="AN53" s="18"/>
      <c r="AO53" s="20" t="e">
        <f>-SUMIFS('TRA RESID'!$P:$P,'TRA RESID'!$I:$I,AK53,'TRA RESID'!$J:$J,AH53,'TRA RESID'!$H:$H,AI53)/SUMIFS('TRA RESID'!$P:$P,'TRA RESID'!$I:$I,AK53)*AS53</f>
        <v>#DIV/0!</v>
      </c>
      <c r="AP53" s="18"/>
      <c r="AQ53" s="18"/>
      <c r="AS53" s="21">
        <v>0</v>
      </c>
      <c r="AU53" s="15" t="str">
        <f>IF(AU52="*",AU52,"")</f>
        <v>*</v>
      </c>
      <c r="AV53" s="17" t="str">
        <f t="shared" si="39"/>
        <v>*FCEV*</v>
      </c>
      <c r="AW53" s="17" t="str">
        <f t="shared" si="39"/>
        <v>TRAGSL</v>
      </c>
      <c r="AX53" s="17" t="str">
        <f t="shared" si="39"/>
        <v>TRAPASLDTDMD</v>
      </c>
      <c r="AY53" s="17" t="str">
        <f t="shared" si="39"/>
        <v>TRAPASLDTDMD</v>
      </c>
      <c r="AZ53" s="18">
        <v>2040</v>
      </c>
      <c r="BA53" s="18" t="str">
        <f>BA52</f>
        <v>LO</v>
      </c>
      <c r="BB53" s="18"/>
      <c r="BC53" s="20" t="e">
        <f>-SUMIFS('TRA RESID'!$P:$P,'TRA RESID'!$I:$I,AY53,'TRA RESID'!$J:$J,AV53,'TRA RESID'!$H:$H,AW53)/SUMIFS('TRA RESID'!$P:$P,'TRA RESID'!$I:$I,AY53)*BG53</f>
        <v>#DIV/0!</v>
      </c>
      <c r="BD53" s="18"/>
      <c r="BE53" s="18"/>
      <c r="BG53" s="21">
        <v>0</v>
      </c>
    </row>
    <row r="54" spans="1:59" x14ac:dyDescent="0.25">
      <c r="C54" s="23" t="str">
        <f>IF(C53="*",C53,"")</f>
        <v>*</v>
      </c>
      <c r="D54" s="25" t="str">
        <f t="shared" si="36"/>
        <v>*ICEV*</v>
      </c>
      <c r="E54" s="25" t="str">
        <f t="shared" si="36"/>
        <v>TRAGSL</v>
      </c>
      <c r="F54" s="25" t="str">
        <f t="shared" si="36"/>
        <v>TRAPASLDTDMD</v>
      </c>
      <c r="G54" s="25" t="str">
        <f t="shared" si="36"/>
        <v>TRAPASLDTDMD</v>
      </c>
      <c r="H54" s="26">
        <v>2050</v>
      </c>
      <c r="I54" s="26" t="str">
        <f>I52</f>
        <v>LO</v>
      </c>
      <c r="J54" s="26"/>
      <c r="K54" s="27" t="e">
        <f>-SUMIFS('TRA RESID'!$P:$P,'TRA RESID'!$I:$I,G54,'TRA RESID'!$J:$J,D54,'TRA RESID'!$H:$H,E54)/SUMIFS('TRA RESID'!$P:$P,'TRA RESID'!$I:$I,G54)*O54</f>
        <v>#DIV/0!</v>
      </c>
      <c r="L54" s="26"/>
      <c r="M54" s="26"/>
      <c r="O54" s="28">
        <v>0</v>
      </c>
      <c r="S54" s="23" t="str">
        <f>IF(S53="*",S53,"")</f>
        <v>*</v>
      </c>
      <c r="T54" s="25" t="str">
        <f t="shared" si="37"/>
        <v>*BEV*</v>
      </c>
      <c r="U54" s="25" t="str">
        <f t="shared" si="37"/>
        <v>TRAGSL</v>
      </c>
      <c r="V54" s="25" t="str">
        <f t="shared" si="37"/>
        <v>TRAPASLDTDMD</v>
      </c>
      <c r="W54" s="25" t="str">
        <f t="shared" si="37"/>
        <v>TRAPASLDTDMD</v>
      </c>
      <c r="X54" s="26">
        <v>2050</v>
      </c>
      <c r="Y54" s="26" t="str">
        <f>Y52</f>
        <v>LO</v>
      </c>
      <c r="Z54" s="26"/>
      <c r="AA54" s="27" t="e">
        <f>-SUMIFS('TRA RESID'!$P:$P,'TRA RESID'!$I:$I,W54,'TRA RESID'!$J:$J,T54,'TRA RESID'!$H:$H,U54)/SUMIFS('TRA RESID'!$P:$P,'TRA RESID'!$I:$I,W54)*AE54</f>
        <v>#DIV/0!</v>
      </c>
      <c r="AB54" s="26"/>
      <c r="AC54" s="26"/>
      <c r="AE54" s="28">
        <v>1</v>
      </c>
      <c r="AG54" s="23" t="str">
        <f>IF(AG53="*",AG53,"")</f>
        <v>*</v>
      </c>
      <c r="AH54" s="25" t="str">
        <f t="shared" si="38"/>
        <v>*HEV*</v>
      </c>
      <c r="AI54" s="25" t="str">
        <f t="shared" si="38"/>
        <v>TRAGSL</v>
      </c>
      <c r="AJ54" s="25" t="str">
        <f t="shared" si="38"/>
        <v>TRAPASLDTDMD</v>
      </c>
      <c r="AK54" s="25" t="str">
        <f t="shared" si="38"/>
        <v>TRAPASLDTDMD</v>
      </c>
      <c r="AL54" s="26">
        <v>2050</v>
      </c>
      <c r="AM54" s="26" t="str">
        <f>AM52</f>
        <v>LO</v>
      </c>
      <c r="AN54" s="26"/>
      <c r="AO54" s="27" t="e">
        <f>-SUMIFS('TRA RESID'!$P:$P,'TRA RESID'!$I:$I,AK54,'TRA RESID'!$J:$J,AH54,'TRA RESID'!$H:$H,AI54)/SUMIFS('TRA RESID'!$P:$P,'TRA RESID'!$I:$I,AK54)*AS54</f>
        <v>#DIV/0!</v>
      </c>
      <c r="AP54" s="26"/>
      <c r="AQ54" s="26"/>
      <c r="AS54" s="28">
        <v>0</v>
      </c>
      <c r="AU54" s="23" t="str">
        <f>IF(AU53="*",AU53,"")</f>
        <v>*</v>
      </c>
      <c r="AV54" s="25" t="str">
        <f t="shared" si="39"/>
        <v>*FCEV*</v>
      </c>
      <c r="AW54" s="25" t="str">
        <f t="shared" si="39"/>
        <v>TRAGSL</v>
      </c>
      <c r="AX54" s="25" t="str">
        <f t="shared" si="39"/>
        <v>TRAPASLDTDMD</v>
      </c>
      <c r="AY54" s="25" t="str">
        <f t="shared" si="39"/>
        <v>TRAPASLDTDMD</v>
      </c>
      <c r="AZ54" s="26">
        <v>2050</v>
      </c>
      <c r="BA54" s="26" t="str">
        <f>BA52</f>
        <v>LO</v>
      </c>
      <c r="BB54" s="26"/>
      <c r="BC54" s="27" t="e">
        <f>-SUMIFS('TRA RESID'!$P:$P,'TRA RESID'!$I:$I,AY54,'TRA RESID'!$J:$J,AV54,'TRA RESID'!$H:$H,AW54)/SUMIFS('TRA RESID'!$P:$P,'TRA RESID'!$I:$I,AY54)*BG54</f>
        <v>#DIV/0!</v>
      </c>
      <c r="BD54" s="26"/>
      <c r="BE54" s="26"/>
      <c r="BG54" s="28">
        <v>0</v>
      </c>
    </row>
    <row r="55" spans="1:59" x14ac:dyDescent="0.25">
      <c r="A55">
        <f>A50+1</f>
        <v>11</v>
      </c>
      <c r="C55" s="15" t="str">
        <f>IF(E55="","",IF(_xlfn.XLOOKUP($A55,Selected_constraint!$A:$A,Selected_constraint!$D:$D)=1,"*",IF(SUMIFS('TRA TECH'!$M:$M,'TRA TECH'!$H:$H,E55,'TRA TECH'!$I:$I,F55)=0,"*",IF(SUMIFS('TRA RESID'!$P:$P,'TRA RESID'!$I:$I,G55,'TRA RESID'!$J:$J,D55,'TRA RESID'!$H:$H,E55)=0,"*","UC_"&amp;SUBSTITUTE(D55,"*","")&amp;"_"&amp;RIGHT(E55,3)&amp;"_"&amp;F55))))</f>
        <v>*</v>
      </c>
      <c r="D55" s="17" t="s">
        <v>485</v>
      </c>
      <c r="E55" s="17" t="str">
        <f>_xlfn.XLOOKUP($A55,Selected_constraint!$A:$A,Selected_constraint!$B:$B)</f>
        <v>TRAETH</v>
      </c>
      <c r="F55" s="17" t="str">
        <f>_xlfn.XLOOKUP($A55,Selected_constraint!$A:$A,Selected_constraint!$C:$C)</f>
        <v>TRAPASLDTDMD</v>
      </c>
      <c r="G55" s="17" t="str">
        <f>F55</f>
        <v>TRAPASLDTDMD</v>
      </c>
      <c r="H55" s="18">
        <v>2019</v>
      </c>
      <c r="I55" s="18" t="s">
        <v>483</v>
      </c>
      <c r="J55" s="18">
        <v>1</v>
      </c>
      <c r="K55" s="20" t="e">
        <f>-SUMIFS('TRA RESID'!$P:$P,'TRA RESID'!$I:$I,G55,'TRA RESID'!$J:$J,D55,'TRA RESID'!$H:$H,E55)/SUMIFS('TRA RESID'!$P:$P,'TRA RESID'!$I:$I,G55)*O55</f>
        <v>#DIV/0!</v>
      </c>
      <c r="L55" s="18">
        <v>0</v>
      </c>
      <c r="M55" s="18">
        <v>5</v>
      </c>
      <c r="O55" s="21">
        <v>0.98</v>
      </c>
      <c r="Q55">
        <f>Q50+1</f>
        <v>11</v>
      </c>
      <c r="S55" s="15" t="str">
        <f>IF(SUMIFS('TRA RESID'!$P:$P,'TRA RESID'!$I:$I,W55,'TRA RESID'!$J:$J,T55,'TRA RESID'!$H:$H,U55)=0,"*","UC_"&amp;SUBSTITUTE(T55,"*","")&amp;"_"&amp;RIGHT(U55,3)&amp;"_"&amp;V55)</f>
        <v>*</v>
      </c>
      <c r="T55" s="17" t="s">
        <v>486</v>
      </c>
      <c r="U55" s="17" t="str">
        <f>_xlfn.XLOOKUP($A55,Selected_constraint!$A:$A,Selected_constraint!$B:$B)</f>
        <v>TRAETH</v>
      </c>
      <c r="V55" s="17" t="str">
        <f>_xlfn.XLOOKUP($A55,Selected_constraint!$A:$A,Selected_constraint!$C:$C)</f>
        <v>TRAPASLDTDMD</v>
      </c>
      <c r="W55" s="17" t="str">
        <f>V55</f>
        <v>TRAPASLDTDMD</v>
      </c>
      <c r="X55" s="18">
        <v>2019</v>
      </c>
      <c r="Y55" s="18" t="s">
        <v>483</v>
      </c>
      <c r="Z55" s="18">
        <v>1</v>
      </c>
      <c r="AA55" s="20" t="e">
        <f>-SUMIFS('TRA RESID'!$P:$P,'TRA RESID'!$I:$I,W55,'TRA RESID'!$J:$J,T55,'TRA RESID'!$H:$H,U55)/SUMIFS('TRA RESID'!$P:$P,'TRA RESID'!$I:$I,W55)*AE55</f>
        <v>#DIV/0!</v>
      </c>
      <c r="AB55" s="18">
        <v>0</v>
      </c>
      <c r="AC55" s="18">
        <v>5</v>
      </c>
      <c r="AE55" s="21">
        <v>0.98</v>
      </c>
      <c r="AG55" s="15" t="str">
        <f>IF(SUMIFS('TRA RESID'!$P:$P,'TRA RESID'!$I:$I,AK55,'TRA RESID'!$J:$J,AH55,'TRA RESID'!$H:$H,AI55)=0,"*","UC_"&amp;SUBSTITUTE(AH55,"*","")&amp;"_"&amp;RIGHT(AI55,3)&amp;"_"&amp;AJ55)</f>
        <v>*</v>
      </c>
      <c r="AH55" s="17" t="s">
        <v>487</v>
      </c>
      <c r="AI55" s="17" t="str">
        <f>_xlfn.XLOOKUP($A55,Selected_constraint!$A:$A,Selected_constraint!$B:$B)</f>
        <v>TRAETH</v>
      </c>
      <c r="AJ55" s="17" t="str">
        <f>_xlfn.XLOOKUP($A55,Selected_constraint!$A:$A,Selected_constraint!$C:$C)</f>
        <v>TRAPASLDTDMD</v>
      </c>
      <c r="AK55" s="17" t="str">
        <f>AJ55</f>
        <v>TRAPASLDTDMD</v>
      </c>
      <c r="AL55" s="18">
        <v>2019</v>
      </c>
      <c r="AM55" s="18" t="s">
        <v>483</v>
      </c>
      <c r="AN55" s="18">
        <v>1</v>
      </c>
      <c r="AO55" s="20" t="e">
        <f>-SUMIFS('TRA RESID'!$P:$P,'TRA RESID'!$I:$I,AK55,'TRA RESID'!$J:$J,AH55,'TRA RESID'!$H:$H,AI55)/SUMIFS('TRA RESID'!$P:$P,'TRA RESID'!$I:$I,AK55)*AS55</f>
        <v>#DIV/0!</v>
      </c>
      <c r="AP55" s="18">
        <v>0</v>
      </c>
      <c r="AQ55" s="18">
        <v>5</v>
      </c>
      <c r="AS55" s="21">
        <v>0.98</v>
      </c>
      <c r="AU55" s="15" t="str">
        <f>IF(SUMIFS('TRA RESID'!$P:$P,'TRA RESID'!$I:$I,AY55,'TRA RESID'!$J:$J,AV55,'TRA RESID'!$H:$H,AW55)=0,"*","UC_"&amp;SUBSTITUTE(AV55,"*","")&amp;"_"&amp;RIGHT(AW55,3)&amp;"_"&amp;AX55)</f>
        <v>*</v>
      </c>
      <c r="AV55" s="17" t="s">
        <v>488</v>
      </c>
      <c r="AW55" s="17" t="str">
        <f>_xlfn.XLOOKUP($A55,Selected_constraint!$A:$A,Selected_constraint!$B:$B)</f>
        <v>TRAETH</v>
      </c>
      <c r="AX55" s="17" t="str">
        <f>_xlfn.XLOOKUP($A55,Selected_constraint!$A:$A,Selected_constraint!$C:$C)</f>
        <v>TRAPASLDTDMD</v>
      </c>
      <c r="AY55" s="17" t="str">
        <f>AX55</f>
        <v>TRAPASLDTDMD</v>
      </c>
      <c r="AZ55" s="18">
        <v>2019</v>
      </c>
      <c r="BA55" s="18" t="s">
        <v>483</v>
      </c>
      <c r="BB55" s="18">
        <v>1</v>
      </c>
      <c r="BC55" s="20" t="e">
        <f>-SUMIFS('TRA RESID'!$P:$P,'TRA RESID'!$I:$I,AY55,'TRA RESID'!$J:$J,AV55,'TRA RESID'!$H:$H,AW55)/SUMIFS('TRA RESID'!$P:$P,'TRA RESID'!$I:$I,AY55)*BG55</f>
        <v>#DIV/0!</v>
      </c>
      <c r="BD55" s="18">
        <v>0</v>
      </c>
      <c r="BE55" s="18">
        <v>5</v>
      </c>
      <c r="BG55" s="21">
        <v>0.98</v>
      </c>
    </row>
    <row r="56" spans="1:59" x14ac:dyDescent="0.25">
      <c r="C56" s="15" t="str">
        <f>IF(C55="*",C55,"")</f>
        <v>*</v>
      </c>
      <c r="D56" s="17" t="str">
        <f t="shared" ref="D56:G59" si="40">D55</f>
        <v>*ICEV*</v>
      </c>
      <c r="E56" s="17" t="str">
        <f t="shared" si="40"/>
        <v>TRAETH</v>
      </c>
      <c r="F56" s="17" t="str">
        <f t="shared" si="40"/>
        <v>TRAPASLDTDMD</v>
      </c>
      <c r="G56" s="17" t="str">
        <f t="shared" si="40"/>
        <v>TRAPASLDTDMD</v>
      </c>
      <c r="H56" s="18">
        <v>2025</v>
      </c>
      <c r="I56" s="18" t="str">
        <f>I55</f>
        <v>LO</v>
      </c>
      <c r="J56" s="18"/>
      <c r="K56" s="20" t="e">
        <f>-SUMIFS('TRA RESID'!$P:$P,'TRA RESID'!$I:$I,G56,'TRA RESID'!$J:$J,D56,'TRA RESID'!$H:$H,E56)/SUMIFS('TRA RESID'!$P:$P,'TRA RESID'!$I:$I,G56)*O56</f>
        <v>#DIV/0!</v>
      </c>
      <c r="L56" s="18"/>
      <c r="M56" s="18"/>
      <c r="O56" s="21">
        <v>0.8</v>
      </c>
      <c r="S56" s="15" t="str">
        <f>IF(S55="*",S55,"")</f>
        <v>*</v>
      </c>
      <c r="T56" s="17" t="str">
        <f t="shared" ref="T56:W59" si="41">T55</f>
        <v>*BEV*</v>
      </c>
      <c r="U56" s="17" t="str">
        <f t="shared" si="41"/>
        <v>TRAETH</v>
      </c>
      <c r="V56" s="17" t="str">
        <f t="shared" si="41"/>
        <v>TRAPASLDTDMD</v>
      </c>
      <c r="W56" s="17" t="str">
        <f t="shared" si="41"/>
        <v>TRAPASLDTDMD</v>
      </c>
      <c r="X56" s="18">
        <v>2025</v>
      </c>
      <c r="Y56" s="18" t="str">
        <f>Y55</f>
        <v>LO</v>
      </c>
      <c r="Z56" s="18"/>
      <c r="AA56" s="20" t="e">
        <f>-SUMIFS('TRA RESID'!$P:$P,'TRA RESID'!$I:$I,W56,'TRA RESID'!$J:$J,T56,'TRA RESID'!$H:$H,U56)/SUMIFS('TRA RESID'!$P:$P,'TRA RESID'!$I:$I,W56)*AE56</f>
        <v>#DIV/0!</v>
      </c>
      <c r="AB56" s="18"/>
      <c r="AC56" s="18"/>
      <c r="AE56" s="21">
        <v>1</v>
      </c>
      <c r="AG56" s="15" t="str">
        <f>IF(AG55="*",AG55,"")</f>
        <v>*</v>
      </c>
      <c r="AH56" s="17" t="str">
        <f t="shared" ref="AH56:AK59" si="42">AH55</f>
        <v>*HEV*</v>
      </c>
      <c r="AI56" s="17" t="str">
        <f t="shared" si="42"/>
        <v>TRAETH</v>
      </c>
      <c r="AJ56" s="17" t="str">
        <f t="shared" si="42"/>
        <v>TRAPASLDTDMD</v>
      </c>
      <c r="AK56" s="17" t="str">
        <f t="shared" si="42"/>
        <v>TRAPASLDTDMD</v>
      </c>
      <c r="AL56" s="18">
        <v>2025</v>
      </c>
      <c r="AM56" s="18" t="str">
        <f>AM55</f>
        <v>LO</v>
      </c>
      <c r="AN56" s="18"/>
      <c r="AO56" s="20" t="e">
        <f>-SUMIFS('TRA RESID'!$P:$P,'TRA RESID'!$I:$I,AK56,'TRA RESID'!$J:$J,AH56,'TRA RESID'!$H:$H,AI56)/SUMIFS('TRA RESID'!$P:$P,'TRA RESID'!$I:$I,AK56)*AS56</f>
        <v>#DIV/0!</v>
      </c>
      <c r="AP56" s="18"/>
      <c r="AQ56" s="18"/>
      <c r="AS56" s="21">
        <v>0.8</v>
      </c>
      <c r="AU56" s="15" t="str">
        <f>IF(AU55="*",AU55,"")</f>
        <v>*</v>
      </c>
      <c r="AV56" s="17" t="str">
        <f t="shared" ref="AV56:AY59" si="43">AV55</f>
        <v>*FCEV*</v>
      </c>
      <c r="AW56" s="17" t="str">
        <f t="shared" si="43"/>
        <v>TRAETH</v>
      </c>
      <c r="AX56" s="17" t="str">
        <f t="shared" si="43"/>
        <v>TRAPASLDTDMD</v>
      </c>
      <c r="AY56" s="17" t="str">
        <f t="shared" si="43"/>
        <v>TRAPASLDTDMD</v>
      </c>
      <c r="AZ56" s="18">
        <v>2025</v>
      </c>
      <c r="BA56" s="18" t="str">
        <f>BA55</f>
        <v>LO</v>
      </c>
      <c r="BB56" s="18"/>
      <c r="BC56" s="20" t="e">
        <f>-SUMIFS('TRA RESID'!$P:$P,'TRA RESID'!$I:$I,AY56,'TRA RESID'!$J:$J,AV56,'TRA RESID'!$H:$H,AW56)/SUMIFS('TRA RESID'!$P:$P,'TRA RESID'!$I:$I,AY56)*BG56</f>
        <v>#DIV/0!</v>
      </c>
      <c r="BD56" s="18"/>
      <c r="BE56" s="18"/>
      <c r="BG56" s="21">
        <v>0.8</v>
      </c>
    </row>
    <row r="57" spans="1:59" x14ac:dyDescent="0.25">
      <c r="C57" s="15" t="str">
        <f>IF(C56="*",C56,"")</f>
        <v>*</v>
      </c>
      <c r="D57" s="17" t="str">
        <f t="shared" si="40"/>
        <v>*ICEV*</v>
      </c>
      <c r="E57" s="17" t="str">
        <f t="shared" si="40"/>
        <v>TRAETH</v>
      </c>
      <c r="F57" s="17" t="str">
        <f t="shared" si="40"/>
        <v>TRAPASLDTDMD</v>
      </c>
      <c r="G57" s="17" t="str">
        <f t="shared" si="40"/>
        <v>TRAPASLDTDMD</v>
      </c>
      <c r="H57" s="18">
        <v>2030</v>
      </c>
      <c r="I57" s="18" t="str">
        <f>I56</f>
        <v>LO</v>
      </c>
      <c r="J57" s="18"/>
      <c r="K57" s="20" t="e">
        <f>-SUMIFS('TRA RESID'!$P:$P,'TRA RESID'!$I:$I,G57,'TRA RESID'!$J:$J,D57,'TRA RESID'!$H:$H,E57)/SUMIFS('TRA RESID'!$P:$P,'TRA RESID'!$I:$I,G57)*O57</f>
        <v>#DIV/0!</v>
      </c>
      <c r="L57" s="18"/>
      <c r="M57" s="18"/>
      <c r="O57" s="21">
        <v>0.5</v>
      </c>
      <c r="S57" s="15" t="str">
        <f>IF(S56="*",S56,"")</f>
        <v>*</v>
      </c>
      <c r="T57" s="17" t="str">
        <f t="shared" si="41"/>
        <v>*BEV*</v>
      </c>
      <c r="U57" s="17" t="str">
        <f t="shared" si="41"/>
        <v>TRAETH</v>
      </c>
      <c r="V57" s="17" t="str">
        <f t="shared" si="41"/>
        <v>TRAPASLDTDMD</v>
      </c>
      <c r="W57" s="17" t="str">
        <f t="shared" si="41"/>
        <v>TRAPASLDTDMD</v>
      </c>
      <c r="X57" s="18">
        <v>2030</v>
      </c>
      <c r="Y57" s="18" t="str">
        <f>Y56</f>
        <v>LO</v>
      </c>
      <c r="Z57" s="18"/>
      <c r="AA57" s="20" t="e">
        <f>-SUMIFS('TRA RESID'!$P:$P,'TRA RESID'!$I:$I,W57,'TRA RESID'!$J:$J,T57,'TRA RESID'!$H:$H,U57)/SUMIFS('TRA RESID'!$P:$P,'TRA RESID'!$I:$I,W57)*AE57</f>
        <v>#DIV/0!</v>
      </c>
      <c r="AB57" s="18"/>
      <c r="AC57" s="18"/>
      <c r="AE57" s="21">
        <v>1</v>
      </c>
      <c r="AG57" s="15" t="str">
        <f>IF(AG56="*",AG56,"")</f>
        <v>*</v>
      </c>
      <c r="AH57" s="17" t="str">
        <f t="shared" si="42"/>
        <v>*HEV*</v>
      </c>
      <c r="AI57" s="17" t="str">
        <f t="shared" si="42"/>
        <v>TRAETH</v>
      </c>
      <c r="AJ57" s="17" t="str">
        <f t="shared" si="42"/>
        <v>TRAPASLDTDMD</v>
      </c>
      <c r="AK57" s="17" t="str">
        <f t="shared" si="42"/>
        <v>TRAPASLDTDMD</v>
      </c>
      <c r="AL57" s="18">
        <v>2030</v>
      </c>
      <c r="AM57" s="18" t="str">
        <f>AM56</f>
        <v>LO</v>
      </c>
      <c r="AN57" s="18"/>
      <c r="AO57" s="20" t="e">
        <f>-SUMIFS('TRA RESID'!$P:$P,'TRA RESID'!$I:$I,AK57,'TRA RESID'!$J:$J,AH57,'TRA RESID'!$H:$H,AI57)/SUMIFS('TRA RESID'!$P:$P,'TRA RESID'!$I:$I,AK57)*AS57</f>
        <v>#DIV/0!</v>
      </c>
      <c r="AP57" s="18"/>
      <c r="AQ57" s="18"/>
      <c r="AS57" s="21">
        <v>0.5</v>
      </c>
      <c r="AU57" s="15" t="str">
        <f>IF(AU56="*",AU56,"")</f>
        <v>*</v>
      </c>
      <c r="AV57" s="17" t="str">
        <f t="shared" si="43"/>
        <v>*FCEV*</v>
      </c>
      <c r="AW57" s="17" t="str">
        <f t="shared" si="43"/>
        <v>TRAETH</v>
      </c>
      <c r="AX57" s="17" t="str">
        <f t="shared" si="43"/>
        <v>TRAPASLDTDMD</v>
      </c>
      <c r="AY57" s="17" t="str">
        <f t="shared" si="43"/>
        <v>TRAPASLDTDMD</v>
      </c>
      <c r="AZ57" s="18">
        <v>2030</v>
      </c>
      <c r="BA57" s="18" t="str">
        <f>BA56</f>
        <v>LO</v>
      </c>
      <c r="BB57" s="18"/>
      <c r="BC57" s="20" t="e">
        <f>-SUMIFS('TRA RESID'!$P:$P,'TRA RESID'!$I:$I,AY57,'TRA RESID'!$J:$J,AV57,'TRA RESID'!$H:$H,AW57)/SUMIFS('TRA RESID'!$P:$P,'TRA RESID'!$I:$I,AY57)*BG57</f>
        <v>#DIV/0!</v>
      </c>
      <c r="BD57" s="18"/>
      <c r="BE57" s="18"/>
      <c r="BG57" s="21">
        <v>0.5</v>
      </c>
    </row>
    <row r="58" spans="1:59" x14ac:dyDescent="0.25">
      <c r="C58" s="15" t="str">
        <f>IF(C57="*",C57,"")</f>
        <v>*</v>
      </c>
      <c r="D58" s="17" t="str">
        <f t="shared" si="40"/>
        <v>*ICEV*</v>
      </c>
      <c r="E58" s="17" t="str">
        <f t="shared" si="40"/>
        <v>TRAETH</v>
      </c>
      <c r="F58" s="17" t="str">
        <f t="shared" si="40"/>
        <v>TRAPASLDTDMD</v>
      </c>
      <c r="G58" s="17" t="str">
        <f t="shared" si="40"/>
        <v>TRAPASLDTDMD</v>
      </c>
      <c r="H58" s="18">
        <v>2040</v>
      </c>
      <c r="I58" s="18" t="str">
        <f>I57</f>
        <v>LO</v>
      </c>
      <c r="J58" s="18"/>
      <c r="K58" s="20" t="e">
        <f>-SUMIFS('TRA RESID'!$P:$P,'TRA RESID'!$I:$I,G58,'TRA RESID'!$J:$J,D58,'TRA RESID'!$H:$H,E58)/SUMIFS('TRA RESID'!$P:$P,'TRA RESID'!$I:$I,G58)*O58</f>
        <v>#DIV/0!</v>
      </c>
      <c r="L58" s="18"/>
      <c r="M58" s="18"/>
      <c r="O58" s="21">
        <v>0</v>
      </c>
      <c r="S58" s="15" t="str">
        <f>IF(S57="*",S57,"")</f>
        <v>*</v>
      </c>
      <c r="T58" s="17" t="str">
        <f t="shared" si="41"/>
        <v>*BEV*</v>
      </c>
      <c r="U58" s="17" t="str">
        <f t="shared" si="41"/>
        <v>TRAETH</v>
      </c>
      <c r="V58" s="17" t="str">
        <f t="shared" si="41"/>
        <v>TRAPASLDTDMD</v>
      </c>
      <c r="W58" s="17" t="str">
        <f t="shared" si="41"/>
        <v>TRAPASLDTDMD</v>
      </c>
      <c r="X58" s="18">
        <v>2040</v>
      </c>
      <c r="Y58" s="18" t="str">
        <f>Y57</f>
        <v>LO</v>
      </c>
      <c r="Z58" s="18"/>
      <c r="AA58" s="20" t="e">
        <f>-SUMIFS('TRA RESID'!$P:$P,'TRA RESID'!$I:$I,W58,'TRA RESID'!$J:$J,T58,'TRA RESID'!$H:$H,U58)/SUMIFS('TRA RESID'!$P:$P,'TRA RESID'!$I:$I,W58)*AE58</f>
        <v>#DIV/0!</v>
      </c>
      <c r="AB58" s="18"/>
      <c r="AC58" s="18"/>
      <c r="AE58" s="21">
        <v>1</v>
      </c>
      <c r="AG58" s="15" t="str">
        <f>IF(AG57="*",AG57,"")</f>
        <v>*</v>
      </c>
      <c r="AH58" s="17" t="str">
        <f t="shared" si="42"/>
        <v>*HEV*</v>
      </c>
      <c r="AI58" s="17" t="str">
        <f t="shared" si="42"/>
        <v>TRAETH</v>
      </c>
      <c r="AJ58" s="17" t="str">
        <f t="shared" si="42"/>
        <v>TRAPASLDTDMD</v>
      </c>
      <c r="AK58" s="17" t="str">
        <f t="shared" si="42"/>
        <v>TRAPASLDTDMD</v>
      </c>
      <c r="AL58" s="18">
        <v>2040</v>
      </c>
      <c r="AM58" s="18" t="str">
        <f>AM57</f>
        <v>LO</v>
      </c>
      <c r="AN58" s="18"/>
      <c r="AO58" s="20" t="e">
        <f>-SUMIFS('TRA RESID'!$P:$P,'TRA RESID'!$I:$I,AK58,'TRA RESID'!$J:$J,AH58,'TRA RESID'!$H:$H,AI58)/SUMIFS('TRA RESID'!$P:$P,'TRA RESID'!$I:$I,AK58)*AS58</f>
        <v>#DIV/0!</v>
      </c>
      <c r="AP58" s="18"/>
      <c r="AQ58" s="18"/>
      <c r="AS58" s="21">
        <v>0</v>
      </c>
      <c r="AU58" s="15" t="str">
        <f>IF(AU57="*",AU57,"")</f>
        <v>*</v>
      </c>
      <c r="AV58" s="17" t="str">
        <f t="shared" si="43"/>
        <v>*FCEV*</v>
      </c>
      <c r="AW58" s="17" t="str">
        <f t="shared" si="43"/>
        <v>TRAETH</v>
      </c>
      <c r="AX58" s="17" t="str">
        <f t="shared" si="43"/>
        <v>TRAPASLDTDMD</v>
      </c>
      <c r="AY58" s="17" t="str">
        <f t="shared" si="43"/>
        <v>TRAPASLDTDMD</v>
      </c>
      <c r="AZ58" s="18">
        <v>2040</v>
      </c>
      <c r="BA58" s="18" t="str">
        <f>BA57</f>
        <v>LO</v>
      </c>
      <c r="BB58" s="18"/>
      <c r="BC58" s="20" t="e">
        <f>-SUMIFS('TRA RESID'!$P:$P,'TRA RESID'!$I:$I,AY58,'TRA RESID'!$J:$J,AV58,'TRA RESID'!$H:$H,AW58)/SUMIFS('TRA RESID'!$P:$P,'TRA RESID'!$I:$I,AY58)*BG58</f>
        <v>#DIV/0!</v>
      </c>
      <c r="BD58" s="18"/>
      <c r="BE58" s="18"/>
      <c r="BG58" s="21">
        <v>0</v>
      </c>
    </row>
    <row r="59" spans="1:59" x14ac:dyDescent="0.25">
      <c r="C59" s="23" t="str">
        <f>IF(C58="*",C58,"")</f>
        <v>*</v>
      </c>
      <c r="D59" s="25" t="str">
        <f t="shared" si="40"/>
        <v>*ICEV*</v>
      </c>
      <c r="E59" s="25" t="str">
        <f t="shared" si="40"/>
        <v>TRAETH</v>
      </c>
      <c r="F59" s="25" t="str">
        <f t="shared" si="40"/>
        <v>TRAPASLDTDMD</v>
      </c>
      <c r="G59" s="25" t="str">
        <f t="shared" si="40"/>
        <v>TRAPASLDTDMD</v>
      </c>
      <c r="H59" s="26">
        <v>2050</v>
      </c>
      <c r="I59" s="26" t="str">
        <f>I57</f>
        <v>LO</v>
      </c>
      <c r="J59" s="26"/>
      <c r="K59" s="27" t="e">
        <f>-SUMIFS('TRA RESID'!$P:$P,'TRA RESID'!$I:$I,G59,'TRA RESID'!$J:$J,D59,'TRA RESID'!$H:$H,E59)/SUMIFS('TRA RESID'!$P:$P,'TRA RESID'!$I:$I,G59)*O59</f>
        <v>#DIV/0!</v>
      </c>
      <c r="L59" s="26"/>
      <c r="M59" s="26"/>
      <c r="O59" s="28">
        <v>0</v>
      </c>
      <c r="S59" s="23" t="str">
        <f>IF(S58="*",S58,"")</f>
        <v>*</v>
      </c>
      <c r="T59" s="25" t="str">
        <f t="shared" si="41"/>
        <v>*BEV*</v>
      </c>
      <c r="U59" s="25" t="str">
        <f t="shared" si="41"/>
        <v>TRAETH</v>
      </c>
      <c r="V59" s="25" t="str">
        <f t="shared" si="41"/>
        <v>TRAPASLDTDMD</v>
      </c>
      <c r="W59" s="25" t="str">
        <f t="shared" si="41"/>
        <v>TRAPASLDTDMD</v>
      </c>
      <c r="X59" s="26">
        <v>2050</v>
      </c>
      <c r="Y59" s="26" t="str">
        <f>Y57</f>
        <v>LO</v>
      </c>
      <c r="Z59" s="26"/>
      <c r="AA59" s="27" t="e">
        <f>-SUMIFS('TRA RESID'!$P:$P,'TRA RESID'!$I:$I,W59,'TRA RESID'!$J:$J,T59,'TRA RESID'!$H:$H,U59)/SUMIFS('TRA RESID'!$P:$P,'TRA RESID'!$I:$I,W59)*AE59</f>
        <v>#DIV/0!</v>
      </c>
      <c r="AB59" s="26"/>
      <c r="AC59" s="26"/>
      <c r="AE59" s="28">
        <v>1</v>
      </c>
      <c r="AG59" s="23" t="str">
        <f>IF(AG58="*",AG58,"")</f>
        <v>*</v>
      </c>
      <c r="AH59" s="25" t="str">
        <f t="shared" si="42"/>
        <v>*HEV*</v>
      </c>
      <c r="AI59" s="25" t="str">
        <f t="shared" si="42"/>
        <v>TRAETH</v>
      </c>
      <c r="AJ59" s="25" t="str">
        <f t="shared" si="42"/>
        <v>TRAPASLDTDMD</v>
      </c>
      <c r="AK59" s="25" t="str">
        <f t="shared" si="42"/>
        <v>TRAPASLDTDMD</v>
      </c>
      <c r="AL59" s="26">
        <v>2050</v>
      </c>
      <c r="AM59" s="26" t="str">
        <f>AM57</f>
        <v>LO</v>
      </c>
      <c r="AN59" s="26"/>
      <c r="AO59" s="27" t="e">
        <f>-SUMIFS('TRA RESID'!$P:$P,'TRA RESID'!$I:$I,AK59,'TRA RESID'!$J:$J,AH59,'TRA RESID'!$H:$H,AI59)/SUMIFS('TRA RESID'!$P:$P,'TRA RESID'!$I:$I,AK59)*AS59</f>
        <v>#DIV/0!</v>
      </c>
      <c r="AP59" s="26"/>
      <c r="AQ59" s="26"/>
      <c r="AS59" s="28">
        <v>0</v>
      </c>
      <c r="AU59" s="23" t="str">
        <f>IF(AU58="*",AU58,"")</f>
        <v>*</v>
      </c>
      <c r="AV59" s="25" t="str">
        <f t="shared" si="43"/>
        <v>*FCEV*</v>
      </c>
      <c r="AW59" s="25" t="str">
        <f t="shared" si="43"/>
        <v>TRAETH</v>
      </c>
      <c r="AX59" s="25" t="str">
        <f t="shared" si="43"/>
        <v>TRAPASLDTDMD</v>
      </c>
      <c r="AY59" s="25" t="str">
        <f t="shared" si="43"/>
        <v>TRAPASLDTDMD</v>
      </c>
      <c r="AZ59" s="26">
        <v>2050</v>
      </c>
      <c r="BA59" s="26" t="str">
        <f>BA57</f>
        <v>LO</v>
      </c>
      <c r="BB59" s="26"/>
      <c r="BC59" s="27" t="e">
        <f>-SUMIFS('TRA RESID'!$P:$P,'TRA RESID'!$I:$I,AY59,'TRA RESID'!$J:$J,AV59,'TRA RESID'!$H:$H,AW59)/SUMIFS('TRA RESID'!$P:$P,'TRA RESID'!$I:$I,AY59)*BG59</f>
        <v>#DIV/0!</v>
      </c>
      <c r="BD59" s="26"/>
      <c r="BE59" s="26"/>
      <c r="BG59" s="28">
        <v>0</v>
      </c>
    </row>
    <row r="60" spans="1:59" x14ac:dyDescent="0.25">
      <c r="A60">
        <f>A55+1</f>
        <v>12</v>
      </c>
      <c r="C60" s="15" t="str">
        <f>IF(E60="","",IF(_xlfn.XLOOKUP($A60,Selected_constraint!$A:$A,Selected_constraint!$D:$D)=1,"*",IF(SUMIFS('TRA TECH'!$M:$M,'TRA TECH'!$H:$H,E60,'TRA TECH'!$I:$I,F60)=0,"*",IF(SUMIFS('TRA RESID'!$P:$P,'TRA RESID'!$I:$I,G60,'TRA RESID'!$J:$J,D60,'TRA RESID'!$H:$H,E60)=0,"*","UC_"&amp;SUBSTITUTE(D60,"*","")&amp;"_"&amp;RIGHT(E60,3)&amp;"_"&amp;F60))))</f>
        <v>*</v>
      </c>
      <c r="D60" s="17" t="s">
        <v>485</v>
      </c>
      <c r="E60" s="17" t="str">
        <f>_xlfn.XLOOKUP($A60,Selected_constraint!$A:$A,Selected_constraint!$B:$B)</f>
        <v>TRADSL</v>
      </c>
      <c r="F60" s="17" t="str">
        <f>_xlfn.XLOOKUP($A60,Selected_constraint!$A:$A,Selected_constraint!$C:$C)</f>
        <v>TRAPASLDTDMD</v>
      </c>
      <c r="G60" s="17" t="str">
        <f>F60</f>
        <v>TRAPASLDTDMD</v>
      </c>
      <c r="H60" s="18">
        <v>2019</v>
      </c>
      <c r="I60" s="18" t="s">
        <v>483</v>
      </c>
      <c r="J60" s="18">
        <v>1</v>
      </c>
      <c r="K60" s="20" t="e">
        <f>-SUMIFS('TRA RESID'!$P:$P,'TRA RESID'!$I:$I,G60,'TRA RESID'!$J:$J,D60,'TRA RESID'!$H:$H,E60)/SUMIFS('TRA RESID'!$P:$P,'TRA RESID'!$I:$I,G60)*O60</f>
        <v>#DIV/0!</v>
      </c>
      <c r="L60" s="18">
        <v>0</v>
      </c>
      <c r="M60" s="18">
        <v>5</v>
      </c>
      <c r="O60" s="21">
        <v>0.98</v>
      </c>
      <c r="Q60">
        <f>Q55+1</f>
        <v>12</v>
      </c>
      <c r="S60" s="15" t="str">
        <f>IF(SUMIFS('TRA RESID'!$P:$P,'TRA RESID'!$I:$I,W60,'TRA RESID'!$J:$J,T60,'TRA RESID'!$H:$H,U60)=0,"*","UC_"&amp;SUBSTITUTE(T60,"*","")&amp;"_"&amp;RIGHT(U60,3)&amp;"_"&amp;V60)</f>
        <v>*</v>
      </c>
      <c r="T60" s="17" t="s">
        <v>486</v>
      </c>
      <c r="U60" s="17" t="str">
        <f>_xlfn.XLOOKUP($A60,Selected_constraint!$A:$A,Selected_constraint!$B:$B)</f>
        <v>TRADSL</v>
      </c>
      <c r="V60" s="17" t="str">
        <f>_xlfn.XLOOKUP($A60,Selected_constraint!$A:$A,Selected_constraint!$C:$C)</f>
        <v>TRAPASLDTDMD</v>
      </c>
      <c r="W60" s="17" t="str">
        <f>V60</f>
        <v>TRAPASLDTDMD</v>
      </c>
      <c r="X60" s="18">
        <v>2019</v>
      </c>
      <c r="Y60" s="18" t="s">
        <v>483</v>
      </c>
      <c r="Z60" s="18">
        <v>1</v>
      </c>
      <c r="AA60" s="20" t="e">
        <f>-SUMIFS('TRA RESID'!$P:$P,'TRA RESID'!$I:$I,W60,'TRA RESID'!$J:$J,T60,'TRA RESID'!$H:$H,U60)/SUMIFS('TRA RESID'!$P:$P,'TRA RESID'!$I:$I,W60)*AE60</f>
        <v>#DIV/0!</v>
      </c>
      <c r="AB60" s="18">
        <v>0</v>
      </c>
      <c r="AC60" s="18">
        <v>5</v>
      </c>
      <c r="AE60" s="21">
        <v>0.98</v>
      </c>
      <c r="AG60" s="15" t="str">
        <f>IF(SUMIFS('TRA RESID'!$P:$P,'TRA RESID'!$I:$I,AK60,'TRA RESID'!$J:$J,AH60,'TRA RESID'!$H:$H,AI60)=0,"*","UC_"&amp;SUBSTITUTE(AH60,"*","")&amp;"_"&amp;RIGHT(AI60,3)&amp;"_"&amp;AJ60)</f>
        <v>*</v>
      </c>
      <c r="AH60" s="17" t="s">
        <v>487</v>
      </c>
      <c r="AI60" s="17" t="str">
        <f>_xlfn.XLOOKUP($A60,Selected_constraint!$A:$A,Selected_constraint!$B:$B)</f>
        <v>TRADSL</v>
      </c>
      <c r="AJ60" s="17" t="str">
        <f>_xlfn.XLOOKUP($A60,Selected_constraint!$A:$A,Selected_constraint!$C:$C)</f>
        <v>TRAPASLDTDMD</v>
      </c>
      <c r="AK60" s="17" t="str">
        <f>AJ60</f>
        <v>TRAPASLDTDMD</v>
      </c>
      <c r="AL60" s="18">
        <v>2019</v>
      </c>
      <c r="AM60" s="18" t="s">
        <v>483</v>
      </c>
      <c r="AN60" s="18">
        <v>1</v>
      </c>
      <c r="AO60" s="20" t="e">
        <f>-SUMIFS('TRA RESID'!$P:$P,'TRA RESID'!$I:$I,AK60,'TRA RESID'!$J:$J,AH60,'TRA RESID'!$H:$H,AI60)/SUMIFS('TRA RESID'!$P:$P,'TRA RESID'!$I:$I,AK60)*AS60</f>
        <v>#DIV/0!</v>
      </c>
      <c r="AP60" s="18">
        <v>0</v>
      </c>
      <c r="AQ60" s="18">
        <v>5</v>
      </c>
      <c r="AS60" s="21">
        <v>0.98</v>
      </c>
      <c r="AU60" s="15" t="str">
        <f>IF(SUMIFS('TRA RESID'!$P:$P,'TRA RESID'!$I:$I,AY60,'TRA RESID'!$J:$J,AV60,'TRA RESID'!$H:$H,AW60)=0,"*","UC_"&amp;SUBSTITUTE(AV60,"*","")&amp;"_"&amp;RIGHT(AW60,3)&amp;"_"&amp;AX60)</f>
        <v>*</v>
      </c>
      <c r="AV60" s="17" t="s">
        <v>488</v>
      </c>
      <c r="AW60" s="17" t="str">
        <f>_xlfn.XLOOKUP($A60,Selected_constraint!$A:$A,Selected_constraint!$B:$B)</f>
        <v>TRADSL</v>
      </c>
      <c r="AX60" s="17" t="str">
        <f>_xlfn.XLOOKUP($A60,Selected_constraint!$A:$A,Selected_constraint!$C:$C)</f>
        <v>TRAPASLDTDMD</v>
      </c>
      <c r="AY60" s="17" t="str">
        <f>AX60</f>
        <v>TRAPASLDTDMD</v>
      </c>
      <c r="AZ60" s="18">
        <v>2019</v>
      </c>
      <c r="BA60" s="18" t="s">
        <v>483</v>
      </c>
      <c r="BB60" s="18">
        <v>1</v>
      </c>
      <c r="BC60" s="20" t="e">
        <f>-SUMIFS('TRA RESID'!$P:$P,'TRA RESID'!$I:$I,AY60,'TRA RESID'!$J:$J,AV60,'TRA RESID'!$H:$H,AW60)/SUMIFS('TRA RESID'!$P:$P,'TRA RESID'!$I:$I,AY60)*BG60</f>
        <v>#DIV/0!</v>
      </c>
      <c r="BD60" s="18">
        <v>0</v>
      </c>
      <c r="BE60" s="18">
        <v>5</v>
      </c>
      <c r="BG60" s="21">
        <v>0.98</v>
      </c>
    </row>
    <row r="61" spans="1:59" x14ac:dyDescent="0.25">
      <c r="C61" s="15" t="str">
        <f>IF(C60="*",C60,"")</f>
        <v>*</v>
      </c>
      <c r="D61" s="17" t="str">
        <f t="shared" ref="D61:G64" si="44">D60</f>
        <v>*ICEV*</v>
      </c>
      <c r="E61" s="17" t="str">
        <f t="shared" si="44"/>
        <v>TRADSL</v>
      </c>
      <c r="F61" s="17" t="str">
        <f t="shared" si="44"/>
        <v>TRAPASLDTDMD</v>
      </c>
      <c r="G61" s="17" t="str">
        <f t="shared" si="44"/>
        <v>TRAPASLDTDMD</v>
      </c>
      <c r="H61" s="18">
        <v>2025</v>
      </c>
      <c r="I61" s="18" t="str">
        <f>I60</f>
        <v>LO</v>
      </c>
      <c r="J61" s="18"/>
      <c r="K61" s="20" t="e">
        <f>-SUMIFS('TRA RESID'!$P:$P,'TRA RESID'!$I:$I,G61,'TRA RESID'!$J:$J,D61,'TRA RESID'!$H:$H,E61)/SUMIFS('TRA RESID'!$P:$P,'TRA RESID'!$I:$I,G61)*O61</f>
        <v>#DIV/0!</v>
      </c>
      <c r="L61" s="18"/>
      <c r="M61" s="18"/>
      <c r="O61" s="21">
        <v>0.8</v>
      </c>
      <c r="S61" s="15" t="str">
        <f>IF(S60="*",S60,"")</f>
        <v>*</v>
      </c>
      <c r="T61" s="17" t="str">
        <f t="shared" ref="T61:W64" si="45">T60</f>
        <v>*BEV*</v>
      </c>
      <c r="U61" s="17" t="str">
        <f t="shared" si="45"/>
        <v>TRADSL</v>
      </c>
      <c r="V61" s="17" t="str">
        <f t="shared" si="45"/>
        <v>TRAPASLDTDMD</v>
      </c>
      <c r="W61" s="17" t="str">
        <f t="shared" si="45"/>
        <v>TRAPASLDTDMD</v>
      </c>
      <c r="X61" s="18">
        <v>2025</v>
      </c>
      <c r="Y61" s="18" t="str">
        <f>Y60</f>
        <v>LO</v>
      </c>
      <c r="Z61" s="18"/>
      <c r="AA61" s="20" t="e">
        <f>-SUMIFS('TRA RESID'!$P:$P,'TRA RESID'!$I:$I,W61,'TRA RESID'!$J:$J,T61,'TRA RESID'!$H:$H,U61)/SUMIFS('TRA RESID'!$P:$P,'TRA RESID'!$I:$I,W61)*AE61</f>
        <v>#DIV/0!</v>
      </c>
      <c r="AB61" s="18"/>
      <c r="AC61" s="18"/>
      <c r="AE61" s="21">
        <v>1</v>
      </c>
      <c r="AG61" s="15" t="str">
        <f>IF(AG60="*",AG60,"")</f>
        <v>*</v>
      </c>
      <c r="AH61" s="17" t="str">
        <f t="shared" ref="AH61:AK64" si="46">AH60</f>
        <v>*HEV*</v>
      </c>
      <c r="AI61" s="17" t="str">
        <f t="shared" si="46"/>
        <v>TRADSL</v>
      </c>
      <c r="AJ61" s="17" t="str">
        <f t="shared" si="46"/>
        <v>TRAPASLDTDMD</v>
      </c>
      <c r="AK61" s="17" t="str">
        <f t="shared" si="46"/>
        <v>TRAPASLDTDMD</v>
      </c>
      <c r="AL61" s="18">
        <v>2025</v>
      </c>
      <c r="AM61" s="18" t="str">
        <f>AM60</f>
        <v>LO</v>
      </c>
      <c r="AN61" s="18"/>
      <c r="AO61" s="20" t="e">
        <f>-SUMIFS('TRA RESID'!$P:$P,'TRA RESID'!$I:$I,AK61,'TRA RESID'!$J:$J,AH61,'TRA RESID'!$H:$H,AI61)/SUMIFS('TRA RESID'!$P:$P,'TRA RESID'!$I:$I,AK61)*AS61</f>
        <v>#DIV/0!</v>
      </c>
      <c r="AP61" s="18"/>
      <c r="AQ61" s="18"/>
      <c r="AS61" s="21">
        <v>0.8</v>
      </c>
      <c r="AU61" s="15" t="str">
        <f>IF(AU60="*",AU60,"")</f>
        <v>*</v>
      </c>
      <c r="AV61" s="17" t="str">
        <f t="shared" ref="AV61:AY64" si="47">AV60</f>
        <v>*FCEV*</v>
      </c>
      <c r="AW61" s="17" t="str">
        <f t="shared" si="47"/>
        <v>TRADSL</v>
      </c>
      <c r="AX61" s="17" t="str">
        <f t="shared" si="47"/>
        <v>TRAPASLDTDMD</v>
      </c>
      <c r="AY61" s="17" t="str">
        <f t="shared" si="47"/>
        <v>TRAPASLDTDMD</v>
      </c>
      <c r="AZ61" s="18">
        <v>2025</v>
      </c>
      <c r="BA61" s="18" t="str">
        <f>BA60</f>
        <v>LO</v>
      </c>
      <c r="BB61" s="18"/>
      <c r="BC61" s="20" t="e">
        <f>-SUMIFS('TRA RESID'!$P:$P,'TRA RESID'!$I:$I,AY61,'TRA RESID'!$J:$J,AV61,'TRA RESID'!$H:$H,AW61)/SUMIFS('TRA RESID'!$P:$P,'TRA RESID'!$I:$I,AY61)*BG61</f>
        <v>#DIV/0!</v>
      </c>
      <c r="BD61" s="18"/>
      <c r="BE61" s="18"/>
      <c r="BG61" s="21">
        <v>0.8</v>
      </c>
    </row>
    <row r="62" spans="1:59" x14ac:dyDescent="0.25">
      <c r="C62" s="15" t="str">
        <f>IF(C61="*",C61,"")</f>
        <v>*</v>
      </c>
      <c r="D62" s="17" t="str">
        <f t="shared" si="44"/>
        <v>*ICEV*</v>
      </c>
      <c r="E62" s="17" t="str">
        <f t="shared" si="44"/>
        <v>TRADSL</v>
      </c>
      <c r="F62" s="17" t="str">
        <f t="shared" si="44"/>
        <v>TRAPASLDTDMD</v>
      </c>
      <c r="G62" s="17" t="str">
        <f t="shared" si="44"/>
        <v>TRAPASLDTDMD</v>
      </c>
      <c r="H62" s="18">
        <v>2030</v>
      </c>
      <c r="I62" s="18" t="str">
        <f>I61</f>
        <v>LO</v>
      </c>
      <c r="J62" s="18"/>
      <c r="K62" s="20" t="e">
        <f>-SUMIFS('TRA RESID'!$P:$P,'TRA RESID'!$I:$I,G62,'TRA RESID'!$J:$J,D62,'TRA RESID'!$H:$H,E62)/SUMIFS('TRA RESID'!$P:$P,'TRA RESID'!$I:$I,G62)*O62</f>
        <v>#DIV/0!</v>
      </c>
      <c r="L62" s="18"/>
      <c r="M62" s="18"/>
      <c r="O62" s="21">
        <v>0.5</v>
      </c>
      <c r="S62" s="15" t="str">
        <f>IF(S61="*",S61,"")</f>
        <v>*</v>
      </c>
      <c r="T62" s="17" t="str">
        <f t="shared" si="45"/>
        <v>*BEV*</v>
      </c>
      <c r="U62" s="17" t="str">
        <f t="shared" si="45"/>
        <v>TRADSL</v>
      </c>
      <c r="V62" s="17" t="str">
        <f t="shared" si="45"/>
        <v>TRAPASLDTDMD</v>
      </c>
      <c r="W62" s="17" t="str">
        <f t="shared" si="45"/>
        <v>TRAPASLDTDMD</v>
      </c>
      <c r="X62" s="18">
        <v>2030</v>
      </c>
      <c r="Y62" s="18" t="str">
        <f>Y61</f>
        <v>LO</v>
      </c>
      <c r="Z62" s="18"/>
      <c r="AA62" s="20" t="e">
        <f>-SUMIFS('TRA RESID'!$P:$P,'TRA RESID'!$I:$I,W62,'TRA RESID'!$J:$J,T62,'TRA RESID'!$H:$H,U62)/SUMIFS('TRA RESID'!$P:$P,'TRA RESID'!$I:$I,W62)*AE62</f>
        <v>#DIV/0!</v>
      </c>
      <c r="AB62" s="18"/>
      <c r="AC62" s="18"/>
      <c r="AE62" s="21">
        <v>1</v>
      </c>
      <c r="AG62" s="15" t="str">
        <f>IF(AG61="*",AG61,"")</f>
        <v>*</v>
      </c>
      <c r="AH62" s="17" t="str">
        <f t="shared" si="46"/>
        <v>*HEV*</v>
      </c>
      <c r="AI62" s="17" t="str">
        <f t="shared" si="46"/>
        <v>TRADSL</v>
      </c>
      <c r="AJ62" s="17" t="str">
        <f t="shared" si="46"/>
        <v>TRAPASLDTDMD</v>
      </c>
      <c r="AK62" s="17" t="str">
        <f t="shared" si="46"/>
        <v>TRAPASLDTDMD</v>
      </c>
      <c r="AL62" s="18">
        <v>2030</v>
      </c>
      <c r="AM62" s="18" t="str">
        <f>AM61</f>
        <v>LO</v>
      </c>
      <c r="AN62" s="18"/>
      <c r="AO62" s="20" t="e">
        <f>-SUMIFS('TRA RESID'!$P:$P,'TRA RESID'!$I:$I,AK62,'TRA RESID'!$J:$J,AH62,'TRA RESID'!$H:$H,AI62)/SUMIFS('TRA RESID'!$P:$P,'TRA RESID'!$I:$I,AK62)*AS62</f>
        <v>#DIV/0!</v>
      </c>
      <c r="AP62" s="18"/>
      <c r="AQ62" s="18"/>
      <c r="AS62" s="21">
        <v>0.5</v>
      </c>
      <c r="AU62" s="15" t="str">
        <f>IF(AU61="*",AU61,"")</f>
        <v>*</v>
      </c>
      <c r="AV62" s="17" t="str">
        <f t="shared" si="47"/>
        <v>*FCEV*</v>
      </c>
      <c r="AW62" s="17" t="str">
        <f t="shared" si="47"/>
        <v>TRADSL</v>
      </c>
      <c r="AX62" s="17" t="str">
        <f t="shared" si="47"/>
        <v>TRAPASLDTDMD</v>
      </c>
      <c r="AY62" s="17" t="str">
        <f t="shared" si="47"/>
        <v>TRAPASLDTDMD</v>
      </c>
      <c r="AZ62" s="18">
        <v>2030</v>
      </c>
      <c r="BA62" s="18" t="str">
        <f>BA61</f>
        <v>LO</v>
      </c>
      <c r="BB62" s="18"/>
      <c r="BC62" s="20" t="e">
        <f>-SUMIFS('TRA RESID'!$P:$P,'TRA RESID'!$I:$I,AY62,'TRA RESID'!$J:$J,AV62,'TRA RESID'!$H:$H,AW62)/SUMIFS('TRA RESID'!$P:$P,'TRA RESID'!$I:$I,AY62)*BG62</f>
        <v>#DIV/0!</v>
      </c>
      <c r="BD62" s="18"/>
      <c r="BE62" s="18"/>
      <c r="BG62" s="21">
        <v>0.5</v>
      </c>
    </row>
    <row r="63" spans="1:59" x14ac:dyDescent="0.25">
      <c r="C63" s="15" t="str">
        <f>IF(C62="*",C62,"")</f>
        <v>*</v>
      </c>
      <c r="D63" s="17" t="str">
        <f t="shared" si="44"/>
        <v>*ICEV*</v>
      </c>
      <c r="E63" s="17" t="str">
        <f t="shared" si="44"/>
        <v>TRADSL</v>
      </c>
      <c r="F63" s="17" t="str">
        <f t="shared" si="44"/>
        <v>TRAPASLDTDMD</v>
      </c>
      <c r="G63" s="17" t="str">
        <f t="shared" si="44"/>
        <v>TRAPASLDTDMD</v>
      </c>
      <c r="H63" s="18">
        <v>2040</v>
      </c>
      <c r="I63" s="18" t="str">
        <f>I62</f>
        <v>LO</v>
      </c>
      <c r="J63" s="18"/>
      <c r="K63" s="20" t="e">
        <f>-SUMIFS('TRA RESID'!$P:$P,'TRA RESID'!$I:$I,G63,'TRA RESID'!$J:$J,D63,'TRA RESID'!$H:$H,E63)/SUMIFS('TRA RESID'!$P:$P,'TRA RESID'!$I:$I,G63)*O63</f>
        <v>#DIV/0!</v>
      </c>
      <c r="L63" s="18"/>
      <c r="M63" s="18"/>
      <c r="O63" s="21">
        <v>0</v>
      </c>
      <c r="S63" s="15" t="str">
        <f>IF(S62="*",S62,"")</f>
        <v>*</v>
      </c>
      <c r="T63" s="17" t="str">
        <f t="shared" si="45"/>
        <v>*BEV*</v>
      </c>
      <c r="U63" s="17" t="str">
        <f t="shared" si="45"/>
        <v>TRADSL</v>
      </c>
      <c r="V63" s="17" t="str">
        <f t="shared" si="45"/>
        <v>TRAPASLDTDMD</v>
      </c>
      <c r="W63" s="17" t="str">
        <f t="shared" si="45"/>
        <v>TRAPASLDTDMD</v>
      </c>
      <c r="X63" s="18">
        <v>2040</v>
      </c>
      <c r="Y63" s="18" t="str">
        <f>Y62</f>
        <v>LO</v>
      </c>
      <c r="Z63" s="18"/>
      <c r="AA63" s="20" t="e">
        <f>-SUMIFS('TRA RESID'!$P:$P,'TRA RESID'!$I:$I,W63,'TRA RESID'!$J:$J,T63,'TRA RESID'!$H:$H,U63)/SUMIFS('TRA RESID'!$P:$P,'TRA RESID'!$I:$I,W63)*AE63</f>
        <v>#DIV/0!</v>
      </c>
      <c r="AB63" s="18"/>
      <c r="AC63" s="18"/>
      <c r="AE63" s="21">
        <v>1</v>
      </c>
      <c r="AG63" s="15" t="str">
        <f>IF(AG62="*",AG62,"")</f>
        <v>*</v>
      </c>
      <c r="AH63" s="17" t="str">
        <f t="shared" si="46"/>
        <v>*HEV*</v>
      </c>
      <c r="AI63" s="17" t="str">
        <f t="shared" si="46"/>
        <v>TRADSL</v>
      </c>
      <c r="AJ63" s="17" t="str">
        <f t="shared" si="46"/>
        <v>TRAPASLDTDMD</v>
      </c>
      <c r="AK63" s="17" t="str">
        <f t="shared" si="46"/>
        <v>TRAPASLDTDMD</v>
      </c>
      <c r="AL63" s="18">
        <v>2040</v>
      </c>
      <c r="AM63" s="18" t="str">
        <f>AM62</f>
        <v>LO</v>
      </c>
      <c r="AN63" s="18"/>
      <c r="AO63" s="20" t="e">
        <f>-SUMIFS('TRA RESID'!$P:$P,'TRA RESID'!$I:$I,AK63,'TRA RESID'!$J:$J,AH63,'TRA RESID'!$H:$H,AI63)/SUMIFS('TRA RESID'!$P:$P,'TRA RESID'!$I:$I,AK63)*AS63</f>
        <v>#DIV/0!</v>
      </c>
      <c r="AP63" s="18"/>
      <c r="AQ63" s="18"/>
      <c r="AS63" s="21">
        <v>0</v>
      </c>
      <c r="AU63" s="15" t="str">
        <f>IF(AU62="*",AU62,"")</f>
        <v>*</v>
      </c>
      <c r="AV63" s="17" t="str">
        <f t="shared" si="47"/>
        <v>*FCEV*</v>
      </c>
      <c r="AW63" s="17" t="str">
        <f t="shared" si="47"/>
        <v>TRADSL</v>
      </c>
      <c r="AX63" s="17" t="str">
        <f t="shared" si="47"/>
        <v>TRAPASLDTDMD</v>
      </c>
      <c r="AY63" s="17" t="str">
        <f t="shared" si="47"/>
        <v>TRAPASLDTDMD</v>
      </c>
      <c r="AZ63" s="18">
        <v>2040</v>
      </c>
      <c r="BA63" s="18" t="str">
        <f>BA62</f>
        <v>LO</v>
      </c>
      <c r="BB63" s="18"/>
      <c r="BC63" s="20" t="e">
        <f>-SUMIFS('TRA RESID'!$P:$P,'TRA RESID'!$I:$I,AY63,'TRA RESID'!$J:$J,AV63,'TRA RESID'!$H:$H,AW63)/SUMIFS('TRA RESID'!$P:$P,'TRA RESID'!$I:$I,AY63)*BG63</f>
        <v>#DIV/0!</v>
      </c>
      <c r="BD63" s="18"/>
      <c r="BE63" s="18"/>
      <c r="BG63" s="21">
        <v>0</v>
      </c>
    </row>
    <row r="64" spans="1:59" x14ac:dyDescent="0.25">
      <c r="C64" s="23" t="str">
        <f>IF(C63="*",C63,"")</f>
        <v>*</v>
      </c>
      <c r="D64" s="25" t="str">
        <f t="shared" si="44"/>
        <v>*ICEV*</v>
      </c>
      <c r="E64" s="25" t="str">
        <f t="shared" si="44"/>
        <v>TRADSL</v>
      </c>
      <c r="F64" s="25" t="str">
        <f t="shared" si="44"/>
        <v>TRAPASLDTDMD</v>
      </c>
      <c r="G64" s="25" t="str">
        <f t="shared" si="44"/>
        <v>TRAPASLDTDMD</v>
      </c>
      <c r="H64" s="26">
        <v>2050</v>
      </c>
      <c r="I64" s="26" t="str">
        <f>I62</f>
        <v>LO</v>
      </c>
      <c r="J64" s="26"/>
      <c r="K64" s="27" t="e">
        <f>-SUMIFS('TRA RESID'!$P:$P,'TRA RESID'!$I:$I,G64,'TRA RESID'!$J:$J,D64,'TRA RESID'!$H:$H,E64)/SUMIFS('TRA RESID'!$P:$P,'TRA RESID'!$I:$I,G64)*O64</f>
        <v>#DIV/0!</v>
      </c>
      <c r="L64" s="26"/>
      <c r="M64" s="26"/>
      <c r="O64" s="28">
        <v>0</v>
      </c>
      <c r="S64" s="23" t="str">
        <f>IF(S63="*",S63,"")</f>
        <v>*</v>
      </c>
      <c r="T64" s="25" t="str">
        <f t="shared" si="45"/>
        <v>*BEV*</v>
      </c>
      <c r="U64" s="25" t="str">
        <f t="shared" si="45"/>
        <v>TRADSL</v>
      </c>
      <c r="V64" s="25" t="str">
        <f t="shared" si="45"/>
        <v>TRAPASLDTDMD</v>
      </c>
      <c r="W64" s="25" t="str">
        <f t="shared" si="45"/>
        <v>TRAPASLDTDMD</v>
      </c>
      <c r="X64" s="26">
        <v>2050</v>
      </c>
      <c r="Y64" s="26" t="str">
        <f>Y62</f>
        <v>LO</v>
      </c>
      <c r="Z64" s="26"/>
      <c r="AA64" s="27" t="e">
        <f>-SUMIFS('TRA RESID'!$P:$P,'TRA RESID'!$I:$I,W64,'TRA RESID'!$J:$J,T64,'TRA RESID'!$H:$H,U64)/SUMIFS('TRA RESID'!$P:$P,'TRA RESID'!$I:$I,W64)*AE64</f>
        <v>#DIV/0!</v>
      </c>
      <c r="AB64" s="26"/>
      <c r="AC64" s="26"/>
      <c r="AE64" s="28">
        <v>1</v>
      </c>
      <c r="AG64" s="23" t="str">
        <f>IF(AG63="*",AG63,"")</f>
        <v>*</v>
      </c>
      <c r="AH64" s="25" t="str">
        <f t="shared" si="46"/>
        <v>*HEV*</v>
      </c>
      <c r="AI64" s="25" t="str">
        <f t="shared" si="46"/>
        <v>TRADSL</v>
      </c>
      <c r="AJ64" s="25" t="str">
        <f t="shared" si="46"/>
        <v>TRAPASLDTDMD</v>
      </c>
      <c r="AK64" s="25" t="str">
        <f t="shared" si="46"/>
        <v>TRAPASLDTDMD</v>
      </c>
      <c r="AL64" s="26">
        <v>2050</v>
      </c>
      <c r="AM64" s="26" t="str">
        <f>AM62</f>
        <v>LO</v>
      </c>
      <c r="AN64" s="26"/>
      <c r="AO64" s="27" t="e">
        <f>-SUMIFS('TRA RESID'!$P:$P,'TRA RESID'!$I:$I,AK64,'TRA RESID'!$J:$J,AH64,'TRA RESID'!$H:$H,AI64)/SUMIFS('TRA RESID'!$P:$P,'TRA RESID'!$I:$I,AK64)*AS64</f>
        <v>#DIV/0!</v>
      </c>
      <c r="AP64" s="26"/>
      <c r="AQ64" s="26"/>
      <c r="AS64" s="28">
        <v>0</v>
      </c>
      <c r="AU64" s="23" t="str">
        <f>IF(AU63="*",AU63,"")</f>
        <v>*</v>
      </c>
      <c r="AV64" s="25" t="str">
        <f t="shared" si="47"/>
        <v>*FCEV*</v>
      </c>
      <c r="AW64" s="25" t="str">
        <f t="shared" si="47"/>
        <v>TRADSL</v>
      </c>
      <c r="AX64" s="25" t="str">
        <f t="shared" si="47"/>
        <v>TRAPASLDTDMD</v>
      </c>
      <c r="AY64" s="25" t="str">
        <f t="shared" si="47"/>
        <v>TRAPASLDTDMD</v>
      </c>
      <c r="AZ64" s="26">
        <v>2050</v>
      </c>
      <c r="BA64" s="26" t="str">
        <f>BA62</f>
        <v>LO</v>
      </c>
      <c r="BB64" s="26"/>
      <c r="BC64" s="27" t="e">
        <f>-SUMIFS('TRA RESID'!$P:$P,'TRA RESID'!$I:$I,AY64,'TRA RESID'!$J:$J,AV64,'TRA RESID'!$H:$H,AW64)/SUMIFS('TRA RESID'!$P:$P,'TRA RESID'!$I:$I,AY64)*BG64</f>
        <v>#DIV/0!</v>
      </c>
      <c r="BD64" s="26"/>
      <c r="BE64" s="26"/>
      <c r="BG64" s="28">
        <v>0</v>
      </c>
    </row>
    <row r="65" spans="1:59" x14ac:dyDescent="0.25">
      <c r="A65">
        <f>A60+1</f>
        <v>13</v>
      </c>
      <c r="C65" s="15" t="str">
        <f>IF(E65="","",IF(_xlfn.XLOOKUP($A65,Selected_constraint!$A:$A,Selected_constraint!$D:$D)=1,"*",IF(SUMIFS('TRA TECH'!$M:$M,'TRA TECH'!$H:$H,E65,'TRA TECH'!$I:$I,F65)=0,"*",IF(SUMIFS('TRA RESID'!$P:$P,'TRA RESID'!$I:$I,G65,'TRA RESID'!$J:$J,D65,'TRA RESID'!$H:$H,E65)=0,"*","UC_"&amp;SUBSTITUTE(D65,"*","")&amp;"_"&amp;RIGHT(E65,3)&amp;"_"&amp;F65))))</f>
        <v>*</v>
      </c>
      <c r="D65" s="17" t="s">
        <v>485</v>
      </c>
      <c r="E65" s="17" t="str">
        <f>_xlfn.XLOOKUP($A65,Selected_constraint!$A:$A,Selected_constraint!$B:$B)</f>
        <v>TRARDS</v>
      </c>
      <c r="F65" s="17" t="str">
        <f>_xlfn.XLOOKUP($A65,Selected_constraint!$A:$A,Selected_constraint!$C:$C)</f>
        <v>TRAPASLDTDMD</v>
      </c>
      <c r="G65" s="17" t="str">
        <f>F65</f>
        <v>TRAPASLDTDMD</v>
      </c>
      <c r="H65" s="18">
        <v>2019</v>
      </c>
      <c r="I65" s="18" t="s">
        <v>483</v>
      </c>
      <c r="J65" s="18">
        <v>1</v>
      </c>
      <c r="K65" s="20" t="e">
        <f>-SUMIFS('TRA RESID'!$P:$P,'TRA RESID'!$I:$I,G65,'TRA RESID'!$J:$J,D65,'TRA RESID'!$H:$H,E65)/SUMIFS('TRA RESID'!$P:$P,'TRA RESID'!$I:$I,G65)*O65</f>
        <v>#DIV/0!</v>
      </c>
      <c r="L65" s="18">
        <v>0</v>
      </c>
      <c r="M65" s="18">
        <v>5</v>
      </c>
      <c r="O65" s="21">
        <v>0.98</v>
      </c>
      <c r="Q65">
        <f>Q60+1</f>
        <v>13</v>
      </c>
      <c r="S65" s="15" t="str">
        <f>IF(SUMIFS('TRA RESID'!$P:$P,'TRA RESID'!$I:$I,W65,'TRA RESID'!$J:$J,T65,'TRA RESID'!$H:$H,U65)=0,"*","UC_"&amp;SUBSTITUTE(T65,"*","")&amp;"_"&amp;RIGHT(U65,3)&amp;"_"&amp;V65)</f>
        <v>*</v>
      </c>
      <c r="T65" s="17" t="s">
        <v>486</v>
      </c>
      <c r="U65" s="17" t="str">
        <f>_xlfn.XLOOKUP($A65,Selected_constraint!$A:$A,Selected_constraint!$B:$B)</f>
        <v>TRARDS</v>
      </c>
      <c r="V65" s="17" t="str">
        <f>_xlfn.XLOOKUP($A65,Selected_constraint!$A:$A,Selected_constraint!$C:$C)</f>
        <v>TRAPASLDTDMD</v>
      </c>
      <c r="W65" s="17" t="str">
        <f>V65</f>
        <v>TRAPASLDTDMD</v>
      </c>
      <c r="X65" s="18">
        <v>2019</v>
      </c>
      <c r="Y65" s="18" t="s">
        <v>483</v>
      </c>
      <c r="Z65" s="18">
        <v>1</v>
      </c>
      <c r="AA65" s="20" t="e">
        <f>-SUMIFS('TRA RESID'!$P:$P,'TRA RESID'!$I:$I,W65,'TRA RESID'!$J:$J,T65,'TRA RESID'!$H:$H,U65)/SUMIFS('TRA RESID'!$P:$P,'TRA RESID'!$I:$I,W65)*AE65</f>
        <v>#DIV/0!</v>
      </c>
      <c r="AB65" s="18">
        <v>0</v>
      </c>
      <c r="AC65" s="18">
        <v>5</v>
      </c>
      <c r="AE65" s="21">
        <v>0.98</v>
      </c>
      <c r="AG65" s="15" t="str">
        <f>IF(SUMIFS('TRA RESID'!$P:$P,'TRA RESID'!$I:$I,AK65,'TRA RESID'!$J:$J,AH65,'TRA RESID'!$H:$H,AI65)=0,"*","UC_"&amp;SUBSTITUTE(AH65,"*","")&amp;"_"&amp;RIGHT(AI65,3)&amp;"_"&amp;AJ65)</f>
        <v>*</v>
      </c>
      <c r="AH65" s="17" t="s">
        <v>487</v>
      </c>
      <c r="AI65" s="17" t="str">
        <f>_xlfn.XLOOKUP($A65,Selected_constraint!$A:$A,Selected_constraint!$B:$B)</f>
        <v>TRARDS</v>
      </c>
      <c r="AJ65" s="17" t="str">
        <f>_xlfn.XLOOKUP($A65,Selected_constraint!$A:$A,Selected_constraint!$C:$C)</f>
        <v>TRAPASLDTDMD</v>
      </c>
      <c r="AK65" s="17" t="str">
        <f>AJ65</f>
        <v>TRAPASLDTDMD</v>
      </c>
      <c r="AL65" s="18">
        <v>2019</v>
      </c>
      <c r="AM65" s="18" t="s">
        <v>483</v>
      </c>
      <c r="AN65" s="18">
        <v>1</v>
      </c>
      <c r="AO65" s="20" t="e">
        <f>-SUMIFS('TRA RESID'!$P:$P,'TRA RESID'!$I:$I,AK65,'TRA RESID'!$J:$J,AH65,'TRA RESID'!$H:$H,AI65)/SUMIFS('TRA RESID'!$P:$P,'TRA RESID'!$I:$I,AK65)*AS65</f>
        <v>#DIV/0!</v>
      </c>
      <c r="AP65" s="18">
        <v>0</v>
      </c>
      <c r="AQ65" s="18">
        <v>5</v>
      </c>
      <c r="AS65" s="21">
        <v>0.98</v>
      </c>
      <c r="AU65" s="15" t="str">
        <f>IF(SUMIFS('TRA RESID'!$P:$P,'TRA RESID'!$I:$I,AY65,'TRA RESID'!$J:$J,AV65,'TRA RESID'!$H:$H,AW65)=0,"*","UC_"&amp;SUBSTITUTE(AV65,"*","")&amp;"_"&amp;RIGHT(AW65,3)&amp;"_"&amp;AX65)</f>
        <v>*</v>
      </c>
      <c r="AV65" s="17" t="s">
        <v>488</v>
      </c>
      <c r="AW65" s="17" t="str">
        <f>_xlfn.XLOOKUP($A65,Selected_constraint!$A:$A,Selected_constraint!$B:$B)</f>
        <v>TRARDS</v>
      </c>
      <c r="AX65" s="17" t="str">
        <f>_xlfn.XLOOKUP($A65,Selected_constraint!$A:$A,Selected_constraint!$C:$C)</f>
        <v>TRAPASLDTDMD</v>
      </c>
      <c r="AY65" s="17" t="str">
        <f>AX65</f>
        <v>TRAPASLDTDMD</v>
      </c>
      <c r="AZ65" s="18">
        <v>2019</v>
      </c>
      <c r="BA65" s="18" t="s">
        <v>483</v>
      </c>
      <c r="BB65" s="18">
        <v>1</v>
      </c>
      <c r="BC65" s="20" t="e">
        <f>-SUMIFS('TRA RESID'!$P:$P,'TRA RESID'!$I:$I,AY65,'TRA RESID'!$J:$J,AV65,'TRA RESID'!$H:$H,AW65)/SUMIFS('TRA RESID'!$P:$P,'TRA RESID'!$I:$I,AY65)*BG65</f>
        <v>#DIV/0!</v>
      </c>
      <c r="BD65" s="18">
        <v>0</v>
      </c>
      <c r="BE65" s="18">
        <v>5</v>
      </c>
      <c r="BG65" s="21">
        <v>0.98</v>
      </c>
    </row>
    <row r="66" spans="1:59" x14ac:dyDescent="0.25">
      <c r="C66" s="15" t="str">
        <f>IF(C65="*",C65,"")</f>
        <v>*</v>
      </c>
      <c r="D66" s="17" t="str">
        <f t="shared" ref="D66:G69" si="48">D65</f>
        <v>*ICEV*</v>
      </c>
      <c r="E66" s="17" t="str">
        <f t="shared" si="48"/>
        <v>TRARDS</v>
      </c>
      <c r="F66" s="17" t="str">
        <f t="shared" si="48"/>
        <v>TRAPASLDTDMD</v>
      </c>
      <c r="G66" s="17" t="str">
        <f t="shared" si="48"/>
        <v>TRAPASLDTDMD</v>
      </c>
      <c r="H66" s="18">
        <v>2025</v>
      </c>
      <c r="I66" s="18" t="str">
        <f>I65</f>
        <v>LO</v>
      </c>
      <c r="J66" s="18"/>
      <c r="K66" s="20" t="e">
        <f>-SUMIFS('TRA RESID'!$P:$P,'TRA RESID'!$I:$I,G66,'TRA RESID'!$J:$J,D66,'TRA RESID'!$H:$H,E66)/SUMIFS('TRA RESID'!$P:$P,'TRA RESID'!$I:$I,G66)*O66</f>
        <v>#DIV/0!</v>
      </c>
      <c r="L66" s="18"/>
      <c r="M66" s="18"/>
      <c r="O66" s="21">
        <v>0.8</v>
      </c>
      <c r="S66" s="15" t="str">
        <f>IF(S65="*",S65,"")</f>
        <v>*</v>
      </c>
      <c r="T66" s="17" t="str">
        <f t="shared" ref="T66:W69" si="49">T65</f>
        <v>*BEV*</v>
      </c>
      <c r="U66" s="17" t="str">
        <f t="shared" si="49"/>
        <v>TRARDS</v>
      </c>
      <c r="V66" s="17" t="str">
        <f t="shared" si="49"/>
        <v>TRAPASLDTDMD</v>
      </c>
      <c r="W66" s="17" t="str">
        <f t="shared" si="49"/>
        <v>TRAPASLDTDMD</v>
      </c>
      <c r="X66" s="18">
        <v>2025</v>
      </c>
      <c r="Y66" s="18" t="str">
        <f>Y65</f>
        <v>LO</v>
      </c>
      <c r="Z66" s="18"/>
      <c r="AA66" s="20" t="e">
        <f>-SUMIFS('TRA RESID'!$P:$P,'TRA RESID'!$I:$I,W66,'TRA RESID'!$J:$J,T66,'TRA RESID'!$H:$H,U66)/SUMIFS('TRA RESID'!$P:$P,'TRA RESID'!$I:$I,W66)*AE66</f>
        <v>#DIV/0!</v>
      </c>
      <c r="AB66" s="18"/>
      <c r="AC66" s="18"/>
      <c r="AE66" s="21">
        <v>1</v>
      </c>
      <c r="AG66" s="15" t="str">
        <f>IF(AG65="*",AG65,"")</f>
        <v>*</v>
      </c>
      <c r="AH66" s="17" t="str">
        <f t="shared" ref="AH66:AK69" si="50">AH65</f>
        <v>*HEV*</v>
      </c>
      <c r="AI66" s="17" t="str">
        <f t="shared" si="50"/>
        <v>TRARDS</v>
      </c>
      <c r="AJ66" s="17" t="str">
        <f t="shared" si="50"/>
        <v>TRAPASLDTDMD</v>
      </c>
      <c r="AK66" s="17" t="str">
        <f t="shared" si="50"/>
        <v>TRAPASLDTDMD</v>
      </c>
      <c r="AL66" s="18">
        <v>2025</v>
      </c>
      <c r="AM66" s="18" t="str">
        <f>AM65</f>
        <v>LO</v>
      </c>
      <c r="AN66" s="18"/>
      <c r="AO66" s="20" t="e">
        <f>-SUMIFS('TRA RESID'!$P:$P,'TRA RESID'!$I:$I,AK66,'TRA RESID'!$J:$J,AH66,'TRA RESID'!$H:$H,AI66)/SUMIFS('TRA RESID'!$P:$P,'TRA RESID'!$I:$I,AK66)*AS66</f>
        <v>#DIV/0!</v>
      </c>
      <c r="AP66" s="18"/>
      <c r="AQ66" s="18"/>
      <c r="AS66" s="21">
        <v>0.8</v>
      </c>
      <c r="AU66" s="15" t="str">
        <f>IF(AU65="*",AU65,"")</f>
        <v>*</v>
      </c>
      <c r="AV66" s="17" t="str">
        <f t="shared" ref="AV66:AY69" si="51">AV65</f>
        <v>*FCEV*</v>
      </c>
      <c r="AW66" s="17" t="str">
        <f t="shared" si="51"/>
        <v>TRARDS</v>
      </c>
      <c r="AX66" s="17" t="str">
        <f t="shared" si="51"/>
        <v>TRAPASLDTDMD</v>
      </c>
      <c r="AY66" s="17" t="str">
        <f t="shared" si="51"/>
        <v>TRAPASLDTDMD</v>
      </c>
      <c r="AZ66" s="18">
        <v>2025</v>
      </c>
      <c r="BA66" s="18" t="str">
        <f>BA65</f>
        <v>LO</v>
      </c>
      <c r="BB66" s="18"/>
      <c r="BC66" s="20" t="e">
        <f>-SUMIFS('TRA RESID'!$P:$P,'TRA RESID'!$I:$I,AY66,'TRA RESID'!$J:$J,AV66,'TRA RESID'!$H:$H,AW66)/SUMIFS('TRA RESID'!$P:$P,'TRA RESID'!$I:$I,AY66)*BG66</f>
        <v>#DIV/0!</v>
      </c>
      <c r="BD66" s="18"/>
      <c r="BE66" s="18"/>
      <c r="BG66" s="21">
        <v>0.8</v>
      </c>
    </row>
    <row r="67" spans="1:59" x14ac:dyDescent="0.25">
      <c r="C67" s="15" t="str">
        <f>IF(C66="*",C66,"")</f>
        <v>*</v>
      </c>
      <c r="D67" s="17" t="str">
        <f t="shared" si="48"/>
        <v>*ICEV*</v>
      </c>
      <c r="E67" s="17" t="str">
        <f t="shared" si="48"/>
        <v>TRARDS</v>
      </c>
      <c r="F67" s="17" t="str">
        <f t="shared" si="48"/>
        <v>TRAPASLDTDMD</v>
      </c>
      <c r="G67" s="17" t="str">
        <f t="shared" si="48"/>
        <v>TRAPASLDTDMD</v>
      </c>
      <c r="H67" s="18">
        <v>2030</v>
      </c>
      <c r="I67" s="18" t="str">
        <f>I66</f>
        <v>LO</v>
      </c>
      <c r="J67" s="18"/>
      <c r="K67" s="20" t="e">
        <f>-SUMIFS('TRA RESID'!$P:$P,'TRA RESID'!$I:$I,G67,'TRA RESID'!$J:$J,D67,'TRA RESID'!$H:$H,E67)/SUMIFS('TRA RESID'!$P:$P,'TRA RESID'!$I:$I,G67)*O67</f>
        <v>#DIV/0!</v>
      </c>
      <c r="L67" s="18"/>
      <c r="M67" s="18"/>
      <c r="O67" s="21">
        <v>0.5</v>
      </c>
      <c r="S67" s="15" t="str">
        <f>IF(S66="*",S66,"")</f>
        <v>*</v>
      </c>
      <c r="T67" s="17" t="str">
        <f t="shared" si="49"/>
        <v>*BEV*</v>
      </c>
      <c r="U67" s="17" t="str">
        <f t="shared" si="49"/>
        <v>TRARDS</v>
      </c>
      <c r="V67" s="17" t="str">
        <f t="shared" si="49"/>
        <v>TRAPASLDTDMD</v>
      </c>
      <c r="W67" s="17" t="str">
        <f t="shared" si="49"/>
        <v>TRAPASLDTDMD</v>
      </c>
      <c r="X67" s="18">
        <v>2030</v>
      </c>
      <c r="Y67" s="18" t="str">
        <f>Y66</f>
        <v>LO</v>
      </c>
      <c r="Z67" s="18"/>
      <c r="AA67" s="20" t="e">
        <f>-SUMIFS('TRA RESID'!$P:$P,'TRA RESID'!$I:$I,W67,'TRA RESID'!$J:$J,T67,'TRA RESID'!$H:$H,U67)/SUMIFS('TRA RESID'!$P:$P,'TRA RESID'!$I:$I,W67)*AE67</f>
        <v>#DIV/0!</v>
      </c>
      <c r="AB67" s="18"/>
      <c r="AC67" s="18"/>
      <c r="AE67" s="21">
        <v>1</v>
      </c>
      <c r="AG67" s="15" t="str">
        <f>IF(AG66="*",AG66,"")</f>
        <v>*</v>
      </c>
      <c r="AH67" s="17" t="str">
        <f t="shared" si="50"/>
        <v>*HEV*</v>
      </c>
      <c r="AI67" s="17" t="str">
        <f t="shared" si="50"/>
        <v>TRARDS</v>
      </c>
      <c r="AJ67" s="17" t="str">
        <f t="shared" si="50"/>
        <v>TRAPASLDTDMD</v>
      </c>
      <c r="AK67" s="17" t="str">
        <f t="shared" si="50"/>
        <v>TRAPASLDTDMD</v>
      </c>
      <c r="AL67" s="18">
        <v>2030</v>
      </c>
      <c r="AM67" s="18" t="str">
        <f>AM66</f>
        <v>LO</v>
      </c>
      <c r="AN67" s="18"/>
      <c r="AO67" s="20" t="e">
        <f>-SUMIFS('TRA RESID'!$P:$P,'TRA RESID'!$I:$I,AK67,'TRA RESID'!$J:$J,AH67,'TRA RESID'!$H:$H,AI67)/SUMIFS('TRA RESID'!$P:$P,'TRA RESID'!$I:$I,AK67)*AS67</f>
        <v>#DIV/0!</v>
      </c>
      <c r="AP67" s="18"/>
      <c r="AQ67" s="18"/>
      <c r="AS67" s="21">
        <v>0.5</v>
      </c>
      <c r="AU67" s="15" t="str">
        <f>IF(AU66="*",AU66,"")</f>
        <v>*</v>
      </c>
      <c r="AV67" s="17" t="str">
        <f t="shared" si="51"/>
        <v>*FCEV*</v>
      </c>
      <c r="AW67" s="17" t="str">
        <f t="shared" si="51"/>
        <v>TRARDS</v>
      </c>
      <c r="AX67" s="17" t="str">
        <f t="shared" si="51"/>
        <v>TRAPASLDTDMD</v>
      </c>
      <c r="AY67" s="17" t="str">
        <f t="shared" si="51"/>
        <v>TRAPASLDTDMD</v>
      </c>
      <c r="AZ67" s="18">
        <v>2030</v>
      </c>
      <c r="BA67" s="18" t="str">
        <f>BA66</f>
        <v>LO</v>
      </c>
      <c r="BB67" s="18"/>
      <c r="BC67" s="20" t="e">
        <f>-SUMIFS('TRA RESID'!$P:$P,'TRA RESID'!$I:$I,AY67,'TRA RESID'!$J:$J,AV67,'TRA RESID'!$H:$H,AW67)/SUMIFS('TRA RESID'!$P:$P,'TRA RESID'!$I:$I,AY67)*BG67</f>
        <v>#DIV/0!</v>
      </c>
      <c r="BD67" s="18"/>
      <c r="BE67" s="18"/>
      <c r="BG67" s="21">
        <v>0.5</v>
      </c>
    </row>
    <row r="68" spans="1:59" x14ac:dyDescent="0.25">
      <c r="C68" s="15" t="str">
        <f>IF(C67="*",C67,"")</f>
        <v>*</v>
      </c>
      <c r="D68" s="17" t="str">
        <f t="shared" si="48"/>
        <v>*ICEV*</v>
      </c>
      <c r="E68" s="17" t="str">
        <f t="shared" si="48"/>
        <v>TRARDS</v>
      </c>
      <c r="F68" s="17" t="str">
        <f t="shared" si="48"/>
        <v>TRAPASLDTDMD</v>
      </c>
      <c r="G68" s="17" t="str">
        <f t="shared" si="48"/>
        <v>TRAPASLDTDMD</v>
      </c>
      <c r="H68" s="18">
        <v>2040</v>
      </c>
      <c r="I68" s="18" t="str">
        <f>I67</f>
        <v>LO</v>
      </c>
      <c r="J68" s="18"/>
      <c r="K68" s="20" t="e">
        <f>-SUMIFS('TRA RESID'!$P:$P,'TRA RESID'!$I:$I,G68,'TRA RESID'!$J:$J,D68,'TRA RESID'!$H:$H,E68)/SUMIFS('TRA RESID'!$P:$P,'TRA RESID'!$I:$I,G68)*O68</f>
        <v>#DIV/0!</v>
      </c>
      <c r="L68" s="18"/>
      <c r="M68" s="18"/>
      <c r="O68" s="21">
        <v>0</v>
      </c>
      <c r="S68" s="15" t="str">
        <f>IF(S67="*",S67,"")</f>
        <v>*</v>
      </c>
      <c r="T68" s="17" t="str">
        <f t="shared" si="49"/>
        <v>*BEV*</v>
      </c>
      <c r="U68" s="17" t="str">
        <f t="shared" si="49"/>
        <v>TRARDS</v>
      </c>
      <c r="V68" s="17" t="str">
        <f t="shared" si="49"/>
        <v>TRAPASLDTDMD</v>
      </c>
      <c r="W68" s="17" t="str">
        <f t="shared" si="49"/>
        <v>TRAPASLDTDMD</v>
      </c>
      <c r="X68" s="18">
        <v>2040</v>
      </c>
      <c r="Y68" s="18" t="str">
        <f>Y67</f>
        <v>LO</v>
      </c>
      <c r="Z68" s="18"/>
      <c r="AA68" s="20" t="e">
        <f>-SUMIFS('TRA RESID'!$P:$P,'TRA RESID'!$I:$I,W68,'TRA RESID'!$J:$J,T68,'TRA RESID'!$H:$H,U68)/SUMIFS('TRA RESID'!$P:$P,'TRA RESID'!$I:$I,W68)*AE68</f>
        <v>#DIV/0!</v>
      </c>
      <c r="AB68" s="18"/>
      <c r="AC68" s="18"/>
      <c r="AE68" s="21">
        <v>1</v>
      </c>
      <c r="AG68" s="15" t="str">
        <f>IF(AG67="*",AG67,"")</f>
        <v>*</v>
      </c>
      <c r="AH68" s="17" t="str">
        <f t="shared" si="50"/>
        <v>*HEV*</v>
      </c>
      <c r="AI68" s="17" t="str">
        <f t="shared" si="50"/>
        <v>TRARDS</v>
      </c>
      <c r="AJ68" s="17" t="str">
        <f t="shared" si="50"/>
        <v>TRAPASLDTDMD</v>
      </c>
      <c r="AK68" s="17" t="str">
        <f t="shared" si="50"/>
        <v>TRAPASLDTDMD</v>
      </c>
      <c r="AL68" s="18">
        <v>2040</v>
      </c>
      <c r="AM68" s="18" t="str">
        <f>AM67</f>
        <v>LO</v>
      </c>
      <c r="AN68" s="18"/>
      <c r="AO68" s="20" t="e">
        <f>-SUMIFS('TRA RESID'!$P:$P,'TRA RESID'!$I:$I,AK68,'TRA RESID'!$J:$J,AH68,'TRA RESID'!$H:$H,AI68)/SUMIFS('TRA RESID'!$P:$P,'TRA RESID'!$I:$I,AK68)*AS68</f>
        <v>#DIV/0!</v>
      </c>
      <c r="AP68" s="18"/>
      <c r="AQ68" s="18"/>
      <c r="AS68" s="21">
        <v>0</v>
      </c>
      <c r="AU68" s="15" t="str">
        <f>IF(AU67="*",AU67,"")</f>
        <v>*</v>
      </c>
      <c r="AV68" s="17" t="str">
        <f t="shared" si="51"/>
        <v>*FCEV*</v>
      </c>
      <c r="AW68" s="17" t="str">
        <f t="shared" si="51"/>
        <v>TRARDS</v>
      </c>
      <c r="AX68" s="17" t="str">
        <f t="shared" si="51"/>
        <v>TRAPASLDTDMD</v>
      </c>
      <c r="AY68" s="17" t="str">
        <f t="shared" si="51"/>
        <v>TRAPASLDTDMD</v>
      </c>
      <c r="AZ68" s="18">
        <v>2040</v>
      </c>
      <c r="BA68" s="18" t="str">
        <f>BA67</f>
        <v>LO</v>
      </c>
      <c r="BB68" s="18"/>
      <c r="BC68" s="20" t="e">
        <f>-SUMIFS('TRA RESID'!$P:$P,'TRA RESID'!$I:$I,AY68,'TRA RESID'!$J:$J,AV68,'TRA RESID'!$H:$H,AW68)/SUMIFS('TRA RESID'!$P:$P,'TRA RESID'!$I:$I,AY68)*BG68</f>
        <v>#DIV/0!</v>
      </c>
      <c r="BD68" s="18"/>
      <c r="BE68" s="18"/>
      <c r="BG68" s="21">
        <v>0</v>
      </c>
    </row>
    <row r="69" spans="1:59" x14ac:dyDescent="0.25">
      <c r="C69" s="23" t="str">
        <f>IF(C68="*",C68,"")</f>
        <v>*</v>
      </c>
      <c r="D69" s="25" t="str">
        <f t="shared" si="48"/>
        <v>*ICEV*</v>
      </c>
      <c r="E69" s="25" t="str">
        <f t="shared" si="48"/>
        <v>TRARDS</v>
      </c>
      <c r="F69" s="25" t="str">
        <f t="shared" si="48"/>
        <v>TRAPASLDTDMD</v>
      </c>
      <c r="G69" s="25" t="str">
        <f t="shared" si="48"/>
        <v>TRAPASLDTDMD</v>
      </c>
      <c r="H69" s="26">
        <v>2050</v>
      </c>
      <c r="I69" s="26" t="str">
        <f>I67</f>
        <v>LO</v>
      </c>
      <c r="J69" s="26"/>
      <c r="K69" s="27" t="e">
        <f>-SUMIFS('TRA RESID'!$P:$P,'TRA RESID'!$I:$I,G69,'TRA RESID'!$J:$J,D69,'TRA RESID'!$H:$H,E69)/SUMIFS('TRA RESID'!$P:$P,'TRA RESID'!$I:$I,G69)*O69</f>
        <v>#DIV/0!</v>
      </c>
      <c r="L69" s="26"/>
      <c r="M69" s="26"/>
      <c r="O69" s="28">
        <v>0</v>
      </c>
      <c r="S69" s="23" t="str">
        <f>IF(S68="*",S68,"")</f>
        <v>*</v>
      </c>
      <c r="T69" s="25" t="str">
        <f t="shared" si="49"/>
        <v>*BEV*</v>
      </c>
      <c r="U69" s="25" t="str">
        <f t="shared" si="49"/>
        <v>TRARDS</v>
      </c>
      <c r="V69" s="25" t="str">
        <f t="shared" si="49"/>
        <v>TRAPASLDTDMD</v>
      </c>
      <c r="W69" s="25" t="str">
        <f t="shared" si="49"/>
        <v>TRAPASLDTDMD</v>
      </c>
      <c r="X69" s="26">
        <v>2050</v>
      </c>
      <c r="Y69" s="26" t="str">
        <f>Y67</f>
        <v>LO</v>
      </c>
      <c r="Z69" s="26"/>
      <c r="AA69" s="27" t="e">
        <f>-SUMIFS('TRA RESID'!$P:$P,'TRA RESID'!$I:$I,W69,'TRA RESID'!$J:$J,T69,'TRA RESID'!$H:$H,U69)/SUMIFS('TRA RESID'!$P:$P,'TRA RESID'!$I:$I,W69)*AE69</f>
        <v>#DIV/0!</v>
      </c>
      <c r="AB69" s="26"/>
      <c r="AC69" s="26"/>
      <c r="AE69" s="28">
        <v>1</v>
      </c>
      <c r="AG69" s="23" t="str">
        <f>IF(AG68="*",AG68,"")</f>
        <v>*</v>
      </c>
      <c r="AH69" s="25" t="str">
        <f t="shared" si="50"/>
        <v>*HEV*</v>
      </c>
      <c r="AI69" s="25" t="str">
        <f t="shared" si="50"/>
        <v>TRARDS</v>
      </c>
      <c r="AJ69" s="25" t="str">
        <f t="shared" si="50"/>
        <v>TRAPASLDTDMD</v>
      </c>
      <c r="AK69" s="25" t="str">
        <f t="shared" si="50"/>
        <v>TRAPASLDTDMD</v>
      </c>
      <c r="AL69" s="26">
        <v>2050</v>
      </c>
      <c r="AM69" s="26" t="str">
        <f>AM67</f>
        <v>LO</v>
      </c>
      <c r="AN69" s="26"/>
      <c r="AO69" s="27" t="e">
        <f>-SUMIFS('TRA RESID'!$P:$P,'TRA RESID'!$I:$I,AK69,'TRA RESID'!$J:$J,AH69,'TRA RESID'!$H:$H,AI69)/SUMIFS('TRA RESID'!$P:$P,'TRA RESID'!$I:$I,AK69)*AS69</f>
        <v>#DIV/0!</v>
      </c>
      <c r="AP69" s="26"/>
      <c r="AQ69" s="26"/>
      <c r="AS69" s="28">
        <v>0</v>
      </c>
      <c r="AU69" s="23" t="str">
        <f>IF(AU68="*",AU68,"")</f>
        <v>*</v>
      </c>
      <c r="AV69" s="25" t="str">
        <f t="shared" si="51"/>
        <v>*FCEV*</v>
      </c>
      <c r="AW69" s="25" t="str">
        <f t="shared" si="51"/>
        <v>TRARDS</v>
      </c>
      <c r="AX69" s="25" t="str">
        <f t="shared" si="51"/>
        <v>TRAPASLDTDMD</v>
      </c>
      <c r="AY69" s="25" t="str">
        <f t="shared" si="51"/>
        <v>TRAPASLDTDMD</v>
      </c>
      <c r="AZ69" s="26">
        <v>2050</v>
      </c>
      <c r="BA69" s="26" t="str">
        <f>BA67</f>
        <v>LO</v>
      </c>
      <c r="BB69" s="26"/>
      <c r="BC69" s="27" t="e">
        <f>-SUMIFS('TRA RESID'!$P:$P,'TRA RESID'!$I:$I,AY69,'TRA RESID'!$J:$J,AV69,'TRA RESID'!$H:$H,AW69)/SUMIFS('TRA RESID'!$P:$P,'TRA RESID'!$I:$I,AY69)*BG69</f>
        <v>#DIV/0!</v>
      </c>
      <c r="BD69" s="26"/>
      <c r="BE69" s="26"/>
      <c r="BG69" s="28">
        <v>0</v>
      </c>
    </row>
    <row r="70" spans="1:59" x14ac:dyDescent="0.25">
      <c r="A70">
        <f>A65+1</f>
        <v>14</v>
      </c>
      <c r="C70" s="15" t="str">
        <f>IF(E70="","",IF(_xlfn.XLOOKUP($A70,Selected_constraint!$A:$A,Selected_constraint!$D:$D)=1,"*",IF(SUMIFS('TRA TECH'!$M:$M,'TRA TECH'!$H:$H,E70,'TRA TECH'!$I:$I,F70)=0,"*",IF(SUMIFS('TRA RESID'!$P:$P,'TRA RESID'!$I:$I,G70,'TRA RESID'!$J:$J,D70,'TRA RESID'!$H:$H,E70)=0,"*","UC_"&amp;SUBSTITUTE(D70,"*","")&amp;"_"&amp;RIGHT(E70,3)&amp;"_"&amp;F70))))</f>
        <v>*</v>
      </c>
      <c r="D70" s="17" t="s">
        <v>485</v>
      </c>
      <c r="E70" s="17" t="str">
        <f>_xlfn.XLOOKUP($A70,Selected_constraint!$A:$A,Selected_constraint!$B:$B)</f>
        <v>TRABDS</v>
      </c>
      <c r="F70" s="17" t="str">
        <f>_xlfn.XLOOKUP($A70,Selected_constraint!$A:$A,Selected_constraint!$C:$C)</f>
        <v>TRAPASLDTDMD</v>
      </c>
      <c r="G70" s="17" t="str">
        <f>F70</f>
        <v>TRAPASLDTDMD</v>
      </c>
      <c r="H70" s="18">
        <v>2019</v>
      </c>
      <c r="I70" s="18" t="s">
        <v>483</v>
      </c>
      <c r="J70" s="18">
        <v>1</v>
      </c>
      <c r="K70" s="20" t="e">
        <f>-SUMIFS('TRA RESID'!$P:$P,'TRA RESID'!$I:$I,G70,'TRA RESID'!$J:$J,D70,'TRA RESID'!$H:$H,E70)/SUMIFS('TRA RESID'!$P:$P,'TRA RESID'!$I:$I,G70)*O70</f>
        <v>#DIV/0!</v>
      </c>
      <c r="L70" s="18">
        <v>0</v>
      </c>
      <c r="M70" s="18">
        <v>5</v>
      </c>
      <c r="O70" s="21">
        <v>0.98</v>
      </c>
      <c r="Q70">
        <f>Q65+1</f>
        <v>14</v>
      </c>
      <c r="S70" s="15" t="str">
        <f>IF(SUMIFS('TRA RESID'!$P:$P,'TRA RESID'!$I:$I,W70,'TRA RESID'!$J:$J,T70,'TRA RESID'!$H:$H,U70)=0,"*","UC_"&amp;SUBSTITUTE(T70,"*","")&amp;"_"&amp;RIGHT(U70,3)&amp;"_"&amp;V70)</f>
        <v>*</v>
      </c>
      <c r="T70" s="17" t="s">
        <v>486</v>
      </c>
      <c r="U70" s="17" t="str">
        <f>_xlfn.XLOOKUP($A70,Selected_constraint!$A:$A,Selected_constraint!$B:$B)</f>
        <v>TRABDS</v>
      </c>
      <c r="V70" s="17" t="str">
        <f>_xlfn.XLOOKUP($A70,Selected_constraint!$A:$A,Selected_constraint!$C:$C)</f>
        <v>TRAPASLDTDMD</v>
      </c>
      <c r="W70" s="17" t="str">
        <f>V70</f>
        <v>TRAPASLDTDMD</v>
      </c>
      <c r="X70" s="18">
        <v>2019</v>
      </c>
      <c r="Y70" s="18" t="s">
        <v>483</v>
      </c>
      <c r="Z70" s="18">
        <v>1</v>
      </c>
      <c r="AA70" s="20" t="e">
        <f>-SUMIFS('TRA RESID'!$P:$P,'TRA RESID'!$I:$I,W70,'TRA RESID'!$J:$J,T70,'TRA RESID'!$H:$H,U70)/SUMIFS('TRA RESID'!$P:$P,'TRA RESID'!$I:$I,W70)*AE70</f>
        <v>#DIV/0!</v>
      </c>
      <c r="AB70" s="18">
        <v>0</v>
      </c>
      <c r="AC70" s="18">
        <v>5</v>
      </c>
      <c r="AE70" s="21">
        <v>0.98</v>
      </c>
      <c r="AG70" s="15" t="str">
        <f>IF(SUMIFS('TRA RESID'!$P:$P,'TRA RESID'!$I:$I,AK70,'TRA RESID'!$J:$J,AH70,'TRA RESID'!$H:$H,AI70)=0,"*","UC_"&amp;SUBSTITUTE(AH70,"*","")&amp;"_"&amp;RIGHT(AI70,3)&amp;"_"&amp;AJ70)</f>
        <v>*</v>
      </c>
      <c r="AH70" s="17" t="s">
        <v>487</v>
      </c>
      <c r="AI70" s="17" t="str">
        <f>_xlfn.XLOOKUP($A70,Selected_constraint!$A:$A,Selected_constraint!$B:$B)</f>
        <v>TRABDS</v>
      </c>
      <c r="AJ70" s="17" t="str">
        <f>_xlfn.XLOOKUP($A70,Selected_constraint!$A:$A,Selected_constraint!$C:$C)</f>
        <v>TRAPASLDTDMD</v>
      </c>
      <c r="AK70" s="17" t="str">
        <f>AJ70</f>
        <v>TRAPASLDTDMD</v>
      </c>
      <c r="AL70" s="18">
        <v>2019</v>
      </c>
      <c r="AM70" s="18" t="s">
        <v>483</v>
      </c>
      <c r="AN70" s="18">
        <v>1</v>
      </c>
      <c r="AO70" s="20" t="e">
        <f>-SUMIFS('TRA RESID'!$P:$P,'TRA RESID'!$I:$I,AK70,'TRA RESID'!$J:$J,AH70,'TRA RESID'!$H:$H,AI70)/SUMIFS('TRA RESID'!$P:$P,'TRA RESID'!$I:$I,AK70)*AS70</f>
        <v>#DIV/0!</v>
      </c>
      <c r="AP70" s="18">
        <v>0</v>
      </c>
      <c r="AQ70" s="18">
        <v>5</v>
      </c>
      <c r="AS70" s="21">
        <v>0.98</v>
      </c>
      <c r="AU70" s="15" t="str">
        <f>IF(SUMIFS('TRA RESID'!$P:$P,'TRA RESID'!$I:$I,AY70,'TRA RESID'!$J:$J,AV70,'TRA RESID'!$H:$H,AW70)=0,"*","UC_"&amp;SUBSTITUTE(AV70,"*","")&amp;"_"&amp;RIGHT(AW70,3)&amp;"_"&amp;AX70)</f>
        <v>*</v>
      </c>
      <c r="AV70" s="17" t="s">
        <v>488</v>
      </c>
      <c r="AW70" s="17" t="str">
        <f>_xlfn.XLOOKUP($A70,Selected_constraint!$A:$A,Selected_constraint!$B:$B)</f>
        <v>TRABDS</v>
      </c>
      <c r="AX70" s="17" t="str">
        <f>_xlfn.XLOOKUP($A70,Selected_constraint!$A:$A,Selected_constraint!$C:$C)</f>
        <v>TRAPASLDTDMD</v>
      </c>
      <c r="AY70" s="17" t="str">
        <f>AX70</f>
        <v>TRAPASLDTDMD</v>
      </c>
      <c r="AZ70" s="18">
        <v>2019</v>
      </c>
      <c r="BA70" s="18" t="s">
        <v>483</v>
      </c>
      <c r="BB70" s="18">
        <v>1</v>
      </c>
      <c r="BC70" s="20" t="e">
        <f>-SUMIFS('TRA RESID'!$P:$P,'TRA RESID'!$I:$I,AY70,'TRA RESID'!$J:$J,AV70,'TRA RESID'!$H:$H,AW70)/SUMIFS('TRA RESID'!$P:$P,'TRA RESID'!$I:$I,AY70)*BG70</f>
        <v>#DIV/0!</v>
      </c>
      <c r="BD70" s="18">
        <v>0</v>
      </c>
      <c r="BE70" s="18">
        <v>5</v>
      </c>
      <c r="BG70" s="21">
        <v>0.98</v>
      </c>
    </row>
    <row r="71" spans="1:59" x14ac:dyDescent="0.25">
      <c r="C71" s="15" t="str">
        <f>IF(C70="*",C70,"")</f>
        <v>*</v>
      </c>
      <c r="D71" s="17" t="str">
        <f t="shared" ref="D71:G74" si="52">D70</f>
        <v>*ICEV*</v>
      </c>
      <c r="E71" s="17" t="str">
        <f t="shared" si="52"/>
        <v>TRABDS</v>
      </c>
      <c r="F71" s="17" t="str">
        <f t="shared" si="52"/>
        <v>TRAPASLDTDMD</v>
      </c>
      <c r="G71" s="17" t="str">
        <f t="shared" si="52"/>
        <v>TRAPASLDTDMD</v>
      </c>
      <c r="H71" s="18">
        <v>2025</v>
      </c>
      <c r="I71" s="18" t="str">
        <f>I70</f>
        <v>LO</v>
      </c>
      <c r="J71" s="18"/>
      <c r="K71" s="20" t="e">
        <f>-SUMIFS('TRA RESID'!$P:$P,'TRA RESID'!$I:$I,G71,'TRA RESID'!$J:$J,D71,'TRA RESID'!$H:$H,E71)/SUMIFS('TRA RESID'!$P:$P,'TRA RESID'!$I:$I,G71)*O71</f>
        <v>#DIV/0!</v>
      </c>
      <c r="L71" s="18"/>
      <c r="M71" s="18"/>
      <c r="O71" s="21">
        <v>0.8</v>
      </c>
      <c r="S71" s="15" t="str">
        <f>IF(S70="*",S70,"")</f>
        <v>*</v>
      </c>
      <c r="T71" s="17" t="str">
        <f t="shared" ref="T71:W74" si="53">T70</f>
        <v>*BEV*</v>
      </c>
      <c r="U71" s="17" t="str">
        <f t="shared" si="53"/>
        <v>TRABDS</v>
      </c>
      <c r="V71" s="17" t="str">
        <f t="shared" si="53"/>
        <v>TRAPASLDTDMD</v>
      </c>
      <c r="W71" s="17" t="str">
        <f t="shared" si="53"/>
        <v>TRAPASLDTDMD</v>
      </c>
      <c r="X71" s="18">
        <v>2025</v>
      </c>
      <c r="Y71" s="18" t="str">
        <f>Y70</f>
        <v>LO</v>
      </c>
      <c r="Z71" s="18"/>
      <c r="AA71" s="20" t="e">
        <f>-SUMIFS('TRA RESID'!$P:$P,'TRA RESID'!$I:$I,W71,'TRA RESID'!$J:$J,T71,'TRA RESID'!$H:$H,U71)/SUMIFS('TRA RESID'!$P:$P,'TRA RESID'!$I:$I,W71)*AE71</f>
        <v>#DIV/0!</v>
      </c>
      <c r="AB71" s="18"/>
      <c r="AC71" s="18"/>
      <c r="AE71" s="21">
        <v>1</v>
      </c>
      <c r="AG71" s="15" t="str">
        <f>IF(AG70="*",AG70,"")</f>
        <v>*</v>
      </c>
      <c r="AH71" s="17" t="str">
        <f t="shared" ref="AH71:AK74" si="54">AH70</f>
        <v>*HEV*</v>
      </c>
      <c r="AI71" s="17" t="str">
        <f t="shared" si="54"/>
        <v>TRABDS</v>
      </c>
      <c r="AJ71" s="17" t="str">
        <f t="shared" si="54"/>
        <v>TRAPASLDTDMD</v>
      </c>
      <c r="AK71" s="17" t="str">
        <f t="shared" si="54"/>
        <v>TRAPASLDTDMD</v>
      </c>
      <c r="AL71" s="18">
        <v>2025</v>
      </c>
      <c r="AM71" s="18" t="str">
        <f>AM70</f>
        <v>LO</v>
      </c>
      <c r="AN71" s="18"/>
      <c r="AO71" s="20" t="e">
        <f>-SUMIFS('TRA RESID'!$P:$P,'TRA RESID'!$I:$I,AK71,'TRA RESID'!$J:$J,AH71,'TRA RESID'!$H:$H,AI71)/SUMIFS('TRA RESID'!$P:$P,'TRA RESID'!$I:$I,AK71)*AS71</f>
        <v>#DIV/0!</v>
      </c>
      <c r="AP71" s="18"/>
      <c r="AQ71" s="18"/>
      <c r="AS71" s="21">
        <v>0.8</v>
      </c>
      <c r="AU71" s="15" t="str">
        <f>IF(AU70="*",AU70,"")</f>
        <v>*</v>
      </c>
      <c r="AV71" s="17" t="str">
        <f t="shared" ref="AV71:AY74" si="55">AV70</f>
        <v>*FCEV*</v>
      </c>
      <c r="AW71" s="17" t="str">
        <f t="shared" si="55"/>
        <v>TRABDS</v>
      </c>
      <c r="AX71" s="17" t="str">
        <f t="shared" si="55"/>
        <v>TRAPASLDTDMD</v>
      </c>
      <c r="AY71" s="17" t="str">
        <f t="shared" si="55"/>
        <v>TRAPASLDTDMD</v>
      </c>
      <c r="AZ71" s="18">
        <v>2025</v>
      </c>
      <c r="BA71" s="18" t="str">
        <f>BA70</f>
        <v>LO</v>
      </c>
      <c r="BB71" s="18"/>
      <c r="BC71" s="20" t="e">
        <f>-SUMIFS('TRA RESID'!$P:$P,'TRA RESID'!$I:$I,AY71,'TRA RESID'!$J:$J,AV71,'TRA RESID'!$H:$H,AW71)/SUMIFS('TRA RESID'!$P:$P,'TRA RESID'!$I:$I,AY71)*BG71</f>
        <v>#DIV/0!</v>
      </c>
      <c r="BD71" s="18"/>
      <c r="BE71" s="18"/>
      <c r="BG71" s="21">
        <v>0.8</v>
      </c>
    </row>
    <row r="72" spans="1:59" x14ac:dyDescent="0.25">
      <c r="C72" s="15" t="str">
        <f>IF(C71="*",C71,"")</f>
        <v>*</v>
      </c>
      <c r="D72" s="17" t="str">
        <f t="shared" si="52"/>
        <v>*ICEV*</v>
      </c>
      <c r="E72" s="17" t="str">
        <f t="shared" si="52"/>
        <v>TRABDS</v>
      </c>
      <c r="F72" s="17" t="str">
        <f t="shared" si="52"/>
        <v>TRAPASLDTDMD</v>
      </c>
      <c r="G72" s="17" t="str">
        <f t="shared" si="52"/>
        <v>TRAPASLDTDMD</v>
      </c>
      <c r="H72" s="18">
        <v>2030</v>
      </c>
      <c r="I72" s="18" t="str">
        <f>I71</f>
        <v>LO</v>
      </c>
      <c r="J72" s="18"/>
      <c r="K72" s="20" t="e">
        <f>-SUMIFS('TRA RESID'!$P:$P,'TRA RESID'!$I:$I,G72,'TRA RESID'!$J:$J,D72,'TRA RESID'!$H:$H,E72)/SUMIFS('TRA RESID'!$P:$P,'TRA RESID'!$I:$I,G72)*O72</f>
        <v>#DIV/0!</v>
      </c>
      <c r="L72" s="18"/>
      <c r="M72" s="18"/>
      <c r="O72" s="21">
        <v>0.5</v>
      </c>
      <c r="S72" s="15" t="str">
        <f>IF(S71="*",S71,"")</f>
        <v>*</v>
      </c>
      <c r="T72" s="17" t="str">
        <f t="shared" si="53"/>
        <v>*BEV*</v>
      </c>
      <c r="U72" s="17" t="str">
        <f t="shared" si="53"/>
        <v>TRABDS</v>
      </c>
      <c r="V72" s="17" t="str">
        <f t="shared" si="53"/>
        <v>TRAPASLDTDMD</v>
      </c>
      <c r="W72" s="17" t="str">
        <f t="shared" si="53"/>
        <v>TRAPASLDTDMD</v>
      </c>
      <c r="X72" s="18">
        <v>2030</v>
      </c>
      <c r="Y72" s="18" t="str">
        <f>Y71</f>
        <v>LO</v>
      </c>
      <c r="Z72" s="18"/>
      <c r="AA72" s="20" t="e">
        <f>-SUMIFS('TRA RESID'!$P:$P,'TRA RESID'!$I:$I,W72,'TRA RESID'!$J:$J,T72,'TRA RESID'!$H:$H,U72)/SUMIFS('TRA RESID'!$P:$P,'TRA RESID'!$I:$I,W72)*AE72</f>
        <v>#DIV/0!</v>
      </c>
      <c r="AB72" s="18"/>
      <c r="AC72" s="18"/>
      <c r="AE72" s="21">
        <v>1</v>
      </c>
      <c r="AG72" s="15" t="str">
        <f>IF(AG71="*",AG71,"")</f>
        <v>*</v>
      </c>
      <c r="AH72" s="17" t="str">
        <f t="shared" si="54"/>
        <v>*HEV*</v>
      </c>
      <c r="AI72" s="17" t="str">
        <f t="shared" si="54"/>
        <v>TRABDS</v>
      </c>
      <c r="AJ72" s="17" t="str">
        <f t="shared" si="54"/>
        <v>TRAPASLDTDMD</v>
      </c>
      <c r="AK72" s="17" t="str">
        <f t="shared" si="54"/>
        <v>TRAPASLDTDMD</v>
      </c>
      <c r="AL72" s="18">
        <v>2030</v>
      </c>
      <c r="AM72" s="18" t="str">
        <f>AM71</f>
        <v>LO</v>
      </c>
      <c r="AN72" s="18"/>
      <c r="AO72" s="20" t="e">
        <f>-SUMIFS('TRA RESID'!$P:$P,'TRA RESID'!$I:$I,AK72,'TRA RESID'!$J:$J,AH72,'TRA RESID'!$H:$H,AI72)/SUMIFS('TRA RESID'!$P:$P,'TRA RESID'!$I:$I,AK72)*AS72</f>
        <v>#DIV/0!</v>
      </c>
      <c r="AP72" s="18"/>
      <c r="AQ72" s="18"/>
      <c r="AS72" s="21">
        <v>0.5</v>
      </c>
      <c r="AU72" s="15" t="str">
        <f>IF(AU71="*",AU71,"")</f>
        <v>*</v>
      </c>
      <c r="AV72" s="17" t="str">
        <f t="shared" si="55"/>
        <v>*FCEV*</v>
      </c>
      <c r="AW72" s="17" t="str">
        <f t="shared" si="55"/>
        <v>TRABDS</v>
      </c>
      <c r="AX72" s="17" t="str">
        <f t="shared" si="55"/>
        <v>TRAPASLDTDMD</v>
      </c>
      <c r="AY72" s="17" t="str">
        <f t="shared" si="55"/>
        <v>TRAPASLDTDMD</v>
      </c>
      <c r="AZ72" s="18">
        <v>2030</v>
      </c>
      <c r="BA72" s="18" t="str">
        <f>BA71</f>
        <v>LO</v>
      </c>
      <c r="BB72" s="18"/>
      <c r="BC72" s="20" t="e">
        <f>-SUMIFS('TRA RESID'!$P:$P,'TRA RESID'!$I:$I,AY72,'TRA RESID'!$J:$J,AV72,'TRA RESID'!$H:$H,AW72)/SUMIFS('TRA RESID'!$P:$P,'TRA RESID'!$I:$I,AY72)*BG72</f>
        <v>#DIV/0!</v>
      </c>
      <c r="BD72" s="18"/>
      <c r="BE72" s="18"/>
      <c r="BG72" s="21">
        <v>0.5</v>
      </c>
    </row>
    <row r="73" spans="1:59" x14ac:dyDescent="0.25">
      <c r="C73" s="15" t="str">
        <f>IF(C72="*",C72,"")</f>
        <v>*</v>
      </c>
      <c r="D73" s="17" t="str">
        <f t="shared" si="52"/>
        <v>*ICEV*</v>
      </c>
      <c r="E73" s="17" t="str">
        <f t="shared" si="52"/>
        <v>TRABDS</v>
      </c>
      <c r="F73" s="17" t="str">
        <f t="shared" si="52"/>
        <v>TRAPASLDTDMD</v>
      </c>
      <c r="G73" s="17" t="str">
        <f t="shared" si="52"/>
        <v>TRAPASLDTDMD</v>
      </c>
      <c r="H73" s="18">
        <v>2040</v>
      </c>
      <c r="I73" s="18" t="str">
        <f>I72</f>
        <v>LO</v>
      </c>
      <c r="J73" s="18"/>
      <c r="K73" s="20" t="e">
        <f>-SUMIFS('TRA RESID'!$P:$P,'TRA RESID'!$I:$I,G73,'TRA RESID'!$J:$J,D73,'TRA RESID'!$H:$H,E73)/SUMIFS('TRA RESID'!$P:$P,'TRA RESID'!$I:$I,G73)*O73</f>
        <v>#DIV/0!</v>
      </c>
      <c r="L73" s="18"/>
      <c r="M73" s="18"/>
      <c r="O73" s="21">
        <v>0</v>
      </c>
      <c r="S73" s="15" t="str">
        <f>IF(S72="*",S72,"")</f>
        <v>*</v>
      </c>
      <c r="T73" s="17" t="str">
        <f t="shared" si="53"/>
        <v>*BEV*</v>
      </c>
      <c r="U73" s="17" t="str">
        <f t="shared" si="53"/>
        <v>TRABDS</v>
      </c>
      <c r="V73" s="17" t="str">
        <f t="shared" si="53"/>
        <v>TRAPASLDTDMD</v>
      </c>
      <c r="W73" s="17" t="str">
        <f t="shared" si="53"/>
        <v>TRAPASLDTDMD</v>
      </c>
      <c r="X73" s="18">
        <v>2040</v>
      </c>
      <c r="Y73" s="18" t="str">
        <f>Y72</f>
        <v>LO</v>
      </c>
      <c r="Z73" s="18"/>
      <c r="AA73" s="20" t="e">
        <f>-SUMIFS('TRA RESID'!$P:$P,'TRA RESID'!$I:$I,W73,'TRA RESID'!$J:$J,T73,'TRA RESID'!$H:$H,U73)/SUMIFS('TRA RESID'!$P:$P,'TRA RESID'!$I:$I,W73)*AE73</f>
        <v>#DIV/0!</v>
      </c>
      <c r="AB73" s="18"/>
      <c r="AC73" s="18"/>
      <c r="AE73" s="21">
        <v>1</v>
      </c>
      <c r="AG73" s="15" t="str">
        <f>IF(AG72="*",AG72,"")</f>
        <v>*</v>
      </c>
      <c r="AH73" s="17" t="str">
        <f t="shared" si="54"/>
        <v>*HEV*</v>
      </c>
      <c r="AI73" s="17" t="str">
        <f t="shared" si="54"/>
        <v>TRABDS</v>
      </c>
      <c r="AJ73" s="17" t="str">
        <f t="shared" si="54"/>
        <v>TRAPASLDTDMD</v>
      </c>
      <c r="AK73" s="17" t="str">
        <f t="shared" si="54"/>
        <v>TRAPASLDTDMD</v>
      </c>
      <c r="AL73" s="18">
        <v>2040</v>
      </c>
      <c r="AM73" s="18" t="str">
        <f>AM72</f>
        <v>LO</v>
      </c>
      <c r="AN73" s="18"/>
      <c r="AO73" s="20" t="e">
        <f>-SUMIFS('TRA RESID'!$P:$P,'TRA RESID'!$I:$I,AK73,'TRA RESID'!$J:$J,AH73,'TRA RESID'!$H:$H,AI73)/SUMIFS('TRA RESID'!$P:$P,'TRA RESID'!$I:$I,AK73)*AS73</f>
        <v>#DIV/0!</v>
      </c>
      <c r="AP73" s="18"/>
      <c r="AQ73" s="18"/>
      <c r="AS73" s="21">
        <v>0</v>
      </c>
      <c r="AU73" s="15" t="str">
        <f>IF(AU72="*",AU72,"")</f>
        <v>*</v>
      </c>
      <c r="AV73" s="17" t="str">
        <f t="shared" si="55"/>
        <v>*FCEV*</v>
      </c>
      <c r="AW73" s="17" t="str">
        <f t="shared" si="55"/>
        <v>TRABDS</v>
      </c>
      <c r="AX73" s="17" t="str">
        <f t="shared" si="55"/>
        <v>TRAPASLDTDMD</v>
      </c>
      <c r="AY73" s="17" t="str">
        <f t="shared" si="55"/>
        <v>TRAPASLDTDMD</v>
      </c>
      <c r="AZ73" s="18">
        <v>2040</v>
      </c>
      <c r="BA73" s="18" t="str">
        <f>BA72</f>
        <v>LO</v>
      </c>
      <c r="BB73" s="18"/>
      <c r="BC73" s="20" t="e">
        <f>-SUMIFS('TRA RESID'!$P:$P,'TRA RESID'!$I:$I,AY73,'TRA RESID'!$J:$J,AV73,'TRA RESID'!$H:$H,AW73)/SUMIFS('TRA RESID'!$P:$P,'TRA RESID'!$I:$I,AY73)*BG73</f>
        <v>#DIV/0!</v>
      </c>
      <c r="BD73" s="18"/>
      <c r="BE73" s="18"/>
      <c r="BG73" s="21">
        <v>0</v>
      </c>
    </row>
    <row r="74" spans="1:59" x14ac:dyDescent="0.25">
      <c r="C74" s="23" t="str">
        <f>IF(C73="*",C73,"")</f>
        <v>*</v>
      </c>
      <c r="D74" s="25" t="str">
        <f t="shared" si="52"/>
        <v>*ICEV*</v>
      </c>
      <c r="E74" s="25" t="str">
        <f t="shared" si="52"/>
        <v>TRABDS</v>
      </c>
      <c r="F74" s="25" t="str">
        <f t="shared" si="52"/>
        <v>TRAPASLDTDMD</v>
      </c>
      <c r="G74" s="25" t="str">
        <f t="shared" si="52"/>
        <v>TRAPASLDTDMD</v>
      </c>
      <c r="H74" s="26">
        <v>2050</v>
      </c>
      <c r="I74" s="26" t="str">
        <f>I72</f>
        <v>LO</v>
      </c>
      <c r="J74" s="26"/>
      <c r="K74" s="27" t="e">
        <f>-SUMIFS('TRA RESID'!$P:$P,'TRA RESID'!$I:$I,G74,'TRA RESID'!$J:$J,D74,'TRA RESID'!$H:$H,E74)/SUMIFS('TRA RESID'!$P:$P,'TRA RESID'!$I:$I,G74)*O74</f>
        <v>#DIV/0!</v>
      </c>
      <c r="L74" s="26"/>
      <c r="M74" s="26"/>
      <c r="O74" s="28">
        <v>0</v>
      </c>
      <c r="S74" s="23" t="str">
        <f>IF(S73="*",S73,"")</f>
        <v>*</v>
      </c>
      <c r="T74" s="25" t="str">
        <f t="shared" si="53"/>
        <v>*BEV*</v>
      </c>
      <c r="U74" s="25" t="str">
        <f t="shared" si="53"/>
        <v>TRABDS</v>
      </c>
      <c r="V74" s="25" t="str">
        <f t="shared" si="53"/>
        <v>TRAPASLDTDMD</v>
      </c>
      <c r="W74" s="25" t="str">
        <f t="shared" si="53"/>
        <v>TRAPASLDTDMD</v>
      </c>
      <c r="X74" s="26">
        <v>2050</v>
      </c>
      <c r="Y74" s="26" t="str">
        <f>Y72</f>
        <v>LO</v>
      </c>
      <c r="Z74" s="26"/>
      <c r="AA74" s="27" t="e">
        <f>-SUMIFS('TRA RESID'!$P:$P,'TRA RESID'!$I:$I,W74,'TRA RESID'!$J:$J,T74,'TRA RESID'!$H:$H,U74)/SUMIFS('TRA RESID'!$P:$P,'TRA RESID'!$I:$I,W74)*AE74</f>
        <v>#DIV/0!</v>
      </c>
      <c r="AB74" s="26"/>
      <c r="AC74" s="26"/>
      <c r="AE74" s="28">
        <v>1</v>
      </c>
      <c r="AG74" s="23" t="str">
        <f>IF(AG73="*",AG73,"")</f>
        <v>*</v>
      </c>
      <c r="AH74" s="25" t="str">
        <f t="shared" si="54"/>
        <v>*HEV*</v>
      </c>
      <c r="AI74" s="25" t="str">
        <f t="shared" si="54"/>
        <v>TRABDS</v>
      </c>
      <c r="AJ74" s="25" t="str">
        <f t="shared" si="54"/>
        <v>TRAPASLDTDMD</v>
      </c>
      <c r="AK74" s="25" t="str">
        <f t="shared" si="54"/>
        <v>TRAPASLDTDMD</v>
      </c>
      <c r="AL74" s="26">
        <v>2050</v>
      </c>
      <c r="AM74" s="26" t="str">
        <f>AM72</f>
        <v>LO</v>
      </c>
      <c r="AN74" s="26"/>
      <c r="AO74" s="27" t="e">
        <f>-SUMIFS('TRA RESID'!$P:$P,'TRA RESID'!$I:$I,AK74,'TRA RESID'!$J:$J,AH74,'TRA RESID'!$H:$H,AI74)/SUMIFS('TRA RESID'!$P:$P,'TRA RESID'!$I:$I,AK74)*AS74</f>
        <v>#DIV/0!</v>
      </c>
      <c r="AP74" s="26"/>
      <c r="AQ74" s="26"/>
      <c r="AS74" s="28">
        <v>0</v>
      </c>
      <c r="AU74" s="23" t="str">
        <f>IF(AU73="*",AU73,"")</f>
        <v>*</v>
      </c>
      <c r="AV74" s="25" t="str">
        <f t="shared" si="55"/>
        <v>*FCEV*</v>
      </c>
      <c r="AW74" s="25" t="str">
        <f t="shared" si="55"/>
        <v>TRABDS</v>
      </c>
      <c r="AX74" s="25" t="str">
        <f t="shared" si="55"/>
        <v>TRAPASLDTDMD</v>
      </c>
      <c r="AY74" s="25" t="str">
        <f t="shared" si="55"/>
        <v>TRAPASLDTDMD</v>
      </c>
      <c r="AZ74" s="26">
        <v>2050</v>
      </c>
      <c r="BA74" s="26" t="str">
        <f>BA72</f>
        <v>LO</v>
      </c>
      <c r="BB74" s="26"/>
      <c r="BC74" s="27" t="e">
        <f>-SUMIFS('TRA RESID'!$P:$P,'TRA RESID'!$I:$I,AY74,'TRA RESID'!$J:$J,AV74,'TRA RESID'!$H:$H,AW74)/SUMIFS('TRA RESID'!$P:$P,'TRA RESID'!$I:$I,AY74)*BG74</f>
        <v>#DIV/0!</v>
      </c>
      <c r="BD74" s="26"/>
      <c r="BE74" s="26"/>
      <c r="BG74" s="28">
        <v>0</v>
      </c>
    </row>
    <row r="75" spans="1:59" x14ac:dyDescent="0.25">
      <c r="A75">
        <f>A70+1</f>
        <v>15</v>
      </c>
      <c r="C75" s="15" t="str">
        <f>IF(E75="","",IF(_xlfn.XLOOKUP($A75,Selected_constraint!$A:$A,Selected_constraint!$D:$D)=1,"*",IF(SUMIFS('TRA TECH'!$M:$M,'TRA TECH'!$H:$H,E75,'TRA TECH'!$I:$I,F75)=0,"*",IF(SUMIFS('TRA RESID'!$P:$P,'TRA RESID'!$I:$I,G75,'TRA RESID'!$J:$J,D75,'TRA RESID'!$H:$H,E75)=0,"*","UC_"&amp;SUBSTITUTE(D75,"*","")&amp;"_"&amp;RIGHT(E75,3)&amp;"_"&amp;F75))))</f>
        <v>*</v>
      </c>
      <c r="D75" s="17" t="s">
        <v>485</v>
      </c>
      <c r="E75" s="17" t="str">
        <f>_xlfn.XLOOKUP($A75,Selected_constraint!$A:$A,Selected_constraint!$B:$B)</f>
        <v>TRACNG</v>
      </c>
      <c r="F75" s="17" t="str">
        <f>_xlfn.XLOOKUP($A75,Selected_constraint!$A:$A,Selected_constraint!$C:$C)</f>
        <v>TRAPASLDTDMD</v>
      </c>
      <c r="G75" s="17" t="str">
        <f>F75</f>
        <v>TRAPASLDTDMD</v>
      </c>
      <c r="H75" s="18">
        <v>2019</v>
      </c>
      <c r="I75" s="18" t="s">
        <v>483</v>
      </c>
      <c r="J75" s="18">
        <v>1</v>
      </c>
      <c r="K75" s="20" t="e">
        <f>-SUMIFS('TRA RESID'!$P:$P,'TRA RESID'!$I:$I,G75,'TRA RESID'!$J:$J,D75,'TRA RESID'!$H:$H,E75)/SUMIFS('TRA RESID'!$P:$P,'TRA RESID'!$I:$I,G75)*O75</f>
        <v>#DIV/0!</v>
      </c>
      <c r="L75" s="18">
        <v>0</v>
      </c>
      <c r="M75" s="18">
        <v>5</v>
      </c>
      <c r="O75" s="21">
        <v>0.98</v>
      </c>
      <c r="Q75">
        <f>Q70+1</f>
        <v>15</v>
      </c>
      <c r="S75" s="15" t="str">
        <f>IF(SUMIFS('TRA RESID'!$P:$P,'TRA RESID'!$I:$I,W75,'TRA RESID'!$J:$J,T75,'TRA RESID'!$H:$H,U75)=0,"*","UC_"&amp;SUBSTITUTE(T75,"*","")&amp;"_"&amp;RIGHT(U75,3)&amp;"_"&amp;V75)</f>
        <v>*</v>
      </c>
      <c r="T75" s="17" t="s">
        <v>486</v>
      </c>
      <c r="U75" s="17" t="str">
        <f>_xlfn.XLOOKUP($A75,Selected_constraint!$A:$A,Selected_constraint!$B:$B)</f>
        <v>TRACNG</v>
      </c>
      <c r="V75" s="17" t="str">
        <f>_xlfn.XLOOKUP($A75,Selected_constraint!$A:$A,Selected_constraint!$C:$C)</f>
        <v>TRAPASLDTDMD</v>
      </c>
      <c r="W75" s="17" t="str">
        <f>V75</f>
        <v>TRAPASLDTDMD</v>
      </c>
      <c r="X75" s="18">
        <v>2019</v>
      </c>
      <c r="Y75" s="18" t="s">
        <v>483</v>
      </c>
      <c r="Z75" s="18">
        <v>1</v>
      </c>
      <c r="AA75" s="20" t="e">
        <f>-SUMIFS('TRA RESID'!$P:$P,'TRA RESID'!$I:$I,W75,'TRA RESID'!$J:$J,T75,'TRA RESID'!$H:$H,U75)/SUMIFS('TRA RESID'!$P:$P,'TRA RESID'!$I:$I,W75)*AE75</f>
        <v>#DIV/0!</v>
      </c>
      <c r="AB75" s="18">
        <v>0</v>
      </c>
      <c r="AC75" s="18">
        <v>5</v>
      </c>
      <c r="AE75" s="21">
        <v>0.98</v>
      </c>
      <c r="AG75" s="15" t="str">
        <f>IF(SUMIFS('TRA RESID'!$P:$P,'TRA RESID'!$I:$I,AK75,'TRA RESID'!$J:$J,AH75,'TRA RESID'!$H:$H,AI75)=0,"*","UC_"&amp;SUBSTITUTE(AH75,"*","")&amp;"_"&amp;RIGHT(AI75,3)&amp;"_"&amp;AJ75)</f>
        <v>*</v>
      </c>
      <c r="AH75" s="17" t="s">
        <v>487</v>
      </c>
      <c r="AI75" s="17" t="str">
        <f>_xlfn.XLOOKUP($A75,Selected_constraint!$A:$A,Selected_constraint!$B:$B)</f>
        <v>TRACNG</v>
      </c>
      <c r="AJ75" s="17" t="str">
        <f>_xlfn.XLOOKUP($A75,Selected_constraint!$A:$A,Selected_constraint!$C:$C)</f>
        <v>TRAPASLDTDMD</v>
      </c>
      <c r="AK75" s="17" t="str">
        <f>AJ75</f>
        <v>TRAPASLDTDMD</v>
      </c>
      <c r="AL75" s="18">
        <v>2019</v>
      </c>
      <c r="AM75" s="18" t="s">
        <v>483</v>
      </c>
      <c r="AN75" s="18">
        <v>1</v>
      </c>
      <c r="AO75" s="20" t="e">
        <f>-SUMIFS('TRA RESID'!$P:$P,'TRA RESID'!$I:$I,AK75,'TRA RESID'!$J:$J,AH75,'TRA RESID'!$H:$H,AI75)/SUMIFS('TRA RESID'!$P:$P,'TRA RESID'!$I:$I,AK75)*AS75</f>
        <v>#DIV/0!</v>
      </c>
      <c r="AP75" s="18">
        <v>0</v>
      </c>
      <c r="AQ75" s="18">
        <v>5</v>
      </c>
      <c r="AS75" s="21">
        <v>0.98</v>
      </c>
      <c r="AU75" s="15" t="str">
        <f>IF(SUMIFS('TRA RESID'!$P:$P,'TRA RESID'!$I:$I,AY75,'TRA RESID'!$J:$J,AV75,'TRA RESID'!$H:$H,AW75)=0,"*","UC_"&amp;SUBSTITUTE(AV75,"*","")&amp;"_"&amp;RIGHT(AW75,3)&amp;"_"&amp;AX75)</f>
        <v>*</v>
      </c>
      <c r="AV75" s="17" t="s">
        <v>488</v>
      </c>
      <c r="AW75" s="17" t="str">
        <f>_xlfn.XLOOKUP($A75,Selected_constraint!$A:$A,Selected_constraint!$B:$B)</f>
        <v>TRACNG</v>
      </c>
      <c r="AX75" s="17" t="str">
        <f>_xlfn.XLOOKUP($A75,Selected_constraint!$A:$A,Selected_constraint!$C:$C)</f>
        <v>TRAPASLDTDMD</v>
      </c>
      <c r="AY75" s="17" t="str">
        <f>AX75</f>
        <v>TRAPASLDTDMD</v>
      </c>
      <c r="AZ75" s="18">
        <v>2019</v>
      </c>
      <c r="BA75" s="18" t="s">
        <v>483</v>
      </c>
      <c r="BB75" s="18">
        <v>1</v>
      </c>
      <c r="BC75" s="20" t="e">
        <f>-SUMIFS('TRA RESID'!$P:$P,'TRA RESID'!$I:$I,AY75,'TRA RESID'!$J:$J,AV75,'TRA RESID'!$H:$H,AW75)/SUMIFS('TRA RESID'!$P:$P,'TRA RESID'!$I:$I,AY75)*BG75</f>
        <v>#DIV/0!</v>
      </c>
      <c r="BD75" s="18">
        <v>0</v>
      </c>
      <c r="BE75" s="18">
        <v>5</v>
      </c>
      <c r="BG75" s="21">
        <v>0.98</v>
      </c>
    </row>
    <row r="76" spans="1:59" x14ac:dyDescent="0.25">
      <c r="C76" s="15" t="str">
        <f>IF(C75="*",C75,"")</f>
        <v>*</v>
      </c>
      <c r="D76" s="17" t="str">
        <f t="shared" ref="D76:G79" si="56">D75</f>
        <v>*ICEV*</v>
      </c>
      <c r="E76" s="17" t="str">
        <f t="shared" si="56"/>
        <v>TRACNG</v>
      </c>
      <c r="F76" s="17" t="str">
        <f t="shared" si="56"/>
        <v>TRAPASLDTDMD</v>
      </c>
      <c r="G76" s="17" t="str">
        <f t="shared" si="56"/>
        <v>TRAPASLDTDMD</v>
      </c>
      <c r="H76" s="18">
        <v>2025</v>
      </c>
      <c r="I76" s="18" t="str">
        <f>I75</f>
        <v>LO</v>
      </c>
      <c r="J76" s="18"/>
      <c r="K76" s="20" t="e">
        <f>-SUMIFS('TRA RESID'!$P:$P,'TRA RESID'!$I:$I,G76,'TRA RESID'!$J:$J,D76,'TRA RESID'!$H:$H,E76)/SUMIFS('TRA RESID'!$P:$P,'TRA RESID'!$I:$I,G76)*O76</f>
        <v>#DIV/0!</v>
      </c>
      <c r="L76" s="18"/>
      <c r="M76" s="18"/>
      <c r="O76" s="21">
        <v>0.8</v>
      </c>
      <c r="S76" s="15" t="str">
        <f>IF(S75="*",S75,"")</f>
        <v>*</v>
      </c>
      <c r="T76" s="17" t="str">
        <f t="shared" ref="T76:W79" si="57">T75</f>
        <v>*BEV*</v>
      </c>
      <c r="U76" s="17" t="str">
        <f t="shared" si="57"/>
        <v>TRACNG</v>
      </c>
      <c r="V76" s="17" t="str">
        <f t="shared" si="57"/>
        <v>TRAPASLDTDMD</v>
      </c>
      <c r="W76" s="17" t="str">
        <f t="shared" si="57"/>
        <v>TRAPASLDTDMD</v>
      </c>
      <c r="X76" s="18">
        <v>2025</v>
      </c>
      <c r="Y76" s="18" t="str">
        <f>Y75</f>
        <v>LO</v>
      </c>
      <c r="Z76" s="18"/>
      <c r="AA76" s="20" t="e">
        <f>-SUMIFS('TRA RESID'!$P:$P,'TRA RESID'!$I:$I,W76,'TRA RESID'!$J:$J,T76,'TRA RESID'!$H:$H,U76)/SUMIFS('TRA RESID'!$P:$P,'TRA RESID'!$I:$I,W76)*AE76</f>
        <v>#DIV/0!</v>
      </c>
      <c r="AB76" s="18"/>
      <c r="AC76" s="18"/>
      <c r="AE76" s="21">
        <v>1</v>
      </c>
      <c r="AG76" s="15" t="str">
        <f>IF(AG75="*",AG75,"")</f>
        <v>*</v>
      </c>
      <c r="AH76" s="17" t="str">
        <f t="shared" ref="AH76:AK79" si="58">AH75</f>
        <v>*HEV*</v>
      </c>
      <c r="AI76" s="17" t="str">
        <f t="shared" si="58"/>
        <v>TRACNG</v>
      </c>
      <c r="AJ76" s="17" t="str">
        <f t="shared" si="58"/>
        <v>TRAPASLDTDMD</v>
      </c>
      <c r="AK76" s="17" t="str">
        <f t="shared" si="58"/>
        <v>TRAPASLDTDMD</v>
      </c>
      <c r="AL76" s="18">
        <v>2025</v>
      </c>
      <c r="AM76" s="18" t="str">
        <f>AM75</f>
        <v>LO</v>
      </c>
      <c r="AN76" s="18"/>
      <c r="AO76" s="20" t="e">
        <f>-SUMIFS('TRA RESID'!$P:$P,'TRA RESID'!$I:$I,AK76,'TRA RESID'!$J:$J,AH76,'TRA RESID'!$H:$H,AI76)/SUMIFS('TRA RESID'!$P:$P,'TRA RESID'!$I:$I,AK76)*AS76</f>
        <v>#DIV/0!</v>
      </c>
      <c r="AP76" s="18"/>
      <c r="AQ76" s="18"/>
      <c r="AS76" s="21">
        <v>0.8</v>
      </c>
      <c r="AU76" s="15" t="str">
        <f>IF(AU75="*",AU75,"")</f>
        <v>*</v>
      </c>
      <c r="AV76" s="17" t="str">
        <f t="shared" ref="AV76:AY79" si="59">AV75</f>
        <v>*FCEV*</v>
      </c>
      <c r="AW76" s="17" t="str">
        <f t="shared" si="59"/>
        <v>TRACNG</v>
      </c>
      <c r="AX76" s="17" t="str">
        <f t="shared" si="59"/>
        <v>TRAPASLDTDMD</v>
      </c>
      <c r="AY76" s="17" t="str">
        <f t="shared" si="59"/>
        <v>TRAPASLDTDMD</v>
      </c>
      <c r="AZ76" s="18">
        <v>2025</v>
      </c>
      <c r="BA76" s="18" t="str">
        <f>BA75</f>
        <v>LO</v>
      </c>
      <c r="BB76" s="18"/>
      <c r="BC76" s="20" t="e">
        <f>-SUMIFS('TRA RESID'!$P:$P,'TRA RESID'!$I:$I,AY76,'TRA RESID'!$J:$J,AV76,'TRA RESID'!$H:$H,AW76)/SUMIFS('TRA RESID'!$P:$P,'TRA RESID'!$I:$I,AY76)*BG76</f>
        <v>#DIV/0!</v>
      </c>
      <c r="BD76" s="18"/>
      <c r="BE76" s="18"/>
      <c r="BG76" s="21">
        <v>0.8</v>
      </c>
    </row>
    <row r="77" spans="1:59" x14ac:dyDescent="0.25">
      <c r="C77" s="15" t="str">
        <f>IF(C76="*",C76,"")</f>
        <v>*</v>
      </c>
      <c r="D77" s="17" t="str">
        <f t="shared" si="56"/>
        <v>*ICEV*</v>
      </c>
      <c r="E77" s="17" t="str">
        <f t="shared" si="56"/>
        <v>TRACNG</v>
      </c>
      <c r="F77" s="17" t="str">
        <f t="shared" si="56"/>
        <v>TRAPASLDTDMD</v>
      </c>
      <c r="G77" s="17" t="str">
        <f t="shared" si="56"/>
        <v>TRAPASLDTDMD</v>
      </c>
      <c r="H77" s="18">
        <v>2030</v>
      </c>
      <c r="I77" s="18" t="str">
        <f>I76</f>
        <v>LO</v>
      </c>
      <c r="J77" s="18"/>
      <c r="K77" s="20" t="e">
        <f>-SUMIFS('TRA RESID'!$P:$P,'TRA RESID'!$I:$I,G77,'TRA RESID'!$J:$J,D77,'TRA RESID'!$H:$H,E77)/SUMIFS('TRA RESID'!$P:$P,'TRA RESID'!$I:$I,G77)*O77</f>
        <v>#DIV/0!</v>
      </c>
      <c r="L77" s="18"/>
      <c r="M77" s="18"/>
      <c r="O77" s="21">
        <v>0.5</v>
      </c>
      <c r="S77" s="15" t="str">
        <f>IF(S76="*",S76,"")</f>
        <v>*</v>
      </c>
      <c r="T77" s="17" t="str">
        <f t="shared" si="57"/>
        <v>*BEV*</v>
      </c>
      <c r="U77" s="17" t="str">
        <f t="shared" si="57"/>
        <v>TRACNG</v>
      </c>
      <c r="V77" s="17" t="str">
        <f t="shared" si="57"/>
        <v>TRAPASLDTDMD</v>
      </c>
      <c r="W77" s="17" t="str">
        <f t="shared" si="57"/>
        <v>TRAPASLDTDMD</v>
      </c>
      <c r="X77" s="18">
        <v>2030</v>
      </c>
      <c r="Y77" s="18" t="str">
        <f>Y76</f>
        <v>LO</v>
      </c>
      <c r="Z77" s="18"/>
      <c r="AA77" s="20" t="e">
        <f>-SUMIFS('TRA RESID'!$P:$P,'TRA RESID'!$I:$I,W77,'TRA RESID'!$J:$J,T77,'TRA RESID'!$H:$H,U77)/SUMIFS('TRA RESID'!$P:$P,'TRA RESID'!$I:$I,W77)*AE77</f>
        <v>#DIV/0!</v>
      </c>
      <c r="AB77" s="18"/>
      <c r="AC77" s="18"/>
      <c r="AE77" s="21">
        <v>1</v>
      </c>
      <c r="AG77" s="15" t="str">
        <f>IF(AG76="*",AG76,"")</f>
        <v>*</v>
      </c>
      <c r="AH77" s="17" t="str">
        <f t="shared" si="58"/>
        <v>*HEV*</v>
      </c>
      <c r="AI77" s="17" t="str">
        <f t="shared" si="58"/>
        <v>TRACNG</v>
      </c>
      <c r="AJ77" s="17" t="str">
        <f t="shared" si="58"/>
        <v>TRAPASLDTDMD</v>
      </c>
      <c r="AK77" s="17" t="str">
        <f t="shared" si="58"/>
        <v>TRAPASLDTDMD</v>
      </c>
      <c r="AL77" s="18">
        <v>2030</v>
      </c>
      <c r="AM77" s="18" t="str">
        <f>AM76</f>
        <v>LO</v>
      </c>
      <c r="AN77" s="18"/>
      <c r="AO77" s="20" t="e">
        <f>-SUMIFS('TRA RESID'!$P:$P,'TRA RESID'!$I:$I,AK77,'TRA RESID'!$J:$J,AH77,'TRA RESID'!$H:$H,AI77)/SUMIFS('TRA RESID'!$P:$P,'TRA RESID'!$I:$I,AK77)*AS77</f>
        <v>#DIV/0!</v>
      </c>
      <c r="AP77" s="18"/>
      <c r="AQ77" s="18"/>
      <c r="AS77" s="21">
        <v>0.5</v>
      </c>
      <c r="AU77" s="15" t="str">
        <f>IF(AU76="*",AU76,"")</f>
        <v>*</v>
      </c>
      <c r="AV77" s="17" t="str">
        <f t="shared" si="59"/>
        <v>*FCEV*</v>
      </c>
      <c r="AW77" s="17" t="str">
        <f t="shared" si="59"/>
        <v>TRACNG</v>
      </c>
      <c r="AX77" s="17" t="str">
        <f t="shared" si="59"/>
        <v>TRAPASLDTDMD</v>
      </c>
      <c r="AY77" s="17" t="str">
        <f t="shared" si="59"/>
        <v>TRAPASLDTDMD</v>
      </c>
      <c r="AZ77" s="18">
        <v>2030</v>
      </c>
      <c r="BA77" s="18" t="str">
        <f>BA76</f>
        <v>LO</v>
      </c>
      <c r="BB77" s="18"/>
      <c r="BC77" s="20" t="e">
        <f>-SUMIFS('TRA RESID'!$P:$P,'TRA RESID'!$I:$I,AY77,'TRA RESID'!$J:$J,AV77,'TRA RESID'!$H:$H,AW77)/SUMIFS('TRA RESID'!$P:$P,'TRA RESID'!$I:$I,AY77)*BG77</f>
        <v>#DIV/0!</v>
      </c>
      <c r="BD77" s="18"/>
      <c r="BE77" s="18"/>
      <c r="BG77" s="21">
        <v>0.5</v>
      </c>
    </row>
    <row r="78" spans="1:59" x14ac:dyDescent="0.25">
      <c r="C78" s="15" t="str">
        <f>IF(C77="*",C77,"")</f>
        <v>*</v>
      </c>
      <c r="D78" s="17" t="str">
        <f t="shared" si="56"/>
        <v>*ICEV*</v>
      </c>
      <c r="E78" s="17" t="str">
        <f t="shared" si="56"/>
        <v>TRACNG</v>
      </c>
      <c r="F78" s="17" t="str">
        <f t="shared" si="56"/>
        <v>TRAPASLDTDMD</v>
      </c>
      <c r="G78" s="17" t="str">
        <f t="shared" si="56"/>
        <v>TRAPASLDTDMD</v>
      </c>
      <c r="H78" s="18">
        <v>2040</v>
      </c>
      <c r="I78" s="18" t="str">
        <f>I77</f>
        <v>LO</v>
      </c>
      <c r="J78" s="18"/>
      <c r="K78" s="20" t="e">
        <f>-SUMIFS('TRA RESID'!$P:$P,'TRA RESID'!$I:$I,G78,'TRA RESID'!$J:$J,D78,'TRA RESID'!$H:$H,E78)/SUMIFS('TRA RESID'!$P:$P,'TRA RESID'!$I:$I,G78)*O78</f>
        <v>#DIV/0!</v>
      </c>
      <c r="L78" s="18"/>
      <c r="M78" s="18"/>
      <c r="O78" s="21">
        <v>0</v>
      </c>
      <c r="S78" s="15" t="str">
        <f>IF(S77="*",S77,"")</f>
        <v>*</v>
      </c>
      <c r="T78" s="17" t="str">
        <f t="shared" si="57"/>
        <v>*BEV*</v>
      </c>
      <c r="U78" s="17" t="str">
        <f t="shared" si="57"/>
        <v>TRACNG</v>
      </c>
      <c r="V78" s="17" t="str">
        <f t="shared" si="57"/>
        <v>TRAPASLDTDMD</v>
      </c>
      <c r="W78" s="17" t="str">
        <f t="shared" si="57"/>
        <v>TRAPASLDTDMD</v>
      </c>
      <c r="X78" s="18">
        <v>2040</v>
      </c>
      <c r="Y78" s="18" t="str">
        <f>Y77</f>
        <v>LO</v>
      </c>
      <c r="Z78" s="18"/>
      <c r="AA78" s="20" t="e">
        <f>-SUMIFS('TRA RESID'!$P:$P,'TRA RESID'!$I:$I,W78,'TRA RESID'!$J:$J,T78,'TRA RESID'!$H:$H,U78)/SUMIFS('TRA RESID'!$P:$P,'TRA RESID'!$I:$I,W78)*AE78</f>
        <v>#DIV/0!</v>
      </c>
      <c r="AB78" s="18"/>
      <c r="AC78" s="18"/>
      <c r="AE78" s="21">
        <v>1</v>
      </c>
      <c r="AG78" s="15" t="str">
        <f>IF(AG77="*",AG77,"")</f>
        <v>*</v>
      </c>
      <c r="AH78" s="17" t="str">
        <f t="shared" si="58"/>
        <v>*HEV*</v>
      </c>
      <c r="AI78" s="17" t="str">
        <f t="shared" si="58"/>
        <v>TRACNG</v>
      </c>
      <c r="AJ78" s="17" t="str">
        <f t="shared" si="58"/>
        <v>TRAPASLDTDMD</v>
      </c>
      <c r="AK78" s="17" t="str">
        <f t="shared" si="58"/>
        <v>TRAPASLDTDMD</v>
      </c>
      <c r="AL78" s="18">
        <v>2040</v>
      </c>
      <c r="AM78" s="18" t="str">
        <f>AM77</f>
        <v>LO</v>
      </c>
      <c r="AN78" s="18"/>
      <c r="AO78" s="20" t="e">
        <f>-SUMIFS('TRA RESID'!$P:$P,'TRA RESID'!$I:$I,AK78,'TRA RESID'!$J:$J,AH78,'TRA RESID'!$H:$H,AI78)/SUMIFS('TRA RESID'!$P:$P,'TRA RESID'!$I:$I,AK78)*AS78</f>
        <v>#DIV/0!</v>
      </c>
      <c r="AP78" s="18"/>
      <c r="AQ78" s="18"/>
      <c r="AS78" s="21">
        <v>0</v>
      </c>
      <c r="AU78" s="15" t="str">
        <f>IF(AU77="*",AU77,"")</f>
        <v>*</v>
      </c>
      <c r="AV78" s="17" t="str">
        <f t="shared" si="59"/>
        <v>*FCEV*</v>
      </c>
      <c r="AW78" s="17" t="str">
        <f t="shared" si="59"/>
        <v>TRACNG</v>
      </c>
      <c r="AX78" s="17" t="str">
        <f t="shared" si="59"/>
        <v>TRAPASLDTDMD</v>
      </c>
      <c r="AY78" s="17" t="str">
        <f t="shared" si="59"/>
        <v>TRAPASLDTDMD</v>
      </c>
      <c r="AZ78" s="18">
        <v>2040</v>
      </c>
      <c r="BA78" s="18" t="str">
        <f>BA77</f>
        <v>LO</v>
      </c>
      <c r="BB78" s="18"/>
      <c r="BC78" s="20" t="e">
        <f>-SUMIFS('TRA RESID'!$P:$P,'TRA RESID'!$I:$I,AY78,'TRA RESID'!$J:$J,AV78,'TRA RESID'!$H:$H,AW78)/SUMIFS('TRA RESID'!$P:$P,'TRA RESID'!$I:$I,AY78)*BG78</f>
        <v>#DIV/0!</v>
      </c>
      <c r="BD78" s="18"/>
      <c r="BE78" s="18"/>
      <c r="BG78" s="21">
        <v>0</v>
      </c>
    </row>
    <row r="79" spans="1:59" x14ac:dyDescent="0.25">
      <c r="C79" s="23" t="str">
        <f>IF(C78="*",C78,"")</f>
        <v>*</v>
      </c>
      <c r="D79" s="25" t="str">
        <f t="shared" si="56"/>
        <v>*ICEV*</v>
      </c>
      <c r="E79" s="25" t="str">
        <f t="shared" si="56"/>
        <v>TRACNG</v>
      </c>
      <c r="F79" s="25" t="str">
        <f t="shared" si="56"/>
        <v>TRAPASLDTDMD</v>
      </c>
      <c r="G79" s="25" t="str">
        <f t="shared" si="56"/>
        <v>TRAPASLDTDMD</v>
      </c>
      <c r="H79" s="26">
        <v>2050</v>
      </c>
      <c r="I79" s="26" t="str">
        <f>I77</f>
        <v>LO</v>
      </c>
      <c r="J79" s="26"/>
      <c r="K79" s="27" t="e">
        <f>-SUMIFS('TRA RESID'!$P:$P,'TRA RESID'!$I:$I,G79,'TRA RESID'!$J:$J,D79,'TRA RESID'!$H:$H,E79)/SUMIFS('TRA RESID'!$P:$P,'TRA RESID'!$I:$I,G79)*O79</f>
        <v>#DIV/0!</v>
      </c>
      <c r="L79" s="26"/>
      <c r="M79" s="26"/>
      <c r="O79" s="28">
        <v>0</v>
      </c>
      <c r="S79" s="23" t="str">
        <f>IF(S78="*",S78,"")</f>
        <v>*</v>
      </c>
      <c r="T79" s="25" t="str">
        <f t="shared" si="57"/>
        <v>*BEV*</v>
      </c>
      <c r="U79" s="25" t="str">
        <f t="shared" si="57"/>
        <v>TRACNG</v>
      </c>
      <c r="V79" s="25" t="str">
        <f t="shared" si="57"/>
        <v>TRAPASLDTDMD</v>
      </c>
      <c r="W79" s="25" t="str">
        <f t="shared" si="57"/>
        <v>TRAPASLDTDMD</v>
      </c>
      <c r="X79" s="26">
        <v>2050</v>
      </c>
      <c r="Y79" s="26" t="str">
        <f>Y77</f>
        <v>LO</v>
      </c>
      <c r="Z79" s="26"/>
      <c r="AA79" s="27" t="e">
        <f>-SUMIFS('TRA RESID'!$P:$P,'TRA RESID'!$I:$I,W79,'TRA RESID'!$J:$J,T79,'TRA RESID'!$H:$H,U79)/SUMIFS('TRA RESID'!$P:$P,'TRA RESID'!$I:$I,W79)*AE79</f>
        <v>#DIV/0!</v>
      </c>
      <c r="AB79" s="26"/>
      <c r="AC79" s="26"/>
      <c r="AE79" s="28">
        <v>1</v>
      </c>
      <c r="AG79" s="23" t="str">
        <f>IF(AG78="*",AG78,"")</f>
        <v>*</v>
      </c>
      <c r="AH79" s="25" t="str">
        <f t="shared" si="58"/>
        <v>*HEV*</v>
      </c>
      <c r="AI79" s="25" t="str">
        <f t="shared" si="58"/>
        <v>TRACNG</v>
      </c>
      <c r="AJ79" s="25" t="str">
        <f t="shared" si="58"/>
        <v>TRAPASLDTDMD</v>
      </c>
      <c r="AK79" s="25" t="str">
        <f t="shared" si="58"/>
        <v>TRAPASLDTDMD</v>
      </c>
      <c r="AL79" s="26">
        <v>2050</v>
      </c>
      <c r="AM79" s="26" t="str">
        <f>AM77</f>
        <v>LO</v>
      </c>
      <c r="AN79" s="26"/>
      <c r="AO79" s="27" t="e">
        <f>-SUMIFS('TRA RESID'!$P:$P,'TRA RESID'!$I:$I,AK79,'TRA RESID'!$J:$J,AH79,'TRA RESID'!$H:$H,AI79)/SUMIFS('TRA RESID'!$P:$P,'TRA RESID'!$I:$I,AK79)*AS79</f>
        <v>#DIV/0!</v>
      </c>
      <c r="AP79" s="26"/>
      <c r="AQ79" s="26"/>
      <c r="AS79" s="28">
        <v>0</v>
      </c>
      <c r="AU79" s="23" t="str">
        <f>IF(AU78="*",AU78,"")</f>
        <v>*</v>
      </c>
      <c r="AV79" s="25" t="str">
        <f t="shared" si="59"/>
        <v>*FCEV*</v>
      </c>
      <c r="AW79" s="25" t="str">
        <f t="shared" si="59"/>
        <v>TRACNG</v>
      </c>
      <c r="AX79" s="25" t="str">
        <f t="shared" si="59"/>
        <v>TRAPASLDTDMD</v>
      </c>
      <c r="AY79" s="25" t="str">
        <f t="shared" si="59"/>
        <v>TRAPASLDTDMD</v>
      </c>
      <c r="AZ79" s="26">
        <v>2050</v>
      </c>
      <c r="BA79" s="26" t="str">
        <f>BA77</f>
        <v>LO</v>
      </c>
      <c r="BB79" s="26"/>
      <c r="BC79" s="27" t="e">
        <f>-SUMIFS('TRA RESID'!$P:$P,'TRA RESID'!$I:$I,AY79,'TRA RESID'!$J:$J,AV79,'TRA RESID'!$H:$H,AW79)/SUMIFS('TRA RESID'!$P:$P,'TRA RESID'!$I:$I,AY79)*BG79</f>
        <v>#DIV/0!</v>
      </c>
      <c r="BD79" s="26"/>
      <c r="BE79" s="26"/>
      <c r="BG79" s="28">
        <v>0</v>
      </c>
    </row>
    <row r="80" spans="1:59" x14ac:dyDescent="0.25">
      <c r="A80">
        <f>A75+1</f>
        <v>16</v>
      </c>
      <c r="C80" s="15" t="str">
        <f>IF(E80="","",IF(_xlfn.XLOOKUP($A80,Selected_constraint!$A:$A,Selected_constraint!$D:$D)=1,"*",IF(SUMIFS('TRA TECH'!$M:$M,'TRA TECH'!$H:$H,E80,'TRA TECH'!$I:$I,F80)=0,"*",IF(SUMIFS('TRA RESID'!$P:$P,'TRA RESID'!$I:$I,G80,'TRA RESID'!$J:$J,D80,'TRA RESID'!$H:$H,E80)=0,"*","UC_"&amp;SUBSTITUTE(D80,"*","")&amp;"_"&amp;RIGHT(E80,3)&amp;"_"&amp;F80))))</f>
        <v>*</v>
      </c>
      <c r="D80" s="17" t="s">
        <v>485</v>
      </c>
      <c r="E80" s="17" t="str">
        <f>_xlfn.XLOOKUP($A80,Selected_constraint!$A:$A,Selected_constraint!$B:$B)</f>
        <v>TRARNG</v>
      </c>
      <c r="F80" s="17" t="str">
        <f>_xlfn.XLOOKUP($A80,Selected_constraint!$A:$A,Selected_constraint!$C:$C)</f>
        <v>TRAPASLDTDMD</v>
      </c>
      <c r="G80" s="17" t="str">
        <f>F80</f>
        <v>TRAPASLDTDMD</v>
      </c>
      <c r="H80" s="18">
        <v>2019</v>
      </c>
      <c r="I80" s="18" t="s">
        <v>483</v>
      </c>
      <c r="J80" s="18">
        <v>1</v>
      </c>
      <c r="K80" s="20" t="e">
        <f>-SUMIFS('TRA RESID'!$P:$P,'TRA RESID'!$I:$I,G80,'TRA RESID'!$J:$J,D80,'TRA RESID'!$H:$H,E80)/SUMIFS('TRA RESID'!$P:$P,'TRA RESID'!$I:$I,G80)*O80</f>
        <v>#DIV/0!</v>
      </c>
      <c r="L80" s="18">
        <v>0</v>
      </c>
      <c r="M80" s="18">
        <v>5</v>
      </c>
      <c r="O80" s="21">
        <v>0.98</v>
      </c>
      <c r="Q80">
        <f>Q75+1</f>
        <v>16</v>
      </c>
      <c r="S80" s="15" t="str">
        <f>IF(SUMIFS('TRA RESID'!$P:$P,'TRA RESID'!$I:$I,W80,'TRA RESID'!$J:$J,T80,'TRA RESID'!$H:$H,U80)=0,"*","UC_"&amp;SUBSTITUTE(T80,"*","")&amp;"_"&amp;RIGHT(U80,3)&amp;"_"&amp;V80)</f>
        <v>*</v>
      </c>
      <c r="T80" s="17" t="s">
        <v>486</v>
      </c>
      <c r="U80" s="17" t="str">
        <f>_xlfn.XLOOKUP($A80,Selected_constraint!$A:$A,Selected_constraint!$B:$B)</f>
        <v>TRARNG</v>
      </c>
      <c r="V80" s="17" t="str">
        <f>_xlfn.XLOOKUP($A80,Selected_constraint!$A:$A,Selected_constraint!$C:$C)</f>
        <v>TRAPASLDTDMD</v>
      </c>
      <c r="W80" s="17" t="str">
        <f>V80</f>
        <v>TRAPASLDTDMD</v>
      </c>
      <c r="X80" s="18">
        <v>2019</v>
      </c>
      <c r="Y80" s="18" t="s">
        <v>483</v>
      </c>
      <c r="Z80" s="18">
        <v>1</v>
      </c>
      <c r="AA80" s="20" t="e">
        <f>-SUMIFS('TRA RESID'!$P:$P,'TRA RESID'!$I:$I,W80,'TRA RESID'!$J:$J,T80,'TRA RESID'!$H:$H,U80)/SUMIFS('TRA RESID'!$P:$P,'TRA RESID'!$I:$I,W80)*AE80</f>
        <v>#DIV/0!</v>
      </c>
      <c r="AB80" s="18">
        <v>0</v>
      </c>
      <c r="AC80" s="18">
        <v>5</v>
      </c>
      <c r="AE80" s="21">
        <v>0.98</v>
      </c>
      <c r="AG80" s="15" t="str">
        <f>IF(SUMIFS('TRA RESID'!$P:$P,'TRA RESID'!$I:$I,AK80,'TRA RESID'!$J:$J,AH80,'TRA RESID'!$H:$H,AI80)=0,"*","UC_"&amp;SUBSTITUTE(AH80,"*","")&amp;"_"&amp;RIGHT(AI80,3)&amp;"_"&amp;AJ80)</f>
        <v>*</v>
      </c>
      <c r="AH80" s="17" t="s">
        <v>487</v>
      </c>
      <c r="AI80" s="17" t="str">
        <f>_xlfn.XLOOKUP($A80,Selected_constraint!$A:$A,Selected_constraint!$B:$B)</f>
        <v>TRARNG</v>
      </c>
      <c r="AJ80" s="17" t="str">
        <f>_xlfn.XLOOKUP($A80,Selected_constraint!$A:$A,Selected_constraint!$C:$C)</f>
        <v>TRAPASLDTDMD</v>
      </c>
      <c r="AK80" s="17" t="str">
        <f>AJ80</f>
        <v>TRAPASLDTDMD</v>
      </c>
      <c r="AL80" s="18">
        <v>2019</v>
      </c>
      <c r="AM80" s="18" t="s">
        <v>483</v>
      </c>
      <c r="AN80" s="18">
        <v>1</v>
      </c>
      <c r="AO80" s="20" t="e">
        <f>-SUMIFS('TRA RESID'!$P:$P,'TRA RESID'!$I:$I,AK80,'TRA RESID'!$J:$J,AH80,'TRA RESID'!$H:$H,AI80)/SUMIFS('TRA RESID'!$P:$P,'TRA RESID'!$I:$I,AK80)*AS80</f>
        <v>#DIV/0!</v>
      </c>
      <c r="AP80" s="18">
        <v>0</v>
      </c>
      <c r="AQ80" s="18">
        <v>5</v>
      </c>
      <c r="AS80" s="21">
        <v>0.98</v>
      </c>
      <c r="AU80" s="15" t="str">
        <f>IF(SUMIFS('TRA RESID'!$P:$P,'TRA RESID'!$I:$I,AY80,'TRA RESID'!$J:$J,AV80,'TRA RESID'!$H:$H,AW80)=0,"*","UC_"&amp;SUBSTITUTE(AV80,"*","")&amp;"_"&amp;RIGHT(AW80,3)&amp;"_"&amp;AX80)</f>
        <v>*</v>
      </c>
      <c r="AV80" s="17" t="s">
        <v>488</v>
      </c>
      <c r="AW80" s="17" t="str">
        <f>_xlfn.XLOOKUP($A80,Selected_constraint!$A:$A,Selected_constraint!$B:$B)</f>
        <v>TRARNG</v>
      </c>
      <c r="AX80" s="17" t="str">
        <f>_xlfn.XLOOKUP($A80,Selected_constraint!$A:$A,Selected_constraint!$C:$C)</f>
        <v>TRAPASLDTDMD</v>
      </c>
      <c r="AY80" s="17" t="str">
        <f>AX80</f>
        <v>TRAPASLDTDMD</v>
      </c>
      <c r="AZ80" s="18">
        <v>2019</v>
      </c>
      <c r="BA80" s="18" t="s">
        <v>483</v>
      </c>
      <c r="BB80" s="18">
        <v>1</v>
      </c>
      <c r="BC80" s="20" t="e">
        <f>-SUMIFS('TRA RESID'!$P:$P,'TRA RESID'!$I:$I,AY80,'TRA RESID'!$J:$J,AV80,'TRA RESID'!$H:$H,AW80)/SUMIFS('TRA RESID'!$P:$P,'TRA RESID'!$I:$I,AY80)*BG80</f>
        <v>#DIV/0!</v>
      </c>
      <c r="BD80" s="18">
        <v>0</v>
      </c>
      <c r="BE80" s="18">
        <v>5</v>
      </c>
      <c r="BG80" s="21">
        <v>0.98</v>
      </c>
    </row>
    <row r="81" spans="1:59" x14ac:dyDescent="0.25">
      <c r="C81" s="15" t="str">
        <f>IF(C80="*",C80,"")</f>
        <v>*</v>
      </c>
      <c r="D81" s="17" t="str">
        <f t="shared" ref="D81:G84" si="60">D80</f>
        <v>*ICEV*</v>
      </c>
      <c r="E81" s="17" t="str">
        <f t="shared" si="60"/>
        <v>TRARNG</v>
      </c>
      <c r="F81" s="17" t="str">
        <f t="shared" si="60"/>
        <v>TRAPASLDTDMD</v>
      </c>
      <c r="G81" s="17" t="str">
        <f t="shared" si="60"/>
        <v>TRAPASLDTDMD</v>
      </c>
      <c r="H81" s="18">
        <v>2025</v>
      </c>
      <c r="I81" s="18" t="str">
        <f>I80</f>
        <v>LO</v>
      </c>
      <c r="J81" s="18"/>
      <c r="K81" s="20" t="e">
        <f>-SUMIFS('TRA RESID'!$P:$P,'TRA RESID'!$I:$I,G81,'TRA RESID'!$J:$J,D81,'TRA RESID'!$H:$H,E81)/SUMIFS('TRA RESID'!$P:$P,'TRA RESID'!$I:$I,G81)*O81</f>
        <v>#DIV/0!</v>
      </c>
      <c r="L81" s="18"/>
      <c r="M81" s="18"/>
      <c r="O81" s="21">
        <v>0.8</v>
      </c>
      <c r="S81" s="15" t="str">
        <f>IF(S80="*",S80,"")</f>
        <v>*</v>
      </c>
      <c r="T81" s="17" t="str">
        <f t="shared" ref="T81:W84" si="61">T80</f>
        <v>*BEV*</v>
      </c>
      <c r="U81" s="17" t="str">
        <f t="shared" si="61"/>
        <v>TRARNG</v>
      </c>
      <c r="V81" s="17" t="str">
        <f t="shared" si="61"/>
        <v>TRAPASLDTDMD</v>
      </c>
      <c r="W81" s="17" t="str">
        <f t="shared" si="61"/>
        <v>TRAPASLDTDMD</v>
      </c>
      <c r="X81" s="18">
        <v>2025</v>
      </c>
      <c r="Y81" s="18" t="str">
        <f>Y80</f>
        <v>LO</v>
      </c>
      <c r="Z81" s="18"/>
      <c r="AA81" s="20" t="e">
        <f>-SUMIFS('TRA RESID'!$P:$P,'TRA RESID'!$I:$I,W81,'TRA RESID'!$J:$J,T81,'TRA RESID'!$H:$H,U81)/SUMIFS('TRA RESID'!$P:$P,'TRA RESID'!$I:$I,W81)*AE81</f>
        <v>#DIV/0!</v>
      </c>
      <c r="AB81" s="18"/>
      <c r="AC81" s="18"/>
      <c r="AE81" s="21">
        <v>1</v>
      </c>
      <c r="AG81" s="15" t="str">
        <f>IF(AG80="*",AG80,"")</f>
        <v>*</v>
      </c>
      <c r="AH81" s="17" t="str">
        <f t="shared" ref="AH81:AK84" si="62">AH80</f>
        <v>*HEV*</v>
      </c>
      <c r="AI81" s="17" t="str">
        <f t="shared" si="62"/>
        <v>TRARNG</v>
      </c>
      <c r="AJ81" s="17" t="str">
        <f t="shared" si="62"/>
        <v>TRAPASLDTDMD</v>
      </c>
      <c r="AK81" s="17" t="str">
        <f t="shared" si="62"/>
        <v>TRAPASLDTDMD</v>
      </c>
      <c r="AL81" s="18">
        <v>2025</v>
      </c>
      <c r="AM81" s="18" t="str">
        <f>AM80</f>
        <v>LO</v>
      </c>
      <c r="AN81" s="18"/>
      <c r="AO81" s="20" t="e">
        <f>-SUMIFS('TRA RESID'!$P:$P,'TRA RESID'!$I:$I,AK81,'TRA RESID'!$J:$J,AH81,'TRA RESID'!$H:$H,AI81)/SUMIFS('TRA RESID'!$P:$P,'TRA RESID'!$I:$I,AK81)*AS81</f>
        <v>#DIV/0!</v>
      </c>
      <c r="AP81" s="18"/>
      <c r="AQ81" s="18"/>
      <c r="AS81" s="21">
        <v>0.8</v>
      </c>
      <c r="AU81" s="15" t="str">
        <f>IF(AU80="*",AU80,"")</f>
        <v>*</v>
      </c>
      <c r="AV81" s="17" t="str">
        <f t="shared" ref="AV81:AY84" si="63">AV80</f>
        <v>*FCEV*</v>
      </c>
      <c r="AW81" s="17" t="str">
        <f t="shared" si="63"/>
        <v>TRARNG</v>
      </c>
      <c r="AX81" s="17" t="str">
        <f t="shared" si="63"/>
        <v>TRAPASLDTDMD</v>
      </c>
      <c r="AY81" s="17" t="str">
        <f t="shared" si="63"/>
        <v>TRAPASLDTDMD</v>
      </c>
      <c r="AZ81" s="18">
        <v>2025</v>
      </c>
      <c r="BA81" s="18" t="str">
        <f>BA80</f>
        <v>LO</v>
      </c>
      <c r="BB81" s="18"/>
      <c r="BC81" s="20" t="e">
        <f>-SUMIFS('TRA RESID'!$P:$P,'TRA RESID'!$I:$I,AY81,'TRA RESID'!$J:$J,AV81,'TRA RESID'!$H:$H,AW81)/SUMIFS('TRA RESID'!$P:$P,'TRA RESID'!$I:$I,AY81)*BG81</f>
        <v>#DIV/0!</v>
      </c>
      <c r="BD81" s="18"/>
      <c r="BE81" s="18"/>
      <c r="BG81" s="21">
        <v>0.8</v>
      </c>
    </row>
    <row r="82" spans="1:59" x14ac:dyDescent="0.25">
      <c r="C82" s="15" t="str">
        <f>IF(C81="*",C81,"")</f>
        <v>*</v>
      </c>
      <c r="D82" s="17" t="str">
        <f t="shared" si="60"/>
        <v>*ICEV*</v>
      </c>
      <c r="E82" s="17" t="str">
        <f t="shared" si="60"/>
        <v>TRARNG</v>
      </c>
      <c r="F82" s="17" t="str">
        <f t="shared" si="60"/>
        <v>TRAPASLDTDMD</v>
      </c>
      <c r="G82" s="17" t="str">
        <f t="shared" si="60"/>
        <v>TRAPASLDTDMD</v>
      </c>
      <c r="H82" s="18">
        <v>2030</v>
      </c>
      <c r="I82" s="18" t="str">
        <f>I81</f>
        <v>LO</v>
      </c>
      <c r="J82" s="18"/>
      <c r="K82" s="20" t="e">
        <f>-SUMIFS('TRA RESID'!$P:$P,'TRA RESID'!$I:$I,G82,'TRA RESID'!$J:$J,D82,'TRA RESID'!$H:$H,E82)/SUMIFS('TRA RESID'!$P:$P,'TRA RESID'!$I:$I,G82)*O82</f>
        <v>#DIV/0!</v>
      </c>
      <c r="L82" s="18"/>
      <c r="M82" s="18"/>
      <c r="O82" s="21">
        <v>0.5</v>
      </c>
      <c r="S82" s="15" t="str">
        <f>IF(S81="*",S81,"")</f>
        <v>*</v>
      </c>
      <c r="T82" s="17" t="str">
        <f t="shared" si="61"/>
        <v>*BEV*</v>
      </c>
      <c r="U82" s="17" t="str">
        <f t="shared" si="61"/>
        <v>TRARNG</v>
      </c>
      <c r="V82" s="17" t="str">
        <f t="shared" si="61"/>
        <v>TRAPASLDTDMD</v>
      </c>
      <c r="W82" s="17" t="str">
        <f t="shared" si="61"/>
        <v>TRAPASLDTDMD</v>
      </c>
      <c r="X82" s="18">
        <v>2030</v>
      </c>
      <c r="Y82" s="18" t="str">
        <f>Y81</f>
        <v>LO</v>
      </c>
      <c r="Z82" s="18"/>
      <c r="AA82" s="20" t="e">
        <f>-SUMIFS('TRA RESID'!$P:$P,'TRA RESID'!$I:$I,W82,'TRA RESID'!$J:$J,T82,'TRA RESID'!$H:$H,U82)/SUMIFS('TRA RESID'!$P:$P,'TRA RESID'!$I:$I,W82)*AE82</f>
        <v>#DIV/0!</v>
      </c>
      <c r="AB82" s="18"/>
      <c r="AC82" s="18"/>
      <c r="AE82" s="21">
        <v>1</v>
      </c>
      <c r="AG82" s="15" t="str">
        <f>IF(AG81="*",AG81,"")</f>
        <v>*</v>
      </c>
      <c r="AH82" s="17" t="str">
        <f t="shared" si="62"/>
        <v>*HEV*</v>
      </c>
      <c r="AI82" s="17" t="str">
        <f t="shared" si="62"/>
        <v>TRARNG</v>
      </c>
      <c r="AJ82" s="17" t="str">
        <f t="shared" si="62"/>
        <v>TRAPASLDTDMD</v>
      </c>
      <c r="AK82" s="17" t="str">
        <f t="shared" si="62"/>
        <v>TRAPASLDTDMD</v>
      </c>
      <c r="AL82" s="18">
        <v>2030</v>
      </c>
      <c r="AM82" s="18" t="str">
        <f>AM81</f>
        <v>LO</v>
      </c>
      <c r="AN82" s="18"/>
      <c r="AO82" s="20" t="e">
        <f>-SUMIFS('TRA RESID'!$P:$P,'TRA RESID'!$I:$I,AK82,'TRA RESID'!$J:$J,AH82,'TRA RESID'!$H:$H,AI82)/SUMIFS('TRA RESID'!$P:$P,'TRA RESID'!$I:$I,AK82)*AS82</f>
        <v>#DIV/0!</v>
      </c>
      <c r="AP82" s="18"/>
      <c r="AQ82" s="18"/>
      <c r="AS82" s="21">
        <v>0.5</v>
      </c>
      <c r="AU82" s="15" t="str">
        <f>IF(AU81="*",AU81,"")</f>
        <v>*</v>
      </c>
      <c r="AV82" s="17" t="str">
        <f t="shared" si="63"/>
        <v>*FCEV*</v>
      </c>
      <c r="AW82" s="17" t="str">
        <f t="shared" si="63"/>
        <v>TRARNG</v>
      </c>
      <c r="AX82" s="17" t="str">
        <f t="shared" si="63"/>
        <v>TRAPASLDTDMD</v>
      </c>
      <c r="AY82" s="17" t="str">
        <f t="shared" si="63"/>
        <v>TRAPASLDTDMD</v>
      </c>
      <c r="AZ82" s="18">
        <v>2030</v>
      </c>
      <c r="BA82" s="18" t="str">
        <f>BA81</f>
        <v>LO</v>
      </c>
      <c r="BB82" s="18"/>
      <c r="BC82" s="20" t="e">
        <f>-SUMIFS('TRA RESID'!$P:$P,'TRA RESID'!$I:$I,AY82,'TRA RESID'!$J:$J,AV82,'TRA RESID'!$H:$H,AW82)/SUMIFS('TRA RESID'!$P:$P,'TRA RESID'!$I:$I,AY82)*BG82</f>
        <v>#DIV/0!</v>
      </c>
      <c r="BD82" s="18"/>
      <c r="BE82" s="18"/>
      <c r="BG82" s="21">
        <v>0.5</v>
      </c>
    </row>
    <row r="83" spans="1:59" x14ac:dyDescent="0.25">
      <c r="C83" s="15" t="str">
        <f>IF(C82="*",C82,"")</f>
        <v>*</v>
      </c>
      <c r="D83" s="17" t="str">
        <f t="shared" si="60"/>
        <v>*ICEV*</v>
      </c>
      <c r="E83" s="17" t="str">
        <f t="shared" si="60"/>
        <v>TRARNG</v>
      </c>
      <c r="F83" s="17" t="str">
        <f t="shared" si="60"/>
        <v>TRAPASLDTDMD</v>
      </c>
      <c r="G83" s="17" t="str">
        <f t="shared" si="60"/>
        <v>TRAPASLDTDMD</v>
      </c>
      <c r="H83" s="18">
        <v>2040</v>
      </c>
      <c r="I83" s="18" t="str">
        <f>I82</f>
        <v>LO</v>
      </c>
      <c r="J83" s="18"/>
      <c r="K83" s="20" t="e">
        <f>-SUMIFS('TRA RESID'!$P:$P,'TRA RESID'!$I:$I,G83,'TRA RESID'!$J:$J,D83,'TRA RESID'!$H:$H,E83)/SUMIFS('TRA RESID'!$P:$P,'TRA RESID'!$I:$I,G83)*O83</f>
        <v>#DIV/0!</v>
      </c>
      <c r="L83" s="18"/>
      <c r="M83" s="18"/>
      <c r="O83" s="21">
        <v>0</v>
      </c>
      <c r="S83" s="15" t="str">
        <f>IF(S82="*",S82,"")</f>
        <v>*</v>
      </c>
      <c r="T83" s="17" t="str">
        <f t="shared" si="61"/>
        <v>*BEV*</v>
      </c>
      <c r="U83" s="17" t="str">
        <f t="shared" si="61"/>
        <v>TRARNG</v>
      </c>
      <c r="V83" s="17" t="str">
        <f t="shared" si="61"/>
        <v>TRAPASLDTDMD</v>
      </c>
      <c r="W83" s="17" t="str">
        <f t="shared" si="61"/>
        <v>TRAPASLDTDMD</v>
      </c>
      <c r="X83" s="18">
        <v>2040</v>
      </c>
      <c r="Y83" s="18" t="str">
        <f>Y82</f>
        <v>LO</v>
      </c>
      <c r="Z83" s="18"/>
      <c r="AA83" s="20" t="e">
        <f>-SUMIFS('TRA RESID'!$P:$P,'TRA RESID'!$I:$I,W83,'TRA RESID'!$J:$J,T83,'TRA RESID'!$H:$H,U83)/SUMIFS('TRA RESID'!$P:$P,'TRA RESID'!$I:$I,W83)*AE83</f>
        <v>#DIV/0!</v>
      </c>
      <c r="AB83" s="18"/>
      <c r="AC83" s="18"/>
      <c r="AE83" s="21">
        <v>1</v>
      </c>
      <c r="AG83" s="15" t="str">
        <f>IF(AG82="*",AG82,"")</f>
        <v>*</v>
      </c>
      <c r="AH83" s="17" t="str">
        <f t="shared" si="62"/>
        <v>*HEV*</v>
      </c>
      <c r="AI83" s="17" t="str">
        <f t="shared" si="62"/>
        <v>TRARNG</v>
      </c>
      <c r="AJ83" s="17" t="str">
        <f t="shared" si="62"/>
        <v>TRAPASLDTDMD</v>
      </c>
      <c r="AK83" s="17" t="str">
        <f t="shared" si="62"/>
        <v>TRAPASLDTDMD</v>
      </c>
      <c r="AL83" s="18">
        <v>2040</v>
      </c>
      <c r="AM83" s="18" t="str">
        <f>AM82</f>
        <v>LO</v>
      </c>
      <c r="AN83" s="18"/>
      <c r="AO83" s="20" t="e">
        <f>-SUMIFS('TRA RESID'!$P:$P,'TRA RESID'!$I:$I,AK83,'TRA RESID'!$J:$J,AH83,'TRA RESID'!$H:$H,AI83)/SUMIFS('TRA RESID'!$P:$P,'TRA RESID'!$I:$I,AK83)*AS83</f>
        <v>#DIV/0!</v>
      </c>
      <c r="AP83" s="18"/>
      <c r="AQ83" s="18"/>
      <c r="AS83" s="21">
        <v>0</v>
      </c>
      <c r="AU83" s="15" t="str">
        <f>IF(AU82="*",AU82,"")</f>
        <v>*</v>
      </c>
      <c r="AV83" s="17" t="str">
        <f t="shared" si="63"/>
        <v>*FCEV*</v>
      </c>
      <c r="AW83" s="17" t="str">
        <f t="shared" si="63"/>
        <v>TRARNG</v>
      </c>
      <c r="AX83" s="17" t="str">
        <f t="shared" si="63"/>
        <v>TRAPASLDTDMD</v>
      </c>
      <c r="AY83" s="17" t="str">
        <f t="shared" si="63"/>
        <v>TRAPASLDTDMD</v>
      </c>
      <c r="AZ83" s="18">
        <v>2040</v>
      </c>
      <c r="BA83" s="18" t="str">
        <f>BA82</f>
        <v>LO</v>
      </c>
      <c r="BB83" s="18"/>
      <c r="BC83" s="20" t="e">
        <f>-SUMIFS('TRA RESID'!$P:$P,'TRA RESID'!$I:$I,AY83,'TRA RESID'!$J:$J,AV83,'TRA RESID'!$H:$H,AW83)/SUMIFS('TRA RESID'!$P:$P,'TRA RESID'!$I:$I,AY83)*BG83</f>
        <v>#DIV/0!</v>
      </c>
      <c r="BD83" s="18"/>
      <c r="BE83" s="18"/>
      <c r="BG83" s="21">
        <v>0</v>
      </c>
    </row>
    <row r="84" spans="1:59" x14ac:dyDescent="0.25">
      <c r="C84" s="23" t="str">
        <f>IF(C83="*",C83,"")</f>
        <v>*</v>
      </c>
      <c r="D84" s="25" t="str">
        <f t="shared" si="60"/>
        <v>*ICEV*</v>
      </c>
      <c r="E84" s="25" t="str">
        <f t="shared" si="60"/>
        <v>TRARNG</v>
      </c>
      <c r="F84" s="25" t="str">
        <f t="shared" si="60"/>
        <v>TRAPASLDTDMD</v>
      </c>
      <c r="G84" s="25" t="str">
        <f t="shared" si="60"/>
        <v>TRAPASLDTDMD</v>
      </c>
      <c r="H84" s="26">
        <v>2050</v>
      </c>
      <c r="I84" s="26" t="str">
        <f>I82</f>
        <v>LO</v>
      </c>
      <c r="J84" s="26"/>
      <c r="K84" s="27" t="e">
        <f>-SUMIFS('TRA RESID'!$P:$P,'TRA RESID'!$I:$I,G84,'TRA RESID'!$J:$J,D84,'TRA RESID'!$H:$H,E84)/SUMIFS('TRA RESID'!$P:$P,'TRA RESID'!$I:$I,G84)*O84</f>
        <v>#DIV/0!</v>
      </c>
      <c r="L84" s="26"/>
      <c r="M84" s="26"/>
      <c r="O84" s="28">
        <v>0</v>
      </c>
      <c r="S84" s="23" t="str">
        <f>IF(S83="*",S83,"")</f>
        <v>*</v>
      </c>
      <c r="T84" s="25" t="str">
        <f t="shared" si="61"/>
        <v>*BEV*</v>
      </c>
      <c r="U84" s="25" t="str">
        <f t="shared" si="61"/>
        <v>TRARNG</v>
      </c>
      <c r="V84" s="25" t="str">
        <f t="shared" si="61"/>
        <v>TRAPASLDTDMD</v>
      </c>
      <c r="W84" s="25" t="str">
        <f t="shared" si="61"/>
        <v>TRAPASLDTDMD</v>
      </c>
      <c r="X84" s="26">
        <v>2050</v>
      </c>
      <c r="Y84" s="26" t="str">
        <f>Y82</f>
        <v>LO</v>
      </c>
      <c r="Z84" s="26"/>
      <c r="AA84" s="27" t="e">
        <f>-SUMIFS('TRA RESID'!$P:$P,'TRA RESID'!$I:$I,W84,'TRA RESID'!$J:$J,T84,'TRA RESID'!$H:$H,U84)/SUMIFS('TRA RESID'!$P:$P,'TRA RESID'!$I:$I,W84)*AE84</f>
        <v>#DIV/0!</v>
      </c>
      <c r="AB84" s="26"/>
      <c r="AC84" s="26"/>
      <c r="AE84" s="28">
        <v>1</v>
      </c>
      <c r="AG84" s="23" t="str">
        <f>IF(AG83="*",AG83,"")</f>
        <v>*</v>
      </c>
      <c r="AH84" s="25" t="str">
        <f t="shared" si="62"/>
        <v>*HEV*</v>
      </c>
      <c r="AI84" s="25" t="str">
        <f t="shared" si="62"/>
        <v>TRARNG</v>
      </c>
      <c r="AJ84" s="25" t="str">
        <f t="shared" si="62"/>
        <v>TRAPASLDTDMD</v>
      </c>
      <c r="AK84" s="25" t="str">
        <f t="shared" si="62"/>
        <v>TRAPASLDTDMD</v>
      </c>
      <c r="AL84" s="26">
        <v>2050</v>
      </c>
      <c r="AM84" s="26" t="str">
        <f>AM82</f>
        <v>LO</v>
      </c>
      <c r="AN84" s="26"/>
      <c r="AO84" s="27" t="e">
        <f>-SUMIFS('TRA RESID'!$P:$P,'TRA RESID'!$I:$I,AK84,'TRA RESID'!$J:$J,AH84,'TRA RESID'!$H:$H,AI84)/SUMIFS('TRA RESID'!$P:$P,'TRA RESID'!$I:$I,AK84)*AS84</f>
        <v>#DIV/0!</v>
      </c>
      <c r="AP84" s="26"/>
      <c r="AQ84" s="26"/>
      <c r="AS84" s="28">
        <v>0</v>
      </c>
      <c r="AU84" s="23" t="str">
        <f>IF(AU83="*",AU83,"")</f>
        <v>*</v>
      </c>
      <c r="AV84" s="25" t="str">
        <f t="shared" si="63"/>
        <v>*FCEV*</v>
      </c>
      <c r="AW84" s="25" t="str">
        <f t="shared" si="63"/>
        <v>TRARNG</v>
      </c>
      <c r="AX84" s="25" t="str">
        <f t="shared" si="63"/>
        <v>TRAPASLDTDMD</v>
      </c>
      <c r="AY84" s="25" t="str">
        <f t="shared" si="63"/>
        <v>TRAPASLDTDMD</v>
      </c>
      <c r="AZ84" s="26">
        <v>2050</v>
      </c>
      <c r="BA84" s="26" t="str">
        <f>BA82</f>
        <v>LO</v>
      </c>
      <c r="BB84" s="26"/>
      <c r="BC84" s="27" t="e">
        <f>-SUMIFS('TRA RESID'!$P:$P,'TRA RESID'!$I:$I,AY84,'TRA RESID'!$J:$J,AV84,'TRA RESID'!$H:$H,AW84)/SUMIFS('TRA RESID'!$P:$P,'TRA RESID'!$I:$I,AY84)*BG84</f>
        <v>#DIV/0!</v>
      </c>
      <c r="BD84" s="26"/>
      <c r="BE84" s="26"/>
      <c r="BG84" s="28">
        <v>0</v>
      </c>
    </row>
    <row r="85" spans="1:59" x14ac:dyDescent="0.25">
      <c r="A85">
        <f>A80+1</f>
        <v>17</v>
      </c>
      <c r="C85" s="15" t="str">
        <f>IF(E85="","",IF(_xlfn.XLOOKUP($A85,Selected_constraint!$A:$A,Selected_constraint!$D:$D)=1,"*",IF(SUMIFS('TRA TECH'!$M:$M,'TRA TECH'!$H:$H,E85,'TRA TECH'!$I:$I,F85)=0,"*",IF(SUMIFS('TRA RESID'!$P:$P,'TRA RESID'!$I:$I,G85,'TRA RESID'!$J:$J,D85,'TRA RESID'!$H:$H,E85)=0,"*","UC_"&amp;SUBSTITUTE(D85,"*","")&amp;"_"&amp;RIGHT(E85,3)&amp;"_"&amp;F85))))</f>
        <v>*</v>
      </c>
      <c r="D85" s="17" t="s">
        <v>485</v>
      </c>
      <c r="E85" s="17" t="str">
        <f>_xlfn.XLOOKUP($A85,Selected_constraint!$A:$A,Selected_constraint!$B:$B)</f>
        <v>TRABAT</v>
      </c>
      <c r="F85" s="17" t="str">
        <f>_xlfn.XLOOKUP($A85,Selected_constraint!$A:$A,Selected_constraint!$C:$C)</f>
        <v>TRAPASLDTDMD</v>
      </c>
      <c r="G85" s="17" t="str">
        <f>F85</f>
        <v>TRAPASLDTDMD</v>
      </c>
      <c r="H85" s="18">
        <v>2019</v>
      </c>
      <c r="I85" s="18" t="s">
        <v>483</v>
      </c>
      <c r="J85" s="18">
        <v>1</v>
      </c>
      <c r="K85" s="20" t="e">
        <f>-SUMIFS('TRA RESID'!$P:$P,'TRA RESID'!$I:$I,G85,'TRA RESID'!$J:$J,D85,'TRA RESID'!$H:$H,E85)/SUMIFS('TRA RESID'!$P:$P,'TRA RESID'!$I:$I,G85)*O85</f>
        <v>#DIV/0!</v>
      </c>
      <c r="L85" s="18">
        <v>0</v>
      </c>
      <c r="M85" s="18">
        <v>5</v>
      </c>
      <c r="O85" s="21">
        <v>0.98</v>
      </c>
      <c r="Q85">
        <f>Q80+1</f>
        <v>17</v>
      </c>
      <c r="S85" s="15" t="str">
        <f>IF(SUMIFS('TRA RESID'!$P:$P,'TRA RESID'!$I:$I,W85,'TRA RESID'!$J:$J,T85,'TRA RESID'!$H:$H,U85)=0,"*","UC_"&amp;SUBSTITUTE(T85,"*","")&amp;"_"&amp;RIGHT(U85,3)&amp;"_"&amp;V85)</f>
        <v>*</v>
      </c>
      <c r="T85" s="17" t="s">
        <v>486</v>
      </c>
      <c r="U85" s="17" t="str">
        <f>_xlfn.XLOOKUP($A85,Selected_constraint!$A:$A,Selected_constraint!$B:$B)</f>
        <v>TRABAT</v>
      </c>
      <c r="V85" s="17" t="str">
        <f>_xlfn.XLOOKUP($A85,Selected_constraint!$A:$A,Selected_constraint!$C:$C)</f>
        <v>TRAPASLDTDMD</v>
      </c>
      <c r="W85" s="17" t="str">
        <f>V85</f>
        <v>TRAPASLDTDMD</v>
      </c>
      <c r="X85" s="18">
        <v>2019</v>
      </c>
      <c r="Y85" s="18" t="s">
        <v>483</v>
      </c>
      <c r="Z85" s="18">
        <v>1</v>
      </c>
      <c r="AA85" s="20" t="e">
        <f>-SUMIFS('TRA RESID'!$P:$P,'TRA RESID'!$I:$I,W85,'TRA RESID'!$J:$J,T85,'TRA RESID'!$H:$H,U85)/SUMIFS('TRA RESID'!$P:$P,'TRA RESID'!$I:$I,W85)*AE85</f>
        <v>#DIV/0!</v>
      </c>
      <c r="AB85" s="18">
        <v>0</v>
      </c>
      <c r="AC85" s="18">
        <v>5</v>
      </c>
      <c r="AE85" s="21">
        <v>0.98</v>
      </c>
      <c r="AG85" s="15" t="str">
        <f>IF(SUMIFS('TRA RESID'!$P:$P,'TRA RESID'!$I:$I,AK85,'TRA RESID'!$J:$J,AH85,'TRA RESID'!$H:$H,AI85)=0,"*","UC_"&amp;SUBSTITUTE(AH85,"*","")&amp;"_"&amp;RIGHT(AI85,3)&amp;"_"&amp;AJ85)</f>
        <v>*</v>
      </c>
      <c r="AH85" s="17" t="s">
        <v>487</v>
      </c>
      <c r="AI85" s="17" t="str">
        <f>_xlfn.XLOOKUP($A85,Selected_constraint!$A:$A,Selected_constraint!$B:$B)</f>
        <v>TRABAT</v>
      </c>
      <c r="AJ85" s="17" t="str">
        <f>_xlfn.XLOOKUP($A85,Selected_constraint!$A:$A,Selected_constraint!$C:$C)</f>
        <v>TRAPASLDTDMD</v>
      </c>
      <c r="AK85" s="17" t="str">
        <f>AJ85</f>
        <v>TRAPASLDTDMD</v>
      </c>
      <c r="AL85" s="18">
        <v>2019</v>
      </c>
      <c r="AM85" s="18" t="s">
        <v>483</v>
      </c>
      <c r="AN85" s="18">
        <v>1</v>
      </c>
      <c r="AO85" s="20" t="e">
        <f>-SUMIFS('TRA RESID'!$P:$P,'TRA RESID'!$I:$I,AK85,'TRA RESID'!$J:$J,AH85,'TRA RESID'!$H:$H,AI85)/SUMIFS('TRA RESID'!$P:$P,'TRA RESID'!$I:$I,AK85)*AS85</f>
        <v>#DIV/0!</v>
      </c>
      <c r="AP85" s="18">
        <v>0</v>
      </c>
      <c r="AQ85" s="18">
        <v>5</v>
      </c>
      <c r="AS85" s="21">
        <v>0.98</v>
      </c>
      <c r="AU85" s="15" t="str">
        <f>IF(SUMIFS('TRA RESID'!$P:$P,'TRA RESID'!$I:$I,AY85,'TRA RESID'!$J:$J,AV85,'TRA RESID'!$H:$H,AW85)=0,"*","UC_"&amp;SUBSTITUTE(AV85,"*","")&amp;"_"&amp;RIGHT(AW85,3)&amp;"_"&amp;AX85)</f>
        <v>*</v>
      </c>
      <c r="AV85" s="17" t="s">
        <v>488</v>
      </c>
      <c r="AW85" s="17" t="str">
        <f>_xlfn.XLOOKUP($A85,Selected_constraint!$A:$A,Selected_constraint!$B:$B)</f>
        <v>TRABAT</v>
      </c>
      <c r="AX85" s="17" t="str">
        <f>_xlfn.XLOOKUP($A85,Selected_constraint!$A:$A,Selected_constraint!$C:$C)</f>
        <v>TRAPASLDTDMD</v>
      </c>
      <c r="AY85" s="17" t="str">
        <f>AX85</f>
        <v>TRAPASLDTDMD</v>
      </c>
      <c r="AZ85" s="18">
        <v>2019</v>
      </c>
      <c r="BA85" s="18" t="s">
        <v>483</v>
      </c>
      <c r="BB85" s="18">
        <v>1</v>
      </c>
      <c r="BC85" s="20" t="e">
        <f>-SUMIFS('TRA RESID'!$P:$P,'TRA RESID'!$I:$I,AY85,'TRA RESID'!$J:$J,AV85,'TRA RESID'!$H:$H,AW85)/SUMIFS('TRA RESID'!$P:$P,'TRA RESID'!$I:$I,AY85)*BG85</f>
        <v>#DIV/0!</v>
      </c>
      <c r="BD85" s="18">
        <v>0</v>
      </c>
      <c r="BE85" s="18">
        <v>5</v>
      </c>
      <c r="BG85" s="21">
        <v>0.98</v>
      </c>
    </row>
    <row r="86" spans="1:59" x14ac:dyDescent="0.25">
      <c r="C86" s="15" t="str">
        <f>IF(C85="*",C85,"")</f>
        <v>*</v>
      </c>
      <c r="D86" s="17" t="str">
        <f t="shared" ref="D86:G89" si="64">D85</f>
        <v>*ICEV*</v>
      </c>
      <c r="E86" s="17" t="str">
        <f t="shared" si="64"/>
        <v>TRABAT</v>
      </c>
      <c r="F86" s="17" t="str">
        <f t="shared" si="64"/>
        <v>TRAPASLDTDMD</v>
      </c>
      <c r="G86" s="17" t="str">
        <f t="shared" si="64"/>
        <v>TRAPASLDTDMD</v>
      </c>
      <c r="H86" s="18">
        <v>2025</v>
      </c>
      <c r="I86" s="18" t="str">
        <f>I85</f>
        <v>LO</v>
      </c>
      <c r="J86" s="18"/>
      <c r="K86" s="20" t="e">
        <f>-SUMIFS('TRA RESID'!$P:$P,'TRA RESID'!$I:$I,G86,'TRA RESID'!$J:$J,D86,'TRA RESID'!$H:$H,E86)/SUMIFS('TRA RESID'!$P:$P,'TRA RESID'!$I:$I,G86)*O86</f>
        <v>#DIV/0!</v>
      </c>
      <c r="L86" s="18"/>
      <c r="M86" s="18"/>
      <c r="O86" s="21">
        <v>0.8</v>
      </c>
      <c r="S86" s="15" t="str">
        <f>IF(S85="*",S85,"")</f>
        <v>*</v>
      </c>
      <c r="T86" s="17" t="str">
        <f t="shared" ref="T86:W89" si="65">T85</f>
        <v>*BEV*</v>
      </c>
      <c r="U86" s="17" t="str">
        <f t="shared" si="65"/>
        <v>TRABAT</v>
      </c>
      <c r="V86" s="17" t="str">
        <f t="shared" si="65"/>
        <v>TRAPASLDTDMD</v>
      </c>
      <c r="W86" s="17" t="str">
        <f t="shared" si="65"/>
        <v>TRAPASLDTDMD</v>
      </c>
      <c r="X86" s="18">
        <v>2025</v>
      </c>
      <c r="Y86" s="18" t="str">
        <f>Y85</f>
        <v>LO</v>
      </c>
      <c r="Z86" s="18"/>
      <c r="AA86" s="20" t="e">
        <f>-SUMIFS('TRA RESID'!$P:$P,'TRA RESID'!$I:$I,W86,'TRA RESID'!$J:$J,T86,'TRA RESID'!$H:$H,U86)/SUMIFS('TRA RESID'!$P:$P,'TRA RESID'!$I:$I,W86)*AE86</f>
        <v>#DIV/0!</v>
      </c>
      <c r="AB86" s="18"/>
      <c r="AC86" s="18"/>
      <c r="AE86" s="21">
        <v>1</v>
      </c>
      <c r="AG86" s="15" t="str">
        <f>IF(AG85="*",AG85,"")</f>
        <v>*</v>
      </c>
      <c r="AH86" s="17" t="str">
        <f t="shared" ref="AH86:AK89" si="66">AH85</f>
        <v>*HEV*</v>
      </c>
      <c r="AI86" s="17" t="str">
        <f t="shared" si="66"/>
        <v>TRABAT</v>
      </c>
      <c r="AJ86" s="17" t="str">
        <f t="shared" si="66"/>
        <v>TRAPASLDTDMD</v>
      </c>
      <c r="AK86" s="17" t="str">
        <f t="shared" si="66"/>
        <v>TRAPASLDTDMD</v>
      </c>
      <c r="AL86" s="18">
        <v>2025</v>
      </c>
      <c r="AM86" s="18" t="str">
        <f>AM85</f>
        <v>LO</v>
      </c>
      <c r="AN86" s="18"/>
      <c r="AO86" s="20" t="e">
        <f>-SUMIFS('TRA RESID'!$P:$P,'TRA RESID'!$I:$I,AK86,'TRA RESID'!$J:$J,AH86,'TRA RESID'!$H:$H,AI86)/SUMIFS('TRA RESID'!$P:$P,'TRA RESID'!$I:$I,AK86)*AS86</f>
        <v>#DIV/0!</v>
      </c>
      <c r="AP86" s="18"/>
      <c r="AQ86" s="18"/>
      <c r="AS86" s="21">
        <v>0.8</v>
      </c>
      <c r="AU86" s="15" t="str">
        <f>IF(AU85="*",AU85,"")</f>
        <v>*</v>
      </c>
      <c r="AV86" s="17" t="str">
        <f t="shared" ref="AV86:AY89" si="67">AV85</f>
        <v>*FCEV*</v>
      </c>
      <c r="AW86" s="17" t="str">
        <f t="shared" si="67"/>
        <v>TRABAT</v>
      </c>
      <c r="AX86" s="17" t="str">
        <f t="shared" si="67"/>
        <v>TRAPASLDTDMD</v>
      </c>
      <c r="AY86" s="17" t="str">
        <f t="shared" si="67"/>
        <v>TRAPASLDTDMD</v>
      </c>
      <c r="AZ86" s="18">
        <v>2025</v>
      </c>
      <c r="BA86" s="18" t="str">
        <f>BA85</f>
        <v>LO</v>
      </c>
      <c r="BB86" s="18"/>
      <c r="BC86" s="20" t="e">
        <f>-SUMIFS('TRA RESID'!$P:$P,'TRA RESID'!$I:$I,AY86,'TRA RESID'!$J:$J,AV86,'TRA RESID'!$H:$H,AW86)/SUMIFS('TRA RESID'!$P:$P,'TRA RESID'!$I:$I,AY86)*BG86</f>
        <v>#DIV/0!</v>
      </c>
      <c r="BD86" s="18"/>
      <c r="BE86" s="18"/>
      <c r="BG86" s="21">
        <v>0.8</v>
      </c>
    </row>
    <row r="87" spans="1:59" x14ac:dyDescent="0.25">
      <c r="C87" s="15" t="str">
        <f>IF(C86="*",C86,"")</f>
        <v>*</v>
      </c>
      <c r="D87" s="17" t="str">
        <f t="shared" si="64"/>
        <v>*ICEV*</v>
      </c>
      <c r="E87" s="17" t="str">
        <f t="shared" si="64"/>
        <v>TRABAT</v>
      </c>
      <c r="F87" s="17" t="str">
        <f t="shared" si="64"/>
        <v>TRAPASLDTDMD</v>
      </c>
      <c r="G87" s="17" t="str">
        <f t="shared" si="64"/>
        <v>TRAPASLDTDMD</v>
      </c>
      <c r="H87" s="18">
        <v>2030</v>
      </c>
      <c r="I87" s="18" t="str">
        <f>I86</f>
        <v>LO</v>
      </c>
      <c r="J87" s="18"/>
      <c r="K87" s="20" t="e">
        <f>-SUMIFS('TRA RESID'!$P:$P,'TRA RESID'!$I:$I,G87,'TRA RESID'!$J:$J,D87,'TRA RESID'!$H:$H,E87)/SUMIFS('TRA RESID'!$P:$P,'TRA RESID'!$I:$I,G87)*O87</f>
        <v>#DIV/0!</v>
      </c>
      <c r="L87" s="18"/>
      <c r="M87" s="18"/>
      <c r="O87" s="21">
        <v>0.5</v>
      </c>
      <c r="S87" s="15" t="str">
        <f>IF(S86="*",S86,"")</f>
        <v>*</v>
      </c>
      <c r="T87" s="17" t="str">
        <f t="shared" si="65"/>
        <v>*BEV*</v>
      </c>
      <c r="U87" s="17" t="str">
        <f t="shared" si="65"/>
        <v>TRABAT</v>
      </c>
      <c r="V87" s="17" t="str">
        <f t="shared" si="65"/>
        <v>TRAPASLDTDMD</v>
      </c>
      <c r="W87" s="17" t="str">
        <f t="shared" si="65"/>
        <v>TRAPASLDTDMD</v>
      </c>
      <c r="X87" s="18">
        <v>2030</v>
      </c>
      <c r="Y87" s="18" t="str">
        <f>Y86</f>
        <v>LO</v>
      </c>
      <c r="Z87" s="18"/>
      <c r="AA87" s="20" t="e">
        <f>-SUMIFS('TRA RESID'!$P:$P,'TRA RESID'!$I:$I,W87,'TRA RESID'!$J:$J,T87,'TRA RESID'!$H:$H,U87)/SUMIFS('TRA RESID'!$P:$P,'TRA RESID'!$I:$I,W87)*AE87</f>
        <v>#DIV/0!</v>
      </c>
      <c r="AB87" s="18"/>
      <c r="AC87" s="18"/>
      <c r="AE87" s="21">
        <v>1</v>
      </c>
      <c r="AG87" s="15" t="str">
        <f>IF(AG86="*",AG86,"")</f>
        <v>*</v>
      </c>
      <c r="AH87" s="17" t="str">
        <f t="shared" si="66"/>
        <v>*HEV*</v>
      </c>
      <c r="AI87" s="17" t="str">
        <f t="shared" si="66"/>
        <v>TRABAT</v>
      </c>
      <c r="AJ87" s="17" t="str">
        <f t="shared" si="66"/>
        <v>TRAPASLDTDMD</v>
      </c>
      <c r="AK87" s="17" t="str">
        <f t="shared" si="66"/>
        <v>TRAPASLDTDMD</v>
      </c>
      <c r="AL87" s="18">
        <v>2030</v>
      </c>
      <c r="AM87" s="18" t="str">
        <f>AM86</f>
        <v>LO</v>
      </c>
      <c r="AN87" s="18"/>
      <c r="AO87" s="20" t="e">
        <f>-SUMIFS('TRA RESID'!$P:$P,'TRA RESID'!$I:$I,AK87,'TRA RESID'!$J:$J,AH87,'TRA RESID'!$H:$H,AI87)/SUMIFS('TRA RESID'!$P:$P,'TRA RESID'!$I:$I,AK87)*AS87</f>
        <v>#DIV/0!</v>
      </c>
      <c r="AP87" s="18"/>
      <c r="AQ87" s="18"/>
      <c r="AS87" s="21">
        <v>0.5</v>
      </c>
      <c r="AU87" s="15" t="str">
        <f>IF(AU86="*",AU86,"")</f>
        <v>*</v>
      </c>
      <c r="AV87" s="17" t="str">
        <f t="shared" si="67"/>
        <v>*FCEV*</v>
      </c>
      <c r="AW87" s="17" t="str">
        <f t="shared" si="67"/>
        <v>TRABAT</v>
      </c>
      <c r="AX87" s="17" t="str">
        <f t="shared" si="67"/>
        <v>TRAPASLDTDMD</v>
      </c>
      <c r="AY87" s="17" t="str">
        <f t="shared" si="67"/>
        <v>TRAPASLDTDMD</v>
      </c>
      <c r="AZ87" s="18">
        <v>2030</v>
      </c>
      <c r="BA87" s="18" t="str">
        <f>BA86</f>
        <v>LO</v>
      </c>
      <c r="BB87" s="18"/>
      <c r="BC87" s="20" t="e">
        <f>-SUMIFS('TRA RESID'!$P:$P,'TRA RESID'!$I:$I,AY87,'TRA RESID'!$J:$J,AV87,'TRA RESID'!$H:$H,AW87)/SUMIFS('TRA RESID'!$P:$P,'TRA RESID'!$I:$I,AY87)*BG87</f>
        <v>#DIV/0!</v>
      </c>
      <c r="BD87" s="18"/>
      <c r="BE87" s="18"/>
      <c r="BG87" s="21">
        <v>0.5</v>
      </c>
    </row>
    <row r="88" spans="1:59" x14ac:dyDescent="0.25">
      <c r="C88" s="15" t="str">
        <f>IF(C87="*",C87,"")</f>
        <v>*</v>
      </c>
      <c r="D88" s="17" t="str">
        <f t="shared" si="64"/>
        <v>*ICEV*</v>
      </c>
      <c r="E88" s="17" t="str">
        <f t="shared" si="64"/>
        <v>TRABAT</v>
      </c>
      <c r="F88" s="17" t="str">
        <f t="shared" si="64"/>
        <v>TRAPASLDTDMD</v>
      </c>
      <c r="G88" s="17" t="str">
        <f t="shared" si="64"/>
        <v>TRAPASLDTDMD</v>
      </c>
      <c r="H88" s="18">
        <v>2040</v>
      </c>
      <c r="I88" s="18" t="str">
        <f>I87</f>
        <v>LO</v>
      </c>
      <c r="J88" s="18"/>
      <c r="K88" s="20" t="e">
        <f>-SUMIFS('TRA RESID'!$P:$P,'TRA RESID'!$I:$I,G88,'TRA RESID'!$J:$J,D88,'TRA RESID'!$H:$H,E88)/SUMIFS('TRA RESID'!$P:$P,'TRA RESID'!$I:$I,G88)*O88</f>
        <v>#DIV/0!</v>
      </c>
      <c r="L88" s="18"/>
      <c r="M88" s="18"/>
      <c r="O88" s="21">
        <v>0</v>
      </c>
      <c r="S88" s="15" t="str">
        <f>IF(S87="*",S87,"")</f>
        <v>*</v>
      </c>
      <c r="T88" s="17" t="str">
        <f t="shared" si="65"/>
        <v>*BEV*</v>
      </c>
      <c r="U88" s="17" t="str">
        <f t="shared" si="65"/>
        <v>TRABAT</v>
      </c>
      <c r="V88" s="17" t="str">
        <f t="shared" si="65"/>
        <v>TRAPASLDTDMD</v>
      </c>
      <c r="W88" s="17" t="str">
        <f t="shared" si="65"/>
        <v>TRAPASLDTDMD</v>
      </c>
      <c r="X88" s="18">
        <v>2040</v>
      </c>
      <c r="Y88" s="18" t="str">
        <f>Y87</f>
        <v>LO</v>
      </c>
      <c r="Z88" s="18"/>
      <c r="AA88" s="20" t="e">
        <f>-SUMIFS('TRA RESID'!$P:$P,'TRA RESID'!$I:$I,W88,'TRA RESID'!$J:$J,T88,'TRA RESID'!$H:$H,U88)/SUMIFS('TRA RESID'!$P:$P,'TRA RESID'!$I:$I,W88)*AE88</f>
        <v>#DIV/0!</v>
      </c>
      <c r="AB88" s="18"/>
      <c r="AC88" s="18"/>
      <c r="AE88" s="21">
        <v>1</v>
      </c>
      <c r="AG88" s="15" t="str">
        <f>IF(AG87="*",AG87,"")</f>
        <v>*</v>
      </c>
      <c r="AH88" s="17" t="str">
        <f t="shared" si="66"/>
        <v>*HEV*</v>
      </c>
      <c r="AI88" s="17" t="str">
        <f t="shared" si="66"/>
        <v>TRABAT</v>
      </c>
      <c r="AJ88" s="17" t="str">
        <f t="shared" si="66"/>
        <v>TRAPASLDTDMD</v>
      </c>
      <c r="AK88" s="17" t="str">
        <f t="shared" si="66"/>
        <v>TRAPASLDTDMD</v>
      </c>
      <c r="AL88" s="18">
        <v>2040</v>
      </c>
      <c r="AM88" s="18" t="str">
        <f>AM87</f>
        <v>LO</v>
      </c>
      <c r="AN88" s="18"/>
      <c r="AO88" s="20" t="e">
        <f>-SUMIFS('TRA RESID'!$P:$P,'TRA RESID'!$I:$I,AK88,'TRA RESID'!$J:$J,AH88,'TRA RESID'!$H:$H,AI88)/SUMIFS('TRA RESID'!$P:$P,'TRA RESID'!$I:$I,AK88)*AS88</f>
        <v>#DIV/0!</v>
      </c>
      <c r="AP88" s="18"/>
      <c r="AQ88" s="18"/>
      <c r="AS88" s="21">
        <v>0</v>
      </c>
      <c r="AU88" s="15" t="str">
        <f>IF(AU87="*",AU87,"")</f>
        <v>*</v>
      </c>
      <c r="AV88" s="17" t="str">
        <f t="shared" si="67"/>
        <v>*FCEV*</v>
      </c>
      <c r="AW88" s="17" t="str">
        <f t="shared" si="67"/>
        <v>TRABAT</v>
      </c>
      <c r="AX88" s="17" t="str">
        <f t="shared" si="67"/>
        <v>TRAPASLDTDMD</v>
      </c>
      <c r="AY88" s="17" t="str">
        <f t="shared" si="67"/>
        <v>TRAPASLDTDMD</v>
      </c>
      <c r="AZ88" s="18">
        <v>2040</v>
      </c>
      <c r="BA88" s="18" t="str">
        <f>BA87</f>
        <v>LO</v>
      </c>
      <c r="BB88" s="18"/>
      <c r="BC88" s="20" t="e">
        <f>-SUMIFS('TRA RESID'!$P:$P,'TRA RESID'!$I:$I,AY88,'TRA RESID'!$J:$J,AV88,'TRA RESID'!$H:$H,AW88)/SUMIFS('TRA RESID'!$P:$P,'TRA RESID'!$I:$I,AY88)*BG88</f>
        <v>#DIV/0!</v>
      </c>
      <c r="BD88" s="18"/>
      <c r="BE88" s="18"/>
      <c r="BG88" s="21">
        <v>0</v>
      </c>
    </row>
    <row r="89" spans="1:59" x14ac:dyDescent="0.25">
      <c r="C89" s="23" t="str">
        <f>IF(C88="*",C88,"")</f>
        <v>*</v>
      </c>
      <c r="D89" s="25" t="str">
        <f t="shared" si="64"/>
        <v>*ICEV*</v>
      </c>
      <c r="E89" s="25" t="str">
        <f t="shared" si="64"/>
        <v>TRABAT</v>
      </c>
      <c r="F89" s="25" t="str">
        <f t="shared" si="64"/>
        <v>TRAPASLDTDMD</v>
      </c>
      <c r="G89" s="25" t="str">
        <f t="shared" si="64"/>
        <v>TRAPASLDTDMD</v>
      </c>
      <c r="H89" s="26">
        <v>2050</v>
      </c>
      <c r="I89" s="26" t="str">
        <f>I87</f>
        <v>LO</v>
      </c>
      <c r="J89" s="26"/>
      <c r="K89" s="27" t="e">
        <f>-SUMIFS('TRA RESID'!$P:$P,'TRA RESID'!$I:$I,G89,'TRA RESID'!$J:$J,D89,'TRA RESID'!$H:$H,E89)/SUMIFS('TRA RESID'!$P:$P,'TRA RESID'!$I:$I,G89)*O89</f>
        <v>#DIV/0!</v>
      </c>
      <c r="L89" s="26"/>
      <c r="M89" s="26"/>
      <c r="O89" s="28">
        <v>0</v>
      </c>
      <c r="S89" s="23" t="str">
        <f>IF(S88="*",S88,"")</f>
        <v>*</v>
      </c>
      <c r="T89" s="25" t="str">
        <f t="shared" si="65"/>
        <v>*BEV*</v>
      </c>
      <c r="U89" s="25" t="str">
        <f t="shared" si="65"/>
        <v>TRABAT</v>
      </c>
      <c r="V89" s="25" t="str">
        <f t="shared" si="65"/>
        <v>TRAPASLDTDMD</v>
      </c>
      <c r="W89" s="25" t="str">
        <f t="shared" si="65"/>
        <v>TRAPASLDTDMD</v>
      </c>
      <c r="X89" s="26">
        <v>2050</v>
      </c>
      <c r="Y89" s="26" t="str">
        <f>Y87</f>
        <v>LO</v>
      </c>
      <c r="Z89" s="26"/>
      <c r="AA89" s="27" t="e">
        <f>-SUMIFS('TRA RESID'!$P:$P,'TRA RESID'!$I:$I,W89,'TRA RESID'!$J:$J,T89,'TRA RESID'!$H:$H,U89)/SUMIFS('TRA RESID'!$P:$P,'TRA RESID'!$I:$I,W89)*AE89</f>
        <v>#DIV/0!</v>
      </c>
      <c r="AB89" s="26"/>
      <c r="AC89" s="26"/>
      <c r="AE89" s="28">
        <v>1</v>
      </c>
      <c r="AG89" s="23" t="str">
        <f>IF(AG88="*",AG88,"")</f>
        <v>*</v>
      </c>
      <c r="AH89" s="25" t="str">
        <f t="shared" si="66"/>
        <v>*HEV*</v>
      </c>
      <c r="AI89" s="25" t="str">
        <f t="shared" si="66"/>
        <v>TRABAT</v>
      </c>
      <c r="AJ89" s="25" t="str">
        <f t="shared" si="66"/>
        <v>TRAPASLDTDMD</v>
      </c>
      <c r="AK89" s="25" t="str">
        <f t="shared" si="66"/>
        <v>TRAPASLDTDMD</v>
      </c>
      <c r="AL89" s="26">
        <v>2050</v>
      </c>
      <c r="AM89" s="26" t="str">
        <f>AM87</f>
        <v>LO</v>
      </c>
      <c r="AN89" s="26"/>
      <c r="AO89" s="27" t="e">
        <f>-SUMIFS('TRA RESID'!$P:$P,'TRA RESID'!$I:$I,AK89,'TRA RESID'!$J:$J,AH89,'TRA RESID'!$H:$H,AI89)/SUMIFS('TRA RESID'!$P:$P,'TRA RESID'!$I:$I,AK89)*AS89</f>
        <v>#DIV/0!</v>
      </c>
      <c r="AP89" s="26"/>
      <c r="AQ89" s="26"/>
      <c r="AS89" s="28">
        <v>0</v>
      </c>
      <c r="AU89" s="23" t="str">
        <f>IF(AU88="*",AU88,"")</f>
        <v>*</v>
      </c>
      <c r="AV89" s="25" t="str">
        <f t="shared" si="67"/>
        <v>*FCEV*</v>
      </c>
      <c r="AW89" s="25" t="str">
        <f t="shared" si="67"/>
        <v>TRABAT</v>
      </c>
      <c r="AX89" s="25" t="str">
        <f t="shared" si="67"/>
        <v>TRAPASLDTDMD</v>
      </c>
      <c r="AY89" s="25" t="str">
        <f t="shared" si="67"/>
        <v>TRAPASLDTDMD</v>
      </c>
      <c r="AZ89" s="26">
        <v>2050</v>
      </c>
      <c r="BA89" s="26" t="str">
        <f>BA87</f>
        <v>LO</v>
      </c>
      <c r="BB89" s="26"/>
      <c r="BC89" s="27" t="e">
        <f>-SUMIFS('TRA RESID'!$P:$P,'TRA RESID'!$I:$I,AY89,'TRA RESID'!$J:$J,AV89,'TRA RESID'!$H:$H,AW89)/SUMIFS('TRA RESID'!$P:$P,'TRA RESID'!$I:$I,AY89)*BG89</f>
        <v>#DIV/0!</v>
      </c>
      <c r="BD89" s="26"/>
      <c r="BE89" s="26"/>
      <c r="BG89" s="28">
        <v>0</v>
      </c>
    </row>
    <row r="90" spans="1:59" x14ac:dyDescent="0.25">
      <c r="A90">
        <f>A85+1</f>
        <v>18</v>
      </c>
      <c r="C90" s="15" t="str">
        <f>IF(E90="","",IF(_xlfn.XLOOKUP($A90,Selected_constraint!$A:$A,Selected_constraint!$D:$D)=1,"*",IF(SUMIFS('TRA TECH'!$M:$M,'TRA TECH'!$H:$H,E90,'TRA TECH'!$I:$I,F90)=0,"*",IF(SUMIFS('TRA RESID'!$P:$P,'TRA RESID'!$I:$I,G90,'TRA RESID'!$J:$J,D90,'TRA RESID'!$H:$H,E90)=0,"*","UC_"&amp;SUBSTITUTE(D90,"*","")&amp;"_"&amp;RIGHT(E90,3)&amp;"_"&amp;F90))))</f>
        <v>*</v>
      </c>
      <c r="D90" s="17" t="s">
        <v>485</v>
      </c>
      <c r="E90" s="17" t="str">
        <f>_xlfn.XLOOKUP($A90,Selected_constraint!$A:$A,Selected_constraint!$B:$B)</f>
        <v>TRAH2G</v>
      </c>
      <c r="F90" s="17" t="str">
        <f>_xlfn.XLOOKUP($A90,Selected_constraint!$A:$A,Selected_constraint!$C:$C)</f>
        <v>TRAPASLDTDMD</v>
      </c>
      <c r="G90" s="17" t="str">
        <f>F90</f>
        <v>TRAPASLDTDMD</v>
      </c>
      <c r="H90" s="18">
        <v>2019</v>
      </c>
      <c r="I90" s="18" t="s">
        <v>483</v>
      </c>
      <c r="J90" s="18">
        <v>1</v>
      </c>
      <c r="K90" s="20" t="e">
        <f>-SUMIFS('TRA RESID'!$P:$P,'TRA RESID'!$I:$I,G90,'TRA RESID'!$J:$J,D90,'TRA RESID'!$H:$H,E90)/SUMIFS('TRA RESID'!$P:$P,'TRA RESID'!$I:$I,G90)*O90</f>
        <v>#DIV/0!</v>
      </c>
      <c r="L90" s="18">
        <v>0</v>
      </c>
      <c r="M90" s="18">
        <v>5</v>
      </c>
      <c r="O90" s="21">
        <v>0.98</v>
      </c>
      <c r="Q90">
        <f>Q85+1</f>
        <v>18</v>
      </c>
      <c r="S90" s="15" t="str">
        <f>IF(SUMIFS('TRA RESID'!$P:$P,'TRA RESID'!$I:$I,W90,'TRA RESID'!$J:$J,T90,'TRA RESID'!$H:$H,U90)=0,"*","UC_"&amp;SUBSTITUTE(T90,"*","")&amp;"_"&amp;RIGHT(U90,3)&amp;"_"&amp;V90)</f>
        <v>*</v>
      </c>
      <c r="T90" s="17" t="s">
        <v>486</v>
      </c>
      <c r="U90" s="17" t="str">
        <f>_xlfn.XLOOKUP($A90,Selected_constraint!$A:$A,Selected_constraint!$B:$B)</f>
        <v>TRAH2G</v>
      </c>
      <c r="V90" s="17" t="str">
        <f>_xlfn.XLOOKUP($A90,Selected_constraint!$A:$A,Selected_constraint!$C:$C)</f>
        <v>TRAPASLDTDMD</v>
      </c>
      <c r="W90" s="17" t="str">
        <f>V90</f>
        <v>TRAPASLDTDMD</v>
      </c>
      <c r="X90" s="18">
        <v>2019</v>
      </c>
      <c r="Y90" s="18" t="s">
        <v>483</v>
      </c>
      <c r="Z90" s="18">
        <v>1</v>
      </c>
      <c r="AA90" s="20" t="e">
        <f>-SUMIFS('TRA RESID'!$P:$P,'TRA RESID'!$I:$I,W90,'TRA RESID'!$J:$J,T90,'TRA RESID'!$H:$H,U90)/SUMIFS('TRA RESID'!$P:$P,'TRA RESID'!$I:$I,W90)*AE90</f>
        <v>#DIV/0!</v>
      </c>
      <c r="AB90" s="18">
        <v>0</v>
      </c>
      <c r="AC90" s="18">
        <v>5</v>
      </c>
      <c r="AE90" s="21">
        <v>0.98</v>
      </c>
      <c r="AG90" s="15" t="str">
        <f>IF(SUMIFS('TRA RESID'!$P:$P,'TRA RESID'!$I:$I,AK90,'TRA RESID'!$J:$J,AH90,'TRA RESID'!$H:$H,AI90)=0,"*","UC_"&amp;SUBSTITUTE(AH90,"*","")&amp;"_"&amp;RIGHT(AI90,3)&amp;"_"&amp;AJ90)</f>
        <v>*</v>
      </c>
      <c r="AH90" s="17" t="s">
        <v>487</v>
      </c>
      <c r="AI90" s="17" t="str">
        <f>_xlfn.XLOOKUP($A90,Selected_constraint!$A:$A,Selected_constraint!$B:$B)</f>
        <v>TRAH2G</v>
      </c>
      <c r="AJ90" s="17" t="str">
        <f>_xlfn.XLOOKUP($A90,Selected_constraint!$A:$A,Selected_constraint!$C:$C)</f>
        <v>TRAPASLDTDMD</v>
      </c>
      <c r="AK90" s="17" t="str">
        <f>AJ90</f>
        <v>TRAPASLDTDMD</v>
      </c>
      <c r="AL90" s="18">
        <v>2019</v>
      </c>
      <c r="AM90" s="18" t="s">
        <v>483</v>
      </c>
      <c r="AN90" s="18">
        <v>1</v>
      </c>
      <c r="AO90" s="20" t="e">
        <f>-SUMIFS('TRA RESID'!$P:$P,'TRA RESID'!$I:$I,AK90,'TRA RESID'!$J:$J,AH90,'TRA RESID'!$H:$H,AI90)/SUMIFS('TRA RESID'!$P:$P,'TRA RESID'!$I:$I,AK90)*AS90</f>
        <v>#DIV/0!</v>
      </c>
      <c r="AP90" s="18">
        <v>0</v>
      </c>
      <c r="AQ90" s="18">
        <v>5</v>
      </c>
      <c r="AS90" s="21">
        <v>0.98</v>
      </c>
      <c r="AU90" s="15" t="str">
        <f>IF(SUMIFS('TRA RESID'!$P:$P,'TRA RESID'!$I:$I,AY90,'TRA RESID'!$J:$J,AV90,'TRA RESID'!$H:$H,AW90)=0,"*","UC_"&amp;SUBSTITUTE(AV90,"*","")&amp;"_"&amp;RIGHT(AW90,3)&amp;"_"&amp;AX90)</f>
        <v>*</v>
      </c>
      <c r="AV90" s="17" t="s">
        <v>488</v>
      </c>
      <c r="AW90" s="17" t="str">
        <f>_xlfn.XLOOKUP($A90,Selected_constraint!$A:$A,Selected_constraint!$B:$B)</f>
        <v>TRAH2G</v>
      </c>
      <c r="AX90" s="17" t="str">
        <f>_xlfn.XLOOKUP($A90,Selected_constraint!$A:$A,Selected_constraint!$C:$C)</f>
        <v>TRAPASLDTDMD</v>
      </c>
      <c r="AY90" s="17" t="str">
        <f>AX90</f>
        <v>TRAPASLDTDMD</v>
      </c>
      <c r="AZ90" s="18">
        <v>2019</v>
      </c>
      <c r="BA90" s="18" t="s">
        <v>483</v>
      </c>
      <c r="BB90" s="18">
        <v>1</v>
      </c>
      <c r="BC90" s="20" t="e">
        <f>-SUMIFS('TRA RESID'!$P:$P,'TRA RESID'!$I:$I,AY90,'TRA RESID'!$J:$J,AV90,'TRA RESID'!$H:$H,AW90)/SUMIFS('TRA RESID'!$P:$P,'TRA RESID'!$I:$I,AY90)*BG90</f>
        <v>#DIV/0!</v>
      </c>
      <c r="BD90" s="18">
        <v>0</v>
      </c>
      <c r="BE90" s="18">
        <v>5</v>
      </c>
      <c r="BG90" s="21">
        <v>0.98</v>
      </c>
    </row>
    <row r="91" spans="1:59" x14ac:dyDescent="0.25">
      <c r="C91" s="15" t="str">
        <f>IF(C90="*",C90,"")</f>
        <v>*</v>
      </c>
      <c r="D91" s="17" t="str">
        <f t="shared" ref="D91:G94" si="68">D90</f>
        <v>*ICEV*</v>
      </c>
      <c r="E91" s="17" t="str">
        <f t="shared" si="68"/>
        <v>TRAH2G</v>
      </c>
      <c r="F91" s="17" t="str">
        <f t="shared" si="68"/>
        <v>TRAPASLDTDMD</v>
      </c>
      <c r="G91" s="17" t="str">
        <f t="shared" si="68"/>
        <v>TRAPASLDTDMD</v>
      </c>
      <c r="H91" s="18">
        <v>2025</v>
      </c>
      <c r="I91" s="18" t="str">
        <f>I90</f>
        <v>LO</v>
      </c>
      <c r="J91" s="18"/>
      <c r="K91" s="20" t="e">
        <f>-SUMIFS('TRA RESID'!$P:$P,'TRA RESID'!$I:$I,G91,'TRA RESID'!$J:$J,D91,'TRA RESID'!$H:$H,E91)/SUMIFS('TRA RESID'!$P:$P,'TRA RESID'!$I:$I,G91)*O91</f>
        <v>#DIV/0!</v>
      </c>
      <c r="L91" s="18"/>
      <c r="M91" s="18"/>
      <c r="O91" s="21">
        <v>0.8</v>
      </c>
      <c r="S91" s="15" t="str">
        <f>IF(S90="*",S90,"")</f>
        <v>*</v>
      </c>
      <c r="T91" s="17" t="str">
        <f t="shared" ref="T91:W94" si="69">T90</f>
        <v>*BEV*</v>
      </c>
      <c r="U91" s="17" t="str">
        <f t="shared" si="69"/>
        <v>TRAH2G</v>
      </c>
      <c r="V91" s="17" t="str">
        <f t="shared" si="69"/>
        <v>TRAPASLDTDMD</v>
      </c>
      <c r="W91" s="17" t="str">
        <f t="shared" si="69"/>
        <v>TRAPASLDTDMD</v>
      </c>
      <c r="X91" s="18">
        <v>2025</v>
      </c>
      <c r="Y91" s="18" t="str">
        <f>Y90</f>
        <v>LO</v>
      </c>
      <c r="Z91" s="18"/>
      <c r="AA91" s="20" t="e">
        <f>-SUMIFS('TRA RESID'!$P:$P,'TRA RESID'!$I:$I,W91,'TRA RESID'!$J:$J,T91,'TRA RESID'!$H:$H,U91)/SUMIFS('TRA RESID'!$P:$P,'TRA RESID'!$I:$I,W91)*AE91</f>
        <v>#DIV/0!</v>
      </c>
      <c r="AB91" s="18"/>
      <c r="AC91" s="18"/>
      <c r="AE91" s="21">
        <v>1</v>
      </c>
      <c r="AG91" s="15" t="str">
        <f>IF(AG90="*",AG90,"")</f>
        <v>*</v>
      </c>
      <c r="AH91" s="17" t="str">
        <f t="shared" ref="AH91:AK94" si="70">AH90</f>
        <v>*HEV*</v>
      </c>
      <c r="AI91" s="17" t="str">
        <f t="shared" si="70"/>
        <v>TRAH2G</v>
      </c>
      <c r="AJ91" s="17" t="str">
        <f t="shared" si="70"/>
        <v>TRAPASLDTDMD</v>
      </c>
      <c r="AK91" s="17" t="str">
        <f t="shared" si="70"/>
        <v>TRAPASLDTDMD</v>
      </c>
      <c r="AL91" s="18">
        <v>2025</v>
      </c>
      <c r="AM91" s="18" t="str">
        <f>AM90</f>
        <v>LO</v>
      </c>
      <c r="AN91" s="18"/>
      <c r="AO91" s="20" t="e">
        <f>-SUMIFS('TRA RESID'!$P:$P,'TRA RESID'!$I:$I,AK91,'TRA RESID'!$J:$J,AH91,'TRA RESID'!$H:$H,AI91)/SUMIFS('TRA RESID'!$P:$P,'TRA RESID'!$I:$I,AK91)*AS91</f>
        <v>#DIV/0!</v>
      </c>
      <c r="AP91" s="18"/>
      <c r="AQ91" s="18"/>
      <c r="AS91" s="21">
        <v>0.8</v>
      </c>
      <c r="AU91" s="15" t="str">
        <f>IF(AU90="*",AU90,"")</f>
        <v>*</v>
      </c>
      <c r="AV91" s="17" t="str">
        <f t="shared" ref="AV91:AY94" si="71">AV90</f>
        <v>*FCEV*</v>
      </c>
      <c r="AW91" s="17" t="str">
        <f t="shared" si="71"/>
        <v>TRAH2G</v>
      </c>
      <c r="AX91" s="17" t="str">
        <f t="shared" si="71"/>
        <v>TRAPASLDTDMD</v>
      </c>
      <c r="AY91" s="17" t="str">
        <f t="shared" si="71"/>
        <v>TRAPASLDTDMD</v>
      </c>
      <c r="AZ91" s="18">
        <v>2025</v>
      </c>
      <c r="BA91" s="18" t="str">
        <f>BA90</f>
        <v>LO</v>
      </c>
      <c r="BB91" s="18"/>
      <c r="BC91" s="20" t="e">
        <f>-SUMIFS('TRA RESID'!$P:$P,'TRA RESID'!$I:$I,AY91,'TRA RESID'!$J:$J,AV91,'TRA RESID'!$H:$H,AW91)/SUMIFS('TRA RESID'!$P:$P,'TRA RESID'!$I:$I,AY91)*BG91</f>
        <v>#DIV/0!</v>
      </c>
      <c r="BD91" s="18"/>
      <c r="BE91" s="18"/>
      <c r="BG91" s="21">
        <v>0.8</v>
      </c>
    </row>
    <row r="92" spans="1:59" x14ac:dyDescent="0.25">
      <c r="C92" s="15" t="str">
        <f>IF(C91="*",C91,"")</f>
        <v>*</v>
      </c>
      <c r="D92" s="17" t="str">
        <f t="shared" si="68"/>
        <v>*ICEV*</v>
      </c>
      <c r="E92" s="17" t="str">
        <f t="shared" si="68"/>
        <v>TRAH2G</v>
      </c>
      <c r="F92" s="17" t="str">
        <f t="shared" si="68"/>
        <v>TRAPASLDTDMD</v>
      </c>
      <c r="G92" s="17" t="str">
        <f t="shared" si="68"/>
        <v>TRAPASLDTDMD</v>
      </c>
      <c r="H92" s="18">
        <v>2030</v>
      </c>
      <c r="I92" s="18" t="str">
        <f>I91</f>
        <v>LO</v>
      </c>
      <c r="J92" s="18"/>
      <c r="K92" s="20" t="e">
        <f>-SUMIFS('TRA RESID'!$P:$P,'TRA RESID'!$I:$I,G92,'TRA RESID'!$J:$J,D92,'TRA RESID'!$H:$H,E92)/SUMIFS('TRA RESID'!$P:$P,'TRA RESID'!$I:$I,G92)*O92</f>
        <v>#DIV/0!</v>
      </c>
      <c r="L92" s="18"/>
      <c r="M92" s="18"/>
      <c r="O92" s="21">
        <v>0.5</v>
      </c>
      <c r="S92" s="15" t="str">
        <f>IF(S91="*",S91,"")</f>
        <v>*</v>
      </c>
      <c r="T92" s="17" t="str">
        <f t="shared" si="69"/>
        <v>*BEV*</v>
      </c>
      <c r="U92" s="17" t="str">
        <f t="shared" si="69"/>
        <v>TRAH2G</v>
      </c>
      <c r="V92" s="17" t="str">
        <f t="shared" si="69"/>
        <v>TRAPASLDTDMD</v>
      </c>
      <c r="W92" s="17" t="str">
        <f t="shared" si="69"/>
        <v>TRAPASLDTDMD</v>
      </c>
      <c r="X92" s="18">
        <v>2030</v>
      </c>
      <c r="Y92" s="18" t="str">
        <f>Y91</f>
        <v>LO</v>
      </c>
      <c r="Z92" s="18"/>
      <c r="AA92" s="20" t="e">
        <f>-SUMIFS('TRA RESID'!$P:$P,'TRA RESID'!$I:$I,W92,'TRA RESID'!$J:$J,T92,'TRA RESID'!$H:$H,U92)/SUMIFS('TRA RESID'!$P:$P,'TRA RESID'!$I:$I,W92)*AE92</f>
        <v>#DIV/0!</v>
      </c>
      <c r="AB92" s="18"/>
      <c r="AC92" s="18"/>
      <c r="AE92" s="21">
        <v>1</v>
      </c>
      <c r="AG92" s="15" t="str">
        <f>IF(AG91="*",AG91,"")</f>
        <v>*</v>
      </c>
      <c r="AH92" s="17" t="str">
        <f t="shared" si="70"/>
        <v>*HEV*</v>
      </c>
      <c r="AI92" s="17" t="str">
        <f t="shared" si="70"/>
        <v>TRAH2G</v>
      </c>
      <c r="AJ92" s="17" t="str">
        <f t="shared" si="70"/>
        <v>TRAPASLDTDMD</v>
      </c>
      <c r="AK92" s="17" t="str">
        <f t="shared" si="70"/>
        <v>TRAPASLDTDMD</v>
      </c>
      <c r="AL92" s="18">
        <v>2030</v>
      </c>
      <c r="AM92" s="18" t="str">
        <f>AM91</f>
        <v>LO</v>
      </c>
      <c r="AN92" s="18"/>
      <c r="AO92" s="20" t="e">
        <f>-SUMIFS('TRA RESID'!$P:$P,'TRA RESID'!$I:$I,AK92,'TRA RESID'!$J:$J,AH92,'TRA RESID'!$H:$H,AI92)/SUMIFS('TRA RESID'!$P:$P,'TRA RESID'!$I:$I,AK92)*AS92</f>
        <v>#DIV/0!</v>
      </c>
      <c r="AP92" s="18"/>
      <c r="AQ92" s="18"/>
      <c r="AS92" s="21">
        <v>0.5</v>
      </c>
      <c r="AU92" s="15" t="str">
        <f>IF(AU91="*",AU91,"")</f>
        <v>*</v>
      </c>
      <c r="AV92" s="17" t="str">
        <f t="shared" si="71"/>
        <v>*FCEV*</v>
      </c>
      <c r="AW92" s="17" t="str">
        <f t="shared" si="71"/>
        <v>TRAH2G</v>
      </c>
      <c r="AX92" s="17" t="str">
        <f t="shared" si="71"/>
        <v>TRAPASLDTDMD</v>
      </c>
      <c r="AY92" s="17" t="str">
        <f t="shared" si="71"/>
        <v>TRAPASLDTDMD</v>
      </c>
      <c r="AZ92" s="18">
        <v>2030</v>
      </c>
      <c r="BA92" s="18" t="str">
        <f>BA91</f>
        <v>LO</v>
      </c>
      <c r="BB92" s="18"/>
      <c r="BC92" s="20" t="e">
        <f>-SUMIFS('TRA RESID'!$P:$P,'TRA RESID'!$I:$I,AY92,'TRA RESID'!$J:$J,AV92,'TRA RESID'!$H:$H,AW92)/SUMIFS('TRA RESID'!$P:$P,'TRA RESID'!$I:$I,AY92)*BG92</f>
        <v>#DIV/0!</v>
      </c>
      <c r="BD92" s="18"/>
      <c r="BE92" s="18"/>
      <c r="BG92" s="21">
        <v>0.5</v>
      </c>
    </row>
    <row r="93" spans="1:59" x14ac:dyDescent="0.25">
      <c r="C93" s="15" t="str">
        <f>IF(C92="*",C92,"")</f>
        <v>*</v>
      </c>
      <c r="D93" s="17" t="str">
        <f t="shared" si="68"/>
        <v>*ICEV*</v>
      </c>
      <c r="E93" s="17" t="str">
        <f t="shared" si="68"/>
        <v>TRAH2G</v>
      </c>
      <c r="F93" s="17" t="str">
        <f t="shared" si="68"/>
        <v>TRAPASLDTDMD</v>
      </c>
      <c r="G93" s="17" t="str">
        <f t="shared" si="68"/>
        <v>TRAPASLDTDMD</v>
      </c>
      <c r="H93" s="18">
        <v>2040</v>
      </c>
      <c r="I93" s="18" t="str">
        <f>I92</f>
        <v>LO</v>
      </c>
      <c r="J93" s="18"/>
      <c r="K93" s="20" t="e">
        <f>-SUMIFS('TRA RESID'!$P:$P,'TRA RESID'!$I:$I,G93,'TRA RESID'!$J:$J,D93,'TRA RESID'!$H:$H,E93)/SUMIFS('TRA RESID'!$P:$P,'TRA RESID'!$I:$I,G93)*O93</f>
        <v>#DIV/0!</v>
      </c>
      <c r="L93" s="18"/>
      <c r="M93" s="18"/>
      <c r="O93" s="21">
        <v>0</v>
      </c>
      <c r="S93" s="15" t="str">
        <f>IF(S92="*",S92,"")</f>
        <v>*</v>
      </c>
      <c r="T93" s="17" t="str">
        <f t="shared" si="69"/>
        <v>*BEV*</v>
      </c>
      <c r="U93" s="17" t="str">
        <f t="shared" si="69"/>
        <v>TRAH2G</v>
      </c>
      <c r="V93" s="17" t="str">
        <f t="shared" si="69"/>
        <v>TRAPASLDTDMD</v>
      </c>
      <c r="W93" s="17" t="str">
        <f t="shared" si="69"/>
        <v>TRAPASLDTDMD</v>
      </c>
      <c r="X93" s="18">
        <v>2040</v>
      </c>
      <c r="Y93" s="18" t="str">
        <f>Y92</f>
        <v>LO</v>
      </c>
      <c r="Z93" s="18"/>
      <c r="AA93" s="20" t="e">
        <f>-SUMIFS('TRA RESID'!$P:$P,'TRA RESID'!$I:$I,W93,'TRA RESID'!$J:$J,T93,'TRA RESID'!$H:$H,U93)/SUMIFS('TRA RESID'!$P:$P,'TRA RESID'!$I:$I,W93)*AE93</f>
        <v>#DIV/0!</v>
      </c>
      <c r="AB93" s="18"/>
      <c r="AC93" s="18"/>
      <c r="AE93" s="21">
        <v>1</v>
      </c>
      <c r="AG93" s="15" t="str">
        <f>IF(AG92="*",AG92,"")</f>
        <v>*</v>
      </c>
      <c r="AH93" s="17" t="str">
        <f t="shared" si="70"/>
        <v>*HEV*</v>
      </c>
      <c r="AI93" s="17" t="str">
        <f t="shared" si="70"/>
        <v>TRAH2G</v>
      </c>
      <c r="AJ93" s="17" t="str">
        <f t="shared" si="70"/>
        <v>TRAPASLDTDMD</v>
      </c>
      <c r="AK93" s="17" t="str">
        <f t="shared" si="70"/>
        <v>TRAPASLDTDMD</v>
      </c>
      <c r="AL93" s="18">
        <v>2040</v>
      </c>
      <c r="AM93" s="18" t="str">
        <f>AM92</f>
        <v>LO</v>
      </c>
      <c r="AN93" s="18"/>
      <c r="AO93" s="20" t="e">
        <f>-SUMIFS('TRA RESID'!$P:$P,'TRA RESID'!$I:$I,AK93,'TRA RESID'!$J:$J,AH93,'TRA RESID'!$H:$H,AI93)/SUMIFS('TRA RESID'!$P:$P,'TRA RESID'!$I:$I,AK93)*AS93</f>
        <v>#DIV/0!</v>
      </c>
      <c r="AP93" s="18"/>
      <c r="AQ93" s="18"/>
      <c r="AS93" s="21">
        <v>0</v>
      </c>
      <c r="AU93" s="15" t="str">
        <f>IF(AU92="*",AU92,"")</f>
        <v>*</v>
      </c>
      <c r="AV93" s="17" t="str">
        <f t="shared" si="71"/>
        <v>*FCEV*</v>
      </c>
      <c r="AW93" s="17" t="str">
        <f t="shared" si="71"/>
        <v>TRAH2G</v>
      </c>
      <c r="AX93" s="17" t="str">
        <f t="shared" si="71"/>
        <v>TRAPASLDTDMD</v>
      </c>
      <c r="AY93" s="17" t="str">
        <f t="shared" si="71"/>
        <v>TRAPASLDTDMD</v>
      </c>
      <c r="AZ93" s="18">
        <v>2040</v>
      </c>
      <c r="BA93" s="18" t="str">
        <f>BA92</f>
        <v>LO</v>
      </c>
      <c r="BB93" s="18"/>
      <c r="BC93" s="20" t="e">
        <f>-SUMIFS('TRA RESID'!$P:$P,'TRA RESID'!$I:$I,AY93,'TRA RESID'!$J:$J,AV93,'TRA RESID'!$H:$H,AW93)/SUMIFS('TRA RESID'!$P:$P,'TRA RESID'!$I:$I,AY93)*BG93</f>
        <v>#DIV/0!</v>
      </c>
      <c r="BD93" s="18"/>
      <c r="BE93" s="18"/>
      <c r="BG93" s="21">
        <v>0</v>
      </c>
    </row>
    <row r="94" spans="1:59" x14ac:dyDescent="0.25">
      <c r="C94" s="23" t="str">
        <f>IF(C93="*",C93,"")</f>
        <v>*</v>
      </c>
      <c r="D94" s="25" t="str">
        <f t="shared" si="68"/>
        <v>*ICEV*</v>
      </c>
      <c r="E94" s="25" t="str">
        <f t="shared" si="68"/>
        <v>TRAH2G</v>
      </c>
      <c r="F94" s="25" t="str">
        <f t="shared" si="68"/>
        <v>TRAPASLDTDMD</v>
      </c>
      <c r="G94" s="25" t="str">
        <f t="shared" si="68"/>
        <v>TRAPASLDTDMD</v>
      </c>
      <c r="H94" s="26">
        <v>2050</v>
      </c>
      <c r="I94" s="26" t="str">
        <f>I92</f>
        <v>LO</v>
      </c>
      <c r="J94" s="26"/>
      <c r="K94" s="27" t="e">
        <f>-SUMIFS('TRA RESID'!$P:$P,'TRA RESID'!$I:$I,G94,'TRA RESID'!$J:$J,D94,'TRA RESID'!$H:$H,E94)/SUMIFS('TRA RESID'!$P:$P,'TRA RESID'!$I:$I,G94)*O94</f>
        <v>#DIV/0!</v>
      </c>
      <c r="L94" s="26"/>
      <c r="M94" s="26"/>
      <c r="O94" s="28">
        <v>0</v>
      </c>
      <c r="S94" s="23" t="str">
        <f>IF(S93="*",S93,"")</f>
        <v>*</v>
      </c>
      <c r="T94" s="25" t="str">
        <f t="shared" si="69"/>
        <v>*BEV*</v>
      </c>
      <c r="U94" s="25" t="str">
        <f t="shared" si="69"/>
        <v>TRAH2G</v>
      </c>
      <c r="V94" s="25" t="str">
        <f t="shared" si="69"/>
        <v>TRAPASLDTDMD</v>
      </c>
      <c r="W94" s="25" t="str">
        <f t="shared" si="69"/>
        <v>TRAPASLDTDMD</v>
      </c>
      <c r="X94" s="26">
        <v>2050</v>
      </c>
      <c r="Y94" s="26" t="str">
        <f>Y92</f>
        <v>LO</v>
      </c>
      <c r="Z94" s="26"/>
      <c r="AA94" s="27" t="e">
        <f>-SUMIFS('TRA RESID'!$P:$P,'TRA RESID'!$I:$I,W94,'TRA RESID'!$J:$J,T94,'TRA RESID'!$H:$H,U94)/SUMIFS('TRA RESID'!$P:$P,'TRA RESID'!$I:$I,W94)*AE94</f>
        <v>#DIV/0!</v>
      </c>
      <c r="AB94" s="26"/>
      <c r="AC94" s="26"/>
      <c r="AE94" s="28">
        <v>1</v>
      </c>
      <c r="AG94" s="23" t="str">
        <f>IF(AG93="*",AG93,"")</f>
        <v>*</v>
      </c>
      <c r="AH94" s="25" t="str">
        <f t="shared" si="70"/>
        <v>*HEV*</v>
      </c>
      <c r="AI94" s="25" t="str">
        <f t="shared" si="70"/>
        <v>TRAH2G</v>
      </c>
      <c r="AJ94" s="25" t="str">
        <f t="shared" si="70"/>
        <v>TRAPASLDTDMD</v>
      </c>
      <c r="AK94" s="25" t="str">
        <f t="shared" si="70"/>
        <v>TRAPASLDTDMD</v>
      </c>
      <c r="AL94" s="26">
        <v>2050</v>
      </c>
      <c r="AM94" s="26" t="str">
        <f>AM92</f>
        <v>LO</v>
      </c>
      <c r="AN94" s="26"/>
      <c r="AO94" s="27" t="e">
        <f>-SUMIFS('TRA RESID'!$P:$P,'TRA RESID'!$I:$I,AK94,'TRA RESID'!$J:$J,AH94,'TRA RESID'!$H:$H,AI94)/SUMIFS('TRA RESID'!$P:$P,'TRA RESID'!$I:$I,AK94)*AS94</f>
        <v>#DIV/0!</v>
      </c>
      <c r="AP94" s="26"/>
      <c r="AQ94" s="26"/>
      <c r="AS94" s="28">
        <v>0</v>
      </c>
      <c r="AU94" s="23" t="str">
        <f>IF(AU93="*",AU93,"")</f>
        <v>*</v>
      </c>
      <c r="AV94" s="25" t="str">
        <f t="shared" si="71"/>
        <v>*FCEV*</v>
      </c>
      <c r="AW94" s="25" t="str">
        <f t="shared" si="71"/>
        <v>TRAH2G</v>
      </c>
      <c r="AX94" s="25" t="str">
        <f t="shared" si="71"/>
        <v>TRAPASLDTDMD</v>
      </c>
      <c r="AY94" s="25" t="str">
        <f t="shared" si="71"/>
        <v>TRAPASLDTDMD</v>
      </c>
      <c r="AZ94" s="26">
        <v>2050</v>
      </c>
      <c r="BA94" s="26" t="str">
        <f>BA92</f>
        <v>LO</v>
      </c>
      <c r="BB94" s="26"/>
      <c r="BC94" s="27" t="e">
        <f>-SUMIFS('TRA RESID'!$P:$P,'TRA RESID'!$I:$I,AY94,'TRA RESID'!$J:$J,AV94,'TRA RESID'!$H:$H,AW94)/SUMIFS('TRA RESID'!$P:$P,'TRA RESID'!$I:$I,AY94)*BG94</f>
        <v>#DIV/0!</v>
      </c>
      <c r="BD94" s="26"/>
      <c r="BE94" s="26"/>
      <c r="BG94" s="28">
        <v>0</v>
      </c>
    </row>
    <row r="95" spans="1:59" x14ac:dyDescent="0.25">
      <c r="A95">
        <f>A90+1</f>
        <v>19</v>
      </c>
      <c r="C95" s="15" t="str">
        <f>IF(E95="","",IF(_xlfn.XLOOKUP($A95,Selected_constraint!$A:$A,Selected_constraint!$D:$D)=1,"*",IF(SUMIFS('TRA TECH'!$M:$M,'TRA TECH'!$H:$H,E95,'TRA TECH'!$I:$I,F95)=0,"*",IF(SUMIFS('TRA RESID'!$P:$P,'TRA RESID'!$I:$I,G95,'TRA RESID'!$J:$J,D95,'TRA RESID'!$H:$H,E95)=0,"*","UC_"&amp;SUBSTITUTE(D95,"*","")&amp;"_"&amp;RIGHT(E95,3)&amp;"_"&amp;F95))))</f>
        <v>*</v>
      </c>
      <c r="D95" s="17" t="s">
        <v>485</v>
      </c>
      <c r="E95" s="17" t="str">
        <f>_xlfn.XLOOKUP($A95,Selected_constraint!$A:$A,Selected_constraint!$B:$B)</f>
        <v>TRAGSL</v>
      </c>
      <c r="F95" s="17" t="str">
        <f>_xlfn.XLOOKUP($A95,Selected_constraint!$A:$A,Selected_constraint!$C:$C)</f>
        <v>TRAPASMOTDMD</v>
      </c>
      <c r="G95" s="17" t="str">
        <f>F95</f>
        <v>TRAPASMOTDMD</v>
      </c>
      <c r="H95" s="18">
        <v>2019</v>
      </c>
      <c r="I95" s="18" t="s">
        <v>483</v>
      </c>
      <c r="J95" s="18">
        <v>1</v>
      </c>
      <c r="K95" s="20" t="e">
        <f>-SUMIFS('TRA RESID'!$P:$P,'TRA RESID'!$I:$I,G95,'TRA RESID'!$J:$J,D95,'TRA RESID'!$H:$H,E95)/SUMIFS('TRA RESID'!$P:$P,'TRA RESID'!$I:$I,G95)*O95</f>
        <v>#DIV/0!</v>
      </c>
      <c r="L95" s="18">
        <v>0</v>
      </c>
      <c r="M95" s="18">
        <v>5</v>
      </c>
      <c r="O95" s="21">
        <v>0.98</v>
      </c>
      <c r="Q95">
        <f>Q90+1</f>
        <v>19</v>
      </c>
      <c r="S95" s="15" t="str">
        <f>IF(SUMIFS('TRA RESID'!$P:$P,'TRA RESID'!$I:$I,W95,'TRA RESID'!$J:$J,T95,'TRA RESID'!$H:$H,U95)=0,"*","UC_"&amp;SUBSTITUTE(T95,"*","")&amp;"_"&amp;RIGHT(U95,3)&amp;"_"&amp;V95)</f>
        <v>*</v>
      </c>
      <c r="T95" s="17" t="s">
        <v>486</v>
      </c>
      <c r="U95" s="17" t="str">
        <f>_xlfn.XLOOKUP($A95,Selected_constraint!$A:$A,Selected_constraint!$B:$B)</f>
        <v>TRAGSL</v>
      </c>
      <c r="V95" s="17" t="str">
        <f>_xlfn.XLOOKUP($A95,Selected_constraint!$A:$A,Selected_constraint!$C:$C)</f>
        <v>TRAPASMOTDMD</v>
      </c>
      <c r="W95" s="17" t="str">
        <f>V95</f>
        <v>TRAPASMOTDMD</v>
      </c>
      <c r="X95" s="18">
        <v>2019</v>
      </c>
      <c r="Y95" s="18" t="s">
        <v>483</v>
      </c>
      <c r="Z95" s="18">
        <v>1</v>
      </c>
      <c r="AA95" s="20" t="e">
        <f>-SUMIFS('TRA RESID'!$P:$P,'TRA RESID'!$I:$I,W95,'TRA RESID'!$J:$J,T95,'TRA RESID'!$H:$H,U95)/SUMIFS('TRA RESID'!$P:$P,'TRA RESID'!$I:$I,W95)*AE95</f>
        <v>#DIV/0!</v>
      </c>
      <c r="AB95" s="18">
        <v>0</v>
      </c>
      <c r="AC95" s="18">
        <v>5</v>
      </c>
      <c r="AE95" s="21">
        <v>0.98</v>
      </c>
      <c r="AG95" s="15" t="str">
        <f>IF(SUMIFS('TRA RESID'!$P:$P,'TRA RESID'!$I:$I,AK95,'TRA RESID'!$J:$J,AH95,'TRA RESID'!$H:$H,AI95)=0,"*","UC_"&amp;SUBSTITUTE(AH95,"*","")&amp;"_"&amp;RIGHT(AI95,3)&amp;"_"&amp;AJ95)</f>
        <v>*</v>
      </c>
      <c r="AH95" s="17" t="s">
        <v>487</v>
      </c>
      <c r="AI95" s="17" t="str">
        <f>_xlfn.XLOOKUP($A95,Selected_constraint!$A:$A,Selected_constraint!$B:$B)</f>
        <v>TRAGSL</v>
      </c>
      <c r="AJ95" s="17" t="str">
        <f>_xlfn.XLOOKUP($A95,Selected_constraint!$A:$A,Selected_constraint!$C:$C)</f>
        <v>TRAPASMOTDMD</v>
      </c>
      <c r="AK95" s="17" t="str">
        <f>AJ95</f>
        <v>TRAPASMOTDMD</v>
      </c>
      <c r="AL95" s="18">
        <v>2019</v>
      </c>
      <c r="AM95" s="18" t="s">
        <v>483</v>
      </c>
      <c r="AN95" s="18">
        <v>1</v>
      </c>
      <c r="AO95" s="20" t="e">
        <f>-SUMIFS('TRA RESID'!$P:$P,'TRA RESID'!$I:$I,AK95,'TRA RESID'!$J:$J,AH95,'TRA RESID'!$H:$H,AI95)/SUMIFS('TRA RESID'!$P:$P,'TRA RESID'!$I:$I,AK95)*AS95</f>
        <v>#DIV/0!</v>
      </c>
      <c r="AP95" s="18">
        <v>0</v>
      </c>
      <c r="AQ95" s="18">
        <v>5</v>
      </c>
      <c r="AS95" s="21">
        <v>0.98</v>
      </c>
      <c r="AU95" s="15" t="str">
        <f>IF(SUMIFS('TRA RESID'!$P:$P,'TRA RESID'!$I:$I,AY95,'TRA RESID'!$J:$J,AV95,'TRA RESID'!$H:$H,AW95)=0,"*","UC_"&amp;SUBSTITUTE(AV95,"*","")&amp;"_"&amp;RIGHT(AW95,3)&amp;"_"&amp;AX95)</f>
        <v>*</v>
      </c>
      <c r="AV95" s="17" t="s">
        <v>488</v>
      </c>
      <c r="AW95" s="17" t="str">
        <f>_xlfn.XLOOKUP($A95,Selected_constraint!$A:$A,Selected_constraint!$B:$B)</f>
        <v>TRAGSL</v>
      </c>
      <c r="AX95" s="17" t="str">
        <f>_xlfn.XLOOKUP($A95,Selected_constraint!$A:$A,Selected_constraint!$C:$C)</f>
        <v>TRAPASMOTDMD</v>
      </c>
      <c r="AY95" s="17" t="str">
        <f>AX95</f>
        <v>TRAPASMOTDMD</v>
      </c>
      <c r="AZ95" s="18">
        <v>2019</v>
      </c>
      <c r="BA95" s="18" t="s">
        <v>483</v>
      </c>
      <c r="BB95" s="18">
        <v>1</v>
      </c>
      <c r="BC95" s="20" t="e">
        <f>-SUMIFS('TRA RESID'!$P:$P,'TRA RESID'!$I:$I,AY95,'TRA RESID'!$J:$J,AV95,'TRA RESID'!$H:$H,AW95)/SUMIFS('TRA RESID'!$P:$P,'TRA RESID'!$I:$I,AY95)*BG95</f>
        <v>#DIV/0!</v>
      </c>
      <c r="BD95" s="18">
        <v>0</v>
      </c>
      <c r="BE95" s="18">
        <v>5</v>
      </c>
      <c r="BG95" s="21">
        <v>0.98</v>
      </c>
    </row>
    <row r="96" spans="1:59" x14ac:dyDescent="0.25">
      <c r="C96" s="15" t="str">
        <f>IF(C95="*",C95,"")</f>
        <v>*</v>
      </c>
      <c r="D96" s="17" t="str">
        <f t="shared" ref="D96:G99" si="72">D95</f>
        <v>*ICEV*</v>
      </c>
      <c r="E96" s="17" t="str">
        <f t="shared" si="72"/>
        <v>TRAGSL</v>
      </c>
      <c r="F96" s="17" t="str">
        <f t="shared" si="72"/>
        <v>TRAPASMOTDMD</v>
      </c>
      <c r="G96" s="17" t="str">
        <f t="shared" si="72"/>
        <v>TRAPASMOTDMD</v>
      </c>
      <c r="H96" s="18">
        <v>2025</v>
      </c>
      <c r="I96" s="18" t="str">
        <f>I95</f>
        <v>LO</v>
      </c>
      <c r="J96" s="18"/>
      <c r="K96" s="20" t="e">
        <f>-SUMIFS('TRA RESID'!$P:$P,'TRA RESID'!$I:$I,G96,'TRA RESID'!$J:$J,D96,'TRA RESID'!$H:$H,E96)/SUMIFS('TRA RESID'!$P:$P,'TRA RESID'!$I:$I,G96)*O96</f>
        <v>#DIV/0!</v>
      </c>
      <c r="L96" s="18"/>
      <c r="M96" s="18"/>
      <c r="O96" s="21">
        <v>0.8</v>
      </c>
      <c r="S96" s="15" t="str">
        <f>IF(S95="*",S95,"")</f>
        <v>*</v>
      </c>
      <c r="T96" s="17" t="str">
        <f t="shared" ref="T96:W99" si="73">T95</f>
        <v>*BEV*</v>
      </c>
      <c r="U96" s="17" t="str">
        <f t="shared" si="73"/>
        <v>TRAGSL</v>
      </c>
      <c r="V96" s="17" t="str">
        <f t="shared" si="73"/>
        <v>TRAPASMOTDMD</v>
      </c>
      <c r="W96" s="17" t="str">
        <f t="shared" si="73"/>
        <v>TRAPASMOTDMD</v>
      </c>
      <c r="X96" s="18">
        <v>2025</v>
      </c>
      <c r="Y96" s="18" t="str">
        <f>Y95</f>
        <v>LO</v>
      </c>
      <c r="Z96" s="18"/>
      <c r="AA96" s="20" t="e">
        <f>-SUMIFS('TRA RESID'!$P:$P,'TRA RESID'!$I:$I,W96,'TRA RESID'!$J:$J,T96,'TRA RESID'!$H:$H,U96)/SUMIFS('TRA RESID'!$P:$P,'TRA RESID'!$I:$I,W96)*AE96</f>
        <v>#DIV/0!</v>
      </c>
      <c r="AB96" s="18"/>
      <c r="AC96" s="18"/>
      <c r="AE96" s="21">
        <v>1</v>
      </c>
      <c r="AG96" s="15" t="str">
        <f>IF(AG95="*",AG95,"")</f>
        <v>*</v>
      </c>
      <c r="AH96" s="17" t="str">
        <f t="shared" ref="AH96:AK99" si="74">AH95</f>
        <v>*HEV*</v>
      </c>
      <c r="AI96" s="17" t="str">
        <f t="shared" si="74"/>
        <v>TRAGSL</v>
      </c>
      <c r="AJ96" s="17" t="str">
        <f t="shared" si="74"/>
        <v>TRAPASMOTDMD</v>
      </c>
      <c r="AK96" s="17" t="str">
        <f t="shared" si="74"/>
        <v>TRAPASMOTDMD</v>
      </c>
      <c r="AL96" s="18">
        <v>2025</v>
      </c>
      <c r="AM96" s="18" t="str">
        <f>AM95</f>
        <v>LO</v>
      </c>
      <c r="AN96" s="18"/>
      <c r="AO96" s="20" t="e">
        <f>-SUMIFS('TRA RESID'!$P:$P,'TRA RESID'!$I:$I,AK96,'TRA RESID'!$J:$J,AH96,'TRA RESID'!$H:$H,AI96)/SUMIFS('TRA RESID'!$P:$P,'TRA RESID'!$I:$I,AK96)*AS96</f>
        <v>#DIV/0!</v>
      </c>
      <c r="AP96" s="18"/>
      <c r="AQ96" s="18"/>
      <c r="AS96" s="21">
        <v>0.8</v>
      </c>
      <c r="AU96" s="15" t="str">
        <f>IF(AU95="*",AU95,"")</f>
        <v>*</v>
      </c>
      <c r="AV96" s="17" t="str">
        <f t="shared" ref="AV96:AY99" si="75">AV95</f>
        <v>*FCEV*</v>
      </c>
      <c r="AW96" s="17" t="str">
        <f t="shared" si="75"/>
        <v>TRAGSL</v>
      </c>
      <c r="AX96" s="17" t="str">
        <f t="shared" si="75"/>
        <v>TRAPASMOTDMD</v>
      </c>
      <c r="AY96" s="17" t="str">
        <f t="shared" si="75"/>
        <v>TRAPASMOTDMD</v>
      </c>
      <c r="AZ96" s="18">
        <v>2025</v>
      </c>
      <c r="BA96" s="18" t="str">
        <f>BA95</f>
        <v>LO</v>
      </c>
      <c r="BB96" s="18"/>
      <c r="BC96" s="20" t="e">
        <f>-SUMIFS('TRA RESID'!$P:$P,'TRA RESID'!$I:$I,AY96,'TRA RESID'!$J:$J,AV96,'TRA RESID'!$H:$H,AW96)/SUMIFS('TRA RESID'!$P:$P,'TRA RESID'!$I:$I,AY96)*BG96</f>
        <v>#DIV/0!</v>
      </c>
      <c r="BD96" s="18"/>
      <c r="BE96" s="18"/>
      <c r="BG96" s="21">
        <v>0.8</v>
      </c>
    </row>
    <row r="97" spans="1:59" x14ac:dyDescent="0.25">
      <c r="C97" s="15" t="str">
        <f>IF(C96="*",C96,"")</f>
        <v>*</v>
      </c>
      <c r="D97" s="17" t="str">
        <f t="shared" si="72"/>
        <v>*ICEV*</v>
      </c>
      <c r="E97" s="17" t="str">
        <f t="shared" si="72"/>
        <v>TRAGSL</v>
      </c>
      <c r="F97" s="17" t="str">
        <f t="shared" si="72"/>
        <v>TRAPASMOTDMD</v>
      </c>
      <c r="G97" s="17" t="str">
        <f t="shared" si="72"/>
        <v>TRAPASMOTDMD</v>
      </c>
      <c r="H97" s="18">
        <v>2030</v>
      </c>
      <c r="I97" s="18" t="str">
        <f>I96</f>
        <v>LO</v>
      </c>
      <c r="J97" s="18"/>
      <c r="K97" s="20" t="e">
        <f>-SUMIFS('TRA RESID'!$P:$P,'TRA RESID'!$I:$I,G97,'TRA RESID'!$J:$J,D97,'TRA RESID'!$H:$H,E97)/SUMIFS('TRA RESID'!$P:$P,'TRA RESID'!$I:$I,G97)*O97</f>
        <v>#DIV/0!</v>
      </c>
      <c r="L97" s="18"/>
      <c r="M97" s="18"/>
      <c r="O97" s="21">
        <v>0.5</v>
      </c>
      <c r="S97" s="15" t="str">
        <f>IF(S96="*",S96,"")</f>
        <v>*</v>
      </c>
      <c r="T97" s="17" t="str">
        <f t="shared" si="73"/>
        <v>*BEV*</v>
      </c>
      <c r="U97" s="17" t="str">
        <f t="shared" si="73"/>
        <v>TRAGSL</v>
      </c>
      <c r="V97" s="17" t="str">
        <f t="shared" si="73"/>
        <v>TRAPASMOTDMD</v>
      </c>
      <c r="W97" s="17" t="str">
        <f t="shared" si="73"/>
        <v>TRAPASMOTDMD</v>
      </c>
      <c r="X97" s="18">
        <v>2030</v>
      </c>
      <c r="Y97" s="18" t="str">
        <f>Y96</f>
        <v>LO</v>
      </c>
      <c r="Z97" s="18"/>
      <c r="AA97" s="20" t="e">
        <f>-SUMIFS('TRA RESID'!$P:$P,'TRA RESID'!$I:$I,W97,'TRA RESID'!$J:$J,T97,'TRA RESID'!$H:$H,U97)/SUMIFS('TRA RESID'!$P:$P,'TRA RESID'!$I:$I,W97)*AE97</f>
        <v>#DIV/0!</v>
      </c>
      <c r="AB97" s="18"/>
      <c r="AC97" s="18"/>
      <c r="AE97" s="21">
        <v>1</v>
      </c>
      <c r="AG97" s="15" t="str">
        <f>IF(AG96="*",AG96,"")</f>
        <v>*</v>
      </c>
      <c r="AH97" s="17" t="str">
        <f t="shared" si="74"/>
        <v>*HEV*</v>
      </c>
      <c r="AI97" s="17" t="str">
        <f t="shared" si="74"/>
        <v>TRAGSL</v>
      </c>
      <c r="AJ97" s="17" t="str">
        <f t="shared" si="74"/>
        <v>TRAPASMOTDMD</v>
      </c>
      <c r="AK97" s="17" t="str">
        <f t="shared" si="74"/>
        <v>TRAPASMOTDMD</v>
      </c>
      <c r="AL97" s="18">
        <v>2030</v>
      </c>
      <c r="AM97" s="18" t="str">
        <f>AM96</f>
        <v>LO</v>
      </c>
      <c r="AN97" s="18"/>
      <c r="AO97" s="20" t="e">
        <f>-SUMIFS('TRA RESID'!$P:$P,'TRA RESID'!$I:$I,AK97,'TRA RESID'!$J:$J,AH97,'TRA RESID'!$H:$H,AI97)/SUMIFS('TRA RESID'!$P:$P,'TRA RESID'!$I:$I,AK97)*AS97</f>
        <v>#DIV/0!</v>
      </c>
      <c r="AP97" s="18"/>
      <c r="AQ97" s="18"/>
      <c r="AS97" s="21">
        <v>0.5</v>
      </c>
      <c r="AU97" s="15" t="str">
        <f>IF(AU96="*",AU96,"")</f>
        <v>*</v>
      </c>
      <c r="AV97" s="17" t="str">
        <f t="shared" si="75"/>
        <v>*FCEV*</v>
      </c>
      <c r="AW97" s="17" t="str">
        <f t="shared" si="75"/>
        <v>TRAGSL</v>
      </c>
      <c r="AX97" s="17" t="str">
        <f t="shared" si="75"/>
        <v>TRAPASMOTDMD</v>
      </c>
      <c r="AY97" s="17" t="str">
        <f t="shared" si="75"/>
        <v>TRAPASMOTDMD</v>
      </c>
      <c r="AZ97" s="18">
        <v>2030</v>
      </c>
      <c r="BA97" s="18" t="str">
        <f>BA96</f>
        <v>LO</v>
      </c>
      <c r="BB97" s="18"/>
      <c r="BC97" s="20" t="e">
        <f>-SUMIFS('TRA RESID'!$P:$P,'TRA RESID'!$I:$I,AY97,'TRA RESID'!$J:$J,AV97,'TRA RESID'!$H:$H,AW97)/SUMIFS('TRA RESID'!$P:$P,'TRA RESID'!$I:$I,AY97)*BG97</f>
        <v>#DIV/0!</v>
      </c>
      <c r="BD97" s="18"/>
      <c r="BE97" s="18"/>
      <c r="BG97" s="21">
        <v>0.5</v>
      </c>
    </row>
    <row r="98" spans="1:59" x14ac:dyDescent="0.25">
      <c r="C98" s="15" t="str">
        <f>IF(C97="*",C97,"")</f>
        <v>*</v>
      </c>
      <c r="D98" s="17" t="str">
        <f t="shared" si="72"/>
        <v>*ICEV*</v>
      </c>
      <c r="E98" s="17" t="str">
        <f t="shared" si="72"/>
        <v>TRAGSL</v>
      </c>
      <c r="F98" s="17" t="str">
        <f t="shared" si="72"/>
        <v>TRAPASMOTDMD</v>
      </c>
      <c r="G98" s="17" t="str">
        <f t="shared" si="72"/>
        <v>TRAPASMOTDMD</v>
      </c>
      <c r="H98" s="18">
        <v>2040</v>
      </c>
      <c r="I98" s="18" t="str">
        <f>I97</f>
        <v>LO</v>
      </c>
      <c r="J98" s="18"/>
      <c r="K98" s="20" t="e">
        <f>-SUMIFS('TRA RESID'!$P:$P,'TRA RESID'!$I:$I,G98,'TRA RESID'!$J:$J,D98,'TRA RESID'!$H:$H,E98)/SUMIFS('TRA RESID'!$P:$P,'TRA RESID'!$I:$I,G98)*O98</f>
        <v>#DIV/0!</v>
      </c>
      <c r="L98" s="18"/>
      <c r="M98" s="18"/>
      <c r="O98" s="21">
        <v>0</v>
      </c>
      <c r="S98" s="15" t="str">
        <f>IF(S97="*",S97,"")</f>
        <v>*</v>
      </c>
      <c r="T98" s="17" t="str">
        <f t="shared" si="73"/>
        <v>*BEV*</v>
      </c>
      <c r="U98" s="17" t="str">
        <f t="shared" si="73"/>
        <v>TRAGSL</v>
      </c>
      <c r="V98" s="17" t="str">
        <f t="shared" si="73"/>
        <v>TRAPASMOTDMD</v>
      </c>
      <c r="W98" s="17" t="str">
        <f t="shared" si="73"/>
        <v>TRAPASMOTDMD</v>
      </c>
      <c r="X98" s="18">
        <v>2040</v>
      </c>
      <c r="Y98" s="18" t="str">
        <f>Y97</f>
        <v>LO</v>
      </c>
      <c r="Z98" s="18"/>
      <c r="AA98" s="20" t="e">
        <f>-SUMIFS('TRA RESID'!$P:$P,'TRA RESID'!$I:$I,W98,'TRA RESID'!$J:$J,T98,'TRA RESID'!$H:$H,U98)/SUMIFS('TRA RESID'!$P:$P,'TRA RESID'!$I:$I,W98)*AE98</f>
        <v>#DIV/0!</v>
      </c>
      <c r="AB98" s="18"/>
      <c r="AC98" s="18"/>
      <c r="AE98" s="21">
        <v>1</v>
      </c>
      <c r="AG98" s="15" t="str">
        <f>IF(AG97="*",AG97,"")</f>
        <v>*</v>
      </c>
      <c r="AH98" s="17" t="str">
        <f t="shared" si="74"/>
        <v>*HEV*</v>
      </c>
      <c r="AI98" s="17" t="str">
        <f t="shared" si="74"/>
        <v>TRAGSL</v>
      </c>
      <c r="AJ98" s="17" t="str">
        <f t="shared" si="74"/>
        <v>TRAPASMOTDMD</v>
      </c>
      <c r="AK98" s="17" t="str">
        <f t="shared" si="74"/>
        <v>TRAPASMOTDMD</v>
      </c>
      <c r="AL98" s="18">
        <v>2040</v>
      </c>
      <c r="AM98" s="18" t="str">
        <f>AM97</f>
        <v>LO</v>
      </c>
      <c r="AN98" s="18"/>
      <c r="AO98" s="20" t="e">
        <f>-SUMIFS('TRA RESID'!$P:$P,'TRA RESID'!$I:$I,AK98,'TRA RESID'!$J:$J,AH98,'TRA RESID'!$H:$H,AI98)/SUMIFS('TRA RESID'!$P:$P,'TRA RESID'!$I:$I,AK98)*AS98</f>
        <v>#DIV/0!</v>
      </c>
      <c r="AP98" s="18"/>
      <c r="AQ98" s="18"/>
      <c r="AS98" s="21">
        <v>0</v>
      </c>
      <c r="AU98" s="15" t="str">
        <f>IF(AU97="*",AU97,"")</f>
        <v>*</v>
      </c>
      <c r="AV98" s="17" t="str">
        <f t="shared" si="75"/>
        <v>*FCEV*</v>
      </c>
      <c r="AW98" s="17" t="str">
        <f t="shared" si="75"/>
        <v>TRAGSL</v>
      </c>
      <c r="AX98" s="17" t="str">
        <f t="shared" si="75"/>
        <v>TRAPASMOTDMD</v>
      </c>
      <c r="AY98" s="17" t="str">
        <f t="shared" si="75"/>
        <v>TRAPASMOTDMD</v>
      </c>
      <c r="AZ98" s="18">
        <v>2040</v>
      </c>
      <c r="BA98" s="18" t="str">
        <f>BA97</f>
        <v>LO</v>
      </c>
      <c r="BB98" s="18"/>
      <c r="BC98" s="20" t="e">
        <f>-SUMIFS('TRA RESID'!$P:$P,'TRA RESID'!$I:$I,AY98,'TRA RESID'!$J:$J,AV98,'TRA RESID'!$H:$H,AW98)/SUMIFS('TRA RESID'!$P:$P,'TRA RESID'!$I:$I,AY98)*BG98</f>
        <v>#DIV/0!</v>
      </c>
      <c r="BD98" s="18"/>
      <c r="BE98" s="18"/>
      <c r="BG98" s="21">
        <v>0</v>
      </c>
    </row>
    <row r="99" spans="1:59" x14ac:dyDescent="0.25">
      <c r="C99" s="23" t="str">
        <f>IF(C98="*",C98,"")</f>
        <v>*</v>
      </c>
      <c r="D99" s="25" t="str">
        <f t="shared" si="72"/>
        <v>*ICEV*</v>
      </c>
      <c r="E99" s="25" t="str">
        <f t="shared" si="72"/>
        <v>TRAGSL</v>
      </c>
      <c r="F99" s="25" t="str">
        <f t="shared" si="72"/>
        <v>TRAPASMOTDMD</v>
      </c>
      <c r="G99" s="25" t="str">
        <f t="shared" si="72"/>
        <v>TRAPASMOTDMD</v>
      </c>
      <c r="H99" s="26">
        <v>2050</v>
      </c>
      <c r="I99" s="26" t="str">
        <f>I97</f>
        <v>LO</v>
      </c>
      <c r="J99" s="26"/>
      <c r="K99" s="27" t="e">
        <f>-SUMIFS('TRA RESID'!$P:$P,'TRA RESID'!$I:$I,G99,'TRA RESID'!$J:$J,D99,'TRA RESID'!$H:$H,E99)/SUMIFS('TRA RESID'!$P:$P,'TRA RESID'!$I:$I,G99)*O99</f>
        <v>#DIV/0!</v>
      </c>
      <c r="L99" s="26"/>
      <c r="M99" s="26"/>
      <c r="O99" s="28">
        <v>0</v>
      </c>
      <c r="S99" s="23" t="str">
        <f>IF(S98="*",S98,"")</f>
        <v>*</v>
      </c>
      <c r="T99" s="25" t="str">
        <f t="shared" si="73"/>
        <v>*BEV*</v>
      </c>
      <c r="U99" s="25" t="str">
        <f t="shared" si="73"/>
        <v>TRAGSL</v>
      </c>
      <c r="V99" s="25" t="str">
        <f t="shared" si="73"/>
        <v>TRAPASMOTDMD</v>
      </c>
      <c r="W99" s="25" t="str">
        <f t="shared" si="73"/>
        <v>TRAPASMOTDMD</v>
      </c>
      <c r="X99" s="26">
        <v>2050</v>
      </c>
      <c r="Y99" s="26" t="str">
        <f>Y97</f>
        <v>LO</v>
      </c>
      <c r="Z99" s="26"/>
      <c r="AA99" s="27" t="e">
        <f>-SUMIFS('TRA RESID'!$P:$P,'TRA RESID'!$I:$I,W99,'TRA RESID'!$J:$J,T99,'TRA RESID'!$H:$H,U99)/SUMIFS('TRA RESID'!$P:$P,'TRA RESID'!$I:$I,W99)*AE99</f>
        <v>#DIV/0!</v>
      </c>
      <c r="AB99" s="26"/>
      <c r="AC99" s="26"/>
      <c r="AE99" s="28">
        <v>1</v>
      </c>
      <c r="AG99" s="23" t="str">
        <f>IF(AG98="*",AG98,"")</f>
        <v>*</v>
      </c>
      <c r="AH99" s="25" t="str">
        <f t="shared" si="74"/>
        <v>*HEV*</v>
      </c>
      <c r="AI99" s="25" t="str">
        <f t="shared" si="74"/>
        <v>TRAGSL</v>
      </c>
      <c r="AJ99" s="25" t="str">
        <f t="shared" si="74"/>
        <v>TRAPASMOTDMD</v>
      </c>
      <c r="AK99" s="25" t="str">
        <f t="shared" si="74"/>
        <v>TRAPASMOTDMD</v>
      </c>
      <c r="AL99" s="26">
        <v>2050</v>
      </c>
      <c r="AM99" s="26" t="str">
        <f>AM97</f>
        <v>LO</v>
      </c>
      <c r="AN99" s="26"/>
      <c r="AO99" s="27" t="e">
        <f>-SUMIFS('TRA RESID'!$P:$P,'TRA RESID'!$I:$I,AK99,'TRA RESID'!$J:$J,AH99,'TRA RESID'!$H:$H,AI99)/SUMIFS('TRA RESID'!$P:$P,'TRA RESID'!$I:$I,AK99)*AS99</f>
        <v>#DIV/0!</v>
      </c>
      <c r="AP99" s="26"/>
      <c r="AQ99" s="26"/>
      <c r="AS99" s="28">
        <v>0</v>
      </c>
      <c r="AU99" s="23" t="str">
        <f>IF(AU98="*",AU98,"")</f>
        <v>*</v>
      </c>
      <c r="AV99" s="25" t="str">
        <f t="shared" si="75"/>
        <v>*FCEV*</v>
      </c>
      <c r="AW99" s="25" t="str">
        <f t="shared" si="75"/>
        <v>TRAGSL</v>
      </c>
      <c r="AX99" s="25" t="str">
        <f t="shared" si="75"/>
        <v>TRAPASMOTDMD</v>
      </c>
      <c r="AY99" s="25" t="str">
        <f t="shared" si="75"/>
        <v>TRAPASMOTDMD</v>
      </c>
      <c r="AZ99" s="26">
        <v>2050</v>
      </c>
      <c r="BA99" s="26" t="str">
        <f>BA97</f>
        <v>LO</v>
      </c>
      <c r="BB99" s="26"/>
      <c r="BC99" s="27" t="e">
        <f>-SUMIFS('TRA RESID'!$P:$P,'TRA RESID'!$I:$I,AY99,'TRA RESID'!$J:$J,AV99,'TRA RESID'!$H:$H,AW99)/SUMIFS('TRA RESID'!$P:$P,'TRA RESID'!$I:$I,AY99)*BG99</f>
        <v>#DIV/0!</v>
      </c>
      <c r="BD99" s="26"/>
      <c r="BE99" s="26"/>
      <c r="BG99" s="28">
        <v>0</v>
      </c>
    </row>
    <row r="100" spans="1:59" x14ac:dyDescent="0.25">
      <c r="A100">
        <f>A95+1</f>
        <v>20</v>
      </c>
      <c r="C100" s="15" t="str">
        <f>IF(E100="","",IF(_xlfn.XLOOKUP($A100,Selected_constraint!$A:$A,Selected_constraint!$D:$D)=1,"*",IF(SUMIFS('TRA TECH'!$M:$M,'TRA TECH'!$H:$H,E100,'TRA TECH'!$I:$I,F100)=0,"*",IF(SUMIFS('TRA RESID'!$P:$P,'TRA RESID'!$I:$I,G100,'TRA RESID'!$J:$J,D100,'TRA RESID'!$H:$H,E100)=0,"*","UC_"&amp;SUBSTITUTE(D100,"*","")&amp;"_"&amp;RIGHT(E100,3)&amp;"_"&amp;F100))))</f>
        <v>*</v>
      </c>
      <c r="D100" s="17" t="s">
        <v>485</v>
      </c>
      <c r="E100" s="17" t="str">
        <f>_xlfn.XLOOKUP($A100,Selected_constraint!$A:$A,Selected_constraint!$B:$B)</f>
        <v>TRAETH</v>
      </c>
      <c r="F100" s="17" t="str">
        <f>_xlfn.XLOOKUP($A100,Selected_constraint!$A:$A,Selected_constraint!$C:$C)</f>
        <v>TRAPASMOTDMD</v>
      </c>
      <c r="G100" s="17" t="str">
        <f>F100</f>
        <v>TRAPASMOTDMD</v>
      </c>
      <c r="H100" s="18">
        <v>2019</v>
      </c>
      <c r="I100" s="18" t="s">
        <v>483</v>
      </c>
      <c r="J100" s="18">
        <v>1</v>
      </c>
      <c r="K100" s="20" t="e">
        <f>-SUMIFS('TRA RESID'!$P:$P,'TRA RESID'!$I:$I,G100,'TRA RESID'!$J:$J,D100,'TRA RESID'!$H:$H,E100)/SUMIFS('TRA RESID'!$P:$P,'TRA RESID'!$I:$I,G100)*O100</f>
        <v>#DIV/0!</v>
      </c>
      <c r="L100" s="18">
        <v>0</v>
      </c>
      <c r="M100" s="18">
        <v>5</v>
      </c>
      <c r="O100" s="21">
        <v>0.98</v>
      </c>
      <c r="Q100">
        <f>Q95+1</f>
        <v>20</v>
      </c>
      <c r="S100" s="15" t="str">
        <f>IF(SUMIFS('TRA RESID'!$P:$P,'TRA RESID'!$I:$I,W100,'TRA RESID'!$J:$J,T100,'TRA RESID'!$H:$H,U100)=0,"*","UC_"&amp;SUBSTITUTE(T100,"*","")&amp;"_"&amp;RIGHT(U100,3)&amp;"_"&amp;V100)</f>
        <v>*</v>
      </c>
      <c r="T100" s="17" t="s">
        <v>486</v>
      </c>
      <c r="U100" s="17" t="str">
        <f>_xlfn.XLOOKUP($A100,Selected_constraint!$A:$A,Selected_constraint!$B:$B)</f>
        <v>TRAETH</v>
      </c>
      <c r="V100" s="17" t="str">
        <f>_xlfn.XLOOKUP($A100,Selected_constraint!$A:$A,Selected_constraint!$C:$C)</f>
        <v>TRAPASMOTDMD</v>
      </c>
      <c r="W100" s="17" t="str">
        <f>V100</f>
        <v>TRAPASMOTDMD</v>
      </c>
      <c r="X100" s="18">
        <v>2019</v>
      </c>
      <c r="Y100" s="18" t="s">
        <v>483</v>
      </c>
      <c r="Z100" s="18">
        <v>1</v>
      </c>
      <c r="AA100" s="20" t="e">
        <f>-SUMIFS('TRA RESID'!$P:$P,'TRA RESID'!$I:$I,W100,'TRA RESID'!$J:$J,T100,'TRA RESID'!$H:$H,U100)/SUMIFS('TRA RESID'!$P:$P,'TRA RESID'!$I:$I,W100)*AE100</f>
        <v>#DIV/0!</v>
      </c>
      <c r="AB100" s="18">
        <v>0</v>
      </c>
      <c r="AC100" s="18">
        <v>5</v>
      </c>
      <c r="AE100" s="21">
        <v>0.98</v>
      </c>
      <c r="AG100" s="15" t="str">
        <f>IF(SUMIFS('TRA RESID'!$P:$P,'TRA RESID'!$I:$I,AK100,'TRA RESID'!$J:$J,AH100,'TRA RESID'!$H:$H,AI100)=0,"*","UC_"&amp;SUBSTITUTE(AH100,"*","")&amp;"_"&amp;RIGHT(AI100,3)&amp;"_"&amp;AJ100)</f>
        <v>*</v>
      </c>
      <c r="AH100" s="17" t="s">
        <v>487</v>
      </c>
      <c r="AI100" s="17" t="str">
        <f>_xlfn.XLOOKUP($A100,Selected_constraint!$A:$A,Selected_constraint!$B:$B)</f>
        <v>TRAETH</v>
      </c>
      <c r="AJ100" s="17" t="str">
        <f>_xlfn.XLOOKUP($A100,Selected_constraint!$A:$A,Selected_constraint!$C:$C)</f>
        <v>TRAPASMOTDMD</v>
      </c>
      <c r="AK100" s="17" t="str">
        <f>AJ100</f>
        <v>TRAPASMOTDMD</v>
      </c>
      <c r="AL100" s="18">
        <v>2019</v>
      </c>
      <c r="AM100" s="18" t="s">
        <v>483</v>
      </c>
      <c r="AN100" s="18">
        <v>1</v>
      </c>
      <c r="AO100" s="20" t="e">
        <f>-SUMIFS('TRA RESID'!$P:$P,'TRA RESID'!$I:$I,AK100,'TRA RESID'!$J:$J,AH100,'TRA RESID'!$H:$H,AI100)/SUMIFS('TRA RESID'!$P:$P,'TRA RESID'!$I:$I,AK100)*AS100</f>
        <v>#DIV/0!</v>
      </c>
      <c r="AP100" s="18">
        <v>0</v>
      </c>
      <c r="AQ100" s="18">
        <v>5</v>
      </c>
      <c r="AS100" s="21">
        <v>0.98</v>
      </c>
      <c r="AU100" s="15" t="str">
        <f>IF(SUMIFS('TRA RESID'!$P:$P,'TRA RESID'!$I:$I,AY100,'TRA RESID'!$J:$J,AV100,'TRA RESID'!$H:$H,AW100)=0,"*","UC_"&amp;SUBSTITUTE(AV100,"*","")&amp;"_"&amp;RIGHT(AW100,3)&amp;"_"&amp;AX100)</f>
        <v>*</v>
      </c>
      <c r="AV100" s="17" t="s">
        <v>488</v>
      </c>
      <c r="AW100" s="17" t="str">
        <f>_xlfn.XLOOKUP($A100,Selected_constraint!$A:$A,Selected_constraint!$B:$B)</f>
        <v>TRAETH</v>
      </c>
      <c r="AX100" s="17" t="str">
        <f>_xlfn.XLOOKUP($A100,Selected_constraint!$A:$A,Selected_constraint!$C:$C)</f>
        <v>TRAPASMOTDMD</v>
      </c>
      <c r="AY100" s="17" t="str">
        <f>AX100</f>
        <v>TRAPASMOTDMD</v>
      </c>
      <c r="AZ100" s="18">
        <v>2019</v>
      </c>
      <c r="BA100" s="18" t="s">
        <v>483</v>
      </c>
      <c r="BB100" s="18">
        <v>1</v>
      </c>
      <c r="BC100" s="20" t="e">
        <f>-SUMIFS('TRA RESID'!$P:$P,'TRA RESID'!$I:$I,AY100,'TRA RESID'!$J:$J,AV100,'TRA RESID'!$H:$H,AW100)/SUMIFS('TRA RESID'!$P:$P,'TRA RESID'!$I:$I,AY100)*BG100</f>
        <v>#DIV/0!</v>
      </c>
      <c r="BD100" s="18">
        <v>0</v>
      </c>
      <c r="BE100" s="18">
        <v>5</v>
      </c>
      <c r="BG100" s="21">
        <v>0.98</v>
      </c>
    </row>
    <row r="101" spans="1:59" x14ac:dyDescent="0.25">
      <c r="C101" s="15" t="str">
        <f>IF(C100="*",C100,"")</f>
        <v>*</v>
      </c>
      <c r="D101" s="17" t="str">
        <f t="shared" ref="D101:G104" si="76">D100</f>
        <v>*ICEV*</v>
      </c>
      <c r="E101" s="17" t="str">
        <f t="shared" si="76"/>
        <v>TRAETH</v>
      </c>
      <c r="F101" s="17" t="str">
        <f t="shared" si="76"/>
        <v>TRAPASMOTDMD</v>
      </c>
      <c r="G101" s="17" t="str">
        <f t="shared" si="76"/>
        <v>TRAPASMOTDMD</v>
      </c>
      <c r="H101" s="18">
        <v>2025</v>
      </c>
      <c r="I101" s="18" t="str">
        <f>I100</f>
        <v>LO</v>
      </c>
      <c r="J101" s="18"/>
      <c r="K101" s="20" t="e">
        <f>-SUMIFS('TRA RESID'!$P:$P,'TRA RESID'!$I:$I,G101,'TRA RESID'!$J:$J,D101,'TRA RESID'!$H:$H,E101)/SUMIFS('TRA RESID'!$P:$P,'TRA RESID'!$I:$I,G101)*O101</f>
        <v>#DIV/0!</v>
      </c>
      <c r="L101" s="18"/>
      <c r="M101" s="18"/>
      <c r="O101" s="21">
        <v>0.8</v>
      </c>
      <c r="S101" s="15" t="str">
        <f>IF(S100="*",S100,"")</f>
        <v>*</v>
      </c>
      <c r="T101" s="17" t="str">
        <f t="shared" ref="T101:W104" si="77">T100</f>
        <v>*BEV*</v>
      </c>
      <c r="U101" s="17" t="str">
        <f t="shared" si="77"/>
        <v>TRAETH</v>
      </c>
      <c r="V101" s="17" t="str">
        <f t="shared" si="77"/>
        <v>TRAPASMOTDMD</v>
      </c>
      <c r="W101" s="17" t="str">
        <f t="shared" si="77"/>
        <v>TRAPASMOTDMD</v>
      </c>
      <c r="X101" s="18">
        <v>2025</v>
      </c>
      <c r="Y101" s="18" t="str">
        <f>Y100</f>
        <v>LO</v>
      </c>
      <c r="Z101" s="18"/>
      <c r="AA101" s="20" t="e">
        <f>-SUMIFS('TRA RESID'!$P:$P,'TRA RESID'!$I:$I,W101,'TRA RESID'!$J:$J,T101,'TRA RESID'!$H:$H,U101)/SUMIFS('TRA RESID'!$P:$P,'TRA RESID'!$I:$I,W101)*AE101</f>
        <v>#DIV/0!</v>
      </c>
      <c r="AB101" s="18"/>
      <c r="AC101" s="18"/>
      <c r="AE101" s="21">
        <v>1</v>
      </c>
      <c r="AG101" s="15" t="str">
        <f>IF(AG100="*",AG100,"")</f>
        <v>*</v>
      </c>
      <c r="AH101" s="17" t="str">
        <f t="shared" ref="AH101:AK104" si="78">AH100</f>
        <v>*HEV*</v>
      </c>
      <c r="AI101" s="17" t="str">
        <f t="shared" si="78"/>
        <v>TRAETH</v>
      </c>
      <c r="AJ101" s="17" t="str">
        <f t="shared" si="78"/>
        <v>TRAPASMOTDMD</v>
      </c>
      <c r="AK101" s="17" t="str">
        <f t="shared" si="78"/>
        <v>TRAPASMOTDMD</v>
      </c>
      <c r="AL101" s="18">
        <v>2025</v>
      </c>
      <c r="AM101" s="18" t="str">
        <f>AM100</f>
        <v>LO</v>
      </c>
      <c r="AN101" s="18"/>
      <c r="AO101" s="20" t="e">
        <f>-SUMIFS('TRA RESID'!$P:$P,'TRA RESID'!$I:$I,AK101,'TRA RESID'!$J:$J,AH101,'TRA RESID'!$H:$H,AI101)/SUMIFS('TRA RESID'!$P:$P,'TRA RESID'!$I:$I,AK101)*AS101</f>
        <v>#DIV/0!</v>
      </c>
      <c r="AP101" s="18"/>
      <c r="AQ101" s="18"/>
      <c r="AS101" s="21">
        <v>0.8</v>
      </c>
      <c r="AU101" s="15" t="str">
        <f>IF(AU100="*",AU100,"")</f>
        <v>*</v>
      </c>
      <c r="AV101" s="17" t="str">
        <f t="shared" ref="AV101:AY104" si="79">AV100</f>
        <v>*FCEV*</v>
      </c>
      <c r="AW101" s="17" t="str">
        <f t="shared" si="79"/>
        <v>TRAETH</v>
      </c>
      <c r="AX101" s="17" t="str">
        <f t="shared" si="79"/>
        <v>TRAPASMOTDMD</v>
      </c>
      <c r="AY101" s="17" t="str">
        <f t="shared" si="79"/>
        <v>TRAPASMOTDMD</v>
      </c>
      <c r="AZ101" s="18">
        <v>2025</v>
      </c>
      <c r="BA101" s="18" t="str">
        <f>BA100</f>
        <v>LO</v>
      </c>
      <c r="BB101" s="18"/>
      <c r="BC101" s="20" t="e">
        <f>-SUMIFS('TRA RESID'!$P:$P,'TRA RESID'!$I:$I,AY101,'TRA RESID'!$J:$J,AV101,'TRA RESID'!$H:$H,AW101)/SUMIFS('TRA RESID'!$P:$P,'TRA RESID'!$I:$I,AY101)*BG101</f>
        <v>#DIV/0!</v>
      </c>
      <c r="BD101" s="18"/>
      <c r="BE101" s="18"/>
      <c r="BG101" s="21">
        <v>0.8</v>
      </c>
    </row>
    <row r="102" spans="1:59" x14ac:dyDescent="0.25">
      <c r="C102" s="15" t="str">
        <f>IF(C101="*",C101,"")</f>
        <v>*</v>
      </c>
      <c r="D102" s="17" t="str">
        <f t="shared" si="76"/>
        <v>*ICEV*</v>
      </c>
      <c r="E102" s="17" t="str">
        <f t="shared" si="76"/>
        <v>TRAETH</v>
      </c>
      <c r="F102" s="17" t="str">
        <f t="shared" si="76"/>
        <v>TRAPASMOTDMD</v>
      </c>
      <c r="G102" s="17" t="str">
        <f t="shared" si="76"/>
        <v>TRAPASMOTDMD</v>
      </c>
      <c r="H102" s="18">
        <v>2030</v>
      </c>
      <c r="I102" s="18" t="str">
        <f>I101</f>
        <v>LO</v>
      </c>
      <c r="J102" s="18"/>
      <c r="K102" s="20" t="e">
        <f>-SUMIFS('TRA RESID'!$P:$P,'TRA RESID'!$I:$I,G102,'TRA RESID'!$J:$J,D102,'TRA RESID'!$H:$H,E102)/SUMIFS('TRA RESID'!$P:$P,'TRA RESID'!$I:$I,G102)*O102</f>
        <v>#DIV/0!</v>
      </c>
      <c r="L102" s="18"/>
      <c r="M102" s="18"/>
      <c r="O102" s="21">
        <v>0.5</v>
      </c>
      <c r="S102" s="15" t="str">
        <f>IF(S101="*",S101,"")</f>
        <v>*</v>
      </c>
      <c r="T102" s="17" t="str">
        <f t="shared" si="77"/>
        <v>*BEV*</v>
      </c>
      <c r="U102" s="17" t="str">
        <f t="shared" si="77"/>
        <v>TRAETH</v>
      </c>
      <c r="V102" s="17" t="str">
        <f t="shared" si="77"/>
        <v>TRAPASMOTDMD</v>
      </c>
      <c r="W102" s="17" t="str">
        <f t="shared" si="77"/>
        <v>TRAPASMOTDMD</v>
      </c>
      <c r="X102" s="18">
        <v>2030</v>
      </c>
      <c r="Y102" s="18" t="str">
        <f>Y101</f>
        <v>LO</v>
      </c>
      <c r="Z102" s="18"/>
      <c r="AA102" s="20" t="e">
        <f>-SUMIFS('TRA RESID'!$P:$P,'TRA RESID'!$I:$I,W102,'TRA RESID'!$J:$J,T102,'TRA RESID'!$H:$H,U102)/SUMIFS('TRA RESID'!$P:$P,'TRA RESID'!$I:$I,W102)*AE102</f>
        <v>#DIV/0!</v>
      </c>
      <c r="AB102" s="18"/>
      <c r="AC102" s="18"/>
      <c r="AE102" s="21">
        <v>1</v>
      </c>
      <c r="AG102" s="15" t="str">
        <f>IF(AG101="*",AG101,"")</f>
        <v>*</v>
      </c>
      <c r="AH102" s="17" t="str">
        <f t="shared" si="78"/>
        <v>*HEV*</v>
      </c>
      <c r="AI102" s="17" t="str">
        <f t="shared" si="78"/>
        <v>TRAETH</v>
      </c>
      <c r="AJ102" s="17" t="str">
        <f t="shared" si="78"/>
        <v>TRAPASMOTDMD</v>
      </c>
      <c r="AK102" s="17" t="str">
        <f t="shared" si="78"/>
        <v>TRAPASMOTDMD</v>
      </c>
      <c r="AL102" s="18">
        <v>2030</v>
      </c>
      <c r="AM102" s="18" t="str">
        <f>AM101</f>
        <v>LO</v>
      </c>
      <c r="AN102" s="18"/>
      <c r="AO102" s="20" t="e">
        <f>-SUMIFS('TRA RESID'!$P:$P,'TRA RESID'!$I:$I,AK102,'TRA RESID'!$J:$J,AH102,'TRA RESID'!$H:$H,AI102)/SUMIFS('TRA RESID'!$P:$P,'TRA RESID'!$I:$I,AK102)*AS102</f>
        <v>#DIV/0!</v>
      </c>
      <c r="AP102" s="18"/>
      <c r="AQ102" s="18"/>
      <c r="AS102" s="21">
        <v>0.5</v>
      </c>
      <c r="AU102" s="15" t="str">
        <f>IF(AU101="*",AU101,"")</f>
        <v>*</v>
      </c>
      <c r="AV102" s="17" t="str">
        <f t="shared" si="79"/>
        <v>*FCEV*</v>
      </c>
      <c r="AW102" s="17" t="str">
        <f t="shared" si="79"/>
        <v>TRAETH</v>
      </c>
      <c r="AX102" s="17" t="str">
        <f t="shared" si="79"/>
        <v>TRAPASMOTDMD</v>
      </c>
      <c r="AY102" s="17" t="str">
        <f t="shared" si="79"/>
        <v>TRAPASMOTDMD</v>
      </c>
      <c r="AZ102" s="18">
        <v>2030</v>
      </c>
      <c r="BA102" s="18" t="str">
        <f>BA101</f>
        <v>LO</v>
      </c>
      <c r="BB102" s="18"/>
      <c r="BC102" s="20" t="e">
        <f>-SUMIFS('TRA RESID'!$P:$P,'TRA RESID'!$I:$I,AY102,'TRA RESID'!$J:$J,AV102,'TRA RESID'!$H:$H,AW102)/SUMIFS('TRA RESID'!$P:$P,'TRA RESID'!$I:$I,AY102)*BG102</f>
        <v>#DIV/0!</v>
      </c>
      <c r="BD102" s="18"/>
      <c r="BE102" s="18"/>
      <c r="BG102" s="21">
        <v>0.5</v>
      </c>
    </row>
    <row r="103" spans="1:59" x14ac:dyDescent="0.25">
      <c r="C103" s="15" t="str">
        <f>IF(C102="*",C102,"")</f>
        <v>*</v>
      </c>
      <c r="D103" s="17" t="str">
        <f t="shared" si="76"/>
        <v>*ICEV*</v>
      </c>
      <c r="E103" s="17" t="str">
        <f t="shared" si="76"/>
        <v>TRAETH</v>
      </c>
      <c r="F103" s="17" t="str">
        <f t="shared" si="76"/>
        <v>TRAPASMOTDMD</v>
      </c>
      <c r="G103" s="17" t="str">
        <f t="shared" si="76"/>
        <v>TRAPASMOTDMD</v>
      </c>
      <c r="H103" s="18">
        <v>2040</v>
      </c>
      <c r="I103" s="18" t="str">
        <f>I102</f>
        <v>LO</v>
      </c>
      <c r="J103" s="18"/>
      <c r="K103" s="20" t="e">
        <f>-SUMIFS('TRA RESID'!$P:$P,'TRA RESID'!$I:$I,G103,'TRA RESID'!$J:$J,D103,'TRA RESID'!$H:$H,E103)/SUMIFS('TRA RESID'!$P:$P,'TRA RESID'!$I:$I,G103)*O103</f>
        <v>#DIV/0!</v>
      </c>
      <c r="L103" s="18"/>
      <c r="M103" s="18"/>
      <c r="O103" s="21">
        <v>0</v>
      </c>
      <c r="S103" s="15" t="str">
        <f>IF(S102="*",S102,"")</f>
        <v>*</v>
      </c>
      <c r="T103" s="17" t="str">
        <f t="shared" si="77"/>
        <v>*BEV*</v>
      </c>
      <c r="U103" s="17" t="str">
        <f t="shared" si="77"/>
        <v>TRAETH</v>
      </c>
      <c r="V103" s="17" t="str">
        <f t="shared" si="77"/>
        <v>TRAPASMOTDMD</v>
      </c>
      <c r="W103" s="17" t="str">
        <f t="shared" si="77"/>
        <v>TRAPASMOTDMD</v>
      </c>
      <c r="X103" s="18">
        <v>2040</v>
      </c>
      <c r="Y103" s="18" t="str">
        <f>Y102</f>
        <v>LO</v>
      </c>
      <c r="Z103" s="18"/>
      <c r="AA103" s="20" t="e">
        <f>-SUMIFS('TRA RESID'!$P:$P,'TRA RESID'!$I:$I,W103,'TRA RESID'!$J:$J,T103,'TRA RESID'!$H:$H,U103)/SUMIFS('TRA RESID'!$P:$P,'TRA RESID'!$I:$I,W103)*AE103</f>
        <v>#DIV/0!</v>
      </c>
      <c r="AB103" s="18"/>
      <c r="AC103" s="18"/>
      <c r="AE103" s="21">
        <v>1</v>
      </c>
      <c r="AG103" s="15" t="str">
        <f>IF(AG102="*",AG102,"")</f>
        <v>*</v>
      </c>
      <c r="AH103" s="17" t="str">
        <f t="shared" si="78"/>
        <v>*HEV*</v>
      </c>
      <c r="AI103" s="17" t="str">
        <f t="shared" si="78"/>
        <v>TRAETH</v>
      </c>
      <c r="AJ103" s="17" t="str">
        <f t="shared" si="78"/>
        <v>TRAPASMOTDMD</v>
      </c>
      <c r="AK103" s="17" t="str">
        <f t="shared" si="78"/>
        <v>TRAPASMOTDMD</v>
      </c>
      <c r="AL103" s="18">
        <v>2040</v>
      </c>
      <c r="AM103" s="18" t="str">
        <f>AM102</f>
        <v>LO</v>
      </c>
      <c r="AN103" s="18"/>
      <c r="AO103" s="20" t="e">
        <f>-SUMIFS('TRA RESID'!$P:$P,'TRA RESID'!$I:$I,AK103,'TRA RESID'!$J:$J,AH103,'TRA RESID'!$H:$H,AI103)/SUMIFS('TRA RESID'!$P:$P,'TRA RESID'!$I:$I,AK103)*AS103</f>
        <v>#DIV/0!</v>
      </c>
      <c r="AP103" s="18"/>
      <c r="AQ103" s="18"/>
      <c r="AS103" s="21">
        <v>0</v>
      </c>
      <c r="AU103" s="15" t="str">
        <f>IF(AU102="*",AU102,"")</f>
        <v>*</v>
      </c>
      <c r="AV103" s="17" t="str">
        <f t="shared" si="79"/>
        <v>*FCEV*</v>
      </c>
      <c r="AW103" s="17" t="str">
        <f t="shared" si="79"/>
        <v>TRAETH</v>
      </c>
      <c r="AX103" s="17" t="str">
        <f t="shared" si="79"/>
        <v>TRAPASMOTDMD</v>
      </c>
      <c r="AY103" s="17" t="str">
        <f t="shared" si="79"/>
        <v>TRAPASMOTDMD</v>
      </c>
      <c r="AZ103" s="18">
        <v>2040</v>
      </c>
      <c r="BA103" s="18" t="str">
        <f>BA102</f>
        <v>LO</v>
      </c>
      <c r="BB103" s="18"/>
      <c r="BC103" s="20" t="e">
        <f>-SUMIFS('TRA RESID'!$P:$P,'TRA RESID'!$I:$I,AY103,'TRA RESID'!$J:$J,AV103,'TRA RESID'!$H:$H,AW103)/SUMIFS('TRA RESID'!$P:$P,'TRA RESID'!$I:$I,AY103)*BG103</f>
        <v>#DIV/0!</v>
      </c>
      <c r="BD103" s="18"/>
      <c r="BE103" s="18"/>
      <c r="BG103" s="21">
        <v>0</v>
      </c>
    </row>
    <row r="104" spans="1:59" x14ac:dyDescent="0.25">
      <c r="C104" s="23" t="str">
        <f>IF(C103="*",C103,"")</f>
        <v>*</v>
      </c>
      <c r="D104" s="25" t="str">
        <f t="shared" si="76"/>
        <v>*ICEV*</v>
      </c>
      <c r="E104" s="25" t="str">
        <f t="shared" si="76"/>
        <v>TRAETH</v>
      </c>
      <c r="F104" s="25" t="str">
        <f t="shared" si="76"/>
        <v>TRAPASMOTDMD</v>
      </c>
      <c r="G104" s="25" t="str">
        <f t="shared" si="76"/>
        <v>TRAPASMOTDMD</v>
      </c>
      <c r="H104" s="26">
        <v>2050</v>
      </c>
      <c r="I104" s="26" t="str">
        <f>I102</f>
        <v>LO</v>
      </c>
      <c r="J104" s="26"/>
      <c r="K104" s="27" t="e">
        <f>-SUMIFS('TRA RESID'!$P:$P,'TRA RESID'!$I:$I,G104,'TRA RESID'!$J:$J,D104,'TRA RESID'!$H:$H,E104)/SUMIFS('TRA RESID'!$P:$P,'TRA RESID'!$I:$I,G104)*O104</f>
        <v>#DIV/0!</v>
      </c>
      <c r="L104" s="26"/>
      <c r="M104" s="26"/>
      <c r="O104" s="28">
        <v>0</v>
      </c>
      <c r="S104" s="23" t="str">
        <f>IF(S103="*",S103,"")</f>
        <v>*</v>
      </c>
      <c r="T104" s="25" t="str">
        <f t="shared" si="77"/>
        <v>*BEV*</v>
      </c>
      <c r="U104" s="25" t="str">
        <f t="shared" si="77"/>
        <v>TRAETH</v>
      </c>
      <c r="V104" s="25" t="str">
        <f t="shared" si="77"/>
        <v>TRAPASMOTDMD</v>
      </c>
      <c r="W104" s="25" t="str">
        <f t="shared" si="77"/>
        <v>TRAPASMOTDMD</v>
      </c>
      <c r="X104" s="26">
        <v>2050</v>
      </c>
      <c r="Y104" s="26" t="str">
        <f>Y102</f>
        <v>LO</v>
      </c>
      <c r="Z104" s="26"/>
      <c r="AA104" s="27" t="e">
        <f>-SUMIFS('TRA RESID'!$P:$P,'TRA RESID'!$I:$I,W104,'TRA RESID'!$J:$J,T104,'TRA RESID'!$H:$H,U104)/SUMIFS('TRA RESID'!$P:$P,'TRA RESID'!$I:$I,W104)*AE104</f>
        <v>#DIV/0!</v>
      </c>
      <c r="AB104" s="26"/>
      <c r="AC104" s="26"/>
      <c r="AE104" s="28">
        <v>1</v>
      </c>
      <c r="AG104" s="23" t="str">
        <f>IF(AG103="*",AG103,"")</f>
        <v>*</v>
      </c>
      <c r="AH104" s="25" t="str">
        <f t="shared" si="78"/>
        <v>*HEV*</v>
      </c>
      <c r="AI104" s="25" t="str">
        <f t="shared" si="78"/>
        <v>TRAETH</v>
      </c>
      <c r="AJ104" s="25" t="str">
        <f t="shared" si="78"/>
        <v>TRAPASMOTDMD</v>
      </c>
      <c r="AK104" s="25" t="str">
        <f t="shared" si="78"/>
        <v>TRAPASMOTDMD</v>
      </c>
      <c r="AL104" s="26">
        <v>2050</v>
      </c>
      <c r="AM104" s="26" t="str">
        <f>AM102</f>
        <v>LO</v>
      </c>
      <c r="AN104" s="26"/>
      <c r="AO104" s="27" t="e">
        <f>-SUMIFS('TRA RESID'!$P:$P,'TRA RESID'!$I:$I,AK104,'TRA RESID'!$J:$J,AH104,'TRA RESID'!$H:$H,AI104)/SUMIFS('TRA RESID'!$P:$P,'TRA RESID'!$I:$I,AK104)*AS104</f>
        <v>#DIV/0!</v>
      </c>
      <c r="AP104" s="26"/>
      <c r="AQ104" s="26"/>
      <c r="AS104" s="28">
        <v>0</v>
      </c>
      <c r="AU104" s="23" t="str">
        <f>IF(AU103="*",AU103,"")</f>
        <v>*</v>
      </c>
      <c r="AV104" s="25" t="str">
        <f t="shared" si="79"/>
        <v>*FCEV*</v>
      </c>
      <c r="AW104" s="25" t="str">
        <f t="shared" si="79"/>
        <v>TRAETH</v>
      </c>
      <c r="AX104" s="25" t="str">
        <f t="shared" si="79"/>
        <v>TRAPASMOTDMD</v>
      </c>
      <c r="AY104" s="25" t="str">
        <f t="shared" si="79"/>
        <v>TRAPASMOTDMD</v>
      </c>
      <c r="AZ104" s="26">
        <v>2050</v>
      </c>
      <c r="BA104" s="26" t="str">
        <f>BA102</f>
        <v>LO</v>
      </c>
      <c r="BB104" s="26"/>
      <c r="BC104" s="27" t="e">
        <f>-SUMIFS('TRA RESID'!$P:$P,'TRA RESID'!$I:$I,AY104,'TRA RESID'!$J:$J,AV104,'TRA RESID'!$H:$H,AW104)/SUMIFS('TRA RESID'!$P:$P,'TRA RESID'!$I:$I,AY104)*BG104</f>
        <v>#DIV/0!</v>
      </c>
      <c r="BD104" s="26"/>
      <c r="BE104" s="26"/>
      <c r="BG104" s="28">
        <v>0</v>
      </c>
    </row>
    <row r="105" spans="1:59" x14ac:dyDescent="0.25">
      <c r="A105">
        <f>A100+1</f>
        <v>21</v>
      </c>
      <c r="C105" s="15" t="str">
        <f>IF(E105="","",IF(_xlfn.XLOOKUP($A105,Selected_constraint!$A:$A,Selected_constraint!$D:$D)=1,"*",IF(SUMIFS('TRA TECH'!$M:$M,'TRA TECH'!$H:$H,E105,'TRA TECH'!$I:$I,F105)=0,"*",IF(SUMIFS('TRA RESID'!$P:$P,'TRA RESID'!$I:$I,G105,'TRA RESID'!$J:$J,D105,'TRA RESID'!$H:$H,E105)=0,"*","UC_"&amp;SUBSTITUTE(D105,"*","")&amp;"_"&amp;RIGHT(E105,3)&amp;"_"&amp;F105))))</f>
        <v>*</v>
      </c>
      <c r="D105" s="17" t="s">
        <v>485</v>
      </c>
      <c r="E105" s="17" t="str">
        <f>_xlfn.XLOOKUP($A105,Selected_constraint!$A:$A,Selected_constraint!$B:$B)</f>
        <v>TRADSL</v>
      </c>
      <c r="F105" s="17" t="str">
        <f>_xlfn.XLOOKUP($A105,Selected_constraint!$A:$A,Selected_constraint!$C:$C)</f>
        <v>TRAPASMOTDMD</v>
      </c>
      <c r="G105" s="17" t="str">
        <f>F105</f>
        <v>TRAPASMOTDMD</v>
      </c>
      <c r="H105" s="18">
        <v>2019</v>
      </c>
      <c r="I105" s="18" t="s">
        <v>483</v>
      </c>
      <c r="J105" s="18">
        <v>1</v>
      </c>
      <c r="K105" s="20" t="e">
        <f>-SUMIFS('TRA RESID'!$P:$P,'TRA RESID'!$I:$I,G105,'TRA RESID'!$J:$J,D105,'TRA RESID'!$H:$H,E105)/SUMIFS('TRA RESID'!$P:$P,'TRA RESID'!$I:$I,G105)*O105</f>
        <v>#DIV/0!</v>
      </c>
      <c r="L105" s="18">
        <v>0</v>
      </c>
      <c r="M105" s="18">
        <v>5</v>
      </c>
      <c r="O105" s="21">
        <v>0.98</v>
      </c>
      <c r="Q105">
        <f>Q100+1</f>
        <v>21</v>
      </c>
      <c r="S105" s="15" t="str">
        <f>IF(SUMIFS('TRA RESID'!$P:$P,'TRA RESID'!$I:$I,W105,'TRA RESID'!$J:$J,T105,'TRA RESID'!$H:$H,U105)=0,"*","UC_"&amp;SUBSTITUTE(T105,"*","")&amp;"_"&amp;RIGHT(U105,3)&amp;"_"&amp;V105)</f>
        <v>*</v>
      </c>
      <c r="T105" s="17" t="s">
        <v>486</v>
      </c>
      <c r="U105" s="17" t="str">
        <f>_xlfn.XLOOKUP($A105,Selected_constraint!$A:$A,Selected_constraint!$B:$B)</f>
        <v>TRADSL</v>
      </c>
      <c r="V105" s="17" t="str">
        <f>_xlfn.XLOOKUP($A105,Selected_constraint!$A:$A,Selected_constraint!$C:$C)</f>
        <v>TRAPASMOTDMD</v>
      </c>
      <c r="W105" s="17" t="str">
        <f>V105</f>
        <v>TRAPASMOTDMD</v>
      </c>
      <c r="X105" s="18">
        <v>2019</v>
      </c>
      <c r="Y105" s="18" t="s">
        <v>483</v>
      </c>
      <c r="Z105" s="18">
        <v>1</v>
      </c>
      <c r="AA105" s="20" t="e">
        <f>-SUMIFS('TRA RESID'!$P:$P,'TRA RESID'!$I:$I,W105,'TRA RESID'!$J:$J,T105,'TRA RESID'!$H:$H,U105)/SUMIFS('TRA RESID'!$P:$P,'TRA RESID'!$I:$I,W105)*AE105</f>
        <v>#DIV/0!</v>
      </c>
      <c r="AB105" s="18">
        <v>0</v>
      </c>
      <c r="AC105" s="18">
        <v>5</v>
      </c>
      <c r="AE105" s="21">
        <v>0.98</v>
      </c>
      <c r="AG105" s="15" t="str">
        <f>IF(SUMIFS('TRA RESID'!$P:$P,'TRA RESID'!$I:$I,AK105,'TRA RESID'!$J:$J,AH105,'TRA RESID'!$H:$H,AI105)=0,"*","UC_"&amp;SUBSTITUTE(AH105,"*","")&amp;"_"&amp;RIGHT(AI105,3)&amp;"_"&amp;AJ105)</f>
        <v>*</v>
      </c>
      <c r="AH105" s="17" t="s">
        <v>487</v>
      </c>
      <c r="AI105" s="17" t="str">
        <f>_xlfn.XLOOKUP($A105,Selected_constraint!$A:$A,Selected_constraint!$B:$B)</f>
        <v>TRADSL</v>
      </c>
      <c r="AJ105" s="17" t="str">
        <f>_xlfn.XLOOKUP($A105,Selected_constraint!$A:$A,Selected_constraint!$C:$C)</f>
        <v>TRAPASMOTDMD</v>
      </c>
      <c r="AK105" s="17" t="str">
        <f>AJ105</f>
        <v>TRAPASMOTDMD</v>
      </c>
      <c r="AL105" s="18">
        <v>2019</v>
      </c>
      <c r="AM105" s="18" t="s">
        <v>483</v>
      </c>
      <c r="AN105" s="18">
        <v>1</v>
      </c>
      <c r="AO105" s="20" t="e">
        <f>-SUMIFS('TRA RESID'!$P:$P,'TRA RESID'!$I:$I,AK105,'TRA RESID'!$J:$J,AH105,'TRA RESID'!$H:$H,AI105)/SUMIFS('TRA RESID'!$P:$P,'TRA RESID'!$I:$I,AK105)*AS105</f>
        <v>#DIV/0!</v>
      </c>
      <c r="AP105" s="18">
        <v>0</v>
      </c>
      <c r="AQ105" s="18">
        <v>5</v>
      </c>
      <c r="AS105" s="21">
        <v>0.98</v>
      </c>
      <c r="AU105" s="15" t="str">
        <f>IF(SUMIFS('TRA RESID'!$P:$P,'TRA RESID'!$I:$I,AY105,'TRA RESID'!$J:$J,AV105,'TRA RESID'!$H:$H,AW105)=0,"*","UC_"&amp;SUBSTITUTE(AV105,"*","")&amp;"_"&amp;RIGHT(AW105,3)&amp;"_"&amp;AX105)</f>
        <v>*</v>
      </c>
      <c r="AV105" s="17" t="s">
        <v>488</v>
      </c>
      <c r="AW105" s="17" t="str">
        <f>_xlfn.XLOOKUP($A105,Selected_constraint!$A:$A,Selected_constraint!$B:$B)</f>
        <v>TRADSL</v>
      </c>
      <c r="AX105" s="17" t="str">
        <f>_xlfn.XLOOKUP($A105,Selected_constraint!$A:$A,Selected_constraint!$C:$C)</f>
        <v>TRAPASMOTDMD</v>
      </c>
      <c r="AY105" s="17" t="str">
        <f>AX105</f>
        <v>TRAPASMOTDMD</v>
      </c>
      <c r="AZ105" s="18">
        <v>2019</v>
      </c>
      <c r="BA105" s="18" t="s">
        <v>483</v>
      </c>
      <c r="BB105" s="18">
        <v>1</v>
      </c>
      <c r="BC105" s="20" t="e">
        <f>-SUMIFS('TRA RESID'!$P:$P,'TRA RESID'!$I:$I,AY105,'TRA RESID'!$J:$J,AV105,'TRA RESID'!$H:$H,AW105)/SUMIFS('TRA RESID'!$P:$P,'TRA RESID'!$I:$I,AY105)*BG105</f>
        <v>#DIV/0!</v>
      </c>
      <c r="BD105" s="18">
        <v>0</v>
      </c>
      <c r="BE105" s="18">
        <v>5</v>
      </c>
      <c r="BG105" s="21">
        <v>0.98</v>
      </c>
    </row>
    <row r="106" spans="1:59" x14ac:dyDescent="0.25">
      <c r="C106" s="15" t="str">
        <f>IF(C105="*",C105,"")</f>
        <v>*</v>
      </c>
      <c r="D106" s="17" t="str">
        <f t="shared" ref="D106:G109" si="80">D105</f>
        <v>*ICEV*</v>
      </c>
      <c r="E106" s="17" t="str">
        <f t="shared" si="80"/>
        <v>TRADSL</v>
      </c>
      <c r="F106" s="17" t="str">
        <f t="shared" si="80"/>
        <v>TRAPASMOTDMD</v>
      </c>
      <c r="G106" s="17" t="str">
        <f t="shared" si="80"/>
        <v>TRAPASMOTDMD</v>
      </c>
      <c r="H106" s="18">
        <v>2025</v>
      </c>
      <c r="I106" s="18" t="str">
        <f>I105</f>
        <v>LO</v>
      </c>
      <c r="J106" s="18"/>
      <c r="K106" s="20" t="e">
        <f>-SUMIFS('TRA RESID'!$P:$P,'TRA RESID'!$I:$I,G106,'TRA RESID'!$J:$J,D106,'TRA RESID'!$H:$H,E106)/SUMIFS('TRA RESID'!$P:$P,'TRA RESID'!$I:$I,G106)*O106</f>
        <v>#DIV/0!</v>
      </c>
      <c r="L106" s="18"/>
      <c r="M106" s="18"/>
      <c r="O106" s="21">
        <v>0.8</v>
      </c>
      <c r="S106" s="15" t="str">
        <f>IF(S105="*",S105,"")</f>
        <v>*</v>
      </c>
      <c r="T106" s="17" t="str">
        <f t="shared" ref="T106:W109" si="81">T105</f>
        <v>*BEV*</v>
      </c>
      <c r="U106" s="17" t="str">
        <f t="shared" si="81"/>
        <v>TRADSL</v>
      </c>
      <c r="V106" s="17" t="str">
        <f t="shared" si="81"/>
        <v>TRAPASMOTDMD</v>
      </c>
      <c r="W106" s="17" t="str">
        <f t="shared" si="81"/>
        <v>TRAPASMOTDMD</v>
      </c>
      <c r="X106" s="18">
        <v>2025</v>
      </c>
      <c r="Y106" s="18" t="str">
        <f>Y105</f>
        <v>LO</v>
      </c>
      <c r="Z106" s="18"/>
      <c r="AA106" s="20" t="e">
        <f>-SUMIFS('TRA RESID'!$P:$P,'TRA RESID'!$I:$I,W106,'TRA RESID'!$J:$J,T106,'TRA RESID'!$H:$H,U106)/SUMIFS('TRA RESID'!$P:$P,'TRA RESID'!$I:$I,W106)*AE106</f>
        <v>#DIV/0!</v>
      </c>
      <c r="AB106" s="18"/>
      <c r="AC106" s="18"/>
      <c r="AE106" s="21">
        <v>1</v>
      </c>
      <c r="AG106" s="15" t="str">
        <f>IF(AG105="*",AG105,"")</f>
        <v>*</v>
      </c>
      <c r="AH106" s="17" t="str">
        <f t="shared" ref="AH106:AK109" si="82">AH105</f>
        <v>*HEV*</v>
      </c>
      <c r="AI106" s="17" t="str">
        <f t="shared" si="82"/>
        <v>TRADSL</v>
      </c>
      <c r="AJ106" s="17" t="str">
        <f t="shared" si="82"/>
        <v>TRAPASMOTDMD</v>
      </c>
      <c r="AK106" s="17" t="str">
        <f t="shared" si="82"/>
        <v>TRAPASMOTDMD</v>
      </c>
      <c r="AL106" s="18">
        <v>2025</v>
      </c>
      <c r="AM106" s="18" t="str">
        <f>AM105</f>
        <v>LO</v>
      </c>
      <c r="AN106" s="18"/>
      <c r="AO106" s="20" t="e">
        <f>-SUMIFS('TRA RESID'!$P:$P,'TRA RESID'!$I:$I,AK106,'TRA RESID'!$J:$J,AH106,'TRA RESID'!$H:$H,AI106)/SUMIFS('TRA RESID'!$P:$P,'TRA RESID'!$I:$I,AK106)*AS106</f>
        <v>#DIV/0!</v>
      </c>
      <c r="AP106" s="18"/>
      <c r="AQ106" s="18"/>
      <c r="AS106" s="21">
        <v>0.8</v>
      </c>
      <c r="AU106" s="15" t="str">
        <f>IF(AU105="*",AU105,"")</f>
        <v>*</v>
      </c>
      <c r="AV106" s="17" t="str">
        <f t="shared" ref="AV106:AY109" si="83">AV105</f>
        <v>*FCEV*</v>
      </c>
      <c r="AW106" s="17" t="str">
        <f t="shared" si="83"/>
        <v>TRADSL</v>
      </c>
      <c r="AX106" s="17" t="str">
        <f t="shared" si="83"/>
        <v>TRAPASMOTDMD</v>
      </c>
      <c r="AY106" s="17" t="str">
        <f t="shared" si="83"/>
        <v>TRAPASMOTDMD</v>
      </c>
      <c r="AZ106" s="18">
        <v>2025</v>
      </c>
      <c r="BA106" s="18" t="str">
        <f>BA105</f>
        <v>LO</v>
      </c>
      <c r="BB106" s="18"/>
      <c r="BC106" s="20" t="e">
        <f>-SUMIFS('TRA RESID'!$P:$P,'TRA RESID'!$I:$I,AY106,'TRA RESID'!$J:$J,AV106,'TRA RESID'!$H:$H,AW106)/SUMIFS('TRA RESID'!$P:$P,'TRA RESID'!$I:$I,AY106)*BG106</f>
        <v>#DIV/0!</v>
      </c>
      <c r="BD106" s="18"/>
      <c r="BE106" s="18"/>
      <c r="BG106" s="21">
        <v>0.8</v>
      </c>
    </row>
    <row r="107" spans="1:59" x14ac:dyDescent="0.25">
      <c r="C107" s="15" t="str">
        <f>IF(C106="*",C106,"")</f>
        <v>*</v>
      </c>
      <c r="D107" s="17" t="str">
        <f t="shared" si="80"/>
        <v>*ICEV*</v>
      </c>
      <c r="E107" s="17" t="str">
        <f t="shared" si="80"/>
        <v>TRADSL</v>
      </c>
      <c r="F107" s="17" t="str">
        <f t="shared" si="80"/>
        <v>TRAPASMOTDMD</v>
      </c>
      <c r="G107" s="17" t="str">
        <f t="shared" si="80"/>
        <v>TRAPASMOTDMD</v>
      </c>
      <c r="H107" s="18">
        <v>2030</v>
      </c>
      <c r="I107" s="18" t="str">
        <f>I106</f>
        <v>LO</v>
      </c>
      <c r="J107" s="18"/>
      <c r="K107" s="20" t="e">
        <f>-SUMIFS('TRA RESID'!$P:$P,'TRA RESID'!$I:$I,G107,'TRA RESID'!$J:$J,D107,'TRA RESID'!$H:$H,E107)/SUMIFS('TRA RESID'!$P:$P,'TRA RESID'!$I:$I,G107)*O107</f>
        <v>#DIV/0!</v>
      </c>
      <c r="L107" s="18"/>
      <c r="M107" s="18"/>
      <c r="O107" s="21">
        <v>0.5</v>
      </c>
      <c r="S107" s="15" t="str">
        <f>IF(S106="*",S106,"")</f>
        <v>*</v>
      </c>
      <c r="T107" s="17" t="str">
        <f t="shared" si="81"/>
        <v>*BEV*</v>
      </c>
      <c r="U107" s="17" t="str">
        <f t="shared" si="81"/>
        <v>TRADSL</v>
      </c>
      <c r="V107" s="17" t="str">
        <f t="shared" si="81"/>
        <v>TRAPASMOTDMD</v>
      </c>
      <c r="W107" s="17" t="str">
        <f t="shared" si="81"/>
        <v>TRAPASMOTDMD</v>
      </c>
      <c r="X107" s="18">
        <v>2030</v>
      </c>
      <c r="Y107" s="18" t="str">
        <f>Y106</f>
        <v>LO</v>
      </c>
      <c r="Z107" s="18"/>
      <c r="AA107" s="20" t="e">
        <f>-SUMIFS('TRA RESID'!$P:$P,'TRA RESID'!$I:$I,W107,'TRA RESID'!$J:$J,T107,'TRA RESID'!$H:$H,U107)/SUMIFS('TRA RESID'!$P:$P,'TRA RESID'!$I:$I,W107)*AE107</f>
        <v>#DIV/0!</v>
      </c>
      <c r="AB107" s="18"/>
      <c r="AC107" s="18"/>
      <c r="AE107" s="21">
        <v>1</v>
      </c>
      <c r="AG107" s="15" t="str">
        <f>IF(AG106="*",AG106,"")</f>
        <v>*</v>
      </c>
      <c r="AH107" s="17" t="str">
        <f t="shared" si="82"/>
        <v>*HEV*</v>
      </c>
      <c r="AI107" s="17" t="str">
        <f t="shared" si="82"/>
        <v>TRADSL</v>
      </c>
      <c r="AJ107" s="17" t="str">
        <f t="shared" si="82"/>
        <v>TRAPASMOTDMD</v>
      </c>
      <c r="AK107" s="17" t="str">
        <f t="shared" si="82"/>
        <v>TRAPASMOTDMD</v>
      </c>
      <c r="AL107" s="18">
        <v>2030</v>
      </c>
      <c r="AM107" s="18" t="str">
        <f>AM106</f>
        <v>LO</v>
      </c>
      <c r="AN107" s="18"/>
      <c r="AO107" s="20" t="e">
        <f>-SUMIFS('TRA RESID'!$P:$P,'TRA RESID'!$I:$I,AK107,'TRA RESID'!$J:$J,AH107,'TRA RESID'!$H:$H,AI107)/SUMIFS('TRA RESID'!$P:$P,'TRA RESID'!$I:$I,AK107)*AS107</f>
        <v>#DIV/0!</v>
      </c>
      <c r="AP107" s="18"/>
      <c r="AQ107" s="18"/>
      <c r="AS107" s="21">
        <v>0.5</v>
      </c>
      <c r="AU107" s="15" t="str">
        <f>IF(AU106="*",AU106,"")</f>
        <v>*</v>
      </c>
      <c r="AV107" s="17" t="str">
        <f t="shared" si="83"/>
        <v>*FCEV*</v>
      </c>
      <c r="AW107" s="17" t="str">
        <f t="shared" si="83"/>
        <v>TRADSL</v>
      </c>
      <c r="AX107" s="17" t="str">
        <f t="shared" si="83"/>
        <v>TRAPASMOTDMD</v>
      </c>
      <c r="AY107" s="17" t="str">
        <f t="shared" si="83"/>
        <v>TRAPASMOTDMD</v>
      </c>
      <c r="AZ107" s="18">
        <v>2030</v>
      </c>
      <c r="BA107" s="18" t="str">
        <f>BA106</f>
        <v>LO</v>
      </c>
      <c r="BB107" s="18"/>
      <c r="BC107" s="20" t="e">
        <f>-SUMIFS('TRA RESID'!$P:$P,'TRA RESID'!$I:$I,AY107,'TRA RESID'!$J:$J,AV107,'TRA RESID'!$H:$H,AW107)/SUMIFS('TRA RESID'!$P:$P,'TRA RESID'!$I:$I,AY107)*BG107</f>
        <v>#DIV/0!</v>
      </c>
      <c r="BD107" s="18"/>
      <c r="BE107" s="18"/>
      <c r="BG107" s="21">
        <v>0.5</v>
      </c>
    </row>
    <row r="108" spans="1:59" x14ac:dyDescent="0.25">
      <c r="C108" s="15" t="str">
        <f>IF(C107="*",C107,"")</f>
        <v>*</v>
      </c>
      <c r="D108" s="17" t="str">
        <f t="shared" si="80"/>
        <v>*ICEV*</v>
      </c>
      <c r="E108" s="17" t="str">
        <f t="shared" si="80"/>
        <v>TRADSL</v>
      </c>
      <c r="F108" s="17" t="str">
        <f t="shared" si="80"/>
        <v>TRAPASMOTDMD</v>
      </c>
      <c r="G108" s="17" t="str">
        <f t="shared" si="80"/>
        <v>TRAPASMOTDMD</v>
      </c>
      <c r="H108" s="18">
        <v>2040</v>
      </c>
      <c r="I108" s="18" t="str">
        <f>I107</f>
        <v>LO</v>
      </c>
      <c r="J108" s="18"/>
      <c r="K108" s="20" t="e">
        <f>-SUMIFS('TRA RESID'!$P:$P,'TRA RESID'!$I:$I,G108,'TRA RESID'!$J:$J,D108,'TRA RESID'!$H:$H,E108)/SUMIFS('TRA RESID'!$P:$P,'TRA RESID'!$I:$I,G108)*O108</f>
        <v>#DIV/0!</v>
      </c>
      <c r="L108" s="18"/>
      <c r="M108" s="18"/>
      <c r="O108" s="21">
        <v>0</v>
      </c>
      <c r="S108" s="15" t="str">
        <f>IF(S107="*",S107,"")</f>
        <v>*</v>
      </c>
      <c r="T108" s="17" t="str">
        <f t="shared" si="81"/>
        <v>*BEV*</v>
      </c>
      <c r="U108" s="17" t="str">
        <f t="shared" si="81"/>
        <v>TRADSL</v>
      </c>
      <c r="V108" s="17" t="str">
        <f t="shared" si="81"/>
        <v>TRAPASMOTDMD</v>
      </c>
      <c r="W108" s="17" t="str">
        <f t="shared" si="81"/>
        <v>TRAPASMOTDMD</v>
      </c>
      <c r="X108" s="18">
        <v>2040</v>
      </c>
      <c r="Y108" s="18" t="str">
        <f>Y107</f>
        <v>LO</v>
      </c>
      <c r="Z108" s="18"/>
      <c r="AA108" s="20" t="e">
        <f>-SUMIFS('TRA RESID'!$P:$P,'TRA RESID'!$I:$I,W108,'TRA RESID'!$J:$J,T108,'TRA RESID'!$H:$H,U108)/SUMIFS('TRA RESID'!$P:$P,'TRA RESID'!$I:$I,W108)*AE108</f>
        <v>#DIV/0!</v>
      </c>
      <c r="AB108" s="18"/>
      <c r="AC108" s="18"/>
      <c r="AE108" s="21">
        <v>1</v>
      </c>
      <c r="AG108" s="15" t="str">
        <f>IF(AG107="*",AG107,"")</f>
        <v>*</v>
      </c>
      <c r="AH108" s="17" t="str">
        <f t="shared" si="82"/>
        <v>*HEV*</v>
      </c>
      <c r="AI108" s="17" t="str">
        <f t="shared" si="82"/>
        <v>TRADSL</v>
      </c>
      <c r="AJ108" s="17" t="str">
        <f t="shared" si="82"/>
        <v>TRAPASMOTDMD</v>
      </c>
      <c r="AK108" s="17" t="str">
        <f t="shared" si="82"/>
        <v>TRAPASMOTDMD</v>
      </c>
      <c r="AL108" s="18">
        <v>2040</v>
      </c>
      <c r="AM108" s="18" t="str">
        <f>AM107</f>
        <v>LO</v>
      </c>
      <c r="AN108" s="18"/>
      <c r="AO108" s="20" t="e">
        <f>-SUMIFS('TRA RESID'!$P:$P,'TRA RESID'!$I:$I,AK108,'TRA RESID'!$J:$J,AH108,'TRA RESID'!$H:$H,AI108)/SUMIFS('TRA RESID'!$P:$P,'TRA RESID'!$I:$I,AK108)*AS108</f>
        <v>#DIV/0!</v>
      </c>
      <c r="AP108" s="18"/>
      <c r="AQ108" s="18"/>
      <c r="AS108" s="21">
        <v>0</v>
      </c>
      <c r="AU108" s="15" t="str">
        <f>IF(AU107="*",AU107,"")</f>
        <v>*</v>
      </c>
      <c r="AV108" s="17" t="str">
        <f t="shared" si="83"/>
        <v>*FCEV*</v>
      </c>
      <c r="AW108" s="17" t="str">
        <f t="shared" si="83"/>
        <v>TRADSL</v>
      </c>
      <c r="AX108" s="17" t="str">
        <f t="shared" si="83"/>
        <v>TRAPASMOTDMD</v>
      </c>
      <c r="AY108" s="17" t="str">
        <f t="shared" si="83"/>
        <v>TRAPASMOTDMD</v>
      </c>
      <c r="AZ108" s="18">
        <v>2040</v>
      </c>
      <c r="BA108" s="18" t="str">
        <f>BA107</f>
        <v>LO</v>
      </c>
      <c r="BB108" s="18"/>
      <c r="BC108" s="20" t="e">
        <f>-SUMIFS('TRA RESID'!$P:$P,'TRA RESID'!$I:$I,AY108,'TRA RESID'!$J:$J,AV108,'TRA RESID'!$H:$H,AW108)/SUMIFS('TRA RESID'!$P:$P,'TRA RESID'!$I:$I,AY108)*BG108</f>
        <v>#DIV/0!</v>
      </c>
      <c r="BD108" s="18"/>
      <c r="BE108" s="18"/>
      <c r="BG108" s="21">
        <v>0</v>
      </c>
    </row>
    <row r="109" spans="1:59" x14ac:dyDescent="0.25">
      <c r="C109" s="23" t="str">
        <f>IF(C108="*",C108,"")</f>
        <v>*</v>
      </c>
      <c r="D109" s="25" t="str">
        <f t="shared" si="80"/>
        <v>*ICEV*</v>
      </c>
      <c r="E109" s="25" t="str">
        <f t="shared" si="80"/>
        <v>TRADSL</v>
      </c>
      <c r="F109" s="25" t="str">
        <f t="shared" si="80"/>
        <v>TRAPASMOTDMD</v>
      </c>
      <c r="G109" s="25" t="str">
        <f t="shared" si="80"/>
        <v>TRAPASMOTDMD</v>
      </c>
      <c r="H109" s="26">
        <v>2050</v>
      </c>
      <c r="I109" s="26" t="str">
        <f>I107</f>
        <v>LO</v>
      </c>
      <c r="J109" s="26"/>
      <c r="K109" s="27" t="e">
        <f>-SUMIFS('TRA RESID'!$P:$P,'TRA RESID'!$I:$I,G109,'TRA RESID'!$J:$J,D109,'TRA RESID'!$H:$H,E109)/SUMIFS('TRA RESID'!$P:$P,'TRA RESID'!$I:$I,G109)*O109</f>
        <v>#DIV/0!</v>
      </c>
      <c r="L109" s="26"/>
      <c r="M109" s="26"/>
      <c r="O109" s="28">
        <v>0</v>
      </c>
      <c r="S109" s="23" t="str">
        <f>IF(S108="*",S108,"")</f>
        <v>*</v>
      </c>
      <c r="T109" s="25" t="str">
        <f t="shared" si="81"/>
        <v>*BEV*</v>
      </c>
      <c r="U109" s="25" t="str">
        <f t="shared" si="81"/>
        <v>TRADSL</v>
      </c>
      <c r="V109" s="25" t="str">
        <f t="shared" si="81"/>
        <v>TRAPASMOTDMD</v>
      </c>
      <c r="W109" s="25" t="str">
        <f t="shared" si="81"/>
        <v>TRAPASMOTDMD</v>
      </c>
      <c r="X109" s="26">
        <v>2050</v>
      </c>
      <c r="Y109" s="26" t="str">
        <f>Y107</f>
        <v>LO</v>
      </c>
      <c r="Z109" s="26"/>
      <c r="AA109" s="27" t="e">
        <f>-SUMIFS('TRA RESID'!$P:$P,'TRA RESID'!$I:$I,W109,'TRA RESID'!$J:$J,T109,'TRA RESID'!$H:$H,U109)/SUMIFS('TRA RESID'!$P:$P,'TRA RESID'!$I:$I,W109)*AE109</f>
        <v>#DIV/0!</v>
      </c>
      <c r="AB109" s="26"/>
      <c r="AC109" s="26"/>
      <c r="AE109" s="28">
        <v>1</v>
      </c>
      <c r="AG109" s="23" t="str">
        <f>IF(AG108="*",AG108,"")</f>
        <v>*</v>
      </c>
      <c r="AH109" s="25" t="str">
        <f t="shared" si="82"/>
        <v>*HEV*</v>
      </c>
      <c r="AI109" s="25" t="str">
        <f t="shared" si="82"/>
        <v>TRADSL</v>
      </c>
      <c r="AJ109" s="25" t="str">
        <f t="shared" si="82"/>
        <v>TRAPASMOTDMD</v>
      </c>
      <c r="AK109" s="25" t="str">
        <f t="shared" si="82"/>
        <v>TRAPASMOTDMD</v>
      </c>
      <c r="AL109" s="26">
        <v>2050</v>
      </c>
      <c r="AM109" s="26" t="str">
        <f>AM107</f>
        <v>LO</v>
      </c>
      <c r="AN109" s="26"/>
      <c r="AO109" s="27" t="e">
        <f>-SUMIFS('TRA RESID'!$P:$P,'TRA RESID'!$I:$I,AK109,'TRA RESID'!$J:$J,AH109,'TRA RESID'!$H:$H,AI109)/SUMIFS('TRA RESID'!$P:$P,'TRA RESID'!$I:$I,AK109)*AS109</f>
        <v>#DIV/0!</v>
      </c>
      <c r="AP109" s="26"/>
      <c r="AQ109" s="26"/>
      <c r="AS109" s="28">
        <v>0</v>
      </c>
      <c r="AU109" s="23" t="str">
        <f>IF(AU108="*",AU108,"")</f>
        <v>*</v>
      </c>
      <c r="AV109" s="25" t="str">
        <f t="shared" si="83"/>
        <v>*FCEV*</v>
      </c>
      <c r="AW109" s="25" t="str">
        <f t="shared" si="83"/>
        <v>TRADSL</v>
      </c>
      <c r="AX109" s="25" t="str">
        <f t="shared" si="83"/>
        <v>TRAPASMOTDMD</v>
      </c>
      <c r="AY109" s="25" t="str">
        <f t="shared" si="83"/>
        <v>TRAPASMOTDMD</v>
      </c>
      <c r="AZ109" s="26">
        <v>2050</v>
      </c>
      <c r="BA109" s="26" t="str">
        <f>BA107</f>
        <v>LO</v>
      </c>
      <c r="BB109" s="26"/>
      <c r="BC109" s="27" t="e">
        <f>-SUMIFS('TRA RESID'!$P:$P,'TRA RESID'!$I:$I,AY109,'TRA RESID'!$J:$J,AV109,'TRA RESID'!$H:$H,AW109)/SUMIFS('TRA RESID'!$P:$P,'TRA RESID'!$I:$I,AY109)*BG109</f>
        <v>#DIV/0!</v>
      </c>
      <c r="BD109" s="26"/>
      <c r="BE109" s="26"/>
      <c r="BG109" s="28">
        <v>0</v>
      </c>
    </row>
    <row r="110" spans="1:59" x14ac:dyDescent="0.25">
      <c r="A110">
        <f>A105+1</f>
        <v>22</v>
      </c>
      <c r="C110" s="15" t="str">
        <f>IF(E110="","",IF(_xlfn.XLOOKUP($A110,Selected_constraint!$A:$A,Selected_constraint!$D:$D)=1,"*",IF(SUMIFS('TRA TECH'!$M:$M,'TRA TECH'!$H:$H,E110,'TRA TECH'!$I:$I,F110)=0,"*",IF(SUMIFS('TRA RESID'!$P:$P,'TRA RESID'!$I:$I,G110,'TRA RESID'!$J:$J,D110,'TRA RESID'!$H:$H,E110)=0,"*","UC_"&amp;SUBSTITUTE(D110,"*","")&amp;"_"&amp;RIGHT(E110,3)&amp;"_"&amp;F110))))</f>
        <v>*</v>
      </c>
      <c r="D110" s="17" t="s">
        <v>485</v>
      </c>
      <c r="E110" s="17" t="str">
        <f>_xlfn.XLOOKUP($A110,Selected_constraint!$A:$A,Selected_constraint!$B:$B)</f>
        <v>TRARDS</v>
      </c>
      <c r="F110" s="17" t="str">
        <f>_xlfn.XLOOKUP($A110,Selected_constraint!$A:$A,Selected_constraint!$C:$C)</f>
        <v>TRAPASMOTDMD</v>
      </c>
      <c r="G110" s="17" t="str">
        <f>F110</f>
        <v>TRAPASMOTDMD</v>
      </c>
      <c r="H110" s="18">
        <v>2019</v>
      </c>
      <c r="I110" s="18" t="s">
        <v>483</v>
      </c>
      <c r="J110" s="18">
        <v>1</v>
      </c>
      <c r="K110" s="20" t="e">
        <f>-SUMIFS('TRA RESID'!$P:$P,'TRA RESID'!$I:$I,G110,'TRA RESID'!$J:$J,D110,'TRA RESID'!$H:$H,E110)/SUMIFS('TRA RESID'!$P:$P,'TRA RESID'!$I:$I,G110)*O110</f>
        <v>#DIV/0!</v>
      </c>
      <c r="L110" s="18">
        <v>0</v>
      </c>
      <c r="M110" s="18">
        <v>5</v>
      </c>
      <c r="O110" s="21">
        <v>0.98</v>
      </c>
      <c r="Q110">
        <f>Q105+1</f>
        <v>22</v>
      </c>
      <c r="S110" s="15" t="str">
        <f>IF(SUMIFS('TRA RESID'!$P:$P,'TRA RESID'!$I:$I,W110,'TRA RESID'!$J:$J,T110,'TRA RESID'!$H:$H,U110)=0,"*","UC_"&amp;SUBSTITUTE(T110,"*","")&amp;"_"&amp;RIGHT(U110,3)&amp;"_"&amp;V110)</f>
        <v>*</v>
      </c>
      <c r="T110" s="17" t="s">
        <v>486</v>
      </c>
      <c r="U110" s="17" t="str">
        <f>_xlfn.XLOOKUP($A110,Selected_constraint!$A:$A,Selected_constraint!$B:$B)</f>
        <v>TRARDS</v>
      </c>
      <c r="V110" s="17" t="str">
        <f>_xlfn.XLOOKUP($A110,Selected_constraint!$A:$A,Selected_constraint!$C:$C)</f>
        <v>TRAPASMOTDMD</v>
      </c>
      <c r="W110" s="17" t="str">
        <f>V110</f>
        <v>TRAPASMOTDMD</v>
      </c>
      <c r="X110" s="18">
        <v>2019</v>
      </c>
      <c r="Y110" s="18" t="s">
        <v>483</v>
      </c>
      <c r="Z110" s="18">
        <v>1</v>
      </c>
      <c r="AA110" s="20" t="e">
        <f>-SUMIFS('TRA RESID'!$P:$P,'TRA RESID'!$I:$I,W110,'TRA RESID'!$J:$J,T110,'TRA RESID'!$H:$H,U110)/SUMIFS('TRA RESID'!$P:$P,'TRA RESID'!$I:$I,W110)*AE110</f>
        <v>#DIV/0!</v>
      </c>
      <c r="AB110" s="18">
        <v>0</v>
      </c>
      <c r="AC110" s="18">
        <v>5</v>
      </c>
      <c r="AE110" s="21">
        <v>0.98</v>
      </c>
      <c r="AG110" s="15" t="str">
        <f>IF(SUMIFS('TRA RESID'!$P:$P,'TRA RESID'!$I:$I,AK110,'TRA RESID'!$J:$J,AH110,'TRA RESID'!$H:$H,AI110)=0,"*","UC_"&amp;SUBSTITUTE(AH110,"*","")&amp;"_"&amp;RIGHT(AI110,3)&amp;"_"&amp;AJ110)</f>
        <v>*</v>
      </c>
      <c r="AH110" s="17" t="s">
        <v>487</v>
      </c>
      <c r="AI110" s="17" t="str">
        <f>_xlfn.XLOOKUP($A110,Selected_constraint!$A:$A,Selected_constraint!$B:$B)</f>
        <v>TRARDS</v>
      </c>
      <c r="AJ110" s="17" t="str">
        <f>_xlfn.XLOOKUP($A110,Selected_constraint!$A:$A,Selected_constraint!$C:$C)</f>
        <v>TRAPASMOTDMD</v>
      </c>
      <c r="AK110" s="17" t="str">
        <f>AJ110</f>
        <v>TRAPASMOTDMD</v>
      </c>
      <c r="AL110" s="18">
        <v>2019</v>
      </c>
      <c r="AM110" s="18" t="s">
        <v>483</v>
      </c>
      <c r="AN110" s="18">
        <v>1</v>
      </c>
      <c r="AO110" s="20" t="e">
        <f>-SUMIFS('TRA RESID'!$P:$P,'TRA RESID'!$I:$I,AK110,'TRA RESID'!$J:$J,AH110,'TRA RESID'!$H:$H,AI110)/SUMIFS('TRA RESID'!$P:$P,'TRA RESID'!$I:$I,AK110)*AS110</f>
        <v>#DIV/0!</v>
      </c>
      <c r="AP110" s="18">
        <v>0</v>
      </c>
      <c r="AQ110" s="18">
        <v>5</v>
      </c>
      <c r="AS110" s="21">
        <v>0.98</v>
      </c>
      <c r="AU110" s="15" t="str">
        <f>IF(SUMIFS('TRA RESID'!$P:$P,'TRA RESID'!$I:$I,AY110,'TRA RESID'!$J:$J,AV110,'TRA RESID'!$H:$H,AW110)=0,"*","UC_"&amp;SUBSTITUTE(AV110,"*","")&amp;"_"&amp;RIGHT(AW110,3)&amp;"_"&amp;AX110)</f>
        <v>*</v>
      </c>
      <c r="AV110" s="17" t="s">
        <v>488</v>
      </c>
      <c r="AW110" s="17" t="str">
        <f>_xlfn.XLOOKUP($A110,Selected_constraint!$A:$A,Selected_constraint!$B:$B)</f>
        <v>TRARDS</v>
      </c>
      <c r="AX110" s="17" t="str">
        <f>_xlfn.XLOOKUP($A110,Selected_constraint!$A:$A,Selected_constraint!$C:$C)</f>
        <v>TRAPASMOTDMD</v>
      </c>
      <c r="AY110" s="17" t="str">
        <f>AX110</f>
        <v>TRAPASMOTDMD</v>
      </c>
      <c r="AZ110" s="18">
        <v>2019</v>
      </c>
      <c r="BA110" s="18" t="s">
        <v>483</v>
      </c>
      <c r="BB110" s="18">
        <v>1</v>
      </c>
      <c r="BC110" s="20" t="e">
        <f>-SUMIFS('TRA RESID'!$P:$P,'TRA RESID'!$I:$I,AY110,'TRA RESID'!$J:$J,AV110,'TRA RESID'!$H:$H,AW110)/SUMIFS('TRA RESID'!$P:$P,'TRA RESID'!$I:$I,AY110)*BG110</f>
        <v>#DIV/0!</v>
      </c>
      <c r="BD110" s="18">
        <v>0</v>
      </c>
      <c r="BE110" s="18">
        <v>5</v>
      </c>
      <c r="BG110" s="21">
        <v>0.98</v>
      </c>
    </row>
    <row r="111" spans="1:59" x14ac:dyDescent="0.25">
      <c r="C111" s="15" t="str">
        <f>IF(C110="*",C110,"")</f>
        <v>*</v>
      </c>
      <c r="D111" s="17" t="str">
        <f t="shared" ref="D111:G114" si="84">D110</f>
        <v>*ICEV*</v>
      </c>
      <c r="E111" s="17" t="str">
        <f t="shared" si="84"/>
        <v>TRARDS</v>
      </c>
      <c r="F111" s="17" t="str">
        <f t="shared" si="84"/>
        <v>TRAPASMOTDMD</v>
      </c>
      <c r="G111" s="17" t="str">
        <f t="shared" si="84"/>
        <v>TRAPASMOTDMD</v>
      </c>
      <c r="H111" s="18">
        <v>2025</v>
      </c>
      <c r="I111" s="18" t="str">
        <f>I110</f>
        <v>LO</v>
      </c>
      <c r="J111" s="18"/>
      <c r="K111" s="20" t="e">
        <f>-SUMIFS('TRA RESID'!$P:$P,'TRA RESID'!$I:$I,G111,'TRA RESID'!$J:$J,D111,'TRA RESID'!$H:$H,E111)/SUMIFS('TRA RESID'!$P:$P,'TRA RESID'!$I:$I,G111)*O111</f>
        <v>#DIV/0!</v>
      </c>
      <c r="L111" s="18"/>
      <c r="M111" s="18"/>
      <c r="O111" s="21">
        <v>0.8</v>
      </c>
      <c r="S111" s="15" t="str">
        <f>IF(S110="*",S110,"")</f>
        <v>*</v>
      </c>
      <c r="T111" s="17" t="str">
        <f t="shared" ref="T111:W114" si="85">T110</f>
        <v>*BEV*</v>
      </c>
      <c r="U111" s="17" t="str">
        <f t="shared" si="85"/>
        <v>TRARDS</v>
      </c>
      <c r="V111" s="17" t="str">
        <f t="shared" si="85"/>
        <v>TRAPASMOTDMD</v>
      </c>
      <c r="W111" s="17" t="str">
        <f t="shared" si="85"/>
        <v>TRAPASMOTDMD</v>
      </c>
      <c r="X111" s="18">
        <v>2025</v>
      </c>
      <c r="Y111" s="18" t="str">
        <f>Y110</f>
        <v>LO</v>
      </c>
      <c r="Z111" s="18"/>
      <c r="AA111" s="20" t="e">
        <f>-SUMIFS('TRA RESID'!$P:$P,'TRA RESID'!$I:$I,W111,'TRA RESID'!$J:$J,T111,'TRA RESID'!$H:$H,U111)/SUMIFS('TRA RESID'!$P:$P,'TRA RESID'!$I:$I,W111)*AE111</f>
        <v>#DIV/0!</v>
      </c>
      <c r="AB111" s="18"/>
      <c r="AC111" s="18"/>
      <c r="AE111" s="21">
        <v>1</v>
      </c>
      <c r="AG111" s="15" t="str">
        <f>IF(AG110="*",AG110,"")</f>
        <v>*</v>
      </c>
      <c r="AH111" s="17" t="str">
        <f t="shared" ref="AH111:AK114" si="86">AH110</f>
        <v>*HEV*</v>
      </c>
      <c r="AI111" s="17" t="str">
        <f t="shared" si="86"/>
        <v>TRARDS</v>
      </c>
      <c r="AJ111" s="17" t="str">
        <f t="shared" si="86"/>
        <v>TRAPASMOTDMD</v>
      </c>
      <c r="AK111" s="17" t="str">
        <f t="shared" si="86"/>
        <v>TRAPASMOTDMD</v>
      </c>
      <c r="AL111" s="18">
        <v>2025</v>
      </c>
      <c r="AM111" s="18" t="str">
        <f>AM110</f>
        <v>LO</v>
      </c>
      <c r="AN111" s="18"/>
      <c r="AO111" s="20" t="e">
        <f>-SUMIFS('TRA RESID'!$P:$P,'TRA RESID'!$I:$I,AK111,'TRA RESID'!$J:$J,AH111,'TRA RESID'!$H:$H,AI111)/SUMIFS('TRA RESID'!$P:$P,'TRA RESID'!$I:$I,AK111)*AS111</f>
        <v>#DIV/0!</v>
      </c>
      <c r="AP111" s="18"/>
      <c r="AQ111" s="18"/>
      <c r="AS111" s="21">
        <v>0.8</v>
      </c>
      <c r="AU111" s="15" t="str">
        <f>IF(AU110="*",AU110,"")</f>
        <v>*</v>
      </c>
      <c r="AV111" s="17" t="str">
        <f t="shared" ref="AV111:AY114" si="87">AV110</f>
        <v>*FCEV*</v>
      </c>
      <c r="AW111" s="17" t="str">
        <f t="shared" si="87"/>
        <v>TRARDS</v>
      </c>
      <c r="AX111" s="17" t="str">
        <f t="shared" si="87"/>
        <v>TRAPASMOTDMD</v>
      </c>
      <c r="AY111" s="17" t="str">
        <f t="shared" si="87"/>
        <v>TRAPASMOTDMD</v>
      </c>
      <c r="AZ111" s="18">
        <v>2025</v>
      </c>
      <c r="BA111" s="18" t="str">
        <f>BA110</f>
        <v>LO</v>
      </c>
      <c r="BB111" s="18"/>
      <c r="BC111" s="20" t="e">
        <f>-SUMIFS('TRA RESID'!$P:$P,'TRA RESID'!$I:$I,AY111,'TRA RESID'!$J:$J,AV111,'TRA RESID'!$H:$H,AW111)/SUMIFS('TRA RESID'!$P:$P,'TRA RESID'!$I:$I,AY111)*BG111</f>
        <v>#DIV/0!</v>
      </c>
      <c r="BD111" s="18"/>
      <c r="BE111" s="18"/>
      <c r="BG111" s="21">
        <v>0.8</v>
      </c>
    </row>
    <row r="112" spans="1:59" x14ac:dyDescent="0.25">
      <c r="C112" s="15" t="str">
        <f>IF(C111="*",C111,"")</f>
        <v>*</v>
      </c>
      <c r="D112" s="17" t="str">
        <f t="shared" si="84"/>
        <v>*ICEV*</v>
      </c>
      <c r="E112" s="17" t="str">
        <f t="shared" si="84"/>
        <v>TRARDS</v>
      </c>
      <c r="F112" s="17" t="str">
        <f t="shared" si="84"/>
        <v>TRAPASMOTDMD</v>
      </c>
      <c r="G112" s="17" t="str">
        <f t="shared" si="84"/>
        <v>TRAPASMOTDMD</v>
      </c>
      <c r="H112" s="18">
        <v>2030</v>
      </c>
      <c r="I112" s="18" t="str">
        <f>I111</f>
        <v>LO</v>
      </c>
      <c r="J112" s="18"/>
      <c r="K112" s="20" t="e">
        <f>-SUMIFS('TRA RESID'!$P:$P,'TRA RESID'!$I:$I,G112,'TRA RESID'!$J:$J,D112,'TRA RESID'!$H:$H,E112)/SUMIFS('TRA RESID'!$P:$P,'TRA RESID'!$I:$I,G112)*O112</f>
        <v>#DIV/0!</v>
      </c>
      <c r="L112" s="18"/>
      <c r="M112" s="18"/>
      <c r="O112" s="21">
        <v>0.5</v>
      </c>
      <c r="S112" s="15" t="str">
        <f>IF(S111="*",S111,"")</f>
        <v>*</v>
      </c>
      <c r="T112" s="17" t="str">
        <f t="shared" si="85"/>
        <v>*BEV*</v>
      </c>
      <c r="U112" s="17" t="str">
        <f t="shared" si="85"/>
        <v>TRARDS</v>
      </c>
      <c r="V112" s="17" t="str">
        <f t="shared" si="85"/>
        <v>TRAPASMOTDMD</v>
      </c>
      <c r="W112" s="17" t="str">
        <f t="shared" si="85"/>
        <v>TRAPASMOTDMD</v>
      </c>
      <c r="X112" s="18">
        <v>2030</v>
      </c>
      <c r="Y112" s="18" t="str">
        <f>Y111</f>
        <v>LO</v>
      </c>
      <c r="Z112" s="18"/>
      <c r="AA112" s="20" t="e">
        <f>-SUMIFS('TRA RESID'!$P:$P,'TRA RESID'!$I:$I,W112,'TRA RESID'!$J:$J,T112,'TRA RESID'!$H:$H,U112)/SUMIFS('TRA RESID'!$P:$P,'TRA RESID'!$I:$I,W112)*AE112</f>
        <v>#DIV/0!</v>
      </c>
      <c r="AB112" s="18"/>
      <c r="AC112" s="18"/>
      <c r="AE112" s="21">
        <v>1</v>
      </c>
      <c r="AG112" s="15" t="str">
        <f>IF(AG111="*",AG111,"")</f>
        <v>*</v>
      </c>
      <c r="AH112" s="17" t="str">
        <f t="shared" si="86"/>
        <v>*HEV*</v>
      </c>
      <c r="AI112" s="17" t="str">
        <f t="shared" si="86"/>
        <v>TRARDS</v>
      </c>
      <c r="AJ112" s="17" t="str">
        <f t="shared" si="86"/>
        <v>TRAPASMOTDMD</v>
      </c>
      <c r="AK112" s="17" t="str">
        <f t="shared" si="86"/>
        <v>TRAPASMOTDMD</v>
      </c>
      <c r="AL112" s="18">
        <v>2030</v>
      </c>
      <c r="AM112" s="18" t="str">
        <f>AM111</f>
        <v>LO</v>
      </c>
      <c r="AN112" s="18"/>
      <c r="AO112" s="20" t="e">
        <f>-SUMIFS('TRA RESID'!$P:$P,'TRA RESID'!$I:$I,AK112,'TRA RESID'!$J:$J,AH112,'TRA RESID'!$H:$H,AI112)/SUMIFS('TRA RESID'!$P:$P,'TRA RESID'!$I:$I,AK112)*AS112</f>
        <v>#DIV/0!</v>
      </c>
      <c r="AP112" s="18"/>
      <c r="AQ112" s="18"/>
      <c r="AS112" s="21">
        <v>0.5</v>
      </c>
      <c r="AU112" s="15" t="str">
        <f>IF(AU111="*",AU111,"")</f>
        <v>*</v>
      </c>
      <c r="AV112" s="17" t="str">
        <f t="shared" si="87"/>
        <v>*FCEV*</v>
      </c>
      <c r="AW112" s="17" t="str">
        <f t="shared" si="87"/>
        <v>TRARDS</v>
      </c>
      <c r="AX112" s="17" t="str">
        <f t="shared" si="87"/>
        <v>TRAPASMOTDMD</v>
      </c>
      <c r="AY112" s="17" t="str">
        <f t="shared" si="87"/>
        <v>TRAPASMOTDMD</v>
      </c>
      <c r="AZ112" s="18">
        <v>2030</v>
      </c>
      <c r="BA112" s="18" t="str">
        <f>BA111</f>
        <v>LO</v>
      </c>
      <c r="BB112" s="18"/>
      <c r="BC112" s="20" t="e">
        <f>-SUMIFS('TRA RESID'!$P:$P,'TRA RESID'!$I:$I,AY112,'TRA RESID'!$J:$J,AV112,'TRA RESID'!$H:$H,AW112)/SUMIFS('TRA RESID'!$P:$P,'TRA RESID'!$I:$I,AY112)*BG112</f>
        <v>#DIV/0!</v>
      </c>
      <c r="BD112" s="18"/>
      <c r="BE112" s="18"/>
      <c r="BG112" s="21">
        <v>0.5</v>
      </c>
    </row>
    <row r="113" spans="1:59" x14ac:dyDescent="0.25">
      <c r="C113" s="15" t="str">
        <f>IF(C112="*",C112,"")</f>
        <v>*</v>
      </c>
      <c r="D113" s="17" t="str">
        <f t="shared" si="84"/>
        <v>*ICEV*</v>
      </c>
      <c r="E113" s="17" t="str">
        <f t="shared" si="84"/>
        <v>TRARDS</v>
      </c>
      <c r="F113" s="17" t="str">
        <f t="shared" si="84"/>
        <v>TRAPASMOTDMD</v>
      </c>
      <c r="G113" s="17" t="str">
        <f t="shared" si="84"/>
        <v>TRAPASMOTDMD</v>
      </c>
      <c r="H113" s="18">
        <v>2040</v>
      </c>
      <c r="I113" s="18" t="str">
        <f>I112</f>
        <v>LO</v>
      </c>
      <c r="J113" s="18"/>
      <c r="K113" s="20" t="e">
        <f>-SUMIFS('TRA RESID'!$P:$P,'TRA RESID'!$I:$I,G113,'TRA RESID'!$J:$J,D113,'TRA RESID'!$H:$H,E113)/SUMIFS('TRA RESID'!$P:$P,'TRA RESID'!$I:$I,G113)*O113</f>
        <v>#DIV/0!</v>
      </c>
      <c r="L113" s="18"/>
      <c r="M113" s="18"/>
      <c r="O113" s="21">
        <v>0</v>
      </c>
      <c r="S113" s="15" t="str">
        <f>IF(S112="*",S112,"")</f>
        <v>*</v>
      </c>
      <c r="T113" s="17" t="str">
        <f t="shared" si="85"/>
        <v>*BEV*</v>
      </c>
      <c r="U113" s="17" t="str">
        <f t="shared" si="85"/>
        <v>TRARDS</v>
      </c>
      <c r="V113" s="17" t="str">
        <f t="shared" si="85"/>
        <v>TRAPASMOTDMD</v>
      </c>
      <c r="W113" s="17" t="str">
        <f t="shared" si="85"/>
        <v>TRAPASMOTDMD</v>
      </c>
      <c r="X113" s="18">
        <v>2040</v>
      </c>
      <c r="Y113" s="18" t="str">
        <f>Y112</f>
        <v>LO</v>
      </c>
      <c r="Z113" s="18"/>
      <c r="AA113" s="20" t="e">
        <f>-SUMIFS('TRA RESID'!$P:$P,'TRA RESID'!$I:$I,W113,'TRA RESID'!$J:$J,T113,'TRA RESID'!$H:$H,U113)/SUMIFS('TRA RESID'!$P:$P,'TRA RESID'!$I:$I,W113)*AE113</f>
        <v>#DIV/0!</v>
      </c>
      <c r="AB113" s="18"/>
      <c r="AC113" s="18"/>
      <c r="AE113" s="21">
        <v>1</v>
      </c>
      <c r="AG113" s="15" t="str">
        <f>IF(AG112="*",AG112,"")</f>
        <v>*</v>
      </c>
      <c r="AH113" s="17" t="str">
        <f t="shared" si="86"/>
        <v>*HEV*</v>
      </c>
      <c r="AI113" s="17" t="str">
        <f t="shared" si="86"/>
        <v>TRARDS</v>
      </c>
      <c r="AJ113" s="17" t="str">
        <f t="shared" si="86"/>
        <v>TRAPASMOTDMD</v>
      </c>
      <c r="AK113" s="17" t="str">
        <f t="shared" si="86"/>
        <v>TRAPASMOTDMD</v>
      </c>
      <c r="AL113" s="18">
        <v>2040</v>
      </c>
      <c r="AM113" s="18" t="str">
        <f>AM112</f>
        <v>LO</v>
      </c>
      <c r="AN113" s="18"/>
      <c r="AO113" s="20" t="e">
        <f>-SUMIFS('TRA RESID'!$P:$P,'TRA RESID'!$I:$I,AK113,'TRA RESID'!$J:$J,AH113,'TRA RESID'!$H:$H,AI113)/SUMIFS('TRA RESID'!$P:$P,'TRA RESID'!$I:$I,AK113)*AS113</f>
        <v>#DIV/0!</v>
      </c>
      <c r="AP113" s="18"/>
      <c r="AQ113" s="18"/>
      <c r="AS113" s="21">
        <v>0</v>
      </c>
      <c r="AU113" s="15" t="str">
        <f>IF(AU112="*",AU112,"")</f>
        <v>*</v>
      </c>
      <c r="AV113" s="17" t="str">
        <f t="shared" si="87"/>
        <v>*FCEV*</v>
      </c>
      <c r="AW113" s="17" t="str">
        <f t="shared" si="87"/>
        <v>TRARDS</v>
      </c>
      <c r="AX113" s="17" t="str">
        <f t="shared" si="87"/>
        <v>TRAPASMOTDMD</v>
      </c>
      <c r="AY113" s="17" t="str">
        <f t="shared" si="87"/>
        <v>TRAPASMOTDMD</v>
      </c>
      <c r="AZ113" s="18">
        <v>2040</v>
      </c>
      <c r="BA113" s="18" t="str">
        <f>BA112</f>
        <v>LO</v>
      </c>
      <c r="BB113" s="18"/>
      <c r="BC113" s="20" t="e">
        <f>-SUMIFS('TRA RESID'!$P:$P,'TRA RESID'!$I:$I,AY113,'TRA RESID'!$J:$J,AV113,'TRA RESID'!$H:$H,AW113)/SUMIFS('TRA RESID'!$P:$P,'TRA RESID'!$I:$I,AY113)*BG113</f>
        <v>#DIV/0!</v>
      </c>
      <c r="BD113" s="18"/>
      <c r="BE113" s="18"/>
      <c r="BG113" s="21">
        <v>0</v>
      </c>
    </row>
    <row r="114" spans="1:59" x14ac:dyDescent="0.25">
      <c r="C114" s="23" t="str">
        <f>IF(C113="*",C113,"")</f>
        <v>*</v>
      </c>
      <c r="D114" s="25" t="str">
        <f t="shared" si="84"/>
        <v>*ICEV*</v>
      </c>
      <c r="E114" s="25" t="str">
        <f t="shared" si="84"/>
        <v>TRARDS</v>
      </c>
      <c r="F114" s="25" t="str">
        <f t="shared" si="84"/>
        <v>TRAPASMOTDMD</v>
      </c>
      <c r="G114" s="25" t="str">
        <f t="shared" si="84"/>
        <v>TRAPASMOTDMD</v>
      </c>
      <c r="H114" s="26">
        <v>2050</v>
      </c>
      <c r="I114" s="26" t="str">
        <f>I112</f>
        <v>LO</v>
      </c>
      <c r="J114" s="26"/>
      <c r="K114" s="27" t="e">
        <f>-SUMIFS('TRA RESID'!$P:$P,'TRA RESID'!$I:$I,G114,'TRA RESID'!$J:$J,D114,'TRA RESID'!$H:$H,E114)/SUMIFS('TRA RESID'!$P:$P,'TRA RESID'!$I:$I,G114)*O114</f>
        <v>#DIV/0!</v>
      </c>
      <c r="L114" s="26"/>
      <c r="M114" s="26"/>
      <c r="O114" s="28">
        <v>0</v>
      </c>
      <c r="S114" s="23" t="str">
        <f>IF(S113="*",S113,"")</f>
        <v>*</v>
      </c>
      <c r="T114" s="25" t="str">
        <f t="shared" si="85"/>
        <v>*BEV*</v>
      </c>
      <c r="U114" s="25" t="str">
        <f t="shared" si="85"/>
        <v>TRARDS</v>
      </c>
      <c r="V114" s="25" t="str">
        <f t="shared" si="85"/>
        <v>TRAPASMOTDMD</v>
      </c>
      <c r="W114" s="25" t="str">
        <f t="shared" si="85"/>
        <v>TRAPASMOTDMD</v>
      </c>
      <c r="X114" s="26">
        <v>2050</v>
      </c>
      <c r="Y114" s="26" t="str">
        <f>Y112</f>
        <v>LO</v>
      </c>
      <c r="Z114" s="26"/>
      <c r="AA114" s="27" t="e">
        <f>-SUMIFS('TRA RESID'!$P:$P,'TRA RESID'!$I:$I,W114,'TRA RESID'!$J:$J,T114,'TRA RESID'!$H:$H,U114)/SUMIFS('TRA RESID'!$P:$P,'TRA RESID'!$I:$I,W114)*AE114</f>
        <v>#DIV/0!</v>
      </c>
      <c r="AB114" s="26"/>
      <c r="AC114" s="26"/>
      <c r="AE114" s="28">
        <v>1</v>
      </c>
      <c r="AG114" s="23" t="str">
        <f>IF(AG113="*",AG113,"")</f>
        <v>*</v>
      </c>
      <c r="AH114" s="25" t="str">
        <f t="shared" si="86"/>
        <v>*HEV*</v>
      </c>
      <c r="AI114" s="25" t="str">
        <f t="shared" si="86"/>
        <v>TRARDS</v>
      </c>
      <c r="AJ114" s="25" t="str">
        <f t="shared" si="86"/>
        <v>TRAPASMOTDMD</v>
      </c>
      <c r="AK114" s="25" t="str">
        <f t="shared" si="86"/>
        <v>TRAPASMOTDMD</v>
      </c>
      <c r="AL114" s="26">
        <v>2050</v>
      </c>
      <c r="AM114" s="26" t="str">
        <f>AM112</f>
        <v>LO</v>
      </c>
      <c r="AN114" s="26"/>
      <c r="AO114" s="27" t="e">
        <f>-SUMIFS('TRA RESID'!$P:$P,'TRA RESID'!$I:$I,AK114,'TRA RESID'!$J:$J,AH114,'TRA RESID'!$H:$H,AI114)/SUMIFS('TRA RESID'!$P:$P,'TRA RESID'!$I:$I,AK114)*AS114</f>
        <v>#DIV/0!</v>
      </c>
      <c r="AP114" s="26"/>
      <c r="AQ114" s="26"/>
      <c r="AS114" s="28">
        <v>0</v>
      </c>
      <c r="AU114" s="23" t="str">
        <f>IF(AU113="*",AU113,"")</f>
        <v>*</v>
      </c>
      <c r="AV114" s="25" t="str">
        <f t="shared" si="87"/>
        <v>*FCEV*</v>
      </c>
      <c r="AW114" s="25" t="str">
        <f t="shared" si="87"/>
        <v>TRARDS</v>
      </c>
      <c r="AX114" s="25" t="str">
        <f t="shared" si="87"/>
        <v>TRAPASMOTDMD</v>
      </c>
      <c r="AY114" s="25" t="str">
        <f t="shared" si="87"/>
        <v>TRAPASMOTDMD</v>
      </c>
      <c r="AZ114" s="26">
        <v>2050</v>
      </c>
      <c r="BA114" s="26" t="str">
        <f>BA112</f>
        <v>LO</v>
      </c>
      <c r="BB114" s="26"/>
      <c r="BC114" s="27" t="e">
        <f>-SUMIFS('TRA RESID'!$P:$P,'TRA RESID'!$I:$I,AY114,'TRA RESID'!$J:$J,AV114,'TRA RESID'!$H:$H,AW114)/SUMIFS('TRA RESID'!$P:$P,'TRA RESID'!$I:$I,AY114)*BG114</f>
        <v>#DIV/0!</v>
      </c>
      <c r="BD114" s="26"/>
      <c r="BE114" s="26"/>
      <c r="BG114" s="28">
        <v>0</v>
      </c>
    </row>
    <row r="115" spans="1:59" x14ac:dyDescent="0.25">
      <c r="A115">
        <f>A110+1</f>
        <v>23</v>
      </c>
      <c r="C115" s="15" t="str">
        <f>IF(E115="","",IF(_xlfn.XLOOKUP($A115,Selected_constraint!$A:$A,Selected_constraint!$D:$D)=1,"*",IF(SUMIFS('TRA TECH'!$M:$M,'TRA TECH'!$H:$H,E115,'TRA TECH'!$I:$I,F115)=0,"*",IF(SUMIFS('TRA RESID'!$P:$P,'TRA RESID'!$I:$I,G115,'TRA RESID'!$J:$J,D115,'TRA RESID'!$H:$H,E115)=0,"*","UC_"&amp;SUBSTITUTE(D115,"*","")&amp;"_"&amp;RIGHT(E115,3)&amp;"_"&amp;F115))))</f>
        <v>*</v>
      </c>
      <c r="D115" s="17" t="s">
        <v>485</v>
      </c>
      <c r="E115" s="17" t="str">
        <f>_xlfn.XLOOKUP($A115,Selected_constraint!$A:$A,Selected_constraint!$B:$B)</f>
        <v>TRABDS</v>
      </c>
      <c r="F115" s="17" t="str">
        <f>_xlfn.XLOOKUP($A115,Selected_constraint!$A:$A,Selected_constraint!$C:$C)</f>
        <v>TRAPASMOTDMD</v>
      </c>
      <c r="G115" s="17" t="str">
        <f>F115</f>
        <v>TRAPASMOTDMD</v>
      </c>
      <c r="H115" s="18">
        <v>2019</v>
      </c>
      <c r="I115" s="18" t="s">
        <v>483</v>
      </c>
      <c r="J115" s="18">
        <v>1</v>
      </c>
      <c r="K115" s="20" t="e">
        <f>-SUMIFS('TRA RESID'!$P:$P,'TRA RESID'!$I:$I,G115,'TRA RESID'!$J:$J,D115,'TRA RESID'!$H:$H,E115)/SUMIFS('TRA RESID'!$P:$P,'TRA RESID'!$I:$I,G115)*O115</f>
        <v>#DIV/0!</v>
      </c>
      <c r="L115" s="18">
        <v>0</v>
      </c>
      <c r="M115" s="18">
        <v>5</v>
      </c>
      <c r="O115" s="21">
        <v>0.98</v>
      </c>
      <c r="Q115">
        <f>Q110+1</f>
        <v>23</v>
      </c>
      <c r="S115" s="15" t="str">
        <f>IF(SUMIFS('TRA RESID'!$P:$P,'TRA RESID'!$I:$I,W115,'TRA RESID'!$J:$J,T115,'TRA RESID'!$H:$H,U115)=0,"*","UC_"&amp;SUBSTITUTE(T115,"*","")&amp;"_"&amp;RIGHT(U115,3)&amp;"_"&amp;V115)</f>
        <v>*</v>
      </c>
      <c r="T115" s="17" t="s">
        <v>486</v>
      </c>
      <c r="U115" s="17" t="str">
        <f>_xlfn.XLOOKUP($A115,Selected_constraint!$A:$A,Selected_constraint!$B:$B)</f>
        <v>TRABDS</v>
      </c>
      <c r="V115" s="17" t="str">
        <f>_xlfn.XLOOKUP($A115,Selected_constraint!$A:$A,Selected_constraint!$C:$C)</f>
        <v>TRAPASMOTDMD</v>
      </c>
      <c r="W115" s="17" t="str">
        <f>V115</f>
        <v>TRAPASMOTDMD</v>
      </c>
      <c r="X115" s="18">
        <v>2019</v>
      </c>
      <c r="Y115" s="18" t="s">
        <v>483</v>
      </c>
      <c r="Z115" s="18">
        <v>1</v>
      </c>
      <c r="AA115" s="20" t="e">
        <f>-SUMIFS('TRA RESID'!$P:$P,'TRA RESID'!$I:$I,W115,'TRA RESID'!$J:$J,T115,'TRA RESID'!$H:$H,U115)/SUMIFS('TRA RESID'!$P:$P,'TRA RESID'!$I:$I,W115)*AE115</f>
        <v>#DIV/0!</v>
      </c>
      <c r="AB115" s="18">
        <v>0</v>
      </c>
      <c r="AC115" s="18">
        <v>5</v>
      </c>
      <c r="AE115" s="21">
        <v>0.98</v>
      </c>
      <c r="AG115" s="15" t="str">
        <f>IF(SUMIFS('TRA RESID'!$P:$P,'TRA RESID'!$I:$I,AK115,'TRA RESID'!$J:$J,AH115,'TRA RESID'!$H:$H,AI115)=0,"*","UC_"&amp;SUBSTITUTE(AH115,"*","")&amp;"_"&amp;RIGHT(AI115,3)&amp;"_"&amp;AJ115)</f>
        <v>*</v>
      </c>
      <c r="AH115" s="17" t="s">
        <v>487</v>
      </c>
      <c r="AI115" s="17" t="str">
        <f>_xlfn.XLOOKUP($A115,Selected_constraint!$A:$A,Selected_constraint!$B:$B)</f>
        <v>TRABDS</v>
      </c>
      <c r="AJ115" s="17" t="str">
        <f>_xlfn.XLOOKUP($A115,Selected_constraint!$A:$A,Selected_constraint!$C:$C)</f>
        <v>TRAPASMOTDMD</v>
      </c>
      <c r="AK115" s="17" t="str">
        <f>AJ115</f>
        <v>TRAPASMOTDMD</v>
      </c>
      <c r="AL115" s="18">
        <v>2019</v>
      </c>
      <c r="AM115" s="18" t="s">
        <v>483</v>
      </c>
      <c r="AN115" s="18">
        <v>1</v>
      </c>
      <c r="AO115" s="20" t="e">
        <f>-SUMIFS('TRA RESID'!$P:$P,'TRA RESID'!$I:$I,AK115,'TRA RESID'!$J:$J,AH115,'TRA RESID'!$H:$H,AI115)/SUMIFS('TRA RESID'!$P:$P,'TRA RESID'!$I:$I,AK115)*AS115</f>
        <v>#DIV/0!</v>
      </c>
      <c r="AP115" s="18">
        <v>0</v>
      </c>
      <c r="AQ115" s="18">
        <v>5</v>
      </c>
      <c r="AS115" s="21">
        <v>0.98</v>
      </c>
      <c r="AU115" s="15" t="str">
        <f>IF(SUMIFS('TRA RESID'!$P:$P,'TRA RESID'!$I:$I,AY115,'TRA RESID'!$J:$J,AV115,'TRA RESID'!$H:$H,AW115)=0,"*","UC_"&amp;SUBSTITUTE(AV115,"*","")&amp;"_"&amp;RIGHT(AW115,3)&amp;"_"&amp;AX115)</f>
        <v>*</v>
      </c>
      <c r="AV115" s="17" t="s">
        <v>488</v>
      </c>
      <c r="AW115" s="17" t="str">
        <f>_xlfn.XLOOKUP($A115,Selected_constraint!$A:$A,Selected_constraint!$B:$B)</f>
        <v>TRABDS</v>
      </c>
      <c r="AX115" s="17" t="str">
        <f>_xlfn.XLOOKUP($A115,Selected_constraint!$A:$A,Selected_constraint!$C:$C)</f>
        <v>TRAPASMOTDMD</v>
      </c>
      <c r="AY115" s="17" t="str">
        <f>AX115</f>
        <v>TRAPASMOTDMD</v>
      </c>
      <c r="AZ115" s="18">
        <v>2019</v>
      </c>
      <c r="BA115" s="18" t="s">
        <v>483</v>
      </c>
      <c r="BB115" s="18">
        <v>1</v>
      </c>
      <c r="BC115" s="20" t="e">
        <f>-SUMIFS('TRA RESID'!$P:$P,'TRA RESID'!$I:$I,AY115,'TRA RESID'!$J:$J,AV115,'TRA RESID'!$H:$H,AW115)/SUMIFS('TRA RESID'!$P:$P,'TRA RESID'!$I:$I,AY115)*BG115</f>
        <v>#DIV/0!</v>
      </c>
      <c r="BD115" s="18">
        <v>0</v>
      </c>
      <c r="BE115" s="18">
        <v>5</v>
      </c>
      <c r="BG115" s="21">
        <v>0.98</v>
      </c>
    </row>
    <row r="116" spans="1:59" x14ac:dyDescent="0.25">
      <c r="C116" s="15" t="str">
        <f>IF(C115="*",C115,"")</f>
        <v>*</v>
      </c>
      <c r="D116" s="17" t="str">
        <f t="shared" ref="D116:G119" si="88">D115</f>
        <v>*ICEV*</v>
      </c>
      <c r="E116" s="17" t="str">
        <f t="shared" si="88"/>
        <v>TRABDS</v>
      </c>
      <c r="F116" s="17" t="str">
        <f t="shared" si="88"/>
        <v>TRAPASMOTDMD</v>
      </c>
      <c r="G116" s="17" t="str">
        <f t="shared" si="88"/>
        <v>TRAPASMOTDMD</v>
      </c>
      <c r="H116" s="18">
        <v>2025</v>
      </c>
      <c r="I116" s="18" t="str">
        <f>I115</f>
        <v>LO</v>
      </c>
      <c r="J116" s="18"/>
      <c r="K116" s="20" t="e">
        <f>-SUMIFS('TRA RESID'!$P:$P,'TRA RESID'!$I:$I,G116,'TRA RESID'!$J:$J,D116,'TRA RESID'!$H:$H,E116)/SUMIFS('TRA RESID'!$P:$P,'TRA RESID'!$I:$I,G116)*O116</f>
        <v>#DIV/0!</v>
      </c>
      <c r="L116" s="18"/>
      <c r="M116" s="18"/>
      <c r="O116" s="21">
        <v>0.8</v>
      </c>
      <c r="S116" s="15" t="str">
        <f>IF(S115="*",S115,"")</f>
        <v>*</v>
      </c>
      <c r="T116" s="17" t="str">
        <f t="shared" ref="T116:W119" si="89">T115</f>
        <v>*BEV*</v>
      </c>
      <c r="U116" s="17" t="str">
        <f t="shared" si="89"/>
        <v>TRABDS</v>
      </c>
      <c r="V116" s="17" t="str">
        <f t="shared" si="89"/>
        <v>TRAPASMOTDMD</v>
      </c>
      <c r="W116" s="17" t="str">
        <f t="shared" si="89"/>
        <v>TRAPASMOTDMD</v>
      </c>
      <c r="X116" s="18">
        <v>2025</v>
      </c>
      <c r="Y116" s="18" t="str">
        <f>Y115</f>
        <v>LO</v>
      </c>
      <c r="Z116" s="18"/>
      <c r="AA116" s="20" t="e">
        <f>-SUMIFS('TRA RESID'!$P:$P,'TRA RESID'!$I:$I,W116,'TRA RESID'!$J:$J,T116,'TRA RESID'!$H:$H,U116)/SUMIFS('TRA RESID'!$P:$P,'TRA RESID'!$I:$I,W116)*AE116</f>
        <v>#DIV/0!</v>
      </c>
      <c r="AB116" s="18"/>
      <c r="AC116" s="18"/>
      <c r="AE116" s="21">
        <v>1</v>
      </c>
      <c r="AG116" s="15" t="str">
        <f>IF(AG115="*",AG115,"")</f>
        <v>*</v>
      </c>
      <c r="AH116" s="17" t="str">
        <f t="shared" ref="AH116:AK119" si="90">AH115</f>
        <v>*HEV*</v>
      </c>
      <c r="AI116" s="17" t="str">
        <f t="shared" si="90"/>
        <v>TRABDS</v>
      </c>
      <c r="AJ116" s="17" t="str">
        <f t="shared" si="90"/>
        <v>TRAPASMOTDMD</v>
      </c>
      <c r="AK116" s="17" t="str">
        <f t="shared" si="90"/>
        <v>TRAPASMOTDMD</v>
      </c>
      <c r="AL116" s="18">
        <v>2025</v>
      </c>
      <c r="AM116" s="18" t="str">
        <f>AM115</f>
        <v>LO</v>
      </c>
      <c r="AN116" s="18"/>
      <c r="AO116" s="20" t="e">
        <f>-SUMIFS('TRA RESID'!$P:$P,'TRA RESID'!$I:$I,AK116,'TRA RESID'!$J:$J,AH116,'TRA RESID'!$H:$H,AI116)/SUMIFS('TRA RESID'!$P:$P,'TRA RESID'!$I:$I,AK116)*AS116</f>
        <v>#DIV/0!</v>
      </c>
      <c r="AP116" s="18"/>
      <c r="AQ116" s="18"/>
      <c r="AS116" s="21">
        <v>0.8</v>
      </c>
      <c r="AU116" s="15" t="str">
        <f>IF(AU115="*",AU115,"")</f>
        <v>*</v>
      </c>
      <c r="AV116" s="17" t="str">
        <f t="shared" ref="AV116:AY119" si="91">AV115</f>
        <v>*FCEV*</v>
      </c>
      <c r="AW116" s="17" t="str">
        <f t="shared" si="91"/>
        <v>TRABDS</v>
      </c>
      <c r="AX116" s="17" t="str">
        <f t="shared" si="91"/>
        <v>TRAPASMOTDMD</v>
      </c>
      <c r="AY116" s="17" t="str">
        <f t="shared" si="91"/>
        <v>TRAPASMOTDMD</v>
      </c>
      <c r="AZ116" s="18">
        <v>2025</v>
      </c>
      <c r="BA116" s="18" t="str">
        <f>BA115</f>
        <v>LO</v>
      </c>
      <c r="BB116" s="18"/>
      <c r="BC116" s="20" t="e">
        <f>-SUMIFS('TRA RESID'!$P:$P,'TRA RESID'!$I:$I,AY116,'TRA RESID'!$J:$J,AV116,'TRA RESID'!$H:$H,AW116)/SUMIFS('TRA RESID'!$P:$P,'TRA RESID'!$I:$I,AY116)*BG116</f>
        <v>#DIV/0!</v>
      </c>
      <c r="BD116" s="18"/>
      <c r="BE116" s="18"/>
      <c r="BG116" s="21">
        <v>0.8</v>
      </c>
    </row>
    <row r="117" spans="1:59" x14ac:dyDescent="0.25">
      <c r="C117" s="15" t="str">
        <f>IF(C116="*",C116,"")</f>
        <v>*</v>
      </c>
      <c r="D117" s="17" t="str">
        <f t="shared" si="88"/>
        <v>*ICEV*</v>
      </c>
      <c r="E117" s="17" t="str">
        <f t="shared" si="88"/>
        <v>TRABDS</v>
      </c>
      <c r="F117" s="17" t="str">
        <f t="shared" si="88"/>
        <v>TRAPASMOTDMD</v>
      </c>
      <c r="G117" s="17" t="str">
        <f t="shared" si="88"/>
        <v>TRAPASMOTDMD</v>
      </c>
      <c r="H117" s="18">
        <v>2030</v>
      </c>
      <c r="I117" s="18" t="str">
        <f>I116</f>
        <v>LO</v>
      </c>
      <c r="J117" s="18"/>
      <c r="K117" s="20" t="e">
        <f>-SUMIFS('TRA RESID'!$P:$P,'TRA RESID'!$I:$I,G117,'TRA RESID'!$J:$J,D117,'TRA RESID'!$H:$H,E117)/SUMIFS('TRA RESID'!$P:$P,'TRA RESID'!$I:$I,G117)*O117</f>
        <v>#DIV/0!</v>
      </c>
      <c r="L117" s="18"/>
      <c r="M117" s="18"/>
      <c r="O117" s="21">
        <v>0.5</v>
      </c>
      <c r="S117" s="15" t="str">
        <f>IF(S116="*",S116,"")</f>
        <v>*</v>
      </c>
      <c r="T117" s="17" t="str">
        <f t="shared" si="89"/>
        <v>*BEV*</v>
      </c>
      <c r="U117" s="17" t="str">
        <f t="shared" si="89"/>
        <v>TRABDS</v>
      </c>
      <c r="V117" s="17" t="str">
        <f t="shared" si="89"/>
        <v>TRAPASMOTDMD</v>
      </c>
      <c r="W117" s="17" t="str">
        <f t="shared" si="89"/>
        <v>TRAPASMOTDMD</v>
      </c>
      <c r="X117" s="18">
        <v>2030</v>
      </c>
      <c r="Y117" s="18" t="str">
        <f>Y116</f>
        <v>LO</v>
      </c>
      <c r="Z117" s="18"/>
      <c r="AA117" s="20" t="e">
        <f>-SUMIFS('TRA RESID'!$P:$P,'TRA RESID'!$I:$I,W117,'TRA RESID'!$J:$J,T117,'TRA RESID'!$H:$H,U117)/SUMIFS('TRA RESID'!$P:$P,'TRA RESID'!$I:$I,W117)*AE117</f>
        <v>#DIV/0!</v>
      </c>
      <c r="AB117" s="18"/>
      <c r="AC117" s="18"/>
      <c r="AE117" s="21">
        <v>1</v>
      </c>
      <c r="AG117" s="15" t="str">
        <f>IF(AG116="*",AG116,"")</f>
        <v>*</v>
      </c>
      <c r="AH117" s="17" t="str">
        <f t="shared" si="90"/>
        <v>*HEV*</v>
      </c>
      <c r="AI117" s="17" t="str">
        <f t="shared" si="90"/>
        <v>TRABDS</v>
      </c>
      <c r="AJ117" s="17" t="str">
        <f t="shared" si="90"/>
        <v>TRAPASMOTDMD</v>
      </c>
      <c r="AK117" s="17" t="str">
        <f t="shared" si="90"/>
        <v>TRAPASMOTDMD</v>
      </c>
      <c r="AL117" s="18">
        <v>2030</v>
      </c>
      <c r="AM117" s="18" t="str">
        <f>AM116</f>
        <v>LO</v>
      </c>
      <c r="AN117" s="18"/>
      <c r="AO117" s="20" t="e">
        <f>-SUMIFS('TRA RESID'!$P:$P,'TRA RESID'!$I:$I,AK117,'TRA RESID'!$J:$J,AH117,'TRA RESID'!$H:$H,AI117)/SUMIFS('TRA RESID'!$P:$P,'TRA RESID'!$I:$I,AK117)*AS117</f>
        <v>#DIV/0!</v>
      </c>
      <c r="AP117" s="18"/>
      <c r="AQ117" s="18"/>
      <c r="AS117" s="21">
        <v>0.5</v>
      </c>
      <c r="AU117" s="15" t="str">
        <f>IF(AU116="*",AU116,"")</f>
        <v>*</v>
      </c>
      <c r="AV117" s="17" t="str">
        <f t="shared" si="91"/>
        <v>*FCEV*</v>
      </c>
      <c r="AW117" s="17" t="str">
        <f t="shared" si="91"/>
        <v>TRABDS</v>
      </c>
      <c r="AX117" s="17" t="str">
        <f t="shared" si="91"/>
        <v>TRAPASMOTDMD</v>
      </c>
      <c r="AY117" s="17" t="str">
        <f t="shared" si="91"/>
        <v>TRAPASMOTDMD</v>
      </c>
      <c r="AZ117" s="18">
        <v>2030</v>
      </c>
      <c r="BA117" s="18" t="str">
        <f>BA116</f>
        <v>LO</v>
      </c>
      <c r="BB117" s="18"/>
      <c r="BC117" s="20" t="e">
        <f>-SUMIFS('TRA RESID'!$P:$P,'TRA RESID'!$I:$I,AY117,'TRA RESID'!$J:$J,AV117,'TRA RESID'!$H:$H,AW117)/SUMIFS('TRA RESID'!$P:$P,'TRA RESID'!$I:$I,AY117)*BG117</f>
        <v>#DIV/0!</v>
      </c>
      <c r="BD117" s="18"/>
      <c r="BE117" s="18"/>
      <c r="BG117" s="21">
        <v>0.5</v>
      </c>
    </row>
    <row r="118" spans="1:59" x14ac:dyDescent="0.25">
      <c r="C118" s="15" t="str">
        <f>IF(C117="*",C117,"")</f>
        <v>*</v>
      </c>
      <c r="D118" s="17" t="str">
        <f t="shared" si="88"/>
        <v>*ICEV*</v>
      </c>
      <c r="E118" s="17" t="str">
        <f t="shared" si="88"/>
        <v>TRABDS</v>
      </c>
      <c r="F118" s="17" t="str">
        <f t="shared" si="88"/>
        <v>TRAPASMOTDMD</v>
      </c>
      <c r="G118" s="17" t="str">
        <f t="shared" si="88"/>
        <v>TRAPASMOTDMD</v>
      </c>
      <c r="H118" s="18">
        <v>2040</v>
      </c>
      <c r="I118" s="18" t="str">
        <f>I117</f>
        <v>LO</v>
      </c>
      <c r="J118" s="18"/>
      <c r="K118" s="20" t="e">
        <f>-SUMIFS('TRA RESID'!$P:$P,'TRA RESID'!$I:$I,G118,'TRA RESID'!$J:$J,D118,'TRA RESID'!$H:$H,E118)/SUMIFS('TRA RESID'!$P:$P,'TRA RESID'!$I:$I,G118)*O118</f>
        <v>#DIV/0!</v>
      </c>
      <c r="L118" s="18"/>
      <c r="M118" s="18"/>
      <c r="O118" s="21">
        <v>0</v>
      </c>
      <c r="S118" s="15" t="str">
        <f>IF(S117="*",S117,"")</f>
        <v>*</v>
      </c>
      <c r="T118" s="17" t="str">
        <f t="shared" si="89"/>
        <v>*BEV*</v>
      </c>
      <c r="U118" s="17" t="str">
        <f t="shared" si="89"/>
        <v>TRABDS</v>
      </c>
      <c r="V118" s="17" t="str">
        <f t="shared" si="89"/>
        <v>TRAPASMOTDMD</v>
      </c>
      <c r="W118" s="17" t="str">
        <f t="shared" si="89"/>
        <v>TRAPASMOTDMD</v>
      </c>
      <c r="X118" s="18">
        <v>2040</v>
      </c>
      <c r="Y118" s="18" t="str">
        <f>Y117</f>
        <v>LO</v>
      </c>
      <c r="Z118" s="18"/>
      <c r="AA118" s="20" t="e">
        <f>-SUMIFS('TRA RESID'!$P:$P,'TRA RESID'!$I:$I,W118,'TRA RESID'!$J:$J,T118,'TRA RESID'!$H:$H,U118)/SUMIFS('TRA RESID'!$P:$P,'TRA RESID'!$I:$I,W118)*AE118</f>
        <v>#DIV/0!</v>
      </c>
      <c r="AB118" s="18"/>
      <c r="AC118" s="18"/>
      <c r="AE118" s="21">
        <v>1</v>
      </c>
      <c r="AG118" s="15" t="str">
        <f>IF(AG117="*",AG117,"")</f>
        <v>*</v>
      </c>
      <c r="AH118" s="17" t="str">
        <f t="shared" si="90"/>
        <v>*HEV*</v>
      </c>
      <c r="AI118" s="17" t="str">
        <f t="shared" si="90"/>
        <v>TRABDS</v>
      </c>
      <c r="AJ118" s="17" t="str">
        <f t="shared" si="90"/>
        <v>TRAPASMOTDMD</v>
      </c>
      <c r="AK118" s="17" t="str">
        <f t="shared" si="90"/>
        <v>TRAPASMOTDMD</v>
      </c>
      <c r="AL118" s="18">
        <v>2040</v>
      </c>
      <c r="AM118" s="18" t="str">
        <f>AM117</f>
        <v>LO</v>
      </c>
      <c r="AN118" s="18"/>
      <c r="AO118" s="20" t="e">
        <f>-SUMIFS('TRA RESID'!$P:$P,'TRA RESID'!$I:$I,AK118,'TRA RESID'!$J:$J,AH118,'TRA RESID'!$H:$H,AI118)/SUMIFS('TRA RESID'!$P:$P,'TRA RESID'!$I:$I,AK118)*AS118</f>
        <v>#DIV/0!</v>
      </c>
      <c r="AP118" s="18"/>
      <c r="AQ118" s="18"/>
      <c r="AS118" s="21">
        <v>0</v>
      </c>
      <c r="AU118" s="15" t="str">
        <f>IF(AU117="*",AU117,"")</f>
        <v>*</v>
      </c>
      <c r="AV118" s="17" t="str">
        <f t="shared" si="91"/>
        <v>*FCEV*</v>
      </c>
      <c r="AW118" s="17" t="str">
        <f t="shared" si="91"/>
        <v>TRABDS</v>
      </c>
      <c r="AX118" s="17" t="str">
        <f t="shared" si="91"/>
        <v>TRAPASMOTDMD</v>
      </c>
      <c r="AY118" s="17" t="str">
        <f t="shared" si="91"/>
        <v>TRAPASMOTDMD</v>
      </c>
      <c r="AZ118" s="18">
        <v>2040</v>
      </c>
      <c r="BA118" s="18" t="str">
        <f>BA117</f>
        <v>LO</v>
      </c>
      <c r="BB118" s="18"/>
      <c r="BC118" s="20" t="e">
        <f>-SUMIFS('TRA RESID'!$P:$P,'TRA RESID'!$I:$I,AY118,'TRA RESID'!$J:$J,AV118,'TRA RESID'!$H:$H,AW118)/SUMIFS('TRA RESID'!$P:$P,'TRA RESID'!$I:$I,AY118)*BG118</f>
        <v>#DIV/0!</v>
      </c>
      <c r="BD118" s="18"/>
      <c r="BE118" s="18"/>
      <c r="BG118" s="21">
        <v>0</v>
      </c>
    </row>
    <row r="119" spans="1:59" x14ac:dyDescent="0.25">
      <c r="C119" s="23" t="str">
        <f>IF(C118="*",C118,"")</f>
        <v>*</v>
      </c>
      <c r="D119" s="25" t="str">
        <f t="shared" si="88"/>
        <v>*ICEV*</v>
      </c>
      <c r="E119" s="25" t="str">
        <f t="shared" si="88"/>
        <v>TRABDS</v>
      </c>
      <c r="F119" s="25" t="str">
        <f t="shared" si="88"/>
        <v>TRAPASMOTDMD</v>
      </c>
      <c r="G119" s="25" t="str">
        <f t="shared" si="88"/>
        <v>TRAPASMOTDMD</v>
      </c>
      <c r="H119" s="26">
        <v>2050</v>
      </c>
      <c r="I119" s="26" t="str">
        <f>I117</f>
        <v>LO</v>
      </c>
      <c r="J119" s="26"/>
      <c r="K119" s="27" t="e">
        <f>-SUMIFS('TRA RESID'!$P:$P,'TRA RESID'!$I:$I,G119,'TRA RESID'!$J:$J,D119,'TRA RESID'!$H:$H,E119)/SUMIFS('TRA RESID'!$P:$P,'TRA RESID'!$I:$I,G119)*O119</f>
        <v>#DIV/0!</v>
      </c>
      <c r="L119" s="26"/>
      <c r="M119" s="26"/>
      <c r="O119" s="28">
        <v>0</v>
      </c>
      <c r="S119" s="23" t="str">
        <f>IF(S118="*",S118,"")</f>
        <v>*</v>
      </c>
      <c r="T119" s="25" t="str">
        <f t="shared" si="89"/>
        <v>*BEV*</v>
      </c>
      <c r="U119" s="25" t="str">
        <f t="shared" si="89"/>
        <v>TRABDS</v>
      </c>
      <c r="V119" s="25" t="str">
        <f t="shared" si="89"/>
        <v>TRAPASMOTDMD</v>
      </c>
      <c r="W119" s="25" t="str">
        <f t="shared" si="89"/>
        <v>TRAPASMOTDMD</v>
      </c>
      <c r="X119" s="26">
        <v>2050</v>
      </c>
      <c r="Y119" s="26" t="str">
        <f>Y117</f>
        <v>LO</v>
      </c>
      <c r="Z119" s="26"/>
      <c r="AA119" s="27" t="e">
        <f>-SUMIFS('TRA RESID'!$P:$P,'TRA RESID'!$I:$I,W119,'TRA RESID'!$J:$J,T119,'TRA RESID'!$H:$H,U119)/SUMIFS('TRA RESID'!$P:$P,'TRA RESID'!$I:$I,W119)*AE119</f>
        <v>#DIV/0!</v>
      </c>
      <c r="AB119" s="26"/>
      <c r="AC119" s="26"/>
      <c r="AE119" s="28">
        <v>1</v>
      </c>
      <c r="AG119" s="23" t="str">
        <f>IF(AG118="*",AG118,"")</f>
        <v>*</v>
      </c>
      <c r="AH119" s="25" t="str">
        <f t="shared" si="90"/>
        <v>*HEV*</v>
      </c>
      <c r="AI119" s="25" t="str">
        <f t="shared" si="90"/>
        <v>TRABDS</v>
      </c>
      <c r="AJ119" s="25" t="str">
        <f t="shared" si="90"/>
        <v>TRAPASMOTDMD</v>
      </c>
      <c r="AK119" s="25" t="str">
        <f t="shared" si="90"/>
        <v>TRAPASMOTDMD</v>
      </c>
      <c r="AL119" s="26">
        <v>2050</v>
      </c>
      <c r="AM119" s="26" t="str">
        <f>AM117</f>
        <v>LO</v>
      </c>
      <c r="AN119" s="26"/>
      <c r="AO119" s="27" t="e">
        <f>-SUMIFS('TRA RESID'!$P:$P,'TRA RESID'!$I:$I,AK119,'TRA RESID'!$J:$J,AH119,'TRA RESID'!$H:$H,AI119)/SUMIFS('TRA RESID'!$P:$P,'TRA RESID'!$I:$I,AK119)*AS119</f>
        <v>#DIV/0!</v>
      </c>
      <c r="AP119" s="26"/>
      <c r="AQ119" s="26"/>
      <c r="AS119" s="28">
        <v>0</v>
      </c>
      <c r="AU119" s="23" t="str">
        <f>IF(AU118="*",AU118,"")</f>
        <v>*</v>
      </c>
      <c r="AV119" s="25" t="str">
        <f t="shared" si="91"/>
        <v>*FCEV*</v>
      </c>
      <c r="AW119" s="25" t="str">
        <f t="shared" si="91"/>
        <v>TRABDS</v>
      </c>
      <c r="AX119" s="25" t="str">
        <f t="shared" si="91"/>
        <v>TRAPASMOTDMD</v>
      </c>
      <c r="AY119" s="25" t="str">
        <f t="shared" si="91"/>
        <v>TRAPASMOTDMD</v>
      </c>
      <c r="AZ119" s="26">
        <v>2050</v>
      </c>
      <c r="BA119" s="26" t="str">
        <f>BA117</f>
        <v>LO</v>
      </c>
      <c r="BB119" s="26"/>
      <c r="BC119" s="27" t="e">
        <f>-SUMIFS('TRA RESID'!$P:$P,'TRA RESID'!$I:$I,AY119,'TRA RESID'!$J:$J,AV119,'TRA RESID'!$H:$H,AW119)/SUMIFS('TRA RESID'!$P:$P,'TRA RESID'!$I:$I,AY119)*BG119</f>
        <v>#DIV/0!</v>
      </c>
      <c r="BD119" s="26"/>
      <c r="BE119" s="26"/>
      <c r="BG119" s="28">
        <v>0</v>
      </c>
    </row>
    <row r="120" spans="1:59" x14ac:dyDescent="0.25">
      <c r="A120">
        <f>A115+1</f>
        <v>24</v>
      </c>
      <c r="C120" s="15" t="str">
        <f>IF(E120="","",IF(_xlfn.XLOOKUP($A120,Selected_constraint!$A:$A,Selected_constraint!$D:$D)=1,"*",IF(SUMIFS('TRA TECH'!$M:$M,'TRA TECH'!$H:$H,E120,'TRA TECH'!$I:$I,F120)=0,"*",IF(SUMIFS('TRA RESID'!$P:$P,'TRA RESID'!$I:$I,G120,'TRA RESID'!$J:$J,D120,'TRA RESID'!$H:$H,E120)=0,"*","UC_"&amp;SUBSTITUTE(D120,"*","")&amp;"_"&amp;RIGHT(E120,3)&amp;"_"&amp;F120))))</f>
        <v>*</v>
      </c>
      <c r="D120" s="17" t="s">
        <v>485</v>
      </c>
      <c r="E120" s="17" t="str">
        <f>_xlfn.XLOOKUP($A120,Selected_constraint!$A:$A,Selected_constraint!$B:$B)</f>
        <v>TRACNG</v>
      </c>
      <c r="F120" s="17" t="str">
        <f>_xlfn.XLOOKUP($A120,Selected_constraint!$A:$A,Selected_constraint!$C:$C)</f>
        <v>TRAPASMOTDMD</v>
      </c>
      <c r="G120" s="17" t="str">
        <f>F120</f>
        <v>TRAPASMOTDMD</v>
      </c>
      <c r="H120" s="18">
        <v>2019</v>
      </c>
      <c r="I120" s="18" t="s">
        <v>483</v>
      </c>
      <c r="J120" s="18">
        <v>1</v>
      </c>
      <c r="K120" s="20" t="e">
        <f>-SUMIFS('TRA RESID'!$P:$P,'TRA RESID'!$I:$I,G120,'TRA RESID'!$J:$J,D120,'TRA RESID'!$H:$H,E120)/SUMIFS('TRA RESID'!$P:$P,'TRA RESID'!$I:$I,G120)*O120</f>
        <v>#DIV/0!</v>
      </c>
      <c r="L120" s="18">
        <v>0</v>
      </c>
      <c r="M120" s="18">
        <v>5</v>
      </c>
      <c r="O120" s="21">
        <v>0.98</v>
      </c>
      <c r="Q120">
        <f>Q115+1</f>
        <v>24</v>
      </c>
      <c r="S120" s="15" t="str">
        <f>IF(SUMIFS('TRA RESID'!$P:$P,'TRA RESID'!$I:$I,W120,'TRA RESID'!$J:$J,T120,'TRA RESID'!$H:$H,U120)=0,"*","UC_"&amp;SUBSTITUTE(T120,"*","")&amp;"_"&amp;RIGHT(U120,3)&amp;"_"&amp;V120)</f>
        <v>*</v>
      </c>
      <c r="T120" s="17" t="s">
        <v>486</v>
      </c>
      <c r="U120" s="17" t="str">
        <f>_xlfn.XLOOKUP($A120,Selected_constraint!$A:$A,Selected_constraint!$B:$B)</f>
        <v>TRACNG</v>
      </c>
      <c r="V120" s="17" t="str">
        <f>_xlfn.XLOOKUP($A120,Selected_constraint!$A:$A,Selected_constraint!$C:$C)</f>
        <v>TRAPASMOTDMD</v>
      </c>
      <c r="W120" s="17" t="str">
        <f>V120</f>
        <v>TRAPASMOTDMD</v>
      </c>
      <c r="X120" s="18">
        <v>2019</v>
      </c>
      <c r="Y120" s="18" t="s">
        <v>483</v>
      </c>
      <c r="Z120" s="18">
        <v>1</v>
      </c>
      <c r="AA120" s="20" t="e">
        <f>-SUMIFS('TRA RESID'!$P:$P,'TRA RESID'!$I:$I,W120,'TRA RESID'!$J:$J,T120,'TRA RESID'!$H:$H,U120)/SUMIFS('TRA RESID'!$P:$P,'TRA RESID'!$I:$I,W120)*AE120</f>
        <v>#DIV/0!</v>
      </c>
      <c r="AB120" s="18">
        <v>0</v>
      </c>
      <c r="AC120" s="18">
        <v>5</v>
      </c>
      <c r="AE120" s="21">
        <v>0.98</v>
      </c>
      <c r="AG120" s="15" t="str">
        <f>IF(SUMIFS('TRA RESID'!$P:$P,'TRA RESID'!$I:$I,AK120,'TRA RESID'!$J:$J,AH120,'TRA RESID'!$H:$H,AI120)=0,"*","UC_"&amp;SUBSTITUTE(AH120,"*","")&amp;"_"&amp;RIGHT(AI120,3)&amp;"_"&amp;AJ120)</f>
        <v>*</v>
      </c>
      <c r="AH120" s="17" t="s">
        <v>487</v>
      </c>
      <c r="AI120" s="17" t="str">
        <f>_xlfn.XLOOKUP($A120,Selected_constraint!$A:$A,Selected_constraint!$B:$B)</f>
        <v>TRACNG</v>
      </c>
      <c r="AJ120" s="17" t="str">
        <f>_xlfn.XLOOKUP($A120,Selected_constraint!$A:$A,Selected_constraint!$C:$C)</f>
        <v>TRAPASMOTDMD</v>
      </c>
      <c r="AK120" s="17" t="str">
        <f>AJ120</f>
        <v>TRAPASMOTDMD</v>
      </c>
      <c r="AL120" s="18">
        <v>2019</v>
      </c>
      <c r="AM120" s="18" t="s">
        <v>483</v>
      </c>
      <c r="AN120" s="18">
        <v>1</v>
      </c>
      <c r="AO120" s="20" t="e">
        <f>-SUMIFS('TRA RESID'!$P:$P,'TRA RESID'!$I:$I,AK120,'TRA RESID'!$J:$J,AH120,'TRA RESID'!$H:$H,AI120)/SUMIFS('TRA RESID'!$P:$P,'TRA RESID'!$I:$I,AK120)*AS120</f>
        <v>#DIV/0!</v>
      </c>
      <c r="AP120" s="18">
        <v>0</v>
      </c>
      <c r="AQ120" s="18">
        <v>5</v>
      </c>
      <c r="AS120" s="21">
        <v>0.98</v>
      </c>
      <c r="AU120" s="15" t="str">
        <f>IF(SUMIFS('TRA RESID'!$P:$P,'TRA RESID'!$I:$I,AY120,'TRA RESID'!$J:$J,AV120,'TRA RESID'!$H:$H,AW120)=0,"*","UC_"&amp;SUBSTITUTE(AV120,"*","")&amp;"_"&amp;RIGHT(AW120,3)&amp;"_"&amp;AX120)</f>
        <v>*</v>
      </c>
      <c r="AV120" s="17" t="s">
        <v>488</v>
      </c>
      <c r="AW120" s="17" t="str">
        <f>_xlfn.XLOOKUP($A120,Selected_constraint!$A:$A,Selected_constraint!$B:$B)</f>
        <v>TRACNG</v>
      </c>
      <c r="AX120" s="17" t="str">
        <f>_xlfn.XLOOKUP($A120,Selected_constraint!$A:$A,Selected_constraint!$C:$C)</f>
        <v>TRAPASMOTDMD</v>
      </c>
      <c r="AY120" s="17" t="str">
        <f>AX120</f>
        <v>TRAPASMOTDMD</v>
      </c>
      <c r="AZ120" s="18">
        <v>2019</v>
      </c>
      <c r="BA120" s="18" t="s">
        <v>483</v>
      </c>
      <c r="BB120" s="18">
        <v>1</v>
      </c>
      <c r="BC120" s="20" t="e">
        <f>-SUMIFS('TRA RESID'!$P:$P,'TRA RESID'!$I:$I,AY120,'TRA RESID'!$J:$J,AV120,'TRA RESID'!$H:$H,AW120)/SUMIFS('TRA RESID'!$P:$P,'TRA RESID'!$I:$I,AY120)*BG120</f>
        <v>#DIV/0!</v>
      </c>
      <c r="BD120" s="18">
        <v>0</v>
      </c>
      <c r="BE120" s="18">
        <v>5</v>
      </c>
      <c r="BG120" s="21">
        <v>0.98</v>
      </c>
    </row>
    <row r="121" spans="1:59" x14ac:dyDescent="0.25">
      <c r="C121" s="15" t="str">
        <f>IF(C120="*",C120,"")</f>
        <v>*</v>
      </c>
      <c r="D121" s="17" t="str">
        <f t="shared" ref="D121:G124" si="92">D120</f>
        <v>*ICEV*</v>
      </c>
      <c r="E121" s="17" t="str">
        <f t="shared" si="92"/>
        <v>TRACNG</v>
      </c>
      <c r="F121" s="17" t="str">
        <f t="shared" si="92"/>
        <v>TRAPASMOTDMD</v>
      </c>
      <c r="G121" s="17" t="str">
        <f t="shared" si="92"/>
        <v>TRAPASMOTDMD</v>
      </c>
      <c r="H121" s="18">
        <v>2025</v>
      </c>
      <c r="I121" s="18" t="str">
        <f>I120</f>
        <v>LO</v>
      </c>
      <c r="J121" s="18"/>
      <c r="K121" s="20" t="e">
        <f>-SUMIFS('TRA RESID'!$P:$P,'TRA RESID'!$I:$I,G121,'TRA RESID'!$J:$J,D121,'TRA RESID'!$H:$H,E121)/SUMIFS('TRA RESID'!$P:$P,'TRA RESID'!$I:$I,G121)*O121</f>
        <v>#DIV/0!</v>
      </c>
      <c r="L121" s="18"/>
      <c r="M121" s="18"/>
      <c r="O121" s="21">
        <v>0.8</v>
      </c>
      <c r="S121" s="15" t="str">
        <f>IF(S120="*",S120,"")</f>
        <v>*</v>
      </c>
      <c r="T121" s="17" t="str">
        <f t="shared" ref="T121:W124" si="93">T120</f>
        <v>*BEV*</v>
      </c>
      <c r="U121" s="17" t="str">
        <f t="shared" si="93"/>
        <v>TRACNG</v>
      </c>
      <c r="V121" s="17" t="str">
        <f t="shared" si="93"/>
        <v>TRAPASMOTDMD</v>
      </c>
      <c r="W121" s="17" t="str">
        <f t="shared" si="93"/>
        <v>TRAPASMOTDMD</v>
      </c>
      <c r="X121" s="18">
        <v>2025</v>
      </c>
      <c r="Y121" s="18" t="str">
        <f>Y120</f>
        <v>LO</v>
      </c>
      <c r="Z121" s="18"/>
      <c r="AA121" s="20" t="e">
        <f>-SUMIFS('TRA RESID'!$P:$P,'TRA RESID'!$I:$I,W121,'TRA RESID'!$J:$J,T121,'TRA RESID'!$H:$H,U121)/SUMIFS('TRA RESID'!$P:$P,'TRA RESID'!$I:$I,W121)*AE121</f>
        <v>#DIV/0!</v>
      </c>
      <c r="AB121" s="18"/>
      <c r="AC121" s="18"/>
      <c r="AE121" s="21">
        <v>1</v>
      </c>
      <c r="AG121" s="15" t="str">
        <f>IF(AG120="*",AG120,"")</f>
        <v>*</v>
      </c>
      <c r="AH121" s="17" t="str">
        <f t="shared" ref="AH121:AK124" si="94">AH120</f>
        <v>*HEV*</v>
      </c>
      <c r="AI121" s="17" t="str">
        <f t="shared" si="94"/>
        <v>TRACNG</v>
      </c>
      <c r="AJ121" s="17" t="str">
        <f t="shared" si="94"/>
        <v>TRAPASMOTDMD</v>
      </c>
      <c r="AK121" s="17" t="str">
        <f t="shared" si="94"/>
        <v>TRAPASMOTDMD</v>
      </c>
      <c r="AL121" s="18">
        <v>2025</v>
      </c>
      <c r="AM121" s="18" t="str">
        <f>AM120</f>
        <v>LO</v>
      </c>
      <c r="AN121" s="18"/>
      <c r="AO121" s="20" t="e">
        <f>-SUMIFS('TRA RESID'!$P:$P,'TRA RESID'!$I:$I,AK121,'TRA RESID'!$J:$J,AH121,'TRA RESID'!$H:$H,AI121)/SUMIFS('TRA RESID'!$P:$P,'TRA RESID'!$I:$I,AK121)*AS121</f>
        <v>#DIV/0!</v>
      </c>
      <c r="AP121" s="18"/>
      <c r="AQ121" s="18"/>
      <c r="AS121" s="21">
        <v>0.8</v>
      </c>
      <c r="AU121" s="15" t="str">
        <f>IF(AU120="*",AU120,"")</f>
        <v>*</v>
      </c>
      <c r="AV121" s="17" t="str">
        <f t="shared" ref="AV121:AY124" si="95">AV120</f>
        <v>*FCEV*</v>
      </c>
      <c r="AW121" s="17" t="str">
        <f t="shared" si="95"/>
        <v>TRACNG</v>
      </c>
      <c r="AX121" s="17" t="str">
        <f t="shared" si="95"/>
        <v>TRAPASMOTDMD</v>
      </c>
      <c r="AY121" s="17" t="str">
        <f t="shared" si="95"/>
        <v>TRAPASMOTDMD</v>
      </c>
      <c r="AZ121" s="18">
        <v>2025</v>
      </c>
      <c r="BA121" s="18" t="str">
        <f>BA120</f>
        <v>LO</v>
      </c>
      <c r="BB121" s="18"/>
      <c r="BC121" s="20" t="e">
        <f>-SUMIFS('TRA RESID'!$P:$P,'TRA RESID'!$I:$I,AY121,'TRA RESID'!$J:$J,AV121,'TRA RESID'!$H:$H,AW121)/SUMIFS('TRA RESID'!$P:$P,'TRA RESID'!$I:$I,AY121)*BG121</f>
        <v>#DIV/0!</v>
      </c>
      <c r="BD121" s="18"/>
      <c r="BE121" s="18"/>
      <c r="BG121" s="21">
        <v>0.8</v>
      </c>
    </row>
    <row r="122" spans="1:59" x14ac:dyDescent="0.25">
      <c r="C122" s="15" t="str">
        <f>IF(C121="*",C121,"")</f>
        <v>*</v>
      </c>
      <c r="D122" s="17" t="str">
        <f t="shared" si="92"/>
        <v>*ICEV*</v>
      </c>
      <c r="E122" s="17" t="str">
        <f t="shared" si="92"/>
        <v>TRACNG</v>
      </c>
      <c r="F122" s="17" t="str">
        <f t="shared" si="92"/>
        <v>TRAPASMOTDMD</v>
      </c>
      <c r="G122" s="17" t="str">
        <f t="shared" si="92"/>
        <v>TRAPASMOTDMD</v>
      </c>
      <c r="H122" s="18">
        <v>2030</v>
      </c>
      <c r="I122" s="18" t="str">
        <f>I121</f>
        <v>LO</v>
      </c>
      <c r="J122" s="18"/>
      <c r="K122" s="20" t="e">
        <f>-SUMIFS('TRA RESID'!$P:$P,'TRA RESID'!$I:$I,G122,'TRA RESID'!$J:$J,D122,'TRA RESID'!$H:$H,E122)/SUMIFS('TRA RESID'!$P:$P,'TRA RESID'!$I:$I,G122)*O122</f>
        <v>#DIV/0!</v>
      </c>
      <c r="L122" s="18"/>
      <c r="M122" s="18"/>
      <c r="O122" s="21">
        <v>0.5</v>
      </c>
      <c r="S122" s="15" t="str">
        <f>IF(S121="*",S121,"")</f>
        <v>*</v>
      </c>
      <c r="T122" s="17" t="str">
        <f t="shared" si="93"/>
        <v>*BEV*</v>
      </c>
      <c r="U122" s="17" t="str">
        <f t="shared" si="93"/>
        <v>TRACNG</v>
      </c>
      <c r="V122" s="17" t="str">
        <f t="shared" si="93"/>
        <v>TRAPASMOTDMD</v>
      </c>
      <c r="W122" s="17" t="str">
        <f t="shared" si="93"/>
        <v>TRAPASMOTDMD</v>
      </c>
      <c r="X122" s="18">
        <v>2030</v>
      </c>
      <c r="Y122" s="18" t="str">
        <f>Y121</f>
        <v>LO</v>
      </c>
      <c r="Z122" s="18"/>
      <c r="AA122" s="20" t="e">
        <f>-SUMIFS('TRA RESID'!$P:$P,'TRA RESID'!$I:$I,W122,'TRA RESID'!$J:$J,T122,'TRA RESID'!$H:$H,U122)/SUMIFS('TRA RESID'!$P:$P,'TRA RESID'!$I:$I,W122)*AE122</f>
        <v>#DIV/0!</v>
      </c>
      <c r="AB122" s="18"/>
      <c r="AC122" s="18"/>
      <c r="AE122" s="21">
        <v>1</v>
      </c>
      <c r="AG122" s="15" t="str">
        <f>IF(AG121="*",AG121,"")</f>
        <v>*</v>
      </c>
      <c r="AH122" s="17" t="str">
        <f t="shared" si="94"/>
        <v>*HEV*</v>
      </c>
      <c r="AI122" s="17" t="str">
        <f t="shared" si="94"/>
        <v>TRACNG</v>
      </c>
      <c r="AJ122" s="17" t="str">
        <f t="shared" si="94"/>
        <v>TRAPASMOTDMD</v>
      </c>
      <c r="AK122" s="17" t="str">
        <f t="shared" si="94"/>
        <v>TRAPASMOTDMD</v>
      </c>
      <c r="AL122" s="18">
        <v>2030</v>
      </c>
      <c r="AM122" s="18" t="str">
        <f>AM121</f>
        <v>LO</v>
      </c>
      <c r="AN122" s="18"/>
      <c r="AO122" s="20" t="e">
        <f>-SUMIFS('TRA RESID'!$P:$P,'TRA RESID'!$I:$I,AK122,'TRA RESID'!$J:$J,AH122,'TRA RESID'!$H:$H,AI122)/SUMIFS('TRA RESID'!$P:$P,'TRA RESID'!$I:$I,AK122)*AS122</f>
        <v>#DIV/0!</v>
      </c>
      <c r="AP122" s="18"/>
      <c r="AQ122" s="18"/>
      <c r="AS122" s="21">
        <v>0.5</v>
      </c>
      <c r="AU122" s="15" t="str">
        <f>IF(AU121="*",AU121,"")</f>
        <v>*</v>
      </c>
      <c r="AV122" s="17" t="str">
        <f t="shared" si="95"/>
        <v>*FCEV*</v>
      </c>
      <c r="AW122" s="17" t="str">
        <f t="shared" si="95"/>
        <v>TRACNG</v>
      </c>
      <c r="AX122" s="17" t="str">
        <f t="shared" si="95"/>
        <v>TRAPASMOTDMD</v>
      </c>
      <c r="AY122" s="17" t="str">
        <f t="shared" si="95"/>
        <v>TRAPASMOTDMD</v>
      </c>
      <c r="AZ122" s="18">
        <v>2030</v>
      </c>
      <c r="BA122" s="18" t="str">
        <f>BA121</f>
        <v>LO</v>
      </c>
      <c r="BB122" s="18"/>
      <c r="BC122" s="20" t="e">
        <f>-SUMIFS('TRA RESID'!$P:$P,'TRA RESID'!$I:$I,AY122,'TRA RESID'!$J:$J,AV122,'TRA RESID'!$H:$H,AW122)/SUMIFS('TRA RESID'!$P:$P,'TRA RESID'!$I:$I,AY122)*BG122</f>
        <v>#DIV/0!</v>
      </c>
      <c r="BD122" s="18"/>
      <c r="BE122" s="18"/>
      <c r="BG122" s="21">
        <v>0.5</v>
      </c>
    </row>
    <row r="123" spans="1:59" x14ac:dyDescent="0.25">
      <c r="C123" s="15" t="str">
        <f>IF(C122="*",C122,"")</f>
        <v>*</v>
      </c>
      <c r="D123" s="17" t="str">
        <f t="shared" si="92"/>
        <v>*ICEV*</v>
      </c>
      <c r="E123" s="17" t="str">
        <f t="shared" si="92"/>
        <v>TRACNG</v>
      </c>
      <c r="F123" s="17" t="str">
        <f t="shared" si="92"/>
        <v>TRAPASMOTDMD</v>
      </c>
      <c r="G123" s="17" t="str">
        <f t="shared" si="92"/>
        <v>TRAPASMOTDMD</v>
      </c>
      <c r="H123" s="18">
        <v>2040</v>
      </c>
      <c r="I123" s="18" t="str">
        <f>I122</f>
        <v>LO</v>
      </c>
      <c r="J123" s="18"/>
      <c r="K123" s="20" t="e">
        <f>-SUMIFS('TRA RESID'!$P:$P,'TRA RESID'!$I:$I,G123,'TRA RESID'!$J:$J,D123,'TRA RESID'!$H:$H,E123)/SUMIFS('TRA RESID'!$P:$P,'TRA RESID'!$I:$I,G123)*O123</f>
        <v>#DIV/0!</v>
      </c>
      <c r="L123" s="18"/>
      <c r="M123" s="18"/>
      <c r="O123" s="21">
        <v>0</v>
      </c>
      <c r="S123" s="15" t="str">
        <f>IF(S122="*",S122,"")</f>
        <v>*</v>
      </c>
      <c r="T123" s="17" t="str">
        <f t="shared" si="93"/>
        <v>*BEV*</v>
      </c>
      <c r="U123" s="17" t="str">
        <f t="shared" si="93"/>
        <v>TRACNG</v>
      </c>
      <c r="V123" s="17" t="str">
        <f t="shared" si="93"/>
        <v>TRAPASMOTDMD</v>
      </c>
      <c r="W123" s="17" t="str">
        <f t="shared" si="93"/>
        <v>TRAPASMOTDMD</v>
      </c>
      <c r="X123" s="18">
        <v>2040</v>
      </c>
      <c r="Y123" s="18" t="str">
        <f>Y122</f>
        <v>LO</v>
      </c>
      <c r="Z123" s="18"/>
      <c r="AA123" s="20" t="e">
        <f>-SUMIFS('TRA RESID'!$P:$P,'TRA RESID'!$I:$I,W123,'TRA RESID'!$J:$J,T123,'TRA RESID'!$H:$H,U123)/SUMIFS('TRA RESID'!$P:$P,'TRA RESID'!$I:$I,W123)*AE123</f>
        <v>#DIV/0!</v>
      </c>
      <c r="AB123" s="18"/>
      <c r="AC123" s="18"/>
      <c r="AE123" s="21">
        <v>1</v>
      </c>
      <c r="AG123" s="15" t="str">
        <f>IF(AG122="*",AG122,"")</f>
        <v>*</v>
      </c>
      <c r="AH123" s="17" t="str">
        <f t="shared" si="94"/>
        <v>*HEV*</v>
      </c>
      <c r="AI123" s="17" t="str">
        <f t="shared" si="94"/>
        <v>TRACNG</v>
      </c>
      <c r="AJ123" s="17" t="str">
        <f t="shared" si="94"/>
        <v>TRAPASMOTDMD</v>
      </c>
      <c r="AK123" s="17" t="str">
        <f t="shared" si="94"/>
        <v>TRAPASMOTDMD</v>
      </c>
      <c r="AL123" s="18">
        <v>2040</v>
      </c>
      <c r="AM123" s="18" t="str">
        <f>AM122</f>
        <v>LO</v>
      </c>
      <c r="AN123" s="18"/>
      <c r="AO123" s="20" t="e">
        <f>-SUMIFS('TRA RESID'!$P:$P,'TRA RESID'!$I:$I,AK123,'TRA RESID'!$J:$J,AH123,'TRA RESID'!$H:$H,AI123)/SUMIFS('TRA RESID'!$P:$P,'TRA RESID'!$I:$I,AK123)*AS123</f>
        <v>#DIV/0!</v>
      </c>
      <c r="AP123" s="18"/>
      <c r="AQ123" s="18"/>
      <c r="AS123" s="21">
        <v>0</v>
      </c>
      <c r="AU123" s="15" t="str">
        <f>IF(AU122="*",AU122,"")</f>
        <v>*</v>
      </c>
      <c r="AV123" s="17" t="str">
        <f t="shared" si="95"/>
        <v>*FCEV*</v>
      </c>
      <c r="AW123" s="17" t="str">
        <f t="shared" si="95"/>
        <v>TRACNG</v>
      </c>
      <c r="AX123" s="17" t="str">
        <f t="shared" si="95"/>
        <v>TRAPASMOTDMD</v>
      </c>
      <c r="AY123" s="17" t="str">
        <f t="shared" si="95"/>
        <v>TRAPASMOTDMD</v>
      </c>
      <c r="AZ123" s="18">
        <v>2040</v>
      </c>
      <c r="BA123" s="18" t="str">
        <f>BA122</f>
        <v>LO</v>
      </c>
      <c r="BB123" s="18"/>
      <c r="BC123" s="20" t="e">
        <f>-SUMIFS('TRA RESID'!$P:$P,'TRA RESID'!$I:$I,AY123,'TRA RESID'!$J:$J,AV123,'TRA RESID'!$H:$H,AW123)/SUMIFS('TRA RESID'!$P:$P,'TRA RESID'!$I:$I,AY123)*BG123</f>
        <v>#DIV/0!</v>
      </c>
      <c r="BD123" s="18"/>
      <c r="BE123" s="18"/>
      <c r="BG123" s="21">
        <v>0</v>
      </c>
    </row>
    <row r="124" spans="1:59" x14ac:dyDescent="0.25">
      <c r="C124" s="23" t="str">
        <f>IF(C123="*",C123,"")</f>
        <v>*</v>
      </c>
      <c r="D124" s="25" t="str">
        <f t="shared" si="92"/>
        <v>*ICEV*</v>
      </c>
      <c r="E124" s="25" t="str">
        <f t="shared" si="92"/>
        <v>TRACNG</v>
      </c>
      <c r="F124" s="25" t="str">
        <f t="shared" si="92"/>
        <v>TRAPASMOTDMD</v>
      </c>
      <c r="G124" s="25" t="str">
        <f t="shared" si="92"/>
        <v>TRAPASMOTDMD</v>
      </c>
      <c r="H124" s="26">
        <v>2050</v>
      </c>
      <c r="I124" s="26" t="str">
        <f>I122</f>
        <v>LO</v>
      </c>
      <c r="J124" s="26"/>
      <c r="K124" s="27" t="e">
        <f>-SUMIFS('TRA RESID'!$P:$P,'TRA RESID'!$I:$I,G124,'TRA RESID'!$J:$J,D124,'TRA RESID'!$H:$H,E124)/SUMIFS('TRA RESID'!$P:$P,'TRA RESID'!$I:$I,G124)*O124</f>
        <v>#DIV/0!</v>
      </c>
      <c r="L124" s="26"/>
      <c r="M124" s="26"/>
      <c r="O124" s="28">
        <v>0</v>
      </c>
      <c r="S124" s="23" t="str">
        <f>IF(S123="*",S123,"")</f>
        <v>*</v>
      </c>
      <c r="T124" s="25" t="str">
        <f t="shared" si="93"/>
        <v>*BEV*</v>
      </c>
      <c r="U124" s="25" t="str">
        <f t="shared" si="93"/>
        <v>TRACNG</v>
      </c>
      <c r="V124" s="25" t="str">
        <f t="shared" si="93"/>
        <v>TRAPASMOTDMD</v>
      </c>
      <c r="W124" s="25" t="str">
        <f t="shared" si="93"/>
        <v>TRAPASMOTDMD</v>
      </c>
      <c r="X124" s="26">
        <v>2050</v>
      </c>
      <c r="Y124" s="26" t="str">
        <f>Y122</f>
        <v>LO</v>
      </c>
      <c r="Z124" s="26"/>
      <c r="AA124" s="27" t="e">
        <f>-SUMIFS('TRA RESID'!$P:$P,'TRA RESID'!$I:$I,W124,'TRA RESID'!$J:$J,T124,'TRA RESID'!$H:$H,U124)/SUMIFS('TRA RESID'!$P:$P,'TRA RESID'!$I:$I,W124)*AE124</f>
        <v>#DIV/0!</v>
      </c>
      <c r="AB124" s="26"/>
      <c r="AC124" s="26"/>
      <c r="AE124" s="28">
        <v>1</v>
      </c>
      <c r="AG124" s="23" t="str">
        <f>IF(AG123="*",AG123,"")</f>
        <v>*</v>
      </c>
      <c r="AH124" s="25" t="str">
        <f t="shared" si="94"/>
        <v>*HEV*</v>
      </c>
      <c r="AI124" s="25" t="str">
        <f t="shared" si="94"/>
        <v>TRACNG</v>
      </c>
      <c r="AJ124" s="25" t="str">
        <f t="shared" si="94"/>
        <v>TRAPASMOTDMD</v>
      </c>
      <c r="AK124" s="25" t="str">
        <f t="shared" si="94"/>
        <v>TRAPASMOTDMD</v>
      </c>
      <c r="AL124" s="26">
        <v>2050</v>
      </c>
      <c r="AM124" s="26" t="str">
        <f>AM122</f>
        <v>LO</v>
      </c>
      <c r="AN124" s="26"/>
      <c r="AO124" s="27" t="e">
        <f>-SUMIFS('TRA RESID'!$P:$P,'TRA RESID'!$I:$I,AK124,'TRA RESID'!$J:$J,AH124,'TRA RESID'!$H:$H,AI124)/SUMIFS('TRA RESID'!$P:$P,'TRA RESID'!$I:$I,AK124)*AS124</f>
        <v>#DIV/0!</v>
      </c>
      <c r="AP124" s="26"/>
      <c r="AQ124" s="26"/>
      <c r="AS124" s="28">
        <v>0</v>
      </c>
      <c r="AU124" s="23" t="str">
        <f>IF(AU123="*",AU123,"")</f>
        <v>*</v>
      </c>
      <c r="AV124" s="25" t="str">
        <f t="shared" si="95"/>
        <v>*FCEV*</v>
      </c>
      <c r="AW124" s="25" t="str">
        <f t="shared" si="95"/>
        <v>TRACNG</v>
      </c>
      <c r="AX124" s="25" t="str">
        <f t="shared" si="95"/>
        <v>TRAPASMOTDMD</v>
      </c>
      <c r="AY124" s="25" t="str">
        <f t="shared" si="95"/>
        <v>TRAPASMOTDMD</v>
      </c>
      <c r="AZ124" s="26">
        <v>2050</v>
      </c>
      <c r="BA124" s="26" t="str">
        <f>BA122</f>
        <v>LO</v>
      </c>
      <c r="BB124" s="26"/>
      <c r="BC124" s="27" t="e">
        <f>-SUMIFS('TRA RESID'!$P:$P,'TRA RESID'!$I:$I,AY124,'TRA RESID'!$J:$J,AV124,'TRA RESID'!$H:$H,AW124)/SUMIFS('TRA RESID'!$P:$P,'TRA RESID'!$I:$I,AY124)*BG124</f>
        <v>#DIV/0!</v>
      </c>
      <c r="BD124" s="26"/>
      <c r="BE124" s="26"/>
      <c r="BG124" s="28">
        <v>0</v>
      </c>
    </row>
    <row r="125" spans="1:59" x14ac:dyDescent="0.25">
      <c r="A125">
        <f>A120+1</f>
        <v>25</v>
      </c>
      <c r="C125" s="15" t="str">
        <f>IF(E125="","",IF(_xlfn.XLOOKUP($A125,Selected_constraint!$A:$A,Selected_constraint!$D:$D)=1,"*",IF(SUMIFS('TRA TECH'!$M:$M,'TRA TECH'!$H:$H,E125,'TRA TECH'!$I:$I,F125)=0,"*",IF(SUMIFS('TRA RESID'!$P:$P,'TRA RESID'!$I:$I,G125,'TRA RESID'!$J:$J,D125,'TRA RESID'!$H:$H,E125)=0,"*","UC_"&amp;SUBSTITUTE(D125,"*","")&amp;"_"&amp;RIGHT(E125,3)&amp;"_"&amp;F125))))</f>
        <v>*</v>
      </c>
      <c r="D125" s="17" t="s">
        <v>485</v>
      </c>
      <c r="E125" s="17" t="str">
        <f>_xlfn.XLOOKUP($A125,Selected_constraint!$A:$A,Selected_constraint!$B:$B)</f>
        <v>TRARNG</v>
      </c>
      <c r="F125" s="17" t="str">
        <f>_xlfn.XLOOKUP($A125,Selected_constraint!$A:$A,Selected_constraint!$C:$C)</f>
        <v>TRAPASMOTDMD</v>
      </c>
      <c r="G125" s="17" t="str">
        <f>F125</f>
        <v>TRAPASMOTDMD</v>
      </c>
      <c r="H125" s="18">
        <v>2019</v>
      </c>
      <c r="I125" s="18" t="s">
        <v>483</v>
      </c>
      <c r="J125" s="18">
        <v>1</v>
      </c>
      <c r="K125" s="20" t="e">
        <f>-SUMIFS('TRA RESID'!$P:$P,'TRA RESID'!$I:$I,G125,'TRA RESID'!$J:$J,D125,'TRA RESID'!$H:$H,E125)/SUMIFS('TRA RESID'!$P:$P,'TRA RESID'!$I:$I,G125)*O125</f>
        <v>#DIV/0!</v>
      </c>
      <c r="L125" s="18">
        <v>0</v>
      </c>
      <c r="M125" s="18">
        <v>5</v>
      </c>
      <c r="O125" s="21">
        <v>0.98</v>
      </c>
      <c r="Q125">
        <f>Q120+1</f>
        <v>25</v>
      </c>
      <c r="S125" s="15" t="str">
        <f>IF(SUMIFS('TRA RESID'!$P:$P,'TRA RESID'!$I:$I,W125,'TRA RESID'!$J:$J,T125,'TRA RESID'!$H:$H,U125)=0,"*","UC_"&amp;SUBSTITUTE(T125,"*","")&amp;"_"&amp;RIGHT(U125,3)&amp;"_"&amp;V125)</f>
        <v>*</v>
      </c>
      <c r="T125" s="17" t="s">
        <v>486</v>
      </c>
      <c r="U125" s="17" t="str">
        <f>_xlfn.XLOOKUP($A125,Selected_constraint!$A:$A,Selected_constraint!$B:$B)</f>
        <v>TRARNG</v>
      </c>
      <c r="V125" s="17" t="str">
        <f>_xlfn.XLOOKUP($A125,Selected_constraint!$A:$A,Selected_constraint!$C:$C)</f>
        <v>TRAPASMOTDMD</v>
      </c>
      <c r="W125" s="17" t="str">
        <f>V125</f>
        <v>TRAPASMOTDMD</v>
      </c>
      <c r="X125" s="18">
        <v>2019</v>
      </c>
      <c r="Y125" s="18" t="s">
        <v>483</v>
      </c>
      <c r="Z125" s="18">
        <v>1</v>
      </c>
      <c r="AA125" s="20" t="e">
        <f>-SUMIFS('TRA RESID'!$P:$P,'TRA RESID'!$I:$I,W125,'TRA RESID'!$J:$J,T125,'TRA RESID'!$H:$H,U125)/SUMIFS('TRA RESID'!$P:$P,'TRA RESID'!$I:$I,W125)*AE125</f>
        <v>#DIV/0!</v>
      </c>
      <c r="AB125" s="18">
        <v>0</v>
      </c>
      <c r="AC125" s="18">
        <v>5</v>
      </c>
      <c r="AE125" s="21">
        <v>0.98</v>
      </c>
      <c r="AG125" s="15" t="str">
        <f>IF(SUMIFS('TRA RESID'!$P:$P,'TRA RESID'!$I:$I,AK125,'TRA RESID'!$J:$J,AH125,'TRA RESID'!$H:$H,AI125)=0,"*","UC_"&amp;SUBSTITUTE(AH125,"*","")&amp;"_"&amp;RIGHT(AI125,3)&amp;"_"&amp;AJ125)</f>
        <v>*</v>
      </c>
      <c r="AH125" s="17" t="s">
        <v>487</v>
      </c>
      <c r="AI125" s="17" t="str">
        <f>_xlfn.XLOOKUP($A125,Selected_constraint!$A:$A,Selected_constraint!$B:$B)</f>
        <v>TRARNG</v>
      </c>
      <c r="AJ125" s="17" t="str">
        <f>_xlfn.XLOOKUP($A125,Selected_constraint!$A:$A,Selected_constraint!$C:$C)</f>
        <v>TRAPASMOTDMD</v>
      </c>
      <c r="AK125" s="17" t="str">
        <f>AJ125</f>
        <v>TRAPASMOTDMD</v>
      </c>
      <c r="AL125" s="18">
        <v>2019</v>
      </c>
      <c r="AM125" s="18" t="s">
        <v>483</v>
      </c>
      <c r="AN125" s="18">
        <v>1</v>
      </c>
      <c r="AO125" s="20" t="e">
        <f>-SUMIFS('TRA RESID'!$P:$P,'TRA RESID'!$I:$I,AK125,'TRA RESID'!$J:$J,AH125,'TRA RESID'!$H:$H,AI125)/SUMIFS('TRA RESID'!$P:$P,'TRA RESID'!$I:$I,AK125)*AS125</f>
        <v>#DIV/0!</v>
      </c>
      <c r="AP125" s="18">
        <v>0</v>
      </c>
      <c r="AQ125" s="18">
        <v>5</v>
      </c>
      <c r="AS125" s="21">
        <v>0.98</v>
      </c>
      <c r="AU125" s="15" t="str">
        <f>IF(SUMIFS('TRA RESID'!$P:$P,'TRA RESID'!$I:$I,AY125,'TRA RESID'!$J:$J,AV125,'TRA RESID'!$H:$H,AW125)=0,"*","UC_"&amp;SUBSTITUTE(AV125,"*","")&amp;"_"&amp;RIGHT(AW125,3)&amp;"_"&amp;AX125)</f>
        <v>*</v>
      </c>
      <c r="AV125" s="17" t="s">
        <v>488</v>
      </c>
      <c r="AW125" s="17" t="str">
        <f>_xlfn.XLOOKUP($A125,Selected_constraint!$A:$A,Selected_constraint!$B:$B)</f>
        <v>TRARNG</v>
      </c>
      <c r="AX125" s="17" t="str">
        <f>_xlfn.XLOOKUP($A125,Selected_constraint!$A:$A,Selected_constraint!$C:$C)</f>
        <v>TRAPASMOTDMD</v>
      </c>
      <c r="AY125" s="17" t="str">
        <f>AX125</f>
        <v>TRAPASMOTDMD</v>
      </c>
      <c r="AZ125" s="18">
        <v>2019</v>
      </c>
      <c r="BA125" s="18" t="s">
        <v>483</v>
      </c>
      <c r="BB125" s="18">
        <v>1</v>
      </c>
      <c r="BC125" s="20" t="e">
        <f>-SUMIFS('TRA RESID'!$P:$P,'TRA RESID'!$I:$I,AY125,'TRA RESID'!$J:$J,AV125,'TRA RESID'!$H:$H,AW125)/SUMIFS('TRA RESID'!$P:$P,'TRA RESID'!$I:$I,AY125)*BG125</f>
        <v>#DIV/0!</v>
      </c>
      <c r="BD125" s="18">
        <v>0</v>
      </c>
      <c r="BE125" s="18">
        <v>5</v>
      </c>
      <c r="BG125" s="21">
        <v>0.98</v>
      </c>
    </row>
    <row r="126" spans="1:59" x14ac:dyDescent="0.25">
      <c r="C126" s="15" t="str">
        <f>IF(C125="*",C125,"")</f>
        <v>*</v>
      </c>
      <c r="D126" s="17" t="str">
        <f t="shared" ref="D126:G129" si="96">D125</f>
        <v>*ICEV*</v>
      </c>
      <c r="E126" s="17" t="str">
        <f t="shared" si="96"/>
        <v>TRARNG</v>
      </c>
      <c r="F126" s="17" t="str">
        <f t="shared" si="96"/>
        <v>TRAPASMOTDMD</v>
      </c>
      <c r="G126" s="17" t="str">
        <f t="shared" si="96"/>
        <v>TRAPASMOTDMD</v>
      </c>
      <c r="H126" s="18">
        <v>2025</v>
      </c>
      <c r="I126" s="18" t="str">
        <f>I125</f>
        <v>LO</v>
      </c>
      <c r="J126" s="18"/>
      <c r="K126" s="20" t="e">
        <f>-SUMIFS('TRA RESID'!$P:$P,'TRA RESID'!$I:$I,G126,'TRA RESID'!$J:$J,D126,'TRA RESID'!$H:$H,E126)/SUMIFS('TRA RESID'!$P:$P,'TRA RESID'!$I:$I,G126)*O126</f>
        <v>#DIV/0!</v>
      </c>
      <c r="L126" s="18"/>
      <c r="M126" s="18"/>
      <c r="O126" s="21">
        <v>0.8</v>
      </c>
      <c r="S126" s="15" t="str">
        <f>IF(S125="*",S125,"")</f>
        <v>*</v>
      </c>
      <c r="T126" s="17" t="str">
        <f t="shared" ref="T126:W129" si="97">T125</f>
        <v>*BEV*</v>
      </c>
      <c r="U126" s="17" t="str">
        <f t="shared" si="97"/>
        <v>TRARNG</v>
      </c>
      <c r="V126" s="17" t="str">
        <f t="shared" si="97"/>
        <v>TRAPASMOTDMD</v>
      </c>
      <c r="W126" s="17" t="str">
        <f t="shared" si="97"/>
        <v>TRAPASMOTDMD</v>
      </c>
      <c r="X126" s="18">
        <v>2025</v>
      </c>
      <c r="Y126" s="18" t="str">
        <f>Y125</f>
        <v>LO</v>
      </c>
      <c r="Z126" s="18"/>
      <c r="AA126" s="20" t="e">
        <f>-SUMIFS('TRA RESID'!$P:$P,'TRA RESID'!$I:$I,W126,'TRA RESID'!$J:$J,T126,'TRA RESID'!$H:$H,U126)/SUMIFS('TRA RESID'!$P:$P,'TRA RESID'!$I:$I,W126)*AE126</f>
        <v>#DIV/0!</v>
      </c>
      <c r="AB126" s="18"/>
      <c r="AC126" s="18"/>
      <c r="AE126" s="21">
        <v>1</v>
      </c>
      <c r="AG126" s="15" t="str">
        <f>IF(AG125="*",AG125,"")</f>
        <v>*</v>
      </c>
      <c r="AH126" s="17" t="str">
        <f t="shared" ref="AH126:AK129" si="98">AH125</f>
        <v>*HEV*</v>
      </c>
      <c r="AI126" s="17" t="str">
        <f t="shared" si="98"/>
        <v>TRARNG</v>
      </c>
      <c r="AJ126" s="17" t="str">
        <f t="shared" si="98"/>
        <v>TRAPASMOTDMD</v>
      </c>
      <c r="AK126" s="17" t="str">
        <f t="shared" si="98"/>
        <v>TRAPASMOTDMD</v>
      </c>
      <c r="AL126" s="18">
        <v>2025</v>
      </c>
      <c r="AM126" s="18" t="str">
        <f>AM125</f>
        <v>LO</v>
      </c>
      <c r="AN126" s="18"/>
      <c r="AO126" s="20" t="e">
        <f>-SUMIFS('TRA RESID'!$P:$P,'TRA RESID'!$I:$I,AK126,'TRA RESID'!$J:$J,AH126,'TRA RESID'!$H:$H,AI126)/SUMIFS('TRA RESID'!$P:$P,'TRA RESID'!$I:$I,AK126)*AS126</f>
        <v>#DIV/0!</v>
      </c>
      <c r="AP126" s="18"/>
      <c r="AQ126" s="18"/>
      <c r="AS126" s="21">
        <v>0.8</v>
      </c>
      <c r="AU126" s="15" t="str">
        <f>IF(AU125="*",AU125,"")</f>
        <v>*</v>
      </c>
      <c r="AV126" s="17" t="str">
        <f t="shared" ref="AV126:AY129" si="99">AV125</f>
        <v>*FCEV*</v>
      </c>
      <c r="AW126" s="17" t="str">
        <f t="shared" si="99"/>
        <v>TRARNG</v>
      </c>
      <c r="AX126" s="17" t="str">
        <f t="shared" si="99"/>
        <v>TRAPASMOTDMD</v>
      </c>
      <c r="AY126" s="17" t="str">
        <f t="shared" si="99"/>
        <v>TRAPASMOTDMD</v>
      </c>
      <c r="AZ126" s="18">
        <v>2025</v>
      </c>
      <c r="BA126" s="18" t="str">
        <f>BA125</f>
        <v>LO</v>
      </c>
      <c r="BB126" s="18"/>
      <c r="BC126" s="20" t="e">
        <f>-SUMIFS('TRA RESID'!$P:$P,'TRA RESID'!$I:$I,AY126,'TRA RESID'!$J:$J,AV126,'TRA RESID'!$H:$H,AW126)/SUMIFS('TRA RESID'!$P:$P,'TRA RESID'!$I:$I,AY126)*BG126</f>
        <v>#DIV/0!</v>
      </c>
      <c r="BD126" s="18"/>
      <c r="BE126" s="18"/>
      <c r="BG126" s="21">
        <v>0.8</v>
      </c>
    </row>
    <row r="127" spans="1:59" x14ac:dyDescent="0.25">
      <c r="C127" s="15" t="str">
        <f>IF(C126="*",C126,"")</f>
        <v>*</v>
      </c>
      <c r="D127" s="17" t="str">
        <f t="shared" si="96"/>
        <v>*ICEV*</v>
      </c>
      <c r="E127" s="17" t="str">
        <f t="shared" si="96"/>
        <v>TRARNG</v>
      </c>
      <c r="F127" s="17" t="str">
        <f t="shared" si="96"/>
        <v>TRAPASMOTDMD</v>
      </c>
      <c r="G127" s="17" t="str">
        <f t="shared" si="96"/>
        <v>TRAPASMOTDMD</v>
      </c>
      <c r="H127" s="18">
        <v>2030</v>
      </c>
      <c r="I127" s="18" t="str">
        <f>I126</f>
        <v>LO</v>
      </c>
      <c r="J127" s="18"/>
      <c r="K127" s="20" t="e">
        <f>-SUMIFS('TRA RESID'!$P:$P,'TRA RESID'!$I:$I,G127,'TRA RESID'!$J:$J,D127,'TRA RESID'!$H:$H,E127)/SUMIFS('TRA RESID'!$P:$P,'TRA RESID'!$I:$I,G127)*O127</f>
        <v>#DIV/0!</v>
      </c>
      <c r="L127" s="18"/>
      <c r="M127" s="18"/>
      <c r="O127" s="21">
        <v>0.5</v>
      </c>
      <c r="S127" s="15" t="str">
        <f>IF(S126="*",S126,"")</f>
        <v>*</v>
      </c>
      <c r="T127" s="17" t="str">
        <f t="shared" si="97"/>
        <v>*BEV*</v>
      </c>
      <c r="U127" s="17" t="str">
        <f t="shared" si="97"/>
        <v>TRARNG</v>
      </c>
      <c r="V127" s="17" t="str">
        <f t="shared" si="97"/>
        <v>TRAPASMOTDMD</v>
      </c>
      <c r="W127" s="17" t="str">
        <f t="shared" si="97"/>
        <v>TRAPASMOTDMD</v>
      </c>
      <c r="X127" s="18">
        <v>2030</v>
      </c>
      <c r="Y127" s="18" t="str">
        <f>Y126</f>
        <v>LO</v>
      </c>
      <c r="Z127" s="18"/>
      <c r="AA127" s="20" t="e">
        <f>-SUMIFS('TRA RESID'!$P:$P,'TRA RESID'!$I:$I,W127,'TRA RESID'!$J:$J,T127,'TRA RESID'!$H:$H,U127)/SUMIFS('TRA RESID'!$P:$P,'TRA RESID'!$I:$I,W127)*AE127</f>
        <v>#DIV/0!</v>
      </c>
      <c r="AB127" s="18"/>
      <c r="AC127" s="18"/>
      <c r="AE127" s="21">
        <v>1</v>
      </c>
      <c r="AG127" s="15" t="str">
        <f>IF(AG126="*",AG126,"")</f>
        <v>*</v>
      </c>
      <c r="AH127" s="17" t="str">
        <f t="shared" si="98"/>
        <v>*HEV*</v>
      </c>
      <c r="AI127" s="17" t="str">
        <f t="shared" si="98"/>
        <v>TRARNG</v>
      </c>
      <c r="AJ127" s="17" t="str">
        <f t="shared" si="98"/>
        <v>TRAPASMOTDMD</v>
      </c>
      <c r="AK127" s="17" t="str">
        <f t="shared" si="98"/>
        <v>TRAPASMOTDMD</v>
      </c>
      <c r="AL127" s="18">
        <v>2030</v>
      </c>
      <c r="AM127" s="18" t="str">
        <f>AM126</f>
        <v>LO</v>
      </c>
      <c r="AN127" s="18"/>
      <c r="AO127" s="20" t="e">
        <f>-SUMIFS('TRA RESID'!$P:$P,'TRA RESID'!$I:$I,AK127,'TRA RESID'!$J:$J,AH127,'TRA RESID'!$H:$H,AI127)/SUMIFS('TRA RESID'!$P:$P,'TRA RESID'!$I:$I,AK127)*AS127</f>
        <v>#DIV/0!</v>
      </c>
      <c r="AP127" s="18"/>
      <c r="AQ127" s="18"/>
      <c r="AS127" s="21">
        <v>0.5</v>
      </c>
      <c r="AU127" s="15" t="str">
        <f>IF(AU126="*",AU126,"")</f>
        <v>*</v>
      </c>
      <c r="AV127" s="17" t="str">
        <f t="shared" si="99"/>
        <v>*FCEV*</v>
      </c>
      <c r="AW127" s="17" t="str">
        <f t="shared" si="99"/>
        <v>TRARNG</v>
      </c>
      <c r="AX127" s="17" t="str">
        <f t="shared" si="99"/>
        <v>TRAPASMOTDMD</v>
      </c>
      <c r="AY127" s="17" t="str">
        <f t="shared" si="99"/>
        <v>TRAPASMOTDMD</v>
      </c>
      <c r="AZ127" s="18">
        <v>2030</v>
      </c>
      <c r="BA127" s="18" t="str">
        <f>BA126</f>
        <v>LO</v>
      </c>
      <c r="BB127" s="18"/>
      <c r="BC127" s="20" t="e">
        <f>-SUMIFS('TRA RESID'!$P:$P,'TRA RESID'!$I:$I,AY127,'TRA RESID'!$J:$J,AV127,'TRA RESID'!$H:$H,AW127)/SUMIFS('TRA RESID'!$P:$P,'TRA RESID'!$I:$I,AY127)*BG127</f>
        <v>#DIV/0!</v>
      </c>
      <c r="BD127" s="18"/>
      <c r="BE127" s="18"/>
      <c r="BG127" s="21">
        <v>0.5</v>
      </c>
    </row>
    <row r="128" spans="1:59" x14ac:dyDescent="0.25">
      <c r="C128" s="15" t="str">
        <f>IF(C127="*",C127,"")</f>
        <v>*</v>
      </c>
      <c r="D128" s="17" t="str">
        <f t="shared" si="96"/>
        <v>*ICEV*</v>
      </c>
      <c r="E128" s="17" t="str">
        <f t="shared" si="96"/>
        <v>TRARNG</v>
      </c>
      <c r="F128" s="17" t="str">
        <f t="shared" si="96"/>
        <v>TRAPASMOTDMD</v>
      </c>
      <c r="G128" s="17" t="str">
        <f t="shared" si="96"/>
        <v>TRAPASMOTDMD</v>
      </c>
      <c r="H128" s="18">
        <v>2040</v>
      </c>
      <c r="I128" s="18" t="str">
        <f>I127</f>
        <v>LO</v>
      </c>
      <c r="J128" s="18"/>
      <c r="K128" s="20" t="e">
        <f>-SUMIFS('TRA RESID'!$P:$P,'TRA RESID'!$I:$I,G128,'TRA RESID'!$J:$J,D128,'TRA RESID'!$H:$H,E128)/SUMIFS('TRA RESID'!$P:$P,'TRA RESID'!$I:$I,G128)*O128</f>
        <v>#DIV/0!</v>
      </c>
      <c r="L128" s="18"/>
      <c r="M128" s="18"/>
      <c r="O128" s="21">
        <v>0</v>
      </c>
      <c r="S128" s="15" t="str">
        <f>IF(S127="*",S127,"")</f>
        <v>*</v>
      </c>
      <c r="T128" s="17" t="str">
        <f t="shared" si="97"/>
        <v>*BEV*</v>
      </c>
      <c r="U128" s="17" t="str">
        <f t="shared" si="97"/>
        <v>TRARNG</v>
      </c>
      <c r="V128" s="17" t="str">
        <f t="shared" si="97"/>
        <v>TRAPASMOTDMD</v>
      </c>
      <c r="W128" s="17" t="str">
        <f t="shared" si="97"/>
        <v>TRAPASMOTDMD</v>
      </c>
      <c r="X128" s="18">
        <v>2040</v>
      </c>
      <c r="Y128" s="18" t="str">
        <f>Y127</f>
        <v>LO</v>
      </c>
      <c r="Z128" s="18"/>
      <c r="AA128" s="20" t="e">
        <f>-SUMIFS('TRA RESID'!$P:$P,'TRA RESID'!$I:$I,W128,'TRA RESID'!$J:$J,T128,'TRA RESID'!$H:$H,U128)/SUMIFS('TRA RESID'!$P:$P,'TRA RESID'!$I:$I,W128)*AE128</f>
        <v>#DIV/0!</v>
      </c>
      <c r="AB128" s="18"/>
      <c r="AC128" s="18"/>
      <c r="AE128" s="21">
        <v>1</v>
      </c>
      <c r="AG128" s="15" t="str">
        <f>IF(AG127="*",AG127,"")</f>
        <v>*</v>
      </c>
      <c r="AH128" s="17" t="str">
        <f t="shared" si="98"/>
        <v>*HEV*</v>
      </c>
      <c r="AI128" s="17" t="str">
        <f t="shared" si="98"/>
        <v>TRARNG</v>
      </c>
      <c r="AJ128" s="17" t="str">
        <f t="shared" si="98"/>
        <v>TRAPASMOTDMD</v>
      </c>
      <c r="AK128" s="17" t="str">
        <f t="shared" si="98"/>
        <v>TRAPASMOTDMD</v>
      </c>
      <c r="AL128" s="18">
        <v>2040</v>
      </c>
      <c r="AM128" s="18" t="str">
        <f>AM127</f>
        <v>LO</v>
      </c>
      <c r="AN128" s="18"/>
      <c r="AO128" s="20" t="e">
        <f>-SUMIFS('TRA RESID'!$P:$P,'TRA RESID'!$I:$I,AK128,'TRA RESID'!$J:$J,AH128,'TRA RESID'!$H:$H,AI128)/SUMIFS('TRA RESID'!$P:$P,'TRA RESID'!$I:$I,AK128)*AS128</f>
        <v>#DIV/0!</v>
      </c>
      <c r="AP128" s="18"/>
      <c r="AQ128" s="18"/>
      <c r="AS128" s="21">
        <v>0</v>
      </c>
      <c r="AU128" s="15" t="str">
        <f>IF(AU127="*",AU127,"")</f>
        <v>*</v>
      </c>
      <c r="AV128" s="17" t="str">
        <f t="shared" si="99"/>
        <v>*FCEV*</v>
      </c>
      <c r="AW128" s="17" t="str">
        <f t="shared" si="99"/>
        <v>TRARNG</v>
      </c>
      <c r="AX128" s="17" t="str">
        <f t="shared" si="99"/>
        <v>TRAPASMOTDMD</v>
      </c>
      <c r="AY128" s="17" t="str">
        <f t="shared" si="99"/>
        <v>TRAPASMOTDMD</v>
      </c>
      <c r="AZ128" s="18">
        <v>2040</v>
      </c>
      <c r="BA128" s="18" t="str">
        <f>BA127</f>
        <v>LO</v>
      </c>
      <c r="BB128" s="18"/>
      <c r="BC128" s="20" t="e">
        <f>-SUMIFS('TRA RESID'!$P:$P,'TRA RESID'!$I:$I,AY128,'TRA RESID'!$J:$J,AV128,'TRA RESID'!$H:$H,AW128)/SUMIFS('TRA RESID'!$P:$P,'TRA RESID'!$I:$I,AY128)*BG128</f>
        <v>#DIV/0!</v>
      </c>
      <c r="BD128" s="18"/>
      <c r="BE128" s="18"/>
      <c r="BG128" s="21">
        <v>0</v>
      </c>
    </row>
    <row r="129" spans="1:59" x14ac:dyDescent="0.25">
      <c r="C129" s="23" t="str">
        <f>IF(C128="*",C128,"")</f>
        <v>*</v>
      </c>
      <c r="D129" s="25" t="str">
        <f t="shared" si="96"/>
        <v>*ICEV*</v>
      </c>
      <c r="E129" s="25" t="str">
        <f t="shared" si="96"/>
        <v>TRARNG</v>
      </c>
      <c r="F129" s="25" t="str">
        <f t="shared" si="96"/>
        <v>TRAPASMOTDMD</v>
      </c>
      <c r="G129" s="25" t="str">
        <f t="shared" si="96"/>
        <v>TRAPASMOTDMD</v>
      </c>
      <c r="H129" s="26">
        <v>2050</v>
      </c>
      <c r="I129" s="26" t="str">
        <f>I127</f>
        <v>LO</v>
      </c>
      <c r="J129" s="26"/>
      <c r="K129" s="27" t="e">
        <f>-SUMIFS('TRA RESID'!$P:$P,'TRA RESID'!$I:$I,G129,'TRA RESID'!$J:$J,D129,'TRA RESID'!$H:$H,E129)/SUMIFS('TRA RESID'!$P:$P,'TRA RESID'!$I:$I,G129)*O129</f>
        <v>#DIV/0!</v>
      </c>
      <c r="L129" s="26"/>
      <c r="M129" s="26"/>
      <c r="O129" s="28">
        <v>0</v>
      </c>
      <c r="S129" s="23" t="str">
        <f>IF(S128="*",S128,"")</f>
        <v>*</v>
      </c>
      <c r="T129" s="25" t="str">
        <f t="shared" si="97"/>
        <v>*BEV*</v>
      </c>
      <c r="U129" s="25" t="str">
        <f t="shared" si="97"/>
        <v>TRARNG</v>
      </c>
      <c r="V129" s="25" t="str">
        <f t="shared" si="97"/>
        <v>TRAPASMOTDMD</v>
      </c>
      <c r="W129" s="25" t="str">
        <f t="shared" si="97"/>
        <v>TRAPASMOTDMD</v>
      </c>
      <c r="X129" s="26">
        <v>2050</v>
      </c>
      <c r="Y129" s="26" t="str">
        <f>Y127</f>
        <v>LO</v>
      </c>
      <c r="Z129" s="26"/>
      <c r="AA129" s="27" t="e">
        <f>-SUMIFS('TRA RESID'!$P:$P,'TRA RESID'!$I:$I,W129,'TRA RESID'!$J:$J,T129,'TRA RESID'!$H:$H,U129)/SUMIFS('TRA RESID'!$P:$P,'TRA RESID'!$I:$I,W129)*AE129</f>
        <v>#DIV/0!</v>
      </c>
      <c r="AB129" s="26"/>
      <c r="AC129" s="26"/>
      <c r="AE129" s="28">
        <v>1</v>
      </c>
      <c r="AG129" s="23" t="str">
        <f>IF(AG128="*",AG128,"")</f>
        <v>*</v>
      </c>
      <c r="AH129" s="25" t="str">
        <f t="shared" si="98"/>
        <v>*HEV*</v>
      </c>
      <c r="AI129" s="25" t="str">
        <f t="shared" si="98"/>
        <v>TRARNG</v>
      </c>
      <c r="AJ129" s="25" t="str">
        <f t="shared" si="98"/>
        <v>TRAPASMOTDMD</v>
      </c>
      <c r="AK129" s="25" t="str">
        <f t="shared" si="98"/>
        <v>TRAPASMOTDMD</v>
      </c>
      <c r="AL129" s="26">
        <v>2050</v>
      </c>
      <c r="AM129" s="26" t="str">
        <f>AM127</f>
        <v>LO</v>
      </c>
      <c r="AN129" s="26"/>
      <c r="AO129" s="27" t="e">
        <f>-SUMIFS('TRA RESID'!$P:$P,'TRA RESID'!$I:$I,AK129,'TRA RESID'!$J:$J,AH129,'TRA RESID'!$H:$H,AI129)/SUMIFS('TRA RESID'!$P:$P,'TRA RESID'!$I:$I,AK129)*AS129</f>
        <v>#DIV/0!</v>
      </c>
      <c r="AP129" s="26"/>
      <c r="AQ129" s="26"/>
      <c r="AS129" s="28">
        <v>0</v>
      </c>
      <c r="AU129" s="23" t="str">
        <f>IF(AU128="*",AU128,"")</f>
        <v>*</v>
      </c>
      <c r="AV129" s="25" t="str">
        <f t="shared" si="99"/>
        <v>*FCEV*</v>
      </c>
      <c r="AW129" s="25" t="str">
        <f t="shared" si="99"/>
        <v>TRARNG</v>
      </c>
      <c r="AX129" s="25" t="str">
        <f t="shared" si="99"/>
        <v>TRAPASMOTDMD</v>
      </c>
      <c r="AY129" s="25" t="str">
        <f t="shared" si="99"/>
        <v>TRAPASMOTDMD</v>
      </c>
      <c r="AZ129" s="26">
        <v>2050</v>
      </c>
      <c r="BA129" s="26" t="str">
        <f>BA127</f>
        <v>LO</v>
      </c>
      <c r="BB129" s="26"/>
      <c r="BC129" s="27" t="e">
        <f>-SUMIFS('TRA RESID'!$P:$P,'TRA RESID'!$I:$I,AY129,'TRA RESID'!$J:$J,AV129,'TRA RESID'!$H:$H,AW129)/SUMIFS('TRA RESID'!$P:$P,'TRA RESID'!$I:$I,AY129)*BG129</f>
        <v>#DIV/0!</v>
      </c>
      <c r="BD129" s="26"/>
      <c r="BE129" s="26"/>
      <c r="BG129" s="28">
        <v>0</v>
      </c>
    </row>
    <row r="130" spans="1:59" x14ac:dyDescent="0.25">
      <c r="A130">
        <f>A125+1</f>
        <v>26</v>
      </c>
      <c r="C130" s="15" t="str">
        <f>IF(E130="","",IF(_xlfn.XLOOKUP($A130,Selected_constraint!$A:$A,Selected_constraint!$D:$D)=1,"*",IF(SUMIFS('TRA TECH'!$M:$M,'TRA TECH'!$H:$H,E130,'TRA TECH'!$I:$I,F130)=0,"*",IF(SUMIFS('TRA RESID'!$P:$P,'TRA RESID'!$I:$I,G130,'TRA RESID'!$J:$J,D130,'TRA RESID'!$H:$H,E130)=0,"*","UC_"&amp;SUBSTITUTE(D130,"*","")&amp;"_"&amp;RIGHT(E130,3)&amp;"_"&amp;F130))))</f>
        <v>*</v>
      </c>
      <c r="D130" s="17" t="s">
        <v>485</v>
      </c>
      <c r="E130" s="17" t="str">
        <f>_xlfn.XLOOKUP($A130,Selected_constraint!$A:$A,Selected_constraint!$B:$B)</f>
        <v>TRABAT</v>
      </c>
      <c r="F130" s="17" t="str">
        <f>_xlfn.XLOOKUP($A130,Selected_constraint!$A:$A,Selected_constraint!$C:$C)</f>
        <v>TRAPASMOTDMD</v>
      </c>
      <c r="G130" s="17" t="str">
        <f>F130</f>
        <v>TRAPASMOTDMD</v>
      </c>
      <c r="H130" s="18">
        <v>2019</v>
      </c>
      <c r="I130" s="18" t="s">
        <v>483</v>
      </c>
      <c r="J130" s="18">
        <v>1</v>
      </c>
      <c r="K130" s="20" t="e">
        <f>-SUMIFS('TRA RESID'!$P:$P,'TRA RESID'!$I:$I,G130,'TRA RESID'!$J:$J,D130,'TRA RESID'!$H:$H,E130)/SUMIFS('TRA RESID'!$P:$P,'TRA RESID'!$I:$I,G130)*O130</f>
        <v>#DIV/0!</v>
      </c>
      <c r="L130" s="18">
        <v>0</v>
      </c>
      <c r="M130" s="18">
        <v>5</v>
      </c>
      <c r="O130" s="21">
        <v>0.98</v>
      </c>
      <c r="Q130">
        <f>Q125+1</f>
        <v>26</v>
      </c>
      <c r="S130" s="15" t="str">
        <f>IF(SUMIFS('TRA RESID'!$P:$P,'TRA RESID'!$I:$I,W130,'TRA RESID'!$J:$J,T130,'TRA RESID'!$H:$H,U130)=0,"*","UC_"&amp;SUBSTITUTE(T130,"*","")&amp;"_"&amp;RIGHT(U130,3)&amp;"_"&amp;V130)</f>
        <v>*</v>
      </c>
      <c r="T130" s="17" t="s">
        <v>486</v>
      </c>
      <c r="U130" s="17" t="str">
        <f>_xlfn.XLOOKUP($A130,Selected_constraint!$A:$A,Selected_constraint!$B:$B)</f>
        <v>TRABAT</v>
      </c>
      <c r="V130" s="17" t="str">
        <f>_xlfn.XLOOKUP($A130,Selected_constraint!$A:$A,Selected_constraint!$C:$C)</f>
        <v>TRAPASMOTDMD</v>
      </c>
      <c r="W130" s="17" t="str">
        <f>V130</f>
        <v>TRAPASMOTDMD</v>
      </c>
      <c r="X130" s="18">
        <v>2019</v>
      </c>
      <c r="Y130" s="18" t="s">
        <v>483</v>
      </c>
      <c r="Z130" s="18">
        <v>1</v>
      </c>
      <c r="AA130" s="20" t="e">
        <f>-SUMIFS('TRA RESID'!$P:$P,'TRA RESID'!$I:$I,W130,'TRA RESID'!$J:$J,T130,'TRA RESID'!$H:$H,U130)/SUMIFS('TRA RESID'!$P:$P,'TRA RESID'!$I:$I,W130)*AE130</f>
        <v>#DIV/0!</v>
      </c>
      <c r="AB130" s="18">
        <v>0</v>
      </c>
      <c r="AC130" s="18">
        <v>5</v>
      </c>
      <c r="AE130" s="21">
        <v>0.98</v>
      </c>
      <c r="AG130" s="15" t="str">
        <f>IF(SUMIFS('TRA RESID'!$P:$P,'TRA RESID'!$I:$I,AK130,'TRA RESID'!$J:$J,AH130,'TRA RESID'!$H:$H,AI130)=0,"*","UC_"&amp;SUBSTITUTE(AH130,"*","")&amp;"_"&amp;RIGHT(AI130,3)&amp;"_"&amp;AJ130)</f>
        <v>*</v>
      </c>
      <c r="AH130" s="17" t="s">
        <v>487</v>
      </c>
      <c r="AI130" s="17" t="str">
        <f>_xlfn.XLOOKUP($A130,Selected_constraint!$A:$A,Selected_constraint!$B:$B)</f>
        <v>TRABAT</v>
      </c>
      <c r="AJ130" s="17" t="str">
        <f>_xlfn.XLOOKUP($A130,Selected_constraint!$A:$A,Selected_constraint!$C:$C)</f>
        <v>TRAPASMOTDMD</v>
      </c>
      <c r="AK130" s="17" t="str">
        <f>AJ130</f>
        <v>TRAPASMOTDMD</v>
      </c>
      <c r="AL130" s="18">
        <v>2019</v>
      </c>
      <c r="AM130" s="18" t="s">
        <v>483</v>
      </c>
      <c r="AN130" s="18">
        <v>1</v>
      </c>
      <c r="AO130" s="20" t="e">
        <f>-SUMIFS('TRA RESID'!$P:$P,'TRA RESID'!$I:$I,AK130,'TRA RESID'!$J:$J,AH130,'TRA RESID'!$H:$H,AI130)/SUMIFS('TRA RESID'!$P:$P,'TRA RESID'!$I:$I,AK130)*AS130</f>
        <v>#DIV/0!</v>
      </c>
      <c r="AP130" s="18">
        <v>0</v>
      </c>
      <c r="AQ130" s="18">
        <v>5</v>
      </c>
      <c r="AS130" s="21">
        <v>0.98</v>
      </c>
      <c r="AU130" s="15" t="str">
        <f>IF(SUMIFS('TRA RESID'!$P:$P,'TRA RESID'!$I:$I,AY130,'TRA RESID'!$J:$J,AV130,'TRA RESID'!$H:$H,AW130)=0,"*","UC_"&amp;SUBSTITUTE(AV130,"*","")&amp;"_"&amp;RIGHT(AW130,3)&amp;"_"&amp;AX130)</f>
        <v>*</v>
      </c>
      <c r="AV130" s="17" t="s">
        <v>488</v>
      </c>
      <c r="AW130" s="17" t="str">
        <f>_xlfn.XLOOKUP($A130,Selected_constraint!$A:$A,Selected_constraint!$B:$B)</f>
        <v>TRABAT</v>
      </c>
      <c r="AX130" s="17" t="str">
        <f>_xlfn.XLOOKUP($A130,Selected_constraint!$A:$A,Selected_constraint!$C:$C)</f>
        <v>TRAPASMOTDMD</v>
      </c>
      <c r="AY130" s="17" t="str">
        <f>AX130</f>
        <v>TRAPASMOTDMD</v>
      </c>
      <c r="AZ130" s="18">
        <v>2019</v>
      </c>
      <c r="BA130" s="18" t="s">
        <v>483</v>
      </c>
      <c r="BB130" s="18">
        <v>1</v>
      </c>
      <c r="BC130" s="20" t="e">
        <f>-SUMIFS('TRA RESID'!$P:$P,'TRA RESID'!$I:$I,AY130,'TRA RESID'!$J:$J,AV130,'TRA RESID'!$H:$H,AW130)/SUMIFS('TRA RESID'!$P:$P,'TRA RESID'!$I:$I,AY130)*BG130</f>
        <v>#DIV/0!</v>
      </c>
      <c r="BD130" s="18">
        <v>0</v>
      </c>
      <c r="BE130" s="18">
        <v>5</v>
      </c>
      <c r="BG130" s="21">
        <v>0.98</v>
      </c>
    </row>
    <row r="131" spans="1:59" x14ac:dyDescent="0.25">
      <c r="C131" s="15" t="str">
        <f>IF(C130="*",C130,"")</f>
        <v>*</v>
      </c>
      <c r="D131" s="17" t="str">
        <f t="shared" ref="D131:G134" si="100">D130</f>
        <v>*ICEV*</v>
      </c>
      <c r="E131" s="17" t="str">
        <f t="shared" si="100"/>
        <v>TRABAT</v>
      </c>
      <c r="F131" s="17" t="str">
        <f t="shared" si="100"/>
        <v>TRAPASMOTDMD</v>
      </c>
      <c r="G131" s="17" t="str">
        <f t="shared" si="100"/>
        <v>TRAPASMOTDMD</v>
      </c>
      <c r="H131" s="18">
        <v>2025</v>
      </c>
      <c r="I131" s="18" t="str">
        <f>I130</f>
        <v>LO</v>
      </c>
      <c r="J131" s="18"/>
      <c r="K131" s="20" t="e">
        <f>-SUMIFS('TRA RESID'!$P:$P,'TRA RESID'!$I:$I,G131,'TRA RESID'!$J:$J,D131,'TRA RESID'!$H:$H,E131)/SUMIFS('TRA RESID'!$P:$P,'TRA RESID'!$I:$I,G131)*O131</f>
        <v>#DIV/0!</v>
      </c>
      <c r="L131" s="18"/>
      <c r="M131" s="18"/>
      <c r="O131" s="21">
        <v>0.8</v>
      </c>
      <c r="S131" s="15" t="str">
        <f>IF(S130="*",S130,"")</f>
        <v>*</v>
      </c>
      <c r="T131" s="17" t="str">
        <f t="shared" ref="T131:W134" si="101">T130</f>
        <v>*BEV*</v>
      </c>
      <c r="U131" s="17" t="str">
        <f t="shared" si="101"/>
        <v>TRABAT</v>
      </c>
      <c r="V131" s="17" t="str">
        <f t="shared" si="101"/>
        <v>TRAPASMOTDMD</v>
      </c>
      <c r="W131" s="17" t="str">
        <f t="shared" si="101"/>
        <v>TRAPASMOTDMD</v>
      </c>
      <c r="X131" s="18">
        <v>2025</v>
      </c>
      <c r="Y131" s="18" t="str">
        <f>Y130</f>
        <v>LO</v>
      </c>
      <c r="Z131" s="18"/>
      <c r="AA131" s="20" t="e">
        <f>-SUMIFS('TRA RESID'!$P:$P,'TRA RESID'!$I:$I,W131,'TRA RESID'!$J:$J,T131,'TRA RESID'!$H:$H,U131)/SUMIFS('TRA RESID'!$P:$P,'TRA RESID'!$I:$I,W131)*AE131</f>
        <v>#DIV/0!</v>
      </c>
      <c r="AB131" s="18"/>
      <c r="AC131" s="18"/>
      <c r="AE131" s="21">
        <v>1</v>
      </c>
      <c r="AG131" s="15" t="str">
        <f>IF(AG130="*",AG130,"")</f>
        <v>*</v>
      </c>
      <c r="AH131" s="17" t="str">
        <f t="shared" ref="AH131:AK134" si="102">AH130</f>
        <v>*HEV*</v>
      </c>
      <c r="AI131" s="17" t="str">
        <f t="shared" si="102"/>
        <v>TRABAT</v>
      </c>
      <c r="AJ131" s="17" t="str">
        <f t="shared" si="102"/>
        <v>TRAPASMOTDMD</v>
      </c>
      <c r="AK131" s="17" t="str">
        <f t="shared" si="102"/>
        <v>TRAPASMOTDMD</v>
      </c>
      <c r="AL131" s="18">
        <v>2025</v>
      </c>
      <c r="AM131" s="18" t="str">
        <f>AM130</f>
        <v>LO</v>
      </c>
      <c r="AN131" s="18"/>
      <c r="AO131" s="20" t="e">
        <f>-SUMIFS('TRA RESID'!$P:$P,'TRA RESID'!$I:$I,AK131,'TRA RESID'!$J:$J,AH131,'TRA RESID'!$H:$H,AI131)/SUMIFS('TRA RESID'!$P:$P,'TRA RESID'!$I:$I,AK131)*AS131</f>
        <v>#DIV/0!</v>
      </c>
      <c r="AP131" s="18"/>
      <c r="AQ131" s="18"/>
      <c r="AS131" s="21">
        <v>0.8</v>
      </c>
      <c r="AU131" s="15" t="str">
        <f>IF(AU130="*",AU130,"")</f>
        <v>*</v>
      </c>
      <c r="AV131" s="17" t="str">
        <f t="shared" ref="AV131:AY134" si="103">AV130</f>
        <v>*FCEV*</v>
      </c>
      <c r="AW131" s="17" t="str">
        <f t="shared" si="103"/>
        <v>TRABAT</v>
      </c>
      <c r="AX131" s="17" t="str">
        <f t="shared" si="103"/>
        <v>TRAPASMOTDMD</v>
      </c>
      <c r="AY131" s="17" t="str">
        <f t="shared" si="103"/>
        <v>TRAPASMOTDMD</v>
      </c>
      <c r="AZ131" s="18">
        <v>2025</v>
      </c>
      <c r="BA131" s="18" t="str">
        <f>BA130</f>
        <v>LO</v>
      </c>
      <c r="BB131" s="18"/>
      <c r="BC131" s="20" t="e">
        <f>-SUMIFS('TRA RESID'!$P:$P,'TRA RESID'!$I:$I,AY131,'TRA RESID'!$J:$J,AV131,'TRA RESID'!$H:$H,AW131)/SUMIFS('TRA RESID'!$P:$P,'TRA RESID'!$I:$I,AY131)*BG131</f>
        <v>#DIV/0!</v>
      </c>
      <c r="BD131" s="18"/>
      <c r="BE131" s="18"/>
      <c r="BG131" s="21">
        <v>0.8</v>
      </c>
    </row>
    <row r="132" spans="1:59" x14ac:dyDescent="0.25">
      <c r="C132" s="15" t="str">
        <f>IF(C131="*",C131,"")</f>
        <v>*</v>
      </c>
      <c r="D132" s="17" t="str">
        <f t="shared" si="100"/>
        <v>*ICEV*</v>
      </c>
      <c r="E132" s="17" t="str">
        <f t="shared" si="100"/>
        <v>TRABAT</v>
      </c>
      <c r="F132" s="17" t="str">
        <f t="shared" si="100"/>
        <v>TRAPASMOTDMD</v>
      </c>
      <c r="G132" s="17" t="str">
        <f t="shared" si="100"/>
        <v>TRAPASMOTDMD</v>
      </c>
      <c r="H132" s="18">
        <v>2030</v>
      </c>
      <c r="I132" s="18" t="str">
        <f>I131</f>
        <v>LO</v>
      </c>
      <c r="J132" s="18"/>
      <c r="K132" s="20" t="e">
        <f>-SUMIFS('TRA RESID'!$P:$P,'TRA RESID'!$I:$I,G132,'TRA RESID'!$J:$J,D132,'TRA RESID'!$H:$H,E132)/SUMIFS('TRA RESID'!$P:$P,'TRA RESID'!$I:$I,G132)*O132</f>
        <v>#DIV/0!</v>
      </c>
      <c r="L132" s="18"/>
      <c r="M132" s="18"/>
      <c r="O132" s="21">
        <v>0.5</v>
      </c>
      <c r="S132" s="15" t="str">
        <f>IF(S131="*",S131,"")</f>
        <v>*</v>
      </c>
      <c r="T132" s="17" t="str">
        <f t="shared" si="101"/>
        <v>*BEV*</v>
      </c>
      <c r="U132" s="17" t="str">
        <f t="shared" si="101"/>
        <v>TRABAT</v>
      </c>
      <c r="V132" s="17" t="str">
        <f t="shared" si="101"/>
        <v>TRAPASMOTDMD</v>
      </c>
      <c r="W132" s="17" t="str">
        <f t="shared" si="101"/>
        <v>TRAPASMOTDMD</v>
      </c>
      <c r="X132" s="18">
        <v>2030</v>
      </c>
      <c r="Y132" s="18" t="str">
        <f>Y131</f>
        <v>LO</v>
      </c>
      <c r="Z132" s="18"/>
      <c r="AA132" s="20" t="e">
        <f>-SUMIFS('TRA RESID'!$P:$P,'TRA RESID'!$I:$I,W132,'TRA RESID'!$J:$J,T132,'TRA RESID'!$H:$H,U132)/SUMIFS('TRA RESID'!$P:$P,'TRA RESID'!$I:$I,W132)*AE132</f>
        <v>#DIV/0!</v>
      </c>
      <c r="AB132" s="18"/>
      <c r="AC132" s="18"/>
      <c r="AE132" s="21">
        <v>1</v>
      </c>
      <c r="AG132" s="15" t="str">
        <f>IF(AG131="*",AG131,"")</f>
        <v>*</v>
      </c>
      <c r="AH132" s="17" t="str">
        <f t="shared" si="102"/>
        <v>*HEV*</v>
      </c>
      <c r="AI132" s="17" t="str">
        <f t="shared" si="102"/>
        <v>TRABAT</v>
      </c>
      <c r="AJ132" s="17" t="str">
        <f t="shared" si="102"/>
        <v>TRAPASMOTDMD</v>
      </c>
      <c r="AK132" s="17" t="str">
        <f t="shared" si="102"/>
        <v>TRAPASMOTDMD</v>
      </c>
      <c r="AL132" s="18">
        <v>2030</v>
      </c>
      <c r="AM132" s="18" t="str">
        <f>AM131</f>
        <v>LO</v>
      </c>
      <c r="AN132" s="18"/>
      <c r="AO132" s="20" t="e">
        <f>-SUMIFS('TRA RESID'!$P:$P,'TRA RESID'!$I:$I,AK132,'TRA RESID'!$J:$J,AH132,'TRA RESID'!$H:$H,AI132)/SUMIFS('TRA RESID'!$P:$P,'TRA RESID'!$I:$I,AK132)*AS132</f>
        <v>#DIV/0!</v>
      </c>
      <c r="AP132" s="18"/>
      <c r="AQ132" s="18"/>
      <c r="AS132" s="21">
        <v>0.5</v>
      </c>
      <c r="AU132" s="15" t="str">
        <f>IF(AU131="*",AU131,"")</f>
        <v>*</v>
      </c>
      <c r="AV132" s="17" t="str">
        <f t="shared" si="103"/>
        <v>*FCEV*</v>
      </c>
      <c r="AW132" s="17" t="str">
        <f t="shared" si="103"/>
        <v>TRABAT</v>
      </c>
      <c r="AX132" s="17" t="str">
        <f t="shared" si="103"/>
        <v>TRAPASMOTDMD</v>
      </c>
      <c r="AY132" s="17" t="str">
        <f t="shared" si="103"/>
        <v>TRAPASMOTDMD</v>
      </c>
      <c r="AZ132" s="18">
        <v>2030</v>
      </c>
      <c r="BA132" s="18" t="str">
        <f>BA131</f>
        <v>LO</v>
      </c>
      <c r="BB132" s="18"/>
      <c r="BC132" s="20" t="e">
        <f>-SUMIFS('TRA RESID'!$P:$P,'TRA RESID'!$I:$I,AY132,'TRA RESID'!$J:$J,AV132,'TRA RESID'!$H:$H,AW132)/SUMIFS('TRA RESID'!$P:$P,'TRA RESID'!$I:$I,AY132)*BG132</f>
        <v>#DIV/0!</v>
      </c>
      <c r="BD132" s="18"/>
      <c r="BE132" s="18"/>
      <c r="BG132" s="21">
        <v>0.5</v>
      </c>
    </row>
    <row r="133" spans="1:59" x14ac:dyDescent="0.25">
      <c r="C133" s="15" t="str">
        <f>IF(C132="*",C132,"")</f>
        <v>*</v>
      </c>
      <c r="D133" s="17" t="str">
        <f t="shared" si="100"/>
        <v>*ICEV*</v>
      </c>
      <c r="E133" s="17" t="str">
        <f t="shared" si="100"/>
        <v>TRABAT</v>
      </c>
      <c r="F133" s="17" t="str">
        <f t="shared" si="100"/>
        <v>TRAPASMOTDMD</v>
      </c>
      <c r="G133" s="17" t="str">
        <f t="shared" si="100"/>
        <v>TRAPASMOTDMD</v>
      </c>
      <c r="H133" s="18">
        <v>2040</v>
      </c>
      <c r="I133" s="18" t="str">
        <f>I132</f>
        <v>LO</v>
      </c>
      <c r="J133" s="18"/>
      <c r="K133" s="20" t="e">
        <f>-SUMIFS('TRA RESID'!$P:$P,'TRA RESID'!$I:$I,G133,'TRA RESID'!$J:$J,D133,'TRA RESID'!$H:$H,E133)/SUMIFS('TRA RESID'!$P:$P,'TRA RESID'!$I:$I,G133)*O133</f>
        <v>#DIV/0!</v>
      </c>
      <c r="L133" s="18"/>
      <c r="M133" s="18"/>
      <c r="O133" s="21">
        <v>0</v>
      </c>
      <c r="S133" s="15" t="str">
        <f>IF(S132="*",S132,"")</f>
        <v>*</v>
      </c>
      <c r="T133" s="17" t="str">
        <f t="shared" si="101"/>
        <v>*BEV*</v>
      </c>
      <c r="U133" s="17" t="str">
        <f t="shared" si="101"/>
        <v>TRABAT</v>
      </c>
      <c r="V133" s="17" t="str">
        <f t="shared" si="101"/>
        <v>TRAPASMOTDMD</v>
      </c>
      <c r="W133" s="17" t="str">
        <f t="shared" si="101"/>
        <v>TRAPASMOTDMD</v>
      </c>
      <c r="X133" s="18">
        <v>2040</v>
      </c>
      <c r="Y133" s="18" t="str">
        <f>Y132</f>
        <v>LO</v>
      </c>
      <c r="Z133" s="18"/>
      <c r="AA133" s="20" t="e">
        <f>-SUMIFS('TRA RESID'!$P:$P,'TRA RESID'!$I:$I,W133,'TRA RESID'!$J:$J,T133,'TRA RESID'!$H:$H,U133)/SUMIFS('TRA RESID'!$P:$P,'TRA RESID'!$I:$I,W133)*AE133</f>
        <v>#DIV/0!</v>
      </c>
      <c r="AB133" s="18"/>
      <c r="AC133" s="18"/>
      <c r="AE133" s="21">
        <v>1</v>
      </c>
      <c r="AG133" s="15" t="str">
        <f>IF(AG132="*",AG132,"")</f>
        <v>*</v>
      </c>
      <c r="AH133" s="17" t="str">
        <f t="shared" si="102"/>
        <v>*HEV*</v>
      </c>
      <c r="AI133" s="17" t="str">
        <f t="shared" si="102"/>
        <v>TRABAT</v>
      </c>
      <c r="AJ133" s="17" t="str">
        <f t="shared" si="102"/>
        <v>TRAPASMOTDMD</v>
      </c>
      <c r="AK133" s="17" t="str">
        <f t="shared" si="102"/>
        <v>TRAPASMOTDMD</v>
      </c>
      <c r="AL133" s="18">
        <v>2040</v>
      </c>
      <c r="AM133" s="18" t="str">
        <f>AM132</f>
        <v>LO</v>
      </c>
      <c r="AN133" s="18"/>
      <c r="AO133" s="20" t="e">
        <f>-SUMIFS('TRA RESID'!$P:$P,'TRA RESID'!$I:$I,AK133,'TRA RESID'!$J:$J,AH133,'TRA RESID'!$H:$H,AI133)/SUMIFS('TRA RESID'!$P:$P,'TRA RESID'!$I:$I,AK133)*AS133</f>
        <v>#DIV/0!</v>
      </c>
      <c r="AP133" s="18"/>
      <c r="AQ133" s="18"/>
      <c r="AS133" s="21">
        <v>0</v>
      </c>
      <c r="AU133" s="15" t="str">
        <f>IF(AU132="*",AU132,"")</f>
        <v>*</v>
      </c>
      <c r="AV133" s="17" t="str">
        <f t="shared" si="103"/>
        <v>*FCEV*</v>
      </c>
      <c r="AW133" s="17" t="str">
        <f t="shared" si="103"/>
        <v>TRABAT</v>
      </c>
      <c r="AX133" s="17" t="str">
        <f t="shared" si="103"/>
        <v>TRAPASMOTDMD</v>
      </c>
      <c r="AY133" s="17" t="str">
        <f t="shared" si="103"/>
        <v>TRAPASMOTDMD</v>
      </c>
      <c r="AZ133" s="18">
        <v>2040</v>
      </c>
      <c r="BA133" s="18" t="str">
        <f>BA132</f>
        <v>LO</v>
      </c>
      <c r="BB133" s="18"/>
      <c r="BC133" s="20" t="e">
        <f>-SUMIFS('TRA RESID'!$P:$P,'TRA RESID'!$I:$I,AY133,'TRA RESID'!$J:$J,AV133,'TRA RESID'!$H:$H,AW133)/SUMIFS('TRA RESID'!$P:$P,'TRA RESID'!$I:$I,AY133)*BG133</f>
        <v>#DIV/0!</v>
      </c>
      <c r="BD133" s="18"/>
      <c r="BE133" s="18"/>
      <c r="BG133" s="21">
        <v>0</v>
      </c>
    </row>
    <row r="134" spans="1:59" x14ac:dyDescent="0.25">
      <c r="C134" s="23" t="str">
        <f>IF(C133="*",C133,"")</f>
        <v>*</v>
      </c>
      <c r="D134" s="25" t="str">
        <f t="shared" si="100"/>
        <v>*ICEV*</v>
      </c>
      <c r="E134" s="25" t="str">
        <f t="shared" si="100"/>
        <v>TRABAT</v>
      </c>
      <c r="F134" s="25" t="str">
        <f t="shared" si="100"/>
        <v>TRAPASMOTDMD</v>
      </c>
      <c r="G134" s="25" t="str">
        <f t="shared" si="100"/>
        <v>TRAPASMOTDMD</v>
      </c>
      <c r="H134" s="26">
        <v>2050</v>
      </c>
      <c r="I134" s="26" t="str">
        <f>I132</f>
        <v>LO</v>
      </c>
      <c r="J134" s="26"/>
      <c r="K134" s="27" t="e">
        <f>-SUMIFS('TRA RESID'!$P:$P,'TRA RESID'!$I:$I,G134,'TRA RESID'!$J:$J,D134,'TRA RESID'!$H:$H,E134)/SUMIFS('TRA RESID'!$P:$P,'TRA RESID'!$I:$I,G134)*O134</f>
        <v>#DIV/0!</v>
      </c>
      <c r="L134" s="26"/>
      <c r="M134" s="26"/>
      <c r="O134" s="28">
        <v>0</v>
      </c>
      <c r="S134" s="23" t="str">
        <f>IF(S133="*",S133,"")</f>
        <v>*</v>
      </c>
      <c r="T134" s="25" t="str">
        <f t="shared" si="101"/>
        <v>*BEV*</v>
      </c>
      <c r="U134" s="25" t="str">
        <f t="shared" si="101"/>
        <v>TRABAT</v>
      </c>
      <c r="V134" s="25" t="str">
        <f t="shared" si="101"/>
        <v>TRAPASMOTDMD</v>
      </c>
      <c r="W134" s="25" t="str">
        <f t="shared" si="101"/>
        <v>TRAPASMOTDMD</v>
      </c>
      <c r="X134" s="26">
        <v>2050</v>
      </c>
      <c r="Y134" s="26" t="str">
        <f>Y132</f>
        <v>LO</v>
      </c>
      <c r="Z134" s="26"/>
      <c r="AA134" s="27" t="e">
        <f>-SUMIFS('TRA RESID'!$P:$P,'TRA RESID'!$I:$I,W134,'TRA RESID'!$J:$J,T134,'TRA RESID'!$H:$H,U134)/SUMIFS('TRA RESID'!$P:$P,'TRA RESID'!$I:$I,W134)*AE134</f>
        <v>#DIV/0!</v>
      </c>
      <c r="AB134" s="26"/>
      <c r="AC134" s="26"/>
      <c r="AE134" s="28">
        <v>1</v>
      </c>
      <c r="AG134" s="23" t="str">
        <f>IF(AG133="*",AG133,"")</f>
        <v>*</v>
      </c>
      <c r="AH134" s="25" t="str">
        <f t="shared" si="102"/>
        <v>*HEV*</v>
      </c>
      <c r="AI134" s="25" t="str">
        <f t="shared" si="102"/>
        <v>TRABAT</v>
      </c>
      <c r="AJ134" s="25" t="str">
        <f t="shared" si="102"/>
        <v>TRAPASMOTDMD</v>
      </c>
      <c r="AK134" s="25" t="str">
        <f t="shared" si="102"/>
        <v>TRAPASMOTDMD</v>
      </c>
      <c r="AL134" s="26">
        <v>2050</v>
      </c>
      <c r="AM134" s="26" t="str">
        <f>AM132</f>
        <v>LO</v>
      </c>
      <c r="AN134" s="26"/>
      <c r="AO134" s="27" t="e">
        <f>-SUMIFS('TRA RESID'!$P:$P,'TRA RESID'!$I:$I,AK134,'TRA RESID'!$J:$J,AH134,'TRA RESID'!$H:$H,AI134)/SUMIFS('TRA RESID'!$P:$P,'TRA RESID'!$I:$I,AK134)*AS134</f>
        <v>#DIV/0!</v>
      </c>
      <c r="AP134" s="26"/>
      <c r="AQ134" s="26"/>
      <c r="AS134" s="28">
        <v>0</v>
      </c>
      <c r="AU134" s="23" t="str">
        <f>IF(AU133="*",AU133,"")</f>
        <v>*</v>
      </c>
      <c r="AV134" s="25" t="str">
        <f t="shared" si="103"/>
        <v>*FCEV*</v>
      </c>
      <c r="AW134" s="25" t="str">
        <f t="shared" si="103"/>
        <v>TRABAT</v>
      </c>
      <c r="AX134" s="25" t="str">
        <f t="shared" si="103"/>
        <v>TRAPASMOTDMD</v>
      </c>
      <c r="AY134" s="25" t="str">
        <f t="shared" si="103"/>
        <v>TRAPASMOTDMD</v>
      </c>
      <c r="AZ134" s="26">
        <v>2050</v>
      </c>
      <c r="BA134" s="26" t="str">
        <f>BA132</f>
        <v>LO</v>
      </c>
      <c r="BB134" s="26"/>
      <c r="BC134" s="27" t="e">
        <f>-SUMIFS('TRA RESID'!$P:$P,'TRA RESID'!$I:$I,AY134,'TRA RESID'!$J:$J,AV134,'TRA RESID'!$H:$H,AW134)/SUMIFS('TRA RESID'!$P:$P,'TRA RESID'!$I:$I,AY134)*BG134</f>
        <v>#DIV/0!</v>
      </c>
      <c r="BD134" s="26"/>
      <c r="BE134" s="26"/>
      <c r="BG134" s="28">
        <v>0</v>
      </c>
    </row>
    <row r="135" spans="1:59" x14ac:dyDescent="0.25">
      <c r="A135">
        <f>A130+1</f>
        <v>27</v>
      </c>
      <c r="C135" s="15" t="str">
        <f>IF(E135="","",IF(_xlfn.XLOOKUP($A135,Selected_constraint!$A:$A,Selected_constraint!$D:$D)=1,"*",IF(SUMIFS('TRA TECH'!$M:$M,'TRA TECH'!$H:$H,E135,'TRA TECH'!$I:$I,F135)=0,"*",IF(SUMIFS('TRA RESID'!$P:$P,'TRA RESID'!$I:$I,G135,'TRA RESID'!$J:$J,D135,'TRA RESID'!$H:$H,E135)=0,"*","UC_"&amp;SUBSTITUTE(D135,"*","")&amp;"_"&amp;RIGHT(E135,3)&amp;"_"&amp;F135))))</f>
        <v>*</v>
      </c>
      <c r="D135" s="17" t="s">
        <v>485</v>
      </c>
      <c r="E135" s="17" t="str">
        <f>_xlfn.XLOOKUP($A135,Selected_constraint!$A:$A,Selected_constraint!$B:$B)</f>
        <v>TRAH2G</v>
      </c>
      <c r="F135" s="17" t="str">
        <f>_xlfn.XLOOKUP($A135,Selected_constraint!$A:$A,Selected_constraint!$C:$C)</f>
        <v>TRAPASMOTDMD</v>
      </c>
      <c r="G135" s="17" t="str">
        <f>F135</f>
        <v>TRAPASMOTDMD</v>
      </c>
      <c r="H135" s="18">
        <v>2019</v>
      </c>
      <c r="I135" s="18" t="s">
        <v>483</v>
      </c>
      <c r="J135" s="18">
        <v>1</v>
      </c>
      <c r="K135" s="20" t="e">
        <f>-SUMIFS('TRA RESID'!$P:$P,'TRA RESID'!$I:$I,G135,'TRA RESID'!$J:$J,D135,'TRA RESID'!$H:$H,E135)/SUMIFS('TRA RESID'!$P:$P,'TRA RESID'!$I:$I,G135)*O135</f>
        <v>#DIV/0!</v>
      </c>
      <c r="L135" s="18">
        <v>0</v>
      </c>
      <c r="M135" s="18">
        <v>5</v>
      </c>
      <c r="O135" s="21">
        <v>0.98</v>
      </c>
      <c r="Q135">
        <f>Q130+1</f>
        <v>27</v>
      </c>
      <c r="S135" s="15" t="str">
        <f>IF(SUMIFS('TRA RESID'!$P:$P,'TRA RESID'!$I:$I,W135,'TRA RESID'!$J:$J,T135,'TRA RESID'!$H:$H,U135)=0,"*","UC_"&amp;SUBSTITUTE(T135,"*","")&amp;"_"&amp;RIGHT(U135,3)&amp;"_"&amp;V135)</f>
        <v>*</v>
      </c>
      <c r="T135" s="17" t="s">
        <v>486</v>
      </c>
      <c r="U135" s="17" t="str">
        <f>_xlfn.XLOOKUP($A135,Selected_constraint!$A:$A,Selected_constraint!$B:$B)</f>
        <v>TRAH2G</v>
      </c>
      <c r="V135" s="17" t="str">
        <f>_xlfn.XLOOKUP($A135,Selected_constraint!$A:$A,Selected_constraint!$C:$C)</f>
        <v>TRAPASMOTDMD</v>
      </c>
      <c r="W135" s="17" t="str">
        <f>V135</f>
        <v>TRAPASMOTDMD</v>
      </c>
      <c r="X135" s="18">
        <v>2019</v>
      </c>
      <c r="Y135" s="18" t="s">
        <v>483</v>
      </c>
      <c r="Z135" s="18">
        <v>1</v>
      </c>
      <c r="AA135" s="20" t="e">
        <f>-SUMIFS('TRA RESID'!$P:$P,'TRA RESID'!$I:$I,W135,'TRA RESID'!$J:$J,T135,'TRA RESID'!$H:$H,U135)/SUMIFS('TRA RESID'!$P:$P,'TRA RESID'!$I:$I,W135)*AE135</f>
        <v>#DIV/0!</v>
      </c>
      <c r="AB135" s="18">
        <v>0</v>
      </c>
      <c r="AC135" s="18">
        <v>5</v>
      </c>
      <c r="AE135" s="21">
        <v>0.98</v>
      </c>
      <c r="AG135" s="15" t="str">
        <f>IF(SUMIFS('TRA RESID'!$P:$P,'TRA RESID'!$I:$I,AK135,'TRA RESID'!$J:$J,AH135,'TRA RESID'!$H:$H,AI135)=0,"*","UC_"&amp;SUBSTITUTE(AH135,"*","")&amp;"_"&amp;RIGHT(AI135,3)&amp;"_"&amp;AJ135)</f>
        <v>*</v>
      </c>
      <c r="AH135" s="17" t="s">
        <v>487</v>
      </c>
      <c r="AI135" s="17" t="str">
        <f>_xlfn.XLOOKUP($A135,Selected_constraint!$A:$A,Selected_constraint!$B:$B)</f>
        <v>TRAH2G</v>
      </c>
      <c r="AJ135" s="17" t="str">
        <f>_xlfn.XLOOKUP($A135,Selected_constraint!$A:$A,Selected_constraint!$C:$C)</f>
        <v>TRAPASMOTDMD</v>
      </c>
      <c r="AK135" s="17" t="str">
        <f>AJ135</f>
        <v>TRAPASMOTDMD</v>
      </c>
      <c r="AL135" s="18">
        <v>2019</v>
      </c>
      <c r="AM135" s="18" t="s">
        <v>483</v>
      </c>
      <c r="AN135" s="18">
        <v>1</v>
      </c>
      <c r="AO135" s="20" t="e">
        <f>-SUMIFS('TRA RESID'!$P:$P,'TRA RESID'!$I:$I,AK135,'TRA RESID'!$J:$J,AH135,'TRA RESID'!$H:$H,AI135)/SUMIFS('TRA RESID'!$P:$P,'TRA RESID'!$I:$I,AK135)*AS135</f>
        <v>#DIV/0!</v>
      </c>
      <c r="AP135" s="18">
        <v>0</v>
      </c>
      <c r="AQ135" s="18">
        <v>5</v>
      </c>
      <c r="AS135" s="21">
        <v>0.98</v>
      </c>
      <c r="AU135" s="15" t="str">
        <f>IF(SUMIFS('TRA RESID'!$P:$P,'TRA RESID'!$I:$I,AY135,'TRA RESID'!$J:$J,AV135,'TRA RESID'!$H:$H,AW135)=0,"*","UC_"&amp;SUBSTITUTE(AV135,"*","")&amp;"_"&amp;RIGHT(AW135,3)&amp;"_"&amp;AX135)</f>
        <v>*</v>
      </c>
      <c r="AV135" s="17" t="s">
        <v>488</v>
      </c>
      <c r="AW135" s="17" t="str">
        <f>_xlfn.XLOOKUP($A135,Selected_constraint!$A:$A,Selected_constraint!$B:$B)</f>
        <v>TRAH2G</v>
      </c>
      <c r="AX135" s="17" t="str">
        <f>_xlfn.XLOOKUP($A135,Selected_constraint!$A:$A,Selected_constraint!$C:$C)</f>
        <v>TRAPASMOTDMD</v>
      </c>
      <c r="AY135" s="17" t="str">
        <f>AX135</f>
        <v>TRAPASMOTDMD</v>
      </c>
      <c r="AZ135" s="18">
        <v>2019</v>
      </c>
      <c r="BA135" s="18" t="s">
        <v>483</v>
      </c>
      <c r="BB135" s="18">
        <v>1</v>
      </c>
      <c r="BC135" s="20" t="e">
        <f>-SUMIFS('TRA RESID'!$P:$P,'TRA RESID'!$I:$I,AY135,'TRA RESID'!$J:$J,AV135,'TRA RESID'!$H:$H,AW135)/SUMIFS('TRA RESID'!$P:$P,'TRA RESID'!$I:$I,AY135)*BG135</f>
        <v>#DIV/0!</v>
      </c>
      <c r="BD135" s="18">
        <v>0</v>
      </c>
      <c r="BE135" s="18">
        <v>5</v>
      </c>
      <c r="BG135" s="21">
        <v>0.98</v>
      </c>
    </row>
    <row r="136" spans="1:59" x14ac:dyDescent="0.25">
      <c r="C136" s="15" t="str">
        <f>IF(C135="*",C135,"")</f>
        <v>*</v>
      </c>
      <c r="D136" s="17" t="str">
        <f t="shared" ref="D136:G139" si="104">D135</f>
        <v>*ICEV*</v>
      </c>
      <c r="E136" s="17" t="str">
        <f t="shared" si="104"/>
        <v>TRAH2G</v>
      </c>
      <c r="F136" s="17" t="str">
        <f t="shared" si="104"/>
        <v>TRAPASMOTDMD</v>
      </c>
      <c r="G136" s="17" t="str">
        <f t="shared" si="104"/>
        <v>TRAPASMOTDMD</v>
      </c>
      <c r="H136" s="18">
        <v>2025</v>
      </c>
      <c r="I136" s="18" t="str">
        <f>I135</f>
        <v>LO</v>
      </c>
      <c r="J136" s="18"/>
      <c r="K136" s="20" t="e">
        <f>-SUMIFS('TRA RESID'!$P:$P,'TRA RESID'!$I:$I,G136,'TRA RESID'!$J:$J,D136,'TRA RESID'!$H:$H,E136)/SUMIFS('TRA RESID'!$P:$P,'TRA RESID'!$I:$I,G136)*O136</f>
        <v>#DIV/0!</v>
      </c>
      <c r="L136" s="18"/>
      <c r="M136" s="18"/>
      <c r="O136" s="21">
        <v>0.8</v>
      </c>
      <c r="S136" s="15" t="str">
        <f>IF(S135="*",S135,"")</f>
        <v>*</v>
      </c>
      <c r="T136" s="17" t="str">
        <f t="shared" ref="T136:W139" si="105">T135</f>
        <v>*BEV*</v>
      </c>
      <c r="U136" s="17" t="str">
        <f t="shared" si="105"/>
        <v>TRAH2G</v>
      </c>
      <c r="V136" s="17" t="str">
        <f t="shared" si="105"/>
        <v>TRAPASMOTDMD</v>
      </c>
      <c r="W136" s="17" t="str">
        <f t="shared" si="105"/>
        <v>TRAPASMOTDMD</v>
      </c>
      <c r="X136" s="18">
        <v>2025</v>
      </c>
      <c r="Y136" s="18" t="str">
        <f>Y135</f>
        <v>LO</v>
      </c>
      <c r="Z136" s="18"/>
      <c r="AA136" s="20" t="e">
        <f>-SUMIFS('TRA RESID'!$P:$P,'TRA RESID'!$I:$I,W136,'TRA RESID'!$J:$J,T136,'TRA RESID'!$H:$H,U136)/SUMIFS('TRA RESID'!$P:$P,'TRA RESID'!$I:$I,W136)*AE136</f>
        <v>#DIV/0!</v>
      </c>
      <c r="AB136" s="18"/>
      <c r="AC136" s="18"/>
      <c r="AE136" s="21">
        <v>1</v>
      </c>
      <c r="AG136" s="15" t="str">
        <f>IF(AG135="*",AG135,"")</f>
        <v>*</v>
      </c>
      <c r="AH136" s="17" t="str">
        <f t="shared" ref="AH136:AK139" si="106">AH135</f>
        <v>*HEV*</v>
      </c>
      <c r="AI136" s="17" t="str">
        <f t="shared" si="106"/>
        <v>TRAH2G</v>
      </c>
      <c r="AJ136" s="17" t="str">
        <f t="shared" si="106"/>
        <v>TRAPASMOTDMD</v>
      </c>
      <c r="AK136" s="17" t="str">
        <f t="shared" si="106"/>
        <v>TRAPASMOTDMD</v>
      </c>
      <c r="AL136" s="18">
        <v>2025</v>
      </c>
      <c r="AM136" s="18" t="str">
        <f>AM135</f>
        <v>LO</v>
      </c>
      <c r="AN136" s="18"/>
      <c r="AO136" s="20" t="e">
        <f>-SUMIFS('TRA RESID'!$P:$P,'TRA RESID'!$I:$I,AK136,'TRA RESID'!$J:$J,AH136,'TRA RESID'!$H:$H,AI136)/SUMIFS('TRA RESID'!$P:$P,'TRA RESID'!$I:$I,AK136)*AS136</f>
        <v>#DIV/0!</v>
      </c>
      <c r="AP136" s="18"/>
      <c r="AQ136" s="18"/>
      <c r="AS136" s="21">
        <v>0.8</v>
      </c>
      <c r="AU136" s="15" t="str">
        <f>IF(AU135="*",AU135,"")</f>
        <v>*</v>
      </c>
      <c r="AV136" s="17" t="str">
        <f t="shared" ref="AV136:AY139" si="107">AV135</f>
        <v>*FCEV*</v>
      </c>
      <c r="AW136" s="17" t="str">
        <f t="shared" si="107"/>
        <v>TRAH2G</v>
      </c>
      <c r="AX136" s="17" t="str">
        <f t="shared" si="107"/>
        <v>TRAPASMOTDMD</v>
      </c>
      <c r="AY136" s="17" t="str">
        <f t="shared" si="107"/>
        <v>TRAPASMOTDMD</v>
      </c>
      <c r="AZ136" s="18">
        <v>2025</v>
      </c>
      <c r="BA136" s="18" t="str">
        <f>BA135</f>
        <v>LO</v>
      </c>
      <c r="BB136" s="18"/>
      <c r="BC136" s="20" t="e">
        <f>-SUMIFS('TRA RESID'!$P:$P,'TRA RESID'!$I:$I,AY136,'TRA RESID'!$J:$J,AV136,'TRA RESID'!$H:$H,AW136)/SUMIFS('TRA RESID'!$P:$P,'TRA RESID'!$I:$I,AY136)*BG136</f>
        <v>#DIV/0!</v>
      </c>
      <c r="BD136" s="18"/>
      <c r="BE136" s="18"/>
      <c r="BG136" s="21">
        <v>0.8</v>
      </c>
    </row>
    <row r="137" spans="1:59" x14ac:dyDescent="0.25">
      <c r="C137" s="15" t="str">
        <f>IF(C136="*",C136,"")</f>
        <v>*</v>
      </c>
      <c r="D137" s="17" t="str">
        <f t="shared" si="104"/>
        <v>*ICEV*</v>
      </c>
      <c r="E137" s="17" t="str">
        <f t="shared" si="104"/>
        <v>TRAH2G</v>
      </c>
      <c r="F137" s="17" t="str">
        <f t="shared" si="104"/>
        <v>TRAPASMOTDMD</v>
      </c>
      <c r="G137" s="17" t="str">
        <f t="shared" si="104"/>
        <v>TRAPASMOTDMD</v>
      </c>
      <c r="H137" s="18">
        <v>2030</v>
      </c>
      <c r="I137" s="18" t="str">
        <f>I136</f>
        <v>LO</v>
      </c>
      <c r="J137" s="18"/>
      <c r="K137" s="20" t="e">
        <f>-SUMIFS('TRA RESID'!$P:$P,'TRA RESID'!$I:$I,G137,'TRA RESID'!$J:$J,D137,'TRA RESID'!$H:$H,E137)/SUMIFS('TRA RESID'!$P:$P,'TRA RESID'!$I:$I,G137)*O137</f>
        <v>#DIV/0!</v>
      </c>
      <c r="L137" s="18"/>
      <c r="M137" s="18"/>
      <c r="O137" s="21">
        <v>0.5</v>
      </c>
      <c r="S137" s="15" t="str">
        <f>IF(S136="*",S136,"")</f>
        <v>*</v>
      </c>
      <c r="T137" s="17" t="str">
        <f t="shared" si="105"/>
        <v>*BEV*</v>
      </c>
      <c r="U137" s="17" t="str">
        <f t="shared" si="105"/>
        <v>TRAH2G</v>
      </c>
      <c r="V137" s="17" t="str">
        <f t="shared" si="105"/>
        <v>TRAPASMOTDMD</v>
      </c>
      <c r="W137" s="17" t="str">
        <f t="shared" si="105"/>
        <v>TRAPASMOTDMD</v>
      </c>
      <c r="X137" s="18">
        <v>2030</v>
      </c>
      <c r="Y137" s="18" t="str">
        <f>Y136</f>
        <v>LO</v>
      </c>
      <c r="Z137" s="18"/>
      <c r="AA137" s="20" t="e">
        <f>-SUMIFS('TRA RESID'!$P:$P,'TRA RESID'!$I:$I,W137,'TRA RESID'!$J:$J,T137,'TRA RESID'!$H:$H,U137)/SUMIFS('TRA RESID'!$P:$P,'TRA RESID'!$I:$I,W137)*AE137</f>
        <v>#DIV/0!</v>
      </c>
      <c r="AB137" s="18"/>
      <c r="AC137" s="18"/>
      <c r="AE137" s="21">
        <v>1</v>
      </c>
      <c r="AG137" s="15" t="str">
        <f>IF(AG136="*",AG136,"")</f>
        <v>*</v>
      </c>
      <c r="AH137" s="17" t="str">
        <f t="shared" si="106"/>
        <v>*HEV*</v>
      </c>
      <c r="AI137" s="17" t="str">
        <f t="shared" si="106"/>
        <v>TRAH2G</v>
      </c>
      <c r="AJ137" s="17" t="str">
        <f t="shared" si="106"/>
        <v>TRAPASMOTDMD</v>
      </c>
      <c r="AK137" s="17" t="str">
        <f t="shared" si="106"/>
        <v>TRAPASMOTDMD</v>
      </c>
      <c r="AL137" s="18">
        <v>2030</v>
      </c>
      <c r="AM137" s="18" t="str">
        <f>AM136</f>
        <v>LO</v>
      </c>
      <c r="AN137" s="18"/>
      <c r="AO137" s="20" t="e">
        <f>-SUMIFS('TRA RESID'!$P:$P,'TRA RESID'!$I:$I,AK137,'TRA RESID'!$J:$J,AH137,'TRA RESID'!$H:$H,AI137)/SUMIFS('TRA RESID'!$P:$P,'TRA RESID'!$I:$I,AK137)*AS137</f>
        <v>#DIV/0!</v>
      </c>
      <c r="AP137" s="18"/>
      <c r="AQ137" s="18"/>
      <c r="AS137" s="21">
        <v>0.5</v>
      </c>
      <c r="AU137" s="15" t="str">
        <f>IF(AU136="*",AU136,"")</f>
        <v>*</v>
      </c>
      <c r="AV137" s="17" t="str">
        <f t="shared" si="107"/>
        <v>*FCEV*</v>
      </c>
      <c r="AW137" s="17" t="str">
        <f t="shared" si="107"/>
        <v>TRAH2G</v>
      </c>
      <c r="AX137" s="17" t="str">
        <f t="shared" si="107"/>
        <v>TRAPASMOTDMD</v>
      </c>
      <c r="AY137" s="17" t="str">
        <f t="shared" si="107"/>
        <v>TRAPASMOTDMD</v>
      </c>
      <c r="AZ137" s="18">
        <v>2030</v>
      </c>
      <c r="BA137" s="18" t="str">
        <f>BA136</f>
        <v>LO</v>
      </c>
      <c r="BB137" s="18"/>
      <c r="BC137" s="20" t="e">
        <f>-SUMIFS('TRA RESID'!$P:$P,'TRA RESID'!$I:$I,AY137,'TRA RESID'!$J:$J,AV137,'TRA RESID'!$H:$H,AW137)/SUMIFS('TRA RESID'!$P:$P,'TRA RESID'!$I:$I,AY137)*BG137</f>
        <v>#DIV/0!</v>
      </c>
      <c r="BD137" s="18"/>
      <c r="BE137" s="18"/>
      <c r="BG137" s="21">
        <v>0.5</v>
      </c>
    </row>
    <row r="138" spans="1:59" x14ac:dyDescent="0.25">
      <c r="C138" s="15" t="str">
        <f>IF(C137="*",C137,"")</f>
        <v>*</v>
      </c>
      <c r="D138" s="17" t="str">
        <f t="shared" si="104"/>
        <v>*ICEV*</v>
      </c>
      <c r="E138" s="17" t="str">
        <f t="shared" si="104"/>
        <v>TRAH2G</v>
      </c>
      <c r="F138" s="17" t="str">
        <f t="shared" si="104"/>
        <v>TRAPASMOTDMD</v>
      </c>
      <c r="G138" s="17" t="str">
        <f t="shared" si="104"/>
        <v>TRAPASMOTDMD</v>
      </c>
      <c r="H138" s="18">
        <v>2040</v>
      </c>
      <c r="I138" s="18" t="str">
        <f>I137</f>
        <v>LO</v>
      </c>
      <c r="J138" s="18"/>
      <c r="K138" s="20" t="e">
        <f>-SUMIFS('TRA RESID'!$P:$P,'TRA RESID'!$I:$I,G138,'TRA RESID'!$J:$J,D138,'TRA RESID'!$H:$H,E138)/SUMIFS('TRA RESID'!$P:$P,'TRA RESID'!$I:$I,G138)*O138</f>
        <v>#DIV/0!</v>
      </c>
      <c r="L138" s="18"/>
      <c r="M138" s="18"/>
      <c r="O138" s="21">
        <v>0</v>
      </c>
      <c r="S138" s="15" t="str">
        <f>IF(S137="*",S137,"")</f>
        <v>*</v>
      </c>
      <c r="T138" s="17" t="str">
        <f t="shared" si="105"/>
        <v>*BEV*</v>
      </c>
      <c r="U138" s="17" t="str">
        <f t="shared" si="105"/>
        <v>TRAH2G</v>
      </c>
      <c r="V138" s="17" t="str">
        <f t="shared" si="105"/>
        <v>TRAPASMOTDMD</v>
      </c>
      <c r="W138" s="17" t="str">
        <f t="shared" si="105"/>
        <v>TRAPASMOTDMD</v>
      </c>
      <c r="X138" s="18">
        <v>2040</v>
      </c>
      <c r="Y138" s="18" t="str">
        <f>Y137</f>
        <v>LO</v>
      </c>
      <c r="Z138" s="18"/>
      <c r="AA138" s="20" t="e">
        <f>-SUMIFS('TRA RESID'!$P:$P,'TRA RESID'!$I:$I,W138,'TRA RESID'!$J:$J,T138,'TRA RESID'!$H:$H,U138)/SUMIFS('TRA RESID'!$P:$P,'TRA RESID'!$I:$I,W138)*AE138</f>
        <v>#DIV/0!</v>
      </c>
      <c r="AB138" s="18"/>
      <c r="AC138" s="18"/>
      <c r="AE138" s="21">
        <v>1</v>
      </c>
      <c r="AG138" s="15" t="str">
        <f>IF(AG137="*",AG137,"")</f>
        <v>*</v>
      </c>
      <c r="AH138" s="17" t="str">
        <f t="shared" si="106"/>
        <v>*HEV*</v>
      </c>
      <c r="AI138" s="17" t="str">
        <f t="shared" si="106"/>
        <v>TRAH2G</v>
      </c>
      <c r="AJ138" s="17" t="str">
        <f t="shared" si="106"/>
        <v>TRAPASMOTDMD</v>
      </c>
      <c r="AK138" s="17" t="str">
        <f t="shared" si="106"/>
        <v>TRAPASMOTDMD</v>
      </c>
      <c r="AL138" s="18">
        <v>2040</v>
      </c>
      <c r="AM138" s="18" t="str">
        <f>AM137</f>
        <v>LO</v>
      </c>
      <c r="AN138" s="18"/>
      <c r="AO138" s="20" t="e">
        <f>-SUMIFS('TRA RESID'!$P:$P,'TRA RESID'!$I:$I,AK138,'TRA RESID'!$J:$J,AH138,'TRA RESID'!$H:$H,AI138)/SUMIFS('TRA RESID'!$P:$P,'TRA RESID'!$I:$I,AK138)*AS138</f>
        <v>#DIV/0!</v>
      </c>
      <c r="AP138" s="18"/>
      <c r="AQ138" s="18"/>
      <c r="AS138" s="21">
        <v>0</v>
      </c>
      <c r="AU138" s="15" t="str">
        <f>IF(AU137="*",AU137,"")</f>
        <v>*</v>
      </c>
      <c r="AV138" s="17" t="str">
        <f t="shared" si="107"/>
        <v>*FCEV*</v>
      </c>
      <c r="AW138" s="17" t="str">
        <f t="shared" si="107"/>
        <v>TRAH2G</v>
      </c>
      <c r="AX138" s="17" t="str">
        <f t="shared" si="107"/>
        <v>TRAPASMOTDMD</v>
      </c>
      <c r="AY138" s="17" t="str">
        <f t="shared" si="107"/>
        <v>TRAPASMOTDMD</v>
      </c>
      <c r="AZ138" s="18">
        <v>2040</v>
      </c>
      <c r="BA138" s="18" t="str">
        <f>BA137</f>
        <v>LO</v>
      </c>
      <c r="BB138" s="18"/>
      <c r="BC138" s="20" t="e">
        <f>-SUMIFS('TRA RESID'!$P:$P,'TRA RESID'!$I:$I,AY138,'TRA RESID'!$J:$J,AV138,'TRA RESID'!$H:$H,AW138)/SUMIFS('TRA RESID'!$P:$P,'TRA RESID'!$I:$I,AY138)*BG138</f>
        <v>#DIV/0!</v>
      </c>
      <c r="BD138" s="18"/>
      <c r="BE138" s="18"/>
      <c r="BG138" s="21">
        <v>0</v>
      </c>
    </row>
    <row r="139" spans="1:59" x14ac:dyDescent="0.25">
      <c r="C139" s="23" t="str">
        <f>IF(C138="*",C138,"")</f>
        <v>*</v>
      </c>
      <c r="D139" s="25" t="str">
        <f t="shared" si="104"/>
        <v>*ICEV*</v>
      </c>
      <c r="E139" s="25" t="str">
        <f t="shared" si="104"/>
        <v>TRAH2G</v>
      </c>
      <c r="F139" s="25" t="str">
        <f t="shared" si="104"/>
        <v>TRAPASMOTDMD</v>
      </c>
      <c r="G139" s="25" t="str">
        <f t="shared" si="104"/>
        <v>TRAPASMOTDMD</v>
      </c>
      <c r="H139" s="26">
        <v>2050</v>
      </c>
      <c r="I139" s="26" t="str">
        <f>I137</f>
        <v>LO</v>
      </c>
      <c r="J139" s="26"/>
      <c r="K139" s="27" t="e">
        <f>-SUMIFS('TRA RESID'!$P:$P,'TRA RESID'!$I:$I,G139,'TRA RESID'!$J:$J,D139,'TRA RESID'!$H:$H,E139)/SUMIFS('TRA RESID'!$P:$P,'TRA RESID'!$I:$I,G139)*O139</f>
        <v>#DIV/0!</v>
      </c>
      <c r="L139" s="26"/>
      <c r="M139" s="26"/>
      <c r="O139" s="28">
        <v>0</v>
      </c>
      <c r="S139" s="23" t="str">
        <f>IF(S138="*",S138,"")</f>
        <v>*</v>
      </c>
      <c r="T139" s="25" t="str">
        <f t="shared" si="105"/>
        <v>*BEV*</v>
      </c>
      <c r="U139" s="25" t="str">
        <f t="shared" si="105"/>
        <v>TRAH2G</v>
      </c>
      <c r="V139" s="25" t="str">
        <f t="shared" si="105"/>
        <v>TRAPASMOTDMD</v>
      </c>
      <c r="W139" s="25" t="str">
        <f t="shared" si="105"/>
        <v>TRAPASMOTDMD</v>
      </c>
      <c r="X139" s="26">
        <v>2050</v>
      </c>
      <c r="Y139" s="26" t="str">
        <f>Y137</f>
        <v>LO</v>
      </c>
      <c r="Z139" s="26"/>
      <c r="AA139" s="27" t="e">
        <f>-SUMIFS('TRA RESID'!$P:$P,'TRA RESID'!$I:$I,W139,'TRA RESID'!$J:$J,T139,'TRA RESID'!$H:$H,U139)/SUMIFS('TRA RESID'!$P:$P,'TRA RESID'!$I:$I,W139)*AE139</f>
        <v>#DIV/0!</v>
      </c>
      <c r="AB139" s="26"/>
      <c r="AC139" s="26"/>
      <c r="AE139" s="28">
        <v>1</v>
      </c>
      <c r="AG139" s="23" t="str">
        <f>IF(AG138="*",AG138,"")</f>
        <v>*</v>
      </c>
      <c r="AH139" s="25" t="str">
        <f t="shared" si="106"/>
        <v>*HEV*</v>
      </c>
      <c r="AI139" s="25" t="str">
        <f t="shared" si="106"/>
        <v>TRAH2G</v>
      </c>
      <c r="AJ139" s="25" t="str">
        <f t="shared" si="106"/>
        <v>TRAPASMOTDMD</v>
      </c>
      <c r="AK139" s="25" t="str">
        <f t="shared" si="106"/>
        <v>TRAPASMOTDMD</v>
      </c>
      <c r="AL139" s="26">
        <v>2050</v>
      </c>
      <c r="AM139" s="26" t="str">
        <f>AM137</f>
        <v>LO</v>
      </c>
      <c r="AN139" s="26"/>
      <c r="AO139" s="27" t="e">
        <f>-SUMIFS('TRA RESID'!$P:$P,'TRA RESID'!$I:$I,AK139,'TRA RESID'!$J:$J,AH139,'TRA RESID'!$H:$H,AI139)/SUMIFS('TRA RESID'!$P:$P,'TRA RESID'!$I:$I,AK139)*AS139</f>
        <v>#DIV/0!</v>
      </c>
      <c r="AP139" s="26"/>
      <c r="AQ139" s="26"/>
      <c r="AS139" s="28">
        <v>0</v>
      </c>
      <c r="AU139" s="23" t="str">
        <f>IF(AU138="*",AU138,"")</f>
        <v>*</v>
      </c>
      <c r="AV139" s="25" t="str">
        <f t="shared" si="107"/>
        <v>*FCEV*</v>
      </c>
      <c r="AW139" s="25" t="str">
        <f t="shared" si="107"/>
        <v>TRAH2G</v>
      </c>
      <c r="AX139" s="25" t="str">
        <f t="shared" si="107"/>
        <v>TRAPASMOTDMD</v>
      </c>
      <c r="AY139" s="25" t="str">
        <f t="shared" si="107"/>
        <v>TRAPASMOTDMD</v>
      </c>
      <c r="AZ139" s="26">
        <v>2050</v>
      </c>
      <c r="BA139" s="26" t="str">
        <f>BA137</f>
        <v>LO</v>
      </c>
      <c r="BB139" s="26"/>
      <c r="BC139" s="27" t="e">
        <f>-SUMIFS('TRA RESID'!$P:$P,'TRA RESID'!$I:$I,AY139,'TRA RESID'!$J:$J,AV139,'TRA RESID'!$H:$H,AW139)/SUMIFS('TRA RESID'!$P:$P,'TRA RESID'!$I:$I,AY139)*BG139</f>
        <v>#DIV/0!</v>
      </c>
      <c r="BD139" s="26"/>
      <c r="BE139" s="26"/>
      <c r="BG139" s="28">
        <v>0</v>
      </c>
    </row>
    <row r="140" spans="1:59" x14ac:dyDescent="0.25">
      <c r="A140">
        <f>A135+1</f>
        <v>28</v>
      </c>
      <c r="C140" s="15" t="str">
        <f>IF(E140="","",IF(_xlfn.XLOOKUP($A140,Selected_constraint!$A:$A,Selected_constraint!$D:$D)=1,"*",IF(SUMIFS('TRA TECH'!$M:$M,'TRA TECH'!$H:$H,E140,'TRA TECH'!$I:$I,F140)=0,"*",IF(SUMIFS('TRA RESID'!$P:$P,'TRA RESID'!$I:$I,G140,'TRA RESID'!$J:$J,D140,'TRA RESID'!$H:$H,E140)=0,"*","UC_"&amp;SUBSTITUTE(D140,"*","")&amp;"_"&amp;RIGHT(E140,3)&amp;"_"&amp;F140))))</f>
        <v>UC_ICEV_GSL_TRAFRECLTDMD</v>
      </c>
      <c r="D140" s="17" t="s">
        <v>485</v>
      </c>
      <c r="E140" s="17" t="str">
        <f>_xlfn.XLOOKUP($A140,Selected_constraint!$A:$A,Selected_constraint!$B:$B)</f>
        <v>TRAGSL</v>
      </c>
      <c r="F140" s="17" t="str">
        <f>_xlfn.XLOOKUP($A140,Selected_constraint!$A:$A,Selected_constraint!$C:$C)</f>
        <v>TRAFRECLTDMD</v>
      </c>
      <c r="G140" s="17" t="str">
        <f>F140</f>
        <v>TRAFRECLTDMD</v>
      </c>
      <c r="H140" s="18">
        <v>2019</v>
      </c>
      <c r="I140" s="18" t="s">
        <v>483</v>
      </c>
      <c r="J140" s="18">
        <v>1</v>
      </c>
      <c r="K140" s="20">
        <f>-SUMIFS('TRA RESID'!$P:$P,'TRA RESID'!$I:$I,G140,'TRA RESID'!$J:$J,D140,'TRA RESID'!$H:$H,E140)/SUMIFS('TRA RESID'!$P:$P,'TRA RESID'!$I:$I,G140)*O140</f>
        <v>-0.81353263160386324</v>
      </c>
      <c r="L140" s="18">
        <v>0</v>
      </c>
      <c r="M140" s="18">
        <v>5</v>
      </c>
      <c r="O140" s="21">
        <v>0.98</v>
      </c>
      <c r="Q140">
        <f>Q135+1</f>
        <v>28</v>
      </c>
      <c r="S140" s="15" t="str">
        <f>IF(SUMIFS('TRA RESID'!$P:$P,'TRA RESID'!$I:$I,W140,'TRA RESID'!$J:$J,T140,'TRA RESID'!$H:$H,U140)=0,"*","UC_"&amp;SUBSTITUTE(T140,"*","")&amp;"_"&amp;RIGHT(U140,3)&amp;"_"&amp;V140)</f>
        <v>*</v>
      </c>
      <c r="T140" s="17" t="s">
        <v>486</v>
      </c>
      <c r="U140" s="17" t="str">
        <f>_xlfn.XLOOKUP($A140,Selected_constraint!$A:$A,Selected_constraint!$B:$B)</f>
        <v>TRAGSL</v>
      </c>
      <c r="V140" s="17" t="str">
        <f>_xlfn.XLOOKUP($A140,Selected_constraint!$A:$A,Selected_constraint!$C:$C)</f>
        <v>TRAFRECLTDMD</v>
      </c>
      <c r="W140" s="17" t="str">
        <f>V140</f>
        <v>TRAFRECLTDMD</v>
      </c>
      <c r="X140" s="18">
        <v>2019</v>
      </c>
      <c r="Y140" s="18" t="s">
        <v>483</v>
      </c>
      <c r="Z140" s="18">
        <v>1</v>
      </c>
      <c r="AA140" s="20">
        <f>-SUMIFS('TRA RESID'!$P:$P,'TRA RESID'!$I:$I,W140,'TRA RESID'!$J:$J,T140,'TRA RESID'!$H:$H,U140)/SUMIFS('TRA RESID'!$P:$P,'TRA RESID'!$I:$I,W140)*AE140</f>
        <v>0</v>
      </c>
      <c r="AB140" s="18">
        <v>0</v>
      </c>
      <c r="AC140" s="18">
        <v>5</v>
      </c>
      <c r="AE140" s="21">
        <v>0.98</v>
      </c>
      <c r="AG140" s="15" t="str">
        <f>IF(SUMIFS('TRA RESID'!$P:$P,'TRA RESID'!$I:$I,AK140,'TRA RESID'!$J:$J,AH140,'TRA RESID'!$H:$H,AI140)=0,"*","UC_"&amp;SUBSTITUTE(AH140,"*","")&amp;"_"&amp;RIGHT(AI140,3)&amp;"_"&amp;AJ140)</f>
        <v>*</v>
      </c>
      <c r="AH140" s="17" t="s">
        <v>487</v>
      </c>
      <c r="AI140" s="17" t="str">
        <f>_xlfn.XLOOKUP($A140,Selected_constraint!$A:$A,Selected_constraint!$B:$B)</f>
        <v>TRAGSL</v>
      </c>
      <c r="AJ140" s="17" t="str">
        <f>_xlfn.XLOOKUP($A140,Selected_constraint!$A:$A,Selected_constraint!$C:$C)</f>
        <v>TRAFRECLTDMD</v>
      </c>
      <c r="AK140" s="17" t="str">
        <f>AJ140</f>
        <v>TRAFRECLTDMD</v>
      </c>
      <c r="AL140" s="18">
        <v>2019</v>
      </c>
      <c r="AM140" s="18" t="s">
        <v>483</v>
      </c>
      <c r="AN140" s="18">
        <v>1</v>
      </c>
      <c r="AO140" s="20">
        <f>-SUMIFS('TRA RESID'!$P:$P,'TRA RESID'!$I:$I,AK140,'TRA RESID'!$J:$J,AH140,'TRA RESID'!$H:$H,AI140)/SUMIFS('TRA RESID'!$P:$P,'TRA RESID'!$I:$I,AK140)*AS140</f>
        <v>0</v>
      </c>
      <c r="AP140" s="18">
        <v>0</v>
      </c>
      <c r="AQ140" s="18">
        <v>5</v>
      </c>
      <c r="AS140" s="21">
        <v>0.98</v>
      </c>
      <c r="AU140" s="15" t="str">
        <f>IF(SUMIFS('TRA RESID'!$P:$P,'TRA RESID'!$I:$I,AY140,'TRA RESID'!$J:$J,AV140,'TRA RESID'!$H:$H,AW140)=0,"*","UC_"&amp;SUBSTITUTE(AV140,"*","")&amp;"_"&amp;RIGHT(AW140,3)&amp;"_"&amp;AX140)</f>
        <v>*</v>
      </c>
      <c r="AV140" s="17" t="s">
        <v>488</v>
      </c>
      <c r="AW140" s="17" t="str">
        <f>_xlfn.XLOOKUP($A140,Selected_constraint!$A:$A,Selected_constraint!$B:$B)</f>
        <v>TRAGSL</v>
      </c>
      <c r="AX140" s="17" t="str">
        <f>_xlfn.XLOOKUP($A140,Selected_constraint!$A:$A,Selected_constraint!$C:$C)</f>
        <v>TRAFRECLTDMD</v>
      </c>
      <c r="AY140" s="17" t="str">
        <f>AX140</f>
        <v>TRAFRECLTDMD</v>
      </c>
      <c r="AZ140" s="18">
        <v>2019</v>
      </c>
      <c r="BA140" s="18" t="s">
        <v>483</v>
      </c>
      <c r="BB140" s="18">
        <v>1</v>
      </c>
      <c r="BC140" s="20">
        <f>-SUMIFS('TRA RESID'!$P:$P,'TRA RESID'!$I:$I,AY140,'TRA RESID'!$J:$J,AV140,'TRA RESID'!$H:$H,AW140)/SUMIFS('TRA RESID'!$P:$P,'TRA RESID'!$I:$I,AY140)*BG140</f>
        <v>0</v>
      </c>
      <c r="BD140" s="18">
        <v>0</v>
      </c>
      <c r="BE140" s="18">
        <v>5</v>
      </c>
      <c r="BG140" s="21">
        <v>0.98</v>
      </c>
    </row>
    <row r="141" spans="1:59" x14ac:dyDescent="0.25">
      <c r="C141" s="15" t="str">
        <f>IF(C140="*",C140,"")</f>
        <v/>
      </c>
      <c r="D141" s="17" t="str">
        <f t="shared" ref="D141:G144" si="108">D140</f>
        <v>*ICEV*</v>
      </c>
      <c r="E141" s="17" t="str">
        <f t="shared" si="108"/>
        <v>TRAGSL</v>
      </c>
      <c r="F141" s="17" t="str">
        <f t="shared" si="108"/>
        <v>TRAFRECLTDMD</v>
      </c>
      <c r="G141" s="17" t="str">
        <f t="shared" si="108"/>
        <v>TRAFRECLTDMD</v>
      </c>
      <c r="H141" s="18">
        <v>2025</v>
      </c>
      <c r="I141" s="18" t="str">
        <f>I140</f>
        <v>LO</v>
      </c>
      <c r="J141" s="18"/>
      <c r="K141" s="20">
        <f>-SUMIFS('TRA RESID'!$P:$P,'TRA RESID'!$I:$I,G141,'TRA RESID'!$J:$J,D141,'TRA RESID'!$H:$H,E141)/SUMIFS('TRA RESID'!$P:$P,'TRA RESID'!$I:$I,G141)*O141</f>
        <v>-0.66410827069703127</v>
      </c>
      <c r="L141" s="18"/>
      <c r="M141" s="18"/>
      <c r="O141" s="21">
        <v>0.8</v>
      </c>
      <c r="S141" s="15" t="str">
        <f>IF(S140="*",S140,"")</f>
        <v>*</v>
      </c>
      <c r="T141" s="17" t="str">
        <f t="shared" ref="T141:W144" si="109">T140</f>
        <v>*BEV*</v>
      </c>
      <c r="U141" s="17" t="str">
        <f t="shared" si="109"/>
        <v>TRAGSL</v>
      </c>
      <c r="V141" s="17" t="str">
        <f t="shared" si="109"/>
        <v>TRAFRECLTDMD</v>
      </c>
      <c r="W141" s="17" t="str">
        <f t="shared" si="109"/>
        <v>TRAFRECLTDMD</v>
      </c>
      <c r="X141" s="18">
        <v>2025</v>
      </c>
      <c r="Y141" s="18" t="str">
        <f>Y140</f>
        <v>LO</v>
      </c>
      <c r="Z141" s="18"/>
      <c r="AA141" s="20">
        <f>-SUMIFS('TRA RESID'!$P:$P,'TRA RESID'!$I:$I,W141,'TRA RESID'!$J:$J,T141,'TRA RESID'!$H:$H,U141)/SUMIFS('TRA RESID'!$P:$P,'TRA RESID'!$I:$I,W141)*AE141</f>
        <v>0</v>
      </c>
      <c r="AB141" s="18"/>
      <c r="AC141" s="18"/>
      <c r="AE141" s="21">
        <v>1</v>
      </c>
      <c r="AG141" s="15" t="str">
        <f>IF(AG140="*",AG140,"")</f>
        <v>*</v>
      </c>
      <c r="AH141" s="17" t="str">
        <f t="shared" ref="AH141:AK144" si="110">AH140</f>
        <v>*HEV*</v>
      </c>
      <c r="AI141" s="17" t="str">
        <f t="shared" si="110"/>
        <v>TRAGSL</v>
      </c>
      <c r="AJ141" s="17" t="str">
        <f t="shared" si="110"/>
        <v>TRAFRECLTDMD</v>
      </c>
      <c r="AK141" s="17" t="str">
        <f t="shared" si="110"/>
        <v>TRAFRECLTDMD</v>
      </c>
      <c r="AL141" s="18">
        <v>2025</v>
      </c>
      <c r="AM141" s="18" t="str">
        <f>AM140</f>
        <v>LO</v>
      </c>
      <c r="AN141" s="18"/>
      <c r="AO141" s="20">
        <f>-SUMIFS('TRA RESID'!$P:$P,'TRA RESID'!$I:$I,AK141,'TRA RESID'!$J:$J,AH141,'TRA RESID'!$H:$H,AI141)/SUMIFS('TRA RESID'!$P:$P,'TRA RESID'!$I:$I,AK141)*AS141</f>
        <v>0</v>
      </c>
      <c r="AP141" s="18"/>
      <c r="AQ141" s="18"/>
      <c r="AS141" s="21">
        <v>0.8</v>
      </c>
      <c r="AU141" s="15" t="str">
        <f>IF(AU140="*",AU140,"")</f>
        <v>*</v>
      </c>
      <c r="AV141" s="17" t="str">
        <f t="shared" ref="AV141:AY144" si="111">AV140</f>
        <v>*FCEV*</v>
      </c>
      <c r="AW141" s="17" t="str">
        <f t="shared" si="111"/>
        <v>TRAGSL</v>
      </c>
      <c r="AX141" s="17" t="str">
        <f t="shared" si="111"/>
        <v>TRAFRECLTDMD</v>
      </c>
      <c r="AY141" s="17" t="str">
        <f t="shared" si="111"/>
        <v>TRAFRECLTDMD</v>
      </c>
      <c r="AZ141" s="18">
        <v>2025</v>
      </c>
      <c r="BA141" s="18" t="str">
        <f>BA140</f>
        <v>LO</v>
      </c>
      <c r="BB141" s="18"/>
      <c r="BC141" s="20">
        <f>-SUMIFS('TRA RESID'!$P:$P,'TRA RESID'!$I:$I,AY141,'TRA RESID'!$J:$J,AV141,'TRA RESID'!$H:$H,AW141)/SUMIFS('TRA RESID'!$P:$P,'TRA RESID'!$I:$I,AY141)*BG141</f>
        <v>0</v>
      </c>
      <c r="BD141" s="18"/>
      <c r="BE141" s="18"/>
      <c r="BG141" s="21">
        <v>0.8</v>
      </c>
    </row>
    <row r="142" spans="1:59" x14ac:dyDescent="0.25">
      <c r="C142" s="15" t="str">
        <f>IF(C141="*",C141,"")</f>
        <v/>
      </c>
      <c r="D142" s="17" t="str">
        <f t="shared" si="108"/>
        <v>*ICEV*</v>
      </c>
      <c r="E142" s="17" t="str">
        <f t="shared" si="108"/>
        <v>TRAGSL</v>
      </c>
      <c r="F142" s="17" t="str">
        <f t="shared" si="108"/>
        <v>TRAFRECLTDMD</v>
      </c>
      <c r="G142" s="17" t="str">
        <f t="shared" si="108"/>
        <v>TRAFRECLTDMD</v>
      </c>
      <c r="H142" s="18">
        <v>2030</v>
      </c>
      <c r="I142" s="18" t="str">
        <f>I141</f>
        <v>LO</v>
      </c>
      <c r="J142" s="18"/>
      <c r="K142" s="20">
        <f>-SUMIFS('TRA RESID'!$P:$P,'TRA RESID'!$I:$I,G142,'TRA RESID'!$J:$J,D142,'TRA RESID'!$H:$H,E142)/SUMIFS('TRA RESID'!$P:$P,'TRA RESID'!$I:$I,G142)*O142</f>
        <v>-0.41506766918564453</v>
      </c>
      <c r="L142" s="18"/>
      <c r="M142" s="18"/>
      <c r="O142" s="21">
        <v>0.5</v>
      </c>
      <c r="S142" s="15" t="str">
        <f>IF(S141="*",S141,"")</f>
        <v>*</v>
      </c>
      <c r="T142" s="17" t="str">
        <f t="shared" si="109"/>
        <v>*BEV*</v>
      </c>
      <c r="U142" s="17" t="str">
        <f t="shared" si="109"/>
        <v>TRAGSL</v>
      </c>
      <c r="V142" s="17" t="str">
        <f t="shared" si="109"/>
        <v>TRAFRECLTDMD</v>
      </c>
      <c r="W142" s="17" t="str">
        <f t="shared" si="109"/>
        <v>TRAFRECLTDMD</v>
      </c>
      <c r="X142" s="18">
        <v>2030</v>
      </c>
      <c r="Y142" s="18" t="str">
        <f>Y141</f>
        <v>LO</v>
      </c>
      <c r="Z142" s="18"/>
      <c r="AA142" s="20">
        <f>-SUMIFS('TRA RESID'!$P:$P,'TRA RESID'!$I:$I,W142,'TRA RESID'!$J:$J,T142,'TRA RESID'!$H:$H,U142)/SUMIFS('TRA RESID'!$P:$P,'TRA RESID'!$I:$I,W142)*AE142</f>
        <v>0</v>
      </c>
      <c r="AB142" s="18"/>
      <c r="AC142" s="18"/>
      <c r="AE142" s="21">
        <v>1</v>
      </c>
      <c r="AG142" s="15" t="str">
        <f>IF(AG141="*",AG141,"")</f>
        <v>*</v>
      </c>
      <c r="AH142" s="17" t="str">
        <f t="shared" si="110"/>
        <v>*HEV*</v>
      </c>
      <c r="AI142" s="17" t="str">
        <f t="shared" si="110"/>
        <v>TRAGSL</v>
      </c>
      <c r="AJ142" s="17" t="str">
        <f t="shared" si="110"/>
        <v>TRAFRECLTDMD</v>
      </c>
      <c r="AK142" s="17" t="str">
        <f t="shared" si="110"/>
        <v>TRAFRECLTDMD</v>
      </c>
      <c r="AL142" s="18">
        <v>2030</v>
      </c>
      <c r="AM142" s="18" t="str">
        <f>AM141</f>
        <v>LO</v>
      </c>
      <c r="AN142" s="18"/>
      <c r="AO142" s="20">
        <f>-SUMIFS('TRA RESID'!$P:$P,'TRA RESID'!$I:$I,AK142,'TRA RESID'!$J:$J,AH142,'TRA RESID'!$H:$H,AI142)/SUMIFS('TRA RESID'!$P:$P,'TRA RESID'!$I:$I,AK142)*AS142</f>
        <v>0</v>
      </c>
      <c r="AP142" s="18"/>
      <c r="AQ142" s="18"/>
      <c r="AS142" s="21">
        <v>0.5</v>
      </c>
      <c r="AU142" s="15" t="str">
        <f>IF(AU141="*",AU141,"")</f>
        <v>*</v>
      </c>
      <c r="AV142" s="17" t="str">
        <f t="shared" si="111"/>
        <v>*FCEV*</v>
      </c>
      <c r="AW142" s="17" t="str">
        <f t="shared" si="111"/>
        <v>TRAGSL</v>
      </c>
      <c r="AX142" s="17" t="str">
        <f t="shared" si="111"/>
        <v>TRAFRECLTDMD</v>
      </c>
      <c r="AY142" s="17" t="str">
        <f t="shared" si="111"/>
        <v>TRAFRECLTDMD</v>
      </c>
      <c r="AZ142" s="18">
        <v>2030</v>
      </c>
      <c r="BA142" s="18" t="str">
        <f>BA141</f>
        <v>LO</v>
      </c>
      <c r="BB142" s="18"/>
      <c r="BC142" s="20">
        <f>-SUMIFS('TRA RESID'!$P:$P,'TRA RESID'!$I:$I,AY142,'TRA RESID'!$J:$J,AV142,'TRA RESID'!$H:$H,AW142)/SUMIFS('TRA RESID'!$P:$P,'TRA RESID'!$I:$I,AY142)*BG142</f>
        <v>0</v>
      </c>
      <c r="BD142" s="18"/>
      <c r="BE142" s="18"/>
      <c r="BG142" s="21">
        <v>0.5</v>
      </c>
    </row>
    <row r="143" spans="1:59" x14ac:dyDescent="0.25">
      <c r="C143" s="15" t="str">
        <f>IF(C142="*",C142,"")</f>
        <v/>
      </c>
      <c r="D143" s="17" t="str">
        <f t="shared" si="108"/>
        <v>*ICEV*</v>
      </c>
      <c r="E143" s="17" t="str">
        <f t="shared" si="108"/>
        <v>TRAGSL</v>
      </c>
      <c r="F143" s="17" t="str">
        <f t="shared" si="108"/>
        <v>TRAFRECLTDMD</v>
      </c>
      <c r="G143" s="17" t="str">
        <f t="shared" si="108"/>
        <v>TRAFRECLTDMD</v>
      </c>
      <c r="H143" s="18">
        <v>2040</v>
      </c>
      <c r="I143" s="18" t="str">
        <f>I142</f>
        <v>LO</v>
      </c>
      <c r="J143" s="18"/>
      <c r="K143" s="20">
        <f>-SUMIFS('TRA RESID'!$P:$P,'TRA RESID'!$I:$I,G143,'TRA RESID'!$J:$J,D143,'TRA RESID'!$H:$H,E143)/SUMIFS('TRA RESID'!$P:$P,'TRA RESID'!$I:$I,G143)*O143</f>
        <v>0</v>
      </c>
      <c r="L143" s="18"/>
      <c r="M143" s="18"/>
      <c r="O143" s="21">
        <v>0</v>
      </c>
      <c r="S143" s="15" t="str">
        <f>IF(S142="*",S142,"")</f>
        <v>*</v>
      </c>
      <c r="T143" s="17" t="str">
        <f t="shared" si="109"/>
        <v>*BEV*</v>
      </c>
      <c r="U143" s="17" t="str">
        <f t="shared" si="109"/>
        <v>TRAGSL</v>
      </c>
      <c r="V143" s="17" t="str">
        <f t="shared" si="109"/>
        <v>TRAFRECLTDMD</v>
      </c>
      <c r="W143" s="17" t="str">
        <f t="shared" si="109"/>
        <v>TRAFRECLTDMD</v>
      </c>
      <c r="X143" s="18">
        <v>2040</v>
      </c>
      <c r="Y143" s="18" t="str">
        <f>Y142</f>
        <v>LO</v>
      </c>
      <c r="Z143" s="18"/>
      <c r="AA143" s="20">
        <f>-SUMIFS('TRA RESID'!$P:$P,'TRA RESID'!$I:$I,W143,'TRA RESID'!$J:$J,T143,'TRA RESID'!$H:$H,U143)/SUMIFS('TRA RESID'!$P:$P,'TRA RESID'!$I:$I,W143)*AE143</f>
        <v>0</v>
      </c>
      <c r="AB143" s="18"/>
      <c r="AC143" s="18"/>
      <c r="AE143" s="21">
        <v>1</v>
      </c>
      <c r="AG143" s="15" t="str">
        <f>IF(AG142="*",AG142,"")</f>
        <v>*</v>
      </c>
      <c r="AH143" s="17" t="str">
        <f t="shared" si="110"/>
        <v>*HEV*</v>
      </c>
      <c r="AI143" s="17" t="str">
        <f t="shared" si="110"/>
        <v>TRAGSL</v>
      </c>
      <c r="AJ143" s="17" t="str">
        <f t="shared" si="110"/>
        <v>TRAFRECLTDMD</v>
      </c>
      <c r="AK143" s="17" t="str">
        <f t="shared" si="110"/>
        <v>TRAFRECLTDMD</v>
      </c>
      <c r="AL143" s="18">
        <v>2040</v>
      </c>
      <c r="AM143" s="18" t="str">
        <f>AM142</f>
        <v>LO</v>
      </c>
      <c r="AN143" s="18"/>
      <c r="AO143" s="20">
        <f>-SUMIFS('TRA RESID'!$P:$P,'TRA RESID'!$I:$I,AK143,'TRA RESID'!$J:$J,AH143,'TRA RESID'!$H:$H,AI143)/SUMIFS('TRA RESID'!$P:$P,'TRA RESID'!$I:$I,AK143)*AS143</f>
        <v>0</v>
      </c>
      <c r="AP143" s="18"/>
      <c r="AQ143" s="18"/>
      <c r="AS143" s="21">
        <v>0</v>
      </c>
      <c r="AU143" s="15" t="str">
        <f>IF(AU142="*",AU142,"")</f>
        <v>*</v>
      </c>
      <c r="AV143" s="17" t="str">
        <f t="shared" si="111"/>
        <v>*FCEV*</v>
      </c>
      <c r="AW143" s="17" t="str">
        <f t="shared" si="111"/>
        <v>TRAGSL</v>
      </c>
      <c r="AX143" s="17" t="str">
        <f t="shared" si="111"/>
        <v>TRAFRECLTDMD</v>
      </c>
      <c r="AY143" s="17" t="str">
        <f t="shared" si="111"/>
        <v>TRAFRECLTDMD</v>
      </c>
      <c r="AZ143" s="18">
        <v>2040</v>
      </c>
      <c r="BA143" s="18" t="str">
        <f>BA142</f>
        <v>LO</v>
      </c>
      <c r="BB143" s="18"/>
      <c r="BC143" s="20">
        <f>-SUMIFS('TRA RESID'!$P:$P,'TRA RESID'!$I:$I,AY143,'TRA RESID'!$J:$J,AV143,'TRA RESID'!$H:$H,AW143)/SUMIFS('TRA RESID'!$P:$P,'TRA RESID'!$I:$I,AY143)*BG143</f>
        <v>0</v>
      </c>
      <c r="BD143" s="18"/>
      <c r="BE143" s="18"/>
      <c r="BG143" s="21">
        <v>0</v>
      </c>
    </row>
    <row r="144" spans="1:59" x14ac:dyDescent="0.25">
      <c r="C144" s="23" t="str">
        <f>IF(C143="*",C143,"")</f>
        <v/>
      </c>
      <c r="D144" s="25" t="str">
        <f t="shared" si="108"/>
        <v>*ICEV*</v>
      </c>
      <c r="E144" s="25" t="str">
        <f t="shared" si="108"/>
        <v>TRAGSL</v>
      </c>
      <c r="F144" s="25" t="str">
        <f t="shared" si="108"/>
        <v>TRAFRECLTDMD</v>
      </c>
      <c r="G144" s="25" t="str">
        <f t="shared" si="108"/>
        <v>TRAFRECLTDMD</v>
      </c>
      <c r="H144" s="26">
        <v>2050</v>
      </c>
      <c r="I144" s="26" t="str">
        <f>I142</f>
        <v>LO</v>
      </c>
      <c r="J144" s="26"/>
      <c r="K144" s="27">
        <f>-SUMIFS('TRA RESID'!$P:$P,'TRA RESID'!$I:$I,G144,'TRA RESID'!$J:$J,D144,'TRA RESID'!$H:$H,E144)/SUMIFS('TRA RESID'!$P:$P,'TRA RESID'!$I:$I,G144)*O144</f>
        <v>0</v>
      </c>
      <c r="L144" s="26"/>
      <c r="M144" s="26"/>
      <c r="O144" s="28">
        <v>0</v>
      </c>
      <c r="S144" s="23" t="str">
        <f>IF(S143="*",S143,"")</f>
        <v>*</v>
      </c>
      <c r="T144" s="25" t="str">
        <f t="shared" si="109"/>
        <v>*BEV*</v>
      </c>
      <c r="U144" s="25" t="str">
        <f t="shared" si="109"/>
        <v>TRAGSL</v>
      </c>
      <c r="V144" s="25" t="str">
        <f t="shared" si="109"/>
        <v>TRAFRECLTDMD</v>
      </c>
      <c r="W144" s="25" t="str">
        <f t="shared" si="109"/>
        <v>TRAFRECLTDMD</v>
      </c>
      <c r="X144" s="26">
        <v>2050</v>
      </c>
      <c r="Y144" s="26" t="str">
        <f>Y142</f>
        <v>LO</v>
      </c>
      <c r="Z144" s="26"/>
      <c r="AA144" s="27">
        <f>-SUMIFS('TRA RESID'!$P:$P,'TRA RESID'!$I:$I,W144,'TRA RESID'!$J:$J,T144,'TRA RESID'!$H:$H,U144)/SUMIFS('TRA RESID'!$P:$P,'TRA RESID'!$I:$I,W144)*AE144</f>
        <v>0</v>
      </c>
      <c r="AB144" s="26"/>
      <c r="AC144" s="26"/>
      <c r="AE144" s="28">
        <v>1</v>
      </c>
      <c r="AG144" s="23" t="str">
        <f>IF(AG143="*",AG143,"")</f>
        <v>*</v>
      </c>
      <c r="AH144" s="25" t="str">
        <f t="shared" si="110"/>
        <v>*HEV*</v>
      </c>
      <c r="AI144" s="25" t="str">
        <f t="shared" si="110"/>
        <v>TRAGSL</v>
      </c>
      <c r="AJ144" s="25" t="str">
        <f t="shared" si="110"/>
        <v>TRAFRECLTDMD</v>
      </c>
      <c r="AK144" s="25" t="str">
        <f t="shared" si="110"/>
        <v>TRAFRECLTDMD</v>
      </c>
      <c r="AL144" s="26">
        <v>2050</v>
      </c>
      <c r="AM144" s="26" t="str">
        <f>AM142</f>
        <v>LO</v>
      </c>
      <c r="AN144" s="26"/>
      <c r="AO144" s="27">
        <f>-SUMIFS('TRA RESID'!$P:$P,'TRA RESID'!$I:$I,AK144,'TRA RESID'!$J:$J,AH144,'TRA RESID'!$H:$H,AI144)/SUMIFS('TRA RESID'!$P:$P,'TRA RESID'!$I:$I,AK144)*AS144</f>
        <v>0</v>
      </c>
      <c r="AP144" s="26"/>
      <c r="AQ144" s="26"/>
      <c r="AS144" s="28">
        <v>0</v>
      </c>
      <c r="AU144" s="23" t="str">
        <f>IF(AU143="*",AU143,"")</f>
        <v>*</v>
      </c>
      <c r="AV144" s="25" t="str">
        <f t="shared" si="111"/>
        <v>*FCEV*</v>
      </c>
      <c r="AW144" s="25" t="str">
        <f t="shared" si="111"/>
        <v>TRAGSL</v>
      </c>
      <c r="AX144" s="25" t="str">
        <f t="shared" si="111"/>
        <v>TRAFRECLTDMD</v>
      </c>
      <c r="AY144" s="25" t="str">
        <f t="shared" si="111"/>
        <v>TRAFRECLTDMD</v>
      </c>
      <c r="AZ144" s="26">
        <v>2050</v>
      </c>
      <c r="BA144" s="26" t="str">
        <f>BA142</f>
        <v>LO</v>
      </c>
      <c r="BB144" s="26"/>
      <c r="BC144" s="27">
        <f>-SUMIFS('TRA RESID'!$P:$P,'TRA RESID'!$I:$I,AY144,'TRA RESID'!$J:$J,AV144,'TRA RESID'!$H:$H,AW144)/SUMIFS('TRA RESID'!$P:$P,'TRA RESID'!$I:$I,AY144)*BG144</f>
        <v>0</v>
      </c>
      <c r="BD144" s="26"/>
      <c r="BE144" s="26"/>
      <c r="BG144" s="28">
        <v>0</v>
      </c>
    </row>
    <row r="145" spans="1:59" x14ac:dyDescent="0.25">
      <c r="A145">
        <f>A140+1</f>
        <v>29</v>
      </c>
      <c r="C145" s="15" t="str">
        <f>IF(E145="","",IF(_xlfn.XLOOKUP($A145,Selected_constraint!$A:$A,Selected_constraint!$D:$D)=1,"*",IF(SUMIFS('TRA TECH'!$M:$M,'TRA TECH'!$H:$H,E145,'TRA TECH'!$I:$I,F145)=0,"*",IF(SUMIFS('TRA RESID'!$P:$P,'TRA RESID'!$I:$I,G145,'TRA RESID'!$J:$J,D145,'TRA RESID'!$H:$H,E145)=0,"*","UC_"&amp;SUBSTITUTE(D145,"*","")&amp;"_"&amp;RIGHT(E145,3)&amp;"_"&amp;F145))))</f>
        <v>*</v>
      </c>
      <c r="D145" s="17" t="s">
        <v>485</v>
      </c>
      <c r="E145" s="17" t="str">
        <f>_xlfn.XLOOKUP($A145,Selected_constraint!$A:$A,Selected_constraint!$B:$B)</f>
        <v>TRAETH</v>
      </c>
      <c r="F145" s="17" t="str">
        <f>_xlfn.XLOOKUP($A145,Selected_constraint!$A:$A,Selected_constraint!$C:$C)</f>
        <v>TRAFRECLTDMD</v>
      </c>
      <c r="G145" s="17" t="str">
        <f>F145</f>
        <v>TRAFRECLTDMD</v>
      </c>
      <c r="H145" s="18">
        <v>2019</v>
      </c>
      <c r="I145" s="18" t="s">
        <v>483</v>
      </c>
      <c r="J145" s="18">
        <v>1</v>
      </c>
      <c r="K145" s="20">
        <f>-SUMIFS('TRA RESID'!$P:$P,'TRA RESID'!$I:$I,G145,'TRA RESID'!$J:$J,D145,'TRA RESID'!$H:$H,E145)/SUMIFS('TRA RESID'!$P:$P,'TRA RESID'!$I:$I,G145)*O145</f>
        <v>0</v>
      </c>
      <c r="L145" s="18">
        <v>0</v>
      </c>
      <c r="M145" s="18">
        <v>5</v>
      </c>
      <c r="O145" s="21">
        <v>0.98</v>
      </c>
      <c r="Q145">
        <f>Q140+1</f>
        <v>29</v>
      </c>
      <c r="S145" s="15" t="str">
        <f>IF(SUMIFS('TRA RESID'!$P:$P,'TRA RESID'!$I:$I,W145,'TRA RESID'!$J:$J,T145,'TRA RESID'!$H:$H,U145)=0,"*","UC_"&amp;SUBSTITUTE(T145,"*","")&amp;"_"&amp;RIGHT(U145,3)&amp;"_"&amp;V145)</f>
        <v>*</v>
      </c>
      <c r="T145" s="17" t="s">
        <v>486</v>
      </c>
      <c r="U145" s="17" t="str">
        <f>_xlfn.XLOOKUP($A145,Selected_constraint!$A:$A,Selected_constraint!$B:$B)</f>
        <v>TRAETH</v>
      </c>
      <c r="V145" s="17" t="str">
        <f>_xlfn.XLOOKUP($A145,Selected_constraint!$A:$A,Selected_constraint!$C:$C)</f>
        <v>TRAFRECLTDMD</v>
      </c>
      <c r="W145" s="17" t="str">
        <f>V145</f>
        <v>TRAFRECLTDMD</v>
      </c>
      <c r="X145" s="18">
        <v>2019</v>
      </c>
      <c r="Y145" s="18" t="s">
        <v>483</v>
      </c>
      <c r="Z145" s="18">
        <v>1</v>
      </c>
      <c r="AA145" s="20">
        <f>-SUMIFS('TRA RESID'!$P:$P,'TRA RESID'!$I:$I,W145,'TRA RESID'!$J:$J,T145,'TRA RESID'!$H:$H,U145)/SUMIFS('TRA RESID'!$P:$P,'TRA RESID'!$I:$I,W145)*AE145</f>
        <v>0</v>
      </c>
      <c r="AB145" s="18">
        <v>0</v>
      </c>
      <c r="AC145" s="18">
        <v>5</v>
      </c>
      <c r="AE145" s="21">
        <v>0.98</v>
      </c>
      <c r="AG145" s="15" t="str">
        <f>IF(SUMIFS('TRA RESID'!$P:$P,'TRA RESID'!$I:$I,AK145,'TRA RESID'!$J:$J,AH145,'TRA RESID'!$H:$H,AI145)=0,"*","UC_"&amp;SUBSTITUTE(AH145,"*","")&amp;"_"&amp;RIGHT(AI145,3)&amp;"_"&amp;AJ145)</f>
        <v>*</v>
      </c>
      <c r="AH145" s="17" t="s">
        <v>487</v>
      </c>
      <c r="AI145" s="17" t="str">
        <f>_xlfn.XLOOKUP($A145,Selected_constraint!$A:$A,Selected_constraint!$B:$B)</f>
        <v>TRAETH</v>
      </c>
      <c r="AJ145" s="17" t="str">
        <f>_xlfn.XLOOKUP($A145,Selected_constraint!$A:$A,Selected_constraint!$C:$C)</f>
        <v>TRAFRECLTDMD</v>
      </c>
      <c r="AK145" s="17" t="str">
        <f>AJ145</f>
        <v>TRAFRECLTDMD</v>
      </c>
      <c r="AL145" s="18">
        <v>2019</v>
      </c>
      <c r="AM145" s="18" t="s">
        <v>483</v>
      </c>
      <c r="AN145" s="18">
        <v>1</v>
      </c>
      <c r="AO145" s="20">
        <f>-SUMIFS('TRA RESID'!$P:$P,'TRA RESID'!$I:$I,AK145,'TRA RESID'!$J:$J,AH145,'TRA RESID'!$H:$H,AI145)/SUMIFS('TRA RESID'!$P:$P,'TRA RESID'!$I:$I,AK145)*AS145</f>
        <v>0</v>
      </c>
      <c r="AP145" s="18">
        <v>0</v>
      </c>
      <c r="AQ145" s="18">
        <v>5</v>
      </c>
      <c r="AS145" s="21">
        <v>0.98</v>
      </c>
      <c r="AU145" s="15" t="str">
        <f>IF(SUMIFS('TRA RESID'!$P:$P,'TRA RESID'!$I:$I,AY145,'TRA RESID'!$J:$J,AV145,'TRA RESID'!$H:$H,AW145)=0,"*","UC_"&amp;SUBSTITUTE(AV145,"*","")&amp;"_"&amp;RIGHT(AW145,3)&amp;"_"&amp;AX145)</f>
        <v>*</v>
      </c>
      <c r="AV145" s="17" t="s">
        <v>488</v>
      </c>
      <c r="AW145" s="17" t="str">
        <f>_xlfn.XLOOKUP($A145,Selected_constraint!$A:$A,Selected_constraint!$B:$B)</f>
        <v>TRAETH</v>
      </c>
      <c r="AX145" s="17" t="str">
        <f>_xlfn.XLOOKUP($A145,Selected_constraint!$A:$A,Selected_constraint!$C:$C)</f>
        <v>TRAFRECLTDMD</v>
      </c>
      <c r="AY145" s="17" t="str">
        <f>AX145</f>
        <v>TRAFRECLTDMD</v>
      </c>
      <c r="AZ145" s="18">
        <v>2019</v>
      </c>
      <c r="BA145" s="18" t="s">
        <v>483</v>
      </c>
      <c r="BB145" s="18">
        <v>1</v>
      </c>
      <c r="BC145" s="20">
        <f>-SUMIFS('TRA RESID'!$P:$P,'TRA RESID'!$I:$I,AY145,'TRA RESID'!$J:$J,AV145,'TRA RESID'!$H:$H,AW145)/SUMIFS('TRA RESID'!$P:$P,'TRA RESID'!$I:$I,AY145)*BG145</f>
        <v>0</v>
      </c>
      <c r="BD145" s="18">
        <v>0</v>
      </c>
      <c r="BE145" s="18">
        <v>5</v>
      </c>
      <c r="BG145" s="21">
        <v>0.98</v>
      </c>
    </row>
    <row r="146" spans="1:59" x14ac:dyDescent="0.25">
      <c r="C146" s="15" t="str">
        <f>IF(C145="*",C145,"")</f>
        <v>*</v>
      </c>
      <c r="D146" s="17" t="str">
        <f t="shared" ref="D146:G149" si="112">D145</f>
        <v>*ICEV*</v>
      </c>
      <c r="E146" s="17" t="str">
        <f t="shared" si="112"/>
        <v>TRAETH</v>
      </c>
      <c r="F146" s="17" t="str">
        <f t="shared" si="112"/>
        <v>TRAFRECLTDMD</v>
      </c>
      <c r="G146" s="17" t="str">
        <f t="shared" si="112"/>
        <v>TRAFRECLTDMD</v>
      </c>
      <c r="H146" s="18">
        <v>2025</v>
      </c>
      <c r="I146" s="18" t="str">
        <f>I145</f>
        <v>LO</v>
      </c>
      <c r="J146" s="18"/>
      <c r="K146" s="20">
        <f>-SUMIFS('TRA RESID'!$P:$P,'TRA RESID'!$I:$I,G146,'TRA RESID'!$J:$J,D146,'TRA RESID'!$H:$H,E146)/SUMIFS('TRA RESID'!$P:$P,'TRA RESID'!$I:$I,G146)*O146</f>
        <v>0</v>
      </c>
      <c r="L146" s="18"/>
      <c r="M146" s="18"/>
      <c r="O146" s="21">
        <v>0.8</v>
      </c>
      <c r="S146" s="15" t="str">
        <f>IF(S145="*",S145,"")</f>
        <v>*</v>
      </c>
      <c r="T146" s="17" t="str">
        <f t="shared" ref="T146:W149" si="113">T145</f>
        <v>*BEV*</v>
      </c>
      <c r="U146" s="17" t="str">
        <f t="shared" si="113"/>
        <v>TRAETH</v>
      </c>
      <c r="V146" s="17" t="str">
        <f t="shared" si="113"/>
        <v>TRAFRECLTDMD</v>
      </c>
      <c r="W146" s="17" t="str">
        <f t="shared" si="113"/>
        <v>TRAFRECLTDMD</v>
      </c>
      <c r="X146" s="18">
        <v>2025</v>
      </c>
      <c r="Y146" s="18" t="str">
        <f>Y145</f>
        <v>LO</v>
      </c>
      <c r="Z146" s="18"/>
      <c r="AA146" s="20">
        <f>-SUMIFS('TRA RESID'!$P:$P,'TRA RESID'!$I:$I,W146,'TRA RESID'!$J:$J,T146,'TRA RESID'!$H:$H,U146)/SUMIFS('TRA RESID'!$P:$P,'TRA RESID'!$I:$I,W146)*AE146</f>
        <v>0</v>
      </c>
      <c r="AB146" s="18"/>
      <c r="AC146" s="18"/>
      <c r="AE146" s="21">
        <v>1</v>
      </c>
      <c r="AG146" s="15" t="str">
        <f>IF(AG145="*",AG145,"")</f>
        <v>*</v>
      </c>
      <c r="AH146" s="17" t="str">
        <f t="shared" ref="AH146:AK149" si="114">AH145</f>
        <v>*HEV*</v>
      </c>
      <c r="AI146" s="17" t="str">
        <f t="shared" si="114"/>
        <v>TRAETH</v>
      </c>
      <c r="AJ146" s="17" t="str">
        <f t="shared" si="114"/>
        <v>TRAFRECLTDMD</v>
      </c>
      <c r="AK146" s="17" t="str">
        <f t="shared" si="114"/>
        <v>TRAFRECLTDMD</v>
      </c>
      <c r="AL146" s="18">
        <v>2025</v>
      </c>
      <c r="AM146" s="18" t="str">
        <f>AM145</f>
        <v>LO</v>
      </c>
      <c r="AN146" s="18"/>
      <c r="AO146" s="20">
        <f>-SUMIFS('TRA RESID'!$P:$P,'TRA RESID'!$I:$I,AK146,'TRA RESID'!$J:$J,AH146,'TRA RESID'!$H:$H,AI146)/SUMIFS('TRA RESID'!$P:$P,'TRA RESID'!$I:$I,AK146)*AS146</f>
        <v>0</v>
      </c>
      <c r="AP146" s="18"/>
      <c r="AQ146" s="18"/>
      <c r="AS146" s="21">
        <v>0.8</v>
      </c>
      <c r="AU146" s="15" t="str">
        <f>IF(AU145="*",AU145,"")</f>
        <v>*</v>
      </c>
      <c r="AV146" s="17" t="str">
        <f t="shared" ref="AV146:AY149" si="115">AV145</f>
        <v>*FCEV*</v>
      </c>
      <c r="AW146" s="17" t="str">
        <f t="shared" si="115"/>
        <v>TRAETH</v>
      </c>
      <c r="AX146" s="17" t="str">
        <f t="shared" si="115"/>
        <v>TRAFRECLTDMD</v>
      </c>
      <c r="AY146" s="17" t="str">
        <f t="shared" si="115"/>
        <v>TRAFRECLTDMD</v>
      </c>
      <c r="AZ146" s="18">
        <v>2025</v>
      </c>
      <c r="BA146" s="18" t="str">
        <f>BA145</f>
        <v>LO</v>
      </c>
      <c r="BB146" s="18"/>
      <c r="BC146" s="20">
        <f>-SUMIFS('TRA RESID'!$P:$P,'TRA RESID'!$I:$I,AY146,'TRA RESID'!$J:$J,AV146,'TRA RESID'!$H:$H,AW146)/SUMIFS('TRA RESID'!$P:$P,'TRA RESID'!$I:$I,AY146)*BG146</f>
        <v>0</v>
      </c>
      <c r="BD146" s="18"/>
      <c r="BE146" s="18"/>
      <c r="BG146" s="21">
        <v>0.8</v>
      </c>
    </row>
    <row r="147" spans="1:59" x14ac:dyDescent="0.25">
      <c r="C147" s="15" t="str">
        <f>IF(C146="*",C146,"")</f>
        <v>*</v>
      </c>
      <c r="D147" s="17" t="str">
        <f t="shared" si="112"/>
        <v>*ICEV*</v>
      </c>
      <c r="E147" s="17" t="str">
        <f t="shared" si="112"/>
        <v>TRAETH</v>
      </c>
      <c r="F147" s="17" t="str">
        <f t="shared" si="112"/>
        <v>TRAFRECLTDMD</v>
      </c>
      <c r="G147" s="17" t="str">
        <f t="shared" si="112"/>
        <v>TRAFRECLTDMD</v>
      </c>
      <c r="H147" s="18">
        <v>2030</v>
      </c>
      <c r="I147" s="18" t="str">
        <f>I146</f>
        <v>LO</v>
      </c>
      <c r="J147" s="18"/>
      <c r="K147" s="20">
        <f>-SUMIFS('TRA RESID'!$P:$P,'TRA RESID'!$I:$I,G147,'TRA RESID'!$J:$J,D147,'TRA RESID'!$H:$H,E147)/SUMIFS('TRA RESID'!$P:$P,'TRA RESID'!$I:$I,G147)*O147</f>
        <v>0</v>
      </c>
      <c r="L147" s="18"/>
      <c r="M147" s="18"/>
      <c r="O147" s="21">
        <v>0.5</v>
      </c>
      <c r="S147" s="15" t="str">
        <f>IF(S146="*",S146,"")</f>
        <v>*</v>
      </c>
      <c r="T147" s="17" t="str">
        <f t="shared" si="113"/>
        <v>*BEV*</v>
      </c>
      <c r="U147" s="17" t="str">
        <f t="shared" si="113"/>
        <v>TRAETH</v>
      </c>
      <c r="V147" s="17" t="str">
        <f t="shared" si="113"/>
        <v>TRAFRECLTDMD</v>
      </c>
      <c r="W147" s="17" t="str">
        <f t="shared" si="113"/>
        <v>TRAFRECLTDMD</v>
      </c>
      <c r="X147" s="18">
        <v>2030</v>
      </c>
      <c r="Y147" s="18" t="str">
        <f>Y146</f>
        <v>LO</v>
      </c>
      <c r="Z147" s="18"/>
      <c r="AA147" s="20">
        <f>-SUMIFS('TRA RESID'!$P:$P,'TRA RESID'!$I:$I,W147,'TRA RESID'!$J:$J,T147,'TRA RESID'!$H:$H,U147)/SUMIFS('TRA RESID'!$P:$P,'TRA RESID'!$I:$I,W147)*AE147</f>
        <v>0</v>
      </c>
      <c r="AB147" s="18"/>
      <c r="AC147" s="18"/>
      <c r="AE147" s="21">
        <v>1</v>
      </c>
      <c r="AG147" s="15" t="str">
        <f>IF(AG146="*",AG146,"")</f>
        <v>*</v>
      </c>
      <c r="AH147" s="17" t="str">
        <f t="shared" si="114"/>
        <v>*HEV*</v>
      </c>
      <c r="AI147" s="17" t="str">
        <f t="shared" si="114"/>
        <v>TRAETH</v>
      </c>
      <c r="AJ147" s="17" t="str">
        <f t="shared" si="114"/>
        <v>TRAFRECLTDMD</v>
      </c>
      <c r="AK147" s="17" t="str">
        <f t="shared" si="114"/>
        <v>TRAFRECLTDMD</v>
      </c>
      <c r="AL147" s="18">
        <v>2030</v>
      </c>
      <c r="AM147" s="18" t="str">
        <f>AM146</f>
        <v>LO</v>
      </c>
      <c r="AN147" s="18"/>
      <c r="AO147" s="20">
        <f>-SUMIFS('TRA RESID'!$P:$P,'TRA RESID'!$I:$I,AK147,'TRA RESID'!$J:$J,AH147,'TRA RESID'!$H:$H,AI147)/SUMIFS('TRA RESID'!$P:$P,'TRA RESID'!$I:$I,AK147)*AS147</f>
        <v>0</v>
      </c>
      <c r="AP147" s="18"/>
      <c r="AQ147" s="18"/>
      <c r="AS147" s="21">
        <v>0.5</v>
      </c>
      <c r="AU147" s="15" t="str">
        <f>IF(AU146="*",AU146,"")</f>
        <v>*</v>
      </c>
      <c r="AV147" s="17" t="str">
        <f t="shared" si="115"/>
        <v>*FCEV*</v>
      </c>
      <c r="AW147" s="17" t="str">
        <f t="shared" si="115"/>
        <v>TRAETH</v>
      </c>
      <c r="AX147" s="17" t="str">
        <f t="shared" si="115"/>
        <v>TRAFRECLTDMD</v>
      </c>
      <c r="AY147" s="17" t="str">
        <f t="shared" si="115"/>
        <v>TRAFRECLTDMD</v>
      </c>
      <c r="AZ147" s="18">
        <v>2030</v>
      </c>
      <c r="BA147" s="18" t="str">
        <f>BA146</f>
        <v>LO</v>
      </c>
      <c r="BB147" s="18"/>
      <c r="BC147" s="20">
        <f>-SUMIFS('TRA RESID'!$P:$P,'TRA RESID'!$I:$I,AY147,'TRA RESID'!$J:$J,AV147,'TRA RESID'!$H:$H,AW147)/SUMIFS('TRA RESID'!$P:$P,'TRA RESID'!$I:$I,AY147)*BG147</f>
        <v>0</v>
      </c>
      <c r="BD147" s="18"/>
      <c r="BE147" s="18"/>
      <c r="BG147" s="21">
        <v>0.5</v>
      </c>
    </row>
    <row r="148" spans="1:59" x14ac:dyDescent="0.25">
      <c r="C148" s="15" t="str">
        <f>IF(C147="*",C147,"")</f>
        <v>*</v>
      </c>
      <c r="D148" s="17" t="str">
        <f t="shared" si="112"/>
        <v>*ICEV*</v>
      </c>
      <c r="E148" s="17" t="str">
        <f t="shared" si="112"/>
        <v>TRAETH</v>
      </c>
      <c r="F148" s="17" t="str">
        <f t="shared" si="112"/>
        <v>TRAFRECLTDMD</v>
      </c>
      <c r="G148" s="17" t="str">
        <f t="shared" si="112"/>
        <v>TRAFRECLTDMD</v>
      </c>
      <c r="H148" s="18">
        <v>2040</v>
      </c>
      <c r="I148" s="18" t="str">
        <f>I147</f>
        <v>LO</v>
      </c>
      <c r="J148" s="18"/>
      <c r="K148" s="20">
        <f>-SUMIFS('TRA RESID'!$P:$P,'TRA RESID'!$I:$I,G148,'TRA RESID'!$J:$J,D148,'TRA RESID'!$H:$H,E148)/SUMIFS('TRA RESID'!$P:$P,'TRA RESID'!$I:$I,G148)*O148</f>
        <v>0</v>
      </c>
      <c r="L148" s="18"/>
      <c r="M148" s="18"/>
      <c r="O148" s="21">
        <v>0</v>
      </c>
      <c r="S148" s="15" t="str">
        <f>IF(S147="*",S147,"")</f>
        <v>*</v>
      </c>
      <c r="T148" s="17" t="str">
        <f t="shared" si="113"/>
        <v>*BEV*</v>
      </c>
      <c r="U148" s="17" t="str">
        <f t="shared" si="113"/>
        <v>TRAETH</v>
      </c>
      <c r="V148" s="17" t="str">
        <f t="shared" si="113"/>
        <v>TRAFRECLTDMD</v>
      </c>
      <c r="W148" s="17" t="str">
        <f t="shared" si="113"/>
        <v>TRAFRECLTDMD</v>
      </c>
      <c r="X148" s="18">
        <v>2040</v>
      </c>
      <c r="Y148" s="18" t="str">
        <f>Y147</f>
        <v>LO</v>
      </c>
      <c r="Z148" s="18"/>
      <c r="AA148" s="20">
        <f>-SUMIFS('TRA RESID'!$P:$P,'TRA RESID'!$I:$I,W148,'TRA RESID'!$J:$J,T148,'TRA RESID'!$H:$H,U148)/SUMIFS('TRA RESID'!$P:$P,'TRA RESID'!$I:$I,W148)*AE148</f>
        <v>0</v>
      </c>
      <c r="AB148" s="18"/>
      <c r="AC148" s="18"/>
      <c r="AE148" s="21">
        <v>1</v>
      </c>
      <c r="AG148" s="15" t="str">
        <f>IF(AG147="*",AG147,"")</f>
        <v>*</v>
      </c>
      <c r="AH148" s="17" t="str">
        <f t="shared" si="114"/>
        <v>*HEV*</v>
      </c>
      <c r="AI148" s="17" t="str">
        <f t="shared" si="114"/>
        <v>TRAETH</v>
      </c>
      <c r="AJ148" s="17" t="str">
        <f t="shared" si="114"/>
        <v>TRAFRECLTDMD</v>
      </c>
      <c r="AK148" s="17" t="str">
        <f t="shared" si="114"/>
        <v>TRAFRECLTDMD</v>
      </c>
      <c r="AL148" s="18">
        <v>2040</v>
      </c>
      <c r="AM148" s="18" t="str">
        <f>AM147</f>
        <v>LO</v>
      </c>
      <c r="AN148" s="18"/>
      <c r="AO148" s="20">
        <f>-SUMIFS('TRA RESID'!$P:$P,'TRA RESID'!$I:$I,AK148,'TRA RESID'!$J:$J,AH148,'TRA RESID'!$H:$H,AI148)/SUMIFS('TRA RESID'!$P:$P,'TRA RESID'!$I:$I,AK148)*AS148</f>
        <v>0</v>
      </c>
      <c r="AP148" s="18"/>
      <c r="AQ148" s="18"/>
      <c r="AS148" s="21">
        <v>0</v>
      </c>
      <c r="AU148" s="15" t="str">
        <f>IF(AU147="*",AU147,"")</f>
        <v>*</v>
      </c>
      <c r="AV148" s="17" t="str">
        <f t="shared" si="115"/>
        <v>*FCEV*</v>
      </c>
      <c r="AW148" s="17" t="str">
        <f t="shared" si="115"/>
        <v>TRAETH</v>
      </c>
      <c r="AX148" s="17" t="str">
        <f t="shared" si="115"/>
        <v>TRAFRECLTDMD</v>
      </c>
      <c r="AY148" s="17" t="str">
        <f t="shared" si="115"/>
        <v>TRAFRECLTDMD</v>
      </c>
      <c r="AZ148" s="18">
        <v>2040</v>
      </c>
      <c r="BA148" s="18" t="str">
        <f>BA147</f>
        <v>LO</v>
      </c>
      <c r="BB148" s="18"/>
      <c r="BC148" s="20">
        <f>-SUMIFS('TRA RESID'!$P:$P,'TRA RESID'!$I:$I,AY148,'TRA RESID'!$J:$J,AV148,'TRA RESID'!$H:$H,AW148)/SUMIFS('TRA RESID'!$P:$P,'TRA RESID'!$I:$I,AY148)*BG148</f>
        <v>0</v>
      </c>
      <c r="BD148" s="18"/>
      <c r="BE148" s="18"/>
      <c r="BG148" s="21">
        <v>0</v>
      </c>
    </row>
    <row r="149" spans="1:59" x14ac:dyDescent="0.25">
      <c r="C149" s="23" t="str">
        <f>IF(C148="*",C148,"")</f>
        <v>*</v>
      </c>
      <c r="D149" s="25" t="str">
        <f t="shared" si="112"/>
        <v>*ICEV*</v>
      </c>
      <c r="E149" s="25" t="str">
        <f t="shared" si="112"/>
        <v>TRAETH</v>
      </c>
      <c r="F149" s="25" t="str">
        <f t="shared" si="112"/>
        <v>TRAFRECLTDMD</v>
      </c>
      <c r="G149" s="25" t="str">
        <f t="shared" si="112"/>
        <v>TRAFRECLTDMD</v>
      </c>
      <c r="H149" s="26">
        <v>2050</v>
      </c>
      <c r="I149" s="26" t="str">
        <f>I147</f>
        <v>LO</v>
      </c>
      <c r="J149" s="26"/>
      <c r="K149" s="27">
        <f>-SUMIFS('TRA RESID'!$P:$P,'TRA RESID'!$I:$I,G149,'TRA RESID'!$J:$J,D149,'TRA RESID'!$H:$H,E149)/SUMIFS('TRA RESID'!$P:$P,'TRA RESID'!$I:$I,G149)*O149</f>
        <v>0</v>
      </c>
      <c r="L149" s="26"/>
      <c r="M149" s="26"/>
      <c r="O149" s="28">
        <v>0</v>
      </c>
      <c r="S149" s="23" t="str">
        <f>IF(S148="*",S148,"")</f>
        <v>*</v>
      </c>
      <c r="T149" s="25" t="str">
        <f t="shared" si="113"/>
        <v>*BEV*</v>
      </c>
      <c r="U149" s="25" t="str">
        <f t="shared" si="113"/>
        <v>TRAETH</v>
      </c>
      <c r="V149" s="25" t="str">
        <f t="shared" si="113"/>
        <v>TRAFRECLTDMD</v>
      </c>
      <c r="W149" s="25" t="str">
        <f t="shared" si="113"/>
        <v>TRAFRECLTDMD</v>
      </c>
      <c r="X149" s="26">
        <v>2050</v>
      </c>
      <c r="Y149" s="26" t="str">
        <f>Y147</f>
        <v>LO</v>
      </c>
      <c r="Z149" s="26"/>
      <c r="AA149" s="27">
        <f>-SUMIFS('TRA RESID'!$P:$P,'TRA RESID'!$I:$I,W149,'TRA RESID'!$J:$J,T149,'TRA RESID'!$H:$H,U149)/SUMIFS('TRA RESID'!$P:$P,'TRA RESID'!$I:$I,W149)*AE149</f>
        <v>0</v>
      </c>
      <c r="AB149" s="26"/>
      <c r="AC149" s="26"/>
      <c r="AE149" s="28">
        <v>1</v>
      </c>
      <c r="AG149" s="23" t="str">
        <f>IF(AG148="*",AG148,"")</f>
        <v>*</v>
      </c>
      <c r="AH149" s="25" t="str">
        <f t="shared" si="114"/>
        <v>*HEV*</v>
      </c>
      <c r="AI149" s="25" t="str">
        <f t="shared" si="114"/>
        <v>TRAETH</v>
      </c>
      <c r="AJ149" s="25" t="str">
        <f t="shared" si="114"/>
        <v>TRAFRECLTDMD</v>
      </c>
      <c r="AK149" s="25" t="str">
        <f t="shared" si="114"/>
        <v>TRAFRECLTDMD</v>
      </c>
      <c r="AL149" s="26">
        <v>2050</v>
      </c>
      <c r="AM149" s="26" t="str">
        <f>AM147</f>
        <v>LO</v>
      </c>
      <c r="AN149" s="26"/>
      <c r="AO149" s="27">
        <f>-SUMIFS('TRA RESID'!$P:$P,'TRA RESID'!$I:$I,AK149,'TRA RESID'!$J:$J,AH149,'TRA RESID'!$H:$H,AI149)/SUMIFS('TRA RESID'!$P:$P,'TRA RESID'!$I:$I,AK149)*AS149</f>
        <v>0</v>
      </c>
      <c r="AP149" s="26"/>
      <c r="AQ149" s="26"/>
      <c r="AS149" s="28">
        <v>0</v>
      </c>
      <c r="AU149" s="23" t="str">
        <f>IF(AU148="*",AU148,"")</f>
        <v>*</v>
      </c>
      <c r="AV149" s="25" t="str">
        <f t="shared" si="115"/>
        <v>*FCEV*</v>
      </c>
      <c r="AW149" s="25" t="str">
        <f t="shared" si="115"/>
        <v>TRAETH</v>
      </c>
      <c r="AX149" s="25" t="str">
        <f t="shared" si="115"/>
        <v>TRAFRECLTDMD</v>
      </c>
      <c r="AY149" s="25" t="str">
        <f t="shared" si="115"/>
        <v>TRAFRECLTDMD</v>
      </c>
      <c r="AZ149" s="26">
        <v>2050</v>
      </c>
      <c r="BA149" s="26" t="str">
        <f>BA147</f>
        <v>LO</v>
      </c>
      <c r="BB149" s="26"/>
      <c r="BC149" s="27">
        <f>-SUMIFS('TRA RESID'!$P:$P,'TRA RESID'!$I:$I,AY149,'TRA RESID'!$J:$J,AV149,'TRA RESID'!$H:$H,AW149)/SUMIFS('TRA RESID'!$P:$P,'TRA RESID'!$I:$I,AY149)*BG149</f>
        <v>0</v>
      </c>
      <c r="BD149" s="26"/>
      <c r="BE149" s="26"/>
      <c r="BG149" s="28">
        <v>0</v>
      </c>
    </row>
    <row r="150" spans="1:59" x14ac:dyDescent="0.25">
      <c r="A150">
        <f>A145+1</f>
        <v>30</v>
      </c>
      <c r="C150" s="15" t="str">
        <f>IF(E150="","",IF(_xlfn.XLOOKUP($A150,Selected_constraint!$A:$A,Selected_constraint!$D:$D)=1,"*",IF(SUMIFS('TRA TECH'!$M:$M,'TRA TECH'!$H:$H,E150,'TRA TECH'!$I:$I,F150)=0,"*",IF(SUMIFS('TRA RESID'!$P:$P,'TRA RESID'!$I:$I,G150,'TRA RESID'!$J:$J,D150,'TRA RESID'!$H:$H,E150)=0,"*","UC_"&amp;SUBSTITUTE(D150,"*","")&amp;"_"&amp;RIGHT(E150,3)&amp;"_"&amp;F150))))</f>
        <v>UC_ICEV_DSL_TRAFRECLTDMD</v>
      </c>
      <c r="D150" s="17" t="s">
        <v>485</v>
      </c>
      <c r="E150" s="17" t="str">
        <f>_xlfn.XLOOKUP($A150,Selected_constraint!$A:$A,Selected_constraint!$B:$B)</f>
        <v>TRADSL</v>
      </c>
      <c r="F150" s="17" t="str">
        <f>_xlfn.XLOOKUP($A150,Selected_constraint!$A:$A,Selected_constraint!$C:$C)</f>
        <v>TRAFRECLTDMD</v>
      </c>
      <c r="G150" s="17" t="str">
        <f>F150</f>
        <v>TRAFRECLTDMD</v>
      </c>
      <c r="H150" s="18">
        <v>2019</v>
      </c>
      <c r="I150" s="18" t="s">
        <v>483</v>
      </c>
      <c r="J150" s="18">
        <v>1</v>
      </c>
      <c r="K150" s="20">
        <f>-SUMIFS('TRA RESID'!$P:$P,'TRA RESID'!$I:$I,G150,'TRA RESID'!$J:$J,D150,'TRA RESID'!$H:$H,E150)/SUMIFS('TRA RESID'!$P:$P,'TRA RESID'!$I:$I,G150)*O150</f>
        <v>-0.15876250980307638</v>
      </c>
      <c r="L150" s="18">
        <v>0</v>
      </c>
      <c r="M150" s="18">
        <v>5</v>
      </c>
      <c r="O150" s="21">
        <v>0.98</v>
      </c>
      <c r="Q150">
        <f>Q145+1</f>
        <v>30</v>
      </c>
      <c r="S150" s="15" t="str">
        <f>IF(SUMIFS('TRA RESID'!$P:$P,'TRA RESID'!$I:$I,W150,'TRA RESID'!$J:$J,T150,'TRA RESID'!$H:$H,U150)=0,"*","UC_"&amp;SUBSTITUTE(T150,"*","")&amp;"_"&amp;RIGHT(U150,3)&amp;"_"&amp;V150)</f>
        <v>*</v>
      </c>
      <c r="T150" s="17" t="s">
        <v>486</v>
      </c>
      <c r="U150" s="17" t="str">
        <f>_xlfn.XLOOKUP($A150,Selected_constraint!$A:$A,Selected_constraint!$B:$B)</f>
        <v>TRADSL</v>
      </c>
      <c r="V150" s="17" t="str">
        <f>_xlfn.XLOOKUP($A150,Selected_constraint!$A:$A,Selected_constraint!$C:$C)</f>
        <v>TRAFRECLTDMD</v>
      </c>
      <c r="W150" s="17" t="str">
        <f>V150</f>
        <v>TRAFRECLTDMD</v>
      </c>
      <c r="X150" s="18">
        <v>2019</v>
      </c>
      <c r="Y150" s="18" t="s">
        <v>483</v>
      </c>
      <c r="Z150" s="18">
        <v>1</v>
      </c>
      <c r="AA150" s="20">
        <f>-SUMIFS('TRA RESID'!$P:$P,'TRA RESID'!$I:$I,W150,'TRA RESID'!$J:$J,T150,'TRA RESID'!$H:$H,U150)/SUMIFS('TRA RESID'!$P:$P,'TRA RESID'!$I:$I,W150)*AE150</f>
        <v>0</v>
      </c>
      <c r="AB150" s="18">
        <v>0</v>
      </c>
      <c r="AC150" s="18">
        <v>5</v>
      </c>
      <c r="AE150" s="21">
        <v>0.98</v>
      </c>
      <c r="AG150" s="15" t="str">
        <f>IF(SUMIFS('TRA RESID'!$P:$P,'TRA RESID'!$I:$I,AK150,'TRA RESID'!$J:$J,AH150,'TRA RESID'!$H:$H,AI150)=0,"*","UC_"&amp;SUBSTITUTE(AH150,"*","")&amp;"_"&amp;RIGHT(AI150,3)&amp;"_"&amp;AJ150)</f>
        <v>*</v>
      </c>
      <c r="AH150" s="17" t="s">
        <v>487</v>
      </c>
      <c r="AI150" s="17" t="str">
        <f>_xlfn.XLOOKUP($A150,Selected_constraint!$A:$A,Selected_constraint!$B:$B)</f>
        <v>TRADSL</v>
      </c>
      <c r="AJ150" s="17" t="str">
        <f>_xlfn.XLOOKUP($A150,Selected_constraint!$A:$A,Selected_constraint!$C:$C)</f>
        <v>TRAFRECLTDMD</v>
      </c>
      <c r="AK150" s="17" t="str">
        <f>AJ150</f>
        <v>TRAFRECLTDMD</v>
      </c>
      <c r="AL150" s="18">
        <v>2019</v>
      </c>
      <c r="AM150" s="18" t="s">
        <v>483</v>
      </c>
      <c r="AN150" s="18">
        <v>1</v>
      </c>
      <c r="AO150" s="20">
        <f>-SUMIFS('TRA RESID'!$P:$P,'TRA RESID'!$I:$I,AK150,'TRA RESID'!$J:$J,AH150,'TRA RESID'!$H:$H,AI150)/SUMIFS('TRA RESID'!$P:$P,'TRA RESID'!$I:$I,AK150)*AS150</f>
        <v>0</v>
      </c>
      <c r="AP150" s="18">
        <v>0</v>
      </c>
      <c r="AQ150" s="18">
        <v>5</v>
      </c>
      <c r="AS150" s="21">
        <v>0.98</v>
      </c>
      <c r="AU150" s="15" t="str">
        <f>IF(SUMIFS('TRA RESID'!$P:$P,'TRA RESID'!$I:$I,AY150,'TRA RESID'!$J:$J,AV150,'TRA RESID'!$H:$H,AW150)=0,"*","UC_"&amp;SUBSTITUTE(AV150,"*","")&amp;"_"&amp;RIGHT(AW150,3)&amp;"_"&amp;AX150)</f>
        <v>*</v>
      </c>
      <c r="AV150" s="17" t="s">
        <v>488</v>
      </c>
      <c r="AW150" s="17" t="str">
        <f>_xlfn.XLOOKUP($A150,Selected_constraint!$A:$A,Selected_constraint!$B:$B)</f>
        <v>TRADSL</v>
      </c>
      <c r="AX150" s="17" t="str">
        <f>_xlfn.XLOOKUP($A150,Selected_constraint!$A:$A,Selected_constraint!$C:$C)</f>
        <v>TRAFRECLTDMD</v>
      </c>
      <c r="AY150" s="17" t="str">
        <f>AX150</f>
        <v>TRAFRECLTDMD</v>
      </c>
      <c r="AZ150" s="18">
        <v>2019</v>
      </c>
      <c r="BA150" s="18" t="s">
        <v>483</v>
      </c>
      <c r="BB150" s="18">
        <v>1</v>
      </c>
      <c r="BC150" s="20">
        <f>-SUMIFS('TRA RESID'!$P:$P,'TRA RESID'!$I:$I,AY150,'TRA RESID'!$J:$J,AV150,'TRA RESID'!$H:$H,AW150)/SUMIFS('TRA RESID'!$P:$P,'TRA RESID'!$I:$I,AY150)*BG150</f>
        <v>0</v>
      </c>
      <c r="BD150" s="18">
        <v>0</v>
      </c>
      <c r="BE150" s="18">
        <v>5</v>
      </c>
      <c r="BG150" s="21">
        <v>0.98</v>
      </c>
    </row>
    <row r="151" spans="1:59" x14ac:dyDescent="0.25">
      <c r="C151" s="15" t="str">
        <f>IF(C150="*",C150,"")</f>
        <v/>
      </c>
      <c r="D151" s="17" t="str">
        <f t="shared" ref="D151:G154" si="116">D150</f>
        <v>*ICEV*</v>
      </c>
      <c r="E151" s="17" t="str">
        <f t="shared" si="116"/>
        <v>TRADSL</v>
      </c>
      <c r="F151" s="17" t="str">
        <f t="shared" si="116"/>
        <v>TRAFRECLTDMD</v>
      </c>
      <c r="G151" s="17" t="str">
        <f t="shared" si="116"/>
        <v>TRAFRECLTDMD</v>
      </c>
      <c r="H151" s="18">
        <v>2025</v>
      </c>
      <c r="I151" s="18" t="str">
        <f>I150</f>
        <v>LO</v>
      </c>
      <c r="J151" s="18"/>
      <c r="K151" s="20">
        <f>-SUMIFS('TRA RESID'!$P:$P,'TRA RESID'!$I:$I,G151,'TRA RESID'!$J:$J,D151,'TRA RESID'!$H:$H,E151)/SUMIFS('TRA RESID'!$P:$P,'TRA RESID'!$I:$I,G151)*O151</f>
        <v>-0.12960204881883786</v>
      </c>
      <c r="L151" s="18"/>
      <c r="M151" s="18"/>
      <c r="O151" s="21">
        <v>0.8</v>
      </c>
      <c r="S151" s="15" t="str">
        <f>IF(S150="*",S150,"")</f>
        <v>*</v>
      </c>
      <c r="T151" s="17" t="str">
        <f t="shared" ref="T151:W154" si="117">T150</f>
        <v>*BEV*</v>
      </c>
      <c r="U151" s="17" t="str">
        <f t="shared" si="117"/>
        <v>TRADSL</v>
      </c>
      <c r="V151" s="17" t="str">
        <f t="shared" si="117"/>
        <v>TRAFRECLTDMD</v>
      </c>
      <c r="W151" s="17" t="str">
        <f t="shared" si="117"/>
        <v>TRAFRECLTDMD</v>
      </c>
      <c r="X151" s="18">
        <v>2025</v>
      </c>
      <c r="Y151" s="18" t="str">
        <f>Y150</f>
        <v>LO</v>
      </c>
      <c r="Z151" s="18"/>
      <c r="AA151" s="20">
        <f>-SUMIFS('TRA RESID'!$P:$P,'TRA RESID'!$I:$I,W151,'TRA RESID'!$J:$J,T151,'TRA RESID'!$H:$H,U151)/SUMIFS('TRA RESID'!$P:$P,'TRA RESID'!$I:$I,W151)*AE151</f>
        <v>0</v>
      </c>
      <c r="AB151" s="18"/>
      <c r="AC151" s="18"/>
      <c r="AE151" s="21">
        <v>1</v>
      </c>
      <c r="AG151" s="15" t="str">
        <f>IF(AG150="*",AG150,"")</f>
        <v>*</v>
      </c>
      <c r="AH151" s="17" t="str">
        <f t="shared" ref="AH151:AK154" si="118">AH150</f>
        <v>*HEV*</v>
      </c>
      <c r="AI151" s="17" t="str">
        <f t="shared" si="118"/>
        <v>TRADSL</v>
      </c>
      <c r="AJ151" s="17" t="str">
        <f t="shared" si="118"/>
        <v>TRAFRECLTDMD</v>
      </c>
      <c r="AK151" s="17" t="str">
        <f t="shared" si="118"/>
        <v>TRAFRECLTDMD</v>
      </c>
      <c r="AL151" s="18">
        <v>2025</v>
      </c>
      <c r="AM151" s="18" t="str">
        <f>AM150</f>
        <v>LO</v>
      </c>
      <c r="AN151" s="18"/>
      <c r="AO151" s="20">
        <f>-SUMIFS('TRA RESID'!$P:$P,'TRA RESID'!$I:$I,AK151,'TRA RESID'!$J:$J,AH151,'TRA RESID'!$H:$H,AI151)/SUMIFS('TRA RESID'!$P:$P,'TRA RESID'!$I:$I,AK151)*AS151</f>
        <v>0</v>
      </c>
      <c r="AP151" s="18"/>
      <c r="AQ151" s="18"/>
      <c r="AS151" s="21">
        <v>0.8</v>
      </c>
      <c r="AU151" s="15" t="str">
        <f>IF(AU150="*",AU150,"")</f>
        <v>*</v>
      </c>
      <c r="AV151" s="17" t="str">
        <f t="shared" ref="AV151:AY154" si="119">AV150</f>
        <v>*FCEV*</v>
      </c>
      <c r="AW151" s="17" t="str">
        <f t="shared" si="119"/>
        <v>TRADSL</v>
      </c>
      <c r="AX151" s="17" t="str">
        <f t="shared" si="119"/>
        <v>TRAFRECLTDMD</v>
      </c>
      <c r="AY151" s="17" t="str">
        <f t="shared" si="119"/>
        <v>TRAFRECLTDMD</v>
      </c>
      <c r="AZ151" s="18">
        <v>2025</v>
      </c>
      <c r="BA151" s="18" t="str">
        <f>BA150</f>
        <v>LO</v>
      </c>
      <c r="BB151" s="18"/>
      <c r="BC151" s="20">
        <f>-SUMIFS('TRA RESID'!$P:$P,'TRA RESID'!$I:$I,AY151,'TRA RESID'!$J:$J,AV151,'TRA RESID'!$H:$H,AW151)/SUMIFS('TRA RESID'!$P:$P,'TRA RESID'!$I:$I,AY151)*BG151</f>
        <v>0</v>
      </c>
      <c r="BD151" s="18"/>
      <c r="BE151" s="18"/>
      <c r="BG151" s="21">
        <v>0.8</v>
      </c>
    </row>
    <row r="152" spans="1:59" x14ac:dyDescent="0.25">
      <c r="C152" s="15" t="str">
        <f>IF(C151="*",C151,"")</f>
        <v/>
      </c>
      <c r="D152" s="17" t="str">
        <f t="shared" si="116"/>
        <v>*ICEV*</v>
      </c>
      <c r="E152" s="17" t="str">
        <f t="shared" si="116"/>
        <v>TRADSL</v>
      </c>
      <c r="F152" s="17" t="str">
        <f t="shared" si="116"/>
        <v>TRAFRECLTDMD</v>
      </c>
      <c r="G152" s="17" t="str">
        <f t="shared" si="116"/>
        <v>TRAFRECLTDMD</v>
      </c>
      <c r="H152" s="18">
        <v>2030</v>
      </c>
      <c r="I152" s="18" t="str">
        <f>I151</f>
        <v>LO</v>
      </c>
      <c r="J152" s="18"/>
      <c r="K152" s="20">
        <f>-SUMIFS('TRA RESID'!$P:$P,'TRA RESID'!$I:$I,G152,'TRA RESID'!$J:$J,D152,'TRA RESID'!$H:$H,E152)/SUMIFS('TRA RESID'!$P:$P,'TRA RESID'!$I:$I,G152)*O152</f>
        <v>-8.100128051177366E-2</v>
      </c>
      <c r="L152" s="18"/>
      <c r="M152" s="18"/>
      <c r="O152" s="21">
        <v>0.5</v>
      </c>
      <c r="S152" s="15" t="str">
        <f>IF(S151="*",S151,"")</f>
        <v>*</v>
      </c>
      <c r="T152" s="17" t="str">
        <f t="shared" si="117"/>
        <v>*BEV*</v>
      </c>
      <c r="U152" s="17" t="str">
        <f t="shared" si="117"/>
        <v>TRADSL</v>
      </c>
      <c r="V152" s="17" t="str">
        <f t="shared" si="117"/>
        <v>TRAFRECLTDMD</v>
      </c>
      <c r="W152" s="17" t="str">
        <f t="shared" si="117"/>
        <v>TRAFRECLTDMD</v>
      </c>
      <c r="X152" s="18">
        <v>2030</v>
      </c>
      <c r="Y152" s="18" t="str">
        <f>Y151</f>
        <v>LO</v>
      </c>
      <c r="Z152" s="18"/>
      <c r="AA152" s="20">
        <f>-SUMIFS('TRA RESID'!$P:$P,'TRA RESID'!$I:$I,W152,'TRA RESID'!$J:$J,T152,'TRA RESID'!$H:$H,U152)/SUMIFS('TRA RESID'!$P:$P,'TRA RESID'!$I:$I,W152)*AE152</f>
        <v>0</v>
      </c>
      <c r="AB152" s="18"/>
      <c r="AC152" s="18"/>
      <c r="AE152" s="21">
        <v>1</v>
      </c>
      <c r="AG152" s="15" t="str">
        <f>IF(AG151="*",AG151,"")</f>
        <v>*</v>
      </c>
      <c r="AH152" s="17" t="str">
        <f t="shared" si="118"/>
        <v>*HEV*</v>
      </c>
      <c r="AI152" s="17" t="str">
        <f t="shared" si="118"/>
        <v>TRADSL</v>
      </c>
      <c r="AJ152" s="17" t="str">
        <f t="shared" si="118"/>
        <v>TRAFRECLTDMD</v>
      </c>
      <c r="AK152" s="17" t="str">
        <f t="shared" si="118"/>
        <v>TRAFRECLTDMD</v>
      </c>
      <c r="AL152" s="18">
        <v>2030</v>
      </c>
      <c r="AM152" s="18" t="str">
        <f>AM151</f>
        <v>LO</v>
      </c>
      <c r="AN152" s="18"/>
      <c r="AO152" s="20">
        <f>-SUMIFS('TRA RESID'!$P:$P,'TRA RESID'!$I:$I,AK152,'TRA RESID'!$J:$J,AH152,'TRA RESID'!$H:$H,AI152)/SUMIFS('TRA RESID'!$P:$P,'TRA RESID'!$I:$I,AK152)*AS152</f>
        <v>0</v>
      </c>
      <c r="AP152" s="18"/>
      <c r="AQ152" s="18"/>
      <c r="AS152" s="21">
        <v>0.5</v>
      </c>
      <c r="AU152" s="15" t="str">
        <f>IF(AU151="*",AU151,"")</f>
        <v>*</v>
      </c>
      <c r="AV152" s="17" t="str">
        <f t="shared" si="119"/>
        <v>*FCEV*</v>
      </c>
      <c r="AW152" s="17" t="str">
        <f t="shared" si="119"/>
        <v>TRADSL</v>
      </c>
      <c r="AX152" s="17" t="str">
        <f t="shared" si="119"/>
        <v>TRAFRECLTDMD</v>
      </c>
      <c r="AY152" s="17" t="str">
        <f t="shared" si="119"/>
        <v>TRAFRECLTDMD</v>
      </c>
      <c r="AZ152" s="18">
        <v>2030</v>
      </c>
      <c r="BA152" s="18" t="str">
        <f>BA151</f>
        <v>LO</v>
      </c>
      <c r="BB152" s="18"/>
      <c r="BC152" s="20">
        <f>-SUMIFS('TRA RESID'!$P:$P,'TRA RESID'!$I:$I,AY152,'TRA RESID'!$J:$J,AV152,'TRA RESID'!$H:$H,AW152)/SUMIFS('TRA RESID'!$P:$P,'TRA RESID'!$I:$I,AY152)*BG152</f>
        <v>0</v>
      </c>
      <c r="BD152" s="18"/>
      <c r="BE152" s="18"/>
      <c r="BG152" s="21">
        <v>0.5</v>
      </c>
    </row>
    <row r="153" spans="1:59" x14ac:dyDescent="0.25">
      <c r="C153" s="15" t="str">
        <f>IF(C152="*",C152,"")</f>
        <v/>
      </c>
      <c r="D153" s="17" t="str">
        <f t="shared" si="116"/>
        <v>*ICEV*</v>
      </c>
      <c r="E153" s="17" t="str">
        <f t="shared" si="116"/>
        <v>TRADSL</v>
      </c>
      <c r="F153" s="17" t="str">
        <f t="shared" si="116"/>
        <v>TRAFRECLTDMD</v>
      </c>
      <c r="G153" s="17" t="str">
        <f t="shared" si="116"/>
        <v>TRAFRECLTDMD</v>
      </c>
      <c r="H153" s="18">
        <v>2040</v>
      </c>
      <c r="I153" s="18" t="str">
        <f>I152</f>
        <v>LO</v>
      </c>
      <c r="J153" s="18"/>
      <c r="K153" s="20">
        <f>-SUMIFS('TRA RESID'!$P:$P,'TRA RESID'!$I:$I,G153,'TRA RESID'!$J:$J,D153,'TRA RESID'!$H:$H,E153)/SUMIFS('TRA RESID'!$P:$P,'TRA RESID'!$I:$I,G153)*O153</f>
        <v>0</v>
      </c>
      <c r="L153" s="18"/>
      <c r="M153" s="18"/>
      <c r="O153" s="21">
        <v>0</v>
      </c>
      <c r="S153" s="15" t="str">
        <f>IF(S152="*",S152,"")</f>
        <v>*</v>
      </c>
      <c r="T153" s="17" t="str">
        <f t="shared" si="117"/>
        <v>*BEV*</v>
      </c>
      <c r="U153" s="17" t="str">
        <f t="shared" si="117"/>
        <v>TRADSL</v>
      </c>
      <c r="V153" s="17" t="str">
        <f t="shared" si="117"/>
        <v>TRAFRECLTDMD</v>
      </c>
      <c r="W153" s="17" t="str">
        <f t="shared" si="117"/>
        <v>TRAFRECLTDMD</v>
      </c>
      <c r="X153" s="18">
        <v>2040</v>
      </c>
      <c r="Y153" s="18" t="str">
        <f>Y152</f>
        <v>LO</v>
      </c>
      <c r="Z153" s="18"/>
      <c r="AA153" s="20">
        <f>-SUMIFS('TRA RESID'!$P:$P,'TRA RESID'!$I:$I,W153,'TRA RESID'!$J:$J,T153,'TRA RESID'!$H:$H,U153)/SUMIFS('TRA RESID'!$P:$P,'TRA RESID'!$I:$I,W153)*AE153</f>
        <v>0</v>
      </c>
      <c r="AB153" s="18"/>
      <c r="AC153" s="18"/>
      <c r="AE153" s="21">
        <v>1</v>
      </c>
      <c r="AG153" s="15" t="str">
        <f>IF(AG152="*",AG152,"")</f>
        <v>*</v>
      </c>
      <c r="AH153" s="17" t="str">
        <f t="shared" si="118"/>
        <v>*HEV*</v>
      </c>
      <c r="AI153" s="17" t="str">
        <f t="shared" si="118"/>
        <v>TRADSL</v>
      </c>
      <c r="AJ153" s="17" t="str">
        <f t="shared" si="118"/>
        <v>TRAFRECLTDMD</v>
      </c>
      <c r="AK153" s="17" t="str">
        <f t="shared" si="118"/>
        <v>TRAFRECLTDMD</v>
      </c>
      <c r="AL153" s="18">
        <v>2040</v>
      </c>
      <c r="AM153" s="18" t="str">
        <f>AM152</f>
        <v>LO</v>
      </c>
      <c r="AN153" s="18"/>
      <c r="AO153" s="20">
        <f>-SUMIFS('TRA RESID'!$P:$P,'TRA RESID'!$I:$I,AK153,'TRA RESID'!$J:$J,AH153,'TRA RESID'!$H:$H,AI153)/SUMIFS('TRA RESID'!$P:$P,'TRA RESID'!$I:$I,AK153)*AS153</f>
        <v>0</v>
      </c>
      <c r="AP153" s="18"/>
      <c r="AQ153" s="18"/>
      <c r="AS153" s="21">
        <v>0</v>
      </c>
      <c r="AU153" s="15" t="str">
        <f>IF(AU152="*",AU152,"")</f>
        <v>*</v>
      </c>
      <c r="AV153" s="17" t="str">
        <f t="shared" si="119"/>
        <v>*FCEV*</v>
      </c>
      <c r="AW153" s="17" t="str">
        <f t="shared" si="119"/>
        <v>TRADSL</v>
      </c>
      <c r="AX153" s="17" t="str">
        <f t="shared" si="119"/>
        <v>TRAFRECLTDMD</v>
      </c>
      <c r="AY153" s="17" t="str">
        <f t="shared" si="119"/>
        <v>TRAFRECLTDMD</v>
      </c>
      <c r="AZ153" s="18">
        <v>2040</v>
      </c>
      <c r="BA153" s="18" t="str">
        <f>BA152</f>
        <v>LO</v>
      </c>
      <c r="BB153" s="18"/>
      <c r="BC153" s="20">
        <f>-SUMIFS('TRA RESID'!$P:$P,'TRA RESID'!$I:$I,AY153,'TRA RESID'!$J:$J,AV153,'TRA RESID'!$H:$H,AW153)/SUMIFS('TRA RESID'!$P:$P,'TRA RESID'!$I:$I,AY153)*BG153</f>
        <v>0</v>
      </c>
      <c r="BD153" s="18"/>
      <c r="BE153" s="18"/>
      <c r="BG153" s="21">
        <v>0</v>
      </c>
    </row>
    <row r="154" spans="1:59" x14ac:dyDescent="0.25">
      <c r="C154" s="23" t="str">
        <f>IF(C153="*",C153,"")</f>
        <v/>
      </c>
      <c r="D154" s="25" t="str">
        <f t="shared" si="116"/>
        <v>*ICEV*</v>
      </c>
      <c r="E154" s="25" t="str">
        <f t="shared" si="116"/>
        <v>TRADSL</v>
      </c>
      <c r="F154" s="25" t="str">
        <f t="shared" si="116"/>
        <v>TRAFRECLTDMD</v>
      </c>
      <c r="G154" s="25" t="str">
        <f t="shared" si="116"/>
        <v>TRAFRECLTDMD</v>
      </c>
      <c r="H154" s="26">
        <v>2050</v>
      </c>
      <c r="I154" s="26" t="str">
        <f>I152</f>
        <v>LO</v>
      </c>
      <c r="J154" s="26"/>
      <c r="K154" s="27">
        <f>-SUMIFS('TRA RESID'!$P:$P,'TRA RESID'!$I:$I,G154,'TRA RESID'!$J:$J,D154,'TRA RESID'!$H:$H,E154)/SUMIFS('TRA RESID'!$P:$P,'TRA RESID'!$I:$I,G154)*O154</f>
        <v>0</v>
      </c>
      <c r="L154" s="26"/>
      <c r="M154" s="26"/>
      <c r="O154" s="28">
        <v>0</v>
      </c>
      <c r="S154" s="23" t="str">
        <f>IF(S153="*",S153,"")</f>
        <v>*</v>
      </c>
      <c r="T154" s="25" t="str">
        <f t="shared" si="117"/>
        <v>*BEV*</v>
      </c>
      <c r="U154" s="25" t="str">
        <f t="shared" si="117"/>
        <v>TRADSL</v>
      </c>
      <c r="V154" s="25" t="str">
        <f t="shared" si="117"/>
        <v>TRAFRECLTDMD</v>
      </c>
      <c r="W154" s="25" t="str">
        <f t="shared" si="117"/>
        <v>TRAFRECLTDMD</v>
      </c>
      <c r="X154" s="26">
        <v>2050</v>
      </c>
      <c r="Y154" s="26" t="str">
        <f>Y152</f>
        <v>LO</v>
      </c>
      <c r="Z154" s="26"/>
      <c r="AA154" s="27">
        <f>-SUMIFS('TRA RESID'!$P:$P,'TRA RESID'!$I:$I,W154,'TRA RESID'!$J:$J,T154,'TRA RESID'!$H:$H,U154)/SUMIFS('TRA RESID'!$P:$P,'TRA RESID'!$I:$I,W154)*AE154</f>
        <v>0</v>
      </c>
      <c r="AB154" s="26"/>
      <c r="AC154" s="26"/>
      <c r="AE154" s="28">
        <v>1</v>
      </c>
      <c r="AG154" s="23" t="str">
        <f>IF(AG153="*",AG153,"")</f>
        <v>*</v>
      </c>
      <c r="AH154" s="25" t="str">
        <f t="shared" si="118"/>
        <v>*HEV*</v>
      </c>
      <c r="AI154" s="25" t="str">
        <f t="shared" si="118"/>
        <v>TRADSL</v>
      </c>
      <c r="AJ154" s="25" t="str">
        <f t="shared" si="118"/>
        <v>TRAFRECLTDMD</v>
      </c>
      <c r="AK154" s="25" t="str">
        <f t="shared" si="118"/>
        <v>TRAFRECLTDMD</v>
      </c>
      <c r="AL154" s="26">
        <v>2050</v>
      </c>
      <c r="AM154" s="26" t="str">
        <f>AM152</f>
        <v>LO</v>
      </c>
      <c r="AN154" s="26"/>
      <c r="AO154" s="27">
        <f>-SUMIFS('TRA RESID'!$P:$P,'TRA RESID'!$I:$I,AK154,'TRA RESID'!$J:$J,AH154,'TRA RESID'!$H:$H,AI154)/SUMIFS('TRA RESID'!$P:$P,'TRA RESID'!$I:$I,AK154)*AS154</f>
        <v>0</v>
      </c>
      <c r="AP154" s="26"/>
      <c r="AQ154" s="26"/>
      <c r="AS154" s="28">
        <v>0</v>
      </c>
      <c r="AU154" s="23" t="str">
        <f>IF(AU153="*",AU153,"")</f>
        <v>*</v>
      </c>
      <c r="AV154" s="25" t="str">
        <f t="shared" si="119"/>
        <v>*FCEV*</v>
      </c>
      <c r="AW154" s="25" t="str">
        <f t="shared" si="119"/>
        <v>TRADSL</v>
      </c>
      <c r="AX154" s="25" t="str">
        <f t="shared" si="119"/>
        <v>TRAFRECLTDMD</v>
      </c>
      <c r="AY154" s="25" t="str">
        <f t="shared" si="119"/>
        <v>TRAFRECLTDMD</v>
      </c>
      <c r="AZ154" s="26">
        <v>2050</v>
      </c>
      <c r="BA154" s="26" t="str">
        <f>BA152</f>
        <v>LO</v>
      </c>
      <c r="BB154" s="26"/>
      <c r="BC154" s="27">
        <f>-SUMIFS('TRA RESID'!$P:$P,'TRA RESID'!$I:$I,AY154,'TRA RESID'!$J:$J,AV154,'TRA RESID'!$H:$H,AW154)/SUMIFS('TRA RESID'!$P:$P,'TRA RESID'!$I:$I,AY154)*BG154</f>
        <v>0</v>
      </c>
      <c r="BD154" s="26"/>
      <c r="BE154" s="26"/>
      <c r="BG154" s="28">
        <v>0</v>
      </c>
    </row>
    <row r="155" spans="1:59" x14ac:dyDescent="0.25">
      <c r="A155">
        <f>A150+1</f>
        <v>31</v>
      </c>
      <c r="C155" s="15" t="str">
        <f>IF(E155="","",IF(_xlfn.XLOOKUP($A155,Selected_constraint!$A:$A,Selected_constraint!$D:$D)=1,"*",IF(SUMIFS('TRA TECH'!$M:$M,'TRA TECH'!$H:$H,E155,'TRA TECH'!$I:$I,F155)=0,"*",IF(SUMIFS('TRA RESID'!$P:$P,'TRA RESID'!$I:$I,G155,'TRA RESID'!$J:$J,D155,'TRA RESID'!$H:$H,E155)=0,"*","UC_"&amp;SUBSTITUTE(D155,"*","")&amp;"_"&amp;RIGHT(E155,3)&amp;"_"&amp;F155))))</f>
        <v>*</v>
      </c>
      <c r="D155" s="17" t="s">
        <v>485</v>
      </c>
      <c r="E155" s="17" t="str">
        <f>_xlfn.XLOOKUP($A155,Selected_constraint!$A:$A,Selected_constraint!$B:$B)</f>
        <v>TRARDS</v>
      </c>
      <c r="F155" s="17" t="str">
        <f>_xlfn.XLOOKUP($A155,Selected_constraint!$A:$A,Selected_constraint!$C:$C)</f>
        <v>TRAFRECLTDMD</v>
      </c>
      <c r="G155" s="17" t="str">
        <f>F155</f>
        <v>TRAFRECLTDMD</v>
      </c>
      <c r="H155" s="18">
        <v>2019</v>
      </c>
      <c r="I155" s="18" t="s">
        <v>483</v>
      </c>
      <c r="J155" s="18">
        <v>1</v>
      </c>
      <c r="K155" s="20">
        <f>-SUMIFS('TRA RESID'!$P:$P,'TRA RESID'!$I:$I,G155,'TRA RESID'!$J:$J,D155,'TRA RESID'!$H:$H,E155)/SUMIFS('TRA RESID'!$P:$P,'TRA RESID'!$I:$I,G155)*O155</f>
        <v>0</v>
      </c>
      <c r="L155" s="18">
        <v>0</v>
      </c>
      <c r="M155" s="18">
        <v>5</v>
      </c>
      <c r="O155" s="21">
        <v>0.98</v>
      </c>
      <c r="Q155">
        <f>Q150+1</f>
        <v>31</v>
      </c>
      <c r="S155" s="15" t="str">
        <f>IF(SUMIFS('TRA RESID'!$P:$P,'TRA RESID'!$I:$I,W155,'TRA RESID'!$J:$J,T155,'TRA RESID'!$H:$H,U155)=0,"*","UC_"&amp;SUBSTITUTE(T155,"*","")&amp;"_"&amp;RIGHT(U155,3)&amp;"_"&amp;V155)</f>
        <v>*</v>
      </c>
      <c r="T155" s="17" t="s">
        <v>486</v>
      </c>
      <c r="U155" s="17" t="str">
        <f>_xlfn.XLOOKUP($A155,Selected_constraint!$A:$A,Selected_constraint!$B:$B)</f>
        <v>TRARDS</v>
      </c>
      <c r="V155" s="17" t="str">
        <f>_xlfn.XLOOKUP($A155,Selected_constraint!$A:$A,Selected_constraint!$C:$C)</f>
        <v>TRAFRECLTDMD</v>
      </c>
      <c r="W155" s="17" t="str">
        <f>V155</f>
        <v>TRAFRECLTDMD</v>
      </c>
      <c r="X155" s="18">
        <v>2019</v>
      </c>
      <c r="Y155" s="18" t="s">
        <v>483</v>
      </c>
      <c r="Z155" s="18">
        <v>1</v>
      </c>
      <c r="AA155" s="20">
        <f>-SUMIFS('TRA RESID'!$P:$P,'TRA RESID'!$I:$I,W155,'TRA RESID'!$J:$J,T155,'TRA RESID'!$H:$H,U155)/SUMIFS('TRA RESID'!$P:$P,'TRA RESID'!$I:$I,W155)*AE155</f>
        <v>0</v>
      </c>
      <c r="AB155" s="18">
        <v>0</v>
      </c>
      <c r="AC155" s="18">
        <v>5</v>
      </c>
      <c r="AE155" s="21">
        <v>0.98</v>
      </c>
      <c r="AG155" s="15" t="str">
        <f>IF(SUMIFS('TRA RESID'!$P:$P,'TRA RESID'!$I:$I,AK155,'TRA RESID'!$J:$J,AH155,'TRA RESID'!$H:$H,AI155)=0,"*","UC_"&amp;SUBSTITUTE(AH155,"*","")&amp;"_"&amp;RIGHT(AI155,3)&amp;"_"&amp;AJ155)</f>
        <v>*</v>
      </c>
      <c r="AH155" s="17" t="s">
        <v>487</v>
      </c>
      <c r="AI155" s="17" t="str">
        <f>_xlfn.XLOOKUP($A155,Selected_constraint!$A:$A,Selected_constraint!$B:$B)</f>
        <v>TRARDS</v>
      </c>
      <c r="AJ155" s="17" t="str">
        <f>_xlfn.XLOOKUP($A155,Selected_constraint!$A:$A,Selected_constraint!$C:$C)</f>
        <v>TRAFRECLTDMD</v>
      </c>
      <c r="AK155" s="17" t="str">
        <f>AJ155</f>
        <v>TRAFRECLTDMD</v>
      </c>
      <c r="AL155" s="18">
        <v>2019</v>
      </c>
      <c r="AM155" s="18" t="s">
        <v>483</v>
      </c>
      <c r="AN155" s="18">
        <v>1</v>
      </c>
      <c r="AO155" s="20">
        <f>-SUMIFS('TRA RESID'!$P:$P,'TRA RESID'!$I:$I,AK155,'TRA RESID'!$J:$J,AH155,'TRA RESID'!$H:$H,AI155)/SUMIFS('TRA RESID'!$P:$P,'TRA RESID'!$I:$I,AK155)*AS155</f>
        <v>0</v>
      </c>
      <c r="AP155" s="18">
        <v>0</v>
      </c>
      <c r="AQ155" s="18">
        <v>5</v>
      </c>
      <c r="AS155" s="21">
        <v>0.98</v>
      </c>
      <c r="AU155" s="15" t="str">
        <f>IF(SUMIFS('TRA RESID'!$P:$P,'TRA RESID'!$I:$I,AY155,'TRA RESID'!$J:$J,AV155,'TRA RESID'!$H:$H,AW155)=0,"*","UC_"&amp;SUBSTITUTE(AV155,"*","")&amp;"_"&amp;RIGHT(AW155,3)&amp;"_"&amp;AX155)</f>
        <v>*</v>
      </c>
      <c r="AV155" s="17" t="s">
        <v>488</v>
      </c>
      <c r="AW155" s="17" t="str">
        <f>_xlfn.XLOOKUP($A155,Selected_constraint!$A:$A,Selected_constraint!$B:$B)</f>
        <v>TRARDS</v>
      </c>
      <c r="AX155" s="17" t="str">
        <f>_xlfn.XLOOKUP($A155,Selected_constraint!$A:$A,Selected_constraint!$C:$C)</f>
        <v>TRAFRECLTDMD</v>
      </c>
      <c r="AY155" s="17" t="str">
        <f>AX155</f>
        <v>TRAFRECLTDMD</v>
      </c>
      <c r="AZ155" s="18">
        <v>2019</v>
      </c>
      <c r="BA155" s="18" t="s">
        <v>483</v>
      </c>
      <c r="BB155" s="18">
        <v>1</v>
      </c>
      <c r="BC155" s="20">
        <f>-SUMIFS('TRA RESID'!$P:$P,'TRA RESID'!$I:$I,AY155,'TRA RESID'!$J:$J,AV155,'TRA RESID'!$H:$H,AW155)/SUMIFS('TRA RESID'!$P:$P,'TRA RESID'!$I:$I,AY155)*BG155</f>
        <v>0</v>
      </c>
      <c r="BD155" s="18">
        <v>0</v>
      </c>
      <c r="BE155" s="18">
        <v>5</v>
      </c>
      <c r="BG155" s="21">
        <v>0.98</v>
      </c>
    </row>
    <row r="156" spans="1:59" x14ac:dyDescent="0.25">
      <c r="C156" s="15" t="str">
        <f>IF(C155="*",C155,"")</f>
        <v>*</v>
      </c>
      <c r="D156" s="17" t="str">
        <f t="shared" ref="D156:G159" si="120">D155</f>
        <v>*ICEV*</v>
      </c>
      <c r="E156" s="17" t="str">
        <f t="shared" si="120"/>
        <v>TRARDS</v>
      </c>
      <c r="F156" s="17" t="str">
        <f t="shared" si="120"/>
        <v>TRAFRECLTDMD</v>
      </c>
      <c r="G156" s="17" t="str">
        <f t="shared" si="120"/>
        <v>TRAFRECLTDMD</v>
      </c>
      <c r="H156" s="18">
        <v>2025</v>
      </c>
      <c r="I156" s="18" t="str">
        <f>I155</f>
        <v>LO</v>
      </c>
      <c r="J156" s="18"/>
      <c r="K156" s="20">
        <f>-SUMIFS('TRA RESID'!$P:$P,'TRA RESID'!$I:$I,G156,'TRA RESID'!$J:$J,D156,'TRA RESID'!$H:$H,E156)/SUMIFS('TRA RESID'!$P:$P,'TRA RESID'!$I:$I,G156)*O156</f>
        <v>0</v>
      </c>
      <c r="L156" s="18"/>
      <c r="M156" s="18"/>
      <c r="O156" s="21">
        <v>0.8</v>
      </c>
      <c r="S156" s="15" t="str">
        <f>IF(S155="*",S155,"")</f>
        <v>*</v>
      </c>
      <c r="T156" s="17" t="str">
        <f t="shared" ref="T156:W159" si="121">T155</f>
        <v>*BEV*</v>
      </c>
      <c r="U156" s="17" t="str">
        <f t="shared" si="121"/>
        <v>TRARDS</v>
      </c>
      <c r="V156" s="17" t="str">
        <f t="shared" si="121"/>
        <v>TRAFRECLTDMD</v>
      </c>
      <c r="W156" s="17" t="str">
        <f t="shared" si="121"/>
        <v>TRAFRECLTDMD</v>
      </c>
      <c r="X156" s="18">
        <v>2025</v>
      </c>
      <c r="Y156" s="18" t="str">
        <f>Y155</f>
        <v>LO</v>
      </c>
      <c r="Z156" s="18"/>
      <c r="AA156" s="20">
        <f>-SUMIFS('TRA RESID'!$P:$P,'TRA RESID'!$I:$I,W156,'TRA RESID'!$J:$J,T156,'TRA RESID'!$H:$H,U156)/SUMIFS('TRA RESID'!$P:$P,'TRA RESID'!$I:$I,W156)*AE156</f>
        <v>0</v>
      </c>
      <c r="AB156" s="18"/>
      <c r="AC156" s="18"/>
      <c r="AE156" s="21">
        <v>1</v>
      </c>
      <c r="AG156" s="15" t="str">
        <f>IF(AG155="*",AG155,"")</f>
        <v>*</v>
      </c>
      <c r="AH156" s="17" t="str">
        <f t="shared" ref="AH156:AK159" si="122">AH155</f>
        <v>*HEV*</v>
      </c>
      <c r="AI156" s="17" t="str">
        <f t="shared" si="122"/>
        <v>TRARDS</v>
      </c>
      <c r="AJ156" s="17" t="str">
        <f t="shared" si="122"/>
        <v>TRAFRECLTDMD</v>
      </c>
      <c r="AK156" s="17" t="str">
        <f t="shared" si="122"/>
        <v>TRAFRECLTDMD</v>
      </c>
      <c r="AL156" s="18">
        <v>2025</v>
      </c>
      <c r="AM156" s="18" t="str">
        <f>AM155</f>
        <v>LO</v>
      </c>
      <c r="AN156" s="18"/>
      <c r="AO156" s="20">
        <f>-SUMIFS('TRA RESID'!$P:$P,'TRA RESID'!$I:$I,AK156,'TRA RESID'!$J:$J,AH156,'TRA RESID'!$H:$H,AI156)/SUMIFS('TRA RESID'!$P:$P,'TRA RESID'!$I:$I,AK156)*AS156</f>
        <v>0</v>
      </c>
      <c r="AP156" s="18"/>
      <c r="AQ156" s="18"/>
      <c r="AS156" s="21">
        <v>0.8</v>
      </c>
      <c r="AU156" s="15" t="str">
        <f>IF(AU155="*",AU155,"")</f>
        <v>*</v>
      </c>
      <c r="AV156" s="17" t="str">
        <f t="shared" ref="AV156:AY159" si="123">AV155</f>
        <v>*FCEV*</v>
      </c>
      <c r="AW156" s="17" t="str">
        <f t="shared" si="123"/>
        <v>TRARDS</v>
      </c>
      <c r="AX156" s="17" t="str">
        <f t="shared" si="123"/>
        <v>TRAFRECLTDMD</v>
      </c>
      <c r="AY156" s="17" t="str">
        <f t="shared" si="123"/>
        <v>TRAFRECLTDMD</v>
      </c>
      <c r="AZ156" s="18">
        <v>2025</v>
      </c>
      <c r="BA156" s="18" t="str">
        <f>BA155</f>
        <v>LO</v>
      </c>
      <c r="BB156" s="18"/>
      <c r="BC156" s="20">
        <f>-SUMIFS('TRA RESID'!$P:$P,'TRA RESID'!$I:$I,AY156,'TRA RESID'!$J:$J,AV156,'TRA RESID'!$H:$H,AW156)/SUMIFS('TRA RESID'!$P:$P,'TRA RESID'!$I:$I,AY156)*BG156</f>
        <v>0</v>
      </c>
      <c r="BD156" s="18"/>
      <c r="BE156" s="18"/>
      <c r="BG156" s="21">
        <v>0.8</v>
      </c>
    </row>
    <row r="157" spans="1:59" x14ac:dyDescent="0.25">
      <c r="C157" s="15" t="str">
        <f>IF(C156="*",C156,"")</f>
        <v>*</v>
      </c>
      <c r="D157" s="17" t="str">
        <f t="shared" si="120"/>
        <v>*ICEV*</v>
      </c>
      <c r="E157" s="17" t="str">
        <f t="shared" si="120"/>
        <v>TRARDS</v>
      </c>
      <c r="F157" s="17" t="str">
        <f t="shared" si="120"/>
        <v>TRAFRECLTDMD</v>
      </c>
      <c r="G157" s="17" t="str">
        <f t="shared" si="120"/>
        <v>TRAFRECLTDMD</v>
      </c>
      <c r="H157" s="18">
        <v>2030</v>
      </c>
      <c r="I157" s="18" t="str">
        <f>I156</f>
        <v>LO</v>
      </c>
      <c r="J157" s="18"/>
      <c r="K157" s="20">
        <f>-SUMIFS('TRA RESID'!$P:$P,'TRA RESID'!$I:$I,G157,'TRA RESID'!$J:$J,D157,'TRA RESID'!$H:$H,E157)/SUMIFS('TRA RESID'!$P:$P,'TRA RESID'!$I:$I,G157)*O157</f>
        <v>0</v>
      </c>
      <c r="L157" s="18"/>
      <c r="M157" s="18"/>
      <c r="O157" s="21">
        <v>0.5</v>
      </c>
      <c r="S157" s="15" t="str">
        <f>IF(S156="*",S156,"")</f>
        <v>*</v>
      </c>
      <c r="T157" s="17" t="str">
        <f t="shared" si="121"/>
        <v>*BEV*</v>
      </c>
      <c r="U157" s="17" t="str">
        <f t="shared" si="121"/>
        <v>TRARDS</v>
      </c>
      <c r="V157" s="17" t="str">
        <f t="shared" si="121"/>
        <v>TRAFRECLTDMD</v>
      </c>
      <c r="W157" s="17" t="str">
        <f t="shared" si="121"/>
        <v>TRAFRECLTDMD</v>
      </c>
      <c r="X157" s="18">
        <v>2030</v>
      </c>
      <c r="Y157" s="18" t="str">
        <f>Y156</f>
        <v>LO</v>
      </c>
      <c r="Z157" s="18"/>
      <c r="AA157" s="20">
        <f>-SUMIFS('TRA RESID'!$P:$P,'TRA RESID'!$I:$I,W157,'TRA RESID'!$J:$J,T157,'TRA RESID'!$H:$H,U157)/SUMIFS('TRA RESID'!$P:$P,'TRA RESID'!$I:$I,W157)*AE157</f>
        <v>0</v>
      </c>
      <c r="AB157" s="18"/>
      <c r="AC157" s="18"/>
      <c r="AE157" s="21">
        <v>1</v>
      </c>
      <c r="AG157" s="15" t="str">
        <f>IF(AG156="*",AG156,"")</f>
        <v>*</v>
      </c>
      <c r="AH157" s="17" t="str">
        <f t="shared" si="122"/>
        <v>*HEV*</v>
      </c>
      <c r="AI157" s="17" t="str">
        <f t="shared" si="122"/>
        <v>TRARDS</v>
      </c>
      <c r="AJ157" s="17" t="str">
        <f t="shared" si="122"/>
        <v>TRAFRECLTDMD</v>
      </c>
      <c r="AK157" s="17" t="str">
        <f t="shared" si="122"/>
        <v>TRAFRECLTDMD</v>
      </c>
      <c r="AL157" s="18">
        <v>2030</v>
      </c>
      <c r="AM157" s="18" t="str">
        <f>AM156</f>
        <v>LO</v>
      </c>
      <c r="AN157" s="18"/>
      <c r="AO157" s="20">
        <f>-SUMIFS('TRA RESID'!$P:$P,'TRA RESID'!$I:$I,AK157,'TRA RESID'!$J:$J,AH157,'TRA RESID'!$H:$H,AI157)/SUMIFS('TRA RESID'!$P:$P,'TRA RESID'!$I:$I,AK157)*AS157</f>
        <v>0</v>
      </c>
      <c r="AP157" s="18"/>
      <c r="AQ157" s="18"/>
      <c r="AS157" s="21">
        <v>0.5</v>
      </c>
      <c r="AU157" s="15" t="str">
        <f>IF(AU156="*",AU156,"")</f>
        <v>*</v>
      </c>
      <c r="AV157" s="17" t="str">
        <f t="shared" si="123"/>
        <v>*FCEV*</v>
      </c>
      <c r="AW157" s="17" t="str">
        <f t="shared" si="123"/>
        <v>TRARDS</v>
      </c>
      <c r="AX157" s="17" t="str">
        <f t="shared" si="123"/>
        <v>TRAFRECLTDMD</v>
      </c>
      <c r="AY157" s="17" t="str">
        <f t="shared" si="123"/>
        <v>TRAFRECLTDMD</v>
      </c>
      <c r="AZ157" s="18">
        <v>2030</v>
      </c>
      <c r="BA157" s="18" t="str">
        <f>BA156</f>
        <v>LO</v>
      </c>
      <c r="BB157" s="18"/>
      <c r="BC157" s="20">
        <f>-SUMIFS('TRA RESID'!$P:$P,'TRA RESID'!$I:$I,AY157,'TRA RESID'!$J:$J,AV157,'TRA RESID'!$H:$H,AW157)/SUMIFS('TRA RESID'!$P:$P,'TRA RESID'!$I:$I,AY157)*BG157</f>
        <v>0</v>
      </c>
      <c r="BD157" s="18"/>
      <c r="BE157" s="18"/>
      <c r="BG157" s="21">
        <v>0.5</v>
      </c>
    </row>
    <row r="158" spans="1:59" x14ac:dyDescent="0.25">
      <c r="C158" s="15" t="str">
        <f>IF(C157="*",C157,"")</f>
        <v>*</v>
      </c>
      <c r="D158" s="17" t="str">
        <f t="shared" si="120"/>
        <v>*ICEV*</v>
      </c>
      <c r="E158" s="17" t="str">
        <f t="shared" si="120"/>
        <v>TRARDS</v>
      </c>
      <c r="F158" s="17" t="str">
        <f t="shared" si="120"/>
        <v>TRAFRECLTDMD</v>
      </c>
      <c r="G158" s="17" t="str">
        <f t="shared" si="120"/>
        <v>TRAFRECLTDMD</v>
      </c>
      <c r="H158" s="18">
        <v>2040</v>
      </c>
      <c r="I158" s="18" t="str">
        <f>I157</f>
        <v>LO</v>
      </c>
      <c r="J158" s="18"/>
      <c r="K158" s="20">
        <f>-SUMIFS('TRA RESID'!$P:$P,'TRA RESID'!$I:$I,G158,'TRA RESID'!$J:$J,D158,'TRA RESID'!$H:$H,E158)/SUMIFS('TRA RESID'!$P:$P,'TRA RESID'!$I:$I,G158)*O158</f>
        <v>0</v>
      </c>
      <c r="L158" s="18"/>
      <c r="M158" s="18"/>
      <c r="O158" s="21">
        <v>0</v>
      </c>
      <c r="S158" s="15" t="str">
        <f>IF(S157="*",S157,"")</f>
        <v>*</v>
      </c>
      <c r="T158" s="17" t="str">
        <f t="shared" si="121"/>
        <v>*BEV*</v>
      </c>
      <c r="U158" s="17" t="str">
        <f t="shared" si="121"/>
        <v>TRARDS</v>
      </c>
      <c r="V158" s="17" t="str">
        <f t="shared" si="121"/>
        <v>TRAFRECLTDMD</v>
      </c>
      <c r="W158" s="17" t="str">
        <f t="shared" si="121"/>
        <v>TRAFRECLTDMD</v>
      </c>
      <c r="X158" s="18">
        <v>2040</v>
      </c>
      <c r="Y158" s="18" t="str">
        <f>Y157</f>
        <v>LO</v>
      </c>
      <c r="Z158" s="18"/>
      <c r="AA158" s="20">
        <f>-SUMIFS('TRA RESID'!$P:$P,'TRA RESID'!$I:$I,W158,'TRA RESID'!$J:$J,T158,'TRA RESID'!$H:$H,U158)/SUMIFS('TRA RESID'!$P:$P,'TRA RESID'!$I:$I,W158)*AE158</f>
        <v>0</v>
      </c>
      <c r="AB158" s="18"/>
      <c r="AC158" s="18"/>
      <c r="AE158" s="21">
        <v>1</v>
      </c>
      <c r="AG158" s="15" t="str">
        <f>IF(AG157="*",AG157,"")</f>
        <v>*</v>
      </c>
      <c r="AH158" s="17" t="str">
        <f t="shared" si="122"/>
        <v>*HEV*</v>
      </c>
      <c r="AI158" s="17" t="str">
        <f t="shared" si="122"/>
        <v>TRARDS</v>
      </c>
      <c r="AJ158" s="17" t="str">
        <f t="shared" si="122"/>
        <v>TRAFRECLTDMD</v>
      </c>
      <c r="AK158" s="17" t="str">
        <f t="shared" si="122"/>
        <v>TRAFRECLTDMD</v>
      </c>
      <c r="AL158" s="18">
        <v>2040</v>
      </c>
      <c r="AM158" s="18" t="str">
        <f>AM157</f>
        <v>LO</v>
      </c>
      <c r="AN158" s="18"/>
      <c r="AO158" s="20">
        <f>-SUMIFS('TRA RESID'!$P:$P,'TRA RESID'!$I:$I,AK158,'TRA RESID'!$J:$J,AH158,'TRA RESID'!$H:$H,AI158)/SUMIFS('TRA RESID'!$P:$P,'TRA RESID'!$I:$I,AK158)*AS158</f>
        <v>0</v>
      </c>
      <c r="AP158" s="18"/>
      <c r="AQ158" s="18"/>
      <c r="AS158" s="21">
        <v>0</v>
      </c>
      <c r="AU158" s="15" t="str">
        <f>IF(AU157="*",AU157,"")</f>
        <v>*</v>
      </c>
      <c r="AV158" s="17" t="str">
        <f t="shared" si="123"/>
        <v>*FCEV*</v>
      </c>
      <c r="AW158" s="17" t="str">
        <f t="shared" si="123"/>
        <v>TRARDS</v>
      </c>
      <c r="AX158" s="17" t="str">
        <f t="shared" si="123"/>
        <v>TRAFRECLTDMD</v>
      </c>
      <c r="AY158" s="17" t="str">
        <f t="shared" si="123"/>
        <v>TRAFRECLTDMD</v>
      </c>
      <c r="AZ158" s="18">
        <v>2040</v>
      </c>
      <c r="BA158" s="18" t="str">
        <f>BA157</f>
        <v>LO</v>
      </c>
      <c r="BB158" s="18"/>
      <c r="BC158" s="20">
        <f>-SUMIFS('TRA RESID'!$P:$P,'TRA RESID'!$I:$I,AY158,'TRA RESID'!$J:$J,AV158,'TRA RESID'!$H:$H,AW158)/SUMIFS('TRA RESID'!$P:$P,'TRA RESID'!$I:$I,AY158)*BG158</f>
        <v>0</v>
      </c>
      <c r="BD158" s="18"/>
      <c r="BE158" s="18"/>
      <c r="BG158" s="21">
        <v>0</v>
      </c>
    </row>
    <row r="159" spans="1:59" x14ac:dyDescent="0.25">
      <c r="C159" s="23" t="str">
        <f>IF(C158="*",C158,"")</f>
        <v>*</v>
      </c>
      <c r="D159" s="25" t="str">
        <f t="shared" si="120"/>
        <v>*ICEV*</v>
      </c>
      <c r="E159" s="25" t="str">
        <f t="shared" si="120"/>
        <v>TRARDS</v>
      </c>
      <c r="F159" s="25" t="str">
        <f t="shared" si="120"/>
        <v>TRAFRECLTDMD</v>
      </c>
      <c r="G159" s="25" t="str">
        <f t="shared" si="120"/>
        <v>TRAFRECLTDMD</v>
      </c>
      <c r="H159" s="26">
        <v>2050</v>
      </c>
      <c r="I159" s="26" t="str">
        <f>I157</f>
        <v>LO</v>
      </c>
      <c r="J159" s="26"/>
      <c r="K159" s="27">
        <f>-SUMIFS('TRA RESID'!$P:$P,'TRA RESID'!$I:$I,G159,'TRA RESID'!$J:$J,D159,'TRA RESID'!$H:$H,E159)/SUMIFS('TRA RESID'!$P:$P,'TRA RESID'!$I:$I,G159)*O159</f>
        <v>0</v>
      </c>
      <c r="L159" s="26"/>
      <c r="M159" s="26"/>
      <c r="O159" s="28">
        <v>0</v>
      </c>
      <c r="S159" s="23" t="str">
        <f>IF(S158="*",S158,"")</f>
        <v>*</v>
      </c>
      <c r="T159" s="25" t="str">
        <f t="shared" si="121"/>
        <v>*BEV*</v>
      </c>
      <c r="U159" s="25" t="str">
        <f t="shared" si="121"/>
        <v>TRARDS</v>
      </c>
      <c r="V159" s="25" t="str">
        <f t="shared" si="121"/>
        <v>TRAFRECLTDMD</v>
      </c>
      <c r="W159" s="25" t="str">
        <f t="shared" si="121"/>
        <v>TRAFRECLTDMD</v>
      </c>
      <c r="X159" s="26">
        <v>2050</v>
      </c>
      <c r="Y159" s="26" t="str">
        <f>Y157</f>
        <v>LO</v>
      </c>
      <c r="Z159" s="26"/>
      <c r="AA159" s="27">
        <f>-SUMIFS('TRA RESID'!$P:$P,'TRA RESID'!$I:$I,W159,'TRA RESID'!$J:$J,T159,'TRA RESID'!$H:$H,U159)/SUMIFS('TRA RESID'!$P:$P,'TRA RESID'!$I:$I,W159)*AE159</f>
        <v>0</v>
      </c>
      <c r="AB159" s="26"/>
      <c r="AC159" s="26"/>
      <c r="AE159" s="28">
        <v>1</v>
      </c>
      <c r="AG159" s="23" t="str">
        <f>IF(AG158="*",AG158,"")</f>
        <v>*</v>
      </c>
      <c r="AH159" s="25" t="str">
        <f t="shared" si="122"/>
        <v>*HEV*</v>
      </c>
      <c r="AI159" s="25" t="str">
        <f t="shared" si="122"/>
        <v>TRARDS</v>
      </c>
      <c r="AJ159" s="25" t="str">
        <f t="shared" si="122"/>
        <v>TRAFRECLTDMD</v>
      </c>
      <c r="AK159" s="25" t="str">
        <f t="shared" si="122"/>
        <v>TRAFRECLTDMD</v>
      </c>
      <c r="AL159" s="26">
        <v>2050</v>
      </c>
      <c r="AM159" s="26" t="str">
        <f>AM157</f>
        <v>LO</v>
      </c>
      <c r="AN159" s="26"/>
      <c r="AO159" s="27">
        <f>-SUMIFS('TRA RESID'!$P:$P,'TRA RESID'!$I:$I,AK159,'TRA RESID'!$J:$J,AH159,'TRA RESID'!$H:$H,AI159)/SUMIFS('TRA RESID'!$P:$P,'TRA RESID'!$I:$I,AK159)*AS159</f>
        <v>0</v>
      </c>
      <c r="AP159" s="26"/>
      <c r="AQ159" s="26"/>
      <c r="AS159" s="28">
        <v>0</v>
      </c>
      <c r="AU159" s="23" t="str">
        <f>IF(AU158="*",AU158,"")</f>
        <v>*</v>
      </c>
      <c r="AV159" s="25" t="str">
        <f t="shared" si="123"/>
        <v>*FCEV*</v>
      </c>
      <c r="AW159" s="25" t="str">
        <f t="shared" si="123"/>
        <v>TRARDS</v>
      </c>
      <c r="AX159" s="25" t="str">
        <f t="shared" si="123"/>
        <v>TRAFRECLTDMD</v>
      </c>
      <c r="AY159" s="25" t="str">
        <f t="shared" si="123"/>
        <v>TRAFRECLTDMD</v>
      </c>
      <c r="AZ159" s="26">
        <v>2050</v>
      </c>
      <c r="BA159" s="26" t="str">
        <f>BA157</f>
        <v>LO</v>
      </c>
      <c r="BB159" s="26"/>
      <c r="BC159" s="27">
        <f>-SUMIFS('TRA RESID'!$P:$P,'TRA RESID'!$I:$I,AY159,'TRA RESID'!$J:$J,AV159,'TRA RESID'!$H:$H,AW159)/SUMIFS('TRA RESID'!$P:$P,'TRA RESID'!$I:$I,AY159)*BG159</f>
        <v>0</v>
      </c>
      <c r="BD159" s="26"/>
      <c r="BE159" s="26"/>
      <c r="BG159" s="28">
        <v>0</v>
      </c>
    </row>
    <row r="160" spans="1:59" x14ac:dyDescent="0.25">
      <c r="A160">
        <f>A155+1</f>
        <v>32</v>
      </c>
      <c r="C160" s="15" t="str">
        <f>IF(E160="","",IF(_xlfn.XLOOKUP($A160,Selected_constraint!$A:$A,Selected_constraint!$D:$D)=1,"*",IF(SUMIFS('TRA TECH'!$M:$M,'TRA TECH'!$H:$H,E160,'TRA TECH'!$I:$I,F160)=0,"*",IF(SUMIFS('TRA RESID'!$P:$P,'TRA RESID'!$I:$I,G160,'TRA RESID'!$J:$J,D160,'TRA RESID'!$H:$H,E160)=0,"*","UC_"&amp;SUBSTITUTE(D160,"*","")&amp;"_"&amp;RIGHT(E160,3)&amp;"_"&amp;F160))))</f>
        <v>*</v>
      </c>
      <c r="D160" s="17" t="s">
        <v>485</v>
      </c>
      <c r="E160" s="17" t="str">
        <f>_xlfn.XLOOKUP($A160,Selected_constraint!$A:$A,Selected_constraint!$B:$B)</f>
        <v>TRABDS</v>
      </c>
      <c r="F160" s="17" t="str">
        <f>_xlfn.XLOOKUP($A160,Selected_constraint!$A:$A,Selected_constraint!$C:$C)</f>
        <v>TRAFRECLTDMD</v>
      </c>
      <c r="G160" s="17" t="str">
        <f>F160</f>
        <v>TRAFRECLTDMD</v>
      </c>
      <c r="H160" s="18">
        <v>2019</v>
      </c>
      <c r="I160" s="18" t="s">
        <v>483</v>
      </c>
      <c r="J160" s="18">
        <v>1</v>
      </c>
      <c r="K160" s="20">
        <f>-SUMIFS('TRA RESID'!$P:$P,'TRA RESID'!$I:$I,G160,'TRA RESID'!$J:$J,D160,'TRA RESID'!$H:$H,E160)/SUMIFS('TRA RESID'!$P:$P,'TRA RESID'!$I:$I,G160)*O160</f>
        <v>0</v>
      </c>
      <c r="L160" s="18">
        <v>0</v>
      </c>
      <c r="M160" s="18">
        <v>5</v>
      </c>
      <c r="O160" s="21">
        <v>0.98</v>
      </c>
      <c r="Q160">
        <f>Q155+1</f>
        <v>32</v>
      </c>
      <c r="S160" s="15" t="str">
        <f>IF(SUMIFS('TRA RESID'!$P:$P,'TRA RESID'!$I:$I,W160,'TRA RESID'!$J:$J,T160,'TRA RESID'!$H:$H,U160)=0,"*","UC_"&amp;SUBSTITUTE(T160,"*","")&amp;"_"&amp;RIGHT(U160,3)&amp;"_"&amp;V160)</f>
        <v>*</v>
      </c>
      <c r="T160" s="17" t="s">
        <v>486</v>
      </c>
      <c r="U160" s="17" t="str">
        <f>_xlfn.XLOOKUP($A160,Selected_constraint!$A:$A,Selected_constraint!$B:$B)</f>
        <v>TRABDS</v>
      </c>
      <c r="V160" s="17" t="str">
        <f>_xlfn.XLOOKUP($A160,Selected_constraint!$A:$A,Selected_constraint!$C:$C)</f>
        <v>TRAFRECLTDMD</v>
      </c>
      <c r="W160" s="17" t="str">
        <f>V160</f>
        <v>TRAFRECLTDMD</v>
      </c>
      <c r="X160" s="18">
        <v>2019</v>
      </c>
      <c r="Y160" s="18" t="s">
        <v>483</v>
      </c>
      <c r="Z160" s="18">
        <v>1</v>
      </c>
      <c r="AA160" s="20">
        <f>-SUMIFS('TRA RESID'!$P:$P,'TRA RESID'!$I:$I,W160,'TRA RESID'!$J:$J,T160,'TRA RESID'!$H:$H,U160)/SUMIFS('TRA RESID'!$P:$P,'TRA RESID'!$I:$I,W160)*AE160</f>
        <v>0</v>
      </c>
      <c r="AB160" s="18">
        <v>0</v>
      </c>
      <c r="AC160" s="18">
        <v>5</v>
      </c>
      <c r="AE160" s="21">
        <v>0.98</v>
      </c>
      <c r="AG160" s="15" t="str">
        <f>IF(SUMIFS('TRA RESID'!$P:$P,'TRA RESID'!$I:$I,AK160,'TRA RESID'!$J:$J,AH160,'TRA RESID'!$H:$H,AI160)=0,"*","UC_"&amp;SUBSTITUTE(AH160,"*","")&amp;"_"&amp;RIGHT(AI160,3)&amp;"_"&amp;AJ160)</f>
        <v>*</v>
      </c>
      <c r="AH160" s="17" t="s">
        <v>487</v>
      </c>
      <c r="AI160" s="17" t="str">
        <f>_xlfn.XLOOKUP($A160,Selected_constraint!$A:$A,Selected_constraint!$B:$B)</f>
        <v>TRABDS</v>
      </c>
      <c r="AJ160" s="17" t="str">
        <f>_xlfn.XLOOKUP($A160,Selected_constraint!$A:$A,Selected_constraint!$C:$C)</f>
        <v>TRAFRECLTDMD</v>
      </c>
      <c r="AK160" s="17" t="str">
        <f>AJ160</f>
        <v>TRAFRECLTDMD</v>
      </c>
      <c r="AL160" s="18">
        <v>2019</v>
      </c>
      <c r="AM160" s="18" t="s">
        <v>483</v>
      </c>
      <c r="AN160" s="18">
        <v>1</v>
      </c>
      <c r="AO160" s="20">
        <f>-SUMIFS('TRA RESID'!$P:$P,'TRA RESID'!$I:$I,AK160,'TRA RESID'!$J:$J,AH160,'TRA RESID'!$H:$H,AI160)/SUMIFS('TRA RESID'!$P:$P,'TRA RESID'!$I:$I,AK160)*AS160</f>
        <v>0</v>
      </c>
      <c r="AP160" s="18">
        <v>0</v>
      </c>
      <c r="AQ160" s="18">
        <v>5</v>
      </c>
      <c r="AS160" s="21">
        <v>0.98</v>
      </c>
      <c r="AU160" s="15" t="str">
        <f>IF(SUMIFS('TRA RESID'!$P:$P,'TRA RESID'!$I:$I,AY160,'TRA RESID'!$J:$J,AV160,'TRA RESID'!$H:$H,AW160)=0,"*","UC_"&amp;SUBSTITUTE(AV160,"*","")&amp;"_"&amp;RIGHT(AW160,3)&amp;"_"&amp;AX160)</f>
        <v>*</v>
      </c>
      <c r="AV160" s="17" t="s">
        <v>488</v>
      </c>
      <c r="AW160" s="17" t="str">
        <f>_xlfn.XLOOKUP($A160,Selected_constraint!$A:$A,Selected_constraint!$B:$B)</f>
        <v>TRABDS</v>
      </c>
      <c r="AX160" s="17" t="str">
        <f>_xlfn.XLOOKUP($A160,Selected_constraint!$A:$A,Selected_constraint!$C:$C)</f>
        <v>TRAFRECLTDMD</v>
      </c>
      <c r="AY160" s="17" t="str">
        <f>AX160</f>
        <v>TRAFRECLTDMD</v>
      </c>
      <c r="AZ160" s="18">
        <v>2019</v>
      </c>
      <c r="BA160" s="18" t="s">
        <v>483</v>
      </c>
      <c r="BB160" s="18">
        <v>1</v>
      </c>
      <c r="BC160" s="20">
        <f>-SUMIFS('TRA RESID'!$P:$P,'TRA RESID'!$I:$I,AY160,'TRA RESID'!$J:$J,AV160,'TRA RESID'!$H:$H,AW160)/SUMIFS('TRA RESID'!$P:$P,'TRA RESID'!$I:$I,AY160)*BG160</f>
        <v>0</v>
      </c>
      <c r="BD160" s="18">
        <v>0</v>
      </c>
      <c r="BE160" s="18">
        <v>5</v>
      </c>
      <c r="BG160" s="21">
        <v>0.98</v>
      </c>
    </row>
    <row r="161" spans="1:59" x14ac:dyDescent="0.25">
      <c r="C161" s="15" t="str">
        <f>IF(C160="*",C160,"")</f>
        <v>*</v>
      </c>
      <c r="D161" s="17" t="str">
        <f t="shared" ref="D161:G164" si="124">D160</f>
        <v>*ICEV*</v>
      </c>
      <c r="E161" s="17" t="str">
        <f t="shared" si="124"/>
        <v>TRABDS</v>
      </c>
      <c r="F161" s="17" t="str">
        <f t="shared" si="124"/>
        <v>TRAFRECLTDMD</v>
      </c>
      <c r="G161" s="17" t="str">
        <f t="shared" si="124"/>
        <v>TRAFRECLTDMD</v>
      </c>
      <c r="H161" s="18">
        <v>2025</v>
      </c>
      <c r="I161" s="18" t="str">
        <f>I160</f>
        <v>LO</v>
      </c>
      <c r="J161" s="18"/>
      <c r="K161" s="20">
        <f>-SUMIFS('TRA RESID'!$P:$P,'TRA RESID'!$I:$I,G161,'TRA RESID'!$J:$J,D161,'TRA RESID'!$H:$H,E161)/SUMIFS('TRA RESID'!$P:$P,'TRA RESID'!$I:$I,G161)*O161</f>
        <v>0</v>
      </c>
      <c r="L161" s="18"/>
      <c r="M161" s="18"/>
      <c r="O161" s="21">
        <v>0.8</v>
      </c>
      <c r="S161" s="15" t="str">
        <f>IF(S160="*",S160,"")</f>
        <v>*</v>
      </c>
      <c r="T161" s="17" t="str">
        <f t="shared" ref="T161:W164" si="125">T160</f>
        <v>*BEV*</v>
      </c>
      <c r="U161" s="17" t="str">
        <f t="shared" si="125"/>
        <v>TRABDS</v>
      </c>
      <c r="V161" s="17" t="str">
        <f t="shared" si="125"/>
        <v>TRAFRECLTDMD</v>
      </c>
      <c r="W161" s="17" t="str">
        <f t="shared" si="125"/>
        <v>TRAFRECLTDMD</v>
      </c>
      <c r="X161" s="18">
        <v>2025</v>
      </c>
      <c r="Y161" s="18" t="str">
        <f>Y160</f>
        <v>LO</v>
      </c>
      <c r="Z161" s="18"/>
      <c r="AA161" s="20">
        <f>-SUMIFS('TRA RESID'!$P:$P,'TRA RESID'!$I:$I,W161,'TRA RESID'!$J:$J,T161,'TRA RESID'!$H:$H,U161)/SUMIFS('TRA RESID'!$P:$P,'TRA RESID'!$I:$I,W161)*AE161</f>
        <v>0</v>
      </c>
      <c r="AB161" s="18"/>
      <c r="AC161" s="18"/>
      <c r="AE161" s="21">
        <v>1</v>
      </c>
      <c r="AG161" s="15" t="str">
        <f>IF(AG160="*",AG160,"")</f>
        <v>*</v>
      </c>
      <c r="AH161" s="17" t="str">
        <f t="shared" ref="AH161:AK164" si="126">AH160</f>
        <v>*HEV*</v>
      </c>
      <c r="AI161" s="17" t="str">
        <f t="shared" si="126"/>
        <v>TRABDS</v>
      </c>
      <c r="AJ161" s="17" t="str">
        <f t="shared" si="126"/>
        <v>TRAFRECLTDMD</v>
      </c>
      <c r="AK161" s="17" t="str">
        <f t="shared" si="126"/>
        <v>TRAFRECLTDMD</v>
      </c>
      <c r="AL161" s="18">
        <v>2025</v>
      </c>
      <c r="AM161" s="18" t="str">
        <f>AM160</f>
        <v>LO</v>
      </c>
      <c r="AN161" s="18"/>
      <c r="AO161" s="20">
        <f>-SUMIFS('TRA RESID'!$P:$P,'TRA RESID'!$I:$I,AK161,'TRA RESID'!$J:$J,AH161,'TRA RESID'!$H:$H,AI161)/SUMIFS('TRA RESID'!$P:$P,'TRA RESID'!$I:$I,AK161)*AS161</f>
        <v>0</v>
      </c>
      <c r="AP161" s="18"/>
      <c r="AQ161" s="18"/>
      <c r="AS161" s="21">
        <v>0.8</v>
      </c>
      <c r="AU161" s="15" t="str">
        <f>IF(AU160="*",AU160,"")</f>
        <v>*</v>
      </c>
      <c r="AV161" s="17" t="str">
        <f t="shared" ref="AV161:AY164" si="127">AV160</f>
        <v>*FCEV*</v>
      </c>
      <c r="AW161" s="17" t="str">
        <f t="shared" si="127"/>
        <v>TRABDS</v>
      </c>
      <c r="AX161" s="17" t="str">
        <f t="shared" si="127"/>
        <v>TRAFRECLTDMD</v>
      </c>
      <c r="AY161" s="17" t="str">
        <f t="shared" si="127"/>
        <v>TRAFRECLTDMD</v>
      </c>
      <c r="AZ161" s="18">
        <v>2025</v>
      </c>
      <c r="BA161" s="18" t="str">
        <f>BA160</f>
        <v>LO</v>
      </c>
      <c r="BB161" s="18"/>
      <c r="BC161" s="20">
        <f>-SUMIFS('TRA RESID'!$P:$P,'TRA RESID'!$I:$I,AY161,'TRA RESID'!$J:$J,AV161,'TRA RESID'!$H:$H,AW161)/SUMIFS('TRA RESID'!$P:$P,'TRA RESID'!$I:$I,AY161)*BG161</f>
        <v>0</v>
      </c>
      <c r="BD161" s="18"/>
      <c r="BE161" s="18"/>
      <c r="BG161" s="21">
        <v>0.8</v>
      </c>
    </row>
    <row r="162" spans="1:59" x14ac:dyDescent="0.25">
      <c r="C162" s="15" t="str">
        <f>IF(C161="*",C161,"")</f>
        <v>*</v>
      </c>
      <c r="D162" s="17" t="str">
        <f t="shared" si="124"/>
        <v>*ICEV*</v>
      </c>
      <c r="E162" s="17" t="str">
        <f t="shared" si="124"/>
        <v>TRABDS</v>
      </c>
      <c r="F162" s="17" t="str">
        <f t="shared" si="124"/>
        <v>TRAFRECLTDMD</v>
      </c>
      <c r="G162" s="17" t="str">
        <f t="shared" si="124"/>
        <v>TRAFRECLTDMD</v>
      </c>
      <c r="H162" s="18">
        <v>2030</v>
      </c>
      <c r="I162" s="18" t="str">
        <f>I161</f>
        <v>LO</v>
      </c>
      <c r="J162" s="18"/>
      <c r="K162" s="20">
        <f>-SUMIFS('TRA RESID'!$P:$P,'TRA RESID'!$I:$I,G162,'TRA RESID'!$J:$J,D162,'TRA RESID'!$H:$H,E162)/SUMIFS('TRA RESID'!$P:$P,'TRA RESID'!$I:$I,G162)*O162</f>
        <v>0</v>
      </c>
      <c r="L162" s="18"/>
      <c r="M162" s="18"/>
      <c r="O162" s="21">
        <v>0.5</v>
      </c>
      <c r="S162" s="15" t="str">
        <f>IF(S161="*",S161,"")</f>
        <v>*</v>
      </c>
      <c r="T162" s="17" t="str">
        <f t="shared" si="125"/>
        <v>*BEV*</v>
      </c>
      <c r="U162" s="17" t="str">
        <f t="shared" si="125"/>
        <v>TRABDS</v>
      </c>
      <c r="V162" s="17" t="str">
        <f t="shared" si="125"/>
        <v>TRAFRECLTDMD</v>
      </c>
      <c r="W162" s="17" t="str">
        <f t="shared" si="125"/>
        <v>TRAFRECLTDMD</v>
      </c>
      <c r="X162" s="18">
        <v>2030</v>
      </c>
      <c r="Y162" s="18" t="str">
        <f>Y161</f>
        <v>LO</v>
      </c>
      <c r="Z162" s="18"/>
      <c r="AA162" s="20">
        <f>-SUMIFS('TRA RESID'!$P:$P,'TRA RESID'!$I:$I,W162,'TRA RESID'!$J:$J,T162,'TRA RESID'!$H:$H,U162)/SUMIFS('TRA RESID'!$P:$P,'TRA RESID'!$I:$I,W162)*AE162</f>
        <v>0</v>
      </c>
      <c r="AB162" s="18"/>
      <c r="AC162" s="18"/>
      <c r="AE162" s="21">
        <v>1</v>
      </c>
      <c r="AG162" s="15" t="str">
        <f>IF(AG161="*",AG161,"")</f>
        <v>*</v>
      </c>
      <c r="AH162" s="17" t="str">
        <f t="shared" si="126"/>
        <v>*HEV*</v>
      </c>
      <c r="AI162" s="17" t="str">
        <f t="shared" si="126"/>
        <v>TRABDS</v>
      </c>
      <c r="AJ162" s="17" t="str">
        <f t="shared" si="126"/>
        <v>TRAFRECLTDMD</v>
      </c>
      <c r="AK162" s="17" t="str">
        <f t="shared" si="126"/>
        <v>TRAFRECLTDMD</v>
      </c>
      <c r="AL162" s="18">
        <v>2030</v>
      </c>
      <c r="AM162" s="18" t="str">
        <f>AM161</f>
        <v>LO</v>
      </c>
      <c r="AN162" s="18"/>
      <c r="AO162" s="20">
        <f>-SUMIFS('TRA RESID'!$P:$P,'TRA RESID'!$I:$I,AK162,'TRA RESID'!$J:$J,AH162,'TRA RESID'!$H:$H,AI162)/SUMIFS('TRA RESID'!$P:$P,'TRA RESID'!$I:$I,AK162)*AS162</f>
        <v>0</v>
      </c>
      <c r="AP162" s="18"/>
      <c r="AQ162" s="18"/>
      <c r="AS162" s="21">
        <v>0.5</v>
      </c>
      <c r="AU162" s="15" t="str">
        <f>IF(AU161="*",AU161,"")</f>
        <v>*</v>
      </c>
      <c r="AV162" s="17" t="str">
        <f t="shared" si="127"/>
        <v>*FCEV*</v>
      </c>
      <c r="AW162" s="17" t="str">
        <f t="shared" si="127"/>
        <v>TRABDS</v>
      </c>
      <c r="AX162" s="17" t="str">
        <f t="shared" si="127"/>
        <v>TRAFRECLTDMD</v>
      </c>
      <c r="AY162" s="17" t="str">
        <f t="shared" si="127"/>
        <v>TRAFRECLTDMD</v>
      </c>
      <c r="AZ162" s="18">
        <v>2030</v>
      </c>
      <c r="BA162" s="18" t="str">
        <f>BA161</f>
        <v>LO</v>
      </c>
      <c r="BB162" s="18"/>
      <c r="BC162" s="20">
        <f>-SUMIFS('TRA RESID'!$P:$P,'TRA RESID'!$I:$I,AY162,'TRA RESID'!$J:$J,AV162,'TRA RESID'!$H:$H,AW162)/SUMIFS('TRA RESID'!$P:$P,'TRA RESID'!$I:$I,AY162)*BG162</f>
        <v>0</v>
      </c>
      <c r="BD162" s="18"/>
      <c r="BE162" s="18"/>
      <c r="BG162" s="21">
        <v>0.5</v>
      </c>
    </row>
    <row r="163" spans="1:59" x14ac:dyDescent="0.25">
      <c r="C163" s="15" t="str">
        <f>IF(C162="*",C162,"")</f>
        <v>*</v>
      </c>
      <c r="D163" s="17" t="str">
        <f t="shared" si="124"/>
        <v>*ICEV*</v>
      </c>
      <c r="E163" s="17" t="str">
        <f t="shared" si="124"/>
        <v>TRABDS</v>
      </c>
      <c r="F163" s="17" t="str">
        <f t="shared" si="124"/>
        <v>TRAFRECLTDMD</v>
      </c>
      <c r="G163" s="17" t="str">
        <f t="shared" si="124"/>
        <v>TRAFRECLTDMD</v>
      </c>
      <c r="H163" s="18">
        <v>2040</v>
      </c>
      <c r="I163" s="18" t="str">
        <f>I162</f>
        <v>LO</v>
      </c>
      <c r="J163" s="18"/>
      <c r="K163" s="20">
        <f>-SUMIFS('TRA RESID'!$P:$P,'TRA RESID'!$I:$I,G163,'TRA RESID'!$J:$J,D163,'TRA RESID'!$H:$H,E163)/SUMIFS('TRA RESID'!$P:$P,'TRA RESID'!$I:$I,G163)*O163</f>
        <v>0</v>
      </c>
      <c r="L163" s="18"/>
      <c r="M163" s="18"/>
      <c r="O163" s="21">
        <v>0</v>
      </c>
      <c r="S163" s="15" t="str">
        <f>IF(S162="*",S162,"")</f>
        <v>*</v>
      </c>
      <c r="T163" s="17" t="str">
        <f t="shared" si="125"/>
        <v>*BEV*</v>
      </c>
      <c r="U163" s="17" t="str">
        <f t="shared" si="125"/>
        <v>TRABDS</v>
      </c>
      <c r="V163" s="17" t="str">
        <f t="shared" si="125"/>
        <v>TRAFRECLTDMD</v>
      </c>
      <c r="W163" s="17" t="str">
        <f t="shared" si="125"/>
        <v>TRAFRECLTDMD</v>
      </c>
      <c r="X163" s="18">
        <v>2040</v>
      </c>
      <c r="Y163" s="18" t="str">
        <f>Y162</f>
        <v>LO</v>
      </c>
      <c r="Z163" s="18"/>
      <c r="AA163" s="20">
        <f>-SUMIFS('TRA RESID'!$P:$P,'TRA RESID'!$I:$I,W163,'TRA RESID'!$J:$J,T163,'TRA RESID'!$H:$H,U163)/SUMIFS('TRA RESID'!$P:$P,'TRA RESID'!$I:$I,W163)*AE163</f>
        <v>0</v>
      </c>
      <c r="AB163" s="18"/>
      <c r="AC163" s="18"/>
      <c r="AE163" s="21">
        <v>1</v>
      </c>
      <c r="AG163" s="15" t="str">
        <f>IF(AG162="*",AG162,"")</f>
        <v>*</v>
      </c>
      <c r="AH163" s="17" t="str">
        <f t="shared" si="126"/>
        <v>*HEV*</v>
      </c>
      <c r="AI163" s="17" t="str">
        <f t="shared" si="126"/>
        <v>TRABDS</v>
      </c>
      <c r="AJ163" s="17" t="str">
        <f t="shared" si="126"/>
        <v>TRAFRECLTDMD</v>
      </c>
      <c r="AK163" s="17" t="str">
        <f t="shared" si="126"/>
        <v>TRAFRECLTDMD</v>
      </c>
      <c r="AL163" s="18">
        <v>2040</v>
      </c>
      <c r="AM163" s="18" t="str">
        <f>AM162</f>
        <v>LO</v>
      </c>
      <c r="AN163" s="18"/>
      <c r="AO163" s="20">
        <f>-SUMIFS('TRA RESID'!$P:$P,'TRA RESID'!$I:$I,AK163,'TRA RESID'!$J:$J,AH163,'TRA RESID'!$H:$H,AI163)/SUMIFS('TRA RESID'!$P:$P,'TRA RESID'!$I:$I,AK163)*AS163</f>
        <v>0</v>
      </c>
      <c r="AP163" s="18"/>
      <c r="AQ163" s="18"/>
      <c r="AS163" s="21">
        <v>0</v>
      </c>
      <c r="AU163" s="15" t="str">
        <f>IF(AU162="*",AU162,"")</f>
        <v>*</v>
      </c>
      <c r="AV163" s="17" t="str">
        <f t="shared" si="127"/>
        <v>*FCEV*</v>
      </c>
      <c r="AW163" s="17" t="str">
        <f t="shared" si="127"/>
        <v>TRABDS</v>
      </c>
      <c r="AX163" s="17" t="str">
        <f t="shared" si="127"/>
        <v>TRAFRECLTDMD</v>
      </c>
      <c r="AY163" s="17" t="str">
        <f t="shared" si="127"/>
        <v>TRAFRECLTDMD</v>
      </c>
      <c r="AZ163" s="18">
        <v>2040</v>
      </c>
      <c r="BA163" s="18" t="str">
        <f>BA162</f>
        <v>LO</v>
      </c>
      <c r="BB163" s="18"/>
      <c r="BC163" s="20">
        <f>-SUMIFS('TRA RESID'!$P:$P,'TRA RESID'!$I:$I,AY163,'TRA RESID'!$J:$J,AV163,'TRA RESID'!$H:$H,AW163)/SUMIFS('TRA RESID'!$P:$P,'TRA RESID'!$I:$I,AY163)*BG163</f>
        <v>0</v>
      </c>
      <c r="BD163" s="18"/>
      <c r="BE163" s="18"/>
      <c r="BG163" s="21">
        <v>0</v>
      </c>
    </row>
    <row r="164" spans="1:59" x14ac:dyDescent="0.25">
      <c r="C164" s="23" t="str">
        <f>IF(C163="*",C163,"")</f>
        <v>*</v>
      </c>
      <c r="D164" s="25" t="str">
        <f t="shared" si="124"/>
        <v>*ICEV*</v>
      </c>
      <c r="E164" s="25" t="str">
        <f t="shared" si="124"/>
        <v>TRABDS</v>
      </c>
      <c r="F164" s="25" t="str">
        <f t="shared" si="124"/>
        <v>TRAFRECLTDMD</v>
      </c>
      <c r="G164" s="25" t="str">
        <f t="shared" si="124"/>
        <v>TRAFRECLTDMD</v>
      </c>
      <c r="H164" s="26">
        <v>2050</v>
      </c>
      <c r="I164" s="26" t="str">
        <f>I162</f>
        <v>LO</v>
      </c>
      <c r="J164" s="26"/>
      <c r="K164" s="27">
        <f>-SUMIFS('TRA RESID'!$P:$P,'TRA RESID'!$I:$I,G164,'TRA RESID'!$J:$J,D164,'TRA RESID'!$H:$H,E164)/SUMIFS('TRA RESID'!$P:$P,'TRA RESID'!$I:$I,G164)*O164</f>
        <v>0</v>
      </c>
      <c r="L164" s="26"/>
      <c r="M164" s="26"/>
      <c r="O164" s="28">
        <v>0</v>
      </c>
      <c r="S164" s="23" t="str">
        <f>IF(S163="*",S163,"")</f>
        <v>*</v>
      </c>
      <c r="T164" s="25" t="str">
        <f t="shared" si="125"/>
        <v>*BEV*</v>
      </c>
      <c r="U164" s="25" t="str">
        <f t="shared" si="125"/>
        <v>TRABDS</v>
      </c>
      <c r="V164" s="25" t="str">
        <f t="shared" si="125"/>
        <v>TRAFRECLTDMD</v>
      </c>
      <c r="W164" s="25" t="str">
        <f t="shared" si="125"/>
        <v>TRAFRECLTDMD</v>
      </c>
      <c r="X164" s="26">
        <v>2050</v>
      </c>
      <c r="Y164" s="26" t="str">
        <f>Y162</f>
        <v>LO</v>
      </c>
      <c r="Z164" s="26"/>
      <c r="AA164" s="27">
        <f>-SUMIFS('TRA RESID'!$P:$P,'TRA RESID'!$I:$I,W164,'TRA RESID'!$J:$J,T164,'TRA RESID'!$H:$H,U164)/SUMIFS('TRA RESID'!$P:$P,'TRA RESID'!$I:$I,W164)*AE164</f>
        <v>0</v>
      </c>
      <c r="AB164" s="26"/>
      <c r="AC164" s="26"/>
      <c r="AE164" s="28">
        <v>1</v>
      </c>
      <c r="AG164" s="23" t="str">
        <f>IF(AG163="*",AG163,"")</f>
        <v>*</v>
      </c>
      <c r="AH164" s="25" t="str">
        <f t="shared" si="126"/>
        <v>*HEV*</v>
      </c>
      <c r="AI164" s="25" t="str">
        <f t="shared" si="126"/>
        <v>TRABDS</v>
      </c>
      <c r="AJ164" s="25" t="str">
        <f t="shared" si="126"/>
        <v>TRAFRECLTDMD</v>
      </c>
      <c r="AK164" s="25" t="str">
        <f t="shared" si="126"/>
        <v>TRAFRECLTDMD</v>
      </c>
      <c r="AL164" s="26">
        <v>2050</v>
      </c>
      <c r="AM164" s="26" t="str">
        <f>AM162</f>
        <v>LO</v>
      </c>
      <c r="AN164" s="26"/>
      <c r="AO164" s="27">
        <f>-SUMIFS('TRA RESID'!$P:$P,'TRA RESID'!$I:$I,AK164,'TRA RESID'!$J:$J,AH164,'TRA RESID'!$H:$H,AI164)/SUMIFS('TRA RESID'!$P:$P,'TRA RESID'!$I:$I,AK164)*AS164</f>
        <v>0</v>
      </c>
      <c r="AP164" s="26"/>
      <c r="AQ164" s="26"/>
      <c r="AS164" s="28">
        <v>0</v>
      </c>
      <c r="AU164" s="23" t="str">
        <f>IF(AU163="*",AU163,"")</f>
        <v>*</v>
      </c>
      <c r="AV164" s="25" t="str">
        <f t="shared" si="127"/>
        <v>*FCEV*</v>
      </c>
      <c r="AW164" s="25" t="str">
        <f t="shared" si="127"/>
        <v>TRABDS</v>
      </c>
      <c r="AX164" s="25" t="str">
        <f t="shared" si="127"/>
        <v>TRAFRECLTDMD</v>
      </c>
      <c r="AY164" s="25" t="str">
        <f t="shared" si="127"/>
        <v>TRAFRECLTDMD</v>
      </c>
      <c r="AZ164" s="26">
        <v>2050</v>
      </c>
      <c r="BA164" s="26" t="str">
        <f>BA162</f>
        <v>LO</v>
      </c>
      <c r="BB164" s="26"/>
      <c r="BC164" s="27">
        <f>-SUMIFS('TRA RESID'!$P:$P,'TRA RESID'!$I:$I,AY164,'TRA RESID'!$J:$J,AV164,'TRA RESID'!$H:$H,AW164)/SUMIFS('TRA RESID'!$P:$P,'TRA RESID'!$I:$I,AY164)*BG164</f>
        <v>0</v>
      </c>
      <c r="BD164" s="26"/>
      <c r="BE164" s="26"/>
      <c r="BG164" s="28">
        <v>0</v>
      </c>
    </row>
    <row r="165" spans="1:59" x14ac:dyDescent="0.25">
      <c r="A165">
        <f>A160+1</f>
        <v>33</v>
      </c>
      <c r="C165" s="15" t="str">
        <f>IF(E165="","",IF(_xlfn.XLOOKUP($A165,Selected_constraint!$A:$A,Selected_constraint!$D:$D)=1,"*",IF(SUMIFS('TRA TECH'!$M:$M,'TRA TECH'!$H:$H,E165,'TRA TECH'!$I:$I,F165)=0,"*",IF(SUMIFS('TRA RESID'!$P:$P,'TRA RESID'!$I:$I,G165,'TRA RESID'!$J:$J,D165,'TRA RESID'!$H:$H,E165)=0,"*","UC_"&amp;SUBSTITUTE(D165,"*","")&amp;"_"&amp;RIGHT(E165,3)&amp;"_"&amp;F165))))</f>
        <v>UC_ICEV_CNG_TRAFRECLTDMD</v>
      </c>
      <c r="D165" s="17" t="s">
        <v>485</v>
      </c>
      <c r="E165" s="17" t="str">
        <f>_xlfn.XLOOKUP($A165,Selected_constraint!$A:$A,Selected_constraint!$B:$B)</f>
        <v>TRACNG</v>
      </c>
      <c r="F165" s="17" t="str">
        <f>_xlfn.XLOOKUP($A165,Selected_constraint!$A:$A,Selected_constraint!$C:$C)</f>
        <v>TRAFRECLTDMD</v>
      </c>
      <c r="G165" s="17" t="str">
        <f>F165</f>
        <v>TRAFRECLTDMD</v>
      </c>
      <c r="H165" s="18">
        <v>2019</v>
      </c>
      <c r="I165" s="18" t="s">
        <v>483</v>
      </c>
      <c r="J165" s="18">
        <v>1</v>
      </c>
      <c r="K165" s="20">
        <f>-SUMIFS('TRA RESID'!$P:$P,'TRA RESID'!$I:$I,G165,'TRA RESID'!$J:$J,D165,'TRA RESID'!$H:$H,E165)/SUMIFS('TRA RESID'!$P:$P,'TRA RESID'!$I:$I,G165)*O165</f>
        <v>-1.3360200397282112E-3</v>
      </c>
      <c r="L165" s="18">
        <v>0</v>
      </c>
      <c r="M165" s="18">
        <v>5</v>
      </c>
      <c r="O165" s="21">
        <v>0.98</v>
      </c>
      <c r="Q165">
        <f>Q160+1</f>
        <v>33</v>
      </c>
      <c r="S165" s="15" t="str">
        <f>IF(SUMIFS('TRA RESID'!$P:$P,'TRA RESID'!$I:$I,W165,'TRA RESID'!$J:$J,T165,'TRA RESID'!$H:$H,U165)=0,"*","UC_"&amp;SUBSTITUTE(T165,"*","")&amp;"_"&amp;RIGHT(U165,3)&amp;"_"&amp;V165)</f>
        <v>*</v>
      </c>
      <c r="T165" s="17" t="s">
        <v>486</v>
      </c>
      <c r="U165" s="17" t="str">
        <f>_xlfn.XLOOKUP($A165,Selected_constraint!$A:$A,Selected_constraint!$B:$B)</f>
        <v>TRACNG</v>
      </c>
      <c r="V165" s="17" t="str">
        <f>_xlfn.XLOOKUP($A165,Selected_constraint!$A:$A,Selected_constraint!$C:$C)</f>
        <v>TRAFRECLTDMD</v>
      </c>
      <c r="W165" s="17" t="str">
        <f>V165</f>
        <v>TRAFRECLTDMD</v>
      </c>
      <c r="X165" s="18">
        <v>2019</v>
      </c>
      <c r="Y165" s="18" t="s">
        <v>483</v>
      </c>
      <c r="Z165" s="18">
        <v>1</v>
      </c>
      <c r="AA165" s="20">
        <f>-SUMIFS('TRA RESID'!$P:$P,'TRA RESID'!$I:$I,W165,'TRA RESID'!$J:$J,T165,'TRA RESID'!$H:$H,U165)/SUMIFS('TRA RESID'!$P:$P,'TRA RESID'!$I:$I,W165)*AE165</f>
        <v>0</v>
      </c>
      <c r="AB165" s="18">
        <v>0</v>
      </c>
      <c r="AC165" s="18">
        <v>5</v>
      </c>
      <c r="AE165" s="21">
        <v>0.98</v>
      </c>
      <c r="AG165" s="15" t="str">
        <f>IF(SUMIFS('TRA RESID'!$P:$P,'TRA RESID'!$I:$I,AK165,'TRA RESID'!$J:$J,AH165,'TRA RESID'!$H:$H,AI165)=0,"*","UC_"&amp;SUBSTITUTE(AH165,"*","")&amp;"_"&amp;RIGHT(AI165,3)&amp;"_"&amp;AJ165)</f>
        <v>*</v>
      </c>
      <c r="AH165" s="17" t="s">
        <v>487</v>
      </c>
      <c r="AI165" s="17" t="str">
        <f>_xlfn.XLOOKUP($A165,Selected_constraint!$A:$A,Selected_constraint!$B:$B)</f>
        <v>TRACNG</v>
      </c>
      <c r="AJ165" s="17" t="str">
        <f>_xlfn.XLOOKUP($A165,Selected_constraint!$A:$A,Selected_constraint!$C:$C)</f>
        <v>TRAFRECLTDMD</v>
      </c>
      <c r="AK165" s="17" t="str">
        <f>AJ165</f>
        <v>TRAFRECLTDMD</v>
      </c>
      <c r="AL165" s="18">
        <v>2019</v>
      </c>
      <c r="AM165" s="18" t="s">
        <v>483</v>
      </c>
      <c r="AN165" s="18">
        <v>1</v>
      </c>
      <c r="AO165" s="20">
        <f>-SUMIFS('TRA RESID'!$P:$P,'TRA RESID'!$I:$I,AK165,'TRA RESID'!$J:$J,AH165,'TRA RESID'!$H:$H,AI165)/SUMIFS('TRA RESID'!$P:$P,'TRA RESID'!$I:$I,AK165)*AS165</f>
        <v>0</v>
      </c>
      <c r="AP165" s="18">
        <v>0</v>
      </c>
      <c r="AQ165" s="18">
        <v>5</v>
      </c>
      <c r="AS165" s="21">
        <v>0.98</v>
      </c>
      <c r="AU165" s="15" t="str">
        <f>IF(SUMIFS('TRA RESID'!$P:$P,'TRA RESID'!$I:$I,AY165,'TRA RESID'!$J:$J,AV165,'TRA RESID'!$H:$H,AW165)=0,"*","UC_"&amp;SUBSTITUTE(AV165,"*","")&amp;"_"&amp;RIGHT(AW165,3)&amp;"_"&amp;AX165)</f>
        <v>*</v>
      </c>
      <c r="AV165" s="17" t="s">
        <v>488</v>
      </c>
      <c r="AW165" s="17" t="str">
        <f>_xlfn.XLOOKUP($A165,Selected_constraint!$A:$A,Selected_constraint!$B:$B)</f>
        <v>TRACNG</v>
      </c>
      <c r="AX165" s="17" t="str">
        <f>_xlfn.XLOOKUP($A165,Selected_constraint!$A:$A,Selected_constraint!$C:$C)</f>
        <v>TRAFRECLTDMD</v>
      </c>
      <c r="AY165" s="17" t="str">
        <f>AX165</f>
        <v>TRAFRECLTDMD</v>
      </c>
      <c r="AZ165" s="18">
        <v>2019</v>
      </c>
      <c r="BA165" s="18" t="s">
        <v>483</v>
      </c>
      <c r="BB165" s="18">
        <v>1</v>
      </c>
      <c r="BC165" s="20">
        <f>-SUMIFS('TRA RESID'!$P:$P,'TRA RESID'!$I:$I,AY165,'TRA RESID'!$J:$J,AV165,'TRA RESID'!$H:$H,AW165)/SUMIFS('TRA RESID'!$P:$P,'TRA RESID'!$I:$I,AY165)*BG165</f>
        <v>0</v>
      </c>
      <c r="BD165" s="18">
        <v>0</v>
      </c>
      <c r="BE165" s="18">
        <v>5</v>
      </c>
      <c r="BG165" s="21">
        <v>0.98</v>
      </c>
    </row>
    <row r="166" spans="1:59" x14ac:dyDescent="0.25">
      <c r="C166" s="15" t="str">
        <f>IF(C165="*",C165,"")</f>
        <v/>
      </c>
      <c r="D166" s="17" t="str">
        <f t="shared" ref="D166:G169" si="128">D165</f>
        <v>*ICEV*</v>
      </c>
      <c r="E166" s="17" t="str">
        <f t="shared" si="128"/>
        <v>TRACNG</v>
      </c>
      <c r="F166" s="17" t="str">
        <f t="shared" si="128"/>
        <v>TRAFRECLTDMD</v>
      </c>
      <c r="G166" s="17" t="str">
        <f t="shared" si="128"/>
        <v>TRAFRECLTDMD</v>
      </c>
      <c r="H166" s="18">
        <v>2025</v>
      </c>
      <c r="I166" s="18" t="str">
        <f>I165</f>
        <v>LO</v>
      </c>
      <c r="J166" s="18"/>
      <c r="K166" s="20">
        <f>-SUMIFS('TRA RESID'!$P:$P,'TRA RESID'!$I:$I,G166,'TRA RESID'!$J:$J,D166,'TRA RESID'!$H:$H,E166)/SUMIFS('TRA RESID'!$P:$P,'TRA RESID'!$I:$I,G166)*O166</f>
        <v>-1.0906286038597644E-3</v>
      </c>
      <c r="L166" s="18"/>
      <c r="M166" s="18"/>
      <c r="O166" s="21">
        <v>0.8</v>
      </c>
      <c r="S166" s="15" t="str">
        <f>IF(S165="*",S165,"")</f>
        <v>*</v>
      </c>
      <c r="T166" s="17" t="str">
        <f t="shared" ref="T166:W169" si="129">T165</f>
        <v>*BEV*</v>
      </c>
      <c r="U166" s="17" t="str">
        <f t="shared" si="129"/>
        <v>TRACNG</v>
      </c>
      <c r="V166" s="17" t="str">
        <f t="shared" si="129"/>
        <v>TRAFRECLTDMD</v>
      </c>
      <c r="W166" s="17" t="str">
        <f t="shared" si="129"/>
        <v>TRAFRECLTDMD</v>
      </c>
      <c r="X166" s="18">
        <v>2025</v>
      </c>
      <c r="Y166" s="18" t="str">
        <f>Y165</f>
        <v>LO</v>
      </c>
      <c r="Z166" s="18"/>
      <c r="AA166" s="20">
        <f>-SUMIFS('TRA RESID'!$P:$P,'TRA RESID'!$I:$I,W166,'TRA RESID'!$J:$J,T166,'TRA RESID'!$H:$H,U166)/SUMIFS('TRA RESID'!$P:$P,'TRA RESID'!$I:$I,W166)*AE166</f>
        <v>0</v>
      </c>
      <c r="AB166" s="18"/>
      <c r="AC166" s="18"/>
      <c r="AE166" s="21">
        <v>1</v>
      </c>
      <c r="AG166" s="15" t="str">
        <f>IF(AG165="*",AG165,"")</f>
        <v>*</v>
      </c>
      <c r="AH166" s="17" t="str">
        <f t="shared" ref="AH166:AK169" si="130">AH165</f>
        <v>*HEV*</v>
      </c>
      <c r="AI166" s="17" t="str">
        <f t="shared" si="130"/>
        <v>TRACNG</v>
      </c>
      <c r="AJ166" s="17" t="str">
        <f t="shared" si="130"/>
        <v>TRAFRECLTDMD</v>
      </c>
      <c r="AK166" s="17" t="str">
        <f t="shared" si="130"/>
        <v>TRAFRECLTDMD</v>
      </c>
      <c r="AL166" s="18">
        <v>2025</v>
      </c>
      <c r="AM166" s="18" t="str">
        <f>AM165</f>
        <v>LO</v>
      </c>
      <c r="AN166" s="18"/>
      <c r="AO166" s="20">
        <f>-SUMIFS('TRA RESID'!$P:$P,'TRA RESID'!$I:$I,AK166,'TRA RESID'!$J:$J,AH166,'TRA RESID'!$H:$H,AI166)/SUMIFS('TRA RESID'!$P:$P,'TRA RESID'!$I:$I,AK166)*AS166</f>
        <v>0</v>
      </c>
      <c r="AP166" s="18"/>
      <c r="AQ166" s="18"/>
      <c r="AS166" s="21">
        <v>0.8</v>
      </c>
      <c r="AU166" s="15" t="str">
        <f>IF(AU165="*",AU165,"")</f>
        <v>*</v>
      </c>
      <c r="AV166" s="17" t="str">
        <f t="shared" ref="AV166:AY169" si="131">AV165</f>
        <v>*FCEV*</v>
      </c>
      <c r="AW166" s="17" t="str">
        <f t="shared" si="131"/>
        <v>TRACNG</v>
      </c>
      <c r="AX166" s="17" t="str">
        <f t="shared" si="131"/>
        <v>TRAFRECLTDMD</v>
      </c>
      <c r="AY166" s="17" t="str">
        <f t="shared" si="131"/>
        <v>TRAFRECLTDMD</v>
      </c>
      <c r="AZ166" s="18">
        <v>2025</v>
      </c>
      <c r="BA166" s="18" t="str">
        <f>BA165</f>
        <v>LO</v>
      </c>
      <c r="BB166" s="18"/>
      <c r="BC166" s="20">
        <f>-SUMIFS('TRA RESID'!$P:$P,'TRA RESID'!$I:$I,AY166,'TRA RESID'!$J:$J,AV166,'TRA RESID'!$H:$H,AW166)/SUMIFS('TRA RESID'!$P:$P,'TRA RESID'!$I:$I,AY166)*BG166</f>
        <v>0</v>
      </c>
      <c r="BD166" s="18"/>
      <c r="BE166" s="18"/>
      <c r="BG166" s="21">
        <v>0.8</v>
      </c>
    </row>
    <row r="167" spans="1:59" x14ac:dyDescent="0.25">
      <c r="C167" s="15" t="str">
        <f>IF(C166="*",C166,"")</f>
        <v/>
      </c>
      <c r="D167" s="17" t="str">
        <f t="shared" si="128"/>
        <v>*ICEV*</v>
      </c>
      <c r="E167" s="17" t="str">
        <f t="shared" si="128"/>
        <v>TRACNG</v>
      </c>
      <c r="F167" s="17" t="str">
        <f t="shared" si="128"/>
        <v>TRAFRECLTDMD</v>
      </c>
      <c r="G167" s="17" t="str">
        <f t="shared" si="128"/>
        <v>TRAFRECLTDMD</v>
      </c>
      <c r="H167" s="18">
        <v>2030</v>
      </c>
      <c r="I167" s="18" t="str">
        <f>I166</f>
        <v>LO</v>
      </c>
      <c r="J167" s="18"/>
      <c r="K167" s="20">
        <f>-SUMIFS('TRA RESID'!$P:$P,'TRA RESID'!$I:$I,G167,'TRA RESID'!$J:$J,D167,'TRA RESID'!$H:$H,E167)/SUMIFS('TRA RESID'!$P:$P,'TRA RESID'!$I:$I,G167)*O167</f>
        <v>-6.8164287741235272E-4</v>
      </c>
      <c r="L167" s="18"/>
      <c r="M167" s="18"/>
      <c r="O167" s="21">
        <v>0.5</v>
      </c>
      <c r="S167" s="15" t="str">
        <f>IF(S166="*",S166,"")</f>
        <v>*</v>
      </c>
      <c r="T167" s="17" t="str">
        <f t="shared" si="129"/>
        <v>*BEV*</v>
      </c>
      <c r="U167" s="17" t="str">
        <f t="shared" si="129"/>
        <v>TRACNG</v>
      </c>
      <c r="V167" s="17" t="str">
        <f t="shared" si="129"/>
        <v>TRAFRECLTDMD</v>
      </c>
      <c r="W167" s="17" t="str">
        <f t="shared" si="129"/>
        <v>TRAFRECLTDMD</v>
      </c>
      <c r="X167" s="18">
        <v>2030</v>
      </c>
      <c r="Y167" s="18" t="str">
        <f>Y166</f>
        <v>LO</v>
      </c>
      <c r="Z167" s="18"/>
      <c r="AA167" s="20">
        <f>-SUMIFS('TRA RESID'!$P:$P,'TRA RESID'!$I:$I,W167,'TRA RESID'!$J:$J,T167,'TRA RESID'!$H:$H,U167)/SUMIFS('TRA RESID'!$P:$P,'TRA RESID'!$I:$I,W167)*AE167</f>
        <v>0</v>
      </c>
      <c r="AB167" s="18"/>
      <c r="AC167" s="18"/>
      <c r="AE167" s="21">
        <v>1</v>
      </c>
      <c r="AG167" s="15" t="str">
        <f>IF(AG166="*",AG166,"")</f>
        <v>*</v>
      </c>
      <c r="AH167" s="17" t="str">
        <f t="shared" si="130"/>
        <v>*HEV*</v>
      </c>
      <c r="AI167" s="17" t="str">
        <f t="shared" si="130"/>
        <v>TRACNG</v>
      </c>
      <c r="AJ167" s="17" t="str">
        <f t="shared" si="130"/>
        <v>TRAFRECLTDMD</v>
      </c>
      <c r="AK167" s="17" t="str">
        <f t="shared" si="130"/>
        <v>TRAFRECLTDMD</v>
      </c>
      <c r="AL167" s="18">
        <v>2030</v>
      </c>
      <c r="AM167" s="18" t="str">
        <f>AM166</f>
        <v>LO</v>
      </c>
      <c r="AN167" s="18"/>
      <c r="AO167" s="20">
        <f>-SUMIFS('TRA RESID'!$P:$P,'TRA RESID'!$I:$I,AK167,'TRA RESID'!$J:$J,AH167,'TRA RESID'!$H:$H,AI167)/SUMIFS('TRA RESID'!$P:$P,'TRA RESID'!$I:$I,AK167)*AS167</f>
        <v>0</v>
      </c>
      <c r="AP167" s="18"/>
      <c r="AQ167" s="18"/>
      <c r="AS167" s="21">
        <v>0.5</v>
      </c>
      <c r="AU167" s="15" t="str">
        <f>IF(AU166="*",AU166,"")</f>
        <v>*</v>
      </c>
      <c r="AV167" s="17" t="str">
        <f t="shared" si="131"/>
        <v>*FCEV*</v>
      </c>
      <c r="AW167" s="17" t="str">
        <f t="shared" si="131"/>
        <v>TRACNG</v>
      </c>
      <c r="AX167" s="17" t="str">
        <f t="shared" si="131"/>
        <v>TRAFRECLTDMD</v>
      </c>
      <c r="AY167" s="17" t="str">
        <f t="shared" si="131"/>
        <v>TRAFRECLTDMD</v>
      </c>
      <c r="AZ167" s="18">
        <v>2030</v>
      </c>
      <c r="BA167" s="18" t="str">
        <f>BA166</f>
        <v>LO</v>
      </c>
      <c r="BB167" s="18"/>
      <c r="BC167" s="20">
        <f>-SUMIFS('TRA RESID'!$P:$P,'TRA RESID'!$I:$I,AY167,'TRA RESID'!$J:$J,AV167,'TRA RESID'!$H:$H,AW167)/SUMIFS('TRA RESID'!$P:$P,'TRA RESID'!$I:$I,AY167)*BG167</f>
        <v>0</v>
      </c>
      <c r="BD167" s="18"/>
      <c r="BE167" s="18"/>
      <c r="BG167" s="21">
        <v>0.5</v>
      </c>
    </row>
    <row r="168" spans="1:59" x14ac:dyDescent="0.25">
      <c r="C168" s="15" t="str">
        <f>IF(C167="*",C167,"")</f>
        <v/>
      </c>
      <c r="D168" s="17" t="str">
        <f t="shared" si="128"/>
        <v>*ICEV*</v>
      </c>
      <c r="E168" s="17" t="str">
        <f t="shared" si="128"/>
        <v>TRACNG</v>
      </c>
      <c r="F168" s="17" t="str">
        <f t="shared" si="128"/>
        <v>TRAFRECLTDMD</v>
      </c>
      <c r="G168" s="17" t="str">
        <f t="shared" si="128"/>
        <v>TRAFRECLTDMD</v>
      </c>
      <c r="H168" s="18">
        <v>2040</v>
      </c>
      <c r="I168" s="18" t="str">
        <f>I167</f>
        <v>LO</v>
      </c>
      <c r="J168" s="18"/>
      <c r="K168" s="20">
        <f>-SUMIFS('TRA RESID'!$P:$P,'TRA RESID'!$I:$I,G168,'TRA RESID'!$J:$J,D168,'TRA RESID'!$H:$H,E168)/SUMIFS('TRA RESID'!$P:$P,'TRA RESID'!$I:$I,G168)*O168</f>
        <v>0</v>
      </c>
      <c r="L168" s="18"/>
      <c r="M168" s="18"/>
      <c r="O168" s="21">
        <v>0</v>
      </c>
      <c r="S168" s="15" t="str">
        <f>IF(S167="*",S167,"")</f>
        <v>*</v>
      </c>
      <c r="T168" s="17" t="str">
        <f t="shared" si="129"/>
        <v>*BEV*</v>
      </c>
      <c r="U168" s="17" t="str">
        <f t="shared" si="129"/>
        <v>TRACNG</v>
      </c>
      <c r="V168" s="17" t="str">
        <f t="shared" si="129"/>
        <v>TRAFRECLTDMD</v>
      </c>
      <c r="W168" s="17" t="str">
        <f t="shared" si="129"/>
        <v>TRAFRECLTDMD</v>
      </c>
      <c r="X168" s="18">
        <v>2040</v>
      </c>
      <c r="Y168" s="18" t="str">
        <f>Y167</f>
        <v>LO</v>
      </c>
      <c r="Z168" s="18"/>
      <c r="AA168" s="20">
        <f>-SUMIFS('TRA RESID'!$P:$P,'TRA RESID'!$I:$I,W168,'TRA RESID'!$J:$J,T168,'TRA RESID'!$H:$H,U168)/SUMIFS('TRA RESID'!$P:$P,'TRA RESID'!$I:$I,W168)*AE168</f>
        <v>0</v>
      </c>
      <c r="AB168" s="18"/>
      <c r="AC168" s="18"/>
      <c r="AE168" s="21">
        <v>1</v>
      </c>
      <c r="AG168" s="15" t="str">
        <f>IF(AG167="*",AG167,"")</f>
        <v>*</v>
      </c>
      <c r="AH168" s="17" t="str">
        <f t="shared" si="130"/>
        <v>*HEV*</v>
      </c>
      <c r="AI168" s="17" t="str">
        <f t="shared" si="130"/>
        <v>TRACNG</v>
      </c>
      <c r="AJ168" s="17" t="str">
        <f t="shared" si="130"/>
        <v>TRAFRECLTDMD</v>
      </c>
      <c r="AK168" s="17" t="str">
        <f t="shared" si="130"/>
        <v>TRAFRECLTDMD</v>
      </c>
      <c r="AL168" s="18">
        <v>2040</v>
      </c>
      <c r="AM168" s="18" t="str">
        <f>AM167</f>
        <v>LO</v>
      </c>
      <c r="AN168" s="18"/>
      <c r="AO168" s="20">
        <f>-SUMIFS('TRA RESID'!$P:$P,'TRA RESID'!$I:$I,AK168,'TRA RESID'!$J:$J,AH168,'TRA RESID'!$H:$H,AI168)/SUMIFS('TRA RESID'!$P:$P,'TRA RESID'!$I:$I,AK168)*AS168</f>
        <v>0</v>
      </c>
      <c r="AP168" s="18"/>
      <c r="AQ168" s="18"/>
      <c r="AS168" s="21">
        <v>0</v>
      </c>
      <c r="AU168" s="15" t="str">
        <f>IF(AU167="*",AU167,"")</f>
        <v>*</v>
      </c>
      <c r="AV168" s="17" t="str">
        <f t="shared" si="131"/>
        <v>*FCEV*</v>
      </c>
      <c r="AW168" s="17" t="str">
        <f t="shared" si="131"/>
        <v>TRACNG</v>
      </c>
      <c r="AX168" s="17" t="str">
        <f t="shared" si="131"/>
        <v>TRAFRECLTDMD</v>
      </c>
      <c r="AY168" s="17" t="str">
        <f t="shared" si="131"/>
        <v>TRAFRECLTDMD</v>
      </c>
      <c r="AZ168" s="18">
        <v>2040</v>
      </c>
      <c r="BA168" s="18" t="str">
        <f>BA167</f>
        <v>LO</v>
      </c>
      <c r="BB168" s="18"/>
      <c r="BC168" s="20">
        <f>-SUMIFS('TRA RESID'!$P:$P,'TRA RESID'!$I:$I,AY168,'TRA RESID'!$J:$J,AV168,'TRA RESID'!$H:$H,AW168)/SUMIFS('TRA RESID'!$P:$P,'TRA RESID'!$I:$I,AY168)*BG168</f>
        <v>0</v>
      </c>
      <c r="BD168" s="18"/>
      <c r="BE168" s="18"/>
      <c r="BG168" s="21">
        <v>0</v>
      </c>
    </row>
    <row r="169" spans="1:59" x14ac:dyDescent="0.25">
      <c r="C169" s="23" t="str">
        <f>IF(C168="*",C168,"")</f>
        <v/>
      </c>
      <c r="D169" s="25" t="str">
        <f t="shared" si="128"/>
        <v>*ICEV*</v>
      </c>
      <c r="E169" s="25" t="str">
        <f t="shared" si="128"/>
        <v>TRACNG</v>
      </c>
      <c r="F169" s="25" t="str">
        <f t="shared" si="128"/>
        <v>TRAFRECLTDMD</v>
      </c>
      <c r="G169" s="25" t="str">
        <f t="shared" si="128"/>
        <v>TRAFRECLTDMD</v>
      </c>
      <c r="H169" s="26">
        <v>2050</v>
      </c>
      <c r="I169" s="26" t="str">
        <f>I167</f>
        <v>LO</v>
      </c>
      <c r="J169" s="26"/>
      <c r="K169" s="27">
        <f>-SUMIFS('TRA RESID'!$P:$P,'TRA RESID'!$I:$I,G169,'TRA RESID'!$J:$J,D169,'TRA RESID'!$H:$H,E169)/SUMIFS('TRA RESID'!$P:$P,'TRA RESID'!$I:$I,G169)*O169</f>
        <v>0</v>
      </c>
      <c r="L169" s="26"/>
      <c r="M169" s="26"/>
      <c r="O169" s="28">
        <v>0</v>
      </c>
      <c r="S169" s="23" t="str">
        <f>IF(S168="*",S168,"")</f>
        <v>*</v>
      </c>
      <c r="T169" s="25" t="str">
        <f t="shared" si="129"/>
        <v>*BEV*</v>
      </c>
      <c r="U169" s="25" t="str">
        <f t="shared" si="129"/>
        <v>TRACNG</v>
      </c>
      <c r="V169" s="25" t="str">
        <f t="shared" si="129"/>
        <v>TRAFRECLTDMD</v>
      </c>
      <c r="W169" s="25" t="str">
        <f t="shared" si="129"/>
        <v>TRAFRECLTDMD</v>
      </c>
      <c r="X169" s="26">
        <v>2050</v>
      </c>
      <c r="Y169" s="26" t="str">
        <f>Y167</f>
        <v>LO</v>
      </c>
      <c r="Z169" s="26"/>
      <c r="AA169" s="27">
        <f>-SUMIFS('TRA RESID'!$P:$P,'TRA RESID'!$I:$I,W169,'TRA RESID'!$J:$J,T169,'TRA RESID'!$H:$H,U169)/SUMIFS('TRA RESID'!$P:$P,'TRA RESID'!$I:$I,W169)*AE169</f>
        <v>0</v>
      </c>
      <c r="AB169" s="26"/>
      <c r="AC169" s="26"/>
      <c r="AE169" s="28">
        <v>1</v>
      </c>
      <c r="AG169" s="23" t="str">
        <f>IF(AG168="*",AG168,"")</f>
        <v>*</v>
      </c>
      <c r="AH169" s="25" t="str">
        <f t="shared" si="130"/>
        <v>*HEV*</v>
      </c>
      <c r="AI169" s="25" t="str">
        <f t="shared" si="130"/>
        <v>TRACNG</v>
      </c>
      <c r="AJ169" s="25" t="str">
        <f t="shared" si="130"/>
        <v>TRAFRECLTDMD</v>
      </c>
      <c r="AK169" s="25" t="str">
        <f t="shared" si="130"/>
        <v>TRAFRECLTDMD</v>
      </c>
      <c r="AL169" s="26">
        <v>2050</v>
      </c>
      <c r="AM169" s="26" t="str">
        <f>AM167</f>
        <v>LO</v>
      </c>
      <c r="AN169" s="26"/>
      <c r="AO169" s="27">
        <f>-SUMIFS('TRA RESID'!$P:$P,'TRA RESID'!$I:$I,AK169,'TRA RESID'!$J:$J,AH169,'TRA RESID'!$H:$H,AI169)/SUMIFS('TRA RESID'!$P:$P,'TRA RESID'!$I:$I,AK169)*AS169</f>
        <v>0</v>
      </c>
      <c r="AP169" s="26"/>
      <c r="AQ169" s="26"/>
      <c r="AS169" s="28">
        <v>0</v>
      </c>
      <c r="AU169" s="23" t="str">
        <f>IF(AU168="*",AU168,"")</f>
        <v>*</v>
      </c>
      <c r="AV169" s="25" t="str">
        <f t="shared" si="131"/>
        <v>*FCEV*</v>
      </c>
      <c r="AW169" s="25" t="str">
        <f t="shared" si="131"/>
        <v>TRACNG</v>
      </c>
      <c r="AX169" s="25" t="str">
        <f t="shared" si="131"/>
        <v>TRAFRECLTDMD</v>
      </c>
      <c r="AY169" s="25" t="str">
        <f t="shared" si="131"/>
        <v>TRAFRECLTDMD</v>
      </c>
      <c r="AZ169" s="26">
        <v>2050</v>
      </c>
      <c r="BA169" s="26" t="str">
        <f>BA167</f>
        <v>LO</v>
      </c>
      <c r="BB169" s="26"/>
      <c r="BC169" s="27">
        <f>-SUMIFS('TRA RESID'!$P:$P,'TRA RESID'!$I:$I,AY169,'TRA RESID'!$J:$J,AV169,'TRA RESID'!$H:$H,AW169)/SUMIFS('TRA RESID'!$P:$P,'TRA RESID'!$I:$I,AY169)*BG169</f>
        <v>0</v>
      </c>
      <c r="BD169" s="26"/>
      <c r="BE169" s="26"/>
      <c r="BG169" s="28">
        <v>0</v>
      </c>
    </row>
    <row r="170" spans="1:59" x14ac:dyDescent="0.25">
      <c r="A170">
        <f>A165+1</f>
        <v>34</v>
      </c>
      <c r="C170" s="15" t="str">
        <f>IF(E170="","",IF(_xlfn.XLOOKUP($A170,Selected_constraint!$A:$A,Selected_constraint!$D:$D)=1,"*",IF(SUMIFS('TRA TECH'!$M:$M,'TRA TECH'!$H:$H,E170,'TRA TECH'!$I:$I,F170)=0,"*",IF(SUMIFS('TRA RESID'!$P:$P,'TRA RESID'!$I:$I,G170,'TRA RESID'!$J:$J,D170,'TRA RESID'!$H:$H,E170)=0,"*","UC_"&amp;SUBSTITUTE(D170,"*","")&amp;"_"&amp;RIGHT(E170,3)&amp;"_"&amp;F170))))</f>
        <v>*</v>
      </c>
      <c r="D170" s="17" t="s">
        <v>485</v>
      </c>
      <c r="E170" s="17" t="str">
        <f>_xlfn.XLOOKUP($A170,Selected_constraint!$A:$A,Selected_constraint!$B:$B)</f>
        <v>TRARNG</v>
      </c>
      <c r="F170" s="17" t="str">
        <f>_xlfn.XLOOKUP($A170,Selected_constraint!$A:$A,Selected_constraint!$C:$C)</f>
        <v>TRAFRECLTDMD</v>
      </c>
      <c r="G170" s="17" t="str">
        <f>F170</f>
        <v>TRAFRECLTDMD</v>
      </c>
      <c r="H170" s="18">
        <v>2019</v>
      </c>
      <c r="I170" s="18" t="s">
        <v>483</v>
      </c>
      <c r="J170" s="18">
        <v>1</v>
      </c>
      <c r="K170" s="20">
        <f>-SUMIFS('TRA RESID'!$P:$P,'TRA RESID'!$I:$I,G170,'TRA RESID'!$J:$J,D170,'TRA RESID'!$H:$H,E170)/SUMIFS('TRA RESID'!$P:$P,'TRA RESID'!$I:$I,G170)*O170</f>
        <v>0</v>
      </c>
      <c r="L170" s="18">
        <v>0</v>
      </c>
      <c r="M170" s="18">
        <v>5</v>
      </c>
      <c r="O170" s="21">
        <v>0.98</v>
      </c>
      <c r="Q170">
        <f>Q165+1</f>
        <v>34</v>
      </c>
      <c r="S170" s="15" t="str">
        <f>IF(SUMIFS('TRA RESID'!$P:$P,'TRA RESID'!$I:$I,W170,'TRA RESID'!$J:$J,T170,'TRA RESID'!$H:$H,U170)=0,"*","UC_"&amp;SUBSTITUTE(T170,"*","")&amp;"_"&amp;RIGHT(U170,3)&amp;"_"&amp;V170)</f>
        <v>*</v>
      </c>
      <c r="T170" s="17" t="s">
        <v>486</v>
      </c>
      <c r="U170" s="17" t="str">
        <f>_xlfn.XLOOKUP($A170,Selected_constraint!$A:$A,Selected_constraint!$B:$B)</f>
        <v>TRARNG</v>
      </c>
      <c r="V170" s="17" t="str">
        <f>_xlfn.XLOOKUP($A170,Selected_constraint!$A:$A,Selected_constraint!$C:$C)</f>
        <v>TRAFRECLTDMD</v>
      </c>
      <c r="W170" s="17" t="str">
        <f>V170</f>
        <v>TRAFRECLTDMD</v>
      </c>
      <c r="X170" s="18">
        <v>2019</v>
      </c>
      <c r="Y170" s="18" t="s">
        <v>483</v>
      </c>
      <c r="Z170" s="18">
        <v>1</v>
      </c>
      <c r="AA170" s="20">
        <f>-SUMIFS('TRA RESID'!$P:$P,'TRA RESID'!$I:$I,W170,'TRA RESID'!$J:$J,T170,'TRA RESID'!$H:$H,U170)/SUMIFS('TRA RESID'!$P:$P,'TRA RESID'!$I:$I,W170)*AE170</f>
        <v>0</v>
      </c>
      <c r="AB170" s="18">
        <v>0</v>
      </c>
      <c r="AC170" s="18">
        <v>5</v>
      </c>
      <c r="AE170" s="21">
        <v>0.98</v>
      </c>
      <c r="AG170" s="15" t="str">
        <f>IF(SUMIFS('TRA RESID'!$P:$P,'TRA RESID'!$I:$I,AK170,'TRA RESID'!$J:$J,AH170,'TRA RESID'!$H:$H,AI170)=0,"*","UC_"&amp;SUBSTITUTE(AH170,"*","")&amp;"_"&amp;RIGHT(AI170,3)&amp;"_"&amp;AJ170)</f>
        <v>*</v>
      </c>
      <c r="AH170" s="17" t="s">
        <v>487</v>
      </c>
      <c r="AI170" s="17" t="str">
        <f>_xlfn.XLOOKUP($A170,Selected_constraint!$A:$A,Selected_constraint!$B:$B)</f>
        <v>TRARNG</v>
      </c>
      <c r="AJ170" s="17" t="str">
        <f>_xlfn.XLOOKUP($A170,Selected_constraint!$A:$A,Selected_constraint!$C:$C)</f>
        <v>TRAFRECLTDMD</v>
      </c>
      <c r="AK170" s="17" t="str">
        <f>AJ170</f>
        <v>TRAFRECLTDMD</v>
      </c>
      <c r="AL170" s="18">
        <v>2019</v>
      </c>
      <c r="AM170" s="18" t="s">
        <v>483</v>
      </c>
      <c r="AN170" s="18">
        <v>1</v>
      </c>
      <c r="AO170" s="20">
        <f>-SUMIFS('TRA RESID'!$P:$P,'TRA RESID'!$I:$I,AK170,'TRA RESID'!$J:$J,AH170,'TRA RESID'!$H:$H,AI170)/SUMIFS('TRA RESID'!$P:$P,'TRA RESID'!$I:$I,AK170)*AS170</f>
        <v>0</v>
      </c>
      <c r="AP170" s="18">
        <v>0</v>
      </c>
      <c r="AQ170" s="18">
        <v>5</v>
      </c>
      <c r="AS170" s="21">
        <v>0.98</v>
      </c>
      <c r="AU170" s="15" t="str">
        <f>IF(SUMIFS('TRA RESID'!$P:$P,'TRA RESID'!$I:$I,AY170,'TRA RESID'!$J:$J,AV170,'TRA RESID'!$H:$H,AW170)=0,"*","UC_"&amp;SUBSTITUTE(AV170,"*","")&amp;"_"&amp;RIGHT(AW170,3)&amp;"_"&amp;AX170)</f>
        <v>*</v>
      </c>
      <c r="AV170" s="17" t="s">
        <v>488</v>
      </c>
      <c r="AW170" s="17" t="str">
        <f>_xlfn.XLOOKUP($A170,Selected_constraint!$A:$A,Selected_constraint!$B:$B)</f>
        <v>TRARNG</v>
      </c>
      <c r="AX170" s="17" t="str">
        <f>_xlfn.XLOOKUP($A170,Selected_constraint!$A:$A,Selected_constraint!$C:$C)</f>
        <v>TRAFRECLTDMD</v>
      </c>
      <c r="AY170" s="17" t="str">
        <f>AX170</f>
        <v>TRAFRECLTDMD</v>
      </c>
      <c r="AZ170" s="18">
        <v>2019</v>
      </c>
      <c r="BA170" s="18" t="s">
        <v>483</v>
      </c>
      <c r="BB170" s="18">
        <v>1</v>
      </c>
      <c r="BC170" s="20">
        <f>-SUMIFS('TRA RESID'!$P:$P,'TRA RESID'!$I:$I,AY170,'TRA RESID'!$J:$J,AV170,'TRA RESID'!$H:$H,AW170)/SUMIFS('TRA RESID'!$P:$P,'TRA RESID'!$I:$I,AY170)*BG170</f>
        <v>0</v>
      </c>
      <c r="BD170" s="18">
        <v>0</v>
      </c>
      <c r="BE170" s="18">
        <v>5</v>
      </c>
      <c r="BG170" s="21">
        <v>0.98</v>
      </c>
    </row>
    <row r="171" spans="1:59" x14ac:dyDescent="0.25">
      <c r="C171" s="15" t="str">
        <f>IF(C170="*",C170,"")</f>
        <v>*</v>
      </c>
      <c r="D171" s="17" t="str">
        <f t="shared" ref="D171:G174" si="132">D170</f>
        <v>*ICEV*</v>
      </c>
      <c r="E171" s="17" t="str">
        <f t="shared" si="132"/>
        <v>TRARNG</v>
      </c>
      <c r="F171" s="17" t="str">
        <f t="shared" si="132"/>
        <v>TRAFRECLTDMD</v>
      </c>
      <c r="G171" s="17" t="str">
        <f t="shared" si="132"/>
        <v>TRAFRECLTDMD</v>
      </c>
      <c r="H171" s="18">
        <v>2025</v>
      </c>
      <c r="I171" s="18" t="str">
        <f>I170</f>
        <v>LO</v>
      </c>
      <c r="J171" s="18"/>
      <c r="K171" s="20">
        <f>-SUMIFS('TRA RESID'!$P:$P,'TRA RESID'!$I:$I,G171,'TRA RESID'!$J:$J,D171,'TRA RESID'!$H:$H,E171)/SUMIFS('TRA RESID'!$P:$P,'TRA RESID'!$I:$I,G171)*O171</f>
        <v>0</v>
      </c>
      <c r="L171" s="18"/>
      <c r="M171" s="18"/>
      <c r="O171" s="21">
        <v>0.8</v>
      </c>
      <c r="S171" s="15" t="str">
        <f>IF(S170="*",S170,"")</f>
        <v>*</v>
      </c>
      <c r="T171" s="17" t="str">
        <f t="shared" ref="T171:W174" si="133">T170</f>
        <v>*BEV*</v>
      </c>
      <c r="U171" s="17" t="str">
        <f t="shared" si="133"/>
        <v>TRARNG</v>
      </c>
      <c r="V171" s="17" t="str">
        <f t="shared" si="133"/>
        <v>TRAFRECLTDMD</v>
      </c>
      <c r="W171" s="17" t="str">
        <f t="shared" si="133"/>
        <v>TRAFRECLTDMD</v>
      </c>
      <c r="X171" s="18">
        <v>2025</v>
      </c>
      <c r="Y171" s="18" t="str">
        <f>Y170</f>
        <v>LO</v>
      </c>
      <c r="Z171" s="18"/>
      <c r="AA171" s="20">
        <f>-SUMIFS('TRA RESID'!$P:$P,'TRA RESID'!$I:$I,W171,'TRA RESID'!$J:$J,T171,'TRA RESID'!$H:$H,U171)/SUMIFS('TRA RESID'!$P:$P,'TRA RESID'!$I:$I,W171)*AE171</f>
        <v>0</v>
      </c>
      <c r="AB171" s="18"/>
      <c r="AC171" s="18"/>
      <c r="AE171" s="21">
        <v>1</v>
      </c>
      <c r="AG171" s="15" t="str">
        <f>IF(AG170="*",AG170,"")</f>
        <v>*</v>
      </c>
      <c r="AH171" s="17" t="str">
        <f t="shared" ref="AH171:AK174" si="134">AH170</f>
        <v>*HEV*</v>
      </c>
      <c r="AI171" s="17" t="str">
        <f t="shared" si="134"/>
        <v>TRARNG</v>
      </c>
      <c r="AJ171" s="17" t="str">
        <f t="shared" si="134"/>
        <v>TRAFRECLTDMD</v>
      </c>
      <c r="AK171" s="17" t="str">
        <f t="shared" si="134"/>
        <v>TRAFRECLTDMD</v>
      </c>
      <c r="AL171" s="18">
        <v>2025</v>
      </c>
      <c r="AM171" s="18" t="str">
        <f>AM170</f>
        <v>LO</v>
      </c>
      <c r="AN171" s="18"/>
      <c r="AO171" s="20">
        <f>-SUMIFS('TRA RESID'!$P:$P,'TRA RESID'!$I:$I,AK171,'TRA RESID'!$J:$J,AH171,'TRA RESID'!$H:$H,AI171)/SUMIFS('TRA RESID'!$P:$P,'TRA RESID'!$I:$I,AK171)*AS171</f>
        <v>0</v>
      </c>
      <c r="AP171" s="18"/>
      <c r="AQ171" s="18"/>
      <c r="AS171" s="21">
        <v>0.8</v>
      </c>
      <c r="AU171" s="15" t="str">
        <f>IF(AU170="*",AU170,"")</f>
        <v>*</v>
      </c>
      <c r="AV171" s="17" t="str">
        <f t="shared" ref="AV171:AY174" si="135">AV170</f>
        <v>*FCEV*</v>
      </c>
      <c r="AW171" s="17" t="str">
        <f t="shared" si="135"/>
        <v>TRARNG</v>
      </c>
      <c r="AX171" s="17" t="str">
        <f t="shared" si="135"/>
        <v>TRAFRECLTDMD</v>
      </c>
      <c r="AY171" s="17" t="str">
        <f t="shared" si="135"/>
        <v>TRAFRECLTDMD</v>
      </c>
      <c r="AZ171" s="18">
        <v>2025</v>
      </c>
      <c r="BA171" s="18" t="str">
        <f>BA170</f>
        <v>LO</v>
      </c>
      <c r="BB171" s="18"/>
      <c r="BC171" s="20">
        <f>-SUMIFS('TRA RESID'!$P:$P,'TRA RESID'!$I:$I,AY171,'TRA RESID'!$J:$J,AV171,'TRA RESID'!$H:$H,AW171)/SUMIFS('TRA RESID'!$P:$P,'TRA RESID'!$I:$I,AY171)*BG171</f>
        <v>0</v>
      </c>
      <c r="BD171" s="18"/>
      <c r="BE171" s="18"/>
      <c r="BG171" s="21">
        <v>0.8</v>
      </c>
    </row>
    <row r="172" spans="1:59" x14ac:dyDescent="0.25">
      <c r="C172" s="15" t="str">
        <f>IF(C171="*",C171,"")</f>
        <v>*</v>
      </c>
      <c r="D172" s="17" t="str">
        <f t="shared" si="132"/>
        <v>*ICEV*</v>
      </c>
      <c r="E172" s="17" t="str">
        <f t="shared" si="132"/>
        <v>TRARNG</v>
      </c>
      <c r="F172" s="17" t="str">
        <f t="shared" si="132"/>
        <v>TRAFRECLTDMD</v>
      </c>
      <c r="G172" s="17" t="str">
        <f t="shared" si="132"/>
        <v>TRAFRECLTDMD</v>
      </c>
      <c r="H172" s="18">
        <v>2030</v>
      </c>
      <c r="I172" s="18" t="str">
        <f>I171</f>
        <v>LO</v>
      </c>
      <c r="J172" s="18"/>
      <c r="K172" s="20">
        <f>-SUMIFS('TRA RESID'!$P:$P,'TRA RESID'!$I:$I,G172,'TRA RESID'!$J:$J,D172,'TRA RESID'!$H:$H,E172)/SUMIFS('TRA RESID'!$P:$P,'TRA RESID'!$I:$I,G172)*O172</f>
        <v>0</v>
      </c>
      <c r="L172" s="18"/>
      <c r="M172" s="18"/>
      <c r="O172" s="21">
        <v>0.5</v>
      </c>
      <c r="S172" s="15" t="str">
        <f>IF(S171="*",S171,"")</f>
        <v>*</v>
      </c>
      <c r="T172" s="17" t="str">
        <f t="shared" si="133"/>
        <v>*BEV*</v>
      </c>
      <c r="U172" s="17" t="str">
        <f t="shared" si="133"/>
        <v>TRARNG</v>
      </c>
      <c r="V172" s="17" t="str">
        <f t="shared" si="133"/>
        <v>TRAFRECLTDMD</v>
      </c>
      <c r="W172" s="17" t="str">
        <f t="shared" si="133"/>
        <v>TRAFRECLTDMD</v>
      </c>
      <c r="X172" s="18">
        <v>2030</v>
      </c>
      <c r="Y172" s="18" t="str">
        <f>Y171</f>
        <v>LO</v>
      </c>
      <c r="Z172" s="18"/>
      <c r="AA172" s="20">
        <f>-SUMIFS('TRA RESID'!$P:$P,'TRA RESID'!$I:$I,W172,'TRA RESID'!$J:$J,T172,'TRA RESID'!$H:$H,U172)/SUMIFS('TRA RESID'!$P:$P,'TRA RESID'!$I:$I,W172)*AE172</f>
        <v>0</v>
      </c>
      <c r="AB172" s="18"/>
      <c r="AC172" s="18"/>
      <c r="AE172" s="21">
        <v>1</v>
      </c>
      <c r="AG172" s="15" t="str">
        <f>IF(AG171="*",AG171,"")</f>
        <v>*</v>
      </c>
      <c r="AH172" s="17" t="str">
        <f t="shared" si="134"/>
        <v>*HEV*</v>
      </c>
      <c r="AI172" s="17" t="str">
        <f t="shared" si="134"/>
        <v>TRARNG</v>
      </c>
      <c r="AJ172" s="17" t="str">
        <f t="shared" si="134"/>
        <v>TRAFRECLTDMD</v>
      </c>
      <c r="AK172" s="17" t="str">
        <f t="shared" si="134"/>
        <v>TRAFRECLTDMD</v>
      </c>
      <c r="AL172" s="18">
        <v>2030</v>
      </c>
      <c r="AM172" s="18" t="str">
        <f>AM171</f>
        <v>LO</v>
      </c>
      <c r="AN172" s="18"/>
      <c r="AO172" s="20">
        <f>-SUMIFS('TRA RESID'!$P:$P,'TRA RESID'!$I:$I,AK172,'TRA RESID'!$J:$J,AH172,'TRA RESID'!$H:$H,AI172)/SUMIFS('TRA RESID'!$P:$P,'TRA RESID'!$I:$I,AK172)*AS172</f>
        <v>0</v>
      </c>
      <c r="AP172" s="18"/>
      <c r="AQ172" s="18"/>
      <c r="AS172" s="21">
        <v>0.5</v>
      </c>
      <c r="AU172" s="15" t="str">
        <f>IF(AU171="*",AU171,"")</f>
        <v>*</v>
      </c>
      <c r="AV172" s="17" t="str">
        <f t="shared" si="135"/>
        <v>*FCEV*</v>
      </c>
      <c r="AW172" s="17" t="str">
        <f t="shared" si="135"/>
        <v>TRARNG</v>
      </c>
      <c r="AX172" s="17" t="str">
        <f t="shared" si="135"/>
        <v>TRAFRECLTDMD</v>
      </c>
      <c r="AY172" s="17" t="str">
        <f t="shared" si="135"/>
        <v>TRAFRECLTDMD</v>
      </c>
      <c r="AZ172" s="18">
        <v>2030</v>
      </c>
      <c r="BA172" s="18" t="str">
        <f>BA171</f>
        <v>LO</v>
      </c>
      <c r="BB172" s="18"/>
      <c r="BC172" s="20">
        <f>-SUMIFS('TRA RESID'!$P:$P,'TRA RESID'!$I:$I,AY172,'TRA RESID'!$J:$J,AV172,'TRA RESID'!$H:$H,AW172)/SUMIFS('TRA RESID'!$P:$P,'TRA RESID'!$I:$I,AY172)*BG172</f>
        <v>0</v>
      </c>
      <c r="BD172" s="18"/>
      <c r="BE172" s="18"/>
      <c r="BG172" s="21">
        <v>0.5</v>
      </c>
    </row>
    <row r="173" spans="1:59" x14ac:dyDescent="0.25">
      <c r="C173" s="15" t="str">
        <f>IF(C172="*",C172,"")</f>
        <v>*</v>
      </c>
      <c r="D173" s="17" t="str">
        <f t="shared" si="132"/>
        <v>*ICEV*</v>
      </c>
      <c r="E173" s="17" t="str">
        <f t="shared" si="132"/>
        <v>TRARNG</v>
      </c>
      <c r="F173" s="17" t="str">
        <f t="shared" si="132"/>
        <v>TRAFRECLTDMD</v>
      </c>
      <c r="G173" s="17" t="str">
        <f t="shared" si="132"/>
        <v>TRAFRECLTDMD</v>
      </c>
      <c r="H173" s="18">
        <v>2040</v>
      </c>
      <c r="I173" s="18" t="str">
        <f>I172</f>
        <v>LO</v>
      </c>
      <c r="J173" s="18"/>
      <c r="K173" s="20">
        <f>-SUMIFS('TRA RESID'!$P:$P,'TRA RESID'!$I:$I,G173,'TRA RESID'!$J:$J,D173,'TRA RESID'!$H:$H,E173)/SUMIFS('TRA RESID'!$P:$P,'TRA RESID'!$I:$I,G173)*O173</f>
        <v>0</v>
      </c>
      <c r="L173" s="18"/>
      <c r="M173" s="18"/>
      <c r="O173" s="21">
        <v>0</v>
      </c>
      <c r="S173" s="15" t="str">
        <f>IF(S172="*",S172,"")</f>
        <v>*</v>
      </c>
      <c r="T173" s="17" t="str">
        <f t="shared" si="133"/>
        <v>*BEV*</v>
      </c>
      <c r="U173" s="17" t="str">
        <f t="shared" si="133"/>
        <v>TRARNG</v>
      </c>
      <c r="V173" s="17" t="str">
        <f t="shared" si="133"/>
        <v>TRAFRECLTDMD</v>
      </c>
      <c r="W173" s="17" t="str">
        <f t="shared" si="133"/>
        <v>TRAFRECLTDMD</v>
      </c>
      <c r="X173" s="18">
        <v>2040</v>
      </c>
      <c r="Y173" s="18" t="str">
        <f>Y172</f>
        <v>LO</v>
      </c>
      <c r="Z173" s="18"/>
      <c r="AA173" s="20">
        <f>-SUMIFS('TRA RESID'!$P:$P,'TRA RESID'!$I:$I,W173,'TRA RESID'!$J:$J,T173,'TRA RESID'!$H:$H,U173)/SUMIFS('TRA RESID'!$P:$P,'TRA RESID'!$I:$I,W173)*AE173</f>
        <v>0</v>
      </c>
      <c r="AB173" s="18"/>
      <c r="AC173" s="18"/>
      <c r="AE173" s="21">
        <v>1</v>
      </c>
      <c r="AG173" s="15" t="str">
        <f>IF(AG172="*",AG172,"")</f>
        <v>*</v>
      </c>
      <c r="AH173" s="17" t="str">
        <f t="shared" si="134"/>
        <v>*HEV*</v>
      </c>
      <c r="AI173" s="17" t="str">
        <f t="shared" si="134"/>
        <v>TRARNG</v>
      </c>
      <c r="AJ173" s="17" t="str">
        <f t="shared" si="134"/>
        <v>TRAFRECLTDMD</v>
      </c>
      <c r="AK173" s="17" t="str">
        <f t="shared" si="134"/>
        <v>TRAFRECLTDMD</v>
      </c>
      <c r="AL173" s="18">
        <v>2040</v>
      </c>
      <c r="AM173" s="18" t="str">
        <f>AM172</f>
        <v>LO</v>
      </c>
      <c r="AN173" s="18"/>
      <c r="AO173" s="20">
        <f>-SUMIFS('TRA RESID'!$P:$P,'TRA RESID'!$I:$I,AK173,'TRA RESID'!$J:$J,AH173,'TRA RESID'!$H:$H,AI173)/SUMIFS('TRA RESID'!$P:$P,'TRA RESID'!$I:$I,AK173)*AS173</f>
        <v>0</v>
      </c>
      <c r="AP173" s="18"/>
      <c r="AQ173" s="18"/>
      <c r="AS173" s="21">
        <v>0</v>
      </c>
      <c r="AU173" s="15" t="str">
        <f>IF(AU172="*",AU172,"")</f>
        <v>*</v>
      </c>
      <c r="AV173" s="17" t="str">
        <f t="shared" si="135"/>
        <v>*FCEV*</v>
      </c>
      <c r="AW173" s="17" t="str">
        <f t="shared" si="135"/>
        <v>TRARNG</v>
      </c>
      <c r="AX173" s="17" t="str">
        <f t="shared" si="135"/>
        <v>TRAFRECLTDMD</v>
      </c>
      <c r="AY173" s="17" t="str">
        <f t="shared" si="135"/>
        <v>TRAFRECLTDMD</v>
      </c>
      <c r="AZ173" s="18">
        <v>2040</v>
      </c>
      <c r="BA173" s="18" t="str">
        <f>BA172</f>
        <v>LO</v>
      </c>
      <c r="BB173" s="18"/>
      <c r="BC173" s="20">
        <f>-SUMIFS('TRA RESID'!$P:$P,'TRA RESID'!$I:$I,AY173,'TRA RESID'!$J:$J,AV173,'TRA RESID'!$H:$H,AW173)/SUMIFS('TRA RESID'!$P:$P,'TRA RESID'!$I:$I,AY173)*BG173</f>
        <v>0</v>
      </c>
      <c r="BD173" s="18"/>
      <c r="BE173" s="18"/>
      <c r="BG173" s="21">
        <v>0</v>
      </c>
    </row>
    <row r="174" spans="1:59" x14ac:dyDescent="0.25">
      <c r="C174" s="23" t="str">
        <f>IF(C173="*",C173,"")</f>
        <v>*</v>
      </c>
      <c r="D174" s="25" t="str">
        <f t="shared" si="132"/>
        <v>*ICEV*</v>
      </c>
      <c r="E174" s="25" t="str">
        <f t="shared" si="132"/>
        <v>TRARNG</v>
      </c>
      <c r="F174" s="25" t="str">
        <f t="shared" si="132"/>
        <v>TRAFRECLTDMD</v>
      </c>
      <c r="G174" s="25" t="str">
        <f t="shared" si="132"/>
        <v>TRAFRECLTDMD</v>
      </c>
      <c r="H174" s="26">
        <v>2050</v>
      </c>
      <c r="I174" s="26" t="str">
        <f>I172</f>
        <v>LO</v>
      </c>
      <c r="J174" s="26"/>
      <c r="K174" s="27">
        <f>-SUMIFS('TRA RESID'!$P:$P,'TRA RESID'!$I:$I,G174,'TRA RESID'!$J:$J,D174,'TRA RESID'!$H:$H,E174)/SUMIFS('TRA RESID'!$P:$P,'TRA RESID'!$I:$I,G174)*O174</f>
        <v>0</v>
      </c>
      <c r="L174" s="26"/>
      <c r="M174" s="26"/>
      <c r="O174" s="28">
        <v>0</v>
      </c>
      <c r="S174" s="23" t="str">
        <f>IF(S173="*",S173,"")</f>
        <v>*</v>
      </c>
      <c r="T174" s="25" t="str">
        <f t="shared" si="133"/>
        <v>*BEV*</v>
      </c>
      <c r="U174" s="25" t="str">
        <f t="shared" si="133"/>
        <v>TRARNG</v>
      </c>
      <c r="V174" s="25" t="str">
        <f t="shared" si="133"/>
        <v>TRAFRECLTDMD</v>
      </c>
      <c r="W174" s="25" t="str">
        <f t="shared" si="133"/>
        <v>TRAFRECLTDMD</v>
      </c>
      <c r="X174" s="26">
        <v>2050</v>
      </c>
      <c r="Y174" s="26" t="str">
        <f>Y172</f>
        <v>LO</v>
      </c>
      <c r="Z174" s="26"/>
      <c r="AA174" s="27">
        <f>-SUMIFS('TRA RESID'!$P:$P,'TRA RESID'!$I:$I,W174,'TRA RESID'!$J:$J,T174,'TRA RESID'!$H:$H,U174)/SUMIFS('TRA RESID'!$P:$P,'TRA RESID'!$I:$I,W174)*AE174</f>
        <v>0</v>
      </c>
      <c r="AB174" s="26"/>
      <c r="AC174" s="26"/>
      <c r="AE174" s="28">
        <v>1</v>
      </c>
      <c r="AG174" s="23" t="str">
        <f>IF(AG173="*",AG173,"")</f>
        <v>*</v>
      </c>
      <c r="AH174" s="25" t="str">
        <f t="shared" si="134"/>
        <v>*HEV*</v>
      </c>
      <c r="AI174" s="25" t="str">
        <f t="shared" si="134"/>
        <v>TRARNG</v>
      </c>
      <c r="AJ174" s="25" t="str">
        <f t="shared" si="134"/>
        <v>TRAFRECLTDMD</v>
      </c>
      <c r="AK174" s="25" t="str">
        <f t="shared" si="134"/>
        <v>TRAFRECLTDMD</v>
      </c>
      <c r="AL174" s="26">
        <v>2050</v>
      </c>
      <c r="AM174" s="26" t="str">
        <f>AM172</f>
        <v>LO</v>
      </c>
      <c r="AN174" s="26"/>
      <c r="AO174" s="27">
        <f>-SUMIFS('TRA RESID'!$P:$P,'TRA RESID'!$I:$I,AK174,'TRA RESID'!$J:$J,AH174,'TRA RESID'!$H:$H,AI174)/SUMIFS('TRA RESID'!$P:$P,'TRA RESID'!$I:$I,AK174)*AS174</f>
        <v>0</v>
      </c>
      <c r="AP174" s="26"/>
      <c r="AQ174" s="26"/>
      <c r="AS174" s="28">
        <v>0</v>
      </c>
      <c r="AU174" s="23" t="str">
        <f>IF(AU173="*",AU173,"")</f>
        <v>*</v>
      </c>
      <c r="AV174" s="25" t="str">
        <f t="shared" si="135"/>
        <v>*FCEV*</v>
      </c>
      <c r="AW174" s="25" t="str">
        <f t="shared" si="135"/>
        <v>TRARNG</v>
      </c>
      <c r="AX174" s="25" t="str">
        <f t="shared" si="135"/>
        <v>TRAFRECLTDMD</v>
      </c>
      <c r="AY174" s="25" t="str">
        <f t="shared" si="135"/>
        <v>TRAFRECLTDMD</v>
      </c>
      <c r="AZ174" s="26">
        <v>2050</v>
      </c>
      <c r="BA174" s="26" t="str">
        <f>BA172</f>
        <v>LO</v>
      </c>
      <c r="BB174" s="26"/>
      <c r="BC174" s="27">
        <f>-SUMIFS('TRA RESID'!$P:$P,'TRA RESID'!$I:$I,AY174,'TRA RESID'!$J:$J,AV174,'TRA RESID'!$H:$H,AW174)/SUMIFS('TRA RESID'!$P:$P,'TRA RESID'!$I:$I,AY174)*BG174</f>
        <v>0</v>
      </c>
      <c r="BD174" s="26"/>
      <c r="BE174" s="26"/>
      <c r="BG174" s="28">
        <v>0</v>
      </c>
    </row>
    <row r="175" spans="1:59" x14ac:dyDescent="0.25">
      <c r="A175">
        <f>A170+1</f>
        <v>35</v>
      </c>
      <c r="C175" s="15" t="str">
        <f>IF(E175="","",IF(_xlfn.XLOOKUP($A175,Selected_constraint!$A:$A,Selected_constraint!$D:$D)=1,"*",IF(SUMIFS('TRA TECH'!$M:$M,'TRA TECH'!$H:$H,E175,'TRA TECH'!$I:$I,F175)=0,"*",IF(SUMIFS('TRA RESID'!$P:$P,'TRA RESID'!$I:$I,G175,'TRA RESID'!$J:$J,D175,'TRA RESID'!$H:$H,E175)=0,"*","UC_"&amp;SUBSTITUTE(D175,"*","")&amp;"_"&amp;RIGHT(E175,3)&amp;"_"&amp;F175))))</f>
        <v>*</v>
      </c>
      <c r="D175" s="17" t="s">
        <v>485</v>
      </c>
      <c r="E175" s="17" t="str">
        <f>_xlfn.XLOOKUP($A175,Selected_constraint!$A:$A,Selected_constraint!$B:$B)</f>
        <v>TRABAT</v>
      </c>
      <c r="F175" s="17" t="str">
        <f>_xlfn.XLOOKUP($A175,Selected_constraint!$A:$A,Selected_constraint!$C:$C)</f>
        <v>TRAFRECLTDMD</v>
      </c>
      <c r="G175" s="17" t="str">
        <f>F175</f>
        <v>TRAFRECLTDMD</v>
      </c>
      <c r="H175" s="18">
        <v>2019</v>
      </c>
      <c r="I175" s="18" t="s">
        <v>483</v>
      </c>
      <c r="J175" s="18">
        <v>1</v>
      </c>
      <c r="K175" s="20">
        <f>-SUMIFS('TRA RESID'!$P:$P,'TRA RESID'!$I:$I,G175,'TRA RESID'!$J:$J,D175,'TRA RESID'!$H:$H,E175)/SUMIFS('TRA RESID'!$P:$P,'TRA RESID'!$I:$I,G175)*O175</f>
        <v>0</v>
      </c>
      <c r="L175" s="18">
        <v>0</v>
      </c>
      <c r="M175" s="18">
        <v>5</v>
      </c>
      <c r="O175" s="21">
        <v>0.98</v>
      </c>
      <c r="Q175">
        <f>Q170+1</f>
        <v>35</v>
      </c>
      <c r="S175" s="15" t="str">
        <f>IF(SUMIFS('TRA RESID'!$P:$P,'TRA RESID'!$I:$I,W175,'TRA RESID'!$J:$J,T175,'TRA RESID'!$H:$H,U175)=0,"*","UC_"&amp;SUBSTITUTE(T175,"*","")&amp;"_"&amp;RIGHT(U175,3)&amp;"_"&amp;V175)</f>
        <v>UC_BEV_BAT_TRAFRECLTDMD</v>
      </c>
      <c r="T175" s="17" t="s">
        <v>486</v>
      </c>
      <c r="U175" s="17" t="str">
        <f>_xlfn.XLOOKUP($A175,Selected_constraint!$A:$A,Selected_constraint!$B:$B)</f>
        <v>TRABAT</v>
      </c>
      <c r="V175" s="17" t="str">
        <f>_xlfn.XLOOKUP($A175,Selected_constraint!$A:$A,Selected_constraint!$C:$C)</f>
        <v>TRAFRECLTDMD</v>
      </c>
      <c r="W175" s="17" t="str">
        <f>V175</f>
        <v>TRAFRECLTDMD</v>
      </c>
      <c r="X175" s="18">
        <v>2019</v>
      </c>
      <c r="Y175" s="18" t="s">
        <v>483</v>
      </c>
      <c r="Z175" s="18">
        <v>1</v>
      </c>
      <c r="AA175" s="20">
        <f>-SUMIFS('TRA RESID'!$P:$P,'TRA RESID'!$I:$I,W175,'TRA RESID'!$J:$J,T175,'TRA RESID'!$H:$H,U175)/SUMIFS('TRA RESID'!$P:$P,'TRA RESID'!$I:$I,W175)*AE175</f>
        <v>-6.3688385533321179E-3</v>
      </c>
      <c r="AB175" s="18">
        <v>0</v>
      </c>
      <c r="AC175" s="18">
        <v>5</v>
      </c>
      <c r="AE175" s="21">
        <v>0.98</v>
      </c>
      <c r="AG175" s="15" t="str">
        <f>IF(SUMIFS('TRA RESID'!$P:$P,'TRA RESID'!$I:$I,AK175,'TRA RESID'!$J:$J,AH175,'TRA RESID'!$H:$H,AI175)=0,"*","UC_"&amp;SUBSTITUTE(AH175,"*","")&amp;"_"&amp;RIGHT(AI175,3)&amp;"_"&amp;AJ175)</f>
        <v>*</v>
      </c>
      <c r="AH175" s="17" t="s">
        <v>487</v>
      </c>
      <c r="AI175" s="17" t="str">
        <f>_xlfn.XLOOKUP($A175,Selected_constraint!$A:$A,Selected_constraint!$B:$B)</f>
        <v>TRABAT</v>
      </c>
      <c r="AJ175" s="17" t="str">
        <f>_xlfn.XLOOKUP($A175,Selected_constraint!$A:$A,Selected_constraint!$C:$C)</f>
        <v>TRAFRECLTDMD</v>
      </c>
      <c r="AK175" s="17" t="str">
        <f>AJ175</f>
        <v>TRAFRECLTDMD</v>
      </c>
      <c r="AL175" s="18">
        <v>2019</v>
      </c>
      <c r="AM175" s="18" t="s">
        <v>483</v>
      </c>
      <c r="AN175" s="18">
        <v>1</v>
      </c>
      <c r="AO175" s="20">
        <f>-SUMIFS('TRA RESID'!$P:$P,'TRA RESID'!$I:$I,AK175,'TRA RESID'!$J:$J,AH175,'TRA RESID'!$H:$H,AI175)/SUMIFS('TRA RESID'!$P:$P,'TRA RESID'!$I:$I,AK175)*AS175</f>
        <v>0</v>
      </c>
      <c r="AP175" s="18">
        <v>0</v>
      </c>
      <c r="AQ175" s="18">
        <v>5</v>
      </c>
      <c r="AS175" s="21">
        <v>0.98</v>
      </c>
      <c r="AU175" s="15" t="str">
        <f>IF(SUMIFS('TRA RESID'!$P:$P,'TRA RESID'!$I:$I,AY175,'TRA RESID'!$J:$J,AV175,'TRA RESID'!$H:$H,AW175)=0,"*","UC_"&amp;SUBSTITUTE(AV175,"*","")&amp;"_"&amp;RIGHT(AW175,3)&amp;"_"&amp;AX175)</f>
        <v>*</v>
      </c>
      <c r="AV175" s="17" t="s">
        <v>488</v>
      </c>
      <c r="AW175" s="17" t="str">
        <f>_xlfn.XLOOKUP($A175,Selected_constraint!$A:$A,Selected_constraint!$B:$B)</f>
        <v>TRABAT</v>
      </c>
      <c r="AX175" s="17" t="str">
        <f>_xlfn.XLOOKUP($A175,Selected_constraint!$A:$A,Selected_constraint!$C:$C)</f>
        <v>TRAFRECLTDMD</v>
      </c>
      <c r="AY175" s="17" t="str">
        <f>AX175</f>
        <v>TRAFRECLTDMD</v>
      </c>
      <c r="AZ175" s="18">
        <v>2019</v>
      </c>
      <c r="BA175" s="18" t="s">
        <v>483</v>
      </c>
      <c r="BB175" s="18">
        <v>1</v>
      </c>
      <c r="BC175" s="20">
        <f>-SUMIFS('TRA RESID'!$P:$P,'TRA RESID'!$I:$I,AY175,'TRA RESID'!$J:$J,AV175,'TRA RESID'!$H:$H,AW175)/SUMIFS('TRA RESID'!$P:$P,'TRA RESID'!$I:$I,AY175)*BG175</f>
        <v>0</v>
      </c>
      <c r="BD175" s="18">
        <v>0</v>
      </c>
      <c r="BE175" s="18">
        <v>5</v>
      </c>
      <c r="BG175" s="21">
        <v>0.98</v>
      </c>
    </row>
    <row r="176" spans="1:59" x14ac:dyDescent="0.25">
      <c r="C176" s="15" t="str">
        <f>IF(C175="*",C175,"")</f>
        <v>*</v>
      </c>
      <c r="D176" s="17" t="str">
        <f t="shared" ref="D176:G179" si="136">D175</f>
        <v>*ICEV*</v>
      </c>
      <c r="E176" s="17" t="str">
        <f t="shared" si="136"/>
        <v>TRABAT</v>
      </c>
      <c r="F176" s="17" t="str">
        <f t="shared" si="136"/>
        <v>TRAFRECLTDMD</v>
      </c>
      <c r="G176" s="17" t="str">
        <f t="shared" si="136"/>
        <v>TRAFRECLTDMD</v>
      </c>
      <c r="H176" s="18">
        <v>2025</v>
      </c>
      <c r="I176" s="18" t="str">
        <f>I175</f>
        <v>LO</v>
      </c>
      <c r="J176" s="18"/>
      <c r="K176" s="20">
        <f>-SUMIFS('TRA RESID'!$P:$P,'TRA RESID'!$I:$I,G176,'TRA RESID'!$J:$J,D176,'TRA RESID'!$H:$H,E176)/SUMIFS('TRA RESID'!$P:$P,'TRA RESID'!$I:$I,G176)*O176</f>
        <v>0</v>
      </c>
      <c r="L176" s="18"/>
      <c r="M176" s="18"/>
      <c r="O176" s="21">
        <v>0.8</v>
      </c>
      <c r="S176" s="15" t="str">
        <f>IF(S175="*",S175,"")</f>
        <v/>
      </c>
      <c r="T176" s="17" t="str">
        <f t="shared" ref="T176:W179" si="137">T175</f>
        <v>*BEV*</v>
      </c>
      <c r="U176" s="17" t="str">
        <f t="shared" si="137"/>
        <v>TRABAT</v>
      </c>
      <c r="V176" s="17" t="str">
        <f t="shared" si="137"/>
        <v>TRAFRECLTDMD</v>
      </c>
      <c r="W176" s="17" t="str">
        <f t="shared" si="137"/>
        <v>TRAFRECLTDMD</v>
      </c>
      <c r="X176" s="18">
        <v>2025</v>
      </c>
      <c r="Y176" s="18" t="str">
        <f>Y175</f>
        <v>LO</v>
      </c>
      <c r="Z176" s="18"/>
      <c r="AA176" s="20">
        <f>-SUMIFS('TRA RESID'!$P:$P,'TRA RESID'!$I:$I,W176,'TRA RESID'!$J:$J,T176,'TRA RESID'!$H:$H,U176)/SUMIFS('TRA RESID'!$P:$P,'TRA RESID'!$I:$I,W176)*AE176</f>
        <v>-6.498814850338896E-3</v>
      </c>
      <c r="AB176" s="18"/>
      <c r="AC176" s="18"/>
      <c r="AE176" s="21">
        <v>1</v>
      </c>
      <c r="AG176" s="15" t="str">
        <f>IF(AG175="*",AG175,"")</f>
        <v>*</v>
      </c>
      <c r="AH176" s="17" t="str">
        <f t="shared" ref="AH176:AK179" si="138">AH175</f>
        <v>*HEV*</v>
      </c>
      <c r="AI176" s="17" t="str">
        <f t="shared" si="138"/>
        <v>TRABAT</v>
      </c>
      <c r="AJ176" s="17" t="str">
        <f t="shared" si="138"/>
        <v>TRAFRECLTDMD</v>
      </c>
      <c r="AK176" s="17" t="str">
        <f t="shared" si="138"/>
        <v>TRAFRECLTDMD</v>
      </c>
      <c r="AL176" s="18">
        <v>2025</v>
      </c>
      <c r="AM176" s="18" t="str">
        <f>AM175</f>
        <v>LO</v>
      </c>
      <c r="AN176" s="18"/>
      <c r="AO176" s="20">
        <f>-SUMIFS('TRA RESID'!$P:$P,'TRA RESID'!$I:$I,AK176,'TRA RESID'!$J:$J,AH176,'TRA RESID'!$H:$H,AI176)/SUMIFS('TRA RESID'!$P:$P,'TRA RESID'!$I:$I,AK176)*AS176</f>
        <v>0</v>
      </c>
      <c r="AP176" s="18"/>
      <c r="AQ176" s="18"/>
      <c r="AS176" s="21">
        <v>0.8</v>
      </c>
      <c r="AU176" s="15" t="str">
        <f>IF(AU175="*",AU175,"")</f>
        <v>*</v>
      </c>
      <c r="AV176" s="17" t="str">
        <f t="shared" ref="AV176:AY179" si="139">AV175</f>
        <v>*FCEV*</v>
      </c>
      <c r="AW176" s="17" t="str">
        <f t="shared" si="139"/>
        <v>TRABAT</v>
      </c>
      <c r="AX176" s="17" t="str">
        <f t="shared" si="139"/>
        <v>TRAFRECLTDMD</v>
      </c>
      <c r="AY176" s="17" t="str">
        <f t="shared" si="139"/>
        <v>TRAFRECLTDMD</v>
      </c>
      <c r="AZ176" s="18">
        <v>2025</v>
      </c>
      <c r="BA176" s="18" t="str">
        <f>BA175</f>
        <v>LO</v>
      </c>
      <c r="BB176" s="18"/>
      <c r="BC176" s="20">
        <f>-SUMIFS('TRA RESID'!$P:$P,'TRA RESID'!$I:$I,AY176,'TRA RESID'!$J:$J,AV176,'TRA RESID'!$H:$H,AW176)/SUMIFS('TRA RESID'!$P:$P,'TRA RESID'!$I:$I,AY176)*BG176</f>
        <v>0</v>
      </c>
      <c r="BD176" s="18"/>
      <c r="BE176" s="18"/>
      <c r="BG176" s="21">
        <v>0.8</v>
      </c>
    </row>
    <row r="177" spans="1:59" x14ac:dyDescent="0.25">
      <c r="C177" s="15" t="str">
        <f>IF(C176="*",C176,"")</f>
        <v>*</v>
      </c>
      <c r="D177" s="17" t="str">
        <f t="shared" si="136"/>
        <v>*ICEV*</v>
      </c>
      <c r="E177" s="17" t="str">
        <f t="shared" si="136"/>
        <v>TRABAT</v>
      </c>
      <c r="F177" s="17" t="str">
        <f t="shared" si="136"/>
        <v>TRAFRECLTDMD</v>
      </c>
      <c r="G177" s="17" t="str">
        <f t="shared" si="136"/>
        <v>TRAFRECLTDMD</v>
      </c>
      <c r="H177" s="18">
        <v>2030</v>
      </c>
      <c r="I177" s="18" t="str">
        <f>I176</f>
        <v>LO</v>
      </c>
      <c r="J177" s="18"/>
      <c r="K177" s="20">
        <f>-SUMIFS('TRA RESID'!$P:$P,'TRA RESID'!$I:$I,G177,'TRA RESID'!$J:$J,D177,'TRA RESID'!$H:$H,E177)/SUMIFS('TRA RESID'!$P:$P,'TRA RESID'!$I:$I,G177)*O177</f>
        <v>0</v>
      </c>
      <c r="L177" s="18"/>
      <c r="M177" s="18"/>
      <c r="O177" s="21">
        <v>0.5</v>
      </c>
      <c r="S177" s="15" t="str">
        <f>IF(S176="*",S176,"")</f>
        <v/>
      </c>
      <c r="T177" s="17" t="str">
        <f t="shared" si="137"/>
        <v>*BEV*</v>
      </c>
      <c r="U177" s="17" t="str">
        <f t="shared" si="137"/>
        <v>TRABAT</v>
      </c>
      <c r="V177" s="17" t="str">
        <f t="shared" si="137"/>
        <v>TRAFRECLTDMD</v>
      </c>
      <c r="W177" s="17" t="str">
        <f t="shared" si="137"/>
        <v>TRAFRECLTDMD</v>
      </c>
      <c r="X177" s="18">
        <v>2030</v>
      </c>
      <c r="Y177" s="18" t="str">
        <f>Y176</f>
        <v>LO</v>
      </c>
      <c r="Z177" s="18"/>
      <c r="AA177" s="20">
        <f>-SUMIFS('TRA RESID'!$P:$P,'TRA RESID'!$I:$I,W177,'TRA RESID'!$J:$J,T177,'TRA RESID'!$H:$H,U177)/SUMIFS('TRA RESID'!$P:$P,'TRA RESID'!$I:$I,W177)*AE177</f>
        <v>-6.498814850338896E-3</v>
      </c>
      <c r="AB177" s="18"/>
      <c r="AC177" s="18"/>
      <c r="AE177" s="21">
        <v>1</v>
      </c>
      <c r="AG177" s="15" t="str">
        <f>IF(AG176="*",AG176,"")</f>
        <v>*</v>
      </c>
      <c r="AH177" s="17" t="str">
        <f t="shared" si="138"/>
        <v>*HEV*</v>
      </c>
      <c r="AI177" s="17" t="str">
        <f t="shared" si="138"/>
        <v>TRABAT</v>
      </c>
      <c r="AJ177" s="17" t="str">
        <f t="shared" si="138"/>
        <v>TRAFRECLTDMD</v>
      </c>
      <c r="AK177" s="17" t="str">
        <f t="shared" si="138"/>
        <v>TRAFRECLTDMD</v>
      </c>
      <c r="AL177" s="18">
        <v>2030</v>
      </c>
      <c r="AM177" s="18" t="str">
        <f>AM176</f>
        <v>LO</v>
      </c>
      <c r="AN177" s="18"/>
      <c r="AO177" s="20">
        <f>-SUMIFS('TRA RESID'!$P:$P,'TRA RESID'!$I:$I,AK177,'TRA RESID'!$J:$J,AH177,'TRA RESID'!$H:$H,AI177)/SUMIFS('TRA RESID'!$P:$P,'TRA RESID'!$I:$I,AK177)*AS177</f>
        <v>0</v>
      </c>
      <c r="AP177" s="18"/>
      <c r="AQ177" s="18"/>
      <c r="AS177" s="21">
        <v>0.5</v>
      </c>
      <c r="AU177" s="15" t="str">
        <f>IF(AU176="*",AU176,"")</f>
        <v>*</v>
      </c>
      <c r="AV177" s="17" t="str">
        <f t="shared" si="139"/>
        <v>*FCEV*</v>
      </c>
      <c r="AW177" s="17" t="str">
        <f t="shared" si="139"/>
        <v>TRABAT</v>
      </c>
      <c r="AX177" s="17" t="str">
        <f t="shared" si="139"/>
        <v>TRAFRECLTDMD</v>
      </c>
      <c r="AY177" s="17" t="str">
        <f t="shared" si="139"/>
        <v>TRAFRECLTDMD</v>
      </c>
      <c r="AZ177" s="18">
        <v>2030</v>
      </c>
      <c r="BA177" s="18" t="str">
        <f>BA176</f>
        <v>LO</v>
      </c>
      <c r="BB177" s="18"/>
      <c r="BC177" s="20">
        <f>-SUMIFS('TRA RESID'!$P:$P,'TRA RESID'!$I:$I,AY177,'TRA RESID'!$J:$J,AV177,'TRA RESID'!$H:$H,AW177)/SUMIFS('TRA RESID'!$P:$P,'TRA RESID'!$I:$I,AY177)*BG177</f>
        <v>0</v>
      </c>
      <c r="BD177" s="18"/>
      <c r="BE177" s="18"/>
      <c r="BG177" s="21">
        <v>0.5</v>
      </c>
    </row>
    <row r="178" spans="1:59" x14ac:dyDescent="0.25">
      <c r="C178" s="15" t="str">
        <f>IF(C177="*",C177,"")</f>
        <v>*</v>
      </c>
      <c r="D178" s="17" t="str">
        <f t="shared" si="136"/>
        <v>*ICEV*</v>
      </c>
      <c r="E178" s="17" t="str">
        <f t="shared" si="136"/>
        <v>TRABAT</v>
      </c>
      <c r="F178" s="17" t="str">
        <f t="shared" si="136"/>
        <v>TRAFRECLTDMD</v>
      </c>
      <c r="G178" s="17" t="str">
        <f t="shared" si="136"/>
        <v>TRAFRECLTDMD</v>
      </c>
      <c r="H178" s="18">
        <v>2040</v>
      </c>
      <c r="I178" s="18" t="str">
        <f>I177</f>
        <v>LO</v>
      </c>
      <c r="J178" s="18"/>
      <c r="K178" s="20">
        <f>-SUMIFS('TRA RESID'!$P:$P,'TRA RESID'!$I:$I,G178,'TRA RESID'!$J:$J,D178,'TRA RESID'!$H:$H,E178)/SUMIFS('TRA RESID'!$P:$P,'TRA RESID'!$I:$I,G178)*O178</f>
        <v>0</v>
      </c>
      <c r="L178" s="18"/>
      <c r="M178" s="18"/>
      <c r="O178" s="21">
        <v>0</v>
      </c>
      <c r="S178" s="15" t="str">
        <f>IF(S177="*",S177,"")</f>
        <v/>
      </c>
      <c r="T178" s="17" t="str">
        <f t="shared" si="137"/>
        <v>*BEV*</v>
      </c>
      <c r="U178" s="17" t="str">
        <f t="shared" si="137"/>
        <v>TRABAT</v>
      </c>
      <c r="V178" s="17" t="str">
        <f t="shared" si="137"/>
        <v>TRAFRECLTDMD</v>
      </c>
      <c r="W178" s="17" t="str">
        <f t="shared" si="137"/>
        <v>TRAFRECLTDMD</v>
      </c>
      <c r="X178" s="18">
        <v>2040</v>
      </c>
      <c r="Y178" s="18" t="str">
        <f>Y177</f>
        <v>LO</v>
      </c>
      <c r="Z178" s="18"/>
      <c r="AA178" s="20">
        <f>-SUMIFS('TRA RESID'!$P:$P,'TRA RESID'!$I:$I,W178,'TRA RESID'!$J:$J,T178,'TRA RESID'!$H:$H,U178)/SUMIFS('TRA RESID'!$P:$P,'TRA RESID'!$I:$I,W178)*AE178</f>
        <v>-6.498814850338896E-3</v>
      </c>
      <c r="AB178" s="18"/>
      <c r="AC178" s="18"/>
      <c r="AE178" s="21">
        <v>1</v>
      </c>
      <c r="AG178" s="15" t="str">
        <f>IF(AG177="*",AG177,"")</f>
        <v>*</v>
      </c>
      <c r="AH178" s="17" t="str">
        <f t="shared" si="138"/>
        <v>*HEV*</v>
      </c>
      <c r="AI178" s="17" t="str">
        <f t="shared" si="138"/>
        <v>TRABAT</v>
      </c>
      <c r="AJ178" s="17" t="str">
        <f t="shared" si="138"/>
        <v>TRAFRECLTDMD</v>
      </c>
      <c r="AK178" s="17" t="str">
        <f t="shared" si="138"/>
        <v>TRAFRECLTDMD</v>
      </c>
      <c r="AL178" s="18">
        <v>2040</v>
      </c>
      <c r="AM178" s="18" t="str">
        <f>AM177</f>
        <v>LO</v>
      </c>
      <c r="AN178" s="18"/>
      <c r="AO178" s="20">
        <f>-SUMIFS('TRA RESID'!$P:$P,'TRA RESID'!$I:$I,AK178,'TRA RESID'!$J:$J,AH178,'TRA RESID'!$H:$H,AI178)/SUMIFS('TRA RESID'!$P:$P,'TRA RESID'!$I:$I,AK178)*AS178</f>
        <v>0</v>
      </c>
      <c r="AP178" s="18"/>
      <c r="AQ178" s="18"/>
      <c r="AS178" s="21">
        <v>0</v>
      </c>
      <c r="AU178" s="15" t="str">
        <f>IF(AU177="*",AU177,"")</f>
        <v>*</v>
      </c>
      <c r="AV178" s="17" t="str">
        <f t="shared" si="139"/>
        <v>*FCEV*</v>
      </c>
      <c r="AW178" s="17" t="str">
        <f t="shared" si="139"/>
        <v>TRABAT</v>
      </c>
      <c r="AX178" s="17" t="str">
        <f t="shared" si="139"/>
        <v>TRAFRECLTDMD</v>
      </c>
      <c r="AY178" s="17" t="str">
        <f t="shared" si="139"/>
        <v>TRAFRECLTDMD</v>
      </c>
      <c r="AZ178" s="18">
        <v>2040</v>
      </c>
      <c r="BA178" s="18" t="str">
        <f>BA177</f>
        <v>LO</v>
      </c>
      <c r="BB178" s="18"/>
      <c r="BC178" s="20">
        <f>-SUMIFS('TRA RESID'!$P:$P,'TRA RESID'!$I:$I,AY178,'TRA RESID'!$J:$J,AV178,'TRA RESID'!$H:$H,AW178)/SUMIFS('TRA RESID'!$P:$P,'TRA RESID'!$I:$I,AY178)*BG178</f>
        <v>0</v>
      </c>
      <c r="BD178" s="18"/>
      <c r="BE178" s="18"/>
      <c r="BG178" s="21">
        <v>0</v>
      </c>
    </row>
    <row r="179" spans="1:59" x14ac:dyDescent="0.25">
      <c r="C179" s="23" t="str">
        <f>IF(C178="*",C178,"")</f>
        <v>*</v>
      </c>
      <c r="D179" s="25" t="str">
        <f t="shared" si="136"/>
        <v>*ICEV*</v>
      </c>
      <c r="E179" s="25" t="str">
        <f t="shared" si="136"/>
        <v>TRABAT</v>
      </c>
      <c r="F179" s="25" t="str">
        <f t="shared" si="136"/>
        <v>TRAFRECLTDMD</v>
      </c>
      <c r="G179" s="25" t="str">
        <f t="shared" si="136"/>
        <v>TRAFRECLTDMD</v>
      </c>
      <c r="H179" s="26">
        <v>2050</v>
      </c>
      <c r="I179" s="26" t="str">
        <f>I177</f>
        <v>LO</v>
      </c>
      <c r="J179" s="26"/>
      <c r="K179" s="27">
        <f>-SUMIFS('TRA RESID'!$P:$P,'TRA RESID'!$I:$I,G179,'TRA RESID'!$J:$J,D179,'TRA RESID'!$H:$H,E179)/SUMIFS('TRA RESID'!$P:$P,'TRA RESID'!$I:$I,G179)*O179</f>
        <v>0</v>
      </c>
      <c r="L179" s="26"/>
      <c r="M179" s="26"/>
      <c r="O179" s="28">
        <v>0</v>
      </c>
      <c r="S179" s="23" t="str">
        <f>IF(S178="*",S178,"")</f>
        <v/>
      </c>
      <c r="T179" s="25" t="str">
        <f t="shared" si="137"/>
        <v>*BEV*</v>
      </c>
      <c r="U179" s="25" t="str">
        <f t="shared" si="137"/>
        <v>TRABAT</v>
      </c>
      <c r="V179" s="25" t="str">
        <f t="shared" si="137"/>
        <v>TRAFRECLTDMD</v>
      </c>
      <c r="W179" s="25" t="str">
        <f t="shared" si="137"/>
        <v>TRAFRECLTDMD</v>
      </c>
      <c r="X179" s="26">
        <v>2050</v>
      </c>
      <c r="Y179" s="26" t="str">
        <f>Y177</f>
        <v>LO</v>
      </c>
      <c r="Z179" s="26"/>
      <c r="AA179" s="27">
        <f>-SUMIFS('TRA RESID'!$P:$P,'TRA RESID'!$I:$I,W179,'TRA RESID'!$J:$J,T179,'TRA RESID'!$H:$H,U179)/SUMIFS('TRA RESID'!$P:$P,'TRA RESID'!$I:$I,W179)*AE179</f>
        <v>-6.498814850338896E-3</v>
      </c>
      <c r="AB179" s="26"/>
      <c r="AC179" s="26"/>
      <c r="AE179" s="28">
        <v>1</v>
      </c>
      <c r="AG179" s="23" t="str">
        <f>IF(AG178="*",AG178,"")</f>
        <v>*</v>
      </c>
      <c r="AH179" s="25" t="str">
        <f t="shared" si="138"/>
        <v>*HEV*</v>
      </c>
      <c r="AI179" s="25" t="str">
        <f t="shared" si="138"/>
        <v>TRABAT</v>
      </c>
      <c r="AJ179" s="25" t="str">
        <f t="shared" si="138"/>
        <v>TRAFRECLTDMD</v>
      </c>
      <c r="AK179" s="25" t="str">
        <f t="shared" si="138"/>
        <v>TRAFRECLTDMD</v>
      </c>
      <c r="AL179" s="26">
        <v>2050</v>
      </c>
      <c r="AM179" s="26" t="str">
        <f>AM177</f>
        <v>LO</v>
      </c>
      <c r="AN179" s="26"/>
      <c r="AO179" s="27">
        <f>-SUMIFS('TRA RESID'!$P:$P,'TRA RESID'!$I:$I,AK179,'TRA RESID'!$J:$J,AH179,'TRA RESID'!$H:$H,AI179)/SUMIFS('TRA RESID'!$P:$P,'TRA RESID'!$I:$I,AK179)*AS179</f>
        <v>0</v>
      </c>
      <c r="AP179" s="26"/>
      <c r="AQ179" s="26"/>
      <c r="AS179" s="28">
        <v>0</v>
      </c>
      <c r="AU179" s="23" t="str">
        <f>IF(AU178="*",AU178,"")</f>
        <v>*</v>
      </c>
      <c r="AV179" s="25" t="str">
        <f t="shared" si="139"/>
        <v>*FCEV*</v>
      </c>
      <c r="AW179" s="25" t="str">
        <f t="shared" si="139"/>
        <v>TRABAT</v>
      </c>
      <c r="AX179" s="25" t="str">
        <f t="shared" si="139"/>
        <v>TRAFRECLTDMD</v>
      </c>
      <c r="AY179" s="25" t="str">
        <f t="shared" si="139"/>
        <v>TRAFRECLTDMD</v>
      </c>
      <c r="AZ179" s="26">
        <v>2050</v>
      </c>
      <c r="BA179" s="26" t="str">
        <f>BA177</f>
        <v>LO</v>
      </c>
      <c r="BB179" s="26"/>
      <c r="BC179" s="27">
        <f>-SUMIFS('TRA RESID'!$P:$P,'TRA RESID'!$I:$I,AY179,'TRA RESID'!$J:$J,AV179,'TRA RESID'!$H:$H,AW179)/SUMIFS('TRA RESID'!$P:$P,'TRA RESID'!$I:$I,AY179)*BG179</f>
        <v>0</v>
      </c>
      <c r="BD179" s="26"/>
      <c r="BE179" s="26"/>
      <c r="BG179" s="28">
        <v>0</v>
      </c>
    </row>
    <row r="180" spans="1:59" x14ac:dyDescent="0.25">
      <c r="A180">
        <f>A175+1</f>
        <v>36</v>
      </c>
      <c r="C180" s="15" t="str">
        <f>IF(E180="","",IF(_xlfn.XLOOKUP($A180,Selected_constraint!$A:$A,Selected_constraint!$D:$D)=1,"*",IF(SUMIFS('TRA TECH'!$M:$M,'TRA TECH'!$H:$H,E180,'TRA TECH'!$I:$I,F180)=0,"*",IF(SUMIFS('TRA RESID'!$P:$P,'TRA RESID'!$I:$I,G180,'TRA RESID'!$J:$J,D180,'TRA RESID'!$H:$H,E180)=0,"*","UC_"&amp;SUBSTITUTE(D180,"*","")&amp;"_"&amp;RIGHT(E180,3)&amp;"_"&amp;F180))))</f>
        <v>*</v>
      </c>
      <c r="D180" s="17" t="s">
        <v>485</v>
      </c>
      <c r="E180" s="17" t="str">
        <f>_xlfn.XLOOKUP($A180,Selected_constraint!$A:$A,Selected_constraint!$B:$B)</f>
        <v>TRAH2G</v>
      </c>
      <c r="F180" s="17" t="str">
        <f>_xlfn.XLOOKUP($A180,Selected_constraint!$A:$A,Selected_constraint!$C:$C)</f>
        <v>TRAFRECLTDMD</v>
      </c>
      <c r="G180" s="17" t="str">
        <f>F180</f>
        <v>TRAFRECLTDMD</v>
      </c>
      <c r="H180" s="18">
        <v>2019</v>
      </c>
      <c r="I180" s="18" t="s">
        <v>483</v>
      </c>
      <c r="J180" s="18">
        <v>1</v>
      </c>
      <c r="K180" s="20">
        <f>-SUMIFS('TRA RESID'!$P:$P,'TRA RESID'!$I:$I,G180,'TRA RESID'!$J:$J,D180,'TRA RESID'!$H:$H,E180)/SUMIFS('TRA RESID'!$P:$P,'TRA RESID'!$I:$I,G180)*O180</f>
        <v>0</v>
      </c>
      <c r="L180" s="18">
        <v>0</v>
      </c>
      <c r="M180" s="18">
        <v>5</v>
      </c>
      <c r="O180" s="21">
        <v>0.98</v>
      </c>
      <c r="Q180">
        <f>Q175+1</f>
        <v>36</v>
      </c>
      <c r="S180" s="15" t="str">
        <f>IF(SUMIFS('TRA RESID'!$P:$P,'TRA RESID'!$I:$I,W180,'TRA RESID'!$J:$J,T180,'TRA RESID'!$H:$H,U180)=0,"*","UC_"&amp;SUBSTITUTE(T180,"*","")&amp;"_"&amp;RIGHT(U180,3)&amp;"_"&amp;V180)</f>
        <v>*</v>
      </c>
      <c r="T180" s="17" t="s">
        <v>486</v>
      </c>
      <c r="U180" s="17" t="str">
        <f>_xlfn.XLOOKUP($A180,Selected_constraint!$A:$A,Selected_constraint!$B:$B)</f>
        <v>TRAH2G</v>
      </c>
      <c r="V180" s="17" t="str">
        <f>_xlfn.XLOOKUP($A180,Selected_constraint!$A:$A,Selected_constraint!$C:$C)</f>
        <v>TRAFRECLTDMD</v>
      </c>
      <c r="W180" s="17" t="str">
        <f>V180</f>
        <v>TRAFRECLTDMD</v>
      </c>
      <c r="X180" s="18">
        <v>2019</v>
      </c>
      <c r="Y180" s="18" t="s">
        <v>483</v>
      </c>
      <c r="Z180" s="18">
        <v>1</v>
      </c>
      <c r="AA180" s="20">
        <f>-SUMIFS('TRA RESID'!$P:$P,'TRA RESID'!$I:$I,W180,'TRA RESID'!$J:$J,T180,'TRA RESID'!$H:$H,U180)/SUMIFS('TRA RESID'!$P:$P,'TRA RESID'!$I:$I,W180)*AE180</f>
        <v>0</v>
      </c>
      <c r="AB180" s="18">
        <v>0</v>
      </c>
      <c r="AC180" s="18">
        <v>5</v>
      </c>
      <c r="AE180" s="21">
        <v>0.98</v>
      </c>
      <c r="AG180" s="15" t="str">
        <f>IF(SUMIFS('TRA RESID'!$P:$P,'TRA RESID'!$I:$I,AK180,'TRA RESID'!$J:$J,AH180,'TRA RESID'!$H:$H,AI180)=0,"*","UC_"&amp;SUBSTITUTE(AH180,"*","")&amp;"_"&amp;RIGHT(AI180,3)&amp;"_"&amp;AJ180)</f>
        <v>*</v>
      </c>
      <c r="AH180" s="17" t="s">
        <v>487</v>
      </c>
      <c r="AI180" s="17" t="str">
        <f>_xlfn.XLOOKUP($A180,Selected_constraint!$A:$A,Selected_constraint!$B:$B)</f>
        <v>TRAH2G</v>
      </c>
      <c r="AJ180" s="17" t="str">
        <f>_xlfn.XLOOKUP($A180,Selected_constraint!$A:$A,Selected_constraint!$C:$C)</f>
        <v>TRAFRECLTDMD</v>
      </c>
      <c r="AK180" s="17" t="str">
        <f>AJ180</f>
        <v>TRAFRECLTDMD</v>
      </c>
      <c r="AL180" s="18">
        <v>2019</v>
      </c>
      <c r="AM180" s="18" t="s">
        <v>483</v>
      </c>
      <c r="AN180" s="18">
        <v>1</v>
      </c>
      <c r="AO180" s="20">
        <f>-SUMIFS('TRA RESID'!$P:$P,'TRA RESID'!$I:$I,AK180,'TRA RESID'!$J:$J,AH180,'TRA RESID'!$H:$H,AI180)/SUMIFS('TRA RESID'!$P:$P,'TRA RESID'!$I:$I,AK180)*AS180</f>
        <v>0</v>
      </c>
      <c r="AP180" s="18">
        <v>0</v>
      </c>
      <c r="AQ180" s="18">
        <v>5</v>
      </c>
      <c r="AS180" s="21">
        <v>0.98</v>
      </c>
      <c r="AU180" s="15" t="str">
        <f>IF(SUMIFS('TRA RESID'!$P:$P,'TRA RESID'!$I:$I,AY180,'TRA RESID'!$J:$J,AV180,'TRA RESID'!$H:$H,AW180)=0,"*","UC_"&amp;SUBSTITUTE(AV180,"*","")&amp;"_"&amp;RIGHT(AW180,3)&amp;"_"&amp;AX180)</f>
        <v>*</v>
      </c>
      <c r="AV180" s="17" t="s">
        <v>488</v>
      </c>
      <c r="AW180" s="17" t="str">
        <f>_xlfn.XLOOKUP($A180,Selected_constraint!$A:$A,Selected_constraint!$B:$B)</f>
        <v>TRAH2G</v>
      </c>
      <c r="AX180" s="17" t="str">
        <f>_xlfn.XLOOKUP($A180,Selected_constraint!$A:$A,Selected_constraint!$C:$C)</f>
        <v>TRAFRECLTDMD</v>
      </c>
      <c r="AY180" s="17" t="str">
        <f>AX180</f>
        <v>TRAFRECLTDMD</v>
      </c>
      <c r="AZ180" s="18">
        <v>2019</v>
      </c>
      <c r="BA180" s="18" t="s">
        <v>483</v>
      </c>
      <c r="BB180" s="18">
        <v>1</v>
      </c>
      <c r="BC180" s="20">
        <f>-SUMIFS('TRA RESID'!$P:$P,'TRA RESID'!$I:$I,AY180,'TRA RESID'!$J:$J,AV180,'TRA RESID'!$H:$H,AW180)/SUMIFS('TRA RESID'!$P:$P,'TRA RESID'!$I:$I,AY180)*BG180</f>
        <v>0</v>
      </c>
      <c r="BD180" s="18">
        <v>0</v>
      </c>
      <c r="BE180" s="18">
        <v>5</v>
      </c>
      <c r="BG180" s="21">
        <v>0.98</v>
      </c>
    </row>
    <row r="181" spans="1:59" x14ac:dyDescent="0.25">
      <c r="C181" s="15" t="str">
        <f>IF(C180="*",C180,"")</f>
        <v>*</v>
      </c>
      <c r="D181" s="17" t="str">
        <f t="shared" ref="D181:G184" si="140">D180</f>
        <v>*ICEV*</v>
      </c>
      <c r="E181" s="17" t="str">
        <f t="shared" si="140"/>
        <v>TRAH2G</v>
      </c>
      <c r="F181" s="17" t="str">
        <f t="shared" si="140"/>
        <v>TRAFRECLTDMD</v>
      </c>
      <c r="G181" s="17" t="str">
        <f t="shared" si="140"/>
        <v>TRAFRECLTDMD</v>
      </c>
      <c r="H181" s="18">
        <v>2025</v>
      </c>
      <c r="I181" s="18" t="str">
        <f>I180</f>
        <v>LO</v>
      </c>
      <c r="J181" s="18"/>
      <c r="K181" s="20">
        <f>-SUMIFS('TRA RESID'!$P:$P,'TRA RESID'!$I:$I,G181,'TRA RESID'!$J:$J,D181,'TRA RESID'!$H:$H,E181)/SUMIFS('TRA RESID'!$P:$P,'TRA RESID'!$I:$I,G181)*O181</f>
        <v>0</v>
      </c>
      <c r="L181" s="18"/>
      <c r="M181" s="18"/>
      <c r="O181" s="21">
        <v>0.8</v>
      </c>
      <c r="S181" s="15" t="str">
        <f>IF(S180="*",S180,"")</f>
        <v>*</v>
      </c>
      <c r="T181" s="17" t="str">
        <f t="shared" ref="T181:W184" si="141">T180</f>
        <v>*BEV*</v>
      </c>
      <c r="U181" s="17" t="str">
        <f t="shared" si="141"/>
        <v>TRAH2G</v>
      </c>
      <c r="V181" s="17" t="str">
        <f t="shared" si="141"/>
        <v>TRAFRECLTDMD</v>
      </c>
      <c r="W181" s="17" t="str">
        <f t="shared" si="141"/>
        <v>TRAFRECLTDMD</v>
      </c>
      <c r="X181" s="18">
        <v>2025</v>
      </c>
      <c r="Y181" s="18" t="str">
        <f>Y180</f>
        <v>LO</v>
      </c>
      <c r="Z181" s="18"/>
      <c r="AA181" s="20">
        <f>-SUMIFS('TRA RESID'!$P:$P,'TRA RESID'!$I:$I,W181,'TRA RESID'!$J:$J,T181,'TRA RESID'!$H:$H,U181)/SUMIFS('TRA RESID'!$P:$P,'TRA RESID'!$I:$I,W181)*AE181</f>
        <v>0</v>
      </c>
      <c r="AB181" s="18"/>
      <c r="AC181" s="18"/>
      <c r="AE181" s="21">
        <v>1</v>
      </c>
      <c r="AG181" s="15" t="str">
        <f>IF(AG180="*",AG180,"")</f>
        <v>*</v>
      </c>
      <c r="AH181" s="17" t="str">
        <f t="shared" ref="AH181:AK184" si="142">AH180</f>
        <v>*HEV*</v>
      </c>
      <c r="AI181" s="17" t="str">
        <f t="shared" si="142"/>
        <v>TRAH2G</v>
      </c>
      <c r="AJ181" s="17" t="str">
        <f t="shared" si="142"/>
        <v>TRAFRECLTDMD</v>
      </c>
      <c r="AK181" s="17" t="str">
        <f t="shared" si="142"/>
        <v>TRAFRECLTDMD</v>
      </c>
      <c r="AL181" s="18">
        <v>2025</v>
      </c>
      <c r="AM181" s="18" t="str">
        <f>AM180</f>
        <v>LO</v>
      </c>
      <c r="AN181" s="18"/>
      <c r="AO181" s="20">
        <f>-SUMIFS('TRA RESID'!$P:$P,'TRA RESID'!$I:$I,AK181,'TRA RESID'!$J:$J,AH181,'TRA RESID'!$H:$H,AI181)/SUMIFS('TRA RESID'!$P:$P,'TRA RESID'!$I:$I,AK181)*AS181</f>
        <v>0</v>
      </c>
      <c r="AP181" s="18"/>
      <c r="AQ181" s="18"/>
      <c r="AS181" s="21">
        <v>0.8</v>
      </c>
      <c r="AU181" s="15" t="str">
        <f>IF(AU180="*",AU180,"")</f>
        <v>*</v>
      </c>
      <c r="AV181" s="17" t="str">
        <f t="shared" ref="AV181:AY184" si="143">AV180</f>
        <v>*FCEV*</v>
      </c>
      <c r="AW181" s="17" t="str">
        <f t="shared" si="143"/>
        <v>TRAH2G</v>
      </c>
      <c r="AX181" s="17" t="str">
        <f t="shared" si="143"/>
        <v>TRAFRECLTDMD</v>
      </c>
      <c r="AY181" s="17" t="str">
        <f t="shared" si="143"/>
        <v>TRAFRECLTDMD</v>
      </c>
      <c r="AZ181" s="18">
        <v>2025</v>
      </c>
      <c r="BA181" s="18" t="str">
        <f>BA180</f>
        <v>LO</v>
      </c>
      <c r="BB181" s="18"/>
      <c r="BC181" s="20">
        <f>-SUMIFS('TRA RESID'!$P:$P,'TRA RESID'!$I:$I,AY181,'TRA RESID'!$J:$J,AV181,'TRA RESID'!$H:$H,AW181)/SUMIFS('TRA RESID'!$P:$P,'TRA RESID'!$I:$I,AY181)*BG181</f>
        <v>0</v>
      </c>
      <c r="BD181" s="18"/>
      <c r="BE181" s="18"/>
      <c r="BG181" s="21">
        <v>0.8</v>
      </c>
    </row>
    <row r="182" spans="1:59" x14ac:dyDescent="0.25">
      <c r="C182" s="15" t="str">
        <f>IF(C181="*",C181,"")</f>
        <v>*</v>
      </c>
      <c r="D182" s="17" t="str">
        <f t="shared" si="140"/>
        <v>*ICEV*</v>
      </c>
      <c r="E182" s="17" t="str">
        <f t="shared" si="140"/>
        <v>TRAH2G</v>
      </c>
      <c r="F182" s="17" t="str">
        <f t="shared" si="140"/>
        <v>TRAFRECLTDMD</v>
      </c>
      <c r="G182" s="17" t="str">
        <f t="shared" si="140"/>
        <v>TRAFRECLTDMD</v>
      </c>
      <c r="H182" s="18">
        <v>2030</v>
      </c>
      <c r="I182" s="18" t="str">
        <f>I181</f>
        <v>LO</v>
      </c>
      <c r="J182" s="18"/>
      <c r="K182" s="20">
        <f>-SUMIFS('TRA RESID'!$P:$P,'TRA RESID'!$I:$I,G182,'TRA RESID'!$J:$J,D182,'TRA RESID'!$H:$H,E182)/SUMIFS('TRA RESID'!$P:$P,'TRA RESID'!$I:$I,G182)*O182</f>
        <v>0</v>
      </c>
      <c r="L182" s="18"/>
      <c r="M182" s="18"/>
      <c r="O182" s="21">
        <v>0.5</v>
      </c>
      <c r="S182" s="15" t="str">
        <f>IF(S181="*",S181,"")</f>
        <v>*</v>
      </c>
      <c r="T182" s="17" t="str">
        <f t="shared" si="141"/>
        <v>*BEV*</v>
      </c>
      <c r="U182" s="17" t="str">
        <f t="shared" si="141"/>
        <v>TRAH2G</v>
      </c>
      <c r="V182" s="17" t="str">
        <f t="shared" si="141"/>
        <v>TRAFRECLTDMD</v>
      </c>
      <c r="W182" s="17" t="str">
        <f t="shared" si="141"/>
        <v>TRAFRECLTDMD</v>
      </c>
      <c r="X182" s="18">
        <v>2030</v>
      </c>
      <c r="Y182" s="18" t="str">
        <f>Y181</f>
        <v>LO</v>
      </c>
      <c r="Z182" s="18"/>
      <c r="AA182" s="20">
        <f>-SUMIFS('TRA RESID'!$P:$P,'TRA RESID'!$I:$I,W182,'TRA RESID'!$J:$J,T182,'TRA RESID'!$H:$H,U182)/SUMIFS('TRA RESID'!$P:$P,'TRA RESID'!$I:$I,W182)*AE182</f>
        <v>0</v>
      </c>
      <c r="AB182" s="18"/>
      <c r="AC182" s="18"/>
      <c r="AE182" s="21">
        <v>1</v>
      </c>
      <c r="AG182" s="15" t="str">
        <f>IF(AG181="*",AG181,"")</f>
        <v>*</v>
      </c>
      <c r="AH182" s="17" t="str">
        <f t="shared" si="142"/>
        <v>*HEV*</v>
      </c>
      <c r="AI182" s="17" t="str">
        <f t="shared" si="142"/>
        <v>TRAH2G</v>
      </c>
      <c r="AJ182" s="17" t="str">
        <f t="shared" si="142"/>
        <v>TRAFRECLTDMD</v>
      </c>
      <c r="AK182" s="17" t="str">
        <f t="shared" si="142"/>
        <v>TRAFRECLTDMD</v>
      </c>
      <c r="AL182" s="18">
        <v>2030</v>
      </c>
      <c r="AM182" s="18" t="str">
        <f>AM181</f>
        <v>LO</v>
      </c>
      <c r="AN182" s="18"/>
      <c r="AO182" s="20">
        <f>-SUMIFS('TRA RESID'!$P:$P,'TRA RESID'!$I:$I,AK182,'TRA RESID'!$J:$J,AH182,'TRA RESID'!$H:$H,AI182)/SUMIFS('TRA RESID'!$P:$P,'TRA RESID'!$I:$I,AK182)*AS182</f>
        <v>0</v>
      </c>
      <c r="AP182" s="18"/>
      <c r="AQ182" s="18"/>
      <c r="AS182" s="21">
        <v>0.5</v>
      </c>
      <c r="AU182" s="15" t="str">
        <f>IF(AU181="*",AU181,"")</f>
        <v>*</v>
      </c>
      <c r="AV182" s="17" t="str">
        <f t="shared" si="143"/>
        <v>*FCEV*</v>
      </c>
      <c r="AW182" s="17" t="str">
        <f t="shared" si="143"/>
        <v>TRAH2G</v>
      </c>
      <c r="AX182" s="17" t="str">
        <f t="shared" si="143"/>
        <v>TRAFRECLTDMD</v>
      </c>
      <c r="AY182" s="17" t="str">
        <f t="shared" si="143"/>
        <v>TRAFRECLTDMD</v>
      </c>
      <c r="AZ182" s="18">
        <v>2030</v>
      </c>
      <c r="BA182" s="18" t="str">
        <f>BA181</f>
        <v>LO</v>
      </c>
      <c r="BB182" s="18"/>
      <c r="BC182" s="20">
        <f>-SUMIFS('TRA RESID'!$P:$P,'TRA RESID'!$I:$I,AY182,'TRA RESID'!$J:$J,AV182,'TRA RESID'!$H:$H,AW182)/SUMIFS('TRA RESID'!$P:$P,'TRA RESID'!$I:$I,AY182)*BG182</f>
        <v>0</v>
      </c>
      <c r="BD182" s="18"/>
      <c r="BE182" s="18"/>
      <c r="BG182" s="21">
        <v>0.5</v>
      </c>
    </row>
    <row r="183" spans="1:59" x14ac:dyDescent="0.25">
      <c r="C183" s="15" t="str">
        <f>IF(C182="*",C182,"")</f>
        <v>*</v>
      </c>
      <c r="D183" s="17" t="str">
        <f t="shared" si="140"/>
        <v>*ICEV*</v>
      </c>
      <c r="E183" s="17" t="str">
        <f t="shared" si="140"/>
        <v>TRAH2G</v>
      </c>
      <c r="F183" s="17" t="str">
        <f t="shared" si="140"/>
        <v>TRAFRECLTDMD</v>
      </c>
      <c r="G183" s="17" t="str">
        <f t="shared" si="140"/>
        <v>TRAFRECLTDMD</v>
      </c>
      <c r="H183" s="18">
        <v>2040</v>
      </c>
      <c r="I183" s="18" t="str">
        <f>I182</f>
        <v>LO</v>
      </c>
      <c r="J183" s="18"/>
      <c r="K183" s="20">
        <f>-SUMIFS('TRA RESID'!$P:$P,'TRA RESID'!$I:$I,G183,'TRA RESID'!$J:$J,D183,'TRA RESID'!$H:$H,E183)/SUMIFS('TRA RESID'!$P:$P,'TRA RESID'!$I:$I,G183)*O183</f>
        <v>0</v>
      </c>
      <c r="L183" s="18"/>
      <c r="M183" s="18"/>
      <c r="O183" s="21">
        <v>0</v>
      </c>
      <c r="S183" s="15" t="str">
        <f>IF(S182="*",S182,"")</f>
        <v>*</v>
      </c>
      <c r="T183" s="17" t="str">
        <f t="shared" si="141"/>
        <v>*BEV*</v>
      </c>
      <c r="U183" s="17" t="str">
        <f t="shared" si="141"/>
        <v>TRAH2G</v>
      </c>
      <c r="V183" s="17" t="str">
        <f t="shared" si="141"/>
        <v>TRAFRECLTDMD</v>
      </c>
      <c r="W183" s="17" t="str">
        <f t="shared" si="141"/>
        <v>TRAFRECLTDMD</v>
      </c>
      <c r="X183" s="18">
        <v>2040</v>
      </c>
      <c r="Y183" s="18" t="str">
        <f>Y182</f>
        <v>LO</v>
      </c>
      <c r="Z183" s="18"/>
      <c r="AA183" s="20">
        <f>-SUMIFS('TRA RESID'!$P:$P,'TRA RESID'!$I:$I,W183,'TRA RESID'!$J:$J,T183,'TRA RESID'!$H:$H,U183)/SUMIFS('TRA RESID'!$P:$P,'TRA RESID'!$I:$I,W183)*AE183</f>
        <v>0</v>
      </c>
      <c r="AB183" s="18"/>
      <c r="AC183" s="18"/>
      <c r="AE183" s="21">
        <v>1</v>
      </c>
      <c r="AG183" s="15" t="str">
        <f>IF(AG182="*",AG182,"")</f>
        <v>*</v>
      </c>
      <c r="AH183" s="17" t="str">
        <f t="shared" si="142"/>
        <v>*HEV*</v>
      </c>
      <c r="AI183" s="17" t="str">
        <f t="shared" si="142"/>
        <v>TRAH2G</v>
      </c>
      <c r="AJ183" s="17" t="str">
        <f t="shared" si="142"/>
        <v>TRAFRECLTDMD</v>
      </c>
      <c r="AK183" s="17" t="str">
        <f t="shared" si="142"/>
        <v>TRAFRECLTDMD</v>
      </c>
      <c r="AL183" s="18">
        <v>2040</v>
      </c>
      <c r="AM183" s="18" t="str">
        <f>AM182</f>
        <v>LO</v>
      </c>
      <c r="AN183" s="18"/>
      <c r="AO183" s="20">
        <f>-SUMIFS('TRA RESID'!$P:$P,'TRA RESID'!$I:$I,AK183,'TRA RESID'!$J:$J,AH183,'TRA RESID'!$H:$H,AI183)/SUMIFS('TRA RESID'!$P:$P,'TRA RESID'!$I:$I,AK183)*AS183</f>
        <v>0</v>
      </c>
      <c r="AP183" s="18"/>
      <c r="AQ183" s="18"/>
      <c r="AS183" s="21">
        <v>0</v>
      </c>
      <c r="AU183" s="15" t="str">
        <f>IF(AU182="*",AU182,"")</f>
        <v>*</v>
      </c>
      <c r="AV183" s="17" t="str">
        <f t="shared" si="143"/>
        <v>*FCEV*</v>
      </c>
      <c r="AW183" s="17" t="str">
        <f t="shared" si="143"/>
        <v>TRAH2G</v>
      </c>
      <c r="AX183" s="17" t="str">
        <f t="shared" si="143"/>
        <v>TRAFRECLTDMD</v>
      </c>
      <c r="AY183" s="17" t="str">
        <f t="shared" si="143"/>
        <v>TRAFRECLTDMD</v>
      </c>
      <c r="AZ183" s="18">
        <v>2040</v>
      </c>
      <c r="BA183" s="18" t="str">
        <f>BA182</f>
        <v>LO</v>
      </c>
      <c r="BB183" s="18"/>
      <c r="BC183" s="20">
        <f>-SUMIFS('TRA RESID'!$P:$P,'TRA RESID'!$I:$I,AY183,'TRA RESID'!$J:$J,AV183,'TRA RESID'!$H:$H,AW183)/SUMIFS('TRA RESID'!$P:$P,'TRA RESID'!$I:$I,AY183)*BG183</f>
        <v>0</v>
      </c>
      <c r="BD183" s="18"/>
      <c r="BE183" s="18"/>
      <c r="BG183" s="21">
        <v>0</v>
      </c>
    </row>
    <row r="184" spans="1:59" x14ac:dyDescent="0.25">
      <c r="C184" s="23" t="str">
        <f>IF(C183="*",C183,"")</f>
        <v>*</v>
      </c>
      <c r="D184" s="25" t="str">
        <f t="shared" si="140"/>
        <v>*ICEV*</v>
      </c>
      <c r="E184" s="25" t="str">
        <f t="shared" si="140"/>
        <v>TRAH2G</v>
      </c>
      <c r="F184" s="25" t="str">
        <f t="shared" si="140"/>
        <v>TRAFRECLTDMD</v>
      </c>
      <c r="G184" s="25" t="str">
        <f t="shared" si="140"/>
        <v>TRAFRECLTDMD</v>
      </c>
      <c r="H184" s="26">
        <v>2050</v>
      </c>
      <c r="I184" s="26" t="str">
        <f>I182</f>
        <v>LO</v>
      </c>
      <c r="J184" s="26"/>
      <c r="K184" s="27">
        <f>-SUMIFS('TRA RESID'!$P:$P,'TRA RESID'!$I:$I,G184,'TRA RESID'!$J:$J,D184,'TRA RESID'!$H:$H,E184)/SUMIFS('TRA RESID'!$P:$P,'TRA RESID'!$I:$I,G184)*O184</f>
        <v>0</v>
      </c>
      <c r="L184" s="26"/>
      <c r="M184" s="26"/>
      <c r="O184" s="28">
        <v>0</v>
      </c>
      <c r="S184" s="23" t="str">
        <f>IF(S183="*",S183,"")</f>
        <v>*</v>
      </c>
      <c r="T184" s="25" t="str">
        <f t="shared" si="141"/>
        <v>*BEV*</v>
      </c>
      <c r="U184" s="25" t="str">
        <f t="shared" si="141"/>
        <v>TRAH2G</v>
      </c>
      <c r="V184" s="25" t="str">
        <f t="shared" si="141"/>
        <v>TRAFRECLTDMD</v>
      </c>
      <c r="W184" s="25" t="str">
        <f t="shared" si="141"/>
        <v>TRAFRECLTDMD</v>
      </c>
      <c r="X184" s="26">
        <v>2050</v>
      </c>
      <c r="Y184" s="26" t="str">
        <f>Y182</f>
        <v>LO</v>
      </c>
      <c r="Z184" s="26"/>
      <c r="AA184" s="27">
        <f>-SUMIFS('TRA RESID'!$P:$P,'TRA RESID'!$I:$I,W184,'TRA RESID'!$J:$J,T184,'TRA RESID'!$H:$H,U184)/SUMIFS('TRA RESID'!$P:$P,'TRA RESID'!$I:$I,W184)*AE184</f>
        <v>0</v>
      </c>
      <c r="AB184" s="26"/>
      <c r="AC184" s="26"/>
      <c r="AE184" s="28">
        <v>1</v>
      </c>
      <c r="AG184" s="23" t="str">
        <f>IF(AG183="*",AG183,"")</f>
        <v>*</v>
      </c>
      <c r="AH184" s="25" t="str">
        <f t="shared" si="142"/>
        <v>*HEV*</v>
      </c>
      <c r="AI184" s="25" t="str">
        <f t="shared" si="142"/>
        <v>TRAH2G</v>
      </c>
      <c r="AJ184" s="25" t="str">
        <f t="shared" si="142"/>
        <v>TRAFRECLTDMD</v>
      </c>
      <c r="AK184" s="25" t="str">
        <f t="shared" si="142"/>
        <v>TRAFRECLTDMD</v>
      </c>
      <c r="AL184" s="26">
        <v>2050</v>
      </c>
      <c r="AM184" s="26" t="str">
        <f>AM182</f>
        <v>LO</v>
      </c>
      <c r="AN184" s="26"/>
      <c r="AO184" s="27">
        <f>-SUMIFS('TRA RESID'!$P:$P,'TRA RESID'!$I:$I,AK184,'TRA RESID'!$J:$J,AH184,'TRA RESID'!$H:$H,AI184)/SUMIFS('TRA RESID'!$P:$P,'TRA RESID'!$I:$I,AK184)*AS184</f>
        <v>0</v>
      </c>
      <c r="AP184" s="26"/>
      <c r="AQ184" s="26"/>
      <c r="AS184" s="28">
        <v>0</v>
      </c>
      <c r="AU184" s="23" t="str">
        <f>IF(AU183="*",AU183,"")</f>
        <v>*</v>
      </c>
      <c r="AV184" s="25" t="str">
        <f t="shared" si="143"/>
        <v>*FCEV*</v>
      </c>
      <c r="AW184" s="25" t="str">
        <f t="shared" si="143"/>
        <v>TRAH2G</v>
      </c>
      <c r="AX184" s="25" t="str">
        <f t="shared" si="143"/>
        <v>TRAFRECLTDMD</v>
      </c>
      <c r="AY184" s="25" t="str">
        <f t="shared" si="143"/>
        <v>TRAFRECLTDMD</v>
      </c>
      <c r="AZ184" s="26">
        <v>2050</v>
      </c>
      <c r="BA184" s="26" t="str">
        <f>BA182</f>
        <v>LO</v>
      </c>
      <c r="BB184" s="26"/>
      <c r="BC184" s="27">
        <f>-SUMIFS('TRA RESID'!$P:$P,'TRA RESID'!$I:$I,AY184,'TRA RESID'!$J:$J,AV184,'TRA RESID'!$H:$H,AW184)/SUMIFS('TRA RESID'!$P:$P,'TRA RESID'!$I:$I,AY184)*BG184</f>
        <v>0</v>
      </c>
      <c r="BD184" s="26"/>
      <c r="BE184" s="26"/>
      <c r="BG184" s="28">
        <v>0</v>
      </c>
    </row>
    <row r="185" spans="1:59" x14ac:dyDescent="0.25">
      <c r="A185">
        <f>A180+1</f>
        <v>37</v>
      </c>
      <c r="C185" s="15" t="str">
        <f>IF(E185="","",IF(_xlfn.XLOOKUP($A185,Selected_constraint!$A:$A,Selected_constraint!$D:$D)=1,"*",IF(SUMIFS('TRA TECH'!$M:$M,'TRA TECH'!$H:$H,E185,'TRA TECH'!$I:$I,F185)=0,"*",IF(SUMIFS('TRA RESID'!$P:$P,'TRA RESID'!$I:$I,G185,'TRA RESID'!$J:$J,D185,'TRA RESID'!$H:$H,E185)=0,"*","UC_"&amp;SUBSTITUTE(D185,"*","")&amp;"_"&amp;RIGHT(E185,3)&amp;"_"&amp;F185))))</f>
        <v>*</v>
      </c>
      <c r="D185" s="17" t="s">
        <v>485</v>
      </c>
      <c r="E185" s="17" t="str">
        <f>_xlfn.XLOOKUP($A185,Selected_constraint!$A:$A,Selected_constraint!$B:$B)</f>
        <v>TRAGSL</v>
      </c>
      <c r="F185" s="17" t="str">
        <f>_xlfn.XLOOKUP($A185,Selected_constraint!$A:$A,Selected_constraint!$C:$C)</f>
        <v>TRAFRERFTDMD</v>
      </c>
      <c r="G185" s="17" t="str">
        <f>F185</f>
        <v>TRAFRERFTDMD</v>
      </c>
      <c r="H185" s="18">
        <v>2019</v>
      </c>
      <c r="I185" s="18" t="s">
        <v>483</v>
      </c>
      <c r="J185" s="18">
        <v>1</v>
      </c>
      <c r="K185" s="20">
        <f>-SUMIFS('TRA RESID'!$P:$P,'TRA RESID'!$I:$I,G185,'TRA RESID'!$J:$J,D185,'TRA RESID'!$H:$H,E185)/SUMIFS('TRA RESID'!$P:$P,'TRA RESID'!$I:$I,G185)*O185</f>
        <v>-3.6235299604074726E-2</v>
      </c>
      <c r="L185" s="18">
        <v>0</v>
      </c>
      <c r="M185" s="18">
        <v>5</v>
      </c>
      <c r="O185" s="21">
        <v>0.98</v>
      </c>
      <c r="Q185">
        <f>Q180+1</f>
        <v>37</v>
      </c>
      <c r="S185" s="15" t="str">
        <f>IF(SUMIFS('TRA RESID'!$P:$P,'TRA RESID'!$I:$I,W185,'TRA RESID'!$J:$J,T185,'TRA RESID'!$H:$H,U185)=0,"*","UC_"&amp;SUBSTITUTE(T185,"*","")&amp;"_"&amp;RIGHT(U185,3)&amp;"_"&amp;V185)</f>
        <v>*</v>
      </c>
      <c r="T185" s="17" t="s">
        <v>486</v>
      </c>
      <c r="U185" s="17" t="str">
        <f>_xlfn.XLOOKUP($A185,Selected_constraint!$A:$A,Selected_constraint!$B:$B)</f>
        <v>TRAGSL</v>
      </c>
      <c r="V185" s="17" t="str">
        <f>_xlfn.XLOOKUP($A185,Selected_constraint!$A:$A,Selected_constraint!$C:$C)</f>
        <v>TRAFRERFTDMD</v>
      </c>
      <c r="W185" s="17" t="str">
        <f>V185</f>
        <v>TRAFRERFTDMD</v>
      </c>
      <c r="X185" s="18">
        <v>2019</v>
      </c>
      <c r="Y185" s="18" t="s">
        <v>483</v>
      </c>
      <c r="Z185" s="18">
        <v>1</v>
      </c>
      <c r="AA185" s="20">
        <f>-SUMIFS('TRA RESID'!$P:$P,'TRA RESID'!$I:$I,W185,'TRA RESID'!$J:$J,T185,'TRA RESID'!$H:$H,U185)/SUMIFS('TRA RESID'!$P:$P,'TRA RESID'!$I:$I,W185)*AE185</f>
        <v>0</v>
      </c>
      <c r="AB185" s="18">
        <v>0</v>
      </c>
      <c r="AC185" s="18">
        <v>5</v>
      </c>
      <c r="AE185" s="21">
        <v>0.98</v>
      </c>
      <c r="AG185" s="15" t="str">
        <f>IF(SUMIFS('TRA RESID'!$P:$P,'TRA RESID'!$I:$I,AK185,'TRA RESID'!$J:$J,AH185,'TRA RESID'!$H:$H,AI185)=0,"*","UC_"&amp;SUBSTITUTE(AH185,"*","")&amp;"_"&amp;RIGHT(AI185,3)&amp;"_"&amp;AJ185)</f>
        <v>*</v>
      </c>
      <c r="AH185" s="17" t="s">
        <v>487</v>
      </c>
      <c r="AI185" s="17" t="str">
        <f>_xlfn.XLOOKUP($A185,Selected_constraint!$A:$A,Selected_constraint!$B:$B)</f>
        <v>TRAGSL</v>
      </c>
      <c r="AJ185" s="17" t="str">
        <f>_xlfn.XLOOKUP($A185,Selected_constraint!$A:$A,Selected_constraint!$C:$C)</f>
        <v>TRAFRERFTDMD</v>
      </c>
      <c r="AK185" s="17" t="str">
        <f>AJ185</f>
        <v>TRAFRERFTDMD</v>
      </c>
      <c r="AL185" s="18">
        <v>2019</v>
      </c>
      <c r="AM185" s="18" t="s">
        <v>483</v>
      </c>
      <c r="AN185" s="18">
        <v>1</v>
      </c>
      <c r="AO185" s="20">
        <f>-SUMIFS('TRA RESID'!$P:$P,'TRA RESID'!$I:$I,AK185,'TRA RESID'!$J:$J,AH185,'TRA RESID'!$H:$H,AI185)/SUMIFS('TRA RESID'!$P:$P,'TRA RESID'!$I:$I,AK185)*AS185</f>
        <v>0</v>
      </c>
      <c r="AP185" s="18">
        <v>0</v>
      </c>
      <c r="AQ185" s="18">
        <v>5</v>
      </c>
      <c r="AS185" s="21">
        <v>0.98</v>
      </c>
      <c r="AU185" s="15" t="str">
        <f>IF(SUMIFS('TRA RESID'!$P:$P,'TRA RESID'!$I:$I,AY185,'TRA RESID'!$J:$J,AV185,'TRA RESID'!$H:$H,AW185)=0,"*","UC_"&amp;SUBSTITUTE(AV185,"*","")&amp;"_"&amp;RIGHT(AW185,3)&amp;"_"&amp;AX185)</f>
        <v>*</v>
      </c>
      <c r="AV185" s="17" t="s">
        <v>488</v>
      </c>
      <c r="AW185" s="17" t="str">
        <f>_xlfn.XLOOKUP($A185,Selected_constraint!$A:$A,Selected_constraint!$B:$B)</f>
        <v>TRAGSL</v>
      </c>
      <c r="AX185" s="17" t="str">
        <f>_xlfn.XLOOKUP($A185,Selected_constraint!$A:$A,Selected_constraint!$C:$C)</f>
        <v>TRAFRERFTDMD</v>
      </c>
      <c r="AY185" s="17" t="str">
        <f>AX185</f>
        <v>TRAFRERFTDMD</v>
      </c>
      <c r="AZ185" s="18">
        <v>2019</v>
      </c>
      <c r="BA185" s="18" t="s">
        <v>483</v>
      </c>
      <c r="BB185" s="18">
        <v>1</v>
      </c>
      <c r="BC185" s="20">
        <f>-SUMIFS('TRA RESID'!$P:$P,'TRA RESID'!$I:$I,AY185,'TRA RESID'!$J:$J,AV185,'TRA RESID'!$H:$H,AW185)/SUMIFS('TRA RESID'!$P:$P,'TRA RESID'!$I:$I,AY185)*BG185</f>
        <v>0</v>
      </c>
      <c r="BD185" s="18">
        <v>0</v>
      </c>
      <c r="BE185" s="18">
        <v>5</v>
      </c>
      <c r="BG185" s="21">
        <v>0.98</v>
      </c>
    </row>
    <row r="186" spans="1:59" x14ac:dyDescent="0.25">
      <c r="C186" s="15" t="str">
        <f>IF(C185="*",C185,"")</f>
        <v>*</v>
      </c>
      <c r="D186" s="17" t="str">
        <f t="shared" ref="D186:G189" si="144">D185</f>
        <v>*ICEV*</v>
      </c>
      <c r="E186" s="17" t="str">
        <f t="shared" si="144"/>
        <v>TRAGSL</v>
      </c>
      <c r="F186" s="17" t="str">
        <f t="shared" si="144"/>
        <v>TRAFRERFTDMD</v>
      </c>
      <c r="G186" s="17" t="str">
        <f t="shared" si="144"/>
        <v>TRAFRERFTDMD</v>
      </c>
      <c r="H186" s="18">
        <v>2025</v>
      </c>
      <c r="I186" s="18" t="str">
        <f>I185</f>
        <v>LO</v>
      </c>
      <c r="J186" s="18"/>
      <c r="K186" s="20">
        <f>-SUMIFS('TRA RESID'!$P:$P,'TRA RESID'!$I:$I,G186,'TRA RESID'!$J:$J,D186,'TRA RESID'!$H:$H,E186)/SUMIFS('TRA RESID'!$P:$P,'TRA RESID'!$I:$I,G186)*O186</f>
        <v>-2.9579836411489577E-2</v>
      </c>
      <c r="L186" s="18"/>
      <c r="M186" s="18"/>
      <c r="O186" s="21">
        <v>0.8</v>
      </c>
      <c r="S186" s="15" t="str">
        <f>IF(S185="*",S185,"")</f>
        <v>*</v>
      </c>
      <c r="T186" s="17" t="str">
        <f t="shared" ref="T186:W189" si="145">T185</f>
        <v>*BEV*</v>
      </c>
      <c r="U186" s="17" t="str">
        <f t="shared" si="145"/>
        <v>TRAGSL</v>
      </c>
      <c r="V186" s="17" t="str">
        <f t="shared" si="145"/>
        <v>TRAFRERFTDMD</v>
      </c>
      <c r="W186" s="17" t="str">
        <f t="shared" si="145"/>
        <v>TRAFRERFTDMD</v>
      </c>
      <c r="X186" s="18">
        <v>2025</v>
      </c>
      <c r="Y186" s="18" t="str">
        <f>Y185</f>
        <v>LO</v>
      </c>
      <c r="Z186" s="18"/>
      <c r="AA186" s="20">
        <f>-SUMIFS('TRA RESID'!$P:$P,'TRA RESID'!$I:$I,W186,'TRA RESID'!$J:$J,T186,'TRA RESID'!$H:$H,U186)/SUMIFS('TRA RESID'!$P:$P,'TRA RESID'!$I:$I,W186)*AE186</f>
        <v>0</v>
      </c>
      <c r="AB186" s="18"/>
      <c r="AC186" s="18"/>
      <c r="AE186" s="21">
        <v>1</v>
      </c>
      <c r="AG186" s="15" t="str">
        <f>IF(AG185="*",AG185,"")</f>
        <v>*</v>
      </c>
      <c r="AH186" s="17" t="str">
        <f t="shared" ref="AH186:AK189" si="146">AH185</f>
        <v>*HEV*</v>
      </c>
      <c r="AI186" s="17" t="str">
        <f t="shared" si="146"/>
        <v>TRAGSL</v>
      </c>
      <c r="AJ186" s="17" t="str">
        <f t="shared" si="146"/>
        <v>TRAFRERFTDMD</v>
      </c>
      <c r="AK186" s="17" t="str">
        <f t="shared" si="146"/>
        <v>TRAFRERFTDMD</v>
      </c>
      <c r="AL186" s="18">
        <v>2025</v>
      </c>
      <c r="AM186" s="18" t="str">
        <f>AM185</f>
        <v>LO</v>
      </c>
      <c r="AN186" s="18"/>
      <c r="AO186" s="20">
        <f>-SUMIFS('TRA RESID'!$P:$P,'TRA RESID'!$I:$I,AK186,'TRA RESID'!$J:$J,AH186,'TRA RESID'!$H:$H,AI186)/SUMIFS('TRA RESID'!$P:$P,'TRA RESID'!$I:$I,AK186)*AS186</f>
        <v>0</v>
      </c>
      <c r="AP186" s="18"/>
      <c r="AQ186" s="18"/>
      <c r="AS186" s="21">
        <v>0.8</v>
      </c>
      <c r="AU186" s="15" t="str">
        <f>IF(AU185="*",AU185,"")</f>
        <v>*</v>
      </c>
      <c r="AV186" s="17" t="str">
        <f t="shared" ref="AV186:AY189" si="147">AV185</f>
        <v>*FCEV*</v>
      </c>
      <c r="AW186" s="17" t="str">
        <f t="shared" si="147"/>
        <v>TRAGSL</v>
      </c>
      <c r="AX186" s="17" t="str">
        <f t="shared" si="147"/>
        <v>TRAFRERFTDMD</v>
      </c>
      <c r="AY186" s="17" t="str">
        <f t="shared" si="147"/>
        <v>TRAFRERFTDMD</v>
      </c>
      <c r="AZ186" s="18">
        <v>2025</v>
      </c>
      <c r="BA186" s="18" t="str">
        <f>BA185</f>
        <v>LO</v>
      </c>
      <c r="BB186" s="18"/>
      <c r="BC186" s="20">
        <f>-SUMIFS('TRA RESID'!$P:$P,'TRA RESID'!$I:$I,AY186,'TRA RESID'!$J:$J,AV186,'TRA RESID'!$H:$H,AW186)/SUMIFS('TRA RESID'!$P:$P,'TRA RESID'!$I:$I,AY186)*BG186</f>
        <v>0</v>
      </c>
      <c r="BD186" s="18"/>
      <c r="BE186" s="18"/>
      <c r="BG186" s="21">
        <v>0.8</v>
      </c>
    </row>
    <row r="187" spans="1:59" x14ac:dyDescent="0.25">
      <c r="C187" s="15" t="str">
        <f>IF(C186="*",C186,"")</f>
        <v>*</v>
      </c>
      <c r="D187" s="17" t="str">
        <f t="shared" si="144"/>
        <v>*ICEV*</v>
      </c>
      <c r="E187" s="17" t="str">
        <f t="shared" si="144"/>
        <v>TRAGSL</v>
      </c>
      <c r="F187" s="17" t="str">
        <f t="shared" si="144"/>
        <v>TRAFRERFTDMD</v>
      </c>
      <c r="G187" s="17" t="str">
        <f t="shared" si="144"/>
        <v>TRAFRERFTDMD</v>
      </c>
      <c r="H187" s="18">
        <v>2030</v>
      </c>
      <c r="I187" s="18" t="str">
        <f>I186</f>
        <v>LO</v>
      </c>
      <c r="J187" s="18"/>
      <c r="K187" s="20">
        <f>-SUMIFS('TRA RESID'!$P:$P,'TRA RESID'!$I:$I,G187,'TRA RESID'!$J:$J,D187,'TRA RESID'!$H:$H,E187)/SUMIFS('TRA RESID'!$P:$P,'TRA RESID'!$I:$I,G187)*O187</f>
        <v>-1.8487397757180984E-2</v>
      </c>
      <c r="L187" s="18"/>
      <c r="M187" s="18"/>
      <c r="O187" s="21">
        <v>0.5</v>
      </c>
      <c r="S187" s="15" t="str">
        <f>IF(S186="*",S186,"")</f>
        <v>*</v>
      </c>
      <c r="T187" s="17" t="str">
        <f t="shared" si="145"/>
        <v>*BEV*</v>
      </c>
      <c r="U187" s="17" t="str">
        <f t="shared" si="145"/>
        <v>TRAGSL</v>
      </c>
      <c r="V187" s="17" t="str">
        <f t="shared" si="145"/>
        <v>TRAFRERFTDMD</v>
      </c>
      <c r="W187" s="17" t="str">
        <f t="shared" si="145"/>
        <v>TRAFRERFTDMD</v>
      </c>
      <c r="X187" s="18">
        <v>2030</v>
      </c>
      <c r="Y187" s="18" t="str">
        <f>Y186</f>
        <v>LO</v>
      </c>
      <c r="Z187" s="18"/>
      <c r="AA187" s="20">
        <f>-SUMIFS('TRA RESID'!$P:$P,'TRA RESID'!$I:$I,W187,'TRA RESID'!$J:$J,T187,'TRA RESID'!$H:$H,U187)/SUMIFS('TRA RESID'!$P:$P,'TRA RESID'!$I:$I,W187)*AE187</f>
        <v>0</v>
      </c>
      <c r="AB187" s="18"/>
      <c r="AC187" s="18"/>
      <c r="AE187" s="21">
        <v>1</v>
      </c>
      <c r="AG187" s="15" t="str">
        <f>IF(AG186="*",AG186,"")</f>
        <v>*</v>
      </c>
      <c r="AH187" s="17" t="str">
        <f t="shared" si="146"/>
        <v>*HEV*</v>
      </c>
      <c r="AI187" s="17" t="str">
        <f t="shared" si="146"/>
        <v>TRAGSL</v>
      </c>
      <c r="AJ187" s="17" t="str">
        <f t="shared" si="146"/>
        <v>TRAFRERFTDMD</v>
      </c>
      <c r="AK187" s="17" t="str">
        <f t="shared" si="146"/>
        <v>TRAFRERFTDMD</v>
      </c>
      <c r="AL187" s="18">
        <v>2030</v>
      </c>
      <c r="AM187" s="18" t="str">
        <f>AM186</f>
        <v>LO</v>
      </c>
      <c r="AN187" s="18"/>
      <c r="AO187" s="20">
        <f>-SUMIFS('TRA RESID'!$P:$P,'TRA RESID'!$I:$I,AK187,'TRA RESID'!$J:$J,AH187,'TRA RESID'!$H:$H,AI187)/SUMIFS('TRA RESID'!$P:$P,'TRA RESID'!$I:$I,AK187)*AS187</f>
        <v>0</v>
      </c>
      <c r="AP187" s="18"/>
      <c r="AQ187" s="18"/>
      <c r="AS187" s="21">
        <v>0.5</v>
      </c>
      <c r="AU187" s="15" t="str">
        <f>IF(AU186="*",AU186,"")</f>
        <v>*</v>
      </c>
      <c r="AV187" s="17" t="str">
        <f t="shared" si="147"/>
        <v>*FCEV*</v>
      </c>
      <c r="AW187" s="17" t="str">
        <f t="shared" si="147"/>
        <v>TRAGSL</v>
      </c>
      <c r="AX187" s="17" t="str">
        <f t="shared" si="147"/>
        <v>TRAFRERFTDMD</v>
      </c>
      <c r="AY187" s="17" t="str">
        <f t="shared" si="147"/>
        <v>TRAFRERFTDMD</v>
      </c>
      <c r="AZ187" s="18">
        <v>2030</v>
      </c>
      <c r="BA187" s="18" t="str">
        <f>BA186</f>
        <v>LO</v>
      </c>
      <c r="BB187" s="18"/>
      <c r="BC187" s="20">
        <f>-SUMIFS('TRA RESID'!$P:$P,'TRA RESID'!$I:$I,AY187,'TRA RESID'!$J:$J,AV187,'TRA RESID'!$H:$H,AW187)/SUMIFS('TRA RESID'!$P:$P,'TRA RESID'!$I:$I,AY187)*BG187</f>
        <v>0</v>
      </c>
      <c r="BD187" s="18"/>
      <c r="BE187" s="18"/>
      <c r="BG187" s="21">
        <v>0.5</v>
      </c>
    </row>
    <row r="188" spans="1:59" x14ac:dyDescent="0.25">
      <c r="C188" s="15" t="str">
        <f>IF(C187="*",C187,"")</f>
        <v>*</v>
      </c>
      <c r="D188" s="17" t="str">
        <f t="shared" si="144"/>
        <v>*ICEV*</v>
      </c>
      <c r="E188" s="17" t="str">
        <f t="shared" si="144"/>
        <v>TRAGSL</v>
      </c>
      <c r="F188" s="17" t="str">
        <f t="shared" si="144"/>
        <v>TRAFRERFTDMD</v>
      </c>
      <c r="G188" s="17" t="str">
        <f t="shared" si="144"/>
        <v>TRAFRERFTDMD</v>
      </c>
      <c r="H188" s="18">
        <v>2040</v>
      </c>
      <c r="I188" s="18" t="str">
        <f>I187</f>
        <v>LO</v>
      </c>
      <c r="J188" s="18"/>
      <c r="K188" s="20">
        <f>-SUMIFS('TRA RESID'!$P:$P,'TRA RESID'!$I:$I,G188,'TRA RESID'!$J:$J,D188,'TRA RESID'!$H:$H,E188)/SUMIFS('TRA RESID'!$P:$P,'TRA RESID'!$I:$I,G188)*O188</f>
        <v>0</v>
      </c>
      <c r="L188" s="18"/>
      <c r="M188" s="18"/>
      <c r="O188" s="21">
        <v>0</v>
      </c>
      <c r="S188" s="15" t="str">
        <f>IF(S187="*",S187,"")</f>
        <v>*</v>
      </c>
      <c r="T188" s="17" t="str">
        <f t="shared" si="145"/>
        <v>*BEV*</v>
      </c>
      <c r="U188" s="17" t="str">
        <f t="shared" si="145"/>
        <v>TRAGSL</v>
      </c>
      <c r="V188" s="17" t="str">
        <f t="shared" si="145"/>
        <v>TRAFRERFTDMD</v>
      </c>
      <c r="W188" s="17" t="str">
        <f t="shared" si="145"/>
        <v>TRAFRERFTDMD</v>
      </c>
      <c r="X188" s="18">
        <v>2040</v>
      </c>
      <c r="Y188" s="18" t="str">
        <f>Y187</f>
        <v>LO</v>
      </c>
      <c r="Z188" s="18"/>
      <c r="AA188" s="20">
        <f>-SUMIFS('TRA RESID'!$P:$P,'TRA RESID'!$I:$I,W188,'TRA RESID'!$J:$J,T188,'TRA RESID'!$H:$H,U188)/SUMIFS('TRA RESID'!$P:$P,'TRA RESID'!$I:$I,W188)*AE188</f>
        <v>0</v>
      </c>
      <c r="AB188" s="18"/>
      <c r="AC188" s="18"/>
      <c r="AE188" s="21">
        <v>1</v>
      </c>
      <c r="AG188" s="15" t="str">
        <f>IF(AG187="*",AG187,"")</f>
        <v>*</v>
      </c>
      <c r="AH188" s="17" t="str">
        <f t="shared" si="146"/>
        <v>*HEV*</v>
      </c>
      <c r="AI188" s="17" t="str">
        <f t="shared" si="146"/>
        <v>TRAGSL</v>
      </c>
      <c r="AJ188" s="17" t="str">
        <f t="shared" si="146"/>
        <v>TRAFRERFTDMD</v>
      </c>
      <c r="AK188" s="17" t="str">
        <f t="shared" si="146"/>
        <v>TRAFRERFTDMD</v>
      </c>
      <c r="AL188" s="18">
        <v>2040</v>
      </c>
      <c r="AM188" s="18" t="str">
        <f>AM187</f>
        <v>LO</v>
      </c>
      <c r="AN188" s="18"/>
      <c r="AO188" s="20">
        <f>-SUMIFS('TRA RESID'!$P:$P,'TRA RESID'!$I:$I,AK188,'TRA RESID'!$J:$J,AH188,'TRA RESID'!$H:$H,AI188)/SUMIFS('TRA RESID'!$P:$P,'TRA RESID'!$I:$I,AK188)*AS188</f>
        <v>0</v>
      </c>
      <c r="AP188" s="18"/>
      <c r="AQ188" s="18"/>
      <c r="AS188" s="21">
        <v>0</v>
      </c>
      <c r="AU188" s="15" t="str">
        <f>IF(AU187="*",AU187,"")</f>
        <v>*</v>
      </c>
      <c r="AV188" s="17" t="str">
        <f t="shared" si="147"/>
        <v>*FCEV*</v>
      </c>
      <c r="AW188" s="17" t="str">
        <f t="shared" si="147"/>
        <v>TRAGSL</v>
      </c>
      <c r="AX188" s="17" t="str">
        <f t="shared" si="147"/>
        <v>TRAFRERFTDMD</v>
      </c>
      <c r="AY188" s="17" t="str">
        <f t="shared" si="147"/>
        <v>TRAFRERFTDMD</v>
      </c>
      <c r="AZ188" s="18">
        <v>2040</v>
      </c>
      <c r="BA188" s="18" t="str">
        <f>BA187</f>
        <v>LO</v>
      </c>
      <c r="BB188" s="18"/>
      <c r="BC188" s="20">
        <f>-SUMIFS('TRA RESID'!$P:$P,'TRA RESID'!$I:$I,AY188,'TRA RESID'!$J:$J,AV188,'TRA RESID'!$H:$H,AW188)/SUMIFS('TRA RESID'!$P:$P,'TRA RESID'!$I:$I,AY188)*BG188</f>
        <v>0</v>
      </c>
      <c r="BD188" s="18"/>
      <c r="BE188" s="18"/>
      <c r="BG188" s="21">
        <v>0</v>
      </c>
    </row>
    <row r="189" spans="1:59" x14ac:dyDescent="0.25">
      <c r="C189" s="23" t="str">
        <f>IF(C188="*",C188,"")</f>
        <v>*</v>
      </c>
      <c r="D189" s="25" t="str">
        <f t="shared" si="144"/>
        <v>*ICEV*</v>
      </c>
      <c r="E189" s="25" t="str">
        <f t="shared" si="144"/>
        <v>TRAGSL</v>
      </c>
      <c r="F189" s="25" t="str">
        <f t="shared" si="144"/>
        <v>TRAFRERFTDMD</v>
      </c>
      <c r="G189" s="25" t="str">
        <f t="shared" si="144"/>
        <v>TRAFRERFTDMD</v>
      </c>
      <c r="H189" s="26">
        <v>2050</v>
      </c>
      <c r="I189" s="26" t="str">
        <f>I187</f>
        <v>LO</v>
      </c>
      <c r="J189" s="26"/>
      <c r="K189" s="27">
        <f>-SUMIFS('TRA RESID'!$P:$P,'TRA RESID'!$I:$I,G189,'TRA RESID'!$J:$J,D189,'TRA RESID'!$H:$H,E189)/SUMIFS('TRA RESID'!$P:$P,'TRA RESID'!$I:$I,G189)*O189</f>
        <v>0</v>
      </c>
      <c r="L189" s="26"/>
      <c r="M189" s="26"/>
      <c r="O189" s="28">
        <v>0</v>
      </c>
      <c r="S189" s="23" t="str">
        <f>IF(S188="*",S188,"")</f>
        <v>*</v>
      </c>
      <c r="T189" s="25" t="str">
        <f t="shared" si="145"/>
        <v>*BEV*</v>
      </c>
      <c r="U189" s="25" t="str">
        <f t="shared" si="145"/>
        <v>TRAGSL</v>
      </c>
      <c r="V189" s="25" t="str">
        <f t="shared" si="145"/>
        <v>TRAFRERFTDMD</v>
      </c>
      <c r="W189" s="25" t="str">
        <f t="shared" si="145"/>
        <v>TRAFRERFTDMD</v>
      </c>
      <c r="X189" s="26">
        <v>2050</v>
      </c>
      <c r="Y189" s="26" t="str">
        <f>Y187</f>
        <v>LO</v>
      </c>
      <c r="Z189" s="26"/>
      <c r="AA189" s="27">
        <f>-SUMIFS('TRA RESID'!$P:$P,'TRA RESID'!$I:$I,W189,'TRA RESID'!$J:$J,T189,'TRA RESID'!$H:$H,U189)/SUMIFS('TRA RESID'!$P:$P,'TRA RESID'!$I:$I,W189)*AE189</f>
        <v>0</v>
      </c>
      <c r="AB189" s="26"/>
      <c r="AC189" s="26"/>
      <c r="AE189" s="28">
        <v>1</v>
      </c>
      <c r="AG189" s="23" t="str">
        <f>IF(AG188="*",AG188,"")</f>
        <v>*</v>
      </c>
      <c r="AH189" s="25" t="str">
        <f t="shared" si="146"/>
        <v>*HEV*</v>
      </c>
      <c r="AI189" s="25" t="str">
        <f t="shared" si="146"/>
        <v>TRAGSL</v>
      </c>
      <c r="AJ189" s="25" t="str">
        <f t="shared" si="146"/>
        <v>TRAFRERFTDMD</v>
      </c>
      <c r="AK189" s="25" t="str">
        <f t="shared" si="146"/>
        <v>TRAFRERFTDMD</v>
      </c>
      <c r="AL189" s="26">
        <v>2050</v>
      </c>
      <c r="AM189" s="26" t="str">
        <f>AM187</f>
        <v>LO</v>
      </c>
      <c r="AN189" s="26"/>
      <c r="AO189" s="27">
        <f>-SUMIFS('TRA RESID'!$P:$P,'TRA RESID'!$I:$I,AK189,'TRA RESID'!$J:$J,AH189,'TRA RESID'!$H:$H,AI189)/SUMIFS('TRA RESID'!$P:$P,'TRA RESID'!$I:$I,AK189)*AS189</f>
        <v>0</v>
      </c>
      <c r="AP189" s="26"/>
      <c r="AQ189" s="26"/>
      <c r="AS189" s="28">
        <v>0</v>
      </c>
      <c r="AU189" s="23" t="str">
        <f>IF(AU188="*",AU188,"")</f>
        <v>*</v>
      </c>
      <c r="AV189" s="25" t="str">
        <f t="shared" si="147"/>
        <v>*FCEV*</v>
      </c>
      <c r="AW189" s="25" t="str">
        <f t="shared" si="147"/>
        <v>TRAGSL</v>
      </c>
      <c r="AX189" s="25" t="str">
        <f t="shared" si="147"/>
        <v>TRAFRERFTDMD</v>
      </c>
      <c r="AY189" s="25" t="str">
        <f t="shared" si="147"/>
        <v>TRAFRERFTDMD</v>
      </c>
      <c r="AZ189" s="26">
        <v>2050</v>
      </c>
      <c r="BA189" s="26" t="str">
        <f>BA187</f>
        <v>LO</v>
      </c>
      <c r="BB189" s="26"/>
      <c r="BC189" s="27">
        <f>-SUMIFS('TRA RESID'!$P:$P,'TRA RESID'!$I:$I,AY189,'TRA RESID'!$J:$J,AV189,'TRA RESID'!$H:$H,AW189)/SUMIFS('TRA RESID'!$P:$P,'TRA RESID'!$I:$I,AY189)*BG189</f>
        <v>0</v>
      </c>
      <c r="BD189" s="26"/>
      <c r="BE189" s="26"/>
      <c r="BG189" s="28">
        <v>0</v>
      </c>
    </row>
    <row r="190" spans="1:59" x14ac:dyDescent="0.25">
      <c r="A190">
        <f>A185+1</f>
        <v>38</v>
      </c>
      <c r="C190" s="15" t="str">
        <f>IF(E190="","",IF(_xlfn.XLOOKUP($A190,Selected_constraint!$A:$A,Selected_constraint!$D:$D)=1,"*",IF(SUMIFS('TRA TECH'!$M:$M,'TRA TECH'!$H:$H,E190,'TRA TECH'!$I:$I,F190)=0,"*",IF(SUMIFS('TRA RESID'!$P:$P,'TRA RESID'!$I:$I,G190,'TRA RESID'!$J:$J,D190,'TRA RESID'!$H:$H,E190)=0,"*","UC_"&amp;SUBSTITUTE(D190,"*","")&amp;"_"&amp;RIGHT(E190,3)&amp;"_"&amp;F190))))</f>
        <v>*</v>
      </c>
      <c r="D190" s="17" t="s">
        <v>485</v>
      </c>
      <c r="E190" s="17" t="str">
        <f>_xlfn.XLOOKUP($A190,Selected_constraint!$A:$A,Selected_constraint!$B:$B)</f>
        <v>TRAETH</v>
      </c>
      <c r="F190" s="17" t="str">
        <f>_xlfn.XLOOKUP($A190,Selected_constraint!$A:$A,Selected_constraint!$C:$C)</f>
        <v>TRAFRERFTDMD</v>
      </c>
      <c r="G190" s="17" t="str">
        <f>F190</f>
        <v>TRAFRERFTDMD</v>
      </c>
      <c r="H190" s="18">
        <v>2019</v>
      </c>
      <c r="I190" s="18" t="s">
        <v>483</v>
      </c>
      <c r="J190" s="18">
        <v>1</v>
      </c>
      <c r="K190" s="20">
        <f>-SUMIFS('TRA RESID'!$P:$P,'TRA RESID'!$I:$I,G190,'TRA RESID'!$J:$J,D190,'TRA RESID'!$H:$H,E190)/SUMIFS('TRA RESID'!$P:$P,'TRA RESID'!$I:$I,G190)*O190</f>
        <v>0</v>
      </c>
      <c r="L190" s="18">
        <v>0</v>
      </c>
      <c r="M190" s="18">
        <v>5</v>
      </c>
      <c r="O190" s="21">
        <v>0.98</v>
      </c>
      <c r="Q190">
        <f>Q185+1</f>
        <v>38</v>
      </c>
      <c r="S190" s="15" t="str">
        <f>IF(SUMIFS('TRA RESID'!$P:$P,'TRA RESID'!$I:$I,W190,'TRA RESID'!$J:$J,T190,'TRA RESID'!$H:$H,U190)=0,"*","UC_"&amp;SUBSTITUTE(T190,"*","")&amp;"_"&amp;RIGHT(U190,3)&amp;"_"&amp;V190)</f>
        <v>*</v>
      </c>
      <c r="T190" s="17" t="s">
        <v>486</v>
      </c>
      <c r="U190" s="17" t="str">
        <f>_xlfn.XLOOKUP($A190,Selected_constraint!$A:$A,Selected_constraint!$B:$B)</f>
        <v>TRAETH</v>
      </c>
      <c r="V190" s="17" t="str">
        <f>_xlfn.XLOOKUP($A190,Selected_constraint!$A:$A,Selected_constraint!$C:$C)</f>
        <v>TRAFRERFTDMD</v>
      </c>
      <c r="W190" s="17" t="str">
        <f>V190</f>
        <v>TRAFRERFTDMD</v>
      </c>
      <c r="X190" s="18">
        <v>2019</v>
      </c>
      <c r="Y190" s="18" t="s">
        <v>483</v>
      </c>
      <c r="Z190" s="18">
        <v>1</v>
      </c>
      <c r="AA190" s="20">
        <f>-SUMIFS('TRA RESID'!$P:$P,'TRA RESID'!$I:$I,W190,'TRA RESID'!$J:$J,T190,'TRA RESID'!$H:$H,U190)/SUMIFS('TRA RESID'!$P:$P,'TRA RESID'!$I:$I,W190)*AE190</f>
        <v>0</v>
      </c>
      <c r="AB190" s="18">
        <v>0</v>
      </c>
      <c r="AC190" s="18">
        <v>5</v>
      </c>
      <c r="AE190" s="21">
        <v>0.98</v>
      </c>
      <c r="AG190" s="15" t="str">
        <f>IF(SUMIFS('TRA RESID'!$P:$P,'TRA RESID'!$I:$I,AK190,'TRA RESID'!$J:$J,AH190,'TRA RESID'!$H:$H,AI190)=0,"*","UC_"&amp;SUBSTITUTE(AH190,"*","")&amp;"_"&amp;RIGHT(AI190,3)&amp;"_"&amp;AJ190)</f>
        <v>*</v>
      </c>
      <c r="AH190" s="17" t="s">
        <v>487</v>
      </c>
      <c r="AI190" s="17" t="str">
        <f>_xlfn.XLOOKUP($A190,Selected_constraint!$A:$A,Selected_constraint!$B:$B)</f>
        <v>TRAETH</v>
      </c>
      <c r="AJ190" s="17" t="str">
        <f>_xlfn.XLOOKUP($A190,Selected_constraint!$A:$A,Selected_constraint!$C:$C)</f>
        <v>TRAFRERFTDMD</v>
      </c>
      <c r="AK190" s="17" t="str">
        <f>AJ190</f>
        <v>TRAFRERFTDMD</v>
      </c>
      <c r="AL190" s="18">
        <v>2019</v>
      </c>
      <c r="AM190" s="18" t="s">
        <v>483</v>
      </c>
      <c r="AN190" s="18">
        <v>1</v>
      </c>
      <c r="AO190" s="20">
        <f>-SUMIFS('TRA RESID'!$P:$P,'TRA RESID'!$I:$I,AK190,'TRA RESID'!$J:$J,AH190,'TRA RESID'!$H:$H,AI190)/SUMIFS('TRA RESID'!$P:$P,'TRA RESID'!$I:$I,AK190)*AS190</f>
        <v>0</v>
      </c>
      <c r="AP190" s="18">
        <v>0</v>
      </c>
      <c r="AQ190" s="18">
        <v>5</v>
      </c>
      <c r="AS190" s="21">
        <v>0.98</v>
      </c>
      <c r="AU190" s="15" t="str">
        <f>IF(SUMIFS('TRA RESID'!$P:$P,'TRA RESID'!$I:$I,AY190,'TRA RESID'!$J:$J,AV190,'TRA RESID'!$H:$H,AW190)=0,"*","UC_"&amp;SUBSTITUTE(AV190,"*","")&amp;"_"&amp;RIGHT(AW190,3)&amp;"_"&amp;AX190)</f>
        <v>*</v>
      </c>
      <c r="AV190" s="17" t="s">
        <v>488</v>
      </c>
      <c r="AW190" s="17" t="str">
        <f>_xlfn.XLOOKUP($A190,Selected_constraint!$A:$A,Selected_constraint!$B:$B)</f>
        <v>TRAETH</v>
      </c>
      <c r="AX190" s="17" t="str">
        <f>_xlfn.XLOOKUP($A190,Selected_constraint!$A:$A,Selected_constraint!$C:$C)</f>
        <v>TRAFRERFTDMD</v>
      </c>
      <c r="AY190" s="17" t="str">
        <f>AX190</f>
        <v>TRAFRERFTDMD</v>
      </c>
      <c r="AZ190" s="18">
        <v>2019</v>
      </c>
      <c r="BA190" s="18" t="s">
        <v>483</v>
      </c>
      <c r="BB190" s="18">
        <v>1</v>
      </c>
      <c r="BC190" s="20">
        <f>-SUMIFS('TRA RESID'!$P:$P,'TRA RESID'!$I:$I,AY190,'TRA RESID'!$J:$J,AV190,'TRA RESID'!$H:$H,AW190)/SUMIFS('TRA RESID'!$P:$P,'TRA RESID'!$I:$I,AY190)*BG190</f>
        <v>0</v>
      </c>
      <c r="BD190" s="18">
        <v>0</v>
      </c>
      <c r="BE190" s="18">
        <v>5</v>
      </c>
      <c r="BG190" s="21">
        <v>0.98</v>
      </c>
    </row>
    <row r="191" spans="1:59" x14ac:dyDescent="0.25">
      <c r="C191" s="15" t="str">
        <f>IF(C190="*",C190,"")</f>
        <v>*</v>
      </c>
      <c r="D191" s="17" t="str">
        <f t="shared" ref="D191:G194" si="148">D190</f>
        <v>*ICEV*</v>
      </c>
      <c r="E191" s="17" t="str">
        <f t="shared" si="148"/>
        <v>TRAETH</v>
      </c>
      <c r="F191" s="17" t="str">
        <f t="shared" si="148"/>
        <v>TRAFRERFTDMD</v>
      </c>
      <c r="G191" s="17" t="str">
        <f t="shared" si="148"/>
        <v>TRAFRERFTDMD</v>
      </c>
      <c r="H191" s="18">
        <v>2025</v>
      </c>
      <c r="I191" s="18" t="str">
        <f>I190</f>
        <v>LO</v>
      </c>
      <c r="J191" s="18"/>
      <c r="K191" s="20">
        <f>-SUMIFS('TRA RESID'!$P:$P,'TRA RESID'!$I:$I,G191,'TRA RESID'!$J:$J,D191,'TRA RESID'!$H:$H,E191)/SUMIFS('TRA RESID'!$P:$P,'TRA RESID'!$I:$I,G191)*O191</f>
        <v>0</v>
      </c>
      <c r="L191" s="18"/>
      <c r="M191" s="18"/>
      <c r="O191" s="21">
        <v>0.8</v>
      </c>
      <c r="S191" s="15" t="str">
        <f>IF(S190="*",S190,"")</f>
        <v>*</v>
      </c>
      <c r="T191" s="17" t="str">
        <f t="shared" ref="T191:W194" si="149">T190</f>
        <v>*BEV*</v>
      </c>
      <c r="U191" s="17" t="str">
        <f t="shared" si="149"/>
        <v>TRAETH</v>
      </c>
      <c r="V191" s="17" t="str">
        <f t="shared" si="149"/>
        <v>TRAFRERFTDMD</v>
      </c>
      <c r="W191" s="17" t="str">
        <f t="shared" si="149"/>
        <v>TRAFRERFTDMD</v>
      </c>
      <c r="X191" s="18">
        <v>2025</v>
      </c>
      <c r="Y191" s="18" t="str">
        <f>Y190</f>
        <v>LO</v>
      </c>
      <c r="Z191" s="18"/>
      <c r="AA191" s="20">
        <f>-SUMIFS('TRA RESID'!$P:$P,'TRA RESID'!$I:$I,W191,'TRA RESID'!$J:$J,T191,'TRA RESID'!$H:$H,U191)/SUMIFS('TRA RESID'!$P:$P,'TRA RESID'!$I:$I,W191)*AE191</f>
        <v>0</v>
      </c>
      <c r="AB191" s="18"/>
      <c r="AC191" s="18"/>
      <c r="AE191" s="21">
        <v>1</v>
      </c>
      <c r="AG191" s="15" t="str">
        <f>IF(AG190="*",AG190,"")</f>
        <v>*</v>
      </c>
      <c r="AH191" s="17" t="str">
        <f t="shared" ref="AH191:AK194" si="150">AH190</f>
        <v>*HEV*</v>
      </c>
      <c r="AI191" s="17" t="str">
        <f t="shared" si="150"/>
        <v>TRAETH</v>
      </c>
      <c r="AJ191" s="17" t="str">
        <f t="shared" si="150"/>
        <v>TRAFRERFTDMD</v>
      </c>
      <c r="AK191" s="17" t="str">
        <f t="shared" si="150"/>
        <v>TRAFRERFTDMD</v>
      </c>
      <c r="AL191" s="18">
        <v>2025</v>
      </c>
      <c r="AM191" s="18" t="str">
        <f>AM190</f>
        <v>LO</v>
      </c>
      <c r="AN191" s="18"/>
      <c r="AO191" s="20">
        <f>-SUMIFS('TRA RESID'!$P:$P,'TRA RESID'!$I:$I,AK191,'TRA RESID'!$J:$J,AH191,'TRA RESID'!$H:$H,AI191)/SUMIFS('TRA RESID'!$P:$P,'TRA RESID'!$I:$I,AK191)*AS191</f>
        <v>0</v>
      </c>
      <c r="AP191" s="18"/>
      <c r="AQ191" s="18"/>
      <c r="AS191" s="21">
        <v>0.8</v>
      </c>
      <c r="AU191" s="15" t="str">
        <f>IF(AU190="*",AU190,"")</f>
        <v>*</v>
      </c>
      <c r="AV191" s="17" t="str">
        <f t="shared" ref="AV191:AY194" si="151">AV190</f>
        <v>*FCEV*</v>
      </c>
      <c r="AW191" s="17" t="str">
        <f t="shared" si="151"/>
        <v>TRAETH</v>
      </c>
      <c r="AX191" s="17" t="str">
        <f t="shared" si="151"/>
        <v>TRAFRERFTDMD</v>
      </c>
      <c r="AY191" s="17" t="str">
        <f t="shared" si="151"/>
        <v>TRAFRERFTDMD</v>
      </c>
      <c r="AZ191" s="18">
        <v>2025</v>
      </c>
      <c r="BA191" s="18" t="str">
        <f>BA190</f>
        <v>LO</v>
      </c>
      <c r="BB191" s="18"/>
      <c r="BC191" s="20">
        <f>-SUMIFS('TRA RESID'!$P:$P,'TRA RESID'!$I:$I,AY191,'TRA RESID'!$J:$J,AV191,'TRA RESID'!$H:$H,AW191)/SUMIFS('TRA RESID'!$P:$P,'TRA RESID'!$I:$I,AY191)*BG191</f>
        <v>0</v>
      </c>
      <c r="BD191" s="18"/>
      <c r="BE191" s="18"/>
      <c r="BG191" s="21">
        <v>0.8</v>
      </c>
    </row>
    <row r="192" spans="1:59" x14ac:dyDescent="0.25">
      <c r="C192" s="15" t="str">
        <f>IF(C191="*",C191,"")</f>
        <v>*</v>
      </c>
      <c r="D192" s="17" t="str">
        <f t="shared" si="148"/>
        <v>*ICEV*</v>
      </c>
      <c r="E192" s="17" t="str">
        <f t="shared" si="148"/>
        <v>TRAETH</v>
      </c>
      <c r="F192" s="17" t="str">
        <f t="shared" si="148"/>
        <v>TRAFRERFTDMD</v>
      </c>
      <c r="G192" s="17" t="str">
        <f t="shared" si="148"/>
        <v>TRAFRERFTDMD</v>
      </c>
      <c r="H192" s="18">
        <v>2030</v>
      </c>
      <c r="I192" s="18" t="str">
        <f>I191</f>
        <v>LO</v>
      </c>
      <c r="J192" s="18"/>
      <c r="K192" s="20">
        <f>-SUMIFS('TRA RESID'!$P:$P,'TRA RESID'!$I:$I,G192,'TRA RESID'!$J:$J,D192,'TRA RESID'!$H:$H,E192)/SUMIFS('TRA RESID'!$P:$P,'TRA RESID'!$I:$I,G192)*O192</f>
        <v>0</v>
      </c>
      <c r="L192" s="18"/>
      <c r="M192" s="18"/>
      <c r="O192" s="21">
        <v>0.5</v>
      </c>
      <c r="S192" s="15" t="str">
        <f>IF(S191="*",S191,"")</f>
        <v>*</v>
      </c>
      <c r="T192" s="17" t="str">
        <f t="shared" si="149"/>
        <v>*BEV*</v>
      </c>
      <c r="U192" s="17" t="str">
        <f t="shared" si="149"/>
        <v>TRAETH</v>
      </c>
      <c r="V192" s="17" t="str">
        <f t="shared" si="149"/>
        <v>TRAFRERFTDMD</v>
      </c>
      <c r="W192" s="17" t="str">
        <f t="shared" si="149"/>
        <v>TRAFRERFTDMD</v>
      </c>
      <c r="X192" s="18">
        <v>2030</v>
      </c>
      <c r="Y192" s="18" t="str">
        <f>Y191</f>
        <v>LO</v>
      </c>
      <c r="Z192" s="18"/>
      <c r="AA192" s="20">
        <f>-SUMIFS('TRA RESID'!$P:$P,'TRA RESID'!$I:$I,W192,'TRA RESID'!$J:$J,T192,'TRA RESID'!$H:$H,U192)/SUMIFS('TRA RESID'!$P:$P,'TRA RESID'!$I:$I,W192)*AE192</f>
        <v>0</v>
      </c>
      <c r="AB192" s="18"/>
      <c r="AC192" s="18"/>
      <c r="AE192" s="21">
        <v>1</v>
      </c>
      <c r="AG192" s="15" t="str">
        <f>IF(AG191="*",AG191,"")</f>
        <v>*</v>
      </c>
      <c r="AH192" s="17" t="str">
        <f t="shared" si="150"/>
        <v>*HEV*</v>
      </c>
      <c r="AI192" s="17" t="str">
        <f t="shared" si="150"/>
        <v>TRAETH</v>
      </c>
      <c r="AJ192" s="17" t="str">
        <f t="shared" si="150"/>
        <v>TRAFRERFTDMD</v>
      </c>
      <c r="AK192" s="17" t="str">
        <f t="shared" si="150"/>
        <v>TRAFRERFTDMD</v>
      </c>
      <c r="AL192" s="18">
        <v>2030</v>
      </c>
      <c r="AM192" s="18" t="str">
        <f>AM191</f>
        <v>LO</v>
      </c>
      <c r="AN192" s="18"/>
      <c r="AO192" s="20">
        <f>-SUMIFS('TRA RESID'!$P:$P,'TRA RESID'!$I:$I,AK192,'TRA RESID'!$J:$J,AH192,'TRA RESID'!$H:$H,AI192)/SUMIFS('TRA RESID'!$P:$P,'TRA RESID'!$I:$I,AK192)*AS192</f>
        <v>0</v>
      </c>
      <c r="AP192" s="18"/>
      <c r="AQ192" s="18"/>
      <c r="AS192" s="21">
        <v>0.5</v>
      </c>
      <c r="AU192" s="15" t="str">
        <f>IF(AU191="*",AU191,"")</f>
        <v>*</v>
      </c>
      <c r="AV192" s="17" t="str">
        <f t="shared" si="151"/>
        <v>*FCEV*</v>
      </c>
      <c r="AW192" s="17" t="str">
        <f t="shared" si="151"/>
        <v>TRAETH</v>
      </c>
      <c r="AX192" s="17" t="str">
        <f t="shared" si="151"/>
        <v>TRAFRERFTDMD</v>
      </c>
      <c r="AY192" s="17" t="str">
        <f t="shared" si="151"/>
        <v>TRAFRERFTDMD</v>
      </c>
      <c r="AZ192" s="18">
        <v>2030</v>
      </c>
      <c r="BA192" s="18" t="str">
        <f>BA191</f>
        <v>LO</v>
      </c>
      <c r="BB192" s="18"/>
      <c r="BC192" s="20">
        <f>-SUMIFS('TRA RESID'!$P:$P,'TRA RESID'!$I:$I,AY192,'TRA RESID'!$J:$J,AV192,'TRA RESID'!$H:$H,AW192)/SUMIFS('TRA RESID'!$P:$P,'TRA RESID'!$I:$I,AY192)*BG192</f>
        <v>0</v>
      </c>
      <c r="BD192" s="18"/>
      <c r="BE192" s="18"/>
      <c r="BG192" s="21">
        <v>0.5</v>
      </c>
    </row>
    <row r="193" spans="1:59" x14ac:dyDescent="0.25">
      <c r="C193" s="15" t="str">
        <f>IF(C192="*",C192,"")</f>
        <v>*</v>
      </c>
      <c r="D193" s="17" t="str">
        <f t="shared" si="148"/>
        <v>*ICEV*</v>
      </c>
      <c r="E193" s="17" t="str">
        <f t="shared" si="148"/>
        <v>TRAETH</v>
      </c>
      <c r="F193" s="17" t="str">
        <f t="shared" si="148"/>
        <v>TRAFRERFTDMD</v>
      </c>
      <c r="G193" s="17" t="str">
        <f t="shared" si="148"/>
        <v>TRAFRERFTDMD</v>
      </c>
      <c r="H193" s="18">
        <v>2040</v>
      </c>
      <c r="I193" s="18" t="str">
        <f>I192</f>
        <v>LO</v>
      </c>
      <c r="J193" s="18"/>
      <c r="K193" s="20">
        <f>-SUMIFS('TRA RESID'!$P:$P,'TRA RESID'!$I:$I,G193,'TRA RESID'!$J:$J,D193,'TRA RESID'!$H:$H,E193)/SUMIFS('TRA RESID'!$P:$P,'TRA RESID'!$I:$I,G193)*O193</f>
        <v>0</v>
      </c>
      <c r="L193" s="18"/>
      <c r="M193" s="18"/>
      <c r="O193" s="21">
        <v>0</v>
      </c>
      <c r="S193" s="15" t="str">
        <f>IF(S192="*",S192,"")</f>
        <v>*</v>
      </c>
      <c r="T193" s="17" t="str">
        <f t="shared" si="149"/>
        <v>*BEV*</v>
      </c>
      <c r="U193" s="17" t="str">
        <f t="shared" si="149"/>
        <v>TRAETH</v>
      </c>
      <c r="V193" s="17" t="str">
        <f t="shared" si="149"/>
        <v>TRAFRERFTDMD</v>
      </c>
      <c r="W193" s="17" t="str">
        <f t="shared" si="149"/>
        <v>TRAFRERFTDMD</v>
      </c>
      <c r="X193" s="18">
        <v>2040</v>
      </c>
      <c r="Y193" s="18" t="str">
        <f>Y192</f>
        <v>LO</v>
      </c>
      <c r="Z193" s="18"/>
      <c r="AA193" s="20">
        <f>-SUMIFS('TRA RESID'!$P:$P,'TRA RESID'!$I:$I,W193,'TRA RESID'!$J:$J,T193,'TRA RESID'!$H:$H,U193)/SUMIFS('TRA RESID'!$P:$P,'TRA RESID'!$I:$I,W193)*AE193</f>
        <v>0</v>
      </c>
      <c r="AB193" s="18"/>
      <c r="AC193" s="18"/>
      <c r="AE193" s="21">
        <v>1</v>
      </c>
      <c r="AG193" s="15" t="str">
        <f>IF(AG192="*",AG192,"")</f>
        <v>*</v>
      </c>
      <c r="AH193" s="17" t="str">
        <f t="shared" si="150"/>
        <v>*HEV*</v>
      </c>
      <c r="AI193" s="17" t="str">
        <f t="shared" si="150"/>
        <v>TRAETH</v>
      </c>
      <c r="AJ193" s="17" t="str">
        <f t="shared" si="150"/>
        <v>TRAFRERFTDMD</v>
      </c>
      <c r="AK193" s="17" t="str">
        <f t="shared" si="150"/>
        <v>TRAFRERFTDMD</v>
      </c>
      <c r="AL193" s="18">
        <v>2040</v>
      </c>
      <c r="AM193" s="18" t="str">
        <f>AM192</f>
        <v>LO</v>
      </c>
      <c r="AN193" s="18"/>
      <c r="AO193" s="20">
        <f>-SUMIFS('TRA RESID'!$P:$P,'TRA RESID'!$I:$I,AK193,'TRA RESID'!$J:$J,AH193,'TRA RESID'!$H:$H,AI193)/SUMIFS('TRA RESID'!$P:$P,'TRA RESID'!$I:$I,AK193)*AS193</f>
        <v>0</v>
      </c>
      <c r="AP193" s="18"/>
      <c r="AQ193" s="18"/>
      <c r="AS193" s="21">
        <v>0</v>
      </c>
      <c r="AU193" s="15" t="str">
        <f>IF(AU192="*",AU192,"")</f>
        <v>*</v>
      </c>
      <c r="AV193" s="17" t="str">
        <f t="shared" si="151"/>
        <v>*FCEV*</v>
      </c>
      <c r="AW193" s="17" t="str">
        <f t="shared" si="151"/>
        <v>TRAETH</v>
      </c>
      <c r="AX193" s="17" t="str">
        <f t="shared" si="151"/>
        <v>TRAFRERFTDMD</v>
      </c>
      <c r="AY193" s="17" t="str">
        <f t="shared" si="151"/>
        <v>TRAFRERFTDMD</v>
      </c>
      <c r="AZ193" s="18">
        <v>2040</v>
      </c>
      <c r="BA193" s="18" t="str">
        <f>BA192</f>
        <v>LO</v>
      </c>
      <c r="BB193" s="18"/>
      <c r="BC193" s="20">
        <f>-SUMIFS('TRA RESID'!$P:$P,'TRA RESID'!$I:$I,AY193,'TRA RESID'!$J:$J,AV193,'TRA RESID'!$H:$H,AW193)/SUMIFS('TRA RESID'!$P:$P,'TRA RESID'!$I:$I,AY193)*BG193</f>
        <v>0</v>
      </c>
      <c r="BD193" s="18"/>
      <c r="BE193" s="18"/>
      <c r="BG193" s="21">
        <v>0</v>
      </c>
    </row>
    <row r="194" spans="1:59" x14ac:dyDescent="0.25">
      <c r="C194" s="23" t="str">
        <f>IF(C193="*",C193,"")</f>
        <v>*</v>
      </c>
      <c r="D194" s="25" t="str">
        <f t="shared" si="148"/>
        <v>*ICEV*</v>
      </c>
      <c r="E194" s="25" t="str">
        <f t="shared" si="148"/>
        <v>TRAETH</v>
      </c>
      <c r="F194" s="25" t="str">
        <f t="shared" si="148"/>
        <v>TRAFRERFTDMD</v>
      </c>
      <c r="G194" s="25" t="str">
        <f t="shared" si="148"/>
        <v>TRAFRERFTDMD</v>
      </c>
      <c r="H194" s="26">
        <v>2050</v>
      </c>
      <c r="I194" s="26" t="str">
        <f>I192</f>
        <v>LO</v>
      </c>
      <c r="J194" s="26"/>
      <c r="K194" s="27">
        <f>-SUMIFS('TRA RESID'!$P:$P,'TRA RESID'!$I:$I,G194,'TRA RESID'!$J:$J,D194,'TRA RESID'!$H:$H,E194)/SUMIFS('TRA RESID'!$P:$P,'TRA RESID'!$I:$I,G194)*O194</f>
        <v>0</v>
      </c>
      <c r="L194" s="26"/>
      <c r="M194" s="26"/>
      <c r="O194" s="28">
        <v>0</v>
      </c>
      <c r="S194" s="23" t="str">
        <f>IF(S193="*",S193,"")</f>
        <v>*</v>
      </c>
      <c r="T194" s="25" t="str">
        <f t="shared" si="149"/>
        <v>*BEV*</v>
      </c>
      <c r="U194" s="25" t="str">
        <f t="shared" si="149"/>
        <v>TRAETH</v>
      </c>
      <c r="V194" s="25" t="str">
        <f t="shared" si="149"/>
        <v>TRAFRERFTDMD</v>
      </c>
      <c r="W194" s="25" t="str">
        <f t="shared" si="149"/>
        <v>TRAFRERFTDMD</v>
      </c>
      <c r="X194" s="26">
        <v>2050</v>
      </c>
      <c r="Y194" s="26" t="str">
        <f>Y192</f>
        <v>LO</v>
      </c>
      <c r="Z194" s="26"/>
      <c r="AA194" s="27">
        <f>-SUMIFS('TRA RESID'!$P:$P,'TRA RESID'!$I:$I,W194,'TRA RESID'!$J:$J,T194,'TRA RESID'!$H:$H,U194)/SUMIFS('TRA RESID'!$P:$P,'TRA RESID'!$I:$I,W194)*AE194</f>
        <v>0</v>
      </c>
      <c r="AB194" s="26"/>
      <c r="AC194" s="26"/>
      <c r="AE194" s="28">
        <v>1</v>
      </c>
      <c r="AG194" s="23" t="str">
        <f>IF(AG193="*",AG193,"")</f>
        <v>*</v>
      </c>
      <c r="AH194" s="25" t="str">
        <f t="shared" si="150"/>
        <v>*HEV*</v>
      </c>
      <c r="AI194" s="25" t="str">
        <f t="shared" si="150"/>
        <v>TRAETH</v>
      </c>
      <c r="AJ194" s="25" t="str">
        <f t="shared" si="150"/>
        <v>TRAFRERFTDMD</v>
      </c>
      <c r="AK194" s="25" t="str">
        <f t="shared" si="150"/>
        <v>TRAFRERFTDMD</v>
      </c>
      <c r="AL194" s="26">
        <v>2050</v>
      </c>
      <c r="AM194" s="26" t="str">
        <f>AM192</f>
        <v>LO</v>
      </c>
      <c r="AN194" s="26"/>
      <c r="AO194" s="27">
        <f>-SUMIFS('TRA RESID'!$P:$P,'TRA RESID'!$I:$I,AK194,'TRA RESID'!$J:$J,AH194,'TRA RESID'!$H:$H,AI194)/SUMIFS('TRA RESID'!$P:$P,'TRA RESID'!$I:$I,AK194)*AS194</f>
        <v>0</v>
      </c>
      <c r="AP194" s="26"/>
      <c r="AQ194" s="26"/>
      <c r="AS194" s="28">
        <v>0</v>
      </c>
      <c r="AU194" s="23" t="str">
        <f>IF(AU193="*",AU193,"")</f>
        <v>*</v>
      </c>
      <c r="AV194" s="25" t="str">
        <f t="shared" si="151"/>
        <v>*FCEV*</v>
      </c>
      <c r="AW194" s="25" t="str">
        <f t="shared" si="151"/>
        <v>TRAETH</v>
      </c>
      <c r="AX194" s="25" t="str">
        <f t="shared" si="151"/>
        <v>TRAFRERFTDMD</v>
      </c>
      <c r="AY194" s="25" t="str">
        <f t="shared" si="151"/>
        <v>TRAFRERFTDMD</v>
      </c>
      <c r="AZ194" s="26">
        <v>2050</v>
      </c>
      <c r="BA194" s="26" t="str">
        <f>BA192</f>
        <v>LO</v>
      </c>
      <c r="BB194" s="26"/>
      <c r="BC194" s="27">
        <f>-SUMIFS('TRA RESID'!$P:$P,'TRA RESID'!$I:$I,AY194,'TRA RESID'!$J:$J,AV194,'TRA RESID'!$H:$H,AW194)/SUMIFS('TRA RESID'!$P:$P,'TRA RESID'!$I:$I,AY194)*BG194</f>
        <v>0</v>
      </c>
      <c r="BD194" s="26"/>
      <c r="BE194" s="26"/>
      <c r="BG194" s="28">
        <v>0</v>
      </c>
    </row>
    <row r="195" spans="1:59" x14ac:dyDescent="0.25">
      <c r="A195">
        <f>A190+1</f>
        <v>39</v>
      </c>
      <c r="C195" s="15" t="str">
        <f>IF(E195="","",IF(_xlfn.XLOOKUP($A195,Selected_constraint!$A:$A,Selected_constraint!$D:$D)=1,"*",IF(SUMIFS('TRA TECH'!$M:$M,'TRA TECH'!$H:$H,E195,'TRA TECH'!$I:$I,F195)=0,"*",IF(SUMIFS('TRA RESID'!$P:$P,'TRA RESID'!$I:$I,G195,'TRA RESID'!$J:$J,D195,'TRA RESID'!$H:$H,E195)=0,"*","UC_"&amp;SUBSTITUTE(D195,"*","")&amp;"_"&amp;RIGHT(E195,3)&amp;"_"&amp;F195))))</f>
        <v>UC_ICEV_DSL_TRAFRERFTDMD</v>
      </c>
      <c r="D195" s="17" t="s">
        <v>485</v>
      </c>
      <c r="E195" s="17" t="str">
        <f>_xlfn.XLOOKUP($A195,Selected_constraint!$A:$A,Selected_constraint!$B:$B)</f>
        <v>TRADSL</v>
      </c>
      <c r="F195" s="17" t="str">
        <f>_xlfn.XLOOKUP($A195,Selected_constraint!$A:$A,Selected_constraint!$C:$C)</f>
        <v>TRAFRERFTDMD</v>
      </c>
      <c r="G195" s="17" t="str">
        <f>F195</f>
        <v>TRAFRERFTDMD</v>
      </c>
      <c r="H195" s="18">
        <v>2019</v>
      </c>
      <c r="I195" s="18" t="s">
        <v>483</v>
      </c>
      <c r="J195" s="18">
        <v>1</v>
      </c>
      <c r="K195" s="20">
        <f>-SUMIFS('TRA RESID'!$P:$P,'TRA RESID'!$I:$I,G195,'TRA RESID'!$J:$J,D195,'TRA RESID'!$H:$H,E195)/SUMIFS('TRA RESID'!$P:$P,'TRA RESID'!$I:$I,G195)*O195</f>
        <v>-0.93966191059186255</v>
      </c>
      <c r="L195" s="18">
        <v>0</v>
      </c>
      <c r="M195" s="18">
        <v>5</v>
      </c>
      <c r="O195" s="21">
        <v>0.98</v>
      </c>
      <c r="Q195">
        <f>Q190+1</f>
        <v>39</v>
      </c>
      <c r="S195" s="15" t="str">
        <f>IF(SUMIFS('TRA RESID'!$P:$P,'TRA RESID'!$I:$I,W195,'TRA RESID'!$J:$J,T195,'TRA RESID'!$H:$H,U195)=0,"*","UC_"&amp;SUBSTITUTE(T195,"*","")&amp;"_"&amp;RIGHT(U195,3)&amp;"_"&amp;V195)</f>
        <v>*</v>
      </c>
      <c r="T195" s="17" t="s">
        <v>486</v>
      </c>
      <c r="U195" s="17" t="str">
        <f>_xlfn.XLOOKUP($A195,Selected_constraint!$A:$A,Selected_constraint!$B:$B)</f>
        <v>TRADSL</v>
      </c>
      <c r="V195" s="17" t="str">
        <f>_xlfn.XLOOKUP($A195,Selected_constraint!$A:$A,Selected_constraint!$C:$C)</f>
        <v>TRAFRERFTDMD</v>
      </c>
      <c r="W195" s="17" t="str">
        <f>V195</f>
        <v>TRAFRERFTDMD</v>
      </c>
      <c r="X195" s="18">
        <v>2019</v>
      </c>
      <c r="Y195" s="18" t="s">
        <v>483</v>
      </c>
      <c r="Z195" s="18">
        <v>1</v>
      </c>
      <c r="AA195" s="20">
        <f>-SUMIFS('TRA RESID'!$P:$P,'TRA RESID'!$I:$I,W195,'TRA RESID'!$J:$J,T195,'TRA RESID'!$H:$H,U195)/SUMIFS('TRA RESID'!$P:$P,'TRA RESID'!$I:$I,W195)*AE195</f>
        <v>0</v>
      </c>
      <c r="AB195" s="18">
        <v>0</v>
      </c>
      <c r="AC195" s="18">
        <v>5</v>
      </c>
      <c r="AE195" s="21">
        <v>0.98</v>
      </c>
      <c r="AG195" s="15" t="str">
        <f>IF(SUMIFS('TRA RESID'!$P:$P,'TRA RESID'!$I:$I,AK195,'TRA RESID'!$J:$J,AH195,'TRA RESID'!$H:$H,AI195)=0,"*","UC_"&amp;SUBSTITUTE(AH195,"*","")&amp;"_"&amp;RIGHT(AI195,3)&amp;"_"&amp;AJ195)</f>
        <v>*</v>
      </c>
      <c r="AH195" s="17" t="s">
        <v>487</v>
      </c>
      <c r="AI195" s="17" t="str">
        <f>_xlfn.XLOOKUP($A195,Selected_constraint!$A:$A,Selected_constraint!$B:$B)</f>
        <v>TRADSL</v>
      </c>
      <c r="AJ195" s="17" t="str">
        <f>_xlfn.XLOOKUP($A195,Selected_constraint!$A:$A,Selected_constraint!$C:$C)</f>
        <v>TRAFRERFTDMD</v>
      </c>
      <c r="AK195" s="17" t="str">
        <f>AJ195</f>
        <v>TRAFRERFTDMD</v>
      </c>
      <c r="AL195" s="18">
        <v>2019</v>
      </c>
      <c r="AM195" s="18" t="s">
        <v>483</v>
      </c>
      <c r="AN195" s="18">
        <v>1</v>
      </c>
      <c r="AO195" s="20">
        <f>-SUMIFS('TRA RESID'!$P:$P,'TRA RESID'!$I:$I,AK195,'TRA RESID'!$J:$J,AH195,'TRA RESID'!$H:$H,AI195)/SUMIFS('TRA RESID'!$P:$P,'TRA RESID'!$I:$I,AK195)*AS195</f>
        <v>0</v>
      </c>
      <c r="AP195" s="18">
        <v>0</v>
      </c>
      <c r="AQ195" s="18">
        <v>5</v>
      </c>
      <c r="AS195" s="21">
        <v>0.98</v>
      </c>
      <c r="AU195" s="15" t="str">
        <f>IF(SUMIFS('TRA RESID'!$P:$P,'TRA RESID'!$I:$I,AY195,'TRA RESID'!$J:$J,AV195,'TRA RESID'!$H:$H,AW195)=0,"*","UC_"&amp;SUBSTITUTE(AV195,"*","")&amp;"_"&amp;RIGHT(AW195,3)&amp;"_"&amp;AX195)</f>
        <v>*</v>
      </c>
      <c r="AV195" s="17" t="s">
        <v>488</v>
      </c>
      <c r="AW195" s="17" t="str">
        <f>_xlfn.XLOOKUP($A195,Selected_constraint!$A:$A,Selected_constraint!$B:$B)</f>
        <v>TRADSL</v>
      </c>
      <c r="AX195" s="17" t="str">
        <f>_xlfn.XLOOKUP($A195,Selected_constraint!$A:$A,Selected_constraint!$C:$C)</f>
        <v>TRAFRERFTDMD</v>
      </c>
      <c r="AY195" s="17" t="str">
        <f>AX195</f>
        <v>TRAFRERFTDMD</v>
      </c>
      <c r="AZ195" s="18">
        <v>2019</v>
      </c>
      <c r="BA195" s="18" t="s">
        <v>483</v>
      </c>
      <c r="BB195" s="18">
        <v>1</v>
      </c>
      <c r="BC195" s="20">
        <f>-SUMIFS('TRA RESID'!$P:$P,'TRA RESID'!$I:$I,AY195,'TRA RESID'!$J:$J,AV195,'TRA RESID'!$H:$H,AW195)/SUMIFS('TRA RESID'!$P:$P,'TRA RESID'!$I:$I,AY195)*BG195</f>
        <v>0</v>
      </c>
      <c r="BD195" s="18">
        <v>0</v>
      </c>
      <c r="BE195" s="18">
        <v>5</v>
      </c>
      <c r="BG195" s="21">
        <v>0.98</v>
      </c>
    </row>
    <row r="196" spans="1:59" x14ac:dyDescent="0.25">
      <c r="C196" s="15" t="str">
        <f>IF(C195="*",C195,"")</f>
        <v/>
      </c>
      <c r="D196" s="17" t="str">
        <f t="shared" ref="D196:G199" si="152">D195</f>
        <v>*ICEV*</v>
      </c>
      <c r="E196" s="17" t="str">
        <f t="shared" si="152"/>
        <v>TRADSL</v>
      </c>
      <c r="F196" s="17" t="str">
        <f t="shared" si="152"/>
        <v>TRAFRERFTDMD</v>
      </c>
      <c r="G196" s="17" t="str">
        <f t="shared" si="152"/>
        <v>TRAFRERFTDMD</v>
      </c>
      <c r="H196" s="18">
        <v>2025</v>
      </c>
      <c r="I196" s="18" t="str">
        <f>I195</f>
        <v>LO</v>
      </c>
      <c r="J196" s="18"/>
      <c r="K196" s="20">
        <f>-SUMIFS('TRA RESID'!$P:$P,'TRA RESID'!$I:$I,G196,'TRA RESID'!$J:$J,D196,'TRA RESID'!$H:$H,E196)/SUMIFS('TRA RESID'!$P:$P,'TRA RESID'!$I:$I,G196)*O196</f>
        <v>-0.76707094742192872</v>
      </c>
      <c r="L196" s="18"/>
      <c r="M196" s="18"/>
      <c r="O196" s="21">
        <v>0.8</v>
      </c>
      <c r="S196" s="15" t="str">
        <f>IF(S195="*",S195,"")</f>
        <v>*</v>
      </c>
      <c r="T196" s="17" t="str">
        <f t="shared" ref="T196:W199" si="153">T195</f>
        <v>*BEV*</v>
      </c>
      <c r="U196" s="17" t="str">
        <f t="shared" si="153"/>
        <v>TRADSL</v>
      </c>
      <c r="V196" s="17" t="str">
        <f t="shared" si="153"/>
        <v>TRAFRERFTDMD</v>
      </c>
      <c r="W196" s="17" t="str">
        <f t="shared" si="153"/>
        <v>TRAFRERFTDMD</v>
      </c>
      <c r="X196" s="18">
        <v>2025</v>
      </c>
      <c r="Y196" s="18" t="str">
        <f>Y195</f>
        <v>LO</v>
      </c>
      <c r="Z196" s="18"/>
      <c r="AA196" s="20">
        <f>-SUMIFS('TRA RESID'!$P:$P,'TRA RESID'!$I:$I,W196,'TRA RESID'!$J:$J,T196,'TRA RESID'!$H:$H,U196)/SUMIFS('TRA RESID'!$P:$P,'TRA RESID'!$I:$I,W196)*AE196</f>
        <v>0</v>
      </c>
      <c r="AB196" s="18"/>
      <c r="AC196" s="18"/>
      <c r="AE196" s="21">
        <v>1</v>
      </c>
      <c r="AG196" s="15" t="str">
        <f>IF(AG195="*",AG195,"")</f>
        <v>*</v>
      </c>
      <c r="AH196" s="17" t="str">
        <f t="shared" ref="AH196:AK199" si="154">AH195</f>
        <v>*HEV*</v>
      </c>
      <c r="AI196" s="17" t="str">
        <f t="shared" si="154"/>
        <v>TRADSL</v>
      </c>
      <c r="AJ196" s="17" t="str">
        <f t="shared" si="154"/>
        <v>TRAFRERFTDMD</v>
      </c>
      <c r="AK196" s="17" t="str">
        <f t="shared" si="154"/>
        <v>TRAFRERFTDMD</v>
      </c>
      <c r="AL196" s="18">
        <v>2025</v>
      </c>
      <c r="AM196" s="18" t="str">
        <f>AM195</f>
        <v>LO</v>
      </c>
      <c r="AN196" s="18"/>
      <c r="AO196" s="20">
        <f>-SUMIFS('TRA RESID'!$P:$P,'TRA RESID'!$I:$I,AK196,'TRA RESID'!$J:$J,AH196,'TRA RESID'!$H:$H,AI196)/SUMIFS('TRA RESID'!$P:$P,'TRA RESID'!$I:$I,AK196)*AS196</f>
        <v>0</v>
      </c>
      <c r="AP196" s="18"/>
      <c r="AQ196" s="18"/>
      <c r="AS196" s="21">
        <v>0.8</v>
      </c>
      <c r="AU196" s="15" t="str">
        <f>IF(AU195="*",AU195,"")</f>
        <v>*</v>
      </c>
      <c r="AV196" s="17" t="str">
        <f t="shared" ref="AV196:AY199" si="155">AV195</f>
        <v>*FCEV*</v>
      </c>
      <c r="AW196" s="17" t="str">
        <f t="shared" si="155"/>
        <v>TRADSL</v>
      </c>
      <c r="AX196" s="17" t="str">
        <f t="shared" si="155"/>
        <v>TRAFRERFTDMD</v>
      </c>
      <c r="AY196" s="17" t="str">
        <f t="shared" si="155"/>
        <v>TRAFRERFTDMD</v>
      </c>
      <c r="AZ196" s="18">
        <v>2025</v>
      </c>
      <c r="BA196" s="18" t="str">
        <f>BA195</f>
        <v>LO</v>
      </c>
      <c r="BB196" s="18"/>
      <c r="BC196" s="20">
        <f>-SUMIFS('TRA RESID'!$P:$P,'TRA RESID'!$I:$I,AY196,'TRA RESID'!$J:$J,AV196,'TRA RESID'!$H:$H,AW196)/SUMIFS('TRA RESID'!$P:$P,'TRA RESID'!$I:$I,AY196)*BG196</f>
        <v>0</v>
      </c>
      <c r="BD196" s="18"/>
      <c r="BE196" s="18"/>
      <c r="BG196" s="21">
        <v>0.8</v>
      </c>
    </row>
    <row r="197" spans="1:59" x14ac:dyDescent="0.25">
      <c r="C197" s="15" t="str">
        <f>IF(C196="*",C196,"")</f>
        <v/>
      </c>
      <c r="D197" s="17" t="str">
        <f t="shared" si="152"/>
        <v>*ICEV*</v>
      </c>
      <c r="E197" s="17" t="str">
        <f t="shared" si="152"/>
        <v>TRADSL</v>
      </c>
      <c r="F197" s="17" t="str">
        <f t="shared" si="152"/>
        <v>TRAFRERFTDMD</v>
      </c>
      <c r="G197" s="17" t="str">
        <f t="shared" si="152"/>
        <v>TRAFRERFTDMD</v>
      </c>
      <c r="H197" s="18">
        <v>2030</v>
      </c>
      <c r="I197" s="18" t="str">
        <f>I196</f>
        <v>LO</v>
      </c>
      <c r="J197" s="18"/>
      <c r="K197" s="20">
        <f>-SUMIFS('TRA RESID'!$P:$P,'TRA RESID'!$I:$I,G197,'TRA RESID'!$J:$J,D197,'TRA RESID'!$H:$H,E197)/SUMIFS('TRA RESID'!$P:$P,'TRA RESID'!$I:$I,G197)*O197</f>
        <v>-0.47941934213870541</v>
      </c>
      <c r="L197" s="18"/>
      <c r="M197" s="18"/>
      <c r="O197" s="21">
        <v>0.5</v>
      </c>
      <c r="S197" s="15" t="str">
        <f>IF(S196="*",S196,"")</f>
        <v>*</v>
      </c>
      <c r="T197" s="17" t="str">
        <f t="shared" si="153"/>
        <v>*BEV*</v>
      </c>
      <c r="U197" s="17" t="str">
        <f t="shared" si="153"/>
        <v>TRADSL</v>
      </c>
      <c r="V197" s="17" t="str">
        <f t="shared" si="153"/>
        <v>TRAFRERFTDMD</v>
      </c>
      <c r="W197" s="17" t="str">
        <f t="shared" si="153"/>
        <v>TRAFRERFTDMD</v>
      </c>
      <c r="X197" s="18">
        <v>2030</v>
      </c>
      <c r="Y197" s="18" t="str">
        <f>Y196</f>
        <v>LO</v>
      </c>
      <c r="Z197" s="18"/>
      <c r="AA197" s="20">
        <f>-SUMIFS('TRA RESID'!$P:$P,'TRA RESID'!$I:$I,W197,'TRA RESID'!$J:$J,T197,'TRA RESID'!$H:$H,U197)/SUMIFS('TRA RESID'!$P:$P,'TRA RESID'!$I:$I,W197)*AE197</f>
        <v>0</v>
      </c>
      <c r="AB197" s="18"/>
      <c r="AC197" s="18"/>
      <c r="AE197" s="21">
        <v>1</v>
      </c>
      <c r="AG197" s="15" t="str">
        <f>IF(AG196="*",AG196,"")</f>
        <v>*</v>
      </c>
      <c r="AH197" s="17" t="str">
        <f t="shared" si="154"/>
        <v>*HEV*</v>
      </c>
      <c r="AI197" s="17" t="str">
        <f t="shared" si="154"/>
        <v>TRADSL</v>
      </c>
      <c r="AJ197" s="17" t="str">
        <f t="shared" si="154"/>
        <v>TRAFRERFTDMD</v>
      </c>
      <c r="AK197" s="17" t="str">
        <f t="shared" si="154"/>
        <v>TRAFRERFTDMD</v>
      </c>
      <c r="AL197" s="18">
        <v>2030</v>
      </c>
      <c r="AM197" s="18" t="str">
        <f>AM196</f>
        <v>LO</v>
      </c>
      <c r="AN197" s="18"/>
      <c r="AO197" s="20">
        <f>-SUMIFS('TRA RESID'!$P:$P,'TRA RESID'!$I:$I,AK197,'TRA RESID'!$J:$J,AH197,'TRA RESID'!$H:$H,AI197)/SUMIFS('TRA RESID'!$P:$P,'TRA RESID'!$I:$I,AK197)*AS197</f>
        <v>0</v>
      </c>
      <c r="AP197" s="18"/>
      <c r="AQ197" s="18"/>
      <c r="AS197" s="21">
        <v>0.5</v>
      </c>
      <c r="AU197" s="15" t="str">
        <f>IF(AU196="*",AU196,"")</f>
        <v>*</v>
      </c>
      <c r="AV197" s="17" t="str">
        <f t="shared" si="155"/>
        <v>*FCEV*</v>
      </c>
      <c r="AW197" s="17" t="str">
        <f t="shared" si="155"/>
        <v>TRADSL</v>
      </c>
      <c r="AX197" s="17" t="str">
        <f t="shared" si="155"/>
        <v>TRAFRERFTDMD</v>
      </c>
      <c r="AY197" s="17" t="str">
        <f t="shared" si="155"/>
        <v>TRAFRERFTDMD</v>
      </c>
      <c r="AZ197" s="18">
        <v>2030</v>
      </c>
      <c r="BA197" s="18" t="str">
        <f>BA196</f>
        <v>LO</v>
      </c>
      <c r="BB197" s="18"/>
      <c r="BC197" s="20">
        <f>-SUMIFS('TRA RESID'!$P:$P,'TRA RESID'!$I:$I,AY197,'TRA RESID'!$J:$J,AV197,'TRA RESID'!$H:$H,AW197)/SUMIFS('TRA RESID'!$P:$P,'TRA RESID'!$I:$I,AY197)*BG197</f>
        <v>0</v>
      </c>
      <c r="BD197" s="18"/>
      <c r="BE197" s="18"/>
      <c r="BG197" s="21">
        <v>0.5</v>
      </c>
    </row>
    <row r="198" spans="1:59" x14ac:dyDescent="0.25">
      <c r="C198" s="15" t="str">
        <f>IF(C197="*",C197,"")</f>
        <v/>
      </c>
      <c r="D198" s="17" t="str">
        <f t="shared" si="152"/>
        <v>*ICEV*</v>
      </c>
      <c r="E198" s="17" t="str">
        <f t="shared" si="152"/>
        <v>TRADSL</v>
      </c>
      <c r="F198" s="17" t="str">
        <f t="shared" si="152"/>
        <v>TRAFRERFTDMD</v>
      </c>
      <c r="G198" s="17" t="str">
        <f t="shared" si="152"/>
        <v>TRAFRERFTDMD</v>
      </c>
      <c r="H198" s="18">
        <v>2040</v>
      </c>
      <c r="I198" s="18" t="str">
        <f>I197</f>
        <v>LO</v>
      </c>
      <c r="J198" s="18"/>
      <c r="K198" s="20">
        <f>-SUMIFS('TRA RESID'!$P:$P,'TRA RESID'!$I:$I,G198,'TRA RESID'!$J:$J,D198,'TRA RESID'!$H:$H,E198)/SUMIFS('TRA RESID'!$P:$P,'TRA RESID'!$I:$I,G198)*O198</f>
        <v>0</v>
      </c>
      <c r="L198" s="18"/>
      <c r="M198" s="18"/>
      <c r="O198" s="21">
        <v>0</v>
      </c>
      <c r="S198" s="15" t="str">
        <f>IF(S197="*",S197,"")</f>
        <v>*</v>
      </c>
      <c r="T198" s="17" t="str">
        <f t="shared" si="153"/>
        <v>*BEV*</v>
      </c>
      <c r="U198" s="17" t="str">
        <f t="shared" si="153"/>
        <v>TRADSL</v>
      </c>
      <c r="V198" s="17" t="str">
        <f t="shared" si="153"/>
        <v>TRAFRERFTDMD</v>
      </c>
      <c r="W198" s="17" t="str">
        <f t="shared" si="153"/>
        <v>TRAFRERFTDMD</v>
      </c>
      <c r="X198" s="18">
        <v>2040</v>
      </c>
      <c r="Y198" s="18" t="str">
        <f>Y197</f>
        <v>LO</v>
      </c>
      <c r="Z198" s="18"/>
      <c r="AA198" s="20">
        <f>-SUMIFS('TRA RESID'!$P:$P,'TRA RESID'!$I:$I,W198,'TRA RESID'!$J:$J,T198,'TRA RESID'!$H:$H,U198)/SUMIFS('TRA RESID'!$P:$P,'TRA RESID'!$I:$I,W198)*AE198</f>
        <v>0</v>
      </c>
      <c r="AB198" s="18"/>
      <c r="AC198" s="18"/>
      <c r="AE198" s="21">
        <v>1</v>
      </c>
      <c r="AG198" s="15" t="str">
        <f>IF(AG197="*",AG197,"")</f>
        <v>*</v>
      </c>
      <c r="AH198" s="17" t="str">
        <f t="shared" si="154"/>
        <v>*HEV*</v>
      </c>
      <c r="AI198" s="17" t="str">
        <f t="shared" si="154"/>
        <v>TRADSL</v>
      </c>
      <c r="AJ198" s="17" t="str">
        <f t="shared" si="154"/>
        <v>TRAFRERFTDMD</v>
      </c>
      <c r="AK198" s="17" t="str">
        <f t="shared" si="154"/>
        <v>TRAFRERFTDMD</v>
      </c>
      <c r="AL198" s="18">
        <v>2040</v>
      </c>
      <c r="AM198" s="18" t="str">
        <f>AM197</f>
        <v>LO</v>
      </c>
      <c r="AN198" s="18"/>
      <c r="AO198" s="20">
        <f>-SUMIFS('TRA RESID'!$P:$P,'TRA RESID'!$I:$I,AK198,'TRA RESID'!$J:$J,AH198,'TRA RESID'!$H:$H,AI198)/SUMIFS('TRA RESID'!$P:$P,'TRA RESID'!$I:$I,AK198)*AS198</f>
        <v>0</v>
      </c>
      <c r="AP198" s="18"/>
      <c r="AQ198" s="18"/>
      <c r="AS198" s="21">
        <v>0</v>
      </c>
      <c r="AU198" s="15" t="str">
        <f>IF(AU197="*",AU197,"")</f>
        <v>*</v>
      </c>
      <c r="AV198" s="17" t="str">
        <f t="shared" si="155"/>
        <v>*FCEV*</v>
      </c>
      <c r="AW198" s="17" t="str">
        <f t="shared" si="155"/>
        <v>TRADSL</v>
      </c>
      <c r="AX198" s="17" t="str">
        <f t="shared" si="155"/>
        <v>TRAFRERFTDMD</v>
      </c>
      <c r="AY198" s="17" t="str">
        <f t="shared" si="155"/>
        <v>TRAFRERFTDMD</v>
      </c>
      <c r="AZ198" s="18">
        <v>2040</v>
      </c>
      <c r="BA198" s="18" t="str">
        <f>BA197</f>
        <v>LO</v>
      </c>
      <c r="BB198" s="18"/>
      <c r="BC198" s="20">
        <f>-SUMIFS('TRA RESID'!$P:$P,'TRA RESID'!$I:$I,AY198,'TRA RESID'!$J:$J,AV198,'TRA RESID'!$H:$H,AW198)/SUMIFS('TRA RESID'!$P:$P,'TRA RESID'!$I:$I,AY198)*BG198</f>
        <v>0</v>
      </c>
      <c r="BD198" s="18"/>
      <c r="BE198" s="18"/>
      <c r="BG198" s="21">
        <v>0</v>
      </c>
    </row>
    <row r="199" spans="1:59" x14ac:dyDescent="0.25">
      <c r="C199" s="23" t="str">
        <f>IF(C198="*",C198,"")</f>
        <v/>
      </c>
      <c r="D199" s="25" t="str">
        <f t="shared" si="152"/>
        <v>*ICEV*</v>
      </c>
      <c r="E199" s="25" t="str">
        <f t="shared" si="152"/>
        <v>TRADSL</v>
      </c>
      <c r="F199" s="25" t="str">
        <f t="shared" si="152"/>
        <v>TRAFRERFTDMD</v>
      </c>
      <c r="G199" s="25" t="str">
        <f t="shared" si="152"/>
        <v>TRAFRERFTDMD</v>
      </c>
      <c r="H199" s="26">
        <v>2050</v>
      </c>
      <c r="I199" s="26" t="str">
        <f>I197</f>
        <v>LO</v>
      </c>
      <c r="J199" s="26"/>
      <c r="K199" s="27">
        <f>-SUMIFS('TRA RESID'!$P:$P,'TRA RESID'!$I:$I,G199,'TRA RESID'!$J:$J,D199,'TRA RESID'!$H:$H,E199)/SUMIFS('TRA RESID'!$P:$P,'TRA RESID'!$I:$I,G199)*O199</f>
        <v>0</v>
      </c>
      <c r="L199" s="26"/>
      <c r="M199" s="26"/>
      <c r="O199" s="28">
        <v>0</v>
      </c>
      <c r="S199" s="23" t="str">
        <f>IF(S198="*",S198,"")</f>
        <v>*</v>
      </c>
      <c r="T199" s="25" t="str">
        <f t="shared" si="153"/>
        <v>*BEV*</v>
      </c>
      <c r="U199" s="25" t="str">
        <f t="shared" si="153"/>
        <v>TRADSL</v>
      </c>
      <c r="V199" s="25" t="str">
        <f t="shared" si="153"/>
        <v>TRAFRERFTDMD</v>
      </c>
      <c r="W199" s="25" t="str">
        <f t="shared" si="153"/>
        <v>TRAFRERFTDMD</v>
      </c>
      <c r="X199" s="26">
        <v>2050</v>
      </c>
      <c r="Y199" s="26" t="str">
        <f>Y197</f>
        <v>LO</v>
      </c>
      <c r="Z199" s="26"/>
      <c r="AA199" s="27">
        <f>-SUMIFS('TRA RESID'!$P:$P,'TRA RESID'!$I:$I,W199,'TRA RESID'!$J:$J,T199,'TRA RESID'!$H:$H,U199)/SUMIFS('TRA RESID'!$P:$P,'TRA RESID'!$I:$I,W199)*AE199</f>
        <v>0</v>
      </c>
      <c r="AB199" s="26"/>
      <c r="AC199" s="26"/>
      <c r="AE199" s="28">
        <v>1</v>
      </c>
      <c r="AG199" s="23" t="str">
        <f>IF(AG198="*",AG198,"")</f>
        <v>*</v>
      </c>
      <c r="AH199" s="25" t="str">
        <f t="shared" si="154"/>
        <v>*HEV*</v>
      </c>
      <c r="AI199" s="25" t="str">
        <f t="shared" si="154"/>
        <v>TRADSL</v>
      </c>
      <c r="AJ199" s="25" t="str">
        <f t="shared" si="154"/>
        <v>TRAFRERFTDMD</v>
      </c>
      <c r="AK199" s="25" t="str">
        <f t="shared" si="154"/>
        <v>TRAFRERFTDMD</v>
      </c>
      <c r="AL199" s="26">
        <v>2050</v>
      </c>
      <c r="AM199" s="26" t="str">
        <f>AM197</f>
        <v>LO</v>
      </c>
      <c r="AN199" s="26"/>
      <c r="AO199" s="27">
        <f>-SUMIFS('TRA RESID'!$P:$P,'TRA RESID'!$I:$I,AK199,'TRA RESID'!$J:$J,AH199,'TRA RESID'!$H:$H,AI199)/SUMIFS('TRA RESID'!$P:$P,'TRA RESID'!$I:$I,AK199)*AS199</f>
        <v>0</v>
      </c>
      <c r="AP199" s="26"/>
      <c r="AQ199" s="26"/>
      <c r="AS199" s="28">
        <v>0</v>
      </c>
      <c r="AU199" s="23" t="str">
        <f>IF(AU198="*",AU198,"")</f>
        <v>*</v>
      </c>
      <c r="AV199" s="25" t="str">
        <f t="shared" si="155"/>
        <v>*FCEV*</v>
      </c>
      <c r="AW199" s="25" t="str">
        <f t="shared" si="155"/>
        <v>TRADSL</v>
      </c>
      <c r="AX199" s="25" t="str">
        <f t="shared" si="155"/>
        <v>TRAFRERFTDMD</v>
      </c>
      <c r="AY199" s="25" t="str">
        <f t="shared" si="155"/>
        <v>TRAFRERFTDMD</v>
      </c>
      <c r="AZ199" s="26">
        <v>2050</v>
      </c>
      <c r="BA199" s="26" t="str">
        <f>BA197</f>
        <v>LO</v>
      </c>
      <c r="BB199" s="26"/>
      <c r="BC199" s="27">
        <f>-SUMIFS('TRA RESID'!$P:$P,'TRA RESID'!$I:$I,AY199,'TRA RESID'!$J:$J,AV199,'TRA RESID'!$H:$H,AW199)/SUMIFS('TRA RESID'!$P:$P,'TRA RESID'!$I:$I,AY199)*BG199</f>
        <v>0</v>
      </c>
      <c r="BD199" s="26"/>
      <c r="BE199" s="26"/>
      <c r="BG199" s="28">
        <v>0</v>
      </c>
    </row>
    <row r="200" spans="1:59" x14ac:dyDescent="0.25">
      <c r="A200">
        <f>A195+1</f>
        <v>40</v>
      </c>
      <c r="C200" s="15" t="str">
        <f>IF(E200="","",IF(_xlfn.XLOOKUP($A200,Selected_constraint!$A:$A,Selected_constraint!$D:$D)=1,"*",IF(SUMIFS('TRA TECH'!$M:$M,'TRA TECH'!$H:$H,E200,'TRA TECH'!$I:$I,F200)=0,"*",IF(SUMIFS('TRA RESID'!$P:$P,'TRA RESID'!$I:$I,G200,'TRA RESID'!$J:$J,D200,'TRA RESID'!$H:$H,E200)=0,"*","UC_"&amp;SUBSTITUTE(D200,"*","")&amp;"_"&amp;RIGHT(E200,3)&amp;"_"&amp;F200))))</f>
        <v>*</v>
      </c>
      <c r="D200" s="17" t="s">
        <v>485</v>
      </c>
      <c r="E200" s="17" t="str">
        <f>_xlfn.XLOOKUP($A200,Selected_constraint!$A:$A,Selected_constraint!$B:$B)</f>
        <v>TRARDS</v>
      </c>
      <c r="F200" s="17" t="str">
        <f>_xlfn.XLOOKUP($A200,Selected_constraint!$A:$A,Selected_constraint!$C:$C)</f>
        <v>TRAFRERFTDMD</v>
      </c>
      <c r="G200" s="17" t="str">
        <f>F200</f>
        <v>TRAFRERFTDMD</v>
      </c>
      <c r="H200" s="18">
        <v>2019</v>
      </c>
      <c r="I200" s="18" t="s">
        <v>483</v>
      </c>
      <c r="J200" s="18">
        <v>1</v>
      </c>
      <c r="K200" s="20">
        <f>-SUMIFS('TRA RESID'!$P:$P,'TRA RESID'!$I:$I,G200,'TRA RESID'!$J:$J,D200,'TRA RESID'!$H:$H,E200)/SUMIFS('TRA RESID'!$P:$P,'TRA RESID'!$I:$I,G200)*O200</f>
        <v>0</v>
      </c>
      <c r="L200" s="18">
        <v>0</v>
      </c>
      <c r="M200" s="18">
        <v>5</v>
      </c>
      <c r="O200" s="21">
        <v>0.98</v>
      </c>
      <c r="Q200">
        <f>Q195+1</f>
        <v>40</v>
      </c>
      <c r="S200" s="15" t="str">
        <f>IF(SUMIFS('TRA RESID'!$P:$P,'TRA RESID'!$I:$I,W200,'TRA RESID'!$J:$J,T200,'TRA RESID'!$H:$H,U200)=0,"*","UC_"&amp;SUBSTITUTE(T200,"*","")&amp;"_"&amp;RIGHT(U200,3)&amp;"_"&amp;V200)</f>
        <v>*</v>
      </c>
      <c r="T200" s="17" t="s">
        <v>486</v>
      </c>
      <c r="U200" s="17" t="str">
        <f>_xlfn.XLOOKUP($A200,Selected_constraint!$A:$A,Selected_constraint!$B:$B)</f>
        <v>TRARDS</v>
      </c>
      <c r="V200" s="17" t="str">
        <f>_xlfn.XLOOKUP($A200,Selected_constraint!$A:$A,Selected_constraint!$C:$C)</f>
        <v>TRAFRERFTDMD</v>
      </c>
      <c r="W200" s="17" t="str">
        <f>V200</f>
        <v>TRAFRERFTDMD</v>
      </c>
      <c r="X200" s="18">
        <v>2019</v>
      </c>
      <c r="Y200" s="18" t="s">
        <v>483</v>
      </c>
      <c r="Z200" s="18">
        <v>1</v>
      </c>
      <c r="AA200" s="20">
        <f>-SUMIFS('TRA RESID'!$P:$P,'TRA RESID'!$I:$I,W200,'TRA RESID'!$J:$J,T200,'TRA RESID'!$H:$H,U200)/SUMIFS('TRA RESID'!$P:$P,'TRA RESID'!$I:$I,W200)*AE200</f>
        <v>0</v>
      </c>
      <c r="AB200" s="18">
        <v>0</v>
      </c>
      <c r="AC200" s="18">
        <v>5</v>
      </c>
      <c r="AE200" s="21">
        <v>0.98</v>
      </c>
      <c r="AG200" s="15" t="str">
        <f>IF(SUMIFS('TRA RESID'!$P:$P,'TRA RESID'!$I:$I,AK200,'TRA RESID'!$J:$J,AH200,'TRA RESID'!$H:$H,AI200)=0,"*","UC_"&amp;SUBSTITUTE(AH200,"*","")&amp;"_"&amp;RIGHT(AI200,3)&amp;"_"&amp;AJ200)</f>
        <v>*</v>
      </c>
      <c r="AH200" s="17" t="s">
        <v>487</v>
      </c>
      <c r="AI200" s="17" t="str">
        <f>_xlfn.XLOOKUP($A200,Selected_constraint!$A:$A,Selected_constraint!$B:$B)</f>
        <v>TRARDS</v>
      </c>
      <c r="AJ200" s="17" t="str">
        <f>_xlfn.XLOOKUP($A200,Selected_constraint!$A:$A,Selected_constraint!$C:$C)</f>
        <v>TRAFRERFTDMD</v>
      </c>
      <c r="AK200" s="17" t="str">
        <f>AJ200</f>
        <v>TRAFRERFTDMD</v>
      </c>
      <c r="AL200" s="18">
        <v>2019</v>
      </c>
      <c r="AM200" s="18" t="s">
        <v>483</v>
      </c>
      <c r="AN200" s="18">
        <v>1</v>
      </c>
      <c r="AO200" s="20">
        <f>-SUMIFS('TRA RESID'!$P:$P,'TRA RESID'!$I:$I,AK200,'TRA RESID'!$J:$J,AH200,'TRA RESID'!$H:$H,AI200)/SUMIFS('TRA RESID'!$P:$P,'TRA RESID'!$I:$I,AK200)*AS200</f>
        <v>0</v>
      </c>
      <c r="AP200" s="18">
        <v>0</v>
      </c>
      <c r="AQ200" s="18">
        <v>5</v>
      </c>
      <c r="AS200" s="21">
        <v>0.98</v>
      </c>
      <c r="AU200" s="15" t="str">
        <f>IF(SUMIFS('TRA RESID'!$P:$P,'TRA RESID'!$I:$I,AY200,'TRA RESID'!$J:$J,AV200,'TRA RESID'!$H:$H,AW200)=0,"*","UC_"&amp;SUBSTITUTE(AV200,"*","")&amp;"_"&amp;RIGHT(AW200,3)&amp;"_"&amp;AX200)</f>
        <v>*</v>
      </c>
      <c r="AV200" s="17" t="s">
        <v>488</v>
      </c>
      <c r="AW200" s="17" t="str">
        <f>_xlfn.XLOOKUP($A200,Selected_constraint!$A:$A,Selected_constraint!$B:$B)</f>
        <v>TRARDS</v>
      </c>
      <c r="AX200" s="17" t="str">
        <f>_xlfn.XLOOKUP($A200,Selected_constraint!$A:$A,Selected_constraint!$C:$C)</f>
        <v>TRAFRERFTDMD</v>
      </c>
      <c r="AY200" s="17" t="str">
        <f>AX200</f>
        <v>TRAFRERFTDMD</v>
      </c>
      <c r="AZ200" s="18">
        <v>2019</v>
      </c>
      <c r="BA200" s="18" t="s">
        <v>483</v>
      </c>
      <c r="BB200" s="18">
        <v>1</v>
      </c>
      <c r="BC200" s="20">
        <f>-SUMIFS('TRA RESID'!$P:$P,'TRA RESID'!$I:$I,AY200,'TRA RESID'!$J:$J,AV200,'TRA RESID'!$H:$H,AW200)/SUMIFS('TRA RESID'!$P:$P,'TRA RESID'!$I:$I,AY200)*BG200</f>
        <v>0</v>
      </c>
      <c r="BD200" s="18">
        <v>0</v>
      </c>
      <c r="BE200" s="18">
        <v>5</v>
      </c>
      <c r="BG200" s="21">
        <v>0.98</v>
      </c>
    </row>
    <row r="201" spans="1:59" x14ac:dyDescent="0.25">
      <c r="C201" s="15" t="str">
        <f>IF(C200="*",C200,"")</f>
        <v>*</v>
      </c>
      <c r="D201" s="17" t="str">
        <f t="shared" ref="D201:G204" si="156">D200</f>
        <v>*ICEV*</v>
      </c>
      <c r="E201" s="17" t="str">
        <f t="shared" si="156"/>
        <v>TRARDS</v>
      </c>
      <c r="F201" s="17" t="str">
        <f t="shared" si="156"/>
        <v>TRAFRERFTDMD</v>
      </c>
      <c r="G201" s="17" t="str">
        <f t="shared" si="156"/>
        <v>TRAFRERFTDMD</v>
      </c>
      <c r="H201" s="18">
        <v>2025</v>
      </c>
      <c r="I201" s="18" t="str">
        <f>I200</f>
        <v>LO</v>
      </c>
      <c r="J201" s="18"/>
      <c r="K201" s="20">
        <f>-SUMIFS('TRA RESID'!$P:$P,'TRA RESID'!$I:$I,G201,'TRA RESID'!$J:$J,D201,'TRA RESID'!$H:$H,E201)/SUMIFS('TRA RESID'!$P:$P,'TRA RESID'!$I:$I,G201)*O201</f>
        <v>0</v>
      </c>
      <c r="L201" s="18"/>
      <c r="M201" s="18"/>
      <c r="O201" s="21">
        <v>0.8</v>
      </c>
      <c r="S201" s="15" t="str">
        <f>IF(S200="*",S200,"")</f>
        <v>*</v>
      </c>
      <c r="T201" s="17" t="str">
        <f t="shared" ref="T201:W204" si="157">T200</f>
        <v>*BEV*</v>
      </c>
      <c r="U201" s="17" t="str">
        <f t="shared" si="157"/>
        <v>TRARDS</v>
      </c>
      <c r="V201" s="17" t="str">
        <f t="shared" si="157"/>
        <v>TRAFRERFTDMD</v>
      </c>
      <c r="W201" s="17" t="str">
        <f t="shared" si="157"/>
        <v>TRAFRERFTDMD</v>
      </c>
      <c r="X201" s="18">
        <v>2025</v>
      </c>
      <c r="Y201" s="18" t="str">
        <f>Y200</f>
        <v>LO</v>
      </c>
      <c r="Z201" s="18"/>
      <c r="AA201" s="20">
        <f>-SUMIFS('TRA RESID'!$P:$P,'TRA RESID'!$I:$I,W201,'TRA RESID'!$J:$J,T201,'TRA RESID'!$H:$H,U201)/SUMIFS('TRA RESID'!$P:$P,'TRA RESID'!$I:$I,W201)*AE201</f>
        <v>0</v>
      </c>
      <c r="AB201" s="18"/>
      <c r="AC201" s="18"/>
      <c r="AE201" s="21">
        <v>1</v>
      </c>
      <c r="AG201" s="15" t="str">
        <f>IF(AG200="*",AG200,"")</f>
        <v>*</v>
      </c>
      <c r="AH201" s="17" t="str">
        <f t="shared" ref="AH201:AK204" si="158">AH200</f>
        <v>*HEV*</v>
      </c>
      <c r="AI201" s="17" t="str">
        <f t="shared" si="158"/>
        <v>TRARDS</v>
      </c>
      <c r="AJ201" s="17" t="str">
        <f t="shared" si="158"/>
        <v>TRAFRERFTDMD</v>
      </c>
      <c r="AK201" s="17" t="str">
        <f t="shared" si="158"/>
        <v>TRAFRERFTDMD</v>
      </c>
      <c r="AL201" s="18">
        <v>2025</v>
      </c>
      <c r="AM201" s="18" t="str">
        <f>AM200</f>
        <v>LO</v>
      </c>
      <c r="AN201" s="18"/>
      <c r="AO201" s="20">
        <f>-SUMIFS('TRA RESID'!$P:$P,'TRA RESID'!$I:$I,AK201,'TRA RESID'!$J:$J,AH201,'TRA RESID'!$H:$H,AI201)/SUMIFS('TRA RESID'!$P:$P,'TRA RESID'!$I:$I,AK201)*AS201</f>
        <v>0</v>
      </c>
      <c r="AP201" s="18"/>
      <c r="AQ201" s="18"/>
      <c r="AS201" s="21">
        <v>0.8</v>
      </c>
      <c r="AU201" s="15" t="str">
        <f>IF(AU200="*",AU200,"")</f>
        <v>*</v>
      </c>
      <c r="AV201" s="17" t="str">
        <f t="shared" ref="AV201:AY204" si="159">AV200</f>
        <v>*FCEV*</v>
      </c>
      <c r="AW201" s="17" t="str">
        <f t="shared" si="159"/>
        <v>TRARDS</v>
      </c>
      <c r="AX201" s="17" t="str">
        <f t="shared" si="159"/>
        <v>TRAFRERFTDMD</v>
      </c>
      <c r="AY201" s="17" t="str">
        <f t="shared" si="159"/>
        <v>TRAFRERFTDMD</v>
      </c>
      <c r="AZ201" s="18">
        <v>2025</v>
      </c>
      <c r="BA201" s="18" t="str">
        <f>BA200</f>
        <v>LO</v>
      </c>
      <c r="BB201" s="18"/>
      <c r="BC201" s="20">
        <f>-SUMIFS('TRA RESID'!$P:$P,'TRA RESID'!$I:$I,AY201,'TRA RESID'!$J:$J,AV201,'TRA RESID'!$H:$H,AW201)/SUMIFS('TRA RESID'!$P:$P,'TRA RESID'!$I:$I,AY201)*BG201</f>
        <v>0</v>
      </c>
      <c r="BD201" s="18"/>
      <c r="BE201" s="18"/>
      <c r="BG201" s="21">
        <v>0.8</v>
      </c>
    </row>
    <row r="202" spans="1:59" x14ac:dyDescent="0.25">
      <c r="C202" s="15" t="str">
        <f>IF(C201="*",C201,"")</f>
        <v>*</v>
      </c>
      <c r="D202" s="17" t="str">
        <f t="shared" si="156"/>
        <v>*ICEV*</v>
      </c>
      <c r="E202" s="17" t="str">
        <f t="shared" si="156"/>
        <v>TRARDS</v>
      </c>
      <c r="F202" s="17" t="str">
        <f t="shared" si="156"/>
        <v>TRAFRERFTDMD</v>
      </c>
      <c r="G202" s="17" t="str">
        <f t="shared" si="156"/>
        <v>TRAFRERFTDMD</v>
      </c>
      <c r="H202" s="18">
        <v>2030</v>
      </c>
      <c r="I202" s="18" t="str">
        <f>I201</f>
        <v>LO</v>
      </c>
      <c r="J202" s="18"/>
      <c r="K202" s="20">
        <f>-SUMIFS('TRA RESID'!$P:$P,'TRA RESID'!$I:$I,G202,'TRA RESID'!$J:$J,D202,'TRA RESID'!$H:$H,E202)/SUMIFS('TRA RESID'!$P:$P,'TRA RESID'!$I:$I,G202)*O202</f>
        <v>0</v>
      </c>
      <c r="L202" s="18"/>
      <c r="M202" s="18"/>
      <c r="O202" s="21">
        <v>0.5</v>
      </c>
      <c r="S202" s="15" t="str">
        <f>IF(S201="*",S201,"")</f>
        <v>*</v>
      </c>
      <c r="T202" s="17" t="str">
        <f t="shared" si="157"/>
        <v>*BEV*</v>
      </c>
      <c r="U202" s="17" t="str">
        <f t="shared" si="157"/>
        <v>TRARDS</v>
      </c>
      <c r="V202" s="17" t="str">
        <f t="shared" si="157"/>
        <v>TRAFRERFTDMD</v>
      </c>
      <c r="W202" s="17" t="str">
        <f t="shared" si="157"/>
        <v>TRAFRERFTDMD</v>
      </c>
      <c r="X202" s="18">
        <v>2030</v>
      </c>
      <c r="Y202" s="18" t="str">
        <f>Y201</f>
        <v>LO</v>
      </c>
      <c r="Z202" s="18"/>
      <c r="AA202" s="20">
        <f>-SUMIFS('TRA RESID'!$P:$P,'TRA RESID'!$I:$I,W202,'TRA RESID'!$J:$J,T202,'TRA RESID'!$H:$H,U202)/SUMIFS('TRA RESID'!$P:$P,'TRA RESID'!$I:$I,W202)*AE202</f>
        <v>0</v>
      </c>
      <c r="AB202" s="18"/>
      <c r="AC202" s="18"/>
      <c r="AE202" s="21">
        <v>1</v>
      </c>
      <c r="AG202" s="15" t="str">
        <f>IF(AG201="*",AG201,"")</f>
        <v>*</v>
      </c>
      <c r="AH202" s="17" t="str">
        <f t="shared" si="158"/>
        <v>*HEV*</v>
      </c>
      <c r="AI202" s="17" t="str">
        <f t="shared" si="158"/>
        <v>TRARDS</v>
      </c>
      <c r="AJ202" s="17" t="str">
        <f t="shared" si="158"/>
        <v>TRAFRERFTDMD</v>
      </c>
      <c r="AK202" s="17" t="str">
        <f t="shared" si="158"/>
        <v>TRAFRERFTDMD</v>
      </c>
      <c r="AL202" s="18">
        <v>2030</v>
      </c>
      <c r="AM202" s="18" t="str">
        <f>AM201</f>
        <v>LO</v>
      </c>
      <c r="AN202" s="18"/>
      <c r="AO202" s="20">
        <f>-SUMIFS('TRA RESID'!$P:$P,'TRA RESID'!$I:$I,AK202,'TRA RESID'!$J:$J,AH202,'TRA RESID'!$H:$H,AI202)/SUMIFS('TRA RESID'!$P:$P,'TRA RESID'!$I:$I,AK202)*AS202</f>
        <v>0</v>
      </c>
      <c r="AP202" s="18"/>
      <c r="AQ202" s="18"/>
      <c r="AS202" s="21">
        <v>0.5</v>
      </c>
      <c r="AU202" s="15" t="str">
        <f>IF(AU201="*",AU201,"")</f>
        <v>*</v>
      </c>
      <c r="AV202" s="17" t="str">
        <f t="shared" si="159"/>
        <v>*FCEV*</v>
      </c>
      <c r="AW202" s="17" t="str">
        <f t="shared" si="159"/>
        <v>TRARDS</v>
      </c>
      <c r="AX202" s="17" t="str">
        <f t="shared" si="159"/>
        <v>TRAFRERFTDMD</v>
      </c>
      <c r="AY202" s="17" t="str">
        <f t="shared" si="159"/>
        <v>TRAFRERFTDMD</v>
      </c>
      <c r="AZ202" s="18">
        <v>2030</v>
      </c>
      <c r="BA202" s="18" t="str">
        <f>BA201</f>
        <v>LO</v>
      </c>
      <c r="BB202" s="18"/>
      <c r="BC202" s="20">
        <f>-SUMIFS('TRA RESID'!$P:$P,'TRA RESID'!$I:$I,AY202,'TRA RESID'!$J:$J,AV202,'TRA RESID'!$H:$H,AW202)/SUMIFS('TRA RESID'!$P:$P,'TRA RESID'!$I:$I,AY202)*BG202</f>
        <v>0</v>
      </c>
      <c r="BD202" s="18"/>
      <c r="BE202" s="18"/>
      <c r="BG202" s="21">
        <v>0.5</v>
      </c>
    </row>
    <row r="203" spans="1:59" x14ac:dyDescent="0.25">
      <c r="C203" s="15" t="str">
        <f>IF(C202="*",C202,"")</f>
        <v>*</v>
      </c>
      <c r="D203" s="17" t="str">
        <f t="shared" si="156"/>
        <v>*ICEV*</v>
      </c>
      <c r="E203" s="17" t="str">
        <f t="shared" si="156"/>
        <v>TRARDS</v>
      </c>
      <c r="F203" s="17" t="str">
        <f t="shared" si="156"/>
        <v>TRAFRERFTDMD</v>
      </c>
      <c r="G203" s="17" t="str">
        <f t="shared" si="156"/>
        <v>TRAFRERFTDMD</v>
      </c>
      <c r="H203" s="18">
        <v>2040</v>
      </c>
      <c r="I203" s="18" t="str">
        <f>I202</f>
        <v>LO</v>
      </c>
      <c r="J203" s="18"/>
      <c r="K203" s="20">
        <f>-SUMIFS('TRA RESID'!$P:$P,'TRA RESID'!$I:$I,G203,'TRA RESID'!$J:$J,D203,'TRA RESID'!$H:$H,E203)/SUMIFS('TRA RESID'!$P:$P,'TRA RESID'!$I:$I,G203)*O203</f>
        <v>0</v>
      </c>
      <c r="L203" s="18"/>
      <c r="M203" s="18"/>
      <c r="O203" s="21">
        <v>0</v>
      </c>
      <c r="S203" s="15" t="str">
        <f>IF(S202="*",S202,"")</f>
        <v>*</v>
      </c>
      <c r="T203" s="17" t="str">
        <f t="shared" si="157"/>
        <v>*BEV*</v>
      </c>
      <c r="U203" s="17" t="str">
        <f t="shared" si="157"/>
        <v>TRARDS</v>
      </c>
      <c r="V203" s="17" t="str">
        <f t="shared" si="157"/>
        <v>TRAFRERFTDMD</v>
      </c>
      <c r="W203" s="17" t="str">
        <f t="shared" si="157"/>
        <v>TRAFRERFTDMD</v>
      </c>
      <c r="X203" s="18">
        <v>2040</v>
      </c>
      <c r="Y203" s="18" t="str">
        <f>Y202</f>
        <v>LO</v>
      </c>
      <c r="Z203" s="18"/>
      <c r="AA203" s="20">
        <f>-SUMIFS('TRA RESID'!$P:$P,'TRA RESID'!$I:$I,W203,'TRA RESID'!$J:$J,T203,'TRA RESID'!$H:$H,U203)/SUMIFS('TRA RESID'!$P:$P,'TRA RESID'!$I:$I,W203)*AE203</f>
        <v>0</v>
      </c>
      <c r="AB203" s="18"/>
      <c r="AC203" s="18"/>
      <c r="AE203" s="21">
        <v>1</v>
      </c>
      <c r="AG203" s="15" t="str">
        <f>IF(AG202="*",AG202,"")</f>
        <v>*</v>
      </c>
      <c r="AH203" s="17" t="str">
        <f t="shared" si="158"/>
        <v>*HEV*</v>
      </c>
      <c r="AI203" s="17" t="str">
        <f t="shared" si="158"/>
        <v>TRARDS</v>
      </c>
      <c r="AJ203" s="17" t="str">
        <f t="shared" si="158"/>
        <v>TRAFRERFTDMD</v>
      </c>
      <c r="AK203" s="17" t="str">
        <f t="shared" si="158"/>
        <v>TRAFRERFTDMD</v>
      </c>
      <c r="AL203" s="18">
        <v>2040</v>
      </c>
      <c r="AM203" s="18" t="str">
        <f>AM202</f>
        <v>LO</v>
      </c>
      <c r="AN203" s="18"/>
      <c r="AO203" s="20">
        <f>-SUMIFS('TRA RESID'!$P:$P,'TRA RESID'!$I:$I,AK203,'TRA RESID'!$J:$J,AH203,'TRA RESID'!$H:$H,AI203)/SUMIFS('TRA RESID'!$P:$P,'TRA RESID'!$I:$I,AK203)*AS203</f>
        <v>0</v>
      </c>
      <c r="AP203" s="18"/>
      <c r="AQ203" s="18"/>
      <c r="AS203" s="21">
        <v>0</v>
      </c>
      <c r="AU203" s="15" t="str">
        <f>IF(AU202="*",AU202,"")</f>
        <v>*</v>
      </c>
      <c r="AV203" s="17" t="str">
        <f t="shared" si="159"/>
        <v>*FCEV*</v>
      </c>
      <c r="AW203" s="17" t="str">
        <f t="shared" si="159"/>
        <v>TRARDS</v>
      </c>
      <c r="AX203" s="17" t="str">
        <f t="shared" si="159"/>
        <v>TRAFRERFTDMD</v>
      </c>
      <c r="AY203" s="17" t="str">
        <f t="shared" si="159"/>
        <v>TRAFRERFTDMD</v>
      </c>
      <c r="AZ203" s="18">
        <v>2040</v>
      </c>
      <c r="BA203" s="18" t="str">
        <f>BA202</f>
        <v>LO</v>
      </c>
      <c r="BB203" s="18"/>
      <c r="BC203" s="20">
        <f>-SUMIFS('TRA RESID'!$P:$P,'TRA RESID'!$I:$I,AY203,'TRA RESID'!$J:$J,AV203,'TRA RESID'!$H:$H,AW203)/SUMIFS('TRA RESID'!$P:$P,'TRA RESID'!$I:$I,AY203)*BG203</f>
        <v>0</v>
      </c>
      <c r="BD203" s="18"/>
      <c r="BE203" s="18"/>
      <c r="BG203" s="21">
        <v>0</v>
      </c>
    </row>
    <row r="204" spans="1:59" x14ac:dyDescent="0.25">
      <c r="C204" s="23" t="str">
        <f>IF(C203="*",C203,"")</f>
        <v>*</v>
      </c>
      <c r="D204" s="25" t="str">
        <f t="shared" si="156"/>
        <v>*ICEV*</v>
      </c>
      <c r="E204" s="25" t="str">
        <f t="shared" si="156"/>
        <v>TRARDS</v>
      </c>
      <c r="F204" s="25" t="str">
        <f t="shared" si="156"/>
        <v>TRAFRERFTDMD</v>
      </c>
      <c r="G204" s="25" t="str">
        <f t="shared" si="156"/>
        <v>TRAFRERFTDMD</v>
      </c>
      <c r="H204" s="26">
        <v>2050</v>
      </c>
      <c r="I204" s="26" t="str">
        <f>I202</f>
        <v>LO</v>
      </c>
      <c r="J204" s="26"/>
      <c r="K204" s="27">
        <f>-SUMIFS('TRA RESID'!$P:$P,'TRA RESID'!$I:$I,G204,'TRA RESID'!$J:$J,D204,'TRA RESID'!$H:$H,E204)/SUMIFS('TRA RESID'!$P:$P,'TRA RESID'!$I:$I,G204)*O204</f>
        <v>0</v>
      </c>
      <c r="L204" s="26"/>
      <c r="M204" s="26"/>
      <c r="O204" s="28">
        <v>0</v>
      </c>
      <c r="S204" s="23" t="str">
        <f>IF(S203="*",S203,"")</f>
        <v>*</v>
      </c>
      <c r="T204" s="25" t="str">
        <f t="shared" si="157"/>
        <v>*BEV*</v>
      </c>
      <c r="U204" s="25" t="str">
        <f t="shared" si="157"/>
        <v>TRARDS</v>
      </c>
      <c r="V204" s="25" t="str">
        <f t="shared" si="157"/>
        <v>TRAFRERFTDMD</v>
      </c>
      <c r="W204" s="25" t="str">
        <f t="shared" si="157"/>
        <v>TRAFRERFTDMD</v>
      </c>
      <c r="X204" s="26">
        <v>2050</v>
      </c>
      <c r="Y204" s="26" t="str">
        <f>Y202</f>
        <v>LO</v>
      </c>
      <c r="Z204" s="26"/>
      <c r="AA204" s="27">
        <f>-SUMIFS('TRA RESID'!$P:$P,'TRA RESID'!$I:$I,W204,'TRA RESID'!$J:$J,T204,'TRA RESID'!$H:$H,U204)/SUMIFS('TRA RESID'!$P:$P,'TRA RESID'!$I:$I,W204)*AE204</f>
        <v>0</v>
      </c>
      <c r="AB204" s="26"/>
      <c r="AC204" s="26"/>
      <c r="AE204" s="28">
        <v>1</v>
      </c>
      <c r="AG204" s="23" t="str">
        <f>IF(AG203="*",AG203,"")</f>
        <v>*</v>
      </c>
      <c r="AH204" s="25" t="str">
        <f t="shared" si="158"/>
        <v>*HEV*</v>
      </c>
      <c r="AI204" s="25" t="str">
        <f t="shared" si="158"/>
        <v>TRARDS</v>
      </c>
      <c r="AJ204" s="25" t="str">
        <f t="shared" si="158"/>
        <v>TRAFRERFTDMD</v>
      </c>
      <c r="AK204" s="25" t="str">
        <f t="shared" si="158"/>
        <v>TRAFRERFTDMD</v>
      </c>
      <c r="AL204" s="26">
        <v>2050</v>
      </c>
      <c r="AM204" s="26" t="str">
        <f>AM202</f>
        <v>LO</v>
      </c>
      <c r="AN204" s="26"/>
      <c r="AO204" s="27">
        <f>-SUMIFS('TRA RESID'!$P:$P,'TRA RESID'!$I:$I,AK204,'TRA RESID'!$J:$J,AH204,'TRA RESID'!$H:$H,AI204)/SUMIFS('TRA RESID'!$P:$P,'TRA RESID'!$I:$I,AK204)*AS204</f>
        <v>0</v>
      </c>
      <c r="AP204" s="26"/>
      <c r="AQ204" s="26"/>
      <c r="AS204" s="28">
        <v>0</v>
      </c>
      <c r="AU204" s="23" t="str">
        <f>IF(AU203="*",AU203,"")</f>
        <v>*</v>
      </c>
      <c r="AV204" s="25" t="str">
        <f t="shared" si="159"/>
        <v>*FCEV*</v>
      </c>
      <c r="AW204" s="25" t="str">
        <f t="shared" si="159"/>
        <v>TRARDS</v>
      </c>
      <c r="AX204" s="25" t="str">
        <f t="shared" si="159"/>
        <v>TRAFRERFTDMD</v>
      </c>
      <c r="AY204" s="25" t="str">
        <f t="shared" si="159"/>
        <v>TRAFRERFTDMD</v>
      </c>
      <c r="AZ204" s="26">
        <v>2050</v>
      </c>
      <c r="BA204" s="26" t="str">
        <f>BA202</f>
        <v>LO</v>
      </c>
      <c r="BB204" s="26"/>
      <c r="BC204" s="27">
        <f>-SUMIFS('TRA RESID'!$P:$P,'TRA RESID'!$I:$I,AY204,'TRA RESID'!$J:$J,AV204,'TRA RESID'!$H:$H,AW204)/SUMIFS('TRA RESID'!$P:$P,'TRA RESID'!$I:$I,AY204)*BG204</f>
        <v>0</v>
      </c>
      <c r="BD204" s="26"/>
      <c r="BE204" s="26"/>
      <c r="BG204" s="28">
        <v>0</v>
      </c>
    </row>
    <row r="205" spans="1:59" x14ac:dyDescent="0.25">
      <c r="A205">
        <f>A200+1</f>
        <v>41</v>
      </c>
      <c r="C205" s="15" t="str">
        <f>IF(E205="","",IF(_xlfn.XLOOKUP($A205,Selected_constraint!$A:$A,Selected_constraint!$D:$D)=1,"*",IF(SUMIFS('TRA TECH'!$M:$M,'TRA TECH'!$H:$H,E205,'TRA TECH'!$I:$I,F205)=0,"*",IF(SUMIFS('TRA RESID'!$P:$P,'TRA RESID'!$I:$I,G205,'TRA RESID'!$J:$J,D205,'TRA RESID'!$H:$H,E205)=0,"*","UC_"&amp;SUBSTITUTE(D205,"*","")&amp;"_"&amp;RIGHT(E205,3)&amp;"_"&amp;F205))))</f>
        <v>*</v>
      </c>
      <c r="D205" s="17" t="s">
        <v>485</v>
      </c>
      <c r="E205" s="17" t="str">
        <f>_xlfn.XLOOKUP($A205,Selected_constraint!$A:$A,Selected_constraint!$B:$B)</f>
        <v>TRABDS</v>
      </c>
      <c r="F205" s="17" t="str">
        <f>_xlfn.XLOOKUP($A205,Selected_constraint!$A:$A,Selected_constraint!$C:$C)</f>
        <v>TRAFRERFTDMD</v>
      </c>
      <c r="G205" s="17" t="str">
        <f>F205</f>
        <v>TRAFRERFTDMD</v>
      </c>
      <c r="H205" s="18">
        <v>2019</v>
      </c>
      <c r="I205" s="18" t="s">
        <v>483</v>
      </c>
      <c r="J205" s="18">
        <v>1</v>
      </c>
      <c r="K205" s="20">
        <f>-SUMIFS('TRA RESID'!$P:$P,'TRA RESID'!$I:$I,G205,'TRA RESID'!$J:$J,D205,'TRA RESID'!$H:$H,E205)/SUMIFS('TRA RESID'!$P:$P,'TRA RESID'!$I:$I,G205)*O205</f>
        <v>0</v>
      </c>
      <c r="L205" s="18">
        <v>0</v>
      </c>
      <c r="M205" s="18">
        <v>5</v>
      </c>
      <c r="O205" s="21">
        <v>0.98</v>
      </c>
      <c r="Q205">
        <f>Q200+1</f>
        <v>41</v>
      </c>
      <c r="S205" s="15" t="str">
        <f>IF(SUMIFS('TRA RESID'!$P:$P,'TRA RESID'!$I:$I,W205,'TRA RESID'!$J:$J,T205,'TRA RESID'!$H:$H,U205)=0,"*","UC_"&amp;SUBSTITUTE(T205,"*","")&amp;"_"&amp;RIGHT(U205,3)&amp;"_"&amp;V205)</f>
        <v>*</v>
      </c>
      <c r="T205" s="17" t="s">
        <v>486</v>
      </c>
      <c r="U205" s="17" t="str">
        <f>_xlfn.XLOOKUP($A205,Selected_constraint!$A:$A,Selected_constraint!$B:$B)</f>
        <v>TRABDS</v>
      </c>
      <c r="V205" s="17" t="str">
        <f>_xlfn.XLOOKUP($A205,Selected_constraint!$A:$A,Selected_constraint!$C:$C)</f>
        <v>TRAFRERFTDMD</v>
      </c>
      <c r="W205" s="17" t="str">
        <f>V205</f>
        <v>TRAFRERFTDMD</v>
      </c>
      <c r="X205" s="18">
        <v>2019</v>
      </c>
      <c r="Y205" s="18" t="s">
        <v>483</v>
      </c>
      <c r="Z205" s="18">
        <v>1</v>
      </c>
      <c r="AA205" s="20">
        <f>-SUMIFS('TRA RESID'!$P:$P,'TRA RESID'!$I:$I,W205,'TRA RESID'!$J:$J,T205,'TRA RESID'!$H:$H,U205)/SUMIFS('TRA RESID'!$P:$P,'TRA RESID'!$I:$I,W205)*AE205</f>
        <v>0</v>
      </c>
      <c r="AB205" s="18">
        <v>0</v>
      </c>
      <c r="AC205" s="18">
        <v>5</v>
      </c>
      <c r="AE205" s="21">
        <v>0.98</v>
      </c>
      <c r="AG205" s="15" t="str">
        <f>IF(SUMIFS('TRA RESID'!$P:$P,'TRA RESID'!$I:$I,AK205,'TRA RESID'!$J:$J,AH205,'TRA RESID'!$H:$H,AI205)=0,"*","UC_"&amp;SUBSTITUTE(AH205,"*","")&amp;"_"&amp;RIGHT(AI205,3)&amp;"_"&amp;AJ205)</f>
        <v>*</v>
      </c>
      <c r="AH205" s="17" t="s">
        <v>487</v>
      </c>
      <c r="AI205" s="17" t="str">
        <f>_xlfn.XLOOKUP($A205,Selected_constraint!$A:$A,Selected_constraint!$B:$B)</f>
        <v>TRABDS</v>
      </c>
      <c r="AJ205" s="17" t="str">
        <f>_xlfn.XLOOKUP($A205,Selected_constraint!$A:$A,Selected_constraint!$C:$C)</f>
        <v>TRAFRERFTDMD</v>
      </c>
      <c r="AK205" s="17" t="str">
        <f>AJ205</f>
        <v>TRAFRERFTDMD</v>
      </c>
      <c r="AL205" s="18">
        <v>2019</v>
      </c>
      <c r="AM205" s="18" t="s">
        <v>483</v>
      </c>
      <c r="AN205" s="18">
        <v>1</v>
      </c>
      <c r="AO205" s="20">
        <f>-SUMIFS('TRA RESID'!$P:$P,'TRA RESID'!$I:$I,AK205,'TRA RESID'!$J:$J,AH205,'TRA RESID'!$H:$H,AI205)/SUMIFS('TRA RESID'!$P:$P,'TRA RESID'!$I:$I,AK205)*AS205</f>
        <v>0</v>
      </c>
      <c r="AP205" s="18">
        <v>0</v>
      </c>
      <c r="AQ205" s="18">
        <v>5</v>
      </c>
      <c r="AS205" s="21">
        <v>0.98</v>
      </c>
      <c r="AU205" s="15" t="str">
        <f>IF(SUMIFS('TRA RESID'!$P:$P,'TRA RESID'!$I:$I,AY205,'TRA RESID'!$J:$J,AV205,'TRA RESID'!$H:$H,AW205)=0,"*","UC_"&amp;SUBSTITUTE(AV205,"*","")&amp;"_"&amp;RIGHT(AW205,3)&amp;"_"&amp;AX205)</f>
        <v>*</v>
      </c>
      <c r="AV205" s="17" t="s">
        <v>488</v>
      </c>
      <c r="AW205" s="17" t="str">
        <f>_xlfn.XLOOKUP($A205,Selected_constraint!$A:$A,Selected_constraint!$B:$B)</f>
        <v>TRABDS</v>
      </c>
      <c r="AX205" s="17" t="str">
        <f>_xlfn.XLOOKUP($A205,Selected_constraint!$A:$A,Selected_constraint!$C:$C)</f>
        <v>TRAFRERFTDMD</v>
      </c>
      <c r="AY205" s="17" t="str">
        <f>AX205</f>
        <v>TRAFRERFTDMD</v>
      </c>
      <c r="AZ205" s="18">
        <v>2019</v>
      </c>
      <c r="BA205" s="18" t="s">
        <v>483</v>
      </c>
      <c r="BB205" s="18">
        <v>1</v>
      </c>
      <c r="BC205" s="20">
        <f>-SUMIFS('TRA RESID'!$P:$P,'TRA RESID'!$I:$I,AY205,'TRA RESID'!$J:$J,AV205,'TRA RESID'!$H:$H,AW205)/SUMIFS('TRA RESID'!$P:$P,'TRA RESID'!$I:$I,AY205)*BG205</f>
        <v>0</v>
      </c>
      <c r="BD205" s="18">
        <v>0</v>
      </c>
      <c r="BE205" s="18">
        <v>5</v>
      </c>
      <c r="BG205" s="21">
        <v>0.98</v>
      </c>
    </row>
    <row r="206" spans="1:59" x14ac:dyDescent="0.25">
      <c r="C206" s="15" t="str">
        <f>IF(C205="*",C205,"")</f>
        <v>*</v>
      </c>
      <c r="D206" s="17" t="str">
        <f t="shared" ref="D206:G209" si="160">D205</f>
        <v>*ICEV*</v>
      </c>
      <c r="E206" s="17" t="str">
        <f t="shared" si="160"/>
        <v>TRABDS</v>
      </c>
      <c r="F206" s="17" t="str">
        <f t="shared" si="160"/>
        <v>TRAFRERFTDMD</v>
      </c>
      <c r="G206" s="17" t="str">
        <f t="shared" si="160"/>
        <v>TRAFRERFTDMD</v>
      </c>
      <c r="H206" s="18">
        <v>2025</v>
      </c>
      <c r="I206" s="18" t="str">
        <f>I205</f>
        <v>LO</v>
      </c>
      <c r="J206" s="18"/>
      <c r="K206" s="20">
        <f>-SUMIFS('TRA RESID'!$P:$P,'TRA RESID'!$I:$I,G206,'TRA RESID'!$J:$J,D206,'TRA RESID'!$H:$H,E206)/SUMIFS('TRA RESID'!$P:$P,'TRA RESID'!$I:$I,G206)*O206</f>
        <v>0</v>
      </c>
      <c r="L206" s="18"/>
      <c r="M206" s="18"/>
      <c r="O206" s="21">
        <v>0.8</v>
      </c>
      <c r="S206" s="15" t="str">
        <f>IF(S205="*",S205,"")</f>
        <v>*</v>
      </c>
      <c r="T206" s="17" t="str">
        <f t="shared" ref="T206:W209" si="161">T205</f>
        <v>*BEV*</v>
      </c>
      <c r="U206" s="17" t="str">
        <f t="shared" si="161"/>
        <v>TRABDS</v>
      </c>
      <c r="V206" s="17" t="str">
        <f t="shared" si="161"/>
        <v>TRAFRERFTDMD</v>
      </c>
      <c r="W206" s="17" t="str">
        <f t="shared" si="161"/>
        <v>TRAFRERFTDMD</v>
      </c>
      <c r="X206" s="18">
        <v>2025</v>
      </c>
      <c r="Y206" s="18" t="str">
        <f>Y205</f>
        <v>LO</v>
      </c>
      <c r="Z206" s="18"/>
      <c r="AA206" s="20">
        <f>-SUMIFS('TRA RESID'!$P:$P,'TRA RESID'!$I:$I,W206,'TRA RESID'!$J:$J,T206,'TRA RESID'!$H:$H,U206)/SUMIFS('TRA RESID'!$P:$P,'TRA RESID'!$I:$I,W206)*AE206</f>
        <v>0</v>
      </c>
      <c r="AB206" s="18"/>
      <c r="AC206" s="18"/>
      <c r="AE206" s="21">
        <v>1</v>
      </c>
      <c r="AG206" s="15" t="str">
        <f>IF(AG205="*",AG205,"")</f>
        <v>*</v>
      </c>
      <c r="AH206" s="17" t="str">
        <f t="shared" ref="AH206:AK209" si="162">AH205</f>
        <v>*HEV*</v>
      </c>
      <c r="AI206" s="17" t="str">
        <f t="shared" si="162"/>
        <v>TRABDS</v>
      </c>
      <c r="AJ206" s="17" t="str">
        <f t="shared" si="162"/>
        <v>TRAFRERFTDMD</v>
      </c>
      <c r="AK206" s="17" t="str">
        <f t="shared" si="162"/>
        <v>TRAFRERFTDMD</v>
      </c>
      <c r="AL206" s="18">
        <v>2025</v>
      </c>
      <c r="AM206" s="18" t="str">
        <f>AM205</f>
        <v>LO</v>
      </c>
      <c r="AN206" s="18"/>
      <c r="AO206" s="20">
        <f>-SUMIFS('TRA RESID'!$P:$P,'TRA RESID'!$I:$I,AK206,'TRA RESID'!$J:$J,AH206,'TRA RESID'!$H:$H,AI206)/SUMIFS('TRA RESID'!$P:$P,'TRA RESID'!$I:$I,AK206)*AS206</f>
        <v>0</v>
      </c>
      <c r="AP206" s="18"/>
      <c r="AQ206" s="18"/>
      <c r="AS206" s="21">
        <v>0.8</v>
      </c>
      <c r="AU206" s="15" t="str">
        <f>IF(AU205="*",AU205,"")</f>
        <v>*</v>
      </c>
      <c r="AV206" s="17" t="str">
        <f t="shared" ref="AV206:AY209" si="163">AV205</f>
        <v>*FCEV*</v>
      </c>
      <c r="AW206" s="17" t="str">
        <f t="shared" si="163"/>
        <v>TRABDS</v>
      </c>
      <c r="AX206" s="17" t="str">
        <f t="shared" si="163"/>
        <v>TRAFRERFTDMD</v>
      </c>
      <c r="AY206" s="17" t="str">
        <f t="shared" si="163"/>
        <v>TRAFRERFTDMD</v>
      </c>
      <c r="AZ206" s="18">
        <v>2025</v>
      </c>
      <c r="BA206" s="18" t="str">
        <f>BA205</f>
        <v>LO</v>
      </c>
      <c r="BB206" s="18"/>
      <c r="BC206" s="20">
        <f>-SUMIFS('TRA RESID'!$P:$P,'TRA RESID'!$I:$I,AY206,'TRA RESID'!$J:$J,AV206,'TRA RESID'!$H:$H,AW206)/SUMIFS('TRA RESID'!$P:$P,'TRA RESID'!$I:$I,AY206)*BG206</f>
        <v>0</v>
      </c>
      <c r="BD206" s="18"/>
      <c r="BE206" s="18"/>
      <c r="BG206" s="21">
        <v>0.8</v>
      </c>
    </row>
    <row r="207" spans="1:59" x14ac:dyDescent="0.25">
      <c r="C207" s="15" t="str">
        <f>IF(C206="*",C206,"")</f>
        <v>*</v>
      </c>
      <c r="D207" s="17" t="str">
        <f t="shared" si="160"/>
        <v>*ICEV*</v>
      </c>
      <c r="E207" s="17" t="str">
        <f t="shared" si="160"/>
        <v>TRABDS</v>
      </c>
      <c r="F207" s="17" t="str">
        <f t="shared" si="160"/>
        <v>TRAFRERFTDMD</v>
      </c>
      <c r="G207" s="17" t="str">
        <f t="shared" si="160"/>
        <v>TRAFRERFTDMD</v>
      </c>
      <c r="H207" s="18">
        <v>2030</v>
      </c>
      <c r="I207" s="18" t="str">
        <f>I206</f>
        <v>LO</v>
      </c>
      <c r="J207" s="18"/>
      <c r="K207" s="20">
        <f>-SUMIFS('TRA RESID'!$P:$P,'TRA RESID'!$I:$I,G207,'TRA RESID'!$J:$J,D207,'TRA RESID'!$H:$H,E207)/SUMIFS('TRA RESID'!$P:$P,'TRA RESID'!$I:$I,G207)*O207</f>
        <v>0</v>
      </c>
      <c r="L207" s="18"/>
      <c r="M207" s="18"/>
      <c r="O207" s="21">
        <v>0.5</v>
      </c>
      <c r="S207" s="15" t="str">
        <f>IF(S206="*",S206,"")</f>
        <v>*</v>
      </c>
      <c r="T207" s="17" t="str">
        <f t="shared" si="161"/>
        <v>*BEV*</v>
      </c>
      <c r="U207" s="17" t="str">
        <f t="shared" si="161"/>
        <v>TRABDS</v>
      </c>
      <c r="V207" s="17" t="str">
        <f t="shared" si="161"/>
        <v>TRAFRERFTDMD</v>
      </c>
      <c r="W207" s="17" t="str">
        <f t="shared" si="161"/>
        <v>TRAFRERFTDMD</v>
      </c>
      <c r="X207" s="18">
        <v>2030</v>
      </c>
      <c r="Y207" s="18" t="str">
        <f>Y206</f>
        <v>LO</v>
      </c>
      <c r="Z207" s="18"/>
      <c r="AA207" s="20">
        <f>-SUMIFS('TRA RESID'!$P:$P,'TRA RESID'!$I:$I,W207,'TRA RESID'!$J:$J,T207,'TRA RESID'!$H:$H,U207)/SUMIFS('TRA RESID'!$P:$P,'TRA RESID'!$I:$I,W207)*AE207</f>
        <v>0</v>
      </c>
      <c r="AB207" s="18"/>
      <c r="AC207" s="18"/>
      <c r="AE207" s="21">
        <v>1</v>
      </c>
      <c r="AG207" s="15" t="str">
        <f>IF(AG206="*",AG206,"")</f>
        <v>*</v>
      </c>
      <c r="AH207" s="17" t="str">
        <f t="shared" si="162"/>
        <v>*HEV*</v>
      </c>
      <c r="AI207" s="17" t="str">
        <f t="shared" si="162"/>
        <v>TRABDS</v>
      </c>
      <c r="AJ207" s="17" t="str">
        <f t="shared" si="162"/>
        <v>TRAFRERFTDMD</v>
      </c>
      <c r="AK207" s="17" t="str">
        <f t="shared" si="162"/>
        <v>TRAFRERFTDMD</v>
      </c>
      <c r="AL207" s="18">
        <v>2030</v>
      </c>
      <c r="AM207" s="18" t="str">
        <f>AM206</f>
        <v>LO</v>
      </c>
      <c r="AN207" s="18"/>
      <c r="AO207" s="20">
        <f>-SUMIFS('TRA RESID'!$P:$P,'TRA RESID'!$I:$I,AK207,'TRA RESID'!$J:$J,AH207,'TRA RESID'!$H:$H,AI207)/SUMIFS('TRA RESID'!$P:$P,'TRA RESID'!$I:$I,AK207)*AS207</f>
        <v>0</v>
      </c>
      <c r="AP207" s="18"/>
      <c r="AQ207" s="18"/>
      <c r="AS207" s="21">
        <v>0.5</v>
      </c>
      <c r="AU207" s="15" t="str">
        <f>IF(AU206="*",AU206,"")</f>
        <v>*</v>
      </c>
      <c r="AV207" s="17" t="str">
        <f t="shared" si="163"/>
        <v>*FCEV*</v>
      </c>
      <c r="AW207" s="17" t="str">
        <f t="shared" si="163"/>
        <v>TRABDS</v>
      </c>
      <c r="AX207" s="17" t="str">
        <f t="shared" si="163"/>
        <v>TRAFRERFTDMD</v>
      </c>
      <c r="AY207" s="17" t="str">
        <f t="shared" si="163"/>
        <v>TRAFRERFTDMD</v>
      </c>
      <c r="AZ207" s="18">
        <v>2030</v>
      </c>
      <c r="BA207" s="18" t="str">
        <f>BA206</f>
        <v>LO</v>
      </c>
      <c r="BB207" s="18"/>
      <c r="BC207" s="20">
        <f>-SUMIFS('TRA RESID'!$P:$P,'TRA RESID'!$I:$I,AY207,'TRA RESID'!$J:$J,AV207,'TRA RESID'!$H:$H,AW207)/SUMIFS('TRA RESID'!$P:$P,'TRA RESID'!$I:$I,AY207)*BG207</f>
        <v>0</v>
      </c>
      <c r="BD207" s="18"/>
      <c r="BE207" s="18"/>
      <c r="BG207" s="21">
        <v>0.5</v>
      </c>
    </row>
    <row r="208" spans="1:59" x14ac:dyDescent="0.25">
      <c r="C208" s="15" t="str">
        <f>IF(C207="*",C207,"")</f>
        <v>*</v>
      </c>
      <c r="D208" s="17" t="str">
        <f t="shared" si="160"/>
        <v>*ICEV*</v>
      </c>
      <c r="E208" s="17" t="str">
        <f t="shared" si="160"/>
        <v>TRABDS</v>
      </c>
      <c r="F208" s="17" t="str">
        <f t="shared" si="160"/>
        <v>TRAFRERFTDMD</v>
      </c>
      <c r="G208" s="17" t="str">
        <f t="shared" si="160"/>
        <v>TRAFRERFTDMD</v>
      </c>
      <c r="H208" s="18">
        <v>2040</v>
      </c>
      <c r="I208" s="18" t="str">
        <f>I207</f>
        <v>LO</v>
      </c>
      <c r="J208" s="18"/>
      <c r="K208" s="20">
        <f>-SUMIFS('TRA RESID'!$P:$P,'TRA RESID'!$I:$I,G208,'TRA RESID'!$J:$J,D208,'TRA RESID'!$H:$H,E208)/SUMIFS('TRA RESID'!$P:$P,'TRA RESID'!$I:$I,G208)*O208</f>
        <v>0</v>
      </c>
      <c r="L208" s="18"/>
      <c r="M208" s="18"/>
      <c r="O208" s="21">
        <v>0</v>
      </c>
      <c r="S208" s="15" t="str">
        <f>IF(S207="*",S207,"")</f>
        <v>*</v>
      </c>
      <c r="T208" s="17" t="str">
        <f t="shared" si="161"/>
        <v>*BEV*</v>
      </c>
      <c r="U208" s="17" t="str">
        <f t="shared" si="161"/>
        <v>TRABDS</v>
      </c>
      <c r="V208" s="17" t="str">
        <f t="shared" si="161"/>
        <v>TRAFRERFTDMD</v>
      </c>
      <c r="W208" s="17" t="str">
        <f t="shared" si="161"/>
        <v>TRAFRERFTDMD</v>
      </c>
      <c r="X208" s="18">
        <v>2040</v>
      </c>
      <c r="Y208" s="18" t="str">
        <f>Y207</f>
        <v>LO</v>
      </c>
      <c r="Z208" s="18"/>
      <c r="AA208" s="20">
        <f>-SUMIFS('TRA RESID'!$P:$P,'TRA RESID'!$I:$I,W208,'TRA RESID'!$J:$J,T208,'TRA RESID'!$H:$H,U208)/SUMIFS('TRA RESID'!$P:$P,'TRA RESID'!$I:$I,W208)*AE208</f>
        <v>0</v>
      </c>
      <c r="AB208" s="18"/>
      <c r="AC208" s="18"/>
      <c r="AE208" s="21">
        <v>1</v>
      </c>
      <c r="AG208" s="15" t="str">
        <f>IF(AG207="*",AG207,"")</f>
        <v>*</v>
      </c>
      <c r="AH208" s="17" t="str">
        <f t="shared" si="162"/>
        <v>*HEV*</v>
      </c>
      <c r="AI208" s="17" t="str">
        <f t="shared" si="162"/>
        <v>TRABDS</v>
      </c>
      <c r="AJ208" s="17" t="str">
        <f t="shared" si="162"/>
        <v>TRAFRERFTDMD</v>
      </c>
      <c r="AK208" s="17" t="str">
        <f t="shared" si="162"/>
        <v>TRAFRERFTDMD</v>
      </c>
      <c r="AL208" s="18">
        <v>2040</v>
      </c>
      <c r="AM208" s="18" t="str">
        <f>AM207</f>
        <v>LO</v>
      </c>
      <c r="AN208" s="18"/>
      <c r="AO208" s="20">
        <f>-SUMIFS('TRA RESID'!$P:$P,'TRA RESID'!$I:$I,AK208,'TRA RESID'!$J:$J,AH208,'TRA RESID'!$H:$H,AI208)/SUMIFS('TRA RESID'!$P:$P,'TRA RESID'!$I:$I,AK208)*AS208</f>
        <v>0</v>
      </c>
      <c r="AP208" s="18"/>
      <c r="AQ208" s="18"/>
      <c r="AS208" s="21">
        <v>0</v>
      </c>
      <c r="AU208" s="15" t="str">
        <f>IF(AU207="*",AU207,"")</f>
        <v>*</v>
      </c>
      <c r="AV208" s="17" t="str">
        <f t="shared" si="163"/>
        <v>*FCEV*</v>
      </c>
      <c r="AW208" s="17" t="str">
        <f t="shared" si="163"/>
        <v>TRABDS</v>
      </c>
      <c r="AX208" s="17" t="str">
        <f t="shared" si="163"/>
        <v>TRAFRERFTDMD</v>
      </c>
      <c r="AY208" s="17" t="str">
        <f t="shared" si="163"/>
        <v>TRAFRERFTDMD</v>
      </c>
      <c r="AZ208" s="18">
        <v>2040</v>
      </c>
      <c r="BA208" s="18" t="str">
        <f>BA207</f>
        <v>LO</v>
      </c>
      <c r="BB208" s="18"/>
      <c r="BC208" s="20">
        <f>-SUMIFS('TRA RESID'!$P:$P,'TRA RESID'!$I:$I,AY208,'TRA RESID'!$J:$J,AV208,'TRA RESID'!$H:$H,AW208)/SUMIFS('TRA RESID'!$P:$P,'TRA RESID'!$I:$I,AY208)*BG208</f>
        <v>0</v>
      </c>
      <c r="BD208" s="18"/>
      <c r="BE208" s="18"/>
      <c r="BG208" s="21">
        <v>0</v>
      </c>
    </row>
    <row r="209" spans="1:59" x14ac:dyDescent="0.25">
      <c r="C209" s="23" t="str">
        <f>IF(C208="*",C208,"")</f>
        <v>*</v>
      </c>
      <c r="D209" s="25" t="str">
        <f t="shared" si="160"/>
        <v>*ICEV*</v>
      </c>
      <c r="E209" s="25" t="str">
        <f t="shared" si="160"/>
        <v>TRABDS</v>
      </c>
      <c r="F209" s="25" t="str">
        <f t="shared" si="160"/>
        <v>TRAFRERFTDMD</v>
      </c>
      <c r="G209" s="25" t="str">
        <f t="shared" si="160"/>
        <v>TRAFRERFTDMD</v>
      </c>
      <c r="H209" s="26">
        <v>2050</v>
      </c>
      <c r="I209" s="26" t="str">
        <f>I207</f>
        <v>LO</v>
      </c>
      <c r="J209" s="26"/>
      <c r="K209" s="27">
        <f>-SUMIFS('TRA RESID'!$P:$P,'TRA RESID'!$I:$I,G209,'TRA RESID'!$J:$J,D209,'TRA RESID'!$H:$H,E209)/SUMIFS('TRA RESID'!$P:$P,'TRA RESID'!$I:$I,G209)*O209</f>
        <v>0</v>
      </c>
      <c r="L209" s="26"/>
      <c r="M209" s="26"/>
      <c r="O209" s="28">
        <v>0</v>
      </c>
      <c r="S209" s="23" t="str">
        <f>IF(S208="*",S208,"")</f>
        <v>*</v>
      </c>
      <c r="T209" s="25" t="str">
        <f t="shared" si="161"/>
        <v>*BEV*</v>
      </c>
      <c r="U209" s="25" t="str">
        <f t="shared" si="161"/>
        <v>TRABDS</v>
      </c>
      <c r="V209" s="25" t="str">
        <f t="shared" si="161"/>
        <v>TRAFRERFTDMD</v>
      </c>
      <c r="W209" s="25" t="str">
        <f t="shared" si="161"/>
        <v>TRAFRERFTDMD</v>
      </c>
      <c r="X209" s="26">
        <v>2050</v>
      </c>
      <c r="Y209" s="26" t="str">
        <f>Y207</f>
        <v>LO</v>
      </c>
      <c r="Z209" s="26"/>
      <c r="AA209" s="27">
        <f>-SUMIFS('TRA RESID'!$P:$P,'TRA RESID'!$I:$I,W209,'TRA RESID'!$J:$J,T209,'TRA RESID'!$H:$H,U209)/SUMIFS('TRA RESID'!$P:$P,'TRA RESID'!$I:$I,W209)*AE209</f>
        <v>0</v>
      </c>
      <c r="AB209" s="26"/>
      <c r="AC209" s="26"/>
      <c r="AE209" s="28">
        <v>1</v>
      </c>
      <c r="AG209" s="23" t="str">
        <f>IF(AG208="*",AG208,"")</f>
        <v>*</v>
      </c>
      <c r="AH209" s="25" t="str">
        <f t="shared" si="162"/>
        <v>*HEV*</v>
      </c>
      <c r="AI209" s="25" t="str">
        <f t="shared" si="162"/>
        <v>TRABDS</v>
      </c>
      <c r="AJ209" s="25" t="str">
        <f t="shared" si="162"/>
        <v>TRAFRERFTDMD</v>
      </c>
      <c r="AK209" s="25" t="str">
        <f t="shared" si="162"/>
        <v>TRAFRERFTDMD</v>
      </c>
      <c r="AL209" s="26">
        <v>2050</v>
      </c>
      <c r="AM209" s="26" t="str">
        <f>AM207</f>
        <v>LO</v>
      </c>
      <c r="AN209" s="26"/>
      <c r="AO209" s="27">
        <f>-SUMIFS('TRA RESID'!$P:$P,'TRA RESID'!$I:$I,AK209,'TRA RESID'!$J:$J,AH209,'TRA RESID'!$H:$H,AI209)/SUMIFS('TRA RESID'!$P:$P,'TRA RESID'!$I:$I,AK209)*AS209</f>
        <v>0</v>
      </c>
      <c r="AP209" s="26"/>
      <c r="AQ209" s="26"/>
      <c r="AS209" s="28">
        <v>0</v>
      </c>
      <c r="AU209" s="23" t="str">
        <f>IF(AU208="*",AU208,"")</f>
        <v>*</v>
      </c>
      <c r="AV209" s="25" t="str">
        <f t="shared" si="163"/>
        <v>*FCEV*</v>
      </c>
      <c r="AW209" s="25" t="str">
        <f t="shared" si="163"/>
        <v>TRABDS</v>
      </c>
      <c r="AX209" s="25" t="str">
        <f t="shared" si="163"/>
        <v>TRAFRERFTDMD</v>
      </c>
      <c r="AY209" s="25" t="str">
        <f t="shared" si="163"/>
        <v>TRAFRERFTDMD</v>
      </c>
      <c r="AZ209" s="26">
        <v>2050</v>
      </c>
      <c r="BA209" s="26" t="str">
        <f>BA207</f>
        <v>LO</v>
      </c>
      <c r="BB209" s="26"/>
      <c r="BC209" s="27">
        <f>-SUMIFS('TRA RESID'!$P:$P,'TRA RESID'!$I:$I,AY209,'TRA RESID'!$J:$J,AV209,'TRA RESID'!$H:$H,AW209)/SUMIFS('TRA RESID'!$P:$P,'TRA RESID'!$I:$I,AY209)*BG209</f>
        <v>0</v>
      </c>
      <c r="BD209" s="26"/>
      <c r="BE209" s="26"/>
      <c r="BG209" s="28">
        <v>0</v>
      </c>
    </row>
    <row r="210" spans="1:59" x14ac:dyDescent="0.25">
      <c r="A210">
        <f>A205+1</f>
        <v>42</v>
      </c>
      <c r="C210" s="15" t="str">
        <f>IF(E210="","",IF(_xlfn.XLOOKUP($A210,Selected_constraint!$A:$A,Selected_constraint!$D:$D)=1,"*",IF(SUMIFS('TRA TECH'!$M:$M,'TRA TECH'!$H:$H,E210,'TRA TECH'!$I:$I,F210)=0,"*",IF(SUMIFS('TRA RESID'!$P:$P,'TRA RESID'!$I:$I,G210,'TRA RESID'!$J:$J,D210,'TRA RESID'!$H:$H,E210)=0,"*","UC_"&amp;SUBSTITUTE(D210,"*","")&amp;"_"&amp;RIGHT(E210,3)&amp;"_"&amp;F210))))</f>
        <v>*</v>
      </c>
      <c r="D210" s="17" t="s">
        <v>485</v>
      </c>
      <c r="E210" s="17" t="str">
        <f>_xlfn.XLOOKUP($A210,Selected_constraint!$A:$A,Selected_constraint!$B:$B)</f>
        <v>TRACNG</v>
      </c>
      <c r="F210" s="17" t="str">
        <f>_xlfn.XLOOKUP($A210,Selected_constraint!$A:$A,Selected_constraint!$C:$C)</f>
        <v>TRAFRERFTDMD</v>
      </c>
      <c r="G210" s="17" t="str">
        <f>F210</f>
        <v>TRAFRERFTDMD</v>
      </c>
      <c r="H210" s="18">
        <v>2019</v>
      </c>
      <c r="I210" s="18" t="s">
        <v>483</v>
      </c>
      <c r="J210" s="18">
        <v>1</v>
      </c>
      <c r="K210" s="20">
        <f>-SUMIFS('TRA RESID'!$P:$P,'TRA RESID'!$I:$I,G210,'TRA RESID'!$J:$J,D210,'TRA RESID'!$H:$H,E210)/SUMIFS('TRA RESID'!$P:$P,'TRA RESID'!$I:$I,G210)*O210</f>
        <v>-4.1027898040626697E-3</v>
      </c>
      <c r="L210" s="18">
        <v>0</v>
      </c>
      <c r="M210" s="18">
        <v>5</v>
      </c>
      <c r="O210" s="21">
        <v>0.98</v>
      </c>
      <c r="Q210">
        <f>Q205+1</f>
        <v>42</v>
      </c>
      <c r="S210" s="15" t="str">
        <f>IF(SUMIFS('TRA RESID'!$P:$P,'TRA RESID'!$I:$I,W210,'TRA RESID'!$J:$J,T210,'TRA RESID'!$H:$H,U210)=0,"*","UC_"&amp;SUBSTITUTE(T210,"*","")&amp;"_"&amp;RIGHT(U210,3)&amp;"_"&amp;V210)</f>
        <v>*</v>
      </c>
      <c r="T210" s="17" t="s">
        <v>486</v>
      </c>
      <c r="U210" s="17" t="str">
        <f>_xlfn.XLOOKUP($A210,Selected_constraint!$A:$A,Selected_constraint!$B:$B)</f>
        <v>TRACNG</v>
      </c>
      <c r="V210" s="17" t="str">
        <f>_xlfn.XLOOKUP($A210,Selected_constraint!$A:$A,Selected_constraint!$C:$C)</f>
        <v>TRAFRERFTDMD</v>
      </c>
      <c r="W210" s="17" t="str">
        <f>V210</f>
        <v>TRAFRERFTDMD</v>
      </c>
      <c r="X210" s="18">
        <v>2019</v>
      </c>
      <c r="Y210" s="18" t="s">
        <v>483</v>
      </c>
      <c r="Z210" s="18">
        <v>1</v>
      </c>
      <c r="AA210" s="20">
        <f>-SUMIFS('TRA RESID'!$P:$P,'TRA RESID'!$I:$I,W210,'TRA RESID'!$J:$J,T210,'TRA RESID'!$H:$H,U210)/SUMIFS('TRA RESID'!$P:$P,'TRA RESID'!$I:$I,W210)*AE210</f>
        <v>0</v>
      </c>
      <c r="AB210" s="18">
        <v>0</v>
      </c>
      <c r="AC210" s="18">
        <v>5</v>
      </c>
      <c r="AE210" s="21">
        <v>0.98</v>
      </c>
      <c r="AG210" s="15" t="str">
        <f>IF(SUMIFS('TRA RESID'!$P:$P,'TRA RESID'!$I:$I,AK210,'TRA RESID'!$J:$J,AH210,'TRA RESID'!$H:$H,AI210)=0,"*","UC_"&amp;SUBSTITUTE(AH210,"*","")&amp;"_"&amp;RIGHT(AI210,3)&amp;"_"&amp;AJ210)</f>
        <v>*</v>
      </c>
      <c r="AH210" s="17" t="s">
        <v>487</v>
      </c>
      <c r="AI210" s="17" t="str">
        <f>_xlfn.XLOOKUP($A210,Selected_constraint!$A:$A,Selected_constraint!$B:$B)</f>
        <v>TRACNG</v>
      </c>
      <c r="AJ210" s="17" t="str">
        <f>_xlfn.XLOOKUP($A210,Selected_constraint!$A:$A,Selected_constraint!$C:$C)</f>
        <v>TRAFRERFTDMD</v>
      </c>
      <c r="AK210" s="17" t="str">
        <f>AJ210</f>
        <v>TRAFRERFTDMD</v>
      </c>
      <c r="AL210" s="18">
        <v>2019</v>
      </c>
      <c r="AM210" s="18" t="s">
        <v>483</v>
      </c>
      <c r="AN210" s="18">
        <v>1</v>
      </c>
      <c r="AO210" s="20">
        <f>-SUMIFS('TRA RESID'!$P:$P,'TRA RESID'!$I:$I,AK210,'TRA RESID'!$J:$J,AH210,'TRA RESID'!$H:$H,AI210)/SUMIFS('TRA RESID'!$P:$P,'TRA RESID'!$I:$I,AK210)*AS210</f>
        <v>0</v>
      </c>
      <c r="AP210" s="18">
        <v>0</v>
      </c>
      <c r="AQ210" s="18">
        <v>5</v>
      </c>
      <c r="AS210" s="21">
        <v>0.98</v>
      </c>
      <c r="AU210" s="15" t="str">
        <f>IF(SUMIFS('TRA RESID'!$P:$P,'TRA RESID'!$I:$I,AY210,'TRA RESID'!$J:$J,AV210,'TRA RESID'!$H:$H,AW210)=0,"*","UC_"&amp;SUBSTITUTE(AV210,"*","")&amp;"_"&amp;RIGHT(AW210,3)&amp;"_"&amp;AX210)</f>
        <v>*</v>
      </c>
      <c r="AV210" s="17" t="s">
        <v>488</v>
      </c>
      <c r="AW210" s="17" t="str">
        <f>_xlfn.XLOOKUP($A210,Selected_constraint!$A:$A,Selected_constraint!$B:$B)</f>
        <v>TRACNG</v>
      </c>
      <c r="AX210" s="17" t="str">
        <f>_xlfn.XLOOKUP($A210,Selected_constraint!$A:$A,Selected_constraint!$C:$C)</f>
        <v>TRAFRERFTDMD</v>
      </c>
      <c r="AY210" s="17" t="str">
        <f>AX210</f>
        <v>TRAFRERFTDMD</v>
      </c>
      <c r="AZ210" s="18">
        <v>2019</v>
      </c>
      <c r="BA210" s="18" t="s">
        <v>483</v>
      </c>
      <c r="BB210" s="18">
        <v>1</v>
      </c>
      <c r="BC210" s="20">
        <f>-SUMIFS('TRA RESID'!$P:$P,'TRA RESID'!$I:$I,AY210,'TRA RESID'!$J:$J,AV210,'TRA RESID'!$H:$H,AW210)/SUMIFS('TRA RESID'!$P:$P,'TRA RESID'!$I:$I,AY210)*BG210</f>
        <v>0</v>
      </c>
      <c r="BD210" s="18">
        <v>0</v>
      </c>
      <c r="BE210" s="18">
        <v>5</v>
      </c>
      <c r="BG210" s="21">
        <v>0.98</v>
      </c>
    </row>
    <row r="211" spans="1:59" x14ac:dyDescent="0.25">
      <c r="C211" s="15" t="str">
        <f>IF(C210="*",C210,"")</f>
        <v>*</v>
      </c>
      <c r="D211" s="17" t="str">
        <f t="shared" ref="D211:G214" si="164">D210</f>
        <v>*ICEV*</v>
      </c>
      <c r="E211" s="17" t="str">
        <f t="shared" si="164"/>
        <v>TRACNG</v>
      </c>
      <c r="F211" s="17" t="str">
        <f t="shared" si="164"/>
        <v>TRAFRERFTDMD</v>
      </c>
      <c r="G211" s="17" t="str">
        <f t="shared" si="164"/>
        <v>TRAFRERFTDMD</v>
      </c>
      <c r="H211" s="18">
        <v>2025</v>
      </c>
      <c r="I211" s="18" t="str">
        <f>I210</f>
        <v>LO</v>
      </c>
      <c r="J211" s="18"/>
      <c r="K211" s="20">
        <f>-SUMIFS('TRA RESID'!$P:$P,'TRA RESID'!$I:$I,G211,'TRA RESID'!$J:$J,D211,'TRA RESID'!$H:$H,E211)/SUMIFS('TRA RESID'!$P:$P,'TRA RESID'!$I:$I,G211)*O211</f>
        <v>-3.3492161665817713E-3</v>
      </c>
      <c r="L211" s="18"/>
      <c r="M211" s="18"/>
      <c r="O211" s="21">
        <v>0.8</v>
      </c>
      <c r="S211" s="15" t="str">
        <f>IF(S210="*",S210,"")</f>
        <v>*</v>
      </c>
      <c r="T211" s="17" t="str">
        <f t="shared" ref="T211:W214" si="165">T210</f>
        <v>*BEV*</v>
      </c>
      <c r="U211" s="17" t="str">
        <f t="shared" si="165"/>
        <v>TRACNG</v>
      </c>
      <c r="V211" s="17" t="str">
        <f t="shared" si="165"/>
        <v>TRAFRERFTDMD</v>
      </c>
      <c r="W211" s="17" t="str">
        <f t="shared" si="165"/>
        <v>TRAFRERFTDMD</v>
      </c>
      <c r="X211" s="18">
        <v>2025</v>
      </c>
      <c r="Y211" s="18" t="str">
        <f>Y210</f>
        <v>LO</v>
      </c>
      <c r="Z211" s="18"/>
      <c r="AA211" s="20">
        <f>-SUMIFS('TRA RESID'!$P:$P,'TRA RESID'!$I:$I,W211,'TRA RESID'!$J:$J,T211,'TRA RESID'!$H:$H,U211)/SUMIFS('TRA RESID'!$P:$P,'TRA RESID'!$I:$I,W211)*AE211</f>
        <v>0</v>
      </c>
      <c r="AB211" s="18"/>
      <c r="AC211" s="18"/>
      <c r="AE211" s="21">
        <v>1</v>
      </c>
      <c r="AG211" s="15" t="str">
        <f>IF(AG210="*",AG210,"")</f>
        <v>*</v>
      </c>
      <c r="AH211" s="17" t="str">
        <f t="shared" ref="AH211:AK214" si="166">AH210</f>
        <v>*HEV*</v>
      </c>
      <c r="AI211" s="17" t="str">
        <f t="shared" si="166"/>
        <v>TRACNG</v>
      </c>
      <c r="AJ211" s="17" t="str">
        <f t="shared" si="166"/>
        <v>TRAFRERFTDMD</v>
      </c>
      <c r="AK211" s="17" t="str">
        <f t="shared" si="166"/>
        <v>TRAFRERFTDMD</v>
      </c>
      <c r="AL211" s="18">
        <v>2025</v>
      </c>
      <c r="AM211" s="18" t="str">
        <f>AM210</f>
        <v>LO</v>
      </c>
      <c r="AN211" s="18"/>
      <c r="AO211" s="20">
        <f>-SUMIFS('TRA RESID'!$P:$P,'TRA RESID'!$I:$I,AK211,'TRA RESID'!$J:$J,AH211,'TRA RESID'!$H:$H,AI211)/SUMIFS('TRA RESID'!$P:$P,'TRA RESID'!$I:$I,AK211)*AS211</f>
        <v>0</v>
      </c>
      <c r="AP211" s="18"/>
      <c r="AQ211" s="18"/>
      <c r="AS211" s="21">
        <v>0.8</v>
      </c>
      <c r="AU211" s="15" t="str">
        <f>IF(AU210="*",AU210,"")</f>
        <v>*</v>
      </c>
      <c r="AV211" s="17" t="str">
        <f t="shared" ref="AV211:AY214" si="167">AV210</f>
        <v>*FCEV*</v>
      </c>
      <c r="AW211" s="17" t="str">
        <f t="shared" si="167"/>
        <v>TRACNG</v>
      </c>
      <c r="AX211" s="17" t="str">
        <f t="shared" si="167"/>
        <v>TRAFRERFTDMD</v>
      </c>
      <c r="AY211" s="17" t="str">
        <f t="shared" si="167"/>
        <v>TRAFRERFTDMD</v>
      </c>
      <c r="AZ211" s="18">
        <v>2025</v>
      </c>
      <c r="BA211" s="18" t="str">
        <f>BA210</f>
        <v>LO</v>
      </c>
      <c r="BB211" s="18"/>
      <c r="BC211" s="20">
        <f>-SUMIFS('TRA RESID'!$P:$P,'TRA RESID'!$I:$I,AY211,'TRA RESID'!$J:$J,AV211,'TRA RESID'!$H:$H,AW211)/SUMIFS('TRA RESID'!$P:$P,'TRA RESID'!$I:$I,AY211)*BG211</f>
        <v>0</v>
      </c>
      <c r="BD211" s="18"/>
      <c r="BE211" s="18"/>
      <c r="BG211" s="21">
        <v>0.8</v>
      </c>
    </row>
    <row r="212" spans="1:59" x14ac:dyDescent="0.25">
      <c r="C212" s="15" t="str">
        <f>IF(C211="*",C211,"")</f>
        <v>*</v>
      </c>
      <c r="D212" s="17" t="str">
        <f t="shared" si="164"/>
        <v>*ICEV*</v>
      </c>
      <c r="E212" s="17" t="str">
        <f t="shared" si="164"/>
        <v>TRACNG</v>
      </c>
      <c r="F212" s="17" t="str">
        <f t="shared" si="164"/>
        <v>TRAFRERFTDMD</v>
      </c>
      <c r="G212" s="17" t="str">
        <f t="shared" si="164"/>
        <v>TRAFRERFTDMD</v>
      </c>
      <c r="H212" s="18">
        <v>2030</v>
      </c>
      <c r="I212" s="18" t="str">
        <f>I211</f>
        <v>LO</v>
      </c>
      <c r="J212" s="18"/>
      <c r="K212" s="20">
        <f>-SUMIFS('TRA RESID'!$P:$P,'TRA RESID'!$I:$I,G212,'TRA RESID'!$J:$J,D212,'TRA RESID'!$H:$H,E212)/SUMIFS('TRA RESID'!$P:$P,'TRA RESID'!$I:$I,G212)*O212</f>
        <v>-2.0932601041136071E-3</v>
      </c>
      <c r="L212" s="18"/>
      <c r="M212" s="18"/>
      <c r="O212" s="21">
        <v>0.5</v>
      </c>
      <c r="S212" s="15" t="str">
        <f>IF(S211="*",S211,"")</f>
        <v>*</v>
      </c>
      <c r="T212" s="17" t="str">
        <f t="shared" si="165"/>
        <v>*BEV*</v>
      </c>
      <c r="U212" s="17" t="str">
        <f t="shared" si="165"/>
        <v>TRACNG</v>
      </c>
      <c r="V212" s="17" t="str">
        <f t="shared" si="165"/>
        <v>TRAFRERFTDMD</v>
      </c>
      <c r="W212" s="17" t="str">
        <f t="shared" si="165"/>
        <v>TRAFRERFTDMD</v>
      </c>
      <c r="X212" s="18">
        <v>2030</v>
      </c>
      <c r="Y212" s="18" t="str">
        <f>Y211</f>
        <v>LO</v>
      </c>
      <c r="Z212" s="18"/>
      <c r="AA212" s="20">
        <f>-SUMIFS('TRA RESID'!$P:$P,'TRA RESID'!$I:$I,W212,'TRA RESID'!$J:$J,T212,'TRA RESID'!$H:$H,U212)/SUMIFS('TRA RESID'!$P:$P,'TRA RESID'!$I:$I,W212)*AE212</f>
        <v>0</v>
      </c>
      <c r="AB212" s="18"/>
      <c r="AC212" s="18"/>
      <c r="AE212" s="21">
        <v>1</v>
      </c>
      <c r="AG212" s="15" t="str">
        <f>IF(AG211="*",AG211,"")</f>
        <v>*</v>
      </c>
      <c r="AH212" s="17" t="str">
        <f t="shared" si="166"/>
        <v>*HEV*</v>
      </c>
      <c r="AI212" s="17" t="str">
        <f t="shared" si="166"/>
        <v>TRACNG</v>
      </c>
      <c r="AJ212" s="17" t="str">
        <f t="shared" si="166"/>
        <v>TRAFRERFTDMD</v>
      </c>
      <c r="AK212" s="17" t="str">
        <f t="shared" si="166"/>
        <v>TRAFRERFTDMD</v>
      </c>
      <c r="AL212" s="18">
        <v>2030</v>
      </c>
      <c r="AM212" s="18" t="str">
        <f>AM211</f>
        <v>LO</v>
      </c>
      <c r="AN212" s="18"/>
      <c r="AO212" s="20">
        <f>-SUMIFS('TRA RESID'!$P:$P,'TRA RESID'!$I:$I,AK212,'TRA RESID'!$J:$J,AH212,'TRA RESID'!$H:$H,AI212)/SUMIFS('TRA RESID'!$P:$P,'TRA RESID'!$I:$I,AK212)*AS212</f>
        <v>0</v>
      </c>
      <c r="AP212" s="18"/>
      <c r="AQ212" s="18"/>
      <c r="AS212" s="21">
        <v>0.5</v>
      </c>
      <c r="AU212" s="15" t="str">
        <f>IF(AU211="*",AU211,"")</f>
        <v>*</v>
      </c>
      <c r="AV212" s="17" t="str">
        <f t="shared" si="167"/>
        <v>*FCEV*</v>
      </c>
      <c r="AW212" s="17" t="str">
        <f t="shared" si="167"/>
        <v>TRACNG</v>
      </c>
      <c r="AX212" s="17" t="str">
        <f t="shared" si="167"/>
        <v>TRAFRERFTDMD</v>
      </c>
      <c r="AY212" s="17" t="str">
        <f t="shared" si="167"/>
        <v>TRAFRERFTDMD</v>
      </c>
      <c r="AZ212" s="18">
        <v>2030</v>
      </c>
      <c r="BA212" s="18" t="str">
        <f>BA211</f>
        <v>LO</v>
      </c>
      <c r="BB212" s="18"/>
      <c r="BC212" s="20">
        <f>-SUMIFS('TRA RESID'!$P:$P,'TRA RESID'!$I:$I,AY212,'TRA RESID'!$J:$J,AV212,'TRA RESID'!$H:$H,AW212)/SUMIFS('TRA RESID'!$P:$P,'TRA RESID'!$I:$I,AY212)*BG212</f>
        <v>0</v>
      </c>
      <c r="BD212" s="18"/>
      <c r="BE212" s="18"/>
      <c r="BG212" s="21">
        <v>0.5</v>
      </c>
    </row>
    <row r="213" spans="1:59" x14ac:dyDescent="0.25">
      <c r="C213" s="15" t="str">
        <f>IF(C212="*",C212,"")</f>
        <v>*</v>
      </c>
      <c r="D213" s="17" t="str">
        <f t="shared" si="164"/>
        <v>*ICEV*</v>
      </c>
      <c r="E213" s="17" t="str">
        <f t="shared" si="164"/>
        <v>TRACNG</v>
      </c>
      <c r="F213" s="17" t="str">
        <f t="shared" si="164"/>
        <v>TRAFRERFTDMD</v>
      </c>
      <c r="G213" s="17" t="str">
        <f t="shared" si="164"/>
        <v>TRAFRERFTDMD</v>
      </c>
      <c r="H213" s="18">
        <v>2040</v>
      </c>
      <c r="I213" s="18" t="str">
        <f>I212</f>
        <v>LO</v>
      </c>
      <c r="J213" s="18"/>
      <c r="K213" s="20">
        <f>-SUMIFS('TRA RESID'!$P:$P,'TRA RESID'!$I:$I,G213,'TRA RESID'!$J:$J,D213,'TRA RESID'!$H:$H,E213)/SUMIFS('TRA RESID'!$P:$P,'TRA RESID'!$I:$I,G213)*O213</f>
        <v>0</v>
      </c>
      <c r="L213" s="18"/>
      <c r="M213" s="18"/>
      <c r="O213" s="21">
        <v>0</v>
      </c>
      <c r="S213" s="15" t="str">
        <f>IF(S212="*",S212,"")</f>
        <v>*</v>
      </c>
      <c r="T213" s="17" t="str">
        <f t="shared" si="165"/>
        <v>*BEV*</v>
      </c>
      <c r="U213" s="17" t="str">
        <f t="shared" si="165"/>
        <v>TRACNG</v>
      </c>
      <c r="V213" s="17" t="str">
        <f t="shared" si="165"/>
        <v>TRAFRERFTDMD</v>
      </c>
      <c r="W213" s="17" t="str">
        <f t="shared" si="165"/>
        <v>TRAFRERFTDMD</v>
      </c>
      <c r="X213" s="18">
        <v>2040</v>
      </c>
      <c r="Y213" s="18" t="str">
        <f>Y212</f>
        <v>LO</v>
      </c>
      <c r="Z213" s="18"/>
      <c r="AA213" s="20">
        <f>-SUMIFS('TRA RESID'!$P:$P,'TRA RESID'!$I:$I,W213,'TRA RESID'!$J:$J,T213,'TRA RESID'!$H:$H,U213)/SUMIFS('TRA RESID'!$P:$P,'TRA RESID'!$I:$I,W213)*AE213</f>
        <v>0</v>
      </c>
      <c r="AB213" s="18"/>
      <c r="AC213" s="18"/>
      <c r="AE213" s="21">
        <v>1</v>
      </c>
      <c r="AG213" s="15" t="str">
        <f>IF(AG212="*",AG212,"")</f>
        <v>*</v>
      </c>
      <c r="AH213" s="17" t="str">
        <f t="shared" si="166"/>
        <v>*HEV*</v>
      </c>
      <c r="AI213" s="17" t="str">
        <f t="shared" si="166"/>
        <v>TRACNG</v>
      </c>
      <c r="AJ213" s="17" t="str">
        <f t="shared" si="166"/>
        <v>TRAFRERFTDMD</v>
      </c>
      <c r="AK213" s="17" t="str">
        <f t="shared" si="166"/>
        <v>TRAFRERFTDMD</v>
      </c>
      <c r="AL213" s="18">
        <v>2040</v>
      </c>
      <c r="AM213" s="18" t="str">
        <f>AM212</f>
        <v>LO</v>
      </c>
      <c r="AN213" s="18"/>
      <c r="AO213" s="20">
        <f>-SUMIFS('TRA RESID'!$P:$P,'TRA RESID'!$I:$I,AK213,'TRA RESID'!$J:$J,AH213,'TRA RESID'!$H:$H,AI213)/SUMIFS('TRA RESID'!$P:$P,'TRA RESID'!$I:$I,AK213)*AS213</f>
        <v>0</v>
      </c>
      <c r="AP213" s="18"/>
      <c r="AQ213" s="18"/>
      <c r="AS213" s="21">
        <v>0</v>
      </c>
      <c r="AU213" s="15" t="str">
        <f>IF(AU212="*",AU212,"")</f>
        <v>*</v>
      </c>
      <c r="AV213" s="17" t="str">
        <f t="shared" si="167"/>
        <v>*FCEV*</v>
      </c>
      <c r="AW213" s="17" t="str">
        <f t="shared" si="167"/>
        <v>TRACNG</v>
      </c>
      <c r="AX213" s="17" t="str">
        <f t="shared" si="167"/>
        <v>TRAFRERFTDMD</v>
      </c>
      <c r="AY213" s="17" t="str">
        <f t="shared" si="167"/>
        <v>TRAFRERFTDMD</v>
      </c>
      <c r="AZ213" s="18">
        <v>2040</v>
      </c>
      <c r="BA213" s="18" t="str">
        <f>BA212</f>
        <v>LO</v>
      </c>
      <c r="BB213" s="18"/>
      <c r="BC213" s="20">
        <f>-SUMIFS('TRA RESID'!$P:$P,'TRA RESID'!$I:$I,AY213,'TRA RESID'!$J:$J,AV213,'TRA RESID'!$H:$H,AW213)/SUMIFS('TRA RESID'!$P:$P,'TRA RESID'!$I:$I,AY213)*BG213</f>
        <v>0</v>
      </c>
      <c r="BD213" s="18"/>
      <c r="BE213" s="18"/>
      <c r="BG213" s="21">
        <v>0</v>
      </c>
    </row>
    <row r="214" spans="1:59" x14ac:dyDescent="0.25">
      <c r="C214" s="23" t="str">
        <f>IF(C213="*",C213,"")</f>
        <v>*</v>
      </c>
      <c r="D214" s="25" t="str">
        <f t="shared" si="164"/>
        <v>*ICEV*</v>
      </c>
      <c r="E214" s="25" t="str">
        <f t="shared" si="164"/>
        <v>TRACNG</v>
      </c>
      <c r="F214" s="25" t="str">
        <f t="shared" si="164"/>
        <v>TRAFRERFTDMD</v>
      </c>
      <c r="G214" s="25" t="str">
        <f t="shared" si="164"/>
        <v>TRAFRERFTDMD</v>
      </c>
      <c r="H214" s="26">
        <v>2050</v>
      </c>
      <c r="I214" s="26" t="str">
        <f>I212</f>
        <v>LO</v>
      </c>
      <c r="J214" s="26"/>
      <c r="K214" s="27">
        <f>-SUMIFS('TRA RESID'!$P:$P,'TRA RESID'!$I:$I,G214,'TRA RESID'!$J:$J,D214,'TRA RESID'!$H:$H,E214)/SUMIFS('TRA RESID'!$P:$P,'TRA RESID'!$I:$I,G214)*O214</f>
        <v>0</v>
      </c>
      <c r="L214" s="26"/>
      <c r="M214" s="26"/>
      <c r="O214" s="28">
        <v>0</v>
      </c>
      <c r="S214" s="23" t="str">
        <f>IF(S213="*",S213,"")</f>
        <v>*</v>
      </c>
      <c r="T214" s="25" t="str">
        <f t="shared" si="165"/>
        <v>*BEV*</v>
      </c>
      <c r="U214" s="25" t="str">
        <f t="shared" si="165"/>
        <v>TRACNG</v>
      </c>
      <c r="V214" s="25" t="str">
        <f t="shared" si="165"/>
        <v>TRAFRERFTDMD</v>
      </c>
      <c r="W214" s="25" t="str">
        <f t="shared" si="165"/>
        <v>TRAFRERFTDMD</v>
      </c>
      <c r="X214" s="26">
        <v>2050</v>
      </c>
      <c r="Y214" s="26" t="str">
        <f>Y212</f>
        <v>LO</v>
      </c>
      <c r="Z214" s="26"/>
      <c r="AA214" s="27">
        <f>-SUMIFS('TRA RESID'!$P:$P,'TRA RESID'!$I:$I,W214,'TRA RESID'!$J:$J,T214,'TRA RESID'!$H:$H,U214)/SUMIFS('TRA RESID'!$P:$P,'TRA RESID'!$I:$I,W214)*AE214</f>
        <v>0</v>
      </c>
      <c r="AB214" s="26"/>
      <c r="AC214" s="26"/>
      <c r="AE214" s="28">
        <v>1</v>
      </c>
      <c r="AG214" s="23" t="str">
        <f>IF(AG213="*",AG213,"")</f>
        <v>*</v>
      </c>
      <c r="AH214" s="25" t="str">
        <f t="shared" si="166"/>
        <v>*HEV*</v>
      </c>
      <c r="AI214" s="25" t="str">
        <f t="shared" si="166"/>
        <v>TRACNG</v>
      </c>
      <c r="AJ214" s="25" t="str">
        <f t="shared" si="166"/>
        <v>TRAFRERFTDMD</v>
      </c>
      <c r="AK214" s="25" t="str">
        <f t="shared" si="166"/>
        <v>TRAFRERFTDMD</v>
      </c>
      <c r="AL214" s="26">
        <v>2050</v>
      </c>
      <c r="AM214" s="26" t="str">
        <f>AM212</f>
        <v>LO</v>
      </c>
      <c r="AN214" s="26"/>
      <c r="AO214" s="27">
        <f>-SUMIFS('TRA RESID'!$P:$P,'TRA RESID'!$I:$I,AK214,'TRA RESID'!$J:$J,AH214,'TRA RESID'!$H:$H,AI214)/SUMIFS('TRA RESID'!$P:$P,'TRA RESID'!$I:$I,AK214)*AS214</f>
        <v>0</v>
      </c>
      <c r="AP214" s="26"/>
      <c r="AQ214" s="26"/>
      <c r="AS214" s="28">
        <v>0</v>
      </c>
      <c r="AU214" s="23" t="str">
        <f>IF(AU213="*",AU213,"")</f>
        <v>*</v>
      </c>
      <c r="AV214" s="25" t="str">
        <f t="shared" si="167"/>
        <v>*FCEV*</v>
      </c>
      <c r="AW214" s="25" t="str">
        <f t="shared" si="167"/>
        <v>TRACNG</v>
      </c>
      <c r="AX214" s="25" t="str">
        <f t="shared" si="167"/>
        <v>TRAFRERFTDMD</v>
      </c>
      <c r="AY214" s="25" t="str">
        <f t="shared" si="167"/>
        <v>TRAFRERFTDMD</v>
      </c>
      <c r="AZ214" s="26">
        <v>2050</v>
      </c>
      <c r="BA214" s="26" t="str">
        <f>BA212</f>
        <v>LO</v>
      </c>
      <c r="BB214" s="26"/>
      <c r="BC214" s="27">
        <f>-SUMIFS('TRA RESID'!$P:$P,'TRA RESID'!$I:$I,AY214,'TRA RESID'!$J:$J,AV214,'TRA RESID'!$H:$H,AW214)/SUMIFS('TRA RESID'!$P:$P,'TRA RESID'!$I:$I,AY214)*BG214</f>
        <v>0</v>
      </c>
      <c r="BD214" s="26"/>
      <c r="BE214" s="26"/>
      <c r="BG214" s="28">
        <v>0</v>
      </c>
    </row>
    <row r="215" spans="1:59" x14ac:dyDescent="0.25">
      <c r="A215">
        <f>A210+1</f>
        <v>43</v>
      </c>
      <c r="C215" s="15" t="str">
        <f>IF(E215="","",IF(_xlfn.XLOOKUP($A215,Selected_constraint!$A:$A,Selected_constraint!$D:$D)=1,"*",IF(SUMIFS('TRA TECH'!$M:$M,'TRA TECH'!$H:$H,E215,'TRA TECH'!$I:$I,F215)=0,"*",IF(SUMIFS('TRA RESID'!$P:$P,'TRA RESID'!$I:$I,G215,'TRA RESID'!$J:$J,D215,'TRA RESID'!$H:$H,E215)=0,"*","UC_"&amp;SUBSTITUTE(D215,"*","")&amp;"_"&amp;RIGHT(E215,3)&amp;"_"&amp;F215))))</f>
        <v>*</v>
      </c>
      <c r="D215" s="17" t="s">
        <v>485</v>
      </c>
      <c r="E215" s="17" t="str">
        <f>_xlfn.XLOOKUP($A215,Selected_constraint!$A:$A,Selected_constraint!$B:$B)</f>
        <v>TRARNG</v>
      </c>
      <c r="F215" s="17" t="str">
        <f>_xlfn.XLOOKUP($A215,Selected_constraint!$A:$A,Selected_constraint!$C:$C)</f>
        <v>TRAFRERFTDMD</v>
      </c>
      <c r="G215" s="17" t="str">
        <f>F215</f>
        <v>TRAFRERFTDMD</v>
      </c>
      <c r="H215" s="18">
        <v>2019</v>
      </c>
      <c r="I215" s="18" t="s">
        <v>483</v>
      </c>
      <c r="J215" s="18">
        <v>1</v>
      </c>
      <c r="K215" s="20">
        <f>-SUMIFS('TRA RESID'!$P:$P,'TRA RESID'!$I:$I,G215,'TRA RESID'!$J:$J,D215,'TRA RESID'!$H:$H,E215)/SUMIFS('TRA RESID'!$P:$P,'TRA RESID'!$I:$I,G215)*O215</f>
        <v>0</v>
      </c>
      <c r="L215" s="18">
        <v>0</v>
      </c>
      <c r="M215" s="18">
        <v>5</v>
      </c>
      <c r="O215" s="21">
        <v>0.98</v>
      </c>
      <c r="Q215">
        <f>Q210+1</f>
        <v>43</v>
      </c>
      <c r="S215" s="15" t="str">
        <f>IF(SUMIFS('TRA RESID'!$P:$P,'TRA RESID'!$I:$I,W215,'TRA RESID'!$J:$J,T215,'TRA RESID'!$H:$H,U215)=0,"*","UC_"&amp;SUBSTITUTE(T215,"*","")&amp;"_"&amp;RIGHT(U215,3)&amp;"_"&amp;V215)</f>
        <v>*</v>
      </c>
      <c r="T215" s="17" t="s">
        <v>486</v>
      </c>
      <c r="U215" s="17" t="str">
        <f>_xlfn.XLOOKUP($A215,Selected_constraint!$A:$A,Selected_constraint!$B:$B)</f>
        <v>TRARNG</v>
      </c>
      <c r="V215" s="17" t="str">
        <f>_xlfn.XLOOKUP($A215,Selected_constraint!$A:$A,Selected_constraint!$C:$C)</f>
        <v>TRAFRERFTDMD</v>
      </c>
      <c r="W215" s="17" t="str">
        <f>V215</f>
        <v>TRAFRERFTDMD</v>
      </c>
      <c r="X215" s="18">
        <v>2019</v>
      </c>
      <c r="Y215" s="18" t="s">
        <v>483</v>
      </c>
      <c r="Z215" s="18">
        <v>1</v>
      </c>
      <c r="AA215" s="20">
        <f>-SUMIFS('TRA RESID'!$P:$P,'TRA RESID'!$I:$I,W215,'TRA RESID'!$J:$J,T215,'TRA RESID'!$H:$H,U215)/SUMIFS('TRA RESID'!$P:$P,'TRA RESID'!$I:$I,W215)*AE215</f>
        <v>0</v>
      </c>
      <c r="AB215" s="18">
        <v>0</v>
      </c>
      <c r="AC215" s="18">
        <v>5</v>
      </c>
      <c r="AE215" s="21">
        <v>0.98</v>
      </c>
      <c r="AG215" s="15" t="str">
        <f>IF(SUMIFS('TRA RESID'!$P:$P,'TRA RESID'!$I:$I,AK215,'TRA RESID'!$J:$J,AH215,'TRA RESID'!$H:$H,AI215)=0,"*","UC_"&amp;SUBSTITUTE(AH215,"*","")&amp;"_"&amp;RIGHT(AI215,3)&amp;"_"&amp;AJ215)</f>
        <v>*</v>
      </c>
      <c r="AH215" s="17" t="s">
        <v>487</v>
      </c>
      <c r="AI215" s="17" t="str">
        <f>_xlfn.XLOOKUP($A215,Selected_constraint!$A:$A,Selected_constraint!$B:$B)</f>
        <v>TRARNG</v>
      </c>
      <c r="AJ215" s="17" t="str">
        <f>_xlfn.XLOOKUP($A215,Selected_constraint!$A:$A,Selected_constraint!$C:$C)</f>
        <v>TRAFRERFTDMD</v>
      </c>
      <c r="AK215" s="17" t="str">
        <f>AJ215</f>
        <v>TRAFRERFTDMD</v>
      </c>
      <c r="AL215" s="18">
        <v>2019</v>
      </c>
      <c r="AM215" s="18" t="s">
        <v>483</v>
      </c>
      <c r="AN215" s="18">
        <v>1</v>
      </c>
      <c r="AO215" s="20">
        <f>-SUMIFS('TRA RESID'!$P:$P,'TRA RESID'!$I:$I,AK215,'TRA RESID'!$J:$J,AH215,'TRA RESID'!$H:$H,AI215)/SUMIFS('TRA RESID'!$P:$P,'TRA RESID'!$I:$I,AK215)*AS215</f>
        <v>0</v>
      </c>
      <c r="AP215" s="18">
        <v>0</v>
      </c>
      <c r="AQ215" s="18">
        <v>5</v>
      </c>
      <c r="AS215" s="21">
        <v>0.98</v>
      </c>
      <c r="AU215" s="15" t="str">
        <f>IF(SUMIFS('TRA RESID'!$P:$P,'TRA RESID'!$I:$I,AY215,'TRA RESID'!$J:$J,AV215,'TRA RESID'!$H:$H,AW215)=0,"*","UC_"&amp;SUBSTITUTE(AV215,"*","")&amp;"_"&amp;RIGHT(AW215,3)&amp;"_"&amp;AX215)</f>
        <v>*</v>
      </c>
      <c r="AV215" s="17" t="s">
        <v>488</v>
      </c>
      <c r="AW215" s="17" t="str">
        <f>_xlfn.XLOOKUP($A215,Selected_constraint!$A:$A,Selected_constraint!$B:$B)</f>
        <v>TRARNG</v>
      </c>
      <c r="AX215" s="17" t="str">
        <f>_xlfn.XLOOKUP($A215,Selected_constraint!$A:$A,Selected_constraint!$C:$C)</f>
        <v>TRAFRERFTDMD</v>
      </c>
      <c r="AY215" s="17" t="str">
        <f>AX215</f>
        <v>TRAFRERFTDMD</v>
      </c>
      <c r="AZ215" s="18">
        <v>2019</v>
      </c>
      <c r="BA215" s="18" t="s">
        <v>483</v>
      </c>
      <c r="BB215" s="18">
        <v>1</v>
      </c>
      <c r="BC215" s="20">
        <f>-SUMIFS('TRA RESID'!$P:$P,'TRA RESID'!$I:$I,AY215,'TRA RESID'!$J:$J,AV215,'TRA RESID'!$H:$H,AW215)/SUMIFS('TRA RESID'!$P:$P,'TRA RESID'!$I:$I,AY215)*BG215</f>
        <v>0</v>
      </c>
      <c r="BD215" s="18">
        <v>0</v>
      </c>
      <c r="BE215" s="18">
        <v>5</v>
      </c>
      <c r="BG215" s="21">
        <v>0.98</v>
      </c>
    </row>
    <row r="216" spans="1:59" x14ac:dyDescent="0.25">
      <c r="C216" s="15" t="str">
        <f>IF(C215="*",C215,"")</f>
        <v>*</v>
      </c>
      <c r="D216" s="17" t="str">
        <f t="shared" ref="D216:G219" si="168">D215</f>
        <v>*ICEV*</v>
      </c>
      <c r="E216" s="17" t="str">
        <f t="shared" si="168"/>
        <v>TRARNG</v>
      </c>
      <c r="F216" s="17" t="str">
        <f t="shared" si="168"/>
        <v>TRAFRERFTDMD</v>
      </c>
      <c r="G216" s="17" t="str">
        <f t="shared" si="168"/>
        <v>TRAFRERFTDMD</v>
      </c>
      <c r="H216" s="18">
        <v>2025</v>
      </c>
      <c r="I216" s="18" t="str">
        <f>I215</f>
        <v>LO</v>
      </c>
      <c r="J216" s="18"/>
      <c r="K216" s="20">
        <f>-SUMIFS('TRA RESID'!$P:$P,'TRA RESID'!$I:$I,G216,'TRA RESID'!$J:$J,D216,'TRA RESID'!$H:$H,E216)/SUMIFS('TRA RESID'!$P:$P,'TRA RESID'!$I:$I,G216)*O216</f>
        <v>0</v>
      </c>
      <c r="L216" s="18"/>
      <c r="M216" s="18"/>
      <c r="O216" s="21">
        <v>0.8</v>
      </c>
      <c r="S216" s="15" t="str">
        <f>IF(S215="*",S215,"")</f>
        <v>*</v>
      </c>
      <c r="T216" s="17" t="str">
        <f t="shared" ref="T216:W219" si="169">T215</f>
        <v>*BEV*</v>
      </c>
      <c r="U216" s="17" t="str">
        <f t="shared" si="169"/>
        <v>TRARNG</v>
      </c>
      <c r="V216" s="17" t="str">
        <f t="shared" si="169"/>
        <v>TRAFRERFTDMD</v>
      </c>
      <c r="W216" s="17" t="str">
        <f t="shared" si="169"/>
        <v>TRAFRERFTDMD</v>
      </c>
      <c r="X216" s="18">
        <v>2025</v>
      </c>
      <c r="Y216" s="18" t="str">
        <f>Y215</f>
        <v>LO</v>
      </c>
      <c r="Z216" s="18"/>
      <c r="AA216" s="20">
        <f>-SUMIFS('TRA RESID'!$P:$P,'TRA RESID'!$I:$I,W216,'TRA RESID'!$J:$J,T216,'TRA RESID'!$H:$H,U216)/SUMIFS('TRA RESID'!$P:$P,'TRA RESID'!$I:$I,W216)*AE216</f>
        <v>0</v>
      </c>
      <c r="AB216" s="18"/>
      <c r="AC216" s="18"/>
      <c r="AE216" s="21">
        <v>1</v>
      </c>
      <c r="AG216" s="15" t="str">
        <f>IF(AG215="*",AG215,"")</f>
        <v>*</v>
      </c>
      <c r="AH216" s="17" t="str">
        <f t="shared" ref="AH216:AK219" si="170">AH215</f>
        <v>*HEV*</v>
      </c>
      <c r="AI216" s="17" t="str">
        <f t="shared" si="170"/>
        <v>TRARNG</v>
      </c>
      <c r="AJ216" s="17" t="str">
        <f t="shared" si="170"/>
        <v>TRAFRERFTDMD</v>
      </c>
      <c r="AK216" s="17" t="str">
        <f t="shared" si="170"/>
        <v>TRAFRERFTDMD</v>
      </c>
      <c r="AL216" s="18">
        <v>2025</v>
      </c>
      <c r="AM216" s="18" t="str">
        <f>AM215</f>
        <v>LO</v>
      </c>
      <c r="AN216" s="18"/>
      <c r="AO216" s="20">
        <f>-SUMIFS('TRA RESID'!$P:$P,'TRA RESID'!$I:$I,AK216,'TRA RESID'!$J:$J,AH216,'TRA RESID'!$H:$H,AI216)/SUMIFS('TRA RESID'!$P:$P,'TRA RESID'!$I:$I,AK216)*AS216</f>
        <v>0</v>
      </c>
      <c r="AP216" s="18"/>
      <c r="AQ216" s="18"/>
      <c r="AS216" s="21">
        <v>0.8</v>
      </c>
      <c r="AU216" s="15" t="str">
        <f>IF(AU215="*",AU215,"")</f>
        <v>*</v>
      </c>
      <c r="AV216" s="17" t="str">
        <f t="shared" ref="AV216:AY219" si="171">AV215</f>
        <v>*FCEV*</v>
      </c>
      <c r="AW216" s="17" t="str">
        <f t="shared" si="171"/>
        <v>TRARNG</v>
      </c>
      <c r="AX216" s="17" t="str">
        <f t="shared" si="171"/>
        <v>TRAFRERFTDMD</v>
      </c>
      <c r="AY216" s="17" t="str">
        <f t="shared" si="171"/>
        <v>TRAFRERFTDMD</v>
      </c>
      <c r="AZ216" s="18">
        <v>2025</v>
      </c>
      <c r="BA216" s="18" t="str">
        <f>BA215</f>
        <v>LO</v>
      </c>
      <c r="BB216" s="18"/>
      <c r="BC216" s="20">
        <f>-SUMIFS('TRA RESID'!$P:$P,'TRA RESID'!$I:$I,AY216,'TRA RESID'!$J:$J,AV216,'TRA RESID'!$H:$H,AW216)/SUMIFS('TRA RESID'!$P:$P,'TRA RESID'!$I:$I,AY216)*BG216</f>
        <v>0</v>
      </c>
      <c r="BD216" s="18"/>
      <c r="BE216" s="18"/>
      <c r="BG216" s="21">
        <v>0.8</v>
      </c>
    </row>
    <row r="217" spans="1:59" x14ac:dyDescent="0.25">
      <c r="C217" s="15" t="str">
        <f>IF(C216="*",C216,"")</f>
        <v>*</v>
      </c>
      <c r="D217" s="17" t="str">
        <f t="shared" si="168"/>
        <v>*ICEV*</v>
      </c>
      <c r="E217" s="17" t="str">
        <f t="shared" si="168"/>
        <v>TRARNG</v>
      </c>
      <c r="F217" s="17" t="str">
        <f t="shared" si="168"/>
        <v>TRAFRERFTDMD</v>
      </c>
      <c r="G217" s="17" t="str">
        <f t="shared" si="168"/>
        <v>TRAFRERFTDMD</v>
      </c>
      <c r="H217" s="18">
        <v>2030</v>
      </c>
      <c r="I217" s="18" t="str">
        <f>I216</f>
        <v>LO</v>
      </c>
      <c r="J217" s="18"/>
      <c r="K217" s="20">
        <f>-SUMIFS('TRA RESID'!$P:$P,'TRA RESID'!$I:$I,G217,'TRA RESID'!$J:$J,D217,'TRA RESID'!$H:$H,E217)/SUMIFS('TRA RESID'!$P:$P,'TRA RESID'!$I:$I,G217)*O217</f>
        <v>0</v>
      </c>
      <c r="L217" s="18"/>
      <c r="M217" s="18"/>
      <c r="O217" s="21">
        <v>0.5</v>
      </c>
      <c r="S217" s="15" t="str">
        <f>IF(S216="*",S216,"")</f>
        <v>*</v>
      </c>
      <c r="T217" s="17" t="str">
        <f t="shared" si="169"/>
        <v>*BEV*</v>
      </c>
      <c r="U217" s="17" t="str">
        <f t="shared" si="169"/>
        <v>TRARNG</v>
      </c>
      <c r="V217" s="17" t="str">
        <f t="shared" si="169"/>
        <v>TRAFRERFTDMD</v>
      </c>
      <c r="W217" s="17" t="str">
        <f t="shared" si="169"/>
        <v>TRAFRERFTDMD</v>
      </c>
      <c r="X217" s="18">
        <v>2030</v>
      </c>
      <c r="Y217" s="18" t="str">
        <f>Y216</f>
        <v>LO</v>
      </c>
      <c r="Z217" s="18"/>
      <c r="AA217" s="20">
        <f>-SUMIFS('TRA RESID'!$P:$P,'TRA RESID'!$I:$I,W217,'TRA RESID'!$J:$J,T217,'TRA RESID'!$H:$H,U217)/SUMIFS('TRA RESID'!$P:$P,'TRA RESID'!$I:$I,W217)*AE217</f>
        <v>0</v>
      </c>
      <c r="AB217" s="18"/>
      <c r="AC217" s="18"/>
      <c r="AE217" s="21">
        <v>1</v>
      </c>
      <c r="AG217" s="15" t="str">
        <f>IF(AG216="*",AG216,"")</f>
        <v>*</v>
      </c>
      <c r="AH217" s="17" t="str">
        <f t="shared" si="170"/>
        <v>*HEV*</v>
      </c>
      <c r="AI217" s="17" t="str">
        <f t="shared" si="170"/>
        <v>TRARNG</v>
      </c>
      <c r="AJ217" s="17" t="str">
        <f t="shared" si="170"/>
        <v>TRAFRERFTDMD</v>
      </c>
      <c r="AK217" s="17" t="str">
        <f t="shared" si="170"/>
        <v>TRAFRERFTDMD</v>
      </c>
      <c r="AL217" s="18">
        <v>2030</v>
      </c>
      <c r="AM217" s="18" t="str">
        <f>AM216</f>
        <v>LO</v>
      </c>
      <c r="AN217" s="18"/>
      <c r="AO217" s="20">
        <f>-SUMIFS('TRA RESID'!$P:$P,'TRA RESID'!$I:$I,AK217,'TRA RESID'!$J:$J,AH217,'TRA RESID'!$H:$H,AI217)/SUMIFS('TRA RESID'!$P:$P,'TRA RESID'!$I:$I,AK217)*AS217</f>
        <v>0</v>
      </c>
      <c r="AP217" s="18"/>
      <c r="AQ217" s="18"/>
      <c r="AS217" s="21">
        <v>0.5</v>
      </c>
      <c r="AU217" s="15" t="str">
        <f>IF(AU216="*",AU216,"")</f>
        <v>*</v>
      </c>
      <c r="AV217" s="17" t="str">
        <f t="shared" si="171"/>
        <v>*FCEV*</v>
      </c>
      <c r="AW217" s="17" t="str">
        <f t="shared" si="171"/>
        <v>TRARNG</v>
      </c>
      <c r="AX217" s="17" t="str">
        <f t="shared" si="171"/>
        <v>TRAFRERFTDMD</v>
      </c>
      <c r="AY217" s="17" t="str">
        <f t="shared" si="171"/>
        <v>TRAFRERFTDMD</v>
      </c>
      <c r="AZ217" s="18">
        <v>2030</v>
      </c>
      <c r="BA217" s="18" t="str">
        <f>BA216</f>
        <v>LO</v>
      </c>
      <c r="BB217" s="18"/>
      <c r="BC217" s="20">
        <f>-SUMIFS('TRA RESID'!$P:$P,'TRA RESID'!$I:$I,AY217,'TRA RESID'!$J:$J,AV217,'TRA RESID'!$H:$H,AW217)/SUMIFS('TRA RESID'!$P:$P,'TRA RESID'!$I:$I,AY217)*BG217</f>
        <v>0</v>
      </c>
      <c r="BD217" s="18"/>
      <c r="BE217" s="18"/>
      <c r="BG217" s="21">
        <v>0.5</v>
      </c>
    </row>
    <row r="218" spans="1:59" x14ac:dyDescent="0.25">
      <c r="C218" s="15" t="str">
        <f>IF(C217="*",C217,"")</f>
        <v>*</v>
      </c>
      <c r="D218" s="17" t="str">
        <f t="shared" si="168"/>
        <v>*ICEV*</v>
      </c>
      <c r="E218" s="17" t="str">
        <f t="shared" si="168"/>
        <v>TRARNG</v>
      </c>
      <c r="F218" s="17" t="str">
        <f t="shared" si="168"/>
        <v>TRAFRERFTDMD</v>
      </c>
      <c r="G218" s="17" t="str">
        <f t="shared" si="168"/>
        <v>TRAFRERFTDMD</v>
      </c>
      <c r="H218" s="18">
        <v>2040</v>
      </c>
      <c r="I218" s="18" t="str">
        <f>I217</f>
        <v>LO</v>
      </c>
      <c r="J218" s="18"/>
      <c r="K218" s="20">
        <f>-SUMIFS('TRA RESID'!$P:$P,'TRA RESID'!$I:$I,G218,'TRA RESID'!$J:$J,D218,'TRA RESID'!$H:$H,E218)/SUMIFS('TRA RESID'!$P:$P,'TRA RESID'!$I:$I,G218)*O218</f>
        <v>0</v>
      </c>
      <c r="L218" s="18"/>
      <c r="M218" s="18"/>
      <c r="O218" s="21">
        <v>0</v>
      </c>
      <c r="S218" s="15" t="str">
        <f>IF(S217="*",S217,"")</f>
        <v>*</v>
      </c>
      <c r="T218" s="17" t="str">
        <f t="shared" si="169"/>
        <v>*BEV*</v>
      </c>
      <c r="U218" s="17" t="str">
        <f t="shared" si="169"/>
        <v>TRARNG</v>
      </c>
      <c r="V218" s="17" t="str">
        <f t="shared" si="169"/>
        <v>TRAFRERFTDMD</v>
      </c>
      <c r="W218" s="17" t="str">
        <f t="shared" si="169"/>
        <v>TRAFRERFTDMD</v>
      </c>
      <c r="X218" s="18">
        <v>2040</v>
      </c>
      <c r="Y218" s="18" t="str">
        <f>Y217</f>
        <v>LO</v>
      </c>
      <c r="Z218" s="18"/>
      <c r="AA218" s="20">
        <f>-SUMIFS('TRA RESID'!$P:$P,'TRA RESID'!$I:$I,W218,'TRA RESID'!$J:$J,T218,'TRA RESID'!$H:$H,U218)/SUMIFS('TRA RESID'!$P:$P,'TRA RESID'!$I:$I,W218)*AE218</f>
        <v>0</v>
      </c>
      <c r="AB218" s="18"/>
      <c r="AC218" s="18"/>
      <c r="AE218" s="21">
        <v>1</v>
      </c>
      <c r="AG218" s="15" t="str">
        <f>IF(AG217="*",AG217,"")</f>
        <v>*</v>
      </c>
      <c r="AH218" s="17" t="str">
        <f t="shared" si="170"/>
        <v>*HEV*</v>
      </c>
      <c r="AI218" s="17" t="str">
        <f t="shared" si="170"/>
        <v>TRARNG</v>
      </c>
      <c r="AJ218" s="17" t="str">
        <f t="shared" si="170"/>
        <v>TRAFRERFTDMD</v>
      </c>
      <c r="AK218" s="17" t="str">
        <f t="shared" si="170"/>
        <v>TRAFRERFTDMD</v>
      </c>
      <c r="AL218" s="18">
        <v>2040</v>
      </c>
      <c r="AM218" s="18" t="str">
        <f>AM217</f>
        <v>LO</v>
      </c>
      <c r="AN218" s="18"/>
      <c r="AO218" s="20">
        <f>-SUMIFS('TRA RESID'!$P:$P,'TRA RESID'!$I:$I,AK218,'TRA RESID'!$J:$J,AH218,'TRA RESID'!$H:$H,AI218)/SUMIFS('TRA RESID'!$P:$P,'TRA RESID'!$I:$I,AK218)*AS218</f>
        <v>0</v>
      </c>
      <c r="AP218" s="18"/>
      <c r="AQ218" s="18"/>
      <c r="AS218" s="21">
        <v>0</v>
      </c>
      <c r="AU218" s="15" t="str">
        <f>IF(AU217="*",AU217,"")</f>
        <v>*</v>
      </c>
      <c r="AV218" s="17" t="str">
        <f t="shared" si="171"/>
        <v>*FCEV*</v>
      </c>
      <c r="AW218" s="17" t="str">
        <f t="shared" si="171"/>
        <v>TRARNG</v>
      </c>
      <c r="AX218" s="17" t="str">
        <f t="shared" si="171"/>
        <v>TRAFRERFTDMD</v>
      </c>
      <c r="AY218" s="17" t="str">
        <f t="shared" si="171"/>
        <v>TRAFRERFTDMD</v>
      </c>
      <c r="AZ218" s="18">
        <v>2040</v>
      </c>
      <c r="BA218" s="18" t="str">
        <f>BA217</f>
        <v>LO</v>
      </c>
      <c r="BB218" s="18"/>
      <c r="BC218" s="20">
        <f>-SUMIFS('TRA RESID'!$P:$P,'TRA RESID'!$I:$I,AY218,'TRA RESID'!$J:$J,AV218,'TRA RESID'!$H:$H,AW218)/SUMIFS('TRA RESID'!$P:$P,'TRA RESID'!$I:$I,AY218)*BG218</f>
        <v>0</v>
      </c>
      <c r="BD218" s="18"/>
      <c r="BE218" s="18"/>
      <c r="BG218" s="21">
        <v>0</v>
      </c>
    </row>
    <row r="219" spans="1:59" x14ac:dyDescent="0.25">
      <c r="C219" s="23" t="str">
        <f>IF(C218="*",C218,"")</f>
        <v>*</v>
      </c>
      <c r="D219" s="25" t="str">
        <f t="shared" si="168"/>
        <v>*ICEV*</v>
      </c>
      <c r="E219" s="25" t="str">
        <f t="shared" si="168"/>
        <v>TRARNG</v>
      </c>
      <c r="F219" s="25" t="str">
        <f t="shared" si="168"/>
        <v>TRAFRERFTDMD</v>
      </c>
      <c r="G219" s="25" t="str">
        <f t="shared" si="168"/>
        <v>TRAFRERFTDMD</v>
      </c>
      <c r="H219" s="26">
        <v>2050</v>
      </c>
      <c r="I219" s="26" t="str">
        <f>I217</f>
        <v>LO</v>
      </c>
      <c r="J219" s="26"/>
      <c r="K219" s="27">
        <f>-SUMIFS('TRA RESID'!$P:$P,'TRA RESID'!$I:$I,G219,'TRA RESID'!$J:$J,D219,'TRA RESID'!$H:$H,E219)/SUMIFS('TRA RESID'!$P:$P,'TRA RESID'!$I:$I,G219)*O219</f>
        <v>0</v>
      </c>
      <c r="L219" s="26"/>
      <c r="M219" s="26"/>
      <c r="O219" s="28">
        <v>0</v>
      </c>
      <c r="S219" s="23" t="str">
        <f>IF(S218="*",S218,"")</f>
        <v>*</v>
      </c>
      <c r="T219" s="25" t="str">
        <f t="shared" si="169"/>
        <v>*BEV*</v>
      </c>
      <c r="U219" s="25" t="str">
        <f t="shared" si="169"/>
        <v>TRARNG</v>
      </c>
      <c r="V219" s="25" t="str">
        <f t="shared" si="169"/>
        <v>TRAFRERFTDMD</v>
      </c>
      <c r="W219" s="25" t="str">
        <f t="shared" si="169"/>
        <v>TRAFRERFTDMD</v>
      </c>
      <c r="X219" s="26">
        <v>2050</v>
      </c>
      <c r="Y219" s="26" t="str">
        <f>Y217</f>
        <v>LO</v>
      </c>
      <c r="Z219" s="26"/>
      <c r="AA219" s="27">
        <f>-SUMIFS('TRA RESID'!$P:$P,'TRA RESID'!$I:$I,W219,'TRA RESID'!$J:$J,T219,'TRA RESID'!$H:$H,U219)/SUMIFS('TRA RESID'!$P:$P,'TRA RESID'!$I:$I,W219)*AE219</f>
        <v>0</v>
      </c>
      <c r="AB219" s="26"/>
      <c r="AC219" s="26"/>
      <c r="AE219" s="28">
        <v>1</v>
      </c>
      <c r="AG219" s="23" t="str">
        <f>IF(AG218="*",AG218,"")</f>
        <v>*</v>
      </c>
      <c r="AH219" s="25" t="str">
        <f t="shared" si="170"/>
        <v>*HEV*</v>
      </c>
      <c r="AI219" s="25" t="str">
        <f t="shared" si="170"/>
        <v>TRARNG</v>
      </c>
      <c r="AJ219" s="25" t="str">
        <f t="shared" si="170"/>
        <v>TRAFRERFTDMD</v>
      </c>
      <c r="AK219" s="25" t="str">
        <f t="shared" si="170"/>
        <v>TRAFRERFTDMD</v>
      </c>
      <c r="AL219" s="26">
        <v>2050</v>
      </c>
      <c r="AM219" s="26" t="str">
        <f>AM217</f>
        <v>LO</v>
      </c>
      <c r="AN219" s="26"/>
      <c r="AO219" s="27">
        <f>-SUMIFS('TRA RESID'!$P:$P,'TRA RESID'!$I:$I,AK219,'TRA RESID'!$J:$J,AH219,'TRA RESID'!$H:$H,AI219)/SUMIFS('TRA RESID'!$P:$P,'TRA RESID'!$I:$I,AK219)*AS219</f>
        <v>0</v>
      </c>
      <c r="AP219" s="26"/>
      <c r="AQ219" s="26"/>
      <c r="AS219" s="28">
        <v>0</v>
      </c>
      <c r="AU219" s="23" t="str">
        <f>IF(AU218="*",AU218,"")</f>
        <v>*</v>
      </c>
      <c r="AV219" s="25" t="str">
        <f t="shared" si="171"/>
        <v>*FCEV*</v>
      </c>
      <c r="AW219" s="25" t="str">
        <f t="shared" si="171"/>
        <v>TRARNG</v>
      </c>
      <c r="AX219" s="25" t="str">
        <f t="shared" si="171"/>
        <v>TRAFRERFTDMD</v>
      </c>
      <c r="AY219" s="25" t="str">
        <f t="shared" si="171"/>
        <v>TRAFRERFTDMD</v>
      </c>
      <c r="AZ219" s="26">
        <v>2050</v>
      </c>
      <c r="BA219" s="26" t="str">
        <f>BA217</f>
        <v>LO</v>
      </c>
      <c r="BB219" s="26"/>
      <c r="BC219" s="27">
        <f>-SUMIFS('TRA RESID'!$P:$P,'TRA RESID'!$I:$I,AY219,'TRA RESID'!$J:$J,AV219,'TRA RESID'!$H:$H,AW219)/SUMIFS('TRA RESID'!$P:$P,'TRA RESID'!$I:$I,AY219)*BG219</f>
        <v>0</v>
      </c>
      <c r="BD219" s="26"/>
      <c r="BE219" s="26"/>
      <c r="BG219" s="28">
        <v>0</v>
      </c>
    </row>
    <row r="220" spans="1:59" x14ac:dyDescent="0.25">
      <c r="A220">
        <f>A215+1</f>
        <v>44</v>
      </c>
      <c r="C220" s="15" t="str">
        <f>IF(E220="","",IF(_xlfn.XLOOKUP($A220,Selected_constraint!$A:$A,Selected_constraint!$D:$D)=1,"*",IF(SUMIFS('TRA TECH'!$M:$M,'TRA TECH'!$H:$H,E220,'TRA TECH'!$I:$I,F220)=0,"*",IF(SUMIFS('TRA RESID'!$P:$P,'TRA RESID'!$I:$I,G220,'TRA RESID'!$J:$J,D220,'TRA RESID'!$H:$H,E220)=0,"*","UC_"&amp;SUBSTITUTE(D220,"*","")&amp;"_"&amp;RIGHT(E220,3)&amp;"_"&amp;F220))))</f>
        <v>*</v>
      </c>
      <c r="D220" s="17" t="s">
        <v>485</v>
      </c>
      <c r="E220" s="17" t="str">
        <f>_xlfn.XLOOKUP($A220,Selected_constraint!$A:$A,Selected_constraint!$B:$B)</f>
        <v>TRABAF</v>
      </c>
      <c r="F220" s="17" t="str">
        <f>_xlfn.XLOOKUP($A220,Selected_constraint!$A:$A,Selected_constraint!$C:$C)</f>
        <v>TRAFRERFTDMD</v>
      </c>
      <c r="G220" s="17" t="str">
        <f>F220</f>
        <v>TRAFRERFTDMD</v>
      </c>
      <c r="H220" s="18">
        <v>2019</v>
      </c>
      <c r="I220" s="18" t="s">
        <v>483</v>
      </c>
      <c r="J220" s="18">
        <v>1</v>
      </c>
      <c r="K220" s="20">
        <f>-SUMIFS('TRA RESID'!$P:$P,'TRA RESID'!$I:$I,G220,'TRA RESID'!$J:$J,D220,'TRA RESID'!$H:$H,E220)/SUMIFS('TRA RESID'!$P:$P,'TRA RESID'!$I:$I,G220)*O220</f>
        <v>0</v>
      </c>
      <c r="L220" s="18">
        <v>0</v>
      </c>
      <c r="M220" s="18">
        <v>5</v>
      </c>
      <c r="O220" s="21">
        <v>0.98</v>
      </c>
      <c r="Q220">
        <f>Q215+1</f>
        <v>44</v>
      </c>
      <c r="S220" s="15" t="str">
        <f>IF(SUMIFS('TRA RESID'!$P:$P,'TRA RESID'!$I:$I,W220,'TRA RESID'!$J:$J,T220,'TRA RESID'!$H:$H,U220)=0,"*","UC_"&amp;SUBSTITUTE(T220,"*","")&amp;"_"&amp;RIGHT(U220,3)&amp;"_"&amp;V220)</f>
        <v>*</v>
      </c>
      <c r="T220" s="17" t="s">
        <v>486</v>
      </c>
      <c r="U220" s="17" t="str">
        <f>_xlfn.XLOOKUP($A220,Selected_constraint!$A:$A,Selected_constraint!$B:$B)</f>
        <v>TRABAF</v>
      </c>
      <c r="V220" s="17" t="str">
        <f>_xlfn.XLOOKUP($A220,Selected_constraint!$A:$A,Selected_constraint!$C:$C)</f>
        <v>TRAFRERFTDMD</v>
      </c>
      <c r="W220" s="17" t="str">
        <f>V220</f>
        <v>TRAFRERFTDMD</v>
      </c>
      <c r="X220" s="18">
        <v>2019</v>
      </c>
      <c r="Y220" s="18" t="s">
        <v>483</v>
      </c>
      <c r="Z220" s="18">
        <v>1</v>
      </c>
      <c r="AA220" s="20">
        <f>-SUMIFS('TRA RESID'!$P:$P,'TRA RESID'!$I:$I,W220,'TRA RESID'!$J:$J,T220,'TRA RESID'!$H:$H,U220)/SUMIFS('TRA RESID'!$P:$P,'TRA RESID'!$I:$I,W220)*AE220</f>
        <v>0</v>
      </c>
      <c r="AB220" s="18">
        <v>0</v>
      </c>
      <c r="AC220" s="18">
        <v>5</v>
      </c>
      <c r="AE220" s="21">
        <v>0.98</v>
      </c>
      <c r="AG220" s="15" t="str">
        <f>IF(SUMIFS('TRA RESID'!$P:$P,'TRA RESID'!$I:$I,AK220,'TRA RESID'!$J:$J,AH220,'TRA RESID'!$H:$H,AI220)=0,"*","UC_"&amp;SUBSTITUTE(AH220,"*","")&amp;"_"&amp;RIGHT(AI220,3)&amp;"_"&amp;AJ220)</f>
        <v>*</v>
      </c>
      <c r="AH220" s="17" t="s">
        <v>487</v>
      </c>
      <c r="AI220" s="17" t="str">
        <f>_xlfn.XLOOKUP($A220,Selected_constraint!$A:$A,Selected_constraint!$B:$B)</f>
        <v>TRABAF</v>
      </c>
      <c r="AJ220" s="17" t="str">
        <f>_xlfn.XLOOKUP($A220,Selected_constraint!$A:$A,Selected_constraint!$C:$C)</f>
        <v>TRAFRERFTDMD</v>
      </c>
      <c r="AK220" s="17" t="str">
        <f>AJ220</f>
        <v>TRAFRERFTDMD</v>
      </c>
      <c r="AL220" s="18">
        <v>2019</v>
      </c>
      <c r="AM220" s="18" t="s">
        <v>483</v>
      </c>
      <c r="AN220" s="18">
        <v>1</v>
      </c>
      <c r="AO220" s="20">
        <f>-SUMIFS('TRA RESID'!$P:$P,'TRA RESID'!$I:$I,AK220,'TRA RESID'!$J:$J,AH220,'TRA RESID'!$H:$H,AI220)/SUMIFS('TRA RESID'!$P:$P,'TRA RESID'!$I:$I,AK220)*AS220</f>
        <v>0</v>
      </c>
      <c r="AP220" s="18">
        <v>0</v>
      </c>
      <c r="AQ220" s="18">
        <v>5</v>
      </c>
      <c r="AS220" s="21">
        <v>0.98</v>
      </c>
      <c r="AU220" s="15" t="str">
        <f>IF(SUMIFS('TRA RESID'!$P:$P,'TRA RESID'!$I:$I,AY220,'TRA RESID'!$J:$J,AV220,'TRA RESID'!$H:$H,AW220)=0,"*","UC_"&amp;SUBSTITUTE(AV220,"*","")&amp;"_"&amp;RIGHT(AW220,3)&amp;"_"&amp;AX220)</f>
        <v>*</v>
      </c>
      <c r="AV220" s="17" t="s">
        <v>488</v>
      </c>
      <c r="AW220" s="17" t="str">
        <f>_xlfn.XLOOKUP($A220,Selected_constraint!$A:$A,Selected_constraint!$B:$B)</f>
        <v>TRABAF</v>
      </c>
      <c r="AX220" s="17" t="str">
        <f>_xlfn.XLOOKUP($A220,Selected_constraint!$A:$A,Selected_constraint!$C:$C)</f>
        <v>TRAFRERFTDMD</v>
      </c>
      <c r="AY220" s="17" t="str">
        <f>AX220</f>
        <v>TRAFRERFTDMD</v>
      </c>
      <c r="AZ220" s="18">
        <v>2019</v>
      </c>
      <c r="BA220" s="18" t="s">
        <v>483</v>
      </c>
      <c r="BB220" s="18">
        <v>1</v>
      </c>
      <c r="BC220" s="20">
        <f>-SUMIFS('TRA RESID'!$P:$P,'TRA RESID'!$I:$I,AY220,'TRA RESID'!$J:$J,AV220,'TRA RESID'!$H:$H,AW220)/SUMIFS('TRA RESID'!$P:$P,'TRA RESID'!$I:$I,AY220)*BG220</f>
        <v>0</v>
      </c>
      <c r="BD220" s="18">
        <v>0</v>
      </c>
      <c r="BE220" s="18">
        <v>5</v>
      </c>
      <c r="BG220" s="21">
        <v>0.98</v>
      </c>
    </row>
    <row r="221" spans="1:59" x14ac:dyDescent="0.25">
      <c r="C221" s="15" t="str">
        <f>IF(C220="*",C220,"")</f>
        <v>*</v>
      </c>
      <c r="D221" s="17" t="str">
        <f t="shared" ref="D221:G224" si="172">D220</f>
        <v>*ICEV*</v>
      </c>
      <c r="E221" s="17" t="str">
        <f t="shared" si="172"/>
        <v>TRABAF</v>
      </c>
      <c r="F221" s="17" t="str">
        <f t="shared" si="172"/>
        <v>TRAFRERFTDMD</v>
      </c>
      <c r="G221" s="17" t="str">
        <f t="shared" si="172"/>
        <v>TRAFRERFTDMD</v>
      </c>
      <c r="H221" s="18">
        <v>2025</v>
      </c>
      <c r="I221" s="18" t="str">
        <f>I220</f>
        <v>LO</v>
      </c>
      <c r="J221" s="18"/>
      <c r="K221" s="20">
        <f>-SUMIFS('TRA RESID'!$P:$P,'TRA RESID'!$I:$I,G221,'TRA RESID'!$J:$J,D221,'TRA RESID'!$H:$H,E221)/SUMIFS('TRA RESID'!$P:$P,'TRA RESID'!$I:$I,G221)*O221</f>
        <v>0</v>
      </c>
      <c r="L221" s="18"/>
      <c r="M221" s="18"/>
      <c r="O221" s="21">
        <v>0.8</v>
      </c>
      <c r="S221" s="15" t="str">
        <f>IF(S220="*",S220,"")</f>
        <v>*</v>
      </c>
      <c r="T221" s="17" t="str">
        <f t="shared" ref="T221:W224" si="173">T220</f>
        <v>*BEV*</v>
      </c>
      <c r="U221" s="17" t="str">
        <f t="shared" si="173"/>
        <v>TRABAF</v>
      </c>
      <c r="V221" s="17" t="str">
        <f t="shared" si="173"/>
        <v>TRAFRERFTDMD</v>
      </c>
      <c r="W221" s="17" t="str">
        <f t="shared" si="173"/>
        <v>TRAFRERFTDMD</v>
      </c>
      <c r="X221" s="18">
        <v>2025</v>
      </c>
      <c r="Y221" s="18" t="str">
        <f>Y220</f>
        <v>LO</v>
      </c>
      <c r="Z221" s="18"/>
      <c r="AA221" s="20">
        <f>-SUMIFS('TRA RESID'!$P:$P,'TRA RESID'!$I:$I,W221,'TRA RESID'!$J:$J,T221,'TRA RESID'!$H:$H,U221)/SUMIFS('TRA RESID'!$P:$P,'TRA RESID'!$I:$I,W221)*AE221</f>
        <v>0</v>
      </c>
      <c r="AB221" s="18"/>
      <c r="AC221" s="18"/>
      <c r="AE221" s="21">
        <v>1</v>
      </c>
      <c r="AG221" s="15" t="str">
        <f>IF(AG220="*",AG220,"")</f>
        <v>*</v>
      </c>
      <c r="AH221" s="17" t="str">
        <f t="shared" ref="AH221:AK224" si="174">AH220</f>
        <v>*HEV*</v>
      </c>
      <c r="AI221" s="17" t="str">
        <f t="shared" si="174"/>
        <v>TRABAF</v>
      </c>
      <c r="AJ221" s="17" t="str">
        <f t="shared" si="174"/>
        <v>TRAFRERFTDMD</v>
      </c>
      <c r="AK221" s="17" t="str">
        <f t="shared" si="174"/>
        <v>TRAFRERFTDMD</v>
      </c>
      <c r="AL221" s="18">
        <v>2025</v>
      </c>
      <c r="AM221" s="18" t="str">
        <f>AM220</f>
        <v>LO</v>
      </c>
      <c r="AN221" s="18"/>
      <c r="AO221" s="20">
        <f>-SUMIFS('TRA RESID'!$P:$P,'TRA RESID'!$I:$I,AK221,'TRA RESID'!$J:$J,AH221,'TRA RESID'!$H:$H,AI221)/SUMIFS('TRA RESID'!$P:$P,'TRA RESID'!$I:$I,AK221)*AS221</f>
        <v>0</v>
      </c>
      <c r="AP221" s="18"/>
      <c r="AQ221" s="18"/>
      <c r="AS221" s="21">
        <v>0.8</v>
      </c>
      <c r="AU221" s="15" t="str">
        <f>IF(AU220="*",AU220,"")</f>
        <v>*</v>
      </c>
      <c r="AV221" s="17" t="str">
        <f t="shared" ref="AV221:AY224" si="175">AV220</f>
        <v>*FCEV*</v>
      </c>
      <c r="AW221" s="17" t="str">
        <f t="shared" si="175"/>
        <v>TRABAF</v>
      </c>
      <c r="AX221" s="17" t="str">
        <f t="shared" si="175"/>
        <v>TRAFRERFTDMD</v>
      </c>
      <c r="AY221" s="17" t="str">
        <f t="shared" si="175"/>
        <v>TRAFRERFTDMD</v>
      </c>
      <c r="AZ221" s="18">
        <v>2025</v>
      </c>
      <c r="BA221" s="18" t="str">
        <f>BA220</f>
        <v>LO</v>
      </c>
      <c r="BB221" s="18"/>
      <c r="BC221" s="20">
        <f>-SUMIFS('TRA RESID'!$P:$P,'TRA RESID'!$I:$I,AY221,'TRA RESID'!$J:$J,AV221,'TRA RESID'!$H:$H,AW221)/SUMIFS('TRA RESID'!$P:$P,'TRA RESID'!$I:$I,AY221)*BG221</f>
        <v>0</v>
      </c>
      <c r="BD221" s="18"/>
      <c r="BE221" s="18"/>
      <c r="BG221" s="21">
        <v>0.8</v>
      </c>
    </row>
    <row r="222" spans="1:59" x14ac:dyDescent="0.25">
      <c r="C222" s="15" t="str">
        <f>IF(C221="*",C221,"")</f>
        <v>*</v>
      </c>
      <c r="D222" s="17" t="str">
        <f t="shared" si="172"/>
        <v>*ICEV*</v>
      </c>
      <c r="E222" s="17" t="str">
        <f t="shared" si="172"/>
        <v>TRABAF</v>
      </c>
      <c r="F222" s="17" t="str">
        <f t="shared" si="172"/>
        <v>TRAFRERFTDMD</v>
      </c>
      <c r="G222" s="17" t="str">
        <f t="shared" si="172"/>
        <v>TRAFRERFTDMD</v>
      </c>
      <c r="H222" s="18">
        <v>2030</v>
      </c>
      <c r="I222" s="18" t="str">
        <f>I221</f>
        <v>LO</v>
      </c>
      <c r="J222" s="18"/>
      <c r="K222" s="20">
        <f>-SUMIFS('TRA RESID'!$P:$P,'TRA RESID'!$I:$I,G222,'TRA RESID'!$J:$J,D222,'TRA RESID'!$H:$H,E222)/SUMIFS('TRA RESID'!$P:$P,'TRA RESID'!$I:$I,G222)*O222</f>
        <v>0</v>
      </c>
      <c r="L222" s="18"/>
      <c r="M222" s="18"/>
      <c r="O222" s="21">
        <v>0.5</v>
      </c>
      <c r="S222" s="15" t="str">
        <f>IF(S221="*",S221,"")</f>
        <v>*</v>
      </c>
      <c r="T222" s="17" t="str">
        <f t="shared" si="173"/>
        <v>*BEV*</v>
      </c>
      <c r="U222" s="17" t="str">
        <f t="shared" si="173"/>
        <v>TRABAF</v>
      </c>
      <c r="V222" s="17" t="str">
        <f t="shared" si="173"/>
        <v>TRAFRERFTDMD</v>
      </c>
      <c r="W222" s="17" t="str">
        <f t="shared" si="173"/>
        <v>TRAFRERFTDMD</v>
      </c>
      <c r="X222" s="18">
        <v>2030</v>
      </c>
      <c r="Y222" s="18" t="str">
        <f>Y221</f>
        <v>LO</v>
      </c>
      <c r="Z222" s="18"/>
      <c r="AA222" s="20">
        <f>-SUMIFS('TRA RESID'!$P:$P,'TRA RESID'!$I:$I,W222,'TRA RESID'!$J:$J,T222,'TRA RESID'!$H:$H,U222)/SUMIFS('TRA RESID'!$P:$P,'TRA RESID'!$I:$I,W222)*AE222</f>
        <v>0</v>
      </c>
      <c r="AB222" s="18"/>
      <c r="AC222" s="18"/>
      <c r="AE222" s="21">
        <v>1</v>
      </c>
      <c r="AG222" s="15" t="str">
        <f>IF(AG221="*",AG221,"")</f>
        <v>*</v>
      </c>
      <c r="AH222" s="17" t="str">
        <f t="shared" si="174"/>
        <v>*HEV*</v>
      </c>
      <c r="AI222" s="17" t="str">
        <f t="shared" si="174"/>
        <v>TRABAF</v>
      </c>
      <c r="AJ222" s="17" t="str">
        <f t="shared" si="174"/>
        <v>TRAFRERFTDMD</v>
      </c>
      <c r="AK222" s="17" t="str">
        <f t="shared" si="174"/>
        <v>TRAFRERFTDMD</v>
      </c>
      <c r="AL222" s="18">
        <v>2030</v>
      </c>
      <c r="AM222" s="18" t="str">
        <f>AM221</f>
        <v>LO</v>
      </c>
      <c r="AN222" s="18"/>
      <c r="AO222" s="20">
        <f>-SUMIFS('TRA RESID'!$P:$P,'TRA RESID'!$I:$I,AK222,'TRA RESID'!$J:$J,AH222,'TRA RESID'!$H:$H,AI222)/SUMIFS('TRA RESID'!$P:$P,'TRA RESID'!$I:$I,AK222)*AS222</f>
        <v>0</v>
      </c>
      <c r="AP222" s="18"/>
      <c r="AQ222" s="18"/>
      <c r="AS222" s="21">
        <v>0.5</v>
      </c>
      <c r="AU222" s="15" t="str">
        <f>IF(AU221="*",AU221,"")</f>
        <v>*</v>
      </c>
      <c r="AV222" s="17" t="str">
        <f t="shared" si="175"/>
        <v>*FCEV*</v>
      </c>
      <c r="AW222" s="17" t="str">
        <f t="shared" si="175"/>
        <v>TRABAF</v>
      </c>
      <c r="AX222" s="17" t="str">
        <f t="shared" si="175"/>
        <v>TRAFRERFTDMD</v>
      </c>
      <c r="AY222" s="17" t="str">
        <f t="shared" si="175"/>
        <v>TRAFRERFTDMD</v>
      </c>
      <c r="AZ222" s="18">
        <v>2030</v>
      </c>
      <c r="BA222" s="18" t="str">
        <f>BA221</f>
        <v>LO</v>
      </c>
      <c r="BB222" s="18"/>
      <c r="BC222" s="20">
        <f>-SUMIFS('TRA RESID'!$P:$P,'TRA RESID'!$I:$I,AY222,'TRA RESID'!$J:$J,AV222,'TRA RESID'!$H:$H,AW222)/SUMIFS('TRA RESID'!$P:$P,'TRA RESID'!$I:$I,AY222)*BG222</f>
        <v>0</v>
      </c>
      <c r="BD222" s="18"/>
      <c r="BE222" s="18"/>
      <c r="BG222" s="21">
        <v>0.5</v>
      </c>
    </row>
    <row r="223" spans="1:59" x14ac:dyDescent="0.25">
      <c r="C223" s="15" t="str">
        <f>IF(C222="*",C222,"")</f>
        <v>*</v>
      </c>
      <c r="D223" s="17" t="str">
        <f t="shared" si="172"/>
        <v>*ICEV*</v>
      </c>
      <c r="E223" s="17" t="str">
        <f t="shared" si="172"/>
        <v>TRABAF</v>
      </c>
      <c r="F223" s="17" t="str">
        <f t="shared" si="172"/>
        <v>TRAFRERFTDMD</v>
      </c>
      <c r="G223" s="17" t="str">
        <f t="shared" si="172"/>
        <v>TRAFRERFTDMD</v>
      </c>
      <c r="H223" s="18">
        <v>2040</v>
      </c>
      <c r="I223" s="18" t="str">
        <f>I222</f>
        <v>LO</v>
      </c>
      <c r="J223" s="18"/>
      <c r="K223" s="20">
        <f>-SUMIFS('TRA RESID'!$P:$P,'TRA RESID'!$I:$I,G223,'TRA RESID'!$J:$J,D223,'TRA RESID'!$H:$H,E223)/SUMIFS('TRA RESID'!$P:$P,'TRA RESID'!$I:$I,G223)*O223</f>
        <v>0</v>
      </c>
      <c r="L223" s="18"/>
      <c r="M223" s="18"/>
      <c r="O223" s="21">
        <v>0</v>
      </c>
      <c r="S223" s="15" t="str">
        <f>IF(S222="*",S222,"")</f>
        <v>*</v>
      </c>
      <c r="T223" s="17" t="str">
        <f t="shared" si="173"/>
        <v>*BEV*</v>
      </c>
      <c r="U223" s="17" t="str">
        <f t="shared" si="173"/>
        <v>TRABAF</v>
      </c>
      <c r="V223" s="17" t="str">
        <f t="shared" si="173"/>
        <v>TRAFRERFTDMD</v>
      </c>
      <c r="W223" s="17" t="str">
        <f t="shared" si="173"/>
        <v>TRAFRERFTDMD</v>
      </c>
      <c r="X223" s="18">
        <v>2040</v>
      </c>
      <c r="Y223" s="18" t="str">
        <f>Y222</f>
        <v>LO</v>
      </c>
      <c r="Z223" s="18"/>
      <c r="AA223" s="20">
        <f>-SUMIFS('TRA RESID'!$P:$P,'TRA RESID'!$I:$I,W223,'TRA RESID'!$J:$J,T223,'TRA RESID'!$H:$H,U223)/SUMIFS('TRA RESID'!$P:$P,'TRA RESID'!$I:$I,W223)*AE223</f>
        <v>0</v>
      </c>
      <c r="AB223" s="18"/>
      <c r="AC223" s="18"/>
      <c r="AE223" s="21">
        <v>1</v>
      </c>
      <c r="AG223" s="15" t="str">
        <f>IF(AG222="*",AG222,"")</f>
        <v>*</v>
      </c>
      <c r="AH223" s="17" t="str">
        <f t="shared" si="174"/>
        <v>*HEV*</v>
      </c>
      <c r="AI223" s="17" t="str">
        <f t="shared" si="174"/>
        <v>TRABAF</v>
      </c>
      <c r="AJ223" s="17" t="str">
        <f t="shared" si="174"/>
        <v>TRAFRERFTDMD</v>
      </c>
      <c r="AK223" s="17" t="str">
        <f t="shared" si="174"/>
        <v>TRAFRERFTDMD</v>
      </c>
      <c r="AL223" s="18">
        <v>2040</v>
      </c>
      <c r="AM223" s="18" t="str">
        <f>AM222</f>
        <v>LO</v>
      </c>
      <c r="AN223" s="18"/>
      <c r="AO223" s="20">
        <f>-SUMIFS('TRA RESID'!$P:$P,'TRA RESID'!$I:$I,AK223,'TRA RESID'!$J:$J,AH223,'TRA RESID'!$H:$H,AI223)/SUMIFS('TRA RESID'!$P:$P,'TRA RESID'!$I:$I,AK223)*AS223</f>
        <v>0</v>
      </c>
      <c r="AP223" s="18"/>
      <c r="AQ223" s="18"/>
      <c r="AS223" s="21">
        <v>0</v>
      </c>
      <c r="AU223" s="15" t="str">
        <f>IF(AU222="*",AU222,"")</f>
        <v>*</v>
      </c>
      <c r="AV223" s="17" t="str">
        <f t="shared" si="175"/>
        <v>*FCEV*</v>
      </c>
      <c r="AW223" s="17" t="str">
        <f t="shared" si="175"/>
        <v>TRABAF</v>
      </c>
      <c r="AX223" s="17" t="str">
        <f t="shared" si="175"/>
        <v>TRAFRERFTDMD</v>
      </c>
      <c r="AY223" s="17" t="str">
        <f t="shared" si="175"/>
        <v>TRAFRERFTDMD</v>
      </c>
      <c r="AZ223" s="18">
        <v>2040</v>
      </c>
      <c r="BA223" s="18" t="str">
        <f>BA222</f>
        <v>LO</v>
      </c>
      <c r="BB223" s="18"/>
      <c r="BC223" s="20">
        <f>-SUMIFS('TRA RESID'!$P:$P,'TRA RESID'!$I:$I,AY223,'TRA RESID'!$J:$J,AV223,'TRA RESID'!$H:$H,AW223)/SUMIFS('TRA RESID'!$P:$P,'TRA RESID'!$I:$I,AY223)*BG223</f>
        <v>0</v>
      </c>
      <c r="BD223" s="18"/>
      <c r="BE223" s="18"/>
      <c r="BG223" s="21">
        <v>0</v>
      </c>
    </row>
    <row r="224" spans="1:59" x14ac:dyDescent="0.25">
      <c r="C224" s="23" t="str">
        <f>IF(C223="*",C223,"")</f>
        <v>*</v>
      </c>
      <c r="D224" s="25" t="str">
        <f t="shared" si="172"/>
        <v>*ICEV*</v>
      </c>
      <c r="E224" s="25" t="str">
        <f t="shared" si="172"/>
        <v>TRABAF</v>
      </c>
      <c r="F224" s="25" t="str">
        <f t="shared" si="172"/>
        <v>TRAFRERFTDMD</v>
      </c>
      <c r="G224" s="25" t="str">
        <f t="shared" si="172"/>
        <v>TRAFRERFTDMD</v>
      </c>
      <c r="H224" s="26">
        <v>2050</v>
      </c>
      <c r="I224" s="26" t="str">
        <f>I222</f>
        <v>LO</v>
      </c>
      <c r="J224" s="26"/>
      <c r="K224" s="27">
        <f>-SUMIFS('TRA RESID'!$P:$P,'TRA RESID'!$I:$I,G224,'TRA RESID'!$J:$J,D224,'TRA RESID'!$H:$H,E224)/SUMIFS('TRA RESID'!$P:$P,'TRA RESID'!$I:$I,G224)*O224</f>
        <v>0</v>
      </c>
      <c r="L224" s="26"/>
      <c r="M224" s="26"/>
      <c r="O224" s="28">
        <v>0</v>
      </c>
      <c r="S224" s="23" t="str">
        <f>IF(S223="*",S223,"")</f>
        <v>*</v>
      </c>
      <c r="T224" s="25" t="str">
        <f t="shared" si="173"/>
        <v>*BEV*</v>
      </c>
      <c r="U224" s="25" t="str">
        <f t="shared" si="173"/>
        <v>TRABAF</v>
      </c>
      <c r="V224" s="25" t="str">
        <f t="shared" si="173"/>
        <v>TRAFRERFTDMD</v>
      </c>
      <c r="W224" s="25" t="str">
        <f t="shared" si="173"/>
        <v>TRAFRERFTDMD</v>
      </c>
      <c r="X224" s="26">
        <v>2050</v>
      </c>
      <c r="Y224" s="26" t="str">
        <f>Y222</f>
        <v>LO</v>
      </c>
      <c r="Z224" s="26"/>
      <c r="AA224" s="27">
        <f>-SUMIFS('TRA RESID'!$P:$P,'TRA RESID'!$I:$I,W224,'TRA RESID'!$J:$J,T224,'TRA RESID'!$H:$H,U224)/SUMIFS('TRA RESID'!$P:$P,'TRA RESID'!$I:$I,W224)*AE224</f>
        <v>0</v>
      </c>
      <c r="AB224" s="26"/>
      <c r="AC224" s="26"/>
      <c r="AE224" s="28">
        <v>1</v>
      </c>
      <c r="AG224" s="23" t="str">
        <f>IF(AG223="*",AG223,"")</f>
        <v>*</v>
      </c>
      <c r="AH224" s="25" t="str">
        <f t="shared" si="174"/>
        <v>*HEV*</v>
      </c>
      <c r="AI224" s="25" t="str">
        <f t="shared" si="174"/>
        <v>TRABAF</v>
      </c>
      <c r="AJ224" s="25" t="str">
        <f t="shared" si="174"/>
        <v>TRAFRERFTDMD</v>
      </c>
      <c r="AK224" s="25" t="str">
        <f t="shared" si="174"/>
        <v>TRAFRERFTDMD</v>
      </c>
      <c r="AL224" s="26">
        <v>2050</v>
      </c>
      <c r="AM224" s="26" t="str">
        <f>AM222</f>
        <v>LO</v>
      </c>
      <c r="AN224" s="26"/>
      <c r="AO224" s="27">
        <f>-SUMIFS('TRA RESID'!$P:$P,'TRA RESID'!$I:$I,AK224,'TRA RESID'!$J:$J,AH224,'TRA RESID'!$H:$H,AI224)/SUMIFS('TRA RESID'!$P:$P,'TRA RESID'!$I:$I,AK224)*AS224</f>
        <v>0</v>
      </c>
      <c r="AP224" s="26"/>
      <c r="AQ224" s="26"/>
      <c r="AS224" s="28">
        <v>0</v>
      </c>
      <c r="AU224" s="23" t="str">
        <f>IF(AU223="*",AU223,"")</f>
        <v>*</v>
      </c>
      <c r="AV224" s="25" t="str">
        <f t="shared" si="175"/>
        <v>*FCEV*</v>
      </c>
      <c r="AW224" s="25" t="str">
        <f t="shared" si="175"/>
        <v>TRABAF</v>
      </c>
      <c r="AX224" s="25" t="str">
        <f t="shared" si="175"/>
        <v>TRAFRERFTDMD</v>
      </c>
      <c r="AY224" s="25" t="str">
        <f t="shared" si="175"/>
        <v>TRAFRERFTDMD</v>
      </c>
      <c r="AZ224" s="26">
        <v>2050</v>
      </c>
      <c r="BA224" s="26" t="str">
        <f>BA222</f>
        <v>LO</v>
      </c>
      <c r="BB224" s="26"/>
      <c r="BC224" s="27">
        <f>-SUMIFS('TRA RESID'!$P:$P,'TRA RESID'!$I:$I,AY224,'TRA RESID'!$J:$J,AV224,'TRA RESID'!$H:$H,AW224)/SUMIFS('TRA RESID'!$P:$P,'TRA RESID'!$I:$I,AY224)*BG224</f>
        <v>0</v>
      </c>
      <c r="BD224" s="26"/>
      <c r="BE224" s="26"/>
      <c r="BG224" s="28">
        <v>0</v>
      </c>
    </row>
    <row r="225" spans="1:59" x14ac:dyDescent="0.25">
      <c r="A225">
        <f>A220+1</f>
        <v>45</v>
      </c>
      <c r="C225" s="15" t="str">
        <f>IF(E225="","",IF(_xlfn.XLOOKUP($A225,Selected_constraint!$A:$A,Selected_constraint!$D:$D)=1,"*",IF(SUMIFS('TRA TECH'!$M:$M,'TRA TECH'!$H:$H,E225,'TRA TECH'!$I:$I,F225)=0,"*",IF(SUMIFS('TRA RESID'!$P:$P,'TRA RESID'!$I:$I,G225,'TRA RESID'!$J:$J,D225,'TRA RESID'!$H:$H,E225)=0,"*","UC_"&amp;SUBSTITUTE(D225,"*","")&amp;"_"&amp;RIGHT(E225,3)&amp;"_"&amp;F225))))</f>
        <v>*</v>
      </c>
      <c r="D225" s="17" t="s">
        <v>485</v>
      </c>
      <c r="E225" s="17" t="str">
        <f>_xlfn.XLOOKUP($A225,Selected_constraint!$A:$A,Selected_constraint!$B:$B)</f>
        <v>TRAH2G</v>
      </c>
      <c r="F225" s="17" t="str">
        <f>_xlfn.XLOOKUP($A225,Selected_constraint!$A:$A,Selected_constraint!$C:$C)</f>
        <v>TRAFRERFTDMD</v>
      </c>
      <c r="G225" s="17" t="str">
        <f>F225</f>
        <v>TRAFRERFTDMD</v>
      </c>
      <c r="H225" s="18">
        <v>2019</v>
      </c>
      <c r="I225" s="18" t="s">
        <v>483</v>
      </c>
      <c r="J225" s="18">
        <v>1</v>
      </c>
      <c r="K225" s="20">
        <f>-SUMIFS('TRA RESID'!$P:$P,'TRA RESID'!$I:$I,G225,'TRA RESID'!$J:$J,D225,'TRA RESID'!$H:$H,E225)/SUMIFS('TRA RESID'!$P:$P,'TRA RESID'!$I:$I,G225)*O225</f>
        <v>0</v>
      </c>
      <c r="L225" s="18">
        <v>0</v>
      </c>
      <c r="M225" s="18">
        <v>5</v>
      </c>
      <c r="O225" s="21">
        <v>0.98</v>
      </c>
      <c r="Q225">
        <f>Q220+1</f>
        <v>45</v>
      </c>
      <c r="S225" s="15" t="str">
        <f>IF(SUMIFS('TRA RESID'!$P:$P,'TRA RESID'!$I:$I,W225,'TRA RESID'!$J:$J,T225,'TRA RESID'!$H:$H,U225)=0,"*","UC_"&amp;SUBSTITUTE(T225,"*","")&amp;"_"&amp;RIGHT(U225,3)&amp;"_"&amp;V225)</f>
        <v>*</v>
      </c>
      <c r="T225" s="17" t="s">
        <v>486</v>
      </c>
      <c r="U225" s="17" t="str">
        <f>_xlfn.XLOOKUP($A225,Selected_constraint!$A:$A,Selected_constraint!$B:$B)</f>
        <v>TRAH2G</v>
      </c>
      <c r="V225" s="17" t="str">
        <f>_xlfn.XLOOKUP($A225,Selected_constraint!$A:$A,Selected_constraint!$C:$C)</f>
        <v>TRAFRERFTDMD</v>
      </c>
      <c r="W225" s="17" t="str">
        <f>V225</f>
        <v>TRAFRERFTDMD</v>
      </c>
      <c r="X225" s="18">
        <v>2019</v>
      </c>
      <c r="Y225" s="18" t="s">
        <v>483</v>
      </c>
      <c r="Z225" s="18">
        <v>1</v>
      </c>
      <c r="AA225" s="20">
        <f>-SUMIFS('TRA RESID'!$P:$P,'TRA RESID'!$I:$I,W225,'TRA RESID'!$J:$J,T225,'TRA RESID'!$H:$H,U225)/SUMIFS('TRA RESID'!$P:$P,'TRA RESID'!$I:$I,W225)*AE225</f>
        <v>0</v>
      </c>
      <c r="AB225" s="18">
        <v>0</v>
      </c>
      <c r="AC225" s="18">
        <v>5</v>
      </c>
      <c r="AE225" s="21">
        <v>0.98</v>
      </c>
      <c r="AG225" s="15" t="str">
        <f>IF(SUMIFS('TRA RESID'!$P:$P,'TRA RESID'!$I:$I,AK225,'TRA RESID'!$J:$J,AH225,'TRA RESID'!$H:$H,AI225)=0,"*","UC_"&amp;SUBSTITUTE(AH225,"*","")&amp;"_"&amp;RIGHT(AI225,3)&amp;"_"&amp;AJ225)</f>
        <v>*</v>
      </c>
      <c r="AH225" s="17" t="s">
        <v>487</v>
      </c>
      <c r="AI225" s="17" t="str">
        <f>_xlfn.XLOOKUP($A225,Selected_constraint!$A:$A,Selected_constraint!$B:$B)</f>
        <v>TRAH2G</v>
      </c>
      <c r="AJ225" s="17" t="str">
        <f>_xlfn.XLOOKUP($A225,Selected_constraint!$A:$A,Selected_constraint!$C:$C)</f>
        <v>TRAFRERFTDMD</v>
      </c>
      <c r="AK225" s="17" t="str">
        <f>AJ225</f>
        <v>TRAFRERFTDMD</v>
      </c>
      <c r="AL225" s="18">
        <v>2019</v>
      </c>
      <c r="AM225" s="18" t="s">
        <v>483</v>
      </c>
      <c r="AN225" s="18">
        <v>1</v>
      </c>
      <c r="AO225" s="20">
        <f>-SUMIFS('TRA RESID'!$P:$P,'TRA RESID'!$I:$I,AK225,'TRA RESID'!$J:$J,AH225,'TRA RESID'!$H:$H,AI225)/SUMIFS('TRA RESID'!$P:$P,'TRA RESID'!$I:$I,AK225)*AS225</f>
        <v>0</v>
      </c>
      <c r="AP225" s="18">
        <v>0</v>
      </c>
      <c r="AQ225" s="18">
        <v>5</v>
      </c>
      <c r="AS225" s="21">
        <v>0.98</v>
      </c>
      <c r="AU225" s="15" t="str">
        <f>IF(SUMIFS('TRA RESID'!$P:$P,'TRA RESID'!$I:$I,AY225,'TRA RESID'!$J:$J,AV225,'TRA RESID'!$H:$H,AW225)=0,"*","UC_"&amp;SUBSTITUTE(AV225,"*","")&amp;"_"&amp;RIGHT(AW225,3)&amp;"_"&amp;AX225)</f>
        <v>*</v>
      </c>
      <c r="AV225" s="17" t="s">
        <v>488</v>
      </c>
      <c r="AW225" s="17" t="str">
        <f>_xlfn.XLOOKUP($A225,Selected_constraint!$A:$A,Selected_constraint!$B:$B)</f>
        <v>TRAH2G</v>
      </c>
      <c r="AX225" s="17" t="str">
        <f>_xlfn.XLOOKUP($A225,Selected_constraint!$A:$A,Selected_constraint!$C:$C)</f>
        <v>TRAFRERFTDMD</v>
      </c>
      <c r="AY225" s="17" t="str">
        <f>AX225</f>
        <v>TRAFRERFTDMD</v>
      </c>
      <c r="AZ225" s="18">
        <v>2019</v>
      </c>
      <c r="BA225" s="18" t="s">
        <v>483</v>
      </c>
      <c r="BB225" s="18">
        <v>1</v>
      </c>
      <c r="BC225" s="20">
        <f>-SUMIFS('TRA RESID'!$P:$P,'TRA RESID'!$I:$I,AY225,'TRA RESID'!$J:$J,AV225,'TRA RESID'!$H:$H,AW225)/SUMIFS('TRA RESID'!$P:$P,'TRA RESID'!$I:$I,AY225)*BG225</f>
        <v>0</v>
      </c>
      <c r="BD225" s="18">
        <v>0</v>
      </c>
      <c r="BE225" s="18">
        <v>5</v>
      </c>
      <c r="BG225" s="21">
        <v>0.98</v>
      </c>
    </row>
    <row r="226" spans="1:59" x14ac:dyDescent="0.25">
      <c r="C226" s="15" t="str">
        <f>IF(C225="*",C225,"")</f>
        <v>*</v>
      </c>
      <c r="D226" s="17" t="str">
        <f t="shared" ref="D226:G229" si="176">D225</f>
        <v>*ICEV*</v>
      </c>
      <c r="E226" s="17" t="str">
        <f t="shared" si="176"/>
        <v>TRAH2G</v>
      </c>
      <c r="F226" s="17" t="str">
        <f t="shared" si="176"/>
        <v>TRAFRERFTDMD</v>
      </c>
      <c r="G226" s="17" t="str">
        <f t="shared" si="176"/>
        <v>TRAFRERFTDMD</v>
      </c>
      <c r="H226" s="18">
        <v>2025</v>
      </c>
      <c r="I226" s="18" t="str">
        <f>I225</f>
        <v>LO</v>
      </c>
      <c r="J226" s="18"/>
      <c r="K226" s="20">
        <f>-SUMIFS('TRA RESID'!$P:$P,'TRA RESID'!$I:$I,G226,'TRA RESID'!$J:$J,D226,'TRA RESID'!$H:$H,E226)/SUMIFS('TRA RESID'!$P:$P,'TRA RESID'!$I:$I,G226)*O226</f>
        <v>0</v>
      </c>
      <c r="L226" s="18"/>
      <c r="M226" s="18"/>
      <c r="O226" s="21">
        <v>0.8</v>
      </c>
      <c r="S226" s="15" t="str">
        <f>IF(S225="*",S225,"")</f>
        <v>*</v>
      </c>
      <c r="T226" s="17" t="str">
        <f t="shared" ref="T226:W229" si="177">T225</f>
        <v>*BEV*</v>
      </c>
      <c r="U226" s="17" t="str">
        <f t="shared" si="177"/>
        <v>TRAH2G</v>
      </c>
      <c r="V226" s="17" t="str">
        <f t="shared" si="177"/>
        <v>TRAFRERFTDMD</v>
      </c>
      <c r="W226" s="17" t="str">
        <f t="shared" si="177"/>
        <v>TRAFRERFTDMD</v>
      </c>
      <c r="X226" s="18">
        <v>2025</v>
      </c>
      <c r="Y226" s="18" t="str">
        <f>Y225</f>
        <v>LO</v>
      </c>
      <c r="Z226" s="18"/>
      <c r="AA226" s="20">
        <f>-SUMIFS('TRA RESID'!$P:$P,'TRA RESID'!$I:$I,W226,'TRA RESID'!$J:$J,T226,'TRA RESID'!$H:$H,U226)/SUMIFS('TRA RESID'!$P:$P,'TRA RESID'!$I:$I,W226)*AE226</f>
        <v>0</v>
      </c>
      <c r="AB226" s="18"/>
      <c r="AC226" s="18"/>
      <c r="AE226" s="21">
        <v>1</v>
      </c>
      <c r="AG226" s="15" t="str">
        <f>IF(AG225="*",AG225,"")</f>
        <v>*</v>
      </c>
      <c r="AH226" s="17" t="str">
        <f t="shared" ref="AH226:AK229" si="178">AH225</f>
        <v>*HEV*</v>
      </c>
      <c r="AI226" s="17" t="str">
        <f t="shared" si="178"/>
        <v>TRAH2G</v>
      </c>
      <c r="AJ226" s="17" t="str">
        <f t="shared" si="178"/>
        <v>TRAFRERFTDMD</v>
      </c>
      <c r="AK226" s="17" t="str">
        <f t="shared" si="178"/>
        <v>TRAFRERFTDMD</v>
      </c>
      <c r="AL226" s="18">
        <v>2025</v>
      </c>
      <c r="AM226" s="18" t="str">
        <f>AM225</f>
        <v>LO</v>
      </c>
      <c r="AN226" s="18"/>
      <c r="AO226" s="20">
        <f>-SUMIFS('TRA RESID'!$P:$P,'TRA RESID'!$I:$I,AK226,'TRA RESID'!$J:$J,AH226,'TRA RESID'!$H:$H,AI226)/SUMIFS('TRA RESID'!$P:$P,'TRA RESID'!$I:$I,AK226)*AS226</f>
        <v>0</v>
      </c>
      <c r="AP226" s="18"/>
      <c r="AQ226" s="18"/>
      <c r="AS226" s="21">
        <v>0.8</v>
      </c>
      <c r="AU226" s="15" t="str">
        <f>IF(AU225="*",AU225,"")</f>
        <v>*</v>
      </c>
      <c r="AV226" s="17" t="str">
        <f t="shared" ref="AV226:AY229" si="179">AV225</f>
        <v>*FCEV*</v>
      </c>
      <c r="AW226" s="17" t="str">
        <f t="shared" si="179"/>
        <v>TRAH2G</v>
      </c>
      <c r="AX226" s="17" t="str">
        <f t="shared" si="179"/>
        <v>TRAFRERFTDMD</v>
      </c>
      <c r="AY226" s="17" t="str">
        <f t="shared" si="179"/>
        <v>TRAFRERFTDMD</v>
      </c>
      <c r="AZ226" s="18">
        <v>2025</v>
      </c>
      <c r="BA226" s="18" t="str">
        <f>BA225</f>
        <v>LO</v>
      </c>
      <c r="BB226" s="18"/>
      <c r="BC226" s="20">
        <f>-SUMIFS('TRA RESID'!$P:$P,'TRA RESID'!$I:$I,AY226,'TRA RESID'!$J:$J,AV226,'TRA RESID'!$H:$H,AW226)/SUMIFS('TRA RESID'!$P:$P,'TRA RESID'!$I:$I,AY226)*BG226</f>
        <v>0</v>
      </c>
      <c r="BD226" s="18"/>
      <c r="BE226" s="18"/>
      <c r="BG226" s="21">
        <v>0.8</v>
      </c>
    </row>
    <row r="227" spans="1:59" x14ac:dyDescent="0.25">
      <c r="C227" s="15" t="str">
        <f>IF(C226="*",C226,"")</f>
        <v>*</v>
      </c>
      <c r="D227" s="17" t="str">
        <f t="shared" si="176"/>
        <v>*ICEV*</v>
      </c>
      <c r="E227" s="17" t="str">
        <f t="shared" si="176"/>
        <v>TRAH2G</v>
      </c>
      <c r="F227" s="17" t="str">
        <f t="shared" si="176"/>
        <v>TRAFRERFTDMD</v>
      </c>
      <c r="G227" s="17" t="str">
        <f t="shared" si="176"/>
        <v>TRAFRERFTDMD</v>
      </c>
      <c r="H227" s="18">
        <v>2030</v>
      </c>
      <c r="I227" s="18" t="str">
        <f>I226</f>
        <v>LO</v>
      </c>
      <c r="J227" s="18"/>
      <c r="K227" s="20">
        <f>-SUMIFS('TRA RESID'!$P:$P,'TRA RESID'!$I:$I,G227,'TRA RESID'!$J:$J,D227,'TRA RESID'!$H:$H,E227)/SUMIFS('TRA RESID'!$P:$P,'TRA RESID'!$I:$I,G227)*O227</f>
        <v>0</v>
      </c>
      <c r="L227" s="18"/>
      <c r="M227" s="18"/>
      <c r="O227" s="21">
        <v>0.5</v>
      </c>
      <c r="S227" s="15" t="str">
        <f>IF(S226="*",S226,"")</f>
        <v>*</v>
      </c>
      <c r="T227" s="17" t="str">
        <f t="shared" si="177"/>
        <v>*BEV*</v>
      </c>
      <c r="U227" s="17" t="str">
        <f t="shared" si="177"/>
        <v>TRAH2G</v>
      </c>
      <c r="V227" s="17" t="str">
        <f t="shared" si="177"/>
        <v>TRAFRERFTDMD</v>
      </c>
      <c r="W227" s="17" t="str">
        <f t="shared" si="177"/>
        <v>TRAFRERFTDMD</v>
      </c>
      <c r="X227" s="18">
        <v>2030</v>
      </c>
      <c r="Y227" s="18" t="str">
        <f>Y226</f>
        <v>LO</v>
      </c>
      <c r="Z227" s="18"/>
      <c r="AA227" s="20">
        <f>-SUMIFS('TRA RESID'!$P:$P,'TRA RESID'!$I:$I,W227,'TRA RESID'!$J:$J,T227,'TRA RESID'!$H:$H,U227)/SUMIFS('TRA RESID'!$P:$P,'TRA RESID'!$I:$I,W227)*AE227</f>
        <v>0</v>
      </c>
      <c r="AB227" s="18"/>
      <c r="AC227" s="18"/>
      <c r="AE227" s="21">
        <v>1</v>
      </c>
      <c r="AG227" s="15" t="str">
        <f>IF(AG226="*",AG226,"")</f>
        <v>*</v>
      </c>
      <c r="AH227" s="17" t="str">
        <f t="shared" si="178"/>
        <v>*HEV*</v>
      </c>
      <c r="AI227" s="17" t="str">
        <f t="shared" si="178"/>
        <v>TRAH2G</v>
      </c>
      <c r="AJ227" s="17" t="str">
        <f t="shared" si="178"/>
        <v>TRAFRERFTDMD</v>
      </c>
      <c r="AK227" s="17" t="str">
        <f t="shared" si="178"/>
        <v>TRAFRERFTDMD</v>
      </c>
      <c r="AL227" s="18">
        <v>2030</v>
      </c>
      <c r="AM227" s="18" t="str">
        <f>AM226</f>
        <v>LO</v>
      </c>
      <c r="AN227" s="18"/>
      <c r="AO227" s="20">
        <f>-SUMIFS('TRA RESID'!$P:$P,'TRA RESID'!$I:$I,AK227,'TRA RESID'!$J:$J,AH227,'TRA RESID'!$H:$H,AI227)/SUMIFS('TRA RESID'!$P:$P,'TRA RESID'!$I:$I,AK227)*AS227</f>
        <v>0</v>
      </c>
      <c r="AP227" s="18"/>
      <c r="AQ227" s="18"/>
      <c r="AS227" s="21">
        <v>0.5</v>
      </c>
      <c r="AU227" s="15" t="str">
        <f>IF(AU226="*",AU226,"")</f>
        <v>*</v>
      </c>
      <c r="AV227" s="17" t="str">
        <f t="shared" si="179"/>
        <v>*FCEV*</v>
      </c>
      <c r="AW227" s="17" t="str">
        <f t="shared" si="179"/>
        <v>TRAH2G</v>
      </c>
      <c r="AX227" s="17" t="str">
        <f t="shared" si="179"/>
        <v>TRAFRERFTDMD</v>
      </c>
      <c r="AY227" s="17" t="str">
        <f t="shared" si="179"/>
        <v>TRAFRERFTDMD</v>
      </c>
      <c r="AZ227" s="18">
        <v>2030</v>
      </c>
      <c r="BA227" s="18" t="str">
        <f>BA226</f>
        <v>LO</v>
      </c>
      <c r="BB227" s="18"/>
      <c r="BC227" s="20">
        <f>-SUMIFS('TRA RESID'!$P:$P,'TRA RESID'!$I:$I,AY227,'TRA RESID'!$J:$J,AV227,'TRA RESID'!$H:$H,AW227)/SUMIFS('TRA RESID'!$P:$P,'TRA RESID'!$I:$I,AY227)*BG227</f>
        <v>0</v>
      </c>
      <c r="BD227" s="18"/>
      <c r="BE227" s="18"/>
      <c r="BG227" s="21">
        <v>0.5</v>
      </c>
    </row>
    <row r="228" spans="1:59" x14ac:dyDescent="0.25">
      <c r="C228" s="15" t="str">
        <f>IF(C227="*",C227,"")</f>
        <v>*</v>
      </c>
      <c r="D228" s="17" t="str">
        <f t="shared" si="176"/>
        <v>*ICEV*</v>
      </c>
      <c r="E228" s="17" t="str">
        <f t="shared" si="176"/>
        <v>TRAH2G</v>
      </c>
      <c r="F228" s="17" t="str">
        <f t="shared" si="176"/>
        <v>TRAFRERFTDMD</v>
      </c>
      <c r="G228" s="17" t="str">
        <f t="shared" si="176"/>
        <v>TRAFRERFTDMD</v>
      </c>
      <c r="H228" s="18">
        <v>2040</v>
      </c>
      <c r="I228" s="18" t="str">
        <f>I227</f>
        <v>LO</v>
      </c>
      <c r="J228" s="18"/>
      <c r="K228" s="20">
        <f>-SUMIFS('TRA RESID'!$P:$P,'TRA RESID'!$I:$I,G228,'TRA RESID'!$J:$J,D228,'TRA RESID'!$H:$H,E228)/SUMIFS('TRA RESID'!$P:$P,'TRA RESID'!$I:$I,G228)*O228</f>
        <v>0</v>
      </c>
      <c r="L228" s="18"/>
      <c r="M228" s="18"/>
      <c r="O228" s="21">
        <v>0</v>
      </c>
      <c r="S228" s="15" t="str">
        <f>IF(S227="*",S227,"")</f>
        <v>*</v>
      </c>
      <c r="T228" s="17" t="str">
        <f t="shared" si="177"/>
        <v>*BEV*</v>
      </c>
      <c r="U228" s="17" t="str">
        <f t="shared" si="177"/>
        <v>TRAH2G</v>
      </c>
      <c r="V228" s="17" t="str">
        <f t="shared" si="177"/>
        <v>TRAFRERFTDMD</v>
      </c>
      <c r="W228" s="17" t="str">
        <f t="shared" si="177"/>
        <v>TRAFRERFTDMD</v>
      </c>
      <c r="X228" s="18">
        <v>2040</v>
      </c>
      <c r="Y228" s="18" t="str">
        <f>Y227</f>
        <v>LO</v>
      </c>
      <c r="Z228" s="18"/>
      <c r="AA228" s="20">
        <f>-SUMIFS('TRA RESID'!$P:$P,'TRA RESID'!$I:$I,W228,'TRA RESID'!$J:$J,T228,'TRA RESID'!$H:$H,U228)/SUMIFS('TRA RESID'!$P:$P,'TRA RESID'!$I:$I,W228)*AE228</f>
        <v>0</v>
      </c>
      <c r="AB228" s="18"/>
      <c r="AC228" s="18"/>
      <c r="AE228" s="21">
        <v>1</v>
      </c>
      <c r="AG228" s="15" t="str">
        <f>IF(AG227="*",AG227,"")</f>
        <v>*</v>
      </c>
      <c r="AH228" s="17" t="str">
        <f t="shared" si="178"/>
        <v>*HEV*</v>
      </c>
      <c r="AI228" s="17" t="str">
        <f t="shared" si="178"/>
        <v>TRAH2G</v>
      </c>
      <c r="AJ228" s="17" t="str">
        <f t="shared" si="178"/>
        <v>TRAFRERFTDMD</v>
      </c>
      <c r="AK228" s="17" t="str">
        <f t="shared" si="178"/>
        <v>TRAFRERFTDMD</v>
      </c>
      <c r="AL228" s="18">
        <v>2040</v>
      </c>
      <c r="AM228" s="18" t="str">
        <f>AM227</f>
        <v>LO</v>
      </c>
      <c r="AN228" s="18"/>
      <c r="AO228" s="20">
        <f>-SUMIFS('TRA RESID'!$P:$P,'TRA RESID'!$I:$I,AK228,'TRA RESID'!$J:$J,AH228,'TRA RESID'!$H:$H,AI228)/SUMIFS('TRA RESID'!$P:$P,'TRA RESID'!$I:$I,AK228)*AS228</f>
        <v>0</v>
      </c>
      <c r="AP228" s="18"/>
      <c r="AQ228" s="18"/>
      <c r="AS228" s="21">
        <v>0</v>
      </c>
      <c r="AU228" s="15" t="str">
        <f>IF(AU227="*",AU227,"")</f>
        <v>*</v>
      </c>
      <c r="AV228" s="17" t="str">
        <f t="shared" si="179"/>
        <v>*FCEV*</v>
      </c>
      <c r="AW228" s="17" t="str">
        <f t="shared" si="179"/>
        <v>TRAH2G</v>
      </c>
      <c r="AX228" s="17" t="str">
        <f t="shared" si="179"/>
        <v>TRAFRERFTDMD</v>
      </c>
      <c r="AY228" s="17" t="str">
        <f t="shared" si="179"/>
        <v>TRAFRERFTDMD</v>
      </c>
      <c r="AZ228" s="18">
        <v>2040</v>
      </c>
      <c r="BA228" s="18" t="str">
        <f>BA227</f>
        <v>LO</v>
      </c>
      <c r="BB228" s="18"/>
      <c r="BC228" s="20">
        <f>-SUMIFS('TRA RESID'!$P:$P,'TRA RESID'!$I:$I,AY228,'TRA RESID'!$J:$J,AV228,'TRA RESID'!$H:$H,AW228)/SUMIFS('TRA RESID'!$P:$P,'TRA RESID'!$I:$I,AY228)*BG228</f>
        <v>0</v>
      </c>
      <c r="BD228" s="18"/>
      <c r="BE228" s="18"/>
      <c r="BG228" s="21">
        <v>0</v>
      </c>
    </row>
    <row r="229" spans="1:59" x14ac:dyDescent="0.25">
      <c r="C229" s="23" t="str">
        <f>IF(C228="*",C228,"")</f>
        <v>*</v>
      </c>
      <c r="D229" s="25" t="str">
        <f t="shared" si="176"/>
        <v>*ICEV*</v>
      </c>
      <c r="E229" s="25" t="str">
        <f t="shared" si="176"/>
        <v>TRAH2G</v>
      </c>
      <c r="F229" s="25" t="str">
        <f t="shared" si="176"/>
        <v>TRAFRERFTDMD</v>
      </c>
      <c r="G229" s="25" t="str">
        <f t="shared" si="176"/>
        <v>TRAFRERFTDMD</v>
      </c>
      <c r="H229" s="26">
        <v>2050</v>
      </c>
      <c r="I229" s="26" t="str">
        <f>I227</f>
        <v>LO</v>
      </c>
      <c r="J229" s="26"/>
      <c r="K229" s="27">
        <f>-SUMIFS('TRA RESID'!$P:$P,'TRA RESID'!$I:$I,G229,'TRA RESID'!$J:$J,D229,'TRA RESID'!$H:$H,E229)/SUMIFS('TRA RESID'!$P:$P,'TRA RESID'!$I:$I,G229)*O229</f>
        <v>0</v>
      </c>
      <c r="L229" s="26"/>
      <c r="M229" s="26"/>
      <c r="O229" s="28">
        <v>0</v>
      </c>
      <c r="S229" s="23" t="str">
        <f>IF(S228="*",S228,"")</f>
        <v>*</v>
      </c>
      <c r="T229" s="25" t="str">
        <f t="shared" si="177"/>
        <v>*BEV*</v>
      </c>
      <c r="U229" s="25" t="str">
        <f t="shared" si="177"/>
        <v>TRAH2G</v>
      </c>
      <c r="V229" s="25" t="str">
        <f t="shared" si="177"/>
        <v>TRAFRERFTDMD</v>
      </c>
      <c r="W229" s="25" t="str">
        <f t="shared" si="177"/>
        <v>TRAFRERFTDMD</v>
      </c>
      <c r="X229" s="26">
        <v>2050</v>
      </c>
      <c r="Y229" s="26" t="str">
        <f>Y227</f>
        <v>LO</v>
      </c>
      <c r="Z229" s="26"/>
      <c r="AA229" s="27">
        <f>-SUMIFS('TRA RESID'!$P:$P,'TRA RESID'!$I:$I,W229,'TRA RESID'!$J:$J,T229,'TRA RESID'!$H:$H,U229)/SUMIFS('TRA RESID'!$P:$P,'TRA RESID'!$I:$I,W229)*AE229</f>
        <v>0</v>
      </c>
      <c r="AB229" s="26"/>
      <c r="AC229" s="26"/>
      <c r="AE229" s="28">
        <v>1</v>
      </c>
      <c r="AG229" s="23" t="str">
        <f>IF(AG228="*",AG228,"")</f>
        <v>*</v>
      </c>
      <c r="AH229" s="25" t="str">
        <f t="shared" si="178"/>
        <v>*HEV*</v>
      </c>
      <c r="AI229" s="25" t="str">
        <f t="shared" si="178"/>
        <v>TRAH2G</v>
      </c>
      <c r="AJ229" s="25" t="str">
        <f t="shared" si="178"/>
        <v>TRAFRERFTDMD</v>
      </c>
      <c r="AK229" s="25" t="str">
        <f t="shared" si="178"/>
        <v>TRAFRERFTDMD</v>
      </c>
      <c r="AL229" s="26">
        <v>2050</v>
      </c>
      <c r="AM229" s="26" t="str">
        <f>AM227</f>
        <v>LO</v>
      </c>
      <c r="AN229" s="26"/>
      <c r="AO229" s="27">
        <f>-SUMIFS('TRA RESID'!$P:$P,'TRA RESID'!$I:$I,AK229,'TRA RESID'!$J:$J,AH229,'TRA RESID'!$H:$H,AI229)/SUMIFS('TRA RESID'!$P:$P,'TRA RESID'!$I:$I,AK229)*AS229</f>
        <v>0</v>
      </c>
      <c r="AP229" s="26"/>
      <c r="AQ229" s="26"/>
      <c r="AS229" s="28">
        <v>0</v>
      </c>
      <c r="AU229" s="23" t="str">
        <f>IF(AU228="*",AU228,"")</f>
        <v>*</v>
      </c>
      <c r="AV229" s="25" t="str">
        <f t="shared" si="179"/>
        <v>*FCEV*</v>
      </c>
      <c r="AW229" s="25" t="str">
        <f t="shared" si="179"/>
        <v>TRAH2G</v>
      </c>
      <c r="AX229" s="25" t="str">
        <f t="shared" si="179"/>
        <v>TRAFRERFTDMD</v>
      </c>
      <c r="AY229" s="25" t="str">
        <f t="shared" si="179"/>
        <v>TRAFRERFTDMD</v>
      </c>
      <c r="AZ229" s="26">
        <v>2050</v>
      </c>
      <c r="BA229" s="26" t="str">
        <f>BA227</f>
        <v>LO</v>
      </c>
      <c r="BB229" s="26"/>
      <c r="BC229" s="27">
        <f>-SUMIFS('TRA RESID'!$P:$P,'TRA RESID'!$I:$I,AY229,'TRA RESID'!$J:$J,AV229,'TRA RESID'!$H:$H,AW229)/SUMIFS('TRA RESID'!$P:$P,'TRA RESID'!$I:$I,AY229)*BG229</f>
        <v>0</v>
      </c>
      <c r="BD229" s="26"/>
      <c r="BE229" s="26"/>
      <c r="BG229" s="28">
        <v>0</v>
      </c>
    </row>
    <row r="230" spans="1:59" x14ac:dyDescent="0.25">
      <c r="A230">
        <f>A225+1</f>
        <v>46</v>
      </c>
      <c r="C230" s="15" t="str">
        <f>IF(E230="","",IF(_xlfn.XLOOKUP($A230,Selected_constraint!$A:$A,Selected_constraint!$D:$D)=1,"*",IF(SUMIFS('TRA TECH'!$M:$M,'TRA TECH'!$H:$H,E230,'TRA TECH'!$I:$I,F230)=0,"*",IF(SUMIFS('TRA RESID'!$P:$P,'TRA RESID'!$I:$I,G230,'TRA RESID'!$J:$J,D230,'TRA RESID'!$H:$H,E230)=0,"*","UC_"&amp;SUBSTITUTE(D230,"*","")&amp;"_"&amp;RIGHT(E230,3)&amp;"_"&amp;F230))))</f>
        <v>*</v>
      </c>
      <c r="D230" s="17" t="s">
        <v>485</v>
      </c>
      <c r="E230" s="17" t="str">
        <f>_xlfn.XLOOKUP($A230,Selected_constraint!$A:$A,Selected_constraint!$B:$B)</f>
        <v>TRAGSL</v>
      </c>
      <c r="F230" s="17" t="str">
        <f>_xlfn.XLOOKUP($A230,Selected_constraint!$A:$A,Selected_constraint!$C:$C)</f>
        <v>TRAFRESLHDMD</v>
      </c>
      <c r="G230" s="17" t="str">
        <f>F230</f>
        <v>TRAFRESLHDMD</v>
      </c>
      <c r="H230" s="18">
        <v>2019</v>
      </c>
      <c r="I230" s="18" t="s">
        <v>483</v>
      </c>
      <c r="J230" s="18">
        <v>1</v>
      </c>
      <c r="K230" s="20" t="e">
        <f>-SUMIFS('TRA RESID'!$P:$P,'TRA RESID'!$I:$I,G230,'TRA RESID'!$J:$J,D230,'TRA RESID'!$H:$H,E230)/SUMIFS('TRA RESID'!$P:$P,'TRA RESID'!$I:$I,G230)*O230</f>
        <v>#DIV/0!</v>
      </c>
      <c r="L230" s="18">
        <v>0</v>
      </c>
      <c r="M230" s="18">
        <v>5</v>
      </c>
      <c r="O230" s="21">
        <v>0.98</v>
      </c>
      <c r="Q230">
        <f>Q225+1</f>
        <v>46</v>
      </c>
      <c r="S230" s="15" t="str">
        <f>IF(SUMIFS('TRA RESID'!$P:$P,'TRA RESID'!$I:$I,W230,'TRA RESID'!$J:$J,T230,'TRA RESID'!$H:$H,U230)=0,"*","UC_"&amp;SUBSTITUTE(T230,"*","")&amp;"_"&amp;RIGHT(U230,3)&amp;"_"&amp;V230)</f>
        <v>*</v>
      </c>
      <c r="T230" s="17" t="s">
        <v>486</v>
      </c>
      <c r="U230" s="17" t="str">
        <f>_xlfn.XLOOKUP($A230,Selected_constraint!$A:$A,Selected_constraint!$B:$B)</f>
        <v>TRAGSL</v>
      </c>
      <c r="V230" s="17" t="str">
        <f>_xlfn.XLOOKUP($A230,Selected_constraint!$A:$A,Selected_constraint!$C:$C)</f>
        <v>TRAFRESLHDMD</v>
      </c>
      <c r="W230" s="17" t="str">
        <f>V230</f>
        <v>TRAFRESLHDMD</v>
      </c>
      <c r="X230" s="18">
        <v>2019</v>
      </c>
      <c r="Y230" s="18" t="s">
        <v>483</v>
      </c>
      <c r="Z230" s="18">
        <v>1</v>
      </c>
      <c r="AA230" s="20" t="e">
        <f>-SUMIFS('TRA RESID'!$P:$P,'TRA RESID'!$I:$I,W230,'TRA RESID'!$J:$J,T230,'TRA RESID'!$H:$H,U230)/SUMIFS('TRA RESID'!$P:$P,'TRA RESID'!$I:$I,W230)*AE230</f>
        <v>#DIV/0!</v>
      </c>
      <c r="AB230" s="18">
        <v>0</v>
      </c>
      <c r="AC230" s="18">
        <v>5</v>
      </c>
      <c r="AE230" s="21">
        <v>0.98</v>
      </c>
      <c r="AG230" s="15" t="str">
        <f>IF(SUMIFS('TRA RESID'!$P:$P,'TRA RESID'!$I:$I,AK230,'TRA RESID'!$J:$J,AH230,'TRA RESID'!$H:$H,AI230)=0,"*","UC_"&amp;SUBSTITUTE(AH230,"*","")&amp;"_"&amp;RIGHT(AI230,3)&amp;"_"&amp;AJ230)</f>
        <v>*</v>
      </c>
      <c r="AH230" s="17" t="s">
        <v>487</v>
      </c>
      <c r="AI230" s="17" t="str">
        <f>_xlfn.XLOOKUP($A230,Selected_constraint!$A:$A,Selected_constraint!$B:$B)</f>
        <v>TRAGSL</v>
      </c>
      <c r="AJ230" s="17" t="str">
        <f>_xlfn.XLOOKUP($A230,Selected_constraint!$A:$A,Selected_constraint!$C:$C)</f>
        <v>TRAFRESLHDMD</v>
      </c>
      <c r="AK230" s="17" t="str">
        <f>AJ230</f>
        <v>TRAFRESLHDMD</v>
      </c>
      <c r="AL230" s="18">
        <v>2019</v>
      </c>
      <c r="AM230" s="18" t="s">
        <v>483</v>
      </c>
      <c r="AN230" s="18">
        <v>1</v>
      </c>
      <c r="AO230" s="20" t="e">
        <f>-SUMIFS('TRA RESID'!$P:$P,'TRA RESID'!$I:$I,AK230,'TRA RESID'!$J:$J,AH230,'TRA RESID'!$H:$H,AI230)/SUMIFS('TRA RESID'!$P:$P,'TRA RESID'!$I:$I,AK230)*AS230</f>
        <v>#DIV/0!</v>
      </c>
      <c r="AP230" s="18">
        <v>0</v>
      </c>
      <c r="AQ230" s="18">
        <v>5</v>
      </c>
      <c r="AS230" s="21">
        <v>0.98</v>
      </c>
      <c r="AU230" s="15" t="str">
        <f>IF(SUMIFS('TRA RESID'!$P:$P,'TRA RESID'!$I:$I,AY230,'TRA RESID'!$J:$J,AV230,'TRA RESID'!$H:$H,AW230)=0,"*","UC_"&amp;SUBSTITUTE(AV230,"*","")&amp;"_"&amp;RIGHT(AW230,3)&amp;"_"&amp;AX230)</f>
        <v>*</v>
      </c>
      <c r="AV230" s="17" t="s">
        <v>488</v>
      </c>
      <c r="AW230" s="17" t="str">
        <f>_xlfn.XLOOKUP($A230,Selected_constraint!$A:$A,Selected_constraint!$B:$B)</f>
        <v>TRAGSL</v>
      </c>
      <c r="AX230" s="17" t="str">
        <f>_xlfn.XLOOKUP($A230,Selected_constraint!$A:$A,Selected_constraint!$C:$C)</f>
        <v>TRAFRESLHDMD</v>
      </c>
      <c r="AY230" s="17" t="str">
        <f>AX230</f>
        <v>TRAFRESLHDMD</v>
      </c>
      <c r="AZ230" s="18">
        <v>2019</v>
      </c>
      <c r="BA230" s="18" t="s">
        <v>483</v>
      </c>
      <c r="BB230" s="18">
        <v>1</v>
      </c>
      <c r="BC230" s="20" t="e">
        <f>-SUMIFS('TRA RESID'!$P:$P,'TRA RESID'!$I:$I,AY230,'TRA RESID'!$J:$J,AV230,'TRA RESID'!$H:$H,AW230)/SUMIFS('TRA RESID'!$P:$P,'TRA RESID'!$I:$I,AY230)*BG230</f>
        <v>#DIV/0!</v>
      </c>
      <c r="BD230" s="18">
        <v>0</v>
      </c>
      <c r="BE230" s="18">
        <v>5</v>
      </c>
      <c r="BG230" s="21">
        <v>0.98</v>
      </c>
    </row>
    <row r="231" spans="1:59" x14ac:dyDescent="0.25">
      <c r="C231" s="15" t="str">
        <f>IF(C230="*",C230,"")</f>
        <v>*</v>
      </c>
      <c r="D231" s="17" t="str">
        <f t="shared" ref="D231:G234" si="180">D230</f>
        <v>*ICEV*</v>
      </c>
      <c r="E231" s="17" t="str">
        <f t="shared" si="180"/>
        <v>TRAGSL</v>
      </c>
      <c r="F231" s="17" t="str">
        <f t="shared" si="180"/>
        <v>TRAFRESLHDMD</v>
      </c>
      <c r="G231" s="17" t="str">
        <f t="shared" si="180"/>
        <v>TRAFRESLHDMD</v>
      </c>
      <c r="H231" s="18">
        <v>2025</v>
      </c>
      <c r="I231" s="18" t="str">
        <f>I230</f>
        <v>LO</v>
      </c>
      <c r="J231" s="18"/>
      <c r="K231" s="20" t="e">
        <f>-SUMIFS('TRA RESID'!$P:$P,'TRA RESID'!$I:$I,G231,'TRA RESID'!$J:$J,D231,'TRA RESID'!$H:$H,E231)/SUMIFS('TRA RESID'!$P:$P,'TRA RESID'!$I:$I,G231)*O231</f>
        <v>#DIV/0!</v>
      </c>
      <c r="L231" s="18"/>
      <c r="M231" s="18"/>
      <c r="O231" s="21">
        <v>0.8</v>
      </c>
      <c r="S231" s="15" t="str">
        <f>IF(S230="*",S230,"")</f>
        <v>*</v>
      </c>
      <c r="T231" s="17" t="str">
        <f t="shared" ref="T231:W234" si="181">T230</f>
        <v>*BEV*</v>
      </c>
      <c r="U231" s="17" t="str">
        <f t="shared" si="181"/>
        <v>TRAGSL</v>
      </c>
      <c r="V231" s="17" t="str">
        <f t="shared" si="181"/>
        <v>TRAFRESLHDMD</v>
      </c>
      <c r="W231" s="17" t="str">
        <f t="shared" si="181"/>
        <v>TRAFRESLHDMD</v>
      </c>
      <c r="X231" s="18">
        <v>2025</v>
      </c>
      <c r="Y231" s="18" t="str">
        <f>Y230</f>
        <v>LO</v>
      </c>
      <c r="Z231" s="18"/>
      <c r="AA231" s="20" t="e">
        <f>-SUMIFS('TRA RESID'!$P:$P,'TRA RESID'!$I:$I,W231,'TRA RESID'!$J:$J,T231,'TRA RESID'!$H:$H,U231)/SUMIFS('TRA RESID'!$P:$P,'TRA RESID'!$I:$I,W231)*AE231</f>
        <v>#DIV/0!</v>
      </c>
      <c r="AB231" s="18"/>
      <c r="AC231" s="18"/>
      <c r="AE231" s="21">
        <v>1</v>
      </c>
      <c r="AG231" s="15" t="str">
        <f>IF(AG230="*",AG230,"")</f>
        <v>*</v>
      </c>
      <c r="AH231" s="17" t="str">
        <f t="shared" ref="AH231:AK234" si="182">AH230</f>
        <v>*HEV*</v>
      </c>
      <c r="AI231" s="17" t="str">
        <f t="shared" si="182"/>
        <v>TRAGSL</v>
      </c>
      <c r="AJ231" s="17" t="str">
        <f t="shared" si="182"/>
        <v>TRAFRESLHDMD</v>
      </c>
      <c r="AK231" s="17" t="str">
        <f t="shared" si="182"/>
        <v>TRAFRESLHDMD</v>
      </c>
      <c r="AL231" s="18">
        <v>2025</v>
      </c>
      <c r="AM231" s="18" t="str">
        <f>AM230</f>
        <v>LO</v>
      </c>
      <c r="AN231" s="18"/>
      <c r="AO231" s="20" t="e">
        <f>-SUMIFS('TRA RESID'!$P:$P,'TRA RESID'!$I:$I,AK231,'TRA RESID'!$J:$J,AH231,'TRA RESID'!$H:$H,AI231)/SUMIFS('TRA RESID'!$P:$P,'TRA RESID'!$I:$I,AK231)*AS231</f>
        <v>#DIV/0!</v>
      </c>
      <c r="AP231" s="18"/>
      <c r="AQ231" s="18"/>
      <c r="AS231" s="21">
        <v>0.8</v>
      </c>
      <c r="AU231" s="15" t="str">
        <f>IF(AU230="*",AU230,"")</f>
        <v>*</v>
      </c>
      <c r="AV231" s="17" t="str">
        <f t="shared" ref="AV231:AY234" si="183">AV230</f>
        <v>*FCEV*</v>
      </c>
      <c r="AW231" s="17" t="str">
        <f t="shared" si="183"/>
        <v>TRAGSL</v>
      </c>
      <c r="AX231" s="17" t="str">
        <f t="shared" si="183"/>
        <v>TRAFRESLHDMD</v>
      </c>
      <c r="AY231" s="17" t="str">
        <f t="shared" si="183"/>
        <v>TRAFRESLHDMD</v>
      </c>
      <c r="AZ231" s="18">
        <v>2025</v>
      </c>
      <c r="BA231" s="18" t="str">
        <f>BA230</f>
        <v>LO</v>
      </c>
      <c r="BB231" s="18"/>
      <c r="BC231" s="20" t="e">
        <f>-SUMIFS('TRA RESID'!$P:$P,'TRA RESID'!$I:$I,AY231,'TRA RESID'!$J:$J,AV231,'TRA RESID'!$H:$H,AW231)/SUMIFS('TRA RESID'!$P:$P,'TRA RESID'!$I:$I,AY231)*BG231</f>
        <v>#DIV/0!</v>
      </c>
      <c r="BD231" s="18"/>
      <c r="BE231" s="18"/>
      <c r="BG231" s="21">
        <v>0.8</v>
      </c>
    </row>
    <row r="232" spans="1:59" x14ac:dyDescent="0.25">
      <c r="C232" s="15" t="str">
        <f>IF(C231="*",C231,"")</f>
        <v>*</v>
      </c>
      <c r="D232" s="17" t="str">
        <f t="shared" si="180"/>
        <v>*ICEV*</v>
      </c>
      <c r="E232" s="17" t="str">
        <f t="shared" si="180"/>
        <v>TRAGSL</v>
      </c>
      <c r="F232" s="17" t="str">
        <f t="shared" si="180"/>
        <v>TRAFRESLHDMD</v>
      </c>
      <c r="G232" s="17" t="str">
        <f t="shared" si="180"/>
        <v>TRAFRESLHDMD</v>
      </c>
      <c r="H232" s="18">
        <v>2030</v>
      </c>
      <c r="I232" s="18" t="str">
        <f>I231</f>
        <v>LO</v>
      </c>
      <c r="J232" s="18"/>
      <c r="K232" s="20" t="e">
        <f>-SUMIFS('TRA RESID'!$P:$P,'TRA RESID'!$I:$I,G232,'TRA RESID'!$J:$J,D232,'TRA RESID'!$H:$H,E232)/SUMIFS('TRA RESID'!$P:$P,'TRA RESID'!$I:$I,G232)*O232</f>
        <v>#DIV/0!</v>
      </c>
      <c r="L232" s="18"/>
      <c r="M232" s="18"/>
      <c r="O232" s="21">
        <v>0.5</v>
      </c>
      <c r="S232" s="15" t="str">
        <f>IF(S231="*",S231,"")</f>
        <v>*</v>
      </c>
      <c r="T232" s="17" t="str">
        <f t="shared" si="181"/>
        <v>*BEV*</v>
      </c>
      <c r="U232" s="17" t="str">
        <f t="shared" si="181"/>
        <v>TRAGSL</v>
      </c>
      <c r="V232" s="17" t="str">
        <f t="shared" si="181"/>
        <v>TRAFRESLHDMD</v>
      </c>
      <c r="W232" s="17" t="str">
        <f t="shared" si="181"/>
        <v>TRAFRESLHDMD</v>
      </c>
      <c r="X232" s="18">
        <v>2030</v>
      </c>
      <c r="Y232" s="18" t="str">
        <f>Y231</f>
        <v>LO</v>
      </c>
      <c r="Z232" s="18"/>
      <c r="AA232" s="20" t="e">
        <f>-SUMIFS('TRA RESID'!$P:$P,'TRA RESID'!$I:$I,W232,'TRA RESID'!$J:$J,T232,'TRA RESID'!$H:$H,U232)/SUMIFS('TRA RESID'!$P:$P,'TRA RESID'!$I:$I,W232)*AE232</f>
        <v>#DIV/0!</v>
      </c>
      <c r="AB232" s="18"/>
      <c r="AC232" s="18"/>
      <c r="AE232" s="21">
        <v>1</v>
      </c>
      <c r="AG232" s="15" t="str">
        <f>IF(AG231="*",AG231,"")</f>
        <v>*</v>
      </c>
      <c r="AH232" s="17" t="str">
        <f t="shared" si="182"/>
        <v>*HEV*</v>
      </c>
      <c r="AI232" s="17" t="str">
        <f t="shared" si="182"/>
        <v>TRAGSL</v>
      </c>
      <c r="AJ232" s="17" t="str">
        <f t="shared" si="182"/>
        <v>TRAFRESLHDMD</v>
      </c>
      <c r="AK232" s="17" t="str">
        <f t="shared" si="182"/>
        <v>TRAFRESLHDMD</v>
      </c>
      <c r="AL232" s="18">
        <v>2030</v>
      </c>
      <c r="AM232" s="18" t="str">
        <f>AM231</f>
        <v>LO</v>
      </c>
      <c r="AN232" s="18"/>
      <c r="AO232" s="20" t="e">
        <f>-SUMIFS('TRA RESID'!$P:$P,'TRA RESID'!$I:$I,AK232,'TRA RESID'!$J:$J,AH232,'TRA RESID'!$H:$H,AI232)/SUMIFS('TRA RESID'!$P:$P,'TRA RESID'!$I:$I,AK232)*AS232</f>
        <v>#DIV/0!</v>
      </c>
      <c r="AP232" s="18"/>
      <c r="AQ232" s="18"/>
      <c r="AS232" s="21">
        <v>0.5</v>
      </c>
      <c r="AU232" s="15" t="str">
        <f>IF(AU231="*",AU231,"")</f>
        <v>*</v>
      </c>
      <c r="AV232" s="17" t="str">
        <f t="shared" si="183"/>
        <v>*FCEV*</v>
      </c>
      <c r="AW232" s="17" t="str">
        <f t="shared" si="183"/>
        <v>TRAGSL</v>
      </c>
      <c r="AX232" s="17" t="str">
        <f t="shared" si="183"/>
        <v>TRAFRESLHDMD</v>
      </c>
      <c r="AY232" s="17" t="str">
        <f t="shared" si="183"/>
        <v>TRAFRESLHDMD</v>
      </c>
      <c r="AZ232" s="18">
        <v>2030</v>
      </c>
      <c r="BA232" s="18" t="str">
        <f>BA231</f>
        <v>LO</v>
      </c>
      <c r="BB232" s="18"/>
      <c r="BC232" s="20" t="e">
        <f>-SUMIFS('TRA RESID'!$P:$P,'TRA RESID'!$I:$I,AY232,'TRA RESID'!$J:$J,AV232,'TRA RESID'!$H:$H,AW232)/SUMIFS('TRA RESID'!$P:$P,'TRA RESID'!$I:$I,AY232)*BG232</f>
        <v>#DIV/0!</v>
      </c>
      <c r="BD232" s="18"/>
      <c r="BE232" s="18"/>
      <c r="BG232" s="21">
        <v>0.5</v>
      </c>
    </row>
    <row r="233" spans="1:59" x14ac:dyDescent="0.25">
      <c r="C233" s="15" t="str">
        <f>IF(C232="*",C232,"")</f>
        <v>*</v>
      </c>
      <c r="D233" s="17" t="str">
        <f t="shared" si="180"/>
        <v>*ICEV*</v>
      </c>
      <c r="E233" s="17" t="str">
        <f t="shared" si="180"/>
        <v>TRAGSL</v>
      </c>
      <c r="F233" s="17" t="str">
        <f t="shared" si="180"/>
        <v>TRAFRESLHDMD</v>
      </c>
      <c r="G233" s="17" t="str">
        <f t="shared" si="180"/>
        <v>TRAFRESLHDMD</v>
      </c>
      <c r="H233" s="18">
        <v>2040</v>
      </c>
      <c r="I233" s="18" t="str">
        <f>I232</f>
        <v>LO</v>
      </c>
      <c r="J233" s="18"/>
      <c r="K233" s="20" t="e">
        <f>-SUMIFS('TRA RESID'!$P:$P,'TRA RESID'!$I:$I,G233,'TRA RESID'!$J:$J,D233,'TRA RESID'!$H:$H,E233)/SUMIFS('TRA RESID'!$P:$P,'TRA RESID'!$I:$I,G233)*O233</f>
        <v>#DIV/0!</v>
      </c>
      <c r="L233" s="18"/>
      <c r="M233" s="18"/>
      <c r="O233" s="21">
        <v>0</v>
      </c>
      <c r="S233" s="15" t="str">
        <f>IF(S232="*",S232,"")</f>
        <v>*</v>
      </c>
      <c r="T233" s="17" t="str">
        <f t="shared" si="181"/>
        <v>*BEV*</v>
      </c>
      <c r="U233" s="17" t="str">
        <f t="shared" si="181"/>
        <v>TRAGSL</v>
      </c>
      <c r="V233" s="17" t="str">
        <f t="shared" si="181"/>
        <v>TRAFRESLHDMD</v>
      </c>
      <c r="W233" s="17" t="str">
        <f t="shared" si="181"/>
        <v>TRAFRESLHDMD</v>
      </c>
      <c r="X233" s="18">
        <v>2040</v>
      </c>
      <c r="Y233" s="18" t="str">
        <f>Y232</f>
        <v>LO</v>
      </c>
      <c r="Z233" s="18"/>
      <c r="AA233" s="20" t="e">
        <f>-SUMIFS('TRA RESID'!$P:$P,'TRA RESID'!$I:$I,W233,'TRA RESID'!$J:$J,T233,'TRA RESID'!$H:$H,U233)/SUMIFS('TRA RESID'!$P:$P,'TRA RESID'!$I:$I,W233)*AE233</f>
        <v>#DIV/0!</v>
      </c>
      <c r="AB233" s="18"/>
      <c r="AC233" s="18"/>
      <c r="AE233" s="21">
        <v>1</v>
      </c>
      <c r="AG233" s="15" t="str">
        <f>IF(AG232="*",AG232,"")</f>
        <v>*</v>
      </c>
      <c r="AH233" s="17" t="str">
        <f t="shared" si="182"/>
        <v>*HEV*</v>
      </c>
      <c r="AI233" s="17" t="str">
        <f t="shared" si="182"/>
        <v>TRAGSL</v>
      </c>
      <c r="AJ233" s="17" t="str">
        <f t="shared" si="182"/>
        <v>TRAFRESLHDMD</v>
      </c>
      <c r="AK233" s="17" t="str">
        <f t="shared" si="182"/>
        <v>TRAFRESLHDMD</v>
      </c>
      <c r="AL233" s="18">
        <v>2040</v>
      </c>
      <c r="AM233" s="18" t="str">
        <f>AM232</f>
        <v>LO</v>
      </c>
      <c r="AN233" s="18"/>
      <c r="AO233" s="20" t="e">
        <f>-SUMIFS('TRA RESID'!$P:$P,'TRA RESID'!$I:$I,AK233,'TRA RESID'!$J:$J,AH233,'TRA RESID'!$H:$H,AI233)/SUMIFS('TRA RESID'!$P:$P,'TRA RESID'!$I:$I,AK233)*AS233</f>
        <v>#DIV/0!</v>
      </c>
      <c r="AP233" s="18"/>
      <c r="AQ233" s="18"/>
      <c r="AS233" s="21">
        <v>0</v>
      </c>
      <c r="AU233" s="15" t="str">
        <f>IF(AU232="*",AU232,"")</f>
        <v>*</v>
      </c>
      <c r="AV233" s="17" t="str">
        <f t="shared" si="183"/>
        <v>*FCEV*</v>
      </c>
      <c r="AW233" s="17" t="str">
        <f t="shared" si="183"/>
        <v>TRAGSL</v>
      </c>
      <c r="AX233" s="17" t="str">
        <f t="shared" si="183"/>
        <v>TRAFRESLHDMD</v>
      </c>
      <c r="AY233" s="17" t="str">
        <f t="shared" si="183"/>
        <v>TRAFRESLHDMD</v>
      </c>
      <c r="AZ233" s="18">
        <v>2040</v>
      </c>
      <c r="BA233" s="18" t="str">
        <f>BA232</f>
        <v>LO</v>
      </c>
      <c r="BB233" s="18"/>
      <c r="BC233" s="20" t="e">
        <f>-SUMIFS('TRA RESID'!$P:$P,'TRA RESID'!$I:$I,AY233,'TRA RESID'!$J:$J,AV233,'TRA RESID'!$H:$H,AW233)/SUMIFS('TRA RESID'!$P:$P,'TRA RESID'!$I:$I,AY233)*BG233</f>
        <v>#DIV/0!</v>
      </c>
      <c r="BD233" s="18"/>
      <c r="BE233" s="18"/>
      <c r="BG233" s="21">
        <v>0</v>
      </c>
    </row>
    <row r="234" spans="1:59" x14ac:dyDescent="0.25">
      <c r="C234" s="23" t="str">
        <f>IF(C233="*",C233,"")</f>
        <v>*</v>
      </c>
      <c r="D234" s="25" t="str">
        <f t="shared" si="180"/>
        <v>*ICEV*</v>
      </c>
      <c r="E234" s="25" t="str">
        <f t="shared" si="180"/>
        <v>TRAGSL</v>
      </c>
      <c r="F234" s="25" t="str">
        <f t="shared" si="180"/>
        <v>TRAFRESLHDMD</v>
      </c>
      <c r="G234" s="25" t="str">
        <f t="shared" si="180"/>
        <v>TRAFRESLHDMD</v>
      </c>
      <c r="H234" s="26">
        <v>2050</v>
      </c>
      <c r="I234" s="26" t="str">
        <f>I232</f>
        <v>LO</v>
      </c>
      <c r="J234" s="26"/>
      <c r="K234" s="27" t="e">
        <f>-SUMIFS('TRA RESID'!$P:$P,'TRA RESID'!$I:$I,G234,'TRA RESID'!$J:$J,D234,'TRA RESID'!$H:$H,E234)/SUMIFS('TRA RESID'!$P:$P,'TRA RESID'!$I:$I,G234)*O234</f>
        <v>#DIV/0!</v>
      </c>
      <c r="L234" s="26"/>
      <c r="M234" s="26"/>
      <c r="O234" s="28">
        <v>0</v>
      </c>
      <c r="S234" s="23" t="str">
        <f>IF(S233="*",S233,"")</f>
        <v>*</v>
      </c>
      <c r="T234" s="25" t="str">
        <f t="shared" si="181"/>
        <v>*BEV*</v>
      </c>
      <c r="U234" s="25" t="str">
        <f t="shared" si="181"/>
        <v>TRAGSL</v>
      </c>
      <c r="V234" s="25" t="str">
        <f t="shared" si="181"/>
        <v>TRAFRESLHDMD</v>
      </c>
      <c r="W234" s="25" t="str">
        <f t="shared" si="181"/>
        <v>TRAFRESLHDMD</v>
      </c>
      <c r="X234" s="26">
        <v>2050</v>
      </c>
      <c r="Y234" s="26" t="str">
        <f>Y232</f>
        <v>LO</v>
      </c>
      <c r="Z234" s="26"/>
      <c r="AA234" s="27" t="e">
        <f>-SUMIFS('TRA RESID'!$P:$P,'TRA RESID'!$I:$I,W234,'TRA RESID'!$J:$J,T234,'TRA RESID'!$H:$H,U234)/SUMIFS('TRA RESID'!$P:$P,'TRA RESID'!$I:$I,W234)*AE234</f>
        <v>#DIV/0!</v>
      </c>
      <c r="AB234" s="26"/>
      <c r="AC234" s="26"/>
      <c r="AE234" s="28">
        <v>1</v>
      </c>
      <c r="AG234" s="23" t="str">
        <f>IF(AG233="*",AG233,"")</f>
        <v>*</v>
      </c>
      <c r="AH234" s="25" t="str">
        <f t="shared" si="182"/>
        <v>*HEV*</v>
      </c>
      <c r="AI234" s="25" t="str">
        <f t="shared" si="182"/>
        <v>TRAGSL</v>
      </c>
      <c r="AJ234" s="25" t="str">
        <f t="shared" si="182"/>
        <v>TRAFRESLHDMD</v>
      </c>
      <c r="AK234" s="25" t="str">
        <f t="shared" si="182"/>
        <v>TRAFRESLHDMD</v>
      </c>
      <c r="AL234" s="26">
        <v>2050</v>
      </c>
      <c r="AM234" s="26" t="str">
        <f>AM232</f>
        <v>LO</v>
      </c>
      <c r="AN234" s="26"/>
      <c r="AO234" s="27" t="e">
        <f>-SUMIFS('TRA RESID'!$P:$P,'TRA RESID'!$I:$I,AK234,'TRA RESID'!$J:$J,AH234,'TRA RESID'!$H:$H,AI234)/SUMIFS('TRA RESID'!$P:$P,'TRA RESID'!$I:$I,AK234)*AS234</f>
        <v>#DIV/0!</v>
      </c>
      <c r="AP234" s="26"/>
      <c r="AQ234" s="26"/>
      <c r="AS234" s="28">
        <v>0</v>
      </c>
      <c r="AU234" s="23" t="str">
        <f>IF(AU233="*",AU233,"")</f>
        <v>*</v>
      </c>
      <c r="AV234" s="25" t="str">
        <f t="shared" si="183"/>
        <v>*FCEV*</v>
      </c>
      <c r="AW234" s="25" t="str">
        <f t="shared" si="183"/>
        <v>TRAGSL</v>
      </c>
      <c r="AX234" s="25" t="str">
        <f t="shared" si="183"/>
        <v>TRAFRESLHDMD</v>
      </c>
      <c r="AY234" s="25" t="str">
        <f t="shared" si="183"/>
        <v>TRAFRESLHDMD</v>
      </c>
      <c r="AZ234" s="26">
        <v>2050</v>
      </c>
      <c r="BA234" s="26" t="str">
        <f>BA232</f>
        <v>LO</v>
      </c>
      <c r="BB234" s="26"/>
      <c r="BC234" s="27" t="e">
        <f>-SUMIFS('TRA RESID'!$P:$P,'TRA RESID'!$I:$I,AY234,'TRA RESID'!$J:$J,AV234,'TRA RESID'!$H:$H,AW234)/SUMIFS('TRA RESID'!$P:$P,'TRA RESID'!$I:$I,AY234)*BG234</f>
        <v>#DIV/0!</v>
      </c>
      <c r="BD234" s="26"/>
      <c r="BE234" s="26"/>
      <c r="BG234" s="28">
        <v>0</v>
      </c>
    </row>
    <row r="235" spans="1:59" x14ac:dyDescent="0.25">
      <c r="A235">
        <f>A230+1</f>
        <v>47</v>
      </c>
      <c r="C235" s="15" t="str">
        <f>IF(E235="","",IF(_xlfn.XLOOKUP($A235,Selected_constraint!$A:$A,Selected_constraint!$D:$D)=1,"*",IF(SUMIFS('TRA TECH'!$M:$M,'TRA TECH'!$H:$H,E235,'TRA TECH'!$I:$I,F235)=0,"*",IF(SUMIFS('TRA RESID'!$P:$P,'TRA RESID'!$I:$I,G235,'TRA RESID'!$J:$J,D235,'TRA RESID'!$H:$H,E235)=0,"*","UC_"&amp;SUBSTITUTE(D235,"*","")&amp;"_"&amp;RIGHT(E235,3)&amp;"_"&amp;F235))))</f>
        <v>*</v>
      </c>
      <c r="D235" s="17" t="s">
        <v>485</v>
      </c>
      <c r="E235" s="17" t="str">
        <f>_xlfn.XLOOKUP($A235,Selected_constraint!$A:$A,Selected_constraint!$B:$B)</f>
        <v>TRAETH</v>
      </c>
      <c r="F235" s="17" t="str">
        <f>_xlfn.XLOOKUP($A235,Selected_constraint!$A:$A,Selected_constraint!$C:$C)</f>
        <v>TRAFRESLHDMD</v>
      </c>
      <c r="G235" s="17" t="str">
        <f>F235</f>
        <v>TRAFRESLHDMD</v>
      </c>
      <c r="H235" s="18">
        <v>2019</v>
      </c>
      <c r="I235" s="18" t="s">
        <v>483</v>
      </c>
      <c r="J235" s="18">
        <v>1</v>
      </c>
      <c r="K235" s="20" t="e">
        <f>-SUMIFS('TRA RESID'!$P:$P,'TRA RESID'!$I:$I,G235,'TRA RESID'!$J:$J,D235,'TRA RESID'!$H:$H,E235)/SUMIFS('TRA RESID'!$P:$P,'TRA RESID'!$I:$I,G235)*O235</f>
        <v>#DIV/0!</v>
      </c>
      <c r="L235" s="18">
        <v>0</v>
      </c>
      <c r="M235" s="18">
        <v>5</v>
      </c>
      <c r="O235" s="21">
        <v>0.98</v>
      </c>
      <c r="Q235">
        <f>Q230+1</f>
        <v>47</v>
      </c>
      <c r="S235" s="15" t="str">
        <f>IF(SUMIFS('TRA RESID'!$P:$P,'TRA RESID'!$I:$I,W235,'TRA RESID'!$J:$J,T235,'TRA RESID'!$H:$H,U235)=0,"*","UC_"&amp;SUBSTITUTE(T235,"*","")&amp;"_"&amp;RIGHT(U235,3)&amp;"_"&amp;V235)</f>
        <v>*</v>
      </c>
      <c r="T235" s="17" t="s">
        <v>486</v>
      </c>
      <c r="U235" s="17" t="str">
        <f>_xlfn.XLOOKUP($A235,Selected_constraint!$A:$A,Selected_constraint!$B:$B)</f>
        <v>TRAETH</v>
      </c>
      <c r="V235" s="17" t="str">
        <f>_xlfn.XLOOKUP($A235,Selected_constraint!$A:$A,Selected_constraint!$C:$C)</f>
        <v>TRAFRESLHDMD</v>
      </c>
      <c r="W235" s="17" t="str">
        <f>V235</f>
        <v>TRAFRESLHDMD</v>
      </c>
      <c r="X235" s="18">
        <v>2019</v>
      </c>
      <c r="Y235" s="18" t="s">
        <v>483</v>
      </c>
      <c r="Z235" s="18">
        <v>1</v>
      </c>
      <c r="AA235" s="20" t="e">
        <f>-SUMIFS('TRA RESID'!$P:$P,'TRA RESID'!$I:$I,W235,'TRA RESID'!$J:$J,T235,'TRA RESID'!$H:$H,U235)/SUMIFS('TRA RESID'!$P:$P,'TRA RESID'!$I:$I,W235)*AE235</f>
        <v>#DIV/0!</v>
      </c>
      <c r="AB235" s="18">
        <v>0</v>
      </c>
      <c r="AC235" s="18">
        <v>5</v>
      </c>
      <c r="AE235" s="21">
        <v>0.98</v>
      </c>
      <c r="AG235" s="15" t="str">
        <f>IF(SUMIFS('TRA RESID'!$P:$P,'TRA RESID'!$I:$I,AK235,'TRA RESID'!$J:$J,AH235,'TRA RESID'!$H:$H,AI235)=0,"*","UC_"&amp;SUBSTITUTE(AH235,"*","")&amp;"_"&amp;RIGHT(AI235,3)&amp;"_"&amp;AJ235)</f>
        <v>*</v>
      </c>
      <c r="AH235" s="17" t="s">
        <v>487</v>
      </c>
      <c r="AI235" s="17" t="str">
        <f>_xlfn.XLOOKUP($A235,Selected_constraint!$A:$A,Selected_constraint!$B:$B)</f>
        <v>TRAETH</v>
      </c>
      <c r="AJ235" s="17" t="str">
        <f>_xlfn.XLOOKUP($A235,Selected_constraint!$A:$A,Selected_constraint!$C:$C)</f>
        <v>TRAFRESLHDMD</v>
      </c>
      <c r="AK235" s="17" t="str">
        <f>AJ235</f>
        <v>TRAFRESLHDMD</v>
      </c>
      <c r="AL235" s="18">
        <v>2019</v>
      </c>
      <c r="AM235" s="18" t="s">
        <v>483</v>
      </c>
      <c r="AN235" s="18">
        <v>1</v>
      </c>
      <c r="AO235" s="20" t="e">
        <f>-SUMIFS('TRA RESID'!$P:$P,'TRA RESID'!$I:$I,AK235,'TRA RESID'!$J:$J,AH235,'TRA RESID'!$H:$H,AI235)/SUMIFS('TRA RESID'!$P:$P,'TRA RESID'!$I:$I,AK235)*AS235</f>
        <v>#DIV/0!</v>
      </c>
      <c r="AP235" s="18">
        <v>0</v>
      </c>
      <c r="AQ235" s="18">
        <v>5</v>
      </c>
      <c r="AS235" s="21">
        <v>0.98</v>
      </c>
      <c r="AU235" s="15" t="str">
        <f>IF(SUMIFS('TRA RESID'!$P:$P,'TRA RESID'!$I:$I,AY235,'TRA RESID'!$J:$J,AV235,'TRA RESID'!$H:$H,AW235)=0,"*","UC_"&amp;SUBSTITUTE(AV235,"*","")&amp;"_"&amp;RIGHT(AW235,3)&amp;"_"&amp;AX235)</f>
        <v>*</v>
      </c>
      <c r="AV235" s="17" t="s">
        <v>488</v>
      </c>
      <c r="AW235" s="17" t="str">
        <f>_xlfn.XLOOKUP($A235,Selected_constraint!$A:$A,Selected_constraint!$B:$B)</f>
        <v>TRAETH</v>
      </c>
      <c r="AX235" s="17" t="str">
        <f>_xlfn.XLOOKUP($A235,Selected_constraint!$A:$A,Selected_constraint!$C:$C)</f>
        <v>TRAFRESLHDMD</v>
      </c>
      <c r="AY235" s="17" t="str">
        <f>AX235</f>
        <v>TRAFRESLHDMD</v>
      </c>
      <c r="AZ235" s="18">
        <v>2019</v>
      </c>
      <c r="BA235" s="18" t="s">
        <v>483</v>
      </c>
      <c r="BB235" s="18">
        <v>1</v>
      </c>
      <c r="BC235" s="20" t="e">
        <f>-SUMIFS('TRA RESID'!$P:$P,'TRA RESID'!$I:$I,AY235,'TRA RESID'!$J:$J,AV235,'TRA RESID'!$H:$H,AW235)/SUMIFS('TRA RESID'!$P:$P,'TRA RESID'!$I:$I,AY235)*BG235</f>
        <v>#DIV/0!</v>
      </c>
      <c r="BD235" s="18">
        <v>0</v>
      </c>
      <c r="BE235" s="18">
        <v>5</v>
      </c>
      <c r="BG235" s="21">
        <v>0.98</v>
      </c>
    </row>
    <row r="236" spans="1:59" x14ac:dyDescent="0.25">
      <c r="C236" s="15" t="str">
        <f>IF(C235="*",C235,"")</f>
        <v>*</v>
      </c>
      <c r="D236" s="17" t="str">
        <f t="shared" ref="D236:G239" si="184">D235</f>
        <v>*ICEV*</v>
      </c>
      <c r="E236" s="17" t="str">
        <f t="shared" si="184"/>
        <v>TRAETH</v>
      </c>
      <c r="F236" s="17" t="str">
        <f t="shared" si="184"/>
        <v>TRAFRESLHDMD</v>
      </c>
      <c r="G236" s="17" t="str">
        <f t="shared" si="184"/>
        <v>TRAFRESLHDMD</v>
      </c>
      <c r="H236" s="18">
        <v>2025</v>
      </c>
      <c r="I236" s="18" t="str">
        <f>I235</f>
        <v>LO</v>
      </c>
      <c r="J236" s="18"/>
      <c r="K236" s="20" t="e">
        <f>-SUMIFS('TRA RESID'!$P:$P,'TRA RESID'!$I:$I,G236,'TRA RESID'!$J:$J,D236,'TRA RESID'!$H:$H,E236)/SUMIFS('TRA RESID'!$P:$P,'TRA RESID'!$I:$I,G236)*O236</f>
        <v>#DIV/0!</v>
      </c>
      <c r="L236" s="18"/>
      <c r="M236" s="18"/>
      <c r="O236" s="21">
        <v>0.8</v>
      </c>
      <c r="S236" s="15" t="str">
        <f>IF(S235="*",S235,"")</f>
        <v>*</v>
      </c>
      <c r="T236" s="17" t="str">
        <f t="shared" ref="T236:W239" si="185">T235</f>
        <v>*BEV*</v>
      </c>
      <c r="U236" s="17" t="str">
        <f t="shared" si="185"/>
        <v>TRAETH</v>
      </c>
      <c r="V236" s="17" t="str">
        <f t="shared" si="185"/>
        <v>TRAFRESLHDMD</v>
      </c>
      <c r="W236" s="17" t="str">
        <f t="shared" si="185"/>
        <v>TRAFRESLHDMD</v>
      </c>
      <c r="X236" s="18">
        <v>2025</v>
      </c>
      <c r="Y236" s="18" t="str">
        <f>Y235</f>
        <v>LO</v>
      </c>
      <c r="Z236" s="18"/>
      <c r="AA236" s="20" t="e">
        <f>-SUMIFS('TRA RESID'!$P:$P,'TRA RESID'!$I:$I,W236,'TRA RESID'!$J:$J,T236,'TRA RESID'!$H:$H,U236)/SUMIFS('TRA RESID'!$P:$P,'TRA RESID'!$I:$I,W236)*AE236</f>
        <v>#DIV/0!</v>
      </c>
      <c r="AB236" s="18"/>
      <c r="AC236" s="18"/>
      <c r="AE236" s="21">
        <v>1</v>
      </c>
      <c r="AG236" s="15" t="str">
        <f>IF(AG235="*",AG235,"")</f>
        <v>*</v>
      </c>
      <c r="AH236" s="17" t="str">
        <f t="shared" ref="AH236:AK239" si="186">AH235</f>
        <v>*HEV*</v>
      </c>
      <c r="AI236" s="17" t="str">
        <f t="shared" si="186"/>
        <v>TRAETH</v>
      </c>
      <c r="AJ236" s="17" t="str">
        <f t="shared" si="186"/>
        <v>TRAFRESLHDMD</v>
      </c>
      <c r="AK236" s="17" t="str">
        <f t="shared" si="186"/>
        <v>TRAFRESLHDMD</v>
      </c>
      <c r="AL236" s="18">
        <v>2025</v>
      </c>
      <c r="AM236" s="18" t="str">
        <f>AM235</f>
        <v>LO</v>
      </c>
      <c r="AN236" s="18"/>
      <c r="AO236" s="20" t="e">
        <f>-SUMIFS('TRA RESID'!$P:$P,'TRA RESID'!$I:$I,AK236,'TRA RESID'!$J:$J,AH236,'TRA RESID'!$H:$H,AI236)/SUMIFS('TRA RESID'!$P:$P,'TRA RESID'!$I:$I,AK236)*AS236</f>
        <v>#DIV/0!</v>
      </c>
      <c r="AP236" s="18"/>
      <c r="AQ236" s="18"/>
      <c r="AS236" s="21">
        <v>0.8</v>
      </c>
      <c r="AU236" s="15" t="str">
        <f>IF(AU235="*",AU235,"")</f>
        <v>*</v>
      </c>
      <c r="AV236" s="17" t="str">
        <f t="shared" ref="AV236:AY239" si="187">AV235</f>
        <v>*FCEV*</v>
      </c>
      <c r="AW236" s="17" t="str">
        <f t="shared" si="187"/>
        <v>TRAETH</v>
      </c>
      <c r="AX236" s="17" t="str">
        <f t="shared" si="187"/>
        <v>TRAFRESLHDMD</v>
      </c>
      <c r="AY236" s="17" t="str">
        <f t="shared" si="187"/>
        <v>TRAFRESLHDMD</v>
      </c>
      <c r="AZ236" s="18">
        <v>2025</v>
      </c>
      <c r="BA236" s="18" t="str">
        <f>BA235</f>
        <v>LO</v>
      </c>
      <c r="BB236" s="18"/>
      <c r="BC236" s="20" t="e">
        <f>-SUMIFS('TRA RESID'!$P:$P,'TRA RESID'!$I:$I,AY236,'TRA RESID'!$J:$J,AV236,'TRA RESID'!$H:$H,AW236)/SUMIFS('TRA RESID'!$P:$P,'TRA RESID'!$I:$I,AY236)*BG236</f>
        <v>#DIV/0!</v>
      </c>
      <c r="BD236" s="18"/>
      <c r="BE236" s="18"/>
      <c r="BG236" s="21">
        <v>0.8</v>
      </c>
    </row>
    <row r="237" spans="1:59" x14ac:dyDescent="0.25">
      <c r="C237" s="15" t="str">
        <f>IF(C236="*",C236,"")</f>
        <v>*</v>
      </c>
      <c r="D237" s="17" t="str">
        <f t="shared" si="184"/>
        <v>*ICEV*</v>
      </c>
      <c r="E237" s="17" t="str">
        <f t="shared" si="184"/>
        <v>TRAETH</v>
      </c>
      <c r="F237" s="17" t="str">
        <f t="shared" si="184"/>
        <v>TRAFRESLHDMD</v>
      </c>
      <c r="G237" s="17" t="str">
        <f t="shared" si="184"/>
        <v>TRAFRESLHDMD</v>
      </c>
      <c r="H237" s="18">
        <v>2030</v>
      </c>
      <c r="I237" s="18" t="str">
        <f>I236</f>
        <v>LO</v>
      </c>
      <c r="J237" s="18"/>
      <c r="K237" s="20" t="e">
        <f>-SUMIFS('TRA RESID'!$P:$P,'TRA RESID'!$I:$I,G237,'TRA RESID'!$J:$J,D237,'TRA RESID'!$H:$H,E237)/SUMIFS('TRA RESID'!$P:$P,'TRA RESID'!$I:$I,G237)*O237</f>
        <v>#DIV/0!</v>
      </c>
      <c r="L237" s="18"/>
      <c r="M237" s="18"/>
      <c r="O237" s="21">
        <v>0.5</v>
      </c>
      <c r="S237" s="15" t="str">
        <f>IF(S236="*",S236,"")</f>
        <v>*</v>
      </c>
      <c r="T237" s="17" t="str">
        <f t="shared" si="185"/>
        <v>*BEV*</v>
      </c>
      <c r="U237" s="17" t="str">
        <f t="shared" si="185"/>
        <v>TRAETH</v>
      </c>
      <c r="V237" s="17" t="str">
        <f t="shared" si="185"/>
        <v>TRAFRESLHDMD</v>
      </c>
      <c r="W237" s="17" t="str">
        <f t="shared" si="185"/>
        <v>TRAFRESLHDMD</v>
      </c>
      <c r="X237" s="18">
        <v>2030</v>
      </c>
      <c r="Y237" s="18" t="str">
        <f>Y236</f>
        <v>LO</v>
      </c>
      <c r="Z237" s="18"/>
      <c r="AA237" s="20" t="e">
        <f>-SUMIFS('TRA RESID'!$P:$P,'TRA RESID'!$I:$I,W237,'TRA RESID'!$J:$J,T237,'TRA RESID'!$H:$H,U237)/SUMIFS('TRA RESID'!$P:$P,'TRA RESID'!$I:$I,W237)*AE237</f>
        <v>#DIV/0!</v>
      </c>
      <c r="AB237" s="18"/>
      <c r="AC237" s="18"/>
      <c r="AE237" s="21">
        <v>1</v>
      </c>
      <c r="AG237" s="15" t="str">
        <f>IF(AG236="*",AG236,"")</f>
        <v>*</v>
      </c>
      <c r="AH237" s="17" t="str">
        <f t="shared" si="186"/>
        <v>*HEV*</v>
      </c>
      <c r="AI237" s="17" t="str">
        <f t="shared" si="186"/>
        <v>TRAETH</v>
      </c>
      <c r="AJ237" s="17" t="str">
        <f t="shared" si="186"/>
        <v>TRAFRESLHDMD</v>
      </c>
      <c r="AK237" s="17" t="str">
        <f t="shared" si="186"/>
        <v>TRAFRESLHDMD</v>
      </c>
      <c r="AL237" s="18">
        <v>2030</v>
      </c>
      <c r="AM237" s="18" t="str">
        <f>AM236</f>
        <v>LO</v>
      </c>
      <c r="AN237" s="18"/>
      <c r="AO237" s="20" t="e">
        <f>-SUMIFS('TRA RESID'!$P:$P,'TRA RESID'!$I:$I,AK237,'TRA RESID'!$J:$J,AH237,'TRA RESID'!$H:$H,AI237)/SUMIFS('TRA RESID'!$P:$P,'TRA RESID'!$I:$I,AK237)*AS237</f>
        <v>#DIV/0!</v>
      </c>
      <c r="AP237" s="18"/>
      <c r="AQ237" s="18"/>
      <c r="AS237" s="21">
        <v>0.5</v>
      </c>
      <c r="AU237" s="15" t="str">
        <f>IF(AU236="*",AU236,"")</f>
        <v>*</v>
      </c>
      <c r="AV237" s="17" t="str">
        <f t="shared" si="187"/>
        <v>*FCEV*</v>
      </c>
      <c r="AW237" s="17" t="str">
        <f t="shared" si="187"/>
        <v>TRAETH</v>
      </c>
      <c r="AX237" s="17" t="str">
        <f t="shared" si="187"/>
        <v>TRAFRESLHDMD</v>
      </c>
      <c r="AY237" s="17" t="str">
        <f t="shared" si="187"/>
        <v>TRAFRESLHDMD</v>
      </c>
      <c r="AZ237" s="18">
        <v>2030</v>
      </c>
      <c r="BA237" s="18" t="str">
        <f>BA236</f>
        <v>LO</v>
      </c>
      <c r="BB237" s="18"/>
      <c r="BC237" s="20" t="e">
        <f>-SUMIFS('TRA RESID'!$P:$P,'TRA RESID'!$I:$I,AY237,'TRA RESID'!$J:$J,AV237,'TRA RESID'!$H:$H,AW237)/SUMIFS('TRA RESID'!$P:$P,'TRA RESID'!$I:$I,AY237)*BG237</f>
        <v>#DIV/0!</v>
      </c>
      <c r="BD237" s="18"/>
      <c r="BE237" s="18"/>
      <c r="BG237" s="21">
        <v>0.5</v>
      </c>
    </row>
    <row r="238" spans="1:59" x14ac:dyDescent="0.25">
      <c r="C238" s="15" t="str">
        <f>IF(C237="*",C237,"")</f>
        <v>*</v>
      </c>
      <c r="D238" s="17" t="str">
        <f t="shared" si="184"/>
        <v>*ICEV*</v>
      </c>
      <c r="E238" s="17" t="str">
        <f t="shared" si="184"/>
        <v>TRAETH</v>
      </c>
      <c r="F238" s="17" t="str">
        <f t="shared" si="184"/>
        <v>TRAFRESLHDMD</v>
      </c>
      <c r="G238" s="17" t="str">
        <f t="shared" si="184"/>
        <v>TRAFRESLHDMD</v>
      </c>
      <c r="H238" s="18">
        <v>2040</v>
      </c>
      <c r="I238" s="18" t="str">
        <f>I237</f>
        <v>LO</v>
      </c>
      <c r="J238" s="18"/>
      <c r="K238" s="20" t="e">
        <f>-SUMIFS('TRA RESID'!$P:$P,'TRA RESID'!$I:$I,G238,'TRA RESID'!$J:$J,D238,'TRA RESID'!$H:$H,E238)/SUMIFS('TRA RESID'!$P:$P,'TRA RESID'!$I:$I,G238)*O238</f>
        <v>#DIV/0!</v>
      </c>
      <c r="L238" s="18"/>
      <c r="M238" s="18"/>
      <c r="O238" s="21">
        <v>0</v>
      </c>
      <c r="S238" s="15" t="str">
        <f>IF(S237="*",S237,"")</f>
        <v>*</v>
      </c>
      <c r="T238" s="17" t="str">
        <f t="shared" si="185"/>
        <v>*BEV*</v>
      </c>
      <c r="U238" s="17" t="str">
        <f t="shared" si="185"/>
        <v>TRAETH</v>
      </c>
      <c r="V238" s="17" t="str">
        <f t="shared" si="185"/>
        <v>TRAFRESLHDMD</v>
      </c>
      <c r="W238" s="17" t="str">
        <f t="shared" si="185"/>
        <v>TRAFRESLHDMD</v>
      </c>
      <c r="X238" s="18">
        <v>2040</v>
      </c>
      <c r="Y238" s="18" t="str">
        <f>Y237</f>
        <v>LO</v>
      </c>
      <c r="Z238" s="18"/>
      <c r="AA238" s="20" t="e">
        <f>-SUMIFS('TRA RESID'!$P:$P,'TRA RESID'!$I:$I,W238,'TRA RESID'!$J:$J,T238,'TRA RESID'!$H:$H,U238)/SUMIFS('TRA RESID'!$P:$P,'TRA RESID'!$I:$I,W238)*AE238</f>
        <v>#DIV/0!</v>
      </c>
      <c r="AB238" s="18"/>
      <c r="AC238" s="18"/>
      <c r="AE238" s="21">
        <v>1</v>
      </c>
      <c r="AG238" s="15" t="str">
        <f>IF(AG237="*",AG237,"")</f>
        <v>*</v>
      </c>
      <c r="AH238" s="17" t="str">
        <f t="shared" si="186"/>
        <v>*HEV*</v>
      </c>
      <c r="AI238" s="17" t="str">
        <f t="shared" si="186"/>
        <v>TRAETH</v>
      </c>
      <c r="AJ238" s="17" t="str">
        <f t="shared" si="186"/>
        <v>TRAFRESLHDMD</v>
      </c>
      <c r="AK238" s="17" t="str">
        <f t="shared" si="186"/>
        <v>TRAFRESLHDMD</v>
      </c>
      <c r="AL238" s="18">
        <v>2040</v>
      </c>
      <c r="AM238" s="18" t="str">
        <f>AM237</f>
        <v>LO</v>
      </c>
      <c r="AN238" s="18"/>
      <c r="AO238" s="20" t="e">
        <f>-SUMIFS('TRA RESID'!$P:$P,'TRA RESID'!$I:$I,AK238,'TRA RESID'!$J:$J,AH238,'TRA RESID'!$H:$H,AI238)/SUMIFS('TRA RESID'!$P:$P,'TRA RESID'!$I:$I,AK238)*AS238</f>
        <v>#DIV/0!</v>
      </c>
      <c r="AP238" s="18"/>
      <c r="AQ238" s="18"/>
      <c r="AS238" s="21">
        <v>0</v>
      </c>
      <c r="AU238" s="15" t="str">
        <f>IF(AU237="*",AU237,"")</f>
        <v>*</v>
      </c>
      <c r="AV238" s="17" t="str">
        <f t="shared" si="187"/>
        <v>*FCEV*</v>
      </c>
      <c r="AW238" s="17" t="str">
        <f t="shared" si="187"/>
        <v>TRAETH</v>
      </c>
      <c r="AX238" s="17" t="str">
        <f t="shared" si="187"/>
        <v>TRAFRESLHDMD</v>
      </c>
      <c r="AY238" s="17" t="str">
        <f t="shared" si="187"/>
        <v>TRAFRESLHDMD</v>
      </c>
      <c r="AZ238" s="18">
        <v>2040</v>
      </c>
      <c r="BA238" s="18" t="str">
        <f>BA237</f>
        <v>LO</v>
      </c>
      <c r="BB238" s="18"/>
      <c r="BC238" s="20" t="e">
        <f>-SUMIFS('TRA RESID'!$P:$P,'TRA RESID'!$I:$I,AY238,'TRA RESID'!$J:$J,AV238,'TRA RESID'!$H:$H,AW238)/SUMIFS('TRA RESID'!$P:$P,'TRA RESID'!$I:$I,AY238)*BG238</f>
        <v>#DIV/0!</v>
      </c>
      <c r="BD238" s="18"/>
      <c r="BE238" s="18"/>
      <c r="BG238" s="21">
        <v>0</v>
      </c>
    </row>
    <row r="239" spans="1:59" x14ac:dyDescent="0.25">
      <c r="C239" s="23" t="str">
        <f>IF(C238="*",C238,"")</f>
        <v>*</v>
      </c>
      <c r="D239" s="25" t="str">
        <f t="shared" si="184"/>
        <v>*ICEV*</v>
      </c>
      <c r="E239" s="25" t="str">
        <f t="shared" si="184"/>
        <v>TRAETH</v>
      </c>
      <c r="F239" s="25" t="str">
        <f t="shared" si="184"/>
        <v>TRAFRESLHDMD</v>
      </c>
      <c r="G239" s="25" t="str">
        <f t="shared" si="184"/>
        <v>TRAFRESLHDMD</v>
      </c>
      <c r="H239" s="26">
        <v>2050</v>
      </c>
      <c r="I239" s="26" t="str">
        <f>I237</f>
        <v>LO</v>
      </c>
      <c r="J239" s="26"/>
      <c r="K239" s="27" t="e">
        <f>-SUMIFS('TRA RESID'!$P:$P,'TRA RESID'!$I:$I,G239,'TRA RESID'!$J:$J,D239,'TRA RESID'!$H:$H,E239)/SUMIFS('TRA RESID'!$P:$P,'TRA RESID'!$I:$I,G239)*O239</f>
        <v>#DIV/0!</v>
      </c>
      <c r="L239" s="26"/>
      <c r="M239" s="26"/>
      <c r="O239" s="28">
        <v>0</v>
      </c>
      <c r="S239" s="23" t="str">
        <f>IF(S238="*",S238,"")</f>
        <v>*</v>
      </c>
      <c r="T239" s="25" t="str">
        <f t="shared" si="185"/>
        <v>*BEV*</v>
      </c>
      <c r="U239" s="25" t="str">
        <f t="shared" si="185"/>
        <v>TRAETH</v>
      </c>
      <c r="V239" s="25" t="str">
        <f t="shared" si="185"/>
        <v>TRAFRESLHDMD</v>
      </c>
      <c r="W239" s="25" t="str">
        <f t="shared" si="185"/>
        <v>TRAFRESLHDMD</v>
      </c>
      <c r="X239" s="26">
        <v>2050</v>
      </c>
      <c r="Y239" s="26" t="str">
        <f>Y237</f>
        <v>LO</v>
      </c>
      <c r="Z239" s="26"/>
      <c r="AA239" s="27" t="e">
        <f>-SUMIFS('TRA RESID'!$P:$P,'TRA RESID'!$I:$I,W239,'TRA RESID'!$J:$J,T239,'TRA RESID'!$H:$H,U239)/SUMIFS('TRA RESID'!$P:$P,'TRA RESID'!$I:$I,W239)*AE239</f>
        <v>#DIV/0!</v>
      </c>
      <c r="AB239" s="26"/>
      <c r="AC239" s="26"/>
      <c r="AE239" s="28">
        <v>1</v>
      </c>
      <c r="AG239" s="23" t="str">
        <f>IF(AG238="*",AG238,"")</f>
        <v>*</v>
      </c>
      <c r="AH239" s="25" t="str">
        <f t="shared" si="186"/>
        <v>*HEV*</v>
      </c>
      <c r="AI239" s="25" t="str">
        <f t="shared" si="186"/>
        <v>TRAETH</v>
      </c>
      <c r="AJ239" s="25" t="str">
        <f t="shared" si="186"/>
        <v>TRAFRESLHDMD</v>
      </c>
      <c r="AK239" s="25" t="str">
        <f t="shared" si="186"/>
        <v>TRAFRESLHDMD</v>
      </c>
      <c r="AL239" s="26">
        <v>2050</v>
      </c>
      <c r="AM239" s="26" t="str">
        <f>AM237</f>
        <v>LO</v>
      </c>
      <c r="AN239" s="26"/>
      <c r="AO239" s="27" t="e">
        <f>-SUMIFS('TRA RESID'!$P:$P,'TRA RESID'!$I:$I,AK239,'TRA RESID'!$J:$J,AH239,'TRA RESID'!$H:$H,AI239)/SUMIFS('TRA RESID'!$P:$P,'TRA RESID'!$I:$I,AK239)*AS239</f>
        <v>#DIV/0!</v>
      </c>
      <c r="AP239" s="26"/>
      <c r="AQ239" s="26"/>
      <c r="AS239" s="28">
        <v>0</v>
      </c>
      <c r="AU239" s="23" t="str">
        <f>IF(AU238="*",AU238,"")</f>
        <v>*</v>
      </c>
      <c r="AV239" s="25" t="str">
        <f t="shared" si="187"/>
        <v>*FCEV*</v>
      </c>
      <c r="AW239" s="25" t="str">
        <f t="shared" si="187"/>
        <v>TRAETH</v>
      </c>
      <c r="AX239" s="25" t="str">
        <f t="shared" si="187"/>
        <v>TRAFRESLHDMD</v>
      </c>
      <c r="AY239" s="25" t="str">
        <f t="shared" si="187"/>
        <v>TRAFRESLHDMD</v>
      </c>
      <c r="AZ239" s="26">
        <v>2050</v>
      </c>
      <c r="BA239" s="26" t="str">
        <f>BA237</f>
        <v>LO</v>
      </c>
      <c r="BB239" s="26"/>
      <c r="BC239" s="27" t="e">
        <f>-SUMIFS('TRA RESID'!$P:$P,'TRA RESID'!$I:$I,AY239,'TRA RESID'!$J:$J,AV239,'TRA RESID'!$H:$H,AW239)/SUMIFS('TRA RESID'!$P:$P,'TRA RESID'!$I:$I,AY239)*BG239</f>
        <v>#DIV/0!</v>
      </c>
      <c r="BD239" s="26"/>
      <c r="BE239" s="26"/>
      <c r="BG239" s="28">
        <v>0</v>
      </c>
    </row>
    <row r="240" spans="1:59" x14ac:dyDescent="0.25">
      <c r="A240">
        <f>A235+1</f>
        <v>48</v>
      </c>
      <c r="C240" s="15" t="str">
        <f>IF(E240="","",IF(_xlfn.XLOOKUP($A240,Selected_constraint!$A:$A,Selected_constraint!$D:$D)=1,"*",IF(SUMIFS('TRA TECH'!$M:$M,'TRA TECH'!$H:$H,E240,'TRA TECH'!$I:$I,F240)=0,"*",IF(SUMIFS('TRA RESID'!$P:$P,'TRA RESID'!$I:$I,G240,'TRA RESID'!$J:$J,D240,'TRA RESID'!$H:$H,E240)=0,"*","UC_"&amp;SUBSTITUTE(D240,"*","")&amp;"_"&amp;RIGHT(E240,3)&amp;"_"&amp;F240))))</f>
        <v>*</v>
      </c>
      <c r="D240" s="17" t="s">
        <v>485</v>
      </c>
      <c r="E240" s="17" t="str">
        <f>_xlfn.XLOOKUP($A240,Selected_constraint!$A:$A,Selected_constraint!$B:$B)</f>
        <v>TRADSL</v>
      </c>
      <c r="F240" s="17" t="str">
        <f>_xlfn.XLOOKUP($A240,Selected_constraint!$A:$A,Selected_constraint!$C:$C)</f>
        <v>TRAFRESLHDMD</v>
      </c>
      <c r="G240" s="17" t="str">
        <f>F240</f>
        <v>TRAFRESLHDMD</v>
      </c>
      <c r="H240" s="18">
        <v>2019</v>
      </c>
      <c r="I240" s="18" t="s">
        <v>483</v>
      </c>
      <c r="J240" s="18">
        <v>1</v>
      </c>
      <c r="K240" s="20" t="e">
        <f>-SUMIFS('TRA RESID'!$P:$P,'TRA RESID'!$I:$I,G240,'TRA RESID'!$J:$J,D240,'TRA RESID'!$H:$H,E240)/SUMIFS('TRA RESID'!$P:$P,'TRA RESID'!$I:$I,G240)*O240</f>
        <v>#DIV/0!</v>
      </c>
      <c r="L240" s="18">
        <v>0</v>
      </c>
      <c r="M240" s="18">
        <v>5</v>
      </c>
      <c r="O240" s="21">
        <v>0.98</v>
      </c>
      <c r="Q240">
        <f>Q235+1</f>
        <v>48</v>
      </c>
      <c r="S240" s="15" t="str">
        <f>IF(SUMIFS('TRA RESID'!$P:$P,'TRA RESID'!$I:$I,W240,'TRA RESID'!$J:$J,T240,'TRA RESID'!$H:$H,U240)=0,"*","UC_"&amp;SUBSTITUTE(T240,"*","")&amp;"_"&amp;RIGHT(U240,3)&amp;"_"&amp;V240)</f>
        <v>*</v>
      </c>
      <c r="T240" s="17" t="s">
        <v>486</v>
      </c>
      <c r="U240" s="17" t="str">
        <f>_xlfn.XLOOKUP($A240,Selected_constraint!$A:$A,Selected_constraint!$B:$B)</f>
        <v>TRADSL</v>
      </c>
      <c r="V240" s="17" t="str">
        <f>_xlfn.XLOOKUP($A240,Selected_constraint!$A:$A,Selected_constraint!$C:$C)</f>
        <v>TRAFRESLHDMD</v>
      </c>
      <c r="W240" s="17" t="str">
        <f>V240</f>
        <v>TRAFRESLHDMD</v>
      </c>
      <c r="X240" s="18">
        <v>2019</v>
      </c>
      <c r="Y240" s="18" t="s">
        <v>483</v>
      </c>
      <c r="Z240" s="18">
        <v>1</v>
      </c>
      <c r="AA240" s="20" t="e">
        <f>-SUMIFS('TRA RESID'!$P:$P,'TRA RESID'!$I:$I,W240,'TRA RESID'!$J:$J,T240,'TRA RESID'!$H:$H,U240)/SUMIFS('TRA RESID'!$P:$P,'TRA RESID'!$I:$I,W240)*AE240</f>
        <v>#DIV/0!</v>
      </c>
      <c r="AB240" s="18">
        <v>0</v>
      </c>
      <c r="AC240" s="18">
        <v>5</v>
      </c>
      <c r="AE240" s="21">
        <v>0.98</v>
      </c>
      <c r="AG240" s="15" t="str">
        <f>IF(SUMIFS('TRA RESID'!$P:$P,'TRA RESID'!$I:$I,AK240,'TRA RESID'!$J:$J,AH240,'TRA RESID'!$H:$H,AI240)=0,"*","UC_"&amp;SUBSTITUTE(AH240,"*","")&amp;"_"&amp;RIGHT(AI240,3)&amp;"_"&amp;AJ240)</f>
        <v>*</v>
      </c>
      <c r="AH240" s="17" t="s">
        <v>487</v>
      </c>
      <c r="AI240" s="17" t="str">
        <f>_xlfn.XLOOKUP($A240,Selected_constraint!$A:$A,Selected_constraint!$B:$B)</f>
        <v>TRADSL</v>
      </c>
      <c r="AJ240" s="17" t="str">
        <f>_xlfn.XLOOKUP($A240,Selected_constraint!$A:$A,Selected_constraint!$C:$C)</f>
        <v>TRAFRESLHDMD</v>
      </c>
      <c r="AK240" s="17" t="str">
        <f>AJ240</f>
        <v>TRAFRESLHDMD</v>
      </c>
      <c r="AL240" s="18">
        <v>2019</v>
      </c>
      <c r="AM240" s="18" t="s">
        <v>483</v>
      </c>
      <c r="AN240" s="18">
        <v>1</v>
      </c>
      <c r="AO240" s="20" t="e">
        <f>-SUMIFS('TRA RESID'!$P:$P,'TRA RESID'!$I:$I,AK240,'TRA RESID'!$J:$J,AH240,'TRA RESID'!$H:$H,AI240)/SUMIFS('TRA RESID'!$P:$P,'TRA RESID'!$I:$I,AK240)*AS240</f>
        <v>#DIV/0!</v>
      </c>
      <c r="AP240" s="18">
        <v>0</v>
      </c>
      <c r="AQ240" s="18">
        <v>5</v>
      </c>
      <c r="AS240" s="21">
        <v>0.98</v>
      </c>
      <c r="AU240" s="15" t="str">
        <f>IF(SUMIFS('TRA RESID'!$P:$P,'TRA RESID'!$I:$I,AY240,'TRA RESID'!$J:$J,AV240,'TRA RESID'!$H:$H,AW240)=0,"*","UC_"&amp;SUBSTITUTE(AV240,"*","")&amp;"_"&amp;RIGHT(AW240,3)&amp;"_"&amp;AX240)</f>
        <v>*</v>
      </c>
      <c r="AV240" s="17" t="s">
        <v>488</v>
      </c>
      <c r="AW240" s="17" t="str">
        <f>_xlfn.XLOOKUP($A240,Selected_constraint!$A:$A,Selected_constraint!$B:$B)</f>
        <v>TRADSL</v>
      </c>
      <c r="AX240" s="17" t="str">
        <f>_xlfn.XLOOKUP($A240,Selected_constraint!$A:$A,Selected_constraint!$C:$C)</f>
        <v>TRAFRESLHDMD</v>
      </c>
      <c r="AY240" s="17" t="str">
        <f>AX240</f>
        <v>TRAFRESLHDMD</v>
      </c>
      <c r="AZ240" s="18">
        <v>2019</v>
      </c>
      <c r="BA240" s="18" t="s">
        <v>483</v>
      </c>
      <c r="BB240" s="18">
        <v>1</v>
      </c>
      <c r="BC240" s="20" t="e">
        <f>-SUMIFS('TRA RESID'!$P:$P,'TRA RESID'!$I:$I,AY240,'TRA RESID'!$J:$J,AV240,'TRA RESID'!$H:$H,AW240)/SUMIFS('TRA RESID'!$P:$P,'TRA RESID'!$I:$I,AY240)*BG240</f>
        <v>#DIV/0!</v>
      </c>
      <c r="BD240" s="18">
        <v>0</v>
      </c>
      <c r="BE240" s="18">
        <v>5</v>
      </c>
      <c r="BG240" s="21">
        <v>0.98</v>
      </c>
    </row>
    <row r="241" spans="1:59" x14ac:dyDescent="0.25">
      <c r="C241" s="15" t="str">
        <f>IF(C240="*",C240,"")</f>
        <v>*</v>
      </c>
      <c r="D241" s="17" t="str">
        <f t="shared" ref="D241:G244" si="188">D240</f>
        <v>*ICEV*</v>
      </c>
      <c r="E241" s="17" t="str">
        <f t="shared" si="188"/>
        <v>TRADSL</v>
      </c>
      <c r="F241" s="17" t="str">
        <f t="shared" si="188"/>
        <v>TRAFRESLHDMD</v>
      </c>
      <c r="G241" s="17" t="str">
        <f t="shared" si="188"/>
        <v>TRAFRESLHDMD</v>
      </c>
      <c r="H241" s="18">
        <v>2025</v>
      </c>
      <c r="I241" s="18" t="str">
        <f>I240</f>
        <v>LO</v>
      </c>
      <c r="J241" s="18"/>
      <c r="K241" s="20" t="e">
        <f>-SUMIFS('TRA RESID'!$P:$P,'TRA RESID'!$I:$I,G241,'TRA RESID'!$J:$J,D241,'TRA RESID'!$H:$H,E241)/SUMIFS('TRA RESID'!$P:$P,'TRA RESID'!$I:$I,G241)*O241</f>
        <v>#DIV/0!</v>
      </c>
      <c r="L241" s="18"/>
      <c r="M241" s="18"/>
      <c r="O241" s="21">
        <v>0.8</v>
      </c>
      <c r="S241" s="15" t="str">
        <f>IF(S240="*",S240,"")</f>
        <v>*</v>
      </c>
      <c r="T241" s="17" t="str">
        <f t="shared" ref="T241:W244" si="189">T240</f>
        <v>*BEV*</v>
      </c>
      <c r="U241" s="17" t="str">
        <f t="shared" si="189"/>
        <v>TRADSL</v>
      </c>
      <c r="V241" s="17" t="str">
        <f t="shared" si="189"/>
        <v>TRAFRESLHDMD</v>
      </c>
      <c r="W241" s="17" t="str">
        <f t="shared" si="189"/>
        <v>TRAFRESLHDMD</v>
      </c>
      <c r="X241" s="18">
        <v>2025</v>
      </c>
      <c r="Y241" s="18" t="str">
        <f>Y240</f>
        <v>LO</v>
      </c>
      <c r="Z241" s="18"/>
      <c r="AA241" s="20" t="e">
        <f>-SUMIFS('TRA RESID'!$P:$P,'TRA RESID'!$I:$I,W241,'TRA RESID'!$J:$J,T241,'TRA RESID'!$H:$H,U241)/SUMIFS('TRA RESID'!$P:$P,'TRA RESID'!$I:$I,W241)*AE241</f>
        <v>#DIV/0!</v>
      </c>
      <c r="AB241" s="18"/>
      <c r="AC241" s="18"/>
      <c r="AE241" s="21">
        <v>1</v>
      </c>
      <c r="AG241" s="15" t="str">
        <f>IF(AG240="*",AG240,"")</f>
        <v>*</v>
      </c>
      <c r="AH241" s="17" t="str">
        <f t="shared" ref="AH241:AK244" si="190">AH240</f>
        <v>*HEV*</v>
      </c>
      <c r="AI241" s="17" t="str">
        <f t="shared" si="190"/>
        <v>TRADSL</v>
      </c>
      <c r="AJ241" s="17" t="str">
        <f t="shared" si="190"/>
        <v>TRAFRESLHDMD</v>
      </c>
      <c r="AK241" s="17" t="str">
        <f t="shared" si="190"/>
        <v>TRAFRESLHDMD</v>
      </c>
      <c r="AL241" s="18">
        <v>2025</v>
      </c>
      <c r="AM241" s="18" t="str">
        <f>AM240</f>
        <v>LO</v>
      </c>
      <c r="AN241" s="18"/>
      <c r="AO241" s="20" t="e">
        <f>-SUMIFS('TRA RESID'!$P:$P,'TRA RESID'!$I:$I,AK241,'TRA RESID'!$J:$J,AH241,'TRA RESID'!$H:$H,AI241)/SUMIFS('TRA RESID'!$P:$P,'TRA RESID'!$I:$I,AK241)*AS241</f>
        <v>#DIV/0!</v>
      </c>
      <c r="AP241" s="18"/>
      <c r="AQ241" s="18"/>
      <c r="AS241" s="21">
        <v>0.8</v>
      </c>
      <c r="AU241" s="15" t="str">
        <f>IF(AU240="*",AU240,"")</f>
        <v>*</v>
      </c>
      <c r="AV241" s="17" t="str">
        <f t="shared" ref="AV241:AY244" si="191">AV240</f>
        <v>*FCEV*</v>
      </c>
      <c r="AW241" s="17" t="str">
        <f t="shared" si="191"/>
        <v>TRADSL</v>
      </c>
      <c r="AX241" s="17" t="str">
        <f t="shared" si="191"/>
        <v>TRAFRESLHDMD</v>
      </c>
      <c r="AY241" s="17" t="str">
        <f t="shared" si="191"/>
        <v>TRAFRESLHDMD</v>
      </c>
      <c r="AZ241" s="18">
        <v>2025</v>
      </c>
      <c r="BA241" s="18" t="str">
        <f>BA240</f>
        <v>LO</v>
      </c>
      <c r="BB241" s="18"/>
      <c r="BC241" s="20" t="e">
        <f>-SUMIFS('TRA RESID'!$P:$P,'TRA RESID'!$I:$I,AY241,'TRA RESID'!$J:$J,AV241,'TRA RESID'!$H:$H,AW241)/SUMIFS('TRA RESID'!$P:$P,'TRA RESID'!$I:$I,AY241)*BG241</f>
        <v>#DIV/0!</v>
      </c>
      <c r="BD241" s="18"/>
      <c r="BE241" s="18"/>
      <c r="BG241" s="21">
        <v>0.8</v>
      </c>
    </row>
    <row r="242" spans="1:59" x14ac:dyDescent="0.25">
      <c r="C242" s="15" t="str">
        <f>IF(C241="*",C241,"")</f>
        <v>*</v>
      </c>
      <c r="D242" s="17" t="str">
        <f t="shared" si="188"/>
        <v>*ICEV*</v>
      </c>
      <c r="E242" s="17" t="str">
        <f t="shared" si="188"/>
        <v>TRADSL</v>
      </c>
      <c r="F242" s="17" t="str">
        <f t="shared" si="188"/>
        <v>TRAFRESLHDMD</v>
      </c>
      <c r="G242" s="17" t="str">
        <f t="shared" si="188"/>
        <v>TRAFRESLHDMD</v>
      </c>
      <c r="H242" s="18">
        <v>2030</v>
      </c>
      <c r="I242" s="18" t="str">
        <f>I241</f>
        <v>LO</v>
      </c>
      <c r="J242" s="18"/>
      <c r="K242" s="20" t="e">
        <f>-SUMIFS('TRA RESID'!$P:$P,'TRA RESID'!$I:$I,G242,'TRA RESID'!$J:$J,D242,'TRA RESID'!$H:$H,E242)/SUMIFS('TRA RESID'!$P:$P,'TRA RESID'!$I:$I,G242)*O242</f>
        <v>#DIV/0!</v>
      </c>
      <c r="L242" s="18"/>
      <c r="M242" s="18"/>
      <c r="O242" s="21">
        <v>0.5</v>
      </c>
      <c r="S242" s="15" t="str">
        <f>IF(S241="*",S241,"")</f>
        <v>*</v>
      </c>
      <c r="T242" s="17" t="str">
        <f t="shared" si="189"/>
        <v>*BEV*</v>
      </c>
      <c r="U242" s="17" t="str">
        <f t="shared" si="189"/>
        <v>TRADSL</v>
      </c>
      <c r="V242" s="17" t="str">
        <f t="shared" si="189"/>
        <v>TRAFRESLHDMD</v>
      </c>
      <c r="W242" s="17" t="str">
        <f t="shared" si="189"/>
        <v>TRAFRESLHDMD</v>
      </c>
      <c r="X242" s="18">
        <v>2030</v>
      </c>
      <c r="Y242" s="18" t="str">
        <f>Y241</f>
        <v>LO</v>
      </c>
      <c r="Z242" s="18"/>
      <c r="AA242" s="20" t="e">
        <f>-SUMIFS('TRA RESID'!$P:$P,'TRA RESID'!$I:$I,W242,'TRA RESID'!$J:$J,T242,'TRA RESID'!$H:$H,U242)/SUMIFS('TRA RESID'!$P:$P,'TRA RESID'!$I:$I,W242)*AE242</f>
        <v>#DIV/0!</v>
      </c>
      <c r="AB242" s="18"/>
      <c r="AC242" s="18"/>
      <c r="AE242" s="21">
        <v>1</v>
      </c>
      <c r="AG242" s="15" t="str">
        <f>IF(AG241="*",AG241,"")</f>
        <v>*</v>
      </c>
      <c r="AH242" s="17" t="str">
        <f t="shared" si="190"/>
        <v>*HEV*</v>
      </c>
      <c r="AI242" s="17" t="str">
        <f t="shared" si="190"/>
        <v>TRADSL</v>
      </c>
      <c r="AJ242" s="17" t="str">
        <f t="shared" si="190"/>
        <v>TRAFRESLHDMD</v>
      </c>
      <c r="AK242" s="17" t="str">
        <f t="shared" si="190"/>
        <v>TRAFRESLHDMD</v>
      </c>
      <c r="AL242" s="18">
        <v>2030</v>
      </c>
      <c r="AM242" s="18" t="str">
        <f>AM241</f>
        <v>LO</v>
      </c>
      <c r="AN242" s="18"/>
      <c r="AO242" s="20" t="e">
        <f>-SUMIFS('TRA RESID'!$P:$P,'TRA RESID'!$I:$I,AK242,'TRA RESID'!$J:$J,AH242,'TRA RESID'!$H:$H,AI242)/SUMIFS('TRA RESID'!$P:$P,'TRA RESID'!$I:$I,AK242)*AS242</f>
        <v>#DIV/0!</v>
      </c>
      <c r="AP242" s="18"/>
      <c r="AQ242" s="18"/>
      <c r="AS242" s="21">
        <v>0.5</v>
      </c>
      <c r="AU242" s="15" t="str">
        <f>IF(AU241="*",AU241,"")</f>
        <v>*</v>
      </c>
      <c r="AV242" s="17" t="str">
        <f t="shared" si="191"/>
        <v>*FCEV*</v>
      </c>
      <c r="AW242" s="17" t="str">
        <f t="shared" si="191"/>
        <v>TRADSL</v>
      </c>
      <c r="AX242" s="17" t="str">
        <f t="shared" si="191"/>
        <v>TRAFRESLHDMD</v>
      </c>
      <c r="AY242" s="17" t="str">
        <f t="shared" si="191"/>
        <v>TRAFRESLHDMD</v>
      </c>
      <c r="AZ242" s="18">
        <v>2030</v>
      </c>
      <c r="BA242" s="18" t="str">
        <f>BA241</f>
        <v>LO</v>
      </c>
      <c r="BB242" s="18"/>
      <c r="BC242" s="20" t="e">
        <f>-SUMIFS('TRA RESID'!$P:$P,'TRA RESID'!$I:$I,AY242,'TRA RESID'!$J:$J,AV242,'TRA RESID'!$H:$H,AW242)/SUMIFS('TRA RESID'!$P:$P,'TRA RESID'!$I:$I,AY242)*BG242</f>
        <v>#DIV/0!</v>
      </c>
      <c r="BD242" s="18"/>
      <c r="BE242" s="18"/>
      <c r="BG242" s="21">
        <v>0.5</v>
      </c>
    </row>
    <row r="243" spans="1:59" x14ac:dyDescent="0.25">
      <c r="C243" s="15" t="str">
        <f>IF(C242="*",C242,"")</f>
        <v>*</v>
      </c>
      <c r="D243" s="17" t="str">
        <f t="shared" si="188"/>
        <v>*ICEV*</v>
      </c>
      <c r="E243" s="17" t="str">
        <f t="shared" si="188"/>
        <v>TRADSL</v>
      </c>
      <c r="F243" s="17" t="str">
        <f t="shared" si="188"/>
        <v>TRAFRESLHDMD</v>
      </c>
      <c r="G243" s="17" t="str">
        <f t="shared" si="188"/>
        <v>TRAFRESLHDMD</v>
      </c>
      <c r="H243" s="18">
        <v>2040</v>
      </c>
      <c r="I243" s="18" t="str">
        <f>I242</f>
        <v>LO</v>
      </c>
      <c r="J243" s="18"/>
      <c r="K243" s="20" t="e">
        <f>-SUMIFS('TRA RESID'!$P:$P,'TRA RESID'!$I:$I,G243,'TRA RESID'!$J:$J,D243,'TRA RESID'!$H:$H,E243)/SUMIFS('TRA RESID'!$P:$P,'TRA RESID'!$I:$I,G243)*O243</f>
        <v>#DIV/0!</v>
      </c>
      <c r="L243" s="18"/>
      <c r="M243" s="18"/>
      <c r="O243" s="21">
        <v>0</v>
      </c>
      <c r="S243" s="15" t="str">
        <f>IF(S242="*",S242,"")</f>
        <v>*</v>
      </c>
      <c r="T243" s="17" t="str">
        <f t="shared" si="189"/>
        <v>*BEV*</v>
      </c>
      <c r="U243" s="17" t="str">
        <f t="shared" si="189"/>
        <v>TRADSL</v>
      </c>
      <c r="V243" s="17" t="str">
        <f t="shared" si="189"/>
        <v>TRAFRESLHDMD</v>
      </c>
      <c r="W243" s="17" t="str">
        <f t="shared" si="189"/>
        <v>TRAFRESLHDMD</v>
      </c>
      <c r="X243" s="18">
        <v>2040</v>
      </c>
      <c r="Y243" s="18" t="str">
        <f>Y242</f>
        <v>LO</v>
      </c>
      <c r="Z243" s="18"/>
      <c r="AA243" s="20" t="e">
        <f>-SUMIFS('TRA RESID'!$P:$P,'TRA RESID'!$I:$I,W243,'TRA RESID'!$J:$J,T243,'TRA RESID'!$H:$H,U243)/SUMIFS('TRA RESID'!$P:$P,'TRA RESID'!$I:$I,W243)*AE243</f>
        <v>#DIV/0!</v>
      </c>
      <c r="AB243" s="18"/>
      <c r="AC243" s="18"/>
      <c r="AE243" s="21">
        <v>1</v>
      </c>
      <c r="AG243" s="15" t="str">
        <f>IF(AG242="*",AG242,"")</f>
        <v>*</v>
      </c>
      <c r="AH243" s="17" t="str">
        <f t="shared" si="190"/>
        <v>*HEV*</v>
      </c>
      <c r="AI243" s="17" t="str">
        <f t="shared" si="190"/>
        <v>TRADSL</v>
      </c>
      <c r="AJ243" s="17" t="str">
        <f t="shared" si="190"/>
        <v>TRAFRESLHDMD</v>
      </c>
      <c r="AK243" s="17" t="str">
        <f t="shared" si="190"/>
        <v>TRAFRESLHDMD</v>
      </c>
      <c r="AL243" s="18">
        <v>2040</v>
      </c>
      <c r="AM243" s="18" t="str">
        <f>AM242</f>
        <v>LO</v>
      </c>
      <c r="AN243" s="18"/>
      <c r="AO243" s="20" t="e">
        <f>-SUMIFS('TRA RESID'!$P:$P,'TRA RESID'!$I:$I,AK243,'TRA RESID'!$J:$J,AH243,'TRA RESID'!$H:$H,AI243)/SUMIFS('TRA RESID'!$P:$P,'TRA RESID'!$I:$I,AK243)*AS243</f>
        <v>#DIV/0!</v>
      </c>
      <c r="AP243" s="18"/>
      <c r="AQ243" s="18"/>
      <c r="AS243" s="21">
        <v>0</v>
      </c>
      <c r="AU243" s="15" t="str">
        <f>IF(AU242="*",AU242,"")</f>
        <v>*</v>
      </c>
      <c r="AV243" s="17" t="str">
        <f t="shared" si="191"/>
        <v>*FCEV*</v>
      </c>
      <c r="AW243" s="17" t="str">
        <f t="shared" si="191"/>
        <v>TRADSL</v>
      </c>
      <c r="AX243" s="17" t="str">
        <f t="shared" si="191"/>
        <v>TRAFRESLHDMD</v>
      </c>
      <c r="AY243" s="17" t="str">
        <f t="shared" si="191"/>
        <v>TRAFRESLHDMD</v>
      </c>
      <c r="AZ243" s="18">
        <v>2040</v>
      </c>
      <c r="BA243" s="18" t="str">
        <f>BA242</f>
        <v>LO</v>
      </c>
      <c r="BB243" s="18"/>
      <c r="BC243" s="20" t="e">
        <f>-SUMIFS('TRA RESID'!$P:$P,'TRA RESID'!$I:$I,AY243,'TRA RESID'!$J:$J,AV243,'TRA RESID'!$H:$H,AW243)/SUMIFS('TRA RESID'!$P:$P,'TRA RESID'!$I:$I,AY243)*BG243</f>
        <v>#DIV/0!</v>
      </c>
      <c r="BD243" s="18"/>
      <c r="BE243" s="18"/>
      <c r="BG243" s="21">
        <v>0</v>
      </c>
    </row>
    <row r="244" spans="1:59" x14ac:dyDescent="0.25">
      <c r="C244" s="23" t="str">
        <f>IF(C243="*",C243,"")</f>
        <v>*</v>
      </c>
      <c r="D244" s="25" t="str">
        <f t="shared" si="188"/>
        <v>*ICEV*</v>
      </c>
      <c r="E244" s="25" t="str">
        <f t="shared" si="188"/>
        <v>TRADSL</v>
      </c>
      <c r="F244" s="25" t="str">
        <f t="shared" si="188"/>
        <v>TRAFRESLHDMD</v>
      </c>
      <c r="G244" s="25" t="str">
        <f t="shared" si="188"/>
        <v>TRAFRESLHDMD</v>
      </c>
      <c r="H244" s="26">
        <v>2050</v>
      </c>
      <c r="I244" s="26" t="str">
        <f>I242</f>
        <v>LO</v>
      </c>
      <c r="J244" s="26"/>
      <c r="K244" s="27" t="e">
        <f>-SUMIFS('TRA RESID'!$P:$P,'TRA RESID'!$I:$I,G244,'TRA RESID'!$J:$J,D244,'TRA RESID'!$H:$H,E244)/SUMIFS('TRA RESID'!$P:$P,'TRA RESID'!$I:$I,G244)*O244</f>
        <v>#DIV/0!</v>
      </c>
      <c r="L244" s="26"/>
      <c r="M244" s="26"/>
      <c r="O244" s="28">
        <v>0</v>
      </c>
      <c r="S244" s="23" t="str">
        <f>IF(S243="*",S243,"")</f>
        <v>*</v>
      </c>
      <c r="T244" s="25" t="str">
        <f t="shared" si="189"/>
        <v>*BEV*</v>
      </c>
      <c r="U244" s="25" t="str">
        <f t="shared" si="189"/>
        <v>TRADSL</v>
      </c>
      <c r="V244" s="25" t="str">
        <f t="shared" si="189"/>
        <v>TRAFRESLHDMD</v>
      </c>
      <c r="W244" s="25" t="str">
        <f t="shared" si="189"/>
        <v>TRAFRESLHDMD</v>
      </c>
      <c r="X244" s="26">
        <v>2050</v>
      </c>
      <c r="Y244" s="26" t="str">
        <f>Y242</f>
        <v>LO</v>
      </c>
      <c r="Z244" s="26"/>
      <c r="AA244" s="27" t="e">
        <f>-SUMIFS('TRA RESID'!$P:$P,'TRA RESID'!$I:$I,W244,'TRA RESID'!$J:$J,T244,'TRA RESID'!$H:$H,U244)/SUMIFS('TRA RESID'!$P:$P,'TRA RESID'!$I:$I,W244)*AE244</f>
        <v>#DIV/0!</v>
      </c>
      <c r="AB244" s="26"/>
      <c r="AC244" s="26"/>
      <c r="AE244" s="28">
        <v>1</v>
      </c>
      <c r="AG244" s="23" t="str">
        <f>IF(AG243="*",AG243,"")</f>
        <v>*</v>
      </c>
      <c r="AH244" s="25" t="str">
        <f t="shared" si="190"/>
        <v>*HEV*</v>
      </c>
      <c r="AI244" s="25" t="str">
        <f t="shared" si="190"/>
        <v>TRADSL</v>
      </c>
      <c r="AJ244" s="25" t="str">
        <f t="shared" si="190"/>
        <v>TRAFRESLHDMD</v>
      </c>
      <c r="AK244" s="25" t="str">
        <f t="shared" si="190"/>
        <v>TRAFRESLHDMD</v>
      </c>
      <c r="AL244" s="26">
        <v>2050</v>
      </c>
      <c r="AM244" s="26" t="str">
        <f>AM242</f>
        <v>LO</v>
      </c>
      <c r="AN244" s="26"/>
      <c r="AO244" s="27" t="e">
        <f>-SUMIFS('TRA RESID'!$P:$P,'TRA RESID'!$I:$I,AK244,'TRA RESID'!$J:$J,AH244,'TRA RESID'!$H:$H,AI244)/SUMIFS('TRA RESID'!$P:$P,'TRA RESID'!$I:$I,AK244)*AS244</f>
        <v>#DIV/0!</v>
      </c>
      <c r="AP244" s="26"/>
      <c r="AQ244" s="26"/>
      <c r="AS244" s="28">
        <v>0</v>
      </c>
      <c r="AU244" s="23" t="str">
        <f>IF(AU243="*",AU243,"")</f>
        <v>*</v>
      </c>
      <c r="AV244" s="25" t="str">
        <f t="shared" si="191"/>
        <v>*FCEV*</v>
      </c>
      <c r="AW244" s="25" t="str">
        <f t="shared" si="191"/>
        <v>TRADSL</v>
      </c>
      <c r="AX244" s="25" t="str">
        <f t="shared" si="191"/>
        <v>TRAFRESLHDMD</v>
      </c>
      <c r="AY244" s="25" t="str">
        <f t="shared" si="191"/>
        <v>TRAFRESLHDMD</v>
      </c>
      <c r="AZ244" s="26">
        <v>2050</v>
      </c>
      <c r="BA244" s="26" t="str">
        <f>BA242</f>
        <v>LO</v>
      </c>
      <c r="BB244" s="26"/>
      <c r="BC244" s="27" t="e">
        <f>-SUMIFS('TRA RESID'!$P:$P,'TRA RESID'!$I:$I,AY244,'TRA RESID'!$J:$J,AV244,'TRA RESID'!$H:$H,AW244)/SUMIFS('TRA RESID'!$P:$P,'TRA RESID'!$I:$I,AY244)*BG244</f>
        <v>#DIV/0!</v>
      </c>
      <c r="BD244" s="26"/>
      <c r="BE244" s="26"/>
      <c r="BG244" s="28">
        <v>0</v>
      </c>
    </row>
    <row r="245" spans="1:59" x14ac:dyDescent="0.25">
      <c r="A245">
        <f>A240+1</f>
        <v>49</v>
      </c>
      <c r="C245" s="15" t="str">
        <f>IF(E245="","",IF(_xlfn.XLOOKUP($A245,Selected_constraint!$A:$A,Selected_constraint!$D:$D)=1,"*",IF(SUMIFS('TRA TECH'!$M:$M,'TRA TECH'!$H:$H,E245,'TRA TECH'!$I:$I,F245)=0,"*",IF(SUMIFS('TRA RESID'!$P:$P,'TRA RESID'!$I:$I,G245,'TRA RESID'!$J:$J,D245,'TRA RESID'!$H:$H,E245)=0,"*","UC_"&amp;SUBSTITUTE(D245,"*","")&amp;"_"&amp;RIGHT(E245,3)&amp;"_"&amp;F245))))</f>
        <v>*</v>
      </c>
      <c r="D245" s="17" t="s">
        <v>485</v>
      </c>
      <c r="E245" s="17" t="str">
        <f>_xlfn.XLOOKUP($A245,Selected_constraint!$A:$A,Selected_constraint!$B:$B)</f>
        <v>TRARDS</v>
      </c>
      <c r="F245" s="17" t="str">
        <f>_xlfn.XLOOKUP($A245,Selected_constraint!$A:$A,Selected_constraint!$C:$C)</f>
        <v>TRAFRESLHDMD</v>
      </c>
      <c r="G245" s="17" t="str">
        <f>F245</f>
        <v>TRAFRESLHDMD</v>
      </c>
      <c r="H245" s="18">
        <v>2019</v>
      </c>
      <c r="I245" s="18" t="s">
        <v>483</v>
      </c>
      <c r="J245" s="18">
        <v>1</v>
      </c>
      <c r="K245" s="20" t="e">
        <f>-SUMIFS('TRA RESID'!$P:$P,'TRA RESID'!$I:$I,G245,'TRA RESID'!$J:$J,D245,'TRA RESID'!$H:$H,E245)/SUMIFS('TRA RESID'!$P:$P,'TRA RESID'!$I:$I,G245)*O245</f>
        <v>#DIV/0!</v>
      </c>
      <c r="L245" s="18">
        <v>0</v>
      </c>
      <c r="M245" s="18">
        <v>5</v>
      </c>
      <c r="O245" s="21">
        <v>0.98</v>
      </c>
      <c r="Q245">
        <f>Q240+1</f>
        <v>49</v>
      </c>
      <c r="S245" s="15" t="str">
        <f>IF(SUMIFS('TRA RESID'!$P:$P,'TRA RESID'!$I:$I,W245,'TRA RESID'!$J:$J,T245,'TRA RESID'!$H:$H,U245)=0,"*","UC_"&amp;SUBSTITUTE(T245,"*","")&amp;"_"&amp;RIGHT(U245,3)&amp;"_"&amp;V245)</f>
        <v>*</v>
      </c>
      <c r="T245" s="17" t="s">
        <v>486</v>
      </c>
      <c r="U245" s="17" t="str">
        <f>_xlfn.XLOOKUP($A245,Selected_constraint!$A:$A,Selected_constraint!$B:$B)</f>
        <v>TRARDS</v>
      </c>
      <c r="V245" s="17" t="str">
        <f>_xlfn.XLOOKUP($A245,Selected_constraint!$A:$A,Selected_constraint!$C:$C)</f>
        <v>TRAFRESLHDMD</v>
      </c>
      <c r="W245" s="17" t="str">
        <f>V245</f>
        <v>TRAFRESLHDMD</v>
      </c>
      <c r="X245" s="18">
        <v>2019</v>
      </c>
      <c r="Y245" s="18" t="s">
        <v>483</v>
      </c>
      <c r="Z245" s="18">
        <v>1</v>
      </c>
      <c r="AA245" s="20" t="e">
        <f>-SUMIFS('TRA RESID'!$P:$P,'TRA RESID'!$I:$I,W245,'TRA RESID'!$J:$J,T245,'TRA RESID'!$H:$H,U245)/SUMIFS('TRA RESID'!$P:$P,'TRA RESID'!$I:$I,W245)*AE245</f>
        <v>#DIV/0!</v>
      </c>
      <c r="AB245" s="18">
        <v>0</v>
      </c>
      <c r="AC245" s="18">
        <v>5</v>
      </c>
      <c r="AE245" s="21">
        <v>0.98</v>
      </c>
      <c r="AG245" s="15" t="str">
        <f>IF(SUMIFS('TRA RESID'!$P:$P,'TRA RESID'!$I:$I,AK245,'TRA RESID'!$J:$J,AH245,'TRA RESID'!$H:$H,AI245)=0,"*","UC_"&amp;SUBSTITUTE(AH245,"*","")&amp;"_"&amp;RIGHT(AI245,3)&amp;"_"&amp;AJ245)</f>
        <v>*</v>
      </c>
      <c r="AH245" s="17" t="s">
        <v>487</v>
      </c>
      <c r="AI245" s="17" t="str">
        <f>_xlfn.XLOOKUP($A245,Selected_constraint!$A:$A,Selected_constraint!$B:$B)</f>
        <v>TRARDS</v>
      </c>
      <c r="AJ245" s="17" t="str">
        <f>_xlfn.XLOOKUP($A245,Selected_constraint!$A:$A,Selected_constraint!$C:$C)</f>
        <v>TRAFRESLHDMD</v>
      </c>
      <c r="AK245" s="17" t="str">
        <f>AJ245</f>
        <v>TRAFRESLHDMD</v>
      </c>
      <c r="AL245" s="18">
        <v>2019</v>
      </c>
      <c r="AM245" s="18" t="s">
        <v>483</v>
      </c>
      <c r="AN245" s="18">
        <v>1</v>
      </c>
      <c r="AO245" s="20" t="e">
        <f>-SUMIFS('TRA RESID'!$P:$P,'TRA RESID'!$I:$I,AK245,'TRA RESID'!$J:$J,AH245,'TRA RESID'!$H:$H,AI245)/SUMIFS('TRA RESID'!$P:$P,'TRA RESID'!$I:$I,AK245)*AS245</f>
        <v>#DIV/0!</v>
      </c>
      <c r="AP245" s="18">
        <v>0</v>
      </c>
      <c r="AQ245" s="18">
        <v>5</v>
      </c>
      <c r="AS245" s="21">
        <v>0.98</v>
      </c>
      <c r="AU245" s="15" t="str">
        <f>IF(SUMIFS('TRA RESID'!$P:$P,'TRA RESID'!$I:$I,AY245,'TRA RESID'!$J:$J,AV245,'TRA RESID'!$H:$H,AW245)=0,"*","UC_"&amp;SUBSTITUTE(AV245,"*","")&amp;"_"&amp;RIGHT(AW245,3)&amp;"_"&amp;AX245)</f>
        <v>*</v>
      </c>
      <c r="AV245" s="17" t="s">
        <v>488</v>
      </c>
      <c r="AW245" s="17" t="str">
        <f>_xlfn.XLOOKUP($A245,Selected_constraint!$A:$A,Selected_constraint!$B:$B)</f>
        <v>TRARDS</v>
      </c>
      <c r="AX245" s="17" t="str">
        <f>_xlfn.XLOOKUP($A245,Selected_constraint!$A:$A,Selected_constraint!$C:$C)</f>
        <v>TRAFRESLHDMD</v>
      </c>
      <c r="AY245" s="17" t="str">
        <f>AX245</f>
        <v>TRAFRESLHDMD</v>
      </c>
      <c r="AZ245" s="18">
        <v>2019</v>
      </c>
      <c r="BA245" s="18" t="s">
        <v>483</v>
      </c>
      <c r="BB245" s="18">
        <v>1</v>
      </c>
      <c r="BC245" s="20" t="e">
        <f>-SUMIFS('TRA RESID'!$P:$P,'TRA RESID'!$I:$I,AY245,'TRA RESID'!$J:$J,AV245,'TRA RESID'!$H:$H,AW245)/SUMIFS('TRA RESID'!$P:$P,'TRA RESID'!$I:$I,AY245)*BG245</f>
        <v>#DIV/0!</v>
      </c>
      <c r="BD245" s="18">
        <v>0</v>
      </c>
      <c r="BE245" s="18">
        <v>5</v>
      </c>
      <c r="BG245" s="21">
        <v>0.98</v>
      </c>
    </row>
    <row r="246" spans="1:59" x14ac:dyDescent="0.25">
      <c r="C246" s="15" t="str">
        <f>IF(C245="*",C245,"")</f>
        <v>*</v>
      </c>
      <c r="D246" s="17" t="str">
        <f t="shared" ref="D246:G249" si="192">D245</f>
        <v>*ICEV*</v>
      </c>
      <c r="E246" s="17" t="str">
        <f t="shared" si="192"/>
        <v>TRARDS</v>
      </c>
      <c r="F246" s="17" t="str">
        <f t="shared" si="192"/>
        <v>TRAFRESLHDMD</v>
      </c>
      <c r="G246" s="17" t="str">
        <f t="shared" si="192"/>
        <v>TRAFRESLHDMD</v>
      </c>
      <c r="H246" s="18">
        <v>2025</v>
      </c>
      <c r="I246" s="18" t="str">
        <f>I245</f>
        <v>LO</v>
      </c>
      <c r="J246" s="18"/>
      <c r="K246" s="20" t="e">
        <f>-SUMIFS('TRA RESID'!$P:$P,'TRA RESID'!$I:$I,G246,'TRA RESID'!$J:$J,D246,'TRA RESID'!$H:$H,E246)/SUMIFS('TRA RESID'!$P:$P,'TRA RESID'!$I:$I,G246)*O246</f>
        <v>#DIV/0!</v>
      </c>
      <c r="L246" s="18"/>
      <c r="M246" s="18"/>
      <c r="O246" s="21">
        <v>0.8</v>
      </c>
      <c r="S246" s="15" t="str">
        <f>IF(S245="*",S245,"")</f>
        <v>*</v>
      </c>
      <c r="T246" s="17" t="str">
        <f t="shared" ref="T246:W249" si="193">T245</f>
        <v>*BEV*</v>
      </c>
      <c r="U246" s="17" t="str">
        <f t="shared" si="193"/>
        <v>TRARDS</v>
      </c>
      <c r="V246" s="17" t="str">
        <f t="shared" si="193"/>
        <v>TRAFRESLHDMD</v>
      </c>
      <c r="W246" s="17" t="str">
        <f t="shared" si="193"/>
        <v>TRAFRESLHDMD</v>
      </c>
      <c r="X246" s="18">
        <v>2025</v>
      </c>
      <c r="Y246" s="18" t="str">
        <f>Y245</f>
        <v>LO</v>
      </c>
      <c r="Z246" s="18"/>
      <c r="AA246" s="20" t="e">
        <f>-SUMIFS('TRA RESID'!$P:$P,'TRA RESID'!$I:$I,W246,'TRA RESID'!$J:$J,T246,'TRA RESID'!$H:$H,U246)/SUMIFS('TRA RESID'!$P:$P,'TRA RESID'!$I:$I,W246)*AE246</f>
        <v>#DIV/0!</v>
      </c>
      <c r="AB246" s="18"/>
      <c r="AC246" s="18"/>
      <c r="AE246" s="21">
        <v>1</v>
      </c>
      <c r="AG246" s="15" t="str">
        <f>IF(AG245="*",AG245,"")</f>
        <v>*</v>
      </c>
      <c r="AH246" s="17" t="str">
        <f t="shared" ref="AH246:AK249" si="194">AH245</f>
        <v>*HEV*</v>
      </c>
      <c r="AI246" s="17" t="str">
        <f t="shared" si="194"/>
        <v>TRARDS</v>
      </c>
      <c r="AJ246" s="17" t="str">
        <f t="shared" si="194"/>
        <v>TRAFRESLHDMD</v>
      </c>
      <c r="AK246" s="17" t="str">
        <f t="shared" si="194"/>
        <v>TRAFRESLHDMD</v>
      </c>
      <c r="AL246" s="18">
        <v>2025</v>
      </c>
      <c r="AM246" s="18" t="str">
        <f>AM245</f>
        <v>LO</v>
      </c>
      <c r="AN246" s="18"/>
      <c r="AO246" s="20" t="e">
        <f>-SUMIFS('TRA RESID'!$P:$P,'TRA RESID'!$I:$I,AK246,'TRA RESID'!$J:$J,AH246,'TRA RESID'!$H:$H,AI246)/SUMIFS('TRA RESID'!$P:$P,'TRA RESID'!$I:$I,AK246)*AS246</f>
        <v>#DIV/0!</v>
      </c>
      <c r="AP246" s="18"/>
      <c r="AQ246" s="18"/>
      <c r="AS246" s="21">
        <v>0.8</v>
      </c>
      <c r="AU246" s="15" t="str">
        <f>IF(AU245="*",AU245,"")</f>
        <v>*</v>
      </c>
      <c r="AV246" s="17" t="str">
        <f t="shared" ref="AV246:AY249" si="195">AV245</f>
        <v>*FCEV*</v>
      </c>
      <c r="AW246" s="17" t="str">
        <f t="shared" si="195"/>
        <v>TRARDS</v>
      </c>
      <c r="AX246" s="17" t="str">
        <f t="shared" si="195"/>
        <v>TRAFRESLHDMD</v>
      </c>
      <c r="AY246" s="17" t="str">
        <f t="shared" si="195"/>
        <v>TRAFRESLHDMD</v>
      </c>
      <c r="AZ246" s="18">
        <v>2025</v>
      </c>
      <c r="BA246" s="18" t="str">
        <f>BA245</f>
        <v>LO</v>
      </c>
      <c r="BB246" s="18"/>
      <c r="BC246" s="20" t="e">
        <f>-SUMIFS('TRA RESID'!$P:$P,'TRA RESID'!$I:$I,AY246,'TRA RESID'!$J:$J,AV246,'TRA RESID'!$H:$H,AW246)/SUMIFS('TRA RESID'!$P:$P,'TRA RESID'!$I:$I,AY246)*BG246</f>
        <v>#DIV/0!</v>
      </c>
      <c r="BD246" s="18"/>
      <c r="BE246" s="18"/>
      <c r="BG246" s="21">
        <v>0.8</v>
      </c>
    </row>
    <row r="247" spans="1:59" x14ac:dyDescent="0.25">
      <c r="C247" s="15" t="str">
        <f>IF(C246="*",C246,"")</f>
        <v>*</v>
      </c>
      <c r="D247" s="17" t="str">
        <f t="shared" si="192"/>
        <v>*ICEV*</v>
      </c>
      <c r="E247" s="17" t="str">
        <f t="shared" si="192"/>
        <v>TRARDS</v>
      </c>
      <c r="F247" s="17" t="str">
        <f t="shared" si="192"/>
        <v>TRAFRESLHDMD</v>
      </c>
      <c r="G247" s="17" t="str">
        <f t="shared" si="192"/>
        <v>TRAFRESLHDMD</v>
      </c>
      <c r="H247" s="18">
        <v>2030</v>
      </c>
      <c r="I247" s="18" t="str">
        <f>I246</f>
        <v>LO</v>
      </c>
      <c r="J247" s="18"/>
      <c r="K247" s="20" t="e">
        <f>-SUMIFS('TRA RESID'!$P:$P,'TRA RESID'!$I:$I,G247,'TRA RESID'!$J:$J,D247,'TRA RESID'!$H:$H,E247)/SUMIFS('TRA RESID'!$P:$P,'TRA RESID'!$I:$I,G247)*O247</f>
        <v>#DIV/0!</v>
      </c>
      <c r="L247" s="18"/>
      <c r="M247" s="18"/>
      <c r="O247" s="21">
        <v>0.5</v>
      </c>
      <c r="S247" s="15" t="str">
        <f>IF(S246="*",S246,"")</f>
        <v>*</v>
      </c>
      <c r="T247" s="17" t="str">
        <f t="shared" si="193"/>
        <v>*BEV*</v>
      </c>
      <c r="U247" s="17" t="str">
        <f t="shared" si="193"/>
        <v>TRARDS</v>
      </c>
      <c r="V247" s="17" t="str">
        <f t="shared" si="193"/>
        <v>TRAFRESLHDMD</v>
      </c>
      <c r="W247" s="17" t="str">
        <f t="shared" si="193"/>
        <v>TRAFRESLHDMD</v>
      </c>
      <c r="X247" s="18">
        <v>2030</v>
      </c>
      <c r="Y247" s="18" t="str">
        <f>Y246</f>
        <v>LO</v>
      </c>
      <c r="Z247" s="18"/>
      <c r="AA247" s="20" t="e">
        <f>-SUMIFS('TRA RESID'!$P:$P,'TRA RESID'!$I:$I,W247,'TRA RESID'!$J:$J,T247,'TRA RESID'!$H:$H,U247)/SUMIFS('TRA RESID'!$P:$P,'TRA RESID'!$I:$I,W247)*AE247</f>
        <v>#DIV/0!</v>
      </c>
      <c r="AB247" s="18"/>
      <c r="AC247" s="18"/>
      <c r="AE247" s="21">
        <v>1</v>
      </c>
      <c r="AG247" s="15" t="str">
        <f>IF(AG246="*",AG246,"")</f>
        <v>*</v>
      </c>
      <c r="AH247" s="17" t="str">
        <f t="shared" si="194"/>
        <v>*HEV*</v>
      </c>
      <c r="AI247" s="17" t="str">
        <f t="shared" si="194"/>
        <v>TRARDS</v>
      </c>
      <c r="AJ247" s="17" t="str">
        <f t="shared" si="194"/>
        <v>TRAFRESLHDMD</v>
      </c>
      <c r="AK247" s="17" t="str">
        <f t="shared" si="194"/>
        <v>TRAFRESLHDMD</v>
      </c>
      <c r="AL247" s="18">
        <v>2030</v>
      </c>
      <c r="AM247" s="18" t="str">
        <f>AM246</f>
        <v>LO</v>
      </c>
      <c r="AN247" s="18"/>
      <c r="AO247" s="20" t="e">
        <f>-SUMIFS('TRA RESID'!$P:$P,'TRA RESID'!$I:$I,AK247,'TRA RESID'!$J:$J,AH247,'TRA RESID'!$H:$H,AI247)/SUMIFS('TRA RESID'!$P:$P,'TRA RESID'!$I:$I,AK247)*AS247</f>
        <v>#DIV/0!</v>
      </c>
      <c r="AP247" s="18"/>
      <c r="AQ247" s="18"/>
      <c r="AS247" s="21">
        <v>0.5</v>
      </c>
      <c r="AU247" s="15" t="str">
        <f>IF(AU246="*",AU246,"")</f>
        <v>*</v>
      </c>
      <c r="AV247" s="17" t="str">
        <f t="shared" si="195"/>
        <v>*FCEV*</v>
      </c>
      <c r="AW247" s="17" t="str">
        <f t="shared" si="195"/>
        <v>TRARDS</v>
      </c>
      <c r="AX247" s="17" t="str">
        <f t="shared" si="195"/>
        <v>TRAFRESLHDMD</v>
      </c>
      <c r="AY247" s="17" t="str">
        <f t="shared" si="195"/>
        <v>TRAFRESLHDMD</v>
      </c>
      <c r="AZ247" s="18">
        <v>2030</v>
      </c>
      <c r="BA247" s="18" t="str">
        <f>BA246</f>
        <v>LO</v>
      </c>
      <c r="BB247" s="18"/>
      <c r="BC247" s="20" t="e">
        <f>-SUMIFS('TRA RESID'!$P:$P,'TRA RESID'!$I:$I,AY247,'TRA RESID'!$J:$J,AV247,'TRA RESID'!$H:$H,AW247)/SUMIFS('TRA RESID'!$P:$P,'TRA RESID'!$I:$I,AY247)*BG247</f>
        <v>#DIV/0!</v>
      </c>
      <c r="BD247" s="18"/>
      <c r="BE247" s="18"/>
      <c r="BG247" s="21">
        <v>0.5</v>
      </c>
    </row>
    <row r="248" spans="1:59" x14ac:dyDescent="0.25">
      <c r="C248" s="15" t="str">
        <f>IF(C247="*",C247,"")</f>
        <v>*</v>
      </c>
      <c r="D248" s="17" t="str">
        <f t="shared" si="192"/>
        <v>*ICEV*</v>
      </c>
      <c r="E248" s="17" t="str">
        <f t="shared" si="192"/>
        <v>TRARDS</v>
      </c>
      <c r="F248" s="17" t="str">
        <f t="shared" si="192"/>
        <v>TRAFRESLHDMD</v>
      </c>
      <c r="G248" s="17" t="str">
        <f t="shared" si="192"/>
        <v>TRAFRESLHDMD</v>
      </c>
      <c r="H248" s="18">
        <v>2040</v>
      </c>
      <c r="I248" s="18" t="str">
        <f>I247</f>
        <v>LO</v>
      </c>
      <c r="J248" s="18"/>
      <c r="K248" s="20" t="e">
        <f>-SUMIFS('TRA RESID'!$P:$P,'TRA RESID'!$I:$I,G248,'TRA RESID'!$J:$J,D248,'TRA RESID'!$H:$H,E248)/SUMIFS('TRA RESID'!$P:$P,'TRA RESID'!$I:$I,G248)*O248</f>
        <v>#DIV/0!</v>
      </c>
      <c r="L248" s="18"/>
      <c r="M248" s="18"/>
      <c r="O248" s="21">
        <v>0</v>
      </c>
      <c r="S248" s="15" t="str">
        <f>IF(S247="*",S247,"")</f>
        <v>*</v>
      </c>
      <c r="T248" s="17" t="str">
        <f t="shared" si="193"/>
        <v>*BEV*</v>
      </c>
      <c r="U248" s="17" t="str">
        <f t="shared" si="193"/>
        <v>TRARDS</v>
      </c>
      <c r="V248" s="17" t="str">
        <f t="shared" si="193"/>
        <v>TRAFRESLHDMD</v>
      </c>
      <c r="W248" s="17" t="str">
        <f t="shared" si="193"/>
        <v>TRAFRESLHDMD</v>
      </c>
      <c r="X248" s="18">
        <v>2040</v>
      </c>
      <c r="Y248" s="18" t="str">
        <f>Y247</f>
        <v>LO</v>
      </c>
      <c r="Z248" s="18"/>
      <c r="AA248" s="20" t="e">
        <f>-SUMIFS('TRA RESID'!$P:$P,'TRA RESID'!$I:$I,W248,'TRA RESID'!$J:$J,T248,'TRA RESID'!$H:$H,U248)/SUMIFS('TRA RESID'!$P:$P,'TRA RESID'!$I:$I,W248)*AE248</f>
        <v>#DIV/0!</v>
      </c>
      <c r="AB248" s="18"/>
      <c r="AC248" s="18"/>
      <c r="AE248" s="21">
        <v>1</v>
      </c>
      <c r="AG248" s="15" t="str">
        <f>IF(AG247="*",AG247,"")</f>
        <v>*</v>
      </c>
      <c r="AH248" s="17" t="str">
        <f t="shared" si="194"/>
        <v>*HEV*</v>
      </c>
      <c r="AI248" s="17" t="str">
        <f t="shared" si="194"/>
        <v>TRARDS</v>
      </c>
      <c r="AJ248" s="17" t="str">
        <f t="shared" si="194"/>
        <v>TRAFRESLHDMD</v>
      </c>
      <c r="AK248" s="17" t="str">
        <f t="shared" si="194"/>
        <v>TRAFRESLHDMD</v>
      </c>
      <c r="AL248" s="18">
        <v>2040</v>
      </c>
      <c r="AM248" s="18" t="str">
        <f>AM247</f>
        <v>LO</v>
      </c>
      <c r="AN248" s="18"/>
      <c r="AO248" s="20" t="e">
        <f>-SUMIFS('TRA RESID'!$P:$P,'TRA RESID'!$I:$I,AK248,'TRA RESID'!$J:$J,AH248,'TRA RESID'!$H:$H,AI248)/SUMIFS('TRA RESID'!$P:$P,'TRA RESID'!$I:$I,AK248)*AS248</f>
        <v>#DIV/0!</v>
      </c>
      <c r="AP248" s="18"/>
      <c r="AQ248" s="18"/>
      <c r="AS248" s="21">
        <v>0</v>
      </c>
      <c r="AU248" s="15" t="str">
        <f>IF(AU247="*",AU247,"")</f>
        <v>*</v>
      </c>
      <c r="AV248" s="17" t="str">
        <f t="shared" si="195"/>
        <v>*FCEV*</v>
      </c>
      <c r="AW248" s="17" t="str">
        <f t="shared" si="195"/>
        <v>TRARDS</v>
      </c>
      <c r="AX248" s="17" t="str">
        <f t="shared" si="195"/>
        <v>TRAFRESLHDMD</v>
      </c>
      <c r="AY248" s="17" t="str">
        <f t="shared" si="195"/>
        <v>TRAFRESLHDMD</v>
      </c>
      <c r="AZ248" s="18">
        <v>2040</v>
      </c>
      <c r="BA248" s="18" t="str">
        <f>BA247</f>
        <v>LO</v>
      </c>
      <c r="BB248" s="18"/>
      <c r="BC248" s="20" t="e">
        <f>-SUMIFS('TRA RESID'!$P:$P,'TRA RESID'!$I:$I,AY248,'TRA RESID'!$J:$J,AV248,'TRA RESID'!$H:$H,AW248)/SUMIFS('TRA RESID'!$P:$P,'TRA RESID'!$I:$I,AY248)*BG248</f>
        <v>#DIV/0!</v>
      </c>
      <c r="BD248" s="18"/>
      <c r="BE248" s="18"/>
      <c r="BG248" s="21">
        <v>0</v>
      </c>
    </row>
    <row r="249" spans="1:59" x14ac:dyDescent="0.25">
      <c r="C249" s="23" t="str">
        <f>IF(C248="*",C248,"")</f>
        <v>*</v>
      </c>
      <c r="D249" s="25" t="str">
        <f t="shared" si="192"/>
        <v>*ICEV*</v>
      </c>
      <c r="E249" s="25" t="str">
        <f t="shared" si="192"/>
        <v>TRARDS</v>
      </c>
      <c r="F249" s="25" t="str">
        <f t="shared" si="192"/>
        <v>TRAFRESLHDMD</v>
      </c>
      <c r="G249" s="25" t="str">
        <f t="shared" si="192"/>
        <v>TRAFRESLHDMD</v>
      </c>
      <c r="H249" s="26">
        <v>2050</v>
      </c>
      <c r="I249" s="26" t="str">
        <f>I247</f>
        <v>LO</v>
      </c>
      <c r="J249" s="26"/>
      <c r="K249" s="27" t="e">
        <f>-SUMIFS('TRA RESID'!$P:$P,'TRA RESID'!$I:$I,G249,'TRA RESID'!$J:$J,D249,'TRA RESID'!$H:$H,E249)/SUMIFS('TRA RESID'!$P:$P,'TRA RESID'!$I:$I,G249)*O249</f>
        <v>#DIV/0!</v>
      </c>
      <c r="L249" s="26"/>
      <c r="M249" s="26"/>
      <c r="O249" s="28">
        <v>0</v>
      </c>
      <c r="S249" s="23" t="str">
        <f>IF(S248="*",S248,"")</f>
        <v>*</v>
      </c>
      <c r="T249" s="25" t="str">
        <f t="shared" si="193"/>
        <v>*BEV*</v>
      </c>
      <c r="U249" s="25" t="str">
        <f t="shared" si="193"/>
        <v>TRARDS</v>
      </c>
      <c r="V249" s="25" t="str">
        <f t="shared" si="193"/>
        <v>TRAFRESLHDMD</v>
      </c>
      <c r="W249" s="25" t="str">
        <f t="shared" si="193"/>
        <v>TRAFRESLHDMD</v>
      </c>
      <c r="X249" s="26">
        <v>2050</v>
      </c>
      <c r="Y249" s="26" t="str">
        <f>Y247</f>
        <v>LO</v>
      </c>
      <c r="Z249" s="26"/>
      <c r="AA249" s="27" t="e">
        <f>-SUMIFS('TRA RESID'!$P:$P,'TRA RESID'!$I:$I,W249,'TRA RESID'!$J:$J,T249,'TRA RESID'!$H:$H,U249)/SUMIFS('TRA RESID'!$P:$P,'TRA RESID'!$I:$I,W249)*AE249</f>
        <v>#DIV/0!</v>
      </c>
      <c r="AB249" s="26"/>
      <c r="AC249" s="26"/>
      <c r="AE249" s="28">
        <v>1</v>
      </c>
      <c r="AG249" s="23" t="str">
        <f>IF(AG248="*",AG248,"")</f>
        <v>*</v>
      </c>
      <c r="AH249" s="25" t="str">
        <f t="shared" si="194"/>
        <v>*HEV*</v>
      </c>
      <c r="AI249" s="25" t="str">
        <f t="shared" si="194"/>
        <v>TRARDS</v>
      </c>
      <c r="AJ249" s="25" t="str">
        <f t="shared" si="194"/>
        <v>TRAFRESLHDMD</v>
      </c>
      <c r="AK249" s="25" t="str">
        <f t="shared" si="194"/>
        <v>TRAFRESLHDMD</v>
      </c>
      <c r="AL249" s="26">
        <v>2050</v>
      </c>
      <c r="AM249" s="26" t="str">
        <f>AM247</f>
        <v>LO</v>
      </c>
      <c r="AN249" s="26"/>
      <c r="AO249" s="27" t="e">
        <f>-SUMIFS('TRA RESID'!$P:$P,'TRA RESID'!$I:$I,AK249,'TRA RESID'!$J:$J,AH249,'TRA RESID'!$H:$H,AI249)/SUMIFS('TRA RESID'!$P:$P,'TRA RESID'!$I:$I,AK249)*AS249</f>
        <v>#DIV/0!</v>
      </c>
      <c r="AP249" s="26"/>
      <c r="AQ249" s="26"/>
      <c r="AS249" s="28">
        <v>0</v>
      </c>
      <c r="AU249" s="23" t="str">
        <f>IF(AU248="*",AU248,"")</f>
        <v>*</v>
      </c>
      <c r="AV249" s="25" t="str">
        <f t="shared" si="195"/>
        <v>*FCEV*</v>
      </c>
      <c r="AW249" s="25" t="str">
        <f t="shared" si="195"/>
        <v>TRARDS</v>
      </c>
      <c r="AX249" s="25" t="str">
        <f t="shared" si="195"/>
        <v>TRAFRESLHDMD</v>
      </c>
      <c r="AY249" s="25" t="str">
        <f t="shared" si="195"/>
        <v>TRAFRESLHDMD</v>
      </c>
      <c r="AZ249" s="26">
        <v>2050</v>
      </c>
      <c r="BA249" s="26" t="str">
        <f>BA247</f>
        <v>LO</v>
      </c>
      <c r="BB249" s="26"/>
      <c r="BC249" s="27" t="e">
        <f>-SUMIFS('TRA RESID'!$P:$P,'TRA RESID'!$I:$I,AY249,'TRA RESID'!$J:$J,AV249,'TRA RESID'!$H:$H,AW249)/SUMIFS('TRA RESID'!$P:$P,'TRA RESID'!$I:$I,AY249)*BG249</f>
        <v>#DIV/0!</v>
      </c>
      <c r="BD249" s="26"/>
      <c r="BE249" s="26"/>
      <c r="BG249" s="28">
        <v>0</v>
      </c>
    </row>
    <row r="250" spans="1:59" x14ac:dyDescent="0.25">
      <c r="A250">
        <f>A245+1</f>
        <v>50</v>
      </c>
      <c r="C250" s="15" t="str">
        <f>IF(E250="","",IF(_xlfn.XLOOKUP($A250,Selected_constraint!$A:$A,Selected_constraint!$D:$D)=1,"*",IF(SUMIFS('TRA TECH'!$M:$M,'TRA TECH'!$H:$H,E250,'TRA TECH'!$I:$I,F250)=0,"*",IF(SUMIFS('TRA RESID'!$P:$P,'TRA RESID'!$I:$I,G250,'TRA RESID'!$J:$J,D250,'TRA RESID'!$H:$H,E250)=0,"*","UC_"&amp;SUBSTITUTE(D250,"*","")&amp;"_"&amp;RIGHT(E250,3)&amp;"_"&amp;F250))))</f>
        <v>*</v>
      </c>
      <c r="D250" s="17" t="s">
        <v>485</v>
      </c>
      <c r="E250" s="17" t="str">
        <f>_xlfn.XLOOKUP($A250,Selected_constraint!$A:$A,Selected_constraint!$B:$B)</f>
        <v>TRABDS</v>
      </c>
      <c r="F250" s="17" t="str">
        <f>_xlfn.XLOOKUP($A250,Selected_constraint!$A:$A,Selected_constraint!$C:$C)</f>
        <v>TRAFRESLHDMD</v>
      </c>
      <c r="G250" s="17" t="str">
        <f>F250</f>
        <v>TRAFRESLHDMD</v>
      </c>
      <c r="H250" s="18">
        <v>2019</v>
      </c>
      <c r="I250" s="18" t="s">
        <v>483</v>
      </c>
      <c r="J250" s="18">
        <v>1</v>
      </c>
      <c r="K250" s="20" t="e">
        <f>-SUMIFS('TRA RESID'!$P:$P,'TRA RESID'!$I:$I,G250,'TRA RESID'!$J:$J,D250,'TRA RESID'!$H:$H,E250)/SUMIFS('TRA RESID'!$P:$P,'TRA RESID'!$I:$I,G250)*O250</f>
        <v>#DIV/0!</v>
      </c>
      <c r="L250" s="18">
        <v>0</v>
      </c>
      <c r="M250" s="18">
        <v>5</v>
      </c>
      <c r="O250" s="21">
        <v>0.98</v>
      </c>
      <c r="Q250">
        <f>Q245+1</f>
        <v>50</v>
      </c>
      <c r="S250" s="15" t="str">
        <f>IF(SUMIFS('TRA RESID'!$P:$P,'TRA RESID'!$I:$I,W250,'TRA RESID'!$J:$J,T250,'TRA RESID'!$H:$H,U250)=0,"*","UC_"&amp;SUBSTITUTE(T250,"*","")&amp;"_"&amp;RIGHT(U250,3)&amp;"_"&amp;V250)</f>
        <v>*</v>
      </c>
      <c r="T250" s="17" t="s">
        <v>486</v>
      </c>
      <c r="U250" s="17" t="str">
        <f>_xlfn.XLOOKUP($A250,Selected_constraint!$A:$A,Selected_constraint!$B:$B)</f>
        <v>TRABDS</v>
      </c>
      <c r="V250" s="17" t="str">
        <f>_xlfn.XLOOKUP($A250,Selected_constraint!$A:$A,Selected_constraint!$C:$C)</f>
        <v>TRAFRESLHDMD</v>
      </c>
      <c r="W250" s="17" t="str">
        <f>V250</f>
        <v>TRAFRESLHDMD</v>
      </c>
      <c r="X250" s="18">
        <v>2019</v>
      </c>
      <c r="Y250" s="18" t="s">
        <v>483</v>
      </c>
      <c r="Z250" s="18">
        <v>1</v>
      </c>
      <c r="AA250" s="20" t="e">
        <f>-SUMIFS('TRA RESID'!$P:$P,'TRA RESID'!$I:$I,W250,'TRA RESID'!$J:$J,T250,'TRA RESID'!$H:$H,U250)/SUMIFS('TRA RESID'!$P:$P,'TRA RESID'!$I:$I,W250)*AE250</f>
        <v>#DIV/0!</v>
      </c>
      <c r="AB250" s="18">
        <v>0</v>
      </c>
      <c r="AC250" s="18">
        <v>5</v>
      </c>
      <c r="AE250" s="21">
        <v>0.98</v>
      </c>
      <c r="AG250" s="15" t="str">
        <f>IF(SUMIFS('TRA RESID'!$P:$P,'TRA RESID'!$I:$I,AK250,'TRA RESID'!$J:$J,AH250,'TRA RESID'!$H:$H,AI250)=0,"*","UC_"&amp;SUBSTITUTE(AH250,"*","")&amp;"_"&amp;RIGHT(AI250,3)&amp;"_"&amp;AJ250)</f>
        <v>*</v>
      </c>
      <c r="AH250" s="17" t="s">
        <v>487</v>
      </c>
      <c r="AI250" s="17" t="str">
        <f>_xlfn.XLOOKUP($A250,Selected_constraint!$A:$A,Selected_constraint!$B:$B)</f>
        <v>TRABDS</v>
      </c>
      <c r="AJ250" s="17" t="str">
        <f>_xlfn.XLOOKUP($A250,Selected_constraint!$A:$A,Selected_constraint!$C:$C)</f>
        <v>TRAFRESLHDMD</v>
      </c>
      <c r="AK250" s="17" t="str">
        <f>AJ250</f>
        <v>TRAFRESLHDMD</v>
      </c>
      <c r="AL250" s="18">
        <v>2019</v>
      </c>
      <c r="AM250" s="18" t="s">
        <v>483</v>
      </c>
      <c r="AN250" s="18">
        <v>1</v>
      </c>
      <c r="AO250" s="20" t="e">
        <f>-SUMIFS('TRA RESID'!$P:$P,'TRA RESID'!$I:$I,AK250,'TRA RESID'!$J:$J,AH250,'TRA RESID'!$H:$H,AI250)/SUMIFS('TRA RESID'!$P:$P,'TRA RESID'!$I:$I,AK250)*AS250</f>
        <v>#DIV/0!</v>
      </c>
      <c r="AP250" s="18">
        <v>0</v>
      </c>
      <c r="AQ250" s="18">
        <v>5</v>
      </c>
      <c r="AS250" s="21">
        <v>0.98</v>
      </c>
      <c r="AU250" s="15" t="str">
        <f>IF(SUMIFS('TRA RESID'!$P:$P,'TRA RESID'!$I:$I,AY250,'TRA RESID'!$J:$J,AV250,'TRA RESID'!$H:$H,AW250)=0,"*","UC_"&amp;SUBSTITUTE(AV250,"*","")&amp;"_"&amp;RIGHT(AW250,3)&amp;"_"&amp;AX250)</f>
        <v>*</v>
      </c>
      <c r="AV250" s="17" t="s">
        <v>488</v>
      </c>
      <c r="AW250" s="17" t="str">
        <f>_xlfn.XLOOKUP($A250,Selected_constraint!$A:$A,Selected_constraint!$B:$B)</f>
        <v>TRABDS</v>
      </c>
      <c r="AX250" s="17" t="str">
        <f>_xlfn.XLOOKUP($A250,Selected_constraint!$A:$A,Selected_constraint!$C:$C)</f>
        <v>TRAFRESLHDMD</v>
      </c>
      <c r="AY250" s="17" t="str">
        <f>AX250</f>
        <v>TRAFRESLHDMD</v>
      </c>
      <c r="AZ250" s="18">
        <v>2019</v>
      </c>
      <c r="BA250" s="18" t="s">
        <v>483</v>
      </c>
      <c r="BB250" s="18">
        <v>1</v>
      </c>
      <c r="BC250" s="20" t="e">
        <f>-SUMIFS('TRA RESID'!$P:$P,'TRA RESID'!$I:$I,AY250,'TRA RESID'!$J:$J,AV250,'TRA RESID'!$H:$H,AW250)/SUMIFS('TRA RESID'!$P:$P,'TRA RESID'!$I:$I,AY250)*BG250</f>
        <v>#DIV/0!</v>
      </c>
      <c r="BD250" s="18">
        <v>0</v>
      </c>
      <c r="BE250" s="18">
        <v>5</v>
      </c>
      <c r="BG250" s="21">
        <v>0.98</v>
      </c>
    </row>
    <row r="251" spans="1:59" x14ac:dyDescent="0.25">
      <c r="C251" s="15" t="str">
        <f>IF(C250="*",C250,"")</f>
        <v>*</v>
      </c>
      <c r="D251" s="17" t="str">
        <f t="shared" ref="D251:G254" si="196">D250</f>
        <v>*ICEV*</v>
      </c>
      <c r="E251" s="17" t="str">
        <f t="shared" si="196"/>
        <v>TRABDS</v>
      </c>
      <c r="F251" s="17" t="str">
        <f t="shared" si="196"/>
        <v>TRAFRESLHDMD</v>
      </c>
      <c r="G251" s="17" t="str">
        <f t="shared" si="196"/>
        <v>TRAFRESLHDMD</v>
      </c>
      <c r="H251" s="18">
        <v>2025</v>
      </c>
      <c r="I251" s="18" t="str">
        <f>I250</f>
        <v>LO</v>
      </c>
      <c r="J251" s="18"/>
      <c r="K251" s="20" t="e">
        <f>-SUMIFS('TRA RESID'!$P:$P,'TRA RESID'!$I:$I,G251,'TRA RESID'!$J:$J,D251,'TRA RESID'!$H:$H,E251)/SUMIFS('TRA RESID'!$P:$P,'TRA RESID'!$I:$I,G251)*O251</f>
        <v>#DIV/0!</v>
      </c>
      <c r="L251" s="18"/>
      <c r="M251" s="18"/>
      <c r="O251" s="21">
        <v>0.8</v>
      </c>
      <c r="S251" s="15" t="str">
        <f>IF(S250="*",S250,"")</f>
        <v>*</v>
      </c>
      <c r="T251" s="17" t="str">
        <f t="shared" ref="T251:W254" si="197">T250</f>
        <v>*BEV*</v>
      </c>
      <c r="U251" s="17" t="str">
        <f t="shared" si="197"/>
        <v>TRABDS</v>
      </c>
      <c r="V251" s="17" t="str">
        <f t="shared" si="197"/>
        <v>TRAFRESLHDMD</v>
      </c>
      <c r="W251" s="17" t="str">
        <f t="shared" si="197"/>
        <v>TRAFRESLHDMD</v>
      </c>
      <c r="X251" s="18">
        <v>2025</v>
      </c>
      <c r="Y251" s="18" t="str">
        <f>Y250</f>
        <v>LO</v>
      </c>
      <c r="Z251" s="18"/>
      <c r="AA251" s="20" t="e">
        <f>-SUMIFS('TRA RESID'!$P:$P,'TRA RESID'!$I:$I,W251,'TRA RESID'!$J:$J,T251,'TRA RESID'!$H:$H,U251)/SUMIFS('TRA RESID'!$P:$P,'TRA RESID'!$I:$I,W251)*AE251</f>
        <v>#DIV/0!</v>
      </c>
      <c r="AB251" s="18"/>
      <c r="AC251" s="18"/>
      <c r="AE251" s="21">
        <v>1</v>
      </c>
      <c r="AG251" s="15" t="str">
        <f>IF(AG250="*",AG250,"")</f>
        <v>*</v>
      </c>
      <c r="AH251" s="17" t="str">
        <f t="shared" ref="AH251:AK254" si="198">AH250</f>
        <v>*HEV*</v>
      </c>
      <c r="AI251" s="17" t="str">
        <f t="shared" si="198"/>
        <v>TRABDS</v>
      </c>
      <c r="AJ251" s="17" t="str">
        <f t="shared" si="198"/>
        <v>TRAFRESLHDMD</v>
      </c>
      <c r="AK251" s="17" t="str">
        <f t="shared" si="198"/>
        <v>TRAFRESLHDMD</v>
      </c>
      <c r="AL251" s="18">
        <v>2025</v>
      </c>
      <c r="AM251" s="18" t="str">
        <f>AM250</f>
        <v>LO</v>
      </c>
      <c r="AN251" s="18"/>
      <c r="AO251" s="20" t="e">
        <f>-SUMIFS('TRA RESID'!$P:$P,'TRA RESID'!$I:$I,AK251,'TRA RESID'!$J:$J,AH251,'TRA RESID'!$H:$H,AI251)/SUMIFS('TRA RESID'!$P:$P,'TRA RESID'!$I:$I,AK251)*AS251</f>
        <v>#DIV/0!</v>
      </c>
      <c r="AP251" s="18"/>
      <c r="AQ251" s="18"/>
      <c r="AS251" s="21">
        <v>0.8</v>
      </c>
      <c r="AU251" s="15" t="str">
        <f>IF(AU250="*",AU250,"")</f>
        <v>*</v>
      </c>
      <c r="AV251" s="17" t="str">
        <f t="shared" ref="AV251:AY254" si="199">AV250</f>
        <v>*FCEV*</v>
      </c>
      <c r="AW251" s="17" t="str">
        <f t="shared" si="199"/>
        <v>TRABDS</v>
      </c>
      <c r="AX251" s="17" t="str">
        <f t="shared" si="199"/>
        <v>TRAFRESLHDMD</v>
      </c>
      <c r="AY251" s="17" t="str">
        <f t="shared" si="199"/>
        <v>TRAFRESLHDMD</v>
      </c>
      <c r="AZ251" s="18">
        <v>2025</v>
      </c>
      <c r="BA251" s="18" t="str">
        <f>BA250</f>
        <v>LO</v>
      </c>
      <c r="BB251" s="18"/>
      <c r="BC251" s="20" t="e">
        <f>-SUMIFS('TRA RESID'!$P:$P,'TRA RESID'!$I:$I,AY251,'TRA RESID'!$J:$J,AV251,'TRA RESID'!$H:$H,AW251)/SUMIFS('TRA RESID'!$P:$P,'TRA RESID'!$I:$I,AY251)*BG251</f>
        <v>#DIV/0!</v>
      </c>
      <c r="BD251" s="18"/>
      <c r="BE251" s="18"/>
      <c r="BG251" s="21">
        <v>0.8</v>
      </c>
    </row>
    <row r="252" spans="1:59" x14ac:dyDescent="0.25">
      <c r="C252" s="15" t="str">
        <f>IF(C251="*",C251,"")</f>
        <v>*</v>
      </c>
      <c r="D252" s="17" t="str">
        <f t="shared" si="196"/>
        <v>*ICEV*</v>
      </c>
      <c r="E252" s="17" t="str">
        <f t="shared" si="196"/>
        <v>TRABDS</v>
      </c>
      <c r="F252" s="17" t="str">
        <f t="shared" si="196"/>
        <v>TRAFRESLHDMD</v>
      </c>
      <c r="G252" s="17" t="str">
        <f t="shared" si="196"/>
        <v>TRAFRESLHDMD</v>
      </c>
      <c r="H252" s="18">
        <v>2030</v>
      </c>
      <c r="I252" s="18" t="str">
        <f>I251</f>
        <v>LO</v>
      </c>
      <c r="J252" s="18"/>
      <c r="K252" s="20" t="e">
        <f>-SUMIFS('TRA RESID'!$P:$P,'TRA RESID'!$I:$I,G252,'TRA RESID'!$J:$J,D252,'TRA RESID'!$H:$H,E252)/SUMIFS('TRA RESID'!$P:$P,'TRA RESID'!$I:$I,G252)*O252</f>
        <v>#DIV/0!</v>
      </c>
      <c r="L252" s="18"/>
      <c r="M252" s="18"/>
      <c r="O252" s="21">
        <v>0.5</v>
      </c>
      <c r="S252" s="15" t="str">
        <f>IF(S251="*",S251,"")</f>
        <v>*</v>
      </c>
      <c r="T252" s="17" t="str">
        <f t="shared" si="197"/>
        <v>*BEV*</v>
      </c>
      <c r="U252" s="17" t="str">
        <f t="shared" si="197"/>
        <v>TRABDS</v>
      </c>
      <c r="V252" s="17" t="str">
        <f t="shared" si="197"/>
        <v>TRAFRESLHDMD</v>
      </c>
      <c r="W252" s="17" t="str">
        <f t="shared" si="197"/>
        <v>TRAFRESLHDMD</v>
      </c>
      <c r="X252" s="18">
        <v>2030</v>
      </c>
      <c r="Y252" s="18" t="str">
        <f>Y251</f>
        <v>LO</v>
      </c>
      <c r="Z252" s="18"/>
      <c r="AA252" s="20" t="e">
        <f>-SUMIFS('TRA RESID'!$P:$P,'TRA RESID'!$I:$I,W252,'TRA RESID'!$J:$J,T252,'TRA RESID'!$H:$H,U252)/SUMIFS('TRA RESID'!$P:$P,'TRA RESID'!$I:$I,W252)*AE252</f>
        <v>#DIV/0!</v>
      </c>
      <c r="AB252" s="18"/>
      <c r="AC252" s="18"/>
      <c r="AE252" s="21">
        <v>1</v>
      </c>
      <c r="AG252" s="15" t="str">
        <f>IF(AG251="*",AG251,"")</f>
        <v>*</v>
      </c>
      <c r="AH252" s="17" t="str">
        <f t="shared" si="198"/>
        <v>*HEV*</v>
      </c>
      <c r="AI252" s="17" t="str">
        <f t="shared" si="198"/>
        <v>TRABDS</v>
      </c>
      <c r="AJ252" s="17" t="str">
        <f t="shared" si="198"/>
        <v>TRAFRESLHDMD</v>
      </c>
      <c r="AK252" s="17" t="str">
        <f t="shared" si="198"/>
        <v>TRAFRESLHDMD</v>
      </c>
      <c r="AL252" s="18">
        <v>2030</v>
      </c>
      <c r="AM252" s="18" t="str">
        <f>AM251</f>
        <v>LO</v>
      </c>
      <c r="AN252" s="18"/>
      <c r="AO252" s="20" t="e">
        <f>-SUMIFS('TRA RESID'!$P:$P,'TRA RESID'!$I:$I,AK252,'TRA RESID'!$J:$J,AH252,'TRA RESID'!$H:$H,AI252)/SUMIFS('TRA RESID'!$P:$P,'TRA RESID'!$I:$I,AK252)*AS252</f>
        <v>#DIV/0!</v>
      </c>
      <c r="AP252" s="18"/>
      <c r="AQ252" s="18"/>
      <c r="AS252" s="21">
        <v>0.5</v>
      </c>
      <c r="AU252" s="15" t="str">
        <f>IF(AU251="*",AU251,"")</f>
        <v>*</v>
      </c>
      <c r="AV252" s="17" t="str">
        <f t="shared" si="199"/>
        <v>*FCEV*</v>
      </c>
      <c r="AW252" s="17" t="str">
        <f t="shared" si="199"/>
        <v>TRABDS</v>
      </c>
      <c r="AX252" s="17" t="str">
        <f t="shared" si="199"/>
        <v>TRAFRESLHDMD</v>
      </c>
      <c r="AY252" s="17" t="str">
        <f t="shared" si="199"/>
        <v>TRAFRESLHDMD</v>
      </c>
      <c r="AZ252" s="18">
        <v>2030</v>
      </c>
      <c r="BA252" s="18" t="str">
        <f>BA251</f>
        <v>LO</v>
      </c>
      <c r="BB252" s="18"/>
      <c r="BC252" s="20" t="e">
        <f>-SUMIFS('TRA RESID'!$P:$P,'TRA RESID'!$I:$I,AY252,'TRA RESID'!$J:$J,AV252,'TRA RESID'!$H:$H,AW252)/SUMIFS('TRA RESID'!$P:$P,'TRA RESID'!$I:$I,AY252)*BG252</f>
        <v>#DIV/0!</v>
      </c>
      <c r="BD252" s="18"/>
      <c r="BE252" s="18"/>
      <c r="BG252" s="21">
        <v>0.5</v>
      </c>
    </row>
    <row r="253" spans="1:59" x14ac:dyDescent="0.25">
      <c r="C253" s="15" t="str">
        <f>IF(C252="*",C252,"")</f>
        <v>*</v>
      </c>
      <c r="D253" s="17" t="str">
        <f t="shared" si="196"/>
        <v>*ICEV*</v>
      </c>
      <c r="E253" s="17" t="str">
        <f t="shared" si="196"/>
        <v>TRABDS</v>
      </c>
      <c r="F253" s="17" t="str">
        <f t="shared" si="196"/>
        <v>TRAFRESLHDMD</v>
      </c>
      <c r="G253" s="17" t="str">
        <f t="shared" si="196"/>
        <v>TRAFRESLHDMD</v>
      </c>
      <c r="H253" s="18">
        <v>2040</v>
      </c>
      <c r="I253" s="18" t="str">
        <f>I252</f>
        <v>LO</v>
      </c>
      <c r="J253" s="18"/>
      <c r="K253" s="20" t="e">
        <f>-SUMIFS('TRA RESID'!$P:$P,'TRA RESID'!$I:$I,G253,'TRA RESID'!$J:$J,D253,'TRA RESID'!$H:$H,E253)/SUMIFS('TRA RESID'!$P:$P,'TRA RESID'!$I:$I,G253)*O253</f>
        <v>#DIV/0!</v>
      </c>
      <c r="L253" s="18"/>
      <c r="M253" s="18"/>
      <c r="O253" s="21">
        <v>0</v>
      </c>
      <c r="S253" s="15" t="str">
        <f>IF(S252="*",S252,"")</f>
        <v>*</v>
      </c>
      <c r="T253" s="17" t="str">
        <f t="shared" si="197"/>
        <v>*BEV*</v>
      </c>
      <c r="U253" s="17" t="str">
        <f t="shared" si="197"/>
        <v>TRABDS</v>
      </c>
      <c r="V253" s="17" t="str">
        <f t="shared" si="197"/>
        <v>TRAFRESLHDMD</v>
      </c>
      <c r="W253" s="17" t="str">
        <f t="shared" si="197"/>
        <v>TRAFRESLHDMD</v>
      </c>
      <c r="X253" s="18">
        <v>2040</v>
      </c>
      <c r="Y253" s="18" t="str">
        <f>Y252</f>
        <v>LO</v>
      </c>
      <c r="Z253" s="18"/>
      <c r="AA253" s="20" t="e">
        <f>-SUMIFS('TRA RESID'!$P:$P,'TRA RESID'!$I:$I,W253,'TRA RESID'!$J:$J,T253,'TRA RESID'!$H:$H,U253)/SUMIFS('TRA RESID'!$P:$P,'TRA RESID'!$I:$I,W253)*AE253</f>
        <v>#DIV/0!</v>
      </c>
      <c r="AB253" s="18"/>
      <c r="AC253" s="18"/>
      <c r="AE253" s="21">
        <v>1</v>
      </c>
      <c r="AG253" s="15" t="str">
        <f>IF(AG252="*",AG252,"")</f>
        <v>*</v>
      </c>
      <c r="AH253" s="17" t="str">
        <f t="shared" si="198"/>
        <v>*HEV*</v>
      </c>
      <c r="AI253" s="17" t="str">
        <f t="shared" si="198"/>
        <v>TRABDS</v>
      </c>
      <c r="AJ253" s="17" t="str">
        <f t="shared" si="198"/>
        <v>TRAFRESLHDMD</v>
      </c>
      <c r="AK253" s="17" t="str">
        <f t="shared" si="198"/>
        <v>TRAFRESLHDMD</v>
      </c>
      <c r="AL253" s="18">
        <v>2040</v>
      </c>
      <c r="AM253" s="18" t="str">
        <f>AM252</f>
        <v>LO</v>
      </c>
      <c r="AN253" s="18"/>
      <c r="AO253" s="20" t="e">
        <f>-SUMIFS('TRA RESID'!$P:$P,'TRA RESID'!$I:$I,AK253,'TRA RESID'!$J:$J,AH253,'TRA RESID'!$H:$H,AI253)/SUMIFS('TRA RESID'!$P:$P,'TRA RESID'!$I:$I,AK253)*AS253</f>
        <v>#DIV/0!</v>
      </c>
      <c r="AP253" s="18"/>
      <c r="AQ253" s="18"/>
      <c r="AS253" s="21">
        <v>0</v>
      </c>
      <c r="AU253" s="15" t="str">
        <f>IF(AU252="*",AU252,"")</f>
        <v>*</v>
      </c>
      <c r="AV253" s="17" t="str">
        <f t="shared" si="199"/>
        <v>*FCEV*</v>
      </c>
      <c r="AW253" s="17" t="str">
        <f t="shared" si="199"/>
        <v>TRABDS</v>
      </c>
      <c r="AX253" s="17" t="str">
        <f t="shared" si="199"/>
        <v>TRAFRESLHDMD</v>
      </c>
      <c r="AY253" s="17" t="str">
        <f t="shared" si="199"/>
        <v>TRAFRESLHDMD</v>
      </c>
      <c r="AZ253" s="18">
        <v>2040</v>
      </c>
      <c r="BA253" s="18" t="str">
        <f>BA252</f>
        <v>LO</v>
      </c>
      <c r="BB253" s="18"/>
      <c r="BC253" s="20" t="e">
        <f>-SUMIFS('TRA RESID'!$P:$P,'TRA RESID'!$I:$I,AY253,'TRA RESID'!$J:$J,AV253,'TRA RESID'!$H:$H,AW253)/SUMIFS('TRA RESID'!$P:$P,'TRA RESID'!$I:$I,AY253)*BG253</f>
        <v>#DIV/0!</v>
      </c>
      <c r="BD253" s="18"/>
      <c r="BE253" s="18"/>
      <c r="BG253" s="21">
        <v>0</v>
      </c>
    </row>
    <row r="254" spans="1:59" x14ac:dyDescent="0.25">
      <c r="C254" s="23" t="str">
        <f>IF(C253="*",C253,"")</f>
        <v>*</v>
      </c>
      <c r="D254" s="25" t="str">
        <f t="shared" si="196"/>
        <v>*ICEV*</v>
      </c>
      <c r="E254" s="25" t="str">
        <f t="shared" si="196"/>
        <v>TRABDS</v>
      </c>
      <c r="F254" s="25" t="str">
        <f t="shared" si="196"/>
        <v>TRAFRESLHDMD</v>
      </c>
      <c r="G254" s="25" t="str">
        <f t="shared" si="196"/>
        <v>TRAFRESLHDMD</v>
      </c>
      <c r="H254" s="26">
        <v>2050</v>
      </c>
      <c r="I254" s="26" t="str">
        <f>I252</f>
        <v>LO</v>
      </c>
      <c r="J254" s="26"/>
      <c r="K254" s="27" t="e">
        <f>-SUMIFS('TRA RESID'!$P:$P,'TRA RESID'!$I:$I,G254,'TRA RESID'!$J:$J,D254,'TRA RESID'!$H:$H,E254)/SUMIFS('TRA RESID'!$P:$P,'TRA RESID'!$I:$I,G254)*O254</f>
        <v>#DIV/0!</v>
      </c>
      <c r="L254" s="26"/>
      <c r="M254" s="26"/>
      <c r="O254" s="28">
        <v>0</v>
      </c>
      <c r="S254" s="23" t="str">
        <f>IF(S253="*",S253,"")</f>
        <v>*</v>
      </c>
      <c r="T254" s="25" t="str">
        <f t="shared" si="197"/>
        <v>*BEV*</v>
      </c>
      <c r="U254" s="25" t="str">
        <f t="shared" si="197"/>
        <v>TRABDS</v>
      </c>
      <c r="V254" s="25" t="str">
        <f t="shared" si="197"/>
        <v>TRAFRESLHDMD</v>
      </c>
      <c r="W254" s="25" t="str">
        <f t="shared" si="197"/>
        <v>TRAFRESLHDMD</v>
      </c>
      <c r="X254" s="26">
        <v>2050</v>
      </c>
      <c r="Y254" s="26" t="str">
        <f>Y252</f>
        <v>LO</v>
      </c>
      <c r="Z254" s="26"/>
      <c r="AA254" s="27" t="e">
        <f>-SUMIFS('TRA RESID'!$P:$P,'TRA RESID'!$I:$I,W254,'TRA RESID'!$J:$J,T254,'TRA RESID'!$H:$H,U254)/SUMIFS('TRA RESID'!$P:$P,'TRA RESID'!$I:$I,W254)*AE254</f>
        <v>#DIV/0!</v>
      </c>
      <c r="AB254" s="26"/>
      <c r="AC254" s="26"/>
      <c r="AE254" s="28">
        <v>1</v>
      </c>
      <c r="AG254" s="23" t="str">
        <f>IF(AG253="*",AG253,"")</f>
        <v>*</v>
      </c>
      <c r="AH254" s="25" t="str">
        <f t="shared" si="198"/>
        <v>*HEV*</v>
      </c>
      <c r="AI254" s="25" t="str">
        <f t="shared" si="198"/>
        <v>TRABDS</v>
      </c>
      <c r="AJ254" s="25" t="str">
        <f t="shared" si="198"/>
        <v>TRAFRESLHDMD</v>
      </c>
      <c r="AK254" s="25" t="str">
        <f t="shared" si="198"/>
        <v>TRAFRESLHDMD</v>
      </c>
      <c r="AL254" s="26">
        <v>2050</v>
      </c>
      <c r="AM254" s="26" t="str">
        <f>AM252</f>
        <v>LO</v>
      </c>
      <c r="AN254" s="26"/>
      <c r="AO254" s="27" t="e">
        <f>-SUMIFS('TRA RESID'!$P:$P,'TRA RESID'!$I:$I,AK254,'TRA RESID'!$J:$J,AH254,'TRA RESID'!$H:$H,AI254)/SUMIFS('TRA RESID'!$P:$P,'TRA RESID'!$I:$I,AK254)*AS254</f>
        <v>#DIV/0!</v>
      </c>
      <c r="AP254" s="26"/>
      <c r="AQ254" s="26"/>
      <c r="AS254" s="28">
        <v>0</v>
      </c>
      <c r="AU254" s="23" t="str">
        <f>IF(AU253="*",AU253,"")</f>
        <v>*</v>
      </c>
      <c r="AV254" s="25" t="str">
        <f t="shared" si="199"/>
        <v>*FCEV*</v>
      </c>
      <c r="AW254" s="25" t="str">
        <f t="shared" si="199"/>
        <v>TRABDS</v>
      </c>
      <c r="AX254" s="25" t="str">
        <f t="shared" si="199"/>
        <v>TRAFRESLHDMD</v>
      </c>
      <c r="AY254" s="25" t="str">
        <f t="shared" si="199"/>
        <v>TRAFRESLHDMD</v>
      </c>
      <c r="AZ254" s="26">
        <v>2050</v>
      </c>
      <c r="BA254" s="26" t="str">
        <f>BA252</f>
        <v>LO</v>
      </c>
      <c r="BB254" s="26"/>
      <c r="BC254" s="27" t="e">
        <f>-SUMIFS('TRA RESID'!$P:$P,'TRA RESID'!$I:$I,AY254,'TRA RESID'!$J:$J,AV254,'TRA RESID'!$H:$H,AW254)/SUMIFS('TRA RESID'!$P:$P,'TRA RESID'!$I:$I,AY254)*BG254</f>
        <v>#DIV/0!</v>
      </c>
      <c r="BD254" s="26"/>
      <c r="BE254" s="26"/>
      <c r="BG254" s="28">
        <v>0</v>
      </c>
    </row>
    <row r="255" spans="1:59" x14ac:dyDescent="0.25">
      <c r="A255">
        <f>A250+1</f>
        <v>51</v>
      </c>
      <c r="C255" s="15" t="str">
        <f>IF(E255="","",IF(_xlfn.XLOOKUP($A255,Selected_constraint!$A:$A,Selected_constraint!$D:$D)=1,"*",IF(SUMIFS('TRA TECH'!$M:$M,'TRA TECH'!$H:$H,E255,'TRA TECH'!$I:$I,F255)=0,"*",IF(SUMIFS('TRA RESID'!$P:$P,'TRA RESID'!$I:$I,G255,'TRA RESID'!$J:$J,D255,'TRA RESID'!$H:$H,E255)=0,"*","UC_"&amp;SUBSTITUTE(D255,"*","")&amp;"_"&amp;RIGHT(E255,3)&amp;"_"&amp;F255))))</f>
        <v>*</v>
      </c>
      <c r="D255" s="17" t="s">
        <v>485</v>
      </c>
      <c r="E255" s="17" t="str">
        <f>_xlfn.XLOOKUP($A255,Selected_constraint!$A:$A,Selected_constraint!$B:$B)</f>
        <v>TRACNG</v>
      </c>
      <c r="F255" s="17" t="str">
        <f>_xlfn.XLOOKUP($A255,Selected_constraint!$A:$A,Selected_constraint!$C:$C)</f>
        <v>TRAFRESLHDMD</v>
      </c>
      <c r="G255" s="17" t="str">
        <f>F255</f>
        <v>TRAFRESLHDMD</v>
      </c>
      <c r="H255" s="18">
        <v>2019</v>
      </c>
      <c r="I255" s="18" t="s">
        <v>483</v>
      </c>
      <c r="J255" s="18">
        <v>1</v>
      </c>
      <c r="K255" s="20" t="e">
        <f>-SUMIFS('TRA RESID'!$P:$P,'TRA RESID'!$I:$I,G255,'TRA RESID'!$J:$J,D255,'TRA RESID'!$H:$H,E255)/SUMIFS('TRA RESID'!$P:$P,'TRA RESID'!$I:$I,G255)*O255</f>
        <v>#DIV/0!</v>
      </c>
      <c r="L255" s="18">
        <v>0</v>
      </c>
      <c r="M255" s="18">
        <v>5</v>
      </c>
      <c r="O255" s="21">
        <v>0.98</v>
      </c>
      <c r="Q255">
        <f>Q250+1</f>
        <v>51</v>
      </c>
      <c r="S255" s="15" t="str">
        <f>IF(SUMIFS('TRA RESID'!$P:$P,'TRA RESID'!$I:$I,W255,'TRA RESID'!$J:$J,T255,'TRA RESID'!$H:$H,U255)=0,"*","UC_"&amp;SUBSTITUTE(T255,"*","")&amp;"_"&amp;RIGHT(U255,3)&amp;"_"&amp;V255)</f>
        <v>*</v>
      </c>
      <c r="T255" s="17" t="s">
        <v>486</v>
      </c>
      <c r="U255" s="17" t="str">
        <f>_xlfn.XLOOKUP($A255,Selected_constraint!$A:$A,Selected_constraint!$B:$B)</f>
        <v>TRACNG</v>
      </c>
      <c r="V255" s="17" t="str">
        <f>_xlfn.XLOOKUP($A255,Selected_constraint!$A:$A,Selected_constraint!$C:$C)</f>
        <v>TRAFRESLHDMD</v>
      </c>
      <c r="W255" s="17" t="str">
        <f>V255</f>
        <v>TRAFRESLHDMD</v>
      </c>
      <c r="X255" s="18">
        <v>2019</v>
      </c>
      <c r="Y255" s="18" t="s">
        <v>483</v>
      </c>
      <c r="Z255" s="18">
        <v>1</v>
      </c>
      <c r="AA255" s="20" t="e">
        <f>-SUMIFS('TRA RESID'!$P:$P,'TRA RESID'!$I:$I,W255,'TRA RESID'!$J:$J,T255,'TRA RESID'!$H:$H,U255)/SUMIFS('TRA RESID'!$P:$P,'TRA RESID'!$I:$I,W255)*AE255</f>
        <v>#DIV/0!</v>
      </c>
      <c r="AB255" s="18">
        <v>0</v>
      </c>
      <c r="AC255" s="18">
        <v>5</v>
      </c>
      <c r="AE255" s="21">
        <v>0.98</v>
      </c>
      <c r="AG255" s="15" t="str">
        <f>IF(SUMIFS('TRA RESID'!$P:$P,'TRA RESID'!$I:$I,AK255,'TRA RESID'!$J:$J,AH255,'TRA RESID'!$H:$H,AI255)=0,"*","UC_"&amp;SUBSTITUTE(AH255,"*","")&amp;"_"&amp;RIGHT(AI255,3)&amp;"_"&amp;AJ255)</f>
        <v>*</v>
      </c>
      <c r="AH255" s="17" t="s">
        <v>487</v>
      </c>
      <c r="AI255" s="17" t="str">
        <f>_xlfn.XLOOKUP($A255,Selected_constraint!$A:$A,Selected_constraint!$B:$B)</f>
        <v>TRACNG</v>
      </c>
      <c r="AJ255" s="17" t="str">
        <f>_xlfn.XLOOKUP($A255,Selected_constraint!$A:$A,Selected_constraint!$C:$C)</f>
        <v>TRAFRESLHDMD</v>
      </c>
      <c r="AK255" s="17" t="str">
        <f>AJ255</f>
        <v>TRAFRESLHDMD</v>
      </c>
      <c r="AL255" s="18">
        <v>2019</v>
      </c>
      <c r="AM255" s="18" t="s">
        <v>483</v>
      </c>
      <c r="AN255" s="18">
        <v>1</v>
      </c>
      <c r="AO255" s="20" t="e">
        <f>-SUMIFS('TRA RESID'!$P:$P,'TRA RESID'!$I:$I,AK255,'TRA RESID'!$J:$J,AH255,'TRA RESID'!$H:$H,AI255)/SUMIFS('TRA RESID'!$P:$P,'TRA RESID'!$I:$I,AK255)*AS255</f>
        <v>#DIV/0!</v>
      </c>
      <c r="AP255" s="18">
        <v>0</v>
      </c>
      <c r="AQ255" s="18">
        <v>5</v>
      </c>
      <c r="AS255" s="21">
        <v>0.98</v>
      </c>
      <c r="AU255" s="15" t="str">
        <f>IF(SUMIFS('TRA RESID'!$P:$P,'TRA RESID'!$I:$I,AY255,'TRA RESID'!$J:$J,AV255,'TRA RESID'!$H:$H,AW255)=0,"*","UC_"&amp;SUBSTITUTE(AV255,"*","")&amp;"_"&amp;RIGHT(AW255,3)&amp;"_"&amp;AX255)</f>
        <v>*</v>
      </c>
      <c r="AV255" s="17" t="s">
        <v>488</v>
      </c>
      <c r="AW255" s="17" t="str">
        <f>_xlfn.XLOOKUP($A255,Selected_constraint!$A:$A,Selected_constraint!$B:$B)</f>
        <v>TRACNG</v>
      </c>
      <c r="AX255" s="17" t="str">
        <f>_xlfn.XLOOKUP($A255,Selected_constraint!$A:$A,Selected_constraint!$C:$C)</f>
        <v>TRAFRESLHDMD</v>
      </c>
      <c r="AY255" s="17" t="str">
        <f>AX255</f>
        <v>TRAFRESLHDMD</v>
      </c>
      <c r="AZ255" s="18">
        <v>2019</v>
      </c>
      <c r="BA255" s="18" t="s">
        <v>483</v>
      </c>
      <c r="BB255" s="18">
        <v>1</v>
      </c>
      <c r="BC255" s="20" t="e">
        <f>-SUMIFS('TRA RESID'!$P:$P,'TRA RESID'!$I:$I,AY255,'TRA RESID'!$J:$J,AV255,'TRA RESID'!$H:$H,AW255)/SUMIFS('TRA RESID'!$P:$P,'TRA RESID'!$I:$I,AY255)*BG255</f>
        <v>#DIV/0!</v>
      </c>
      <c r="BD255" s="18">
        <v>0</v>
      </c>
      <c r="BE255" s="18">
        <v>5</v>
      </c>
      <c r="BG255" s="21">
        <v>0.98</v>
      </c>
    </row>
    <row r="256" spans="1:59" x14ac:dyDescent="0.25">
      <c r="C256" s="15" t="str">
        <f>IF(C255="*",C255,"")</f>
        <v>*</v>
      </c>
      <c r="D256" s="17" t="str">
        <f t="shared" ref="D256:G259" si="200">D255</f>
        <v>*ICEV*</v>
      </c>
      <c r="E256" s="17" t="str">
        <f t="shared" si="200"/>
        <v>TRACNG</v>
      </c>
      <c r="F256" s="17" t="str">
        <f t="shared" si="200"/>
        <v>TRAFRESLHDMD</v>
      </c>
      <c r="G256" s="17" t="str">
        <f t="shared" si="200"/>
        <v>TRAFRESLHDMD</v>
      </c>
      <c r="H256" s="18">
        <v>2025</v>
      </c>
      <c r="I256" s="18" t="str">
        <f>I255</f>
        <v>LO</v>
      </c>
      <c r="J256" s="18"/>
      <c r="K256" s="20" t="e">
        <f>-SUMIFS('TRA RESID'!$P:$P,'TRA RESID'!$I:$I,G256,'TRA RESID'!$J:$J,D256,'TRA RESID'!$H:$H,E256)/SUMIFS('TRA RESID'!$P:$P,'TRA RESID'!$I:$I,G256)*O256</f>
        <v>#DIV/0!</v>
      </c>
      <c r="L256" s="18"/>
      <c r="M256" s="18"/>
      <c r="O256" s="21">
        <v>0.8</v>
      </c>
      <c r="S256" s="15" t="str">
        <f>IF(S255="*",S255,"")</f>
        <v>*</v>
      </c>
      <c r="T256" s="17" t="str">
        <f t="shared" ref="T256:W259" si="201">T255</f>
        <v>*BEV*</v>
      </c>
      <c r="U256" s="17" t="str">
        <f t="shared" si="201"/>
        <v>TRACNG</v>
      </c>
      <c r="V256" s="17" t="str">
        <f t="shared" si="201"/>
        <v>TRAFRESLHDMD</v>
      </c>
      <c r="W256" s="17" t="str">
        <f t="shared" si="201"/>
        <v>TRAFRESLHDMD</v>
      </c>
      <c r="X256" s="18">
        <v>2025</v>
      </c>
      <c r="Y256" s="18" t="str">
        <f>Y255</f>
        <v>LO</v>
      </c>
      <c r="Z256" s="18"/>
      <c r="AA256" s="20" t="e">
        <f>-SUMIFS('TRA RESID'!$P:$P,'TRA RESID'!$I:$I,W256,'TRA RESID'!$J:$J,T256,'TRA RESID'!$H:$H,U256)/SUMIFS('TRA RESID'!$P:$P,'TRA RESID'!$I:$I,W256)*AE256</f>
        <v>#DIV/0!</v>
      </c>
      <c r="AB256" s="18"/>
      <c r="AC256" s="18"/>
      <c r="AE256" s="21">
        <v>1</v>
      </c>
      <c r="AG256" s="15" t="str">
        <f>IF(AG255="*",AG255,"")</f>
        <v>*</v>
      </c>
      <c r="AH256" s="17" t="str">
        <f t="shared" ref="AH256:AK259" si="202">AH255</f>
        <v>*HEV*</v>
      </c>
      <c r="AI256" s="17" t="str">
        <f t="shared" si="202"/>
        <v>TRACNG</v>
      </c>
      <c r="AJ256" s="17" t="str">
        <f t="shared" si="202"/>
        <v>TRAFRESLHDMD</v>
      </c>
      <c r="AK256" s="17" t="str">
        <f t="shared" si="202"/>
        <v>TRAFRESLHDMD</v>
      </c>
      <c r="AL256" s="18">
        <v>2025</v>
      </c>
      <c r="AM256" s="18" t="str">
        <f>AM255</f>
        <v>LO</v>
      </c>
      <c r="AN256" s="18"/>
      <c r="AO256" s="20" t="e">
        <f>-SUMIFS('TRA RESID'!$P:$P,'TRA RESID'!$I:$I,AK256,'TRA RESID'!$J:$J,AH256,'TRA RESID'!$H:$H,AI256)/SUMIFS('TRA RESID'!$P:$P,'TRA RESID'!$I:$I,AK256)*AS256</f>
        <v>#DIV/0!</v>
      </c>
      <c r="AP256" s="18"/>
      <c r="AQ256" s="18"/>
      <c r="AS256" s="21">
        <v>0.8</v>
      </c>
      <c r="AU256" s="15" t="str">
        <f>IF(AU255="*",AU255,"")</f>
        <v>*</v>
      </c>
      <c r="AV256" s="17" t="str">
        <f t="shared" ref="AV256:AY259" si="203">AV255</f>
        <v>*FCEV*</v>
      </c>
      <c r="AW256" s="17" t="str">
        <f t="shared" si="203"/>
        <v>TRACNG</v>
      </c>
      <c r="AX256" s="17" t="str">
        <f t="shared" si="203"/>
        <v>TRAFRESLHDMD</v>
      </c>
      <c r="AY256" s="17" t="str">
        <f t="shared" si="203"/>
        <v>TRAFRESLHDMD</v>
      </c>
      <c r="AZ256" s="18">
        <v>2025</v>
      </c>
      <c r="BA256" s="18" t="str">
        <f>BA255</f>
        <v>LO</v>
      </c>
      <c r="BB256" s="18"/>
      <c r="BC256" s="20" t="e">
        <f>-SUMIFS('TRA RESID'!$P:$P,'TRA RESID'!$I:$I,AY256,'TRA RESID'!$J:$J,AV256,'TRA RESID'!$H:$H,AW256)/SUMIFS('TRA RESID'!$P:$P,'TRA RESID'!$I:$I,AY256)*BG256</f>
        <v>#DIV/0!</v>
      </c>
      <c r="BD256" s="18"/>
      <c r="BE256" s="18"/>
      <c r="BG256" s="21">
        <v>0.8</v>
      </c>
    </row>
    <row r="257" spans="1:59" x14ac:dyDescent="0.25">
      <c r="C257" s="15" t="str">
        <f>IF(C256="*",C256,"")</f>
        <v>*</v>
      </c>
      <c r="D257" s="17" t="str">
        <f t="shared" si="200"/>
        <v>*ICEV*</v>
      </c>
      <c r="E257" s="17" t="str">
        <f t="shared" si="200"/>
        <v>TRACNG</v>
      </c>
      <c r="F257" s="17" t="str">
        <f t="shared" si="200"/>
        <v>TRAFRESLHDMD</v>
      </c>
      <c r="G257" s="17" t="str">
        <f t="shared" si="200"/>
        <v>TRAFRESLHDMD</v>
      </c>
      <c r="H257" s="18">
        <v>2030</v>
      </c>
      <c r="I257" s="18" t="str">
        <f>I256</f>
        <v>LO</v>
      </c>
      <c r="J257" s="18"/>
      <c r="K257" s="20" t="e">
        <f>-SUMIFS('TRA RESID'!$P:$P,'TRA RESID'!$I:$I,G257,'TRA RESID'!$J:$J,D257,'TRA RESID'!$H:$H,E257)/SUMIFS('TRA RESID'!$P:$P,'TRA RESID'!$I:$I,G257)*O257</f>
        <v>#DIV/0!</v>
      </c>
      <c r="L257" s="18"/>
      <c r="M257" s="18"/>
      <c r="O257" s="21">
        <v>0.5</v>
      </c>
      <c r="S257" s="15" t="str">
        <f>IF(S256="*",S256,"")</f>
        <v>*</v>
      </c>
      <c r="T257" s="17" t="str">
        <f t="shared" si="201"/>
        <v>*BEV*</v>
      </c>
      <c r="U257" s="17" t="str">
        <f t="shared" si="201"/>
        <v>TRACNG</v>
      </c>
      <c r="V257" s="17" t="str">
        <f t="shared" si="201"/>
        <v>TRAFRESLHDMD</v>
      </c>
      <c r="W257" s="17" t="str">
        <f t="shared" si="201"/>
        <v>TRAFRESLHDMD</v>
      </c>
      <c r="X257" s="18">
        <v>2030</v>
      </c>
      <c r="Y257" s="18" t="str">
        <f>Y256</f>
        <v>LO</v>
      </c>
      <c r="Z257" s="18"/>
      <c r="AA257" s="20" t="e">
        <f>-SUMIFS('TRA RESID'!$P:$P,'TRA RESID'!$I:$I,W257,'TRA RESID'!$J:$J,T257,'TRA RESID'!$H:$H,U257)/SUMIFS('TRA RESID'!$P:$P,'TRA RESID'!$I:$I,W257)*AE257</f>
        <v>#DIV/0!</v>
      </c>
      <c r="AB257" s="18"/>
      <c r="AC257" s="18"/>
      <c r="AE257" s="21">
        <v>1</v>
      </c>
      <c r="AG257" s="15" t="str">
        <f>IF(AG256="*",AG256,"")</f>
        <v>*</v>
      </c>
      <c r="AH257" s="17" t="str">
        <f t="shared" si="202"/>
        <v>*HEV*</v>
      </c>
      <c r="AI257" s="17" t="str">
        <f t="shared" si="202"/>
        <v>TRACNG</v>
      </c>
      <c r="AJ257" s="17" t="str">
        <f t="shared" si="202"/>
        <v>TRAFRESLHDMD</v>
      </c>
      <c r="AK257" s="17" t="str">
        <f t="shared" si="202"/>
        <v>TRAFRESLHDMD</v>
      </c>
      <c r="AL257" s="18">
        <v>2030</v>
      </c>
      <c r="AM257" s="18" t="str">
        <f>AM256</f>
        <v>LO</v>
      </c>
      <c r="AN257" s="18"/>
      <c r="AO257" s="20" t="e">
        <f>-SUMIFS('TRA RESID'!$P:$P,'TRA RESID'!$I:$I,AK257,'TRA RESID'!$J:$J,AH257,'TRA RESID'!$H:$H,AI257)/SUMIFS('TRA RESID'!$P:$P,'TRA RESID'!$I:$I,AK257)*AS257</f>
        <v>#DIV/0!</v>
      </c>
      <c r="AP257" s="18"/>
      <c r="AQ257" s="18"/>
      <c r="AS257" s="21">
        <v>0.5</v>
      </c>
      <c r="AU257" s="15" t="str">
        <f>IF(AU256="*",AU256,"")</f>
        <v>*</v>
      </c>
      <c r="AV257" s="17" t="str">
        <f t="shared" si="203"/>
        <v>*FCEV*</v>
      </c>
      <c r="AW257" s="17" t="str">
        <f t="shared" si="203"/>
        <v>TRACNG</v>
      </c>
      <c r="AX257" s="17" t="str">
        <f t="shared" si="203"/>
        <v>TRAFRESLHDMD</v>
      </c>
      <c r="AY257" s="17" t="str">
        <f t="shared" si="203"/>
        <v>TRAFRESLHDMD</v>
      </c>
      <c r="AZ257" s="18">
        <v>2030</v>
      </c>
      <c r="BA257" s="18" t="str">
        <f>BA256</f>
        <v>LO</v>
      </c>
      <c r="BB257" s="18"/>
      <c r="BC257" s="20" t="e">
        <f>-SUMIFS('TRA RESID'!$P:$P,'TRA RESID'!$I:$I,AY257,'TRA RESID'!$J:$J,AV257,'TRA RESID'!$H:$H,AW257)/SUMIFS('TRA RESID'!$P:$P,'TRA RESID'!$I:$I,AY257)*BG257</f>
        <v>#DIV/0!</v>
      </c>
      <c r="BD257" s="18"/>
      <c r="BE257" s="18"/>
      <c r="BG257" s="21">
        <v>0.5</v>
      </c>
    </row>
    <row r="258" spans="1:59" x14ac:dyDescent="0.25">
      <c r="C258" s="15" t="str">
        <f>IF(C257="*",C257,"")</f>
        <v>*</v>
      </c>
      <c r="D258" s="17" t="str">
        <f t="shared" si="200"/>
        <v>*ICEV*</v>
      </c>
      <c r="E258" s="17" t="str">
        <f t="shared" si="200"/>
        <v>TRACNG</v>
      </c>
      <c r="F258" s="17" t="str">
        <f t="shared" si="200"/>
        <v>TRAFRESLHDMD</v>
      </c>
      <c r="G258" s="17" t="str">
        <f t="shared" si="200"/>
        <v>TRAFRESLHDMD</v>
      </c>
      <c r="H258" s="18">
        <v>2040</v>
      </c>
      <c r="I258" s="18" t="str">
        <f>I257</f>
        <v>LO</v>
      </c>
      <c r="J258" s="18"/>
      <c r="K258" s="20" t="e">
        <f>-SUMIFS('TRA RESID'!$P:$P,'TRA RESID'!$I:$I,G258,'TRA RESID'!$J:$J,D258,'TRA RESID'!$H:$H,E258)/SUMIFS('TRA RESID'!$P:$P,'TRA RESID'!$I:$I,G258)*O258</f>
        <v>#DIV/0!</v>
      </c>
      <c r="L258" s="18"/>
      <c r="M258" s="18"/>
      <c r="O258" s="21">
        <v>0</v>
      </c>
      <c r="S258" s="15" t="str">
        <f>IF(S257="*",S257,"")</f>
        <v>*</v>
      </c>
      <c r="T258" s="17" t="str">
        <f t="shared" si="201"/>
        <v>*BEV*</v>
      </c>
      <c r="U258" s="17" t="str">
        <f t="shared" si="201"/>
        <v>TRACNG</v>
      </c>
      <c r="V258" s="17" t="str">
        <f t="shared" si="201"/>
        <v>TRAFRESLHDMD</v>
      </c>
      <c r="W258" s="17" t="str">
        <f t="shared" si="201"/>
        <v>TRAFRESLHDMD</v>
      </c>
      <c r="X258" s="18">
        <v>2040</v>
      </c>
      <c r="Y258" s="18" t="str">
        <f>Y257</f>
        <v>LO</v>
      </c>
      <c r="Z258" s="18"/>
      <c r="AA258" s="20" t="e">
        <f>-SUMIFS('TRA RESID'!$P:$P,'TRA RESID'!$I:$I,W258,'TRA RESID'!$J:$J,T258,'TRA RESID'!$H:$H,U258)/SUMIFS('TRA RESID'!$P:$P,'TRA RESID'!$I:$I,W258)*AE258</f>
        <v>#DIV/0!</v>
      </c>
      <c r="AB258" s="18"/>
      <c r="AC258" s="18"/>
      <c r="AE258" s="21">
        <v>1</v>
      </c>
      <c r="AG258" s="15" t="str">
        <f>IF(AG257="*",AG257,"")</f>
        <v>*</v>
      </c>
      <c r="AH258" s="17" t="str">
        <f t="shared" si="202"/>
        <v>*HEV*</v>
      </c>
      <c r="AI258" s="17" t="str">
        <f t="shared" si="202"/>
        <v>TRACNG</v>
      </c>
      <c r="AJ258" s="17" t="str">
        <f t="shared" si="202"/>
        <v>TRAFRESLHDMD</v>
      </c>
      <c r="AK258" s="17" t="str">
        <f t="shared" si="202"/>
        <v>TRAFRESLHDMD</v>
      </c>
      <c r="AL258" s="18">
        <v>2040</v>
      </c>
      <c r="AM258" s="18" t="str">
        <f>AM257</f>
        <v>LO</v>
      </c>
      <c r="AN258" s="18"/>
      <c r="AO258" s="20" t="e">
        <f>-SUMIFS('TRA RESID'!$P:$P,'TRA RESID'!$I:$I,AK258,'TRA RESID'!$J:$J,AH258,'TRA RESID'!$H:$H,AI258)/SUMIFS('TRA RESID'!$P:$P,'TRA RESID'!$I:$I,AK258)*AS258</f>
        <v>#DIV/0!</v>
      </c>
      <c r="AP258" s="18"/>
      <c r="AQ258" s="18"/>
      <c r="AS258" s="21">
        <v>0</v>
      </c>
      <c r="AU258" s="15" t="str">
        <f>IF(AU257="*",AU257,"")</f>
        <v>*</v>
      </c>
      <c r="AV258" s="17" t="str">
        <f t="shared" si="203"/>
        <v>*FCEV*</v>
      </c>
      <c r="AW258" s="17" t="str">
        <f t="shared" si="203"/>
        <v>TRACNG</v>
      </c>
      <c r="AX258" s="17" t="str">
        <f t="shared" si="203"/>
        <v>TRAFRESLHDMD</v>
      </c>
      <c r="AY258" s="17" t="str">
        <f t="shared" si="203"/>
        <v>TRAFRESLHDMD</v>
      </c>
      <c r="AZ258" s="18">
        <v>2040</v>
      </c>
      <c r="BA258" s="18" t="str">
        <f>BA257</f>
        <v>LO</v>
      </c>
      <c r="BB258" s="18"/>
      <c r="BC258" s="20" t="e">
        <f>-SUMIFS('TRA RESID'!$P:$P,'TRA RESID'!$I:$I,AY258,'TRA RESID'!$J:$J,AV258,'TRA RESID'!$H:$H,AW258)/SUMIFS('TRA RESID'!$P:$P,'TRA RESID'!$I:$I,AY258)*BG258</f>
        <v>#DIV/0!</v>
      </c>
      <c r="BD258" s="18"/>
      <c r="BE258" s="18"/>
      <c r="BG258" s="21">
        <v>0</v>
      </c>
    </row>
    <row r="259" spans="1:59" x14ac:dyDescent="0.25">
      <c r="C259" s="23" t="str">
        <f>IF(C258="*",C258,"")</f>
        <v>*</v>
      </c>
      <c r="D259" s="25" t="str">
        <f t="shared" si="200"/>
        <v>*ICEV*</v>
      </c>
      <c r="E259" s="25" t="str">
        <f t="shared" si="200"/>
        <v>TRACNG</v>
      </c>
      <c r="F259" s="25" t="str">
        <f t="shared" si="200"/>
        <v>TRAFRESLHDMD</v>
      </c>
      <c r="G259" s="25" t="str">
        <f t="shared" si="200"/>
        <v>TRAFRESLHDMD</v>
      </c>
      <c r="H259" s="26">
        <v>2050</v>
      </c>
      <c r="I259" s="26" t="str">
        <f>I257</f>
        <v>LO</v>
      </c>
      <c r="J259" s="26"/>
      <c r="K259" s="27" t="e">
        <f>-SUMIFS('TRA RESID'!$P:$P,'TRA RESID'!$I:$I,G259,'TRA RESID'!$J:$J,D259,'TRA RESID'!$H:$H,E259)/SUMIFS('TRA RESID'!$P:$P,'TRA RESID'!$I:$I,G259)*O259</f>
        <v>#DIV/0!</v>
      </c>
      <c r="L259" s="26"/>
      <c r="M259" s="26"/>
      <c r="O259" s="28">
        <v>0</v>
      </c>
      <c r="S259" s="23" t="str">
        <f>IF(S258="*",S258,"")</f>
        <v>*</v>
      </c>
      <c r="T259" s="25" t="str">
        <f t="shared" si="201"/>
        <v>*BEV*</v>
      </c>
      <c r="U259" s="25" t="str">
        <f t="shared" si="201"/>
        <v>TRACNG</v>
      </c>
      <c r="V259" s="25" t="str">
        <f t="shared" si="201"/>
        <v>TRAFRESLHDMD</v>
      </c>
      <c r="W259" s="25" t="str">
        <f t="shared" si="201"/>
        <v>TRAFRESLHDMD</v>
      </c>
      <c r="X259" s="26">
        <v>2050</v>
      </c>
      <c r="Y259" s="26" t="str">
        <f>Y257</f>
        <v>LO</v>
      </c>
      <c r="Z259" s="26"/>
      <c r="AA259" s="27" t="e">
        <f>-SUMIFS('TRA RESID'!$P:$P,'TRA RESID'!$I:$I,W259,'TRA RESID'!$J:$J,T259,'TRA RESID'!$H:$H,U259)/SUMIFS('TRA RESID'!$P:$P,'TRA RESID'!$I:$I,W259)*AE259</f>
        <v>#DIV/0!</v>
      </c>
      <c r="AB259" s="26"/>
      <c r="AC259" s="26"/>
      <c r="AE259" s="28">
        <v>1</v>
      </c>
      <c r="AG259" s="23" t="str">
        <f>IF(AG258="*",AG258,"")</f>
        <v>*</v>
      </c>
      <c r="AH259" s="25" t="str">
        <f t="shared" si="202"/>
        <v>*HEV*</v>
      </c>
      <c r="AI259" s="25" t="str">
        <f t="shared" si="202"/>
        <v>TRACNG</v>
      </c>
      <c r="AJ259" s="25" t="str">
        <f t="shared" si="202"/>
        <v>TRAFRESLHDMD</v>
      </c>
      <c r="AK259" s="25" t="str">
        <f t="shared" si="202"/>
        <v>TRAFRESLHDMD</v>
      </c>
      <c r="AL259" s="26">
        <v>2050</v>
      </c>
      <c r="AM259" s="26" t="str">
        <f>AM257</f>
        <v>LO</v>
      </c>
      <c r="AN259" s="26"/>
      <c r="AO259" s="27" t="e">
        <f>-SUMIFS('TRA RESID'!$P:$P,'TRA RESID'!$I:$I,AK259,'TRA RESID'!$J:$J,AH259,'TRA RESID'!$H:$H,AI259)/SUMIFS('TRA RESID'!$P:$P,'TRA RESID'!$I:$I,AK259)*AS259</f>
        <v>#DIV/0!</v>
      </c>
      <c r="AP259" s="26"/>
      <c r="AQ259" s="26"/>
      <c r="AS259" s="28">
        <v>0</v>
      </c>
      <c r="AU259" s="23" t="str">
        <f>IF(AU258="*",AU258,"")</f>
        <v>*</v>
      </c>
      <c r="AV259" s="25" t="str">
        <f t="shared" si="203"/>
        <v>*FCEV*</v>
      </c>
      <c r="AW259" s="25" t="str">
        <f t="shared" si="203"/>
        <v>TRACNG</v>
      </c>
      <c r="AX259" s="25" t="str">
        <f t="shared" si="203"/>
        <v>TRAFRESLHDMD</v>
      </c>
      <c r="AY259" s="25" t="str">
        <f t="shared" si="203"/>
        <v>TRAFRESLHDMD</v>
      </c>
      <c r="AZ259" s="26">
        <v>2050</v>
      </c>
      <c r="BA259" s="26" t="str">
        <f>BA257</f>
        <v>LO</v>
      </c>
      <c r="BB259" s="26"/>
      <c r="BC259" s="27" t="e">
        <f>-SUMIFS('TRA RESID'!$P:$P,'TRA RESID'!$I:$I,AY259,'TRA RESID'!$J:$J,AV259,'TRA RESID'!$H:$H,AW259)/SUMIFS('TRA RESID'!$P:$P,'TRA RESID'!$I:$I,AY259)*BG259</f>
        <v>#DIV/0!</v>
      </c>
      <c r="BD259" s="26"/>
      <c r="BE259" s="26"/>
      <c r="BG259" s="28">
        <v>0</v>
      </c>
    </row>
    <row r="260" spans="1:59" x14ac:dyDescent="0.25">
      <c r="A260">
        <f>A255+1</f>
        <v>52</v>
      </c>
      <c r="C260" s="15" t="str">
        <f>IF(E260="","",IF(_xlfn.XLOOKUP($A260,Selected_constraint!$A:$A,Selected_constraint!$D:$D)=1,"*",IF(SUMIFS('TRA TECH'!$M:$M,'TRA TECH'!$H:$H,E260,'TRA TECH'!$I:$I,F260)=0,"*",IF(SUMIFS('TRA RESID'!$P:$P,'TRA RESID'!$I:$I,G260,'TRA RESID'!$J:$J,D260,'TRA RESID'!$H:$H,E260)=0,"*","UC_"&amp;SUBSTITUTE(D260,"*","")&amp;"_"&amp;RIGHT(E260,3)&amp;"_"&amp;F260))))</f>
        <v>*</v>
      </c>
      <c r="D260" s="17" t="s">
        <v>485</v>
      </c>
      <c r="E260" s="17" t="str">
        <f>_xlfn.XLOOKUP($A260,Selected_constraint!$A:$A,Selected_constraint!$B:$B)</f>
        <v>TRARNG</v>
      </c>
      <c r="F260" s="17" t="str">
        <f>_xlfn.XLOOKUP($A260,Selected_constraint!$A:$A,Selected_constraint!$C:$C)</f>
        <v>TRAFRESLHDMD</v>
      </c>
      <c r="G260" s="17" t="str">
        <f>F260</f>
        <v>TRAFRESLHDMD</v>
      </c>
      <c r="H260" s="18">
        <v>2019</v>
      </c>
      <c r="I260" s="18" t="s">
        <v>483</v>
      </c>
      <c r="J260" s="18">
        <v>1</v>
      </c>
      <c r="K260" s="20" t="e">
        <f>-SUMIFS('TRA RESID'!$P:$P,'TRA RESID'!$I:$I,G260,'TRA RESID'!$J:$J,D260,'TRA RESID'!$H:$H,E260)/SUMIFS('TRA RESID'!$P:$P,'TRA RESID'!$I:$I,G260)*O260</f>
        <v>#DIV/0!</v>
      </c>
      <c r="L260" s="18">
        <v>0</v>
      </c>
      <c r="M260" s="18">
        <v>5</v>
      </c>
      <c r="O260" s="21">
        <v>0.98</v>
      </c>
      <c r="Q260">
        <f>Q255+1</f>
        <v>52</v>
      </c>
      <c r="S260" s="15" t="str">
        <f>IF(SUMIFS('TRA RESID'!$P:$P,'TRA RESID'!$I:$I,W260,'TRA RESID'!$J:$J,T260,'TRA RESID'!$H:$H,U260)=0,"*","UC_"&amp;SUBSTITUTE(T260,"*","")&amp;"_"&amp;RIGHT(U260,3)&amp;"_"&amp;V260)</f>
        <v>*</v>
      </c>
      <c r="T260" s="17" t="s">
        <v>486</v>
      </c>
      <c r="U260" s="17" t="str">
        <f>_xlfn.XLOOKUP($A260,Selected_constraint!$A:$A,Selected_constraint!$B:$B)</f>
        <v>TRARNG</v>
      </c>
      <c r="V260" s="17" t="str">
        <f>_xlfn.XLOOKUP($A260,Selected_constraint!$A:$A,Selected_constraint!$C:$C)</f>
        <v>TRAFRESLHDMD</v>
      </c>
      <c r="W260" s="17" t="str">
        <f>V260</f>
        <v>TRAFRESLHDMD</v>
      </c>
      <c r="X260" s="18">
        <v>2019</v>
      </c>
      <c r="Y260" s="18" t="s">
        <v>483</v>
      </c>
      <c r="Z260" s="18">
        <v>1</v>
      </c>
      <c r="AA260" s="20" t="e">
        <f>-SUMIFS('TRA RESID'!$P:$P,'TRA RESID'!$I:$I,W260,'TRA RESID'!$J:$J,T260,'TRA RESID'!$H:$H,U260)/SUMIFS('TRA RESID'!$P:$P,'TRA RESID'!$I:$I,W260)*AE260</f>
        <v>#DIV/0!</v>
      </c>
      <c r="AB260" s="18">
        <v>0</v>
      </c>
      <c r="AC260" s="18">
        <v>5</v>
      </c>
      <c r="AE260" s="21">
        <v>0.98</v>
      </c>
      <c r="AG260" s="15" t="str">
        <f>IF(SUMIFS('TRA RESID'!$P:$P,'TRA RESID'!$I:$I,AK260,'TRA RESID'!$J:$J,AH260,'TRA RESID'!$H:$H,AI260)=0,"*","UC_"&amp;SUBSTITUTE(AH260,"*","")&amp;"_"&amp;RIGHT(AI260,3)&amp;"_"&amp;AJ260)</f>
        <v>*</v>
      </c>
      <c r="AH260" s="17" t="s">
        <v>487</v>
      </c>
      <c r="AI260" s="17" t="str">
        <f>_xlfn.XLOOKUP($A260,Selected_constraint!$A:$A,Selected_constraint!$B:$B)</f>
        <v>TRARNG</v>
      </c>
      <c r="AJ260" s="17" t="str">
        <f>_xlfn.XLOOKUP($A260,Selected_constraint!$A:$A,Selected_constraint!$C:$C)</f>
        <v>TRAFRESLHDMD</v>
      </c>
      <c r="AK260" s="17" t="str">
        <f>AJ260</f>
        <v>TRAFRESLHDMD</v>
      </c>
      <c r="AL260" s="18">
        <v>2019</v>
      </c>
      <c r="AM260" s="18" t="s">
        <v>483</v>
      </c>
      <c r="AN260" s="18">
        <v>1</v>
      </c>
      <c r="AO260" s="20" t="e">
        <f>-SUMIFS('TRA RESID'!$P:$P,'TRA RESID'!$I:$I,AK260,'TRA RESID'!$J:$J,AH260,'TRA RESID'!$H:$H,AI260)/SUMIFS('TRA RESID'!$P:$P,'TRA RESID'!$I:$I,AK260)*AS260</f>
        <v>#DIV/0!</v>
      </c>
      <c r="AP260" s="18">
        <v>0</v>
      </c>
      <c r="AQ260" s="18">
        <v>5</v>
      </c>
      <c r="AS260" s="21">
        <v>0.98</v>
      </c>
      <c r="AU260" s="15" t="str">
        <f>IF(SUMIFS('TRA RESID'!$P:$P,'TRA RESID'!$I:$I,AY260,'TRA RESID'!$J:$J,AV260,'TRA RESID'!$H:$H,AW260)=0,"*","UC_"&amp;SUBSTITUTE(AV260,"*","")&amp;"_"&amp;RIGHT(AW260,3)&amp;"_"&amp;AX260)</f>
        <v>*</v>
      </c>
      <c r="AV260" s="17" t="s">
        <v>488</v>
      </c>
      <c r="AW260" s="17" t="str">
        <f>_xlfn.XLOOKUP($A260,Selected_constraint!$A:$A,Selected_constraint!$B:$B)</f>
        <v>TRARNG</v>
      </c>
      <c r="AX260" s="17" t="str">
        <f>_xlfn.XLOOKUP($A260,Selected_constraint!$A:$A,Selected_constraint!$C:$C)</f>
        <v>TRAFRESLHDMD</v>
      </c>
      <c r="AY260" s="17" t="str">
        <f>AX260</f>
        <v>TRAFRESLHDMD</v>
      </c>
      <c r="AZ260" s="18">
        <v>2019</v>
      </c>
      <c r="BA260" s="18" t="s">
        <v>483</v>
      </c>
      <c r="BB260" s="18">
        <v>1</v>
      </c>
      <c r="BC260" s="20" t="e">
        <f>-SUMIFS('TRA RESID'!$P:$P,'TRA RESID'!$I:$I,AY260,'TRA RESID'!$J:$J,AV260,'TRA RESID'!$H:$H,AW260)/SUMIFS('TRA RESID'!$P:$P,'TRA RESID'!$I:$I,AY260)*BG260</f>
        <v>#DIV/0!</v>
      </c>
      <c r="BD260" s="18">
        <v>0</v>
      </c>
      <c r="BE260" s="18">
        <v>5</v>
      </c>
      <c r="BG260" s="21">
        <v>0.98</v>
      </c>
    </row>
    <row r="261" spans="1:59" x14ac:dyDescent="0.25">
      <c r="C261" s="15" t="str">
        <f>IF(C260="*",C260,"")</f>
        <v>*</v>
      </c>
      <c r="D261" s="17" t="str">
        <f t="shared" ref="D261:G264" si="204">D260</f>
        <v>*ICEV*</v>
      </c>
      <c r="E261" s="17" t="str">
        <f t="shared" si="204"/>
        <v>TRARNG</v>
      </c>
      <c r="F261" s="17" t="str">
        <f t="shared" si="204"/>
        <v>TRAFRESLHDMD</v>
      </c>
      <c r="G261" s="17" t="str">
        <f t="shared" si="204"/>
        <v>TRAFRESLHDMD</v>
      </c>
      <c r="H261" s="18">
        <v>2025</v>
      </c>
      <c r="I261" s="18" t="str">
        <f>I260</f>
        <v>LO</v>
      </c>
      <c r="J261" s="18"/>
      <c r="K261" s="20" t="e">
        <f>-SUMIFS('TRA RESID'!$P:$P,'TRA RESID'!$I:$I,G261,'TRA RESID'!$J:$J,D261,'TRA RESID'!$H:$H,E261)/SUMIFS('TRA RESID'!$P:$P,'TRA RESID'!$I:$I,G261)*O261</f>
        <v>#DIV/0!</v>
      </c>
      <c r="L261" s="18"/>
      <c r="M261" s="18"/>
      <c r="O261" s="21">
        <v>0.8</v>
      </c>
      <c r="S261" s="15" t="str">
        <f>IF(S260="*",S260,"")</f>
        <v>*</v>
      </c>
      <c r="T261" s="17" t="str">
        <f t="shared" ref="T261:W264" si="205">T260</f>
        <v>*BEV*</v>
      </c>
      <c r="U261" s="17" t="str">
        <f t="shared" si="205"/>
        <v>TRARNG</v>
      </c>
      <c r="V261" s="17" t="str">
        <f t="shared" si="205"/>
        <v>TRAFRESLHDMD</v>
      </c>
      <c r="W261" s="17" t="str">
        <f t="shared" si="205"/>
        <v>TRAFRESLHDMD</v>
      </c>
      <c r="X261" s="18">
        <v>2025</v>
      </c>
      <c r="Y261" s="18" t="str">
        <f>Y260</f>
        <v>LO</v>
      </c>
      <c r="Z261" s="18"/>
      <c r="AA261" s="20" t="e">
        <f>-SUMIFS('TRA RESID'!$P:$P,'TRA RESID'!$I:$I,W261,'TRA RESID'!$J:$J,T261,'TRA RESID'!$H:$H,U261)/SUMIFS('TRA RESID'!$P:$P,'TRA RESID'!$I:$I,W261)*AE261</f>
        <v>#DIV/0!</v>
      </c>
      <c r="AB261" s="18"/>
      <c r="AC261" s="18"/>
      <c r="AE261" s="21">
        <v>1</v>
      </c>
      <c r="AG261" s="15" t="str">
        <f>IF(AG260="*",AG260,"")</f>
        <v>*</v>
      </c>
      <c r="AH261" s="17" t="str">
        <f t="shared" ref="AH261:AK264" si="206">AH260</f>
        <v>*HEV*</v>
      </c>
      <c r="AI261" s="17" t="str">
        <f t="shared" si="206"/>
        <v>TRARNG</v>
      </c>
      <c r="AJ261" s="17" t="str">
        <f t="shared" si="206"/>
        <v>TRAFRESLHDMD</v>
      </c>
      <c r="AK261" s="17" t="str">
        <f t="shared" si="206"/>
        <v>TRAFRESLHDMD</v>
      </c>
      <c r="AL261" s="18">
        <v>2025</v>
      </c>
      <c r="AM261" s="18" t="str">
        <f>AM260</f>
        <v>LO</v>
      </c>
      <c r="AN261" s="18"/>
      <c r="AO261" s="20" t="e">
        <f>-SUMIFS('TRA RESID'!$P:$P,'TRA RESID'!$I:$I,AK261,'TRA RESID'!$J:$J,AH261,'TRA RESID'!$H:$H,AI261)/SUMIFS('TRA RESID'!$P:$P,'TRA RESID'!$I:$I,AK261)*AS261</f>
        <v>#DIV/0!</v>
      </c>
      <c r="AP261" s="18"/>
      <c r="AQ261" s="18"/>
      <c r="AS261" s="21">
        <v>0.8</v>
      </c>
      <c r="AU261" s="15" t="str">
        <f>IF(AU260="*",AU260,"")</f>
        <v>*</v>
      </c>
      <c r="AV261" s="17" t="str">
        <f t="shared" ref="AV261:AY264" si="207">AV260</f>
        <v>*FCEV*</v>
      </c>
      <c r="AW261" s="17" t="str">
        <f t="shared" si="207"/>
        <v>TRARNG</v>
      </c>
      <c r="AX261" s="17" t="str">
        <f t="shared" si="207"/>
        <v>TRAFRESLHDMD</v>
      </c>
      <c r="AY261" s="17" t="str">
        <f t="shared" si="207"/>
        <v>TRAFRESLHDMD</v>
      </c>
      <c r="AZ261" s="18">
        <v>2025</v>
      </c>
      <c r="BA261" s="18" t="str">
        <f>BA260</f>
        <v>LO</v>
      </c>
      <c r="BB261" s="18"/>
      <c r="BC261" s="20" t="e">
        <f>-SUMIFS('TRA RESID'!$P:$P,'TRA RESID'!$I:$I,AY261,'TRA RESID'!$J:$J,AV261,'TRA RESID'!$H:$H,AW261)/SUMIFS('TRA RESID'!$P:$P,'TRA RESID'!$I:$I,AY261)*BG261</f>
        <v>#DIV/0!</v>
      </c>
      <c r="BD261" s="18"/>
      <c r="BE261" s="18"/>
      <c r="BG261" s="21">
        <v>0.8</v>
      </c>
    </row>
    <row r="262" spans="1:59" x14ac:dyDescent="0.25">
      <c r="C262" s="15" t="str">
        <f>IF(C261="*",C261,"")</f>
        <v>*</v>
      </c>
      <c r="D262" s="17" t="str">
        <f t="shared" si="204"/>
        <v>*ICEV*</v>
      </c>
      <c r="E262" s="17" t="str">
        <f t="shared" si="204"/>
        <v>TRARNG</v>
      </c>
      <c r="F262" s="17" t="str">
        <f t="shared" si="204"/>
        <v>TRAFRESLHDMD</v>
      </c>
      <c r="G262" s="17" t="str">
        <f t="shared" si="204"/>
        <v>TRAFRESLHDMD</v>
      </c>
      <c r="H262" s="18">
        <v>2030</v>
      </c>
      <c r="I262" s="18" t="str">
        <f>I261</f>
        <v>LO</v>
      </c>
      <c r="J262" s="18"/>
      <c r="K262" s="20" t="e">
        <f>-SUMIFS('TRA RESID'!$P:$P,'TRA RESID'!$I:$I,G262,'TRA RESID'!$J:$J,D262,'TRA RESID'!$H:$H,E262)/SUMIFS('TRA RESID'!$P:$P,'TRA RESID'!$I:$I,G262)*O262</f>
        <v>#DIV/0!</v>
      </c>
      <c r="L262" s="18"/>
      <c r="M262" s="18"/>
      <c r="O262" s="21">
        <v>0.5</v>
      </c>
      <c r="S262" s="15" t="str">
        <f>IF(S261="*",S261,"")</f>
        <v>*</v>
      </c>
      <c r="T262" s="17" t="str">
        <f t="shared" si="205"/>
        <v>*BEV*</v>
      </c>
      <c r="U262" s="17" t="str">
        <f t="shared" si="205"/>
        <v>TRARNG</v>
      </c>
      <c r="V262" s="17" t="str">
        <f t="shared" si="205"/>
        <v>TRAFRESLHDMD</v>
      </c>
      <c r="W262" s="17" t="str">
        <f t="shared" si="205"/>
        <v>TRAFRESLHDMD</v>
      </c>
      <c r="X262" s="18">
        <v>2030</v>
      </c>
      <c r="Y262" s="18" t="str">
        <f>Y261</f>
        <v>LO</v>
      </c>
      <c r="Z262" s="18"/>
      <c r="AA262" s="20" t="e">
        <f>-SUMIFS('TRA RESID'!$P:$P,'TRA RESID'!$I:$I,W262,'TRA RESID'!$J:$J,T262,'TRA RESID'!$H:$H,U262)/SUMIFS('TRA RESID'!$P:$P,'TRA RESID'!$I:$I,W262)*AE262</f>
        <v>#DIV/0!</v>
      </c>
      <c r="AB262" s="18"/>
      <c r="AC262" s="18"/>
      <c r="AE262" s="21">
        <v>1</v>
      </c>
      <c r="AG262" s="15" t="str">
        <f>IF(AG261="*",AG261,"")</f>
        <v>*</v>
      </c>
      <c r="AH262" s="17" t="str">
        <f t="shared" si="206"/>
        <v>*HEV*</v>
      </c>
      <c r="AI262" s="17" t="str">
        <f t="shared" si="206"/>
        <v>TRARNG</v>
      </c>
      <c r="AJ262" s="17" t="str">
        <f t="shared" si="206"/>
        <v>TRAFRESLHDMD</v>
      </c>
      <c r="AK262" s="17" t="str">
        <f t="shared" si="206"/>
        <v>TRAFRESLHDMD</v>
      </c>
      <c r="AL262" s="18">
        <v>2030</v>
      </c>
      <c r="AM262" s="18" t="str">
        <f>AM261</f>
        <v>LO</v>
      </c>
      <c r="AN262" s="18"/>
      <c r="AO262" s="20" t="e">
        <f>-SUMIFS('TRA RESID'!$P:$P,'TRA RESID'!$I:$I,AK262,'TRA RESID'!$J:$J,AH262,'TRA RESID'!$H:$H,AI262)/SUMIFS('TRA RESID'!$P:$P,'TRA RESID'!$I:$I,AK262)*AS262</f>
        <v>#DIV/0!</v>
      </c>
      <c r="AP262" s="18"/>
      <c r="AQ262" s="18"/>
      <c r="AS262" s="21">
        <v>0.5</v>
      </c>
      <c r="AU262" s="15" t="str">
        <f>IF(AU261="*",AU261,"")</f>
        <v>*</v>
      </c>
      <c r="AV262" s="17" t="str">
        <f t="shared" si="207"/>
        <v>*FCEV*</v>
      </c>
      <c r="AW262" s="17" t="str">
        <f t="shared" si="207"/>
        <v>TRARNG</v>
      </c>
      <c r="AX262" s="17" t="str">
        <f t="shared" si="207"/>
        <v>TRAFRESLHDMD</v>
      </c>
      <c r="AY262" s="17" t="str">
        <f t="shared" si="207"/>
        <v>TRAFRESLHDMD</v>
      </c>
      <c r="AZ262" s="18">
        <v>2030</v>
      </c>
      <c r="BA262" s="18" t="str">
        <f>BA261</f>
        <v>LO</v>
      </c>
      <c r="BB262" s="18"/>
      <c r="BC262" s="20" t="e">
        <f>-SUMIFS('TRA RESID'!$P:$P,'TRA RESID'!$I:$I,AY262,'TRA RESID'!$J:$J,AV262,'TRA RESID'!$H:$H,AW262)/SUMIFS('TRA RESID'!$P:$P,'TRA RESID'!$I:$I,AY262)*BG262</f>
        <v>#DIV/0!</v>
      </c>
      <c r="BD262" s="18"/>
      <c r="BE262" s="18"/>
      <c r="BG262" s="21">
        <v>0.5</v>
      </c>
    </row>
    <row r="263" spans="1:59" x14ac:dyDescent="0.25">
      <c r="C263" s="15" t="str">
        <f>IF(C262="*",C262,"")</f>
        <v>*</v>
      </c>
      <c r="D263" s="17" t="str">
        <f t="shared" si="204"/>
        <v>*ICEV*</v>
      </c>
      <c r="E263" s="17" t="str">
        <f t="shared" si="204"/>
        <v>TRARNG</v>
      </c>
      <c r="F263" s="17" t="str">
        <f t="shared" si="204"/>
        <v>TRAFRESLHDMD</v>
      </c>
      <c r="G263" s="17" t="str">
        <f t="shared" si="204"/>
        <v>TRAFRESLHDMD</v>
      </c>
      <c r="H263" s="18">
        <v>2040</v>
      </c>
      <c r="I263" s="18" t="str">
        <f>I262</f>
        <v>LO</v>
      </c>
      <c r="J263" s="18"/>
      <c r="K263" s="20" t="e">
        <f>-SUMIFS('TRA RESID'!$P:$P,'TRA RESID'!$I:$I,G263,'TRA RESID'!$J:$J,D263,'TRA RESID'!$H:$H,E263)/SUMIFS('TRA RESID'!$P:$P,'TRA RESID'!$I:$I,G263)*O263</f>
        <v>#DIV/0!</v>
      </c>
      <c r="L263" s="18"/>
      <c r="M263" s="18"/>
      <c r="O263" s="21">
        <v>0</v>
      </c>
      <c r="S263" s="15" t="str">
        <f>IF(S262="*",S262,"")</f>
        <v>*</v>
      </c>
      <c r="T263" s="17" t="str">
        <f t="shared" si="205"/>
        <v>*BEV*</v>
      </c>
      <c r="U263" s="17" t="str">
        <f t="shared" si="205"/>
        <v>TRARNG</v>
      </c>
      <c r="V263" s="17" t="str">
        <f t="shared" si="205"/>
        <v>TRAFRESLHDMD</v>
      </c>
      <c r="W263" s="17" t="str">
        <f t="shared" si="205"/>
        <v>TRAFRESLHDMD</v>
      </c>
      <c r="X263" s="18">
        <v>2040</v>
      </c>
      <c r="Y263" s="18" t="str">
        <f>Y262</f>
        <v>LO</v>
      </c>
      <c r="Z263" s="18"/>
      <c r="AA263" s="20" t="e">
        <f>-SUMIFS('TRA RESID'!$P:$P,'TRA RESID'!$I:$I,W263,'TRA RESID'!$J:$J,T263,'TRA RESID'!$H:$H,U263)/SUMIFS('TRA RESID'!$P:$P,'TRA RESID'!$I:$I,W263)*AE263</f>
        <v>#DIV/0!</v>
      </c>
      <c r="AB263" s="18"/>
      <c r="AC263" s="18"/>
      <c r="AE263" s="21">
        <v>1</v>
      </c>
      <c r="AG263" s="15" t="str">
        <f>IF(AG262="*",AG262,"")</f>
        <v>*</v>
      </c>
      <c r="AH263" s="17" t="str">
        <f t="shared" si="206"/>
        <v>*HEV*</v>
      </c>
      <c r="AI263" s="17" t="str">
        <f t="shared" si="206"/>
        <v>TRARNG</v>
      </c>
      <c r="AJ263" s="17" t="str">
        <f t="shared" si="206"/>
        <v>TRAFRESLHDMD</v>
      </c>
      <c r="AK263" s="17" t="str">
        <f t="shared" si="206"/>
        <v>TRAFRESLHDMD</v>
      </c>
      <c r="AL263" s="18">
        <v>2040</v>
      </c>
      <c r="AM263" s="18" t="str">
        <f>AM262</f>
        <v>LO</v>
      </c>
      <c r="AN263" s="18"/>
      <c r="AO263" s="20" t="e">
        <f>-SUMIFS('TRA RESID'!$P:$P,'TRA RESID'!$I:$I,AK263,'TRA RESID'!$J:$J,AH263,'TRA RESID'!$H:$H,AI263)/SUMIFS('TRA RESID'!$P:$P,'TRA RESID'!$I:$I,AK263)*AS263</f>
        <v>#DIV/0!</v>
      </c>
      <c r="AP263" s="18"/>
      <c r="AQ263" s="18"/>
      <c r="AS263" s="21">
        <v>0</v>
      </c>
      <c r="AU263" s="15" t="str">
        <f>IF(AU262="*",AU262,"")</f>
        <v>*</v>
      </c>
      <c r="AV263" s="17" t="str">
        <f t="shared" si="207"/>
        <v>*FCEV*</v>
      </c>
      <c r="AW263" s="17" t="str">
        <f t="shared" si="207"/>
        <v>TRARNG</v>
      </c>
      <c r="AX263" s="17" t="str">
        <f t="shared" si="207"/>
        <v>TRAFRESLHDMD</v>
      </c>
      <c r="AY263" s="17" t="str">
        <f t="shared" si="207"/>
        <v>TRAFRESLHDMD</v>
      </c>
      <c r="AZ263" s="18">
        <v>2040</v>
      </c>
      <c r="BA263" s="18" t="str">
        <f>BA262</f>
        <v>LO</v>
      </c>
      <c r="BB263" s="18"/>
      <c r="BC263" s="20" t="e">
        <f>-SUMIFS('TRA RESID'!$P:$P,'TRA RESID'!$I:$I,AY263,'TRA RESID'!$J:$J,AV263,'TRA RESID'!$H:$H,AW263)/SUMIFS('TRA RESID'!$P:$P,'TRA RESID'!$I:$I,AY263)*BG263</f>
        <v>#DIV/0!</v>
      </c>
      <c r="BD263" s="18"/>
      <c r="BE263" s="18"/>
      <c r="BG263" s="21">
        <v>0</v>
      </c>
    </row>
    <row r="264" spans="1:59" x14ac:dyDescent="0.25">
      <c r="C264" s="23" t="str">
        <f>IF(C263="*",C263,"")</f>
        <v>*</v>
      </c>
      <c r="D264" s="25" t="str">
        <f t="shared" si="204"/>
        <v>*ICEV*</v>
      </c>
      <c r="E264" s="25" t="str">
        <f t="shared" si="204"/>
        <v>TRARNG</v>
      </c>
      <c r="F264" s="25" t="str">
        <f t="shared" si="204"/>
        <v>TRAFRESLHDMD</v>
      </c>
      <c r="G264" s="25" t="str">
        <f t="shared" si="204"/>
        <v>TRAFRESLHDMD</v>
      </c>
      <c r="H264" s="26">
        <v>2050</v>
      </c>
      <c r="I264" s="26" t="str">
        <f>I262</f>
        <v>LO</v>
      </c>
      <c r="J264" s="26"/>
      <c r="K264" s="27" t="e">
        <f>-SUMIFS('TRA RESID'!$P:$P,'TRA RESID'!$I:$I,G264,'TRA RESID'!$J:$J,D264,'TRA RESID'!$H:$H,E264)/SUMIFS('TRA RESID'!$P:$P,'TRA RESID'!$I:$I,G264)*O264</f>
        <v>#DIV/0!</v>
      </c>
      <c r="L264" s="26"/>
      <c r="M264" s="26"/>
      <c r="O264" s="28">
        <v>0</v>
      </c>
      <c r="S264" s="23" t="str">
        <f>IF(S263="*",S263,"")</f>
        <v>*</v>
      </c>
      <c r="T264" s="25" t="str">
        <f t="shared" si="205"/>
        <v>*BEV*</v>
      </c>
      <c r="U264" s="25" t="str">
        <f t="shared" si="205"/>
        <v>TRARNG</v>
      </c>
      <c r="V264" s="25" t="str">
        <f t="shared" si="205"/>
        <v>TRAFRESLHDMD</v>
      </c>
      <c r="W264" s="25" t="str">
        <f t="shared" si="205"/>
        <v>TRAFRESLHDMD</v>
      </c>
      <c r="X264" s="26">
        <v>2050</v>
      </c>
      <c r="Y264" s="26" t="str">
        <f>Y262</f>
        <v>LO</v>
      </c>
      <c r="Z264" s="26"/>
      <c r="AA264" s="27" t="e">
        <f>-SUMIFS('TRA RESID'!$P:$P,'TRA RESID'!$I:$I,W264,'TRA RESID'!$J:$J,T264,'TRA RESID'!$H:$H,U264)/SUMIFS('TRA RESID'!$P:$P,'TRA RESID'!$I:$I,W264)*AE264</f>
        <v>#DIV/0!</v>
      </c>
      <c r="AB264" s="26"/>
      <c r="AC264" s="26"/>
      <c r="AE264" s="28">
        <v>1</v>
      </c>
      <c r="AG264" s="23" t="str">
        <f>IF(AG263="*",AG263,"")</f>
        <v>*</v>
      </c>
      <c r="AH264" s="25" t="str">
        <f t="shared" si="206"/>
        <v>*HEV*</v>
      </c>
      <c r="AI264" s="25" t="str">
        <f t="shared" si="206"/>
        <v>TRARNG</v>
      </c>
      <c r="AJ264" s="25" t="str">
        <f t="shared" si="206"/>
        <v>TRAFRESLHDMD</v>
      </c>
      <c r="AK264" s="25" t="str">
        <f t="shared" si="206"/>
        <v>TRAFRESLHDMD</v>
      </c>
      <c r="AL264" s="26">
        <v>2050</v>
      </c>
      <c r="AM264" s="26" t="str">
        <f>AM262</f>
        <v>LO</v>
      </c>
      <c r="AN264" s="26"/>
      <c r="AO264" s="27" t="e">
        <f>-SUMIFS('TRA RESID'!$P:$P,'TRA RESID'!$I:$I,AK264,'TRA RESID'!$J:$J,AH264,'TRA RESID'!$H:$H,AI264)/SUMIFS('TRA RESID'!$P:$P,'TRA RESID'!$I:$I,AK264)*AS264</f>
        <v>#DIV/0!</v>
      </c>
      <c r="AP264" s="26"/>
      <c r="AQ264" s="26"/>
      <c r="AS264" s="28">
        <v>0</v>
      </c>
      <c r="AU264" s="23" t="str">
        <f>IF(AU263="*",AU263,"")</f>
        <v>*</v>
      </c>
      <c r="AV264" s="25" t="str">
        <f t="shared" si="207"/>
        <v>*FCEV*</v>
      </c>
      <c r="AW264" s="25" t="str">
        <f t="shared" si="207"/>
        <v>TRARNG</v>
      </c>
      <c r="AX264" s="25" t="str">
        <f t="shared" si="207"/>
        <v>TRAFRESLHDMD</v>
      </c>
      <c r="AY264" s="25" t="str">
        <f t="shared" si="207"/>
        <v>TRAFRESLHDMD</v>
      </c>
      <c r="AZ264" s="26">
        <v>2050</v>
      </c>
      <c r="BA264" s="26" t="str">
        <f>BA262</f>
        <v>LO</v>
      </c>
      <c r="BB264" s="26"/>
      <c r="BC264" s="27" t="e">
        <f>-SUMIFS('TRA RESID'!$P:$P,'TRA RESID'!$I:$I,AY264,'TRA RESID'!$J:$J,AV264,'TRA RESID'!$H:$H,AW264)/SUMIFS('TRA RESID'!$P:$P,'TRA RESID'!$I:$I,AY264)*BG264</f>
        <v>#DIV/0!</v>
      </c>
      <c r="BD264" s="26"/>
      <c r="BE264" s="26"/>
      <c r="BG264" s="28">
        <v>0</v>
      </c>
    </row>
    <row r="265" spans="1:59" x14ac:dyDescent="0.25">
      <c r="A265">
        <f>A260+1</f>
        <v>53</v>
      </c>
      <c r="C265" s="15" t="str">
        <f>IF(E265="","",IF(_xlfn.XLOOKUP($A265,Selected_constraint!$A:$A,Selected_constraint!$D:$D)=1,"*",IF(SUMIFS('TRA TECH'!$M:$M,'TRA TECH'!$H:$H,E265,'TRA TECH'!$I:$I,F265)=0,"*",IF(SUMIFS('TRA RESID'!$P:$P,'TRA RESID'!$I:$I,G265,'TRA RESID'!$J:$J,D265,'TRA RESID'!$H:$H,E265)=0,"*","UC_"&amp;SUBSTITUTE(D265,"*","")&amp;"_"&amp;RIGHT(E265,3)&amp;"_"&amp;F265))))</f>
        <v>*</v>
      </c>
      <c r="D265" s="17" t="s">
        <v>485</v>
      </c>
      <c r="E265" s="17" t="str">
        <f>_xlfn.XLOOKUP($A265,Selected_constraint!$A:$A,Selected_constraint!$B:$B)</f>
        <v>TRABAF</v>
      </c>
      <c r="F265" s="17" t="str">
        <f>_xlfn.XLOOKUP($A265,Selected_constraint!$A:$A,Selected_constraint!$C:$C)</f>
        <v>TRAFRESLHDMD</v>
      </c>
      <c r="G265" s="17" t="str">
        <f>F265</f>
        <v>TRAFRESLHDMD</v>
      </c>
      <c r="H265" s="18">
        <v>2019</v>
      </c>
      <c r="I265" s="18" t="s">
        <v>483</v>
      </c>
      <c r="J265" s="18">
        <v>1</v>
      </c>
      <c r="K265" s="20" t="e">
        <f>-SUMIFS('TRA RESID'!$P:$P,'TRA RESID'!$I:$I,G265,'TRA RESID'!$J:$J,D265,'TRA RESID'!$H:$H,E265)/SUMIFS('TRA RESID'!$P:$P,'TRA RESID'!$I:$I,G265)*O265</f>
        <v>#DIV/0!</v>
      </c>
      <c r="L265" s="18">
        <v>0</v>
      </c>
      <c r="M265" s="18">
        <v>5</v>
      </c>
      <c r="O265" s="21">
        <v>0.98</v>
      </c>
      <c r="Q265">
        <f>Q260+1</f>
        <v>53</v>
      </c>
      <c r="S265" s="15" t="str">
        <f>IF(SUMIFS('TRA RESID'!$P:$P,'TRA RESID'!$I:$I,W265,'TRA RESID'!$J:$J,T265,'TRA RESID'!$H:$H,U265)=0,"*","UC_"&amp;SUBSTITUTE(T265,"*","")&amp;"_"&amp;RIGHT(U265,3)&amp;"_"&amp;V265)</f>
        <v>*</v>
      </c>
      <c r="T265" s="17" t="s">
        <v>486</v>
      </c>
      <c r="U265" s="17" t="str">
        <f>_xlfn.XLOOKUP($A265,Selected_constraint!$A:$A,Selected_constraint!$B:$B)</f>
        <v>TRABAF</v>
      </c>
      <c r="V265" s="17" t="str">
        <f>_xlfn.XLOOKUP($A265,Selected_constraint!$A:$A,Selected_constraint!$C:$C)</f>
        <v>TRAFRESLHDMD</v>
      </c>
      <c r="W265" s="17" t="str">
        <f>V265</f>
        <v>TRAFRESLHDMD</v>
      </c>
      <c r="X265" s="18">
        <v>2019</v>
      </c>
      <c r="Y265" s="18" t="s">
        <v>483</v>
      </c>
      <c r="Z265" s="18">
        <v>1</v>
      </c>
      <c r="AA265" s="20" t="e">
        <f>-SUMIFS('TRA RESID'!$P:$P,'TRA RESID'!$I:$I,W265,'TRA RESID'!$J:$J,T265,'TRA RESID'!$H:$H,U265)/SUMIFS('TRA RESID'!$P:$P,'TRA RESID'!$I:$I,W265)*AE265</f>
        <v>#DIV/0!</v>
      </c>
      <c r="AB265" s="18">
        <v>0</v>
      </c>
      <c r="AC265" s="18">
        <v>5</v>
      </c>
      <c r="AE265" s="21">
        <v>0.98</v>
      </c>
      <c r="AG265" s="15" t="str">
        <f>IF(SUMIFS('TRA RESID'!$P:$P,'TRA RESID'!$I:$I,AK265,'TRA RESID'!$J:$J,AH265,'TRA RESID'!$H:$H,AI265)=0,"*","UC_"&amp;SUBSTITUTE(AH265,"*","")&amp;"_"&amp;RIGHT(AI265,3)&amp;"_"&amp;AJ265)</f>
        <v>*</v>
      </c>
      <c r="AH265" s="17" t="s">
        <v>487</v>
      </c>
      <c r="AI265" s="17" t="str">
        <f>_xlfn.XLOOKUP($A265,Selected_constraint!$A:$A,Selected_constraint!$B:$B)</f>
        <v>TRABAF</v>
      </c>
      <c r="AJ265" s="17" t="str">
        <f>_xlfn.XLOOKUP($A265,Selected_constraint!$A:$A,Selected_constraint!$C:$C)</f>
        <v>TRAFRESLHDMD</v>
      </c>
      <c r="AK265" s="17" t="str">
        <f>AJ265</f>
        <v>TRAFRESLHDMD</v>
      </c>
      <c r="AL265" s="18">
        <v>2019</v>
      </c>
      <c r="AM265" s="18" t="s">
        <v>483</v>
      </c>
      <c r="AN265" s="18">
        <v>1</v>
      </c>
      <c r="AO265" s="20" t="e">
        <f>-SUMIFS('TRA RESID'!$P:$P,'TRA RESID'!$I:$I,AK265,'TRA RESID'!$J:$J,AH265,'TRA RESID'!$H:$H,AI265)/SUMIFS('TRA RESID'!$P:$P,'TRA RESID'!$I:$I,AK265)*AS265</f>
        <v>#DIV/0!</v>
      </c>
      <c r="AP265" s="18">
        <v>0</v>
      </c>
      <c r="AQ265" s="18">
        <v>5</v>
      </c>
      <c r="AS265" s="21">
        <v>0.98</v>
      </c>
      <c r="AU265" s="15" t="str">
        <f>IF(SUMIFS('TRA RESID'!$P:$P,'TRA RESID'!$I:$I,AY265,'TRA RESID'!$J:$J,AV265,'TRA RESID'!$H:$H,AW265)=0,"*","UC_"&amp;SUBSTITUTE(AV265,"*","")&amp;"_"&amp;RIGHT(AW265,3)&amp;"_"&amp;AX265)</f>
        <v>*</v>
      </c>
      <c r="AV265" s="17" t="s">
        <v>488</v>
      </c>
      <c r="AW265" s="17" t="str">
        <f>_xlfn.XLOOKUP($A265,Selected_constraint!$A:$A,Selected_constraint!$B:$B)</f>
        <v>TRABAF</v>
      </c>
      <c r="AX265" s="17" t="str">
        <f>_xlfn.XLOOKUP($A265,Selected_constraint!$A:$A,Selected_constraint!$C:$C)</f>
        <v>TRAFRESLHDMD</v>
      </c>
      <c r="AY265" s="17" t="str">
        <f>AX265</f>
        <v>TRAFRESLHDMD</v>
      </c>
      <c r="AZ265" s="18">
        <v>2019</v>
      </c>
      <c r="BA265" s="18" t="s">
        <v>483</v>
      </c>
      <c r="BB265" s="18">
        <v>1</v>
      </c>
      <c r="BC265" s="20" t="e">
        <f>-SUMIFS('TRA RESID'!$P:$P,'TRA RESID'!$I:$I,AY265,'TRA RESID'!$J:$J,AV265,'TRA RESID'!$H:$H,AW265)/SUMIFS('TRA RESID'!$P:$P,'TRA RESID'!$I:$I,AY265)*BG265</f>
        <v>#DIV/0!</v>
      </c>
      <c r="BD265" s="18">
        <v>0</v>
      </c>
      <c r="BE265" s="18">
        <v>5</v>
      </c>
      <c r="BG265" s="21">
        <v>0.98</v>
      </c>
    </row>
    <row r="266" spans="1:59" x14ac:dyDescent="0.25">
      <c r="C266" s="15" t="str">
        <f>IF(C265="*",C265,"")</f>
        <v>*</v>
      </c>
      <c r="D266" s="17" t="str">
        <f t="shared" ref="D266:G269" si="208">D265</f>
        <v>*ICEV*</v>
      </c>
      <c r="E266" s="17" t="str">
        <f t="shared" si="208"/>
        <v>TRABAF</v>
      </c>
      <c r="F266" s="17" t="str">
        <f t="shared" si="208"/>
        <v>TRAFRESLHDMD</v>
      </c>
      <c r="G266" s="17" t="str">
        <f t="shared" si="208"/>
        <v>TRAFRESLHDMD</v>
      </c>
      <c r="H266" s="18">
        <v>2025</v>
      </c>
      <c r="I266" s="18" t="str">
        <f>I265</f>
        <v>LO</v>
      </c>
      <c r="J266" s="18"/>
      <c r="K266" s="20" t="e">
        <f>-SUMIFS('TRA RESID'!$P:$P,'TRA RESID'!$I:$I,G266,'TRA RESID'!$J:$J,D266,'TRA RESID'!$H:$H,E266)/SUMIFS('TRA RESID'!$P:$P,'TRA RESID'!$I:$I,G266)*O266</f>
        <v>#DIV/0!</v>
      </c>
      <c r="L266" s="18"/>
      <c r="M266" s="18"/>
      <c r="O266" s="21">
        <v>0.8</v>
      </c>
      <c r="S266" s="15" t="str">
        <f>IF(S265="*",S265,"")</f>
        <v>*</v>
      </c>
      <c r="T266" s="17" t="str">
        <f t="shared" ref="T266:W269" si="209">T265</f>
        <v>*BEV*</v>
      </c>
      <c r="U266" s="17" t="str">
        <f t="shared" si="209"/>
        <v>TRABAF</v>
      </c>
      <c r="V266" s="17" t="str">
        <f t="shared" si="209"/>
        <v>TRAFRESLHDMD</v>
      </c>
      <c r="W266" s="17" t="str">
        <f t="shared" si="209"/>
        <v>TRAFRESLHDMD</v>
      </c>
      <c r="X266" s="18">
        <v>2025</v>
      </c>
      <c r="Y266" s="18" t="str">
        <f>Y265</f>
        <v>LO</v>
      </c>
      <c r="Z266" s="18"/>
      <c r="AA266" s="20" t="e">
        <f>-SUMIFS('TRA RESID'!$P:$P,'TRA RESID'!$I:$I,W266,'TRA RESID'!$J:$J,T266,'TRA RESID'!$H:$H,U266)/SUMIFS('TRA RESID'!$P:$P,'TRA RESID'!$I:$I,W266)*AE266</f>
        <v>#DIV/0!</v>
      </c>
      <c r="AB266" s="18"/>
      <c r="AC266" s="18"/>
      <c r="AE266" s="21">
        <v>1</v>
      </c>
      <c r="AG266" s="15" t="str">
        <f>IF(AG265="*",AG265,"")</f>
        <v>*</v>
      </c>
      <c r="AH266" s="17" t="str">
        <f t="shared" ref="AH266:AK269" si="210">AH265</f>
        <v>*HEV*</v>
      </c>
      <c r="AI266" s="17" t="str">
        <f t="shared" si="210"/>
        <v>TRABAF</v>
      </c>
      <c r="AJ266" s="17" t="str">
        <f t="shared" si="210"/>
        <v>TRAFRESLHDMD</v>
      </c>
      <c r="AK266" s="17" t="str">
        <f t="shared" si="210"/>
        <v>TRAFRESLHDMD</v>
      </c>
      <c r="AL266" s="18">
        <v>2025</v>
      </c>
      <c r="AM266" s="18" t="str">
        <f>AM265</f>
        <v>LO</v>
      </c>
      <c r="AN266" s="18"/>
      <c r="AO266" s="20" t="e">
        <f>-SUMIFS('TRA RESID'!$P:$P,'TRA RESID'!$I:$I,AK266,'TRA RESID'!$J:$J,AH266,'TRA RESID'!$H:$H,AI266)/SUMIFS('TRA RESID'!$P:$P,'TRA RESID'!$I:$I,AK266)*AS266</f>
        <v>#DIV/0!</v>
      </c>
      <c r="AP266" s="18"/>
      <c r="AQ266" s="18"/>
      <c r="AS266" s="21">
        <v>0.8</v>
      </c>
      <c r="AU266" s="15" t="str">
        <f>IF(AU265="*",AU265,"")</f>
        <v>*</v>
      </c>
      <c r="AV266" s="17" t="str">
        <f t="shared" ref="AV266:AY269" si="211">AV265</f>
        <v>*FCEV*</v>
      </c>
      <c r="AW266" s="17" t="str">
        <f t="shared" si="211"/>
        <v>TRABAF</v>
      </c>
      <c r="AX266" s="17" t="str">
        <f t="shared" si="211"/>
        <v>TRAFRESLHDMD</v>
      </c>
      <c r="AY266" s="17" t="str">
        <f t="shared" si="211"/>
        <v>TRAFRESLHDMD</v>
      </c>
      <c r="AZ266" s="18">
        <v>2025</v>
      </c>
      <c r="BA266" s="18" t="str">
        <f>BA265</f>
        <v>LO</v>
      </c>
      <c r="BB266" s="18"/>
      <c r="BC266" s="20" t="e">
        <f>-SUMIFS('TRA RESID'!$P:$P,'TRA RESID'!$I:$I,AY266,'TRA RESID'!$J:$J,AV266,'TRA RESID'!$H:$H,AW266)/SUMIFS('TRA RESID'!$P:$P,'TRA RESID'!$I:$I,AY266)*BG266</f>
        <v>#DIV/0!</v>
      </c>
      <c r="BD266" s="18"/>
      <c r="BE266" s="18"/>
      <c r="BG266" s="21">
        <v>0.8</v>
      </c>
    </row>
    <row r="267" spans="1:59" x14ac:dyDescent="0.25">
      <c r="C267" s="15" t="str">
        <f>IF(C266="*",C266,"")</f>
        <v>*</v>
      </c>
      <c r="D267" s="17" t="str">
        <f t="shared" si="208"/>
        <v>*ICEV*</v>
      </c>
      <c r="E267" s="17" t="str">
        <f t="shared" si="208"/>
        <v>TRABAF</v>
      </c>
      <c r="F267" s="17" t="str">
        <f t="shared" si="208"/>
        <v>TRAFRESLHDMD</v>
      </c>
      <c r="G267" s="17" t="str">
        <f t="shared" si="208"/>
        <v>TRAFRESLHDMD</v>
      </c>
      <c r="H267" s="18">
        <v>2030</v>
      </c>
      <c r="I267" s="18" t="str">
        <f>I266</f>
        <v>LO</v>
      </c>
      <c r="J267" s="18"/>
      <c r="K267" s="20" t="e">
        <f>-SUMIFS('TRA RESID'!$P:$P,'TRA RESID'!$I:$I,G267,'TRA RESID'!$J:$J,D267,'TRA RESID'!$H:$H,E267)/SUMIFS('TRA RESID'!$P:$P,'TRA RESID'!$I:$I,G267)*O267</f>
        <v>#DIV/0!</v>
      </c>
      <c r="L267" s="18"/>
      <c r="M267" s="18"/>
      <c r="O267" s="21">
        <v>0.5</v>
      </c>
      <c r="S267" s="15" t="str">
        <f>IF(S266="*",S266,"")</f>
        <v>*</v>
      </c>
      <c r="T267" s="17" t="str">
        <f t="shared" si="209"/>
        <v>*BEV*</v>
      </c>
      <c r="U267" s="17" t="str">
        <f t="shared" si="209"/>
        <v>TRABAF</v>
      </c>
      <c r="V267" s="17" t="str">
        <f t="shared" si="209"/>
        <v>TRAFRESLHDMD</v>
      </c>
      <c r="W267" s="17" t="str">
        <f t="shared" si="209"/>
        <v>TRAFRESLHDMD</v>
      </c>
      <c r="X267" s="18">
        <v>2030</v>
      </c>
      <c r="Y267" s="18" t="str">
        <f>Y266</f>
        <v>LO</v>
      </c>
      <c r="Z267" s="18"/>
      <c r="AA267" s="20" t="e">
        <f>-SUMIFS('TRA RESID'!$P:$P,'TRA RESID'!$I:$I,W267,'TRA RESID'!$J:$J,T267,'TRA RESID'!$H:$H,U267)/SUMIFS('TRA RESID'!$P:$P,'TRA RESID'!$I:$I,W267)*AE267</f>
        <v>#DIV/0!</v>
      </c>
      <c r="AB267" s="18"/>
      <c r="AC267" s="18"/>
      <c r="AE267" s="21">
        <v>1</v>
      </c>
      <c r="AG267" s="15" t="str">
        <f>IF(AG266="*",AG266,"")</f>
        <v>*</v>
      </c>
      <c r="AH267" s="17" t="str">
        <f t="shared" si="210"/>
        <v>*HEV*</v>
      </c>
      <c r="AI267" s="17" t="str">
        <f t="shared" si="210"/>
        <v>TRABAF</v>
      </c>
      <c r="AJ267" s="17" t="str">
        <f t="shared" si="210"/>
        <v>TRAFRESLHDMD</v>
      </c>
      <c r="AK267" s="17" t="str">
        <f t="shared" si="210"/>
        <v>TRAFRESLHDMD</v>
      </c>
      <c r="AL267" s="18">
        <v>2030</v>
      </c>
      <c r="AM267" s="18" t="str">
        <f>AM266</f>
        <v>LO</v>
      </c>
      <c r="AN267" s="18"/>
      <c r="AO267" s="20" t="e">
        <f>-SUMIFS('TRA RESID'!$P:$P,'TRA RESID'!$I:$I,AK267,'TRA RESID'!$J:$J,AH267,'TRA RESID'!$H:$H,AI267)/SUMIFS('TRA RESID'!$P:$P,'TRA RESID'!$I:$I,AK267)*AS267</f>
        <v>#DIV/0!</v>
      </c>
      <c r="AP267" s="18"/>
      <c r="AQ267" s="18"/>
      <c r="AS267" s="21">
        <v>0.5</v>
      </c>
      <c r="AU267" s="15" t="str">
        <f>IF(AU266="*",AU266,"")</f>
        <v>*</v>
      </c>
      <c r="AV267" s="17" t="str">
        <f t="shared" si="211"/>
        <v>*FCEV*</v>
      </c>
      <c r="AW267" s="17" t="str">
        <f t="shared" si="211"/>
        <v>TRABAF</v>
      </c>
      <c r="AX267" s="17" t="str">
        <f t="shared" si="211"/>
        <v>TRAFRESLHDMD</v>
      </c>
      <c r="AY267" s="17" t="str">
        <f t="shared" si="211"/>
        <v>TRAFRESLHDMD</v>
      </c>
      <c r="AZ267" s="18">
        <v>2030</v>
      </c>
      <c r="BA267" s="18" t="str">
        <f>BA266</f>
        <v>LO</v>
      </c>
      <c r="BB267" s="18"/>
      <c r="BC267" s="20" t="e">
        <f>-SUMIFS('TRA RESID'!$P:$P,'TRA RESID'!$I:$I,AY267,'TRA RESID'!$J:$J,AV267,'TRA RESID'!$H:$H,AW267)/SUMIFS('TRA RESID'!$P:$P,'TRA RESID'!$I:$I,AY267)*BG267</f>
        <v>#DIV/0!</v>
      </c>
      <c r="BD267" s="18"/>
      <c r="BE267" s="18"/>
      <c r="BG267" s="21">
        <v>0.5</v>
      </c>
    </row>
    <row r="268" spans="1:59" x14ac:dyDescent="0.25">
      <c r="C268" s="15" t="str">
        <f>IF(C267="*",C267,"")</f>
        <v>*</v>
      </c>
      <c r="D268" s="17" t="str">
        <f t="shared" si="208"/>
        <v>*ICEV*</v>
      </c>
      <c r="E268" s="17" t="str">
        <f t="shared" si="208"/>
        <v>TRABAF</v>
      </c>
      <c r="F268" s="17" t="str">
        <f t="shared" si="208"/>
        <v>TRAFRESLHDMD</v>
      </c>
      <c r="G268" s="17" t="str">
        <f t="shared" si="208"/>
        <v>TRAFRESLHDMD</v>
      </c>
      <c r="H268" s="18">
        <v>2040</v>
      </c>
      <c r="I268" s="18" t="str">
        <f>I267</f>
        <v>LO</v>
      </c>
      <c r="J268" s="18"/>
      <c r="K268" s="20" t="e">
        <f>-SUMIFS('TRA RESID'!$P:$P,'TRA RESID'!$I:$I,G268,'TRA RESID'!$J:$J,D268,'TRA RESID'!$H:$H,E268)/SUMIFS('TRA RESID'!$P:$P,'TRA RESID'!$I:$I,G268)*O268</f>
        <v>#DIV/0!</v>
      </c>
      <c r="L268" s="18"/>
      <c r="M268" s="18"/>
      <c r="O268" s="21">
        <v>0</v>
      </c>
      <c r="S268" s="15" t="str">
        <f>IF(S267="*",S267,"")</f>
        <v>*</v>
      </c>
      <c r="T268" s="17" t="str">
        <f t="shared" si="209"/>
        <v>*BEV*</v>
      </c>
      <c r="U268" s="17" t="str">
        <f t="shared" si="209"/>
        <v>TRABAF</v>
      </c>
      <c r="V268" s="17" t="str">
        <f t="shared" si="209"/>
        <v>TRAFRESLHDMD</v>
      </c>
      <c r="W268" s="17" t="str">
        <f t="shared" si="209"/>
        <v>TRAFRESLHDMD</v>
      </c>
      <c r="X268" s="18">
        <v>2040</v>
      </c>
      <c r="Y268" s="18" t="str">
        <f>Y267</f>
        <v>LO</v>
      </c>
      <c r="Z268" s="18"/>
      <c r="AA268" s="20" t="e">
        <f>-SUMIFS('TRA RESID'!$P:$P,'TRA RESID'!$I:$I,W268,'TRA RESID'!$J:$J,T268,'TRA RESID'!$H:$H,U268)/SUMIFS('TRA RESID'!$P:$P,'TRA RESID'!$I:$I,W268)*AE268</f>
        <v>#DIV/0!</v>
      </c>
      <c r="AB268" s="18"/>
      <c r="AC268" s="18"/>
      <c r="AE268" s="21">
        <v>1</v>
      </c>
      <c r="AG268" s="15" t="str">
        <f>IF(AG267="*",AG267,"")</f>
        <v>*</v>
      </c>
      <c r="AH268" s="17" t="str">
        <f t="shared" si="210"/>
        <v>*HEV*</v>
      </c>
      <c r="AI268" s="17" t="str">
        <f t="shared" si="210"/>
        <v>TRABAF</v>
      </c>
      <c r="AJ268" s="17" t="str">
        <f t="shared" si="210"/>
        <v>TRAFRESLHDMD</v>
      </c>
      <c r="AK268" s="17" t="str">
        <f t="shared" si="210"/>
        <v>TRAFRESLHDMD</v>
      </c>
      <c r="AL268" s="18">
        <v>2040</v>
      </c>
      <c r="AM268" s="18" t="str">
        <f>AM267</f>
        <v>LO</v>
      </c>
      <c r="AN268" s="18"/>
      <c r="AO268" s="20" t="e">
        <f>-SUMIFS('TRA RESID'!$P:$P,'TRA RESID'!$I:$I,AK268,'TRA RESID'!$J:$J,AH268,'TRA RESID'!$H:$H,AI268)/SUMIFS('TRA RESID'!$P:$P,'TRA RESID'!$I:$I,AK268)*AS268</f>
        <v>#DIV/0!</v>
      </c>
      <c r="AP268" s="18"/>
      <c r="AQ268" s="18"/>
      <c r="AS268" s="21">
        <v>0</v>
      </c>
      <c r="AU268" s="15" t="str">
        <f>IF(AU267="*",AU267,"")</f>
        <v>*</v>
      </c>
      <c r="AV268" s="17" t="str">
        <f t="shared" si="211"/>
        <v>*FCEV*</v>
      </c>
      <c r="AW268" s="17" t="str">
        <f t="shared" si="211"/>
        <v>TRABAF</v>
      </c>
      <c r="AX268" s="17" t="str">
        <f t="shared" si="211"/>
        <v>TRAFRESLHDMD</v>
      </c>
      <c r="AY268" s="17" t="str">
        <f t="shared" si="211"/>
        <v>TRAFRESLHDMD</v>
      </c>
      <c r="AZ268" s="18">
        <v>2040</v>
      </c>
      <c r="BA268" s="18" t="str">
        <f>BA267</f>
        <v>LO</v>
      </c>
      <c r="BB268" s="18"/>
      <c r="BC268" s="20" t="e">
        <f>-SUMIFS('TRA RESID'!$P:$P,'TRA RESID'!$I:$I,AY268,'TRA RESID'!$J:$J,AV268,'TRA RESID'!$H:$H,AW268)/SUMIFS('TRA RESID'!$P:$P,'TRA RESID'!$I:$I,AY268)*BG268</f>
        <v>#DIV/0!</v>
      </c>
      <c r="BD268" s="18"/>
      <c r="BE268" s="18"/>
      <c r="BG268" s="21">
        <v>0</v>
      </c>
    </row>
    <row r="269" spans="1:59" x14ac:dyDescent="0.25">
      <c r="C269" s="23" t="str">
        <f>IF(C268="*",C268,"")</f>
        <v>*</v>
      </c>
      <c r="D269" s="25" t="str">
        <f t="shared" si="208"/>
        <v>*ICEV*</v>
      </c>
      <c r="E269" s="25" t="str">
        <f t="shared" si="208"/>
        <v>TRABAF</v>
      </c>
      <c r="F269" s="25" t="str">
        <f t="shared" si="208"/>
        <v>TRAFRESLHDMD</v>
      </c>
      <c r="G269" s="25" t="str">
        <f t="shared" si="208"/>
        <v>TRAFRESLHDMD</v>
      </c>
      <c r="H269" s="26">
        <v>2050</v>
      </c>
      <c r="I269" s="26" t="str">
        <f>I267</f>
        <v>LO</v>
      </c>
      <c r="J269" s="26"/>
      <c r="K269" s="27" t="e">
        <f>-SUMIFS('TRA RESID'!$P:$P,'TRA RESID'!$I:$I,G269,'TRA RESID'!$J:$J,D269,'TRA RESID'!$H:$H,E269)/SUMIFS('TRA RESID'!$P:$P,'TRA RESID'!$I:$I,G269)*O269</f>
        <v>#DIV/0!</v>
      </c>
      <c r="L269" s="26"/>
      <c r="M269" s="26"/>
      <c r="O269" s="28">
        <v>0</v>
      </c>
      <c r="S269" s="23" t="str">
        <f>IF(S268="*",S268,"")</f>
        <v>*</v>
      </c>
      <c r="T269" s="25" t="str">
        <f t="shared" si="209"/>
        <v>*BEV*</v>
      </c>
      <c r="U269" s="25" t="str">
        <f t="shared" si="209"/>
        <v>TRABAF</v>
      </c>
      <c r="V269" s="25" t="str">
        <f t="shared" si="209"/>
        <v>TRAFRESLHDMD</v>
      </c>
      <c r="W269" s="25" t="str">
        <f t="shared" si="209"/>
        <v>TRAFRESLHDMD</v>
      </c>
      <c r="X269" s="26">
        <v>2050</v>
      </c>
      <c r="Y269" s="26" t="str">
        <f>Y267</f>
        <v>LO</v>
      </c>
      <c r="Z269" s="26"/>
      <c r="AA269" s="27" t="e">
        <f>-SUMIFS('TRA RESID'!$P:$P,'TRA RESID'!$I:$I,W269,'TRA RESID'!$J:$J,T269,'TRA RESID'!$H:$H,U269)/SUMIFS('TRA RESID'!$P:$P,'TRA RESID'!$I:$I,W269)*AE269</f>
        <v>#DIV/0!</v>
      </c>
      <c r="AB269" s="26"/>
      <c r="AC269" s="26"/>
      <c r="AE269" s="28">
        <v>1</v>
      </c>
      <c r="AG269" s="23" t="str">
        <f>IF(AG268="*",AG268,"")</f>
        <v>*</v>
      </c>
      <c r="AH269" s="25" t="str">
        <f t="shared" si="210"/>
        <v>*HEV*</v>
      </c>
      <c r="AI269" s="25" t="str">
        <f t="shared" si="210"/>
        <v>TRABAF</v>
      </c>
      <c r="AJ269" s="25" t="str">
        <f t="shared" si="210"/>
        <v>TRAFRESLHDMD</v>
      </c>
      <c r="AK269" s="25" t="str">
        <f t="shared" si="210"/>
        <v>TRAFRESLHDMD</v>
      </c>
      <c r="AL269" s="26">
        <v>2050</v>
      </c>
      <c r="AM269" s="26" t="str">
        <f>AM267</f>
        <v>LO</v>
      </c>
      <c r="AN269" s="26"/>
      <c r="AO269" s="27" t="e">
        <f>-SUMIFS('TRA RESID'!$P:$P,'TRA RESID'!$I:$I,AK269,'TRA RESID'!$J:$J,AH269,'TRA RESID'!$H:$H,AI269)/SUMIFS('TRA RESID'!$P:$P,'TRA RESID'!$I:$I,AK269)*AS269</f>
        <v>#DIV/0!</v>
      </c>
      <c r="AP269" s="26"/>
      <c r="AQ269" s="26"/>
      <c r="AS269" s="28">
        <v>0</v>
      </c>
      <c r="AU269" s="23" t="str">
        <f>IF(AU268="*",AU268,"")</f>
        <v>*</v>
      </c>
      <c r="AV269" s="25" t="str">
        <f t="shared" si="211"/>
        <v>*FCEV*</v>
      </c>
      <c r="AW269" s="25" t="str">
        <f t="shared" si="211"/>
        <v>TRABAF</v>
      </c>
      <c r="AX269" s="25" t="str">
        <f t="shared" si="211"/>
        <v>TRAFRESLHDMD</v>
      </c>
      <c r="AY269" s="25" t="str">
        <f t="shared" si="211"/>
        <v>TRAFRESLHDMD</v>
      </c>
      <c r="AZ269" s="26">
        <v>2050</v>
      </c>
      <c r="BA269" s="26" t="str">
        <f>BA267</f>
        <v>LO</v>
      </c>
      <c r="BB269" s="26"/>
      <c r="BC269" s="27" t="e">
        <f>-SUMIFS('TRA RESID'!$P:$P,'TRA RESID'!$I:$I,AY269,'TRA RESID'!$J:$J,AV269,'TRA RESID'!$H:$H,AW269)/SUMIFS('TRA RESID'!$P:$P,'TRA RESID'!$I:$I,AY269)*BG269</f>
        <v>#DIV/0!</v>
      </c>
      <c r="BD269" s="26"/>
      <c r="BE269" s="26"/>
      <c r="BG269" s="28">
        <v>0</v>
      </c>
    </row>
    <row r="270" spans="1:59" x14ac:dyDescent="0.25">
      <c r="A270">
        <f>A265+1</f>
        <v>54</v>
      </c>
      <c r="C270" s="15" t="str">
        <f>IF(E270="","",IF(_xlfn.XLOOKUP($A270,Selected_constraint!$A:$A,Selected_constraint!$D:$D)=1,"*",IF(SUMIFS('TRA TECH'!$M:$M,'TRA TECH'!$H:$H,E270,'TRA TECH'!$I:$I,F270)=0,"*",IF(SUMIFS('TRA RESID'!$P:$P,'TRA RESID'!$I:$I,G270,'TRA RESID'!$J:$J,D270,'TRA RESID'!$H:$H,E270)=0,"*","UC_"&amp;SUBSTITUTE(D270,"*","")&amp;"_"&amp;RIGHT(E270,3)&amp;"_"&amp;F270))))</f>
        <v>*</v>
      </c>
      <c r="D270" s="17" t="s">
        <v>485</v>
      </c>
      <c r="E270" s="17" t="str">
        <f>_xlfn.XLOOKUP($A270,Selected_constraint!$A:$A,Selected_constraint!$B:$B)</f>
        <v>TRAH2G</v>
      </c>
      <c r="F270" s="17" t="str">
        <f>_xlfn.XLOOKUP($A270,Selected_constraint!$A:$A,Selected_constraint!$C:$C)</f>
        <v>TRAFRESLHDMD</v>
      </c>
      <c r="G270" s="17" t="str">
        <f>F270</f>
        <v>TRAFRESLHDMD</v>
      </c>
      <c r="H270" s="18">
        <v>2019</v>
      </c>
      <c r="I270" s="18" t="s">
        <v>483</v>
      </c>
      <c r="J270" s="18">
        <v>1</v>
      </c>
      <c r="K270" s="20" t="e">
        <f>-SUMIFS('TRA RESID'!$P:$P,'TRA RESID'!$I:$I,G270,'TRA RESID'!$J:$J,D270,'TRA RESID'!$H:$H,E270)/SUMIFS('TRA RESID'!$P:$P,'TRA RESID'!$I:$I,G270)*O270</f>
        <v>#DIV/0!</v>
      </c>
      <c r="L270" s="18">
        <v>0</v>
      </c>
      <c r="M270" s="18">
        <v>5</v>
      </c>
      <c r="O270" s="21">
        <v>0.98</v>
      </c>
      <c r="Q270">
        <f>Q265+1</f>
        <v>54</v>
      </c>
      <c r="S270" s="15" t="str">
        <f>IF(SUMIFS('TRA RESID'!$P:$P,'TRA RESID'!$I:$I,W270,'TRA RESID'!$J:$J,T270,'TRA RESID'!$H:$H,U270)=0,"*","UC_"&amp;SUBSTITUTE(T270,"*","")&amp;"_"&amp;RIGHT(U270,3)&amp;"_"&amp;V270)</f>
        <v>*</v>
      </c>
      <c r="T270" s="17" t="s">
        <v>486</v>
      </c>
      <c r="U270" s="17" t="str">
        <f>_xlfn.XLOOKUP($A270,Selected_constraint!$A:$A,Selected_constraint!$B:$B)</f>
        <v>TRAH2G</v>
      </c>
      <c r="V270" s="17" t="str">
        <f>_xlfn.XLOOKUP($A270,Selected_constraint!$A:$A,Selected_constraint!$C:$C)</f>
        <v>TRAFRESLHDMD</v>
      </c>
      <c r="W270" s="17" t="str">
        <f>V270</f>
        <v>TRAFRESLHDMD</v>
      </c>
      <c r="X270" s="18">
        <v>2019</v>
      </c>
      <c r="Y270" s="18" t="s">
        <v>483</v>
      </c>
      <c r="Z270" s="18">
        <v>1</v>
      </c>
      <c r="AA270" s="20" t="e">
        <f>-SUMIFS('TRA RESID'!$P:$P,'TRA RESID'!$I:$I,W270,'TRA RESID'!$J:$J,T270,'TRA RESID'!$H:$H,U270)/SUMIFS('TRA RESID'!$P:$P,'TRA RESID'!$I:$I,W270)*AE270</f>
        <v>#DIV/0!</v>
      </c>
      <c r="AB270" s="18">
        <v>0</v>
      </c>
      <c r="AC270" s="18">
        <v>5</v>
      </c>
      <c r="AE270" s="21">
        <v>0.98</v>
      </c>
      <c r="AG270" s="15" t="str">
        <f>IF(SUMIFS('TRA RESID'!$P:$P,'TRA RESID'!$I:$I,AK270,'TRA RESID'!$J:$J,AH270,'TRA RESID'!$H:$H,AI270)=0,"*","UC_"&amp;SUBSTITUTE(AH270,"*","")&amp;"_"&amp;RIGHT(AI270,3)&amp;"_"&amp;AJ270)</f>
        <v>*</v>
      </c>
      <c r="AH270" s="17" t="s">
        <v>487</v>
      </c>
      <c r="AI270" s="17" t="str">
        <f>_xlfn.XLOOKUP($A270,Selected_constraint!$A:$A,Selected_constraint!$B:$B)</f>
        <v>TRAH2G</v>
      </c>
      <c r="AJ270" s="17" t="str">
        <f>_xlfn.XLOOKUP($A270,Selected_constraint!$A:$A,Selected_constraint!$C:$C)</f>
        <v>TRAFRESLHDMD</v>
      </c>
      <c r="AK270" s="17" t="str">
        <f>AJ270</f>
        <v>TRAFRESLHDMD</v>
      </c>
      <c r="AL270" s="18">
        <v>2019</v>
      </c>
      <c r="AM270" s="18" t="s">
        <v>483</v>
      </c>
      <c r="AN270" s="18">
        <v>1</v>
      </c>
      <c r="AO270" s="20" t="e">
        <f>-SUMIFS('TRA RESID'!$P:$P,'TRA RESID'!$I:$I,AK270,'TRA RESID'!$J:$J,AH270,'TRA RESID'!$H:$H,AI270)/SUMIFS('TRA RESID'!$P:$P,'TRA RESID'!$I:$I,AK270)*AS270</f>
        <v>#DIV/0!</v>
      </c>
      <c r="AP270" s="18">
        <v>0</v>
      </c>
      <c r="AQ270" s="18">
        <v>5</v>
      </c>
      <c r="AS270" s="21">
        <v>0.98</v>
      </c>
      <c r="AU270" s="15" t="str">
        <f>IF(SUMIFS('TRA RESID'!$P:$P,'TRA RESID'!$I:$I,AY270,'TRA RESID'!$J:$J,AV270,'TRA RESID'!$H:$H,AW270)=0,"*","UC_"&amp;SUBSTITUTE(AV270,"*","")&amp;"_"&amp;RIGHT(AW270,3)&amp;"_"&amp;AX270)</f>
        <v>*</v>
      </c>
      <c r="AV270" s="17" t="s">
        <v>488</v>
      </c>
      <c r="AW270" s="17" t="str">
        <f>_xlfn.XLOOKUP($A270,Selected_constraint!$A:$A,Selected_constraint!$B:$B)</f>
        <v>TRAH2G</v>
      </c>
      <c r="AX270" s="17" t="str">
        <f>_xlfn.XLOOKUP($A270,Selected_constraint!$A:$A,Selected_constraint!$C:$C)</f>
        <v>TRAFRESLHDMD</v>
      </c>
      <c r="AY270" s="17" t="str">
        <f>AX270</f>
        <v>TRAFRESLHDMD</v>
      </c>
      <c r="AZ270" s="18">
        <v>2019</v>
      </c>
      <c r="BA270" s="18" t="s">
        <v>483</v>
      </c>
      <c r="BB270" s="18">
        <v>1</v>
      </c>
      <c r="BC270" s="20" t="e">
        <f>-SUMIFS('TRA RESID'!$P:$P,'TRA RESID'!$I:$I,AY270,'TRA RESID'!$J:$J,AV270,'TRA RESID'!$H:$H,AW270)/SUMIFS('TRA RESID'!$P:$P,'TRA RESID'!$I:$I,AY270)*BG270</f>
        <v>#DIV/0!</v>
      </c>
      <c r="BD270" s="18">
        <v>0</v>
      </c>
      <c r="BE270" s="18">
        <v>5</v>
      </c>
      <c r="BG270" s="21">
        <v>0.98</v>
      </c>
    </row>
    <row r="271" spans="1:59" x14ac:dyDescent="0.25">
      <c r="C271" s="15" t="str">
        <f>IF(C270="*",C270,"")</f>
        <v>*</v>
      </c>
      <c r="D271" s="17" t="str">
        <f t="shared" ref="D271:G274" si="212">D270</f>
        <v>*ICEV*</v>
      </c>
      <c r="E271" s="17" t="str">
        <f t="shared" si="212"/>
        <v>TRAH2G</v>
      </c>
      <c r="F271" s="17" t="str">
        <f t="shared" si="212"/>
        <v>TRAFRESLHDMD</v>
      </c>
      <c r="G271" s="17" t="str">
        <f t="shared" si="212"/>
        <v>TRAFRESLHDMD</v>
      </c>
      <c r="H271" s="18">
        <v>2025</v>
      </c>
      <c r="I271" s="18" t="str">
        <f>I270</f>
        <v>LO</v>
      </c>
      <c r="J271" s="18"/>
      <c r="K271" s="20" t="e">
        <f>-SUMIFS('TRA RESID'!$P:$P,'TRA RESID'!$I:$I,G271,'TRA RESID'!$J:$J,D271,'TRA RESID'!$H:$H,E271)/SUMIFS('TRA RESID'!$P:$P,'TRA RESID'!$I:$I,G271)*O271</f>
        <v>#DIV/0!</v>
      </c>
      <c r="L271" s="18"/>
      <c r="M271" s="18"/>
      <c r="O271" s="21">
        <v>0.8</v>
      </c>
      <c r="S271" s="15" t="str">
        <f>IF(S270="*",S270,"")</f>
        <v>*</v>
      </c>
      <c r="T271" s="17" t="str">
        <f t="shared" ref="T271:W274" si="213">T270</f>
        <v>*BEV*</v>
      </c>
      <c r="U271" s="17" t="str">
        <f t="shared" si="213"/>
        <v>TRAH2G</v>
      </c>
      <c r="V271" s="17" t="str">
        <f t="shared" si="213"/>
        <v>TRAFRESLHDMD</v>
      </c>
      <c r="W271" s="17" t="str">
        <f t="shared" si="213"/>
        <v>TRAFRESLHDMD</v>
      </c>
      <c r="X271" s="18">
        <v>2025</v>
      </c>
      <c r="Y271" s="18" t="str">
        <f>Y270</f>
        <v>LO</v>
      </c>
      <c r="Z271" s="18"/>
      <c r="AA271" s="20" t="e">
        <f>-SUMIFS('TRA RESID'!$P:$P,'TRA RESID'!$I:$I,W271,'TRA RESID'!$J:$J,T271,'TRA RESID'!$H:$H,U271)/SUMIFS('TRA RESID'!$P:$P,'TRA RESID'!$I:$I,W271)*AE271</f>
        <v>#DIV/0!</v>
      </c>
      <c r="AB271" s="18"/>
      <c r="AC271" s="18"/>
      <c r="AE271" s="21">
        <v>1</v>
      </c>
      <c r="AG271" s="15" t="str">
        <f>IF(AG270="*",AG270,"")</f>
        <v>*</v>
      </c>
      <c r="AH271" s="17" t="str">
        <f t="shared" ref="AH271:AK274" si="214">AH270</f>
        <v>*HEV*</v>
      </c>
      <c r="AI271" s="17" t="str">
        <f t="shared" si="214"/>
        <v>TRAH2G</v>
      </c>
      <c r="AJ271" s="17" t="str">
        <f t="shared" si="214"/>
        <v>TRAFRESLHDMD</v>
      </c>
      <c r="AK271" s="17" t="str">
        <f t="shared" si="214"/>
        <v>TRAFRESLHDMD</v>
      </c>
      <c r="AL271" s="18">
        <v>2025</v>
      </c>
      <c r="AM271" s="18" t="str">
        <f>AM270</f>
        <v>LO</v>
      </c>
      <c r="AN271" s="18"/>
      <c r="AO271" s="20" t="e">
        <f>-SUMIFS('TRA RESID'!$P:$P,'TRA RESID'!$I:$I,AK271,'TRA RESID'!$J:$J,AH271,'TRA RESID'!$H:$H,AI271)/SUMIFS('TRA RESID'!$P:$P,'TRA RESID'!$I:$I,AK271)*AS271</f>
        <v>#DIV/0!</v>
      </c>
      <c r="AP271" s="18"/>
      <c r="AQ271" s="18"/>
      <c r="AS271" s="21">
        <v>0.8</v>
      </c>
      <c r="AU271" s="15" t="str">
        <f>IF(AU270="*",AU270,"")</f>
        <v>*</v>
      </c>
      <c r="AV271" s="17" t="str">
        <f t="shared" ref="AV271:AY274" si="215">AV270</f>
        <v>*FCEV*</v>
      </c>
      <c r="AW271" s="17" t="str">
        <f t="shared" si="215"/>
        <v>TRAH2G</v>
      </c>
      <c r="AX271" s="17" t="str">
        <f t="shared" si="215"/>
        <v>TRAFRESLHDMD</v>
      </c>
      <c r="AY271" s="17" t="str">
        <f t="shared" si="215"/>
        <v>TRAFRESLHDMD</v>
      </c>
      <c r="AZ271" s="18">
        <v>2025</v>
      </c>
      <c r="BA271" s="18" t="str">
        <f>BA270</f>
        <v>LO</v>
      </c>
      <c r="BB271" s="18"/>
      <c r="BC271" s="20" t="e">
        <f>-SUMIFS('TRA RESID'!$P:$P,'TRA RESID'!$I:$I,AY271,'TRA RESID'!$J:$J,AV271,'TRA RESID'!$H:$H,AW271)/SUMIFS('TRA RESID'!$P:$P,'TRA RESID'!$I:$I,AY271)*BG271</f>
        <v>#DIV/0!</v>
      </c>
      <c r="BD271" s="18"/>
      <c r="BE271" s="18"/>
      <c r="BG271" s="21">
        <v>0.8</v>
      </c>
    </row>
    <row r="272" spans="1:59" x14ac:dyDescent="0.25">
      <c r="C272" s="15" t="str">
        <f>IF(C271="*",C271,"")</f>
        <v>*</v>
      </c>
      <c r="D272" s="17" t="str">
        <f t="shared" si="212"/>
        <v>*ICEV*</v>
      </c>
      <c r="E272" s="17" t="str">
        <f t="shared" si="212"/>
        <v>TRAH2G</v>
      </c>
      <c r="F272" s="17" t="str">
        <f t="shared" si="212"/>
        <v>TRAFRESLHDMD</v>
      </c>
      <c r="G272" s="17" t="str">
        <f t="shared" si="212"/>
        <v>TRAFRESLHDMD</v>
      </c>
      <c r="H272" s="18">
        <v>2030</v>
      </c>
      <c r="I272" s="18" t="str">
        <f>I271</f>
        <v>LO</v>
      </c>
      <c r="J272" s="18"/>
      <c r="K272" s="20" t="e">
        <f>-SUMIFS('TRA RESID'!$P:$P,'TRA RESID'!$I:$I,G272,'TRA RESID'!$J:$J,D272,'TRA RESID'!$H:$H,E272)/SUMIFS('TRA RESID'!$P:$P,'TRA RESID'!$I:$I,G272)*O272</f>
        <v>#DIV/0!</v>
      </c>
      <c r="L272" s="18"/>
      <c r="M272" s="18"/>
      <c r="O272" s="21">
        <v>0.5</v>
      </c>
      <c r="S272" s="15" t="str">
        <f>IF(S271="*",S271,"")</f>
        <v>*</v>
      </c>
      <c r="T272" s="17" t="str">
        <f t="shared" si="213"/>
        <v>*BEV*</v>
      </c>
      <c r="U272" s="17" t="str">
        <f t="shared" si="213"/>
        <v>TRAH2G</v>
      </c>
      <c r="V272" s="17" t="str">
        <f t="shared" si="213"/>
        <v>TRAFRESLHDMD</v>
      </c>
      <c r="W272" s="17" t="str">
        <f t="shared" si="213"/>
        <v>TRAFRESLHDMD</v>
      </c>
      <c r="X272" s="18">
        <v>2030</v>
      </c>
      <c r="Y272" s="18" t="str">
        <f>Y271</f>
        <v>LO</v>
      </c>
      <c r="Z272" s="18"/>
      <c r="AA272" s="20" t="e">
        <f>-SUMIFS('TRA RESID'!$P:$P,'TRA RESID'!$I:$I,W272,'TRA RESID'!$J:$J,T272,'TRA RESID'!$H:$H,U272)/SUMIFS('TRA RESID'!$P:$P,'TRA RESID'!$I:$I,W272)*AE272</f>
        <v>#DIV/0!</v>
      </c>
      <c r="AB272" s="18"/>
      <c r="AC272" s="18"/>
      <c r="AE272" s="21">
        <v>1</v>
      </c>
      <c r="AG272" s="15" t="str">
        <f>IF(AG271="*",AG271,"")</f>
        <v>*</v>
      </c>
      <c r="AH272" s="17" t="str">
        <f t="shared" si="214"/>
        <v>*HEV*</v>
      </c>
      <c r="AI272" s="17" t="str">
        <f t="shared" si="214"/>
        <v>TRAH2G</v>
      </c>
      <c r="AJ272" s="17" t="str">
        <f t="shared" si="214"/>
        <v>TRAFRESLHDMD</v>
      </c>
      <c r="AK272" s="17" t="str">
        <f t="shared" si="214"/>
        <v>TRAFRESLHDMD</v>
      </c>
      <c r="AL272" s="18">
        <v>2030</v>
      </c>
      <c r="AM272" s="18" t="str">
        <f>AM271</f>
        <v>LO</v>
      </c>
      <c r="AN272" s="18"/>
      <c r="AO272" s="20" t="e">
        <f>-SUMIFS('TRA RESID'!$P:$P,'TRA RESID'!$I:$I,AK272,'TRA RESID'!$J:$J,AH272,'TRA RESID'!$H:$H,AI272)/SUMIFS('TRA RESID'!$P:$P,'TRA RESID'!$I:$I,AK272)*AS272</f>
        <v>#DIV/0!</v>
      </c>
      <c r="AP272" s="18"/>
      <c r="AQ272" s="18"/>
      <c r="AS272" s="21">
        <v>0.5</v>
      </c>
      <c r="AU272" s="15" t="str">
        <f>IF(AU271="*",AU271,"")</f>
        <v>*</v>
      </c>
      <c r="AV272" s="17" t="str">
        <f t="shared" si="215"/>
        <v>*FCEV*</v>
      </c>
      <c r="AW272" s="17" t="str">
        <f t="shared" si="215"/>
        <v>TRAH2G</v>
      </c>
      <c r="AX272" s="17" t="str">
        <f t="shared" si="215"/>
        <v>TRAFRESLHDMD</v>
      </c>
      <c r="AY272" s="17" t="str">
        <f t="shared" si="215"/>
        <v>TRAFRESLHDMD</v>
      </c>
      <c r="AZ272" s="18">
        <v>2030</v>
      </c>
      <c r="BA272" s="18" t="str">
        <f>BA271</f>
        <v>LO</v>
      </c>
      <c r="BB272" s="18"/>
      <c r="BC272" s="20" t="e">
        <f>-SUMIFS('TRA RESID'!$P:$P,'TRA RESID'!$I:$I,AY272,'TRA RESID'!$J:$J,AV272,'TRA RESID'!$H:$H,AW272)/SUMIFS('TRA RESID'!$P:$P,'TRA RESID'!$I:$I,AY272)*BG272</f>
        <v>#DIV/0!</v>
      </c>
      <c r="BD272" s="18"/>
      <c r="BE272" s="18"/>
      <c r="BG272" s="21">
        <v>0.5</v>
      </c>
    </row>
    <row r="273" spans="1:59" x14ac:dyDescent="0.25">
      <c r="C273" s="15" t="str">
        <f>IF(C272="*",C272,"")</f>
        <v>*</v>
      </c>
      <c r="D273" s="17" t="str">
        <f t="shared" si="212"/>
        <v>*ICEV*</v>
      </c>
      <c r="E273" s="17" t="str">
        <f t="shared" si="212"/>
        <v>TRAH2G</v>
      </c>
      <c r="F273" s="17" t="str">
        <f t="shared" si="212"/>
        <v>TRAFRESLHDMD</v>
      </c>
      <c r="G273" s="17" t="str">
        <f t="shared" si="212"/>
        <v>TRAFRESLHDMD</v>
      </c>
      <c r="H273" s="18">
        <v>2040</v>
      </c>
      <c r="I273" s="18" t="str">
        <f>I272</f>
        <v>LO</v>
      </c>
      <c r="J273" s="18"/>
      <c r="K273" s="20" t="e">
        <f>-SUMIFS('TRA RESID'!$P:$P,'TRA RESID'!$I:$I,G273,'TRA RESID'!$J:$J,D273,'TRA RESID'!$H:$H,E273)/SUMIFS('TRA RESID'!$P:$P,'TRA RESID'!$I:$I,G273)*O273</f>
        <v>#DIV/0!</v>
      </c>
      <c r="L273" s="18"/>
      <c r="M273" s="18"/>
      <c r="O273" s="21">
        <v>0</v>
      </c>
      <c r="S273" s="15" t="str">
        <f>IF(S272="*",S272,"")</f>
        <v>*</v>
      </c>
      <c r="T273" s="17" t="str">
        <f t="shared" si="213"/>
        <v>*BEV*</v>
      </c>
      <c r="U273" s="17" t="str">
        <f t="shared" si="213"/>
        <v>TRAH2G</v>
      </c>
      <c r="V273" s="17" t="str">
        <f t="shared" si="213"/>
        <v>TRAFRESLHDMD</v>
      </c>
      <c r="W273" s="17" t="str">
        <f t="shared" si="213"/>
        <v>TRAFRESLHDMD</v>
      </c>
      <c r="X273" s="18">
        <v>2040</v>
      </c>
      <c r="Y273" s="18" t="str">
        <f>Y272</f>
        <v>LO</v>
      </c>
      <c r="Z273" s="18"/>
      <c r="AA273" s="20" t="e">
        <f>-SUMIFS('TRA RESID'!$P:$P,'TRA RESID'!$I:$I,W273,'TRA RESID'!$J:$J,T273,'TRA RESID'!$H:$H,U273)/SUMIFS('TRA RESID'!$P:$P,'TRA RESID'!$I:$I,W273)*AE273</f>
        <v>#DIV/0!</v>
      </c>
      <c r="AB273" s="18"/>
      <c r="AC273" s="18"/>
      <c r="AE273" s="21">
        <v>1</v>
      </c>
      <c r="AG273" s="15" t="str">
        <f>IF(AG272="*",AG272,"")</f>
        <v>*</v>
      </c>
      <c r="AH273" s="17" t="str">
        <f t="shared" si="214"/>
        <v>*HEV*</v>
      </c>
      <c r="AI273" s="17" t="str">
        <f t="shared" si="214"/>
        <v>TRAH2G</v>
      </c>
      <c r="AJ273" s="17" t="str">
        <f t="shared" si="214"/>
        <v>TRAFRESLHDMD</v>
      </c>
      <c r="AK273" s="17" t="str">
        <f t="shared" si="214"/>
        <v>TRAFRESLHDMD</v>
      </c>
      <c r="AL273" s="18">
        <v>2040</v>
      </c>
      <c r="AM273" s="18" t="str">
        <f>AM272</f>
        <v>LO</v>
      </c>
      <c r="AN273" s="18"/>
      <c r="AO273" s="20" t="e">
        <f>-SUMIFS('TRA RESID'!$P:$P,'TRA RESID'!$I:$I,AK273,'TRA RESID'!$J:$J,AH273,'TRA RESID'!$H:$H,AI273)/SUMIFS('TRA RESID'!$P:$P,'TRA RESID'!$I:$I,AK273)*AS273</f>
        <v>#DIV/0!</v>
      </c>
      <c r="AP273" s="18"/>
      <c r="AQ273" s="18"/>
      <c r="AS273" s="21">
        <v>0</v>
      </c>
      <c r="AU273" s="15" t="str">
        <f>IF(AU272="*",AU272,"")</f>
        <v>*</v>
      </c>
      <c r="AV273" s="17" t="str">
        <f t="shared" si="215"/>
        <v>*FCEV*</v>
      </c>
      <c r="AW273" s="17" t="str">
        <f t="shared" si="215"/>
        <v>TRAH2G</v>
      </c>
      <c r="AX273" s="17" t="str">
        <f t="shared" si="215"/>
        <v>TRAFRESLHDMD</v>
      </c>
      <c r="AY273" s="17" t="str">
        <f t="shared" si="215"/>
        <v>TRAFRESLHDMD</v>
      </c>
      <c r="AZ273" s="18">
        <v>2040</v>
      </c>
      <c r="BA273" s="18" t="str">
        <f>BA272</f>
        <v>LO</v>
      </c>
      <c r="BB273" s="18"/>
      <c r="BC273" s="20" t="e">
        <f>-SUMIFS('TRA RESID'!$P:$P,'TRA RESID'!$I:$I,AY273,'TRA RESID'!$J:$J,AV273,'TRA RESID'!$H:$H,AW273)/SUMIFS('TRA RESID'!$P:$P,'TRA RESID'!$I:$I,AY273)*BG273</f>
        <v>#DIV/0!</v>
      </c>
      <c r="BD273" s="18"/>
      <c r="BE273" s="18"/>
      <c r="BG273" s="21">
        <v>0</v>
      </c>
    </row>
    <row r="274" spans="1:59" x14ac:dyDescent="0.25">
      <c r="C274" s="23" t="str">
        <f>IF(C273="*",C273,"")</f>
        <v>*</v>
      </c>
      <c r="D274" s="25" t="str">
        <f t="shared" si="212"/>
        <v>*ICEV*</v>
      </c>
      <c r="E274" s="25" t="str">
        <f t="shared" si="212"/>
        <v>TRAH2G</v>
      </c>
      <c r="F274" s="25" t="str">
        <f t="shared" si="212"/>
        <v>TRAFRESLHDMD</v>
      </c>
      <c r="G274" s="25" t="str">
        <f t="shared" si="212"/>
        <v>TRAFRESLHDMD</v>
      </c>
      <c r="H274" s="26">
        <v>2050</v>
      </c>
      <c r="I274" s="26" t="str">
        <f>I272</f>
        <v>LO</v>
      </c>
      <c r="J274" s="26"/>
      <c r="K274" s="27" t="e">
        <f>-SUMIFS('TRA RESID'!$P:$P,'TRA RESID'!$I:$I,G274,'TRA RESID'!$J:$J,D274,'TRA RESID'!$H:$H,E274)/SUMIFS('TRA RESID'!$P:$P,'TRA RESID'!$I:$I,G274)*O274</f>
        <v>#DIV/0!</v>
      </c>
      <c r="L274" s="26"/>
      <c r="M274" s="26"/>
      <c r="O274" s="28">
        <v>0</v>
      </c>
      <c r="S274" s="23" t="str">
        <f>IF(S273="*",S273,"")</f>
        <v>*</v>
      </c>
      <c r="T274" s="25" t="str">
        <f t="shared" si="213"/>
        <v>*BEV*</v>
      </c>
      <c r="U274" s="25" t="str">
        <f t="shared" si="213"/>
        <v>TRAH2G</v>
      </c>
      <c r="V274" s="25" t="str">
        <f t="shared" si="213"/>
        <v>TRAFRESLHDMD</v>
      </c>
      <c r="W274" s="25" t="str">
        <f t="shared" si="213"/>
        <v>TRAFRESLHDMD</v>
      </c>
      <c r="X274" s="26">
        <v>2050</v>
      </c>
      <c r="Y274" s="26" t="str">
        <f>Y272</f>
        <v>LO</v>
      </c>
      <c r="Z274" s="26"/>
      <c r="AA274" s="27" t="e">
        <f>-SUMIFS('TRA RESID'!$P:$P,'TRA RESID'!$I:$I,W274,'TRA RESID'!$J:$J,T274,'TRA RESID'!$H:$H,U274)/SUMIFS('TRA RESID'!$P:$P,'TRA RESID'!$I:$I,W274)*AE274</f>
        <v>#DIV/0!</v>
      </c>
      <c r="AB274" s="26"/>
      <c r="AC274" s="26"/>
      <c r="AE274" s="28">
        <v>1</v>
      </c>
      <c r="AG274" s="23" t="str">
        <f>IF(AG273="*",AG273,"")</f>
        <v>*</v>
      </c>
      <c r="AH274" s="25" t="str">
        <f t="shared" si="214"/>
        <v>*HEV*</v>
      </c>
      <c r="AI274" s="25" t="str">
        <f t="shared" si="214"/>
        <v>TRAH2G</v>
      </c>
      <c r="AJ274" s="25" t="str">
        <f t="shared" si="214"/>
        <v>TRAFRESLHDMD</v>
      </c>
      <c r="AK274" s="25" t="str">
        <f t="shared" si="214"/>
        <v>TRAFRESLHDMD</v>
      </c>
      <c r="AL274" s="26">
        <v>2050</v>
      </c>
      <c r="AM274" s="26" t="str">
        <f>AM272</f>
        <v>LO</v>
      </c>
      <c r="AN274" s="26"/>
      <c r="AO274" s="27" t="e">
        <f>-SUMIFS('TRA RESID'!$P:$P,'TRA RESID'!$I:$I,AK274,'TRA RESID'!$J:$J,AH274,'TRA RESID'!$H:$H,AI274)/SUMIFS('TRA RESID'!$P:$P,'TRA RESID'!$I:$I,AK274)*AS274</f>
        <v>#DIV/0!</v>
      </c>
      <c r="AP274" s="26"/>
      <c r="AQ274" s="26"/>
      <c r="AS274" s="28">
        <v>0</v>
      </c>
      <c r="AU274" s="23" t="str">
        <f>IF(AU273="*",AU273,"")</f>
        <v>*</v>
      </c>
      <c r="AV274" s="25" t="str">
        <f t="shared" si="215"/>
        <v>*FCEV*</v>
      </c>
      <c r="AW274" s="25" t="str">
        <f t="shared" si="215"/>
        <v>TRAH2G</v>
      </c>
      <c r="AX274" s="25" t="str">
        <f t="shared" si="215"/>
        <v>TRAFRESLHDMD</v>
      </c>
      <c r="AY274" s="25" t="str">
        <f t="shared" si="215"/>
        <v>TRAFRESLHDMD</v>
      </c>
      <c r="AZ274" s="26">
        <v>2050</v>
      </c>
      <c r="BA274" s="26" t="str">
        <f>BA272</f>
        <v>LO</v>
      </c>
      <c r="BB274" s="26"/>
      <c r="BC274" s="27" t="e">
        <f>-SUMIFS('TRA RESID'!$P:$P,'TRA RESID'!$I:$I,AY274,'TRA RESID'!$J:$J,AV274,'TRA RESID'!$H:$H,AW274)/SUMIFS('TRA RESID'!$P:$P,'TRA RESID'!$I:$I,AY274)*BG274</f>
        <v>#DIV/0!</v>
      </c>
      <c r="BD274" s="26"/>
      <c r="BE274" s="26"/>
      <c r="BG274" s="28">
        <v>0</v>
      </c>
    </row>
    <row r="275" spans="1:59" x14ac:dyDescent="0.25">
      <c r="A275">
        <f>A270+1</f>
        <v>55</v>
      </c>
      <c r="C275" s="15" t="str">
        <f>IF(E275="","",IF(_xlfn.XLOOKUP($A275,Selected_constraint!$A:$A,Selected_constraint!$D:$D)=1,"*",IF(SUMIFS('TRA TECH'!$M:$M,'TRA TECH'!$H:$H,E275,'TRA TECH'!$I:$I,F275)=0,"*",IF(SUMIFS('TRA RESID'!$P:$P,'TRA RESID'!$I:$I,G275,'TRA RESID'!$J:$J,D275,'TRA RESID'!$H:$H,E275)=0,"*","UC_"&amp;SUBSTITUTE(D275,"*","")&amp;"_"&amp;RIGHT(E275,3)&amp;"_"&amp;F275))))</f>
        <v>*</v>
      </c>
      <c r="D275" s="17" t="s">
        <v>485</v>
      </c>
      <c r="E275" s="17" t="str">
        <f>_xlfn.XLOOKUP($A275,Selected_constraint!$A:$A,Selected_constraint!$B:$B)</f>
        <v>TRAGSL</v>
      </c>
      <c r="F275" s="17" t="str">
        <f>_xlfn.XLOOKUP($A275,Selected_constraint!$A:$A,Selected_constraint!$C:$C)</f>
        <v>TRAFRESSHDMD</v>
      </c>
      <c r="G275" s="17" t="str">
        <f>F275</f>
        <v>TRAFRESSHDMD</v>
      </c>
      <c r="H275" s="18">
        <v>2019</v>
      </c>
      <c r="I275" s="18" t="s">
        <v>483</v>
      </c>
      <c r="J275" s="18">
        <v>1</v>
      </c>
      <c r="K275" s="20" t="e">
        <f>-SUMIFS('TRA RESID'!$P:$P,'TRA RESID'!$I:$I,G275,'TRA RESID'!$J:$J,D275,'TRA RESID'!$H:$H,E275)/SUMIFS('TRA RESID'!$P:$P,'TRA RESID'!$I:$I,G275)*O275</f>
        <v>#DIV/0!</v>
      </c>
      <c r="L275" s="18">
        <v>0</v>
      </c>
      <c r="M275" s="18">
        <v>5</v>
      </c>
      <c r="O275" s="21">
        <v>0.98</v>
      </c>
      <c r="Q275">
        <f>Q270+1</f>
        <v>55</v>
      </c>
      <c r="S275" s="15" t="str">
        <f>IF(SUMIFS('TRA RESID'!$P:$P,'TRA RESID'!$I:$I,W275,'TRA RESID'!$J:$J,T275,'TRA RESID'!$H:$H,U275)=0,"*","UC_"&amp;SUBSTITUTE(T275,"*","")&amp;"_"&amp;RIGHT(U275,3)&amp;"_"&amp;V275)</f>
        <v>*</v>
      </c>
      <c r="T275" s="17" t="s">
        <v>486</v>
      </c>
      <c r="U275" s="17" t="str">
        <f>_xlfn.XLOOKUP($A275,Selected_constraint!$A:$A,Selected_constraint!$B:$B)</f>
        <v>TRAGSL</v>
      </c>
      <c r="V275" s="17" t="str">
        <f>_xlfn.XLOOKUP($A275,Selected_constraint!$A:$A,Selected_constraint!$C:$C)</f>
        <v>TRAFRESSHDMD</v>
      </c>
      <c r="W275" s="17" t="str">
        <f>V275</f>
        <v>TRAFRESSHDMD</v>
      </c>
      <c r="X275" s="18">
        <v>2019</v>
      </c>
      <c r="Y275" s="18" t="s">
        <v>483</v>
      </c>
      <c r="Z275" s="18">
        <v>1</v>
      </c>
      <c r="AA275" s="20" t="e">
        <f>-SUMIFS('TRA RESID'!$P:$P,'TRA RESID'!$I:$I,W275,'TRA RESID'!$J:$J,T275,'TRA RESID'!$H:$H,U275)/SUMIFS('TRA RESID'!$P:$P,'TRA RESID'!$I:$I,W275)*AE275</f>
        <v>#DIV/0!</v>
      </c>
      <c r="AB275" s="18">
        <v>0</v>
      </c>
      <c r="AC275" s="18">
        <v>5</v>
      </c>
      <c r="AE275" s="21">
        <v>0.98</v>
      </c>
      <c r="AG275" s="15" t="str">
        <f>IF(SUMIFS('TRA RESID'!$P:$P,'TRA RESID'!$I:$I,AK275,'TRA RESID'!$J:$J,AH275,'TRA RESID'!$H:$H,AI275)=0,"*","UC_"&amp;SUBSTITUTE(AH275,"*","")&amp;"_"&amp;RIGHT(AI275,3)&amp;"_"&amp;AJ275)</f>
        <v>*</v>
      </c>
      <c r="AH275" s="17" t="s">
        <v>487</v>
      </c>
      <c r="AI275" s="17" t="str">
        <f>_xlfn.XLOOKUP($A275,Selected_constraint!$A:$A,Selected_constraint!$B:$B)</f>
        <v>TRAGSL</v>
      </c>
      <c r="AJ275" s="17" t="str">
        <f>_xlfn.XLOOKUP($A275,Selected_constraint!$A:$A,Selected_constraint!$C:$C)</f>
        <v>TRAFRESSHDMD</v>
      </c>
      <c r="AK275" s="17" t="str">
        <f>AJ275</f>
        <v>TRAFRESSHDMD</v>
      </c>
      <c r="AL275" s="18">
        <v>2019</v>
      </c>
      <c r="AM275" s="18" t="s">
        <v>483</v>
      </c>
      <c r="AN275" s="18">
        <v>1</v>
      </c>
      <c r="AO275" s="20" t="e">
        <f>-SUMIFS('TRA RESID'!$P:$P,'TRA RESID'!$I:$I,AK275,'TRA RESID'!$J:$J,AH275,'TRA RESID'!$H:$H,AI275)/SUMIFS('TRA RESID'!$P:$P,'TRA RESID'!$I:$I,AK275)*AS275</f>
        <v>#DIV/0!</v>
      </c>
      <c r="AP275" s="18">
        <v>0</v>
      </c>
      <c r="AQ275" s="18">
        <v>5</v>
      </c>
      <c r="AS275" s="21">
        <v>0.98</v>
      </c>
      <c r="AU275" s="15" t="str">
        <f>IF(SUMIFS('TRA RESID'!$P:$P,'TRA RESID'!$I:$I,AY275,'TRA RESID'!$J:$J,AV275,'TRA RESID'!$H:$H,AW275)=0,"*","UC_"&amp;SUBSTITUTE(AV275,"*","")&amp;"_"&amp;RIGHT(AW275,3)&amp;"_"&amp;AX275)</f>
        <v>*</v>
      </c>
      <c r="AV275" s="17" t="s">
        <v>488</v>
      </c>
      <c r="AW275" s="17" t="str">
        <f>_xlfn.XLOOKUP($A275,Selected_constraint!$A:$A,Selected_constraint!$B:$B)</f>
        <v>TRAGSL</v>
      </c>
      <c r="AX275" s="17" t="str">
        <f>_xlfn.XLOOKUP($A275,Selected_constraint!$A:$A,Selected_constraint!$C:$C)</f>
        <v>TRAFRESSHDMD</v>
      </c>
      <c r="AY275" s="17" t="str">
        <f>AX275</f>
        <v>TRAFRESSHDMD</v>
      </c>
      <c r="AZ275" s="18">
        <v>2019</v>
      </c>
      <c r="BA275" s="18" t="s">
        <v>483</v>
      </c>
      <c r="BB275" s="18">
        <v>1</v>
      </c>
      <c r="BC275" s="20" t="e">
        <f>-SUMIFS('TRA RESID'!$P:$P,'TRA RESID'!$I:$I,AY275,'TRA RESID'!$J:$J,AV275,'TRA RESID'!$H:$H,AW275)/SUMIFS('TRA RESID'!$P:$P,'TRA RESID'!$I:$I,AY275)*BG275</f>
        <v>#DIV/0!</v>
      </c>
      <c r="BD275" s="18">
        <v>0</v>
      </c>
      <c r="BE275" s="18">
        <v>5</v>
      </c>
      <c r="BG275" s="21">
        <v>0.98</v>
      </c>
    </row>
    <row r="276" spans="1:59" x14ac:dyDescent="0.25">
      <c r="C276" s="15" t="str">
        <f>IF(C275="*",C275,"")</f>
        <v>*</v>
      </c>
      <c r="D276" s="17" t="str">
        <f t="shared" ref="D276:G279" si="216">D275</f>
        <v>*ICEV*</v>
      </c>
      <c r="E276" s="17" t="str">
        <f t="shared" si="216"/>
        <v>TRAGSL</v>
      </c>
      <c r="F276" s="17" t="str">
        <f t="shared" si="216"/>
        <v>TRAFRESSHDMD</v>
      </c>
      <c r="G276" s="17" t="str">
        <f t="shared" si="216"/>
        <v>TRAFRESSHDMD</v>
      </c>
      <c r="H276" s="18">
        <v>2025</v>
      </c>
      <c r="I276" s="18" t="str">
        <f>I275</f>
        <v>LO</v>
      </c>
      <c r="J276" s="18"/>
      <c r="K276" s="20" t="e">
        <f>-SUMIFS('TRA RESID'!$P:$P,'TRA RESID'!$I:$I,G276,'TRA RESID'!$J:$J,D276,'TRA RESID'!$H:$H,E276)/SUMIFS('TRA RESID'!$P:$P,'TRA RESID'!$I:$I,G276)*O276</f>
        <v>#DIV/0!</v>
      </c>
      <c r="L276" s="18"/>
      <c r="M276" s="18"/>
      <c r="O276" s="21">
        <v>0.8</v>
      </c>
      <c r="S276" s="15" t="str">
        <f>IF(S275="*",S275,"")</f>
        <v>*</v>
      </c>
      <c r="T276" s="17" t="str">
        <f t="shared" ref="T276:W279" si="217">T275</f>
        <v>*BEV*</v>
      </c>
      <c r="U276" s="17" t="str">
        <f t="shared" si="217"/>
        <v>TRAGSL</v>
      </c>
      <c r="V276" s="17" t="str">
        <f t="shared" si="217"/>
        <v>TRAFRESSHDMD</v>
      </c>
      <c r="W276" s="17" t="str">
        <f t="shared" si="217"/>
        <v>TRAFRESSHDMD</v>
      </c>
      <c r="X276" s="18">
        <v>2025</v>
      </c>
      <c r="Y276" s="18" t="str">
        <f>Y275</f>
        <v>LO</v>
      </c>
      <c r="Z276" s="18"/>
      <c r="AA276" s="20" t="e">
        <f>-SUMIFS('TRA RESID'!$P:$P,'TRA RESID'!$I:$I,W276,'TRA RESID'!$J:$J,T276,'TRA RESID'!$H:$H,U276)/SUMIFS('TRA RESID'!$P:$P,'TRA RESID'!$I:$I,W276)*AE276</f>
        <v>#DIV/0!</v>
      </c>
      <c r="AB276" s="18"/>
      <c r="AC276" s="18"/>
      <c r="AE276" s="21">
        <v>1</v>
      </c>
      <c r="AG276" s="15" t="str">
        <f>IF(AG275="*",AG275,"")</f>
        <v>*</v>
      </c>
      <c r="AH276" s="17" t="str">
        <f t="shared" ref="AH276:AK279" si="218">AH275</f>
        <v>*HEV*</v>
      </c>
      <c r="AI276" s="17" t="str">
        <f t="shared" si="218"/>
        <v>TRAGSL</v>
      </c>
      <c r="AJ276" s="17" t="str">
        <f t="shared" si="218"/>
        <v>TRAFRESSHDMD</v>
      </c>
      <c r="AK276" s="17" t="str">
        <f t="shared" si="218"/>
        <v>TRAFRESSHDMD</v>
      </c>
      <c r="AL276" s="18">
        <v>2025</v>
      </c>
      <c r="AM276" s="18" t="str">
        <f>AM275</f>
        <v>LO</v>
      </c>
      <c r="AN276" s="18"/>
      <c r="AO276" s="20" t="e">
        <f>-SUMIFS('TRA RESID'!$P:$P,'TRA RESID'!$I:$I,AK276,'TRA RESID'!$J:$J,AH276,'TRA RESID'!$H:$H,AI276)/SUMIFS('TRA RESID'!$P:$P,'TRA RESID'!$I:$I,AK276)*AS276</f>
        <v>#DIV/0!</v>
      </c>
      <c r="AP276" s="18"/>
      <c r="AQ276" s="18"/>
      <c r="AS276" s="21">
        <v>0.8</v>
      </c>
      <c r="AU276" s="15" t="str">
        <f>IF(AU275="*",AU275,"")</f>
        <v>*</v>
      </c>
      <c r="AV276" s="17" t="str">
        <f t="shared" ref="AV276:AY279" si="219">AV275</f>
        <v>*FCEV*</v>
      </c>
      <c r="AW276" s="17" t="str">
        <f t="shared" si="219"/>
        <v>TRAGSL</v>
      </c>
      <c r="AX276" s="17" t="str">
        <f t="shared" si="219"/>
        <v>TRAFRESSHDMD</v>
      </c>
      <c r="AY276" s="17" t="str">
        <f t="shared" si="219"/>
        <v>TRAFRESSHDMD</v>
      </c>
      <c r="AZ276" s="18">
        <v>2025</v>
      </c>
      <c r="BA276" s="18" t="str">
        <f>BA275</f>
        <v>LO</v>
      </c>
      <c r="BB276" s="18"/>
      <c r="BC276" s="20" t="e">
        <f>-SUMIFS('TRA RESID'!$P:$P,'TRA RESID'!$I:$I,AY276,'TRA RESID'!$J:$J,AV276,'TRA RESID'!$H:$H,AW276)/SUMIFS('TRA RESID'!$P:$P,'TRA RESID'!$I:$I,AY276)*BG276</f>
        <v>#DIV/0!</v>
      </c>
      <c r="BD276" s="18"/>
      <c r="BE276" s="18"/>
      <c r="BG276" s="21">
        <v>0.8</v>
      </c>
    </row>
    <row r="277" spans="1:59" x14ac:dyDescent="0.25">
      <c r="C277" s="15" t="str">
        <f>IF(C276="*",C276,"")</f>
        <v>*</v>
      </c>
      <c r="D277" s="17" t="str">
        <f t="shared" si="216"/>
        <v>*ICEV*</v>
      </c>
      <c r="E277" s="17" t="str">
        <f t="shared" si="216"/>
        <v>TRAGSL</v>
      </c>
      <c r="F277" s="17" t="str">
        <f t="shared" si="216"/>
        <v>TRAFRESSHDMD</v>
      </c>
      <c r="G277" s="17" t="str">
        <f t="shared" si="216"/>
        <v>TRAFRESSHDMD</v>
      </c>
      <c r="H277" s="18">
        <v>2030</v>
      </c>
      <c r="I277" s="18" t="str">
        <f>I276</f>
        <v>LO</v>
      </c>
      <c r="J277" s="18"/>
      <c r="K277" s="20" t="e">
        <f>-SUMIFS('TRA RESID'!$P:$P,'TRA RESID'!$I:$I,G277,'TRA RESID'!$J:$J,D277,'TRA RESID'!$H:$H,E277)/SUMIFS('TRA RESID'!$P:$P,'TRA RESID'!$I:$I,G277)*O277</f>
        <v>#DIV/0!</v>
      </c>
      <c r="L277" s="18"/>
      <c r="M277" s="18"/>
      <c r="O277" s="21">
        <v>0.5</v>
      </c>
      <c r="S277" s="15" t="str">
        <f>IF(S276="*",S276,"")</f>
        <v>*</v>
      </c>
      <c r="T277" s="17" t="str">
        <f t="shared" si="217"/>
        <v>*BEV*</v>
      </c>
      <c r="U277" s="17" t="str">
        <f t="shared" si="217"/>
        <v>TRAGSL</v>
      </c>
      <c r="V277" s="17" t="str">
        <f t="shared" si="217"/>
        <v>TRAFRESSHDMD</v>
      </c>
      <c r="W277" s="17" t="str">
        <f t="shared" si="217"/>
        <v>TRAFRESSHDMD</v>
      </c>
      <c r="X277" s="18">
        <v>2030</v>
      </c>
      <c r="Y277" s="18" t="str">
        <f>Y276</f>
        <v>LO</v>
      </c>
      <c r="Z277" s="18"/>
      <c r="AA277" s="20" t="e">
        <f>-SUMIFS('TRA RESID'!$P:$P,'TRA RESID'!$I:$I,W277,'TRA RESID'!$J:$J,T277,'TRA RESID'!$H:$H,U277)/SUMIFS('TRA RESID'!$P:$P,'TRA RESID'!$I:$I,W277)*AE277</f>
        <v>#DIV/0!</v>
      </c>
      <c r="AB277" s="18"/>
      <c r="AC277" s="18"/>
      <c r="AE277" s="21">
        <v>1</v>
      </c>
      <c r="AG277" s="15" t="str">
        <f>IF(AG276="*",AG276,"")</f>
        <v>*</v>
      </c>
      <c r="AH277" s="17" t="str">
        <f t="shared" si="218"/>
        <v>*HEV*</v>
      </c>
      <c r="AI277" s="17" t="str">
        <f t="shared" si="218"/>
        <v>TRAGSL</v>
      </c>
      <c r="AJ277" s="17" t="str">
        <f t="shared" si="218"/>
        <v>TRAFRESSHDMD</v>
      </c>
      <c r="AK277" s="17" t="str">
        <f t="shared" si="218"/>
        <v>TRAFRESSHDMD</v>
      </c>
      <c r="AL277" s="18">
        <v>2030</v>
      </c>
      <c r="AM277" s="18" t="str">
        <f>AM276</f>
        <v>LO</v>
      </c>
      <c r="AN277" s="18"/>
      <c r="AO277" s="20" t="e">
        <f>-SUMIFS('TRA RESID'!$P:$P,'TRA RESID'!$I:$I,AK277,'TRA RESID'!$J:$J,AH277,'TRA RESID'!$H:$H,AI277)/SUMIFS('TRA RESID'!$P:$P,'TRA RESID'!$I:$I,AK277)*AS277</f>
        <v>#DIV/0!</v>
      </c>
      <c r="AP277" s="18"/>
      <c r="AQ277" s="18"/>
      <c r="AS277" s="21">
        <v>0.5</v>
      </c>
      <c r="AU277" s="15" t="str">
        <f>IF(AU276="*",AU276,"")</f>
        <v>*</v>
      </c>
      <c r="AV277" s="17" t="str">
        <f t="shared" si="219"/>
        <v>*FCEV*</v>
      </c>
      <c r="AW277" s="17" t="str">
        <f t="shared" si="219"/>
        <v>TRAGSL</v>
      </c>
      <c r="AX277" s="17" t="str">
        <f t="shared" si="219"/>
        <v>TRAFRESSHDMD</v>
      </c>
      <c r="AY277" s="17" t="str">
        <f t="shared" si="219"/>
        <v>TRAFRESSHDMD</v>
      </c>
      <c r="AZ277" s="18">
        <v>2030</v>
      </c>
      <c r="BA277" s="18" t="str">
        <f>BA276</f>
        <v>LO</v>
      </c>
      <c r="BB277" s="18"/>
      <c r="BC277" s="20" t="e">
        <f>-SUMIFS('TRA RESID'!$P:$P,'TRA RESID'!$I:$I,AY277,'TRA RESID'!$J:$J,AV277,'TRA RESID'!$H:$H,AW277)/SUMIFS('TRA RESID'!$P:$P,'TRA RESID'!$I:$I,AY277)*BG277</f>
        <v>#DIV/0!</v>
      </c>
      <c r="BD277" s="18"/>
      <c r="BE277" s="18"/>
      <c r="BG277" s="21">
        <v>0.5</v>
      </c>
    </row>
    <row r="278" spans="1:59" x14ac:dyDescent="0.25">
      <c r="C278" s="15" t="str">
        <f>IF(C277="*",C277,"")</f>
        <v>*</v>
      </c>
      <c r="D278" s="17" t="str">
        <f t="shared" si="216"/>
        <v>*ICEV*</v>
      </c>
      <c r="E278" s="17" t="str">
        <f t="shared" si="216"/>
        <v>TRAGSL</v>
      </c>
      <c r="F278" s="17" t="str">
        <f t="shared" si="216"/>
        <v>TRAFRESSHDMD</v>
      </c>
      <c r="G278" s="17" t="str">
        <f t="shared" si="216"/>
        <v>TRAFRESSHDMD</v>
      </c>
      <c r="H278" s="18">
        <v>2040</v>
      </c>
      <c r="I278" s="18" t="str">
        <f>I277</f>
        <v>LO</v>
      </c>
      <c r="J278" s="18"/>
      <c r="K278" s="20" t="e">
        <f>-SUMIFS('TRA RESID'!$P:$P,'TRA RESID'!$I:$I,G278,'TRA RESID'!$J:$J,D278,'TRA RESID'!$H:$H,E278)/SUMIFS('TRA RESID'!$P:$P,'TRA RESID'!$I:$I,G278)*O278</f>
        <v>#DIV/0!</v>
      </c>
      <c r="L278" s="18"/>
      <c r="M278" s="18"/>
      <c r="O278" s="21">
        <v>0</v>
      </c>
      <c r="S278" s="15" t="str">
        <f>IF(S277="*",S277,"")</f>
        <v>*</v>
      </c>
      <c r="T278" s="17" t="str">
        <f t="shared" si="217"/>
        <v>*BEV*</v>
      </c>
      <c r="U278" s="17" t="str">
        <f t="shared" si="217"/>
        <v>TRAGSL</v>
      </c>
      <c r="V278" s="17" t="str">
        <f t="shared" si="217"/>
        <v>TRAFRESSHDMD</v>
      </c>
      <c r="W278" s="17" t="str">
        <f t="shared" si="217"/>
        <v>TRAFRESSHDMD</v>
      </c>
      <c r="X278" s="18">
        <v>2040</v>
      </c>
      <c r="Y278" s="18" t="str">
        <f>Y277</f>
        <v>LO</v>
      </c>
      <c r="Z278" s="18"/>
      <c r="AA278" s="20" t="e">
        <f>-SUMIFS('TRA RESID'!$P:$P,'TRA RESID'!$I:$I,W278,'TRA RESID'!$J:$J,T278,'TRA RESID'!$H:$H,U278)/SUMIFS('TRA RESID'!$P:$P,'TRA RESID'!$I:$I,W278)*AE278</f>
        <v>#DIV/0!</v>
      </c>
      <c r="AB278" s="18"/>
      <c r="AC278" s="18"/>
      <c r="AE278" s="21">
        <v>1</v>
      </c>
      <c r="AG278" s="15" t="str">
        <f>IF(AG277="*",AG277,"")</f>
        <v>*</v>
      </c>
      <c r="AH278" s="17" t="str">
        <f t="shared" si="218"/>
        <v>*HEV*</v>
      </c>
      <c r="AI278" s="17" t="str">
        <f t="shared" si="218"/>
        <v>TRAGSL</v>
      </c>
      <c r="AJ278" s="17" t="str">
        <f t="shared" si="218"/>
        <v>TRAFRESSHDMD</v>
      </c>
      <c r="AK278" s="17" t="str">
        <f t="shared" si="218"/>
        <v>TRAFRESSHDMD</v>
      </c>
      <c r="AL278" s="18">
        <v>2040</v>
      </c>
      <c r="AM278" s="18" t="str">
        <f>AM277</f>
        <v>LO</v>
      </c>
      <c r="AN278" s="18"/>
      <c r="AO278" s="20" t="e">
        <f>-SUMIFS('TRA RESID'!$P:$P,'TRA RESID'!$I:$I,AK278,'TRA RESID'!$J:$J,AH278,'TRA RESID'!$H:$H,AI278)/SUMIFS('TRA RESID'!$P:$P,'TRA RESID'!$I:$I,AK278)*AS278</f>
        <v>#DIV/0!</v>
      </c>
      <c r="AP278" s="18"/>
      <c r="AQ278" s="18"/>
      <c r="AS278" s="21">
        <v>0</v>
      </c>
      <c r="AU278" s="15" t="str">
        <f>IF(AU277="*",AU277,"")</f>
        <v>*</v>
      </c>
      <c r="AV278" s="17" t="str">
        <f t="shared" si="219"/>
        <v>*FCEV*</v>
      </c>
      <c r="AW278" s="17" t="str">
        <f t="shared" si="219"/>
        <v>TRAGSL</v>
      </c>
      <c r="AX278" s="17" t="str">
        <f t="shared" si="219"/>
        <v>TRAFRESSHDMD</v>
      </c>
      <c r="AY278" s="17" t="str">
        <f t="shared" si="219"/>
        <v>TRAFRESSHDMD</v>
      </c>
      <c r="AZ278" s="18">
        <v>2040</v>
      </c>
      <c r="BA278" s="18" t="str">
        <f>BA277</f>
        <v>LO</v>
      </c>
      <c r="BB278" s="18"/>
      <c r="BC278" s="20" t="e">
        <f>-SUMIFS('TRA RESID'!$P:$P,'TRA RESID'!$I:$I,AY278,'TRA RESID'!$J:$J,AV278,'TRA RESID'!$H:$H,AW278)/SUMIFS('TRA RESID'!$P:$P,'TRA RESID'!$I:$I,AY278)*BG278</f>
        <v>#DIV/0!</v>
      </c>
      <c r="BD278" s="18"/>
      <c r="BE278" s="18"/>
      <c r="BG278" s="21">
        <v>0</v>
      </c>
    </row>
    <row r="279" spans="1:59" x14ac:dyDescent="0.25">
      <c r="C279" s="23" t="str">
        <f>IF(C278="*",C278,"")</f>
        <v>*</v>
      </c>
      <c r="D279" s="25" t="str">
        <f t="shared" si="216"/>
        <v>*ICEV*</v>
      </c>
      <c r="E279" s="25" t="str">
        <f t="shared" si="216"/>
        <v>TRAGSL</v>
      </c>
      <c r="F279" s="25" t="str">
        <f t="shared" si="216"/>
        <v>TRAFRESSHDMD</v>
      </c>
      <c r="G279" s="25" t="str">
        <f t="shared" si="216"/>
        <v>TRAFRESSHDMD</v>
      </c>
      <c r="H279" s="26">
        <v>2050</v>
      </c>
      <c r="I279" s="26" t="str">
        <f>I277</f>
        <v>LO</v>
      </c>
      <c r="J279" s="26"/>
      <c r="K279" s="27" t="e">
        <f>-SUMIFS('TRA RESID'!$P:$P,'TRA RESID'!$I:$I,G279,'TRA RESID'!$J:$J,D279,'TRA RESID'!$H:$H,E279)/SUMIFS('TRA RESID'!$P:$P,'TRA RESID'!$I:$I,G279)*O279</f>
        <v>#DIV/0!</v>
      </c>
      <c r="L279" s="26"/>
      <c r="M279" s="26"/>
      <c r="O279" s="28">
        <v>0</v>
      </c>
      <c r="S279" s="23" t="str">
        <f>IF(S278="*",S278,"")</f>
        <v>*</v>
      </c>
      <c r="T279" s="25" t="str">
        <f t="shared" si="217"/>
        <v>*BEV*</v>
      </c>
      <c r="U279" s="25" t="str">
        <f t="shared" si="217"/>
        <v>TRAGSL</v>
      </c>
      <c r="V279" s="25" t="str">
        <f t="shared" si="217"/>
        <v>TRAFRESSHDMD</v>
      </c>
      <c r="W279" s="25" t="str">
        <f t="shared" si="217"/>
        <v>TRAFRESSHDMD</v>
      </c>
      <c r="X279" s="26">
        <v>2050</v>
      </c>
      <c r="Y279" s="26" t="str">
        <f>Y277</f>
        <v>LO</v>
      </c>
      <c r="Z279" s="26"/>
      <c r="AA279" s="27" t="e">
        <f>-SUMIFS('TRA RESID'!$P:$P,'TRA RESID'!$I:$I,W279,'TRA RESID'!$J:$J,T279,'TRA RESID'!$H:$H,U279)/SUMIFS('TRA RESID'!$P:$P,'TRA RESID'!$I:$I,W279)*AE279</f>
        <v>#DIV/0!</v>
      </c>
      <c r="AB279" s="26"/>
      <c r="AC279" s="26"/>
      <c r="AE279" s="28">
        <v>1</v>
      </c>
      <c r="AG279" s="23" t="str">
        <f>IF(AG278="*",AG278,"")</f>
        <v>*</v>
      </c>
      <c r="AH279" s="25" t="str">
        <f t="shared" si="218"/>
        <v>*HEV*</v>
      </c>
      <c r="AI279" s="25" t="str">
        <f t="shared" si="218"/>
        <v>TRAGSL</v>
      </c>
      <c r="AJ279" s="25" t="str">
        <f t="shared" si="218"/>
        <v>TRAFRESSHDMD</v>
      </c>
      <c r="AK279" s="25" t="str">
        <f t="shared" si="218"/>
        <v>TRAFRESSHDMD</v>
      </c>
      <c r="AL279" s="26">
        <v>2050</v>
      </c>
      <c r="AM279" s="26" t="str">
        <f>AM277</f>
        <v>LO</v>
      </c>
      <c r="AN279" s="26"/>
      <c r="AO279" s="27" t="e">
        <f>-SUMIFS('TRA RESID'!$P:$P,'TRA RESID'!$I:$I,AK279,'TRA RESID'!$J:$J,AH279,'TRA RESID'!$H:$H,AI279)/SUMIFS('TRA RESID'!$P:$P,'TRA RESID'!$I:$I,AK279)*AS279</f>
        <v>#DIV/0!</v>
      </c>
      <c r="AP279" s="26"/>
      <c r="AQ279" s="26"/>
      <c r="AS279" s="28">
        <v>0</v>
      </c>
      <c r="AU279" s="23" t="str">
        <f>IF(AU278="*",AU278,"")</f>
        <v>*</v>
      </c>
      <c r="AV279" s="25" t="str">
        <f t="shared" si="219"/>
        <v>*FCEV*</v>
      </c>
      <c r="AW279" s="25" t="str">
        <f t="shared" si="219"/>
        <v>TRAGSL</v>
      </c>
      <c r="AX279" s="25" t="str">
        <f t="shared" si="219"/>
        <v>TRAFRESSHDMD</v>
      </c>
      <c r="AY279" s="25" t="str">
        <f t="shared" si="219"/>
        <v>TRAFRESSHDMD</v>
      </c>
      <c r="AZ279" s="26">
        <v>2050</v>
      </c>
      <c r="BA279" s="26" t="str">
        <f>BA277</f>
        <v>LO</v>
      </c>
      <c r="BB279" s="26"/>
      <c r="BC279" s="27" t="e">
        <f>-SUMIFS('TRA RESID'!$P:$P,'TRA RESID'!$I:$I,AY279,'TRA RESID'!$J:$J,AV279,'TRA RESID'!$H:$H,AW279)/SUMIFS('TRA RESID'!$P:$P,'TRA RESID'!$I:$I,AY279)*BG279</f>
        <v>#DIV/0!</v>
      </c>
      <c r="BD279" s="26"/>
      <c r="BE279" s="26"/>
      <c r="BG279" s="28">
        <v>0</v>
      </c>
    </row>
    <row r="280" spans="1:59" x14ac:dyDescent="0.25">
      <c r="A280">
        <f>A275+1</f>
        <v>56</v>
      </c>
      <c r="C280" s="15" t="str">
        <f>IF(E280="","",IF(_xlfn.XLOOKUP($A280,Selected_constraint!$A:$A,Selected_constraint!$D:$D)=1,"*",IF(SUMIFS('TRA TECH'!$M:$M,'TRA TECH'!$H:$H,E280,'TRA TECH'!$I:$I,F280)=0,"*",IF(SUMIFS('TRA RESID'!$P:$P,'TRA RESID'!$I:$I,G280,'TRA RESID'!$J:$J,D280,'TRA RESID'!$H:$H,E280)=0,"*","UC_"&amp;SUBSTITUTE(D280,"*","")&amp;"_"&amp;RIGHT(E280,3)&amp;"_"&amp;F280))))</f>
        <v>*</v>
      </c>
      <c r="D280" s="17" t="s">
        <v>485</v>
      </c>
      <c r="E280" s="17" t="str">
        <f>_xlfn.XLOOKUP($A280,Selected_constraint!$A:$A,Selected_constraint!$B:$B)</f>
        <v>TRAETH</v>
      </c>
      <c r="F280" s="17" t="str">
        <f>_xlfn.XLOOKUP($A280,Selected_constraint!$A:$A,Selected_constraint!$C:$C)</f>
        <v>TRAFRESSHDMD</v>
      </c>
      <c r="G280" s="17" t="str">
        <f>F280</f>
        <v>TRAFRESSHDMD</v>
      </c>
      <c r="H280" s="18">
        <v>2019</v>
      </c>
      <c r="I280" s="18" t="s">
        <v>483</v>
      </c>
      <c r="J280" s="18">
        <v>1</v>
      </c>
      <c r="K280" s="20" t="e">
        <f>-SUMIFS('TRA RESID'!$P:$P,'TRA RESID'!$I:$I,G280,'TRA RESID'!$J:$J,D280,'TRA RESID'!$H:$H,E280)/SUMIFS('TRA RESID'!$P:$P,'TRA RESID'!$I:$I,G280)*O280</f>
        <v>#DIV/0!</v>
      </c>
      <c r="L280" s="18">
        <v>0</v>
      </c>
      <c r="M280" s="18">
        <v>5</v>
      </c>
      <c r="O280" s="21">
        <v>0.98</v>
      </c>
      <c r="Q280">
        <f>Q275+1</f>
        <v>56</v>
      </c>
      <c r="S280" s="15" t="str">
        <f>IF(SUMIFS('TRA RESID'!$P:$P,'TRA RESID'!$I:$I,W280,'TRA RESID'!$J:$J,T280,'TRA RESID'!$H:$H,U280)=0,"*","UC_"&amp;SUBSTITUTE(T280,"*","")&amp;"_"&amp;RIGHT(U280,3)&amp;"_"&amp;V280)</f>
        <v>*</v>
      </c>
      <c r="T280" s="17" t="s">
        <v>486</v>
      </c>
      <c r="U280" s="17" t="str">
        <f>_xlfn.XLOOKUP($A280,Selected_constraint!$A:$A,Selected_constraint!$B:$B)</f>
        <v>TRAETH</v>
      </c>
      <c r="V280" s="17" t="str">
        <f>_xlfn.XLOOKUP($A280,Selected_constraint!$A:$A,Selected_constraint!$C:$C)</f>
        <v>TRAFRESSHDMD</v>
      </c>
      <c r="W280" s="17" t="str">
        <f>V280</f>
        <v>TRAFRESSHDMD</v>
      </c>
      <c r="X280" s="18">
        <v>2019</v>
      </c>
      <c r="Y280" s="18" t="s">
        <v>483</v>
      </c>
      <c r="Z280" s="18">
        <v>1</v>
      </c>
      <c r="AA280" s="20" t="e">
        <f>-SUMIFS('TRA RESID'!$P:$P,'TRA RESID'!$I:$I,W280,'TRA RESID'!$J:$J,T280,'TRA RESID'!$H:$H,U280)/SUMIFS('TRA RESID'!$P:$P,'TRA RESID'!$I:$I,W280)*AE280</f>
        <v>#DIV/0!</v>
      </c>
      <c r="AB280" s="18">
        <v>0</v>
      </c>
      <c r="AC280" s="18">
        <v>5</v>
      </c>
      <c r="AE280" s="21">
        <v>0.98</v>
      </c>
      <c r="AG280" s="15" t="str">
        <f>IF(SUMIFS('TRA RESID'!$P:$P,'TRA RESID'!$I:$I,AK280,'TRA RESID'!$J:$J,AH280,'TRA RESID'!$H:$H,AI280)=0,"*","UC_"&amp;SUBSTITUTE(AH280,"*","")&amp;"_"&amp;RIGHT(AI280,3)&amp;"_"&amp;AJ280)</f>
        <v>*</v>
      </c>
      <c r="AH280" s="17" t="s">
        <v>487</v>
      </c>
      <c r="AI280" s="17" t="str">
        <f>_xlfn.XLOOKUP($A280,Selected_constraint!$A:$A,Selected_constraint!$B:$B)</f>
        <v>TRAETH</v>
      </c>
      <c r="AJ280" s="17" t="str">
        <f>_xlfn.XLOOKUP($A280,Selected_constraint!$A:$A,Selected_constraint!$C:$C)</f>
        <v>TRAFRESSHDMD</v>
      </c>
      <c r="AK280" s="17" t="str">
        <f>AJ280</f>
        <v>TRAFRESSHDMD</v>
      </c>
      <c r="AL280" s="18">
        <v>2019</v>
      </c>
      <c r="AM280" s="18" t="s">
        <v>483</v>
      </c>
      <c r="AN280" s="18">
        <v>1</v>
      </c>
      <c r="AO280" s="20" t="e">
        <f>-SUMIFS('TRA RESID'!$P:$P,'TRA RESID'!$I:$I,AK280,'TRA RESID'!$J:$J,AH280,'TRA RESID'!$H:$H,AI280)/SUMIFS('TRA RESID'!$P:$P,'TRA RESID'!$I:$I,AK280)*AS280</f>
        <v>#DIV/0!</v>
      </c>
      <c r="AP280" s="18">
        <v>0</v>
      </c>
      <c r="AQ280" s="18">
        <v>5</v>
      </c>
      <c r="AS280" s="21">
        <v>0.98</v>
      </c>
      <c r="AU280" s="15" t="str">
        <f>IF(SUMIFS('TRA RESID'!$P:$P,'TRA RESID'!$I:$I,AY280,'TRA RESID'!$J:$J,AV280,'TRA RESID'!$H:$H,AW280)=0,"*","UC_"&amp;SUBSTITUTE(AV280,"*","")&amp;"_"&amp;RIGHT(AW280,3)&amp;"_"&amp;AX280)</f>
        <v>*</v>
      </c>
      <c r="AV280" s="17" t="s">
        <v>488</v>
      </c>
      <c r="AW280" s="17" t="str">
        <f>_xlfn.XLOOKUP($A280,Selected_constraint!$A:$A,Selected_constraint!$B:$B)</f>
        <v>TRAETH</v>
      </c>
      <c r="AX280" s="17" t="str">
        <f>_xlfn.XLOOKUP($A280,Selected_constraint!$A:$A,Selected_constraint!$C:$C)</f>
        <v>TRAFRESSHDMD</v>
      </c>
      <c r="AY280" s="17" t="str">
        <f>AX280</f>
        <v>TRAFRESSHDMD</v>
      </c>
      <c r="AZ280" s="18">
        <v>2019</v>
      </c>
      <c r="BA280" s="18" t="s">
        <v>483</v>
      </c>
      <c r="BB280" s="18">
        <v>1</v>
      </c>
      <c r="BC280" s="20" t="e">
        <f>-SUMIFS('TRA RESID'!$P:$P,'TRA RESID'!$I:$I,AY280,'TRA RESID'!$J:$J,AV280,'TRA RESID'!$H:$H,AW280)/SUMIFS('TRA RESID'!$P:$P,'TRA RESID'!$I:$I,AY280)*BG280</f>
        <v>#DIV/0!</v>
      </c>
      <c r="BD280" s="18">
        <v>0</v>
      </c>
      <c r="BE280" s="18">
        <v>5</v>
      </c>
      <c r="BG280" s="21">
        <v>0.98</v>
      </c>
    </row>
    <row r="281" spans="1:59" x14ac:dyDescent="0.25">
      <c r="C281" s="15" t="str">
        <f>IF(C280="*",C280,"")</f>
        <v>*</v>
      </c>
      <c r="D281" s="17" t="str">
        <f t="shared" ref="D281:G284" si="220">D280</f>
        <v>*ICEV*</v>
      </c>
      <c r="E281" s="17" t="str">
        <f t="shared" si="220"/>
        <v>TRAETH</v>
      </c>
      <c r="F281" s="17" t="str">
        <f t="shared" si="220"/>
        <v>TRAFRESSHDMD</v>
      </c>
      <c r="G281" s="17" t="str">
        <f t="shared" si="220"/>
        <v>TRAFRESSHDMD</v>
      </c>
      <c r="H281" s="18">
        <v>2025</v>
      </c>
      <c r="I281" s="18" t="str">
        <f>I280</f>
        <v>LO</v>
      </c>
      <c r="J281" s="18"/>
      <c r="K281" s="20" t="e">
        <f>-SUMIFS('TRA RESID'!$P:$P,'TRA RESID'!$I:$I,G281,'TRA RESID'!$J:$J,D281,'TRA RESID'!$H:$H,E281)/SUMIFS('TRA RESID'!$P:$P,'TRA RESID'!$I:$I,G281)*O281</f>
        <v>#DIV/0!</v>
      </c>
      <c r="L281" s="18"/>
      <c r="M281" s="18"/>
      <c r="O281" s="21">
        <v>0.8</v>
      </c>
      <c r="S281" s="15" t="str">
        <f>IF(S280="*",S280,"")</f>
        <v>*</v>
      </c>
      <c r="T281" s="17" t="str">
        <f t="shared" ref="T281:W284" si="221">T280</f>
        <v>*BEV*</v>
      </c>
      <c r="U281" s="17" t="str">
        <f t="shared" si="221"/>
        <v>TRAETH</v>
      </c>
      <c r="V281" s="17" t="str">
        <f t="shared" si="221"/>
        <v>TRAFRESSHDMD</v>
      </c>
      <c r="W281" s="17" t="str">
        <f t="shared" si="221"/>
        <v>TRAFRESSHDMD</v>
      </c>
      <c r="X281" s="18">
        <v>2025</v>
      </c>
      <c r="Y281" s="18" t="str">
        <f>Y280</f>
        <v>LO</v>
      </c>
      <c r="Z281" s="18"/>
      <c r="AA281" s="20" t="e">
        <f>-SUMIFS('TRA RESID'!$P:$P,'TRA RESID'!$I:$I,W281,'TRA RESID'!$J:$J,T281,'TRA RESID'!$H:$H,U281)/SUMIFS('TRA RESID'!$P:$P,'TRA RESID'!$I:$I,W281)*AE281</f>
        <v>#DIV/0!</v>
      </c>
      <c r="AB281" s="18"/>
      <c r="AC281" s="18"/>
      <c r="AE281" s="21">
        <v>1</v>
      </c>
      <c r="AG281" s="15" t="str">
        <f>IF(AG280="*",AG280,"")</f>
        <v>*</v>
      </c>
      <c r="AH281" s="17" t="str">
        <f t="shared" ref="AH281:AK284" si="222">AH280</f>
        <v>*HEV*</v>
      </c>
      <c r="AI281" s="17" t="str">
        <f t="shared" si="222"/>
        <v>TRAETH</v>
      </c>
      <c r="AJ281" s="17" t="str">
        <f t="shared" si="222"/>
        <v>TRAFRESSHDMD</v>
      </c>
      <c r="AK281" s="17" t="str">
        <f t="shared" si="222"/>
        <v>TRAFRESSHDMD</v>
      </c>
      <c r="AL281" s="18">
        <v>2025</v>
      </c>
      <c r="AM281" s="18" t="str">
        <f>AM280</f>
        <v>LO</v>
      </c>
      <c r="AN281" s="18"/>
      <c r="AO281" s="20" t="e">
        <f>-SUMIFS('TRA RESID'!$P:$P,'TRA RESID'!$I:$I,AK281,'TRA RESID'!$J:$J,AH281,'TRA RESID'!$H:$H,AI281)/SUMIFS('TRA RESID'!$P:$P,'TRA RESID'!$I:$I,AK281)*AS281</f>
        <v>#DIV/0!</v>
      </c>
      <c r="AP281" s="18"/>
      <c r="AQ281" s="18"/>
      <c r="AS281" s="21">
        <v>0.8</v>
      </c>
      <c r="AU281" s="15" t="str">
        <f>IF(AU280="*",AU280,"")</f>
        <v>*</v>
      </c>
      <c r="AV281" s="17" t="str">
        <f t="shared" ref="AV281:AY284" si="223">AV280</f>
        <v>*FCEV*</v>
      </c>
      <c r="AW281" s="17" t="str">
        <f t="shared" si="223"/>
        <v>TRAETH</v>
      </c>
      <c r="AX281" s="17" t="str">
        <f t="shared" si="223"/>
        <v>TRAFRESSHDMD</v>
      </c>
      <c r="AY281" s="17" t="str">
        <f t="shared" si="223"/>
        <v>TRAFRESSHDMD</v>
      </c>
      <c r="AZ281" s="18">
        <v>2025</v>
      </c>
      <c r="BA281" s="18" t="str">
        <f>BA280</f>
        <v>LO</v>
      </c>
      <c r="BB281" s="18"/>
      <c r="BC281" s="20" t="e">
        <f>-SUMIFS('TRA RESID'!$P:$P,'TRA RESID'!$I:$I,AY281,'TRA RESID'!$J:$J,AV281,'TRA RESID'!$H:$H,AW281)/SUMIFS('TRA RESID'!$P:$P,'TRA RESID'!$I:$I,AY281)*BG281</f>
        <v>#DIV/0!</v>
      </c>
      <c r="BD281" s="18"/>
      <c r="BE281" s="18"/>
      <c r="BG281" s="21">
        <v>0.8</v>
      </c>
    </row>
    <row r="282" spans="1:59" x14ac:dyDescent="0.25">
      <c r="C282" s="15" t="str">
        <f>IF(C281="*",C281,"")</f>
        <v>*</v>
      </c>
      <c r="D282" s="17" t="str">
        <f t="shared" si="220"/>
        <v>*ICEV*</v>
      </c>
      <c r="E282" s="17" t="str">
        <f t="shared" si="220"/>
        <v>TRAETH</v>
      </c>
      <c r="F282" s="17" t="str">
        <f t="shared" si="220"/>
        <v>TRAFRESSHDMD</v>
      </c>
      <c r="G282" s="17" t="str">
        <f t="shared" si="220"/>
        <v>TRAFRESSHDMD</v>
      </c>
      <c r="H282" s="18">
        <v>2030</v>
      </c>
      <c r="I282" s="18" t="str">
        <f>I281</f>
        <v>LO</v>
      </c>
      <c r="J282" s="18"/>
      <c r="K282" s="20" t="e">
        <f>-SUMIFS('TRA RESID'!$P:$P,'TRA RESID'!$I:$I,G282,'TRA RESID'!$J:$J,D282,'TRA RESID'!$H:$H,E282)/SUMIFS('TRA RESID'!$P:$P,'TRA RESID'!$I:$I,G282)*O282</f>
        <v>#DIV/0!</v>
      </c>
      <c r="L282" s="18"/>
      <c r="M282" s="18"/>
      <c r="O282" s="21">
        <v>0.5</v>
      </c>
      <c r="S282" s="15" t="str">
        <f>IF(S281="*",S281,"")</f>
        <v>*</v>
      </c>
      <c r="T282" s="17" t="str">
        <f t="shared" si="221"/>
        <v>*BEV*</v>
      </c>
      <c r="U282" s="17" t="str">
        <f t="shared" si="221"/>
        <v>TRAETH</v>
      </c>
      <c r="V282" s="17" t="str">
        <f t="shared" si="221"/>
        <v>TRAFRESSHDMD</v>
      </c>
      <c r="W282" s="17" t="str">
        <f t="shared" si="221"/>
        <v>TRAFRESSHDMD</v>
      </c>
      <c r="X282" s="18">
        <v>2030</v>
      </c>
      <c r="Y282" s="18" t="str">
        <f>Y281</f>
        <v>LO</v>
      </c>
      <c r="Z282" s="18"/>
      <c r="AA282" s="20" t="e">
        <f>-SUMIFS('TRA RESID'!$P:$P,'TRA RESID'!$I:$I,W282,'TRA RESID'!$J:$J,T282,'TRA RESID'!$H:$H,U282)/SUMIFS('TRA RESID'!$P:$P,'TRA RESID'!$I:$I,W282)*AE282</f>
        <v>#DIV/0!</v>
      </c>
      <c r="AB282" s="18"/>
      <c r="AC282" s="18"/>
      <c r="AE282" s="21">
        <v>1</v>
      </c>
      <c r="AG282" s="15" t="str">
        <f>IF(AG281="*",AG281,"")</f>
        <v>*</v>
      </c>
      <c r="AH282" s="17" t="str">
        <f t="shared" si="222"/>
        <v>*HEV*</v>
      </c>
      <c r="AI282" s="17" t="str">
        <f t="shared" si="222"/>
        <v>TRAETH</v>
      </c>
      <c r="AJ282" s="17" t="str">
        <f t="shared" si="222"/>
        <v>TRAFRESSHDMD</v>
      </c>
      <c r="AK282" s="17" t="str">
        <f t="shared" si="222"/>
        <v>TRAFRESSHDMD</v>
      </c>
      <c r="AL282" s="18">
        <v>2030</v>
      </c>
      <c r="AM282" s="18" t="str">
        <f>AM281</f>
        <v>LO</v>
      </c>
      <c r="AN282" s="18"/>
      <c r="AO282" s="20" t="e">
        <f>-SUMIFS('TRA RESID'!$P:$P,'TRA RESID'!$I:$I,AK282,'TRA RESID'!$J:$J,AH282,'TRA RESID'!$H:$H,AI282)/SUMIFS('TRA RESID'!$P:$P,'TRA RESID'!$I:$I,AK282)*AS282</f>
        <v>#DIV/0!</v>
      </c>
      <c r="AP282" s="18"/>
      <c r="AQ282" s="18"/>
      <c r="AS282" s="21">
        <v>0.5</v>
      </c>
      <c r="AU282" s="15" t="str">
        <f>IF(AU281="*",AU281,"")</f>
        <v>*</v>
      </c>
      <c r="AV282" s="17" t="str">
        <f t="shared" si="223"/>
        <v>*FCEV*</v>
      </c>
      <c r="AW282" s="17" t="str">
        <f t="shared" si="223"/>
        <v>TRAETH</v>
      </c>
      <c r="AX282" s="17" t="str">
        <f t="shared" si="223"/>
        <v>TRAFRESSHDMD</v>
      </c>
      <c r="AY282" s="17" t="str">
        <f t="shared" si="223"/>
        <v>TRAFRESSHDMD</v>
      </c>
      <c r="AZ282" s="18">
        <v>2030</v>
      </c>
      <c r="BA282" s="18" t="str">
        <f>BA281</f>
        <v>LO</v>
      </c>
      <c r="BB282" s="18"/>
      <c r="BC282" s="20" t="e">
        <f>-SUMIFS('TRA RESID'!$P:$P,'TRA RESID'!$I:$I,AY282,'TRA RESID'!$J:$J,AV282,'TRA RESID'!$H:$H,AW282)/SUMIFS('TRA RESID'!$P:$P,'TRA RESID'!$I:$I,AY282)*BG282</f>
        <v>#DIV/0!</v>
      </c>
      <c r="BD282" s="18"/>
      <c r="BE282" s="18"/>
      <c r="BG282" s="21">
        <v>0.5</v>
      </c>
    </row>
    <row r="283" spans="1:59" x14ac:dyDescent="0.25">
      <c r="C283" s="15" t="str">
        <f>IF(C282="*",C282,"")</f>
        <v>*</v>
      </c>
      <c r="D283" s="17" t="str">
        <f t="shared" si="220"/>
        <v>*ICEV*</v>
      </c>
      <c r="E283" s="17" t="str">
        <f t="shared" si="220"/>
        <v>TRAETH</v>
      </c>
      <c r="F283" s="17" t="str">
        <f t="shared" si="220"/>
        <v>TRAFRESSHDMD</v>
      </c>
      <c r="G283" s="17" t="str">
        <f t="shared" si="220"/>
        <v>TRAFRESSHDMD</v>
      </c>
      <c r="H283" s="18">
        <v>2040</v>
      </c>
      <c r="I283" s="18" t="str">
        <f>I282</f>
        <v>LO</v>
      </c>
      <c r="J283" s="18"/>
      <c r="K283" s="20" t="e">
        <f>-SUMIFS('TRA RESID'!$P:$P,'TRA RESID'!$I:$I,G283,'TRA RESID'!$J:$J,D283,'TRA RESID'!$H:$H,E283)/SUMIFS('TRA RESID'!$P:$P,'TRA RESID'!$I:$I,G283)*O283</f>
        <v>#DIV/0!</v>
      </c>
      <c r="L283" s="18"/>
      <c r="M283" s="18"/>
      <c r="O283" s="21">
        <v>0</v>
      </c>
      <c r="S283" s="15" t="str">
        <f>IF(S282="*",S282,"")</f>
        <v>*</v>
      </c>
      <c r="T283" s="17" t="str">
        <f t="shared" si="221"/>
        <v>*BEV*</v>
      </c>
      <c r="U283" s="17" t="str">
        <f t="shared" si="221"/>
        <v>TRAETH</v>
      </c>
      <c r="V283" s="17" t="str">
        <f t="shared" si="221"/>
        <v>TRAFRESSHDMD</v>
      </c>
      <c r="W283" s="17" t="str">
        <f t="shared" si="221"/>
        <v>TRAFRESSHDMD</v>
      </c>
      <c r="X283" s="18">
        <v>2040</v>
      </c>
      <c r="Y283" s="18" t="str">
        <f>Y282</f>
        <v>LO</v>
      </c>
      <c r="Z283" s="18"/>
      <c r="AA283" s="20" t="e">
        <f>-SUMIFS('TRA RESID'!$P:$P,'TRA RESID'!$I:$I,W283,'TRA RESID'!$J:$J,T283,'TRA RESID'!$H:$H,U283)/SUMIFS('TRA RESID'!$P:$P,'TRA RESID'!$I:$I,W283)*AE283</f>
        <v>#DIV/0!</v>
      </c>
      <c r="AB283" s="18"/>
      <c r="AC283" s="18"/>
      <c r="AE283" s="21">
        <v>1</v>
      </c>
      <c r="AG283" s="15" t="str">
        <f>IF(AG282="*",AG282,"")</f>
        <v>*</v>
      </c>
      <c r="AH283" s="17" t="str">
        <f t="shared" si="222"/>
        <v>*HEV*</v>
      </c>
      <c r="AI283" s="17" t="str">
        <f t="shared" si="222"/>
        <v>TRAETH</v>
      </c>
      <c r="AJ283" s="17" t="str">
        <f t="shared" si="222"/>
        <v>TRAFRESSHDMD</v>
      </c>
      <c r="AK283" s="17" t="str">
        <f t="shared" si="222"/>
        <v>TRAFRESSHDMD</v>
      </c>
      <c r="AL283" s="18">
        <v>2040</v>
      </c>
      <c r="AM283" s="18" t="str">
        <f>AM282</f>
        <v>LO</v>
      </c>
      <c r="AN283" s="18"/>
      <c r="AO283" s="20" t="e">
        <f>-SUMIFS('TRA RESID'!$P:$P,'TRA RESID'!$I:$I,AK283,'TRA RESID'!$J:$J,AH283,'TRA RESID'!$H:$H,AI283)/SUMIFS('TRA RESID'!$P:$P,'TRA RESID'!$I:$I,AK283)*AS283</f>
        <v>#DIV/0!</v>
      </c>
      <c r="AP283" s="18"/>
      <c r="AQ283" s="18"/>
      <c r="AS283" s="21">
        <v>0</v>
      </c>
      <c r="AU283" s="15" t="str">
        <f>IF(AU282="*",AU282,"")</f>
        <v>*</v>
      </c>
      <c r="AV283" s="17" t="str">
        <f t="shared" si="223"/>
        <v>*FCEV*</v>
      </c>
      <c r="AW283" s="17" t="str">
        <f t="shared" si="223"/>
        <v>TRAETH</v>
      </c>
      <c r="AX283" s="17" t="str">
        <f t="shared" si="223"/>
        <v>TRAFRESSHDMD</v>
      </c>
      <c r="AY283" s="17" t="str">
        <f t="shared" si="223"/>
        <v>TRAFRESSHDMD</v>
      </c>
      <c r="AZ283" s="18">
        <v>2040</v>
      </c>
      <c r="BA283" s="18" t="str">
        <f>BA282</f>
        <v>LO</v>
      </c>
      <c r="BB283" s="18"/>
      <c r="BC283" s="20" t="e">
        <f>-SUMIFS('TRA RESID'!$P:$P,'TRA RESID'!$I:$I,AY283,'TRA RESID'!$J:$J,AV283,'TRA RESID'!$H:$H,AW283)/SUMIFS('TRA RESID'!$P:$P,'TRA RESID'!$I:$I,AY283)*BG283</f>
        <v>#DIV/0!</v>
      </c>
      <c r="BD283" s="18"/>
      <c r="BE283" s="18"/>
      <c r="BG283" s="21">
        <v>0</v>
      </c>
    </row>
    <row r="284" spans="1:59" x14ac:dyDescent="0.25">
      <c r="C284" s="23" t="str">
        <f>IF(C283="*",C283,"")</f>
        <v>*</v>
      </c>
      <c r="D284" s="25" t="str">
        <f t="shared" si="220"/>
        <v>*ICEV*</v>
      </c>
      <c r="E284" s="25" t="str">
        <f t="shared" si="220"/>
        <v>TRAETH</v>
      </c>
      <c r="F284" s="25" t="str">
        <f t="shared" si="220"/>
        <v>TRAFRESSHDMD</v>
      </c>
      <c r="G284" s="25" t="str">
        <f t="shared" si="220"/>
        <v>TRAFRESSHDMD</v>
      </c>
      <c r="H284" s="26">
        <v>2050</v>
      </c>
      <c r="I284" s="26" t="str">
        <f>I282</f>
        <v>LO</v>
      </c>
      <c r="J284" s="26"/>
      <c r="K284" s="27" t="e">
        <f>-SUMIFS('TRA RESID'!$P:$P,'TRA RESID'!$I:$I,G284,'TRA RESID'!$J:$J,D284,'TRA RESID'!$H:$H,E284)/SUMIFS('TRA RESID'!$P:$P,'TRA RESID'!$I:$I,G284)*O284</f>
        <v>#DIV/0!</v>
      </c>
      <c r="L284" s="26"/>
      <c r="M284" s="26"/>
      <c r="O284" s="28">
        <v>0</v>
      </c>
      <c r="S284" s="23" t="str">
        <f>IF(S283="*",S283,"")</f>
        <v>*</v>
      </c>
      <c r="T284" s="25" t="str">
        <f t="shared" si="221"/>
        <v>*BEV*</v>
      </c>
      <c r="U284" s="25" t="str">
        <f t="shared" si="221"/>
        <v>TRAETH</v>
      </c>
      <c r="V284" s="25" t="str">
        <f t="shared" si="221"/>
        <v>TRAFRESSHDMD</v>
      </c>
      <c r="W284" s="25" t="str">
        <f t="shared" si="221"/>
        <v>TRAFRESSHDMD</v>
      </c>
      <c r="X284" s="26">
        <v>2050</v>
      </c>
      <c r="Y284" s="26" t="str">
        <f>Y282</f>
        <v>LO</v>
      </c>
      <c r="Z284" s="26"/>
      <c r="AA284" s="27" t="e">
        <f>-SUMIFS('TRA RESID'!$P:$P,'TRA RESID'!$I:$I,W284,'TRA RESID'!$J:$J,T284,'TRA RESID'!$H:$H,U284)/SUMIFS('TRA RESID'!$P:$P,'TRA RESID'!$I:$I,W284)*AE284</f>
        <v>#DIV/0!</v>
      </c>
      <c r="AB284" s="26"/>
      <c r="AC284" s="26"/>
      <c r="AE284" s="28">
        <v>1</v>
      </c>
      <c r="AG284" s="23" t="str">
        <f>IF(AG283="*",AG283,"")</f>
        <v>*</v>
      </c>
      <c r="AH284" s="25" t="str">
        <f t="shared" si="222"/>
        <v>*HEV*</v>
      </c>
      <c r="AI284" s="25" t="str">
        <f t="shared" si="222"/>
        <v>TRAETH</v>
      </c>
      <c r="AJ284" s="25" t="str">
        <f t="shared" si="222"/>
        <v>TRAFRESSHDMD</v>
      </c>
      <c r="AK284" s="25" t="str">
        <f t="shared" si="222"/>
        <v>TRAFRESSHDMD</v>
      </c>
      <c r="AL284" s="26">
        <v>2050</v>
      </c>
      <c r="AM284" s="26" t="str">
        <f>AM282</f>
        <v>LO</v>
      </c>
      <c r="AN284" s="26"/>
      <c r="AO284" s="27" t="e">
        <f>-SUMIFS('TRA RESID'!$P:$P,'TRA RESID'!$I:$I,AK284,'TRA RESID'!$J:$J,AH284,'TRA RESID'!$H:$H,AI284)/SUMIFS('TRA RESID'!$P:$P,'TRA RESID'!$I:$I,AK284)*AS284</f>
        <v>#DIV/0!</v>
      </c>
      <c r="AP284" s="26"/>
      <c r="AQ284" s="26"/>
      <c r="AS284" s="28">
        <v>0</v>
      </c>
      <c r="AU284" s="23" t="str">
        <f>IF(AU283="*",AU283,"")</f>
        <v>*</v>
      </c>
      <c r="AV284" s="25" t="str">
        <f t="shared" si="223"/>
        <v>*FCEV*</v>
      </c>
      <c r="AW284" s="25" t="str">
        <f t="shared" si="223"/>
        <v>TRAETH</v>
      </c>
      <c r="AX284" s="25" t="str">
        <f t="shared" si="223"/>
        <v>TRAFRESSHDMD</v>
      </c>
      <c r="AY284" s="25" t="str">
        <f t="shared" si="223"/>
        <v>TRAFRESSHDMD</v>
      </c>
      <c r="AZ284" s="26">
        <v>2050</v>
      </c>
      <c r="BA284" s="26" t="str">
        <f>BA282</f>
        <v>LO</v>
      </c>
      <c r="BB284" s="26"/>
      <c r="BC284" s="27" t="e">
        <f>-SUMIFS('TRA RESID'!$P:$P,'TRA RESID'!$I:$I,AY284,'TRA RESID'!$J:$J,AV284,'TRA RESID'!$H:$H,AW284)/SUMIFS('TRA RESID'!$P:$P,'TRA RESID'!$I:$I,AY284)*BG284</f>
        <v>#DIV/0!</v>
      </c>
      <c r="BD284" s="26"/>
      <c r="BE284" s="26"/>
      <c r="BG284" s="28">
        <v>0</v>
      </c>
    </row>
    <row r="285" spans="1:59" x14ac:dyDescent="0.25">
      <c r="A285">
        <f>A280+1</f>
        <v>57</v>
      </c>
      <c r="C285" s="15" t="str">
        <f>IF(E285="","",IF(_xlfn.XLOOKUP($A285,Selected_constraint!$A:$A,Selected_constraint!$D:$D)=1,"*",IF(SUMIFS('TRA TECH'!$M:$M,'TRA TECH'!$H:$H,E285,'TRA TECH'!$I:$I,F285)=0,"*",IF(SUMIFS('TRA RESID'!$P:$P,'TRA RESID'!$I:$I,G285,'TRA RESID'!$J:$J,D285,'TRA RESID'!$H:$H,E285)=0,"*","UC_"&amp;SUBSTITUTE(D285,"*","")&amp;"_"&amp;RIGHT(E285,3)&amp;"_"&amp;F285))))</f>
        <v>*</v>
      </c>
      <c r="D285" s="17" t="s">
        <v>485</v>
      </c>
      <c r="E285" s="17" t="str">
        <f>_xlfn.XLOOKUP($A285,Selected_constraint!$A:$A,Selected_constraint!$B:$B)</f>
        <v>TRADSL</v>
      </c>
      <c r="F285" s="17" t="str">
        <f>_xlfn.XLOOKUP($A285,Selected_constraint!$A:$A,Selected_constraint!$C:$C)</f>
        <v>TRAFRESSHDMD</v>
      </c>
      <c r="G285" s="17" t="str">
        <f>F285</f>
        <v>TRAFRESSHDMD</v>
      </c>
      <c r="H285" s="18">
        <v>2019</v>
      </c>
      <c r="I285" s="18" t="s">
        <v>483</v>
      </c>
      <c r="J285" s="18">
        <v>1</v>
      </c>
      <c r="K285" s="20" t="e">
        <f>-SUMIFS('TRA RESID'!$P:$P,'TRA RESID'!$I:$I,G285,'TRA RESID'!$J:$J,D285,'TRA RESID'!$H:$H,E285)/SUMIFS('TRA RESID'!$P:$P,'TRA RESID'!$I:$I,G285)*O285</f>
        <v>#DIV/0!</v>
      </c>
      <c r="L285" s="18">
        <v>0</v>
      </c>
      <c r="M285" s="18">
        <v>5</v>
      </c>
      <c r="O285" s="21">
        <v>0.98</v>
      </c>
      <c r="Q285">
        <f>Q280+1</f>
        <v>57</v>
      </c>
      <c r="S285" s="15" t="str">
        <f>IF(SUMIFS('TRA RESID'!$P:$P,'TRA RESID'!$I:$I,W285,'TRA RESID'!$J:$J,T285,'TRA RESID'!$H:$H,U285)=0,"*","UC_"&amp;SUBSTITUTE(T285,"*","")&amp;"_"&amp;RIGHT(U285,3)&amp;"_"&amp;V285)</f>
        <v>*</v>
      </c>
      <c r="T285" s="17" t="s">
        <v>486</v>
      </c>
      <c r="U285" s="17" t="str">
        <f>_xlfn.XLOOKUP($A285,Selected_constraint!$A:$A,Selected_constraint!$B:$B)</f>
        <v>TRADSL</v>
      </c>
      <c r="V285" s="17" t="str">
        <f>_xlfn.XLOOKUP($A285,Selected_constraint!$A:$A,Selected_constraint!$C:$C)</f>
        <v>TRAFRESSHDMD</v>
      </c>
      <c r="W285" s="17" t="str">
        <f>V285</f>
        <v>TRAFRESSHDMD</v>
      </c>
      <c r="X285" s="18">
        <v>2019</v>
      </c>
      <c r="Y285" s="18" t="s">
        <v>483</v>
      </c>
      <c r="Z285" s="18">
        <v>1</v>
      </c>
      <c r="AA285" s="20" t="e">
        <f>-SUMIFS('TRA RESID'!$P:$P,'TRA RESID'!$I:$I,W285,'TRA RESID'!$J:$J,T285,'TRA RESID'!$H:$H,U285)/SUMIFS('TRA RESID'!$P:$P,'TRA RESID'!$I:$I,W285)*AE285</f>
        <v>#DIV/0!</v>
      </c>
      <c r="AB285" s="18">
        <v>0</v>
      </c>
      <c r="AC285" s="18">
        <v>5</v>
      </c>
      <c r="AE285" s="21">
        <v>0.98</v>
      </c>
      <c r="AG285" s="15" t="str">
        <f>IF(SUMIFS('TRA RESID'!$P:$P,'TRA RESID'!$I:$I,AK285,'TRA RESID'!$J:$J,AH285,'TRA RESID'!$H:$H,AI285)=0,"*","UC_"&amp;SUBSTITUTE(AH285,"*","")&amp;"_"&amp;RIGHT(AI285,3)&amp;"_"&amp;AJ285)</f>
        <v>*</v>
      </c>
      <c r="AH285" s="17" t="s">
        <v>487</v>
      </c>
      <c r="AI285" s="17" t="str">
        <f>_xlfn.XLOOKUP($A285,Selected_constraint!$A:$A,Selected_constraint!$B:$B)</f>
        <v>TRADSL</v>
      </c>
      <c r="AJ285" s="17" t="str">
        <f>_xlfn.XLOOKUP($A285,Selected_constraint!$A:$A,Selected_constraint!$C:$C)</f>
        <v>TRAFRESSHDMD</v>
      </c>
      <c r="AK285" s="17" t="str">
        <f>AJ285</f>
        <v>TRAFRESSHDMD</v>
      </c>
      <c r="AL285" s="18">
        <v>2019</v>
      </c>
      <c r="AM285" s="18" t="s">
        <v>483</v>
      </c>
      <c r="AN285" s="18">
        <v>1</v>
      </c>
      <c r="AO285" s="20" t="e">
        <f>-SUMIFS('TRA RESID'!$P:$P,'TRA RESID'!$I:$I,AK285,'TRA RESID'!$J:$J,AH285,'TRA RESID'!$H:$H,AI285)/SUMIFS('TRA RESID'!$P:$P,'TRA RESID'!$I:$I,AK285)*AS285</f>
        <v>#DIV/0!</v>
      </c>
      <c r="AP285" s="18">
        <v>0</v>
      </c>
      <c r="AQ285" s="18">
        <v>5</v>
      </c>
      <c r="AS285" s="21">
        <v>0.98</v>
      </c>
      <c r="AU285" s="15" t="str">
        <f>IF(SUMIFS('TRA RESID'!$P:$P,'TRA RESID'!$I:$I,AY285,'TRA RESID'!$J:$J,AV285,'TRA RESID'!$H:$H,AW285)=0,"*","UC_"&amp;SUBSTITUTE(AV285,"*","")&amp;"_"&amp;RIGHT(AW285,3)&amp;"_"&amp;AX285)</f>
        <v>*</v>
      </c>
      <c r="AV285" s="17" t="s">
        <v>488</v>
      </c>
      <c r="AW285" s="17" t="str">
        <f>_xlfn.XLOOKUP($A285,Selected_constraint!$A:$A,Selected_constraint!$B:$B)</f>
        <v>TRADSL</v>
      </c>
      <c r="AX285" s="17" t="str">
        <f>_xlfn.XLOOKUP($A285,Selected_constraint!$A:$A,Selected_constraint!$C:$C)</f>
        <v>TRAFRESSHDMD</v>
      </c>
      <c r="AY285" s="17" t="str">
        <f>AX285</f>
        <v>TRAFRESSHDMD</v>
      </c>
      <c r="AZ285" s="18">
        <v>2019</v>
      </c>
      <c r="BA285" s="18" t="s">
        <v>483</v>
      </c>
      <c r="BB285" s="18">
        <v>1</v>
      </c>
      <c r="BC285" s="20" t="e">
        <f>-SUMIFS('TRA RESID'!$P:$P,'TRA RESID'!$I:$I,AY285,'TRA RESID'!$J:$J,AV285,'TRA RESID'!$H:$H,AW285)/SUMIFS('TRA RESID'!$P:$P,'TRA RESID'!$I:$I,AY285)*BG285</f>
        <v>#DIV/0!</v>
      </c>
      <c r="BD285" s="18">
        <v>0</v>
      </c>
      <c r="BE285" s="18">
        <v>5</v>
      </c>
      <c r="BG285" s="21">
        <v>0.98</v>
      </c>
    </row>
    <row r="286" spans="1:59" x14ac:dyDescent="0.25">
      <c r="C286" s="15" t="str">
        <f>IF(C285="*",C285,"")</f>
        <v>*</v>
      </c>
      <c r="D286" s="17" t="str">
        <f t="shared" ref="D286:G289" si="224">D285</f>
        <v>*ICEV*</v>
      </c>
      <c r="E286" s="17" t="str">
        <f t="shared" si="224"/>
        <v>TRADSL</v>
      </c>
      <c r="F286" s="17" t="str">
        <f t="shared" si="224"/>
        <v>TRAFRESSHDMD</v>
      </c>
      <c r="G286" s="17" t="str">
        <f t="shared" si="224"/>
        <v>TRAFRESSHDMD</v>
      </c>
      <c r="H286" s="18">
        <v>2025</v>
      </c>
      <c r="I286" s="18" t="str">
        <f>I285</f>
        <v>LO</v>
      </c>
      <c r="J286" s="18"/>
      <c r="K286" s="20" t="e">
        <f>-SUMIFS('TRA RESID'!$P:$P,'TRA RESID'!$I:$I,G286,'TRA RESID'!$J:$J,D286,'TRA RESID'!$H:$H,E286)/SUMIFS('TRA RESID'!$P:$P,'TRA RESID'!$I:$I,G286)*O286</f>
        <v>#DIV/0!</v>
      </c>
      <c r="L286" s="18"/>
      <c r="M286" s="18"/>
      <c r="O286" s="21">
        <v>0.8</v>
      </c>
      <c r="S286" s="15" t="str">
        <f>IF(S285="*",S285,"")</f>
        <v>*</v>
      </c>
      <c r="T286" s="17" t="str">
        <f t="shared" ref="T286:W289" si="225">T285</f>
        <v>*BEV*</v>
      </c>
      <c r="U286" s="17" t="str">
        <f t="shared" si="225"/>
        <v>TRADSL</v>
      </c>
      <c r="V286" s="17" t="str">
        <f t="shared" si="225"/>
        <v>TRAFRESSHDMD</v>
      </c>
      <c r="W286" s="17" t="str">
        <f t="shared" si="225"/>
        <v>TRAFRESSHDMD</v>
      </c>
      <c r="X286" s="18">
        <v>2025</v>
      </c>
      <c r="Y286" s="18" t="str">
        <f>Y285</f>
        <v>LO</v>
      </c>
      <c r="Z286" s="18"/>
      <c r="AA286" s="20" t="e">
        <f>-SUMIFS('TRA RESID'!$P:$P,'TRA RESID'!$I:$I,W286,'TRA RESID'!$J:$J,T286,'TRA RESID'!$H:$H,U286)/SUMIFS('TRA RESID'!$P:$P,'TRA RESID'!$I:$I,W286)*AE286</f>
        <v>#DIV/0!</v>
      </c>
      <c r="AB286" s="18"/>
      <c r="AC286" s="18"/>
      <c r="AE286" s="21">
        <v>1</v>
      </c>
      <c r="AG286" s="15" t="str">
        <f>IF(AG285="*",AG285,"")</f>
        <v>*</v>
      </c>
      <c r="AH286" s="17" t="str">
        <f t="shared" ref="AH286:AK289" si="226">AH285</f>
        <v>*HEV*</v>
      </c>
      <c r="AI286" s="17" t="str">
        <f t="shared" si="226"/>
        <v>TRADSL</v>
      </c>
      <c r="AJ286" s="17" t="str">
        <f t="shared" si="226"/>
        <v>TRAFRESSHDMD</v>
      </c>
      <c r="AK286" s="17" t="str">
        <f t="shared" si="226"/>
        <v>TRAFRESSHDMD</v>
      </c>
      <c r="AL286" s="18">
        <v>2025</v>
      </c>
      <c r="AM286" s="18" t="str">
        <f>AM285</f>
        <v>LO</v>
      </c>
      <c r="AN286" s="18"/>
      <c r="AO286" s="20" t="e">
        <f>-SUMIFS('TRA RESID'!$P:$P,'TRA RESID'!$I:$I,AK286,'TRA RESID'!$J:$J,AH286,'TRA RESID'!$H:$H,AI286)/SUMIFS('TRA RESID'!$P:$P,'TRA RESID'!$I:$I,AK286)*AS286</f>
        <v>#DIV/0!</v>
      </c>
      <c r="AP286" s="18"/>
      <c r="AQ286" s="18"/>
      <c r="AS286" s="21">
        <v>0.8</v>
      </c>
      <c r="AU286" s="15" t="str">
        <f>IF(AU285="*",AU285,"")</f>
        <v>*</v>
      </c>
      <c r="AV286" s="17" t="str">
        <f t="shared" ref="AV286:AY289" si="227">AV285</f>
        <v>*FCEV*</v>
      </c>
      <c r="AW286" s="17" t="str">
        <f t="shared" si="227"/>
        <v>TRADSL</v>
      </c>
      <c r="AX286" s="17" t="str">
        <f t="shared" si="227"/>
        <v>TRAFRESSHDMD</v>
      </c>
      <c r="AY286" s="17" t="str">
        <f t="shared" si="227"/>
        <v>TRAFRESSHDMD</v>
      </c>
      <c r="AZ286" s="18">
        <v>2025</v>
      </c>
      <c r="BA286" s="18" t="str">
        <f>BA285</f>
        <v>LO</v>
      </c>
      <c r="BB286" s="18"/>
      <c r="BC286" s="20" t="e">
        <f>-SUMIFS('TRA RESID'!$P:$P,'TRA RESID'!$I:$I,AY286,'TRA RESID'!$J:$J,AV286,'TRA RESID'!$H:$H,AW286)/SUMIFS('TRA RESID'!$P:$P,'TRA RESID'!$I:$I,AY286)*BG286</f>
        <v>#DIV/0!</v>
      </c>
      <c r="BD286" s="18"/>
      <c r="BE286" s="18"/>
      <c r="BG286" s="21">
        <v>0.8</v>
      </c>
    </row>
    <row r="287" spans="1:59" x14ac:dyDescent="0.25">
      <c r="C287" s="15" t="str">
        <f>IF(C286="*",C286,"")</f>
        <v>*</v>
      </c>
      <c r="D287" s="17" t="str">
        <f t="shared" si="224"/>
        <v>*ICEV*</v>
      </c>
      <c r="E287" s="17" t="str">
        <f t="shared" si="224"/>
        <v>TRADSL</v>
      </c>
      <c r="F287" s="17" t="str">
        <f t="shared" si="224"/>
        <v>TRAFRESSHDMD</v>
      </c>
      <c r="G287" s="17" t="str">
        <f t="shared" si="224"/>
        <v>TRAFRESSHDMD</v>
      </c>
      <c r="H287" s="18">
        <v>2030</v>
      </c>
      <c r="I287" s="18" t="str">
        <f>I286</f>
        <v>LO</v>
      </c>
      <c r="J287" s="18"/>
      <c r="K287" s="20" t="e">
        <f>-SUMIFS('TRA RESID'!$P:$P,'TRA RESID'!$I:$I,G287,'TRA RESID'!$J:$J,D287,'TRA RESID'!$H:$H,E287)/SUMIFS('TRA RESID'!$P:$P,'TRA RESID'!$I:$I,G287)*O287</f>
        <v>#DIV/0!</v>
      </c>
      <c r="L287" s="18"/>
      <c r="M287" s="18"/>
      <c r="O287" s="21">
        <v>0.5</v>
      </c>
      <c r="S287" s="15" t="str">
        <f>IF(S286="*",S286,"")</f>
        <v>*</v>
      </c>
      <c r="T287" s="17" t="str">
        <f t="shared" si="225"/>
        <v>*BEV*</v>
      </c>
      <c r="U287" s="17" t="str">
        <f t="shared" si="225"/>
        <v>TRADSL</v>
      </c>
      <c r="V287" s="17" t="str">
        <f t="shared" si="225"/>
        <v>TRAFRESSHDMD</v>
      </c>
      <c r="W287" s="17" t="str">
        <f t="shared" si="225"/>
        <v>TRAFRESSHDMD</v>
      </c>
      <c r="X287" s="18">
        <v>2030</v>
      </c>
      <c r="Y287" s="18" t="str">
        <f>Y286</f>
        <v>LO</v>
      </c>
      <c r="Z287" s="18"/>
      <c r="AA287" s="20" t="e">
        <f>-SUMIFS('TRA RESID'!$P:$P,'TRA RESID'!$I:$I,W287,'TRA RESID'!$J:$J,T287,'TRA RESID'!$H:$H,U287)/SUMIFS('TRA RESID'!$P:$P,'TRA RESID'!$I:$I,W287)*AE287</f>
        <v>#DIV/0!</v>
      </c>
      <c r="AB287" s="18"/>
      <c r="AC287" s="18"/>
      <c r="AE287" s="21">
        <v>1</v>
      </c>
      <c r="AG287" s="15" t="str">
        <f>IF(AG286="*",AG286,"")</f>
        <v>*</v>
      </c>
      <c r="AH287" s="17" t="str">
        <f t="shared" si="226"/>
        <v>*HEV*</v>
      </c>
      <c r="AI287" s="17" t="str">
        <f t="shared" si="226"/>
        <v>TRADSL</v>
      </c>
      <c r="AJ287" s="17" t="str">
        <f t="shared" si="226"/>
        <v>TRAFRESSHDMD</v>
      </c>
      <c r="AK287" s="17" t="str">
        <f t="shared" si="226"/>
        <v>TRAFRESSHDMD</v>
      </c>
      <c r="AL287" s="18">
        <v>2030</v>
      </c>
      <c r="AM287" s="18" t="str">
        <f>AM286</f>
        <v>LO</v>
      </c>
      <c r="AN287" s="18"/>
      <c r="AO287" s="20" t="e">
        <f>-SUMIFS('TRA RESID'!$P:$P,'TRA RESID'!$I:$I,AK287,'TRA RESID'!$J:$J,AH287,'TRA RESID'!$H:$H,AI287)/SUMIFS('TRA RESID'!$P:$P,'TRA RESID'!$I:$I,AK287)*AS287</f>
        <v>#DIV/0!</v>
      </c>
      <c r="AP287" s="18"/>
      <c r="AQ287" s="18"/>
      <c r="AS287" s="21">
        <v>0.5</v>
      </c>
      <c r="AU287" s="15" t="str">
        <f>IF(AU286="*",AU286,"")</f>
        <v>*</v>
      </c>
      <c r="AV287" s="17" t="str">
        <f t="shared" si="227"/>
        <v>*FCEV*</v>
      </c>
      <c r="AW287" s="17" t="str">
        <f t="shared" si="227"/>
        <v>TRADSL</v>
      </c>
      <c r="AX287" s="17" t="str">
        <f t="shared" si="227"/>
        <v>TRAFRESSHDMD</v>
      </c>
      <c r="AY287" s="17" t="str">
        <f t="shared" si="227"/>
        <v>TRAFRESSHDMD</v>
      </c>
      <c r="AZ287" s="18">
        <v>2030</v>
      </c>
      <c r="BA287" s="18" t="str">
        <f>BA286</f>
        <v>LO</v>
      </c>
      <c r="BB287" s="18"/>
      <c r="BC287" s="20" t="e">
        <f>-SUMIFS('TRA RESID'!$P:$P,'TRA RESID'!$I:$I,AY287,'TRA RESID'!$J:$J,AV287,'TRA RESID'!$H:$H,AW287)/SUMIFS('TRA RESID'!$P:$P,'TRA RESID'!$I:$I,AY287)*BG287</f>
        <v>#DIV/0!</v>
      </c>
      <c r="BD287" s="18"/>
      <c r="BE287" s="18"/>
      <c r="BG287" s="21">
        <v>0.5</v>
      </c>
    </row>
    <row r="288" spans="1:59" x14ac:dyDescent="0.25">
      <c r="C288" s="15" t="str">
        <f>IF(C287="*",C287,"")</f>
        <v>*</v>
      </c>
      <c r="D288" s="17" t="str">
        <f t="shared" si="224"/>
        <v>*ICEV*</v>
      </c>
      <c r="E288" s="17" t="str">
        <f t="shared" si="224"/>
        <v>TRADSL</v>
      </c>
      <c r="F288" s="17" t="str">
        <f t="shared" si="224"/>
        <v>TRAFRESSHDMD</v>
      </c>
      <c r="G288" s="17" t="str">
        <f t="shared" si="224"/>
        <v>TRAFRESSHDMD</v>
      </c>
      <c r="H288" s="18">
        <v>2040</v>
      </c>
      <c r="I288" s="18" t="str">
        <f>I287</f>
        <v>LO</v>
      </c>
      <c r="J288" s="18"/>
      <c r="K288" s="20" t="e">
        <f>-SUMIFS('TRA RESID'!$P:$P,'TRA RESID'!$I:$I,G288,'TRA RESID'!$J:$J,D288,'TRA RESID'!$H:$H,E288)/SUMIFS('TRA RESID'!$P:$P,'TRA RESID'!$I:$I,G288)*O288</f>
        <v>#DIV/0!</v>
      </c>
      <c r="L288" s="18"/>
      <c r="M288" s="18"/>
      <c r="O288" s="21">
        <v>0</v>
      </c>
      <c r="S288" s="15" t="str">
        <f>IF(S287="*",S287,"")</f>
        <v>*</v>
      </c>
      <c r="T288" s="17" t="str">
        <f t="shared" si="225"/>
        <v>*BEV*</v>
      </c>
      <c r="U288" s="17" t="str">
        <f t="shared" si="225"/>
        <v>TRADSL</v>
      </c>
      <c r="V288" s="17" t="str">
        <f t="shared" si="225"/>
        <v>TRAFRESSHDMD</v>
      </c>
      <c r="W288" s="17" t="str">
        <f t="shared" si="225"/>
        <v>TRAFRESSHDMD</v>
      </c>
      <c r="X288" s="18">
        <v>2040</v>
      </c>
      <c r="Y288" s="18" t="str">
        <f>Y287</f>
        <v>LO</v>
      </c>
      <c r="Z288" s="18"/>
      <c r="AA288" s="20" t="e">
        <f>-SUMIFS('TRA RESID'!$P:$P,'TRA RESID'!$I:$I,W288,'TRA RESID'!$J:$J,T288,'TRA RESID'!$H:$H,U288)/SUMIFS('TRA RESID'!$P:$P,'TRA RESID'!$I:$I,W288)*AE288</f>
        <v>#DIV/0!</v>
      </c>
      <c r="AB288" s="18"/>
      <c r="AC288" s="18"/>
      <c r="AE288" s="21">
        <v>1</v>
      </c>
      <c r="AG288" s="15" t="str">
        <f>IF(AG287="*",AG287,"")</f>
        <v>*</v>
      </c>
      <c r="AH288" s="17" t="str">
        <f t="shared" si="226"/>
        <v>*HEV*</v>
      </c>
      <c r="AI288" s="17" t="str">
        <f t="shared" si="226"/>
        <v>TRADSL</v>
      </c>
      <c r="AJ288" s="17" t="str">
        <f t="shared" si="226"/>
        <v>TRAFRESSHDMD</v>
      </c>
      <c r="AK288" s="17" t="str">
        <f t="shared" si="226"/>
        <v>TRAFRESSHDMD</v>
      </c>
      <c r="AL288" s="18">
        <v>2040</v>
      </c>
      <c r="AM288" s="18" t="str">
        <f>AM287</f>
        <v>LO</v>
      </c>
      <c r="AN288" s="18"/>
      <c r="AO288" s="20" t="e">
        <f>-SUMIFS('TRA RESID'!$P:$P,'TRA RESID'!$I:$I,AK288,'TRA RESID'!$J:$J,AH288,'TRA RESID'!$H:$H,AI288)/SUMIFS('TRA RESID'!$P:$P,'TRA RESID'!$I:$I,AK288)*AS288</f>
        <v>#DIV/0!</v>
      </c>
      <c r="AP288" s="18"/>
      <c r="AQ288" s="18"/>
      <c r="AS288" s="21">
        <v>0</v>
      </c>
      <c r="AU288" s="15" t="str">
        <f>IF(AU287="*",AU287,"")</f>
        <v>*</v>
      </c>
      <c r="AV288" s="17" t="str">
        <f t="shared" si="227"/>
        <v>*FCEV*</v>
      </c>
      <c r="AW288" s="17" t="str">
        <f t="shared" si="227"/>
        <v>TRADSL</v>
      </c>
      <c r="AX288" s="17" t="str">
        <f t="shared" si="227"/>
        <v>TRAFRESSHDMD</v>
      </c>
      <c r="AY288" s="17" t="str">
        <f t="shared" si="227"/>
        <v>TRAFRESSHDMD</v>
      </c>
      <c r="AZ288" s="18">
        <v>2040</v>
      </c>
      <c r="BA288" s="18" t="str">
        <f>BA287</f>
        <v>LO</v>
      </c>
      <c r="BB288" s="18"/>
      <c r="BC288" s="20" t="e">
        <f>-SUMIFS('TRA RESID'!$P:$P,'TRA RESID'!$I:$I,AY288,'TRA RESID'!$J:$J,AV288,'TRA RESID'!$H:$H,AW288)/SUMIFS('TRA RESID'!$P:$P,'TRA RESID'!$I:$I,AY288)*BG288</f>
        <v>#DIV/0!</v>
      </c>
      <c r="BD288" s="18"/>
      <c r="BE288" s="18"/>
      <c r="BG288" s="21">
        <v>0</v>
      </c>
    </row>
    <row r="289" spans="1:59" x14ac:dyDescent="0.25">
      <c r="C289" s="23" t="str">
        <f>IF(C288="*",C288,"")</f>
        <v>*</v>
      </c>
      <c r="D289" s="25" t="str">
        <f t="shared" si="224"/>
        <v>*ICEV*</v>
      </c>
      <c r="E289" s="25" t="str">
        <f t="shared" si="224"/>
        <v>TRADSL</v>
      </c>
      <c r="F289" s="25" t="str">
        <f t="shared" si="224"/>
        <v>TRAFRESSHDMD</v>
      </c>
      <c r="G289" s="25" t="str">
        <f t="shared" si="224"/>
        <v>TRAFRESSHDMD</v>
      </c>
      <c r="H289" s="26">
        <v>2050</v>
      </c>
      <c r="I289" s="26" t="str">
        <f>I287</f>
        <v>LO</v>
      </c>
      <c r="J289" s="26"/>
      <c r="K289" s="27" t="e">
        <f>-SUMIFS('TRA RESID'!$P:$P,'TRA RESID'!$I:$I,G289,'TRA RESID'!$J:$J,D289,'TRA RESID'!$H:$H,E289)/SUMIFS('TRA RESID'!$P:$P,'TRA RESID'!$I:$I,G289)*O289</f>
        <v>#DIV/0!</v>
      </c>
      <c r="L289" s="26"/>
      <c r="M289" s="26"/>
      <c r="O289" s="28">
        <v>0</v>
      </c>
      <c r="S289" s="23" t="str">
        <f>IF(S288="*",S288,"")</f>
        <v>*</v>
      </c>
      <c r="T289" s="25" t="str">
        <f t="shared" si="225"/>
        <v>*BEV*</v>
      </c>
      <c r="U289" s="25" t="str">
        <f t="shared" si="225"/>
        <v>TRADSL</v>
      </c>
      <c r="V289" s="25" t="str">
        <f t="shared" si="225"/>
        <v>TRAFRESSHDMD</v>
      </c>
      <c r="W289" s="25" t="str">
        <f t="shared" si="225"/>
        <v>TRAFRESSHDMD</v>
      </c>
      <c r="X289" s="26">
        <v>2050</v>
      </c>
      <c r="Y289" s="26" t="str">
        <f>Y287</f>
        <v>LO</v>
      </c>
      <c r="Z289" s="26"/>
      <c r="AA289" s="27" t="e">
        <f>-SUMIFS('TRA RESID'!$P:$P,'TRA RESID'!$I:$I,W289,'TRA RESID'!$J:$J,T289,'TRA RESID'!$H:$H,U289)/SUMIFS('TRA RESID'!$P:$P,'TRA RESID'!$I:$I,W289)*AE289</f>
        <v>#DIV/0!</v>
      </c>
      <c r="AB289" s="26"/>
      <c r="AC289" s="26"/>
      <c r="AE289" s="28">
        <v>1</v>
      </c>
      <c r="AG289" s="23" t="str">
        <f>IF(AG288="*",AG288,"")</f>
        <v>*</v>
      </c>
      <c r="AH289" s="25" t="str">
        <f t="shared" si="226"/>
        <v>*HEV*</v>
      </c>
      <c r="AI289" s="25" t="str">
        <f t="shared" si="226"/>
        <v>TRADSL</v>
      </c>
      <c r="AJ289" s="25" t="str">
        <f t="shared" si="226"/>
        <v>TRAFRESSHDMD</v>
      </c>
      <c r="AK289" s="25" t="str">
        <f t="shared" si="226"/>
        <v>TRAFRESSHDMD</v>
      </c>
      <c r="AL289" s="26">
        <v>2050</v>
      </c>
      <c r="AM289" s="26" t="str">
        <f>AM287</f>
        <v>LO</v>
      </c>
      <c r="AN289" s="26"/>
      <c r="AO289" s="27" t="e">
        <f>-SUMIFS('TRA RESID'!$P:$P,'TRA RESID'!$I:$I,AK289,'TRA RESID'!$J:$J,AH289,'TRA RESID'!$H:$H,AI289)/SUMIFS('TRA RESID'!$P:$P,'TRA RESID'!$I:$I,AK289)*AS289</f>
        <v>#DIV/0!</v>
      </c>
      <c r="AP289" s="26"/>
      <c r="AQ289" s="26"/>
      <c r="AS289" s="28">
        <v>0</v>
      </c>
      <c r="AU289" s="23" t="str">
        <f>IF(AU288="*",AU288,"")</f>
        <v>*</v>
      </c>
      <c r="AV289" s="25" t="str">
        <f t="shared" si="227"/>
        <v>*FCEV*</v>
      </c>
      <c r="AW289" s="25" t="str">
        <f t="shared" si="227"/>
        <v>TRADSL</v>
      </c>
      <c r="AX289" s="25" t="str">
        <f t="shared" si="227"/>
        <v>TRAFRESSHDMD</v>
      </c>
      <c r="AY289" s="25" t="str">
        <f t="shared" si="227"/>
        <v>TRAFRESSHDMD</v>
      </c>
      <c r="AZ289" s="26">
        <v>2050</v>
      </c>
      <c r="BA289" s="26" t="str">
        <f>BA287</f>
        <v>LO</v>
      </c>
      <c r="BB289" s="26"/>
      <c r="BC289" s="27" t="e">
        <f>-SUMIFS('TRA RESID'!$P:$P,'TRA RESID'!$I:$I,AY289,'TRA RESID'!$J:$J,AV289,'TRA RESID'!$H:$H,AW289)/SUMIFS('TRA RESID'!$P:$P,'TRA RESID'!$I:$I,AY289)*BG289</f>
        <v>#DIV/0!</v>
      </c>
      <c r="BD289" s="26"/>
      <c r="BE289" s="26"/>
      <c r="BG289" s="28">
        <v>0</v>
      </c>
    </row>
    <row r="290" spans="1:59" x14ac:dyDescent="0.25">
      <c r="A290">
        <f>A285+1</f>
        <v>58</v>
      </c>
      <c r="C290" s="15" t="str">
        <f>IF(E290="","",IF(_xlfn.XLOOKUP($A290,Selected_constraint!$A:$A,Selected_constraint!$D:$D)=1,"*",IF(SUMIFS('TRA TECH'!$M:$M,'TRA TECH'!$H:$H,E290,'TRA TECH'!$I:$I,F290)=0,"*",IF(SUMIFS('TRA RESID'!$P:$P,'TRA RESID'!$I:$I,G290,'TRA RESID'!$J:$J,D290,'TRA RESID'!$H:$H,E290)=0,"*","UC_"&amp;SUBSTITUTE(D290,"*","")&amp;"_"&amp;RIGHT(E290,3)&amp;"_"&amp;F290))))</f>
        <v>*</v>
      </c>
      <c r="D290" s="17" t="s">
        <v>485</v>
      </c>
      <c r="E290" s="17" t="str">
        <f>_xlfn.XLOOKUP($A290,Selected_constraint!$A:$A,Selected_constraint!$B:$B)</f>
        <v>TRARDS</v>
      </c>
      <c r="F290" s="17" t="str">
        <f>_xlfn.XLOOKUP($A290,Selected_constraint!$A:$A,Selected_constraint!$C:$C)</f>
        <v>TRAFRESSHDMD</v>
      </c>
      <c r="G290" s="17" t="str">
        <f>F290</f>
        <v>TRAFRESSHDMD</v>
      </c>
      <c r="H290" s="18">
        <v>2019</v>
      </c>
      <c r="I290" s="18" t="s">
        <v>483</v>
      </c>
      <c r="J290" s="18">
        <v>1</v>
      </c>
      <c r="K290" s="20" t="e">
        <f>-SUMIFS('TRA RESID'!$P:$P,'TRA RESID'!$I:$I,G290,'TRA RESID'!$J:$J,D290,'TRA RESID'!$H:$H,E290)/SUMIFS('TRA RESID'!$P:$P,'TRA RESID'!$I:$I,G290)*O290</f>
        <v>#DIV/0!</v>
      </c>
      <c r="L290" s="18">
        <v>0</v>
      </c>
      <c r="M290" s="18">
        <v>5</v>
      </c>
      <c r="O290" s="21">
        <v>0.98</v>
      </c>
      <c r="Q290">
        <f>Q285+1</f>
        <v>58</v>
      </c>
      <c r="S290" s="15" t="str">
        <f>IF(SUMIFS('TRA RESID'!$P:$P,'TRA RESID'!$I:$I,W290,'TRA RESID'!$J:$J,T290,'TRA RESID'!$H:$H,U290)=0,"*","UC_"&amp;SUBSTITUTE(T290,"*","")&amp;"_"&amp;RIGHT(U290,3)&amp;"_"&amp;V290)</f>
        <v>*</v>
      </c>
      <c r="T290" s="17" t="s">
        <v>486</v>
      </c>
      <c r="U290" s="17" t="str">
        <f>_xlfn.XLOOKUP($A290,Selected_constraint!$A:$A,Selected_constraint!$B:$B)</f>
        <v>TRARDS</v>
      </c>
      <c r="V290" s="17" t="str">
        <f>_xlfn.XLOOKUP($A290,Selected_constraint!$A:$A,Selected_constraint!$C:$C)</f>
        <v>TRAFRESSHDMD</v>
      </c>
      <c r="W290" s="17" t="str">
        <f>V290</f>
        <v>TRAFRESSHDMD</v>
      </c>
      <c r="X290" s="18">
        <v>2019</v>
      </c>
      <c r="Y290" s="18" t="s">
        <v>483</v>
      </c>
      <c r="Z290" s="18">
        <v>1</v>
      </c>
      <c r="AA290" s="20" t="e">
        <f>-SUMIFS('TRA RESID'!$P:$P,'TRA RESID'!$I:$I,W290,'TRA RESID'!$J:$J,T290,'TRA RESID'!$H:$H,U290)/SUMIFS('TRA RESID'!$P:$P,'TRA RESID'!$I:$I,W290)*AE290</f>
        <v>#DIV/0!</v>
      </c>
      <c r="AB290" s="18">
        <v>0</v>
      </c>
      <c r="AC290" s="18">
        <v>5</v>
      </c>
      <c r="AE290" s="21">
        <v>0.98</v>
      </c>
      <c r="AG290" s="15" t="str">
        <f>IF(SUMIFS('TRA RESID'!$P:$P,'TRA RESID'!$I:$I,AK290,'TRA RESID'!$J:$J,AH290,'TRA RESID'!$H:$H,AI290)=0,"*","UC_"&amp;SUBSTITUTE(AH290,"*","")&amp;"_"&amp;RIGHT(AI290,3)&amp;"_"&amp;AJ290)</f>
        <v>*</v>
      </c>
      <c r="AH290" s="17" t="s">
        <v>487</v>
      </c>
      <c r="AI290" s="17" t="str">
        <f>_xlfn.XLOOKUP($A290,Selected_constraint!$A:$A,Selected_constraint!$B:$B)</f>
        <v>TRARDS</v>
      </c>
      <c r="AJ290" s="17" t="str">
        <f>_xlfn.XLOOKUP($A290,Selected_constraint!$A:$A,Selected_constraint!$C:$C)</f>
        <v>TRAFRESSHDMD</v>
      </c>
      <c r="AK290" s="17" t="str">
        <f>AJ290</f>
        <v>TRAFRESSHDMD</v>
      </c>
      <c r="AL290" s="18">
        <v>2019</v>
      </c>
      <c r="AM290" s="18" t="s">
        <v>483</v>
      </c>
      <c r="AN290" s="18">
        <v>1</v>
      </c>
      <c r="AO290" s="20" t="e">
        <f>-SUMIFS('TRA RESID'!$P:$P,'TRA RESID'!$I:$I,AK290,'TRA RESID'!$J:$J,AH290,'TRA RESID'!$H:$H,AI290)/SUMIFS('TRA RESID'!$P:$P,'TRA RESID'!$I:$I,AK290)*AS290</f>
        <v>#DIV/0!</v>
      </c>
      <c r="AP290" s="18">
        <v>0</v>
      </c>
      <c r="AQ290" s="18">
        <v>5</v>
      </c>
      <c r="AS290" s="21">
        <v>0.98</v>
      </c>
      <c r="AU290" s="15" t="str">
        <f>IF(SUMIFS('TRA RESID'!$P:$P,'TRA RESID'!$I:$I,AY290,'TRA RESID'!$J:$J,AV290,'TRA RESID'!$H:$H,AW290)=0,"*","UC_"&amp;SUBSTITUTE(AV290,"*","")&amp;"_"&amp;RIGHT(AW290,3)&amp;"_"&amp;AX290)</f>
        <v>*</v>
      </c>
      <c r="AV290" s="17" t="s">
        <v>488</v>
      </c>
      <c r="AW290" s="17" t="str">
        <f>_xlfn.XLOOKUP($A290,Selected_constraint!$A:$A,Selected_constraint!$B:$B)</f>
        <v>TRARDS</v>
      </c>
      <c r="AX290" s="17" t="str">
        <f>_xlfn.XLOOKUP($A290,Selected_constraint!$A:$A,Selected_constraint!$C:$C)</f>
        <v>TRAFRESSHDMD</v>
      </c>
      <c r="AY290" s="17" t="str">
        <f>AX290</f>
        <v>TRAFRESSHDMD</v>
      </c>
      <c r="AZ290" s="18">
        <v>2019</v>
      </c>
      <c r="BA290" s="18" t="s">
        <v>483</v>
      </c>
      <c r="BB290" s="18">
        <v>1</v>
      </c>
      <c r="BC290" s="20" t="e">
        <f>-SUMIFS('TRA RESID'!$P:$P,'TRA RESID'!$I:$I,AY290,'TRA RESID'!$J:$J,AV290,'TRA RESID'!$H:$H,AW290)/SUMIFS('TRA RESID'!$P:$P,'TRA RESID'!$I:$I,AY290)*BG290</f>
        <v>#DIV/0!</v>
      </c>
      <c r="BD290" s="18">
        <v>0</v>
      </c>
      <c r="BE290" s="18">
        <v>5</v>
      </c>
      <c r="BG290" s="21">
        <v>0.98</v>
      </c>
    </row>
    <row r="291" spans="1:59" x14ac:dyDescent="0.25">
      <c r="C291" s="15" t="str">
        <f>IF(C290="*",C290,"")</f>
        <v>*</v>
      </c>
      <c r="D291" s="17" t="str">
        <f t="shared" ref="D291:G294" si="228">D290</f>
        <v>*ICEV*</v>
      </c>
      <c r="E291" s="17" t="str">
        <f t="shared" si="228"/>
        <v>TRARDS</v>
      </c>
      <c r="F291" s="17" t="str">
        <f t="shared" si="228"/>
        <v>TRAFRESSHDMD</v>
      </c>
      <c r="G291" s="17" t="str">
        <f t="shared" si="228"/>
        <v>TRAFRESSHDMD</v>
      </c>
      <c r="H291" s="18">
        <v>2025</v>
      </c>
      <c r="I291" s="18" t="str">
        <f>I290</f>
        <v>LO</v>
      </c>
      <c r="J291" s="18"/>
      <c r="K291" s="20" t="e">
        <f>-SUMIFS('TRA RESID'!$P:$P,'TRA RESID'!$I:$I,G291,'TRA RESID'!$J:$J,D291,'TRA RESID'!$H:$H,E291)/SUMIFS('TRA RESID'!$P:$P,'TRA RESID'!$I:$I,G291)*O291</f>
        <v>#DIV/0!</v>
      </c>
      <c r="L291" s="18"/>
      <c r="M291" s="18"/>
      <c r="O291" s="21">
        <v>0.8</v>
      </c>
      <c r="S291" s="15" t="str">
        <f>IF(S290="*",S290,"")</f>
        <v>*</v>
      </c>
      <c r="T291" s="17" t="str">
        <f t="shared" ref="T291:W294" si="229">T290</f>
        <v>*BEV*</v>
      </c>
      <c r="U291" s="17" t="str">
        <f t="shared" si="229"/>
        <v>TRARDS</v>
      </c>
      <c r="V291" s="17" t="str">
        <f t="shared" si="229"/>
        <v>TRAFRESSHDMD</v>
      </c>
      <c r="W291" s="17" t="str">
        <f t="shared" si="229"/>
        <v>TRAFRESSHDMD</v>
      </c>
      <c r="X291" s="18">
        <v>2025</v>
      </c>
      <c r="Y291" s="18" t="str">
        <f>Y290</f>
        <v>LO</v>
      </c>
      <c r="Z291" s="18"/>
      <c r="AA291" s="20" t="e">
        <f>-SUMIFS('TRA RESID'!$P:$P,'TRA RESID'!$I:$I,W291,'TRA RESID'!$J:$J,T291,'TRA RESID'!$H:$H,U291)/SUMIFS('TRA RESID'!$P:$P,'TRA RESID'!$I:$I,W291)*AE291</f>
        <v>#DIV/0!</v>
      </c>
      <c r="AB291" s="18"/>
      <c r="AC291" s="18"/>
      <c r="AE291" s="21">
        <v>1</v>
      </c>
      <c r="AG291" s="15" t="str">
        <f>IF(AG290="*",AG290,"")</f>
        <v>*</v>
      </c>
      <c r="AH291" s="17" t="str">
        <f t="shared" ref="AH291:AK294" si="230">AH290</f>
        <v>*HEV*</v>
      </c>
      <c r="AI291" s="17" t="str">
        <f t="shared" si="230"/>
        <v>TRARDS</v>
      </c>
      <c r="AJ291" s="17" t="str">
        <f t="shared" si="230"/>
        <v>TRAFRESSHDMD</v>
      </c>
      <c r="AK291" s="17" t="str">
        <f t="shared" si="230"/>
        <v>TRAFRESSHDMD</v>
      </c>
      <c r="AL291" s="18">
        <v>2025</v>
      </c>
      <c r="AM291" s="18" t="str">
        <f>AM290</f>
        <v>LO</v>
      </c>
      <c r="AN291" s="18"/>
      <c r="AO291" s="20" t="e">
        <f>-SUMIFS('TRA RESID'!$P:$P,'TRA RESID'!$I:$I,AK291,'TRA RESID'!$J:$J,AH291,'TRA RESID'!$H:$H,AI291)/SUMIFS('TRA RESID'!$P:$P,'TRA RESID'!$I:$I,AK291)*AS291</f>
        <v>#DIV/0!</v>
      </c>
      <c r="AP291" s="18"/>
      <c r="AQ291" s="18"/>
      <c r="AS291" s="21">
        <v>0.8</v>
      </c>
      <c r="AU291" s="15" t="str">
        <f>IF(AU290="*",AU290,"")</f>
        <v>*</v>
      </c>
      <c r="AV291" s="17" t="str">
        <f t="shared" ref="AV291:AY294" si="231">AV290</f>
        <v>*FCEV*</v>
      </c>
      <c r="AW291" s="17" t="str">
        <f t="shared" si="231"/>
        <v>TRARDS</v>
      </c>
      <c r="AX291" s="17" t="str">
        <f t="shared" si="231"/>
        <v>TRAFRESSHDMD</v>
      </c>
      <c r="AY291" s="17" t="str">
        <f t="shared" si="231"/>
        <v>TRAFRESSHDMD</v>
      </c>
      <c r="AZ291" s="18">
        <v>2025</v>
      </c>
      <c r="BA291" s="18" t="str">
        <f>BA290</f>
        <v>LO</v>
      </c>
      <c r="BB291" s="18"/>
      <c r="BC291" s="20" t="e">
        <f>-SUMIFS('TRA RESID'!$P:$P,'TRA RESID'!$I:$I,AY291,'TRA RESID'!$J:$J,AV291,'TRA RESID'!$H:$H,AW291)/SUMIFS('TRA RESID'!$P:$P,'TRA RESID'!$I:$I,AY291)*BG291</f>
        <v>#DIV/0!</v>
      </c>
      <c r="BD291" s="18"/>
      <c r="BE291" s="18"/>
      <c r="BG291" s="21">
        <v>0.8</v>
      </c>
    </row>
    <row r="292" spans="1:59" x14ac:dyDescent="0.25">
      <c r="C292" s="15" t="str">
        <f>IF(C291="*",C291,"")</f>
        <v>*</v>
      </c>
      <c r="D292" s="17" t="str">
        <f t="shared" si="228"/>
        <v>*ICEV*</v>
      </c>
      <c r="E292" s="17" t="str">
        <f t="shared" si="228"/>
        <v>TRARDS</v>
      </c>
      <c r="F292" s="17" t="str">
        <f t="shared" si="228"/>
        <v>TRAFRESSHDMD</v>
      </c>
      <c r="G292" s="17" t="str">
        <f t="shared" si="228"/>
        <v>TRAFRESSHDMD</v>
      </c>
      <c r="H292" s="18">
        <v>2030</v>
      </c>
      <c r="I292" s="18" t="str">
        <f>I291</f>
        <v>LO</v>
      </c>
      <c r="J292" s="18"/>
      <c r="K292" s="20" t="e">
        <f>-SUMIFS('TRA RESID'!$P:$P,'TRA RESID'!$I:$I,G292,'TRA RESID'!$J:$J,D292,'TRA RESID'!$H:$H,E292)/SUMIFS('TRA RESID'!$P:$P,'TRA RESID'!$I:$I,G292)*O292</f>
        <v>#DIV/0!</v>
      </c>
      <c r="L292" s="18"/>
      <c r="M292" s="18"/>
      <c r="O292" s="21">
        <v>0.5</v>
      </c>
      <c r="S292" s="15" t="str">
        <f>IF(S291="*",S291,"")</f>
        <v>*</v>
      </c>
      <c r="T292" s="17" t="str">
        <f t="shared" si="229"/>
        <v>*BEV*</v>
      </c>
      <c r="U292" s="17" t="str">
        <f t="shared" si="229"/>
        <v>TRARDS</v>
      </c>
      <c r="V292" s="17" t="str">
        <f t="shared" si="229"/>
        <v>TRAFRESSHDMD</v>
      </c>
      <c r="W292" s="17" t="str">
        <f t="shared" si="229"/>
        <v>TRAFRESSHDMD</v>
      </c>
      <c r="X292" s="18">
        <v>2030</v>
      </c>
      <c r="Y292" s="18" t="str">
        <f>Y291</f>
        <v>LO</v>
      </c>
      <c r="Z292" s="18"/>
      <c r="AA292" s="20" t="e">
        <f>-SUMIFS('TRA RESID'!$P:$P,'TRA RESID'!$I:$I,W292,'TRA RESID'!$J:$J,T292,'TRA RESID'!$H:$H,U292)/SUMIFS('TRA RESID'!$P:$P,'TRA RESID'!$I:$I,W292)*AE292</f>
        <v>#DIV/0!</v>
      </c>
      <c r="AB292" s="18"/>
      <c r="AC292" s="18"/>
      <c r="AE292" s="21">
        <v>1</v>
      </c>
      <c r="AG292" s="15" t="str">
        <f>IF(AG291="*",AG291,"")</f>
        <v>*</v>
      </c>
      <c r="AH292" s="17" t="str">
        <f t="shared" si="230"/>
        <v>*HEV*</v>
      </c>
      <c r="AI292" s="17" t="str">
        <f t="shared" si="230"/>
        <v>TRARDS</v>
      </c>
      <c r="AJ292" s="17" t="str">
        <f t="shared" si="230"/>
        <v>TRAFRESSHDMD</v>
      </c>
      <c r="AK292" s="17" t="str">
        <f t="shared" si="230"/>
        <v>TRAFRESSHDMD</v>
      </c>
      <c r="AL292" s="18">
        <v>2030</v>
      </c>
      <c r="AM292" s="18" t="str">
        <f>AM291</f>
        <v>LO</v>
      </c>
      <c r="AN292" s="18"/>
      <c r="AO292" s="20" t="e">
        <f>-SUMIFS('TRA RESID'!$P:$P,'TRA RESID'!$I:$I,AK292,'TRA RESID'!$J:$J,AH292,'TRA RESID'!$H:$H,AI292)/SUMIFS('TRA RESID'!$P:$P,'TRA RESID'!$I:$I,AK292)*AS292</f>
        <v>#DIV/0!</v>
      </c>
      <c r="AP292" s="18"/>
      <c r="AQ292" s="18"/>
      <c r="AS292" s="21">
        <v>0.5</v>
      </c>
      <c r="AU292" s="15" t="str">
        <f>IF(AU291="*",AU291,"")</f>
        <v>*</v>
      </c>
      <c r="AV292" s="17" t="str">
        <f t="shared" si="231"/>
        <v>*FCEV*</v>
      </c>
      <c r="AW292" s="17" t="str">
        <f t="shared" si="231"/>
        <v>TRARDS</v>
      </c>
      <c r="AX292" s="17" t="str">
        <f t="shared" si="231"/>
        <v>TRAFRESSHDMD</v>
      </c>
      <c r="AY292" s="17" t="str">
        <f t="shared" si="231"/>
        <v>TRAFRESSHDMD</v>
      </c>
      <c r="AZ292" s="18">
        <v>2030</v>
      </c>
      <c r="BA292" s="18" t="str">
        <f>BA291</f>
        <v>LO</v>
      </c>
      <c r="BB292" s="18"/>
      <c r="BC292" s="20" t="e">
        <f>-SUMIFS('TRA RESID'!$P:$P,'TRA RESID'!$I:$I,AY292,'TRA RESID'!$J:$J,AV292,'TRA RESID'!$H:$H,AW292)/SUMIFS('TRA RESID'!$P:$P,'TRA RESID'!$I:$I,AY292)*BG292</f>
        <v>#DIV/0!</v>
      </c>
      <c r="BD292" s="18"/>
      <c r="BE292" s="18"/>
      <c r="BG292" s="21">
        <v>0.5</v>
      </c>
    </row>
    <row r="293" spans="1:59" x14ac:dyDescent="0.25">
      <c r="C293" s="15" t="str">
        <f>IF(C292="*",C292,"")</f>
        <v>*</v>
      </c>
      <c r="D293" s="17" t="str">
        <f t="shared" si="228"/>
        <v>*ICEV*</v>
      </c>
      <c r="E293" s="17" t="str">
        <f t="shared" si="228"/>
        <v>TRARDS</v>
      </c>
      <c r="F293" s="17" t="str">
        <f t="shared" si="228"/>
        <v>TRAFRESSHDMD</v>
      </c>
      <c r="G293" s="17" t="str">
        <f t="shared" si="228"/>
        <v>TRAFRESSHDMD</v>
      </c>
      <c r="H293" s="18">
        <v>2040</v>
      </c>
      <c r="I293" s="18" t="str">
        <f>I292</f>
        <v>LO</v>
      </c>
      <c r="J293" s="18"/>
      <c r="K293" s="20" t="e">
        <f>-SUMIFS('TRA RESID'!$P:$P,'TRA RESID'!$I:$I,G293,'TRA RESID'!$J:$J,D293,'TRA RESID'!$H:$H,E293)/SUMIFS('TRA RESID'!$P:$P,'TRA RESID'!$I:$I,G293)*O293</f>
        <v>#DIV/0!</v>
      </c>
      <c r="L293" s="18"/>
      <c r="M293" s="18"/>
      <c r="O293" s="21">
        <v>0</v>
      </c>
      <c r="S293" s="15" t="str">
        <f>IF(S292="*",S292,"")</f>
        <v>*</v>
      </c>
      <c r="T293" s="17" t="str">
        <f t="shared" si="229"/>
        <v>*BEV*</v>
      </c>
      <c r="U293" s="17" t="str">
        <f t="shared" si="229"/>
        <v>TRARDS</v>
      </c>
      <c r="V293" s="17" t="str">
        <f t="shared" si="229"/>
        <v>TRAFRESSHDMD</v>
      </c>
      <c r="W293" s="17" t="str">
        <f t="shared" si="229"/>
        <v>TRAFRESSHDMD</v>
      </c>
      <c r="X293" s="18">
        <v>2040</v>
      </c>
      <c r="Y293" s="18" t="str">
        <f>Y292</f>
        <v>LO</v>
      </c>
      <c r="Z293" s="18"/>
      <c r="AA293" s="20" t="e">
        <f>-SUMIFS('TRA RESID'!$P:$P,'TRA RESID'!$I:$I,W293,'TRA RESID'!$J:$J,T293,'TRA RESID'!$H:$H,U293)/SUMIFS('TRA RESID'!$P:$P,'TRA RESID'!$I:$I,W293)*AE293</f>
        <v>#DIV/0!</v>
      </c>
      <c r="AB293" s="18"/>
      <c r="AC293" s="18"/>
      <c r="AE293" s="21">
        <v>1</v>
      </c>
      <c r="AG293" s="15" t="str">
        <f>IF(AG292="*",AG292,"")</f>
        <v>*</v>
      </c>
      <c r="AH293" s="17" t="str">
        <f t="shared" si="230"/>
        <v>*HEV*</v>
      </c>
      <c r="AI293" s="17" t="str">
        <f t="shared" si="230"/>
        <v>TRARDS</v>
      </c>
      <c r="AJ293" s="17" t="str">
        <f t="shared" si="230"/>
        <v>TRAFRESSHDMD</v>
      </c>
      <c r="AK293" s="17" t="str">
        <f t="shared" si="230"/>
        <v>TRAFRESSHDMD</v>
      </c>
      <c r="AL293" s="18">
        <v>2040</v>
      </c>
      <c r="AM293" s="18" t="str">
        <f>AM292</f>
        <v>LO</v>
      </c>
      <c r="AN293" s="18"/>
      <c r="AO293" s="20" t="e">
        <f>-SUMIFS('TRA RESID'!$P:$P,'TRA RESID'!$I:$I,AK293,'TRA RESID'!$J:$J,AH293,'TRA RESID'!$H:$H,AI293)/SUMIFS('TRA RESID'!$P:$P,'TRA RESID'!$I:$I,AK293)*AS293</f>
        <v>#DIV/0!</v>
      </c>
      <c r="AP293" s="18"/>
      <c r="AQ293" s="18"/>
      <c r="AS293" s="21">
        <v>0</v>
      </c>
      <c r="AU293" s="15" t="str">
        <f>IF(AU292="*",AU292,"")</f>
        <v>*</v>
      </c>
      <c r="AV293" s="17" t="str">
        <f t="shared" si="231"/>
        <v>*FCEV*</v>
      </c>
      <c r="AW293" s="17" t="str">
        <f t="shared" si="231"/>
        <v>TRARDS</v>
      </c>
      <c r="AX293" s="17" t="str">
        <f t="shared" si="231"/>
        <v>TRAFRESSHDMD</v>
      </c>
      <c r="AY293" s="17" t="str">
        <f t="shared" si="231"/>
        <v>TRAFRESSHDMD</v>
      </c>
      <c r="AZ293" s="18">
        <v>2040</v>
      </c>
      <c r="BA293" s="18" t="str">
        <f>BA292</f>
        <v>LO</v>
      </c>
      <c r="BB293" s="18"/>
      <c r="BC293" s="20" t="e">
        <f>-SUMIFS('TRA RESID'!$P:$P,'TRA RESID'!$I:$I,AY293,'TRA RESID'!$J:$J,AV293,'TRA RESID'!$H:$H,AW293)/SUMIFS('TRA RESID'!$P:$P,'TRA RESID'!$I:$I,AY293)*BG293</f>
        <v>#DIV/0!</v>
      </c>
      <c r="BD293" s="18"/>
      <c r="BE293" s="18"/>
      <c r="BG293" s="21">
        <v>0</v>
      </c>
    </row>
    <row r="294" spans="1:59" x14ac:dyDescent="0.25">
      <c r="C294" s="23" t="str">
        <f>IF(C293="*",C293,"")</f>
        <v>*</v>
      </c>
      <c r="D294" s="25" t="str">
        <f t="shared" si="228"/>
        <v>*ICEV*</v>
      </c>
      <c r="E294" s="25" t="str">
        <f t="shared" si="228"/>
        <v>TRARDS</v>
      </c>
      <c r="F294" s="25" t="str">
        <f t="shared" si="228"/>
        <v>TRAFRESSHDMD</v>
      </c>
      <c r="G294" s="25" t="str">
        <f t="shared" si="228"/>
        <v>TRAFRESSHDMD</v>
      </c>
      <c r="H294" s="26">
        <v>2050</v>
      </c>
      <c r="I294" s="26" t="str">
        <f>I292</f>
        <v>LO</v>
      </c>
      <c r="J294" s="26"/>
      <c r="K294" s="27" t="e">
        <f>-SUMIFS('TRA RESID'!$P:$P,'TRA RESID'!$I:$I,G294,'TRA RESID'!$J:$J,D294,'TRA RESID'!$H:$H,E294)/SUMIFS('TRA RESID'!$P:$P,'TRA RESID'!$I:$I,G294)*O294</f>
        <v>#DIV/0!</v>
      </c>
      <c r="L294" s="26"/>
      <c r="M294" s="26"/>
      <c r="O294" s="28">
        <v>0</v>
      </c>
      <c r="S294" s="23" t="str">
        <f>IF(S293="*",S293,"")</f>
        <v>*</v>
      </c>
      <c r="T294" s="25" t="str">
        <f t="shared" si="229"/>
        <v>*BEV*</v>
      </c>
      <c r="U294" s="25" t="str">
        <f t="shared" si="229"/>
        <v>TRARDS</v>
      </c>
      <c r="V294" s="25" t="str">
        <f t="shared" si="229"/>
        <v>TRAFRESSHDMD</v>
      </c>
      <c r="W294" s="25" t="str">
        <f t="shared" si="229"/>
        <v>TRAFRESSHDMD</v>
      </c>
      <c r="X294" s="26">
        <v>2050</v>
      </c>
      <c r="Y294" s="26" t="str">
        <f>Y292</f>
        <v>LO</v>
      </c>
      <c r="Z294" s="26"/>
      <c r="AA294" s="27" t="e">
        <f>-SUMIFS('TRA RESID'!$P:$P,'TRA RESID'!$I:$I,W294,'TRA RESID'!$J:$J,T294,'TRA RESID'!$H:$H,U294)/SUMIFS('TRA RESID'!$P:$P,'TRA RESID'!$I:$I,W294)*AE294</f>
        <v>#DIV/0!</v>
      </c>
      <c r="AB294" s="26"/>
      <c r="AC294" s="26"/>
      <c r="AE294" s="28">
        <v>1</v>
      </c>
      <c r="AG294" s="23" t="str">
        <f>IF(AG293="*",AG293,"")</f>
        <v>*</v>
      </c>
      <c r="AH294" s="25" t="str">
        <f t="shared" si="230"/>
        <v>*HEV*</v>
      </c>
      <c r="AI294" s="25" t="str">
        <f t="shared" si="230"/>
        <v>TRARDS</v>
      </c>
      <c r="AJ294" s="25" t="str">
        <f t="shared" si="230"/>
        <v>TRAFRESSHDMD</v>
      </c>
      <c r="AK294" s="25" t="str">
        <f t="shared" si="230"/>
        <v>TRAFRESSHDMD</v>
      </c>
      <c r="AL294" s="26">
        <v>2050</v>
      </c>
      <c r="AM294" s="26" t="str">
        <f>AM292</f>
        <v>LO</v>
      </c>
      <c r="AN294" s="26"/>
      <c r="AO294" s="27" t="e">
        <f>-SUMIFS('TRA RESID'!$P:$P,'TRA RESID'!$I:$I,AK294,'TRA RESID'!$J:$J,AH294,'TRA RESID'!$H:$H,AI294)/SUMIFS('TRA RESID'!$P:$P,'TRA RESID'!$I:$I,AK294)*AS294</f>
        <v>#DIV/0!</v>
      </c>
      <c r="AP294" s="26"/>
      <c r="AQ294" s="26"/>
      <c r="AS294" s="28">
        <v>0</v>
      </c>
      <c r="AU294" s="23" t="str">
        <f>IF(AU293="*",AU293,"")</f>
        <v>*</v>
      </c>
      <c r="AV294" s="25" t="str">
        <f t="shared" si="231"/>
        <v>*FCEV*</v>
      </c>
      <c r="AW294" s="25" t="str">
        <f t="shared" si="231"/>
        <v>TRARDS</v>
      </c>
      <c r="AX294" s="25" t="str">
        <f t="shared" si="231"/>
        <v>TRAFRESSHDMD</v>
      </c>
      <c r="AY294" s="25" t="str">
        <f t="shared" si="231"/>
        <v>TRAFRESSHDMD</v>
      </c>
      <c r="AZ294" s="26">
        <v>2050</v>
      </c>
      <c r="BA294" s="26" t="str">
        <f>BA292</f>
        <v>LO</v>
      </c>
      <c r="BB294" s="26"/>
      <c r="BC294" s="27" t="e">
        <f>-SUMIFS('TRA RESID'!$P:$P,'TRA RESID'!$I:$I,AY294,'TRA RESID'!$J:$J,AV294,'TRA RESID'!$H:$H,AW294)/SUMIFS('TRA RESID'!$P:$P,'TRA RESID'!$I:$I,AY294)*BG294</f>
        <v>#DIV/0!</v>
      </c>
      <c r="BD294" s="26"/>
      <c r="BE294" s="26"/>
      <c r="BG294" s="28">
        <v>0</v>
      </c>
    </row>
    <row r="295" spans="1:59" x14ac:dyDescent="0.25">
      <c r="A295">
        <f>A290+1</f>
        <v>59</v>
      </c>
      <c r="C295" s="15" t="str">
        <f>IF(E295="","",IF(_xlfn.XLOOKUP($A295,Selected_constraint!$A:$A,Selected_constraint!$D:$D)=1,"*",IF(SUMIFS('TRA TECH'!$M:$M,'TRA TECH'!$H:$H,E295,'TRA TECH'!$I:$I,F295)=0,"*",IF(SUMIFS('TRA RESID'!$P:$P,'TRA RESID'!$I:$I,G295,'TRA RESID'!$J:$J,D295,'TRA RESID'!$H:$H,E295)=0,"*","UC_"&amp;SUBSTITUTE(D295,"*","")&amp;"_"&amp;RIGHT(E295,3)&amp;"_"&amp;F295))))</f>
        <v>*</v>
      </c>
      <c r="D295" s="17" t="s">
        <v>485</v>
      </c>
      <c r="E295" s="17" t="str">
        <f>_xlfn.XLOOKUP($A295,Selected_constraint!$A:$A,Selected_constraint!$B:$B)</f>
        <v>TRABDS</v>
      </c>
      <c r="F295" s="17" t="str">
        <f>_xlfn.XLOOKUP($A295,Selected_constraint!$A:$A,Selected_constraint!$C:$C)</f>
        <v>TRAFRESSHDMD</v>
      </c>
      <c r="G295" s="17" t="str">
        <f>F295</f>
        <v>TRAFRESSHDMD</v>
      </c>
      <c r="H295" s="18">
        <v>2019</v>
      </c>
      <c r="I295" s="18" t="s">
        <v>483</v>
      </c>
      <c r="J295" s="18">
        <v>1</v>
      </c>
      <c r="K295" s="20" t="e">
        <f>-SUMIFS('TRA RESID'!$P:$P,'TRA RESID'!$I:$I,G295,'TRA RESID'!$J:$J,D295,'TRA RESID'!$H:$H,E295)/SUMIFS('TRA RESID'!$P:$P,'TRA RESID'!$I:$I,G295)*O295</f>
        <v>#DIV/0!</v>
      </c>
      <c r="L295" s="18">
        <v>0</v>
      </c>
      <c r="M295" s="18">
        <v>5</v>
      </c>
      <c r="O295" s="21">
        <v>0.98</v>
      </c>
      <c r="Q295">
        <f>Q290+1</f>
        <v>59</v>
      </c>
      <c r="S295" s="15" t="str">
        <f>IF(SUMIFS('TRA RESID'!$P:$P,'TRA RESID'!$I:$I,W295,'TRA RESID'!$J:$J,T295,'TRA RESID'!$H:$H,U295)=0,"*","UC_"&amp;SUBSTITUTE(T295,"*","")&amp;"_"&amp;RIGHT(U295,3)&amp;"_"&amp;V295)</f>
        <v>*</v>
      </c>
      <c r="T295" s="17" t="s">
        <v>486</v>
      </c>
      <c r="U295" s="17" t="str">
        <f>_xlfn.XLOOKUP($A295,Selected_constraint!$A:$A,Selected_constraint!$B:$B)</f>
        <v>TRABDS</v>
      </c>
      <c r="V295" s="17" t="str">
        <f>_xlfn.XLOOKUP($A295,Selected_constraint!$A:$A,Selected_constraint!$C:$C)</f>
        <v>TRAFRESSHDMD</v>
      </c>
      <c r="W295" s="17" t="str">
        <f>V295</f>
        <v>TRAFRESSHDMD</v>
      </c>
      <c r="X295" s="18">
        <v>2019</v>
      </c>
      <c r="Y295" s="18" t="s">
        <v>483</v>
      </c>
      <c r="Z295" s="18">
        <v>1</v>
      </c>
      <c r="AA295" s="20" t="e">
        <f>-SUMIFS('TRA RESID'!$P:$P,'TRA RESID'!$I:$I,W295,'TRA RESID'!$J:$J,T295,'TRA RESID'!$H:$H,U295)/SUMIFS('TRA RESID'!$P:$P,'TRA RESID'!$I:$I,W295)*AE295</f>
        <v>#DIV/0!</v>
      </c>
      <c r="AB295" s="18">
        <v>0</v>
      </c>
      <c r="AC295" s="18">
        <v>5</v>
      </c>
      <c r="AE295" s="21">
        <v>0.98</v>
      </c>
      <c r="AG295" s="15" t="str">
        <f>IF(SUMIFS('TRA RESID'!$P:$P,'TRA RESID'!$I:$I,AK295,'TRA RESID'!$J:$J,AH295,'TRA RESID'!$H:$H,AI295)=0,"*","UC_"&amp;SUBSTITUTE(AH295,"*","")&amp;"_"&amp;RIGHT(AI295,3)&amp;"_"&amp;AJ295)</f>
        <v>*</v>
      </c>
      <c r="AH295" s="17" t="s">
        <v>487</v>
      </c>
      <c r="AI295" s="17" t="str">
        <f>_xlfn.XLOOKUP($A295,Selected_constraint!$A:$A,Selected_constraint!$B:$B)</f>
        <v>TRABDS</v>
      </c>
      <c r="AJ295" s="17" t="str">
        <f>_xlfn.XLOOKUP($A295,Selected_constraint!$A:$A,Selected_constraint!$C:$C)</f>
        <v>TRAFRESSHDMD</v>
      </c>
      <c r="AK295" s="17" t="str">
        <f>AJ295</f>
        <v>TRAFRESSHDMD</v>
      </c>
      <c r="AL295" s="18">
        <v>2019</v>
      </c>
      <c r="AM295" s="18" t="s">
        <v>483</v>
      </c>
      <c r="AN295" s="18">
        <v>1</v>
      </c>
      <c r="AO295" s="20" t="e">
        <f>-SUMIFS('TRA RESID'!$P:$P,'TRA RESID'!$I:$I,AK295,'TRA RESID'!$J:$J,AH295,'TRA RESID'!$H:$H,AI295)/SUMIFS('TRA RESID'!$P:$P,'TRA RESID'!$I:$I,AK295)*AS295</f>
        <v>#DIV/0!</v>
      </c>
      <c r="AP295" s="18">
        <v>0</v>
      </c>
      <c r="AQ295" s="18">
        <v>5</v>
      </c>
      <c r="AS295" s="21">
        <v>0.98</v>
      </c>
      <c r="AU295" s="15" t="str">
        <f>IF(SUMIFS('TRA RESID'!$P:$P,'TRA RESID'!$I:$I,AY295,'TRA RESID'!$J:$J,AV295,'TRA RESID'!$H:$H,AW295)=0,"*","UC_"&amp;SUBSTITUTE(AV295,"*","")&amp;"_"&amp;RIGHT(AW295,3)&amp;"_"&amp;AX295)</f>
        <v>*</v>
      </c>
      <c r="AV295" s="17" t="s">
        <v>488</v>
      </c>
      <c r="AW295" s="17" t="str">
        <f>_xlfn.XLOOKUP($A295,Selected_constraint!$A:$A,Selected_constraint!$B:$B)</f>
        <v>TRABDS</v>
      </c>
      <c r="AX295" s="17" t="str">
        <f>_xlfn.XLOOKUP($A295,Selected_constraint!$A:$A,Selected_constraint!$C:$C)</f>
        <v>TRAFRESSHDMD</v>
      </c>
      <c r="AY295" s="17" t="str">
        <f>AX295</f>
        <v>TRAFRESSHDMD</v>
      </c>
      <c r="AZ295" s="18">
        <v>2019</v>
      </c>
      <c r="BA295" s="18" t="s">
        <v>483</v>
      </c>
      <c r="BB295" s="18">
        <v>1</v>
      </c>
      <c r="BC295" s="20" t="e">
        <f>-SUMIFS('TRA RESID'!$P:$P,'TRA RESID'!$I:$I,AY295,'TRA RESID'!$J:$J,AV295,'TRA RESID'!$H:$H,AW295)/SUMIFS('TRA RESID'!$P:$P,'TRA RESID'!$I:$I,AY295)*BG295</f>
        <v>#DIV/0!</v>
      </c>
      <c r="BD295" s="18">
        <v>0</v>
      </c>
      <c r="BE295" s="18">
        <v>5</v>
      </c>
      <c r="BG295" s="21">
        <v>0.98</v>
      </c>
    </row>
    <row r="296" spans="1:59" x14ac:dyDescent="0.25">
      <c r="C296" s="15" t="str">
        <f>IF(C295="*",C295,"")</f>
        <v>*</v>
      </c>
      <c r="D296" s="17" t="str">
        <f t="shared" ref="D296:G299" si="232">D295</f>
        <v>*ICEV*</v>
      </c>
      <c r="E296" s="17" t="str">
        <f t="shared" si="232"/>
        <v>TRABDS</v>
      </c>
      <c r="F296" s="17" t="str">
        <f t="shared" si="232"/>
        <v>TRAFRESSHDMD</v>
      </c>
      <c r="G296" s="17" t="str">
        <f t="shared" si="232"/>
        <v>TRAFRESSHDMD</v>
      </c>
      <c r="H296" s="18">
        <v>2025</v>
      </c>
      <c r="I296" s="18" t="str">
        <f>I295</f>
        <v>LO</v>
      </c>
      <c r="J296" s="18"/>
      <c r="K296" s="20" t="e">
        <f>-SUMIFS('TRA RESID'!$P:$P,'TRA RESID'!$I:$I,G296,'TRA RESID'!$J:$J,D296,'TRA RESID'!$H:$H,E296)/SUMIFS('TRA RESID'!$P:$P,'TRA RESID'!$I:$I,G296)*O296</f>
        <v>#DIV/0!</v>
      </c>
      <c r="L296" s="18"/>
      <c r="M296" s="18"/>
      <c r="O296" s="21">
        <v>0.8</v>
      </c>
      <c r="S296" s="15" t="str">
        <f>IF(S295="*",S295,"")</f>
        <v>*</v>
      </c>
      <c r="T296" s="17" t="str">
        <f t="shared" ref="T296:W299" si="233">T295</f>
        <v>*BEV*</v>
      </c>
      <c r="U296" s="17" t="str">
        <f t="shared" si="233"/>
        <v>TRABDS</v>
      </c>
      <c r="V296" s="17" t="str">
        <f t="shared" si="233"/>
        <v>TRAFRESSHDMD</v>
      </c>
      <c r="W296" s="17" t="str">
        <f t="shared" si="233"/>
        <v>TRAFRESSHDMD</v>
      </c>
      <c r="X296" s="18">
        <v>2025</v>
      </c>
      <c r="Y296" s="18" t="str">
        <f>Y295</f>
        <v>LO</v>
      </c>
      <c r="Z296" s="18"/>
      <c r="AA296" s="20" t="e">
        <f>-SUMIFS('TRA RESID'!$P:$P,'TRA RESID'!$I:$I,W296,'TRA RESID'!$J:$J,T296,'TRA RESID'!$H:$H,U296)/SUMIFS('TRA RESID'!$P:$P,'TRA RESID'!$I:$I,W296)*AE296</f>
        <v>#DIV/0!</v>
      </c>
      <c r="AB296" s="18"/>
      <c r="AC296" s="18"/>
      <c r="AE296" s="21">
        <v>1</v>
      </c>
      <c r="AG296" s="15" t="str">
        <f>IF(AG295="*",AG295,"")</f>
        <v>*</v>
      </c>
      <c r="AH296" s="17" t="str">
        <f t="shared" ref="AH296:AK299" si="234">AH295</f>
        <v>*HEV*</v>
      </c>
      <c r="AI296" s="17" t="str">
        <f t="shared" si="234"/>
        <v>TRABDS</v>
      </c>
      <c r="AJ296" s="17" t="str">
        <f t="shared" si="234"/>
        <v>TRAFRESSHDMD</v>
      </c>
      <c r="AK296" s="17" t="str">
        <f t="shared" si="234"/>
        <v>TRAFRESSHDMD</v>
      </c>
      <c r="AL296" s="18">
        <v>2025</v>
      </c>
      <c r="AM296" s="18" t="str">
        <f>AM295</f>
        <v>LO</v>
      </c>
      <c r="AN296" s="18"/>
      <c r="AO296" s="20" t="e">
        <f>-SUMIFS('TRA RESID'!$P:$P,'TRA RESID'!$I:$I,AK296,'TRA RESID'!$J:$J,AH296,'TRA RESID'!$H:$H,AI296)/SUMIFS('TRA RESID'!$P:$P,'TRA RESID'!$I:$I,AK296)*AS296</f>
        <v>#DIV/0!</v>
      </c>
      <c r="AP296" s="18"/>
      <c r="AQ296" s="18"/>
      <c r="AS296" s="21">
        <v>0.8</v>
      </c>
      <c r="AU296" s="15" t="str">
        <f>IF(AU295="*",AU295,"")</f>
        <v>*</v>
      </c>
      <c r="AV296" s="17" t="str">
        <f t="shared" ref="AV296:AY299" si="235">AV295</f>
        <v>*FCEV*</v>
      </c>
      <c r="AW296" s="17" t="str">
        <f t="shared" si="235"/>
        <v>TRABDS</v>
      </c>
      <c r="AX296" s="17" t="str">
        <f t="shared" si="235"/>
        <v>TRAFRESSHDMD</v>
      </c>
      <c r="AY296" s="17" t="str">
        <f t="shared" si="235"/>
        <v>TRAFRESSHDMD</v>
      </c>
      <c r="AZ296" s="18">
        <v>2025</v>
      </c>
      <c r="BA296" s="18" t="str">
        <f>BA295</f>
        <v>LO</v>
      </c>
      <c r="BB296" s="18"/>
      <c r="BC296" s="20" t="e">
        <f>-SUMIFS('TRA RESID'!$P:$P,'TRA RESID'!$I:$I,AY296,'TRA RESID'!$J:$J,AV296,'TRA RESID'!$H:$H,AW296)/SUMIFS('TRA RESID'!$P:$P,'TRA RESID'!$I:$I,AY296)*BG296</f>
        <v>#DIV/0!</v>
      </c>
      <c r="BD296" s="18"/>
      <c r="BE296" s="18"/>
      <c r="BG296" s="21">
        <v>0.8</v>
      </c>
    </row>
    <row r="297" spans="1:59" x14ac:dyDescent="0.25">
      <c r="C297" s="15" t="str">
        <f>IF(C296="*",C296,"")</f>
        <v>*</v>
      </c>
      <c r="D297" s="17" t="str">
        <f t="shared" si="232"/>
        <v>*ICEV*</v>
      </c>
      <c r="E297" s="17" t="str">
        <f t="shared" si="232"/>
        <v>TRABDS</v>
      </c>
      <c r="F297" s="17" t="str">
        <f t="shared" si="232"/>
        <v>TRAFRESSHDMD</v>
      </c>
      <c r="G297" s="17" t="str">
        <f t="shared" si="232"/>
        <v>TRAFRESSHDMD</v>
      </c>
      <c r="H297" s="18">
        <v>2030</v>
      </c>
      <c r="I297" s="18" t="str">
        <f>I296</f>
        <v>LO</v>
      </c>
      <c r="J297" s="18"/>
      <c r="K297" s="20" t="e">
        <f>-SUMIFS('TRA RESID'!$P:$P,'TRA RESID'!$I:$I,G297,'TRA RESID'!$J:$J,D297,'TRA RESID'!$H:$H,E297)/SUMIFS('TRA RESID'!$P:$P,'TRA RESID'!$I:$I,G297)*O297</f>
        <v>#DIV/0!</v>
      </c>
      <c r="L297" s="18"/>
      <c r="M297" s="18"/>
      <c r="O297" s="21">
        <v>0.5</v>
      </c>
      <c r="S297" s="15" t="str">
        <f>IF(S296="*",S296,"")</f>
        <v>*</v>
      </c>
      <c r="T297" s="17" t="str">
        <f t="shared" si="233"/>
        <v>*BEV*</v>
      </c>
      <c r="U297" s="17" t="str">
        <f t="shared" si="233"/>
        <v>TRABDS</v>
      </c>
      <c r="V297" s="17" t="str">
        <f t="shared" si="233"/>
        <v>TRAFRESSHDMD</v>
      </c>
      <c r="W297" s="17" t="str">
        <f t="shared" si="233"/>
        <v>TRAFRESSHDMD</v>
      </c>
      <c r="X297" s="18">
        <v>2030</v>
      </c>
      <c r="Y297" s="18" t="str">
        <f>Y296</f>
        <v>LO</v>
      </c>
      <c r="Z297" s="18"/>
      <c r="AA297" s="20" t="e">
        <f>-SUMIFS('TRA RESID'!$P:$P,'TRA RESID'!$I:$I,W297,'TRA RESID'!$J:$J,T297,'TRA RESID'!$H:$H,U297)/SUMIFS('TRA RESID'!$P:$P,'TRA RESID'!$I:$I,W297)*AE297</f>
        <v>#DIV/0!</v>
      </c>
      <c r="AB297" s="18"/>
      <c r="AC297" s="18"/>
      <c r="AE297" s="21">
        <v>1</v>
      </c>
      <c r="AG297" s="15" t="str">
        <f>IF(AG296="*",AG296,"")</f>
        <v>*</v>
      </c>
      <c r="AH297" s="17" t="str">
        <f t="shared" si="234"/>
        <v>*HEV*</v>
      </c>
      <c r="AI297" s="17" t="str">
        <f t="shared" si="234"/>
        <v>TRABDS</v>
      </c>
      <c r="AJ297" s="17" t="str">
        <f t="shared" si="234"/>
        <v>TRAFRESSHDMD</v>
      </c>
      <c r="AK297" s="17" t="str">
        <f t="shared" si="234"/>
        <v>TRAFRESSHDMD</v>
      </c>
      <c r="AL297" s="18">
        <v>2030</v>
      </c>
      <c r="AM297" s="18" t="str">
        <f>AM296</f>
        <v>LO</v>
      </c>
      <c r="AN297" s="18"/>
      <c r="AO297" s="20" t="e">
        <f>-SUMIFS('TRA RESID'!$P:$P,'TRA RESID'!$I:$I,AK297,'TRA RESID'!$J:$J,AH297,'TRA RESID'!$H:$H,AI297)/SUMIFS('TRA RESID'!$P:$P,'TRA RESID'!$I:$I,AK297)*AS297</f>
        <v>#DIV/0!</v>
      </c>
      <c r="AP297" s="18"/>
      <c r="AQ297" s="18"/>
      <c r="AS297" s="21">
        <v>0.5</v>
      </c>
      <c r="AU297" s="15" t="str">
        <f>IF(AU296="*",AU296,"")</f>
        <v>*</v>
      </c>
      <c r="AV297" s="17" t="str">
        <f t="shared" si="235"/>
        <v>*FCEV*</v>
      </c>
      <c r="AW297" s="17" t="str">
        <f t="shared" si="235"/>
        <v>TRABDS</v>
      </c>
      <c r="AX297" s="17" t="str">
        <f t="shared" si="235"/>
        <v>TRAFRESSHDMD</v>
      </c>
      <c r="AY297" s="17" t="str">
        <f t="shared" si="235"/>
        <v>TRAFRESSHDMD</v>
      </c>
      <c r="AZ297" s="18">
        <v>2030</v>
      </c>
      <c r="BA297" s="18" t="str">
        <f>BA296</f>
        <v>LO</v>
      </c>
      <c r="BB297" s="18"/>
      <c r="BC297" s="20" t="e">
        <f>-SUMIFS('TRA RESID'!$P:$P,'TRA RESID'!$I:$I,AY297,'TRA RESID'!$J:$J,AV297,'TRA RESID'!$H:$H,AW297)/SUMIFS('TRA RESID'!$P:$P,'TRA RESID'!$I:$I,AY297)*BG297</f>
        <v>#DIV/0!</v>
      </c>
      <c r="BD297" s="18"/>
      <c r="BE297" s="18"/>
      <c r="BG297" s="21">
        <v>0.5</v>
      </c>
    </row>
    <row r="298" spans="1:59" x14ac:dyDescent="0.25">
      <c r="C298" s="15" t="str">
        <f>IF(C297="*",C297,"")</f>
        <v>*</v>
      </c>
      <c r="D298" s="17" t="str">
        <f t="shared" si="232"/>
        <v>*ICEV*</v>
      </c>
      <c r="E298" s="17" t="str">
        <f t="shared" si="232"/>
        <v>TRABDS</v>
      </c>
      <c r="F298" s="17" t="str">
        <f t="shared" si="232"/>
        <v>TRAFRESSHDMD</v>
      </c>
      <c r="G298" s="17" t="str">
        <f t="shared" si="232"/>
        <v>TRAFRESSHDMD</v>
      </c>
      <c r="H298" s="18">
        <v>2040</v>
      </c>
      <c r="I298" s="18" t="str">
        <f>I297</f>
        <v>LO</v>
      </c>
      <c r="J298" s="18"/>
      <c r="K298" s="20" t="e">
        <f>-SUMIFS('TRA RESID'!$P:$P,'TRA RESID'!$I:$I,G298,'TRA RESID'!$J:$J,D298,'TRA RESID'!$H:$H,E298)/SUMIFS('TRA RESID'!$P:$P,'TRA RESID'!$I:$I,G298)*O298</f>
        <v>#DIV/0!</v>
      </c>
      <c r="L298" s="18"/>
      <c r="M298" s="18"/>
      <c r="O298" s="21">
        <v>0</v>
      </c>
      <c r="S298" s="15" t="str">
        <f>IF(S297="*",S297,"")</f>
        <v>*</v>
      </c>
      <c r="T298" s="17" t="str">
        <f t="shared" si="233"/>
        <v>*BEV*</v>
      </c>
      <c r="U298" s="17" t="str">
        <f t="shared" si="233"/>
        <v>TRABDS</v>
      </c>
      <c r="V298" s="17" t="str">
        <f t="shared" si="233"/>
        <v>TRAFRESSHDMD</v>
      </c>
      <c r="W298" s="17" t="str">
        <f t="shared" si="233"/>
        <v>TRAFRESSHDMD</v>
      </c>
      <c r="X298" s="18">
        <v>2040</v>
      </c>
      <c r="Y298" s="18" t="str">
        <f>Y297</f>
        <v>LO</v>
      </c>
      <c r="Z298" s="18"/>
      <c r="AA298" s="20" t="e">
        <f>-SUMIFS('TRA RESID'!$P:$P,'TRA RESID'!$I:$I,W298,'TRA RESID'!$J:$J,T298,'TRA RESID'!$H:$H,U298)/SUMIFS('TRA RESID'!$P:$P,'TRA RESID'!$I:$I,W298)*AE298</f>
        <v>#DIV/0!</v>
      </c>
      <c r="AB298" s="18"/>
      <c r="AC298" s="18"/>
      <c r="AE298" s="21">
        <v>1</v>
      </c>
      <c r="AG298" s="15" t="str">
        <f>IF(AG297="*",AG297,"")</f>
        <v>*</v>
      </c>
      <c r="AH298" s="17" t="str">
        <f t="shared" si="234"/>
        <v>*HEV*</v>
      </c>
      <c r="AI298" s="17" t="str">
        <f t="shared" si="234"/>
        <v>TRABDS</v>
      </c>
      <c r="AJ298" s="17" t="str">
        <f t="shared" si="234"/>
        <v>TRAFRESSHDMD</v>
      </c>
      <c r="AK298" s="17" t="str">
        <f t="shared" si="234"/>
        <v>TRAFRESSHDMD</v>
      </c>
      <c r="AL298" s="18">
        <v>2040</v>
      </c>
      <c r="AM298" s="18" t="str">
        <f>AM297</f>
        <v>LO</v>
      </c>
      <c r="AN298" s="18"/>
      <c r="AO298" s="20" t="e">
        <f>-SUMIFS('TRA RESID'!$P:$P,'TRA RESID'!$I:$I,AK298,'TRA RESID'!$J:$J,AH298,'TRA RESID'!$H:$H,AI298)/SUMIFS('TRA RESID'!$P:$P,'TRA RESID'!$I:$I,AK298)*AS298</f>
        <v>#DIV/0!</v>
      </c>
      <c r="AP298" s="18"/>
      <c r="AQ298" s="18"/>
      <c r="AS298" s="21">
        <v>0</v>
      </c>
      <c r="AU298" s="15" t="str">
        <f>IF(AU297="*",AU297,"")</f>
        <v>*</v>
      </c>
      <c r="AV298" s="17" t="str">
        <f t="shared" si="235"/>
        <v>*FCEV*</v>
      </c>
      <c r="AW298" s="17" t="str">
        <f t="shared" si="235"/>
        <v>TRABDS</v>
      </c>
      <c r="AX298" s="17" t="str">
        <f t="shared" si="235"/>
        <v>TRAFRESSHDMD</v>
      </c>
      <c r="AY298" s="17" t="str">
        <f t="shared" si="235"/>
        <v>TRAFRESSHDMD</v>
      </c>
      <c r="AZ298" s="18">
        <v>2040</v>
      </c>
      <c r="BA298" s="18" t="str">
        <f>BA297</f>
        <v>LO</v>
      </c>
      <c r="BB298" s="18"/>
      <c r="BC298" s="20" t="e">
        <f>-SUMIFS('TRA RESID'!$P:$P,'TRA RESID'!$I:$I,AY298,'TRA RESID'!$J:$J,AV298,'TRA RESID'!$H:$H,AW298)/SUMIFS('TRA RESID'!$P:$P,'TRA RESID'!$I:$I,AY298)*BG298</f>
        <v>#DIV/0!</v>
      </c>
      <c r="BD298" s="18"/>
      <c r="BE298" s="18"/>
      <c r="BG298" s="21">
        <v>0</v>
      </c>
    </row>
    <row r="299" spans="1:59" x14ac:dyDescent="0.25">
      <c r="C299" s="23" t="str">
        <f>IF(C298="*",C298,"")</f>
        <v>*</v>
      </c>
      <c r="D299" s="25" t="str">
        <f t="shared" si="232"/>
        <v>*ICEV*</v>
      </c>
      <c r="E299" s="25" t="str">
        <f t="shared" si="232"/>
        <v>TRABDS</v>
      </c>
      <c r="F299" s="25" t="str">
        <f t="shared" si="232"/>
        <v>TRAFRESSHDMD</v>
      </c>
      <c r="G299" s="25" t="str">
        <f t="shared" si="232"/>
        <v>TRAFRESSHDMD</v>
      </c>
      <c r="H299" s="26">
        <v>2050</v>
      </c>
      <c r="I299" s="26" t="str">
        <f>I297</f>
        <v>LO</v>
      </c>
      <c r="J299" s="26"/>
      <c r="K299" s="27" t="e">
        <f>-SUMIFS('TRA RESID'!$P:$P,'TRA RESID'!$I:$I,G299,'TRA RESID'!$J:$J,D299,'TRA RESID'!$H:$H,E299)/SUMIFS('TRA RESID'!$P:$P,'TRA RESID'!$I:$I,G299)*O299</f>
        <v>#DIV/0!</v>
      </c>
      <c r="L299" s="26"/>
      <c r="M299" s="26"/>
      <c r="O299" s="28">
        <v>0</v>
      </c>
      <c r="S299" s="23" t="str">
        <f>IF(S298="*",S298,"")</f>
        <v>*</v>
      </c>
      <c r="T299" s="25" t="str">
        <f t="shared" si="233"/>
        <v>*BEV*</v>
      </c>
      <c r="U299" s="25" t="str">
        <f t="shared" si="233"/>
        <v>TRABDS</v>
      </c>
      <c r="V299" s="25" t="str">
        <f t="shared" si="233"/>
        <v>TRAFRESSHDMD</v>
      </c>
      <c r="W299" s="25" t="str">
        <f t="shared" si="233"/>
        <v>TRAFRESSHDMD</v>
      </c>
      <c r="X299" s="26">
        <v>2050</v>
      </c>
      <c r="Y299" s="26" t="str">
        <f>Y297</f>
        <v>LO</v>
      </c>
      <c r="Z299" s="26"/>
      <c r="AA299" s="27" t="e">
        <f>-SUMIFS('TRA RESID'!$P:$P,'TRA RESID'!$I:$I,W299,'TRA RESID'!$J:$J,T299,'TRA RESID'!$H:$H,U299)/SUMIFS('TRA RESID'!$P:$P,'TRA RESID'!$I:$I,W299)*AE299</f>
        <v>#DIV/0!</v>
      </c>
      <c r="AB299" s="26"/>
      <c r="AC299" s="26"/>
      <c r="AE299" s="28">
        <v>1</v>
      </c>
      <c r="AG299" s="23" t="str">
        <f>IF(AG298="*",AG298,"")</f>
        <v>*</v>
      </c>
      <c r="AH299" s="25" t="str">
        <f t="shared" si="234"/>
        <v>*HEV*</v>
      </c>
      <c r="AI299" s="25" t="str">
        <f t="shared" si="234"/>
        <v>TRABDS</v>
      </c>
      <c r="AJ299" s="25" t="str">
        <f t="shared" si="234"/>
        <v>TRAFRESSHDMD</v>
      </c>
      <c r="AK299" s="25" t="str">
        <f t="shared" si="234"/>
        <v>TRAFRESSHDMD</v>
      </c>
      <c r="AL299" s="26">
        <v>2050</v>
      </c>
      <c r="AM299" s="26" t="str">
        <f>AM297</f>
        <v>LO</v>
      </c>
      <c r="AN299" s="26"/>
      <c r="AO299" s="27" t="e">
        <f>-SUMIFS('TRA RESID'!$P:$P,'TRA RESID'!$I:$I,AK299,'TRA RESID'!$J:$J,AH299,'TRA RESID'!$H:$H,AI299)/SUMIFS('TRA RESID'!$P:$P,'TRA RESID'!$I:$I,AK299)*AS299</f>
        <v>#DIV/0!</v>
      </c>
      <c r="AP299" s="26"/>
      <c r="AQ299" s="26"/>
      <c r="AS299" s="28">
        <v>0</v>
      </c>
      <c r="AU299" s="23" t="str">
        <f>IF(AU298="*",AU298,"")</f>
        <v>*</v>
      </c>
      <c r="AV299" s="25" t="str">
        <f t="shared" si="235"/>
        <v>*FCEV*</v>
      </c>
      <c r="AW299" s="25" t="str">
        <f t="shared" si="235"/>
        <v>TRABDS</v>
      </c>
      <c r="AX299" s="25" t="str">
        <f t="shared" si="235"/>
        <v>TRAFRESSHDMD</v>
      </c>
      <c r="AY299" s="25" t="str">
        <f t="shared" si="235"/>
        <v>TRAFRESSHDMD</v>
      </c>
      <c r="AZ299" s="26">
        <v>2050</v>
      </c>
      <c r="BA299" s="26" t="str">
        <f>BA297</f>
        <v>LO</v>
      </c>
      <c r="BB299" s="26"/>
      <c r="BC299" s="27" t="e">
        <f>-SUMIFS('TRA RESID'!$P:$P,'TRA RESID'!$I:$I,AY299,'TRA RESID'!$J:$J,AV299,'TRA RESID'!$H:$H,AW299)/SUMIFS('TRA RESID'!$P:$P,'TRA RESID'!$I:$I,AY299)*BG299</f>
        <v>#DIV/0!</v>
      </c>
      <c r="BD299" s="26"/>
      <c r="BE299" s="26"/>
      <c r="BG299" s="28">
        <v>0</v>
      </c>
    </row>
    <row r="300" spans="1:59" x14ac:dyDescent="0.25">
      <c r="A300">
        <f>A295+1</f>
        <v>60</v>
      </c>
      <c r="C300" s="15" t="str">
        <f>IF(E300="","",IF(_xlfn.XLOOKUP($A300,Selected_constraint!$A:$A,Selected_constraint!$D:$D)=1,"*",IF(SUMIFS('TRA TECH'!$M:$M,'TRA TECH'!$H:$H,E300,'TRA TECH'!$I:$I,F300)=0,"*",IF(SUMIFS('TRA RESID'!$P:$P,'TRA RESID'!$I:$I,G300,'TRA RESID'!$J:$J,D300,'TRA RESID'!$H:$H,E300)=0,"*","UC_"&amp;SUBSTITUTE(D300,"*","")&amp;"_"&amp;RIGHT(E300,3)&amp;"_"&amp;F300))))</f>
        <v>*</v>
      </c>
      <c r="D300" s="17" t="s">
        <v>485</v>
      </c>
      <c r="E300" s="17" t="str">
        <f>_xlfn.XLOOKUP($A300,Selected_constraint!$A:$A,Selected_constraint!$B:$B)</f>
        <v>TRACNG</v>
      </c>
      <c r="F300" s="17" t="str">
        <f>_xlfn.XLOOKUP($A300,Selected_constraint!$A:$A,Selected_constraint!$C:$C)</f>
        <v>TRAFRESSHDMD</v>
      </c>
      <c r="G300" s="17" t="str">
        <f>F300</f>
        <v>TRAFRESSHDMD</v>
      </c>
      <c r="H300" s="18">
        <v>2019</v>
      </c>
      <c r="I300" s="18" t="s">
        <v>483</v>
      </c>
      <c r="J300" s="18">
        <v>1</v>
      </c>
      <c r="K300" s="20" t="e">
        <f>-SUMIFS('TRA RESID'!$P:$P,'TRA RESID'!$I:$I,G300,'TRA RESID'!$J:$J,D300,'TRA RESID'!$H:$H,E300)/SUMIFS('TRA RESID'!$P:$P,'TRA RESID'!$I:$I,G300)*O300</f>
        <v>#DIV/0!</v>
      </c>
      <c r="L300" s="18">
        <v>0</v>
      </c>
      <c r="M300" s="18">
        <v>5</v>
      </c>
      <c r="O300" s="21">
        <v>0.98</v>
      </c>
      <c r="Q300">
        <f>Q295+1</f>
        <v>60</v>
      </c>
      <c r="S300" s="15" t="str">
        <f>IF(SUMIFS('TRA RESID'!$P:$P,'TRA RESID'!$I:$I,W300,'TRA RESID'!$J:$J,T300,'TRA RESID'!$H:$H,U300)=0,"*","UC_"&amp;SUBSTITUTE(T300,"*","")&amp;"_"&amp;RIGHT(U300,3)&amp;"_"&amp;V300)</f>
        <v>*</v>
      </c>
      <c r="T300" s="17" t="s">
        <v>486</v>
      </c>
      <c r="U300" s="17" t="str">
        <f>_xlfn.XLOOKUP($A300,Selected_constraint!$A:$A,Selected_constraint!$B:$B)</f>
        <v>TRACNG</v>
      </c>
      <c r="V300" s="17" t="str">
        <f>_xlfn.XLOOKUP($A300,Selected_constraint!$A:$A,Selected_constraint!$C:$C)</f>
        <v>TRAFRESSHDMD</v>
      </c>
      <c r="W300" s="17" t="str">
        <f>V300</f>
        <v>TRAFRESSHDMD</v>
      </c>
      <c r="X300" s="18">
        <v>2019</v>
      </c>
      <c r="Y300" s="18" t="s">
        <v>483</v>
      </c>
      <c r="Z300" s="18">
        <v>1</v>
      </c>
      <c r="AA300" s="20" t="e">
        <f>-SUMIFS('TRA RESID'!$P:$P,'TRA RESID'!$I:$I,W300,'TRA RESID'!$J:$J,T300,'TRA RESID'!$H:$H,U300)/SUMIFS('TRA RESID'!$P:$P,'TRA RESID'!$I:$I,W300)*AE300</f>
        <v>#DIV/0!</v>
      </c>
      <c r="AB300" s="18">
        <v>0</v>
      </c>
      <c r="AC300" s="18">
        <v>5</v>
      </c>
      <c r="AE300" s="21">
        <v>0.98</v>
      </c>
      <c r="AG300" s="15" t="str">
        <f>IF(SUMIFS('TRA RESID'!$P:$P,'TRA RESID'!$I:$I,AK300,'TRA RESID'!$J:$J,AH300,'TRA RESID'!$H:$H,AI300)=0,"*","UC_"&amp;SUBSTITUTE(AH300,"*","")&amp;"_"&amp;RIGHT(AI300,3)&amp;"_"&amp;AJ300)</f>
        <v>*</v>
      </c>
      <c r="AH300" s="17" t="s">
        <v>487</v>
      </c>
      <c r="AI300" s="17" t="str">
        <f>_xlfn.XLOOKUP($A300,Selected_constraint!$A:$A,Selected_constraint!$B:$B)</f>
        <v>TRACNG</v>
      </c>
      <c r="AJ300" s="17" t="str">
        <f>_xlfn.XLOOKUP($A300,Selected_constraint!$A:$A,Selected_constraint!$C:$C)</f>
        <v>TRAFRESSHDMD</v>
      </c>
      <c r="AK300" s="17" t="str">
        <f>AJ300</f>
        <v>TRAFRESSHDMD</v>
      </c>
      <c r="AL300" s="18">
        <v>2019</v>
      </c>
      <c r="AM300" s="18" t="s">
        <v>483</v>
      </c>
      <c r="AN300" s="18">
        <v>1</v>
      </c>
      <c r="AO300" s="20" t="e">
        <f>-SUMIFS('TRA RESID'!$P:$P,'TRA RESID'!$I:$I,AK300,'TRA RESID'!$J:$J,AH300,'TRA RESID'!$H:$H,AI300)/SUMIFS('TRA RESID'!$P:$P,'TRA RESID'!$I:$I,AK300)*AS300</f>
        <v>#DIV/0!</v>
      </c>
      <c r="AP300" s="18">
        <v>0</v>
      </c>
      <c r="AQ300" s="18">
        <v>5</v>
      </c>
      <c r="AS300" s="21">
        <v>0.98</v>
      </c>
      <c r="AU300" s="15" t="str">
        <f>IF(SUMIFS('TRA RESID'!$P:$P,'TRA RESID'!$I:$I,AY300,'TRA RESID'!$J:$J,AV300,'TRA RESID'!$H:$H,AW300)=0,"*","UC_"&amp;SUBSTITUTE(AV300,"*","")&amp;"_"&amp;RIGHT(AW300,3)&amp;"_"&amp;AX300)</f>
        <v>*</v>
      </c>
      <c r="AV300" s="17" t="s">
        <v>488</v>
      </c>
      <c r="AW300" s="17" t="str">
        <f>_xlfn.XLOOKUP($A300,Selected_constraint!$A:$A,Selected_constraint!$B:$B)</f>
        <v>TRACNG</v>
      </c>
      <c r="AX300" s="17" t="str">
        <f>_xlfn.XLOOKUP($A300,Selected_constraint!$A:$A,Selected_constraint!$C:$C)</f>
        <v>TRAFRESSHDMD</v>
      </c>
      <c r="AY300" s="17" t="str">
        <f>AX300</f>
        <v>TRAFRESSHDMD</v>
      </c>
      <c r="AZ300" s="18">
        <v>2019</v>
      </c>
      <c r="BA300" s="18" t="s">
        <v>483</v>
      </c>
      <c r="BB300" s="18">
        <v>1</v>
      </c>
      <c r="BC300" s="20" t="e">
        <f>-SUMIFS('TRA RESID'!$P:$P,'TRA RESID'!$I:$I,AY300,'TRA RESID'!$J:$J,AV300,'TRA RESID'!$H:$H,AW300)/SUMIFS('TRA RESID'!$P:$P,'TRA RESID'!$I:$I,AY300)*BG300</f>
        <v>#DIV/0!</v>
      </c>
      <c r="BD300" s="18">
        <v>0</v>
      </c>
      <c r="BE300" s="18">
        <v>5</v>
      </c>
      <c r="BG300" s="21">
        <v>0.98</v>
      </c>
    </row>
    <row r="301" spans="1:59" x14ac:dyDescent="0.25">
      <c r="C301" s="15" t="str">
        <f>IF(C300="*",C300,"")</f>
        <v>*</v>
      </c>
      <c r="D301" s="17" t="str">
        <f t="shared" ref="D301:G304" si="236">D300</f>
        <v>*ICEV*</v>
      </c>
      <c r="E301" s="17" t="str">
        <f t="shared" si="236"/>
        <v>TRACNG</v>
      </c>
      <c r="F301" s="17" t="str">
        <f t="shared" si="236"/>
        <v>TRAFRESSHDMD</v>
      </c>
      <c r="G301" s="17" t="str">
        <f t="shared" si="236"/>
        <v>TRAFRESSHDMD</v>
      </c>
      <c r="H301" s="18">
        <v>2025</v>
      </c>
      <c r="I301" s="18" t="str">
        <f>I300</f>
        <v>LO</v>
      </c>
      <c r="J301" s="18"/>
      <c r="K301" s="20" t="e">
        <f>-SUMIFS('TRA RESID'!$P:$P,'TRA RESID'!$I:$I,G301,'TRA RESID'!$J:$J,D301,'TRA RESID'!$H:$H,E301)/SUMIFS('TRA RESID'!$P:$P,'TRA RESID'!$I:$I,G301)*O301</f>
        <v>#DIV/0!</v>
      </c>
      <c r="L301" s="18"/>
      <c r="M301" s="18"/>
      <c r="O301" s="21">
        <v>0.8</v>
      </c>
      <c r="S301" s="15" t="str">
        <f>IF(S300="*",S300,"")</f>
        <v>*</v>
      </c>
      <c r="T301" s="17" t="str">
        <f t="shared" ref="T301:W304" si="237">T300</f>
        <v>*BEV*</v>
      </c>
      <c r="U301" s="17" t="str">
        <f t="shared" si="237"/>
        <v>TRACNG</v>
      </c>
      <c r="V301" s="17" t="str">
        <f t="shared" si="237"/>
        <v>TRAFRESSHDMD</v>
      </c>
      <c r="W301" s="17" t="str">
        <f t="shared" si="237"/>
        <v>TRAFRESSHDMD</v>
      </c>
      <c r="X301" s="18">
        <v>2025</v>
      </c>
      <c r="Y301" s="18" t="str">
        <f>Y300</f>
        <v>LO</v>
      </c>
      <c r="Z301" s="18"/>
      <c r="AA301" s="20" t="e">
        <f>-SUMIFS('TRA RESID'!$P:$P,'TRA RESID'!$I:$I,W301,'TRA RESID'!$J:$J,T301,'TRA RESID'!$H:$H,U301)/SUMIFS('TRA RESID'!$P:$P,'TRA RESID'!$I:$I,W301)*AE301</f>
        <v>#DIV/0!</v>
      </c>
      <c r="AB301" s="18"/>
      <c r="AC301" s="18"/>
      <c r="AE301" s="21">
        <v>1</v>
      </c>
      <c r="AG301" s="15" t="str">
        <f>IF(AG300="*",AG300,"")</f>
        <v>*</v>
      </c>
      <c r="AH301" s="17" t="str">
        <f t="shared" ref="AH301:AK304" si="238">AH300</f>
        <v>*HEV*</v>
      </c>
      <c r="AI301" s="17" t="str">
        <f t="shared" si="238"/>
        <v>TRACNG</v>
      </c>
      <c r="AJ301" s="17" t="str">
        <f t="shared" si="238"/>
        <v>TRAFRESSHDMD</v>
      </c>
      <c r="AK301" s="17" t="str">
        <f t="shared" si="238"/>
        <v>TRAFRESSHDMD</v>
      </c>
      <c r="AL301" s="18">
        <v>2025</v>
      </c>
      <c r="AM301" s="18" t="str">
        <f>AM300</f>
        <v>LO</v>
      </c>
      <c r="AN301" s="18"/>
      <c r="AO301" s="20" t="e">
        <f>-SUMIFS('TRA RESID'!$P:$P,'TRA RESID'!$I:$I,AK301,'TRA RESID'!$J:$J,AH301,'TRA RESID'!$H:$H,AI301)/SUMIFS('TRA RESID'!$P:$P,'TRA RESID'!$I:$I,AK301)*AS301</f>
        <v>#DIV/0!</v>
      </c>
      <c r="AP301" s="18"/>
      <c r="AQ301" s="18"/>
      <c r="AS301" s="21">
        <v>0.8</v>
      </c>
      <c r="AU301" s="15" t="str">
        <f>IF(AU300="*",AU300,"")</f>
        <v>*</v>
      </c>
      <c r="AV301" s="17" t="str">
        <f t="shared" ref="AV301:AY304" si="239">AV300</f>
        <v>*FCEV*</v>
      </c>
      <c r="AW301" s="17" t="str">
        <f t="shared" si="239"/>
        <v>TRACNG</v>
      </c>
      <c r="AX301" s="17" t="str">
        <f t="shared" si="239"/>
        <v>TRAFRESSHDMD</v>
      </c>
      <c r="AY301" s="17" t="str">
        <f t="shared" si="239"/>
        <v>TRAFRESSHDMD</v>
      </c>
      <c r="AZ301" s="18">
        <v>2025</v>
      </c>
      <c r="BA301" s="18" t="str">
        <f>BA300</f>
        <v>LO</v>
      </c>
      <c r="BB301" s="18"/>
      <c r="BC301" s="20" t="e">
        <f>-SUMIFS('TRA RESID'!$P:$P,'TRA RESID'!$I:$I,AY301,'TRA RESID'!$J:$J,AV301,'TRA RESID'!$H:$H,AW301)/SUMIFS('TRA RESID'!$P:$P,'TRA RESID'!$I:$I,AY301)*BG301</f>
        <v>#DIV/0!</v>
      </c>
      <c r="BD301" s="18"/>
      <c r="BE301" s="18"/>
      <c r="BG301" s="21">
        <v>0.8</v>
      </c>
    </row>
    <row r="302" spans="1:59" x14ac:dyDescent="0.25">
      <c r="C302" s="15" t="str">
        <f>IF(C301="*",C301,"")</f>
        <v>*</v>
      </c>
      <c r="D302" s="17" t="str">
        <f t="shared" si="236"/>
        <v>*ICEV*</v>
      </c>
      <c r="E302" s="17" t="str">
        <f t="shared" si="236"/>
        <v>TRACNG</v>
      </c>
      <c r="F302" s="17" t="str">
        <f t="shared" si="236"/>
        <v>TRAFRESSHDMD</v>
      </c>
      <c r="G302" s="17" t="str">
        <f t="shared" si="236"/>
        <v>TRAFRESSHDMD</v>
      </c>
      <c r="H302" s="18">
        <v>2030</v>
      </c>
      <c r="I302" s="18" t="str">
        <f>I301</f>
        <v>LO</v>
      </c>
      <c r="J302" s="18"/>
      <c r="K302" s="20" t="e">
        <f>-SUMIFS('TRA RESID'!$P:$P,'TRA RESID'!$I:$I,G302,'TRA RESID'!$J:$J,D302,'TRA RESID'!$H:$H,E302)/SUMIFS('TRA RESID'!$P:$P,'TRA RESID'!$I:$I,G302)*O302</f>
        <v>#DIV/0!</v>
      </c>
      <c r="L302" s="18"/>
      <c r="M302" s="18"/>
      <c r="O302" s="21">
        <v>0.5</v>
      </c>
      <c r="S302" s="15" t="str">
        <f>IF(S301="*",S301,"")</f>
        <v>*</v>
      </c>
      <c r="T302" s="17" t="str">
        <f t="shared" si="237"/>
        <v>*BEV*</v>
      </c>
      <c r="U302" s="17" t="str">
        <f t="shared" si="237"/>
        <v>TRACNG</v>
      </c>
      <c r="V302" s="17" t="str">
        <f t="shared" si="237"/>
        <v>TRAFRESSHDMD</v>
      </c>
      <c r="W302" s="17" t="str">
        <f t="shared" si="237"/>
        <v>TRAFRESSHDMD</v>
      </c>
      <c r="X302" s="18">
        <v>2030</v>
      </c>
      <c r="Y302" s="18" t="str">
        <f>Y301</f>
        <v>LO</v>
      </c>
      <c r="Z302" s="18"/>
      <c r="AA302" s="20" t="e">
        <f>-SUMIFS('TRA RESID'!$P:$P,'TRA RESID'!$I:$I,W302,'TRA RESID'!$J:$J,T302,'TRA RESID'!$H:$H,U302)/SUMIFS('TRA RESID'!$P:$P,'TRA RESID'!$I:$I,W302)*AE302</f>
        <v>#DIV/0!</v>
      </c>
      <c r="AB302" s="18"/>
      <c r="AC302" s="18"/>
      <c r="AE302" s="21">
        <v>1</v>
      </c>
      <c r="AG302" s="15" t="str">
        <f>IF(AG301="*",AG301,"")</f>
        <v>*</v>
      </c>
      <c r="AH302" s="17" t="str">
        <f t="shared" si="238"/>
        <v>*HEV*</v>
      </c>
      <c r="AI302" s="17" t="str">
        <f t="shared" si="238"/>
        <v>TRACNG</v>
      </c>
      <c r="AJ302" s="17" t="str">
        <f t="shared" si="238"/>
        <v>TRAFRESSHDMD</v>
      </c>
      <c r="AK302" s="17" t="str">
        <f t="shared" si="238"/>
        <v>TRAFRESSHDMD</v>
      </c>
      <c r="AL302" s="18">
        <v>2030</v>
      </c>
      <c r="AM302" s="18" t="str">
        <f>AM301</f>
        <v>LO</v>
      </c>
      <c r="AN302" s="18"/>
      <c r="AO302" s="20" t="e">
        <f>-SUMIFS('TRA RESID'!$P:$P,'TRA RESID'!$I:$I,AK302,'TRA RESID'!$J:$J,AH302,'TRA RESID'!$H:$H,AI302)/SUMIFS('TRA RESID'!$P:$P,'TRA RESID'!$I:$I,AK302)*AS302</f>
        <v>#DIV/0!</v>
      </c>
      <c r="AP302" s="18"/>
      <c r="AQ302" s="18"/>
      <c r="AS302" s="21">
        <v>0.5</v>
      </c>
      <c r="AU302" s="15" t="str">
        <f>IF(AU301="*",AU301,"")</f>
        <v>*</v>
      </c>
      <c r="AV302" s="17" t="str">
        <f t="shared" si="239"/>
        <v>*FCEV*</v>
      </c>
      <c r="AW302" s="17" t="str">
        <f t="shared" si="239"/>
        <v>TRACNG</v>
      </c>
      <c r="AX302" s="17" t="str">
        <f t="shared" si="239"/>
        <v>TRAFRESSHDMD</v>
      </c>
      <c r="AY302" s="17" t="str">
        <f t="shared" si="239"/>
        <v>TRAFRESSHDMD</v>
      </c>
      <c r="AZ302" s="18">
        <v>2030</v>
      </c>
      <c r="BA302" s="18" t="str">
        <f>BA301</f>
        <v>LO</v>
      </c>
      <c r="BB302" s="18"/>
      <c r="BC302" s="20" t="e">
        <f>-SUMIFS('TRA RESID'!$P:$P,'TRA RESID'!$I:$I,AY302,'TRA RESID'!$J:$J,AV302,'TRA RESID'!$H:$H,AW302)/SUMIFS('TRA RESID'!$P:$P,'TRA RESID'!$I:$I,AY302)*BG302</f>
        <v>#DIV/0!</v>
      </c>
      <c r="BD302" s="18"/>
      <c r="BE302" s="18"/>
      <c r="BG302" s="21">
        <v>0.5</v>
      </c>
    </row>
    <row r="303" spans="1:59" x14ac:dyDescent="0.25">
      <c r="C303" s="15" t="str">
        <f>IF(C302="*",C302,"")</f>
        <v>*</v>
      </c>
      <c r="D303" s="17" t="str">
        <f t="shared" si="236"/>
        <v>*ICEV*</v>
      </c>
      <c r="E303" s="17" t="str">
        <f t="shared" si="236"/>
        <v>TRACNG</v>
      </c>
      <c r="F303" s="17" t="str">
        <f t="shared" si="236"/>
        <v>TRAFRESSHDMD</v>
      </c>
      <c r="G303" s="17" t="str">
        <f t="shared" si="236"/>
        <v>TRAFRESSHDMD</v>
      </c>
      <c r="H303" s="18">
        <v>2040</v>
      </c>
      <c r="I303" s="18" t="str">
        <f>I302</f>
        <v>LO</v>
      </c>
      <c r="J303" s="18"/>
      <c r="K303" s="20" t="e">
        <f>-SUMIFS('TRA RESID'!$P:$P,'TRA RESID'!$I:$I,G303,'TRA RESID'!$J:$J,D303,'TRA RESID'!$H:$H,E303)/SUMIFS('TRA RESID'!$P:$P,'TRA RESID'!$I:$I,G303)*O303</f>
        <v>#DIV/0!</v>
      </c>
      <c r="L303" s="18"/>
      <c r="M303" s="18"/>
      <c r="O303" s="21">
        <v>0</v>
      </c>
      <c r="S303" s="15" t="str">
        <f>IF(S302="*",S302,"")</f>
        <v>*</v>
      </c>
      <c r="T303" s="17" t="str">
        <f t="shared" si="237"/>
        <v>*BEV*</v>
      </c>
      <c r="U303" s="17" t="str">
        <f t="shared" si="237"/>
        <v>TRACNG</v>
      </c>
      <c r="V303" s="17" t="str">
        <f t="shared" si="237"/>
        <v>TRAFRESSHDMD</v>
      </c>
      <c r="W303" s="17" t="str">
        <f t="shared" si="237"/>
        <v>TRAFRESSHDMD</v>
      </c>
      <c r="X303" s="18">
        <v>2040</v>
      </c>
      <c r="Y303" s="18" t="str">
        <f>Y302</f>
        <v>LO</v>
      </c>
      <c r="Z303" s="18"/>
      <c r="AA303" s="20" t="e">
        <f>-SUMIFS('TRA RESID'!$P:$P,'TRA RESID'!$I:$I,W303,'TRA RESID'!$J:$J,T303,'TRA RESID'!$H:$H,U303)/SUMIFS('TRA RESID'!$P:$P,'TRA RESID'!$I:$I,W303)*AE303</f>
        <v>#DIV/0!</v>
      </c>
      <c r="AB303" s="18"/>
      <c r="AC303" s="18"/>
      <c r="AE303" s="21">
        <v>1</v>
      </c>
      <c r="AG303" s="15" t="str">
        <f>IF(AG302="*",AG302,"")</f>
        <v>*</v>
      </c>
      <c r="AH303" s="17" t="str">
        <f t="shared" si="238"/>
        <v>*HEV*</v>
      </c>
      <c r="AI303" s="17" t="str">
        <f t="shared" si="238"/>
        <v>TRACNG</v>
      </c>
      <c r="AJ303" s="17" t="str">
        <f t="shared" si="238"/>
        <v>TRAFRESSHDMD</v>
      </c>
      <c r="AK303" s="17" t="str">
        <f t="shared" si="238"/>
        <v>TRAFRESSHDMD</v>
      </c>
      <c r="AL303" s="18">
        <v>2040</v>
      </c>
      <c r="AM303" s="18" t="str">
        <f>AM302</f>
        <v>LO</v>
      </c>
      <c r="AN303" s="18"/>
      <c r="AO303" s="20" t="e">
        <f>-SUMIFS('TRA RESID'!$P:$P,'TRA RESID'!$I:$I,AK303,'TRA RESID'!$J:$J,AH303,'TRA RESID'!$H:$H,AI303)/SUMIFS('TRA RESID'!$P:$P,'TRA RESID'!$I:$I,AK303)*AS303</f>
        <v>#DIV/0!</v>
      </c>
      <c r="AP303" s="18"/>
      <c r="AQ303" s="18"/>
      <c r="AS303" s="21">
        <v>0</v>
      </c>
      <c r="AU303" s="15" t="str">
        <f>IF(AU302="*",AU302,"")</f>
        <v>*</v>
      </c>
      <c r="AV303" s="17" t="str">
        <f t="shared" si="239"/>
        <v>*FCEV*</v>
      </c>
      <c r="AW303" s="17" t="str">
        <f t="shared" si="239"/>
        <v>TRACNG</v>
      </c>
      <c r="AX303" s="17" t="str">
        <f t="shared" si="239"/>
        <v>TRAFRESSHDMD</v>
      </c>
      <c r="AY303" s="17" t="str">
        <f t="shared" si="239"/>
        <v>TRAFRESSHDMD</v>
      </c>
      <c r="AZ303" s="18">
        <v>2040</v>
      </c>
      <c r="BA303" s="18" t="str">
        <f>BA302</f>
        <v>LO</v>
      </c>
      <c r="BB303" s="18"/>
      <c r="BC303" s="20" t="e">
        <f>-SUMIFS('TRA RESID'!$P:$P,'TRA RESID'!$I:$I,AY303,'TRA RESID'!$J:$J,AV303,'TRA RESID'!$H:$H,AW303)/SUMIFS('TRA RESID'!$P:$P,'TRA RESID'!$I:$I,AY303)*BG303</f>
        <v>#DIV/0!</v>
      </c>
      <c r="BD303" s="18"/>
      <c r="BE303" s="18"/>
      <c r="BG303" s="21">
        <v>0</v>
      </c>
    </row>
    <row r="304" spans="1:59" x14ac:dyDescent="0.25">
      <c r="C304" s="23" t="str">
        <f>IF(C303="*",C303,"")</f>
        <v>*</v>
      </c>
      <c r="D304" s="25" t="str">
        <f t="shared" si="236"/>
        <v>*ICEV*</v>
      </c>
      <c r="E304" s="25" t="str">
        <f t="shared" si="236"/>
        <v>TRACNG</v>
      </c>
      <c r="F304" s="25" t="str">
        <f t="shared" si="236"/>
        <v>TRAFRESSHDMD</v>
      </c>
      <c r="G304" s="25" t="str">
        <f t="shared" si="236"/>
        <v>TRAFRESSHDMD</v>
      </c>
      <c r="H304" s="26">
        <v>2050</v>
      </c>
      <c r="I304" s="26" t="str">
        <f>I302</f>
        <v>LO</v>
      </c>
      <c r="J304" s="26"/>
      <c r="K304" s="27" t="e">
        <f>-SUMIFS('TRA RESID'!$P:$P,'TRA RESID'!$I:$I,G304,'TRA RESID'!$J:$J,D304,'TRA RESID'!$H:$H,E304)/SUMIFS('TRA RESID'!$P:$P,'TRA RESID'!$I:$I,G304)*O304</f>
        <v>#DIV/0!</v>
      </c>
      <c r="L304" s="26"/>
      <c r="M304" s="26"/>
      <c r="O304" s="28">
        <v>0</v>
      </c>
      <c r="S304" s="23" t="str">
        <f>IF(S303="*",S303,"")</f>
        <v>*</v>
      </c>
      <c r="T304" s="25" t="str">
        <f t="shared" si="237"/>
        <v>*BEV*</v>
      </c>
      <c r="U304" s="25" t="str">
        <f t="shared" si="237"/>
        <v>TRACNG</v>
      </c>
      <c r="V304" s="25" t="str">
        <f t="shared" si="237"/>
        <v>TRAFRESSHDMD</v>
      </c>
      <c r="W304" s="25" t="str">
        <f t="shared" si="237"/>
        <v>TRAFRESSHDMD</v>
      </c>
      <c r="X304" s="26">
        <v>2050</v>
      </c>
      <c r="Y304" s="26" t="str">
        <f>Y302</f>
        <v>LO</v>
      </c>
      <c r="Z304" s="26"/>
      <c r="AA304" s="27" t="e">
        <f>-SUMIFS('TRA RESID'!$P:$P,'TRA RESID'!$I:$I,W304,'TRA RESID'!$J:$J,T304,'TRA RESID'!$H:$H,U304)/SUMIFS('TRA RESID'!$P:$P,'TRA RESID'!$I:$I,W304)*AE304</f>
        <v>#DIV/0!</v>
      </c>
      <c r="AB304" s="26"/>
      <c r="AC304" s="26"/>
      <c r="AE304" s="28">
        <v>1</v>
      </c>
      <c r="AG304" s="23" t="str">
        <f>IF(AG303="*",AG303,"")</f>
        <v>*</v>
      </c>
      <c r="AH304" s="25" t="str">
        <f t="shared" si="238"/>
        <v>*HEV*</v>
      </c>
      <c r="AI304" s="25" t="str">
        <f t="shared" si="238"/>
        <v>TRACNG</v>
      </c>
      <c r="AJ304" s="25" t="str">
        <f t="shared" si="238"/>
        <v>TRAFRESSHDMD</v>
      </c>
      <c r="AK304" s="25" t="str">
        <f t="shared" si="238"/>
        <v>TRAFRESSHDMD</v>
      </c>
      <c r="AL304" s="26">
        <v>2050</v>
      </c>
      <c r="AM304" s="26" t="str">
        <f>AM302</f>
        <v>LO</v>
      </c>
      <c r="AN304" s="26"/>
      <c r="AO304" s="27" t="e">
        <f>-SUMIFS('TRA RESID'!$P:$P,'TRA RESID'!$I:$I,AK304,'TRA RESID'!$J:$J,AH304,'TRA RESID'!$H:$H,AI304)/SUMIFS('TRA RESID'!$P:$P,'TRA RESID'!$I:$I,AK304)*AS304</f>
        <v>#DIV/0!</v>
      </c>
      <c r="AP304" s="26"/>
      <c r="AQ304" s="26"/>
      <c r="AS304" s="28">
        <v>0</v>
      </c>
      <c r="AU304" s="23" t="str">
        <f>IF(AU303="*",AU303,"")</f>
        <v>*</v>
      </c>
      <c r="AV304" s="25" t="str">
        <f t="shared" si="239"/>
        <v>*FCEV*</v>
      </c>
      <c r="AW304" s="25" t="str">
        <f t="shared" si="239"/>
        <v>TRACNG</v>
      </c>
      <c r="AX304" s="25" t="str">
        <f t="shared" si="239"/>
        <v>TRAFRESSHDMD</v>
      </c>
      <c r="AY304" s="25" t="str">
        <f t="shared" si="239"/>
        <v>TRAFRESSHDMD</v>
      </c>
      <c r="AZ304" s="26">
        <v>2050</v>
      </c>
      <c r="BA304" s="26" t="str">
        <f>BA302</f>
        <v>LO</v>
      </c>
      <c r="BB304" s="26"/>
      <c r="BC304" s="27" t="e">
        <f>-SUMIFS('TRA RESID'!$P:$P,'TRA RESID'!$I:$I,AY304,'TRA RESID'!$J:$J,AV304,'TRA RESID'!$H:$H,AW304)/SUMIFS('TRA RESID'!$P:$P,'TRA RESID'!$I:$I,AY304)*BG304</f>
        <v>#DIV/0!</v>
      </c>
      <c r="BD304" s="26"/>
      <c r="BE304" s="26"/>
      <c r="BG304" s="28">
        <v>0</v>
      </c>
    </row>
    <row r="305" spans="1:59" x14ac:dyDescent="0.25">
      <c r="A305">
        <f>A300+1</f>
        <v>61</v>
      </c>
      <c r="C305" s="15" t="str">
        <f>IF(E305="","",IF(_xlfn.XLOOKUP($A305,Selected_constraint!$A:$A,Selected_constraint!$D:$D)=1,"*",IF(SUMIFS('TRA TECH'!$M:$M,'TRA TECH'!$H:$H,E305,'TRA TECH'!$I:$I,F305)=0,"*",IF(SUMIFS('TRA RESID'!$P:$P,'TRA RESID'!$I:$I,G305,'TRA RESID'!$J:$J,D305,'TRA RESID'!$H:$H,E305)=0,"*","UC_"&amp;SUBSTITUTE(D305,"*","")&amp;"_"&amp;RIGHT(E305,3)&amp;"_"&amp;F305))))</f>
        <v>*</v>
      </c>
      <c r="D305" s="17" t="s">
        <v>485</v>
      </c>
      <c r="E305" s="17" t="str">
        <f>_xlfn.XLOOKUP($A305,Selected_constraint!$A:$A,Selected_constraint!$B:$B)</f>
        <v>TRARNG</v>
      </c>
      <c r="F305" s="17" t="str">
        <f>_xlfn.XLOOKUP($A305,Selected_constraint!$A:$A,Selected_constraint!$C:$C)</f>
        <v>TRAFRESSHDMD</v>
      </c>
      <c r="G305" s="17" t="str">
        <f>F305</f>
        <v>TRAFRESSHDMD</v>
      </c>
      <c r="H305" s="18">
        <v>2019</v>
      </c>
      <c r="I305" s="18" t="s">
        <v>483</v>
      </c>
      <c r="J305" s="18">
        <v>1</v>
      </c>
      <c r="K305" s="20" t="e">
        <f>-SUMIFS('TRA RESID'!$P:$P,'TRA RESID'!$I:$I,G305,'TRA RESID'!$J:$J,D305,'TRA RESID'!$H:$H,E305)/SUMIFS('TRA RESID'!$P:$P,'TRA RESID'!$I:$I,G305)*O305</f>
        <v>#DIV/0!</v>
      </c>
      <c r="L305" s="18">
        <v>0</v>
      </c>
      <c r="M305" s="18">
        <v>5</v>
      </c>
      <c r="O305" s="21">
        <v>0.98</v>
      </c>
      <c r="Q305">
        <f>Q300+1</f>
        <v>61</v>
      </c>
      <c r="S305" s="15" t="str">
        <f>IF(SUMIFS('TRA RESID'!$P:$P,'TRA RESID'!$I:$I,W305,'TRA RESID'!$J:$J,T305,'TRA RESID'!$H:$H,U305)=0,"*","UC_"&amp;SUBSTITUTE(T305,"*","")&amp;"_"&amp;RIGHT(U305,3)&amp;"_"&amp;V305)</f>
        <v>*</v>
      </c>
      <c r="T305" s="17" t="s">
        <v>486</v>
      </c>
      <c r="U305" s="17" t="str">
        <f>_xlfn.XLOOKUP($A305,Selected_constraint!$A:$A,Selected_constraint!$B:$B)</f>
        <v>TRARNG</v>
      </c>
      <c r="V305" s="17" t="str">
        <f>_xlfn.XLOOKUP($A305,Selected_constraint!$A:$A,Selected_constraint!$C:$C)</f>
        <v>TRAFRESSHDMD</v>
      </c>
      <c r="W305" s="17" t="str">
        <f>V305</f>
        <v>TRAFRESSHDMD</v>
      </c>
      <c r="X305" s="18">
        <v>2019</v>
      </c>
      <c r="Y305" s="18" t="s">
        <v>483</v>
      </c>
      <c r="Z305" s="18">
        <v>1</v>
      </c>
      <c r="AA305" s="20" t="e">
        <f>-SUMIFS('TRA RESID'!$P:$P,'TRA RESID'!$I:$I,W305,'TRA RESID'!$J:$J,T305,'TRA RESID'!$H:$H,U305)/SUMIFS('TRA RESID'!$P:$P,'TRA RESID'!$I:$I,W305)*AE305</f>
        <v>#DIV/0!</v>
      </c>
      <c r="AB305" s="18">
        <v>0</v>
      </c>
      <c r="AC305" s="18">
        <v>5</v>
      </c>
      <c r="AE305" s="21">
        <v>0.98</v>
      </c>
      <c r="AG305" s="15" t="str">
        <f>IF(SUMIFS('TRA RESID'!$P:$P,'TRA RESID'!$I:$I,AK305,'TRA RESID'!$J:$J,AH305,'TRA RESID'!$H:$H,AI305)=0,"*","UC_"&amp;SUBSTITUTE(AH305,"*","")&amp;"_"&amp;RIGHT(AI305,3)&amp;"_"&amp;AJ305)</f>
        <v>*</v>
      </c>
      <c r="AH305" s="17" t="s">
        <v>487</v>
      </c>
      <c r="AI305" s="17" t="str">
        <f>_xlfn.XLOOKUP($A305,Selected_constraint!$A:$A,Selected_constraint!$B:$B)</f>
        <v>TRARNG</v>
      </c>
      <c r="AJ305" s="17" t="str">
        <f>_xlfn.XLOOKUP($A305,Selected_constraint!$A:$A,Selected_constraint!$C:$C)</f>
        <v>TRAFRESSHDMD</v>
      </c>
      <c r="AK305" s="17" t="str">
        <f>AJ305</f>
        <v>TRAFRESSHDMD</v>
      </c>
      <c r="AL305" s="18">
        <v>2019</v>
      </c>
      <c r="AM305" s="18" t="s">
        <v>483</v>
      </c>
      <c r="AN305" s="18">
        <v>1</v>
      </c>
      <c r="AO305" s="20" t="e">
        <f>-SUMIFS('TRA RESID'!$P:$P,'TRA RESID'!$I:$I,AK305,'TRA RESID'!$J:$J,AH305,'TRA RESID'!$H:$H,AI305)/SUMIFS('TRA RESID'!$P:$P,'TRA RESID'!$I:$I,AK305)*AS305</f>
        <v>#DIV/0!</v>
      </c>
      <c r="AP305" s="18">
        <v>0</v>
      </c>
      <c r="AQ305" s="18">
        <v>5</v>
      </c>
      <c r="AS305" s="21">
        <v>0.98</v>
      </c>
      <c r="AU305" s="15" t="str">
        <f>IF(SUMIFS('TRA RESID'!$P:$P,'TRA RESID'!$I:$I,AY305,'TRA RESID'!$J:$J,AV305,'TRA RESID'!$H:$H,AW305)=0,"*","UC_"&amp;SUBSTITUTE(AV305,"*","")&amp;"_"&amp;RIGHT(AW305,3)&amp;"_"&amp;AX305)</f>
        <v>*</v>
      </c>
      <c r="AV305" s="17" t="s">
        <v>488</v>
      </c>
      <c r="AW305" s="17" t="str">
        <f>_xlfn.XLOOKUP($A305,Selected_constraint!$A:$A,Selected_constraint!$B:$B)</f>
        <v>TRARNG</v>
      </c>
      <c r="AX305" s="17" t="str">
        <f>_xlfn.XLOOKUP($A305,Selected_constraint!$A:$A,Selected_constraint!$C:$C)</f>
        <v>TRAFRESSHDMD</v>
      </c>
      <c r="AY305" s="17" t="str">
        <f>AX305</f>
        <v>TRAFRESSHDMD</v>
      </c>
      <c r="AZ305" s="18">
        <v>2019</v>
      </c>
      <c r="BA305" s="18" t="s">
        <v>483</v>
      </c>
      <c r="BB305" s="18">
        <v>1</v>
      </c>
      <c r="BC305" s="20" t="e">
        <f>-SUMIFS('TRA RESID'!$P:$P,'TRA RESID'!$I:$I,AY305,'TRA RESID'!$J:$J,AV305,'TRA RESID'!$H:$H,AW305)/SUMIFS('TRA RESID'!$P:$P,'TRA RESID'!$I:$I,AY305)*BG305</f>
        <v>#DIV/0!</v>
      </c>
      <c r="BD305" s="18">
        <v>0</v>
      </c>
      <c r="BE305" s="18">
        <v>5</v>
      </c>
      <c r="BG305" s="21">
        <v>0.98</v>
      </c>
    </row>
    <row r="306" spans="1:59" x14ac:dyDescent="0.25">
      <c r="C306" s="15" t="str">
        <f>IF(C305="*",C305,"")</f>
        <v>*</v>
      </c>
      <c r="D306" s="17" t="str">
        <f t="shared" ref="D306:G309" si="240">D305</f>
        <v>*ICEV*</v>
      </c>
      <c r="E306" s="17" t="str">
        <f t="shared" si="240"/>
        <v>TRARNG</v>
      </c>
      <c r="F306" s="17" t="str">
        <f t="shared" si="240"/>
        <v>TRAFRESSHDMD</v>
      </c>
      <c r="G306" s="17" t="str">
        <f t="shared" si="240"/>
        <v>TRAFRESSHDMD</v>
      </c>
      <c r="H306" s="18">
        <v>2025</v>
      </c>
      <c r="I306" s="18" t="str">
        <f>I305</f>
        <v>LO</v>
      </c>
      <c r="J306" s="18"/>
      <c r="K306" s="20" t="e">
        <f>-SUMIFS('TRA RESID'!$P:$P,'TRA RESID'!$I:$I,G306,'TRA RESID'!$J:$J,D306,'TRA RESID'!$H:$H,E306)/SUMIFS('TRA RESID'!$P:$P,'TRA RESID'!$I:$I,G306)*O306</f>
        <v>#DIV/0!</v>
      </c>
      <c r="L306" s="18"/>
      <c r="M306" s="18"/>
      <c r="O306" s="21">
        <v>0.8</v>
      </c>
      <c r="S306" s="15" t="str">
        <f>IF(S305="*",S305,"")</f>
        <v>*</v>
      </c>
      <c r="T306" s="17" t="str">
        <f t="shared" ref="T306:W309" si="241">T305</f>
        <v>*BEV*</v>
      </c>
      <c r="U306" s="17" t="str">
        <f t="shared" si="241"/>
        <v>TRARNG</v>
      </c>
      <c r="V306" s="17" t="str">
        <f t="shared" si="241"/>
        <v>TRAFRESSHDMD</v>
      </c>
      <c r="W306" s="17" t="str">
        <f t="shared" si="241"/>
        <v>TRAFRESSHDMD</v>
      </c>
      <c r="X306" s="18">
        <v>2025</v>
      </c>
      <c r="Y306" s="18" t="str">
        <f>Y305</f>
        <v>LO</v>
      </c>
      <c r="Z306" s="18"/>
      <c r="AA306" s="20" t="e">
        <f>-SUMIFS('TRA RESID'!$P:$P,'TRA RESID'!$I:$I,W306,'TRA RESID'!$J:$J,T306,'TRA RESID'!$H:$H,U306)/SUMIFS('TRA RESID'!$P:$P,'TRA RESID'!$I:$I,W306)*AE306</f>
        <v>#DIV/0!</v>
      </c>
      <c r="AB306" s="18"/>
      <c r="AC306" s="18"/>
      <c r="AE306" s="21">
        <v>1</v>
      </c>
      <c r="AG306" s="15" t="str">
        <f>IF(AG305="*",AG305,"")</f>
        <v>*</v>
      </c>
      <c r="AH306" s="17" t="str">
        <f t="shared" ref="AH306:AK309" si="242">AH305</f>
        <v>*HEV*</v>
      </c>
      <c r="AI306" s="17" t="str">
        <f t="shared" si="242"/>
        <v>TRARNG</v>
      </c>
      <c r="AJ306" s="17" t="str">
        <f t="shared" si="242"/>
        <v>TRAFRESSHDMD</v>
      </c>
      <c r="AK306" s="17" t="str">
        <f t="shared" si="242"/>
        <v>TRAFRESSHDMD</v>
      </c>
      <c r="AL306" s="18">
        <v>2025</v>
      </c>
      <c r="AM306" s="18" t="str">
        <f>AM305</f>
        <v>LO</v>
      </c>
      <c r="AN306" s="18"/>
      <c r="AO306" s="20" t="e">
        <f>-SUMIFS('TRA RESID'!$P:$P,'TRA RESID'!$I:$I,AK306,'TRA RESID'!$J:$J,AH306,'TRA RESID'!$H:$H,AI306)/SUMIFS('TRA RESID'!$P:$P,'TRA RESID'!$I:$I,AK306)*AS306</f>
        <v>#DIV/0!</v>
      </c>
      <c r="AP306" s="18"/>
      <c r="AQ306" s="18"/>
      <c r="AS306" s="21">
        <v>0.8</v>
      </c>
      <c r="AU306" s="15" t="str">
        <f>IF(AU305="*",AU305,"")</f>
        <v>*</v>
      </c>
      <c r="AV306" s="17" t="str">
        <f t="shared" ref="AV306:AY309" si="243">AV305</f>
        <v>*FCEV*</v>
      </c>
      <c r="AW306" s="17" t="str">
        <f t="shared" si="243"/>
        <v>TRARNG</v>
      </c>
      <c r="AX306" s="17" t="str">
        <f t="shared" si="243"/>
        <v>TRAFRESSHDMD</v>
      </c>
      <c r="AY306" s="17" t="str">
        <f t="shared" si="243"/>
        <v>TRAFRESSHDMD</v>
      </c>
      <c r="AZ306" s="18">
        <v>2025</v>
      </c>
      <c r="BA306" s="18" t="str">
        <f>BA305</f>
        <v>LO</v>
      </c>
      <c r="BB306" s="18"/>
      <c r="BC306" s="20" t="e">
        <f>-SUMIFS('TRA RESID'!$P:$P,'TRA RESID'!$I:$I,AY306,'TRA RESID'!$J:$J,AV306,'TRA RESID'!$H:$H,AW306)/SUMIFS('TRA RESID'!$P:$P,'TRA RESID'!$I:$I,AY306)*BG306</f>
        <v>#DIV/0!</v>
      </c>
      <c r="BD306" s="18"/>
      <c r="BE306" s="18"/>
      <c r="BG306" s="21">
        <v>0.8</v>
      </c>
    </row>
    <row r="307" spans="1:59" x14ac:dyDescent="0.25">
      <c r="C307" s="15" t="str">
        <f>IF(C306="*",C306,"")</f>
        <v>*</v>
      </c>
      <c r="D307" s="17" t="str">
        <f t="shared" si="240"/>
        <v>*ICEV*</v>
      </c>
      <c r="E307" s="17" t="str">
        <f t="shared" si="240"/>
        <v>TRARNG</v>
      </c>
      <c r="F307" s="17" t="str">
        <f t="shared" si="240"/>
        <v>TRAFRESSHDMD</v>
      </c>
      <c r="G307" s="17" t="str">
        <f t="shared" si="240"/>
        <v>TRAFRESSHDMD</v>
      </c>
      <c r="H307" s="18">
        <v>2030</v>
      </c>
      <c r="I307" s="18" t="str">
        <f>I306</f>
        <v>LO</v>
      </c>
      <c r="J307" s="18"/>
      <c r="K307" s="20" t="e">
        <f>-SUMIFS('TRA RESID'!$P:$P,'TRA RESID'!$I:$I,G307,'TRA RESID'!$J:$J,D307,'TRA RESID'!$H:$H,E307)/SUMIFS('TRA RESID'!$P:$P,'TRA RESID'!$I:$I,G307)*O307</f>
        <v>#DIV/0!</v>
      </c>
      <c r="L307" s="18"/>
      <c r="M307" s="18"/>
      <c r="O307" s="21">
        <v>0.5</v>
      </c>
      <c r="S307" s="15" t="str">
        <f>IF(S306="*",S306,"")</f>
        <v>*</v>
      </c>
      <c r="T307" s="17" t="str">
        <f t="shared" si="241"/>
        <v>*BEV*</v>
      </c>
      <c r="U307" s="17" t="str">
        <f t="shared" si="241"/>
        <v>TRARNG</v>
      </c>
      <c r="V307" s="17" t="str">
        <f t="shared" si="241"/>
        <v>TRAFRESSHDMD</v>
      </c>
      <c r="W307" s="17" t="str">
        <f t="shared" si="241"/>
        <v>TRAFRESSHDMD</v>
      </c>
      <c r="X307" s="18">
        <v>2030</v>
      </c>
      <c r="Y307" s="18" t="str">
        <f>Y306</f>
        <v>LO</v>
      </c>
      <c r="Z307" s="18"/>
      <c r="AA307" s="20" t="e">
        <f>-SUMIFS('TRA RESID'!$P:$P,'TRA RESID'!$I:$I,W307,'TRA RESID'!$J:$J,T307,'TRA RESID'!$H:$H,U307)/SUMIFS('TRA RESID'!$P:$P,'TRA RESID'!$I:$I,W307)*AE307</f>
        <v>#DIV/0!</v>
      </c>
      <c r="AB307" s="18"/>
      <c r="AC307" s="18"/>
      <c r="AE307" s="21">
        <v>1</v>
      </c>
      <c r="AG307" s="15" t="str">
        <f>IF(AG306="*",AG306,"")</f>
        <v>*</v>
      </c>
      <c r="AH307" s="17" t="str">
        <f t="shared" si="242"/>
        <v>*HEV*</v>
      </c>
      <c r="AI307" s="17" t="str">
        <f t="shared" si="242"/>
        <v>TRARNG</v>
      </c>
      <c r="AJ307" s="17" t="str">
        <f t="shared" si="242"/>
        <v>TRAFRESSHDMD</v>
      </c>
      <c r="AK307" s="17" t="str">
        <f t="shared" si="242"/>
        <v>TRAFRESSHDMD</v>
      </c>
      <c r="AL307" s="18">
        <v>2030</v>
      </c>
      <c r="AM307" s="18" t="str">
        <f>AM306</f>
        <v>LO</v>
      </c>
      <c r="AN307" s="18"/>
      <c r="AO307" s="20" t="e">
        <f>-SUMIFS('TRA RESID'!$P:$P,'TRA RESID'!$I:$I,AK307,'TRA RESID'!$J:$J,AH307,'TRA RESID'!$H:$H,AI307)/SUMIFS('TRA RESID'!$P:$P,'TRA RESID'!$I:$I,AK307)*AS307</f>
        <v>#DIV/0!</v>
      </c>
      <c r="AP307" s="18"/>
      <c r="AQ307" s="18"/>
      <c r="AS307" s="21">
        <v>0.5</v>
      </c>
      <c r="AU307" s="15" t="str">
        <f>IF(AU306="*",AU306,"")</f>
        <v>*</v>
      </c>
      <c r="AV307" s="17" t="str">
        <f t="shared" si="243"/>
        <v>*FCEV*</v>
      </c>
      <c r="AW307" s="17" t="str">
        <f t="shared" si="243"/>
        <v>TRARNG</v>
      </c>
      <c r="AX307" s="17" t="str">
        <f t="shared" si="243"/>
        <v>TRAFRESSHDMD</v>
      </c>
      <c r="AY307" s="17" t="str">
        <f t="shared" si="243"/>
        <v>TRAFRESSHDMD</v>
      </c>
      <c r="AZ307" s="18">
        <v>2030</v>
      </c>
      <c r="BA307" s="18" t="str">
        <f>BA306</f>
        <v>LO</v>
      </c>
      <c r="BB307" s="18"/>
      <c r="BC307" s="20" t="e">
        <f>-SUMIFS('TRA RESID'!$P:$P,'TRA RESID'!$I:$I,AY307,'TRA RESID'!$J:$J,AV307,'TRA RESID'!$H:$H,AW307)/SUMIFS('TRA RESID'!$P:$P,'TRA RESID'!$I:$I,AY307)*BG307</f>
        <v>#DIV/0!</v>
      </c>
      <c r="BD307" s="18"/>
      <c r="BE307" s="18"/>
      <c r="BG307" s="21">
        <v>0.5</v>
      </c>
    </row>
    <row r="308" spans="1:59" x14ac:dyDescent="0.25">
      <c r="C308" s="15" t="str">
        <f>IF(C307="*",C307,"")</f>
        <v>*</v>
      </c>
      <c r="D308" s="17" t="str">
        <f t="shared" si="240"/>
        <v>*ICEV*</v>
      </c>
      <c r="E308" s="17" t="str">
        <f t="shared" si="240"/>
        <v>TRARNG</v>
      </c>
      <c r="F308" s="17" t="str">
        <f t="shared" si="240"/>
        <v>TRAFRESSHDMD</v>
      </c>
      <c r="G308" s="17" t="str">
        <f t="shared" si="240"/>
        <v>TRAFRESSHDMD</v>
      </c>
      <c r="H308" s="18">
        <v>2040</v>
      </c>
      <c r="I308" s="18" t="str">
        <f>I307</f>
        <v>LO</v>
      </c>
      <c r="J308" s="18"/>
      <c r="K308" s="20" t="e">
        <f>-SUMIFS('TRA RESID'!$P:$P,'TRA RESID'!$I:$I,G308,'TRA RESID'!$J:$J,D308,'TRA RESID'!$H:$H,E308)/SUMIFS('TRA RESID'!$P:$P,'TRA RESID'!$I:$I,G308)*O308</f>
        <v>#DIV/0!</v>
      </c>
      <c r="L308" s="18"/>
      <c r="M308" s="18"/>
      <c r="O308" s="21">
        <v>0</v>
      </c>
      <c r="S308" s="15" t="str">
        <f>IF(S307="*",S307,"")</f>
        <v>*</v>
      </c>
      <c r="T308" s="17" t="str">
        <f t="shared" si="241"/>
        <v>*BEV*</v>
      </c>
      <c r="U308" s="17" t="str">
        <f t="shared" si="241"/>
        <v>TRARNG</v>
      </c>
      <c r="V308" s="17" t="str">
        <f t="shared" si="241"/>
        <v>TRAFRESSHDMD</v>
      </c>
      <c r="W308" s="17" t="str">
        <f t="shared" si="241"/>
        <v>TRAFRESSHDMD</v>
      </c>
      <c r="X308" s="18">
        <v>2040</v>
      </c>
      <c r="Y308" s="18" t="str">
        <f>Y307</f>
        <v>LO</v>
      </c>
      <c r="Z308" s="18"/>
      <c r="AA308" s="20" t="e">
        <f>-SUMIFS('TRA RESID'!$P:$P,'TRA RESID'!$I:$I,W308,'TRA RESID'!$J:$J,T308,'TRA RESID'!$H:$H,U308)/SUMIFS('TRA RESID'!$P:$P,'TRA RESID'!$I:$I,W308)*AE308</f>
        <v>#DIV/0!</v>
      </c>
      <c r="AB308" s="18"/>
      <c r="AC308" s="18"/>
      <c r="AE308" s="21">
        <v>1</v>
      </c>
      <c r="AG308" s="15" t="str">
        <f>IF(AG307="*",AG307,"")</f>
        <v>*</v>
      </c>
      <c r="AH308" s="17" t="str">
        <f t="shared" si="242"/>
        <v>*HEV*</v>
      </c>
      <c r="AI308" s="17" t="str">
        <f t="shared" si="242"/>
        <v>TRARNG</v>
      </c>
      <c r="AJ308" s="17" t="str">
        <f t="shared" si="242"/>
        <v>TRAFRESSHDMD</v>
      </c>
      <c r="AK308" s="17" t="str">
        <f t="shared" si="242"/>
        <v>TRAFRESSHDMD</v>
      </c>
      <c r="AL308" s="18">
        <v>2040</v>
      </c>
      <c r="AM308" s="18" t="str">
        <f>AM307</f>
        <v>LO</v>
      </c>
      <c r="AN308" s="18"/>
      <c r="AO308" s="20" t="e">
        <f>-SUMIFS('TRA RESID'!$P:$P,'TRA RESID'!$I:$I,AK308,'TRA RESID'!$J:$J,AH308,'TRA RESID'!$H:$H,AI308)/SUMIFS('TRA RESID'!$P:$P,'TRA RESID'!$I:$I,AK308)*AS308</f>
        <v>#DIV/0!</v>
      </c>
      <c r="AP308" s="18"/>
      <c r="AQ308" s="18"/>
      <c r="AS308" s="21">
        <v>0</v>
      </c>
      <c r="AU308" s="15" t="str">
        <f>IF(AU307="*",AU307,"")</f>
        <v>*</v>
      </c>
      <c r="AV308" s="17" t="str">
        <f t="shared" si="243"/>
        <v>*FCEV*</v>
      </c>
      <c r="AW308" s="17" t="str">
        <f t="shared" si="243"/>
        <v>TRARNG</v>
      </c>
      <c r="AX308" s="17" t="str">
        <f t="shared" si="243"/>
        <v>TRAFRESSHDMD</v>
      </c>
      <c r="AY308" s="17" t="str">
        <f t="shared" si="243"/>
        <v>TRAFRESSHDMD</v>
      </c>
      <c r="AZ308" s="18">
        <v>2040</v>
      </c>
      <c r="BA308" s="18" t="str">
        <f>BA307</f>
        <v>LO</v>
      </c>
      <c r="BB308" s="18"/>
      <c r="BC308" s="20" t="e">
        <f>-SUMIFS('TRA RESID'!$P:$P,'TRA RESID'!$I:$I,AY308,'TRA RESID'!$J:$J,AV308,'TRA RESID'!$H:$H,AW308)/SUMIFS('TRA RESID'!$P:$P,'TRA RESID'!$I:$I,AY308)*BG308</f>
        <v>#DIV/0!</v>
      </c>
      <c r="BD308" s="18"/>
      <c r="BE308" s="18"/>
      <c r="BG308" s="21">
        <v>0</v>
      </c>
    </row>
    <row r="309" spans="1:59" x14ac:dyDescent="0.25">
      <c r="C309" s="23" t="str">
        <f>IF(C308="*",C308,"")</f>
        <v>*</v>
      </c>
      <c r="D309" s="25" t="str">
        <f t="shared" si="240"/>
        <v>*ICEV*</v>
      </c>
      <c r="E309" s="25" t="str">
        <f t="shared" si="240"/>
        <v>TRARNG</v>
      </c>
      <c r="F309" s="25" t="str">
        <f t="shared" si="240"/>
        <v>TRAFRESSHDMD</v>
      </c>
      <c r="G309" s="25" t="str">
        <f t="shared" si="240"/>
        <v>TRAFRESSHDMD</v>
      </c>
      <c r="H309" s="26">
        <v>2050</v>
      </c>
      <c r="I309" s="26" t="str">
        <f>I307</f>
        <v>LO</v>
      </c>
      <c r="J309" s="26"/>
      <c r="K309" s="27" t="e">
        <f>-SUMIFS('TRA RESID'!$P:$P,'TRA RESID'!$I:$I,G309,'TRA RESID'!$J:$J,D309,'TRA RESID'!$H:$H,E309)/SUMIFS('TRA RESID'!$P:$P,'TRA RESID'!$I:$I,G309)*O309</f>
        <v>#DIV/0!</v>
      </c>
      <c r="L309" s="26"/>
      <c r="M309" s="26"/>
      <c r="O309" s="28">
        <v>0</v>
      </c>
      <c r="S309" s="23" t="str">
        <f>IF(S308="*",S308,"")</f>
        <v>*</v>
      </c>
      <c r="T309" s="25" t="str">
        <f t="shared" si="241"/>
        <v>*BEV*</v>
      </c>
      <c r="U309" s="25" t="str">
        <f t="shared" si="241"/>
        <v>TRARNG</v>
      </c>
      <c r="V309" s="25" t="str">
        <f t="shared" si="241"/>
        <v>TRAFRESSHDMD</v>
      </c>
      <c r="W309" s="25" t="str">
        <f t="shared" si="241"/>
        <v>TRAFRESSHDMD</v>
      </c>
      <c r="X309" s="26">
        <v>2050</v>
      </c>
      <c r="Y309" s="26" t="str">
        <f>Y307</f>
        <v>LO</v>
      </c>
      <c r="Z309" s="26"/>
      <c r="AA309" s="27" t="e">
        <f>-SUMIFS('TRA RESID'!$P:$P,'TRA RESID'!$I:$I,W309,'TRA RESID'!$J:$J,T309,'TRA RESID'!$H:$H,U309)/SUMIFS('TRA RESID'!$P:$P,'TRA RESID'!$I:$I,W309)*AE309</f>
        <v>#DIV/0!</v>
      </c>
      <c r="AB309" s="26"/>
      <c r="AC309" s="26"/>
      <c r="AE309" s="28">
        <v>1</v>
      </c>
      <c r="AG309" s="23" t="str">
        <f>IF(AG308="*",AG308,"")</f>
        <v>*</v>
      </c>
      <c r="AH309" s="25" t="str">
        <f t="shared" si="242"/>
        <v>*HEV*</v>
      </c>
      <c r="AI309" s="25" t="str">
        <f t="shared" si="242"/>
        <v>TRARNG</v>
      </c>
      <c r="AJ309" s="25" t="str">
        <f t="shared" si="242"/>
        <v>TRAFRESSHDMD</v>
      </c>
      <c r="AK309" s="25" t="str">
        <f t="shared" si="242"/>
        <v>TRAFRESSHDMD</v>
      </c>
      <c r="AL309" s="26">
        <v>2050</v>
      </c>
      <c r="AM309" s="26" t="str">
        <f>AM307</f>
        <v>LO</v>
      </c>
      <c r="AN309" s="26"/>
      <c r="AO309" s="27" t="e">
        <f>-SUMIFS('TRA RESID'!$P:$P,'TRA RESID'!$I:$I,AK309,'TRA RESID'!$J:$J,AH309,'TRA RESID'!$H:$H,AI309)/SUMIFS('TRA RESID'!$P:$P,'TRA RESID'!$I:$I,AK309)*AS309</f>
        <v>#DIV/0!</v>
      </c>
      <c r="AP309" s="26"/>
      <c r="AQ309" s="26"/>
      <c r="AS309" s="28">
        <v>0</v>
      </c>
      <c r="AU309" s="23" t="str">
        <f>IF(AU308="*",AU308,"")</f>
        <v>*</v>
      </c>
      <c r="AV309" s="25" t="str">
        <f t="shared" si="243"/>
        <v>*FCEV*</v>
      </c>
      <c r="AW309" s="25" t="str">
        <f t="shared" si="243"/>
        <v>TRARNG</v>
      </c>
      <c r="AX309" s="25" t="str">
        <f t="shared" si="243"/>
        <v>TRAFRESSHDMD</v>
      </c>
      <c r="AY309" s="25" t="str">
        <f t="shared" si="243"/>
        <v>TRAFRESSHDMD</v>
      </c>
      <c r="AZ309" s="26">
        <v>2050</v>
      </c>
      <c r="BA309" s="26" t="str">
        <f>BA307</f>
        <v>LO</v>
      </c>
      <c r="BB309" s="26"/>
      <c r="BC309" s="27" t="e">
        <f>-SUMIFS('TRA RESID'!$P:$P,'TRA RESID'!$I:$I,AY309,'TRA RESID'!$J:$J,AV309,'TRA RESID'!$H:$H,AW309)/SUMIFS('TRA RESID'!$P:$P,'TRA RESID'!$I:$I,AY309)*BG309</f>
        <v>#DIV/0!</v>
      </c>
      <c r="BD309" s="26"/>
      <c r="BE309" s="26"/>
      <c r="BG309" s="28">
        <v>0</v>
      </c>
    </row>
    <row r="310" spans="1:59" x14ac:dyDescent="0.25">
      <c r="A310">
        <f>A305+1</f>
        <v>62</v>
      </c>
      <c r="C310" s="15" t="str">
        <f>IF(E310="","",IF(_xlfn.XLOOKUP($A310,Selected_constraint!$A:$A,Selected_constraint!$D:$D)=1,"*",IF(SUMIFS('TRA TECH'!$M:$M,'TRA TECH'!$H:$H,E310,'TRA TECH'!$I:$I,F310)=0,"*",IF(SUMIFS('TRA RESID'!$P:$P,'TRA RESID'!$I:$I,G310,'TRA RESID'!$J:$J,D310,'TRA RESID'!$H:$H,E310)=0,"*","UC_"&amp;SUBSTITUTE(D310,"*","")&amp;"_"&amp;RIGHT(E310,3)&amp;"_"&amp;F310))))</f>
        <v>*</v>
      </c>
      <c r="D310" s="17" t="s">
        <v>485</v>
      </c>
      <c r="E310" s="17" t="str">
        <f>_xlfn.XLOOKUP($A310,Selected_constraint!$A:$A,Selected_constraint!$B:$B)</f>
        <v>TRABAF</v>
      </c>
      <c r="F310" s="17" t="str">
        <f>_xlfn.XLOOKUP($A310,Selected_constraint!$A:$A,Selected_constraint!$C:$C)</f>
        <v>TRAFRESSHDMD</v>
      </c>
      <c r="G310" s="17" t="str">
        <f>F310</f>
        <v>TRAFRESSHDMD</v>
      </c>
      <c r="H310" s="18">
        <v>2019</v>
      </c>
      <c r="I310" s="18" t="s">
        <v>483</v>
      </c>
      <c r="J310" s="18">
        <v>1</v>
      </c>
      <c r="K310" s="20" t="e">
        <f>-SUMIFS('TRA RESID'!$P:$P,'TRA RESID'!$I:$I,G310,'TRA RESID'!$J:$J,D310,'TRA RESID'!$H:$H,E310)/SUMIFS('TRA RESID'!$P:$P,'TRA RESID'!$I:$I,G310)*O310</f>
        <v>#DIV/0!</v>
      </c>
      <c r="L310" s="18">
        <v>0</v>
      </c>
      <c r="M310" s="18">
        <v>5</v>
      </c>
      <c r="O310" s="21">
        <v>0.98</v>
      </c>
      <c r="Q310">
        <f>Q305+1</f>
        <v>62</v>
      </c>
      <c r="S310" s="15" t="str">
        <f>IF(SUMIFS('TRA RESID'!$P:$P,'TRA RESID'!$I:$I,W310,'TRA RESID'!$J:$J,T310,'TRA RESID'!$H:$H,U310)=0,"*","UC_"&amp;SUBSTITUTE(T310,"*","")&amp;"_"&amp;RIGHT(U310,3)&amp;"_"&amp;V310)</f>
        <v>*</v>
      </c>
      <c r="T310" s="17" t="s">
        <v>486</v>
      </c>
      <c r="U310" s="17" t="str">
        <f>_xlfn.XLOOKUP($A310,Selected_constraint!$A:$A,Selected_constraint!$B:$B)</f>
        <v>TRABAF</v>
      </c>
      <c r="V310" s="17" t="str">
        <f>_xlfn.XLOOKUP($A310,Selected_constraint!$A:$A,Selected_constraint!$C:$C)</f>
        <v>TRAFRESSHDMD</v>
      </c>
      <c r="W310" s="17" t="str">
        <f>V310</f>
        <v>TRAFRESSHDMD</v>
      </c>
      <c r="X310" s="18">
        <v>2019</v>
      </c>
      <c r="Y310" s="18" t="s">
        <v>483</v>
      </c>
      <c r="Z310" s="18">
        <v>1</v>
      </c>
      <c r="AA310" s="20" t="e">
        <f>-SUMIFS('TRA RESID'!$P:$P,'TRA RESID'!$I:$I,W310,'TRA RESID'!$J:$J,T310,'TRA RESID'!$H:$H,U310)/SUMIFS('TRA RESID'!$P:$P,'TRA RESID'!$I:$I,W310)*AE310</f>
        <v>#DIV/0!</v>
      </c>
      <c r="AB310" s="18">
        <v>0</v>
      </c>
      <c r="AC310" s="18">
        <v>5</v>
      </c>
      <c r="AE310" s="21">
        <v>0.98</v>
      </c>
      <c r="AG310" s="15" t="str">
        <f>IF(SUMIFS('TRA RESID'!$P:$P,'TRA RESID'!$I:$I,AK310,'TRA RESID'!$J:$J,AH310,'TRA RESID'!$H:$H,AI310)=0,"*","UC_"&amp;SUBSTITUTE(AH310,"*","")&amp;"_"&amp;RIGHT(AI310,3)&amp;"_"&amp;AJ310)</f>
        <v>*</v>
      </c>
      <c r="AH310" s="17" t="s">
        <v>487</v>
      </c>
      <c r="AI310" s="17" t="str">
        <f>_xlfn.XLOOKUP($A310,Selected_constraint!$A:$A,Selected_constraint!$B:$B)</f>
        <v>TRABAF</v>
      </c>
      <c r="AJ310" s="17" t="str">
        <f>_xlfn.XLOOKUP($A310,Selected_constraint!$A:$A,Selected_constraint!$C:$C)</f>
        <v>TRAFRESSHDMD</v>
      </c>
      <c r="AK310" s="17" t="str">
        <f>AJ310</f>
        <v>TRAFRESSHDMD</v>
      </c>
      <c r="AL310" s="18">
        <v>2019</v>
      </c>
      <c r="AM310" s="18" t="s">
        <v>483</v>
      </c>
      <c r="AN310" s="18">
        <v>1</v>
      </c>
      <c r="AO310" s="20" t="e">
        <f>-SUMIFS('TRA RESID'!$P:$P,'TRA RESID'!$I:$I,AK310,'TRA RESID'!$J:$J,AH310,'TRA RESID'!$H:$H,AI310)/SUMIFS('TRA RESID'!$P:$P,'TRA RESID'!$I:$I,AK310)*AS310</f>
        <v>#DIV/0!</v>
      </c>
      <c r="AP310" s="18">
        <v>0</v>
      </c>
      <c r="AQ310" s="18">
        <v>5</v>
      </c>
      <c r="AS310" s="21">
        <v>0.98</v>
      </c>
      <c r="AU310" s="15" t="str">
        <f>IF(SUMIFS('TRA RESID'!$P:$P,'TRA RESID'!$I:$I,AY310,'TRA RESID'!$J:$J,AV310,'TRA RESID'!$H:$H,AW310)=0,"*","UC_"&amp;SUBSTITUTE(AV310,"*","")&amp;"_"&amp;RIGHT(AW310,3)&amp;"_"&amp;AX310)</f>
        <v>*</v>
      </c>
      <c r="AV310" s="17" t="s">
        <v>488</v>
      </c>
      <c r="AW310" s="17" t="str">
        <f>_xlfn.XLOOKUP($A310,Selected_constraint!$A:$A,Selected_constraint!$B:$B)</f>
        <v>TRABAF</v>
      </c>
      <c r="AX310" s="17" t="str">
        <f>_xlfn.XLOOKUP($A310,Selected_constraint!$A:$A,Selected_constraint!$C:$C)</f>
        <v>TRAFRESSHDMD</v>
      </c>
      <c r="AY310" s="17" t="str">
        <f>AX310</f>
        <v>TRAFRESSHDMD</v>
      </c>
      <c r="AZ310" s="18">
        <v>2019</v>
      </c>
      <c r="BA310" s="18" t="s">
        <v>483</v>
      </c>
      <c r="BB310" s="18">
        <v>1</v>
      </c>
      <c r="BC310" s="20" t="e">
        <f>-SUMIFS('TRA RESID'!$P:$P,'TRA RESID'!$I:$I,AY310,'TRA RESID'!$J:$J,AV310,'TRA RESID'!$H:$H,AW310)/SUMIFS('TRA RESID'!$P:$P,'TRA RESID'!$I:$I,AY310)*BG310</f>
        <v>#DIV/0!</v>
      </c>
      <c r="BD310" s="18">
        <v>0</v>
      </c>
      <c r="BE310" s="18">
        <v>5</v>
      </c>
      <c r="BG310" s="21">
        <v>0.98</v>
      </c>
    </row>
    <row r="311" spans="1:59" x14ac:dyDescent="0.25">
      <c r="C311" s="15" t="str">
        <f>IF(C310="*",C310,"")</f>
        <v>*</v>
      </c>
      <c r="D311" s="17" t="str">
        <f t="shared" ref="D311:G314" si="244">D310</f>
        <v>*ICEV*</v>
      </c>
      <c r="E311" s="17" t="str">
        <f t="shared" si="244"/>
        <v>TRABAF</v>
      </c>
      <c r="F311" s="17" t="str">
        <f t="shared" si="244"/>
        <v>TRAFRESSHDMD</v>
      </c>
      <c r="G311" s="17" t="str">
        <f t="shared" si="244"/>
        <v>TRAFRESSHDMD</v>
      </c>
      <c r="H311" s="18">
        <v>2025</v>
      </c>
      <c r="I311" s="18" t="str">
        <f>I310</f>
        <v>LO</v>
      </c>
      <c r="J311" s="18"/>
      <c r="K311" s="20" t="e">
        <f>-SUMIFS('TRA RESID'!$P:$P,'TRA RESID'!$I:$I,G311,'TRA RESID'!$J:$J,D311,'TRA RESID'!$H:$H,E311)/SUMIFS('TRA RESID'!$P:$P,'TRA RESID'!$I:$I,G311)*O311</f>
        <v>#DIV/0!</v>
      </c>
      <c r="L311" s="18"/>
      <c r="M311" s="18"/>
      <c r="O311" s="21">
        <v>0.8</v>
      </c>
      <c r="S311" s="15" t="str">
        <f>IF(S310="*",S310,"")</f>
        <v>*</v>
      </c>
      <c r="T311" s="17" t="str">
        <f t="shared" ref="T311:W314" si="245">T310</f>
        <v>*BEV*</v>
      </c>
      <c r="U311" s="17" t="str">
        <f t="shared" si="245"/>
        <v>TRABAF</v>
      </c>
      <c r="V311" s="17" t="str">
        <f t="shared" si="245"/>
        <v>TRAFRESSHDMD</v>
      </c>
      <c r="W311" s="17" t="str">
        <f t="shared" si="245"/>
        <v>TRAFRESSHDMD</v>
      </c>
      <c r="X311" s="18">
        <v>2025</v>
      </c>
      <c r="Y311" s="18" t="str">
        <f>Y310</f>
        <v>LO</v>
      </c>
      <c r="Z311" s="18"/>
      <c r="AA311" s="20" t="e">
        <f>-SUMIFS('TRA RESID'!$P:$P,'TRA RESID'!$I:$I,W311,'TRA RESID'!$J:$J,T311,'TRA RESID'!$H:$H,U311)/SUMIFS('TRA RESID'!$P:$P,'TRA RESID'!$I:$I,W311)*AE311</f>
        <v>#DIV/0!</v>
      </c>
      <c r="AB311" s="18"/>
      <c r="AC311" s="18"/>
      <c r="AE311" s="21">
        <v>1</v>
      </c>
      <c r="AG311" s="15" t="str">
        <f>IF(AG310="*",AG310,"")</f>
        <v>*</v>
      </c>
      <c r="AH311" s="17" t="str">
        <f t="shared" ref="AH311:AK314" si="246">AH310</f>
        <v>*HEV*</v>
      </c>
      <c r="AI311" s="17" t="str">
        <f t="shared" si="246"/>
        <v>TRABAF</v>
      </c>
      <c r="AJ311" s="17" t="str">
        <f t="shared" si="246"/>
        <v>TRAFRESSHDMD</v>
      </c>
      <c r="AK311" s="17" t="str">
        <f t="shared" si="246"/>
        <v>TRAFRESSHDMD</v>
      </c>
      <c r="AL311" s="18">
        <v>2025</v>
      </c>
      <c r="AM311" s="18" t="str">
        <f>AM310</f>
        <v>LO</v>
      </c>
      <c r="AN311" s="18"/>
      <c r="AO311" s="20" t="e">
        <f>-SUMIFS('TRA RESID'!$P:$P,'TRA RESID'!$I:$I,AK311,'TRA RESID'!$J:$J,AH311,'TRA RESID'!$H:$H,AI311)/SUMIFS('TRA RESID'!$P:$P,'TRA RESID'!$I:$I,AK311)*AS311</f>
        <v>#DIV/0!</v>
      </c>
      <c r="AP311" s="18"/>
      <c r="AQ311" s="18"/>
      <c r="AS311" s="21">
        <v>0.8</v>
      </c>
      <c r="AU311" s="15" t="str">
        <f>IF(AU310="*",AU310,"")</f>
        <v>*</v>
      </c>
      <c r="AV311" s="17" t="str">
        <f t="shared" ref="AV311:AY314" si="247">AV310</f>
        <v>*FCEV*</v>
      </c>
      <c r="AW311" s="17" t="str">
        <f t="shared" si="247"/>
        <v>TRABAF</v>
      </c>
      <c r="AX311" s="17" t="str">
        <f t="shared" si="247"/>
        <v>TRAFRESSHDMD</v>
      </c>
      <c r="AY311" s="17" t="str">
        <f t="shared" si="247"/>
        <v>TRAFRESSHDMD</v>
      </c>
      <c r="AZ311" s="18">
        <v>2025</v>
      </c>
      <c r="BA311" s="18" t="str">
        <f>BA310</f>
        <v>LO</v>
      </c>
      <c r="BB311" s="18"/>
      <c r="BC311" s="20" t="e">
        <f>-SUMIFS('TRA RESID'!$P:$P,'TRA RESID'!$I:$I,AY311,'TRA RESID'!$J:$J,AV311,'TRA RESID'!$H:$H,AW311)/SUMIFS('TRA RESID'!$P:$P,'TRA RESID'!$I:$I,AY311)*BG311</f>
        <v>#DIV/0!</v>
      </c>
      <c r="BD311" s="18"/>
      <c r="BE311" s="18"/>
      <c r="BG311" s="21">
        <v>0.8</v>
      </c>
    </row>
    <row r="312" spans="1:59" x14ac:dyDescent="0.25">
      <c r="C312" s="15" t="str">
        <f>IF(C311="*",C311,"")</f>
        <v>*</v>
      </c>
      <c r="D312" s="17" t="str">
        <f t="shared" si="244"/>
        <v>*ICEV*</v>
      </c>
      <c r="E312" s="17" t="str">
        <f t="shared" si="244"/>
        <v>TRABAF</v>
      </c>
      <c r="F312" s="17" t="str">
        <f t="shared" si="244"/>
        <v>TRAFRESSHDMD</v>
      </c>
      <c r="G312" s="17" t="str">
        <f t="shared" si="244"/>
        <v>TRAFRESSHDMD</v>
      </c>
      <c r="H312" s="18">
        <v>2030</v>
      </c>
      <c r="I312" s="18" t="str">
        <f>I311</f>
        <v>LO</v>
      </c>
      <c r="J312" s="18"/>
      <c r="K312" s="20" t="e">
        <f>-SUMIFS('TRA RESID'!$P:$P,'TRA RESID'!$I:$I,G312,'TRA RESID'!$J:$J,D312,'TRA RESID'!$H:$H,E312)/SUMIFS('TRA RESID'!$P:$P,'TRA RESID'!$I:$I,G312)*O312</f>
        <v>#DIV/0!</v>
      </c>
      <c r="L312" s="18"/>
      <c r="M312" s="18"/>
      <c r="O312" s="21">
        <v>0.5</v>
      </c>
      <c r="S312" s="15" t="str">
        <f>IF(S311="*",S311,"")</f>
        <v>*</v>
      </c>
      <c r="T312" s="17" t="str">
        <f t="shared" si="245"/>
        <v>*BEV*</v>
      </c>
      <c r="U312" s="17" t="str">
        <f t="shared" si="245"/>
        <v>TRABAF</v>
      </c>
      <c r="V312" s="17" t="str">
        <f t="shared" si="245"/>
        <v>TRAFRESSHDMD</v>
      </c>
      <c r="W312" s="17" t="str">
        <f t="shared" si="245"/>
        <v>TRAFRESSHDMD</v>
      </c>
      <c r="X312" s="18">
        <v>2030</v>
      </c>
      <c r="Y312" s="18" t="str">
        <f>Y311</f>
        <v>LO</v>
      </c>
      <c r="Z312" s="18"/>
      <c r="AA312" s="20" t="e">
        <f>-SUMIFS('TRA RESID'!$P:$P,'TRA RESID'!$I:$I,W312,'TRA RESID'!$J:$J,T312,'TRA RESID'!$H:$H,U312)/SUMIFS('TRA RESID'!$P:$P,'TRA RESID'!$I:$I,W312)*AE312</f>
        <v>#DIV/0!</v>
      </c>
      <c r="AB312" s="18"/>
      <c r="AC312" s="18"/>
      <c r="AE312" s="21">
        <v>1</v>
      </c>
      <c r="AG312" s="15" t="str">
        <f>IF(AG311="*",AG311,"")</f>
        <v>*</v>
      </c>
      <c r="AH312" s="17" t="str">
        <f t="shared" si="246"/>
        <v>*HEV*</v>
      </c>
      <c r="AI312" s="17" t="str">
        <f t="shared" si="246"/>
        <v>TRABAF</v>
      </c>
      <c r="AJ312" s="17" t="str">
        <f t="shared" si="246"/>
        <v>TRAFRESSHDMD</v>
      </c>
      <c r="AK312" s="17" t="str">
        <f t="shared" si="246"/>
        <v>TRAFRESSHDMD</v>
      </c>
      <c r="AL312" s="18">
        <v>2030</v>
      </c>
      <c r="AM312" s="18" t="str">
        <f>AM311</f>
        <v>LO</v>
      </c>
      <c r="AN312" s="18"/>
      <c r="AO312" s="20" t="e">
        <f>-SUMIFS('TRA RESID'!$P:$P,'TRA RESID'!$I:$I,AK312,'TRA RESID'!$J:$J,AH312,'TRA RESID'!$H:$H,AI312)/SUMIFS('TRA RESID'!$P:$P,'TRA RESID'!$I:$I,AK312)*AS312</f>
        <v>#DIV/0!</v>
      </c>
      <c r="AP312" s="18"/>
      <c r="AQ312" s="18"/>
      <c r="AS312" s="21">
        <v>0.5</v>
      </c>
      <c r="AU312" s="15" t="str">
        <f>IF(AU311="*",AU311,"")</f>
        <v>*</v>
      </c>
      <c r="AV312" s="17" t="str">
        <f t="shared" si="247"/>
        <v>*FCEV*</v>
      </c>
      <c r="AW312" s="17" t="str">
        <f t="shared" si="247"/>
        <v>TRABAF</v>
      </c>
      <c r="AX312" s="17" t="str">
        <f t="shared" si="247"/>
        <v>TRAFRESSHDMD</v>
      </c>
      <c r="AY312" s="17" t="str">
        <f t="shared" si="247"/>
        <v>TRAFRESSHDMD</v>
      </c>
      <c r="AZ312" s="18">
        <v>2030</v>
      </c>
      <c r="BA312" s="18" t="str">
        <f>BA311</f>
        <v>LO</v>
      </c>
      <c r="BB312" s="18"/>
      <c r="BC312" s="20" t="e">
        <f>-SUMIFS('TRA RESID'!$P:$P,'TRA RESID'!$I:$I,AY312,'TRA RESID'!$J:$J,AV312,'TRA RESID'!$H:$H,AW312)/SUMIFS('TRA RESID'!$P:$P,'TRA RESID'!$I:$I,AY312)*BG312</f>
        <v>#DIV/0!</v>
      </c>
      <c r="BD312" s="18"/>
      <c r="BE312" s="18"/>
      <c r="BG312" s="21">
        <v>0.5</v>
      </c>
    </row>
    <row r="313" spans="1:59" x14ac:dyDescent="0.25">
      <c r="C313" s="15" t="str">
        <f>IF(C312="*",C312,"")</f>
        <v>*</v>
      </c>
      <c r="D313" s="17" t="str">
        <f t="shared" si="244"/>
        <v>*ICEV*</v>
      </c>
      <c r="E313" s="17" t="str">
        <f t="shared" si="244"/>
        <v>TRABAF</v>
      </c>
      <c r="F313" s="17" t="str">
        <f t="shared" si="244"/>
        <v>TRAFRESSHDMD</v>
      </c>
      <c r="G313" s="17" t="str">
        <f t="shared" si="244"/>
        <v>TRAFRESSHDMD</v>
      </c>
      <c r="H313" s="18">
        <v>2040</v>
      </c>
      <c r="I313" s="18" t="str">
        <f>I312</f>
        <v>LO</v>
      </c>
      <c r="J313" s="18"/>
      <c r="K313" s="20" t="e">
        <f>-SUMIFS('TRA RESID'!$P:$P,'TRA RESID'!$I:$I,G313,'TRA RESID'!$J:$J,D313,'TRA RESID'!$H:$H,E313)/SUMIFS('TRA RESID'!$P:$P,'TRA RESID'!$I:$I,G313)*O313</f>
        <v>#DIV/0!</v>
      </c>
      <c r="L313" s="18"/>
      <c r="M313" s="18"/>
      <c r="O313" s="21">
        <v>0</v>
      </c>
      <c r="S313" s="15" t="str">
        <f>IF(S312="*",S312,"")</f>
        <v>*</v>
      </c>
      <c r="T313" s="17" t="str">
        <f t="shared" si="245"/>
        <v>*BEV*</v>
      </c>
      <c r="U313" s="17" t="str">
        <f t="shared" si="245"/>
        <v>TRABAF</v>
      </c>
      <c r="V313" s="17" t="str">
        <f t="shared" si="245"/>
        <v>TRAFRESSHDMD</v>
      </c>
      <c r="W313" s="17" t="str">
        <f t="shared" si="245"/>
        <v>TRAFRESSHDMD</v>
      </c>
      <c r="X313" s="18">
        <v>2040</v>
      </c>
      <c r="Y313" s="18" t="str">
        <f>Y312</f>
        <v>LO</v>
      </c>
      <c r="Z313" s="18"/>
      <c r="AA313" s="20" t="e">
        <f>-SUMIFS('TRA RESID'!$P:$P,'TRA RESID'!$I:$I,W313,'TRA RESID'!$J:$J,T313,'TRA RESID'!$H:$H,U313)/SUMIFS('TRA RESID'!$P:$P,'TRA RESID'!$I:$I,W313)*AE313</f>
        <v>#DIV/0!</v>
      </c>
      <c r="AB313" s="18"/>
      <c r="AC313" s="18"/>
      <c r="AE313" s="21">
        <v>1</v>
      </c>
      <c r="AG313" s="15" t="str">
        <f>IF(AG312="*",AG312,"")</f>
        <v>*</v>
      </c>
      <c r="AH313" s="17" t="str">
        <f t="shared" si="246"/>
        <v>*HEV*</v>
      </c>
      <c r="AI313" s="17" t="str">
        <f t="shared" si="246"/>
        <v>TRABAF</v>
      </c>
      <c r="AJ313" s="17" t="str">
        <f t="shared" si="246"/>
        <v>TRAFRESSHDMD</v>
      </c>
      <c r="AK313" s="17" t="str">
        <f t="shared" si="246"/>
        <v>TRAFRESSHDMD</v>
      </c>
      <c r="AL313" s="18">
        <v>2040</v>
      </c>
      <c r="AM313" s="18" t="str">
        <f>AM312</f>
        <v>LO</v>
      </c>
      <c r="AN313" s="18"/>
      <c r="AO313" s="20" t="e">
        <f>-SUMIFS('TRA RESID'!$P:$P,'TRA RESID'!$I:$I,AK313,'TRA RESID'!$J:$J,AH313,'TRA RESID'!$H:$H,AI313)/SUMIFS('TRA RESID'!$P:$P,'TRA RESID'!$I:$I,AK313)*AS313</f>
        <v>#DIV/0!</v>
      </c>
      <c r="AP313" s="18"/>
      <c r="AQ313" s="18"/>
      <c r="AS313" s="21">
        <v>0</v>
      </c>
      <c r="AU313" s="15" t="str">
        <f>IF(AU312="*",AU312,"")</f>
        <v>*</v>
      </c>
      <c r="AV313" s="17" t="str">
        <f t="shared" si="247"/>
        <v>*FCEV*</v>
      </c>
      <c r="AW313" s="17" t="str">
        <f t="shared" si="247"/>
        <v>TRABAF</v>
      </c>
      <c r="AX313" s="17" t="str">
        <f t="shared" si="247"/>
        <v>TRAFRESSHDMD</v>
      </c>
      <c r="AY313" s="17" t="str">
        <f t="shared" si="247"/>
        <v>TRAFRESSHDMD</v>
      </c>
      <c r="AZ313" s="18">
        <v>2040</v>
      </c>
      <c r="BA313" s="18" t="str">
        <f>BA312</f>
        <v>LO</v>
      </c>
      <c r="BB313" s="18"/>
      <c r="BC313" s="20" t="e">
        <f>-SUMIFS('TRA RESID'!$P:$P,'TRA RESID'!$I:$I,AY313,'TRA RESID'!$J:$J,AV313,'TRA RESID'!$H:$H,AW313)/SUMIFS('TRA RESID'!$P:$P,'TRA RESID'!$I:$I,AY313)*BG313</f>
        <v>#DIV/0!</v>
      </c>
      <c r="BD313" s="18"/>
      <c r="BE313" s="18"/>
      <c r="BG313" s="21">
        <v>0</v>
      </c>
    </row>
    <row r="314" spans="1:59" x14ac:dyDescent="0.25">
      <c r="C314" s="23" t="str">
        <f>IF(C313="*",C313,"")</f>
        <v>*</v>
      </c>
      <c r="D314" s="25" t="str">
        <f t="shared" si="244"/>
        <v>*ICEV*</v>
      </c>
      <c r="E314" s="25" t="str">
        <f t="shared" si="244"/>
        <v>TRABAF</v>
      </c>
      <c r="F314" s="25" t="str">
        <f t="shared" si="244"/>
        <v>TRAFRESSHDMD</v>
      </c>
      <c r="G314" s="25" t="str">
        <f t="shared" si="244"/>
        <v>TRAFRESSHDMD</v>
      </c>
      <c r="H314" s="26">
        <v>2050</v>
      </c>
      <c r="I314" s="26" t="str">
        <f>I312</f>
        <v>LO</v>
      </c>
      <c r="J314" s="26"/>
      <c r="K314" s="27" t="e">
        <f>-SUMIFS('TRA RESID'!$P:$P,'TRA RESID'!$I:$I,G314,'TRA RESID'!$J:$J,D314,'TRA RESID'!$H:$H,E314)/SUMIFS('TRA RESID'!$P:$P,'TRA RESID'!$I:$I,G314)*O314</f>
        <v>#DIV/0!</v>
      </c>
      <c r="L314" s="26"/>
      <c r="M314" s="26"/>
      <c r="O314" s="28">
        <v>0</v>
      </c>
      <c r="S314" s="23" t="str">
        <f>IF(S313="*",S313,"")</f>
        <v>*</v>
      </c>
      <c r="T314" s="25" t="str">
        <f t="shared" si="245"/>
        <v>*BEV*</v>
      </c>
      <c r="U314" s="25" t="str">
        <f t="shared" si="245"/>
        <v>TRABAF</v>
      </c>
      <c r="V314" s="25" t="str">
        <f t="shared" si="245"/>
        <v>TRAFRESSHDMD</v>
      </c>
      <c r="W314" s="25" t="str">
        <f t="shared" si="245"/>
        <v>TRAFRESSHDMD</v>
      </c>
      <c r="X314" s="26">
        <v>2050</v>
      </c>
      <c r="Y314" s="26" t="str">
        <f>Y312</f>
        <v>LO</v>
      </c>
      <c r="Z314" s="26"/>
      <c r="AA314" s="27" t="e">
        <f>-SUMIFS('TRA RESID'!$P:$P,'TRA RESID'!$I:$I,W314,'TRA RESID'!$J:$J,T314,'TRA RESID'!$H:$H,U314)/SUMIFS('TRA RESID'!$P:$P,'TRA RESID'!$I:$I,W314)*AE314</f>
        <v>#DIV/0!</v>
      </c>
      <c r="AB314" s="26"/>
      <c r="AC314" s="26"/>
      <c r="AE314" s="28">
        <v>1</v>
      </c>
      <c r="AG314" s="23" t="str">
        <f>IF(AG313="*",AG313,"")</f>
        <v>*</v>
      </c>
      <c r="AH314" s="25" t="str">
        <f t="shared" si="246"/>
        <v>*HEV*</v>
      </c>
      <c r="AI314" s="25" t="str">
        <f t="shared" si="246"/>
        <v>TRABAF</v>
      </c>
      <c r="AJ314" s="25" t="str">
        <f t="shared" si="246"/>
        <v>TRAFRESSHDMD</v>
      </c>
      <c r="AK314" s="25" t="str">
        <f t="shared" si="246"/>
        <v>TRAFRESSHDMD</v>
      </c>
      <c r="AL314" s="26">
        <v>2050</v>
      </c>
      <c r="AM314" s="26" t="str">
        <f>AM312</f>
        <v>LO</v>
      </c>
      <c r="AN314" s="26"/>
      <c r="AO314" s="27" t="e">
        <f>-SUMIFS('TRA RESID'!$P:$P,'TRA RESID'!$I:$I,AK314,'TRA RESID'!$J:$J,AH314,'TRA RESID'!$H:$H,AI314)/SUMIFS('TRA RESID'!$P:$P,'TRA RESID'!$I:$I,AK314)*AS314</f>
        <v>#DIV/0!</v>
      </c>
      <c r="AP314" s="26"/>
      <c r="AQ314" s="26"/>
      <c r="AS314" s="28">
        <v>0</v>
      </c>
      <c r="AU314" s="23" t="str">
        <f>IF(AU313="*",AU313,"")</f>
        <v>*</v>
      </c>
      <c r="AV314" s="25" t="str">
        <f t="shared" si="247"/>
        <v>*FCEV*</v>
      </c>
      <c r="AW314" s="25" t="str">
        <f t="shared" si="247"/>
        <v>TRABAF</v>
      </c>
      <c r="AX314" s="25" t="str">
        <f t="shared" si="247"/>
        <v>TRAFRESSHDMD</v>
      </c>
      <c r="AY314" s="25" t="str">
        <f t="shared" si="247"/>
        <v>TRAFRESSHDMD</v>
      </c>
      <c r="AZ314" s="26">
        <v>2050</v>
      </c>
      <c r="BA314" s="26" t="str">
        <f>BA312</f>
        <v>LO</v>
      </c>
      <c r="BB314" s="26"/>
      <c r="BC314" s="27" t="e">
        <f>-SUMIFS('TRA RESID'!$P:$P,'TRA RESID'!$I:$I,AY314,'TRA RESID'!$J:$J,AV314,'TRA RESID'!$H:$H,AW314)/SUMIFS('TRA RESID'!$P:$P,'TRA RESID'!$I:$I,AY314)*BG314</f>
        <v>#DIV/0!</v>
      </c>
      <c r="BD314" s="26"/>
      <c r="BE314" s="26"/>
      <c r="BG314" s="28">
        <v>0</v>
      </c>
    </row>
    <row r="315" spans="1:59" x14ac:dyDescent="0.25">
      <c r="A315">
        <f>A310+1</f>
        <v>63</v>
      </c>
      <c r="C315" s="15" t="str">
        <f>IF(E315="","",IF(_xlfn.XLOOKUP($A315,Selected_constraint!$A:$A,Selected_constraint!$D:$D)=1,"*",IF(SUMIFS('TRA TECH'!$M:$M,'TRA TECH'!$H:$H,E315,'TRA TECH'!$I:$I,F315)=0,"*",IF(SUMIFS('TRA RESID'!$P:$P,'TRA RESID'!$I:$I,G315,'TRA RESID'!$J:$J,D315,'TRA RESID'!$H:$H,E315)=0,"*","UC_"&amp;SUBSTITUTE(D315,"*","")&amp;"_"&amp;RIGHT(E315,3)&amp;"_"&amp;F315))))</f>
        <v>*</v>
      </c>
      <c r="D315" s="17" t="s">
        <v>485</v>
      </c>
      <c r="E315" s="17" t="str">
        <f>_xlfn.XLOOKUP($A315,Selected_constraint!$A:$A,Selected_constraint!$B:$B)</f>
        <v>TRAH2G</v>
      </c>
      <c r="F315" s="17" t="str">
        <f>_xlfn.XLOOKUP($A315,Selected_constraint!$A:$A,Selected_constraint!$C:$C)</f>
        <v>TRAFRESSHDMD</v>
      </c>
      <c r="G315" s="17" t="str">
        <f>F315</f>
        <v>TRAFRESSHDMD</v>
      </c>
      <c r="H315" s="18">
        <v>2019</v>
      </c>
      <c r="I315" s="18" t="s">
        <v>483</v>
      </c>
      <c r="J315" s="18">
        <v>1</v>
      </c>
      <c r="K315" s="20" t="e">
        <f>-SUMIFS('TRA RESID'!$P:$P,'TRA RESID'!$I:$I,G315,'TRA RESID'!$J:$J,D315,'TRA RESID'!$H:$H,E315)/SUMIFS('TRA RESID'!$P:$P,'TRA RESID'!$I:$I,G315)*O315</f>
        <v>#DIV/0!</v>
      </c>
      <c r="L315" s="18">
        <v>0</v>
      </c>
      <c r="M315" s="18">
        <v>5</v>
      </c>
      <c r="O315" s="21">
        <v>0.98</v>
      </c>
      <c r="Q315">
        <f>Q310+1</f>
        <v>63</v>
      </c>
      <c r="S315" s="15" t="str">
        <f>IF(SUMIFS('TRA RESID'!$P:$P,'TRA RESID'!$I:$I,W315,'TRA RESID'!$J:$J,T315,'TRA RESID'!$H:$H,U315)=0,"*","UC_"&amp;SUBSTITUTE(T315,"*","")&amp;"_"&amp;RIGHT(U315,3)&amp;"_"&amp;V315)</f>
        <v>*</v>
      </c>
      <c r="T315" s="17" t="s">
        <v>486</v>
      </c>
      <c r="U315" s="17" t="str">
        <f>_xlfn.XLOOKUP($A315,Selected_constraint!$A:$A,Selected_constraint!$B:$B)</f>
        <v>TRAH2G</v>
      </c>
      <c r="V315" s="17" t="str">
        <f>_xlfn.XLOOKUP($A315,Selected_constraint!$A:$A,Selected_constraint!$C:$C)</f>
        <v>TRAFRESSHDMD</v>
      </c>
      <c r="W315" s="17" t="str">
        <f>V315</f>
        <v>TRAFRESSHDMD</v>
      </c>
      <c r="X315" s="18">
        <v>2019</v>
      </c>
      <c r="Y315" s="18" t="s">
        <v>483</v>
      </c>
      <c r="Z315" s="18">
        <v>1</v>
      </c>
      <c r="AA315" s="20" t="e">
        <f>-SUMIFS('TRA RESID'!$P:$P,'TRA RESID'!$I:$I,W315,'TRA RESID'!$J:$J,T315,'TRA RESID'!$H:$H,U315)/SUMIFS('TRA RESID'!$P:$P,'TRA RESID'!$I:$I,W315)*AE315</f>
        <v>#DIV/0!</v>
      </c>
      <c r="AB315" s="18">
        <v>0</v>
      </c>
      <c r="AC315" s="18">
        <v>5</v>
      </c>
      <c r="AE315" s="21">
        <v>0.98</v>
      </c>
      <c r="AG315" s="15" t="str">
        <f>IF(SUMIFS('TRA RESID'!$P:$P,'TRA RESID'!$I:$I,AK315,'TRA RESID'!$J:$J,AH315,'TRA RESID'!$H:$H,AI315)=0,"*","UC_"&amp;SUBSTITUTE(AH315,"*","")&amp;"_"&amp;RIGHT(AI315,3)&amp;"_"&amp;AJ315)</f>
        <v>*</v>
      </c>
      <c r="AH315" s="17" t="s">
        <v>487</v>
      </c>
      <c r="AI315" s="17" t="str">
        <f>_xlfn.XLOOKUP($A315,Selected_constraint!$A:$A,Selected_constraint!$B:$B)</f>
        <v>TRAH2G</v>
      </c>
      <c r="AJ315" s="17" t="str">
        <f>_xlfn.XLOOKUP($A315,Selected_constraint!$A:$A,Selected_constraint!$C:$C)</f>
        <v>TRAFRESSHDMD</v>
      </c>
      <c r="AK315" s="17" t="str">
        <f>AJ315</f>
        <v>TRAFRESSHDMD</v>
      </c>
      <c r="AL315" s="18">
        <v>2019</v>
      </c>
      <c r="AM315" s="18" t="s">
        <v>483</v>
      </c>
      <c r="AN315" s="18">
        <v>1</v>
      </c>
      <c r="AO315" s="20" t="e">
        <f>-SUMIFS('TRA RESID'!$P:$P,'TRA RESID'!$I:$I,AK315,'TRA RESID'!$J:$J,AH315,'TRA RESID'!$H:$H,AI315)/SUMIFS('TRA RESID'!$P:$P,'TRA RESID'!$I:$I,AK315)*AS315</f>
        <v>#DIV/0!</v>
      </c>
      <c r="AP315" s="18">
        <v>0</v>
      </c>
      <c r="AQ315" s="18">
        <v>5</v>
      </c>
      <c r="AS315" s="21">
        <v>0.98</v>
      </c>
      <c r="AU315" s="15" t="str">
        <f>IF(SUMIFS('TRA RESID'!$P:$P,'TRA RESID'!$I:$I,AY315,'TRA RESID'!$J:$J,AV315,'TRA RESID'!$H:$H,AW315)=0,"*","UC_"&amp;SUBSTITUTE(AV315,"*","")&amp;"_"&amp;RIGHT(AW315,3)&amp;"_"&amp;AX315)</f>
        <v>*</v>
      </c>
      <c r="AV315" s="17" t="s">
        <v>488</v>
      </c>
      <c r="AW315" s="17" t="str">
        <f>_xlfn.XLOOKUP($A315,Selected_constraint!$A:$A,Selected_constraint!$B:$B)</f>
        <v>TRAH2G</v>
      </c>
      <c r="AX315" s="17" t="str">
        <f>_xlfn.XLOOKUP($A315,Selected_constraint!$A:$A,Selected_constraint!$C:$C)</f>
        <v>TRAFRESSHDMD</v>
      </c>
      <c r="AY315" s="17" t="str">
        <f>AX315</f>
        <v>TRAFRESSHDMD</v>
      </c>
      <c r="AZ315" s="18">
        <v>2019</v>
      </c>
      <c r="BA315" s="18" t="s">
        <v>483</v>
      </c>
      <c r="BB315" s="18">
        <v>1</v>
      </c>
      <c r="BC315" s="20" t="e">
        <f>-SUMIFS('TRA RESID'!$P:$P,'TRA RESID'!$I:$I,AY315,'TRA RESID'!$J:$J,AV315,'TRA RESID'!$H:$H,AW315)/SUMIFS('TRA RESID'!$P:$P,'TRA RESID'!$I:$I,AY315)*BG315</f>
        <v>#DIV/0!</v>
      </c>
      <c r="BD315" s="18">
        <v>0</v>
      </c>
      <c r="BE315" s="18">
        <v>5</v>
      </c>
      <c r="BG315" s="21">
        <v>0.98</v>
      </c>
    </row>
    <row r="316" spans="1:59" x14ac:dyDescent="0.25">
      <c r="C316" s="15" t="str">
        <f>IF(C315="*",C315,"")</f>
        <v>*</v>
      </c>
      <c r="D316" s="17" t="str">
        <f t="shared" ref="D316:G319" si="248">D315</f>
        <v>*ICEV*</v>
      </c>
      <c r="E316" s="17" t="str">
        <f t="shared" si="248"/>
        <v>TRAH2G</v>
      </c>
      <c r="F316" s="17" t="str">
        <f t="shared" si="248"/>
        <v>TRAFRESSHDMD</v>
      </c>
      <c r="G316" s="17" t="str">
        <f t="shared" si="248"/>
        <v>TRAFRESSHDMD</v>
      </c>
      <c r="H316" s="18">
        <v>2025</v>
      </c>
      <c r="I316" s="18" t="str">
        <f>I315</f>
        <v>LO</v>
      </c>
      <c r="J316" s="18"/>
      <c r="K316" s="20" t="e">
        <f>-SUMIFS('TRA RESID'!$P:$P,'TRA RESID'!$I:$I,G316,'TRA RESID'!$J:$J,D316,'TRA RESID'!$H:$H,E316)/SUMIFS('TRA RESID'!$P:$P,'TRA RESID'!$I:$I,G316)*O316</f>
        <v>#DIV/0!</v>
      </c>
      <c r="L316" s="18"/>
      <c r="M316" s="18"/>
      <c r="O316" s="21">
        <v>0.8</v>
      </c>
      <c r="S316" s="15" t="str">
        <f>IF(S315="*",S315,"")</f>
        <v>*</v>
      </c>
      <c r="T316" s="17" t="str">
        <f t="shared" ref="T316:W319" si="249">T315</f>
        <v>*BEV*</v>
      </c>
      <c r="U316" s="17" t="str">
        <f t="shared" si="249"/>
        <v>TRAH2G</v>
      </c>
      <c r="V316" s="17" t="str">
        <f t="shared" si="249"/>
        <v>TRAFRESSHDMD</v>
      </c>
      <c r="W316" s="17" t="str">
        <f t="shared" si="249"/>
        <v>TRAFRESSHDMD</v>
      </c>
      <c r="X316" s="18">
        <v>2025</v>
      </c>
      <c r="Y316" s="18" t="str">
        <f>Y315</f>
        <v>LO</v>
      </c>
      <c r="Z316" s="18"/>
      <c r="AA316" s="20" t="e">
        <f>-SUMIFS('TRA RESID'!$P:$P,'TRA RESID'!$I:$I,W316,'TRA RESID'!$J:$J,T316,'TRA RESID'!$H:$H,U316)/SUMIFS('TRA RESID'!$P:$P,'TRA RESID'!$I:$I,W316)*AE316</f>
        <v>#DIV/0!</v>
      </c>
      <c r="AB316" s="18"/>
      <c r="AC316" s="18"/>
      <c r="AE316" s="21">
        <v>1</v>
      </c>
      <c r="AG316" s="15" t="str">
        <f>IF(AG315="*",AG315,"")</f>
        <v>*</v>
      </c>
      <c r="AH316" s="17" t="str">
        <f t="shared" ref="AH316:AK319" si="250">AH315</f>
        <v>*HEV*</v>
      </c>
      <c r="AI316" s="17" t="str">
        <f t="shared" si="250"/>
        <v>TRAH2G</v>
      </c>
      <c r="AJ316" s="17" t="str">
        <f t="shared" si="250"/>
        <v>TRAFRESSHDMD</v>
      </c>
      <c r="AK316" s="17" t="str">
        <f t="shared" si="250"/>
        <v>TRAFRESSHDMD</v>
      </c>
      <c r="AL316" s="18">
        <v>2025</v>
      </c>
      <c r="AM316" s="18" t="str">
        <f>AM315</f>
        <v>LO</v>
      </c>
      <c r="AN316" s="18"/>
      <c r="AO316" s="20" t="e">
        <f>-SUMIFS('TRA RESID'!$P:$P,'TRA RESID'!$I:$I,AK316,'TRA RESID'!$J:$J,AH316,'TRA RESID'!$H:$H,AI316)/SUMIFS('TRA RESID'!$P:$P,'TRA RESID'!$I:$I,AK316)*AS316</f>
        <v>#DIV/0!</v>
      </c>
      <c r="AP316" s="18"/>
      <c r="AQ316" s="18"/>
      <c r="AS316" s="21">
        <v>0.8</v>
      </c>
      <c r="AU316" s="15" t="str">
        <f>IF(AU315="*",AU315,"")</f>
        <v>*</v>
      </c>
      <c r="AV316" s="17" t="str">
        <f t="shared" ref="AV316:AY319" si="251">AV315</f>
        <v>*FCEV*</v>
      </c>
      <c r="AW316" s="17" t="str">
        <f t="shared" si="251"/>
        <v>TRAH2G</v>
      </c>
      <c r="AX316" s="17" t="str">
        <f t="shared" si="251"/>
        <v>TRAFRESSHDMD</v>
      </c>
      <c r="AY316" s="17" t="str">
        <f t="shared" si="251"/>
        <v>TRAFRESSHDMD</v>
      </c>
      <c r="AZ316" s="18">
        <v>2025</v>
      </c>
      <c r="BA316" s="18" t="str">
        <f>BA315</f>
        <v>LO</v>
      </c>
      <c r="BB316" s="18"/>
      <c r="BC316" s="20" t="e">
        <f>-SUMIFS('TRA RESID'!$P:$P,'TRA RESID'!$I:$I,AY316,'TRA RESID'!$J:$J,AV316,'TRA RESID'!$H:$H,AW316)/SUMIFS('TRA RESID'!$P:$P,'TRA RESID'!$I:$I,AY316)*BG316</f>
        <v>#DIV/0!</v>
      </c>
      <c r="BD316" s="18"/>
      <c r="BE316" s="18"/>
      <c r="BG316" s="21">
        <v>0.8</v>
      </c>
    </row>
    <row r="317" spans="1:59" x14ac:dyDescent="0.25">
      <c r="C317" s="15" t="str">
        <f>IF(C316="*",C316,"")</f>
        <v>*</v>
      </c>
      <c r="D317" s="17" t="str">
        <f t="shared" si="248"/>
        <v>*ICEV*</v>
      </c>
      <c r="E317" s="17" t="str">
        <f t="shared" si="248"/>
        <v>TRAH2G</v>
      </c>
      <c r="F317" s="17" t="str">
        <f t="shared" si="248"/>
        <v>TRAFRESSHDMD</v>
      </c>
      <c r="G317" s="17" t="str">
        <f t="shared" si="248"/>
        <v>TRAFRESSHDMD</v>
      </c>
      <c r="H317" s="18">
        <v>2030</v>
      </c>
      <c r="I317" s="18" t="str">
        <f>I316</f>
        <v>LO</v>
      </c>
      <c r="J317" s="18"/>
      <c r="K317" s="20" t="e">
        <f>-SUMIFS('TRA RESID'!$P:$P,'TRA RESID'!$I:$I,G317,'TRA RESID'!$J:$J,D317,'TRA RESID'!$H:$H,E317)/SUMIFS('TRA RESID'!$P:$P,'TRA RESID'!$I:$I,G317)*O317</f>
        <v>#DIV/0!</v>
      </c>
      <c r="L317" s="18"/>
      <c r="M317" s="18"/>
      <c r="O317" s="21">
        <v>0.5</v>
      </c>
      <c r="S317" s="15" t="str">
        <f>IF(S316="*",S316,"")</f>
        <v>*</v>
      </c>
      <c r="T317" s="17" t="str">
        <f t="shared" si="249"/>
        <v>*BEV*</v>
      </c>
      <c r="U317" s="17" t="str">
        <f t="shared" si="249"/>
        <v>TRAH2G</v>
      </c>
      <c r="V317" s="17" t="str">
        <f t="shared" si="249"/>
        <v>TRAFRESSHDMD</v>
      </c>
      <c r="W317" s="17" t="str">
        <f t="shared" si="249"/>
        <v>TRAFRESSHDMD</v>
      </c>
      <c r="X317" s="18">
        <v>2030</v>
      </c>
      <c r="Y317" s="18" t="str">
        <f>Y316</f>
        <v>LO</v>
      </c>
      <c r="Z317" s="18"/>
      <c r="AA317" s="20" t="e">
        <f>-SUMIFS('TRA RESID'!$P:$P,'TRA RESID'!$I:$I,W317,'TRA RESID'!$J:$J,T317,'TRA RESID'!$H:$H,U317)/SUMIFS('TRA RESID'!$P:$P,'TRA RESID'!$I:$I,W317)*AE317</f>
        <v>#DIV/0!</v>
      </c>
      <c r="AB317" s="18"/>
      <c r="AC317" s="18"/>
      <c r="AE317" s="21">
        <v>1</v>
      </c>
      <c r="AG317" s="15" t="str">
        <f>IF(AG316="*",AG316,"")</f>
        <v>*</v>
      </c>
      <c r="AH317" s="17" t="str">
        <f t="shared" si="250"/>
        <v>*HEV*</v>
      </c>
      <c r="AI317" s="17" t="str">
        <f t="shared" si="250"/>
        <v>TRAH2G</v>
      </c>
      <c r="AJ317" s="17" t="str">
        <f t="shared" si="250"/>
        <v>TRAFRESSHDMD</v>
      </c>
      <c r="AK317" s="17" t="str">
        <f t="shared" si="250"/>
        <v>TRAFRESSHDMD</v>
      </c>
      <c r="AL317" s="18">
        <v>2030</v>
      </c>
      <c r="AM317" s="18" t="str">
        <f>AM316</f>
        <v>LO</v>
      </c>
      <c r="AN317" s="18"/>
      <c r="AO317" s="20" t="e">
        <f>-SUMIFS('TRA RESID'!$P:$P,'TRA RESID'!$I:$I,AK317,'TRA RESID'!$J:$J,AH317,'TRA RESID'!$H:$H,AI317)/SUMIFS('TRA RESID'!$P:$P,'TRA RESID'!$I:$I,AK317)*AS317</f>
        <v>#DIV/0!</v>
      </c>
      <c r="AP317" s="18"/>
      <c r="AQ317" s="18"/>
      <c r="AS317" s="21">
        <v>0.5</v>
      </c>
      <c r="AU317" s="15" t="str">
        <f>IF(AU316="*",AU316,"")</f>
        <v>*</v>
      </c>
      <c r="AV317" s="17" t="str">
        <f t="shared" si="251"/>
        <v>*FCEV*</v>
      </c>
      <c r="AW317" s="17" t="str">
        <f t="shared" si="251"/>
        <v>TRAH2G</v>
      </c>
      <c r="AX317" s="17" t="str">
        <f t="shared" si="251"/>
        <v>TRAFRESSHDMD</v>
      </c>
      <c r="AY317" s="17" t="str">
        <f t="shared" si="251"/>
        <v>TRAFRESSHDMD</v>
      </c>
      <c r="AZ317" s="18">
        <v>2030</v>
      </c>
      <c r="BA317" s="18" t="str">
        <f>BA316</f>
        <v>LO</v>
      </c>
      <c r="BB317" s="18"/>
      <c r="BC317" s="20" t="e">
        <f>-SUMIFS('TRA RESID'!$P:$P,'TRA RESID'!$I:$I,AY317,'TRA RESID'!$J:$J,AV317,'TRA RESID'!$H:$H,AW317)/SUMIFS('TRA RESID'!$P:$P,'TRA RESID'!$I:$I,AY317)*BG317</f>
        <v>#DIV/0!</v>
      </c>
      <c r="BD317" s="18"/>
      <c r="BE317" s="18"/>
      <c r="BG317" s="21">
        <v>0.5</v>
      </c>
    </row>
    <row r="318" spans="1:59" x14ac:dyDescent="0.25">
      <c r="C318" s="15" t="str">
        <f>IF(C317="*",C317,"")</f>
        <v>*</v>
      </c>
      <c r="D318" s="17" t="str">
        <f t="shared" si="248"/>
        <v>*ICEV*</v>
      </c>
      <c r="E318" s="17" t="str">
        <f t="shared" si="248"/>
        <v>TRAH2G</v>
      </c>
      <c r="F318" s="17" t="str">
        <f t="shared" si="248"/>
        <v>TRAFRESSHDMD</v>
      </c>
      <c r="G318" s="17" t="str">
        <f t="shared" si="248"/>
        <v>TRAFRESSHDMD</v>
      </c>
      <c r="H318" s="18">
        <v>2040</v>
      </c>
      <c r="I318" s="18" t="str">
        <f>I317</f>
        <v>LO</v>
      </c>
      <c r="J318" s="18"/>
      <c r="K318" s="20" t="e">
        <f>-SUMIFS('TRA RESID'!$P:$P,'TRA RESID'!$I:$I,G318,'TRA RESID'!$J:$J,D318,'TRA RESID'!$H:$H,E318)/SUMIFS('TRA RESID'!$P:$P,'TRA RESID'!$I:$I,G318)*O318</f>
        <v>#DIV/0!</v>
      </c>
      <c r="L318" s="18"/>
      <c r="M318" s="18"/>
      <c r="O318" s="21">
        <v>0</v>
      </c>
      <c r="S318" s="15" t="str">
        <f>IF(S317="*",S317,"")</f>
        <v>*</v>
      </c>
      <c r="T318" s="17" t="str">
        <f t="shared" si="249"/>
        <v>*BEV*</v>
      </c>
      <c r="U318" s="17" t="str">
        <f t="shared" si="249"/>
        <v>TRAH2G</v>
      </c>
      <c r="V318" s="17" t="str">
        <f t="shared" si="249"/>
        <v>TRAFRESSHDMD</v>
      </c>
      <c r="W318" s="17" t="str">
        <f t="shared" si="249"/>
        <v>TRAFRESSHDMD</v>
      </c>
      <c r="X318" s="18">
        <v>2040</v>
      </c>
      <c r="Y318" s="18" t="str">
        <f>Y317</f>
        <v>LO</v>
      </c>
      <c r="Z318" s="18"/>
      <c r="AA318" s="20" t="e">
        <f>-SUMIFS('TRA RESID'!$P:$P,'TRA RESID'!$I:$I,W318,'TRA RESID'!$J:$J,T318,'TRA RESID'!$H:$H,U318)/SUMIFS('TRA RESID'!$P:$P,'TRA RESID'!$I:$I,W318)*AE318</f>
        <v>#DIV/0!</v>
      </c>
      <c r="AB318" s="18"/>
      <c r="AC318" s="18"/>
      <c r="AE318" s="21">
        <v>1</v>
      </c>
      <c r="AG318" s="15" t="str">
        <f>IF(AG317="*",AG317,"")</f>
        <v>*</v>
      </c>
      <c r="AH318" s="17" t="str">
        <f t="shared" si="250"/>
        <v>*HEV*</v>
      </c>
      <c r="AI318" s="17" t="str">
        <f t="shared" si="250"/>
        <v>TRAH2G</v>
      </c>
      <c r="AJ318" s="17" t="str">
        <f t="shared" si="250"/>
        <v>TRAFRESSHDMD</v>
      </c>
      <c r="AK318" s="17" t="str">
        <f t="shared" si="250"/>
        <v>TRAFRESSHDMD</v>
      </c>
      <c r="AL318" s="18">
        <v>2040</v>
      </c>
      <c r="AM318" s="18" t="str">
        <f>AM317</f>
        <v>LO</v>
      </c>
      <c r="AN318" s="18"/>
      <c r="AO318" s="20" t="e">
        <f>-SUMIFS('TRA RESID'!$P:$P,'TRA RESID'!$I:$I,AK318,'TRA RESID'!$J:$J,AH318,'TRA RESID'!$H:$H,AI318)/SUMIFS('TRA RESID'!$P:$P,'TRA RESID'!$I:$I,AK318)*AS318</f>
        <v>#DIV/0!</v>
      </c>
      <c r="AP318" s="18"/>
      <c r="AQ318" s="18"/>
      <c r="AS318" s="21">
        <v>0</v>
      </c>
      <c r="AU318" s="15" t="str">
        <f>IF(AU317="*",AU317,"")</f>
        <v>*</v>
      </c>
      <c r="AV318" s="17" t="str">
        <f t="shared" si="251"/>
        <v>*FCEV*</v>
      </c>
      <c r="AW318" s="17" t="str">
        <f t="shared" si="251"/>
        <v>TRAH2G</v>
      </c>
      <c r="AX318" s="17" t="str">
        <f t="shared" si="251"/>
        <v>TRAFRESSHDMD</v>
      </c>
      <c r="AY318" s="17" t="str">
        <f t="shared" si="251"/>
        <v>TRAFRESSHDMD</v>
      </c>
      <c r="AZ318" s="18">
        <v>2040</v>
      </c>
      <c r="BA318" s="18" t="str">
        <f>BA317</f>
        <v>LO</v>
      </c>
      <c r="BB318" s="18"/>
      <c r="BC318" s="20" t="e">
        <f>-SUMIFS('TRA RESID'!$P:$P,'TRA RESID'!$I:$I,AY318,'TRA RESID'!$J:$J,AV318,'TRA RESID'!$H:$H,AW318)/SUMIFS('TRA RESID'!$P:$P,'TRA RESID'!$I:$I,AY318)*BG318</f>
        <v>#DIV/0!</v>
      </c>
      <c r="BD318" s="18"/>
      <c r="BE318" s="18"/>
      <c r="BG318" s="21">
        <v>0</v>
      </c>
    </row>
    <row r="319" spans="1:59" x14ac:dyDescent="0.25">
      <c r="C319" s="23" t="str">
        <f>IF(C318="*",C318,"")</f>
        <v>*</v>
      </c>
      <c r="D319" s="25" t="str">
        <f t="shared" si="248"/>
        <v>*ICEV*</v>
      </c>
      <c r="E319" s="25" t="str">
        <f t="shared" si="248"/>
        <v>TRAH2G</v>
      </c>
      <c r="F319" s="25" t="str">
        <f t="shared" si="248"/>
        <v>TRAFRESSHDMD</v>
      </c>
      <c r="G319" s="25" t="str">
        <f t="shared" si="248"/>
        <v>TRAFRESSHDMD</v>
      </c>
      <c r="H319" s="26">
        <v>2050</v>
      </c>
      <c r="I319" s="26" t="str">
        <f>I317</f>
        <v>LO</v>
      </c>
      <c r="J319" s="26"/>
      <c r="K319" s="27" t="e">
        <f>-SUMIFS('TRA RESID'!$P:$P,'TRA RESID'!$I:$I,G319,'TRA RESID'!$J:$J,D319,'TRA RESID'!$H:$H,E319)/SUMIFS('TRA RESID'!$P:$P,'TRA RESID'!$I:$I,G319)*O319</f>
        <v>#DIV/0!</v>
      </c>
      <c r="L319" s="26"/>
      <c r="M319" s="26"/>
      <c r="O319" s="28">
        <v>0</v>
      </c>
      <c r="S319" s="23" t="str">
        <f>IF(S318="*",S318,"")</f>
        <v>*</v>
      </c>
      <c r="T319" s="25" t="str">
        <f t="shared" si="249"/>
        <v>*BEV*</v>
      </c>
      <c r="U319" s="25" t="str">
        <f t="shared" si="249"/>
        <v>TRAH2G</v>
      </c>
      <c r="V319" s="25" t="str">
        <f t="shared" si="249"/>
        <v>TRAFRESSHDMD</v>
      </c>
      <c r="W319" s="25" t="str">
        <f t="shared" si="249"/>
        <v>TRAFRESSHDMD</v>
      </c>
      <c r="X319" s="26">
        <v>2050</v>
      </c>
      <c r="Y319" s="26" t="str">
        <f>Y317</f>
        <v>LO</v>
      </c>
      <c r="Z319" s="26"/>
      <c r="AA319" s="27" t="e">
        <f>-SUMIFS('TRA RESID'!$P:$P,'TRA RESID'!$I:$I,W319,'TRA RESID'!$J:$J,T319,'TRA RESID'!$H:$H,U319)/SUMIFS('TRA RESID'!$P:$P,'TRA RESID'!$I:$I,W319)*AE319</f>
        <v>#DIV/0!</v>
      </c>
      <c r="AB319" s="26"/>
      <c r="AC319" s="26"/>
      <c r="AE319" s="28">
        <v>1</v>
      </c>
      <c r="AG319" s="23" t="str">
        <f>IF(AG318="*",AG318,"")</f>
        <v>*</v>
      </c>
      <c r="AH319" s="25" t="str">
        <f t="shared" si="250"/>
        <v>*HEV*</v>
      </c>
      <c r="AI319" s="25" t="str">
        <f t="shared" si="250"/>
        <v>TRAH2G</v>
      </c>
      <c r="AJ319" s="25" t="str">
        <f t="shared" si="250"/>
        <v>TRAFRESSHDMD</v>
      </c>
      <c r="AK319" s="25" t="str">
        <f t="shared" si="250"/>
        <v>TRAFRESSHDMD</v>
      </c>
      <c r="AL319" s="26">
        <v>2050</v>
      </c>
      <c r="AM319" s="26" t="str">
        <f>AM317</f>
        <v>LO</v>
      </c>
      <c r="AN319" s="26"/>
      <c r="AO319" s="27" t="e">
        <f>-SUMIFS('TRA RESID'!$P:$P,'TRA RESID'!$I:$I,AK319,'TRA RESID'!$J:$J,AH319,'TRA RESID'!$H:$H,AI319)/SUMIFS('TRA RESID'!$P:$P,'TRA RESID'!$I:$I,AK319)*AS319</f>
        <v>#DIV/0!</v>
      </c>
      <c r="AP319" s="26"/>
      <c r="AQ319" s="26"/>
      <c r="AS319" s="28">
        <v>0</v>
      </c>
      <c r="AU319" s="23" t="str">
        <f>IF(AU318="*",AU318,"")</f>
        <v>*</v>
      </c>
      <c r="AV319" s="25" t="str">
        <f t="shared" si="251"/>
        <v>*FCEV*</v>
      </c>
      <c r="AW319" s="25" t="str">
        <f t="shared" si="251"/>
        <v>TRAH2G</v>
      </c>
      <c r="AX319" s="25" t="str">
        <f t="shared" si="251"/>
        <v>TRAFRESSHDMD</v>
      </c>
      <c r="AY319" s="25" t="str">
        <f t="shared" si="251"/>
        <v>TRAFRESSHDMD</v>
      </c>
      <c r="AZ319" s="26">
        <v>2050</v>
      </c>
      <c r="BA319" s="26" t="str">
        <f>BA317</f>
        <v>LO</v>
      </c>
      <c r="BB319" s="26"/>
      <c r="BC319" s="27" t="e">
        <f>-SUMIFS('TRA RESID'!$P:$P,'TRA RESID'!$I:$I,AY319,'TRA RESID'!$J:$J,AV319,'TRA RESID'!$H:$H,AW319)/SUMIFS('TRA RESID'!$P:$P,'TRA RESID'!$I:$I,AY319)*BG319</f>
        <v>#DIV/0!</v>
      </c>
      <c r="BD319" s="26"/>
      <c r="BE319" s="26"/>
      <c r="BG319" s="28">
        <v>0</v>
      </c>
    </row>
    <row r="320" spans="1:59" x14ac:dyDescent="0.25">
      <c r="A320">
        <f>A315+1</f>
        <v>64</v>
      </c>
      <c r="C320" s="15" t="str">
        <f>IF(E320="","",IF(_xlfn.XLOOKUP($A320,Selected_constraint!$A:$A,Selected_constraint!$D:$D)=1,"*",IF(SUMIFS('TRA TECH'!$M:$M,'TRA TECH'!$H:$H,E320,'TRA TECH'!$I:$I,F320)=0,"*",IF(SUMIFS('TRA RESID'!$P:$P,'TRA RESID'!$I:$I,G320,'TRA RESID'!$J:$J,D320,'TRA RESID'!$H:$H,E320)=0,"*","UC_"&amp;SUBSTITUTE(D320,"*","")&amp;"_"&amp;RIGHT(E320,3)&amp;"_"&amp;F320))))</f>
        <v>*</v>
      </c>
      <c r="D320" s="17" t="s">
        <v>485</v>
      </c>
      <c r="E320" s="17" t="str">
        <f>_xlfn.XLOOKUP($A320,Selected_constraint!$A:$A,Selected_constraint!$B:$B)</f>
        <v>TRAGSL</v>
      </c>
      <c r="F320" s="17" t="str">
        <f>_xlfn.XLOOKUP($A320,Selected_constraint!$A:$A,Selected_constraint!$C:$C)</f>
        <v>TRAFRECLHDMD</v>
      </c>
      <c r="G320" s="17" t="str">
        <f>F320</f>
        <v>TRAFRECLHDMD</v>
      </c>
      <c r="H320" s="18">
        <v>2019</v>
      </c>
      <c r="I320" s="18" t="s">
        <v>483</v>
      </c>
      <c r="J320" s="18">
        <v>1</v>
      </c>
      <c r="K320" s="20">
        <f>-SUMIFS('TRA RESID'!$P:$P,'TRA RESID'!$I:$I,G320,'TRA RESID'!$J:$J,D320,'TRA RESID'!$H:$H,E320)/SUMIFS('TRA RESID'!$P:$P,'TRA RESID'!$I:$I,G320)*O320</f>
        <v>-6.4766422274140445E-3</v>
      </c>
      <c r="L320" s="18">
        <v>0</v>
      </c>
      <c r="M320" s="18">
        <v>5</v>
      </c>
      <c r="O320" s="21">
        <v>0.98</v>
      </c>
      <c r="Q320">
        <f>Q315+1</f>
        <v>64</v>
      </c>
      <c r="S320" s="15" t="str">
        <f>IF(SUMIFS('TRA RESID'!$P:$P,'TRA RESID'!$I:$I,W320,'TRA RESID'!$J:$J,T320,'TRA RESID'!$H:$H,U320)=0,"*","UC_"&amp;SUBSTITUTE(T320,"*","")&amp;"_"&amp;RIGHT(U320,3)&amp;"_"&amp;V320)</f>
        <v>*</v>
      </c>
      <c r="T320" s="17" t="s">
        <v>486</v>
      </c>
      <c r="U320" s="17" t="str">
        <f>_xlfn.XLOOKUP($A320,Selected_constraint!$A:$A,Selected_constraint!$B:$B)</f>
        <v>TRAGSL</v>
      </c>
      <c r="V320" s="17" t="str">
        <f>_xlfn.XLOOKUP($A320,Selected_constraint!$A:$A,Selected_constraint!$C:$C)</f>
        <v>TRAFRECLHDMD</v>
      </c>
      <c r="W320" s="17" t="str">
        <f>V320</f>
        <v>TRAFRECLHDMD</v>
      </c>
      <c r="X320" s="18">
        <v>2019</v>
      </c>
      <c r="Y320" s="18" t="s">
        <v>483</v>
      </c>
      <c r="Z320" s="18">
        <v>1</v>
      </c>
      <c r="AA320" s="20">
        <f>-SUMIFS('TRA RESID'!$P:$P,'TRA RESID'!$I:$I,W320,'TRA RESID'!$J:$J,T320,'TRA RESID'!$H:$H,U320)/SUMIFS('TRA RESID'!$P:$P,'TRA RESID'!$I:$I,W320)*AE320</f>
        <v>0</v>
      </c>
      <c r="AB320" s="18">
        <v>0</v>
      </c>
      <c r="AC320" s="18">
        <v>5</v>
      </c>
      <c r="AE320" s="21">
        <v>0.98</v>
      </c>
      <c r="AG320" s="15" t="str">
        <f>IF(SUMIFS('TRA RESID'!$P:$P,'TRA RESID'!$I:$I,AK320,'TRA RESID'!$J:$J,AH320,'TRA RESID'!$H:$H,AI320)=0,"*","UC_"&amp;SUBSTITUTE(AH320,"*","")&amp;"_"&amp;RIGHT(AI320,3)&amp;"_"&amp;AJ320)</f>
        <v>*</v>
      </c>
      <c r="AH320" s="17" t="s">
        <v>487</v>
      </c>
      <c r="AI320" s="17" t="str">
        <f>_xlfn.XLOOKUP($A320,Selected_constraint!$A:$A,Selected_constraint!$B:$B)</f>
        <v>TRAGSL</v>
      </c>
      <c r="AJ320" s="17" t="str">
        <f>_xlfn.XLOOKUP($A320,Selected_constraint!$A:$A,Selected_constraint!$C:$C)</f>
        <v>TRAFRECLHDMD</v>
      </c>
      <c r="AK320" s="17" t="str">
        <f>AJ320</f>
        <v>TRAFRECLHDMD</v>
      </c>
      <c r="AL320" s="18">
        <v>2019</v>
      </c>
      <c r="AM320" s="18" t="s">
        <v>483</v>
      </c>
      <c r="AN320" s="18">
        <v>1</v>
      </c>
      <c r="AO320" s="20">
        <f>-SUMIFS('TRA RESID'!$P:$P,'TRA RESID'!$I:$I,AK320,'TRA RESID'!$J:$J,AH320,'TRA RESID'!$H:$H,AI320)/SUMIFS('TRA RESID'!$P:$P,'TRA RESID'!$I:$I,AK320)*AS320</f>
        <v>0</v>
      </c>
      <c r="AP320" s="18">
        <v>0</v>
      </c>
      <c r="AQ320" s="18">
        <v>5</v>
      </c>
      <c r="AS320" s="21">
        <v>0.98</v>
      </c>
      <c r="AU320" s="15" t="str">
        <f>IF(SUMIFS('TRA RESID'!$P:$P,'TRA RESID'!$I:$I,AY320,'TRA RESID'!$J:$J,AV320,'TRA RESID'!$H:$H,AW320)=0,"*","UC_"&amp;SUBSTITUTE(AV320,"*","")&amp;"_"&amp;RIGHT(AW320,3)&amp;"_"&amp;AX320)</f>
        <v>*</v>
      </c>
      <c r="AV320" s="17" t="s">
        <v>488</v>
      </c>
      <c r="AW320" s="17" t="str">
        <f>_xlfn.XLOOKUP($A320,Selected_constraint!$A:$A,Selected_constraint!$B:$B)</f>
        <v>TRAGSL</v>
      </c>
      <c r="AX320" s="17" t="str">
        <f>_xlfn.XLOOKUP($A320,Selected_constraint!$A:$A,Selected_constraint!$C:$C)</f>
        <v>TRAFRECLHDMD</v>
      </c>
      <c r="AY320" s="17" t="str">
        <f>AX320</f>
        <v>TRAFRECLHDMD</v>
      </c>
      <c r="AZ320" s="18">
        <v>2019</v>
      </c>
      <c r="BA320" s="18" t="s">
        <v>483</v>
      </c>
      <c r="BB320" s="18">
        <v>1</v>
      </c>
      <c r="BC320" s="20">
        <f>-SUMIFS('TRA RESID'!$P:$P,'TRA RESID'!$I:$I,AY320,'TRA RESID'!$J:$J,AV320,'TRA RESID'!$H:$H,AW320)/SUMIFS('TRA RESID'!$P:$P,'TRA RESID'!$I:$I,AY320)*BG320</f>
        <v>0</v>
      </c>
      <c r="BD320" s="18">
        <v>0</v>
      </c>
      <c r="BE320" s="18">
        <v>5</v>
      </c>
      <c r="BG320" s="21">
        <v>0.98</v>
      </c>
    </row>
    <row r="321" spans="1:59" x14ac:dyDescent="0.25">
      <c r="C321" s="15" t="str">
        <f>IF(C320="*",C320,"")</f>
        <v>*</v>
      </c>
      <c r="D321" s="17" t="str">
        <f t="shared" ref="D321:G324" si="252">D320</f>
        <v>*ICEV*</v>
      </c>
      <c r="E321" s="17" t="str">
        <f t="shared" si="252"/>
        <v>TRAGSL</v>
      </c>
      <c r="F321" s="17" t="str">
        <f t="shared" si="252"/>
        <v>TRAFRECLHDMD</v>
      </c>
      <c r="G321" s="17" t="str">
        <f t="shared" si="252"/>
        <v>TRAFRECLHDMD</v>
      </c>
      <c r="H321" s="18">
        <v>2025</v>
      </c>
      <c r="I321" s="18" t="str">
        <f>I320</f>
        <v>LO</v>
      </c>
      <c r="J321" s="18"/>
      <c r="K321" s="20">
        <f>-SUMIFS('TRA RESID'!$P:$P,'TRA RESID'!$I:$I,G321,'TRA RESID'!$J:$J,D321,'TRA RESID'!$H:$H,E321)/SUMIFS('TRA RESID'!$P:$P,'TRA RESID'!$I:$I,G321)*O321</f>
        <v>-5.2870548795216701E-3</v>
      </c>
      <c r="L321" s="18"/>
      <c r="M321" s="18"/>
      <c r="O321" s="21">
        <v>0.8</v>
      </c>
      <c r="S321" s="15" t="str">
        <f>IF(S320="*",S320,"")</f>
        <v>*</v>
      </c>
      <c r="T321" s="17" t="str">
        <f t="shared" ref="T321:W324" si="253">T320</f>
        <v>*BEV*</v>
      </c>
      <c r="U321" s="17" t="str">
        <f t="shared" si="253"/>
        <v>TRAGSL</v>
      </c>
      <c r="V321" s="17" t="str">
        <f t="shared" si="253"/>
        <v>TRAFRECLHDMD</v>
      </c>
      <c r="W321" s="17" t="str">
        <f t="shared" si="253"/>
        <v>TRAFRECLHDMD</v>
      </c>
      <c r="X321" s="18">
        <v>2025</v>
      </c>
      <c r="Y321" s="18" t="str">
        <f>Y320</f>
        <v>LO</v>
      </c>
      <c r="Z321" s="18"/>
      <c r="AA321" s="20">
        <f>-SUMIFS('TRA RESID'!$P:$P,'TRA RESID'!$I:$I,W321,'TRA RESID'!$J:$J,T321,'TRA RESID'!$H:$H,U321)/SUMIFS('TRA RESID'!$P:$P,'TRA RESID'!$I:$I,W321)*AE321</f>
        <v>0</v>
      </c>
      <c r="AB321" s="18"/>
      <c r="AC321" s="18"/>
      <c r="AE321" s="21">
        <v>1</v>
      </c>
      <c r="AG321" s="15" t="str">
        <f>IF(AG320="*",AG320,"")</f>
        <v>*</v>
      </c>
      <c r="AH321" s="17" t="str">
        <f t="shared" ref="AH321:AK324" si="254">AH320</f>
        <v>*HEV*</v>
      </c>
      <c r="AI321" s="17" t="str">
        <f t="shared" si="254"/>
        <v>TRAGSL</v>
      </c>
      <c r="AJ321" s="17" t="str">
        <f t="shared" si="254"/>
        <v>TRAFRECLHDMD</v>
      </c>
      <c r="AK321" s="17" t="str">
        <f t="shared" si="254"/>
        <v>TRAFRECLHDMD</v>
      </c>
      <c r="AL321" s="18">
        <v>2025</v>
      </c>
      <c r="AM321" s="18" t="str">
        <f>AM320</f>
        <v>LO</v>
      </c>
      <c r="AN321" s="18"/>
      <c r="AO321" s="20">
        <f>-SUMIFS('TRA RESID'!$P:$P,'TRA RESID'!$I:$I,AK321,'TRA RESID'!$J:$J,AH321,'TRA RESID'!$H:$H,AI321)/SUMIFS('TRA RESID'!$P:$P,'TRA RESID'!$I:$I,AK321)*AS321</f>
        <v>0</v>
      </c>
      <c r="AP321" s="18"/>
      <c r="AQ321" s="18"/>
      <c r="AS321" s="21">
        <v>0.8</v>
      </c>
      <c r="AU321" s="15" t="str">
        <f>IF(AU320="*",AU320,"")</f>
        <v>*</v>
      </c>
      <c r="AV321" s="17" t="str">
        <f t="shared" ref="AV321:AY324" si="255">AV320</f>
        <v>*FCEV*</v>
      </c>
      <c r="AW321" s="17" t="str">
        <f t="shared" si="255"/>
        <v>TRAGSL</v>
      </c>
      <c r="AX321" s="17" t="str">
        <f t="shared" si="255"/>
        <v>TRAFRECLHDMD</v>
      </c>
      <c r="AY321" s="17" t="str">
        <f t="shared" si="255"/>
        <v>TRAFRECLHDMD</v>
      </c>
      <c r="AZ321" s="18">
        <v>2025</v>
      </c>
      <c r="BA321" s="18" t="str">
        <f>BA320</f>
        <v>LO</v>
      </c>
      <c r="BB321" s="18"/>
      <c r="BC321" s="20">
        <f>-SUMIFS('TRA RESID'!$P:$P,'TRA RESID'!$I:$I,AY321,'TRA RESID'!$J:$J,AV321,'TRA RESID'!$H:$H,AW321)/SUMIFS('TRA RESID'!$P:$P,'TRA RESID'!$I:$I,AY321)*BG321</f>
        <v>0</v>
      </c>
      <c r="BD321" s="18"/>
      <c r="BE321" s="18"/>
      <c r="BG321" s="21">
        <v>0.8</v>
      </c>
    </row>
    <row r="322" spans="1:59" x14ac:dyDescent="0.25">
      <c r="C322" s="15" t="str">
        <f>IF(C321="*",C321,"")</f>
        <v>*</v>
      </c>
      <c r="D322" s="17" t="str">
        <f t="shared" si="252"/>
        <v>*ICEV*</v>
      </c>
      <c r="E322" s="17" t="str">
        <f t="shared" si="252"/>
        <v>TRAGSL</v>
      </c>
      <c r="F322" s="17" t="str">
        <f t="shared" si="252"/>
        <v>TRAFRECLHDMD</v>
      </c>
      <c r="G322" s="17" t="str">
        <f t="shared" si="252"/>
        <v>TRAFRECLHDMD</v>
      </c>
      <c r="H322" s="18">
        <v>2030</v>
      </c>
      <c r="I322" s="18" t="str">
        <f>I321</f>
        <v>LO</v>
      </c>
      <c r="J322" s="18"/>
      <c r="K322" s="20">
        <f>-SUMIFS('TRA RESID'!$P:$P,'TRA RESID'!$I:$I,G322,'TRA RESID'!$J:$J,D322,'TRA RESID'!$H:$H,E322)/SUMIFS('TRA RESID'!$P:$P,'TRA RESID'!$I:$I,G322)*O322</f>
        <v>-3.3044092997010434E-3</v>
      </c>
      <c r="L322" s="18"/>
      <c r="M322" s="18"/>
      <c r="O322" s="21">
        <v>0.5</v>
      </c>
      <c r="S322" s="15" t="str">
        <f>IF(S321="*",S321,"")</f>
        <v>*</v>
      </c>
      <c r="T322" s="17" t="str">
        <f t="shared" si="253"/>
        <v>*BEV*</v>
      </c>
      <c r="U322" s="17" t="str">
        <f t="shared" si="253"/>
        <v>TRAGSL</v>
      </c>
      <c r="V322" s="17" t="str">
        <f t="shared" si="253"/>
        <v>TRAFRECLHDMD</v>
      </c>
      <c r="W322" s="17" t="str">
        <f t="shared" si="253"/>
        <v>TRAFRECLHDMD</v>
      </c>
      <c r="X322" s="18">
        <v>2030</v>
      </c>
      <c r="Y322" s="18" t="str">
        <f>Y321</f>
        <v>LO</v>
      </c>
      <c r="Z322" s="18"/>
      <c r="AA322" s="20">
        <f>-SUMIFS('TRA RESID'!$P:$P,'TRA RESID'!$I:$I,W322,'TRA RESID'!$J:$J,T322,'TRA RESID'!$H:$H,U322)/SUMIFS('TRA RESID'!$P:$P,'TRA RESID'!$I:$I,W322)*AE322</f>
        <v>0</v>
      </c>
      <c r="AB322" s="18"/>
      <c r="AC322" s="18"/>
      <c r="AE322" s="21">
        <v>1</v>
      </c>
      <c r="AG322" s="15" t="str">
        <f>IF(AG321="*",AG321,"")</f>
        <v>*</v>
      </c>
      <c r="AH322" s="17" t="str">
        <f t="shared" si="254"/>
        <v>*HEV*</v>
      </c>
      <c r="AI322" s="17" t="str">
        <f t="shared" si="254"/>
        <v>TRAGSL</v>
      </c>
      <c r="AJ322" s="17" t="str">
        <f t="shared" si="254"/>
        <v>TRAFRECLHDMD</v>
      </c>
      <c r="AK322" s="17" t="str">
        <f t="shared" si="254"/>
        <v>TRAFRECLHDMD</v>
      </c>
      <c r="AL322" s="18">
        <v>2030</v>
      </c>
      <c r="AM322" s="18" t="str">
        <f>AM321</f>
        <v>LO</v>
      </c>
      <c r="AN322" s="18"/>
      <c r="AO322" s="20">
        <f>-SUMIFS('TRA RESID'!$P:$P,'TRA RESID'!$I:$I,AK322,'TRA RESID'!$J:$J,AH322,'TRA RESID'!$H:$H,AI322)/SUMIFS('TRA RESID'!$P:$P,'TRA RESID'!$I:$I,AK322)*AS322</f>
        <v>0</v>
      </c>
      <c r="AP322" s="18"/>
      <c r="AQ322" s="18"/>
      <c r="AS322" s="21">
        <v>0.5</v>
      </c>
      <c r="AU322" s="15" t="str">
        <f>IF(AU321="*",AU321,"")</f>
        <v>*</v>
      </c>
      <c r="AV322" s="17" t="str">
        <f t="shared" si="255"/>
        <v>*FCEV*</v>
      </c>
      <c r="AW322" s="17" t="str">
        <f t="shared" si="255"/>
        <v>TRAGSL</v>
      </c>
      <c r="AX322" s="17" t="str">
        <f t="shared" si="255"/>
        <v>TRAFRECLHDMD</v>
      </c>
      <c r="AY322" s="17" t="str">
        <f t="shared" si="255"/>
        <v>TRAFRECLHDMD</v>
      </c>
      <c r="AZ322" s="18">
        <v>2030</v>
      </c>
      <c r="BA322" s="18" t="str">
        <f>BA321</f>
        <v>LO</v>
      </c>
      <c r="BB322" s="18"/>
      <c r="BC322" s="20">
        <f>-SUMIFS('TRA RESID'!$P:$P,'TRA RESID'!$I:$I,AY322,'TRA RESID'!$J:$J,AV322,'TRA RESID'!$H:$H,AW322)/SUMIFS('TRA RESID'!$P:$P,'TRA RESID'!$I:$I,AY322)*BG322</f>
        <v>0</v>
      </c>
      <c r="BD322" s="18"/>
      <c r="BE322" s="18"/>
      <c r="BG322" s="21">
        <v>0.5</v>
      </c>
    </row>
    <row r="323" spans="1:59" x14ac:dyDescent="0.25">
      <c r="C323" s="15" t="str">
        <f>IF(C322="*",C322,"")</f>
        <v>*</v>
      </c>
      <c r="D323" s="17" t="str">
        <f t="shared" si="252"/>
        <v>*ICEV*</v>
      </c>
      <c r="E323" s="17" t="str">
        <f t="shared" si="252"/>
        <v>TRAGSL</v>
      </c>
      <c r="F323" s="17" t="str">
        <f t="shared" si="252"/>
        <v>TRAFRECLHDMD</v>
      </c>
      <c r="G323" s="17" t="str">
        <f t="shared" si="252"/>
        <v>TRAFRECLHDMD</v>
      </c>
      <c r="H323" s="18">
        <v>2040</v>
      </c>
      <c r="I323" s="18" t="str">
        <f>I322</f>
        <v>LO</v>
      </c>
      <c r="J323" s="18"/>
      <c r="K323" s="20">
        <f>-SUMIFS('TRA RESID'!$P:$P,'TRA RESID'!$I:$I,G323,'TRA RESID'!$J:$J,D323,'TRA RESID'!$H:$H,E323)/SUMIFS('TRA RESID'!$P:$P,'TRA RESID'!$I:$I,G323)*O323</f>
        <v>0</v>
      </c>
      <c r="L323" s="18"/>
      <c r="M323" s="18"/>
      <c r="O323" s="21">
        <v>0</v>
      </c>
      <c r="S323" s="15" t="str">
        <f>IF(S322="*",S322,"")</f>
        <v>*</v>
      </c>
      <c r="T323" s="17" t="str">
        <f t="shared" si="253"/>
        <v>*BEV*</v>
      </c>
      <c r="U323" s="17" t="str">
        <f t="shared" si="253"/>
        <v>TRAGSL</v>
      </c>
      <c r="V323" s="17" t="str">
        <f t="shared" si="253"/>
        <v>TRAFRECLHDMD</v>
      </c>
      <c r="W323" s="17" t="str">
        <f t="shared" si="253"/>
        <v>TRAFRECLHDMD</v>
      </c>
      <c r="X323" s="18">
        <v>2040</v>
      </c>
      <c r="Y323" s="18" t="str">
        <f>Y322</f>
        <v>LO</v>
      </c>
      <c r="Z323" s="18"/>
      <c r="AA323" s="20">
        <f>-SUMIFS('TRA RESID'!$P:$P,'TRA RESID'!$I:$I,W323,'TRA RESID'!$J:$J,T323,'TRA RESID'!$H:$H,U323)/SUMIFS('TRA RESID'!$P:$P,'TRA RESID'!$I:$I,W323)*AE323</f>
        <v>0</v>
      </c>
      <c r="AB323" s="18"/>
      <c r="AC323" s="18"/>
      <c r="AE323" s="21">
        <v>1</v>
      </c>
      <c r="AG323" s="15" t="str">
        <f>IF(AG322="*",AG322,"")</f>
        <v>*</v>
      </c>
      <c r="AH323" s="17" t="str">
        <f t="shared" si="254"/>
        <v>*HEV*</v>
      </c>
      <c r="AI323" s="17" t="str">
        <f t="shared" si="254"/>
        <v>TRAGSL</v>
      </c>
      <c r="AJ323" s="17" t="str">
        <f t="shared" si="254"/>
        <v>TRAFRECLHDMD</v>
      </c>
      <c r="AK323" s="17" t="str">
        <f t="shared" si="254"/>
        <v>TRAFRECLHDMD</v>
      </c>
      <c r="AL323" s="18">
        <v>2040</v>
      </c>
      <c r="AM323" s="18" t="str">
        <f>AM322</f>
        <v>LO</v>
      </c>
      <c r="AN323" s="18"/>
      <c r="AO323" s="20">
        <f>-SUMIFS('TRA RESID'!$P:$P,'TRA RESID'!$I:$I,AK323,'TRA RESID'!$J:$J,AH323,'TRA RESID'!$H:$H,AI323)/SUMIFS('TRA RESID'!$P:$P,'TRA RESID'!$I:$I,AK323)*AS323</f>
        <v>0</v>
      </c>
      <c r="AP323" s="18"/>
      <c r="AQ323" s="18"/>
      <c r="AS323" s="21">
        <v>0</v>
      </c>
      <c r="AU323" s="15" t="str">
        <f>IF(AU322="*",AU322,"")</f>
        <v>*</v>
      </c>
      <c r="AV323" s="17" t="str">
        <f t="shared" si="255"/>
        <v>*FCEV*</v>
      </c>
      <c r="AW323" s="17" t="str">
        <f t="shared" si="255"/>
        <v>TRAGSL</v>
      </c>
      <c r="AX323" s="17" t="str">
        <f t="shared" si="255"/>
        <v>TRAFRECLHDMD</v>
      </c>
      <c r="AY323" s="17" t="str">
        <f t="shared" si="255"/>
        <v>TRAFRECLHDMD</v>
      </c>
      <c r="AZ323" s="18">
        <v>2040</v>
      </c>
      <c r="BA323" s="18" t="str">
        <f>BA322</f>
        <v>LO</v>
      </c>
      <c r="BB323" s="18"/>
      <c r="BC323" s="20">
        <f>-SUMIFS('TRA RESID'!$P:$P,'TRA RESID'!$I:$I,AY323,'TRA RESID'!$J:$J,AV323,'TRA RESID'!$H:$H,AW323)/SUMIFS('TRA RESID'!$P:$P,'TRA RESID'!$I:$I,AY323)*BG323</f>
        <v>0</v>
      </c>
      <c r="BD323" s="18"/>
      <c r="BE323" s="18"/>
      <c r="BG323" s="21">
        <v>0</v>
      </c>
    </row>
    <row r="324" spans="1:59" x14ac:dyDescent="0.25">
      <c r="C324" s="23" t="str">
        <f>IF(C323="*",C323,"")</f>
        <v>*</v>
      </c>
      <c r="D324" s="25" t="str">
        <f t="shared" si="252"/>
        <v>*ICEV*</v>
      </c>
      <c r="E324" s="25" t="str">
        <f t="shared" si="252"/>
        <v>TRAGSL</v>
      </c>
      <c r="F324" s="25" t="str">
        <f t="shared" si="252"/>
        <v>TRAFRECLHDMD</v>
      </c>
      <c r="G324" s="25" t="str">
        <f t="shared" si="252"/>
        <v>TRAFRECLHDMD</v>
      </c>
      <c r="H324" s="26">
        <v>2050</v>
      </c>
      <c r="I324" s="26" t="str">
        <f>I322</f>
        <v>LO</v>
      </c>
      <c r="J324" s="26"/>
      <c r="K324" s="27">
        <f>-SUMIFS('TRA RESID'!$P:$P,'TRA RESID'!$I:$I,G324,'TRA RESID'!$J:$J,D324,'TRA RESID'!$H:$H,E324)/SUMIFS('TRA RESID'!$P:$P,'TRA RESID'!$I:$I,G324)*O324</f>
        <v>0</v>
      </c>
      <c r="L324" s="26"/>
      <c r="M324" s="26"/>
      <c r="O324" s="28">
        <v>0</v>
      </c>
      <c r="S324" s="23" t="str">
        <f>IF(S323="*",S323,"")</f>
        <v>*</v>
      </c>
      <c r="T324" s="25" t="str">
        <f t="shared" si="253"/>
        <v>*BEV*</v>
      </c>
      <c r="U324" s="25" t="str">
        <f t="shared" si="253"/>
        <v>TRAGSL</v>
      </c>
      <c r="V324" s="25" t="str">
        <f t="shared" si="253"/>
        <v>TRAFRECLHDMD</v>
      </c>
      <c r="W324" s="25" t="str">
        <f t="shared" si="253"/>
        <v>TRAFRECLHDMD</v>
      </c>
      <c r="X324" s="26">
        <v>2050</v>
      </c>
      <c r="Y324" s="26" t="str">
        <f>Y322</f>
        <v>LO</v>
      </c>
      <c r="Z324" s="26"/>
      <c r="AA324" s="27">
        <f>-SUMIFS('TRA RESID'!$P:$P,'TRA RESID'!$I:$I,W324,'TRA RESID'!$J:$J,T324,'TRA RESID'!$H:$H,U324)/SUMIFS('TRA RESID'!$P:$P,'TRA RESID'!$I:$I,W324)*AE324</f>
        <v>0</v>
      </c>
      <c r="AB324" s="26"/>
      <c r="AC324" s="26"/>
      <c r="AE324" s="28">
        <v>1</v>
      </c>
      <c r="AG324" s="23" t="str">
        <f>IF(AG323="*",AG323,"")</f>
        <v>*</v>
      </c>
      <c r="AH324" s="25" t="str">
        <f t="shared" si="254"/>
        <v>*HEV*</v>
      </c>
      <c r="AI324" s="25" t="str">
        <f t="shared" si="254"/>
        <v>TRAGSL</v>
      </c>
      <c r="AJ324" s="25" t="str">
        <f t="shared" si="254"/>
        <v>TRAFRECLHDMD</v>
      </c>
      <c r="AK324" s="25" t="str">
        <f t="shared" si="254"/>
        <v>TRAFRECLHDMD</v>
      </c>
      <c r="AL324" s="26">
        <v>2050</v>
      </c>
      <c r="AM324" s="26" t="str">
        <f>AM322</f>
        <v>LO</v>
      </c>
      <c r="AN324" s="26"/>
      <c r="AO324" s="27">
        <f>-SUMIFS('TRA RESID'!$P:$P,'TRA RESID'!$I:$I,AK324,'TRA RESID'!$J:$J,AH324,'TRA RESID'!$H:$H,AI324)/SUMIFS('TRA RESID'!$P:$P,'TRA RESID'!$I:$I,AK324)*AS324</f>
        <v>0</v>
      </c>
      <c r="AP324" s="26"/>
      <c r="AQ324" s="26"/>
      <c r="AS324" s="28">
        <v>0</v>
      </c>
      <c r="AU324" s="23" t="str">
        <f>IF(AU323="*",AU323,"")</f>
        <v>*</v>
      </c>
      <c r="AV324" s="25" t="str">
        <f t="shared" si="255"/>
        <v>*FCEV*</v>
      </c>
      <c r="AW324" s="25" t="str">
        <f t="shared" si="255"/>
        <v>TRAGSL</v>
      </c>
      <c r="AX324" s="25" t="str">
        <f t="shared" si="255"/>
        <v>TRAFRECLHDMD</v>
      </c>
      <c r="AY324" s="25" t="str">
        <f t="shared" si="255"/>
        <v>TRAFRECLHDMD</v>
      </c>
      <c r="AZ324" s="26">
        <v>2050</v>
      </c>
      <c r="BA324" s="26" t="str">
        <f>BA322</f>
        <v>LO</v>
      </c>
      <c r="BB324" s="26"/>
      <c r="BC324" s="27">
        <f>-SUMIFS('TRA RESID'!$P:$P,'TRA RESID'!$I:$I,AY324,'TRA RESID'!$J:$J,AV324,'TRA RESID'!$H:$H,AW324)/SUMIFS('TRA RESID'!$P:$P,'TRA RESID'!$I:$I,AY324)*BG324</f>
        <v>0</v>
      </c>
      <c r="BD324" s="26"/>
      <c r="BE324" s="26"/>
      <c r="BG324" s="28">
        <v>0</v>
      </c>
    </row>
    <row r="325" spans="1:59" x14ac:dyDescent="0.25">
      <c r="A325">
        <f>A320+1</f>
        <v>65</v>
      </c>
      <c r="C325" s="15" t="str">
        <f>IF(E325="","",IF(_xlfn.XLOOKUP($A325,Selected_constraint!$A:$A,Selected_constraint!$D:$D)=1,"*",IF(SUMIFS('TRA TECH'!$M:$M,'TRA TECH'!$H:$H,E325,'TRA TECH'!$I:$I,F325)=0,"*",IF(SUMIFS('TRA RESID'!$P:$P,'TRA RESID'!$I:$I,G325,'TRA RESID'!$J:$J,D325,'TRA RESID'!$H:$H,E325)=0,"*","UC_"&amp;SUBSTITUTE(D325,"*","")&amp;"_"&amp;RIGHT(E325,3)&amp;"_"&amp;F325))))</f>
        <v>*</v>
      </c>
      <c r="D325" s="17" t="s">
        <v>485</v>
      </c>
      <c r="E325" s="17" t="str">
        <f>_xlfn.XLOOKUP($A325,Selected_constraint!$A:$A,Selected_constraint!$B:$B)</f>
        <v>TRAETH</v>
      </c>
      <c r="F325" s="17" t="str">
        <f>_xlfn.XLOOKUP($A325,Selected_constraint!$A:$A,Selected_constraint!$C:$C)</f>
        <v>TRAFRECLHDMD</v>
      </c>
      <c r="G325" s="17" t="str">
        <f>F325</f>
        <v>TRAFRECLHDMD</v>
      </c>
      <c r="H325" s="18">
        <v>2019</v>
      </c>
      <c r="I325" s="18" t="s">
        <v>483</v>
      </c>
      <c r="J325" s="18">
        <v>1</v>
      </c>
      <c r="K325" s="20">
        <f>-SUMIFS('TRA RESID'!$P:$P,'TRA RESID'!$I:$I,G325,'TRA RESID'!$J:$J,D325,'TRA RESID'!$H:$H,E325)/SUMIFS('TRA RESID'!$P:$P,'TRA RESID'!$I:$I,G325)*O325</f>
        <v>0</v>
      </c>
      <c r="L325" s="18">
        <v>0</v>
      </c>
      <c r="M325" s="18">
        <v>5</v>
      </c>
      <c r="O325" s="21">
        <v>0.98</v>
      </c>
      <c r="Q325">
        <f>Q320+1</f>
        <v>65</v>
      </c>
      <c r="S325" s="15" t="str">
        <f>IF(SUMIFS('TRA RESID'!$P:$P,'TRA RESID'!$I:$I,W325,'TRA RESID'!$J:$J,T325,'TRA RESID'!$H:$H,U325)=0,"*","UC_"&amp;SUBSTITUTE(T325,"*","")&amp;"_"&amp;RIGHT(U325,3)&amp;"_"&amp;V325)</f>
        <v>*</v>
      </c>
      <c r="T325" s="17" t="s">
        <v>486</v>
      </c>
      <c r="U325" s="17" t="str">
        <f>_xlfn.XLOOKUP($A325,Selected_constraint!$A:$A,Selected_constraint!$B:$B)</f>
        <v>TRAETH</v>
      </c>
      <c r="V325" s="17" t="str">
        <f>_xlfn.XLOOKUP($A325,Selected_constraint!$A:$A,Selected_constraint!$C:$C)</f>
        <v>TRAFRECLHDMD</v>
      </c>
      <c r="W325" s="17" t="str">
        <f>V325</f>
        <v>TRAFRECLHDMD</v>
      </c>
      <c r="X325" s="18">
        <v>2019</v>
      </c>
      <c r="Y325" s="18" t="s">
        <v>483</v>
      </c>
      <c r="Z325" s="18">
        <v>1</v>
      </c>
      <c r="AA325" s="20">
        <f>-SUMIFS('TRA RESID'!$P:$P,'TRA RESID'!$I:$I,W325,'TRA RESID'!$J:$J,T325,'TRA RESID'!$H:$H,U325)/SUMIFS('TRA RESID'!$P:$P,'TRA RESID'!$I:$I,W325)*AE325</f>
        <v>0</v>
      </c>
      <c r="AB325" s="18">
        <v>0</v>
      </c>
      <c r="AC325" s="18">
        <v>5</v>
      </c>
      <c r="AE325" s="21">
        <v>0.98</v>
      </c>
      <c r="AG325" s="15" t="str">
        <f>IF(SUMIFS('TRA RESID'!$P:$P,'TRA RESID'!$I:$I,AK325,'TRA RESID'!$J:$J,AH325,'TRA RESID'!$H:$H,AI325)=0,"*","UC_"&amp;SUBSTITUTE(AH325,"*","")&amp;"_"&amp;RIGHT(AI325,3)&amp;"_"&amp;AJ325)</f>
        <v>*</v>
      </c>
      <c r="AH325" s="17" t="s">
        <v>487</v>
      </c>
      <c r="AI325" s="17" t="str">
        <f>_xlfn.XLOOKUP($A325,Selected_constraint!$A:$A,Selected_constraint!$B:$B)</f>
        <v>TRAETH</v>
      </c>
      <c r="AJ325" s="17" t="str">
        <f>_xlfn.XLOOKUP($A325,Selected_constraint!$A:$A,Selected_constraint!$C:$C)</f>
        <v>TRAFRECLHDMD</v>
      </c>
      <c r="AK325" s="17" t="str">
        <f>AJ325</f>
        <v>TRAFRECLHDMD</v>
      </c>
      <c r="AL325" s="18">
        <v>2019</v>
      </c>
      <c r="AM325" s="18" t="s">
        <v>483</v>
      </c>
      <c r="AN325" s="18">
        <v>1</v>
      </c>
      <c r="AO325" s="20">
        <f>-SUMIFS('TRA RESID'!$P:$P,'TRA RESID'!$I:$I,AK325,'TRA RESID'!$J:$J,AH325,'TRA RESID'!$H:$H,AI325)/SUMIFS('TRA RESID'!$P:$P,'TRA RESID'!$I:$I,AK325)*AS325</f>
        <v>0</v>
      </c>
      <c r="AP325" s="18">
        <v>0</v>
      </c>
      <c r="AQ325" s="18">
        <v>5</v>
      </c>
      <c r="AS325" s="21">
        <v>0.98</v>
      </c>
      <c r="AU325" s="15" t="str">
        <f>IF(SUMIFS('TRA RESID'!$P:$P,'TRA RESID'!$I:$I,AY325,'TRA RESID'!$J:$J,AV325,'TRA RESID'!$H:$H,AW325)=0,"*","UC_"&amp;SUBSTITUTE(AV325,"*","")&amp;"_"&amp;RIGHT(AW325,3)&amp;"_"&amp;AX325)</f>
        <v>*</v>
      </c>
      <c r="AV325" s="17" t="s">
        <v>488</v>
      </c>
      <c r="AW325" s="17" t="str">
        <f>_xlfn.XLOOKUP($A325,Selected_constraint!$A:$A,Selected_constraint!$B:$B)</f>
        <v>TRAETH</v>
      </c>
      <c r="AX325" s="17" t="str">
        <f>_xlfn.XLOOKUP($A325,Selected_constraint!$A:$A,Selected_constraint!$C:$C)</f>
        <v>TRAFRECLHDMD</v>
      </c>
      <c r="AY325" s="17" t="str">
        <f>AX325</f>
        <v>TRAFRECLHDMD</v>
      </c>
      <c r="AZ325" s="18">
        <v>2019</v>
      </c>
      <c r="BA325" s="18" t="s">
        <v>483</v>
      </c>
      <c r="BB325" s="18">
        <v>1</v>
      </c>
      <c r="BC325" s="20">
        <f>-SUMIFS('TRA RESID'!$P:$P,'TRA RESID'!$I:$I,AY325,'TRA RESID'!$J:$J,AV325,'TRA RESID'!$H:$H,AW325)/SUMIFS('TRA RESID'!$P:$P,'TRA RESID'!$I:$I,AY325)*BG325</f>
        <v>0</v>
      </c>
      <c r="BD325" s="18">
        <v>0</v>
      </c>
      <c r="BE325" s="18">
        <v>5</v>
      </c>
      <c r="BG325" s="21">
        <v>0.98</v>
      </c>
    </row>
    <row r="326" spans="1:59" x14ac:dyDescent="0.25">
      <c r="C326" s="15" t="str">
        <f>IF(C325="*",C325,"")</f>
        <v>*</v>
      </c>
      <c r="D326" s="17" t="str">
        <f t="shared" ref="D326:G329" si="256">D325</f>
        <v>*ICEV*</v>
      </c>
      <c r="E326" s="17" t="str">
        <f t="shared" si="256"/>
        <v>TRAETH</v>
      </c>
      <c r="F326" s="17" t="str">
        <f t="shared" si="256"/>
        <v>TRAFRECLHDMD</v>
      </c>
      <c r="G326" s="17" t="str">
        <f t="shared" si="256"/>
        <v>TRAFRECLHDMD</v>
      </c>
      <c r="H326" s="18">
        <v>2025</v>
      </c>
      <c r="I326" s="18" t="str">
        <f>I325</f>
        <v>LO</v>
      </c>
      <c r="J326" s="18"/>
      <c r="K326" s="20">
        <f>-SUMIFS('TRA RESID'!$P:$P,'TRA RESID'!$I:$I,G326,'TRA RESID'!$J:$J,D326,'TRA RESID'!$H:$H,E326)/SUMIFS('TRA RESID'!$P:$P,'TRA RESID'!$I:$I,G326)*O326</f>
        <v>0</v>
      </c>
      <c r="L326" s="18"/>
      <c r="M326" s="18"/>
      <c r="O326" s="21">
        <v>0.8</v>
      </c>
      <c r="S326" s="15" t="str">
        <f>IF(S325="*",S325,"")</f>
        <v>*</v>
      </c>
      <c r="T326" s="17" t="str">
        <f t="shared" ref="T326:W329" si="257">T325</f>
        <v>*BEV*</v>
      </c>
      <c r="U326" s="17" t="str">
        <f t="shared" si="257"/>
        <v>TRAETH</v>
      </c>
      <c r="V326" s="17" t="str">
        <f t="shared" si="257"/>
        <v>TRAFRECLHDMD</v>
      </c>
      <c r="W326" s="17" t="str">
        <f t="shared" si="257"/>
        <v>TRAFRECLHDMD</v>
      </c>
      <c r="X326" s="18">
        <v>2025</v>
      </c>
      <c r="Y326" s="18" t="str">
        <f>Y325</f>
        <v>LO</v>
      </c>
      <c r="Z326" s="18"/>
      <c r="AA326" s="20">
        <f>-SUMIFS('TRA RESID'!$P:$P,'TRA RESID'!$I:$I,W326,'TRA RESID'!$J:$J,T326,'TRA RESID'!$H:$H,U326)/SUMIFS('TRA RESID'!$P:$P,'TRA RESID'!$I:$I,W326)*AE326</f>
        <v>0</v>
      </c>
      <c r="AB326" s="18"/>
      <c r="AC326" s="18"/>
      <c r="AE326" s="21">
        <v>1</v>
      </c>
      <c r="AG326" s="15" t="str">
        <f>IF(AG325="*",AG325,"")</f>
        <v>*</v>
      </c>
      <c r="AH326" s="17" t="str">
        <f t="shared" ref="AH326:AK329" si="258">AH325</f>
        <v>*HEV*</v>
      </c>
      <c r="AI326" s="17" t="str">
        <f t="shared" si="258"/>
        <v>TRAETH</v>
      </c>
      <c r="AJ326" s="17" t="str">
        <f t="shared" si="258"/>
        <v>TRAFRECLHDMD</v>
      </c>
      <c r="AK326" s="17" t="str">
        <f t="shared" si="258"/>
        <v>TRAFRECLHDMD</v>
      </c>
      <c r="AL326" s="18">
        <v>2025</v>
      </c>
      <c r="AM326" s="18" t="str">
        <f>AM325</f>
        <v>LO</v>
      </c>
      <c r="AN326" s="18"/>
      <c r="AO326" s="20">
        <f>-SUMIFS('TRA RESID'!$P:$P,'TRA RESID'!$I:$I,AK326,'TRA RESID'!$J:$J,AH326,'TRA RESID'!$H:$H,AI326)/SUMIFS('TRA RESID'!$P:$P,'TRA RESID'!$I:$I,AK326)*AS326</f>
        <v>0</v>
      </c>
      <c r="AP326" s="18"/>
      <c r="AQ326" s="18"/>
      <c r="AS326" s="21">
        <v>0.8</v>
      </c>
      <c r="AU326" s="15" t="str">
        <f>IF(AU325="*",AU325,"")</f>
        <v>*</v>
      </c>
      <c r="AV326" s="17" t="str">
        <f t="shared" ref="AV326:AY329" si="259">AV325</f>
        <v>*FCEV*</v>
      </c>
      <c r="AW326" s="17" t="str">
        <f t="shared" si="259"/>
        <v>TRAETH</v>
      </c>
      <c r="AX326" s="17" t="str">
        <f t="shared" si="259"/>
        <v>TRAFRECLHDMD</v>
      </c>
      <c r="AY326" s="17" t="str">
        <f t="shared" si="259"/>
        <v>TRAFRECLHDMD</v>
      </c>
      <c r="AZ326" s="18">
        <v>2025</v>
      </c>
      <c r="BA326" s="18" t="str">
        <f>BA325</f>
        <v>LO</v>
      </c>
      <c r="BB326" s="18"/>
      <c r="BC326" s="20">
        <f>-SUMIFS('TRA RESID'!$P:$P,'TRA RESID'!$I:$I,AY326,'TRA RESID'!$J:$J,AV326,'TRA RESID'!$H:$H,AW326)/SUMIFS('TRA RESID'!$P:$P,'TRA RESID'!$I:$I,AY326)*BG326</f>
        <v>0</v>
      </c>
      <c r="BD326" s="18"/>
      <c r="BE326" s="18"/>
      <c r="BG326" s="21">
        <v>0.8</v>
      </c>
    </row>
    <row r="327" spans="1:59" x14ac:dyDescent="0.25">
      <c r="C327" s="15" t="str">
        <f>IF(C326="*",C326,"")</f>
        <v>*</v>
      </c>
      <c r="D327" s="17" t="str">
        <f t="shared" si="256"/>
        <v>*ICEV*</v>
      </c>
      <c r="E327" s="17" t="str">
        <f t="shared" si="256"/>
        <v>TRAETH</v>
      </c>
      <c r="F327" s="17" t="str">
        <f t="shared" si="256"/>
        <v>TRAFRECLHDMD</v>
      </c>
      <c r="G327" s="17" t="str">
        <f t="shared" si="256"/>
        <v>TRAFRECLHDMD</v>
      </c>
      <c r="H327" s="18">
        <v>2030</v>
      </c>
      <c r="I327" s="18" t="str">
        <f>I326</f>
        <v>LO</v>
      </c>
      <c r="J327" s="18"/>
      <c r="K327" s="20">
        <f>-SUMIFS('TRA RESID'!$P:$P,'TRA RESID'!$I:$I,G327,'TRA RESID'!$J:$J,D327,'TRA RESID'!$H:$H,E327)/SUMIFS('TRA RESID'!$P:$P,'TRA RESID'!$I:$I,G327)*O327</f>
        <v>0</v>
      </c>
      <c r="L327" s="18"/>
      <c r="M327" s="18"/>
      <c r="O327" s="21">
        <v>0.5</v>
      </c>
      <c r="S327" s="15" t="str">
        <f>IF(S326="*",S326,"")</f>
        <v>*</v>
      </c>
      <c r="T327" s="17" t="str">
        <f t="shared" si="257"/>
        <v>*BEV*</v>
      </c>
      <c r="U327" s="17" t="str">
        <f t="shared" si="257"/>
        <v>TRAETH</v>
      </c>
      <c r="V327" s="17" t="str">
        <f t="shared" si="257"/>
        <v>TRAFRECLHDMD</v>
      </c>
      <c r="W327" s="17" t="str">
        <f t="shared" si="257"/>
        <v>TRAFRECLHDMD</v>
      </c>
      <c r="X327" s="18">
        <v>2030</v>
      </c>
      <c r="Y327" s="18" t="str">
        <f>Y326</f>
        <v>LO</v>
      </c>
      <c r="Z327" s="18"/>
      <c r="AA327" s="20">
        <f>-SUMIFS('TRA RESID'!$P:$P,'TRA RESID'!$I:$I,W327,'TRA RESID'!$J:$J,T327,'TRA RESID'!$H:$H,U327)/SUMIFS('TRA RESID'!$P:$P,'TRA RESID'!$I:$I,W327)*AE327</f>
        <v>0</v>
      </c>
      <c r="AB327" s="18"/>
      <c r="AC327" s="18"/>
      <c r="AE327" s="21">
        <v>1</v>
      </c>
      <c r="AG327" s="15" t="str">
        <f>IF(AG326="*",AG326,"")</f>
        <v>*</v>
      </c>
      <c r="AH327" s="17" t="str">
        <f t="shared" si="258"/>
        <v>*HEV*</v>
      </c>
      <c r="AI327" s="17" t="str">
        <f t="shared" si="258"/>
        <v>TRAETH</v>
      </c>
      <c r="AJ327" s="17" t="str">
        <f t="shared" si="258"/>
        <v>TRAFRECLHDMD</v>
      </c>
      <c r="AK327" s="17" t="str">
        <f t="shared" si="258"/>
        <v>TRAFRECLHDMD</v>
      </c>
      <c r="AL327" s="18">
        <v>2030</v>
      </c>
      <c r="AM327" s="18" t="str">
        <f>AM326</f>
        <v>LO</v>
      </c>
      <c r="AN327" s="18"/>
      <c r="AO327" s="20">
        <f>-SUMIFS('TRA RESID'!$P:$P,'TRA RESID'!$I:$I,AK327,'TRA RESID'!$J:$J,AH327,'TRA RESID'!$H:$H,AI327)/SUMIFS('TRA RESID'!$P:$P,'TRA RESID'!$I:$I,AK327)*AS327</f>
        <v>0</v>
      </c>
      <c r="AP327" s="18"/>
      <c r="AQ327" s="18"/>
      <c r="AS327" s="21">
        <v>0.5</v>
      </c>
      <c r="AU327" s="15" t="str">
        <f>IF(AU326="*",AU326,"")</f>
        <v>*</v>
      </c>
      <c r="AV327" s="17" t="str">
        <f t="shared" si="259"/>
        <v>*FCEV*</v>
      </c>
      <c r="AW327" s="17" t="str">
        <f t="shared" si="259"/>
        <v>TRAETH</v>
      </c>
      <c r="AX327" s="17" t="str">
        <f t="shared" si="259"/>
        <v>TRAFRECLHDMD</v>
      </c>
      <c r="AY327" s="17" t="str">
        <f t="shared" si="259"/>
        <v>TRAFRECLHDMD</v>
      </c>
      <c r="AZ327" s="18">
        <v>2030</v>
      </c>
      <c r="BA327" s="18" t="str">
        <f>BA326</f>
        <v>LO</v>
      </c>
      <c r="BB327" s="18"/>
      <c r="BC327" s="20">
        <f>-SUMIFS('TRA RESID'!$P:$P,'TRA RESID'!$I:$I,AY327,'TRA RESID'!$J:$J,AV327,'TRA RESID'!$H:$H,AW327)/SUMIFS('TRA RESID'!$P:$P,'TRA RESID'!$I:$I,AY327)*BG327</f>
        <v>0</v>
      </c>
      <c r="BD327" s="18"/>
      <c r="BE327" s="18"/>
      <c r="BG327" s="21">
        <v>0.5</v>
      </c>
    </row>
    <row r="328" spans="1:59" x14ac:dyDescent="0.25">
      <c r="C328" s="15" t="str">
        <f>IF(C327="*",C327,"")</f>
        <v>*</v>
      </c>
      <c r="D328" s="17" t="str">
        <f t="shared" si="256"/>
        <v>*ICEV*</v>
      </c>
      <c r="E328" s="17" t="str">
        <f t="shared" si="256"/>
        <v>TRAETH</v>
      </c>
      <c r="F328" s="17" t="str">
        <f t="shared" si="256"/>
        <v>TRAFRECLHDMD</v>
      </c>
      <c r="G328" s="17" t="str">
        <f t="shared" si="256"/>
        <v>TRAFRECLHDMD</v>
      </c>
      <c r="H328" s="18">
        <v>2040</v>
      </c>
      <c r="I328" s="18" t="str">
        <f>I327</f>
        <v>LO</v>
      </c>
      <c r="J328" s="18"/>
      <c r="K328" s="20">
        <f>-SUMIFS('TRA RESID'!$P:$P,'TRA RESID'!$I:$I,G328,'TRA RESID'!$J:$J,D328,'TRA RESID'!$H:$H,E328)/SUMIFS('TRA RESID'!$P:$P,'TRA RESID'!$I:$I,G328)*O328</f>
        <v>0</v>
      </c>
      <c r="L328" s="18"/>
      <c r="M328" s="18"/>
      <c r="O328" s="21">
        <v>0</v>
      </c>
      <c r="S328" s="15" t="str">
        <f>IF(S327="*",S327,"")</f>
        <v>*</v>
      </c>
      <c r="T328" s="17" t="str">
        <f t="shared" si="257"/>
        <v>*BEV*</v>
      </c>
      <c r="U328" s="17" t="str">
        <f t="shared" si="257"/>
        <v>TRAETH</v>
      </c>
      <c r="V328" s="17" t="str">
        <f t="shared" si="257"/>
        <v>TRAFRECLHDMD</v>
      </c>
      <c r="W328" s="17" t="str">
        <f t="shared" si="257"/>
        <v>TRAFRECLHDMD</v>
      </c>
      <c r="X328" s="18">
        <v>2040</v>
      </c>
      <c r="Y328" s="18" t="str">
        <f>Y327</f>
        <v>LO</v>
      </c>
      <c r="Z328" s="18"/>
      <c r="AA328" s="20">
        <f>-SUMIFS('TRA RESID'!$P:$P,'TRA RESID'!$I:$I,W328,'TRA RESID'!$J:$J,T328,'TRA RESID'!$H:$H,U328)/SUMIFS('TRA RESID'!$P:$P,'TRA RESID'!$I:$I,W328)*AE328</f>
        <v>0</v>
      </c>
      <c r="AB328" s="18"/>
      <c r="AC328" s="18"/>
      <c r="AE328" s="21">
        <v>1</v>
      </c>
      <c r="AG328" s="15" t="str">
        <f>IF(AG327="*",AG327,"")</f>
        <v>*</v>
      </c>
      <c r="AH328" s="17" t="str">
        <f t="shared" si="258"/>
        <v>*HEV*</v>
      </c>
      <c r="AI328" s="17" t="str">
        <f t="shared" si="258"/>
        <v>TRAETH</v>
      </c>
      <c r="AJ328" s="17" t="str">
        <f t="shared" si="258"/>
        <v>TRAFRECLHDMD</v>
      </c>
      <c r="AK328" s="17" t="str">
        <f t="shared" si="258"/>
        <v>TRAFRECLHDMD</v>
      </c>
      <c r="AL328" s="18">
        <v>2040</v>
      </c>
      <c r="AM328" s="18" t="str">
        <f>AM327</f>
        <v>LO</v>
      </c>
      <c r="AN328" s="18"/>
      <c r="AO328" s="20">
        <f>-SUMIFS('TRA RESID'!$P:$P,'TRA RESID'!$I:$I,AK328,'TRA RESID'!$J:$J,AH328,'TRA RESID'!$H:$H,AI328)/SUMIFS('TRA RESID'!$P:$P,'TRA RESID'!$I:$I,AK328)*AS328</f>
        <v>0</v>
      </c>
      <c r="AP328" s="18"/>
      <c r="AQ328" s="18"/>
      <c r="AS328" s="21">
        <v>0</v>
      </c>
      <c r="AU328" s="15" t="str">
        <f>IF(AU327="*",AU327,"")</f>
        <v>*</v>
      </c>
      <c r="AV328" s="17" t="str">
        <f t="shared" si="259"/>
        <v>*FCEV*</v>
      </c>
      <c r="AW328" s="17" t="str">
        <f t="shared" si="259"/>
        <v>TRAETH</v>
      </c>
      <c r="AX328" s="17" t="str">
        <f t="shared" si="259"/>
        <v>TRAFRECLHDMD</v>
      </c>
      <c r="AY328" s="17" t="str">
        <f t="shared" si="259"/>
        <v>TRAFRECLHDMD</v>
      </c>
      <c r="AZ328" s="18">
        <v>2040</v>
      </c>
      <c r="BA328" s="18" t="str">
        <f>BA327</f>
        <v>LO</v>
      </c>
      <c r="BB328" s="18"/>
      <c r="BC328" s="20">
        <f>-SUMIFS('TRA RESID'!$P:$P,'TRA RESID'!$I:$I,AY328,'TRA RESID'!$J:$J,AV328,'TRA RESID'!$H:$H,AW328)/SUMIFS('TRA RESID'!$P:$P,'TRA RESID'!$I:$I,AY328)*BG328</f>
        <v>0</v>
      </c>
      <c r="BD328" s="18"/>
      <c r="BE328" s="18"/>
      <c r="BG328" s="21">
        <v>0</v>
      </c>
    </row>
    <row r="329" spans="1:59" x14ac:dyDescent="0.25">
      <c r="C329" s="23" t="str">
        <f>IF(C328="*",C328,"")</f>
        <v>*</v>
      </c>
      <c r="D329" s="25" t="str">
        <f t="shared" si="256"/>
        <v>*ICEV*</v>
      </c>
      <c r="E329" s="25" t="str">
        <f t="shared" si="256"/>
        <v>TRAETH</v>
      </c>
      <c r="F329" s="25" t="str">
        <f t="shared" si="256"/>
        <v>TRAFRECLHDMD</v>
      </c>
      <c r="G329" s="25" t="str">
        <f t="shared" si="256"/>
        <v>TRAFRECLHDMD</v>
      </c>
      <c r="H329" s="26">
        <v>2050</v>
      </c>
      <c r="I329" s="26" t="str">
        <f>I327</f>
        <v>LO</v>
      </c>
      <c r="J329" s="26"/>
      <c r="K329" s="27">
        <f>-SUMIFS('TRA RESID'!$P:$P,'TRA RESID'!$I:$I,G329,'TRA RESID'!$J:$J,D329,'TRA RESID'!$H:$H,E329)/SUMIFS('TRA RESID'!$P:$P,'TRA RESID'!$I:$I,G329)*O329</f>
        <v>0</v>
      </c>
      <c r="L329" s="26"/>
      <c r="M329" s="26"/>
      <c r="O329" s="28">
        <v>0</v>
      </c>
      <c r="S329" s="23" t="str">
        <f>IF(S328="*",S328,"")</f>
        <v>*</v>
      </c>
      <c r="T329" s="25" t="str">
        <f t="shared" si="257"/>
        <v>*BEV*</v>
      </c>
      <c r="U329" s="25" t="str">
        <f t="shared" si="257"/>
        <v>TRAETH</v>
      </c>
      <c r="V329" s="25" t="str">
        <f t="shared" si="257"/>
        <v>TRAFRECLHDMD</v>
      </c>
      <c r="W329" s="25" t="str">
        <f t="shared" si="257"/>
        <v>TRAFRECLHDMD</v>
      </c>
      <c r="X329" s="26">
        <v>2050</v>
      </c>
      <c r="Y329" s="26" t="str">
        <f>Y327</f>
        <v>LO</v>
      </c>
      <c r="Z329" s="26"/>
      <c r="AA329" s="27">
        <f>-SUMIFS('TRA RESID'!$P:$P,'TRA RESID'!$I:$I,W329,'TRA RESID'!$J:$J,T329,'TRA RESID'!$H:$H,U329)/SUMIFS('TRA RESID'!$P:$P,'TRA RESID'!$I:$I,W329)*AE329</f>
        <v>0</v>
      </c>
      <c r="AB329" s="26"/>
      <c r="AC329" s="26"/>
      <c r="AE329" s="28">
        <v>1</v>
      </c>
      <c r="AG329" s="23" t="str">
        <f>IF(AG328="*",AG328,"")</f>
        <v>*</v>
      </c>
      <c r="AH329" s="25" t="str">
        <f t="shared" si="258"/>
        <v>*HEV*</v>
      </c>
      <c r="AI329" s="25" t="str">
        <f t="shared" si="258"/>
        <v>TRAETH</v>
      </c>
      <c r="AJ329" s="25" t="str">
        <f t="shared" si="258"/>
        <v>TRAFRECLHDMD</v>
      </c>
      <c r="AK329" s="25" t="str">
        <f t="shared" si="258"/>
        <v>TRAFRECLHDMD</v>
      </c>
      <c r="AL329" s="26">
        <v>2050</v>
      </c>
      <c r="AM329" s="26" t="str">
        <f>AM327</f>
        <v>LO</v>
      </c>
      <c r="AN329" s="26"/>
      <c r="AO329" s="27">
        <f>-SUMIFS('TRA RESID'!$P:$P,'TRA RESID'!$I:$I,AK329,'TRA RESID'!$J:$J,AH329,'TRA RESID'!$H:$H,AI329)/SUMIFS('TRA RESID'!$P:$P,'TRA RESID'!$I:$I,AK329)*AS329</f>
        <v>0</v>
      </c>
      <c r="AP329" s="26"/>
      <c r="AQ329" s="26"/>
      <c r="AS329" s="28">
        <v>0</v>
      </c>
      <c r="AU329" s="23" t="str">
        <f>IF(AU328="*",AU328,"")</f>
        <v>*</v>
      </c>
      <c r="AV329" s="25" t="str">
        <f t="shared" si="259"/>
        <v>*FCEV*</v>
      </c>
      <c r="AW329" s="25" t="str">
        <f t="shared" si="259"/>
        <v>TRAETH</v>
      </c>
      <c r="AX329" s="25" t="str">
        <f t="shared" si="259"/>
        <v>TRAFRECLHDMD</v>
      </c>
      <c r="AY329" s="25" t="str">
        <f t="shared" si="259"/>
        <v>TRAFRECLHDMD</v>
      </c>
      <c r="AZ329" s="26">
        <v>2050</v>
      </c>
      <c r="BA329" s="26" t="str">
        <f>BA327</f>
        <v>LO</v>
      </c>
      <c r="BB329" s="26"/>
      <c r="BC329" s="27">
        <f>-SUMIFS('TRA RESID'!$P:$P,'TRA RESID'!$I:$I,AY329,'TRA RESID'!$J:$J,AV329,'TRA RESID'!$H:$H,AW329)/SUMIFS('TRA RESID'!$P:$P,'TRA RESID'!$I:$I,AY329)*BG329</f>
        <v>0</v>
      </c>
      <c r="BD329" s="26"/>
      <c r="BE329" s="26"/>
      <c r="BG329" s="28">
        <v>0</v>
      </c>
    </row>
    <row r="330" spans="1:59" x14ac:dyDescent="0.25">
      <c r="A330">
        <f>A325+1</f>
        <v>66</v>
      </c>
      <c r="C330" s="15" t="str">
        <f>IF(E330="","",IF(_xlfn.XLOOKUP($A330,Selected_constraint!$A:$A,Selected_constraint!$D:$D)=1,"*",IF(SUMIFS('TRA TECH'!$M:$M,'TRA TECH'!$H:$H,E330,'TRA TECH'!$I:$I,F330)=0,"*",IF(SUMIFS('TRA RESID'!$P:$P,'TRA RESID'!$I:$I,G330,'TRA RESID'!$J:$J,D330,'TRA RESID'!$H:$H,E330)=0,"*","UC_"&amp;SUBSTITUTE(D330,"*","")&amp;"_"&amp;RIGHT(E330,3)&amp;"_"&amp;F330))))</f>
        <v>UC_ICEV_DSL_TRAFRECLHDMD</v>
      </c>
      <c r="D330" s="17" t="s">
        <v>485</v>
      </c>
      <c r="E330" s="17" t="str">
        <f>_xlfn.XLOOKUP($A330,Selected_constraint!$A:$A,Selected_constraint!$B:$B)</f>
        <v>TRADSL</v>
      </c>
      <c r="F330" s="17" t="str">
        <f>_xlfn.XLOOKUP($A330,Selected_constraint!$A:$A,Selected_constraint!$C:$C)</f>
        <v>TRAFRECLHDMD</v>
      </c>
      <c r="G330" s="17" t="str">
        <f>F330</f>
        <v>TRAFRECLHDMD</v>
      </c>
      <c r="H330" s="18">
        <v>2019</v>
      </c>
      <c r="I330" s="18" t="s">
        <v>483</v>
      </c>
      <c r="J330" s="18">
        <v>1</v>
      </c>
      <c r="K330" s="20">
        <f>-SUMIFS('TRA RESID'!$P:$P,'TRA RESID'!$I:$I,G330,'TRA RESID'!$J:$J,D330,'TRA RESID'!$H:$H,E330)/SUMIFS('TRA RESID'!$P:$P,'TRA RESID'!$I:$I,G330)*O330</f>
        <v>-0.96829635291546634</v>
      </c>
      <c r="L330" s="18">
        <v>0</v>
      </c>
      <c r="M330" s="18">
        <v>5</v>
      </c>
      <c r="O330" s="21">
        <v>0.98</v>
      </c>
      <c r="Q330">
        <f>Q325+1</f>
        <v>66</v>
      </c>
      <c r="S330" s="15" t="str">
        <f>IF(SUMIFS('TRA RESID'!$P:$P,'TRA RESID'!$I:$I,W330,'TRA RESID'!$J:$J,T330,'TRA RESID'!$H:$H,U330)=0,"*","UC_"&amp;SUBSTITUTE(T330,"*","")&amp;"_"&amp;RIGHT(U330,3)&amp;"_"&amp;V330)</f>
        <v>*</v>
      </c>
      <c r="T330" s="17" t="s">
        <v>486</v>
      </c>
      <c r="U330" s="17" t="str">
        <f>_xlfn.XLOOKUP($A330,Selected_constraint!$A:$A,Selected_constraint!$B:$B)</f>
        <v>TRADSL</v>
      </c>
      <c r="V330" s="17" t="str">
        <f>_xlfn.XLOOKUP($A330,Selected_constraint!$A:$A,Selected_constraint!$C:$C)</f>
        <v>TRAFRECLHDMD</v>
      </c>
      <c r="W330" s="17" t="str">
        <f>V330</f>
        <v>TRAFRECLHDMD</v>
      </c>
      <c r="X330" s="18">
        <v>2019</v>
      </c>
      <c r="Y330" s="18" t="s">
        <v>483</v>
      </c>
      <c r="Z330" s="18">
        <v>1</v>
      </c>
      <c r="AA330" s="20">
        <f>-SUMIFS('TRA RESID'!$P:$P,'TRA RESID'!$I:$I,W330,'TRA RESID'!$J:$J,T330,'TRA RESID'!$H:$H,U330)/SUMIFS('TRA RESID'!$P:$P,'TRA RESID'!$I:$I,W330)*AE330</f>
        <v>0</v>
      </c>
      <c r="AB330" s="18">
        <v>0</v>
      </c>
      <c r="AC330" s="18">
        <v>5</v>
      </c>
      <c r="AE330" s="21">
        <v>0.98</v>
      </c>
      <c r="AG330" s="15" t="str">
        <f>IF(SUMIFS('TRA RESID'!$P:$P,'TRA RESID'!$I:$I,AK330,'TRA RESID'!$J:$J,AH330,'TRA RESID'!$H:$H,AI330)=0,"*","UC_"&amp;SUBSTITUTE(AH330,"*","")&amp;"_"&amp;RIGHT(AI330,3)&amp;"_"&amp;AJ330)</f>
        <v>*</v>
      </c>
      <c r="AH330" s="17" t="s">
        <v>487</v>
      </c>
      <c r="AI330" s="17" t="str">
        <f>_xlfn.XLOOKUP($A330,Selected_constraint!$A:$A,Selected_constraint!$B:$B)</f>
        <v>TRADSL</v>
      </c>
      <c r="AJ330" s="17" t="str">
        <f>_xlfn.XLOOKUP($A330,Selected_constraint!$A:$A,Selected_constraint!$C:$C)</f>
        <v>TRAFRECLHDMD</v>
      </c>
      <c r="AK330" s="17" t="str">
        <f>AJ330</f>
        <v>TRAFRECLHDMD</v>
      </c>
      <c r="AL330" s="18">
        <v>2019</v>
      </c>
      <c r="AM330" s="18" t="s">
        <v>483</v>
      </c>
      <c r="AN330" s="18">
        <v>1</v>
      </c>
      <c r="AO330" s="20">
        <f>-SUMIFS('TRA RESID'!$P:$P,'TRA RESID'!$I:$I,AK330,'TRA RESID'!$J:$J,AH330,'TRA RESID'!$H:$H,AI330)/SUMIFS('TRA RESID'!$P:$P,'TRA RESID'!$I:$I,AK330)*AS330</f>
        <v>0</v>
      </c>
      <c r="AP330" s="18">
        <v>0</v>
      </c>
      <c r="AQ330" s="18">
        <v>5</v>
      </c>
      <c r="AS330" s="21">
        <v>0.98</v>
      </c>
      <c r="AU330" s="15" t="str">
        <f>IF(SUMIFS('TRA RESID'!$P:$P,'TRA RESID'!$I:$I,AY330,'TRA RESID'!$J:$J,AV330,'TRA RESID'!$H:$H,AW330)=0,"*","UC_"&amp;SUBSTITUTE(AV330,"*","")&amp;"_"&amp;RIGHT(AW330,3)&amp;"_"&amp;AX330)</f>
        <v>*</v>
      </c>
      <c r="AV330" s="17" t="s">
        <v>488</v>
      </c>
      <c r="AW330" s="17" t="str">
        <f>_xlfn.XLOOKUP($A330,Selected_constraint!$A:$A,Selected_constraint!$B:$B)</f>
        <v>TRADSL</v>
      </c>
      <c r="AX330" s="17" t="str">
        <f>_xlfn.XLOOKUP($A330,Selected_constraint!$A:$A,Selected_constraint!$C:$C)</f>
        <v>TRAFRECLHDMD</v>
      </c>
      <c r="AY330" s="17" t="str">
        <f>AX330</f>
        <v>TRAFRECLHDMD</v>
      </c>
      <c r="AZ330" s="18">
        <v>2019</v>
      </c>
      <c r="BA330" s="18" t="s">
        <v>483</v>
      </c>
      <c r="BB330" s="18">
        <v>1</v>
      </c>
      <c r="BC330" s="20">
        <f>-SUMIFS('TRA RESID'!$P:$P,'TRA RESID'!$I:$I,AY330,'TRA RESID'!$J:$J,AV330,'TRA RESID'!$H:$H,AW330)/SUMIFS('TRA RESID'!$P:$P,'TRA RESID'!$I:$I,AY330)*BG330</f>
        <v>0</v>
      </c>
      <c r="BD330" s="18">
        <v>0</v>
      </c>
      <c r="BE330" s="18">
        <v>5</v>
      </c>
      <c r="BG330" s="21">
        <v>0.98</v>
      </c>
    </row>
    <row r="331" spans="1:59" x14ac:dyDescent="0.25">
      <c r="C331" s="15" t="str">
        <f>IF(C330="*",C330,"")</f>
        <v/>
      </c>
      <c r="D331" s="17" t="str">
        <f t="shared" ref="D331:G334" si="260">D330</f>
        <v>*ICEV*</v>
      </c>
      <c r="E331" s="17" t="str">
        <f t="shared" si="260"/>
        <v>TRADSL</v>
      </c>
      <c r="F331" s="17" t="str">
        <f t="shared" si="260"/>
        <v>TRAFRECLHDMD</v>
      </c>
      <c r="G331" s="17" t="str">
        <f t="shared" si="260"/>
        <v>TRAFRECLHDMD</v>
      </c>
      <c r="H331" s="18">
        <v>2025</v>
      </c>
      <c r="I331" s="18" t="str">
        <f>I330</f>
        <v>LO</v>
      </c>
      <c r="J331" s="18"/>
      <c r="K331" s="20">
        <f>-SUMIFS('TRA RESID'!$P:$P,'TRA RESID'!$I:$I,G331,'TRA RESID'!$J:$J,D331,'TRA RESID'!$H:$H,E331)/SUMIFS('TRA RESID'!$P:$P,'TRA RESID'!$I:$I,G331)*O331</f>
        <v>-0.79044600237997253</v>
      </c>
      <c r="L331" s="18"/>
      <c r="M331" s="18"/>
      <c r="O331" s="21">
        <v>0.8</v>
      </c>
      <c r="S331" s="15" t="str">
        <f>IF(S330="*",S330,"")</f>
        <v>*</v>
      </c>
      <c r="T331" s="17" t="str">
        <f t="shared" ref="T331:W334" si="261">T330</f>
        <v>*BEV*</v>
      </c>
      <c r="U331" s="17" t="str">
        <f t="shared" si="261"/>
        <v>TRADSL</v>
      </c>
      <c r="V331" s="17" t="str">
        <f t="shared" si="261"/>
        <v>TRAFRECLHDMD</v>
      </c>
      <c r="W331" s="17" t="str">
        <f t="shared" si="261"/>
        <v>TRAFRECLHDMD</v>
      </c>
      <c r="X331" s="18">
        <v>2025</v>
      </c>
      <c r="Y331" s="18" t="str">
        <f>Y330</f>
        <v>LO</v>
      </c>
      <c r="Z331" s="18"/>
      <c r="AA331" s="20">
        <f>-SUMIFS('TRA RESID'!$P:$P,'TRA RESID'!$I:$I,W331,'TRA RESID'!$J:$J,T331,'TRA RESID'!$H:$H,U331)/SUMIFS('TRA RESID'!$P:$P,'TRA RESID'!$I:$I,W331)*AE331</f>
        <v>0</v>
      </c>
      <c r="AB331" s="18"/>
      <c r="AC331" s="18"/>
      <c r="AE331" s="21">
        <v>1</v>
      </c>
      <c r="AG331" s="15" t="str">
        <f>IF(AG330="*",AG330,"")</f>
        <v>*</v>
      </c>
      <c r="AH331" s="17" t="str">
        <f t="shared" ref="AH331:AK334" si="262">AH330</f>
        <v>*HEV*</v>
      </c>
      <c r="AI331" s="17" t="str">
        <f t="shared" si="262"/>
        <v>TRADSL</v>
      </c>
      <c r="AJ331" s="17" t="str">
        <f t="shared" si="262"/>
        <v>TRAFRECLHDMD</v>
      </c>
      <c r="AK331" s="17" t="str">
        <f t="shared" si="262"/>
        <v>TRAFRECLHDMD</v>
      </c>
      <c r="AL331" s="18">
        <v>2025</v>
      </c>
      <c r="AM331" s="18" t="str">
        <f>AM330</f>
        <v>LO</v>
      </c>
      <c r="AN331" s="18"/>
      <c r="AO331" s="20">
        <f>-SUMIFS('TRA RESID'!$P:$P,'TRA RESID'!$I:$I,AK331,'TRA RESID'!$J:$J,AH331,'TRA RESID'!$H:$H,AI331)/SUMIFS('TRA RESID'!$P:$P,'TRA RESID'!$I:$I,AK331)*AS331</f>
        <v>0</v>
      </c>
      <c r="AP331" s="18"/>
      <c r="AQ331" s="18"/>
      <c r="AS331" s="21">
        <v>0.8</v>
      </c>
      <c r="AU331" s="15" t="str">
        <f>IF(AU330="*",AU330,"")</f>
        <v>*</v>
      </c>
      <c r="AV331" s="17" t="str">
        <f t="shared" ref="AV331:AY334" si="263">AV330</f>
        <v>*FCEV*</v>
      </c>
      <c r="AW331" s="17" t="str">
        <f t="shared" si="263"/>
        <v>TRADSL</v>
      </c>
      <c r="AX331" s="17" t="str">
        <f t="shared" si="263"/>
        <v>TRAFRECLHDMD</v>
      </c>
      <c r="AY331" s="17" t="str">
        <f t="shared" si="263"/>
        <v>TRAFRECLHDMD</v>
      </c>
      <c r="AZ331" s="18">
        <v>2025</v>
      </c>
      <c r="BA331" s="18" t="str">
        <f>BA330</f>
        <v>LO</v>
      </c>
      <c r="BB331" s="18"/>
      <c r="BC331" s="20">
        <f>-SUMIFS('TRA RESID'!$P:$P,'TRA RESID'!$I:$I,AY331,'TRA RESID'!$J:$J,AV331,'TRA RESID'!$H:$H,AW331)/SUMIFS('TRA RESID'!$P:$P,'TRA RESID'!$I:$I,AY331)*BG331</f>
        <v>0</v>
      </c>
      <c r="BD331" s="18"/>
      <c r="BE331" s="18"/>
      <c r="BG331" s="21">
        <v>0.8</v>
      </c>
    </row>
    <row r="332" spans="1:59" x14ac:dyDescent="0.25">
      <c r="C332" s="15" t="str">
        <f>IF(C331="*",C331,"")</f>
        <v/>
      </c>
      <c r="D332" s="17" t="str">
        <f t="shared" si="260"/>
        <v>*ICEV*</v>
      </c>
      <c r="E332" s="17" t="str">
        <f t="shared" si="260"/>
        <v>TRADSL</v>
      </c>
      <c r="F332" s="17" t="str">
        <f t="shared" si="260"/>
        <v>TRAFRECLHDMD</v>
      </c>
      <c r="G332" s="17" t="str">
        <f t="shared" si="260"/>
        <v>TRAFRECLHDMD</v>
      </c>
      <c r="H332" s="18">
        <v>2030</v>
      </c>
      <c r="I332" s="18" t="str">
        <f>I331</f>
        <v>LO</v>
      </c>
      <c r="J332" s="18"/>
      <c r="K332" s="20">
        <f>-SUMIFS('TRA RESID'!$P:$P,'TRA RESID'!$I:$I,G332,'TRA RESID'!$J:$J,D332,'TRA RESID'!$H:$H,E332)/SUMIFS('TRA RESID'!$P:$P,'TRA RESID'!$I:$I,G332)*O332</f>
        <v>-0.49402875148748282</v>
      </c>
      <c r="L332" s="18"/>
      <c r="M332" s="18"/>
      <c r="O332" s="21">
        <v>0.5</v>
      </c>
      <c r="S332" s="15" t="str">
        <f>IF(S331="*",S331,"")</f>
        <v>*</v>
      </c>
      <c r="T332" s="17" t="str">
        <f t="shared" si="261"/>
        <v>*BEV*</v>
      </c>
      <c r="U332" s="17" t="str">
        <f t="shared" si="261"/>
        <v>TRADSL</v>
      </c>
      <c r="V332" s="17" t="str">
        <f t="shared" si="261"/>
        <v>TRAFRECLHDMD</v>
      </c>
      <c r="W332" s="17" t="str">
        <f t="shared" si="261"/>
        <v>TRAFRECLHDMD</v>
      </c>
      <c r="X332" s="18">
        <v>2030</v>
      </c>
      <c r="Y332" s="18" t="str">
        <f>Y331</f>
        <v>LO</v>
      </c>
      <c r="Z332" s="18"/>
      <c r="AA332" s="20">
        <f>-SUMIFS('TRA RESID'!$P:$P,'TRA RESID'!$I:$I,W332,'TRA RESID'!$J:$J,T332,'TRA RESID'!$H:$H,U332)/SUMIFS('TRA RESID'!$P:$P,'TRA RESID'!$I:$I,W332)*AE332</f>
        <v>0</v>
      </c>
      <c r="AB332" s="18"/>
      <c r="AC332" s="18"/>
      <c r="AE332" s="21">
        <v>1</v>
      </c>
      <c r="AG332" s="15" t="str">
        <f>IF(AG331="*",AG331,"")</f>
        <v>*</v>
      </c>
      <c r="AH332" s="17" t="str">
        <f t="shared" si="262"/>
        <v>*HEV*</v>
      </c>
      <c r="AI332" s="17" t="str">
        <f t="shared" si="262"/>
        <v>TRADSL</v>
      </c>
      <c r="AJ332" s="17" t="str">
        <f t="shared" si="262"/>
        <v>TRAFRECLHDMD</v>
      </c>
      <c r="AK332" s="17" t="str">
        <f t="shared" si="262"/>
        <v>TRAFRECLHDMD</v>
      </c>
      <c r="AL332" s="18">
        <v>2030</v>
      </c>
      <c r="AM332" s="18" t="str">
        <f>AM331</f>
        <v>LO</v>
      </c>
      <c r="AN332" s="18"/>
      <c r="AO332" s="20">
        <f>-SUMIFS('TRA RESID'!$P:$P,'TRA RESID'!$I:$I,AK332,'TRA RESID'!$J:$J,AH332,'TRA RESID'!$H:$H,AI332)/SUMIFS('TRA RESID'!$P:$P,'TRA RESID'!$I:$I,AK332)*AS332</f>
        <v>0</v>
      </c>
      <c r="AP332" s="18"/>
      <c r="AQ332" s="18"/>
      <c r="AS332" s="21">
        <v>0.5</v>
      </c>
      <c r="AU332" s="15" t="str">
        <f>IF(AU331="*",AU331,"")</f>
        <v>*</v>
      </c>
      <c r="AV332" s="17" t="str">
        <f t="shared" si="263"/>
        <v>*FCEV*</v>
      </c>
      <c r="AW332" s="17" t="str">
        <f t="shared" si="263"/>
        <v>TRADSL</v>
      </c>
      <c r="AX332" s="17" t="str">
        <f t="shared" si="263"/>
        <v>TRAFRECLHDMD</v>
      </c>
      <c r="AY332" s="17" t="str">
        <f t="shared" si="263"/>
        <v>TRAFRECLHDMD</v>
      </c>
      <c r="AZ332" s="18">
        <v>2030</v>
      </c>
      <c r="BA332" s="18" t="str">
        <f>BA331</f>
        <v>LO</v>
      </c>
      <c r="BB332" s="18"/>
      <c r="BC332" s="20">
        <f>-SUMIFS('TRA RESID'!$P:$P,'TRA RESID'!$I:$I,AY332,'TRA RESID'!$J:$J,AV332,'TRA RESID'!$H:$H,AW332)/SUMIFS('TRA RESID'!$P:$P,'TRA RESID'!$I:$I,AY332)*BG332</f>
        <v>0</v>
      </c>
      <c r="BD332" s="18"/>
      <c r="BE332" s="18"/>
      <c r="BG332" s="21">
        <v>0.5</v>
      </c>
    </row>
    <row r="333" spans="1:59" x14ac:dyDescent="0.25">
      <c r="C333" s="15" t="str">
        <f>IF(C332="*",C332,"")</f>
        <v/>
      </c>
      <c r="D333" s="17" t="str">
        <f t="shared" si="260"/>
        <v>*ICEV*</v>
      </c>
      <c r="E333" s="17" t="str">
        <f t="shared" si="260"/>
        <v>TRADSL</v>
      </c>
      <c r="F333" s="17" t="str">
        <f t="shared" si="260"/>
        <v>TRAFRECLHDMD</v>
      </c>
      <c r="G333" s="17" t="str">
        <f t="shared" si="260"/>
        <v>TRAFRECLHDMD</v>
      </c>
      <c r="H333" s="18">
        <v>2040</v>
      </c>
      <c r="I333" s="18" t="str">
        <f>I332</f>
        <v>LO</v>
      </c>
      <c r="J333" s="18"/>
      <c r="K333" s="20">
        <f>-SUMIFS('TRA RESID'!$P:$P,'TRA RESID'!$I:$I,G333,'TRA RESID'!$J:$J,D333,'TRA RESID'!$H:$H,E333)/SUMIFS('TRA RESID'!$P:$P,'TRA RESID'!$I:$I,G333)*O333</f>
        <v>0</v>
      </c>
      <c r="L333" s="18"/>
      <c r="M333" s="18"/>
      <c r="O333" s="21">
        <v>0</v>
      </c>
      <c r="S333" s="15" t="str">
        <f>IF(S332="*",S332,"")</f>
        <v>*</v>
      </c>
      <c r="T333" s="17" t="str">
        <f t="shared" si="261"/>
        <v>*BEV*</v>
      </c>
      <c r="U333" s="17" t="str">
        <f t="shared" si="261"/>
        <v>TRADSL</v>
      </c>
      <c r="V333" s="17" t="str">
        <f t="shared" si="261"/>
        <v>TRAFRECLHDMD</v>
      </c>
      <c r="W333" s="17" t="str">
        <f t="shared" si="261"/>
        <v>TRAFRECLHDMD</v>
      </c>
      <c r="X333" s="18">
        <v>2040</v>
      </c>
      <c r="Y333" s="18" t="str">
        <f>Y332</f>
        <v>LO</v>
      </c>
      <c r="Z333" s="18"/>
      <c r="AA333" s="20">
        <f>-SUMIFS('TRA RESID'!$P:$P,'TRA RESID'!$I:$I,W333,'TRA RESID'!$J:$J,T333,'TRA RESID'!$H:$H,U333)/SUMIFS('TRA RESID'!$P:$P,'TRA RESID'!$I:$I,W333)*AE333</f>
        <v>0</v>
      </c>
      <c r="AB333" s="18"/>
      <c r="AC333" s="18"/>
      <c r="AE333" s="21">
        <v>1</v>
      </c>
      <c r="AG333" s="15" t="str">
        <f>IF(AG332="*",AG332,"")</f>
        <v>*</v>
      </c>
      <c r="AH333" s="17" t="str">
        <f t="shared" si="262"/>
        <v>*HEV*</v>
      </c>
      <c r="AI333" s="17" t="str">
        <f t="shared" si="262"/>
        <v>TRADSL</v>
      </c>
      <c r="AJ333" s="17" t="str">
        <f t="shared" si="262"/>
        <v>TRAFRECLHDMD</v>
      </c>
      <c r="AK333" s="17" t="str">
        <f t="shared" si="262"/>
        <v>TRAFRECLHDMD</v>
      </c>
      <c r="AL333" s="18">
        <v>2040</v>
      </c>
      <c r="AM333" s="18" t="str">
        <f>AM332</f>
        <v>LO</v>
      </c>
      <c r="AN333" s="18"/>
      <c r="AO333" s="20">
        <f>-SUMIFS('TRA RESID'!$P:$P,'TRA RESID'!$I:$I,AK333,'TRA RESID'!$J:$J,AH333,'TRA RESID'!$H:$H,AI333)/SUMIFS('TRA RESID'!$P:$P,'TRA RESID'!$I:$I,AK333)*AS333</f>
        <v>0</v>
      </c>
      <c r="AP333" s="18"/>
      <c r="AQ333" s="18"/>
      <c r="AS333" s="21">
        <v>0</v>
      </c>
      <c r="AU333" s="15" t="str">
        <f>IF(AU332="*",AU332,"")</f>
        <v>*</v>
      </c>
      <c r="AV333" s="17" t="str">
        <f t="shared" si="263"/>
        <v>*FCEV*</v>
      </c>
      <c r="AW333" s="17" t="str">
        <f t="shared" si="263"/>
        <v>TRADSL</v>
      </c>
      <c r="AX333" s="17" t="str">
        <f t="shared" si="263"/>
        <v>TRAFRECLHDMD</v>
      </c>
      <c r="AY333" s="17" t="str">
        <f t="shared" si="263"/>
        <v>TRAFRECLHDMD</v>
      </c>
      <c r="AZ333" s="18">
        <v>2040</v>
      </c>
      <c r="BA333" s="18" t="str">
        <f>BA332</f>
        <v>LO</v>
      </c>
      <c r="BB333" s="18"/>
      <c r="BC333" s="20">
        <f>-SUMIFS('TRA RESID'!$P:$P,'TRA RESID'!$I:$I,AY333,'TRA RESID'!$J:$J,AV333,'TRA RESID'!$H:$H,AW333)/SUMIFS('TRA RESID'!$P:$P,'TRA RESID'!$I:$I,AY333)*BG333</f>
        <v>0</v>
      </c>
      <c r="BD333" s="18"/>
      <c r="BE333" s="18"/>
      <c r="BG333" s="21">
        <v>0</v>
      </c>
    </row>
    <row r="334" spans="1:59" x14ac:dyDescent="0.25">
      <c r="C334" s="23" t="str">
        <f>IF(C333="*",C333,"")</f>
        <v/>
      </c>
      <c r="D334" s="25" t="str">
        <f t="shared" si="260"/>
        <v>*ICEV*</v>
      </c>
      <c r="E334" s="25" t="str">
        <f t="shared" si="260"/>
        <v>TRADSL</v>
      </c>
      <c r="F334" s="25" t="str">
        <f t="shared" si="260"/>
        <v>TRAFRECLHDMD</v>
      </c>
      <c r="G334" s="25" t="str">
        <f t="shared" si="260"/>
        <v>TRAFRECLHDMD</v>
      </c>
      <c r="H334" s="26">
        <v>2050</v>
      </c>
      <c r="I334" s="26" t="str">
        <f>I332</f>
        <v>LO</v>
      </c>
      <c r="J334" s="26"/>
      <c r="K334" s="27">
        <f>-SUMIFS('TRA RESID'!$P:$P,'TRA RESID'!$I:$I,G334,'TRA RESID'!$J:$J,D334,'TRA RESID'!$H:$H,E334)/SUMIFS('TRA RESID'!$P:$P,'TRA RESID'!$I:$I,G334)*O334</f>
        <v>0</v>
      </c>
      <c r="L334" s="26"/>
      <c r="M334" s="26"/>
      <c r="O334" s="28">
        <v>0</v>
      </c>
      <c r="S334" s="23" t="str">
        <f>IF(S333="*",S333,"")</f>
        <v>*</v>
      </c>
      <c r="T334" s="25" t="str">
        <f t="shared" si="261"/>
        <v>*BEV*</v>
      </c>
      <c r="U334" s="25" t="str">
        <f t="shared" si="261"/>
        <v>TRADSL</v>
      </c>
      <c r="V334" s="25" t="str">
        <f t="shared" si="261"/>
        <v>TRAFRECLHDMD</v>
      </c>
      <c r="W334" s="25" t="str">
        <f t="shared" si="261"/>
        <v>TRAFRECLHDMD</v>
      </c>
      <c r="X334" s="26">
        <v>2050</v>
      </c>
      <c r="Y334" s="26" t="str">
        <f>Y332</f>
        <v>LO</v>
      </c>
      <c r="Z334" s="26"/>
      <c r="AA334" s="27">
        <f>-SUMIFS('TRA RESID'!$P:$P,'TRA RESID'!$I:$I,W334,'TRA RESID'!$J:$J,T334,'TRA RESID'!$H:$H,U334)/SUMIFS('TRA RESID'!$P:$P,'TRA RESID'!$I:$I,W334)*AE334</f>
        <v>0</v>
      </c>
      <c r="AB334" s="26"/>
      <c r="AC334" s="26"/>
      <c r="AE334" s="28">
        <v>1</v>
      </c>
      <c r="AG334" s="23" t="str">
        <f>IF(AG333="*",AG333,"")</f>
        <v>*</v>
      </c>
      <c r="AH334" s="25" t="str">
        <f t="shared" si="262"/>
        <v>*HEV*</v>
      </c>
      <c r="AI334" s="25" t="str">
        <f t="shared" si="262"/>
        <v>TRADSL</v>
      </c>
      <c r="AJ334" s="25" t="str">
        <f t="shared" si="262"/>
        <v>TRAFRECLHDMD</v>
      </c>
      <c r="AK334" s="25" t="str">
        <f t="shared" si="262"/>
        <v>TRAFRECLHDMD</v>
      </c>
      <c r="AL334" s="26">
        <v>2050</v>
      </c>
      <c r="AM334" s="26" t="str">
        <f>AM332</f>
        <v>LO</v>
      </c>
      <c r="AN334" s="26"/>
      <c r="AO334" s="27">
        <f>-SUMIFS('TRA RESID'!$P:$P,'TRA RESID'!$I:$I,AK334,'TRA RESID'!$J:$J,AH334,'TRA RESID'!$H:$H,AI334)/SUMIFS('TRA RESID'!$P:$P,'TRA RESID'!$I:$I,AK334)*AS334</f>
        <v>0</v>
      </c>
      <c r="AP334" s="26"/>
      <c r="AQ334" s="26"/>
      <c r="AS334" s="28">
        <v>0</v>
      </c>
      <c r="AU334" s="23" t="str">
        <f>IF(AU333="*",AU333,"")</f>
        <v>*</v>
      </c>
      <c r="AV334" s="25" t="str">
        <f t="shared" si="263"/>
        <v>*FCEV*</v>
      </c>
      <c r="AW334" s="25" t="str">
        <f t="shared" si="263"/>
        <v>TRADSL</v>
      </c>
      <c r="AX334" s="25" t="str">
        <f t="shared" si="263"/>
        <v>TRAFRECLHDMD</v>
      </c>
      <c r="AY334" s="25" t="str">
        <f t="shared" si="263"/>
        <v>TRAFRECLHDMD</v>
      </c>
      <c r="AZ334" s="26">
        <v>2050</v>
      </c>
      <c r="BA334" s="26" t="str">
        <f>BA332</f>
        <v>LO</v>
      </c>
      <c r="BB334" s="26"/>
      <c r="BC334" s="27">
        <f>-SUMIFS('TRA RESID'!$P:$P,'TRA RESID'!$I:$I,AY334,'TRA RESID'!$J:$J,AV334,'TRA RESID'!$H:$H,AW334)/SUMIFS('TRA RESID'!$P:$P,'TRA RESID'!$I:$I,AY334)*BG334</f>
        <v>0</v>
      </c>
      <c r="BD334" s="26"/>
      <c r="BE334" s="26"/>
      <c r="BG334" s="28">
        <v>0</v>
      </c>
    </row>
    <row r="335" spans="1:59" x14ac:dyDescent="0.25">
      <c r="A335">
        <f>A330+1</f>
        <v>67</v>
      </c>
      <c r="C335" s="15" t="str">
        <f>IF(E335="","",IF(_xlfn.XLOOKUP($A335,Selected_constraint!$A:$A,Selected_constraint!$D:$D)=1,"*",IF(SUMIFS('TRA TECH'!$M:$M,'TRA TECH'!$H:$H,E335,'TRA TECH'!$I:$I,F335)=0,"*",IF(SUMIFS('TRA RESID'!$P:$P,'TRA RESID'!$I:$I,G335,'TRA RESID'!$J:$J,D335,'TRA RESID'!$H:$H,E335)=0,"*","UC_"&amp;SUBSTITUTE(D335,"*","")&amp;"_"&amp;RIGHT(E335,3)&amp;"_"&amp;F335))))</f>
        <v>*</v>
      </c>
      <c r="D335" s="17" t="s">
        <v>485</v>
      </c>
      <c r="E335" s="17" t="str">
        <f>_xlfn.XLOOKUP($A335,Selected_constraint!$A:$A,Selected_constraint!$B:$B)</f>
        <v>TRARDS</v>
      </c>
      <c r="F335" s="17" t="str">
        <f>_xlfn.XLOOKUP($A335,Selected_constraint!$A:$A,Selected_constraint!$C:$C)</f>
        <v>TRAFRECLHDMD</v>
      </c>
      <c r="G335" s="17" t="str">
        <f>F335</f>
        <v>TRAFRECLHDMD</v>
      </c>
      <c r="H335" s="18">
        <v>2019</v>
      </c>
      <c r="I335" s="18" t="s">
        <v>483</v>
      </c>
      <c r="J335" s="18">
        <v>1</v>
      </c>
      <c r="K335" s="20">
        <f>-SUMIFS('TRA RESID'!$P:$P,'TRA RESID'!$I:$I,G335,'TRA RESID'!$J:$J,D335,'TRA RESID'!$H:$H,E335)/SUMIFS('TRA RESID'!$P:$P,'TRA RESID'!$I:$I,G335)*O335</f>
        <v>0</v>
      </c>
      <c r="L335" s="18">
        <v>0</v>
      </c>
      <c r="M335" s="18">
        <v>5</v>
      </c>
      <c r="O335" s="21">
        <v>0.98</v>
      </c>
      <c r="Q335">
        <f>Q330+1</f>
        <v>67</v>
      </c>
      <c r="S335" s="15" t="str">
        <f>IF(SUMIFS('TRA RESID'!$P:$P,'TRA RESID'!$I:$I,W335,'TRA RESID'!$J:$J,T335,'TRA RESID'!$H:$H,U335)=0,"*","UC_"&amp;SUBSTITUTE(T335,"*","")&amp;"_"&amp;RIGHT(U335,3)&amp;"_"&amp;V335)</f>
        <v>*</v>
      </c>
      <c r="T335" s="17" t="s">
        <v>486</v>
      </c>
      <c r="U335" s="17" t="str">
        <f>_xlfn.XLOOKUP($A335,Selected_constraint!$A:$A,Selected_constraint!$B:$B)</f>
        <v>TRARDS</v>
      </c>
      <c r="V335" s="17" t="str">
        <f>_xlfn.XLOOKUP($A335,Selected_constraint!$A:$A,Selected_constraint!$C:$C)</f>
        <v>TRAFRECLHDMD</v>
      </c>
      <c r="W335" s="17" t="str">
        <f>V335</f>
        <v>TRAFRECLHDMD</v>
      </c>
      <c r="X335" s="18">
        <v>2019</v>
      </c>
      <c r="Y335" s="18" t="s">
        <v>483</v>
      </c>
      <c r="Z335" s="18">
        <v>1</v>
      </c>
      <c r="AA335" s="20">
        <f>-SUMIFS('TRA RESID'!$P:$P,'TRA RESID'!$I:$I,W335,'TRA RESID'!$J:$J,T335,'TRA RESID'!$H:$H,U335)/SUMIFS('TRA RESID'!$P:$P,'TRA RESID'!$I:$I,W335)*AE335</f>
        <v>0</v>
      </c>
      <c r="AB335" s="18">
        <v>0</v>
      </c>
      <c r="AC335" s="18">
        <v>5</v>
      </c>
      <c r="AE335" s="21">
        <v>0.98</v>
      </c>
      <c r="AG335" s="15" t="str">
        <f>IF(SUMIFS('TRA RESID'!$P:$P,'TRA RESID'!$I:$I,AK335,'TRA RESID'!$J:$J,AH335,'TRA RESID'!$H:$H,AI335)=0,"*","UC_"&amp;SUBSTITUTE(AH335,"*","")&amp;"_"&amp;RIGHT(AI335,3)&amp;"_"&amp;AJ335)</f>
        <v>*</v>
      </c>
      <c r="AH335" s="17" t="s">
        <v>487</v>
      </c>
      <c r="AI335" s="17" t="str">
        <f>_xlfn.XLOOKUP($A335,Selected_constraint!$A:$A,Selected_constraint!$B:$B)</f>
        <v>TRARDS</v>
      </c>
      <c r="AJ335" s="17" t="str">
        <f>_xlfn.XLOOKUP($A335,Selected_constraint!$A:$A,Selected_constraint!$C:$C)</f>
        <v>TRAFRECLHDMD</v>
      </c>
      <c r="AK335" s="17" t="str">
        <f>AJ335</f>
        <v>TRAFRECLHDMD</v>
      </c>
      <c r="AL335" s="18">
        <v>2019</v>
      </c>
      <c r="AM335" s="18" t="s">
        <v>483</v>
      </c>
      <c r="AN335" s="18">
        <v>1</v>
      </c>
      <c r="AO335" s="20">
        <f>-SUMIFS('TRA RESID'!$P:$P,'TRA RESID'!$I:$I,AK335,'TRA RESID'!$J:$J,AH335,'TRA RESID'!$H:$H,AI335)/SUMIFS('TRA RESID'!$P:$P,'TRA RESID'!$I:$I,AK335)*AS335</f>
        <v>0</v>
      </c>
      <c r="AP335" s="18">
        <v>0</v>
      </c>
      <c r="AQ335" s="18">
        <v>5</v>
      </c>
      <c r="AS335" s="21">
        <v>0.98</v>
      </c>
      <c r="AU335" s="15" t="str">
        <f>IF(SUMIFS('TRA RESID'!$P:$P,'TRA RESID'!$I:$I,AY335,'TRA RESID'!$J:$J,AV335,'TRA RESID'!$H:$H,AW335)=0,"*","UC_"&amp;SUBSTITUTE(AV335,"*","")&amp;"_"&amp;RIGHT(AW335,3)&amp;"_"&amp;AX335)</f>
        <v>*</v>
      </c>
      <c r="AV335" s="17" t="s">
        <v>488</v>
      </c>
      <c r="AW335" s="17" t="str">
        <f>_xlfn.XLOOKUP($A335,Selected_constraint!$A:$A,Selected_constraint!$B:$B)</f>
        <v>TRARDS</v>
      </c>
      <c r="AX335" s="17" t="str">
        <f>_xlfn.XLOOKUP($A335,Selected_constraint!$A:$A,Selected_constraint!$C:$C)</f>
        <v>TRAFRECLHDMD</v>
      </c>
      <c r="AY335" s="17" t="str">
        <f>AX335</f>
        <v>TRAFRECLHDMD</v>
      </c>
      <c r="AZ335" s="18">
        <v>2019</v>
      </c>
      <c r="BA335" s="18" t="s">
        <v>483</v>
      </c>
      <c r="BB335" s="18">
        <v>1</v>
      </c>
      <c r="BC335" s="20">
        <f>-SUMIFS('TRA RESID'!$P:$P,'TRA RESID'!$I:$I,AY335,'TRA RESID'!$J:$J,AV335,'TRA RESID'!$H:$H,AW335)/SUMIFS('TRA RESID'!$P:$P,'TRA RESID'!$I:$I,AY335)*BG335</f>
        <v>0</v>
      </c>
      <c r="BD335" s="18">
        <v>0</v>
      </c>
      <c r="BE335" s="18">
        <v>5</v>
      </c>
      <c r="BG335" s="21">
        <v>0.98</v>
      </c>
    </row>
    <row r="336" spans="1:59" x14ac:dyDescent="0.25">
      <c r="C336" s="15" t="str">
        <f>IF(C335="*",C335,"")</f>
        <v>*</v>
      </c>
      <c r="D336" s="17" t="str">
        <f t="shared" ref="D336:G339" si="264">D335</f>
        <v>*ICEV*</v>
      </c>
      <c r="E336" s="17" t="str">
        <f t="shared" si="264"/>
        <v>TRARDS</v>
      </c>
      <c r="F336" s="17" t="str">
        <f t="shared" si="264"/>
        <v>TRAFRECLHDMD</v>
      </c>
      <c r="G336" s="17" t="str">
        <f t="shared" si="264"/>
        <v>TRAFRECLHDMD</v>
      </c>
      <c r="H336" s="18">
        <v>2025</v>
      </c>
      <c r="I336" s="18" t="str">
        <f>I335</f>
        <v>LO</v>
      </c>
      <c r="J336" s="18"/>
      <c r="K336" s="20">
        <f>-SUMIFS('TRA RESID'!$P:$P,'TRA RESID'!$I:$I,G336,'TRA RESID'!$J:$J,D336,'TRA RESID'!$H:$H,E336)/SUMIFS('TRA RESID'!$P:$P,'TRA RESID'!$I:$I,G336)*O336</f>
        <v>0</v>
      </c>
      <c r="L336" s="18"/>
      <c r="M336" s="18"/>
      <c r="O336" s="21">
        <v>0.8</v>
      </c>
      <c r="S336" s="15" t="str">
        <f>IF(S335="*",S335,"")</f>
        <v>*</v>
      </c>
      <c r="T336" s="17" t="str">
        <f t="shared" ref="T336:W339" si="265">T335</f>
        <v>*BEV*</v>
      </c>
      <c r="U336" s="17" t="str">
        <f t="shared" si="265"/>
        <v>TRARDS</v>
      </c>
      <c r="V336" s="17" t="str">
        <f t="shared" si="265"/>
        <v>TRAFRECLHDMD</v>
      </c>
      <c r="W336" s="17" t="str">
        <f t="shared" si="265"/>
        <v>TRAFRECLHDMD</v>
      </c>
      <c r="X336" s="18">
        <v>2025</v>
      </c>
      <c r="Y336" s="18" t="str">
        <f>Y335</f>
        <v>LO</v>
      </c>
      <c r="Z336" s="18"/>
      <c r="AA336" s="20">
        <f>-SUMIFS('TRA RESID'!$P:$P,'TRA RESID'!$I:$I,W336,'TRA RESID'!$J:$J,T336,'TRA RESID'!$H:$H,U336)/SUMIFS('TRA RESID'!$P:$P,'TRA RESID'!$I:$I,W336)*AE336</f>
        <v>0</v>
      </c>
      <c r="AB336" s="18"/>
      <c r="AC336" s="18"/>
      <c r="AE336" s="21">
        <v>1</v>
      </c>
      <c r="AG336" s="15" t="str">
        <f>IF(AG335="*",AG335,"")</f>
        <v>*</v>
      </c>
      <c r="AH336" s="17" t="str">
        <f t="shared" ref="AH336:AK339" si="266">AH335</f>
        <v>*HEV*</v>
      </c>
      <c r="AI336" s="17" t="str">
        <f t="shared" si="266"/>
        <v>TRARDS</v>
      </c>
      <c r="AJ336" s="17" t="str">
        <f t="shared" si="266"/>
        <v>TRAFRECLHDMD</v>
      </c>
      <c r="AK336" s="17" t="str">
        <f t="shared" si="266"/>
        <v>TRAFRECLHDMD</v>
      </c>
      <c r="AL336" s="18">
        <v>2025</v>
      </c>
      <c r="AM336" s="18" t="str">
        <f>AM335</f>
        <v>LO</v>
      </c>
      <c r="AN336" s="18"/>
      <c r="AO336" s="20">
        <f>-SUMIFS('TRA RESID'!$P:$P,'TRA RESID'!$I:$I,AK336,'TRA RESID'!$J:$J,AH336,'TRA RESID'!$H:$H,AI336)/SUMIFS('TRA RESID'!$P:$P,'TRA RESID'!$I:$I,AK336)*AS336</f>
        <v>0</v>
      </c>
      <c r="AP336" s="18"/>
      <c r="AQ336" s="18"/>
      <c r="AS336" s="21">
        <v>0.8</v>
      </c>
      <c r="AU336" s="15" t="str">
        <f>IF(AU335="*",AU335,"")</f>
        <v>*</v>
      </c>
      <c r="AV336" s="17" t="str">
        <f t="shared" ref="AV336:AY339" si="267">AV335</f>
        <v>*FCEV*</v>
      </c>
      <c r="AW336" s="17" t="str">
        <f t="shared" si="267"/>
        <v>TRARDS</v>
      </c>
      <c r="AX336" s="17" t="str">
        <f t="shared" si="267"/>
        <v>TRAFRECLHDMD</v>
      </c>
      <c r="AY336" s="17" t="str">
        <f t="shared" si="267"/>
        <v>TRAFRECLHDMD</v>
      </c>
      <c r="AZ336" s="18">
        <v>2025</v>
      </c>
      <c r="BA336" s="18" t="str">
        <f>BA335</f>
        <v>LO</v>
      </c>
      <c r="BB336" s="18"/>
      <c r="BC336" s="20">
        <f>-SUMIFS('TRA RESID'!$P:$P,'TRA RESID'!$I:$I,AY336,'TRA RESID'!$J:$J,AV336,'TRA RESID'!$H:$H,AW336)/SUMIFS('TRA RESID'!$P:$P,'TRA RESID'!$I:$I,AY336)*BG336</f>
        <v>0</v>
      </c>
      <c r="BD336" s="18"/>
      <c r="BE336" s="18"/>
      <c r="BG336" s="21">
        <v>0.8</v>
      </c>
    </row>
    <row r="337" spans="1:59" x14ac:dyDescent="0.25">
      <c r="C337" s="15" t="str">
        <f>IF(C336="*",C336,"")</f>
        <v>*</v>
      </c>
      <c r="D337" s="17" t="str">
        <f t="shared" si="264"/>
        <v>*ICEV*</v>
      </c>
      <c r="E337" s="17" t="str">
        <f t="shared" si="264"/>
        <v>TRARDS</v>
      </c>
      <c r="F337" s="17" t="str">
        <f t="shared" si="264"/>
        <v>TRAFRECLHDMD</v>
      </c>
      <c r="G337" s="17" t="str">
        <f t="shared" si="264"/>
        <v>TRAFRECLHDMD</v>
      </c>
      <c r="H337" s="18">
        <v>2030</v>
      </c>
      <c r="I337" s="18" t="str">
        <f>I336</f>
        <v>LO</v>
      </c>
      <c r="J337" s="18"/>
      <c r="K337" s="20">
        <f>-SUMIFS('TRA RESID'!$P:$P,'TRA RESID'!$I:$I,G337,'TRA RESID'!$J:$J,D337,'TRA RESID'!$H:$H,E337)/SUMIFS('TRA RESID'!$P:$P,'TRA RESID'!$I:$I,G337)*O337</f>
        <v>0</v>
      </c>
      <c r="L337" s="18"/>
      <c r="M337" s="18"/>
      <c r="O337" s="21">
        <v>0.5</v>
      </c>
      <c r="S337" s="15" t="str">
        <f>IF(S336="*",S336,"")</f>
        <v>*</v>
      </c>
      <c r="T337" s="17" t="str">
        <f t="shared" si="265"/>
        <v>*BEV*</v>
      </c>
      <c r="U337" s="17" t="str">
        <f t="shared" si="265"/>
        <v>TRARDS</v>
      </c>
      <c r="V337" s="17" t="str">
        <f t="shared" si="265"/>
        <v>TRAFRECLHDMD</v>
      </c>
      <c r="W337" s="17" t="str">
        <f t="shared" si="265"/>
        <v>TRAFRECLHDMD</v>
      </c>
      <c r="X337" s="18">
        <v>2030</v>
      </c>
      <c r="Y337" s="18" t="str">
        <f>Y336</f>
        <v>LO</v>
      </c>
      <c r="Z337" s="18"/>
      <c r="AA337" s="20">
        <f>-SUMIFS('TRA RESID'!$P:$P,'TRA RESID'!$I:$I,W337,'TRA RESID'!$J:$J,T337,'TRA RESID'!$H:$H,U337)/SUMIFS('TRA RESID'!$P:$P,'TRA RESID'!$I:$I,W337)*AE337</f>
        <v>0</v>
      </c>
      <c r="AB337" s="18"/>
      <c r="AC337" s="18"/>
      <c r="AE337" s="21">
        <v>1</v>
      </c>
      <c r="AG337" s="15" t="str">
        <f>IF(AG336="*",AG336,"")</f>
        <v>*</v>
      </c>
      <c r="AH337" s="17" t="str">
        <f t="shared" si="266"/>
        <v>*HEV*</v>
      </c>
      <c r="AI337" s="17" t="str">
        <f t="shared" si="266"/>
        <v>TRARDS</v>
      </c>
      <c r="AJ337" s="17" t="str">
        <f t="shared" si="266"/>
        <v>TRAFRECLHDMD</v>
      </c>
      <c r="AK337" s="17" t="str">
        <f t="shared" si="266"/>
        <v>TRAFRECLHDMD</v>
      </c>
      <c r="AL337" s="18">
        <v>2030</v>
      </c>
      <c r="AM337" s="18" t="str">
        <f>AM336</f>
        <v>LO</v>
      </c>
      <c r="AN337" s="18"/>
      <c r="AO337" s="20">
        <f>-SUMIFS('TRA RESID'!$P:$P,'TRA RESID'!$I:$I,AK337,'TRA RESID'!$J:$J,AH337,'TRA RESID'!$H:$H,AI337)/SUMIFS('TRA RESID'!$P:$P,'TRA RESID'!$I:$I,AK337)*AS337</f>
        <v>0</v>
      </c>
      <c r="AP337" s="18"/>
      <c r="AQ337" s="18"/>
      <c r="AS337" s="21">
        <v>0.5</v>
      </c>
      <c r="AU337" s="15" t="str">
        <f>IF(AU336="*",AU336,"")</f>
        <v>*</v>
      </c>
      <c r="AV337" s="17" t="str">
        <f t="shared" si="267"/>
        <v>*FCEV*</v>
      </c>
      <c r="AW337" s="17" t="str">
        <f t="shared" si="267"/>
        <v>TRARDS</v>
      </c>
      <c r="AX337" s="17" t="str">
        <f t="shared" si="267"/>
        <v>TRAFRECLHDMD</v>
      </c>
      <c r="AY337" s="17" t="str">
        <f t="shared" si="267"/>
        <v>TRAFRECLHDMD</v>
      </c>
      <c r="AZ337" s="18">
        <v>2030</v>
      </c>
      <c r="BA337" s="18" t="str">
        <f>BA336</f>
        <v>LO</v>
      </c>
      <c r="BB337" s="18"/>
      <c r="BC337" s="20">
        <f>-SUMIFS('TRA RESID'!$P:$P,'TRA RESID'!$I:$I,AY337,'TRA RESID'!$J:$J,AV337,'TRA RESID'!$H:$H,AW337)/SUMIFS('TRA RESID'!$P:$P,'TRA RESID'!$I:$I,AY337)*BG337</f>
        <v>0</v>
      </c>
      <c r="BD337" s="18"/>
      <c r="BE337" s="18"/>
      <c r="BG337" s="21">
        <v>0.5</v>
      </c>
    </row>
    <row r="338" spans="1:59" x14ac:dyDescent="0.25">
      <c r="C338" s="15" t="str">
        <f>IF(C337="*",C337,"")</f>
        <v>*</v>
      </c>
      <c r="D338" s="17" t="str">
        <f t="shared" si="264"/>
        <v>*ICEV*</v>
      </c>
      <c r="E338" s="17" t="str">
        <f t="shared" si="264"/>
        <v>TRARDS</v>
      </c>
      <c r="F338" s="17" t="str">
        <f t="shared" si="264"/>
        <v>TRAFRECLHDMD</v>
      </c>
      <c r="G338" s="17" t="str">
        <f t="shared" si="264"/>
        <v>TRAFRECLHDMD</v>
      </c>
      <c r="H338" s="18">
        <v>2040</v>
      </c>
      <c r="I338" s="18" t="str">
        <f>I337</f>
        <v>LO</v>
      </c>
      <c r="J338" s="18"/>
      <c r="K338" s="20">
        <f>-SUMIFS('TRA RESID'!$P:$P,'TRA RESID'!$I:$I,G338,'TRA RESID'!$J:$J,D338,'TRA RESID'!$H:$H,E338)/SUMIFS('TRA RESID'!$P:$P,'TRA RESID'!$I:$I,G338)*O338</f>
        <v>0</v>
      </c>
      <c r="L338" s="18"/>
      <c r="M338" s="18"/>
      <c r="O338" s="21">
        <v>0</v>
      </c>
      <c r="S338" s="15" t="str">
        <f>IF(S337="*",S337,"")</f>
        <v>*</v>
      </c>
      <c r="T338" s="17" t="str">
        <f t="shared" si="265"/>
        <v>*BEV*</v>
      </c>
      <c r="U338" s="17" t="str">
        <f t="shared" si="265"/>
        <v>TRARDS</v>
      </c>
      <c r="V338" s="17" t="str">
        <f t="shared" si="265"/>
        <v>TRAFRECLHDMD</v>
      </c>
      <c r="W338" s="17" t="str">
        <f t="shared" si="265"/>
        <v>TRAFRECLHDMD</v>
      </c>
      <c r="X338" s="18">
        <v>2040</v>
      </c>
      <c r="Y338" s="18" t="str">
        <f>Y337</f>
        <v>LO</v>
      </c>
      <c r="Z338" s="18"/>
      <c r="AA338" s="20">
        <f>-SUMIFS('TRA RESID'!$P:$P,'TRA RESID'!$I:$I,W338,'TRA RESID'!$J:$J,T338,'TRA RESID'!$H:$H,U338)/SUMIFS('TRA RESID'!$P:$P,'TRA RESID'!$I:$I,W338)*AE338</f>
        <v>0</v>
      </c>
      <c r="AB338" s="18"/>
      <c r="AC338" s="18"/>
      <c r="AE338" s="21">
        <v>1</v>
      </c>
      <c r="AG338" s="15" t="str">
        <f>IF(AG337="*",AG337,"")</f>
        <v>*</v>
      </c>
      <c r="AH338" s="17" t="str">
        <f t="shared" si="266"/>
        <v>*HEV*</v>
      </c>
      <c r="AI338" s="17" t="str">
        <f t="shared" si="266"/>
        <v>TRARDS</v>
      </c>
      <c r="AJ338" s="17" t="str">
        <f t="shared" si="266"/>
        <v>TRAFRECLHDMD</v>
      </c>
      <c r="AK338" s="17" t="str">
        <f t="shared" si="266"/>
        <v>TRAFRECLHDMD</v>
      </c>
      <c r="AL338" s="18">
        <v>2040</v>
      </c>
      <c r="AM338" s="18" t="str">
        <f>AM337</f>
        <v>LO</v>
      </c>
      <c r="AN338" s="18"/>
      <c r="AO338" s="20">
        <f>-SUMIFS('TRA RESID'!$P:$P,'TRA RESID'!$I:$I,AK338,'TRA RESID'!$J:$J,AH338,'TRA RESID'!$H:$H,AI338)/SUMIFS('TRA RESID'!$P:$P,'TRA RESID'!$I:$I,AK338)*AS338</f>
        <v>0</v>
      </c>
      <c r="AP338" s="18"/>
      <c r="AQ338" s="18"/>
      <c r="AS338" s="21">
        <v>0</v>
      </c>
      <c r="AU338" s="15" t="str">
        <f>IF(AU337="*",AU337,"")</f>
        <v>*</v>
      </c>
      <c r="AV338" s="17" t="str">
        <f t="shared" si="267"/>
        <v>*FCEV*</v>
      </c>
      <c r="AW338" s="17" t="str">
        <f t="shared" si="267"/>
        <v>TRARDS</v>
      </c>
      <c r="AX338" s="17" t="str">
        <f t="shared" si="267"/>
        <v>TRAFRECLHDMD</v>
      </c>
      <c r="AY338" s="17" t="str">
        <f t="shared" si="267"/>
        <v>TRAFRECLHDMD</v>
      </c>
      <c r="AZ338" s="18">
        <v>2040</v>
      </c>
      <c r="BA338" s="18" t="str">
        <f>BA337</f>
        <v>LO</v>
      </c>
      <c r="BB338" s="18"/>
      <c r="BC338" s="20">
        <f>-SUMIFS('TRA RESID'!$P:$P,'TRA RESID'!$I:$I,AY338,'TRA RESID'!$J:$J,AV338,'TRA RESID'!$H:$H,AW338)/SUMIFS('TRA RESID'!$P:$P,'TRA RESID'!$I:$I,AY338)*BG338</f>
        <v>0</v>
      </c>
      <c r="BD338" s="18"/>
      <c r="BE338" s="18"/>
      <c r="BG338" s="21">
        <v>0</v>
      </c>
    </row>
    <row r="339" spans="1:59" x14ac:dyDescent="0.25">
      <c r="C339" s="23" t="str">
        <f>IF(C338="*",C338,"")</f>
        <v>*</v>
      </c>
      <c r="D339" s="25" t="str">
        <f t="shared" si="264"/>
        <v>*ICEV*</v>
      </c>
      <c r="E339" s="25" t="str">
        <f t="shared" si="264"/>
        <v>TRARDS</v>
      </c>
      <c r="F339" s="25" t="str">
        <f t="shared" si="264"/>
        <v>TRAFRECLHDMD</v>
      </c>
      <c r="G339" s="25" t="str">
        <f t="shared" si="264"/>
        <v>TRAFRECLHDMD</v>
      </c>
      <c r="H339" s="26">
        <v>2050</v>
      </c>
      <c r="I339" s="26" t="str">
        <f>I337</f>
        <v>LO</v>
      </c>
      <c r="J339" s="26"/>
      <c r="K339" s="27">
        <f>-SUMIFS('TRA RESID'!$P:$P,'TRA RESID'!$I:$I,G339,'TRA RESID'!$J:$J,D339,'TRA RESID'!$H:$H,E339)/SUMIFS('TRA RESID'!$P:$P,'TRA RESID'!$I:$I,G339)*O339</f>
        <v>0</v>
      </c>
      <c r="L339" s="26"/>
      <c r="M339" s="26"/>
      <c r="O339" s="28">
        <v>0</v>
      </c>
      <c r="S339" s="23" t="str">
        <f>IF(S338="*",S338,"")</f>
        <v>*</v>
      </c>
      <c r="T339" s="25" t="str">
        <f t="shared" si="265"/>
        <v>*BEV*</v>
      </c>
      <c r="U339" s="25" t="str">
        <f t="shared" si="265"/>
        <v>TRARDS</v>
      </c>
      <c r="V339" s="25" t="str">
        <f t="shared" si="265"/>
        <v>TRAFRECLHDMD</v>
      </c>
      <c r="W339" s="25" t="str">
        <f t="shared" si="265"/>
        <v>TRAFRECLHDMD</v>
      </c>
      <c r="X339" s="26">
        <v>2050</v>
      </c>
      <c r="Y339" s="26" t="str">
        <f>Y337</f>
        <v>LO</v>
      </c>
      <c r="Z339" s="26"/>
      <c r="AA339" s="27">
        <f>-SUMIFS('TRA RESID'!$P:$P,'TRA RESID'!$I:$I,W339,'TRA RESID'!$J:$J,T339,'TRA RESID'!$H:$H,U339)/SUMIFS('TRA RESID'!$P:$P,'TRA RESID'!$I:$I,W339)*AE339</f>
        <v>0</v>
      </c>
      <c r="AB339" s="26"/>
      <c r="AC339" s="26"/>
      <c r="AE339" s="28">
        <v>1</v>
      </c>
      <c r="AG339" s="23" t="str">
        <f>IF(AG338="*",AG338,"")</f>
        <v>*</v>
      </c>
      <c r="AH339" s="25" t="str">
        <f t="shared" si="266"/>
        <v>*HEV*</v>
      </c>
      <c r="AI339" s="25" t="str">
        <f t="shared" si="266"/>
        <v>TRARDS</v>
      </c>
      <c r="AJ339" s="25" t="str">
        <f t="shared" si="266"/>
        <v>TRAFRECLHDMD</v>
      </c>
      <c r="AK339" s="25" t="str">
        <f t="shared" si="266"/>
        <v>TRAFRECLHDMD</v>
      </c>
      <c r="AL339" s="26">
        <v>2050</v>
      </c>
      <c r="AM339" s="26" t="str">
        <f>AM337</f>
        <v>LO</v>
      </c>
      <c r="AN339" s="26"/>
      <c r="AO339" s="27">
        <f>-SUMIFS('TRA RESID'!$P:$P,'TRA RESID'!$I:$I,AK339,'TRA RESID'!$J:$J,AH339,'TRA RESID'!$H:$H,AI339)/SUMIFS('TRA RESID'!$P:$P,'TRA RESID'!$I:$I,AK339)*AS339</f>
        <v>0</v>
      </c>
      <c r="AP339" s="26"/>
      <c r="AQ339" s="26"/>
      <c r="AS339" s="28">
        <v>0</v>
      </c>
      <c r="AU339" s="23" t="str">
        <f>IF(AU338="*",AU338,"")</f>
        <v>*</v>
      </c>
      <c r="AV339" s="25" t="str">
        <f t="shared" si="267"/>
        <v>*FCEV*</v>
      </c>
      <c r="AW339" s="25" t="str">
        <f t="shared" si="267"/>
        <v>TRARDS</v>
      </c>
      <c r="AX339" s="25" t="str">
        <f t="shared" si="267"/>
        <v>TRAFRECLHDMD</v>
      </c>
      <c r="AY339" s="25" t="str">
        <f t="shared" si="267"/>
        <v>TRAFRECLHDMD</v>
      </c>
      <c r="AZ339" s="26">
        <v>2050</v>
      </c>
      <c r="BA339" s="26" t="str">
        <f>BA337</f>
        <v>LO</v>
      </c>
      <c r="BB339" s="26"/>
      <c r="BC339" s="27">
        <f>-SUMIFS('TRA RESID'!$P:$P,'TRA RESID'!$I:$I,AY339,'TRA RESID'!$J:$J,AV339,'TRA RESID'!$H:$H,AW339)/SUMIFS('TRA RESID'!$P:$P,'TRA RESID'!$I:$I,AY339)*BG339</f>
        <v>0</v>
      </c>
      <c r="BD339" s="26"/>
      <c r="BE339" s="26"/>
      <c r="BG339" s="28">
        <v>0</v>
      </c>
    </row>
    <row r="340" spans="1:59" x14ac:dyDescent="0.25">
      <c r="A340">
        <f>A335+1</f>
        <v>68</v>
      </c>
      <c r="C340" s="15" t="str">
        <f>IF(E340="","",IF(_xlfn.XLOOKUP($A340,Selected_constraint!$A:$A,Selected_constraint!$D:$D)=1,"*",IF(SUMIFS('TRA TECH'!$M:$M,'TRA TECH'!$H:$H,E340,'TRA TECH'!$I:$I,F340)=0,"*",IF(SUMIFS('TRA RESID'!$P:$P,'TRA RESID'!$I:$I,G340,'TRA RESID'!$J:$J,D340,'TRA RESID'!$H:$H,E340)=0,"*","UC_"&amp;SUBSTITUTE(D340,"*","")&amp;"_"&amp;RIGHT(E340,3)&amp;"_"&amp;F340))))</f>
        <v>*</v>
      </c>
      <c r="D340" s="17" t="s">
        <v>485</v>
      </c>
      <c r="E340" s="17" t="str">
        <f>_xlfn.XLOOKUP($A340,Selected_constraint!$A:$A,Selected_constraint!$B:$B)</f>
        <v>TRABDS</v>
      </c>
      <c r="F340" s="17" t="str">
        <f>_xlfn.XLOOKUP($A340,Selected_constraint!$A:$A,Selected_constraint!$C:$C)</f>
        <v>TRAFRECLHDMD</v>
      </c>
      <c r="G340" s="17" t="str">
        <f>F340</f>
        <v>TRAFRECLHDMD</v>
      </c>
      <c r="H340" s="18">
        <v>2019</v>
      </c>
      <c r="I340" s="18" t="s">
        <v>483</v>
      </c>
      <c r="J340" s="18">
        <v>1</v>
      </c>
      <c r="K340" s="20">
        <f>-SUMIFS('TRA RESID'!$P:$P,'TRA RESID'!$I:$I,G340,'TRA RESID'!$J:$J,D340,'TRA RESID'!$H:$H,E340)/SUMIFS('TRA RESID'!$P:$P,'TRA RESID'!$I:$I,G340)*O340</f>
        <v>0</v>
      </c>
      <c r="L340" s="18">
        <v>0</v>
      </c>
      <c r="M340" s="18">
        <v>5</v>
      </c>
      <c r="O340" s="21">
        <v>0.98</v>
      </c>
      <c r="Q340">
        <f>Q335+1</f>
        <v>68</v>
      </c>
      <c r="S340" s="15" t="str">
        <f>IF(SUMIFS('TRA RESID'!$P:$P,'TRA RESID'!$I:$I,W340,'TRA RESID'!$J:$J,T340,'TRA RESID'!$H:$H,U340)=0,"*","UC_"&amp;SUBSTITUTE(T340,"*","")&amp;"_"&amp;RIGHT(U340,3)&amp;"_"&amp;V340)</f>
        <v>*</v>
      </c>
      <c r="T340" s="17" t="s">
        <v>486</v>
      </c>
      <c r="U340" s="17" t="str">
        <f>_xlfn.XLOOKUP($A340,Selected_constraint!$A:$A,Selected_constraint!$B:$B)</f>
        <v>TRABDS</v>
      </c>
      <c r="V340" s="17" t="str">
        <f>_xlfn.XLOOKUP($A340,Selected_constraint!$A:$A,Selected_constraint!$C:$C)</f>
        <v>TRAFRECLHDMD</v>
      </c>
      <c r="W340" s="17" t="str">
        <f>V340</f>
        <v>TRAFRECLHDMD</v>
      </c>
      <c r="X340" s="18">
        <v>2019</v>
      </c>
      <c r="Y340" s="18" t="s">
        <v>483</v>
      </c>
      <c r="Z340" s="18">
        <v>1</v>
      </c>
      <c r="AA340" s="20">
        <f>-SUMIFS('TRA RESID'!$P:$P,'TRA RESID'!$I:$I,W340,'TRA RESID'!$J:$J,T340,'TRA RESID'!$H:$H,U340)/SUMIFS('TRA RESID'!$P:$P,'TRA RESID'!$I:$I,W340)*AE340</f>
        <v>0</v>
      </c>
      <c r="AB340" s="18">
        <v>0</v>
      </c>
      <c r="AC340" s="18">
        <v>5</v>
      </c>
      <c r="AE340" s="21">
        <v>0.98</v>
      </c>
      <c r="AG340" s="15" t="str">
        <f>IF(SUMIFS('TRA RESID'!$P:$P,'TRA RESID'!$I:$I,AK340,'TRA RESID'!$J:$J,AH340,'TRA RESID'!$H:$H,AI340)=0,"*","UC_"&amp;SUBSTITUTE(AH340,"*","")&amp;"_"&amp;RIGHT(AI340,3)&amp;"_"&amp;AJ340)</f>
        <v>*</v>
      </c>
      <c r="AH340" s="17" t="s">
        <v>487</v>
      </c>
      <c r="AI340" s="17" t="str">
        <f>_xlfn.XLOOKUP($A340,Selected_constraint!$A:$A,Selected_constraint!$B:$B)</f>
        <v>TRABDS</v>
      </c>
      <c r="AJ340" s="17" t="str">
        <f>_xlfn.XLOOKUP($A340,Selected_constraint!$A:$A,Selected_constraint!$C:$C)</f>
        <v>TRAFRECLHDMD</v>
      </c>
      <c r="AK340" s="17" t="str">
        <f>AJ340</f>
        <v>TRAFRECLHDMD</v>
      </c>
      <c r="AL340" s="18">
        <v>2019</v>
      </c>
      <c r="AM340" s="18" t="s">
        <v>483</v>
      </c>
      <c r="AN340" s="18">
        <v>1</v>
      </c>
      <c r="AO340" s="20">
        <f>-SUMIFS('TRA RESID'!$P:$P,'TRA RESID'!$I:$I,AK340,'TRA RESID'!$J:$J,AH340,'TRA RESID'!$H:$H,AI340)/SUMIFS('TRA RESID'!$P:$P,'TRA RESID'!$I:$I,AK340)*AS340</f>
        <v>0</v>
      </c>
      <c r="AP340" s="18">
        <v>0</v>
      </c>
      <c r="AQ340" s="18">
        <v>5</v>
      </c>
      <c r="AS340" s="21">
        <v>0.98</v>
      </c>
      <c r="AU340" s="15" t="str">
        <f>IF(SUMIFS('TRA RESID'!$P:$P,'TRA RESID'!$I:$I,AY340,'TRA RESID'!$J:$J,AV340,'TRA RESID'!$H:$H,AW340)=0,"*","UC_"&amp;SUBSTITUTE(AV340,"*","")&amp;"_"&amp;RIGHT(AW340,3)&amp;"_"&amp;AX340)</f>
        <v>*</v>
      </c>
      <c r="AV340" s="17" t="s">
        <v>488</v>
      </c>
      <c r="AW340" s="17" t="str">
        <f>_xlfn.XLOOKUP($A340,Selected_constraint!$A:$A,Selected_constraint!$B:$B)</f>
        <v>TRABDS</v>
      </c>
      <c r="AX340" s="17" t="str">
        <f>_xlfn.XLOOKUP($A340,Selected_constraint!$A:$A,Selected_constraint!$C:$C)</f>
        <v>TRAFRECLHDMD</v>
      </c>
      <c r="AY340" s="17" t="str">
        <f>AX340</f>
        <v>TRAFRECLHDMD</v>
      </c>
      <c r="AZ340" s="18">
        <v>2019</v>
      </c>
      <c r="BA340" s="18" t="s">
        <v>483</v>
      </c>
      <c r="BB340" s="18">
        <v>1</v>
      </c>
      <c r="BC340" s="20">
        <f>-SUMIFS('TRA RESID'!$P:$P,'TRA RESID'!$I:$I,AY340,'TRA RESID'!$J:$J,AV340,'TRA RESID'!$H:$H,AW340)/SUMIFS('TRA RESID'!$P:$P,'TRA RESID'!$I:$I,AY340)*BG340</f>
        <v>0</v>
      </c>
      <c r="BD340" s="18">
        <v>0</v>
      </c>
      <c r="BE340" s="18">
        <v>5</v>
      </c>
      <c r="BG340" s="21">
        <v>0.98</v>
      </c>
    </row>
    <row r="341" spans="1:59" x14ac:dyDescent="0.25">
      <c r="C341" s="15" t="str">
        <f>IF(C340="*",C340,"")</f>
        <v>*</v>
      </c>
      <c r="D341" s="17" t="str">
        <f t="shared" ref="D341:G344" si="268">D340</f>
        <v>*ICEV*</v>
      </c>
      <c r="E341" s="17" t="str">
        <f t="shared" si="268"/>
        <v>TRABDS</v>
      </c>
      <c r="F341" s="17" t="str">
        <f t="shared" si="268"/>
        <v>TRAFRECLHDMD</v>
      </c>
      <c r="G341" s="17" t="str">
        <f t="shared" si="268"/>
        <v>TRAFRECLHDMD</v>
      </c>
      <c r="H341" s="18">
        <v>2025</v>
      </c>
      <c r="I341" s="18" t="str">
        <f>I340</f>
        <v>LO</v>
      </c>
      <c r="J341" s="18"/>
      <c r="K341" s="20">
        <f>-SUMIFS('TRA RESID'!$P:$P,'TRA RESID'!$I:$I,G341,'TRA RESID'!$J:$J,D341,'TRA RESID'!$H:$H,E341)/SUMIFS('TRA RESID'!$P:$P,'TRA RESID'!$I:$I,G341)*O341</f>
        <v>0</v>
      </c>
      <c r="L341" s="18"/>
      <c r="M341" s="18"/>
      <c r="O341" s="21">
        <v>0.8</v>
      </c>
      <c r="S341" s="15" t="str">
        <f>IF(S340="*",S340,"")</f>
        <v>*</v>
      </c>
      <c r="T341" s="17" t="str">
        <f t="shared" ref="T341:W344" si="269">T340</f>
        <v>*BEV*</v>
      </c>
      <c r="U341" s="17" t="str">
        <f t="shared" si="269"/>
        <v>TRABDS</v>
      </c>
      <c r="V341" s="17" t="str">
        <f t="shared" si="269"/>
        <v>TRAFRECLHDMD</v>
      </c>
      <c r="W341" s="17" t="str">
        <f t="shared" si="269"/>
        <v>TRAFRECLHDMD</v>
      </c>
      <c r="X341" s="18">
        <v>2025</v>
      </c>
      <c r="Y341" s="18" t="str">
        <f>Y340</f>
        <v>LO</v>
      </c>
      <c r="Z341" s="18"/>
      <c r="AA341" s="20">
        <f>-SUMIFS('TRA RESID'!$P:$P,'TRA RESID'!$I:$I,W341,'TRA RESID'!$J:$J,T341,'TRA RESID'!$H:$H,U341)/SUMIFS('TRA RESID'!$P:$P,'TRA RESID'!$I:$I,W341)*AE341</f>
        <v>0</v>
      </c>
      <c r="AB341" s="18"/>
      <c r="AC341" s="18"/>
      <c r="AE341" s="21">
        <v>1</v>
      </c>
      <c r="AG341" s="15" t="str">
        <f>IF(AG340="*",AG340,"")</f>
        <v>*</v>
      </c>
      <c r="AH341" s="17" t="str">
        <f t="shared" ref="AH341:AK344" si="270">AH340</f>
        <v>*HEV*</v>
      </c>
      <c r="AI341" s="17" t="str">
        <f t="shared" si="270"/>
        <v>TRABDS</v>
      </c>
      <c r="AJ341" s="17" t="str">
        <f t="shared" si="270"/>
        <v>TRAFRECLHDMD</v>
      </c>
      <c r="AK341" s="17" t="str">
        <f t="shared" si="270"/>
        <v>TRAFRECLHDMD</v>
      </c>
      <c r="AL341" s="18">
        <v>2025</v>
      </c>
      <c r="AM341" s="18" t="str">
        <f>AM340</f>
        <v>LO</v>
      </c>
      <c r="AN341" s="18"/>
      <c r="AO341" s="20">
        <f>-SUMIFS('TRA RESID'!$P:$P,'TRA RESID'!$I:$I,AK341,'TRA RESID'!$J:$J,AH341,'TRA RESID'!$H:$H,AI341)/SUMIFS('TRA RESID'!$P:$P,'TRA RESID'!$I:$I,AK341)*AS341</f>
        <v>0</v>
      </c>
      <c r="AP341" s="18"/>
      <c r="AQ341" s="18"/>
      <c r="AS341" s="21">
        <v>0.8</v>
      </c>
      <c r="AU341" s="15" t="str">
        <f>IF(AU340="*",AU340,"")</f>
        <v>*</v>
      </c>
      <c r="AV341" s="17" t="str">
        <f t="shared" ref="AV341:AY344" si="271">AV340</f>
        <v>*FCEV*</v>
      </c>
      <c r="AW341" s="17" t="str">
        <f t="shared" si="271"/>
        <v>TRABDS</v>
      </c>
      <c r="AX341" s="17" t="str">
        <f t="shared" si="271"/>
        <v>TRAFRECLHDMD</v>
      </c>
      <c r="AY341" s="17" t="str">
        <f t="shared" si="271"/>
        <v>TRAFRECLHDMD</v>
      </c>
      <c r="AZ341" s="18">
        <v>2025</v>
      </c>
      <c r="BA341" s="18" t="str">
        <f>BA340</f>
        <v>LO</v>
      </c>
      <c r="BB341" s="18"/>
      <c r="BC341" s="20">
        <f>-SUMIFS('TRA RESID'!$P:$P,'TRA RESID'!$I:$I,AY341,'TRA RESID'!$J:$J,AV341,'TRA RESID'!$H:$H,AW341)/SUMIFS('TRA RESID'!$P:$P,'TRA RESID'!$I:$I,AY341)*BG341</f>
        <v>0</v>
      </c>
      <c r="BD341" s="18"/>
      <c r="BE341" s="18"/>
      <c r="BG341" s="21">
        <v>0.8</v>
      </c>
    </row>
    <row r="342" spans="1:59" x14ac:dyDescent="0.25">
      <c r="C342" s="15" t="str">
        <f>IF(C341="*",C341,"")</f>
        <v>*</v>
      </c>
      <c r="D342" s="17" t="str">
        <f t="shared" si="268"/>
        <v>*ICEV*</v>
      </c>
      <c r="E342" s="17" t="str">
        <f t="shared" si="268"/>
        <v>TRABDS</v>
      </c>
      <c r="F342" s="17" t="str">
        <f t="shared" si="268"/>
        <v>TRAFRECLHDMD</v>
      </c>
      <c r="G342" s="17" t="str">
        <f t="shared" si="268"/>
        <v>TRAFRECLHDMD</v>
      </c>
      <c r="H342" s="18">
        <v>2030</v>
      </c>
      <c r="I342" s="18" t="str">
        <f>I341</f>
        <v>LO</v>
      </c>
      <c r="J342" s="18"/>
      <c r="K342" s="20">
        <f>-SUMIFS('TRA RESID'!$P:$P,'TRA RESID'!$I:$I,G342,'TRA RESID'!$J:$J,D342,'TRA RESID'!$H:$H,E342)/SUMIFS('TRA RESID'!$P:$P,'TRA RESID'!$I:$I,G342)*O342</f>
        <v>0</v>
      </c>
      <c r="L342" s="18"/>
      <c r="M342" s="18"/>
      <c r="O342" s="21">
        <v>0.5</v>
      </c>
      <c r="S342" s="15" t="str">
        <f>IF(S341="*",S341,"")</f>
        <v>*</v>
      </c>
      <c r="T342" s="17" t="str">
        <f t="shared" si="269"/>
        <v>*BEV*</v>
      </c>
      <c r="U342" s="17" t="str">
        <f t="shared" si="269"/>
        <v>TRABDS</v>
      </c>
      <c r="V342" s="17" t="str">
        <f t="shared" si="269"/>
        <v>TRAFRECLHDMD</v>
      </c>
      <c r="W342" s="17" t="str">
        <f t="shared" si="269"/>
        <v>TRAFRECLHDMD</v>
      </c>
      <c r="X342" s="18">
        <v>2030</v>
      </c>
      <c r="Y342" s="18" t="str">
        <f>Y341</f>
        <v>LO</v>
      </c>
      <c r="Z342" s="18"/>
      <c r="AA342" s="20">
        <f>-SUMIFS('TRA RESID'!$P:$P,'TRA RESID'!$I:$I,W342,'TRA RESID'!$J:$J,T342,'TRA RESID'!$H:$H,U342)/SUMIFS('TRA RESID'!$P:$P,'TRA RESID'!$I:$I,W342)*AE342</f>
        <v>0</v>
      </c>
      <c r="AB342" s="18"/>
      <c r="AC342" s="18"/>
      <c r="AE342" s="21">
        <v>1</v>
      </c>
      <c r="AG342" s="15" t="str">
        <f>IF(AG341="*",AG341,"")</f>
        <v>*</v>
      </c>
      <c r="AH342" s="17" t="str">
        <f t="shared" si="270"/>
        <v>*HEV*</v>
      </c>
      <c r="AI342" s="17" t="str">
        <f t="shared" si="270"/>
        <v>TRABDS</v>
      </c>
      <c r="AJ342" s="17" t="str">
        <f t="shared" si="270"/>
        <v>TRAFRECLHDMD</v>
      </c>
      <c r="AK342" s="17" t="str">
        <f t="shared" si="270"/>
        <v>TRAFRECLHDMD</v>
      </c>
      <c r="AL342" s="18">
        <v>2030</v>
      </c>
      <c r="AM342" s="18" t="str">
        <f>AM341</f>
        <v>LO</v>
      </c>
      <c r="AN342" s="18"/>
      <c r="AO342" s="20">
        <f>-SUMIFS('TRA RESID'!$P:$P,'TRA RESID'!$I:$I,AK342,'TRA RESID'!$J:$J,AH342,'TRA RESID'!$H:$H,AI342)/SUMIFS('TRA RESID'!$P:$P,'TRA RESID'!$I:$I,AK342)*AS342</f>
        <v>0</v>
      </c>
      <c r="AP342" s="18"/>
      <c r="AQ342" s="18"/>
      <c r="AS342" s="21">
        <v>0.5</v>
      </c>
      <c r="AU342" s="15" t="str">
        <f>IF(AU341="*",AU341,"")</f>
        <v>*</v>
      </c>
      <c r="AV342" s="17" t="str">
        <f t="shared" si="271"/>
        <v>*FCEV*</v>
      </c>
      <c r="AW342" s="17" t="str">
        <f t="shared" si="271"/>
        <v>TRABDS</v>
      </c>
      <c r="AX342" s="17" t="str">
        <f t="shared" si="271"/>
        <v>TRAFRECLHDMD</v>
      </c>
      <c r="AY342" s="17" t="str">
        <f t="shared" si="271"/>
        <v>TRAFRECLHDMD</v>
      </c>
      <c r="AZ342" s="18">
        <v>2030</v>
      </c>
      <c r="BA342" s="18" t="str">
        <f>BA341</f>
        <v>LO</v>
      </c>
      <c r="BB342" s="18"/>
      <c r="BC342" s="20">
        <f>-SUMIFS('TRA RESID'!$P:$P,'TRA RESID'!$I:$I,AY342,'TRA RESID'!$J:$J,AV342,'TRA RESID'!$H:$H,AW342)/SUMIFS('TRA RESID'!$P:$P,'TRA RESID'!$I:$I,AY342)*BG342</f>
        <v>0</v>
      </c>
      <c r="BD342" s="18"/>
      <c r="BE342" s="18"/>
      <c r="BG342" s="21">
        <v>0.5</v>
      </c>
    </row>
    <row r="343" spans="1:59" x14ac:dyDescent="0.25">
      <c r="C343" s="15" t="str">
        <f>IF(C342="*",C342,"")</f>
        <v>*</v>
      </c>
      <c r="D343" s="17" t="str">
        <f t="shared" si="268"/>
        <v>*ICEV*</v>
      </c>
      <c r="E343" s="17" t="str">
        <f t="shared" si="268"/>
        <v>TRABDS</v>
      </c>
      <c r="F343" s="17" t="str">
        <f t="shared" si="268"/>
        <v>TRAFRECLHDMD</v>
      </c>
      <c r="G343" s="17" t="str">
        <f t="shared" si="268"/>
        <v>TRAFRECLHDMD</v>
      </c>
      <c r="H343" s="18">
        <v>2040</v>
      </c>
      <c r="I343" s="18" t="str">
        <f>I342</f>
        <v>LO</v>
      </c>
      <c r="J343" s="18"/>
      <c r="K343" s="20">
        <f>-SUMIFS('TRA RESID'!$P:$P,'TRA RESID'!$I:$I,G343,'TRA RESID'!$J:$J,D343,'TRA RESID'!$H:$H,E343)/SUMIFS('TRA RESID'!$P:$P,'TRA RESID'!$I:$I,G343)*O343</f>
        <v>0</v>
      </c>
      <c r="L343" s="18"/>
      <c r="M343" s="18"/>
      <c r="O343" s="21">
        <v>0</v>
      </c>
      <c r="S343" s="15" t="str">
        <f>IF(S342="*",S342,"")</f>
        <v>*</v>
      </c>
      <c r="T343" s="17" t="str">
        <f t="shared" si="269"/>
        <v>*BEV*</v>
      </c>
      <c r="U343" s="17" t="str">
        <f t="shared" si="269"/>
        <v>TRABDS</v>
      </c>
      <c r="V343" s="17" t="str">
        <f t="shared" si="269"/>
        <v>TRAFRECLHDMD</v>
      </c>
      <c r="W343" s="17" t="str">
        <f t="shared" si="269"/>
        <v>TRAFRECLHDMD</v>
      </c>
      <c r="X343" s="18">
        <v>2040</v>
      </c>
      <c r="Y343" s="18" t="str">
        <f>Y342</f>
        <v>LO</v>
      </c>
      <c r="Z343" s="18"/>
      <c r="AA343" s="20">
        <f>-SUMIFS('TRA RESID'!$P:$P,'TRA RESID'!$I:$I,W343,'TRA RESID'!$J:$J,T343,'TRA RESID'!$H:$H,U343)/SUMIFS('TRA RESID'!$P:$P,'TRA RESID'!$I:$I,W343)*AE343</f>
        <v>0</v>
      </c>
      <c r="AB343" s="18"/>
      <c r="AC343" s="18"/>
      <c r="AE343" s="21">
        <v>1</v>
      </c>
      <c r="AG343" s="15" t="str">
        <f>IF(AG342="*",AG342,"")</f>
        <v>*</v>
      </c>
      <c r="AH343" s="17" t="str">
        <f t="shared" si="270"/>
        <v>*HEV*</v>
      </c>
      <c r="AI343" s="17" t="str">
        <f t="shared" si="270"/>
        <v>TRABDS</v>
      </c>
      <c r="AJ343" s="17" t="str">
        <f t="shared" si="270"/>
        <v>TRAFRECLHDMD</v>
      </c>
      <c r="AK343" s="17" t="str">
        <f t="shared" si="270"/>
        <v>TRAFRECLHDMD</v>
      </c>
      <c r="AL343" s="18">
        <v>2040</v>
      </c>
      <c r="AM343" s="18" t="str">
        <f>AM342</f>
        <v>LO</v>
      </c>
      <c r="AN343" s="18"/>
      <c r="AO343" s="20">
        <f>-SUMIFS('TRA RESID'!$P:$P,'TRA RESID'!$I:$I,AK343,'TRA RESID'!$J:$J,AH343,'TRA RESID'!$H:$H,AI343)/SUMIFS('TRA RESID'!$P:$P,'TRA RESID'!$I:$I,AK343)*AS343</f>
        <v>0</v>
      </c>
      <c r="AP343" s="18"/>
      <c r="AQ343" s="18"/>
      <c r="AS343" s="21">
        <v>0</v>
      </c>
      <c r="AU343" s="15" t="str">
        <f>IF(AU342="*",AU342,"")</f>
        <v>*</v>
      </c>
      <c r="AV343" s="17" t="str">
        <f t="shared" si="271"/>
        <v>*FCEV*</v>
      </c>
      <c r="AW343" s="17" t="str">
        <f t="shared" si="271"/>
        <v>TRABDS</v>
      </c>
      <c r="AX343" s="17" t="str">
        <f t="shared" si="271"/>
        <v>TRAFRECLHDMD</v>
      </c>
      <c r="AY343" s="17" t="str">
        <f t="shared" si="271"/>
        <v>TRAFRECLHDMD</v>
      </c>
      <c r="AZ343" s="18">
        <v>2040</v>
      </c>
      <c r="BA343" s="18" t="str">
        <f>BA342</f>
        <v>LO</v>
      </c>
      <c r="BB343" s="18"/>
      <c r="BC343" s="20">
        <f>-SUMIFS('TRA RESID'!$P:$P,'TRA RESID'!$I:$I,AY343,'TRA RESID'!$J:$J,AV343,'TRA RESID'!$H:$H,AW343)/SUMIFS('TRA RESID'!$P:$P,'TRA RESID'!$I:$I,AY343)*BG343</f>
        <v>0</v>
      </c>
      <c r="BD343" s="18"/>
      <c r="BE343" s="18"/>
      <c r="BG343" s="21">
        <v>0</v>
      </c>
    </row>
    <row r="344" spans="1:59" x14ac:dyDescent="0.25">
      <c r="C344" s="23" t="str">
        <f>IF(C343="*",C343,"")</f>
        <v>*</v>
      </c>
      <c r="D344" s="25" t="str">
        <f t="shared" si="268"/>
        <v>*ICEV*</v>
      </c>
      <c r="E344" s="25" t="str">
        <f t="shared" si="268"/>
        <v>TRABDS</v>
      </c>
      <c r="F344" s="25" t="str">
        <f t="shared" si="268"/>
        <v>TRAFRECLHDMD</v>
      </c>
      <c r="G344" s="25" t="str">
        <f t="shared" si="268"/>
        <v>TRAFRECLHDMD</v>
      </c>
      <c r="H344" s="26">
        <v>2050</v>
      </c>
      <c r="I344" s="26" t="str">
        <f>I342</f>
        <v>LO</v>
      </c>
      <c r="J344" s="26"/>
      <c r="K344" s="27">
        <f>-SUMIFS('TRA RESID'!$P:$P,'TRA RESID'!$I:$I,G344,'TRA RESID'!$J:$J,D344,'TRA RESID'!$H:$H,E344)/SUMIFS('TRA RESID'!$P:$P,'TRA RESID'!$I:$I,G344)*O344</f>
        <v>0</v>
      </c>
      <c r="L344" s="26"/>
      <c r="M344" s="26"/>
      <c r="O344" s="28">
        <v>0</v>
      </c>
      <c r="S344" s="23" t="str">
        <f>IF(S343="*",S343,"")</f>
        <v>*</v>
      </c>
      <c r="T344" s="25" t="str">
        <f t="shared" si="269"/>
        <v>*BEV*</v>
      </c>
      <c r="U344" s="25" t="str">
        <f t="shared" si="269"/>
        <v>TRABDS</v>
      </c>
      <c r="V344" s="25" t="str">
        <f t="shared" si="269"/>
        <v>TRAFRECLHDMD</v>
      </c>
      <c r="W344" s="25" t="str">
        <f t="shared" si="269"/>
        <v>TRAFRECLHDMD</v>
      </c>
      <c r="X344" s="26">
        <v>2050</v>
      </c>
      <c r="Y344" s="26" t="str">
        <f>Y342</f>
        <v>LO</v>
      </c>
      <c r="Z344" s="26"/>
      <c r="AA344" s="27">
        <f>-SUMIFS('TRA RESID'!$P:$P,'TRA RESID'!$I:$I,W344,'TRA RESID'!$J:$J,T344,'TRA RESID'!$H:$H,U344)/SUMIFS('TRA RESID'!$P:$P,'TRA RESID'!$I:$I,W344)*AE344</f>
        <v>0</v>
      </c>
      <c r="AB344" s="26"/>
      <c r="AC344" s="26"/>
      <c r="AE344" s="28">
        <v>1</v>
      </c>
      <c r="AG344" s="23" t="str">
        <f>IF(AG343="*",AG343,"")</f>
        <v>*</v>
      </c>
      <c r="AH344" s="25" t="str">
        <f t="shared" si="270"/>
        <v>*HEV*</v>
      </c>
      <c r="AI344" s="25" t="str">
        <f t="shared" si="270"/>
        <v>TRABDS</v>
      </c>
      <c r="AJ344" s="25" t="str">
        <f t="shared" si="270"/>
        <v>TRAFRECLHDMD</v>
      </c>
      <c r="AK344" s="25" t="str">
        <f t="shared" si="270"/>
        <v>TRAFRECLHDMD</v>
      </c>
      <c r="AL344" s="26">
        <v>2050</v>
      </c>
      <c r="AM344" s="26" t="str">
        <f>AM342</f>
        <v>LO</v>
      </c>
      <c r="AN344" s="26"/>
      <c r="AO344" s="27">
        <f>-SUMIFS('TRA RESID'!$P:$P,'TRA RESID'!$I:$I,AK344,'TRA RESID'!$J:$J,AH344,'TRA RESID'!$H:$H,AI344)/SUMIFS('TRA RESID'!$P:$P,'TRA RESID'!$I:$I,AK344)*AS344</f>
        <v>0</v>
      </c>
      <c r="AP344" s="26"/>
      <c r="AQ344" s="26"/>
      <c r="AS344" s="28">
        <v>0</v>
      </c>
      <c r="AU344" s="23" t="str">
        <f>IF(AU343="*",AU343,"")</f>
        <v>*</v>
      </c>
      <c r="AV344" s="25" t="str">
        <f t="shared" si="271"/>
        <v>*FCEV*</v>
      </c>
      <c r="AW344" s="25" t="str">
        <f t="shared" si="271"/>
        <v>TRABDS</v>
      </c>
      <c r="AX344" s="25" t="str">
        <f t="shared" si="271"/>
        <v>TRAFRECLHDMD</v>
      </c>
      <c r="AY344" s="25" t="str">
        <f t="shared" si="271"/>
        <v>TRAFRECLHDMD</v>
      </c>
      <c r="AZ344" s="26">
        <v>2050</v>
      </c>
      <c r="BA344" s="26" t="str">
        <f>BA342</f>
        <v>LO</v>
      </c>
      <c r="BB344" s="26"/>
      <c r="BC344" s="27">
        <f>-SUMIFS('TRA RESID'!$P:$P,'TRA RESID'!$I:$I,AY344,'TRA RESID'!$J:$J,AV344,'TRA RESID'!$H:$H,AW344)/SUMIFS('TRA RESID'!$P:$P,'TRA RESID'!$I:$I,AY344)*BG344</f>
        <v>0</v>
      </c>
      <c r="BD344" s="26"/>
      <c r="BE344" s="26"/>
      <c r="BG344" s="28">
        <v>0</v>
      </c>
    </row>
    <row r="345" spans="1:59" x14ac:dyDescent="0.25">
      <c r="A345">
        <f>A340+1</f>
        <v>69</v>
      </c>
      <c r="C345" s="15" t="str">
        <f>IF(E345="","",IF(_xlfn.XLOOKUP($A345,Selected_constraint!$A:$A,Selected_constraint!$D:$D)=1,"*",IF(SUMIFS('TRA TECH'!$M:$M,'TRA TECH'!$H:$H,E345,'TRA TECH'!$I:$I,F345)=0,"*",IF(SUMIFS('TRA RESID'!$P:$P,'TRA RESID'!$I:$I,G345,'TRA RESID'!$J:$J,D345,'TRA RESID'!$H:$H,E345)=0,"*","UC_"&amp;SUBSTITUTE(D345,"*","")&amp;"_"&amp;RIGHT(E345,3)&amp;"_"&amp;F345))))</f>
        <v>*</v>
      </c>
      <c r="D345" s="17" t="s">
        <v>485</v>
      </c>
      <c r="E345" s="17" t="str">
        <f>_xlfn.XLOOKUP($A345,Selected_constraint!$A:$A,Selected_constraint!$B:$B)</f>
        <v>TRACNG</v>
      </c>
      <c r="F345" s="17" t="str">
        <f>_xlfn.XLOOKUP($A345,Selected_constraint!$A:$A,Selected_constraint!$C:$C)</f>
        <v>TRAFRECLHDMD</v>
      </c>
      <c r="G345" s="17" t="str">
        <f>F345</f>
        <v>TRAFRECLHDMD</v>
      </c>
      <c r="H345" s="18">
        <v>2019</v>
      </c>
      <c r="I345" s="18" t="s">
        <v>483</v>
      </c>
      <c r="J345" s="18">
        <v>1</v>
      </c>
      <c r="K345" s="20">
        <f>-SUMIFS('TRA RESID'!$P:$P,'TRA RESID'!$I:$I,G345,'TRA RESID'!$J:$J,D345,'TRA RESID'!$H:$H,E345)/SUMIFS('TRA RESID'!$P:$P,'TRA RESID'!$I:$I,G345)*O345</f>
        <v>-5.2270048571195554E-3</v>
      </c>
      <c r="L345" s="18">
        <v>0</v>
      </c>
      <c r="M345" s="18">
        <v>5</v>
      </c>
      <c r="O345" s="21">
        <v>0.98</v>
      </c>
      <c r="Q345">
        <f>Q340+1</f>
        <v>69</v>
      </c>
      <c r="S345" s="15" t="str">
        <f>IF(SUMIFS('TRA RESID'!$P:$P,'TRA RESID'!$I:$I,W345,'TRA RESID'!$J:$J,T345,'TRA RESID'!$H:$H,U345)=0,"*","UC_"&amp;SUBSTITUTE(T345,"*","")&amp;"_"&amp;RIGHT(U345,3)&amp;"_"&amp;V345)</f>
        <v>*</v>
      </c>
      <c r="T345" s="17" t="s">
        <v>486</v>
      </c>
      <c r="U345" s="17" t="str">
        <f>_xlfn.XLOOKUP($A345,Selected_constraint!$A:$A,Selected_constraint!$B:$B)</f>
        <v>TRACNG</v>
      </c>
      <c r="V345" s="17" t="str">
        <f>_xlfn.XLOOKUP($A345,Selected_constraint!$A:$A,Selected_constraint!$C:$C)</f>
        <v>TRAFRECLHDMD</v>
      </c>
      <c r="W345" s="17" t="str">
        <f>V345</f>
        <v>TRAFRECLHDMD</v>
      </c>
      <c r="X345" s="18">
        <v>2019</v>
      </c>
      <c r="Y345" s="18" t="s">
        <v>483</v>
      </c>
      <c r="Z345" s="18">
        <v>1</v>
      </c>
      <c r="AA345" s="20">
        <f>-SUMIFS('TRA RESID'!$P:$P,'TRA RESID'!$I:$I,W345,'TRA RESID'!$J:$J,T345,'TRA RESID'!$H:$H,U345)/SUMIFS('TRA RESID'!$P:$P,'TRA RESID'!$I:$I,W345)*AE345</f>
        <v>0</v>
      </c>
      <c r="AB345" s="18">
        <v>0</v>
      </c>
      <c r="AC345" s="18">
        <v>5</v>
      </c>
      <c r="AE345" s="21">
        <v>0.98</v>
      </c>
      <c r="AG345" s="15" t="str">
        <f>IF(SUMIFS('TRA RESID'!$P:$P,'TRA RESID'!$I:$I,AK345,'TRA RESID'!$J:$J,AH345,'TRA RESID'!$H:$H,AI345)=0,"*","UC_"&amp;SUBSTITUTE(AH345,"*","")&amp;"_"&amp;RIGHT(AI345,3)&amp;"_"&amp;AJ345)</f>
        <v>*</v>
      </c>
      <c r="AH345" s="17" t="s">
        <v>487</v>
      </c>
      <c r="AI345" s="17" t="str">
        <f>_xlfn.XLOOKUP($A345,Selected_constraint!$A:$A,Selected_constraint!$B:$B)</f>
        <v>TRACNG</v>
      </c>
      <c r="AJ345" s="17" t="str">
        <f>_xlfn.XLOOKUP($A345,Selected_constraint!$A:$A,Selected_constraint!$C:$C)</f>
        <v>TRAFRECLHDMD</v>
      </c>
      <c r="AK345" s="17" t="str">
        <f>AJ345</f>
        <v>TRAFRECLHDMD</v>
      </c>
      <c r="AL345" s="18">
        <v>2019</v>
      </c>
      <c r="AM345" s="18" t="s">
        <v>483</v>
      </c>
      <c r="AN345" s="18">
        <v>1</v>
      </c>
      <c r="AO345" s="20">
        <f>-SUMIFS('TRA RESID'!$P:$P,'TRA RESID'!$I:$I,AK345,'TRA RESID'!$J:$J,AH345,'TRA RESID'!$H:$H,AI345)/SUMIFS('TRA RESID'!$P:$P,'TRA RESID'!$I:$I,AK345)*AS345</f>
        <v>0</v>
      </c>
      <c r="AP345" s="18">
        <v>0</v>
      </c>
      <c r="AQ345" s="18">
        <v>5</v>
      </c>
      <c r="AS345" s="21">
        <v>0.98</v>
      </c>
      <c r="AU345" s="15" t="str">
        <f>IF(SUMIFS('TRA RESID'!$P:$P,'TRA RESID'!$I:$I,AY345,'TRA RESID'!$J:$J,AV345,'TRA RESID'!$H:$H,AW345)=0,"*","UC_"&amp;SUBSTITUTE(AV345,"*","")&amp;"_"&amp;RIGHT(AW345,3)&amp;"_"&amp;AX345)</f>
        <v>*</v>
      </c>
      <c r="AV345" s="17" t="s">
        <v>488</v>
      </c>
      <c r="AW345" s="17" t="str">
        <f>_xlfn.XLOOKUP($A345,Selected_constraint!$A:$A,Selected_constraint!$B:$B)</f>
        <v>TRACNG</v>
      </c>
      <c r="AX345" s="17" t="str">
        <f>_xlfn.XLOOKUP($A345,Selected_constraint!$A:$A,Selected_constraint!$C:$C)</f>
        <v>TRAFRECLHDMD</v>
      </c>
      <c r="AY345" s="17" t="str">
        <f>AX345</f>
        <v>TRAFRECLHDMD</v>
      </c>
      <c r="AZ345" s="18">
        <v>2019</v>
      </c>
      <c r="BA345" s="18" t="s">
        <v>483</v>
      </c>
      <c r="BB345" s="18">
        <v>1</v>
      </c>
      <c r="BC345" s="20">
        <f>-SUMIFS('TRA RESID'!$P:$P,'TRA RESID'!$I:$I,AY345,'TRA RESID'!$J:$J,AV345,'TRA RESID'!$H:$H,AW345)/SUMIFS('TRA RESID'!$P:$P,'TRA RESID'!$I:$I,AY345)*BG345</f>
        <v>0</v>
      </c>
      <c r="BD345" s="18">
        <v>0</v>
      </c>
      <c r="BE345" s="18">
        <v>5</v>
      </c>
      <c r="BG345" s="21">
        <v>0.98</v>
      </c>
    </row>
    <row r="346" spans="1:59" x14ac:dyDescent="0.25">
      <c r="C346" s="15" t="str">
        <f>IF(C345="*",C345,"")</f>
        <v>*</v>
      </c>
      <c r="D346" s="17" t="str">
        <f t="shared" ref="D346:G349" si="272">D345</f>
        <v>*ICEV*</v>
      </c>
      <c r="E346" s="17" t="str">
        <f t="shared" si="272"/>
        <v>TRACNG</v>
      </c>
      <c r="F346" s="17" t="str">
        <f t="shared" si="272"/>
        <v>TRAFRECLHDMD</v>
      </c>
      <c r="G346" s="17" t="str">
        <f t="shared" si="272"/>
        <v>TRAFRECLHDMD</v>
      </c>
      <c r="H346" s="18">
        <v>2025</v>
      </c>
      <c r="I346" s="18" t="str">
        <f>I345</f>
        <v>LO</v>
      </c>
      <c r="J346" s="18"/>
      <c r="K346" s="20">
        <f>-SUMIFS('TRA RESID'!$P:$P,'TRA RESID'!$I:$I,G346,'TRA RESID'!$J:$J,D346,'TRA RESID'!$H:$H,E346)/SUMIFS('TRA RESID'!$P:$P,'TRA RESID'!$I:$I,G346)*O346</f>
        <v>-4.2669427405057593E-3</v>
      </c>
      <c r="L346" s="18"/>
      <c r="M346" s="18"/>
      <c r="O346" s="21">
        <v>0.8</v>
      </c>
      <c r="S346" s="15" t="str">
        <f>IF(S345="*",S345,"")</f>
        <v>*</v>
      </c>
      <c r="T346" s="17" t="str">
        <f t="shared" ref="T346:W349" si="273">T345</f>
        <v>*BEV*</v>
      </c>
      <c r="U346" s="17" t="str">
        <f t="shared" si="273"/>
        <v>TRACNG</v>
      </c>
      <c r="V346" s="17" t="str">
        <f t="shared" si="273"/>
        <v>TRAFRECLHDMD</v>
      </c>
      <c r="W346" s="17" t="str">
        <f t="shared" si="273"/>
        <v>TRAFRECLHDMD</v>
      </c>
      <c r="X346" s="18">
        <v>2025</v>
      </c>
      <c r="Y346" s="18" t="str">
        <f>Y345</f>
        <v>LO</v>
      </c>
      <c r="Z346" s="18"/>
      <c r="AA346" s="20">
        <f>-SUMIFS('TRA RESID'!$P:$P,'TRA RESID'!$I:$I,W346,'TRA RESID'!$J:$J,T346,'TRA RESID'!$H:$H,U346)/SUMIFS('TRA RESID'!$P:$P,'TRA RESID'!$I:$I,W346)*AE346</f>
        <v>0</v>
      </c>
      <c r="AB346" s="18"/>
      <c r="AC346" s="18"/>
      <c r="AE346" s="21">
        <v>1</v>
      </c>
      <c r="AG346" s="15" t="str">
        <f>IF(AG345="*",AG345,"")</f>
        <v>*</v>
      </c>
      <c r="AH346" s="17" t="str">
        <f t="shared" ref="AH346:AK349" si="274">AH345</f>
        <v>*HEV*</v>
      </c>
      <c r="AI346" s="17" t="str">
        <f t="shared" si="274"/>
        <v>TRACNG</v>
      </c>
      <c r="AJ346" s="17" t="str">
        <f t="shared" si="274"/>
        <v>TRAFRECLHDMD</v>
      </c>
      <c r="AK346" s="17" t="str">
        <f t="shared" si="274"/>
        <v>TRAFRECLHDMD</v>
      </c>
      <c r="AL346" s="18">
        <v>2025</v>
      </c>
      <c r="AM346" s="18" t="str">
        <f>AM345</f>
        <v>LO</v>
      </c>
      <c r="AN346" s="18"/>
      <c r="AO346" s="20">
        <f>-SUMIFS('TRA RESID'!$P:$P,'TRA RESID'!$I:$I,AK346,'TRA RESID'!$J:$J,AH346,'TRA RESID'!$H:$H,AI346)/SUMIFS('TRA RESID'!$P:$P,'TRA RESID'!$I:$I,AK346)*AS346</f>
        <v>0</v>
      </c>
      <c r="AP346" s="18"/>
      <c r="AQ346" s="18"/>
      <c r="AS346" s="21">
        <v>0.8</v>
      </c>
      <c r="AU346" s="15" t="str">
        <f>IF(AU345="*",AU345,"")</f>
        <v>*</v>
      </c>
      <c r="AV346" s="17" t="str">
        <f t="shared" ref="AV346:AY349" si="275">AV345</f>
        <v>*FCEV*</v>
      </c>
      <c r="AW346" s="17" t="str">
        <f t="shared" si="275"/>
        <v>TRACNG</v>
      </c>
      <c r="AX346" s="17" t="str">
        <f t="shared" si="275"/>
        <v>TRAFRECLHDMD</v>
      </c>
      <c r="AY346" s="17" t="str">
        <f t="shared" si="275"/>
        <v>TRAFRECLHDMD</v>
      </c>
      <c r="AZ346" s="18">
        <v>2025</v>
      </c>
      <c r="BA346" s="18" t="str">
        <f>BA345</f>
        <v>LO</v>
      </c>
      <c r="BB346" s="18"/>
      <c r="BC346" s="20">
        <f>-SUMIFS('TRA RESID'!$P:$P,'TRA RESID'!$I:$I,AY346,'TRA RESID'!$J:$J,AV346,'TRA RESID'!$H:$H,AW346)/SUMIFS('TRA RESID'!$P:$P,'TRA RESID'!$I:$I,AY346)*BG346</f>
        <v>0</v>
      </c>
      <c r="BD346" s="18"/>
      <c r="BE346" s="18"/>
      <c r="BG346" s="21">
        <v>0.8</v>
      </c>
    </row>
    <row r="347" spans="1:59" x14ac:dyDescent="0.25">
      <c r="C347" s="15" t="str">
        <f>IF(C346="*",C346,"")</f>
        <v>*</v>
      </c>
      <c r="D347" s="17" t="str">
        <f t="shared" si="272"/>
        <v>*ICEV*</v>
      </c>
      <c r="E347" s="17" t="str">
        <f t="shared" si="272"/>
        <v>TRACNG</v>
      </c>
      <c r="F347" s="17" t="str">
        <f t="shared" si="272"/>
        <v>TRAFRECLHDMD</v>
      </c>
      <c r="G347" s="17" t="str">
        <f t="shared" si="272"/>
        <v>TRAFRECLHDMD</v>
      </c>
      <c r="H347" s="18">
        <v>2030</v>
      </c>
      <c r="I347" s="18" t="str">
        <f>I346</f>
        <v>LO</v>
      </c>
      <c r="J347" s="18"/>
      <c r="K347" s="20">
        <f>-SUMIFS('TRA RESID'!$P:$P,'TRA RESID'!$I:$I,G347,'TRA RESID'!$J:$J,D347,'TRA RESID'!$H:$H,E347)/SUMIFS('TRA RESID'!$P:$P,'TRA RESID'!$I:$I,G347)*O347</f>
        <v>-2.6668392128160997E-3</v>
      </c>
      <c r="L347" s="18"/>
      <c r="M347" s="18"/>
      <c r="O347" s="21">
        <v>0.5</v>
      </c>
      <c r="S347" s="15" t="str">
        <f>IF(S346="*",S346,"")</f>
        <v>*</v>
      </c>
      <c r="T347" s="17" t="str">
        <f t="shared" si="273"/>
        <v>*BEV*</v>
      </c>
      <c r="U347" s="17" t="str">
        <f t="shared" si="273"/>
        <v>TRACNG</v>
      </c>
      <c r="V347" s="17" t="str">
        <f t="shared" si="273"/>
        <v>TRAFRECLHDMD</v>
      </c>
      <c r="W347" s="17" t="str">
        <f t="shared" si="273"/>
        <v>TRAFRECLHDMD</v>
      </c>
      <c r="X347" s="18">
        <v>2030</v>
      </c>
      <c r="Y347" s="18" t="str">
        <f>Y346</f>
        <v>LO</v>
      </c>
      <c r="Z347" s="18"/>
      <c r="AA347" s="20">
        <f>-SUMIFS('TRA RESID'!$P:$P,'TRA RESID'!$I:$I,W347,'TRA RESID'!$J:$J,T347,'TRA RESID'!$H:$H,U347)/SUMIFS('TRA RESID'!$P:$P,'TRA RESID'!$I:$I,W347)*AE347</f>
        <v>0</v>
      </c>
      <c r="AB347" s="18"/>
      <c r="AC347" s="18"/>
      <c r="AE347" s="21">
        <v>1</v>
      </c>
      <c r="AG347" s="15" t="str">
        <f>IF(AG346="*",AG346,"")</f>
        <v>*</v>
      </c>
      <c r="AH347" s="17" t="str">
        <f t="shared" si="274"/>
        <v>*HEV*</v>
      </c>
      <c r="AI347" s="17" t="str">
        <f t="shared" si="274"/>
        <v>TRACNG</v>
      </c>
      <c r="AJ347" s="17" t="str">
        <f t="shared" si="274"/>
        <v>TRAFRECLHDMD</v>
      </c>
      <c r="AK347" s="17" t="str">
        <f t="shared" si="274"/>
        <v>TRAFRECLHDMD</v>
      </c>
      <c r="AL347" s="18">
        <v>2030</v>
      </c>
      <c r="AM347" s="18" t="str">
        <f>AM346</f>
        <v>LO</v>
      </c>
      <c r="AN347" s="18"/>
      <c r="AO347" s="20">
        <f>-SUMIFS('TRA RESID'!$P:$P,'TRA RESID'!$I:$I,AK347,'TRA RESID'!$J:$J,AH347,'TRA RESID'!$H:$H,AI347)/SUMIFS('TRA RESID'!$P:$P,'TRA RESID'!$I:$I,AK347)*AS347</f>
        <v>0</v>
      </c>
      <c r="AP347" s="18"/>
      <c r="AQ347" s="18"/>
      <c r="AS347" s="21">
        <v>0.5</v>
      </c>
      <c r="AU347" s="15" t="str">
        <f>IF(AU346="*",AU346,"")</f>
        <v>*</v>
      </c>
      <c r="AV347" s="17" t="str">
        <f t="shared" si="275"/>
        <v>*FCEV*</v>
      </c>
      <c r="AW347" s="17" t="str">
        <f t="shared" si="275"/>
        <v>TRACNG</v>
      </c>
      <c r="AX347" s="17" t="str">
        <f t="shared" si="275"/>
        <v>TRAFRECLHDMD</v>
      </c>
      <c r="AY347" s="17" t="str">
        <f t="shared" si="275"/>
        <v>TRAFRECLHDMD</v>
      </c>
      <c r="AZ347" s="18">
        <v>2030</v>
      </c>
      <c r="BA347" s="18" t="str">
        <f>BA346</f>
        <v>LO</v>
      </c>
      <c r="BB347" s="18"/>
      <c r="BC347" s="20">
        <f>-SUMIFS('TRA RESID'!$P:$P,'TRA RESID'!$I:$I,AY347,'TRA RESID'!$J:$J,AV347,'TRA RESID'!$H:$H,AW347)/SUMIFS('TRA RESID'!$P:$P,'TRA RESID'!$I:$I,AY347)*BG347</f>
        <v>0</v>
      </c>
      <c r="BD347" s="18"/>
      <c r="BE347" s="18"/>
      <c r="BG347" s="21">
        <v>0.5</v>
      </c>
    </row>
    <row r="348" spans="1:59" x14ac:dyDescent="0.25">
      <c r="C348" s="15" t="str">
        <f>IF(C347="*",C347,"")</f>
        <v>*</v>
      </c>
      <c r="D348" s="17" t="str">
        <f t="shared" si="272"/>
        <v>*ICEV*</v>
      </c>
      <c r="E348" s="17" t="str">
        <f t="shared" si="272"/>
        <v>TRACNG</v>
      </c>
      <c r="F348" s="17" t="str">
        <f t="shared" si="272"/>
        <v>TRAFRECLHDMD</v>
      </c>
      <c r="G348" s="17" t="str">
        <f t="shared" si="272"/>
        <v>TRAFRECLHDMD</v>
      </c>
      <c r="H348" s="18">
        <v>2040</v>
      </c>
      <c r="I348" s="18" t="str">
        <f>I347</f>
        <v>LO</v>
      </c>
      <c r="J348" s="18"/>
      <c r="K348" s="20">
        <f>-SUMIFS('TRA RESID'!$P:$P,'TRA RESID'!$I:$I,G348,'TRA RESID'!$J:$J,D348,'TRA RESID'!$H:$H,E348)/SUMIFS('TRA RESID'!$P:$P,'TRA RESID'!$I:$I,G348)*O348</f>
        <v>0</v>
      </c>
      <c r="L348" s="18"/>
      <c r="M348" s="18"/>
      <c r="O348" s="21">
        <v>0</v>
      </c>
      <c r="S348" s="15" t="str">
        <f>IF(S347="*",S347,"")</f>
        <v>*</v>
      </c>
      <c r="T348" s="17" t="str">
        <f t="shared" si="273"/>
        <v>*BEV*</v>
      </c>
      <c r="U348" s="17" t="str">
        <f t="shared" si="273"/>
        <v>TRACNG</v>
      </c>
      <c r="V348" s="17" t="str">
        <f t="shared" si="273"/>
        <v>TRAFRECLHDMD</v>
      </c>
      <c r="W348" s="17" t="str">
        <f t="shared" si="273"/>
        <v>TRAFRECLHDMD</v>
      </c>
      <c r="X348" s="18">
        <v>2040</v>
      </c>
      <c r="Y348" s="18" t="str">
        <f>Y347</f>
        <v>LO</v>
      </c>
      <c r="Z348" s="18"/>
      <c r="AA348" s="20">
        <f>-SUMIFS('TRA RESID'!$P:$P,'TRA RESID'!$I:$I,W348,'TRA RESID'!$J:$J,T348,'TRA RESID'!$H:$H,U348)/SUMIFS('TRA RESID'!$P:$P,'TRA RESID'!$I:$I,W348)*AE348</f>
        <v>0</v>
      </c>
      <c r="AB348" s="18"/>
      <c r="AC348" s="18"/>
      <c r="AE348" s="21">
        <v>1</v>
      </c>
      <c r="AG348" s="15" t="str">
        <f>IF(AG347="*",AG347,"")</f>
        <v>*</v>
      </c>
      <c r="AH348" s="17" t="str">
        <f t="shared" si="274"/>
        <v>*HEV*</v>
      </c>
      <c r="AI348" s="17" t="str">
        <f t="shared" si="274"/>
        <v>TRACNG</v>
      </c>
      <c r="AJ348" s="17" t="str">
        <f t="shared" si="274"/>
        <v>TRAFRECLHDMD</v>
      </c>
      <c r="AK348" s="17" t="str">
        <f t="shared" si="274"/>
        <v>TRAFRECLHDMD</v>
      </c>
      <c r="AL348" s="18">
        <v>2040</v>
      </c>
      <c r="AM348" s="18" t="str">
        <f>AM347</f>
        <v>LO</v>
      </c>
      <c r="AN348" s="18"/>
      <c r="AO348" s="20">
        <f>-SUMIFS('TRA RESID'!$P:$P,'TRA RESID'!$I:$I,AK348,'TRA RESID'!$J:$J,AH348,'TRA RESID'!$H:$H,AI348)/SUMIFS('TRA RESID'!$P:$P,'TRA RESID'!$I:$I,AK348)*AS348</f>
        <v>0</v>
      </c>
      <c r="AP348" s="18"/>
      <c r="AQ348" s="18"/>
      <c r="AS348" s="21">
        <v>0</v>
      </c>
      <c r="AU348" s="15" t="str">
        <f>IF(AU347="*",AU347,"")</f>
        <v>*</v>
      </c>
      <c r="AV348" s="17" t="str">
        <f t="shared" si="275"/>
        <v>*FCEV*</v>
      </c>
      <c r="AW348" s="17" t="str">
        <f t="shared" si="275"/>
        <v>TRACNG</v>
      </c>
      <c r="AX348" s="17" t="str">
        <f t="shared" si="275"/>
        <v>TRAFRECLHDMD</v>
      </c>
      <c r="AY348" s="17" t="str">
        <f t="shared" si="275"/>
        <v>TRAFRECLHDMD</v>
      </c>
      <c r="AZ348" s="18">
        <v>2040</v>
      </c>
      <c r="BA348" s="18" t="str">
        <f>BA347</f>
        <v>LO</v>
      </c>
      <c r="BB348" s="18"/>
      <c r="BC348" s="20">
        <f>-SUMIFS('TRA RESID'!$P:$P,'TRA RESID'!$I:$I,AY348,'TRA RESID'!$J:$J,AV348,'TRA RESID'!$H:$H,AW348)/SUMIFS('TRA RESID'!$P:$P,'TRA RESID'!$I:$I,AY348)*BG348</f>
        <v>0</v>
      </c>
      <c r="BD348" s="18"/>
      <c r="BE348" s="18"/>
      <c r="BG348" s="21">
        <v>0</v>
      </c>
    </row>
    <row r="349" spans="1:59" x14ac:dyDescent="0.25">
      <c r="C349" s="23" t="str">
        <f>IF(C348="*",C348,"")</f>
        <v>*</v>
      </c>
      <c r="D349" s="25" t="str">
        <f t="shared" si="272"/>
        <v>*ICEV*</v>
      </c>
      <c r="E349" s="25" t="str">
        <f t="shared" si="272"/>
        <v>TRACNG</v>
      </c>
      <c r="F349" s="25" t="str">
        <f t="shared" si="272"/>
        <v>TRAFRECLHDMD</v>
      </c>
      <c r="G349" s="25" t="str">
        <f t="shared" si="272"/>
        <v>TRAFRECLHDMD</v>
      </c>
      <c r="H349" s="26">
        <v>2050</v>
      </c>
      <c r="I349" s="26" t="str">
        <f>I347</f>
        <v>LO</v>
      </c>
      <c r="J349" s="26"/>
      <c r="K349" s="27">
        <f>-SUMIFS('TRA RESID'!$P:$P,'TRA RESID'!$I:$I,G349,'TRA RESID'!$J:$J,D349,'TRA RESID'!$H:$H,E349)/SUMIFS('TRA RESID'!$P:$P,'TRA RESID'!$I:$I,G349)*O349</f>
        <v>0</v>
      </c>
      <c r="L349" s="26"/>
      <c r="M349" s="26"/>
      <c r="O349" s="28">
        <v>0</v>
      </c>
      <c r="S349" s="23" t="str">
        <f>IF(S348="*",S348,"")</f>
        <v>*</v>
      </c>
      <c r="T349" s="25" t="str">
        <f t="shared" si="273"/>
        <v>*BEV*</v>
      </c>
      <c r="U349" s="25" t="str">
        <f t="shared" si="273"/>
        <v>TRACNG</v>
      </c>
      <c r="V349" s="25" t="str">
        <f t="shared" si="273"/>
        <v>TRAFRECLHDMD</v>
      </c>
      <c r="W349" s="25" t="str">
        <f t="shared" si="273"/>
        <v>TRAFRECLHDMD</v>
      </c>
      <c r="X349" s="26">
        <v>2050</v>
      </c>
      <c r="Y349" s="26" t="str">
        <f>Y347</f>
        <v>LO</v>
      </c>
      <c r="Z349" s="26"/>
      <c r="AA349" s="27">
        <f>-SUMIFS('TRA RESID'!$P:$P,'TRA RESID'!$I:$I,W349,'TRA RESID'!$J:$J,T349,'TRA RESID'!$H:$H,U349)/SUMIFS('TRA RESID'!$P:$P,'TRA RESID'!$I:$I,W349)*AE349</f>
        <v>0</v>
      </c>
      <c r="AB349" s="26"/>
      <c r="AC349" s="26"/>
      <c r="AE349" s="28">
        <v>1</v>
      </c>
      <c r="AG349" s="23" t="str">
        <f>IF(AG348="*",AG348,"")</f>
        <v>*</v>
      </c>
      <c r="AH349" s="25" t="str">
        <f t="shared" si="274"/>
        <v>*HEV*</v>
      </c>
      <c r="AI349" s="25" t="str">
        <f t="shared" si="274"/>
        <v>TRACNG</v>
      </c>
      <c r="AJ349" s="25" t="str">
        <f t="shared" si="274"/>
        <v>TRAFRECLHDMD</v>
      </c>
      <c r="AK349" s="25" t="str">
        <f t="shared" si="274"/>
        <v>TRAFRECLHDMD</v>
      </c>
      <c r="AL349" s="26">
        <v>2050</v>
      </c>
      <c r="AM349" s="26" t="str">
        <f>AM347</f>
        <v>LO</v>
      </c>
      <c r="AN349" s="26"/>
      <c r="AO349" s="27">
        <f>-SUMIFS('TRA RESID'!$P:$P,'TRA RESID'!$I:$I,AK349,'TRA RESID'!$J:$J,AH349,'TRA RESID'!$H:$H,AI349)/SUMIFS('TRA RESID'!$P:$P,'TRA RESID'!$I:$I,AK349)*AS349</f>
        <v>0</v>
      </c>
      <c r="AP349" s="26"/>
      <c r="AQ349" s="26"/>
      <c r="AS349" s="28">
        <v>0</v>
      </c>
      <c r="AU349" s="23" t="str">
        <f>IF(AU348="*",AU348,"")</f>
        <v>*</v>
      </c>
      <c r="AV349" s="25" t="str">
        <f t="shared" si="275"/>
        <v>*FCEV*</v>
      </c>
      <c r="AW349" s="25" t="str">
        <f t="shared" si="275"/>
        <v>TRACNG</v>
      </c>
      <c r="AX349" s="25" t="str">
        <f t="shared" si="275"/>
        <v>TRAFRECLHDMD</v>
      </c>
      <c r="AY349" s="25" t="str">
        <f t="shared" si="275"/>
        <v>TRAFRECLHDMD</v>
      </c>
      <c r="AZ349" s="26">
        <v>2050</v>
      </c>
      <c r="BA349" s="26" t="str">
        <f>BA347</f>
        <v>LO</v>
      </c>
      <c r="BB349" s="26"/>
      <c r="BC349" s="27">
        <f>-SUMIFS('TRA RESID'!$P:$P,'TRA RESID'!$I:$I,AY349,'TRA RESID'!$J:$J,AV349,'TRA RESID'!$H:$H,AW349)/SUMIFS('TRA RESID'!$P:$P,'TRA RESID'!$I:$I,AY349)*BG349</f>
        <v>0</v>
      </c>
      <c r="BD349" s="26"/>
      <c r="BE349" s="26"/>
      <c r="BG349" s="28">
        <v>0</v>
      </c>
    </row>
    <row r="350" spans="1:59" x14ac:dyDescent="0.25">
      <c r="A350">
        <f>A345+1</f>
        <v>70</v>
      </c>
      <c r="C350" s="15" t="str">
        <f>IF(E350="","",IF(_xlfn.XLOOKUP($A350,Selected_constraint!$A:$A,Selected_constraint!$D:$D)=1,"*",IF(SUMIFS('TRA TECH'!$M:$M,'TRA TECH'!$H:$H,E350,'TRA TECH'!$I:$I,F350)=0,"*",IF(SUMIFS('TRA RESID'!$P:$P,'TRA RESID'!$I:$I,G350,'TRA RESID'!$J:$J,D350,'TRA RESID'!$H:$H,E350)=0,"*","UC_"&amp;SUBSTITUTE(D350,"*","")&amp;"_"&amp;RIGHT(E350,3)&amp;"_"&amp;F350))))</f>
        <v>*</v>
      </c>
      <c r="D350" s="17" t="s">
        <v>485</v>
      </c>
      <c r="E350" s="17" t="str">
        <f>_xlfn.XLOOKUP($A350,Selected_constraint!$A:$A,Selected_constraint!$B:$B)</f>
        <v>TRARNG</v>
      </c>
      <c r="F350" s="17" t="str">
        <f>_xlfn.XLOOKUP($A350,Selected_constraint!$A:$A,Selected_constraint!$C:$C)</f>
        <v>TRAFRECLHDMD</v>
      </c>
      <c r="G350" s="17" t="str">
        <f>F350</f>
        <v>TRAFRECLHDMD</v>
      </c>
      <c r="H350" s="18">
        <v>2019</v>
      </c>
      <c r="I350" s="18" t="s">
        <v>483</v>
      </c>
      <c r="J350" s="18">
        <v>1</v>
      </c>
      <c r="K350" s="20">
        <f>-SUMIFS('TRA RESID'!$P:$P,'TRA RESID'!$I:$I,G350,'TRA RESID'!$J:$J,D350,'TRA RESID'!$H:$H,E350)/SUMIFS('TRA RESID'!$P:$P,'TRA RESID'!$I:$I,G350)*O350</f>
        <v>0</v>
      </c>
      <c r="L350" s="18">
        <v>0</v>
      </c>
      <c r="M350" s="18">
        <v>5</v>
      </c>
      <c r="O350" s="21">
        <v>0.98</v>
      </c>
      <c r="Q350">
        <f>Q345+1</f>
        <v>70</v>
      </c>
      <c r="S350" s="15" t="str">
        <f>IF(SUMIFS('TRA RESID'!$P:$P,'TRA RESID'!$I:$I,W350,'TRA RESID'!$J:$J,T350,'TRA RESID'!$H:$H,U350)=0,"*","UC_"&amp;SUBSTITUTE(T350,"*","")&amp;"_"&amp;RIGHT(U350,3)&amp;"_"&amp;V350)</f>
        <v>*</v>
      </c>
      <c r="T350" s="17" t="s">
        <v>486</v>
      </c>
      <c r="U350" s="17" t="str">
        <f>_xlfn.XLOOKUP($A350,Selected_constraint!$A:$A,Selected_constraint!$B:$B)</f>
        <v>TRARNG</v>
      </c>
      <c r="V350" s="17" t="str">
        <f>_xlfn.XLOOKUP($A350,Selected_constraint!$A:$A,Selected_constraint!$C:$C)</f>
        <v>TRAFRECLHDMD</v>
      </c>
      <c r="W350" s="17" t="str">
        <f>V350</f>
        <v>TRAFRECLHDMD</v>
      </c>
      <c r="X350" s="18">
        <v>2019</v>
      </c>
      <c r="Y350" s="18" t="s">
        <v>483</v>
      </c>
      <c r="Z350" s="18">
        <v>1</v>
      </c>
      <c r="AA350" s="20">
        <f>-SUMIFS('TRA RESID'!$P:$P,'TRA RESID'!$I:$I,W350,'TRA RESID'!$J:$J,T350,'TRA RESID'!$H:$H,U350)/SUMIFS('TRA RESID'!$P:$P,'TRA RESID'!$I:$I,W350)*AE350</f>
        <v>0</v>
      </c>
      <c r="AB350" s="18">
        <v>0</v>
      </c>
      <c r="AC350" s="18">
        <v>5</v>
      </c>
      <c r="AE350" s="21">
        <v>0.98</v>
      </c>
      <c r="AG350" s="15" t="str">
        <f>IF(SUMIFS('TRA RESID'!$P:$P,'TRA RESID'!$I:$I,AK350,'TRA RESID'!$J:$J,AH350,'TRA RESID'!$H:$H,AI350)=0,"*","UC_"&amp;SUBSTITUTE(AH350,"*","")&amp;"_"&amp;RIGHT(AI350,3)&amp;"_"&amp;AJ350)</f>
        <v>*</v>
      </c>
      <c r="AH350" s="17" t="s">
        <v>487</v>
      </c>
      <c r="AI350" s="17" t="str">
        <f>_xlfn.XLOOKUP($A350,Selected_constraint!$A:$A,Selected_constraint!$B:$B)</f>
        <v>TRARNG</v>
      </c>
      <c r="AJ350" s="17" t="str">
        <f>_xlfn.XLOOKUP($A350,Selected_constraint!$A:$A,Selected_constraint!$C:$C)</f>
        <v>TRAFRECLHDMD</v>
      </c>
      <c r="AK350" s="17" t="str">
        <f>AJ350</f>
        <v>TRAFRECLHDMD</v>
      </c>
      <c r="AL350" s="18">
        <v>2019</v>
      </c>
      <c r="AM350" s="18" t="s">
        <v>483</v>
      </c>
      <c r="AN350" s="18">
        <v>1</v>
      </c>
      <c r="AO350" s="20">
        <f>-SUMIFS('TRA RESID'!$P:$P,'TRA RESID'!$I:$I,AK350,'TRA RESID'!$J:$J,AH350,'TRA RESID'!$H:$H,AI350)/SUMIFS('TRA RESID'!$P:$P,'TRA RESID'!$I:$I,AK350)*AS350</f>
        <v>0</v>
      </c>
      <c r="AP350" s="18">
        <v>0</v>
      </c>
      <c r="AQ350" s="18">
        <v>5</v>
      </c>
      <c r="AS350" s="21">
        <v>0.98</v>
      </c>
      <c r="AU350" s="15" t="str">
        <f>IF(SUMIFS('TRA RESID'!$P:$P,'TRA RESID'!$I:$I,AY350,'TRA RESID'!$J:$J,AV350,'TRA RESID'!$H:$H,AW350)=0,"*","UC_"&amp;SUBSTITUTE(AV350,"*","")&amp;"_"&amp;RIGHT(AW350,3)&amp;"_"&amp;AX350)</f>
        <v>*</v>
      </c>
      <c r="AV350" s="17" t="s">
        <v>488</v>
      </c>
      <c r="AW350" s="17" t="str">
        <f>_xlfn.XLOOKUP($A350,Selected_constraint!$A:$A,Selected_constraint!$B:$B)</f>
        <v>TRARNG</v>
      </c>
      <c r="AX350" s="17" t="str">
        <f>_xlfn.XLOOKUP($A350,Selected_constraint!$A:$A,Selected_constraint!$C:$C)</f>
        <v>TRAFRECLHDMD</v>
      </c>
      <c r="AY350" s="17" t="str">
        <f>AX350</f>
        <v>TRAFRECLHDMD</v>
      </c>
      <c r="AZ350" s="18">
        <v>2019</v>
      </c>
      <c r="BA350" s="18" t="s">
        <v>483</v>
      </c>
      <c r="BB350" s="18">
        <v>1</v>
      </c>
      <c r="BC350" s="20">
        <f>-SUMIFS('TRA RESID'!$P:$P,'TRA RESID'!$I:$I,AY350,'TRA RESID'!$J:$J,AV350,'TRA RESID'!$H:$H,AW350)/SUMIFS('TRA RESID'!$P:$P,'TRA RESID'!$I:$I,AY350)*BG350</f>
        <v>0</v>
      </c>
      <c r="BD350" s="18">
        <v>0</v>
      </c>
      <c r="BE350" s="18">
        <v>5</v>
      </c>
      <c r="BG350" s="21">
        <v>0.98</v>
      </c>
    </row>
    <row r="351" spans="1:59" x14ac:dyDescent="0.25">
      <c r="C351" s="15" t="str">
        <f>IF(C350="*",C350,"")</f>
        <v>*</v>
      </c>
      <c r="D351" s="17" t="str">
        <f t="shared" ref="D351:G354" si="276">D350</f>
        <v>*ICEV*</v>
      </c>
      <c r="E351" s="17" t="str">
        <f t="shared" si="276"/>
        <v>TRARNG</v>
      </c>
      <c r="F351" s="17" t="str">
        <f t="shared" si="276"/>
        <v>TRAFRECLHDMD</v>
      </c>
      <c r="G351" s="17" t="str">
        <f t="shared" si="276"/>
        <v>TRAFRECLHDMD</v>
      </c>
      <c r="H351" s="18">
        <v>2025</v>
      </c>
      <c r="I351" s="18" t="str">
        <f>I350</f>
        <v>LO</v>
      </c>
      <c r="J351" s="18"/>
      <c r="K351" s="20">
        <f>-SUMIFS('TRA RESID'!$P:$P,'TRA RESID'!$I:$I,G351,'TRA RESID'!$J:$J,D351,'TRA RESID'!$H:$H,E351)/SUMIFS('TRA RESID'!$P:$P,'TRA RESID'!$I:$I,G351)*O351</f>
        <v>0</v>
      </c>
      <c r="L351" s="18"/>
      <c r="M351" s="18"/>
      <c r="O351" s="21">
        <v>0.8</v>
      </c>
      <c r="S351" s="15" t="str">
        <f>IF(S350="*",S350,"")</f>
        <v>*</v>
      </c>
      <c r="T351" s="17" t="str">
        <f t="shared" ref="T351:W354" si="277">T350</f>
        <v>*BEV*</v>
      </c>
      <c r="U351" s="17" t="str">
        <f t="shared" si="277"/>
        <v>TRARNG</v>
      </c>
      <c r="V351" s="17" t="str">
        <f t="shared" si="277"/>
        <v>TRAFRECLHDMD</v>
      </c>
      <c r="W351" s="17" t="str">
        <f t="shared" si="277"/>
        <v>TRAFRECLHDMD</v>
      </c>
      <c r="X351" s="18">
        <v>2025</v>
      </c>
      <c r="Y351" s="18" t="str">
        <f>Y350</f>
        <v>LO</v>
      </c>
      <c r="Z351" s="18"/>
      <c r="AA351" s="20">
        <f>-SUMIFS('TRA RESID'!$P:$P,'TRA RESID'!$I:$I,W351,'TRA RESID'!$J:$J,T351,'TRA RESID'!$H:$H,U351)/SUMIFS('TRA RESID'!$P:$P,'TRA RESID'!$I:$I,W351)*AE351</f>
        <v>0</v>
      </c>
      <c r="AB351" s="18"/>
      <c r="AC351" s="18"/>
      <c r="AE351" s="21">
        <v>1</v>
      </c>
      <c r="AG351" s="15" t="str">
        <f>IF(AG350="*",AG350,"")</f>
        <v>*</v>
      </c>
      <c r="AH351" s="17" t="str">
        <f t="shared" ref="AH351:AK354" si="278">AH350</f>
        <v>*HEV*</v>
      </c>
      <c r="AI351" s="17" t="str">
        <f t="shared" si="278"/>
        <v>TRARNG</v>
      </c>
      <c r="AJ351" s="17" t="str">
        <f t="shared" si="278"/>
        <v>TRAFRECLHDMD</v>
      </c>
      <c r="AK351" s="17" t="str">
        <f t="shared" si="278"/>
        <v>TRAFRECLHDMD</v>
      </c>
      <c r="AL351" s="18">
        <v>2025</v>
      </c>
      <c r="AM351" s="18" t="str">
        <f>AM350</f>
        <v>LO</v>
      </c>
      <c r="AN351" s="18"/>
      <c r="AO351" s="20">
        <f>-SUMIFS('TRA RESID'!$P:$P,'TRA RESID'!$I:$I,AK351,'TRA RESID'!$J:$J,AH351,'TRA RESID'!$H:$H,AI351)/SUMIFS('TRA RESID'!$P:$P,'TRA RESID'!$I:$I,AK351)*AS351</f>
        <v>0</v>
      </c>
      <c r="AP351" s="18"/>
      <c r="AQ351" s="18"/>
      <c r="AS351" s="21">
        <v>0.8</v>
      </c>
      <c r="AU351" s="15" t="str">
        <f>IF(AU350="*",AU350,"")</f>
        <v>*</v>
      </c>
      <c r="AV351" s="17" t="str">
        <f t="shared" ref="AV351:AY354" si="279">AV350</f>
        <v>*FCEV*</v>
      </c>
      <c r="AW351" s="17" t="str">
        <f t="shared" si="279"/>
        <v>TRARNG</v>
      </c>
      <c r="AX351" s="17" t="str">
        <f t="shared" si="279"/>
        <v>TRAFRECLHDMD</v>
      </c>
      <c r="AY351" s="17" t="str">
        <f t="shared" si="279"/>
        <v>TRAFRECLHDMD</v>
      </c>
      <c r="AZ351" s="18">
        <v>2025</v>
      </c>
      <c r="BA351" s="18" t="str">
        <f>BA350</f>
        <v>LO</v>
      </c>
      <c r="BB351" s="18"/>
      <c r="BC351" s="20">
        <f>-SUMIFS('TRA RESID'!$P:$P,'TRA RESID'!$I:$I,AY351,'TRA RESID'!$J:$J,AV351,'TRA RESID'!$H:$H,AW351)/SUMIFS('TRA RESID'!$P:$P,'TRA RESID'!$I:$I,AY351)*BG351</f>
        <v>0</v>
      </c>
      <c r="BD351" s="18"/>
      <c r="BE351" s="18"/>
      <c r="BG351" s="21">
        <v>0.8</v>
      </c>
    </row>
    <row r="352" spans="1:59" x14ac:dyDescent="0.25">
      <c r="C352" s="15" t="str">
        <f>IF(C351="*",C351,"")</f>
        <v>*</v>
      </c>
      <c r="D352" s="17" t="str">
        <f t="shared" si="276"/>
        <v>*ICEV*</v>
      </c>
      <c r="E352" s="17" t="str">
        <f t="shared" si="276"/>
        <v>TRARNG</v>
      </c>
      <c r="F352" s="17" t="str">
        <f t="shared" si="276"/>
        <v>TRAFRECLHDMD</v>
      </c>
      <c r="G352" s="17" t="str">
        <f t="shared" si="276"/>
        <v>TRAFRECLHDMD</v>
      </c>
      <c r="H352" s="18">
        <v>2030</v>
      </c>
      <c r="I352" s="18" t="str">
        <f>I351</f>
        <v>LO</v>
      </c>
      <c r="J352" s="18"/>
      <c r="K352" s="20">
        <f>-SUMIFS('TRA RESID'!$P:$P,'TRA RESID'!$I:$I,G352,'TRA RESID'!$J:$J,D352,'TRA RESID'!$H:$H,E352)/SUMIFS('TRA RESID'!$P:$P,'TRA RESID'!$I:$I,G352)*O352</f>
        <v>0</v>
      </c>
      <c r="L352" s="18"/>
      <c r="M352" s="18"/>
      <c r="O352" s="21">
        <v>0.5</v>
      </c>
      <c r="S352" s="15" t="str">
        <f>IF(S351="*",S351,"")</f>
        <v>*</v>
      </c>
      <c r="T352" s="17" t="str">
        <f t="shared" si="277"/>
        <v>*BEV*</v>
      </c>
      <c r="U352" s="17" t="str">
        <f t="shared" si="277"/>
        <v>TRARNG</v>
      </c>
      <c r="V352" s="17" t="str">
        <f t="shared" si="277"/>
        <v>TRAFRECLHDMD</v>
      </c>
      <c r="W352" s="17" t="str">
        <f t="shared" si="277"/>
        <v>TRAFRECLHDMD</v>
      </c>
      <c r="X352" s="18">
        <v>2030</v>
      </c>
      <c r="Y352" s="18" t="str">
        <f>Y351</f>
        <v>LO</v>
      </c>
      <c r="Z352" s="18"/>
      <c r="AA352" s="20">
        <f>-SUMIFS('TRA RESID'!$P:$P,'TRA RESID'!$I:$I,W352,'TRA RESID'!$J:$J,T352,'TRA RESID'!$H:$H,U352)/SUMIFS('TRA RESID'!$P:$P,'TRA RESID'!$I:$I,W352)*AE352</f>
        <v>0</v>
      </c>
      <c r="AB352" s="18"/>
      <c r="AC352" s="18"/>
      <c r="AE352" s="21">
        <v>1</v>
      </c>
      <c r="AG352" s="15" t="str">
        <f>IF(AG351="*",AG351,"")</f>
        <v>*</v>
      </c>
      <c r="AH352" s="17" t="str">
        <f t="shared" si="278"/>
        <v>*HEV*</v>
      </c>
      <c r="AI352" s="17" t="str">
        <f t="shared" si="278"/>
        <v>TRARNG</v>
      </c>
      <c r="AJ352" s="17" t="str">
        <f t="shared" si="278"/>
        <v>TRAFRECLHDMD</v>
      </c>
      <c r="AK352" s="17" t="str">
        <f t="shared" si="278"/>
        <v>TRAFRECLHDMD</v>
      </c>
      <c r="AL352" s="18">
        <v>2030</v>
      </c>
      <c r="AM352" s="18" t="str">
        <f>AM351</f>
        <v>LO</v>
      </c>
      <c r="AN352" s="18"/>
      <c r="AO352" s="20">
        <f>-SUMIFS('TRA RESID'!$P:$P,'TRA RESID'!$I:$I,AK352,'TRA RESID'!$J:$J,AH352,'TRA RESID'!$H:$H,AI352)/SUMIFS('TRA RESID'!$P:$P,'TRA RESID'!$I:$I,AK352)*AS352</f>
        <v>0</v>
      </c>
      <c r="AP352" s="18"/>
      <c r="AQ352" s="18"/>
      <c r="AS352" s="21">
        <v>0.5</v>
      </c>
      <c r="AU352" s="15" t="str">
        <f>IF(AU351="*",AU351,"")</f>
        <v>*</v>
      </c>
      <c r="AV352" s="17" t="str">
        <f t="shared" si="279"/>
        <v>*FCEV*</v>
      </c>
      <c r="AW352" s="17" t="str">
        <f t="shared" si="279"/>
        <v>TRARNG</v>
      </c>
      <c r="AX352" s="17" t="str">
        <f t="shared" si="279"/>
        <v>TRAFRECLHDMD</v>
      </c>
      <c r="AY352" s="17" t="str">
        <f t="shared" si="279"/>
        <v>TRAFRECLHDMD</v>
      </c>
      <c r="AZ352" s="18">
        <v>2030</v>
      </c>
      <c r="BA352" s="18" t="str">
        <f>BA351</f>
        <v>LO</v>
      </c>
      <c r="BB352" s="18"/>
      <c r="BC352" s="20">
        <f>-SUMIFS('TRA RESID'!$P:$P,'TRA RESID'!$I:$I,AY352,'TRA RESID'!$J:$J,AV352,'TRA RESID'!$H:$H,AW352)/SUMIFS('TRA RESID'!$P:$P,'TRA RESID'!$I:$I,AY352)*BG352</f>
        <v>0</v>
      </c>
      <c r="BD352" s="18"/>
      <c r="BE352" s="18"/>
      <c r="BG352" s="21">
        <v>0.5</v>
      </c>
    </row>
    <row r="353" spans="1:59" x14ac:dyDescent="0.25">
      <c r="C353" s="15" t="str">
        <f>IF(C352="*",C352,"")</f>
        <v>*</v>
      </c>
      <c r="D353" s="17" t="str">
        <f t="shared" si="276"/>
        <v>*ICEV*</v>
      </c>
      <c r="E353" s="17" t="str">
        <f t="shared" si="276"/>
        <v>TRARNG</v>
      </c>
      <c r="F353" s="17" t="str">
        <f t="shared" si="276"/>
        <v>TRAFRECLHDMD</v>
      </c>
      <c r="G353" s="17" t="str">
        <f t="shared" si="276"/>
        <v>TRAFRECLHDMD</v>
      </c>
      <c r="H353" s="18">
        <v>2040</v>
      </c>
      <c r="I353" s="18" t="str">
        <f>I352</f>
        <v>LO</v>
      </c>
      <c r="J353" s="18"/>
      <c r="K353" s="20">
        <f>-SUMIFS('TRA RESID'!$P:$P,'TRA RESID'!$I:$I,G353,'TRA RESID'!$J:$J,D353,'TRA RESID'!$H:$H,E353)/SUMIFS('TRA RESID'!$P:$P,'TRA RESID'!$I:$I,G353)*O353</f>
        <v>0</v>
      </c>
      <c r="L353" s="18"/>
      <c r="M353" s="18"/>
      <c r="O353" s="21">
        <v>0</v>
      </c>
      <c r="S353" s="15" t="str">
        <f>IF(S352="*",S352,"")</f>
        <v>*</v>
      </c>
      <c r="T353" s="17" t="str">
        <f t="shared" si="277"/>
        <v>*BEV*</v>
      </c>
      <c r="U353" s="17" t="str">
        <f t="shared" si="277"/>
        <v>TRARNG</v>
      </c>
      <c r="V353" s="17" t="str">
        <f t="shared" si="277"/>
        <v>TRAFRECLHDMD</v>
      </c>
      <c r="W353" s="17" t="str">
        <f t="shared" si="277"/>
        <v>TRAFRECLHDMD</v>
      </c>
      <c r="X353" s="18">
        <v>2040</v>
      </c>
      <c r="Y353" s="18" t="str">
        <f>Y352</f>
        <v>LO</v>
      </c>
      <c r="Z353" s="18"/>
      <c r="AA353" s="20">
        <f>-SUMIFS('TRA RESID'!$P:$P,'TRA RESID'!$I:$I,W353,'TRA RESID'!$J:$J,T353,'TRA RESID'!$H:$H,U353)/SUMIFS('TRA RESID'!$P:$P,'TRA RESID'!$I:$I,W353)*AE353</f>
        <v>0</v>
      </c>
      <c r="AB353" s="18"/>
      <c r="AC353" s="18"/>
      <c r="AE353" s="21">
        <v>1</v>
      </c>
      <c r="AG353" s="15" t="str">
        <f>IF(AG352="*",AG352,"")</f>
        <v>*</v>
      </c>
      <c r="AH353" s="17" t="str">
        <f t="shared" si="278"/>
        <v>*HEV*</v>
      </c>
      <c r="AI353" s="17" t="str">
        <f t="shared" si="278"/>
        <v>TRARNG</v>
      </c>
      <c r="AJ353" s="17" t="str">
        <f t="shared" si="278"/>
        <v>TRAFRECLHDMD</v>
      </c>
      <c r="AK353" s="17" t="str">
        <f t="shared" si="278"/>
        <v>TRAFRECLHDMD</v>
      </c>
      <c r="AL353" s="18">
        <v>2040</v>
      </c>
      <c r="AM353" s="18" t="str">
        <f>AM352</f>
        <v>LO</v>
      </c>
      <c r="AN353" s="18"/>
      <c r="AO353" s="20">
        <f>-SUMIFS('TRA RESID'!$P:$P,'TRA RESID'!$I:$I,AK353,'TRA RESID'!$J:$J,AH353,'TRA RESID'!$H:$H,AI353)/SUMIFS('TRA RESID'!$P:$P,'TRA RESID'!$I:$I,AK353)*AS353</f>
        <v>0</v>
      </c>
      <c r="AP353" s="18"/>
      <c r="AQ353" s="18"/>
      <c r="AS353" s="21">
        <v>0</v>
      </c>
      <c r="AU353" s="15" t="str">
        <f>IF(AU352="*",AU352,"")</f>
        <v>*</v>
      </c>
      <c r="AV353" s="17" t="str">
        <f t="shared" si="279"/>
        <v>*FCEV*</v>
      </c>
      <c r="AW353" s="17" t="str">
        <f t="shared" si="279"/>
        <v>TRARNG</v>
      </c>
      <c r="AX353" s="17" t="str">
        <f t="shared" si="279"/>
        <v>TRAFRECLHDMD</v>
      </c>
      <c r="AY353" s="17" t="str">
        <f t="shared" si="279"/>
        <v>TRAFRECLHDMD</v>
      </c>
      <c r="AZ353" s="18">
        <v>2040</v>
      </c>
      <c r="BA353" s="18" t="str">
        <f>BA352</f>
        <v>LO</v>
      </c>
      <c r="BB353" s="18"/>
      <c r="BC353" s="20">
        <f>-SUMIFS('TRA RESID'!$P:$P,'TRA RESID'!$I:$I,AY353,'TRA RESID'!$J:$J,AV353,'TRA RESID'!$H:$H,AW353)/SUMIFS('TRA RESID'!$P:$P,'TRA RESID'!$I:$I,AY353)*BG353</f>
        <v>0</v>
      </c>
      <c r="BD353" s="18"/>
      <c r="BE353" s="18"/>
      <c r="BG353" s="21">
        <v>0</v>
      </c>
    </row>
    <row r="354" spans="1:59" x14ac:dyDescent="0.25">
      <c r="C354" s="23" t="str">
        <f>IF(C353="*",C353,"")</f>
        <v>*</v>
      </c>
      <c r="D354" s="25" t="str">
        <f t="shared" si="276"/>
        <v>*ICEV*</v>
      </c>
      <c r="E354" s="25" t="str">
        <f t="shared" si="276"/>
        <v>TRARNG</v>
      </c>
      <c r="F354" s="25" t="str">
        <f t="shared" si="276"/>
        <v>TRAFRECLHDMD</v>
      </c>
      <c r="G354" s="25" t="str">
        <f t="shared" si="276"/>
        <v>TRAFRECLHDMD</v>
      </c>
      <c r="H354" s="26">
        <v>2050</v>
      </c>
      <c r="I354" s="26" t="str">
        <f>I352</f>
        <v>LO</v>
      </c>
      <c r="J354" s="26"/>
      <c r="K354" s="27">
        <f>-SUMIFS('TRA RESID'!$P:$P,'TRA RESID'!$I:$I,G354,'TRA RESID'!$J:$J,D354,'TRA RESID'!$H:$H,E354)/SUMIFS('TRA RESID'!$P:$P,'TRA RESID'!$I:$I,G354)*O354</f>
        <v>0</v>
      </c>
      <c r="L354" s="26"/>
      <c r="M354" s="26"/>
      <c r="O354" s="28">
        <v>0</v>
      </c>
      <c r="S354" s="23" t="str">
        <f>IF(S353="*",S353,"")</f>
        <v>*</v>
      </c>
      <c r="T354" s="25" t="str">
        <f t="shared" si="277"/>
        <v>*BEV*</v>
      </c>
      <c r="U354" s="25" t="str">
        <f t="shared" si="277"/>
        <v>TRARNG</v>
      </c>
      <c r="V354" s="25" t="str">
        <f t="shared" si="277"/>
        <v>TRAFRECLHDMD</v>
      </c>
      <c r="W354" s="25" t="str">
        <f t="shared" si="277"/>
        <v>TRAFRECLHDMD</v>
      </c>
      <c r="X354" s="26">
        <v>2050</v>
      </c>
      <c r="Y354" s="26" t="str">
        <f>Y352</f>
        <v>LO</v>
      </c>
      <c r="Z354" s="26"/>
      <c r="AA354" s="27">
        <f>-SUMIFS('TRA RESID'!$P:$P,'TRA RESID'!$I:$I,W354,'TRA RESID'!$J:$J,T354,'TRA RESID'!$H:$H,U354)/SUMIFS('TRA RESID'!$P:$P,'TRA RESID'!$I:$I,W354)*AE354</f>
        <v>0</v>
      </c>
      <c r="AB354" s="26"/>
      <c r="AC354" s="26"/>
      <c r="AE354" s="28">
        <v>1</v>
      </c>
      <c r="AG354" s="23" t="str">
        <f>IF(AG353="*",AG353,"")</f>
        <v>*</v>
      </c>
      <c r="AH354" s="25" t="str">
        <f t="shared" si="278"/>
        <v>*HEV*</v>
      </c>
      <c r="AI354" s="25" t="str">
        <f t="shared" si="278"/>
        <v>TRARNG</v>
      </c>
      <c r="AJ354" s="25" t="str">
        <f t="shared" si="278"/>
        <v>TRAFRECLHDMD</v>
      </c>
      <c r="AK354" s="25" t="str">
        <f t="shared" si="278"/>
        <v>TRAFRECLHDMD</v>
      </c>
      <c r="AL354" s="26">
        <v>2050</v>
      </c>
      <c r="AM354" s="26" t="str">
        <f>AM352</f>
        <v>LO</v>
      </c>
      <c r="AN354" s="26"/>
      <c r="AO354" s="27">
        <f>-SUMIFS('TRA RESID'!$P:$P,'TRA RESID'!$I:$I,AK354,'TRA RESID'!$J:$J,AH354,'TRA RESID'!$H:$H,AI354)/SUMIFS('TRA RESID'!$P:$P,'TRA RESID'!$I:$I,AK354)*AS354</f>
        <v>0</v>
      </c>
      <c r="AP354" s="26"/>
      <c r="AQ354" s="26"/>
      <c r="AS354" s="28">
        <v>0</v>
      </c>
      <c r="AU354" s="23" t="str">
        <f>IF(AU353="*",AU353,"")</f>
        <v>*</v>
      </c>
      <c r="AV354" s="25" t="str">
        <f t="shared" si="279"/>
        <v>*FCEV*</v>
      </c>
      <c r="AW354" s="25" t="str">
        <f t="shared" si="279"/>
        <v>TRARNG</v>
      </c>
      <c r="AX354" s="25" t="str">
        <f t="shared" si="279"/>
        <v>TRAFRECLHDMD</v>
      </c>
      <c r="AY354" s="25" t="str">
        <f t="shared" si="279"/>
        <v>TRAFRECLHDMD</v>
      </c>
      <c r="AZ354" s="26">
        <v>2050</v>
      </c>
      <c r="BA354" s="26" t="str">
        <f>BA352</f>
        <v>LO</v>
      </c>
      <c r="BB354" s="26"/>
      <c r="BC354" s="27">
        <f>-SUMIFS('TRA RESID'!$P:$P,'TRA RESID'!$I:$I,AY354,'TRA RESID'!$J:$J,AV354,'TRA RESID'!$H:$H,AW354)/SUMIFS('TRA RESID'!$P:$P,'TRA RESID'!$I:$I,AY354)*BG354</f>
        <v>0</v>
      </c>
      <c r="BD354" s="26"/>
      <c r="BE354" s="26"/>
      <c r="BG354" s="28">
        <v>0</v>
      </c>
    </row>
    <row r="355" spans="1:59" x14ac:dyDescent="0.25">
      <c r="A355">
        <f>A350+1</f>
        <v>71</v>
      </c>
      <c r="C355" s="15" t="str">
        <f>IF(E355="","",IF(_xlfn.XLOOKUP($A355,Selected_constraint!$A:$A,Selected_constraint!$D:$D)=1,"*",IF(SUMIFS('TRA TECH'!$M:$M,'TRA TECH'!$H:$H,E355,'TRA TECH'!$I:$I,F355)=0,"*",IF(SUMIFS('TRA RESID'!$P:$P,'TRA RESID'!$I:$I,G355,'TRA RESID'!$J:$J,D355,'TRA RESID'!$H:$H,E355)=0,"*","UC_"&amp;SUBSTITUTE(D355,"*","")&amp;"_"&amp;RIGHT(E355,3)&amp;"_"&amp;F355))))</f>
        <v>*</v>
      </c>
      <c r="D355" s="17" t="s">
        <v>485</v>
      </c>
      <c r="E355" s="17" t="str">
        <f>_xlfn.XLOOKUP($A355,Selected_constraint!$A:$A,Selected_constraint!$B:$B)</f>
        <v>TRABAF</v>
      </c>
      <c r="F355" s="17" t="str">
        <f>_xlfn.XLOOKUP($A355,Selected_constraint!$A:$A,Selected_constraint!$C:$C)</f>
        <v>TRAFRECLHDMD</v>
      </c>
      <c r="G355" s="17" t="str">
        <f>F355</f>
        <v>TRAFRECLHDMD</v>
      </c>
      <c r="H355" s="18">
        <v>2019</v>
      </c>
      <c r="I355" s="18" t="s">
        <v>483</v>
      </c>
      <c r="J355" s="18">
        <v>1</v>
      </c>
      <c r="K355" s="20">
        <f>-SUMIFS('TRA RESID'!$P:$P,'TRA RESID'!$I:$I,G355,'TRA RESID'!$J:$J,D355,'TRA RESID'!$H:$H,E355)/SUMIFS('TRA RESID'!$P:$P,'TRA RESID'!$I:$I,G355)*O355</f>
        <v>0</v>
      </c>
      <c r="L355" s="18">
        <v>0</v>
      </c>
      <c r="M355" s="18">
        <v>5</v>
      </c>
      <c r="O355" s="21">
        <v>0.98</v>
      </c>
      <c r="Q355">
        <f>Q350+1</f>
        <v>71</v>
      </c>
      <c r="S355" s="15" t="str">
        <f>IF(SUMIFS('TRA RESID'!$P:$P,'TRA RESID'!$I:$I,W355,'TRA RESID'!$J:$J,T355,'TRA RESID'!$H:$H,U355)=0,"*","UC_"&amp;SUBSTITUTE(T355,"*","")&amp;"_"&amp;RIGHT(U355,3)&amp;"_"&amp;V355)</f>
        <v>*</v>
      </c>
      <c r="T355" s="17" t="s">
        <v>486</v>
      </c>
      <c r="U355" s="17" t="str">
        <f>_xlfn.XLOOKUP($A355,Selected_constraint!$A:$A,Selected_constraint!$B:$B)</f>
        <v>TRABAF</v>
      </c>
      <c r="V355" s="17" t="str">
        <f>_xlfn.XLOOKUP($A355,Selected_constraint!$A:$A,Selected_constraint!$C:$C)</f>
        <v>TRAFRECLHDMD</v>
      </c>
      <c r="W355" s="17" t="str">
        <f>V355</f>
        <v>TRAFRECLHDMD</v>
      </c>
      <c r="X355" s="18">
        <v>2019</v>
      </c>
      <c r="Y355" s="18" t="s">
        <v>483</v>
      </c>
      <c r="Z355" s="18">
        <v>1</v>
      </c>
      <c r="AA355" s="20">
        <f>-SUMIFS('TRA RESID'!$P:$P,'TRA RESID'!$I:$I,W355,'TRA RESID'!$J:$J,T355,'TRA RESID'!$H:$H,U355)/SUMIFS('TRA RESID'!$P:$P,'TRA RESID'!$I:$I,W355)*AE355</f>
        <v>0</v>
      </c>
      <c r="AB355" s="18">
        <v>0</v>
      </c>
      <c r="AC355" s="18">
        <v>5</v>
      </c>
      <c r="AE355" s="21">
        <v>0.98</v>
      </c>
      <c r="AG355" s="15" t="str">
        <f>IF(SUMIFS('TRA RESID'!$P:$P,'TRA RESID'!$I:$I,AK355,'TRA RESID'!$J:$J,AH355,'TRA RESID'!$H:$H,AI355)=0,"*","UC_"&amp;SUBSTITUTE(AH355,"*","")&amp;"_"&amp;RIGHT(AI355,3)&amp;"_"&amp;AJ355)</f>
        <v>*</v>
      </c>
      <c r="AH355" s="17" t="s">
        <v>487</v>
      </c>
      <c r="AI355" s="17" t="str">
        <f>_xlfn.XLOOKUP($A355,Selected_constraint!$A:$A,Selected_constraint!$B:$B)</f>
        <v>TRABAF</v>
      </c>
      <c r="AJ355" s="17" t="str">
        <f>_xlfn.XLOOKUP($A355,Selected_constraint!$A:$A,Selected_constraint!$C:$C)</f>
        <v>TRAFRECLHDMD</v>
      </c>
      <c r="AK355" s="17" t="str">
        <f>AJ355</f>
        <v>TRAFRECLHDMD</v>
      </c>
      <c r="AL355" s="18">
        <v>2019</v>
      </c>
      <c r="AM355" s="18" t="s">
        <v>483</v>
      </c>
      <c r="AN355" s="18">
        <v>1</v>
      </c>
      <c r="AO355" s="20">
        <f>-SUMIFS('TRA RESID'!$P:$P,'TRA RESID'!$I:$I,AK355,'TRA RESID'!$J:$J,AH355,'TRA RESID'!$H:$H,AI355)/SUMIFS('TRA RESID'!$P:$P,'TRA RESID'!$I:$I,AK355)*AS355</f>
        <v>0</v>
      </c>
      <c r="AP355" s="18">
        <v>0</v>
      </c>
      <c r="AQ355" s="18">
        <v>5</v>
      </c>
      <c r="AS355" s="21">
        <v>0.98</v>
      </c>
      <c r="AU355" s="15" t="str">
        <f>IF(SUMIFS('TRA RESID'!$P:$P,'TRA RESID'!$I:$I,AY355,'TRA RESID'!$J:$J,AV355,'TRA RESID'!$H:$H,AW355)=0,"*","UC_"&amp;SUBSTITUTE(AV355,"*","")&amp;"_"&amp;RIGHT(AW355,3)&amp;"_"&amp;AX355)</f>
        <v>*</v>
      </c>
      <c r="AV355" s="17" t="s">
        <v>488</v>
      </c>
      <c r="AW355" s="17" t="str">
        <f>_xlfn.XLOOKUP($A355,Selected_constraint!$A:$A,Selected_constraint!$B:$B)</f>
        <v>TRABAF</v>
      </c>
      <c r="AX355" s="17" t="str">
        <f>_xlfn.XLOOKUP($A355,Selected_constraint!$A:$A,Selected_constraint!$C:$C)</f>
        <v>TRAFRECLHDMD</v>
      </c>
      <c r="AY355" s="17" t="str">
        <f>AX355</f>
        <v>TRAFRECLHDMD</v>
      </c>
      <c r="AZ355" s="18">
        <v>2019</v>
      </c>
      <c r="BA355" s="18" t="s">
        <v>483</v>
      </c>
      <c r="BB355" s="18">
        <v>1</v>
      </c>
      <c r="BC355" s="20">
        <f>-SUMIFS('TRA RESID'!$P:$P,'TRA RESID'!$I:$I,AY355,'TRA RESID'!$J:$J,AV355,'TRA RESID'!$H:$H,AW355)/SUMIFS('TRA RESID'!$P:$P,'TRA RESID'!$I:$I,AY355)*BG355</f>
        <v>0</v>
      </c>
      <c r="BD355" s="18">
        <v>0</v>
      </c>
      <c r="BE355" s="18">
        <v>5</v>
      </c>
      <c r="BG355" s="21">
        <v>0.98</v>
      </c>
    </row>
    <row r="356" spans="1:59" x14ac:dyDescent="0.25">
      <c r="C356" s="15" t="str">
        <f>IF(C355="*",C355,"")</f>
        <v>*</v>
      </c>
      <c r="D356" s="17" t="str">
        <f t="shared" ref="D356:G359" si="280">D355</f>
        <v>*ICEV*</v>
      </c>
      <c r="E356" s="17" t="str">
        <f t="shared" si="280"/>
        <v>TRABAF</v>
      </c>
      <c r="F356" s="17" t="str">
        <f t="shared" si="280"/>
        <v>TRAFRECLHDMD</v>
      </c>
      <c r="G356" s="17" t="str">
        <f t="shared" si="280"/>
        <v>TRAFRECLHDMD</v>
      </c>
      <c r="H356" s="18">
        <v>2025</v>
      </c>
      <c r="I356" s="18" t="str">
        <f>I355</f>
        <v>LO</v>
      </c>
      <c r="J356" s="18"/>
      <c r="K356" s="20">
        <f>-SUMIFS('TRA RESID'!$P:$P,'TRA RESID'!$I:$I,G356,'TRA RESID'!$J:$J,D356,'TRA RESID'!$H:$H,E356)/SUMIFS('TRA RESID'!$P:$P,'TRA RESID'!$I:$I,G356)*O356</f>
        <v>0</v>
      </c>
      <c r="L356" s="18"/>
      <c r="M356" s="18"/>
      <c r="O356" s="21">
        <v>0.8</v>
      </c>
      <c r="S356" s="15" t="str">
        <f>IF(S355="*",S355,"")</f>
        <v>*</v>
      </c>
      <c r="T356" s="17" t="str">
        <f t="shared" ref="T356:W359" si="281">T355</f>
        <v>*BEV*</v>
      </c>
      <c r="U356" s="17" t="str">
        <f t="shared" si="281"/>
        <v>TRABAF</v>
      </c>
      <c r="V356" s="17" t="str">
        <f t="shared" si="281"/>
        <v>TRAFRECLHDMD</v>
      </c>
      <c r="W356" s="17" t="str">
        <f t="shared" si="281"/>
        <v>TRAFRECLHDMD</v>
      </c>
      <c r="X356" s="18">
        <v>2025</v>
      </c>
      <c r="Y356" s="18" t="str">
        <f>Y355</f>
        <v>LO</v>
      </c>
      <c r="Z356" s="18"/>
      <c r="AA356" s="20">
        <f>-SUMIFS('TRA RESID'!$P:$P,'TRA RESID'!$I:$I,W356,'TRA RESID'!$J:$J,T356,'TRA RESID'!$H:$H,U356)/SUMIFS('TRA RESID'!$P:$P,'TRA RESID'!$I:$I,W356)*AE356</f>
        <v>0</v>
      </c>
      <c r="AB356" s="18"/>
      <c r="AC356" s="18"/>
      <c r="AE356" s="21">
        <v>1</v>
      </c>
      <c r="AG356" s="15" t="str">
        <f>IF(AG355="*",AG355,"")</f>
        <v>*</v>
      </c>
      <c r="AH356" s="17" t="str">
        <f t="shared" ref="AH356:AK359" si="282">AH355</f>
        <v>*HEV*</v>
      </c>
      <c r="AI356" s="17" t="str">
        <f t="shared" si="282"/>
        <v>TRABAF</v>
      </c>
      <c r="AJ356" s="17" t="str">
        <f t="shared" si="282"/>
        <v>TRAFRECLHDMD</v>
      </c>
      <c r="AK356" s="17" t="str">
        <f t="shared" si="282"/>
        <v>TRAFRECLHDMD</v>
      </c>
      <c r="AL356" s="18">
        <v>2025</v>
      </c>
      <c r="AM356" s="18" t="str">
        <f>AM355</f>
        <v>LO</v>
      </c>
      <c r="AN356" s="18"/>
      <c r="AO356" s="20">
        <f>-SUMIFS('TRA RESID'!$P:$P,'TRA RESID'!$I:$I,AK356,'TRA RESID'!$J:$J,AH356,'TRA RESID'!$H:$H,AI356)/SUMIFS('TRA RESID'!$P:$P,'TRA RESID'!$I:$I,AK356)*AS356</f>
        <v>0</v>
      </c>
      <c r="AP356" s="18"/>
      <c r="AQ356" s="18"/>
      <c r="AS356" s="21">
        <v>0.8</v>
      </c>
      <c r="AU356" s="15" t="str">
        <f>IF(AU355="*",AU355,"")</f>
        <v>*</v>
      </c>
      <c r="AV356" s="17" t="str">
        <f t="shared" ref="AV356:AY359" si="283">AV355</f>
        <v>*FCEV*</v>
      </c>
      <c r="AW356" s="17" t="str">
        <f t="shared" si="283"/>
        <v>TRABAF</v>
      </c>
      <c r="AX356" s="17" t="str">
        <f t="shared" si="283"/>
        <v>TRAFRECLHDMD</v>
      </c>
      <c r="AY356" s="17" t="str">
        <f t="shared" si="283"/>
        <v>TRAFRECLHDMD</v>
      </c>
      <c r="AZ356" s="18">
        <v>2025</v>
      </c>
      <c r="BA356" s="18" t="str">
        <f>BA355</f>
        <v>LO</v>
      </c>
      <c r="BB356" s="18"/>
      <c r="BC356" s="20">
        <f>-SUMIFS('TRA RESID'!$P:$P,'TRA RESID'!$I:$I,AY356,'TRA RESID'!$J:$J,AV356,'TRA RESID'!$H:$H,AW356)/SUMIFS('TRA RESID'!$P:$P,'TRA RESID'!$I:$I,AY356)*BG356</f>
        <v>0</v>
      </c>
      <c r="BD356" s="18"/>
      <c r="BE356" s="18"/>
      <c r="BG356" s="21">
        <v>0.8</v>
      </c>
    </row>
    <row r="357" spans="1:59" x14ac:dyDescent="0.25">
      <c r="C357" s="15" t="str">
        <f>IF(C356="*",C356,"")</f>
        <v>*</v>
      </c>
      <c r="D357" s="17" t="str">
        <f t="shared" si="280"/>
        <v>*ICEV*</v>
      </c>
      <c r="E357" s="17" t="str">
        <f t="shared" si="280"/>
        <v>TRABAF</v>
      </c>
      <c r="F357" s="17" t="str">
        <f t="shared" si="280"/>
        <v>TRAFRECLHDMD</v>
      </c>
      <c r="G357" s="17" t="str">
        <f t="shared" si="280"/>
        <v>TRAFRECLHDMD</v>
      </c>
      <c r="H357" s="18">
        <v>2030</v>
      </c>
      <c r="I357" s="18" t="str">
        <f>I356</f>
        <v>LO</v>
      </c>
      <c r="J357" s="18"/>
      <c r="K357" s="20">
        <f>-SUMIFS('TRA RESID'!$P:$P,'TRA RESID'!$I:$I,G357,'TRA RESID'!$J:$J,D357,'TRA RESID'!$H:$H,E357)/SUMIFS('TRA RESID'!$P:$P,'TRA RESID'!$I:$I,G357)*O357</f>
        <v>0</v>
      </c>
      <c r="L357" s="18"/>
      <c r="M357" s="18"/>
      <c r="O357" s="21">
        <v>0.5</v>
      </c>
      <c r="S357" s="15" t="str">
        <f>IF(S356="*",S356,"")</f>
        <v>*</v>
      </c>
      <c r="T357" s="17" t="str">
        <f t="shared" si="281"/>
        <v>*BEV*</v>
      </c>
      <c r="U357" s="17" t="str">
        <f t="shared" si="281"/>
        <v>TRABAF</v>
      </c>
      <c r="V357" s="17" t="str">
        <f t="shared" si="281"/>
        <v>TRAFRECLHDMD</v>
      </c>
      <c r="W357" s="17" t="str">
        <f t="shared" si="281"/>
        <v>TRAFRECLHDMD</v>
      </c>
      <c r="X357" s="18">
        <v>2030</v>
      </c>
      <c r="Y357" s="18" t="str">
        <f>Y356</f>
        <v>LO</v>
      </c>
      <c r="Z357" s="18"/>
      <c r="AA357" s="20">
        <f>-SUMIFS('TRA RESID'!$P:$P,'TRA RESID'!$I:$I,W357,'TRA RESID'!$J:$J,T357,'TRA RESID'!$H:$H,U357)/SUMIFS('TRA RESID'!$P:$P,'TRA RESID'!$I:$I,W357)*AE357</f>
        <v>0</v>
      </c>
      <c r="AB357" s="18"/>
      <c r="AC357" s="18"/>
      <c r="AE357" s="21">
        <v>1</v>
      </c>
      <c r="AG357" s="15" t="str">
        <f>IF(AG356="*",AG356,"")</f>
        <v>*</v>
      </c>
      <c r="AH357" s="17" t="str">
        <f t="shared" si="282"/>
        <v>*HEV*</v>
      </c>
      <c r="AI357" s="17" t="str">
        <f t="shared" si="282"/>
        <v>TRABAF</v>
      </c>
      <c r="AJ357" s="17" t="str">
        <f t="shared" si="282"/>
        <v>TRAFRECLHDMD</v>
      </c>
      <c r="AK357" s="17" t="str">
        <f t="shared" si="282"/>
        <v>TRAFRECLHDMD</v>
      </c>
      <c r="AL357" s="18">
        <v>2030</v>
      </c>
      <c r="AM357" s="18" t="str">
        <f>AM356</f>
        <v>LO</v>
      </c>
      <c r="AN357" s="18"/>
      <c r="AO357" s="20">
        <f>-SUMIFS('TRA RESID'!$P:$P,'TRA RESID'!$I:$I,AK357,'TRA RESID'!$J:$J,AH357,'TRA RESID'!$H:$H,AI357)/SUMIFS('TRA RESID'!$P:$P,'TRA RESID'!$I:$I,AK357)*AS357</f>
        <v>0</v>
      </c>
      <c r="AP357" s="18"/>
      <c r="AQ357" s="18"/>
      <c r="AS357" s="21">
        <v>0.5</v>
      </c>
      <c r="AU357" s="15" t="str">
        <f>IF(AU356="*",AU356,"")</f>
        <v>*</v>
      </c>
      <c r="AV357" s="17" t="str">
        <f t="shared" si="283"/>
        <v>*FCEV*</v>
      </c>
      <c r="AW357" s="17" t="str">
        <f t="shared" si="283"/>
        <v>TRABAF</v>
      </c>
      <c r="AX357" s="17" t="str">
        <f t="shared" si="283"/>
        <v>TRAFRECLHDMD</v>
      </c>
      <c r="AY357" s="17" t="str">
        <f t="shared" si="283"/>
        <v>TRAFRECLHDMD</v>
      </c>
      <c r="AZ357" s="18">
        <v>2030</v>
      </c>
      <c r="BA357" s="18" t="str">
        <f>BA356</f>
        <v>LO</v>
      </c>
      <c r="BB357" s="18"/>
      <c r="BC357" s="20">
        <f>-SUMIFS('TRA RESID'!$P:$P,'TRA RESID'!$I:$I,AY357,'TRA RESID'!$J:$J,AV357,'TRA RESID'!$H:$H,AW357)/SUMIFS('TRA RESID'!$P:$P,'TRA RESID'!$I:$I,AY357)*BG357</f>
        <v>0</v>
      </c>
      <c r="BD357" s="18"/>
      <c r="BE357" s="18"/>
      <c r="BG357" s="21">
        <v>0.5</v>
      </c>
    </row>
    <row r="358" spans="1:59" x14ac:dyDescent="0.25">
      <c r="C358" s="15" t="str">
        <f>IF(C357="*",C357,"")</f>
        <v>*</v>
      </c>
      <c r="D358" s="17" t="str">
        <f t="shared" si="280"/>
        <v>*ICEV*</v>
      </c>
      <c r="E358" s="17" t="str">
        <f t="shared" si="280"/>
        <v>TRABAF</v>
      </c>
      <c r="F358" s="17" t="str">
        <f t="shared" si="280"/>
        <v>TRAFRECLHDMD</v>
      </c>
      <c r="G358" s="17" t="str">
        <f t="shared" si="280"/>
        <v>TRAFRECLHDMD</v>
      </c>
      <c r="H358" s="18">
        <v>2040</v>
      </c>
      <c r="I358" s="18" t="str">
        <f>I357</f>
        <v>LO</v>
      </c>
      <c r="J358" s="18"/>
      <c r="K358" s="20">
        <f>-SUMIFS('TRA RESID'!$P:$P,'TRA RESID'!$I:$I,G358,'TRA RESID'!$J:$J,D358,'TRA RESID'!$H:$H,E358)/SUMIFS('TRA RESID'!$P:$P,'TRA RESID'!$I:$I,G358)*O358</f>
        <v>0</v>
      </c>
      <c r="L358" s="18"/>
      <c r="M358" s="18"/>
      <c r="O358" s="21">
        <v>0</v>
      </c>
      <c r="S358" s="15" t="str">
        <f>IF(S357="*",S357,"")</f>
        <v>*</v>
      </c>
      <c r="T358" s="17" t="str">
        <f t="shared" si="281"/>
        <v>*BEV*</v>
      </c>
      <c r="U358" s="17" t="str">
        <f t="shared" si="281"/>
        <v>TRABAF</v>
      </c>
      <c r="V358" s="17" t="str">
        <f t="shared" si="281"/>
        <v>TRAFRECLHDMD</v>
      </c>
      <c r="W358" s="17" t="str">
        <f t="shared" si="281"/>
        <v>TRAFRECLHDMD</v>
      </c>
      <c r="X358" s="18">
        <v>2040</v>
      </c>
      <c r="Y358" s="18" t="str">
        <f>Y357</f>
        <v>LO</v>
      </c>
      <c r="Z358" s="18"/>
      <c r="AA358" s="20">
        <f>-SUMIFS('TRA RESID'!$P:$P,'TRA RESID'!$I:$I,W358,'TRA RESID'!$J:$J,T358,'TRA RESID'!$H:$H,U358)/SUMIFS('TRA RESID'!$P:$P,'TRA RESID'!$I:$I,W358)*AE358</f>
        <v>0</v>
      </c>
      <c r="AB358" s="18"/>
      <c r="AC358" s="18"/>
      <c r="AE358" s="21">
        <v>1</v>
      </c>
      <c r="AG358" s="15" t="str">
        <f>IF(AG357="*",AG357,"")</f>
        <v>*</v>
      </c>
      <c r="AH358" s="17" t="str">
        <f t="shared" si="282"/>
        <v>*HEV*</v>
      </c>
      <c r="AI358" s="17" t="str">
        <f t="shared" si="282"/>
        <v>TRABAF</v>
      </c>
      <c r="AJ358" s="17" t="str">
        <f t="shared" si="282"/>
        <v>TRAFRECLHDMD</v>
      </c>
      <c r="AK358" s="17" t="str">
        <f t="shared" si="282"/>
        <v>TRAFRECLHDMD</v>
      </c>
      <c r="AL358" s="18">
        <v>2040</v>
      </c>
      <c r="AM358" s="18" t="str">
        <f>AM357</f>
        <v>LO</v>
      </c>
      <c r="AN358" s="18"/>
      <c r="AO358" s="20">
        <f>-SUMIFS('TRA RESID'!$P:$P,'TRA RESID'!$I:$I,AK358,'TRA RESID'!$J:$J,AH358,'TRA RESID'!$H:$H,AI358)/SUMIFS('TRA RESID'!$P:$P,'TRA RESID'!$I:$I,AK358)*AS358</f>
        <v>0</v>
      </c>
      <c r="AP358" s="18"/>
      <c r="AQ358" s="18"/>
      <c r="AS358" s="21">
        <v>0</v>
      </c>
      <c r="AU358" s="15" t="str">
        <f>IF(AU357="*",AU357,"")</f>
        <v>*</v>
      </c>
      <c r="AV358" s="17" t="str">
        <f t="shared" si="283"/>
        <v>*FCEV*</v>
      </c>
      <c r="AW358" s="17" t="str">
        <f t="shared" si="283"/>
        <v>TRABAF</v>
      </c>
      <c r="AX358" s="17" t="str">
        <f t="shared" si="283"/>
        <v>TRAFRECLHDMD</v>
      </c>
      <c r="AY358" s="17" t="str">
        <f t="shared" si="283"/>
        <v>TRAFRECLHDMD</v>
      </c>
      <c r="AZ358" s="18">
        <v>2040</v>
      </c>
      <c r="BA358" s="18" t="str">
        <f>BA357</f>
        <v>LO</v>
      </c>
      <c r="BB358" s="18"/>
      <c r="BC358" s="20">
        <f>-SUMIFS('TRA RESID'!$P:$P,'TRA RESID'!$I:$I,AY358,'TRA RESID'!$J:$J,AV358,'TRA RESID'!$H:$H,AW358)/SUMIFS('TRA RESID'!$P:$P,'TRA RESID'!$I:$I,AY358)*BG358</f>
        <v>0</v>
      </c>
      <c r="BD358" s="18"/>
      <c r="BE358" s="18"/>
      <c r="BG358" s="21">
        <v>0</v>
      </c>
    </row>
    <row r="359" spans="1:59" x14ac:dyDescent="0.25">
      <c r="C359" s="23" t="str">
        <f>IF(C358="*",C358,"")</f>
        <v>*</v>
      </c>
      <c r="D359" s="25" t="str">
        <f t="shared" si="280"/>
        <v>*ICEV*</v>
      </c>
      <c r="E359" s="25" t="str">
        <f t="shared" si="280"/>
        <v>TRABAF</v>
      </c>
      <c r="F359" s="25" t="str">
        <f t="shared" si="280"/>
        <v>TRAFRECLHDMD</v>
      </c>
      <c r="G359" s="25" t="str">
        <f t="shared" si="280"/>
        <v>TRAFRECLHDMD</v>
      </c>
      <c r="H359" s="26">
        <v>2050</v>
      </c>
      <c r="I359" s="26" t="str">
        <f>I357</f>
        <v>LO</v>
      </c>
      <c r="J359" s="26"/>
      <c r="K359" s="27">
        <f>-SUMIFS('TRA RESID'!$P:$P,'TRA RESID'!$I:$I,G359,'TRA RESID'!$J:$J,D359,'TRA RESID'!$H:$H,E359)/SUMIFS('TRA RESID'!$P:$P,'TRA RESID'!$I:$I,G359)*O359</f>
        <v>0</v>
      </c>
      <c r="L359" s="26"/>
      <c r="M359" s="26"/>
      <c r="O359" s="28">
        <v>0</v>
      </c>
      <c r="S359" s="23" t="str">
        <f>IF(S358="*",S358,"")</f>
        <v>*</v>
      </c>
      <c r="T359" s="25" t="str">
        <f t="shared" si="281"/>
        <v>*BEV*</v>
      </c>
      <c r="U359" s="25" t="str">
        <f t="shared" si="281"/>
        <v>TRABAF</v>
      </c>
      <c r="V359" s="25" t="str">
        <f t="shared" si="281"/>
        <v>TRAFRECLHDMD</v>
      </c>
      <c r="W359" s="25" t="str">
        <f t="shared" si="281"/>
        <v>TRAFRECLHDMD</v>
      </c>
      <c r="X359" s="26">
        <v>2050</v>
      </c>
      <c r="Y359" s="26" t="str">
        <f>Y357</f>
        <v>LO</v>
      </c>
      <c r="Z359" s="26"/>
      <c r="AA359" s="27">
        <f>-SUMIFS('TRA RESID'!$P:$P,'TRA RESID'!$I:$I,W359,'TRA RESID'!$J:$J,T359,'TRA RESID'!$H:$H,U359)/SUMIFS('TRA RESID'!$P:$P,'TRA RESID'!$I:$I,W359)*AE359</f>
        <v>0</v>
      </c>
      <c r="AB359" s="26"/>
      <c r="AC359" s="26"/>
      <c r="AE359" s="28">
        <v>1</v>
      </c>
      <c r="AG359" s="23" t="str">
        <f>IF(AG358="*",AG358,"")</f>
        <v>*</v>
      </c>
      <c r="AH359" s="25" t="str">
        <f t="shared" si="282"/>
        <v>*HEV*</v>
      </c>
      <c r="AI359" s="25" t="str">
        <f t="shared" si="282"/>
        <v>TRABAF</v>
      </c>
      <c r="AJ359" s="25" t="str">
        <f t="shared" si="282"/>
        <v>TRAFRECLHDMD</v>
      </c>
      <c r="AK359" s="25" t="str">
        <f t="shared" si="282"/>
        <v>TRAFRECLHDMD</v>
      </c>
      <c r="AL359" s="26">
        <v>2050</v>
      </c>
      <c r="AM359" s="26" t="str">
        <f>AM357</f>
        <v>LO</v>
      </c>
      <c r="AN359" s="26"/>
      <c r="AO359" s="27">
        <f>-SUMIFS('TRA RESID'!$P:$P,'TRA RESID'!$I:$I,AK359,'TRA RESID'!$J:$J,AH359,'TRA RESID'!$H:$H,AI359)/SUMIFS('TRA RESID'!$P:$P,'TRA RESID'!$I:$I,AK359)*AS359</f>
        <v>0</v>
      </c>
      <c r="AP359" s="26"/>
      <c r="AQ359" s="26"/>
      <c r="AS359" s="28">
        <v>0</v>
      </c>
      <c r="AU359" s="23" t="str">
        <f>IF(AU358="*",AU358,"")</f>
        <v>*</v>
      </c>
      <c r="AV359" s="25" t="str">
        <f t="shared" si="283"/>
        <v>*FCEV*</v>
      </c>
      <c r="AW359" s="25" t="str">
        <f t="shared" si="283"/>
        <v>TRABAF</v>
      </c>
      <c r="AX359" s="25" t="str">
        <f t="shared" si="283"/>
        <v>TRAFRECLHDMD</v>
      </c>
      <c r="AY359" s="25" t="str">
        <f t="shared" si="283"/>
        <v>TRAFRECLHDMD</v>
      </c>
      <c r="AZ359" s="26">
        <v>2050</v>
      </c>
      <c r="BA359" s="26" t="str">
        <f>BA357</f>
        <v>LO</v>
      </c>
      <c r="BB359" s="26"/>
      <c r="BC359" s="27">
        <f>-SUMIFS('TRA RESID'!$P:$P,'TRA RESID'!$I:$I,AY359,'TRA RESID'!$J:$J,AV359,'TRA RESID'!$H:$H,AW359)/SUMIFS('TRA RESID'!$P:$P,'TRA RESID'!$I:$I,AY359)*BG359</f>
        <v>0</v>
      </c>
      <c r="BD359" s="26"/>
      <c r="BE359" s="26"/>
      <c r="BG359" s="28">
        <v>0</v>
      </c>
    </row>
    <row r="360" spans="1:59" x14ac:dyDescent="0.25">
      <c r="A360">
        <f>A355+1</f>
        <v>72</v>
      </c>
      <c r="C360" s="15" t="str">
        <f>IF(E360="","",IF(_xlfn.XLOOKUP($A360,Selected_constraint!$A:$A,Selected_constraint!$D:$D)=1,"*",IF(SUMIFS('TRA TECH'!$M:$M,'TRA TECH'!$H:$H,E360,'TRA TECH'!$I:$I,F360)=0,"*",IF(SUMIFS('TRA RESID'!$P:$P,'TRA RESID'!$I:$I,G360,'TRA RESID'!$J:$J,D360,'TRA RESID'!$H:$H,E360)=0,"*","UC_"&amp;SUBSTITUTE(D360,"*","")&amp;"_"&amp;RIGHT(E360,3)&amp;"_"&amp;F360))))</f>
        <v>*</v>
      </c>
      <c r="D360" s="17" t="s">
        <v>485</v>
      </c>
      <c r="E360" s="17" t="str">
        <f>_xlfn.XLOOKUP($A360,Selected_constraint!$A:$A,Selected_constraint!$B:$B)</f>
        <v>TRAH2G</v>
      </c>
      <c r="F360" s="17" t="str">
        <f>_xlfn.XLOOKUP($A360,Selected_constraint!$A:$A,Selected_constraint!$C:$C)</f>
        <v>TRAFRECLHDMD</v>
      </c>
      <c r="G360" s="17" t="str">
        <f>F360</f>
        <v>TRAFRECLHDMD</v>
      </c>
      <c r="H360" s="18">
        <v>2019</v>
      </c>
      <c r="I360" s="18" t="s">
        <v>483</v>
      </c>
      <c r="J360" s="18">
        <v>1</v>
      </c>
      <c r="K360" s="20">
        <f>-SUMIFS('TRA RESID'!$P:$P,'TRA RESID'!$I:$I,G360,'TRA RESID'!$J:$J,D360,'TRA RESID'!$H:$H,E360)/SUMIFS('TRA RESID'!$P:$P,'TRA RESID'!$I:$I,G360)*O360</f>
        <v>0</v>
      </c>
      <c r="L360" s="18">
        <v>0</v>
      </c>
      <c r="M360" s="18">
        <v>5</v>
      </c>
      <c r="O360" s="21">
        <v>0.98</v>
      </c>
      <c r="Q360">
        <f>Q355+1</f>
        <v>72</v>
      </c>
      <c r="S360" s="15" t="str">
        <f>IF(SUMIFS('TRA RESID'!$P:$P,'TRA RESID'!$I:$I,W360,'TRA RESID'!$J:$J,T360,'TRA RESID'!$H:$H,U360)=0,"*","UC_"&amp;SUBSTITUTE(T360,"*","")&amp;"_"&amp;RIGHT(U360,3)&amp;"_"&amp;V360)</f>
        <v>*</v>
      </c>
      <c r="T360" s="17" t="s">
        <v>486</v>
      </c>
      <c r="U360" s="17" t="str">
        <f>_xlfn.XLOOKUP($A360,Selected_constraint!$A:$A,Selected_constraint!$B:$B)</f>
        <v>TRAH2G</v>
      </c>
      <c r="V360" s="17" t="str">
        <f>_xlfn.XLOOKUP($A360,Selected_constraint!$A:$A,Selected_constraint!$C:$C)</f>
        <v>TRAFRECLHDMD</v>
      </c>
      <c r="W360" s="17" t="str">
        <f>V360</f>
        <v>TRAFRECLHDMD</v>
      </c>
      <c r="X360" s="18">
        <v>2019</v>
      </c>
      <c r="Y360" s="18" t="s">
        <v>483</v>
      </c>
      <c r="Z360" s="18">
        <v>1</v>
      </c>
      <c r="AA360" s="20">
        <f>-SUMIFS('TRA RESID'!$P:$P,'TRA RESID'!$I:$I,W360,'TRA RESID'!$J:$J,T360,'TRA RESID'!$H:$H,U360)/SUMIFS('TRA RESID'!$P:$P,'TRA RESID'!$I:$I,W360)*AE360</f>
        <v>0</v>
      </c>
      <c r="AB360" s="18">
        <v>0</v>
      </c>
      <c r="AC360" s="18">
        <v>5</v>
      </c>
      <c r="AE360" s="21">
        <v>0.98</v>
      </c>
      <c r="AG360" s="15" t="str">
        <f>IF(SUMIFS('TRA RESID'!$P:$P,'TRA RESID'!$I:$I,AK360,'TRA RESID'!$J:$J,AH360,'TRA RESID'!$H:$H,AI360)=0,"*","UC_"&amp;SUBSTITUTE(AH360,"*","")&amp;"_"&amp;RIGHT(AI360,3)&amp;"_"&amp;AJ360)</f>
        <v>*</v>
      </c>
      <c r="AH360" s="17" t="s">
        <v>487</v>
      </c>
      <c r="AI360" s="17" t="str">
        <f>_xlfn.XLOOKUP($A360,Selected_constraint!$A:$A,Selected_constraint!$B:$B)</f>
        <v>TRAH2G</v>
      </c>
      <c r="AJ360" s="17" t="str">
        <f>_xlfn.XLOOKUP($A360,Selected_constraint!$A:$A,Selected_constraint!$C:$C)</f>
        <v>TRAFRECLHDMD</v>
      </c>
      <c r="AK360" s="17" t="str">
        <f>AJ360</f>
        <v>TRAFRECLHDMD</v>
      </c>
      <c r="AL360" s="18">
        <v>2019</v>
      </c>
      <c r="AM360" s="18" t="s">
        <v>483</v>
      </c>
      <c r="AN360" s="18">
        <v>1</v>
      </c>
      <c r="AO360" s="20">
        <f>-SUMIFS('TRA RESID'!$P:$P,'TRA RESID'!$I:$I,AK360,'TRA RESID'!$J:$J,AH360,'TRA RESID'!$H:$H,AI360)/SUMIFS('TRA RESID'!$P:$P,'TRA RESID'!$I:$I,AK360)*AS360</f>
        <v>0</v>
      </c>
      <c r="AP360" s="18">
        <v>0</v>
      </c>
      <c r="AQ360" s="18">
        <v>5</v>
      </c>
      <c r="AS360" s="21">
        <v>0.98</v>
      </c>
      <c r="AU360" s="15" t="str">
        <f>IF(SUMIFS('TRA RESID'!$P:$P,'TRA RESID'!$I:$I,AY360,'TRA RESID'!$J:$J,AV360,'TRA RESID'!$H:$H,AW360)=0,"*","UC_"&amp;SUBSTITUTE(AV360,"*","")&amp;"_"&amp;RIGHT(AW360,3)&amp;"_"&amp;AX360)</f>
        <v>*</v>
      </c>
      <c r="AV360" s="17" t="s">
        <v>488</v>
      </c>
      <c r="AW360" s="17" t="str">
        <f>_xlfn.XLOOKUP($A360,Selected_constraint!$A:$A,Selected_constraint!$B:$B)</f>
        <v>TRAH2G</v>
      </c>
      <c r="AX360" s="17" t="str">
        <f>_xlfn.XLOOKUP($A360,Selected_constraint!$A:$A,Selected_constraint!$C:$C)</f>
        <v>TRAFRECLHDMD</v>
      </c>
      <c r="AY360" s="17" t="str">
        <f>AX360</f>
        <v>TRAFRECLHDMD</v>
      </c>
      <c r="AZ360" s="18">
        <v>2019</v>
      </c>
      <c r="BA360" s="18" t="s">
        <v>483</v>
      </c>
      <c r="BB360" s="18">
        <v>1</v>
      </c>
      <c r="BC360" s="20">
        <f>-SUMIFS('TRA RESID'!$P:$P,'TRA RESID'!$I:$I,AY360,'TRA RESID'!$J:$J,AV360,'TRA RESID'!$H:$H,AW360)/SUMIFS('TRA RESID'!$P:$P,'TRA RESID'!$I:$I,AY360)*BG360</f>
        <v>0</v>
      </c>
      <c r="BD360" s="18">
        <v>0</v>
      </c>
      <c r="BE360" s="18">
        <v>5</v>
      </c>
      <c r="BG360" s="21">
        <v>0.98</v>
      </c>
    </row>
    <row r="361" spans="1:59" x14ac:dyDescent="0.25">
      <c r="C361" s="15" t="str">
        <f>IF(C360="*",C360,"")</f>
        <v>*</v>
      </c>
      <c r="D361" s="17" t="str">
        <f t="shared" ref="D361:G364" si="284">D360</f>
        <v>*ICEV*</v>
      </c>
      <c r="E361" s="17" t="str">
        <f t="shared" si="284"/>
        <v>TRAH2G</v>
      </c>
      <c r="F361" s="17" t="str">
        <f t="shared" si="284"/>
        <v>TRAFRECLHDMD</v>
      </c>
      <c r="G361" s="17" t="str">
        <f t="shared" si="284"/>
        <v>TRAFRECLHDMD</v>
      </c>
      <c r="H361" s="18">
        <v>2025</v>
      </c>
      <c r="I361" s="18" t="str">
        <f>I360</f>
        <v>LO</v>
      </c>
      <c r="J361" s="18"/>
      <c r="K361" s="20">
        <f>-SUMIFS('TRA RESID'!$P:$P,'TRA RESID'!$I:$I,G361,'TRA RESID'!$J:$J,D361,'TRA RESID'!$H:$H,E361)/SUMIFS('TRA RESID'!$P:$P,'TRA RESID'!$I:$I,G361)*O361</f>
        <v>0</v>
      </c>
      <c r="L361" s="18"/>
      <c r="M361" s="18"/>
      <c r="O361" s="21">
        <v>0.8</v>
      </c>
      <c r="S361" s="15" t="str">
        <f>IF(S360="*",S360,"")</f>
        <v>*</v>
      </c>
      <c r="T361" s="17" t="str">
        <f t="shared" ref="T361:W364" si="285">T360</f>
        <v>*BEV*</v>
      </c>
      <c r="U361" s="17" t="str">
        <f t="shared" si="285"/>
        <v>TRAH2G</v>
      </c>
      <c r="V361" s="17" t="str">
        <f t="shared" si="285"/>
        <v>TRAFRECLHDMD</v>
      </c>
      <c r="W361" s="17" t="str">
        <f t="shared" si="285"/>
        <v>TRAFRECLHDMD</v>
      </c>
      <c r="X361" s="18">
        <v>2025</v>
      </c>
      <c r="Y361" s="18" t="str">
        <f>Y360</f>
        <v>LO</v>
      </c>
      <c r="Z361" s="18"/>
      <c r="AA361" s="20">
        <f>-SUMIFS('TRA RESID'!$P:$P,'TRA RESID'!$I:$I,W361,'TRA RESID'!$J:$J,T361,'TRA RESID'!$H:$H,U361)/SUMIFS('TRA RESID'!$P:$P,'TRA RESID'!$I:$I,W361)*AE361</f>
        <v>0</v>
      </c>
      <c r="AB361" s="18"/>
      <c r="AC361" s="18"/>
      <c r="AE361" s="21">
        <v>1</v>
      </c>
      <c r="AG361" s="15" t="str">
        <f>IF(AG360="*",AG360,"")</f>
        <v>*</v>
      </c>
      <c r="AH361" s="17" t="str">
        <f t="shared" ref="AH361:AK364" si="286">AH360</f>
        <v>*HEV*</v>
      </c>
      <c r="AI361" s="17" t="str">
        <f t="shared" si="286"/>
        <v>TRAH2G</v>
      </c>
      <c r="AJ361" s="17" t="str">
        <f t="shared" si="286"/>
        <v>TRAFRECLHDMD</v>
      </c>
      <c r="AK361" s="17" t="str">
        <f t="shared" si="286"/>
        <v>TRAFRECLHDMD</v>
      </c>
      <c r="AL361" s="18">
        <v>2025</v>
      </c>
      <c r="AM361" s="18" t="str">
        <f>AM360</f>
        <v>LO</v>
      </c>
      <c r="AN361" s="18"/>
      <c r="AO361" s="20">
        <f>-SUMIFS('TRA RESID'!$P:$P,'TRA RESID'!$I:$I,AK361,'TRA RESID'!$J:$J,AH361,'TRA RESID'!$H:$H,AI361)/SUMIFS('TRA RESID'!$P:$P,'TRA RESID'!$I:$I,AK361)*AS361</f>
        <v>0</v>
      </c>
      <c r="AP361" s="18"/>
      <c r="AQ361" s="18"/>
      <c r="AS361" s="21">
        <v>0.8</v>
      </c>
      <c r="AU361" s="15" t="str">
        <f>IF(AU360="*",AU360,"")</f>
        <v>*</v>
      </c>
      <c r="AV361" s="17" t="str">
        <f t="shared" ref="AV361:AY364" si="287">AV360</f>
        <v>*FCEV*</v>
      </c>
      <c r="AW361" s="17" t="str">
        <f t="shared" si="287"/>
        <v>TRAH2G</v>
      </c>
      <c r="AX361" s="17" t="str">
        <f t="shared" si="287"/>
        <v>TRAFRECLHDMD</v>
      </c>
      <c r="AY361" s="17" t="str">
        <f t="shared" si="287"/>
        <v>TRAFRECLHDMD</v>
      </c>
      <c r="AZ361" s="18">
        <v>2025</v>
      </c>
      <c r="BA361" s="18" t="str">
        <f>BA360</f>
        <v>LO</v>
      </c>
      <c r="BB361" s="18"/>
      <c r="BC361" s="20">
        <f>-SUMIFS('TRA RESID'!$P:$P,'TRA RESID'!$I:$I,AY361,'TRA RESID'!$J:$J,AV361,'TRA RESID'!$H:$H,AW361)/SUMIFS('TRA RESID'!$P:$P,'TRA RESID'!$I:$I,AY361)*BG361</f>
        <v>0</v>
      </c>
      <c r="BD361" s="18"/>
      <c r="BE361" s="18"/>
      <c r="BG361" s="21">
        <v>0.8</v>
      </c>
    </row>
    <row r="362" spans="1:59" x14ac:dyDescent="0.25">
      <c r="C362" s="15" t="str">
        <f>IF(C361="*",C361,"")</f>
        <v>*</v>
      </c>
      <c r="D362" s="17" t="str">
        <f t="shared" si="284"/>
        <v>*ICEV*</v>
      </c>
      <c r="E362" s="17" t="str">
        <f t="shared" si="284"/>
        <v>TRAH2G</v>
      </c>
      <c r="F362" s="17" t="str">
        <f t="shared" si="284"/>
        <v>TRAFRECLHDMD</v>
      </c>
      <c r="G362" s="17" t="str">
        <f t="shared" si="284"/>
        <v>TRAFRECLHDMD</v>
      </c>
      <c r="H362" s="18">
        <v>2030</v>
      </c>
      <c r="I362" s="18" t="str">
        <f>I361</f>
        <v>LO</v>
      </c>
      <c r="J362" s="18"/>
      <c r="K362" s="20">
        <f>-SUMIFS('TRA RESID'!$P:$P,'TRA RESID'!$I:$I,G362,'TRA RESID'!$J:$J,D362,'TRA RESID'!$H:$H,E362)/SUMIFS('TRA RESID'!$P:$P,'TRA RESID'!$I:$I,G362)*O362</f>
        <v>0</v>
      </c>
      <c r="L362" s="18"/>
      <c r="M362" s="18"/>
      <c r="O362" s="21">
        <v>0.5</v>
      </c>
      <c r="S362" s="15" t="str">
        <f>IF(S361="*",S361,"")</f>
        <v>*</v>
      </c>
      <c r="T362" s="17" t="str">
        <f t="shared" si="285"/>
        <v>*BEV*</v>
      </c>
      <c r="U362" s="17" t="str">
        <f t="shared" si="285"/>
        <v>TRAH2G</v>
      </c>
      <c r="V362" s="17" t="str">
        <f t="shared" si="285"/>
        <v>TRAFRECLHDMD</v>
      </c>
      <c r="W362" s="17" t="str">
        <f t="shared" si="285"/>
        <v>TRAFRECLHDMD</v>
      </c>
      <c r="X362" s="18">
        <v>2030</v>
      </c>
      <c r="Y362" s="18" t="str">
        <f>Y361</f>
        <v>LO</v>
      </c>
      <c r="Z362" s="18"/>
      <c r="AA362" s="20">
        <f>-SUMIFS('TRA RESID'!$P:$P,'TRA RESID'!$I:$I,W362,'TRA RESID'!$J:$J,T362,'TRA RESID'!$H:$H,U362)/SUMIFS('TRA RESID'!$P:$P,'TRA RESID'!$I:$I,W362)*AE362</f>
        <v>0</v>
      </c>
      <c r="AB362" s="18"/>
      <c r="AC362" s="18"/>
      <c r="AE362" s="21">
        <v>1</v>
      </c>
      <c r="AG362" s="15" t="str">
        <f>IF(AG361="*",AG361,"")</f>
        <v>*</v>
      </c>
      <c r="AH362" s="17" t="str">
        <f t="shared" si="286"/>
        <v>*HEV*</v>
      </c>
      <c r="AI362" s="17" t="str">
        <f t="shared" si="286"/>
        <v>TRAH2G</v>
      </c>
      <c r="AJ362" s="17" t="str">
        <f t="shared" si="286"/>
        <v>TRAFRECLHDMD</v>
      </c>
      <c r="AK362" s="17" t="str">
        <f t="shared" si="286"/>
        <v>TRAFRECLHDMD</v>
      </c>
      <c r="AL362" s="18">
        <v>2030</v>
      </c>
      <c r="AM362" s="18" t="str">
        <f>AM361</f>
        <v>LO</v>
      </c>
      <c r="AN362" s="18"/>
      <c r="AO362" s="20">
        <f>-SUMIFS('TRA RESID'!$P:$P,'TRA RESID'!$I:$I,AK362,'TRA RESID'!$J:$J,AH362,'TRA RESID'!$H:$H,AI362)/SUMIFS('TRA RESID'!$P:$P,'TRA RESID'!$I:$I,AK362)*AS362</f>
        <v>0</v>
      </c>
      <c r="AP362" s="18"/>
      <c r="AQ362" s="18"/>
      <c r="AS362" s="21">
        <v>0.5</v>
      </c>
      <c r="AU362" s="15" t="str">
        <f>IF(AU361="*",AU361,"")</f>
        <v>*</v>
      </c>
      <c r="AV362" s="17" t="str">
        <f t="shared" si="287"/>
        <v>*FCEV*</v>
      </c>
      <c r="AW362" s="17" t="str">
        <f t="shared" si="287"/>
        <v>TRAH2G</v>
      </c>
      <c r="AX362" s="17" t="str">
        <f t="shared" si="287"/>
        <v>TRAFRECLHDMD</v>
      </c>
      <c r="AY362" s="17" t="str">
        <f t="shared" si="287"/>
        <v>TRAFRECLHDMD</v>
      </c>
      <c r="AZ362" s="18">
        <v>2030</v>
      </c>
      <c r="BA362" s="18" t="str">
        <f>BA361</f>
        <v>LO</v>
      </c>
      <c r="BB362" s="18"/>
      <c r="BC362" s="20">
        <f>-SUMIFS('TRA RESID'!$P:$P,'TRA RESID'!$I:$I,AY362,'TRA RESID'!$J:$J,AV362,'TRA RESID'!$H:$H,AW362)/SUMIFS('TRA RESID'!$P:$P,'TRA RESID'!$I:$I,AY362)*BG362</f>
        <v>0</v>
      </c>
      <c r="BD362" s="18"/>
      <c r="BE362" s="18"/>
      <c r="BG362" s="21">
        <v>0.5</v>
      </c>
    </row>
    <row r="363" spans="1:59" x14ac:dyDescent="0.25">
      <c r="C363" s="15" t="str">
        <f>IF(C362="*",C362,"")</f>
        <v>*</v>
      </c>
      <c r="D363" s="17" t="str">
        <f t="shared" si="284"/>
        <v>*ICEV*</v>
      </c>
      <c r="E363" s="17" t="str">
        <f t="shared" si="284"/>
        <v>TRAH2G</v>
      </c>
      <c r="F363" s="17" t="str">
        <f t="shared" si="284"/>
        <v>TRAFRECLHDMD</v>
      </c>
      <c r="G363" s="17" t="str">
        <f t="shared" si="284"/>
        <v>TRAFRECLHDMD</v>
      </c>
      <c r="H363" s="18">
        <v>2040</v>
      </c>
      <c r="I363" s="18" t="str">
        <f>I362</f>
        <v>LO</v>
      </c>
      <c r="J363" s="18"/>
      <c r="K363" s="20">
        <f>-SUMIFS('TRA RESID'!$P:$P,'TRA RESID'!$I:$I,G363,'TRA RESID'!$J:$J,D363,'TRA RESID'!$H:$H,E363)/SUMIFS('TRA RESID'!$P:$P,'TRA RESID'!$I:$I,G363)*O363</f>
        <v>0</v>
      </c>
      <c r="L363" s="18"/>
      <c r="M363" s="18"/>
      <c r="O363" s="21">
        <v>0</v>
      </c>
      <c r="S363" s="15" t="str">
        <f>IF(S362="*",S362,"")</f>
        <v>*</v>
      </c>
      <c r="T363" s="17" t="str">
        <f t="shared" si="285"/>
        <v>*BEV*</v>
      </c>
      <c r="U363" s="17" t="str">
        <f t="shared" si="285"/>
        <v>TRAH2G</v>
      </c>
      <c r="V363" s="17" t="str">
        <f t="shared" si="285"/>
        <v>TRAFRECLHDMD</v>
      </c>
      <c r="W363" s="17" t="str">
        <f t="shared" si="285"/>
        <v>TRAFRECLHDMD</v>
      </c>
      <c r="X363" s="18">
        <v>2040</v>
      </c>
      <c r="Y363" s="18" t="str">
        <f>Y362</f>
        <v>LO</v>
      </c>
      <c r="Z363" s="18"/>
      <c r="AA363" s="20">
        <f>-SUMIFS('TRA RESID'!$P:$P,'TRA RESID'!$I:$I,W363,'TRA RESID'!$J:$J,T363,'TRA RESID'!$H:$H,U363)/SUMIFS('TRA RESID'!$P:$P,'TRA RESID'!$I:$I,W363)*AE363</f>
        <v>0</v>
      </c>
      <c r="AB363" s="18"/>
      <c r="AC363" s="18"/>
      <c r="AE363" s="21">
        <v>1</v>
      </c>
      <c r="AG363" s="15" t="str">
        <f>IF(AG362="*",AG362,"")</f>
        <v>*</v>
      </c>
      <c r="AH363" s="17" t="str">
        <f t="shared" si="286"/>
        <v>*HEV*</v>
      </c>
      <c r="AI363" s="17" t="str">
        <f t="shared" si="286"/>
        <v>TRAH2G</v>
      </c>
      <c r="AJ363" s="17" t="str">
        <f t="shared" si="286"/>
        <v>TRAFRECLHDMD</v>
      </c>
      <c r="AK363" s="17" t="str">
        <f t="shared" si="286"/>
        <v>TRAFRECLHDMD</v>
      </c>
      <c r="AL363" s="18">
        <v>2040</v>
      </c>
      <c r="AM363" s="18" t="str">
        <f>AM362</f>
        <v>LO</v>
      </c>
      <c r="AN363" s="18"/>
      <c r="AO363" s="20">
        <f>-SUMIFS('TRA RESID'!$P:$P,'TRA RESID'!$I:$I,AK363,'TRA RESID'!$J:$J,AH363,'TRA RESID'!$H:$H,AI363)/SUMIFS('TRA RESID'!$P:$P,'TRA RESID'!$I:$I,AK363)*AS363</f>
        <v>0</v>
      </c>
      <c r="AP363" s="18"/>
      <c r="AQ363" s="18"/>
      <c r="AS363" s="21">
        <v>0</v>
      </c>
      <c r="AU363" s="15" t="str">
        <f>IF(AU362="*",AU362,"")</f>
        <v>*</v>
      </c>
      <c r="AV363" s="17" t="str">
        <f t="shared" si="287"/>
        <v>*FCEV*</v>
      </c>
      <c r="AW363" s="17" t="str">
        <f t="shared" si="287"/>
        <v>TRAH2G</v>
      </c>
      <c r="AX363" s="17" t="str">
        <f t="shared" si="287"/>
        <v>TRAFRECLHDMD</v>
      </c>
      <c r="AY363" s="17" t="str">
        <f t="shared" si="287"/>
        <v>TRAFRECLHDMD</v>
      </c>
      <c r="AZ363" s="18">
        <v>2040</v>
      </c>
      <c r="BA363" s="18" t="str">
        <f>BA362</f>
        <v>LO</v>
      </c>
      <c r="BB363" s="18"/>
      <c r="BC363" s="20">
        <f>-SUMIFS('TRA RESID'!$P:$P,'TRA RESID'!$I:$I,AY363,'TRA RESID'!$J:$J,AV363,'TRA RESID'!$H:$H,AW363)/SUMIFS('TRA RESID'!$P:$P,'TRA RESID'!$I:$I,AY363)*BG363</f>
        <v>0</v>
      </c>
      <c r="BD363" s="18"/>
      <c r="BE363" s="18"/>
      <c r="BG363" s="21">
        <v>0</v>
      </c>
    </row>
    <row r="364" spans="1:59" x14ac:dyDescent="0.25">
      <c r="C364" s="23" t="str">
        <f>IF(C363="*",C363,"")</f>
        <v>*</v>
      </c>
      <c r="D364" s="25" t="str">
        <f t="shared" si="284"/>
        <v>*ICEV*</v>
      </c>
      <c r="E364" s="25" t="str">
        <f t="shared" si="284"/>
        <v>TRAH2G</v>
      </c>
      <c r="F364" s="25" t="str">
        <f t="shared" si="284"/>
        <v>TRAFRECLHDMD</v>
      </c>
      <c r="G364" s="25" t="str">
        <f t="shared" si="284"/>
        <v>TRAFRECLHDMD</v>
      </c>
      <c r="H364" s="26">
        <v>2050</v>
      </c>
      <c r="I364" s="26" t="str">
        <f>I362</f>
        <v>LO</v>
      </c>
      <c r="J364" s="26"/>
      <c r="K364" s="27">
        <f>-SUMIFS('TRA RESID'!$P:$P,'TRA RESID'!$I:$I,G364,'TRA RESID'!$J:$J,D364,'TRA RESID'!$H:$H,E364)/SUMIFS('TRA RESID'!$P:$P,'TRA RESID'!$I:$I,G364)*O364</f>
        <v>0</v>
      </c>
      <c r="L364" s="26"/>
      <c r="M364" s="26"/>
      <c r="O364" s="28">
        <v>0</v>
      </c>
      <c r="S364" s="23" t="str">
        <f>IF(S363="*",S363,"")</f>
        <v>*</v>
      </c>
      <c r="T364" s="25" t="str">
        <f t="shared" si="285"/>
        <v>*BEV*</v>
      </c>
      <c r="U364" s="25" t="str">
        <f t="shared" si="285"/>
        <v>TRAH2G</v>
      </c>
      <c r="V364" s="25" t="str">
        <f t="shared" si="285"/>
        <v>TRAFRECLHDMD</v>
      </c>
      <c r="W364" s="25" t="str">
        <f t="shared" si="285"/>
        <v>TRAFRECLHDMD</v>
      </c>
      <c r="X364" s="26">
        <v>2050</v>
      </c>
      <c r="Y364" s="26" t="str">
        <f>Y362</f>
        <v>LO</v>
      </c>
      <c r="Z364" s="26"/>
      <c r="AA364" s="27">
        <f>-SUMIFS('TRA RESID'!$P:$P,'TRA RESID'!$I:$I,W364,'TRA RESID'!$J:$J,T364,'TRA RESID'!$H:$H,U364)/SUMIFS('TRA RESID'!$P:$P,'TRA RESID'!$I:$I,W364)*AE364</f>
        <v>0</v>
      </c>
      <c r="AB364" s="26"/>
      <c r="AC364" s="26"/>
      <c r="AE364" s="28">
        <v>1</v>
      </c>
      <c r="AG364" s="23" t="str">
        <f>IF(AG363="*",AG363,"")</f>
        <v>*</v>
      </c>
      <c r="AH364" s="25" t="str">
        <f t="shared" si="286"/>
        <v>*HEV*</v>
      </c>
      <c r="AI364" s="25" t="str">
        <f t="shared" si="286"/>
        <v>TRAH2G</v>
      </c>
      <c r="AJ364" s="25" t="str">
        <f t="shared" si="286"/>
        <v>TRAFRECLHDMD</v>
      </c>
      <c r="AK364" s="25" t="str">
        <f t="shared" si="286"/>
        <v>TRAFRECLHDMD</v>
      </c>
      <c r="AL364" s="26">
        <v>2050</v>
      </c>
      <c r="AM364" s="26" t="str">
        <f>AM362</f>
        <v>LO</v>
      </c>
      <c r="AN364" s="26"/>
      <c r="AO364" s="27">
        <f>-SUMIFS('TRA RESID'!$P:$P,'TRA RESID'!$I:$I,AK364,'TRA RESID'!$J:$J,AH364,'TRA RESID'!$H:$H,AI364)/SUMIFS('TRA RESID'!$P:$P,'TRA RESID'!$I:$I,AK364)*AS364</f>
        <v>0</v>
      </c>
      <c r="AP364" s="26"/>
      <c r="AQ364" s="26"/>
      <c r="AS364" s="28">
        <v>0</v>
      </c>
      <c r="AU364" s="23" t="str">
        <f>IF(AU363="*",AU363,"")</f>
        <v>*</v>
      </c>
      <c r="AV364" s="25" t="str">
        <f t="shared" si="287"/>
        <v>*FCEV*</v>
      </c>
      <c r="AW364" s="25" t="str">
        <f t="shared" si="287"/>
        <v>TRAH2G</v>
      </c>
      <c r="AX364" s="25" t="str">
        <f t="shared" si="287"/>
        <v>TRAFRECLHDMD</v>
      </c>
      <c r="AY364" s="25" t="str">
        <f t="shared" si="287"/>
        <v>TRAFRECLHDMD</v>
      </c>
      <c r="AZ364" s="26">
        <v>2050</v>
      </c>
      <c r="BA364" s="26" t="str">
        <f>BA362</f>
        <v>LO</v>
      </c>
      <c r="BB364" s="26"/>
      <c r="BC364" s="27">
        <f>-SUMIFS('TRA RESID'!$P:$P,'TRA RESID'!$I:$I,AY364,'TRA RESID'!$J:$J,AV364,'TRA RESID'!$H:$H,AW364)/SUMIFS('TRA RESID'!$P:$P,'TRA RESID'!$I:$I,AY364)*BG364</f>
        <v>0</v>
      </c>
      <c r="BD364" s="26"/>
      <c r="BE364" s="26"/>
      <c r="BG364" s="28">
        <v>0</v>
      </c>
    </row>
    <row r="365" spans="1:59" x14ac:dyDescent="0.25">
      <c r="A365">
        <f>A360+1</f>
        <v>73</v>
      </c>
      <c r="C365" s="15" t="str">
        <f>IF(E365="","",IF(_xlfn.XLOOKUP($A365,Selected_constraint!$A:$A,Selected_constraint!$D:$D)=1,"*",IF(SUMIFS('TRA TECH'!$M:$M,'TRA TECH'!$H:$H,E365,'TRA TECH'!$I:$I,F365)=0,"*",IF(SUMIFS('TRA RESID'!$P:$P,'TRA RESID'!$I:$I,G365,'TRA RESID'!$J:$J,D365,'TRA RESID'!$H:$H,E365)=0,"*","UC_"&amp;SUBSTITUTE(D365,"*","")&amp;"_"&amp;RIGHT(E365,3)&amp;"_"&amp;F365))))</f>
        <v>*</v>
      </c>
      <c r="D365" s="17" t="s">
        <v>485</v>
      </c>
      <c r="E365" s="17" t="str">
        <f>_xlfn.XLOOKUP($A365,Selected_constraint!$A:$A,Selected_constraint!$B:$B)</f>
        <v>TRAGSL</v>
      </c>
      <c r="F365" s="17" t="str">
        <f>_xlfn.XLOOKUP($A365,Selected_constraint!$A:$A,Selected_constraint!$C:$C)</f>
        <v>TRAFRECSHDMD</v>
      </c>
      <c r="G365" s="17" t="str">
        <f>F365</f>
        <v>TRAFRECSHDMD</v>
      </c>
      <c r="H365" s="18">
        <v>2019</v>
      </c>
      <c r="I365" s="18" t="s">
        <v>483</v>
      </c>
      <c r="J365" s="18">
        <v>1</v>
      </c>
      <c r="K365" s="20" t="e">
        <f>-SUMIFS('TRA RESID'!$P:$P,'TRA RESID'!$I:$I,G365,'TRA RESID'!$J:$J,D365,'TRA RESID'!$H:$H,E365)/SUMIFS('TRA RESID'!$P:$P,'TRA RESID'!$I:$I,G365)*O365</f>
        <v>#DIV/0!</v>
      </c>
      <c r="L365" s="18">
        <v>0</v>
      </c>
      <c r="M365" s="18">
        <v>5</v>
      </c>
      <c r="O365" s="21">
        <v>0.98</v>
      </c>
      <c r="Q365">
        <f>Q360+1</f>
        <v>73</v>
      </c>
      <c r="S365" s="15" t="str">
        <f>IF(SUMIFS('TRA RESID'!$P:$P,'TRA RESID'!$I:$I,W365,'TRA RESID'!$J:$J,T365,'TRA RESID'!$H:$H,U365)=0,"*","UC_"&amp;SUBSTITUTE(T365,"*","")&amp;"_"&amp;RIGHT(U365,3)&amp;"_"&amp;V365)</f>
        <v>*</v>
      </c>
      <c r="T365" s="17" t="s">
        <v>486</v>
      </c>
      <c r="U365" s="17" t="str">
        <f>_xlfn.XLOOKUP($A365,Selected_constraint!$A:$A,Selected_constraint!$B:$B)</f>
        <v>TRAGSL</v>
      </c>
      <c r="V365" s="17" t="str">
        <f>_xlfn.XLOOKUP($A365,Selected_constraint!$A:$A,Selected_constraint!$C:$C)</f>
        <v>TRAFRECSHDMD</v>
      </c>
      <c r="W365" s="17" t="str">
        <f>V365</f>
        <v>TRAFRECSHDMD</v>
      </c>
      <c r="X365" s="18">
        <v>2019</v>
      </c>
      <c r="Y365" s="18" t="s">
        <v>483</v>
      </c>
      <c r="Z365" s="18">
        <v>1</v>
      </c>
      <c r="AA365" s="20" t="e">
        <f>-SUMIFS('TRA RESID'!$P:$P,'TRA RESID'!$I:$I,W365,'TRA RESID'!$J:$J,T365,'TRA RESID'!$H:$H,U365)/SUMIFS('TRA RESID'!$P:$P,'TRA RESID'!$I:$I,W365)*AE365</f>
        <v>#DIV/0!</v>
      </c>
      <c r="AB365" s="18">
        <v>0</v>
      </c>
      <c r="AC365" s="18">
        <v>5</v>
      </c>
      <c r="AE365" s="21">
        <v>0.98</v>
      </c>
      <c r="AG365" s="15" t="str">
        <f>IF(SUMIFS('TRA RESID'!$P:$P,'TRA RESID'!$I:$I,AK365,'TRA RESID'!$J:$J,AH365,'TRA RESID'!$H:$H,AI365)=0,"*","UC_"&amp;SUBSTITUTE(AH365,"*","")&amp;"_"&amp;RIGHT(AI365,3)&amp;"_"&amp;AJ365)</f>
        <v>*</v>
      </c>
      <c r="AH365" s="17" t="s">
        <v>487</v>
      </c>
      <c r="AI365" s="17" t="str">
        <f>_xlfn.XLOOKUP($A365,Selected_constraint!$A:$A,Selected_constraint!$B:$B)</f>
        <v>TRAGSL</v>
      </c>
      <c r="AJ365" s="17" t="str">
        <f>_xlfn.XLOOKUP($A365,Selected_constraint!$A:$A,Selected_constraint!$C:$C)</f>
        <v>TRAFRECSHDMD</v>
      </c>
      <c r="AK365" s="17" t="str">
        <f>AJ365</f>
        <v>TRAFRECSHDMD</v>
      </c>
      <c r="AL365" s="18">
        <v>2019</v>
      </c>
      <c r="AM365" s="18" t="s">
        <v>483</v>
      </c>
      <c r="AN365" s="18">
        <v>1</v>
      </c>
      <c r="AO365" s="20" t="e">
        <f>-SUMIFS('TRA RESID'!$P:$P,'TRA RESID'!$I:$I,AK365,'TRA RESID'!$J:$J,AH365,'TRA RESID'!$H:$H,AI365)/SUMIFS('TRA RESID'!$P:$P,'TRA RESID'!$I:$I,AK365)*AS365</f>
        <v>#DIV/0!</v>
      </c>
      <c r="AP365" s="18">
        <v>0</v>
      </c>
      <c r="AQ365" s="18">
        <v>5</v>
      </c>
      <c r="AS365" s="21">
        <v>0.98</v>
      </c>
      <c r="AU365" s="15" t="str">
        <f>IF(SUMIFS('TRA RESID'!$P:$P,'TRA RESID'!$I:$I,AY365,'TRA RESID'!$J:$J,AV365,'TRA RESID'!$H:$H,AW365)=0,"*","UC_"&amp;SUBSTITUTE(AV365,"*","")&amp;"_"&amp;RIGHT(AW365,3)&amp;"_"&amp;AX365)</f>
        <v>*</v>
      </c>
      <c r="AV365" s="17" t="s">
        <v>488</v>
      </c>
      <c r="AW365" s="17" t="str">
        <f>_xlfn.XLOOKUP($A365,Selected_constraint!$A:$A,Selected_constraint!$B:$B)</f>
        <v>TRAGSL</v>
      </c>
      <c r="AX365" s="17" t="str">
        <f>_xlfn.XLOOKUP($A365,Selected_constraint!$A:$A,Selected_constraint!$C:$C)</f>
        <v>TRAFRECSHDMD</v>
      </c>
      <c r="AY365" s="17" t="str">
        <f>AX365</f>
        <v>TRAFRECSHDMD</v>
      </c>
      <c r="AZ365" s="18">
        <v>2019</v>
      </c>
      <c r="BA365" s="18" t="s">
        <v>483</v>
      </c>
      <c r="BB365" s="18">
        <v>1</v>
      </c>
      <c r="BC365" s="20" t="e">
        <f>-SUMIFS('TRA RESID'!$P:$P,'TRA RESID'!$I:$I,AY365,'TRA RESID'!$J:$J,AV365,'TRA RESID'!$H:$H,AW365)/SUMIFS('TRA RESID'!$P:$P,'TRA RESID'!$I:$I,AY365)*BG365</f>
        <v>#DIV/0!</v>
      </c>
      <c r="BD365" s="18">
        <v>0</v>
      </c>
      <c r="BE365" s="18">
        <v>5</v>
      </c>
      <c r="BG365" s="21">
        <v>0.98</v>
      </c>
    </row>
    <row r="366" spans="1:59" x14ac:dyDescent="0.25">
      <c r="C366" s="15" t="str">
        <f>IF(C365="*",C365,"")</f>
        <v>*</v>
      </c>
      <c r="D366" s="17" t="str">
        <f t="shared" ref="D366:G369" si="288">D365</f>
        <v>*ICEV*</v>
      </c>
      <c r="E366" s="17" t="str">
        <f t="shared" si="288"/>
        <v>TRAGSL</v>
      </c>
      <c r="F366" s="17" t="str">
        <f t="shared" si="288"/>
        <v>TRAFRECSHDMD</v>
      </c>
      <c r="G366" s="17" t="str">
        <f t="shared" si="288"/>
        <v>TRAFRECSHDMD</v>
      </c>
      <c r="H366" s="18">
        <v>2025</v>
      </c>
      <c r="I366" s="18" t="str">
        <f>I365</f>
        <v>LO</v>
      </c>
      <c r="J366" s="18"/>
      <c r="K366" s="20" t="e">
        <f>-SUMIFS('TRA RESID'!$P:$P,'TRA RESID'!$I:$I,G366,'TRA RESID'!$J:$J,D366,'TRA RESID'!$H:$H,E366)/SUMIFS('TRA RESID'!$P:$P,'TRA RESID'!$I:$I,G366)*O366</f>
        <v>#DIV/0!</v>
      </c>
      <c r="L366" s="18"/>
      <c r="M366" s="18"/>
      <c r="O366" s="21">
        <v>0.8</v>
      </c>
      <c r="S366" s="15" t="str">
        <f>IF(S365="*",S365,"")</f>
        <v>*</v>
      </c>
      <c r="T366" s="17" t="str">
        <f t="shared" ref="T366:W369" si="289">T365</f>
        <v>*BEV*</v>
      </c>
      <c r="U366" s="17" t="str">
        <f t="shared" si="289"/>
        <v>TRAGSL</v>
      </c>
      <c r="V366" s="17" t="str">
        <f t="shared" si="289"/>
        <v>TRAFRECSHDMD</v>
      </c>
      <c r="W366" s="17" t="str">
        <f t="shared" si="289"/>
        <v>TRAFRECSHDMD</v>
      </c>
      <c r="X366" s="18">
        <v>2025</v>
      </c>
      <c r="Y366" s="18" t="str">
        <f>Y365</f>
        <v>LO</v>
      </c>
      <c r="Z366" s="18"/>
      <c r="AA366" s="20" t="e">
        <f>-SUMIFS('TRA RESID'!$P:$P,'TRA RESID'!$I:$I,W366,'TRA RESID'!$J:$J,T366,'TRA RESID'!$H:$H,U366)/SUMIFS('TRA RESID'!$P:$P,'TRA RESID'!$I:$I,W366)*AE366</f>
        <v>#DIV/0!</v>
      </c>
      <c r="AB366" s="18"/>
      <c r="AC366" s="18"/>
      <c r="AE366" s="21">
        <v>1</v>
      </c>
      <c r="AG366" s="15" t="str">
        <f>IF(AG365="*",AG365,"")</f>
        <v>*</v>
      </c>
      <c r="AH366" s="17" t="str">
        <f t="shared" ref="AH366:AK369" si="290">AH365</f>
        <v>*HEV*</v>
      </c>
      <c r="AI366" s="17" t="str">
        <f t="shared" si="290"/>
        <v>TRAGSL</v>
      </c>
      <c r="AJ366" s="17" t="str">
        <f t="shared" si="290"/>
        <v>TRAFRECSHDMD</v>
      </c>
      <c r="AK366" s="17" t="str">
        <f t="shared" si="290"/>
        <v>TRAFRECSHDMD</v>
      </c>
      <c r="AL366" s="18">
        <v>2025</v>
      </c>
      <c r="AM366" s="18" t="str">
        <f>AM365</f>
        <v>LO</v>
      </c>
      <c r="AN366" s="18"/>
      <c r="AO366" s="20" t="e">
        <f>-SUMIFS('TRA RESID'!$P:$P,'TRA RESID'!$I:$I,AK366,'TRA RESID'!$J:$J,AH366,'TRA RESID'!$H:$H,AI366)/SUMIFS('TRA RESID'!$P:$P,'TRA RESID'!$I:$I,AK366)*AS366</f>
        <v>#DIV/0!</v>
      </c>
      <c r="AP366" s="18"/>
      <c r="AQ366" s="18"/>
      <c r="AS366" s="21">
        <v>0.8</v>
      </c>
      <c r="AU366" s="15" t="str">
        <f>IF(AU365="*",AU365,"")</f>
        <v>*</v>
      </c>
      <c r="AV366" s="17" t="str">
        <f t="shared" ref="AV366:AY369" si="291">AV365</f>
        <v>*FCEV*</v>
      </c>
      <c r="AW366" s="17" t="str">
        <f t="shared" si="291"/>
        <v>TRAGSL</v>
      </c>
      <c r="AX366" s="17" t="str">
        <f t="shared" si="291"/>
        <v>TRAFRECSHDMD</v>
      </c>
      <c r="AY366" s="17" t="str">
        <f t="shared" si="291"/>
        <v>TRAFRECSHDMD</v>
      </c>
      <c r="AZ366" s="18">
        <v>2025</v>
      </c>
      <c r="BA366" s="18" t="str">
        <f>BA365</f>
        <v>LO</v>
      </c>
      <c r="BB366" s="18"/>
      <c r="BC366" s="20" t="e">
        <f>-SUMIFS('TRA RESID'!$P:$P,'TRA RESID'!$I:$I,AY366,'TRA RESID'!$J:$J,AV366,'TRA RESID'!$H:$H,AW366)/SUMIFS('TRA RESID'!$P:$P,'TRA RESID'!$I:$I,AY366)*BG366</f>
        <v>#DIV/0!</v>
      </c>
      <c r="BD366" s="18"/>
      <c r="BE366" s="18"/>
      <c r="BG366" s="21">
        <v>0.8</v>
      </c>
    </row>
    <row r="367" spans="1:59" x14ac:dyDescent="0.25">
      <c r="C367" s="15" t="str">
        <f>IF(C366="*",C366,"")</f>
        <v>*</v>
      </c>
      <c r="D367" s="17" t="str">
        <f t="shared" si="288"/>
        <v>*ICEV*</v>
      </c>
      <c r="E367" s="17" t="str">
        <f t="shared" si="288"/>
        <v>TRAGSL</v>
      </c>
      <c r="F367" s="17" t="str">
        <f t="shared" si="288"/>
        <v>TRAFRECSHDMD</v>
      </c>
      <c r="G367" s="17" t="str">
        <f t="shared" si="288"/>
        <v>TRAFRECSHDMD</v>
      </c>
      <c r="H367" s="18">
        <v>2030</v>
      </c>
      <c r="I367" s="18" t="str">
        <f>I366</f>
        <v>LO</v>
      </c>
      <c r="J367" s="18"/>
      <c r="K367" s="20" t="e">
        <f>-SUMIFS('TRA RESID'!$P:$P,'TRA RESID'!$I:$I,G367,'TRA RESID'!$J:$J,D367,'TRA RESID'!$H:$H,E367)/SUMIFS('TRA RESID'!$P:$P,'TRA RESID'!$I:$I,G367)*O367</f>
        <v>#DIV/0!</v>
      </c>
      <c r="L367" s="18"/>
      <c r="M367" s="18"/>
      <c r="O367" s="21">
        <v>0.5</v>
      </c>
      <c r="S367" s="15" t="str">
        <f>IF(S366="*",S366,"")</f>
        <v>*</v>
      </c>
      <c r="T367" s="17" t="str">
        <f t="shared" si="289"/>
        <v>*BEV*</v>
      </c>
      <c r="U367" s="17" t="str">
        <f t="shared" si="289"/>
        <v>TRAGSL</v>
      </c>
      <c r="V367" s="17" t="str">
        <f t="shared" si="289"/>
        <v>TRAFRECSHDMD</v>
      </c>
      <c r="W367" s="17" t="str">
        <f t="shared" si="289"/>
        <v>TRAFRECSHDMD</v>
      </c>
      <c r="X367" s="18">
        <v>2030</v>
      </c>
      <c r="Y367" s="18" t="str">
        <f>Y366</f>
        <v>LO</v>
      </c>
      <c r="Z367" s="18"/>
      <c r="AA367" s="20" t="e">
        <f>-SUMIFS('TRA RESID'!$P:$P,'TRA RESID'!$I:$I,W367,'TRA RESID'!$J:$J,T367,'TRA RESID'!$H:$H,U367)/SUMIFS('TRA RESID'!$P:$P,'TRA RESID'!$I:$I,W367)*AE367</f>
        <v>#DIV/0!</v>
      </c>
      <c r="AB367" s="18"/>
      <c r="AC367" s="18"/>
      <c r="AE367" s="21">
        <v>1</v>
      </c>
      <c r="AG367" s="15" t="str">
        <f>IF(AG366="*",AG366,"")</f>
        <v>*</v>
      </c>
      <c r="AH367" s="17" t="str">
        <f t="shared" si="290"/>
        <v>*HEV*</v>
      </c>
      <c r="AI367" s="17" t="str">
        <f t="shared" si="290"/>
        <v>TRAGSL</v>
      </c>
      <c r="AJ367" s="17" t="str">
        <f t="shared" si="290"/>
        <v>TRAFRECSHDMD</v>
      </c>
      <c r="AK367" s="17" t="str">
        <f t="shared" si="290"/>
        <v>TRAFRECSHDMD</v>
      </c>
      <c r="AL367" s="18">
        <v>2030</v>
      </c>
      <c r="AM367" s="18" t="str">
        <f>AM366</f>
        <v>LO</v>
      </c>
      <c r="AN367" s="18"/>
      <c r="AO367" s="20" t="e">
        <f>-SUMIFS('TRA RESID'!$P:$P,'TRA RESID'!$I:$I,AK367,'TRA RESID'!$J:$J,AH367,'TRA RESID'!$H:$H,AI367)/SUMIFS('TRA RESID'!$P:$P,'TRA RESID'!$I:$I,AK367)*AS367</f>
        <v>#DIV/0!</v>
      </c>
      <c r="AP367" s="18"/>
      <c r="AQ367" s="18"/>
      <c r="AS367" s="21">
        <v>0.5</v>
      </c>
      <c r="AU367" s="15" t="str">
        <f>IF(AU366="*",AU366,"")</f>
        <v>*</v>
      </c>
      <c r="AV367" s="17" t="str">
        <f t="shared" si="291"/>
        <v>*FCEV*</v>
      </c>
      <c r="AW367" s="17" t="str">
        <f t="shared" si="291"/>
        <v>TRAGSL</v>
      </c>
      <c r="AX367" s="17" t="str">
        <f t="shared" si="291"/>
        <v>TRAFRECSHDMD</v>
      </c>
      <c r="AY367" s="17" t="str">
        <f t="shared" si="291"/>
        <v>TRAFRECSHDMD</v>
      </c>
      <c r="AZ367" s="18">
        <v>2030</v>
      </c>
      <c r="BA367" s="18" t="str">
        <f>BA366</f>
        <v>LO</v>
      </c>
      <c r="BB367" s="18"/>
      <c r="BC367" s="20" t="e">
        <f>-SUMIFS('TRA RESID'!$P:$P,'TRA RESID'!$I:$I,AY367,'TRA RESID'!$J:$J,AV367,'TRA RESID'!$H:$H,AW367)/SUMIFS('TRA RESID'!$P:$P,'TRA RESID'!$I:$I,AY367)*BG367</f>
        <v>#DIV/0!</v>
      </c>
      <c r="BD367" s="18"/>
      <c r="BE367" s="18"/>
      <c r="BG367" s="21">
        <v>0.5</v>
      </c>
    </row>
    <row r="368" spans="1:59" x14ac:dyDescent="0.25">
      <c r="C368" s="15" t="str">
        <f>IF(C367="*",C367,"")</f>
        <v>*</v>
      </c>
      <c r="D368" s="17" t="str">
        <f t="shared" si="288"/>
        <v>*ICEV*</v>
      </c>
      <c r="E368" s="17" t="str">
        <f t="shared" si="288"/>
        <v>TRAGSL</v>
      </c>
      <c r="F368" s="17" t="str">
        <f t="shared" si="288"/>
        <v>TRAFRECSHDMD</v>
      </c>
      <c r="G368" s="17" t="str">
        <f t="shared" si="288"/>
        <v>TRAFRECSHDMD</v>
      </c>
      <c r="H368" s="18">
        <v>2040</v>
      </c>
      <c r="I368" s="18" t="str">
        <f>I367</f>
        <v>LO</v>
      </c>
      <c r="J368" s="18"/>
      <c r="K368" s="20" t="e">
        <f>-SUMIFS('TRA RESID'!$P:$P,'TRA RESID'!$I:$I,G368,'TRA RESID'!$J:$J,D368,'TRA RESID'!$H:$H,E368)/SUMIFS('TRA RESID'!$P:$P,'TRA RESID'!$I:$I,G368)*O368</f>
        <v>#DIV/0!</v>
      </c>
      <c r="L368" s="18"/>
      <c r="M368" s="18"/>
      <c r="O368" s="21">
        <v>0</v>
      </c>
      <c r="S368" s="15" t="str">
        <f>IF(S367="*",S367,"")</f>
        <v>*</v>
      </c>
      <c r="T368" s="17" t="str">
        <f t="shared" si="289"/>
        <v>*BEV*</v>
      </c>
      <c r="U368" s="17" t="str">
        <f t="shared" si="289"/>
        <v>TRAGSL</v>
      </c>
      <c r="V368" s="17" t="str">
        <f t="shared" si="289"/>
        <v>TRAFRECSHDMD</v>
      </c>
      <c r="W368" s="17" t="str">
        <f t="shared" si="289"/>
        <v>TRAFRECSHDMD</v>
      </c>
      <c r="X368" s="18">
        <v>2040</v>
      </c>
      <c r="Y368" s="18" t="str">
        <f>Y367</f>
        <v>LO</v>
      </c>
      <c r="Z368" s="18"/>
      <c r="AA368" s="20" t="e">
        <f>-SUMIFS('TRA RESID'!$P:$P,'TRA RESID'!$I:$I,W368,'TRA RESID'!$J:$J,T368,'TRA RESID'!$H:$H,U368)/SUMIFS('TRA RESID'!$P:$P,'TRA RESID'!$I:$I,W368)*AE368</f>
        <v>#DIV/0!</v>
      </c>
      <c r="AB368" s="18"/>
      <c r="AC368" s="18"/>
      <c r="AE368" s="21">
        <v>1</v>
      </c>
      <c r="AG368" s="15" t="str">
        <f>IF(AG367="*",AG367,"")</f>
        <v>*</v>
      </c>
      <c r="AH368" s="17" t="str">
        <f t="shared" si="290"/>
        <v>*HEV*</v>
      </c>
      <c r="AI368" s="17" t="str">
        <f t="shared" si="290"/>
        <v>TRAGSL</v>
      </c>
      <c r="AJ368" s="17" t="str">
        <f t="shared" si="290"/>
        <v>TRAFRECSHDMD</v>
      </c>
      <c r="AK368" s="17" t="str">
        <f t="shared" si="290"/>
        <v>TRAFRECSHDMD</v>
      </c>
      <c r="AL368" s="18">
        <v>2040</v>
      </c>
      <c r="AM368" s="18" t="str">
        <f>AM367</f>
        <v>LO</v>
      </c>
      <c r="AN368" s="18"/>
      <c r="AO368" s="20" t="e">
        <f>-SUMIFS('TRA RESID'!$P:$P,'TRA RESID'!$I:$I,AK368,'TRA RESID'!$J:$J,AH368,'TRA RESID'!$H:$H,AI368)/SUMIFS('TRA RESID'!$P:$P,'TRA RESID'!$I:$I,AK368)*AS368</f>
        <v>#DIV/0!</v>
      </c>
      <c r="AP368" s="18"/>
      <c r="AQ368" s="18"/>
      <c r="AS368" s="21">
        <v>0</v>
      </c>
      <c r="AU368" s="15" t="str">
        <f>IF(AU367="*",AU367,"")</f>
        <v>*</v>
      </c>
      <c r="AV368" s="17" t="str">
        <f t="shared" si="291"/>
        <v>*FCEV*</v>
      </c>
      <c r="AW368" s="17" t="str">
        <f t="shared" si="291"/>
        <v>TRAGSL</v>
      </c>
      <c r="AX368" s="17" t="str">
        <f t="shared" si="291"/>
        <v>TRAFRECSHDMD</v>
      </c>
      <c r="AY368" s="17" t="str">
        <f t="shared" si="291"/>
        <v>TRAFRECSHDMD</v>
      </c>
      <c r="AZ368" s="18">
        <v>2040</v>
      </c>
      <c r="BA368" s="18" t="str">
        <f>BA367</f>
        <v>LO</v>
      </c>
      <c r="BB368" s="18"/>
      <c r="BC368" s="20" t="e">
        <f>-SUMIFS('TRA RESID'!$P:$P,'TRA RESID'!$I:$I,AY368,'TRA RESID'!$J:$J,AV368,'TRA RESID'!$H:$H,AW368)/SUMIFS('TRA RESID'!$P:$P,'TRA RESID'!$I:$I,AY368)*BG368</f>
        <v>#DIV/0!</v>
      </c>
      <c r="BD368" s="18"/>
      <c r="BE368" s="18"/>
      <c r="BG368" s="21">
        <v>0</v>
      </c>
    </row>
    <row r="369" spans="1:59" x14ac:dyDescent="0.25">
      <c r="C369" s="23" t="str">
        <f>IF(C368="*",C368,"")</f>
        <v>*</v>
      </c>
      <c r="D369" s="25" t="str">
        <f t="shared" si="288"/>
        <v>*ICEV*</v>
      </c>
      <c r="E369" s="25" t="str">
        <f t="shared" si="288"/>
        <v>TRAGSL</v>
      </c>
      <c r="F369" s="25" t="str">
        <f t="shared" si="288"/>
        <v>TRAFRECSHDMD</v>
      </c>
      <c r="G369" s="25" t="str">
        <f t="shared" si="288"/>
        <v>TRAFRECSHDMD</v>
      </c>
      <c r="H369" s="26">
        <v>2050</v>
      </c>
      <c r="I369" s="26" t="str">
        <f>I367</f>
        <v>LO</v>
      </c>
      <c r="J369" s="26"/>
      <c r="K369" s="27" t="e">
        <f>-SUMIFS('TRA RESID'!$P:$P,'TRA RESID'!$I:$I,G369,'TRA RESID'!$J:$J,D369,'TRA RESID'!$H:$H,E369)/SUMIFS('TRA RESID'!$P:$P,'TRA RESID'!$I:$I,G369)*O369</f>
        <v>#DIV/0!</v>
      </c>
      <c r="L369" s="26"/>
      <c r="M369" s="26"/>
      <c r="O369" s="28">
        <v>0</v>
      </c>
      <c r="S369" s="23" t="str">
        <f>IF(S368="*",S368,"")</f>
        <v>*</v>
      </c>
      <c r="T369" s="25" t="str">
        <f t="shared" si="289"/>
        <v>*BEV*</v>
      </c>
      <c r="U369" s="25" t="str">
        <f t="shared" si="289"/>
        <v>TRAGSL</v>
      </c>
      <c r="V369" s="25" t="str">
        <f t="shared" si="289"/>
        <v>TRAFRECSHDMD</v>
      </c>
      <c r="W369" s="25" t="str">
        <f t="shared" si="289"/>
        <v>TRAFRECSHDMD</v>
      </c>
      <c r="X369" s="26">
        <v>2050</v>
      </c>
      <c r="Y369" s="26" t="str">
        <f>Y367</f>
        <v>LO</v>
      </c>
      <c r="Z369" s="26"/>
      <c r="AA369" s="27" t="e">
        <f>-SUMIFS('TRA RESID'!$P:$P,'TRA RESID'!$I:$I,W369,'TRA RESID'!$J:$J,T369,'TRA RESID'!$H:$H,U369)/SUMIFS('TRA RESID'!$P:$P,'TRA RESID'!$I:$I,W369)*AE369</f>
        <v>#DIV/0!</v>
      </c>
      <c r="AB369" s="26"/>
      <c r="AC369" s="26"/>
      <c r="AE369" s="28">
        <v>1</v>
      </c>
      <c r="AG369" s="23" t="str">
        <f>IF(AG368="*",AG368,"")</f>
        <v>*</v>
      </c>
      <c r="AH369" s="25" t="str">
        <f t="shared" si="290"/>
        <v>*HEV*</v>
      </c>
      <c r="AI369" s="25" t="str">
        <f t="shared" si="290"/>
        <v>TRAGSL</v>
      </c>
      <c r="AJ369" s="25" t="str">
        <f t="shared" si="290"/>
        <v>TRAFRECSHDMD</v>
      </c>
      <c r="AK369" s="25" t="str">
        <f t="shared" si="290"/>
        <v>TRAFRECSHDMD</v>
      </c>
      <c r="AL369" s="26">
        <v>2050</v>
      </c>
      <c r="AM369" s="26" t="str">
        <f>AM367</f>
        <v>LO</v>
      </c>
      <c r="AN369" s="26"/>
      <c r="AO369" s="27" t="e">
        <f>-SUMIFS('TRA RESID'!$P:$P,'TRA RESID'!$I:$I,AK369,'TRA RESID'!$J:$J,AH369,'TRA RESID'!$H:$H,AI369)/SUMIFS('TRA RESID'!$P:$P,'TRA RESID'!$I:$I,AK369)*AS369</f>
        <v>#DIV/0!</v>
      </c>
      <c r="AP369" s="26"/>
      <c r="AQ369" s="26"/>
      <c r="AS369" s="28">
        <v>0</v>
      </c>
      <c r="AU369" s="23" t="str">
        <f>IF(AU368="*",AU368,"")</f>
        <v>*</v>
      </c>
      <c r="AV369" s="25" t="str">
        <f t="shared" si="291"/>
        <v>*FCEV*</v>
      </c>
      <c r="AW369" s="25" t="str">
        <f t="shared" si="291"/>
        <v>TRAGSL</v>
      </c>
      <c r="AX369" s="25" t="str">
        <f t="shared" si="291"/>
        <v>TRAFRECSHDMD</v>
      </c>
      <c r="AY369" s="25" t="str">
        <f t="shared" si="291"/>
        <v>TRAFRECSHDMD</v>
      </c>
      <c r="AZ369" s="26">
        <v>2050</v>
      </c>
      <c r="BA369" s="26" t="str">
        <f>BA367</f>
        <v>LO</v>
      </c>
      <c r="BB369" s="26"/>
      <c r="BC369" s="27" t="e">
        <f>-SUMIFS('TRA RESID'!$P:$P,'TRA RESID'!$I:$I,AY369,'TRA RESID'!$J:$J,AV369,'TRA RESID'!$H:$H,AW369)/SUMIFS('TRA RESID'!$P:$P,'TRA RESID'!$I:$I,AY369)*BG369</f>
        <v>#DIV/0!</v>
      </c>
      <c r="BD369" s="26"/>
      <c r="BE369" s="26"/>
      <c r="BG369" s="28">
        <v>0</v>
      </c>
    </row>
    <row r="370" spans="1:59" x14ac:dyDescent="0.25">
      <c r="A370">
        <f>A365+1</f>
        <v>74</v>
      </c>
      <c r="C370" s="15" t="str">
        <f>IF(E370="","",IF(_xlfn.XLOOKUP($A370,Selected_constraint!$A:$A,Selected_constraint!$D:$D)=1,"*",IF(SUMIFS('TRA TECH'!$M:$M,'TRA TECH'!$H:$H,E370,'TRA TECH'!$I:$I,F370)=0,"*",IF(SUMIFS('TRA RESID'!$P:$P,'TRA RESID'!$I:$I,G370,'TRA RESID'!$J:$J,D370,'TRA RESID'!$H:$H,E370)=0,"*","UC_"&amp;SUBSTITUTE(D370,"*","")&amp;"_"&amp;RIGHT(E370,3)&amp;"_"&amp;F370))))</f>
        <v>*</v>
      </c>
      <c r="D370" s="17" t="s">
        <v>485</v>
      </c>
      <c r="E370" s="17" t="str">
        <f>_xlfn.XLOOKUP($A370,Selected_constraint!$A:$A,Selected_constraint!$B:$B)</f>
        <v>TRAETH</v>
      </c>
      <c r="F370" s="17" t="str">
        <f>_xlfn.XLOOKUP($A370,Selected_constraint!$A:$A,Selected_constraint!$C:$C)</f>
        <v>TRAFRECSHDMD</v>
      </c>
      <c r="G370" s="17" t="str">
        <f>F370</f>
        <v>TRAFRECSHDMD</v>
      </c>
      <c r="H370" s="18">
        <v>2019</v>
      </c>
      <c r="I370" s="18" t="s">
        <v>483</v>
      </c>
      <c r="J370" s="18">
        <v>1</v>
      </c>
      <c r="K370" s="20" t="e">
        <f>-SUMIFS('TRA RESID'!$P:$P,'TRA RESID'!$I:$I,G370,'TRA RESID'!$J:$J,D370,'TRA RESID'!$H:$H,E370)/SUMIFS('TRA RESID'!$P:$P,'TRA RESID'!$I:$I,G370)*O370</f>
        <v>#DIV/0!</v>
      </c>
      <c r="L370" s="18">
        <v>0</v>
      </c>
      <c r="M370" s="18">
        <v>5</v>
      </c>
      <c r="O370" s="21">
        <v>0.98</v>
      </c>
      <c r="Q370">
        <f>Q365+1</f>
        <v>74</v>
      </c>
      <c r="S370" s="15" t="str">
        <f>IF(SUMIFS('TRA RESID'!$P:$P,'TRA RESID'!$I:$I,W370,'TRA RESID'!$J:$J,T370,'TRA RESID'!$H:$H,U370)=0,"*","UC_"&amp;SUBSTITUTE(T370,"*","")&amp;"_"&amp;RIGHT(U370,3)&amp;"_"&amp;V370)</f>
        <v>*</v>
      </c>
      <c r="T370" s="17" t="s">
        <v>486</v>
      </c>
      <c r="U370" s="17" t="str">
        <f>_xlfn.XLOOKUP($A370,Selected_constraint!$A:$A,Selected_constraint!$B:$B)</f>
        <v>TRAETH</v>
      </c>
      <c r="V370" s="17" t="str">
        <f>_xlfn.XLOOKUP($A370,Selected_constraint!$A:$A,Selected_constraint!$C:$C)</f>
        <v>TRAFRECSHDMD</v>
      </c>
      <c r="W370" s="17" t="str">
        <f>V370</f>
        <v>TRAFRECSHDMD</v>
      </c>
      <c r="X370" s="18">
        <v>2019</v>
      </c>
      <c r="Y370" s="18" t="s">
        <v>483</v>
      </c>
      <c r="Z370" s="18">
        <v>1</v>
      </c>
      <c r="AA370" s="20" t="e">
        <f>-SUMIFS('TRA RESID'!$P:$P,'TRA RESID'!$I:$I,W370,'TRA RESID'!$J:$J,T370,'TRA RESID'!$H:$H,U370)/SUMIFS('TRA RESID'!$P:$P,'TRA RESID'!$I:$I,W370)*AE370</f>
        <v>#DIV/0!</v>
      </c>
      <c r="AB370" s="18">
        <v>0</v>
      </c>
      <c r="AC370" s="18">
        <v>5</v>
      </c>
      <c r="AE370" s="21">
        <v>0.98</v>
      </c>
      <c r="AG370" s="15" t="str">
        <f>IF(SUMIFS('TRA RESID'!$P:$P,'TRA RESID'!$I:$I,AK370,'TRA RESID'!$J:$J,AH370,'TRA RESID'!$H:$H,AI370)=0,"*","UC_"&amp;SUBSTITUTE(AH370,"*","")&amp;"_"&amp;RIGHT(AI370,3)&amp;"_"&amp;AJ370)</f>
        <v>*</v>
      </c>
      <c r="AH370" s="17" t="s">
        <v>487</v>
      </c>
      <c r="AI370" s="17" t="str">
        <f>_xlfn.XLOOKUP($A370,Selected_constraint!$A:$A,Selected_constraint!$B:$B)</f>
        <v>TRAETH</v>
      </c>
      <c r="AJ370" s="17" t="str">
        <f>_xlfn.XLOOKUP($A370,Selected_constraint!$A:$A,Selected_constraint!$C:$C)</f>
        <v>TRAFRECSHDMD</v>
      </c>
      <c r="AK370" s="17" t="str">
        <f>AJ370</f>
        <v>TRAFRECSHDMD</v>
      </c>
      <c r="AL370" s="18">
        <v>2019</v>
      </c>
      <c r="AM370" s="18" t="s">
        <v>483</v>
      </c>
      <c r="AN370" s="18">
        <v>1</v>
      </c>
      <c r="AO370" s="20" t="e">
        <f>-SUMIFS('TRA RESID'!$P:$P,'TRA RESID'!$I:$I,AK370,'TRA RESID'!$J:$J,AH370,'TRA RESID'!$H:$H,AI370)/SUMIFS('TRA RESID'!$P:$P,'TRA RESID'!$I:$I,AK370)*AS370</f>
        <v>#DIV/0!</v>
      </c>
      <c r="AP370" s="18">
        <v>0</v>
      </c>
      <c r="AQ370" s="18">
        <v>5</v>
      </c>
      <c r="AS370" s="21">
        <v>0.98</v>
      </c>
      <c r="AU370" s="15" t="str">
        <f>IF(SUMIFS('TRA RESID'!$P:$P,'TRA RESID'!$I:$I,AY370,'TRA RESID'!$J:$J,AV370,'TRA RESID'!$H:$H,AW370)=0,"*","UC_"&amp;SUBSTITUTE(AV370,"*","")&amp;"_"&amp;RIGHT(AW370,3)&amp;"_"&amp;AX370)</f>
        <v>*</v>
      </c>
      <c r="AV370" s="17" t="s">
        <v>488</v>
      </c>
      <c r="AW370" s="17" t="str">
        <f>_xlfn.XLOOKUP($A370,Selected_constraint!$A:$A,Selected_constraint!$B:$B)</f>
        <v>TRAETH</v>
      </c>
      <c r="AX370" s="17" t="str">
        <f>_xlfn.XLOOKUP($A370,Selected_constraint!$A:$A,Selected_constraint!$C:$C)</f>
        <v>TRAFRECSHDMD</v>
      </c>
      <c r="AY370" s="17" t="str">
        <f>AX370</f>
        <v>TRAFRECSHDMD</v>
      </c>
      <c r="AZ370" s="18">
        <v>2019</v>
      </c>
      <c r="BA370" s="18" t="s">
        <v>483</v>
      </c>
      <c r="BB370" s="18">
        <v>1</v>
      </c>
      <c r="BC370" s="20" t="e">
        <f>-SUMIFS('TRA RESID'!$P:$P,'TRA RESID'!$I:$I,AY370,'TRA RESID'!$J:$J,AV370,'TRA RESID'!$H:$H,AW370)/SUMIFS('TRA RESID'!$P:$P,'TRA RESID'!$I:$I,AY370)*BG370</f>
        <v>#DIV/0!</v>
      </c>
      <c r="BD370" s="18">
        <v>0</v>
      </c>
      <c r="BE370" s="18">
        <v>5</v>
      </c>
      <c r="BG370" s="21">
        <v>0.98</v>
      </c>
    </row>
    <row r="371" spans="1:59" x14ac:dyDescent="0.25">
      <c r="C371" s="15" t="str">
        <f>IF(C370="*",C370,"")</f>
        <v>*</v>
      </c>
      <c r="D371" s="17" t="str">
        <f t="shared" ref="D371:G374" si="292">D370</f>
        <v>*ICEV*</v>
      </c>
      <c r="E371" s="17" t="str">
        <f t="shared" si="292"/>
        <v>TRAETH</v>
      </c>
      <c r="F371" s="17" t="str">
        <f t="shared" si="292"/>
        <v>TRAFRECSHDMD</v>
      </c>
      <c r="G371" s="17" t="str">
        <f t="shared" si="292"/>
        <v>TRAFRECSHDMD</v>
      </c>
      <c r="H371" s="18">
        <v>2025</v>
      </c>
      <c r="I371" s="18" t="str">
        <f>I370</f>
        <v>LO</v>
      </c>
      <c r="J371" s="18"/>
      <c r="K371" s="20" t="e">
        <f>-SUMIFS('TRA RESID'!$P:$P,'TRA RESID'!$I:$I,G371,'TRA RESID'!$J:$J,D371,'TRA RESID'!$H:$H,E371)/SUMIFS('TRA RESID'!$P:$P,'TRA RESID'!$I:$I,G371)*O371</f>
        <v>#DIV/0!</v>
      </c>
      <c r="L371" s="18"/>
      <c r="M371" s="18"/>
      <c r="O371" s="21">
        <v>0.8</v>
      </c>
      <c r="S371" s="15" t="str">
        <f>IF(S370="*",S370,"")</f>
        <v>*</v>
      </c>
      <c r="T371" s="17" t="str">
        <f t="shared" ref="T371:W374" si="293">T370</f>
        <v>*BEV*</v>
      </c>
      <c r="U371" s="17" t="str">
        <f t="shared" si="293"/>
        <v>TRAETH</v>
      </c>
      <c r="V371" s="17" t="str">
        <f t="shared" si="293"/>
        <v>TRAFRECSHDMD</v>
      </c>
      <c r="W371" s="17" t="str">
        <f t="shared" si="293"/>
        <v>TRAFRECSHDMD</v>
      </c>
      <c r="X371" s="18">
        <v>2025</v>
      </c>
      <c r="Y371" s="18" t="str">
        <f>Y370</f>
        <v>LO</v>
      </c>
      <c r="Z371" s="18"/>
      <c r="AA371" s="20" t="e">
        <f>-SUMIFS('TRA RESID'!$P:$P,'TRA RESID'!$I:$I,W371,'TRA RESID'!$J:$J,T371,'TRA RESID'!$H:$H,U371)/SUMIFS('TRA RESID'!$P:$P,'TRA RESID'!$I:$I,W371)*AE371</f>
        <v>#DIV/0!</v>
      </c>
      <c r="AB371" s="18"/>
      <c r="AC371" s="18"/>
      <c r="AE371" s="21">
        <v>1</v>
      </c>
      <c r="AG371" s="15" t="str">
        <f>IF(AG370="*",AG370,"")</f>
        <v>*</v>
      </c>
      <c r="AH371" s="17" t="str">
        <f t="shared" ref="AH371:AK374" si="294">AH370</f>
        <v>*HEV*</v>
      </c>
      <c r="AI371" s="17" t="str">
        <f t="shared" si="294"/>
        <v>TRAETH</v>
      </c>
      <c r="AJ371" s="17" t="str">
        <f t="shared" si="294"/>
        <v>TRAFRECSHDMD</v>
      </c>
      <c r="AK371" s="17" t="str">
        <f t="shared" si="294"/>
        <v>TRAFRECSHDMD</v>
      </c>
      <c r="AL371" s="18">
        <v>2025</v>
      </c>
      <c r="AM371" s="18" t="str">
        <f>AM370</f>
        <v>LO</v>
      </c>
      <c r="AN371" s="18"/>
      <c r="AO371" s="20" t="e">
        <f>-SUMIFS('TRA RESID'!$P:$P,'TRA RESID'!$I:$I,AK371,'TRA RESID'!$J:$J,AH371,'TRA RESID'!$H:$H,AI371)/SUMIFS('TRA RESID'!$P:$P,'TRA RESID'!$I:$I,AK371)*AS371</f>
        <v>#DIV/0!</v>
      </c>
      <c r="AP371" s="18"/>
      <c r="AQ371" s="18"/>
      <c r="AS371" s="21">
        <v>0.8</v>
      </c>
      <c r="AU371" s="15" t="str">
        <f>IF(AU370="*",AU370,"")</f>
        <v>*</v>
      </c>
      <c r="AV371" s="17" t="str">
        <f t="shared" ref="AV371:AY374" si="295">AV370</f>
        <v>*FCEV*</v>
      </c>
      <c r="AW371" s="17" t="str">
        <f t="shared" si="295"/>
        <v>TRAETH</v>
      </c>
      <c r="AX371" s="17" t="str">
        <f t="shared" si="295"/>
        <v>TRAFRECSHDMD</v>
      </c>
      <c r="AY371" s="17" t="str">
        <f t="shared" si="295"/>
        <v>TRAFRECSHDMD</v>
      </c>
      <c r="AZ371" s="18">
        <v>2025</v>
      </c>
      <c r="BA371" s="18" t="str">
        <f>BA370</f>
        <v>LO</v>
      </c>
      <c r="BB371" s="18"/>
      <c r="BC371" s="20" t="e">
        <f>-SUMIFS('TRA RESID'!$P:$P,'TRA RESID'!$I:$I,AY371,'TRA RESID'!$J:$J,AV371,'TRA RESID'!$H:$H,AW371)/SUMIFS('TRA RESID'!$P:$P,'TRA RESID'!$I:$I,AY371)*BG371</f>
        <v>#DIV/0!</v>
      </c>
      <c r="BD371" s="18"/>
      <c r="BE371" s="18"/>
      <c r="BG371" s="21">
        <v>0.8</v>
      </c>
    </row>
    <row r="372" spans="1:59" x14ac:dyDescent="0.25">
      <c r="C372" s="15" t="str">
        <f>IF(C371="*",C371,"")</f>
        <v>*</v>
      </c>
      <c r="D372" s="17" t="str">
        <f t="shared" si="292"/>
        <v>*ICEV*</v>
      </c>
      <c r="E372" s="17" t="str">
        <f t="shared" si="292"/>
        <v>TRAETH</v>
      </c>
      <c r="F372" s="17" t="str">
        <f t="shared" si="292"/>
        <v>TRAFRECSHDMD</v>
      </c>
      <c r="G372" s="17" t="str">
        <f t="shared" si="292"/>
        <v>TRAFRECSHDMD</v>
      </c>
      <c r="H372" s="18">
        <v>2030</v>
      </c>
      <c r="I372" s="18" t="str">
        <f>I371</f>
        <v>LO</v>
      </c>
      <c r="J372" s="18"/>
      <c r="K372" s="20" t="e">
        <f>-SUMIFS('TRA RESID'!$P:$P,'TRA RESID'!$I:$I,G372,'TRA RESID'!$J:$J,D372,'TRA RESID'!$H:$H,E372)/SUMIFS('TRA RESID'!$P:$P,'TRA RESID'!$I:$I,G372)*O372</f>
        <v>#DIV/0!</v>
      </c>
      <c r="L372" s="18"/>
      <c r="M372" s="18"/>
      <c r="O372" s="21">
        <v>0.5</v>
      </c>
      <c r="S372" s="15" t="str">
        <f>IF(S371="*",S371,"")</f>
        <v>*</v>
      </c>
      <c r="T372" s="17" t="str">
        <f t="shared" si="293"/>
        <v>*BEV*</v>
      </c>
      <c r="U372" s="17" t="str">
        <f t="shared" si="293"/>
        <v>TRAETH</v>
      </c>
      <c r="V372" s="17" t="str">
        <f t="shared" si="293"/>
        <v>TRAFRECSHDMD</v>
      </c>
      <c r="W372" s="17" t="str">
        <f t="shared" si="293"/>
        <v>TRAFRECSHDMD</v>
      </c>
      <c r="X372" s="18">
        <v>2030</v>
      </c>
      <c r="Y372" s="18" t="str">
        <f>Y371</f>
        <v>LO</v>
      </c>
      <c r="Z372" s="18"/>
      <c r="AA372" s="20" t="e">
        <f>-SUMIFS('TRA RESID'!$P:$P,'TRA RESID'!$I:$I,W372,'TRA RESID'!$J:$J,T372,'TRA RESID'!$H:$H,U372)/SUMIFS('TRA RESID'!$P:$P,'TRA RESID'!$I:$I,W372)*AE372</f>
        <v>#DIV/0!</v>
      </c>
      <c r="AB372" s="18"/>
      <c r="AC372" s="18"/>
      <c r="AE372" s="21">
        <v>1</v>
      </c>
      <c r="AG372" s="15" t="str">
        <f>IF(AG371="*",AG371,"")</f>
        <v>*</v>
      </c>
      <c r="AH372" s="17" t="str">
        <f t="shared" si="294"/>
        <v>*HEV*</v>
      </c>
      <c r="AI372" s="17" t="str">
        <f t="shared" si="294"/>
        <v>TRAETH</v>
      </c>
      <c r="AJ372" s="17" t="str">
        <f t="shared" si="294"/>
        <v>TRAFRECSHDMD</v>
      </c>
      <c r="AK372" s="17" t="str">
        <f t="shared" si="294"/>
        <v>TRAFRECSHDMD</v>
      </c>
      <c r="AL372" s="18">
        <v>2030</v>
      </c>
      <c r="AM372" s="18" t="str">
        <f>AM371</f>
        <v>LO</v>
      </c>
      <c r="AN372" s="18"/>
      <c r="AO372" s="20" t="e">
        <f>-SUMIFS('TRA RESID'!$P:$P,'TRA RESID'!$I:$I,AK372,'TRA RESID'!$J:$J,AH372,'TRA RESID'!$H:$H,AI372)/SUMIFS('TRA RESID'!$P:$P,'TRA RESID'!$I:$I,AK372)*AS372</f>
        <v>#DIV/0!</v>
      </c>
      <c r="AP372" s="18"/>
      <c r="AQ372" s="18"/>
      <c r="AS372" s="21">
        <v>0.5</v>
      </c>
      <c r="AU372" s="15" t="str">
        <f>IF(AU371="*",AU371,"")</f>
        <v>*</v>
      </c>
      <c r="AV372" s="17" t="str">
        <f t="shared" si="295"/>
        <v>*FCEV*</v>
      </c>
      <c r="AW372" s="17" t="str">
        <f t="shared" si="295"/>
        <v>TRAETH</v>
      </c>
      <c r="AX372" s="17" t="str">
        <f t="shared" si="295"/>
        <v>TRAFRECSHDMD</v>
      </c>
      <c r="AY372" s="17" t="str">
        <f t="shared" si="295"/>
        <v>TRAFRECSHDMD</v>
      </c>
      <c r="AZ372" s="18">
        <v>2030</v>
      </c>
      <c r="BA372" s="18" t="str">
        <f>BA371</f>
        <v>LO</v>
      </c>
      <c r="BB372" s="18"/>
      <c r="BC372" s="20" t="e">
        <f>-SUMIFS('TRA RESID'!$P:$P,'TRA RESID'!$I:$I,AY372,'TRA RESID'!$J:$J,AV372,'TRA RESID'!$H:$H,AW372)/SUMIFS('TRA RESID'!$P:$P,'TRA RESID'!$I:$I,AY372)*BG372</f>
        <v>#DIV/0!</v>
      </c>
      <c r="BD372" s="18"/>
      <c r="BE372" s="18"/>
      <c r="BG372" s="21">
        <v>0.5</v>
      </c>
    </row>
    <row r="373" spans="1:59" x14ac:dyDescent="0.25">
      <c r="C373" s="15" t="str">
        <f>IF(C372="*",C372,"")</f>
        <v>*</v>
      </c>
      <c r="D373" s="17" t="str">
        <f t="shared" si="292"/>
        <v>*ICEV*</v>
      </c>
      <c r="E373" s="17" t="str">
        <f t="shared" si="292"/>
        <v>TRAETH</v>
      </c>
      <c r="F373" s="17" t="str">
        <f t="shared" si="292"/>
        <v>TRAFRECSHDMD</v>
      </c>
      <c r="G373" s="17" t="str">
        <f t="shared" si="292"/>
        <v>TRAFRECSHDMD</v>
      </c>
      <c r="H373" s="18">
        <v>2040</v>
      </c>
      <c r="I373" s="18" t="str">
        <f>I372</f>
        <v>LO</v>
      </c>
      <c r="J373" s="18"/>
      <c r="K373" s="20" t="e">
        <f>-SUMIFS('TRA RESID'!$P:$P,'TRA RESID'!$I:$I,G373,'TRA RESID'!$J:$J,D373,'TRA RESID'!$H:$H,E373)/SUMIFS('TRA RESID'!$P:$P,'TRA RESID'!$I:$I,G373)*O373</f>
        <v>#DIV/0!</v>
      </c>
      <c r="L373" s="18"/>
      <c r="M373" s="18"/>
      <c r="O373" s="21">
        <v>0</v>
      </c>
      <c r="S373" s="15" t="str">
        <f>IF(S372="*",S372,"")</f>
        <v>*</v>
      </c>
      <c r="T373" s="17" t="str">
        <f t="shared" si="293"/>
        <v>*BEV*</v>
      </c>
      <c r="U373" s="17" t="str">
        <f t="shared" si="293"/>
        <v>TRAETH</v>
      </c>
      <c r="V373" s="17" t="str">
        <f t="shared" si="293"/>
        <v>TRAFRECSHDMD</v>
      </c>
      <c r="W373" s="17" t="str">
        <f t="shared" si="293"/>
        <v>TRAFRECSHDMD</v>
      </c>
      <c r="X373" s="18">
        <v>2040</v>
      </c>
      <c r="Y373" s="18" t="str">
        <f>Y372</f>
        <v>LO</v>
      </c>
      <c r="Z373" s="18"/>
      <c r="AA373" s="20" t="e">
        <f>-SUMIFS('TRA RESID'!$P:$P,'TRA RESID'!$I:$I,W373,'TRA RESID'!$J:$J,T373,'TRA RESID'!$H:$H,U373)/SUMIFS('TRA RESID'!$P:$P,'TRA RESID'!$I:$I,W373)*AE373</f>
        <v>#DIV/0!</v>
      </c>
      <c r="AB373" s="18"/>
      <c r="AC373" s="18"/>
      <c r="AE373" s="21">
        <v>1</v>
      </c>
      <c r="AG373" s="15" t="str">
        <f>IF(AG372="*",AG372,"")</f>
        <v>*</v>
      </c>
      <c r="AH373" s="17" t="str">
        <f t="shared" si="294"/>
        <v>*HEV*</v>
      </c>
      <c r="AI373" s="17" t="str">
        <f t="shared" si="294"/>
        <v>TRAETH</v>
      </c>
      <c r="AJ373" s="17" t="str">
        <f t="shared" si="294"/>
        <v>TRAFRECSHDMD</v>
      </c>
      <c r="AK373" s="17" t="str">
        <f t="shared" si="294"/>
        <v>TRAFRECSHDMD</v>
      </c>
      <c r="AL373" s="18">
        <v>2040</v>
      </c>
      <c r="AM373" s="18" t="str">
        <f>AM372</f>
        <v>LO</v>
      </c>
      <c r="AN373" s="18"/>
      <c r="AO373" s="20" t="e">
        <f>-SUMIFS('TRA RESID'!$P:$P,'TRA RESID'!$I:$I,AK373,'TRA RESID'!$J:$J,AH373,'TRA RESID'!$H:$H,AI373)/SUMIFS('TRA RESID'!$P:$P,'TRA RESID'!$I:$I,AK373)*AS373</f>
        <v>#DIV/0!</v>
      </c>
      <c r="AP373" s="18"/>
      <c r="AQ373" s="18"/>
      <c r="AS373" s="21">
        <v>0</v>
      </c>
      <c r="AU373" s="15" t="str">
        <f>IF(AU372="*",AU372,"")</f>
        <v>*</v>
      </c>
      <c r="AV373" s="17" t="str">
        <f t="shared" si="295"/>
        <v>*FCEV*</v>
      </c>
      <c r="AW373" s="17" t="str">
        <f t="shared" si="295"/>
        <v>TRAETH</v>
      </c>
      <c r="AX373" s="17" t="str">
        <f t="shared" si="295"/>
        <v>TRAFRECSHDMD</v>
      </c>
      <c r="AY373" s="17" t="str">
        <f t="shared" si="295"/>
        <v>TRAFRECSHDMD</v>
      </c>
      <c r="AZ373" s="18">
        <v>2040</v>
      </c>
      <c r="BA373" s="18" t="str">
        <f>BA372</f>
        <v>LO</v>
      </c>
      <c r="BB373" s="18"/>
      <c r="BC373" s="20" t="e">
        <f>-SUMIFS('TRA RESID'!$P:$P,'TRA RESID'!$I:$I,AY373,'TRA RESID'!$J:$J,AV373,'TRA RESID'!$H:$H,AW373)/SUMIFS('TRA RESID'!$P:$P,'TRA RESID'!$I:$I,AY373)*BG373</f>
        <v>#DIV/0!</v>
      </c>
      <c r="BD373" s="18"/>
      <c r="BE373" s="18"/>
      <c r="BG373" s="21">
        <v>0</v>
      </c>
    </row>
    <row r="374" spans="1:59" x14ac:dyDescent="0.25">
      <c r="C374" s="23" t="str">
        <f>IF(C373="*",C373,"")</f>
        <v>*</v>
      </c>
      <c r="D374" s="25" t="str">
        <f t="shared" si="292"/>
        <v>*ICEV*</v>
      </c>
      <c r="E374" s="25" t="str">
        <f t="shared" si="292"/>
        <v>TRAETH</v>
      </c>
      <c r="F374" s="25" t="str">
        <f t="shared" si="292"/>
        <v>TRAFRECSHDMD</v>
      </c>
      <c r="G374" s="25" t="str">
        <f t="shared" si="292"/>
        <v>TRAFRECSHDMD</v>
      </c>
      <c r="H374" s="26">
        <v>2050</v>
      </c>
      <c r="I374" s="26" t="str">
        <f>I372</f>
        <v>LO</v>
      </c>
      <c r="J374" s="26"/>
      <c r="K374" s="27" t="e">
        <f>-SUMIFS('TRA RESID'!$P:$P,'TRA RESID'!$I:$I,G374,'TRA RESID'!$J:$J,D374,'TRA RESID'!$H:$H,E374)/SUMIFS('TRA RESID'!$P:$P,'TRA RESID'!$I:$I,G374)*O374</f>
        <v>#DIV/0!</v>
      </c>
      <c r="L374" s="26"/>
      <c r="M374" s="26"/>
      <c r="O374" s="28">
        <v>0</v>
      </c>
      <c r="S374" s="23" t="str">
        <f>IF(S373="*",S373,"")</f>
        <v>*</v>
      </c>
      <c r="T374" s="25" t="str">
        <f t="shared" si="293"/>
        <v>*BEV*</v>
      </c>
      <c r="U374" s="25" t="str">
        <f t="shared" si="293"/>
        <v>TRAETH</v>
      </c>
      <c r="V374" s="25" t="str">
        <f t="shared" si="293"/>
        <v>TRAFRECSHDMD</v>
      </c>
      <c r="W374" s="25" t="str">
        <f t="shared" si="293"/>
        <v>TRAFRECSHDMD</v>
      </c>
      <c r="X374" s="26">
        <v>2050</v>
      </c>
      <c r="Y374" s="26" t="str">
        <f>Y372</f>
        <v>LO</v>
      </c>
      <c r="Z374" s="26"/>
      <c r="AA374" s="27" t="e">
        <f>-SUMIFS('TRA RESID'!$P:$P,'TRA RESID'!$I:$I,W374,'TRA RESID'!$J:$J,T374,'TRA RESID'!$H:$H,U374)/SUMIFS('TRA RESID'!$P:$P,'TRA RESID'!$I:$I,W374)*AE374</f>
        <v>#DIV/0!</v>
      </c>
      <c r="AB374" s="26"/>
      <c r="AC374" s="26"/>
      <c r="AE374" s="28">
        <v>1</v>
      </c>
      <c r="AG374" s="23" t="str">
        <f>IF(AG373="*",AG373,"")</f>
        <v>*</v>
      </c>
      <c r="AH374" s="25" t="str">
        <f t="shared" si="294"/>
        <v>*HEV*</v>
      </c>
      <c r="AI374" s="25" t="str">
        <f t="shared" si="294"/>
        <v>TRAETH</v>
      </c>
      <c r="AJ374" s="25" t="str">
        <f t="shared" si="294"/>
        <v>TRAFRECSHDMD</v>
      </c>
      <c r="AK374" s="25" t="str">
        <f t="shared" si="294"/>
        <v>TRAFRECSHDMD</v>
      </c>
      <c r="AL374" s="26">
        <v>2050</v>
      </c>
      <c r="AM374" s="26" t="str">
        <f>AM372</f>
        <v>LO</v>
      </c>
      <c r="AN374" s="26"/>
      <c r="AO374" s="27" t="e">
        <f>-SUMIFS('TRA RESID'!$P:$P,'TRA RESID'!$I:$I,AK374,'TRA RESID'!$J:$J,AH374,'TRA RESID'!$H:$H,AI374)/SUMIFS('TRA RESID'!$P:$P,'TRA RESID'!$I:$I,AK374)*AS374</f>
        <v>#DIV/0!</v>
      </c>
      <c r="AP374" s="26"/>
      <c r="AQ374" s="26"/>
      <c r="AS374" s="28">
        <v>0</v>
      </c>
      <c r="AU374" s="23" t="str">
        <f>IF(AU373="*",AU373,"")</f>
        <v>*</v>
      </c>
      <c r="AV374" s="25" t="str">
        <f t="shared" si="295"/>
        <v>*FCEV*</v>
      </c>
      <c r="AW374" s="25" t="str">
        <f t="shared" si="295"/>
        <v>TRAETH</v>
      </c>
      <c r="AX374" s="25" t="str">
        <f t="shared" si="295"/>
        <v>TRAFRECSHDMD</v>
      </c>
      <c r="AY374" s="25" t="str">
        <f t="shared" si="295"/>
        <v>TRAFRECSHDMD</v>
      </c>
      <c r="AZ374" s="26">
        <v>2050</v>
      </c>
      <c r="BA374" s="26" t="str">
        <f>BA372</f>
        <v>LO</v>
      </c>
      <c r="BB374" s="26"/>
      <c r="BC374" s="27" t="e">
        <f>-SUMIFS('TRA RESID'!$P:$P,'TRA RESID'!$I:$I,AY374,'TRA RESID'!$J:$J,AV374,'TRA RESID'!$H:$H,AW374)/SUMIFS('TRA RESID'!$P:$P,'TRA RESID'!$I:$I,AY374)*BG374</f>
        <v>#DIV/0!</v>
      </c>
      <c r="BD374" s="26"/>
      <c r="BE374" s="26"/>
      <c r="BG374" s="28">
        <v>0</v>
      </c>
    </row>
    <row r="375" spans="1:59" x14ac:dyDescent="0.25">
      <c r="A375">
        <f>A370+1</f>
        <v>75</v>
      </c>
      <c r="C375" s="15" t="str">
        <f>IF(E375="","",IF(_xlfn.XLOOKUP($A375,Selected_constraint!$A:$A,Selected_constraint!$D:$D)=1,"*",IF(SUMIFS('TRA TECH'!$M:$M,'TRA TECH'!$H:$H,E375,'TRA TECH'!$I:$I,F375)=0,"*",IF(SUMIFS('TRA RESID'!$P:$P,'TRA RESID'!$I:$I,G375,'TRA RESID'!$J:$J,D375,'TRA RESID'!$H:$H,E375)=0,"*","UC_"&amp;SUBSTITUTE(D375,"*","")&amp;"_"&amp;RIGHT(E375,3)&amp;"_"&amp;F375))))</f>
        <v>*</v>
      </c>
      <c r="D375" s="17" t="s">
        <v>485</v>
      </c>
      <c r="E375" s="17" t="str">
        <f>_xlfn.XLOOKUP($A375,Selected_constraint!$A:$A,Selected_constraint!$B:$B)</f>
        <v>TRADSL</v>
      </c>
      <c r="F375" s="17" t="str">
        <f>_xlfn.XLOOKUP($A375,Selected_constraint!$A:$A,Selected_constraint!$C:$C)</f>
        <v>TRAFRECSHDMD</v>
      </c>
      <c r="G375" s="17" t="str">
        <f>F375</f>
        <v>TRAFRECSHDMD</v>
      </c>
      <c r="H375" s="18">
        <v>2019</v>
      </c>
      <c r="I375" s="18" t="s">
        <v>483</v>
      </c>
      <c r="J375" s="18">
        <v>1</v>
      </c>
      <c r="K375" s="20" t="e">
        <f>-SUMIFS('TRA RESID'!$P:$P,'TRA RESID'!$I:$I,G375,'TRA RESID'!$J:$J,D375,'TRA RESID'!$H:$H,E375)/SUMIFS('TRA RESID'!$P:$P,'TRA RESID'!$I:$I,G375)*O375</f>
        <v>#DIV/0!</v>
      </c>
      <c r="L375" s="18">
        <v>0</v>
      </c>
      <c r="M375" s="18">
        <v>5</v>
      </c>
      <c r="O375" s="21">
        <v>0.98</v>
      </c>
      <c r="Q375">
        <f>Q370+1</f>
        <v>75</v>
      </c>
      <c r="S375" s="15" t="str">
        <f>IF(SUMIFS('TRA RESID'!$P:$P,'TRA RESID'!$I:$I,W375,'TRA RESID'!$J:$J,T375,'TRA RESID'!$H:$H,U375)=0,"*","UC_"&amp;SUBSTITUTE(T375,"*","")&amp;"_"&amp;RIGHT(U375,3)&amp;"_"&amp;V375)</f>
        <v>*</v>
      </c>
      <c r="T375" s="17" t="s">
        <v>486</v>
      </c>
      <c r="U375" s="17" t="str">
        <f>_xlfn.XLOOKUP($A375,Selected_constraint!$A:$A,Selected_constraint!$B:$B)</f>
        <v>TRADSL</v>
      </c>
      <c r="V375" s="17" t="str">
        <f>_xlfn.XLOOKUP($A375,Selected_constraint!$A:$A,Selected_constraint!$C:$C)</f>
        <v>TRAFRECSHDMD</v>
      </c>
      <c r="W375" s="17" t="str">
        <f>V375</f>
        <v>TRAFRECSHDMD</v>
      </c>
      <c r="X375" s="18">
        <v>2019</v>
      </c>
      <c r="Y375" s="18" t="s">
        <v>483</v>
      </c>
      <c r="Z375" s="18">
        <v>1</v>
      </c>
      <c r="AA375" s="20" t="e">
        <f>-SUMIFS('TRA RESID'!$P:$P,'TRA RESID'!$I:$I,W375,'TRA RESID'!$J:$J,T375,'TRA RESID'!$H:$H,U375)/SUMIFS('TRA RESID'!$P:$P,'TRA RESID'!$I:$I,W375)*AE375</f>
        <v>#DIV/0!</v>
      </c>
      <c r="AB375" s="18">
        <v>0</v>
      </c>
      <c r="AC375" s="18">
        <v>5</v>
      </c>
      <c r="AE375" s="21">
        <v>0.98</v>
      </c>
      <c r="AG375" s="15" t="str">
        <f>IF(SUMIFS('TRA RESID'!$P:$P,'TRA RESID'!$I:$I,AK375,'TRA RESID'!$J:$J,AH375,'TRA RESID'!$H:$H,AI375)=0,"*","UC_"&amp;SUBSTITUTE(AH375,"*","")&amp;"_"&amp;RIGHT(AI375,3)&amp;"_"&amp;AJ375)</f>
        <v>*</v>
      </c>
      <c r="AH375" s="17" t="s">
        <v>487</v>
      </c>
      <c r="AI375" s="17" t="str">
        <f>_xlfn.XLOOKUP($A375,Selected_constraint!$A:$A,Selected_constraint!$B:$B)</f>
        <v>TRADSL</v>
      </c>
      <c r="AJ375" s="17" t="str">
        <f>_xlfn.XLOOKUP($A375,Selected_constraint!$A:$A,Selected_constraint!$C:$C)</f>
        <v>TRAFRECSHDMD</v>
      </c>
      <c r="AK375" s="17" t="str">
        <f>AJ375</f>
        <v>TRAFRECSHDMD</v>
      </c>
      <c r="AL375" s="18">
        <v>2019</v>
      </c>
      <c r="AM375" s="18" t="s">
        <v>483</v>
      </c>
      <c r="AN375" s="18">
        <v>1</v>
      </c>
      <c r="AO375" s="20" t="e">
        <f>-SUMIFS('TRA RESID'!$P:$P,'TRA RESID'!$I:$I,AK375,'TRA RESID'!$J:$J,AH375,'TRA RESID'!$H:$H,AI375)/SUMIFS('TRA RESID'!$P:$P,'TRA RESID'!$I:$I,AK375)*AS375</f>
        <v>#DIV/0!</v>
      </c>
      <c r="AP375" s="18">
        <v>0</v>
      </c>
      <c r="AQ375" s="18">
        <v>5</v>
      </c>
      <c r="AS375" s="21">
        <v>0.98</v>
      </c>
      <c r="AU375" s="15" t="str">
        <f>IF(SUMIFS('TRA RESID'!$P:$P,'TRA RESID'!$I:$I,AY375,'TRA RESID'!$J:$J,AV375,'TRA RESID'!$H:$H,AW375)=0,"*","UC_"&amp;SUBSTITUTE(AV375,"*","")&amp;"_"&amp;RIGHT(AW375,3)&amp;"_"&amp;AX375)</f>
        <v>*</v>
      </c>
      <c r="AV375" s="17" t="s">
        <v>488</v>
      </c>
      <c r="AW375" s="17" t="str">
        <f>_xlfn.XLOOKUP($A375,Selected_constraint!$A:$A,Selected_constraint!$B:$B)</f>
        <v>TRADSL</v>
      </c>
      <c r="AX375" s="17" t="str">
        <f>_xlfn.XLOOKUP($A375,Selected_constraint!$A:$A,Selected_constraint!$C:$C)</f>
        <v>TRAFRECSHDMD</v>
      </c>
      <c r="AY375" s="17" t="str">
        <f>AX375</f>
        <v>TRAFRECSHDMD</v>
      </c>
      <c r="AZ375" s="18">
        <v>2019</v>
      </c>
      <c r="BA375" s="18" t="s">
        <v>483</v>
      </c>
      <c r="BB375" s="18">
        <v>1</v>
      </c>
      <c r="BC375" s="20" t="e">
        <f>-SUMIFS('TRA RESID'!$P:$P,'TRA RESID'!$I:$I,AY375,'TRA RESID'!$J:$J,AV375,'TRA RESID'!$H:$H,AW375)/SUMIFS('TRA RESID'!$P:$P,'TRA RESID'!$I:$I,AY375)*BG375</f>
        <v>#DIV/0!</v>
      </c>
      <c r="BD375" s="18">
        <v>0</v>
      </c>
      <c r="BE375" s="18">
        <v>5</v>
      </c>
      <c r="BG375" s="21">
        <v>0.98</v>
      </c>
    </row>
    <row r="376" spans="1:59" x14ac:dyDescent="0.25">
      <c r="C376" s="15" t="str">
        <f>IF(C375="*",C375,"")</f>
        <v>*</v>
      </c>
      <c r="D376" s="17" t="str">
        <f t="shared" ref="D376:G379" si="296">D375</f>
        <v>*ICEV*</v>
      </c>
      <c r="E376" s="17" t="str">
        <f t="shared" si="296"/>
        <v>TRADSL</v>
      </c>
      <c r="F376" s="17" t="str">
        <f t="shared" si="296"/>
        <v>TRAFRECSHDMD</v>
      </c>
      <c r="G376" s="17" t="str">
        <f t="shared" si="296"/>
        <v>TRAFRECSHDMD</v>
      </c>
      <c r="H376" s="18">
        <v>2025</v>
      </c>
      <c r="I376" s="18" t="str">
        <f>I375</f>
        <v>LO</v>
      </c>
      <c r="J376" s="18"/>
      <c r="K376" s="20" t="e">
        <f>-SUMIFS('TRA RESID'!$P:$P,'TRA RESID'!$I:$I,G376,'TRA RESID'!$J:$J,D376,'TRA RESID'!$H:$H,E376)/SUMIFS('TRA RESID'!$P:$P,'TRA RESID'!$I:$I,G376)*O376</f>
        <v>#DIV/0!</v>
      </c>
      <c r="L376" s="18"/>
      <c r="M376" s="18"/>
      <c r="O376" s="21">
        <v>0.8</v>
      </c>
      <c r="S376" s="15" t="str">
        <f>IF(S375="*",S375,"")</f>
        <v>*</v>
      </c>
      <c r="T376" s="17" t="str">
        <f t="shared" ref="T376:W379" si="297">T375</f>
        <v>*BEV*</v>
      </c>
      <c r="U376" s="17" t="str">
        <f t="shared" si="297"/>
        <v>TRADSL</v>
      </c>
      <c r="V376" s="17" t="str">
        <f t="shared" si="297"/>
        <v>TRAFRECSHDMD</v>
      </c>
      <c r="W376" s="17" t="str">
        <f t="shared" si="297"/>
        <v>TRAFRECSHDMD</v>
      </c>
      <c r="X376" s="18">
        <v>2025</v>
      </c>
      <c r="Y376" s="18" t="str">
        <f>Y375</f>
        <v>LO</v>
      </c>
      <c r="Z376" s="18"/>
      <c r="AA376" s="20" t="e">
        <f>-SUMIFS('TRA RESID'!$P:$P,'TRA RESID'!$I:$I,W376,'TRA RESID'!$J:$J,T376,'TRA RESID'!$H:$H,U376)/SUMIFS('TRA RESID'!$P:$P,'TRA RESID'!$I:$I,W376)*AE376</f>
        <v>#DIV/0!</v>
      </c>
      <c r="AB376" s="18"/>
      <c r="AC376" s="18"/>
      <c r="AE376" s="21">
        <v>1</v>
      </c>
      <c r="AG376" s="15" t="str">
        <f>IF(AG375="*",AG375,"")</f>
        <v>*</v>
      </c>
      <c r="AH376" s="17" t="str">
        <f t="shared" ref="AH376:AK379" si="298">AH375</f>
        <v>*HEV*</v>
      </c>
      <c r="AI376" s="17" t="str">
        <f t="shared" si="298"/>
        <v>TRADSL</v>
      </c>
      <c r="AJ376" s="17" t="str">
        <f t="shared" si="298"/>
        <v>TRAFRECSHDMD</v>
      </c>
      <c r="AK376" s="17" t="str">
        <f t="shared" si="298"/>
        <v>TRAFRECSHDMD</v>
      </c>
      <c r="AL376" s="18">
        <v>2025</v>
      </c>
      <c r="AM376" s="18" t="str">
        <f>AM375</f>
        <v>LO</v>
      </c>
      <c r="AN376" s="18"/>
      <c r="AO376" s="20" t="e">
        <f>-SUMIFS('TRA RESID'!$P:$P,'TRA RESID'!$I:$I,AK376,'TRA RESID'!$J:$J,AH376,'TRA RESID'!$H:$H,AI376)/SUMIFS('TRA RESID'!$P:$P,'TRA RESID'!$I:$I,AK376)*AS376</f>
        <v>#DIV/0!</v>
      </c>
      <c r="AP376" s="18"/>
      <c r="AQ376" s="18"/>
      <c r="AS376" s="21">
        <v>0.8</v>
      </c>
      <c r="AU376" s="15" t="str">
        <f>IF(AU375="*",AU375,"")</f>
        <v>*</v>
      </c>
      <c r="AV376" s="17" t="str">
        <f t="shared" ref="AV376:AY379" si="299">AV375</f>
        <v>*FCEV*</v>
      </c>
      <c r="AW376" s="17" t="str">
        <f t="shared" si="299"/>
        <v>TRADSL</v>
      </c>
      <c r="AX376" s="17" t="str">
        <f t="shared" si="299"/>
        <v>TRAFRECSHDMD</v>
      </c>
      <c r="AY376" s="17" t="str">
        <f t="shared" si="299"/>
        <v>TRAFRECSHDMD</v>
      </c>
      <c r="AZ376" s="18">
        <v>2025</v>
      </c>
      <c r="BA376" s="18" t="str">
        <f>BA375</f>
        <v>LO</v>
      </c>
      <c r="BB376" s="18"/>
      <c r="BC376" s="20" t="e">
        <f>-SUMIFS('TRA RESID'!$P:$P,'TRA RESID'!$I:$I,AY376,'TRA RESID'!$J:$J,AV376,'TRA RESID'!$H:$H,AW376)/SUMIFS('TRA RESID'!$P:$P,'TRA RESID'!$I:$I,AY376)*BG376</f>
        <v>#DIV/0!</v>
      </c>
      <c r="BD376" s="18"/>
      <c r="BE376" s="18"/>
      <c r="BG376" s="21">
        <v>0.8</v>
      </c>
    </row>
    <row r="377" spans="1:59" x14ac:dyDescent="0.25">
      <c r="C377" s="15" t="str">
        <f>IF(C376="*",C376,"")</f>
        <v>*</v>
      </c>
      <c r="D377" s="17" t="str">
        <f t="shared" si="296"/>
        <v>*ICEV*</v>
      </c>
      <c r="E377" s="17" t="str">
        <f t="shared" si="296"/>
        <v>TRADSL</v>
      </c>
      <c r="F377" s="17" t="str">
        <f t="shared" si="296"/>
        <v>TRAFRECSHDMD</v>
      </c>
      <c r="G377" s="17" t="str">
        <f t="shared" si="296"/>
        <v>TRAFRECSHDMD</v>
      </c>
      <c r="H377" s="18">
        <v>2030</v>
      </c>
      <c r="I377" s="18" t="str">
        <f>I376</f>
        <v>LO</v>
      </c>
      <c r="J377" s="18"/>
      <c r="K377" s="20" t="e">
        <f>-SUMIFS('TRA RESID'!$P:$P,'TRA RESID'!$I:$I,G377,'TRA RESID'!$J:$J,D377,'TRA RESID'!$H:$H,E377)/SUMIFS('TRA RESID'!$P:$P,'TRA RESID'!$I:$I,G377)*O377</f>
        <v>#DIV/0!</v>
      </c>
      <c r="L377" s="18"/>
      <c r="M377" s="18"/>
      <c r="O377" s="21">
        <v>0.5</v>
      </c>
      <c r="S377" s="15" t="str">
        <f>IF(S376="*",S376,"")</f>
        <v>*</v>
      </c>
      <c r="T377" s="17" t="str">
        <f t="shared" si="297"/>
        <v>*BEV*</v>
      </c>
      <c r="U377" s="17" t="str">
        <f t="shared" si="297"/>
        <v>TRADSL</v>
      </c>
      <c r="V377" s="17" t="str">
        <f t="shared" si="297"/>
        <v>TRAFRECSHDMD</v>
      </c>
      <c r="W377" s="17" t="str">
        <f t="shared" si="297"/>
        <v>TRAFRECSHDMD</v>
      </c>
      <c r="X377" s="18">
        <v>2030</v>
      </c>
      <c r="Y377" s="18" t="str">
        <f>Y376</f>
        <v>LO</v>
      </c>
      <c r="Z377" s="18"/>
      <c r="AA377" s="20" t="e">
        <f>-SUMIFS('TRA RESID'!$P:$P,'TRA RESID'!$I:$I,W377,'TRA RESID'!$J:$J,T377,'TRA RESID'!$H:$H,U377)/SUMIFS('TRA RESID'!$P:$P,'TRA RESID'!$I:$I,W377)*AE377</f>
        <v>#DIV/0!</v>
      </c>
      <c r="AB377" s="18"/>
      <c r="AC377" s="18"/>
      <c r="AE377" s="21">
        <v>1</v>
      </c>
      <c r="AG377" s="15" t="str">
        <f>IF(AG376="*",AG376,"")</f>
        <v>*</v>
      </c>
      <c r="AH377" s="17" t="str">
        <f t="shared" si="298"/>
        <v>*HEV*</v>
      </c>
      <c r="AI377" s="17" t="str">
        <f t="shared" si="298"/>
        <v>TRADSL</v>
      </c>
      <c r="AJ377" s="17" t="str">
        <f t="shared" si="298"/>
        <v>TRAFRECSHDMD</v>
      </c>
      <c r="AK377" s="17" t="str">
        <f t="shared" si="298"/>
        <v>TRAFRECSHDMD</v>
      </c>
      <c r="AL377" s="18">
        <v>2030</v>
      </c>
      <c r="AM377" s="18" t="str">
        <f>AM376</f>
        <v>LO</v>
      </c>
      <c r="AN377" s="18"/>
      <c r="AO377" s="20" t="e">
        <f>-SUMIFS('TRA RESID'!$P:$P,'TRA RESID'!$I:$I,AK377,'TRA RESID'!$J:$J,AH377,'TRA RESID'!$H:$H,AI377)/SUMIFS('TRA RESID'!$P:$P,'TRA RESID'!$I:$I,AK377)*AS377</f>
        <v>#DIV/0!</v>
      </c>
      <c r="AP377" s="18"/>
      <c r="AQ377" s="18"/>
      <c r="AS377" s="21">
        <v>0.5</v>
      </c>
      <c r="AU377" s="15" t="str">
        <f>IF(AU376="*",AU376,"")</f>
        <v>*</v>
      </c>
      <c r="AV377" s="17" t="str">
        <f t="shared" si="299"/>
        <v>*FCEV*</v>
      </c>
      <c r="AW377" s="17" t="str">
        <f t="shared" si="299"/>
        <v>TRADSL</v>
      </c>
      <c r="AX377" s="17" t="str">
        <f t="shared" si="299"/>
        <v>TRAFRECSHDMD</v>
      </c>
      <c r="AY377" s="17" t="str">
        <f t="shared" si="299"/>
        <v>TRAFRECSHDMD</v>
      </c>
      <c r="AZ377" s="18">
        <v>2030</v>
      </c>
      <c r="BA377" s="18" t="str">
        <f>BA376</f>
        <v>LO</v>
      </c>
      <c r="BB377" s="18"/>
      <c r="BC377" s="20" t="e">
        <f>-SUMIFS('TRA RESID'!$P:$P,'TRA RESID'!$I:$I,AY377,'TRA RESID'!$J:$J,AV377,'TRA RESID'!$H:$H,AW377)/SUMIFS('TRA RESID'!$P:$P,'TRA RESID'!$I:$I,AY377)*BG377</f>
        <v>#DIV/0!</v>
      </c>
      <c r="BD377" s="18"/>
      <c r="BE377" s="18"/>
      <c r="BG377" s="21">
        <v>0.5</v>
      </c>
    </row>
    <row r="378" spans="1:59" x14ac:dyDescent="0.25">
      <c r="C378" s="15" t="str">
        <f>IF(C377="*",C377,"")</f>
        <v>*</v>
      </c>
      <c r="D378" s="17" t="str">
        <f t="shared" si="296"/>
        <v>*ICEV*</v>
      </c>
      <c r="E378" s="17" t="str">
        <f t="shared" si="296"/>
        <v>TRADSL</v>
      </c>
      <c r="F378" s="17" t="str">
        <f t="shared" si="296"/>
        <v>TRAFRECSHDMD</v>
      </c>
      <c r="G378" s="17" t="str">
        <f t="shared" si="296"/>
        <v>TRAFRECSHDMD</v>
      </c>
      <c r="H378" s="18">
        <v>2040</v>
      </c>
      <c r="I378" s="18" t="str">
        <f>I377</f>
        <v>LO</v>
      </c>
      <c r="J378" s="18"/>
      <c r="K378" s="20" t="e">
        <f>-SUMIFS('TRA RESID'!$P:$P,'TRA RESID'!$I:$I,G378,'TRA RESID'!$J:$J,D378,'TRA RESID'!$H:$H,E378)/SUMIFS('TRA RESID'!$P:$P,'TRA RESID'!$I:$I,G378)*O378</f>
        <v>#DIV/0!</v>
      </c>
      <c r="L378" s="18"/>
      <c r="M378" s="18"/>
      <c r="O378" s="21">
        <v>0</v>
      </c>
      <c r="S378" s="15" t="str">
        <f>IF(S377="*",S377,"")</f>
        <v>*</v>
      </c>
      <c r="T378" s="17" t="str">
        <f t="shared" si="297"/>
        <v>*BEV*</v>
      </c>
      <c r="U378" s="17" t="str">
        <f t="shared" si="297"/>
        <v>TRADSL</v>
      </c>
      <c r="V378" s="17" t="str">
        <f t="shared" si="297"/>
        <v>TRAFRECSHDMD</v>
      </c>
      <c r="W378" s="17" t="str">
        <f t="shared" si="297"/>
        <v>TRAFRECSHDMD</v>
      </c>
      <c r="X378" s="18">
        <v>2040</v>
      </c>
      <c r="Y378" s="18" t="str">
        <f>Y377</f>
        <v>LO</v>
      </c>
      <c r="Z378" s="18"/>
      <c r="AA378" s="20" t="e">
        <f>-SUMIFS('TRA RESID'!$P:$P,'TRA RESID'!$I:$I,W378,'TRA RESID'!$J:$J,T378,'TRA RESID'!$H:$H,U378)/SUMIFS('TRA RESID'!$P:$P,'TRA RESID'!$I:$I,W378)*AE378</f>
        <v>#DIV/0!</v>
      </c>
      <c r="AB378" s="18"/>
      <c r="AC378" s="18"/>
      <c r="AE378" s="21">
        <v>1</v>
      </c>
      <c r="AG378" s="15" t="str">
        <f>IF(AG377="*",AG377,"")</f>
        <v>*</v>
      </c>
      <c r="AH378" s="17" t="str">
        <f t="shared" si="298"/>
        <v>*HEV*</v>
      </c>
      <c r="AI378" s="17" t="str">
        <f t="shared" si="298"/>
        <v>TRADSL</v>
      </c>
      <c r="AJ378" s="17" t="str">
        <f t="shared" si="298"/>
        <v>TRAFRECSHDMD</v>
      </c>
      <c r="AK378" s="17" t="str">
        <f t="shared" si="298"/>
        <v>TRAFRECSHDMD</v>
      </c>
      <c r="AL378" s="18">
        <v>2040</v>
      </c>
      <c r="AM378" s="18" t="str">
        <f>AM377</f>
        <v>LO</v>
      </c>
      <c r="AN378" s="18"/>
      <c r="AO378" s="20" t="e">
        <f>-SUMIFS('TRA RESID'!$P:$P,'TRA RESID'!$I:$I,AK378,'TRA RESID'!$J:$J,AH378,'TRA RESID'!$H:$H,AI378)/SUMIFS('TRA RESID'!$P:$P,'TRA RESID'!$I:$I,AK378)*AS378</f>
        <v>#DIV/0!</v>
      </c>
      <c r="AP378" s="18"/>
      <c r="AQ378" s="18"/>
      <c r="AS378" s="21">
        <v>0</v>
      </c>
      <c r="AU378" s="15" t="str">
        <f>IF(AU377="*",AU377,"")</f>
        <v>*</v>
      </c>
      <c r="AV378" s="17" t="str">
        <f t="shared" si="299"/>
        <v>*FCEV*</v>
      </c>
      <c r="AW378" s="17" t="str">
        <f t="shared" si="299"/>
        <v>TRADSL</v>
      </c>
      <c r="AX378" s="17" t="str">
        <f t="shared" si="299"/>
        <v>TRAFRECSHDMD</v>
      </c>
      <c r="AY378" s="17" t="str">
        <f t="shared" si="299"/>
        <v>TRAFRECSHDMD</v>
      </c>
      <c r="AZ378" s="18">
        <v>2040</v>
      </c>
      <c r="BA378" s="18" t="str">
        <f>BA377</f>
        <v>LO</v>
      </c>
      <c r="BB378" s="18"/>
      <c r="BC378" s="20" t="e">
        <f>-SUMIFS('TRA RESID'!$P:$P,'TRA RESID'!$I:$I,AY378,'TRA RESID'!$J:$J,AV378,'TRA RESID'!$H:$H,AW378)/SUMIFS('TRA RESID'!$P:$P,'TRA RESID'!$I:$I,AY378)*BG378</f>
        <v>#DIV/0!</v>
      </c>
      <c r="BD378" s="18"/>
      <c r="BE378" s="18"/>
      <c r="BG378" s="21">
        <v>0</v>
      </c>
    </row>
    <row r="379" spans="1:59" x14ac:dyDescent="0.25">
      <c r="C379" s="23" t="str">
        <f>IF(C378="*",C378,"")</f>
        <v>*</v>
      </c>
      <c r="D379" s="25" t="str">
        <f t="shared" si="296"/>
        <v>*ICEV*</v>
      </c>
      <c r="E379" s="25" t="str">
        <f t="shared" si="296"/>
        <v>TRADSL</v>
      </c>
      <c r="F379" s="25" t="str">
        <f t="shared" si="296"/>
        <v>TRAFRECSHDMD</v>
      </c>
      <c r="G379" s="25" t="str">
        <f t="shared" si="296"/>
        <v>TRAFRECSHDMD</v>
      </c>
      <c r="H379" s="26">
        <v>2050</v>
      </c>
      <c r="I379" s="26" t="str">
        <f>I377</f>
        <v>LO</v>
      </c>
      <c r="J379" s="26"/>
      <c r="K379" s="27" t="e">
        <f>-SUMIFS('TRA RESID'!$P:$P,'TRA RESID'!$I:$I,G379,'TRA RESID'!$J:$J,D379,'TRA RESID'!$H:$H,E379)/SUMIFS('TRA RESID'!$P:$P,'TRA RESID'!$I:$I,G379)*O379</f>
        <v>#DIV/0!</v>
      </c>
      <c r="L379" s="26"/>
      <c r="M379" s="26"/>
      <c r="O379" s="28">
        <v>0</v>
      </c>
      <c r="S379" s="23" t="str">
        <f>IF(S378="*",S378,"")</f>
        <v>*</v>
      </c>
      <c r="T379" s="25" t="str">
        <f t="shared" si="297"/>
        <v>*BEV*</v>
      </c>
      <c r="U379" s="25" t="str">
        <f t="shared" si="297"/>
        <v>TRADSL</v>
      </c>
      <c r="V379" s="25" t="str">
        <f t="shared" si="297"/>
        <v>TRAFRECSHDMD</v>
      </c>
      <c r="W379" s="25" t="str">
        <f t="shared" si="297"/>
        <v>TRAFRECSHDMD</v>
      </c>
      <c r="X379" s="26">
        <v>2050</v>
      </c>
      <c r="Y379" s="26" t="str">
        <f>Y377</f>
        <v>LO</v>
      </c>
      <c r="Z379" s="26"/>
      <c r="AA379" s="27" t="e">
        <f>-SUMIFS('TRA RESID'!$P:$P,'TRA RESID'!$I:$I,W379,'TRA RESID'!$J:$J,T379,'TRA RESID'!$H:$H,U379)/SUMIFS('TRA RESID'!$P:$P,'TRA RESID'!$I:$I,W379)*AE379</f>
        <v>#DIV/0!</v>
      </c>
      <c r="AB379" s="26"/>
      <c r="AC379" s="26"/>
      <c r="AE379" s="28">
        <v>1</v>
      </c>
      <c r="AG379" s="23" t="str">
        <f>IF(AG378="*",AG378,"")</f>
        <v>*</v>
      </c>
      <c r="AH379" s="25" t="str">
        <f t="shared" si="298"/>
        <v>*HEV*</v>
      </c>
      <c r="AI379" s="25" t="str">
        <f t="shared" si="298"/>
        <v>TRADSL</v>
      </c>
      <c r="AJ379" s="25" t="str">
        <f t="shared" si="298"/>
        <v>TRAFRECSHDMD</v>
      </c>
      <c r="AK379" s="25" t="str">
        <f t="shared" si="298"/>
        <v>TRAFRECSHDMD</v>
      </c>
      <c r="AL379" s="26">
        <v>2050</v>
      </c>
      <c r="AM379" s="26" t="str">
        <f>AM377</f>
        <v>LO</v>
      </c>
      <c r="AN379" s="26"/>
      <c r="AO379" s="27" t="e">
        <f>-SUMIFS('TRA RESID'!$P:$P,'TRA RESID'!$I:$I,AK379,'TRA RESID'!$J:$J,AH379,'TRA RESID'!$H:$H,AI379)/SUMIFS('TRA RESID'!$P:$P,'TRA RESID'!$I:$I,AK379)*AS379</f>
        <v>#DIV/0!</v>
      </c>
      <c r="AP379" s="26"/>
      <c r="AQ379" s="26"/>
      <c r="AS379" s="28">
        <v>0</v>
      </c>
      <c r="AU379" s="23" t="str">
        <f>IF(AU378="*",AU378,"")</f>
        <v>*</v>
      </c>
      <c r="AV379" s="25" t="str">
        <f t="shared" si="299"/>
        <v>*FCEV*</v>
      </c>
      <c r="AW379" s="25" t="str">
        <f t="shared" si="299"/>
        <v>TRADSL</v>
      </c>
      <c r="AX379" s="25" t="str">
        <f t="shared" si="299"/>
        <v>TRAFRECSHDMD</v>
      </c>
      <c r="AY379" s="25" t="str">
        <f t="shared" si="299"/>
        <v>TRAFRECSHDMD</v>
      </c>
      <c r="AZ379" s="26">
        <v>2050</v>
      </c>
      <c r="BA379" s="26" t="str">
        <f>BA377</f>
        <v>LO</v>
      </c>
      <c r="BB379" s="26"/>
      <c r="BC379" s="27" t="e">
        <f>-SUMIFS('TRA RESID'!$P:$P,'TRA RESID'!$I:$I,AY379,'TRA RESID'!$J:$J,AV379,'TRA RESID'!$H:$H,AW379)/SUMIFS('TRA RESID'!$P:$P,'TRA RESID'!$I:$I,AY379)*BG379</f>
        <v>#DIV/0!</v>
      </c>
      <c r="BD379" s="26"/>
      <c r="BE379" s="26"/>
      <c r="BG379" s="28">
        <v>0</v>
      </c>
    </row>
    <row r="380" spans="1:59" x14ac:dyDescent="0.25">
      <c r="A380">
        <f>A375+1</f>
        <v>76</v>
      </c>
      <c r="C380" s="15" t="str">
        <f>IF(E380="","",IF(_xlfn.XLOOKUP($A380,Selected_constraint!$A:$A,Selected_constraint!$D:$D)=1,"*",IF(SUMIFS('TRA TECH'!$M:$M,'TRA TECH'!$H:$H,E380,'TRA TECH'!$I:$I,F380)=0,"*",IF(SUMIFS('TRA RESID'!$P:$P,'TRA RESID'!$I:$I,G380,'TRA RESID'!$J:$J,D380,'TRA RESID'!$H:$H,E380)=0,"*","UC_"&amp;SUBSTITUTE(D380,"*","")&amp;"_"&amp;RIGHT(E380,3)&amp;"_"&amp;F380))))</f>
        <v>*</v>
      </c>
      <c r="D380" s="17" t="s">
        <v>485</v>
      </c>
      <c r="E380" s="17" t="str">
        <f>_xlfn.XLOOKUP($A380,Selected_constraint!$A:$A,Selected_constraint!$B:$B)</f>
        <v>TRARDS</v>
      </c>
      <c r="F380" s="17" t="str">
        <f>_xlfn.XLOOKUP($A380,Selected_constraint!$A:$A,Selected_constraint!$C:$C)</f>
        <v>TRAFRECSHDMD</v>
      </c>
      <c r="G380" s="17" t="str">
        <f>F380</f>
        <v>TRAFRECSHDMD</v>
      </c>
      <c r="H380" s="18">
        <v>2019</v>
      </c>
      <c r="I380" s="18" t="s">
        <v>483</v>
      </c>
      <c r="J380" s="18">
        <v>1</v>
      </c>
      <c r="K380" s="20" t="e">
        <f>-SUMIFS('TRA RESID'!$P:$P,'TRA RESID'!$I:$I,G380,'TRA RESID'!$J:$J,D380,'TRA RESID'!$H:$H,E380)/SUMIFS('TRA RESID'!$P:$P,'TRA RESID'!$I:$I,G380)*O380</f>
        <v>#DIV/0!</v>
      </c>
      <c r="L380" s="18">
        <v>0</v>
      </c>
      <c r="M380" s="18">
        <v>5</v>
      </c>
      <c r="O380" s="21">
        <v>0.98</v>
      </c>
      <c r="Q380">
        <f>Q375+1</f>
        <v>76</v>
      </c>
      <c r="S380" s="15" t="str">
        <f>IF(SUMIFS('TRA RESID'!$P:$P,'TRA RESID'!$I:$I,W380,'TRA RESID'!$J:$J,T380,'TRA RESID'!$H:$H,U380)=0,"*","UC_"&amp;SUBSTITUTE(T380,"*","")&amp;"_"&amp;RIGHT(U380,3)&amp;"_"&amp;V380)</f>
        <v>*</v>
      </c>
      <c r="T380" s="17" t="s">
        <v>486</v>
      </c>
      <c r="U380" s="17" t="str">
        <f>_xlfn.XLOOKUP($A380,Selected_constraint!$A:$A,Selected_constraint!$B:$B)</f>
        <v>TRARDS</v>
      </c>
      <c r="V380" s="17" t="str">
        <f>_xlfn.XLOOKUP($A380,Selected_constraint!$A:$A,Selected_constraint!$C:$C)</f>
        <v>TRAFRECSHDMD</v>
      </c>
      <c r="W380" s="17" t="str">
        <f>V380</f>
        <v>TRAFRECSHDMD</v>
      </c>
      <c r="X380" s="18">
        <v>2019</v>
      </c>
      <c r="Y380" s="18" t="s">
        <v>483</v>
      </c>
      <c r="Z380" s="18">
        <v>1</v>
      </c>
      <c r="AA380" s="20" t="e">
        <f>-SUMIFS('TRA RESID'!$P:$P,'TRA RESID'!$I:$I,W380,'TRA RESID'!$J:$J,T380,'TRA RESID'!$H:$H,U380)/SUMIFS('TRA RESID'!$P:$P,'TRA RESID'!$I:$I,W380)*AE380</f>
        <v>#DIV/0!</v>
      </c>
      <c r="AB380" s="18">
        <v>0</v>
      </c>
      <c r="AC380" s="18">
        <v>5</v>
      </c>
      <c r="AE380" s="21">
        <v>0.98</v>
      </c>
      <c r="AG380" s="15" t="str">
        <f>IF(SUMIFS('TRA RESID'!$P:$P,'TRA RESID'!$I:$I,AK380,'TRA RESID'!$J:$J,AH380,'TRA RESID'!$H:$H,AI380)=0,"*","UC_"&amp;SUBSTITUTE(AH380,"*","")&amp;"_"&amp;RIGHT(AI380,3)&amp;"_"&amp;AJ380)</f>
        <v>*</v>
      </c>
      <c r="AH380" s="17" t="s">
        <v>487</v>
      </c>
      <c r="AI380" s="17" t="str">
        <f>_xlfn.XLOOKUP($A380,Selected_constraint!$A:$A,Selected_constraint!$B:$B)</f>
        <v>TRARDS</v>
      </c>
      <c r="AJ380" s="17" t="str">
        <f>_xlfn.XLOOKUP($A380,Selected_constraint!$A:$A,Selected_constraint!$C:$C)</f>
        <v>TRAFRECSHDMD</v>
      </c>
      <c r="AK380" s="17" t="str">
        <f>AJ380</f>
        <v>TRAFRECSHDMD</v>
      </c>
      <c r="AL380" s="18">
        <v>2019</v>
      </c>
      <c r="AM380" s="18" t="s">
        <v>483</v>
      </c>
      <c r="AN380" s="18">
        <v>1</v>
      </c>
      <c r="AO380" s="20" t="e">
        <f>-SUMIFS('TRA RESID'!$P:$P,'TRA RESID'!$I:$I,AK380,'TRA RESID'!$J:$J,AH380,'TRA RESID'!$H:$H,AI380)/SUMIFS('TRA RESID'!$P:$P,'TRA RESID'!$I:$I,AK380)*AS380</f>
        <v>#DIV/0!</v>
      </c>
      <c r="AP380" s="18">
        <v>0</v>
      </c>
      <c r="AQ380" s="18">
        <v>5</v>
      </c>
      <c r="AS380" s="21">
        <v>0.98</v>
      </c>
      <c r="AU380" s="15" t="str">
        <f>IF(SUMIFS('TRA RESID'!$P:$P,'TRA RESID'!$I:$I,AY380,'TRA RESID'!$J:$J,AV380,'TRA RESID'!$H:$H,AW380)=0,"*","UC_"&amp;SUBSTITUTE(AV380,"*","")&amp;"_"&amp;RIGHT(AW380,3)&amp;"_"&amp;AX380)</f>
        <v>*</v>
      </c>
      <c r="AV380" s="17" t="s">
        <v>488</v>
      </c>
      <c r="AW380" s="17" t="str">
        <f>_xlfn.XLOOKUP($A380,Selected_constraint!$A:$A,Selected_constraint!$B:$B)</f>
        <v>TRARDS</v>
      </c>
      <c r="AX380" s="17" t="str">
        <f>_xlfn.XLOOKUP($A380,Selected_constraint!$A:$A,Selected_constraint!$C:$C)</f>
        <v>TRAFRECSHDMD</v>
      </c>
      <c r="AY380" s="17" t="str">
        <f>AX380</f>
        <v>TRAFRECSHDMD</v>
      </c>
      <c r="AZ380" s="18">
        <v>2019</v>
      </c>
      <c r="BA380" s="18" t="s">
        <v>483</v>
      </c>
      <c r="BB380" s="18">
        <v>1</v>
      </c>
      <c r="BC380" s="20" t="e">
        <f>-SUMIFS('TRA RESID'!$P:$P,'TRA RESID'!$I:$I,AY380,'TRA RESID'!$J:$J,AV380,'TRA RESID'!$H:$H,AW380)/SUMIFS('TRA RESID'!$P:$P,'TRA RESID'!$I:$I,AY380)*BG380</f>
        <v>#DIV/0!</v>
      </c>
      <c r="BD380" s="18">
        <v>0</v>
      </c>
      <c r="BE380" s="18">
        <v>5</v>
      </c>
      <c r="BG380" s="21">
        <v>0.98</v>
      </c>
    </row>
    <row r="381" spans="1:59" x14ac:dyDescent="0.25">
      <c r="C381" s="15" t="str">
        <f>IF(C380="*",C380,"")</f>
        <v>*</v>
      </c>
      <c r="D381" s="17" t="str">
        <f t="shared" ref="D381:G384" si="300">D380</f>
        <v>*ICEV*</v>
      </c>
      <c r="E381" s="17" t="str">
        <f t="shared" si="300"/>
        <v>TRARDS</v>
      </c>
      <c r="F381" s="17" t="str">
        <f t="shared" si="300"/>
        <v>TRAFRECSHDMD</v>
      </c>
      <c r="G381" s="17" t="str">
        <f t="shared" si="300"/>
        <v>TRAFRECSHDMD</v>
      </c>
      <c r="H381" s="18">
        <v>2025</v>
      </c>
      <c r="I381" s="18" t="str">
        <f>I380</f>
        <v>LO</v>
      </c>
      <c r="J381" s="18"/>
      <c r="K381" s="20" t="e">
        <f>-SUMIFS('TRA RESID'!$P:$P,'TRA RESID'!$I:$I,G381,'TRA RESID'!$J:$J,D381,'TRA RESID'!$H:$H,E381)/SUMIFS('TRA RESID'!$P:$P,'TRA RESID'!$I:$I,G381)*O381</f>
        <v>#DIV/0!</v>
      </c>
      <c r="L381" s="18"/>
      <c r="M381" s="18"/>
      <c r="O381" s="21">
        <v>0.8</v>
      </c>
      <c r="S381" s="15" t="str">
        <f>IF(S380="*",S380,"")</f>
        <v>*</v>
      </c>
      <c r="T381" s="17" t="str">
        <f t="shared" ref="T381:W384" si="301">T380</f>
        <v>*BEV*</v>
      </c>
      <c r="U381" s="17" t="str">
        <f t="shared" si="301"/>
        <v>TRARDS</v>
      </c>
      <c r="V381" s="17" t="str">
        <f t="shared" si="301"/>
        <v>TRAFRECSHDMD</v>
      </c>
      <c r="W381" s="17" t="str">
        <f t="shared" si="301"/>
        <v>TRAFRECSHDMD</v>
      </c>
      <c r="X381" s="18">
        <v>2025</v>
      </c>
      <c r="Y381" s="18" t="str">
        <f>Y380</f>
        <v>LO</v>
      </c>
      <c r="Z381" s="18"/>
      <c r="AA381" s="20" t="e">
        <f>-SUMIFS('TRA RESID'!$P:$P,'TRA RESID'!$I:$I,W381,'TRA RESID'!$J:$J,T381,'TRA RESID'!$H:$H,U381)/SUMIFS('TRA RESID'!$P:$P,'TRA RESID'!$I:$I,W381)*AE381</f>
        <v>#DIV/0!</v>
      </c>
      <c r="AB381" s="18"/>
      <c r="AC381" s="18"/>
      <c r="AE381" s="21">
        <v>1</v>
      </c>
      <c r="AG381" s="15" t="str">
        <f>IF(AG380="*",AG380,"")</f>
        <v>*</v>
      </c>
      <c r="AH381" s="17" t="str">
        <f t="shared" ref="AH381:AK384" si="302">AH380</f>
        <v>*HEV*</v>
      </c>
      <c r="AI381" s="17" t="str">
        <f t="shared" si="302"/>
        <v>TRARDS</v>
      </c>
      <c r="AJ381" s="17" t="str">
        <f t="shared" si="302"/>
        <v>TRAFRECSHDMD</v>
      </c>
      <c r="AK381" s="17" t="str">
        <f t="shared" si="302"/>
        <v>TRAFRECSHDMD</v>
      </c>
      <c r="AL381" s="18">
        <v>2025</v>
      </c>
      <c r="AM381" s="18" t="str">
        <f>AM380</f>
        <v>LO</v>
      </c>
      <c r="AN381" s="18"/>
      <c r="AO381" s="20" t="e">
        <f>-SUMIFS('TRA RESID'!$P:$P,'TRA RESID'!$I:$I,AK381,'TRA RESID'!$J:$J,AH381,'TRA RESID'!$H:$H,AI381)/SUMIFS('TRA RESID'!$P:$P,'TRA RESID'!$I:$I,AK381)*AS381</f>
        <v>#DIV/0!</v>
      </c>
      <c r="AP381" s="18"/>
      <c r="AQ381" s="18"/>
      <c r="AS381" s="21">
        <v>0.8</v>
      </c>
      <c r="AU381" s="15" t="str">
        <f>IF(AU380="*",AU380,"")</f>
        <v>*</v>
      </c>
      <c r="AV381" s="17" t="str">
        <f t="shared" ref="AV381:AY384" si="303">AV380</f>
        <v>*FCEV*</v>
      </c>
      <c r="AW381" s="17" t="str">
        <f t="shared" si="303"/>
        <v>TRARDS</v>
      </c>
      <c r="AX381" s="17" t="str">
        <f t="shared" si="303"/>
        <v>TRAFRECSHDMD</v>
      </c>
      <c r="AY381" s="17" t="str">
        <f t="shared" si="303"/>
        <v>TRAFRECSHDMD</v>
      </c>
      <c r="AZ381" s="18">
        <v>2025</v>
      </c>
      <c r="BA381" s="18" t="str">
        <f>BA380</f>
        <v>LO</v>
      </c>
      <c r="BB381" s="18"/>
      <c r="BC381" s="20" t="e">
        <f>-SUMIFS('TRA RESID'!$P:$P,'TRA RESID'!$I:$I,AY381,'TRA RESID'!$J:$J,AV381,'TRA RESID'!$H:$H,AW381)/SUMIFS('TRA RESID'!$P:$P,'TRA RESID'!$I:$I,AY381)*BG381</f>
        <v>#DIV/0!</v>
      </c>
      <c r="BD381" s="18"/>
      <c r="BE381" s="18"/>
      <c r="BG381" s="21">
        <v>0.8</v>
      </c>
    </row>
    <row r="382" spans="1:59" x14ac:dyDescent="0.25">
      <c r="C382" s="15" t="str">
        <f>IF(C381="*",C381,"")</f>
        <v>*</v>
      </c>
      <c r="D382" s="17" t="str">
        <f t="shared" si="300"/>
        <v>*ICEV*</v>
      </c>
      <c r="E382" s="17" t="str">
        <f t="shared" si="300"/>
        <v>TRARDS</v>
      </c>
      <c r="F382" s="17" t="str">
        <f t="shared" si="300"/>
        <v>TRAFRECSHDMD</v>
      </c>
      <c r="G382" s="17" t="str">
        <f t="shared" si="300"/>
        <v>TRAFRECSHDMD</v>
      </c>
      <c r="H382" s="18">
        <v>2030</v>
      </c>
      <c r="I382" s="18" t="str">
        <f>I381</f>
        <v>LO</v>
      </c>
      <c r="J382" s="18"/>
      <c r="K382" s="20" t="e">
        <f>-SUMIFS('TRA RESID'!$P:$P,'TRA RESID'!$I:$I,G382,'TRA RESID'!$J:$J,D382,'TRA RESID'!$H:$H,E382)/SUMIFS('TRA RESID'!$P:$P,'TRA RESID'!$I:$I,G382)*O382</f>
        <v>#DIV/0!</v>
      </c>
      <c r="L382" s="18"/>
      <c r="M382" s="18"/>
      <c r="O382" s="21">
        <v>0.5</v>
      </c>
      <c r="S382" s="15" t="str">
        <f>IF(S381="*",S381,"")</f>
        <v>*</v>
      </c>
      <c r="T382" s="17" t="str">
        <f t="shared" si="301"/>
        <v>*BEV*</v>
      </c>
      <c r="U382" s="17" t="str">
        <f t="shared" si="301"/>
        <v>TRARDS</v>
      </c>
      <c r="V382" s="17" t="str">
        <f t="shared" si="301"/>
        <v>TRAFRECSHDMD</v>
      </c>
      <c r="W382" s="17" t="str">
        <f t="shared" si="301"/>
        <v>TRAFRECSHDMD</v>
      </c>
      <c r="X382" s="18">
        <v>2030</v>
      </c>
      <c r="Y382" s="18" t="str">
        <f>Y381</f>
        <v>LO</v>
      </c>
      <c r="Z382" s="18"/>
      <c r="AA382" s="20" t="e">
        <f>-SUMIFS('TRA RESID'!$P:$P,'TRA RESID'!$I:$I,W382,'TRA RESID'!$J:$J,T382,'TRA RESID'!$H:$H,U382)/SUMIFS('TRA RESID'!$P:$P,'TRA RESID'!$I:$I,W382)*AE382</f>
        <v>#DIV/0!</v>
      </c>
      <c r="AB382" s="18"/>
      <c r="AC382" s="18"/>
      <c r="AE382" s="21">
        <v>1</v>
      </c>
      <c r="AG382" s="15" t="str">
        <f>IF(AG381="*",AG381,"")</f>
        <v>*</v>
      </c>
      <c r="AH382" s="17" t="str">
        <f t="shared" si="302"/>
        <v>*HEV*</v>
      </c>
      <c r="AI382" s="17" t="str">
        <f t="shared" si="302"/>
        <v>TRARDS</v>
      </c>
      <c r="AJ382" s="17" t="str">
        <f t="shared" si="302"/>
        <v>TRAFRECSHDMD</v>
      </c>
      <c r="AK382" s="17" t="str">
        <f t="shared" si="302"/>
        <v>TRAFRECSHDMD</v>
      </c>
      <c r="AL382" s="18">
        <v>2030</v>
      </c>
      <c r="AM382" s="18" t="str">
        <f>AM381</f>
        <v>LO</v>
      </c>
      <c r="AN382" s="18"/>
      <c r="AO382" s="20" t="e">
        <f>-SUMIFS('TRA RESID'!$P:$P,'TRA RESID'!$I:$I,AK382,'TRA RESID'!$J:$J,AH382,'TRA RESID'!$H:$H,AI382)/SUMIFS('TRA RESID'!$P:$P,'TRA RESID'!$I:$I,AK382)*AS382</f>
        <v>#DIV/0!</v>
      </c>
      <c r="AP382" s="18"/>
      <c r="AQ382" s="18"/>
      <c r="AS382" s="21">
        <v>0.5</v>
      </c>
      <c r="AU382" s="15" t="str">
        <f>IF(AU381="*",AU381,"")</f>
        <v>*</v>
      </c>
      <c r="AV382" s="17" t="str">
        <f t="shared" si="303"/>
        <v>*FCEV*</v>
      </c>
      <c r="AW382" s="17" t="str">
        <f t="shared" si="303"/>
        <v>TRARDS</v>
      </c>
      <c r="AX382" s="17" t="str">
        <f t="shared" si="303"/>
        <v>TRAFRECSHDMD</v>
      </c>
      <c r="AY382" s="17" t="str">
        <f t="shared" si="303"/>
        <v>TRAFRECSHDMD</v>
      </c>
      <c r="AZ382" s="18">
        <v>2030</v>
      </c>
      <c r="BA382" s="18" t="str">
        <f>BA381</f>
        <v>LO</v>
      </c>
      <c r="BB382" s="18"/>
      <c r="BC382" s="20" t="e">
        <f>-SUMIFS('TRA RESID'!$P:$P,'TRA RESID'!$I:$I,AY382,'TRA RESID'!$J:$J,AV382,'TRA RESID'!$H:$H,AW382)/SUMIFS('TRA RESID'!$P:$P,'TRA RESID'!$I:$I,AY382)*BG382</f>
        <v>#DIV/0!</v>
      </c>
      <c r="BD382" s="18"/>
      <c r="BE382" s="18"/>
      <c r="BG382" s="21">
        <v>0.5</v>
      </c>
    </row>
    <row r="383" spans="1:59" x14ac:dyDescent="0.25">
      <c r="C383" s="15" t="str">
        <f>IF(C382="*",C382,"")</f>
        <v>*</v>
      </c>
      <c r="D383" s="17" t="str">
        <f t="shared" si="300"/>
        <v>*ICEV*</v>
      </c>
      <c r="E383" s="17" t="str">
        <f t="shared" si="300"/>
        <v>TRARDS</v>
      </c>
      <c r="F383" s="17" t="str">
        <f t="shared" si="300"/>
        <v>TRAFRECSHDMD</v>
      </c>
      <c r="G383" s="17" t="str">
        <f t="shared" si="300"/>
        <v>TRAFRECSHDMD</v>
      </c>
      <c r="H383" s="18">
        <v>2040</v>
      </c>
      <c r="I383" s="18" t="str">
        <f>I382</f>
        <v>LO</v>
      </c>
      <c r="J383" s="18"/>
      <c r="K383" s="20" t="e">
        <f>-SUMIFS('TRA RESID'!$P:$P,'TRA RESID'!$I:$I,G383,'TRA RESID'!$J:$J,D383,'TRA RESID'!$H:$H,E383)/SUMIFS('TRA RESID'!$P:$P,'TRA RESID'!$I:$I,G383)*O383</f>
        <v>#DIV/0!</v>
      </c>
      <c r="L383" s="18"/>
      <c r="M383" s="18"/>
      <c r="O383" s="21">
        <v>0</v>
      </c>
      <c r="S383" s="15" t="str">
        <f>IF(S382="*",S382,"")</f>
        <v>*</v>
      </c>
      <c r="T383" s="17" t="str">
        <f t="shared" si="301"/>
        <v>*BEV*</v>
      </c>
      <c r="U383" s="17" t="str">
        <f t="shared" si="301"/>
        <v>TRARDS</v>
      </c>
      <c r="V383" s="17" t="str">
        <f t="shared" si="301"/>
        <v>TRAFRECSHDMD</v>
      </c>
      <c r="W383" s="17" t="str">
        <f t="shared" si="301"/>
        <v>TRAFRECSHDMD</v>
      </c>
      <c r="X383" s="18">
        <v>2040</v>
      </c>
      <c r="Y383" s="18" t="str">
        <f>Y382</f>
        <v>LO</v>
      </c>
      <c r="Z383" s="18"/>
      <c r="AA383" s="20" t="e">
        <f>-SUMIFS('TRA RESID'!$P:$P,'TRA RESID'!$I:$I,W383,'TRA RESID'!$J:$J,T383,'TRA RESID'!$H:$H,U383)/SUMIFS('TRA RESID'!$P:$P,'TRA RESID'!$I:$I,W383)*AE383</f>
        <v>#DIV/0!</v>
      </c>
      <c r="AB383" s="18"/>
      <c r="AC383" s="18"/>
      <c r="AE383" s="21">
        <v>1</v>
      </c>
      <c r="AG383" s="15" t="str">
        <f>IF(AG382="*",AG382,"")</f>
        <v>*</v>
      </c>
      <c r="AH383" s="17" t="str">
        <f t="shared" si="302"/>
        <v>*HEV*</v>
      </c>
      <c r="AI383" s="17" t="str">
        <f t="shared" si="302"/>
        <v>TRARDS</v>
      </c>
      <c r="AJ383" s="17" t="str">
        <f t="shared" si="302"/>
        <v>TRAFRECSHDMD</v>
      </c>
      <c r="AK383" s="17" t="str">
        <f t="shared" si="302"/>
        <v>TRAFRECSHDMD</v>
      </c>
      <c r="AL383" s="18">
        <v>2040</v>
      </c>
      <c r="AM383" s="18" t="str">
        <f>AM382</f>
        <v>LO</v>
      </c>
      <c r="AN383" s="18"/>
      <c r="AO383" s="20" t="e">
        <f>-SUMIFS('TRA RESID'!$P:$P,'TRA RESID'!$I:$I,AK383,'TRA RESID'!$J:$J,AH383,'TRA RESID'!$H:$H,AI383)/SUMIFS('TRA RESID'!$P:$P,'TRA RESID'!$I:$I,AK383)*AS383</f>
        <v>#DIV/0!</v>
      </c>
      <c r="AP383" s="18"/>
      <c r="AQ383" s="18"/>
      <c r="AS383" s="21">
        <v>0</v>
      </c>
      <c r="AU383" s="15" t="str">
        <f>IF(AU382="*",AU382,"")</f>
        <v>*</v>
      </c>
      <c r="AV383" s="17" t="str">
        <f t="shared" si="303"/>
        <v>*FCEV*</v>
      </c>
      <c r="AW383" s="17" t="str">
        <f t="shared" si="303"/>
        <v>TRARDS</v>
      </c>
      <c r="AX383" s="17" t="str">
        <f t="shared" si="303"/>
        <v>TRAFRECSHDMD</v>
      </c>
      <c r="AY383" s="17" t="str">
        <f t="shared" si="303"/>
        <v>TRAFRECSHDMD</v>
      </c>
      <c r="AZ383" s="18">
        <v>2040</v>
      </c>
      <c r="BA383" s="18" t="str">
        <f>BA382</f>
        <v>LO</v>
      </c>
      <c r="BB383" s="18"/>
      <c r="BC383" s="20" t="e">
        <f>-SUMIFS('TRA RESID'!$P:$P,'TRA RESID'!$I:$I,AY383,'TRA RESID'!$J:$J,AV383,'TRA RESID'!$H:$H,AW383)/SUMIFS('TRA RESID'!$P:$P,'TRA RESID'!$I:$I,AY383)*BG383</f>
        <v>#DIV/0!</v>
      </c>
      <c r="BD383" s="18"/>
      <c r="BE383" s="18"/>
      <c r="BG383" s="21">
        <v>0</v>
      </c>
    </row>
    <row r="384" spans="1:59" x14ac:dyDescent="0.25">
      <c r="C384" s="23" t="str">
        <f>IF(C383="*",C383,"")</f>
        <v>*</v>
      </c>
      <c r="D384" s="25" t="str">
        <f t="shared" si="300"/>
        <v>*ICEV*</v>
      </c>
      <c r="E384" s="25" t="str">
        <f t="shared" si="300"/>
        <v>TRARDS</v>
      </c>
      <c r="F384" s="25" t="str">
        <f t="shared" si="300"/>
        <v>TRAFRECSHDMD</v>
      </c>
      <c r="G384" s="25" t="str">
        <f t="shared" si="300"/>
        <v>TRAFRECSHDMD</v>
      </c>
      <c r="H384" s="26">
        <v>2050</v>
      </c>
      <c r="I384" s="26" t="str">
        <f>I382</f>
        <v>LO</v>
      </c>
      <c r="J384" s="26"/>
      <c r="K384" s="27" t="e">
        <f>-SUMIFS('TRA RESID'!$P:$P,'TRA RESID'!$I:$I,G384,'TRA RESID'!$J:$J,D384,'TRA RESID'!$H:$H,E384)/SUMIFS('TRA RESID'!$P:$P,'TRA RESID'!$I:$I,G384)*O384</f>
        <v>#DIV/0!</v>
      </c>
      <c r="L384" s="26"/>
      <c r="M384" s="26"/>
      <c r="O384" s="28">
        <v>0</v>
      </c>
      <c r="S384" s="23" t="str">
        <f>IF(S383="*",S383,"")</f>
        <v>*</v>
      </c>
      <c r="T384" s="25" t="str">
        <f t="shared" si="301"/>
        <v>*BEV*</v>
      </c>
      <c r="U384" s="25" t="str">
        <f t="shared" si="301"/>
        <v>TRARDS</v>
      </c>
      <c r="V384" s="25" t="str">
        <f t="shared" si="301"/>
        <v>TRAFRECSHDMD</v>
      </c>
      <c r="W384" s="25" t="str">
        <f t="shared" si="301"/>
        <v>TRAFRECSHDMD</v>
      </c>
      <c r="X384" s="26">
        <v>2050</v>
      </c>
      <c r="Y384" s="26" t="str">
        <f>Y382</f>
        <v>LO</v>
      </c>
      <c r="Z384" s="26"/>
      <c r="AA384" s="27" t="e">
        <f>-SUMIFS('TRA RESID'!$P:$P,'TRA RESID'!$I:$I,W384,'TRA RESID'!$J:$J,T384,'TRA RESID'!$H:$H,U384)/SUMIFS('TRA RESID'!$P:$P,'TRA RESID'!$I:$I,W384)*AE384</f>
        <v>#DIV/0!</v>
      </c>
      <c r="AB384" s="26"/>
      <c r="AC384" s="26"/>
      <c r="AE384" s="28">
        <v>1</v>
      </c>
      <c r="AG384" s="23" t="str">
        <f>IF(AG383="*",AG383,"")</f>
        <v>*</v>
      </c>
      <c r="AH384" s="25" t="str">
        <f t="shared" si="302"/>
        <v>*HEV*</v>
      </c>
      <c r="AI384" s="25" t="str">
        <f t="shared" si="302"/>
        <v>TRARDS</v>
      </c>
      <c r="AJ384" s="25" t="str">
        <f t="shared" si="302"/>
        <v>TRAFRECSHDMD</v>
      </c>
      <c r="AK384" s="25" t="str">
        <f t="shared" si="302"/>
        <v>TRAFRECSHDMD</v>
      </c>
      <c r="AL384" s="26">
        <v>2050</v>
      </c>
      <c r="AM384" s="26" t="str">
        <f>AM382</f>
        <v>LO</v>
      </c>
      <c r="AN384" s="26"/>
      <c r="AO384" s="27" t="e">
        <f>-SUMIFS('TRA RESID'!$P:$P,'TRA RESID'!$I:$I,AK384,'TRA RESID'!$J:$J,AH384,'TRA RESID'!$H:$H,AI384)/SUMIFS('TRA RESID'!$P:$P,'TRA RESID'!$I:$I,AK384)*AS384</f>
        <v>#DIV/0!</v>
      </c>
      <c r="AP384" s="26"/>
      <c r="AQ384" s="26"/>
      <c r="AS384" s="28">
        <v>0</v>
      </c>
      <c r="AU384" s="23" t="str">
        <f>IF(AU383="*",AU383,"")</f>
        <v>*</v>
      </c>
      <c r="AV384" s="25" t="str">
        <f t="shared" si="303"/>
        <v>*FCEV*</v>
      </c>
      <c r="AW384" s="25" t="str">
        <f t="shared" si="303"/>
        <v>TRARDS</v>
      </c>
      <c r="AX384" s="25" t="str">
        <f t="shared" si="303"/>
        <v>TRAFRECSHDMD</v>
      </c>
      <c r="AY384" s="25" t="str">
        <f t="shared" si="303"/>
        <v>TRAFRECSHDMD</v>
      </c>
      <c r="AZ384" s="26">
        <v>2050</v>
      </c>
      <c r="BA384" s="26" t="str">
        <f>BA382</f>
        <v>LO</v>
      </c>
      <c r="BB384" s="26"/>
      <c r="BC384" s="27" t="e">
        <f>-SUMIFS('TRA RESID'!$P:$P,'TRA RESID'!$I:$I,AY384,'TRA RESID'!$J:$J,AV384,'TRA RESID'!$H:$H,AW384)/SUMIFS('TRA RESID'!$P:$P,'TRA RESID'!$I:$I,AY384)*BG384</f>
        <v>#DIV/0!</v>
      </c>
      <c r="BD384" s="26"/>
      <c r="BE384" s="26"/>
      <c r="BG384" s="28">
        <v>0</v>
      </c>
    </row>
    <row r="385" spans="1:59" x14ac:dyDescent="0.25">
      <c r="A385">
        <f>A380+1</f>
        <v>77</v>
      </c>
      <c r="C385" s="15" t="str">
        <f>IF(E385="","",IF(_xlfn.XLOOKUP($A385,Selected_constraint!$A:$A,Selected_constraint!$D:$D)=1,"*",IF(SUMIFS('TRA TECH'!$M:$M,'TRA TECH'!$H:$H,E385,'TRA TECH'!$I:$I,F385)=0,"*",IF(SUMIFS('TRA RESID'!$P:$P,'TRA RESID'!$I:$I,G385,'TRA RESID'!$J:$J,D385,'TRA RESID'!$H:$H,E385)=0,"*","UC_"&amp;SUBSTITUTE(D385,"*","")&amp;"_"&amp;RIGHT(E385,3)&amp;"_"&amp;F385))))</f>
        <v>*</v>
      </c>
      <c r="D385" s="17" t="s">
        <v>485</v>
      </c>
      <c r="E385" s="17" t="str">
        <f>_xlfn.XLOOKUP($A385,Selected_constraint!$A:$A,Selected_constraint!$B:$B)</f>
        <v>TRABDS</v>
      </c>
      <c r="F385" s="17" t="str">
        <f>_xlfn.XLOOKUP($A385,Selected_constraint!$A:$A,Selected_constraint!$C:$C)</f>
        <v>TRAFRECSHDMD</v>
      </c>
      <c r="G385" s="17" t="str">
        <f>F385</f>
        <v>TRAFRECSHDMD</v>
      </c>
      <c r="H385" s="18">
        <v>2019</v>
      </c>
      <c r="I385" s="18" t="s">
        <v>483</v>
      </c>
      <c r="J385" s="18">
        <v>1</v>
      </c>
      <c r="K385" s="20" t="e">
        <f>-SUMIFS('TRA RESID'!$P:$P,'TRA RESID'!$I:$I,G385,'TRA RESID'!$J:$J,D385,'TRA RESID'!$H:$H,E385)/SUMIFS('TRA RESID'!$P:$P,'TRA RESID'!$I:$I,G385)*O385</f>
        <v>#DIV/0!</v>
      </c>
      <c r="L385" s="18">
        <v>0</v>
      </c>
      <c r="M385" s="18">
        <v>5</v>
      </c>
      <c r="O385" s="21">
        <v>0.98</v>
      </c>
      <c r="Q385">
        <f>Q380+1</f>
        <v>77</v>
      </c>
      <c r="S385" s="15" t="str">
        <f>IF(SUMIFS('TRA RESID'!$P:$P,'TRA RESID'!$I:$I,W385,'TRA RESID'!$J:$J,T385,'TRA RESID'!$H:$H,U385)=0,"*","UC_"&amp;SUBSTITUTE(T385,"*","")&amp;"_"&amp;RIGHT(U385,3)&amp;"_"&amp;V385)</f>
        <v>*</v>
      </c>
      <c r="T385" s="17" t="s">
        <v>486</v>
      </c>
      <c r="U385" s="17" t="str">
        <f>_xlfn.XLOOKUP($A385,Selected_constraint!$A:$A,Selected_constraint!$B:$B)</f>
        <v>TRABDS</v>
      </c>
      <c r="V385" s="17" t="str">
        <f>_xlfn.XLOOKUP($A385,Selected_constraint!$A:$A,Selected_constraint!$C:$C)</f>
        <v>TRAFRECSHDMD</v>
      </c>
      <c r="W385" s="17" t="str">
        <f>V385</f>
        <v>TRAFRECSHDMD</v>
      </c>
      <c r="X385" s="18">
        <v>2019</v>
      </c>
      <c r="Y385" s="18" t="s">
        <v>483</v>
      </c>
      <c r="Z385" s="18">
        <v>1</v>
      </c>
      <c r="AA385" s="20" t="e">
        <f>-SUMIFS('TRA RESID'!$P:$P,'TRA RESID'!$I:$I,W385,'TRA RESID'!$J:$J,T385,'TRA RESID'!$H:$H,U385)/SUMIFS('TRA RESID'!$P:$P,'TRA RESID'!$I:$I,W385)*AE385</f>
        <v>#DIV/0!</v>
      </c>
      <c r="AB385" s="18">
        <v>0</v>
      </c>
      <c r="AC385" s="18">
        <v>5</v>
      </c>
      <c r="AE385" s="21">
        <v>0.98</v>
      </c>
      <c r="AG385" s="15" t="str">
        <f>IF(SUMIFS('TRA RESID'!$P:$P,'TRA RESID'!$I:$I,AK385,'TRA RESID'!$J:$J,AH385,'TRA RESID'!$H:$H,AI385)=0,"*","UC_"&amp;SUBSTITUTE(AH385,"*","")&amp;"_"&amp;RIGHT(AI385,3)&amp;"_"&amp;AJ385)</f>
        <v>*</v>
      </c>
      <c r="AH385" s="17" t="s">
        <v>487</v>
      </c>
      <c r="AI385" s="17" t="str">
        <f>_xlfn.XLOOKUP($A385,Selected_constraint!$A:$A,Selected_constraint!$B:$B)</f>
        <v>TRABDS</v>
      </c>
      <c r="AJ385" s="17" t="str">
        <f>_xlfn.XLOOKUP($A385,Selected_constraint!$A:$A,Selected_constraint!$C:$C)</f>
        <v>TRAFRECSHDMD</v>
      </c>
      <c r="AK385" s="17" t="str">
        <f>AJ385</f>
        <v>TRAFRECSHDMD</v>
      </c>
      <c r="AL385" s="18">
        <v>2019</v>
      </c>
      <c r="AM385" s="18" t="s">
        <v>483</v>
      </c>
      <c r="AN385" s="18">
        <v>1</v>
      </c>
      <c r="AO385" s="20" t="e">
        <f>-SUMIFS('TRA RESID'!$P:$P,'TRA RESID'!$I:$I,AK385,'TRA RESID'!$J:$J,AH385,'TRA RESID'!$H:$H,AI385)/SUMIFS('TRA RESID'!$P:$P,'TRA RESID'!$I:$I,AK385)*AS385</f>
        <v>#DIV/0!</v>
      </c>
      <c r="AP385" s="18">
        <v>0</v>
      </c>
      <c r="AQ385" s="18">
        <v>5</v>
      </c>
      <c r="AS385" s="21">
        <v>0.98</v>
      </c>
      <c r="AU385" s="15" t="str">
        <f>IF(SUMIFS('TRA RESID'!$P:$P,'TRA RESID'!$I:$I,AY385,'TRA RESID'!$J:$J,AV385,'TRA RESID'!$H:$H,AW385)=0,"*","UC_"&amp;SUBSTITUTE(AV385,"*","")&amp;"_"&amp;RIGHT(AW385,3)&amp;"_"&amp;AX385)</f>
        <v>*</v>
      </c>
      <c r="AV385" s="17" t="s">
        <v>488</v>
      </c>
      <c r="AW385" s="17" t="str">
        <f>_xlfn.XLOOKUP($A385,Selected_constraint!$A:$A,Selected_constraint!$B:$B)</f>
        <v>TRABDS</v>
      </c>
      <c r="AX385" s="17" t="str">
        <f>_xlfn.XLOOKUP($A385,Selected_constraint!$A:$A,Selected_constraint!$C:$C)</f>
        <v>TRAFRECSHDMD</v>
      </c>
      <c r="AY385" s="17" t="str">
        <f>AX385</f>
        <v>TRAFRECSHDMD</v>
      </c>
      <c r="AZ385" s="18">
        <v>2019</v>
      </c>
      <c r="BA385" s="18" t="s">
        <v>483</v>
      </c>
      <c r="BB385" s="18">
        <v>1</v>
      </c>
      <c r="BC385" s="20" t="e">
        <f>-SUMIFS('TRA RESID'!$P:$P,'TRA RESID'!$I:$I,AY385,'TRA RESID'!$J:$J,AV385,'TRA RESID'!$H:$H,AW385)/SUMIFS('TRA RESID'!$P:$P,'TRA RESID'!$I:$I,AY385)*BG385</f>
        <v>#DIV/0!</v>
      </c>
      <c r="BD385" s="18">
        <v>0</v>
      </c>
      <c r="BE385" s="18">
        <v>5</v>
      </c>
      <c r="BG385" s="21">
        <v>0.98</v>
      </c>
    </row>
    <row r="386" spans="1:59" x14ac:dyDescent="0.25">
      <c r="C386" s="15" t="str">
        <f>IF(C385="*",C385,"")</f>
        <v>*</v>
      </c>
      <c r="D386" s="17" t="str">
        <f t="shared" ref="D386:G389" si="304">D385</f>
        <v>*ICEV*</v>
      </c>
      <c r="E386" s="17" t="str">
        <f t="shared" si="304"/>
        <v>TRABDS</v>
      </c>
      <c r="F386" s="17" t="str">
        <f t="shared" si="304"/>
        <v>TRAFRECSHDMD</v>
      </c>
      <c r="G386" s="17" t="str">
        <f t="shared" si="304"/>
        <v>TRAFRECSHDMD</v>
      </c>
      <c r="H386" s="18">
        <v>2025</v>
      </c>
      <c r="I386" s="18" t="str">
        <f>I385</f>
        <v>LO</v>
      </c>
      <c r="J386" s="18"/>
      <c r="K386" s="20" t="e">
        <f>-SUMIFS('TRA RESID'!$P:$P,'TRA RESID'!$I:$I,G386,'TRA RESID'!$J:$J,D386,'TRA RESID'!$H:$H,E386)/SUMIFS('TRA RESID'!$P:$P,'TRA RESID'!$I:$I,G386)*O386</f>
        <v>#DIV/0!</v>
      </c>
      <c r="L386" s="18"/>
      <c r="M386" s="18"/>
      <c r="O386" s="21">
        <v>0.8</v>
      </c>
      <c r="S386" s="15" t="str">
        <f>IF(S385="*",S385,"")</f>
        <v>*</v>
      </c>
      <c r="T386" s="17" t="str">
        <f t="shared" ref="T386:W389" si="305">T385</f>
        <v>*BEV*</v>
      </c>
      <c r="U386" s="17" t="str">
        <f t="shared" si="305"/>
        <v>TRABDS</v>
      </c>
      <c r="V386" s="17" t="str">
        <f t="shared" si="305"/>
        <v>TRAFRECSHDMD</v>
      </c>
      <c r="W386" s="17" t="str">
        <f t="shared" si="305"/>
        <v>TRAFRECSHDMD</v>
      </c>
      <c r="X386" s="18">
        <v>2025</v>
      </c>
      <c r="Y386" s="18" t="str">
        <f>Y385</f>
        <v>LO</v>
      </c>
      <c r="Z386" s="18"/>
      <c r="AA386" s="20" t="e">
        <f>-SUMIFS('TRA RESID'!$P:$P,'TRA RESID'!$I:$I,W386,'TRA RESID'!$J:$J,T386,'TRA RESID'!$H:$H,U386)/SUMIFS('TRA RESID'!$P:$P,'TRA RESID'!$I:$I,W386)*AE386</f>
        <v>#DIV/0!</v>
      </c>
      <c r="AB386" s="18"/>
      <c r="AC386" s="18"/>
      <c r="AE386" s="21">
        <v>1</v>
      </c>
      <c r="AG386" s="15" t="str">
        <f>IF(AG385="*",AG385,"")</f>
        <v>*</v>
      </c>
      <c r="AH386" s="17" t="str">
        <f t="shared" ref="AH386:AK389" si="306">AH385</f>
        <v>*HEV*</v>
      </c>
      <c r="AI386" s="17" t="str">
        <f t="shared" si="306"/>
        <v>TRABDS</v>
      </c>
      <c r="AJ386" s="17" t="str">
        <f t="shared" si="306"/>
        <v>TRAFRECSHDMD</v>
      </c>
      <c r="AK386" s="17" t="str">
        <f t="shared" si="306"/>
        <v>TRAFRECSHDMD</v>
      </c>
      <c r="AL386" s="18">
        <v>2025</v>
      </c>
      <c r="AM386" s="18" t="str">
        <f>AM385</f>
        <v>LO</v>
      </c>
      <c r="AN386" s="18"/>
      <c r="AO386" s="20" t="e">
        <f>-SUMIFS('TRA RESID'!$P:$P,'TRA RESID'!$I:$I,AK386,'TRA RESID'!$J:$J,AH386,'TRA RESID'!$H:$H,AI386)/SUMIFS('TRA RESID'!$P:$P,'TRA RESID'!$I:$I,AK386)*AS386</f>
        <v>#DIV/0!</v>
      </c>
      <c r="AP386" s="18"/>
      <c r="AQ386" s="18"/>
      <c r="AS386" s="21">
        <v>0.8</v>
      </c>
      <c r="AU386" s="15" t="str">
        <f>IF(AU385="*",AU385,"")</f>
        <v>*</v>
      </c>
      <c r="AV386" s="17" t="str">
        <f t="shared" ref="AV386:AY389" si="307">AV385</f>
        <v>*FCEV*</v>
      </c>
      <c r="AW386" s="17" t="str">
        <f t="shared" si="307"/>
        <v>TRABDS</v>
      </c>
      <c r="AX386" s="17" t="str">
        <f t="shared" si="307"/>
        <v>TRAFRECSHDMD</v>
      </c>
      <c r="AY386" s="17" t="str">
        <f t="shared" si="307"/>
        <v>TRAFRECSHDMD</v>
      </c>
      <c r="AZ386" s="18">
        <v>2025</v>
      </c>
      <c r="BA386" s="18" t="str">
        <f>BA385</f>
        <v>LO</v>
      </c>
      <c r="BB386" s="18"/>
      <c r="BC386" s="20" t="e">
        <f>-SUMIFS('TRA RESID'!$P:$P,'TRA RESID'!$I:$I,AY386,'TRA RESID'!$J:$J,AV386,'TRA RESID'!$H:$H,AW386)/SUMIFS('TRA RESID'!$P:$P,'TRA RESID'!$I:$I,AY386)*BG386</f>
        <v>#DIV/0!</v>
      </c>
      <c r="BD386" s="18"/>
      <c r="BE386" s="18"/>
      <c r="BG386" s="21">
        <v>0.8</v>
      </c>
    </row>
    <row r="387" spans="1:59" x14ac:dyDescent="0.25">
      <c r="C387" s="15" t="str">
        <f>IF(C386="*",C386,"")</f>
        <v>*</v>
      </c>
      <c r="D387" s="17" t="str">
        <f t="shared" si="304"/>
        <v>*ICEV*</v>
      </c>
      <c r="E387" s="17" t="str">
        <f t="shared" si="304"/>
        <v>TRABDS</v>
      </c>
      <c r="F387" s="17" t="str">
        <f t="shared" si="304"/>
        <v>TRAFRECSHDMD</v>
      </c>
      <c r="G387" s="17" t="str">
        <f t="shared" si="304"/>
        <v>TRAFRECSHDMD</v>
      </c>
      <c r="H387" s="18">
        <v>2030</v>
      </c>
      <c r="I387" s="18" t="str">
        <f>I386</f>
        <v>LO</v>
      </c>
      <c r="J387" s="18"/>
      <c r="K387" s="20" t="e">
        <f>-SUMIFS('TRA RESID'!$P:$P,'TRA RESID'!$I:$I,G387,'TRA RESID'!$J:$J,D387,'TRA RESID'!$H:$H,E387)/SUMIFS('TRA RESID'!$P:$P,'TRA RESID'!$I:$I,G387)*O387</f>
        <v>#DIV/0!</v>
      </c>
      <c r="L387" s="18"/>
      <c r="M387" s="18"/>
      <c r="O387" s="21">
        <v>0.5</v>
      </c>
      <c r="S387" s="15" t="str">
        <f>IF(S386="*",S386,"")</f>
        <v>*</v>
      </c>
      <c r="T387" s="17" t="str">
        <f t="shared" si="305"/>
        <v>*BEV*</v>
      </c>
      <c r="U387" s="17" t="str">
        <f t="shared" si="305"/>
        <v>TRABDS</v>
      </c>
      <c r="V387" s="17" t="str">
        <f t="shared" si="305"/>
        <v>TRAFRECSHDMD</v>
      </c>
      <c r="W387" s="17" t="str">
        <f t="shared" si="305"/>
        <v>TRAFRECSHDMD</v>
      </c>
      <c r="X387" s="18">
        <v>2030</v>
      </c>
      <c r="Y387" s="18" t="str">
        <f>Y386</f>
        <v>LO</v>
      </c>
      <c r="Z387" s="18"/>
      <c r="AA387" s="20" t="e">
        <f>-SUMIFS('TRA RESID'!$P:$P,'TRA RESID'!$I:$I,W387,'TRA RESID'!$J:$J,T387,'TRA RESID'!$H:$H,U387)/SUMIFS('TRA RESID'!$P:$P,'TRA RESID'!$I:$I,W387)*AE387</f>
        <v>#DIV/0!</v>
      </c>
      <c r="AB387" s="18"/>
      <c r="AC387" s="18"/>
      <c r="AE387" s="21">
        <v>1</v>
      </c>
      <c r="AG387" s="15" t="str">
        <f>IF(AG386="*",AG386,"")</f>
        <v>*</v>
      </c>
      <c r="AH387" s="17" t="str">
        <f t="shared" si="306"/>
        <v>*HEV*</v>
      </c>
      <c r="AI387" s="17" t="str">
        <f t="shared" si="306"/>
        <v>TRABDS</v>
      </c>
      <c r="AJ387" s="17" t="str">
        <f t="shared" si="306"/>
        <v>TRAFRECSHDMD</v>
      </c>
      <c r="AK387" s="17" t="str">
        <f t="shared" si="306"/>
        <v>TRAFRECSHDMD</v>
      </c>
      <c r="AL387" s="18">
        <v>2030</v>
      </c>
      <c r="AM387" s="18" t="str">
        <f>AM386</f>
        <v>LO</v>
      </c>
      <c r="AN387" s="18"/>
      <c r="AO387" s="20" t="e">
        <f>-SUMIFS('TRA RESID'!$P:$P,'TRA RESID'!$I:$I,AK387,'TRA RESID'!$J:$J,AH387,'TRA RESID'!$H:$H,AI387)/SUMIFS('TRA RESID'!$P:$P,'TRA RESID'!$I:$I,AK387)*AS387</f>
        <v>#DIV/0!</v>
      </c>
      <c r="AP387" s="18"/>
      <c r="AQ387" s="18"/>
      <c r="AS387" s="21">
        <v>0.5</v>
      </c>
      <c r="AU387" s="15" t="str">
        <f>IF(AU386="*",AU386,"")</f>
        <v>*</v>
      </c>
      <c r="AV387" s="17" t="str">
        <f t="shared" si="307"/>
        <v>*FCEV*</v>
      </c>
      <c r="AW387" s="17" t="str">
        <f t="shared" si="307"/>
        <v>TRABDS</v>
      </c>
      <c r="AX387" s="17" t="str">
        <f t="shared" si="307"/>
        <v>TRAFRECSHDMD</v>
      </c>
      <c r="AY387" s="17" t="str">
        <f t="shared" si="307"/>
        <v>TRAFRECSHDMD</v>
      </c>
      <c r="AZ387" s="18">
        <v>2030</v>
      </c>
      <c r="BA387" s="18" t="str">
        <f>BA386</f>
        <v>LO</v>
      </c>
      <c r="BB387" s="18"/>
      <c r="BC387" s="20" t="e">
        <f>-SUMIFS('TRA RESID'!$P:$P,'TRA RESID'!$I:$I,AY387,'TRA RESID'!$J:$J,AV387,'TRA RESID'!$H:$H,AW387)/SUMIFS('TRA RESID'!$P:$P,'TRA RESID'!$I:$I,AY387)*BG387</f>
        <v>#DIV/0!</v>
      </c>
      <c r="BD387" s="18"/>
      <c r="BE387" s="18"/>
      <c r="BG387" s="21">
        <v>0.5</v>
      </c>
    </row>
    <row r="388" spans="1:59" x14ac:dyDescent="0.25">
      <c r="C388" s="15" t="str">
        <f>IF(C387="*",C387,"")</f>
        <v>*</v>
      </c>
      <c r="D388" s="17" t="str">
        <f t="shared" si="304"/>
        <v>*ICEV*</v>
      </c>
      <c r="E388" s="17" t="str">
        <f t="shared" si="304"/>
        <v>TRABDS</v>
      </c>
      <c r="F388" s="17" t="str">
        <f t="shared" si="304"/>
        <v>TRAFRECSHDMD</v>
      </c>
      <c r="G388" s="17" t="str">
        <f t="shared" si="304"/>
        <v>TRAFRECSHDMD</v>
      </c>
      <c r="H388" s="18">
        <v>2040</v>
      </c>
      <c r="I388" s="18" t="str">
        <f>I387</f>
        <v>LO</v>
      </c>
      <c r="J388" s="18"/>
      <c r="K388" s="20" t="e">
        <f>-SUMIFS('TRA RESID'!$P:$P,'TRA RESID'!$I:$I,G388,'TRA RESID'!$J:$J,D388,'TRA RESID'!$H:$H,E388)/SUMIFS('TRA RESID'!$P:$P,'TRA RESID'!$I:$I,G388)*O388</f>
        <v>#DIV/0!</v>
      </c>
      <c r="L388" s="18"/>
      <c r="M388" s="18"/>
      <c r="O388" s="21">
        <v>0</v>
      </c>
      <c r="S388" s="15" t="str">
        <f>IF(S387="*",S387,"")</f>
        <v>*</v>
      </c>
      <c r="T388" s="17" t="str">
        <f t="shared" si="305"/>
        <v>*BEV*</v>
      </c>
      <c r="U388" s="17" t="str">
        <f t="shared" si="305"/>
        <v>TRABDS</v>
      </c>
      <c r="V388" s="17" t="str">
        <f t="shared" si="305"/>
        <v>TRAFRECSHDMD</v>
      </c>
      <c r="W388" s="17" t="str">
        <f t="shared" si="305"/>
        <v>TRAFRECSHDMD</v>
      </c>
      <c r="X388" s="18">
        <v>2040</v>
      </c>
      <c r="Y388" s="18" t="str">
        <f>Y387</f>
        <v>LO</v>
      </c>
      <c r="Z388" s="18"/>
      <c r="AA388" s="20" t="e">
        <f>-SUMIFS('TRA RESID'!$P:$P,'TRA RESID'!$I:$I,W388,'TRA RESID'!$J:$J,T388,'TRA RESID'!$H:$H,U388)/SUMIFS('TRA RESID'!$P:$P,'TRA RESID'!$I:$I,W388)*AE388</f>
        <v>#DIV/0!</v>
      </c>
      <c r="AB388" s="18"/>
      <c r="AC388" s="18"/>
      <c r="AE388" s="21">
        <v>1</v>
      </c>
      <c r="AG388" s="15" t="str">
        <f>IF(AG387="*",AG387,"")</f>
        <v>*</v>
      </c>
      <c r="AH388" s="17" t="str">
        <f t="shared" si="306"/>
        <v>*HEV*</v>
      </c>
      <c r="AI388" s="17" t="str">
        <f t="shared" si="306"/>
        <v>TRABDS</v>
      </c>
      <c r="AJ388" s="17" t="str">
        <f t="shared" si="306"/>
        <v>TRAFRECSHDMD</v>
      </c>
      <c r="AK388" s="17" t="str">
        <f t="shared" si="306"/>
        <v>TRAFRECSHDMD</v>
      </c>
      <c r="AL388" s="18">
        <v>2040</v>
      </c>
      <c r="AM388" s="18" t="str">
        <f>AM387</f>
        <v>LO</v>
      </c>
      <c r="AN388" s="18"/>
      <c r="AO388" s="20" t="e">
        <f>-SUMIFS('TRA RESID'!$P:$P,'TRA RESID'!$I:$I,AK388,'TRA RESID'!$J:$J,AH388,'TRA RESID'!$H:$H,AI388)/SUMIFS('TRA RESID'!$P:$P,'TRA RESID'!$I:$I,AK388)*AS388</f>
        <v>#DIV/0!</v>
      </c>
      <c r="AP388" s="18"/>
      <c r="AQ388" s="18"/>
      <c r="AS388" s="21">
        <v>0</v>
      </c>
      <c r="AU388" s="15" t="str">
        <f>IF(AU387="*",AU387,"")</f>
        <v>*</v>
      </c>
      <c r="AV388" s="17" t="str">
        <f t="shared" si="307"/>
        <v>*FCEV*</v>
      </c>
      <c r="AW388" s="17" t="str">
        <f t="shared" si="307"/>
        <v>TRABDS</v>
      </c>
      <c r="AX388" s="17" t="str">
        <f t="shared" si="307"/>
        <v>TRAFRECSHDMD</v>
      </c>
      <c r="AY388" s="17" t="str">
        <f t="shared" si="307"/>
        <v>TRAFRECSHDMD</v>
      </c>
      <c r="AZ388" s="18">
        <v>2040</v>
      </c>
      <c r="BA388" s="18" t="str">
        <f>BA387</f>
        <v>LO</v>
      </c>
      <c r="BB388" s="18"/>
      <c r="BC388" s="20" t="e">
        <f>-SUMIFS('TRA RESID'!$P:$P,'TRA RESID'!$I:$I,AY388,'TRA RESID'!$J:$J,AV388,'TRA RESID'!$H:$H,AW388)/SUMIFS('TRA RESID'!$P:$P,'TRA RESID'!$I:$I,AY388)*BG388</f>
        <v>#DIV/0!</v>
      </c>
      <c r="BD388" s="18"/>
      <c r="BE388" s="18"/>
      <c r="BG388" s="21">
        <v>0</v>
      </c>
    </row>
    <row r="389" spans="1:59" x14ac:dyDescent="0.25">
      <c r="C389" s="23" t="str">
        <f>IF(C388="*",C388,"")</f>
        <v>*</v>
      </c>
      <c r="D389" s="25" t="str">
        <f t="shared" si="304"/>
        <v>*ICEV*</v>
      </c>
      <c r="E389" s="25" t="str">
        <f t="shared" si="304"/>
        <v>TRABDS</v>
      </c>
      <c r="F389" s="25" t="str">
        <f t="shared" si="304"/>
        <v>TRAFRECSHDMD</v>
      </c>
      <c r="G389" s="25" t="str">
        <f t="shared" si="304"/>
        <v>TRAFRECSHDMD</v>
      </c>
      <c r="H389" s="26">
        <v>2050</v>
      </c>
      <c r="I389" s="26" t="str">
        <f>I387</f>
        <v>LO</v>
      </c>
      <c r="J389" s="26"/>
      <c r="K389" s="27" t="e">
        <f>-SUMIFS('TRA RESID'!$P:$P,'TRA RESID'!$I:$I,G389,'TRA RESID'!$J:$J,D389,'TRA RESID'!$H:$H,E389)/SUMIFS('TRA RESID'!$P:$P,'TRA RESID'!$I:$I,G389)*O389</f>
        <v>#DIV/0!</v>
      </c>
      <c r="L389" s="26"/>
      <c r="M389" s="26"/>
      <c r="O389" s="28">
        <v>0</v>
      </c>
      <c r="S389" s="23" t="str">
        <f>IF(S388="*",S388,"")</f>
        <v>*</v>
      </c>
      <c r="T389" s="25" t="str">
        <f t="shared" si="305"/>
        <v>*BEV*</v>
      </c>
      <c r="U389" s="25" t="str">
        <f t="shared" si="305"/>
        <v>TRABDS</v>
      </c>
      <c r="V389" s="25" t="str">
        <f t="shared" si="305"/>
        <v>TRAFRECSHDMD</v>
      </c>
      <c r="W389" s="25" t="str">
        <f t="shared" si="305"/>
        <v>TRAFRECSHDMD</v>
      </c>
      <c r="X389" s="26">
        <v>2050</v>
      </c>
      <c r="Y389" s="26" t="str">
        <f>Y387</f>
        <v>LO</v>
      </c>
      <c r="Z389" s="26"/>
      <c r="AA389" s="27" t="e">
        <f>-SUMIFS('TRA RESID'!$P:$P,'TRA RESID'!$I:$I,W389,'TRA RESID'!$J:$J,T389,'TRA RESID'!$H:$H,U389)/SUMIFS('TRA RESID'!$P:$P,'TRA RESID'!$I:$I,W389)*AE389</f>
        <v>#DIV/0!</v>
      </c>
      <c r="AB389" s="26"/>
      <c r="AC389" s="26"/>
      <c r="AE389" s="28">
        <v>1</v>
      </c>
      <c r="AG389" s="23" t="str">
        <f>IF(AG388="*",AG388,"")</f>
        <v>*</v>
      </c>
      <c r="AH389" s="25" t="str">
        <f t="shared" si="306"/>
        <v>*HEV*</v>
      </c>
      <c r="AI389" s="25" t="str">
        <f t="shared" si="306"/>
        <v>TRABDS</v>
      </c>
      <c r="AJ389" s="25" t="str">
        <f t="shared" si="306"/>
        <v>TRAFRECSHDMD</v>
      </c>
      <c r="AK389" s="25" t="str">
        <f t="shared" si="306"/>
        <v>TRAFRECSHDMD</v>
      </c>
      <c r="AL389" s="26">
        <v>2050</v>
      </c>
      <c r="AM389" s="26" t="str">
        <f>AM387</f>
        <v>LO</v>
      </c>
      <c r="AN389" s="26"/>
      <c r="AO389" s="27" t="e">
        <f>-SUMIFS('TRA RESID'!$P:$P,'TRA RESID'!$I:$I,AK389,'TRA RESID'!$J:$J,AH389,'TRA RESID'!$H:$H,AI389)/SUMIFS('TRA RESID'!$P:$P,'TRA RESID'!$I:$I,AK389)*AS389</f>
        <v>#DIV/0!</v>
      </c>
      <c r="AP389" s="26"/>
      <c r="AQ389" s="26"/>
      <c r="AS389" s="28">
        <v>0</v>
      </c>
      <c r="AU389" s="23" t="str">
        <f>IF(AU388="*",AU388,"")</f>
        <v>*</v>
      </c>
      <c r="AV389" s="25" t="str">
        <f t="shared" si="307"/>
        <v>*FCEV*</v>
      </c>
      <c r="AW389" s="25" t="str">
        <f t="shared" si="307"/>
        <v>TRABDS</v>
      </c>
      <c r="AX389" s="25" t="str">
        <f t="shared" si="307"/>
        <v>TRAFRECSHDMD</v>
      </c>
      <c r="AY389" s="25" t="str">
        <f t="shared" si="307"/>
        <v>TRAFRECSHDMD</v>
      </c>
      <c r="AZ389" s="26">
        <v>2050</v>
      </c>
      <c r="BA389" s="26" t="str">
        <f>BA387</f>
        <v>LO</v>
      </c>
      <c r="BB389" s="26"/>
      <c r="BC389" s="27" t="e">
        <f>-SUMIFS('TRA RESID'!$P:$P,'TRA RESID'!$I:$I,AY389,'TRA RESID'!$J:$J,AV389,'TRA RESID'!$H:$H,AW389)/SUMIFS('TRA RESID'!$P:$P,'TRA RESID'!$I:$I,AY389)*BG389</f>
        <v>#DIV/0!</v>
      </c>
      <c r="BD389" s="26"/>
      <c r="BE389" s="26"/>
      <c r="BG389" s="28">
        <v>0</v>
      </c>
    </row>
    <row r="390" spans="1:59" x14ac:dyDescent="0.25">
      <c r="A390">
        <f>A385+1</f>
        <v>78</v>
      </c>
      <c r="C390" s="15" t="str">
        <f>IF(E390="","",IF(_xlfn.XLOOKUP($A390,Selected_constraint!$A:$A,Selected_constraint!$D:$D)=1,"*",IF(SUMIFS('TRA TECH'!$M:$M,'TRA TECH'!$H:$H,E390,'TRA TECH'!$I:$I,F390)=0,"*",IF(SUMIFS('TRA RESID'!$P:$P,'TRA RESID'!$I:$I,G390,'TRA RESID'!$J:$J,D390,'TRA RESID'!$H:$H,E390)=0,"*","UC_"&amp;SUBSTITUTE(D390,"*","")&amp;"_"&amp;RIGHT(E390,3)&amp;"_"&amp;F390))))</f>
        <v>*</v>
      </c>
      <c r="D390" s="17" t="s">
        <v>485</v>
      </c>
      <c r="E390" s="17" t="str">
        <f>_xlfn.XLOOKUP($A390,Selected_constraint!$A:$A,Selected_constraint!$B:$B)</f>
        <v>TRACNG</v>
      </c>
      <c r="F390" s="17" t="str">
        <f>_xlfn.XLOOKUP($A390,Selected_constraint!$A:$A,Selected_constraint!$C:$C)</f>
        <v>TRAFRECSHDMD</v>
      </c>
      <c r="G390" s="17" t="str">
        <f>F390</f>
        <v>TRAFRECSHDMD</v>
      </c>
      <c r="H390" s="18">
        <v>2019</v>
      </c>
      <c r="I390" s="18" t="s">
        <v>483</v>
      </c>
      <c r="J390" s="18">
        <v>1</v>
      </c>
      <c r="K390" s="20" t="e">
        <f>-SUMIFS('TRA RESID'!$P:$P,'TRA RESID'!$I:$I,G390,'TRA RESID'!$J:$J,D390,'TRA RESID'!$H:$H,E390)/SUMIFS('TRA RESID'!$P:$P,'TRA RESID'!$I:$I,G390)*O390</f>
        <v>#DIV/0!</v>
      </c>
      <c r="L390" s="18">
        <v>0</v>
      </c>
      <c r="M390" s="18">
        <v>5</v>
      </c>
      <c r="O390" s="21">
        <v>0.98</v>
      </c>
      <c r="Q390">
        <f>Q385+1</f>
        <v>78</v>
      </c>
      <c r="S390" s="15" t="str">
        <f>IF(SUMIFS('TRA RESID'!$P:$P,'TRA RESID'!$I:$I,W390,'TRA RESID'!$J:$J,T390,'TRA RESID'!$H:$H,U390)=0,"*","UC_"&amp;SUBSTITUTE(T390,"*","")&amp;"_"&amp;RIGHT(U390,3)&amp;"_"&amp;V390)</f>
        <v>*</v>
      </c>
      <c r="T390" s="17" t="s">
        <v>486</v>
      </c>
      <c r="U390" s="17" t="str">
        <f>_xlfn.XLOOKUP($A390,Selected_constraint!$A:$A,Selected_constraint!$B:$B)</f>
        <v>TRACNG</v>
      </c>
      <c r="V390" s="17" t="str">
        <f>_xlfn.XLOOKUP($A390,Selected_constraint!$A:$A,Selected_constraint!$C:$C)</f>
        <v>TRAFRECSHDMD</v>
      </c>
      <c r="W390" s="17" t="str">
        <f>V390</f>
        <v>TRAFRECSHDMD</v>
      </c>
      <c r="X390" s="18">
        <v>2019</v>
      </c>
      <c r="Y390" s="18" t="s">
        <v>483</v>
      </c>
      <c r="Z390" s="18">
        <v>1</v>
      </c>
      <c r="AA390" s="20" t="e">
        <f>-SUMIFS('TRA RESID'!$P:$P,'TRA RESID'!$I:$I,W390,'TRA RESID'!$J:$J,T390,'TRA RESID'!$H:$H,U390)/SUMIFS('TRA RESID'!$P:$P,'TRA RESID'!$I:$I,W390)*AE390</f>
        <v>#DIV/0!</v>
      </c>
      <c r="AB390" s="18">
        <v>0</v>
      </c>
      <c r="AC390" s="18">
        <v>5</v>
      </c>
      <c r="AE390" s="21">
        <v>0.98</v>
      </c>
      <c r="AG390" s="15" t="str">
        <f>IF(SUMIFS('TRA RESID'!$P:$P,'TRA RESID'!$I:$I,AK390,'TRA RESID'!$J:$J,AH390,'TRA RESID'!$H:$H,AI390)=0,"*","UC_"&amp;SUBSTITUTE(AH390,"*","")&amp;"_"&amp;RIGHT(AI390,3)&amp;"_"&amp;AJ390)</f>
        <v>*</v>
      </c>
      <c r="AH390" s="17" t="s">
        <v>487</v>
      </c>
      <c r="AI390" s="17" t="str">
        <f>_xlfn.XLOOKUP($A390,Selected_constraint!$A:$A,Selected_constraint!$B:$B)</f>
        <v>TRACNG</v>
      </c>
      <c r="AJ390" s="17" t="str">
        <f>_xlfn.XLOOKUP($A390,Selected_constraint!$A:$A,Selected_constraint!$C:$C)</f>
        <v>TRAFRECSHDMD</v>
      </c>
      <c r="AK390" s="17" t="str">
        <f>AJ390</f>
        <v>TRAFRECSHDMD</v>
      </c>
      <c r="AL390" s="18">
        <v>2019</v>
      </c>
      <c r="AM390" s="18" t="s">
        <v>483</v>
      </c>
      <c r="AN390" s="18">
        <v>1</v>
      </c>
      <c r="AO390" s="20" t="e">
        <f>-SUMIFS('TRA RESID'!$P:$P,'TRA RESID'!$I:$I,AK390,'TRA RESID'!$J:$J,AH390,'TRA RESID'!$H:$H,AI390)/SUMIFS('TRA RESID'!$P:$P,'TRA RESID'!$I:$I,AK390)*AS390</f>
        <v>#DIV/0!</v>
      </c>
      <c r="AP390" s="18">
        <v>0</v>
      </c>
      <c r="AQ390" s="18">
        <v>5</v>
      </c>
      <c r="AS390" s="21">
        <v>0.98</v>
      </c>
      <c r="AU390" s="15" t="str">
        <f>IF(SUMIFS('TRA RESID'!$P:$P,'TRA RESID'!$I:$I,AY390,'TRA RESID'!$J:$J,AV390,'TRA RESID'!$H:$H,AW390)=0,"*","UC_"&amp;SUBSTITUTE(AV390,"*","")&amp;"_"&amp;RIGHT(AW390,3)&amp;"_"&amp;AX390)</f>
        <v>*</v>
      </c>
      <c r="AV390" s="17" t="s">
        <v>488</v>
      </c>
      <c r="AW390" s="17" t="str">
        <f>_xlfn.XLOOKUP($A390,Selected_constraint!$A:$A,Selected_constraint!$B:$B)</f>
        <v>TRACNG</v>
      </c>
      <c r="AX390" s="17" t="str">
        <f>_xlfn.XLOOKUP($A390,Selected_constraint!$A:$A,Selected_constraint!$C:$C)</f>
        <v>TRAFRECSHDMD</v>
      </c>
      <c r="AY390" s="17" t="str">
        <f>AX390</f>
        <v>TRAFRECSHDMD</v>
      </c>
      <c r="AZ390" s="18">
        <v>2019</v>
      </c>
      <c r="BA390" s="18" t="s">
        <v>483</v>
      </c>
      <c r="BB390" s="18">
        <v>1</v>
      </c>
      <c r="BC390" s="20" t="e">
        <f>-SUMIFS('TRA RESID'!$P:$P,'TRA RESID'!$I:$I,AY390,'TRA RESID'!$J:$J,AV390,'TRA RESID'!$H:$H,AW390)/SUMIFS('TRA RESID'!$P:$P,'TRA RESID'!$I:$I,AY390)*BG390</f>
        <v>#DIV/0!</v>
      </c>
      <c r="BD390" s="18">
        <v>0</v>
      </c>
      <c r="BE390" s="18">
        <v>5</v>
      </c>
      <c r="BG390" s="21">
        <v>0.98</v>
      </c>
    </row>
    <row r="391" spans="1:59" x14ac:dyDescent="0.25">
      <c r="C391" s="15" t="str">
        <f>IF(C390="*",C390,"")</f>
        <v>*</v>
      </c>
      <c r="D391" s="17" t="str">
        <f t="shared" ref="D391:G394" si="308">D390</f>
        <v>*ICEV*</v>
      </c>
      <c r="E391" s="17" t="str">
        <f t="shared" si="308"/>
        <v>TRACNG</v>
      </c>
      <c r="F391" s="17" t="str">
        <f t="shared" si="308"/>
        <v>TRAFRECSHDMD</v>
      </c>
      <c r="G391" s="17" t="str">
        <f t="shared" si="308"/>
        <v>TRAFRECSHDMD</v>
      </c>
      <c r="H391" s="18">
        <v>2025</v>
      </c>
      <c r="I391" s="18" t="str">
        <f>I390</f>
        <v>LO</v>
      </c>
      <c r="J391" s="18"/>
      <c r="K391" s="20" t="e">
        <f>-SUMIFS('TRA RESID'!$P:$P,'TRA RESID'!$I:$I,G391,'TRA RESID'!$J:$J,D391,'TRA RESID'!$H:$H,E391)/SUMIFS('TRA RESID'!$P:$P,'TRA RESID'!$I:$I,G391)*O391</f>
        <v>#DIV/0!</v>
      </c>
      <c r="L391" s="18"/>
      <c r="M391" s="18"/>
      <c r="O391" s="21">
        <v>0.8</v>
      </c>
      <c r="S391" s="15" t="str">
        <f>IF(S390="*",S390,"")</f>
        <v>*</v>
      </c>
      <c r="T391" s="17" t="str">
        <f t="shared" ref="T391:W394" si="309">T390</f>
        <v>*BEV*</v>
      </c>
      <c r="U391" s="17" t="str">
        <f t="shared" si="309"/>
        <v>TRACNG</v>
      </c>
      <c r="V391" s="17" t="str">
        <f t="shared" si="309"/>
        <v>TRAFRECSHDMD</v>
      </c>
      <c r="W391" s="17" t="str">
        <f t="shared" si="309"/>
        <v>TRAFRECSHDMD</v>
      </c>
      <c r="X391" s="18">
        <v>2025</v>
      </c>
      <c r="Y391" s="18" t="str">
        <f>Y390</f>
        <v>LO</v>
      </c>
      <c r="Z391" s="18"/>
      <c r="AA391" s="20" t="e">
        <f>-SUMIFS('TRA RESID'!$P:$P,'TRA RESID'!$I:$I,W391,'TRA RESID'!$J:$J,T391,'TRA RESID'!$H:$H,U391)/SUMIFS('TRA RESID'!$P:$P,'TRA RESID'!$I:$I,W391)*AE391</f>
        <v>#DIV/0!</v>
      </c>
      <c r="AB391" s="18"/>
      <c r="AC391" s="18"/>
      <c r="AE391" s="21">
        <v>1</v>
      </c>
      <c r="AG391" s="15" t="str">
        <f>IF(AG390="*",AG390,"")</f>
        <v>*</v>
      </c>
      <c r="AH391" s="17" t="str">
        <f t="shared" ref="AH391:AK394" si="310">AH390</f>
        <v>*HEV*</v>
      </c>
      <c r="AI391" s="17" t="str">
        <f t="shared" si="310"/>
        <v>TRACNG</v>
      </c>
      <c r="AJ391" s="17" t="str">
        <f t="shared" si="310"/>
        <v>TRAFRECSHDMD</v>
      </c>
      <c r="AK391" s="17" t="str">
        <f t="shared" si="310"/>
        <v>TRAFRECSHDMD</v>
      </c>
      <c r="AL391" s="18">
        <v>2025</v>
      </c>
      <c r="AM391" s="18" t="str">
        <f>AM390</f>
        <v>LO</v>
      </c>
      <c r="AN391" s="18"/>
      <c r="AO391" s="20" t="e">
        <f>-SUMIFS('TRA RESID'!$P:$P,'TRA RESID'!$I:$I,AK391,'TRA RESID'!$J:$J,AH391,'TRA RESID'!$H:$H,AI391)/SUMIFS('TRA RESID'!$P:$P,'TRA RESID'!$I:$I,AK391)*AS391</f>
        <v>#DIV/0!</v>
      </c>
      <c r="AP391" s="18"/>
      <c r="AQ391" s="18"/>
      <c r="AS391" s="21">
        <v>0.8</v>
      </c>
      <c r="AU391" s="15" t="str">
        <f>IF(AU390="*",AU390,"")</f>
        <v>*</v>
      </c>
      <c r="AV391" s="17" t="str">
        <f t="shared" ref="AV391:AY394" si="311">AV390</f>
        <v>*FCEV*</v>
      </c>
      <c r="AW391" s="17" t="str">
        <f t="shared" si="311"/>
        <v>TRACNG</v>
      </c>
      <c r="AX391" s="17" t="str">
        <f t="shared" si="311"/>
        <v>TRAFRECSHDMD</v>
      </c>
      <c r="AY391" s="17" t="str">
        <f t="shared" si="311"/>
        <v>TRAFRECSHDMD</v>
      </c>
      <c r="AZ391" s="18">
        <v>2025</v>
      </c>
      <c r="BA391" s="18" t="str">
        <f>BA390</f>
        <v>LO</v>
      </c>
      <c r="BB391" s="18"/>
      <c r="BC391" s="20" t="e">
        <f>-SUMIFS('TRA RESID'!$P:$P,'TRA RESID'!$I:$I,AY391,'TRA RESID'!$J:$J,AV391,'TRA RESID'!$H:$H,AW391)/SUMIFS('TRA RESID'!$P:$P,'TRA RESID'!$I:$I,AY391)*BG391</f>
        <v>#DIV/0!</v>
      </c>
      <c r="BD391" s="18"/>
      <c r="BE391" s="18"/>
      <c r="BG391" s="21">
        <v>0.8</v>
      </c>
    </row>
    <row r="392" spans="1:59" x14ac:dyDescent="0.25">
      <c r="C392" s="15" t="str">
        <f>IF(C391="*",C391,"")</f>
        <v>*</v>
      </c>
      <c r="D392" s="17" t="str">
        <f t="shared" si="308"/>
        <v>*ICEV*</v>
      </c>
      <c r="E392" s="17" t="str">
        <f t="shared" si="308"/>
        <v>TRACNG</v>
      </c>
      <c r="F392" s="17" t="str">
        <f t="shared" si="308"/>
        <v>TRAFRECSHDMD</v>
      </c>
      <c r="G392" s="17" t="str">
        <f t="shared" si="308"/>
        <v>TRAFRECSHDMD</v>
      </c>
      <c r="H392" s="18">
        <v>2030</v>
      </c>
      <c r="I392" s="18" t="str">
        <f>I391</f>
        <v>LO</v>
      </c>
      <c r="J392" s="18"/>
      <c r="K392" s="20" t="e">
        <f>-SUMIFS('TRA RESID'!$P:$P,'TRA RESID'!$I:$I,G392,'TRA RESID'!$J:$J,D392,'TRA RESID'!$H:$H,E392)/SUMIFS('TRA RESID'!$P:$P,'TRA RESID'!$I:$I,G392)*O392</f>
        <v>#DIV/0!</v>
      </c>
      <c r="L392" s="18"/>
      <c r="M392" s="18"/>
      <c r="O392" s="21">
        <v>0.5</v>
      </c>
      <c r="S392" s="15" t="str">
        <f>IF(S391="*",S391,"")</f>
        <v>*</v>
      </c>
      <c r="T392" s="17" t="str">
        <f t="shared" si="309"/>
        <v>*BEV*</v>
      </c>
      <c r="U392" s="17" t="str">
        <f t="shared" si="309"/>
        <v>TRACNG</v>
      </c>
      <c r="V392" s="17" t="str">
        <f t="shared" si="309"/>
        <v>TRAFRECSHDMD</v>
      </c>
      <c r="W392" s="17" t="str">
        <f t="shared" si="309"/>
        <v>TRAFRECSHDMD</v>
      </c>
      <c r="X392" s="18">
        <v>2030</v>
      </c>
      <c r="Y392" s="18" t="str">
        <f>Y391</f>
        <v>LO</v>
      </c>
      <c r="Z392" s="18"/>
      <c r="AA392" s="20" t="e">
        <f>-SUMIFS('TRA RESID'!$P:$P,'TRA RESID'!$I:$I,W392,'TRA RESID'!$J:$J,T392,'TRA RESID'!$H:$H,U392)/SUMIFS('TRA RESID'!$P:$P,'TRA RESID'!$I:$I,W392)*AE392</f>
        <v>#DIV/0!</v>
      </c>
      <c r="AB392" s="18"/>
      <c r="AC392" s="18"/>
      <c r="AE392" s="21">
        <v>1</v>
      </c>
      <c r="AG392" s="15" t="str">
        <f>IF(AG391="*",AG391,"")</f>
        <v>*</v>
      </c>
      <c r="AH392" s="17" t="str">
        <f t="shared" si="310"/>
        <v>*HEV*</v>
      </c>
      <c r="AI392" s="17" t="str">
        <f t="shared" si="310"/>
        <v>TRACNG</v>
      </c>
      <c r="AJ392" s="17" t="str">
        <f t="shared" si="310"/>
        <v>TRAFRECSHDMD</v>
      </c>
      <c r="AK392" s="17" t="str">
        <f t="shared" si="310"/>
        <v>TRAFRECSHDMD</v>
      </c>
      <c r="AL392" s="18">
        <v>2030</v>
      </c>
      <c r="AM392" s="18" t="str">
        <f>AM391</f>
        <v>LO</v>
      </c>
      <c r="AN392" s="18"/>
      <c r="AO392" s="20" t="e">
        <f>-SUMIFS('TRA RESID'!$P:$P,'TRA RESID'!$I:$I,AK392,'TRA RESID'!$J:$J,AH392,'TRA RESID'!$H:$H,AI392)/SUMIFS('TRA RESID'!$P:$P,'TRA RESID'!$I:$I,AK392)*AS392</f>
        <v>#DIV/0!</v>
      </c>
      <c r="AP392" s="18"/>
      <c r="AQ392" s="18"/>
      <c r="AS392" s="21">
        <v>0.5</v>
      </c>
      <c r="AU392" s="15" t="str">
        <f>IF(AU391="*",AU391,"")</f>
        <v>*</v>
      </c>
      <c r="AV392" s="17" t="str">
        <f t="shared" si="311"/>
        <v>*FCEV*</v>
      </c>
      <c r="AW392" s="17" t="str">
        <f t="shared" si="311"/>
        <v>TRACNG</v>
      </c>
      <c r="AX392" s="17" t="str">
        <f t="shared" si="311"/>
        <v>TRAFRECSHDMD</v>
      </c>
      <c r="AY392" s="17" t="str">
        <f t="shared" si="311"/>
        <v>TRAFRECSHDMD</v>
      </c>
      <c r="AZ392" s="18">
        <v>2030</v>
      </c>
      <c r="BA392" s="18" t="str">
        <f>BA391</f>
        <v>LO</v>
      </c>
      <c r="BB392" s="18"/>
      <c r="BC392" s="20" t="e">
        <f>-SUMIFS('TRA RESID'!$P:$P,'TRA RESID'!$I:$I,AY392,'TRA RESID'!$J:$J,AV392,'TRA RESID'!$H:$H,AW392)/SUMIFS('TRA RESID'!$P:$P,'TRA RESID'!$I:$I,AY392)*BG392</f>
        <v>#DIV/0!</v>
      </c>
      <c r="BD392" s="18"/>
      <c r="BE392" s="18"/>
      <c r="BG392" s="21">
        <v>0.5</v>
      </c>
    </row>
    <row r="393" spans="1:59" x14ac:dyDescent="0.25">
      <c r="C393" s="15" t="str">
        <f>IF(C392="*",C392,"")</f>
        <v>*</v>
      </c>
      <c r="D393" s="17" t="str">
        <f t="shared" si="308"/>
        <v>*ICEV*</v>
      </c>
      <c r="E393" s="17" t="str">
        <f t="shared" si="308"/>
        <v>TRACNG</v>
      </c>
      <c r="F393" s="17" t="str">
        <f t="shared" si="308"/>
        <v>TRAFRECSHDMD</v>
      </c>
      <c r="G393" s="17" t="str">
        <f t="shared" si="308"/>
        <v>TRAFRECSHDMD</v>
      </c>
      <c r="H393" s="18">
        <v>2040</v>
      </c>
      <c r="I393" s="18" t="str">
        <f>I392</f>
        <v>LO</v>
      </c>
      <c r="J393" s="18"/>
      <c r="K393" s="20" t="e">
        <f>-SUMIFS('TRA RESID'!$P:$P,'TRA RESID'!$I:$I,G393,'TRA RESID'!$J:$J,D393,'TRA RESID'!$H:$H,E393)/SUMIFS('TRA RESID'!$P:$P,'TRA RESID'!$I:$I,G393)*O393</f>
        <v>#DIV/0!</v>
      </c>
      <c r="L393" s="18"/>
      <c r="M393" s="18"/>
      <c r="O393" s="21">
        <v>0</v>
      </c>
      <c r="S393" s="15" t="str">
        <f>IF(S392="*",S392,"")</f>
        <v>*</v>
      </c>
      <c r="T393" s="17" t="str">
        <f t="shared" si="309"/>
        <v>*BEV*</v>
      </c>
      <c r="U393" s="17" t="str">
        <f t="shared" si="309"/>
        <v>TRACNG</v>
      </c>
      <c r="V393" s="17" t="str">
        <f t="shared" si="309"/>
        <v>TRAFRECSHDMD</v>
      </c>
      <c r="W393" s="17" t="str">
        <f t="shared" si="309"/>
        <v>TRAFRECSHDMD</v>
      </c>
      <c r="X393" s="18">
        <v>2040</v>
      </c>
      <c r="Y393" s="18" t="str">
        <f>Y392</f>
        <v>LO</v>
      </c>
      <c r="Z393" s="18"/>
      <c r="AA393" s="20" t="e">
        <f>-SUMIFS('TRA RESID'!$P:$P,'TRA RESID'!$I:$I,W393,'TRA RESID'!$J:$J,T393,'TRA RESID'!$H:$H,U393)/SUMIFS('TRA RESID'!$P:$P,'TRA RESID'!$I:$I,W393)*AE393</f>
        <v>#DIV/0!</v>
      </c>
      <c r="AB393" s="18"/>
      <c r="AC393" s="18"/>
      <c r="AE393" s="21">
        <v>1</v>
      </c>
      <c r="AG393" s="15" t="str">
        <f>IF(AG392="*",AG392,"")</f>
        <v>*</v>
      </c>
      <c r="AH393" s="17" t="str">
        <f t="shared" si="310"/>
        <v>*HEV*</v>
      </c>
      <c r="AI393" s="17" t="str">
        <f t="shared" si="310"/>
        <v>TRACNG</v>
      </c>
      <c r="AJ393" s="17" t="str">
        <f t="shared" si="310"/>
        <v>TRAFRECSHDMD</v>
      </c>
      <c r="AK393" s="17" t="str">
        <f t="shared" si="310"/>
        <v>TRAFRECSHDMD</v>
      </c>
      <c r="AL393" s="18">
        <v>2040</v>
      </c>
      <c r="AM393" s="18" t="str">
        <f>AM392</f>
        <v>LO</v>
      </c>
      <c r="AN393" s="18"/>
      <c r="AO393" s="20" t="e">
        <f>-SUMIFS('TRA RESID'!$P:$P,'TRA RESID'!$I:$I,AK393,'TRA RESID'!$J:$J,AH393,'TRA RESID'!$H:$H,AI393)/SUMIFS('TRA RESID'!$P:$P,'TRA RESID'!$I:$I,AK393)*AS393</f>
        <v>#DIV/0!</v>
      </c>
      <c r="AP393" s="18"/>
      <c r="AQ393" s="18"/>
      <c r="AS393" s="21">
        <v>0</v>
      </c>
      <c r="AU393" s="15" t="str">
        <f>IF(AU392="*",AU392,"")</f>
        <v>*</v>
      </c>
      <c r="AV393" s="17" t="str">
        <f t="shared" si="311"/>
        <v>*FCEV*</v>
      </c>
      <c r="AW393" s="17" t="str">
        <f t="shared" si="311"/>
        <v>TRACNG</v>
      </c>
      <c r="AX393" s="17" t="str">
        <f t="shared" si="311"/>
        <v>TRAFRECSHDMD</v>
      </c>
      <c r="AY393" s="17" t="str">
        <f t="shared" si="311"/>
        <v>TRAFRECSHDMD</v>
      </c>
      <c r="AZ393" s="18">
        <v>2040</v>
      </c>
      <c r="BA393" s="18" t="str">
        <f>BA392</f>
        <v>LO</v>
      </c>
      <c r="BB393" s="18"/>
      <c r="BC393" s="20" t="e">
        <f>-SUMIFS('TRA RESID'!$P:$P,'TRA RESID'!$I:$I,AY393,'TRA RESID'!$J:$J,AV393,'TRA RESID'!$H:$H,AW393)/SUMIFS('TRA RESID'!$P:$P,'TRA RESID'!$I:$I,AY393)*BG393</f>
        <v>#DIV/0!</v>
      </c>
      <c r="BD393" s="18"/>
      <c r="BE393" s="18"/>
      <c r="BG393" s="21">
        <v>0</v>
      </c>
    </row>
    <row r="394" spans="1:59" x14ac:dyDescent="0.25">
      <c r="C394" s="23" t="str">
        <f>IF(C393="*",C393,"")</f>
        <v>*</v>
      </c>
      <c r="D394" s="25" t="str">
        <f t="shared" si="308"/>
        <v>*ICEV*</v>
      </c>
      <c r="E394" s="25" t="str">
        <f t="shared" si="308"/>
        <v>TRACNG</v>
      </c>
      <c r="F394" s="25" t="str">
        <f t="shared" si="308"/>
        <v>TRAFRECSHDMD</v>
      </c>
      <c r="G394" s="25" t="str">
        <f t="shared" si="308"/>
        <v>TRAFRECSHDMD</v>
      </c>
      <c r="H394" s="26">
        <v>2050</v>
      </c>
      <c r="I394" s="26" t="str">
        <f>I392</f>
        <v>LO</v>
      </c>
      <c r="J394" s="26"/>
      <c r="K394" s="27" t="e">
        <f>-SUMIFS('TRA RESID'!$P:$P,'TRA RESID'!$I:$I,G394,'TRA RESID'!$J:$J,D394,'TRA RESID'!$H:$H,E394)/SUMIFS('TRA RESID'!$P:$P,'TRA RESID'!$I:$I,G394)*O394</f>
        <v>#DIV/0!</v>
      </c>
      <c r="L394" s="26"/>
      <c r="M394" s="26"/>
      <c r="O394" s="28">
        <v>0</v>
      </c>
      <c r="S394" s="23" t="str">
        <f>IF(S393="*",S393,"")</f>
        <v>*</v>
      </c>
      <c r="T394" s="25" t="str">
        <f t="shared" si="309"/>
        <v>*BEV*</v>
      </c>
      <c r="U394" s="25" t="str">
        <f t="shared" si="309"/>
        <v>TRACNG</v>
      </c>
      <c r="V394" s="25" t="str">
        <f t="shared" si="309"/>
        <v>TRAFRECSHDMD</v>
      </c>
      <c r="W394" s="25" t="str">
        <f t="shared" si="309"/>
        <v>TRAFRECSHDMD</v>
      </c>
      <c r="X394" s="26">
        <v>2050</v>
      </c>
      <c r="Y394" s="26" t="str">
        <f>Y392</f>
        <v>LO</v>
      </c>
      <c r="Z394" s="26"/>
      <c r="AA394" s="27" t="e">
        <f>-SUMIFS('TRA RESID'!$P:$P,'TRA RESID'!$I:$I,W394,'TRA RESID'!$J:$J,T394,'TRA RESID'!$H:$H,U394)/SUMIFS('TRA RESID'!$P:$P,'TRA RESID'!$I:$I,W394)*AE394</f>
        <v>#DIV/0!</v>
      </c>
      <c r="AB394" s="26"/>
      <c r="AC394" s="26"/>
      <c r="AE394" s="28">
        <v>1</v>
      </c>
      <c r="AG394" s="23" t="str">
        <f>IF(AG393="*",AG393,"")</f>
        <v>*</v>
      </c>
      <c r="AH394" s="25" t="str">
        <f t="shared" si="310"/>
        <v>*HEV*</v>
      </c>
      <c r="AI394" s="25" t="str">
        <f t="shared" si="310"/>
        <v>TRACNG</v>
      </c>
      <c r="AJ394" s="25" t="str">
        <f t="shared" si="310"/>
        <v>TRAFRECSHDMD</v>
      </c>
      <c r="AK394" s="25" t="str">
        <f t="shared" si="310"/>
        <v>TRAFRECSHDMD</v>
      </c>
      <c r="AL394" s="26">
        <v>2050</v>
      </c>
      <c r="AM394" s="26" t="str">
        <f>AM392</f>
        <v>LO</v>
      </c>
      <c r="AN394" s="26"/>
      <c r="AO394" s="27" t="e">
        <f>-SUMIFS('TRA RESID'!$P:$P,'TRA RESID'!$I:$I,AK394,'TRA RESID'!$J:$J,AH394,'TRA RESID'!$H:$H,AI394)/SUMIFS('TRA RESID'!$P:$P,'TRA RESID'!$I:$I,AK394)*AS394</f>
        <v>#DIV/0!</v>
      </c>
      <c r="AP394" s="26"/>
      <c r="AQ394" s="26"/>
      <c r="AS394" s="28">
        <v>0</v>
      </c>
      <c r="AU394" s="23" t="str">
        <f>IF(AU393="*",AU393,"")</f>
        <v>*</v>
      </c>
      <c r="AV394" s="25" t="str">
        <f t="shared" si="311"/>
        <v>*FCEV*</v>
      </c>
      <c r="AW394" s="25" t="str">
        <f t="shared" si="311"/>
        <v>TRACNG</v>
      </c>
      <c r="AX394" s="25" t="str">
        <f t="shared" si="311"/>
        <v>TRAFRECSHDMD</v>
      </c>
      <c r="AY394" s="25" t="str">
        <f t="shared" si="311"/>
        <v>TRAFRECSHDMD</v>
      </c>
      <c r="AZ394" s="26">
        <v>2050</v>
      </c>
      <c r="BA394" s="26" t="str">
        <f>BA392</f>
        <v>LO</v>
      </c>
      <c r="BB394" s="26"/>
      <c r="BC394" s="27" t="e">
        <f>-SUMIFS('TRA RESID'!$P:$P,'TRA RESID'!$I:$I,AY394,'TRA RESID'!$J:$J,AV394,'TRA RESID'!$H:$H,AW394)/SUMIFS('TRA RESID'!$P:$P,'TRA RESID'!$I:$I,AY394)*BG394</f>
        <v>#DIV/0!</v>
      </c>
      <c r="BD394" s="26"/>
      <c r="BE394" s="26"/>
      <c r="BG394" s="28">
        <v>0</v>
      </c>
    </row>
    <row r="395" spans="1:59" x14ac:dyDescent="0.25">
      <c r="A395">
        <f>A390+1</f>
        <v>79</v>
      </c>
      <c r="C395" s="15" t="str">
        <f>IF(E395="","",IF(_xlfn.XLOOKUP($A395,Selected_constraint!$A:$A,Selected_constraint!$D:$D)=1,"*",IF(SUMIFS('TRA TECH'!$M:$M,'TRA TECH'!$H:$H,E395,'TRA TECH'!$I:$I,F395)=0,"*",IF(SUMIFS('TRA RESID'!$P:$P,'TRA RESID'!$I:$I,G395,'TRA RESID'!$J:$J,D395,'TRA RESID'!$H:$H,E395)=0,"*","UC_"&amp;SUBSTITUTE(D395,"*","")&amp;"_"&amp;RIGHT(E395,3)&amp;"_"&amp;F395))))</f>
        <v>*</v>
      </c>
      <c r="D395" s="17" t="s">
        <v>485</v>
      </c>
      <c r="E395" s="17" t="str">
        <f>_xlfn.XLOOKUP($A395,Selected_constraint!$A:$A,Selected_constraint!$B:$B)</f>
        <v>TRARNG</v>
      </c>
      <c r="F395" s="17" t="str">
        <f>_xlfn.XLOOKUP($A395,Selected_constraint!$A:$A,Selected_constraint!$C:$C)</f>
        <v>TRAFRECSHDMD</v>
      </c>
      <c r="G395" s="17" t="str">
        <f>F395</f>
        <v>TRAFRECSHDMD</v>
      </c>
      <c r="H395" s="18">
        <v>2019</v>
      </c>
      <c r="I395" s="18" t="s">
        <v>483</v>
      </c>
      <c r="J395" s="18">
        <v>1</v>
      </c>
      <c r="K395" s="20" t="e">
        <f>-SUMIFS('TRA RESID'!$P:$P,'TRA RESID'!$I:$I,G395,'TRA RESID'!$J:$J,D395,'TRA RESID'!$H:$H,E395)/SUMIFS('TRA RESID'!$P:$P,'TRA RESID'!$I:$I,G395)*O395</f>
        <v>#DIV/0!</v>
      </c>
      <c r="L395" s="18">
        <v>0</v>
      </c>
      <c r="M395" s="18">
        <v>5</v>
      </c>
      <c r="O395" s="21">
        <v>0.98</v>
      </c>
      <c r="Q395">
        <f>Q390+1</f>
        <v>79</v>
      </c>
      <c r="S395" s="15" t="str">
        <f>IF(SUMIFS('TRA RESID'!$P:$P,'TRA RESID'!$I:$I,W395,'TRA RESID'!$J:$J,T395,'TRA RESID'!$H:$H,U395)=0,"*","UC_"&amp;SUBSTITUTE(T395,"*","")&amp;"_"&amp;RIGHT(U395,3)&amp;"_"&amp;V395)</f>
        <v>*</v>
      </c>
      <c r="T395" s="17" t="s">
        <v>486</v>
      </c>
      <c r="U395" s="17" t="str">
        <f>_xlfn.XLOOKUP($A395,Selected_constraint!$A:$A,Selected_constraint!$B:$B)</f>
        <v>TRARNG</v>
      </c>
      <c r="V395" s="17" t="str">
        <f>_xlfn.XLOOKUP($A395,Selected_constraint!$A:$A,Selected_constraint!$C:$C)</f>
        <v>TRAFRECSHDMD</v>
      </c>
      <c r="W395" s="17" t="str">
        <f>V395</f>
        <v>TRAFRECSHDMD</v>
      </c>
      <c r="X395" s="18">
        <v>2019</v>
      </c>
      <c r="Y395" s="18" t="s">
        <v>483</v>
      </c>
      <c r="Z395" s="18">
        <v>1</v>
      </c>
      <c r="AA395" s="20" t="e">
        <f>-SUMIFS('TRA RESID'!$P:$P,'TRA RESID'!$I:$I,W395,'TRA RESID'!$J:$J,T395,'TRA RESID'!$H:$H,U395)/SUMIFS('TRA RESID'!$P:$P,'TRA RESID'!$I:$I,W395)*AE395</f>
        <v>#DIV/0!</v>
      </c>
      <c r="AB395" s="18">
        <v>0</v>
      </c>
      <c r="AC395" s="18">
        <v>5</v>
      </c>
      <c r="AE395" s="21">
        <v>0.98</v>
      </c>
      <c r="AG395" s="15" t="str">
        <f>IF(SUMIFS('TRA RESID'!$P:$P,'TRA RESID'!$I:$I,AK395,'TRA RESID'!$J:$J,AH395,'TRA RESID'!$H:$H,AI395)=0,"*","UC_"&amp;SUBSTITUTE(AH395,"*","")&amp;"_"&amp;RIGHT(AI395,3)&amp;"_"&amp;AJ395)</f>
        <v>*</v>
      </c>
      <c r="AH395" s="17" t="s">
        <v>487</v>
      </c>
      <c r="AI395" s="17" t="str">
        <f>_xlfn.XLOOKUP($A395,Selected_constraint!$A:$A,Selected_constraint!$B:$B)</f>
        <v>TRARNG</v>
      </c>
      <c r="AJ395" s="17" t="str">
        <f>_xlfn.XLOOKUP($A395,Selected_constraint!$A:$A,Selected_constraint!$C:$C)</f>
        <v>TRAFRECSHDMD</v>
      </c>
      <c r="AK395" s="17" t="str">
        <f>AJ395</f>
        <v>TRAFRECSHDMD</v>
      </c>
      <c r="AL395" s="18">
        <v>2019</v>
      </c>
      <c r="AM395" s="18" t="s">
        <v>483</v>
      </c>
      <c r="AN395" s="18">
        <v>1</v>
      </c>
      <c r="AO395" s="20" t="e">
        <f>-SUMIFS('TRA RESID'!$P:$P,'TRA RESID'!$I:$I,AK395,'TRA RESID'!$J:$J,AH395,'TRA RESID'!$H:$H,AI395)/SUMIFS('TRA RESID'!$P:$P,'TRA RESID'!$I:$I,AK395)*AS395</f>
        <v>#DIV/0!</v>
      </c>
      <c r="AP395" s="18">
        <v>0</v>
      </c>
      <c r="AQ395" s="18">
        <v>5</v>
      </c>
      <c r="AS395" s="21">
        <v>0.98</v>
      </c>
      <c r="AU395" s="15" t="str">
        <f>IF(SUMIFS('TRA RESID'!$P:$P,'TRA RESID'!$I:$I,AY395,'TRA RESID'!$J:$J,AV395,'TRA RESID'!$H:$H,AW395)=0,"*","UC_"&amp;SUBSTITUTE(AV395,"*","")&amp;"_"&amp;RIGHT(AW395,3)&amp;"_"&amp;AX395)</f>
        <v>*</v>
      </c>
      <c r="AV395" s="17" t="s">
        <v>488</v>
      </c>
      <c r="AW395" s="17" t="str">
        <f>_xlfn.XLOOKUP($A395,Selected_constraint!$A:$A,Selected_constraint!$B:$B)</f>
        <v>TRARNG</v>
      </c>
      <c r="AX395" s="17" t="str">
        <f>_xlfn.XLOOKUP($A395,Selected_constraint!$A:$A,Selected_constraint!$C:$C)</f>
        <v>TRAFRECSHDMD</v>
      </c>
      <c r="AY395" s="17" t="str">
        <f>AX395</f>
        <v>TRAFRECSHDMD</v>
      </c>
      <c r="AZ395" s="18">
        <v>2019</v>
      </c>
      <c r="BA395" s="18" t="s">
        <v>483</v>
      </c>
      <c r="BB395" s="18">
        <v>1</v>
      </c>
      <c r="BC395" s="20" t="e">
        <f>-SUMIFS('TRA RESID'!$P:$P,'TRA RESID'!$I:$I,AY395,'TRA RESID'!$J:$J,AV395,'TRA RESID'!$H:$H,AW395)/SUMIFS('TRA RESID'!$P:$P,'TRA RESID'!$I:$I,AY395)*BG395</f>
        <v>#DIV/0!</v>
      </c>
      <c r="BD395" s="18">
        <v>0</v>
      </c>
      <c r="BE395" s="18">
        <v>5</v>
      </c>
      <c r="BG395" s="21">
        <v>0.98</v>
      </c>
    </row>
    <row r="396" spans="1:59" x14ac:dyDescent="0.25">
      <c r="C396" s="15" t="str">
        <f>IF(C395="*",C395,"")</f>
        <v>*</v>
      </c>
      <c r="D396" s="17" t="str">
        <f t="shared" ref="D396:G399" si="312">D395</f>
        <v>*ICEV*</v>
      </c>
      <c r="E396" s="17" t="str">
        <f t="shared" si="312"/>
        <v>TRARNG</v>
      </c>
      <c r="F396" s="17" t="str">
        <f t="shared" si="312"/>
        <v>TRAFRECSHDMD</v>
      </c>
      <c r="G396" s="17" t="str">
        <f t="shared" si="312"/>
        <v>TRAFRECSHDMD</v>
      </c>
      <c r="H396" s="18">
        <v>2025</v>
      </c>
      <c r="I396" s="18" t="str">
        <f>I395</f>
        <v>LO</v>
      </c>
      <c r="J396" s="18"/>
      <c r="K396" s="20" t="e">
        <f>-SUMIFS('TRA RESID'!$P:$P,'TRA RESID'!$I:$I,G396,'TRA RESID'!$J:$J,D396,'TRA RESID'!$H:$H,E396)/SUMIFS('TRA RESID'!$P:$P,'TRA RESID'!$I:$I,G396)*O396</f>
        <v>#DIV/0!</v>
      </c>
      <c r="L396" s="18"/>
      <c r="M396" s="18"/>
      <c r="O396" s="21">
        <v>0.8</v>
      </c>
      <c r="S396" s="15" t="str">
        <f>IF(S395="*",S395,"")</f>
        <v>*</v>
      </c>
      <c r="T396" s="17" t="str">
        <f t="shared" ref="T396:W399" si="313">T395</f>
        <v>*BEV*</v>
      </c>
      <c r="U396" s="17" t="str">
        <f t="shared" si="313"/>
        <v>TRARNG</v>
      </c>
      <c r="V396" s="17" t="str">
        <f t="shared" si="313"/>
        <v>TRAFRECSHDMD</v>
      </c>
      <c r="W396" s="17" t="str">
        <f t="shared" si="313"/>
        <v>TRAFRECSHDMD</v>
      </c>
      <c r="X396" s="18">
        <v>2025</v>
      </c>
      <c r="Y396" s="18" t="str">
        <f>Y395</f>
        <v>LO</v>
      </c>
      <c r="Z396" s="18"/>
      <c r="AA396" s="20" t="e">
        <f>-SUMIFS('TRA RESID'!$P:$P,'TRA RESID'!$I:$I,W396,'TRA RESID'!$J:$J,T396,'TRA RESID'!$H:$H,U396)/SUMIFS('TRA RESID'!$P:$P,'TRA RESID'!$I:$I,W396)*AE396</f>
        <v>#DIV/0!</v>
      </c>
      <c r="AB396" s="18"/>
      <c r="AC396" s="18"/>
      <c r="AE396" s="21">
        <v>1</v>
      </c>
      <c r="AG396" s="15" t="str">
        <f>IF(AG395="*",AG395,"")</f>
        <v>*</v>
      </c>
      <c r="AH396" s="17" t="str">
        <f t="shared" ref="AH396:AK399" si="314">AH395</f>
        <v>*HEV*</v>
      </c>
      <c r="AI396" s="17" t="str">
        <f t="shared" si="314"/>
        <v>TRARNG</v>
      </c>
      <c r="AJ396" s="17" t="str">
        <f t="shared" si="314"/>
        <v>TRAFRECSHDMD</v>
      </c>
      <c r="AK396" s="17" t="str">
        <f t="shared" si="314"/>
        <v>TRAFRECSHDMD</v>
      </c>
      <c r="AL396" s="18">
        <v>2025</v>
      </c>
      <c r="AM396" s="18" t="str">
        <f>AM395</f>
        <v>LO</v>
      </c>
      <c r="AN396" s="18"/>
      <c r="AO396" s="20" t="e">
        <f>-SUMIFS('TRA RESID'!$P:$P,'TRA RESID'!$I:$I,AK396,'TRA RESID'!$J:$J,AH396,'TRA RESID'!$H:$H,AI396)/SUMIFS('TRA RESID'!$P:$P,'TRA RESID'!$I:$I,AK396)*AS396</f>
        <v>#DIV/0!</v>
      </c>
      <c r="AP396" s="18"/>
      <c r="AQ396" s="18"/>
      <c r="AS396" s="21">
        <v>0.8</v>
      </c>
      <c r="AU396" s="15" t="str">
        <f>IF(AU395="*",AU395,"")</f>
        <v>*</v>
      </c>
      <c r="AV396" s="17" t="str">
        <f t="shared" ref="AV396:AY399" si="315">AV395</f>
        <v>*FCEV*</v>
      </c>
      <c r="AW396" s="17" t="str">
        <f t="shared" si="315"/>
        <v>TRARNG</v>
      </c>
      <c r="AX396" s="17" t="str">
        <f t="shared" si="315"/>
        <v>TRAFRECSHDMD</v>
      </c>
      <c r="AY396" s="17" t="str">
        <f t="shared" si="315"/>
        <v>TRAFRECSHDMD</v>
      </c>
      <c r="AZ396" s="18">
        <v>2025</v>
      </c>
      <c r="BA396" s="18" t="str">
        <f>BA395</f>
        <v>LO</v>
      </c>
      <c r="BB396" s="18"/>
      <c r="BC396" s="20" t="e">
        <f>-SUMIFS('TRA RESID'!$P:$P,'TRA RESID'!$I:$I,AY396,'TRA RESID'!$J:$J,AV396,'TRA RESID'!$H:$H,AW396)/SUMIFS('TRA RESID'!$P:$P,'TRA RESID'!$I:$I,AY396)*BG396</f>
        <v>#DIV/0!</v>
      </c>
      <c r="BD396" s="18"/>
      <c r="BE396" s="18"/>
      <c r="BG396" s="21">
        <v>0.8</v>
      </c>
    </row>
    <row r="397" spans="1:59" x14ac:dyDescent="0.25">
      <c r="C397" s="15" t="str">
        <f>IF(C396="*",C396,"")</f>
        <v>*</v>
      </c>
      <c r="D397" s="17" t="str">
        <f t="shared" si="312"/>
        <v>*ICEV*</v>
      </c>
      <c r="E397" s="17" t="str">
        <f t="shared" si="312"/>
        <v>TRARNG</v>
      </c>
      <c r="F397" s="17" t="str">
        <f t="shared" si="312"/>
        <v>TRAFRECSHDMD</v>
      </c>
      <c r="G397" s="17" t="str">
        <f t="shared" si="312"/>
        <v>TRAFRECSHDMD</v>
      </c>
      <c r="H397" s="18">
        <v>2030</v>
      </c>
      <c r="I397" s="18" t="str">
        <f>I396</f>
        <v>LO</v>
      </c>
      <c r="J397" s="18"/>
      <c r="K397" s="20" t="e">
        <f>-SUMIFS('TRA RESID'!$P:$P,'TRA RESID'!$I:$I,G397,'TRA RESID'!$J:$J,D397,'TRA RESID'!$H:$H,E397)/SUMIFS('TRA RESID'!$P:$P,'TRA RESID'!$I:$I,G397)*O397</f>
        <v>#DIV/0!</v>
      </c>
      <c r="L397" s="18"/>
      <c r="M397" s="18"/>
      <c r="O397" s="21">
        <v>0.5</v>
      </c>
      <c r="S397" s="15" t="str">
        <f>IF(S396="*",S396,"")</f>
        <v>*</v>
      </c>
      <c r="T397" s="17" t="str">
        <f t="shared" si="313"/>
        <v>*BEV*</v>
      </c>
      <c r="U397" s="17" t="str">
        <f t="shared" si="313"/>
        <v>TRARNG</v>
      </c>
      <c r="V397" s="17" t="str">
        <f t="shared" si="313"/>
        <v>TRAFRECSHDMD</v>
      </c>
      <c r="W397" s="17" t="str">
        <f t="shared" si="313"/>
        <v>TRAFRECSHDMD</v>
      </c>
      <c r="X397" s="18">
        <v>2030</v>
      </c>
      <c r="Y397" s="18" t="str">
        <f>Y396</f>
        <v>LO</v>
      </c>
      <c r="Z397" s="18"/>
      <c r="AA397" s="20" t="e">
        <f>-SUMIFS('TRA RESID'!$P:$P,'TRA RESID'!$I:$I,W397,'TRA RESID'!$J:$J,T397,'TRA RESID'!$H:$H,U397)/SUMIFS('TRA RESID'!$P:$P,'TRA RESID'!$I:$I,W397)*AE397</f>
        <v>#DIV/0!</v>
      </c>
      <c r="AB397" s="18"/>
      <c r="AC397" s="18"/>
      <c r="AE397" s="21">
        <v>1</v>
      </c>
      <c r="AG397" s="15" t="str">
        <f>IF(AG396="*",AG396,"")</f>
        <v>*</v>
      </c>
      <c r="AH397" s="17" t="str">
        <f t="shared" si="314"/>
        <v>*HEV*</v>
      </c>
      <c r="AI397" s="17" t="str">
        <f t="shared" si="314"/>
        <v>TRARNG</v>
      </c>
      <c r="AJ397" s="17" t="str">
        <f t="shared" si="314"/>
        <v>TRAFRECSHDMD</v>
      </c>
      <c r="AK397" s="17" t="str">
        <f t="shared" si="314"/>
        <v>TRAFRECSHDMD</v>
      </c>
      <c r="AL397" s="18">
        <v>2030</v>
      </c>
      <c r="AM397" s="18" t="str">
        <f>AM396</f>
        <v>LO</v>
      </c>
      <c r="AN397" s="18"/>
      <c r="AO397" s="20" t="e">
        <f>-SUMIFS('TRA RESID'!$P:$P,'TRA RESID'!$I:$I,AK397,'TRA RESID'!$J:$J,AH397,'TRA RESID'!$H:$H,AI397)/SUMIFS('TRA RESID'!$P:$P,'TRA RESID'!$I:$I,AK397)*AS397</f>
        <v>#DIV/0!</v>
      </c>
      <c r="AP397" s="18"/>
      <c r="AQ397" s="18"/>
      <c r="AS397" s="21">
        <v>0.5</v>
      </c>
      <c r="AU397" s="15" t="str">
        <f>IF(AU396="*",AU396,"")</f>
        <v>*</v>
      </c>
      <c r="AV397" s="17" t="str">
        <f t="shared" si="315"/>
        <v>*FCEV*</v>
      </c>
      <c r="AW397" s="17" t="str">
        <f t="shared" si="315"/>
        <v>TRARNG</v>
      </c>
      <c r="AX397" s="17" t="str">
        <f t="shared" si="315"/>
        <v>TRAFRECSHDMD</v>
      </c>
      <c r="AY397" s="17" t="str">
        <f t="shared" si="315"/>
        <v>TRAFRECSHDMD</v>
      </c>
      <c r="AZ397" s="18">
        <v>2030</v>
      </c>
      <c r="BA397" s="18" t="str">
        <f>BA396</f>
        <v>LO</v>
      </c>
      <c r="BB397" s="18"/>
      <c r="BC397" s="20" t="e">
        <f>-SUMIFS('TRA RESID'!$P:$P,'TRA RESID'!$I:$I,AY397,'TRA RESID'!$J:$J,AV397,'TRA RESID'!$H:$H,AW397)/SUMIFS('TRA RESID'!$P:$P,'TRA RESID'!$I:$I,AY397)*BG397</f>
        <v>#DIV/0!</v>
      </c>
      <c r="BD397" s="18"/>
      <c r="BE397" s="18"/>
      <c r="BG397" s="21">
        <v>0.5</v>
      </c>
    </row>
    <row r="398" spans="1:59" x14ac:dyDescent="0.25">
      <c r="C398" s="15" t="str">
        <f>IF(C397="*",C397,"")</f>
        <v>*</v>
      </c>
      <c r="D398" s="17" t="str">
        <f t="shared" si="312"/>
        <v>*ICEV*</v>
      </c>
      <c r="E398" s="17" t="str">
        <f t="shared" si="312"/>
        <v>TRARNG</v>
      </c>
      <c r="F398" s="17" t="str">
        <f t="shared" si="312"/>
        <v>TRAFRECSHDMD</v>
      </c>
      <c r="G398" s="17" t="str">
        <f t="shared" si="312"/>
        <v>TRAFRECSHDMD</v>
      </c>
      <c r="H398" s="18">
        <v>2040</v>
      </c>
      <c r="I398" s="18" t="str">
        <f>I397</f>
        <v>LO</v>
      </c>
      <c r="J398" s="18"/>
      <c r="K398" s="20" t="e">
        <f>-SUMIFS('TRA RESID'!$P:$P,'TRA RESID'!$I:$I,G398,'TRA RESID'!$J:$J,D398,'TRA RESID'!$H:$H,E398)/SUMIFS('TRA RESID'!$P:$P,'TRA RESID'!$I:$I,G398)*O398</f>
        <v>#DIV/0!</v>
      </c>
      <c r="L398" s="18"/>
      <c r="M398" s="18"/>
      <c r="O398" s="21">
        <v>0</v>
      </c>
      <c r="S398" s="15" t="str">
        <f>IF(S397="*",S397,"")</f>
        <v>*</v>
      </c>
      <c r="T398" s="17" t="str">
        <f t="shared" si="313"/>
        <v>*BEV*</v>
      </c>
      <c r="U398" s="17" t="str">
        <f t="shared" si="313"/>
        <v>TRARNG</v>
      </c>
      <c r="V398" s="17" t="str">
        <f t="shared" si="313"/>
        <v>TRAFRECSHDMD</v>
      </c>
      <c r="W398" s="17" t="str">
        <f t="shared" si="313"/>
        <v>TRAFRECSHDMD</v>
      </c>
      <c r="X398" s="18">
        <v>2040</v>
      </c>
      <c r="Y398" s="18" t="str">
        <f>Y397</f>
        <v>LO</v>
      </c>
      <c r="Z398" s="18"/>
      <c r="AA398" s="20" t="e">
        <f>-SUMIFS('TRA RESID'!$P:$P,'TRA RESID'!$I:$I,W398,'TRA RESID'!$J:$J,T398,'TRA RESID'!$H:$H,U398)/SUMIFS('TRA RESID'!$P:$P,'TRA RESID'!$I:$I,W398)*AE398</f>
        <v>#DIV/0!</v>
      </c>
      <c r="AB398" s="18"/>
      <c r="AC398" s="18"/>
      <c r="AE398" s="21">
        <v>1</v>
      </c>
      <c r="AG398" s="15" t="str">
        <f>IF(AG397="*",AG397,"")</f>
        <v>*</v>
      </c>
      <c r="AH398" s="17" t="str">
        <f t="shared" si="314"/>
        <v>*HEV*</v>
      </c>
      <c r="AI398" s="17" t="str">
        <f t="shared" si="314"/>
        <v>TRARNG</v>
      </c>
      <c r="AJ398" s="17" t="str">
        <f t="shared" si="314"/>
        <v>TRAFRECSHDMD</v>
      </c>
      <c r="AK398" s="17" t="str">
        <f t="shared" si="314"/>
        <v>TRAFRECSHDMD</v>
      </c>
      <c r="AL398" s="18">
        <v>2040</v>
      </c>
      <c r="AM398" s="18" t="str">
        <f>AM397</f>
        <v>LO</v>
      </c>
      <c r="AN398" s="18"/>
      <c r="AO398" s="20" t="e">
        <f>-SUMIFS('TRA RESID'!$P:$P,'TRA RESID'!$I:$I,AK398,'TRA RESID'!$J:$J,AH398,'TRA RESID'!$H:$H,AI398)/SUMIFS('TRA RESID'!$P:$P,'TRA RESID'!$I:$I,AK398)*AS398</f>
        <v>#DIV/0!</v>
      </c>
      <c r="AP398" s="18"/>
      <c r="AQ398" s="18"/>
      <c r="AS398" s="21">
        <v>0</v>
      </c>
      <c r="AU398" s="15" t="str">
        <f>IF(AU397="*",AU397,"")</f>
        <v>*</v>
      </c>
      <c r="AV398" s="17" t="str">
        <f t="shared" si="315"/>
        <v>*FCEV*</v>
      </c>
      <c r="AW398" s="17" t="str">
        <f t="shared" si="315"/>
        <v>TRARNG</v>
      </c>
      <c r="AX398" s="17" t="str">
        <f t="shared" si="315"/>
        <v>TRAFRECSHDMD</v>
      </c>
      <c r="AY398" s="17" t="str">
        <f t="shared" si="315"/>
        <v>TRAFRECSHDMD</v>
      </c>
      <c r="AZ398" s="18">
        <v>2040</v>
      </c>
      <c r="BA398" s="18" t="str">
        <f>BA397</f>
        <v>LO</v>
      </c>
      <c r="BB398" s="18"/>
      <c r="BC398" s="20" t="e">
        <f>-SUMIFS('TRA RESID'!$P:$P,'TRA RESID'!$I:$I,AY398,'TRA RESID'!$J:$J,AV398,'TRA RESID'!$H:$H,AW398)/SUMIFS('TRA RESID'!$P:$P,'TRA RESID'!$I:$I,AY398)*BG398</f>
        <v>#DIV/0!</v>
      </c>
      <c r="BD398" s="18"/>
      <c r="BE398" s="18"/>
      <c r="BG398" s="21">
        <v>0</v>
      </c>
    </row>
    <row r="399" spans="1:59" x14ac:dyDescent="0.25">
      <c r="C399" s="23" t="str">
        <f>IF(C398="*",C398,"")</f>
        <v>*</v>
      </c>
      <c r="D399" s="25" t="str">
        <f t="shared" si="312"/>
        <v>*ICEV*</v>
      </c>
      <c r="E399" s="25" t="str">
        <f t="shared" si="312"/>
        <v>TRARNG</v>
      </c>
      <c r="F399" s="25" t="str">
        <f t="shared" si="312"/>
        <v>TRAFRECSHDMD</v>
      </c>
      <c r="G399" s="25" t="str">
        <f t="shared" si="312"/>
        <v>TRAFRECSHDMD</v>
      </c>
      <c r="H399" s="26">
        <v>2050</v>
      </c>
      <c r="I399" s="26" t="str">
        <f>I397</f>
        <v>LO</v>
      </c>
      <c r="J399" s="26"/>
      <c r="K399" s="27" t="e">
        <f>-SUMIFS('TRA RESID'!$P:$P,'TRA RESID'!$I:$I,G399,'TRA RESID'!$J:$J,D399,'TRA RESID'!$H:$H,E399)/SUMIFS('TRA RESID'!$P:$P,'TRA RESID'!$I:$I,G399)*O399</f>
        <v>#DIV/0!</v>
      </c>
      <c r="L399" s="26"/>
      <c r="M399" s="26"/>
      <c r="O399" s="28">
        <v>0</v>
      </c>
      <c r="S399" s="23" t="str">
        <f>IF(S398="*",S398,"")</f>
        <v>*</v>
      </c>
      <c r="T399" s="25" t="str">
        <f t="shared" si="313"/>
        <v>*BEV*</v>
      </c>
      <c r="U399" s="25" t="str">
        <f t="shared" si="313"/>
        <v>TRARNG</v>
      </c>
      <c r="V399" s="25" t="str">
        <f t="shared" si="313"/>
        <v>TRAFRECSHDMD</v>
      </c>
      <c r="W399" s="25" t="str">
        <f t="shared" si="313"/>
        <v>TRAFRECSHDMD</v>
      </c>
      <c r="X399" s="26">
        <v>2050</v>
      </c>
      <c r="Y399" s="26" t="str">
        <f>Y397</f>
        <v>LO</v>
      </c>
      <c r="Z399" s="26"/>
      <c r="AA399" s="27" t="e">
        <f>-SUMIFS('TRA RESID'!$P:$P,'TRA RESID'!$I:$I,W399,'TRA RESID'!$J:$J,T399,'TRA RESID'!$H:$H,U399)/SUMIFS('TRA RESID'!$P:$P,'TRA RESID'!$I:$I,W399)*AE399</f>
        <v>#DIV/0!</v>
      </c>
      <c r="AB399" s="26"/>
      <c r="AC399" s="26"/>
      <c r="AE399" s="28">
        <v>1</v>
      </c>
      <c r="AG399" s="23" t="str">
        <f>IF(AG398="*",AG398,"")</f>
        <v>*</v>
      </c>
      <c r="AH399" s="25" t="str">
        <f t="shared" si="314"/>
        <v>*HEV*</v>
      </c>
      <c r="AI399" s="25" t="str">
        <f t="shared" si="314"/>
        <v>TRARNG</v>
      </c>
      <c r="AJ399" s="25" t="str">
        <f t="shared" si="314"/>
        <v>TRAFRECSHDMD</v>
      </c>
      <c r="AK399" s="25" t="str">
        <f t="shared" si="314"/>
        <v>TRAFRECSHDMD</v>
      </c>
      <c r="AL399" s="26">
        <v>2050</v>
      </c>
      <c r="AM399" s="26" t="str">
        <f>AM397</f>
        <v>LO</v>
      </c>
      <c r="AN399" s="26"/>
      <c r="AO399" s="27" t="e">
        <f>-SUMIFS('TRA RESID'!$P:$P,'TRA RESID'!$I:$I,AK399,'TRA RESID'!$J:$J,AH399,'TRA RESID'!$H:$H,AI399)/SUMIFS('TRA RESID'!$P:$P,'TRA RESID'!$I:$I,AK399)*AS399</f>
        <v>#DIV/0!</v>
      </c>
      <c r="AP399" s="26"/>
      <c r="AQ399" s="26"/>
      <c r="AS399" s="28">
        <v>0</v>
      </c>
      <c r="AU399" s="23" t="str">
        <f>IF(AU398="*",AU398,"")</f>
        <v>*</v>
      </c>
      <c r="AV399" s="25" t="str">
        <f t="shared" si="315"/>
        <v>*FCEV*</v>
      </c>
      <c r="AW399" s="25" t="str">
        <f t="shared" si="315"/>
        <v>TRARNG</v>
      </c>
      <c r="AX399" s="25" t="str">
        <f t="shared" si="315"/>
        <v>TRAFRECSHDMD</v>
      </c>
      <c r="AY399" s="25" t="str">
        <f t="shared" si="315"/>
        <v>TRAFRECSHDMD</v>
      </c>
      <c r="AZ399" s="26">
        <v>2050</v>
      </c>
      <c r="BA399" s="26" t="str">
        <f>BA397</f>
        <v>LO</v>
      </c>
      <c r="BB399" s="26"/>
      <c r="BC399" s="27" t="e">
        <f>-SUMIFS('TRA RESID'!$P:$P,'TRA RESID'!$I:$I,AY399,'TRA RESID'!$J:$J,AV399,'TRA RESID'!$H:$H,AW399)/SUMIFS('TRA RESID'!$P:$P,'TRA RESID'!$I:$I,AY399)*BG399</f>
        <v>#DIV/0!</v>
      </c>
      <c r="BD399" s="26"/>
      <c r="BE399" s="26"/>
      <c r="BG399" s="28">
        <v>0</v>
      </c>
    </row>
    <row r="400" spans="1:59" x14ac:dyDescent="0.25">
      <c r="A400">
        <f>A395+1</f>
        <v>80</v>
      </c>
      <c r="C400" s="15" t="str">
        <f>IF(E400="","",IF(_xlfn.XLOOKUP($A400,Selected_constraint!$A:$A,Selected_constraint!$D:$D)=1,"*",IF(SUMIFS('TRA TECH'!$M:$M,'TRA TECH'!$H:$H,E400,'TRA TECH'!$I:$I,F400)=0,"*",IF(SUMIFS('TRA RESID'!$P:$P,'TRA RESID'!$I:$I,G400,'TRA RESID'!$J:$J,D400,'TRA RESID'!$H:$H,E400)=0,"*","UC_"&amp;SUBSTITUTE(D400,"*","")&amp;"_"&amp;RIGHT(E400,3)&amp;"_"&amp;F400))))</f>
        <v>*</v>
      </c>
      <c r="D400" s="17" t="s">
        <v>485</v>
      </c>
      <c r="E400" s="17" t="str">
        <f>_xlfn.XLOOKUP($A400,Selected_constraint!$A:$A,Selected_constraint!$B:$B)</f>
        <v>TRABAF</v>
      </c>
      <c r="F400" s="17" t="str">
        <f>_xlfn.XLOOKUP($A400,Selected_constraint!$A:$A,Selected_constraint!$C:$C)</f>
        <v>TRAFRECSHDMD</v>
      </c>
      <c r="G400" s="17" t="str">
        <f>F400</f>
        <v>TRAFRECSHDMD</v>
      </c>
      <c r="H400" s="18">
        <v>2019</v>
      </c>
      <c r="I400" s="18" t="s">
        <v>483</v>
      </c>
      <c r="J400" s="18">
        <v>1</v>
      </c>
      <c r="K400" s="20" t="e">
        <f>-SUMIFS('TRA RESID'!$P:$P,'TRA RESID'!$I:$I,G400,'TRA RESID'!$J:$J,D400,'TRA RESID'!$H:$H,E400)/SUMIFS('TRA RESID'!$P:$P,'TRA RESID'!$I:$I,G400)*O400</f>
        <v>#DIV/0!</v>
      </c>
      <c r="L400" s="18">
        <v>0</v>
      </c>
      <c r="M400" s="18">
        <v>5</v>
      </c>
      <c r="O400" s="21">
        <v>0.98</v>
      </c>
      <c r="Q400">
        <f>Q395+1</f>
        <v>80</v>
      </c>
      <c r="S400" s="15" t="str">
        <f>IF(SUMIFS('TRA RESID'!$P:$P,'TRA RESID'!$I:$I,W400,'TRA RESID'!$J:$J,T400,'TRA RESID'!$H:$H,U400)=0,"*","UC_"&amp;SUBSTITUTE(T400,"*","")&amp;"_"&amp;RIGHT(U400,3)&amp;"_"&amp;V400)</f>
        <v>*</v>
      </c>
      <c r="T400" s="17" t="s">
        <v>486</v>
      </c>
      <c r="U400" s="17" t="str">
        <f>_xlfn.XLOOKUP($A400,Selected_constraint!$A:$A,Selected_constraint!$B:$B)</f>
        <v>TRABAF</v>
      </c>
      <c r="V400" s="17" t="str">
        <f>_xlfn.XLOOKUP($A400,Selected_constraint!$A:$A,Selected_constraint!$C:$C)</f>
        <v>TRAFRECSHDMD</v>
      </c>
      <c r="W400" s="17" t="str">
        <f>V400</f>
        <v>TRAFRECSHDMD</v>
      </c>
      <c r="X400" s="18">
        <v>2019</v>
      </c>
      <c r="Y400" s="18" t="s">
        <v>483</v>
      </c>
      <c r="Z400" s="18">
        <v>1</v>
      </c>
      <c r="AA400" s="20" t="e">
        <f>-SUMIFS('TRA RESID'!$P:$P,'TRA RESID'!$I:$I,W400,'TRA RESID'!$J:$J,T400,'TRA RESID'!$H:$H,U400)/SUMIFS('TRA RESID'!$P:$P,'TRA RESID'!$I:$I,W400)*AE400</f>
        <v>#DIV/0!</v>
      </c>
      <c r="AB400" s="18">
        <v>0</v>
      </c>
      <c r="AC400" s="18">
        <v>5</v>
      </c>
      <c r="AE400" s="21">
        <v>0.98</v>
      </c>
      <c r="AG400" s="15" t="str">
        <f>IF(SUMIFS('TRA RESID'!$P:$P,'TRA RESID'!$I:$I,AK400,'TRA RESID'!$J:$J,AH400,'TRA RESID'!$H:$H,AI400)=0,"*","UC_"&amp;SUBSTITUTE(AH400,"*","")&amp;"_"&amp;RIGHT(AI400,3)&amp;"_"&amp;AJ400)</f>
        <v>*</v>
      </c>
      <c r="AH400" s="17" t="s">
        <v>487</v>
      </c>
      <c r="AI400" s="17" t="str">
        <f>_xlfn.XLOOKUP($A400,Selected_constraint!$A:$A,Selected_constraint!$B:$B)</f>
        <v>TRABAF</v>
      </c>
      <c r="AJ400" s="17" t="str">
        <f>_xlfn.XLOOKUP($A400,Selected_constraint!$A:$A,Selected_constraint!$C:$C)</f>
        <v>TRAFRECSHDMD</v>
      </c>
      <c r="AK400" s="17" t="str">
        <f>AJ400</f>
        <v>TRAFRECSHDMD</v>
      </c>
      <c r="AL400" s="18">
        <v>2019</v>
      </c>
      <c r="AM400" s="18" t="s">
        <v>483</v>
      </c>
      <c r="AN400" s="18">
        <v>1</v>
      </c>
      <c r="AO400" s="20" t="e">
        <f>-SUMIFS('TRA RESID'!$P:$P,'TRA RESID'!$I:$I,AK400,'TRA RESID'!$J:$J,AH400,'TRA RESID'!$H:$H,AI400)/SUMIFS('TRA RESID'!$P:$P,'TRA RESID'!$I:$I,AK400)*AS400</f>
        <v>#DIV/0!</v>
      </c>
      <c r="AP400" s="18">
        <v>0</v>
      </c>
      <c r="AQ400" s="18">
        <v>5</v>
      </c>
      <c r="AS400" s="21">
        <v>0.98</v>
      </c>
      <c r="AU400" s="15" t="str">
        <f>IF(SUMIFS('TRA RESID'!$P:$P,'TRA RESID'!$I:$I,AY400,'TRA RESID'!$J:$J,AV400,'TRA RESID'!$H:$H,AW400)=0,"*","UC_"&amp;SUBSTITUTE(AV400,"*","")&amp;"_"&amp;RIGHT(AW400,3)&amp;"_"&amp;AX400)</f>
        <v>*</v>
      </c>
      <c r="AV400" s="17" t="s">
        <v>488</v>
      </c>
      <c r="AW400" s="17" t="str">
        <f>_xlfn.XLOOKUP($A400,Selected_constraint!$A:$A,Selected_constraint!$B:$B)</f>
        <v>TRABAF</v>
      </c>
      <c r="AX400" s="17" t="str">
        <f>_xlfn.XLOOKUP($A400,Selected_constraint!$A:$A,Selected_constraint!$C:$C)</f>
        <v>TRAFRECSHDMD</v>
      </c>
      <c r="AY400" s="17" t="str">
        <f>AX400</f>
        <v>TRAFRECSHDMD</v>
      </c>
      <c r="AZ400" s="18">
        <v>2019</v>
      </c>
      <c r="BA400" s="18" t="s">
        <v>483</v>
      </c>
      <c r="BB400" s="18">
        <v>1</v>
      </c>
      <c r="BC400" s="20" t="e">
        <f>-SUMIFS('TRA RESID'!$P:$P,'TRA RESID'!$I:$I,AY400,'TRA RESID'!$J:$J,AV400,'TRA RESID'!$H:$H,AW400)/SUMIFS('TRA RESID'!$P:$P,'TRA RESID'!$I:$I,AY400)*BG400</f>
        <v>#DIV/0!</v>
      </c>
      <c r="BD400" s="18">
        <v>0</v>
      </c>
      <c r="BE400" s="18">
        <v>5</v>
      </c>
      <c r="BG400" s="21">
        <v>0.98</v>
      </c>
    </row>
    <row r="401" spans="1:59" x14ac:dyDescent="0.25">
      <c r="C401" s="15" t="str">
        <f>IF(C400="*",C400,"")</f>
        <v>*</v>
      </c>
      <c r="D401" s="17" t="str">
        <f t="shared" ref="D401:G404" si="316">D400</f>
        <v>*ICEV*</v>
      </c>
      <c r="E401" s="17" t="str">
        <f t="shared" si="316"/>
        <v>TRABAF</v>
      </c>
      <c r="F401" s="17" t="str">
        <f t="shared" si="316"/>
        <v>TRAFRECSHDMD</v>
      </c>
      <c r="G401" s="17" t="str">
        <f t="shared" si="316"/>
        <v>TRAFRECSHDMD</v>
      </c>
      <c r="H401" s="18">
        <v>2025</v>
      </c>
      <c r="I401" s="18" t="str">
        <f>I400</f>
        <v>LO</v>
      </c>
      <c r="J401" s="18"/>
      <c r="K401" s="20" t="e">
        <f>-SUMIFS('TRA RESID'!$P:$P,'TRA RESID'!$I:$I,G401,'TRA RESID'!$J:$J,D401,'TRA RESID'!$H:$H,E401)/SUMIFS('TRA RESID'!$P:$P,'TRA RESID'!$I:$I,G401)*O401</f>
        <v>#DIV/0!</v>
      </c>
      <c r="L401" s="18"/>
      <c r="M401" s="18"/>
      <c r="O401" s="21">
        <v>0.8</v>
      </c>
      <c r="S401" s="15" t="str">
        <f>IF(S400="*",S400,"")</f>
        <v>*</v>
      </c>
      <c r="T401" s="17" t="str">
        <f t="shared" ref="T401:W404" si="317">T400</f>
        <v>*BEV*</v>
      </c>
      <c r="U401" s="17" t="str">
        <f t="shared" si="317"/>
        <v>TRABAF</v>
      </c>
      <c r="V401" s="17" t="str">
        <f t="shared" si="317"/>
        <v>TRAFRECSHDMD</v>
      </c>
      <c r="W401" s="17" t="str">
        <f t="shared" si="317"/>
        <v>TRAFRECSHDMD</v>
      </c>
      <c r="X401" s="18">
        <v>2025</v>
      </c>
      <c r="Y401" s="18" t="str">
        <f>Y400</f>
        <v>LO</v>
      </c>
      <c r="Z401" s="18"/>
      <c r="AA401" s="20" t="e">
        <f>-SUMIFS('TRA RESID'!$P:$P,'TRA RESID'!$I:$I,W401,'TRA RESID'!$J:$J,T401,'TRA RESID'!$H:$H,U401)/SUMIFS('TRA RESID'!$P:$P,'TRA RESID'!$I:$I,W401)*AE401</f>
        <v>#DIV/0!</v>
      </c>
      <c r="AB401" s="18"/>
      <c r="AC401" s="18"/>
      <c r="AE401" s="21">
        <v>1</v>
      </c>
      <c r="AG401" s="15" t="str">
        <f>IF(AG400="*",AG400,"")</f>
        <v>*</v>
      </c>
      <c r="AH401" s="17" t="str">
        <f t="shared" ref="AH401:AK404" si="318">AH400</f>
        <v>*HEV*</v>
      </c>
      <c r="AI401" s="17" t="str">
        <f t="shared" si="318"/>
        <v>TRABAF</v>
      </c>
      <c r="AJ401" s="17" t="str">
        <f t="shared" si="318"/>
        <v>TRAFRECSHDMD</v>
      </c>
      <c r="AK401" s="17" t="str">
        <f t="shared" si="318"/>
        <v>TRAFRECSHDMD</v>
      </c>
      <c r="AL401" s="18">
        <v>2025</v>
      </c>
      <c r="AM401" s="18" t="str">
        <f>AM400</f>
        <v>LO</v>
      </c>
      <c r="AN401" s="18"/>
      <c r="AO401" s="20" t="e">
        <f>-SUMIFS('TRA RESID'!$P:$P,'TRA RESID'!$I:$I,AK401,'TRA RESID'!$J:$J,AH401,'TRA RESID'!$H:$H,AI401)/SUMIFS('TRA RESID'!$P:$P,'TRA RESID'!$I:$I,AK401)*AS401</f>
        <v>#DIV/0!</v>
      </c>
      <c r="AP401" s="18"/>
      <c r="AQ401" s="18"/>
      <c r="AS401" s="21">
        <v>0.8</v>
      </c>
      <c r="AU401" s="15" t="str">
        <f>IF(AU400="*",AU400,"")</f>
        <v>*</v>
      </c>
      <c r="AV401" s="17" t="str">
        <f t="shared" ref="AV401:AY404" si="319">AV400</f>
        <v>*FCEV*</v>
      </c>
      <c r="AW401" s="17" t="str">
        <f t="shared" si="319"/>
        <v>TRABAF</v>
      </c>
      <c r="AX401" s="17" t="str">
        <f t="shared" si="319"/>
        <v>TRAFRECSHDMD</v>
      </c>
      <c r="AY401" s="17" t="str">
        <f t="shared" si="319"/>
        <v>TRAFRECSHDMD</v>
      </c>
      <c r="AZ401" s="18">
        <v>2025</v>
      </c>
      <c r="BA401" s="18" t="str">
        <f>BA400</f>
        <v>LO</v>
      </c>
      <c r="BB401" s="18"/>
      <c r="BC401" s="20" t="e">
        <f>-SUMIFS('TRA RESID'!$P:$P,'TRA RESID'!$I:$I,AY401,'TRA RESID'!$J:$J,AV401,'TRA RESID'!$H:$H,AW401)/SUMIFS('TRA RESID'!$P:$P,'TRA RESID'!$I:$I,AY401)*BG401</f>
        <v>#DIV/0!</v>
      </c>
      <c r="BD401" s="18"/>
      <c r="BE401" s="18"/>
      <c r="BG401" s="21">
        <v>0.8</v>
      </c>
    </row>
    <row r="402" spans="1:59" x14ac:dyDescent="0.25">
      <c r="C402" s="15" t="str">
        <f>IF(C401="*",C401,"")</f>
        <v>*</v>
      </c>
      <c r="D402" s="17" t="str">
        <f t="shared" si="316"/>
        <v>*ICEV*</v>
      </c>
      <c r="E402" s="17" t="str">
        <f t="shared" si="316"/>
        <v>TRABAF</v>
      </c>
      <c r="F402" s="17" t="str">
        <f t="shared" si="316"/>
        <v>TRAFRECSHDMD</v>
      </c>
      <c r="G402" s="17" t="str">
        <f t="shared" si="316"/>
        <v>TRAFRECSHDMD</v>
      </c>
      <c r="H402" s="18">
        <v>2030</v>
      </c>
      <c r="I402" s="18" t="str">
        <f>I401</f>
        <v>LO</v>
      </c>
      <c r="J402" s="18"/>
      <c r="K402" s="20" t="e">
        <f>-SUMIFS('TRA RESID'!$P:$P,'TRA RESID'!$I:$I,G402,'TRA RESID'!$J:$J,D402,'TRA RESID'!$H:$H,E402)/SUMIFS('TRA RESID'!$P:$P,'TRA RESID'!$I:$I,G402)*O402</f>
        <v>#DIV/0!</v>
      </c>
      <c r="L402" s="18"/>
      <c r="M402" s="18"/>
      <c r="O402" s="21">
        <v>0.5</v>
      </c>
      <c r="S402" s="15" t="str">
        <f>IF(S401="*",S401,"")</f>
        <v>*</v>
      </c>
      <c r="T402" s="17" t="str">
        <f t="shared" si="317"/>
        <v>*BEV*</v>
      </c>
      <c r="U402" s="17" t="str">
        <f t="shared" si="317"/>
        <v>TRABAF</v>
      </c>
      <c r="V402" s="17" t="str">
        <f t="shared" si="317"/>
        <v>TRAFRECSHDMD</v>
      </c>
      <c r="W402" s="17" t="str">
        <f t="shared" si="317"/>
        <v>TRAFRECSHDMD</v>
      </c>
      <c r="X402" s="18">
        <v>2030</v>
      </c>
      <c r="Y402" s="18" t="str">
        <f>Y401</f>
        <v>LO</v>
      </c>
      <c r="Z402" s="18"/>
      <c r="AA402" s="20" t="e">
        <f>-SUMIFS('TRA RESID'!$P:$P,'TRA RESID'!$I:$I,W402,'TRA RESID'!$J:$J,T402,'TRA RESID'!$H:$H,U402)/SUMIFS('TRA RESID'!$P:$P,'TRA RESID'!$I:$I,W402)*AE402</f>
        <v>#DIV/0!</v>
      </c>
      <c r="AB402" s="18"/>
      <c r="AC402" s="18"/>
      <c r="AE402" s="21">
        <v>1</v>
      </c>
      <c r="AG402" s="15" t="str">
        <f>IF(AG401="*",AG401,"")</f>
        <v>*</v>
      </c>
      <c r="AH402" s="17" t="str">
        <f t="shared" si="318"/>
        <v>*HEV*</v>
      </c>
      <c r="AI402" s="17" t="str">
        <f t="shared" si="318"/>
        <v>TRABAF</v>
      </c>
      <c r="AJ402" s="17" t="str">
        <f t="shared" si="318"/>
        <v>TRAFRECSHDMD</v>
      </c>
      <c r="AK402" s="17" t="str">
        <f t="shared" si="318"/>
        <v>TRAFRECSHDMD</v>
      </c>
      <c r="AL402" s="18">
        <v>2030</v>
      </c>
      <c r="AM402" s="18" t="str">
        <f>AM401</f>
        <v>LO</v>
      </c>
      <c r="AN402" s="18"/>
      <c r="AO402" s="20" t="e">
        <f>-SUMIFS('TRA RESID'!$P:$P,'TRA RESID'!$I:$I,AK402,'TRA RESID'!$J:$J,AH402,'TRA RESID'!$H:$H,AI402)/SUMIFS('TRA RESID'!$P:$P,'TRA RESID'!$I:$I,AK402)*AS402</f>
        <v>#DIV/0!</v>
      </c>
      <c r="AP402" s="18"/>
      <c r="AQ402" s="18"/>
      <c r="AS402" s="21">
        <v>0.5</v>
      </c>
      <c r="AU402" s="15" t="str">
        <f>IF(AU401="*",AU401,"")</f>
        <v>*</v>
      </c>
      <c r="AV402" s="17" t="str">
        <f t="shared" si="319"/>
        <v>*FCEV*</v>
      </c>
      <c r="AW402" s="17" t="str">
        <f t="shared" si="319"/>
        <v>TRABAF</v>
      </c>
      <c r="AX402" s="17" t="str">
        <f t="shared" si="319"/>
        <v>TRAFRECSHDMD</v>
      </c>
      <c r="AY402" s="17" t="str">
        <f t="shared" si="319"/>
        <v>TRAFRECSHDMD</v>
      </c>
      <c r="AZ402" s="18">
        <v>2030</v>
      </c>
      <c r="BA402" s="18" t="str">
        <f>BA401</f>
        <v>LO</v>
      </c>
      <c r="BB402" s="18"/>
      <c r="BC402" s="20" t="e">
        <f>-SUMIFS('TRA RESID'!$P:$P,'TRA RESID'!$I:$I,AY402,'TRA RESID'!$J:$J,AV402,'TRA RESID'!$H:$H,AW402)/SUMIFS('TRA RESID'!$P:$P,'TRA RESID'!$I:$I,AY402)*BG402</f>
        <v>#DIV/0!</v>
      </c>
      <c r="BD402" s="18"/>
      <c r="BE402" s="18"/>
      <c r="BG402" s="21">
        <v>0.5</v>
      </c>
    </row>
    <row r="403" spans="1:59" x14ac:dyDescent="0.25">
      <c r="C403" s="15" t="str">
        <f>IF(C402="*",C402,"")</f>
        <v>*</v>
      </c>
      <c r="D403" s="17" t="str">
        <f t="shared" si="316"/>
        <v>*ICEV*</v>
      </c>
      <c r="E403" s="17" t="str">
        <f t="shared" si="316"/>
        <v>TRABAF</v>
      </c>
      <c r="F403" s="17" t="str">
        <f t="shared" si="316"/>
        <v>TRAFRECSHDMD</v>
      </c>
      <c r="G403" s="17" t="str">
        <f t="shared" si="316"/>
        <v>TRAFRECSHDMD</v>
      </c>
      <c r="H403" s="18">
        <v>2040</v>
      </c>
      <c r="I403" s="18" t="str">
        <f>I402</f>
        <v>LO</v>
      </c>
      <c r="J403" s="18"/>
      <c r="K403" s="20" t="e">
        <f>-SUMIFS('TRA RESID'!$P:$P,'TRA RESID'!$I:$I,G403,'TRA RESID'!$J:$J,D403,'TRA RESID'!$H:$H,E403)/SUMIFS('TRA RESID'!$P:$P,'TRA RESID'!$I:$I,G403)*O403</f>
        <v>#DIV/0!</v>
      </c>
      <c r="L403" s="18"/>
      <c r="M403" s="18"/>
      <c r="O403" s="21">
        <v>0</v>
      </c>
      <c r="S403" s="15" t="str">
        <f>IF(S402="*",S402,"")</f>
        <v>*</v>
      </c>
      <c r="T403" s="17" t="str">
        <f t="shared" si="317"/>
        <v>*BEV*</v>
      </c>
      <c r="U403" s="17" t="str">
        <f t="shared" si="317"/>
        <v>TRABAF</v>
      </c>
      <c r="V403" s="17" t="str">
        <f t="shared" si="317"/>
        <v>TRAFRECSHDMD</v>
      </c>
      <c r="W403" s="17" t="str">
        <f t="shared" si="317"/>
        <v>TRAFRECSHDMD</v>
      </c>
      <c r="X403" s="18">
        <v>2040</v>
      </c>
      <c r="Y403" s="18" t="str">
        <f>Y402</f>
        <v>LO</v>
      </c>
      <c r="Z403" s="18"/>
      <c r="AA403" s="20" t="e">
        <f>-SUMIFS('TRA RESID'!$P:$P,'TRA RESID'!$I:$I,W403,'TRA RESID'!$J:$J,T403,'TRA RESID'!$H:$H,U403)/SUMIFS('TRA RESID'!$P:$P,'TRA RESID'!$I:$I,W403)*AE403</f>
        <v>#DIV/0!</v>
      </c>
      <c r="AB403" s="18"/>
      <c r="AC403" s="18"/>
      <c r="AE403" s="21">
        <v>1</v>
      </c>
      <c r="AG403" s="15" t="str">
        <f>IF(AG402="*",AG402,"")</f>
        <v>*</v>
      </c>
      <c r="AH403" s="17" t="str">
        <f t="shared" si="318"/>
        <v>*HEV*</v>
      </c>
      <c r="AI403" s="17" t="str">
        <f t="shared" si="318"/>
        <v>TRABAF</v>
      </c>
      <c r="AJ403" s="17" t="str">
        <f t="shared" si="318"/>
        <v>TRAFRECSHDMD</v>
      </c>
      <c r="AK403" s="17" t="str">
        <f t="shared" si="318"/>
        <v>TRAFRECSHDMD</v>
      </c>
      <c r="AL403" s="18">
        <v>2040</v>
      </c>
      <c r="AM403" s="18" t="str">
        <f>AM402</f>
        <v>LO</v>
      </c>
      <c r="AN403" s="18"/>
      <c r="AO403" s="20" t="e">
        <f>-SUMIFS('TRA RESID'!$P:$P,'TRA RESID'!$I:$I,AK403,'TRA RESID'!$J:$J,AH403,'TRA RESID'!$H:$H,AI403)/SUMIFS('TRA RESID'!$P:$P,'TRA RESID'!$I:$I,AK403)*AS403</f>
        <v>#DIV/0!</v>
      </c>
      <c r="AP403" s="18"/>
      <c r="AQ403" s="18"/>
      <c r="AS403" s="21">
        <v>0</v>
      </c>
      <c r="AU403" s="15" t="str">
        <f>IF(AU402="*",AU402,"")</f>
        <v>*</v>
      </c>
      <c r="AV403" s="17" t="str">
        <f t="shared" si="319"/>
        <v>*FCEV*</v>
      </c>
      <c r="AW403" s="17" t="str">
        <f t="shared" si="319"/>
        <v>TRABAF</v>
      </c>
      <c r="AX403" s="17" t="str">
        <f t="shared" si="319"/>
        <v>TRAFRECSHDMD</v>
      </c>
      <c r="AY403" s="17" t="str">
        <f t="shared" si="319"/>
        <v>TRAFRECSHDMD</v>
      </c>
      <c r="AZ403" s="18">
        <v>2040</v>
      </c>
      <c r="BA403" s="18" t="str">
        <f>BA402</f>
        <v>LO</v>
      </c>
      <c r="BB403" s="18"/>
      <c r="BC403" s="20" t="e">
        <f>-SUMIFS('TRA RESID'!$P:$P,'TRA RESID'!$I:$I,AY403,'TRA RESID'!$J:$J,AV403,'TRA RESID'!$H:$H,AW403)/SUMIFS('TRA RESID'!$P:$P,'TRA RESID'!$I:$I,AY403)*BG403</f>
        <v>#DIV/0!</v>
      </c>
      <c r="BD403" s="18"/>
      <c r="BE403" s="18"/>
      <c r="BG403" s="21">
        <v>0</v>
      </c>
    </row>
    <row r="404" spans="1:59" x14ac:dyDescent="0.25">
      <c r="C404" s="23" t="str">
        <f>IF(C403="*",C403,"")</f>
        <v>*</v>
      </c>
      <c r="D404" s="25" t="str">
        <f t="shared" si="316"/>
        <v>*ICEV*</v>
      </c>
      <c r="E404" s="25" t="str">
        <f t="shared" si="316"/>
        <v>TRABAF</v>
      </c>
      <c r="F404" s="25" t="str">
        <f t="shared" si="316"/>
        <v>TRAFRECSHDMD</v>
      </c>
      <c r="G404" s="25" t="str">
        <f t="shared" si="316"/>
        <v>TRAFRECSHDMD</v>
      </c>
      <c r="H404" s="26">
        <v>2050</v>
      </c>
      <c r="I404" s="26" t="str">
        <f>I402</f>
        <v>LO</v>
      </c>
      <c r="J404" s="26"/>
      <c r="K404" s="27" t="e">
        <f>-SUMIFS('TRA RESID'!$P:$P,'TRA RESID'!$I:$I,G404,'TRA RESID'!$J:$J,D404,'TRA RESID'!$H:$H,E404)/SUMIFS('TRA RESID'!$P:$P,'TRA RESID'!$I:$I,G404)*O404</f>
        <v>#DIV/0!</v>
      </c>
      <c r="L404" s="26"/>
      <c r="M404" s="26"/>
      <c r="O404" s="28">
        <v>0</v>
      </c>
      <c r="S404" s="23" t="str">
        <f>IF(S403="*",S403,"")</f>
        <v>*</v>
      </c>
      <c r="T404" s="25" t="str">
        <f t="shared" si="317"/>
        <v>*BEV*</v>
      </c>
      <c r="U404" s="25" t="str">
        <f t="shared" si="317"/>
        <v>TRABAF</v>
      </c>
      <c r="V404" s="25" t="str">
        <f t="shared" si="317"/>
        <v>TRAFRECSHDMD</v>
      </c>
      <c r="W404" s="25" t="str">
        <f t="shared" si="317"/>
        <v>TRAFRECSHDMD</v>
      </c>
      <c r="X404" s="26">
        <v>2050</v>
      </c>
      <c r="Y404" s="26" t="str">
        <f>Y402</f>
        <v>LO</v>
      </c>
      <c r="Z404" s="26"/>
      <c r="AA404" s="27" t="e">
        <f>-SUMIFS('TRA RESID'!$P:$P,'TRA RESID'!$I:$I,W404,'TRA RESID'!$J:$J,T404,'TRA RESID'!$H:$H,U404)/SUMIFS('TRA RESID'!$P:$P,'TRA RESID'!$I:$I,W404)*AE404</f>
        <v>#DIV/0!</v>
      </c>
      <c r="AB404" s="26"/>
      <c r="AC404" s="26"/>
      <c r="AE404" s="28">
        <v>1</v>
      </c>
      <c r="AG404" s="23" t="str">
        <f>IF(AG403="*",AG403,"")</f>
        <v>*</v>
      </c>
      <c r="AH404" s="25" t="str">
        <f t="shared" si="318"/>
        <v>*HEV*</v>
      </c>
      <c r="AI404" s="25" t="str">
        <f t="shared" si="318"/>
        <v>TRABAF</v>
      </c>
      <c r="AJ404" s="25" t="str">
        <f t="shared" si="318"/>
        <v>TRAFRECSHDMD</v>
      </c>
      <c r="AK404" s="25" t="str">
        <f t="shared" si="318"/>
        <v>TRAFRECSHDMD</v>
      </c>
      <c r="AL404" s="26">
        <v>2050</v>
      </c>
      <c r="AM404" s="26" t="str">
        <f>AM402</f>
        <v>LO</v>
      </c>
      <c r="AN404" s="26"/>
      <c r="AO404" s="27" t="e">
        <f>-SUMIFS('TRA RESID'!$P:$P,'TRA RESID'!$I:$I,AK404,'TRA RESID'!$J:$J,AH404,'TRA RESID'!$H:$H,AI404)/SUMIFS('TRA RESID'!$P:$P,'TRA RESID'!$I:$I,AK404)*AS404</f>
        <v>#DIV/0!</v>
      </c>
      <c r="AP404" s="26"/>
      <c r="AQ404" s="26"/>
      <c r="AS404" s="28">
        <v>0</v>
      </c>
      <c r="AU404" s="23" t="str">
        <f>IF(AU403="*",AU403,"")</f>
        <v>*</v>
      </c>
      <c r="AV404" s="25" t="str">
        <f t="shared" si="319"/>
        <v>*FCEV*</v>
      </c>
      <c r="AW404" s="25" t="str">
        <f t="shared" si="319"/>
        <v>TRABAF</v>
      </c>
      <c r="AX404" s="25" t="str">
        <f t="shared" si="319"/>
        <v>TRAFRECSHDMD</v>
      </c>
      <c r="AY404" s="25" t="str">
        <f t="shared" si="319"/>
        <v>TRAFRECSHDMD</v>
      </c>
      <c r="AZ404" s="26">
        <v>2050</v>
      </c>
      <c r="BA404" s="26" t="str">
        <f>BA402</f>
        <v>LO</v>
      </c>
      <c r="BB404" s="26"/>
      <c r="BC404" s="27" t="e">
        <f>-SUMIFS('TRA RESID'!$P:$P,'TRA RESID'!$I:$I,AY404,'TRA RESID'!$J:$J,AV404,'TRA RESID'!$H:$H,AW404)/SUMIFS('TRA RESID'!$P:$P,'TRA RESID'!$I:$I,AY404)*BG404</f>
        <v>#DIV/0!</v>
      </c>
      <c r="BD404" s="26"/>
      <c r="BE404" s="26"/>
      <c r="BG404" s="28">
        <v>0</v>
      </c>
    </row>
    <row r="405" spans="1:59" x14ac:dyDescent="0.25">
      <c r="A405">
        <f>A400+1</f>
        <v>81</v>
      </c>
      <c r="C405" s="15" t="str">
        <f>IF(E405="","",IF(_xlfn.XLOOKUP($A405,Selected_constraint!$A:$A,Selected_constraint!$D:$D)=1,"*",IF(SUMIFS('TRA TECH'!$M:$M,'TRA TECH'!$H:$H,E405,'TRA TECH'!$I:$I,F405)=0,"*",IF(SUMIFS('TRA RESID'!$P:$P,'TRA RESID'!$I:$I,G405,'TRA RESID'!$J:$J,D405,'TRA RESID'!$H:$H,E405)=0,"*","UC_"&amp;SUBSTITUTE(D405,"*","")&amp;"_"&amp;RIGHT(E405,3)&amp;"_"&amp;F405))))</f>
        <v>*</v>
      </c>
      <c r="D405" s="17" t="s">
        <v>485</v>
      </c>
      <c r="E405" s="17" t="str">
        <f>_xlfn.XLOOKUP($A405,Selected_constraint!$A:$A,Selected_constraint!$B:$B)</f>
        <v>TRAH2G</v>
      </c>
      <c r="F405" s="17" t="str">
        <f>_xlfn.XLOOKUP($A405,Selected_constraint!$A:$A,Selected_constraint!$C:$C)</f>
        <v>TRAFRECSHDMD</v>
      </c>
      <c r="G405" s="17" t="str">
        <f>F405</f>
        <v>TRAFRECSHDMD</v>
      </c>
      <c r="H405" s="18">
        <v>2019</v>
      </c>
      <c r="I405" s="18" t="s">
        <v>483</v>
      </c>
      <c r="J405" s="18">
        <v>1</v>
      </c>
      <c r="K405" s="20" t="e">
        <f>-SUMIFS('TRA RESID'!$P:$P,'TRA RESID'!$I:$I,G405,'TRA RESID'!$J:$J,D405,'TRA RESID'!$H:$H,E405)/SUMIFS('TRA RESID'!$P:$P,'TRA RESID'!$I:$I,G405)*O405</f>
        <v>#DIV/0!</v>
      </c>
      <c r="L405" s="18">
        <v>0</v>
      </c>
      <c r="M405" s="18">
        <v>5</v>
      </c>
      <c r="O405" s="21">
        <v>0.98</v>
      </c>
      <c r="Q405">
        <f>Q400+1</f>
        <v>81</v>
      </c>
      <c r="S405" s="15" t="str">
        <f>IF(SUMIFS('TRA RESID'!$P:$P,'TRA RESID'!$I:$I,W405,'TRA RESID'!$J:$J,T405,'TRA RESID'!$H:$H,U405)=0,"*","UC_"&amp;SUBSTITUTE(T405,"*","")&amp;"_"&amp;RIGHT(U405,3)&amp;"_"&amp;V405)</f>
        <v>*</v>
      </c>
      <c r="T405" s="17" t="s">
        <v>486</v>
      </c>
      <c r="U405" s="17" t="str">
        <f>_xlfn.XLOOKUP($A405,Selected_constraint!$A:$A,Selected_constraint!$B:$B)</f>
        <v>TRAH2G</v>
      </c>
      <c r="V405" s="17" t="str">
        <f>_xlfn.XLOOKUP($A405,Selected_constraint!$A:$A,Selected_constraint!$C:$C)</f>
        <v>TRAFRECSHDMD</v>
      </c>
      <c r="W405" s="17" t="str">
        <f>V405</f>
        <v>TRAFRECSHDMD</v>
      </c>
      <c r="X405" s="18">
        <v>2019</v>
      </c>
      <c r="Y405" s="18" t="s">
        <v>483</v>
      </c>
      <c r="Z405" s="18">
        <v>1</v>
      </c>
      <c r="AA405" s="20" t="e">
        <f>-SUMIFS('TRA RESID'!$P:$P,'TRA RESID'!$I:$I,W405,'TRA RESID'!$J:$J,T405,'TRA RESID'!$H:$H,U405)/SUMIFS('TRA RESID'!$P:$P,'TRA RESID'!$I:$I,W405)*AE405</f>
        <v>#DIV/0!</v>
      </c>
      <c r="AB405" s="18">
        <v>0</v>
      </c>
      <c r="AC405" s="18">
        <v>5</v>
      </c>
      <c r="AE405" s="21">
        <v>0.98</v>
      </c>
      <c r="AG405" s="15" t="str">
        <f>IF(SUMIFS('TRA RESID'!$P:$P,'TRA RESID'!$I:$I,AK405,'TRA RESID'!$J:$J,AH405,'TRA RESID'!$H:$H,AI405)=0,"*","UC_"&amp;SUBSTITUTE(AH405,"*","")&amp;"_"&amp;RIGHT(AI405,3)&amp;"_"&amp;AJ405)</f>
        <v>*</v>
      </c>
      <c r="AH405" s="17" t="s">
        <v>487</v>
      </c>
      <c r="AI405" s="17" t="str">
        <f>_xlfn.XLOOKUP($A405,Selected_constraint!$A:$A,Selected_constraint!$B:$B)</f>
        <v>TRAH2G</v>
      </c>
      <c r="AJ405" s="17" t="str">
        <f>_xlfn.XLOOKUP($A405,Selected_constraint!$A:$A,Selected_constraint!$C:$C)</f>
        <v>TRAFRECSHDMD</v>
      </c>
      <c r="AK405" s="17" t="str">
        <f>AJ405</f>
        <v>TRAFRECSHDMD</v>
      </c>
      <c r="AL405" s="18">
        <v>2019</v>
      </c>
      <c r="AM405" s="18" t="s">
        <v>483</v>
      </c>
      <c r="AN405" s="18">
        <v>1</v>
      </c>
      <c r="AO405" s="20" t="e">
        <f>-SUMIFS('TRA RESID'!$P:$P,'TRA RESID'!$I:$I,AK405,'TRA RESID'!$J:$J,AH405,'TRA RESID'!$H:$H,AI405)/SUMIFS('TRA RESID'!$P:$P,'TRA RESID'!$I:$I,AK405)*AS405</f>
        <v>#DIV/0!</v>
      </c>
      <c r="AP405" s="18">
        <v>0</v>
      </c>
      <c r="AQ405" s="18">
        <v>5</v>
      </c>
      <c r="AS405" s="21">
        <v>0.98</v>
      </c>
      <c r="AU405" s="15" t="str">
        <f>IF(SUMIFS('TRA RESID'!$P:$P,'TRA RESID'!$I:$I,AY405,'TRA RESID'!$J:$J,AV405,'TRA RESID'!$H:$H,AW405)=0,"*","UC_"&amp;SUBSTITUTE(AV405,"*","")&amp;"_"&amp;RIGHT(AW405,3)&amp;"_"&amp;AX405)</f>
        <v>*</v>
      </c>
      <c r="AV405" s="17" t="s">
        <v>488</v>
      </c>
      <c r="AW405" s="17" t="str">
        <f>_xlfn.XLOOKUP($A405,Selected_constraint!$A:$A,Selected_constraint!$B:$B)</f>
        <v>TRAH2G</v>
      </c>
      <c r="AX405" s="17" t="str">
        <f>_xlfn.XLOOKUP($A405,Selected_constraint!$A:$A,Selected_constraint!$C:$C)</f>
        <v>TRAFRECSHDMD</v>
      </c>
      <c r="AY405" s="17" t="str">
        <f>AX405</f>
        <v>TRAFRECSHDMD</v>
      </c>
      <c r="AZ405" s="18">
        <v>2019</v>
      </c>
      <c r="BA405" s="18" t="s">
        <v>483</v>
      </c>
      <c r="BB405" s="18">
        <v>1</v>
      </c>
      <c r="BC405" s="20" t="e">
        <f>-SUMIFS('TRA RESID'!$P:$P,'TRA RESID'!$I:$I,AY405,'TRA RESID'!$J:$J,AV405,'TRA RESID'!$H:$H,AW405)/SUMIFS('TRA RESID'!$P:$P,'TRA RESID'!$I:$I,AY405)*BG405</f>
        <v>#DIV/0!</v>
      </c>
      <c r="BD405" s="18">
        <v>0</v>
      </c>
      <c r="BE405" s="18">
        <v>5</v>
      </c>
      <c r="BG405" s="21">
        <v>0.98</v>
      </c>
    </row>
    <row r="406" spans="1:59" x14ac:dyDescent="0.25">
      <c r="C406" s="15" t="str">
        <f>IF(C405="*",C405,"")</f>
        <v>*</v>
      </c>
      <c r="D406" s="17" t="str">
        <f t="shared" ref="D406:G409" si="320">D405</f>
        <v>*ICEV*</v>
      </c>
      <c r="E406" s="17" t="str">
        <f t="shared" si="320"/>
        <v>TRAH2G</v>
      </c>
      <c r="F406" s="17" t="str">
        <f t="shared" si="320"/>
        <v>TRAFRECSHDMD</v>
      </c>
      <c r="G406" s="17" t="str">
        <f t="shared" si="320"/>
        <v>TRAFRECSHDMD</v>
      </c>
      <c r="H406" s="18">
        <v>2025</v>
      </c>
      <c r="I406" s="18" t="str">
        <f>I405</f>
        <v>LO</v>
      </c>
      <c r="J406" s="18"/>
      <c r="K406" s="20" t="e">
        <f>-SUMIFS('TRA RESID'!$P:$P,'TRA RESID'!$I:$I,G406,'TRA RESID'!$J:$J,D406,'TRA RESID'!$H:$H,E406)/SUMIFS('TRA RESID'!$P:$P,'TRA RESID'!$I:$I,G406)*O406</f>
        <v>#DIV/0!</v>
      </c>
      <c r="L406" s="18"/>
      <c r="M406" s="18"/>
      <c r="O406" s="21">
        <v>0.8</v>
      </c>
      <c r="S406" s="15" t="str">
        <f>IF(S405="*",S405,"")</f>
        <v>*</v>
      </c>
      <c r="T406" s="17" t="str">
        <f t="shared" ref="T406:W409" si="321">T405</f>
        <v>*BEV*</v>
      </c>
      <c r="U406" s="17" t="str">
        <f t="shared" si="321"/>
        <v>TRAH2G</v>
      </c>
      <c r="V406" s="17" t="str">
        <f t="shared" si="321"/>
        <v>TRAFRECSHDMD</v>
      </c>
      <c r="W406" s="17" t="str">
        <f t="shared" si="321"/>
        <v>TRAFRECSHDMD</v>
      </c>
      <c r="X406" s="18">
        <v>2025</v>
      </c>
      <c r="Y406" s="18" t="str">
        <f>Y405</f>
        <v>LO</v>
      </c>
      <c r="Z406" s="18"/>
      <c r="AA406" s="20" t="e">
        <f>-SUMIFS('TRA RESID'!$P:$P,'TRA RESID'!$I:$I,W406,'TRA RESID'!$J:$J,T406,'TRA RESID'!$H:$H,U406)/SUMIFS('TRA RESID'!$P:$P,'TRA RESID'!$I:$I,W406)*AE406</f>
        <v>#DIV/0!</v>
      </c>
      <c r="AB406" s="18"/>
      <c r="AC406" s="18"/>
      <c r="AE406" s="21">
        <v>1</v>
      </c>
      <c r="AG406" s="15" t="str">
        <f>IF(AG405="*",AG405,"")</f>
        <v>*</v>
      </c>
      <c r="AH406" s="17" t="str">
        <f t="shared" ref="AH406:AK409" si="322">AH405</f>
        <v>*HEV*</v>
      </c>
      <c r="AI406" s="17" t="str">
        <f t="shared" si="322"/>
        <v>TRAH2G</v>
      </c>
      <c r="AJ406" s="17" t="str">
        <f t="shared" si="322"/>
        <v>TRAFRECSHDMD</v>
      </c>
      <c r="AK406" s="17" t="str">
        <f t="shared" si="322"/>
        <v>TRAFRECSHDMD</v>
      </c>
      <c r="AL406" s="18">
        <v>2025</v>
      </c>
      <c r="AM406" s="18" t="str">
        <f>AM405</f>
        <v>LO</v>
      </c>
      <c r="AN406" s="18"/>
      <c r="AO406" s="20" t="e">
        <f>-SUMIFS('TRA RESID'!$P:$P,'TRA RESID'!$I:$I,AK406,'TRA RESID'!$J:$J,AH406,'TRA RESID'!$H:$H,AI406)/SUMIFS('TRA RESID'!$P:$P,'TRA RESID'!$I:$I,AK406)*AS406</f>
        <v>#DIV/0!</v>
      </c>
      <c r="AP406" s="18"/>
      <c r="AQ406" s="18"/>
      <c r="AS406" s="21">
        <v>0.8</v>
      </c>
      <c r="AU406" s="15" t="str">
        <f>IF(AU405="*",AU405,"")</f>
        <v>*</v>
      </c>
      <c r="AV406" s="17" t="str">
        <f t="shared" ref="AV406:AY409" si="323">AV405</f>
        <v>*FCEV*</v>
      </c>
      <c r="AW406" s="17" t="str">
        <f t="shared" si="323"/>
        <v>TRAH2G</v>
      </c>
      <c r="AX406" s="17" t="str">
        <f t="shared" si="323"/>
        <v>TRAFRECSHDMD</v>
      </c>
      <c r="AY406" s="17" t="str">
        <f t="shared" si="323"/>
        <v>TRAFRECSHDMD</v>
      </c>
      <c r="AZ406" s="18">
        <v>2025</v>
      </c>
      <c r="BA406" s="18" t="str">
        <f>BA405</f>
        <v>LO</v>
      </c>
      <c r="BB406" s="18"/>
      <c r="BC406" s="20" t="e">
        <f>-SUMIFS('TRA RESID'!$P:$P,'TRA RESID'!$I:$I,AY406,'TRA RESID'!$J:$J,AV406,'TRA RESID'!$H:$H,AW406)/SUMIFS('TRA RESID'!$P:$P,'TRA RESID'!$I:$I,AY406)*BG406</f>
        <v>#DIV/0!</v>
      </c>
      <c r="BD406" s="18"/>
      <c r="BE406" s="18"/>
      <c r="BG406" s="21">
        <v>0.8</v>
      </c>
    </row>
    <row r="407" spans="1:59" x14ac:dyDescent="0.25">
      <c r="C407" s="15" t="str">
        <f>IF(C406="*",C406,"")</f>
        <v>*</v>
      </c>
      <c r="D407" s="17" t="str">
        <f t="shared" si="320"/>
        <v>*ICEV*</v>
      </c>
      <c r="E407" s="17" t="str">
        <f t="shared" si="320"/>
        <v>TRAH2G</v>
      </c>
      <c r="F407" s="17" t="str">
        <f t="shared" si="320"/>
        <v>TRAFRECSHDMD</v>
      </c>
      <c r="G407" s="17" t="str">
        <f t="shared" si="320"/>
        <v>TRAFRECSHDMD</v>
      </c>
      <c r="H407" s="18">
        <v>2030</v>
      </c>
      <c r="I407" s="18" t="str">
        <f>I406</f>
        <v>LO</v>
      </c>
      <c r="J407" s="18"/>
      <c r="K407" s="20" t="e">
        <f>-SUMIFS('TRA RESID'!$P:$P,'TRA RESID'!$I:$I,G407,'TRA RESID'!$J:$J,D407,'TRA RESID'!$H:$H,E407)/SUMIFS('TRA RESID'!$P:$P,'TRA RESID'!$I:$I,G407)*O407</f>
        <v>#DIV/0!</v>
      </c>
      <c r="L407" s="18"/>
      <c r="M407" s="18"/>
      <c r="O407" s="21">
        <v>0.5</v>
      </c>
      <c r="S407" s="15" t="str">
        <f>IF(S406="*",S406,"")</f>
        <v>*</v>
      </c>
      <c r="T407" s="17" t="str">
        <f t="shared" si="321"/>
        <v>*BEV*</v>
      </c>
      <c r="U407" s="17" t="str">
        <f t="shared" si="321"/>
        <v>TRAH2G</v>
      </c>
      <c r="V407" s="17" t="str">
        <f t="shared" si="321"/>
        <v>TRAFRECSHDMD</v>
      </c>
      <c r="W407" s="17" t="str">
        <f t="shared" si="321"/>
        <v>TRAFRECSHDMD</v>
      </c>
      <c r="X407" s="18">
        <v>2030</v>
      </c>
      <c r="Y407" s="18" t="str">
        <f>Y406</f>
        <v>LO</v>
      </c>
      <c r="Z407" s="18"/>
      <c r="AA407" s="20" t="e">
        <f>-SUMIFS('TRA RESID'!$P:$P,'TRA RESID'!$I:$I,W407,'TRA RESID'!$J:$J,T407,'TRA RESID'!$H:$H,U407)/SUMIFS('TRA RESID'!$P:$P,'TRA RESID'!$I:$I,W407)*AE407</f>
        <v>#DIV/0!</v>
      </c>
      <c r="AB407" s="18"/>
      <c r="AC407" s="18"/>
      <c r="AE407" s="21">
        <v>1</v>
      </c>
      <c r="AG407" s="15" t="str">
        <f>IF(AG406="*",AG406,"")</f>
        <v>*</v>
      </c>
      <c r="AH407" s="17" t="str">
        <f t="shared" si="322"/>
        <v>*HEV*</v>
      </c>
      <c r="AI407" s="17" t="str">
        <f t="shared" si="322"/>
        <v>TRAH2G</v>
      </c>
      <c r="AJ407" s="17" t="str">
        <f t="shared" si="322"/>
        <v>TRAFRECSHDMD</v>
      </c>
      <c r="AK407" s="17" t="str">
        <f t="shared" si="322"/>
        <v>TRAFRECSHDMD</v>
      </c>
      <c r="AL407" s="18">
        <v>2030</v>
      </c>
      <c r="AM407" s="18" t="str">
        <f>AM406</f>
        <v>LO</v>
      </c>
      <c r="AN407" s="18"/>
      <c r="AO407" s="20" t="e">
        <f>-SUMIFS('TRA RESID'!$P:$P,'TRA RESID'!$I:$I,AK407,'TRA RESID'!$J:$J,AH407,'TRA RESID'!$H:$H,AI407)/SUMIFS('TRA RESID'!$P:$P,'TRA RESID'!$I:$I,AK407)*AS407</f>
        <v>#DIV/0!</v>
      </c>
      <c r="AP407" s="18"/>
      <c r="AQ407" s="18"/>
      <c r="AS407" s="21">
        <v>0.5</v>
      </c>
      <c r="AU407" s="15" t="str">
        <f>IF(AU406="*",AU406,"")</f>
        <v>*</v>
      </c>
      <c r="AV407" s="17" t="str">
        <f t="shared" si="323"/>
        <v>*FCEV*</v>
      </c>
      <c r="AW407" s="17" t="str">
        <f t="shared" si="323"/>
        <v>TRAH2G</v>
      </c>
      <c r="AX407" s="17" t="str">
        <f t="shared" si="323"/>
        <v>TRAFRECSHDMD</v>
      </c>
      <c r="AY407" s="17" t="str">
        <f t="shared" si="323"/>
        <v>TRAFRECSHDMD</v>
      </c>
      <c r="AZ407" s="18">
        <v>2030</v>
      </c>
      <c r="BA407" s="18" t="str">
        <f>BA406</f>
        <v>LO</v>
      </c>
      <c r="BB407" s="18"/>
      <c r="BC407" s="20" t="e">
        <f>-SUMIFS('TRA RESID'!$P:$P,'TRA RESID'!$I:$I,AY407,'TRA RESID'!$J:$J,AV407,'TRA RESID'!$H:$H,AW407)/SUMIFS('TRA RESID'!$P:$P,'TRA RESID'!$I:$I,AY407)*BG407</f>
        <v>#DIV/0!</v>
      </c>
      <c r="BD407" s="18"/>
      <c r="BE407" s="18"/>
      <c r="BG407" s="21">
        <v>0.5</v>
      </c>
    </row>
    <row r="408" spans="1:59" x14ac:dyDescent="0.25">
      <c r="C408" s="15" t="str">
        <f>IF(C407="*",C407,"")</f>
        <v>*</v>
      </c>
      <c r="D408" s="17" t="str">
        <f t="shared" si="320"/>
        <v>*ICEV*</v>
      </c>
      <c r="E408" s="17" t="str">
        <f t="shared" si="320"/>
        <v>TRAH2G</v>
      </c>
      <c r="F408" s="17" t="str">
        <f t="shared" si="320"/>
        <v>TRAFRECSHDMD</v>
      </c>
      <c r="G408" s="17" t="str">
        <f t="shared" si="320"/>
        <v>TRAFRECSHDMD</v>
      </c>
      <c r="H408" s="18">
        <v>2040</v>
      </c>
      <c r="I408" s="18" t="str">
        <f>I407</f>
        <v>LO</v>
      </c>
      <c r="J408" s="18"/>
      <c r="K408" s="20" t="e">
        <f>-SUMIFS('TRA RESID'!$P:$P,'TRA RESID'!$I:$I,G408,'TRA RESID'!$J:$J,D408,'TRA RESID'!$H:$H,E408)/SUMIFS('TRA RESID'!$P:$P,'TRA RESID'!$I:$I,G408)*O408</f>
        <v>#DIV/0!</v>
      </c>
      <c r="L408" s="18"/>
      <c r="M408" s="18"/>
      <c r="O408" s="21">
        <v>0</v>
      </c>
      <c r="S408" s="15" t="str">
        <f>IF(S407="*",S407,"")</f>
        <v>*</v>
      </c>
      <c r="T408" s="17" t="str">
        <f t="shared" si="321"/>
        <v>*BEV*</v>
      </c>
      <c r="U408" s="17" t="str">
        <f t="shared" si="321"/>
        <v>TRAH2G</v>
      </c>
      <c r="V408" s="17" t="str">
        <f t="shared" si="321"/>
        <v>TRAFRECSHDMD</v>
      </c>
      <c r="W408" s="17" t="str">
        <f t="shared" si="321"/>
        <v>TRAFRECSHDMD</v>
      </c>
      <c r="X408" s="18">
        <v>2040</v>
      </c>
      <c r="Y408" s="18" t="str">
        <f>Y407</f>
        <v>LO</v>
      </c>
      <c r="Z408" s="18"/>
      <c r="AA408" s="20" t="e">
        <f>-SUMIFS('TRA RESID'!$P:$P,'TRA RESID'!$I:$I,W408,'TRA RESID'!$J:$J,T408,'TRA RESID'!$H:$H,U408)/SUMIFS('TRA RESID'!$P:$P,'TRA RESID'!$I:$I,W408)*AE408</f>
        <v>#DIV/0!</v>
      </c>
      <c r="AB408" s="18"/>
      <c r="AC408" s="18"/>
      <c r="AE408" s="21">
        <v>1</v>
      </c>
      <c r="AG408" s="15" t="str">
        <f>IF(AG407="*",AG407,"")</f>
        <v>*</v>
      </c>
      <c r="AH408" s="17" t="str">
        <f t="shared" si="322"/>
        <v>*HEV*</v>
      </c>
      <c r="AI408" s="17" t="str">
        <f t="shared" si="322"/>
        <v>TRAH2G</v>
      </c>
      <c r="AJ408" s="17" t="str">
        <f t="shared" si="322"/>
        <v>TRAFRECSHDMD</v>
      </c>
      <c r="AK408" s="17" t="str">
        <f t="shared" si="322"/>
        <v>TRAFRECSHDMD</v>
      </c>
      <c r="AL408" s="18">
        <v>2040</v>
      </c>
      <c r="AM408" s="18" t="str">
        <f>AM407</f>
        <v>LO</v>
      </c>
      <c r="AN408" s="18"/>
      <c r="AO408" s="20" t="e">
        <f>-SUMIFS('TRA RESID'!$P:$P,'TRA RESID'!$I:$I,AK408,'TRA RESID'!$J:$J,AH408,'TRA RESID'!$H:$H,AI408)/SUMIFS('TRA RESID'!$P:$P,'TRA RESID'!$I:$I,AK408)*AS408</f>
        <v>#DIV/0!</v>
      </c>
      <c r="AP408" s="18"/>
      <c r="AQ408" s="18"/>
      <c r="AS408" s="21">
        <v>0</v>
      </c>
      <c r="AU408" s="15" t="str">
        <f>IF(AU407="*",AU407,"")</f>
        <v>*</v>
      </c>
      <c r="AV408" s="17" t="str">
        <f t="shared" si="323"/>
        <v>*FCEV*</v>
      </c>
      <c r="AW408" s="17" t="str">
        <f t="shared" si="323"/>
        <v>TRAH2G</v>
      </c>
      <c r="AX408" s="17" t="str">
        <f t="shared" si="323"/>
        <v>TRAFRECSHDMD</v>
      </c>
      <c r="AY408" s="17" t="str">
        <f t="shared" si="323"/>
        <v>TRAFRECSHDMD</v>
      </c>
      <c r="AZ408" s="18">
        <v>2040</v>
      </c>
      <c r="BA408" s="18" t="str">
        <f>BA407</f>
        <v>LO</v>
      </c>
      <c r="BB408" s="18"/>
      <c r="BC408" s="20" t="e">
        <f>-SUMIFS('TRA RESID'!$P:$P,'TRA RESID'!$I:$I,AY408,'TRA RESID'!$J:$J,AV408,'TRA RESID'!$H:$H,AW408)/SUMIFS('TRA RESID'!$P:$P,'TRA RESID'!$I:$I,AY408)*BG408</f>
        <v>#DIV/0!</v>
      </c>
      <c r="BD408" s="18"/>
      <c r="BE408" s="18"/>
      <c r="BG408" s="21">
        <v>0</v>
      </c>
    </row>
    <row r="409" spans="1:59" x14ac:dyDescent="0.25">
      <c r="C409" s="23" t="str">
        <f>IF(C408="*",C408,"")</f>
        <v>*</v>
      </c>
      <c r="D409" s="25" t="str">
        <f t="shared" si="320"/>
        <v>*ICEV*</v>
      </c>
      <c r="E409" s="25" t="str">
        <f t="shared" si="320"/>
        <v>TRAH2G</v>
      </c>
      <c r="F409" s="25" t="str">
        <f t="shared" si="320"/>
        <v>TRAFRECSHDMD</v>
      </c>
      <c r="G409" s="25" t="str">
        <f t="shared" si="320"/>
        <v>TRAFRECSHDMD</v>
      </c>
      <c r="H409" s="26">
        <v>2050</v>
      </c>
      <c r="I409" s="26" t="str">
        <f>I407</f>
        <v>LO</v>
      </c>
      <c r="J409" s="26"/>
      <c r="K409" s="27" t="e">
        <f>-SUMIFS('TRA RESID'!$P:$P,'TRA RESID'!$I:$I,G409,'TRA RESID'!$J:$J,D409,'TRA RESID'!$H:$H,E409)/SUMIFS('TRA RESID'!$P:$P,'TRA RESID'!$I:$I,G409)*O409</f>
        <v>#DIV/0!</v>
      </c>
      <c r="L409" s="26"/>
      <c r="M409" s="26"/>
      <c r="O409" s="28">
        <v>0</v>
      </c>
      <c r="S409" s="23" t="str">
        <f>IF(S408="*",S408,"")</f>
        <v>*</v>
      </c>
      <c r="T409" s="25" t="str">
        <f t="shared" si="321"/>
        <v>*BEV*</v>
      </c>
      <c r="U409" s="25" t="str">
        <f t="shared" si="321"/>
        <v>TRAH2G</v>
      </c>
      <c r="V409" s="25" t="str">
        <f t="shared" si="321"/>
        <v>TRAFRECSHDMD</v>
      </c>
      <c r="W409" s="25" t="str">
        <f t="shared" si="321"/>
        <v>TRAFRECSHDMD</v>
      </c>
      <c r="X409" s="26">
        <v>2050</v>
      </c>
      <c r="Y409" s="26" t="str">
        <f>Y407</f>
        <v>LO</v>
      </c>
      <c r="Z409" s="26"/>
      <c r="AA409" s="27" t="e">
        <f>-SUMIFS('TRA RESID'!$P:$P,'TRA RESID'!$I:$I,W409,'TRA RESID'!$J:$J,T409,'TRA RESID'!$H:$H,U409)/SUMIFS('TRA RESID'!$P:$P,'TRA RESID'!$I:$I,W409)*AE409</f>
        <v>#DIV/0!</v>
      </c>
      <c r="AB409" s="26"/>
      <c r="AC409" s="26"/>
      <c r="AE409" s="28">
        <v>1</v>
      </c>
      <c r="AG409" s="23" t="str">
        <f>IF(AG408="*",AG408,"")</f>
        <v>*</v>
      </c>
      <c r="AH409" s="25" t="str">
        <f t="shared" si="322"/>
        <v>*HEV*</v>
      </c>
      <c r="AI409" s="25" t="str">
        <f t="shared" si="322"/>
        <v>TRAH2G</v>
      </c>
      <c r="AJ409" s="25" t="str">
        <f t="shared" si="322"/>
        <v>TRAFRECSHDMD</v>
      </c>
      <c r="AK409" s="25" t="str">
        <f t="shared" si="322"/>
        <v>TRAFRECSHDMD</v>
      </c>
      <c r="AL409" s="26">
        <v>2050</v>
      </c>
      <c r="AM409" s="26" t="str">
        <f>AM407</f>
        <v>LO</v>
      </c>
      <c r="AN409" s="26"/>
      <c r="AO409" s="27" t="e">
        <f>-SUMIFS('TRA RESID'!$P:$P,'TRA RESID'!$I:$I,AK409,'TRA RESID'!$J:$J,AH409,'TRA RESID'!$H:$H,AI409)/SUMIFS('TRA RESID'!$P:$P,'TRA RESID'!$I:$I,AK409)*AS409</f>
        <v>#DIV/0!</v>
      </c>
      <c r="AP409" s="26"/>
      <c r="AQ409" s="26"/>
      <c r="AS409" s="28">
        <v>0</v>
      </c>
      <c r="AU409" s="23" t="str">
        <f>IF(AU408="*",AU408,"")</f>
        <v>*</v>
      </c>
      <c r="AV409" s="25" t="str">
        <f t="shared" si="323"/>
        <v>*FCEV*</v>
      </c>
      <c r="AW409" s="25" t="str">
        <f t="shared" si="323"/>
        <v>TRAH2G</v>
      </c>
      <c r="AX409" s="25" t="str">
        <f t="shared" si="323"/>
        <v>TRAFRECSHDMD</v>
      </c>
      <c r="AY409" s="25" t="str">
        <f t="shared" si="323"/>
        <v>TRAFRECSHDMD</v>
      </c>
      <c r="AZ409" s="26">
        <v>2050</v>
      </c>
      <c r="BA409" s="26" t="str">
        <f>BA407</f>
        <v>LO</v>
      </c>
      <c r="BB409" s="26"/>
      <c r="BC409" s="27" t="e">
        <f>-SUMIFS('TRA RESID'!$P:$P,'TRA RESID'!$I:$I,AY409,'TRA RESID'!$J:$J,AV409,'TRA RESID'!$H:$H,AW409)/SUMIFS('TRA RESID'!$P:$P,'TRA RESID'!$I:$I,AY409)*BG409</f>
        <v>#DIV/0!</v>
      </c>
      <c r="BD409" s="26"/>
      <c r="BE409" s="26"/>
      <c r="BG409" s="28">
        <v>0</v>
      </c>
    </row>
    <row r="410" spans="1:59" x14ac:dyDescent="0.25">
      <c r="A410">
        <f>A405+1</f>
        <v>82</v>
      </c>
      <c r="C410" s="15" t="str">
        <f>IF(E410="","",IF(_xlfn.XLOOKUP($A410,Selected_constraint!$A:$A,Selected_constraint!$D:$D)=1,"*",IF(SUMIFS('TRA TECH'!$M:$M,'TRA TECH'!$H:$H,E410,'TRA TECH'!$I:$I,F410)=0,"*",IF(SUMIFS('TRA RESID'!$P:$P,'TRA RESID'!$I:$I,G410,'TRA RESID'!$J:$J,D410,'TRA RESID'!$H:$H,E410)=0,"*","UC_"&amp;SUBSTITUTE(D410,"*","")&amp;"_"&amp;RIGHT(E410,3)&amp;"_"&amp;F410))))</f>
        <v>*</v>
      </c>
      <c r="D410" s="17" t="s">
        <v>485</v>
      </c>
      <c r="E410" s="17" t="str">
        <f>_xlfn.XLOOKUP($A410,Selected_constraint!$A:$A,Selected_constraint!$B:$B)</f>
        <v>TRAGSL</v>
      </c>
      <c r="F410" s="17" t="str">
        <f>_xlfn.XLOOKUP($A410,Selected_constraint!$A:$A,Selected_constraint!$C:$C)</f>
        <v>TRAPASTBUDMD</v>
      </c>
      <c r="G410" s="17" t="str">
        <f>F410</f>
        <v>TRAPASTBUDMD</v>
      </c>
      <c r="H410" s="18">
        <v>2019</v>
      </c>
      <c r="I410" s="18" t="s">
        <v>483</v>
      </c>
      <c r="J410" s="18">
        <v>1</v>
      </c>
      <c r="K410" s="20">
        <f>-SUMIFS('TRA RESID'!$P:$P,'TRA RESID'!$I:$I,G410,'TRA RESID'!$J:$J,D410,'TRA RESID'!$H:$H,E410)/SUMIFS('TRA RESID'!$P:$P,'TRA RESID'!$I:$I,G410)*O410</f>
        <v>0</v>
      </c>
      <c r="L410" s="18">
        <v>0</v>
      </c>
      <c r="M410" s="18">
        <v>5</v>
      </c>
      <c r="O410" s="21">
        <v>0.98</v>
      </c>
      <c r="Q410">
        <f>Q405+1</f>
        <v>82</v>
      </c>
      <c r="S410" s="15" t="str">
        <f>IF(SUMIFS('TRA RESID'!$P:$P,'TRA RESID'!$I:$I,W410,'TRA RESID'!$J:$J,T410,'TRA RESID'!$H:$H,U410)=0,"*","UC_"&amp;SUBSTITUTE(T410,"*","")&amp;"_"&amp;RIGHT(U410,3)&amp;"_"&amp;V410)</f>
        <v>*</v>
      </c>
      <c r="T410" s="17" t="s">
        <v>486</v>
      </c>
      <c r="U410" s="17" t="str">
        <f>_xlfn.XLOOKUP($A410,Selected_constraint!$A:$A,Selected_constraint!$B:$B)</f>
        <v>TRAGSL</v>
      </c>
      <c r="V410" s="17" t="str">
        <f>_xlfn.XLOOKUP($A410,Selected_constraint!$A:$A,Selected_constraint!$C:$C)</f>
        <v>TRAPASTBUDMD</v>
      </c>
      <c r="W410" s="17" t="str">
        <f>V410</f>
        <v>TRAPASTBUDMD</v>
      </c>
      <c r="X410" s="18">
        <v>2019</v>
      </c>
      <c r="Y410" s="18" t="s">
        <v>483</v>
      </c>
      <c r="Z410" s="18">
        <v>1</v>
      </c>
      <c r="AA410" s="20">
        <f>-SUMIFS('TRA RESID'!$P:$P,'TRA RESID'!$I:$I,W410,'TRA RESID'!$J:$J,T410,'TRA RESID'!$H:$H,U410)/SUMIFS('TRA RESID'!$P:$P,'TRA RESID'!$I:$I,W410)*AE410</f>
        <v>0</v>
      </c>
      <c r="AB410" s="18">
        <v>0</v>
      </c>
      <c r="AC410" s="18">
        <v>5</v>
      </c>
      <c r="AE410" s="21">
        <v>0.98</v>
      </c>
      <c r="AG410" s="15" t="str">
        <f>IF(SUMIFS('TRA RESID'!$P:$P,'TRA RESID'!$I:$I,AK410,'TRA RESID'!$J:$J,AH410,'TRA RESID'!$H:$H,AI410)=0,"*","UC_"&amp;SUBSTITUTE(AH410,"*","")&amp;"_"&amp;RIGHT(AI410,3)&amp;"_"&amp;AJ410)</f>
        <v>*</v>
      </c>
      <c r="AH410" s="17" t="s">
        <v>487</v>
      </c>
      <c r="AI410" s="17" t="str">
        <f>_xlfn.XLOOKUP($A410,Selected_constraint!$A:$A,Selected_constraint!$B:$B)</f>
        <v>TRAGSL</v>
      </c>
      <c r="AJ410" s="17" t="str">
        <f>_xlfn.XLOOKUP($A410,Selected_constraint!$A:$A,Selected_constraint!$C:$C)</f>
        <v>TRAPASTBUDMD</v>
      </c>
      <c r="AK410" s="17" t="str">
        <f>AJ410</f>
        <v>TRAPASTBUDMD</v>
      </c>
      <c r="AL410" s="18">
        <v>2019</v>
      </c>
      <c r="AM410" s="18" t="s">
        <v>483</v>
      </c>
      <c r="AN410" s="18">
        <v>1</v>
      </c>
      <c r="AO410" s="20">
        <f>-SUMIFS('TRA RESID'!$P:$P,'TRA RESID'!$I:$I,AK410,'TRA RESID'!$J:$J,AH410,'TRA RESID'!$H:$H,AI410)/SUMIFS('TRA RESID'!$P:$P,'TRA RESID'!$I:$I,AK410)*AS410</f>
        <v>0</v>
      </c>
      <c r="AP410" s="18">
        <v>0</v>
      </c>
      <c r="AQ410" s="18">
        <v>5</v>
      </c>
      <c r="AS410" s="21">
        <v>0.98</v>
      </c>
      <c r="AU410" s="15" t="str">
        <f>IF(SUMIFS('TRA RESID'!$P:$P,'TRA RESID'!$I:$I,AY410,'TRA RESID'!$J:$J,AV410,'TRA RESID'!$H:$H,AW410)=0,"*","UC_"&amp;SUBSTITUTE(AV410,"*","")&amp;"_"&amp;RIGHT(AW410,3)&amp;"_"&amp;AX410)</f>
        <v>*</v>
      </c>
      <c r="AV410" s="17" t="s">
        <v>488</v>
      </c>
      <c r="AW410" s="17" t="str">
        <f>_xlfn.XLOOKUP($A410,Selected_constraint!$A:$A,Selected_constraint!$B:$B)</f>
        <v>TRAGSL</v>
      </c>
      <c r="AX410" s="17" t="str">
        <f>_xlfn.XLOOKUP($A410,Selected_constraint!$A:$A,Selected_constraint!$C:$C)</f>
        <v>TRAPASTBUDMD</v>
      </c>
      <c r="AY410" s="17" t="str">
        <f>AX410</f>
        <v>TRAPASTBUDMD</v>
      </c>
      <c r="AZ410" s="18">
        <v>2019</v>
      </c>
      <c r="BA410" s="18" t="s">
        <v>483</v>
      </c>
      <c r="BB410" s="18">
        <v>1</v>
      </c>
      <c r="BC410" s="20">
        <f>-SUMIFS('TRA RESID'!$P:$P,'TRA RESID'!$I:$I,AY410,'TRA RESID'!$J:$J,AV410,'TRA RESID'!$H:$H,AW410)/SUMIFS('TRA RESID'!$P:$P,'TRA RESID'!$I:$I,AY410)*BG410</f>
        <v>0</v>
      </c>
      <c r="BD410" s="18">
        <v>0</v>
      </c>
      <c r="BE410" s="18">
        <v>5</v>
      </c>
      <c r="BG410" s="21">
        <v>0.98</v>
      </c>
    </row>
    <row r="411" spans="1:59" x14ac:dyDescent="0.25">
      <c r="C411" s="15" t="str">
        <f>IF(C410="*",C410,"")</f>
        <v>*</v>
      </c>
      <c r="D411" s="17" t="str">
        <f t="shared" ref="D411:G414" si="324">D410</f>
        <v>*ICEV*</v>
      </c>
      <c r="E411" s="17" t="str">
        <f t="shared" si="324"/>
        <v>TRAGSL</v>
      </c>
      <c r="F411" s="17" t="str">
        <f t="shared" si="324"/>
        <v>TRAPASTBUDMD</v>
      </c>
      <c r="G411" s="17" t="str">
        <f t="shared" si="324"/>
        <v>TRAPASTBUDMD</v>
      </c>
      <c r="H411" s="18">
        <v>2025</v>
      </c>
      <c r="I411" s="18" t="str">
        <f>I410</f>
        <v>LO</v>
      </c>
      <c r="J411" s="18"/>
      <c r="K411" s="20">
        <f>-SUMIFS('TRA RESID'!$P:$P,'TRA RESID'!$I:$I,G411,'TRA RESID'!$J:$J,D411,'TRA RESID'!$H:$H,E411)/SUMIFS('TRA RESID'!$P:$P,'TRA RESID'!$I:$I,G411)*O411</f>
        <v>0</v>
      </c>
      <c r="L411" s="18"/>
      <c r="M411" s="18"/>
      <c r="O411" s="21">
        <v>0.8</v>
      </c>
      <c r="S411" s="15" t="str">
        <f>IF(S410="*",S410,"")</f>
        <v>*</v>
      </c>
      <c r="T411" s="17" t="str">
        <f t="shared" ref="T411:W414" si="325">T410</f>
        <v>*BEV*</v>
      </c>
      <c r="U411" s="17" t="str">
        <f t="shared" si="325"/>
        <v>TRAGSL</v>
      </c>
      <c r="V411" s="17" t="str">
        <f t="shared" si="325"/>
        <v>TRAPASTBUDMD</v>
      </c>
      <c r="W411" s="17" t="str">
        <f t="shared" si="325"/>
        <v>TRAPASTBUDMD</v>
      </c>
      <c r="X411" s="18">
        <v>2025</v>
      </c>
      <c r="Y411" s="18" t="str">
        <f>Y410</f>
        <v>LO</v>
      </c>
      <c r="Z411" s="18"/>
      <c r="AA411" s="20">
        <f>-SUMIFS('TRA RESID'!$P:$P,'TRA RESID'!$I:$I,W411,'TRA RESID'!$J:$J,T411,'TRA RESID'!$H:$H,U411)/SUMIFS('TRA RESID'!$P:$P,'TRA RESID'!$I:$I,W411)*AE411</f>
        <v>0</v>
      </c>
      <c r="AB411" s="18"/>
      <c r="AC411" s="18"/>
      <c r="AE411" s="21">
        <v>1</v>
      </c>
      <c r="AG411" s="15" t="str">
        <f>IF(AG410="*",AG410,"")</f>
        <v>*</v>
      </c>
      <c r="AH411" s="17" t="str">
        <f t="shared" ref="AH411:AK414" si="326">AH410</f>
        <v>*HEV*</v>
      </c>
      <c r="AI411" s="17" t="str">
        <f t="shared" si="326"/>
        <v>TRAGSL</v>
      </c>
      <c r="AJ411" s="17" t="str">
        <f t="shared" si="326"/>
        <v>TRAPASTBUDMD</v>
      </c>
      <c r="AK411" s="17" t="str">
        <f t="shared" si="326"/>
        <v>TRAPASTBUDMD</v>
      </c>
      <c r="AL411" s="18">
        <v>2025</v>
      </c>
      <c r="AM411" s="18" t="str">
        <f>AM410</f>
        <v>LO</v>
      </c>
      <c r="AN411" s="18"/>
      <c r="AO411" s="20">
        <f>-SUMIFS('TRA RESID'!$P:$P,'TRA RESID'!$I:$I,AK411,'TRA RESID'!$J:$J,AH411,'TRA RESID'!$H:$H,AI411)/SUMIFS('TRA RESID'!$P:$P,'TRA RESID'!$I:$I,AK411)*AS411</f>
        <v>0</v>
      </c>
      <c r="AP411" s="18"/>
      <c r="AQ411" s="18"/>
      <c r="AS411" s="21">
        <v>0.8</v>
      </c>
      <c r="AU411" s="15" t="str">
        <f>IF(AU410="*",AU410,"")</f>
        <v>*</v>
      </c>
      <c r="AV411" s="17" t="str">
        <f t="shared" ref="AV411:AY414" si="327">AV410</f>
        <v>*FCEV*</v>
      </c>
      <c r="AW411" s="17" t="str">
        <f t="shared" si="327"/>
        <v>TRAGSL</v>
      </c>
      <c r="AX411" s="17" t="str">
        <f t="shared" si="327"/>
        <v>TRAPASTBUDMD</v>
      </c>
      <c r="AY411" s="17" t="str">
        <f t="shared" si="327"/>
        <v>TRAPASTBUDMD</v>
      </c>
      <c r="AZ411" s="18">
        <v>2025</v>
      </c>
      <c r="BA411" s="18" t="str">
        <f>BA410</f>
        <v>LO</v>
      </c>
      <c r="BB411" s="18"/>
      <c r="BC411" s="20">
        <f>-SUMIFS('TRA RESID'!$P:$P,'TRA RESID'!$I:$I,AY411,'TRA RESID'!$J:$J,AV411,'TRA RESID'!$H:$H,AW411)/SUMIFS('TRA RESID'!$P:$P,'TRA RESID'!$I:$I,AY411)*BG411</f>
        <v>0</v>
      </c>
      <c r="BD411" s="18"/>
      <c r="BE411" s="18"/>
      <c r="BG411" s="21">
        <v>0.8</v>
      </c>
    </row>
    <row r="412" spans="1:59" x14ac:dyDescent="0.25">
      <c r="C412" s="15" t="str">
        <f>IF(C411="*",C411,"")</f>
        <v>*</v>
      </c>
      <c r="D412" s="17" t="str">
        <f t="shared" si="324"/>
        <v>*ICEV*</v>
      </c>
      <c r="E412" s="17" t="str">
        <f t="shared" si="324"/>
        <v>TRAGSL</v>
      </c>
      <c r="F412" s="17" t="str">
        <f t="shared" si="324"/>
        <v>TRAPASTBUDMD</v>
      </c>
      <c r="G412" s="17" t="str">
        <f t="shared" si="324"/>
        <v>TRAPASTBUDMD</v>
      </c>
      <c r="H412" s="18">
        <v>2030</v>
      </c>
      <c r="I412" s="18" t="str">
        <f>I411</f>
        <v>LO</v>
      </c>
      <c r="J412" s="18"/>
      <c r="K412" s="20">
        <f>-SUMIFS('TRA RESID'!$P:$P,'TRA RESID'!$I:$I,G412,'TRA RESID'!$J:$J,D412,'TRA RESID'!$H:$H,E412)/SUMIFS('TRA RESID'!$P:$P,'TRA RESID'!$I:$I,G412)*O412</f>
        <v>0</v>
      </c>
      <c r="L412" s="18"/>
      <c r="M412" s="18"/>
      <c r="O412" s="21">
        <v>0.5</v>
      </c>
      <c r="S412" s="15" t="str">
        <f>IF(S411="*",S411,"")</f>
        <v>*</v>
      </c>
      <c r="T412" s="17" t="str">
        <f t="shared" si="325"/>
        <v>*BEV*</v>
      </c>
      <c r="U412" s="17" t="str">
        <f t="shared" si="325"/>
        <v>TRAGSL</v>
      </c>
      <c r="V412" s="17" t="str">
        <f t="shared" si="325"/>
        <v>TRAPASTBUDMD</v>
      </c>
      <c r="W412" s="17" t="str">
        <f t="shared" si="325"/>
        <v>TRAPASTBUDMD</v>
      </c>
      <c r="X412" s="18">
        <v>2030</v>
      </c>
      <c r="Y412" s="18" t="str">
        <f>Y411</f>
        <v>LO</v>
      </c>
      <c r="Z412" s="18"/>
      <c r="AA412" s="20">
        <f>-SUMIFS('TRA RESID'!$P:$P,'TRA RESID'!$I:$I,W412,'TRA RESID'!$J:$J,T412,'TRA RESID'!$H:$H,U412)/SUMIFS('TRA RESID'!$P:$P,'TRA RESID'!$I:$I,W412)*AE412</f>
        <v>0</v>
      </c>
      <c r="AB412" s="18"/>
      <c r="AC412" s="18"/>
      <c r="AE412" s="21">
        <v>1</v>
      </c>
      <c r="AG412" s="15" t="str">
        <f>IF(AG411="*",AG411,"")</f>
        <v>*</v>
      </c>
      <c r="AH412" s="17" t="str">
        <f t="shared" si="326"/>
        <v>*HEV*</v>
      </c>
      <c r="AI412" s="17" t="str">
        <f t="shared" si="326"/>
        <v>TRAGSL</v>
      </c>
      <c r="AJ412" s="17" t="str">
        <f t="shared" si="326"/>
        <v>TRAPASTBUDMD</v>
      </c>
      <c r="AK412" s="17" t="str">
        <f t="shared" si="326"/>
        <v>TRAPASTBUDMD</v>
      </c>
      <c r="AL412" s="18">
        <v>2030</v>
      </c>
      <c r="AM412" s="18" t="str">
        <f>AM411</f>
        <v>LO</v>
      </c>
      <c r="AN412" s="18"/>
      <c r="AO412" s="20">
        <f>-SUMIFS('TRA RESID'!$P:$P,'TRA RESID'!$I:$I,AK412,'TRA RESID'!$J:$J,AH412,'TRA RESID'!$H:$H,AI412)/SUMIFS('TRA RESID'!$P:$P,'TRA RESID'!$I:$I,AK412)*AS412</f>
        <v>0</v>
      </c>
      <c r="AP412" s="18"/>
      <c r="AQ412" s="18"/>
      <c r="AS412" s="21">
        <v>0.5</v>
      </c>
      <c r="AU412" s="15" t="str">
        <f>IF(AU411="*",AU411,"")</f>
        <v>*</v>
      </c>
      <c r="AV412" s="17" t="str">
        <f t="shared" si="327"/>
        <v>*FCEV*</v>
      </c>
      <c r="AW412" s="17" t="str">
        <f t="shared" si="327"/>
        <v>TRAGSL</v>
      </c>
      <c r="AX412" s="17" t="str">
        <f t="shared" si="327"/>
        <v>TRAPASTBUDMD</v>
      </c>
      <c r="AY412" s="17" t="str">
        <f t="shared" si="327"/>
        <v>TRAPASTBUDMD</v>
      </c>
      <c r="AZ412" s="18">
        <v>2030</v>
      </c>
      <c r="BA412" s="18" t="str">
        <f>BA411</f>
        <v>LO</v>
      </c>
      <c r="BB412" s="18"/>
      <c r="BC412" s="20">
        <f>-SUMIFS('TRA RESID'!$P:$P,'TRA RESID'!$I:$I,AY412,'TRA RESID'!$J:$J,AV412,'TRA RESID'!$H:$H,AW412)/SUMIFS('TRA RESID'!$P:$P,'TRA RESID'!$I:$I,AY412)*BG412</f>
        <v>0</v>
      </c>
      <c r="BD412" s="18"/>
      <c r="BE412" s="18"/>
      <c r="BG412" s="21">
        <v>0.5</v>
      </c>
    </row>
    <row r="413" spans="1:59" x14ac:dyDescent="0.25">
      <c r="C413" s="15" t="str">
        <f>IF(C412="*",C412,"")</f>
        <v>*</v>
      </c>
      <c r="D413" s="17" t="str">
        <f t="shared" si="324"/>
        <v>*ICEV*</v>
      </c>
      <c r="E413" s="17" t="str">
        <f t="shared" si="324"/>
        <v>TRAGSL</v>
      </c>
      <c r="F413" s="17" t="str">
        <f t="shared" si="324"/>
        <v>TRAPASTBUDMD</v>
      </c>
      <c r="G413" s="17" t="str">
        <f t="shared" si="324"/>
        <v>TRAPASTBUDMD</v>
      </c>
      <c r="H413" s="18">
        <v>2040</v>
      </c>
      <c r="I413" s="18" t="str">
        <f>I412</f>
        <v>LO</v>
      </c>
      <c r="J413" s="18"/>
      <c r="K413" s="20">
        <f>-SUMIFS('TRA RESID'!$P:$P,'TRA RESID'!$I:$I,G413,'TRA RESID'!$J:$J,D413,'TRA RESID'!$H:$H,E413)/SUMIFS('TRA RESID'!$P:$P,'TRA RESID'!$I:$I,G413)*O413</f>
        <v>0</v>
      </c>
      <c r="L413" s="18"/>
      <c r="M413" s="18"/>
      <c r="O413" s="21">
        <v>0</v>
      </c>
      <c r="S413" s="15" t="str">
        <f>IF(S412="*",S412,"")</f>
        <v>*</v>
      </c>
      <c r="T413" s="17" t="str">
        <f t="shared" si="325"/>
        <v>*BEV*</v>
      </c>
      <c r="U413" s="17" t="str">
        <f t="shared" si="325"/>
        <v>TRAGSL</v>
      </c>
      <c r="V413" s="17" t="str">
        <f t="shared" si="325"/>
        <v>TRAPASTBUDMD</v>
      </c>
      <c r="W413" s="17" t="str">
        <f t="shared" si="325"/>
        <v>TRAPASTBUDMD</v>
      </c>
      <c r="X413" s="18">
        <v>2040</v>
      </c>
      <c r="Y413" s="18" t="str">
        <f>Y412</f>
        <v>LO</v>
      </c>
      <c r="Z413" s="18"/>
      <c r="AA413" s="20">
        <f>-SUMIFS('TRA RESID'!$P:$P,'TRA RESID'!$I:$I,W413,'TRA RESID'!$J:$J,T413,'TRA RESID'!$H:$H,U413)/SUMIFS('TRA RESID'!$P:$P,'TRA RESID'!$I:$I,W413)*AE413</f>
        <v>0</v>
      </c>
      <c r="AB413" s="18"/>
      <c r="AC413" s="18"/>
      <c r="AE413" s="21">
        <v>1</v>
      </c>
      <c r="AG413" s="15" t="str">
        <f>IF(AG412="*",AG412,"")</f>
        <v>*</v>
      </c>
      <c r="AH413" s="17" t="str">
        <f t="shared" si="326"/>
        <v>*HEV*</v>
      </c>
      <c r="AI413" s="17" t="str">
        <f t="shared" si="326"/>
        <v>TRAGSL</v>
      </c>
      <c r="AJ413" s="17" t="str">
        <f t="shared" si="326"/>
        <v>TRAPASTBUDMD</v>
      </c>
      <c r="AK413" s="17" t="str">
        <f t="shared" si="326"/>
        <v>TRAPASTBUDMD</v>
      </c>
      <c r="AL413" s="18">
        <v>2040</v>
      </c>
      <c r="AM413" s="18" t="str">
        <f>AM412</f>
        <v>LO</v>
      </c>
      <c r="AN413" s="18"/>
      <c r="AO413" s="20">
        <f>-SUMIFS('TRA RESID'!$P:$P,'TRA RESID'!$I:$I,AK413,'TRA RESID'!$J:$J,AH413,'TRA RESID'!$H:$H,AI413)/SUMIFS('TRA RESID'!$P:$P,'TRA RESID'!$I:$I,AK413)*AS413</f>
        <v>0</v>
      </c>
      <c r="AP413" s="18"/>
      <c r="AQ413" s="18"/>
      <c r="AS413" s="21">
        <v>0</v>
      </c>
      <c r="AU413" s="15" t="str">
        <f>IF(AU412="*",AU412,"")</f>
        <v>*</v>
      </c>
      <c r="AV413" s="17" t="str">
        <f t="shared" si="327"/>
        <v>*FCEV*</v>
      </c>
      <c r="AW413" s="17" t="str">
        <f t="shared" si="327"/>
        <v>TRAGSL</v>
      </c>
      <c r="AX413" s="17" t="str">
        <f t="shared" si="327"/>
        <v>TRAPASTBUDMD</v>
      </c>
      <c r="AY413" s="17" t="str">
        <f t="shared" si="327"/>
        <v>TRAPASTBUDMD</v>
      </c>
      <c r="AZ413" s="18">
        <v>2040</v>
      </c>
      <c r="BA413" s="18" t="str">
        <f>BA412</f>
        <v>LO</v>
      </c>
      <c r="BB413" s="18"/>
      <c r="BC413" s="20">
        <f>-SUMIFS('TRA RESID'!$P:$P,'TRA RESID'!$I:$I,AY413,'TRA RESID'!$J:$J,AV413,'TRA RESID'!$H:$H,AW413)/SUMIFS('TRA RESID'!$P:$P,'TRA RESID'!$I:$I,AY413)*BG413</f>
        <v>0</v>
      </c>
      <c r="BD413" s="18"/>
      <c r="BE413" s="18"/>
      <c r="BG413" s="21">
        <v>0</v>
      </c>
    </row>
    <row r="414" spans="1:59" x14ac:dyDescent="0.25">
      <c r="C414" s="23" t="str">
        <f>IF(C413="*",C413,"")</f>
        <v>*</v>
      </c>
      <c r="D414" s="25" t="str">
        <f t="shared" si="324"/>
        <v>*ICEV*</v>
      </c>
      <c r="E414" s="25" t="str">
        <f t="shared" si="324"/>
        <v>TRAGSL</v>
      </c>
      <c r="F414" s="25" t="str">
        <f t="shared" si="324"/>
        <v>TRAPASTBUDMD</v>
      </c>
      <c r="G414" s="25" t="str">
        <f t="shared" si="324"/>
        <v>TRAPASTBUDMD</v>
      </c>
      <c r="H414" s="26">
        <v>2050</v>
      </c>
      <c r="I414" s="26" t="str">
        <f>I412</f>
        <v>LO</v>
      </c>
      <c r="J414" s="26"/>
      <c r="K414" s="27">
        <f>-SUMIFS('TRA RESID'!$P:$P,'TRA RESID'!$I:$I,G414,'TRA RESID'!$J:$J,D414,'TRA RESID'!$H:$H,E414)/SUMIFS('TRA RESID'!$P:$P,'TRA RESID'!$I:$I,G414)*O414</f>
        <v>0</v>
      </c>
      <c r="L414" s="26"/>
      <c r="M414" s="26"/>
      <c r="O414" s="28">
        <v>0</v>
      </c>
      <c r="S414" s="23" t="str">
        <f>IF(S413="*",S413,"")</f>
        <v>*</v>
      </c>
      <c r="T414" s="25" t="str">
        <f t="shared" si="325"/>
        <v>*BEV*</v>
      </c>
      <c r="U414" s="25" t="str">
        <f t="shared" si="325"/>
        <v>TRAGSL</v>
      </c>
      <c r="V414" s="25" t="str">
        <f t="shared" si="325"/>
        <v>TRAPASTBUDMD</v>
      </c>
      <c r="W414" s="25" t="str">
        <f t="shared" si="325"/>
        <v>TRAPASTBUDMD</v>
      </c>
      <c r="X414" s="26">
        <v>2050</v>
      </c>
      <c r="Y414" s="26" t="str">
        <f>Y412</f>
        <v>LO</v>
      </c>
      <c r="Z414" s="26"/>
      <c r="AA414" s="27">
        <f>-SUMIFS('TRA RESID'!$P:$P,'TRA RESID'!$I:$I,W414,'TRA RESID'!$J:$J,T414,'TRA RESID'!$H:$H,U414)/SUMIFS('TRA RESID'!$P:$P,'TRA RESID'!$I:$I,W414)*AE414</f>
        <v>0</v>
      </c>
      <c r="AB414" s="26"/>
      <c r="AC414" s="26"/>
      <c r="AE414" s="28">
        <v>1</v>
      </c>
      <c r="AG414" s="23" t="str">
        <f>IF(AG413="*",AG413,"")</f>
        <v>*</v>
      </c>
      <c r="AH414" s="25" t="str">
        <f t="shared" si="326"/>
        <v>*HEV*</v>
      </c>
      <c r="AI414" s="25" t="str">
        <f t="shared" si="326"/>
        <v>TRAGSL</v>
      </c>
      <c r="AJ414" s="25" t="str">
        <f t="shared" si="326"/>
        <v>TRAPASTBUDMD</v>
      </c>
      <c r="AK414" s="25" t="str">
        <f t="shared" si="326"/>
        <v>TRAPASTBUDMD</v>
      </c>
      <c r="AL414" s="26">
        <v>2050</v>
      </c>
      <c r="AM414" s="26" t="str">
        <f>AM412</f>
        <v>LO</v>
      </c>
      <c r="AN414" s="26"/>
      <c r="AO414" s="27">
        <f>-SUMIFS('TRA RESID'!$P:$P,'TRA RESID'!$I:$I,AK414,'TRA RESID'!$J:$J,AH414,'TRA RESID'!$H:$H,AI414)/SUMIFS('TRA RESID'!$P:$P,'TRA RESID'!$I:$I,AK414)*AS414</f>
        <v>0</v>
      </c>
      <c r="AP414" s="26"/>
      <c r="AQ414" s="26"/>
      <c r="AS414" s="28">
        <v>0</v>
      </c>
      <c r="AU414" s="23" t="str">
        <f>IF(AU413="*",AU413,"")</f>
        <v>*</v>
      </c>
      <c r="AV414" s="25" t="str">
        <f t="shared" si="327"/>
        <v>*FCEV*</v>
      </c>
      <c r="AW414" s="25" t="str">
        <f t="shared" si="327"/>
        <v>TRAGSL</v>
      </c>
      <c r="AX414" s="25" t="str">
        <f t="shared" si="327"/>
        <v>TRAPASTBUDMD</v>
      </c>
      <c r="AY414" s="25" t="str">
        <f t="shared" si="327"/>
        <v>TRAPASTBUDMD</v>
      </c>
      <c r="AZ414" s="26">
        <v>2050</v>
      </c>
      <c r="BA414" s="26" t="str">
        <f>BA412</f>
        <v>LO</v>
      </c>
      <c r="BB414" s="26"/>
      <c r="BC414" s="27">
        <f>-SUMIFS('TRA RESID'!$P:$P,'TRA RESID'!$I:$I,AY414,'TRA RESID'!$J:$J,AV414,'TRA RESID'!$H:$H,AW414)/SUMIFS('TRA RESID'!$P:$P,'TRA RESID'!$I:$I,AY414)*BG414</f>
        <v>0</v>
      </c>
      <c r="BD414" s="26"/>
      <c r="BE414" s="26"/>
      <c r="BG414" s="28">
        <v>0</v>
      </c>
    </row>
    <row r="415" spans="1:59" x14ac:dyDescent="0.25">
      <c r="A415">
        <f>A410+1</f>
        <v>83</v>
      </c>
      <c r="C415" s="15" t="str">
        <f>IF(E415="","",IF(_xlfn.XLOOKUP($A415,Selected_constraint!$A:$A,Selected_constraint!$D:$D)=1,"*",IF(SUMIFS('TRA TECH'!$M:$M,'TRA TECH'!$H:$H,E415,'TRA TECH'!$I:$I,F415)=0,"*",IF(SUMIFS('TRA RESID'!$P:$P,'TRA RESID'!$I:$I,G415,'TRA RESID'!$J:$J,D415,'TRA RESID'!$H:$H,E415)=0,"*","UC_"&amp;SUBSTITUTE(D415,"*","")&amp;"_"&amp;RIGHT(E415,3)&amp;"_"&amp;F415))))</f>
        <v>*</v>
      </c>
      <c r="D415" s="17" t="s">
        <v>485</v>
      </c>
      <c r="E415" s="17" t="str">
        <f>_xlfn.XLOOKUP($A415,Selected_constraint!$A:$A,Selected_constraint!$B:$B)</f>
        <v>TRAETH</v>
      </c>
      <c r="F415" s="17" t="str">
        <f>_xlfn.XLOOKUP($A415,Selected_constraint!$A:$A,Selected_constraint!$C:$C)</f>
        <v>TRAPASTBUDMD</v>
      </c>
      <c r="G415" s="17" t="str">
        <f>F415</f>
        <v>TRAPASTBUDMD</v>
      </c>
      <c r="H415" s="18">
        <v>2019</v>
      </c>
      <c r="I415" s="18" t="s">
        <v>483</v>
      </c>
      <c r="J415" s="18">
        <v>1</v>
      </c>
      <c r="K415" s="20">
        <f>-SUMIFS('TRA RESID'!$P:$P,'TRA RESID'!$I:$I,G415,'TRA RESID'!$J:$J,D415,'TRA RESID'!$H:$H,E415)/SUMIFS('TRA RESID'!$P:$P,'TRA RESID'!$I:$I,G415)*O415</f>
        <v>0</v>
      </c>
      <c r="L415" s="18">
        <v>0</v>
      </c>
      <c r="M415" s="18">
        <v>5</v>
      </c>
      <c r="O415" s="21">
        <v>0.98</v>
      </c>
      <c r="Q415">
        <f>Q410+1</f>
        <v>83</v>
      </c>
      <c r="S415" s="15" t="str">
        <f>IF(SUMIFS('TRA RESID'!$P:$P,'TRA RESID'!$I:$I,W415,'TRA RESID'!$J:$J,T415,'TRA RESID'!$H:$H,U415)=0,"*","UC_"&amp;SUBSTITUTE(T415,"*","")&amp;"_"&amp;RIGHT(U415,3)&amp;"_"&amp;V415)</f>
        <v>*</v>
      </c>
      <c r="T415" s="17" t="s">
        <v>486</v>
      </c>
      <c r="U415" s="17" t="str">
        <f>_xlfn.XLOOKUP($A415,Selected_constraint!$A:$A,Selected_constraint!$B:$B)</f>
        <v>TRAETH</v>
      </c>
      <c r="V415" s="17" t="str">
        <f>_xlfn.XLOOKUP($A415,Selected_constraint!$A:$A,Selected_constraint!$C:$C)</f>
        <v>TRAPASTBUDMD</v>
      </c>
      <c r="W415" s="17" t="str">
        <f>V415</f>
        <v>TRAPASTBUDMD</v>
      </c>
      <c r="X415" s="18">
        <v>2019</v>
      </c>
      <c r="Y415" s="18" t="s">
        <v>483</v>
      </c>
      <c r="Z415" s="18">
        <v>1</v>
      </c>
      <c r="AA415" s="20">
        <f>-SUMIFS('TRA RESID'!$P:$P,'TRA RESID'!$I:$I,W415,'TRA RESID'!$J:$J,T415,'TRA RESID'!$H:$H,U415)/SUMIFS('TRA RESID'!$P:$P,'TRA RESID'!$I:$I,W415)*AE415</f>
        <v>0</v>
      </c>
      <c r="AB415" s="18">
        <v>0</v>
      </c>
      <c r="AC415" s="18">
        <v>5</v>
      </c>
      <c r="AE415" s="21">
        <v>0.98</v>
      </c>
      <c r="AG415" s="15" t="str">
        <f>IF(SUMIFS('TRA RESID'!$P:$P,'TRA RESID'!$I:$I,AK415,'TRA RESID'!$J:$J,AH415,'TRA RESID'!$H:$H,AI415)=0,"*","UC_"&amp;SUBSTITUTE(AH415,"*","")&amp;"_"&amp;RIGHT(AI415,3)&amp;"_"&amp;AJ415)</f>
        <v>*</v>
      </c>
      <c r="AH415" s="17" t="s">
        <v>487</v>
      </c>
      <c r="AI415" s="17" t="str">
        <f>_xlfn.XLOOKUP($A415,Selected_constraint!$A:$A,Selected_constraint!$B:$B)</f>
        <v>TRAETH</v>
      </c>
      <c r="AJ415" s="17" t="str">
        <f>_xlfn.XLOOKUP($A415,Selected_constraint!$A:$A,Selected_constraint!$C:$C)</f>
        <v>TRAPASTBUDMD</v>
      </c>
      <c r="AK415" s="17" t="str">
        <f>AJ415</f>
        <v>TRAPASTBUDMD</v>
      </c>
      <c r="AL415" s="18">
        <v>2019</v>
      </c>
      <c r="AM415" s="18" t="s">
        <v>483</v>
      </c>
      <c r="AN415" s="18">
        <v>1</v>
      </c>
      <c r="AO415" s="20">
        <f>-SUMIFS('TRA RESID'!$P:$P,'TRA RESID'!$I:$I,AK415,'TRA RESID'!$J:$J,AH415,'TRA RESID'!$H:$H,AI415)/SUMIFS('TRA RESID'!$P:$P,'TRA RESID'!$I:$I,AK415)*AS415</f>
        <v>0</v>
      </c>
      <c r="AP415" s="18">
        <v>0</v>
      </c>
      <c r="AQ415" s="18">
        <v>5</v>
      </c>
      <c r="AS415" s="21">
        <v>0.98</v>
      </c>
      <c r="AU415" s="15" t="str">
        <f>IF(SUMIFS('TRA RESID'!$P:$P,'TRA RESID'!$I:$I,AY415,'TRA RESID'!$J:$J,AV415,'TRA RESID'!$H:$H,AW415)=0,"*","UC_"&amp;SUBSTITUTE(AV415,"*","")&amp;"_"&amp;RIGHT(AW415,3)&amp;"_"&amp;AX415)</f>
        <v>*</v>
      </c>
      <c r="AV415" s="17" t="s">
        <v>488</v>
      </c>
      <c r="AW415" s="17" t="str">
        <f>_xlfn.XLOOKUP($A415,Selected_constraint!$A:$A,Selected_constraint!$B:$B)</f>
        <v>TRAETH</v>
      </c>
      <c r="AX415" s="17" t="str">
        <f>_xlfn.XLOOKUP($A415,Selected_constraint!$A:$A,Selected_constraint!$C:$C)</f>
        <v>TRAPASTBUDMD</v>
      </c>
      <c r="AY415" s="17" t="str">
        <f>AX415</f>
        <v>TRAPASTBUDMD</v>
      </c>
      <c r="AZ415" s="18">
        <v>2019</v>
      </c>
      <c r="BA415" s="18" t="s">
        <v>483</v>
      </c>
      <c r="BB415" s="18">
        <v>1</v>
      </c>
      <c r="BC415" s="20">
        <f>-SUMIFS('TRA RESID'!$P:$P,'TRA RESID'!$I:$I,AY415,'TRA RESID'!$J:$J,AV415,'TRA RESID'!$H:$H,AW415)/SUMIFS('TRA RESID'!$P:$P,'TRA RESID'!$I:$I,AY415)*BG415</f>
        <v>0</v>
      </c>
      <c r="BD415" s="18">
        <v>0</v>
      </c>
      <c r="BE415" s="18">
        <v>5</v>
      </c>
      <c r="BG415" s="21">
        <v>0.98</v>
      </c>
    </row>
    <row r="416" spans="1:59" x14ac:dyDescent="0.25">
      <c r="C416" s="15" t="str">
        <f>IF(C415="*",C415,"")</f>
        <v>*</v>
      </c>
      <c r="D416" s="17" t="str">
        <f t="shared" ref="D416:G419" si="328">D415</f>
        <v>*ICEV*</v>
      </c>
      <c r="E416" s="17" t="str">
        <f t="shared" si="328"/>
        <v>TRAETH</v>
      </c>
      <c r="F416" s="17" t="str">
        <f t="shared" si="328"/>
        <v>TRAPASTBUDMD</v>
      </c>
      <c r="G416" s="17" t="str">
        <f t="shared" si="328"/>
        <v>TRAPASTBUDMD</v>
      </c>
      <c r="H416" s="18">
        <v>2025</v>
      </c>
      <c r="I416" s="18" t="str">
        <f>I415</f>
        <v>LO</v>
      </c>
      <c r="J416" s="18"/>
      <c r="K416" s="20">
        <f>-SUMIFS('TRA RESID'!$P:$P,'TRA RESID'!$I:$I,G416,'TRA RESID'!$J:$J,D416,'TRA RESID'!$H:$H,E416)/SUMIFS('TRA RESID'!$P:$P,'TRA RESID'!$I:$I,G416)*O416</f>
        <v>0</v>
      </c>
      <c r="L416" s="18"/>
      <c r="M416" s="18"/>
      <c r="O416" s="21">
        <v>0.8</v>
      </c>
      <c r="S416" s="15" t="str">
        <f>IF(S415="*",S415,"")</f>
        <v>*</v>
      </c>
      <c r="T416" s="17" t="str">
        <f t="shared" ref="T416:W419" si="329">T415</f>
        <v>*BEV*</v>
      </c>
      <c r="U416" s="17" t="str">
        <f t="shared" si="329"/>
        <v>TRAETH</v>
      </c>
      <c r="V416" s="17" t="str">
        <f t="shared" si="329"/>
        <v>TRAPASTBUDMD</v>
      </c>
      <c r="W416" s="17" t="str">
        <f t="shared" si="329"/>
        <v>TRAPASTBUDMD</v>
      </c>
      <c r="X416" s="18">
        <v>2025</v>
      </c>
      <c r="Y416" s="18" t="str">
        <f>Y415</f>
        <v>LO</v>
      </c>
      <c r="Z416" s="18"/>
      <c r="AA416" s="20">
        <f>-SUMIFS('TRA RESID'!$P:$P,'TRA RESID'!$I:$I,W416,'TRA RESID'!$J:$J,T416,'TRA RESID'!$H:$H,U416)/SUMIFS('TRA RESID'!$P:$P,'TRA RESID'!$I:$I,W416)*AE416</f>
        <v>0</v>
      </c>
      <c r="AB416" s="18"/>
      <c r="AC416" s="18"/>
      <c r="AE416" s="21">
        <v>1</v>
      </c>
      <c r="AG416" s="15" t="str">
        <f>IF(AG415="*",AG415,"")</f>
        <v>*</v>
      </c>
      <c r="AH416" s="17" t="str">
        <f t="shared" ref="AH416:AK419" si="330">AH415</f>
        <v>*HEV*</v>
      </c>
      <c r="AI416" s="17" t="str">
        <f t="shared" si="330"/>
        <v>TRAETH</v>
      </c>
      <c r="AJ416" s="17" t="str">
        <f t="shared" si="330"/>
        <v>TRAPASTBUDMD</v>
      </c>
      <c r="AK416" s="17" t="str">
        <f t="shared" si="330"/>
        <v>TRAPASTBUDMD</v>
      </c>
      <c r="AL416" s="18">
        <v>2025</v>
      </c>
      <c r="AM416" s="18" t="str">
        <f>AM415</f>
        <v>LO</v>
      </c>
      <c r="AN416" s="18"/>
      <c r="AO416" s="20">
        <f>-SUMIFS('TRA RESID'!$P:$P,'TRA RESID'!$I:$I,AK416,'TRA RESID'!$J:$J,AH416,'TRA RESID'!$H:$H,AI416)/SUMIFS('TRA RESID'!$P:$P,'TRA RESID'!$I:$I,AK416)*AS416</f>
        <v>0</v>
      </c>
      <c r="AP416" s="18"/>
      <c r="AQ416" s="18"/>
      <c r="AS416" s="21">
        <v>0.8</v>
      </c>
      <c r="AU416" s="15" t="str">
        <f>IF(AU415="*",AU415,"")</f>
        <v>*</v>
      </c>
      <c r="AV416" s="17" t="str">
        <f t="shared" ref="AV416:AY419" si="331">AV415</f>
        <v>*FCEV*</v>
      </c>
      <c r="AW416" s="17" t="str">
        <f t="shared" si="331"/>
        <v>TRAETH</v>
      </c>
      <c r="AX416" s="17" t="str">
        <f t="shared" si="331"/>
        <v>TRAPASTBUDMD</v>
      </c>
      <c r="AY416" s="17" t="str">
        <f t="shared" si="331"/>
        <v>TRAPASTBUDMD</v>
      </c>
      <c r="AZ416" s="18">
        <v>2025</v>
      </c>
      <c r="BA416" s="18" t="str">
        <f>BA415</f>
        <v>LO</v>
      </c>
      <c r="BB416" s="18"/>
      <c r="BC416" s="20">
        <f>-SUMIFS('TRA RESID'!$P:$P,'TRA RESID'!$I:$I,AY416,'TRA RESID'!$J:$J,AV416,'TRA RESID'!$H:$H,AW416)/SUMIFS('TRA RESID'!$P:$P,'TRA RESID'!$I:$I,AY416)*BG416</f>
        <v>0</v>
      </c>
      <c r="BD416" s="18"/>
      <c r="BE416" s="18"/>
      <c r="BG416" s="21">
        <v>0.8</v>
      </c>
    </row>
    <row r="417" spans="1:59" x14ac:dyDescent="0.25">
      <c r="C417" s="15" t="str">
        <f>IF(C416="*",C416,"")</f>
        <v>*</v>
      </c>
      <c r="D417" s="17" t="str">
        <f t="shared" si="328"/>
        <v>*ICEV*</v>
      </c>
      <c r="E417" s="17" t="str">
        <f t="shared" si="328"/>
        <v>TRAETH</v>
      </c>
      <c r="F417" s="17" t="str">
        <f t="shared" si="328"/>
        <v>TRAPASTBUDMD</v>
      </c>
      <c r="G417" s="17" t="str">
        <f t="shared" si="328"/>
        <v>TRAPASTBUDMD</v>
      </c>
      <c r="H417" s="18">
        <v>2030</v>
      </c>
      <c r="I417" s="18" t="str">
        <f>I416</f>
        <v>LO</v>
      </c>
      <c r="J417" s="18"/>
      <c r="K417" s="20">
        <f>-SUMIFS('TRA RESID'!$P:$P,'TRA RESID'!$I:$I,G417,'TRA RESID'!$J:$J,D417,'TRA RESID'!$H:$H,E417)/SUMIFS('TRA RESID'!$P:$P,'TRA RESID'!$I:$I,G417)*O417</f>
        <v>0</v>
      </c>
      <c r="L417" s="18"/>
      <c r="M417" s="18"/>
      <c r="O417" s="21">
        <v>0.5</v>
      </c>
      <c r="S417" s="15" t="str">
        <f>IF(S416="*",S416,"")</f>
        <v>*</v>
      </c>
      <c r="T417" s="17" t="str">
        <f t="shared" si="329"/>
        <v>*BEV*</v>
      </c>
      <c r="U417" s="17" t="str">
        <f t="shared" si="329"/>
        <v>TRAETH</v>
      </c>
      <c r="V417" s="17" t="str">
        <f t="shared" si="329"/>
        <v>TRAPASTBUDMD</v>
      </c>
      <c r="W417" s="17" t="str">
        <f t="shared" si="329"/>
        <v>TRAPASTBUDMD</v>
      </c>
      <c r="X417" s="18">
        <v>2030</v>
      </c>
      <c r="Y417" s="18" t="str">
        <f>Y416</f>
        <v>LO</v>
      </c>
      <c r="Z417" s="18"/>
      <c r="AA417" s="20">
        <f>-SUMIFS('TRA RESID'!$P:$P,'TRA RESID'!$I:$I,W417,'TRA RESID'!$J:$J,T417,'TRA RESID'!$H:$H,U417)/SUMIFS('TRA RESID'!$P:$P,'TRA RESID'!$I:$I,W417)*AE417</f>
        <v>0</v>
      </c>
      <c r="AB417" s="18"/>
      <c r="AC417" s="18"/>
      <c r="AE417" s="21">
        <v>1</v>
      </c>
      <c r="AG417" s="15" t="str">
        <f>IF(AG416="*",AG416,"")</f>
        <v>*</v>
      </c>
      <c r="AH417" s="17" t="str">
        <f t="shared" si="330"/>
        <v>*HEV*</v>
      </c>
      <c r="AI417" s="17" t="str">
        <f t="shared" si="330"/>
        <v>TRAETH</v>
      </c>
      <c r="AJ417" s="17" t="str">
        <f t="shared" si="330"/>
        <v>TRAPASTBUDMD</v>
      </c>
      <c r="AK417" s="17" t="str">
        <f t="shared" si="330"/>
        <v>TRAPASTBUDMD</v>
      </c>
      <c r="AL417" s="18">
        <v>2030</v>
      </c>
      <c r="AM417" s="18" t="str">
        <f>AM416</f>
        <v>LO</v>
      </c>
      <c r="AN417" s="18"/>
      <c r="AO417" s="20">
        <f>-SUMIFS('TRA RESID'!$P:$P,'TRA RESID'!$I:$I,AK417,'TRA RESID'!$J:$J,AH417,'TRA RESID'!$H:$H,AI417)/SUMIFS('TRA RESID'!$P:$P,'TRA RESID'!$I:$I,AK417)*AS417</f>
        <v>0</v>
      </c>
      <c r="AP417" s="18"/>
      <c r="AQ417" s="18"/>
      <c r="AS417" s="21">
        <v>0.5</v>
      </c>
      <c r="AU417" s="15" t="str">
        <f>IF(AU416="*",AU416,"")</f>
        <v>*</v>
      </c>
      <c r="AV417" s="17" t="str">
        <f t="shared" si="331"/>
        <v>*FCEV*</v>
      </c>
      <c r="AW417" s="17" t="str">
        <f t="shared" si="331"/>
        <v>TRAETH</v>
      </c>
      <c r="AX417" s="17" t="str">
        <f t="shared" si="331"/>
        <v>TRAPASTBUDMD</v>
      </c>
      <c r="AY417" s="17" t="str">
        <f t="shared" si="331"/>
        <v>TRAPASTBUDMD</v>
      </c>
      <c r="AZ417" s="18">
        <v>2030</v>
      </c>
      <c r="BA417" s="18" t="str">
        <f>BA416</f>
        <v>LO</v>
      </c>
      <c r="BB417" s="18"/>
      <c r="BC417" s="20">
        <f>-SUMIFS('TRA RESID'!$P:$P,'TRA RESID'!$I:$I,AY417,'TRA RESID'!$J:$J,AV417,'TRA RESID'!$H:$H,AW417)/SUMIFS('TRA RESID'!$P:$P,'TRA RESID'!$I:$I,AY417)*BG417</f>
        <v>0</v>
      </c>
      <c r="BD417" s="18"/>
      <c r="BE417" s="18"/>
      <c r="BG417" s="21">
        <v>0.5</v>
      </c>
    </row>
    <row r="418" spans="1:59" x14ac:dyDescent="0.25">
      <c r="C418" s="15" t="str">
        <f>IF(C417="*",C417,"")</f>
        <v>*</v>
      </c>
      <c r="D418" s="17" t="str">
        <f t="shared" si="328"/>
        <v>*ICEV*</v>
      </c>
      <c r="E418" s="17" t="str">
        <f t="shared" si="328"/>
        <v>TRAETH</v>
      </c>
      <c r="F418" s="17" t="str">
        <f t="shared" si="328"/>
        <v>TRAPASTBUDMD</v>
      </c>
      <c r="G418" s="17" t="str">
        <f t="shared" si="328"/>
        <v>TRAPASTBUDMD</v>
      </c>
      <c r="H418" s="18">
        <v>2040</v>
      </c>
      <c r="I418" s="18" t="str">
        <f>I417</f>
        <v>LO</v>
      </c>
      <c r="J418" s="18"/>
      <c r="K418" s="20">
        <f>-SUMIFS('TRA RESID'!$P:$P,'TRA RESID'!$I:$I,G418,'TRA RESID'!$J:$J,D418,'TRA RESID'!$H:$H,E418)/SUMIFS('TRA RESID'!$P:$P,'TRA RESID'!$I:$I,G418)*O418</f>
        <v>0</v>
      </c>
      <c r="L418" s="18"/>
      <c r="M418" s="18"/>
      <c r="O418" s="21">
        <v>0</v>
      </c>
      <c r="S418" s="15" t="str">
        <f>IF(S417="*",S417,"")</f>
        <v>*</v>
      </c>
      <c r="T418" s="17" t="str">
        <f t="shared" si="329"/>
        <v>*BEV*</v>
      </c>
      <c r="U418" s="17" t="str">
        <f t="shared" si="329"/>
        <v>TRAETH</v>
      </c>
      <c r="V418" s="17" t="str">
        <f t="shared" si="329"/>
        <v>TRAPASTBUDMD</v>
      </c>
      <c r="W418" s="17" t="str">
        <f t="shared" si="329"/>
        <v>TRAPASTBUDMD</v>
      </c>
      <c r="X418" s="18">
        <v>2040</v>
      </c>
      <c r="Y418" s="18" t="str">
        <f>Y417</f>
        <v>LO</v>
      </c>
      <c r="Z418" s="18"/>
      <c r="AA418" s="20">
        <f>-SUMIFS('TRA RESID'!$P:$P,'TRA RESID'!$I:$I,W418,'TRA RESID'!$J:$J,T418,'TRA RESID'!$H:$H,U418)/SUMIFS('TRA RESID'!$P:$P,'TRA RESID'!$I:$I,W418)*AE418</f>
        <v>0</v>
      </c>
      <c r="AB418" s="18"/>
      <c r="AC418" s="18"/>
      <c r="AE418" s="21">
        <v>1</v>
      </c>
      <c r="AG418" s="15" t="str">
        <f>IF(AG417="*",AG417,"")</f>
        <v>*</v>
      </c>
      <c r="AH418" s="17" t="str">
        <f t="shared" si="330"/>
        <v>*HEV*</v>
      </c>
      <c r="AI418" s="17" t="str">
        <f t="shared" si="330"/>
        <v>TRAETH</v>
      </c>
      <c r="AJ418" s="17" t="str">
        <f t="shared" si="330"/>
        <v>TRAPASTBUDMD</v>
      </c>
      <c r="AK418" s="17" t="str">
        <f t="shared" si="330"/>
        <v>TRAPASTBUDMD</v>
      </c>
      <c r="AL418" s="18">
        <v>2040</v>
      </c>
      <c r="AM418" s="18" t="str">
        <f>AM417</f>
        <v>LO</v>
      </c>
      <c r="AN418" s="18"/>
      <c r="AO418" s="20">
        <f>-SUMIFS('TRA RESID'!$P:$P,'TRA RESID'!$I:$I,AK418,'TRA RESID'!$J:$J,AH418,'TRA RESID'!$H:$H,AI418)/SUMIFS('TRA RESID'!$P:$P,'TRA RESID'!$I:$I,AK418)*AS418</f>
        <v>0</v>
      </c>
      <c r="AP418" s="18"/>
      <c r="AQ418" s="18"/>
      <c r="AS418" s="21">
        <v>0</v>
      </c>
      <c r="AU418" s="15" t="str">
        <f>IF(AU417="*",AU417,"")</f>
        <v>*</v>
      </c>
      <c r="AV418" s="17" t="str">
        <f t="shared" si="331"/>
        <v>*FCEV*</v>
      </c>
      <c r="AW418" s="17" t="str">
        <f t="shared" si="331"/>
        <v>TRAETH</v>
      </c>
      <c r="AX418" s="17" t="str">
        <f t="shared" si="331"/>
        <v>TRAPASTBUDMD</v>
      </c>
      <c r="AY418" s="17" t="str">
        <f t="shared" si="331"/>
        <v>TRAPASTBUDMD</v>
      </c>
      <c r="AZ418" s="18">
        <v>2040</v>
      </c>
      <c r="BA418" s="18" t="str">
        <f>BA417</f>
        <v>LO</v>
      </c>
      <c r="BB418" s="18"/>
      <c r="BC418" s="20">
        <f>-SUMIFS('TRA RESID'!$P:$P,'TRA RESID'!$I:$I,AY418,'TRA RESID'!$J:$J,AV418,'TRA RESID'!$H:$H,AW418)/SUMIFS('TRA RESID'!$P:$P,'TRA RESID'!$I:$I,AY418)*BG418</f>
        <v>0</v>
      </c>
      <c r="BD418" s="18"/>
      <c r="BE418" s="18"/>
      <c r="BG418" s="21">
        <v>0</v>
      </c>
    </row>
    <row r="419" spans="1:59" x14ac:dyDescent="0.25">
      <c r="C419" s="23" t="str">
        <f>IF(C418="*",C418,"")</f>
        <v>*</v>
      </c>
      <c r="D419" s="25" t="str">
        <f t="shared" si="328"/>
        <v>*ICEV*</v>
      </c>
      <c r="E419" s="25" t="str">
        <f t="shared" si="328"/>
        <v>TRAETH</v>
      </c>
      <c r="F419" s="25" t="str">
        <f t="shared" si="328"/>
        <v>TRAPASTBUDMD</v>
      </c>
      <c r="G419" s="25" t="str">
        <f t="shared" si="328"/>
        <v>TRAPASTBUDMD</v>
      </c>
      <c r="H419" s="26">
        <v>2050</v>
      </c>
      <c r="I419" s="26" t="str">
        <f>I417</f>
        <v>LO</v>
      </c>
      <c r="J419" s="26"/>
      <c r="K419" s="27">
        <f>-SUMIFS('TRA RESID'!$P:$P,'TRA RESID'!$I:$I,G419,'TRA RESID'!$J:$J,D419,'TRA RESID'!$H:$H,E419)/SUMIFS('TRA RESID'!$P:$P,'TRA RESID'!$I:$I,G419)*O419</f>
        <v>0</v>
      </c>
      <c r="L419" s="26"/>
      <c r="M419" s="26"/>
      <c r="O419" s="28">
        <v>0</v>
      </c>
      <c r="S419" s="23" t="str">
        <f>IF(S418="*",S418,"")</f>
        <v>*</v>
      </c>
      <c r="T419" s="25" t="str">
        <f t="shared" si="329"/>
        <v>*BEV*</v>
      </c>
      <c r="U419" s="25" t="str">
        <f t="shared" si="329"/>
        <v>TRAETH</v>
      </c>
      <c r="V419" s="25" t="str">
        <f t="shared" si="329"/>
        <v>TRAPASTBUDMD</v>
      </c>
      <c r="W419" s="25" t="str">
        <f t="shared" si="329"/>
        <v>TRAPASTBUDMD</v>
      </c>
      <c r="X419" s="26">
        <v>2050</v>
      </c>
      <c r="Y419" s="26" t="str">
        <f>Y417</f>
        <v>LO</v>
      </c>
      <c r="Z419" s="26"/>
      <c r="AA419" s="27">
        <f>-SUMIFS('TRA RESID'!$P:$P,'TRA RESID'!$I:$I,W419,'TRA RESID'!$J:$J,T419,'TRA RESID'!$H:$H,U419)/SUMIFS('TRA RESID'!$P:$P,'TRA RESID'!$I:$I,W419)*AE419</f>
        <v>0</v>
      </c>
      <c r="AB419" s="26"/>
      <c r="AC419" s="26"/>
      <c r="AE419" s="28">
        <v>1</v>
      </c>
      <c r="AG419" s="23" t="str">
        <f>IF(AG418="*",AG418,"")</f>
        <v>*</v>
      </c>
      <c r="AH419" s="25" t="str">
        <f t="shared" si="330"/>
        <v>*HEV*</v>
      </c>
      <c r="AI419" s="25" t="str">
        <f t="shared" si="330"/>
        <v>TRAETH</v>
      </c>
      <c r="AJ419" s="25" t="str">
        <f t="shared" si="330"/>
        <v>TRAPASTBUDMD</v>
      </c>
      <c r="AK419" s="25" t="str">
        <f t="shared" si="330"/>
        <v>TRAPASTBUDMD</v>
      </c>
      <c r="AL419" s="26">
        <v>2050</v>
      </c>
      <c r="AM419" s="26" t="str">
        <f>AM417</f>
        <v>LO</v>
      </c>
      <c r="AN419" s="26"/>
      <c r="AO419" s="27">
        <f>-SUMIFS('TRA RESID'!$P:$P,'TRA RESID'!$I:$I,AK419,'TRA RESID'!$J:$J,AH419,'TRA RESID'!$H:$H,AI419)/SUMIFS('TRA RESID'!$P:$P,'TRA RESID'!$I:$I,AK419)*AS419</f>
        <v>0</v>
      </c>
      <c r="AP419" s="26"/>
      <c r="AQ419" s="26"/>
      <c r="AS419" s="28">
        <v>0</v>
      </c>
      <c r="AU419" s="23" t="str">
        <f>IF(AU418="*",AU418,"")</f>
        <v>*</v>
      </c>
      <c r="AV419" s="25" t="str">
        <f t="shared" si="331"/>
        <v>*FCEV*</v>
      </c>
      <c r="AW419" s="25" t="str">
        <f t="shared" si="331"/>
        <v>TRAETH</v>
      </c>
      <c r="AX419" s="25" t="str">
        <f t="shared" si="331"/>
        <v>TRAPASTBUDMD</v>
      </c>
      <c r="AY419" s="25" t="str">
        <f t="shared" si="331"/>
        <v>TRAPASTBUDMD</v>
      </c>
      <c r="AZ419" s="26">
        <v>2050</v>
      </c>
      <c r="BA419" s="26" t="str">
        <f>BA417</f>
        <v>LO</v>
      </c>
      <c r="BB419" s="26"/>
      <c r="BC419" s="27">
        <f>-SUMIFS('TRA RESID'!$P:$P,'TRA RESID'!$I:$I,AY419,'TRA RESID'!$J:$J,AV419,'TRA RESID'!$H:$H,AW419)/SUMIFS('TRA RESID'!$P:$P,'TRA RESID'!$I:$I,AY419)*BG419</f>
        <v>0</v>
      </c>
      <c r="BD419" s="26"/>
      <c r="BE419" s="26"/>
      <c r="BG419" s="28">
        <v>0</v>
      </c>
    </row>
    <row r="420" spans="1:59" x14ac:dyDescent="0.25">
      <c r="A420">
        <f>A415+1</f>
        <v>84</v>
      </c>
      <c r="C420" s="15" t="str">
        <f>IF(E420="","",IF(_xlfn.XLOOKUP($A420,Selected_constraint!$A:$A,Selected_constraint!$D:$D)=1,"*",IF(SUMIFS('TRA TECH'!$M:$M,'TRA TECH'!$H:$H,E420,'TRA TECH'!$I:$I,F420)=0,"*",IF(SUMIFS('TRA RESID'!$P:$P,'TRA RESID'!$I:$I,G420,'TRA RESID'!$J:$J,D420,'TRA RESID'!$H:$H,E420)=0,"*","UC_"&amp;SUBSTITUTE(D420,"*","")&amp;"_"&amp;RIGHT(E420,3)&amp;"_"&amp;F420))))</f>
        <v>UC_ICEV_DSL_TRAPASTBUDMD</v>
      </c>
      <c r="D420" s="17" t="s">
        <v>485</v>
      </c>
      <c r="E420" s="17" t="str">
        <f>_xlfn.XLOOKUP($A420,Selected_constraint!$A:$A,Selected_constraint!$B:$B)</f>
        <v>TRADSL</v>
      </c>
      <c r="F420" s="17" t="str">
        <f>_xlfn.XLOOKUP($A420,Selected_constraint!$A:$A,Selected_constraint!$C:$C)</f>
        <v>TRAPASTBUDMD</v>
      </c>
      <c r="G420" s="17" t="str">
        <f>F420</f>
        <v>TRAPASTBUDMD</v>
      </c>
      <c r="H420" s="18">
        <v>2019</v>
      </c>
      <c r="I420" s="18" t="s">
        <v>483</v>
      </c>
      <c r="J420" s="18">
        <v>1</v>
      </c>
      <c r="K420" s="20">
        <f>-SUMIFS('TRA RESID'!$P:$P,'TRA RESID'!$I:$I,G420,'TRA RESID'!$J:$J,D420,'TRA RESID'!$H:$H,E420)/SUMIFS('TRA RESID'!$P:$P,'TRA RESID'!$I:$I,G420)*O420</f>
        <v>-0.86578341657488189</v>
      </c>
      <c r="L420" s="18">
        <v>0</v>
      </c>
      <c r="M420" s="18">
        <v>5</v>
      </c>
      <c r="O420" s="21">
        <v>0.98</v>
      </c>
      <c r="Q420">
        <f>Q415+1</f>
        <v>84</v>
      </c>
      <c r="S420" s="15" t="str">
        <f>IF(SUMIFS('TRA RESID'!$P:$P,'TRA RESID'!$I:$I,W420,'TRA RESID'!$J:$J,T420,'TRA RESID'!$H:$H,U420)=0,"*","UC_"&amp;SUBSTITUTE(T420,"*","")&amp;"_"&amp;RIGHT(U420,3)&amp;"_"&amp;V420)</f>
        <v>*</v>
      </c>
      <c r="T420" s="17" t="s">
        <v>486</v>
      </c>
      <c r="U420" s="17" t="str">
        <f>_xlfn.XLOOKUP($A420,Selected_constraint!$A:$A,Selected_constraint!$B:$B)</f>
        <v>TRADSL</v>
      </c>
      <c r="V420" s="17" t="str">
        <f>_xlfn.XLOOKUP($A420,Selected_constraint!$A:$A,Selected_constraint!$C:$C)</f>
        <v>TRAPASTBUDMD</v>
      </c>
      <c r="W420" s="17" t="str">
        <f>V420</f>
        <v>TRAPASTBUDMD</v>
      </c>
      <c r="X420" s="18">
        <v>2019</v>
      </c>
      <c r="Y420" s="18" t="s">
        <v>483</v>
      </c>
      <c r="Z420" s="18">
        <v>1</v>
      </c>
      <c r="AA420" s="20">
        <f>-SUMIFS('TRA RESID'!$P:$P,'TRA RESID'!$I:$I,W420,'TRA RESID'!$J:$J,T420,'TRA RESID'!$H:$H,U420)/SUMIFS('TRA RESID'!$P:$P,'TRA RESID'!$I:$I,W420)*AE420</f>
        <v>0</v>
      </c>
      <c r="AB420" s="18">
        <v>0</v>
      </c>
      <c r="AC420" s="18">
        <v>5</v>
      </c>
      <c r="AE420" s="21">
        <v>0.98</v>
      </c>
      <c r="AG420" s="15" t="str">
        <f>IF(SUMIFS('TRA RESID'!$P:$P,'TRA RESID'!$I:$I,AK420,'TRA RESID'!$J:$J,AH420,'TRA RESID'!$H:$H,AI420)=0,"*","UC_"&amp;SUBSTITUTE(AH420,"*","")&amp;"_"&amp;RIGHT(AI420,3)&amp;"_"&amp;AJ420)</f>
        <v>*</v>
      </c>
      <c r="AH420" s="17" t="s">
        <v>487</v>
      </c>
      <c r="AI420" s="17" t="str">
        <f>_xlfn.XLOOKUP($A420,Selected_constraint!$A:$A,Selected_constraint!$B:$B)</f>
        <v>TRADSL</v>
      </c>
      <c r="AJ420" s="17" t="str">
        <f>_xlfn.XLOOKUP($A420,Selected_constraint!$A:$A,Selected_constraint!$C:$C)</f>
        <v>TRAPASTBUDMD</v>
      </c>
      <c r="AK420" s="17" t="str">
        <f>AJ420</f>
        <v>TRAPASTBUDMD</v>
      </c>
      <c r="AL420" s="18">
        <v>2019</v>
      </c>
      <c r="AM420" s="18" t="s">
        <v>483</v>
      </c>
      <c r="AN420" s="18">
        <v>1</v>
      </c>
      <c r="AO420" s="20">
        <f>-SUMIFS('TRA RESID'!$P:$P,'TRA RESID'!$I:$I,AK420,'TRA RESID'!$J:$J,AH420,'TRA RESID'!$H:$H,AI420)/SUMIFS('TRA RESID'!$P:$P,'TRA RESID'!$I:$I,AK420)*AS420</f>
        <v>0</v>
      </c>
      <c r="AP420" s="18">
        <v>0</v>
      </c>
      <c r="AQ420" s="18">
        <v>5</v>
      </c>
      <c r="AS420" s="21">
        <v>0.98</v>
      </c>
      <c r="AU420" s="15" t="str">
        <f>IF(SUMIFS('TRA RESID'!$P:$P,'TRA RESID'!$I:$I,AY420,'TRA RESID'!$J:$J,AV420,'TRA RESID'!$H:$H,AW420)=0,"*","UC_"&amp;SUBSTITUTE(AV420,"*","")&amp;"_"&amp;RIGHT(AW420,3)&amp;"_"&amp;AX420)</f>
        <v>*</v>
      </c>
      <c r="AV420" s="17" t="s">
        <v>488</v>
      </c>
      <c r="AW420" s="17" t="str">
        <f>_xlfn.XLOOKUP($A420,Selected_constraint!$A:$A,Selected_constraint!$B:$B)</f>
        <v>TRADSL</v>
      </c>
      <c r="AX420" s="17" t="str">
        <f>_xlfn.XLOOKUP($A420,Selected_constraint!$A:$A,Selected_constraint!$C:$C)</f>
        <v>TRAPASTBUDMD</v>
      </c>
      <c r="AY420" s="17" t="str">
        <f>AX420</f>
        <v>TRAPASTBUDMD</v>
      </c>
      <c r="AZ420" s="18">
        <v>2019</v>
      </c>
      <c r="BA420" s="18" t="s">
        <v>483</v>
      </c>
      <c r="BB420" s="18">
        <v>1</v>
      </c>
      <c r="BC420" s="20">
        <f>-SUMIFS('TRA RESID'!$P:$P,'TRA RESID'!$I:$I,AY420,'TRA RESID'!$J:$J,AV420,'TRA RESID'!$H:$H,AW420)/SUMIFS('TRA RESID'!$P:$P,'TRA RESID'!$I:$I,AY420)*BG420</f>
        <v>0</v>
      </c>
      <c r="BD420" s="18">
        <v>0</v>
      </c>
      <c r="BE420" s="18">
        <v>5</v>
      </c>
      <c r="BG420" s="21">
        <v>0.98</v>
      </c>
    </row>
    <row r="421" spans="1:59" x14ac:dyDescent="0.25">
      <c r="C421" s="15" t="str">
        <f>IF(C420="*",C420,"")</f>
        <v/>
      </c>
      <c r="D421" s="17" t="str">
        <f t="shared" ref="D421:G424" si="332">D420</f>
        <v>*ICEV*</v>
      </c>
      <c r="E421" s="17" t="str">
        <f t="shared" si="332"/>
        <v>TRADSL</v>
      </c>
      <c r="F421" s="17" t="str">
        <f t="shared" si="332"/>
        <v>TRAPASTBUDMD</v>
      </c>
      <c r="G421" s="17" t="str">
        <f t="shared" si="332"/>
        <v>TRAPASTBUDMD</v>
      </c>
      <c r="H421" s="18">
        <v>2025</v>
      </c>
      <c r="I421" s="18" t="str">
        <f>I420</f>
        <v>LO</v>
      </c>
      <c r="J421" s="18"/>
      <c r="K421" s="20">
        <f>-SUMIFS('TRA RESID'!$P:$P,'TRA RESID'!$I:$I,G421,'TRA RESID'!$J:$J,D421,'TRA RESID'!$H:$H,E421)/SUMIFS('TRA RESID'!$P:$P,'TRA RESID'!$I:$I,G421)*O421</f>
        <v>-0.70676197271418939</v>
      </c>
      <c r="L421" s="18"/>
      <c r="M421" s="18"/>
      <c r="O421" s="21">
        <v>0.8</v>
      </c>
      <c r="S421" s="15" t="str">
        <f>IF(S420="*",S420,"")</f>
        <v>*</v>
      </c>
      <c r="T421" s="17" t="str">
        <f t="shared" ref="T421:W424" si="333">T420</f>
        <v>*BEV*</v>
      </c>
      <c r="U421" s="17" t="str">
        <f t="shared" si="333"/>
        <v>TRADSL</v>
      </c>
      <c r="V421" s="17" t="str">
        <f t="shared" si="333"/>
        <v>TRAPASTBUDMD</v>
      </c>
      <c r="W421" s="17" t="str">
        <f t="shared" si="333"/>
        <v>TRAPASTBUDMD</v>
      </c>
      <c r="X421" s="18">
        <v>2025</v>
      </c>
      <c r="Y421" s="18" t="str">
        <f>Y420</f>
        <v>LO</v>
      </c>
      <c r="Z421" s="18"/>
      <c r="AA421" s="20">
        <f>-SUMIFS('TRA RESID'!$P:$P,'TRA RESID'!$I:$I,W421,'TRA RESID'!$J:$J,T421,'TRA RESID'!$H:$H,U421)/SUMIFS('TRA RESID'!$P:$P,'TRA RESID'!$I:$I,W421)*AE421</f>
        <v>0</v>
      </c>
      <c r="AB421" s="18"/>
      <c r="AC421" s="18"/>
      <c r="AE421" s="21">
        <v>1</v>
      </c>
      <c r="AG421" s="15" t="str">
        <f>IF(AG420="*",AG420,"")</f>
        <v>*</v>
      </c>
      <c r="AH421" s="17" t="str">
        <f t="shared" ref="AH421:AK424" si="334">AH420</f>
        <v>*HEV*</v>
      </c>
      <c r="AI421" s="17" t="str">
        <f t="shared" si="334"/>
        <v>TRADSL</v>
      </c>
      <c r="AJ421" s="17" t="str">
        <f t="shared" si="334"/>
        <v>TRAPASTBUDMD</v>
      </c>
      <c r="AK421" s="17" t="str">
        <f t="shared" si="334"/>
        <v>TRAPASTBUDMD</v>
      </c>
      <c r="AL421" s="18">
        <v>2025</v>
      </c>
      <c r="AM421" s="18" t="str">
        <f>AM420</f>
        <v>LO</v>
      </c>
      <c r="AN421" s="18"/>
      <c r="AO421" s="20">
        <f>-SUMIFS('TRA RESID'!$P:$P,'TRA RESID'!$I:$I,AK421,'TRA RESID'!$J:$J,AH421,'TRA RESID'!$H:$H,AI421)/SUMIFS('TRA RESID'!$P:$P,'TRA RESID'!$I:$I,AK421)*AS421</f>
        <v>0</v>
      </c>
      <c r="AP421" s="18"/>
      <c r="AQ421" s="18"/>
      <c r="AS421" s="21">
        <v>0.8</v>
      </c>
      <c r="AU421" s="15" t="str">
        <f>IF(AU420="*",AU420,"")</f>
        <v>*</v>
      </c>
      <c r="AV421" s="17" t="str">
        <f t="shared" ref="AV421:AY424" si="335">AV420</f>
        <v>*FCEV*</v>
      </c>
      <c r="AW421" s="17" t="str">
        <f t="shared" si="335"/>
        <v>TRADSL</v>
      </c>
      <c r="AX421" s="17" t="str">
        <f t="shared" si="335"/>
        <v>TRAPASTBUDMD</v>
      </c>
      <c r="AY421" s="17" t="str">
        <f t="shared" si="335"/>
        <v>TRAPASTBUDMD</v>
      </c>
      <c r="AZ421" s="18">
        <v>2025</v>
      </c>
      <c r="BA421" s="18" t="str">
        <f>BA420</f>
        <v>LO</v>
      </c>
      <c r="BB421" s="18"/>
      <c r="BC421" s="20">
        <f>-SUMIFS('TRA RESID'!$P:$P,'TRA RESID'!$I:$I,AY421,'TRA RESID'!$J:$J,AV421,'TRA RESID'!$H:$H,AW421)/SUMIFS('TRA RESID'!$P:$P,'TRA RESID'!$I:$I,AY421)*BG421</f>
        <v>0</v>
      </c>
      <c r="BD421" s="18"/>
      <c r="BE421" s="18"/>
      <c r="BG421" s="21">
        <v>0.8</v>
      </c>
    </row>
    <row r="422" spans="1:59" x14ac:dyDescent="0.25">
      <c r="C422" s="15" t="str">
        <f>IF(C421="*",C421,"")</f>
        <v/>
      </c>
      <c r="D422" s="17" t="str">
        <f t="shared" si="332"/>
        <v>*ICEV*</v>
      </c>
      <c r="E422" s="17" t="str">
        <f t="shared" si="332"/>
        <v>TRADSL</v>
      </c>
      <c r="F422" s="17" t="str">
        <f t="shared" si="332"/>
        <v>TRAPASTBUDMD</v>
      </c>
      <c r="G422" s="17" t="str">
        <f t="shared" si="332"/>
        <v>TRAPASTBUDMD</v>
      </c>
      <c r="H422" s="18">
        <v>2030</v>
      </c>
      <c r="I422" s="18" t="str">
        <f>I421</f>
        <v>LO</v>
      </c>
      <c r="J422" s="18"/>
      <c r="K422" s="20">
        <f>-SUMIFS('TRA RESID'!$P:$P,'TRA RESID'!$I:$I,G422,'TRA RESID'!$J:$J,D422,'TRA RESID'!$H:$H,E422)/SUMIFS('TRA RESID'!$P:$P,'TRA RESID'!$I:$I,G422)*O422</f>
        <v>-0.44172623294636831</v>
      </c>
      <c r="L422" s="18"/>
      <c r="M422" s="18"/>
      <c r="O422" s="21">
        <v>0.5</v>
      </c>
      <c r="S422" s="15" t="str">
        <f>IF(S421="*",S421,"")</f>
        <v>*</v>
      </c>
      <c r="T422" s="17" t="str">
        <f t="shared" si="333"/>
        <v>*BEV*</v>
      </c>
      <c r="U422" s="17" t="str">
        <f t="shared" si="333"/>
        <v>TRADSL</v>
      </c>
      <c r="V422" s="17" t="str">
        <f t="shared" si="333"/>
        <v>TRAPASTBUDMD</v>
      </c>
      <c r="W422" s="17" t="str">
        <f t="shared" si="333"/>
        <v>TRAPASTBUDMD</v>
      </c>
      <c r="X422" s="18">
        <v>2030</v>
      </c>
      <c r="Y422" s="18" t="str">
        <f>Y421</f>
        <v>LO</v>
      </c>
      <c r="Z422" s="18"/>
      <c r="AA422" s="20">
        <f>-SUMIFS('TRA RESID'!$P:$P,'TRA RESID'!$I:$I,W422,'TRA RESID'!$J:$J,T422,'TRA RESID'!$H:$H,U422)/SUMIFS('TRA RESID'!$P:$P,'TRA RESID'!$I:$I,W422)*AE422</f>
        <v>0</v>
      </c>
      <c r="AB422" s="18"/>
      <c r="AC422" s="18"/>
      <c r="AE422" s="21">
        <v>1</v>
      </c>
      <c r="AG422" s="15" t="str">
        <f>IF(AG421="*",AG421,"")</f>
        <v>*</v>
      </c>
      <c r="AH422" s="17" t="str">
        <f t="shared" si="334"/>
        <v>*HEV*</v>
      </c>
      <c r="AI422" s="17" t="str">
        <f t="shared" si="334"/>
        <v>TRADSL</v>
      </c>
      <c r="AJ422" s="17" t="str">
        <f t="shared" si="334"/>
        <v>TRAPASTBUDMD</v>
      </c>
      <c r="AK422" s="17" t="str">
        <f t="shared" si="334"/>
        <v>TRAPASTBUDMD</v>
      </c>
      <c r="AL422" s="18">
        <v>2030</v>
      </c>
      <c r="AM422" s="18" t="str">
        <f>AM421</f>
        <v>LO</v>
      </c>
      <c r="AN422" s="18"/>
      <c r="AO422" s="20">
        <f>-SUMIFS('TRA RESID'!$P:$P,'TRA RESID'!$I:$I,AK422,'TRA RESID'!$J:$J,AH422,'TRA RESID'!$H:$H,AI422)/SUMIFS('TRA RESID'!$P:$P,'TRA RESID'!$I:$I,AK422)*AS422</f>
        <v>0</v>
      </c>
      <c r="AP422" s="18"/>
      <c r="AQ422" s="18"/>
      <c r="AS422" s="21">
        <v>0.5</v>
      </c>
      <c r="AU422" s="15" t="str">
        <f>IF(AU421="*",AU421,"")</f>
        <v>*</v>
      </c>
      <c r="AV422" s="17" t="str">
        <f t="shared" si="335"/>
        <v>*FCEV*</v>
      </c>
      <c r="AW422" s="17" t="str">
        <f t="shared" si="335"/>
        <v>TRADSL</v>
      </c>
      <c r="AX422" s="17" t="str">
        <f t="shared" si="335"/>
        <v>TRAPASTBUDMD</v>
      </c>
      <c r="AY422" s="17" t="str">
        <f t="shared" si="335"/>
        <v>TRAPASTBUDMD</v>
      </c>
      <c r="AZ422" s="18">
        <v>2030</v>
      </c>
      <c r="BA422" s="18" t="str">
        <f>BA421</f>
        <v>LO</v>
      </c>
      <c r="BB422" s="18"/>
      <c r="BC422" s="20">
        <f>-SUMIFS('TRA RESID'!$P:$P,'TRA RESID'!$I:$I,AY422,'TRA RESID'!$J:$J,AV422,'TRA RESID'!$H:$H,AW422)/SUMIFS('TRA RESID'!$P:$P,'TRA RESID'!$I:$I,AY422)*BG422</f>
        <v>0</v>
      </c>
      <c r="BD422" s="18"/>
      <c r="BE422" s="18"/>
      <c r="BG422" s="21">
        <v>0.5</v>
      </c>
    </row>
    <row r="423" spans="1:59" x14ac:dyDescent="0.25">
      <c r="C423" s="15" t="str">
        <f>IF(C422="*",C422,"")</f>
        <v/>
      </c>
      <c r="D423" s="17" t="str">
        <f t="shared" si="332"/>
        <v>*ICEV*</v>
      </c>
      <c r="E423" s="17" t="str">
        <f t="shared" si="332"/>
        <v>TRADSL</v>
      </c>
      <c r="F423" s="17" t="str">
        <f t="shared" si="332"/>
        <v>TRAPASTBUDMD</v>
      </c>
      <c r="G423" s="17" t="str">
        <f t="shared" si="332"/>
        <v>TRAPASTBUDMD</v>
      </c>
      <c r="H423" s="18">
        <v>2040</v>
      </c>
      <c r="I423" s="18" t="str">
        <f>I422</f>
        <v>LO</v>
      </c>
      <c r="J423" s="18"/>
      <c r="K423" s="20">
        <f>-SUMIFS('TRA RESID'!$P:$P,'TRA RESID'!$I:$I,G423,'TRA RESID'!$J:$J,D423,'TRA RESID'!$H:$H,E423)/SUMIFS('TRA RESID'!$P:$P,'TRA RESID'!$I:$I,G423)*O423</f>
        <v>0</v>
      </c>
      <c r="L423" s="18"/>
      <c r="M423" s="18"/>
      <c r="O423" s="21">
        <v>0</v>
      </c>
      <c r="S423" s="15" t="str">
        <f>IF(S422="*",S422,"")</f>
        <v>*</v>
      </c>
      <c r="T423" s="17" t="str">
        <f t="shared" si="333"/>
        <v>*BEV*</v>
      </c>
      <c r="U423" s="17" t="str">
        <f t="shared" si="333"/>
        <v>TRADSL</v>
      </c>
      <c r="V423" s="17" t="str">
        <f t="shared" si="333"/>
        <v>TRAPASTBUDMD</v>
      </c>
      <c r="W423" s="17" t="str">
        <f t="shared" si="333"/>
        <v>TRAPASTBUDMD</v>
      </c>
      <c r="X423" s="18">
        <v>2040</v>
      </c>
      <c r="Y423" s="18" t="str">
        <f>Y422</f>
        <v>LO</v>
      </c>
      <c r="Z423" s="18"/>
      <c r="AA423" s="20">
        <f>-SUMIFS('TRA RESID'!$P:$P,'TRA RESID'!$I:$I,W423,'TRA RESID'!$J:$J,T423,'TRA RESID'!$H:$H,U423)/SUMIFS('TRA RESID'!$P:$P,'TRA RESID'!$I:$I,W423)*AE423</f>
        <v>0</v>
      </c>
      <c r="AB423" s="18"/>
      <c r="AC423" s="18"/>
      <c r="AE423" s="21">
        <v>1</v>
      </c>
      <c r="AG423" s="15" t="str">
        <f>IF(AG422="*",AG422,"")</f>
        <v>*</v>
      </c>
      <c r="AH423" s="17" t="str">
        <f t="shared" si="334"/>
        <v>*HEV*</v>
      </c>
      <c r="AI423" s="17" t="str">
        <f t="shared" si="334"/>
        <v>TRADSL</v>
      </c>
      <c r="AJ423" s="17" t="str">
        <f t="shared" si="334"/>
        <v>TRAPASTBUDMD</v>
      </c>
      <c r="AK423" s="17" t="str">
        <f t="shared" si="334"/>
        <v>TRAPASTBUDMD</v>
      </c>
      <c r="AL423" s="18">
        <v>2040</v>
      </c>
      <c r="AM423" s="18" t="str">
        <f>AM422</f>
        <v>LO</v>
      </c>
      <c r="AN423" s="18"/>
      <c r="AO423" s="20">
        <f>-SUMIFS('TRA RESID'!$P:$P,'TRA RESID'!$I:$I,AK423,'TRA RESID'!$J:$J,AH423,'TRA RESID'!$H:$H,AI423)/SUMIFS('TRA RESID'!$P:$P,'TRA RESID'!$I:$I,AK423)*AS423</f>
        <v>0</v>
      </c>
      <c r="AP423" s="18"/>
      <c r="AQ423" s="18"/>
      <c r="AS423" s="21">
        <v>0</v>
      </c>
      <c r="AU423" s="15" t="str">
        <f>IF(AU422="*",AU422,"")</f>
        <v>*</v>
      </c>
      <c r="AV423" s="17" t="str">
        <f t="shared" si="335"/>
        <v>*FCEV*</v>
      </c>
      <c r="AW423" s="17" t="str">
        <f t="shared" si="335"/>
        <v>TRADSL</v>
      </c>
      <c r="AX423" s="17" t="str">
        <f t="shared" si="335"/>
        <v>TRAPASTBUDMD</v>
      </c>
      <c r="AY423" s="17" t="str">
        <f t="shared" si="335"/>
        <v>TRAPASTBUDMD</v>
      </c>
      <c r="AZ423" s="18">
        <v>2040</v>
      </c>
      <c r="BA423" s="18" t="str">
        <f>BA422</f>
        <v>LO</v>
      </c>
      <c r="BB423" s="18"/>
      <c r="BC423" s="20">
        <f>-SUMIFS('TRA RESID'!$P:$P,'TRA RESID'!$I:$I,AY423,'TRA RESID'!$J:$J,AV423,'TRA RESID'!$H:$H,AW423)/SUMIFS('TRA RESID'!$P:$P,'TRA RESID'!$I:$I,AY423)*BG423</f>
        <v>0</v>
      </c>
      <c r="BD423" s="18"/>
      <c r="BE423" s="18"/>
      <c r="BG423" s="21">
        <v>0</v>
      </c>
    </row>
    <row r="424" spans="1:59" x14ac:dyDescent="0.25">
      <c r="C424" s="23" t="str">
        <f>IF(C423="*",C423,"")</f>
        <v/>
      </c>
      <c r="D424" s="25" t="str">
        <f t="shared" si="332"/>
        <v>*ICEV*</v>
      </c>
      <c r="E424" s="25" t="str">
        <f t="shared" si="332"/>
        <v>TRADSL</v>
      </c>
      <c r="F424" s="25" t="str">
        <f t="shared" si="332"/>
        <v>TRAPASTBUDMD</v>
      </c>
      <c r="G424" s="25" t="str">
        <f t="shared" si="332"/>
        <v>TRAPASTBUDMD</v>
      </c>
      <c r="H424" s="26">
        <v>2050</v>
      </c>
      <c r="I424" s="26" t="str">
        <f>I422</f>
        <v>LO</v>
      </c>
      <c r="J424" s="26"/>
      <c r="K424" s="27">
        <f>-SUMIFS('TRA RESID'!$P:$P,'TRA RESID'!$I:$I,G424,'TRA RESID'!$J:$J,D424,'TRA RESID'!$H:$H,E424)/SUMIFS('TRA RESID'!$P:$P,'TRA RESID'!$I:$I,G424)*O424</f>
        <v>0</v>
      </c>
      <c r="L424" s="26"/>
      <c r="M424" s="26"/>
      <c r="O424" s="28">
        <v>0</v>
      </c>
      <c r="S424" s="23" t="str">
        <f>IF(S423="*",S423,"")</f>
        <v>*</v>
      </c>
      <c r="T424" s="25" t="str">
        <f t="shared" si="333"/>
        <v>*BEV*</v>
      </c>
      <c r="U424" s="25" t="str">
        <f t="shared" si="333"/>
        <v>TRADSL</v>
      </c>
      <c r="V424" s="25" t="str">
        <f t="shared" si="333"/>
        <v>TRAPASTBUDMD</v>
      </c>
      <c r="W424" s="25" t="str">
        <f t="shared" si="333"/>
        <v>TRAPASTBUDMD</v>
      </c>
      <c r="X424" s="26">
        <v>2050</v>
      </c>
      <c r="Y424" s="26" t="str">
        <f>Y422</f>
        <v>LO</v>
      </c>
      <c r="Z424" s="26"/>
      <c r="AA424" s="27">
        <f>-SUMIFS('TRA RESID'!$P:$P,'TRA RESID'!$I:$I,W424,'TRA RESID'!$J:$J,T424,'TRA RESID'!$H:$H,U424)/SUMIFS('TRA RESID'!$P:$P,'TRA RESID'!$I:$I,W424)*AE424</f>
        <v>0</v>
      </c>
      <c r="AB424" s="26"/>
      <c r="AC424" s="26"/>
      <c r="AE424" s="28">
        <v>1</v>
      </c>
      <c r="AG424" s="23" t="str">
        <f>IF(AG423="*",AG423,"")</f>
        <v>*</v>
      </c>
      <c r="AH424" s="25" t="str">
        <f t="shared" si="334"/>
        <v>*HEV*</v>
      </c>
      <c r="AI424" s="25" t="str">
        <f t="shared" si="334"/>
        <v>TRADSL</v>
      </c>
      <c r="AJ424" s="25" t="str">
        <f t="shared" si="334"/>
        <v>TRAPASTBUDMD</v>
      </c>
      <c r="AK424" s="25" t="str">
        <f t="shared" si="334"/>
        <v>TRAPASTBUDMD</v>
      </c>
      <c r="AL424" s="26">
        <v>2050</v>
      </c>
      <c r="AM424" s="26" t="str">
        <f>AM422</f>
        <v>LO</v>
      </c>
      <c r="AN424" s="26"/>
      <c r="AO424" s="27">
        <f>-SUMIFS('TRA RESID'!$P:$P,'TRA RESID'!$I:$I,AK424,'TRA RESID'!$J:$J,AH424,'TRA RESID'!$H:$H,AI424)/SUMIFS('TRA RESID'!$P:$P,'TRA RESID'!$I:$I,AK424)*AS424</f>
        <v>0</v>
      </c>
      <c r="AP424" s="26"/>
      <c r="AQ424" s="26"/>
      <c r="AS424" s="28">
        <v>0</v>
      </c>
      <c r="AU424" s="23" t="str">
        <f>IF(AU423="*",AU423,"")</f>
        <v>*</v>
      </c>
      <c r="AV424" s="25" t="str">
        <f t="shared" si="335"/>
        <v>*FCEV*</v>
      </c>
      <c r="AW424" s="25" t="str">
        <f t="shared" si="335"/>
        <v>TRADSL</v>
      </c>
      <c r="AX424" s="25" t="str">
        <f t="shared" si="335"/>
        <v>TRAPASTBUDMD</v>
      </c>
      <c r="AY424" s="25" t="str">
        <f t="shared" si="335"/>
        <v>TRAPASTBUDMD</v>
      </c>
      <c r="AZ424" s="26">
        <v>2050</v>
      </c>
      <c r="BA424" s="26" t="str">
        <f>BA422</f>
        <v>LO</v>
      </c>
      <c r="BB424" s="26"/>
      <c r="BC424" s="27">
        <f>-SUMIFS('TRA RESID'!$P:$P,'TRA RESID'!$I:$I,AY424,'TRA RESID'!$J:$J,AV424,'TRA RESID'!$H:$H,AW424)/SUMIFS('TRA RESID'!$P:$P,'TRA RESID'!$I:$I,AY424)*BG424</f>
        <v>0</v>
      </c>
      <c r="BD424" s="26"/>
      <c r="BE424" s="26"/>
      <c r="BG424" s="28">
        <v>0</v>
      </c>
    </row>
    <row r="425" spans="1:59" x14ac:dyDescent="0.25">
      <c r="A425">
        <f>A420+1</f>
        <v>85</v>
      </c>
      <c r="C425" s="15" t="str">
        <f>IF(E425="","",IF(_xlfn.XLOOKUP($A425,Selected_constraint!$A:$A,Selected_constraint!$D:$D)=1,"*",IF(SUMIFS('TRA TECH'!$M:$M,'TRA TECH'!$H:$H,E425,'TRA TECH'!$I:$I,F425)=0,"*",IF(SUMIFS('TRA RESID'!$P:$P,'TRA RESID'!$I:$I,G425,'TRA RESID'!$J:$J,D425,'TRA RESID'!$H:$H,E425)=0,"*","UC_"&amp;SUBSTITUTE(D425,"*","")&amp;"_"&amp;RIGHT(E425,3)&amp;"_"&amp;F425))))</f>
        <v>*</v>
      </c>
      <c r="D425" s="17" t="s">
        <v>485</v>
      </c>
      <c r="E425" s="17" t="str">
        <f>_xlfn.XLOOKUP($A425,Selected_constraint!$A:$A,Selected_constraint!$B:$B)</f>
        <v>TRARDS</v>
      </c>
      <c r="F425" s="17" t="str">
        <f>_xlfn.XLOOKUP($A425,Selected_constraint!$A:$A,Selected_constraint!$C:$C)</f>
        <v>TRAPASTBUDMD</v>
      </c>
      <c r="G425" s="17" t="str">
        <f>F425</f>
        <v>TRAPASTBUDMD</v>
      </c>
      <c r="H425" s="18">
        <v>2019</v>
      </c>
      <c r="I425" s="18" t="s">
        <v>483</v>
      </c>
      <c r="J425" s="18">
        <v>1</v>
      </c>
      <c r="K425" s="20">
        <f>-SUMIFS('TRA RESID'!$P:$P,'TRA RESID'!$I:$I,G425,'TRA RESID'!$J:$J,D425,'TRA RESID'!$H:$H,E425)/SUMIFS('TRA RESID'!$P:$P,'TRA RESID'!$I:$I,G425)*O425</f>
        <v>0</v>
      </c>
      <c r="L425" s="18">
        <v>0</v>
      </c>
      <c r="M425" s="18">
        <v>5</v>
      </c>
      <c r="O425" s="21">
        <v>0.98</v>
      </c>
      <c r="Q425">
        <f>Q420+1</f>
        <v>85</v>
      </c>
      <c r="S425" s="15" t="str">
        <f>IF(SUMIFS('TRA RESID'!$P:$P,'TRA RESID'!$I:$I,W425,'TRA RESID'!$J:$J,T425,'TRA RESID'!$H:$H,U425)=0,"*","UC_"&amp;SUBSTITUTE(T425,"*","")&amp;"_"&amp;RIGHT(U425,3)&amp;"_"&amp;V425)</f>
        <v>*</v>
      </c>
      <c r="T425" s="17" t="s">
        <v>486</v>
      </c>
      <c r="U425" s="17" t="str">
        <f>_xlfn.XLOOKUP($A425,Selected_constraint!$A:$A,Selected_constraint!$B:$B)</f>
        <v>TRARDS</v>
      </c>
      <c r="V425" s="17" t="str">
        <f>_xlfn.XLOOKUP($A425,Selected_constraint!$A:$A,Selected_constraint!$C:$C)</f>
        <v>TRAPASTBUDMD</v>
      </c>
      <c r="W425" s="17" t="str">
        <f>V425</f>
        <v>TRAPASTBUDMD</v>
      </c>
      <c r="X425" s="18">
        <v>2019</v>
      </c>
      <c r="Y425" s="18" t="s">
        <v>483</v>
      </c>
      <c r="Z425" s="18">
        <v>1</v>
      </c>
      <c r="AA425" s="20">
        <f>-SUMIFS('TRA RESID'!$P:$P,'TRA RESID'!$I:$I,W425,'TRA RESID'!$J:$J,T425,'TRA RESID'!$H:$H,U425)/SUMIFS('TRA RESID'!$P:$P,'TRA RESID'!$I:$I,W425)*AE425</f>
        <v>0</v>
      </c>
      <c r="AB425" s="18">
        <v>0</v>
      </c>
      <c r="AC425" s="18">
        <v>5</v>
      </c>
      <c r="AE425" s="21">
        <v>0.98</v>
      </c>
      <c r="AG425" s="15" t="str">
        <f>IF(SUMIFS('TRA RESID'!$P:$P,'TRA RESID'!$I:$I,AK425,'TRA RESID'!$J:$J,AH425,'TRA RESID'!$H:$H,AI425)=0,"*","UC_"&amp;SUBSTITUTE(AH425,"*","")&amp;"_"&amp;RIGHT(AI425,3)&amp;"_"&amp;AJ425)</f>
        <v>*</v>
      </c>
      <c r="AH425" s="17" t="s">
        <v>487</v>
      </c>
      <c r="AI425" s="17" t="str">
        <f>_xlfn.XLOOKUP($A425,Selected_constraint!$A:$A,Selected_constraint!$B:$B)</f>
        <v>TRARDS</v>
      </c>
      <c r="AJ425" s="17" t="str">
        <f>_xlfn.XLOOKUP($A425,Selected_constraint!$A:$A,Selected_constraint!$C:$C)</f>
        <v>TRAPASTBUDMD</v>
      </c>
      <c r="AK425" s="17" t="str">
        <f>AJ425</f>
        <v>TRAPASTBUDMD</v>
      </c>
      <c r="AL425" s="18">
        <v>2019</v>
      </c>
      <c r="AM425" s="18" t="s">
        <v>483</v>
      </c>
      <c r="AN425" s="18">
        <v>1</v>
      </c>
      <c r="AO425" s="20">
        <f>-SUMIFS('TRA RESID'!$P:$P,'TRA RESID'!$I:$I,AK425,'TRA RESID'!$J:$J,AH425,'TRA RESID'!$H:$H,AI425)/SUMIFS('TRA RESID'!$P:$P,'TRA RESID'!$I:$I,AK425)*AS425</f>
        <v>0</v>
      </c>
      <c r="AP425" s="18">
        <v>0</v>
      </c>
      <c r="AQ425" s="18">
        <v>5</v>
      </c>
      <c r="AS425" s="21">
        <v>0.98</v>
      </c>
      <c r="AU425" s="15" t="str">
        <f>IF(SUMIFS('TRA RESID'!$P:$P,'TRA RESID'!$I:$I,AY425,'TRA RESID'!$J:$J,AV425,'TRA RESID'!$H:$H,AW425)=0,"*","UC_"&amp;SUBSTITUTE(AV425,"*","")&amp;"_"&amp;RIGHT(AW425,3)&amp;"_"&amp;AX425)</f>
        <v>*</v>
      </c>
      <c r="AV425" s="17" t="s">
        <v>488</v>
      </c>
      <c r="AW425" s="17" t="str">
        <f>_xlfn.XLOOKUP($A425,Selected_constraint!$A:$A,Selected_constraint!$B:$B)</f>
        <v>TRARDS</v>
      </c>
      <c r="AX425" s="17" t="str">
        <f>_xlfn.XLOOKUP($A425,Selected_constraint!$A:$A,Selected_constraint!$C:$C)</f>
        <v>TRAPASTBUDMD</v>
      </c>
      <c r="AY425" s="17" t="str">
        <f>AX425</f>
        <v>TRAPASTBUDMD</v>
      </c>
      <c r="AZ425" s="18">
        <v>2019</v>
      </c>
      <c r="BA425" s="18" t="s">
        <v>483</v>
      </c>
      <c r="BB425" s="18">
        <v>1</v>
      </c>
      <c r="BC425" s="20">
        <f>-SUMIFS('TRA RESID'!$P:$P,'TRA RESID'!$I:$I,AY425,'TRA RESID'!$J:$J,AV425,'TRA RESID'!$H:$H,AW425)/SUMIFS('TRA RESID'!$P:$P,'TRA RESID'!$I:$I,AY425)*BG425</f>
        <v>0</v>
      </c>
      <c r="BD425" s="18">
        <v>0</v>
      </c>
      <c r="BE425" s="18">
        <v>5</v>
      </c>
      <c r="BG425" s="21">
        <v>0.98</v>
      </c>
    </row>
    <row r="426" spans="1:59" x14ac:dyDescent="0.25">
      <c r="C426" s="15" t="str">
        <f>IF(C425="*",C425,"")</f>
        <v>*</v>
      </c>
      <c r="D426" s="17" t="str">
        <f t="shared" ref="D426:G429" si="336">D425</f>
        <v>*ICEV*</v>
      </c>
      <c r="E426" s="17" t="str">
        <f t="shared" si="336"/>
        <v>TRARDS</v>
      </c>
      <c r="F426" s="17" t="str">
        <f t="shared" si="336"/>
        <v>TRAPASTBUDMD</v>
      </c>
      <c r="G426" s="17" t="str">
        <f t="shared" si="336"/>
        <v>TRAPASTBUDMD</v>
      </c>
      <c r="H426" s="18">
        <v>2025</v>
      </c>
      <c r="I426" s="18" t="str">
        <f>I425</f>
        <v>LO</v>
      </c>
      <c r="J426" s="18"/>
      <c r="K426" s="20">
        <f>-SUMIFS('TRA RESID'!$P:$P,'TRA RESID'!$I:$I,G426,'TRA RESID'!$J:$J,D426,'TRA RESID'!$H:$H,E426)/SUMIFS('TRA RESID'!$P:$P,'TRA RESID'!$I:$I,G426)*O426</f>
        <v>0</v>
      </c>
      <c r="L426" s="18"/>
      <c r="M426" s="18"/>
      <c r="O426" s="21">
        <v>0.8</v>
      </c>
      <c r="S426" s="15" t="str">
        <f>IF(S425="*",S425,"")</f>
        <v>*</v>
      </c>
      <c r="T426" s="17" t="str">
        <f t="shared" ref="T426:W429" si="337">T425</f>
        <v>*BEV*</v>
      </c>
      <c r="U426" s="17" t="str">
        <f t="shared" si="337"/>
        <v>TRARDS</v>
      </c>
      <c r="V426" s="17" t="str">
        <f t="shared" si="337"/>
        <v>TRAPASTBUDMD</v>
      </c>
      <c r="W426" s="17" t="str">
        <f t="shared" si="337"/>
        <v>TRAPASTBUDMD</v>
      </c>
      <c r="X426" s="18">
        <v>2025</v>
      </c>
      <c r="Y426" s="18" t="str">
        <f>Y425</f>
        <v>LO</v>
      </c>
      <c r="Z426" s="18"/>
      <c r="AA426" s="20">
        <f>-SUMIFS('TRA RESID'!$P:$P,'TRA RESID'!$I:$I,W426,'TRA RESID'!$J:$J,T426,'TRA RESID'!$H:$H,U426)/SUMIFS('TRA RESID'!$P:$P,'TRA RESID'!$I:$I,W426)*AE426</f>
        <v>0</v>
      </c>
      <c r="AB426" s="18"/>
      <c r="AC426" s="18"/>
      <c r="AE426" s="21">
        <v>1</v>
      </c>
      <c r="AG426" s="15" t="str">
        <f>IF(AG425="*",AG425,"")</f>
        <v>*</v>
      </c>
      <c r="AH426" s="17" t="str">
        <f t="shared" ref="AH426:AK429" si="338">AH425</f>
        <v>*HEV*</v>
      </c>
      <c r="AI426" s="17" t="str">
        <f t="shared" si="338"/>
        <v>TRARDS</v>
      </c>
      <c r="AJ426" s="17" t="str">
        <f t="shared" si="338"/>
        <v>TRAPASTBUDMD</v>
      </c>
      <c r="AK426" s="17" t="str">
        <f t="shared" si="338"/>
        <v>TRAPASTBUDMD</v>
      </c>
      <c r="AL426" s="18">
        <v>2025</v>
      </c>
      <c r="AM426" s="18" t="str">
        <f>AM425</f>
        <v>LO</v>
      </c>
      <c r="AN426" s="18"/>
      <c r="AO426" s="20">
        <f>-SUMIFS('TRA RESID'!$P:$P,'TRA RESID'!$I:$I,AK426,'TRA RESID'!$J:$J,AH426,'TRA RESID'!$H:$H,AI426)/SUMIFS('TRA RESID'!$P:$P,'TRA RESID'!$I:$I,AK426)*AS426</f>
        <v>0</v>
      </c>
      <c r="AP426" s="18"/>
      <c r="AQ426" s="18"/>
      <c r="AS426" s="21">
        <v>0.8</v>
      </c>
      <c r="AU426" s="15" t="str">
        <f>IF(AU425="*",AU425,"")</f>
        <v>*</v>
      </c>
      <c r="AV426" s="17" t="str">
        <f t="shared" ref="AV426:AY429" si="339">AV425</f>
        <v>*FCEV*</v>
      </c>
      <c r="AW426" s="17" t="str">
        <f t="shared" si="339"/>
        <v>TRARDS</v>
      </c>
      <c r="AX426" s="17" t="str">
        <f t="shared" si="339"/>
        <v>TRAPASTBUDMD</v>
      </c>
      <c r="AY426" s="17" t="str">
        <f t="shared" si="339"/>
        <v>TRAPASTBUDMD</v>
      </c>
      <c r="AZ426" s="18">
        <v>2025</v>
      </c>
      <c r="BA426" s="18" t="str">
        <f>BA425</f>
        <v>LO</v>
      </c>
      <c r="BB426" s="18"/>
      <c r="BC426" s="20">
        <f>-SUMIFS('TRA RESID'!$P:$P,'TRA RESID'!$I:$I,AY426,'TRA RESID'!$J:$J,AV426,'TRA RESID'!$H:$H,AW426)/SUMIFS('TRA RESID'!$P:$P,'TRA RESID'!$I:$I,AY426)*BG426</f>
        <v>0</v>
      </c>
      <c r="BD426" s="18"/>
      <c r="BE426" s="18"/>
      <c r="BG426" s="21">
        <v>0.8</v>
      </c>
    </row>
    <row r="427" spans="1:59" x14ac:dyDescent="0.25">
      <c r="C427" s="15" t="str">
        <f>IF(C426="*",C426,"")</f>
        <v>*</v>
      </c>
      <c r="D427" s="17" t="str">
        <f t="shared" si="336"/>
        <v>*ICEV*</v>
      </c>
      <c r="E427" s="17" t="str">
        <f t="shared" si="336"/>
        <v>TRARDS</v>
      </c>
      <c r="F427" s="17" t="str">
        <f t="shared" si="336"/>
        <v>TRAPASTBUDMD</v>
      </c>
      <c r="G427" s="17" t="str">
        <f t="shared" si="336"/>
        <v>TRAPASTBUDMD</v>
      </c>
      <c r="H427" s="18">
        <v>2030</v>
      </c>
      <c r="I427" s="18" t="str">
        <f>I426</f>
        <v>LO</v>
      </c>
      <c r="J427" s="18"/>
      <c r="K427" s="20">
        <f>-SUMIFS('TRA RESID'!$P:$P,'TRA RESID'!$I:$I,G427,'TRA RESID'!$J:$J,D427,'TRA RESID'!$H:$H,E427)/SUMIFS('TRA RESID'!$P:$P,'TRA RESID'!$I:$I,G427)*O427</f>
        <v>0</v>
      </c>
      <c r="L427" s="18"/>
      <c r="M427" s="18"/>
      <c r="O427" s="21">
        <v>0.5</v>
      </c>
      <c r="S427" s="15" t="str">
        <f>IF(S426="*",S426,"")</f>
        <v>*</v>
      </c>
      <c r="T427" s="17" t="str">
        <f t="shared" si="337"/>
        <v>*BEV*</v>
      </c>
      <c r="U427" s="17" t="str">
        <f t="shared" si="337"/>
        <v>TRARDS</v>
      </c>
      <c r="V427" s="17" t="str">
        <f t="shared" si="337"/>
        <v>TRAPASTBUDMD</v>
      </c>
      <c r="W427" s="17" t="str">
        <f t="shared" si="337"/>
        <v>TRAPASTBUDMD</v>
      </c>
      <c r="X427" s="18">
        <v>2030</v>
      </c>
      <c r="Y427" s="18" t="str">
        <f>Y426</f>
        <v>LO</v>
      </c>
      <c r="Z427" s="18"/>
      <c r="AA427" s="20">
        <f>-SUMIFS('TRA RESID'!$P:$P,'TRA RESID'!$I:$I,W427,'TRA RESID'!$J:$J,T427,'TRA RESID'!$H:$H,U427)/SUMIFS('TRA RESID'!$P:$P,'TRA RESID'!$I:$I,W427)*AE427</f>
        <v>0</v>
      </c>
      <c r="AB427" s="18"/>
      <c r="AC427" s="18"/>
      <c r="AE427" s="21">
        <v>1</v>
      </c>
      <c r="AG427" s="15" t="str">
        <f>IF(AG426="*",AG426,"")</f>
        <v>*</v>
      </c>
      <c r="AH427" s="17" t="str">
        <f t="shared" si="338"/>
        <v>*HEV*</v>
      </c>
      <c r="AI427" s="17" t="str">
        <f t="shared" si="338"/>
        <v>TRARDS</v>
      </c>
      <c r="AJ427" s="17" t="str">
        <f t="shared" si="338"/>
        <v>TRAPASTBUDMD</v>
      </c>
      <c r="AK427" s="17" t="str">
        <f t="shared" si="338"/>
        <v>TRAPASTBUDMD</v>
      </c>
      <c r="AL427" s="18">
        <v>2030</v>
      </c>
      <c r="AM427" s="18" t="str">
        <f>AM426</f>
        <v>LO</v>
      </c>
      <c r="AN427" s="18"/>
      <c r="AO427" s="20">
        <f>-SUMIFS('TRA RESID'!$P:$P,'TRA RESID'!$I:$I,AK427,'TRA RESID'!$J:$J,AH427,'TRA RESID'!$H:$H,AI427)/SUMIFS('TRA RESID'!$P:$P,'TRA RESID'!$I:$I,AK427)*AS427</f>
        <v>0</v>
      </c>
      <c r="AP427" s="18"/>
      <c r="AQ427" s="18"/>
      <c r="AS427" s="21">
        <v>0.5</v>
      </c>
      <c r="AU427" s="15" t="str">
        <f>IF(AU426="*",AU426,"")</f>
        <v>*</v>
      </c>
      <c r="AV427" s="17" t="str">
        <f t="shared" si="339"/>
        <v>*FCEV*</v>
      </c>
      <c r="AW427" s="17" t="str">
        <f t="shared" si="339"/>
        <v>TRARDS</v>
      </c>
      <c r="AX427" s="17" t="str">
        <f t="shared" si="339"/>
        <v>TRAPASTBUDMD</v>
      </c>
      <c r="AY427" s="17" t="str">
        <f t="shared" si="339"/>
        <v>TRAPASTBUDMD</v>
      </c>
      <c r="AZ427" s="18">
        <v>2030</v>
      </c>
      <c r="BA427" s="18" t="str">
        <f>BA426</f>
        <v>LO</v>
      </c>
      <c r="BB427" s="18"/>
      <c r="BC427" s="20">
        <f>-SUMIFS('TRA RESID'!$P:$P,'TRA RESID'!$I:$I,AY427,'TRA RESID'!$J:$J,AV427,'TRA RESID'!$H:$H,AW427)/SUMIFS('TRA RESID'!$P:$P,'TRA RESID'!$I:$I,AY427)*BG427</f>
        <v>0</v>
      </c>
      <c r="BD427" s="18"/>
      <c r="BE427" s="18"/>
      <c r="BG427" s="21">
        <v>0.5</v>
      </c>
    </row>
    <row r="428" spans="1:59" x14ac:dyDescent="0.25">
      <c r="C428" s="15" t="str">
        <f>IF(C427="*",C427,"")</f>
        <v>*</v>
      </c>
      <c r="D428" s="17" t="str">
        <f t="shared" si="336"/>
        <v>*ICEV*</v>
      </c>
      <c r="E428" s="17" t="str">
        <f t="shared" si="336"/>
        <v>TRARDS</v>
      </c>
      <c r="F428" s="17" t="str">
        <f t="shared" si="336"/>
        <v>TRAPASTBUDMD</v>
      </c>
      <c r="G428" s="17" t="str">
        <f t="shared" si="336"/>
        <v>TRAPASTBUDMD</v>
      </c>
      <c r="H428" s="18">
        <v>2040</v>
      </c>
      <c r="I428" s="18" t="str">
        <f>I427</f>
        <v>LO</v>
      </c>
      <c r="J428" s="18"/>
      <c r="K428" s="20">
        <f>-SUMIFS('TRA RESID'!$P:$P,'TRA RESID'!$I:$I,G428,'TRA RESID'!$J:$J,D428,'TRA RESID'!$H:$H,E428)/SUMIFS('TRA RESID'!$P:$P,'TRA RESID'!$I:$I,G428)*O428</f>
        <v>0</v>
      </c>
      <c r="L428" s="18"/>
      <c r="M428" s="18"/>
      <c r="O428" s="21">
        <v>0</v>
      </c>
      <c r="S428" s="15" t="str">
        <f>IF(S427="*",S427,"")</f>
        <v>*</v>
      </c>
      <c r="T428" s="17" t="str">
        <f t="shared" si="337"/>
        <v>*BEV*</v>
      </c>
      <c r="U428" s="17" t="str">
        <f t="shared" si="337"/>
        <v>TRARDS</v>
      </c>
      <c r="V428" s="17" t="str">
        <f t="shared" si="337"/>
        <v>TRAPASTBUDMD</v>
      </c>
      <c r="W428" s="17" t="str">
        <f t="shared" si="337"/>
        <v>TRAPASTBUDMD</v>
      </c>
      <c r="X428" s="18">
        <v>2040</v>
      </c>
      <c r="Y428" s="18" t="str">
        <f>Y427</f>
        <v>LO</v>
      </c>
      <c r="Z428" s="18"/>
      <c r="AA428" s="20">
        <f>-SUMIFS('TRA RESID'!$P:$P,'TRA RESID'!$I:$I,W428,'TRA RESID'!$J:$J,T428,'TRA RESID'!$H:$H,U428)/SUMIFS('TRA RESID'!$P:$P,'TRA RESID'!$I:$I,W428)*AE428</f>
        <v>0</v>
      </c>
      <c r="AB428" s="18"/>
      <c r="AC428" s="18"/>
      <c r="AE428" s="21">
        <v>1</v>
      </c>
      <c r="AG428" s="15" t="str">
        <f>IF(AG427="*",AG427,"")</f>
        <v>*</v>
      </c>
      <c r="AH428" s="17" t="str">
        <f t="shared" si="338"/>
        <v>*HEV*</v>
      </c>
      <c r="AI428" s="17" t="str">
        <f t="shared" si="338"/>
        <v>TRARDS</v>
      </c>
      <c r="AJ428" s="17" t="str">
        <f t="shared" si="338"/>
        <v>TRAPASTBUDMD</v>
      </c>
      <c r="AK428" s="17" t="str">
        <f t="shared" si="338"/>
        <v>TRAPASTBUDMD</v>
      </c>
      <c r="AL428" s="18">
        <v>2040</v>
      </c>
      <c r="AM428" s="18" t="str">
        <f>AM427</f>
        <v>LO</v>
      </c>
      <c r="AN428" s="18"/>
      <c r="AO428" s="20">
        <f>-SUMIFS('TRA RESID'!$P:$P,'TRA RESID'!$I:$I,AK428,'TRA RESID'!$J:$J,AH428,'TRA RESID'!$H:$H,AI428)/SUMIFS('TRA RESID'!$P:$P,'TRA RESID'!$I:$I,AK428)*AS428</f>
        <v>0</v>
      </c>
      <c r="AP428" s="18"/>
      <c r="AQ428" s="18"/>
      <c r="AS428" s="21">
        <v>0</v>
      </c>
      <c r="AU428" s="15" t="str">
        <f>IF(AU427="*",AU427,"")</f>
        <v>*</v>
      </c>
      <c r="AV428" s="17" t="str">
        <f t="shared" si="339"/>
        <v>*FCEV*</v>
      </c>
      <c r="AW428" s="17" t="str">
        <f t="shared" si="339"/>
        <v>TRARDS</v>
      </c>
      <c r="AX428" s="17" t="str">
        <f t="shared" si="339"/>
        <v>TRAPASTBUDMD</v>
      </c>
      <c r="AY428" s="17" t="str">
        <f t="shared" si="339"/>
        <v>TRAPASTBUDMD</v>
      </c>
      <c r="AZ428" s="18">
        <v>2040</v>
      </c>
      <c r="BA428" s="18" t="str">
        <f>BA427</f>
        <v>LO</v>
      </c>
      <c r="BB428" s="18"/>
      <c r="BC428" s="20">
        <f>-SUMIFS('TRA RESID'!$P:$P,'TRA RESID'!$I:$I,AY428,'TRA RESID'!$J:$J,AV428,'TRA RESID'!$H:$H,AW428)/SUMIFS('TRA RESID'!$P:$P,'TRA RESID'!$I:$I,AY428)*BG428</f>
        <v>0</v>
      </c>
      <c r="BD428" s="18"/>
      <c r="BE428" s="18"/>
      <c r="BG428" s="21">
        <v>0</v>
      </c>
    </row>
    <row r="429" spans="1:59" x14ac:dyDescent="0.25">
      <c r="C429" s="23" t="str">
        <f>IF(C428="*",C428,"")</f>
        <v>*</v>
      </c>
      <c r="D429" s="25" t="str">
        <f t="shared" si="336"/>
        <v>*ICEV*</v>
      </c>
      <c r="E429" s="25" t="str">
        <f t="shared" si="336"/>
        <v>TRARDS</v>
      </c>
      <c r="F429" s="25" t="str">
        <f t="shared" si="336"/>
        <v>TRAPASTBUDMD</v>
      </c>
      <c r="G429" s="25" t="str">
        <f t="shared" si="336"/>
        <v>TRAPASTBUDMD</v>
      </c>
      <c r="H429" s="26">
        <v>2050</v>
      </c>
      <c r="I429" s="26" t="str">
        <f>I427</f>
        <v>LO</v>
      </c>
      <c r="J429" s="26"/>
      <c r="K429" s="27">
        <f>-SUMIFS('TRA RESID'!$P:$P,'TRA RESID'!$I:$I,G429,'TRA RESID'!$J:$J,D429,'TRA RESID'!$H:$H,E429)/SUMIFS('TRA RESID'!$P:$P,'TRA RESID'!$I:$I,G429)*O429</f>
        <v>0</v>
      </c>
      <c r="L429" s="26"/>
      <c r="M429" s="26"/>
      <c r="O429" s="28">
        <v>0</v>
      </c>
      <c r="S429" s="23" t="str">
        <f>IF(S428="*",S428,"")</f>
        <v>*</v>
      </c>
      <c r="T429" s="25" t="str">
        <f t="shared" si="337"/>
        <v>*BEV*</v>
      </c>
      <c r="U429" s="25" t="str">
        <f t="shared" si="337"/>
        <v>TRARDS</v>
      </c>
      <c r="V429" s="25" t="str">
        <f t="shared" si="337"/>
        <v>TRAPASTBUDMD</v>
      </c>
      <c r="W429" s="25" t="str">
        <f t="shared" si="337"/>
        <v>TRAPASTBUDMD</v>
      </c>
      <c r="X429" s="26">
        <v>2050</v>
      </c>
      <c r="Y429" s="26" t="str">
        <f>Y427</f>
        <v>LO</v>
      </c>
      <c r="Z429" s="26"/>
      <c r="AA429" s="27">
        <f>-SUMIFS('TRA RESID'!$P:$P,'TRA RESID'!$I:$I,W429,'TRA RESID'!$J:$J,T429,'TRA RESID'!$H:$H,U429)/SUMIFS('TRA RESID'!$P:$P,'TRA RESID'!$I:$I,W429)*AE429</f>
        <v>0</v>
      </c>
      <c r="AB429" s="26"/>
      <c r="AC429" s="26"/>
      <c r="AE429" s="28">
        <v>1</v>
      </c>
      <c r="AG429" s="23" t="str">
        <f>IF(AG428="*",AG428,"")</f>
        <v>*</v>
      </c>
      <c r="AH429" s="25" t="str">
        <f t="shared" si="338"/>
        <v>*HEV*</v>
      </c>
      <c r="AI429" s="25" t="str">
        <f t="shared" si="338"/>
        <v>TRARDS</v>
      </c>
      <c r="AJ429" s="25" t="str">
        <f t="shared" si="338"/>
        <v>TRAPASTBUDMD</v>
      </c>
      <c r="AK429" s="25" t="str">
        <f t="shared" si="338"/>
        <v>TRAPASTBUDMD</v>
      </c>
      <c r="AL429" s="26">
        <v>2050</v>
      </c>
      <c r="AM429" s="26" t="str">
        <f>AM427</f>
        <v>LO</v>
      </c>
      <c r="AN429" s="26"/>
      <c r="AO429" s="27">
        <f>-SUMIFS('TRA RESID'!$P:$P,'TRA RESID'!$I:$I,AK429,'TRA RESID'!$J:$J,AH429,'TRA RESID'!$H:$H,AI429)/SUMIFS('TRA RESID'!$P:$P,'TRA RESID'!$I:$I,AK429)*AS429</f>
        <v>0</v>
      </c>
      <c r="AP429" s="26"/>
      <c r="AQ429" s="26"/>
      <c r="AS429" s="28">
        <v>0</v>
      </c>
      <c r="AU429" s="23" t="str">
        <f>IF(AU428="*",AU428,"")</f>
        <v>*</v>
      </c>
      <c r="AV429" s="25" t="str">
        <f t="shared" si="339"/>
        <v>*FCEV*</v>
      </c>
      <c r="AW429" s="25" t="str">
        <f t="shared" si="339"/>
        <v>TRARDS</v>
      </c>
      <c r="AX429" s="25" t="str">
        <f t="shared" si="339"/>
        <v>TRAPASTBUDMD</v>
      </c>
      <c r="AY429" s="25" t="str">
        <f t="shared" si="339"/>
        <v>TRAPASTBUDMD</v>
      </c>
      <c r="AZ429" s="26">
        <v>2050</v>
      </c>
      <c r="BA429" s="26" t="str">
        <f>BA427</f>
        <v>LO</v>
      </c>
      <c r="BB429" s="26"/>
      <c r="BC429" s="27">
        <f>-SUMIFS('TRA RESID'!$P:$P,'TRA RESID'!$I:$I,AY429,'TRA RESID'!$J:$J,AV429,'TRA RESID'!$H:$H,AW429)/SUMIFS('TRA RESID'!$P:$P,'TRA RESID'!$I:$I,AY429)*BG429</f>
        <v>0</v>
      </c>
      <c r="BD429" s="26"/>
      <c r="BE429" s="26"/>
      <c r="BG429" s="28">
        <v>0</v>
      </c>
    </row>
    <row r="430" spans="1:59" x14ac:dyDescent="0.25">
      <c r="A430">
        <f>A425+1</f>
        <v>86</v>
      </c>
      <c r="C430" s="15" t="str">
        <f>IF(E430="","",IF(_xlfn.XLOOKUP($A430,Selected_constraint!$A:$A,Selected_constraint!$D:$D)=1,"*",IF(SUMIFS('TRA TECH'!$M:$M,'TRA TECH'!$H:$H,E430,'TRA TECH'!$I:$I,F430)=0,"*",IF(SUMIFS('TRA RESID'!$P:$P,'TRA RESID'!$I:$I,G430,'TRA RESID'!$J:$J,D430,'TRA RESID'!$H:$H,E430)=0,"*","UC_"&amp;SUBSTITUTE(D430,"*","")&amp;"_"&amp;RIGHT(E430,3)&amp;"_"&amp;F430))))</f>
        <v>*</v>
      </c>
      <c r="D430" s="17" t="s">
        <v>485</v>
      </c>
      <c r="E430" s="17" t="str">
        <f>_xlfn.XLOOKUP($A430,Selected_constraint!$A:$A,Selected_constraint!$B:$B)</f>
        <v>TRABDS</v>
      </c>
      <c r="F430" s="17" t="str">
        <f>_xlfn.XLOOKUP($A430,Selected_constraint!$A:$A,Selected_constraint!$C:$C)</f>
        <v>TRAPASTBUDMD</v>
      </c>
      <c r="G430" s="17" t="str">
        <f>F430</f>
        <v>TRAPASTBUDMD</v>
      </c>
      <c r="H430" s="18">
        <v>2019</v>
      </c>
      <c r="I430" s="18" t="s">
        <v>483</v>
      </c>
      <c r="J430" s="18">
        <v>1</v>
      </c>
      <c r="K430" s="20">
        <f>-SUMIFS('TRA RESID'!$P:$P,'TRA RESID'!$I:$I,G430,'TRA RESID'!$J:$J,D430,'TRA RESID'!$H:$H,E430)/SUMIFS('TRA RESID'!$P:$P,'TRA RESID'!$I:$I,G430)*O430</f>
        <v>0</v>
      </c>
      <c r="L430" s="18">
        <v>0</v>
      </c>
      <c r="M430" s="18">
        <v>5</v>
      </c>
      <c r="O430" s="21">
        <v>0.98</v>
      </c>
      <c r="Q430">
        <f>Q425+1</f>
        <v>86</v>
      </c>
      <c r="S430" s="15" t="str">
        <f>IF(SUMIFS('TRA RESID'!$P:$P,'TRA RESID'!$I:$I,W430,'TRA RESID'!$J:$J,T430,'TRA RESID'!$H:$H,U430)=0,"*","UC_"&amp;SUBSTITUTE(T430,"*","")&amp;"_"&amp;RIGHT(U430,3)&amp;"_"&amp;V430)</f>
        <v>*</v>
      </c>
      <c r="T430" s="17" t="s">
        <v>486</v>
      </c>
      <c r="U430" s="17" t="str">
        <f>_xlfn.XLOOKUP($A430,Selected_constraint!$A:$A,Selected_constraint!$B:$B)</f>
        <v>TRABDS</v>
      </c>
      <c r="V430" s="17" t="str">
        <f>_xlfn.XLOOKUP($A430,Selected_constraint!$A:$A,Selected_constraint!$C:$C)</f>
        <v>TRAPASTBUDMD</v>
      </c>
      <c r="W430" s="17" t="str">
        <f>V430</f>
        <v>TRAPASTBUDMD</v>
      </c>
      <c r="X430" s="18">
        <v>2019</v>
      </c>
      <c r="Y430" s="18" t="s">
        <v>483</v>
      </c>
      <c r="Z430" s="18">
        <v>1</v>
      </c>
      <c r="AA430" s="20">
        <f>-SUMIFS('TRA RESID'!$P:$P,'TRA RESID'!$I:$I,W430,'TRA RESID'!$J:$J,T430,'TRA RESID'!$H:$H,U430)/SUMIFS('TRA RESID'!$P:$P,'TRA RESID'!$I:$I,W430)*AE430</f>
        <v>0</v>
      </c>
      <c r="AB430" s="18">
        <v>0</v>
      </c>
      <c r="AC430" s="18">
        <v>5</v>
      </c>
      <c r="AE430" s="21">
        <v>0.98</v>
      </c>
      <c r="AG430" s="15" t="str">
        <f>IF(SUMIFS('TRA RESID'!$P:$P,'TRA RESID'!$I:$I,AK430,'TRA RESID'!$J:$J,AH430,'TRA RESID'!$H:$H,AI430)=0,"*","UC_"&amp;SUBSTITUTE(AH430,"*","")&amp;"_"&amp;RIGHT(AI430,3)&amp;"_"&amp;AJ430)</f>
        <v>*</v>
      </c>
      <c r="AH430" s="17" t="s">
        <v>487</v>
      </c>
      <c r="AI430" s="17" t="str">
        <f>_xlfn.XLOOKUP($A430,Selected_constraint!$A:$A,Selected_constraint!$B:$B)</f>
        <v>TRABDS</v>
      </c>
      <c r="AJ430" s="17" t="str">
        <f>_xlfn.XLOOKUP($A430,Selected_constraint!$A:$A,Selected_constraint!$C:$C)</f>
        <v>TRAPASTBUDMD</v>
      </c>
      <c r="AK430" s="17" t="str">
        <f>AJ430</f>
        <v>TRAPASTBUDMD</v>
      </c>
      <c r="AL430" s="18">
        <v>2019</v>
      </c>
      <c r="AM430" s="18" t="s">
        <v>483</v>
      </c>
      <c r="AN430" s="18">
        <v>1</v>
      </c>
      <c r="AO430" s="20">
        <f>-SUMIFS('TRA RESID'!$P:$P,'TRA RESID'!$I:$I,AK430,'TRA RESID'!$J:$J,AH430,'TRA RESID'!$H:$H,AI430)/SUMIFS('TRA RESID'!$P:$P,'TRA RESID'!$I:$I,AK430)*AS430</f>
        <v>0</v>
      </c>
      <c r="AP430" s="18">
        <v>0</v>
      </c>
      <c r="AQ430" s="18">
        <v>5</v>
      </c>
      <c r="AS430" s="21">
        <v>0.98</v>
      </c>
      <c r="AU430" s="15" t="str">
        <f>IF(SUMIFS('TRA RESID'!$P:$P,'TRA RESID'!$I:$I,AY430,'TRA RESID'!$J:$J,AV430,'TRA RESID'!$H:$H,AW430)=0,"*","UC_"&amp;SUBSTITUTE(AV430,"*","")&amp;"_"&amp;RIGHT(AW430,3)&amp;"_"&amp;AX430)</f>
        <v>*</v>
      </c>
      <c r="AV430" s="17" t="s">
        <v>488</v>
      </c>
      <c r="AW430" s="17" t="str">
        <f>_xlfn.XLOOKUP($A430,Selected_constraint!$A:$A,Selected_constraint!$B:$B)</f>
        <v>TRABDS</v>
      </c>
      <c r="AX430" s="17" t="str">
        <f>_xlfn.XLOOKUP($A430,Selected_constraint!$A:$A,Selected_constraint!$C:$C)</f>
        <v>TRAPASTBUDMD</v>
      </c>
      <c r="AY430" s="17" t="str">
        <f>AX430</f>
        <v>TRAPASTBUDMD</v>
      </c>
      <c r="AZ430" s="18">
        <v>2019</v>
      </c>
      <c r="BA430" s="18" t="s">
        <v>483</v>
      </c>
      <c r="BB430" s="18">
        <v>1</v>
      </c>
      <c r="BC430" s="20">
        <f>-SUMIFS('TRA RESID'!$P:$P,'TRA RESID'!$I:$I,AY430,'TRA RESID'!$J:$J,AV430,'TRA RESID'!$H:$H,AW430)/SUMIFS('TRA RESID'!$P:$P,'TRA RESID'!$I:$I,AY430)*BG430</f>
        <v>0</v>
      </c>
      <c r="BD430" s="18">
        <v>0</v>
      </c>
      <c r="BE430" s="18">
        <v>5</v>
      </c>
      <c r="BG430" s="21">
        <v>0.98</v>
      </c>
    </row>
    <row r="431" spans="1:59" x14ac:dyDescent="0.25">
      <c r="C431" s="15" t="str">
        <f>IF(C430="*",C430,"")</f>
        <v>*</v>
      </c>
      <c r="D431" s="17" t="str">
        <f t="shared" ref="D431:G434" si="340">D430</f>
        <v>*ICEV*</v>
      </c>
      <c r="E431" s="17" t="str">
        <f t="shared" si="340"/>
        <v>TRABDS</v>
      </c>
      <c r="F431" s="17" t="str">
        <f t="shared" si="340"/>
        <v>TRAPASTBUDMD</v>
      </c>
      <c r="G431" s="17" t="str">
        <f t="shared" si="340"/>
        <v>TRAPASTBUDMD</v>
      </c>
      <c r="H431" s="18">
        <v>2025</v>
      </c>
      <c r="I431" s="18" t="str">
        <f>I430</f>
        <v>LO</v>
      </c>
      <c r="J431" s="18"/>
      <c r="K431" s="20">
        <f>-SUMIFS('TRA RESID'!$P:$P,'TRA RESID'!$I:$I,G431,'TRA RESID'!$J:$J,D431,'TRA RESID'!$H:$H,E431)/SUMIFS('TRA RESID'!$P:$P,'TRA RESID'!$I:$I,G431)*O431</f>
        <v>0</v>
      </c>
      <c r="L431" s="18"/>
      <c r="M431" s="18"/>
      <c r="O431" s="21">
        <v>0.8</v>
      </c>
      <c r="S431" s="15" t="str">
        <f>IF(S430="*",S430,"")</f>
        <v>*</v>
      </c>
      <c r="T431" s="17" t="str">
        <f t="shared" ref="T431:W434" si="341">T430</f>
        <v>*BEV*</v>
      </c>
      <c r="U431" s="17" t="str">
        <f t="shared" si="341"/>
        <v>TRABDS</v>
      </c>
      <c r="V431" s="17" t="str">
        <f t="shared" si="341"/>
        <v>TRAPASTBUDMD</v>
      </c>
      <c r="W431" s="17" t="str">
        <f t="shared" si="341"/>
        <v>TRAPASTBUDMD</v>
      </c>
      <c r="X431" s="18">
        <v>2025</v>
      </c>
      <c r="Y431" s="18" t="str">
        <f>Y430</f>
        <v>LO</v>
      </c>
      <c r="Z431" s="18"/>
      <c r="AA431" s="20">
        <f>-SUMIFS('TRA RESID'!$P:$P,'TRA RESID'!$I:$I,W431,'TRA RESID'!$J:$J,T431,'TRA RESID'!$H:$H,U431)/SUMIFS('TRA RESID'!$P:$P,'TRA RESID'!$I:$I,W431)*AE431</f>
        <v>0</v>
      </c>
      <c r="AB431" s="18"/>
      <c r="AC431" s="18"/>
      <c r="AE431" s="21">
        <v>1</v>
      </c>
      <c r="AG431" s="15" t="str">
        <f>IF(AG430="*",AG430,"")</f>
        <v>*</v>
      </c>
      <c r="AH431" s="17" t="str">
        <f t="shared" ref="AH431:AK434" si="342">AH430</f>
        <v>*HEV*</v>
      </c>
      <c r="AI431" s="17" t="str">
        <f t="shared" si="342"/>
        <v>TRABDS</v>
      </c>
      <c r="AJ431" s="17" t="str">
        <f t="shared" si="342"/>
        <v>TRAPASTBUDMD</v>
      </c>
      <c r="AK431" s="17" t="str">
        <f t="shared" si="342"/>
        <v>TRAPASTBUDMD</v>
      </c>
      <c r="AL431" s="18">
        <v>2025</v>
      </c>
      <c r="AM431" s="18" t="str">
        <f>AM430</f>
        <v>LO</v>
      </c>
      <c r="AN431" s="18"/>
      <c r="AO431" s="20">
        <f>-SUMIFS('TRA RESID'!$P:$P,'TRA RESID'!$I:$I,AK431,'TRA RESID'!$J:$J,AH431,'TRA RESID'!$H:$H,AI431)/SUMIFS('TRA RESID'!$P:$P,'TRA RESID'!$I:$I,AK431)*AS431</f>
        <v>0</v>
      </c>
      <c r="AP431" s="18"/>
      <c r="AQ431" s="18"/>
      <c r="AS431" s="21">
        <v>0.8</v>
      </c>
      <c r="AU431" s="15" t="str">
        <f>IF(AU430="*",AU430,"")</f>
        <v>*</v>
      </c>
      <c r="AV431" s="17" t="str">
        <f t="shared" ref="AV431:AY434" si="343">AV430</f>
        <v>*FCEV*</v>
      </c>
      <c r="AW431" s="17" t="str">
        <f t="shared" si="343"/>
        <v>TRABDS</v>
      </c>
      <c r="AX431" s="17" t="str">
        <f t="shared" si="343"/>
        <v>TRAPASTBUDMD</v>
      </c>
      <c r="AY431" s="17" t="str">
        <f t="shared" si="343"/>
        <v>TRAPASTBUDMD</v>
      </c>
      <c r="AZ431" s="18">
        <v>2025</v>
      </c>
      <c r="BA431" s="18" t="str">
        <f>BA430</f>
        <v>LO</v>
      </c>
      <c r="BB431" s="18"/>
      <c r="BC431" s="20">
        <f>-SUMIFS('TRA RESID'!$P:$P,'TRA RESID'!$I:$I,AY431,'TRA RESID'!$J:$J,AV431,'TRA RESID'!$H:$H,AW431)/SUMIFS('TRA RESID'!$P:$P,'TRA RESID'!$I:$I,AY431)*BG431</f>
        <v>0</v>
      </c>
      <c r="BD431" s="18"/>
      <c r="BE431" s="18"/>
      <c r="BG431" s="21">
        <v>0.8</v>
      </c>
    </row>
    <row r="432" spans="1:59" x14ac:dyDescent="0.25">
      <c r="C432" s="15" t="str">
        <f>IF(C431="*",C431,"")</f>
        <v>*</v>
      </c>
      <c r="D432" s="17" t="str">
        <f t="shared" si="340"/>
        <v>*ICEV*</v>
      </c>
      <c r="E432" s="17" t="str">
        <f t="shared" si="340"/>
        <v>TRABDS</v>
      </c>
      <c r="F432" s="17" t="str">
        <f t="shared" si="340"/>
        <v>TRAPASTBUDMD</v>
      </c>
      <c r="G432" s="17" t="str">
        <f t="shared" si="340"/>
        <v>TRAPASTBUDMD</v>
      </c>
      <c r="H432" s="18">
        <v>2030</v>
      </c>
      <c r="I432" s="18" t="str">
        <f>I431</f>
        <v>LO</v>
      </c>
      <c r="J432" s="18"/>
      <c r="K432" s="20">
        <f>-SUMIFS('TRA RESID'!$P:$P,'TRA RESID'!$I:$I,G432,'TRA RESID'!$J:$J,D432,'TRA RESID'!$H:$H,E432)/SUMIFS('TRA RESID'!$P:$P,'TRA RESID'!$I:$I,G432)*O432</f>
        <v>0</v>
      </c>
      <c r="L432" s="18"/>
      <c r="M432" s="18"/>
      <c r="O432" s="21">
        <v>0.5</v>
      </c>
      <c r="S432" s="15" t="str">
        <f>IF(S431="*",S431,"")</f>
        <v>*</v>
      </c>
      <c r="T432" s="17" t="str">
        <f t="shared" si="341"/>
        <v>*BEV*</v>
      </c>
      <c r="U432" s="17" t="str">
        <f t="shared" si="341"/>
        <v>TRABDS</v>
      </c>
      <c r="V432" s="17" t="str">
        <f t="shared" si="341"/>
        <v>TRAPASTBUDMD</v>
      </c>
      <c r="W432" s="17" t="str">
        <f t="shared" si="341"/>
        <v>TRAPASTBUDMD</v>
      </c>
      <c r="X432" s="18">
        <v>2030</v>
      </c>
      <c r="Y432" s="18" t="str">
        <f>Y431</f>
        <v>LO</v>
      </c>
      <c r="Z432" s="18"/>
      <c r="AA432" s="20">
        <f>-SUMIFS('TRA RESID'!$P:$P,'TRA RESID'!$I:$I,W432,'TRA RESID'!$J:$J,T432,'TRA RESID'!$H:$H,U432)/SUMIFS('TRA RESID'!$P:$P,'TRA RESID'!$I:$I,W432)*AE432</f>
        <v>0</v>
      </c>
      <c r="AB432" s="18"/>
      <c r="AC432" s="18"/>
      <c r="AE432" s="21">
        <v>1</v>
      </c>
      <c r="AG432" s="15" t="str">
        <f>IF(AG431="*",AG431,"")</f>
        <v>*</v>
      </c>
      <c r="AH432" s="17" t="str">
        <f t="shared" si="342"/>
        <v>*HEV*</v>
      </c>
      <c r="AI432" s="17" t="str">
        <f t="shared" si="342"/>
        <v>TRABDS</v>
      </c>
      <c r="AJ432" s="17" t="str">
        <f t="shared" si="342"/>
        <v>TRAPASTBUDMD</v>
      </c>
      <c r="AK432" s="17" t="str">
        <f t="shared" si="342"/>
        <v>TRAPASTBUDMD</v>
      </c>
      <c r="AL432" s="18">
        <v>2030</v>
      </c>
      <c r="AM432" s="18" t="str">
        <f>AM431</f>
        <v>LO</v>
      </c>
      <c r="AN432" s="18"/>
      <c r="AO432" s="20">
        <f>-SUMIFS('TRA RESID'!$P:$P,'TRA RESID'!$I:$I,AK432,'TRA RESID'!$J:$J,AH432,'TRA RESID'!$H:$H,AI432)/SUMIFS('TRA RESID'!$P:$P,'TRA RESID'!$I:$I,AK432)*AS432</f>
        <v>0</v>
      </c>
      <c r="AP432" s="18"/>
      <c r="AQ432" s="18"/>
      <c r="AS432" s="21">
        <v>0.5</v>
      </c>
      <c r="AU432" s="15" t="str">
        <f>IF(AU431="*",AU431,"")</f>
        <v>*</v>
      </c>
      <c r="AV432" s="17" t="str">
        <f t="shared" si="343"/>
        <v>*FCEV*</v>
      </c>
      <c r="AW432" s="17" t="str">
        <f t="shared" si="343"/>
        <v>TRABDS</v>
      </c>
      <c r="AX432" s="17" t="str">
        <f t="shared" si="343"/>
        <v>TRAPASTBUDMD</v>
      </c>
      <c r="AY432" s="17" t="str">
        <f t="shared" si="343"/>
        <v>TRAPASTBUDMD</v>
      </c>
      <c r="AZ432" s="18">
        <v>2030</v>
      </c>
      <c r="BA432" s="18" t="str">
        <f>BA431</f>
        <v>LO</v>
      </c>
      <c r="BB432" s="18"/>
      <c r="BC432" s="20">
        <f>-SUMIFS('TRA RESID'!$P:$P,'TRA RESID'!$I:$I,AY432,'TRA RESID'!$J:$J,AV432,'TRA RESID'!$H:$H,AW432)/SUMIFS('TRA RESID'!$P:$P,'TRA RESID'!$I:$I,AY432)*BG432</f>
        <v>0</v>
      </c>
      <c r="BD432" s="18"/>
      <c r="BE432" s="18"/>
      <c r="BG432" s="21">
        <v>0.5</v>
      </c>
    </row>
    <row r="433" spans="1:59" x14ac:dyDescent="0.25">
      <c r="C433" s="15" t="str">
        <f>IF(C432="*",C432,"")</f>
        <v>*</v>
      </c>
      <c r="D433" s="17" t="str">
        <f t="shared" si="340"/>
        <v>*ICEV*</v>
      </c>
      <c r="E433" s="17" t="str">
        <f t="shared" si="340"/>
        <v>TRABDS</v>
      </c>
      <c r="F433" s="17" t="str">
        <f t="shared" si="340"/>
        <v>TRAPASTBUDMD</v>
      </c>
      <c r="G433" s="17" t="str">
        <f t="shared" si="340"/>
        <v>TRAPASTBUDMD</v>
      </c>
      <c r="H433" s="18">
        <v>2040</v>
      </c>
      <c r="I433" s="18" t="str">
        <f>I432</f>
        <v>LO</v>
      </c>
      <c r="J433" s="18"/>
      <c r="K433" s="20">
        <f>-SUMIFS('TRA RESID'!$P:$P,'TRA RESID'!$I:$I,G433,'TRA RESID'!$J:$J,D433,'TRA RESID'!$H:$H,E433)/SUMIFS('TRA RESID'!$P:$P,'TRA RESID'!$I:$I,G433)*O433</f>
        <v>0</v>
      </c>
      <c r="L433" s="18"/>
      <c r="M433" s="18"/>
      <c r="O433" s="21">
        <v>0</v>
      </c>
      <c r="S433" s="15" t="str">
        <f>IF(S432="*",S432,"")</f>
        <v>*</v>
      </c>
      <c r="T433" s="17" t="str">
        <f t="shared" si="341"/>
        <v>*BEV*</v>
      </c>
      <c r="U433" s="17" t="str">
        <f t="shared" si="341"/>
        <v>TRABDS</v>
      </c>
      <c r="V433" s="17" t="str">
        <f t="shared" si="341"/>
        <v>TRAPASTBUDMD</v>
      </c>
      <c r="W433" s="17" t="str">
        <f t="shared" si="341"/>
        <v>TRAPASTBUDMD</v>
      </c>
      <c r="X433" s="18">
        <v>2040</v>
      </c>
      <c r="Y433" s="18" t="str">
        <f>Y432</f>
        <v>LO</v>
      </c>
      <c r="Z433" s="18"/>
      <c r="AA433" s="20">
        <f>-SUMIFS('TRA RESID'!$P:$P,'TRA RESID'!$I:$I,W433,'TRA RESID'!$J:$J,T433,'TRA RESID'!$H:$H,U433)/SUMIFS('TRA RESID'!$P:$P,'TRA RESID'!$I:$I,W433)*AE433</f>
        <v>0</v>
      </c>
      <c r="AB433" s="18"/>
      <c r="AC433" s="18"/>
      <c r="AE433" s="21">
        <v>1</v>
      </c>
      <c r="AG433" s="15" t="str">
        <f>IF(AG432="*",AG432,"")</f>
        <v>*</v>
      </c>
      <c r="AH433" s="17" t="str">
        <f t="shared" si="342"/>
        <v>*HEV*</v>
      </c>
      <c r="AI433" s="17" t="str">
        <f t="shared" si="342"/>
        <v>TRABDS</v>
      </c>
      <c r="AJ433" s="17" t="str">
        <f t="shared" si="342"/>
        <v>TRAPASTBUDMD</v>
      </c>
      <c r="AK433" s="17" t="str">
        <f t="shared" si="342"/>
        <v>TRAPASTBUDMD</v>
      </c>
      <c r="AL433" s="18">
        <v>2040</v>
      </c>
      <c r="AM433" s="18" t="str">
        <f>AM432</f>
        <v>LO</v>
      </c>
      <c r="AN433" s="18"/>
      <c r="AO433" s="20">
        <f>-SUMIFS('TRA RESID'!$P:$P,'TRA RESID'!$I:$I,AK433,'TRA RESID'!$J:$J,AH433,'TRA RESID'!$H:$H,AI433)/SUMIFS('TRA RESID'!$P:$P,'TRA RESID'!$I:$I,AK433)*AS433</f>
        <v>0</v>
      </c>
      <c r="AP433" s="18"/>
      <c r="AQ433" s="18"/>
      <c r="AS433" s="21">
        <v>0</v>
      </c>
      <c r="AU433" s="15" t="str">
        <f>IF(AU432="*",AU432,"")</f>
        <v>*</v>
      </c>
      <c r="AV433" s="17" t="str">
        <f t="shared" si="343"/>
        <v>*FCEV*</v>
      </c>
      <c r="AW433" s="17" t="str">
        <f t="shared" si="343"/>
        <v>TRABDS</v>
      </c>
      <c r="AX433" s="17" t="str">
        <f t="shared" si="343"/>
        <v>TRAPASTBUDMD</v>
      </c>
      <c r="AY433" s="17" t="str">
        <f t="shared" si="343"/>
        <v>TRAPASTBUDMD</v>
      </c>
      <c r="AZ433" s="18">
        <v>2040</v>
      </c>
      <c r="BA433" s="18" t="str">
        <f>BA432</f>
        <v>LO</v>
      </c>
      <c r="BB433" s="18"/>
      <c r="BC433" s="20">
        <f>-SUMIFS('TRA RESID'!$P:$P,'TRA RESID'!$I:$I,AY433,'TRA RESID'!$J:$J,AV433,'TRA RESID'!$H:$H,AW433)/SUMIFS('TRA RESID'!$P:$P,'TRA RESID'!$I:$I,AY433)*BG433</f>
        <v>0</v>
      </c>
      <c r="BD433" s="18"/>
      <c r="BE433" s="18"/>
      <c r="BG433" s="21">
        <v>0</v>
      </c>
    </row>
    <row r="434" spans="1:59" x14ac:dyDescent="0.25">
      <c r="C434" s="23" t="str">
        <f>IF(C433="*",C433,"")</f>
        <v>*</v>
      </c>
      <c r="D434" s="25" t="str">
        <f t="shared" si="340"/>
        <v>*ICEV*</v>
      </c>
      <c r="E434" s="25" t="str">
        <f t="shared" si="340"/>
        <v>TRABDS</v>
      </c>
      <c r="F434" s="25" t="str">
        <f t="shared" si="340"/>
        <v>TRAPASTBUDMD</v>
      </c>
      <c r="G434" s="25" t="str">
        <f t="shared" si="340"/>
        <v>TRAPASTBUDMD</v>
      </c>
      <c r="H434" s="26">
        <v>2050</v>
      </c>
      <c r="I434" s="26" t="str">
        <f>I432</f>
        <v>LO</v>
      </c>
      <c r="J434" s="26"/>
      <c r="K434" s="27">
        <f>-SUMIFS('TRA RESID'!$P:$P,'TRA RESID'!$I:$I,G434,'TRA RESID'!$J:$J,D434,'TRA RESID'!$H:$H,E434)/SUMIFS('TRA RESID'!$P:$P,'TRA RESID'!$I:$I,G434)*O434</f>
        <v>0</v>
      </c>
      <c r="L434" s="26"/>
      <c r="M434" s="26"/>
      <c r="O434" s="28">
        <v>0</v>
      </c>
      <c r="S434" s="23" t="str">
        <f>IF(S433="*",S433,"")</f>
        <v>*</v>
      </c>
      <c r="T434" s="25" t="str">
        <f t="shared" si="341"/>
        <v>*BEV*</v>
      </c>
      <c r="U434" s="25" t="str">
        <f t="shared" si="341"/>
        <v>TRABDS</v>
      </c>
      <c r="V434" s="25" t="str">
        <f t="shared" si="341"/>
        <v>TRAPASTBUDMD</v>
      </c>
      <c r="W434" s="25" t="str">
        <f t="shared" si="341"/>
        <v>TRAPASTBUDMD</v>
      </c>
      <c r="X434" s="26">
        <v>2050</v>
      </c>
      <c r="Y434" s="26" t="str">
        <f>Y432</f>
        <v>LO</v>
      </c>
      <c r="Z434" s="26"/>
      <c r="AA434" s="27">
        <f>-SUMIFS('TRA RESID'!$P:$P,'TRA RESID'!$I:$I,W434,'TRA RESID'!$J:$J,T434,'TRA RESID'!$H:$H,U434)/SUMIFS('TRA RESID'!$P:$P,'TRA RESID'!$I:$I,W434)*AE434</f>
        <v>0</v>
      </c>
      <c r="AB434" s="26"/>
      <c r="AC434" s="26"/>
      <c r="AE434" s="28">
        <v>1</v>
      </c>
      <c r="AG434" s="23" t="str">
        <f>IF(AG433="*",AG433,"")</f>
        <v>*</v>
      </c>
      <c r="AH434" s="25" t="str">
        <f t="shared" si="342"/>
        <v>*HEV*</v>
      </c>
      <c r="AI434" s="25" t="str">
        <f t="shared" si="342"/>
        <v>TRABDS</v>
      </c>
      <c r="AJ434" s="25" t="str">
        <f t="shared" si="342"/>
        <v>TRAPASTBUDMD</v>
      </c>
      <c r="AK434" s="25" t="str">
        <f t="shared" si="342"/>
        <v>TRAPASTBUDMD</v>
      </c>
      <c r="AL434" s="26">
        <v>2050</v>
      </c>
      <c r="AM434" s="26" t="str">
        <f>AM432</f>
        <v>LO</v>
      </c>
      <c r="AN434" s="26"/>
      <c r="AO434" s="27">
        <f>-SUMIFS('TRA RESID'!$P:$P,'TRA RESID'!$I:$I,AK434,'TRA RESID'!$J:$J,AH434,'TRA RESID'!$H:$H,AI434)/SUMIFS('TRA RESID'!$P:$P,'TRA RESID'!$I:$I,AK434)*AS434</f>
        <v>0</v>
      </c>
      <c r="AP434" s="26"/>
      <c r="AQ434" s="26"/>
      <c r="AS434" s="28">
        <v>0</v>
      </c>
      <c r="AU434" s="23" t="str">
        <f>IF(AU433="*",AU433,"")</f>
        <v>*</v>
      </c>
      <c r="AV434" s="25" t="str">
        <f t="shared" si="343"/>
        <v>*FCEV*</v>
      </c>
      <c r="AW434" s="25" t="str">
        <f t="shared" si="343"/>
        <v>TRABDS</v>
      </c>
      <c r="AX434" s="25" t="str">
        <f t="shared" si="343"/>
        <v>TRAPASTBUDMD</v>
      </c>
      <c r="AY434" s="25" t="str">
        <f t="shared" si="343"/>
        <v>TRAPASTBUDMD</v>
      </c>
      <c r="AZ434" s="26">
        <v>2050</v>
      </c>
      <c r="BA434" s="26" t="str">
        <f>BA432</f>
        <v>LO</v>
      </c>
      <c r="BB434" s="26"/>
      <c r="BC434" s="27">
        <f>-SUMIFS('TRA RESID'!$P:$P,'TRA RESID'!$I:$I,AY434,'TRA RESID'!$J:$J,AV434,'TRA RESID'!$H:$H,AW434)/SUMIFS('TRA RESID'!$P:$P,'TRA RESID'!$I:$I,AY434)*BG434</f>
        <v>0</v>
      </c>
      <c r="BD434" s="26"/>
      <c r="BE434" s="26"/>
      <c r="BG434" s="28">
        <v>0</v>
      </c>
    </row>
    <row r="435" spans="1:59" x14ac:dyDescent="0.25">
      <c r="A435">
        <f>A430+1</f>
        <v>87</v>
      </c>
      <c r="C435" s="15" t="str">
        <f>IF(E435="","",IF(_xlfn.XLOOKUP($A435,Selected_constraint!$A:$A,Selected_constraint!$D:$D)=1,"*",IF(SUMIFS('TRA TECH'!$M:$M,'TRA TECH'!$H:$H,E435,'TRA TECH'!$I:$I,F435)=0,"*",IF(SUMIFS('TRA RESID'!$P:$P,'TRA RESID'!$I:$I,G435,'TRA RESID'!$J:$J,D435,'TRA RESID'!$H:$H,E435)=0,"*","UC_"&amp;SUBSTITUTE(D435,"*","")&amp;"_"&amp;RIGHT(E435,3)&amp;"_"&amp;F435))))</f>
        <v>*</v>
      </c>
      <c r="D435" s="17" t="s">
        <v>485</v>
      </c>
      <c r="E435" s="17" t="str">
        <f>_xlfn.XLOOKUP($A435,Selected_constraint!$A:$A,Selected_constraint!$B:$B)</f>
        <v>TRACNG</v>
      </c>
      <c r="F435" s="17" t="str">
        <f>_xlfn.XLOOKUP($A435,Selected_constraint!$A:$A,Selected_constraint!$C:$C)</f>
        <v>TRAPASTBUDMD</v>
      </c>
      <c r="G435" s="17" t="str">
        <f>F435</f>
        <v>TRAPASTBUDMD</v>
      </c>
      <c r="H435" s="18">
        <v>2019</v>
      </c>
      <c r="I435" s="18" t="s">
        <v>483</v>
      </c>
      <c r="J435" s="18">
        <v>1</v>
      </c>
      <c r="K435" s="20">
        <f>-SUMIFS('TRA RESID'!$P:$P,'TRA RESID'!$I:$I,G435,'TRA RESID'!$J:$J,D435,'TRA RESID'!$H:$H,E435)/SUMIFS('TRA RESID'!$P:$P,'TRA RESID'!$I:$I,G435)*O435</f>
        <v>-0.11421658342511809</v>
      </c>
      <c r="L435" s="18">
        <v>0</v>
      </c>
      <c r="M435" s="18">
        <v>5</v>
      </c>
      <c r="O435" s="21">
        <v>0.98</v>
      </c>
      <c r="Q435">
        <f>Q430+1</f>
        <v>87</v>
      </c>
      <c r="S435" s="15" t="str">
        <f>IF(SUMIFS('TRA RESID'!$P:$P,'TRA RESID'!$I:$I,W435,'TRA RESID'!$J:$J,T435,'TRA RESID'!$H:$H,U435)=0,"*","UC_"&amp;SUBSTITUTE(T435,"*","")&amp;"_"&amp;RIGHT(U435,3)&amp;"_"&amp;V435)</f>
        <v>*</v>
      </c>
      <c r="T435" s="17" t="s">
        <v>486</v>
      </c>
      <c r="U435" s="17" t="str">
        <f>_xlfn.XLOOKUP($A435,Selected_constraint!$A:$A,Selected_constraint!$B:$B)</f>
        <v>TRACNG</v>
      </c>
      <c r="V435" s="17" t="str">
        <f>_xlfn.XLOOKUP($A435,Selected_constraint!$A:$A,Selected_constraint!$C:$C)</f>
        <v>TRAPASTBUDMD</v>
      </c>
      <c r="W435" s="17" t="str">
        <f>V435</f>
        <v>TRAPASTBUDMD</v>
      </c>
      <c r="X435" s="18">
        <v>2019</v>
      </c>
      <c r="Y435" s="18" t="s">
        <v>483</v>
      </c>
      <c r="Z435" s="18">
        <v>1</v>
      </c>
      <c r="AA435" s="20">
        <f>-SUMIFS('TRA RESID'!$P:$P,'TRA RESID'!$I:$I,W435,'TRA RESID'!$J:$J,T435,'TRA RESID'!$H:$H,U435)/SUMIFS('TRA RESID'!$P:$P,'TRA RESID'!$I:$I,W435)*AE435</f>
        <v>0</v>
      </c>
      <c r="AB435" s="18">
        <v>0</v>
      </c>
      <c r="AC435" s="18">
        <v>5</v>
      </c>
      <c r="AE435" s="21">
        <v>0.98</v>
      </c>
      <c r="AG435" s="15" t="str">
        <f>IF(SUMIFS('TRA RESID'!$P:$P,'TRA RESID'!$I:$I,AK435,'TRA RESID'!$J:$J,AH435,'TRA RESID'!$H:$H,AI435)=0,"*","UC_"&amp;SUBSTITUTE(AH435,"*","")&amp;"_"&amp;RIGHT(AI435,3)&amp;"_"&amp;AJ435)</f>
        <v>*</v>
      </c>
      <c r="AH435" s="17" t="s">
        <v>487</v>
      </c>
      <c r="AI435" s="17" t="str">
        <f>_xlfn.XLOOKUP($A435,Selected_constraint!$A:$A,Selected_constraint!$B:$B)</f>
        <v>TRACNG</v>
      </c>
      <c r="AJ435" s="17" t="str">
        <f>_xlfn.XLOOKUP($A435,Selected_constraint!$A:$A,Selected_constraint!$C:$C)</f>
        <v>TRAPASTBUDMD</v>
      </c>
      <c r="AK435" s="17" t="str">
        <f>AJ435</f>
        <v>TRAPASTBUDMD</v>
      </c>
      <c r="AL435" s="18">
        <v>2019</v>
      </c>
      <c r="AM435" s="18" t="s">
        <v>483</v>
      </c>
      <c r="AN435" s="18">
        <v>1</v>
      </c>
      <c r="AO435" s="20">
        <f>-SUMIFS('TRA RESID'!$P:$P,'TRA RESID'!$I:$I,AK435,'TRA RESID'!$J:$J,AH435,'TRA RESID'!$H:$H,AI435)/SUMIFS('TRA RESID'!$P:$P,'TRA RESID'!$I:$I,AK435)*AS435</f>
        <v>0</v>
      </c>
      <c r="AP435" s="18">
        <v>0</v>
      </c>
      <c r="AQ435" s="18">
        <v>5</v>
      </c>
      <c r="AS435" s="21">
        <v>0.98</v>
      </c>
      <c r="AU435" s="15" t="str">
        <f>IF(SUMIFS('TRA RESID'!$P:$P,'TRA RESID'!$I:$I,AY435,'TRA RESID'!$J:$J,AV435,'TRA RESID'!$H:$H,AW435)=0,"*","UC_"&amp;SUBSTITUTE(AV435,"*","")&amp;"_"&amp;RIGHT(AW435,3)&amp;"_"&amp;AX435)</f>
        <v>*</v>
      </c>
      <c r="AV435" s="17" t="s">
        <v>488</v>
      </c>
      <c r="AW435" s="17" t="str">
        <f>_xlfn.XLOOKUP($A435,Selected_constraint!$A:$A,Selected_constraint!$B:$B)</f>
        <v>TRACNG</v>
      </c>
      <c r="AX435" s="17" t="str">
        <f>_xlfn.XLOOKUP($A435,Selected_constraint!$A:$A,Selected_constraint!$C:$C)</f>
        <v>TRAPASTBUDMD</v>
      </c>
      <c r="AY435" s="17" t="str">
        <f>AX435</f>
        <v>TRAPASTBUDMD</v>
      </c>
      <c r="AZ435" s="18">
        <v>2019</v>
      </c>
      <c r="BA435" s="18" t="s">
        <v>483</v>
      </c>
      <c r="BB435" s="18">
        <v>1</v>
      </c>
      <c r="BC435" s="20">
        <f>-SUMIFS('TRA RESID'!$P:$P,'TRA RESID'!$I:$I,AY435,'TRA RESID'!$J:$J,AV435,'TRA RESID'!$H:$H,AW435)/SUMIFS('TRA RESID'!$P:$P,'TRA RESID'!$I:$I,AY435)*BG435</f>
        <v>0</v>
      </c>
      <c r="BD435" s="18">
        <v>0</v>
      </c>
      <c r="BE435" s="18">
        <v>5</v>
      </c>
      <c r="BG435" s="21">
        <v>0.98</v>
      </c>
    </row>
    <row r="436" spans="1:59" x14ac:dyDescent="0.25">
      <c r="C436" s="15" t="str">
        <f>IF(C435="*",C435,"")</f>
        <v>*</v>
      </c>
      <c r="D436" s="17" t="str">
        <f t="shared" ref="D436:G439" si="344">D435</f>
        <v>*ICEV*</v>
      </c>
      <c r="E436" s="17" t="str">
        <f t="shared" si="344"/>
        <v>TRACNG</v>
      </c>
      <c r="F436" s="17" t="str">
        <f t="shared" si="344"/>
        <v>TRAPASTBUDMD</v>
      </c>
      <c r="G436" s="17" t="str">
        <f t="shared" si="344"/>
        <v>TRAPASTBUDMD</v>
      </c>
      <c r="H436" s="18">
        <v>2025</v>
      </c>
      <c r="I436" s="18" t="str">
        <f>I435</f>
        <v>LO</v>
      </c>
      <c r="J436" s="18"/>
      <c r="K436" s="20">
        <f>-SUMIFS('TRA RESID'!$P:$P,'TRA RESID'!$I:$I,G436,'TRA RESID'!$J:$J,D436,'TRA RESID'!$H:$H,E436)/SUMIFS('TRA RESID'!$P:$P,'TRA RESID'!$I:$I,G436)*O436</f>
        <v>-9.3238027285810696E-2</v>
      </c>
      <c r="L436" s="18"/>
      <c r="M436" s="18"/>
      <c r="O436" s="21">
        <v>0.8</v>
      </c>
      <c r="S436" s="15" t="str">
        <f>IF(S435="*",S435,"")</f>
        <v>*</v>
      </c>
      <c r="T436" s="17" t="str">
        <f t="shared" ref="T436:W439" si="345">T435</f>
        <v>*BEV*</v>
      </c>
      <c r="U436" s="17" t="str">
        <f t="shared" si="345"/>
        <v>TRACNG</v>
      </c>
      <c r="V436" s="17" t="str">
        <f t="shared" si="345"/>
        <v>TRAPASTBUDMD</v>
      </c>
      <c r="W436" s="17" t="str">
        <f t="shared" si="345"/>
        <v>TRAPASTBUDMD</v>
      </c>
      <c r="X436" s="18">
        <v>2025</v>
      </c>
      <c r="Y436" s="18" t="str">
        <f>Y435</f>
        <v>LO</v>
      </c>
      <c r="Z436" s="18"/>
      <c r="AA436" s="20">
        <f>-SUMIFS('TRA RESID'!$P:$P,'TRA RESID'!$I:$I,W436,'TRA RESID'!$J:$J,T436,'TRA RESID'!$H:$H,U436)/SUMIFS('TRA RESID'!$P:$P,'TRA RESID'!$I:$I,W436)*AE436</f>
        <v>0</v>
      </c>
      <c r="AB436" s="18"/>
      <c r="AC436" s="18"/>
      <c r="AE436" s="21">
        <v>1</v>
      </c>
      <c r="AG436" s="15" t="str">
        <f>IF(AG435="*",AG435,"")</f>
        <v>*</v>
      </c>
      <c r="AH436" s="17" t="str">
        <f t="shared" ref="AH436:AK439" si="346">AH435</f>
        <v>*HEV*</v>
      </c>
      <c r="AI436" s="17" t="str">
        <f t="shared" si="346"/>
        <v>TRACNG</v>
      </c>
      <c r="AJ436" s="17" t="str">
        <f t="shared" si="346"/>
        <v>TRAPASTBUDMD</v>
      </c>
      <c r="AK436" s="17" t="str">
        <f t="shared" si="346"/>
        <v>TRAPASTBUDMD</v>
      </c>
      <c r="AL436" s="18">
        <v>2025</v>
      </c>
      <c r="AM436" s="18" t="str">
        <f>AM435</f>
        <v>LO</v>
      </c>
      <c r="AN436" s="18"/>
      <c r="AO436" s="20">
        <f>-SUMIFS('TRA RESID'!$P:$P,'TRA RESID'!$I:$I,AK436,'TRA RESID'!$J:$J,AH436,'TRA RESID'!$H:$H,AI436)/SUMIFS('TRA RESID'!$P:$P,'TRA RESID'!$I:$I,AK436)*AS436</f>
        <v>0</v>
      </c>
      <c r="AP436" s="18"/>
      <c r="AQ436" s="18"/>
      <c r="AS436" s="21">
        <v>0.8</v>
      </c>
      <c r="AU436" s="15" t="str">
        <f>IF(AU435="*",AU435,"")</f>
        <v>*</v>
      </c>
      <c r="AV436" s="17" t="str">
        <f t="shared" ref="AV436:AY439" si="347">AV435</f>
        <v>*FCEV*</v>
      </c>
      <c r="AW436" s="17" t="str">
        <f t="shared" si="347"/>
        <v>TRACNG</v>
      </c>
      <c r="AX436" s="17" t="str">
        <f t="shared" si="347"/>
        <v>TRAPASTBUDMD</v>
      </c>
      <c r="AY436" s="17" t="str">
        <f t="shared" si="347"/>
        <v>TRAPASTBUDMD</v>
      </c>
      <c r="AZ436" s="18">
        <v>2025</v>
      </c>
      <c r="BA436" s="18" t="str">
        <f>BA435</f>
        <v>LO</v>
      </c>
      <c r="BB436" s="18"/>
      <c r="BC436" s="20">
        <f>-SUMIFS('TRA RESID'!$P:$P,'TRA RESID'!$I:$I,AY436,'TRA RESID'!$J:$J,AV436,'TRA RESID'!$H:$H,AW436)/SUMIFS('TRA RESID'!$P:$P,'TRA RESID'!$I:$I,AY436)*BG436</f>
        <v>0</v>
      </c>
      <c r="BD436" s="18"/>
      <c r="BE436" s="18"/>
      <c r="BG436" s="21">
        <v>0.8</v>
      </c>
    </row>
    <row r="437" spans="1:59" x14ac:dyDescent="0.25">
      <c r="C437" s="15" t="str">
        <f>IF(C436="*",C436,"")</f>
        <v>*</v>
      </c>
      <c r="D437" s="17" t="str">
        <f t="shared" si="344"/>
        <v>*ICEV*</v>
      </c>
      <c r="E437" s="17" t="str">
        <f t="shared" si="344"/>
        <v>TRACNG</v>
      </c>
      <c r="F437" s="17" t="str">
        <f t="shared" si="344"/>
        <v>TRAPASTBUDMD</v>
      </c>
      <c r="G437" s="17" t="str">
        <f t="shared" si="344"/>
        <v>TRAPASTBUDMD</v>
      </c>
      <c r="H437" s="18">
        <v>2030</v>
      </c>
      <c r="I437" s="18" t="str">
        <f>I436</f>
        <v>LO</v>
      </c>
      <c r="J437" s="18"/>
      <c r="K437" s="20">
        <f>-SUMIFS('TRA RESID'!$P:$P,'TRA RESID'!$I:$I,G437,'TRA RESID'!$J:$J,D437,'TRA RESID'!$H:$H,E437)/SUMIFS('TRA RESID'!$P:$P,'TRA RESID'!$I:$I,G437)*O437</f>
        <v>-5.827376705363168E-2</v>
      </c>
      <c r="L437" s="18"/>
      <c r="M437" s="18"/>
      <c r="O437" s="21">
        <v>0.5</v>
      </c>
      <c r="S437" s="15" t="str">
        <f>IF(S436="*",S436,"")</f>
        <v>*</v>
      </c>
      <c r="T437" s="17" t="str">
        <f t="shared" si="345"/>
        <v>*BEV*</v>
      </c>
      <c r="U437" s="17" t="str">
        <f t="shared" si="345"/>
        <v>TRACNG</v>
      </c>
      <c r="V437" s="17" t="str">
        <f t="shared" si="345"/>
        <v>TRAPASTBUDMD</v>
      </c>
      <c r="W437" s="17" t="str">
        <f t="shared" si="345"/>
        <v>TRAPASTBUDMD</v>
      </c>
      <c r="X437" s="18">
        <v>2030</v>
      </c>
      <c r="Y437" s="18" t="str">
        <f>Y436</f>
        <v>LO</v>
      </c>
      <c r="Z437" s="18"/>
      <c r="AA437" s="20">
        <f>-SUMIFS('TRA RESID'!$P:$P,'TRA RESID'!$I:$I,W437,'TRA RESID'!$J:$J,T437,'TRA RESID'!$H:$H,U437)/SUMIFS('TRA RESID'!$P:$P,'TRA RESID'!$I:$I,W437)*AE437</f>
        <v>0</v>
      </c>
      <c r="AB437" s="18"/>
      <c r="AC437" s="18"/>
      <c r="AE437" s="21">
        <v>1</v>
      </c>
      <c r="AG437" s="15" t="str">
        <f>IF(AG436="*",AG436,"")</f>
        <v>*</v>
      </c>
      <c r="AH437" s="17" t="str">
        <f t="shared" si="346"/>
        <v>*HEV*</v>
      </c>
      <c r="AI437" s="17" t="str">
        <f t="shared" si="346"/>
        <v>TRACNG</v>
      </c>
      <c r="AJ437" s="17" t="str">
        <f t="shared" si="346"/>
        <v>TRAPASTBUDMD</v>
      </c>
      <c r="AK437" s="17" t="str">
        <f t="shared" si="346"/>
        <v>TRAPASTBUDMD</v>
      </c>
      <c r="AL437" s="18">
        <v>2030</v>
      </c>
      <c r="AM437" s="18" t="str">
        <f>AM436</f>
        <v>LO</v>
      </c>
      <c r="AN437" s="18"/>
      <c r="AO437" s="20">
        <f>-SUMIFS('TRA RESID'!$P:$P,'TRA RESID'!$I:$I,AK437,'TRA RESID'!$J:$J,AH437,'TRA RESID'!$H:$H,AI437)/SUMIFS('TRA RESID'!$P:$P,'TRA RESID'!$I:$I,AK437)*AS437</f>
        <v>0</v>
      </c>
      <c r="AP437" s="18"/>
      <c r="AQ437" s="18"/>
      <c r="AS437" s="21">
        <v>0.5</v>
      </c>
      <c r="AU437" s="15" t="str">
        <f>IF(AU436="*",AU436,"")</f>
        <v>*</v>
      </c>
      <c r="AV437" s="17" t="str">
        <f t="shared" si="347"/>
        <v>*FCEV*</v>
      </c>
      <c r="AW437" s="17" t="str">
        <f t="shared" si="347"/>
        <v>TRACNG</v>
      </c>
      <c r="AX437" s="17" t="str">
        <f t="shared" si="347"/>
        <v>TRAPASTBUDMD</v>
      </c>
      <c r="AY437" s="17" t="str">
        <f t="shared" si="347"/>
        <v>TRAPASTBUDMD</v>
      </c>
      <c r="AZ437" s="18">
        <v>2030</v>
      </c>
      <c r="BA437" s="18" t="str">
        <f>BA436</f>
        <v>LO</v>
      </c>
      <c r="BB437" s="18"/>
      <c r="BC437" s="20">
        <f>-SUMIFS('TRA RESID'!$P:$P,'TRA RESID'!$I:$I,AY437,'TRA RESID'!$J:$J,AV437,'TRA RESID'!$H:$H,AW437)/SUMIFS('TRA RESID'!$P:$P,'TRA RESID'!$I:$I,AY437)*BG437</f>
        <v>0</v>
      </c>
      <c r="BD437" s="18"/>
      <c r="BE437" s="18"/>
      <c r="BG437" s="21">
        <v>0.5</v>
      </c>
    </row>
    <row r="438" spans="1:59" x14ac:dyDescent="0.25">
      <c r="C438" s="15" t="str">
        <f>IF(C437="*",C437,"")</f>
        <v>*</v>
      </c>
      <c r="D438" s="17" t="str">
        <f t="shared" si="344"/>
        <v>*ICEV*</v>
      </c>
      <c r="E438" s="17" t="str">
        <f t="shared" si="344"/>
        <v>TRACNG</v>
      </c>
      <c r="F438" s="17" t="str">
        <f t="shared" si="344"/>
        <v>TRAPASTBUDMD</v>
      </c>
      <c r="G438" s="17" t="str">
        <f t="shared" si="344"/>
        <v>TRAPASTBUDMD</v>
      </c>
      <c r="H438" s="18">
        <v>2040</v>
      </c>
      <c r="I438" s="18" t="str">
        <f>I437</f>
        <v>LO</v>
      </c>
      <c r="J438" s="18"/>
      <c r="K438" s="20">
        <f>-SUMIFS('TRA RESID'!$P:$P,'TRA RESID'!$I:$I,G438,'TRA RESID'!$J:$J,D438,'TRA RESID'!$H:$H,E438)/SUMIFS('TRA RESID'!$P:$P,'TRA RESID'!$I:$I,G438)*O438</f>
        <v>0</v>
      </c>
      <c r="L438" s="18"/>
      <c r="M438" s="18"/>
      <c r="O438" s="21">
        <v>0</v>
      </c>
      <c r="S438" s="15" t="str">
        <f>IF(S437="*",S437,"")</f>
        <v>*</v>
      </c>
      <c r="T438" s="17" t="str">
        <f t="shared" si="345"/>
        <v>*BEV*</v>
      </c>
      <c r="U438" s="17" t="str">
        <f t="shared" si="345"/>
        <v>TRACNG</v>
      </c>
      <c r="V438" s="17" t="str">
        <f t="shared" si="345"/>
        <v>TRAPASTBUDMD</v>
      </c>
      <c r="W438" s="17" t="str">
        <f t="shared" si="345"/>
        <v>TRAPASTBUDMD</v>
      </c>
      <c r="X438" s="18">
        <v>2040</v>
      </c>
      <c r="Y438" s="18" t="str">
        <f>Y437</f>
        <v>LO</v>
      </c>
      <c r="Z438" s="18"/>
      <c r="AA438" s="20">
        <f>-SUMIFS('TRA RESID'!$P:$P,'TRA RESID'!$I:$I,W438,'TRA RESID'!$J:$J,T438,'TRA RESID'!$H:$H,U438)/SUMIFS('TRA RESID'!$P:$P,'TRA RESID'!$I:$I,W438)*AE438</f>
        <v>0</v>
      </c>
      <c r="AB438" s="18"/>
      <c r="AC438" s="18"/>
      <c r="AE438" s="21">
        <v>1</v>
      </c>
      <c r="AG438" s="15" t="str">
        <f>IF(AG437="*",AG437,"")</f>
        <v>*</v>
      </c>
      <c r="AH438" s="17" t="str">
        <f t="shared" si="346"/>
        <v>*HEV*</v>
      </c>
      <c r="AI438" s="17" t="str">
        <f t="shared" si="346"/>
        <v>TRACNG</v>
      </c>
      <c r="AJ438" s="17" t="str">
        <f t="shared" si="346"/>
        <v>TRAPASTBUDMD</v>
      </c>
      <c r="AK438" s="17" t="str">
        <f t="shared" si="346"/>
        <v>TRAPASTBUDMD</v>
      </c>
      <c r="AL438" s="18">
        <v>2040</v>
      </c>
      <c r="AM438" s="18" t="str">
        <f>AM437</f>
        <v>LO</v>
      </c>
      <c r="AN438" s="18"/>
      <c r="AO438" s="20">
        <f>-SUMIFS('TRA RESID'!$P:$P,'TRA RESID'!$I:$I,AK438,'TRA RESID'!$J:$J,AH438,'TRA RESID'!$H:$H,AI438)/SUMIFS('TRA RESID'!$P:$P,'TRA RESID'!$I:$I,AK438)*AS438</f>
        <v>0</v>
      </c>
      <c r="AP438" s="18"/>
      <c r="AQ438" s="18"/>
      <c r="AS438" s="21">
        <v>0</v>
      </c>
      <c r="AU438" s="15" t="str">
        <f>IF(AU437="*",AU437,"")</f>
        <v>*</v>
      </c>
      <c r="AV438" s="17" t="str">
        <f t="shared" si="347"/>
        <v>*FCEV*</v>
      </c>
      <c r="AW438" s="17" t="str">
        <f t="shared" si="347"/>
        <v>TRACNG</v>
      </c>
      <c r="AX438" s="17" t="str">
        <f t="shared" si="347"/>
        <v>TRAPASTBUDMD</v>
      </c>
      <c r="AY438" s="17" t="str">
        <f t="shared" si="347"/>
        <v>TRAPASTBUDMD</v>
      </c>
      <c r="AZ438" s="18">
        <v>2040</v>
      </c>
      <c r="BA438" s="18" t="str">
        <f>BA437</f>
        <v>LO</v>
      </c>
      <c r="BB438" s="18"/>
      <c r="BC438" s="20">
        <f>-SUMIFS('TRA RESID'!$P:$P,'TRA RESID'!$I:$I,AY438,'TRA RESID'!$J:$J,AV438,'TRA RESID'!$H:$H,AW438)/SUMIFS('TRA RESID'!$P:$P,'TRA RESID'!$I:$I,AY438)*BG438</f>
        <v>0</v>
      </c>
      <c r="BD438" s="18"/>
      <c r="BE438" s="18"/>
      <c r="BG438" s="21">
        <v>0</v>
      </c>
    </row>
    <row r="439" spans="1:59" x14ac:dyDescent="0.25">
      <c r="C439" s="23" t="str">
        <f>IF(C438="*",C438,"")</f>
        <v>*</v>
      </c>
      <c r="D439" s="25" t="str">
        <f t="shared" si="344"/>
        <v>*ICEV*</v>
      </c>
      <c r="E439" s="25" t="str">
        <f t="shared" si="344"/>
        <v>TRACNG</v>
      </c>
      <c r="F439" s="25" t="str">
        <f t="shared" si="344"/>
        <v>TRAPASTBUDMD</v>
      </c>
      <c r="G439" s="25" t="str">
        <f t="shared" si="344"/>
        <v>TRAPASTBUDMD</v>
      </c>
      <c r="H439" s="26">
        <v>2050</v>
      </c>
      <c r="I439" s="26" t="str">
        <f>I437</f>
        <v>LO</v>
      </c>
      <c r="J439" s="26"/>
      <c r="K439" s="27">
        <f>-SUMIFS('TRA RESID'!$P:$P,'TRA RESID'!$I:$I,G439,'TRA RESID'!$J:$J,D439,'TRA RESID'!$H:$H,E439)/SUMIFS('TRA RESID'!$P:$P,'TRA RESID'!$I:$I,G439)*O439</f>
        <v>0</v>
      </c>
      <c r="L439" s="26"/>
      <c r="M439" s="26"/>
      <c r="O439" s="28">
        <v>0</v>
      </c>
      <c r="S439" s="23" t="str">
        <f>IF(S438="*",S438,"")</f>
        <v>*</v>
      </c>
      <c r="T439" s="25" t="str">
        <f t="shared" si="345"/>
        <v>*BEV*</v>
      </c>
      <c r="U439" s="25" t="str">
        <f t="shared" si="345"/>
        <v>TRACNG</v>
      </c>
      <c r="V439" s="25" t="str">
        <f t="shared" si="345"/>
        <v>TRAPASTBUDMD</v>
      </c>
      <c r="W439" s="25" t="str">
        <f t="shared" si="345"/>
        <v>TRAPASTBUDMD</v>
      </c>
      <c r="X439" s="26">
        <v>2050</v>
      </c>
      <c r="Y439" s="26" t="str">
        <f>Y437</f>
        <v>LO</v>
      </c>
      <c r="Z439" s="26"/>
      <c r="AA439" s="27">
        <f>-SUMIFS('TRA RESID'!$P:$P,'TRA RESID'!$I:$I,W439,'TRA RESID'!$J:$J,T439,'TRA RESID'!$H:$H,U439)/SUMIFS('TRA RESID'!$P:$P,'TRA RESID'!$I:$I,W439)*AE439</f>
        <v>0</v>
      </c>
      <c r="AB439" s="26"/>
      <c r="AC439" s="26"/>
      <c r="AE439" s="28">
        <v>1</v>
      </c>
      <c r="AG439" s="23" t="str">
        <f>IF(AG438="*",AG438,"")</f>
        <v>*</v>
      </c>
      <c r="AH439" s="25" t="str">
        <f t="shared" si="346"/>
        <v>*HEV*</v>
      </c>
      <c r="AI439" s="25" t="str">
        <f t="shared" si="346"/>
        <v>TRACNG</v>
      </c>
      <c r="AJ439" s="25" t="str">
        <f t="shared" si="346"/>
        <v>TRAPASTBUDMD</v>
      </c>
      <c r="AK439" s="25" t="str">
        <f t="shared" si="346"/>
        <v>TRAPASTBUDMD</v>
      </c>
      <c r="AL439" s="26">
        <v>2050</v>
      </c>
      <c r="AM439" s="26" t="str">
        <f>AM437</f>
        <v>LO</v>
      </c>
      <c r="AN439" s="26"/>
      <c r="AO439" s="27">
        <f>-SUMIFS('TRA RESID'!$P:$P,'TRA RESID'!$I:$I,AK439,'TRA RESID'!$J:$J,AH439,'TRA RESID'!$H:$H,AI439)/SUMIFS('TRA RESID'!$P:$P,'TRA RESID'!$I:$I,AK439)*AS439</f>
        <v>0</v>
      </c>
      <c r="AP439" s="26"/>
      <c r="AQ439" s="26"/>
      <c r="AS439" s="28">
        <v>0</v>
      </c>
      <c r="AU439" s="23" t="str">
        <f>IF(AU438="*",AU438,"")</f>
        <v>*</v>
      </c>
      <c r="AV439" s="25" t="str">
        <f t="shared" si="347"/>
        <v>*FCEV*</v>
      </c>
      <c r="AW439" s="25" t="str">
        <f t="shared" si="347"/>
        <v>TRACNG</v>
      </c>
      <c r="AX439" s="25" t="str">
        <f t="shared" si="347"/>
        <v>TRAPASTBUDMD</v>
      </c>
      <c r="AY439" s="25" t="str">
        <f t="shared" si="347"/>
        <v>TRAPASTBUDMD</v>
      </c>
      <c r="AZ439" s="26">
        <v>2050</v>
      </c>
      <c r="BA439" s="26" t="str">
        <f>BA437</f>
        <v>LO</v>
      </c>
      <c r="BB439" s="26"/>
      <c r="BC439" s="27">
        <f>-SUMIFS('TRA RESID'!$P:$P,'TRA RESID'!$I:$I,AY439,'TRA RESID'!$J:$J,AV439,'TRA RESID'!$H:$H,AW439)/SUMIFS('TRA RESID'!$P:$P,'TRA RESID'!$I:$I,AY439)*BG439</f>
        <v>0</v>
      </c>
      <c r="BD439" s="26"/>
      <c r="BE439" s="26"/>
      <c r="BG439" s="28">
        <v>0</v>
      </c>
    </row>
    <row r="440" spans="1:59" x14ac:dyDescent="0.25">
      <c r="A440">
        <f>A435+1</f>
        <v>88</v>
      </c>
      <c r="C440" s="15" t="str">
        <f>IF(E440="","",IF(_xlfn.XLOOKUP($A440,Selected_constraint!$A:$A,Selected_constraint!$D:$D)=1,"*",IF(SUMIFS('TRA TECH'!$M:$M,'TRA TECH'!$H:$H,E440,'TRA TECH'!$I:$I,F440)=0,"*",IF(SUMIFS('TRA RESID'!$P:$P,'TRA RESID'!$I:$I,G440,'TRA RESID'!$J:$J,D440,'TRA RESID'!$H:$H,E440)=0,"*","UC_"&amp;SUBSTITUTE(D440,"*","")&amp;"_"&amp;RIGHT(E440,3)&amp;"_"&amp;F440))))</f>
        <v>*</v>
      </c>
      <c r="D440" s="17" t="s">
        <v>485</v>
      </c>
      <c r="E440" s="17" t="str">
        <f>_xlfn.XLOOKUP($A440,Selected_constraint!$A:$A,Selected_constraint!$B:$B)</f>
        <v>TRARNG</v>
      </c>
      <c r="F440" s="17" t="str">
        <f>_xlfn.XLOOKUP($A440,Selected_constraint!$A:$A,Selected_constraint!$C:$C)</f>
        <v>TRAPASTBUDMD</v>
      </c>
      <c r="G440" s="17" t="str">
        <f>F440</f>
        <v>TRAPASTBUDMD</v>
      </c>
      <c r="H440" s="18">
        <v>2019</v>
      </c>
      <c r="I440" s="18" t="s">
        <v>483</v>
      </c>
      <c r="J440" s="18">
        <v>1</v>
      </c>
      <c r="K440" s="20">
        <f>-SUMIFS('TRA RESID'!$P:$P,'TRA RESID'!$I:$I,G440,'TRA RESID'!$J:$J,D440,'TRA RESID'!$H:$H,E440)/SUMIFS('TRA RESID'!$P:$P,'TRA RESID'!$I:$I,G440)*O440</f>
        <v>0</v>
      </c>
      <c r="L440" s="18">
        <v>0</v>
      </c>
      <c r="M440" s="18">
        <v>5</v>
      </c>
      <c r="O440" s="21">
        <v>0.98</v>
      </c>
      <c r="Q440">
        <f>Q435+1</f>
        <v>88</v>
      </c>
      <c r="S440" s="15" t="str">
        <f>IF(SUMIFS('TRA RESID'!$P:$P,'TRA RESID'!$I:$I,W440,'TRA RESID'!$J:$J,T440,'TRA RESID'!$H:$H,U440)=0,"*","UC_"&amp;SUBSTITUTE(T440,"*","")&amp;"_"&amp;RIGHT(U440,3)&amp;"_"&amp;V440)</f>
        <v>*</v>
      </c>
      <c r="T440" s="17" t="s">
        <v>486</v>
      </c>
      <c r="U440" s="17" t="str">
        <f>_xlfn.XLOOKUP($A440,Selected_constraint!$A:$A,Selected_constraint!$B:$B)</f>
        <v>TRARNG</v>
      </c>
      <c r="V440" s="17" t="str">
        <f>_xlfn.XLOOKUP($A440,Selected_constraint!$A:$A,Selected_constraint!$C:$C)</f>
        <v>TRAPASTBUDMD</v>
      </c>
      <c r="W440" s="17" t="str">
        <f>V440</f>
        <v>TRAPASTBUDMD</v>
      </c>
      <c r="X440" s="18">
        <v>2019</v>
      </c>
      <c r="Y440" s="18" t="s">
        <v>483</v>
      </c>
      <c r="Z440" s="18">
        <v>1</v>
      </c>
      <c r="AA440" s="20">
        <f>-SUMIFS('TRA RESID'!$P:$P,'TRA RESID'!$I:$I,W440,'TRA RESID'!$J:$J,T440,'TRA RESID'!$H:$H,U440)/SUMIFS('TRA RESID'!$P:$P,'TRA RESID'!$I:$I,W440)*AE440</f>
        <v>0</v>
      </c>
      <c r="AB440" s="18">
        <v>0</v>
      </c>
      <c r="AC440" s="18">
        <v>5</v>
      </c>
      <c r="AE440" s="21">
        <v>0.98</v>
      </c>
      <c r="AG440" s="15" t="str">
        <f>IF(SUMIFS('TRA RESID'!$P:$P,'TRA RESID'!$I:$I,AK440,'TRA RESID'!$J:$J,AH440,'TRA RESID'!$H:$H,AI440)=0,"*","UC_"&amp;SUBSTITUTE(AH440,"*","")&amp;"_"&amp;RIGHT(AI440,3)&amp;"_"&amp;AJ440)</f>
        <v>*</v>
      </c>
      <c r="AH440" s="17" t="s">
        <v>487</v>
      </c>
      <c r="AI440" s="17" t="str">
        <f>_xlfn.XLOOKUP($A440,Selected_constraint!$A:$A,Selected_constraint!$B:$B)</f>
        <v>TRARNG</v>
      </c>
      <c r="AJ440" s="17" t="str">
        <f>_xlfn.XLOOKUP($A440,Selected_constraint!$A:$A,Selected_constraint!$C:$C)</f>
        <v>TRAPASTBUDMD</v>
      </c>
      <c r="AK440" s="17" t="str">
        <f>AJ440</f>
        <v>TRAPASTBUDMD</v>
      </c>
      <c r="AL440" s="18">
        <v>2019</v>
      </c>
      <c r="AM440" s="18" t="s">
        <v>483</v>
      </c>
      <c r="AN440" s="18">
        <v>1</v>
      </c>
      <c r="AO440" s="20">
        <f>-SUMIFS('TRA RESID'!$P:$P,'TRA RESID'!$I:$I,AK440,'TRA RESID'!$J:$J,AH440,'TRA RESID'!$H:$H,AI440)/SUMIFS('TRA RESID'!$P:$P,'TRA RESID'!$I:$I,AK440)*AS440</f>
        <v>0</v>
      </c>
      <c r="AP440" s="18">
        <v>0</v>
      </c>
      <c r="AQ440" s="18">
        <v>5</v>
      </c>
      <c r="AS440" s="21">
        <v>0.98</v>
      </c>
      <c r="AU440" s="15" t="str">
        <f>IF(SUMIFS('TRA RESID'!$P:$P,'TRA RESID'!$I:$I,AY440,'TRA RESID'!$J:$J,AV440,'TRA RESID'!$H:$H,AW440)=0,"*","UC_"&amp;SUBSTITUTE(AV440,"*","")&amp;"_"&amp;RIGHT(AW440,3)&amp;"_"&amp;AX440)</f>
        <v>*</v>
      </c>
      <c r="AV440" s="17" t="s">
        <v>488</v>
      </c>
      <c r="AW440" s="17" t="str">
        <f>_xlfn.XLOOKUP($A440,Selected_constraint!$A:$A,Selected_constraint!$B:$B)</f>
        <v>TRARNG</v>
      </c>
      <c r="AX440" s="17" t="str">
        <f>_xlfn.XLOOKUP($A440,Selected_constraint!$A:$A,Selected_constraint!$C:$C)</f>
        <v>TRAPASTBUDMD</v>
      </c>
      <c r="AY440" s="17" t="str">
        <f>AX440</f>
        <v>TRAPASTBUDMD</v>
      </c>
      <c r="AZ440" s="18">
        <v>2019</v>
      </c>
      <c r="BA440" s="18" t="s">
        <v>483</v>
      </c>
      <c r="BB440" s="18">
        <v>1</v>
      </c>
      <c r="BC440" s="20">
        <f>-SUMIFS('TRA RESID'!$P:$P,'TRA RESID'!$I:$I,AY440,'TRA RESID'!$J:$J,AV440,'TRA RESID'!$H:$H,AW440)/SUMIFS('TRA RESID'!$P:$P,'TRA RESID'!$I:$I,AY440)*BG440</f>
        <v>0</v>
      </c>
      <c r="BD440" s="18">
        <v>0</v>
      </c>
      <c r="BE440" s="18">
        <v>5</v>
      </c>
      <c r="BG440" s="21">
        <v>0.98</v>
      </c>
    </row>
    <row r="441" spans="1:59" x14ac:dyDescent="0.25">
      <c r="C441" s="15" t="str">
        <f>IF(C440="*",C440,"")</f>
        <v>*</v>
      </c>
      <c r="D441" s="17" t="str">
        <f t="shared" ref="D441:G444" si="348">D440</f>
        <v>*ICEV*</v>
      </c>
      <c r="E441" s="17" t="str">
        <f t="shared" si="348"/>
        <v>TRARNG</v>
      </c>
      <c r="F441" s="17" t="str">
        <f t="shared" si="348"/>
        <v>TRAPASTBUDMD</v>
      </c>
      <c r="G441" s="17" t="str">
        <f t="shared" si="348"/>
        <v>TRAPASTBUDMD</v>
      </c>
      <c r="H441" s="18">
        <v>2025</v>
      </c>
      <c r="I441" s="18" t="str">
        <f>I440</f>
        <v>LO</v>
      </c>
      <c r="J441" s="18"/>
      <c r="K441" s="20">
        <f>-SUMIFS('TRA RESID'!$P:$P,'TRA RESID'!$I:$I,G441,'TRA RESID'!$J:$J,D441,'TRA RESID'!$H:$H,E441)/SUMIFS('TRA RESID'!$P:$P,'TRA RESID'!$I:$I,G441)*O441</f>
        <v>0</v>
      </c>
      <c r="L441" s="18"/>
      <c r="M441" s="18"/>
      <c r="O441" s="21">
        <v>0.8</v>
      </c>
      <c r="S441" s="15" t="str">
        <f>IF(S440="*",S440,"")</f>
        <v>*</v>
      </c>
      <c r="T441" s="17" t="str">
        <f t="shared" ref="T441:W444" si="349">T440</f>
        <v>*BEV*</v>
      </c>
      <c r="U441" s="17" t="str">
        <f t="shared" si="349"/>
        <v>TRARNG</v>
      </c>
      <c r="V441" s="17" t="str">
        <f t="shared" si="349"/>
        <v>TRAPASTBUDMD</v>
      </c>
      <c r="W441" s="17" t="str">
        <f t="shared" si="349"/>
        <v>TRAPASTBUDMD</v>
      </c>
      <c r="X441" s="18">
        <v>2025</v>
      </c>
      <c r="Y441" s="18" t="str">
        <f>Y440</f>
        <v>LO</v>
      </c>
      <c r="Z441" s="18"/>
      <c r="AA441" s="20">
        <f>-SUMIFS('TRA RESID'!$P:$P,'TRA RESID'!$I:$I,W441,'TRA RESID'!$J:$J,T441,'TRA RESID'!$H:$H,U441)/SUMIFS('TRA RESID'!$P:$P,'TRA RESID'!$I:$I,W441)*AE441</f>
        <v>0</v>
      </c>
      <c r="AB441" s="18"/>
      <c r="AC441" s="18"/>
      <c r="AE441" s="21">
        <v>1</v>
      </c>
      <c r="AG441" s="15" t="str">
        <f>IF(AG440="*",AG440,"")</f>
        <v>*</v>
      </c>
      <c r="AH441" s="17" t="str">
        <f t="shared" ref="AH441:AK444" si="350">AH440</f>
        <v>*HEV*</v>
      </c>
      <c r="AI441" s="17" t="str">
        <f t="shared" si="350"/>
        <v>TRARNG</v>
      </c>
      <c r="AJ441" s="17" t="str">
        <f t="shared" si="350"/>
        <v>TRAPASTBUDMD</v>
      </c>
      <c r="AK441" s="17" t="str">
        <f t="shared" si="350"/>
        <v>TRAPASTBUDMD</v>
      </c>
      <c r="AL441" s="18">
        <v>2025</v>
      </c>
      <c r="AM441" s="18" t="str">
        <f>AM440</f>
        <v>LO</v>
      </c>
      <c r="AN441" s="18"/>
      <c r="AO441" s="20">
        <f>-SUMIFS('TRA RESID'!$P:$P,'TRA RESID'!$I:$I,AK441,'TRA RESID'!$J:$J,AH441,'TRA RESID'!$H:$H,AI441)/SUMIFS('TRA RESID'!$P:$P,'TRA RESID'!$I:$I,AK441)*AS441</f>
        <v>0</v>
      </c>
      <c r="AP441" s="18"/>
      <c r="AQ441" s="18"/>
      <c r="AS441" s="21">
        <v>0.8</v>
      </c>
      <c r="AU441" s="15" t="str">
        <f>IF(AU440="*",AU440,"")</f>
        <v>*</v>
      </c>
      <c r="AV441" s="17" t="str">
        <f t="shared" ref="AV441:AY444" si="351">AV440</f>
        <v>*FCEV*</v>
      </c>
      <c r="AW441" s="17" t="str">
        <f t="shared" si="351"/>
        <v>TRARNG</v>
      </c>
      <c r="AX441" s="17" t="str">
        <f t="shared" si="351"/>
        <v>TRAPASTBUDMD</v>
      </c>
      <c r="AY441" s="17" t="str">
        <f t="shared" si="351"/>
        <v>TRAPASTBUDMD</v>
      </c>
      <c r="AZ441" s="18">
        <v>2025</v>
      </c>
      <c r="BA441" s="18" t="str">
        <f>BA440</f>
        <v>LO</v>
      </c>
      <c r="BB441" s="18"/>
      <c r="BC441" s="20">
        <f>-SUMIFS('TRA RESID'!$P:$P,'TRA RESID'!$I:$I,AY441,'TRA RESID'!$J:$J,AV441,'TRA RESID'!$H:$H,AW441)/SUMIFS('TRA RESID'!$P:$P,'TRA RESID'!$I:$I,AY441)*BG441</f>
        <v>0</v>
      </c>
      <c r="BD441" s="18"/>
      <c r="BE441" s="18"/>
      <c r="BG441" s="21">
        <v>0.8</v>
      </c>
    </row>
    <row r="442" spans="1:59" x14ac:dyDescent="0.25">
      <c r="C442" s="15" t="str">
        <f>IF(C441="*",C441,"")</f>
        <v>*</v>
      </c>
      <c r="D442" s="17" t="str">
        <f t="shared" si="348"/>
        <v>*ICEV*</v>
      </c>
      <c r="E442" s="17" t="str">
        <f t="shared" si="348"/>
        <v>TRARNG</v>
      </c>
      <c r="F442" s="17" t="str">
        <f t="shared" si="348"/>
        <v>TRAPASTBUDMD</v>
      </c>
      <c r="G442" s="17" t="str">
        <f t="shared" si="348"/>
        <v>TRAPASTBUDMD</v>
      </c>
      <c r="H442" s="18">
        <v>2030</v>
      </c>
      <c r="I442" s="18" t="str">
        <f>I441</f>
        <v>LO</v>
      </c>
      <c r="J442" s="18"/>
      <c r="K442" s="20">
        <f>-SUMIFS('TRA RESID'!$P:$P,'TRA RESID'!$I:$I,G442,'TRA RESID'!$J:$J,D442,'TRA RESID'!$H:$H,E442)/SUMIFS('TRA RESID'!$P:$P,'TRA RESID'!$I:$I,G442)*O442</f>
        <v>0</v>
      </c>
      <c r="L442" s="18"/>
      <c r="M442" s="18"/>
      <c r="O442" s="21">
        <v>0.5</v>
      </c>
      <c r="S442" s="15" t="str">
        <f>IF(S441="*",S441,"")</f>
        <v>*</v>
      </c>
      <c r="T442" s="17" t="str">
        <f t="shared" si="349"/>
        <v>*BEV*</v>
      </c>
      <c r="U442" s="17" t="str">
        <f t="shared" si="349"/>
        <v>TRARNG</v>
      </c>
      <c r="V442" s="17" t="str">
        <f t="shared" si="349"/>
        <v>TRAPASTBUDMD</v>
      </c>
      <c r="W442" s="17" t="str">
        <f t="shared" si="349"/>
        <v>TRAPASTBUDMD</v>
      </c>
      <c r="X442" s="18">
        <v>2030</v>
      </c>
      <c r="Y442" s="18" t="str">
        <f>Y441</f>
        <v>LO</v>
      </c>
      <c r="Z442" s="18"/>
      <c r="AA442" s="20">
        <f>-SUMIFS('TRA RESID'!$P:$P,'TRA RESID'!$I:$I,W442,'TRA RESID'!$J:$J,T442,'TRA RESID'!$H:$H,U442)/SUMIFS('TRA RESID'!$P:$P,'TRA RESID'!$I:$I,W442)*AE442</f>
        <v>0</v>
      </c>
      <c r="AB442" s="18"/>
      <c r="AC442" s="18"/>
      <c r="AE442" s="21">
        <v>1</v>
      </c>
      <c r="AG442" s="15" t="str">
        <f>IF(AG441="*",AG441,"")</f>
        <v>*</v>
      </c>
      <c r="AH442" s="17" t="str">
        <f t="shared" si="350"/>
        <v>*HEV*</v>
      </c>
      <c r="AI442" s="17" t="str">
        <f t="shared" si="350"/>
        <v>TRARNG</v>
      </c>
      <c r="AJ442" s="17" t="str">
        <f t="shared" si="350"/>
        <v>TRAPASTBUDMD</v>
      </c>
      <c r="AK442" s="17" t="str">
        <f t="shared" si="350"/>
        <v>TRAPASTBUDMD</v>
      </c>
      <c r="AL442" s="18">
        <v>2030</v>
      </c>
      <c r="AM442" s="18" t="str">
        <f>AM441</f>
        <v>LO</v>
      </c>
      <c r="AN442" s="18"/>
      <c r="AO442" s="20">
        <f>-SUMIFS('TRA RESID'!$P:$P,'TRA RESID'!$I:$I,AK442,'TRA RESID'!$J:$J,AH442,'TRA RESID'!$H:$H,AI442)/SUMIFS('TRA RESID'!$P:$P,'TRA RESID'!$I:$I,AK442)*AS442</f>
        <v>0</v>
      </c>
      <c r="AP442" s="18"/>
      <c r="AQ442" s="18"/>
      <c r="AS442" s="21">
        <v>0.5</v>
      </c>
      <c r="AU442" s="15" t="str">
        <f>IF(AU441="*",AU441,"")</f>
        <v>*</v>
      </c>
      <c r="AV442" s="17" t="str">
        <f t="shared" si="351"/>
        <v>*FCEV*</v>
      </c>
      <c r="AW442" s="17" t="str">
        <f t="shared" si="351"/>
        <v>TRARNG</v>
      </c>
      <c r="AX442" s="17" t="str">
        <f t="shared" si="351"/>
        <v>TRAPASTBUDMD</v>
      </c>
      <c r="AY442" s="17" t="str">
        <f t="shared" si="351"/>
        <v>TRAPASTBUDMD</v>
      </c>
      <c r="AZ442" s="18">
        <v>2030</v>
      </c>
      <c r="BA442" s="18" t="str">
        <f>BA441</f>
        <v>LO</v>
      </c>
      <c r="BB442" s="18"/>
      <c r="BC442" s="20">
        <f>-SUMIFS('TRA RESID'!$P:$P,'TRA RESID'!$I:$I,AY442,'TRA RESID'!$J:$J,AV442,'TRA RESID'!$H:$H,AW442)/SUMIFS('TRA RESID'!$P:$P,'TRA RESID'!$I:$I,AY442)*BG442</f>
        <v>0</v>
      </c>
      <c r="BD442" s="18"/>
      <c r="BE442" s="18"/>
      <c r="BG442" s="21">
        <v>0.5</v>
      </c>
    </row>
    <row r="443" spans="1:59" x14ac:dyDescent="0.25">
      <c r="C443" s="15" t="str">
        <f>IF(C442="*",C442,"")</f>
        <v>*</v>
      </c>
      <c r="D443" s="17" t="str">
        <f t="shared" si="348"/>
        <v>*ICEV*</v>
      </c>
      <c r="E443" s="17" t="str">
        <f t="shared" si="348"/>
        <v>TRARNG</v>
      </c>
      <c r="F443" s="17" t="str">
        <f t="shared" si="348"/>
        <v>TRAPASTBUDMD</v>
      </c>
      <c r="G443" s="17" t="str">
        <f t="shared" si="348"/>
        <v>TRAPASTBUDMD</v>
      </c>
      <c r="H443" s="18">
        <v>2040</v>
      </c>
      <c r="I443" s="18" t="str">
        <f>I442</f>
        <v>LO</v>
      </c>
      <c r="J443" s="18"/>
      <c r="K443" s="20">
        <f>-SUMIFS('TRA RESID'!$P:$P,'TRA RESID'!$I:$I,G443,'TRA RESID'!$J:$J,D443,'TRA RESID'!$H:$H,E443)/SUMIFS('TRA RESID'!$P:$P,'TRA RESID'!$I:$I,G443)*O443</f>
        <v>0</v>
      </c>
      <c r="L443" s="18"/>
      <c r="M443" s="18"/>
      <c r="O443" s="21">
        <v>0</v>
      </c>
      <c r="S443" s="15" t="str">
        <f>IF(S442="*",S442,"")</f>
        <v>*</v>
      </c>
      <c r="T443" s="17" t="str">
        <f t="shared" si="349"/>
        <v>*BEV*</v>
      </c>
      <c r="U443" s="17" t="str">
        <f t="shared" si="349"/>
        <v>TRARNG</v>
      </c>
      <c r="V443" s="17" t="str">
        <f t="shared" si="349"/>
        <v>TRAPASTBUDMD</v>
      </c>
      <c r="W443" s="17" t="str">
        <f t="shared" si="349"/>
        <v>TRAPASTBUDMD</v>
      </c>
      <c r="X443" s="18">
        <v>2040</v>
      </c>
      <c r="Y443" s="18" t="str">
        <f>Y442</f>
        <v>LO</v>
      </c>
      <c r="Z443" s="18"/>
      <c r="AA443" s="20">
        <f>-SUMIFS('TRA RESID'!$P:$P,'TRA RESID'!$I:$I,W443,'TRA RESID'!$J:$J,T443,'TRA RESID'!$H:$H,U443)/SUMIFS('TRA RESID'!$P:$P,'TRA RESID'!$I:$I,W443)*AE443</f>
        <v>0</v>
      </c>
      <c r="AB443" s="18"/>
      <c r="AC443" s="18"/>
      <c r="AE443" s="21">
        <v>1</v>
      </c>
      <c r="AG443" s="15" t="str">
        <f>IF(AG442="*",AG442,"")</f>
        <v>*</v>
      </c>
      <c r="AH443" s="17" t="str">
        <f t="shared" si="350"/>
        <v>*HEV*</v>
      </c>
      <c r="AI443" s="17" t="str">
        <f t="shared" si="350"/>
        <v>TRARNG</v>
      </c>
      <c r="AJ443" s="17" t="str">
        <f t="shared" si="350"/>
        <v>TRAPASTBUDMD</v>
      </c>
      <c r="AK443" s="17" t="str">
        <f t="shared" si="350"/>
        <v>TRAPASTBUDMD</v>
      </c>
      <c r="AL443" s="18">
        <v>2040</v>
      </c>
      <c r="AM443" s="18" t="str">
        <f>AM442</f>
        <v>LO</v>
      </c>
      <c r="AN443" s="18"/>
      <c r="AO443" s="20">
        <f>-SUMIFS('TRA RESID'!$P:$P,'TRA RESID'!$I:$I,AK443,'TRA RESID'!$J:$J,AH443,'TRA RESID'!$H:$H,AI443)/SUMIFS('TRA RESID'!$P:$P,'TRA RESID'!$I:$I,AK443)*AS443</f>
        <v>0</v>
      </c>
      <c r="AP443" s="18"/>
      <c r="AQ443" s="18"/>
      <c r="AS443" s="21">
        <v>0</v>
      </c>
      <c r="AU443" s="15" t="str">
        <f>IF(AU442="*",AU442,"")</f>
        <v>*</v>
      </c>
      <c r="AV443" s="17" t="str">
        <f t="shared" si="351"/>
        <v>*FCEV*</v>
      </c>
      <c r="AW443" s="17" t="str">
        <f t="shared" si="351"/>
        <v>TRARNG</v>
      </c>
      <c r="AX443" s="17" t="str">
        <f t="shared" si="351"/>
        <v>TRAPASTBUDMD</v>
      </c>
      <c r="AY443" s="17" t="str">
        <f t="shared" si="351"/>
        <v>TRAPASTBUDMD</v>
      </c>
      <c r="AZ443" s="18">
        <v>2040</v>
      </c>
      <c r="BA443" s="18" t="str">
        <f>BA442</f>
        <v>LO</v>
      </c>
      <c r="BB443" s="18"/>
      <c r="BC443" s="20">
        <f>-SUMIFS('TRA RESID'!$P:$P,'TRA RESID'!$I:$I,AY443,'TRA RESID'!$J:$J,AV443,'TRA RESID'!$H:$H,AW443)/SUMIFS('TRA RESID'!$P:$P,'TRA RESID'!$I:$I,AY443)*BG443</f>
        <v>0</v>
      </c>
      <c r="BD443" s="18"/>
      <c r="BE443" s="18"/>
      <c r="BG443" s="21">
        <v>0</v>
      </c>
    </row>
    <row r="444" spans="1:59" x14ac:dyDescent="0.25">
      <c r="C444" s="23" t="str">
        <f>IF(C443="*",C443,"")</f>
        <v>*</v>
      </c>
      <c r="D444" s="25" t="str">
        <f t="shared" si="348"/>
        <v>*ICEV*</v>
      </c>
      <c r="E444" s="25" t="str">
        <f t="shared" si="348"/>
        <v>TRARNG</v>
      </c>
      <c r="F444" s="25" t="str">
        <f t="shared" si="348"/>
        <v>TRAPASTBUDMD</v>
      </c>
      <c r="G444" s="25" t="str">
        <f t="shared" si="348"/>
        <v>TRAPASTBUDMD</v>
      </c>
      <c r="H444" s="26">
        <v>2050</v>
      </c>
      <c r="I444" s="26" t="str">
        <f>I442</f>
        <v>LO</v>
      </c>
      <c r="J444" s="26"/>
      <c r="K444" s="27">
        <f>-SUMIFS('TRA RESID'!$P:$P,'TRA RESID'!$I:$I,G444,'TRA RESID'!$J:$J,D444,'TRA RESID'!$H:$H,E444)/SUMIFS('TRA RESID'!$P:$P,'TRA RESID'!$I:$I,G444)*O444</f>
        <v>0</v>
      </c>
      <c r="L444" s="26"/>
      <c r="M444" s="26"/>
      <c r="O444" s="28">
        <v>0</v>
      </c>
      <c r="S444" s="23" t="str">
        <f>IF(S443="*",S443,"")</f>
        <v>*</v>
      </c>
      <c r="T444" s="25" t="str">
        <f t="shared" si="349"/>
        <v>*BEV*</v>
      </c>
      <c r="U444" s="25" t="str">
        <f t="shared" si="349"/>
        <v>TRARNG</v>
      </c>
      <c r="V444" s="25" t="str">
        <f t="shared" si="349"/>
        <v>TRAPASTBUDMD</v>
      </c>
      <c r="W444" s="25" t="str">
        <f t="shared" si="349"/>
        <v>TRAPASTBUDMD</v>
      </c>
      <c r="X444" s="26">
        <v>2050</v>
      </c>
      <c r="Y444" s="26" t="str">
        <f>Y442</f>
        <v>LO</v>
      </c>
      <c r="Z444" s="26"/>
      <c r="AA444" s="27">
        <f>-SUMIFS('TRA RESID'!$P:$P,'TRA RESID'!$I:$I,W444,'TRA RESID'!$J:$J,T444,'TRA RESID'!$H:$H,U444)/SUMIFS('TRA RESID'!$P:$P,'TRA RESID'!$I:$I,W444)*AE444</f>
        <v>0</v>
      </c>
      <c r="AB444" s="26"/>
      <c r="AC444" s="26"/>
      <c r="AE444" s="28">
        <v>1</v>
      </c>
      <c r="AG444" s="23" t="str">
        <f>IF(AG443="*",AG443,"")</f>
        <v>*</v>
      </c>
      <c r="AH444" s="25" t="str">
        <f t="shared" si="350"/>
        <v>*HEV*</v>
      </c>
      <c r="AI444" s="25" t="str">
        <f t="shared" si="350"/>
        <v>TRARNG</v>
      </c>
      <c r="AJ444" s="25" t="str">
        <f t="shared" si="350"/>
        <v>TRAPASTBUDMD</v>
      </c>
      <c r="AK444" s="25" t="str">
        <f t="shared" si="350"/>
        <v>TRAPASTBUDMD</v>
      </c>
      <c r="AL444" s="26">
        <v>2050</v>
      </c>
      <c r="AM444" s="26" t="str">
        <f>AM442</f>
        <v>LO</v>
      </c>
      <c r="AN444" s="26"/>
      <c r="AO444" s="27">
        <f>-SUMIFS('TRA RESID'!$P:$P,'TRA RESID'!$I:$I,AK444,'TRA RESID'!$J:$J,AH444,'TRA RESID'!$H:$H,AI444)/SUMIFS('TRA RESID'!$P:$P,'TRA RESID'!$I:$I,AK444)*AS444</f>
        <v>0</v>
      </c>
      <c r="AP444" s="26"/>
      <c r="AQ444" s="26"/>
      <c r="AS444" s="28">
        <v>0</v>
      </c>
      <c r="AU444" s="23" t="str">
        <f>IF(AU443="*",AU443,"")</f>
        <v>*</v>
      </c>
      <c r="AV444" s="25" t="str">
        <f t="shared" si="351"/>
        <v>*FCEV*</v>
      </c>
      <c r="AW444" s="25" t="str">
        <f t="shared" si="351"/>
        <v>TRARNG</v>
      </c>
      <c r="AX444" s="25" t="str">
        <f t="shared" si="351"/>
        <v>TRAPASTBUDMD</v>
      </c>
      <c r="AY444" s="25" t="str">
        <f t="shared" si="351"/>
        <v>TRAPASTBUDMD</v>
      </c>
      <c r="AZ444" s="26">
        <v>2050</v>
      </c>
      <c r="BA444" s="26" t="str">
        <f>BA442</f>
        <v>LO</v>
      </c>
      <c r="BB444" s="26"/>
      <c r="BC444" s="27">
        <f>-SUMIFS('TRA RESID'!$P:$P,'TRA RESID'!$I:$I,AY444,'TRA RESID'!$J:$J,AV444,'TRA RESID'!$H:$H,AW444)/SUMIFS('TRA RESID'!$P:$P,'TRA RESID'!$I:$I,AY444)*BG444</f>
        <v>0</v>
      </c>
      <c r="BD444" s="26"/>
      <c r="BE444" s="26"/>
      <c r="BG444" s="28">
        <v>0</v>
      </c>
    </row>
    <row r="445" spans="1:59" x14ac:dyDescent="0.25">
      <c r="A445">
        <f>A440+1</f>
        <v>89</v>
      </c>
      <c r="C445" s="15" t="str">
        <f>IF(E445="","",IF(_xlfn.XLOOKUP($A445,Selected_constraint!$A:$A,Selected_constraint!$D:$D)=1,"*",IF(SUMIFS('TRA TECH'!$M:$M,'TRA TECH'!$H:$H,E445,'TRA TECH'!$I:$I,F445)=0,"*",IF(SUMIFS('TRA RESID'!$P:$P,'TRA RESID'!$I:$I,G445,'TRA RESID'!$J:$J,D445,'TRA RESID'!$H:$H,E445)=0,"*","UC_"&amp;SUBSTITUTE(D445,"*","")&amp;"_"&amp;RIGHT(E445,3)&amp;"_"&amp;F445))))</f>
        <v>*</v>
      </c>
      <c r="D445" s="17" t="s">
        <v>485</v>
      </c>
      <c r="E445" s="17" t="str">
        <f>_xlfn.XLOOKUP($A445,Selected_constraint!$A:$A,Selected_constraint!$B:$B)</f>
        <v>TRABAF</v>
      </c>
      <c r="F445" s="17" t="str">
        <f>_xlfn.XLOOKUP($A445,Selected_constraint!$A:$A,Selected_constraint!$C:$C)</f>
        <v>TRAPASTBUDMD</v>
      </c>
      <c r="G445" s="17" t="str">
        <f>F445</f>
        <v>TRAPASTBUDMD</v>
      </c>
      <c r="H445" s="18">
        <v>2019</v>
      </c>
      <c r="I445" s="18" t="s">
        <v>483</v>
      </c>
      <c r="J445" s="18">
        <v>1</v>
      </c>
      <c r="K445" s="20">
        <f>-SUMIFS('TRA RESID'!$P:$P,'TRA RESID'!$I:$I,G445,'TRA RESID'!$J:$J,D445,'TRA RESID'!$H:$H,E445)/SUMIFS('TRA RESID'!$P:$P,'TRA RESID'!$I:$I,G445)*O445</f>
        <v>0</v>
      </c>
      <c r="L445" s="18">
        <v>0</v>
      </c>
      <c r="M445" s="18">
        <v>5</v>
      </c>
      <c r="O445" s="21">
        <v>0.98</v>
      </c>
      <c r="Q445">
        <f>Q440+1</f>
        <v>89</v>
      </c>
      <c r="S445" s="15" t="str">
        <f>IF(SUMIFS('TRA RESID'!$P:$P,'TRA RESID'!$I:$I,W445,'TRA RESID'!$J:$J,T445,'TRA RESID'!$H:$H,U445)=0,"*","UC_"&amp;SUBSTITUTE(T445,"*","")&amp;"_"&amp;RIGHT(U445,3)&amp;"_"&amp;V445)</f>
        <v>*</v>
      </c>
      <c r="T445" s="17" t="s">
        <v>486</v>
      </c>
      <c r="U445" s="17" t="str">
        <f>_xlfn.XLOOKUP($A445,Selected_constraint!$A:$A,Selected_constraint!$B:$B)</f>
        <v>TRABAF</v>
      </c>
      <c r="V445" s="17" t="str">
        <f>_xlfn.XLOOKUP($A445,Selected_constraint!$A:$A,Selected_constraint!$C:$C)</f>
        <v>TRAPASTBUDMD</v>
      </c>
      <c r="W445" s="17" t="str">
        <f>V445</f>
        <v>TRAPASTBUDMD</v>
      </c>
      <c r="X445" s="18">
        <v>2019</v>
      </c>
      <c r="Y445" s="18" t="s">
        <v>483</v>
      </c>
      <c r="Z445" s="18">
        <v>1</v>
      </c>
      <c r="AA445" s="20">
        <f>-SUMIFS('TRA RESID'!$P:$P,'TRA RESID'!$I:$I,W445,'TRA RESID'!$J:$J,T445,'TRA RESID'!$H:$H,U445)/SUMIFS('TRA RESID'!$P:$P,'TRA RESID'!$I:$I,W445)*AE445</f>
        <v>0</v>
      </c>
      <c r="AB445" s="18">
        <v>0</v>
      </c>
      <c r="AC445" s="18">
        <v>5</v>
      </c>
      <c r="AE445" s="21">
        <v>0.98</v>
      </c>
      <c r="AG445" s="15" t="str">
        <f>IF(SUMIFS('TRA RESID'!$P:$P,'TRA RESID'!$I:$I,AK445,'TRA RESID'!$J:$J,AH445,'TRA RESID'!$H:$H,AI445)=0,"*","UC_"&amp;SUBSTITUTE(AH445,"*","")&amp;"_"&amp;RIGHT(AI445,3)&amp;"_"&amp;AJ445)</f>
        <v>*</v>
      </c>
      <c r="AH445" s="17" t="s">
        <v>487</v>
      </c>
      <c r="AI445" s="17" t="str">
        <f>_xlfn.XLOOKUP($A445,Selected_constraint!$A:$A,Selected_constraint!$B:$B)</f>
        <v>TRABAF</v>
      </c>
      <c r="AJ445" s="17" t="str">
        <f>_xlfn.XLOOKUP($A445,Selected_constraint!$A:$A,Selected_constraint!$C:$C)</f>
        <v>TRAPASTBUDMD</v>
      </c>
      <c r="AK445" s="17" t="str">
        <f>AJ445</f>
        <v>TRAPASTBUDMD</v>
      </c>
      <c r="AL445" s="18">
        <v>2019</v>
      </c>
      <c r="AM445" s="18" t="s">
        <v>483</v>
      </c>
      <c r="AN445" s="18">
        <v>1</v>
      </c>
      <c r="AO445" s="20">
        <f>-SUMIFS('TRA RESID'!$P:$P,'TRA RESID'!$I:$I,AK445,'TRA RESID'!$J:$J,AH445,'TRA RESID'!$H:$H,AI445)/SUMIFS('TRA RESID'!$P:$P,'TRA RESID'!$I:$I,AK445)*AS445</f>
        <v>0</v>
      </c>
      <c r="AP445" s="18">
        <v>0</v>
      </c>
      <c r="AQ445" s="18">
        <v>5</v>
      </c>
      <c r="AS445" s="21">
        <v>0.98</v>
      </c>
      <c r="AU445" s="15" t="str">
        <f>IF(SUMIFS('TRA RESID'!$P:$P,'TRA RESID'!$I:$I,AY445,'TRA RESID'!$J:$J,AV445,'TRA RESID'!$H:$H,AW445)=0,"*","UC_"&amp;SUBSTITUTE(AV445,"*","")&amp;"_"&amp;RIGHT(AW445,3)&amp;"_"&amp;AX445)</f>
        <v>*</v>
      </c>
      <c r="AV445" s="17" t="s">
        <v>488</v>
      </c>
      <c r="AW445" s="17" t="str">
        <f>_xlfn.XLOOKUP($A445,Selected_constraint!$A:$A,Selected_constraint!$B:$B)</f>
        <v>TRABAF</v>
      </c>
      <c r="AX445" s="17" t="str">
        <f>_xlfn.XLOOKUP($A445,Selected_constraint!$A:$A,Selected_constraint!$C:$C)</f>
        <v>TRAPASTBUDMD</v>
      </c>
      <c r="AY445" s="17" t="str">
        <f>AX445</f>
        <v>TRAPASTBUDMD</v>
      </c>
      <c r="AZ445" s="18">
        <v>2019</v>
      </c>
      <c r="BA445" s="18" t="s">
        <v>483</v>
      </c>
      <c r="BB445" s="18">
        <v>1</v>
      </c>
      <c r="BC445" s="20">
        <f>-SUMIFS('TRA RESID'!$P:$P,'TRA RESID'!$I:$I,AY445,'TRA RESID'!$J:$J,AV445,'TRA RESID'!$H:$H,AW445)/SUMIFS('TRA RESID'!$P:$P,'TRA RESID'!$I:$I,AY445)*BG445</f>
        <v>0</v>
      </c>
      <c r="BD445" s="18">
        <v>0</v>
      </c>
      <c r="BE445" s="18">
        <v>5</v>
      </c>
      <c r="BG445" s="21">
        <v>0.98</v>
      </c>
    </row>
    <row r="446" spans="1:59" x14ac:dyDescent="0.25">
      <c r="C446" s="15" t="str">
        <f>IF(C445="*",C445,"")</f>
        <v>*</v>
      </c>
      <c r="D446" s="17" t="str">
        <f t="shared" ref="D446:G449" si="352">D445</f>
        <v>*ICEV*</v>
      </c>
      <c r="E446" s="17" t="str">
        <f t="shared" si="352"/>
        <v>TRABAF</v>
      </c>
      <c r="F446" s="17" t="str">
        <f t="shared" si="352"/>
        <v>TRAPASTBUDMD</v>
      </c>
      <c r="G446" s="17" t="str">
        <f t="shared" si="352"/>
        <v>TRAPASTBUDMD</v>
      </c>
      <c r="H446" s="18">
        <v>2025</v>
      </c>
      <c r="I446" s="18" t="str">
        <f>I445</f>
        <v>LO</v>
      </c>
      <c r="J446" s="18"/>
      <c r="K446" s="20">
        <f>-SUMIFS('TRA RESID'!$P:$P,'TRA RESID'!$I:$I,G446,'TRA RESID'!$J:$J,D446,'TRA RESID'!$H:$H,E446)/SUMIFS('TRA RESID'!$P:$P,'TRA RESID'!$I:$I,G446)*O446</f>
        <v>0</v>
      </c>
      <c r="L446" s="18"/>
      <c r="M446" s="18"/>
      <c r="O446" s="21">
        <v>0.8</v>
      </c>
      <c r="S446" s="15" t="str">
        <f>IF(S445="*",S445,"")</f>
        <v>*</v>
      </c>
      <c r="T446" s="17" t="str">
        <f t="shared" ref="T446:W449" si="353">T445</f>
        <v>*BEV*</v>
      </c>
      <c r="U446" s="17" t="str">
        <f t="shared" si="353"/>
        <v>TRABAF</v>
      </c>
      <c r="V446" s="17" t="str">
        <f t="shared" si="353"/>
        <v>TRAPASTBUDMD</v>
      </c>
      <c r="W446" s="17" t="str">
        <f t="shared" si="353"/>
        <v>TRAPASTBUDMD</v>
      </c>
      <c r="X446" s="18">
        <v>2025</v>
      </c>
      <c r="Y446" s="18" t="str">
        <f>Y445</f>
        <v>LO</v>
      </c>
      <c r="Z446" s="18"/>
      <c r="AA446" s="20">
        <f>-SUMIFS('TRA RESID'!$P:$P,'TRA RESID'!$I:$I,W446,'TRA RESID'!$J:$J,T446,'TRA RESID'!$H:$H,U446)/SUMIFS('TRA RESID'!$P:$P,'TRA RESID'!$I:$I,W446)*AE446</f>
        <v>0</v>
      </c>
      <c r="AB446" s="18"/>
      <c r="AC446" s="18"/>
      <c r="AE446" s="21">
        <v>1</v>
      </c>
      <c r="AG446" s="15" t="str">
        <f>IF(AG445="*",AG445,"")</f>
        <v>*</v>
      </c>
      <c r="AH446" s="17" t="str">
        <f t="shared" ref="AH446:AK449" si="354">AH445</f>
        <v>*HEV*</v>
      </c>
      <c r="AI446" s="17" t="str">
        <f t="shared" si="354"/>
        <v>TRABAF</v>
      </c>
      <c r="AJ446" s="17" t="str">
        <f t="shared" si="354"/>
        <v>TRAPASTBUDMD</v>
      </c>
      <c r="AK446" s="17" t="str">
        <f t="shared" si="354"/>
        <v>TRAPASTBUDMD</v>
      </c>
      <c r="AL446" s="18">
        <v>2025</v>
      </c>
      <c r="AM446" s="18" t="str">
        <f>AM445</f>
        <v>LO</v>
      </c>
      <c r="AN446" s="18"/>
      <c r="AO446" s="20">
        <f>-SUMIFS('TRA RESID'!$P:$P,'TRA RESID'!$I:$I,AK446,'TRA RESID'!$J:$J,AH446,'TRA RESID'!$H:$H,AI446)/SUMIFS('TRA RESID'!$P:$P,'TRA RESID'!$I:$I,AK446)*AS446</f>
        <v>0</v>
      </c>
      <c r="AP446" s="18"/>
      <c r="AQ446" s="18"/>
      <c r="AS446" s="21">
        <v>0.8</v>
      </c>
      <c r="AU446" s="15" t="str">
        <f>IF(AU445="*",AU445,"")</f>
        <v>*</v>
      </c>
      <c r="AV446" s="17" t="str">
        <f t="shared" ref="AV446:AY449" si="355">AV445</f>
        <v>*FCEV*</v>
      </c>
      <c r="AW446" s="17" t="str">
        <f t="shared" si="355"/>
        <v>TRABAF</v>
      </c>
      <c r="AX446" s="17" t="str">
        <f t="shared" si="355"/>
        <v>TRAPASTBUDMD</v>
      </c>
      <c r="AY446" s="17" t="str">
        <f t="shared" si="355"/>
        <v>TRAPASTBUDMD</v>
      </c>
      <c r="AZ446" s="18">
        <v>2025</v>
      </c>
      <c r="BA446" s="18" t="str">
        <f>BA445</f>
        <v>LO</v>
      </c>
      <c r="BB446" s="18"/>
      <c r="BC446" s="20">
        <f>-SUMIFS('TRA RESID'!$P:$P,'TRA RESID'!$I:$I,AY446,'TRA RESID'!$J:$J,AV446,'TRA RESID'!$H:$H,AW446)/SUMIFS('TRA RESID'!$P:$P,'TRA RESID'!$I:$I,AY446)*BG446</f>
        <v>0</v>
      </c>
      <c r="BD446" s="18"/>
      <c r="BE446" s="18"/>
      <c r="BG446" s="21">
        <v>0.8</v>
      </c>
    </row>
    <row r="447" spans="1:59" x14ac:dyDescent="0.25">
      <c r="C447" s="15" t="str">
        <f>IF(C446="*",C446,"")</f>
        <v>*</v>
      </c>
      <c r="D447" s="17" t="str">
        <f t="shared" si="352"/>
        <v>*ICEV*</v>
      </c>
      <c r="E447" s="17" t="str">
        <f t="shared" si="352"/>
        <v>TRABAF</v>
      </c>
      <c r="F447" s="17" t="str">
        <f t="shared" si="352"/>
        <v>TRAPASTBUDMD</v>
      </c>
      <c r="G447" s="17" t="str">
        <f t="shared" si="352"/>
        <v>TRAPASTBUDMD</v>
      </c>
      <c r="H447" s="18">
        <v>2030</v>
      </c>
      <c r="I447" s="18" t="str">
        <f>I446</f>
        <v>LO</v>
      </c>
      <c r="J447" s="18"/>
      <c r="K447" s="20">
        <f>-SUMIFS('TRA RESID'!$P:$P,'TRA RESID'!$I:$I,G447,'TRA RESID'!$J:$J,D447,'TRA RESID'!$H:$H,E447)/SUMIFS('TRA RESID'!$P:$P,'TRA RESID'!$I:$I,G447)*O447</f>
        <v>0</v>
      </c>
      <c r="L447" s="18"/>
      <c r="M447" s="18"/>
      <c r="O447" s="21">
        <v>0.5</v>
      </c>
      <c r="S447" s="15" t="str">
        <f>IF(S446="*",S446,"")</f>
        <v>*</v>
      </c>
      <c r="T447" s="17" t="str">
        <f t="shared" si="353"/>
        <v>*BEV*</v>
      </c>
      <c r="U447" s="17" t="str">
        <f t="shared" si="353"/>
        <v>TRABAF</v>
      </c>
      <c r="V447" s="17" t="str">
        <f t="shared" si="353"/>
        <v>TRAPASTBUDMD</v>
      </c>
      <c r="W447" s="17" t="str">
        <f t="shared" si="353"/>
        <v>TRAPASTBUDMD</v>
      </c>
      <c r="X447" s="18">
        <v>2030</v>
      </c>
      <c r="Y447" s="18" t="str">
        <f>Y446</f>
        <v>LO</v>
      </c>
      <c r="Z447" s="18"/>
      <c r="AA447" s="20">
        <f>-SUMIFS('TRA RESID'!$P:$P,'TRA RESID'!$I:$I,W447,'TRA RESID'!$J:$J,T447,'TRA RESID'!$H:$H,U447)/SUMIFS('TRA RESID'!$P:$P,'TRA RESID'!$I:$I,W447)*AE447</f>
        <v>0</v>
      </c>
      <c r="AB447" s="18"/>
      <c r="AC447" s="18"/>
      <c r="AE447" s="21">
        <v>1</v>
      </c>
      <c r="AG447" s="15" t="str">
        <f>IF(AG446="*",AG446,"")</f>
        <v>*</v>
      </c>
      <c r="AH447" s="17" t="str">
        <f t="shared" si="354"/>
        <v>*HEV*</v>
      </c>
      <c r="AI447" s="17" t="str">
        <f t="shared" si="354"/>
        <v>TRABAF</v>
      </c>
      <c r="AJ447" s="17" t="str">
        <f t="shared" si="354"/>
        <v>TRAPASTBUDMD</v>
      </c>
      <c r="AK447" s="17" t="str">
        <f t="shared" si="354"/>
        <v>TRAPASTBUDMD</v>
      </c>
      <c r="AL447" s="18">
        <v>2030</v>
      </c>
      <c r="AM447" s="18" t="str">
        <f>AM446</f>
        <v>LO</v>
      </c>
      <c r="AN447" s="18"/>
      <c r="AO447" s="20">
        <f>-SUMIFS('TRA RESID'!$P:$P,'TRA RESID'!$I:$I,AK447,'TRA RESID'!$J:$J,AH447,'TRA RESID'!$H:$H,AI447)/SUMIFS('TRA RESID'!$P:$P,'TRA RESID'!$I:$I,AK447)*AS447</f>
        <v>0</v>
      </c>
      <c r="AP447" s="18"/>
      <c r="AQ447" s="18"/>
      <c r="AS447" s="21">
        <v>0.5</v>
      </c>
      <c r="AU447" s="15" t="str">
        <f>IF(AU446="*",AU446,"")</f>
        <v>*</v>
      </c>
      <c r="AV447" s="17" t="str">
        <f t="shared" si="355"/>
        <v>*FCEV*</v>
      </c>
      <c r="AW447" s="17" t="str">
        <f t="shared" si="355"/>
        <v>TRABAF</v>
      </c>
      <c r="AX447" s="17" t="str">
        <f t="shared" si="355"/>
        <v>TRAPASTBUDMD</v>
      </c>
      <c r="AY447" s="17" t="str">
        <f t="shared" si="355"/>
        <v>TRAPASTBUDMD</v>
      </c>
      <c r="AZ447" s="18">
        <v>2030</v>
      </c>
      <c r="BA447" s="18" t="str">
        <f>BA446</f>
        <v>LO</v>
      </c>
      <c r="BB447" s="18"/>
      <c r="BC447" s="20">
        <f>-SUMIFS('TRA RESID'!$P:$P,'TRA RESID'!$I:$I,AY447,'TRA RESID'!$J:$J,AV447,'TRA RESID'!$H:$H,AW447)/SUMIFS('TRA RESID'!$P:$P,'TRA RESID'!$I:$I,AY447)*BG447</f>
        <v>0</v>
      </c>
      <c r="BD447" s="18"/>
      <c r="BE447" s="18"/>
      <c r="BG447" s="21">
        <v>0.5</v>
      </c>
    </row>
    <row r="448" spans="1:59" x14ac:dyDescent="0.25">
      <c r="C448" s="15" t="str">
        <f>IF(C447="*",C447,"")</f>
        <v>*</v>
      </c>
      <c r="D448" s="17" t="str">
        <f t="shared" si="352"/>
        <v>*ICEV*</v>
      </c>
      <c r="E448" s="17" t="str">
        <f t="shared" si="352"/>
        <v>TRABAF</v>
      </c>
      <c r="F448" s="17" t="str">
        <f t="shared" si="352"/>
        <v>TRAPASTBUDMD</v>
      </c>
      <c r="G448" s="17" t="str">
        <f t="shared" si="352"/>
        <v>TRAPASTBUDMD</v>
      </c>
      <c r="H448" s="18">
        <v>2040</v>
      </c>
      <c r="I448" s="18" t="str">
        <f>I447</f>
        <v>LO</v>
      </c>
      <c r="J448" s="18"/>
      <c r="K448" s="20">
        <f>-SUMIFS('TRA RESID'!$P:$P,'TRA RESID'!$I:$I,G448,'TRA RESID'!$J:$J,D448,'TRA RESID'!$H:$H,E448)/SUMIFS('TRA RESID'!$P:$P,'TRA RESID'!$I:$I,G448)*O448</f>
        <v>0</v>
      </c>
      <c r="L448" s="18"/>
      <c r="M448" s="18"/>
      <c r="O448" s="21">
        <v>0</v>
      </c>
      <c r="S448" s="15" t="str">
        <f>IF(S447="*",S447,"")</f>
        <v>*</v>
      </c>
      <c r="T448" s="17" t="str">
        <f t="shared" si="353"/>
        <v>*BEV*</v>
      </c>
      <c r="U448" s="17" t="str">
        <f t="shared" si="353"/>
        <v>TRABAF</v>
      </c>
      <c r="V448" s="17" t="str">
        <f t="shared" si="353"/>
        <v>TRAPASTBUDMD</v>
      </c>
      <c r="W448" s="17" t="str">
        <f t="shared" si="353"/>
        <v>TRAPASTBUDMD</v>
      </c>
      <c r="X448" s="18">
        <v>2040</v>
      </c>
      <c r="Y448" s="18" t="str">
        <f>Y447</f>
        <v>LO</v>
      </c>
      <c r="Z448" s="18"/>
      <c r="AA448" s="20">
        <f>-SUMIFS('TRA RESID'!$P:$P,'TRA RESID'!$I:$I,W448,'TRA RESID'!$J:$J,T448,'TRA RESID'!$H:$H,U448)/SUMIFS('TRA RESID'!$P:$P,'TRA RESID'!$I:$I,W448)*AE448</f>
        <v>0</v>
      </c>
      <c r="AB448" s="18"/>
      <c r="AC448" s="18"/>
      <c r="AE448" s="21">
        <v>1</v>
      </c>
      <c r="AG448" s="15" t="str">
        <f>IF(AG447="*",AG447,"")</f>
        <v>*</v>
      </c>
      <c r="AH448" s="17" t="str">
        <f t="shared" si="354"/>
        <v>*HEV*</v>
      </c>
      <c r="AI448" s="17" t="str">
        <f t="shared" si="354"/>
        <v>TRABAF</v>
      </c>
      <c r="AJ448" s="17" t="str">
        <f t="shared" si="354"/>
        <v>TRAPASTBUDMD</v>
      </c>
      <c r="AK448" s="17" t="str">
        <f t="shared" si="354"/>
        <v>TRAPASTBUDMD</v>
      </c>
      <c r="AL448" s="18">
        <v>2040</v>
      </c>
      <c r="AM448" s="18" t="str">
        <f>AM447</f>
        <v>LO</v>
      </c>
      <c r="AN448" s="18"/>
      <c r="AO448" s="20">
        <f>-SUMIFS('TRA RESID'!$P:$P,'TRA RESID'!$I:$I,AK448,'TRA RESID'!$J:$J,AH448,'TRA RESID'!$H:$H,AI448)/SUMIFS('TRA RESID'!$P:$P,'TRA RESID'!$I:$I,AK448)*AS448</f>
        <v>0</v>
      </c>
      <c r="AP448" s="18"/>
      <c r="AQ448" s="18"/>
      <c r="AS448" s="21">
        <v>0</v>
      </c>
      <c r="AU448" s="15" t="str">
        <f>IF(AU447="*",AU447,"")</f>
        <v>*</v>
      </c>
      <c r="AV448" s="17" t="str">
        <f t="shared" si="355"/>
        <v>*FCEV*</v>
      </c>
      <c r="AW448" s="17" t="str">
        <f t="shared" si="355"/>
        <v>TRABAF</v>
      </c>
      <c r="AX448" s="17" t="str">
        <f t="shared" si="355"/>
        <v>TRAPASTBUDMD</v>
      </c>
      <c r="AY448" s="17" t="str">
        <f t="shared" si="355"/>
        <v>TRAPASTBUDMD</v>
      </c>
      <c r="AZ448" s="18">
        <v>2040</v>
      </c>
      <c r="BA448" s="18" t="str">
        <f>BA447</f>
        <v>LO</v>
      </c>
      <c r="BB448" s="18"/>
      <c r="BC448" s="20">
        <f>-SUMIFS('TRA RESID'!$P:$P,'TRA RESID'!$I:$I,AY448,'TRA RESID'!$J:$J,AV448,'TRA RESID'!$H:$H,AW448)/SUMIFS('TRA RESID'!$P:$P,'TRA RESID'!$I:$I,AY448)*BG448</f>
        <v>0</v>
      </c>
      <c r="BD448" s="18"/>
      <c r="BE448" s="18"/>
      <c r="BG448" s="21">
        <v>0</v>
      </c>
    </row>
    <row r="449" spans="1:59" x14ac:dyDescent="0.25">
      <c r="C449" s="23" t="str">
        <f>IF(C448="*",C448,"")</f>
        <v>*</v>
      </c>
      <c r="D449" s="25" t="str">
        <f t="shared" si="352"/>
        <v>*ICEV*</v>
      </c>
      <c r="E449" s="25" t="str">
        <f t="shared" si="352"/>
        <v>TRABAF</v>
      </c>
      <c r="F449" s="25" t="str">
        <f t="shared" si="352"/>
        <v>TRAPASTBUDMD</v>
      </c>
      <c r="G449" s="25" t="str">
        <f t="shared" si="352"/>
        <v>TRAPASTBUDMD</v>
      </c>
      <c r="H449" s="26">
        <v>2050</v>
      </c>
      <c r="I449" s="26" t="str">
        <f>I447</f>
        <v>LO</v>
      </c>
      <c r="J449" s="26"/>
      <c r="K449" s="27">
        <f>-SUMIFS('TRA RESID'!$P:$P,'TRA RESID'!$I:$I,G449,'TRA RESID'!$J:$J,D449,'TRA RESID'!$H:$H,E449)/SUMIFS('TRA RESID'!$P:$P,'TRA RESID'!$I:$I,G449)*O449</f>
        <v>0</v>
      </c>
      <c r="L449" s="26"/>
      <c r="M449" s="26"/>
      <c r="O449" s="28">
        <v>0</v>
      </c>
      <c r="S449" s="23" t="str">
        <f>IF(S448="*",S448,"")</f>
        <v>*</v>
      </c>
      <c r="T449" s="25" t="str">
        <f t="shared" si="353"/>
        <v>*BEV*</v>
      </c>
      <c r="U449" s="25" t="str">
        <f t="shared" si="353"/>
        <v>TRABAF</v>
      </c>
      <c r="V449" s="25" t="str">
        <f t="shared" si="353"/>
        <v>TRAPASTBUDMD</v>
      </c>
      <c r="W449" s="25" t="str">
        <f t="shared" si="353"/>
        <v>TRAPASTBUDMD</v>
      </c>
      <c r="X449" s="26">
        <v>2050</v>
      </c>
      <c r="Y449" s="26" t="str">
        <f>Y447</f>
        <v>LO</v>
      </c>
      <c r="Z449" s="26"/>
      <c r="AA449" s="27">
        <f>-SUMIFS('TRA RESID'!$P:$P,'TRA RESID'!$I:$I,W449,'TRA RESID'!$J:$J,T449,'TRA RESID'!$H:$H,U449)/SUMIFS('TRA RESID'!$P:$P,'TRA RESID'!$I:$I,W449)*AE449</f>
        <v>0</v>
      </c>
      <c r="AB449" s="26"/>
      <c r="AC449" s="26"/>
      <c r="AE449" s="28">
        <v>1</v>
      </c>
      <c r="AG449" s="23" t="str">
        <f>IF(AG448="*",AG448,"")</f>
        <v>*</v>
      </c>
      <c r="AH449" s="25" t="str">
        <f t="shared" si="354"/>
        <v>*HEV*</v>
      </c>
      <c r="AI449" s="25" t="str">
        <f t="shared" si="354"/>
        <v>TRABAF</v>
      </c>
      <c r="AJ449" s="25" t="str">
        <f t="shared" si="354"/>
        <v>TRAPASTBUDMD</v>
      </c>
      <c r="AK449" s="25" t="str">
        <f t="shared" si="354"/>
        <v>TRAPASTBUDMD</v>
      </c>
      <c r="AL449" s="26">
        <v>2050</v>
      </c>
      <c r="AM449" s="26" t="str">
        <f>AM447</f>
        <v>LO</v>
      </c>
      <c r="AN449" s="26"/>
      <c r="AO449" s="27">
        <f>-SUMIFS('TRA RESID'!$P:$P,'TRA RESID'!$I:$I,AK449,'TRA RESID'!$J:$J,AH449,'TRA RESID'!$H:$H,AI449)/SUMIFS('TRA RESID'!$P:$P,'TRA RESID'!$I:$I,AK449)*AS449</f>
        <v>0</v>
      </c>
      <c r="AP449" s="26"/>
      <c r="AQ449" s="26"/>
      <c r="AS449" s="28">
        <v>0</v>
      </c>
      <c r="AU449" s="23" t="str">
        <f>IF(AU448="*",AU448,"")</f>
        <v>*</v>
      </c>
      <c r="AV449" s="25" t="str">
        <f t="shared" si="355"/>
        <v>*FCEV*</v>
      </c>
      <c r="AW449" s="25" t="str">
        <f t="shared" si="355"/>
        <v>TRABAF</v>
      </c>
      <c r="AX449" s="25" t="str">
        <f t="shared" si="355"/>
        <v>TRAPASTBUDMD</v>
      </c>
      <c r="AY449" s="25" t="str">
        <f t="shared" si="355"/>
        <v>TRAPASTBUDMD</v>
      </c>
      <c r="AZ449" s="26">
        <v>2050</v>
      </c>
      <c r="BA449" s="26" t="str">
        <f>BA447</f>
        <v>LO</v>
      </c>
      <c r="BB449" s="26"/>
      <c r="BC449" s="27">
        <f>-SUMIFS('TRA RESID'!$P:$P,'TRA RESID'!$I:$I,AY449,'TRA RESID'!$J:$J,AV449,'TRA RESID'!$H:$H,AW449)/SUMIFS('TRA RESID'!$P:$P,'TRA RESID'!$I:$I,AY449)*BG449</f>
        <v>0</v>
      </c>
      <c r="BD449" s="26"/>
      <c r="BE449" s="26"/>
      <c r="BG449" s="28">
        <v>0</v>
      </c>
    </row>
    <row r="450" spans="1:59" x14ac:dyDescent="0.25">
      <c r="A450">
        <f>A445+1</f>
        <v>90</v>
      </c>
      <c r="C450" s="15" t="str">
        <f>IF(E450="","",IF(_xlfn.XLOOKUP($A450,Selected_constraint!$A:$A,Selected_constraint!$D:$D)=1,"*",IF(SUMIFS('TRA TECH'!$M:$M,'TRA TECH'!$H:$H,E450,'TRA TECH'!$I:$I,F450)=0,"*",IF(SUMIFS('TRA RESID'!$P:$P,'TRA RESID'!$I:$I,G450,'TRA RESID'!$J:$J,D450,'TRA RESID'!$H:$H,E450)=0,"*","UC_"&amp;SUBSTITUTE(D450,"*","")&amp;"_"&amp;RIGHT(E450,3)&amp;"_"&amp;F450))))</f>
        <v>*</v>
      </c>
      <c r="D450" s="17" t="s">
        <v>485</v>
      </c>
      <c r="E450" s="17" t="str">
        <f>_xlfn.XLOOKUP($A450,Selected_constraint!$A:$A,Selected_constraint!$B:$B)</f>
        <v>TRAH2G</v>
      </c>
      <c r="F450" s="17" t="str">
        <f>_xlfn.XLOOKUP($A450,Selected_constraint!$A:$A,Selected_constraint!$C:$C)</f>
        <v>TRAPASTBUDMD</v>
      </c>
      <c r="G450" s="17" t="str">
        <f>F450</f>
        <v>TRAPASTBUDMD</v>
      </c>
      <c r="H450" s="18">
        <v>2019</v>
      </c>
      <c r="I450" s="18" t="s">
        <v>483</v>
      </c>
      <c r="J450" s="18">
        <v>1</v>
      </c>
      <c r="K450" s="20">
        <f>-SUMIFS('TRA RESID'!$P:$P,'TRA RESID'!$I:$I,G450,'TRA RESID'!$J:$J,D450,'TRA RESID'!$H:$H,E450)/SUMIFS('TRA RESID'!$P:$P,'TRA RESID'!$I:$I,G450)*O450</f>
        <v>0</v>
      </c>
      <c r="L450" s="18">
        <v>0</v>
      </c>
      <c r="M450" s="18">
        <v>5</v>
      </c>
      <c r="O450" s="21">
        <v>0.98</v>
      </c>
      <c r="Q450">
        <f>Q445+1</f>
        <v>90</v>
      </c>
      <c r="S450" s="15" t="str">
        <f>IF(SUMIFS('TRA RESID'!$P:$P,'TRA RESID'!$I:$I,W450,'TRA RESID'!$J:$J,T450,'TRA RESID'!$H:$H,U450)=0,"*","UC_"&amp;SUBSTITUTE(T450,"*","")&amp;"_"&amp;RIGHT(U450,3)&amp;"_"&amp;V450)</f>
        <v>*</v>
      </c>
      <c r="T450" s="17" t="s">
        <v>486</v>
      </c>
      <c r="U450" s="17" t="str">
        <f>_xlfn.XLOOKUP($A450,Selected_constraint!$A:$A,Selected_constraint!$B:$B)</f>
        <v>TRAH2G</v>
      </c>
      <c r="V450" s="17" t="str">
        <f>_xlfn.XLOOKUP($A450,Selected_constraint!$A:$A,Selected_constraint!$C:$C)</f>
        <v>TRAPASTBUDMD</v>
      </c>
      <c r="W450" s="17" t="str">
        <f>V450</f>
        <v>TRAPASTBUDMD</v>
      </c>
      <c r="X450" s="18">
        <v>2019</v>
      </c>
      <c r="Y450" s="18" t="s">
        <v>483</v>
      </c>
      <c r="Z450" s="18">
        <v>1</v>
      </c>
      <c r="AA450" s="20">
        <f>-SUMIFS('TRA RESID'!$P:$P,'TRA RESID'!$I:$I,W450,'TRA RESID'!$J:$J,T450,'TRA RESID'!$H:$H,U450)/SUMIFS('TRA RESID'!$P:$P,'TRA RESID'!$I:$I,W450)*AE450</f>
        <v>0</v>
      </c>
      <c r="AB450" s="18">
        <v>0</v>
      </c>
      <c r="AC450" s="18">
        <v>5</v>
      </c>
      <c r="AE450" s="21">
        <v>0.98</v>
      </c>
      <c r="AG450" s="15" t="str">
        <f>IF(SUMIFS('TRA RESID'!$P:$P,'TRA RESID'!$I:$I,AK450,'TRA RESID'!$J:$J,AH450,'TRA RESID'!$H:$H,AI450)=0,"*","UC_"&amp;SUBSTITUTE(AH450,"*","")&amp;"_"&amp;RIGHT(AI450,3)&amp;"_"&amp;AJ450)</f>
        <v>*</v>
      </c>
      <c r="AH450" s="17" t="s">
        <v>487</v>
      </c>
      <c r="AI450" s="17" t="str">
        <f>_xlfn.XLOOKUP($A450,Selected_constraint!$A:$A,Selected_constraint!$B:$B)</f>
        <v>TRAH2G</v>
      </c>
      <c r="AJ450" s="17" t="str">
        <f>_xlfn.XLOOKUP($A450,Selected_constraint!$A:$A,Selected_constraint!$C:$C)</f>
        <v>TRAPASTBUDMD</v>
      </c>
      <c r="AK450" s="17" t="str">
        <f>AJ450</f>
        <v>TRAPASTBUDMD</v>
      </c>
      <c r="AL450" s="18">
        <v>2019</v>
      </c>
      <c r="AM450" s="18" t="s">
        <v>483</v>
      </c>
      <c r="AN450" s="18">
        <v>1</v>
      </c>
      <c r="AO450" s="20">
        <f>-SUMIFS('TRA RESID'!$P:$P,'TRA RESID'!$I:$I,AK450,'TRA RESID'!$J:$J,AH450,'TRA RESID'!$H:$H,AI450)/SUMIFS('TRA RESID'!$P:$P,'TRA RESID'!$I:$I,AK450)*AS450</f>
        <v>0</v>
      </c>
      <c r="AP450" s="18">
        <v>0</v>
      </c>
      <c r="AQ450" s="18">
        <v>5</v>
      </c>
      <c r="AS450" s="21">
        <v>0.98</v>
      </c>
      <c r="AU450" s="15" t="str">
        <f>IF(SUMIFS('TRA RESID'!$P:$P,'TRA RESID'!$I:$I,AY450,'TRA RESID'!$J:$J,AV450,'TRA RESID'!$H:$H,AW450)=0,"*","UC_"&amp;SUBSTITUTE(AV450,"*","")&amp;"_"&amp;RIGHT(AW450,3)&amp;"_"&amp;AX450)</f>
        <v>*</v>
      </c>
      <c r="AV450" s="17" t="s">
        <v>488</v>
      </c>
      <c r="AW450" s="17" t="str">
        <f>_xlfn.XLOOKUP($A450,Selected_constraint!$A:$A,Selected_constraint!$B:$B)</f>
        <v>TRAH2G</v>
      </c>
      <c r="AX450" s="17" t="str">
        <f>_xlfn.XLOOKUP($A450,Selected_constraint!$A:$A,Selected_constraint!$C:$C)</f>
        <v>TRAPASTBUDMD</v>
      </c>
      <c r="AY450" s="17" t="str">
        <f>AX450</f>
        <v>TRAPASTBUDMD</v>
      </c>
      <c r="AZ450" s="18">
        <v>2019</v>
      </c>
      <c r="BA450" s="18" t="s">
        <v>483</v>
      </c>
      <c r="BB450" s="18">
        <v>1</v>
      </c>
      <c r="BC450" s="20">
        <f>-SUMIFS('TRA RESID'!$P:$P,'TRA RESID'!$I:$I,AY450,'TRA RESID'!$J:$J,AV450,'TRA RESID'!$H:$H,AW450)/SUMIFS('TRA RESID'!$P:$P,'TRA RESID'!$I:$I,AY450)*BG450</f>
        <v>0</v>
      </c>
      <c r="BD450" s="18">
        <v>0</v>
      </c>
      <c r="BE450" s="18">
        <v>5</v>
      </c>
      <c r="BG450" s="21">
        <v>0.98</v>
      </c>
    </row>
    <row r="451" spans="1:59" x14ac:dyDescent="0.25">
      <c r="C451" s="15" t="str">
        <f>IF(C450="*",C450,"")</f>
        <v>*</v>
      </c>
      <c r="D451" s="17" t="str">
        <f t="shared" ref="D451:G454" si="356">D450</f>
        <v>*ICEV*</v>
      </c>
      <c r="E451" s="17" t="str">
        <f t="shared" si="356"/>
        <v>TRAH2G</v>
      </c>
      <c r="F451" s="17" t="str">
        <f t="shared" si="356"/>
        <v>TRAPASTBUDMD</v>
      </c>
      <c r="G451" s="17" t="str">
        <f t="shared" si="356"/>
        <v>TRAPASTBUDMD</v>
      </c>
      <c r="H451" s="18">
        <v>2025</v>
      </c>
      <c r="I451" s="18" t="str">
        <f>I450</f>
        <v>LO</v>
      </c>
      <c r="J451" s="18"/>
      <c r="K451" s="20">
        <f>-SUMIFS('TRA RESID'!$P:$P,'TRA RESID'!$I:$I,G451,'TRA RESID'!$J:$J,D451,'TRA RESID'!$H:$H,E451)/SUMIFS('TRA RESID'!$P:$P,'TRA RESID'!$I:$I,G451)*O451</f>
        <v>0</v>
      </c>
      <c r="L451" s="18"/>
      <c r="M451" s="18"/>
      <c r="O451" s="21">
        <v>0.8</v>
      </c>
      <c r="S451" s="15" t="str">
        <f>IF(S450="*",S450,"")</f>
        <v>*</v>
      </c>
      <c r="T451" s="17" t="str">
        <f t="shared" ref="T451:W454" si="357">T450</f>
        <v>*BEV*</v>
      </c>
      <c r="U451" s="17" t="str">
        <f t="shared" si="357"/>
        <v>TRAH2G</v>
      </c>
      <c r="V451" s="17" t="str">
        <f t="shared" si="357"/>
        <v>TRAPASTBUDMD</v>
      </c>
      <c r="W451" s="17" t="str">
        <f t="shared" si="357"/>
        <v>TRAPASTBUDMD</v>
      </c>
      <c r="X451" s="18">
        <v>2025</v>
      </c>
      <c r="Y451" s="18" t="str">
        <f>Y450</f>
        <v>LO</v>
      </c>
      <c r="Z451" s="18"/>
      <c r="AA451" s="20">
        <f>-SUMIFS('TRA RESID'!$P:$P,'TRA RESID'!$I:$I,W451,'TRA RESID'!$J:$J,T451,'TRA RESID'!$H:$H,U451)/SUMIFS('TRA RESID'!$P:$P,'TRA RESID'!$I:$I,W451)*AE451</f>
        <v>0</v>
      </c>
      <c r="AB451" s="18"/>
      <c r="AC451" s="18"/>
      <c r="AE451" s="21">
        <v>1</v>
      </c>
      <c r="AG451" s="15" t="str">
        <f>IF(AG450="*",AG450,"")</f>
        <v>*</v>
      </c>
      <c r="AH451" s="17" t="str">
        <f t="shared" ref="AH451:AK454" si="358">AH450</f>
        <v>*HEV*</v>
      </c>
      <c r="AI451" s="17" t="str">
        <f t="shared" si="358"/>
        <v>TRAH2G</v>
      </c>
      <c r="AJ451" s="17" t="str">
        <f t="shared" si="358"/>
        <v>TRAPASTBUDMD</v>
      </c>
      <c r="AK451" s="17" t="str">
        <f t="shared" si="358"/>
        <v>TRAPASTBUDMD</v>
      </c>
      <c r="AL451" s="18">
        <v>2025</v>
      </c>
      <c r="AM451" s="18" t="str">
        <f>AM450</f>
        <v>LO</v>
      </c>
      <c r="AN451" s="18"/>
      <c r="AO451" s="20">
        <f>-SUMIFS('TRA RESID'!$P:$P,'TRA RESID'!$I:$I,AK451,'TRA RESID'!$J:$J,AH451,'TRA RESID'!$H:$H,AI451)/SUMIFS('TRA RESID'!$P:$P,'TRA RESID'!$I:$I,AK451)*AS451</f>
        <v>0</v>
      </c>
      <c r="AP451" s="18"/>
      <c r="AQ451" s="18"/>
      <c r="AS451" s="21">
        <v>0.8</v>
      </c>
      <c r="AU451" s="15" t="str">
        <f>IF(AU450="*",AU450,"")</f>
        <v>*</v>
      </c>
      <c r="AV451" s="17" t="str">
        <f t="shared" ref="AV451:AY454" si="359">AV450</f>
        <v>*FCEV*</v>
      </c>
      <c r="AW451" s="17" t="str">
        <f t="shared" si="359"/>
        <v>TRAH2G</v>
      </c>
      <c r="AX451" s="17" t="str">
        <f t="shared" si="359"/>
        <v>TRAPASTBUDMD</v>
      </c>
      <c r="AY451" s="17" t="str">
        <f t="shared" si="359"/>
        <v>TRAPASTBUDMD</v>
      </c>
      <c r="AZ451" s="18">
        <v>2025</v>
      </c>
      <c r="BA451" s="18" t="str">
        <f>BA450</f>
        <v>LO</v>
      </c>
      <c r="BB451" s="18"/>
      <c r="BC451" s="20">
        <f>-SUMIFS('TRA RESID'!$P:$P,'TRA RESID'!$I:$I,AY451,'TRA RESID'!$J:$J,AV451,'TRA RESID'!$H:$H,AW451)/SUMIFS('TRA RESID'!$P:$P,'TRA RESID'!$I:$I,AY451)*BG451</f>
        <v>0</v>
      </c>
      <c r="BD451" s="18"/>
      <c r="BE451" s="18"/>
      <c r="BG451" s="21">
        <v>0.8</v>
      </c>
    </row>
    <row r="452" spans="1:59" x14ac:dyDescent="0.25">
      <c r="C452" s="15" t="str">
        <f>IF(C451="*",C451,"")</f>
        <v>*</v>
      </c>
      <c r="D452" s="17" t="str">
        <f t="shared" si="356"/>
        <v>*ICEV*</v>
      </c>
      <c r="E452" s="17" t="str">
        <f t="shared" si="356"/>
        <v>TRAH2G</v>
      </c>
      <c r="F452" s="17" t="str">
        <f t="shared" si="356"/>
        <v>TRAPASTBUDMD</v>
      </c>
      <c r="G452" s="17" t="str">
        <f t="shared" si="356"/>
        <v>TRAPASTBUDMD</v>
      </c>
      <c r="H452" s="18">
        <v>2030</v>
      </c>
      <c r="I452" s="18" t="str">
        <f>I451</f>
        <v>LO</v>
      </c>
      <c r="J452" s="18"/>
      <c r="K452" s="20">
        <f>-SUMIFS('TRA RESID'!$P:$P,'TRA RESID'!$I:$I,G452,'TRA RESID'!$J:$J,D452,'TRA RESID'!$H:$H,E452)/SUMIFS('TRA RESID'!$P:$P,'TRA RESID'!$I:$I,G452)*O452</f>
        <v>0</v>
      </c>
      <c r="L452" s="18"/>
      <c r="M452" s="18"/>
      <c r="O452" s="21">
        <v>0.5</v>
      </c>
      <c r="S452" s="15" t="str">
        <f>IF(S451="*",S451,"")</f>
        <v>*</v>
      </c>
      <c r="T452" s="17" t="str">
        <f t="shared" si="357"/>
        <v>*BEV*</v>
      </c>
      <c r="U452" s="17" t="str">
        <f t="shared" si="357"/>
        <v>TRAH2G</v>
      </c>
      <c r="V452" s="17" t="str">
        <f t="shared" si="357"/>
        <v>TRAPASTBUDMD</v>
      </c>
      <c r="W452" s="17" t="str">
        <f t="shared" si="357"/>
        <v>TRAPASTBUDMD</v>
      </c>
      <c r="X452" s="18">
        <v>2030</v>
      </c>
      <c r="Y452" s="18" t="str">
        <f>Y451</f>
        <v>LO</v>
      </c>
      <c r="Z452" s="18"/>
      <c r="AA452" s="20">
        <f>-SUMIFS('TRA RESID'!$P:$P,'TRA RESID'!$I:$I,W452,'TRA RESID'!$J:$J,T452,'TRA RESID'!$H:$H,U452)/SUMIFS('TRA RESID'!$P:$P,'TRA RESID'!$I:$I,W452)*AE452</f>
        <v>0</v>
      </c>
      <c r="AB452" s="18"/>
      <c r="AC452" s="18"/>
      <c r="AE452" s="21">
        <v>1</v>
      </c>
      <c r="AG452" s="15" t="str">
        <f>IF(AG451="*",AG451,"")</f>
        <v>*</v>
      </c>
      <c r="AH452" s="17" t="str">
        <f t="shared" si="358"/>
        <v>*HEV*</v>
      </c>
      <c r="AI452" s="17" t="str">
        <f t="shared" si="358"/>
        <v>TRAH2G</v>
      </c>
      <c r="AJ452" s="17" t="str">
        <f t="shared" si="358"/>
        <v>TRAPASTBUDMD</v>
      </c>
      <c r="AK452" s="17" t="str">
        <f t="shared" si="358"/>
        <v>TRAPASTBUDMD</v>
      </c>
      <c r="AL452" s="18">
        <v>2030</v>
      </c>
      <c r="AM452" s="18" t="str">
        <f>AM451</f>
        <v>LO</v>
      </c>
      <c r="AN452" s="18"/>
      <c r="AO452" s="20">
        <f>-SUMIFS('TRA RESID'!$P:$P,'TRA RESID'!$I:$I,AK452,'TRA RESID'!$J:$J,AH452,'TRA RESID'!$H:$H,AI452)/SUMIFS('TRA RESID'!$P:$P,'TRA RESID'!$I:$I,AK452)*AS452</f>
        <v>0</v>
      </c>
      <c r="AP452" s="18"/>
      <c r="AQ452" s="18"/>
      <c r="AS452" s="21">
        <v>0.5</v>
      </c>
      <c r="AU452" s="15" t="str">
        <f>IF(AU451="*",AU451,"")</f>
        <v>*</v>
      </c>
      <c r="AV452" s="17" t="str">
        <f t="shared" si="359"/>
        <v>*FCEV*</v>
      </c>
      <c r="AW452" s="17" t="str">
        <f t="shared" si="359"/>
        <v>TRAH2G</v>
      </c>
      <c r="AX452" s="17" t="str">
        <f t="shared" si="359"/>
        <v>TRAPASTBUDMD</v>
      </c>
      <c r="AY452" s="17" t="str">
        <f t="shared" si="359"/>
        <v>TRAPASTBUDMD</v>
      </c>
      <c r="AZ452" s="18">
        <v>2030</v>
      </c>
      <c r="BA452" s="18" t="str">
        <f>BA451</f>
        <v>LO</v>
      </c>
      <c r="BB452" s="18"/>
      <c r="BC452" s="20">
        <f>-SUMIFS('TRA RESID'!$P:$P,'TRA RESID'!$I:$I,AY452,'TRA RESID'!$J:$J,AV452,'TRA RESID'!$H:$H,AW452)/SUMIFS('TRA RESID'!$P:$P,'TRA RESID'!$I:$I,AY452)*BG452</f>
        <v>0</v>
      </c>
      <c r="BD452" s="18"/>
      <c r="BE452" s="18"/>
      <c r="BG452" s="21">
        <v>0.5</v>
      </c>
    </row>
    <row r="453" spans="1:59" x14ac:dyDescent="0.25">
      <c r="C453" s="15" t="str">
        <f>IF(C452="*",C452,"")</f>
        <v>*</v>
      </c>
      <c r="D453" s="17" t="str">
        <f t="shared" si="356"/>
        <v>*ICEV*</v>
      </c>
      <c r="E453" s="17" t="str">
        <f t="shared" si="356"/>
        <v>TRAH2G</v>
      </c>
      <c r="F453" s="17" t="str">
        <f t="shared" si="356"/>
        <v>TRAPASTBUDMD</v>
      </c>
      <c r="G453" s="17" t="str">
        <f t="shared" si="356"/>
        <v>TRAPASTBUDMD</v>
      </c>
      <c r="H453" s="18">
        <v>2040</v>
      </c>
      <c r="I453" s="18" t="str">
        <f>I452</f>
        <v>LO</v>
      </c>
      <c r="J453" s="18"/>
      <c r="K453" s="20">
        <f>-SUMIFS('TRA RESID'!$P:$P,'TRA RESID'!$I:$I,G453,'TRA RESID'!$J:$J,D453,'TRA RESID'!$H:$H,E453)/SUMIFS('TRA RESID'!$P:$P,'TRA RESID'!$I:$I,G453)*O453</f>
        <v>0</v>
      </c>
      <c r="L453" s="18"/>
      <c r="M453" s="18"/>
      <c r="O453" s="21">
        <v>0</v>
      </c>
      <c r="S453" s="15" t="str">
        <f>IF(S452="*",S452,"")</f>
        <v>*</v>
      </c>
      <c r="T453" s="17" t="str">
        <f t="shared" si="357"/>
        <v>*BEV*</v>
      </c>
      <c r="U453" s="17" t="str">
        <f t="shared" si="357"/>
        <v>TRAH2G</v>
      </c>
      <c r="V453" s="17" t="str">
        <f t="shared" si="357"/>
        <v>TRAPASTBUDMD</v>
      </c>
      <c r="W453" s="17" t="str">
        <f t="shared" si="357"/>
        <v>TRAPASTBUDMD</v>
      </c>
      <c r="X453" s="18">
        <v>2040</v>
      </c>
      <c r="Y453" s="18" t="str">
        <f>Y452</f>
        <v>LO</v>
      </c>
      <c r="Z453" s="18"/>
      <c r="AA453" s="20">
        <f>-SUMIFS('TRA RESID'!$P:$P,'TRA RESID'!$I:$I,W453,'TRA RESID'!$J:$J,T453,'TRA RESID'!$H:$H,U453)/SUMIFS('TRA RESID'!$P:$P,'TRA RESID'!$I:$I,W453)*AE453</f>
        <v>0</v>
      </c>
      <c r="AB453" s="18"/>
      <c r="AC453" s="18"/>
      <c r="AE453" s="21">
        <v>1</v>
      </c>
      <c r="AG453" s="15" t="str">
        <f>IF(AG452="*",AG452,"")</f>
        <v>*</v>
      </c>
      <c r="AH453" s="17" t="str">
        <f t="shared" si="358"/>
        <v>*HEV*</v>
      </c>
      <c r="AI453" s="17" t="str">
        <f t="shared" si="358"/>
        <v>TRAH2G</v>
      </c>
      <c r="AJ453" s="17" t="str">
        <f t="shared" si="358"/>
        <v>TRAPASTBUDMD</v>
      </c>
      <c r="AK453" s="17" t="str">
        <f t="shared" si="358"/>
        <v>TRAPASTBUDMD</v>
      </c>
      <c r="AL453" s="18">
        <v>2040</v>
      </c>
      <c r="AM453" s="18" t="str">
        <f>AM452</f>
        <v>LO</v>
      </c>
      <c r="AN453" s="18"/>
      <c r="AO453" s="20">
        <f>-SUMIFS('TRA RESID'!$P:$P,'TRA RESID'!$I:$I,AK453,'TRA RESID'!$J:$J,AH453,'TRA RESID'!$H:$H,AI453)/SUMIFS('TRA RESID'!$P:$P,'TRA RESID'!$I:$I,AK453)*AS453</f>
        <v>0</v>
      </c>
      <c r="AP453" s="18"/>
      <c r="AQ453" s="18"/>
      <c r="AS453" s="21">
        <v>0</v>
      </c>
      <c r="AU453" s="15" t="str">
        <f>IF(AU452="*",AU452,"")</f>
        <v>*</v>
      </c>
      <c r="AV453" s="17" t="str">
        <f t="shared" si="359"/>
        <v>*FCEV*</v>
      </c>
      <c r="AW453" s="17" t="str">
        <f t="shared" si="359"/>
        <v>TRAH2G</v>
      </c>
      <c r="AX453" s="17" t="str">
        <f t="shared" si="359"/>
        <v>TRAPASTBUDMD</v>
      </c>
      <c r="AY453" s="17" t="str">
        <f t="shared" si="359"/>
        <v>TRAPASTBUDMD</v>
      </c>
      <c r="AZ453" s="18">
        <v>2040</v>
      </c>
      <c r="BA453" s="18" t="str">
        <f>BA452</f>
        <v>LO</v>
      </c>
      <c r="BB453" s="18"/>
      <c r="BC453" s="20">
        <f>-SUMIFS('TRA RESID'!$P:$P,'TRA RESID'!$I:$I,AY453,'TRA RESID'!$J:$J,AV453,'TRA RESID'!$H:$H,AW453)/SUMIFS('TRA RESID'!$P:$P,'TRA RESID'!$I:$I,AY453)*BG453</f>
        <v>0</v>
      </c>
      <c r="BD453" s="18"/>
      <c r="BE453" s="18"/>
      <c r="BG453" s="21">
        <v>0</v>
      </c>
    </row>
    <row r="454" spans="1:59" x14ac:dyDescent="0.25">
      <c r="C454" s="23" t="str">
        <f>IF(C453="*",C453,"")</f>
        <v>*</v>
      </c>
      <c r="D454" s="25" t="str">
        <f t="shared" si="356"/>
        <v>*ICEV*</v>
      </c>
      <c r="E454" s="25" t="str">
        <f t="shared" si="356"/>
        <v>TRAH2G</v>
      </c>
      <c r="F454" s="25" t="str">
        <f t="shared" si="356"/>
        <v>TRAPASTBUDMD</v>
      </c>
      <c r="G454" s="25" t="str">
        <f t="shared" si="356"/>
        <v>TRAPASTBUDMD</v>
      </c>
      <c r="H454" s="26">
        <v>2050</v>
      </c>
      <c r="I454" s="26" t="str">
        <f>I452</f>
        <v>LO</v>
      </c>
      <c r="J454" s="26"/>
      <c r="K454" s="27">
        <f>-SUMIFS('TRA RESID'!$P:$P,'TRA RESID'!$I:$I,G454,'TRA RESID'!$J:$J,D454,'TRA RESID'!$H:$H,E454)/SUMIFS('TRA RESID'!$P:$P,'TRA RESID'!$I:$I,G454)*O454</f>
        <v>0</v>
      </c>
      <c r="L454" s="26"/>
      <c r="M454" s="26"/>
      <c r="O454" s="28">
        <v>0</v>
      </c>
      <c r="S454" s="23" t="str">
        <f>IF(S453="*",S453,"")</f>
        <v>*</v>
      </c>
      <c r="T454" s="25" t="str">
        <f t="shared" si="357"/>
        <v>*BEV*</v>
      </c>
      <c r="U454" s="25" t="str">
        <f t="shared" si="357"/>
        <v>TRAH2G</v>
      </c>
      <c r="V454" s="25" t="str">
        <f t="shared" si="357"/>
        <v>TRAPASTBUDMD</v>
      </c>
      <c r="W454" s="25" t="str">
        <f t="shared" si="357"/>
        <v>TRAPASTBUDMD</v>
      </c>
      <c r="X454" s="26">
        <v>2050</v>
      </c>
      <c r="Y454" s="26" t="str">
        <f>Y452</f>
        <v>LO</v>
      </c>
      <c r="Z454" s="26"/>
      <c r="AA454" s="27">
        <f>-SUMIFS('TRA RESID'!$P:$P,'TRA RESID'!$I:$I,W454,'TRA RESID'!$J:$J,T454,'TRA RESID'!$H:$H,U454)/SUMIFS('TRA RESID'!$P:$P,'TRA RESID'!$I:$I,W454)*AE454</f>
        <v>0</v>
      </c>
      <c r="AB454" s="26"/>
      <c r="AC454" s="26"/>
      <c r="AE454" s="28">
        <v>1</v>
      </c>
      <c r="AG454" s="23" t="str">
        <f>IF(AG453="*",AG453,"")</f>
        <v>*</v>
      </c>
      <c r="AH454" s="25" t="str">
        <f t="shared" si="358"/>
        <v>*HEV*</v>
      </c>
      <c r="AI454" s="25" t="str">
        <f t="shared" si="358"/>
        <v>TRAH2G</v>
      </c>
      <c r="AJ454" s="25" t="str">
        <f t="shared" si="358"/>
        <v>TRAPASTBUDMD</v>
      </c>
      <c r="AK454" s="25" t="str">
        <f t="shared" si="358"/>
        <v>TRAPASTBUDMD</v>
      </c>
      <c r="AL454" s="26">
        <v>2050</v>
      </c>
      <c r="AM454" s="26" t="str">
        <f>AM452</f>
        <v>LO</v>
      </c>
      <c r="AN454" s="26"/>
      <c r="AO454" s="27">
        <f>-SUMIFS('TRA RESID'!$P:$P,'TRA RESID'!$I:$I,AK454,'TRA RESID'!$J:$J,AH454,'TRA RESID'!$H:$H,AI454)/SUMIFS('TRA RESID'!$P:$P,'TRA RESID'!$I:$I,AK454)*AS454</f>
        <v>0</v>
      </c>
      <c r="AP454" s="26"/>
      <c r="AQ454" s="26"/>
      <c r="AS454" s="28">
        <v>0</v>
      </c>
      <c r="AU454" s="23" t="str">
        <f>IF(AU453="*",AU453,"")</f>
        <v>*</v>
      </c>
      <c r="AV454" s="25" t="str">
        <f t="shared" si="359"/>
        <v>*FCEV*</v>
      </c>
      <c r="AW454" s="25" t="str">
        <f t="shared" si="359"/>
        <v>TRAH2G</v>
      </c>
      <c r="AX454" s="25" t="str">
        <f t="shared" si="359"/>
        <v>TRAPASTBUDMD</v>
      </c>
      <c r="AY454" s="25" t="str">
        <f t="shared" si="359"/>
        <v>TRAPASTBUDMD</v>
      </c>
      <c r="AZ454" s="26">
        <v>2050</v>
      </c>
      <c r="BA454" s="26" t="str">
        <f>BA452</f>
        <v>LO</v>
      </c>
      <c r="BB454" s="26"/>
      <c r="BC454" s="27">
        <f>-SUMIFS('TRA RESID'!$P:$P,'TRA RESID'!$I:$I,AY454,'TRA RESID'!$J:$J,AV454,'TRA RESID'!$H:$H,AW454)/SUMIFS('TRA RESID'!$P:$P,'TRA RESID'!$I:$I,AY454)*BG454</f>
        <v>0</v>
      </c>
      <c r="BD454" s="26"/>
      <c r="BE454" s="26"/>
      <c r="BG454" s="28">
        <v>0</v>
      </c>
    </row>
    <row r="455" spans="1:59" x14ac:dyDescent="0.25">
      <c r="A455">
        <f>A450+1</f>
        <v>91</v>
      </c>
      <c r="C455" s="15" t="str">
        <f>IF(E455="","",IF(_xlfn.XLOOKUP($A455,Selected_constraint!$A:$A,Selected_constraint!$D:$D)=1,"*",IF(SUMIFS('TRA TECH'!$M:$M,'TRA TECH'!$H:$H,E455,'TRA TECH'!$I:$I,F455)=0,"*",IF(SUMIFS('TRA RESID'!$P:$P,'TRA RESID'!$I:$I,G455,'TRA RESID'!$J:$J,D455,'TRA RESID'!$H:$H,E455)=0,"*","UC_"&amp;SUBSTITUTE(D455,"*","")&amp;"_"&amp;RIGHT(E455,3)&amp;"_"&amp;F455))))</f>
        <v>*</v>
      </c>
      <c r="D455" s="17" t="s">
        <v>485</v>
      </c>
      <c r="E455" s="17" t="str">
        <f>_xlfn.XLOOKUP($A455,Selected_constraint!$A:$A,Selected_constraint!$B:$B)</f>
        <v>TRAGSL</v>
      </c>
      <c r="F455" s="17" t="str">
        <f>_xlfn.XLOOKUP($A455,Selected_constraint!$A:$A,Selected_constraint!$C:$C)</f>
        <v>TRAPASSBUDMD</v>
      </c>
      <c r="G455" s="17" t="str">
        <f>F455</f>
        <v>TRAPASSBUDMD</v>
      </c>
      <c r="H455" s="18">
        <v>2019</v>
      </c>
      <c r="I455" s="18" t="s">
        <v>483</v>
      </c>
      <c r="J455" s="18">
        <v>1</v>
      </c>
      <c r="K455" s="20">
        <f>-SUMIFS('TRA RESID'!$P:$P,'TRA RESID'!$I:$I,G455,'TRA RESID'!$J:$J,D455,'TRA RESID'!$H:$H,E455)/SUMIFS('TRA RESID'!$P:$P,'TRA RESID'!$I:$I,G455)*O455</f>
        <v>-0.29322436853338951</v>
      </c>
      <c r="L455" s="18">
        <v>0</v>
      </c>
      <c r="M455" s="18">
        <v>5</v>
      </c>
      <c r="O455" s="21">
        <v>0.98</v>
      </c>
      <c r="Q455">
        <f>Q450+1</f>
        <v>91</v>
      </c>
      <c r="S455" s="15" t="str">
        <f>IF(SUMIFS('TRA RESID'!$P:$P,'TRA RESID'!$I:$I,W455,'TRA RESID'!$J:$J,T455,'TRA RESID'!$H:$H,U455)=0,"*","UC_"&amp;SUBSTITUTE(T455,"*","")&amp;"_"&amp;RIGHT(U455,3)&amp;"_"&amp;V455)</f>
        <v>*</v>
      </c>
      <c r="T455" s="17" t="s">
        <v>486</v>
      </c>
      <c r="U455" s="17" t="str">
        <f>_xlfn.XLOOKUP($A455,Selected_constraint!$A:$A,Selected_constraint!$B:$B)</f>
        <v>TRAGSL</v>
      </c>
      <c r="V455" s="17" t="str">
        <f>_xlfn.XLOOKUP($A455,Selected_constraint!$A:$A,Selected_constraint!$C:$C)</f>
        <v>TRAPASSBUDMD</v>
      </c>
      <c r="W455" s="17" t="str">
        <f>V455</f>
        <v>TRAPASSBUDMD</v>
      </c>
      <c r="X455" s="18">
        <v>2019</v>
      </c>
      <c r="Y455" s="18" t="s">
        <v>483</v>
      </c>
      <c r="Z455" s="18">
        <v>1</v>
      </c>
      <c r="AA455" s="20">
        <f>-SUMIFS('TRA RESID'!$P:$P,'TRA RESID'!$I:$I,W455,'TRA RESID'!$J:$J,T455,'TRA RESID'!$H:$H,U455)/SUMIFS('TRA RESID'!$P:$P,'TRA RESID'!$I:$I,W455)*AE455</f>
        <v>0</v>
      </c>
      <c r="AB455" s="18">
        <v>0</v>
      </c>
      <c r="AC455" s="18">
        <v>5</v>
      </c>
      <c r="AE455" s="21">
        <v>0.98</v>
      </c>
      <c r="AG455" s="15" t="str">
        <f>IF(SUMIFS('TRA RESID'!$P:$P,'TRA RESID'!$I:$I,AK455,'TRA RESID'!$J:$J,AH455,'TRA RESID'!$H:$H,AI455)=0,"*","UC_"&amp;SUBSTITUTE(AH455,"*","")&amp;"_"&amp;RIGHT(AI455,3)&amp;"_"&amp;AJ455)</f>
        <v>*</v>
      </c>
      <c r="AH455" s="17" t="s">
        <v>487</v>
      </c>
      <c r="AI455" s="17" t="str">
        <f>_xlfn.XLOOKUP($A455,Selected_constraint!$A:$A,Selected_constraint!$B:$B)</f>
        <v>TRAGSL</v>
      </c>
      <c r="AJ455" s="17" t="str">
        <f>_xlfn.XLOOKUP($A455,Selected_constraint!$A:$A,Selected_constraint!$C:$C)</f>
        <v>TRAPASSBUDMD</v>
      </c>
      <c r="AK455" s="17" t="str">
        <f>AJ455</f>
        <v>TRAPASSBUDMD</v>
      </c>
      <c r="AL455" s="18">
        <v>2019</v>
      </c>
      <c r="AM455" s="18" t="s">
        <v>483</v>
      </c>
      <c r="AN455" s="18">
        <v>1</v>
      </c>
      <c r="AO455" s="20">
        <f>-SUMIFS('TRA RESID'!$P:$P,'TRA RESID'!$I:$I,AK455,'TRA RESID'!$J:$J,AH455,'TRA RESID'!$H:$H,AI455)/SUMIFS('TRA RESID'!$P:$P,'TRA RESID'!$I:$I,AK455)*AS455</f>
        <v>0</v>
      </c>
      <c r="AP455" s="18">
        <v>0</v>
      </c>
      <c r="AQ455" s="18">
        <v>5</v>
      </c>
      <c r="AS455" s="21">
        <v>0.98</v>
      </c>
      <c r="AU455" s="15" t="str">
        <f>IF(SUMIFS('TRA RESID'!$P:$P,'TRA RESID'!$I:$I,AY455,'TRA RESID'!$J:$J,AV455,'TRA RESID'!$H:$H,AW455)=0,"*","UC_"&amp;SUBSTITUTE(AV455,"*","")&amp;"_"&amp;RIGHT(AW455,3)&amp;"_"&amp;AX455)</f>
        <v>*</v>
      </c>
      <c r="AV455" s="17" t="s">
        <v>488</v>
      </c>
      <c r="AW455" s="17" t="str">
        <f>_xlfn.XLOOKUP($A455,Selected_constraint!$A:$A,Selected_constraint!$B:$B)</f>
        <v>TRAGSL</v>
      </c>
      <c r="AX455" s="17" t="str">
        <f>_xlfn.XLOOKUP($A455,Selected_constraint!$A:$A,Selected_constraint!$C:$C)</f>
        <v>TRAPASSBUDMD</v>
      </c>
      <c r="AY455" s="17" t="str">
        <f>AX455</f>
        <v>TRAPASSBUDMD</v>
      </c>
      <c r="AZ455" s="18">
        <v>2019</v>
      </c>
      <c r="BA455" s="18" t="s">
        <v>483</v>
      </c>
      <c r="BB455" s="18">
        <v>1</v>
      </c>
      <c r="BC455" s="20">
        <f>-SUMIFS('TRA RESID'!$P:$P,'TRA RESID'!$I:$I,AY455,'TRA RESID'!$J:$J,AV455,'TRA RESID'!$H:$H,AW455)/SUMIFS('TRA RESID'!$P:$P,'TRA RESID'!$I:$I,AY455)*BG455</f>
        <v>0</v>
      </c>
      <c r="BD455" s="18">
        <v>0</v>
      </c>
      <c r="BE455" s="18">
        <v>5</v>
      </c>
      <c r="BG455" s="21">
        <v>0.98</v>
      </c>
    </row>
    <row r="456" spans="1:59" x14ac:dyDescent="0.25">
      <c r="C456" s="15" t="str">
        <f>IF(C455="*",C455,"")</f>
        <v>*</v>
      </c>
      <c r="D456" s="17" t="str">
        <f t="shared" ref="D456:G459" si="360">D455</f>
        <v>*ICEV*</v>
      </c>
      <c r="E456" s="17" t="str">
        <f t="shared" si="360"/>
        <v>TRAGSL</v>
      </c>
      <c r="F456" s="17" t="str">
        <f t="shared" si="360"/>
        <v>TRAPASSBUDMD</v>
      </c>
      <c r="G456" s="17" t="str">
        <f t="shared" si="360"/>
        <v>TRAPASSBUDMD</v>
      </c>
      <c r="H456" s="18">
        <v>2025</v>
      </c>
      <c r="I456" s="18" t="str">
        <f>I455</f>
        <v>LO</v>
      </c>
      <c r="J456" s="18"/>
      <c r="K456" s="20">
        <f>-SUMIFS('TRA RESID'!$P:$P,'TRA RESID'!$I:$I,G456,'TRA RESID'!$J:$J,D456,'TRA RESID'!$H:$H,E456)/SUMIFS('TRA RESID'!$P:$P,'TRA RESID'!$I:$I,G456)*O456</f>
        <v>-0.23936683145582816</v>
      </c>
      <c r="L456" s="18"/>
      <c r="M456" s="18"/>
      <c r="O456" s="21">
        <v>0.8</v>
      </c>
      <c r="S456" s="15" t="str">
        <f>IF(S455="*",S455,"")</f>
        <v>*</v>
      </c>
      <c r="T456" s="17" t="str">
        <f t="shared" ref="T456:W459" si="361">T455</f>
        <v>*BEV*</v>
      </c>
      <c r="U456" s="17" t="str">
        <f t="shared" si="361"/>
        <v>TRAGSL</v>
      </c>
      <c r="V456" s="17" t="str">
        <f t="shared" si="361"/>
        <v>TRAPASSBUDMD</v>
      </c>
      <c r="W456" s="17" t="str">
        <f t="shared" si="361"/>
        <v>TRAPASSBUDMD</v>
      </c>
      <c r="X456" s="18">
        <v>2025</v>
      </c>
      <c r="Y456" s="18" t="str">
        <f>Y455</f>
        <v>LO</v>
      </c>
      <c r="Z456" s="18"/>
      <c r="AA456" s="20">
        <f>-SUMIFS('TRA RESID'!$P:$P,'TRA RESID'!$I:$I,W456,'TRA RESID'!$J:$J,T456,'TRA RESID'!$H:$H,U456)/SUMIFS('TRA RESID'!$P:$P,'TRA RESID'!$I:$I,W456)*AE456</f>
        <v>0</v>
      </c>
      <c r="AB456" s="18"/>
      <c r="AC456" s="18"/>
      <c r="AE456" s="21">
        <v>1</v>
      </c>
      <c r="AG456" s="15" t="str">
        <f>IF(AG455="*",AG455,"")</f>
        <v>*</v>
      </c>
      <c r="AH456" s="17" t="str">
        <f t="shared" ref="AH456:AK459" si="362">AH455</f>
        <v>*HEV*</v>
      </c>
      <c r="AI456" s="17" t="str">
        <f t="shared" si="362"/>
        <v>TRAGSL</v>
      </c>
      <c r="AJ456" s="17" t="str">
        <f t="shared" si="362"/>
        <v>TRAPASSBUDMD</v>
      </c>
      <c r="AK456" s="17" t="str">
        <f t="shared" si="362"/>
        <v>TRAPASSBUDMD</v>
      </c>
      <c r="AL456" s="18">
        <v>2025</v>
      </c>
      <c r="AM456" s="18" t="str">
        <f>AM455</f>
        <v>LO</v>
      </c>
      <c r="AN456" s="18"/>
      <c r="AO456" s="20">
        <f>-SUMIFS('TRA RESID'!$P:$P,'TRA RESID'!$I:$I,AK456,'TRA RESID'!$J:$J,AH456,'TRA RESID'!$H:$H,AI456)/SUMIFS('TRA RESID'!$P:$P,'TRA RESID'!$I:$I,AK456)*AS456</f>
        <v>0</v>
      </c>
      <c r="AP456" s="18"/>
      <c r="AQ456" s="18"/>
      <c r="AS456" s="21">
        <v>0.8</v>
      </c>
      <c r="AU456" s="15" t="str">
        <f>IF(AU455="*",AU455,"")</f>
        <v>*</v>
      </c>
      <c r="AV456" s="17" t="str">
        <f t="shared" ref="AV456:AY459" si="363">AV455</f>
        <v>*FCEV*</v>
      </c>
      <c r="AW456" s="17" t="str">
        <f t="shared" si="363"/>
        <v>TRAGSL</v>
      </c>
      <c r="AX456" s="17" t="str">
        <f t="shared" si="363"/>
        <v>TRAPASSBUDMD</v>
      </c>
      <c r="AY456" s="17" t="str">
        <f t="shared" si="363"/>
        <v>TRAPASSBUDMD</v>
      </c>
      <c r="AZ456" s="18">
        <v>2025</v>
      </c>
      <c r="BA456" s="18" t="str">
        <f>BA455</f>
        <v>LO</v>
      </c>
      <c r="BB456" s="18"/>
      <c r="BC456" s="20">
        <f>-SUMIFS('TRA RESID'!$P:$P,'TRA RESID'!$I:$I,AY456,'TRA RESID'!$J:$J,AV456,'TRA RESID'!$H:$H,AW456)/SUMIFS('TRA RESID'!$P:$P,'TRA RESID'!$I:$I,AY456)*BG456</f>
        <v>0</v>
      </c>
      <c r="BD456" s="18"/>
      <c r="BE456" s="18"/>
      <c r="BG456" s="21">
        <v>0.8</v>
      </c>
    </row>
    <row r="457" spans="1:59" x14ac:dyDescent="0.25">
      <c r="C457" s="15" t="str">
        <f>IF(C456="*",C456,"")</f>
        <v>*</v>
      </c>
      <c r="D457" s="17" t="str">
        <f t="shared" si="360"/>
        <v>*ICEV*</v>
      </c>
      <c r="E457" s="17" t="str">
        <f t="shared" si="360"/>
        <v>TRAGSL</v>
      </c>
      <c r="F457" s="17" t="str">
        <f t="shared" si="360"/>
        <v>TRAPASSBUDMD</v>
      </c>
      <c r="G457" s="17" t="str">
        <f t="shared" si="360"/>
        <v>TRAPASSBUDMD</v>
      </c>
      <c r="H457" s="18">
        <v>2030</v>
      </c>
      <c r="I457" s="18" t="str">
        <f>I456</f>
        <v>LO</v>
      </c>
      <c r="J457" s="18"/>
      <c r="K457" s="20">
        <f>-SUMIFS('TRA RESID'!$P:$P,'TRA RESID'!$I:$I,G457,'TRA RESID'!$J:$J,D457,'TRA RESID'!$H:$H,E457)/SUMIFS('TRA RESID'!$P:$P,'TRA RESID'!$I:$I,G457)*O457</f>
        <v>-0.1496042696598926</v>
      </c>
      <c r="L457" s="18"/>
      <c r="M457" s="18"/>
      <c r="O457" s="21">
        <v>0.5</v>
      </c>
      <c r="S457" s="15" t="str">
        <f>IF(S456="*",S456,"")</f>
        <v>*</v>
      </c>
      <c r="T457" s="17" t="str">
        <f t="shared" si="361"/>
        <v>*BEV*</v>
      </c>
      <c r="U457" s="17" t="str">
        <f t="shared" si="361"/>
        <v>TRAGSL</v>
      </c>
      <c r="V457" s="17" t="str">
        <f t="shared" si="361"/>
        <v>TRAPASSBUDMD</v>
      </c>
      <c r="W457" s="17" t="str">
        <f t="shared" si="361"/>
        <v>TRAPASSBUDMD</v>
      </c>
      <c r="X457" s="18">
        <v>2030</v>
      </c>
      <c r="Y457" s="18" t="str">
        <f>Y456</f>
        <v>LO</v>
      </c>
      <c r="Z457" s="18"/>
      <c r="AA457" s="20">
        <f>-SUMIFS('TRA RESID'!$P:$P,'TRA RESID'!$I:$I,W457,'TRA RESID'!$J:$J,T457,'TRA RESID'!$H:$H,U457)/SUMIFS('TRA RESID'!$P:$P,'TRA RESID'!$I:$I,W457)*AE457</f>
        <v>0</v>
      </c>
      <c r="AB457" s="18"/>
      <c r="AC457" s="18"/>
      <c r="AE457" s="21">
        <v>1</v>
      </c>
      <c r="AG457" s="15" t="str">
        <f>IF(AG456="*",AG456,"")</f>
        <v>*</v>
      </c>
      <c r="AH457" s="17" t="str">
        <f t="shared" si="362"/>
        <v>*HEV*</v>
      </c>
      <c r="AI457" s="17" t="str">
        <f t="shared" si="362"/>
        <v>TRAGSL</v>
      </c>
      <c r="AJ457" s="17" t="str">
        <f t="shared" si="362"/>
        <v>TRAPASSBUDMD</v>
      </c>
      <c r="AK457" s="17" t="str">
        <f t="shared" si="362"/>
        <v>TRAPASSBUDMD</v>
      </c>
      <c r="AL457" s="18">
        <v>2030</v>
      </c>
      <c r="AM457" s="18" t="str">
        <f>AM456</f>
        <v>LO</v>
      </c>
      <c r="AN457" s="18"/>
      <c r="AO457" s="20">
        <f>-SUMIFS('TRA RESID'!$P:$P,'TRA RESID'!$I:$I,AK457,'TRA RESID'!$J:$J,AH457,'TRA RESID'!$H:$H,AI457)/SUMIFS('TRA RESID'!$P:$P,'TRA RESID'!$I:$I,AK457)*AS457</f>
        <v>0</v>
      </c>
      <c r="AP457" s="18"/>
      <c r="AQ457" s="18"/>
      <c r="AS457" s="21">
        <v>0.5</v>
      </c>
      <c r="AU457" s="15" t="str">
        <f>IF(AU456="*",AU456,"")</f>
        <v>*</v>
      </c>
      <c r="AV457" s="17" t="str">
        <f t="shared" si="363"/>
        <v>*FCEV*</v>
      </c>
      <c r="AW457" s="17" t="str">
        <f t="shared" si="363"/>
        <v>TRAGSL</v>
      </c>
      <c r="AX457" s="17" t="str">
        <f t="shared" si="363"/>
        <v>TRAPASSBUDMD</v>
      </c>
      <c r="AY457" s="17" t="str">
        <f t="shared" si="363"/>
        <v>TRAPASSBUDMD</v>
      </c>
      <c r="AZ457" s="18">
        <v>2030</v>
      </c>
      <c r="BA457" s="18" t="str">
        <f>BA456</f>
        <v>LO</v>
      </c>
      <c r="BB457" s="18"/>
      <c r="BC457" s="20">
        <f>-SUMIFS('TRA RESID'!$P:$P,'TRA RESID'!$I:$I,AY457,'TRA RESID'!$J:$J,AV457,'TRA RESID'!$H:$H,AW457)/SUMIFS('TRA RESID'!$P:$P,'TRA RESID'!$I:$I,AY457)*BG457</f>
        <v>0</v>
      </c>
      <c r="BD457" s="18"/>
      <c r="BE457" s="18"/>
      <c r="BG457" s="21">
        <v>0.5</v>
      </c>
    </row>
    <row r="458" spans="1:59" x14ac:dyDescent="0.25">
      <c r="C458" s="15" t="str">
        <f>IF(C457="*",C457,"")</f>
        <v>*</v>
      </c>
      <c r="D458" s="17" t="str">
        <f t="shared" si="360"/>
        <v>*ICEV*</v>
      </c>
      <c r="E458" s="17" t="str">
        <f t="shared" si="360"/>
        <v>TRAGSL</v>
      </c>
      <c r="F458" s="17" t="str">
        <f t="shared" si="360"/>
        <v>TRAPASSBUDMD</v>
      </c>
      <c r="G458" s="17" t="str">
        <f t="shared" si="360"/>
        <v>TRAPASSBUDMD</v>
      </c>
      <c r="H458" s="18">
        <v>2040</v>
      </c>
      <c r="I458" s="18" t="str">
        <f>I457</f>
        <v>LO</v>
      </c>
      <c r="J458" s="18"/>
      <c r="K458" s="20">
        <f>-SUMIFS('TRA RESID'!$P:$P,'TRA RESID'!$I:$I,G458,'TRA RESID'!$J:$J,D458,'TRA RESID'!$H:$H,E458)/SUMIFS('TRA RESID'!$P:$P,'TRA RESID'!$I:$I,G458)*O458</f>
        <v>0</v>
      </c>
      <c r="L458" s="18"/>
      <c r="M458" s="18"/>
      <c r="O458" s="21">
        <v>0</v>
      </c>
      <c r="S458" s="15" t="str">
        <f>IF(S457="*",S457,"")</f>
        <v>*</v>
      </c>
      <c r="T458" s="17" t="str">
        <f t="shared" si="361"/>
        <v>*BEV*</v>
      </c>
      <c r="U458" s="17" t="str">
        <f t="shared" si="361"/>
        <v>TRAGSL</v>
      </c>
      <c r="V458" s="17" t="str">
        <f t="shared" si="361"/>
        <v>TRAPASSBUDMD</v>
      </c>
      <c r="W458" s="17" t="str">
        <f t="shared" si="361"/>
        <v>TRAPASSBUDMD</v>
      </c>
      <c r="X458" s="18">
        <v>2040</v>
      </c>
      <c r="Y458" s="18" t="str">
        <f>Y457</f>
        <v>LO</v>
      </c>
      <c r="Z458" s="18"/>
      <c r="AA458" s="20">
        <f>-SUMIFS('TRA RESID'!$P:$P,'TRA RESID'!$I:$I,W458,'TRA RESID'!$J:$J,T458,'TRA RESID'!$H:$H,U458)/SUMIFS('TRA RESID'!$P:$P,'TRA RESID'!$I:$I,W458)*AE458</f>
        <v>0</v>
      </c>
      <c r="AB458" s="18"/>
      <c r="AC458" s="18"/>
      <c r="AE458" s="21">
        <v>1</v>
      </c>
      <c r="AG458" s="15" t="str">
        <f>IF(AG457="*",AG457,"")</f>
        <v>*</v>
      </c>
      <c r="AH458" s="17" t="str">
        <f t="shared" si="362"/>
        <v>*HEV*</v>
      </c>
      <c r="AI458" s="17" t="str">
        <f t="shared" si="362"/>
        <v>TRAGSL</v>
      </c>
      <c r="AJ458" s="17" t="str">
        <f t="shared" si="362"/>
        <v>TRAPASSBUDMD</v>
      </c>
      <c r="AK458" s="17" t="str">
        <f t="shared" si="362"/>
        <v>TRAPASSBUDMD</v>
      </c>
      <c r="AL458" s="18">
        <v>2040</v>
      </c>
      <c r="AM458" s="18" t="str">
        <f>AM457</f>
        <v>LO</v>
      </c>
      <c r="AN458" s="18"/>
      <c r="AO458" s="20">
        <f>-SUMIFS('TRA RESID'!$P:$P,'TRA RESID'!$I:$I,AK458,'TRA RESID'!$J:$J,AH458,'TRA RESID'!$H:$H,AI458)/SUMIFS('TRA RESID'!$P:$P,'TRA RESID'!$I:$I,AK458)*AS458</f>
        <v>0</v>
      </c>
      <c r="AP458" s="18"/>
      <c r="AQ458" s="18"/>
      <c r="AS458" s="21">
        <v>0</v>
      </c>
      <c r="AU458" s="15" t="str">
        <f>IF(AU457="*",AU457,"")</f>
        <v>*</v>
      </c>
      <c r="AV458" s="17" t="str">
        <f t="shared" si="363"/>
        <v>*FCEV*</v>
      </c>
      <c r="AW458" s="17" t="str">
        <f t="shared" si="363"/>
        <v>TRAGSL</v>
      </c>
      <c r="AX458" s="17" t="str">
        <f t="shared" si="363"/>
        <v>TRAPASSBUDMD</v>
      </c>
      <c r="AY458" s="17" t="str">
        <f t="shared" si="363"/>
        <v>TRAPASSBUDMD</v>
      </c>
      <c r="AZ458" s="18">
        <v>2040</v>
      </c>
      <c r="BA458" s="18" t="str">
        <f>BA457</f>
        <v>LO</v>
      </c>
      <c r="BB458" s="18"/>
      <c r="BC458" s="20">
        <f>-SUMIFS('TRA RESID'!$P:$P,'TRA RESID'!$I:$I,AY458,'TRA RESID'!$J:$J,AV458,'TRA RESID'!$H:$H,AW458)/SUMIFS('TRA RESID'!$P:$P,'TRA RESID'!$I:$I,AY458)*BG458</f>
        <v>0</v>
      </c>
      <c r="BD458" s="18"/>
      <c r="BE458" s="18"/>
      <c r="BG458" s="21">
        <v>0</v>
      </c>
    </row>
    <row r="459" spans="1:59" x14ac:dyDescent="0.25">
      <c r="C459" s="23" t="str">
        <f>IF(C458="*",C458,"")</f>
        <v>*</v>
      </c>
      <c r="D459" s="25" t="str">
        <f t="shared" si="360"/>
        <v>*ICEV*</v>
      </c>
      <c r="E459" s="25" t="str">
        <f t="shared" si="360"/>
        <v>TRAGSL</v>
      </c>
      <c r="F459" s="25" t="str">
        <f t="shared" si="360"/>
        <v>TRAPASSBUDMD</v>
      </c>
      <c r="G459" s="25" t="str">
        <f t="shared" si="360"/>
        <v>TRAPASSBUDMD</v>
      </c>
      <c r="H459" s="26">
        <v>2050</v>
      </c>
      <c r="I459" s="26" t="str">
        <f>I457</f>
        <v>LO</v>
      </c>
      <c r="J459" s="26"/>
      <c r="K459" s="27">
        <f>-SUMIFS('TRA RESID'!$P:$P,'TRA RESID'!$I:$I,G459,'TRA RESID'!$J:$J,D459,'TRA RESID'!$H:$H,E459)/SUMIFS('TRA RESID'!$P:$P,'TRA RESID'!$I:$I,G459)*O459</f>
        <v>0</v>
      </c>
      <c r="L459" s="26"/>
      <c r="M459" s="26"/>
      <c r="O459" s="28">
        <v>0</v>
      </c>
      <c r="S459" s="23" t="str">
        <f>IF(S458="*",S458,"")</f>
        <v>*</v>
      </c>
      <c r="T459" s="25" t="str">
        <f t="shared" si="361"/>
        <v>*BEV*</v>
      </c>
      <c r="U459" s="25" t="str">
        <f t="shared" si="361"/>
        <v>TRAGSL</v>
      </c>
      <c r="V459" s="25" t="str">
        <f t="shared" si="361"/>
        <v>TRAPASSBUDMD</v>
      </c>
      <c r="W459" s="25" t="str">
        <f t="shared" si="361"/>
        <v>TRAPASSBUDMD</v>
      </c>
      <c r="X459" s="26">
        <v>2050</v>
      </c>
      <c r="Y459" s="26" t="str">
        <f>Y457</f>
        <v>LO</v>
      </c>
      <c r="Z459" s="26"/>
      <c r="AA459" s="27">
        <f>-SUMIFS('TRA RESID'!$P:$P,'TRA RESID'!$I:$I,W459,'TRA RESID'!$J:$J,T459,'TRA RESID'!$H:$H,U459)/SUMIFS('TRA RESID'!$P:$P,'TRA RESID'!$I:$I,W459)*AE459</f>
        <v>0</v>
      </c>
      <c r="AB459" s="26"/>
      <c r="AC459" s="26"/>
      <c r="AE459" s="28">
        <v>1</v>
      </c>
      <c r="AG459" s="23" t="str">
        <f>IF(AG458="*",AG458,"")</f>
        <v>*</v>
      </c>
      <c r="AH459" s="25" t="str">
        <f t="shared" si="362"/>
        <v>*HEV*</v>
      </c>
      <c r="AI459" s="25" t="str">
        <f t="shared" si="362"/>
        <v>TRAGSL</v>
      </c>
      <c r="AJ459" s="25" t="str">
        <f t="shared" si="362"/>
        <v>TRAPASSBUDMD</v>
      </c>
      <c r="AK459" s="25" t="str">
        <f t="shared" si="362"/>
        <v>TRAPASSBUDMD</v>
      </c>
      <c r="AL459" s="26">
        <v>2050</v>
      </c>
      <c r="AM459" s="26" t="str">
        <f>AM457</f>
        <v>LO</v>
      </c>
      <c r="AN459" s="26"/>
      <c r="AO459" s="27">
        <f>-SUMIFS('TRA RESID'!$P:$P,'TRA RESID'!$I:$I,AK459,'TRA RESID'!$J:$J,AH459,'TRA RESID'!$H:$H,AI459)/SUMIFS('TRA RESID'!$P:$P,'TRA RESID'!$I:$I,AK459)*AS459</f>
        <v>0</v>
      </c>
      <c r="AP459" s="26"/>
      <c r="AQ459" s="26"/>
      <c r="AS459" s="28">
        <v>0</v>
      </c>
      <c r="AU459" s="23" t="str">
        <f>IF(AU458="*",AU458,"")</f>
        <v>*</v>
      </c>
      <c r="AV459" s="25" t="str">
        <f t="shared" si="363"/>
        <v>*FCEV*</v>
      </c>
      <c r="AW459" s="25" t="str">
        <f t="shared" si="363"/>
        <v>TRAGSL</v>
      </c>
      <c r="AX459" s="25" t="str">
        <f t="shared" si="363"/>
        <v>TRAPASSBUDMD</v>
      </c>
      <c r="AY459" s="25" t="str">
        <f t="shared" si="363"/>
        <v>TRAPASSBUDMD</v>
      </c>
      <c r="AZ459" s="26">
        <v>2050</v>
      </c>
      <c r="BA459" s="26" t="str">
        <f>BA457</f>
        <v>LO</v>
      </c>
      <c r="BB459" s="26"/>
      <c r="BC459" s="27">
        <f>-SUMIFS('TRA RESID'!$P:$P,'TRA RESID'!$I:$I,AY459,'TRA RESID'!$J:$J,AV459,'TRA RESID'!$H:$H,AW459)/SUMIFS('TRA RESID'!$P:$P,'TRA RESID'!$I:$I,AY459)*BG459</f>
        <v>0</v>
      </c>
      <c r="BD459" s="26"/>
      <c r="BE459" s="26"/>
      <c r="BG459" s="28">
        <v>0</v>
      </c>
    </row>
    <row r="460" spans="1:59" x14ac:dyDescent="0.25">
      <c r="A460">
        <f>A455+1</f>
        <v>92</v>
      </c>
      <c r="C460" s="15" t="str">
        <f>IF(E460="","",IF(_xlfn.XLOOKUP($A460,Selected_constraint!$A:$A,Selected_constraint!$D:$D)=1,"*",IF(SUMIFS('TRA TECH'!$M:$M,'TRA TECH'!$H:$H,E460,'TRA TECH'!$I:$I,F460)=0,"*",IF(SUMIFS('TRA RESID'!$P:$P,'TRA RESID'!$I:$I,G460,'TRA RESID'!$J:$J,D460,'TRA RESID'!$H:$H,E460)=0,"*","UC_"&amp;SUBSTITUTE(D460,"*","")&amp;"_"&amp;RIGHT(E460,3)&amp;"_"&amp;F460))))</f>
        <v>*</v>
      </c>
      <c r="D460" s="17" t="s">
        <v>485</v>
      </c>
      <c r="E460" s="17" t="str">
        <f>_xlfn.XLOOKUP($A460,Selected_constraint!$A:$A,Selected_constraint!$B:$B)</f>
        <v>TRAETH</v>
      </c>
      <c r="F460" s="17" t="str">
        <f>_xlfn.XLOOKUP($A460,Selected_constraint!$A:$A,Selected_constraint!$C:$C)</f>
        <v>TRAPASSBUDMD</v>
      </c>
      <c r="G460" s="17" t="str">
        <f>F460</f>
        <v>TRAPASSBUDMD</v>
      </c>
      <c r="H460" s="18">
        <v>2019</v>
      </c>
      <c r="I460" s="18" t="s">
        <v>483</v>
      </c>
      <c r="J460" s="18">
        <v>1</v>
      </c>
      <c r="K460" s="20">
        <f>-SUMIFS('TRA RESID'!$P:$P,'TRA RESID'!$I:$I,G460,'TRA RESID'!$J:$J,D460,'TRA RESID'!$H:$H,E460)/SUMIFS('TRA RESID'!$P:$P,'TRA RESID'!$I:$I,G460)*O460</f>
        <v>0</v>
      </c>
      <c r="L460" s="18">
        <v>0</v>
      </c>
      <c r="M460" s="18">
        <v>5</v>
      </c>
      <c r="O460" s="21">
        <v>0.98</v>
      </c>
      <c r="Q460">
        <f>Q455+1</f>
        <v>92</v>
      </c>
      <c r="S460" s="15" t="str">
        <f>IF(SUMIFS('TRA RESID'!$P:$P,'TRA RESID'!$I:$I,W460,'TRA RESID'!$J:$J,T460,'TRA RESID'!$H:$H,U460)=0,"*","UC_"&amp;SUBSTITUTE(T460,"*","")&amp;"_"&amp;RIGHT(U460,3)&amp;"_"&amp;V460)</f>
        <v>*</v>
      </c>
      <c r="T460" s="17" t="s">
        <v>486</v>
      </c>
      <c r="U460" s="17" t="str">
        <f>_xlfn.XLOOKUP($A460,Selected_constraint!$A:$A,Selected_constraint!$B:$B)</f>
        <v>TRAETH</v>
      </c>
      <c r="V460" s="17" t="str">
        <f>_xlfn.XLOOKUP($A460,Selected_constraint!$A:$A,Selected_constraint!$C:$C)</f>
        <v>TRAPASSBUDMD</v>
      </c>
      <c r="W460" s="17" t="str">
        <f>V460</f>
        <v>TRAPASSBUDMD</v>
      </c>
      <c r="X460" s="18">
        <v>2019</v>
      </c>
      <c r="Y460" s="18" t="s">
        <v>483</v>
      </c>
      <c r="Z460" s="18">
        <v>1</v>
      </c>
      <c r="AA460" s="20">
        <f>-SUMIFS('TRA RESID'!$P:$P,'TRA RESID'!$I:$I,W460,'TRA RESID'!$J:$J,T460,'TRA RESID'!$H:$H,U460)/SUMIFS('TRA RESID'!$P:$P,'TRA RESID'!$I:$I,W460)*AE460</f>
        <v>0</v>
      </c>
      <c r="AB460" s="18">
        <v>0</v>
      </c>
      <c r="AC460" s="18">
        <v>5</v>
      </c>
      <c r="AE460" s="21">
        <v>0.98</v>
      </c>
      <c r="AG460" s="15" t="str">
        <f>IF(SUMIFS('TRA RESID'!$P:$P,'TRA RESID'!$I:$I,AK460,'TRA RESID'!$J:$J,AH460,'TRA RESID'!$H:$H,AI460)=0,"*","UC_"&amp;SUBSTITUTE(AH460,"*","")&amp;"_"&amp;RIGHT(AI460,3)&amp;"_"&amp;AJ460)</f>
        <v>*</v>
      </c>
      <c r="AH460" s="17" t="s">
        <v>487</v>
      </c>
      <c r="AI460" s="17" t="str">
        <f>_xlfn.XLOOKUP($A460,Selected_constraint!$A:$A,Selected_constraint!$B:$B)</f>
        <v>TRAETH</v>
      </c>
      <c r="AJ460" s="17" t="str">
        <f>_xlfn.XLOOKUP($A460,Selected_constraint!$A:$A,Selected_constraint!$C:$C)</f>
        <v>TRAPASSBUDMD</v>
      </c>
      <c r="AK460" s="17" t="str">
        <f>AJ460</f>
        <v>TRAPASSBUDMD</v>
      </c>
      <c r="AL460" s="18">
        <v>2019</v>
      </c>
      <c r="AM460" s="18" t="s">
        <v>483</v>
      </c>
      <c r="AN460" s="18">
        <v>1</v>
      </c>
      <c r="AO460" s="20">
        <f>-SUMIFS('TRA RESID'!$P:$P,'TRA RESID'!$I:$I,AK460,'TRA RESID'!$J:$J,AH460,'TRA RESID'!$H:$H,AI460)/SUMIFS('TRA RESID'!$P:$P,'TRA RESID'!$I:$I,AK460)*AS460</f>
        <v>0</v>
      </c>
      <c r="AP460" s="18">
        <v>0</v>
      </c>
      <c r="AQ460" s="18">
        <v>5</v>
      </c>
      <c r="AS460" s="21">
        <v>0.98</v>
      </c>
      <c r="AU460" s="15" t="str">
        <f>IF(SUMIFS('TRA RESID'!$P:$P,'TRA RESID'!$I:$I,AY460,'TRA RESID'!$J:$J,AV460,'TRA RESID'!$H:$H,AW460)=0,"*","UC_"&amp;SUBSTITUTE(AV460,"*","")&amp;"_"&amp;RIGHT(AW460,3)&amp;"_"&amp;AX460)</f>
        <v>*</v>
      </c>
      <c r="AV460" s="17" t="s">
        <v>488</v>
      </c>
      <c r="AW460" s="17" t="str">
        <f>_xlfn.XLOOKUP($A460,Selected_constraint!$A:$A,Selected_constraint!$B:$B)</f>
        <v>TRAETH</v>
      </c>
      <c r="AX460" s="17" t="str">
        <f>_xlfn.XLOOKUP($A460,Selected_constraint!$A:$A,Selected_constraint!$C:$C)</f>
        <v>TRAPASSBUDMD</v>
      </c>
      <c r="AY460" s="17" t="str">
        <f>AX460</f>
        <v>TRAPASSBUDMD</v>
      </c>
      <c r="AZ460" s="18">
        <v>2019</v>
      </c>
      <c r="BA460" s="18" t="s">
        <v>483</v>
      </c>
      <c r="BB460" s="18">
        <v>1</v>
      </c>
      <c r="BC460" s="20">
        <f>-SUMIFS('TRA RESID'!$P:$P,'TRA RESID'!$I:$I,AY460,'TRA RESID'!$J:$J,AV460,'TRA RESID'!$H:$H,AW460)/SUMIFS('TRA RESID'!$P:$P,'TRA RESID'!$I:$I,AY460)*BG460</f>
        <v>0</v>
      </c>
      <c r="BD460" s="18">
        <v>0</v>
      </c>
      <c r="BE460" s="18">
        <v>5</v>
      </c>
      <c r="BG460" s="21">
        <v>0.98</v>
      </c>
    </row>
    <row r="461" spans="1:59" x14ac:dyDescent="0.25">
      <c r="C461" s="15" t="str">
        <f>IF(C460="*",C460,"")</f>
        <v>*</v>
      </c>
      <c r="D461" s="17" t="str">
        <f t="shared" ref="D461:G464" si="364">D460</f>
        <v>*ICEV*</v>
      </c>
      <c r="E461" s="17" t="str">
        <f t="shared" si="364"/>
        <v>TRAETH</v>
      </c>
      <c r="F461" s="17" t="str">
        <f t="shared" si="364"/>
        <v>TRAPASSBUDMD</v>
      </c>
      <c r="G461" s="17" t="str">
        <f t="shared" si="364"/>
        <v>TRAPASSBUDMD</v>
      </c>
      <c r="H461" s="18">
        <v>2025</v>
      </c>
      <c r="I461" s="18" t="str">
        <f>I460</f>
        <v>LO</v>
      </c>
      <c r="J461" s="18"/>
      <c r="K461" s="20">
        <f>-SUMIFS('TRA RESID'!$P:$P,'TRA RESID'!$I:$I,G461,'TRA RESID'!$J:$J,D461,'TRA RESID'!$H:$H,E461)/SUMIFS('TRA RESID'!$P:$P,'TRA RESID'!$I:$I,G461)*O461</f>
        <v>0</v>
      </c>
      <c r="L461" s="18"/>
      <c r="M461" s="18"/>
      <c r="O461" s="21">
        <v>0.8</v>
      </c>
      <c r="S461" s="15" t="str">
        <f>IF(S460="*",S460,"")</f>
        <v>*</v>
      </c>
      <c r="T461" s="17" t="str">
        <f t="shared" ref="T461:W464" si="365">T460</f>
        <v>*BEV*</v>
      </c>
      <c r="U461" s="17" t="str">
        <f t="shared" si="365"/>
        <v>TRAETH</v>
      </c>
      <c r="V461" s="17" t="str">
        <f t="shared" si="365"/>
        <v>TRAPASSBUDMD</v>
      </c>
      <c r="W461" s="17" t="str">
        <f t="shared" si="365"/>
        <v>TRAPASSBUDMD</v>
      </c>
      <c r="X461" s="18">
        <v>2025</v>
      </c>
      <c r="Y461" s="18" t="str">
        <f>Y460</f>
        <v>LO</v>
      </c>
      <c r="Z461" s="18"/>
      <c r="AA461" s="20">
        <f>-SUMIFS('TRA RESID'!$P:$P,'TRA RESID'!$I:$I,W461,'TRA RESID'!$J:$J,T461,'TRA RESID'!$H:$H,U461)/SUMIFS('TRA RESID'!$P:$P,'TRA RESID'!$I:$I,W461)*AE461</f>
        <v>0</v>
      </c>
      <c r="AB461" s="18"/>
      <c r="AC461" s="18"/>
      <c r="AE461" s="21">
        <v>1</v>
      </c>
      <c r="AG461" s="15" t="str">
        <f>IF(AG460="*",AG460,"")</f>
        <v>*</v>
      </c>
      <c r="AH461" s="17" t="str">
        <f t="shared" ref="AH461:AK464" si="366">AH460</f>
        <v>*HEV*</v>
      </c>
      <c r="AI461" s="17" t="str">
        <f t="shared" si="366"/>
        <v>TRAETH</v>
      </c>
      <c r="AJ461" s="17" t="str">
        <f t="shared" si="366"/>
        <v>TRAPASSBUDMD</v>
      </c>
      <c r="AK461" s="17" t="str">
        <f t="shared" si="366"/>
        <v>TRAPASSBUDMD</v>
      </c>
      <c r="AL461" s="18">
        <v>2025</v>
      </c>
      <c r="AM461" s="18" t="str">
        <f>AM460</f>
        <v>LO</v>
      </c>
      <c r="AN461" s="18"/>
      <c r="AO461" s="20">
        <f>-SUMIFS('TRA RESID'!$P:$P,'TRA RESID'!$I:$I,AK461,'TRA RESID'!$J:$J,AH461,'TRA RESID'!$H:$H,AI461)/SUMIFS('TRA RESID'!$P:$P,'TRA RESID'!$I:$I,AK461)*AS461</f>
        <v>0</v>
      </c>
      <c r="AP461" s="18"/>
      <c r="AQ461" s="18"/>
      <c r="AS461" s="21">
        <v>0.8</v>
      </c>
      <c r="AU461" s="15" t="str">
        <f>IF(AU460="*",AU460,"")</f>
        <v>*</v>
      </c>
      <c r="AV461" s="17" t="str">
        <f t="shared" ref="AV461:AY464" si="367">AV460</f>
        <v>*FCEV*</v>
      </c>
      <c r="AW461" s="17" t="str">
        <f t="shared" si="367"/>
        <v>TRAETH</v>
      </c>
      <c r="AX461" s="17" t="str">
        <f t="shared" si="367"/>
        <v>TRAPASSBUDMD</v>
      </c>
      <c r="AY461" s="17" t="str">
        <f t="shared" si="367"/>
        <v>TRAPASSBUDMD</v>
      </c>
      <c r="AZ461" s="18">
        <v>2025</v>
      </c>
      <c r="BA461" s="18" t="str">
        <f>BA460</f>
        <v>LO</v>
      </c>
      <c r="BB461" s="18"/>
      <c r="BC461" s="20">
        <f>-SUMIFS('TRA RESID'!$P:$P,'TRA RESID'!$I:$I,AY461,'TRA RESID'!$J:$J,AV461,'TRA RESID'!$H:$H,AW461)/SUMIFS('TRA RESID'!$P:$P,'TRA RESID'!$I:$I,AY461)*BG461</f>
        <v>0</v>
      </c>
      <c r="BD461" s="18"/>
      <c r="BE461" s="18"/>
      <c r="BG461" s="21">
        <v>0.8</v>
      </c>
    </row>
    <row r="462" spans="1:59" x14ac:dyDescent="0.25">
      <c r="C462" s="15" t="str">
        <f>IF(C461="*",C461,"")</f>
        <v>*</v>
      </c>
      <c r="D462" s="17" t="str">
        <f t="shared" si="364"/>
        <v>*ICEV*</v>
      </c>
      <c r="E462" s="17" t="str">
        <f t="shared" si="364"/>
        <v>TRAETH</v>
      </c>
      <c r="F462" s="17" t="str">
        <f t="shared" si="364"/>
        <v>TRAPASSBUDMD</v>
      </c>
      <c r="G462" s="17" t="str">
        <f t="shared" si="364"/>
        <v>TRAPASSBUDMD</v>
      </c>
      <c r="H462" s="18">
        <v>2030</v>
      </c>
      <c r="I462" s="18" t="str">
        <f>I461</f>
        <v>LO</v>
      </c>
      <c r="J462" s="18"/>
      <c r="K462" s="20">
        <f>-SUMIFS('TRA RESID'!$P:$P,'TRA RESID'!$I:$I,G462,'TRA RESID'!$J:$J,D462,'TRA RESID'!$H:$H,E462)/SUMIFS('TRA RESID'!$P:$P,'TRA RESID'!$I:$I,G462)*O462</f>
        <v>0</v>
      </c>
      <c r="L462" s="18"/>
      <c r="M462" s="18"/>
      <c r="O462" s="21">
        <v>0.5</v>
      </c>
      <c r="S462" s="15" t="str">
        <f>IF(S461="*",S461,"")</f>
        <v>*</v>
      </c>
      <c r="T462" s="17" t="str">
        <f t="shared" si="365"/>
        <v>*BEV*</v>
      </c>
      <c r="U462" s="17" t="str">
        <f t="shared" si="365"/>
        <v>TRAETH</v>
      </c>
      <c r="V462" s="17" t="str">
        <f t="shared" si="365"/>
        <v>TRAPASSBUDMD</v>
      </c>
      <c r="W462" s="17" t="str">
        <f t="shared" si="365"/>
        <v>TRAPASSBUDMD</v>
      </c>
      <c r="X462" s="18">
        <v>2030</v>
      </c>
      <c r="Y462" s="18" t="str">
        <f>Y461</f>
        <v>LO</v>
      </c>
      <c r="Z462" s="18"/>
      <c r="AA462" s="20">
        <f>-SUMIFS('TRA RESID'!$P:$P,'TRA RESID'!$I:$I,W462,'TRA RESID'!$J:$J,T462,'TRA RESID'!$H:$H,U462)/SUMIFS('TRA RESID'!$P:$P,'TRA RESID'!$I:$I,W462)*AE462</f>
        <v>0</v>
      </c>
      <c r="AB462" s="18"/>
      <c r="AC462" s="18"/>
      <c r="AE462" s="21">
        <v>1</v>
      </c>
      <c r="AG462" s="15" t="str">
        <f>IF(AG461="*",AG461,"")</f>
        <v>*</v>
      </c>
      <c r="AH462" s="17" t="str">
        <f t="shared" si="366"/>
        <v>*HEV*</v>
      </c>
      <c r="AI462" s="17" t="str">
        <f t="shared" si="366"/>
        <v>TRAETH</v>
      </c>
      <c r="AJ462" s="17" t="str">
        <f t="shared" si="366"/>
        <v>TRAPASSBUDMD</v>
      </c>
      <c r="AK462" s="17" t="str">
        <f t="shared" si="366"/>
        <v>TRAPASSBUDMD</v>
      </c>
      <c r="AL462" s="18">
        <v>2030</v>
      </c>
      <c r="AM462" s="18" t="str">
        <f>AM461</f>
        <v>LO</v>
      </c>
      <c r="AN462" s="18"/>
      <c r="AO462" s="20">
        <f>-SUMIFS('TRA RESID'!$P:$P,'TRA RESID'!$I:$I,AK462,'TRA RESID'!$J:$J,AH462,'TRA RESID'!$H:$H,AI462)/SUMIFS('TRA RESID'!$P:$P,'TRA RESID'!$I:$I,AK462)*AS462</f>
        <v>0</v>
      </c>
      <c r="AP462" s="18"/>
      <c r="AQ462" s="18"/>
      <c r="AS462" s="21">
        <v>0.5</v>
      </c>
      <c r="AU462" s="15" t="str">
        <f>IF(AU461="*",AU461,"")</f>
        <v>*</v>
      </c>
      <c r="AV462" s="17" t="str">
        <f t="shared" si="367"/>
        <v>*FCEV*</v>
      </c>
      <c r="AW462" s="17" t="str">
        <f t="shared" si="367"/>
        <v>TRAETH</v>
      </c>
      <c r="AX462" s="17" t="str">
        <f t="shared" si="367"/>
        <v>TRAPASSBUDMD</v>
      </c>
      <c r="AY462" s="17" t="str">
        <f t="shared" si="367"/>
        <v>TRAPASSBUDMD</v>
      </c>
      <c r="AZ462" s="18">
        <v>2030</v>
      </c>
      <c r="BA462" s="18" t="str">
        <f>BA461</f>
        <v>LO</v>
      </c>
      <c r="BB462" s="18"/>
      <c r="BC462" s="20">
        <f>-SUMIFS('TRA RESID'!$P:$P,'TRA RESID'!$I:$I,AY462,'TRA RESID'!$J:$J,AV462,'TRA RESID'!$H:$H,AW462)/SUMIFS('TRA RESID'!$P:$P,'TRA RESID'!$I:$I,AY462)*BG462</f>
        <v>0</v>
      </c>
      <c r="BD462" s="18"/>
      <c r="BE462" s="18"/>
      <c r="BG462" s="21">
        <v>0.5</v>
      </c>
    </row>
    <row r="463" spans="1:59" x14ac:dyDescent="0.25">
      <c r="C463" s="15" t="str">
        <f>IF(C462="*",C462,"")</f>
        <v>*</v>
      </c>
      <c r="D463" s="17" t="str">
        <f t="shared" si="364"/>
        <v>*ICEV*</v>
      </c>
      <c r="E463" s="17" t="str">
        <f t="shared" si="364"/>
        <v>TRAETH</v>
      </c>
      <c r="F463" s="17" t="str">
        <f t="shared" si="364"/>
        <v>TRAPASSBUDMD</v>
      </c>
      <c r="G463" s="17" t="str">
        <f t="shared" si="364"/>
        <v>TRAPASSBUDMD</v>
      </c>
      <c r="H463" s="18">
        <v>2040</v>
      </c>
      <c r="I463" s="18" t="str">
        <f>I462</f>
        <v>LO</v>
      </c>
      <c r="J463" s="18"/>
      <c r="K463" s="20">
        <f>-SUMIFS('TRA RESID'!$P:$P,'TRA RESID'!$I:$I,G463,'TRA RESID'!$J:$J,D463,'TRA RESID'!$H:$H,E463)/SUMIFS('TRA RESID'!$P:$P,'TRA RESID'!$I:$I,G463)*O463</f>
        <v>0</v>
      </c>
      <c r="L463" s="18"/>
      <c r="M463" s="18"/>
      <c r="O463" s="21">
        <v>0</v>
      </c>
      <c r="S463" s="15" t="str">
        <f>IF(S462="*",S462,"")</f>
        <v>*</v>
      </c>
      <c r="T463" s="17" t="str">
        <f t="shared" si="365"/>
        <v>*BEV*</v>
      </c>
      <c r="U463" s="17" t="str">
        <f t="shared" si="365"/>
        <v>TRAETH</v>
      </c>
      <c r="V463" s="17" t="str">
        <f t="shared" si="365"/>
        <v>TRAPASSBUDMD</v>
      </c>
      <c r="W463" s="17" t="str">
        <f t="shared" si="365"/>
        <v>TRAPASSBUDMD</v>
      </c>
      <c r="X463" s="18">
        <v>2040</v>
      </c>
      <c r="Y463" s="18" t="str">
        <f>Y462</f>
        <v>LO</v>
      </c>
      <c r="Z463" s="18"/>
      <c r="AA463" s="20">
        <f>-SUMIFS('TRA RESID'!$P:$P,'TRA RESID'!$I:$I,W463,'TRA RESID'!$J:$J,T463,'TRA RESID'!$H:$H,U463)/SUMIFS('TRA RESID'!$P:$P,'TRA RESID'!$I:$I,W463)*AE463</f>
        <v>0</v>
      </c>
      <c r="AB463" s="18"/>
      <c r="AC463" s="18"/>
      <c r="AE463" s="21">
        <v>1</v>
      </c>
      <c r="AG463" s="15" t="str">
        <f>IF(AG462="*",AG462,"")</f>
        <v>*</v>
      </c>
      <c r="AH463" s="17" t="str">
        <f t="shared" si="366"/>
        <v>*HEV*</v>
      </c>
      <c r="AI463" s="17" t="str">
        <f t="shared" si="366"/>
        <v>TRAETH</v>
      </c>
      <c r="AJ463" s="17" t="str">
        <f t="shared" si="366"/>
        <v>TRAPASSBUDMD</v>
      </c>
      <c r="AK463" s="17" t="str">
        <f t="shared" si="366"/>
        <v>TRAPASSBUDMD</v>
      </c>
      <c r="AL463" s="18">
        <v>2040</v>
      </c>
      <c r="AM463" s="18" t="str">
        <f>AM462</f>
        <v>LO</v>
      </c>
      <c r="AN463" s="18"/>
      <c r="AO463" s="20">
        <f>-SUMIFS('TRA RESID'!$P:$P,'TRA RESID'!$I:$I,AK463,'TRA RESID'!$J:$J,AH463,'TRA RESID'!$H:$H,AI463)/SUMIFS('TRA RESID'!$P:$P,'TRA RESID'!$I:$I,AK463)*AS463</f>
        <v>0</v>
      </c>
      <c r="AP463" s="18"/>
      <c r="AQ463" s="18"/>
      <c r="AS463" s="21">
        <v>0</v>
      </c>
      <c r="AU463" s="15" t="str">
        <f>IF(AU462="*",AU462,"")</f>
        <v>*</v>
      </c>
      <c r="AV463" s="17" t="str">
        <f t="shared" si="367"/>
        <v>*FCEV*</v>
      </c>
      <c r="AW463" s="17" t="str">
        <f t="shared" si="367"/>
        <v>TRAETH</v>
      </c>
      <c r="AX463" s="17" t="str">
        <f t="shared" si="367"/>
        <v>TRAPASSBUDMD</v>
      </c>
      <c r="AY463" s="17" t="str">
        <f t="shared" si="367"/>
        <v>TRAPASSBUDMD</v>
      </c>
      <c r="AZ463" s="18">
        <v>2040</v>
      </c>
      <c r="BA463" s="18" t="str">
        <f>BA462</f>
        <v>LO</v>
      </c>
      <c r="BB463" s="18"/>
      <c r="BC463" s="20">
        <f>-SUMIFS('TRA RESID'!$P:$P,'TRA RESID'!$I:$I,AY463,'TRA RESID'!$J:$J,AV463,'TRA RESID'!$H:$H,AW463)/SUMIFS('TRA RESID'!$P:$P,'TRA RESID'!$I:$I,AY463)*BG463</f>
        <v>0</v>
      </c>
      <c r="BD463" s="18"/>
      <c r="BE463" s="18"/>
      <c r="BG463" s="21">
        <v>0</v>
      </c>
    </row>
    <row r="464" spans="1:59" x14ac:dyDescent="0.25">
      <c r="C464" s="23" t="str">
        <f>IF(C463="*",C463,"")</f>
        <v>*</v>
      </c>
      <c r="D464" s="25" t="str">
        <f t="shared" si="364"/>
        <v>*ICEV*</v>
      </c>
      <c r="E464" s="25" t="str">
        <f t="shared" si="364"/>
        <v>TRAETH</v>
      </c>
      <c r="F464" s="25" t="str">
        <f t="shared" si="364"/>
        <v>TRAPASSBUDMD</v>
      </c>
      <c r="G464" s="25" t="str">
        <f t="shared" si="364"/>
        <v>TRAPASSBUDMD</v>
      </c>
      <c r="H464" s="26">
        <v>2050</v>
      </c>
      <c r="I464" s="26" t="str">
        <f>I462</f>
        <v>LO</v>
      </c>
      <c r="J464" s="26"/>
      <c r="K464" s="27">
        <f>-SUMIFS('TRA RESID'!$P:$P,'TRA RESID'!$I:$I,G464,'TRA RESID'!$J:$J,D464,'TRA RESID'!$H:$H,E464)/SUMIFS('TRA RESID'!$P:$P,'TRA RESID'!$I:$I,G464)*O464</f>
        <v>0</v>
      </c>
      <c r="L464" s="26"/>
      <c r="M464" s="26"/>
      <c r="O464" s="28">
        <v>0</v>
      </c>
      <c r="S464" s="23" t="str">
        <f>IF(S463="*",S463,"")</f>
        <v>*</v>
      </c>
      <c r="T464" s="25" t="str">
        <f t="shared" si="365"/>
        <v>*BEV*</v>
      </c>
      <c r="U464" s="25" t="str">
        <f t="shared" si="365"/>
        <v>TRAETH</v>
      </c>
      <c r="V464" s="25" t="str">
        <f t="shared" si="365"/>
        <v>TRAPASSBUDMD</v>
      </c>
      <c r="W464" s="25" t="str">
        <f t="shared" si="365"/>
        <v>TRAPASSBUDMD</v>
      </c>
      <c r="X464" s="26">
        <v>2050</v>
      </c>
      <c r="Y464" s="26" t="str">
        <f>Y462</f>
        <v>LO</v>
      </c>
      <c r="Z464" s="26"/>
      <c r="AA464" s="27">
        <f>-SUMIFS('TRA RESID'!$P:$P,'TRA RESID'!$I:$I,W464,'TRA RESID'!$J:$J,T464,'TRA RESID'!$H:$H,U464)/SUMIFS('TRA RESID'!$P:$P,'TRA RESID'!$I:$I,W464)*AE464</f>
        <v>0</v>
      </c>
      <c r="AB464" s="26"/>
      <c r="AC464" s="26"/>
      <c r="AE464" s="28">
        <v>1</v>
      </c>
      <c r="AG464" s="23" t="str">
        <f>IF(AG463="*",AG463,"")</f>
        <v>*</v>
      </c>
      <c r="AH464" s="25" t="str">
        <f t="shared" si="366"/>
        <v>*HEV*</v>
      </c>
      <c r="AI464" s="25" t="str">
        <f t="shared" si="366"/>
        <v>TRAETH</v>
      </c>
      <c r="AJ464" s="25" t="str">
        <f t="shared" si="366"/>
        <v>TRAPASSBUDMD</v>
      </c>
      <c r="AK464" s="25" t="str">
        <f t="shared" si="366"/>
        <v>TRAPASSBUDMD</v>
      </c>
      <c r="AL464" s="26">
        <v>2050</v>
      </c>
      <c r="AM464" s="26" t="str">
        <f>AM462</f>
        <v>LO</v>
      </c>
      <c r="AN464" s="26"/>
      <c r="AO464" s="27">
        <f>-SUMIFS('TRA RESID'!$P:$P,'TRA RESID'!$I:$I,AK464,'TRA RESID'!$J:$J,AH464,'TRA RESID'!$H:$H,AI464)/SUMIFS('TRA RESID'!$P:$P,'TRA RESID'!$I:$I,AK464)*AS464</f>
        <v>0</v>
      </c>
      <c r="AP464" s="26"/>
      <c r="AQ464" s="26"/>
      <c r="AS464" s="28">
        <v>0</v>
      </c>
      <c r="AU464" s="23" t="str">
        <f>IF(AU463="*",AU463,"")</f>
        <v>*</v>
      </c>
      <c r="AV464" s="25" t="str">
        <f t="shared" si="367"/>
        <v>*FCEV*</v>
      </c>
      <c r="AW464" s="25" t="str">
        <f t="shared" si="367"/>
        <v>TRAETH</v>
      </c>
      <c r="AX464" s="25" t="str">
        <f t="shared" si="367"/>
        <v>TRAPASSBUDMD</v>
      </c>
      <c r="AY464" s="25" t="str">
        <f t="shared" si="367"/>
        <v>TRAPASSBUDMD</v>
      </c>
      <c r="AZ464" s="26">
        <v>2050</v>
      </c>
      <c r="BA464" s="26" t="str">
        <f>BA462</f>
        <v>LO</v>
      </c>
      <c r="BB464" s="26"/>
      <c r="BC464" s="27">
        <f>-SUMIFS('TRA RESID'!$P:$P,'TRA RESID'!$I:$I,AY464,'TRA RESID'!$J:$J,AV464,'TRA RESID'!$H:$H,AW464)/SUMIFS('TRA RESID'!$P:$P,'TRA RESID'!$I:$I,AY464)*BG464</f>
        <v>0</v>
      </c>
      <c r="BD464" s="26"/>
      <c r="BE464" s="26"/>
      <c r="BG464" s="28">
        <v>0</v>
      </c>
    </row>
    <row r="465" spans="1:59" x14ac:dyDescent="0.25">
      <c r="A465">
        <f>A460+1</f>
        <v>93</v>
      </c>
      <c r="C465" s="15" t="str">
        <f>IF(E465="","",IF(_xlfn.XLOOKUP($A465,Selected_constraint!$A:$A,Selected_constraint!$D:$D)=1,"*",IF(SUMIFS('TRA TECH'!$M:$M,'TRA TECH'!$H:$H,E465,'TRA TECH'!$I:$I,F465)=0,"*",IF(SUMIFS('TRA RESID'!$P:$P,'TRA RESID'!$I:$I,G465,'TRA RESID'!$J:$J,D465,'TRA RESID'!$H:$H,E465)=0,"*","UC_"&amp;SUBSTITUTE(D465,"*","")&amp;"_"&amp;RIGHT(E465,3)&amp;"_"&amp;F465))))</f>
        <v>UC_ICEV_DSL_TRAPASSBUDMD</v>
      </c>
      <c r="D465" s="17" t="s">
        <v>485</v>
      </c>
      <c r="E465" s="17" t="str">
        <f>_xlfn.XLOOKUP($A465,Selected_constraint!$A:$A,Selected_constraint!$B:$B)</f>
        <v>TRADSL</v>
      </c>
      <c r="F465" s="17" t="str">
        <f>_xlfn.XLOOKUP($A465,Selected_constraint!$A:$A,Selected_constraint!$C:$C)</f>
        <v>TRAPASSBUDMD</v>
      </c>
      <c r="G465" s="17" t="str">
        <f>F465</f>
        <v>TRAPASSBUDMD</v>
      </c>
      <c r="H465" s="18">
        <v>2019</v>
      </c>
      <c r="I465" s="18" t="s">
        <v>483</v>
      </c>
      <c r="J465" s="18">
        <v>1</v>
      </c>
      <c r="K465" s="20">
        <f>-SUMIFS('TRA RESID'!$P:$P,'TRA RESID'!$I:$I,G465,'TRA RESID'!$J:$J,D465,'TRA RESID'!$H:$H,E465)/SUMIFS('TRA RESID'!$P:$P,'TRA RESID'!$I:$I,G465)*O465</f>
        <v>-0.68677563146661058</v>
      </c>
      <c r="L465" s="18">
        <v>0</v>
      </c>
      <c r="M465" s="18">
        <v>5</v>
      </c>
      <c r="O465" s="21">
        <v>0.98</v>
      </c>
      <c r="Q465">
        <f>Q460+1</f>
        <v>93</v>
      </c>
      <c r="S465" s="15" t="str">
        <f>IF(SUMIFS('TRA RESID'!$P:$P,'TRA RESID'!$I:$I,W465,'TRA RESID'!$J:$J,T465,'TRA RESID'!$H:$H,U465)=0,"*","UC_"&amp;SUBSTITUTE(T465,"*","")&amp;"_"&amp;RIGHT(U465,3)&amp;"_"&amp;V465)</f>
        <v>*</v>
      </c>
      <c r="T465" s="17" t="s">
        <v>486</v>
      </c>
      <c r="U465" s="17" t="str">
        <f>_xlfn.XLOOKUP($A465,Selected_constraint!$A:$A,Selected_constraint!$B:$B)</f>
        <v>TRADSL</v>
      </c>
      <c r="V465" s="17" t="str">
        <f>_xlfn.XLOOKUP($A465,Selected_constraint!$A:$A,Selected_constraint!$C:$C)</f>
        <v>TRAPASSBUDMD</v>
      </c>
      <c r="W465" s="17" t="str">
        <f>V465</f>
        <v>TRAPASSBUDMD</v>
      </c>
      <c r="X465" s="18">
        <v>2019</v>
      </c>
      <c r="Y465" s="18" t="s">
        <v>483</v>
      </c>
      <c r="Z465" s="18">
        <v>1</v>
      </c>
      <c r="AA465" s="20">
        <f>-SUMIFS('TRA RESID'!$P:$P,'TRA RESID'!$I:$I,W465,'TRA RESID'!$J:$J,T465,'TRA RESID'!$H:$H,U465)/SUMIFS('TRA RESID'!$P:$P,'TRA RESID'!$I:$I,W465)*AE465</f>
        <v>0</v>
      </c>
      <c r="AB465" s="18">
        <v>0</v>
      </c>
      <c r="AC465" s="18">
        <v>5</v>
      </c>
      <c r="AE465" s="21">
        <v>0.98</v>
      </c>
      <c r="AG465" s="15" t="str">
        <f>IF(SUMIFS('TRA RESID'!$P:$P,'TRA RESID'!$I:$I,AK465,'TRA RESID'!$J:$J,AH465,'TRA RESID'!$H:$H,AI465)=0,"*","UC_"&amp;SUBSTITUTE(AH465,"*","")&amp;"_"&amp;RIGHT(AI465,3)&amp;"_"&amp;AJ465)</f>
        <v>*</v>
      </c>
      <c r="AH465" s="17" t="s">
        <v>487</v>
      </c>
      <c r="AI465" s="17" t="str">
        <f>_xlfn.XLOOKUP($A465,Selected_constraint!$A:$A,Selected_constraint!$B:$B)</f>
        <v>TRADSL</v>
      </c>
      <c r="AJ465" s="17" t="str">
        <f>_xlfn.XLOOKUP($A465,Selected_constraint!$A:$A,Selected_constraint!$C:$C)</f>
        <v>TRAPASSBUDMD</v>
      </c>
      <c r="AK465" s="17" t="str">
        <f>AJ465</f>
        <v>TRAPASSBUDMD</v>
      </c>
      <c r="AL465" s="18">
        <v>2019</v>
      </c>
      <c r="AM465" s="18" t="s">
        <v>483</v>
      </c>
      <c r="AN465" s="18">
        <v>1</v>
      </c>
      <c r="AO465" s="20">
        <f>-SUMIFS('TRA RESID'!$P:$P,'TRA RESID'!$I:$I,AK465,'TRA RESID'!$J:$J,AH465,'TRA RESID'!$H:$H,AI465)/SUMIFS('TRA RESID'!$P:$P,'TRA RESID'!$I:$I,AK465)*AS465</f>
        <v>0</v>
      </c>
      <c r="AP465" s="18">
        <v>0</v>
      </c>
      <c r="AQ465" s="18">
        <v>5</v>
      </c>
      <c r="AS465" s="21">
        <v>0.98</v>
      </c>
      <c r="AU465" s="15" t="str">
        <f>IF(SUMIFS('TRA RESID'!$P:$P,'TRA RESID'!$I:$I,AY465,'TRA RESID'!$J:$J,AV465,'TRA RESID'!$H:$H,AW465)=0,"*","UC_"&amp;SUBSTITUTE(AV465,"*","")&amp;"_"&amp;RIGHT(AW465,3)&amp;"_"&amp;AX465)</f>
        <v>*</v>
      </c>
      <c r="AV465" s="17" t="s">
        <v>488</v>
      </c>
      <c r="AW465" s="17" t="str">
        <f>_xlfn.XLOOKUP($A465,Selected_constraint!$A:$A,Selected_constraint!$B:$B)</f>
        <v>TRADSL</v>
      </c>
      <c r="AX465" s="17" t="str">
        <f>_xlfn.XLOOKUP($A465,Selected_constraint!$A:$A,Selected_constraint!$C:$C)</f>
        <v>TRAPASSBUDMD</v>
      </c>
      <c r="AY465" s="17" t="str">
        <f>AX465</f>
        <v>TRAPASSBUDMD</v>
      </c>
      <c r="AZ465" s="18">
        <v>2019</v>
      </c>
      <c r="BA465" s="18" t="s">
        <v>483</v>
      </c>
      <c r="BB465" s="18">
        <v>1</v>
      </c>
      <c r="BC465" s="20">
        <f>-SUMIFS('TRA RESID'!$P:$P,'TRA RESID'!$I:$I,AY465,'TRA RESID'!$J:$J,AV465,'TRA RESID'!$H:$H,AW465)/SUMIFS('TRA RESID'!$P:$P,'TRA RESID'!$I:$I,AY465)*BG465</f>
        <v>0</v>
      </c>
      <c r="BD465" s="18">
        <v>0</v>
      </c>
      <c r="BE465" s="18">
        <v>5</v>
      </c>
      <c r="BG465" s="21">
        <v>0.98</v>
      </c>
    </row>
    <row r="466" spans="1:59" x14ac:dyDescent="0.25">
      <c r="C466" s="15" t="str">
        <f>IF(C465="*",C465,"")</f>
        <v/>
      </c>
      <c r="D466" s="17" t="str">
        <f t="shared" ref="D466:G469" si="368">D465</f>
        <v>*ICEV*</v>
      </c>
      <c r="E466" s="17" t="str">
        <f t="shared" si="368"/>
        <v>TRADSL</v>
      </c>
      <c r="F466" s="17" t="str">
        <f t="shared" si="368"/>
        <v>TRAPASSBUDMD</v>
      </c>
      <c r="G466" s="17" t="str">
        <f t="shared" si="368"/>
        <v>TRAPASSBUDMD</v>
      </c>
      <c r="H466" s="18">
        <v>2025</v>
      </c>
      <c r="I466" s="18" t="str">
        <f>I465</f>
        <v>LO</v>
      </c>
      <c r="J466" s="18"/>
      <c r="K466" s="20">
        <f>-SUMIFS('TRA RESID'!$P:$P,'TRA RESID'!$I:$I,G466,'TRA RESID'!$J:$J,D466,'TRA RESID'!$H:$H,E466)/SUMIFS('TRA RESID'!$P:$P,'TRA RESID'!$I:$I,G466)*O466</f>
        <v>-0.560633168544172</v>
      </c>
      <c r="L466" s="18"/>
      <c r="M466" s="18"/>
      <c r="O466" s="21">
        <v>0.8</v>
      </c>
      <c r="S466" s="15" t="str">
        <f>IF(S465="*",S465,"")</f>
        <v>*</v>
      </c>
      <c r="T466" s="17" t="str">
        <f t="shared" ref="T466:W469" si="369">T465</f>
        <v>*BEV*</v>
      </c>
      <c r="U466" s="17" t="str">
        <f t="shared" si="369"/>
        <v>TRADSL</v>
      </c>
      <c r="V466" s="17" t="str">
        <f t="shared" si="369"/>
        <v>TRAPASSBUDMD</v>
      </c>
      <c r="W466" s="17" t="str">
        <f t="shared" si="369"/>
        <v>TRAPASSBUDMD</v>
      </c>
      <c r="X466" s="18">
        <v>2025</v>
      </c>
      <c r="Y466" s="18" t="str">
        <f>Y465</f>
        <v>LO</v>
      </c>
      <c r="Z466" s="18"/>
      <c r="AA466" s="20">
        <f>-SUMIFS('TRA RESID'!$P:$P,'TRA RESID'!$I:$I,W466,'TRA RESID'!$J:$J,T466,'TRA RESID'!$H:$H,U466)/SUMIFS('TRA RESID'!$P:$P,'TRA RESID'!$I:$I,W466)*AE466</f>
        <v>0</v>
      </c>
      <c r="AB466" s="18"/>
      <c r="AC466" s="18"/>
      <c r="AE466" s="21">
        <v>1</v>
      </c>
      <c r="AG466" s="15" t="str">
        <f>IF(AG465="*",AG465,"")</f>
        <v>*</v>
      </c>
      <c r="AH466" s="17" t="str">
        <f t="shared" ref="AH466:AK469" si="370">AH465</f>
        <v>*HEV*</v>
      </c>
      <c r="AI466" s="17" t="str">
        <f t="shared" si="370"/>
        <v>TRADSL</v>
      </c>
      <c r="AJ466" s="17" t="str">
        <f t="shared" si="370"/>
        <v>TRAPASSBUDMD</v>
      </c>
      <c r="AK466" s="17" t="str">
        <f t="shared" si="370"/>
        <v>TRAPASSBUDMD</v>
      </c>
      <c r="AL466" s="18">
        <v>2025</v>
      </c>
      <c r="AM466" s="18" t="str">
        <f>AM465</f>
        <v>LO</v>
      </c>
      <c r="AN466" s="18"/>
      <c r="AO466" s="20">
        <f>-SUMIFS('TRA RESID'!$P:$P,'TRA RESID'!$I:$I,AK466,'TRA RESID'!$J:$J,AH466,'TRA RESID'!$H:$H,AI466)/SUMIFS('TRA RESID'!$P:$P,'TRA RESID'!$I:$I,AK466)*AS466</f>
        <v>0</v>
      </c>
      <c r="AP466" s="18"/>
      <c r="AQ466" s="18"/>
      <c r="AS466" s="21">
        <v>0.8</v>
      </c>
      <c r="AU466" s="15" t="str">
        <f>IF(AU465="*",AU465,"")</f>
        <v>*</v>
      </c>
      <c r="AV466" s="17" t="str">
        <f t="shared" ref="AV466:AY469" si="371">AV465</f>
        <v>*FCEV*</v>
      </c>
      <c r="AW466" s="17" t="str">
        <f t="shared" si="371"/>
        <v>TRADSL</v>
      </c>
      <c r="AX466" s="17" t="str">
        <f t="shared" si="371"/>
        <v>TRAPASSBUDMD</v>
      </c>
      <c r="AY466" s="17" t="str">
        <f t="shared" si="371"/>
        <v>TRAPASSBUDMD</v>
      </c>
      <c r="AZ466" s="18">
        <v>2025</v>
      </c>
      <c r="BA466" s="18" t="str">
        <f>BA465</f>
        <v>LO</v>
      </c>
      <c r="BB466" s="18"/>
      <c r="BC466" s="20">
        <f>-SUMIFS('TRA RESID'!$P:$P,'TRA RESID'!$I:$I,AY466,'TRA RESID'!$J:$J,AV466,'TRA RESID'!$H:$H,AW466)/SUMIFS('TRA RESID'!$P:$P,'TRA RESID'!$I:$I,AY466)*BG466</f>
        <v>0</v>
      </c>
      <c r="BD466" s="18"/>
      <c r="BE466" s="18"/>
      <c r="BG466" s="21">
        <v>0.8</v>
      </c>
    </row>
    <row r="467" spans="1:59" x14ac:dyDescent="0.25">
      <c r="C467" s="15" t="str">
        <f>IF(C466="*",C466,"")</f>
        <v/>
      </c>
      <c r="D467" s="17" t="str">
        <f t="shared" si="368"/>
        <v>*ICEV*</v>
      </c>
      <c r="E467" s="17" t="str">
        <f t="shared" si="368"/>
        <v>TRADSL</v>
      </c>
      <c r="F467" s="17" t="str">
        <f t="shared" si="368"/>
        <v>TRAPASSBUDMD</v>
      </c>
      <c r="G467" s="17" t="str">
        <f t="shared" si="368"/>
        <v>TRAPASSBUDMD</v>
      </c>
      <c r="H467" s="18">
        <v>2030</v>
      </c>
      <c r="I467" s="18" t="str">
        <f>I466</f>
        <v>LO</v>
      </c>
      <c r="J467" s="18"/>
      <c r="K467" s="20">
        <f>-SUMIFS('TRA RESID'!$P:$P,'TRA RESID'!$I:$I,G467,'TRA RESID'!$J:$J,D467,'TRA RESID'!$H:$H,E467)/SUMIFS('TRA RESID'!$P:$P,'TRA RESID'!$I:$I,G467)*O467</f>
        <v>-0.35039573034010746</v>
      </c>
      <c r="L467" s="18"/>
      <c r="M467" s="18"/>
      <c r="O467" s="21">
        <v>0.5</v>
      </c>
      <c r="S467" s="15" t="str">
        <f>IF(S466="*",S466,"")</f>
        <v>*</v>
      </c>
      <c r="T467" s="17" t="str">
        <f t="shared" si="369"/>
        <v>*BEV*</v>
      </c>
      <c r="U467" s="17" t="str">
        <f t="shared" si="369"/>
        <v>TRADSL</v>
      </c>
      <c r="V467" s="17" t="str">
        <f t="shared" si="369"/>
        <v>TRAPASSBUDMD</v>
      </c>
      <c r="W467" s="17" t="str">
        <f t="shared" si="369"/>
        <v>TRAPASSBUDMD</v>
      </c>
      <c r="X467" s="18">
        <v>2030</v>
      </c>
      <c r="Y467" s="18" t="str">
        <f>Y466</f>
        <v>LO</v>
      </c>
      <c r="Z467" s="18"/>
      <c r="AA467" s="20">
        <f>-SUMIFS('TRA RESID'!$P:$P,'TRA RESID'!$I:$I,W467,'TRA RESID'!$J:$J,T467,'TRA RESID'!$H:$H,U467)/SUMIFS('TRA RESID'!$P:$P,'TRA RESID'!$I:$I,W467)*AE467</f>
        <v>0</v>
      </c>
      <c r="AB467" s="18"/>
      <c r="AC467" s="18"/>
      <c r="AE467" s="21">
        <v>1</v>
      </c>
      <c r="AG467" s="15" t="str">
        <f>IF(AG466="*",AG466,"")</f>
        <v>*</v>
      </c>
      <c r="AH467" s="17" t="str">
        <f t="shared" si="370"/>
        <v>*HEV*</v>
      </c>
      <c r="AI467" s="17" t="str">
        <f t="shared" si="370"/>
        <v>TRADSL</v>
      </c>
      <c r="AJ467" s="17" t="str">
        <f t="shared" si="370"/>
        <v>TRAPASSBUDMD</v>
      </c>
      <c r="AK467" s="17" t="str">
        <f t="shared" si="370"/>
        <v>TRAPASSBUDMD</v>
      </c>
      <c r="AL467" s="18">
        <v>2030</v>
      </c>
      <c r="AM467" s="18" t="str">
        <f>AM466</f>
        <v>LO</v>
      </c>
      <c r="AN467" s="18"/>
      <c r="AO467" s="20">
        <f>-SUMIFS('TRA RESID'!$P:$P,'TRA RESID'!$I:$I,AK467,'TRA RESID'!$J:$J,AH467,'TRA RESID'!$H:$H,AI467)/SUMIFS('TRA RESID'!$P:$P,'TRA RESID'!$I:$I,AK467)*AS467</f>
        <v>0</v>
      </c>
      <c r="AP467" s="18"/>
      <c r="AQ467" s="18"/>
      <c r="AS467" s="21">
        <v>0.5</v>
      </c>
      <c r="AU467" s="15" t="str">
        <f>IF(AU466="*",AU466,"")</f>
        <v>*</v>
      </c>
      <c r="AV467" s="17" t="str">
        <f t="shared" si="371"/>
        <v>*FCEV*</v>
      </c>
      <c r="AW467" s="17" t="str">
        <f t="shared" si="371"/>
        <v>TRADSL</v>
      </c>
      <c r="AX467" s="17" t="str">
        <f t="shared" si="371"/>
        <v>TRAPASSBUDMD</v>
      </c>
      <c r="AY467" s="17" t="str">
        <f t="shared" si="371"/>
        <v>TRAPASSBUDMD</v>
      </c>
      <c r="AZ467" s="18">
        <v>2030</v>
      </c>
      <c r="BA467" s="18" t="str">
        <f>BA466</f>
        <v>LO</v>
      </c>
      <c r="BB467" s="18"/>
      <c r="BC467" s="20">
        <f>-SUMIFS('TRA RESID'!$P:$P,'TRA RESID'!$I:$I,AY467,'TRA RESID'!$J:$J,AV467,'TRA RESID'!$H:$H,AW467)/SUMIFS('TRA RESID'!$P:$P,'TRA RESID'!$I:$I,AY467)*BG467</f>
        <v>0</v>
      </c>
      <c r="BD467" s="18"/>
      <c r="BE467" s="18"/>
      <c r="BG467" s="21">
        <v>0.5</v>
      </c>
    </row>
    <row r="468" spans="1:59" x14ac:dyDescent="0.25">
      <c r="C468" s="15" t="str">
        <f>IF(C467="*",C467,"")</f>
        <v/>
      </c>
      <c r="D468" s="17" t="str">
        <f t="shared" si="368"/>
        <v>*ICEV*</v>
      </c>
      <c r="E468" s="17" t="str">
        <f t="shared" si="368"/>
        <v>TRADSL</v>
      </c>
      <c r="F468" s="17" t="str">
        <f t="shared" si="368"/>
        <v>TRAPASSBUDMD</v>
      </c>
      <c r="G468" s="17" t="str">
        <f t="shared" si="368"/>
        <v>TRAPASSBUDMD</v>
      </c>
      <c r="H468" s="18">
        <v>2040</v>
      </c>
      <c r="I468" s="18" t="str">
        <f>I467</f>
        <v>LO</v>
      </c>
      <c r="J468" s="18"/>
      <c r="K468" s="20">
        <f>-SUMIFS('TRA RESID'!$P:$P,'TRA RESID'!$I:$I,G468,'TRA RESID'!$J:$J,D468,'TRA RESID'!$H:$H,E468)/SUMIFS('TRA RESID'!$P:$P,'TRA RESID'!$I:$I,G468)*O468</f>
        <v>0</v>
      </c>
      <c r="L468" s="18"/>
      <c r="M468" s="18"/>
      <c r="O468" s="21">
        <v>0</v>
      </c>
      <c r="S468" s="15" t="str">
        <f>IF(S467="*",S467,"")</f>
        <v>*</v>
      </c>
      <c r="T468" s="17" t="str">
        <f t="shared" si="369"/>
        <v>*BEV*</v>
      </c>
      <c r="U468" s="17" t="str">
        <f t="shared" si="369"/>
        <v>TRADSL</v>
      </c>
      <c r="V468" s="17" t="str">
        <f t="shared" si="369"/>
        <v>TRAPASSBUDMD</v>
      </c>
      <c r="W468" s="17" t="str">
        <f t="shared" si="369"/>
        <v>TRAPASSBUDMD</v>
      </c>
      <c r="X468" s="18">
        <v>2040</v>
      </c>
      <c r="Y468" s="18" t="str">
        <f>Y467</f>
        <v>LO</v>
      </c>
      <c r="Z468" s="18"/>
      <c r="AA468" s="20">
        <f>-SUMIFS('TRA RESID'!$P:$P,'TRA RESID'!$I:$I,W468,'TRA RESID'!$J:$J,T468,'TRA RESID'!$H:$H,U468)/SUMIFS('TRA RESID'!$P:$P,'TRA RESID'!$I:$I,W468)*AE468</f>
        <v>0</v>
      </c>
      <c r="AB468" s="18"/>
      <c r="AC468" s="18"/>
      <c r="AE468" s="21">
        <v>1</v>
      </c>
      <c r="AG468" s="15" t="str">
        <f>IF(AG467="*",AG467,"")</f>
        <v>*</v>
      </c>
      <c r="AH468" s="17" t="str">
        <f t="shared" si="370"/>
        <v>*HEV*</v>
      </c>
      <c r="AI468" s="17" t="str">
        <f t="shared" si="370"/>
        <v>TRADSL</v>
      </c>
      <c r="AJ468" s="17" t="str">
        <f t="shared" si="370"/>
        <v>TRAPASSBUDMD</v>
      </c>
      <c r="AK468" s="17" t="str">
        <f t="shared" si="370"/>
        <v>TRAPASSBUDMD</v>
      </c>
      <c r="AL468" s="18">
        <v>2040</v>
      </c>
      <c r="AM468" s="18" t="str">
        <f>AM467</f>
        <v>LO</v>
      </c>
      <c r="AN468" s="18"/>
      <c r="AO468" s="20">
        <f>-SUMIFS('TRA RESID'!$P:$P,'TRA RESID'!$I:$I,AK468,'TRA RESID'!$J:$J,AH468,'TRA RESID'!$H:$H,AI468)/SUMIFS('TRA RESID'!$P:$P,'TRA RESID'!$I:$I,AK468)*AS468</f>
        <v>0</v>
      </c>
      <c r="AP468" s="18"/>
      <c r="AQ468" s="18"/>
      <c r="AS468" s="21">
        <v>0</v>
      </c>
      <c r="AU468" s="15" t="str">
        <f>IF(AU467="*",AU467,"")</f>
        <v>*</v>
      </c>
      <c r="AV468" s="17" t="str">
        <f t="shared" si="371"/>
        <v>*FCEV*</v>
      </c>
      <c r="AW468" s="17" t="str">
        <f t="shared" si="371"/>
        <v>TRADSL</v>
      </c>
      <c r="AX468" s="17" t="str">
        <f t="shared" si="371"/>
        <v>TRAPASSBUDMD</v>
      </c>
      <c r="AY468" s="17" t="str">
        <f t="shared" si="371"/>
        <v>TRAPASSBUDMD</v>
      </c>
      <c r="AZ468" s="18">
        <v>2040</v>
      </c>
      <c r="BA468" s="18" t="str">
        <f>BA467</f>
        <v>LO</v>
      </c>
      <c r="BB468" s="18"/>
      <c r="BC468" s="20">
        <f>-SUMIFS('TRA RESID'!$P:$P,'TRA RESID'!$I:$I,AY468,'TRA RESID'!$J:$J,AV468,'TRA RESID'!$H:$H,AW468)/SUMIFS('TRA RESID'!$P:$P,'TRA RESID'!$I:$I,AY468)*BG468</f>
        <v>0</v>
      </c>
      <c r="BD468" s="18"/>
      <c r="BE468" s="18"/>
      <c r="BG468" s="21">
        <v>0</v>
      </c>
    </row>
    <row r="469" spans="1:59" x14ac:dyDescent="0.25">
      <c r="C469" s="23" t="str">
        <f>IF(C468="*",C468,"")</f>
        <v/>
      </c>
      <c r="D469" s="25" t="str">
        <f t="shared" si="368"/>
        <v>*ICEV*</v>
      </c>
      <c r="E469" s="25" t="str">
        <f t="shared" si="368"/>
        <v>TRADSL</v>
      </c>
      <c r="F469" s="25" t="str">
        <f t="shared" si="368"/>
        <v>TRAPASSBUDMD</v>
      </c>
      <c r="G469" s="25" t="str">
        <f t="shared" si="368"/>
        <v>TRAPASSBUDMD</v>
      </c>
      <c r="H469" s="26">
        <v>2050</v>
      </c>
      <c r="I469" s="26" t="str">
        <f>I467</f>
        <v>LO</v>
      </c>
      <c r="J469" s="26"/>
      <c r="K469" s="27">
        <f>-SUMIFS('TRA RESID'!$P:$P,'TRA RESID'!$I:$I,G469,'TRA RESID'!$J:$J,D469,'TRA RESID'!$H:$H,E469)/SUMIFS('TRA RESID'!$P:$P,'TRA RESID'!$I:$I,G469)*O469</f>
        <v>0</v>
      </c>
      <c r="L469" s="26"/>
      <c r="M469" s="26"/>
      <c r="O469" s="28">
        <v>0</v>
      </c>
      <c r="S469" s="23" t="str">
        <f>IF(S468="*",S468,"")</f>
        <v>*</v>
      </c>
      <c r="T469" s="25" t="str">
        <f t="shared" si="369"/>
        <v>*BEV*</v>
      </c>
      <c r="U469" s="25" t="str">
        <f t="shared" si="369"/>
        <v>TRADSL</v>
      </c>
      <c r="V469" s="25" t="str">
        <f t="shared" si="369"/>
        <v>TRAPASSBUDMD</v>
      </c>
      <c r="W469" s="25" t="str">
        <f t="shared" si="369"/>
        <v>TRAPASSBUDMD</v>
      </c>
      <c r="X469" s="26">
        <v>2050</v>
      </c>
      <c r="Y469" s="26" t="str">
        <f>Y467</f>
        <v>LO</v>
      </c>
      <c r="Z469" s="26"/>
      <c r="AA469" s="27">
        <f>-SUMIFS('TRA RESID'!$P:$P,'TRA RESID'!$I:$I,W469,'TRA RESID'!$J:$J,T469,'TRA RESID'!$H:$H,U469)/SUMIFS('TRA RESID'!$P:$P,'TRA RESID'!$I:$I,W469)*AE469</f>
        <v>0</v>
      </c>
      <c r="AB469" s="26"/>
      <c r="AC469" s="26"/>
      <c r="AE469" s="28">
        <v>1</v>
      </c>
      <c r="AG469" s="23" t="str">
        <f>IF(AG468="*",AG468,"")</f>
        <v>*</v>
      </c>
      <c r="AH469" s="25" t="str">
        <f t="shared" si="370"/>
        <v>*HEV*</v>
      </c>
      <c r="AI469" s="25" t="str">
        <f t="shared" si="370"/>
        <v>TRADSL</v>
      </c>
      <c r="AJ469" s="25" t="str">
        <f t="shared" si="370"/>
        <v>TRAPASSBUDMD</v>
      </c>
      <c r="AK469" s="25" t="str">
        <f t="shared" si="370"/>
        <v>TRAPASSBUDMD</v>
      </c>
      <c r="AL469" s="26">
        <v>2050</v>
      </c>
      <c r="AM469" s="26" t="str">
        <f>AM467</f>
        <v>LO</v>
      </c>
      <c r="AN469" s="26"/>
      <c r="AO469" s="27">
        <f>-SUMIFS('TRA RESID'!$P:$P,'TRA RESID'!$I:$I,AK469,'TRA RESID'!$J:$J,AH469,'TRA RESID'!$H:$H,AI469)/SUMIFS('TRA RESID'!$P:$P,'TRA RESID'!$I:$I,AK469)*AS469</f>
        <v>0</v>
      </c>
      <c r="AP469" s="26"/>
      <c r="AQ469" s="26"/>
      <c r="AS469" s="28">
        <v>0</v>
      </c>
      <c r="AU469" s="23" t="str">
        <f>IF(AU468="*",AU468,"")</f>
        <v>*</v>
      </c>
      <c r="AV469" s="25" t="str">
        <f t="shared" si="371"/>
        <v>*FCEV*</v>
      </c>
      <c r="AW469" s="25" t="str">
        <f t="shared" si="371"/>
        <v>TRADSL</v>
      </c>
      <c r="AX469" s="25" t="str">
        <f t="shared" si="371"/>
        <v>TRAPASSBUDMD</v>
      </c>
      <c r="AY469" s="25" t="str">
        <f t="shared" si="371"/>
        <v>TRAPASSBUDMD</v>
      </c>
      <c r="AZ469" s="26">
        <v>2050</v>
      </c>
      <c r="BA469" s="26" t="str">
        <f>BA467</f>
        <v>LO</v>
      </c>
      <c r="BB469" s="26"/>
      <c r="BC469" s="27">
        <f>-SUMIFS('TRA RESID'!$P:$P,'TRA RESID'!$I:$I,AY469,'TRA RESID'!$J:$J,AV469,'TRA RESID'!$H:$H,AW469)/SUMIFS('TRA RESID'!$P:$P,'TRA RESID'!$I:$I,AY469)*BG469</f>
        <v>0</v>
      </c>
      <c r="BD469" s="26"/>
      <c r="BE469" s="26"/>
      <c r="BG469" s="28">
        <v>0</v>
      </c>
    </row>
    <row r="470" spans="1:59" x14ac:dyDescent="0.25">
      <c r="A470">
        <f>A465+1</f>
        <v>94</v>
      </c>
      <c r="C470" s="15" t="str">
        <f>IF(E470="","",IF(_xlfn.XLOOKUP($A470,Selected_constraint!$A:$A,Selected_constraint!$D:$D)=1,"*",IF(SUMIFS('TRA TECH'!$M:$M,'TRA TECH'!$H:$H,E470,'TRA TECH'!$I:$I,F470)=0,"*",IF(SUMIFS('TRA RESID'!$P:$P,'TRA RESID'!$I:$I,G470,'TRA RESID'!$J:$J,D470,'TRA RESID'!$H:$H,E470)=0,"*","UC_"&amp;SUBSTITUTE(D470,"*","")&amp;"_"&amp;RIGHT(E470,3)&amp;"_"&amp;F470))))</f>
        <v>*</v>
      </c>
      <c r="D470" s="17" t="s">
        <v>485</v>
      </c>
      <c r="E470" s="17" t="str">
        <f>_xlfn.XLOOKUP($A470,Selected_constraint!$A:$A,Selected_constraint!$B:$B)</f>
        <v>TRARDS</v>
      </c>
      <c r="F470" s="17" t="str">
        <f>_xlfn.XLOOKUP($A470,Selected_constraint!$A:$A,Selected_constraint!$C:$C)</f>
        <v>TRAPASSBUDMD</v>
      </c>
      <c r="G470" s="17" t="str">
        <f>F470</f>
        <v>TRAPASSBUDMD</v>
      </c>
      <c r="H470" s="18">
        <v>2019</v>
      </c>
      <c r="I470" s="18" t="s">
        <v>483</v>
      </c>
      <c r="J470" s="18">
        <v>1</v>
      </c>
      <c r="K470" s="20">
        <f>-SUMIFS('TRA RESID'!$P:$P,'TRA RESID'!$I:$I,G470,'TRA RESID'!$J:$J,D470,'TRA RESID'!$H:$H,E470)/SUMIFS('TRA RESID'!$P:$P,'TRA RESID'!$I:$I,G470)*O470</f>
        <v>0</v>
      </c>
      <c r="L470" s="18">
        <v>0</v>
      </c>
      <c r="M470" s="18">
        <v>5</v>
      </c>
      <c r="O470" s="21">
        <v>0.98</v>
      </c>
      <c r="Q470">
        <f>Q465+1</f>
        <v>94</v>
      </c>
      <c r="S470" s="15" t="str">
        <f>IF(SUMIFS('TRA RESID'!$P:$P,'TRA RESID'!$I:$I,W470,'TRA RESID'!$J:$J,T470,'TRA RESID'!$H:$H,U470)=0,"*","UC_"&amp;SUBSTITUTE(T470,"*","")&amp;"_"&amp;RIGHT(U470,3)&amp;"_"&amp;V470)</f>
        <v>*</v>
      </c>
      <c r="T470" s="17" t="s">
        <v>486</v>
      </c>
      <c r="U470" s="17" t="str">
        <f>_xlfn.XLOOKUP($A470,Selected_constraint!$A:$A,Selected_constraint!$B:$B)</f>
        <v>TRARDS</v>
      </c>
      <c r="V470" s="17" t="str">
        <f>_xlfn.XLOOKUP($A470,Selected_constraint!$A:$A,Selected_constraint!$C:$C)</f>
        <v>TRAPASSBUDMD</v>
      </c>
      <c r="W470" s="17" t="str">
        <f>V470</f>
        <v>TRAPASSBUDMD</v>
      </c>
      <c r="X470" s="18">
        <v>2019</v>
      </c>
      <c r="Y470" s="18" t="s">
        <v>483</v>
      </c>
      <c r="Z470" s="18">
        <v>1</v>
      </c>
      <c r="AA470" s="20">
        <f>-SUMIFS('TRA RESID'!$P:$P,'TRA RESID'!$I:$I,W470,'TRA RESID'!$J:$J,T470,'TRA RESID'!$H:$H,U470)/SUMIFS('TRA RESID'!$P:$P,'TRA RESID'!$I:$I,W470)*AE470</f>
        <v>0</v>
      </c>
      <c r="AB470" s="18">
        <v>0</v>
      </c>
      <c r="AC470" s="18">
        <v>5</v>
      </c>
      <c r="AE470" s="21">
        <v>0.98</v>
      </c>
      <c r="AG470" s="15" t="str">
        <f>IF(SUMIFS('TRA RESID'!$P:$P,'TRA RESID'!$I:$I,AK470,'TRA RESID'!$J:$J,AH470,'TRA RESID'!$H:$H,AI470)=0,"*","UC_"&amp;SUBSTITUTE(AH470,"*","")&amp;"_"&amp;RIGHT(AI470,3)&amp;"_"&amp;AJ470)</f>
        <v>*</v>
      </c>
      <c r="AH470" s="17" t="s">
        <v>487</v>
      </c>
      <c r="AI470" s="17" t="str">
        <f>_xlfn.XLOOKUP($A470,Selected_constraint!$A:$A,Selected_constraint!$B:$B)</f>
        <v>TRARDS</v>
      </c>
      <c r="AJ470" s="17" t="str">
        <f>_xlfn.XLOOKUP($A470,Selected_constraint!$A:$A,Selected_constraint!$C:$C)</f>
        <v>TRAPASSBUDMD</v>
      </c>
      <c r="AK470" s="17" t="str">
        <f>AJ470</f>
        <v>TRAPASSBUDMD</v>
      </c>
      <c r="AL470" s="18">
        <v>2019</v>
      </c>
      <c r="AM470" s="18" t="s">
        <v>483</v>
      </c>
      <c r="AN470" s="18">
        <v>1</v>
      </c>
      <c r="AO470" s="20">
        <f>-SUMIFS('TRA RESID'!$P:$P,'TRA RESID'!$I:$I,AK470,'TRA RESID'!$J:$J,AH470,'TRA RESID'!$H:$H,AI470)/SUMIFS('TRA RESID'!$P:$P,'TRA RESID'!$I:$I,AK470)*AS470</f>
        <v>0</v>
      </c>
      <c r="AP470" s="18">
        <v>0</v>
      </c>
      <c r="AQ470" s="18">
        <v>5</v>
      </c>
      <c r="AS470" s="21">
        <v>0.98</v>
      </c>
      <c r="AU470" s="15" t="str">
        <f>IF(SUMIFS('TRA RESID'!$P:$P,'TRA RESID'!$I:$I,AY470,'TRA RESID'!$J:$J,AV470,'TRA RESID'!$H:$H,AW470)=0,"*","UC_"&amp;SUBSTITUTE(AV470,"*","")&amp;"_"&amp;RIGHT(AW470,3)&amp;"_"&amp;AX470)</f>
        <v>*</v>
      </c>
      <c r="AV470" s="17" t="s">
        <v>488</v>
      </c>
      <c r="AW470" s="17" t="str">
        <f>_xlfn.XLOOKUP($A470,Selected_constraint!$A:$A,Selected_constraint!$B:$B)</f>
        <v>TRARDS</v>
      </c>
      <c r="AX470" s="17" t="str">
        <f>_xlfn.XLOOKUP($A470,Selected_constraint!$A:$A,Selected_constraint!$C:$C)</f>
        <v>TRAPASSBUDMD</v>
      </c>
      <c r="AY470" s="17" t="str">
        <f>AX470</f>
        <v>TRAPASSBUDMD</v>
      </c>
      <c r="AZ470" s="18">
        <v>2019</v>
      </c>
      <c r="BA470" s="18" t="s">
        <v>483</v>
      </c>
      <c r="BB470" s="18">
        <v>1</v>
      </c>
      <c r="BC470" s="20">
        <f>-SUMIFS('TRA RESID'!$P:$P,'TRA RESID'!$I:$I,AY470,'TRA RESID'!$J:$J,AV470,'TRA RESID'!$H:$H,AW470)/SUMIFS('TRA RESID'!$P:$P,'TRA RESID'!$I:$I,AY470)*BG470</f>
        <v>0</v>
      </c>
      <c r="BD470" s="18">
        <v>0</v>
      </c>
      <c r="BE470" s="18">
        <v>5</v>
      </c>
      <c r="BG470" s="21">
        <v>0.98</v>
      </c>
    </row>
    <row r="471" spans="1:59" x14ac:dyDescent="0.25">
      <c r="C471" s="15" t="str">
        <f>IF(C470="*",C470,"")</f>
        <v>*</v>
      </c>
      <c r="D471" s="17" t="str">
        <f t="shared" ref="D471:G474" si="372">D470</f>
        <v>*ICEV*</v>
      </c>
      <c r="E471" s="17" t="str">
        <f t="shared" si="372"/>
        <v>TRARDS</v>
      </c>
      <c r="F471" s="17" t="str">
        <f t="shared" si="372"/>
        <v>TRAPASSBUDMD</v>
      </c>
      <c r="G471" s="17" t="str">
        <f t="shared" si="372"/>
        <v>TRAPASSBUDMD</v>
      </c>
      <c r="H471" s="18">
        <v>2025</v>
      </c>
      <c r="I471" s="18" t="str">
        <f>I470</f>
        <v>LO</v>
      </c>
      <c r="J471" s="18"/>
      <c r="K471" s="20">
        <f>-SUMIFS('TRA RESID'!$P:$P,'TRA RESID'!$I:$I,G471,'TRA RESID'!$J:$J,D471,'TRA RESID'!$H:$H,E471)/SUMIFS('TRA RESID'!$P:$P,'TRA RESID'!$I:$I,G471)*O471</f>
        <v>0</v>
      </c>
      <c r="L471" s="18"/>
      <c r="M471" s="18"/>
      <c r="O471" s="21">
        <v>0.8</v>
      </c>
      <c r="S471" s="15" t="str">
        <f>IF(S470="*",S470,"")</f>
        <v>*</v>
      </c>
      <c r="T471" s="17" t="str">
        <f t="shared" ref="T471:W474" si="373">T470</f>
        <v>*BEV*</v>
      </c>
      <c r="U471" s="17" t="str">
        <f t="shared" si="373"/>
        <v>TRARDS</v>
      </c>
      <c r="V471" s="17" t="str">
        <f t="shared" si="373"/>
        <v>TRAPASSBUDMD</v>
      </c>
      <c r="W471" s="17" t="str">
        <f t="shared" si="373"/>
        <v>TRAPASSBUDMD</v>
      </c>
      <c r="X471" s="18">
        <v>2025</v>
      </c>
      <c r="Y471" s="18" t="str">
        <f>Y470</f>
        <v>LO</v>
      </c>
      <c r="Z471" s="18"/>
      <c r="AA471" s="20">
        <f>-SUMIFS('TRA RESID'!$P:$P,'TRA RESID'!$I:$I,W471,'TRA RESID'!$J:$J,T471,'TRA RESID'!$H:$H,U471)/SUMIFS('TRA RESID'!$P:$P,'TRA RESID'!$I:$I,W471)*AE471</f>
        <v>0</v>
      </c>
      <c r="AB471" s="18"/>
      <c r="AC471" s="18"/>
      <c r="AE471" s="21">
        <v>1</v>
      </c>
      <c r="AG471" s="15" t="str">
        <f>IF(AG470="*",AG470,"")</f>
        <v>*</v>
      </c>
      <c r="AH471" s="17" t="str">
        <f t="shared" ref="AH471:AK474" si="374">AH470</f>
        <v>*HEV*</v>
      </c>
      <c r="AI471" s="17" t="str">
        <f t="shared" si="374"/>
        <v>TRARDS</v>
      </c>
      <c r="AJ471" s="17" t="str">
        <f t="shared" si="374"/>
        <v>TRAPASSBUDMD</v>
      </c>
      <c r="AK471" s="17" t="str">
        <f t="shared" si="374"/>
        <v>TRAPASSBUDMD</v>
      </c>
      <c r="AL471" s="18">
        <v>2025</v>
      </c>
      <c r="AM471" s="18" t="str">
        <f>AM470</f>
        <v>LO</v>
      </c>
      <c r="AN471" s="18"/>
      <c r="AO471" s="20">
        <f>-SUMIFS('TRA RESID'!$P:$P,'TRA RESID'!$I:$I,AK471,'TRA RESID'!$J:$J,AH471,'TRA RESID'!$H:$H,AI471)/SUMIFS('TRA RESID'!$P:$P,'TRA RESID'!$I:$I,AK471)*AS471</f>
        <v>0</v>
      </c>
      <c r="AP471" s="18"/>
      <c r="AQ471" s="18"/>
      <c r="AS471" s="21">
        <v>0.8</v>
      </c>
      <c r="AU471" s="15" t="str">
        <f>IF(AU470="*",AU470,"")</f>
        <v>*</v>
      </c>
      <c r="AV471" s="17" t="str">
        <f t="shared" ref="AV471:AY474" si="375">AV470</f>
        <v>*FCEV*</v>
      </c>
      <c r="AW471" s="17" t="str">
        <f t="shared" si="375"/>
        <v>TRARDS</v>
      </c>
      <c r="AX471" s="17" t="str">
        <f t="shared" si="375"/>
        <v>TRAPASSBUDMD</v>
      </c>
      <c r="AY471" s="17" t="str">
        <f t="shared" si="375"/>
        <v>TRAPASSBUDMD</v>
      </c>
      <c r="AZ471" s="18">
        <v>2025</v>
      </c>
      <c r="BA471" s="18" t="str">
        <f>BA470</f>
        <v>LO</v>
      </c>
      <c r="BB471" s="18"/>
      <c r="BC471" s="20">
        <f>-SUMIFS('TRA RESID'!$P:$P,'TRA RESID'!$I:$I,AY471,'TRA RESID'!$J:$J,AV471,'TRA RESID'!$H:$H,AW471)/SUMIFS('TRA RESID'!$P:$P,'TRA RESID'!$I:$I,AY471)*BG471</f>
        <v>0</v>
      </c>
      <c r="BD471" s="18"/>
      <c r="BE471" s="18"/>
      <c r="BG471" s="21">
        <v>0.8</v>
      </c>
    </row>
    <row r="472" spans="1:59" x14ac:dyDescent="0.25">
      <c r="C472" s="15" t="str">
        <f>IF(C471="*",C471,"")</f>
        <v>*</v>
      </c>
      <c r="D472" s="17" t="str">
        <f t="shared" si="372"/>
        <v>*ICEV*</v>
      </c>
      <c r="E472" s="17" t="str">
        <f t="shared" si="372"/>
        <v>TRARDS</v>
      </c>
      <c r="F472" s="17" t="str">
        <f t="shared" si="372"/>
        <v>TRAPASSBUDMD</v>
      </c>
      <c r="G472" s="17" t="str">
        <f t="shared" si="372"/>
        <v>TRAPASSBUDMD</v>
      </c>
      <c r="H472" s="18">
        <v>2030</v>
      </c>
      <c r="I472" s="18" t="str">
        <f>I471</f>
        <v>LO</v>
      </c>
      <c r="J472" s="18"/>
      <c r="K472" s="20">
        <f>-SUMIFS('TRA RESID'!$P:$P,'TRA RESID'!$I:$I,G472,'TRA RESID'!$J:$J,D472,'TRA RESID'!$H:$H,E472)/SUMIFS('TRA RESID'!$P:$P,'TRA RESID'!$I:$I,G472)*O472</f>
        <v>0</v>
      </c>
      <c r="L472" s="18"/>
      <c r="M472" s="18"/>
      <c r="O472" s="21">
        <v>0.5</v>
      </c>
      <c r="S472" s="15" t="str">
        <f>IF(S471="*",S471,"")</f>
        <v>*</v>
      </c>
      <c r="T472" s="17" t="str">
        <f t="shared" si="373"/>
        <v>*BEV*</v>
      </c>
      <c r="U472" s="17" t="str">
        <f t="shared" si="373"/>
        <v>TRARDS</v>
      </c>
      <c r="V472" s="17" t="str">
        <f t="shared" si="373"/>
        <v>TRAPASSBUDMD</v>
      </c>
      <c r="W472" s="17" t="str">
        <f t="shared" si="373"/>
        <v>TRAPASSBUDMD</v>
      </c>
      <c r="X472" s="18">
        <v>2030</v>
      </c>
      <c r="Y472" s="18" t="str">
        <f>Y471</f>
        <v>LO</v>
      </c>
      <c r="Z472" s="18"/>
      <c r="AA472" s="20">
        <f>-SUMIFS('TRA RESID'!$P:$P,'TRA RESID'!$I:$I,W472,'TRA RESID'!$J:$J,T472,'TRA RESID'!$H:$H,U472)/SUMIFS('TRA RESID'!$P:$P,'TRA RESID'!$I:$I,W472)*AE472</f>
        <v>0</v>
      </c>
      <c r="AB472" s="18"/>
      <c r="AC472" s="18"/>
      <c r="AE472" s="21">
        <v>1</v>
      </c>
      <c r="AG472" s="15" t="str">
        <f>IF(AG471="*",AG471,"")</f>
        <v>*</v>
      </c>
      <c r="AH472" s="17" t="str">
        <f t="shared" si="374"/>
        <v>*HEV*</v>
      </c>
      <c r="AI472" s="17" t="str">
        <f t="shared" si="374"/>
        <v>TRARDS</v>
      </c>
      <c r="AJ472" s="17" t="str">
        <f t="shared" si="374"/>
        <v>TRAPASSBUDMD</v>
      </c>
      <c r="AK472" s="17" t="str">
        <f t="shared" si="374"/>
        <v>TRAPASSBUDMD</v>
      </c>
      <c r="AL472" s="18">
        <v>2030</v>
      </c>
      <c r="AM472" s="18" t="str">
        <f>AM471</f>
        <v>LO</v>
      </c>
      <c r="AN472" s="18"/>
      <c r="AO472" s="20">
        <f>-SUMIFS('TRA RESID'!$P:$P,'TRA RESID'!$I:$I,AK472,'TRA RESID'!$J:$J,AH472,'TRA RESID'!$H:$H,AI472)/SUMIFS('TRA RESID'!$P:$P,'TRA RESID'!$I:$I,AK472)*AS472</f>
        <v>0</v>
      </c>
      <c r="AP472" s="18"/>
      <c r="AQ472" s="18"/>
      <c r="AS472" s="21">
        <v>0.5</v>
      </c>
      <c r="AU472" s="15" t="str">
        <f>IF(AU471="*",AU471,"")</f>
        <v>*</v>
      </c>
      <c r="AV472" s="17" t="str">
        <f t="shared" si="375"/>
        <v>*FCEV*</v>
      </c>
      <c r="AW472" s="17" t="str">
        <f t="shared" si="375"/>
        <v>TRARDS</v>
      </c>
      <c r="AX472" s="17" t="str">
        <f t="shared" si="375"/>
        <v>TRAPASSBUDMD</v>
      </c>
      <c r="AY472" s="17" t="str">
        <f t="shared" si="375"/>
        <v>TRAPASSBUDMD</v>
      </c>
      <c r="AZ472" s="18">
        <v>2030</v>
      </c>
      <c r="BA472" s="18" t="str">
        <f>BA471</f>
        <v>LO</v>
      </c>
      <c r="BB472" s="18"/>
      <c r="BC472" s="20">
        <f>-SUMIFS('TRA RESID'!$P:$P,'TRA RESID'!$I:$I,AY472,'TRA RESID'!$J:$J,AV472,'TRA RESID'!$H:$H,AW472)/SUMIFS('TRA RESID'!$P:$P,'TRA RESID'!$I:$I,AY472)*BG472</f>
        <v>0</v>
      </c>
      <c r="BD472" s="18"/>
      <c r="BE472" s="18"/>
      <c r="BG472" s="21">
        <v>0.5</v>
      </c>
    </row>
    <row r="473" spans="1:59" x14ac:dyDescent="0.25">
      <c r="C473" s="15" t="str">
        <f>IF(C472="*",C472,"")</f>
        <v>*</v>
      </c>
      <c r="D473" s="17" t="str">
        <f t="shared" si="372"/>
        <v>*ICEV*</v>
      </c>
      <c r="E473" s="17" t="str">
        <f t="shared" si="372"/>
        <v>TRARDS</v>
      </c>
      <c r="F473" s="17" t="str">
        <f t="shared" si="372"/>
        <v>TRAPASSBUDMD</v>
      </c>
      <c r="G473" s="17" t="str">
        <f t="shared" si="372"/>
        <v>TRAPASSBUDMD</v>
      </c>
      <c r="H473" s="18">
        <v>2040</v>
      </c>
      <c r="I473" s="18" t="str">
        <f>I472</f>
        <v>LO</v>
      </c>
      <c r="J473" s="18"/>
      <c r="K473" s="20">
        <f>-SUMIFS('TRA RESID'!$P:$P,'TRA RESID'!$I:$I,G473,'TRA RESID'!$J:$J,D473,'TRA RESID'!$H:$H,E473)/SUMIFS('TRA RESID'!$P:$P,'TRA RESID'!$I:$I,G473)*O473</f>
        <v>0</v>
      </c>
      <c r="L473" s="18"/>
      <c r="M473" s="18"/>
      <c r="O473" s="21">
        <v>0</v>
      </c>
      <c r="S473" s="15" t="str">
        <f>IF(S472="*",S472,"")</f>
        <v>*</v>
      </c>
      <c r="T473" s="17" t="str">
        <f t="shared" si="373"/>
        <v>*BEV*</v>
      </c>
      <c r="U473" s="17" t="str">
        <f t="shared" si="373"/>
        <v>TRARDS</v>
      </c>
      <c r="V473" s="17" t="str">
        <f t="shared" si="373"/>
        <v>TRAPASSBUDMD</v>
      </c>
      <c r="W473" s="17" t="str">
        <f t="shared" si="373"/>
        <v>TRAPASSBUDMD</v>
      </c>
      <c r="X473" s="18">
        <v>2040</v>
      </c>
      <c r="Y473" s="18" t="str">
        <f>Y472</f>
        <v>LO</v>
      </c>
      <c r="Z473" s="18"/>
      <c r="AA473" s="20">
        <f>-SUMIFS('TRA RESID'!$P:$P,'TRA RESID'!$I:$I,W473,'TRA RESID'!$J:$J,T473,'TRA RESID'!$H:$H,U473)/SUMIFS('TRA RESID'!$P:$P,'TRA RESID'!$I:$I,W473)*AE473</f>
        <v>0</v>
      </c>
      <c r="AB473" s="18"/>
      <c r="AC473" s="18"/>
      <c r="AE473" s="21">
        <v>1</v>
      </c>
      <c r="AG473" s="15" t="str">
        <f>IF(AG472="*",AG472,"")</f>
        <v>*</v>
      </c>
      <c r="AH473" s="17" t="str">
        <f t="shared" si="374"/>
        <v>*HEV*</v>
      </c>
      <c r="AI473" s="17" t="str">
        <f t="shared" si="374"/>
        <v>TRARDS</v>
      </c>
      <c r="AJ473" s="17" t="str">
        <f t="shared" si="374"/>
        <v>TRAPASSBUDMD</v>
      </c>
      <c r="AK473" s="17" t="str">
        <f t="shared" si="374"/>
        <v>TRAPASSBUDMD</v>
      </c>
      <c r="AL473" s="18">
        <v>2040</v>
      </c>
      <c r="AM473" s="18" t="str">
        <f>AM472</f>
        <v>LO</v>
      </c>
      <c r="AN473" s="18"/>
      <c r="AO473" s="20">
        <f>-SUMIFS('TRA RESID'!$P:$P,'TRA RESID'!$I:$I,AK473,'TRA RESID'!$J:$J,AH473,'TRA RESID'!$H:$H,AI473)/SUMIFS('TRA RESID'!$P:$P,'TRA RESID'!$I:$I,AK473)*AS473</f>
        <v>0</v>
      </c>
      <c r="AP473" s="18"/>
      <c r="AQ473" s="18"/>
      <c r="AS473" s="21">
        <v>0</v>
      </c>
      <c r="AU473" s="15" t="str">
        <f>IF(AU472="*",AU472,"")</f>
        <v>*</v>
      </c>
      <c r="AV473" s="17" t="str">
        <f t="shared" si="375"/>
        <v>*FCEV*</v>
      </c>
      <c r="AW473" s="17" t="str">
        <f t="shared" si="375"/>
        <v>TRARDS</v>
      </c>
      <c r="AX473" s="17" t="str">
        <f t="shared" si="375"/>
        <v>TRAPASSBUDMD</v>
      </c>
      <c r="AY473" s="17" t="str">
        <f t="shared" si="375"/>
        <v>TRAPASSBUDMD</v>
      </c>
      <c r="AZ473" s="18">
        <v>2040</v>
      </c>
      <c r="BA473" s="18" t="str">
        <f>BA472</f>
        <v>LO</v>
      </c>
      <c r="BB473" s="18"/>
      <c r="BC473" s="20">
        <f>-SUMIFS('TRA RESID'!$P:$P,'TRA RESID'!$I:$I,AY473,'TRA RESID'!$J:$J,AV473,'TRA RESID'!$H:$H,AW473)/SUMIFS('TRA RESID'!$P:$P,'TRA RESID'!$I:$I,AY473)*BG473</f>
        <v>0</v>
      </c>
      <c r="BD473" s="18"/>
      <c r="BE473" s="18"/>
      <c r="BG473" s="21">
        <v>0</v>
      </c>
    </row>
    <row r="474" spans="1:59" x14ac:dyDescent="0.25">
      <c r="C474" s="23" t="str">
        <f>IF(C473="*",C473,"")</f>
        <v>*</v>
      </c>
      <c r="D474" s="25" t="str">
        <f t="shared" si="372"/>
        <v>*ICEV*</v>
      </c>
      <c r="E474" s="25" t="str">
        <f t="shared" si="372"/>
        <v>TRARDS</v>
      </c>
      <c r="F474" s="25" t="str">
        <f t="shared" si="372"/>
        <v>TRAPASSBUDMD</v>
      </c>
      <c r="G474" s="25" t="str">
        <f t="shared" si="372"/>
        <v>TRAPASSBUDMD</v>
      </c>
      <c r="H474" s="26">
        <v>2050</v>
      </c>
      <c r="I474" s="26" t="str">
        <f>I472</f>
        <v>LO</v>
      </c>
      <c r="J474" s="26"/>
      <c r="K474" s="27">
        <f>-SUMIFS('TRA RESID'!$P:$P,'TRA RESID'!$I:$I,G474,'TRA RESID'!$J:$J,D474,'TRA RESID'!$H:$H,E474)/SUMIFS('TRA RESID'!$P:$P,'TRA RESID'!$I:$I,G474)*O474</f>
        <v>0</v>
      </c>
      <c r="L474" s="26"/>
      <c r="M474" s="26"/>
      <c r="O474" s="28">
        <v>0</v>
      </c>
      <c r="S474" s="23" t="str">
        <f>IF(S473="*",S473,"")</f>
        <v>*</v>
      </c>
      <c r="T474" s="25" t="str">
        <f t="shared" si="373"/>
        <v>*BEV*</v>
      </c>
      <c r="U474" s="25" t="str">
        <f t="shared" si="373"/>
        <v>TRARDS</v>
      </c>
      <c r="V474" s="25" t="str">
        <f t="shared" si="373"/>
        <v>TRAPASSBUDMD</v>
      </c>
      <c r="W474" s="25" t="str">
        <f t="shared" si="373"/>
        <v>TRAPASSBUDMD</v>
      </c>
      <c r="X474" s="26">
        <v>2050</v>
      </c>
      <c r="Y474" s="26" t="str">
        <f>Y472</f>
        <v>LO</v>
      </c>
      <c r="Z474" s="26"/>
      <c r="AA474" s="27">
        <f>-SUMIFS('TRA RESID'!$P:$P,'TRA RESID'!$I:$I,W474,'TRA RESID'!$J:$J,T474,'TRA RESID'!$H:$H,U474)/SUMIFS('TRA RESID'!$P:$P,'TRA RESID'!$I:$I,W474)*AE474</f>
        <v>0</v>
      </c>
      <c r="AB474" s="26"/>
      <c r="AC474" s="26"/>
      <c r="AE474" s="28">
        <v>1</v>
      </c>
      <c r="AG474" s="23" t="str">
        <f>IF(AG473="*",AG473,"")</f>
        <v>*</v>
      </c>
      <c r="AH474" s="25" t="str">
        <f t="shared" si="374"/>
        <v>*HEV*</v>
      </c>
      <c r="AI474" s="25" t="str">
        <f t="shared" si="374"/>
        <v>TRARDS</v>
      </c>
      <c r="AJ474" s="25" t="str">
        <f t="shared" si="374"/>
        <v>TRAPASSBUDMD</v>
      </c>
      <c r="AK474" s="25" t="str">
        <f t="shared" si="374"/>
        <v>TRAPASSBUDMD</v>
      </c>
      <c r="AL474" s="26">
        <v>2050</v>
      </c>
      <c r="AM474" s="26" t="str">
        <f>AM472</f>
        <v>LO</v>
      </c>
      <c r="AN474" s="26"/>
      <c r="AO474" s="27">
        <f>-SUMIFS('TRA RESID'!$P:$P,'TRA RESID'!$I:$I,AK474,'TRA RESID'!$J:$J,AH474,'TRA RESID'!$H:$H,AI474)/SUMIFS('TRA RESID'!$P:$P,'TRA RESID'!$I:$I,AK474)*AS474</f>
        <v>0</v>
      </c>
      <c r="AP474" s="26"/>
      <c r="AQ474" s="26"/>
      <c r="AS474" s="28">
        <v>0</v>
      </c>
      <c r="AU474" s="23" t="str">
        <f>IF(AU473="*",AU473,"")</f>
        <v>*</v>
      </c>
      <c r="AV474" s="25" t="str">
        <f t="shared" si="375"/>
        <v>*FCEV*</v>
      </c>
      <c r="AW474" s="25" t="str">
        <f t="shared" si="375"/>
        <v>TRARDS</v>
      </c>
      <c r="AX474" s="25" t="str">
        <f t="shared" si="375"/>
        <v>TRAPASSBUDMD</v>
      </c>
      <c r="AY474" s="25" t="str">
        <f t="shared" si="375"/>
        <v>TRAPASSBUDMD</v>
      </c>
      <c r="AZ474" s="26">
        <v>2050</v>
      </c>
      <c r="BA474" s="26" t="str">
        <f>BA472</f>
        <v>LO</v>
      </c>
      <c r="BB474" s="26"/>
      <c r="BC474" s="27">
        <f>-SUMIFS('TRA RESID'!$P:$P,'TRA RESID'!$I:$I,AY474,'TRA RESID'!$J:$J,AV474,'TRA RESID'!$H:$H,AW474)/SUMIFS('TRA RESID'!$P:$P,'TRA RESID'!$I:$I,AY474)*BG474</f>
        <v>0</v>
      </c>
      <c r="BD474" s="26"/>
      <c r="BE474" s="26"/>
      <c r="BG474" s="28">
        <v>0</v>
      </c>
    </row>
    <row r="475" spans="1:59" x14ac:dyDescent="0.25">
      <c r="A475">
        <f>A470+1</f>
        <v>95</v>
      </c>
      <c r="C475" s="15" t="str">
        <f>IF(E475="","",IF(_xlfn.XLOOKUP($A475,Selected_constraint!$A:$A,Selected_constraint!$D:$D)=1,"*",IF(SUMIFS('TRA TECH'!$M:$M,'TRA TECH'!$H:$H,E475,'TRA TECH'!$I:$I,F475)=0,"*",IF(SUMIFS('TRA RESID'!$P:$P,'TRA RESID'!$I:$I,G475,'TRA RESID'!$J:$J,D475,'TRA RESID'!$H:$H,E475)=0,"*","UC_"&amp;SUBSTITUTE(D475,"*","")&amp;"_"&amp;RIGHT(E475,3)&amp;"_"&amp;F475))))</f>
        <v>*</v>
      </c>
      <c r="D475" s="17" t="s">
        <v>485</v>
      </c>
      <c r="E475" s="17" t="str">
        <f>_xlfn.XLOOKUP($A475,Selected_constraint!$A:$A,Selected_constraint!$B:$B)</f>
        <v>TRABDS</v>
      </c>
      <c r="F475" s="17" t="str">
        <f>_xlfn.XLOOKUP($A475,Selected_constraint!$A:$A,Selected_constraint!$C:$C)</f>
        <v>TRAPASSBUDMD</v>
      </c>
      <c r="G475" s="17" t="str">
        <f>F475</f>
        <v>TRAPASSBUDMD</v>
      </c>
      <c r="H475" s="18">
        <v>2019</v>
      </c>
      <c r="I475" s="18" t="s">
        <v>483</v>
      </c>
      <c r="J475" s="18">
        <v>1</v>
      </c>
      <c r="K475" s="20">
        <f>-SUMIFS('TRA RESID'!$P:$P,'TRA RESID'!$I:$I,G475,'TRA RESID'!$J:$J,D475,'TRA RESID'!$H:$H,E475)/SUMIFS('TRA RESID'!$P:$P,'TRA RESID'!$I:$I,G475)*O475</f>
        <v>0</v>
      </c>
      <c r="L475" s="18">
        <v>0</v>
      </c>
      <c r="M475" s="18">
        <v>5</v>
      </c>
      <c r="O475" s="21">
        <v>0.98</v>
      </c>
      <c r="Q475">
        <f>Q470+1</f>
        <v>95</v>
      </c>
      <c r="S475" s="15" t="str">
        <f>IF(SUMIFS('TRA RESID'!$P:$P,'TRA RESID'!$I:$I,W475,'TRA RESID'!$J:$J,T475,'TRA RESID'!$H:$H,U475)=0,"*","UC_"&amp;SUBSTITUTE(T475,"*","")&amp;"_"&amp;RIGHT(U475,3)&amp;"_"&amp;V475)</f>
        <v>*</v>
      </c>
      <c r="T475" s="17" t="s">
        <v>486</v>
      </c>
      <c r="U475" s="17" t="str">
        <f>_xlfn.XLOOKUP($A475,Selected_constraint!$A:$A,Selected_constraint!$B:$B)</f>
        <v>TRABDS</v>
      </c>
      <c r="V475" s="17" t="str">
        <f>_xlfn.XLOOKUP($A475,Selected_constraint!$A:$A,Selected_constraint!$C:$C)</f>
        <v>TRAPASSBUDMD</v>
      </c>
      <c r="W475" s="17" t="str">
        <f>V475</f>
        <v>TRAPASSBUDMD</v>
      </c>
      <c r="X475" s="18">
        <v>2019</v>
      </c>
      <c r="Y475" s="18" t="s">
        <v>483</v>
      </c>
      <c r="Z475" s="18">
        <v>1</v>
      </c>
      <c r="AA475" s="20">
        <f>-SUMIFS('TRA RESID'!$P:$P,'TRA RESID'!$I:$I,W475,'TRA RESID'!$J:$J,T475,'TRA RESID'!$H:$H,U475)/SUMIFS('TRA RESID'!$P:$P,'TRA RESID'!$I:$I,W475)*AE475</f>
        <v>0</v>
      </c>
      <c r="AB475" s="18">
        <v>0</v>
      </c>
      <c r="AC475" s="18">
        <v>5</v>
      </c>
      <c r="AE475" s="21">
        <v>0.98</v>
      </c>
      <c r="AG475" s="15" t="str">
        <f>IF(SUMIFS('TRA RESID'!$P:$P,'TRA RESID'!$I:$I,AK475,'TRA RESID'!$J:$J,AH475,'TRA RESID'!$H:$H,AI475)=0,"*","UC_"&amp;SUBSTITUTE(AH475,"*","")&amp;"_"&amp;RIGHT(AI475,3)&amp;"_"&amp;AJ475)</f>
        <v>*</v>
      </c>
      <c r="AH475" s="17" t="s">
        <v>487</v>
      </c>
      <c r="AI475" s="17" t="str">
        <f>_xlfn.XLOOKUP($A475,Selected_constraint!$A:$A,Selected_constraint!$B:$B)</f>
        <v>TRABDS</v>
      </c>
      <c r="AJ475" s="17" t="str">
        <f>_xlfn.XLOOKUP($A475,Selected_constraint!$A:$A,Selected_constraint!$C:$C)</f>
        <v>TRAPASSBUDMD</v>
      </c>
      <c r="AK475" s="17" t="str">
        <f>AJ475</f>
        <v>TRAPASSBUDMD</v>
      </c>
      <c r="AL475" s="18">
        <v>2019</v>
      </c>
      <c r="AM475" s="18" t="s">
        <v>483</v>
      </c>
      <c r="AN475" s="18">
        <v>1</v>
      </c>
      <c r="AO475" s="20">
        <f>-SUMIFS('TRA RESID'!$P:$P,'TRA RESID'!$I:$I,AK475,'TRA RESID'!$J:$J,AH475,'TRA RESID'!$H:$H,AI475)/SUMIFS('TRA RESID'!$P:$P,'TRA RESID'!$I:$I,AK475)*AS475</f>
        <v>0</v>
      </c>
      <c r="AP475" s="18">
        <v>0</v>
      </c>
      <c r="AQ475" s="18">
        <v>5</v>
      </c>
      <c r="AS475" s="21">
        <v>0.98</v>
      </c>
      <c r="AU475" s="15" t="str">
        <f>IF(SUMIFS('TRA RESID'!$P:$P,'TRA RESID'!$I:$I,AY475,'TRA RESID'!$J:$J,AV475,'TRA RESID'!$H:$H,AW475)=0,"*","UC_"&amp;SUBSTITUTE(AV475,"*","")&amp;"_"&amp;RIGHT(AW475,3)&amp;"_"&amp;AX475)</f>
        <v>*</v>
      </c>
      <c r="AV475" s="17" t="s">
        <v>488</v>
      </c>
      <c r="AW475" s="17" t="str">
        <f>_xlfn.XLOOKUP($A475,Selected_constraint!$A:$A,Selected_constraint!$B:$B)</f>
        <v>TRABDS</v>
      </c>
      <c r="AX475" s="17" t="str">
        <f>_xlfn.XLOOKUP($A475,Selected_constraint!$A:$A,Selected_constraint!$C:$C)</f>
        <v>TRAPASSBUDMD</v>
      </c>
      <c r="AY475" s="17" t="str">
        <f>AX475</f>
        <v>TRAPASSBUDMD</v>
      </c>
      <c r="AZ475" s="18">
        <v>2019</v>
      </c>
      <c r="BA475" s="18" t="s">
        <v>483</v>
      </c>
      <c r="BB475" s="18">
        <v>1</v>
      </c>
      <c r="BC475" s="20">
        <f>-SUMIFS('TRA RESID'!$P:$P,'TRA RESID'!$I:$I,AY475,'TRA RESID'!$J:$J,AV475,'TRA RESID'!$H:$H,AW475)/SUMIFS('TRA RESID'!$P:$P,'TRA RESID'!$I:$I,AY475)*BG475</f>
        <v>0</v>
      </c>
      <c r="BD475" s="18">
        <v>0</v>
      </c>
      <c r="BE475" s="18">
        <v>5</v>
      </c>
      <c r="BG475" s="21">
        <v>0.98</v>
      </c>
    </row>
    <row r="476" spans="1:59" x14ac:dyDescent="0.25">
      <c r="C476" s="15" t="str">
        <f>IF(C475="*",C475,"")</f>
        <v>*</v>
      </c>
      <c r="D476" s="17" t="str">
        <f t="shared" ref="D476:G479" si="376">D475</f>
        <v>*ICEV*</v>
      </c>
      <c r="E476" s="17" t="str">
        <f t="shared" si="376"/>
        <v>TRABDS</v>
      </c>
      <c r="F476" s="17" t="str">
        <f t="shared" si="376"/>
        <v>TRAPASSBUDMD</v>
      </c>
      <c r="G476" s="17" t="str">
        <f t="shared" si="376"/>
        <v>TRAPASSBUDMD</v>
      </c>
      <c r="H476" s="18">
        <v>2025</v>
      </c>
      <c r="I476" s="18" t="str">
        <f>I475</f>
        <v>LO</v>
      </c>
      <c r="J476" s="18"/>
      <c r="K476" s="20">
        <f>-SUMIFS('TRA RESID'!$P:$P,'TRA RESID'!$I:$I,G476,'TRA RESID'!$J:$J,D476,'TRA RESID'!$H:$H,E476)/SUMIFS('TRA RESID'!$P:$P,'TRA RESID'!$I:$I,G476)*O476</f>
        <v>0</v>
      </c>
      <c r="L476" s="18"/>
      <c r="M476" s="18"/>
      <c r="O476" s="21">
        <v>0.8</v>
      </c>
      <c r="S476" s="15" t="str">
        <f>IF(S475="*",S475,"")</f>
        <v>*</v>
      </c>
      <c r="T476" s="17" t="str">
        <f t="shared" ref="T476:W479" si="377">T475</f>
        <v>*BEV*</v>
      </c>
      <c r="U476" s="17" t="str">
        <f t="shared" si="377"/>
        <v>TRABDS</v>
      </c>
      <c r="V476" s="17" t="str">
        <f t="shared" si="377"/>
        <v>TRAPASSBUDMD</v>
      </c>
      <c r="W476" s="17" t="str">
        <f t="shared" si="377"/>
        <v>TRAPASSBUDMD</v>
      </c>
      <c r="X476" s="18">
        <v>2025</v>
      </c>
      <c r="Y476" s="18" t="str">
        <f>Y475</f>
        <v>LO</v>
      </c>
      <c r="Z476" s="18"/>
      <c r="AA476" s="20">
        <f>-SUMIFS('TRA RESID'!$P:$P,'TRA RESID'!$I:$I,W476,'TRA RESID'!$J:$J,T476,'TRA RESID'!$H:$H,U476)/SUMIFS('TRA RESID'!$P:$P,'TRA RESID'!$I:$I,W476)*AE476</f>
        <v>0</v>
      </c>
      <c r="AB476" s="18"/>
      <c r="AC476" s="18"/>
      <c r="AE476" s="21">
        <v>1</v>
      </c>
      <c r="AG476" s="15" t="str">
        <f>IF(AG475="*",AG475,"")</f>
        <v>*</v>
      </c>
      <c r="AH476" s="17" t="str">
        <f t="shared" ref="AH476:AK479" si="378">AH475</f>
        <v>*HEV*</v>
      </c>
      <c r="AI476" s="17" t="str">
        <f t="shared" si="378"/>
        <v>TRABDS</v>
      </c>
      <c r="AJ476" s="17" t="str">
        <f t="shared" si="378"/>
        <v>TRAPASSBUDMD</v>
      </c>
      <c r="AK476" s="17" t="str">
        <f t="shared" si="378"/>
        <v>TRAPASSBUDMD</v>
      </c>
      <c r="AL476" s="18">
        <v>2025</v>
      </c>
      <c r="AM476" s="18" t="str">
        <f>AM475</f>
        <v>LO</v>
      </c>
      <c r="AN476" s="18"/>
      <c r="AO476" s="20">
        <f>-SUMIFS('TRA RESID'!$P:$P,'TRA RESID'!$I:$I,AK476,'TRA RESID'!$J:$J,AH476,'TRA RESID'!$H:$H,AI476)/SUMIFS('TRA RESID'!$P:$P,'TRA RESID'!$I:$I,AK476)*AS476</f>
        <v>0</v>
      </c>
      <c r="AP476" s="18"/>
      <c r="AQ476" s="18"/>
      <c r="AS476" s="21">
        <v>0.8</v>
      </c>
      <c r="AU476" s="15" t="str">
        <f>IF(AU475="*",AU475,"")</f>
        <v>*</v>
      </c>
      <c r="AV476" s="17" t="str">
        <f t="shared" ref="AV476:AY479" si="379">AV475</f>
        <v>*FCEV*</v>
      </c>
      <c r="AW476" s="17" t="str">
        <f t="shared" si="379"/>
        <v>TRABDS</v>
      </c>
      <c r="AX476" s="17" t="str">
        <f t="shared" si="379"/>
        <v>TRAPASSBUDMD</v>
      </c>
      <c r="AY476" s="17" t="str">
        <f t="shared" si="379"/>
        <v>TRAPASSBUDMD</v>
      </c>
      <c r="AZ476" s="18">
        <v>2025</v>
      </c>
      <c r="BA476" s="18" t="str">
        <f>BA475</f>
        <v>LO</v>
      </c>
      <c r="BB476" s="18"/>
      <c r="BC476" s="20">
        <f>-SUMIFS('TRA RESID'!$P:$P,'TRA RESID'!$I:$I,AY476,'TRA RESID'!$J:$J,AV476,'TRA RESID'!$H:$H,AW476)/SUMIFS('TRA RESID'!$P:$P,'TRA RESID'!$I:$I,AY476)*BG476</f>
        <v>0</v>
      </c>
      <c r="BD476" s="18"/>
      <c r="BE476" s="18"/>
      <c r="BG476" s="21">
        <v>0.8</v>
      </c>
    </row>
    <row r="477" spans="1:59" x14ac:dyDescent="0.25">
      <c r="C477" s="15" t="str">
        <f>IF(C476="*",C476,"")</f>
        <v>*</v>
      </c>
      <c r="D477" s="17" t="str">
        <f t="shared" si="376"/>
        <v>*ICEV*</v>
      </c>
      <c r="E477" s="17" t="str">
        <f t="shared" si="376"/>
        <v>TRABDS</v>
      </c>
      <c r="F477" s="17" t="str">
        <f t="shared" si="376"/>
        <v>TRAPASSBUDMD</v>
      </c>
      <c r="G477" s="17" t="str">
        <f t="shared" si="376"/>
        <v>TRAPASSBUDMD</v>
      </c>
      <c r="H477" s="18">
        <v>2030</v>
      </c>
      <c r="I477" s="18" t="str">
        <f>I476</f>
        <v>LO</v>
      </c>
      <c r="J477" s="18"/>
      <c r="K477" s="20">
        <f>-SUMIFS('TRA RESID'!$P:$P,'TRA RESID'!$I:$I,G477,'TRA RESID'!$J:$J,D477,'TRA RESID'!$H:$H,E477)/SUMIFS('TRA RESID'!$P:$P,'TRA RESID'!$I:$I,G477)*O477</f>
        <v>0</v>
      </c>
      <c r="L477" s="18"/>
      <c r="M477" s="18"/>
      <c r="O477" s="21">
        <v>0.5</v>
      </c>
      <c r="S477" s="15" t="str">
        <f>IF(S476="*",S476,"")</f>
        <v>*</v>
      </c>
      <c r="T477" s="17" t="str">
        <f t="shared" si="377"/>
        <v>*BEV*</v>
      </c>
      <c r="U477" s="17" t="str">
        <f t="shared" si="377"/>
        <v>TRABDS</v>
      </c>
      <c r="V477" s="17" t="str">
        <f t="shared" si="377"/>
        <v>TRAPASSBUDMD</v>
      </c>
      <c r="W477" s="17" t="str">
        <f t="shared" si="377"/>
        <v>TRAPASSBUDMD</v>
      </c>
      <c r="X477" s="18">
        <v>2030</v>
      </c>
      <c r="Y477" s="18" t="str">
        <f>Y476</f>
        <v>LO</v>
      </c>
      <c r="Z477" s="18"/>
      <c r="AA477" s="20">
        <f>-SUMIFS('TRA RESID'!$P:$P,'TRA RESID'!$I:$I,W477,'TRA RESID'!$J:$J,T477,'TRA RESID'!$H:$H,U477)/SUMIFS('TRA RESID'!$P:$P,'TRA RESID'!$I:$I,W477)*AE477</f>
        <v>0</v>
      </c>
      <c r="AB477" s="18"/>
      <c r="AC477" s="18"/>
      <c r="AE477" s="21">
        <v>1</v>
      </c>
      <c r="AG477" s="15" t="str">
        <f>IF(AG476="*",AG476,"")</f>
        <v>*</v>
      </c>
      <c r="AH477" s="17" t="str">
        <f t="shared" si="378"/>
        <v>*HEV*</v>
      </c>
      <c r="AI477" s="17" t="str">
        <f t="shared" si="378"/>
        <v>TRABDS</v>
      </c>
      <c r="AJ477" s="17" t="str">
        <f t="shared" si="378"/>
        <v>TRAPASSBUDMD</v>
      </c>
      <c r="AK477" s="17" t="str">
        <f t="shared" si="378"/>
        <v>TRAPASSBUDMD</v>
      </c>
      <c r="AL477" s="18">
        <v>2030</v>
      </c>
      <c r="AM477" s="18" t="str">
        <f>AM476</f>
        <v>LO</v>
      </c>
      <c r="AN477" s="18"/>
      <c r="AO477" s="20">
        <f>-SUMIFS('TRA RESID'!$P:$P,'TRA RESID'!$I:$I,AK477,'TRA RESID'!$J:$J,AH477,'TRA RESID'!$H:$H,AI477)/SUMIFS('TRA RESID'!$P:$P,'TRA RESID'!$I:$I,AK477)*AS477</f>
        <v>0</v>
      </c>
      <c r="AP477" s="18"/>
      <c r="AQ477" s="18"/>
      <c r="AS477" s="21">
        <v>0.5</v>
      </c>
      <c r="AU477" s="15" t="str">
        <f>IF(AU476="*",AU476,"")</f>
        <v>*</v>
      </c>
      <c r="AV477" s="17" t="str">
        <f t="shared" si="379"/>
        <v>*FCEV*</v>
      </c>
      <c r="AW477" s="17" t="str">
        <f t="shared" si="379"/>
        <v>TRABDS</v>
      </c>
      <c r="AX477" s="17" t="str">
        <f t="shared" si="379"/>
        <v>TRAPASSBUDMD</v>
      </c>
      <c r="AY477" s="17" t="str">
        <f t="shared" si="379"/>
        <v>TRAPASSBUDMD</v>
      </c>
      <c r="AZ477" s="18">
        <v>2030</v>
      </c>
      <c r="BA477" s="18" t="str">
        <f>BA476</f>
        <v>LO</v>
      </c>
      <c r="BB477" s="18"/>
      <c r="BC477" s="20">
        <f>-SUMIFS('TRA RESID'!$P:$P,'TRA RESID'!$I:$I,AY477,'TRA RESID'!$J:$J,AV477,'TRA RESID'!$H:$H,AW477)/SUMIFS('TRA RESID'!$P:$P,'TRA RESID'!$I:$I,AY477)*BG477</f>
        <v>0</v>
      </c>
      <c r="BD477" s="18"/>
      <c r="BE477" s="18"/>
      <c r="BG477" s="21">
        <v>0.5</v>
      </c>
    </row>
    <row r="478" spans="1:59" x14ac:dyDescent="0.25">
      <c r="C478" s="15" t="str">
        <f>IF(C477="*",C477,"")</f>
        <v>*</v>
      </c>
      <c r="D478" s="17" t="str">
        <f t="shared" si="376"/>
        <v>*ICEV*</v>
      </c>
      <c r="E478" s="17" t="str">
        <f t="shared" si="376"/>
        <v>TRABDS</v>
      </c>
      <c r="F478" s="17" t="str">
        <f t="shared" si="376"/>
        <v>TRAPASSBUDMD</v>
      </c>
      <c r="G478" s="17" t="str">
        <f t="shared" si="376"/>
        <v>TRAPASSBUDMD</v>
      </c>
      <c r="H478" s="18">
        <v>2040</v>
      </c>
      <c r="I478" s="18" t="str">
        <f>I477</f>
        <v>LO</v>
      </c>
      <c r="J478" s="18"/>
      <c r="K478" s="20">
        <f>-SUMIFS('TRA RESID'!$P:$P,'TRA RESID'!$I:$I,G478,'TRA RESID'!$J:$J,D478,'TRA RESID'!$H:$H,E478)/SUMIFS('TRA RESID'!$P:$P,'TRA RESID'!$I:$I,G478)*O478</f>
        <v>0</v>
      </c>
      <c r="L478" s="18"/>
      <c r="M478" s="18"/>
      <c r="O478" s="21">
        <v>0</v>
      </c>
      <c r="S478" s="15" t="str">
        <f>IF(S477="*",S477,"")</f>
        <v>*</v>
      </c>
      <c r="T478" s="17" t="str">
        <f t="shared" si="377"/>
        <v>*BEV*</v>
      </c>
      <c r="U478" s="17" t="str">
        <f t="shared" si="377"/>
        <v>TRABDS</v>
      </c>
      <c r="V478" s="17" t="str">
        <f t="shared" si="377"/>
        <v>TRAPASSBUDMD</v>
      </c>
      <c r="W478" s="17" t="str">
        <f t="shared" si="377"/>
        <v>TRAPASSBUDMD</v>
      </c>
      <c r="X478" s="18">
        <v>2040</v>
      </c>
      <c r="Y478" s="18" t="str">
        <f>Y477</f>
        <v>LO</v>
      </c>
      <c r="Z478" s="18"/>
      <c r="AA478" s="20">
        <f>-SUMIFS('TRA RESID'!$P:$P,'TRA RESID'!$I:$I,W478,'TRA RESID'!$J:$J,T478,'TRA RESID'!$H:$H,U478)/SUMIFS('TRA RESID'!$P:$P,'TRA RESID'!$I:$I,W478)*AE478</f>
        <v>0</v>
      </c>
      <c r="AB478" s="18"/>
      <c r="AC478" s="18"/>
      <c r="AE478" s="21">
        <v>1</v>
      </c>
      <c r="AG478" s="15" t="str">
        <f>IF(AG477="*",AG477,"")</f>
        <v>*</v>
      </c>
      <c r="AH478" s="17" t="str">
        <f t="shared" si="378"/>
        <v>*HEV*</v>
      </c>
      <c r="AI478" s="17" t="str">
        <f t="shared" si="378"/>
        <v>TRABDS</v>
      </c>
      <c r="AJ478" s="17" t="str">
        <f t="shared" si="378"/>
        <v>TRAPASSBUDMD</v>
      </c>
      <c r="AK478" s="17" t="str">
        <f t="shared" si="378"/>
        <v>TRAPASSBUDMD</v>
      </c>
      <c r="AL478" s="18">
        <v>2040</v>
      </c>
      <c r="AM478" s="18" t="str">
        <f>AM477</f>
        <v>LO</v>
      </c>
      <c r="AN478" s="18"/>
      <c r="AO478" s="20">
        <f>-SUMIFS('TRA RESID'!$P:$P,'TRA RESID'!$I:$I,AK478,'TRA RESID'!$J:$J,AH478,'TRA RESID'!$H:$H,AI478)/SUMIFS('TRA RESID'!$P:$P,'TRA RESID'!$I:$I,AK478)*AS478</f>
        <v>0</v>
      </c>
      <c r="AP478" s="18"/>
      <c r="AQ478" s="18"/>
      <c r="AS478" s="21">
        <v>0</v>
      </c>
      <c r="AU478" s="15" t="str">
        <f>IF(AU477="*",AU477,"")</f>
        <v>*</v>
      </c>
      <c r="AV478" s="17" t="str">
        <f t="shared" si="379"/>
        <v>*FCEV*</v>
      </c>
      <c r="AW478" s="17" t="str">
        <f t="shared" si="379"/>
        <v>TRABDS</v>
      </c>
      <c r="AX478" s="17" t="str">
        <f t="shared" si="379"/>
        <v>TRAPASSBUDMD</v>
      </c>
      <c r="AY478" s="17" t="str">
        <f t="shared" si="379"/>
        <v>TRAPASSBUDMD</v>
      </c>
      <c r="AZ478" s="18">
        <v>2040</v>
      </c>
      <c r="BA478" s="18" t="str">
        <f>BA477</f>
        <v>LO</v>
      </c>
      <c r="BB478" s="18"/>
      <c r="BC478" s="20">
        <f>-SUMIFS('TRA RESID'!$P:$P,'TRA RESID'!$I:$I,AY478,'TRA RESID'!$J:$J,AV478,'TRA RESID'!$H:$H,AW478)/SUMIFS('TRA RESID'!$P:$P,'TRA RESID'!$I:$I,AY478)*BG478</f>
        <v>0</v>
      </c>
      <c r="BD478" s="18"/>
      <c r="BE478" s="18"/>
      <c r="BG478" s="21">
        <v>0</v>
      </c>
    </row>
    <row r="479" spans="1:59" x14ac:dyDescent="0.25">
      <c r="C479" s="23" t="str">
        <f>IF(C478="*",C478,"")</f>
        <v>*</v>
      </c>
      <c r="D479" s="25" t="str">
        <f t="shared" si="376"/>
        <v>*ICEV*</v>
      </c>
      <c r="E479" s="25" t="str">
        <f t="shared" si="376"/>
        <v>TRABDS</v>
      </c>
      <c r="F479" s="25" t="str">
        <f t="shared" si="376"/>
        <v>TRAPASSBUDMD</v>
      </c>
      <c r="G479" s="25" t="str">
        <f t="shared" si="376"/>
        <v>TRAPASSBUDMD</v>
      </c>
      <c r="H479" s="26">
        <v>2050</v>
      </c>
      <c r="I479" s="26" t="str">
        <f>I477</f>
        <v>LO</v>
      </c>
      <c r="J479" s="26"/>
      <c r="K479" s="27">
        <f>-SUMIFS('TRA RESID'!$P:$P,'TRA RESID'!$I:$I,G479,'TRA RESID'!$J:$J,D479,'TRA RESID'!$H:$H,E479)/SUMIFS('TRA RESID'!$P:$P,'TRA RESID'!$I:$I,G479)*O479</f>
        <v>0</v>
      </c>
      <c r="L479" s="26"/>
      <c r="M479" s="26"/>
      <c r="O479" s="28">
        <v>0</v>
      </c>
      <c r="S479" s="23" t="str">
        <f>IF(S478="*",S478,"")</f>
        <v>*</v>
      </c>
      <c r="T479" s="25" t="str">
        <f t="shared" si="377"/>
        <v>*BEV*</v>
      </c>
      <c r="U479" s="25" t="str">
        <f t="shared" si="377"/>
        <v>TRABDS</v>
      </c>
      <c r="V479" s="25" t="str">
        <f t="shared" si="377"/>
        <v>TRAPASSBUDMD</v>
      </c>
      <c r="W479" s="25" t="str">
        <f t="shared" si="377"/>
        <v>TRAPASSBUDMD</v>
      </c>
      <c r="X479" s="26">
        <v>2050</v>
      </c>
      <c r="Y479" s="26" t="str">
        <f>Y477</f>
        <v>LO</v>
      </c>
      <c r="Z479" s="26"/>
      <c r="AA479" s="27">
        <f>-SUMIFS('TRA RESID'!$P:$P,'TRA RESID'!$I:$I,W479,'TRA RESID'!$J:$J,T479,'TRA RESID'!$H:$H,U479)/SUMIFS('TRA RESID'!$P:$P,'TRA RESID'!$I:$I,W479)*AE479</f>
        <v>0</v>
      </c>
      <c r="AB479" s="26"/>
      <c r="AC479" s="26"/>
      <c r="AE479" s="28">
        <v>1</v>
      </c>
      <c r="AG479" s="23" t="str">
        <f>IF(AG478="*",AG478,"")</f>
        <v>*</v>
      </c>
      <c r="AH479" s="25" t="str">
        <f t="shared" si="378"/>
        <v>*HEV*</v>
      </c>
      <c r="AI479" s="25" t="str">
        <f t="shared" si="378"/>
        <v>TRABDS</v>
      </c>
      <c r="AJ479" s="25" t="str">
        <f t="shared" si="378"/>
        <v>TRAPASSBUDMD</v>
      </c>
      <c r="AK479" s="25" t="str">
        <f t="shared" si="378"/>
        <v>TRAPASSBUDMD</v>
      </c>
      <c r="AL479" s="26">
        <v>2050</v>
      </c>
      <c r="AM479" s="26" t="str">
        <f>AM477</f>
        <v>LO</v>
      </c>
      <c r="AN479" s="26"/>
      <c r="AO479" s="27">
        <f>-SUMIFS('TRA RESID'!$P:$P,'TRA RESID'!$I:$I,AK479,'TRA RESID'!$J:$J,AH479,'TRA RESID'!$H:$H,AI479)/SUMIFS('TRA RESID'!$P:$P,'TRA RESID'!$I:$I,AK479)*AS479</f>
        <v>0</v>
      </c>
      <c r="AP479" s="26"/>
      <c r="AQ479" s="26"/>
      <c r="AS479" s="28">
        <v>0</v>
      </c>
      <c r="AU479" s="23" t="str">
        <f>IF(AU478="*",AU478,"")</f>
        <v>*</v>
      </c>
      <c r="AV479" s="25" t="str">
        <f t="shared" si="379"/>
        <v>*FCEV*</v>
      </c>
      <c r="AW479" s="25" t="str">
        <f t="shared" si="379"/>
        <v>TRABDS</v>
      </c>
      <c r="AX479" s="25" t="str">
        <f t="shared" si="379"/>
        <v>TRAPASSBUDMD</v>
      </c>
      <c r="AY479" s="25" t="str">
        <f t="shared" si="379"/>
        <v>TRAPASSBUDMD</v>
      </c>
      <c r="AZ479" s="26">
        <v>2050</v>
      </c>
      <c r="BA479" s="26" t="str">
        <f>BA477</f>
        <v>LO</v>
      </c>
      <c r="BB479" s="26"/>
      <c r="BC479" s="27">
        <f>-SUMIFS('TRA RESID'!$P:$P,'TRA RESID'!$I:$I,AY479,'TRA RESID'!$J:$J,AV479,'TRA RESID'!$H:$H,AW479)/SUMIFS('TRA RESID'!$P:$P,'TRA RESID'!$I:$I,AY479)*BG479</f>
        <v>0</v>
      </c>
      <c r="BD479" s="26"/>
      <c r="BE479" s="26"/>
      <c r="BG479" s="28">
        <v>0</v>
      </c>
    </row>
    <row r="480" spans="1:59" x14ac:dyDescent="0.25">
      <c r="A480">
        <f>A475+1</f>
        <v>96</v>
      </c>
      <c r="C480" s="15" t="str">
        <f>IF(E480="","",IF(_xlfn.XLOOKUP($A480,Selected_constraint!$A:$A,Selected_constraint!$D:$D)=1,"*",IF(SUMIFS('TRA TECH'!$M:$M,'TRA TECH'!$H:$H,E480,'TRA TECH'!$I:$I,F480)=0,"*",IF(SUMIFS('TRA RESID'!$P:$P,'TRA RESID'!$I:$I,G480,'TRA RESID'!$J:$J,D480,'TRA RESID'!$H:$H,E480)=0,"*","UC_"&amp;SUBSTITUTE(D480,"*","")&amp;"_"&amp;RIGHT(E480,3)&amp;"_"&amp;F480))))</f>
        <v>*</v>
      </c>
      <c r="D480" s="17" t="s">
        <v>485</v>
      </c>
      <c r="E480" s="17" t="str">
        <f>_xlfn.XLOOKUP($A480,Selected_constraint!$A:$A,Selected_constraint!$B:$B)</f>
        <v>TRACNG</v>
      </c>
      <c r="F480" s="17" t="str">
        <f>_xlfn.XLOOKUP($A480,Selected_constraint!$A:$A,Selected_constraint!$C:$C)</f>
        <v>TRAPASSBUDMD</v>
      </c>
      <c r="G480" s="17" t="str">
        <f>F480</f>
        <v>TRAPASSBUDMD</v>
      </c>
      <c r="H480" s="18">
        <v>2019</v>
      </c>
      <c r="I480" s="18" t="s">
        <v>483</v>
      </c>
      <c r="J480" s="18">
        <v>1</v>
      </c>
      <c r="K480" s="20">
        <f>-SUMIFS('TRA RESID'!$P:$P,'TRA RESID'!$I:$I,G480,'TRA RESID'!$J:$J,D480,'TRA RESID'!$H:$H,E480)/SUMIFS('TRA RESID'!$P:$P,'TRA RESID'!$I:$I,G480)*O480</f>
        <v>0</v>
      </c>
      <c r="L480" s="18">
        <v>0</v>
      </c>
      <c r="M480" s="18">
        <v>5</v>
      </c>
      <c r="O480" s="21">
        <v>0.98</v>
      </c>
      <c r="Q480">
        <f>Q475+1</f>
        <v>96</v>
      </c>
      <c r="S480" s="15" t="str">
        <f>IF(SUMIFS('TRA RESID'!$P:$P,'TRA RESID'!$I:$I,W480,'TRA RESID'!$J:$J,T480,'TRA RESID'!$H:$H,U480)=0,"*","UC_"&amp;SUBSTITUTE(T480,"*","")&amp;"_"&amp;RIGHT(U480,3)&amp;"_"&amp;V480)</f>
        <v>*</v>
      </c>
      <c r="T480" s="17" t="s">
        <v>486</v>
      </c>
      <c r="U480" s="17" t="str">
        <f>_xlfn.XLOOKUP($A480,Selected_constraint!$A:$A,Selected_constraint!$B:$B)</f>
        <v>TRACNG</v>
      </c>
      <c r="V480" s="17" t="str">
        <f>_xlfn.XLOOKUP($A480,Selected_constraint!$A:$A,Selected_constraint!$C:$C)</f>
        <v>TRAPASSBUDMD</v>
      </c>
      <c r="W480" s="17" t="str">
        <f>V480</f>
        <v>TRAPASSBUDMD</v>
      </c>
      <c r="X480" s="18">
        <v>2019</v>
      </c>
      <c r="Y480" s="18" t="s">
        <v>483</v>
      </c>
      <c r="Z480" s="18">
        <v>1</v>
      </c>
      <c r="AA480" s="20">
        <f>-SUMIFS('TRA RESID'!$P:$P,'TRA RESID'!$I:$I,W480,'TRA RESID'!$J:$J,T480,'TRA RESID'!$H:$H,U480)/SUMIFS('TRA RESID'!$P:$P,'TRA RESID'!$I:$I,W480)*AE480</f>
        <v>0</v>
      </c>
      <c r="AB480" s="18">
        <v>0</v>
      </c>
      <c r="AC480" s="18">
        <v>5</v>
      </c>
      <c r="AE480" s="21">
        <v>0.98</v>
      </c>
      <c r="AG480" s="15" t="str">
        <f>IF(SUMIFS('TRA RESID'!$P:$P,'TRA RESID'!$I:$I,AK480,'TRA RESID'!$J:$J,AH480,'TRA RESID'!$H:$H,AI480)=0,"*","UC_"&amp;SUBSTITUTE(AH480,"*","")&amp;"_"&amp;RIGHT(AI480,3)&amp;"_"&amp;AJ480)</f>
        <v>*</v>
      </c>
      <c r="AH480" s="17" t="s">
        <v>487</v>
      </c>
      <c r="AI480" s="17" t="str">
        <f>_xlfn.XLOOKUP($A480,Selected_constraint!$A:$A,Selected_constraint!$B:$B)</f>
        <v>TRACNG</v>
      </c>
      <c r="AJ480" s="17" t="str">
        <f>_xlfn.XLOOKUP($A480,Selected_constraint!$A:$A,Selected_constraint!$C:$C)</f>
        <v>TRAPASSBUDMD</v>
      </c>
      <c r="AK480" s="17" t="str">
        <f>AJ480</f>
        <v>TRAPASSBUDMD</v>
      </c>
      <c r="AL480" s="18">
        <v>2019</v>
      </c>
      <c r="AM480" s="18" t="s">
        <v>483</v>
      </c>
      <c r="AN480" s="18">
        <v>1</v>
      </c>
      <c r="AO480" s="20">
        <f>-SUMIFS('TRA RESID'!$P:$P,'TRA RESID'!$I:$I,AK480,'TRA RESID'!$J:$J,AH480,'TRA RESID'!$H:$H,AI480)/SUMIFS('TRA RESID'!$P:$P,'TRA RESID'!$I:$I,AK480)*AS480</f>
        <v>0</v>
      </c>
      <c r="AP480" s="18">
        <v>0</v>
      </c>
      <c r="AQ480" s="18">
        <v>5</v>
      </c>
      <c r="AS480" s="21">
        <v>0.98</v>
      </c>
      <c r="AU480" s="15" t="str">
        <f>IF(SUMIFS('TRA RESID'!$P:$P,'TRA RESID'!$I:$I,AY480,'TRA RESID'!$J:$J,AV480,'TRA RESID'!$H:$H,AW480)=0,"*","UC_"&amp;SUBSTITUTE(AV480,"*","")&amp;"_"&amp;RIGHT(AW480,3)&amp;"_"&amp;AX480)</f>
        <v>*</v>
      </c>
      <c r="AV480" s="17" t="s">
        <v>488</v>
      </c>
      <c r="AW480" s="17" t="str">
        <f>_xlfn.XLOOKUP($A480,Selected_constraint!$A:$A,Selected_constraint!$B:$B)</f>
        <v>TRACNG</v>
      </c>
      <c r="AX480" s="17" t="str">
        <f>_xlfn.XLOOKUP($A480,Selected_constraint!$A:$A,Selected_constraint!$C:$C)</f>
        <v>TRAPASSBUDMD</v>
      </c>
      <c r="AY480" s="17" t="str">
        <f>AX480</f>
        <v>TRAPASSBUDMD</v>
      </c>
      <c r="AZ480" s="18">
        <v>2019</v>
      </c>
      <c r="BA480" s="18" t="s">
        <v>483</v>
      </c>
      <c r="BB480" s="18">
        <v>1</v>
      </c>
      <c r="BC480" s="20">
        <f>-SUMIFS('TRA RESID'!$P:$P,'TRA RESID'!$I:$I,AY480,'TRA RESID'!$J:$J,AV480,'TRA RESID'!$H:$H,AW480)/SUMIFS('TRA RESID'!$P:$P,'TRA RESID'!$I:$I,AY480)*BG480</f>
        <v>0</v>
      </c>
      <c r="BD480" s="18">
        <v>0</v>
      </c>
      <c r="BE480" s="18">
        <v>5</v>
      </c>
      <c r="BG480" s="21">
        <v>0.98</v>
      </c>
    </row>
    <row r="481" spans="1:59" x14ac:dyDescent="0.25">
      <c r="C481" s="15" t="str">
        <f>IF(C480="*",C480,"")</f>
        <v>*</v>
      </c>
      <c r="D481" s="17" t="str">
        <f t="shared" ref="D481:G484" si="380">D480</f>
        <v>*ICEV*</v>
      </c>
      <c r="E481" s="17" t="str">
        <f t="shared" si="380"/>
        <v>TRACNG</v>
      </c>
      <c r="F481" s="17" t="str">
        <f t="shared" si="380"/>
        <v>TRAPASSBUDMD</v>
      </c>
      <c r="G481" s="17" t="str">
        <f t="shared" si="380"/>
        <v>TRAPASSBUDMD</v>
      </c>
      <c r="H481" s="18">
        <v>2025</v>
      </c>
      <c r="I481" s="18" t="str">
        <f>I480</f>
        <v>LO</v>
      </c>
      <c r="J481" s="18"/>
      <c r="K481" s="20">
        <f>-SUMIFS('TRA RESID'!$P:$P,'TRA RESID'!$I:$I,G481,'TRA RESID'!$J:$J,D481,'TRA RESID'!$H:$H,E481)/SUMIFS('TRA RESID'!$P:$P,'TRA RESID'!$I:$I,G481)*O481</f>
        <v>0</v>
      </c>
      <c r="L481" s="18"/>
      <c r="M481" s="18"/>
      <c r="O481" s="21">
        <v>0.8</v>
      </c>
      <c r="S481" s="15" t="str">
        <f>IF(S480="*",S480,"")</f>
        <v>*</v>
      </c>
      <c r="T481" s="17" t="str">
        <f t="shared" ref="T481:W484" si="381">T480</f>
        <v>*BEV*</v>
      </c>
      <c r="U481" s="17" t="str">
        <f t="shared" si="381"/>
        <v>TRACNG</v>
      </c>
      <c r="V481" s="17" t="str">
        <f t="shared" si="381"/>
        <v>TRAPASSBUDMD</v>
      </c>
      <c r="W481" s="17" t="str">
        <f t="shared" si="381"/>
        <v>TRAPASSBUDMD</v>
      </c>
      <c r="X481" s="18">
        <v>2025</v>
      </c>
      <c r="Y481" s="18" t="str">
        <f>Y480</f>
        <v>LO</v>
      </c>
      <c r="Z481" s="18"/>
      <c r="AA481" s="20">
        <f>-SUMIFS('TRA RESID'!$P:$P,'TRA RESID'!$I:$I,W481,'TRA RESID'!$J:$J,T481,'TRA RESID'!$H:$H,U481)/SUMIFS('TRA RESID'!$P:$P,'TRA RESID'!$I:$I,W481)*AE481</f>
        <v>0</v>
      </c>
      <c r="AB481" s="18"/>
      <c r="AC481" s="18"/>
      <c r="AE481" s="21">
        <v>1</v>
      </c>
      <c r="AG481" s="15" t="str">
        <f>IF(AG480="*",AG480,"")</f>
        <v>*</v>
      </c>
      <c r="AH481" s="17" t="str">
        <f t="shared" ref="AH481:AK484" si="382">AH480</f>
        <v>*HEV*</v>
      </c>
      <c r="AI481" s="17" t="str">
        <f t="shared" si="382"/>
        <v>TRACNG</v>
      </c>
      <c r="AJ481" s="17" t="str">
        <f t="shared" si="382"/>
        <v>TRAPASSBUDMD</v>
      </c>
      <c r="AK481" s="17" t="str">
        <f t="shared" si="382"/>
        <v>TRAPASSBUDMD</v>
      </c>
      <c r="AL481" s="18">
        <v>2025</v>
      </c>
      <c r="AM481" s="18" t="str">
        <f>AM480</f>
        <v>LO</v>
      </c>
      <c r="AN481" s="18"/>
      <c r="AO481" s="20">
        <f>-SUMIFS('TRA RESID'!$P:$P,'TRA RESID'!$I:$I,AK481,'TRA RESID'!$J:$J,AH481,'TRA RESID'!$H:$H,AI481)/SUMIFS('TRA RESID'!$P:$P,'TRA RESID'!$I:$I,AK481)*AS481</f>
        <v>0</v>
      </c>
      <c r="AP481" s="18"/>
      <c r="AQ481" s="18"/>
      <c r="AS481" s="21">
        <v>0.8</v>
      </c>
      <c r="AU481" s="15" t="str">
        <f>IF(AU480="*",AU480,"")</f>
        <v>*</v>
      </c>
      <c r="AV481" s="17" t="str">
        <f t="shared" ref="AV481:AY484" si="383">AV480</f>
        <v>*FCEV*</v>
      </c>
      <c r="AW481" s="17" t="str">
        <f t="shared" si="383"/>
        <v>TRACNG</v>
      </c>
      <c r="AX481" s="17" t="str">
        <f t="shared" si="383"/>
        <v>TRAPASSBUDMD</v>
      </c>
      <c r="AY481" s="17" t="str">
        <f t="shared" si="383"/>
        <v>TRAPASSBUDMD</v>
      </c>
      <c r="AZ481" s="18">
        <v>2025</v>
      </c>
      <c r="BA481" s="18" t="str">
        <f>BA480</f>
        <v>LO</v>
      </c>
      <c r="BB481" s="18"/>
      <c r="BC481" s="20">
        <f>-SUMIFS('TRA RESID'!$P:$P,'TRA RESID'!$I:$I,AY481,'TRA RESID'!$J:$J,AV481,'TRA RESID'!$H:$H,AW481)/SUMIFS('TRA RESID'!$P:$P,'TRA RESID'!$I:$I,AY481)*BG481</f>
        <v>0</v>
      </c>
      <c r="BD481" s="18"/>
      <c r="BE481" s="18"/>
      <c r="BG481" s="21">
        <v>0.8</v>
      </c>
    </row>
    <row r="482" spans="1:59" x14ac:dyDescent="0.25">
      <c r="C482" s="15" t="str">
        <f>IF(C481="*",C481,"")</f>
        <v>*</v>
      </c>
      <c r="D482" s="17" t="str">
        <f t="shared" si="380"/>
        <v>*ICEV*</v>
      </c>
      <c r="E482" s="17" t="str">
        <f t="shared" si="380"/>
        <v>TRACNG</v>
      </c>
      <c r="F482" s="17" t="str">
        <f t="shared" si="380"/>
        <v>TRAPASSBUDMD</v>
      </c>
      <c r="G482" s="17" t="str">
        <f t="shared" si="380"/>
        <v>TRAPASSBUDMD</v>
      </c>
      <c r="H482" s="18">
        <v>2030</v>
      </c>
      <c r="I482" s="18" t="str">
        <f>I481</f>
        <v>LO</v>
      </c>
      <c r="J482" s="18"/>
      <c r="K482" s="20">
        <f>-SUMIFS('TRA RESID'!$P:$P,'TRA RESID'!$I:$I,G482,'TRA RESID'!$J:$J,D482,'TRA RESID'!$H:$H,E482)/SUMIFS('TRA RESID'!$P:$P,'TRA RESID'!$I:$I,G482)*O482</f>
        <v>0</v>
      </c>
      <c r="L482" s="18"/>
      <c r="M482" s="18"/>
      <c r="O482" s="21">
        <v>0.5</v>
      </c>
      <c r="S482" s="15" t="str">
        <f>IF(S481="*",S481,"")</f>
        <v>*</v>
      </c>
      <c r="T482" s="17" t="str">
        <f t="shared" si="381"/>
        <v>*BEV*</v>
      </c>
      <c r="U482" s="17" t="str">
        <f t="shared" si="381"/>
        <v>TRACNG</v>
      </c>
      <c r="V482" s="17" t="str">
        <f t="shared" si="381"/>
        <v>TRAPASSBUDMD</v>
      </c>
      <c r="W482" s="17" t="str">
        <f t="shared" si="381"/>
        <v>TRAPASSBUDMD</v>
      </c>
      <c r="X482" s="18">
        <v>2030</v>
      </c>
      <c r="Y482" s="18" t="str">
        <f>Y481</f>
        <v>LO</v>
      </c>
      <c r="Z482" s="18"/>
      <c r="AA482" s="20">
        <f>-SUMIFS('TRA RESID'!$P:$P,'TRA RESID'!$I:$I,W482,'TRA RESID'!$J:$J,T482,'TRA RESID'!$H:$H,U482)/SUMIFS('TRA RESID'!$P:$P,'TRA RESID'!$I:$I,W482)*AE482</f>
        <v>0</v>
      </c>
      <c r="AB482" s="18"/>
      <c r="AC482" s="18"/>
      <c r="AE482" s="21">
        <v>1</v>
      </c>
      <c r="AG482" s="15" t="str">
        <f>IF(AG481="*",AG481,"")</f>
        <v>*</v>
      </c>
      <c r="AH482" s="17" t="str">
        <f t="shared" si="382"/>
        <v>*HEV*</v>
      </c>
      <c r="AI482" s="17" t="str">
        <f t="shared" si="382"/>
        <v>TRACNG</v>
      </c>
      <c r="AJ482" s="17" t="str">
        <f t="shared" si="382"/>
        <v>TRAPASSBUDMD</v>
      </c>
      <c r="AK482" s="17" t="str">
        <f t="shared" si="382"/>
        <v>TRAPASSBUDMD</v>
      </c>
      <c r="AL482" s="18">
        <v>2030</v>
      </c>
      <c r="AM482" s="18" t="str">
        <f>AM481</f>
        <v>LO</v>
      </c>
      <c r="AN482" s="18"/>
      <c r="AO482" s="20">
        <f>-SUMIFS('TRA RESID'!$P:$P,'TRA RESID'!$I:$I,AK482,'TRA RESID'!$J:$J,AH482,'TRA RESID'!$H:$H,AI482)/SUMIFS('TRA RESID'!$P:$P,'TRA RESID'!$I:$I,AK482)*AS482</f>
        <v>0</v>
      </c>
      <c r="AP482" s="18"/>
      <c r="AQ482" s="18"/>
      <c r="AS482" s="21">
        <v>0.5</v>
      </c>
      <c r="AU482" s="15" t="str">
        <f>IF(AU481="*",AU481,"")</f>
        <v>*</v>
      </c>
      <c r="AV482" s="17" t="str">
        <f t="shared" si="383"/>
        <v>*FCEV*</v>
      </c>
      <c r="AW482" s="17" t="str">
        <f t="shared" si="383"/>
        <v>TRACNG</v>
      </c>
      <c r="AX482" s="17" t="str">
        <f t="shared" si="383"/>
        <v>TRAPASSBUDMD</v>
      </c>
      <c r="AY482" s="17" t="str">
        <f t="shared" si="383"/>
        <v>TRAPASSBUDMD</v>
      </c>
      <c r="AZ482" s="18">
        <v>2030</v>
      </c>
      <c r="BA482" s="18" t="str">
        <f>BA481</f>
        <v>LO</v>
      </c>
      <c r="BB482" s="18"/>
      <c r="BC482" s="20">
        <f>-SUMIFS('TRA RESID'!$P:$P,'TRA RESID'!$I:$I,AY482,'TRA RESID'!$J:$J,AV482,'TRA RESID'!$H:$H,AW482)/SUMIFS('TRA RESID'!$P:$P,'TRA RESID'!$I:$I,AY482)*BG482</f>
        <v>0</v>
      </c>
      <c r="BD482" s="18"/>
      <c r="BE482" s="18"/>
      <c r="BG482" s="21">
        <v>0.5</v>
      </c>
    </row>
    <row r="483" spans="1:59" x14ac:dyDescent="0.25">
      <c r="C483" s="15" t="str">
        <f>IF(C482="*",C482,"")</f>
        <v>*</v>
      </c>
      <c r="D483" s="17" t="str">
        <f t="shared" si="380"/>
        <v>*ICEV*</v>
      </c>
      <c r="E483" s="17" t="str">
        <f t="shared" si="380"/>
        <v>TRACNG</v>
      </c>
      <c r="F483" s="17" t="str">
        <f t="shared" si="380"/>
        <v>TRAPASSBUDMD</v>
      </c>
      <c r="G483" s="17" t="str">
        <f t="shared" si="380"/>
        <v>TRAPASSBUDMD</v>
      </c>
      <c r="H483" s="18">
        <v>2040</v>
      </c>
      <c r="I483" s="18" t="str">
        <f>I482</f>
        <v>LO</v>
      </c>
      <c r="J483" s="18"/>
      <c r="K483" s="20">
        <f>-SUMIFS('TRA RESID'!$P:$P,'TRA RESID'!$I:$I,G483,'TRA RESID'!$J:$J,D483,'TRA RESID'!$H:$H,E483)/SUMIFS('TRA RESID'!$P:$P,'TRA RESID'!$I:$I,G483)*O483</f>
        <v>0</v>
      </c>
      <c r="L483" s="18"/>
      <c r="M483" s="18"/>
      <c r="O483" s="21">
        <v>0</v>
      </c>
      <c r="S483" s="15" t="str">
        <f>IF(S482="*",S482,"")</f>
        <v>*</v>
      </c>
      <c r="T483" s="17" t="str">
        <f t="shared" si="381"/>
        <v>*BEV*</v>
      </c>
      <c r="U483" s="17" t="str">
        <f t="shared" si="381"/>
        <v>TRACNG</v>
      </c>
      <c r="V483" s="17" t="str">
        <f t="shared" si="381"/>
        <v>TRAPASSBUDMD</v>
      </c>
      <c r="W483" s="17" t="str">
        <f t="shared" si="381"/>
        <v>TRAPASSBUDMD</v>
      </c>
      <c r="X483" s="18">
        <v>2040</v>
      </c>
      <c r="Y483" s="18" t="str">
        <f>Y482</f>
        <v>LO</v>
      </c>
      <c r="Z483" s="18"/>
      <c r="AA483" s="20">
        <f>-SUMIFS('TRA RESID'!$P:$P,'TRA RESID'!$I:$I,W483,'TRA RESID'!$J:$J,T483,'TRA RESID'!$H:$H,U483)/SUMIFS('TRA RESID'!$P:$P,'TRA RESID'!$I:$I,W483)*AE483</f>
        <v>0</v>
      </c>
      <c r="AB483" s="18"/>
      <c r="AC483" s="18"/>
      <c r="AE483" s="21">
        <v>1</v>
      </c>
      <c r="AG483" s="15" t="str">
        <f>IF(AG482="*",AG482,"")</f>
        <v>*</v>
      </c>
      <c r="AH483" s="17" t="str">
        <f t="shared" si="382"/>
        <v>*HEV*</v>
      </c>
      <c r="AI483" s="17" t="str">
        <f t="shared" si="382"/>
        <v>TRACNG</v>
      </c>
      <c r="AJ483" s="17" t="str">
        <f t="shared" si="382"/>
        <v>TRAPASSBUDMD</v>
      </c>
      <c r="AK483" s="17" t="str">
        <f t="shared" si="382"/>
        <v>TRAPASSBUDMD</v>
      </c>
      <c r="AL483" s="18">
        <v>2040</v>
      </c>
      <c r="AM483" s="18" t="str">
        <f>AM482</f>
        <v>LO</v>
      </c>
      <c r="AN483" s="18"/>
      <c r="AO483" s="20">
        <f>-SUMIFS('TRA RESID'!$P:$P,'TRA RESID'!$I:$I,AK483,'TRA RESID'!$J:$J,AH483,'TRA RESID'!$H:$H,AI483)/SUMIFS('TRA RESID'!$P:$P,'TRA RESID'!$I:$I,AK483)*AS483</f>
        <v>0</v>
      </c>
      <c r="AP483" s="18"/>
      <c r="AQ483" s="18"/>
      <c r="AS483" s="21">
        <v>0</v>
      </c>
      <c r="AU483" s="15" t="str">
        <f>IF(AU482="*",AU482,"")</f>
        <v>*</v>
      </c>
      <c r="AV483" s="17" t="str">
        <f t="shared" si="383"/>
        <v>*FCEV*</v>
      </c>
      <c r="AW483" s="17" t="str">
        <f t="shared" si="383"/>
        <v>TRACNG</v>
      </c>
      <c r="AX483" s="17" t="str">
        <f t="shared" si="383"/>
        <v>TRAPASSBUDMD</v>
      </c>
      <c r="AY483" s="17" t="str">
        <f t="shared" si="383"/>
        <v>TRAPASSBUDMD</v>
      </c>
      <c r="AZ483" s="18">
        <v>2040</v>
      </c>
      <c r="BA483" s="18" t="str">
        <f>BA482</f>
        <v>LO</v>
      </c>
      <c r="BB483" s="18"/>
      <c r="BC483" s="20">
        <f>-SUMIFS('TRA RESID'!$P:$P,'TRA RESID'!$I:$I,AY483,'TRA RESID'!$J:$J,AV483,'TRA RESID'!$H:$H,AW483)/SUMIFS('TRA RESID'!$P:$P,'TRA RESID'!$I:$I,AY483)*BG483</f>
        <v>0</v>
      </c>
      <c r="BD483" s="18"/>
      <c r="BE483" s="18"/>
      <c r="BG483" s="21">
        <v>0</v>
      </c>
    </row>
    <row r="484" spans="1:59" x14ac:dyDescent="0.25">
      <c r="C484" s="23" t="str">
        <f>IF(C483="*",C483,"")</f>
        <v>*</v>
      </c>
      <c r="D484" s="25" t="str">
        <f t="shared" si="380"/>
        <v>*ICEV*</v>
      </c>
      <c r="E484" s="25" t="str">
        <f t="shared" si="380"/>
        <v>TRACNG</v>
      </c>
      <c r="F484" s="25" t="str">
        <f t="shared" si="380"/>
        <v>TRAPASSBUDMD</v>
      </c>
      <c r="G484" s="25" t="str">
        <f t="shared" si="380"/>
        <v>TRAPASSBUDMD</v>
      </c>
      <c r="H484" s="26">
        <v>2050</v>
      </c>
      <c r="I484" s="26" t="str">
        <f>I482</f>
        <v>LO</v>
      </c>
      <c r="J484" s="26"/>
      <c r="K484" s="27">
        <f>-SUMIFS('TRA RESID'!$P:$P,'TRA RESID'!$I:$I,G484,'TRA RESID'!$J:$J,D484,'TRA RESID'!$H:$H,E484)/SUMIFS('TRA RESID'!$P:$P,'TRA RESID'!$I:$I,G484)*O484</f>
        <v>0</v>
      </c>
      <c r="L484" s="26"/>
      <c r="M484" s="26"/>
      <c r="O484" s="28">
        <v>0</v>
      </c>
      <c r="S484" s="23" t="str">
        <f>IF(S483="*",S483,"")</f>
        <v>*</v>
      </c>
      <c r="T484" s="25" t="str">
        <f t="shared" si="381"/>
        <v>*BEV*</v>
      </c>
      <c r="U484" s="25" t="str">
        <f t="shared" si="381"/>
        <v>TRACNG</v>
      </c>
      <c r="V484" s="25" t="str">
        <f t="shared" si="381"/>
        <v>TRAPASSBUDMD</v>
      </c>
      <c r="W484" s="25" t="str">
        <f t="shared" si="381"/>
        <v>TRAPASSBUDMD</v>
      </c>
      <c r="X484" s="26">
        <v>2050</v>
      </c>
      <c r="Y484" s="26" t="str">
        <f>Y482</f>
        <v>LO</v>
      </c>
      <c r="Z484" s="26"/>
      <c r="AA484" s="27">
        <f>-SUMIFS('TRA RESID'!$P:$P,'TRA RESID'!$I:$I,W484,'TRA RESID'!$J:$J,T484,'TRA RESID'!$H:$H,U484)/SUMIFS('TRA RESID'!$P:$P,'TRA RESID'!$I:$I,W484)*AE484</f>
        <v>0</v>
      </c>
      <c r="AB484" s="26"/>
      <c r="AC484" s="26"/>
      <c r="AE484" s="28">
        <v>1</v>
      </c>
      <c r="AG484" s="23" t="str">
        <f>IF(AG483="*",AG483,"")</f>
        <v>*</v>
      </c>
      <c r="AH484" s="25" t="str">
        <f t="shared" si="382"/>
        <v>*HEV*</v>
      </c>
      <c r="AI484" s="25" t="str">
        <f t="shared" si="382"/>
        <v>TRACNG</v>
      </c>
      <c r="AJ484" s="25" t="str">
        <f t="shared" si="382"/>
        <v>TRAPASSBUDMD</v>
      </c>
      <c r="AK484" s="25" t="str">
        <f t="shared" si="382"/>
        <v>TRAPASSBUDMD</v>
      </c>
      <c r="AL484" s="26">
        <v>2050</v>
      </c>
      <c r="AM484" s="26" t="str">
        <f>AM482</f>
        <v>LO</v>
      </c>
      <c r="AN484" s="26"/>
      <c r="AO484" s="27">
        <f>-SUMIFS('TRA RESID'!$P:$P,'TRA RESID'!$I:$I,AK484,'TRA RESID'!$J:$J,AH484,'TRA RESID'!$H:$H,AI484)/SUMIFS('TRA RESID'!$P:$P,'TRA RESID'!$I:$I,AK484)*AS484</f>
        <v>0</v>
      </c>
      <c r="AP484" s="26"/>
      <c r="AQ484" s="26"/>
      <c r="AS484" s="28">
        <v>0</v>
      </c>
      <c r="AU484" s="23" t="str">
        <f>IF(AU483="*",AU483,"")</f>
        <v>*</v>
      </c>
      <c r="AV484" s="25" t="str">
        <f t="shared" si="383"/>
        <v>*FCEV*</v>
      </c>
      <c r="AW484" s="25" t="str">
        <f t="shared" si="383"/>
        <v>TRACNG</v>
      </c>
      <c r="AX484" s="25" t="str">
        <f t="shared" si="383"/>
        <v>TRAPASSBUDMD</v>
      </c>
      <c r="AY484" s="25" t="str">
        <f t="shared" si="383"/>
        <v>TRAPASSBUDMD</v>
      </c>
      <c r="AZ484" s="26">
        <v>2050</v>
      </c>
      <c r="BA484" s="26" t="str">
        <f>BA482</f>
        <v>LO</v>
      </c>
      <c r="BB484" s="26"/>
      <c r="BC484" s="27">
        <f>-SUMIFS('TRA RESID'!$P:$P,'TRA RESID'!$I:$I,AY484,'TRA RESID'!$J:$J,AV484,'TRA RESID'!$H:$H,AW484)/SUMIFS('TRA RESID'!$P:$P,'TRA RESID'!$I:$I,AY484)*BG484</f>
        <v>0</v>
      </c>
      <c r="BD484" s="26"/>
      <c r="BE484" s="26"/>
      <c r="BG484" s="28">
        <v>0</v>
      </c>
    </row>
    <row r="485" spans="1:59" x14ac:dyDescent="0.25">
      <c r="A485">
        <f>A480+1</f>
        <v>97</v>
      </c>
      <c r="C485" s="15" t="str">
        <f>IF(E485="","",IF(_xlfn.XLOOKUP($A485,Selected_constraint!$A:$A,Selected_constraint!$D:$D)=1,"*",IF(SUMIFS('TRA TECH'!$M:$M,'TRA TECH'!$H:$H,E485,'TRA TECH'!$I:$I,F485)=0,"*",IF(SUMIFS('TRA RESID'!$P:$P,'TRA RESID'!$I:$I,G485,'TRA RESID'!$J:$J,D485,'TRA RESID'!$H:$H,E485)=0,"*","UC_"&amp;SUBSTITUTE(D485,"*","")&amp;"_"&amp;RIGHT(E485,3)&amp;"_"&amp;F485))))</f>
        <v>*</v>
      </c>
      <c r="D485" s="17" t="s">
        <v>485</v>
      </c>
      <c r="E485" s="17" t="str">
        <f>_xlfn.XLOOKUP($A485,Selected_constraint!$A:$A,Selected_constraint!$B:$B)</f>
        <v>TRARNG</v>
      </c>
      <c r="F485" s="17" t="str">
        <f>_xlfn.XLOOKUP($A485,Selected_constraint!$A:$A,Selected_constraint!$C:$C)</f>
        <v>TRAPASSBUDMD</v>
      </c>
      <c r="G485" s="17" t="str">
        <f>F485</f>
        <v>TRAPASSBUDMD</v>
      </c>
      <c r="H485" s="18">
        <v>2019</v>
      </c>
      <c r="I485" s="18" t="s">
        <v>483</v>
      </c>
      <c r="J485" s="18">
        <v>1</v>
      </c>
      <c r="K485" s="20">
        <f>-SUMIFS('TRA RESID'!$P:$P,'TRA RESID'!$I:$I,G485,'TRA RESID'!$J:$J,D485,'TRA RESID'!$H:$H,E485)/SUMIFS('TRA RESID'!$P:$P,'TRA RESID'!$I:$I,G485)*O485</f>
        <v>0</v>
      </c>
      <c r="L485" s="18">
        <v>0</v>
      </c>
      <c r="M485" s="18">
        <v>5</v>
      </c>
      <c r="O485" s="21">
        <v>0.98</v>
      </c>
      <c r="Q485">
        <f>Q480+1</f>
        <v>97</v>
      </c>
      <c r="S485" s="15" t="str">
        <f>IF(SUMIFS('TRA RESID'!$P:$P,'TRA RESID'!$I:$I,W485,'TRA RESID'!$J:$J,T485,'TRA RESID'!$H:$H,U485)=0,"*","UC_"&amp;SUBSTITUTE(T485,"*","")&amp;"_"&amp;RIGHT(U485,3)&amp;"_"&amp;V485)</f>
        <v>*</v>
      </c>
      <c r="T485" s="17" t="s">
        <v>486</v>
      </c>
      <c r="U485" s="17" t="str">
        <f>_xlfn.XLOOKUP($A485,Selected_constraint!$A:$A,Selected_constraint!$B:$B)</f>
        <v>TRARNG</v>
      </c>
      <c r="V485" s="17" t="str">
        <f>_xlfn.XLOOKUP($A485,Selected_constraint!$A:$A,Selected_constraint!$C:$C)</f>
        <v>TRAPASSBUDMD</v>
      </c>
      <c r="W485" s="17" t="str">
        <f>V485</f>
        <v>TRAPASSBUDMD</v>
      </c>
      <c r="X485" s="18">
        <v>2019</v>
      </c>
      <c r="Y485" s="18" t="s">
        <v>483</v>
      </c>
      <c r="Z485" s="18">
        <v>1</v>
      </c>
      <c r="AA485" s="20">
        <f>-SUMIFS('TRA RESID'!$P:$P,'TRA RESID'!$I:$I,W485,'TRA RESID'!$J:$J,T485,'TRA RESID'!$H:$H,U485)/SUMIFS('TRA RESID'!$P:$P,'TRA RESID'!$I:$I,W485)*AE485</f>
        <v>0</v>
      </c>
      <c r="AB485" s="18">
        <v>0</v>
      </c>
      <c r="AC485" s="18">
        <v>5</v>
      </c>
      <c r="AE485" s="21">
        <v>0.98</v>
      </c>
      <c r="AG485" s="15" t="str">
        <f>IF(SUMIFS('TRA RESID'!$P:$P,'TRA RESID'!$I:$I,AK485,'TRA RESID'!$J:$J,AH485,'TRA RESID'!$H:$H,AI485)=0,"*","UC_"&amp;SUBSTITUTE(AH485,"*","")&amp;"_"&amp;RIGHT(AI485,3)&amp;"_"&amp;AJ485)</f>
        <v>*</v>
      </c>
      <c r="AH485" s="17" t="s">
        <v>487</v>
      </c>
      <c r="AI485" s="17" t="str">
        <f>_xlfn.XLOOKUP($A485,Selected_constraint!$A:$A,Selected_constraint!$B:$B)</f>
        <v>TRARNG</v>
      </c>
      <c r="AJ485" s="17" t="str">
        <f>_xlfn.XLOOKUP($A485,Selected_constraint!$A:$A,Selected_constraint!$C:$C)</f>
        <v>TRAPASSBUDMD</v>
      </c>
      <c r="AK485" s="17" t="str">
        <f>AJ485</f>
        <v>TRAPASSBUDMD</v>
      </c>
      <c r="AL485" s="18">
        <v>2019</v>
      </c>
      <c r="AM485" s="18" t="s">
        <v>483</v>
      </c>
      <c r="AN485" s="18">
        <v>1</v>
      </c>
      <c r="AO485" s="20">
        <f>-SUMIFS('TRA RESID'!$P:$P,'TRA RESID'!$I:$I,AK485,'TRA RESID'!$J:$J,AH485,'TRA RESID'!$H:$H,AI485)/SUMIFS('TRA RESID'!$P:$P,'TRA RESID'!$I:$I,AK485)*AS485</f>
        <v>0</v>
      </c>
      <c r="AP485" s="18">
        <v>0</v>
      </c>
      <c r="AQ485" s="18">
        <v>5</v>
      </c>
      <c r="AS485" s="21">
        <v>0.98</v>
      </c>
      <c r="AU485" s="15" t="str">
        <f>IF(SUMIFS('TRA RESID'!$P:$P,'TRA RESID'!$I:$I,AY485,'TRA RESID'!$J:$J,AV485,'TRA RESID'!$H:$H,AW485)=0,"*","UC_"&amp;SUBSTITUTE(AV485,"*","")&amp;"_"&amp;RIGHT(AW485,3)&amp;"_"&amp;AX485)</f>
        <v>*</v>
      </c>
      <c r="AV485" s="17" t="s">
        <v>488</v>
      </c>
      <c r="AW485" s="17" t="str">
        <f>_xlfn.XLOOKUP($A485,Selected_constraint!$A:$A,Selected_constraint!$B:$B)</f>
        <v>TRARNG</v>
      </c>
      <c r="AX485" s="17" t="str">
        <f>_xlfn.XLOOKUP($A485,Selected_constraint!$A:$A,Selected_constraint!$C:$C)</f>
        <v>TRAPASSBUDMD</v>
      </c>
      <c r="AY485" s="17" t="str">
        <f>AX485</f>
        <v>TRAPASSBUDMD</v>
      </c>
      <c r="AZ485" s="18">
        <v>2019</v>
      </c>
      <c r="BA485" s="18" t="s">
        <v>483</v>
      </c>
      <c r="BB485" s="18">
        <v>1</v>
      </c>
      <c r="BC485" s="20">
        <f>-SUMIFS('TRA RESID'!$P:$P,'TRA RESID'!$I:$I,AY485,'TRA RESID'!$J:$J,AV485,'TRA RESID'!$H:$H,AW485)/SUMIFS('TRA RESID'!$P:$P,'TRA RESID'!$I:$I,AY485)*BG485</f>
        <v>0</v>
      </c>
      <c r="BD485" s="18">
        <v>0</v>
      </c>
      <c r="BE485" s="18">
        <v>5</v>
      </c>
      <c r="BG485" s="21">
        <v>0.98</v>
      </c>
    </row>
    <row r="486" spans="1:59" x14ac:dyDescent="0.25">
      <c r="C486" s="15" t="str">
        <f>IF(C485="*",C485,"")</f>
        <v>*</v>
      </c>
      <c r="D486" s="17" t="str">
        <f t="shared" ref="D486:G489" si="384">D485</f>
        <v>*ICEV*</v>
      </c>
      <c r="E486" s="17" t="str">
        <f t="shared" si="384"/>
        <v>TRARNG</v>
      </c>
      <c r="F486" s="17" t="str">
        <f t="shared" si="384"/>
        <v>TRAPASSBUDMD</v>
      </c>
      <c r="G486" s="17" t="str">
        <f t="shared" si="384"/>
        <v>TRAPASSBUDMD</v>
      </c>
      <c r="H486" s="18">
        <v>2025</v>
      </c>
      <c r="I486" s="18" t="str">
        <f>I485</f>
        <v>LO</v>
      </c>
      <c r="J486" s="18"/>
      <c r="K486" s="20">
        <f>-SUMIFS('TRA RESID'!$P:$P,'TRA RESID'!$I:$I,G486,'TRA RESID'!$J:$J,D486,'TRA RESID'!$H:$H,E486)/SUMIFS('TRA RESID'!$P:$P,'TRA RESID'!$I:$I,G486)*O486</f>
        <v>0</v>
      </c>
      <c r="L486" s="18"/>
      <c r="M486" s="18"/>
      <c r="O486" s="21">
        <v>0.8</v>
      </c>
      <c r="S486" s="15" t="str">
        <f>IF(S485="*",S485,"")</f>
        <v>*</v>
      </c>
      <c r="T486" s="17" t="str">
        <f t="shared" ref="T486:W489" si="385">T485</f>
        <v>*BEV*</v>
      </c>
      <c r="U486" s="17" t="str">
        <f t="shared" si="385"/>
        <v>TRARNG</v>
      </c>
      <c r="V486" s="17" t="str">
        <f t="shared" si="385"/>
        <v>TRAPASSBUDMD</v>
      </c>
      <c r="W486" s="17" t="str">
        <f t="shared" si="385"/>
        <v>TRAPASSBUDMD</v>
      </c>
      <c r="X486" s="18">
        <v>2025</v>
      </c>
      <c r="Y486" s="18" t="str">
        <f>Y485</f>
        <v>LO</v>
      </c>
      <c r="Z486" s="18"/>
      <c r="AA486" s="20">
        <f>-SUMIFS('TRA RESID'!$P:$P,'TRA RESID'!$I:$I,W486,'TRA RESID'!$J:$J,T486,'TRA RESID'!$H:$H,U486)/SUMIFS('TRA RESID'!$P:$P,'TRA RESID'!$I:$I,W486)*AE486</f>
        <v>0</v>
      </c>
      <c r="AB486" s="18"/>
      <c r="AC486" s="18"/>
      <c r="AE486" s="21">
        <v>1</v>
      </c>
      <c r="AG486" s="15" t="str">
        <f>IF(AG485="*",AG485,"")</f>
        <v>*</v>
      </c>
      <c r="AH486" s="17" t="str">
        <f t="shared" ref="AH486:AK489" si="386">AH485</f>
        <v>*HEV*</v>
      </c>
      <c r="AI486" s="17" t="str">
        <f t="shared" si="386"/>
        <v>TRARNG</v>
      </c>
      <c r="AJ486" s="17" t="str">
        <f t="shared" si="386"/>
        <v>TRAPASSBUDMD</v>
      </c>
      <c r="AK486" s="17" t="str">
        <f t="shared" si="386"/>
        <v>TRAPASSBUDMD</v>
      </c>
      <c r="AL486" s="18">
        <v>2025</v>
      </c>
      <c r="AM486" s="18" t="str">
        <f>AM485</f>
        <v>LO</v>
      </c>
      <c r="AN486" s="18"/>
      <c r="AO486" s="20">
        <f>-SUMIFS('TRA RESID'!$P:$P,'TRA RESID'!$I:$I,AK486,'TRA RESID'!$J:$J,AH486,'TRA RESID'!$H:$H,AI486)/SUMIFS('TRA RESID'!$P:$P,'TRA RESID'!$I:$I,AK486)*AS486</f>
        <v>0</v>
      </c>
      <c r="AP486" s="18"/>
      <c r="AQ486" s="18"/>
      <c r="AS486" s="21">
        <v>0.8</v>
      </c>
      <c r="AU486" s="15" t="str">
        <f>IF(AU485="*",AU485,"")</f>
        <v>*</v>
      </c>
      <c r="AV486" s="17" t="str">
        <f t="shared" ref="AV486:AY489" si="387">AV485</f>
        <v>*FCEV*</v>
      </c>
      <c r="AW486" s="17" t="str">
        <f t="shared" si="387"/>
        <v>TRARNG</v>
      </c>
      <c r="AX486" s="17" t="str">
        <f t="shared" si="387"/>
        <v>TRAPASSBUDMD</v>
      </c>
      <c r="AY486" s="17" t="str">
        <f t="shared" si="387"/>
        <v>TRAPASSBUDMD</v>
      </c>
      <c r="AZ486" s="18">
        <v>2025</v>
      </c>
      <c r="BA486" s="18" t="str">
        <f>BA485</f>
        <v>LO</v>
      </c>
      <c r="BB486" s="18"/>
      <c r="BC486" s="20">
        <f>-SUMIFS('TRA RESID'!$P:$P,'TRA RESID'!$I:$I,AY486,'TRA RESID'!$J:$J,AV486,'TRA RESID'!$H:$H,AW486)/SUMIFS('TRA RESID'!$P:$P,'TRA RESID'!$I:$I,AY486)*BG486</f>
        <v>0</v>
      </c>
      <c r="BD486" s="18"/>
      <c r="BE486" s="18"/>
      <c r="BG486" s="21">
        <v>0.8</v>
      </c>
    </row>
    <row r="487" spans="1:59" x14ac:dyDescent="0.25">
      <c r="C487" s="15" t="str">
        <f>IF(C486="*",C486,"")</f>
        <v>*</v>
      </c>
      <c r="D487" s="17" t="str">
        <f t="shared" si="384"/>
        <v>*ICEV*</v>
      </c>
      <c r="E487" s="17" t="str">
        <f t="shared" si="384"/>
        <v>TRARNG</v>
      </c>
      <c r="F487" s="17" t="str">
        <f t="shared" si="384"/>
        <v>TRAPASSBUDMD</v>
      </c>
      <c r="G487" s="17" t="str">
        <f t="shared" si="384"/>
        <v>TRAPASSBUDMD</v>
      </c>
      <c r="H487" s="18">
        <v>2030</v>
      </c>
      <c r="I487" s="18" t="str">
        <f>I486</f>
        <v>LO</v>
      </c>
      <c r="J487" s="18"/>
      <c r="K487" s="20">
        <f>-SUMIFS('TRA RESID'!$P:$P,'TRA RESID'!$I:$I,G487,'TRA RESID'!$J:$J,D487,'TRA RESID'!$H:$H,E487)/SUMIFS('TRA RESID'!$P:$P,'TRA RESID'!$I:$I,G487)*O487</f>
        <v>0</v>
      </c>
      <c r="L487" s="18"/>
      <c r="M487" s="18"/>
      <c r="O487" s="21">
        <v>0.5</v>
      </c>
      <c r="S487" s="15" t="str">
        <f>IF(S486="*",S486,"")</f>
        <v>*</v>
      </c>
      <c r="T487" s="17" t="str">
        <f t="shared" si="385"/>
        <v>*BEV*</v>
      </c>
      <c r="U487" s="17" t="str">
        <f t="shared" si="385"/>
        <v>TRARNG</v>
      </c>
      <c r="V487" s="17" t="str">
        <f t="shared" si="385"/>
        <v>TRAPASSBUDMD</v>
      </c>
      <c r="W487" s="17" t="str">
        <f t="shared" si="385"/>
        <v>TRAPASSBUDMD</v>
      </c>
      <c r="X487" s="18">
        <v>2030</v>
      </c>
      <c r="Y487" s="18" t="str">
        <f>Y486</f>
        <v>LO</v>
      </c>
      <c r="Z487" s="18"/>
      <c r="AA487" s="20">
        <f>-SUMIFS('TRA RESID'!$P:$P,'TRA RESID'!$I:$I,W487,'TRA RESID'!$J:$J,T487,'TRA RESID'!$H:$H,U487)/SUMIFS('TRA RESID'!$P:$P,'TRA RESID'!$I:$I,W487)*AE487</f>
        <v>0</v>
      </c>
      <c r="AB487" s="18"/>
      <c r="AC487" s="18"/>
      <c r="AE487" s="21">
        <v>1</v>
      </c>
      <c r="AG487" s="15" t="str">
        <f>IF(AG486="*",AG486,"")</f>
        <v>*</v>
      </c>
      <c r="AH487" s="17" t="str">
        <f t="shared" si="386"/>
        <v>*HEV*</v>
      </c>
      <c r="AI487" s="17" t="str">
        <f t="shared" si="386"/>
        <v>TRARNG</v>
      </c>
      <c r="AJ487" s="17" t="str">
        <f t="shared" si="386"/>
        <v>TRAPASSBUDMD</v>
      </c>
      <c r="AK487" s="17" t="str">
        <f t="shared" si="386"/>
        <v>TRAPASSBUDMD</v>
      </c>
      <c r="AL487" s="18">
        <v>2030</v>
      </c>
      <c r="AM487" s="18" t="str">
        <f>AM486</f>
        <v>LO</v>
      </c>
      <c r="AN487" s="18"/>
      <c r="AO487" s="20">
        <f>-SUMIFS('TRA RESID'!$P:$P,'TRA RESID'!$I:$I,AK487,'TRA RESID'!$J:$J,AH487,'TRA RESID'!$H:$H,AI487)/SUMIFS('TRA RESID'!$P:$P,'TRA RESID'!$I:$I,AK487)*AS487</f>
        <v>0</v>
      </c>
      <c r="AP487" s="18"/>
      <c r="AQ487" s="18"/>
      <c r="AS487" s="21">
        <v>0.5</v>
      </c>
      <c r="AU487" s="15" t="str">
        <f>IF(AU486="*",AU486,"")</f>
        <v>*</v>
      </c>
      <c r="AV487" s="17" t="str">
        <f t="shared" si="387"/>
        <v>*FCEV*</v>
      </c>
      <c r="AW487" s="17" t="str">
        <f t="shared" si="387"/>
        <v>TRARNG</v>
      </c>
      <c r="AX487" s="17" t="str">
        <f t="shared" si="387"/>
        <v>TRAPASSBUDMD</v>
      </c>
      <c r="AY487" s="17" t="str">
        <f t="shared" si="387"/>
        <v>TRAPASSBUDMD</v>
      </c>
      <c r="AZ487" s="18">
        <v>2030</v>
      </c>
      <c r="BA487" s="18" t="str">
        <f>BA486</f>
        <v>LO</v>
      </c>
      <c r="BB487" s="18"/>
      <c r="BC487" s="20">
        <f>-SUMIFS('TRA RESID'!$P:$P,'TRA RESID'!$I:$I,AY487,'TRA RESID'!$J:$J,AV487,'TRA RESID'!$H:$H,AW487)/SUMIFS('TRA RESID'!$P:$P,'TRA RESID'!$I:$I,AY487)*BG487</f>
        <v>0</v>
      </c>
      <c r="BD487" s="18"/>
      <c r="BE487" s="18"/>
      <c r="BG487" s="21">
        <v>0.5</v>
      </c>
    </row>
    <row r="488" spans="1:59" x14ac:dyDescent="0.25">
      <c r="C488" s="15" t="str">
        <f>IF(C487="*",C487,"")</f>
        <v>*</v>
      </c>
      <c r="D488" s="17" t="str">
        <f t="shared" si="384"/>
        <v>*ICEV*</v>
      </c>
      <c r="E488" s="17" t="str">
        <f t="shared" si="384"/>
        <v>TRARNG</v>
      </c>
      <c r="F488" s="17" t="str">
        <f t="shared" si="384"/>
        <v>TRAPASSBUDMD</v>
      </c>
      <c r="G488" s="17" t="str">
        <f t="shared" si="384"/>
        <v>TRAPASSBUDMD</v>
      </c>
      <c r="H488" s="18">
        <v>2040</v>
      </c>
      <c r="I488" s="18" t="str">
        <f>I487</f>
        <v>LO</v>
      </c>
      <c r="J488" s="18"/>
      <c r="K488" s="20">
        <f>-SUMIFS('TRA RESID'!$P:$P,'TRA RESID'!$I:$I,G488,'TRA RESID'!$J:$J,D488,'TRA RESID'!$H:$H,E488)/SUMIFS('TRA RESID'!$P:$P,'TRA RESID'!$I:$I,G488)*O488</f>
        <v>0</v>
      </c>
      <c r="L488" s="18"/>
      <c r="M488" s="18"/>
      <c r="O488" s="21">
        <v>0</v>
      </c>
      <c r="S488" s="15" t="str">
        <f>IF(S487="*",S487,"")</f>
        <v>*</v>
      </c>
      <c r="T488" s="17" t="str">
        <f t="shared" si="385"/>
        <v>*BEV*</v>
      </c>
      <c r="U488" s="17" t="str">
        <f t="shared" si="385"/>
        <v>TRARNG</v>
      </c>
      <c r="V488" s="17" t="str">
        <f t="shared" si="385"/>
        <v>TRAPASSBUDMD</v>
      </c>
      <c r="W488" s="17" t="str">
        <f t="shared" si="385"/>
        <v>TRAPASSBUDMD</v>
      </c>
      <c r="X488" s="18">
        <v>2040</v>
      </c>
      <c r="Y488" s="18" t="str">
        <f>Y487</f>
        <v>LO</v>
      </c>
      <c r="Z488" s="18"/>
      <c r="AA488" s="20">
        <f>-SUMIFS('TRA RESID'!$P:$P,'TRA RESID'!$I:$I,W488,'TRA RESID'!$J:$J,T488,'TRA RESID'!$H:$H,U488)/SUMIFS('TRA RESID'!$P:$P,'TRA RESID'!$I:$I,W488)*AE488</f>
        <v>0</v>
      </c>
      <c r="AB488" s="18"/>
      <c r="AC488" s="18"/>
      <c r="AE488" s="21">
        <v>1</v>
      </c>
      <c r="AG488" s="15" t="str">
        <f>IF(AG487="*",AG487,"")</f>
        <v>*</v>
      </c>
      <c r="AH488" s="17" t="str">
        <f t="shared" si="386"/>
        <v>*HEV*</v>
      </c>
      <c r="AI488" s="17" t="str">
        <f t="shared" si="386"/>
        <v>TRARNG</v>
      </c>
      <c r="AJ488" s="17" t="str">
        <f t="shared" si="386"/>
        <v>TRAPASSBUDMD</v>
      </c>
      <c r="AK488" s="17" t="str">
        <f t="shared" si="386"/>
        <v>TRAPASSBUDMD</v>
      </c>
      <c r="AL488" s="18">
        <v>2040</v>
      </c>
      <c r="AM488" s="18" t="str">
        <f>AM487</f>
        <v>LO</v>
      </c>
      <c r="AN488" s="18"/>
      <c r="AO488" s="20">
        <f>-SUMIFS('TRA RESID'!$P:$P,'TRA RESID'!$I:$I,AK488,'TRA RESID'!$J:$J,AH488,'TRA RESID'!$H:$H,AI488)/SUMIFS('TRA RESID'!$P:$P,'TRA RESID'!$I:$I,AK488)*AS488</f>
        <v>0</v>
      </c>
      <c r="AP488" s="18"/>
      <c r="AQ488" s="18"/>
      <c r="AS488" s="21">
        <v>0</v>
      </c>
      <c r="AU488" s="15" t="str">
        <f>IF(AU487="*",AU487,"")</f>
        <v>*</v>
      </c>
      <c r="AV488" s="17" t="str">
        <f t="shared" si="387"/>
        <v>*FCEV*</v>
      </c>
      <c r="AW488" s="17" t="str">
        <f t="shared" si="387"/>
        <v>TRARNG</v>
      </c>
      <c r="AX488" s="17" t="str">
        <f t="shared" si="387"/>
        <v>TRAPASSBUDMD</v>
      </c>
      <c r="AY488" s="17" t="str">
        <f t="shared" si="387"/>
        <v>TRAPASSBUDMD</v>
      </c>
      <c r="AZ488" s="18">
        <v>2040</v>
      </c>
      <c r="BA488" s="18" t="str">
        <f>BA487</f>
        <v>LO</v>
      </c>
      <c r="BB488" s="18"/>
      <c r="BC488" s="20">
        <f>-SUMIFS('TRA RESID'!$P:$P,'TRA RESID'!$I:$I,AY488,'TRA RESID'!$J:$J,AV488,'TRA RESID'!$H:$H,AW488)/SUMIFS('TRA RESID'!$P:$P,'TRA RESID'!$I:$I,AY488)*BG488</f>
        <v>0</v>
      </c>
      <c r="BD488" s="18"/>
      <c r="BE488" s="18"/>
      <c r="BG488" s="21">
        <v>0</v>
      </c>
    </row>
    <row r="489" spans="1:59" x14ac:dyDescent="0.25">
      <c r="C489" s="23" t="str">
        <f>IF(C488="*",C488,"")</f>
        <v>*</v>
      </c>
      <c r="D489" s="25" t="str">
        <f t="shared" si="384"/>
        <v>*ICEV*</v>
      </c>
      <c r="E489" s="25" t="str">
        <f t="shared" si="384"/>
        <v>TRARNG</v>
      </c>
      <c r="F489" s="25" t="str">
        <f t="shared" si="384"/>
        <v>TRAPASSBUDMD</v>
      </c>
      <c r="G489" s="25" t="str">
        <f t="shared" si="384"/>
        <v>TRAPASSBUDMD</v>
      </c>
      <c r="H489" s="26">
        <v>2050</v>
      </c>
      <c r="I489" s="26" t="str">
        <f>I487</f>
        <v>LO</v>
      </c>
      <c r="J489" s="26"/>
      <c r="K489" s="27">
        <f>-SUMIFS('TRA RESID'!$P:$P,'TRA RESID'!$I:$I,G489,'TRA RESID'!$J:$J,D489,'TRA RESID'!$H:$H,E489)/SUMIFS('TRA RESID'!$P:$P,'TRA RESID'!$I:$I,G489)*O489</f>
        <v>0</v>
      </c>
      <c r="L489" s="26"/>
      <c r="M489" s="26"/>
      <c r="O489" s="28">
        <v>0</v>
      </c>
      <c r="S489" s="23" t="str">
        <f>IF(S488="*",S488,"")</f>
        <v>*</v>
      </c>
      <c r="T489" s="25" t="str">
        <f t="shared" si="385"/>
        <v>*BEV*</v>
      </c>
      <c r="U489" s="25" t="str">
        <f t="shared" si="385"/>
        <v>TRARNG</v>
      </c>
      <c r="V489" s="25" t="str">
        <f t="shared" si="385"/>
        <v>TRAPASSBUDMD</v>
      </c>
      <c r="W489" s="25" t="str">
        <f t="shared" si="385"/>
        <v>TRAPASSBUDMD</v>
      </c>
      <c r="X489" s="26">
        <v>2050</v>
      </c>
      <c r="Y489" s="26" t="str">
        <f>Y487</f>
        <v>LO</v>
      </c>
      <c r="Z489" s="26"/>
      <c r="AA489" s="27">
        <f>-SUMIFS('TRA RESID'!$P:$P,'TRA RESID'!$I:$I,W489,'TRA RESID'!$J:$J,T489,'TRA RESID'!$H:$H,U489)/SUMIFS('TRA RESID'!$P:$P,'TRA RESID'!$I:$I,W489)*AE489</f>
        <v>0</v>
      </c>
      <c r="AB489" s="26"/>
      <c r="AC489" s="26"/>
      <c r="AE489" s="28">
        <v>1</v>
      </c>
      <c r="AG489" s="23" t="str">
        <f>IF(AG488="*",AG488,"")</f>
        <v>*</v>
      </c>
      <c r="AH489" s="25" t="str">
        <f t="shared" si="386"/>
        <v>*HEV*</v>
      </c>
      <c r="AI489" s="25" t="str">
        <f t="shared" si="386"/>
        <v>TRARNG</v>
      </c>
      <c r="AJ489" s="25" t="str">
        <f t="shared" si="386"/>
        <v>TRAPASSBUDMD</v>
      </c>
      <c r="AK489" s="25" t="str">
        <f t="shared" si="386"/>
        <v>TRAPASSBUDMD</v>
      </c>
      <c r="AL489" s="26">
        <v>2050</v>
      </c>
      <c r="AM489" s="26" t="str">
        <f>AM487</f>
        <v>LO</v>
      </c>
      <c r="AN489" s="26"/>
      <c r="AO489" s="27">
        <f>-SUMIFS('TRA RESID'!$P:$P,'TRA RESID'!$I:$I,AK489,'TRA RESID'!$J:$J,AH489,'TRA RESID'!$H:$H,AI489)/SUMIFS('TRA RESID'!$P:$P,'TRA RESID'!$I:$I,AK489)*AS489</f>
        <v>0</v>
      </c>
      <c r="AP489" s="26"/>
      <c r="AQ489" s="26"/>
      <c r="AS489" s="28">
        <v>0</v>
      </c>
      <c r="AU489" s="23" t="str">
        <f>IF(AU488="*",AU488,"")</f>
        <v>*</v>
      </c>
      <c r="AV489" s="25" t="str">
        <f t="shared" si="387"/>
        <v>*FCEV*</v>
      </c>
      <c r="AW489" s="25" t="str">
        <f t="shared" si="387"/>
        <v>TRARNG</v>
      </c>
      <c r="AX489" s="25" t="str">
        <f t="shared" si="387"/>
        <v>TRAPASSBUDMD</v>
      </c>
      <c r="AY489" s="25" t="str">
        <f t="shared" si="387"/>
        <v>TRAPASSBUDMD</v>
      </c>
      <c r="AZ489" s="26">
        <v>2050</v>
      </c>
      <c r="BA489" s="26" t="str">
        <f>BA487</f>
        <v>LO</v>
      </c>
      <c r="BB489" s="26"/>
      <c r="BC489" s="27">
        <f>-SUMIFS('TRA RESID'!$P:$P,'TRA RESID'!$I:$I,AY489,'TRA RESID'!$J:$J,AV489,'TRA RESID'!$H:$H,AW489)/SUMIFS('TRA RESID'!$P:$P,'TRA RESID'!$I:$I,AY489)*BG489</f>
        <v>0</v>
      </c>
      <c r="BD489" s="26"/>
      <c r="BE489" s="26"/>
      <c r="BG489" s="28">
        <v>0</v>
      </c>
    </row>
    <row r="490" spans="1:59" x14ac:dyDescent="0.25">
      <c r="A490">
        <f>A485+1</f>
        <v>98</v>
      </c>
      <c r="C490" s="15" t="str">
        <f>IF(E490="","",IF(_xlfn.XLOOKUP($A490,Selected_constraint!$A:$A,Selected_constraint!$D:$D)=1,"*",IF(SUMIFS('TRA TECH'!$M:$M,'TRA TECH'!$H:$H,E490,'TRA TECH'!$I:$I,F490)=0,"*",IF(SUMIFS('TRA RESID'!$P:$P,'TRA RESID'!$I:$I,G490,'TRA RESID'!$J:$J,D490,'TRA RESID'!$H:$H,E490)=0,"*","UC_"&amp;SUBSTITUTE(D490,"*","")&amp;"_"&amp;RIGHT(E490,3)&amp;"_"&amp;F490))))</f>
        <v>*</v>
      </c>
      <c r="D490" s="17" t="s">
        <v>485</v>
      </c>
      <c r="E490" s="17" t="str">
        <f>_xlfn.XLOOKUP($A490,Selected_constraint!$A:$A,Selected_constraint!$B:$B)</f>
        <v>TRABAF</v>
      </c>
      <c r="F490" s="17" t="str">
        <f>_xlfn.XLOOKUP($A490,Selected_constraint!$A:$A,Selected_constraint!$C:$C)</f>
        <v>TRAPASSBUDMD</v>
      </c>
      <c r="G490" s="17" t="str">
        <f>F490</f>
        <v>TRAPASSBUDMD</v>
      </c>
      <c r="H490" s="18">
        <v>2019</v>
      </c>
      <c r="I490" s="18" t="s">
        <v>483</v>
      </c>
      <c r="J490" s="18">
        <v>1</v>
      </c>
      <c r="K490" s="20">
        <f>-SUMIFS('TRA RESID'!$P:$P,'TRA RESID'!$I:$I,G490,'TRA RESID'!$J:$J,D490,'TRA RESID'!$H:$H,E490)/SUMIFS('TRA RESID'!$P:$P,'TRA RESID'!$I:$I,G490)*O490</f>
        <v>0</v>
      </c>
      <c r="L490" s="18">
        <v>0</v>
      </c>
      <c r="M490" s="18">
        <v>5</v>
      </c>
      <c r="O490" s="21">
        <v>0.98</v>
      </c>
      <c r="Q490">
        <f>Q485+1</f>
        <v>98</v>
      </c>
      <c r="S490" s="15" t="str">
        <f>IF(SUMIFS('TRA RESID'!$P:$P,'TRA RESID'!$I:$I,W490,'TRA RESID'!$J:$J,T490,'TRA RESID'!$H:$H,U490)=0,"*","UC_"&amp;SUBSTITUTE(T490,"*","")&amp;"_"&amp;RIGHT(U490,3)&amp;"_"&amp;V490)</f>
        <v>*</v>
      </c>
      <c r="T490" s="17" t="s">
        <v>486</v>
      </c>
      <c r="U490" s="17" t="str">
        <f>_xlfn.XLOOKUP($A490,Selected_constraint!$A:$A,Selected_constraint!$B:$B)</f>
        <v>TRABAF</v>
      </c>
      <c r="V490" s="17" t="str">
        <f>_xlfn.XLOOKUP($A490,Selected_constraint!$A:$A,Selected_constraint!$C:$C)</f>
        <v>TRAPASSBUDMD</v>
      </c>
      <c r="W490" s="17" t="str">
        <f>V490</f>
        <v>TRAPASSBUDMD</v>
      </c>
      <c r="X490" s="18">
        <v>2019</v>
      </c>
      <c r="Y490" s="18" t="s">
        <v>483</v>
      </c>
      <c r="Z490" s="18">
        <v>1</v>
      </c>
      <c r="AA490" s="20">
        <f>-SUMIFS('TRA RESID'!$P:$P,'TRA RESID'!$I:$I,W490,'TRA RESID'!$J:$J,T490,'TRA RESID'!$H:$H,U490)/SUMIFS('TRA RESID'!$P:$P,'TRA RESID'!$I:$I,W490)*AE490</f>
        <v>0</v>
      </c>
      <c r="AB490" s="18">
        <v>0</v>
      </c>
      <c r="AC490" s="18">
        <v>5</v>
      </c>
      <c r="AE490" s="21">
        <v>0.98</v>
      </c>
      <c r="AG490" s="15" t="str">
        <f>IF(SUMIFS('TRA RESID'!$P:$P,'TRA RESID'!$I:$I,AK490,'TRA RESID'!$J:$J,AH490,'TRA RESID'!$H:$H,AI490)=0,"*","UC_"&amp;SUBSTITUTE(AH490,"*","")&amp;"_"&amp;RIGHT(AI490,3)&amp;"_"&amp;AJ490)</f>
        <v>*</v>
      </c>
      <c r="AH490" s="17" t="s">
        <v>487</v>
      </c>
      <c r="AI490" s="17" t="str">
        <f>_xlfn.XLOOKUP($A490,Selected_constraint!$A:$A,Selected_constraint!$B:$B)</f>
        <v>TRABAF</v>
      </c>
      <c r="AJ490" s="17" t="str">
        <f>_xlfn.XLOOKUP($A490,Selected_constraint!$A:$A,Selected_constraint!$C:$C)</f>
        <v>TRAPASSBUDMD</v>
      </c>
      <c r="AK490" s="17" t="str">
        <f>AJ490</f>
        <v>TRAPASSBUDMD</v>
      </c>
      <c r="AL490" s="18">
        <v>2019</v>
      </c>
      <c r="AM490" s="18" t="s">
        <v>483</v>
      </c>
      <c r="AN490" s="18">
        <v>1</v>
      </c>
      <c r="AO490" s="20">
        <f>-SUMIFS('TRA RESID'!$P:$P,'TRA RESID'!$I:$I,AK490,'TRA RESID'!$J:$J,AH490,'TRA RESID'!$H:$H,AI490)/SUMIFS('TRA RESID'!$P:$P,'TRA RESID'!$I:$I,AK490)*AS490</f>
        <v>0</v>
      </c>
      <c r="AP490" s="18">
        <v>0</v>
      </c>
      <c r="AQ490" s="18">
        <v>5</v>
      </c>
      <c r="AS490" s="21">
        <v>0.98</v>
      </c>
      <c r="AU490" s="15" t="str">
        <f>IF(SUMIFS('TRA RESID'!$P:$P,'TRA RESID'!$I:$I,AY490,'TRA RESID'!$J:$J,AV490,'TRA RESID'!$H:$H,AW490)=0,"*","UC_"&amp;SUBSTITUTE(AV490,"*","")&amp;"_"&amp;RIGHT(AW490,3)&amp;"_"&amp;AX490)</f>
        <v>*</v>
      </c>
      <c r="AV490" s="17" t="s">
        <v>488</v>
      </c>
      <c r="AW490" s="17" t="str">
        <f>_xlfn.XLOOKUP($A490,Selected_constraint!$A:$A,Selected_constraint!$B:$B)</f>
        <v>TRABAF</v>
      </c>
      <c r="AX490" s="17" t="str">
        <f>_xlfn.XLOOKUP($A490,Selected_constraint!$A:$A,Selected_constraint!$C:$C)</f>
        <v>TRAPASSBUDMD</v>
      </c>
      <c r="AY490" s="17" t="str">
        <f>AX490</f>
        <v>TRAPASSBUDMD</v>
      </c>
      <c r="AZ490" s="18">
        <v>2019</v>
      </c>
      <c r="BA490" s="18" t="s">
        <v>483</v>
      </c>
      <c r="BB490" s="18">
        <v>1</v>
      </c>
      <c r="BC490" s="20">
        <f>-SUMIFS('TRA RESID'!$P:$P,'TRA RESID'!$I:$I,AY490,'TRA RESID'!$J:$J,AV490,'TRA RESID'!$H:$H,AW490)/SUMIFS('TRA RESID'!$P:$P,'TRA RESID'!$I:$I,AY490)*BG490</f>
        <v>0</v>
      </c>
      <c r="BD490" s="18">
        <v>0</v>
      </c>
      <c r="BE490" s="18">
        <v>5</v>
      </c>
      <c r="BG490" s="21">
        <v>0.98</v>
      </c>
    </row>
    <row r="491" spans="1:59" x14ac:dyDescent="0.25">
      <c r="C491" s="15" t="str">
        <f>IF(C490="*",C490,"")</f>
        <v>*</v>
      </c>
      <c r="D491" s="17" t="str">
        <f t="shared" ref="D491:G494" si="388">D490</f>
        <v>*ICEV*</v>
      </c>
      <c r="E491" s="17" t="str">
        <f t="shared" si="388"/>
        <v>TRABAF</v>
      </c>
      <c r="F491" s="17" t="str">
        <f t="shared" si="388"/>
        <v>TRAPASSBUDMD</v>
      </c>
      <c r="G491" s="17" t="str">
        <f t="shared" si="388"/>
        <v>TRAPASSBUDMD</v>
      </c>
      <c r="H491" s="18">
        <v>2025</v>
      </c>
      <c r="I491" s="18" t="str">
        <f>I490</f>
        <v>LO</v>
      </c>
      <c r="J491" s="18"/>
      <c r="K491" s="20">
        <f>-SUMIFS('TRA RESID'!$P:$P,'TRA RESID'!$I:$I,G491,'TRA RESID'!$J:$J,D491,'TRA RESID'!$H:$H,E491)/SUMIFS('TRA RESID'!$P:$P,'TRA RESID'!$I:$I,G491)*O491</f>
        <v>0</v>
      </c>
      <c r="L491" s="18"/>
      <c r="M491" s="18"/>
      <c r="O491" s="21">
        <v>0.8</v>
      </c>
      <c r="S491" s="15" t="str">
        <f>IF(S490="*",S490,"")</f>
        <v>*</v>
      </c>
      <c r="T491" s="17" t="str">
        <f t="shared" ref="T491:W494" si="389">T490</f>
        <v>*BEV*</v>
      </c>
      <c r="U491" s="17" t="str">
        <f t="shared" si="389"/>
        <v>TRABAF</v>
      </c>
      <c r="V491" s="17" t="str">
        <f t="shared" si="389"/>
        <v>TRAPASSBUDMD</v>
      </c>
      <c r="W491" s="17" t="str">
        <f t="shared" si="389"/>
        <v>TRAPASSBUDMD</v>
      </c>
      <c r="X491" s="18">
        <v>2025</v>
      </c>
      <c r="Y491" s="18" t="str">
        <f>Y490</f>
        <v>LO</v>
      </c>
      <c r="Z491" s="18"/>
      <c r="AA491" s="20">
        <f>-SUMIFS('TRA RESID'!$P:$P,'TRA RESID'!$I:$I,W491,'TRA RESID'!$J:$J,T491,'TRA RESID'!$H:$H,U491)/SUMIFS('TRA RESID'!$P:$P,'TRA RESID'!$I:$I,W491)*AE491</f>
        <v>0</v>
      </c>
      <c r="AB491" s="18"/>
      <c r="AC491" s="18"/>
      <c r="AE491" s="21">
        <v>1</v>
      </c>
      <c r="AG491" s="15" t="str">
        <f>IF(AG490="*",AG490,"")</f>
        <v>*</v>
      </c>
      <c r="AH491" s="17" t="str">
        <f t="shared" ref="AH491:AK494" si="390">AH490</f>
        <v>*HEV*</v>
      </c>
      <c r="AI491" s="17" t="str">
        <f t="shared" si="390"/>
        <v>TRABAF</v>
      </c>
      <c r="AJ491" s="17" t="str">
        <f t="shared" si="390"/>
        <v>TRAPASSBUDMD</v>
      </c>
      <c r="AK491" s="17" t="str">
        <f t="shared" si="390"/>
        <v>TRAPASSBUDMD</v>
      </c>
      <c r="AL491" s="18">
        <v>2025</v>
      </c>
      <c r="AM491" s="18" t="str">
        <f>AM490</f>
        <v>LO</v>
      </c>
      <c r="AN491" s="18"/>
      <c r="AO491" s="20">
        <f>-SUMIFS('TRA RESID'!$P:$P,'TRA RESID'!$I:$I,AK491,'TRA RESID'!$J:$J,AH491,'TRA RESID'!$H:$H,AI491)/SUMIFS('TRA RESID'!$P:$P,'TRA RESID'!$I:$I,AK491)*AS491</f>
        <v>0</v>
      </c>
      <c r="AP491" s="18"/>
      <c r="AQ491" s="18"/>
      <c r="AS491" s="21">
        <v>0.8</v>
      </c>
      <c r="AU491" s="15" t="str">
        <f>IF(AU490="*",AU490,"")</f>
        <v>*</v>
      </c>
      <c r="AV491" s="17" t="str">
        <f t="shared" ref="AV491:AY494" si="391">AV490</f>
        <v>*FCEV*</v>
      </c>
      <c r="AW491" s="17" t="str">
        <f t="shared" si="391"/>
        <v>TRABAF</v>
      </c>
      <c r="AX491" s="17" t="str">
        <f t="shared" si="391"/>
        <v>TRAPASSBUDMD</v>
      </c>
      <c r="AY491" s="17" t="str">
        <f t="shared" si="391"/>
        <v>TRAPASSBUDMD</v>
      </c>
      <c r="AZ491" s="18">
        <v>2025</v>
      </c>
      <c r="BA491" s="18" t="str">
        <f>BA490</f>
        <v>LO</v>
      </c>
      <c r="BB491" s="18"/>
      <c r="BC491" s="20">
        <f>-SUMIFS('TRA RESID'!$P:$P,'TRA RESID'!$I:$I,AY491,'TRA RESID'!$J:$J,AV491,'TRA RESID'!$H:$H,AW491)/SUMIFS('TRA RESID'!$P:$P,'TRA RESID'!$I:$I,AY491)*BG491</f>
        <v>0</v>
      </c>
      <c r="BD491" s="18"/>
      <c r="BE491" s="18"/>
      <c r="BG491" s="21">
        <v>0.8</v>
      </c>
    </row>
    <row r="492" spans="1:59" x14ac:dyDescent="0.25">
      <c r="C492" s="15" t="str">
        <f>IF(C491="*",C491,"")</f>
        <v>*</v>
      </c>
      <c r="D492" s="17" t="str">
        <f t="shared" si="388"/>
        <v>*ICEV*</v>
      </c>
      <c r="E492" s="17" t="str">
        <f t="shared" si="388"/>
        <v>TRABAF</v>
      </c>
      <c r="F492" s="17" t="str">
        <f t="shared" si="388"/>
        <v>TRAPASSBUDMD</v>
      </c>
      <c r="G492" s="17" t="str">
        <f t="shared" si="388"/>
        <v>TRAPASSBUDMD</v>
      </c>
      <c r="H492" s="18">
        <v>2030</v>
      </c>
      <c r="I492" s="18" t="str">
        <f>I491</f>
        <v>LO</v>
      </c>
      <c r="J492" s="18"/>
      <c r="K492" s="20">
        <f>-SUMIFS('TRA RESID'!$P:$P,'TRA RESID'!$I:$I,G492,'TRA RESID'!$J:$J,D492,'TRA RESID'!$H:$H,E492)/SUMIFS('TRA RESID'!$P:$P,'TRA RESID'!$I:$I,G492)*O492</f>
        <v>0</v>
      </c>
      <c r="L492" s="18"/>
      <c r="M492" s="18"/>
      <c r="O492" s="21">
        <v>0.5</v>
      </c>
      <c r="S492" s="15" t="str">
        <f>IF(S491="*",S491,"")</f>
        <v>*</v>
      </c>
      <c r="T492" s="17" t="str">
        <f t="shared" si="389"/>
        <v>*BEV*</v>
      </c>
      <c r="U492" s="17" t="str">
        <f t="shared" si="389"/>
        <v>TRABAF</v>
      </c>
      <c r="V492" s="17" t="str">
        <f t="shared" si="389"/>
        <v>TRAPASSBUDMD</v>
      </c>
      <c r="W492" s="17" t="str">
        <f t="shared" si="389"/>
        <v>TRAPASSBUDMD</v>
      </c>
      <c r="X492" s="18">
        <v>2030</v>
      </c>
      <c r="Y492" s="18" t="str">
        <f>Y491</f>
        <v>LO</v>
      </c>
      <c r="Z492" s="18"/>
      <c r="AA492" s="20">
        <f>-SUMIFS('TRA RESID'!$P:$P,'TRA RESID'!$I:$I,W492,'TRA RESID'!$J:$J,T492,'TRA RESID'!$H:$H,U492)/SUMIFS('TRA RESID'!$P:$P,'TRA RESID'!$I:$I,W492)*AE492</f>
        <v>0</v>
      </c>
      <c r="AB492" s="18"/>
      <c r="AC492" s="18"/>
      <c r="AE492" s="21">
        <v>1</v>
      </c>
      <c r="AG492" s="15" t="str">
        <f>IF(AG491="*",AG491,"")</f>
        <v>*</v>
      </c>
      <c r="AH492" s="17" t="str">
        <f t="shared" si="390"/>
        <v>*HEV*</v>
      </c>
      <c r="AI492" s="17" t="str">
        <f t="shared" si="390"/>
        <v>TRABAF</v>
      </c>
      <c r="AJ492" s="17" t="str">
        <f t="shared" si="390"/>
        <v>TRAPASSBUDMD</v>
      </c>
      <c r="AK492" s="17" t="str">
        <f t="shared" si="390"/>
        <v>TRAPASSBUDMD</v>
      </c>
      <c r="AL492" s="18">
        <v>2030</v>
      </c>
      <c r="AM492" s="18" t="str">
        <f>AM491</f>
        <v>LO</v>
      </c>
      <c r="AN492" s="18"/>
      <c r="AO492" s="20">
        <f>-SUMIFS('TRA RESID'!$P:$P,'TRA RESID'!$I:$I,AK492,'TRA RESID'!$J:$J,AH492,'TRA RESID'!$H:$H,AI492)/SUMIFS('TRA RESID'!$P:$P,'TRA RESID'!$I:$I,AK492)*AS492</f>
        <v>0</v>
      </c>
      <c r="AP492" s="18"/>
      <c r="AQ492" s="18"/>
      <c r="AS492" s="21">
        <v>0.5</v>
      </c>
      <c r="AU492" s="15" t="str">
        <f>IF(AU491="*",AU491,"")</f>
        <v>*</v>
      </c>
      <c r="AV492" s="17" t="str">
        <f t="shared" si="391"/>
        <v>*FCEV*</v>
      </c>
      <c r="AW492" s="17" t="str">
        <f t="shared" si="391"/>
        <v>TRABAF</v>
      </c>
      <c r="AX492" s="17" t="str">
        <f t="shared" si="391"/>
        <v>TRAPASSBUDMD</v>
      </c>
      <c r="AY492" s="17" t="str">
        <f t="shared" si="391"/>
        <v>TRAPASSBUDMD</v>
      </c>
      <c r="AZ492" s="18">
        <v>2030</v>
      </c>
      <c r="BA492" s="18" t="str">
        <f>BA491</f>
        <v>LO</v>
      </c>
      <c r="BB492" s="18"/>
      <c r="BC492" s="20">
        <f>-SUMIFS('TRA RESID'!$P:$P,'TRA RESID'!$I:$I,AY492,'TRA RESID'!$J:$J,AV492,'TRA RESID'!$H:$H,AW492)/SUMIFS('TRA RESID'!$P:$P,'TRA RESID'!$I:$I,AY492)*BG492</f>
        <v>0</v>
      </c>
      <c r="BD492" s="18"/>
      <c r="BE492" s="18"/>
      <c r="BG492" s="21">
        <v>0.5</v>
      </c>
    </row>
    <row r="493" spans="1:59" x14ac:dyDescent="0.25">
      <c r="C493" s="15" t="str">
        <f>IF(C492="*",C492,"")</f>
        <v>*</v>
      </c>
      <c r="D493" s="17" t="str">
        <f t="shared" si="388"/>
        <v>*ICEV*</v>
      </c>
      <c r="E493" s="17" t="str">
        <f t="shared" si="388"/>
        <v>TRABAF</v>
      </c>
      <c r="F493" s="17" t="str">
        <f t="shared" si="388"/>
        <v>TRAPASSBUDMD</v>
      </c>
      <c r="G493" s="17" t="str">
        <f t="shared" si="388"/>
        <v>TRAPASSBUDMD</v>
      </c>
      <c r="H493" s="18">
        <v>2040</v>
      </c>
      <c r="I493" s="18" t="str">
        <f>I492</f>
        <v>LO</v>
      </c>
      <c r="J493" s="18"/>
      <c r="K493" s="20">
        <f>-SUMIFS('TRA RESID'!$P:$P,'TRA RESID'!$I:$I,G493,'TRA RESID'!$J:$J,D493,'TRA RESID'!$H:$H,E493)/SUMIFS('TRA RESID'!$P:$P,'TRA RESID'!$I:$I,G493)*O493</f>
        <v>0</v>
      </c>
      <c r="L493" s="18"/>
      <c r="M493" s="18"/>
      <c r="O493" s="21">
        <v>0</v>
      </c>
      <c r="S493" s="15" t="str">
        <f>IF(S492="*",S492,"")</f>
        <v>*</v>
      </c>
      <c r="T493" s="17" t="str">
        <f t="shared" si="389"/>
        <v>*BEV*</v>
      </c>
      <c r="U493" s="17" t="str">
        <f t="shared" si="389"/>
        <v>TRABAF</v>
      </c>
      <c r="V493" s="17" t="str">
        <f t="shared" si="389"/>
        <v>TRAPASSBUDMD</v>
      </c>
      <c r="W493" s="17" t="str">
        <f t="shared" si="389"/>
        <v>TRAPASSBUDMD</v>
      </c>
      <c r="X493" s="18">
        <v>2040</v>
      </c>
      <c r="Y493" s="18" t="str">
        <f>Y492</f>
        <v>LO</v>
      </c>
      <c r="Z493" s="18"/>
      <c r="AA493" s="20">
        <f>-SUMIFS('TRA RESID'!$P:$P,'TRA RESID'!$I:$I,W493,'TRA RESID'!$J:$J,T493,'TRA RESID'!$H:$H,U493)/SUMIFS('TRA RESID'!$P:$P,'TRA RESID'!$I:$I,W493)*AE493</f>
        <v>0</v>
      </c>
      <c r="AB493" s="18"/>
      <c r="AC493" s="18"/>
      <c r="AE493" s="21">
        <v>1</v>
      </c>
      <c r="AG493" s="15" t="str">
        <f>IF(AG492="*",AG492,"")</f>
        <v>*</v>
      </c>
      <c r="AH493" s="17" t="str">
        <f t="shared" si="390"/>
        <v>*HEV*</v>
      </c>
      <c r="AI493" s="17" t="str">
        <f t="shared" si="390"/>
        <v>TRABAF</v>
      </c>
      <c r="AJ493" s="17" t="str">
        <f t="shared" si="390"/>
        <v>TRAPASSBUDMD</v>
      </c>
      <c r="AK493" s="17" t="str">
        <f t="shared" si="390"/>
        <v>TRAPASSBUDMD</v>
      </c>
      <c r="AL493" s="18">
        <v>2040</v>
      </c>
      <c r="AM493" s="18" t="str">
        <f>AM492</f>
        <v>LO</v>
      </c>
      <c r="AN493" s="18"/>
      <c r="AO493" s="20">
        <f>-SUMIFS('TRA RESID'!$P:$P,'TRA RESID'!$I:$I,AK493,'TRA RESID'!$J:$J,AH493,'TRA RESID'!$H:$H,AI493)/SUMIFS('TRA RESID'!$P:$P,'TRA RESID'!$I:$I,AK493)*AS493</f>
        <v>0</v>
      </c>
      <c r="AP493" s="18"/>
      <c r="AQ493" s="18"/>
      <c r="AS493" s="21">
        <v>0</v>
      </c>
      <c r="AU493" s="15" t="str">
        <f>IF(AU492="*",AU492,"")</f>
        <v>*</v>
      </c>
      <c r="AV493" s="17" t="str">
        <f t="shared" si="391"/>
        <v>*FCEV*</v>
      </c>
      <c r="AW493" s="17" t="str">
        <f t="shared" si="391"/>
        <v>TRABAF</v>
      </c>
      <c r="AX493" s="17" t="str">
        <f t="shared" si="391"/>
        <v>TRAPASSBUDMD</v>
      </c>
      <c r="AY493" s="17" t="str">
        <f t="shared" si="391"/>
        <v>TRAPASSBUDMD</v>
      </c>
      <c r="AZ493" s="18">
        <v>2040</v>
      </c>
      <c r="BA493" s="18" t="str">
        <f>BA492</f>
        <v>LO</v>
      </c>
      <c r="BB493" s="18"/>
      <c r="BC493" s="20">
        <f>-SUMIFS('TRA RESID'!$P:$P,'TRA RESID'!$I:$I,AY493,'TRA RESID'!$J:$J,AV493,'TRA RESID'!$H:$H,AW493)/SUMIFS('TRA RESID'!$P:$P,'TRA RESID'!$I:$I,AY493)*BG493</f>
        <v>0</v>
      </c>
      <c r="BD493" s="18"/>
      <c r="BE493" s="18"/>
      <c r="BG493" s="21">
        <v>0</v>
      </c>
    </row>
    <row r="494" spans="1:59" x14ac:dyDescent="0.25">
      <c r="C494" s="23" t="str">
        <f>IF(C493="*",C493,"")</f>
        <v>*</v>
      </c>
      <c r="D494" s="25" t="str">
        <f t="shared" si="388"/>
        <v>*ICEV*</v>
      </c>
      <c r="E494" s="25" t="str">
        <f t="shared" si="388"/>
        <v>TRABAF</v>
      </c>
      <c r="F494" s="25" t="str">
        <f t="shared" si="388"/>
        <v>TRAPASSBUDMD</v>
      </c>
      <c r="G494" s="25" t="str">
        <f t="shared" si="388"/>
        <v>TRAPASSBUDMD</v>
      </c>
      <c r="H494" s="26">
        <v>2050</v>
      </c>
      <c r="I494" s="26" t="str">
        <f>I492</f>
        <v>LO</v>
      </c>
      <c r="J494" s="26"/>
      <c r="K494" s="27">
        <f>-SUMIFS('TRA RESID'!$P:$P,'TRA RESID'!$I:$I,G494,'TRA RESID'!$J:$J,D494,'TRA RESID'!$H:$H,E494)/SUMIFS('TRA RESID'!$P:$P,'TRA RESID'!$I:$I,G494)*O494</f>
        <v>0</v>
      </c>
      <c r="L494" s="26"/>
      <c r="M494" s="26"/>
      <c r="O494" s="28">
        <v>0</v>
      </c>
      <c r="S494" s="23" t="str">
        <f>IF(S493="*",S493,"")</f>
        <v>*</v>
      </c>
      <c r="T494" s="25" t="str">
        <f t="shared" si="389"/>
        <v>*BEV*</v>
      </c>
      <c r="U494" s="25" t="str">
        <f t="shared" si="389"/>
        <v>TRABAF</v>
      </c>
      <c r="V494" s="25" t="str">
        <f t="shared" si="389"/>
        <v>TRAPASSBUDMD</v>
      </c>
      <c r="W494" s="25" t="str">
        <f t="shared" si="389"/>
        <v>TRAPASSBUDMD</v>
      </c>
      <c r="X494" s="26">
        <v>2050</v>
      </c>
      <c r="Y494" s="26" t="str">
        <f>Y492</f>
        <v>LO</v>
      </c>
      <c r="Z494" s="26"/>
      <c r="AA494" s="27">
        <f>-SUMIFS('TRA RESID'!$P:$P,'TRA RESID'!$I:$I,W494,'TRA RESID'!$J:$J,T494,'TRA RESID'!$H:$H,U494)/SUMIFS('TRA RESID'!$P:$P,'TRA RESID'!$I:$I,W494)*AE494</f>
        <v>0</v>
      </c>
      <c r="AB494" s="26"/>
      <c r="AC494" s="26"/>
      <c r="AE494" s="28">
        <v>1</v>
      </c>
      <c r="AG494" s="23" t="str">
        <f>IF(AG493="*",AG493,"")</f>
        <v>*</v>
      </c>
      <c r="AH494" s="25" t="str">
        <f t="shared" si="390"/>
        <v>*HEV*</v>
      </c>
      <c r="AI494" s="25" t="str">
        <f t="shared" si="390"/>
        <v>TRABAF</v>
      </c>
      <c r="AJ494" s="25" t="str">
        <f t="shared" si="390"/>
        <v>TRAPASSBUDMD</v>
      </c>
      <c r="AK494" s="25" t="str">
        <f t="shared" si="390"/>
        <v>TRAPASSBUDMD</v>
      </c>
      <c r="AL494" s="26">
        <v>2050</v>
      </c>
      <c r="AM494" s="26" t="str">
        <f>AM492</f>
        <v>LO</v>
      </c>
      <c r="AN494" s="26"/>
      <c r="AO494" s="27">
        <f>-SUMIFS('TRA RESID'!$P:$P,'TRA RESID'!$I:$I,AK494,'TRA RESID'!$J:$J,AH494,'TRA RESID'!$H:$H,AI494)/SUMIFS('TRA RESID'!$P:$P,'TRA RESID'!$I:$I,AK494)*AS494</f>
        <v>0</v>
      </c>
      <c r="AP494" s="26"/>
      <c r="AQ494" s="26"/>
      <c r="AS494" s="28">
        <v>0</v>
      </c>
      <c r="AU494" s="23" t="str">
        <f>IF(AU493="*",AU493,"")</f>
        <v>*</v>
      </c>
      <c r="AV494" s="25" t="str">
        <f t="shared" si="391"/>
        <v>*FCEV*</v>
      </c>
      <c r="AW494" s="25" t="str">
        <f t="shared" si="391"/>
        <v>TRABAF</v>
      </c>
      <c r="AX494" s="25" t="str">
        <f t="shared" si="391"/>
        <v>TRAPASSBUDMD</v>
      </c>
      <c r="AY494" s="25" t="str">
        <f t="shared" si="391"/>
        <v>TRAPASSBUDMD</v>
      </c>
      <c r="AZ494" s="26">
        <v>2050</v>
      </c>
      <c r="BA494" s="26" t="str">
        <f>BA492</f>
        <v>LO</v>
      </c>
      <c r="BB494" s="26"/>
      <c r="BC494" s="27">
        <f>-SUMIFS('TRA RESID'!$P:$P,'TRA RESID'!$I:$I,AY494,'TRA RESID'!$J:$J,AV494,'TRA RESID'!$H:$H,AW494)/SUMIFS('TRA RESID'!$P:$P,'TRA RESID'!$I:$I,AY494)*BG494</f>
        <v>0</v>
      </c>
      <c r="BD494" s="26"/>
      <c r="BE494" s="26"/>
      <c r="BG494" s="28">
        <v>0</v>
      </c>
    </row>
    <row r="495" spans="1:59" x14ac:dyDescent="0.25">
      <c r="A495">
        <f>A490+1</f>
        <v>99</v>
      </c>
      <c r="C495" s="15" t="str">
        <f>IF(E495="","",IF(_xlfn.XLOOKUP($A495,Selected_constraint!$A:$A,Selected_constraint!$D:$D)=1,"*",IF(SUMIFS('TRA TECH'!$M:$M,'TRA TECH'!$H:$H,E495,'TRA TECH'!$I:$I,F495)=0,"*",IF(SUMIFS('TRA RESID'!$P:$P,'TRA RESID'!$I:$I,G495,'TRA RESID'!$J:$J,D495,'TRA RESID'!$H:$H,E495)=0,"*","UC_"&amp;SUBSTITUTE(D495,"*","")&amp;"_"&amp;RIGHT(E495,3)&amp;"_"&amp;F495))))</f>
        <v>*</v>
      </c>
      <c r="D495" s="17" t="s">
        <v>485</v>
      </c>
      <c r="E495" s="17" t="str">
        <f>_xlfn.XLOOKUP($A495,Selected_constraint!$A:$A,Selected_constraint!$B:$B)</f>
        <v>TRAH2G</v>
      </c>
      <c r="F495" s="17" t="str">
        <f>_xlfn.XLOOKUP($A495,Selected_constraint!$A:$A,Selected_constraint!$C:$C)</f>
        <v>TRAPASSBUDMD</v>
      </c>
      <c r="G495" s="17" t="str">
        <f>F495</f>
        <v>TRAPASSBUDMD</v>
      </c>
      <c r="H495" s="18">
        <v>2019</v>
      </c>
      <c r="I495" s="18" t="s">
        <v>483</v>
      </c>
      <c r="J495" s="18">
        <v>1</v>
      </c>
      <c r="K495" s="20">
        <f>-SUMIFS('TRA RESID'!$P:$P,'TRA RESID'!$I:$I,G495,'TRA RESID'!$J:$J,D495,'TRA RESID'!$H:$H,E495)/SUMIFS('TRA RESID'!$P:$P,'TRA RESID'!$I:$I,G495)*O495</f>
        <v>0</v>
      </c>
      <c r="L495" s="18">
        <v>0</v>
      </c>
      <c r="M495" s="18">
        <v>5</v>
      </c>
      <c r="O495" s="21">
        <v>0.98</v>
      </c>
      <c r="Q495">
        <f>Q490+1</f>
        <v>99</v>
      </c>
      <c r="S495" s="15" t="str">
        <f>IF(SUMIFS('TRA RESID'!$P:$P,'TRA RESID'!$I:$I,W495,'TRA RESID'!$J:$J,T495,'TRA RESID'!$H:$H,U495)=0,"*","UC_"&amp;SUBSTITUTE(T495,"*","")&amp;"_"&amp;RIGHT(U495,3)&amp;"_"&amp;V495)</f>
        <v>*</v>
      </c>
      <c r="T495" s="17" t="s">
        <v>486</v>
      </c>
      <c r="U495" s="17" t="str">
        <f>_xlfn.XLOOKUP($A495,Selected_constraint!$A:$A,Selected_constraint!$B:$B)</f>
        <v>TRAH2G</v>
      </c>
      <c r="V495" s="17" t="str">
        <f>_xlfn.XLOOKUP($A495,Selected_constraint!$A:$A,Selected_constraint!$C:$C)</f>
        <v>TRAPASSBUDMD</v>
      </c>
      <c r="W495" s="17" t="str">
        <f>V495</f>
        <v>TRAPASSBUDMD</v>
      </c>
      <c r="X495" s="18">
        <v>2019</v>
      </c>
      <c r="Y495" s="18" t="s">
        <v>483</v>
      </c>
      <c r="Z495" s="18">
        <v>1</v>
      </c>
      <c r="AA495" s="20">
        <f>-SUMIFS('TRA RESID'!$P:$P,'TRA RESID'!$I:$I,W495,'TRA RESID'!$J:$J,T495,'TRA RESID'!$H:$H,U495)/SUMIFS('TRA RESID'!$P:$P,'TRA RESID'!$I:$I,W495)*AE495</f>
        <v>0</v>
      </c>
      <c r="AB495" s="18">
        <v>0</v>
      </c>
      <c r="AC495" s="18">
        <v>5</v>
      </c>
      <c r="AE495" s="21">
        <v>0.98</v>
      </c>
      <c r="AG495" s="15" t="str">
        <f>IF(SUMIFS('TRA RESID'!$P:$P,'TRA RESID'!$I:$I,AK495,'TRA RESID'!$J:$J,AH495,'TRA RESID'!$H:$H,AI495)=0,"*","UC_"&amp;SUBSTITUTE(AH495,"*","")&amp;"_"&amp;RIGHT(AI495,3)&amp;"_"&amp;AJ495)</f>
        <v>*</v>
      </c>
      <c r="AH495" s="17" t="s">
        <v>487</v>
      </c>
      <c r="AI495" s="17" t="str">
        <f>_xlfn.XLOOKUP($A495,Selected_constraint!$A:$A,Selected_constraint!$B:$B)</f>
        <v>TRAH2G</v>
      </c>
      <c r="AJ495" s="17" t="str">
        <f>_xlfn.XLOOKUP($A495,Selected_constraint!$A:$A,Selected_constraint!$C:$C)</f>
        <v>TRAPASSBUDMD</v>
      </c>
      <c r="AK495" s="17" t="str">
        <f>AJ495</f>
        <v>TRAPASSBUDMD</v>
      </c>
      <c r="AL495" s="18">
        <v>2019</v>
      </c>
      <c r="AM495" s="18" t="s">
        <v>483</v>
      </c>
      <c r="AN495" s="18">
        <v>1</v>
      </c>
      <c r="AO495" s="20">
        <f>-SUMIFS('TRA RESID'!$P:$P,'TRA RESID'!$I:$I,AK495,'TRA RESID'!$J:$J,AH495,'TRA RESID'!$H:$H,AI495)/SUMIFS('TRA RESID'!$P:$P,'TRA RESID'!$I:$I,AK495)*AS495</f>
        <v>0</v>
      </c>
      <c r="AP495" s="18">
        <v>0</v>
      </c>
      <c r="AQ495" s="18">
        <v>5</v>
      </c>
      <c r="AS495" s="21">
        <v>0.98</v>
      </c>
      <c r="AU495" s="15" t="str">
        <f>IF(SUMIFS('TRA RESID'!$P:$P,'TRA RESID'!$I:$I,AY495,'TRA RESID'!$J:$J,AV495,'TRA RESID'!$H:$H,AW495)=0,"*","UC_"&amp;SUBSTITUTE(AV495,"*","")&amp;"_"&amp;RIGHT(AW495,3)&amp;"_"&amp;AX495)</f>
        <v>*</v>
      </c>
      <c r="AV495" s="17" t="s">
        <v>488</v>
      </c>
      <c r="AW495" s="17" t="str">
        <f>_xlfn.XLOOKUP($A495,Selected_constraint!$A:$A,Selected_constraint!$B:$B)</f>
        <v>TRAH2G</v>
      </c>
      <c r="AX495" s="17" t="str">
        <f>_xlfn.XLOOKUP($A495,Selected_constraint!$A:$A,Selected_constraint!$C:$C)</f>
        <v>TRAPASSBUDMD</v>
      </c>
      <c r="AY495" s="17" t="str">
        <f>AX495</f>
        <v>TRAPASSBUDMD</v>
      </c>
      <c r="AZ495" s="18">
        <v>2019</v>
      </c>
      <c r="BA495" s="18" t="s">
        <v>483</v>
      </c>
      <c r="BB495" s="18">
        <v>1</v>
      </c>
      <c r="BC495" s="20">
        <f>-SUMIFS('TRA RESID'!$P:$P,'TRA RESID'!$I:$I,AY495,'TRA RESID'!$J:$J,AV495,'TRA RESID'!$H:$H,AW495)/SUMIFS('TRA RESID'!$P:$P,'TRA RESID'!$I:$I,AY495)*BG495</f>
        <v>0</v>
      </c>
      <c r="BD495" s="18">
        <v>0</v>
      </c>
      <c r="BE495" s="18">
        <v>5</v>
      </c>
      <c r="BG495" s="21">
        <v>0.98</v>
      </c>
    </row>
    <row r="496" spans="1:59" x14ac:dyDescent="0.25">
      <c r="C496" s="15" t="str">
        <f>IF(C495="*",C495,"")</f>
        <v>*</v>
      </c>
      <c r="D496" s="17" t="str">
        <f t="shared" ref="D496:G499" si="392">D495</f>
        <v>*ICEV*</v>
      </c>
      <c r="E496" s="17" t="str">
        <f t="shared" si="392"/>
        <v>TRAH2G</v>
      </c>
      <c r="F496" s="17" t="str">
        <f t="shared" si="392"/>
        <v>TRAPASSBUDMD</v>
      </c>
      <c r="G496" s="17" t="str">
        <f t="shared" si="392"/>
        <v>TRAPASSBUDMD</v>
      </c>
      <c r="H496" s="18">
        <v>2025</v>
      </c>
      <c r="I496" s="18" t="str">
        <f>I495</f>
        <v>LO</v>
      </c>
      <c r="J496" s="18"/>
      <c r="K496" s="20">
        <f>-SUMIFS('TRA RESID'!$P:$P,'TRA RESID'!$I:$I,G496,'TRA RESID'!$J:$J,D496,'TRA RESID'!$H:$H,E496)/SUMIFS('TRA RESID'!$P:$P,'TRA RESID'!$I:$I,G496)*O496</f>
        <v>0</v>
      </c>
      <c r="L496" s="18"/>
      <c r="M496" s="18"/>
      <c r="O496" s="21">
        <v>0.8</v>
      </c>
      <c r="S496" s="15" t="str">
        <f>IF(S495="*",S495,"")</f>
        <v>*</v>
      </c>
      <c r="T496" s="17" t="str">
        <f t="shared" ref="T496:W499" si="393">T495</f>
        <v>*BEV*</v>
      </c>
      <c r="U496" s="17" t="str">
        <f t="shared" si="393"/>
        <v>TRAH2G</v>
      </c>
      <c r="V496" s="17" t="str">
        <f t="shared" si="393"/>
        <v>TRAPASSBUDMD</v>
      </c>
      <c r="W496" s="17" t="str">
        <f t="shared" si="393"/>
        <v>TRAPASSBUDMD</v>
      </c>
      <c r="X496" s="18">
        <v>2025</v>
      </c>
      <c r="Y496" s="18" t="str">
        <f>Y495</f>
        <v>LO</v>
      </c>
      <c r="Z496" s="18"/>
      <c r="AA496" s="20">
        <f>-SUMIFS('TRA RESID'!$P:$P,'TRA RESID'!$I:$I,W496,'TRA RESID'!$J:$J,T496,'TRA RESID'!$H:$H,U496)/SUMIFS('TRA RESID'!$P:$P,'TRA RESID'!$I:$I,W496)*AE496</f>
        <v>0</v>
      </c>
      <c r="AB496" s="18"/>
      <c r="AC496" s="18"/>
      <c r="AE496" s="21">
        <v>1</v>
      </c>
      <c r="AG496" s="15" t="str">
        <f>IF(AG495="*",AG495,"")</f>
        <v>*</v>
      </c>
      <c r="AH496" s="17" t="str">
        <f t="shared" ref="AH496:AK499" si="394">AH495</f>
        <v>*HEV*</v>
      </c>
      <c r="AI496" s="17" t="str">
        <f t="shared" si="394"/>
        <v>TRAH2G</v>
      </c>
      <c r="AJ496" s="17" t="str">
        <f t="shared" si="394"/>
        <v>TRAPASSBUDMD</v>
      </c>
      <c r="AK496" s="17" t="str">
        <f t="shared" si="394"/>
        <v>TRAPASSBUDMD</v>
      </c>
      <c r="AL496" s="18">
        <v>2025</v>
      </c>
      <c r="AM496" s="18" t="str">
        <f>AM495</f>
        <v>LO</v>
      </c>
      <c r="AN496" s="18"/>
      <c r="AO496" s="20">
        <f>-SUMIFS('TRA RESID'!$P:$P,'TRA RESID'!$I:$I,AK496,'TRA RESID'!$J:$J,AH496,'TRA RESID'!$H:$H,AI496)/SUMIFS('TRA RESID'!$P:$P,'TRA RESID'!$I:$I,AK496)*AS496</f>
        <v>0</v>
      </c>
      <c r="AP496" s="18"/>
      <c r="AQ496" s="18"/>
      <c r="AS496" s="21">
        <v>0.8</v>
      </c>
      <c r="AU496" s="15" t="str">
        <f>IF(AU495="*",AU495,"")</f>
        <v>*</v>
      </c>
      <c r="AV496" s="17" t="str">
        <f t="shared" ref="AV496:AY499" si="395">AV495</f>
        <v>*FCEV*</v>
      </c>
      <c r="AW496" s="17" t="str">
        <f t="shared" si="395"/>
        <v>TRAH2G</v>
      </c>
      <c r="AX496" s="17" t="str">
        <f t="shared" si="395"/>
        <v>TRAPASSBUDMD</v>
      </c>
      <c r="AY496" s="17" t="str">
        <f t="shared" si="395"/>
        <v>TRAPASSBUDMD</v>
      </c>
      <c r="AZ496" s="18">
        <v>2025</v>
      </c>
      <c r="BA496" s="18" t="str">
        <f>BA495</f>
        <v>LO</v>
      </c>
      <c r="BB496" s="18"/>
      <c r="BC496" s="20">
        <f>-SUMIFS('TRA RESID'!$P:$P,'TRA RESID'!$I:$I,AY496,'TRA RESID'!$J:$J,AV496,'TRA RESID'!$H:$H,AW496)/SUMIFS('TRA RESID'!$P:$P,'TRA RESID'!$I:$I,AY496)*BG496</f>
        <v>0</v>
      </c>
      <c r="BD496" s="18"/>
      <c r="BE496" s="18"/>
      <c r="BG496" s="21">
        <v>0.8</v>
      </c>
    </row>
    <row r="497" spans="1:59" x14ac:dyDescent="0.25">
      <c r="C497" s="15" t="str">
        <f>IF(C496="*",C496,"")</f>
        <v>*</v>
      </c>
      <c r="D497" s="17" t="str">
        <f t="shared" si="392"/>
        <v>*ICEV*</v>
      </c>
      <c r="E497" s="17" t="str">
        <f t="shared" si="392"/>
        <v>TRAH2G</v>
      </c>
      <c r="F497" s="17" t="str">
        <f t="shared" si="392"/>
        <v>TRAPASSBUDMD</v>
      </c>
      <c r="G497" s="17" t="str">
        <f t="shared" si="392"/>
        <v>TRAPASSBUDMD</v>
      </c>
      <c r="H497" s="18">
        <v>2030</v>
      </c>
      <c r="I497" s="18" t="str">
        <f>I496</f>
        <v>LO</v>
      </c>
      <c r="J497" s="18"/>
      <c r="K497" s="20">
        <f>-SUMIFS('TRA RESID'!$P:$P,'TRA RESID'!$I:$I,G497,'TRA RESID'!$J:$J,D497,'TRA RESID'!$H:$H,E497)/SUMIFS('TRA RESID'!$P:$P,'TRA RESID'!$I:$I,G497)*O497</f>
        <v>0</v>
      </c>
      <c r="L497" s="18"/>
      <c r="M497" s="18"/>
      <c r="O497" s="21">
        <v>0.5</v>
      </c>
      <c r="S497" s="15" t="str">
        <f>IF(S496="*",S496,"")</f>
        <v>*</v>
      </c>
      <c r="T497" s="17" t="str">
        <f t="shared" si="393"/>
        <v>*BEV*</v>
      </c>
      <c r="U497" s="17" t="str">
        <f t="shared" si="393"/>
        <v>TRAH2G</v>
      </c>
      <c r="V497" s="17" t="str">
        <f t="shared" si="393"/>
        <v>TRAPASSBUDMD</v>
      </c>
      <c r="W497" s="17" t="str">
        <f t="shared" si="393"/>
        <v>TRAPASSBUDMD</v>
      </c>
      <c r="X497" s="18">
        <v>2030</v>
      </c>
      <c r="Y497" s="18" t="str">
        <f>Y496</f>
        <v>LO</v>
      </c>
      <c r="Z497" s="18"/>
      <c r="AA497" s="20">
        <f>-SUMIFS('TRA RESID'!$P:$P,'TRA RESID'!$I:$I,W497,'TRA RESID'!$J:$J,T497,'TRA RESID'!$H:$H,U497)/SUMIFS('TRA RESID'!$P:$P,'TRA RESID'!$I:$I,W497)*AE497</f>
        <v>0</v>
      </c>
      <c r="AB497" s="18"/>
      <c r="AC497" s="18"/>
      <c r="AE497" s="21">
        <v>1</v>
      </c>
      <c r="AG497" s="15" t="str">
        <f>IF(AG496="*",AG496,"")</f>
        <v>*</v>
      </c>
      <c r="AH497" s="17" t="str">
        <f t="shared" si="394"/>
        <v>*HEV*</v>
      </c>
      <c r="AI497" s="17" t="str">
        <f t="shared" si="394"/>
        <v>TRAH2G</v>
      </c>
      <c r="AJ497" s="17" t="str">
        <f t="shared" si="394"/>
        <v>TRAPASSBUDMD</v>
      </c>
      <c r="AK497" s="17" t="str">
        <f t="shared" si="394"/>
        <v>TRAPASSBUDMD</v>
      </c>
      <c r="AL497" s="18">
        <v>2030</v>
      </c>
      <c r="AM497" s="18" t="str">
        <f>AM496</f>
        <v>LO</v>
      </c>
      <c r="AN497" s="18"/>
      <c r="AO497" s="20">
        <f>-SUMIFS('TRA RESID'!$P:$P,'TRA RESID'!$I:$I,AK497,'TRA RESID'!$J:$J,AH497,'TRA RESID'!$H:$H,AI497)/SUMIFS('TRA RESID'!$P:$P,'TRA RESID'!$I:$I,AK497)*AS497</f>
        <v>0</v>
      </c>
      <c r="AP497" s="18"/>
      <c r="AQ497" s="18"/>
      <c r="AS497" s="21">
        <v>0.5</v>
      </c>
      <c r="AU497" s="15" t="str">
        <f>IF(AU496="*",AU496,"")</f>
        <v>*</v>
      </c>
      <c r="AV497" s="17" t="str">
        <f t="shared" si="395"/>
        <v>*FCEV*</v>
      </c>
      <c r="AW497" s="17" t="str">
        <f t="shared" si="395"/>
        <v>TRAH2G</v>
      </c>
      <c r="AX497" s="17" t="str">
        <f t="shared" si="395"/>
        <v>TRAPASSBUDMD</v>
      </c>
      <c r="AY497" s="17" t="str">
        <f t="shared" si="395"/>
        <v>TRAPASSBUDMD</v>
      </c>
      <c r="AZ497" s="18">
        <v>2030</v>
      </c>
      <c r="BA497" s="18" t="str">
        <f>BA496</f>
        <v>LO</v>
      </c>
      <c r="BB497" s="18"/>
      <c r="BC497" s="20">
        <f>-SUMIFS('TRA RESID'!$P:$P,'TRA RESID'!$I:$I,AY497,'TRA RESID'!$J:$J,AV497,'TRA RESID'!$H:$H,AW497)/SUMIFS('TRA RESID'!$P:$P,'TRA RESID'!$I:$I,AY497)*BG497</f>
        <v>0</v>
      </c>
      <c r="BD497" s="18"/>
      <c r="BE497" s="18"/>
      <c r="BG497" s="21">
        <v>0.5</v>
      </c>
    </row>
    <row r="498" spans="1:59" x14ac:dyDescent="0.25">
      <c r="C498" s="15" t="str">
        <f>IF(C497="*",C497,"")</f>
        <v>*</v>
      </c>
      <c r="D498" s="17" t="str">
        <f t="shared" si="392"/>
        <v>*ICEV*</v>
      </c>
      <c r="E498" s="17" t="str">
        <f t="shared" si="392"/>
        <v>TRAH2G</v>
      </c>
      <c r="F498" s="17" t="str">
        <f t="shared" si="392"/>
        <v>TRAPASSBUDMD</v>
      </c>
      <c r="G498" s="17" t="str">
        <f t="shared" si="392"/>
        <v>TRAPASSBUDMD</v>
      </c>
      <c r="H498" s="18">
        <v>2040</v>
      </c>
      <c r="I498" s="18" t="str">
        <f>I497</f>
        <v>LO</v>
      </c>
      <c r="J498" s="18"/>
      <c r="K498" s="20">
        <f>-SUMIFS('TRA RESID'!$P:$P,'TRA RESID'!$I:$I,G498,'TRA RESID'!$J:$J,D498,'TRA RESID'!$H:$H,E498)/SUMIFS('TRA RESID'!$P:$P,'TRA RESID'!$I:$I,G498)*O498</f>
        <v>0</v>
      </c>
      <c r="L498" s="18"/>
      <c r="M498" s="18"/>
      <c r="O498" s="21">
        <v>0</v>
      </c>
      <c r="S498" s="15" t="str">
        <f>IF(S497="*",S497,"")</f>
        <v>*</v>
      </c>
      <c r="T498" s="17" t="str">
        <f t="shared" si="393"/>
        <v>*BEV*</v>
      </c>
      <c r="U498" s="17" t="str">
        <f t="shared" si="393"/>
        <v>TRAH2G</v>
      </c>
      <c r="V498" s="17" t="str">
        <f t="shared" si="393"/>
        <v>TRAPASSBUDMD</v>
      </c>
      <c r="W498" s="17" t="str">
        <f t="shared" si="393"/>
        <v>TRAPASSBUDMD</v>
      </c>
      <c r="X498" s="18">
        <v>2040</v>
      </c>
      <c r="Y498" s="18" t="str">
        <f>Y497</f>
        <v>LO</v>
      </c>
      <c r="Z498" s="18"/>
      <c r="AA498" s="20">
        <f>-SUMIFS('TRA RESID'!$P:$P,'TRA RESID'!$I:$I,W498,'TRA RESID'!$J:$J,T498,'TRA RESID'!$H:$H,U498)/SUMIFS('TRA RESID'!$P:$P,'TRA RESID'!$I:$I,W498)*AE498</f>
        <v>0</v>
      </c>
      <c r="AB498" s="18"/>
      <c r="AC498" s="18"/>
      <c r="AE498" s="21">
        <v>1</v>
      </c>
      <c r="AG498" s="15" t="str">
        <f>IF(AG497="*",AG497,"")</f>
        <v>*</v>
      </c>
      <c r="AH498" s="17" t="str">
        <f t="shared" si="394"/>
        <v>*HEV*</v>
      </c>
      <c r="AI498" s="17" t="str">
        <f t="shared" si="394"/>
        <v>TRAH2G</v>
      </c>
      <c r="AJ498" s="17" t="str">
        <f t="shared" si="394"/>
        <v>TRAPASSBUDMD</v>
      </c>
      <c r="AK498" s="17" t="str">
        <f t="shared" si="394"/>
        <v>TRAPASSBUDMD</v>
      </c>
      <c r="AL498" s="18">
        <v>2040</v>
      </c>
      <c r="AM498" s="18" t="str">
        <f>AM497</f>
        <v>LO</v>
      </c>
      <c r="AN498" s="18"/>
      <c r="AO498" s="20">
        <f>-SUMIFS('TRA RESID'!$P:$P,'TRA RESID'!$I:$I,AK498,'TRA RESID'!$J:$J,AH498,'TRA RESID'!$H:$H,AI498)/SUMIFS('TRA RESID'!$P:$P,'TRA RESID'!$I:$I,AK498)*AS498</f>
        <v>0</v>
      </c>
      <c r="AP498" s="18"/>
      <c r="AQ498" s="18"/>
      <c r="AS498" s="21">
        <v>0</v>
      </c>
      <c r="AU498" s="15" t="str">
        <f>IF(AU497="*",AU497,"")</f>
        <v>*</v>
      </c>
      <c r="AV498" s="17" t="str">
        <f t="shared" si="395"/>
        <v>*FCEV*</v>
      </c>
      <c r="AW498" s="17" t="str">
        <f t="shared" si="395"/>
        <v>TRAH2G</v>
      </c>
      <c r="AX498" s="17" t="str">
        <f t="shared" si="395"/>
        <v>TRAPASSBUDMD</v>
      </c>
      <c r="AY498" s="17" t="str">
        <f t="shared" si="395"/>
        <v>TRAPASSBUDMD</v>
      </c>
      <c r="AZ498" s="18">
        <v>2040</v>
      </c>
      <c r="BA498" s="18" t="str">
        <f>BA497</f>
        <v>LO</v>
      </c>
      <c r="BB498" s="18"/>
      <c r="BC498" s="20">
        <f>-SUMIFS('TRA RESID'!$P:$P,'TRA RESID'!$I:$I,AY498,'TRA RESID'!$J:$J,AV498,'TRA RESID'!$H:$H,AW498)/SUMIFS('TRA RESID'!$P:$P,'TRA RESID'!$I:$I,AY498)*BG498</f>
        <v>0</v>
      </c>
      <c r="BD498" s="18"/>
      <c r="BE498" s="18"/>
      <c r="BG498" s="21">
        <v>0</v>
      </c>
    </row>
    <row r="499" spans="1:59" x14ac:dyDescent="0.25">
      <c r="C499" s="23" t="str">
        <f>IF(C498="*",C498,"")</f>
        <v>*</v>
      </c>
      <c r="D499" s="25" t="str">
        <f t="shared" si="392"/>
        <v>*ICEV*</v>
      </c>
      <c r="E499" s="25" t="str">
        <f t="shared" si="392"/>
        <v>TRAH2G</v>
      </c>
      <c r="F499" s="25" t="str">
        <f t="shared" si="392"/>
        <v>TRAPASSBUDMD</v>
      </c>
      <c r="G499" s="25" t="str">
        <f t="shared" si="392"/>
        <v>TRAPASSBUDMD</v>
      </c>
      <c r="H499" s="26">
        <v>2050</v>
      </c>
      <c r="I499" s="26" t="str">
        <f>I497</f>
        <v>LO</v>
      </c>
      <c r="J499" s="26"/>
      <c r="K499" s="27">
        <f>-SUMIFS('TRA RESID'!$P:$P,'TRA RESID'!$I:$I,G499,'TRA RESID'!$J:$J,D499,'TRA RESID'!$H:$H,E499)/SUMIFS('TRA RESID'!$P:$P,'TRA RESID'!$I:$I,G499)*O499</f>
        <v>0</v>
      </c>
      <c r="L499" s="26"/>
      <c r="M499" s="26"/>
      <c r="O499" s="28">
        <v>0</v>
      </c>
      <c r="S499" s="23" t="str">
        <f>IF(S498="*",S498,"")</f>
        <v>*</v>
      </c>
      <c r="T499" s="25" t="str">
        <f t="shared" si="393"/>
        <v>*BEV*</v>
      </c>
      <c r="U499" s="25" t="str">
        <f t="shared" si="393"/>
        <v>TRAH2G</v>
      </c>
      <c r="V499" s="25" t="str">
        <f t="shared" si="393"/>
        <v>TRAPASSBUDMD</v>
      </c>
      <c r="W499" s="25" t="str">
        <f t="shared" si="393"/>
        <v>TRAPASSBUDMD</v>
      </c>
      <c r="X499" s="26">
        <v>2050</v>
      </c>
      <c r="Y499" s="26" t="str">
        <f>Y497</f>
        <v>LO</v>
      </c>
      <c r="Z499" s="26"/>
      <c r="AA499" s="27">
        <f>-SUMIFS('TRA RESID'!$P:$P,'TRA RESID'!$I:$I,W499,'TRA RESID'!$J:$J,T499,'TRA RESID'!$H:$H,U499)/SUMIFS('TRA RESID'!$P:$P,'TRA RESID'!$I:$I,W499)*AE499</f>
        <v>0</v>
      </c>
      <c r="AB499" s="26"/>
      <c r="AC499" s="26"/>
      <c r="AE499" s="28">
        <v>1</v>
      </c>
      <c r="AG499" s="23" t="str">
        <f>IF(AG498="*",AG498,"")</f>
        <v>*</v>
      </c>
      <c r="AH499" s="25" t="str">
        <f t="shared" si="394"/>
        <v>*HEV*</v>
      </c>
      <c r="AI499" s="25" t="str">
        <f t="shared" si="394"/>
        <v>TRAH2G</v>
      </c>
      <c r="AJ499" s="25" t="str">
        <f t="shared" si="394"/>
        <v>TRAPASSBUDMD</v>
      </c>
      <c r="AK499" s="25" t="str">
        <f t="shared" si="394"/>
        <v>TRAPASSBUDMD</v>
      </c>
      <c r="AL499" s="26">
        <v>2050</v>
      </c>
      <c r="AM499" s="26" t="str">
        <f>AM497</f>
        <v>LO</v>
      </c>
      <c r="AN499" s="26"/>
      <c r="AO499" s="27">
        <f>-SUMIFS('TRA RESID'!$P:$P,'TRA RESID'!$I:$I,AK499,'TRA RESID'!$J:$J,AH499,'TRA RESID'!$H:$H,AI499)/SUMIFS('TRA RESID'!$P:$P,'TRA RESID'!$I:$I,AK499)*AS499</f>
        <v>0</v>
      </c>
      <c r="AP499" s="26"/>
      <c r="AQ499" s="26"/>
      <c r="AS499" s="28">
        <v>0</v>
      </c>
      <c r="AU499" s="23" t="str">
        <f>IF(AU498="*",AU498,"")</f>
        <v>*</v>
      </c>
      <c r="AV499" s="25" t="str">
        <f t="shared" si="395"/>
        <v>*FCEV*</v>
      </c>
      <c r="AW499" s="25" t="str">
        <f t="shared" si="395"/>
        <v>TRAH2G</v>
      </c>
      <c r="AX499" s="25" t="str">
        <f t="shared" si="395"/>
        <v>TRAPASSBUDMD</v>
      </c>
      <c r="AY499" s="25" t="str">
        <f t="shared" si="395"/>
        <v>TRAPASSBUDMD</v>
      </c>
      <c r="AZ499" s="26">
        <v>2050</v>
      </c>
      <c r="BA499" s="26" t="str">
        <f>BA497</f>
        <v>LO</v>
      </c>
      <c r="BB499" s="26"/>
      <c r="BC499" s="27">
        <f>-SUMIFS('TRA RESID'!$P:$P,'TRA RESID'!$I:$I,AY499,'TRA RESID'!$J:$J,AV499,'TRA RESID'!$H:$H,AW499)/SUMIFS('TRA RESID'!$P:$P,'TRA RESID'!$I:$I,AY499)*BG499</f>
        <v>0</v>
      </c>
      <c r="BD499" s="26"/>
      <c r="BE499" s="26"/>
      <c r="BG499" s="28">
        <v>0</v>
      </c>
    </row>
    <row r="500" spans="1:59" x14ac:dyDescent="0.25">
      <c r="A500">
        <f>A495+1</f>
        <v>100</v>
      </c>
      <c r="C500" s="15" t="str">
        <f>IF(E500="","",IF(_xlfn.XLOOKUP($A500,Selected_constraint!$A:$A,Selected_constraint!$D:$D)=1,"*",IF(SUMIFS('TRA TECH'!$M:$M,'TRA TECH'!$H:$H,E500,'TRA TECH'!$I:$I,F500)=0,"*",IF(SUMIFS('TRA RESID'!$P:$P,'TRA RESID'!$I:$I,G500,'TRA RESID'!$J:$J,D500,'TRA RESID'!$H:$H,E500)=0,"*","UC_"&amp;SUBSTITUTE(D500,"*","")&amp;"_"&amp;RIGHT(E500,3)&amp;"_"&amp;F500))))</f>
        <v>*</v>
      </c>
      <c r="D500" s="17" t="s">
        <v>485</v>
      </c>
      <c r="E500" s="17" t="str">
        <f>_xlfn.XLOOKUP($A500,Selected_constraint!$A:$A,Selected_constraint!$B:$B)</f>
        <v>TRAGSL</v>
      </c>
      <c r="F500" s="17" t="str">
        <f>_xlfn.XLOOKUP($A500,Selected_constraint!$A:$A,Selected_constraint!$C:$C)</f>
        <v>TRAPASOBUDMD</v>
      </c>
      <c r="G500" s="17" t="str">
        <f>F500</f>
        <v>TRAPASOBUDMD</v>
      </c>
      <c r="H500" s="18">
        <v>2019</v>
      </c>
      <c r="I500" s="18" t="s">
        <v>483</v>
      </c>
      <c r="J500" s="18">
        <v>1</v>
      </c>
      <c r="K500" s="20" t="e">
        <f>-SUMIFS('TRA RESID'!$P:$P,'TRA RESID'!$I:$I,G500,'TRA RESID'!$J:$J,D500,'TRA RESID'!$H:$H,E500)/SUMIFS('TRA RESID'!$P:$P,'TRA RESID'!$I:$I,G500)*O500</f>
        <v>#DIV/0!</v>
      </c>
      <c r="L500" s="18">
        <v>0</v>
      </c>
      <c r="M500" s="18">
        <v>5</v>
      </c>
      <c r="O500" s="21">
        <v>0.98</v>
      </c>
      <c r="Q500">
        <f>Q495+1</f>
        <v>100</v>
      </c>
      <c r="S500" s="15" t="str">
        <f>IF(SUMIFS('TRA RESID'!$P:$P,'TRA RESID'!$I:$I,W500,'TRA RESID'!$J:$J,T500,'TRA RESID'!$H:$H,U500)=0,"*","UC_"&amp;SUBSTITUTE(T500,"*","")&amp;"_"&amp;RIGHT(U500,3)&amp;"_"&amp;V500)</f>
        <v>*</v>
      </c>
      <c r="T500" s="17" t="s">
        <v>486</v>
      </c>
      <c r="U500" s="17" t="str">
        <f>_xlfn.XLOOKUP($A500,Selected_constraint!$A:$A,Selected_constraint!$B:$B)</f>
        <v>TRAGSL</v>
      </c>
      <c r="V500" s="17" t="str">
        <f>_xlfn.XLOOKUP($A500,Selected_constraint!$A:$A,Selected_constraint!$C:$C)</f>
        <v>TRAPASOBUDMD</v>
      </c>
      <c r="W500" s="17" t="str">
        <f>V500</f>
        <v>TRAPASOBUDMD</v>
      </c>
      <c r="X500" s="18">
        <v>2019</v>
      </c>
      <c r="Y500" s="18" t="s">
        <v>483</v>
      </c>
      <c r="Z500" s="18">
        <v>1</v>
      </c>
      <c r="AA500" s="20" t="e">
        <f>-SUMIFS('TRA RESID'!$P:$P,'TRA RESID'!$I:$I,W500,'TRA RESID'!$J:$J,T500,'TRA RESID'!$H:$H,U500)/SUMIFS('TRA RESID'!$P:$P,'TRA RESID'!$I:$I,W500)*AE500</f>
        <v>#DIV/0!</v>
      </c>
      <c r="AB500" s="18">
        <v>0</v>
      </c>
      <c r="AC500" s="18">
        <v>5</v>
      </c>
      <c r="AE500" s="21">
        <v>0.98</v>
      </c>
      <c r="AG500" s="15" t="str">
        <f>IF(SUMIFS('TRA RESID'!$P:$P,'TRA RESID'!$I:$I,AK500,'TRA RESID'!$J:$J,AH500,'TRA RESID'!$H:$H,AI500)=0,"*","UC_"&amp;SUBSTITUTE(AH500,"*","")&amp;"_"&amp;RIGHT(AI500,3)&amp;"_"&amp;AJ500)</f>
        <v>*</v>
      </c>
      <c r="AH500" s="17" t="s">
        <v>487</v>
      </c>
      <c r="AI500" s="17" t="str">
        <f>_xlfn.XLOOKUP($A500,Selected_constraint!$A:$A,Selected_constraint!$B:$B)</f>
        <v>TRAGSL</v>
      </c>
      <c r="AJ500" s="17" t="str">
        <f>_xlfn.XLOOKUP($A500,Selected_constraint!$A:$A,Selected_constraint!$C:$C)</f>
        <v>TRAPASOBUDMD</v>
      </c>
      <c r="AK500" s="17" t="str">
        <f>AJ500</f>
        <v>TRAPASOBUDMD</v>
      </c>
      <c r="AL500" s="18">
        <v>2019</v>
      </c>
      <c r="AM500" s="18" t="s">
        <v>483</v>
      </c>
      <c r="AN500" s="18">
        <v>1</v>
      </c>
      <c r="AO500" s="20" t="e">
        <f>-SUMIFS('TRA RESID'!$P:$P,'TRA RESID'!$I:$I,AK500,'TRA RESID'!$J:$J,AH500,'TRA RESID'!$H:$H,AI500)/SUMIFS('TRA RESID'!$P:$P,'TRA RESID'!$I:$I,AK500)*AS500</f>
        <v>#DIV/0!</v>
      </c>
      <c r="AP500" s="18">
        <v>0</v>
      </c>
      <c r="AQ500" s="18">
        <v>5</v>
      </c>
      <c r="AS500" s="21">
        <v>0.98</v>
      </c>
      <c r="AU500" s="15" t="str">
        <f>IF(SUMIFS('TRA RESID'!$P:$P,'TRA RESID'!$I:$I,AY500,'TRA RESID'!$J:$J,AV500,'TRA RESID'!$H:$H,AW500)=0,"*","UC_"&amp;SUBSTITUTE(AV500,"*","")&amp;"_"&amp;RIGHT(AW500,3)&amp;"_"&amp;AX500)</f>
        <v>*</v>
      </c>
      <c r="AV500" s="17" t="s">
        <v>488</v>
      </c>
      <c r="AW500" s="17" t="str">
        <f>_xlfn.XLOOKUP($A500,Selected_constraint!$A:$A,Selected_constraint!$B:$B)</f>
        <v>TRAGSL</v>
      </c>
      <c r="AX500" s="17" t="str">
        <f>_xlfn.XLOOKUP($A500,Selected_constraint!$A:$A,Selected_constraint!$C:$C)</f>
        <v>TRAPASOBUDMD</v>
      </c>
      <c r="AY500" s="17" t="str">
        <f>AX500</f>
        <v>TRAPASOBUDMD</v>
      </c>
      <c r="AZ500" s="18">
        <v>2019</v>
      </c>
      <c r="BA500" s="18" t="s">
        <v>483</v>
      </c>
      <c r="BB500" s="18">
        <v>1</v>
      </c>
      <c r="BC500" s="20" t="e">
        <f>-SUMIFS('TRA RESID'!$P:$P,'TRA RESID'!$I:$I,AY500,'TRA RESID'!$J:$J,AV500,'TRA RESID'!$H:$H,AW500)/SUMIFS('TRA RESID'!$P:$P,'TRA RESID'!$I:$I,AY500)*BG500</f>
        <v>#DIV/0!</v>
      </c>
      <c r="BD500" s="18">
        <v>0</v>
      </c>
      <c r="BE500" s="18">
        <v>5</v>
      </c>
      <c r="BG500" s="21">
        <v>0.98</v>
      </c>
    </row>
    <row r="501" spans="1:59" x14ac:dyDescent="0.25">
      <c r="C501" s="15" t="str">
        <f>IF(C500="*",C500,"")</f>
        <v>*</v>
      </c>
      <c r="D501" s="17" t="str">
        <f t="shared" ref="D501:G504" si="396">D500</f>
        <v>*ICEV*</v>
      </c>
      <c r="E501" s="17" t="str">
        <f t="shared" si="396"/>
        <v>TRAGSL</v>
      </c>
      <c r="F501" s="17" t="str">
        <f t="shared" si="396"/>
        <v>TRAPASOBUDMD</v>
      </c>
      <c r="G501" s="17" t="str">
        <f t="shared" si="396"/>
        <v>TRAPASOBUDMD</v>
      </c>
      <c r="H501" s="18">
        <v>2025</v>
      </c>
      <c r="I501" s="18" t="str">
        <f>I500</f>
        <v>LO</v>
      </c>
      <c r="J501" s="18"/>
      <c r="K501" s="20" t="e">
        <f>-SUMIFS('TRA RESID'!$P:$P,'TRA RESID'!$I:$I,G501,'TRA RESID'!$J:$J,D501,'TRA RESID'!$H:$H,E501)/SUMIFS('TRA RESID'!$P:$P,'TRA RESID'!$I:$I,G501)*O501</f>
        <v>#DIV/0!</v>
      </c>
      <c r="L501" s="18"/>
      <c r="M501" s="18"/>
      <c r="O501" s="21">
        <v>0.8</v>
      </c>
      <c r="S501" s="15" t="str">
        <f>IF(S500="*",S500,"")</f>
        <v>*</v>
      </c>
      <c r="T501" s="17" t="str">
        <f t="shared" ref="T501:W504" si="397">T500</f>
        <v>*BEV*</v>
      </c>
      <c r="U501" s="17" t="str">
        <f t="shared" si="397"/>
        <v>TRAGSL</v>
      </c>
      <c r="V501" s="17" t="str">
        <f t="shared" si="397"/>
        <v>TRAPASOBUDMD</v>
      </c>
      <c r="W501" s="17" t="str">
        <f t="shared" si="397"/>
        <v>TRAPASOBUDMD</v>
      </c>
      <c r="X501" s="18">
        <v>2025</v>
      </c>
      <c r="Y501" s="18" t="str">
        <f>Y500</f>
        <v>LO</v>
      </c>
      <c r="Z501" s="18"/>
      <c r="AA501" s="20" t="e">
        <f>-SUMIFS('TRA RESID'!$P:$P,'TRA RESID'!$I:$I,W501,'TRA RESID'!$J:$J,T501,'TRA RESID'!$H:$H,U501)/SUMIFS('TRA RESID'!$P:$P,'TRA RESID'!$I:$I,W501)*AE501</f>
        <v>#DIV/0!</v>
      </c>
      <c r="AB501" s="18"/>
      <c r="AC501" s="18"/>
      <c r="AE501" s="21">
        <v>1</v>
      </c>
      <c r="AG501" s="15" t="str">
        <f>IF(AG500="*",AG500,"")</f>
        <v>*</v>
      </c>
      <c r="AH501" s="17" t="str">
        <f t="shared" ref="AH501:AK504" si="398">AH500</f>
        <v>*HEV*</v>
      </c>
      <c r="AI501" s="17" t="str">
        <f t="shared" si="398"/>
        <v>TRAGSL</v>
      </c>
      <c r="AJ501" s="17" t="str">
        <f t="shared" si="398"/>
        <v>TRAPASOBUDMD</v>
      </c>
      <c r="AK501" s="17" t="str">
        <f t="shared" si="398"/>
        <v>TRAPASOBUDMD</v>
      </c>
      <c r="AL501" s="18">
        <v>2025</v>
      </c>
      <c r="AM501" s="18" t="str">
        <f>AM500</f>
        <v>LO</v>
      </c>
      <c r="AN501" s="18"/>
      <c r="AO501" s="20" t="e">
        <f>-SUMIFS('TRA RESID'!$P:$P,'TRA RESID'!$I:$I,AK501,'TRA RESID'!$J:$J,AH501,'TRA RESID'!$H:$H,AI501)/SUMIFS('TRA RESID'!$P:$P,'TRA RESID'!$I:$I,AK501)*AS501</f>
        <v>#DIV/0!</v>
      </c>
      <c r="AP501" s="18"/>
      <c r="AQ501" s="18"/>
      <c r="AS501" s="21">
        <v>0.8</v>
      </c>
      <c r="AU501" s="15" t="str">
        <f>IF(AU500="*",AU500,"")</f>
        <v>*</v>
      </c>
      <c r="AV501" s="17" t="str">
        <f t="shared" ref="AV501:AY504" si="399">AV500</f>
        <v>*FCEV*</v>
      </c>
      <c r="AW501" s="17" t="str">
        <f t="shared" si="399"/>
        <v>TRAGSL</v>
      </c>
      <c r="AX501" s="17" t="str">
        <f t="shared" si="399"/>
        <v>TRAPASOBUDMD</v>
      </c>
      <c r="AY501" s="17" t="str">
        <f t="shared" si="399"/>
        <v>TRAPASOBUDMD</v>
      </c>
      <c r="AZ501" s="18">
        <v>2025</v>
      </c>
      <c r="BA501" s="18" t="str">
        <f>BA500</f>
        <v>LO</v>
      </c>
      <c r="BB501" s="18"/>
      <c r="BC501" s="20" t="e">
        <f>-SUMIFS('TRA RESID'!$P:$P,'TRA RESID'!$I:$I,AY501,'TRA RESID'!$J:$J,AV501,'TRA RESID'!$H:$H,AW501)/SUMIFS('TRA RESID'!$P:$P,'TRA RESID'!$I:$I,AY501)*BG501</f>
        <v>#DIV/0!</v>
      </c>
      <c r="BD501" s="18"/>
      <c r="BE501" s="18"/>
      <c r="BG501" s="21">
        <v>0.8</v>
      </c>
    </row>
    <row r="502" spans="1:59" x14ac:dyDescent="0.25">
      <c r="C502" s="15" t="str">
        <f>IF(C501="*",C501,"")</f>
        <v>*</v>
      </c>
      <c r="D502" s="17" t="str">
        <f t="shared" si="396"/>
        <v>*ICEV*</v>
      </c>
      <c r="E502" s="17" t="str">
        <f t="shared" si="396"/>
        <v>TRAGSL</v>
      </c>
      <c r="F502" s="17" t="str">
        <f t="shared" si="396"/>
        <v>TRAPASOBUDMD</v>
      </c>
      <c r="G502" s="17" t="str">
        <f t="shared" si="396"/>
        <v>TRAPASOBUDMD</v>
      </c>
      <c r="H502" s="18">
        <v>2030</v>
      </c>
      <c r="I502" s="18" t="str">
        <f>I501</f>
        <v>LO</v>
      </c>
      <c r="J502" s="18"/>
      <c r="K502" s="20" t="e">
        <f>-SUMIFS('TRA RESID'!$P:$P,'TRA RESID'!$I:$I,G502,'TRA RESID'!$J:$J,D502,'TRA RESID'!$H:$H,E502)/SUMIFS('TRA RESID'!$P:$P,'TRA RESID'!$I:$I,G502)*O502</f>
        <v>#DIV/0!</v>
      </c>
      <c r="L502" s="18"/>
      <c r="M502" s="18"/>
      <c r="O502" s="21">
        <v>0.5</v>
      </c>
      <c r="S502" s="15" t="str">
        <f>IF(S501="*",S501,"")</f>
        <v>*</v>
      </c>
      <c r="T502" s="17" t="str">
        <f t="shared" si="397"/>
        <v>*BEV*</v>
      </c>
      <c r="U502" s="17" t="str">
        <f t="shared" si="397"/>
        <v>TRAGSL</v>
      </c>
      <c r="V502" s="17" t="str">
        <f t="shared" si="397"/>
        <v>TRAPASOBUDMD</v>
      </c>
      <c r="W502" s="17" t="str">
        <f t="shared" si="397"/>
        <v>TRAPASOBUDMD</v>
      </c>
      <c r="X502" s="18">
        <v>2030</v>
      </c>
      <c r="Y502" s="18" t="str">
        <f>Y501</f>
        <v>LO</v>
      </c>
      <c r="Z502" s="18"/>
      <c r="AA502" s="20" t="e">
        <f>-SUMIFS('TRA RESID'!$P:$P,'TRA RESID'!$I:$I,W502,'TRA RESID'!$J:$J,T502,'TRA RESID'!$H:$H,U502)/SUMIFS('TRA RESID'!$P:$P,'TRA RESID'!$I:$I,W502)*AE502</f>
        <v>#DIV/0!</v>
      </c>
      <c r="AB502" s="18"/>
      <c r="AC502" s="18"/>
      <c r="AE502" s="21">
        <v>1</v>
      </c>
      <c r="AG502" s="15" t="str">
        <f>IF(AG501="*",AG501,"")</f>
        <v>*</v>
      </c>
      <c r="AH502" s="17" t="str">
        <f t="shared" si="398"/>
        <v>*HEV*</v>
      </c>
      <c r="AI502" s="17" t="str">
        <f t="shared" si="398"/>
        <v>TRAGSL</v>
      </c>
      <c r="AJ502" s="17" t="str">
        <f t="shared" si="398"/>
        <v>TRAPASOBUDMD</v>
      </c>
      <c r="AK502" s="17" t="str">
        <f t="shared" si="398"/>
        <v>TRAPASOBUDMD</v>
      </c>
      <c r="AL502" s="18">
        <v>2030</v>
      </c>
      <c r="AM502" s="18" t="str">
        <f>AM501</f>
        <v>LO</v>
      </c>
      <c r="AN502" s="18"/>
      <c r="AO502" s="20" t="e">
        <f>-SUMIFS('TRA RESID'!$P:$P,'TRA RESID'!$I:$I,AK502,'TRA RESID'!$J:$J,AH502,'TRA RESID'!$H:$H,AI502)/SUMIFS('TRA RESID'!$P:$P,'TRA RESID'!$I:$I,AK502)*AS502</f>
        <v>#DIV/0!</v>
      </c>
      <c r="AP502" s="18"/>
      <c r="AQ502" s="18"/>
      <c r="AS502" s="21">
        <v>0.5</v>
      </c>
      <c r="AU502" s="15" t="str">
        <f>IF(AU501="*",AU501,"")</f>
        <v>*</v>
      </c>
      <c r="AV502" s="17" t="str">
        <f t="shared" si="399"/>
        <v>*FCEV*</v>
      </c>
      <c r="AW502" s="17" t="str">
        <f t="shared" si="399"/>
        <v>TRAGSL</v>
      </c>
      <c r="AX502" s="17" t="str">
        <f t="shared" si="399"/>
        <v>TRAPASOBUDMD</v>
      </c>
      <c r="AY502" s="17" t="str">
        <f t="shared" si="399"/>
        <v>TRAPASOBUDMD</v>
      </c>
      <c r="AZ502" s="18">
        <v>2030</v>
      </c>
      <c r="BA502" s="18" t="str">
        <f>BA501</f>
        <v>LO</v>
      </c>
      <c r="BB502" s="18"/>
      <c r="BC502" s="20" t="e">
        <f>-SUMIFS('TRA RESID'!$P:$P,'TRA RESID'!$I:$I,AY502,'TRA RESID'!$J:$J,AV502,'TRA RESID'!$H:$H,AW502)/SUMIFS('TRA RESID'!$P:$P,'TRA RESID'!$I:$I,AY502)*BG502</f>
        <v>#DIV/0!</v>
      </c>
      <c r="BD502" s="18"/>
      <c r="BE502" s="18"/>
      <c r="BG502" s="21">
        <v>0.5</v>
      </c>
    </row>
    <row r="503" spans="1:59" x14ac:dyDescent="0.25">
      <c r="C503" s="15" t="str">
        <f>IF(C502="*",C502,"")</f>
        <v>*</v>
      </c>
      <c r="D503" s="17" t="str">
        <f t="shared" si="396"/>
        <v>*ICEV*</v>
      </c>
      <c r="E503" s="17" t="str">
        <f t="shared" si="396"/>
        <v>TRAGSL</v>
      </c>
      <c r="F503" s="17" t="str">
        <f t="shared" si="396"/>
        <v>TRAPASOBUDMD</v>
      </c>
      <c r="G503" s="17" t="str">
        <f t="shared" si="396"/>
        <v>TRAPASOBUDMD</v>
      </c>
      <c r="H503" s="18">
        <v>2040</v>
      </c>
      <c r="I503" s="18" t="str">
        <f>I502</f>
        <v>LO</v>
      </c>
      <c r="J503" s="18"/>
      <c r="K503" s="20" t="e">
        <f>-SUMIFS('TRA RESID'!$P:$P,'TRA RESID'!$I:$I,G503,'TRA RESID'!$J:$J,D503,'TRA RESID'!$H:$H,E503)/SUMIFS('TRA RESID'!$P:$P,'TRA RESID'!$I:$I,G503)*O503</f>
        <v>#DIV/0!</v>
      </c>
      <c r="L503" s="18"/>
      <c r="M503" s="18"/>
      <c r="O503" s="21">
        <v>0</v>
      </c>
      <c r="S503" s="15" t="str">
        <f>IF(S502="*",S502,"")</f>
        <v>*</v>
      </c>
      <c r="T503" s="17" t="str">
        <f t="shared" si="397"/>
        <v>*BEV*</v>
      </c>
      <c r="U503" s="17" t="str">
        <f t="shared" si="397"/>
        <v>TRAGSL</v>
      </c>
      <c r="V503" s="17" t="str">
        <f t="shared" si="397"/>
        <v>TRAPASOBUDMD</v>
      </c>
      <c r="W503" s="17" t="str">
        <f t="shared" si="397"/>
        <v>TRAPASOBUDMD</v>
      </c>
      <c r="X503" s="18">
        <v>2040</v>
      </c>
      <c r="Y503" s="18" t="str">
        <f>Y502</f>
        <v>LO</v>
      </c>
      <c r="Z503" s="18"/>
      <c r="AA503" s="20" t="e">
        <f>-SUMIFS('TRA RESID'!$P:$P,'TRA RESID'!$I:$I,W503,'TRA RESID'!$J:$J,T503,'TRA RESID'!$H:$H,U503)/SUMIFS('TRA RESID'!$P:$P,'TRA RESID'!$I:$I,W503)*AE503</f>
        <v>#DIV/0!</v>
      </c>
      <c r="AB503" s="18"/>
      <c r="AC503" s="18"/>
      <c r="AE503" s="21">
        <v>1</v>
      </c>
      <c r="AG503" s="15" t="str">
        <f>IF(AG502="*",AG502,"")</f>
        <v>*</v>
      </c>
      <c r="AH503" s="17" t="str">
        <f t="shared" si="398"/>
        <v>*HEV*</v>
      </c>
      <c r="AI503" s="17" t="str">
        <f t="shared" si="398"/>
        <v>TRAGSL</v>
      </c>
      <c r="AJ503" s="17" t="str">
        <f t="shared" si="398"/>
        <v>TRAPASOBUDMD</v>
      </c>
      <c r="AK503" s="17" t="str">
        <f t="shared" si="398"/>
        <v>TRAPASOBUDMD</v>
      </c>
      <c r="AL503" s="18">
        <v>2040</v>
      </c>
      <c r="AM503" s="18" t="str">
        <f>AM502</f>
        <v>LO</v>
      </c>
      <c r="AN503" s="18"/>
      <c r="AO503" s="20" t="e">
        <f>-SUMIFS('TRA RESID'!$P:$P,'TRA RESID'!$I:$I,AK503,'TRA RESID'!$J:$J,AH503,'TRA RESID'!$H:$H,AI503)/SUMIFS('TRA RESID'!$P:$P,'TRA RESID'!$I:$I,AK503)*AS503</f>
        <v>#DIV/0!</v>
      </c>
      <c r="AP503" s="18"/>
      <c r="AQ503" s="18"/>
      <c r="AS503" s="21">
        <v>0</v>
      </c>
      <c r="AU503" s="15" t="str">
        <f>IF(AU502="*",AU502,"")</f>
        <v>*</v>
      </c>
      <c r="AV503" s="17" t="str">
        <f t="shared" si="399"/>
        <v>*FCEV*</v>
      </c>
      <c r="AW503" s="17" t="str">
        <f t="shared" si="399"/>
        <v>TRAGSL</v>
      </c>
      <c r="AX503" s="17" t="str">
        <f t="shared" si="399"/>
        <v>TRAPASOBUDMD</v>
      </c>
      <c r="AY503" s="17" t="str">
        <f t="shared" si="399"/>
        <v>TRAPASOBUDMD</v>
      </c>
      <c r="AZ503" s="18">
        <v>2040</v>
      </c>
      <c r="BA503" s="18" t="str">
        <f>BA502</f>
        <v>LO</v>
      </c>
      <c r="BB503" s="18"/>
      <c r="BC503" s="20" t="e">
        <f>-SUMIFS('TRA RESID'!$P:$P,'TRA RESID'!$I:$I,AY503,'TRA RESID'!$J:$J,AV503,'TRA RESID'!$H:$H,AW503)/SUMIFS('TRA RESID'!$P:$P,'TRA RESID'!$I:$I,AY503)*BG503</f>
        <v>#DIV/0!</v>
      </c>
      <c r="BD503" s="18"/>
      <c r="BE503" s="18"/>
      <c r="BG503" s="21">
        <v>0</v>
      </c>
    </row>
    <row r="504" spans="1:59" x14ac:dyDescent="0.25">
      <c r="C504" s="23" t="str">
        <f>IF(C503="*",C503,"")</f>
        <v>*</v>
      </c>
      <c r="D504" s="25" t="str">
        <f t="shared" si="396"/>
        <v>*ICEV*</v>
      </c>
      <c r="E504" s="25" t="str">
        <f t="shared" si="396"/>
        <v>TRAGSL</v>
      </c>
      <c r="F504" s="25" t="str">
        <f t="shared" si="396"/>
        <v>TRAPASOBUDMD</v>
      </c>
      <c r="G504" s="25" t="str">
        <f t="shared" si="396"/>
        <v>TRAPASOBUDMD</v>
      </c>
      <c r="H504" s="26">
        <v>2050</v>
      </c>
      <c r="I504" s="26" t="str">
        <f>I502</f>
        <v>LO</v>
      </c>
      <c r="J504" s="26"/>
      <c r="K504" s="27" t="e">
        <f>-SUMIFS('TRA RESID'!$P:$P,'TRA RESID'!$I:$I,G504,'TRA RESID'!$J:$J,D504,'TRA RESID'!$H:$H,E504)/SUMIFS('TRA RESID'!$P:$P,'TRA RESID'!$I:$I,G504)*O504</f>
        <v>#DIV/0!</v>
      </c>
      <c r="L504" s="26"/>
      <c r="M504" s="26"/>
      <c r="O504" s="28">
        <v>0</v>
      </c>
      <c r="S504" s="23" t="str">
        <f>IF(S503="*",S503,"")</f>
        <v>*</v>
      </c>
      <c r="T504" s="25" t="str">
        <f t="shared" si="397"/>
        <v>*BEV*</v>
      </c>
      <c r="U504" s="25" t="str">
        <f t="shared" si="397"/>
        <v>TRAGSL</v>
      </c>
      <c r="V504" s="25" t="str">
        <f t="shared" si="397"/>
        <v>TRAPASOBUDMD</v>
      </c>
      <c r="W504" s="25" t="str">
        <f t="shared" si="397"/>
        <v>TRAPASOBUDMD</v>
      </c>
      <c r="X504" s="26">
        <v>2050</v>
      </c>
      <c r="Y504" s="26" t="str">
        <f>Y502</f>
        <v>LO</v>
      </c>
      <c r="Z504" s="26"/>
      <c r="AA504" s="27" t="e">
        <f>-SUMIFS('TRA RESID'!$P:$P,'TRA RESID'!$I:$I,W504,'TRA RESID'!$J:$J,T504,'TRA RESID'!$H:$H,U504)/SUMIFS('TRA RESID'!$P:$P,'TRA RESID'!$I:$I,W504)*AE504</f>
        <v>#DIV/0!</v>
      </c>
      <c r="AB504" s="26"/>
      <c r="AC504" s="26"/>
      <c r="AE504" s="28">
        <v>1</v>
      </c>
      <c r="AG504" s="23" t="str">
        <f>IF(AG503="*",AG503,"")</f>
        <v>*</v>
      </c>
      <c r="AH504" s="25" t="str">
        <f t="shared" si="398"/>
        <v>*HEV*</v>
      </c>
      <c r="AI504" s="25" t="str">
        <f t="shared" si="398"/>
        <v>TRAGSL</v>
      </c>
      <c r="AJ504" s="25" t="str">
        <f t="shared" si="398"/>
        <v>TRAPASOBUDMD</v>
      </c>
      <c r="AK504" s="25" t="str">
        <f t="shared" si="398"/>
        <v>TRAPASOBUDMD</v>
      </c>
      <c r="AL504" s="26">
        <v>2050</v>
      </c>
      <c r="AM504" s="26" t="str">
        <f>AM502</f>
        <v>LO</v>
      </c>
      <c r="AN504" s="26"/>
      <c r="AO504" s="27" t="e">
        <f>-SUMIFS('TRA RESID'!$P:$P,'TRA RESID'!$I:$I,AK504,'TRA RESID'!$J:$J,AH504,'TRA RESID'!$H:$H,AI504)/SUMIFS('TRA RESID'!$P:$P,'TRA RESID'!$I:$I,AK504)*AS504</f>
        <v>#DIV/0!</v>
      </c>
      <c r="AP504" s="26"/>
      <c r="AQ504" s="26"/>
      <c r="AS504" s="28">
        <v>0</v>
      </c>
      <c r="AU504" s="23" t="str">
        <f>IF(AU503="*",AU503,"")</f>
        <v>*</v>
      </c>
      <c r="AV504" s="25" t="str">
        <f t="shared" si="399"/>
        <v>*FCEV*</v>
      </c>
      <c r="AW504" s="25" t="str">
        <f t="shared" si="399"/>
        <v>TRAGSL</v>
      </c>
      <c r="AX504" s="25" t="str">
        <f t="shared" si="399"/>
        <v>TRAPASOBUDMD</v>
      </c>
      <c r="AY504" s="25" t="str">
        <f t="shared" si="399"/>
        <v>TRAPASOBUDMD</v>
      </c>
      <c r="AZ504" s="26">
        <v>2050</v>
      </c>
      <c r="BA504" s="26" t="str">
        <f>BA502</f>
        <v>LO</v>
      </c>
      <c r="BB504" s="26"/>
      <c r="BC504" s="27" t="e">
        <f>-SUMIFS('TRA RESID'!$P:$P,'TRA RESID'!$I:$I,AY504,'TRA RESID'!$J:$J,AV504,'TRA RESID'!$H:$H,AW504)/SUMIFS('TRA RESID'!$P:$P,'TRA RESID'!$I:$I,AY504)*BG504</f>
        <v>#DIV/0!</v>
      </c>
      <c r="BD504" s="26"/>
      <c r="BE504" s="26"/>
      <c r="BG504" s="28">
        <v>0</v>
      </c>
    </row>
    <row r="505" spans="1:59" x14ac:dyDescent="0.25">
      <c r="A505">
        <f>A500+1</f>
        <v>101</v>
      </c>
      <c r="C505" s="15" t="str">
        <f>IF(E505="","",IF(_xlfn.XLOOKUP($A505,Selected_constraint!$A:$A,Selected_constraint!$D:$D)=1,"*",IF(SUMIFS('TRA TECH'!$M:$M,'TRA TECH'!$H:$H,E505,'TRA TECH'!$I:$I,F505)=0,"*",IF(SUMIFS('TRA RESID'!$P:$P,'TRA RESID'!$I:$I,G505,'TRA RESID'!$J:$J,D505,'TRA RESID'!$H:$H,E505)=0,"*","UC_"&amp;SUBSTITUTE(D505,"*","")&amp;"_"&amp;RIGHT(E505,3)&amp;"_"&amp;F505))))</f>
        <v>*</v>
      </c>
      <c r="D505" s="17" t="s">
        <v>485</v>
      </c>
      <c r="E505" s="17" t="str">
        <f>_xlfn.XLOOKUP($A505,Selected_constraint!$A:$A,Selected_constraint!$B:$B)</f>
        <v>TRAETH</v>
      </c>
      <c r="F505" s="17" t="str">
        <f>_xlfn.XLOOKUP($A505,Selected_constraint!$A:$A,Selected_constraint!$C:$C)</f>
        <v>TRAPASOBUDMD</v>
      </c>
      <c r="G505" s="17" t="str">
        <f>F505</f>
        <v>TRAPASOBUDMD</v>
      </c>
      <c r="H505" s="18">
        <v>2019</v>
      </c>
      <c r="I505" s="18" t="s">
        <v>483</v>
      </c>
      <c r="J505" s="18">
        <v>1</v>
      </c>
      <c r="K505" s="20" t="e">
        <f>-SUMIFS('TRA RESID'!$P:$P,'TRA RESID'!$I:$I,G505,'TRA RESID'!$J:$J,D505,'TRA RESID'!$H:$H,E505)/SUMIFS('TRA RESID'!$P:$P,'TRA RESID'!$I:$I,G505)*O505</f>
        <v>#DIV/0!</v>
      </c>
      <c r="L505" s="18">
        <v>0</v>
      </c>
      <c r="M505" s="18">
        <v>5</v>
      </c>
      <c r="O505" s="21">
        <v>0.98</v>
      </c>
      <c r="Q505">
        <f>Q500+1</f>
        <v>101</v>
      </c>
      <c r="S505" s="15" t="str">
        <f>IF(SUMIFS('TRA RESID'!$P:$P,'TRA RESID'!$I:$I,W505,'TRA RESID'!$J:$J,T505,'TRA RESID'!$H:$H,U505)=0,"*","UC_"&amp;SUBSTITUTE(T505,"*","")&amp;"_"&amp;RIGHT(U505,3)&amp;"_"&amp;V505)</f>
        <v>*</v>
      </c>
      <c r="T505" s="17" t="s">
        <v>486</v>
      </c>
      <c r="U505" s="17" t="str">
        <f>_xlfn.XLOOKUP($A505,Selected_constraint!$A:$A,Selected_constraint!$B:$B)</f>
        <v>TRAETH</v>
      </c>
      <c r="V505" s="17" t="str">
        <f>_xlfn.XLOOKUP($A505,Selected_constraint!$A:$A,Selected_constraint!$C:$C)</f>
        <v>TRAPASOBUDMD</v>
      </c>
      <c r="W505" s="17" t="str">
        <f>V505</f>
        <v>TRAPASOBUDMD</v>
      </c>
      <c r="X505" s="18">
        <v>2019</v>
      </c>
      <c r="Y505" s="18" t="s">
        <v>483</v>
      </c>
      <c r="Z505" s="18">
        <v>1</v>
      </c>
      <c r="AA505" s="20" t="e">
        <f>-SUMIFS('TRA RESID'!$P:$P,'TRA RESID'!$I:$I,W505,'TRA RESID'!$J:$J,T505,'TRA RESID'!$H:$H,U505)/SUMIFS('TRA RESID'!$P:$P,'TRA RESID'!$I:$I,W505)*AE505</f>
        <v>#DIV/0!</v>
      </c>
      <c r="AB505" s="18">
        <v>0</v>
      </c>
      <c r="AC505" s="18">
        <v>5</v>
      </c>
      <c r="AE505" s="21">
        <v>0.98</v>
      </c>
      <c r="AG505" s="15" t="str">
        <f>IF(SUMIFS('TRA RESID'!$P:$P,'TRA RESID'!$I:$I,AK505,'TRA RESID'!$J:$J,AH505,'TRA RESID'!$H:$H,AI505)=0,"*","UC_"&amp;SUBSTITUTE(AH505,"*","")&amp;"_"&amp;RIGHT(AI505,3)&amp;"_"&amp;AJ505)</f>
        <v>*</v>
      </c>
      <c r="AH505" s="17" t="s">
        <v>487</v>
      </c>
      <c r="AI505" s="17" t="str">
        <f>_xlfn.XLOOKUP($A505,Selected_constraint!$A:$A,Selected_constraint!$B:$B)</f>
        <v>TRAETH</v>
      </c>
      <c r="AJ505" s="17" t="str">
        <f>_xlfn.XLOOKUP($A505,Selected_constraint!$A:$A,Selected_constraint!$C:$C)</f>
        <v>TRAPASOBUDMD</v>
      </c>
      <c r="AK505" s="17" t="str">
        <f>AJ505</f>
        <v>TRAPASOBUDMD</v>
      </c>
      <c r="AL505" s="18">
        <v>2019</v>
      </c>
      <c r="AM505" s="18" t="s">
        <v>483</v>
      </c>
      <c r="AN505" s="18">
        <v>1</v>
      </c>
      <c r="AO505" s="20" t="e">
        <f>-SUMIFS('TRA RESID'!$P:$P,'TRA RESID'!$I:$I,AK505,'TRA RESID'!$J:$J,AH505,'TRA RESID'!$H:$H,AI505)/SUMIFS('TRA RESID'!$P:$P,'TRA RESID'!$I:$I,AK505)*AS505</f>
        <v>#DIV/0!</v>
      </c>
      <c r="AP505" s="18">
        <v>0</v>
      </c>
      <c r="AQ505" s="18">
        <v>5</v>
      </c>
      <c r="AS505" s="21">
        <v>0.98</v>
      </c>
      <c r="AU505" s="15" t="str">
        <f>IF(SUMIFS('TRA RESID'!$P:$P,'TRA RESID'!$I:$I,AY505,'TRA RESID'!$J:$J,AV505,'TRA RESID'!$H:$H,AW505)=0,"*","UC_"&amp;SUBSTITUTE(AV505,"*","")&amp;"_"&amp;RIGHT(AW505,3)&amp;"_"&amp;AX505)</f>
        <v>*</v>
      </c>
      <c r="AV505" s="17" t="s">
        <v>488</v>
      </c>
      <c r="AW505" s="17" t="str">
        <f>_xlfn.XLOOKUP($A505,Selected_constraint!$A:$A,Selected_constraint!$B:$B)</f>
        <v>TRAETH</v>
      </c>
      <c r="AX505" s="17" t="str">
        <f>_xlfn.XLOOKUP($A505,Selected_constraint!$A:$A,Selected_constraint!$C:$C)</f>
        <v>TRAPASOBUDMD</v>
      </c>
      <c r="AY505" s="17" t="str">
        <f>AX505</f>
        <v>TRAPASOBUDMD</v>
      </c>
      <c r="AZ505" s="18">
        <v>2019</v>
      </c>
      <c r="BA505" s="18" t="s">
        <v>483</v>
      </c>
      <c r="BB505" s="18">
        <v>1</v>
      </c>
      <c r="BC505" s="20" t="e">
        <f>-SUMIFS('TRA RESID'!$P:$P,'TRA RESID'!$I:$I,AY505,'TRA RESID'!$J:$J,AV505,'TRA RESID'!$H:$H,AW505)/SUMIFS('TRA RESID'!$P:$P,'TRA RESID'!$I:$I,AY505)*BG505</f>
        <v>#DIV/0!</v>
      </c>
      <c r="BD505" s="18">
        <v>0</v>
      </c>
      <c r="BE505" s="18">
        <v>5</v>
      </c>
      <c r="BG505" s="21">
        <v>0.98</v>
      </c>
    </row>
    <row r="506" spans="1:59" x14ac:dyDescent="0.25">
      <c r="C506" s="15" t="str">
        <f>IF(C505="*",C505,"")</f>
        <v>*</v>
      </c>
      <c r="D506" s="17" t="str">
        <f t="shared" ref="D506:G509" si="400">D505</f>
        <v>*ICEV*</v>
      </c>
      <c r="E506" s="17" t="str">
        <f t="shared" si="400"/>
        <v>TRAETH</v>
      </c>
      <c r="F506" s="17" t="str">
        <f t="shared" si="400"/>
        <v>TRAPASOBUDMD</v>
      </c>
      <c r="G506" s="17" t="str">
        <f t="shared" si="400"/>
        <v>TRAPASOBUDMD</v>
      </c>
      <c r="H506" s="18">
        <v>2025</v>
      </c>
      <c r="I506" s="18" t="str">
        <f>I505</f>
        <v>LO</v>
      </c>
      <c r="J506" s="18"/>
      <c r="K506" s="20" t="e">
        <f>-SUMIFS('TRA RESID'!$P:$P,'TRA RESID'!$I:$I,G506,'TRA RESID'!$J:$J,D506,'TRA RESID'!$H:$H,E506)/SUMIFS('TRA RESID'!$P:$P,'TRA RESID'!$I:$I,G506)*O506</f>
        <v>#DIV/0!</v>
      </c>
      <c r="L506" s="18"/>
      <c r="M506" s="18"/>
      <c r="O506" s="21">
        <v>0.8</v>
      </c>
      <c r="S506" s="15" t="str">
        <f>IF(S505="*",S505,"")</f>
        <v>*</v>
      </c>
      <c r="T506" s="17" t="str">
        <f t="shared" ref="T506:W509" si="401">T505</f>
        <v>*BEV*</v>
      </c>
      <c r="U506" s="17" t="str">
        <f t="shared" si="401"/>
        <v>TRAETH</v>
      </c>
      <c r="V506" s="17" t="str">
        <f t="shared" si="401"/>
        <v>TRAPASOBUDMD</v>
      </c>
      <c r="W506" s="17" t="str">
        <f t="shared" si="401"/>
        <v>TRAPASOBUDMD</v>
      </c>
      <c r="X506" s="18">
        <v>2025</v>
      </c>
      <c r="Y506" s="18" t="str">
        <f>Y505</f>
        <v>LO</v>
      </c>
      <c r="Z506" s="18"/>
      <c r="AA506" s="20" t="e">
        <f>-SUMIFS('TRA RESID'!$P:$P,'TRA RESID'!$I:$I,W506,'TRA RESID'!$J:$J,T506,'TRA RESID'!$H:$H,U506)/SUMIFS('TRA RESID'!$P:$P,'TRA RESID'!$I:$I,W506)*AE506</f>
        <v>#DIV/0!</v>
      </c>
      <c r="AB506" s="18"/>
      <c r="AC506" s="18"/>
      <c r="AE506" s="21">
        <v>1</v>
      </c>
      <c r="AG506" s="15" t="str">
        <f>IF(AG505="*",AG505,"")</f>
        <v>*</v>
      </c>
      <c r="AH506" s="17" t="str">
        <f t="shared" ref="AH506:AK509" si="402">AH505</f>
        <v>*HEV*</v>
      </c>
      <c r="AI506" s="17" t="str">
        <f t="shared" si="402"/>
        <v>TRAETH</v>
      </c>
      <c r="AJ506" s="17" t="str">
        <f t="shared" si="402"/>
        <v>TRAPASOBUDMD</v>
      </c>
      <c r="AK506" s="17" t="str">
        <f t="shared" si="402"/>
        <v>TRAPASOBUDMD</v>
      </c>
      <c r="AL506" s="18">
        <v>2025</v>
      </c>
      <c r="AM506" s="18" t="str">
        <f>AM505</f>
        <v>LO</v>
      </c>
      <c r="AN506" s="18"/>
      <c r="AO506" s="20" t="e">
        <f>-SUMIFS('TRA RESID'!$P:$P,'TRA RESID'!$I:$I,AK506,'TRA RESID'!$J:$J,AH506,'TRA RESID'!$H:$H,AI506)/SUMIFS('TRA RESID'!$P:$P,'TRA RESID'!$I:$I,AK506)*AS506</f>
        <v>#DIV/0!</v>
      </c>
      <c r="AP506" s="18"/>
      <c r="AQ506" s="18"/>
      <c r="AS506" s="21">
        <v>0.8</v>
      </c>
      <c r="AU506" s="15" t="str">
        <f>IF(AU505="*",AU505,"")</f>
        <v>*</v>
      </c>
      <c r="AV506" s="17" t="str">
        <f t="shared" ref="AV506:AY509" si="403">AV505</f>
        <v>*FCEV*</v>
      </c>
      <c r="AW506" s="17" t="str">
        <f t="shared" si="403"/>
        <v>TRAETH</v>
      </c>
      <c r="AX506" s="17" t="str">
        <f t="shared" si="403"/>
        <v>TRAPASOBUDMD</v>
      </c>
      <c r="AY506" s="17" t="str">
        <f t="shared" si="403"/>
        <v>TRAPASOBUDMD</v>
      </c>
      <c r="AZ506" s="18">
        <v>2025</v>
      </c>
      <c r="BA506" s="18" t="str">
        <f>BA505</f>
        <v>LO</v>
      </c>
      <c r="BB506" s="18"/>
      <c r="BC506" s="20" t="e">
        <f>-SUMIFS('TRA RESID'!$P:$P,'TRA RESID'!$I:$I,AY506,'TRA RESID'!$J:$J,AV506,'TRA RESID'!$H:$H,AW506)/SUMIFS('TRA RESID'!$P:$P,'TRA RESID'!$I:$I,AY506)*BG506</f>
        <v>#DIV/0!</v>
      </c>
      <c r="BD506" s="18"/>
      <c r="BE506" s="18"/>
      <c r="BG506" s="21">
        <v>0.8</v>
      </c>
    </row>
    <row r="507" spans="1:59" x14ac:dyDescent="0.25">
      <c r="C507" s="15" t="str">
        <f>IF(C506="*",C506,"")</f>
        <v>*</v>
      </c>
      <c r="D507" s="17" t="str">
        <f t="shared" si="400"/>
        <v>*ICEV*</v>
      </c>
      <c r="E507" s="17" t="str">
        <f t="shared" si="400"/>
        <v>TRAETH</v>
      </c>
      <c r="F507" s="17" t="str">
        <f t="shared" si="400"/>
        <v>TRAPASOBUDMD</v>
      </c>
      <c r="G507" s="17" t="str">
        <f t="shared" si="400"/>
        <v>TRAPASOBUDMD</v>
      </c>
      <c r="H507" s="18">
        <v>2030</v>
      </c>
      <c r="I507" s="18" t="str">
        <f>I506</f>
        <v>LO</v>
      </c>
      <c r="J507" s="18"/>
      <c r="K507" s="20" t="e">
        <f>-SUMIFS('TRA RESID'!$P:$P,'TRA RESID'!$I:$I,G507,'TRA RESID'!$J:$J,D507,'TRA RESID'!$H:$H,E507)/SUMIFS('TRA RESID'!$P:$P,'TRA RESID'!$I:$I,G507)*O507</f>
        <v>#DIV/0!</v>
      </c>
      <c r="L507" s="18"/>
      <c r="M507" s="18"/>
      <c r="O507" s="21">
        <v>0.5</v>
      </c>
      <c r="S507" s="15" t="str">
        <f>IF(S506="*",S506,"")</f>
        <v>*</v>
      </c>
      <c r="T507" s="17" t="str">
        <f t="shared" si="401"/>
        <v>*BEV*</v>
      </c>
      <c r="U507" s="17" t="str">
        <f t="shared" si="401"/>
        <v>TRAETH</v>
      </c>
      <c r="V507" s="17" t="str">
        <f t="shared" si="401"/>
        <v>TRAPASOBUDMD</v>
      </c>
      <c r="W507" s="17" t="str">
        <f t="shared" si="401"/>
        <v>TRAPASOBUDMD</v>
      </c>
      <c r="X507" s="18">
        <v>2030</v>
      </c>
      <c r="Y507" s="18" t="str">
        <f>Y506</f>
        <v>LO</v>
      </c>
      <c r="Z507" s="18"/>
      <c r="AA507" s="20" t="e">
        <f>-SUMIFS('TRA RESID'!$P:$P,'TRA RESID'!$I:$I,W507,'TRA RESID'!$J:$J,T507,'TRA RESID'!$H:$H,U507)/SUMIFS('TRA RESID'!$P:$P,'TRA RESID'!$I:$I,W507)*AE507</f>
        <v>#DIV/0!</v>
      </c>
      <c r="AB507" s="18"/>
      <c r="AC507" s="18"/>
      <c r="AE507" s="21">
        <v>1</v>
      </c>
      <c r="AG507" s="15" t="str">
        <f>IF(AG506="*",AG506,"")</f>
        <v>*</v>
      </c>
      <c r="AH507" s="17" t="str">
        <f t="shared" si="402"/>
        <v>*HEV*</v>
      </c>
      <c r="AI507" s="17" t="str">
        <f t="shared" si="402"/>
        <v>TRAETH</v>
      </c>
      <c r="AJ507" s="17" t="str">
        <f t="shared" si="402"/>
        <v>TRAPASOBUDMD</v>
      </c>
      <c r="AK507" s="17" t="str">
        <f t="shared" si="402"/>
        <v>TRAPASOBUDMD</v>
      </c>
      <c r="AL507" s="18">
        <v>2030</v>
      </c>
      <c r="AM507" s="18" t="str">
        <f>AM506</f>
        <v>LO</v>
      </c>
      <c r="AN507" s="18"/>
      <c r="AO507" s="20" t="e">
        <f>-SUMIFS('TRA RESID'!$P:$P,'TRA RESID'!$I:$I,AK507,'TRA RESID'!$J:$J,AH507,'TRA RESID'!$H:$H,AI507)/SUMIFS('TRA RESID'!$P:$P,'TRA RESID'!$I:$I,AK507)*AS507</f>
        <v>#DIV/0!</v>
      </c>
      <c r="AP507" s="18"/>
      <c r="AQ507" s="18"/>
      <c r="AS507" s="21">
        <v>0.5</v>
      </c>
      <c r="AU507" s="15" t="str">
        <f>IF(AU506="*",AU506,"")</f>
        <v>*</v>
      </c>
      <c r="AV507" s="17" t="str">
        <f t="shared" si="403"/>
        <v>*FCEV*</v>
      </c>
      <c r="AW507" s="17" t="str">
        <f t="shared" si="403"/>
        <v>TRAETH</v>
      </c>
      <c r="AX507" s="17" t="str">
        <f t="shared" si="403"/>
        <v>TRAPASOBUDMD</v>
      </c>
      <c r="AY507" s="17" t="str">
        <f t="shared" si="403"/>
        <v>TRAPASOBUDMD</v>
      </c>
      <c r="AZ507" s="18">
        <v>2030</v>
      </c>
      <c r="BA507" s="18" t="str">
        <f>BA506</f>
        <v>LO</v>
      </c>
      <c r="BB507" s="18"/>
      <c r="BC507" s="20" t="e">
        <f>-SUMIFS('TRA RESID'!$P:$P,'TRA RESID'!$I:$I,AY507,'TRA RESID'!$J:$J,AV507,'TRA RESID'!$H:$H,AW507)/SUMIFS('TRA RESID'!$P:$P,'TRA RESID'!$I:$I,AY507)*BG507</f>
        <v>#DIV/0!</v>
      </c>
      <c r="BD507" s="18"/>
      <c r="BE507" s="18"/>
      <c r="BG507" s="21">
        <v>0.5</v>
      </c>
    </row>
    <row r="508" spans="1:59" x14ac:dyDescent="0.25">
      <c r="C508" s="15" t="str">
        <f>IF(C507="*",C507,"")</f>
        <v>*</v>
      </c>
      <c r="D508" s="17" t="str">
        <f t="shared" si="400"/>
        <v>*ICEV*</v>
      </c>
      <c r="E508" s="17" t="str">
        <f t="shared" si="400"/>
        <v>TRAETH</v>
      </c>
      <c r="F508" s="17" t="str">
        <f t="shared" si="400"/>
        <v>TRAPASOBUDMD</v>
      </c>
      <c r="G508" s="17" t="str">
        <f t="shared" si="400"/>
        <v>TRAPASOBUDMD</v>
      </c>
      <c r="H508" s="18">
        <v>2040</v>
      </c>
      <c r="I508" s="18" t="str">
        <f>I507</f>
        <v>LO</v>
      </c>
      <c r="J508" s="18"/>
      <c r="K508" s="20" t="e">
        <f>-SUMIFS('TRA RESID'!$P:$P,'TRA RESID'!$I:$I,G508,'TRA RESID'!$J:$J,D508,'TRA RESID'!$H:$H,E508)/SUMIFS('TRA RESID'!$P:$P,'TRA RESID'!$I:$I,G508)*O508</f>
        <v>#DIV/0!</v>
      </c>
      <c r="L508" s="18"/>
      <c r="M508" s="18"/>
      <c r="O508" s="21">
        <v>0</v>
      </c>
      <c r="S508" s="15" t="str">
        <f>IF(S507="*",S507,"")</f>
        <v>*</v>
      </c>
      <c r="T508" s="17" t="str">
        <f t="shared" si="401"/>
        <v>*BEV*</v>
      </c>
      <c r="U508" s="17" t="str">
        <f t="shared" si="401"/>
        <v>TRAETH</v>
      </c>
      <c r="V508" s="17" t="str">
        <f t="shared" si="401"/>
        <v>TRAPASOBUDMD</v>
      </c>
      <c r="W508" s="17" t="str">
        <f t="shared" si="401"/>
        <v>TRAPASOBUDMD</v>
      </c>
      <c r="X508" s="18">
        <v>2040</v>
      </c>
      <c r="Y508" s="18" t="str">
        <f>Y507</f>
        <v>LO</v>
      </c>
      <c r="Z508" s="18"/>
      <c r="AA508" s="20" t="e">
        <f>-SUMIFS('TRA RESID'!$P:$P,'TRA RESID'!$I:$I,W508,'TRA RESID'!$J:$J,T508,'TRA RESID'!$H:$H,U508)/SUMIFS('TRA RESID'!$P:$P,'TRA RESID'!$I:$I,W508)*AE508</f>
        <v>#DIV/0!</v>
      </c>
      <c r="AB508" s="18"/>
      <c r="AC508" s="18"/>
      <c r="AE508" s="21">
        <v>1</v>
      </c>
      <c r="AG508" s="15" t="str">
        <f>IF(AG507="*",AG507,"")</f>
        <v>*</v>
      </c>
      <c r="AH508" s="17" t="str">
        <f t="shared" si="402"/>
        <v>*HEV*</v>
      </c>
      <c r="AI508" s="17" t="str">
        <f t="shared" si="402"/>
        <v>TRAETH</v>
      </c>
      <c r="AJ508" s="17" t="str">
        <f t="shared" si="402"/>
        <v>TRAPASOBUDMD</v>
      </c>
      <c r="AK508" s="17" t="str">
        <f t="shared" si="402"/>
        <v>TRAPASOBUDMD</v>
      </c>
      <c r="AL508" s="18">
        <v>2040</v>
      </c>
      <c r="AM508" s="18" t="str">
        <f>AM507</f>
        <v>LO</v>
      </c>
      <c r="AN508" s="18"/>
      <c r="AO508" s="20" t="e">
        <f>-SUMIFS('TRA RESID'!$P:$P,'TRA RESID'!$I:$I,AK508,'TRA RESID'!$J:$J,AH508,'TRA RESID'!$H:$H,AI508)/SUMIFS('TRA RESID'!$P:$P,'TRA RESID'!$I:$I,AK508)*AS508</f>
        <v>#DIV/0!</v>
      </c>
      <c r="AP508" s="18"/>
      <c r="AQ508" s="18"/>
      <c r="AS508" s="21">
        <v>0</v>
      </c>
      <c r="AU508" s="15" t="str">
        <f>IF(AU507="*",AU507,"")</f>
        <v>*</v>
      </c>
      <c r="AV508" s="17" t="str">
        <f t="shared" si="403"/>
        <v>*FCEV*</v>
      </c>
      <c r="AW508" s="17" t="str">
        <f t="shared" si="403"/>
        <v>TRAETH</v>
      </c>
      <c r="AX508" s="17" t="str">
        <f t="shared" si="403"/>
        <v>TRAPASOBUDMD</v>
      </c>
      <c r="AY508" s="17" t="str">
        <f t="shared" si="403"/>
        <v>TRAPASOBUDMD</v>
      </c>
      <c r="AZ508" s="18">
        <v>2040</v>
      </c>
      <c r="BA508" s="18" t="str">
        <f>BA507</f>
        <v>LO</v>
      </c>
      <c r="BB508" s="18"/>
      <c r="BC508" s="20" t="e">
        <f>-SUMIFS('TRA RESID'!$P:$P,'TRA RESID'!$I:$I,AY508,'TRA RESID'!$J:$J,AV508,'TRA RESID'!$H:$H,AW508)/SUMIFS('TRA RESID'!$P:$P,'TRA RESID'!$I:$I,AY508)*BG508</f>
        <v>#DIV/0!</v>
      </c>
      <c r="BD508" s="18"/>
      <c r="BE508" s="18"/>
      <c r="BG508" s="21">
        <v>0</v>
      </c>
    </row>
    <row r="509" spans="1:59" x14ac:dyDescent="0.25">
      <c r="C509" s="23" t="str">
        <f>IF(C508="*",C508,"")</f>
        <v>*</v>
      </c>
      <c r="D509" s="25" t="str">
        <f t="shared" si="400"/>
        <v>*ICEV*</v>
      </c>
      <c r="E509" s="25" t="str">
        <f t="shared" si="400"/>
        <v>TRAETH</v>
      </c>
      <c r="F509" s="25" t="str">
        <f t="shared" si="400"/>
        <v>TRAPASOBUDMD</v>
      </c>
      <c r="G509" s="25" t="str">
        <f t="shared" si="400"/>
        <v>TRAPASOBUDMD</v>
      </c>
      <c r="H509" s="26">
        <v>2050</v>
      </c>
      <c r="I509" s="26" t="str">
        <f>I507</f>
        <v>LO</v>
      </c>
      <c r="J509" s="26"/>
      <c r="K509" s="27" t="e">
        <f>-SUMIFS('TRA RESID'!$P:$P,'TRA RESID'!$I:$I,G509,'TRA RESID'!$J:$J,D509,'TRA RESID'!$H:$H,E509)/SUMIFS('TRA RESID'!$P:$P,'TRA RESID'!$I:$I,G509)*O509</f>
        <v>#DIV/0!</v>
      </c>
      <c r="L509" s="26"/>
      <c r="M509" s="26"/>
      <c r="O509" s="28">
        <v>0</v>
      </c>
      <c r="S509" s="23" t="str">
        <f>IF(S508="*",S508,"")</f>
        <v>*</v>
      </c>
      <c r="T509" s="25" t="str">
        <f t="shared" si="401"/>
        <v>*BEV*</v>
      </c>
      <c r="U509" s="25" t="str">
        <f t="shared" si="401"/>
        <v>TRAETH</v>
      </c>
      <c r="V509" s="25" t="str">
        <f t="shared" si="401"/>
        <v>TRAPASOBUDMD</v>
      </c>
      <c r="W509" s="25" t="str">
        <f t="shared" si="401"/>
        <v>TRAPASOBUDMD</v>
      </c>
      <c r="X509" s="26">
        <v>2050</v>
      </c>
      <c r="Y509" s="26" t="str">
        <f>Y507</f>
        <v>LO</v>
      </c>
      <c r="Z509" s="26"/>
      <c r="AA509" s="27" t="e">
        <f>-SUMIFS('TRA RESID'!$P:$P,'TRA RESID'!$I:$I,W509,'TRA RESID'!$J:$J,T509,'TRA RESID'!$H:$H,U509)/SUMIFS('TRA RESID'!$P:$P,'TRA RESID'!$I:$I,W509)*AE509</f>
        <v>#DIV/0!</v>
      </c>
      <c r="AB509" s="26"/>
      <c r="AC509" s="26"/>
      <c r="AE509" s="28">
        <v>1</v>
      </c>
      <c r="AG509" s="23" t="str">
        <f>IF(AG508="*",AG508,"")</f>
        <v>*</v>
      </c>
      <c r="AH509" s="25" t="str">
        <f t="shared" si="402"/>
        <v>*HEV*</v>
      </c>
      <c r="AI509" s="25" t="str">
        <f t="shared" si="402"/>
        <v>TRAETH</v>
      </c>
      <c r="AJ509" s="25" t="str">
        <f t="shared" si="402"/>
        <v>TRAPASOBUDMD</v>
      </c>
      <c r="AK509" s="25" t="str">
        <f t="shared" si="402"/>
        <v>TRAPASOBUDMD</v>
      </c>
      <c r="AL509" s="26">
        <v>2050</v>
      </c>
      <c r="AM509" s="26" t="str">
        <f>AM507</f>
        <v>LO</v>
      </c>
      <c r="AN509" s="26"/>
      <c r="AO509" s="27" t="e">
        <f>-SUMIFS('TRA RESID'!$P:$P,'TRA RESID'!$I:$I,AK509,'TRA RESID'!$J:$J,AH509,'TRA RESID'!$H:$H,AI509)/SUMIFS('TRA RESID'!$P:$P,'TRA RESID'!$I:$I,AK509)*AS509</f>
        <v>#DIV/0!</v>
      </c>
      <c r="AP509" s="26"/>
      <c r="AQ509" s="26"/>
      <c r="AS509" s="28">
        <v>0</v>
      </c>
      <c r="AU509" s="23" t="str">
        <f>IF(AU508="*",AU508,"")</f>
        <v>*</v>
      </c>
      <c r="AV509" s="25" t="str">
        <f t="shared" si="403"/>
        <v>*FCEV*</v>
      </c>
      <c r="AW509" s="25" t="str">
        <f t="shared" si="403"/>
        <v>TRAETH</v>
      </c>
      <c r="AX509" s="25" t="str">
        <f t="shared" si="403"/>
        <v>TRAPASOBUDMD</v>
      </c>
      <c r="AY509" s="25" t="str">
        <f t="shared" si="403"/>
        <v>TRAPASOBUDMD</v>
      </c>
      <c r="AZ509" s="26">
        <v>2050</v>
      </c>
      <c r="BA509" s="26" t="str">
        <f>BA507</f>
        <v>LO</v>
      </c>
      <c r="BB509" s="26"/>
      <c r="BC509" s="27" t="e">
        <f>-SUMIFS('TRA RESID'!$P:$P,'TRA RESID'!$I:$I,AY509,'TRA RESID'!$J:$J,AV509,'TRA RESID'!$H:$H,AW509)/SUMIFS('TRA RESID'!$P:$P,'TRA RESID'!$I:$I,AY509)*BG509</f>
        <v>#DIV/0!</v>
      </c>
      <c r="BD509" s="26"/>
      <c r="BE509" s="26"/>
      <c r="BG509" s="28">
        <v>0</v>
      </c>
    </row>
    <row r="510" spans="1:59" x14ac:dyDescent="0.25">
      <c r="A510">
        <f>A505+1</f>
        <v>102</v>
      </c>
      <c r="C510" s="15" t="str">
        <f>IF(E510="","",IF(_xlfn.XLOOKUP($A510,Selected_constraint!$A:$A,Selected_constraint!$D:$D)=1,"*",IF(SUMIFS('TRA TECH'!$M:$M,'TRA TECH'!$H:$H,E510,'TRA TECH'!$I:$I,F510)=0,"*",IF(SUMIFS('TRA RESID'!$P:$P,'TRA RESID'!$I:$I,G510,'TRA RESID'!$J:$J,D510,'TRA RESID'!$H:$H,E510)=0,"*","UC_"&amp;SUBSTITUTE(D510,"*","")&amp;"_"&amp;RIGHT(E510,3)&amp;"_"&amp;F510))))</f>
        <v>*</v>
      </c>
      <c r="D510" s="17" t="s">
        <v>485</v>
      </c>
      <c r="E510" s="17" t="str">
        <f>_xlfn.XLOOKUP($A510,Selected_constraint!$A:$A,Selected_constraint!$B:$B)</f>
        <v>TRADSL</v>
      </c>
      <c r="F510" s="17" t="str">
        <f>_xlfn.XLOOKUP($A510,Selected_constraint!$A:$A,Selected_constraint!$C:$C)</f>
        <v>TRAPASOBUDMD</v>
      </c>
      <c r="G510" s="17" t="str">
        <f>F510</f>
        <v>TRAPASOBUDMD</v>
      </c>
      <c r="H510" s="18">
        <v>2019</v>
      </c>
      <c r="I510" s="18" t="s">
        <v>483</v>
      </c>
      <c r="J510" s="18">
        <v>1</v>
      </c>
      <c r="K510" s="20" t="e">
        <f>-SUMIFS('TRA RESID'!$P:$P,'TRA RESID'!$I:$I,G510,'TRA RESID'!$J:$J,D510,'TRA RESID'!$H:$H,E510)/SUMIFS('TRA RESID'!$P:$P,'TRA RESID'!$I:$I,G510)*O510</f>
        <v>#DIV/0!</v>
      </c>
      <c r="L510" s="18">
        <v>0</v>
      </c>
      <c r="M510" s="18">
        <v>5</v>
      </c>
      <c r="O510" s="21">
        <v>0.98</v>
      </c>
      <c r="Q510">
        <f>Q505+1</f>
        <v>102</v>
      </c>
      <c r="S510" s="15" t="str">
        <f>IF(SUMIFS('TRA RESID'!$P:$P,'TRA RESID'!$I:$I,W510,'TRA RESID'!$J:$J,T510,'TRA RESID'!$H:$H,U510)=0,"*","UC_"&amp;SUBSTITUTE(T510,"*","")&amp;"_"&amp;RIGHT(U510,3)&amp;"_"&amp;V510)</f>
        <v>*</v>
      </c>
      <c r="T510" s="17" t="s">
        <v>486</v>
      </c>
      <c r="U510" s="17" t="str">
        <f>_xlfn.XLOOKUP($A510,Selected_constraint!$A:$A,Selected_constraint!$B:$B)</f>
        <v>TRADSL</v>
      </c>
      <c r="V510" s="17" t="str">
        <f>_xlfn.XLOOKUP($A510,Selected_constraint!$A:$A,Selected_constraint!$C:$C)</f>
        <v>TRAPASOBUDMD</v>
      </c>
      <c r="W510" s="17" t="str">
        <f>V510</f>
        <v>TRAPASOBUDMD</v>
      </c>
      <c r="X510" s="18">
        <v>2019</v>
      </c>
      <c r="Y510" s="18" t="s">
        <v>483</v>
      </c>
      <c r="Z510" s="18">
        <v>1</v>
      </c>
      <c r="AA510" s="20" t="e">
        <f>-SUMIFS('TRA RESID'!$P:$P,'TRA RESID'!$I:$I,W510,'TRA RESID'!$J:$J,T510,'TRA RESID'!$H:$H,U510)/SUMIFS('TRA RESID'!$P:$P,'TRA RESID'!$I:$I,W510)*AE510</f>
        <v>#DIV/0!</v>
      </c>
      <c r="AB510" s="18">
        <v>0</v>
      </c>
      <c r="AC510" s="18">
        <v>5</v>
      </c>
      <c r="AE510" s="21">
        <v>0.98</v>
      </c>
      <c r="AG510" s="15" t="str">
        <f>IF(SUMIFS('TRA RESID'!$P:$P,'TRA RESID'!$I:$I,AK510,'TRA RESID'!$J:$J,AH510,'TRA RESID'!$H:$H,AI510)=0,"*","UC_"&amp;SUBSTITUTE(AH510,"*","")&amp;"_"&amp;RIGHT(AI510,3)&amp;"_"&amp;AJ510)</f>
        <v>*</v>
      </c>
      <c r="AH510" s="17" t="s">
        <v>487</v>
      </c>
      <c r="AI510" s="17" t="str">
        <f>_xlfn.XLOOKUP($A510,Selected_constraint!$A:$A,Selected_constraint!$B:$B)</f>
        <v>TRADSL</v>
      </c>
      <c r="AJ510" s="17" t="str">
        <f>_xlfn.XLOOKUP($A510,Selected_constraint!$A:$A,Selected_constraint!$C:$C)</f>
        <v>TRAPASOBUDMD</v>
      </c>
      <c r="AK510" s="17" t="str">
        <f>AJ510</f>
        <v>TRAPASOBUDMD</v>
      </c>
      <c r="AL510" s="18">
        <v>2019</v>
      </c>
      <c r="AM510" s="18" t="s">
        <v>483</v>
      </c>
      <c r="AN510" s="18">
        <v>1</v>
      </c>
      <c r="AO510" s="20" t="e">
        <f>-SUMIFS('TRA RESID'!$P:$P,'TRA RESID'!$I:$I,AK510,'TRA RESID'!$J:$J,AH510,'TRA RESID'!$H:$H,AI510)/SUMIFS('TRA RESID'!$P:$P,'TRA RESID'!$I:$I,AK510)*AS510</f>
        <v>#DIV/0!</v>
      </c>
      <c r="AP510" s="18">
        <v>0</v>
      </c>
      <c r="AQ510" s="18">
        <v>5</v>
      </c>
      <c r="AS510" s="21">
        <v>0.98</v>
      </c>
      <c r="AU510" s="15" t="str">
        <f>IF(SUMIFS('TRA RESID'!$P:$P,'TRA RESID'!$I:$I,AY510,'TRA RESID'!$J:$J,AV510,'TRA RESID'!$H:$H,AW510)=0,"*","UC_"&amp;SUBSTITUTE(AV510,"*","")&amp;"_"&amp;RIGHT(AW510,3)&amp;"_"&amp;AX510)</f>
        <v>*</v>
      </c>
      <c r="AV510" s="17" t="s">
        <v>488</v>
      </c>
      <c r="AW510" s="17" t="str">
        <f>_xlfn.XLOOKUP($A510,Selected_constraint!$A:$A,Selected_constraint!$B:$B)</f>
        <v>TRADSL</v>
      </c>
      <c r="AX510" s="17" t="str">
        <f>_xlfn.XLOOKUP($A510,Selected_constraint!$A:$A,Selected_constraint!$C:$C)</f>
        <v>TRAPASOBUDMD</v>
      </c>
      <c r="AY510" s="17" t="str">
        <f>AX510</f>
        <v>TRAPASOBUDMD</v>
      </c>
      <c r="AZ510" s="18">
        <v>2019</v>
      </c>
      <c r="BA510" s="18" t="s">
        <v>483</v>
      </c>
      <c r="BB510" s="18">
        <v>1</v>
      </c>
      <c r="BC510" s="20" t="e">
        <f>-SUMIFS('TRA RESID'!$P:$P,'TRA RESID'!$I:$I,AY510,'TRA RESID'!$J:$J,AV510,'TRA RESID'!$H:$H,AW510)/SUMIFS('TRA RESID'!$P:$P,'TRA RESID'!$I:$I,AY510)*BG510</f>
        <v>#DIV/0!</v>
      </c>
      <c r="BD510" s="18">
        <v>0</v>
      </c>
      <c r="BE510" s="18">
        <v>5</v>
      </c>
      <c r="BG510" s="21">
        <v>0.98</v>
      </c>
    </row>
    <row r="511" spans="1:59" x14ac:dyDescent="0.25">
      <c r="C511" s="15" t="str">
        <f>IF(C510="*",C510,"")</f>
        <v>*</v>
      </c>
      <c r="D511" s="17" t="str">
        <f t="shared" ref="D511:G514" si="404">D510</f>
        <v>*ICEV*</v>
      </c>
      <c r="E511" s="17" t="str">
        <f t="shared" si="404"/>
        <v>TRADSL</v>
      </c>
      <c r="F511" s="17" t="str">
        <f t="shared" si="404"/>
        <v>TRAPASOBUDMD</v>
      </c>
      <c r="G511" s="17" t="str">
        <f t="shared" si="404"/>
        <v>TRAPASOBUDMD</v>
      </c>
      <c r="H511" s="18">
        <v>2025</v>
      </c>
      <c r="I511" s="18" t="str">
        <f>I510</f>
        <v>LO</v>
      </c>
      <c r="J511" s="18"/>
      <c r="K511" s="20" t="e">
        <f>-SUMIFS('TRA RESID'!$P:$P,'TRA RESID'!$I:$I,G511,'TRA RESID'!$J:$J,D511,'TRA RESID'!$H:$H,E511)/SUMIFS('TRA RESID'!$P:$P,'TRA RESID'!$I:$I,G511)*O511</f>
        <v>#DIV/0!</v>
      </c>
      <c r="L511" s="18"/>
      <c r="M511" s="18"/>
      <c r="O511" s="21">
        <v>0.8</v>
      </c>
      <c r="S511" s="15" t="str">
        <f>IF(S510="*",S510,"")</f>
        <v>*</v>
      </c>
      <c r="T511" s="17" t="str">
        <f t="shared" ref="T511:W514" si="405">T510</f>
        <v>*BEV*</v>
      </c>
      <c r="U511" s="17" t="str">
        <f t="shared" si="405"/>
        <v>TRADSL</v>
      </c>
      <c r="V511" s="17" t="str">
        <f t="shared" si="405"/>
        <v>TRAPASOBUDMD</v>
      </c>
      <c r="W511" s="17" t="str">
        <f t="shared" si="405"/>
        <v>TRAPASOBUDMD</v>
      </c>
      <c r="X511" s="18">
        <v>2025</v>
      </c>
      <c r="Y511" s="18" t="str">
        <f>Y510</f>
        <v>LO</v>
      </c>
      <c r="Z511" s="18"/>
      <c r="AA511" s="20" t="e">
        <f>-SUMIFS('TRA RESID'!$P:$P,'TRA RESID'!$I:$I,W511,'TRA RESID'!$J:$J,T511,'TRA RESID'!$H:$H,U511)/SUMIFS('TRA RESID'!$P:$P,'TRA RESID'!$I:$I,W511)*AE511</f>
        <v>#DIV/0!</v>
      </c>
      <c r="AB511" s="18"/>
      <c r="AC511" s="18"/>
      <c r="AE511" s="21">
        <v>1</v>
      </c>
      <c r="AG511" s="15" t="str">
        <f>IF(AG510="*",AG510,"")</f>
        <v>*</v>
      </c>
      <c r="AH511" s="17" t="str">
        <f t="shared" ref="AH511:AK514" si="406">AH510</f>
        <v>*HEV*</v>
      </c>
      <c r="AI511" s="17" t="str">
        <f t="shared" si="406"/>
        <v>TRADSL</v>
      </c>
      <c r="AJ511" s="17" t="str">
        <f t="shared" si="406"/>
        <v>TRAPASOBUDMD</v>
      </c>
      <c r="AK511" s="17" t="str">
        <f t="shared" si="406"/>
        <v>TRAPASOBUDMD</v>
      </c>
      <c r="AL511" s="18">
        <v>2025</v>
      </c>
      <c r="AM511" s="18" t="str">
        <f>AM510</f>
        <v>LO</v>
      </c>
      <c r="AN511" s="18"/>
      <c r="AO511" s="20" t="e">
        <f>-SUMIFS('TRA RESID'!$P:$P,'TRA RESID'!$I:$I,AK511,'TRA RESID'!$J:$J,AH511,'TRA RESID'!$H:$H,AI511)/SUMIFS('TRA RESID'!$P:$P,'TRA RESID'!$I:$I,AK511)*AS511</f>
        <v>#DIV/0!</v>
      </c>
      <c r="AP511" s="18"/>
      <c r="AQ511" s="18"/>
      <c r="AS511" s="21">
        <v>0.8</v>
      </c>
      <c r="AU511" s="15" t="str">
        <f>IF(AU510="*",AU510,"")</f>
        <v>*</v>
      </c>
      <c r="AV511" s="17" t="str">
        <f t="shared" ref="AV511:AY514" si="407">AV510</f>
        <v>*FCEV*</v>
      </c>
      <c r="AW511" s="17" t="str">
        <f t="shared" si="407"/>
        <v>TRADSL</v>
      </c>
      <c r="AX511" s="17" t="str">
        <f t="shared" si="407"/>
        <v>TRAPASOBUDMD</v>
      </c>
      <c r="AY511" s="17" t="str">
        <f t="shared" si="407"/>
        <v>TRAPASOBUDMD</v>
      </c>
      <c r="AZ511" s="18">
        <v>2025</v>
      </c>
      <c r="BA511" s="18" t="str">
        <f>BA510</f>
        <v>LO</v>
      </c>
      <c r="BB511" s="18"/>
      <c r="BC511" s="20" t="e">
        <f>-SUMIFS('TRA RESID'!$P:$P,'TRA RESID'!$I:$I,AY511,'TRA RESID'!$J:$J,AV511,'TRA RESID'!$H:$H,AW511)/SUMIFS('TRA RESID'!$P:$P,'TRA RESID'!$I:$I,AY511)*BG511</f>
        <v>#DIV/0!</v>
      </c>
      <c r="BD511" s="18"/>
      <c r="BE511" s="18"/>
      <c r="BG511" s="21">
        <v>0.8</v>
      </c>
    </row>
    <row r="512" spans="1:59" x14ac:dyDescent="0.25">
      <c r="C512" s="15" t="str">
        <f>IF(C511="*",C511,"")</f>
        <v>*</v>
      </c>
      <c r="D512" s="17" t="str">
        <f t="shared" si="404"/>
        <v>*ICEV*</v>
      </c>
      <c r="E512" s="17" t="str">
        <f t="shared" si="404"/>
        <v>TRADSL</v>
      </c>
      <c r="F512" s="17" t="str">
        <f t="shared" si="404"/>
        <v>TRAPASOBUDMD</v>
      </c>
      <c r="G512" s="17" t="str">
        <f t="shared" si="404"/>
        <v>TRAPASOBUDMD</v>
      </c>
      <c r="H512" s="18">
        <v>2030</v>
      </c>
      <c r="I512" s="18" t="str">
        <f>I511</f>
        <v>LO</v>
      </c>
      <c r="J512" s="18"/>
      <c r="K512" s="20" t="e">
        <f>-SUMIFS('TRA RESID'!$P:$P,'TRA RESID'!$I:$I,G512,'TRA RESID'!$J:$J,D512,'TRA RESID'!$H:$H,E512)/SUMIFS('TRA RESID'!$P:$P,'TRA RESID'!$I:$I,G512)*O512</f>
        <v>#DIV/0!</v>
      </c>
      <c r="L512" s="18"/>
      <c r="M512" s="18"/>
      <c r="O512" s="21">
        <v>0.5</v>
      </c>
      <c r="S512" s="15" t="str">
        <f>IF(S511="*",S511,"")</f>
        <v>*</v>
      </c>
      <c r="T512" s="17" t="str">
        <f t="shared" si="405"/>
        <v>*BEV*</v>
      </c>
      <c r="U512" s="17" t="str">
        <f t="shared" si="405"/>
        <v>TRADSL</v>
      </c>
      <c r="V512" s="17" t="str">
        <f t="shared" si="405"/>
        <v>TRAPASOBUDMD</v>
      </c>
      <c r="W512" s="17" t="str">
        <f t="shared" si="405"/>
        <v>TRAPASOBUDMD</v>
      </c>
      <c r="X512" s="18">
        <v>2030</v>
      </c>
      <c r="Y512" s="18" t="str">
        <f>Y511</f>
        <v>LO</v>
      </c>
      <c r="Z512" s="18"/>
      <c r="AA512" s="20" t="e">
        <f>-SUMIFS('TRA RESID'!$P:$P,'TRA RESID'!$I:$I,W512,'TRA RESID'!$J:$J,T512,'TRA RESID'!$H:$H,U512)/SUMIFS('TRA RESID'!$P:$P,'TRA RESID'!$I:$I,W512)*AE512</f>
        <v>#DIV/0!</v>
      </c>
      <c r="AB512" s="18"/>
      <c r="AC512" s="18"/>
      <c r="AE512" s="21">
        <v>1</v>
      </c>
      <c r="AG512" s="15" t="str">
        <f>IF(AG511="*",AG511,"")</f>
        <v>*</v>
      </c>
      <c r="AH512" s="17" t="str">
        <f t="shared" si="406"/>
        <v>*HEV*</v>
      </c>
      <c r="AI512" s="17" t="str">
        <f t="shared" si="406"/>
        <v>TRADSL</v>
      </c>
      <c r="AJ512" s="17" t="str">
        <f t="shared" si="406"/>
        <v>TRAPASOBUDMD</v>
      </c>
      <c r="AK512" s="17" t="str">
        <f t="shared" si="406"/>
        <v>TRAPASOBUDMD</v>
      </c>
      <c r="AL512" s="18">
        <v>2030</v>
      </c>
      <c r="AM512" s="18" t="str">
        <f>AM511</f>
        <v>LO</v>
      </c>
      <c r="AN512" s="18"/>
      <c r="AO512" s="20" t="e">
        <f>-SUMIFS('TRA RESID'!$P:$P,'TRA RESID'!$I:$I,AK512,'TRA RESID'!$J:$J,AH512,'TRA RESID'!$H:$H,AI512)/SUMIFS('TRA RESID'!$P:$P,'TRA RESID'!$I:$I,AK512)*AS512</f>
        <v>#DIV/0!</v>
      </c>
      <c r="AP512" s="18"/>
      <c r="AQ512" s="18"/>
      <c r="AS512" s="21">
        <v>0.5</v>
      </c>
      <c r="AU512" s="15" t="str">
        <f>IF(AU511="*",AU511,"")</f>
        <v>*</v>
      </c>
      <c r="AV512" s="17" t="str">
        <f t="shared" si="407"/>
        <v>*FCEV*</v>
      </c>
      <c r="AW512" s="17" t="str">
        <f t="shared" si="407"/>
        <v>TRADSL</v>
      </c>
      <c r="AX512" s="17" t="str">
        <f t="shared" si="407"/>
        <v>TRAPASOBUDMD</v>
      </c>
      <c r="AY512" s="17" t="str">
        <f t="shared" si="407"/>
        <v>TRAPASOBUDMD</v>
      </c>
      <c r="AZ512" s="18">
        <v>2030</v>
      </c>
      <c r="BA512" s="18" t="str">
        <f>BA511</f>
        <v>LO</v>
      </c>
      <c r="BB512" s="18"/>
      <c r="BC512" s="20" t="e">
        <f>-SUMIFS('TRA RESID'!$P:$P,'TRA RESID'!$I:$I,AY512,'TRA RESID'!$J:$J,AV512,'TRA RESID'!$H:$H,AW512)/SUMIFS('TRA RESID'!$P:$P,'TRA RESID'!$I:$I,AY512)*BG512</f>
        <v>#DIV/0!</v>
      </c>
      <c r="BD512" s="18"/>
      <c r="BE512" s="18"/>
      <c r="BG512" s="21">
        <v>0.5</v>
      </c>
    </row>
    <row r="513" spans="1:59" x14ac:dyDescent="0.25">
      <c r="C513" s="15" t="str">
        <f>IF(C512="*",C512,"")</f>
        <v>*</v>
      </c>
      <c r="D513" s="17" t="str">
        <f t="shared" si="404"/>
        <v>*ICEV*</v>
      </c>
      <c r="E513" s="17" t="str">
        <f t="shared" si="404"/>
        <v>TRADSL</v>
      </c>
      <c r="F513" s="17" t="str">
        <f t="shared" si="404"/>
        <v>TRAPASOBUDMD</v>
      </c>
      <c r="G513" s="17" t="str">
        <f t="shared" si="404"/>
        <v>TRAPASOBUDMD</v>
      </c>
      <c r="H513" s="18">
        <v>2040</v>
      </c>
      <c r="I513" s="18" t="str">
        <f>I512</f>
        <v>LO</v>
      </c>
      <c r="J513" s="18"/>
      <c r="K513" s="20" t="e">
        <f>-SUMIFS('TRA RESID'!$P:$P,'TRA RESID'!$I:$I,G513,'TRA RESID'!$J:$J,D513,'TRA RESID'!$H:$H,E513)/SUMIFS('TRA RESID'!$P:$P,'TRA RESID'!$I:$I,G513)*O513</f>
        <v>#DIV/0!</v>
      </c>
      <c r="L513" s="18"/>
      <c r="M513" s="18"/>
      <c r="O513" s="21">
        <v>0</v>
      </c>
      <c r="S513" s="15" t="str">
        <f>IF(S512="*",S512,"")</f>
        <v>*</v>
      </c>
      <c r="T513" s="17" t="str">
        <f t="shared" si="405"/>
        <v>*BEV*</v>
      </c>
      <c r="U513" s="17" t="str">
        <f t="shared" si="405"/>
        <v>TRADSL</v>
      </c>
      <c r="V513" s="17" t="str">
        <f t="shared" si="405"/>
        <v>TRAPASOBUDMD</v>
      </c>
      <c r="W513" s="17" t="str">
        <f t="shared" si="405"/>
        <v>TRAPASOBUDMD</v>
      </c>
      <c r="X513" s="18">
        <v>2040</v>
      </c>
      <c r="Y513" s="18" t="str">
        <f>Y512</f>
        <v>LO</v>
      </c>
      <c r="Z513" s="18"/>
      <c r="AA513" s="20" t="e">
        <f>-SUMIFS('TRA RESID'!$P:$P,'TRA RESID'!$I:$I,W513,'TRA RESID'!$J:$J,T513,'TRA RESID'!$H:$H,U513)/SUMIFS('TRA RESID'!$P:$P,'TRA RESID'!$I:$I,W513)*AE513</f>
        <v>#DIV/0!</v>
      </c>
      <c r="AB513" s="18"/>
      <c r="AC513" s="18"/>
      <c r="AE513" s="21">
        <v>1</v>
      </c>
      <c r="AG513" s="15" t="str">
        <f>IF(AG512="*",AG512,"")</f>
        <v>*</v>
      </c>
      <c r="AH513" s="17" t="str">
        <f t="shared" si="406"/>
        <v>*HEV*</v>
      </c>
      <c r="AI513" s="17" t="str">
        <f t="shared" si="406"/>
        <v>TRADSL</v>
      </c>
      <c r="AJ513" s="17" t="str">
        <f t="shared" si="406"/>
        <v>TRAPASOBUDMD</v>
      </c>
      <c r="AK513" s="17" t="str">
        <f t="shared" si="406"/>
        <v>TRAPASOBUDMD</v>
      </c>
      <c r="AL513" s="18">
        <v>2040</v>
      </c>
      <c r="AM513" s="18" t="str">
        <f>AM512</f>
        <v>LO</v>
      </c>
      <c r="AN513" s="18"/>
      <c r="AO513" s="20" t="e">
        <f>-SUMIFS('TRA RESID'!$P:$P,'TRA RESID'!$I:$I,AK513,'TRA RESID'!$J:$J,AH513,'TRA RESID'!$H:$H,AI513)/SUMIFS('TRA RESID'!$P:$P,'TRA RESID'!$I:$I,AK513)*AS513</f>
        <v>#DIV/0!</v>
      </c>
      <c r="AP513" s="18"/>
      <c r="AQ513" s="18"/>
      <c r="AS513" s="21">
        <v>0</v>
      </c>
      <c r="AU513" s="15" t="str">
        <f>IF(AU512="*",AU512,"")</f>
        <v>*</v>
      </c>
      <c r="AV513" s="17" t="str">
        <f t="shared" si="407"/>
        <v>*FCEV*</v>
      </c>
      <c r="AW513" s="17" t="str">
        <f t="shared" si="407"/>
        <v>TRADSL</v>
      </c>
      <c r="AX513" s="17" t="str">
        <f t="shared" si="407"/>
        <v>TRAPASOBUDMD</v>
      </c>
      <c r="AY513" s="17" t="str">
        <f t="shared" si="407"/>
        <v>TRAPASOBUDMD</v>
      </c>
      <c r="AZ513" s="18">
        <v>2040</v>
      </c>
      <c r="BA513" s="18" t="str">
        <f>BA512</f>
        <v>LO</v>
      </c>
      <c r="BB513" s="18"/>
      <c r="BC513" s="20" t="e">
        <f>-SUMIFS('TRA RESID'!$P:$P,'TRA RESID'!$I:$I,AY513,'TRA RESID'!$J:$J,AV513,'TRA RESID'!$H:$H,AW513)/SUMIFS('TRA RESID'!$P:$P,'TRA RESID'!$I:$I,AY513)*BG513</f>
        <v>#DIV/0!</v>
      </c>
      <c r="BD513" s="18"/>
      <c r="BE513" s="18"/>
      <c r="BG513" s="21">
        <v>0</v>
      </c>
    </row>
    <row r="514" spans="1:59" x14ac:dyDescent="0.25">
      <c r="C514" s="23" t="str">
        <f>IF(C513="*",C513,"")</f>
        <v>*</v>
      </c>
      <c r="D514" s="25" t="str">
        <f t="shared" si="404"/>
        <v>*ICEV*</v>
      </c>
      <c r="E514" s="25" t="str">
        <f t="shared" si="404"/>
        <v>TRADSL</v>
      </c>
      <c r="F514" s="25" t="str">
        <f t="shared" si="404"/>
        <v>TRAPASOBUDMD</v>
      </c>
      <c r="G514" s="25" t="str">
        <f t="shared" si="404"/>
        <v>TRAPASOBUDMD</v>
      </c>
      <c r="H514" s="26">
        <v>2050</v>
      </c>
      <c r="I514" s="26" t="str">
        <f>I512</f>
        <v>LO</v>
      </c>
      <c r="J514" s="26"/>
      <c r="K514" s="27" t="e">
        <f>-SUMIFS('TRA RESID'!$P:$P,'TRA RESID'!$I:$I,G514,'TRA RESID'!$J:$J,D514,'TRA RESID'!$H:$H,E514)/SUMIFS('TRA RESID'!$P:$P,'TRA RESID'!$I:$I,G514)*O514</f>
        <v>#DIV/0!</v>
      </c>
      <c r="L514" s="26"/>
      <c r="M514" s="26"/>
      <c r="O514" s="28">
        <v>0</v>
      </c>
      <c r="S514" s="23" t="str">
        <f>IF(S513="*",S513,"")</f>
        <v>*</v>
      </c>
      <c r="T514" s="25" t="str">
        <f t="shared" si="405"/>
        <v>*BEV*</v>
      </c>
      <c r="U514" s="25" t="str">
        <f t="shared" si="405"/>
        <v>TRADSL</v>
      </c>
      <c r="V514" s="25" t="str">
        <f t="shared" si="405"/>
        <v>TRAPASOBUDMD</v>
      </c>
      <c r="W514" s="25" t="str">
        <f t="shared" si="405"/>
        <v>TRAPASOBUDMD</v>
      </c>
      <c r="X514" s="26">
        <v>2050</v>
      </c>
      <c r="Y514" s="26" t="str">
        <f>Y512</f>
        <v>LO</v>
      </c>
      <c r="Z514" s="26"/>
      <c r="AA514" s="27" t="e">
        <f>-SUMIFS('TRA RESID'!$P:$P,'TRA RESID'!$I:$I,W514,'TRA RESID'!$J:$J,T514,'TRA RESID'!$H:$H,U514)/SUMIFS('TRA RESID'!$P:$P,'TRA RESID'!$I:$I,W514)*AE514</f>
        <v>#DIV/0!</v>
      </c>
      <c r="AB514" s="26"/>
      <c r="AC514" s="26"/>
      <c r="AE514" s="28">
        <v>1</v>
      </c>
      <c r="AG514" s="23" t="str">
        <f>IF(AG513="*",AG513,"")</f>
        <v>*</v>
      </c>
      <c r="AH514" s="25" t="str">
        <f t="shared" si="406"/>
        <v>*HEV*</v>
      </c>
      <c r="AI514" s="25" t="str">
        <f t="shared" si="406"/>
        <v>TRADSL</v>
      </c>
      <c r="AJ514" s="25" t="str">
        <f t="shared" si="406"/>
        <v>TRAPASOBUDMD</v>
      </c>
      <c r="AK514" s="25" t="str">
        <f t="shared" si="406"/>
        <v>TRAPASOBUDMD</v>
      </c>
      <c r="AL514" s="26">
        <v>2050</v>
      </c>
      <c r="AM514" s="26" t="str">
        <f>AM512</f>
        <v>LO</v>
      </c>
      <c r="AN514" s="26"/>
      <c r="AO514" s="27" t="e">
        <f>-SUMIFS('TRA RESID'!$P:$P,'TRA RESID'!$I:$I,AK514,'TRA RESID'!$J:$J,AH514,'TRA RESID'!$H:$H,AI514)/SUMIFS('TRA RESID'!$P:$P,'TRA RESID'!$I:$I,AK514)*AS514</f>
        <v>#DIV/0!</v>
      </c>
      <c r="AP514" s="26"/>
      <c r="AQ514" s="26"/>
      <c r="AS514" s="28">
        <v>0</v>
      </c>
      <c r="AU514" s="23" t="str">
        <f>IF(AU513="*",AU513,"")</f>
        <v>*</v>
      </c>
      <c r="AV514" s="25" t="str">
        <f t="shared" si="407"/>
        <v>*FCEV*</v>
      </c>
      <c r="AW514" s="25" t="str">
        <f t="shared" si="407"/>
        <v>TRADSL</v>
      </c>
      <c r="AX514" s="25" t="str">
        <f t="shared" si="407"/>
        <v>TRAPASOBUDMD</v>
      </c>
      <c r="AY514" s="25" t="str">
        <f t="shared" si="407"/>
        <v>TRAPASOBUDMD</v>
      </c>
      <c r="AZ514" s="26">
        <v>2050</v>
      </c>
      <c r="BA514" s="26" t="str">
        <f>BA512</f>
        <v>LO</v>
      </c>
      <c r="BB514" s="26"/>
      <c r="BC514" s="27" t="e">
        <f>-SUMIFS('TRA RESID'!$P:$P,'TRA RESID'!$I:$I,AY514,'TRA RESID'!$J:$J,AV514,'TRA RESID'!$H:$H,AW514)/SUMIFS('TRA RESID'!$P:$P,'TRA RESID'!$I:$I,AY514)*BG514</f>
        <v>#DIV/0!</v>
      </c>
      <c r="BD514" s="26"/>
      <c r="BE514" s="26"/>
      <c r="BG514" s="28">
        <v>0</v>
      </c>
    </row>
    <row r="515" spans="1:59" x14ac:dyDescent="0.25">
      <c r="A515">
        <f>A510+1</f>
        <v>103</v>
      </c>
      <c r="C515" s="15" t="str">
        <f>IF(E515="","",IF(_xlfn.XLOOKUP($A515,Selected_constraint!$A:$A,Selected_constraint!$D:$D)=1,"*",IF(SUMIFS('TRA TECH'!$M:$M,'TRA TECH'!$H:$H,E515,'TRA TECH'!$I:$I,F515)=0,"*",IF(SUMIFS('TRA RESID'!$P:$P,'TRA RESID'!$I:$I,G515,'TRA RESID'!$J:$J,D515,'TRA RESID'!$H:$H,E515)=0,"*","UC_"&amp;SUBSTITUTE(D515,"*","")&amp;"_"&amp;RIGHT(E515,3)&amp;"_"&amp;F515))))</f>
        <v>*</v>
      </c>
      <c r="D515" s="17" t="s">
        <v>485</v>
      </c>
      <c r="E515" s="17" t="str">
        <f>_xlfn.XLOOKUP($A515,Selected_constraint!$A:$A,Selected_constraint!$B:$B)</f>
        <v>TRARDS</v>
      </c>
      <c r="F515" s="17" t="str">
        <f>_xlfn.XLOOKUP($A515,Selected_constraint!$A:$A,Selected_constraint!$C:$C)</f>
        <v>TRAPASOBUDMD</v>
      </c>
      <c r="G515" s="17" t="str">
        <f>F515</f>
        <v>TRAPASOBUDMD</v>
      </c>
      <c r="H515" s="18">
        <v>2019</v>
      </c>
      <c r="I515" s="18" t="s">
        <v>483</v>
      </c>
      <c r="J515" s="18">
        <v>1</v>
      </c>
      <c r="K515" s="20" t="e">
        <f>-SUMIFS('TRA RESID'!$P:$P,'TRA RESID'!$I:$I,G515,'TRA RESID'!$J:$J,D515,'TRA RESID'!$H:$H,E515)/SUMIFS('TRA RESID'!$P:$P,'TRA RESID'!$I:$I,G515)*O515</f>
        <v>#DIV/0!</v>
      </c>
      <c r="L515" s="18">
        <v>0</v>
      </c>
      <c r="M515" s="18">
        <v>5</v>
      </c>
      <c r="O515" s="21">
        <v>0.98</v>
      </c>
      <c r="Q515">
        <f>Q510+1</f>
        <v>103</v>
      </c>
      <c r="S515" s="15" t="str">
        <f>IF(SUMIFS('TRA RESID'!$P:$P,'TRA RESID'!$I:$I,W515,'TRA RESID'!$J:$J,T515,'TRA RESID'!$H:$H,U515)=0,"*","UC_"&amp;SUBSTITUTE(T515,"*","")&amp;"_"&amp;RIGHT(U515,3)&amp;"_"&amp;V515)</f>
        <v>*</v>
      </c>
      <c r="T515" s="17" t="s">
        <v>486</v>
      </c>
      <c r="U515" s="17" t="str">
        <f>_xlfn.XLOOKUP($A515,Selected_constraint!$A:$A,Selected_constraint!$B:$B)</f>
        <v>TRARDS</v>
      </c>
      <c r="V515" s="17" t="str">
        <f>_xlfn.XLOOKUP($A515,Selected_constraint!$A:$A,Selected_constraint!$C:$C)</f>
        <v>TRAPASOBUDMD</v>
      </c>
      <c r="W515" s="17" t="str">
        <f>V515</f>
        <v>TRAPASOBUDMD</v>
      </c>
      <c r="X515" s="18">
        <v>2019</v>
      </c>
      <c r="Y515" s="18" t="s">
        <v>483</v>
      </c>
      <c r="Z515" s="18">
        <v>1</v>
      </c>
      <c r="AA515" s="20" t="e">
        <f>-SUMIFS('TRA RESID'!$P:$P,'TRA RESID'!$I:$I,W515,'TRA RESID'!$J:$J,T515,'TRA RESID'!$H:$H,U515)/SUMIFS('TRA RESID'!$P:$P,'TRA RESID'!$I:$I,W515)*AE515</f>
        <v>#DIV/0!</v>
      </c>
      <c r="AB515" s="18">
        <v>0</v>
      </c>
      <c r="AC515" s="18">
        <v>5</v>
      </c>
      <c r="AE515" s="21">
        <v>0.98</v>
      </c>
      <c r="AG515" s="15" t="str">
        <f>IF(SUMIFS('TRA RESID'!$P:$P,'TRA RESID'!$I:$I,AK515,'TRA RESID'!$J:$J,AH515,'TRA RESID'!$H:$H,AI515)=0,"*","UC_"&amp;SUBSTITUTE(AH515,"*","")&amp;"_"&amp;RIGHT(AI515,3)&amp;"_"&amp;AJ515)</f>
        <v>*</v>
      </c>
      <c r="AH515" s="17" t="s">
        <v>487</v>
      </c>
      <c r="AI515" s="17" t="str">
        <f>_xlfn.XLOOKUP($A515,Selected_constraint!$A:$A,Selected_constraint!$B:$B)</f>
        <v>TRARDS</v>
      </c>
      <c r="AJ515" s="17" t="str">
        <f>_xlfn.XLOOKUP($A515,Selected_constraint!$A:$A,Selected_constraint!$C:$C)</f>
        <v>TRAPASOBUDMD</v>
      </c>
      <c r="AK515" s="17" t="str">
        <f>AJ515</f>
        <v>TRAPASOBUDMD</v>
      </c>
      <c r="AL515" s="18">
        <v>2019</v>
      </c>
      <c r="AM515" s="18" t="s">
        <v>483</v>
      </c>
      <c r="AN515" s="18">
        <v>1</v>
      </c>
      <c r="AO515" s="20" t="e">
        <f>-SUMIFS('TRA RESID'!$P:$P,'TRA RESID'!$I:$I,AK515,'TRA RESID'!$J:$J,AH515,'TRA RESID'!$H:$H,AI515)/SUMIFS('TRA RESID'!$P:$P,'TRA RESID'!$I:$I,AK515)*AS515</f>
        <v>#DIV/0!</v>
      </c>
      <c r="AP515" s="18">
        <v>0</v>
      </c>
      <c r="AQ515" s="18">
        <v>5</v>
      </c>
      <c r="AS515" s="21">
        <v>0.98</v>
      </c>
      <c r="AU515" s="15" t="str">
        <f>IF(SUMIFS('TRA RESID'!$P:$P,'TRA RESID'!$I:$I,AY515,'TRA RESID'!$J:$J,AV515,'TRA RESID'!$H:$H,AW515)=0,"*","UC_"&amp;SUBSTITUTE(AV515,"*","")&amp;"_"&amp;RIGHT(AW515,3)&amp;"_"&amp;AX515)</f>
        <v>*</v>
      </c>
      <c r="AV515" s="17" t="s">
        <v>488</v>
      </c>
      <c r="AW515" s="17" t="str">
        <f>_xlfn.XLOOKUP($A515,Selected_constraint!$A:$A,Selected_constraint!$B:$B)</f>
        <v>TRARDS</v>
      </c>
      <c r="AX515" s="17" t="str">
        <f>_xlfn.XLOOKUP($A515,Selected_constraint!$A:$A,Selected_constraint!$C:$C)</f>
        <v>TRAPASOBUDMD</v>
      </c>
      <c r="AY515" s="17" t="str">
        <f>AX515</f>
        <v>TRAPASOBUDMD</v>
      </c>
      <c r="AZ515" s="18">
        <v>2019</v>
      </c>
      <c r="BA515" s="18" t="s">
        <v>483</v>
      </c>
      <c r="BB515" s="18">
        <v>1</v>
      </c>
      <c r="BC515" s="20" t="e">
        <f>-SUMIFS('TRA RESID'!$P:$P,'TRA RESID'!$I:$I,AY515,'TRA RESID'!$J:$J,AV515,'TRA RESID'!$H:$H,AW515)/SUMIFS('TRA RESID'!$P:$P,'TRA RESID'!$I:$I,AY515)*BG515</f>
        <v>#DIV/0!</v>
      </c>
      <c r="BD515" s="18">
        <v>0</v>
      </c>
      <c r="BE515" s="18">
        <v>5</v>
      </c>
      <c r="BG515" s="21">
        <v>0.98</v>
      </c>
    </row>
    <row r="516" spans="1:59" x14ac:dyDescent="0.25">
      <c r="C516" s="15" t="str">
        <f>IF(C515="*",C515,"")</f>
        <v>*</v>
      </c>
      <c r="D516" s="17" t="str">
        <f t="shared" ref="D516:G519" si="408">D515</f>
        <v>*ICEV*</v>
      </c>
      <c r="E516" s="17" t="str">
        <f t="shared" si="408"/>
        <v>TRARDS</v>
      </c>
      <c r="F516" s="17" t="str">
        <f t="shared" si="408"/>
        <v>TRAPASOBUDMD</v>
      </c>
      <c r="G516" s="17" t="str">
        <f t="shared" si="408"/>
        <v>TRAPASOBUDMD</v>
      </c>
      <c r="H516" s="18">
        <v>2025</v>
      </c>
      <c r="I516" s="18" t="str">
        <f>I515</f>
        <v>LO</v>
      </c>
      <c r="J516" s="18"/>
      <c r="K516" s="20" t="e">
        <f>-SUMIFS('TRA RESID'!$P:$P,'TRA RESID'!$I:$I,G516,'TRA RESID'!$J:$J,D516,'TRA RESID'!$H:$H,E516)/SUMIFS('TRA RESID'!$P:$P,'TRA RESID'!$I:$I,G516)*O516</f>
        <v>#DIV/0!</v>
      </c>
      <c r="L516" s="18"/>
      <c r="M516" s="18"/>
      <c r="O516" s="21">
        <v>0.8</v>
      </c>
      <c r="S516" s="15" t="str">
        <f>IF(S515="*",S515,"")</f>
        <v>*</v>
      </c>
      <c r="T516" s="17" t="str">
        <f t="shared" ref="T516:W519" si="409">T515</f>
        <v>*BEV*</v>
      </c>
      <c r="U516" s="17" t="str">
        <f t="shared" si="409"/>
        <v>TRARDS</v>
      </c>
      <c r="V516" s="17" t="str">
        <f t="shared" si="409"/>
        <v>TRAPASOBUDMD</v>
      </c>
      <c r="W516" s="17" t="str">
        <f t="shared" si="409"/>
        <v>TRAPASOBUDMD</v>
      </c>
      <c r="X516" s="18">
        <v>2025</v>
      </c>
      <c r="Y516" s="18" t="str">
        <f>Y515</f>
        <v>LO</v>
      </c>
      <c r="Z516" s="18"/>
      <c r="AA516" s="20" t="e">
        <f>-SUMIFS('TRA RESID'!$P:$P,'TRA RESID'!$I:$I,W516,'TRA RESID'!$J:$J,T516,'TRA RESID'!$H:$H,U516)/SUMIFS('TRA RESID'!$P:$P,'TRA RESID'!$I:$I,W516)*AE516</f>
        <v>#DIV/0!</v>
      </c>
      <c r="AB516" s="18"/>
      <c r="AC516" s="18"/>
      <c r="AE516" s="21">
        <v>1</v>
      </c>
      <c r="AG516" s="15" t="str">
        <f>IF(AG515="*",AG515,"")</f>
        <v>*</v>
      </c>
      <c r="AH516" s="17" t="str">
        <f t="shared" ref="AH516:AK519" si="410">AH515</f>
        <v>*HEV*</v>
      </c>
      <c r="AI516" s="17" t="str">
        <f t="shared" si="410"/>
        <v>TRARDS</v>
      </c>
      <c r="AJ516" s="17" t="str">
        <f t="shared" si="410"/>
        <v>TRAPASOBUDMD</v>
      </c>
      <c r="AK516" s="17" t="str">
        <f t="shared" si="410"/>
        <v>TRAPASOBUDMD</v>
      </c>
      <c r="AL516" s="18">
        <v>2025</v>
      </c>
      <c r="AM516" s="18" t="str">
        <f>AM515</f>
        <v>LO</v>
      </c>
      <c r="AN516" s="18"/>
      <c r="AO516" s="20" t="e">
        <f>-SUMIFS('TRA RESID'!$P:$P,'TRA RESID'!$I:$I,AK516,'TRA RESID'!$J:$J,AH516,'TRA RESID'!$H:$H,AI516)/SUMIFS('TRA RESID'!$P:$P,'TRA RESID'!$I:$I,AK516)*AS516</f>
        <v>#DIV/0!</v>
      </c>
      <c r="AP516" s="18"/>
      <c r="AQ516" s="18"/>
      <c r="AS516" s="21">
        <v>0.8</v>
      </c>
      <c r="AU516" s="15" t="str">
        <f>IF(AU515="*",AU515,"")</f>
        <v>*</v>
      </c>
      <c r="AV516" s="17" t="str">
        <f t="shared" ref="AV516:AY519" si="411">AV515</f>
        <v>*FCEV*</v>
      </c>
      <c r="AW516" s="17" t="str">
        <f t="shared" si="411"/>
        <v>TRARDS</v>
      </c>
      <c r="AX516" s="17" t="str">
        <f t="shared" si="411"/>
        <v>TRAPASOBUDMD</v>
      </c>
      <c r="AY516" s="17" t="str">
        <f t="shared" si="411"/>
        <v>TRAPASOBUDMD</v>
      </c>
      <c r="AZ516" s="18">
        <v>2025</v>
      </c>
      <c r="BA516" s="18" t="str">
        <f>BA515</f>
        <v>LO</v>
      </c>
      <c r="BB516" s="18"/>
      <c r="BC516" s="20" t="e">
        <f>-SUMIFS('TRA RESID'!$P:$P,'TRA RESID'!$I:$I,AY516,'TRA RESID'!$J:$J,AV516,'TRA RESID'!$H:$H,AW516)/SUMIFS('TRA RESID'!$P:$P,'TRA RESID'!$I:$I,AY516)*BG516</f>
        <v>#DIV/0!</v>
      </c>
      <c r="BD516" s="18"/>
      <c r="BE516" s="18"/>
      <c r="BG516" s="21">
        <v>0.8</v>
      </c>
    </row>
    <row r="517" spans="1:59" x14ac:dyDescent="0.25">
      <c r="C517" s="15" t="str">
        <f>IF(C516="*",C516,"")</f>
        <v>*</v>
      </c>
      <c r="D517" s="17" t="str">
        <f t="shared" si="408"/>
        <v>*ICEV*</v>
      </c>
      <c r="E517" s="17" t="str">
        <f t="shared" si="408"/>
        <v>TRARDS</v>
      </c>
      <c r="F517" s="17" t="str">
        <f t="shared" si="408"/>
        <v>TRAPASOBUDMD</v>
      </c>
      <c r="G517" s="17" t="str">
        <f t="shared" si="408"/>
        <v>TRAPASOBUDMD</v>
      </c>
      <c r="H517" s="18">
        <v>2030</v>
      </c>
      <c r="I517" s="18" t="str">
        <f>I516</f>
        <v>LO</v>
      </c>
      <c r="J517" s="18"/>
      <c r="K517" s="20" t="e">
        <f>-SUMIFS('TRA RESID'!$P:$P,'TRA RESID'!$I:$I,G517,'TRA RESID'!$J:$J,D517,'TRA RESID'!$H:$H,E517)/SUMIFS('TRA RESID'!$P:$P,'TRA RESID'!$I:$I,G517)*O517</f>
        <v>#DIV/0!</v>
      </c>
      <c r="L517" s="18"/>
      <c r="M517" s="18"/>
      <c r="O517" s="21">
        <v>0.5</v>
      </c>
      <c r="S517" s="15" t="str">
        <f>IF(S516="*",S516,"")</f>
        <v>*</v>
      </c>
      <c r="T517" s="17" t="str">
        <f t="shared" si="409"/>
        <v>*BEV*</v>
      </c>
      <c r="U517" s="17" t="str">
        <f t="shared" si="409"/>
        <v>TRARDS</v>
      </c>
      <c r="V517" s="17" t="str">
        <f t="shared" si="409"/>
        <v>TRAPASOBUDMD</v>
      </c>
      <c r="W517" s="17" t="str">
        <f t="shared" si="409"/>
        <v>TRAPASOBUDMD</v>
      </c>
      <c r="X517" s="18">
        <v>2030</v>
      </c>
      <c r="Y517" s="18" t="str">
        <f>Y516</f>
        <v>LO</v>
      </c>
      <c r="Z517" s="18"/>
      <c r="AA517" s="20" t="e">
        <f>-SUMIFS('TRA RESID'!$P:$P,'TRA RESID'!$I:$I,W517,'TRA RESID'!$J:$J,T517,'TRA RESID'!$H:$H,U517)/SUMIFS('TRA RESID'!$P:$P,'TRA RESID'!$I:$I,W517)*AE517</f>
        <v>#DIV/0!</v>
      </c>
      <c r="AB517" s="18"/>
      <c r="AC517" s="18"/>
      <c r="AE517" s="21">
        <v>1</v>
      </c>
      <c r="AG517" s="15" t="str">
        <f>IF(AG516="*",AG516,"")</f>
        <v>*</v>
      </c>
      <c r="AH517" s="17" t="str">
        <f t="shared" si="410"/>
        <v>*HEV*</v>
      </c>
      <c r="AI517" s="17" t="str">
        <f t="shared" si="410"/>
        <v>TRARDS</v>
      </c>
      <c r="AJ517" s="17" t="str">
        <f t="shared" si="410"/>
        <v>TRAPASOBUDMD</v>
      </c>
      <c r="AK517" s="17" t="str">
        <f t="shared" si="410"/>
        <v>TRAPASOBUDMD</v>
      </c>
      <c r="AL517" s="18">
        <v>2030</v>
      </c>
      <c r="AM517" s="18" t="str">
        <f>AM516</f>
        <v>LO</v>
      </c>
      <c r="AN517" s="18"/>
      <c r="AO517" s="20" t="e">
        <f>-SUMIFS('TRA RESID'!$P:$P,'TRA RESID'!$I:$I,AK517,'TRA RESID'!$J:$J,AH517,'TRA RESID'!$H:$H,AI517)/SUMIFS('TRA RESID'!$P:$P,'TRA RESID'!$I:$I,AK517)*AS517</f>
        <v>#DIV/0!</v>
      </c>
      <c r="AP517" s="18"/>
      <c r="AQ517" s="18"/>
      <c r="AS517" s="21">
        <v>0.5</v>
      </c>
      <c r="AU517" s="15" t="str">
        <f>IF(AU516="*",AU516,"")</f>
        <v>*</v>
      </c>
      <c r="AV517" s="17" t="str">
        <f t="shared" si="411"/>
        <v>*FCEV*</v>
      </c>
      <c r="AW517" s="17" t="str">
        <f t="shared" si="411"/>
        <v>TRARDS</v>
      </c>
      <c r="AX517" s="17" t="str">
        <f t="shared" si="411"/>
        <v>TRAPASOBUDMD</v>
      </c>
      <c r="AY517" s="17" t="str">
        <f t="shared" si="411"/>
        <v>TRAPASOBUDMD</v>
      </c>
      <c r="AZ517" s="18">
        <v>2030</v>
      </c>
      <c r="BA517" s="18" t="str">
        <f>BA516</f>
        <v>LO</v>
      </c>
      <c r="BB517" s="18"/>
      <c r="BC517" s="20" t="e">
        <f>-SUMIFS('TRA RESID'!$P:$P,'TRA RESID'!$I:$I,AY517,'TRA RESID'!$J:$J,AV517,'TRA RESID'!$H:$H,AW517)/SUMIFS('TRA RESID'!$P:$P,'TRA RESID'!$I:$I,AY517)*BG517</f>
        <v>#DIV/0!</v>
      </c>
      <c r="BD517" s="18"/>
      <c r="BE517" s="18"/>
      <c r="BG517" s="21">
        <v>0.5</v>
      </c>
    </row>
    <row r="518" spans="1:59" x14ac:dyDescent="0.25">
      <c r="C518" s="15" t="str">
        <f>IF(C517="*",C517,"")</f>
        <v>*</v>
      </c>
      <c r="D518" s="17" t="str">
        <f t="shared" si="408"/>
        <v>*ICEV*</v>
      </c>
      <c r="E518" s="17" t="str">
        <f t="shared" si="408"/>
        <v>TRARDS</v>
      </c>
      <c r="F518" s="17" t="str">
        <f t="shared" si="408"/>
        <v>TRAPASOBUDMD</v>
      </c>
      <c r="G518" s="17" t="str">
        <f t="shared" si="408"/>
        <v>TRAPASOBUDMD</v>
      </c>
      <c r="H518" s="18">
        <v>2040</v>
      </c>
      <c r="I518" s="18" t="str">
        <f>I517</f>
        <v>LO</v>
      </c>
      <c r="J518" s="18"/>
      <c r="K518" s="20" t="e">
        <f>-SUMIFS('TRA RESID'!$P:$P,'TRA RESID'!$I:$I,G518,'TRA RESID'!$J:$J,D518,'TRA RESID'!$H:$H,E518)/SUMIFS('TRA RESID'!$P:$P,'TRA RESID'!$I:$I,G518)*O518</f>
        <v>#DIV/0!</v>
      </c>
      <c r="L518" s="18"/>
      <c r="M518" s="18"/>
      <c r="O518" s="21">
        <v>0</v>
      </c>
      <c r="S518" s="15" t="str">
        <f>IF(S517="*",S517,"")</f>
        <v>*</v>
      </c>
      <c r="T518" s="17" t="str">
        <f t="shared" si="409"/>
        <v>*BEV*</v>
      </c>
      <c r="U518" s="17" t="str">
        <f t="shared" si="409"/>
        <v>TRARDS</v>
      </c>
      <c r="V518" s="17" t="str">
        <f t="shared" si="409"/>
        <v>TRAPASOBUDMD</v>
      </c>
      <c r="W518" s="17" t="str">
        <f t="shared" si="409"/>
        <v>TRAPASOBUDMD</v>
      </c>
      <c r="X518" s="18">
        <v>2040</v>
      </c>
      <c r="Y518" s="18" t="str">
        <f>Y517</f>
        <v>LO</v>
      </c>
      <c r="Z518" s="18"/>
      <c r="AA518" s="20" t="e">
        <f>-SUMIFS('TRA RESID'!$P:$P,'TRA RESID'!$I:$I,W518,'TRA RESID'!$J:$J,T518,'TRA RESID'!$H:$H,U518)/SUMIFS('TRA RESID'!$P:$P,'TRA RESID'!$I:$I,W518)*AE518</f>
        <v>#DIV/0!</v>
      </c>
      <c r="AB518" s="18"/>
      <c r="AC518" s="18"/>
      <c r="AE518" s="21">
        <v>1</v>
      </c>
      <c r="AG518" s="15" t="str">
        <f>IF(AG517="*",AG517,"")</f>
        <v>*</v>
      </c>
      <c r="AH518" s="17" t="str">
        <f t="shared" si="410"/>
        <v>*HEV*</v>
      </c>
      <c r="AI518" s="17" t="str">
        <f t="shared" si="410"/>
        <v>TRARDS</v>
      </c>
      <c r="AJ518" s="17" t="str">
        <f t="shared" si="410"/>
        <v>TRAPASOBUDMD</v>
      </c>
      <c r="AK518" s="17" t="str">
        <f t="shared" si="410"/>
        <v>TRAPASOBUDMD</v>
      </c>
      <c r="AL518" s="18">
        <v>2040</v>
      </c>
      <c r="AM518" s="18" t="str">
        <f>AM517</f>
        <v>LO</v>
      </c>
      <c r="AN518" s="18"/>
      <c r="AO518" s="20" t="e">
        <f>-SUMIFS('TRA RESID'!$P:$P,'TRA RESID'!$I:$I,AK518,'TRA RESID'!$J:$J,AH518,'TRA RESID'!$H:$H,AI518)/SUMIFS('TRA RESID'!$P:$P,'TRA RESID'!$I:$I,AK518)*AS518</f>
        <v>#DIV/0!</v>
      </c>
      <c r="AP518" s="18"/>
      <c r="AQ518" s="18"/>
      <c r="AS518" s="21">
        <v>0</v>
      </c>
      <c r="AU518" s="15" t="str">
        <f>IF(AU517="*",AU517,"")</f>
        <v>*</v>
      </c>
      <c r="AV518" s="17" t="str">
        <f t="shared" si="411"/>
        <v>*FCEV*</v>
      </c>
      <c r="AW518" s="17" t="str">
        <f t="shared" si="411"/>
        <v>TRARDS</v>
      </c>
      <c r="AX518" s="17" t="str">
        <f t="shared" si="411"/>
        <v>TRAPASOBUDMD</v>
      </c>
      <c r="AY518" s="17" t="str">
        <f t="shared" si="411"/>
        <v>TRAPASOBUDMD</v>
      </c>
      <c r="AZ518" s="18">
        <v>2040</v>
      </c>
      <c r="BA518" s="18" t="str">
        <f>BA517</f>
        <v>LO</v>
      </c>
      <c r="BB518" s="18"/>
      <c r="BC518" s="20" t="e">
        <f>-SUMIFS('TRA RESID'!$P:$P,'TRA RESID'!$I:$I,AY518,'TRA RESID'!$J:$J,AV518,'TRA RESID'!$H:$H,AW518)/SUMIFS('TRA RESID'!$P:$P,'TRA RESID'!$I:$I,AY518)*BG518</f>
        <v>#DIV/0!</v>
      </c>
      <c r="BD518" s="18"/>
      <c r="BE518" s="18"/>
      <c r="BG518" s="21">
        <v>0</v>
      </c>
    </row>
    <row r="519" spans="1:59" x14ac:dyDescent="0.25">
      <c r="C519" s="23" t="str">
        <f>IF(C518="*",C518,"")</f>
        <v>*</v>
      </c>
      <c r="D519" s="25" t="str">
        <f t="shared" si="408"/>
        <v>*ICEV*</v>
      </c>
      <c r="E519" s="25" t="str">
        <f t="shared" si="408"/>
        <v>TRARDS</v>
      </c>
      <c r="F519" s="25" t="str">
        <f t="shared" si="408"/>
        <v>TRAPASOBUDMD</v>
      </c>
      <c r="G519" s="25" t="str">
        <f t="shared" si="408"/>
        <v>TRAPASOBUDMD</v>
      </c>
      <c r="H519" s="26">
        <v>2050</v>
      </c>
      <c r="I519" s="26" t="str">
        <f>I517</f>
        <v>LO</v>
      </c>
      <c r="J519" s="26"/>
      <c r="K519" s="27" t="e">
        <f>-SUMIFS('TRA RESID'!$P:$P,'TRA RESID'!$I:$I,G519,'TRA RESID'!$J:$J,D519,'TRA RESID'!$H:$H,E519)/SUMIFS('TRA RESID'!$P:$P,'TRA RESID'!$I:$I,G519)*O519</f>
        <v>#DIV/0!</v>
      </c>
      <c r="L519" s="26"/>
      <c r="M519" s="26"/>
      <c r="O519" s="28">
        <v>0</v>
      </c>
      <c r="S519" s="23" t="str">
        <f>IF(S518="*",S518,"")</f>
        <v>*</v>
      </c>
      <c r="T519" s="25" t="str">
        <f t="shared" si="409"/>
        <v>*BEV*</v>
      </c>
      <c r="U519" s="25" t="str">
        <f t="shared" si="409"/>
        <v>TRARDS</v>
      </c>
      <c r="V519" s="25" t="str">
        <f t="shared" si="409"/>
        <v>TRAPASOBUDMD</v>
      </c>
      <c r="W519" s="25" t="str">
        <f t="shared" si="409"/>
        <v>TRAPASOBUDMD</v>
      </c>
      <c r="X519" s="26">
        <v>2050</v>
      </c>
      <c r="Y519" s="26" t="str">
        <f>Y517</f>
        <v>LO</v>
      </c>
      <c r="Z519" s="26"/>
      <c r="AA519" s="27" t="e">
        <f>-SUMIFS('TRA RESID'!$P:$P,'TRA RESID'!$I:$I,W519,'TRA RESID'!$J:$J,T519,'TRA RESID'!$H:$H,U519)/SUMIFS('TRA RESID'!$P:$P,'TRA RESID'!$I:$I,W519)*AE519</f>
        <v>#DIV/0!</v>
      </c>
      <c r="AB519" s="26"/>
      <c r="AC519" s="26"/>
      <c r="AE519" s="28">
        <v>1</v>
      </c>
      <c r="AG519" s="23" t="str">
        <f>IF(AG518="*",AG518,"")</f>
        <v>*</v>
      </c>
      <c r="AH519" s="25" t="str">
        <f t="shared" si="410"/>
        <v>*HEV*</v>
      </c>
      <c r="AI519" s="25" t="str">
        <f t="shared" si="410"/>
        <v>TRARDS</v>
      </c>
      <c r="AJ519" s="25" t="str">
        <f t="shared" si="410"/>
        <v>TRAPASOBUDMD</v>
      </c>
      <c r="AK519" s="25" t="str">
        <f t="shared" si="410"/>
        <v>TRAPASOBUDMD</v>
      </c>
      <c r="AL519" s="26">
        <v>2050</v>
      </c>
      <c r="AM519" s="26" t="str">
        <f>AM517</f>
        <v>LO</v>
      </c>
      <c r="AN519" s="26"/>
      <c r="AO519" s="27" t="e">
        <f>-SUMIFS('TRA RESID'!$P:$P,'TRA RESID'!$I:$I,AK519,'TRA RESID'!$J:$J,AH519,'TRA RESID'!$H:$H,AI519)/SUMIFS('TRA RESID'!$P:$P,'TRA RESID'!$I:$I,AK519)*AS519</f>
        <v>#DIV/0!</v>
      </c>
      <c r="AP519" s="26"/>
      <c r="AQ519" s="26"/>
      <c r="AS519" s="28">
        <v>0</v>
      </c>
      <c r="AU519" s="23" t="str">
        <f>IF(AU518="*",AU518,"")</f>
        <v>*</v>
      </c>
      <c r="AV519" s="25" t="str">
        <f t="shared" si="411"/>
        <v>*FCEV*</v>
      </c>
      <c r="AW519" s="25" t="str">
        <f t="shared" si="411"/>
        <v>TRARDS</v>
      </c>
      <c r="AX519" s="25" t="str">
        <f t="shared" si="411"/>
        <v>TRAPASOBUDMD</v>
      </c>
      <c r="AY519" s="25" t="str">
        <f t="shared" si="411"/>
        <v>TRAPASOBUDMD</v>
      </c>
      <c r="AZ519" s="26">
        <v>2050</v>
      </c>
      <c r="BA519" s="26" t="str">
        <f>BA517</f>
        <v>LO</v>
      </c>
      <c r="BB519" s="26"/>
      <c r="BC519" s="27" t="e">
        <f>-SUMIFS('TRA RESID'!$P:$P,'TRA RESID'!$I:$I,AY519,'TRA RESID'!$J:$J,AV519,'TRA RESID'!$H:$H,AW519)/SUMIFS('TRA RESID'!$P:$P,'TRA RESID'!$I:$I,AY519)*BG519</f>
        <v>#DIV/0!</v>
      </c>
      <c r="BD519" s="26"/>
      <c r="BE519" s="26"/>
      <c r="BG519" s="28">
        <v>0</v>
      </c>
    </row>
    <row r="520" spans="1:59" x14ac:dyDescent="0.25">
      <c r="A520">
        <f>A515+1</f>
        <v>104</v>
      </c>
      <c r="C520" s="15" t="str">
        <f>IF(E520="","",IF(_xlfn.XLOOKUP($A520,Selected_constraint!$A:$A,Selected_constraint!$D:$D)=1,"*",IF(SUMIFS('TRA TECH'!$M:$M,'TRA TECH'!$H:$H,E520,'TRA TECH'!$I:$I,F520)=0,"*",IF(SUMIFS('TRA RESID'!$P:$P,'TRA RESID'!$I:$I,G520,'TRA RESID'!$J:$J,D520,'TRA RESID'!$H:$H,E520)=0,"*","UC_"&amp;SUBSTITUTE(D520,"*","")&amp;"_"&amp;RIGHT(E520,3)&amp;"_"&amp;F520))))</f>
        <v>*</v>
      </c>
      <c r="D520" s="17" t="s">
        <v>485</v>
      </c>
      <c r="E520" s="17" t="str">
        <f>_xlfn.XLOOKUP($A520,Selected_constraint!$A:$A,Selected_constraint!$B:$B)</f>
        <v>TRABDS</v>
      </c>
      <c r="F520" s="17" t="str">
        <f>_xlfn.XLOOKUP($A520,Selected_constraint!$A:$A,Selected_constraint!$C:$C)</f>
        <v>TRAPASOBUDMD</v>
      </c>
      <c r="G520" s="17" t="str">
        <f>F520</f>
        <v>TRAPASOBUDMD</v>
      </c>
      <c r="H520" s="18">
        <v>2019</v>
      </c>
      <c r="I520" s="18" t="s">
        <v>483</v>
      </c>
      <c r="J520" s="18">
        <v>1</v>
      </c>
      <c r="K520" s="20" t="e">
        <f>-SUMIFS('TRA RESID'!$P:$P,'TRA RESID'!$I:$I,G520,'TRA RESID'!$J:$J,D520,'TRA RESID'!$H:$H,E520)/SUMIFS('TRA RESID'!$P:$P,'TRA RESID'!$I:$I,G520)*O520</f>
        <v>#DIV/0!</v>
      </c>
      <c r="L520" s="18">
        <v>0</v>
      </c>
      <c r="M520" s="18">
        <v>5</v>
      </c>
      <c r="O520" s="21">
        <v>0.98</v>
      </c>
      <c r="Q520">
        <f>Q515+1</f>
        <v>104</v>
      </c>
      <c r="S520" s="15" t="str">
        <f>IF(SUMIFS('TRA RESID'!$P:$P,'TRA RESID'!$I:$I,W520,'TRA RESID'!$J:$J,T520,'TRA RESID'!$H:$H,U520)=0,"*","UC_"&amp;SUBSTITUTE(T520,"*","")&amp;"_"&amp;RIGHT(U520,3)&amp;"_"&amp;V520)</f>
        <v>*</v>
      </c>
      <c r="T520" s="17" t="s">
        <v>486</v>
      </c>
      <c r="U520" s="17" t="str">
        <f>_xlfn.XLOOKUP($A520,Selected_constraint!$A:$A,Selected_constraint!$B:$B)</f>
        <v>TRABDS</v>
      </c>
      <c r="V520" s="17" t="str">
        <f>_xlfn.XLOOKUP($A520,Selected_constraint!$A:$A,Selected_constraint!$C:$C)</f>
        <v>TRAPASOBUDMD</v>
      </c>
      <c r="W520" s="17" t="str">
        <f>V520</f>
        <v>TRAPASOBUDMD</v>
      </c>
      <c r="X520" s="18">
        <v>2019</v>
      </c>
      <c r="Y520" s="18" t="s">
        <v>483</v>
      </c>
      <c r="Z520" s="18">
        <v>1</v>
      </c>
      <c r="AA520" s="20" t="e">
        <f>-SUMIFS('TRA RESID'!$P:$P,'TRA RESID'!$I:$I,W520,'TRA RESID'!$J:$J,T520,'TRA RESID'!$H:$H,U520)/SUMIFS('TRA RESID'!$P:$P,'TRA RESID'!$I:$I,W520)*AE520</f>
        <v>#DIV/0!</v>
      </c>
      <c r="AB520" s="18">
        <v>0</v>
      </c>
      <c r="AC520" s="18">
        <v>5</v>
      </c>
      <c r="AE520" s="21">
        <v>0.98</v>
      </c>
      <c r="AG520" s="15" t="str">
        <f>IF(SUMIFS('TRA RESID'!$P:$P,'TRA RESID'!$I:$I,AK520,'TRA RESID'!$J:$J,AH520,'TRA RESID'!$H:$H,AI520)=0,"*","UC_"&amp;SUBSTITUTE(AH520,"*","")&amp;"_"&amp;RIGHT(AI520,3)&amp;"_"&amp;AJ520)</f>
        <v>*</v>
      </c>
      <c r="AH520" s="17" t="s">
        <v>487</v>
      </c>
      <c r="AI520" s="17" t="str">
        <f>_xlfn.XLOOKUP($A520,Selected_constraint!$A:$A,Selected_constraint!$B:$B)</f>
        <v>TRABDS</v>
      </c>
      <c r="AJ520" s="17" t="str">
        <f>_xlfn.XLOOKUP($A520,Selected_constraint!$A:$A,Selected_constraint!$C:$C)</f>
        <v>TRAPASOBUDMD</v>
      </c>
      <c r="AK520" s="17" t="str">
        <f>AJ520</f>
        <v>TRAPASOBUDMD</v>
      </c>
      <c r="AL520" s="18">
        <v>2019</v>
      </c>
      <c r="AM520" s="18" t="s">
        <v>483</v>
      </c>
      <c r="AN520" s="18">
        <v>1</v>
      </c>
      <c r="AO520" s="20" t="e">
        <f>-SUMIFS('TRA RESID'!$P:$P,'TRA RESID'!$I:$I,AK520,'TRA RESID'!$J:$J,AH520,'TRA RESID'!$H:$H,AI520)/SUMIFS('TRA RESID'!$P:$P,'TRA RESID'!$I:$I,AK520)*AS520</f>
        <v>#DIV/0!</v>
      </c>
      <c r="AP520" s="18">
        <v>0</v>
      </c>
      <c r="AQ520" s="18">
        <v>5</v>
      </c>
      <c r="AS520" s="21">
        <v>0.98</v>
      </c>
      <c r="AU520" s="15" t="str">
        <f>IF(SUMIFS('TRA RESID'!$P:$P,'TRA RESID'!$I:$I,AY520,'TRA RESID'!$J:$J,AV520,'TRA RESID'!$H:$H,AW520)=0,"*","UC_"&amp;SUBSTITUTE(AV520,"*","")&amp;"_"&amp;RIGHT(AW520,3)&amp;"_"&amp;AX520)</f>
        <v>*</v>
      </c>
      <c r="AV520" s="17" t="s">
        <v>488</v>
      </c>
      <c r="AW520" s="17" t="str">
        <f>_xlfn.XLOOKUP($A520,Selected_constraint!$A:$A,Selected_constraint!$B:$B)</f>
        <v>TRABDS</v>
      </c>
      <c r="AX520" s="17" t="str">
        <f>_xlfn.XLOOKUP($A520,Selected_constraint!$A:$A,Selected_constraint!$C:$C)</f>
        <v>TRAPASOBUDMD</v>
      </c>
      <c r="AY520" s="17" t="str">
        <f>AX520</f>
        <v>TRAPASOBUDMD</v>
      </c>
      <c r="AZ520" s="18">
        <v>2019</v>
      </c>
      <c r="BA520" s="18" t="s">
        <v>483</v>
      </c>
      <c r="BB520" s="18">
        <v>1</v>
      </c>
      <c r="BC520" s="20" t="e">
        <f>-SUMIFS('TRA RESID'!$P:$P,'TRA RESID'!$I:$I,AY520,'TRA RESID'!$J:$J,AV520,'TRA RESID'!$H:$H,AW520)/SUMIFS('TRA RESID'!$P:$P,'TRA RESID'!$I:$I,AY520)*BG520</f>
        <v>#DIV/0!</v>
      </c>
      <c r="BD520" s="18">
        <v>0</v>
      </c>
      <c r="BE520" s="18">
        <v>5</v>
      </c>
      <c r="BG520" s="21">
        <v>0.98</v>
      </c>
    </row>
    <row r="521" spans="1:59" x14ac:dyDescent="0.25">
      <c r="C521" s="15" t="str">
        <f>IF(C520="*",C520,"")</f>
        <v>*</v>
      </c>
      <c r="D521" s="17" t="str">
        <f t="shared" ref="D521:G524" si="412">D520</f>
        <v>*ICEV*</v>
      </c>
      <c r="E521" s="17" t="str">
        <f t="shared" si="412"/>
        <v>TRABDS</v>
      </c>
      <c r="F521" s="17" t="str">
        <f t="shared" si="412"/>
        <v>TRAPASOBUDMD</v>
      </c>
      <c r="G521" s="17" t="str">
        <f t="shared" si="412"/>
        <v>TRAPASOBUDMD</v>
      </c>
      <c r="H521" s="18">
        <v>2025</v>
      </c>
      <c r="I521" s="18" t="str">
        <f>I520</f>
        <v>LO</v>
      </c>
      <c r="J521" s="18"/>
      <c r="K521" s="20" t="e">
        <f>-SUMIFS('TRA RESID'!$P:$P,'TRA RESID'!$I:$I,G521,'TRA RESID'!$J:$J,D521,'TRA RESID'!$H:$H,E521)/SUMIFS('TRA RESID'!$P:$P,'TRA RESID'!$I:$I,G521)*O521</f>
        <v>#DIV/0!</v>
      </c>
      <c r="L521" s="18"/>
      <c r="M521" s="18"/>
      <c r="O521" s="21">
        <v>0.8</v>
      </c>
      <c r="S521" s="15" t="str">
        <f>IF(S520="*",S520,"")</f>
        <v>*</v>
      </c>
      <c r="T521" s="17" t="str">
        <f t="shared" ref="T521:W524" si="413">T520</f>
        <v>*BEV*</v>
      </c>
      <c r="U521" s="17" t="str">
        <f t="shared" si="413"/>
        <v>TRABDS</v>
      </c>
      <c r="V521" s="17" t="str">
        <f t="shared" si="413"/>
        <v>TRAPASOBUDMD</v>
      </c>
      <c r="W521" s="17" t="str">
        <f t="shared" si="413"/>
        <v>TRAPASOBUDMD</v>
      </c>
      <c r="X521" s="18">
        <v>2025</v>
      </c>
      <c r="Y521" s="18" t="str">
        <f>Y520</f>
        <v>LO</v>
      </c>
      <c r="Z521" s="18"/>
      <c r="AA521" s="20" t="e">
        <f>-SUMIFS('TRA RESID'!$P:$P,'TRA RESID'!$I:$I,W521,'TRA RESID'!$J:$J,T521,'TRA RESID'!$H:$H,U521)/SUMIFS('TRA RESID'!$P:$P,'TRA RESID'!$I:$I,W521)*AE521</f>
        <v>#DIV/0!</v>
      </c>
      <c r="AB521" s="18"/>
      <c r="AC521" s="18"/>
      <c r="AE521" s="21">
        <v>1</v>
      </c>
      <c r="AG521" s="15" t="str">
        <f>IF(AG520="*",AG520,"")</f>
        <v>*</v>
      </c>
      <c r="AH521" s="17" t="str">
        <f t="shared" ref="AH521:AK524" si="414">AH520</f>
        <v>*HEV*</v>
      </c>
      <c r="AI521" s="17" t="str">
        <f t="shared" si="414"/>
        <v>TRABDS</v>
      </c>
      <c r="AJ521" s="17" t="str">
        <f t="shared" si="414"/>
        <v>TRAPASOBUDMD</v>
      </c>
      <c r="AK521" s="17" t="str">
        <f t="shared" si="414"/>
        <v>TRAPASOBUDMD</v>
      </c>
      <c r="AL521" s="18">
        <v>2025</v>
      </c>
      <c r="AM521" s="18" t="str">
        <f>AM520</f>
        <v>LO</v>
      </c>
      <c r="AN521" s="18"/>
      <c r="AO521" s="20" t="e">
        <f>-SUMIFS('TRA RESID'!$P:$P,'TRA RESID'!$I:$I,AK521,'TRA RESID'!$J:$J,AH521,'TRA RESID'!$H:$H,AI521)/SUMIFS('TRA RESID'!$P:$P,'TRA RESID'!$I:$I,AK521)*AS521</f>
        <v>#DIV/0!</v>
      </c>
      <c r="AP521" s="18"/>
      <c r="AQ521" s="18"/>
      <c r="AS521" s="21">
        <v>0.8</v>
      </c>
      <c r="AU521" s="15" t="str">
        <f>IF(AU520="*",AU520,"")</f>
        <v>*</v>
      </c>
      <c r="AV521" s="17" t="str">
        <f t="shared" ref="AV521:AY524" si="415">AV520</f>
        <v>*FCEV*</v>
      </c>
      <c r="AW521" s="17" t="str">
        <f t="shared" si="415"/>
        <v>TRABDS</v>
      </c>
      <c r="AX521" s="17" t="str">
        <f t="shared" si="415"/>
        <v>TRAPASOBUDMD</v>
      </c>
      <c r="AY521" s="17" t="str">
        <f t="shared" si="415"/>
        <v>TRAPASOBUDMD</v>
      </c>
      <c r="AZ521" s="18">
        <v>2025</v>
      </c>
      <c r="BA521" s="18" t="str">
        <f>BA520</f>
        <v>LO</v>
      </c>
      <c r="BB521" s="18"/>
      <c r="BC521" s="20" t="e">
        <f>-SUMIFS('TRA RESID'!$P:$P,'TRA RESID'!$I:$I,AY521,'TRA RESID'!$J:$J,AV521,'TRA RESID'!$H:$H,AW521)/SUMIFS('TRA RESID'!$P:$P,'TRA RESID'!$I:$I,AY521)*BG521</f>
        <v>#DIV/0!</v>
      </c>
      <c r="BD521" s="18"/>
      <c r="BE521" s="18"/>
      <c r="BG521" s="21">
        <v>0.8</v>
      </c>
    </row>
    <row r="522" spans="1:59" x14ac:dyDescent="0.25">
      <c r="C522" s="15" t="str">
        <f>IF(C521="*",C521,"")</f>
        <v>*</v>
      </c>
      <c r="D522" s="17" t="str">
        <f t="shared" si="412"/>
        <v>*ICEV*</v>
      </c>
      <c r="E522" s="17" t="str">
        <f t="shared" si="412"/>
        <v>TRABDS</v>
      </c>
      <c r="F522" s="17" t="str">
        <f t="shared" si="412"/>
        <v>TRAPASOBUDMD</v>
      </c>
      <c r="G522" s="17" t="str">
        <f t="shared" si="412"/>
        <v>TRAPASOBUDMD</v>
      </c>
      <c r="H522" s="18">
        <v>2030</v>
      </c>
      <c r="I522" s="18" t="str">
        <f>I521</f>
        <v>LO</v>
      </c>
      <c r="J522" s="18"/>
      <c r="K522" s="20" t="e">
        <f>-SUMIFS('TRA RESID'!$P:$P,'TRA RESID'!$I:$I,G522,'TRA RESID'!$J:$J,D522,'TRA RESID'!$H:$H,E522)/SUMIFS('TRA RESID'!$P:$P,'TRA RESID'!$I:$I,G522)*O522</f>
        <v>#DIV/0!</v>
      </c>
      <c r="L522" s="18"/>
      <c r="M522" s="18"/>
      <c r="O522" s="21">
        <v>0.5</v>
      </c>
      <c r="S522" s="15" t="str">
        <f>IF(S521="*",S521,"")</f>
        <v>*</v>
      </c>
      <c r="T522" s="17" t="str">
        <f t="shared" si="413"/>
        <v>*BEV*</v>
      </c>
      <c r="U522" s="17" t="str">
        <f t="shared" si="413"/>
        <v>TRABDS</v>
      </c>
      <c r="V522" s="17" t="str">
        <f t="shared" si="413"/>
        <v>TRAPASOBUDMD</v>
      </c>
      <c r="W522" s="17" t="str">
        <f t="shared" si="413"/>
        <v>TRAPASOBUDMD</v>
      </c>
      <c r="X522" s="18">
        <v>2030</v>
      </c>
      <c r="Y522" s="18" t="str">
        <f>Y521</f>
        <v>LO</v>
      </c>
      <c r="Z522" s="18"/>
      <c r="AA522" s="20" t="e">
        <f>-SUMIFS('TRA RESID'!$P:$P,'TRA RESID'!$I:$I,W522,'TRA RESID'!$J:$J,T522,'TRA RESID'!$H:$H,U522)/SUMIFS('TRA RESID'!$P:$P,'TRA RESID'!$I:$I,W522)*AE522</f>
        <v>#DIV/0!</v>
      </c>
      <c r="AB522" s="18"/>
      <c r="AC522" s="18"/>
      <c r="AE522" s="21">
        <v>1</v>
      </c>
      <c r="AG522" s="15" t="str">
        <f>IF(AG521="*",AG521,"")</f>
        <v>*</v>
      </c>
      <c r="AH522" s="17" t="str">
        <f t="shared" si="414"/>
        <v>*HEV*</v>
      </c>
      <c r="AI522" s="17" t="str">
        <f t="shared" si="414"/>
        <v>TRABDS</v>
      </c>
      <c r="AJ522" s="17" t="str">
        <f t="shared" si="414"/>
        <v>TRAPASOBUDMD</v>
      </c>
      <c r="AK522" s="17" t="str">
        <f t="shared" si="414"/>
        <v>TRAPASOBUDMD</v>
      </c>
      <c r="AL522" s="18">
        <v>2030</v>
      </c>
      <c r="AM522" s="18" t="str">
        <f>AM521</f>
        <v>LO</v>
      </c>
      <c r="AN522" s="18"/>
      <c r="AO522" s="20" t="e">
        <f>-SUMIFS('TRA RESID'!$P:$P,'TRA RESID'!$I:$I,AK522,'TRA RESID'!$J:$J,AH522,'TRA RESID'!$H:$H,AI522)/SUMIFS('TRA RESID'!$P:$P,'TRA RESID'!$I:$I,AK522)*AS522</f>
        <v>#DIV/0!</v>
      </c>
      <c r="AP522" s="18"/>
      <c r="AQ522" s="18"/>
      <c r="AS522" s="21">
        <v>0.5</v>
      </c>
      <c r="AU522" s="15" t="str">
        <f>IF(AU521="*",AU521,"")</f>
        <v>*</v>
      </c>
      <c r="AV522" s="17" t="str">
        <f t="shared" si="415"/>
        <v>*FCEV*</v>
      </c>
      <c r="AW522" s="17" t="str">
        <f t="shared" si="415"/>
        <v>TRABDS</v>
      </c>
      <c r="AX522" s="17" t="str">
        <f t="shared" si="415"/>
        <v>TRAPASOBUDMD</v>
      </c>
      <c r="AY522" s="17" t="str">
        <f t="shared" si="415"/>
        <v>TRAPASOBUDMD</v>
      </c>
      <c r="AZ522" s="18">
        <v>2030</v>
      </c>
      <c r="BA522" s="18" t="str">
        <f>BA521</f>
        <v>LO</v>
      </c>
      <c r="BB522" s="18"/>
      <c r="BC522" s="20" t="e">
        <f>-SUMIFS('TRA RESID'!$P:$P,'TRA RESID'!$I:$I,AY522,'TRA RESID'!$J:$J,AV522,'TRA RESID'!$H:$H,AW522)/SUMIFS('TRA RESID'!$P:$P,'TRA RESID'!$I:$I,AY522)*BG522</f>
        <v>#DIV/0!</v>
      </c>
      <c r="BD522" s="18"/>
      <c r="BE522" s="18"/>
      <c r="BG522" s="21">
        <v>0.5</v>
      </c>
    </row>
    <row r="523" spans="1:59" x14ac:dyDescent="0.25">
      <c r="C523" s="15" t="str">
        <f>IF(C522="*",C522,"")</f>
        <v>*</v>
      </c>
      <c r="D523" s="17" t="str">
        <f t="shared" si="412"/>
        <v>*ICEV*</v>
      </c>
      <c r="E523" s="17" t="str">
        <f t="shared" si="412"/>
        <v>TRABDS</v>
      </c>
      <c r="F523" s="17" t="str">
        <f t="shared" si="412"/>
        <v>TRAPASOBUDMD</v>
      </c>
      <c r="G523" s="17" t="str">
        <f t="shared" si="412"/>
        <v>TRAPASOBUDMD</v>
      </c>
      <c r="H523" s="18">
        <v>2040</v>
      </c>
      <c r="I523" s="18" t="str">
        <f>I522</f>
        <v>LO</v>
      </c>
      <c r="J523" s="18"/>
      <c r="K523" s="20" t="e">
        <f>-SUMIFS('TRA RESID'!$P:$P,'TRA RESID'!$I:$I,G523,'TRA RESID'!$J:$J,D523,'TRA RESID'!$H:$H,E523)/SUMIFS('TRA RESID'!$P:$P,'TRA RESID'!$I:$I,G523)*O523</f>
        <v>#DIV/0!</v>
      </c>
      <c r="L523" s="18"/>
      <c r="M523" s="18"/>
      <c r="O523" s="21">
        <v>0</v>
      </c>
      <c r="S523" s="15" t="str">
        <f>IF(S522="*",S522,"")</f>
        <v>*</v>
      </c>
      <c r="T523" s="17" t="str">
        <f t="shared" si="413"/>
        <v>*BEV*</v>
      </c>
      <c r="U523" s="17" t="str">
        <f t="shared" si="413"/>
        <v>TRABDS</v>
      </c>
      <c r="V523" s="17" t="str">
        <f t="shared" si="413"/>
        <v>TRAPASOBUDMD</v>
      </c>
      <c r="W523" s="17" t="str">
        <f t="shared" si="413"/>
        <v>TRAPASOBUDMD</v>
      </c>
      <c r="X523" s="18">
        <v>2040</v>
      </c>
      <c r="Y523" s="18" t="str">
        <f>Y522</f>
        <v>LO</v>
      </c>
      <c r="Z523" s="18"/>
      <c r="AA523" s="20" t="e">
        <f>-SUMIFS('TRA RESID'!$P:$P,'TRA RESID'!$I:$I,W523,'TRA RESID'!$J:$J,T523,'TRA RESID'!$H:$H,U523)/SUMIFS('TRA RESID'!$P:$P,'TRA RESID'!$I:$I,W523)*AE523</f>
        <v>#DIV/0!</v>
      </c>
      <c r="AB523" s="18"/>
      <c r="AC523" s="18"/>
      <c r="AE523" s="21">
        <v>1</v>
      </c>
      <c r="AG523" s="15" t="str">
        <f>IF(AG522="*",AG522,"")</f>
        <v>*</v>
      </c>
      <c r="AH523" s="17" t="str">
        <f t="shared" si="414"/>
        <v>*HEV*</v>
      </c>
      <c r="AI523" s="17" t="str">
        <f t="shared" si="414"/>
        <v>TRABDS</v>
      </c>
      <c r="AJ523" s="17" t="str">
        <f t="shared" si="414"/>
        <v>TRAPASOBUDMD</v>
      </c>
      <c r="AK523" s="17" t="str">
        <f t="shared" si="414"/>
        <v>TRAPASOBUDMD</v>
      </c>
      <c r="AL523" s="18">
        <v>2040</v>
      </c>
      <c r="AM523" s="18" t="str">
        <f>AM522</f>
        <v>LO</v>
      </c>
      <c r="AN523" s="18"/>
      <c r="AO523" s="20" t="e">
        <f>-SUMIFS('TRA RESID'!$P:$P,'TRA RESID'!$I:$I,AK523,'TRA RESID'!$J:$J,AH523,'TRA RESID'!$H:$H,AI523)/SUMIFS('TRA RESID'!$P:$P,'TRA RESID'!$I:$I,AK523)*AS523</f>
        <v>#DIV/0!</v>
      </c>
      <c r="AP523" s="18"/>
      <c r="AQ523" s="18"/>
      <c r="AS523" s="21">
        <v>0</v>
      </c>
      <c r="AU523" s="15" t="str">
        <f>IF(AU522="*",AU522,"")</f>
        <v>*</v>
      </c>
      <c r="AV523" s="17" t="str">
        <f t="shared" si="415"/>
        <v>*FCEV*</v>
      </c>
      <c r="AW523" s="17" t="str">
        <f t="shared" si="415"/>
        <v>TRABDS</v>
      </c>
      <c r="AX523" s="17" t="str">
        <f t="shared" si="415"/>
        <v>TRAPASOBUDMD</v>
      </c>
      <c r="AY523" s="17" t="str">
        <f t="shared" si="415"/>
        <v>TRAPASOBUDMD</v>
      </c>
      <c r="AZ523" s="18">
        <v>2040</v>
      </c>
      <c r="BA523" s="18" t="str">
        <f>BA522</f>
        <v>LO</v>
      </c>
      <c r="BB523" s="18"/>
      <c r="BC523" s="20" t="e">
        <f>-SUMIFS('TRA RESID'!$P:$P,'TRA RESID'!$I:$I,AY523,'TRA RESID'!$J:$J,AV523,'TRA RESID'!$H:$H,AW523)/SUMIFS('TRA RESID'!$P:$P,'TRA RESID'!$I:$I,AY523)*BG523</f>
        <v>#DIV/0!</v>
      </c>
      <c r="BD523" s="18"/>
      <c r="BE523" s="18"/>
      <c r="BG523" s="21">
        <v>0</v>
      </c>
    </row>
    <row r="524" spans="1:59" x14ac:dyDescent="0.25">
      <c r="C524" s="23" t="str">
        <f>IF(C523="*",C523,"")</f>
        <v>*</v>
      </c>
      <c r="D524" s="25" t="str">
        <f t="shared" si="412"/>
        <v>*ICEV*</v>
      </c>
      <c r="E524" s="25" t="str">
        <f t="shared" si="412"/>
        <v>TRABDS</v>
      </c>
      <c r="F524" s="25" t="str">
        <f t="shared" si="412"/>
        <v>TRAPASOBUDMD</v>
      </c>
      <c r="G524" s="25" t="str">
        <f t="shared" si="412"/>
        <v>TRAPASOBUDMD</v>
      </c>
      <c r="H524" s="26">
        <v>2050</v>
      </c>
      <c r="I524" s="26" t="str">
        <f>I522</f>
        <v>LO</v>
      </c>
      <c r="J524" s="26"/>
      <c r="K524" s="27" t="e">
        <f>-SUMIFS('TRA RESID'!$P:$P,'TRA RESID'!$I:$I,G524,'TRA RESID'!$J:$J,D524,'TRA RESID'!$H:$H,E524)/SUMIFS('TRA RESID'!$P:$P,'TRA RESID'!$I:$I,G524)*O524</f>
        <v>#DIV/0!</v>
      </c>
      <c r="L524" s="26"/>
      <c r="M524" s="26"/>
      <c r="O524" s="28">
        <v>0</v>
      </c>
      <c r="S524" s="23" t="str">
        <f>IF(S523="*",S523,"")</f>
        <v>*</v>
      </c>
      <c r="T524" s="25" t="str">
        <f t="shared" si="413"/>
        <v>*BEV*</v>
      </c>
      <c r="U524" s="25" t="str">
        <f t="shared" si="413"/>
        <v>TRABDS</v>
      </c>
      <c r="V524" s="25" t="str">
        <f t="shared" si="413"/>
        <v>TRAPASOBUDMD</v>
      </c>
      <c r="W524" s="25" t="str">
        <f t="shared" si="413"/>
        <v>TRAPASOBUDMD</v>
      </c>
      <c r="X524" s="26">
        <v>2050</v>
      </c>
      <c r="Y524" s="26" t="str">
        <f>Y522</f>
        <v>LO</v>
      </c>
      <c r="Z524" s="26"/>
      <c r="AA524" s="27" t="e">
        <f>-SUMIFS('TRA RESID'!$P:$P,'TRA RESID'!$I:$I,W524,'TRA RESID'!$J:$J,T524,'TRA RESID'!$H:$H,U524)/SUMIFS('TRA RESID'!$P:$P,'TRA RESID'!$I:$I,W524)*AE524</f>
        <v>#DIV/0!</v>
      </c>
      <c r="AB524" s="26"/>
      <c r="AC524" s="26"/>
      <c r="AE524" s="28">
        <v>1</v>
      </c>
      <c r="AG524" s="23" t="str">
        <f>IF(AG523="*",AG523,"")</f>
        <v>*</v>
      </c>
      <c r="AH524" s="25" t="str">
        <f t="shared" si="414"/>
        <v>*HEV*</v>
      </c>
      <c r="AI524" s="25" t="str">
        <f t="shared" si="414"/>
        <v>TRABDS</v>
      </c>
      <c r="AJ524" s="25" t="str">
        <f t="shared" si="414"/>
        <v>TRAPASOBUDMD</v>
      </c>
      <c r="AK524" s="25" t="str">
        <f t="shared" si="414"/>
        <v>TRAPASOBUDMD</v>
      </c>
      <c r="AL524" s="26">
        <v>2050</v>
      </c>
      <c r="AM524" s="26" t="str">
        <f>AM522</f>
        <v>LO</v>
      </c>
      <c r="AN524" s="26"/>
      <c r="AO524" s="27" t="e">
        <f>-SUMIFS('TRA RESID'!$P:$P,'TRA RESID'!$I:$I,AK524,'TRA RESID'!$J:$J,AH524,'TRA RESID'!$H:$H,AI524)/SUMIFS('TRA RESID'!$P:$P,'TRA RESID'!$I:$I,AK524)*AS524</f>
        <v>#DIV/0!</v>
      </c>
      <c r="AP524" s="26"/>
      <c r="AQ524" s="26"/>
      <c r="AS524" s="28">
        <v>0</v>
      </c>
      <c r="AU524" s="23" t="str">
        <f>IF(AU523="*",AU523,"")</f>
        <v>*</v>
      </c>
      <c r="AV524" s="25" t="str">
        <f t="shared" si="415"/>
        <v>*FCEV*</v>
      </c>
      <c r="AW524" s="25" t="str">
        <f t="shared" si="415"/>
        <v>TRABDS</v>
      </c>
      <c r="AX524" s="25" t="str">
        <f t="shared" si="415"/>
        <v>TRAPASOBUDMD</v>
      </c>
      <c r="AY524" s="25" t="str">
        <f t="shared" si="415"/>
        <v>TRAPASOBUDMD</v>
      </c>
      <c r="AZ524" s="26">
        <v>2050</v>
      </c>
      <c r="BA524" s="26" t="str">
        <f>BA522</f>
        <v>LO</v>
      </c>
      <c r="BB524" s="26"/>
      <c r="BC524" s="27" t="e">
        <f>-SUMIFS('TRA RESID'!$P:$P,'TRA RESID'!$I:$I,AY524,'TRA RESID'!$J:$J,AV524,'TRA RESID'!$H:$H,AW524)/SUMIFS('TRA RESID'!$P:$P,'TRA RESID'!$I:$I,AY524)*BG524</f>
        <v>#DIV/0!</v>
      </c>
      <c r="BD524" s="26"/>
      <c r="BE524" s="26"/>
      <c r="BG524" s="28">
        <v>0</v>
      </c>
    </row>
    <row r="525" spans="1:59" x14ac:dyDescent="0.25">
      <c r="A525">
        <f>A520+1</f>
        <v>105</v>
      </c>
      <c r="C525" s="15" t="str">
        <f>IF(E525="","",IF(_xlfn.XLOOKUP($A525,Selected_constraint!$A:$A,Selected_constraint!$D:$D)=1,"*",IF(SUMIFS('TRA TECH'!$M:$M,'TRA TECH'!$H:$H,E525,'TRA TECH'!$I:$I,F525)=0,"*",IF(SUMIFS('TRA RESID'!$P:$P,'TRA RESID'!$I:$I,G525,'TRA RESID'!$J:$J,D525,'TRA RESID'!$H:$H,E525)=0,"*","UC_"&amp;SUBSTITUTE(D525,"*","")&amp;"_"&amp;RIGHT(E525,3)&amp;"_"&amp;F525))))</f>
        <v>*</v>
      </c>
      <c r="D525" s="17" t="s">
        <v>485</v>
      </c>
      <c r="E525" s="17" t="str">
        <f>_xlfn.XLOOKUP($A525,Selected_constraint!$A:$A,Selected_constraint!$B:$B)</f>
        <v>TRACNG</v>
      </c>
      <c r="F525" s="17" t="str">
        <f>_xlfn.XLOOKUP($A525,Selected_constraint!$A:$A,Selected_constraint!$C:$C)</f>
        <v>TRAPASOBUDMD</v>
      </c>
      <c r="G525" s="17" t="str">
        <f>F525</f>
        <v>TRAPASOBUDMD</v>
      </c>
      <c r="H525" s="18">
        <v>2019</v>
      </c>
      <c r="I525" s="18" t="s">
        <v>483</v>
      </c>
      <c r="J525" s="18">
        <v>1</v>
      </c>
      <c r="K525" s="20" t="e">
        <f>-SUMIFS('TRA RESID'!$P:$P,'TRA RESID'!$I:$I,G525,'TRA RESID'!$J:$J,D525,'TRA RESID'!$H:$H,E525)/SUMIFS('TRA RESID'!$P:$P,'TRA RESID'!$I:$I,G525)*O525</f>
        <v>#DIV/0!</v>
      </c>
      <c r="L525" s="18">
        <v>0</v>
      </c>
      <c r="M525" s="18">
        <v>5</v>
      </c>
      <c r="O525" s="21">
        <v>0.98</v>
      </c>
      <c r="Q525">
        <f>Q520+1</f>
        <v>105</v>
      </c>
      <c r="S525" s="15" t="str">
        <f>IF(SUMIFS('TRA RESID'!$P:$P,'TRA RESID'!$I:$I,W525,'TRA RESID'!$J:$J,T525,'TRA RESID'!$H:$H,U525)=0,"*","UC_"&amp;SUBSTITUTE(T525,"*","")&amp;"_"&amp;RIGHT(U525,3)&amp;"_"&amp;V525)</f>
        <v>*</v>
      </c>
      <c r="T525" s="17" t="s">
        <v>486</v>
      </c>
      <c r="U525" s="17" t="str">
        <f>_xlfn.XLOOKUP($A525,Selected_constraint!$A:$A,Selected_constraint!$B:$B)</f>
        <v>TRACNG</v>
      </c>
      <c r="V525" s="17" t="str">
        <f>_xlfn.XLOOKUP($A525,Selected_constraint!$A:$A,Selected_constraint!$C:$C)</f>
        <v>TRAPASOBUDMD</v>
      </c>
      <c r="W525" s="17" t="str">
        <f>V525</f>
        <v>TRAPASOBUDMD</v>
      </c>
      <c r="X525" s="18">
        <v>2019</v>
      </c>
      <c r="Y525" s="18" t="s">
        <v>483</v>
      </c>
      <c r="Z525" s="18">
        <v>1</v>
      </c>
      <c r="AA525" s="20" t="e">
        <f>-SUMIFS('TRA RESID'!$P:$P,'TRA RESID'!$I:$I,W525,'TRA RESID'!$J:$J,T525,'TRA RESID'!$H:$H,U525)/SUMIFS('TRA RESID'!$P:$P,'TRA RESID'!$I:$I,W525)*AE525</f>
        <v>#DIV/0!</v>
      </c>
      <c r="AB525" s="18">
        <v>0</v>
      </c>
      <c r="AC525" s="18">
        <v>5</v>
      </c>
      <c r="AE525" s="21">
        <v>0.98</v>
      </c>
      <c r="AG525" s="15" t="str">
        <f>IF(SUMIFS('TRA RESID'!$P:$P,'TRA RESID'!$I:$I,AK525,'TRA RESID'!$J:$J,AH525,'TRA RESID'!$H:$H,AI525)=0,"*","UC_"&amp;SUBSTITUTE(AH525,"*","")&amp;"_"&amp;RIGHT(AI525,3)&amp;"_"&amp;AJ525)</f>
        <v>*</v>
      </c>
      <c r="AH525" s="17" t="s">
        <v>487</v>
      </c>
      <c r="AI525" s="17" t="str">
        <f>_xlfn.XLOOKUP($A525,Selected_constraint!$A:$A,Selected_constraint!$B:$B)</f>
        <v>TRACNG</v>
      </c>
      <c r="AJ525" s="17" t="str">
        <f>_xlfn.XLOOKUP($A525,Selected_constraint!$A:$A,Selected_constraint!$C:$C)</f>
        <v>TRAPASOBUDMD</v>
      </c>
      <c r="AK525" s="17" t="str">
        <f>AJ525</f>
        <v>TRAPASOBUDMD</v>
      </c>
      <c r="AL525" s="18">
        <v>2019</v>
      </c>
      <c r="AM525" s="18" t="s">
        <v>483</v>
      </c>
      <c r="AN525" s="18">
        <v>1</v>
      </c>
      <c r="AO525" s="20" t="e">
        <f>-SUMIFS('TRA RESID'!$P:$P,'TRA RESID'!$I:$I,AK525,'TRA RESID'!$J:$J,AH525,'TRA RESID'!$H:$H,AI525)/SUMIFS('TRA RESID'!$P:$P,'TRA RESID'!$I:$I,AK525)*AS525</f>
        <v>#DIV/0!</v>
      </c>
      <c r="AP525" s="18">
        <v>0</v>
      </c>
      <c r="AQ525" s="18">
        <v>5</v>
      </c>
      <c r="AS525" s="21">
        <v>0.98</v>
      </c>
      <c r="AU525" s="15" t="str">
        <f>IF(SUMIFS('TRA RESID'!$P:$P,'TRA RESID'!$I:$I,AY525,'TRA RESID'!$J:$J,AV525,'TRA RESID'!$H:$H,AW525)=0,"*","UC_"&amp;SUBSTITUTE(AV525,"*","")&amp;"_"&amp;RIGHT(AW525,3)&amp;"_"&amp;AX525)</f>
        <v>*</v>
      </c>
      <c r="AV525" s="17" t="s">
        <v>488</v>
      </c>
      <c r="AW525" s="17" t="str">
        <f>_xlfn.XLOOKUP($A525,Selected_constraint!$A:$A,Selected_constraint!$B:$B)</f>
        <v>TRACNG</v>
      </c>
      <c r="AX525" s="17" t="str">
        <f>_xlfn.XLOOKUP($A525,Selected_constraint!$A:$A,Selected_constraint!$C:$C)</f>
        <v>TRAPASOBUDMD</v>
      </c>
      <c r="AY525" s="17" t="str">
        <f>AX525</f>
        <v>TRAPASOBUDMD</v>
      </c>
      <c r="AZ525" s="18">
        <v>2019</v>
      </c>
      <c r="BA525" s="18" t="s">
        <v>483</v>
      </c>
      <c r="BB525" s="18">
        <v>1</v>
      </c>
      <c r="BC525" s="20" t="e">
        <f>-SUMIFS('TRA RESID'!$P:$P,'TRA RESID'!$I:$I,AY525,'TRA RESID'!$J:$J,AV525,'TRA RESID'!$H:$H,AW525)/SUMIFS('TRA RESID'!$P:$P,'TRA RESID'!$I:$I,AY525)*BG525</f>
        <v>#DIV/0!</v>
      </c>
      <c r="BD525" s="18">
        <v>0</v>
      </c>
      <c r="BE525" s="18">
        <v>5</v>
      </c>
      <c r="BG525" s="21">
        <v>0.98</v>
      </c>
    </row>
    <row r="526" spans="1:59" x14ac:dyDescent="0.25">
      <c r="C526" s="15" t="str">
        <f>IF(C525="*",C525,"")</f>
        <v>*</v>
      </c>
      <c r="D526" s="17" t="str">
        <f t="shared" ref="D526:G529" si="416">D525</f>
        <v>*ICEV*</v>
      </c>
      <c r="E526" s="17" t="str">
        <f t="shared" si="416"/>
        <v>TRACNG</v>
      </c>
      <c r="F526" s="17" t="str">
        <f t="shared" si="416"/>
        <v>TRAPASOBUDMD</v>
      </c>
      <c r="G526" s="17" t="str">
        <f t="shared" si="416"/>
        <v>TRAPASOBUDMD</v>
      </c>
      <c r="H526" s="18">
        <v>2025</v>
      </c>
      <c r="I526" s="18" t="str">
        <f>I525</f>
        <v>LO</v>
      </c>
      <c r="J526" s="18"/>
      <c r="K526" s="20" t="e">
        <f>-SUMIFS('TRA RESID'!$P:$P,'TRA RESID'!$I:$I,G526,'TRA RESID'!$J:$J,D526,'TRA RESID'!$H:$H,E526)/SUMIFS('TRA RESID'!$P:$P,'TRA RESID'!$I:$I,G526)*O526</f>
        <v>#DIV/0!</v>
      </c>
      <c r="L526" s="18"/>
      <c r="M526" s="18"/>
      <c r="O526" s="21">
        <v>0.8</v>
      </c>
      <c r="S526" s="15" t="str">
        <f>IF(S525="*",S525,"")</f>
        <v>*</v>
      </c>
      <c r="T526" s="17" t="str">
        <f t="shared" ref="T526:W529" si="417">T525</f>
        <v>*BEV*</v>
      </c>
      <c r="U526" s="17" t="str">
        <f t="shared" si="417"/>
        <v>TRACNG</v>
      </c>
      <c r="V526" s="17" t="str">
        <f t="shared" si="417"/>
        <v>TRAPASOBUDMD</v>
      </c>
      <c r="W526" s="17" t="str">
        <f t="shared" si="417"/>
        <v>TRAPASOBUDMD</v>
      </c>
      <c r="X526" s="18">
        <v>2025</v>
      </c>
      <c r="Y526" s="18" t="str">
        <f>Y525</f>
        <v>LO</v>
      </c>
      <c r="Z526" s="18"/>
      <c r="AA526" s="20" t="e">
        <f>-SUMIFS('TRA RESID'!$P:$P,'TRA RESID'!$I:$I,W526,'TRA RESID'!$J:$J,T526,'TRA RESID'!$H:$H,U526)/SUMIFS('TRA RESID'!$P:$P,'TRA RESID'!$I:$I,W526)*AE526</f>
        <v>#DIV/0!</v>
      </c>
      <c r="AB526" s="18"/>
      <c r="AC526" s="18"/>
      <c r="AE526" s="21">
        <v>1</v>
      </c>
      <c r="AG526" s="15" t="str">
        <f>IF(AG525="*",AG525,"")</f>
        <v>*</v>
      </c>
      <c r="AH526" s="17" t="str">
        <f t="shared" ref="AH526:AK529" si="418">AH525</f>
        <v>*HEV*</v>
      </c>
      <c r="AI526" s="17" t="str">
        <f t="shared" si="418"/>
        <v>TRACNG</v>
      </c>
      <c r="AJ526" s="17" t="str">
        <f t="shared" si="418"/>
        <v>TRAPASOBUDMD</v>
      </c>
      <c r="AK526" s="17" t="str">
        <f t="shared" si="418"/>
        <v>TRAPASOBUDMD</v>
      </c>
      <c r="AL526" s="18">
        <v>2025</v>
      </c>
      <c r="AM526" s="18" t="str">
        <f>AM525</f>
        <v>LO</v>
      </c>
      <c r="AN526" s="18"/>
      <c r="AO526" s="20" t="e">
        <f>-SUMIFS('TRA RESID'!$P:$P,'TRA RESID'!$I:$I,AK526,'TRA RESID'!$J:$J,AH526,'TRA RESID'!$H:$H,AI526)/SUMIFS('TRA RESID'!$P:$P,'TRA RESID'!$I:$I,AK526)*AS526</f>
        <v>#DIV/0!</v>
      </c>
      <c r="AP526" s="18"/>
      <c r="AQ526" s="18"/>
      <c r="AS526" s="21">
        <v>0.8</v>
      </c>
      <c r="AU526" s="15" t="str">
        <f>IF(AU525="*",AU525,"")</f>
        <v>*</v>
      </c>
      <c r="AV526" s="17" t="str">
        <f t="shared" ref="AV526:AY529" si="419">AV525</f>
        <v>*FCEV*</v>
      </c>
      <c r="AW526" s="17" t="str">
        <f t="shared" si="419"/>
        <v>TRACNG</v>
      </c>
      <c r="AX526" s="17" t="str">
        <f t="shared" si="419"/>
        <v>TRAPASOBUDMD</v>
      </c>
      <c r="AY526" s="17" t="str">
        <f t="shared" si="419"/>
        <v>TRAPASOBUDMD</v>
      </c>
      <c r="AZ526" s="18">
        <v>2025</v>
      </c>
      <c r="BA526" s="18" t="str">
        <f>BA525</f>
        <v>LO</v>
      </c>
      <c r="BB526" s="18"/>
      <c r="BC526" s="20" t="e">
        <f>-SUMIFS('TRA RESID'!$P:$P,'TRA RESID'!$I:$I,AY526,'TRA RESID'!$J:$J,AV526,'TRA RESID'!$H:$H,AW526)/SUMIFS('TRA RESID'!$P:$P,'TRA RESID'!$I:$I,AY526)*BG526</f>
        <v>#DIV/0!</v>
      </c>
      <c r="BD526" s="18"/>
      <c r="BE526" s="18"/>
      <c r="BG526" s="21">
        <v>0.8</v>
      </c>
    </row>
    <row r="527" spans="1:59" x14ac:dyDescent="0.25">
      <c r="C527" s="15" t="str">
        <f>IF(C526="*",C526,"")</f>
        <v>*</v>
      </c>
      <c r="D527" s="17" t="str">
        <f t="shared" si="416"/>
        <v>*ICEV*</v>
      </c>
      <c r="E527" s="17" t="str">
        <f t="shared" si="416"/>
        <v>TRACNG</v>
      </c>
      <c r="F527" s="17" t="str">
        <f t="shared" si="416"/>
        <v>TRAPASOBUDMD</v>
      </c>
      <c r="G527" s="17" t="str">
        <f t="shared" si="416"/>
        <v>TRAPASOBUDMD</v>
      </c>
      <c r="H527" s="18">
        <v>2030</v>
      </c>
      <c r="I527" s="18" t="str">
        <f>I526</f>
        <v>LO</v>
      </c>
      <c r="J527" s="18"/>
      <c r="K527" s="20" t="e">
        <f>-SUMIFS('TRA RESID'!$P:$P,'TRA RESID'!$I:$I,G527,'TRA RESID'!$J:$J,D527,'TRA RESID'!$H:$H,E527)/SUMIFS('TRA RESID'!$P:$P,'TRA RESID'!$I:$I,G527)*O527</f>
        <v>#DIV/0!</v>
      </c>
      <c r="L527" s="18"/>
      <c r="M527" s="18"/>
      <c r="O527" s="21">
        <v>0.5</v>
      </c>
      <c r="S527" s="15" t="str">
        <f>IF(S526="*",S526,"")</f>
        <v>*</v>
      </c>
      <c r="T527" s="17" t="str">
        <f t="shared" si="417"/>
        <v>*BEV*</v>
      </c>
      <c r="U527" s="17" t="str">
        <f t="shared" si="417"/>
        <v>TRACNG</v>
      </c>
      <c r="V527" s="17" t="str">
        <f t="shared" si="417"/>
        <v>TRAPASOBUDMD</v>
      </c>
      <c r="W527" s="17" t="str">
        <f t="shared" si="417"/>
        <v>TRAPASOBUDMD</v>
      </c>
      <c r="X527" s="18">
        <v>2030</v>
      </c>
      <c r="Y527" s="18" t="str">
        <f>Y526</f>
        <v>LO</v>
      </c>
      <c r="Z527" s="18"/>
      <c r="AA527" s="20" t="e">
        <f>-SUMIFS('TRA RESID'!$P:$P,'TRA RESID'!$I:$I,W527,'TRA RESID'!$J:$J,T527,'TRA RESID'!$H:$H,U527)/SUMIFS('TRA RESID'!$P:$P,'TRA RESID'!$I:$I,W527)*AE527</f>
        <v>#DIV/0!</v>
      </c>
      <c r="AB527" s="18"/>
      <c r="AC527" s="18"/>
      <c r="AE527" s="21">
        <v>1</v>
      </c>
      <c r="AG527" s="15" t="str">
        <f>IF(AG526="*",AG526,"")</f>
        <v>*</v>
      </c>
      <c r="AH527" s="17" t="str">
        <f t="shared" si="418"/>
        <v>*HEV*</v>
      </c>
      <c r="AI527" s="17" t="str">
        <f t="shared" si="418"/>
        <v>TRACNG</v>
      </c>
      <c r="AJ527" s="17" t="str">
        <f t="shared" si="418"/>
        <v>TRAPASOBUDMD</v>
      </c>
      <c r="AK527" s="17" t="str">
        <f t="shared" si="418"/>
        <v>TRAPASOBUDMD</v>
      </c>
      <c r="AL527" s="18">
        <v>2030</v>
      </c>
      <c r="AM527" s="18" t="str">
        <f>AM526</f>
        <v>LO</v>
      </c>
      <c r="AN527" s="18"/>
      <c r="AO527" s="20" t="e">
        <f>-SUMIFS('TRA RESID'!$P:$P,'TRA RESID'!$I:$I,AK527,'TRA RESID'!$J:$J,AH527,'TRA RESID'!$H:$H,AI527)/SUMIFS('TRA RESID'!$P:$P,'TRA RESID'!$I:$I,AK527)*AS527</f>
        <v>#DIV/0!</v>
      </c>
      <c r="AP527" s="18"/>
      <c r="AQ527" s="18"/>
      <c r="AS527" s="21">
        <v>0.5</v>
      </c>
      <c r="AU527" s="15" t="str">
        <f>IF(AU526="*",AU526,"")</f>
        <v>*</v>
      </c>
      <c r="AV527" s="17" t="str">
        <f t="shared" si="419"/>
        <v>*FCEV*</v>
      </c>
      <c r="AW527" s="17" t="str">
        <f t="shared" si="419"/>
        <v>TRACNG</v>
      </c>
      <c r="AX527" s="17" t="str">
        <f t="shared" si="419"/>
        <v>TRAPASOBUDMD</v>
      </c>
      <c r="AY527" s="17" t="str">
        <f t="shared" si="419"/>
        <v>TRAPASOBUDMD</v>
      </c>
      <c r="AZ527" s="18">
        <v>2030</v>
      </c>
      <c r="BA527" s="18" t="str">
        <f>BA526</f>
        <v>LO</v>
      </c>
      <c r="BB527" s="18"/>
      <c r="BC527" s="20" t="e">
        <f>-SUMIFS('TRA RESID'!$P:$P,'TRA RESID'!$I:$I,AY527,'TRA RESID'!$J:$J,AV527,'TRA RESID'!$H:$H,AW527)/SUMIFS('TRA RESID'!$P:$P,'TRA RESID'!$I:$I,AY527)*BG527</f>
        <v>#DIV/0!</v>
      </c>
      <c r="BD527" s="18"/>
      <c r="BE527" s="18"/>
      <c r="BG527" s="21">
        <v>0.5</v>
      </c>
    </row>
    <row r="528" spans="1:59" x14ac:dyDescent="0.25">
      <c r="C528" s="15" t="str">
        <f>IF(C527="*",C527,"")</f>
        <v>*</v>
      </c>
      <c r="D528" s="17" t="str">
        <f t="shared" si="416"/>
        <v>*ICEV*</v>
      </c>
      <c r="E528" s="17" t="str">
        <f t="shared" si="416"/>
        <v>TRACNG</v>
      </c>
      <c r="F528" s="17" t="str">
        <f t="shared" si="416"/>
        <v>TRAPASOBUDMD</v>
      </c>
      <c r="G528" s="17" t="str">
        <f t="shared" si="416"/>
        <v>TRAPASOBUDMD</v>
      </c>
      <c r="H528" s="18">
        <v>2040</v>
      </c>
      <c r="I528" s="18" t="str">
        <f>I527</f>
        <v>LO</v>
      </c>
      <c r="J528" s="18"/>
      <c r="K528" s="20" t="e">
        <f>-SUMIFS('TRA RESID'!$P:$P,'TRA RESID'!$I:$I,G528,'TRA RESID'!$J:$J,D528,'TRA RESID'!$H:$H,E528)/SUMIFS('TRA RESID'!$P:$P,'TRA RESID'!$I:$I,G528)*O528</f>
        <v>#DIV/0!</v>
      </c>
      <c r="L528" s="18"/>
      <c r="M528" s="18"/>
      <c r="O528" s="21">
        <v>0</v>
      </c>
      <c r="S528" s="15" t="str">
        <f>IF(S527="*",S527,"")</f>
        <v>*</v>
      </c>
      <c r="T528" s="17" t="str">
        <f t="shared" si="417"/>
        <v>*BEV*</v>
      </c>
      <c r="U528" s="17" t="str">
        <f t="shared" si="417"/>
        <v>TRACNG</v>
      </c>
      <c r="V528" s="17" t="str">
        <f t="shared" si="417"/>
        <v>TRAPASOBUDMD</v>
      </c>
      <c r="W528" s="17" t="str">
        <f t="shared" si="417"/>
        <v>TRAPASOBUDMD</v>
      </c>
      <c r="X528" s="18">
        <v>2040</v>
      </c>
      <c r="Y528" s="18" t="str">
        <f>Y527</f>
        <v>LO</v>
      </c>
      <c r="Z528" s="18"/>
      <c r="AA528" s="20" t="e">
        <f>-SUMIFS('TRA RESID'!$P:$P,'TRA RESID'!$I:$I,W528,'TRA RESID'!$J:$J,T528,'TRA RESID'!$H:$H,U528)/SUMIFS('TRA RESID'!$P:$P,'TRA RESID'!$I:$I,W528)*AE528</f>
        <v>#DIV/0!</v>
      </c>
      <c r="AB528" s="18"/>
      <c r="AC528" s="18"/>
      <c r="AE528" s="21">
        <v>1</v>
      </c>
      <c r="AG528" s="15" t="str">
        <f>IF(AG527="*",AG527,"")</f>
        <v>*</v>
      </c>
      <c r="AH528" s="17" t="str">
        <f t="shared" si="418"/>
        <v>*HEV*</v>
      </c>
      <c r="AI528" s="17" t="str">
        <f t="shared" si="418"/>
        <v>TRACNG</v>
      </c>
      <c r="AJ528" s="17" t="str">
        <f t="shared" si="418"/>
        <v>TRAPASOBUDMD</v>
      </c>
      <c r="AK528" s="17" t="str">
        <f t="shared" si="418"/>
        <v>TRAPASOBUDMD</v>
      </c>
      <c r="AL528" s="18">
        <v>2040</v>
      </c>
      <c r="AM528" s="18" t="str">
        <f>AM527</f>
        <v>LO</v>
      </c>
      <c r="AN528" s="18"/>
      <c r="AO528" s="20" t="e">
        <f>-SUMIFS('TRA RESID'!$P:$P,'TRA RESID'!$I:$I,AK528,'TRA RESID'!$J:$J,AH528,'TRA RESID'!$H:$H,AI528)/SUMIFS('TRA RESID'!$P:$P,'TRA RESID'!$I:$I,AK528)*AS528</f>
        <v>#DIV/0!</v>
      </c>
      <c r="AP528" s="18"/>
      <c r="AQ528" s="18"/>
      <c r="AS528" s="21">
        <v>0</v>
      </c>
      <c r="AU528" s="15" t="str">
        <f>IF(AU527="*",AU527,"")</f>
        <v>*</v>
      </c>
      <c r="AV528" s="17" t="str">
        <f t="shared" si="419"/>
        <v>*FCEV*</v>
      </c>
      <c r="AW528" s="17" t="str">
        <f t="shared" si="419"/>
        <v>TRACNG</v>
      </c>
      <c r="AX528" s="17" t="str">
        <f t="shared" si="419"/>
        <v>TRAPASOBUDMD</v>
      </c>
      <c r="AY528" s="17" t="str">
        <f t="shared" si="419"/>
        <v>TRAPASOBUDMD</v>
      </c>
      <c r="AZ528" s="18">
        <v>2040</v>
      </c>
      <c r="BA528" s="18" t="str">
        <f>BA527</f>
        <v>LO</v>
      </c>
      <c r="BB528" s="18"/>
      <c r="BC528" s="20" t="e">
        <f>-SUMIFS('TRA RESID'!$P:$P,'TRA RESID'!$I:$I,AY528,'TRA RESID'!$J:$J,AV528,'TRA RESID'!$H:$H,AW528)/SUMIFS('TRA RESID'!$P:$P,'TRA RESID'!$I:$I,AY528)*BG528</f>
        <v>#DIV/0!</v>
      </c>
      <c r="BD528" s="18"/>
      <c r="BE528" s="18"/>
      <c r="BG528" s="21">
        <v>0</v>
      </c>
    </row>
    <row r="529" spans="1:59" x14ac:dyDescent="0.25">
      <c r="C529" s="23" t="str">
        <f>IF(C528="*",C528,"")</f>
        <v>*</v>
      </c>
      <c r="D529" s="25" t="str">
        <f t="shared" si="416"/>
        <v>*ICEV*</v>
      </c>
      <c r="E529" s="25" t="str">
        <f t="shared" si="416"/>
        <v>TRACNG</v>
      </c>
      <c r="F529" s="25" t="str">
        <f t="shared" si="416"/>
        <v>TRAPASOBUDMD</v>
      </c>
      <c r="G529" s="25" t="str">
        <f t="shared" si="416"/>
        <v>TRAPASOBUDMD</v>
      </c>
      <c r="H529" s="26">
        <v>2050</v>
      </c>
      <c r="I529" s="26" t="str">
        <f>I527</f>
        <v>LO</v>
      </c>
      <c r="J529" s="26"/>
      <c r="K529" s="27" t="e">
        <f>-SUMIFS('TRA RESID'!$P:$P,'TRA RESID'!$I:$I,G529,'TRA RESID'!$J:$J,D529,'TRA RESID'!$H:$H,E529)/SUMIFS('TRA RESID'!$P:$P,'TRA RESID'!$I:$I,G529)*O529</f>
        <v>#DIV/0!</v>
      </c>
      <c r="L529" s="26"/>
      <c r="M529" s="26"/>
      <c r="O529" s="28">
        <v>0</v>
      </c>
      <c r="S529" s="23" t="str">
        <f>IF(S528="*",S528,"")</f>
        <v>*</v>
      </c>
      <c r="T529" s="25" t="str">
        <f t="shared" si="417"/>
        <v>*BEV*</v>
      </c>
      <c r="U529" s="25" t="str">
        <f t="shared" si="417"/>
        <v>TRACNG</v>
      </c>
      <c r="V529" s="25" t="str">
        <f t="shared" si="417"/>
        <v>TRAPASOBUDMD</v>
      </c>
      <c r="W529" s="25" t="str">
        <f t="shared" si="417"/>
        <v>TRAPASOBUDMD</v>
      </c>
      <c r="X529" s="26">
        <v>2050</v>
      </c>
      <c r="Y529" s="26" t="str">
        <f>Y527</f>
        <v>LO</v>
      </c>
      <c r="Z529" s="26"/>
      <c r="AA529" s="27" t="e">
        <f>-SUMIFS('TRA RESID'!$P:$P,'TRA RESID'!$I:$I,W529,'TRA RESID'!$J:$J,T529,'TRA RESID'!$H:$H,U529)/SUMIFS('TRA RESID'!$P:$P,'TRA RESID'!$I:$I,W529)*AE529</f>
        <v>#DIV/0!</v>
      </c>
      <c r="AB529" s="26"/>
      <c r="AC529" s="26"/>
      <c r="AE529" s="28">
        <v>1</v>
      </c>
      <c r="AG529" s="23" t="str">
        <f>IF(AG528="*",AG528,"")</f>
        <v>*</v>
      </c>
      <c r="AH529" s="25" t="str">
        <f t="shared" si="418"/>
        <v>*HEV*</v>
      </c>
      <c r="AI529" s="25" t="str">
        <f t="shared" si="418"/>
        <v>TRACNG</v>
      </c>
      <c r="AJ529" s="25" t="str">
        <f t="shared" si="418"/>
        <v>TRAPASOBUDMD</v>
      </c>
      <c r="AK529" s="25" t="str">
        <f t="shared" si="418"/>
        <v>TRAPASOBUDMD</v>
      </c>
      <c r="AL529" s="26">
        <v>2050</v>
      </c>
      <c r="AM529" s="26" t="str">
        <f>AM527</f>
        <v>LO</v>
      </c>
      <c r="AN529" s="26"/>
      <c r="AO529" s="27" t="e">
        <f>-SUMIFS('TRA RESID'!$P:$P,'TRA RESID'!$I:$I,AK529,'TRA RESID'!$J:$J,AH529,'TRA RESID'!$H:$H,AI529)/SUMIFS('TRA RESID'!$P:$P,'TRA RESID'!$I:$I,AK529)*AS529</f>
        <v>#DIV/0!</v>
      </c>
      <c r="AP529" s="26"/>
      <c r="AQ529" s="26"/>
      <c r="AS529" s="28">
        <v>0</v>
      </c>
      <c r="AU529" s="23" t="str">
        <f>IF(AU528="*",AU528,"")</f>
        <v>*</v>
      </c>
      <c r="AV529" s="25" t="str">
        <f t="shared" si="419"/>
        <v>*FCEV*</v>
      </c>
      <c r="AW529" s="25" t="str">
        <f t="shared" si="419"/>
        <v>TRACNG</v>
      </c>
      <c r="AX529" s="25" t="str">
        <f t="shared" si="419"/>
        <v>TRAPASOBUDMD</v>
      </c>
      <c r="AY529" s="25" t="str">
        <f t="shared" si="419"/>
        <v>TRAPASOBUDMD</v>
      </c>
      <c r="AZ529" s="26">
        <v>2050</v>
      </c>
      <c r="BA529" s="26" t="str">
        <f>BA527</f>
        <v>LO</v>
      </c>
      <c r="BB529" s="26"/>
      <c r="BC529" s="27" t="e">
        <f>-SUMIFS('TRA RESID'!$P:$P,'TRA RESID'!$I:$I,AY529,'TRA RESID'!$J:$J,AV529,'TRA RESID'!$H:$H,AW529)/SUMIFS('TRA RESID'!$P:$P,'TRA RESID'!$I:$I,AY529)*BG529</f>
        <v>#DIV/0!</v>
      </c>
      <c r="BD529" s="26"/>
      <c r="BE529" s="26"/>
      <c r="BG529" s="28">
        <v>0</v>
      </c>
    </row>
    <row r="530" spans="1:59" x14ac:dyDescent="0.25">
      <c r="A530">
        <f>A525+1</f>
        <v>106</v>
      </c>
      <c r="C530" s="15" t="str">
        <f>IF(E530="","",IF(_xlfn.XLOOKUP($A530,Selected_constraint!$A:$A,Selected_constraint!$D:$D)=1,"*",IF(SUMIFS('TRA TECH'!$M:$M,'TRA TECH'!$H:$H,E530,'TRA TECH'!$I:$I,F530)=0,"*",IF(SUMIFS('TRA RESID'!$P:$P,'TRA RESID'!$I:$I,G530,'TRA RESID'!$J:$J,D530,'TRA RESID'!$H:$H,E530)=0,"*","UC_"&amp;SUBSTITUTE(D530,"*","")&amp;"_"&amp;RIGHT(E530,3)&amp;"_"&amp;F530))))</f>
        <v>*</v>
      </c>
      <c r="D530" s="17" t="s">
        <v>485</v>
      </c>
      <c r="E530" s="17" t="str">
        <f>_xlfn.XLOOKUP($A530,Selected_constraint!$A:$A,Selected_constraint!$B:$B)</f>
        <v>TRARNG</v>
      </c>
      <c r="F530" s="17" t="str">
        <f>_xlfn.XLOOKUP($A530,Selected_constraint!$A:$A,Selected_constraint!$C:$C)</f>
        <v>TRAPASOBUDMD</v>
      </c>
      <c r="G530" s="17" t="str">
        <f>F530</f>
        <v>TRAPASOBUDMD</v>
      </c>
      <c r="H530" s="18">
        <v>2019</v>
      </c>
      <c r="I530" s="18" t="s">
        <v>483</v>
      </c>
      <c r="J530" s="18">
        <v>1</v>
      </c>
      <c r="K530" s="20" t="e">
        <f>-SUMIFS('TRA RESID'!$P:$P,'TRA RESID'!$I:$I,G530,'TRA RESID'!$J:$J,D530,'TRA RESID'!$H:$H,E530)/SUMIFS('TRA RESID'!$P:$P,'TRA RESID'!$I:$I,G530)*O530</f>
        <v>#DIV/0!</v>
      </c>
      <c r="L530" s="18">
        <v>0</v>
      </c>
      <c r="M530" s="18">
        <v>5</v>
      </c>
      <c r="O530" s="21">
        <v>0.98</v>
      </c>
      <c r="Q530">
        <f>Q525+1</f>
        <v>106</v>
      </c>
      <c r="S530" s="15" t="str">
        <f>IF(SUMIFS('TRA RESID'!$P:$P,'TRA RESID'!$I:$I,W530,'TRA RESID'!$J:$J,T530,'TRA RESID'!$H:$H,U530)=0,"*","UC_"&amp;SUBSTITUTE(T530,"*","")&amp;"_"&amp;RIGHT(U530,3)&amp;"_"&amp;V530)</f>
        <v>*</v>
      </c>
      <c r="T530" s="17" t="s">
        <v>486</v>
      </c>
      <c r="U530" s="17" t="str">
        <f>_xlfn.XLOOKUP($A530,Selected_constraint!$A:$A,Selected_constraint!$B:$B)</f>
        <v>TRARNG</v>
      </c>
      <c r="V530" s="17" t="str">
        <f>_xlfn.XLOOKUP($A530,Selected_constraint!$A:$A,Selected_constraint!$C:$C)</f>
        <v>TRAPASOBUDMD</v>
      </c>
      <c r="W530" s="17" t="str">
        <f>V530</f>
        <v>TRAPASOBUDMD</v>
      </c>
      <c r="X530" s="18">
        <v>2019</v>
      </c>
      <c r="Y530" s="18" t="s">
        <v>483</v>
      </c>
      <c r="Z530" s="18">
        <v>1</v>
      </c>
      <c r="AA530" s="20" t="e">
        <f>-SUMIFS('TRA RESID'!$P:$P,'TRA RESID'!$I:$I,W530,'TRA RESID'!$J:$J,T530,'TRA RESID'!$H:$H,U530)/SUMIFS('TRA RESID'!$P:$P,'TRA RESID'!$I:$I,W530)*AE530</f>
        <v>#DIV/0!</v>
      </c>
      <c r="AB530" s="18">
        <v>0</v>
      </c>
      <c r="AC530" s="18">
        <v>5</v>
      </c>
      <c r="AE530" s="21">
        <v>0.98</v>
      </c>
      <c r="AG530" s="15" t="str">
        <f>IF(SUMIFS('TRA RESID'!$P:$P,'TRA RESID'!$I:$I,AK530,'TRA RESID'!$J:$J,AH530,'TRA RESID'!$H:$H,AI530)=0,"*","UC_"&amp;SUBSTITUTE(AH530,"*","")&amp;"_"&amp;RIGHT(AI530,3)&amp;"_"&amp;AJ530)</f>
        <v>*</v>
      </c>
      <c r="AH530" s="17" t="s">
        <v>487</v>
      </c>
      <c r="AI530" s="17" t="str">
        <f>_xlfn.XLOOKUP($A530,Selected_constraint!$A:$A,Selected_constraint!$B:$B)</f>
        <v>TRARNG</v>
      </c>
      <c r="AJ530" s="17" t="str">
        <f>_xlfn.XLOOKUP($A530,Selected_constraint!$A:$A,Selected_constraint!$C:$C)</f>
        <v>TRAPASOBUDMD</v>
      </c>
      <c r="AK530" s="17" t="str">
        <f>AJ530</f>
        <v>TRAPASOBUDMD</v>
      </c>
      <c r="AL530" s="18">
        <v>2019</v>
      </c>
      <c r="AM530" s="18" t="s">
        <v>483</v>
      </c>
      <c r="AN530" s="18">
        <v>1</v>
      </c>
      <c r="AO530" s="20" t="e">
        <f>-SUMIFS('TRA RESID'!$P:$P,'TRA RESID'!$I:$I,AK530,'TRA RESID'!$J:$J,AH530,'TRA RESID'!$H:$H,AI530)/SUMIFS('TRA RESID'!$P:$P,'TRA RESID'!$I:$I,AK530)*AS530</f>
        <v>#DIV/0!</v>
      </c>
      <c r="AP530" s="18">
        <v>0</v>
      </c>
      <c r="AQ530" s="18">
        <v>5</v>
      </c>
      <c r="AS530" s="21">
        <v>0.98</v>
      </c>
      <c r="AU530" s="15" t="str">
        <f>IF(SUMIFS('TRA RESID'!$P:$P,'TRA RESID'!$I:$I,AY530,'TRA RESID'!$J:$J,AV530,'TRA RESID'!$H:$H,AW530)=0,"*","UC_"&amp;SUBSTITUTE(AV530,"*","")&amp;"_"&amp;RIGHT(AW530,3)&amp;"_"&amp;AX530)</f>
        <v>*</v>
      </c>
      <c r="AV530" s="17" t="s">
        <v>488</v>
      </c>
      <c r="AW530" s="17" t="str">
        <f>_xlfn.XLOOKUP($A530,Selected_constraint!$A:$A,Selected_constraint!$B:$B)</f>
        <v>TRARNG</v>
      </c>
      <c r="AX530" s="17" t="str">
        <f>_xlfn.XLOOKUP($A530,Selected_constraint!$A:$A,Selected_constraint!$C:$C)</f>
        <v>TRAPASOBUDMD</v>
      </c>
      <c r="AY530" s="17" t="str">
        <f>AX530</f>
        <v>TRAPASOBUDMD</v>
      </c>
      <c r="AZ530" s="18">
        <v>2019</v>
      </c>
      <c r="BA530" s="18" t="s">
        <v>483</v>
      </c>
      <c r="BB530" s="18">
        <v>1</v>
      </c>
      <c r="BC530" s="20" t="e">
        <f>-SUMIFS('TRA RESID'!$P:$P,'TRA RESID'!$I:$I,AY530,'TRA RESID'!$J:$J,AV530,'TRA RESID'!$H:$H,AW530)/SUMIFS('TRA RESID'!$P:$P,'TRA RESID'!$I:$I,AY530)*BG530</f>
        <v>#DIV/0!</v>
      </c>
      <c r="BD530" s="18">
        <v>0</v>
      </c>
      <c r="BE530" s="18">
        <v>5</v>
      </c>
      <c r="BG530" s="21">
        <v>0.98</v>
      </c>
    </row>
    <row r="531" spans="1:59" x14ac:dyDescent="0.25">
      <c r="C531" s="15" t="str">
        <f>IF(C530="*",C530,"")</f>
        <v>*</v>
      </c>
      <c r="D531" s="17" t="str">
        <f t="shared" ref="D531:G534" si="420">D530</f>
        <v>*ICEV*</v>
      </c>
      <c r="E531" s="17" t="str">
        <f t="shared" si="420"/>
        <v>TRARNG</v>
      </c>
      <c r="F531" s="17" t="str">
        <f t="shared" si="420"/>
        <v>TRAPASOBUDMD</v>
      </c>
      <c r="G531" s="17" t="str">
        <f t="shared" si="420"/>
        <v>TRAPASOBUDMD</v>
      </c>
      <c r="H531" s="18">
        <v>2025</v>
      </c>
      <c r="I531" s="18" t="str">
        <f>I530</f>
        <v>LO</v>
      </c>
      <c r="J531" s="18"/>
      <c r="K531" s="20" t="e">
        <f>-SUMIFS('TRA RESID'!$P:$P,'TRA RESID'!$I:$I,G531,'TRA RESID'!$J:$J,D531,'TRA RESID'!$H:$H,E531)/SUMIFS('TRA RESID'!$P:$P,'TRA RESID'!$I:$I,G531)*O531</f>
        <v>#DIV/0!</v>
      </c>
      <c r="L531" s="18"/>
      <c r="M531" s="18"/>
      <c r="O531" s="21">
        <v>0.8</v>
      </c>
      <c r="S531" s="15" t="str">
        <f>IF(S530="*",S530,"")</f>
        <v>*</v>
      </c>
      <c r="T531" s="17" t="str">
        <f t="shared" ref="T531:W534" si="421">T530</f>
        <v>*BEV*</v>
      </c>
      <c r="U531" s="17" t="str">
        <f t="shared" si="421"/>
        <v>TRARNG</v>
      </c>
      <c r="V531" s="17" t="str">
        <f t="shared" si="421"/>
        <v>TRAPASOBUDMD</v>
      </c>
      <c r="W531" s="17" t="str">
        <f t="shared" si="421"/>
        <v>TRAPASOBUDMD</v>
      </c>
      <c r="X531" s="18">
        <v>2025</v>
      </c>
      <c r="Y531" s="18" t="str">
        <f>Y530</f>
        <v>LO</v>
      </c>
      <c r="Z531" s="18"/>
      <c r="AA531" s="20" t="e">
        <f>-SUMIFS('TRA RESID'!$P:$P,'TRA RESID'!$I:$I,W531,'TRA RESID'!$J:$J,T531,'TRA RESID'!$H:$H,U531)/SUMIFS('TRA RESID'!$P:$P,'TRA RESID'!$I:$I,W531)*AE531</f>
        <v>#DIV/0!</v>
      </c>
      <c r="AB531" s="18"/>
      <c r="AC531" s="18"/>
      <c r="AE531" s="21">
        <v>1</v>
      </c>
      <c r="AG531" s="15" t="str">
        <f>IF(AG530="*",AG530,"")</f>
        <v>*</v>
      </c>
      <c r="AH531" s="17" t="str">
        <f t="shared" ref="AH531:AK534" si="422">AH530</f>
        <v>*HEV*</v>
      </c>
      <c r="AI531" s="17" t="str">
        <f t="shared" si="422"/>
        <v>TRARNG</v>
      </c>
      <c r="AJ531" s="17" t="str">
        <f t="shared" si="422"/>
        <v>TRAPASOBUDMD</v>
      </c>
      <c r="AK531" s="17" t="str">
        <f t="shared" si="422"/>
        <v>TRAPASOBUDMD</v>
      </c>
      <c r="AL531" s="18">
        <v>2025</v>
      </c>
      <c r="AM531" s="18" t="str">
        <f>AM530</f>
        <v>LO</v>
      </c>
      <c r="AN531" s="18"/>
      <c r="AO531" s="20" t="e">
        <f>-SUMIFS('TRA RESID'!$P:$P,'TRA RESID'!$I:$I,AK531,'TRA RESID'!$J:$J,AH531,'TRA RESID'!$H:$H,AI531)/SUMIFS('TRA RESID'!$P:$P,'TRA RESID'!$I:$I,AK531)*AS531</f>
        <v>#DIV/0!</v>
      </c>
      <c r="AP531" s="18"/>
      <c r="AQ531" s="18"/>
      <c r="AS531" s="21">
        <v>0.8</v>
      </c>
      <c r="AU531" s="15" t="str">
        <f>IF(AU530="*",AU530,"")</f>
        <v>*</v>
      </c>
      <c r="AV531" s="17" t="str">
        <f t="shared" ref="AV531:AY534" si="423">AV530</f>
        <v>*FCEV*</v>
      </c>
      <c r="AW531" s="17" t="str">
        <f t="shared" si="423"/>
        <v>TRARNG</v>
      </c>
      <c r="AX531" s="17" t="str">
        <f t="shared" si="423"/>
        <v>TRAPASOBUDMD</v>
      </c>
      <c r="AY531" s="17" t="str">
        <f t="shared" si="423"/>
        <v>TRAPASOBUDMD</v>
      </c>
      <c r="AZ531" s="18">
        <v>2025</v>
      </c>
      <c r="BA531" s="18" t="str">
        <f>BA530</f>
        <v>LO</v>
      </c>
      <c r="BB531" s="18"/>
      <c r="BC531" s="20" t="e">
        <f>-SUMIFS('TRA RESID'!$P:$P,'TRA RESID'!$I:$I,AY531,'TRA RESID'!$J:$J,AV531,'TRA RESID'!$H:$H,AW531)/SUMIFS('TRA RESID'!$P:$P,'TRA RESID'!$I:$I,AY531)*BG531</f>
        <v>#DIV/0!</v>
      </c>
      <c r="BD531" s="18"/>
      <c r="BE531" s="18"/>
      <c r="BG531" s="21">
        <v>0.8</v>
      </c>
    </row>
    <row r="532" spans="1:59" x14ac:dyDescent="0.25">
      <c r="C532" s="15" t="str">
        <f>IF(C531="*",C531,"")</f>
        <v>*</v>
      </c>
      <c r="D532" s="17" t="str">
        <f t="shared" si="420"/>
        <v>*ICEV*</v>
      </c>
      <c r="E532" s="17" t="str">
        <f t="shared" si="420"/>
        <v>TRARNG</v>
      </c>
      <c r="F532" s="17" t="str">
        <f t="shared" si="420"/>
        <v>TRAPASOBUDMD</v>
      </c>
      <c r="G532" s="17" t="str">
        <f t="shared" si="420"/>
        <v>TRAPASOBUDMD</v>
      </c>
      <c r="H532" s="18">
        <v>2030</v>
      </c>
      <c r="I532" s="18" t="str">
        <f>I531</f>
        <v>LO</v>
      </c>
      <c r="J532" s="18"/>
      <c r="K532" s="20" t="e">
        <f>-SUMIFS('TRA RESID'!$P:$P,'TRA RESID'!$I:$I,G532,'TRA RESID'!$J:$J,D532,'TRA RESID'!$H:$H,E532)/SUMIFS('TRA RESID'!$P:$P,'TRA RESID'!$I:$I,G532)*O532</f>
        <v>#DIV/0!</v>
      </c>
      <c r="L532" s="18"/>
      <c r="M532" s="18"/>
      <c r="O532" s="21">
        <v>0.5</v>
      </c>
      <c r="S532" s="15" t="str">
        <f>IF(S531="*",S531,"")</f>
        <v>*</v>
      </c>
      <c r="T532" s="17" t="str">
        <f t="shared" si="421"/>
        <v>*BEV*</v>
      </c>
      <c r="U532" s="17" t="str">
        <f t="shared" si="421"/>
        <v>TRARNG</v>
      </c>
      <c r="V532" s="17" t="str">
        <f t="shared" si="421"/>
        <v>TRAPASOBUDMD</v>
      </c>
      <c r="W532" s="17" t="str">
        <f t="shared" si="421"/>
        <v>TRAPASOBUDMD</v>
      </c>
      <c r="X532" s="18">
        <v>2030</v>
      </c>
      <c r="Y532" s="18" t="str">
        <f>Y531</f>
        <v>LO</v>
      </c>
      <c r="Z532" s="18"/>
      <c r="AA532" s="20" t="e">
        <f>-SUMIFS('TRA RESID'!$P:$P,'TRA RESID'!$I:$I,W532,'TRA RESID'!$J:$J,T532,'TRA RESID'!$H:$H,U532)/SUMIFS('TRA RESID'!$P:$P,'TRA RESID'!$I:$I,W532)*AE532</f>
        <v>#DIV/0!</v>
      </c>
      <c r="AB532" s="18"/>
      <c r="AC532" s="18"/>
      <c r="AE532" s="21">
        <v>1</v>
      </c>
      <c r="AG532" s="15" t="str">
        <f>IF(AG531="*",AG531,"")</f>
        <v>*</v>
      </c>
      <c r="AH532" s="17" t="str">
        <f t="shared" si="422"/>
        <v>*HEV*</v>
      </c>
      <c r="AI532" s="17" t="str">
        <f t="shared" si="422"/>
        <v>TRARNG</v>
      </c>
      <c r="AJ532" s="17" t="str">
        <f t="shared" si="422"/>
        <v>TRAPASOBUDMD</v>
      </c>
      <c r="AK532" s="17" t="str">
        <f t="shared" si="422"/>
        <v>TRAPASOBUDMD</v>
      </c>
      <c r="AL532" s="18">
        <v>2030</v>
      </c>
      <c r="AM532" s="18" t="str">
        <f>AM531</f>
        <v>LO</v>
      </c>
      <c r="AN532" s="18"/>
      <c r="AO532" s="20" t="e">
        <f>-SUMIFS('TRA RESID'!$P:$P,'TRA RESID'!$I:$I,AK532,'TRA RESID'!$J:$J,AH532,'TRA RESID'!$H:$H,AI532)/SUMIFS('TRA RESID'!$P:$P,'TRA RESID'!$I:$I,AK532)*AS532</f>
        <v>#DIV/0!</v>
      </c>
      <c r="AP532" s="18"/>
      <c r="AQ532" s="18"/>
      <c r="AS532" s="21">
        <v>0.5</v>
      </c>
      <c r="AU532" s="15" t="str">
        <f>IF(AU531="*",AU531,"")</f>
        <v>*</v>
      </c>
      <c r="AV532" s="17" t="str">
        <f t="shared" si="423"/>
        <v>*FCEV*</v>
      </c>
      <c r="AW532" s="17" t="str">
        <f t="shared" si="423"/>
        <v>TRARNG</v>
      </c>
      <c r="AX532" s="17" t="str">
        <f t="shared" si="423"/>
        <v>TRAPASOBUDMD</v>
      </c>
      <c r="AY532" s="17" t="str">
        <f t="shared" si="423"/>
        <v>TRAPASOBUDMD</v>
      </c>
      <c r="AZ532" s="18">
        <v>2030</v>
      </c>
      <c r="BA532" s="18" t="str">
        <f>BA531</f>
        <v>LO</v>
      </c>
      <c r="BB532" s="18"/>
      <c r="BC532" s="20" t="e">
        <f>-SUMIFS('TRA RESID'!$P:$P,'TRA RESID'!$I:$I,AY532,'TRA RESID'!$J:$J,AV532,'TRA RESID'!$H:$H,AW532)/SUMIFS('TRA RESID'!$P:$P,'TRA RESID'!$I:$I,AY532)*BG532</f>
        <v>#DIV/0!</v>
      </c>
      <c r="BD532" s="18"/>
      <c r="BE532" s="18"/>
      <c r="BG532" s="21">
        <v>0.5</v>
      </c>
    </row>
    <row r="533" spans="1:59" x14ac:dyDescent="0.25">
      <c r="C533" s="15" t="str">
        <f>IF(C532="*",C532,"")</f>
        <v>*</v>
      </c>
      <c r="D533" s="17" t="str">
        <f t="shared" si="420"/>
        <v>*ICEV*</v>
      </c>
      <c r="E533" s="17" t="str">
        <f t="shared" si="420"/>
        <v>TRARNG</v>
      </c>
      <c r="F533" s="17" t="str">
        <f t="shared" si="420"/>
        <v>TRAPASOBUDMD</v>
      </c>
      <c r="G533" s="17" t="str">
        <f t="shared" si="420"/>
        <v>TRAPASOBUDMD</v>
      </c>
      <c r="H533" s="18">
        <v>2040</v>
      </c>
      <c r="I533" s="18" t="str">
        <f>I532</f>
        <v>LO</v>
      </c>
      <c r="J533" s="18"/>
      <c r="K533" s="20" t="e">
        <f>-SUMIFS('TRA RESID'!$P:$P,'TRA RESID'!$I:$I,G533,'TRA RESID'!$J:$J,D533,'TRA RESID'!$H:$H,E533)/SUMIFS('TRA RESID'!$P:$P,'TRA RESID'!$I:$I,G533)*O533</f>
        <v>#DIV/0!</v>
      </c>
      <c r="L533" s="18"/>
      <c r="M533" s="18"/>
      <c r="O533" s="21">
        <v>0</v>
      </c>
      <c r="S533" s="15" t="str">
        <f>IF(S532="*",S532,"")</f>
        <v>*</v>
      </c>
      <c r="T533" s="17" t="str">
        <f t="shared" si="421"/>
        <v>*BEV*</v>
      </c>
      <c r="U533" s="17" t="str">
        <f t="shared" si="421"/>
        <v>TRARNG</v>
      </c>
      <c r="V533" s="17" t="str">
        <f t="shared" si="421"/>
        <v>TRAPASOBUDMD</v>
      </c>
      <c r="W533" s="17" t="str">
        <f t="shared" si="421"/>
        <v>TRAPASOBUDMD</v>
      </c>
      <c r="X533" s="18">
        <v>2040</v>
      </c>
      <c r="Y533" s="18" t="str">
        <f>Y532</f>
        <v>LO</v>
      </c>
      <c r="Z533" s="18"/>
      <c r="AA533" s="20" t="e">
        <f>-SUMIFS('TRA RESID'!$P:$P,'TRA RESID'!$I:$I,W533,'TRA RESID'!$J:$J,T533,'TRA RESID'!$H:$H,U533)/SUMIFS('TRA RESID'!$P:$P,'TRA RESID'!$I:$I,W533)*AE533</f>
        <v>#DIV/0!</v>
      </c>
      <c r="AB533" s="18"/>
      <c r="AC533" s="18"/>
      <c r="AE533" s="21">
        <v>1</v>
      </c>
      <c r="AG533" s="15" t="str">
        <f>IF(AG532="*",AG532,"")</f>
        <v>*</v>
      </c>
      <c r="AH533" s="17" t="str">
        <f t="shared" si="422"/>
        <v>*HEV*</v>
      </c>
      <c r="AI533" s="17" t="str">
        <f t="shared" si="422"/>
        <v>TRARNG</v>
      </c>
      <c r="AJ533" s="17" t="str">
        <f t="shared" si="422"/>
        <v>TRAPASOBUDMD</v>
      </c>
      <c r="AK533" s="17" t="str">
        <f t="shared" si="422"/>
        <v>TRAPASOBUDMD</v>
      </c>
      <c r="AL533" s="18">
        <v>2040</v>
      </c>
      <c r="AM533" s="18" t="str">
        <f>AM532</f>
        <v>LO</v>
      </c>
      <c r="AN533" s="18"/>
      <c r="AO533" s="20" t="e">
        <f>-SUMIFS('TRA RESID'!$P:$P,'TRA RESID'!$I:$I,AK533,'TRA RESID'!$J:$J,AH533,'TRA RESID'!$H:$H,AI533)/SUMIFS('TRA RESID'!$P:$P,'TRA RESID'!$I:$I,AK533)*AS533</f>
        <v>#DIV/0!</v>
      </c>
      <c r="AP533" s="18"/>
      <c r="AQ533" s="18"/>
      <c r="AS533" s="21">
        <v>0</v>
      </c>
      <c r="AU533" s="15" t="str">
        <f>IF(AU532="*",AU532,"")</f>
        <v>*</v>
      </c>
      <c r="AV533" s="17" t="str">
        <f t="shared" si="423"/>
        <v>*FCEV*</v>
      </c>
      <c r="AW533" s="17" t="str">
        <f t="shared" si="423"/>
        <v>TRARNG</v>
      </c>
      <c r="AX533" s="17" t="str">
        <f t="shared" si="423"/>
        <v>TRAPASOBUDMD</v>
      </c>
      <c r="AY533" s="17" t="str">
        <f t="shared" si="423"/>
        <v>TRAPASOBUDMD</v>
      </c>
      <c r="AZ533" s="18">
        <v>2040</v>
      </c>
      <c r="BA533" s="18" t="str">
        <f>BA532</f>
        <v>LO</v>
      </c>
      <c r="BB533" s="18"/>
      <c r="BC533" s="20" t="e">
        <f>-SUMIFS('TRA RESID'!$P:$P,'TRA RESID'!$I:$I,AY533,'TRA RESID'!$J:$J,AV533,'TRA RESID'!$H:$H,AW533)/SUMIFS('TRA RESID'!$P:$P,'TRA RESID'!$I:$I,AY533)*BG533</f>
        <v>#DIV/0!</v>
      </c>
      <c r="BD533" s="18"/>
      <c r="BE533" s="18"/>
      <c r="BG533" s="21">
        <v>0</v>
      </c>
    </row>
    <row r="534" spans="1:59" x14ac:dyDescent="0.25">
      <c r="C534" s="23" t="str">
        <f>IF(C533="*",C533,"")</f>
        <v>*</v>
      </c>
      <c r="D534" s="25" t="str">
        <f t="shared" si="420"/>
        <v>*ICEV*</v>
      </c>
      <c r="E534" s="25" t="str">
        <f t="shared" si="420"/>
        <v>TRARNG</v>
      </c>
      <c r="F534" s="25" t="str">
        <f t="shared" si="420"/>
        <v>TRAPASOBUDMD</v>
      </c>
      <c r="G534" s="25" t="str">
        <f t="shared" si="420"/>
        <v>TRAPASOBUDMD</v>
      </c>
      <c r="H534" s="26">
        <v>2050</v>
      </c>
      <c r="I534" s="26" t="str">
        <f>I532</f>
        <v>LO</v>
      </c>
      <c r="J534" s="26"/>
      <c r="K534" s="27" t="e">
        <f>-SUMIFS('TRA RESID'!$P:$P,'TRA RESID'!$I:$I,G534,'TRA RESID'!$J:$J,D534,'TRA RESID'!$H:$H,E534)/SUMIFS('TRA RESID'!$P:$P,'TRA RESID'!$I:$I,G534)*O534</f>
        <v>#DIV/0!</v>
      </c>
      <c r="L534" s="26"/>
      <c r="M534" s="26"/>
      <c r="O534" s="28">
        <v>0</v>
      </c>
      <c r="S534" s="23" t="str">
        <f>IF(S533="*",S533,"")</f>
        <v>*</v>
      </c>
      <c r="T534" s="25" t="str">
        <f t="shared" si="421"/>
        <v>*BEV*</v>
      </c>
      <c r="U534" s="25" t="str">
        <f t="shared" si="421"/>
        <v>TRARNG</v>
      </c>
      <c r="V534" s="25" t="str">
        <f t="shared" si="421"/>
        <v>TRAPASOBUDMD</v>
      </c>
      <c r="W534" s="25" t="str">
        <f t="shared" si="421"/>
        <v>TRAPASOBUDMD</v>
      </c>
      <c r="X534" s="26">
        <v>2050</v>
      </c>
      <c r="Y534" s="26" t="str">
        <f>Y532</f>
        <v>LO</v>
      </c>
      <c r="Z534" s="26"/>
      <c r="AA534" s="27" t="e">
        <f>-SUMIFS('TRA RESID'!$P:$P,'TRA RESID'!$I:$I,W534,'TRA RESID'!$J:$J,T534,'TRA RESID'!$H:$H,U534)/SUMIFS('TRA RESID'!$P:$P,'TRA RESID'!$I:$I,W534)*AE534</f>
        <v>#DIV/0!</v>
      </c>
      <c r="AB534" s="26"/>
      <c r="AC534" s="26"/>
      <c r="AE534" s="28">
        <v>1</v>
      </c>
      <c r="AG534" s="23" t="str">
        <f>IF(AG533="*",AG533,"")</f>
        <v>*</v>
      </c>
      <c r="AH534" s="25" t="str">
        <f t="shared" si="422"/>
        <v>*HEV*</v>
      </c>
      <c r="AI534" s="25" t="str">
        <f t="shared" si="422"/>
        <v>TRARNG</v>
      </c>
      <c r="AJ534" s="25" t="str">
        <f t="shared" si="422"/>
        <v>TRAPASOBUDMD</v>
      </c>
      <c r="AK534" s="25" t="str">
        <f t="shared" si="422"/>
        <v>TRAPASOBUDMD</v>
      </c>
      <c r="AL534" s="26">
        <v>2050</v>
      </c>
      <c r="AM534" s="26" t="str">
        <f>AM532</f>
        <v>LO</v>
      </c>
      <c r="AN534" s="26"/>
      <c r="AO534" s="27" t="e">
        <f>-SUMIFS('TRA RESID'!$P:$P,'TRA RESID'!$I:$I,AK534,'TRA RESID'!$J:$J,AH534,'TRA RESID'!$H:$H,AI534)/SUMIFS('TRA RESID'!$P:$P,'TRA RESID'!$I:$I,AK534)*AS534</f>
        <v>#DIV/0!</v>
      </c>
      <c r="AP534" s="26"/>
      <c r="AQ534" s="26"/>
      <c r="AS534" s="28">
        <v>0</v>
      </c>
      <c r="AU534" s="23" t="str">
        <f>IF(AU533="*",AU533,"")</f>
        <v>*</v>
      </c>
      <c r="AV534" s="25" t="str">
        <f t="shared" si="423"/>
        <v>*FCEV*</v>
      </c>
      <c r="AW534" s="25" t="str">
        <f t="shared" si="423"/>
        <v>TRARNG</v>
      </c>
      <c r="AX534" s="25" t="str">
        <f t="shared" si="423"/>
        <v>TRAPASOBUDMD</v>
      </c>
      <c r="AY534" s="25" t="str">
        <f t="shared" si="423"/>
        <v>TRAPASOBUDMD</v>
      </c>
      <c r="AZ534" s="26">
        <v>2050</v>
      </c>
      <c r="BA534" s="26" t="str">
        <f>BA532</f>
        <v>LO</v>
      </c>
      <c r="BB534" s="26"/>
      <c r="BC534" s="27" t="e">
        <f>-SUMIFS('TRA RESID'!$P:$P,'TRA RESID'!$I:$I,AY534,'TRA RESID'!$J:$J,AV534,'TRA RESID'!$H:$H,AW534)/SUMIFS('TRA RESID'!$P:$P,'TRA RESID'!$I:$I,AY534)*BG534</f>
        <v>#DIV/0!</v>
      </c>
      <c r="BD534" s="26"/>
      <c r="BE534" s="26"/>
      <c r="BG534" s="28">
        <v>0</v>
      </c>
    </row>
    <row r="535" spans="1:59" x14ac:dyDescent="0.25">
      <c r="A535">
        <f>A530+1</f>
        <v>107</v>
      </c>
      <c r="C535" s="15" t="str">
        <f>IF(E535="","",IF(_xlfn.XLOOKUP($A535,Selected_constraint!$A:$A,Selected_constraint!$D:$D)=1,"*",IF(SUMIFS('TRA TECH'!$M:$M,'TRA TECH'!$H:$H,E535,'TRA TECH'!$I:$I,F535)=0,"*",IF(SUMIFS('TRA RESID'!$P:$P,'TRA RESID'!$I:$I,G535,'TRA RESID'!$J:$J,D535,'TRA RESID'!$H:$H,E535)=0,"*","UC_"&amp;SUBSTITUTE(D535,"*","")&amp;"_"&amp;RIGHT(E535,3)&amp;"_"&amp;F535))))</f>
        <v>*</v>
      </c>
      <c r="D535" s="17" t="s">
        <v>485</v>
      </c>
      <c r="E535" s="17" t="str">
        <f>_xlfn.XLOOKUP($A535,Selected_constraint!$A:$A,Selected_constraint!$B:$B)</f>
        <v>TRABAF</v>
      </c>
      <c r="F535" s="17" t="str">
        <f>_xlfn.XLOOKUP($A535,Selected_constraint!$A:$A,Selected_constraint!$C:$C)</f>
        <v>TRAPASOBUDMD</v>
      </c>
      <c r="G535" s="17" t="str">
        <f>F535</f>
        <v>TRAPASOBUDMD</v>
      </c>
      <c r="H535" s="18">
        <v>2019</v>
      </c>
      <c r="I535" s="18" t="s">
        <v>483</v>
      </c>
      <c r="J535" s="18">
        <v>1</v>
      </c>
      <c r="K535" s="20" t="e">
        <f>-SUMIFS('TRA RESID'!$P:$P,'TRA RESID'!$I:$I,G535,'TRA RESID'!$J:$J,D535,'TRA RESID'!$H:$H,E535)/SUMIFS('TRA RESID'!$P:$P,'TRA RESID'!$I:$I,G535)*O535</f>
        <v>#DIV/0!</v>
      </c>
      <c r="L535" s="18">
        <v>0</v>
      </c>
      <c r="M535" s="18">
        <v>5</v>
      </c>
      <c r="O535" s="21">
        <v>0.98</v>
      </c>
      <c r="Q535">
        <f>Q530+1</f>
        <v>107</v>
      </c>
      <c r="S535" s="15" t="str">
        <f>IF(SUMIFS('TRA RESID'!$P:$P,'TRA RESID'!$I:$I,W535,'TRA RESID'!$J:$J,T535,'TRA RESID'!$H:$H,U535)=0,"*","UC_"&amp;SUBSTITUTE(T535,"*","")&amp;"_"&amp;RIGHT(U535,3)&amp;"_"&amp;V535)</f>
        <v>*</v>
      </c>
      <c r="T535" s="17" t="s">
        <v>486</v>
      </c>
      <c r="U535" s="17" t="str">
        <f>_xlfn.XLOOKUP($A535,Selected_constraint!$A:$A,Selected_constraint!$B:$B)</f>
        <v>TRABAF</v>
      </c>
      <c r="V535" s="17" t="str">
        <f>_xlfn.XLOOKUP($A535,Selected_constraint!$A:$A,Selected_constraint!$C:$C)</f>
        <v>TRAPASOBUDMD</v>
      </c>
      <c r="W535" s="17" t="str">
        <f>V535</f>
        <v>TRAPASOBUDMD</v>
      </c>
      <c r="X535" s="18">
        <v>2019</v>
      </c>
      <c r="Y535" s="18" t="s">
        <v>483</v>
      </c>
      <c r="Z535" s="18">
        <v>1</v>
      </c>
      <c r="AA535" s="20" t="e">
        <f>-SUMIFS('TRA RESID'!$P:$P,'TRA RESID'!$I:$I,W535,'TRA RESID'!$J:$J,T535,'TRA RESID'!$H:$H,U535)/SUMIFS('TRA RESID'!$P:$P,'TRA RESID'!$I:$I,W535)*AE535</f>
        <v>#DIV/0!</v>
      </c>
      <c r="AB535" s="18">
        <v>0</v>
      </c>
      <c r="AC535" s="18">
        <v>5</v>
      </c>
      <c r="AE535" s="21">
        <v>0.98</v>
      </c>
      <c r="AG535" s="15" t="str">
        <f>IF(SUMIFS('TRA RESID'!$P:$P,'TRA RESID'!$I:$I,AK535,'TRA RESID'!$J:$J,AH535,'TRA RESID'!$H:$H,AI535)=0,"*","UC_"&amp;SUBSTITUTE(AH535,"*","")&amp;"_"&amp;RIGHT(AI535,3)&amp;"_"&amp;AJ535)</f>
        <v>*</v>
      </c>
      <c r="AH535" s="17" t="s">
        <v>487</v>
      </c>
      <c r="AI535" s="17" t="str">
        <f>_xlfn.XLOOKUP($A535,Selected_constraint!$A:$A,Selected_constraint!$B:$B)</f>
        <v>TRABAF</v>
      </c>
      <c r="AJ535" s="17" t="str">
        <f>_xlfn.XLOOKUP($A535,Selected_constraint!$A:$A,Selected_constraint!$C:$C)</f>
        <v>TRAPASOBUDMD</v>
      </c>
      <c r="AK535" s="17" t="str">
        <f>AJ535</f>
        <v>TRAPASOBUDMD</v>
      </c>
      <c r="AL535" s="18">
        <v>2019</v>
      </c>
      <c r="AM535" s="18" t="s">
        <v>483</v>
      </c>
      <c r="AN535" s="18">
        <v>1</v>
      </c>
      <c r="AO535" s="20" t="e">
        <f>-SUMIFS('TRA RESID'!$P:$P,'TRA RESID'!$I:$I,AK535,'TRA RESID'!$J:$J,AH535,'TRA RESID'!$H:$H,AI535)/SUMIFS('TRA RESID'!$P:$P,'TRA RESID'!$I:$I,AK535)*AS535</f>
        <v>#DIV/0!</v>
      </c>
      <c r="AP535" s="18">
        <v>0</v>
      </c>
      <c r="AQ535" s="18">
        <v>5</v>
      </c>
      <c r="AS535" s="21">
        <v>0.98</v>
      </c>
      <c r="AU535" s="15" t="str">
        <f>IF(SUMIFS('TRA RESID'!$P:$P,'TRA RESID'!$I:$I,AY535,'TRA RESID'!$J:$J,AV535,'TRA RESID'!$H:$H,AW535)=0,"*","UC_"&amp;SUBSTITUTE(AV535,"*","")&amp;"_"&amp;RIGHT(AW535,3)&amp;"_"&amp;AX535)</f>
        <v>*</v>
      </c>
      <c r="AV535" s="17" t="s">
        <v>488</v>
      </c>
      <c r="AW535" s="17" t="str">
        <f>_xlfn.XLOOKUP($A535,Selected_constraint!$A:$A,Selected_constraint!$B:$B)</f>
        <v>TRABAF</v>
      </c>
      <c r="AX535" s="17" t="str">
        <f>_xlfn.XLOOKUP($A535,Selected_constraint!$A:$A,Selected_constraint!$C:$C)</f>
        <v>TRAPASOBUDMD</v>
      </c>
      <c r="AY535" s="17" t="str">
        <f>AX535</f>
        <v>TRAPASOBUDMD</v>
      </c>
      <c r="AZ535" s="18">
        <v>2019</v>
      </c>
      <c r="BA535" s="18" t="s">
        <v>483</v>
      </c>
      <c r="BB535" s="18">
        <v>1</v>
      </c>
      <c r="BC535" s="20" t="e">
        <f>-SUMIFS('TRA RESID'!$P:$P,'TRA RESID'!$I:$I,AY535,'TRA RESID'!$J:$J,AV535,'TRA RESID'!$H:$H,AW535)/SUMIFS('TRA RESID'!$P:$P,'TRA RESID'!$I:$I,AY535)*BG535</f>
        <v>#DIV/0!</v>
      </c>
      <c r="BD535" s="18">
        <v>0</v>
      </c>
      <c r="BE535" s="18">
        <v>5</v>
      </c>
      <c r="BG535" s="21">
        <v>0.98</v>
      </c>
    </row>
    <row r="536" spans="1:59" x14ac:dyDescent="0.25">
      <c r="C536" s="15" t="str">
        <f>IF(C535="*",C535,"")</f>
        <v>*</v>
      </c>
      <c r="D536" s="17" t="str">
        <f t="shared" ref="D536:G539" si="424">D535</f>
        <v>*ICEV*</v>
      </c>
      <c r="E536" s="17" t="str">
        <f t="shared" si="424"/>
        <v>TRABAF</v>
      </c>
      <c r="F536" s="17" t="str">
        <f t="shared" si="424"/>
        <v>TRAPASOBUDMD</v>
      </c>
      <c r="G536" s="17" t="str">
        <f t="shared" si="424"/>
        <v>TRAPASOBUDMD</v>
      </c>
      <c r="H536" s="18">
        <v>2025</v>
      </c>
      <c r="I536" s="18" t="str">
        <f>I535</f>
        <v>LO</v>
      </c>
      <c r="J536" s="18"/>
      <c r="K536" s="20" t="e">
        <f>-SUMIFS('TRA RESID'!$P:$P,'TRA RESID'!$I:$I,G536,'TRA RESID'!$J:$J,D536,'TRA RESID'!$H:$H,E536)/SUMIFS('TRA RESID'!$P:$P,'TRA RESID'!$I:$I,G536)*O536</f>
        <v>#DIV/0!</v>
      </c>
      <c r="L536" s="18"/>
      <c r="M536" s="18"/>
      <c r="O536" s="21">
        <v>0.8</v>
      </c>
      <c r="S536" s="15" t="str">
        <f>IF(S535="*",S535,"")</f>
        <v>*</v>
      </c>
      <c r="T536" s="17" t="str">
        <f t="shared" ref="T536:W539" si="425">T535</f>
        <v>*BEV*</v>
      </c>
      <c r="U536" s="17" t="str">
        <f t="shared" si="425"/>
        <v>TRABAF</v>
      </c>
      <c r="V536" s="17" t="str">
        <f t="shared" si="425"/>
        <v>TRAPASOBUDMD</v>
      </c>
      <c r="W536" s="17" t="str">
        <f t="shared" si="425"/>
        <v>TRAPASOBUDMD</v>
      </c>
      <c r="X536" s="18">
        <v>2025</v>
      </c>
      <c r="Y536" s="18" t="str">
        <f>Y535</f>
        <v>LO</v>
      </c>
      <c r="Z536" s="18"/>
      <c r="AA536" s="20" t="e">
        <f>-SUMIFS('TRA RESID'!$P:$P,'TRA RESID'!$I:$I,W536,'TRA RESID'!$J:$J,T536,'TRA RESID'!$H:$H,U536)/SUMIFS('TRA RESID'!$P:$P,'TRA RESID'!$I:$I,W536)*AE536</f>
        <v>#DIV/0!</v>
      </c>
      <c r="AB536" s="18"/>
      <c r="AC536" s="18"/>
      <c r="AE536" s="21">
        <v>1</v>
      </c>
      <c r="AG536" s="15" t="str">
        <f>IF(AG535="*",AG535,"")</f>
        <v>*</v>
      </c>
      <c r="AH536" s="17" t="str">
        <f t="shared" ref="AH536:AK539" si="426">AH535</f>
        <v>*HEV*</v>
      </c>
      <c r="AI536" s="17" t="str">
        <f t="shared" si="426"/>
        <v>TRABAF</v>
      </c>
      <c r="AJ536" s="17" t="str">
        <f t="shared" si="426"/>
        <v>TRAPASOBUDMD</v>
      </c>
      <c r="AK536" s="17" t="str">
        <f t="shared" si="426"/>
        <v>TRAPASOBUDMD</v>
      </c>
      <c r="AL536" s="18">
        <v>2025</v>
      </c>
      <c r="AM536" s="18" t="str">
        <f>AM535</f>
        <v>LO</v>
      </c>
      <c r="AN536" s="18"/>
      <c r="AO536" s="20" t="e">
        <f>-SUMIFS('TRA RESID'!$P:$P,'TRA RESID'!$I:$I,AK536,'TRA RESID'!$J:$J,AH536,'TRA RESID'!$H:$H,AI536)/SUMIFS('TRA RESID'!$P:$P,'TRA RESID'!$I:$I,AK536)*AS536</f>
        <v>#DIV/0!</v>
      </c>
      <c r="AP536" s="18"/>
      <c r="AQ536" s="18"/>
      <c r="AS536" s="21">
        <v>0.8</v>
      </c>
      <c r="AU536" s="15" t="str">
        <f>IF(AU535="*",AU535,"")</f>
        <v>*</v>
      </c>
      <c r="AV536" s="17" t="str">
        <f t="shared" ref="AV536:AY539" si="427">AV535</f>
        <v>*FCEV*</v>
      </c>
      <c r="AW536" s="17" t="str">
        <f t="shared" si="427"/>
        <v>TRABAF</v>
      </c>
      <c r="AX536" s="17" t="str">
        <f t="shared" si="427"/>
        <v>TRAPASOBUDMD</v>
      </c>
      <c r="AY536" s="17" t="str">
        <f t="shared" si="427"/>
        <v>TRAPASOBUDMD</v>
      </c>
      <c r="AZ536" s="18">
        <v>2025</v>
      </c>
      <c r="BA536" s="18" t="str">
        <f>BA535</f>
        <v>LO</v>
      </c>
      <c r="BB536" s="18"/>
      <c r="BC536" s="20" t="e">
        <f>-SUMIFS('TRA RESID'!$P:$P,'TRA RESID'!$I:$I,AY536,'TRA RESID'!$J:$J,AV536,'TRA RESID'!$H:$H,AW536)/SUMIFS('TRA RESID'!$P:$P,'TRA RESID'!$I:$I,AY536)*BG536</f>
        <v>#DIV/0!</v>
      </c>
      <c r="BD536" s="18"/>
      <c r="BE536" s="18"/>
      <c r="BG536" s="21">
        <v>0.8</v>
      </c>
    </row>
    <row r="537" spans="1:59" x14ac:dyDescent="0.25">
      <c r="C537" s="15" t="str">
        <f>IF(C536="*",C536,"")</f>
        <v>*</v>
      </c>
      <c r="D537" s="17" t="str">
        <f t="shared" si="424"/>
        <v>*ICEV*</v>
      </c>
      <c r="E537" s="17" t="str">
        <f t="shared" si="424"/>
        <v>TRABAF</v>
      </c>
      <c r="F537" s="17" t="str">
        <f t="shared" si="424"/>
        <v>TRAPASOBUDMD</v>
      </c>
      <c r="G537" s="17" t="str">
        <f t="shared" si="424"/>
        <v>TRAPASOBUDMD</v>
      </c>
      <c r="H537" s="18">
        <v>2030</v>
      </c>
      <c r="I537" s="18" t="str">
        <f>I536</f>
        <v>LO</v>
      </c>
      <c r="J537" s="18"/>
      <c r="K537" s="20" t="e">
        <f>-SUMIFS('TRA RESID'!$P:$P,'TRA RESID'!$I:$I,G537,'TRA RESID'!$J:$J,D537,'TRA RESID'!$H:$H,E537)/SUMIFS('TRA RESID'!$P:$P,'TRA RESID'!$I:$I,G537)*O537</f>
        <v>#DIV/0!</v>
      </c>
      <c r="L537" s="18"/>
      <c r="M537" s="18"/>
      <c r="O537" s="21">
        <v>0.5</v>
      </c>
      <c r="S537" s="15" t="str">
        <f>IF(S536="*",S536,"")</f>
        <v>*</v>
      </c>
      <c r="T537" s="17" t="str">
        <f t="shared" si="425"/>
        <v>*BEV*</v>
      </c>
      <c r="U537" s="17" t="str">
        <f t="shared" si="425"/>
        <v>TRABAF</v>
      </c>
      <c r="V537" s="17" t="str">
        <f t="shared" si="425"/>
        <v>TRAPASOBUDMD</v>
      </c>
      <c r="W537" s="17" t="str">
        <f t="shared" si="425"/>
        <v>TRAPASOBUDMD</v>
      </c>
      <c r="X537" s="18">
        <v>2030</v>
      </c>
      <c r="Y537" s="18" t="str">
        <f>Y536</f>
        <v>LO</v>
      </c>
      <c r="Z537" s="18"/>
      <c r="AA537" s="20" t="e">
        <f>-SUMIFS('TRA RESID'!$P:$P,'TRA RESID'!$I:$I,W537,'TRA RESID'!$J:$J,T537,'TRA RESID'!$H:$H,U537)/SUMIFS('TRA RESID'!$P:$P,'TRA RESID'!$I:$I,W537)*AE537</f>
        <v>#DIV/0!</v>
      </c>
      <c r="AB537" s="18"/>
      <c r="AC537" s="18"/>
      <c r="AE537" s="21">
        <v>1</v>
      </c>
      <c r="AG537" s="15" t="str">
        <f>IF(AG536="*",AG536,"")</f>
        <v>*</v>
      </c>
      <c r="AH537" s="17" t="str">
        <f t="shared" si="426"/>
        <v>*HEV*</v>
      </c>
      <c r="AI537" s="17" t="str">
        <f t="shared" si="426"/>
        <v>TRABAF</v>
      </c>
      <c r="AJ537" s="17" t="str">
        <f t="shared" si="426"/>
        <v>TRAPASOBUDMD</v>
      </c>
      <c r="AK537" s="17" t="str">
        <f t="shared" si="426"/>
        <v>TRAPASOBUDMD</v>
      </c>
      <c r="AL537" s="18">
        <v>2030</v>
      </c>
      <c r="AM537" s="18" t="str">
        <f>AM536</f>
        <v>LO</v>
      </c>
      <c r="AN537" s="18"/>
      <c r="AO537" s="20" t="e">
        <f>-SUMIFS('TRA RESID'!$P:$P,'TRA RESID'!$I:$I,AK537,'TRA RESID'!$J:$J,AH537,'TRA RESID'!$H:$H,AI537)/SUMIFS('TRA RESID'!$P:$P,'TRA RESID'!$I:$I,AK537)*AS537</f>
        <v>#DIV/0!</v>
      </c>
      <c r="AP537" s="18"/>
      <c r="AQ537" s="18"/>
      <c r="AS537" s="21">
        <v>0.5</v>
      </c>
      <c r="AU537" s="15" t="str">
        <f>IF(AU536="*",AU536,"")</f>
        <v>*</v>
      </c>
      <c r="AV537" s="17" t="str">
        <f t="shared" si="427"/>
        <v>*FCEV*</v>
      </c>
      <c r="AW537" s="17" t="str">
        <f t="shared" si="427"/>
        <v>TRABAF</v>
      </c>
      <c r="AX537" s="17" t="str">
        <f t="shared" si="427"/>
        <v>TRAPASOBUDMD</v>
      </c>
      <c r="AY537" s="17" t="str">
        <f t="shared" si="427"/>
        <v>TRAPASOBUDMD</v>
      </c>
      <c r="AZ537" s="18">
        <v>2030</v>
      </c>
      <c r="BA537" s="18" t="str">
        <f>BA536</f>
        <v>LO</v>
      </c>
      <c r="BB537" s="18"/>
      <c r="BC537" s="20" t="e">
        <f>-SUMIFS('TRA RESID'!$P:$P,'TRA RESID'!$I:$I,AY537,'TRA RESID'!$J:$J,AV537,'TRA RESID'!$H:$H,AW537)/SUMIFS('TRA RESID'!$P:$P,'TRA RESID'!$I:$I,AY537)*BG537</f>
        <v>#DIV/0!</v>
      </c>
      <c r="BD537" s="18"/>
      <c r="BE537" s="18"/>
      <c r="BG537" s="21">
        <v>0.5</v>
      </c>
    </row>
    <row r="538" spans="1:59" x14ac:dyDescent="0.25">
      <c r="C538" s="15" t="str">
        <f>IF(C537="*",C537,"")</f>
        <v>*</v>
      </c>
      <c r="D538" s="17" t="str">
        <f t="shared" si="424"/>
        <v>*ICEV*</v>
      </c>
      <c r="E538" s="17" t="str">
        <f t="shared" si="424"/>
        <v>TRABAF</v>
      </c>
      <c r="F538" s="17" t="str">
        <f t="shared" si="424"/>
        <v>TRAPASOBUDMD</v>
      </c>
      <c r="G538" s="17" t="str">
        <f t="shared" si="424"/>
        <v>TRAPASOBUDMD</v>
      </c>
      <c r="H538" s="18">
        <v>2040</v>
      </c>
      <c r="I538" s="18" t="str">
        <f>I537</f>
        <v>LO</v>
      </c>
      <c r="J538" s="18"/>
      <c r="K538" s="20" t="e">
        <f>-SUMIFS('TRA RESID'!$P:$P,'TRA RESID'!$I:$I,G538,'TRA RESID'!$J:$J,D538,'TRA RESID'!$H:$H,E538)/SUMIFS('TRA RESID'!$P:$P,'TRA RESID'!$I:$I,G538)*O538</f>
        <v>#DIV/0!</v>
      </c>
      <c r="L538" s="18"/>
      <c r="M538" s="18"/>
      <c r="O538" s="21">
        <v>0</v>
      </c>
      <c r="S538" s="15" t="str">
        <f>IF(S537="*",S537,"")</f>
        <v>*</v>
      </c>
      <c r="T538" s="17" t="str">
        <f t="shared" si="425"/>
        <v>*BEV*</v>
      </c>
      <c r="U538" s="17" t="str">
        <f t="shared" si="425"/>
        <v>TRABAF</v>
      </c>
      <c r="V538" s="17" t="str">
        <f t="shared" si="425"/>
        <v>TRAPASOBUDMD</v>
      </c>
      <c r="W538" s="17" t="str">
        <f t="shared" si="425"/>
        <v>TRAPASOBUDMD</v>
      </c>
      <c r="X538" s="18">
        <v>2040</v>
      </c>
      <c r="Y538" s="18" t="str">
        <f>Y537</f>
        <v>LO</v>
      </c>
      <c r="Z538" s="18"/>
      <c r="AA538" s="20" t="e">
        <f>-SUMIFS('TRA RESID'!$P:$P,'TRA RESID'!$I:$I,W538,'TRA RESID'!$J:$J,T538,'TRA RESID'!$H:$H,U538)/SUMIFS('TRA RESID'!$P:$P,'TRA RESID'!$I:$I,W538)*AE538</f>
        <v>#DIV/0!</v>
      </c>
      <c r="AB538" s="18"/>
      <c r="AC538" s="18"/>
      <c r="AE538" s="21">
        <v>1</v>
      </c>
      <c r="AG538" s="15" t="str">
        <f>IF(AG537="*",AG537,"")</f>
        <v>*</v>
      </c>
      <c r="AH538" s="17" t="str">
        <f t="shared" si="426"/>
        <v>*HEV*</v>
      </c>
      <c r="AI538" s="17" t="str">
        <f t="shared" si="426"/>
        <v>TRABAF</v>
      </c>
      <c r="AJ538" s="17" t="str">
        <f t="shared" si="426"/>
        <v>TRAPASOBUDMD</v>
      </c>
      <c r="AK538" s="17" t="str">
        <f t="shared" si="426"/>
        <v>TRAPASOBUDMD</v>
      </c>
      <c r="AL538" s="18">
        <v>2040</v>
      </c>
      <c r="AM538" s="18" t="str">
        <f>AM537</f>
        <v>LO</v>
      </c>
      <c r="AN538" s="18"/>
      <c r="AO538" s="20" t="e">
        <f>-SUMIFS('TRA RESID'!$P:$P,'TRA RESID'!$I:$I,AK538,'TRA RESID'!$J:$J,AH538,'TRA RESID'!$H:$H,AI538)/SUMIFS('TRA RESID'!$P:$P,'TRA RESID'!$I:$I,AK538)*AS538</f>
        <v>#DIV/0!</v>
      </c>
      <c r="AP538" s="18"/>
      <c r="AQ538" s="18"/>
      <c r="AS538" s="21">
        <v>0</v>
      </c>
      <c r="AU538" s="15" t="str">
        <f>IF(AU537="*",AU537,"")</f>
        <v>*</v>
      </c>
      <c r="AV538" s="17" t="str">
        <f t="shared" si="427"/>
        <v>*FCEV*</v>
      </c>
      <c r="AW538" s="17" t="str">
        <f t="shared" si="427"/>
        <v>TRABAF</v>
      </c>
      <c r="AX538" s="17" t="str">
        <f t="shared" si="427"/>
        <v>TRAPASOBUDMD</v>
      </c>
      <c r="AY538" s="17" t="str">
        <f t="shared" si="427"/>
        <v>TRAPASOBUDMD</v>
      </c>
      <c r="AZ538" s="18">
        <v>2040</v>
      </c>
      <c r="BA538" s="18" t="str">
        <f>BA537</f>
        <v>LO</v>
      </c>
      <c r="BB538" s="18"/>
      <c r="BC538" s="20" t="e">
        <f>-SUMIFS('TRA RESID'!$P:$P,'TRA RESID'!$I:$I,AY538,'TRA RESID'!$J:$J,AV538,'TRA RESID'!$H:$H,AW538)/SUMIFS('TRA RESID'!$P:$P,'TRA RESID'!$I:$I,AY538)*BG538</f>
        <v>#DIV/0!</v>
      </c>
      <c r="BD538" s="18"/>
      <c r="BE538" s="18"/>
      <c r="BG538" s="21">
        <v>0</v>
      </c>
    </row>
    <row r="539" spans="1:59" x14ac:dyDescent="0.25">
      <c r="C539" s="23" t="str">
        <f>IF(C538="*",C538,"")</f>
        <v>*</v>
      </c>
      <c r="D539" s="25" t="str">
        <f t="shared" si="424"/>
        <v>*ICEV*</v>
      </c>
      <c r="E539" s="25" t="str">
        <f t="shared" si="424"/>
        <v>TRABAF</v>
      </c>
      <c r="F539" s="25" t="str">
        <f t="shared" si="424"/>
        <v>TRAPASOBUDMD</v>
      </c>
      <c r="G539" s="25" t="str">
        <f t="shared" si="424"/>
        <v>TRAPASOBUDMD</v>
      </c>
      <c r="H539" s="26">
        <v>2050</v>
      </c>
      <c r="I539" s="26" t="str">
        <f>I537</f>
        <v>LO</v>
      </c>
      <c r="J539" s="26"/>
      <c r="K539" s="27" t="e">
        <f>-SUMIFS('TRA RESID'!$P:$P,'TRA RESID'!$I:$I,G539,'TRA RESID'!$J:$J,D539,'TRA RESID'!$H:$H,E539)/SUMIFS('TRA RESID'!$P:$P,'TRA RESID'!$I:$I,G539)*O539</f>
        <v>#DIV/0!</v>
      </c>
      <c r="L539" s="26"/>
      <c r="M539" s="26"/>
      <c r="O539" s="28">
        <v>0</v>
      </c>
      <c r="S539" s="23" t="str">
        <f>IF(S538="*",S538,"")</f>
        <v>*</v>
      </c>
      <c r="T539" s="25" t="str">
        <f t="shared" si="425"/>
        <v>*BEV*</v>
      </c>
      <c r="U539" s="25" t="str">
        <f t="shared" si="425"/>
        <v>TRABAF</v>
      </c>
      <c r="V539" s="25" t="str">
        <f t="shared" si="425"/>
        <v>TRAPASOBUDMD</v>
      </c>
      <c r="W539" s="25" t="str">
        <f t="shared" si="425"/>
        <v>TRAPASOBUDMD</v>
      </c>
      <c r="X539" s="26">
        <v>2050</v>
      </c>
      <c r="Y539" s="26" t="str">
        <f>Y537</f>
        <v>LO</v>
      </c>
      <c r="Z539" s="26"/>
      <c r="AA539" s="27" t="e">
        <f>-SUMIFS('TRA RESID'!$P:$P,'TRA RESID'!$I:$I,W539,'TRA RESID'!$J:$J,T539,'TRA RESID'!$H:$H,U539)/SUMIFS('TRA RESID'!$P:$P,'TRA RESID'!$I:$I,W539)*AE539</f>
        <v>#DIV/0!</v>
      </c>
      <c r="AB539" s="26"/>
      <c r="AC539" s="26"/>
      <c r="AE539" s="28">
        <v>1</v>
      </c>
      <c r="AG539" s="23" t="str">
        <f>IF(AG538="*",AG538,"")</f>
        <v>*</v>
      </c>
      <c r="AH539" s="25" t="str">
        <f t="shared" si="426"/>
        <v>*HEV*</v>
      </c>
      <c r="AI539" s="25" t="str">
        <f t="shared" si="426"/>
        <v>TRABAF</v>
      </c>
      <c r="AJ539" s="25" t="str">
        <f t="shared" si="426"/>
        <v>TRAPASOBUDMD</v>
      </c>
      <c r="AK539" s="25" t="str">
        <f t="shared" si="426"/>
        <v>TRAPASOBUDMD</v>
      </c>
      <c r="AL539" s="26">
        <v>2050</v>
      </c>
      <c r="AM539" s="26" t="str">
        <f>AM537</f>
        <v>LO</v>
      </c>
      <c r="AN539" s="26"/>
      <c r="AO539" s="27" t="e">
        <f>-SUMIFS('TRA RESID'!$P:$P,'TRA RESID'!$I:$I,AK539,'TRA RESID'!$J:$J,AH539,'TRA RESID'!$H:$H,AI539)/SUMIFS('TRA RESID'!$P:$P,'TRA RESID'!$I:$I,AK539)*AS539</f>
        <v>#DIV/0!</v>
      </c>
      <c r="AP539" s="26"/>
      <c r="AQ539" s="26"/>
      <c r="AS539" s="28">
        <v>0</v>
      </c>
      <c r="AU539" s="23" t="str">
        <f>IF(AU538="*",AU538,"")</f>
        <v>*</v>
      </c>
      <c r="AV539" s="25" t="str">
        <f t="shared" si="427"/>
        <v>*FCEV*</v>
      </c>
      <c r="AW539" s="25" t="str">
        <f t="shared" si="427"/>
        <v>TRABAF</v>
      </c>
      <c r="AX539" s="25" t="str">
        <f t="shared" si="427"/>
        <v>TRAPASOBUDMD</v>
      </c>
      <c r="AY539" s="25" t="str">
        <f t="shared" si="427"/>
        <v>TRAPASOBUDMD</v>
      </c>
      <c r="AZ539" s="26">
        <v>2050</v>
      </c>
      <c r="BA539" s="26" t="str">
        <f>BA537</f>
        <v>LO</v>
      </c>
      <c r="BB539" s="26"/>
      <c r="BC539" s="27" t="e">
        <f>-SUMIFS('TRA RESID'!$P:$P,'TRA RESID'!$I:$I,AY539,'TRA RESID'!$J:$J,AV539,'TRA RESID'!$H:$H,AW539)/SUMIFS('TRA RESID'!$P:$P,'TRA RESID'!$I:$I,AY539)*BG539</f>
        <v>#DIV/0!</v>
      </c>
      <c r="BD539" s="26"/>
      <c r="BE539" s="26"/>
      <c r="BG539" s="28">
        <v>0</v>
      </c>
    </row>
    <row r="540" spans="1:59" x14ac:dyDescent="0.25">
      <c r="A540">
        <f>A535+1</f>
        <v>108</v>
      </c>
      <c r="C540" s="15" t="str">
        <f>IF(E540="","",IF(_xlfn.XLOOKUP($A540,Selected_constraint!$A:$A,Selected_constraint!$D:$D)=1,"*",IF(SUMIFS('TRA TECH'!$M:$M,'TRA TECH'!$H:$H,E540,'TRA TECH'!$I:$I,F540)=0,"*",IF(SUMIFS('TRA RESID'!$P:$P,'TRA RESID'!$I:$I,G540,'TRA RESID'!$J:$J,D540,'TRA RESID'!$H:$H,E540)=0,"*","UC_"&amp;SUBSTITUTE(D540,"*","")&amp;"_"&amp;RIGHT(E540,3)&amp;"_"&amp;F540))))</f>
        <v>*</v>
      </c>
      <c r="D540" s="17" t="s">
        <v>485</v>
      </c>
      <c r="E540" s="17" t="str">
        <f>_xlfn.XLOOKUP($A540,Selected_constraint!$A:$A,Selected_constraint!$B:$B)</f>
        <v>TRAH2G</v>
      </c>
      <c r="F540" s="17" t="str">
        <f>_xlfn.XLOOKUP($A540,Selected_constraint!$A:$A,Selected_constraint!$C:$C)</f>
        <v>TRAPASOBUDMD</v>
      </c>
      <c r="G540" s="17" t="str">
        <f>F540</f>
        <v>TRAPASOBUDMD</v>
      </c>
      <c r="H540" s="18">
        <v>2019</v>
      </c>
      <c r="I540" s="18" t="s">
        <v>483</v>
      </c>
      <c r="J540" s="18">
        <v>1</v>
      </c>
      <c r="K540" s="20" t="e">
        <f>-SUMIFS('TRA RESID'!$P:$P,'TRA RESID'!$I:$I,G540,'TRA RESID'!$J:$J,D540,'TRA RESID'!$H:$H,E540)/SUMIFS('TRA RESID'!$P:$P,'TRA RESID'!$I:$I,G540)*O540</f>
        <v>#DIV/0!</v>
      </c>
      <c r="L540" s="18">
        <v>0</v>
      </c>
      <c r="M540" s="18">
        <v>5</v>
      </c>
      <c r="O540" s="21">
        <v>0.98</v>
      </c>
      <c r="Q540">
        <f>Q535+1</f>
        <v>108</v>
      </c>
      <c r="S540" s="15" t="str">
        <f>IF(SUMIFS('TRA RESID'!$P:$P,'TRA RESID'!$I:$I,W540,'TRA RESID'!$J:$J,T540,'TRA RESID'!$H:$H,U540)=0,"*","UC_"&amp;SUBSTITUTE(T540,"*","")&amp;"_"&amp;RIGHT(U540,3)&amp;"_"&amp;V540)</f>
        <v>*</v>
      </c>
      <c r="T540" s="17" t="s">
        <v>486</v>
      </c>
      <c r="U540" s="17" t="str">
        <f>_xlfn.XLOOKUP($A540,Selected_constraint!$A:$A,Selected_constraint!$B:$B)</f>
        <v>TRAH2G</v>
      </c>
      <c r="V540" s="17" t="str">
        <f>_xlfn.XLOOKUP($A540,Selected_constraint!$A:$A,Selected_constraint!$C:$C)</f>
        <v>TRAPASOBUDMD</v>
      </c>
      <c r="W540" s="17" t="str">
        <f>V540</f>
        <v>TRAPASOBUDMD</v>
      </c>
      <c r="X540" s="18">
        <v>2019</v>
      </c>
      <c r="Y540" s="18" t="s">
        <v>483</v>
      </c>
      <c r="Z540" s="18">
        <v>1</v>
      </c>
      <c r="AA540" s="20" t="e">
        <f>-SUMIFS('TRA RESID'!$P:$P,'TRA RESID'!$I:$I,W540,'TRA RESID'!$J:$J,T540,'TRA RESID'!$H:$H,U540)/SUMIFS('TRA RESID'!$P:$P,'TRA RESID'!$I:$I,W540)*AE540</f>
        <v>#DIV/0!</v>
      </c>
      <c r="AB540" s="18">
        <v>0</v>
      </c>
      <c r="AC540" s="18">
        <v>5</v>
      </c>
      <c r="AE540" s="21">
        <v>0.98</v>
      </c>
      <c r="AG540" s="15" t="str">
        <f>IF(SUMIFS('TRA RESID'!$P:$P,'TRA RESID'!$I:$I,AK540,'TRA RESID'!$J:$J,AH540,'TRA RESID'!$H:$H,AI540)=0,"*","UC_"&amp;SUBSTITUTE(AH540,"*","")&amp;"_"&amp;RIGHT(AI540,3)&amp;"_"&amp;AJ540)</f>
        <v>*</v>
      </c>
      <c r="AH540" s="17" t="s">
        <v>487</v>
      </c>
      <c r="AI540" s="17" t="str">
        <f>_xlfn.XLOOKUP($A540,Selected_constraint!$A:$A,Selected_constraint!$B:$B)</f>
        <v>TRAH2G</v>
      </c>
      <c r="AJ540" s="17" t="str">
        <f>_xlfn.XLOOKUP($A540,Selected_constraint!$A:$A,Selected_constraint!$C:$C)</f>
        <v>TRAPASOBUDMD</v>
      </c>
      <c r="AK540" s="17" t="str">
        <f>AJ540</f>
        <v>TRAPASOBUDMD</v>
      </c>
      <c r="AL540" s="18">
        <v>2019</v>
      </c>
      <c r="AM540" s="18" t="s">
        <v>483</v>
      </c>
      <c r="AN540" s="18">
        <v>1</v>
      </c>
      <c r="AO540" s="20" t="e">
        <f>-SUMIFS('TRA RESID'!$P:$P,'TRA RESID'!$I:$I,AK540,'TRA RESID'!$J:$J,AH540,'TRA RESID'!$H:$H,AI540)/SUMIFS('TRA RESID'!$P:$P,'TRA RESID'!$I:$I,AK540)*AS540</f>
        <v>#DIV/0!</v>
      </c>
      <c r="AP540" s="18">
        <v>0</v>
      </c>
      <c r="AQ540" s="18">
        <v>5</v>
      </c>
      <c r="AS540" s="21">
        <v>0.98</v>
      </c>
      <c r="AU540" s="15" t="str">
        <f>IF(SUMIFS('TRA RESID'!$P:$P,'TRA RESID'!$I:$I,AY540,'TRA RESID'!$J:$J,AV540,'TRA RESID'!$H:$H,AW540)=0,"*","UC_"&amp;SUBSTITUTE(AV540,"*","")&amp;"_"&amp;RIGHT(AW540,3)&amp;"_"&amp;AX540)</f>
        <v>*</v>
      </c>
      <c r="AV540" s="17" t="s">
        <v>488</v>
      </c>
      <c r="AW540" s="17" t="str">
        <f>_xlfn.XLOOKUP($A540,Selected_constraint!$A:$A,Selected_constraint!$B:$B)</f>
        <v>TRAH2G</v>
      </c>
      <c r="AX540" s="17" t="str">
        <f>_xlfn.XLOOKUP($A540,Selected_constraint!$A:$A,Selected_constraint!$C:$C)</f>
        <v>TRAPASOBUDMD</v>
      </c>
      <c r="AY540" s="17" t="str">
        <f>AX540</f>
        <v>TRAPASOBUDMD</v>
      </c>
      <c r="AZ540" s="18">
        <v>2019</v>
      </c>
      <c r="BA540" s="18" t="s">
        <v>483</v>
      </c>
      <c r="BB540" s="18">
        <v>1</v>
      </c>
      <c r="BC540" s="20" t="e">
        <f>-SUMIFS('TRA RESID'!$P:$P,'TRA RESID'!$I:$I,AY540,'TRA RESID'!$J:$J,AV540,'TRA RESID'!$H:$H,AW540)/SUMIFS('TRA RESID'!$P:$P,'TRA RESID'!$I:$I,AY540)*BG540</f>
        <v>#DIV/0!</v>
      </c>
      <c r="BD540" s="18">
        <v>0</v>
      </c>
      <c r="BE540" s="18">
        <v>5</v>
      </c>
      <c r="BG540" s="21">
        <v>0.98</v>
      </c>
    </row>
    <row r="541" spans="1:59" x14ac:dyDescent="0.25">
      <c r="C541" s="15" t="str">
        <f>IF(C540="*",C540,"")</f>
        <v>*</v>
      </c>
      <c r="D541" s="17" t="str">
        <f t="shared" ref="D541:G544" si="428">D540</f>
        <v>*ICEV*</v>
      </c>
      <c r="E541" s="17" t="str">
        <f t="shared" si="428"/>
        <v>TRAH2G</v>
      </c>
      <c r="F541" s="17" t="str">
        <f t="shared" si="428"/>
        <v>TRAPASOBUDMD</v>
      </c>
      <c r="G541" s="17" t="str">
        <f t="shared" si="428"/>
        <v>TRAPASOBUDMD</v>
      </c>
      <c r="H541" s="18">
        <v>2025</v>
      </c>
      <c r="I541" s="18" t="str">
        <f>I540</f>
        <v>LO</v>
      </c>
      <c r="J541" s="18"/>
      <c r="K541" s="20" t="e">
        <f>-SUMIFS('TRA RESID'!$P:$P,'TRA RESID'!$I:$I,G541,'TRA RESID'!$J:$J,D541,'TRA RESID'!$H:$H,E541)/SUMIFS('TRA RESID'!$P:$P,'TRA RESID'!$I:$I,G541)*O541</f>
        <v>#DIV/0!</v>
      </c>
      <c r="L541" s="18"/>
      <c r="M541" s="18"/>
      <c r="O541" s="21">
        <v>0.8</v>
      </c>
      <c r="S541" s="15" t="str">
        <f>IF(S540="*",S540,"")</f>
        <v>*</v>
      </c>
      <c r="T541" s="17" t="str">
        <f t="shared" ref="T541:W544" si="429">T540</f>
        <v>*BEV*</v>
      </c>
      <c r="U541" s="17" t="str">
        <f t="shared" si="429"/>
        <v>TRAH2G</v>
      </c>
      <c r="V541" s="17" t="str">
        <f t="shared" si="429"/>
        <v>TRAPASOBUDMD</v>
      </c>
      <c r="W541" s="17" t="str">
        <f t="shared" si="429"/>
        <v>TRAPASOBUDMD</v>
      </c>
      <c r="X541" s="18">
        <v>2025</v>
      </c>
      <c r="Y541" s="18" t="str">
        <f>Y540</f>
        <v>LO</v>
      </c>
      <c r="Z541" s="18"/>
      <c r="AA541" s="20" t="e">
        <f>-SUMIFS('TRA RESID'!$P:$P,'TRA RESID'!$I:$I,W541,'TRA RESID'!$J:$J,T541,'TRA RESID'!$H:$H,U541)/SUMIFS('TRA RESID'!$P:$P,'TRA RESID'!$I:$I,W541)*AE541</f>
        <v>#DIV/0!</v>
      </c>
      <c r="AB541" s="18"/>
      <c r="AC541" s="18"/>
      <c r="AE541" s="21">
        <v>1</v>
      </c>
      <c r="AG541" s="15" t="str">
        <f>IF(AG540="*",AG540,"")</f>
        <v>*</v>
      </c>
      <c r="AH541" s="17" t="str">
        <f t="shared" ref="AH541:AK544" si="430">AH540</f>
        <v>*HEV*</v>
      </c>
      <c r="AI541" s="17" t="str">
        <f t="shared" si="430"/>
        <v>TRAH2G</v>
      </c>
      <c r="AJ541" s="17" t="str">
        <f t="shared" si="430"/>
        <v>TRAPASOBUDMD</v>
      </c>
      <c r="AK541" s="17" t="str">
        <f t="shared" si="430"/>
        <v>TRAPASOBUDMD</v>
      </c>
      <c r="AL541" s="18">
        <v>2025</v>
      </c>
      <c r="AM541" s="18" t="str">
        <f>AM540</f>
        <v>LO</v>
      </c>
      <c r="AN541" s="18"/>
      <c r="AO541" s="20" t="e">
        <f>-SUMIFS('TRA RESID'!$P:$P,'TRA RESID'!$I:$I,AK541,'TRA RESID'!$J:$J,AH541,'TRA RESID'!$H:$H,AI541)/SUMIFS('TRA RESID'!$P:$P,'TRA RESID'!$I:$I,AK541)*AS541</f>
        <v>#DIV/0!</v>
      </c>
      <c r="AP541" s="18"/>
      <c r="AQ541" s="18"/>
      <c r="AS541" s="21">
        <v>0.8</v>
      </c>
      <c r="AU541" s="15" t="str">
        <f>IF(AU540="*",AU540,"")</f>
        <v>*</v>
      </c>
      <c r="AV541" s="17" t="str">
        <f t="shared" ref="AV541:AY544" si="431">AV540</f>
        <v>*FCEV*</v>
      </c>
      <c r="AW541" s="17" t="str">
        <f t="shared" si="431"/>
        <v>TRAH2G</v>
      </c>
      <c r="AX541" s="17" t="str">
        <f t="shared" si="431"/>
        <v>TRAPASOBUDMD</v>
      </c>
      <c r="AY541" s="17" t="str">
        <f t="shared" si="431"/>
        <v>TRAPASOBUDMD</v>
      </c>
      <c r="AZ541" s="18">
        <v>2025</v>
      </c>
      <c r="BA541" s="18" t="str">
        <f>BA540</f>
        <v>LO</v>
      </c>
      <c r="BB541" s="18"/>
      <c r="BC541" s="20" t="e">
        <f>-SUMIFS('TRA RESID'!$P:$P,'TRA RESID'!$I:$I,AY541,'TRA RESID'!$J:$J,AV541,'TRA RESID'!$H:$H,AW541)/SUMIFS('TRA RESID'!$P:$P,'TRA RESID'!$I:$I,AY541)*BG541</f>
        <v>#DIV/0!</v>
      </c>
      <c r="BD541" s="18"/>
      <c r="BE541" s="18"/>
      <c r="BG541" s="21">
        <v>0.8</v>
      </c>
    </row>
    <row r="542" spans="1:59" x14ac:dyDescent="0.25">
      <c r="C542" s="15" t="str">
        <f>IF(C541="*",C541,"")</f>
        <v>*</v>
      </c>
      <c r="D542" s="17" t="str">
        <f t="shared" si="428"/>
        <v>*ICEV*</v>
      </c>
      <c r="E542" s="17" t="str">
        <f t="shared" si="428"/>
        <v>TRAH2G</v>
      </c>
      <c r="F542" s="17" t="str">
        <f t="shared" si="428"/>
        <v>TRAPASOBUDMD</v>
      </c>
      <c r="G542" s="17" t="str">
        <f t="shared" si="428"/>
        <v>TRAPASOBUDMD</v>
      </c>
      <c r="H542" s="18">
        <v>2030</v>
      </c>
      <c r="I542" s="18" t="str">
        <f>I541</f>
        <v>LO</v>
      </c>
      <c r="J542" s="18"/>
      <c r="K542" s="20" t="e">
        <f>-SUMIFS('TRA RESID'!$P:$P,'TRA RESID'!$I:$I,G542,'TRA RESID'!$J:$J,D542,'TRA RESID'!$H:$H,E542)/SUMIFS('TRA RESID'!$P:$P,'TRA RESID'!$I:$I,G542)*O542</f>
        <v>#DIV/0!</v>
      </c>
      <c r="L542" s="18"/>
      <c r="M542" s="18"/>
      <c r="O542" s="21">
        <v>0.5</v>
      </c>
      <c r="S542" s="15" t="str">
        <f>IF(S541="*",S541,"")</f>
        <v>*</v>
      </c>
      <c r="T542" s="17" t="str">
        <f t="shared" si="429"/>
        <v>*BEV*</v>
      </c>
      <c r="U542" s="17" t="str">
        <f t="shared" si="429"/>
        <v>TRAH2G</v>
      </c>
      <c r="V542" s="17" t="str">
        <f t="shared" si="429"/>
        <v>TRAPASOBUDMD</v>
      </c>
      <c r="W542" s="17" t="str">
        <f t="shared" si="429"/>
        <v>TRAPASOBUDMD</v>
      </c>
      <c r="X542" s="18">
        <v>2030</v>
      </c>
      <c r="Y542" s="18" t="str">
        <f>Y541</f>
        <v>LO</v>
      </c>
      <c r="Z542" s="18"/>
      <c r="AA542" s="20" t="e">
        <f>-SUMIFS('TRA RESID'!$P:$P,'TRA RESID'!$I:$I,W542,'TRA RESID'!$J:$J,T542,'TRA RESID'!$H:$H,U542)/SUMIFS('TRA RESID'!$P:$P,'TRA RESID'!$I:$I,W542)*AE542</f>
        <v>#DIV/0!</v>
      </c>
      <c r="AB542" s="18"/>
      <c r="AC542" s="18"/>
      <c r="AE542" s="21">
        <v>1</v>
      </c>
      <c r="AG542" s="15" t="str">
        <f>IF(AG541="*",AG541,"")</f>
        <v>*</v>
      </c>
      <c r="AH542" s="17" t="str">
        <f t="shared" si="430"/>
        <v>*HEV*</v>
      </c>
      <c r="AI542" s="17" t="str">
        <f t="shared" si="430"/>
        <v>TRAH2G</v>
      </c>
      <c r="AJ542" s="17" t="str">
        <f t="shared" si="430"/>
        <v>TRAPASOBUDMD</v>
      </c>
      <c r="AK542" s="17" t="str">
        <f t="shared" si="430"/>
        <v>TRAPASOBUDMD</v>
      </c>
      <c r="AL542" s="18">
        <v>2030</v>
      </c>
      <c r="AM542" s="18" t="str">
        <f>AM541</f>
        <v>LO</v>
      </c>
      <c r="AN542" s="18"/>
      <c r="AO542" s="20" t="e">
        <f>-SUMIFS('TRA RESID'!$P:$P,'TRA RESID'!$I:$I,AK542,'TRA RESID'!$J:$J,AH542,'TRA RESID'!$H:$H,AI542)/SUMIFS('TRA RESID'!$P:$P,'TRA RESID'!$I:$I,AK542)*AS542</f>
        <v>#DIV/0!</v>
      </c>
      <c r="AP542" s="18"/>
      <c r="AQ542" s="18"/>
      <c r="AS542" s="21">
        <v>0.5</v>
      </c>
      <c r="AU542" s="15" t="str">
        <f>IF(AU541="*",AU541,"")</f>
        <v>*</v>
      </c>
      <c r="AV542" s="17" t="str">
        <f t="shared" si="431"/>
        <v>*FCEV*</v>
      </c>
      <c r="AW542" s="17" t="str">
        <f t="shared" si="431"/>
        <v>TRAH2G</v>
      </c>
      <c r="AX542" s="17" t="str">
        <f t="shared" si="431"/>
        <v>TRAPASOBUDMD</v>
      </c>
      <c r="AY542" s="17" t="str">
        <f t="shared" si="431"/>
        <v>TRAPASOBUDMD</v>
      </c>
      <c r="AZ542" s="18">
        <v>2030</v>
      </c>
      <c r="BA542" s="18" t="str">
        <f>BA541</f>
        <v>LO</v>
      </c>
      <c r="BB542" s="18"/>
      <c r="BC542" s="20" t="e">
        <f>-SUMIFS('TRA RESID'!$P:$P,'TRA RESID'!$I:$I,AY542,'TRA RESID'!$J:$J,AV542,'TRA RESID'!$H:$H,AW542)/SUMIFS('TRA RESID'!$P:$P,'TRA RESID'!$I:$I,AY542)*BG542</f>
        <v>#DIV/0!</v>
      </c>
      <c r="BD542" s="18"/>
      <c r="BE542" s="18"/>
      <c r="BG542" s="21">
        <v>0.5</v>
      </c>
    </row>
    <row r="543" spans="1:59" x14ac:dyDescent="0.25">
      <c r="C543" s="15" t="str">
        <f>IF(C542="*",C542,"")</f>
        <v>*</v>
      </c>
      <c r="D543" s="17" t="str">
        <f t="shared" si="428"/>
        <v>*ICEV*</v>
      </c>
      <c r="E543" s="17" t="str">
        <f t="shared" si="428"/>
        <v>TRAH2G</v>
      </c>
      <c r="F543" s="17" t="str">
        <f t="shared" si="428"/>
        <v>TRAPASOBUDMD</v>
      </c>
      <c r="G543" s="17" t="str">
        <f t="shared" si="428"/>
        <v>TRAPASOBUDMD</v>
      </c>
      <c r="H543" s="18">
        <v>2040</v>
      </c>
      <c r="I543" s="18" t="str">
        <f>I542</f>
        <v>LO</v>
      </c>
      <c r="J543" s="18"/>
      <c r="K543" s="20" t="e">
        <f>-SUMIFS('TRA RESID'!$P:$P,'TRA RESID'!$I:$I,G543,'TRA RESID'!$J:$J,D543,'TRA RESID'!$H:$H,E543)/SUMIFS('TRA RESID'!$P:$P,'TRA RESID'!$I:$I,G543)*O543</f>
        <v>#DIV/0!</v>
      </c>
      <c r="L543" s="18"/>
      <c r="M543" s="18"/>
      <c r="O543" s="21">
        <v>0</v>
      </c>
      <c r="S543" s="15" t="str">
        <f>IF(S542="*",S542,"")</f>
        <v>*</v>
      </c>
      <c r="T543" s="17" t="str">
        <f t="shared" si="429"/>
        <v>*BEV*</v>
      </c>
      <c r="U543" s="17" t="str">
        <f t="shared" si="429"/>
        <v>TRAH2G</v>
      </c>
      <c r="V543" s="17" t="str">
        <f t="shared" si="429"/>
        <v>TRAPASOBUDMD</v>
      </c>
      <c r="W543" s="17" t="str">
        <f t="shared" si="429"/>
        <v>TRAPASOBUDMD</v>
      </c>
      <c r="X543" s="18">
        <v>2040</v>
      </c>
      <c r="Y543" s="18" t="str">
        <f>Y542</f>
        <v>LO</v>
      </c>
      <c r="Z543" s="18"/>
      <c r="AA543" s="20" t="e">
        <f>-SUMIFS('TRA RESID'!$P:$P,'TRA RESID'!$I:$I,W543,'TRA RESID'!$J:$J,T543,'TRA RESID'!$H:$H,U543)/SUMIFS('TRA RESID'!$P:$P,'TRA RESID'!$I:$I,W543)*AE543</f>
        <v>#DIV/0!</v>
      </c>
      <c r="AB543" s="18"/>
      <c r="AC543" s="18"/>
      <c r="AE543" s="21">
        <v>1</v>
      </c>
      <c r="AG543" s="15" t="str">
        <f>IF(AG542="*",AG542,"")</f>
        <v>*</v>
      </c>
      <c r="AH543" s="17" t="str">
        <f t="shared" si="430"/>
        <v>*HEV*</v>
      </c>
      <c r="AI543" s="17" t="str">
        <f t="shared" si="430"/>
        <v>TRAH2G</v>
      </c>
      <c r="AJ543" s="17" t="str">
        <f t="shared" si="430"/>
        <v>TRAPASOBUDMD</v>
      </c>
      <c r="AK543" s="17" t="str">
        <f t="shared" si="430"/>
        <v>TRAPASOBUDMD</v>
      </c>
      <c r="AL543" s="18">
        <v>2040</v>
      </c>
      <c r="AM543" s="18" t="str">
        <f>AM542</f>
        <v>LO</v>
      </c>
      <c r="AN543" s="18"/>
      <c r="AO543" s="20" t="e">
        <f>-SUMIFS('TRA RESID'!$P:$P,'TRA RESID'!$I:$I,AK543,'TRA RESID'!$J:$J,AH543,'TRA RESID'!$H:$H,AI543)/SUMIFS('TRA RESID'!$P:$P,'TRA RESID'!$I:$I,AK543)*AS543</f>
        <v>#DIV/0!</v>
      </c>
      <c r="AP543" s="18"/>
      <c r="AQ543" s="18"/>
      <c r="AS543" s="21">
        <v>0</v>
      </c>
      <c r="AU543" s="15" t="str">
        <f>IF(AU542="*",AU542,"")</f>
        <v>*</v>
      </c>
      <c r="AV543" s="17" t="str">
        <f t="shared" si="431"/>
        <v>*FCEV*</v>
      </c>
      <c r="AW543" s="17" t="str">
        <f t="shared" si="431"/>
        <v>TRAH2G</v>
      </c>
      <c r="AX543" s="17" t="str">
        <f t="shared" si="431"/>
        <v>TRAPASOBUDMD</v>
      </c>
      <c r="AY543" s="17" t="str">
        <f t="shared" si="431"/>
        <v>TRAPASOBUDMD</v>
      </c>
      <c r="AZ543" s="18">
        <v>2040</v>
      </c>
      <c r="BA543" s="18" t="str">
        <f>BA542</f>
        <v>LO</v>
      </c>
      <c r="BB543" s="18"/>
      <c r="BC543" s="20" t="e">
        <f>-SUMIFS('TRA RESID'!$P:$P,'TRA RESID'!$I:$I,AY543,'TRA RESID'!$J:$J,AV543,'TRA RESID'!$H:$H,AW543)/SUMIFS('TRA RESID'!$P:$P,'TRA RESID'!$I:$I,AY543)*BG543</f>
        <v>#DIV/0!</v>
      </c>
      <c r="BD543" s="18"/>
      <c r="BE543" s="18"/>
      <c r="BG543" s="21">
        <v>0</v>
      </c>
    </row>
    <row r="544" spans="1:59" x14ac:dyDescent="0.25">
      <c r="C544" s="23" t="str">
        <f>IF(C543="*",C543,"")</f>
        <v>*</v>
      </c>
      <c r="D544" s="25" t="str">
        <f t="shared" si="428"/>
        <v>*ICEV*</v>
      </c>
      <c r="E544" s="25" t="str">
        <f t="shared" si="428"/>
        <v>TRAH2G</v>
      </c>
      <c r="F544" s="25" t="str">
        <f t="shared" si="428"/>
        <v>TRAPASOBUDMD</v>
      </c>
      <c r="G544" s="25" t="str">
        <f t="shared" si="428"/>
        <v>TRAPASOBUDMD</v>
      </c>
      <c r="H544" s="26">
        <v>2050</v>
      </c>
      <c r="I544" s="26" t="str">
        <f>I542</f>
        <v>LO</v>
      </c>
      <c r="J544" s="26"/>
      <c r="K544" s="27" t="e">
        <f>-SUMIFS('TRA RESID'!$P:$P,'TRA RESID'!$I:$I,G544,'TRA RESID'!$J:$J,D544,'TRA RESID'!$H:$H,E544)/SUMIFS('TRA RESID'!$P:$P,'TRA RESID'!$I:$I,G544)*O544</f>
        <v>#DIV/0!</v>
      </c>
      <c r="L544" s="26"/>
      <c r="M544" s="26"/>
      <c r="O544" s="28">
        <v>0</v>
      </c>
      <c r="S544" s="23" t="str">
        <f>IF(S543="*",S543,"")</f>
        <v>*</v>
      </c>
      <c r="T544" s="25" t="str">
        <f t="shared" si="429"/>
        <v>*BEV*</v>
      </c>
      <c r="U544" s="25" t="str">
        <f t="shared" si="429"/>
        <v>TRAH2G</v>
      </c>
      <c r="V544" s="25" t="str">
        <f t="shared" si="429"/>
        <v>TRAPASOBUDMD</v>
      </c>
      <c r="W544" s="25" t="str">
        <f t="shared" si="429"/>
        <v>TRAPASOBUDMD</v>
      </c>
      <c r="X544" s="26">
        <v>2050</v>
      </c>
      <c r="Y544" s="26" t="str">
        <f>Y542</f>
        <v>LO</v>
      </c>
      <c r="Z544" s="26"/>
      <c r="AA544" s="27" t="e">
        <f>-SUMIFS('TRA RESID'!$P:$P,'TRA RESID'!$I:$I,W544,'TRA RESID'!$J:$J,T544,'TRA RESID'!$H:$H,U544)/SUMIFS('TRA RESID'!$P:$P,'TRA RESID'!$I:$I,W544)*AE544</f>
        <v>#DIV/0!</v>
      </c>
      <c r="AB544" s="26"/>
      <c r="AC544" s="26"/>
      <c r="AE544" s="28">
        <v>1</v>
      </c>
      <c r="AG544" s="23" t="str">
        <f>IF(AG543="*",AG543,"")</f>
        <v>*</v>
      </c>
      <c r="AH544" s="25" t="str">
        <f t="shared" si="430"/>
        <v>*HEV*</v>
      </c>
      <c r="AI544" s="25" t="str">
        <f t="shared" si="430"/>
        <v>TRAH2G</v>
      </c>
      <c r="AJ544" s="25" t="str">
        <f t="shared" si="430"/>
        <v>TRAPASOBUDMD</v>
      </c>
      <c r="AK544" s="25" t="str">
        <f t="shared" si="430"/>
        <v>TRAPASOBUDMD</v>
      </c>
      <c r="AL544" s="26">
        <v>2050</v>
      </c>
      <c r="AM544" s="26" t="str">
        <f>AM542</f>
        <v>LO</v>
      </c>
      <c r="AN544" s="26"/>
      <c r="AO544" s="27" t="e">
        <f>-SUMIFS('TRA RESID'!$P:$P,'TRA RESID'!$I:$I,AK544,'TRA RESID'!$J:$J,AH544,'TRA RESID'!$H:$H,AI544)/SUMIFS('TRA RESID'!$P:$P,'TRA RESID'!$I:$I,AK544)*AS544</f>
        <v>#DIV/0!</v>
      </c>
      <c r="AP544" s="26"/>
      <c r="AQ544" s="26"/>
      <c r="AS544" s="28">
        <v>0</v>
      </c>
      <c r="AU544" s="23" t="str">
        <f>IF(AU543="*",AU543,"")</f>
        <v>*</v>
      </c>
      <c r="AV544" s="25" t="str">
        <f t="shared" si="431"/>
        <v>*FCEV*</v>
      </c>
      <c r="AW544" s="25" t="str">
        <f t="shared" si="431"/>
        <v>TRAH2G</v>
      </c>
      <c r="AX544" s="25" t="str">
        <f t="shared" si="431"/>
        <v>TRAPASOBUDMD</v>
      </c>
      <c r="AY544" s="25" t="str">
        <f t="shared" si="431"/>
        <v>TRAPASOBUDMD</v>
      </c>
      <c r="AZ544" s="26">
        <v>2050</v>
      </c>
      <c r="BA544" s="26" t="str">
        <f>BA542</f>
        <v>LO</v>
      </c>
      <c r="BB544" s="26"/>
      <c r="BC544" s="27" t="e">
        <f>-SUMIFS('TRA RESID'!$P:$P,'TRA RESID'!$I:$I,AY544,'TRA RESID'!$J:$J,AV544,'TRA RESID'!$H:$H,AW544)/SUMIFS('TRA RESID'!$P:$P,'TRA RESID'!$I:$I,AY544)*BG544</f>
        <v>#DIV/0!</v>
      </c>
      <c r="BD544" s="26"/>
      <c r="BE544" s="26"/>
      <c r="BG544" s="28">
        <v>0</v>
      </c>
    </row>
    <row r="545" spans="1:59" x14ac:dyDescent="0.25">
      <c r="A545">
        <f>A540+1</f>
        <v>109</v>
      </c>
      <c r="C545" s="15" t="str">
        <f>IF(E545="","",IF(_xlfn.XLOOKUP($A545,Selected_constraint!$A:$A,Selected_constraint!$D:$D)=1,"*",IF(SUMIFS('TRA TECH'!$M:$M,'TRA TECH'!$H:$H,E545,'TRA TECH'!$I:$I,F545)=0,"*",IF(SUMIFS('TRA RESID'!$P:$P,'TRA RESID'!$I:$I,G545,'TRA RESID'!$J:$J,D545,'TRA RESID'!$H:$H,E545)=0,"*","UC_"&amp;SUBSTITUTE(D545,"*","")&amp;"_"&amp;RIGHT(E545,3)&amp;"_"&amp;F545))))</f>
        <v>UC_ICEV_DSL_TRAPASRAIDMD</v>
      </c>
      <c r="D545" s="17" t="s">
        <v>485</v>
      </c>
      <c r="E545" s="17" t="str">
        <f>_xlfn.XLOOKUP($A545,Selected_constraint!$A:$A,Selected_constraint!$B:$B)</f>
        <v>TRADSL</v>
      </c>
      <c r="F545" s="17" t="str">
        <f>_xlfn.XLOOKUP($A545,Selected_constraint!$A:$A,Selected_constraint!$C:$C)</f>
        <v>TRAPASRAIDMD</v>
      </c>
      <c r="G545" s="17" t="str">
        <f>F545</f>
        <v>TRAPASRAIDMD</v>
      </c>
      <c r="H545" s="18">
        <v>2019</v>
      </c>
      <c r="I545" s="18" t="s">
        <v>483</v>
      </c>
      <c r="J545" s="18">
        <v>1</v>
      </c>
      <c r="K545" s="20">
        <f>-SUMIFS('TRA RESID'!$P:$P,'TRA RESID'!$I:$I,G545,'TRA RESID'!$J:$J,D545,'TRA RESID'!$H:$H,E545)/SUMIFS('TRA RESID'!$P:$P,'TRA RESID'!$I:$I,G545)*O545</f>
        <v>-2.9933114423279672E-2</v>
      </c>
      <c r="L545" s="18">
        <v>0</v>
      </c>
      <c r="M545" s="18">
        <v>5</v>
      </c>
      <c r="O545" s="21">
        <v>0.98</v>
      </c>
      <c r="Q545">
        <f>Q540+1</f>
        <v>109</v>
      </c>
      <c r="S545" s="15" t="str">
        <f>IF(SUMIFS('TRA RESID'!$P:$P,'TRA RESID'!$I:$I,W545,'TRA RESID'!$J:$J,T545,'TRA RESID'!$H:$H,U545)=0,"*","UC_"&amp;SUBSTITUTE(T545,"*","")&amp;"_"&amp;RIGHT(U545,3)&amp;"_"&amp;V545)</f>
        <v>*</v>
      </c>
      <c r="T545" s="17" t="s">
        <v>486</v>
      </c>
      <c r="U545" s="17" t="str">
        <f>_xlfn.XLOOKUP($A545,Selected_constraint!$A:$A,Selected_constraint!$B:$B)</f>
        <v>TRADSL</v>
      </c>
      <c r="V545" s="17" t="str">
        <f>_xlfn.XLOOKUP($A545,Selected_constraint!$A:$A,Selected_constraint!$C:$C)</f>
        <v>TRAPASRAIDMD</v>
      </c>
      <c r="W545" s="17" t="str">
        <f>V545</f>
        <v>TRAPASRAIDMD</v>
      </c>
      <c r="X545" s="18">
        <v>2019</v>
      </c>
      <c r="Y545" s="18" t="s">
        <v>483</v>
      </c>
      <c r="Z545" s="18">
        <v>1</v>
      </c>
      <c r="AA545" s="20">
        <f>-SUMIFS('TRA RESID'!$P:$P,'TRA RESID'!$I:$I,W545,'TRA RESID'!$J:$J,T545,'TRA RESID'!$H:$H,U545)/SUMIFS('TRA RESID'!$P:$P,'TRA RESID'!$I:$I,W545)*AE545</f>
        <v>0</v>
      </c>
      <c r="AB545" s="18">
        <v>0</v>
      </c>
      <c r="AC545" s="18">
        <v>5</v>
      </c>
      <c r="AE545" s="21">
        <v>0.98</v>
      </c>
      <c r="AG545" s="15" t="str">
        <f>IF(SUMIFS('TRA RESID'!$P:$P,'TRA RESID'!$I:$I,AK545,'TRA RESID'!$J:$J,AH545,'TRA RESID'!$H:$H,AI545)=0,"*","UC_"&amp;SUBSTITUTE(AH545,"*","")&amp;"_"&amp;RIGHT(AI545,3)&amp;"_"&amp;AJ545)</f>
        <v>*</v>
      </c>
      <c r="AH545" s="17" t="s">
        <v>487</v>
      </c>
      <c r="AI545" s="17" t="str">
        <f>_xlfn.XLOOKUP($A545,Selected_constraint!$A:$A,Selected_constraint!$B:$B)</f>
        <v>TRADSL</v>
      </c>
      <c r="AJ545" s="17" t="str">
        <f>_xlfn.XLOOKUP($A545,Selected_constraint!$A:$A,Selected_constraint!$C:$C)</f>
        <v>TRAPASRAIDMD</v>
      </c>
      <c r="AK545" s="17" t="str">
        <f>AJ545</f>
        <v>TRAPASRAIDMD</v>
      </c>
      <c r="AL545" s="18">
        <v>2019</v>
      </c>
      <c r="AM545" s="18" t="s">
        <v>483</v>
      </c>
      <c r="AN545" s="18">
        <v>1</v>
      </c>
      <c r="AO545" s="20">
        <f>-SUMIFS('TRA RESID'!$P:$P,'TRA RESID'!$I:$I,AK545,'TRA RESID'!$J:$J,AH545,'TRA RESID'!$H:$H,AI545)/SUMIFS('TRA RESID'!$P:$P,'TRA RESID'!$I:$I,AK545)*AS545</f>
        <v>0</v>
      </c>
      <c r="AP545" s="18">
        <v>0</v>
      </c>
      <c r="AQ545" s="18">
        <v>5</v>
      </c>
      <c r="AS545" s="21">
        <v>0.98</v>
      </c>
      <c r="AU545" s="15" t="str">
        <f>IF(SUMIFS('TRA RESID'!$P:$P,'TRA RESID'!$I:$I,AY545,'TRA RESID'!$J:$J,AV545,'TRA RESID'!$H:$H,AW545)=0,"*","UC_"&amp;SUBSTITUTE(AV545,"*","")&amp;"_"&amp;RIGHT(AW545,3)&amp;"_"&amp;AX545)</f>
        <v>*</v>
      </c>
      <c r="AV545" s="17" t="s">
        <v>488</v>
      </c>
      <c r="AW545" s="17" t="str">
        <f>_xlfn.XLOOKUP($A545,Selected_constraint!$A:$A,Selected_constraint!$B:$B)</f>
        <v>TRADSL</v>
      </c>
      <c r="AX545" s="17" t="str">
        <f>_xlfn.XLOOKUP($A545,Selected_constraint!$A:$A,Selected_constraint!$C:$C)</f>
        <v>TRAPASRAIDMD</v>
      </c>
      <c r="AY545" s="17" t="str">
        <f>AX545</f>
        <v>TRAPASRAIDMD</v>
      </c>
      <c r="AZ545" s="18">
        <v>2019</v>
      </c>
      <c r="BA545" s="18" t="s">
        <v>483</v>
      </c>
      <c r="BB545" s="18">
        <v>1</v>
      </c>
      <c r="BC545" s="20">
        <f>-SUMIFS('TRA RESID'!$P:$P,'TRA RESID'!$I:$I,AY545,'TRA RESID'!$J:$J,AV545,'TRA RESID'!$H:$H,AW545)/SUMIFS('TRA RESID'!$P:$P,'TRA RESID'!$I:$I,AY545)*BG545</f>
        <v>0</v>
      </c>
      <c r="BD545" s="18">
        <v>0</v>
      </c>
      <c r="BE545" s="18">
        <v>5</v>
      </c>
      <c r="BG545" s="21">
        <v>0.98</v>
      </c>
    </row>
    <row r="546" spans="1:59" x14ac:dyDescent="0.25">
      <c r="C546" s="15" t="str">
        <f>IF(C545="*",C545,"")</f>
        <v/>
      </c>
      <c r="D546" s="17" t="str">
        <f t="shared" ref="D546:G549" si="432">D545</f>
        <v>*ICEV*</v>
      </c>
      <c r="E546" s="17" t="str">
        <f t="shared" si="432"/>
        <v>TRADSL</v>
      </c>
      <c r="F546" s="17" t="str">
        <f t="shared" si="432"/>
        <v>TRAPASRAIDMD</v>
      </c>
      <c r="G546" s="17" t="str">
        <f t="shared" si="432"/>
        <v>TRAPASRAIDMD</v>
      </c>
      <c r="H546" s="18">
        <v>2025</v>
      </c>
      <c r="I546" s="18" t="str">
        <f>I545</f>
        <v>LO</v>
      </c>
      <c r="J546" s="18"/>
      <c r="K546" s="20">
        <f>-SUMIFS('TRA RESID'!$P:$P,'TRA RESID'!$I:$I,G546,'TRA RESID'!$J:$J,D546,'TRA RESID'!$H:$H,E546)/SUMIFS('TRA RESID'!$P:$P,'TRA RESID'!$I:$I,G546)*O546</f>
        <v>-2.4435195447575244E-2</v>
      </c>
      <c r="L546" s="18"/>
      <c r="M546" s="18"/>
      <c r="O546" s="21">
        <v>0.8</v>
      </c>
      <c r="S546" s="15" t="str">
        <f>IF(S545="*",S545,"")</f>
        <v>*</v>
      </c>
      <c r="T546" s="17" t="str">
        <f t="shared" ref="T546:W549" si="433">T545</f>
        <v>*BEV*</v>
      </c>
      <c r="U546" s="17" t="str">
        <f t="shared" si="433"/>
        <v>TRADSL</v>
      </c>
      <c r="V546" s="17" t="str">
        <f t="shared" si="433"/>
        <v>TRAPASRAIDMD</v>
      </c>
      <c r="W546" s="17" t="str">
        <f t="shared" si="433"/>
        <v>TRAPASRAIDMD</v>
      </c>
      <c r="X546" s="18">
        <v>2025</v>
      </c>
      <c r="Y546" s="18" t="str">
        <f>Y545</f>
        <v>LO</v>
      </c>
      <c r="Z546" s="18"/>
      <c r="AA546" s="20">
        <f>-SUMIFS('TRA RESID'!$P:$P,'TRA RESID'!$I:$I,W546,'TRA RESID'!$J:$J,T546,'TRA RESID'!$H:$H,U546)/SUMIFS('TRA RESID'!$P:$P,'TRA RESID'!$I:$I,W546)*AE546</f>
        <v>0</v>
      </c>
      <c r="AB546" s="18"/>
      <c r="AC546" s="18"/>
      <c r="AE546" s="21">
        <v>1</v>
      </c>
      <c r="AG546" s="15" t="str">
        <f>IF(AG545="*",AG545,"")</f>
        <v>*</v>
      </c>
      <c r="AH546" s="17" t="str">
        <f t="shared" ref="AH546:AK549" si="434">AH545</f>
        <v>*HEV*</v>
      </c>
      <c r="AI546" s="17" t="str">
        <f t="shared" si="434"/>
        <v>TRADSL</v>
      </c>
      <c r="AJ546" s="17" t="str">
        <f t="shared" si="434"/>
        <v>TRAPASRAIDMD</v>
      </c>
      <c r="AK546" s="17" t="str">
        <f t="shared" si="434"/>
        <v>TRAPASRAIDMD</v>
      </c>
      <c r="AL546" s="18">
        <v>2025</v>
      </c>
      <c r="AM546" s="18" t="str">
        <f>AM545</f>
        <v>LO</v>
      </c>
      <c r="AN546" s="18"/>
      <c r="AO546" s="20">
        <f>-SUMIFS('TRA RESID'!$P:$P,'TRA RESID'!$I:$I,AK546,'TRA RESID'!$J:$J,AH546,'TRA RESID'!$H:$H,AI546)/SUMIFS('TRA RESID'!$P:$P,'TRA RESID'!$I:$I,AK546)*AS546</f>
        <v>0</v>
      </c>
      <c r="AP546" s="18"/>
      <c r="AQ546" s="18"/>
      <c r="AS546" s="21">
        <v>0.8</v>
      </c>
      <c r="AU546" s="15" t="str">
        <f>IF(AU545="*",AU545,"")</f>
        <v>*</v>
      </c>
      <c r="AV546" s="17" t="str">
        <f t="shared" ref="AV546:AY549" si="435">AV545</f>
        <v>*FCEV*</v>
      </c>
      <c r="AW546" s="17" t="str">
        <f t="shared" si="435"/>
        <v>TRADSL</v>
      </c>
      <c r="AX546" s="17" t="str">
        <f t="shared" si="435"/>
        <v>TRAPASRAIDMD</v>
      </c>
      <c r="AY546" s="17" t="str">
        <f t="shared" si="435"/>
        <v>TRAPASRAIDMD</v>
      </c>
      <c r="AZ546" s="18">
        <v>2025</v>
      </c>
      <c r="BA546" s="18" t="str">
        <f>BA545</f>
        <v>LO</v>
      </c>
      <c r="BB546" s="18"/>
      <c r="BC546" s="20">
        <f>-SUMIFS('TRA RESID'!$P:$P,'TRA RESID'!$I:$I,AY546,'TRA RESID'!$J:$J,AV546,'TRA RESID'!$H:$H,AW546)/SUMIFS('TRA RESID'!$P:$P,'TRA RESID'!$I:$I,AY546)*BG546</f>
        <v>0</v>
      </c>
      <c r="BD546" s="18"/>
      <c r="BE546" s="18"/>
      <c r="BG546" s="21">
        <v>0.8</v>
      </c>
    </row>
    <row r="547" spans="1:59" x14ac:dyDescent="0.25">
      <c r="C547" s="15" t="str">
        <f>IF(C546="*",C546,"")</f>
        <v/>
      </c>
      <c r="D547" s="17" t="str">
        <f t="shared" si="432"/>
        <v>*ICEV*</v>
      </c>
      <c r="E547" s="17" t="str">
        <f t="shared" si="432"/>
        <v>TRADSL</v>
      </c>
      <c r="F547" s="17" t="str">
        <f t="shared" si="432"/>
        <v>TRAPASRAIDMD</v>
      </c>
      <c r="G547" s="17" t="str">
        <f t="shared" si="432"/>
        <v>TRAPASRAIDMD</v>
      </c>
      <c r="H547" s="18">
        <v>2030</v>
      </c>
      <c r="I547" s="18" t="str">
        <f>I546</f>
        <v>LO</v>
      </c>
      <c r="J547" s="18"/>
      <c r="K547" s="20">
        <f>-SUMIFS('TRA RESID'!$P:$P,'TRA RESID'!$I:$I,G547,'TRA RESID'!$J:$J,D547,'TRA RESID'!$H:$H,E547)/SUMIFS('TRA RESID'!$P:$P,'TRA RESID'!$I:$I,G547)*O547</f>
        <v>-1.5271997154734526E-2</v>
      </c>
      <c r="L547" s="18"/>
      <c r="M547" s="18"/>
      <c r="O547" s="21">
        <v>0.5</v>
      </c>
      <c r="S547" s="15" t="str">
        <f>IF(S546="*",S546,"")</f>
        <v>*</v>
      </c>
      <c r="T547" s="17" t="str">
        <f t="shared" si="433"/>
        <v>*BEV*</v>
      </c>
      <c r="U547" s="17" t="str">
        <f t="shared" si="433"/>
        <v>TRADSL</v>
      </c>
      <c r="V547" s="17" t="str">
        <f t="shared" si="433"/>
        <v>TRAPASRAIDMD</v>
      </c>
      <c r="W547" s="17" t="str">
        <f t="shared" si="433"/>
        <v>TRAPASRAIDMD</v>
      </c>
      <c r="X547" s="18">
        <v>2030</v>
      </c>
      <c r="Y547" s="18" t="str">
        <f>Y546</f>
        <v>LO</v>
      </c>
      <c r="Z547" s="18"/>
      <c r="AA547" s="20">
        <f>-SUMIFS('TRA RESID'!$P:$P,'TRA RESID'!$I:$I,W547,'TRA RESID'!$J:$J,T547,'TRA RESID'!$H:$H,U547)/SUMIFS('TRA RESID'!$P:$P,'TRA RESID'!$I:$I,W547)*AE547</f>
        <v>0</v>
      </c>
      <c r="AB547" s="18"/>
      <c r="AC547" s="18"/>
      <c r="AE547" s="21">
        <v>1</v>
      </c>
      <c r="AG547" s="15" t="str">
        <f>IF(AG546="*",AG546,"")</f>
        <v>*</v>
      </c>
      <c r="AH547" s="17" t="str">
        <f t="shared" si="434"/>
        <v>*HEV*</v>
      </c>
      <c r="AI547" s="17" t="str">
        <f t="shared" si="434"/>
        <v>TRADSL</v>
      </c>
      <c r="AJ547" s="17" t="str">
        <f t="shared" si="434"/>
        <v>TRAPASRAIDMD</v>
      </c>
      <c r="AK547" s="17" t="str">
        <f t="shared" si="434"/>
        <v>TRAPASRAIDMD</v>
      </c>
      <c r="AL547" s="18">
        <v>2030</v>
      </c>
      <c r="AM547" s="18" t="str">
        <f>AM546</f>
        <v>LO</v>
      </c>
      <c r="AN547" s="18"/>
      <c r="AO547" s="20">
        <f>-SUMIFS('TRA RESID'!$P:$P,'TRA RESID'!$I:$I,AK547,'TRA RESID'!$J:$J,AH547,'TRA RESID'!$H:$H,AI547)/SUMIFS('TRA RESID'!$P:$P,'TRA RESID'!$I:$I,AK547)*AS547</f>
        <v>0</v>
      </c>
      <c r="AP547" s="18"/>
      <c r="AQ547" s="18"/>
      <c r="AS547" s="21">
        <v>0.5</v>
      </c>
      <c r="AU547" s="15" t="str">
        <f>IF(AU546="*",AU546,"")</f>
        <v>*</v>
      </c>
      <c r="AV547" s="17" t="str">
        <f t="shared" si="435"/>
        <v>*FCEV*</v>
      </c>
      <c r="AW547" s="17" t="str">
        <f t="shared" si="435"/>
        <v>TRADSL</v>
      </c>
      <c r="AX547" s="17" t="str">
        <f t="shared" si="435"/>
        <v>TRAPASRAIDMD</v>
      </c>
      <c r="AY547" s="17" t="str">
        <f t="shared" si="435"/>
        <v>TRAPASRAIDMD</v>
      </c>
      <c r="AZ547" s="18">
        <v>2030</v>
      </c>
      <c r="BA547" s="18" t="str">
        <f>BA546</f>
        <v>LO</v>
      </c>
      <c r="BB547" s="18"/>
      <c r="BC547" s="20">
        <f>-SUMIFS('TRA RESID'!$P:$P,'TRA RESID'!$I:$I,AY547,'TRA RESID'!$J:$J,AV547,'TRA RESID'!$H:$H,AW547)/SUMIFS('TRA RESID'!$P:$P,'TRA RESID'!$I:$I,AY547)*BG547</f>
        <v>0</v>
      </c>
      <c r="BD547" s="18"/>
      <c r="BE547" s="18"/>
      <c r="BG547" s="21">
        <v>0.5</v>
      </c>
    </row>
    <row r="548" spans="1:59" x14ac:dyDescent="0.25">
      <c r="C548" s="15" t="str">
        <f>IF(C547="*",C547,"")</f>
        <v/>
      </c>
      <c r="D548" s="17" t="str">
        <f t="shared" si="432"/>
        <v>*ICEV*</v>
      </c>
      <c r="E548" s="17" t="str">
        <f t="shared" si="432"/>
        <v>TRADSL</v>
      </c>
      <c r="F548" s="17" t="str">
        <f t="shared" si="432"/>
        <v>TRAPASRAIDMD</v>
      </c>
      <c r="G548" s="17" t="str">
        <f t="shared" si="432"/>
        <v>TRAPASRAIDMD</v>
      </c>
      <c r="H548" s="18">
        <v>2040</v>
      </c>
      <c r="I548" s="18" t="str">
        <f>I547</f>
        <v>LO</v>
      </c>
      <c r="J548" s="18"/>
      <c r="K548" s="20">
        <f>-SUMIFS('TRA RESID'!$P:$P,'TRA RESID'!$I:$I,G548,'TRA RESID'!$J:$J,D548,'TRA RESID'!$H:$H,E548)/SUMIFS('TRA RESID'!$P:$P,'TRA RESID'!$I:$I,G548)*O548</f>
        <v>0</v>
      </c>
      <c r="L548" s="18"/>
      <c r="M548" s="18"/>
      <c r="O548" s="21">
        <v>0</v>
      </c>
      <c r="S548" s="15" t="str">
        <f>IF(S547="*",S547,"")</f>
        <v>*</v>
      </c>
      <c r="T548" s="17" t="str">
        <f t="shared" si="433"/>
        <v>*BEV*</v>
      </c>
      <c r="U548" s="17" t="str">
        <f t="shared" si="433"/>
        <v>TRADSL</v>
      </c>
      <c r="V548" s="17" t="str">
        <f t="shared" si="433"/>
        <v>TRAPASRAIDMD</v>
      </c>
      <c r="W548" s="17" t="str">
        <f t="shared" si="433"/>
        <v>TRAPASRAIDMD</v>
      </c>
      <c r="X548" s="18">
        <v>2040</v>
      </c>
      <c r="Y548" s="18" t="str">
        <f>Y547</f>
        <v>LO</v>
      </c>
      <c r="Z548" s="18"/>
      <c r="AA548" s="20">
        <f>-SUMIFS('TRA RESID'!$P:$P,'TRA RESID'!$I:$I,W548,'TRA RESID'!$J:$J,T548,'TRA RESID'!$H:$H,U548)/SUMIFS('TRA RESID'!$P:$P,'TRA RESID'!$I:$I,W548)*AE548</f>
        <v>0</v>
      </c>
      <c r="AB548" s="18"/>
      <c r="AC548" s="18"/>
      <c r="AE548" s="21">
        <v>1</v>
      </c>
      <c r="AG548" s="15" t="str">
        <f>IF(AG547="*",AG547,"")</f>
        <v>*</v>
      </c>
      <c r="AH548" s="17" t="str">
        <f t="shared" si="434"/>
        <v>*HEV*</v>
      </c>
      <c r="AI548" s="17" t="str">
        <f t="shared" si="434"/>
        <v>TRADSL</v>
      </c>
      <c r="AJ548" s="17" t="str">
        <f t="shared" si="434"/>
        <v>TRAPASRAIDMD</v>
      </c>
      <c r="AK548" s="17" t="str">
        <f t="shared" si="434"/>
        <v>TRAPASRAIDMD</v>
      </c>
      <c r="AL548" s="18">
        <v>2040</v>
      </c>
      <c r="AM548" s="18" t="str">
        <f>AM547</f>
        <v>LO</v>
      </c>
      <c r="AN548" s="18"/>
      <c r="AO548" s="20">
        <f>-SUMIFS('TRA RESID'!$P:$P,'TRA RESID'!$I:$I,AK548,'TRA RESID'!$J:$J,AH548,'TRA RESID'!$H:$H,AI548)/SUMIFS('TRA RESID'!$P:$P,'TRA RESID'!$I:$I,AK548)*AS548</f>
        <v>0</v>
      </c>
      <c r="AP548" s="18"/>
      <c r="AQ548" s="18"/>
      <c r="AS548" s="21">
        <v>0</v>
      </c>
      <c r="AU548" s="15" t="str">
        <f>IF(AU547="*",AU547,"")</f>
        <v>*</v>
      </c>
      <c r="AV548" s="17" t="str">
        <f t="shared" si="435"/>
        <v>*FCEV*</v>
      </c>
      <c r="AW548" s="17" t="str">
        <f t="shared" si="435"/>
        <v>TRADSL</v>
      </c>
      <c r="AX548" s="17" t="str">
        <f t="shared" si="435"/>
        <v>TRAPASRAIDMD</v>
      </c>
      <c r="AY548" s="17" t="str">
        <f t="shared" si="435"/>
        <v>TRAPASRAIDMD</v>
      </c>
      <c r="AZ548" s="18">
        <v>2040</v>
      </c>
      <c r="BA548" s="18" t="str">
        <f>BA547</f>
        <v>LO</v>
      </c>
      <c r="BB548" s="18"/>
      <c r="BC548" s="20">
        <f>-SUMIFS('TRA RESID'!$P:$P,'TRA RESID'!$I:$I,AY548,'TRA RESID'!$J:$J,AV548,'TRA RESID'!$H:$H,AW548)/SUMIFS('TRA RESID'!$P:$P,'TRA RESID'!$I:$I,AY548)*BG548</f>
        <v>0</v>
      </c>
      <c r="BD548" s="18"/>
      <c r="BE548" s="18"/>
      <c r="BG548" s="21">
        <v>0</v>
      </c>
    </row>
    <row r="549" spans="1:59" x14ac:dyDescent="0.25">
      <c r="C549" s="23" t="str">
        <f>IF(C548="*",C548,"")</f>
        <v/>
      </c>
      <c r="D549" s="25" t="str">
        <f t="shared" si="432"/>
        <v>*ICEV*</v>
      </c>
      <c r="E549" s="25" t="str">
        <f t="shared" si="432"/>
        <v>TRADSL</v>
      </c>
      <c r="F549" s="25" t="str">
        <f t="shared" si="432"/>
        <v>TRAPASRAIDMD</v>
      </c>
      <c r="G549" s="25" t="str">
        <f t="shared" si="432"/>
        <v>TRAPASRAIDMD</v>
      </c>
      <c r="H549" s="26">
        <v>2050</v>
      </c>
      <c r="I549" s="26" t="str">
        <f>I547</f>
        <v>LO</v>
      </c>
      <c r="J549" s="26"/>
      <c r="K549" s="27">
        <f>-SUMIFS('TRA RESID'!$P:$P,'TRA RESID'!$I:$I,G549,'TRA RESID'!$J:$J,D549,'TRA RESID'!$H:$H,E549)/SUMIFS('TRA RESID'!$P:$P,'TRA RESID'!$I:$I,G549)*O549</f>
        <v>0</v>
      </c>
      <c r="L549" s="26"/>
      <c r="M549" s="26"/>
      <c r="O549" s="28">
        <v>0</v>
      </c>
      <c r="S549" s="23" t="str">
        <f>IF(S548="*",S548,"")</f>
        <v>*</v>
      </c>
      <c r="T549" s="25" t="str">
        <f t="shared" si="433"/>
        <v>*BEV*</v>
      </c>
      <c r="U549" s="25" t="str">
        <f t="shared" si="433"/>
        <v>TRADSL</v>
      </c>
      <c r="V549" s="25" t="str">
        <f t="shared" si="433"/>
        <v>TRAPASRAIDMD</v>
      </c>
      <c r="W549" s="25" t="str">
        <f t="shared" si="433"/>
        <v>TRAPASRAIDMD</v>
      </c>
      <c r="X549" s="26">
        <v>2050</v>
      </c>
      <c r="Y549" s="26" t="str">
        <f>Y547</f>
        <v>LO</v>
      </c>
      <c r="Z549" s="26"/>
      <c r="AA549" s="27">
        <f>-SUMIFS('TRA RESID'!$P:$P,'TRA RESID'!$I:$I,W549,'TRA RESID'!$J:$J,T549,'TRA RESID'!$H:$H,U549)/SUMIFS('TRA RESID'!$P:$P,'TRA RESID'!$I:$I,W549)*AE549</f>
        <v>0</v>
      </c>
      <c r="AB549" s="26"/>
      <c r="AC549" s="26"/>
      <c r="AE549" s="28">
        <v>1</v>
      </c>
      <c r="AG549" s="23" t="str">
        <f>IF(AG548="*",AG548,"")</f>
        <v>*</v>
      </c>
      <c r="AH549" s="25" t="str">
        <f t="shared" si="434"/>
        <v>*HEV*</v>
      </c>
      <c r="AI549" s="25" t="str">
        <f t="shared" si="434"/>
        <v>TRADSL</v>
      </c>
      <c r="AJ549" s="25" t="str">
        <f t="shared" si="434"/>
        <v>TRAPASRAIDMD</v>
      </c>
      <c r="AK549" s="25" t="str">
        <f t="shared" si="434"/>
        <v>TRAPASRAIDMD</v>
      </c>
      <c r="AL549" s="26">
        <v>2050</v>
      </c>
      <c r="AM549" s="26" t="str">
        <f>AM547</f>
        <v>LO</v>
      </c>
      <c r="AN549" s="26"/>
      <c r="AO549" s="27">
        <f>-SUMIFS('TRA RESID'!$P:$P,'TRA RESID'!$I:$I,AK549,'TRA RESID'!$J:$J,AH549,'TRA RESID'!$H:$H,AI549)/SUMIFS('TRA RESID'!$P:$P,'TRA RESID'!$I:$I,AK549)*AS549</f>
        <v>0</v>
      </c>
      <c r="AP549" s="26"/>
      <c r="AQ549" s="26"/>
      <c r="AS549" s="28">
        <v>0</v>
      </c>
      <c r="AU549" s="23" t="str">
        <f>IF(AU548="*",AU548,"")</f>
        <v>*</v>
      </c>
      <c r="AV549" s="25" t="str">
        <f t="shared" si="435"/>
        <v>*FCEV*</v>
      </c>
      <c r="AW549" s="25" t="str">
        <f t="shared" si="435"/>
        <v>TRADSL</v>
      </c>
      <c r="AX549" s="25" t="str">
        <f t="shared" si="435"/>
        <v>TRAPASRAIDMD</v>
      </c>
      <c r="AY549" s="25" t="str">
        <f t="shared" si="435"/>
        <v>TRAPASRAIDMD</v>
      </c>
      <c r="AZ549" s="26">
        <v>2050</v>
      </c>
      <c r="BA549" s="26" t="str">
        <f>BA547</f>
        <v>LO</v>
      </c>
      <c r="BB549" s="26"/>
      <c r="BC549" s="27">
        <f>-SUMIFS('TRA RESID'!$P:$P,'TRA RESID'!$I:$I,AY549,'TRA RESID'!$J:$J,AV549,'TRA RESID'!$H:$H,AW549)/SUMIFS('TRA RESID'!$P:$P,'TRA RESID'!$I:$I,AY549)*BG549</f>
        <v>0</v>
      </c>
      <c r="BD549" s="26"/>
      <c r="BE549" s="26"/>
      <c r="BG549" s="28">
        <v>0</v>
      </c>
    </row>
    <row r="550" spans="1:59" x14ac:dyDescent="0.25">
      <c r="A550">
        <f>A545+1</f>
        <v>110</v>
      </c>
      <c r="C550" s="15" t="str">
        <f>IF(E550="","",IF(_xlfn.XLOOKUP($A550,Selected_constraint!$A:$A,Selected_constraint!$D:$D)=1,"*",IF(SUMIFS('TRA TECH'!$M:$M,'TRA TECH'!$H:$H,E550,'TRA TECH'!$I:$I,F550)=0,"*",IF(SUMIFS('TRA RESID'!$P:$P,'TRA RESID'!$I:$I,G550,'TRA RESID'!$J:$J,D550,'TRA RESID'!$H:$H,E550)=0,"*","UC_"&amp;SUBSTITUTE(D550,"*","")&amp;"_"&amp;RIGHT(E550,3)&amp;"_"&amp;F550))))</f>
        <v>*</v>
      </c>
      <c r="D550" s="17" t="s">
        <v>485</v>
      </c>
      <c r="E550" s="17" t="str">
        <f>_xlfn.XLOOKUP($A550,Selected_constraint!$A:$A,Selected_constraint!$B:$B)</f>
        <v>TRARDS</v>
      </c>
      <c r="F550" s="17" t="str">
        <f>_xlfn.XLOOKUP($A550,Selected_constraint!$A:$A,Selected_constraint!$C:$C)</f>
        <v>TRAPASRAIDMD</v>
      </c>
      <c r="G550" s="17" t="str">
        <f>F550</f>
        <v>TRAPASRAIDMD</v>
      </c>
      <c r="H550" s="18">
        <v>2019</v>
      </c>
      <c r="I550" s="18" t="s">
        <v>483</v>
      </c>
      <c r="J550" s="18">
        <v>1</v>
      </c>
      <c r="K550" s="20">
        <f>-SUMIFS('TRA RESID'!$P:$P,'TRA RESID'!$I:$I,G550,'TRA RESID'!$J:$J,D550,'TRA RESID'!$H:$H,E550)/SUMIFS('TRA RESID'!$P:$P,'TRA RESID'!$I:$I,G550)*O550</f>
        <v>0</v>
      </c>
      <c r="L550" s="18">
        <v>0</v>
      </c>
      <c r="M550" s="18">
        <v>5</v>
      </c>
      <c r="O550" s="21">
        <v>0.98</v>
      </c>
      <c r="Q550">
        <f>Q545+1</f>
        <v>110</v>
      </c>
      <c r="S550" s="15" t="str">
        <f>IF(SUMIFS('TRA RESID'!$P:$P,'TRA RESID'!$I:$I,W550,'TRA RESID'!$J:$J,T550,'TRA RESID'!$H:$H,U550)=0,"*","UC_"&amp;SUBSTITUTE(T550,"*","")&amp;"_"&amp;RIGHT(U550,3)&amp;"_"&amp;V550)</f>
        <v>*</v>
      </c>
      <c r="T550" s="17" t="s">
        <v>486</v>
      </c>
      <c r="U550" s="17" t="str">
        <f>_xlfn.XLOOKUP($A550,Selected_constraint!$A:$A,Selected_constraint!$B:$B)</f>
        <v>TRARDS</v>
      </c>
      <c r="V550" s="17" t="str">
        <f>_xlfn.XLOOKUP($A550,Selected_constraint!$A:$A,Selected_constraint!$C:$C)</f>
        <v>TRAPASRAIDMD</v>
      </c>
      <c r="W550" s="17" t="str">
        <f>V550</f>
        <v>TRAPASRAIDMD</v>
      </c>
      <c r="X550" s="18">
        <v>2019</v>
      </c>
      <c r="Y550" s="18" t="s">
        <v>483</v>
      </c>
      <c r="Z550" s="18">
        <v>1</v>
      </c>
      <c r="AA550" s="20">
        <f>-SUMIFS('TRA RESID'!$P:$P,'TRA RESID'!$I:$I,W550,'TRA RESID'!$J:$J,T550,'TRA RESID'!$H:$H,U550)/SUMIFS('TRA RESID'!$P:$P,'TRA RESID'!$I:$I,W550)*AE550</f>
        <v>0</v>
      </c>
      <c r="AB550" s="18">
        <v>0</v>
      </c>
      <c r="AC550" s="18">
        <v>5</v>
      </c>
      <c r="AE550" s="21">
        <v>0.98</v>
      </c>
      <c r="AG550" s="15" t="str">
        <f>IF(SUMIFS('TRA RESID'!$P:$P,'TRA RESID'!$I:$I,AK550,'TRA RESID'!$J:$J,AH550,'TRA RESID'!$H:$H,AI550)=0,"*","UC_"&amp;SUBSTITUTE(AH550,"*","")&amp;"_"&amp;RIGHT(AI550,3)&amp;"_"&amp;AJ550)</f>
        <v>*</v>
      </c>
      <c r="AH550" s="17" t="s">
        <v>487</v>
      </c>
      <c r="AI550" s="17" t="str">
        <f>_xlfn.XLOOKUP($A550,Selected_constraint!$A:$A,Selected_constraint!$B:$B)</f>
        <v>TRARDS</v>
      </c>
      <c r="AJ550" s="17" t="str">
        <f>_xlfn.XLOOKUP($A550,Selected_constraint!$A:$A,Selected_constraint!$C:$C)</f>
        <v>TRAPASRAIDMD</v>
      </c>
      <c r="AK550" s="17" t="str">
        <f>AJ550</f>
        <v>TRAPASRAIDMD</v>
      </c>
      <c r="AL550" s="18">
        <v>2019</v>
      </c>
      <c r="AM550" s="18" t="s">
        <v>483</v>
      </c>
      <c r="AN550" s="18">
        <v>1</v>
      </c>
      <c r="AO550" s="20">
        <f>-SUMIFS('TRA RESID'!$P:$P,'TRA RESID'!$I:$I,AK550,'TRA RESID'!$J:$J,AH550,'TRA RESID'!$H:$H,AI550)/SUMIFS('TRA RESID'!$P:$P,'TRA RESID'!$I:$I,AK550)*AS550</f>
        <v>0</v>
      </c>
      <c r="AP550" s="18">
        <v>0</v>
      </c>
      <c r="AQ550" s="18">
        <v>5</v>
      </c>
      <c r="AS550" s="21">
        <v>0.98</v>
      </c>
      <c r="AU550" s="15" t="str">
        <f>IF(SUMIFS('TRA RESID'!$P:$P,'TRA RESID'!$I:$I,AY550,'TRA RESID'!$J:$J,AV550,'TRA RESID'!$H:$H,AW550)=0,"*","UC_"&amp;SUBSTITUTE(AV550,"*","")&amp;"_"&amp;RIGHT(AW550,3)&amp;"_"&amp;AX550)</f>
        <v>*</v>
      </c>
      <c r="AV550" s="17" t="s">
        <v>488</v>
      </c>
      <c r="AW550" s="17" t="str">
        <f>_xlfn.XLOOKUP($A550,Selected_constraint!$A:$A,Selected_constraint!$B:$B)</f>
        <v>TRARDS</v>
      </c>
      <c r="AX550" s="17" t="str">
        <f>_xlfn.XLOOKUP($A550,Selected_constraint!$A:$A,Selected_constraint!$C:$C)</f>
        <v>TRAPASRAIDMD</v>
      </c>
      <c r="AY550" s="17" t="str">
        <f>AX550</f>
        <v>TRAPASRAIDMD</v>
      </c>
      <c r="AZ550" s="18">
        <v>2019</v>
      </c>
      <c r="BA550" s="18" t="s">
        <v>483</v>
      </c>
      <c r="BB550" s="18">
        <v>1</v>
      </c>
      <c r="BC550" s="20">
        <f>-SUMIFS('TRA RESID'!$P:$P,'TRA RESID'!$I:$I,AY550,'TRA RESID'!$J:$J,AV550,'TRA RESID'!$H:$H,AW550)/SUMIFS('TRA RESID'!$P:$P,'TRA RESID'!$I:$I,AY550)*BG550</f>
        <v>0</v>
      </c>
      <c r="BD550" s="18">
        <v>0</v>
      </c>
      <c r="BE550" s="18">
        <v>5</v>
      </c>
      <c r="BG550" s="21">
        <v>0.98</v>
      </c>
    </row>
    <row r="551" spans="1:59" x14ac:dyDescent="0.25">
      <c r="C551" s="15" t="str">
        <f>IF(C550="*",C550,"")</f>
        <v>*</v>
      </c>
      <c r="D551" s="17" t="str">
        <f t="shared" ref="D551:G554" si="436">D550</f>
        <v>*ICEV*</v>
      </c>
      <c r="E551" s="17" t="str">
        <f t="shared" si="436"/>
        <v>TRARDS</v>
      </c>
      <c r="F551" s="17" t="str">
        <f t="shared" si="436"/>
        <v>TRAPASRAIDMD</v>
      </c>
      <c r="G551" s="17" t="str">
        <f t="shared" si="436"/>
        <v>TRAPASRAIDMD</v>
      </c>
      <c r="H551" s="18">
        <v>2025</v>
      </c>
      <c r="I551" s="18" t="str">
        <f>I550</f>
        <v>LO</v>
      </c>
      <c r="J551" s="18"/>
      <c r="K551" s="20">
        <f>-SUMIFS('TRA RESID'!$P:$P,'TRA RESID'!$I:$I,G551,'TRA RESID'!$J:$J,D551,'TRA RESID'!$H:$H,E551)/SUMIFS('TRA RESID'!$P:$P,'TRA RESID'!$I:$I,G551)*O551</f>
        <v>0</v>
      </c>
      <c r="L551" s="18"/>
      <c r="M551" s="18"/>
      <c r="O551" s="21">
        <v>0.8</v>
      </c>
      <c r="S551" s="15" t="str">
        <f>IF(S550="*",S550,"")</f>
        <v>*</v>
      </c>
      <c r="T551" s="17" t="str">
        <f t="shared" ref="T551:W554" si="437">T550</f>
        <v>*BEV*</v>
      </c>
      <c r="U551" s="17" t="str">
        <f t="shared" si="437"/>
        <v>TRARDS</v>
      </c>
      <c r="V551" s="17" t="str">
        <f t="shared" si="437"/>
        <v>TRAPASRAIDMD</v>
      </c>
      <c r="W551" s="17" t="str">
        <f t="shared" si="437"/>
        <v>TRAPASRAIDMD</v>
      </c>
      <c r="X551" s="18">
        <v>2025</v>
      </c>
      <c r="Y551" s="18" t="str">
        <f>Y550</f>
        <v>LO</v>
      </c>
      <c r="Z551" s="18"/>
      <c r="AA551" s="20">
        <f>-SUMIFS('TRA RESID'!$P:$P,'TRA RESID'!$I:$I,W551,'TRA RESID'!$J:$J,T551,'TRA RESID'!$H:$H,U551)/SUMIFS('TRA RESID'!$P:$P,'TRA RESID'!$I:$I,W551)*AE551</f>
        <v>0</v>
      </c>
      <c r="AB551" s="18"/>
      <c r="AC551" s="18"/>
      <c r="AE551" s="21">
        <v>1</v>
      </c>
      <c r="AG551" s="15" t="str">
        <f>IF(AG550="*",AG550,"")</f>
        <v>*</v>
      </c>
      <c r="AH551" s="17" t="str">
        <f t="shared" ref="AH551:AK554" si="438">AH550</f>
        <v>*HEV*</v>
      </c>
      <c r="AI551" s="17" t="str">
        <f t="shared" si="438"/>
        <v>TRARDS</v>
      </c>
      <c r="AJ551" s="17" t="str">
        <f t="shared" si="438"/>
        <v>TRAPASRAIDMD</v>
      </c>
      <c r="AK551" s="17" t="str">
        <f t="shared" si="438"/>
        <v>TRAPASRAIDMD</v>
      </c>
      <c r="AL551" s="18">
        <v>2025</v>
      </c>
      <c r="AM551" s="18" t="str">
        <f>AM550</f>
        <v>LO</v>
      </c>
      <c r="AN551" s="18"/>
      <c r="AO551" s="20">
        <f>-SUMIFS('TRA RESID'!$P:$P,'TRA RESID'!$I:$I,AK551,'TRA RESID'!$J:$J,AH551,'TRA RESID'!$H:$H,AI551)/SUMIFS('TRA RESID'!$P:$P,'TRA RESID'!$I:$I,AK551)*AS551</f>
        <v>0</v>
      </c>
      <c r="AP551" s="18"/>
      <c r="AQ551" s="18"/>
      <c r="AS551" s="21">
        <v>0.8</v>
      </c>
      <c r="AU551" s="15" t="str">
        <f>IF(AU550="*",AU550,"")</f>
        <v>*</v>
      </c>
      <c r="AV551" s="17" t="str">
        <f t="shared" ref="AV551:AY554" si="439">AV550</f>
        <v>*FCEV*</v>
      </c>
      <c r="AW551" s="17" t="str">
        <f t="shared" si="439"/>
        <v>TRARDS</v>
      </c>
      <c r="AX551" s="17" t="str">
        <f t="shared" si="439"/>
        <v>TRAPASRAIDMD</v>
      </c>
      <c r="AY551" s="17" t="str">
        <f t="shared" si="439"/>
        <v>TRAPASRAIDMD</v>
      </c>
      <c r="AZ551" s="18">
        <v>2025</v>
      </c>
      <c r="BA551" s="18" t="str">
        <f>BA550</f>
        <v>LO</v>
      </c>
      <c r="BB551" s="18"/>
      <c r="BC551" s="20">
        <f>-SUMIFS('TRA RESID'!$P:$P,'TRA RESID'!$I:$I,AY551,'TRA RESID'!$J:$J,AV551,'TRA RESID'!$H:$H,AW551)/SUMIFS('TRA RESID'!$P:$P,'TRA RESID'!$I:$I,AY551)*BG551</f>
        <v>0</v>
      </c>
      <c r="BD551" s="18"/>
      <c r="BE551" s="18"/>
      <c r="BG551" s="21">
        <v>0.8</v>
      </c>
    </row>
    <row r="552" spans="1:59" x14ac:dyDescent="0.25">
      <c r="C552" s="15" t="str">
        <f>IF(C551="*",C551,"")</f>
        <v>*</v>
      </c>
      <c r="D552" s="17" t="str">
        <f t="shared" si="436"/>
        <v>*ICEV*</v>
      </c>
      <c r="E552" s="17" t="str">
        <f t="shared" si="436"/>
        <v>TRARDS</v>
      </c>
      <c r="F552" s="17" t="str">
        <f t="shared" si="436"/>
        <v>TRAPASRAIDMD</v>
      </c>
      <c r="G552" s="17" t="str">
        <f t="shared" si="436"/>
        <v>TRAPASRAIDMD</v>
      </c>
      <c r="H552" s="18">
        <v>2030</v>
      </c>
      <c r="I552" s="18" t="str">
        <f>I551</f>
        <v>LO</v>
      </c>
      <c r="J552" s="18"/>
      <c r="K552" s="20">
        <f>-SUMIFS('TRA RESID'!$P:$P,'TRA RESID'!$I:$I,G552,'TRA RESID'!$J:$J,D552,'TRA RESID'!$H:$H,E552)/SUMIFS('TRA RESID'!$P:$P,'TRA RESID'!$I:$I,G552)*O552</f>
        <v>0</v>
      </c>
      <c r="L552" s="18"/>
      <c r="M552" s="18"/>
      <c r="O552" s="21">
        <v>0.5</v>
      </c>
      <c r="S552" s="15" t="str">
        <f>IF(S551="*",S551,"")</f>
        <v>*</v>
      </c>
      <c r="T552" s="17" t="str">
        <f t="shared" si="437"/>
        <v>*BEV*</v>
      </c>
      <c r="U552" s="17" t="str">
        <f t="shared" si="437"/>
        <v>TRARDS</v>
      </c>
      <c r="V552" s="17" t="str">
        <f t="shared" si="437"/>
        <v>TRAPASRAIDMD</v>
      </c>
      <c r="W552" s="17" t="str">
        <f t="shared" si="437"/>
        <v>TRAPASRAIDMD</v>
      </c>
      <c r="X552" s="18">
        <v>2030</v>
      </c>
      <c r="Y552" s="18" t="str">
        <f>Y551</f>
        <v>LO</v>
      </c>
      <c r="Z552" s="18"/>
      <c r="AA552" s="20">
        <f>-SUMIFS('TRA RESID'!$P:$P,'TRA RESID'!$I:$I,W552,'TRA RESID'!$J:$J,T552,'TRA RESID'!$H:$H,U552)/SUMIFS('TRA RESID'!$P:$P,'TRA RESID'!$I:$I,W552)*AE552</f>
        <v>0</v>
      </c>
      <c r="AB552" s="18"/>
      <c r="AC552" s="18"/>
      <c r="AE552" s="21">
        <v>1</v>
      </c>
      <c r="AG552" s="15" t="str">
        <f>IF(AG551="*",AG551,"")</f>
        <v>*</v>
      </c>
      <c r="AH552" s="17" t="str">
        <f t="shared" si="438"/>
        <v>*HEV*</v>
      </c>
      <c r="AI552" s="17" t="str">
        <f t="shared" si="438"/>
        <v>TRARDS</v>
      </c>
      <c r="AJ552" s="17" t="str">
        <f t="shared" si="438"/>
        <v>TRAPASRAIDMD</v>
      </c>
      <c r="AK552" s="17" t="str">
        <f t="shared" si="438"/>
        <v>TRAPASRAIDMD</v>
      </c>
      <c r="AL552" s="18">
        <v>2030</v>
      </c>
      <c r="AM552" s="18" t="str">
        <f>AM551</f>
        <v>LO</v>
      </c>
      <c r="AN552" s="18"/>
      <c r="AO552" s="20">
        <f>-SUMIFS('TRA RESID'!$P:$P,'TRA RESID'!$I:$I,AK552,'TRA RESID'!$J:$J,AH552,'TRA RESID'!$H:$H,AI552)/SUMIFS('TRA RESID'!$P:$P,'TRA RESID'!$I:$I,AK552)*AS552</f>
        <v>0</v>
      </c>
      <c r="AP552" s="18"/>
      <c r="AQ552" s="18"/>
      <c r="AS552" s="21">
        <v>0.5</v>
      </c>
      <c r="AU552" s="15" t="str">
        <f>IF(AU551="*",AU551,"")</f>
        <v>*</v>
      </c>
      <c r="AV552" s="17" t="str">
        <f t="shared" si="439"/>
        <v>*FCEV*</v>
      </c>
      <c r="AW552" s="17" t="str">
        <f t="shared" si="439"/>
        <v>TRARDS</v>
      </c>
      <c r="AX552" s="17" t="str">
        <f t="shared" si="439"/>
        <v>TRAPASRAIDMD</v>
      </c>
      <c r="AY552" s="17" t="str">
        <f t="shared" si="439"/>
        <v>TRAPASRAIDMD</v>
      </c>
      <c r="AZ552" s="18">
        <v>2030</v>
      </c>
      <c r="BA552" s="18" t="str">
        <f>BA551</f>
        <v>LO</v>
      </c>
      <c r="BB552" s="18"/>
      <c r="BC552" s="20">
        <f>-SUMIFS('TRA RESID'!$P:$P,'TRA RESID'!$I:$I,AY552,'TRA RESID'!$J:$J,AV552,'TRA RESID'!$H:$H,AW552)/SUMIFS('TRA RESID'!$P:$P,'TRA RESID'!$I:$I,AY552)*BG552</f>
        <v>0</v>
      </c>
      <c r="BD552" s="18"/>
      <c r="BE552" s="18"/>
      <c r="BG552" s="21">
        <v>0.5</v>
      </c>
    </row>
    <row r="553" spans="1:59" x14ac:dyDescent="0.25">
      <c r="C553" s="15" t="str">
        <f>IF(C552="*",C552,"")</f>
        <v>*</v>
      </c>
      <c r="D553" s="17" t="str">
        <f t="shared" si="436"/>
        <v>*ICEV*</v>
      </c>
      <c r="E553" s="17" t="str">
        <f t="shared" si="436"/>
        <v>TRARDS</v>
      </c>
      <c r="F553" s="17" t="str">
        <f t="shared" si="436"/>
        <v>TRAPASRAIDMD</v>
      </c>
      <c r="G553" s="17" t="str">
        <f t="shared" si="436"/>
        <v>TRAPASRAIDMD</v>
      </c>
      <c r="H553" s="18">
        <v>2040</v>
      </c>
      <c r="I553" s="18" t="str">
        <f>I552</f>
        <v>LO</v>
      </c>
      <c r="J553" s="18"/>
      <c r="K553" s="20">
        <f>-SUMIFS('TRA RESID'!$P:$P,'TRA RESID'!$I:$I,G553,'TRA RESID'!$J:$J,D553,'TRA RESID'!$H:$H,E553)/SUMIFS('TRA RESID'!$P:$P,'TRA RESID'!$I:$I,G553)*O553</f>
        <v>0</v>
      </c>
      <c r="L553" s="18"/>
      <c r="M553" s="18"/>
      <c r="O553" s="21">
        <v>0</v>
      </c>
      <c r="S553" s="15" t="str">
        <f>IF(S552="*",S552,"")</f>
        <v>*</v>
      </c>
      <c r="T553" s="17" t="str">
        <f t="shared" si="437"/>
        <v>*BEV*</v>
      </c>
      <c r="U553" s="17" t="str">
        <f t="shared" si="437"/>
        <v>TRARDS</v>
      </c>
      <c r="V553" s="17" t="str">
        <f t="shared" si="437"/>
        <v>TRAPASRAIDMD</v>
      </c>
      <c r="W553" s="17" t="str">
        <f t="shared" si="437"/>
        <v>TRAPASRAIDMD</v>
      </c>
      <c r="X553" s="18">
        <v>2040</v>
      </c>
      <c r="Y553" s="18" t="str">
        <f>Y552</f>
        <v>LO</v>
      </c>
      <c r="Z553" s="18"/>
      <c r="AA553" s="20">
        <f>-SUMIFS('TRA RESID'!$P:$P,'TRA RESID'!$I:$I,W553,'TRA RESID'!$J:$J,T553,'TRA RESID'!$H:$H,U553)/SUMIFS('TRA RESID'!$P:$P,'TRA RESID'!$I:$I,W553)*AE553</f>
        <v>0</v>
      </c>
      <c r="AB553" s="18"/>
      <c r="AC553" s="18"/>
      <c r="AE553" s="21">
        <v>1</v>
      </c>
      <c r="AG553" s="15" t="str">
        <f>IF(AG552="*",AG552,"")</f>
        <v>*</v>
      </c>
      <c r="AH553" s="17" t="str">
        <f t="shared" si="438"/>
        <v>*HEV*</v>
      </c>
      <c r="AI553" s="17" t="str">
        <f t="shared" si="438"/>
        <v>TRARDS</v>
      </c>
      <c r="AJ553" s="17" t="str">
        <f t="shared" si="438"/>
        <v>TRAPASRAIDMD</v>
      </c>
      <c r="AK553" s="17" t="str">
        <f t="shared" si="438"/>
        <v>TRAPASRAIDMD</v>
      </c>
      <c r="AL553" s="18">
        <v>2040</v>
      </c>
      <c r="AM553" s="18" t="str">
        <f>AM552</f>
        <v>LO</v>
      </c>
      <c r="AN553" s="18"/>
      <c r="AO553" s="20">
        <f>-SUMIFS('TRA RESID'!$P:$P,'TRA RESID'!$I:$I,AK553,'TRA RESID'!$J:$J,AH553,'TRA RESID'!$H:$H,AI553)/SUMIFS('TRA RESID'!$P:$P,'TRA RESID'!$I:$I,AK553)*AS553</f>
        <v>0</v>
      </c>
      <c r="AP553" s="18"/>
      <c r="AQ553" s="18"/>
      <c r="AS553" s="21">
        <v>0</v>
      </c>
      <c r="AU553" s="15" t="str">
        <f>IF(AU552="*",AU552,"")</f>
        <v>*</v>
      </c>
      <c r="AV553" s="17" t="str">
        <f t="shared" si="439"/>
        <v>*FCEV*</v>
      </c>
      <c r="AW553" s="17" t="str">
        <f t="shared" si="439"/>
        <v>TRARDS</v>
      </c>
      <c r="AX553" s="17" t="str">
        <f t="shared" si="439"/>
        <v>TRAPASRAIDMD</v>
      </c>
      <c r="AY553" s="17" t="str">
        <f t="shared" si="439"/>
        <v>TRAPASRAIDMD</v>
      </c>
      <c r="AZ553" s="18">
        <v>2040</v>
      </c>
      <c r="BA553" s="18" t="str">
        <f>BA552</f>
        <v>LO</v>
      </c>
      <c r="BB553" s="18"/>
      <c r="BC553" s="20">
        <f>-SUMIFS('TRA RESID'!$P:$P,'TRA RESID'!$I:$I,AY553,'TRA RESID'!$J:$J,AV553,'TRA RESID'!$H:$H,AW553)/SUMIFS('TRA RESID'!$P:$P,'TRA RESID'!$I:$I,AY553)*BG553</f>
        <v>0</v>
      </c>
      <c r="BD553" s="18"/>
      <c r="BE553" s="18"/>
      <c r="BG553" s="21">
        <v>0</v>
      </c>
    </row>
    <row r="554" spans="1:59" x14ac:dyDescent="0.25">
      <c r="C554" s="23" t="str">
        <f>IF(C553="*",C553,"")</f>
        <v>*</v>
      </c>
      <c r="D554" s="25" t="str">
        <f t="shared" si="436"/>
        <v>*ICEV*</v>
      </c>
      <c r="E554" s="25" t="str">
        <f t="shared" si="436"/>
        <v>TRARDS</v>
      </c>
      <c r="F554" s="25" t="str">
        <f t="shared" si="436"/>
        <v>TRAPASRAIDMD</v>
      </c>
      <c r="G554" s="25" t="str">
        <f t="shared" si="436"/>
        <v>TRAPASRAIDMD</v>
      </c>
      <c r="H554" s="26">
        <v>2050</v>
      </c>
      <c r="I554" s="26" t="str">
        <f>I552</f>
        <v>LO</v>
      </c>
      <c r="J554" s="26"/>
      <c r="K554" s="27">
        <f>-SUMIFS('TRA RESID'!$P:$P,'TRA RESID'!$I:$I,G554,'TRA RESID'!$J:$J,D554,'TRA RESID'!$H:$H,E554)/SUMIFS('TRA RESID'!$P:$P,'TRA RESID'!$I:$I,G554)*O554</f>
        <v>0</v>
      </c>
      <c r="L554" s="26"/>
      <c r="M554" s="26"/>
      <c r="O554" s="28">
        <v>0</v>
      </c>
      <c r="S554" s="23" t="str">
        <f>IF(S553="*",S553,"")</f>
        <v>*</v>
      </c>
      <c r="T554" s="25" t="str">
        <f t="shared" si="437"/>
        <v>*BEV*</v>
      </c>
      <c r="U554" s="25" t="str">
        <f t="shared" si="437"/>
        <v>TRARDS</v>
      </c>
      <c r="V554" s="25" t="str">
        <f t="shared" si="437"/>
        <v>TRAPASRAIDMD</v>
      </c>
      <c r="W554" s="25" t="str">
        <f t="shared" si="437"/>
        <v>TRAPASRAIDMD</v>
      </c>
      <c r="X554" s="26">
        <v>2050</v>
      </c>
      <c r="Y554" s="26" t="str">
        <f>Y552</f>
        <v>LO</v>
      </c>
      <c r="Z554" s="26"/>
      <c r="AA554" s="27">
        <f>-SUMIFS('TRA RESID'!$P:$P,'TRA RESID'!$I:$I,W554,'TRA RESID'!$J:$J,T554,'TRA RESID'!$H:$H,U554)/SUMIFS('TRA RESID'!$P:$P,'TRA RESID'!$I:$I,W554)*AE554</f>
        <v>0</v>
      </c>
      <c r="AB554" s="26"/>
      <c r="AC554" s="26"/>
      <c r="AE554" s="28">
        <v>1</v>
      </c>
      <c r="AG554" s="23" t="str">
        <f>IF(AG553="*",AG553,"")</f>
        <v>*</v>
      </c>
      <c r="AH554" s="25" t="str">
        <f t="shared" si="438"/>
        <v>*HEV*</v>
      </c>
      <c r="AI554" s="25" t="str">
        <f t="shared" si="438"/>
        <v>TRARDS</v>
      </c>
      <c r="AJ554" s="25" t="str">
        <f t="shared" si="438"/>
        <v>TRAPASRAIDMD</v>
      </c>
      <c r="AK554" s="25" t="str">
        <f t="shared" si="438"/>
        <v>TRAPASRAIDMD</v>
      </c>
      <c r="AL554" s="26">
        <v>2050</v>
      </c>
      <c r="AM554" s="26" t="str">
        <f>AM552</f>
        <v>LO</v>
      </c>
      <c r="AN554" s="26"/>
      <c r="AO554" s="27">
        <f>-SUMIFS('TRA RESID'!$P:$P,'TRA RESID'!$I:$I,AK554,'TRA RESID'!$J:$J,AH554,'TRA RESID'!$H:$H,AI554)/SUMIFS('TRA RESID'!$P:$P,'TRA RESID'!$I:$I,AK554)*AS554</f>
        <v>0</v>
      </c>
      <c r="AP554" s="26"/>
      <c r="AQ554" s="26"/>
      <c r="AS554" s="28">
        <v>0</v>
      </c>
      <c r="AU554" s="23" t="str">
        <f>IF(AU553="*",AU553,"")</f>
        <v>*</v>
      </c>
      <c r="AV554" s="25" t="str">
        <f t="shared" si="439"/>
        <v>*FCEV*</v>
      </c>
      <c r="AW554" s="25" t="str">
        <f t="shared" si="439"/>
        <v>TRARDS</v>
      </c>
      <c r="AX554" s="25" t="str">
        <f t="shared" si="439"/>
        <v>TRAPASRAIDMD</v>
      </c>
      <c r="AY554" s="25" t="str">
        <f t="shared" si="439"/>
        <v>TRAPASRAIDMD</v>
      </c>
      <c r="AZ554" s="26">
        <v>2050</v>
      </c>
      <c r="BA554" s="26" t="str">
        <f>BA552</f>
        <v>LO</v>
      </c>
      <c r="BB554" s="26"/>
      <c r="BC554" s="27">
        <f>-SUMIFS('TRA RESID'!$P:$P,'TRA RESID'!$I:$I,AY554,'TRA RESID'!$J:$J,AV554,'TRA RESID'!$H:$H,AW554)/SUMIFS('TRA RESID'!$P:$P,'TRA RESID'!$I:$I,AY554)*BG554</f>
        <v>0</v>
      </c>
      <c r="BD554" s="26"/>
      <c r="BE554" s="26"/>
      <c r="BG554" s="28">
        <v>0</v>
      </c>
    </row>
    <row r="555" spans="1:59" x14ac:dyDescent="0.25">
      <c r="A555">
        <f>A550+1</f>
        <v>111</v>
      </c>
      <c r="C555" s="15" t="str">
        <f>IF(E555="","",IF(_xlfn.XLOOKUP($A555,Selected_constraint!$A:$A,Selected_constraint!$D:$D)=1,"*",IF(SUMIFS('TRA TECH'!$M:$M,'TRA TECH'!$H:$H,E555,'TRA TECH'!$I:$I,F555)=0,"*",IF(SUMIFS('TRA RESID'!$P:$P,'TRA RESID'!$I:$I,G555,'TRA RESID'!$J:$J,D555,'TRA RESID'!$H:$H,E555)=0,"*","UC_"&amp;SUBSTITUTE(D555,"*","")&amp;"_"&amp;RIGHT(E555,3)&amp;"_"&amp;F555))))</f>
        <v>*</v>
      </c>
      <c r="D555" s="17" t="s">
        <v>485</v>
      </c>
      <c r="E555" s="17" t="str">
        <f>_xlfn.XLOOKUP($A555,Selected_constraint!$A:$A,Selected_constraint!$B:$B)</f>
        <v>TRABDS</v>
      </c>
      <c r="F555" s="17" t="str">
        <f>_xlfn.XLOOKUP($A555,Selected_constraint!$A:$A,Selected_constraint!$C:$C)</f>
        <v>TRAPASRAIDMD</v>
      </c>
      <c r="G555" s="17" t="str">
        <f>F555</f>
        <v>TRAPASRAIDMD</v>
      </c>
      <c r="H555" s="18">
        <v>2019</v>
      </c>
      <c r="I555" s="18" t="s">
        <v>483</v>
      </c>
      <c r="J555" s="18">
        <v>1</v>
      </c>
      <c r="K555" s="20">
        <f>-SUMIFS('TRA RESID'!$P:$P,'TRA RESID'!$I:$I,G555,'TRA RESID'!$J:$J,D555,'TRA RESID'!$H:$H,E555)/SUMIFS('TRA RESID'!$P:$P,'TRA RESID'!$I:$I,G555)*O555</f>
        <v>0</v>
      </c>
      <c r="L555" s="18">
        <v>0</v>
      </c>
      <c r="M555" s="18">
        <v>5</v>
      </c>
      <c r="O555" s="21">
        <v>0.98</v>
      </c>
      <c r="Q555">
        <f>Q550+1</f>
        <v>111</v>
      </c>
      <c r="S555" s="15" t="str">
        <f>IF(SUMIFS('TRA RESID'!$P:$P,'TRA RESID'!$I:$I,W555,'TRA RESID'!$J:$J,T555,'TRA RESID'!$H:$H,U555)=0,"*","UC_"&amp;SUBSTITUTE(T555,"*","")&amp;"_"&amp;RIGHT(U555,3)&amp;"_"&amp;V555)</f>
        <v>*</v>
      </c>
      <c r="T555" s="17" t="s">
        <v>486</v>
      </c>
      <c r="U555" s="17" t="str">
        <f>_xlfn.XLOOKUP($A555,Selected_constraint!$A:$A,Selected_constraint!$B:$B)</f>
        <v>TRABDS</v>
      </c>
      <c r="V555" s="17" t="str">
        <f>_xlfn.XLOOKUP($A555,Selected_constraint!$A:$A,Selected_constraint!$C:$C)</f>
        <v>TRAPASRAIDMD</v>
      </c>
      <c r="W555" s="17" t="str">
        <f>V555</f>
        <v>TRAPASRAIDMD</v>
      </c>
      <c r="X555" s="18">
        <v>2019</v>
      </c>
      <c r="Y555" s="18" t="s">
        <v>483</v>
      </c>
      <c r="Z555" s="18">
        <v>1</v>
      </c>
      <c r="AA555" s="20">
        <f>-SUMIFS('TRA RESID'!$P:$P,'TRA RESID'!$I:$I,W555,'TRA RESID'!$J:$J,T555,'TRA RESID'!$H:$H,U555)/SUMIFS('TRA RESID'!$P:$P,'TRA RESID'!$I:$I,W555)*AE555</f>
        <v>0</v>
      </c>
      <c r="AB555" s="18">
        <v>0</v>
      </c>
      <c r="AC555" s="18">
        <v>5</v>
      </c>
      <c r="AE555" s="21">
        <v>0.98</v>
      </c>
      <c r="AG555" s="15" t="str">
        <f>IF(SUMIFS('TRA RESID'!$P:$P,'TRA RESID'!$I:$I,AK555,'TRA RESID'!$J:$J,AH555,'TRA RESID'!$H:$H,AI555)=0,"*","UC_"&amp;SUBSTITUTE(AH555,"*","")&amp;"_"&amp;RIGHT(AI555,3)&amp;"_"&amp;AJ555)</f>
        <v>*</v>
      </c>
      <c r="AH555" s="17" t="s">
        <v>487</v>
      </c>
      <c r="AI555" s="17" t="str">
        <f>_xlfn.XLOOKUP($A555,Selected_constraint!$A:$A,Selected_constraint!$B:$B)</f>
        <v>TRABDS</v>
      </c>
      <c r="AJ555" s="17" t="str">
        <f>_xlfn.XLOOKUP($A555,Selected_constraint!$A:$A,Selected_constraint!$C:$C)</f>
        <v>TRAPASRAIDMD</v>
      </c>
      <c r="AK555" s="17" t="str">
        <f>AJ555</f>
        <v>TRAPASRAIDMD</v>
      </c>
      <c r="AL555" s="18">
        <v>2019</v>
      </c>
      <c r="AM555" s="18" t="s">
        <v>483</v>
      </c>
      <c r="AN555" s="18">
        <v>1</v>
      </c>
      <c r="AO555" s="20">
        <f>-SUMIFS('TRA RESID'!$P:$P,'TRA RESID'!$I:$I,AK555,'TRA RESID'!$J:$J,AH555,'TRA RESID'!$H:$H,AI555)/SUMIFS('TRA RESID'!$P:$P,'TRA RESID'!$I:$I,AK555)*AS555</f>
        <v>0</v>
      </c>
      <c r="AP555" s="18">
        <v>0</v>
      </c>
      <c r="AQ555" s="18">
        <v>5</v>
      </c>
      <c r="AS555" s="21">
        <v>0.98</v>
      </c>
      <c r="AU555" s="15" t="str">
        <f>IF(SUMIFS('TRA RESID'!$P:$P,'TRA RESID'!$I:$I,AY555,'TRA RESID'!$J:$J,AV555,'TRA RESID'!$H:$H,AW555)=0,"*","UC_"&amp;SUBSTITUTE(AV555,"*","")&amp;"_"&amp;RIGHT(AW555,3)&amp;"_"&amp;AX555)</f>
        <v>*</v>
      </c>
      <c r="AV555" s="17" t="s">
        <v>488</v>
      </c>
      <c r="AW555" s="17" t="str">
        <f>_xlfn.XLOOKUP($A555,Selected_constraint!$A:$A,Selected_constraint!$B:$B)</f>
        <v>TRABDS</v>
      </c>
      <c r="AX555" s="17" t="str">
        <f>_xlfn.XLOOKUP($A555,Selected_constraint!$A:$A,Selected_constraint!$C:$C)</f>
        <v>TRAPASRAIDMD</v>
      </c>
      <c r="AY555" s="17" t="str">
        <f>AX555</f>
        <v>TRAPASRAIDMD</v>
      </c>
      <c r="AZ555" s="18">
        <v>2019</v>
      </c>
      <c r="BA555" s="18" t="s">
        <v>483</v>
      </c>
      <c r="BB555" s="18">
        <v>1</v>
      </c>
      <c r="BC555" s="20">
        <f>-SUMIFS('TRA RESID'!$P:$P,'TRA RESID'!$I:$I,AY555,'TRA RESID'!$J:$J,AV555,'TRA RESID'!$H:$H,AW555)/SUMIFS('TRA RESID'!$P:$P,'TRA RESID'!$I:$I,AY555)*BG555</f>
        <v>0</v>
      </c>
      <c r="BD555" s="18">
        <v>0</v>
      </c>
      <c r="BE555" s="18">
        <v>5</v>
      </c>
      <c r="BG555" s="21">
        <v>0.98</v>
      </c>
    </row>
    <row r="556" spans="1:59" x14ac:dyDescent="0.25">
      <c r="C556" s="15" t="str">
        <f>IF(C555="*",C555,"")</f>
        <v>*</v>
      </c>
      <c r="D556" s="17" t="str">
        <f t="shared" ref="D556:G559" si="440">D555</f>
        <v>*ICEV*</v>
      </c>
      <c r="E556" s="17" t="str">
        <f t="shared" si="440"/>
        <v>TRABDS</v>
      </c>
      <c r="F556" s="17" t="str">
        <f t="shared" si="440"/>
        <v>TRAPASRAIDMD</v>
      </c>
      <c r="G556" s="17" t="str">
        <f t="shared" si="440"/>
        <v>TRAPASRAIDMD</v>
      </c>
      <c r="H556" s="18">
        <v>2025</v>
      </c>
      <c r="I556" s="18" t="str">
        <f>I555</f>
        <v>LO</v>
      </c>
      <c r="J556" s="18"/>
      <c r="K556" s="20">
        <f>-SUMIFS('TRA RESID'!$P:$P,'TRA RESID'!$I:$I,G556,'TRA RESID'!$J:$J,D556,'TRA RESID'!$H:$H,E556)/SUMIFS('TRA RESID'!$P:$P,'TRA RESID'!$I:$I,G556)*O556</f>
        <v>0</v>
      </c>
      <c r="L556" s="18"/>
      <c r="M556" s="18"/>
      <c r="O556" s="21">
        <v>0.8</v>
      </c>
      <c r="S556" s="15" t="str">
        <f>IF(S555="*",S555,"")</f>
        <v>*</v>
      </c>
      <c r="T556" s="17" t="str">
        <f t="shared" ref="T556:W559" si="441">T555</f>
        <v>*BEV*</v>
      </c>
      <c r="U556" s="17" t="str">
        <f t="shared" si="441"/>
        <v>TRABDS</v>
      </c>
      <c r="V556" s="17" t="str">
        <f t="shared" si="441"/>
        <v>TRAPASRAIDMD</v>
      </c>
      <c r="W556" s="17" t="str">
        <f t="shared" si="441"/>
        <v>TRAPASRAIDMD</v>
      </c>
      <c r="X556" s="18">
        <v>2025</v>
      </c>
      <c r="Y556" s="18" t="str">
        <f>Y555</f>
        <v>LO</v>
      </c>
      <c r="Z556" s="18"/>
      <c r="AA556" s="20">
        <f>-SUMIFS('TRA RESID'!$P:$P,'TRA RESID'!$I:$I,W556,'TRA RESID'!$J:$J,T556,'TRA RESID'!$H:$H,U556)/SUMIFS('TRA RESID'!$P:$P,'TRA RESID'!$I:$I,W556)*AE556</f>
        <v>0</v>
      </c>
      <c r="AB556" s="18"/>
      <c r="AC556" s="18"/>
      <c r="AE556" s="21">
        <v>1</v>
      </c>
      <c r="AG556" s="15" t="str">
        <f>IF(AG555="*",AG555,"")</f>
        <v>*</v>
      </c>
      <c r="AH556" s="17" t="str">
        <f t="shared" ref="AH556:AK559" si="442">AH555</f>
        <v>*HEV*</v>
      </c>
      <c r="AI556" s="17" t="str">
        <f t="shared" si="442"/>
        <v>TRABDS</v>
      </c>
      <c r="AJ556" s="17" t="str">
        <f t="shared" si="442"/>
        <v>TRAPASRAIDMD</v>
      </c>
      <c r="AK556" s="17" t="str">
        <f t="shared" si="442"/>
        <v>TRAPASRAIDMD</v>
      </c>
      <c r="AL556" s="18">
        <v>2025</v>
      </c>
      <c r="AM556" s="18" t="str">
        <f>AM555</f>
        <v>LO</v>
      </c>
      <c r="AN556" s="18"/>
      <c r="AO556" s="20">
        <f>-SUMIFS('TRA RESID'!$P:$P,'TRA RESID'!$I:$I,AK556,'TRA RESID'!$J:$J,AH556,'TRA RESID'!$H:$H,AI556)/SUMIFS('TRA RESID'!$P:$P,'TRA RESID'!$I:$I,AK556)*AS556</f>
        <v>0</v>
      </c>
      <c r="AP556" s="18"/>
      <c r="AQ556" s="18"/>
      <c r="AS556" s="21">
        <v>0.8</v>
      </c>
      <c r="AU556" s="15" t="str">
        <f>IF(AU555="*",AU555,"")</f>
        <v>*</v>
      </c>
      <c r="AV556" s="17" t="str">
        <f t="shared" ref="AV556:AY559" si="443">AV555</f>
        <v>*FCEV*</v>
      </c>
      <c r="AW556" s="17" t="str">
        <f t="shared" si="443"/>
        <v>TRABDS</v>
      </c>
      <c r="AX556" s="17" t="str">
        <f t="shared" si="443"/>
        <v>TRAPASRAIDMD</v>
      </c>
      <c r="AY556" s="17" t="str">
        <f t="shared" si="443"/>
        <v>TRAPASRAIDMD</v>
      </c>
      <c r="AZ556" s="18">
        <v>2025</v>
      </c>
      <c r="BA556" s="18" t="str">
        <f>BA555</f>
        <v>LO</v>
      </c>
      <c r="BB556" s="18"/>
      <c r="BC556" s="20">
        <f>-SUMIFS('TRA RESID'!$P:$P,'TRA RESID'!$I:$I,AY556,'TRA RESID'!$J:$J,AV556,'TRA RESID'!$H:$H,AW556)/SUMIFS('TRA RESID'!$P:$P,'TRA RESID'!$I:$I,AY556)*BG556</f>
        <v>0</v>
      </c>
      <c r="BD556" s="18"/>
      <c r="BE556" s="18"/>
      <c r="BG556" s="21">
        <v>0.8</v>
      </c>
    </row>
    <row r="557" spans="1:59" x14ac:dyDescent="0.25">
      <c r="C557" s="15" t="str">
        <f>IF(C556="*",C556,"")</f>
        <v>*</v>
      </c>
      <c r="D557" s="17" t="str">
        <f t="shared" si="440"/>
        <v>*ICEV*</v>
      </c>
      <c r="E557" s="17" t="str">
        <f t="shared" si="440"/>
        <v>TRABDS</v>
      </c>
      <c r="F557" s="17" t="str">
        <f t="shared" si="440"/>
        <v>TRAPASRAIDMD</v>
      </c>
      <c r="G557" s="17" t="str">
        <f t="shared" si="440"/>
        <v>TRAPASRAIDMD</v>
      </c>
      <c r="H557" s="18">
        <v>2030</v>
      </c>
      <c r="I557" s="18" t="str">
        <f>I556</f>
        <v>LO</v>
      </c>
      <c r="J557" s="18"/>
      <c r="K557" s="20">
        <f>-SUMIFS('TRA RESID'!$P:$P,'TRA RESID'!$I:$I,G557,'TRA RESID'!$J:$J,D557,'TRA RESID'!$H:$H,E557)/SUMIFS('TRA RESID'!$P:$P,'TRA RESID'!$I:$I,G557)*O557</f>
        <v>0</v>
      </c>
      <c r="L557" s="18"/>
      <c r="M557" s="18"/>
      <c r="O557" s="21">
        <v>0.5</v>
      </c>
      <c r="S557" s="15" t="str">
        <f>IF(S556="*",S556,"")</f>
        <v>*</v>
      </c>
      <c r="T557" s="17" t="str">
        <f t="shared" si="441"/>
        <v>*BEV*</v>
      </c>
      <c r="U557" s="17" t="str">
        <f t="shared" si="441"/>
        <v>TRABDS</v>
      </c>
      <c r="V557" s="17" t="str">
        <f t="shared" si="441"/>
        <v>TRAPASRAIDMD</v>
      </c>
      <c r="W557" s="17" t="str">
        <f t="shared" si="441"/>
        <v>TRAPASRAIDMD</v>
      </c>
      <c r="X557" s="18">
        <v>2030</v>
      </c>
      <c r="Y557" s="18" t="str">
        <f>Y556</f>
        <v>LO</v>
      </c>
      <c r="Z557" s="18"/>
      <c r="AA557" s="20">
        <f>-SUMIFS('TRA RESID'!$P:$P,'TRA RESID'!$I:$I,W557,'TRA RESID'!$J:$J,T557,'TRA RESID'!$H:$H,U557)/SUMIFS('TRA RESID'!$P:$P,'TRA RESID'!$I:$I,W557)*AE557</f>
        <v>0</v>
      </c>
      <c r="AB557" s="18"/>
      <c r="AC557" s="18"/>
      <c r="AE557" s="21">
        <v>1</v>
      </c>
      <c r="AG557" s="15" t="str">
        <f>IF(AG556="*",AG556,"")</f>
        <v>*</v>
      </c>
      <c r="AH557" s="17" t="str">
        <f t="shared" si="442"/>
        <v>*HEV*</v>
      </c>
      <c r="AI557" s="17" t="str">
        <f t="shared" si="442"/>
        <v>TRABDS</v>
      </c>
      <c r="AJ557" s="17" t="str">
        <f t="shared" si="442"/>
        <v>TRAPASRAIDMD</v>
      </c>
      <c r="AK557" s="17" t="str">
        <f t="shared" si="442"/>
        <v>TRAPASRAIDMD</v>
      </c>
      <c r="AL557" s="18">
        <v>2030</v>
      </c>
      <c r="AM557" s="18" t="str">
        <f>AM556</f>
        <v>LO</v>
      </c>
      <c r="AN557" s="18"/>
      <c r="AO557" s="20">
        <f>-SUMIFS('TRA RESID'!$P:$P,'TRA RESID'!$I:$I,AK557,'TRA RESID'!$J:$J,AH557,'TRA RESID'!$H:$H,AI557)/SUMIFS('TRA RESID'!$P:$P,'TRA RESID'!$I:$I,AK557)*AS557</f>
        <v>0</v>
      </c>
      <c r="AP557" s="18"/>
      <c r="AQ557" s="18"/>
      <c r="AS557" s="21">
        <v>0.5</v>
      </c>
      <c r="AU557" s="15" t="str">
        <f>IF(AU556="*",AU556,"")</f>
        <v>*</v>
      </c>
      <c r="AV557" s="17" t="str">
        <f t="shared" si="443"/>
        <v>*FCEV*</v>
      </c>
      <c r="AW557" s="17" t="str">
        <f t="shared" si="443"/>
        <v>TRABDS</v>
      </c>
      <c r="AX557" s="17" t="str">
        <f t="shared" si="443"/>
        <v>TRAPASRAIDMD</v>
      </c>
      <c r="AY557" s="17" t="str">
        <f t="shared" si="443"/>
        <v>TRAPASRAIDMD</v>
      </c>
      <c r="AZ557" s="18">
        <v>2030</v>
      </c>
      <c r="BA557" s="18" t="str">
        <f>BA556</f>
        <v>LO</v>
      </c>
      <c r="BB557" s="18"/>
      <c r="BC557" s="20">
        <f>-SUMIFS('TRA RESID'!$P:$P,'TRA RESID'!$I:$I,AY557,'TRA RESID'!$J:$J,AV557,'TRA RESID'!$H:$H,AW557)/SUMIFS('TRA RESID'!$P:$P,'TRA RESID'!$I:$I,AY557)*BG557</f>
        <v>0</v>
      </c>
      <c r="BD557" s="18"/>
      <c r="BE557" s="18"/>
      <c r="BG557" s="21">
        <v>0.5</v>
      </c>
    </row>
    <row r="558" spans="1:59" x14ac:dyDescent="0.25">
      <c r="C558" s="15" t="str">
        <f>IF(C557="*",C557,"")</f>
        <v>*</v>
      </c>
      <c r="D558" s="17" t="str">
        <f t="shared" si="440"/>
        <v>*ICEV*</v>
      </c>
      <c r="E558" s="17" t="str">
        <f t="shared" si="440"/>
        <v>TRABDS</v>
      </c>
      <c r="F558" s="17" t="str">
        <f t="shared" si="440"/>
        <v>TRAPASRAIDMD</v>
      </c>
      <c r="G558" s="17" t="str">
        <f t="shared" si="440"/>
        <v>TRAPASRAIDMD</v>
      </c>
      <c r="H558" s="18">
        <v>2040</v>
      </c>
      <c r="I558" s="18" t="str">
        <f>I557</f>
        <v>LO</v>
      </c>
      <c r="J558" s="18"/>
      <c r="K558" s="20">
        <f>-SUMIFS('TRA RESID'!$P:$P,'TRA RESID'!$I:$I,G558,'TRA RESID'!$J:$J,D558,'TRA RESID'!$H:$H,E558)/SUMIFS('TRA RESID'!$P:$P,'TRA RESID'!$I:$I,G558)*O558</f>
        <v>0</v>
      </c>
      <c r="L558" s="18"/>
      <c r="M558" s="18"/>
      <c r="O558" s="21">
        <v>0</v>
      </c>
      <c r="S558" s="15" t="str">
        <f>IF(S557="*",S557,"")</f>
        <v>*</v>
      </c>
      <c r="T558" s="17" t="str">
        <f t="shared" si="441"/>
        <v>*BEV*</v>
      </c>
      <c r="U558" s="17" t="str">
        <f t="shared" si="441"/>
        <v>TRABDS</v>
      </c>
      <c r="V558" s="17" t="str">
        <f t="shared" si="441"/>
        <v>TRAPASRAIDMD</v>
      </c>
      <c r="W558" s="17" t="str">
        <f t="shared" si="441"/>
        <v>TRAPASRAIDMD</v>
      </c>
      <c r="X558" s="18">
        <v>2040</v>
      </c>
      <c r="Y558" s="18" t="str">
        <f>Y557</f>
        <v>LO</v>
      </c>
      <c r="Z558" s="18"/>
      <c r="AA558" s="20">
        <f>-SUMIFS('TRA RESID'!$P:$P,'TRA RESID'!$I:$I,W558,'TRA RESID'!$J:$J,T558,'TRA RESID'!$H:$H,U558)/SUMIFS('TRA RESID'!$P:$P,'TRA RESID'!$I:$I,W558)*AE558</f>
        <v>0</v>
      </c>
      <c r="AB558" s="18"/>
      <c r="AC558" s="18"/>
      <c r="AE558" s="21">
        <v>1</v>
      </c>
      <c r="AG558" s="15" t="str">
        <f>IF(AG557="*",AG557,"")</f>
        <v>*</v>
      </c>
      <c r="AH558" s="17" t="str">
        <f t="shared" si="442"/>
        <v>*HEV*</v>
      </c>
      <c r="AI558" s="17" t="str">
        <f t="shared" si="442"/>
        <v>TRABDS</v>
      </c>
      <c r="AJ558" s="17" t="str">
        <f t="shared" si="442"/>
        <v>TRAPASRAIDMD</v>
      </c>
      <c r="AK558" s="17" t="str">
        <f t="shared" si="442"/>
        <v>TRAPASRAIDMD</v>
      </c>
      <c r="AL558" s="18">
        <v>2040</v>
      </c>
      <c r="AM558" s="18" t="str">
        <f>AM557</f>
        <v>LO</v>
      </c>
      <c r="AN558" s="18"/>
      <c r="AO558" s="20">
        <f>-SUMIFS('TRA RESID'!$P:$P,'TRA RESID'!$I:$I,AK558,'TRA RESID'!$J:$J,AH558,'TRA RESID'!$H:$H,AI558)/SUMIFS('TRA RESID'!$P:$P,'TRA RESID'!$I:$I,AK558)*AS558</f>
        <v>0</v>
      </c>
      <c r="AP558" s="18"/>
      <c r="AQ558" s="18"/>
      <c r="AS558" s="21">
        <v>0</v>
      </c>
      <c r="AU558" s="15" t="str">
        <f>IF(AU557="*",AU557,"")</f>
        <v>*</v>
      </c>
      <c r="AV558" s="17" t="str">
        <f t="shared" si="443"/>
        <v>*FCEV*</v>
      </c>
      <c r="AW558" s="17" t="str">
        <f t="shared" si="443"/>
        <v>TRABDS</v>
      </c>
      <c r="AX558" s="17" t="str">
        <f t="shared" si="443"/>
        <v>TRAPASRAIDMD</v>
      </c>
      <c r="AY558" s="17" t="str">
        <f t="shared" si="443"/>
        <v>TRAPASRAIDMD</v>
      </c>
      <c r="AZ558" s="18">
        <v>2040</v>
      </c>
      <c r="BA558" s="18" t="str">
        <f>BA557</f>
        <v>LO</v>
      </c>
      <c r="BB558" s="18"/>
      <c r="BC558" s="20">
        <f>-SUMIFS('TRA RESID'!$P:$P,'TRA RESID'!$I:$I,AY558,'TRA RESID'!$J:$J,AV558,'TRA RESID'!$H:$H,AW558)/SUMIFS('TRA RESID'!$P:$P,'TRA RESID'!$I:$I,AY558)*BG558</f>
        <v>0</v>
      </c>
      <c r="BD558" s="18"/>
      <c r="BE558" s="18"/>
      <c r="BG558" s="21">
        <v>0</v>
      </c>
    </row>
    <row r="559" spans="1:59" x14ac:dyDescent="0.25">
      <c r="C559" s="23" t="str">
        <f>IF(C558="*",C558,"")</f>
        <v>*</v>
      </c>
      <c r="D559" s="25" t="str">
        <f t="shared" si="440"/>
        <v>*ICEV*</v>
      </c>
      <c r="E559" s="25" t="str">
        <f t="shared" si="440"/>
        <v>TRABDS</v>
      </c>
      <c r="F559" s="25" t="str">
        <f t="shared" si="440"/>
        <v>TRAPASRAIDMD</v>
      </c>
      <c r="G559" s="25" t="str">
        <f t="shared" si="440"/>
        <v>TRAPASRAIDMD</v>
      </c>
      <c r="H559" s="26">
        <v>2050</v>
      </c>
      <c r="I559" s="26" t="str">
        <f>I557</f>
        <v>LO</v>
      </c>
      <c r="J559" s="26"/>
      <c r="K559" s="27">
        <f>-SUMIFS('TRA RESID'!$P:$P,'TRA RESID'!$I:$I,G559,'TRA RESID'!$J:$J,D559,'TRA RESID'!$H:$H,E559)/SUMIFS('TRA RESID'!$P:$P,'TRA RESID'!$I:$I,G559)*O559</f>
        <v>0</v>
      </c>
      <c r="L559" s="26"/>
      <c r="M559" s="26"/>
      <c r="O559" s="28">
        <v>0</v>
      </c>
      <c r="S559" s="23" t="str">
        <f>IF(S558="*",S558,"")</f>
        <v>*</v>
      </c>
      <c r="T559" s="25" t="str">
        <f t="shared" si="441"/>
        <v>*BEV*</v>
      </c>
      <c r="U559" s="25" t="str">
        <f t="shared" si="441"/>
        <v>TRABDS</v>
      </c>
      <c r="V559" s="25" t="str">
        <f t="shared" si="441"/>
        <v>TRAPASRAIDMD</v>
      </c>
      <c r="W559" s="25" t="str">
        <f t="shared" si="441"/>
        <v>TRAPASRAIDMD</v>
      </c>
      <c r="X559" s="26">
        <v>2050</v>
      </c>
      <c r="Y559" s="26" t="str">
        <f>Y557</f>
        <v>LO</v>
      </c>
      <c r="Z559" s="26"/>
      <c r="AA559" s="27">
        <f>-SUMIFS('TRA RESID'!$P:$P,'TRA RESID'!$I:$I,W559,'TRA RESID'!$J:$J,T559,'TRA RESID'!$H:$H,U559)/SUMIFS('TRA RESID'!$P:$P,'TRA RESID'!$I:$I,W559)*AE559</f>
        <v>0</v>
      </c>
      <c r="AB559" s="26"/>
      <c r="AC559" s="26"/>
      <c r="AE559" s="28">
        <v>1</v>
      </c>
      <c r="AG559" s="23" t="str">
        <f>IF(AG558="*",AG558,"")</f>
        <v>*</v>
      </c>
      <c r="AH559" s="25" t="str">
        <f t="shared" si="442"/>
        <v>*HEV*</v>
      </c>
      <c r="AI559" s="25" t="str">
        <f t="shared" si="442"/>
        <v>TRABDS</v>
      </c>
      <c r="AJ559" s="25" t="str">
        <f t="shared" si="442"/>
        <v>TRAPASRAIDMD</v>
      </c>
      <c r="AK559" s="25" t="str">
        <f t="shared" si="442"/>
        <v>TRAPASRAIDMD</v>
      </c>
      <c r="AL559" s="26">
        <v>2050</v>
      </c>
      <c r="AM559" s="26" t="str">
        <f>AM557</f>
        <v>LO</v>
      </c>
      <c r="AN559" s="26"/>
      <c r="AO559" s="27">
        <f>-SUMIFS('TRA RESID'!$P:$P,'TRA RESID'!$I:$I,AK559,'TRA RESID'!$J:$J,AH559,'TRA RESID'!$H:$H,AI559)/SUMIFS('TRA RESID'!$P:$P,'TRA RESID'!$I:$I,AK559)*AS559</f>
        <v>0</v>
      </c>
      <c r="AP559" s="26"/>
      <c r="AQ559" s="26"/>
      <c r="AS559" s="28">
        <v>0</v>
      </c>
      <c r="AU559" s="23" t="str">
        <f>IF(AU558="*",AU558,"")</f>
        <v>*</v>
      </c>
      <c r="AV559" s="25" t="str">
        <f t="shared" si="443"/>
        <v>*FCEV*</v>
      </c>
      <c r="AW559" s="25" t="str">
        <f t="shared" si="443"/>
        <v>TRABDS</v>
      </c>
      <c r="AX559" s="25" t="str">
        <f t="shared" si="443"/>
        <v>TRAPASRAIDMD</v>
      </c>
      <c r="AY559" s="25" t="str">
        <f t="shared" si="443"/>
        <v>TRAPASRAIDMD</v>
      </c>
      <c r="AZ559" s="26">
        <v>2050</v>
      </c>
      <c r="BA559" s="26" t="str">
        <f>BA557</f>
        <v>LO</v>
      </c>
      <c r="BB559" s="26"/>
      <c r="BC559" s="27">
        <f>-SUMIFS('TRA RESID'!$P:$P,'TRA RESID'!$I:$I,AY559,'TRA RESID'!$J:$J,AV559,'TRA RESID'!$H:$H,AW559)/SUMIFS('TRA RESID'!$P:$P,'TRA RESID'!$I:$I,AY559)*BG559</f>
        <v>0</v>
      </c>
      <c r="BD559" s="26"/>
      <c r="BE559" s="26"/>
      <c r="BG559" s="28">
        <v>0</v>
      </c>
    </row>
    <row r="560" spans="1:59" x14ac:dyDescent="0.25">
      <c r="A560">
        <f>A555+1</f>
        <v>112</v>
      </c>
      <c r="C560" s="15" t="str">
        <f>IF(E560="","",IF(_xlfn.XLOOKUP($A560,Selected_constraint!$A:$A,Selected_constraint!$D:$D)=1,"*",IF(SUMIFS('TRA TECH'!$M:$M,'TRA TECH'!$H:$H,E560,'TRA TECH'!$I:$I,F560)=0,"*",IF(SUMIFS('TRA RESID'!$P:$P,'TRA RESID'!$I:$I,G560,'TRA RESID'!$J:$J,D560,'TRA RESID'!$H:$H,E560)=0,"*","UC_"&amp;SUBSTITUTE(D560,"*","")&amp;"_"&amp;RIGHT(E560,3)&amp;"_"&amp;F560))))</f>
        <v>*</v>
      </c>
      <c r="D560" s="17" t="s">
        <v>485</v>
      </c>
      <c r="E560" s="17" t="str">
        <f>_xlfn.XLOOKUP($A560,Selected_constraint!$A:$A,Selected_constraint!$B:$B)</f>
        <v>TRACNG</v>
      </c>
      <c r="F560" s="17" t="str">
        <f>_xlfn.XLOOKUP($A560,Selected_constraint!$A:$A,Selected_constraint!$C:$C)</f>
        <v>TRAPASRAIDMD</v>
      </c>
      <c r="G560" s="17" t="str">
        <f>F560</f>
        <v>TRAPASRAIDMD</v>
      </c>
      <c r="H560" s="18">
        <v>2019</v>
      </c>
      <c r="I560" s="18" t="s">
        <v>483</v>
      </c>
      <c r="J560" s="18">
        <v>1</v>
      </c>
      <c r="K560" s="20">
        <f>-SUMIFS('TRA RESID'!$P:$P,'TRA RESID'!$I:$I,G560,'TRA RESID'!$J:$J,D560,'TRA RESID'!$H:$H,E560)/SUMIFS('TRA RESID'!$P:$P,'TRA RESID'!$I:$I,G560)*O560</f>
        <v>0</v>
      </c>
      <c r="L560" s="18">
        <v>0</v>
      </c>
      <c r="M560" s="18">
        <v>5</v>
      </c>
      <c r="O560" s="21">
        <v>0.98</v>
      </c>
      <c r="Q560">
        <f>Q555+1</f>
        <v>112</v>
      </c>
      <c r="S560" s="15" t="str">
        <f>IF(SUMIFS('TRA RESID'!$P:$P,'TRA RESID'!$I:$I,W560,'TRA RESID'!$J:$J,T560,'TRA RESID'!$H:$H,U560)=0,"*","UC_"&amp;SUBSTITUTE(T560,"*","")&amp;"_"&amp;RIGHT(U560,3)&amp;"_"&amp;V560)</f>
        <v>*</v>
      </c>
      <c r="T560" s="17" t="s">
        <v>486</v>
      </c>
      <c r="U560" s="17" t="str">
        <f>_xlfn.XLOOKUP($A560,Selected_constraint!$A:$A,Selected_constraint!$B:$B)</f>
        <v>TRACNG</v>
      </c>
      <c r="V560" s="17" t="str">
        <f>_xlfn.XLOOKUP($A560,Selected_constraint!$A:$A,Selected_constraint!$C:$C)</f>
        <v>TRAPASRAIDMD</v>
      </c>
      <c r="W560" s="17" t="str">
        <f>V560</f>
        <v>TRAPASRAIDMD</v>
      </c>
      <c r="X560" s="18">
        <v>2019</v>
      </c>
      <c r="Y560" s="18" t="s">
        <v>483</v>
      </c>
      <c r="Z560" s="18">
        <v>1</v>
      </c>
      <c r="AA560" s="20">
        <f>-SUMIFS('TRA RESID'!$P:$P,'TRA RESID'!$I:$I,W560,'TRA RESID'!$J:$J,T560,'TRA RESID'!$H:$H,U560)/SUMIFS('TRA RESID'!$P:$P,'TRA RESID'!$I:$I,W560)*AE560</f>
        <v>0</v>
      </c>
      <c r="AB560" s="18">
        <v>0</v>
      </c>
      <c r="AC560" s="18">
        <v>5</v>
      </c>
      <c r="AE560" s="21">
        <v>0.98</v>
      </c>
      <c r="AG560" s="15" t="str">
        <f>IF(SUMIFS('TRA RESID'!$P:$P,'TRA RESID'!$I:$I,AK560,'TRA RESID'!$J:$J,AH560,'TRA RESID'!$H:$H,AI560)=0,"*","UC_"&amp;SUBSTITUTE(AH560,"*","")&amp;"_"&amp;RIGHT(AI560,3)&amp;"_"&amp;AJ560)</f>
        <v>*</v>
      </c>
      <c r="AH560" s="17" t="s">
        <v>487</v>
      </c>
      <c r="AI560" s="17" t="str">
        <f>_xlfn.XLOOKUP($A560,Selected_constraint!$A:$A,Selected_constraint!$B:$B)</f>
        <v>TRACNG</v>
      </c>
      <c r="AJ560" s="17" t="str">
        <f>_xlfn.XLOOKUP($A560,Selected_constraint!$A:$A,Selected_constraint!$C:$C)</f>
        <v>TRAPASRAIDMD</v>
      </c>
      <c r="AK560" s="17" t="str">
        <f>AJ560</f>
        <v>TRAPASRAIDMD</v>
      </c>
      <c r="AL560" s="18">
        <v>2019</v>
      </c>
      <c r="AM560" s="18" t="s">
        <v>483</v>
      </c>
      <c r="AN560" s="18">
        <v>1</v>
      </c>
      <c r="AO560" s="20">
        <f>-SUMIFS('TRA RESID'!$P:$P,'TRA RESID'!$I:$I,AK560,'TRA RESID'!$J:$J,AH560,'TRA RESID'!$H:$H,AI560)/SUMIFS('TRA RESID'!$P:$P,'TRA RESID'!$I:$I,AK560)*AS560</f>
        <v>0</v>
      </c>
      <c r="AP560" s="18">
        <v>0</v>
      </c>
      <c r="AQ560" s="18">
        <v>5</v>
      </c>
      <c r="AS560" s="21">
        <v>0.98</v>
      </c>
      <c r="AU560" s="15" t="str">
        <f>IF(SUMIFS('TRA RESID'!$P:$P,'TRA RESID'!$I:$I,AY560,'TRA RESID'!$J:$J,AV560,'TRA RESID'!$H:$H,AW560)=0,"*","UC_"&amp;SUBSTITUTE(AV560,"*","")&amp;"_"&amp;RIGHT(AW560,3)&amp;"_"&amp;AX560)</f>
        <v>*</v>
      </c>
      <c r="AV560" s="17" t="s">
        <v>488</v>
      </c>
      <c r="AW560" s="17" t="str">
        <f>_xlfn.XLOOKUP($A560,Selected_constraint!$A:$A,Selected_constraint!$B:$B)</f>
        <v>TRACNG</v>
      </c>
      <c r="AX560" s="17" t="str">
        <f>_xlfn.XLOOKUP($A560,Selected_constraint!$A:$A,Selected_constraint!$C:$C)</f>
        <v>TRAPASRAIDMD</v>
      </c>
      <c r="AY560" s="17" t="str">
        <f>AX560</f>
        <v>TRAPASRAIDMD</v>
      </c>
      <c r="AZ560" s="18">
        <v>2019</v>
      </c>
      <c r="BA560" s="18" t="s">
        <v>483</v>
      </c>
      <c r="BB560" s="18">
        <v>1</v>
      </c>
      <c r="BC560" s="20">
        <f>-SUMIFS('TRA RESID'!$P:$P,'TRA RESID'!$I:$I,AY560,'TRA RESID'!$J:$J,AV560,'TRA RESID'!$H:$H,AW560)/SUMIFS('TRA RESID'!$P:$P,'TRA RESID'!$I:$I,AY560)*BG560</f>
        <v>0</v>
      </c>
      <c r="BD560" s="18">
        <v>0</v>
      </c>
      <c r="BE560" s="18">
        <v>5</v>
      </c>
      <c r="BG560" s="21">
        <v>0.98</v>
      </c>
    </row>
    <row r="561" spans="1:59" x14ac:dyDescent="0.25">
      <c r="C561" s="15" t="str">
        <f>IF(C560="*",C560,"")</f>
        <v>*</v>
      </c>
      <c r="D561" s="17" t="str">
        <f t="shared" ref="D561:G564" si="444">D560</f>
        <v>*ICEV*</v>
      </c>
      <c r="E561" s="17" t="str">
        <f t="shared" si="444"/>
        <v>TRACNG</v>
      </c>
      <c r="F561" s="17" t="str">
        <f t="shared" si="444"/>
        <v>TRAPASRAIDMD</v>
      </c>
      <c r="G561" s="17" t="str">
        <f t="shared" si="444"/>
        <v>TRAPASRAIDMD</v>
      </c>
      <c r="H561" s="18">
        <v>2025</v>
      </c>
      <c r="I561" s="18" t="str">
        <f>I560</f>
        <v>LO</v>
      </c>
      <c r="J561" s="18"/>
      <c r="K561" s="20">
        <f>-SUMIFS('TRA RESID'!$P:$P,'TRA RESID'!$I:$I,G561,'TRA RESID'!$J:$J,D561,'TRA RESID'!$H:$H,E561)/SUMIFS('TRA RESID'!$P:$P,'TRA RESID'!$I:$I,G561)*O561</f>
        <v>0</v>
      </c>
      <c r="L561" s="18"/>
      <c r="M561" s="18"/>
      <c r="O561" s="21">
        <v>0.8</v>
      </c>
      <c r="S561" s="15" t="str">
        <f>IF(S560="*",S560,"")</f>
        <v>*</v>
      </c>
      <c r="T561" s="17" t="str">
        <f t="shared" ref="T561:W564" si="445">T560</f>
        <v>*BEV*</v>
      </c>
      <c r="U561" s="17" t="str">
        <f t="shared" si="445"/>
        <v>TRACNG</v>
      </c>
      <c r="V561" s="17" t="str">
        <f t="shared" si="445"/>
        <v>TRAPASRAIDMD</v>
      </c>
      <c r="W561" s="17" t="str">
        <f t="shared" si="445"/>
        <v>TRAPASRAIDMD</v>
      </c>
      <c r="X561" s="18">
        <v>2025</v>
      </c>
      <c r="Y561" s="18" t="str">
        <f>Y560</f>
        <v>LO</v>
      </c>
      <c r="Z561" s="18"/>
      <c r="AA561" s="20">
        <f>-SUMIFS('TRA RESID'!$P:$P,'TRA RESID'!$I:$I,W561,'TRA RESID'!$J:$J,T561,'TRA RESID'!$H:$H,U561)/SUMIFS('TRA RESID'!$P:$P,'TRA RESID'!$I:$I,W561)*AE561</f>
        <v>0</v>
      </c>
      <c r="AB561" s="18"/>
      <c r="AC561" s="18"/>
      <c r="AE561" s="21">
        <v>1</v>
      </c>
      <c r="AG561" s="15" t="str">
        <f>IF(AG560="*",AG560,"")</f>
        <v>*</v>
      </c>
      <c r="AH561" s="17" t="str">
        <f t="shared" ref="AH561:AK564" si="446">AH560</f>
        <v>*HEV*</v>
      </c>
      <c r="AI561" s="17" t="str">
        <f t="shared" si="446"/>
        <v>TRACNG</v>
      </c>
      <c r="AJ561" s="17" t="str">
        <f t="shared" si="446"/>
        <v>TRAPASRAIDMD</v>
      </c>
      <c r="AK561" s="17" t="str">
        <f t="shared" si="446"/>
        <v>TRAPASRAIDMD</v>
      </c>
      <c r="AL561" s="18">
        <v>2025</v>
      </c>
      <c r="AM561" s="18" t="str">
        <f>AM560</f>
        <v>LO</v>
      </c>
      <c r="AN561" s="18"/>
      <c r="AO561" s="20">
        <f>-SUMIFS('TRA RESID'!$P:$P,'TRA RESID'!$I:$I,AK561,'TRA RESID'!$J:$J,AH561,'TRA RESID'!$H:$H,AI561)/SUMIFS('TRA RESID'!$P:$P,'TRA RESID'!$I:$I,AK561)*AS561</f>
        <v>0</v>
      </c>
      <c r="AP561" s="18"/>
      <c r="AQ561" s="18"/>
      <c r="AS561" s="21">
        <v>0.8</v>
      </c>
      <c r="AU561" s="15" t="str">
        <f>IF(AU560="*",AU560,"")</f>
        <v>*</v>
      </c>
      <c r="AV561" s="17" t="str">
        <f t="shared" ref="AV561:AY564" si="447">AV560</f>
        <v>*FCEV*</v>
      </c>
      <c r="AW561" s="17" t="str">
        <f t="shared" si="447"/>
        <v>TRACNG</v>
      </c>
      <c r="AX561" s="17" t="str">
        <f t="shared" si="447"/>
        <v>TRAPASRAIDMD</v>
      </c>
      <c r="AY561" s="17" t="str">
        <f t="shared" si="447"/>
        <v>TRAPASRAIDMD</v>
      </c>
      <c r="AZ561" s="18">
        <v>2025</v>
      </c>
      <c r="BA561" s="18" t="str">
        <f>BA560</f>
        <v>LO</v>
      </c>
      <c r="BB561" s="18"/>
      <c r="BC561" s="20">
        <f>-SUMIFS('TRA RESID'!$P:$P,'TRA RESID'!$I:$I,AY561,'TRA RESID'!$J:$J,AV561,'TRA RESID'!$H:$H,AW561)/SUMIFS('TRA RESID'!$P:$P,'TRA RESID'!$I:$I,AY561)*BG561</f>
        <v>0</v>
      </c>
      <c r="BD561" s="18"/>
      <c r="BE561" s="18"/>
      <c r="BG561" s="21">
        <v>0.8</v>
      </c>
    </row>
    <row r="562" spans="1:59" x14ac:dyDescent="0.25">
      <c r="C562" s="15" t="str">
        <f>IF(C561="*",C561,"")</f>
        <v>*</v>
      </c>
      <c r="D562" s="17" t="str">
        <f t="shared" si="444"/>
        <v>*ICEV*</v>
      </c>
      <c r="E562" s="17" t="str">
        <f t="shared" si="444"/>
        <v>TRACNG</v>
      </c>
      <c r="F562" s="17" t="str">
        <f t="shared" si="444"/>
        <v>TRAPASRAIDMD</v>
      </c>
      <c r="G562" s="17" t="str">
        <f t="shared" si="444"/>
        <v>TRAPASRAIDMD</v>
      </c>
      <c r="H562" s="18">
        <v>2030</v>
      </c>
      <c r="I562" s="18" t="str">
        <f>I561</f>
        <v>LO</v>
      </c>
      <c r="J562" s="18"/>
      <c r="K562" s="20">
        <f>-SUMIFS('TRA RESID'!$P:$P,'TRA RESID'!$I:$I,G562,'TRA RESID'!$J:$J,D562,'TRA RESID'!$H:$H,E562)/SUMIFS('TRA RESID'!$P:$P,'TRA RESID'!$I:$I,G562)*O562</f>
        <v>0</v>
      </c>
      <c r="L562" s="18"/>
      <c r="M562" s="18"/>
      <c r="O562" s="21">
        <v>0.5</v>
      </c>
      <c r="S562" s="15" t="str">
        <f>IF(S561="*",S561,"")</f>
        <v>*</v>
      </c>
      <c r="T562" s="17" t="str">
        <f t="shared" si="445"/>
        <v>*BEV*</v>
      </c>
      <c r="U562" s="17" t="str">
        <f t="shared" si="445"/>
        <v>TRACNG</v>
      </c>
      <c r="V562" s="17" t="str">
        <f t="shared" si="445"/>
        <v>TRAPASRAIDMD</v>
      </c>
      <c r="W562" s="17" t="str">
        <f t="shared" si="445"/>
        <v>TRAPASRAIDMD</v>
      </c>
      <c r="X562" s="18">
        <v>2030</v>
      </c>
      <c r="Y562" s="18" t="str">
        <f>Y561</f>
        <v>LO</v>
      </c>
      <c r="Z562" s="18"/>
      <c r="AA562" s="20">
        <f>-SUMIFS('TRA RESID'!$P:$P,'TRA RESID'!$I:$I,W562,'TRA RESID'!$J:$J,T562,'TRA RESID'!$H:$H,U562)/SUMIFS('TRA RESID'!$P:$P,'TRA RESID'!$I:$I,W562)*AE562</f>
        <v>0</v>
      </c>
      <c r="AB562" s="18"/>
      <c r="AC562" s="18"/>
      <c r="AE562" s="21">
        <v>1</v>
      </c>
      <c r="AG562" s="15" t="str">
        <f>IF(AG561="*",AG561,"")</f>
        <v>*</v>
      </c>
      <c r="AH562" s="17" t="str">
        <f t="shared" si="446"/>
        <v>*HEV*</v>
      </c>
      <c r="AI562" s="17" t="str">
        <f t="shared" si="446"/>
        <v>TRACNG</v>
      </c>
      <c r="AJ562" s="17" t="str">
        <f t="shared" si="446"/>
        <v>TRAPASRAIDMD</v>
      </c>
      <c r="AK562" s="17" t="str">
        <f t="shared" si="446"/>
        <v>TRAPASRAIDMD</v>
      </c>
      <c r="AL562" s="18">
        <v>2030</v>
      </c>
      <c r="AM562" s="18" t="str">
        <f>AM561</f>
        <v>LO</v>
      </c>
      <c r="AN562" s="18"/>
      <c r="AO562" s="20">
        <f>-SUMIFS('TRA RESID'!$P:$P,'TRA RESID'!$I:$I,AK562,'TRA RESID'!$J:$J,AH562,'TRA RESID'!$H:$H,AI562)/SUMIFS('TRA RESID'!$P:$P,'TRA RESID'!$I:$I,AK562)*AS562</f>
        <v>0</v>
      </c>
      <c r="AP562" s="18"/>
      <c r="AQ562" s="18"/>
      <c r="AS562" s="21">
        <v>0.5</v>
      </c>
      <c r="AU562" s="15" t="str">
        <f>IF(AU561="*",AU561,"")</f>
        <v>*</v>
      </c>
      <c r="AV562" s="17" t="str">
        <f t="shared" si="447"/>
        <v>*FCEV*</v>
      </c>
      <c r="AW562" s="17" t="str">
        <f t="shared" si="447"/>
        <v>TRACNG</v>
      </c>
      <c r="AX562" s="17" t="str">
        <f t="shared" si="447"/>
        <v>TRAPASRAIDMD</v>
      </c>
      <c r="AY562" s="17" t="str">
        <f t="shared" si="447"/>
        <v>TRAPASRAIDMD</v>
      </c>
      <c r="AZ562" s="18">
        <v>2030</v>
      </c>
      <c r="BA562" s="18" t="str">
        <f>BA561</f>
        <v>LO</v>
      </c>
      <c r="BB562" s="18"/>
      <c r="BC562" s="20">
        <f>-SUMIFS('TRA RESID'!$P:$P,'TRA RESID'!$I:$I,AY562,'TRA RESID'!$J:$J,AV562,'TRA RESID'!$H:$H,AW562)/SUMIFS('TRA RESID'!$P:$P,'TRA RESID'!$I:$I,AY562)*BG562</f>
        <v>0</v>
      </c>
      <c r="BD562" s="18"/>
      <c r="BE562" s="18"/>
      <c r="BG562" s="21">
        <v>0.5</v>
      </c>
    </row>
    <row r="563" spans="1:59" x14ac:dyDescent="0.25">
      <c r="C563" s="15" t="str">
        <f>IF(C562="*",C562,"")</f>
        <v>*</v>
      </c>
      <c r="D563" s="17" t="str">
        <f t="shared" si="444"/>
        <v>*ICEV*</v>
      </c>
      <c r="E563" s="17" t="str">
        <f t="shared" si="444"/>
        <v>TRACNG</v>
      </c>
      <c r="F563" s="17" t="str">
        <f t="shared" si="444"/>
        <v>TRAPASRAIDMD</v>
      </c>
      <c r="G563" s="17" t="str">
        <f t="shared" si="444"/>
        <v>TRAPASRAIDMD</v>
      </c>
      <c r="H563" s="18">
        <v>2040</v>
      </c>
      <c r="I563" s="18" t="str">
        <f>I562</f>
        <v>LO</v>
      </c>
      <c r="J563" s="18"/>
      <c r="K563" s="20">
        <f>-SUMIFS('TRA RESID'!$P:$P,'TRA RESID'!$I:$I,G563,'TRA RESID'!$J:$J,D563,'TRA RESID'!$H:$H,E563)/SUMIFS('TRA RESID'!$P:$P,'TRA RESID'!$I:$I,G563)*O563</f>
        <v>0</v>
      </c>
      <c r="L563" s="18"/>
      <c r="M563" s="18"/>
      <c r="O563" s="21">
        <v>0</v>
      </c>
      <c r="S563" s="15" t="str">
        <f>IF(S562="*",S562,"")</f>
        <v>*</v>
      </c>
      <c r="T563" s="17" t="str">
        <f t="shared" si="445"/>
        <v>*BEV*</v>
      </c>
      <c r="U563" s="17" t="str">
        <f t="shared" si="445"/>
        <v>TRACNG</v>
      </c>
      <c r="V563" s="17" t="str">
        <f t="shared" si="445"/>
        <v>TRAPASRAIDMD</v>
      </c>
      <c r="W563" s="17" t="str">
        <f t="shared" si="445"/>
        <v>TRAPASRAIDMD</v>
      </c>
      <c r="X563" s="18">
        <v>2040</v>
      </c>
      <c r="Y563" s="18" t="str">
        <f>Y562</f>
        <v>LO</v>
      </c>
      <c r="Z563" s="18"/>
      <c r="AA563" s="20">
        <f>-SUMIFS('TRA RESID'!$P:$P,'TRA RESID'!$I:$I,W563,'TRA RESID'!$J:$J,T563,'TRA RESID'!$H:$H,U563)/SUMIFS('TRA RESID'!$P:$P,'TRA RESID'!$I:$I,W563)*AE563</f>
        <v>0</v>
      </c>
      <c r="AB563" s="18"/>
      <c r="AC563" s="18"/>
      <c r="AE563" s="21">
        <v>1</v>
      </c>
      <c r="AG563" s="15" t="str">
        <f>IF(AG562="*",AG562,"")</f>
        <v>*</v>
      </c>
      <c r="AH563" s="17" t="str">
        <f t="shared" si="446"/>
        <v>*HEV*</v>
      </c>
      <c r="AI563" s="17" t="str">
        <f t="shared" si="446"/>
        <v>TRACNG</v>
      </c>
      <c r="AJ563" s="17" t="str">
        <f t="shared" si="446"/>
        <v>TRAPASRAIDMD</v>
      </c>
      <c r="AK563" s="17" t="str">
        <f t="shared" si="446"/>
        <v>TRAPASRAIDMD</v>
      </c>
      <c r="AL563" s="18">
        <v>2040</v>
      </c>
      <c r="AM563" s="18" t="str">
        <f>AM562</f>
        <v>LO</v>
      </c>
      <c r="AN563" s="18"/>
      <c r="AO563" s="20">
        <f>-SUMIFS('TRA RESID'!$P:$P,'TRA RESID'!$I:$I,AK563,'TRA RESID'!$J:$J,AH563,'TRA RESID'!$H:$H,AI563)/SUMIFS('TRA RESID'!$P:$P,'TRA RESID'!$I:$I,AK563)*AS563</f>
        <v>0</v>
      </c>
      <c r="AP563" s="18"/>
      <c r="AQ563" s="18"/>
      <c r="AS563" s="21">
        <v>0</v>
      </c>
      <c r="AU563" s="15" t="str">
        <f>IF(AU562="*",AU562,"")</f>
        <v>*</v>
      </c>
      <c r="AV563" s="17" t="str">
        <f t="shared" si="447"/>
        <v>*FCEV*</v>
      </c>
      <c r="AW563" s="17" t="str">
        <f t="shared" si="447"/>
        <v>TRACNG</v>
      </c>
      <c r="AX563" s="17" t="str">
        <f t="shared" si="447"/>
        <v>TRAPASRAIDMD</v>
      </c>
      <c r="AY563" s="17" t="str">
        <f t="shared" si="447"/>
        <v>TRAPASRAIDMD</v>
      </c>
      <c r="AZ563" s="18">
        <v>2040</v>
      </c>
      <c r="BA563" s="18" t="str">
        <f>BA562</f>
        <v>LO</v>
      </c>
      <c r="BB563" s="18"/>
      <c r="BC563" s="20">
        <f>-SUMIFS('TRA RESID'!$P:$P,'TRA RESID'!$I:$I,AY563,'TRA RESID'!$J:$J,AV563,'TRA RESID'!$H:$H,AW563)/SUMIFS('TRA RESID'!$P:$P,'TRA RESID'!$I:$I,AY563)*BG563</f>
        <v>0</v>
      </c>
      <c r="BD563" s="18"/>
      <c r="BE563" s="18"/>
      <c r="BG563" s="21">
        <v>0</v>
      </c>
    </row>
    <row r="564" spans="1:59" x14ac:dyDescent="0.25">
      <c r="C564" s="23" t="str">
        <f>IF(C563="*",C563,"")</f>
        <v>*</v>
      </c>
      <c r="D564" s="25" t="str">
        <f t="shared" si="444"/>
        <v>*ICEV*</v>
      </c>
      <c r="E564" s="25" t="str">
        <f t="shared" si="444"/>
        <v>TRACNG</v>
      </c>
      <c r="F564" s="25" t="str">
        <f t="shared" si="444"/>
        <v>TRAPASRAIDMD</v>
      </c>
      <c r="G564" s="25" t="str">
        <f t="shared" si="444"/>
        <v>TRAPASRAIDMD</v>
      </c>
      <c r="H564" s="26">
        <v>2050</v>
      </c>
      <c r="I564" s="26" t="str">
        <f>I562</f>
        <v>LO</v>
      </c>
      <c r="J564" s="26"/>
      <c r="K564" s="27">
        <f>-SUMIFS('TRA RESID'!$P:$P,'TRA RESID'!$I:$I,G564,'TRA RESID'!$J:$J,D564,'TRA RESID'!$H:$H,E564)/SUMIFS('TRA RESID'!$P:$P,'TRA RESID'!$I:$I,G564)*O564</f>
        <v>0</v>
      </c>
      <c r="L564" s="26"/>
      <c r="M564" s="26"/>
      <c r="O564" s="28">
        <v>0</v>
      </c>
      <c r="S564" s="23" t="str">
        <f>IF(S563="*",S563,"")</f>
        <v>*</v>
      </c>
      <c r="T564" s="25" t="str">
        <f t="shared" si="445"/>
        <v>*BEV*</v>
      </c>
      <c r="U564" s="25" t="str">
        <f t="shared" si="445"/>
        <v>TRACNG</v>
      </c>
      <c r="V564" s="25" t="str">
        <f t="shared" si="445"/>
        <v>TRAPASRAIDMD</v>
      </c>
      <c r="W564" s="25" t="str">
        <f t="shared" si="445"/>
        <v>TRAPASRAIDMD</v>
      </c>
      <c r="X564" s="26">
        <v>2050</v>
      </c>
      <c r="Y564" s="26" t="str">
        <f>Y562</f>
        <v>LO</v>
      </c>
      <c r="Z564" s="26"/>
      <c r="AA564" s="27">
        <f>-SUMIFS('TRA RESID'!$P:$P,'TRA RESID'!$I:$I,W564,'TRA RESID'!$J:$J,T564,'TRA RESID'!$H:$H,U564)/SUMIFS('TRA RESID'!$P:$P,'TRA RESID'!$I:$I,W564)*AE564</f>
        <v>0</v>
      </c>
      <c r="AB564" s="26"/>
      <c r="AC564" s="26"/>
      <c r="AE564" s="28">
        <v>1</v>
      </c>
      <c r="AG564" s="23" t="str">
        <f>IF(AG563="*",AG563,"")</f>
        <v>*</v>
      </c>
      <c r="AH564" s="25" t="str">
        <f t="shared" si="446"/>
        <v>*HEV*</v>
      </c>
      <c r="AI564" s="25" t="str">
        <f t="shared" si="446"/>
        <v>TRACNG</v>
      </c>
      <c r="AJ564" s="25" t="str">
        <f t="shared" si="446"/>
        <v>TRAPASRAIDMD</v>
      </c>
      <c r="AK564" s="25" t="str">
        <f t="shared" si="446"/>
        <v>TRAPASRAIDMD</v>
      </c>
      <c r="AL564" s="26">
        <v>2050</v>
      </c>
      <c r="AM564" s="26" t="str">
        <f>AM562</f>
        <v>LO</v>
      </c>
      <c r="AN564" s="26"/>
      <c r="AO564" s="27">
        <f>-SUMIFS('TRA RESID'!$P:$P,'TRA RESID'!$I:$I,AK564,'TRA RESID'!$J:$J,AH564,'TRA RESID'!$H:$H,AI564)/SUMIFS('TRA RESID'!$P:$P,'TRA RESID'!$I:$I,AK564)*AS564</f>
        <v>0</v>
      </c>
      <c r="AP564" s="26"/>
      <c r="AQ564" s="26"/>
      <c r="AS564" s="28">
        <v>0</v>
      </c>
      <c r="AU564" s="23" t="str">
        <f>IF(AU563="*",AU563,"")</f>
        <v>*</v>
      </c>
      <c r="AV564" s="25" t="str">
        <f t="shared" si="447"/>
        <v>*FCEV*</v>
      </c>
      <c r="AW564" s="25" t="str">
        <f t="shared" si="447"/>
        <v>TRACNG</v>
      </c>
      <c r="AX564" s="25" t="str">
        <f t="shared" si="447"/>
        <v>TRAPASRAIDMD</v>
      </c>
      <c r="AY564" s="25" t="str">
        <f t="shared" si="447"/>
        <v>TRAPASRAIDMD</v>
      </c>
      <c r="AZ564" s="26">
        <v>2050</v>
      </c>
      <c r="BA564" s="26" t="str">
        <f>BA562</f>
        <v>LO</v>
      </c>
      <c r="BB564" s="26"/>
      <c r="BC564" s="27">
        <f>-SUMIFS('TRA RESID'!$P:$P,'TRA RESID'!$I:$I,AY564,'TRA RESID'!$J:$J,AV564,'TRA RESID'!$H:$H,AW564)/SUMIFS('TRA RESID'!$P:$P,'TRA RESID'!$I:$I,AY564)*BG564</f>
        <v>0</v>
      </c>
      <c r="BD564" s="26"/>
      <c r="BE564" s="26"/>
      <c r="BG564" s="28">
        <v>0</v>
      </c>
    </row>
    <row r="565" spans="1:59" x14ac:dyDescent="0.25">
      <c r="A565">
        <f>A560+1</f>
        <v>113</v>
      </c>
      <c r="C565" s="15" t="str">
        <f>IF(E565="","",IF(_xlfn.XLOOKUP($A565,Selected_constraint!$A:$A,Selected_constraint!$D:$D)=1,"*",IF(SUMIFS('TRA TECH'!$M:$M,'TRA TECH'!$H:$H,E565,'TRA TECH'!$I:$I,F565)=0,"*",IF(SUMIFS('TRA RESID'!$P:$P,'TRA RESID'!$I:$I,G565,'TRA RESID'!$J:$J,D565,'TRA RESID'!$H:$H,E565)=0,"*","UC_"&amp;SUBSTITUTE(D565,"*","")&amp;"_"&amp;RIGHT(E565,3)&amp;"_"&amp;F565))))</f>
        <v>*</v>
      </c>
      <c r="D565" s="17" t="s">
        <v>485</v>
      </c>
      <c r="E565" s="17" t="str">
        <f>_xlfn.XLOOKUP($A565,Selected_constraint!$A:$A,Selected_constraint!$B:$B)</f>
        <v>TRARNG</v>
      </c>
      <c r="F565" s="17" t="str">
        <f>_xlfn.XLOOKUP($A565,Selected_constraint!$A:$A,Selected_constraint!$C:$C)</f>
        <v>TRAPASRAIDMD</v>
      </c>
      <c r="G565" s="17" t="str">
        <f>F565</f>
        <v>TRAPASRAIDMD</v>
      </c>
      <c r="H565" s="18">
        <v>2019</v>
      </c>
      <c r="I565" s="18" t="s">
        <v>483</v>
      </c>
      <c r="J565" s="18">
        <v>1</v>
      </c>
      <c r="K565" s="20">
        <f>-SUMIFS('TRA RESID'!$P:$P,'TRA RESID'!$I:$I,G565,'TRA RESID'!$J:$J,D565,'TRA RESID'!$H:$H,E565)/SUMIFS('TRA RESID'!$P:$P,'TRA RESID'!$I:$I,G565)*O565</f>
        <v>0</v>
      </c>
      <c r="L565" s="18">
        <v>0</v>
      </c>
      <c r="M565" s="18">
        <v>5</v>
      </c>
      <c r="O565" s="21">
        <v>0.98</v>
      </c>
      <c r="Q565">
        <f>Q560+1</f>
        <v>113</v>
      </c>
      <c r="S565" s="15" t="str">
        <f>IF(SUMIFS('TRA RESID'!$P:$P,'TRA RESID'!$I:$I,W565,'TRA RESID'!$J:$J,T565,'TRA RESID'!$H:$H,U565)=0,"*","UC_"&amp;SUBSTITUTE(T565,"*","")&amp;"_"&amp;RIGHT(U565,3)&amp;"_"&amp;V565)</f>
        <v>*</v>
      </c>
      <c r="T565" s="17" t="s">
        <v>486</v>
      </c>
      <c r="U565" s="17" t="str">
        <f>_xlfn.XLOOKUP($A565,Selected_constraint!$A:$A,Selected_constraint!$B:$B)</f>
        <v>TRARNG</v>
      </c>
      <c r="V565" s="17" t="str">
        <f>_xlfn.XLOOKUP($A565,Selected_constraint!$A:$A,Selected_constraint!$C:$C)</f>
        <v>TRAPASRAIDMD</v>
      </c>
      <c r="W565" s="17" t="str">
        <f>V565</f>
        <v>TRAPASRAIDMD</v>
      </c>
      <c r="X565" s="18">
        <v>2019</v>
      </c>
      <c r="Y565" s="18" t="s">
        <v>483</v>
      </c>
      <c r="Z565" s="18">
        <v>1</v>
      </c>
      <c r="AA565" s="20">
        <f>-SUMIFS('TRA RESID'!$P:$P,'TRA RESID'!$I:$I,W565,'TRA RESID'!$J:$J,T565,'TRA RESID'!$H:$H,U565)/SUMIFS('TRA RESID'!$P:$P,'TRA RESID'!$I:$I,W565)*AE565</f>
        <v>0</v>
      </c>
      <c r="AB565" s="18">
        <v>0</v>
      </c>
      <c r="AC565" s="18">
        <v>5</v>
      </c>
      <c r="AE565" s="21">
        <v>0.98</v>
      </c>
      <c r="AG565" s="15" t="str">
        <f>IF(SUMIFS('TRA RESID'!$P:$P,'TRA RESID'!$I:$I,AK565,'TRA RESID'!$J:$J,AH565,'TRA RESID'!$H:$H,AI565)=0,"*","UC_"&amp;SUBSTITUTE(AH565,"*","")&amp;"_"&amp;RIGHT(AI565,3)&amp;"_"&amp;AJ565)</f>
        <v>*</v>
      </c>
      <c r="AH565" s="17" t="s">
        <v>487</v>
      </c>
      <c r="AI565" s="17" t="str">
        <f>_xlfn.XLOOKUP($A565,Selected_constraint!$A:$A,Selected_constraint!$B:$B)</f>
        <v>TRARNG</v>
      </c>
      <c r="AJ565" s="17" t="str">
        <f>_xlfn.XLOOKUP($A565,Selected_constraint!$A:$A,Selected_constraint!$C:$C)</f>
        <v>TRAPASRAIDMD</v>
      </c>
      <c r="AK565" s="17" t="str">
        <f>AJ565</f>
        <v>TRAPASRAIDMD</v>
      </c>
      <c r="AL565" s="18">
        <v>2019</v>
      </c>
      <c r="AM565" s="18" t="s">
        <v>483</v>
      </c>
      <c r="AN565" s="18">
        <v>1</v>
      </c>
      <c r="AO565" s="20">
        <f>-SUMIFS('TRA RESID'!$P:$P,'TRA RESID'!$I:$I,AK565,'TRA RESID'!$J:$J,AH565,'TRA RESID'!$H:$H,AI565)/SUMIFS('TRA RESID'!$P:$P,'TRA RESID'!$I:$I,AK565)*AS565</f>
        <v>0</v>
      </c>
      <c r="AP565" s="18">
        <v>0</v>
      </c>
      <c r="AQ565" s="18">
        <v>5</v>
      </c>
      <c r="AS565" s="21">
        <v>0.98</v>
      </c>
      <c r="AU565" s="15" t="str">
        <f>IF(SUMIFS('TRA RESID'!$P:$P,'TRA RESID'!$I:$I,AY565,'TRA RESID'!$J:$J,AV565,'TRA RESID'!$H:$H,AW565)=0,"*","UC_"&amp;SUBSTITUTE(AV565,"*","")&amp;"_"&amp;RIGHT(AW565,3)&amp;"_"&amp;AX565)</f>
        <v>*</v>
      </c>
      <c r="AV565" s="17" t="s">
        <v>488</v>
      </c>
      <c r="AW565" s="17" t="str">
        <f>_xlfn.XLOOKUP($A565,Selected_constraint!$A:$A,Selected_constraint!$B:$B)</f>
        <v>TRARNG</v>
      </c>
      <c r="AX565" s="17" t="str">
        <f>_xlfn.XLOOKUP($A565,Selected_constraint!$A:$A,Selected_constraint!$C:$C)</f>
        <v>TRAPASRAIDMD</v>
      </c>
      <c r="AY565" s="17" t="str">
        <f>AX565</f>
        <v>TRAPASRAIDMD</v>
      </c>
      <c r="AZ565" s="18">
        <v>2019</v>
      </c>
      <c r="BA565" s="18" t="s">
        <v>483</v>
      </c>
      <c r="BB565" s="18">
        <v>1</v>
      </c>
      <c r="BC565" s="20">
        <f>-SUMIFS('TRA RESID'!$P:$P,'TRA RESID'!$I:$I,AY565,'TRA RESID'!$J:$J,AV565,'TRA RESID'!$H:$H,AW565)/SUMIFS('TRA RESID'!$P:$P,'TRA RESID'!$I:$I,AY565)*BG565</f>
        <v>0</v>
      </c>
      <c r="BD565" s="18">
        <v>0</v>
      </c>
      <c r="BE565" s="18">
        <v>5</v>
      </c>
      <c r="BG565" s="21">
        <v>0.98</v>
      </c>
    </row>
    <row r="566" spans="1:59" x14ac:dyDescent="0.25">
      <c r="C566" s="15" t="str">
        <f>IF(C565="*",C565,"")</f>
        <v>*</v>
      </c>
      <c r="D566" s="17" t="str">
        <f t="shared" ref="D566:G569" si="448">D565</f>
        <v>*ICEV*</v>
      </c>
      <c r="E566" s="17" t="str">
        <f t="shared" si="448"/>
        <v>TRARNG</v>
      </c>
      <c r="F566" s="17" t="str">
        <f t="shared" si="448"/>
        <v>TRAPASRAIDMD</v>
      </c>
      <c r="G566" s="17" t="str">
        <f t="shared" si="448"/>
        <v>TRAPASRAIDMD</v>
      </c>
      <c r="H566" s="18">
        <v>2025</v>
      </c>
      <c r="I566" s="18" t="str">
        <f>I565</f>
        <v>LO</v>
      </c>
      <c r="J566" s="18"/>
      <c r="K566" s="20">
        <f>-SUMIFS('TRA RESID'!$P:$P,'TRA RESID'!$I:$I,G566,'TRA RESID'!$J:$J,D566,'TRA RESID'!$H:$H,E566)/SUMIFS('TRA RESID'!$P:$P,'TRA RESID'!$I:$I,G566)*O566</f>
        <v>0</v>
      </c>
      <c r="L566" s="18"/>
      <c r="M566" s="18"/>
      <c r="O566" s="21">
        <v>0.8</v>
      </c>
      <c r="S566" s="15" t="str">
        <f>IF(S565="*",S565,"")</f>
        <v>*</v>
      </c>
      <c r="T566" s="17" t="str">
        <f t="shared" ref="T566:W569" si="449">T565</f>
        <v>*BEV*</v>
      </c>
      <c r="U566" s="17" t="str">
        <f t="shared" si="449"/>
        <v>TRARNG</v>
      </c>
      <c r="V566" s="17" t="str">
        <f t="shared" si="449"/>
        <v>TRAPASRAIDMD</v>
      </c>
      <c r="W566" s="17" t="str">
        <f t="shared" si="449"/>
        <v>TRAPASRAIDMD</v>
      </c>
      <c r="X566" s="18">
        <v>2025</v>
      </c>
      <c r="Y566" s="18" t="str">
        <f>Y565</f>
        <v>LO</v>
      </c>
      <c r="Z566" s="18"/>
      <c r="AA566" s="20">
        <f>-SUMIFS('TRA RESID'!$P:$P,'TRA RESID'!$I:$I,W566,'TRA RESID'!$J:$J,T566,'TRA RESID'!$H:$H,U566)/SUMIFS('TRA RESID'!$P:$P,'TRA RESID'!$I:$I,W566)*AE566</f>
        <v>0</v>
      </c>
      <c r="AB566" s="18"/>
      <c r="AC566" s="18"/>
      <c r="AE566" s="21">
        <v>1</v>
      </c>
      <c r="AG566" s="15" t="str">
        <f>IF(AG565="*",AG565,"")</f>
        <v>*</v>
      </c>
      <c r="AH566" s="17" t="str">
        <f t="shared" ref="AH566:AK569" si="450">AH565</f>
        <v>*HEV*</v>
      </c>
      <c r="AI566" s="17" t="str">
        <f t="shared" si="450"/>
        <v>TRARNG</v>
      </c>
      <c r="AJ566" s="17" t="str">
        <f t="shared" si="450"/>
        <v>TRAPASRAIDMD</v>
      </c>
      <c r="AK566" s="17" t="str">
        <f t="shared" si="450"/>
        <v>TRAPASRAIDMD</v>
      </c>
      <c r="AL566" s="18">
        <v>2025</v>
      </c>
      <c r="AM566" s="18" t="str">
        <f>AM565</f>
        <v>LO</v>
      </c>
      <c r="AN566" s="18"/>
      <c r="AO566" s="20">
        <f>-SUMIFS('TRA RESID'!$P:$P,'TRA RESID'!$I:$I,AK566,'TRA RESID'!$J:$J,AH566,'TRA RESID'!$H:$H,AI566)/SUMIFS('TRA RESID'!$P:$P,'TRA RESID'!$I:$I,AK566)*AS566</f>
        <v>0</v>
      </c>
      <c r="AP566" s="18"/>
      <c r="AQ566" s="18"/>
      <c r="AS566" s="21">
        <v>0.8</v>
      </c>
      <c r="AU566" s="15" t="str">
        <f>IF(AU565="*",AU565,"")</f>
        <v>*</v>
      </c>
      <c r="AV566" s="17" t="str">
        <f t="shared" ref="AV566:AY569" si="451">AV565</f>
        <v>*FCEV*</v>
      </c>
      <c r="AW566" s="17" t="str">
        <f t="shared" si="451"/>
        <v>TRARNG</v>
      </c>
      <c r="AX566" s="17" t="str">
        <f t="shared" si="451"/>
        <v>TRAPASRAIDMD</v>
      </c>
      <c r="AY566" s="17" t="str">
        <f t="shared" si="451"/>
        <v>TRAPASRAIDMD</v>
      </c>
      <c r="AZ566" s="18">
        <v>2025</v>
      </c>
      <c r="BA566" s="18" t="str">
        <f>BA565</f>
        <v>LO</v>
      </c>
      <c r="BB566" s="18"/>
      <c r="BC566" s="20">
        <f>-SUMIFS('TRA RESID'!$P:$P,'TRA RESID'!$I:$I,AY566,'TRA RESID'!$J:$J,AV566,'TRA RESID'!$H:$H,AW566)/SUMIFS('TRA RESID'!$P:$P,'TRA RESID'!$I:$I,AY566)*BG566</f>
        <v>0</v>
      </c>
      <c r="BD566" s="18"/>
      <c r="BE566" s="18"/>
      <c r="BG566" s="21">
        <v>0.8</v>
      </c>
    </row>
    <row r="567" spans="1:59" x14ac:dyDescent="0.25">
      <c r="C567" s="15" t="str">
        <f>IF(C566="*",C566,"")</f>
        <v>*</v>
      </c>
      <c r="D567" s="17" t="str">
        <f t="shared" si="448"/>
        <v>*ICEV*</v>
      </c>
      <c r="E567" s="17" t="str">
        <f t="shared" si="448"/>
        <v>TRARNG</v>
      </c>
      <c r="F567" s="17" t="str">
        <f t="shared" si="448"/>
        <v>TRAPASRAIDMD</v>
      </c>
      <c r="G567" s="17" t="str">
        <f t="shared" si="448"/>
        <v>TRAPASRAIDMD</v>
      </c>
      <c r="H567" s="18">
        <v>2030</v>
      </c>
      <c r="I567" s="18" t="str">
        <f>I566</f>
        <v>LO</v>
      </c>
      <c r="J567" s="18"/>
      <c r="K567" s="20">
        <f>-SUMIFS('TRA RESID'!$P:$P,'TRA RESID'!$I:$I,G567,'TRA RESID'!$J:$J,D567,'TRA RESID'!$H:$H,E567)/SUMIFS('TRA RESID'!$P:$P,'TRA RESID'!$I:$I,G567)*O567</f>
        <v>0</v>
      </c>
      <c r="L567" s="18"/>
      <c r="M567" s="18"/>
      <c r="O567" s="21">
        <v>0.5</v>
      </c>
      <c r="S567" s="15" t="str">
        <f>IF(S566="*",S566,"")</f>
        <v>*</v>
      </c>
      <c r="T567" s="17" t="str">
        <f t="shared" si="449"/>
        <v>*BEV*</v>
      </c>
      <c r="U567" s="17" t="str">
        <f t="shared" si="449"/>
        <v>TRARNG</v>
      </c>
      <c r="V567" s="17" t="str">
        <f t="shared" si="449"/>
        <v>TRAPASRAIDMD</v>
      </c>
      <c r="W567" s="17" t="str">
        <f t="shared" si="449"/>
        <v>TRAPASRAIDMD</v>
      </c>
      <c r="X567" s="18">
        <v>2030</v>
      </c>
      <c r="Y567" s="18" t="str">
        <f>Y566</f>
        <v>LO</v>
      </c>
      <c r="Z567" s="18"/>
      <c r="AA567" s="20">
        <f>-SUMIFS('TRA RESID'!$P:$P,'TRA RESID'!$I:$I,W567,'TRA RESID'!$J:$J,T567,'TRA RESID'!$H:$H,U567)/SUMIFS('TRA RESID'!$P:$P,'TRA RESID'!$I:$I,W567)*AE567</f>
        <v>0</v>
      </c>
      <c r="AB567" s="18"/>
      <c r="AC567" s="18"/>
      <c r="AE567" s="21">
        <v>1</v>
      </c>
      <c r="AG567" s="15" t="str">
        <f>IF(AG566="*",AG566,"")</f>
        <v>*</v>
      </c>
      <c r="AH567" s="17" t="str">
        <f t="shared" si="450"/>
        <v>*HEV*</v>
      </c>
      <c r="AI567" s="17" t="str">
        <f t="shared" si="450"/>
        <v>TRARNG</v>
      </c>
      <c r="AJ567" s="17" t="str">
        <f t="shared" si="450"/>
        <v>TRAPASRAIDMD</v>
      </c>
      <c r="AK567" s="17" t="str">
        <f t="shared" si="450"/>
        <v>TRAPASRAIDMD</v>
      </c>
      <c r="AL567" s="18">
        <v>2030</v>
      </c>
      <c r="AM567" s="18" t="str">
        <f>AM566</f>
        <v>LO</v>
      </c>
      <c r="AN567" s="18"/>
      <c r="AO567" s="20">
        <f>-SUMIFS('TRA RESID'!$P:$P,'TRA RESID'!$I:$I,AK567,'TRA RESID'!$J:$J,AH567,'TRA RESID'!$H:$H,AI567)/SUMIFS('TRA RESID'!$P:$P,'TRA RESID'!$I:$I,AK567)*AS567</f>
        <v>0</v>
      </c>
      <c r="AP567" s="18"/>
      <c r="AQ567" s="18"/>
      <c r="AS567" s="21">
        <v>0.5</v>
      </c>
      <c r="AU567" s="15" t="str">
        <f>IF(AU566="*",AU566,"")</f>
        <v>*</v>
      </c>
      <c r="AV567" s="17" t="str">
        <f t="shared" si="451"/>
        <v>*FCEV*</v>
      </c>
      <c r="AW567" s="17" t="str">
        <f t="shared" si="451"/>
        <v>TRARNG</v>
      </c>
      <c r="AX567" s="17" t="str">
        <f t="shared" si="451"/>
        <v>TRAPASRAIDMD</v>
      </c>
      <c r="AY567" s="17" t="str">
        <f t="shared" si="451"/>
        <v>TRAPASRAIDMD</v>
      </c>
      <c r="AZ567" s="18">
        <v>2030</v>
      </c>
      <c r="BA567" s="18" t="str">
        <f>BA566</f>
        <v>LO</v>
      </c>
      <c r="BB567" s="18"/>
      <c r="BC567" s="20">
        <f>-SUMIFS('TRA RESID'!$P:$P,'TRA RESID'!$I:$I,AY567,'TRA RESID'!$J:$J,AV567,'TRA RESID'!$H:$H,AW567)/SUMIFS('TRA RESID'!$P:$P,'TRA RESID'!$I:$I,AY567)*BG567</f>
        <v>0</v>
      </c>
      <c r="BD567" s="18"/>
      <c r="BE567" s="18"/>
      <c r="BG567" s="21">
        <v>0.5</v>
      </c>
    </row>
    <row r="568" spans="1:59" x14ac:dyDescent="0.25">
      <c r="C568" s="15" t="str">
        <f>IF(C567="*",C567,"")</f>
        <v>*</v>
      </c>
      <c r="D568" s="17" t="str">
        <f t="shared" si="448"/>
        <v>*ICEV*</v>
      </c>
      <c r="E568" s="17" t="str">
        <f t="shared" si="448"/>
        <v>TRARNG</v>
      </c>
      <c r="F568" s="17" t="str">
        <f t="shared" si="448"/>
        <v>TRAPASRAIDMD</v>
      </c>
      <c r="G568" s="17" t="str">
        <f t="shared" si="448"/>
        <v>TRAPASRAIDMD</v>
      </c>
      <c r="H568" s="18">
        <v>2040</v>
      </c>
      <c r="I568" s="18" t="str">
        <f>I567</f>
        <v>LO</v>
      </c>
      <c r="J568" s="18"/>
      <c r="K568" s="20">
        <f>-SUMIFS('TRA RESID'!$P:$P,'TRA RESID'!$I:$I,G568,'TRA RESID'!$J:$J,D568,'TRA RESID'!$H:$H,E568)/SUMIFS('TRA RESID'!$P:$P,'TRA RESID'!$I:$I,G568)*O568</f>
        <v>0</v>
      </c>
      <c r="L568" s="18"/>
      <c r="M568" s="18"/>
      <c r="O568" s="21">
        <v>0</v>
      </c>
      <c r="S568" s="15" t="str">
        <f>IF(S567="*",S567,"")</f>
        <v>*</v>
      </c>
      <c r="T568" s="17" t="str">
        <f t="shared" si="449"/>
        <v>*BEV*</v>
      </c>
      <c r="U568" s="17" t="str">
        <f t="shared" si="449"/>
        <v>TRARNG</v>
      </c>
      <c r="V568" s="17" t="str">
        <f t="shared" si="449"/>
        <v>TRAPASRAIDMD</v>
      </c>
      <c r="W568" s="17" t="str">
        <f t="shared" si="449"/>
        <v>TRAPASRAIDMD</v>
      </c>
      <c r="X568" s="18">
        <v>2040</v>
      </c>
      <c r="Y568" s="18" t="str">
        <f>Y567</f>
        <v>LO</v>
      </c>
      <c r="Z568" s="18"/>
      <c r="AA568" s="20">
        <f>-SUMIFS('TRA RESID'!$P:$P,'TRA RESID'!$I:$I,W568,'TRA RESID'!$J:$J,T568,'TRA RESID'!$H:$H,U568)/SUMIFS('TRA RESID'!$P:$P,'TRA RESID'!$I:$I,W568)*AE568</f>
        <v>0</v>
      </c>
      <c r="AB568" s="18"/>
      <c r="AC568" s="18"/>
      <c r="AE568" s="21">
        <v>1</v>
      </c>
      <c r="AG568" s="15" t="str">
        <f>IF(AG567="*",AG567,"")</f>
        <v>*</v>
      </c>
      <c r="AH568" s="17" t="str">
        <f t="shared" si="450"/>
        <v>*HEV*</v>
      </c>
      <c r="AI568" s="17" t="str">
        <f t="shared" si="450"/>
        <v>TRARNG</v>
      </c>
      <c r="AJ568" s="17" t="str">
        <f t="shared" si="450"/>
        <v>TRAPASRAIDMD</v>
      </c>
      <c r="AK568" s="17" t="str">
        <f t="shared" si="450"/>
        <v>TRAPASRAIDMD</v>
      </c>
      <c r="AL568" s="18">
        <v>2040</v>
      </c>
      <c r="AM568" s="18" t="str">
        <f>AM567</f>
        <v>LO</v>
      </c>
      <c r="AN568" s="18"/>
      <c r="AO568" s="20">
        <f>-SUMIFS('TRA RESID'!$P:$P,'TRA RESID'!$I:$I,AK568,'TRA RESID'!$J:$J,AH568,'TRA RESID'!$H:$H,AI568)/SUMIFS('TRA RESID'!$P:$P,'TRA RESID'!$I:$I,AK568)*AS568</f>
        <v>0</v>
      </c>
      <c r="AP568" s="18"/>
      <c r="AQ568" s="18"/>
      <c r="AS568" s="21">
        <v>0</v>
      </c>
      <c r="AU568" s="15" t="str">
        <f>IF(AU567="*",AU567,"")</f>
        <v>*</v>
      </c>
      <c r="AV568" s="17" t="str">
        <f t="shared" si="451"/>
        <v>*FCEV*</v>
      </c>
      <c r="AW568" s="17" t="str">
        <f t="shared" si="451"/>
        <v>TRARNG</v>
      </c>
      <c r="AX568" s="17" t="str">
        <f t="shared" si="451"/>
        <v>TRAPASRAIDMD</v>
      </c>
      <c r="AY568" s="17" t="str">
        <f t="shared" si="451"/>
        <v>TRAPASRAIDMD</v>
      </c>
      <c r="AZ568" s="18">
        <v>2040</v>
      </c>
      <c r="BA568" s="18" t="str">
        <f>BA567</f>
        <v>LO</v>
      </c>
      <c r="BB568" s="18"/>
      <c r="BC568" s="20">
        <f>-SUMIFS('TRA RESID'!$P:$P,'TRA RESID'!$I:$I,AY568,'TRA RESID'!$J:$J,AV568,'TRA RESID'!$H:$H,AW568)/SUMIFS('TRA RESID'!$P:$P,'TRA RESID'!$I:$I,AY568)*BG568</f>
        <v>0</v>
      </c>
      <c r="BD568" s="18"/>
      <c r="BE568" s="18"/>
      <c r="BG568" s="21">
        <v>0</v>
      </c>
    </row>
    <row r="569" spans="1:59" x14ac:dyDescent="0.25">
      <c r="C569" s="23" t="str">
        <f>IF(C568="*",C568,"")</f>
        <v>*</v>
      </c>
      <c r="D569" s="25" t="str">
        <f t="shared" si="448"/>
        <v>*ICEV*</v>
      </c>
      <c r="E569" s="25" t="str">
        <f t="shared" si="448"/>
        <v>TRARNG</v>
      </c>
      <c r="F569" s="25" t="str">
        <f t="shared" si="448"/>
        <v>TRAPASRAIDMD</v>
      </c>
      <c r="G569" s="25" t="str">
        <f t="shared" si="448"/>
        <v>TRAPASRAIDMD</v>
      </c>
      <c r="H569" s="26">
        <v>2050</v>
      </c>
      <c r="I569" s="26" t="str">
        <f>I567</f>
        <v>LO</v>
      </c>
      <c r="J569" s="26"/>
      <c r="K569" s="27">
        <f>-SUMIFS('TRA RESID'!$P:$P,'TRA RESID'!$I:$I,G569,'TRA RESID'!$J:$J,D569,'TRA RESID'!$H:$H,E569)/SUMIFS('TRA RESID'!$P:$P,'TRA RESID'!$I:$I,G569)*O569</f>
        <v>0</v>
      </c>
      <c r="L569" s="26"/>
      <c r="M569" s="26"/>
      <c r="O569" s="28">
        <v>0</v>
      </c>
      <c r="S569" s="23" t="str">
        <f>IF(S568="*",S568,"")</f>
        <v>*</v>
      </c>
      <c r="T569" s="25" t="str">
        <f t="shared" si="449"/>
        <v>*BEV*</v>
      </c>
      <c r="U569" s="25" t="str">
        <f t="shared" si="449"/>
        <v>TRARNG</v>
      </c>
      <c r="V569" s="25" t="str">
        <f t="shared" si="449"/>
        <v>TRAPASRAIDMD</v>
      </c>
      <c r="W569" s="25" t="str">
        <f t="shared" si="449"/>
        <v>TRAPASRAIDMD</v>
      </c>
      <c r="X569" s="26">
        <v>2050</v>
      </c>
      <c r="Y569" s="26" t="str">
        <f>Y567</f>
        <v>LO</v>
      </c>
      <c r="Z569" s="26"/>
      <c r="AA569" s="27">
        <f>-SUMIFS('TRA RESID'!$P:$P,'TRA RESID'!$I:$I,W569,'TRA RESID'!$J:$J,T569,'TRA RESID'!$H:$H,U569)/SUMIFS('TRA RESID'!$P:$P,'TRA RESID'!$I:$I,W569)*AE569</f>
        <v>0</v>
      </c>
      <c r="AB569" s="26"/>
      <c r="AC569" s="26"/>
      <c r="AE569" s="28">
        <v>1</v>
      </c>
      <c r="AG569" s="23" t="str">
        <f>IF(AG568="*",AG568,"")</f>
        <v>*</v>
      </c>
      <c r="AH569" s="25" t="str">
        <f t="shared" si="450"/>
        <v>*HEV*</v>
      </c>
      <c r="AI569" s="25" t="str">
        <f t="shared" si="450"/>
        <v>TRARNG</v>
      </c>
      <c r="AJ569" s="25" t="str">
        <f t="shared" si="450"/>
        <v>TRAPASRAIDMD</v>
      </c>
      <c r="AK569" s="25" t="str">
        <f t="shared" si="450"/>
        <v>TRAPASRAIDMD</v>
      </c>
      <c r="AL569" s="26">
        <v>2050</v>
      </c>
      <c r="AM569" s="26" t="str">
        <f>AM567</f>
        <v>LO</v>
      </c>
      <c r="AN569" s="26"/>
      <c r="AO569" s="27">
        <f>-SUMIFS('TRA RESID'!$P:$P,'TRA RESID'!$I:$I,AK569,'TRA RESID'!$J:$J,AH569,'TRA RESID'!$H:$H,AI569)/SUMIFS('TRA RESID'!$P:$P,'TRA RESID'!$I:$I,AK569)*AS569</f>
        <v>0</v>
      </c>
      <c r="AP569" s="26"/>
      <c r="AQ569" s="26"/>
      <c r="AS569" s="28">
        <v>0</v>
      </c>
      <c r="AU569" s="23" t="str">
        <f>IF(AU568="*",AU568,"")</f>
        <v>*</v>
      </c>
      <c r="AV569" s="25" t="str">
        <f t="shared" si="451"/>
        <v>*FCEV*</v>
      </c>
      <c r="AW569" s="25" t="str">
        <f t="shared" si="451"/>
        <v>TRARNG</v>
      </c>
      <c r="AX569" s="25" t="str">
        <f t="shared" si="451"/>
        <v>TRAPASRAIDMD</v>
      </c>
      <c r="AY569" s="25" t="str">
        <f t="shared" si="451"/>
        <v>TRAPASRAIDMD</v>
      </c>
      <c r="AZ569" s="26">
        <v>2050</v>
      </c>
      <c r="BA569" s="26" t="str">
        <f>BA567</f>
        <v>LO</v>
      </c>
      <c r="BB569" s="26"/>
      <c r="BC569" s="27">
        <f>-SUMIFS('TRA RESID'!$P:$P,'TRA RESID'!$I:$I,AY569,'TRA RESID'!$J:$J,AV569,'TRA RESID'!$H:$H,AW569)/SUMIFS('TRA RESID'!$P:$P,'TRA RESID'!$I:$I,AY569)*BG569</f>
        <v>0</v>
      </c>
      <c r="BD569" s="26"/>
      <c r="BE569" s="26"/>
      <c r="BG569" s="28">
        <v>0</v>
      </c>
    </row>
    <row r="570" spans="1:59" x14ac:dyDescent="0.25">
      <c r="A570">
        <f>A565+1</f>
        <v>114</v>
      </c>
      <c r="C570" s="15" t="str">
        <f>IF(E570="","",IF(_xlfn.XLOOKUP($A570,Selected_constraint!$A:$A,Selected_constraint!$D:$D)=1,"*",IF(SUMIFS('TRA TECH'!$M:$M,'TRA TECH'!$H:$H,E570,'TRA TECH'!$I:$I,F570)=0,"*",IF(SUMIFS('TRA RESID'!$P:$P,'TRA RESID'!$I:$I,G570,'TRA RESID'!$J:$J,D570,'TRA RESID'!$H:$H,E570)=0,"*","UC_"&amp;SUBSTITUTE(D570,"*","")&amp;"_"&amp;RIGHT(E570,3)&amp;"_"&amp;F570))))</f>
        <v>*</v>
      </c>
      <c r="D570" s="17" t="s">
        <v>485</v>
      </c>
      <c r="E570" s="17" t="str">
        <f>_xlfn.XLOOKUP($A570,Selected_constraint!$A:$A,Selected_constraint!$B:$B)</f>
        <v>TRAELC</v>
      </c>
      <c r="F570" s="17" t="str">
        <f>_xlfn.XLOOKUP($A570,Selected_constraint!$A:$A,Selected_constraint!$C:$C)</f>
        <v>TRAPASRAIDMD</v>
      </c>
      <c r="G570" s="17" t="str">
        <f>F570</f>
        <v>TRAPASRAIDMD</v>
      </c>
      <c r="H570" s="18">
        <v>2019</v>
      </c>
      <c r="I570" s="18" t="s">
        <v>483</v>
      </c>
      <c r="J570" s="18">
        <v>1</v>
      </c>
      <c r="K570" s="20">
        <f>-SUMIFS('TRA RESID'!$P:$P,'TRA RESID'!$I:$I,G570,'TRA RESID'!$J:$J,D570,'TRA RESID'!$H:$H,E570)/SUMIFS('TRA RESID'!$P:$P,'TRA RESID'!$I:$I,G570)*O570</f>
        <v>0</v>
      </c>
      <c r="L570" s="18">
        <v>0</v>
      </c>
      <c r="M570" s="18">
        <v>5</v>
      </c>
      <c r="O570" s="21">
        <v>0.98</v>
      </c>
      <c r="Q570">
        <f>Q565+1</f>
        <v>114</v>
      </c>
      <c r="S570" s="15" t="str">
        <f>IF(SUMIFS('TRA RESID'!$P:$P,'TRA RESID'!$I:$I,W570,'TRA RESID'!$J:$J,T570,'TRA RESID'!$H:$H,U570)=0,"*","UC_"&amp;SUBSTITUTE(T570,"*","")&amp;"_"&amp;RIGHT(U570,3)&amp;"_"&amp;V570)</f>
        <v>*</v>
      </c>
      <c r="T570" s="17" t="s">
        <v>486</v>
      </c>
      <c r="U570" s="17" t="str">
        <f>_xlfn.XLOOKUP($A570,Selected_constraint!$A:$A,Selected_constraint!$B:$B)</f>
        <v>TRAELC</v>
      </c>
      <c r="V570" s="17" t="str">
        <f>_xlfn.XLOOKUP($A570,Selected_constraint!$A:$A,Selected_constraint!$C:$C)</f>
        <v>TRAPASRAIDMD</v>
      </c>
      <c r="W570" s="17" t="str">
        <f>V570</f>
        <v>TRAPASRAIDMD</v>
      </c>
      <c r="X570" s="18">
        <v>2019</v>
      </c>
      <c r="Y570" s="18" t="s">
        <v>483</v>
      </c>
      <c r="Z570" s="18">
        <v>1</v>
      </c>
      <c r="AA570" s="20">
        <f>-SUMIFS('TRA RESID'!$P:$P,'TRA RESID'!$I:$I,W570,'TRA RESID'!$J:$J,T570,'TRA RESID'!$H:$H,U570)/SUMIFS('TRA RESID'!$P:$P,'TRA RESID'!$I:$I,W570)*AE570</f>
        <v>0</v>
      </c>
      <c r="AB570" s="18">
        <v>0</v>
      </c>
      <c r="AC570" s="18">
        <v>5</v>
      </c>
      <c r="AE570" s="21">
        <v>0.98</v>
      </c>
      <c r="AG570" s="15" t="str">
        <f>IF(SUMIFS('TRA RESID'!$P:$P,'TRA RESID'!$I:$I,AK570,'TRA RESID'!$J:$J,AH570,'TRA RESID'!$H:$H,AI570)=0,"*","UC_"&amp;SUBSTITUTE(AH570,"*","")&amp;"_"&amp;RIGHT(AI570,3)&amp;"_"&amp;AJ570)</f>
        <v>*</v>
      </c>
      <c r="AH570" s="17" t="s">
        <v>487</v>
      </c>
      <c r="AI570" s="17" t="str">
        <f>_xlfn.XLOOKUP($A570,Selected_constraint!$A:$A,Selected_constraint!$B:$B)</f>
        <v>TRAELC</v>
      </c>
      <c r="AJ570" s="17" t="str">
        <f>_xlfn.XLOOKUP($A570,Selected_constraint!$A:$A,Selected_constraint!$C:$C)</f>
        <v>TRAPASRAIDMD</v>
      </c>
      <c r="AK570" s="17" t="str">
        <f>AJ570</f>
        <v>TRAPASRAIDMD</v>
      </c>
      <c r="AL570" s="18">
        <v>2019</v>
      </c>
      <c r="AM570" s="18" t="s">
        <v>483</v>
      </c>
      <c r="AN570" s="18">
        <v>1</v>
      </c>
      <c r="AO570" s="20">
        <f>-SUMIFS('TRA RESID'!$P:$P,'TRA RESID'!$I:$I,AK570,'TRA RESID'!$J:$J,AH570,'TRA RESID'!$H:$H,AI570)/SUMIFS('TRA RESID'!$P:$P,'TRA RESID'!$I:$I,AK570)*AS570</f>
        <v>0</v>
      </c>
      <c r="AP570" s="18">
        <v>0</v>
      </c>
      <c r="AQ570" s="18">
        <v>5</v>
      </c>
      <c r="AS570" s="21">
        <v>0.98</v>
      </c>
      <c r="AU570" s="15" t="str">
        <f>IF(SUMIFS('TRA RESID'!$P:$P,'TRA RESID'!$I:$I,AY570,'TRA RESID'!$J:$J,AV570,'TRA RESID'!$H:$H,AW570)=0,"*","UC_"&amp;SUBSTITUTE(AV570,"*","")&amp;"_"&amp;RIGHT(AW570,3)&amp;"_"&amp;AX570)</f>
        <v>*</v>
      </c>
      <c r="AV570" s="17" t="s">
        <v>488</v>
      </c>
      <c r="AW570" s="17" t="str">
        <f>_xlfn.XLOOKUP($A570,Selected_constraint!$A:$A,Selected_constraint!$B:$B)</f>
        <v>TRAELC</v>
      </c>
      <c r="AX570" s="17" t="str">
        <f>_xlfn.XLOOKUP($A570,Selected_constraint!$A:$A,Selected_constraint!$C:$C)</f>
        <v>TRAPASRAIDMD</v>
      </c>
      <c r="AY570" s="17" t="str">
        <f>AX570</f>
        <v>TRAPASRAIDMD</v>
      </c>
      <c r="AZ570" s="18">
        <v>2019</v>
      </c>
      <c r="BA570" s="18" t="s">
        <v>483</v>
      </c>
      <c r="BB570" s="18">
        <v>1</v>
      </c>
      <c r="BC570" s="20">
        <f>-SUMIFS('TRA RESID'!$P:$P,'TRA RESID'!$I:$I,AY570,'TRA RESID'!$J:$J,AV570,'TRA RESID'!$H:$H,AW570)/SUMIFS('TRA RESID'!$P:$P,'TRA RESID'!$I:$I,AY570)*BG570</f>
        <v>0</v>
      </c>
      <c r="BD570" s="18">
        <v>0</v>
      </c>
      <c r="BE570" s="18">
        <v>5</v>
      </c>
      <c r="BG570" s="21">
        <v>0.98</v>
      </c>
    </row>
    <row r="571" spans="1:59" x14ac:dyDescent="0.25">
      <c r="C571" s="15" t="str">
        <f>IF(C570="*",C570,"")</f>
        <v>*</v>
      </c>
      <c r="D571" s="17" t="str">
        <f t="shared" ref="D571:G574" si="452">D570</f>
        <v>*ICEV*</v>
      </c>
      <c r="E571" s="17" t="str">
        <f t="shared" si="452"/>
        <v>TRAELC</v>
      </c>
      <c r="F571" s="17" t="str">
        <f t="shared" si="452"/>
        <v>TRAPASRAIDMD</v>
      </c>
      <c r="G571" s="17" t="str">
        <f t="shared" si="452"/>
        <v>TRAPASRAIDMD</v>
      </c>
      <c r="H571" s="18">
        <v>2025</v>
      </c>
      <c r="I571" s="18" t="str">
        <f>I570</f>
        <v>LO</v>
      </c>
      <c r="J571" s="18"/>
      <c r="K571" s="20">
        <f>-SUMIFS('TRA RESID'!$P:$P,'TRA RESID'!$I:$I,G571,'TRA RESID'!$J:$J,D571,'TRA RESID'!$H:$H,E571)/SUMIFS('TRA RESID'!$P:$P,'TRA RESID'!$I:$I,G571)*O571</f>
        <v>0</v>
      </c>
      <c r="L571" s="18"/>
      <c r="M571" s="18"/>
      <c r="O571" s="21">
        <v>0.8</v>
      </c>
      <c r="S571" s="15" t="str">
        <f>IF(S570="*",S570,"")</f>
        <v>*</v>
      </c>
      <c r="T571" s="17" t="str">
        <f t="shared" ref="T571:W574" si="453">T570</f>
        <v>*BEV*</v>
      </c>
      <c r="U571" s="17" t="str">
        <f t="shared" si="453"/>
        <v>TRAELC</v>
      </c>
      <c r="V571" s="17" t="str">
        <f t="shared" si="453"/>
        <v>TRAPASRAIDMD</v>
      </c>
      <c r="W571" s="17" t="str">
        <f t="shared" si="453"/>
        <v>TRAPASRAIDMD</v>
      </c>
      <c r="X571" s="18">
        <v>2025</v>
      </c>
      <c r="Y571" s="18" t="str">
        <f>Y570</f>
        <v>LO</v>
      </c>
      <c r="Z571" s="18"/>
      <c r="AA571" s="20">
        <f>-SUMIFS('TRA RESID'!$P:$P,'TRA RESID'!$I:$I,W571,'TRA RESID'!$J:$J,T571,'TRA RESID'!$H:$H,U571)/SUMIFS('TRA RESID'!$P:$P,'TRA RESID'!$I:$I,W571)*AE571</f>
        <v>0</v>
      </c>
      <c r="AB571" s="18"/>
      <c r="AC571" s="18"/>
      <c r="AE571" s="21">
        <v>1</v>
      </c>
      <c r="AG571" s="15" t="str">
        <f>IF(AG570="*",AG570,"")</f>
        <v>*</v>
      </c>
      <c r="AH571" s="17" t="str">
        <f t="shared" ref="AH571:AK574" si="454">AH570</f>
        <v>*HEV*</v>
      </c>
      <c r="AI571" s="17" t="str">
        <f t="shared" si="454"/>
        <v>TRAELC</v>
      </c>
      <c r="AJ571" s="17" t="str">
        <f t="shared" si="454"/>
        <v>TRAPASRAIDMD</v>
      </c>
      <c r="AK571" s="17" t="str">
        <f t="shared" si="454"/>
        <v>TRAPASRAIDMD</v>
      </c>
      <c r="AL571" s="18">
        <v>2025</v>
      </c>
      <c r="AM571" s="18" t="str">
        <f>AM570</f>
        <v>LO</v>
      </c>
      <c r="AN571" s="18"/>
      <c r="AO571" s="20">
        <f>-SUMIFS('TRA RESID'!$P:$P,'TRA RESID'!$I:$I,AK571,'TRA RESID'!$J:$J,AH571,'TRA RESID'!$H:$H,AI571)/SUMIFS('TRA RESID'!$P:$P,'TRA RESID'!$I:$I,AK571)*AS571</f>
        <v>0</v>
      </c>
      <c r="AP571" s="18"/>
      <c r="AQ571" s="18"/>
      <c r="AS571" s="21">
        <v>0.8</v>
      </c>
      <c r="AU571" s="15" t="str">
        <f>IF(AU570="*",AU570,"")</f>
        <v>*</v>
      </c>
      <c r="AV571" s="17" t="str">
        <f t="shared" ref="AV571:AY574" si="455">AV570</f>
        <v>*FCEV*</v>
      </c>
      <c r="AW571" s="17" t="str">
        <f t="shared" si="455"/>
        <v>TRAELC</v>
      </c>
      <c r="AX571" s="17" t="str">
        <f t="shared" si="455"/>
        <v>TRAPASRAIDMD</v>
      </c>
      <c r="AY571" s="17" t="str">
        <f t="shared" si="455"/>
        <v>TRAPASRAIDMD</v>
      </c>
      <c r="AZ571" s="18">
        <v>2025</v>
      </c>
      <c r="BA571" s="18" t="str">
        <f>BA570</f>
        <v>LO</v>
      </c>
      <c r="BB571" s="18"/>
      <c r="BC571" s="20">
        <f>-SUMIFS('TRA RESID'!$P:$P,'TRA RESID'!$I:$I,AY571,'TRA RESID'!$J:$J,AV571,'TRA RESID'!$H:$H,AW571)/SUMIFS('TRA RESID'!$P:$P,'TRA RESID'!$I:$I,AY571)*BG571</f>
        <v>0</v>
      </c>
      <c r="BD571" s="18"/>
      <c r="BE571" s="18"/>
      <c r="BG571" s="21">
        <v>0.8</v>
      </c>
    </row>
    <row r="572" spans="1:59" x14ac:dyDescent="0.25">
      <c r="C572" s="15" t="str">
        <f>IF(C571="*",C571,"")</f>
        <v>*</v>
      </c>
      <c r="D572" s="17" t="str">
        <f t="shared" si="452"/>
        <v>*ICEV*</v>
      </c>
      <c r="E572" s="17" t="str">
        <f t="shared" si="452"/>
        <v>TRAELC</v>
      </c>
      <c r="F572" s="17" t="str">
        <f t="shared" si="452"/>
        <v>TRAPASRAIDMD</v>
      </c>
      <c r="G572" s="17" t="str">
        <f t="shared" si="452"/>
        <v>TRAPASRAIDMD</v>
      </c>
      <c r="H572" s="18">
        <v>2030</v>
      </c>
      <c r="I572" s="18" t="str">
        <f>I571</f>
        <v>LO</v>
      </c>
      <c r="J572" s="18"/>
      <c r="K572" s="20">
        <f>-SUMIFS('TRA RESID'!$P:$P,'TRA RESID'!$I:$I,G572,'TRA RESID'!$J:$J,D572,'TRA RESID'!$H:$H,E572)/SUMIFS('TRA RESID'!$P:$P,'TRA RESID'!$I:$I,G572)*O572</f>
        <v>0</v>
      </c>
      <c r="L572" s="18"/>
      <c r="M572" s="18"/>
      <c r="O572" s="21">
        <v>0.5</v>
      </c>
      <c r="S572" s="15" t="str">
        <f>IF(S571="*",S571,"")</f>
        <v>*</v>
      </c>
      <c r="T572" s="17" t="str">
        <f t="shared" si="453"/>
        <v>*BEV*</v>
      </c>
      <c r="U572" s="17" t="str">
        <f t="shared" si="453"/>
        <v>TRAELC</v>
      </c>
      <c r="V572" s="17" t="str">
        <f t="shared" si="453"/>
        <v>TRAPASRAIDMD</v>
      </c>
      <c r="W572" s="17" t="str">
        <f t="shared" si="453"/>
        <v>TRAPASRAIDMD</v>
      </c>
      <c r="X572" s="18">
        <v>2030</v>
      </c>
      <c r="Y572" s="18" t="str">
        <f>Y571</f>
        <v>LO</v>
      </c>
      <c r="Z572" s="18"/>
      <c r="AA572" s="20">
        <f>-SUMIFS('TRA RESID'!$P:$P,'TRA RESID'!$I:$I,W572,'TRA RESID'!$J:$J,T572,'TRA RESID'!$H:$H,U572)/SUMIFS('TRA RESID'!$P:$P,'TRA RESID'!$I:$I,W572)*AE572</f>
        <v>0</v>
      </c>
      <c r="AB572" s="18"/>
      <c r="AC572" s="18"/>
      <c r="AE572" s="21">
        <v>1</v>
      </c>
      <c r="AG572" s="15" t="str">
        <f>IF(AG571="*",AG571,"")</f>
        <v>*</v>
      </c>
      <c r="AH572" s="17" t="str">
        <f t="shared" si="454"/>
        <v>*HEV*</v>
      </c>
      <c r="AI572" s="17" t="str">
        <f t="shared" si="454"/>
        <v>TRAELC</v>
      </c>
      <c r="AJ572" s="17" t="str">
        <f t="shared" si="454"/>
        <v>TRAPASRAIDMD</v>
      </c>
      <c r="AK572" s="17" t="str">
        <f t="shared" si="454"/>
        <v>TRAPASRAIDMD</v>
      </c>
      <c r="AL572" s="18">
        <v>2030</v>
      </c>
      <c r="AM572" s="18" t="str">
        <f>AM571</f>
        <v>LO</v>
      </c>
      <c r="AN572" s="18"/>
      <c r="AO572" s="20">
        <f>-SUMIFS('TRA RESID'!$P:$P,'TRA RESID'!$I:$I,AK572,'TRA RESID'!$J:$J,AH572,'TRA RESID'!$H:$H,AI572)/SUMIFS('TRA RESID'!$P:$P,'TRA RESID'!$I:$I,AK572)*AS572</f>
        <v>0</v>
      </c>
      <c r="AP572" s="18"/>
      <c r="AQ572" s="18"/>
      <c r="AS572" s="21">
        <v>0.5</v>
      </c>
      <c r="AU572" s="15" t="str">
        <f>IF(AU571="*",AU571,"")</f>
        <v>*</v>
      </c>
      <c r="AV572" s="17" t="str">
        <f t="shared" si="455"/>
        <v>*FCEV*</v>
      </c>
      <c r="AW572" s="17" t="str">
        <f t="shared" si="455"/>
        <v>TRAELC</v>
      </c>
      <c r="AX572" s="17" t="str">
        <f t="shared" si="455"/>
        <v>TRAPASRAIDMD</v>
      </c>
      <c r="AY572" s="17" t="str">
        <f t="shared" si="455"/>
        <v>TRAPASRAIDMD</v>
      </c>
      <c r="AZ572" s="18">
        <v>2030</v>
      </c>
      <c r="BA572" s="18" t="str">
        <f>BA571</f>
        <v>LO</v>
      </c>
      <c r="BB572" s="18"/>
      <c r="BC572" s="20">
        <f>-SUMIFS('TRA RESID'!$P:$P,'TRA RESID'!$I:$I,AY572,'TRA RESID'!$J:$J,AV572,'TRA RESID'!$H:$H,AW572)/SUMIFS('TRA RESID'!$P:$P,'TRA RESID'!$I:$I,AY572)*BG572</f>
        <v>0</v>
      </c>
      <c r="BD572" s="18"/>
      <c r="BE572" s="18"/>
      <c r="BG572" s="21">
        <v>0.5</v>
      </c>
    </row>
    <row r="573" spans="1:59" x14ac:dyDescent="0.25">
      <c r="C573" s="15" t="str">
        <f>IF(C572="*",C572,"")</f>
        <v>*</v>
      </c>
      <c r="D573" s="17" t="str">
        <f t="shared" si="452"/>
        <v>*ICEV*</v>
      </c>
      <c r="E573" s="17" t="str">
        <f t="shared" si="452"/>
        <v>TRAELC</v>
      </c>
      <c r="F573" s="17" t="str">
        <f t="shared" si="452"/>
        <v>TRAPASRAIDMD</v>
      </c>
      <c r="G573" s="17" t="str">
        <f t="shared" si="452"/>
        <v>TRAPASRAIDMD</v>
      </c>
      <c r="H573" s="18">
        <v>2040</v>
      </c>
      <c r="I573" s="18" t="str">
        <f>I572</f>
        <v>LO</v>
      </c>
      <c r="J573" s="18"/>
      <c r="K573" s="20">
        <f>-SUMIFS('TRA RESID'!$P:$P,'TRA RESID'!$I:$I,G573,'TRA RESID'!$J:$J,D573,'TRA RESID'!$H:$H,E573)/SUMIFS('TRA RESID'!$P:$P,'TRA RESID'!$I:$I,G573)*O573</f>
        <v>0</v>
      </c>
      <c r="L573" s="18"/>
      <c r="M573" s="18"/>
      <c r="O573" s="21">
        <v>0</v>
      </c>
      <c r="S573" s="15" t="str">
        <f>IF(S572="*",S572,"")</f>
        <v>*</v>
      </c>
      <c r="T573" s="17" t="str">
        <f t="shared" si="453"/>
        <v>*BEV*</v>
      </c>
      <c r="U573" s="17" t="str">
        <f t="shared" si="453"/>
        <v>TRAELC</v>
      </c>
      <c r="V573" s="17" t="str">
        <f t="shared" si="453"/>
        <v>TRAPASRAIDMD</v>
      </c>
      <c r="W573" s="17" t="str">
        <f t="shared" si="453"/>
        <v>TRAPASRAIDMD</v>
      </c>
      <c r="X573" s="18">
        <v>2040</v>
      </c>
      <c r="Y573" s="18" t="str">
        <f>Y572</f>
        <v>LO</v>
      </c>
      <c r="Z573" s="18"/>
      <c r="AA573" s="20">
        <f>-SUMIFS('TRA RESID'!$P:$P,'TRA RESID'!$I:$I,W573,'TRA RESID'!$J:$J,T573,'TRA RESID'!$H:$H,U573)/SUMIFS('TRA RESID'!$P:$P,'TRA RESID'!$I:$I,W573)*AE573</f>
        <v>0</v>
      </c>
      <c r="AB573" s="18"/>
      <c r="AC573" s="18"/>
      <c r="AE573" s="21">
        <v>1</v>
      </c>
      <c r="AG573" s="15" t="str">
        <f>IF(AG572="*",AG572,"")</f>
        <v>*</v>
      </c>
      <c r="AH573" s="17" t="str">
        <f t="shared" si="454"/>
        <v>*HEV*</v>
      </c>
      <c r="AI573" s="17" t="str">
        <f t="shared" si="454"/>
        <v>TRAELC</v>
      </c>
      <c r="AJ573" s="17" t="str">
        <f t="shared" si="454"/>
        <v>TRAPASRAIDMD</v>
      </c>
      <c r="AK573" s="17" t="str">
        <f t="shared" si="454"/>
        <v>TRAPASRAIDMD</v>
      </c>
      <c r="AL573" s="18">
        <v>2040</v>
      </c>
      <c r="AM573" s="18" t="str">
        <f>AM572</f>
        <v>LO</v>
      </c>
      <c r="AN573" s="18"/>
      <c r="AO573" s="20">
        <f>-SUMIFS('TRA RESID'!$P:$P,'TRA RESID'!$I:$I,AK573,'TRA RESID'!$J:$J,AH573,'TRA RESID'!$H:$H,AI573)/SUMIFS('TRA RESID'!$P:$P,'TRA RESID'!$I:$I,AK573)*AS573</f>
        <v>0</v>
      </c>
      <c r="AP573" s="18"/>
      <c r="AQ573" s="18"/>
      <c r="AS573" s="21">
        <v>0</v>
      </c>
      <c r="AU573" s="15" t="str">
        <f>IF(AU572="*",AU572,"")</f>
        <v>*</v>
      </c>
      <c r="AV573" s="17" t="str">
        <f t="shared" si="455"/>
        <v>*FCEV*</v>
      </c>
      <c r="AW573" s="17" t="str">
        <f t="shared" si="455"/>
        <v>TRAELC</v>
      </c>
      <c r="AX573" s="17" t="str">
        <f t="shared" si="455"/>
        <v>TRAPASRAIDMD</v>
      </c>
      <c r="AY573" s="17" t="str">
        <f t="shared" si="455"/>
        <v>TRAPASRAIDMD</v>
      </c>
      <c r="AZ573" s="18">
        <v>2040</v>
      </c>
      <c r="BA573" s="18" t="str">
        <f>BA572</f>
        <v>LO</v>
      </c>
      <c r="BB573" s="18"/>
      <c r="BC573" s="20">
        <f>-SUMIFS('TRA RESID'!$P:$P,'TRA RESID'!$I:$I,AY573,'TRA RESID'!$J:$J,AV573,'TRA RESID'!$H:$H,AW573)/SUMIFS('TRA RESID'!$P:$P,'TRA RESID'!$I:$I,AY573)*BG573</f>
        <v>0</v>
      </c>
      <c r="BD573" s="18"/>
      <c r="BE573" s="18"/>
      <c r="BG573" s="21">
        <v>0</v>
      </c>
    </row>
    <row r="574" spans="1:59" x14ac:dyDescent="0.25">
      <c r="C574" s="23" t="str">
        <f>IF(C573="*",C573,"")</f>
        <v>*</v>
      </c>
      <c r="D574" s="25" t="str">
        <f t="shared" si="452"/>
        <v>*ICEV*</v>
      </c>
      <c r="E574" s="25" t="str">
        <f t="shared" si="452"/>
        <v>TRAELC</v>
      </c>
      <c r="F574" s="25" t="str">
        <f t="shared" si="452"/>
        <v>TRAPASRAIDMD</v>
      </c>
      <c r="G574" s="25" t="str">
        <f t="shared" si="452"/>
        <v>TRAPASRAIDMD</v>
      </c>
      <c r="H574" s="26">
        <v>2050</v>
      </c>
      <c r="I574" s="26" t="str">
        <f>I572</f>
        <v>LO</v>
      </c>
      <c r="J574" s="26"/>
      <c r="K574" s="27">
        <f>-SUMIFS('TRA RESID'!$P:$P,'TRA RESID'!$I:$I,G574,'TRA RESID'!$J:$J,D574,'TRA RESID'!$H:$H,E574)/SUMIFS('TRA RESID'!$P:$P,'TRA RESID'!$I:$I,G574)*O574</f>
        <v>0</v>
      </c>
      <c r="L574" s="26"/>
      <c r="M574" s="26"/>
      <c r="O574" s="28">
        <v>0</v>
      </c>
      <c r="S574" s="23" t="str">
        <f>IF(S573="*",S573,"")</f>
        <v>*</v>
      </c>
      <c r="T574" s="25" t="str">
        <f t="shared" si="453"/>
        <v>*BEV*</v>
      </c>
      <c r="U574" s="25" t="str">
        <f t="shared" si="453"/>
        <v>TRAELC</v>
      </c>
      <c r="V574" s="25" t="str">
        <f t="shared" si="453"/>
        <v>TRAPASRAIDMD</v>
      </c>
      <c r="W574" s="25" t="str">
        <f t="shared" si="453"/>
        <v>TRAPASRAIDMD</v>
      </c>
      <c r="X574" s="26">
        <v>2050</v>
      </c>
      <c r="Y574" s="26" t="str">
        <f>Y572</f>
        <v>LO</v>
      </c>
      <c r="Z574" s="26"/>
      <c r="AA574" s="27">
        <f>-SUMIFS('TRA RESID'!$P:$P,'TRA RESID'!$I:$I,W574,'TRA RESID'!$J:$J,T574,'TRA RESID'!$H:$H,U574)/SUMIFS('TRA RESID'!$P:$P,'TRA RESID'!$I:$I,W574)*AE574</f>
        <v>0</v>
      </c>
      <c r="AB574" s="26"/>
      <c r="AC574" s="26"/>
      <c r="AE574" s="28">
        <v>1</v>
      </c>
      <c r="AG574" s="23" t="str">
        <f>IF(AG573="*",AG573,"")</f>
        <v>*</v>
      </c>
      <c r="AH574" s="25" t="str">
        <f t="shared" si="454"/>
        <v>*HEV*</v>
      </c>
      <c r="AI574" s="25" t="str">
        <f t="shared" si="454"/>
        <v>TRAELC</v>
      </c>
      <c r="AJ574" s="25" t="str">
        <f t="shared" si="454"/>
        <v>TRAPASRAIDMD</v>
      </c>
      <c r="AK574" s="25" t="str">
        <f t="shared" si="454"/>
        <v>TRAPASRAIDMD</v>
      </c>
      <c r="AL574" s="26">
        <v>2050</v>
      </c>
      <c r="AM574" s="26" t="str">
        <f>AM572</f>
        <v>LO</v>
      </c>
      <c r="AN574" s="26"/>
      <c r="AO574" s="27">
        <f>-SUMIFS('TRA RESID'!$P:$P,'TRA RESID'!$I:$I,AK574,'TRA RESID'!$J:$J,AH574,'TRA RESID'!$H:$H,AI574)/SUMIFS('TRA RESID'!$P:$P,'TRA RESID'!$I:$I,AK574)*AS574</f>
        <v>0</v>
      </c>
      <c r="AP574" s="26"/>
      <c r="AQ574" s="26"/>
      <c r="AS574" s="28">
        <v>0</v>
      </c>
      <c r="AU574" s="23" t="str">
        <f>IF(AU573="*",AU573,"")</f>
        <v>*</v>
      </c>
      <c r="AV574" s="25" t="str">
        <f t="shared" si="455"/>
        <v>*FCEV*</v>
      </c>
      <c r="AW574" s="25" t="str">
        <f t="shared" si="455"/>
        <v>TRAELC</v>
      </c>
      <c r="AX574" s="25" t="str">
        <f t="shared" si="455"/>
        <v>TRAPASRAIDMD</v>
      </c>
      <c r="AY574" s="25" t="str">
        <f t="shared" si="455"/>
        <v>TRAPASRAIDMD</v>
      </c>
      <c r="AZ574" s="26">
        <v>2050</v>
      </c>
      <c r="BA574" s="26" t="str">
        <f>BA572</f>
        <v>LO</v>
      </c>
      <c r="BB574" s="26"/>
      <c r="BC574" s="27">
        <f>-SUMIFS('TRA RESID'!$P:$P,'TRA RESID'!$I:$I,AY574,'TRA RESID'!$J:$J,AV574,'TRA RESID'!$H:$H,AW574)/SUMIFS('TRA RESID'!$P:$P,'TRA RESID'!$I:$I,AY574)*BG574</f>
        <v>0</v>
      </c>
      <c r="BD574" s="26"/>
      <c r="BE574" s="26"/>
      <c r="BG574" s="28">
        <v>0</v>
      </c>
    </row>
    <row r="575" spans="1:59" x14ac:dyDescent="0.25">
      <c r="A575">
        <f>A570+1</f>
        <v>115</v>
      </c>
      <c r="C575" s="15" t="str">
        <f>IF(E575="","",IF(_xlfn.XLOOKUP($A575,Selected_constraint!$A:$A,Selected_constraint!$D:$D)=1,"*",IF(SUMIFS('TRA TECH'!$M:$M,'TRA TECH'!$H:$H,E575,'TRA TECH'!$I:$I,F575)=0,"*",IF(SUMIFS('TRA RESID'!$P:$P,'TRA RESID'!$I:$I,G575,'TRA RESID'!$J:$J,D575,'TRA RESID'!$H:$H,E575)=0,"*","UC_"&amp;SUBSTITUTE(D575,"*","")&amp;"_"&amp;RIGHT(E575,3)&amp;"_"&amp;F575))))</f>
        <v>*</v>
      </c>
      <c r="D575" s="17" t="s">
        <v>485</v>
      </c>
      <c r="E575" s="17" t="str">
        <f>_xlfn.XLOOKUP($A575,Selected_constraint!$A:$A,Selected_constraint!$B:$B)</f>
        <v>TRAH2G</v>
      </c>
      <c r="F575" s="17" t="str">
        <f>_xlfn.XLOOKUP($A575,Selected_constraint!$A:$A,Selected_constraint!$C:$C)</f>
        <v>TRAPASRAIDMD</v>
      </c>
      <c r="G575" s="17" t="str">
        <f>F575</f>
        <v>TRAPASRAIDMD</v>
      </c>
      <c r="H575" s="18">
        <v>2019</v>
      </c>
      <c r="I575" s="18" t="s">
        <v>483</v>
      </c>
      <c r="J575" s="18">
        <v>1</v>
      </c>
      <c r="K575" s="20">
        <f>-SUMIFS('TRA RESID'!$P:$P,'TRA RESID'!$I:$I,G575,'TRA RESID'!$J:$J,D575,'TRA RESID'!$H:$H,E575)/SUMIFS('TRA RESID'!$P:$P,'TRA RESID'!$I:$I,G575)*O575</f>
        <v>0</v>
      </c>
      <c r="L575" s="18">
        <v>0</v>
      </c>
      <c r="M575" s="18">
        <v>5</v>
      </c>
      <c r="O575" s="21">
        <v>0.98</v>
      </c>
      <c r="Q575">
        <f>Q570+1</f>
        <v>115</v>
      </c>
      <c r="S575" s="15" t="str">
        <f>IF(SUMIFS('TRA RESID'!$P:$P,'TRA RESID'!$I:$I,W575,'TRA RESID'!$J:$J,T575,'TRA RESID'!$H:$H,U575)=0,"*","UC_"&amp;SUBSTITUTE(T575,"*","")&amp;"_"&amp;RIGHT(U575,3)&amp;"_"&amp;V575)</f>
        <v>*</v>
      </c>
      <c r="T575" s="17" t="s">
        <v>486</v>
      </c>
      <c r="U575" s="17" t="str">
        <f>_xlfn.XLOOKUP($A575,Selected_constraint!$A:$A,Selected_constraint!$B:$B)</f>
        <v>TRAH2G</v>
      </c>
      <c r="V575" s="17" t="str">
        <f>_xlfn.XLOOKUP($A575,Selected_constraint!$A:$A,Selected_constraint!$C:$C)</f>
        <v>TRAPASRAIDMD</v>
      </c>
      <c r="W575" s="17" t="str">
        <f>V575</f>
        <v>TRAPASRAIDMD</v>
      </c>
      <c r="X575" s="18">
        <v>2019</v>
      </c>
      <c r="Y575" s="18" t="s">
        <v>483</v>
      </c>
      <c r="Z575" s="18">
        <v>1</v>
      </c>
      <c r="AA575" s="20">
        <f>-SUMIFS('TRA RESID'!$P:$P,'TRA RESID'!$I:$I,W575,'TRA RESID'!$J:$J,T575,'TRA RESID'!$H:$H,U575)/SUMIFS('TRA RESID'!$P:$P,'TRA RESID'!$I:$I,W575)*AE575</f>
        <v>0</v>
      </c>
      <c r="AB575" s="18">
        <v>0</v>
      </c>
      <c r="AC575" s="18">
        <v>5</v>
      </c>
      <c r="AE575" s="21">
        <v>0.98</v>
      </c>
      <c r="AG575" s="15" t="str">
        <f>IF(SUMIFS('TRA RESID'!$P:$P,'TRA RESID'!$I:$I,AK575,'TRA RESID'!$J:$J,AH575,'TRA RESID'!$H:$H,AI575)=0,"*","UC_"&amp;SUBSTITUTE(AH575,"*","")&amp;"_"&amp;RIGHT(AI575,3)&amp;"_"&amp;AJ575)</f>
        <v>*</v>
      </c>
      <c r="AH575" s="17" t="s">
        <v>487</v>
      </c>
      <c r="AI575" s="17" t="str">
        <f>_xlfn.XLOOKUP($A575,Selected_constraint!$A:$A,Selected_constraint!$B:$B)</f>
        <v>TRAH2G</v>
      </c>
      <c r="AJ575" s="17" t="str">
        <f>_xlfn.XLOOKUP($A575,Selected_constraint!$A:$A,Selected_constraint!$C:$C)</f>
        <v>TRAPASRAIDMD</v>
      </c>
      <c r="AK575" s="17" t="str">
        <f>AJ575</f>
        <v>TRAPASRAIDMD</v>
      </c>
      <c r="AL575" s="18">
        <v>2019</v>
      </c>
      <c r="AM575" s="18" t="s">
        <v>483</v>
      </c>
      <c r="AN575" s="18">
        <v>1</v>
      </c>
      <c r="AO575" s="20">
        <f>-SUMIFS('TRA RESID'!$P:$P,'TRA RESID'!$I:$I,AK575,'TRA RESID'!$J:$J,AH575,'TRA RESID'!$H:$H,AI575)/SUMIFS('TRA RESID'!$P:$P,'TRA RESID'!$I:$I,AK575)*AS575</f>
        <v>0</v>
      </c>
      <c r="AP575" s="18">
        <v>0</v>
      </c>
      <c r="AQ575" s="18">
        <v>5</v>
      </c>
      <c r="AS575" s="21">
        <v>0.98</v>
      </c>
      <c r="AU575" s="15" t="str">
        <f>IF(SUMIFS('TRA RESID'!$P:$P,'TRA RESID'!$I:$I,AY575,'TRA RESID'!$J:$J,AV575,'TRA RESID'!$H:$H,AW575)=0,"*","UC_"&amp;SUBSTITUTE(AV575,"*","")&amp;"_"&amp;RIGHT(AW575,3)&amp;"_"&amp;AX575)</f>
        <v>*</v>
      </c>
      <c r="AV575" s="17" t="s">
        <v>488</v>
      </c>
      <c r="AW575" s="17" t="str">
        <f>_xlfn.XLOOKUP($A575,Selected_constraint!$A:$A,Selected_constraint!$B:$B)</f>
        <v>TRAH2G</v>
      </c>
      <c r="AX575" s="17" t="str">
        <f>_xlfn.XLOOKUP($A575,Selected_constraint!$A:$A,Selected_constraint!$C:$C)</f>
        <v>TRAPASRAIDMD</v>
      </c>
      <c r="AY575" s="17" t="str">
        <f>AX575</f>
        <v>TRAPASRAIDMD</v>
      </c>
      <c r="AZ575" s="18">
        <v>2019</v>
      </c>
      <c r="BA575" s="18" t="s">
        <v>483</v>
      </c>
      <c r="BB575" s="18">
        <v>1</v>
      </c>
      <c r="BC575" s="20">
        <f>-SUMIFS('TRA RESID'!$P:$P,'TRA RESID'!$I:$I,AY575,'TRA RESID'!$J:$J,AV575,'TRA RESID'!$H:$H,AW575)/SUMIFS('TRA RESID'!$P:$P,'TRA RESID'!$I:$I,AY575)*BG575</f>
        <v>0</v>
      </c>
      <c r="BD575" s="18">
        <v>0</v>
      </c>
      <c r="BE575" s="18">
        <v>5</v>
      </c>
      <c r="BG575" s="21">
        <v>0.98</v>
      </c>
    </row>
    <row r="576" spans="1:59" x14ac:dyDescent="0.25">
      <c r="C576" s="15" t="str">
        <f>IF(C575="*",C575,"")</f>
        <v>*</v>
      </c>
      <c r="D576" s="17" t="str">
        <f t="shared" ref="D576:G579" si="456">D575</f>
        <v>*ICEV*</v>
      </c>
      <c r="E576" s="17" t="str">
        <f t="shared" si="456"/>
        <v>TRAH2G</v>
      </c>
      <c r="F576" s="17" t="str">
        <f t="shared" si="456"/>
        <v>TRAPASRAIDMD</v>
      </c>
      <c r="G576" s="17" t="str">
        <f t="shared" si="456"/>
        <v>TRAPASRAIDMD</v>
      </c>
      <c r="H576" s="18">
        <v>2025</v>
      </c>
      <c r="I576" s="18" t="str">
        <f>I575</f>
        <v>LO</v>
      </c>
      <c r="J576" s="18"/>
      <c r="K576" s="20">
        <f>-SUMIFS('TRA RESID'!$P:$P,'TRA RESID'!$I:$I,G576,'TRA RESID'!$J:$J,D576,'TRA RESID'!$H:$H,E576)/SUMIFS('TRA RESID'!$P:$P,'TRA RESID'!$I:$I,G576)*O576</f>
        <v>0</v>
      </c>
      <c r="L576" s="18"/>
      <c r="M576" s="18"/>
      <c r="O576" s="21">
        <v>0.8</v>
      </c>
      <c r="S576" s="15" t="str">
        <f>IF(S575="*",S575,"")</f>
        <v>*</v>
      </c>
      <c r="T576" s="17" t="str">
        <f t="shared" ref="T576:W579" si="457">T575</f>
        <v>*BEV*</v>
      </c>
      <c r="U576" s="17" t="str">
        <f t="shared" si="457"/>
        <v>TRAH2G</v>
      </c>
      <c r="V576" s="17" t="str">
        <f t="shared" si="457"/>
        <v>TRAPASRAIDMD</v>
      </c>
      <c r="W576" s="17" t="str">
        <f t="shared" si="457"/>
        <v>TRAPASRAIDMD</v>
      </c>
      <c r="X576" s="18">
        <v>2025</v>
      </c>
      <c r="Y576" s="18" t="str">
        <f>Y575</f>
        <v>LO</v>
      </c>
      <c r="Z576" s="18"/>
      <c r="AA576" s="20">
        <f>-SUMIFS('TRA RESID'!$P:$P,'TRA RESID'!$I:$I,W576,'TRA RESID'!$J:$J,T576,'TRA RESID'!$H:$H,U576)/SUMIFS('TRA RESID'!$P:$P,'TRA RESID'!$I:$I,W576)*AE576</f>
        <v>0</v>
      </c>
      <c r="AB576" s="18"/>
      <c r="AC576" s="18"/>
      <c r="AE576" s="21">
        <v>1</v>
      </c>
      <c r="AG576" s="15" t="str">
        <f>IF(AG575="*",AG575,"")</f>
        <v>*</v>
      </c>
      <c r="AH576" s="17" t="str">
        <f t="shared" ref="AH576:AK579" si="458">AH575</f>
        <v>*HEV*</v>
      </c>
      <c r="AI576" s="17" t="str">
        <f t="shared" si="458"/>
        <v>TRAH2G</v>
      </c>
      <c r="AJ576" s="17" t="str">
        <f t="shared" si="458"/>
        <v>TRAPASRAIDMD</v>
      </c>
      <c r="AK576" s="17" t="str">
        <f t="shared" si="458"/>
        <v>TRAPASRAIDMD</v>
      </c>
      <c r="AL576" s="18">
        <v>2025</v>
      </c>
      <c r="AM576" s="18" t="str">
        <f>AM575</f>
        <v>LO</v>
      </c>
      <c r="AN576" s="18"/>
      <c r="AO576" s="20">
        <f>-SUMIFS('TRA RESID'!$P:$P,'TRA RESID'!$I:$I,AK576,'TRA RESID'!$J:$J,AH576,'TRA RESID'!$H:$H,AI576)/SUMIFS('TRA RESID'!$P:$P,'TRA RESID'!$I:$I,AK576)*AS576</f>
        <v>0</v>
      </c>
      <c r="AP576" s="18"/>
      <c r="AQ576" s="18"/>
      <c r="AS576" s="21">
        <v>0.8</v>
      </c>
      <c r="AU576" s="15" t="str">
        <f>IF(AU575="*",AU575,"")</f>
        <v>*</v>
      </c>
      <c r="AV576" s="17" t="str">
        <f t="shared" ref="AV576:AY579" si="459">AV575</f>
        <v>*FCEV*</v>
      </c>
      <c r="AW576" s="17" t="str">
        <f t="shared" si="459"/>
        <v>TRAH2G</v>
      </c>
      <c r="AX576" s="17" t="str">
        <f t="shared" si="459"/>
        <v>TRAPASRAIDMD</v>
      </c>
      <c r="AY576" s="17" t="str">
        <f t="shared" si="459"/>
        <v>TRAPASRAIDMD</v>
      </c>
      <c r="AZ576" s="18">
        <v>2025</v>
      </c>
      <c r="BA576" s="18" t="str">
        <f>BA575</f>
        <v>LO</v>
      </c>
      <c r="BB576" s="18"/>
      <c r="BC576" s="20">
        <f>-SUMIFS('TRA RESID'!$P:$P,'TRA RESID'!$I:$I,AY576,'TRA RESID'!$J:$J,AV576,'TRA RESID'!$H:$H,AW576)/SUMIFS('TRA RESID'!$P:$P,'TRA RESID'!$I:$I,AY576)*BG576</f>
        <v>0</v>
      </c>
      <c r="BD576" s="18"/>
      <c r="BE576" s="18"/>
      <c r="BG576" s="21">
        <v>0.8</v>
      </c>
    </row>
    <row r="577" spans="1:59" x14ac:dyDescent="0.25">
      <c r="C577" s="15" t="str">
        <f>IF(C576="*",C576,"")</f>
        <v>*</v>
      </c>
      <c r="D577" s="17" t="str">
        <f t="shared" si="456"/>
        <v>*ICEV*</v>
      </c>
      <c r="E577" s="17" t="str">
        <f t="shared" si="456"/>
        <v>TRAH2G</v>
      </c>
      <c r="F577" s="17" t="str">
        <f t="shared" si="456"/>
        <v>TRAPASRAIDMD</v>
      </c>
      <c r="G577" s="17" t="str">
        <f t="shared" si="456"/>
        <v>TRAPASRAIDMD</v>
      </c>
      <c r="H577" s="18">
        <v>2030</v>
      </c>
      <c r="I577" s="18" t="str">
        <f>I576</f>
        <v>LO</v>
      </c>
      <c r="J577" s="18"/>
      <c r="K577" s="20">
        <f>-SUMIFS('TRA RESID'!$P:$P,'TRA RESID'!$I:$I,G577,'TRA RESID'!$J:$J,D577,'TRA RESID'!$H:$H,E577)/SUMIFS('TRA RESID'!$P:$P,'TRA RESID'!$I:$I,G577)*O577</f>
        <v>0</v>
      </c>
      <c r="L577" s="18"/>
      <c r="M577" s="18"/>
      <c r="O577" s="21">
        <v>0.5</v>
      </c>
      <c r="S577" s="15" t="str">
        <f>IF(S576="*",S576,"")</f>
        <v>*</v>
      </c>
      <c r="T577" s="17" t="str">
        <f t="shared" si="457"/>
        <v>*BEV*</v>
      </c>
      <c r="U577" s="17" t="str">
        <f t="shared" si="457"/>
        <v>TRAH2G</v>
      </c>
      <c r="V577" s="17" t="str">
        <f t="shared" si="457"/>
        <v>TRAPASRAIDMD</v>
      </c>
      <c r="W577" s="17" t="str">
        <f t="shared" si="457"/>
        <v>TRAPASRAIDMD</v>
      </c>
      <c r="X577" s="18">
        <v>2030</v>
      </c>
      <c r="Y577" s="18" t="str">
        <f>Y576</f>
        <v>LO</v>
      </c>
      <c r="Z577" s="18"/>
      <c r="AA577" s="20">
        <f>-SUMIFS('TRA RESID'!$P:$P,'TRA RESID'!$I:$I,W577,'TRA RESID'!$J:$J,T577,'TRA RESID'!$H:$H,U577)/SUMIFS('TRA RESID'!$P:$P,'TRA RESID'!$I:$I,W577)*AE577</f>
        <v>0</v>
      </c>
      <c r="AB577" s="18"/>
      <c r="AC577" s="18"/>
      <c r="AE577" s="21">
        <v>1</v>
      </c>
      <c r="AG577" s="15" t="str">
        <f>IF(AG576="*",AG576,"")</f>
        <v>*</v>
      </c>
      <c r="AH577" s="17" t="str">
        <f t="shared" si="458"/>
        <v>*HEV*</v>
      </c>
      <c r="AI577" s="17" t="str">
        <f t="shared" si="458"/>
        <v>TRAH2G</v>
      </c>
      <c r="AJ577" s="17" t="str">
        <f t="shared" si="458"/>
        <v>TRAPASRAIDMD</v>
      </c>
      <c r="AK577" s="17" t="str">
        <f t="shared" si="458"/>
        <v>TRAPASRAIDMD</v>
      </c>
      <c r="AL577" s="18">
        <v>2030</v>
      </c>
      <c r="AM577" s="18" t="str">
        <f>AM576</f>
        <v>LO</v>
      </c>
      <c r="AN577" s="18"/>
      <c r="AO577" s="20">
        <f>-SUMIFS('TRA RESID'!$P:$P,'TRA RESID'!$I:$I,AK577,'TRA RESID'!$J:$J,AH577,'TRA RESID'!$H:$H,AI577)/SUMIFS('TRA RESID'!$P:$P,'TRA RESID'!$I:$I,AK577)*AS577</f>
        <v>0</v>
      </c>
      <c r="AP577" s="18"/>
      <c r="AQ577" s="18"/>
      <c r="AS577" s="21">
        <v>0.5</v>
      </c>
      <c r="AU577" s="15" t="str">
        <f>IF(AU576="*",AU576,"")</f>
        <v>*</v>
      </c>
      <c r="AV577" s="17" t="str">
        <f t="shared" si="459"/>
        <v>*FCEV*</v>
      </c>
      <c r="AW577" s="17" t="str">
        <f t="shared" si="459"/>
        <v>TRAH2G</v>
      </c>
      <c r="AX577" s="17" t="str">
        <f t="shared" si="459"/>
        <v>TRAPASRAIDMD</v>
      </c>
      <c r="AY577" s="17" t="str">
        <f t="shared" si="459"/>
        <v>TRAPASRAIDMD</v>
      </c>
      <c r="AZ577" s="18">
        <v>2030</v>
      </c>
      <c r="BA577" s="18" t="str">
        <f>BA576</f>
        <v>LO</v>
      </c>
      <c r="BB577" s="18"/>
      <c r="BC577" s="20">
        <f>-SUMIFS('TRA RESID'!$P:$P,'TRA RESID'!$I:$I,AY577,'TRA RESID'!$J:$J,AV577,'TRA RESID'!$H:$H,AW577)/SUMIFS('TRA RESID'!$P:$P,'TRA RESID'!$I:$I,AY577)*BG577</f>
        <v>0</v>
      </c>
      <c r="BD577" s="18"/>
      <c r="BE577" s="18"/>
      <c r="BG577" s="21">
        <v>0.5</v>
      </c>
    </row>
    <row r="578" spans="1:59" x14ac:dyDescent="0.25">
      <c r="C578" s="15" t="str">
        <f>IF(C577="*",C577,"")</f>
        <v>*</v>
      </c>
      <c r="D578" s="17" t="str">
        <f t="shared" si="456"/>
        <v>*ICEV*</v>
      </c>
      <c r="E578" s="17" t="str">
        <f t="shared" si="456"/>
        <v>TRAH2G</v>
      </c>
      <c r="F578" s="17" t="str">
        <f t="shared" si="456"/>
        <v>TRAPASRAIDMD</v>
      </c>
      <c r="G578" s="17" t="str">
        <f t="shared" si="456"/>
        <v>TRAPASRAIDMD</v>
      </c>
      <c r="H578" s="18">
        <v>2040</v>
      </c>
      <c r="I578" s="18" t="str">
        <f>I577</f>
        <v>LO</v>
      </c>
      <c r="J578" s="18"/>
      <c r="K578" s="20">
        <f>-SUMIFS('TRA RESID'!$P:$P,'TRA RESID'!$I:$I,G578,'TRA RESID'!$J:$J,D578,'TRA RESID'!$H:$H,E578)/SUMIFS('TRA RESID'!$P:$P,'TRA RESID'!$I:$I,G578)*O578</f>
        <v>0</v>
      </c>
      <c r="L578" s="18"/>
      <c r="M578" s="18"/>
      <c r="O578" s="21">
        <v>0</v>
      </c>
      <c r="S578" s="15" t="str">
        <f>IF(S577="*",S577,"")</f>
        <v>*</v>
      </c>
      <c r="T578" s="17" t="str">
        <f t="shared" si="457"/>
        <v>*BEV*</v>
      </c>
      <c r="U578" s="17" t="str">
        <f t="shared" si="457"/>
        <v>TRAH2G</v>
      </c>
      <c r="V578" s="17" t="str">
        <f t="shared" si="457"/>
        <v>TRAPASRAIDMD</v>
      </c>
      <c r="W578" s="17" t="str">
        <f t="shared" si="457"/>
        <v>TRAPASRAIDMD</v>
      </c>
      <c r="X578" s="18">
        <v>2040</v>
      </c>
      <c r="Y578" s="18" t="str">
        <f>Y577</f>
        <v>LO</v>
      </c>
      <c r="Z578" s="18"/>
      <c r="AA578" s="20">
        <f>-SUMIFS('TRA RESID'!$P:$P,'TRA RESID'!$I:$I,W578,'TRA RESID'!$J:$J,T578,'TRA RESID'!$H:$H,U578)/SUMIFS('TRA RESID'!$P:$P,'TRA RESID'!$I:$I,W578)*AE578</f>
        <v>0</v>
      </c>
      <c r="AB578" s="18"/>
      <c r="AC578" s="18"/>
      <c r="AE578" s="21">
        <v>1</v>
      </c>
      <c r="AG578" s="15" t="str">
        <f>IF(AG577="*",AG577,"")</f>
        <v>*</v>
      </c>
      <c r="AH578" s="17" t="str">
        <f t="shared" si="458"/>
        <v>*HEV*</v>
      </c>
      <c r="AI578" s="17" t="str">
        <f t="shared" si="458"/>
        <v>TRAH2G</v>
      </c>
      <c r="AJ578" s="17" t="str">
        <f t="shared" si="458"/>
        <v>TRAPASRAIDMD</v>
      </c>
      <c r="AK578" s="17" t="str">
        <f t="shared" si="458"/>
        <v>TRAPASRAIDMD</v>
      </c>
      <c r="AL578" s="18">
        <v>2040</v>
      </c>
      <c r="AM578" s="18" t="str">
        <f>AM577</f>
        <v>LO</v>
      </c>
      <c r="AN578" s="18"/>
      <c r="AO578" s="20">
        <f>-SUMIFS('TRA RESID'!$P:$P,'TRA RESID'!$I:$I,AK578,'TRA RESID'!$J:$J,AH578,'TRA RESID'!$H:$H,AI578)/SUMIFS('TRA RESID'!$P:$P,'TRA RESID'!$I:$I,AK578)*AS578</f>
        <v>0</v>
      </c>
      <c r="AP578" s="18"/>
      <c r="AQ578" s="18"/>
      <c r="AS578" s="21">
        <v>0</v>
      </c>
      <c r="AU578" s="15" t="str">
        <f>IF(AU577="*",AU577,"")</f>
        <v>*</v>
      </c>
      <c r="AV578" s="17" t="str">
        <f t="shared" si="459"/>
        <v>*FCEV*</v>
      </c>
      <c r="AW578" s="17" t="str">
        <f t="shared" si="459"/>
        <v>TRAH2G</v>
      </c>
      <c r="AX578" s="17" t="str">
        <f t="shared" si="459"/>
        <v>TRAPASRAIDMD</v>
      </c>
      <c r="AY578" s="17" t="str">
        <f t="shared" si="459"/>
        <v>TRAPASRAIDMD</v>
      </c>
      <c r="AZ578" s="18">
        <v>2040</v>
      </c>
      <c r="BA578" s="18" t="str">
        <f>BA577</f>
        <v>LO</v>
      </c>
      <c r="BB578" s="18"/>
      <c r="BC578" s="20">
        <f>-SUMIFS('TRA RESID'!$P:$P,'TRA RESID'!$I:$I,AY578,'TRA RESID'!$J:$J,AV578,'TRA RESID'!$H:$H,AW578)/SUMIFS('TRA RESID'!$P:$P,'TRA RESID'!$I:$I,AY578)*BG578</f>
        <v>0</v>
      </c>
      <c r="BD578" s="18"/>
      <c r="BE578" s="18"/>
      <c r="BG578" s="21">
        <v>0</v>
      </c>
    </row>
    <row r="579" spans="1:59" x14ac:dyDescent="0.25">
      <c r="C579" s="23" t="str">
        <f>IF(C578="*",C578,"")</f>
        <v>*</v>
      </c>
      <c r="D579" s="25" t="str">
        <f t="shared" si="456"/>
        <v>*ICEV*</v>
      </c>
      <c r="E579" s="25" t="str">
        <f t="shared" si="456"/>
        <v>TRAH2G</v>
      </c>
      <c r="F579" s="25" t="str">
        <f t="shared" si="456"/>
        <v>TRAPASRAIDMD</v>
      </c>
      <c r="G579" s="25" t="str">
        <f t="shared" si="456"/>
        <v>TRAPASRAIDMD</v>
      </c>
      <c r="H579" s="26">
        <v>2050</v>
      </c>
      <c r="I579" s="26" t="str">
        <f>I577</f>
        <v>LO</v>
      </c>
      <c r="J579" s="26"/>
      <c r="K579" s="27">
        <f>-SUMIFS('TRA RESID'!$P:$P,'TRA RESID'!$I:$I,G579,'TRA RESID'!$J:$J,D579,'TRA RESID'!$H:$H,E579)/SUMIFS('TRA RESID'!$P:$P,'TRA RESID'!$I:$I,G579)*O579</f>
        <v>0</v>
      </c>
      <c r="L579" s="26"/>
      <c r="M579" s="26"/>
      <c r="O579" s="28">
        <v>0</v>
      </c>
      <c r="S579" s="23" t="str">
        <f>IF(S578="*",S578,"")</f>
        <v>*</v>
      </c>
      <c r="T579" s="25" t="str">
        <f t="shared" si="457"/>
        <v>*BEV*</v>
      </c>
      <c r="U579" s="25" t="str">
        <f t="shared" si="457"/>
        <v>TRAH2G</v>
      </c>
      <c r="V579" s="25" t="str">
        <f t="shared" si="457"/>
        <v>TRAPASRAIDMD</v>
      </c>
      <c r="W579" s="25" t="str">
        <f t="shared" si="457"/>
        <v>TRAPASRAIDMD</v>
      </c>
      <c r="X579" s="26">
        <v>2050</v>
      </c>
      <c r="Y579" s="26" t="str">
        <f>Y577</f>
        <v>LO</v>
      </c>
      <c r="Z579" s="26"/>
      <c r="AA579" s="27">
        <f>-SUMIFS('TRA RESID'!$P:$P,'TRA RESID'!$I:$I,W579,'TRA RESID'!$J:$J,T579,'TRA RESID'!$H:$H,U579)/SUMIFS('TRA RESID'!$P:$P,'TRA RESID'!$I:$I,W579)*AE579</f>
        <v>0</v>
      </c>
      <c r="AB579" s="26"/>
      <c r="AC579" s="26"/>
      <c r="AE579" s="28">
        <v>1</v>
      </c>
      <c r="AG579" s="23" t="str">
        <f>IF(AG578="*",AG578,"")</f>
        <v>*</v>
      </c>
      <c r="AH579" s="25" t="str">
        <f t="shared" si="458"/>
        <v>*HEV*</v>
      </c>
      <c r="AI579" s="25" t="str">
        <f t="shared" si="458"/>
        <v>TRAH2G</v>
      </c>
      <c r="AJ579" s="25" t="str">
        <f t="shared" si="458"/>
        <v>TRAPASRAIDMD</v>
      </c>
      <c r="AK579" s="25" t="str">
        <f t="shared" si="458"/>
        <v>TRAPASRAIDMD</v>
      </c>
      <c r="AL579" s="26">
        <v>2050</v>
      </c>
      <c r="AM579" s="26" t="str">
        <f>AM577</f>
        <v>LO</v>
      </c>
      <c r="AN579" s="26"/>
      <c r="AO579" s="27">
        <f>-SUMIFS('TRA RESID'!$P:$P,'TRA RESID'!$I:$I,AK579,'TRA RESID'!$J:$J,AH579,'TRA RESID'!$H:$H,AI579)/SUMIFS('TRA RESID'!$P:$P,'TRA RESID'!$I:$I,AK579)*AS579</f>
        <v>0</v>
      </c>
      <c r="AP579" s="26"/>
      <c r="AQ579" s="26"/>
      <c r="AS579" s="28">
        <v>0</v>
      </c>
      <c r="AU579" s="23" t="str">
        <f>IF(AU578="*",AU578,"")</f>
        <v>*</v>
      </c>
      <c r="AV579" s="25" t="str">
        <f t="shared" si="459"/>
        <v>*FCEV*</v>
      </c>
      <c r="AW579" s="25" t="str">
        <f t="shared" si="459"/>
        <v>TRAH2G</v>
      </c>
      <c r="AX579" s="25" t="str">
        <f t="shared" si="459"/>
        <v>TRAPASRAIDMD</v>
      </c>
      <c r="AY579" s="25" t="str">
        <f t="shared" si="459"/>
        <v>TRAPASRAIDMD</v>
      </c>
      <c r="AZ579" s="26">
        <v>2050</v>
      </c>
      <c r="BA579" s="26" t="str">
        <f>BA577</f>
        <v>LO</v>
      </c>
      <c r="BB579" s="26"/>
      <c r="BC579" s="27">
        <f>-SUMIFS('TRA RESID'!$P:$P,'TRA RESID'!$I:$I,AY579,'TRA RESID'!$J:$J,AV579,'TRA RESID'!$H:$H,AW579)/SUMIFS('TRA RESID'!$P:$P,'TRA RESID'!$I:$I,AY579)*BG579</f>
        <v>0</v>
      </c>
      <c r="BD579" s="26"/>
      <c r="BE579" s="26"/>
      <c r="BG579" s="28">
        <v>0</v>
      </c>
    </row>
    <row r="580" spans="1:59" x14ac:dyDescent="0.25">
      <c r="A580">
        <f>A575+1</f>
        <v>116</v>
      </c>
      <c r="C580" s="15" t="str">
        <f>IF(E580="","",IF(_xlfn.XLOOKUP($A580,Selected_constraint!$A:$A,Selected_constraint!$D:$D)=1,"*",IF(SUMIFS('TRA TECH'!$M:$M,'TRA TECH'!$H:$H,E580,'TRA TECH'!$I:$I,F580)=0,"*",IF(SUMIFS('TRA RESID'!$P:$P,'TRA RESID'!$I:$I,G580,'TRA RESID'!$J:$J,D580,'TRA RESID'!$H:$H,E580)=0,"*","UC_"&amp;SUBSTITUTE(D580,"*","")&amp;"_"&amp;RIGHT(E580,3)&amp;"_"&amp;F580))))</f>
        <v>*</v>
      </c>
      <c r="D580" s="17" t="s">
        <v>485</v>
      </c>
      <c r="E580" s="17" t="str">
        <f>_xlfn.XLOOKUP($A580,Selected_constraint!$A:$A,Selected_constraint!$B:$B)</f>
        <v>TRADSL</v>
      </c>
      <c r="F580" s="17" t="str">
        <f>_xlfn.XLOOKUP($A580,Selected_constraint!$A:$A,Selected_constraint!$C:$C)</f>
        <v>TRAPASTRMDMD</v>
      </c>
      <c r="G580" s="17" t="str">
        <f>F580</f>
        <v>TRAPASTRMDMD</v>
      </c>
      <c r="H580" s="18">
        <v>2019</v>
      </c>
      <c r="I580" s="18" t="s">
        <v>483</v>
      </c>
      <c r="J580" s="18">
        <v>1</v>
      </c>
      <c r="K580" s="20" t="e">
        <f>-SUMIFS('TRA RESID'!$P:$P,'TRA RESID'!$I:$I,G580,'TRA RESID'!$J:$J,D580,'TRA RESID'!$H:$H,E580)/SUMIFS('TRA RESID'!$P:$P,'TRA RESID'!$I:$I,G580)*O580</f>
        <v>#DIV/0!</v>
      </c>
      <c r="L580" s="18">
        <v>0</v>
      </c>
      <c r="M580" s="18">
        <v>5</v>
      </c>
      <c r="O580" s="21">
        <v>0.98</v>
      </c>
      <c r="Q580">
        <f>Q575+1</f>
        <v>116</v>
      </c>
      <c r="S580" s="15" t="str">
        <f>IF(SUMIFS('TRA RESID'!$P:$P,'TRA RESID'!$I:$I,W580,'TRA RESID'!$J:$J,T580,'TRA RESID'!$H:$H,U580)=0,"*","UC_"&amp;SUBSTITUTE(T580,"*","")&amp;"_"&amp;RIGHT(U580,3)&amp;"_"&amp;V580)</f>
        <v>*</v>
      </c>
      <c r="T580" s="17" t="s">
        <v>486</v>
      </c>
      <c r="U580" s="17" t="str">
        <f>_xlfn.XLOOKUP($A580,Selected_constraint!$A:$A,Selected_constraint!$B:$B)</f>
        <v>TRADSL</v>
      </c>
      <c r="V580" s="17" t="str">
        <f>_xlfn.XLOOKUP($A580,Selected_constraint!$A:$A,Selected_constraint!$C:$C)</f>
        <v>TRAPASTRMDMD</v>
      </c>
      <c r="W580" s="17" t="str">
        <f>V580</f>
        <v>TRAPASTRMDMD</v>
      </c>
      <c r="X580" s="18">
        <v>2019</v>
      </c>
      <c r="Y580" s="18" t="s">
        <v>483</v>
      </c>
      <c r="Z580" s="18">
        <v>1</v>
      </c>
      <c r="AA580" s="20" t="e">
        <f>-SUMIFS('TRA RESID'!$P:$P,'TRA RESID'!$I:$I,W580,'TRA RESID'!$J:$J,T580,'TRA RESID'!$H:$H,U580)/SUMIFS('TRA RESID'!$P:$P,'TRA RESID'!$I:$I,W580)*AE580</f>
        <v>#DIV/0!</v>
      </c>
      <c r="AB580" s="18">
        <v>0</v>
      </c>
      <c r="AC580" s="18">
        <v>5</v>
      </c>
      <c r="AE580" s="21">
        <v>0.98</v>
      </c>
      <c r="AG580" s="15" t="str">
        <f>IF(SUMIFS('TRA RESID'!$P:$P,'TRA RESID'!$I:$I,AK580,'TRA RESID'!$J:$J,AH580,'TRA RESID'!$H:$H,AI580)=0,"*","UC_"&amp;SUBSTITUTE(AH580,"*","")&amp;"_"&amp;RIGHT(AI580,3)&amp;"_"&amp;AJ580)</f>
        <v>*</v>
      </c>
      <c r="AH580" s="17" t="s">
        <v>487</v>
      </c>
      <c r="AI580" s="17" t="str">
        <f>_xlfn.XLOOKUP($A580,Selected_constraint!$A:$A,Selected_constraint!$B:$B)</f>
        <v>TRADSL</v>
      </c>
      <c r="AJ580" s="17" t="str">
        <f>_xlfn.XLOOKUP($A580,Selected_constraint!$A:$A,Selected_constraint!$C:$C)</f>
        <v>TRAPASTRMDMD</v>
      </c>
      <c r="AK580" s="17" t="str">
        <f>AJ580</f>
        <v>TRAPASTRMDMD</v>
      </c>
      <c r="AL580" s="18">
        <v>2019</v>
      </c>
      <c r="AM580" s="18" t="s">
        <v>483</v>
      </c>
      <c r="AN580" s="18">
        <v>1</v>
      </c>
      <c r="AO580" s="20" t="e">
        <f>-SUMIFS('TRA RESID'!$P:$P,'TRA RESID'!$I:$I,AK580,'TRA RESID'!$J:$J,AH580,'TRA RESID'!$H:$H,AI580)/SUMIFS('TRA RESID'!$P:$P,'TRA RESID'!$I:$I,AK580)*AS580</f>
        <v>#DIV/0!</v>
      </c>
      <c r="AP580" s="18">
        <v>0</v>
      </c>
      <c r="AQ580" s="18">
        <v>5</v>
      </c>
      <c r="AS580" s="21">
        <v>0.98</v>
      </c>
      <c r="AU580" s="15" t="str">
        <f>IF(SUMIFS('TRA RESID'!$P:$P,'TRA RESID'!$I:$I,AY580,'TRA RESID'!$J:$J,AV580,'TRA RESID'!$H:$H,AW580)=0,"*","UC_"&amp;SUBSTITUTE(AV580,"*","")&amp;"_"&amp;RIGHT(AW580,3)&amp;"_"&amp;AX580)</f>
        <v>*</v>
      </c>
      <c r="AV580" s="17" t="s">
        <v>488</v>
      </c>
      <c r="AW580" s="17" t="str">
        <f>_xlfn.XLOOKUP($A580,Selected_constraint!$A:$A,Selected_constraint!$B:$B)</f>
        <v>TRADSL</v>
      </c>
      <c r="AX580" s="17" t="str">
        <f>_xlfn.XLOOKUP($A580,Selected_constraint!$A:$A,Selected_constraint!$C:$C)</f>
        <v>TRAPASTRMDMD</v>
      </c>
      <c r="AY580" s="17" t="str">
        <f>AX580</f>
        <v>TRAPASTRMDMD</v>
      </c>
      <c r="AZ580" s="18">
        <v>2019</v>
      </c>
      <c r="BA580" s="18" t="s">
        <v>483</v>
      </c>
      <c r="BB580" s="18">
        <v>1</v>
      </c>
      <c r="BC580" s="20" t="e">
        <f>-SUMIFS('TRA RESID'!$P:$P,'TRA RESID'!$I:$I,AY580,'TRA RESID'!$J:$J,AV580,'TRA RESID'!$H:$H,AW580)/SUMIFS('TRA RESID'!$P:$P,'TRA RESID'!$I:$I,AY580)*BG580</f>
        <v>#DIV/0!</v>
      </c>
      <c r="BD580" s="18">
        <v>0</v>
      </c>
      <c r="BE580" s="18">
        <v>5</v>
      </c>
      <c r="BG580" s="21">
        <v>0.98</v>
      </c>
    </row>
    <row r="581" spans="1:59" x14ac:dyDescent="0.25">
      <c r="C581" s="15" t="str">
        <f>IF(C580="*",C580,"")</f>
        <v>*</v>
      </c>
      <c r="D581" s="17" t="str">
        <f t="shared" ref="D581:G584" si="460">D580</f>
        <v>*ICEV*</v>
      </c>
      <c r="E581" s="17" t="str">
        <f t="shared" si="460"/>
        <v>TRADSL</v>
      </c>
      <c r="F581" s="17" t="str">
        <f t="shared" si="460"/>
        <v>TRAPASTRMDMD</v>
      </c>
      <c r="G581" s="17" t="str">
        <f t="shared" si="460"/>
        <v>TRAPASTRMDMD</v>
      </c>
      <c r="H581" s="18">
        <v>2025</v>
      </c>
      <c r="I581" s="18" t="str">
        <f>I580</f>
        <v>LO</v>
      </c>
      <c r="J581" s="18"/>
      <c r="K581" s="20" t="e">
        <f>-SUMIFS('TRA RESID'!$P:$P,'TRA RESID'!$I:$I,G581,'TRA RESID'!$J:$J,D581,'TRA RESID'!$H:$H,E581)/SUMIFS('TRA RESID'!$P:$P,'TRA RESID'!$I:$I,G581)*O581</f>
        <v>#DIV/0!</v>
      </c>
      <c r="L581" s="18"/>
      <c r="M581" s="18"/>
      <c r="O581" s="21">
        <v>0.8</v>
      </c>
      <c r="S581" s="15" t="str">
        <f>IF(S580="*",S580,"")</f>
        <v>*</v>
      </c>
      <c r="T581" s="17" t="str">
        <f t="shared" ref="T581:W584" si="461">T580</f>
        <v>*BEV*</v>
      </c>
      <c r="U581" s="17" t="str">
        <f t="shared" si="461"/>
        <v>TRADSL</v>
      </c>
      <c r="V581" s="17" t="str">
        <f t="shared" si="461"/>
        <v>TRAPASTRMDMD</v>
      </c>
      <c r="W581" s="17" t="str">
        <f t="shared" si="461"/>
        <v>TRAPASTRMDMD</v>
      </c>
      <c r="X581" s="18">
        <v>2025</v>
      </c>
      <c r="Y581" s="18" t="str">
        <f>Y580</f>
        <v>LO</v>
      </c>
      <c r="Z581" s="18"/>
      <c r="AA581" s="20" t="e">
        <f>-SUMIFS('TRA RESID'!$P:$P,'TRA RESID'!$I:$I,W581,'TRA RESID'!$J:$J,T581,'TRA RESID'!$H:$H,U581)/SUMIFS('TRA RESID'!$P:$P,'TRA RESID'!$I:$I,W581)*AE581</f>
        <v>#DIV/0!</v>
      </c>
      <c r="AB581" s="18"/>
      <c r="AC581" s="18"/>
      <c r="AE581" s="21">
        <v>1</v>
      </c>
      <c r="AG581" s="15" t="str">
        <f>IF(AG580="*",AG580,"")</f>
        <v>*</v>
      </c>
      <c r="AH581" s="17" t="str">
        <f t="shared" ref="AH581:AK584" si="462">AH580</f>
        <v>*HEV*</v>
      </c>
      <c r="AI581" s="17" t="str">
        <f t="shared" si="462"/>
        <v>TRADSL</v>
      </c>
      <c r="AJ581" s="17" t="str">
        <f t="shared" si="462"/>
        <v>TRAPASTRMDMD</v>
      </c>
      <c r="AK581" s="17" t="str">
        <f t="shared" si="462"/>
        <v>TRAPASTRMDMD</v>
      </c>
      <c r="AL581" s="18">
        <v>2025</v>
      </c>
      <c r="AM581" s="18" t="str">
        <f>AM580</f>
        <v>LO</v>
      </c>
      <c r="AN581" s="18"/>
      <c r="AO581" s="20" t="e">
        <f>-SUMIFS('TRA RESID'!$P:$P,'TRA RESID'!$I:$I,AK581,'TRA RESID'!$J:$J,AH581,'TRA RESID'!$H:$H,AI581)/SUMIFS('TRA RESID'!$P:$P,'TRA RESID'!$I:$I,AK581)*AS581</f>
        <v>#DIV/0!</v>
      </c>
      <c r="AP581" s="18"/>
      <c r="AQ581" s="18"/>
      <c r="AS581" s="21">
        <v>0.8</v>
      </c>
      <c r="AU581" s="15" t="str">
        <f>IF(AU580="*",AU580,"")</f>
        <v>*</v>
      </c>
      <c r="AV581" s="17" t="str">
        <f t="shared" ref="AV581:AY584" si="463">AV580</f>
        <v>*FCEV*</v>
      </c>
      <c r="AW581" s="17" t="str">
        <f t="shared" si="463"/>
        <v>TRADSL</v>
      </c>
      <c r="AX581" s="17" t="str">
        <f t="shared" si="463"/>
        <v>TRAPASTRMDMD</v>
      </c>
      <c r="AY581" s="17" t="str">
        <f t="shared" si="463"/>
        <v>TRAPASTRMDMD</v>
      </c>
      <c r="AZ581" s="18">
        <v>2025</v>
      </c>
      <c r="BA581" s="18" t="str">
        <f>BA580</f>
        <v>LO</v>
      </c>
      <c r="BB581" s="18"/>
      <c r="BC581" s="20" t="e">
        <f>-SUMIFS('TRA RESID'!$P:$P,'TRA RESID'!$I:$I,AY581,'TRA RESID'!$J:$J,AV581,'TRA RESID'!$H:$H,AW581)/SUMIFS('TRA RESID'!$P:$P,'TRA RESID'!$I:$I,AY581)*BG581</f>
        <v>#DIV/0!</v>
      </c>
      <c r="BD581" s="18"/>
      <c r="BE581" s="18"/>
      <c r="BG581" s="21">
        <v>0.8</v>
      </c>
    </row>
    <row r="582" spans="1:59" x14ac:dyDescent="0.25">
      <c r="C582" s="15" t="str">
        <f>IF(C581="*",C581,"")</f>
        <v>*</v>
      </c>
      <c r="D582" s="17" t="str">
        <f t="shared" si="460"/>
        <v>*ICEV*</v>
      </c>
      <c r="E582" s="17" t="str">
        <f t="shared" si="460"/>
        <v>TRADSL</v>
      </c>
      <c r="F582" s="17" t="str">
        <f t="shared" si="460"/>
        <v>TRAPASTRMDMD</v>
      </c>
      <c r="G582" s="17" t="str">
        <f t="shared" si="460"/>
        <v>TRAPASTRMDMD</v>
      </c>
      <c r="H582" s="18">
        <v>2030</v>
      </c>
      <c r="I582" s="18" t="str">
        <f>I581</f>
        <v>LO</v>
      </c>
      <c r="J582" s="18"/>
      <c r="K582" s="20" t="e">
        <f>-SUMIFS('TRA RESID'!$P:$P,'TRA RESID'!$I:$I,G582,'TRA RESID'!$J:$J,D582,'TRA RESID'!$H:$H,E582)/SUMIFS('TRA RESID'!$P:$P,'TRA RESID'!$I:$I,G582)*O582</f>
        <v>#DIV/0!</v>
      </c>
      <c r="L582" s="18"/>
      <c r="M582" s="18"/>
      <c r="O582" s="21">
        <v>0.5</v>
      </c>
      <c r="S582" s="15" t="str">
        <f>IF(S581="*",S581,"")</f>
        <v>*</v>
      </c>
      <c r="T582" s="17" t="str">
        <f t="shared" si="461"/>
        <v>*BEV*</v>
      </c>
      <c r="U582" s="17" t="str">
        <f t="shared" si="461"/>
        <v>TRADSL</v>
      </c>
      <c r="V582" s="17" t="str">
        <f t="shared" si="461"/>
        <v>TRAPASTRMDMD</v>
      </c>
      <c r="W582" s="17" t="str">
        <f t="shared" si="461"/>
        <v>TRAPASTRMDMD</v>
      </c>
      <c r="X582" s="18">
        <v>2030</v>
      </c>
      <c r="Y582" s="18" t="str">
        <f>Y581</f>
        <v>LO</v>
      </c>
      <c r="Z582" s="18"/>
      <c r="AA582" s="20" t="e">
        <f>-SUMIFS('TRA RESID'!$P:$P,'TRA RESID'!$I:$I,W582,'TRA RESID'!$J:$J,T582,'TRA RESID'!$H:$H,U582)/SUMIFS('TRA RESID'!$P:$P,'TRA RESID'!$I:$I,W582)*AE582</f>
        <v>#DIV/0!</v>
      </c>
      <c r="AB582" s="18"/>
      <c r="AC582" s="18"/>
      <c r="AE582" s="21">
        <v>1</v>
      </c>
      <c r="AG582" s="15" t="str">
        <f>IF(AG581="*",AG581,"")</f>
        <v>*</v>
      </c>
      <c r="AH582" s="17" t="str">
        <f t="shared" si="462"/>
        <v>*HEV*</v>
      </c>
      <c r="AI582" s="17" t="str">
        <f t="shared" si="462"/>
        <v>TRADSL</v>
      </c>
      <c r="AJ582" s="17" t="str">
        <f t="shared" si="462"/>
        <v>TRAPASTRMDMD</v>
      </c>
      <c r="AK582" s="17" t="str">
        <f t="shared" si="462"/>
        <v>TRAPASTRMDMD</v>
      </c>
      <c r="AL582" s="18">
        <v>2030</v>
      </c>
      <c r="AM582" s="18" t="str">
        <f>AM581</f>
        <v>LO</v>
      </c>
      <c r="AN582" s="18"/>
      <c r="AO582" s="20" t="e">
        <f>-SUMIFS('TRA RESID'!$P:$P,'TRA RESID'!$I:$I,AK582,'TRA RESID'!$J:$J,AH582,'TRA RESID'!$H:$H,AI582)/SUMIFS('TRA RESID'!$P:$P,'TRA RESID'!$I:$I,AK582)*AS582</f>
        <v>#DIV/0!</v>
      </c>
      <c r="AP582" s="18"/>
      <c r="AQ582" s="18"/>
      <c r="AS582" s="21">
        <v>0.5</v>
      </c>
      <c r="AU582" s="15" t="str">
        <f>IF(AU581="*",AU581,"")</f>
        <v>*</v>
      </c>
      <c r="AV582" s="17" t="str">
        <f t="shared" si="463"/>
        <v>*FCEV*</v>
      </c>
      <c r="AW582" s="17" t="str">
        <f t="shared" si="463"/>
        <v>TRADSL</v>
      </c>
      <c r="AX582" s="17" t="str">
        <f t="shared" si="463"/>
        <v>TRAPASTRMDMD</v>
      </c>
      <c r="AY582" s="17" t="str">
        <f t="shared" si="463"/>
        <v>TRAPASTRMDMD</v>
      </c>
      <c r="AZ582" s="18">
        <v>2030</v>
      </c>
      <c r="BA582" s="18" t="str">
        <f>BA581</f>
        <v>LO</v>
      </c>
      <c r="BB582" s="18"/>
      <c r="BC582" s="20" t="e">
        <f>-SUMIFS('TRA RESID'!$P:$P,'TRA RESID'!$I:$I,AY582,'TRA RESID'!$J:$J,AV582,'TRA RESID'!$H:$H,AW582)/SUMIFS('TRA RESID'!$P:$P,'TRA RESID'!$I:$I,AY582)*BG582</f>
        <v>#DIV/0!</v>
      </c>
      <c r="BD582" s="18"/>
      <c r="BE582" s="18"/>
      <c r="BG582" s="21">
        <v>0.5</v>
      </c>
    </row>
    <row r="583" spans="1:59" x14ac:dyDescent="0.25">
      <c r="C583" s="15" t="str">
        <f>IF(C582="*",C582,"")</f>
        <v>*</v>
      </c>
      <c r="D583" s="17" t="str">
        <f t="shared" si="460"/>
        <v>*ICEV*</v>
      </c>
      <c r="E583" s="17" t="str">
        <f t="shared" si="460"/>
        <v>TRADSL</v>
      </c>
      <c r="F583" s="17" t="str">
        <f t="shared" si="460"/>
        <v>TRAPASTRMDMD</v>
      </c>
      <c r="G583" s="17" t="str">
        <f t="shared" si="460"/>
        <v>TRAPASTRMDMD</v>
      </c>
      <c r="H583" s="18">
        <v>2040</v>
      </c>
      <c r="I583" s="18" t="str">
        <f>I582</f>
        <v>LO</v>
      </c>
      <c r="J583" s="18"/>
      <c r="K583" s="20" t="e">
        <f>-SUMIFS('TRA RESID'!$P:$P,'TRA RESID'!$I:$I,G583,'TRA RESID'!$J:$J,D583,'TRA RESID'!$H:$H,E583)/SUMIFS('TRA RESID'!$P:$P,'TRA RESID'!$I:$I,G583)*O583</f>
        <v>#DIV/0!</v>
      </c>
      <c r="L583" s="18"/>
      <c r="M583" s="18"/>
      <c r="O583" s="21">
        <v>0</v>
      </c>
      <c r="S583" s="15" t="str">
        <f>IF(S582="*",S582,"")</f>
        <v>*</v>
      </c>
      <c r="T583" s="17" t="str">
        <f t="shared" si="461"/>
        <v>*BEV*</v>
      </c>
      <c r="U583" s="17" t="str">
        <f t="shared" si="461"/>
        <v>TRADSL</v>
      </c>
      <c r="V583" s="17" t="str">
        <f t="shared" si="461"/>
        <v>TRAPASTRMDMD</v>
      </c>
      <c r="W583" s="17" t="str">
        <f t="shared" si="461"/>
        <v>TRAPASTRMDMD</v>
      </c>
      <c r="X583" s="18">
        <v>2040</v>
      </c>
      <c r="Y583" s="18" t="str">
        <f>Y582</f>
        <v>LO</v>
      </c>
      <c r="Z583" s="18"/>
      <c r="AA583" s="20" t="e">
        <f>-SUMIFS('TRA RESID'!$P:$P,'TRA RESID'!$I:$I,W583,'TRA RESID'!$J:$J,T583,'TRA RESID'!$H:$H,U583)/SUMIFS('TRA RESID'!$P:$P,'TRA RESID'!$I:$I,W583)*AE583</f>
        <v>#DIV/0!</v>
      </c>
      <c r="AB583" s="18"/>
      <c r="AC583" s="18"/>
      <c r="AE583" s="21">
        <v>1</v>
      </c>
      <c r="AG583" s="15" t="str">
        <f>IF(AG582="*",AG582,"")</f>
        <v>*</v>
      </c>
      <c r="AH583" s="17" t="str">
        <f t="shared" si="462"/>
        <v>*HEV*</v>
      </c>
      <c r="AI583" s="17" t="str">
        <f t="shared" si="462"/>
        <v>TRADSL</v>
      </c>
      <c r="AJ583" s="17" t="str">
        <f t="shared" si="462"/>
        <v>TRAPASTRMDMD</v>
      </c>
      <c r="AK583" s="17" t="str">
        <f t="shared" si="462"/>
        <v>TRAPASTRMDMD</v>
      </c>
      <c r="AL583" s="18">
        <v>2040</v>
      </c>
      <c r="AM583" s="18" t="str">
        <f>AM582</f>
        <v>LO</v>
      </c>
      <c r="AN583" s="18"/>
      <c r="AO583" s="20" t="e">
        <f>-SUMIFS('TRA RESID'!$P:$P,'TRA RESID'!$I:$I,AK583,'TRA RESID'!$J:$J,AH583,'TRA RESID'!$H:$H,AI583)/SUMIFS('TRA RESID'!$P:$P,'TRA RESID'!$I:$I,AK583)*AS583</f>
        <v>#DIV/0!</v>
      </c>
      <c r="AP583" s="18"/>
      <c r="AQ583" s="18"/>
      <c r="AS583" s="21">
        <v>0</v>
      </c>
      <c r="AU583" s="15" t="str">
        <f>IF(AU582="*",AU582,"")</f>
        <v>*</v>
      </c>
      <c r="AV583" s="17" t="str">
        <f t="shared" si="463"/>
        <v>*FCEV*</v>
      </c>
      <c r="AW583" s="17" t="str">
        <f t="shared" si="463"/>
        <v>TRADSL</v>
      </c>
      <c r="AX583" s="17" t="str">
        <f t="shared" si="463"/>
        <v>TRAPASTRMDMD</v>
      </c>
      <c r="AY583" s="17" t="str">
        <f t="shared" si="463"/>
        <v>TRAPASTRMDMD</v>
      </c>
      <c r="AZ583" s="18">
        <v>2040</v>
      </c>
      <c r="BA583" s="18" t="str">
        <f>BA582</f>
        <v>LO</v>
      </c>
      <c r="BB583" s="18"/>
      <c r="BC583" s="20" t="e">
        <f>-SUMIFS('TRA RESID'!$P:$P,'TRA RESID'!$I:$I,AY583,'TRA RESID'!$J:$J,AV583,'TRA RESID'!$H:$H,AW583)/SUMIFS('TRA RESID'!$P:$P,'TRA RESID'!$I:$I,AY583)*BG583</f>
        <v>#DIV/0!</v>
      </c>
      <c r="BD583" s="18"/>
      <c r="BE583" s="18"/>
      <c r="BG583" s="21">
        <v>0</v>
      </c>
    </row>
    <row r="584" spans="1:59" x14ac:dyDescent="0.25">
      <c r="C584" s="23" t="str">
        <f>IF(C583="*",C583,"")</f>
        <v>*</v>
      </c>
      <c r="D584" s="25" t="str">
        <f t="shared" si="460"/>
        <v>*ICEV*</v>
      </c>
      <c r="E584" s="25" t="str">
        <f t="shared" si="460"/>
        <v>TRADSL</v>
      </c>
      <c r="F584" s="25" t="str">
        <f t="shared" si="460"/>
        <v>TRAPASTRMDMD</v>
      </c>
      <c r="G584" s="25" t="str">
        <f t="shared" si="460"/>
        <v>TRAPASTRMDMD</v>
      </c>
      <c r="H584" s="26">
        <v>2050</v>
      </c>
      <c r="I584" s="26" t="str">
        <f>I582</f>
        <v>LO</v>
      </c>
      <c r="J584" s="26"/>
      <c r="K584" s="27" t="e">
        <f>-SUMIFS('TRA RESID'!$P:$P,'TRA RESID'!$I:$I,G584,'TRA RESID'!$J:$J,D584,'TRA RESID'!$H:$H,E584)/SUMIFS('TRA RESID'!$P:$P,'TRA RESID'!$I:$I,G584)*O584</f>
        <v>#DIV/0!</v>
      </c>
      <c r="L584" s="26"/>
      <c r="M584" s="26"/>
      <c r="O584" s="28">
        <v>0</v>
      </c>
      <c r="S584" s="23" t="str">
        <f>IF(S583="*",S583,"")</f>
        <v>*</v>
      </c>
      <c r="T584" s="25" t="str">
        <f t="shared" si="461"/>
        <v>*BEV*</v>
      </c>
      <c r="U584" s="25" t="str">
        <f t="shared" si="461"/>
        <v>TRADSL</v>
      </c>
      <c r="V584" s="25" t="str">
        <f t="shared" si="461"/>
        <v>TRAPASTRMDMD</v>
      </c>
      <c r="W584" s="25" t="str">
        <f t="shared" si="461"/>
        <v>TRAPASTRMDMD</v>
      </c>
      <c r="X584" s="26">
        <v>2050</v>
      </c>
      <c r="Y584" s="26" t="str">
        <f>Y582</f>
        <v>LO</v>
      </c>
      <c r="Z584" s="26"/>
      <c r="AA584" s="27" t="e">
        <f>-SUMIFS('TRA RESID'!$P:$P,'TRA RESID'!$I:$I,W584,'TRA RESID'!$J:$J,T584,'TRA RESID'!$H:$H,U584)/SUMIFS('TRA RESID'!$P:$P,'TRA RESID'!$I:$I,W584)*AE584</f>
        <v>#DIV/0!</v>
      </c>
      <c r="AB584" s="26"/>
      <c r="AC584" s="26"/>
      <c r="AE584" s="28">
        <v>1</v>
      </c>
      <c r="AG584" s="23" t="str">
        <f>IF(AG583="*",AG583,"")</f>
        <v>*</v>
      </c>
      <c r="AH584" s="25" t="str">
        <f t="shared" si="462"/>
        <v>*HEV*</v>
      </c>
      <c r="AI584" s="25" t="str">
        <f t="shared" si="462"/>
        <v>TRADSL</v>
      </c>
      <c r="AJ584" s="25" t="str">
        <f t="shared" si="462"/>
        <v>TRAPASTRMDMD</v>
      </c>
      <c r="AK584" s="25" t="str">
        <f t="shared" si="462"/>
        <v>TRAPASTRMDMD</v>
      </c>
      <c r="AL584" s="26">
        <v>2050</v>
      </c>
      <c r="AM584" s="26" t="str">
        <f>AM582</f>
        <v>LO</v>
      </c>
      <c r="AN584" s="26"/>
      <c r="AO584" s="27" t="e">
        <f>-SUMIFS('TRA RESID'!$P:$P,'TRA RESID'!$I:$I,AK584,'TRA RESID'!$J:$J,AH584,'TRA RESID'!$H:$H,AI584)/SUMIFS('TRA RESID'!$P:$P,'TRA RESID'!$I:$I,AK584)*AS584</f>
        <v>#DIV/0!</v>
      </c>
      <c r="AP584" s="26"/>
      <c r="AQ584" s="26"/>
      <c r="AS584" s="28">
        <v>0</v>
      </c>
      <c r="AU584" s="23" t="str">
        <f>IF(AU583="*",AU583,"")</f>
        <v>*</v>
      </c>
      <c r="AV584" s="25" t="str">
        <f t="shared" si="463"/>
        <v>*FCEV*</v>
      </c>
      <c r="AW584" s="25" t="str">
        <f t="shared" si="463"/>
        <v>TRADSL</v>
      </c>
      <c r="AX584" s="25" t="str">
        <f t="shared" si="463"/>
        <v>TRAPASTRMDMD</v>
      </c>
      <c r="AY584" s="25" t="str">
        <f t="shared" si="463"/>
        <v>TRAPASTRMDMD</v>
      </c>
      <c r="AZ584" s="26">
        <v>2050</v>
      </c>
      <c r="BA584" s="26" t="str">
        <f>BA582</f>
        <v>LO</v>
      </c>
      <c r="BB584" s="26"/>
      <c r="BC584" s="27" t="e">
        <f>-SUMIFS('TRA RESID'!$P:$P,'TRA RESID'!$I:$I,AY584,'TRA RESID'!$J:$J,AV584,'TRA RESID'!$H:$H,AW584)/SUMIFS('TRA RESID'!$P:$P,'TRA RESID'!$I:$I,AY584)*BG584</f>
        <v>#DIV/0!</v>
      </c>
      <c r="BD584" s="26"/>
      <c r="BE584" s="26"/>
      <c r="BG584" s="28">
        <v>0</v>
      </c>
    </row>
    <row r="585" spans="1:59" x14ac:dyDescent="0.25">
      <c r="A585">
        <f>A580+1</f>
        <v>117</v>
      </c>
      <c r="C585" s="15" t="str">
        <f>IF(E585="","",IF(_xlfn.XLOOKUP($A585,Selected_constraint!$A:$A,Selected_constraint!$D:$D)=1,"*",IF(SUMIFS('TRA TECH'!$M:$M,'TRA TECH'!$H:$H,E585,'TRA TECH'!$I:$I,F585)=0,"*",IF(SUMIFS('TRA RESID'!$P:$P,'TRA RESID'!$I:$I,G585,'TRA RESID'!$J:$J,D585,'TRA RESID'!$H:$H,E585)=0,"*","UC_"&amp;SUBSTITUTE(D585,"*","")&amp;"_"&amp;RIGHT(E585,3)&amp;"_"&amp;F585))))</f>
        <v>*</v>
      </c>
      <c r="D585" s="17" t="s">
        <v>485</v>
      </c>
      <c r="E585" s="17" t="str">
        <f>_xlfn.XLOOKUP($A585,Selected_constraint!$A:$A,Selected_constraint!$B:$B)</f>
        <v>TRARDS</v>
      </c>
      <c r="F585" s="17" t="str">
        <f>_xlfn.XLOOKUP($A585,Selected_constraint!$A:$A,Selected_constraint!$C:$C)</f>
        <v>TRAPASTRMDMD</v>
      </c>
      <c r="G585" s="17" t="str">
        <f>F585</f>
        <v>TRAPASTRMDMD</v>
      </c>
      <c r="H585" s="18">
        <v>2019</v>
      </c>
      <c r="I585" s="18" t="s">
        <v>483</v>
      </c>
      <c r="J585" s="18">
        <v>1</v>
      </c>
      <c r="K585" s="20" t="e">
        <f>-SUMIFS('TRA RESID'!$P:$P,'TRA RESID'!$I:$I,G585,'TRA RESID'!$J:$J,D585,'TRA RESID'!$H:$H,E585)/SUMIFS('TRA RESID'!$P:$P,'TRA RESID'!$I:$I,G585)*O585</f>
        <v>#DIV/0!</v>
      </c>
      <c r="L585" s="18">
        <v>0</v>
      </c>
      <c r="M585" s="18">
        <v>5</v>
      </c>
      <c r="O585" s="21">
        <v>0.98</v>
      </c>
      <c r="Q585">
        <f>Q580+1</f>
        <v>117</v>
      </c>
      <c r="S585" s="15" t="str">
        <f>IF(SUMIFS('TRA RESID'!$P:$P,'TRA RESID'!$I:$I,W585,'TRA RESID'!$J:$J,T585,'TRA RESID'!$H:$H,U585)=0,"*","UC_"&amp;SUBSTITUTE(T585,"*","")&amp;"_"&amp;RIGHT(U585,3)&amp;"_"&amp;V585)</f>
        <v>*</v>
      </c>
      <c r="T585" s="17" t="s">
        <v>486</v>
      </c>
      <c r="U585" s="17" t="str">
        <f>_xlfn.XLOOKUP($A585,Selected_constraint!$A:$A,Selected_constraint!$B:$B)</f>
        <v>TRARDS</v>
      </c>
      <c r="V585" s="17" t="str">
        <f>_xlfn.XLOOKUP($A585,Selected_constraint!$A:$A,Selected_constraint!$C:$C)</f>
        <v>TRAPASTRMDMD</v>
      </c>
      <c r="W585" s="17" t="str">
        <f>V585</f>
        <v>TRAPASTRMDMD</v>
      </c>
      <c r="X585" s="18">
        <v>2019</v>
      </c>
      <c r="Y585" s="18" t="s">
        <v>483</v>
      </c>
      <c r="Z585" s="18">
        <v>1</v>
      </c>
      <c r="AA585" s="20" t="e">
        <f>-SUMIFS('TRA RESID'!$P:$P,'TRA RESID'!$I:$I,W585,'TRA RESID'!$J:$J,T585,'TRA RESID'!$H:$H,U585)/SUMIFS('TRA RESID'!$P:$P,'TRA RESID'!$I:$I,W585)*AE585</f>
        <v>#DIV/0!</v>
      </c>
      <c r="AB585" s="18">
        <v>0</v>
      </c>
      <c r="AC585" s="18">
        <v>5</v>
      </c>
      <c r="AE585" s="21">
        <v>0.98</v>
      </c>
      <c r="AG585" s="15" t="str">
        <f>IF(SUMIFS('TRA RESID'!$P:$P,'TRA RESID'!$I:$I,AK585,'TRA RESID'!$J:$J,AH585,'TRA RESID'!$H:$H,AI585)=0,"*","UC_"&amp;SUBSTITUTE(AH585,"*","")&amp;"_"&amp;RIGHT(AI585,3)&amp;"_"&amp;AJ585)</f>
        <v>*</v>
      </c>
      <c r="AH585" s="17" t="s">
        <v>487</v>
      </c>
      <c r="AI585" s="17" t="str">
        <f>_xlfn.XLOOKUP($A585,Selected_constraint!$A:$A,Selected_constraint!$B:$B)</f>
        <v>TRARDS</v>
      </c>
      <c r="AJ585" s="17" t="str">
        <f>_xlfn.XLOOKUP($A585,Selected_constraint!$A:$A,Selected_constraint!$C:$C)</f>
        <v>TRAPASTRMDMD</v>
      </c>
      <c r="AK585" s="17" t="str">
        <f>AJ585</f>
        <v>TRAPASTRMDMD</v>
      </c>
      <c r="AL585" s="18">
        <v>2019</v>
      </c>
      <c r="AM585" s="18" t="s">
        <v>483</v>
      </c>
      <c r="AN585" s="18">
        <v>1</v>
      </c>
      <c r="AO585" s="20" t="e">
        <f>-SUMIFS('TRA RESID'!$P:$P,'TRA RESID'!$I:$I,AK585,'TRA RESID'!$J:$J,AH585,'TRA RESID'!$H:$H,AI585)/SUMIFS('TRA RESID'!$P:$P,'TRA RESID'!$I:$I,AK585)*AS585</f>
        <v>#DIV/0!</v>
      </c>
      <c r="AP585" s="18">
        <v>0</v>
      </c>
      <c r="AQ585" s="18">
        <v>5</v>
      </c>
      <c r="AS585" s="21">
        <v>0.98</v>
      </c>
      <c r="AU585" s="15" t="str">
        <f>IF(SUMIFS('TRA RESID'!$P:$P,'TRA RESID'!$I:$I,AY585,'TRA RESID'!$J:$J,AV585,'TRA RESID'!$H:$H,AW585)=0,"*","UC_"&amp;SUBSTITUTE(AV585,"*","")&amp;"_"&amp;RIGHT(AW585,3)&amp;"_"&amp;AX585)</f>
        <v>*</v>
      </c>
      <c r="AV585" s="17" t="s">
        <v>488</v>
      </c>
      <c r="AW585" s="17" t="str">
        <f>_xlfn.XLOOKUP($A585,Selected_constraint!$A:$A,Selected_constraint!$B:$B)</f>
        <v>TRARDS</v>
      </c>
      <c r="AX585" s="17" t="str">
        <f>_xlfn.XLOOKUP($A585,Selected_constraint!$A:$A,Selected_constraint!$C:$C)</f>
        <v>TRAPASTRMDMD</v>
      </c>
      <c r="AY585" s="17" t="str">
        <f>AX585</f>
        <v>TRAPASTRMDMD</v>
      </c>
      <c r="AZ585" s="18">
        <v>2019</v>
      </c>
      <c r="BA585" s="18" t="s">
        <v>483</v>
      </c>
      <c r="BB585" s="18">
        <v>1</v>
      </c>
      <c r="BC585" s="20" t="e">
        <f>-SUMIFS('TRA RESID'!$P:$P,'TRA RESID'!$I:$I,AY585,'TRA RESID'!$J:$J,AV585,'TRA RESID'!$H:$H,AW585)/SUMIFS('TRA RESID'!$P:$P,'TRA RESID'!$I:$I,AY585)*BG585</f>
        <v>#DIV/0!</v>
      </c>
      <c r="BD585" s="18">
        <v>0</v>
      </c>
      <c r="BE585" s="18">
        <v>5</v>
      </c>
      <c r="BG585" s="21">
        <v>0.98</v>
      </c>
    </row>
    <row r="586" spans="1:59" x14ac:dyDescent="0.25">
      <c r="C586" s="15" t="str">
        <f>IF(C585="*",C585,"")</f>
        <v>*</v>
      </c>
      <c r="D586" s="17" t="str">
        <f t="shared" ref="D586:G589" si="464">D585</f>
        <v>*ICEV*</v>
      </c>
      <c r="E586" s="17" t="str">
        <f t="shared" si="464"/>
        <v>TRARDS</v>
      </c>
      <c r="F586" s="17" t="str">
        <f t="shared" si="464"/>
        <v>TRAPASTRMDMD</v>
      </c>
      <c r="G586" s="17" t="str">
        <f t="shared" si="464"/>
        <v>TRAPASTRMDMD</v>
      </c>
      <c r="H586" s="18">
        <v>2025</v>
      </c>
      <c r="I586" s="18" t="str">
        <f>I585</f>
        <v>LO</v>
      </c>
      <c r="J586" s="18"/>
      <c r="K586" s="20" t="e">
        <f>-SUMIFS('TRA RESID'!$P:$P,'TRA RESID'!$I:$I,G586,'TRA RESID'!$J:$J,D586,'TRA RESID'!$H:$H,E586)/SUMIFS('TRA RESID'!$P:$P,'TRA RESID'!$I:$I,G586)*O586</f>
        <v>#DIV/0!</v>
      </c>
      <c r="L586" s="18"/>
      <c r="M586" s="18"/>
      <c r="O586" s="21">
        <v>0.8</v>
      </c>
      <c r="S586" s="15" t="str">
        <f>IF(S585="*",S585,"")</f>
        <v>*</v>
      </c>
      <c r="T586" s="17" t="str">
        <f t="shared" ref="T586:W589" si="465">T585</f>
        <v>*BEV*</v>
      </c>
      <c r="U586" s="17" t="str">
        <f t="shared" si="465"/>
        <v>TRARDS</v>
      </c>
      <c r="V586" s="17" t="str">
        <f t="shared" si="465"/>
        <v>TRAPASTRMDMD</v>
      </c>
      <c r="W586" s="17" t="str">
        <f t="shared" si="465"/>
        <v>TRAPASTRMDMD</v>
      </c>
      <c r="X586" s="18">
        <v>2025</v>
      </c>
      <c r="Y586" s="18" t="str">
        <f>Y585</f>
        <v>LO</v>
      </c>
      <c r="Z586" s="18"/>
      <c r="AA586" s="20" t="e">
        <f>-SUMIFS('TRA RESID'!$P:$P,'TRA RESID'!$I:$I,W586,'TRA RESID'!$J:$J,T586,'TRA RESID'!$H:$H,U586)/SUMIFS('TRA RESID'!$P:$P,'TRA RESID'!$I:$I,W586)*AE586</f>
        <v>#DIV/0!</v>
      </c>
      <c r="AB586" s="18"/>
      <c r="AC586" s="18"/>
      <c r="AE586" s="21">
        <v>1</v>
      </c>
      <c r="AG586" s="15" t="str">
        <f>IF(AG585="*",AG585,"")</f>
        <v>*</v>
      </c>
      <c r="AH586" s="17" t="str">
        <f t="shared" ref="AH586:AK589" si="466">AH585</f>
        <v>*HEV*</v>
      </c>
      <c r="AI586" s="17" t="str">
        <f t="shared" si="466"/>
        <v>TRARDS</v>
      </c>
      <c r="AJ586" s="17" t="str">
        <f t="shared" si="466"/>
        <v>TRAPASTRMDMD</v>
      </c>
      <c r="AK586" s="17" t="str">
        <f t="shared" si="466"/>
        <v>TRAPASTRMDMD</v>
      </c>
      <c r="AL586" s="18">
        <v>2025</v>
      </c>
      <c r="AM586" s="18" t="str">
        <f>AM585</f>
        <v>LO</v>
      </c>
      <c r="AN586" s="18"/>
      <c r="AO586" s="20" t="e">
        <f>-SUMIFS('TRA RESID'!$P:$P,'TRA RESID'!$I:$I,AK586,'TRA RESID'!$J:$J,AH586,'TRA RESID'!$H:$H,AI586)/SUMIFS('TRA RESID'!$P:$P,'TRA RESID'!$I:$I,AK586)*AS586</f>
        <v>#DIV/0!</v>
      </c>
      <c r="AP586" s="18"/>
      <c r="AQ586" s="18"/>
      <c r="AS586" s="21">
        <v>0.8</v>
      </c>
      <c r="AU586" s="15" t="str">
        <f>IF(AU585="*",AU585,"")</f>
        <v>*</v>
      </c>
      <c r="AV586" s="17" t="str">
        <f t="shared" ref="AV586:AY589" si="467">AV585</f>
        <v>*FCEV*</v>
      </c>
      <c r="AW586" s="17" t="str">
        <f t="shared" si="467"/>
        <v>TRARDS</v>
      </c>
      <c r="AX586" s="17" t="str">
        <f t="shared" si="467"/>
        <v>TRAPASTRMDMD</v>
      </c>
      <c r="AY586" s="17" t="str">
        <f t="shared" si="467"/>
        <v>TRAPASTRMDMD</v>
      </c>
      <c r="AZ586" s="18">
        <v>2025</v>
      </c>
      <c r="BA586" s="18" t="str">
        <f>BA585</f>
        <v>LO</v>
      </c>
      <c r="BB586" s="18"/>
      <c r="BC586" s="20" t="e">
        <f>-SUMIFS('TRA RESID'!$P:$P,'TRA RESID'!$I:$I,AY586,'TRA RESID'!$J:$J,AV586,'TRA RESID'!$H:$H,AW586)/SUMIFS('TRA RESID'!$P:$P,'TRA RESID'!$I:$I,AY586)*BG586</f>
        <v>#DIV/0!</v>
      </c>
      <c r="BD586" s="18"/>
      <c r="BE586" s="18"/>
      <c r="BG586" s="21">
        <v>0.8</v>
      </c>
    </row>
    <row r="587" spans="1:59" x14ac:dyDescent="0.25">
      <c r="C587" s="15" t="str">
        <f>IF(C586="*",C586,"")</f>
        <v>*</v>
      </c>
      <c r="D587" s="17" t="str">
        <f t="shared" si="464"/>
        <v>*ICEV*</v>
      </c>
      <c r="E587" s="17" t="str">
        <f t="shared" si="464"/>
        <v>TRARDS</v>
      </c>
      <c r="F587" s="17" t="str">
        <f t="shared" si="464"/>
        <v>TRAPASTRMDMD</v>
      </c>
      <c r="G587" s="17" t="str">
        <f t="shared" si="464"/>
        <v>TRAPASTRMDMD</v>
      </c>
      <c r="H587" s="18">
        <v>2030</v>
      </c>
      <c r="I587" s="18" t="str">
        <f>I586</f>
        <v>LO</v>
      </c>
      <c r="J587" s="18"/>
      <c r="K587" s="20" t="e">
        <f>-SUMIFS('TRA RESID'!$P:$P,'TRA RESID'!$I:$I,G587,'TRA RESID'!$J:$J,D587,'TRA RESID'!$H:$H,E587)/SUMIFS('TRA RESID'!$P:$P,'TRA RESID'!$I:$I,G587)*O587</f>
        <v>#DIV/0!</v>
      </c>
      <c r="L587" s="18"/>
      <c r="M587" s="18"/>
      <c r="O587" s="21">
        <v>0.5</v>
      </c>
      <c r="S587" s="15" t="str">
        <f>IF(S586="*",S586,"")</f>
        <v>*</v>
      </c>
      <c r="T587" s="17" t="str">
        <f t="shared" si="465"/>
        <v>*BEV*</v>
      </c>
      <c r="U587" s="17" t="str">
        <f t="shared" si="465"/>
        <v>TRARDS</v>
      </c>
      <c r="V587" s="17" t="str">
        <f t="shared" si="465"/>
        <v>TRAPASTRMDMD</v>
      </c>
      <c r="W587" s="17" t="str">
        <f t="shared" si="465"/>
        <v>TRAPASTRMDMD</v>
      </c>
      <c r="X587" s="18">
        <v>2030</v>
      </c>
      <c r="Y587" s="18" t="str">
        <f>Y586</f>
        <v>LO</v>
      </c>
      <c r="Z587" s="18"/>
      <c r="AA587" s="20" t="e">
        <f>-SUMIFS('TRA RESID'!$P:$P,'TRA RESID'!$I:$I,W587,'TRA RESID'!$J:$J,T587,'TRA RESID'!$H:$H,U587)/SUMIFS('TRA RESID'!$P:$P,'TRA RESID'!$I:$I,W587)*AE587</f>
        <v>#DIV/0!</v>
      </c>
      <c r="AB587" s="18"/>
      <c r="AC587" s="18"/>
      <c r="AE587" s="21">
        <v>1</v>
      </c>
      <c r="AG587" s="15" t="str">
        <f>IF(AG586="*",AG586,"")</f>
        <v>*</v>
      </c>
      <c r="AH587" s="17" t="str">
        <f t="shared" si="466"/>
        <v>*HEV*</v>
      </c>
      <c r="AI587" s="17" t="str">
        <f t="shared" si="466"/>
        <v>TRARDS</v>
      </c>
      <c r="AJ587" s="17" t="str">
        <f t="shared" si="466"/>
        <v>TRAPASTRMDMD</v>
      </c>
      <c r="AK587" s="17" t="str">
        <f t="shared" si="466"/>
        <v>TRAPASTRMDMD</v>
      </c>
      <c r="AL587" s="18">
        <v>2030</v>
      </c>
      <c r="AM587" s="18" t="str">
        <f>AM586</f>
        <v>LO</v>
      </c>
      <c r="AN587" s="18"/>
      <c r="AO587" s="20" t="e">
        <f>-SUMIFS('TRA RESID'!$P:$P,'TRA RESID'!$I:$I,AK587,'TRA RESID'!$J:$J,AH587,'TRA RESID'!$H:$H,AI587)/SUMIFS('TRA RESID'!$P:$P,'TRA RESID'!$I:$I,AK587)*AS587</f>
        <v>#DIV/0!</v>
      </c>
      <c r="AP587" s="18"/>
      <c r="AQ587" s="18"/>
      <c r="AS587" s="21">
        <v>0.5</v>
      </c>
      <c r="AU587" s="15" t="str">
        <f>IF(AU586="*",AU586,"")</f>
        <v>*</v>
      </c>
      <c r="AV587" s="17" t="str">
        <f t="shared" si="467"/>
        <v>*FCEV*</v>
      </c>
      <c r="AW587" s="17" t="str">
        <f t="shared" si="467"/>
        <v>TRARDS</v>
      </c>
      <c r="AX587" s="17" t="str">
        <f t="shared" si="467"/>
        <v>TRAPASTRMDMD</v>
      </c>
      <c r="AY587" s="17" t="str">
        <f t="shared" si="467"/>
        <v>TRAPASTRMDMD</v>
      </c>
      <c r="AZ587" s="18">
        <v>2030</v>
      </c>
      <c r="BA587" s="18" t="str">
        <f>BA586</f>
        <v>LO</v>
      </c>
      <c r="BB587" s="18"/>
      <c r="BC587" s="20" t="e">
        <f>-SUMIFS('TRA RESID'!$P:$P,'TRA RESID'!$I:$I,AY587,'TRA RESID'!$J:$J,AV587,'TRA RESID'!$H:$H,AW587)/SUMIFS('TRA RESID'!$P:$P,'TRA RESID'!$I:$I,AY587)*BG587</f>
        <v>#DIV/0!</v>
      </c>
      <c r="BD587" s="18"/>
      <c r="BE587" s="18"/>
      <c r="BG587" s="21">
        <v>0.5</v>
      </c>
    </row>
    <row r="588" spans="1:59" x14ac:dyDescent="0.25">
      <c r="C588" s="15" t="str">
        <f>IF(C587="*",C587,"")</f>
        <v>*</v>
      </c>
      <c r="D588" s="17" t="str">
        <f t="shared" si="464"/>
        <v>*ICEV*</v>
      </c>
      <c r="E588" s="17" t="str">
        <f t="shared" si="464"/>
        <v>TRARDS</v>
      </c>
      <c r="F588" s="17" t="str">
        <f t="shared" si="464"/>
        <v>TRAPASTRMDMD</v>
      </c>
      <c r="G588" s="17" t="str">
        <f t="shared" si="464"/>
        <v>TRAPASTRMDMD</v>
      </c>
      <c r="H588" s="18">
        <v>2040</v>
      </c>
      <c r="I588" s="18" t="str">
        <f>I587</f>
        <v>LO</v>
      </c>
      <c r="J588" s="18"/>
      <c r="K588" s="20" t="e">
        <f>-SUMIFS('TRA RESID'!$P:$P,'TRA RESID'!$I:$I,G588,'TRA RESID'!$J:$J,D588,'TRA RESID'!$H:$H,E588)/SUMIFS('TRA RESID'!$P:$P,'TRA RESID'!$I:$I,G588)*O588</f>
        <v>#DIV/0!</v>
      </c>
      <c r="L588" s="18"/>
      <c r="M588" s="18"/>
      <c r="O588" s="21">
        <v>0</v>
      </c>
      <c r="S588" s="15" t="str">
        <f>IF(S587="*",S587,"")</f>
        <v>*</v>
      </c>
      <c r="T588" s="17" t="str">
        <f t="shared" si="465"/>
        <v>*BEV*</v>
      </c>
      <c r="U588" s="17" t="str">
        <f t="shared" si="465"/>
        <v>TRARDS</v>
      </c>
      <c r="V588" s="17" t="str">
        <f t="shared" si="465"/>
        <v>TRAPASTRMDMD</v>
      </c>
      <c r="W588" s="17" t="str">
        <f t="shared" si="465"/>
        <v>TRAPASTRMDMD</v>
      </c>
      <c r="X588" s="18">
        <v>2040</v>
      </c>
      <c r="Y588" s="18" t="str">
        <f>Y587</f>
        <v>LO</v>
      </c>
      <c r="Z588" s="18"/>
      <c r="AA588" s="20" t="e">
        <f>-SUMIFS('TRA RESID'!$P:$P,'TRA RESID'!$I:$I,W588,'TRA RESID'!$J:$J,T588,'TRA RESID'!$H:$H,U588)/SUMIFS('TRA RESID'!$P:$P,'TRA RESID'!$I:$I,W588)*AE588</f>
        <v>#DIV/0!</v>
      </c>
      <c r="AB588" s="18"/>
      <c r="AC588" s="18"/>
      <c r="AE588" s="21">
        <v>1</v>
      </c>
      <c r="AG588" s="15" t="str">
        <f>IF(AG587="*",AG587,"")</f>
        <v>*</v>
      </c>
      <c r="AH588" s="17" t="str">
        <f t="shared" si="466"/>
        <v>*HEV*</v>
      </c>
      <c r="AI588" s="17" t="str">
        <f t="shared" si="466"/>
        <v>TRARDS</v>
      </c>
      <c r="AJ588" s="17" t="str">
        <f t="shared" si="466"/>
        <v>TRAPASTRMDMD</v>
      </c>
      <c r="AK588" s="17" t="str">
        <f t="shared" si="466"/>
        <v>TRAPASTRMDMD</v>
      </c>
      <c r="AL588" s="18">
        <v>2040</v>
      </c>
      <c r="AM588" s="18" t="str">
        <f>AM587</f>
        <v>LO</v>
      </c>
      <c r="AN588" s="18"/>
      <c r="AO588" s="20" t="e">
        <f>-SUMIFS('TRA RESID'!$P:$P,'TRA RESID'!$I:$I,AK588,'TRA RESID'!$J:$J,AH588,'TRA RESID'!$H:$H,AI588)/SUMIFS('TRA RESID'!$P:$P,'TRA RESID'!$I:$I,AK588)*AS588</f>
        <v>#DIV/0!</v>
      </c>
      <c r="AP588" s="18"/>
      <c r="AQ588" s="18"/>
      <c r="AS588" s="21">
        <v>0</v>
      </c>
      <c r="AU588" s="15" t="str">
        <f>IF(AU587="*",AU587,"")</f>
        <v>*</v>
      </c>
      <c r="AV588" s="17" t="str">
        <f t="shared" si="467"/>
        <v>*FCEV*</v>
      </c>
      <c r="AW588" s="17" t="str">
        <f t="shared" si="467"/>
        <v>TRARDS</v>
      </c>
      <c r="AX588" s="17" t="str">
        <f t="shared" si="467"/>
        <v>TRAPASTRMDMD</v>
      </c>
      <c r="AY588" s="17" t="str">
        <f t="shared" si="467"/>
        <v>TRAPASTRMDMD</v>
      </c>
      <c r="AZ588" s="18">
        <v>2040</v>
      </c>
      <c r="BA588" s="18" t="str">
        <f>BA587</f>
        <v>LO</v>
      </c>
      <c r="BB588" s="18"/>
      <c r="BC588" s="20" t="e">
        <f>-SUMIFS('TRA RESID'!$P:$P,'TRA RESID'!$I:$I,AY588,'TRA RESID'!$J:$J,AV588,'TRA RESID'!$H:$H,AW588)/SUMIFS('TRA RESID'!$P:$P,'TRA RESID'!$I:$I,AY588)*BG588</f>
        <v>#DIV/0!</v>
      </c>
      <c r="BD588" s="18"/>
      <c r="BE588" s="18"/>
      <c r="BG588" s="21">
        <v>0</v>
      </c>
    </row>
    <row r="589" spans="1:59" x14ac:dyDescent="0.25">
      <c r="C589" s="23" t="str">
        <f>IF(C588="*",C588,"")</f>
        <v>*</v>
      </c>
      <c r="D589" s="25" t="str">
        <f t="shared" si="464"/>
        <v>*ICEV*</v>
      </c>
      <c r="E589" s="25" t="str">
        <f t="shared" si="464"/>
        <v>TRARDS</v>
      </c>
      <c r="F589" s="25" t="str">
        <f t="shared" si="464"/>
        <v>TRAPASTRMDMD</v>
      </c>
      <c r="G589" s="25" t="str">
        <f t="shared" si="464"/>
        <v>TRAPASTRMDMD</v>
      </c>
      <c r="H589" s="26">
        <v>2050</v>
      </c>
      <c r="I589" s="26" t="str">
        <f>I587</f>
        <v>LO</v>
      </c>
      <c r="J589" s="26"/>
      <c r="K589" s="27" t="e">
        <f>-SUMIFS('TRA RESID'!$P:$P,'TRA RESID'!$I:$I,G589,'TRA RESID'!$J:$J,D589,'TRA RESID'!$H:$H,E589)/SUMIFS('TRA RESID'!$P:$P,'TRA RESID'!$I:$I,G589)*O589</f>
        <v>#DIV/0!</v>
      </c>
      <c r="L589" s="26"/>
      <c r="M589" s="26"/>
      <c r="O589" s="28">
        <v>0</v>
      </c>
      <c r="S589" s="23" t="str">
        <f>IF(S588="*",S588,"")</f>
        <v>*</v>
      </c>
      <c r="T589" s="25" t="str">
        <f t="shared" si="465"/>
        <v>*BEV*</v>
      </c>
      <c r="U589" s="25" t="str">
        <f t="shared" si="465"/>
        <v>TRARDS</v>
      </c>
      <c r="V589" s="25" t="str">
        <f t="shared" si="465"/>
        <v>TRAPASTRMDMD</v>
      </c>
      <c r="W589" s="25" t="str">
        <f t="shared" si="465"/>
        <v>TRAPASTRMDMD</v>
      </c>
      <c r="X589" s="26">
        <v>2050</v>
      </c>
      <c r="Y589" s="26" t="str">
        <f>Y587</f>
        <v>LO</v>
      </c>
      <c r="Z589" s="26"/>
      <c r="AA589" s="27" t="e">
        <f>-SUMIFS('TRA RESID'!$P:$P,'TRA RESID'!$I:$I,W589,'TRA RESID'!$J:$J,T589,'TRA RESID'!$H:$H,U589)/SUMIFS('TRA RESID'!$P:$P,'TRA RESID'!$I:$I,W589)*AE589</f>
        <v>#DIV/0!</v>
      </c>
      <c r="AB589" s="26"/>
      <c r="AC589" s="26"/>
      <c r="AE589" s="28">
        <v>1</v>
      </c>
      <c r="AG589" s="23" t="str">
        <f>IF(AG588="*",AG588,"")</f>
        <v>*</v>
      </c>
      <c r="AH589" s="25" t="str">
        <f t="shared" si="466"/>
        <v>*HEV*</v>
      </c>
      <c r="AI589" s="25" t="str">
        <f t="shared" si="466"/>
        <v>TRARDS</v>
      </c>
      <c r="AJ589" s="25" t="str">
        <f t="shared" si="466"/>
        <v>TRAPASTRMDMD</v>
      </c>
      <c r="AK589" s="25" t="str">
        <f t="shared" si="466"/>
        <v>TRAPASTRMDMD</v>
      </c>
      <c r="AL589" s="26">
        <v>2050</v>
      </c>
      <c r="AM589" s="26" t="str">
        <f>AM587</f>
        <v>LO</v>
      </c>
      <c r="AN589" s="26"/>
      <c r="AO589" s="27" t="e">
        <f>-SUMIFS('TRA RESID'!$P:$P,'TRA RESID'!$I:$I,AK589,'TRA RESID'!$J:$J,AH589,'TRA RESID'!$H:$H,AI589)/SUMIFS('TRA RESID'!$P:$P,'TRA RESID'!$I:$I,AK589)*AS589</f>
        <v>#DIV/0!</v>
      </c>
      <c r="AP589" s="26"/>
      <c r="AQ589" s="26"/>
      <c r="AS589" s="28">
        <v>0</v>
      </c>
      <c r="AU589" s="23" t="str">
        <f>IF(AU588="*",AU588,"")</f>
        <v>*</v>
      </c>
      <c r="AV589" s="25" t="str">
        <f t="shared" si="467"/>
        <v>*FCEV*</v>
      </c>
      <c r="AW589" s="25" t="str">
        <f t="shared" si="467"/>
        <v>TRARDS</v>
      </c>
      <c r="AX589" s="25" t="str">
        <f t="shared" si="467"/>
        <v>TRAPASTRMDMD</v>
      </c>
      <c r="AY589" s="25" t="str">
        <f t="shared" si="467"/>
        <v>TRAPASTRMDMD</v>
      </c>
      <c r="AZ589" s="26">
        <v>2050</v>
      </c>
      <c r="BA589" s="26" t="str">
        <f>BA587</f>
        <v>LO</v>
      </c>
      <c r="BB589" s="26"/>
      <c r="BC589" s="27" t="e">
        <f>-SUMIFS('TRA RESID'!$P:$P,'TRA RESID'!$I:$I,AY589,'TRA RESID'!$J:$J,AV589,'TRA RESID'!$H:$H,AW589)/SUMIFS('TRA RESID'!$P:$P,'TRA RESID'!$I:$I,AY589)*BG589</f>
        <v>#DIV/0!</v>
      </c>
      <c r="BD589" s="26"/>
      <c r="BE589" s="26"/>
      <c r="BG589" s="28">
        <v>0</v>
      </c>
    </row>
    <row r="590" spans="1:59" x14ac:dyDescent="0.25">
      <c r="A590">
        <f>A585+1</f>
        <v>118</v>
      </c>
      <c r="C590" s="15" t="str">
        <f>IF(E590="","",IF(_xlfn.XLOOKUP($A590,Selected_constraint!$A:$A,Selected_constraint!$D:$D)=1,"*",IF(SUMIFS('TRA TECH'!$M:$M,'TRA TECH'!$H:$H,E590,'TRA TECH'!$I:$I,F590)=0,"*",IF(SUMIFS('TRA RESID'!$P:$P,'TRA RESID'!$I:$I,G590,'TRA RESID'!$J:$J,D590,'TRA RESID'!$H:$H,E590)=0,"*","UC_"&amp;SUBSTITUTE(D590,"*","")&amp;"_"&amp;RIGHT(E590,3)&amp;"_"&amp;F590))))</f>
        <v>*</v>
      </c>
      <c r="D590" s="17" t="s">
        <v>485</v>
      </c>
      <c r="E590" s="17" t="str">
        <f>_xlfn.XLOOKUP($A590,Selected_constraint!$A:$A,Selected_constraint!$B:$B)</f>
        <v>TRABDS</v>
      </c>
      <c r="F590" s="17" t="str">
        <f>_xlfn.XLOOKUP($A590,Selected_constraint!$A:$A,Selected_constraint!$C:$C)</f>
        <v>TRAPASTRMDMD</v>
      </c>
      <c r="G590" s="17" t="str">
        <f>F590</f>
        <v>TRAPASTRMDMD</v>
      </c>
      <c r="H590" s="18">
        <v>2019</v>
      </c>
      <c r="I590" s="18" t="s">
        <v>483</v>
      </c>
      <c r="J590" s="18">
        <v>1</v>
      </c>
      <c r="K590" s="20" t="e">
        <f>-SUMIFS('TRA RESID'!$P:$P,'TRA RESID'!$I:$I,G590,'TRA RESID'!$J:$J,D590,'TRA RESID'!$H:$H,E590)/SUMIFS('TRA RESID'!$P:$P,'TRA RESID'!$I:$I,G590)*O590</f>
        <v>#DIV/0!</v>
      </c>
      <c r="L590" s="18">
        <v>0</v>
      </c>
      <c r="M590" s="18">
        <v>5</v>
      </c>
      <c r="O590" s="21">
        <v>0.98</v>
      </c>
      <c r="Q590">
        <f>Q585+1</f>
        <v>118</v>
      </c>
      <c r="S590" s="15" t="str">
        <f>IF(SUMIFS('TRA RESID'!$P:$P,'TRA RESID'!$I:$I,W590,'TRA RESID'!$J:$J,T590,'TRA RESID'!$H:$H,U590)=0,"*","UC_"&amp;SUBSTITUTE(T590,"*","")&amp;"_"&amp;RIGHT(U590,3)&amp;"_"&amp;V590)</f>
        <v>*</v>
      </c>
      <c r="T590" s="17" t="s">
        <v>486</v>
      </c>
      <c r="U590" s="17" t="str">
        <f>_xlfn.XLOOKUP($A590,Selected_constraint!$A:$A,Selected_constraint!$B:$B)</f>
        <v>TRABDS</v>
      </c>
      <c r="V590" s="17" t="str">
        <f>_xlfn.XLOOKUP($A590,Selected_constraint!$A:$A,Selected_constraint!$C:$C)</f>
        <v>TRAPASTRMDMD</v>
      </c>
      <c r="W590" s="17" t="str">
        <f>V590</f>
        <v>TRAPASTRMDMD</v>
      </c>
      <c r="X590" s="18">
        <v>2019</v>
      </c>
      <c r="Y590" s="18" t="s">
        <v>483</v>
      </c>
      <c r="Z590" s="18">
        <v>1</v>
      </c>
      <c r="AA590" s="20" t="e">
        <f>-SUMIFS('TRA RESID'!$P:$P,'TRA RESID'!$I:$I,W590,'TRA RESID'!$J:$J,T590,'TRA RESID'!$H:$H,U590)/SUMIFS('TRA RESID'!$P:$P,'TRA RESID'!$I:$I,W590)*AE590</f>
        <v>#DIV/0!</v>
      </c>
      <c r="AB590" s="18">
        <v>0</v>
      </c>
      <c r="AC590" s="18">
        <v>5</v>
      </c>
      <c r="AE590" s="21">
        <v>0.98</v>
      </c>
      <c r="AG590" s="15" t="str">
        <f>IF(SUMIFS('TRA RESID'!$P:$P,'TRA RESID'!$I:$I,AK590,'TRA RESID'!$J:$J,AH590,'TRA RESID'!$H:$H,AI590)=0,"*","UC_"&amp;SUBSTITUTE(AH590,"*","")&amp;"_"&amp;RIGHT(AI590,3)&amp;"_"&amp;AJ590)</f>
        <v>*</v>
      </c>
      <c r="AH590" s="17" t="s">
        <v>487</v>
      </c>
      <c r="AI590" s="17" t="str">
        <f>_xlfn.XLOOKUP($A590,Selected_constraint!$A:$A,Selected_constraint!$B:$B)</f>
        <v>TRABDS</v>
      </c>
      <c r="AJ590" s="17" t="str">
        <f>_xlfn.XLOOKUP($A590,Selected_constraint!$A:$A,Selected_constraint!$C:$C)</f>
        <v>TRAPASTRMDMD</v>
      </c>
      <c r="AK590" s="17" t="str">
        <f>AJ590</f>
        <v>TRAPASTRMDMD</v>
      </c>
      <c r="AL590" s="18">
        <v>2019</v>
      </c>
      <c r="AM590" s="18" t="s">
        <v>483</v>
      </c>
      <c r="AN590" s="18">
        <v>1</v>
      </c>
      <c r="AO590" s="20" t="e">
        <f>-SUMIFS('TRA RESID'!$P:$P,'TRA RESID'!$I:$I,AK590,'TRA RESID'!$J:$J,AH590,'TRA RESID'!$H:$H,AI590)/SUMIFS('TRA RESID'!$P:$P,'TRA RESID'!$I:$I,AK590)*AS590</f>
        <v>#DIV/0!</v>
      </c>
      <c r="AP590" s="18">
        <v>0</v>
      </c>
      <c r="AQ590" s="18">
        <v>5</v>
      </c>
      <c r="AS590" s="21">
        <v>0.98</v>
      </c>
      <c r="AU590" s="15" t="str">
        <f>IF(SUMIFS('TRA RESID'!$P:$P,'TRA RESID'!$I:$I,AY590,'TRA RESID'!$J:$J,AV590,'TRA RESID'!$H:$H,AW590)=0,"*","UC_"&amp;SUBSTITUTE(AV590,"*","")&amp;"_"&amp;RIGHT(AW590,3)&amp;"_"&amp;AX590)</f>
        <v>*</v>
      </c>
      <c r="AV590" s="17" t="s">
        <v>488</v>
      </c>
      <c r="AW590" s="17" t="str">
        <f>_xlfn.XLOOKUP($A590,Selected_constraint!$A:$A,Selected_constraint!$B:$B)</f>
        <v>TRABDS</v>
      </c>
      <c r="AX590" s="17" t="str">
        <f>_xlfn.XLOOKUP($A590,Selected_constraint!$A:$A,Selected_constraint!$C:$C)</f>
        <v>TRAPASTRMDMD</v>
      </c>
      <c r="AY590" s="17" t="str">
        <f>AX590</f>
        <v>TRAPASTRMDMD</v>
      </c>
      <c r="AZ590" s="18">
        <v>2019</v>
      </c>
      <c r="BA590" s="18" t="s">
        <v>483</v>
      </c>
      <c r="BB590" s="18">
        <v>1</v>
      </c>
      <c r="BC590" s="20" t="e">
        <f>-SUMIFS('TRA RESID'!$P:$P,'TRA RESID'!$I:$I,AY590,'TRA RESID'!$J:$J,AV590,'TRA RESID'!$H:$H,AW590)/SUMIFS('TRA RESID'!$P:$P,'TRA RESID'!$I:$I,AY590)*BG590</f>
        <v>#DIV/0!</v>
      </c>
      <c r="BD590" s="18">
        <v>0</v>
      </c>
      <c r="BE590" s="18">
        <v>5</v>
      </c>
      <c r="BG590" s="21">
        <v>0.98</v>
      </c>
    </row>
    <row r="591" spans="1:59" x14ac:dyDescent="0.25">
      <c r="C591" s="15" t="str">
        <f>IF(C590="*",C590,"")</f>
        <v>*</v>
      </c>
      <c r="D591" s="17" t="str">
        <f t="shared" ref="D591:G594" si="468">D590</f>
        <v>*ICEV*</v>
      </c>
      <c r="E591" s="17" t="str">
        <f t="shared" si="468"/>
        <v>TRABDS</v>
      </c>
      <c r="F591" s="17" t="str">
        <f t="shared" si="468"/>
        <v>TRAPASTRMDMD</v>
      </c>
      <c r="G591" s="17" t="str">
        <f t="shared" si="468"/>
        <v>TRAPASTRMDMD</v>
      </c>
      <c r="H591" s="18">
        <v>2025</v>
      </c>
      <c r="I591" s="18" t="str">
        <f>I590</f>
        <v>LO</v>
      </c>
      <c r="J591" s="18"/>
      <c r="K591" s="20" t="e">
        <f>-SUMIFS('TRA RESID'!$P:$P,'TRA RESID'!$I:$I,G591,'TRA RESID'!$J:$J,D591,'TRA RESID'!$H:$H,E591)/SUMIFS('TRA RESID'!$P:$P,'TRA RESID'!$I:$I,G591)*O591</f>
        <v>#DIV/0!</v>
      </c>
      <c r="L591" s="18"/>
      <c r="M591" s="18"/>
      <c r="O591" s="21">
        <v>0.8</v>
      </c>
      <c r="S591" s="15" t="str">
        <f>IF(S590="*",S590,"")</f>
        <v>*</v>
      </c>
      <c r="T591" s="17" t="str">
        <f t="shared" ref="T591:W594" si="469">T590</f>
        <v>*BEV*</v>
      </c>
      <c r="U591" s="17" t="str">
        <f t="shared" si="469"/>
        <v>TRABDS</v>
      </c>
      <c r="V591" s="17" t="str">
        <f t="shared" si="469"/>
        <v>TRAPASTRMDMD</v>
      </c>
      <c r="W591" s="17" t="str">
        <f t="shared" si="469"/>
        <v>TRAPASTRMDMD</v>
      </c>
      <c r="X591" s="18">
        <v>2025</v>
      </c>
      <c r="Y591" s="18" t="str">
        <f>Y590</f>
        <v>LO</v>
      </c>
      <c r="Z591" s="18"/>
      <c r="AA591" s="20" t="e">
        <f>-SUMIFS('TRA RESID'!$P:$P,'TRA RESID'!$I:$I,W591,'TRA RESID'!$J:$J,T591,'TRA RESID'!$H:$H,U591)/SUMIFS('TRA RESID'!$P:$P,'TRA RESID'!$I:$I,W591)*AE591</f>
        <v>#DIV/0!</v>
      </c>
      <c r="AB591" s="18"/>
      <c r="AC591" s="18"/>
      <c r="AE591" s="21">
        <v>1</v>
      </c>
      <c r="AG591" s="15" t="str">
        <f>IF(AG590="*",AG590,"")</f>
        <v>*</v>
      </c>
      <c r="AH591" s="17" t="str">
        <f t="shared" ref="AH591:AK594" si="470">AH590</f>
        <v>*HEV*</v>
      </c>
      <c r="AI591" s="17" t="str">
        <f t="shared" si="470"/>
        <v>TRABDS</v>
      </c>
      <c r="AJ591" s="17" t="str">
        <f t="shared" si="470"/>
        <v>TRAPASTRMDMD</v>
      </c>
      <c r="AK591" s="17" t="str">
        <f t="shared" si="470"/>
        <v>TRAPASTRMDMD</v>
      </c>
      <c r="AL591" s="18">
        <v>2025</v>
      </c>
      <c r="AM591" s="18" t="str">
        <f>AM590</f>
        <v>LO</v>
      </c>
      <c r="AN591" s="18"/>
      <c r="AO591" s="20" t="e">
        <f>-SUMIFS('TRA RESID'!$P:$P,'TRA RESID'!$I:$I,AK591,'TRA RESID'!$J:$J,AH591,'TRA RESID'!$H:$H,AI591)/SUMIFS('TRA RESID'!$P:$P,'TRA RESID'!$I:$I,AK591)*AS591</f>
        <v>#DIV/0!</v>
      </c>
      <c r="AP591" s="18"/>
      <c r="AQ591" s="18"/>
      <c r="AS591" s="21">
        <v>0.8</v>
      </c>
      <c r="AU591" s="15" t="str">
        <f>IF(AU590="*",AU590,"")</f>
        <v>*</v>
      </c>
      <c r="AV591" s="17" t="str">
        <f t="shared" ref="AV591:AY594" si="471">AV590</f>
        <v>*FCEV*</v>
      </c>
      <c r="AW591" s="17" t="str">
        <f t="shared" si="471"/>
        <v>TRABDS</v>
      </c>
      <c r="AX591" s="17" t="str">
        <f t="shared" si="471"/>
        <v>TRAPASTRMDMD</v>
      </c>
      <c r="AY591" s="17" t="str">
        <f t="shared" si="471"/>
        <v>TRAPASTRMDMD</v>
      </c>
      <c r="AZ591" s="18">
        <v>2025</v>
      </c>
      <c r="BA591" s="18" t="str">
        <f>BA590</f>
        <v>LO</v>
      </c>
      <c r="BB591" s="18"/>
      <c r="BC591" s="20" t="e">
        <f>-SUMIFS('TRA RESID'!$P:$P,'TRA RESID'!$I:$I,AY591,'TRA RESID'!$J:$J,AV591,'TRA RESID'!$H:$H,AW591)/SUMIFS('TRA RESID'!$P:$P,'TRA RESID'!$I:$I,AY591)*BG591</f>
        <v>#DIV/0!</v>
      </c>
      <c r="BD591" s="18"/>
      <c r="BE591" s="18"/>
      <c r="BG591" s="21">
        <v>0.8</v>
      </c>
    </row>
    <row r="592" spans="1:59" x14ac:dyDescent="0.25">
      <c r="C592" s="15" t="str">
        <f>IF(C591="*",C591,"")</f>
        <v>*</v>
      </c>
      <c r="D592" s="17" t="str">
        <f t="shared" si="468"/>
        <v>*ICEV*</v>
      </c>
      <c r="E592" s="17" t="str">
        <f t="shared" si="468"/>
        <v>TRABDS</v>
      </c>
      <c r="F592" s="17" t="str">
        <f t="shared" si="468"/>
        <v>TRAPASTRMDMD</v>
      </c>
      <c r="G592" s="17" t="str">
        <f t="shared" si="468"/>
        <v>TRAPASTRMDMD</v>
      </c>
      <c r="H592" s="18">
        <v>2030</v>
      </c>
      <c r="I592" s="18" t="str">
        <f>I591</f>
        <v>LO</v>
      </c>
      <c r="J592" s="18"/>
      <c r="K592" s="20" t="e">
        <f>-SUMIFS('TRA RESID'!$P:$P,'TRA RESID'!$I:$I,G592,'TRA RESID'!$J:$J,D592,'TRA RESID'!$H:$H,E592)/SUMIFS('TRA RESID'!$P:$P,'TRA RESID'!$I:$I,G592)*O592</f>
        <v>#DIV/0!</v>
      </c>
      <c r="L592" s="18"/>
      <c r="M592" s="18"/>
      <c r="O592" s="21">
        <v>0.5</v>
      </c>
      <c r="S592" s="15" t="str">
        <f>IF(S591="*",S591,"")</f>
        <v>*</v>
      </c>
      <c r="T592" s="17" t="str">
        <f t="shared" si="469"/>
        <v>*BEV*</v>
      </c>
      <c r="U592" s="17" t="str">
        <f t="shared" si="469"/>
        <v>TRABDS</v>
      </c>
      <c r="V592" s="17" t="str">
        <f t="shared" si="469"/>
        <v>TRAPASTRMDMD</v>
      </c>
      <c r="W592" s="17" t="str">
        <f t="shared" si="469"/>
        <v>TRAPASTRMDMD</v>
      </c>
      <c r="X592" s="18">
        <v>2030</v>
      </c>
      <c r="Y592" s="18" t="str">
        <f>Y591</f>
        <v>LO</v>
      </c>
      <c r="Z592" s="18"/>
      <c r="AA592" s="20" t="e">
        <f>-SUMIFS('TRA RESID'!$P:$P,'TRA RESID'!$I:$I,W592,'TRA RESID'!$J:$J,T592,'TRA RESID'!$H:$H,U592)/SUMIFS('TRA RESID'!$P:$P,'TRA RESID'!$I:$I,W592)*AE592</f>
        <v>#DIV/0!</v>
      </c>
      <c r="AB592" s="18"/>
      <c r="AC592" s="18"/>
      <c r="AE592" s="21">
        <v>1</v>
      </c>
      <c r="AG592" s="15" t="str">
        <f>IF(AG591="*",AG591,"")</f>
        <v>*</v>
      </c>
      <c r="AH592" s="17" t="str">
        <f t="shared" si="470"/>
        <v>*HEV*</v>
      </c>
      <c r="AI592" s="17" t="str">
        <f t="shared" si="470"/>
        <v>TRABDS</v>
      </c>
      <c r="AJ592" s="17" t="str">
        <f t="shared" si="470"/>
        <v>TRAPASTRMDMD</v>
      </c>
      <c r="AK592" s="17" t="str">
        <f t="shared" si="470"/>
        <v>TRAPASTRMDMD</v>
      </c>
      <c r="AL592" s="18">
        <v>2030</v>
      </c>
      <c r="AM592" s="18" t="str">
        <f>AM591</f>
        <v>LO</v>
      </c>
      <c r="AN592" s="18"/>
      <c r="AO592" s="20" t="e">
        <f>-SUMIFS('TRA RESID'!$P:$P,'TRA RESID'!$I:$I,AK592,'TRA RESID'!$J:$J,AH592,'TRA RESID'!$H:$H,AI592)/SUMIFS('TRA RESID'!$P:$P,'TRA RESID'!$I:$I,AK592)*AS592</f>
        <v>#DIV/0!</v>
      </c>
      <c r="AP592" s="18"/>
      <c r="AQ592" s="18"/>
      <c r="AS592" s="21">
        <v>0.5</v>
      </c>
      <c r="AU592" s="15" t="str">
        <f>IF(AU591="*",AU591,"")</f>
        <v>*</v>
      </c>
      <c r="AV592" s="17" t="str">
        <f t="shared" si="471"/>
        <v>*FCEV*</v>
      </c>
      <c r="AW592" s="17" t="str">
        <f t="shared" si="471"/>
        <v>TRABDS</v>
      </c>
      <c r="AX592" s="17" t="str">
        <f t="shared" si="471"/>
        <v>TRAPASTRMDMD</v>
      </c>
      <c r="AY592" s="17" t="str">
        <f t="shared" si="471"/>
        <v>TRAPASTRMDMD</v>
      </c>
      <c r="AZ592" s="18">
        <v>2030</v>
      </c>
      <c r="BA592" s="18" t="str">
        <f>BA591</f>
        <v>LO</v>
      </c>
      <c r="BB592" s="18"/>
      <c r="BC592" s="20" t="e">
        <f>-SUMIFS('TRA RESID'!$P:$P,'TRA RESID'!$I:$I,AY592,'TRA RESID'!$J:$J,AV592,'TRA RESID'!$H:$H,AW592)/SUMIFS('TRA RESID'!$P:$P,'TRA RESID'!$I:$I,AY592)*BG592</f>
        <v>#DIV/0!</v>
      </c>
      <c r="BD592" s="18"/>
      <c r="BE592" s="18"/>
      <c r="BG592" s="21">
        <v>0.5</v>
      </c>
    </row>
    <row r="593" spans="1:59" x14ac:dyDescent="0.25">
      <c r="C593" s="15" t="str">
        <f>IF(C592="*",C592,"")</f>
        <v>*</v>
      </c>
      <c r="D593" s="17" t="str">
        <f t="shared" si="468"/>
        <v>*ICEV*</v>
      </c>
      <c r="E593" s="17" t="str">
        <f t="shared" si="468"/>
        <v>TRABDS</v>
      </c>
      <c r="F593" s="17" t="str">
        <f t="shared" si="468"/>
        <v>TRAPASTRMDMD</v>
      </c>
      <c r="G593" s="17" t="str">
        <f t="shared" si="468"/>
        <v>TRAPASTRMDMD</v>
      </c>
      <c r="H593" s="18">
        <v>2040</v>
      </c>
      <c r="I593" s="18" t="str">
        <f>I592</f>
        <v>LO</v>
      </c>
      <c r="J593" s="18"/>
      <c r="K593" s="20" t="e">
        <f>-SUMIFS('TRA RESID'!$P:$P,'TRA RESID'!$I:$I,G593,'TRA RESID'!$J:$J,D593,'TRA RESID'!$H:$H,E593)/SUMIFS('TRA RESID'!$P:$P,'TRA RESID'!$I:$I,G593)*O593</f>
        <v>#DIV/0!</v>
      </c>
      <c r="L593" s="18"/>
      <c r="M593" s="18"/>
      <c r="O593" s="21">
        <v>0</v>
      </c>
      <c r="S593" s="15" t="str">
        <f>IF(S592="*",S592,"")</f>
        <v>*</v>
      </c>
      <c r="T593" s="17" t="str">
        <f t="shared" si="469"/>
        <v>*BEV*</v>
      </c>
      <c r="U593" s="17" t="str">
        <f t="shared" si="469"/>
        <v>TRABDS</v>
      </c>
      <c r="V593" s="17" t="str">
        <f t="shared" si="469"/>
        <v>TRAPASTRMDMD</v>
      </c>
      <c r="W593" s="17" t="str">
        <f t="shared" si="469"/>
        <v>TRAPASTRMDMD</v>
      </c>
      <c r="X593" s="18">
        <v>2040</v>
      </c>
      <c r="Y593" s="18" t="str">
        <f>Y592</f>
        <v>LO</v>
      </c>
      <c r="Z593" s="18"/>
      <c r="AA593" s="20" t="e">
        <f>-SUMIFS('TRA RESID'!$P:$P,'TRA RESID'!$I:$I,W593,'TRA RESID'!$J:$J,T593,'TRA RESID'!$H:$H,U593)/SUMIFS('TRA RESID'!$P:$P,'TRA RESID'!$I:$I,W593)*AE593</f>
        <v>#DIV/0!</v>
      </c>
      <c r="AB593" s="18"/>
      <c r="AC593" s="18"/>
      <c r="AE593" s="21">
        <v>1</v>
      </c>
      <c r="AG593" s="15" t="str">
        <f>IF(AG592="*",AG592,"")</f>
        <v>*</v>
      </c>
      <c r="AH593" s="17" t="str">
        <f t="shared" si="470"/>
        <v>*HEV*</v>
      </c>
      <c r="AI593" s="17" t="str">
        <f t="shared" si="470"/>
        <v>TRABDS</v>
      </c>
      <c r="AJ593" s="17" t="str">
        <f t="shared" si="470"/>
        <v>TRAPASTRMDMD</v>
      </c>
      <c r="AK593" s="17" t="str">
        <f t="shared" si="470"/>
        <v>TRAPASTRMDMD</v>
      </c>
      <c r="AL593" s="18">
        <v>2040</v>
      </c>
      <c r="AM593" s="18" t="str">
        <f>AM592</f>
        <v>LO</v>
      </c>
      <c r="AN593" s="18"/>
      <c r="AO593" s="20" t="e">
        <f>-SUMIFS('TRA RESID'!$P:$P,'TRA RESID'!$I:$I,AK593,'TRA RESID'!$J:$J,AH593,'TRA RESID'!$H:$H,AI593)/SUMIFS('TRA RESID'!$P:$P,'TRA RESID'!$I:$I,AK593)*AS593</f>
        <v>#DIV/0!</v>
      </c>
      <c r="AP593" s="18"/>
      <c r="AQ593" s="18"/>
      <c r="AS593" s="21">
        <v>0</v>
      </c>
      <c r="AU593" s="15" t="str">
        <f>IF(AU592="*",AU592,"")</f>
        <v>*</v>
      </c>
      <c r="AV593" s="17" t="str">
        <f t="shared" si="471"/>
        <v>*FCEV*</v>
      </c>
      <c r="AW593" s="17" t="str">
        <f t="shared" si="471"/>
        <v>TRABDS</v>
      </c>
      <c r="AX593" s="17" t="str">
        <f t="shared" si="471"/>
        <v>TRAPASTRMDMD</v>
      </c>
      <c r="AY593" s="17" t="str">
        <f t="shared" si="471"/>
        <v>TRAPASTRMDMD</v>
      </c>
      <c r="AZ593" s="18">
        <v>2040</v>
      </c>
      <c r="BA593" s="18" t="str">
        <f>BA592</f>
        <v>LO</v>
      </c>
      <c r="BB593" s="18"/>
      <c r="BC593" s="20" t="e">
        <f>-SUMIFS('TRA RESID'!$P:$P,'TRA RESID'!$I:$I,AY593,'TRA RESID'!$J:$J,AV593,'TRA RESID'!$H:$H,AW593)/SUMIFS('TRA RESID'!$P:$P,'TRA RESID'!$I:$I,AY593)*BG593</f>
        <v>#DIV/0!</v>
      </c>
      <c r="BD593" s="18"/>
      <c r="BE593" s="18"/>
      <c r="BG593" s="21">
        <v>0</v>
      </c>
    </row>
    <row r="594" spans="1:59" x14ac:dyDescent="0.25">
      <c r="C594" s="23" t="str">
        <f>IF(C593="*",C593,"")</f>
        <v>*</v>
      </c>
      <c r="D594" s="25" t="str">
        <f t="shared" si="468"/>
        <v>*ICEV*</v>
      </c>
      <c r="E594" s="25" t="str">
        <f t="shared" si="468"/>
        <v>TRABDS</v>
      </c>
      <c r="F594" s="25" t="str">
        <f t="shared" si="468"/>
        <v>TRAPASTRMDMD</v>
      </c>
      <c r="G594" s="25" t="str">
        <f t="shared" si="468"/>
        <v>TRAPASTRMDMD</v>
      </c>
      <c r="H594" s="26">
        <v>2050</v>
      </c>
      <c r="I594" s="26" t="str">
        <f>I592</f>
        <v>LO</v>
      </c>
      <c r="J594" s="26"/>
      <c r="K594" s="27" t="e">
        <f>-SUMIFS('TRA RESID'!$P:$P,'TRA RESID'!$I:$I,G594,'TRA RESID'!$J:$J,D594,'TRA RESID'!$H:$H,E594)/SUMIFS('TRA RESID'!$P:$P,'TRA RESID'!$I:$I,G594)*O594</f>
        <v>#DIV/0!</v>
      </c>
      <c r="L594" s="26"/>
      <c r="M594" s="26"/>
      <c r="O594" s="28">
        <v>0</v>
      </c>
      <c r="S594" s="23" t="str">
        <f>IF(S593="*",S593,"")</f>
        <v>*</v>
      </c>
      <c r="T594" s="25" t="str">
        <f t="shared" si="469"/>
        <v>*BEV*</v>
      </c>
      <c r="U594" s="25" t="str">
        <f t="shared" si="469"/>
        <v>TRABDS</v>
      </c>
      <c r="V594" s="25" t="str">
        <f t="shared" si="469"/>
        <v>TRAPASTRMDMD</v>
      </c>
      <c r="W594" s="25" t="str">
        <f t="shared" si="469"/>
        <v>TRAPASTRMDMD</v>
      </c>
      <c r="X594" s="26">
        <v>2050</v>
      </c>
      <c r="Y594" s="26" t="str">
        <f>Y592</f>
        <v>LO</v>
      </c>
      <c r="Z594" s="26"/>
      <c r="AA594" s="27" t="e">
        <f>-SUMIFS('TRA RESID'!$P:$P,'TRA RESID'!$I:$I,W594,'TRA RESID'!$J:$J,T594,'TRA RESID'!$H:$H,U594)/SUMIFS('TRA RESID'!$P:$P,'TRA RESID'!$I:$I,W594)*AE594</f>
        <v>#DIV/0!</v>
      </c>
      <c r="AB594" s="26"/>
      <c r="AC594" s="26"/>
      <c r="AE594" s="28">
        <v>1</v>
      </c>
      <c r="AG594" s="23" t="str">
        <f>IF(AG593="*",AG593,"")</f>
        <v>*</v>
      </c>
      <c r="AH594" s="25" t="str">
        <f t="shared" si="470"/>
        <v>*HEV*</v>
      </c>
      <c r="AI594" s="25" t="str">
        <f t="shared" si="470"/>
        <v>TRABDS</v>
      </c>
      <c r="AJ594" s="25" t="str">
        <f t="shared" si="470"/>
        <v>TRAPASTRMDMD</v>
      </c>
      <c r="AK594" s="25" t="str">
        <f t="shared" si="470"/>
        <v>TRAPASTRMDMD</v>
      </c>
      <c r="AL594" s="26">
        <v>2050</v>
      </c>
      <c r="AM594" s="26" t="str">
        <f>AM592</f>
        <v>LO</v>
      </c>
      <c r="AN594" s="26"/>
      <c r="AO594" s="27" t="e">
        <f>-SUMIFS('TRA RESID'!$P:$P,'TRA RESID'!$I:$I,AK594,'TRA RESID'!$J:$J,AH594,'TRA RESID'!$H:$H,AI594)/SUMIFS('TRA RESID'!$P:$P,'TRA RESID'!$I:$I,AK594)*AS594</f>
        <v>#DIV/0!</v>
      </c>
      <c r="AP594" s="26"/>
      <c r="AQ594" s="26"/>
      <c r="AS594" s="28">
        <v>0</v>
      </c>
      <c r="AU594" s="23" t="str">
        <f>IF(AU593="*",AU593,"")</f>
        <v>*</v>
      </c>
      <c r="AV594" s="25" t="str">
        <f t="shared" si="471"/>
        <v>*FCEV*</v>
      </c>
      <c r="AW594" s="25" t="str">
        <f t="shared" si="471"/>
        <v>TRABDS</v>
      </c>
      <c r="AX594" s="25" t="str">
        <f t="shared" si="471"/>
        <v>TRAPASTRMDMD</v>
      </c>
      <c r="AY594" s="25" t="str">
        <f t="shared" si="471"/>
        <v>TRAPASTRMDMD</v>
      </c>
      <c r="AZ594" s="26">
        <v>2050</v>
      </c>
      <c r="BA594" s="26" t="str">
        <f>BA592</f>
        <v>LO</v>
      </c>
      <c r="BB594" s="26"/>
      <c r="BC594" s="27" t="e">
        <f>-SUMIFS('TRA RESID'!$P:$P,'TRA RESID'!$I:$I,AY594,'TRA RESID'!$J:$J,AV594,'TRA RESID'!$H:$H,AW594)/SUMIFS('TRA RESID'!$P:$P,'TRA RESID'!$I:$I,AY594)*BG594</f>
        <v>#DIV/0!</v>
      </c>
      <c r="BD594" s="26"/>
      <c r="BE594" s="26"/>
      <c r="BG594" s="28">
        <v>0</v>
      </c>
    </row>
    <row r="595" spans="1:59" x14ac:dyDescent="0.25">
      <c r="A595">
        <f>A590+1</f>
        <v>119</v>
      </c>
      <c r="C595" s="15" t="str">
        <f>IF(E595="","",IF(_xlfn.XLOOKUP($A595,Selected_constraint!$A:$A,Selected_constraint!$D:$D)=1,"*",IF(SUMIFS('TRA TECH'!$M:$M,'TRA TECH'!$H:$H,E595,'TRA TECH'!$I:$I,F595)=0,"*",IF(SUMIFS('TRA RESID'!$P:$P,'TRA RESID'!$I:$I,G595,'TRA RESID'!$J:$J,D595,'TRA RESID'!$H:$H,E595)=0,"*","UC_"&amp;SUBSTITUTE(D595,"*","")&amp;"_"&amp;RIGHT(E595,3)&amp;"_"&amp;F595))))</f>
        <v>*</v>
      </c>
      <c r="D595" s="17" t="s">
        <v>485</v>
      </c>
      <c r="E595" s="17" t="str">
        <f>_xlfn.XLOOKUP($A595,Selected_constraint!$A:$A,Selected_constraint!$B:$B)</f>
        <v>TRACNG</v>
      </c>
      <c r="F595" s="17" t="str">
        <f>_xlfn.XLOOKUP($A595,Selected_constraint!$A:$A,Selected_constraint!$C:$C)</f>
        <v>TRAPASTRMDMD</v>
      </c>
      <c r="G595" s="17" t="str">
        <f>F595</f>
        <v>TRAPASTRMDMD</v>
      </c>
      <c r="H595" s="18">
        <v>2019</v>
      </c>
      <c r="I595" s="18" t="s">
        <v>483</v>
      </c>
      <c r="J595" s="18">
        <v>1</v>
      </c>
      <c r="K595" s="20" t="e">
        <f>-SUMIFS('TRA RESID'!$P:$P,'TRA RESID'!$I:$I,G595,'TRA RESID'!$J:$J,D595,'TRA RESID'!$H:$H,E595)/SUMIFS('TRA RESID'!$P:$P,'TRA RESID'!$I:$I,G595)*O595</f>
        <v>#DIV/0!</v>
      </c>
      <c r="L595" s="18">
        <v>0</v>
      </c>
      <c r="M595" s="18">
        <v>5</v>
      </c>
      <c r="O595" s="21">
        <v>0.98</v>
      </c>
      <c r="Q595">
        <f>Q590+1</f>
        <v>119</v>
      </c>
      <c r="S595" s="15" t="str">
        <f>IF(SUMIFS('TRA RESID'!$P:$P,'TRA RESID'!$I:$I,W595,'TRA RESID'!$J:$J,T595,'TRA RESID'!$H:$H,U595)=0,"*","UC_"&amp;SUBSTITUTE(T595,"*","")&amp;"_"&amp;RIGHT(U595,3)&amp;"_"&amp;V595)</f>
        <v>*</v>
      </c>
      <c r="T595" s="17" t="s">
        <v>486</v>
      </c>
      <c r="U595" s="17" t="str">
        <f>_xlfn.XLOOKUP($A595,Selected_constraint!$A:$A,Selected_constraint!$B:$B)</f>
        <v>TRACNG</v>
      </c>
      <c r="V595" s="17" t="str">
        <f>_xlfn.XLOOKUP($A595,Selected_constraint!$A:$A,Selected_constraint!$C:$C)</f>
        <v>TRAPASTRMDMD</v>
      </c>
      <c r="W595" s="17" t="str">
        <f>V595</f>
        <v>TRAPASTRMDMD</v>
      </c>
      <c r="X595" s="18">
        <v>2019</v>
      </c>
      <c r="Y595" s="18" t="s">
        <v>483</v>
      </c>
      <c r="Z595" s="18">
        <v>1</v>
      </c>
      <c r="AA595" s="20" t="e">
        <f>-SUMIFS('TRA RESID'!$P:$P,'TRA RESID'!$I:$I,W595,'TRA RESID'!$J:$J,T595,'TRA RESID'!$H:$H,U595)/SUMIFS('TRA RESID'!$P:$P,'TRA RESID'!$I:$I,W595)*AE595</f>
        <v>#DIV/0!</v>
      </c>
      <c r="AB595" s="18">
        <v>0</v>
      </c>
      <c r="AC595" s="18">
        <v>5</v>
      </c>
      <c r="AE595" s="21">
        <v>0.98</v>
      </c>
      <c r="AG595" s="15" t="str">
        <f>IF(SUMIFS('TRA RESID'!$P:$P,'TRA RESID'!$I:$I,AK595,'TRA RESID'!$J:$J,AH595,'TRA RESID'!$H:$H,AI595)=0,"*","UC_"&amp;SUBSTITUTE(AH595,"*","")&amp;"_"&amp;RIGHT(AI595,3)&amp;"_"&amp;AJ595)</f>
        <v>*</v>
      </c>
      <c r="AH595" s="17" t="s">
        <v>487</v>
      </c>
      <c r="AI595" s="17" t="str">
        <f>_xlfn.XLOOKUP($A595,Selected_constraint!$A:$A,Selected_constraint!$B:$B)</f>
        <v>TRACNG</v>
      </c>
      <c r="AJ595" s="17" t="str">
        <f>_xlfn.XLOOKUP($A595,Selected_constraint!$A:$A,Selected_constraint!$C:$C)</f>
        <v>TRAPASTRMDMD</v>
      </c>
      <c r="AK595" s="17" t="str">
        <f>AJ595</f>
        <v>TRAPASTRMDMD</v>
      </c>
      <c r="AL595" s="18">
        <v>2019</v>
      </c>
      <c r="AM595" s="18" t="s">
        <v>483</v>
      </c>
      <c r="AN595" s="18">
        <v>1</v>
      </c>
      <c r="AO595" s="20" t="e">
        <f>-SUMIFS('TRA RESID'!$P:$P,'TRA RESID'!$I:$I,AK595,'TRA RESID'!$J:$J,AH595,'TRA RESID'!$H:$H,AI595)/SUMIFS('TRA RESID'!$P:$P,'TRA RESID'!$I:$I,AK595)*AS595</f>
        <v>#DIV/0!</v>
      </c>
      <c r="AP595" s="18">
        <v>0</v>
      </c>
      <c r="AQ595" s="18">
        <v>5</v>
      </c>
      <c r="AS595" s="21">
        <v>0.98</v>
      </c>
      <c r="AU595" s="15" t="str">
        <f>IF(SUMIFS('TRA RESID'!$P:$P,'TRA RESID'!$I:$I,AY595,'TRA RESID'!$J:$J,AV595,'TRA RESID'!$H:$H,AW595)=0,"*","UC_"&amp;SUBSTITUTE(AV595,"*","")&amp;"_"&amp;RIGHT(AW595,3)&amp;"_"&amp;AX595)</f>
        <v>*</v>
      </c>
      <c r="AV595" s="17" t="s">
        <v>488</v>
      </c>
      <c r="AW595" s="17" t="str">
        <f>_xlfn.XLOOKUP($A595,Selected_constraint!$A:$A,Selected_constraint!$B:$B)</f>
        <v>TRACNG</v>
      </c>
      <c r="AX595" s="17" t="str">
        <f>_xlfn.XLOOKUP($A595,Selected_constraint!$A:$A,Selected_constraint!$C:$C)</f>
        <v>TRAPASTRMDMD</v>
      </c>
      <c r="AY595" s="17" t="str">
        <f>AX595</f>
        <v>TRAPASTRMDMD</v>
      </c>
      <c r="AZ595" s="18">
        <v>2019</v>
      </c>
      <c r="BA595" s="18" t="s">
        <v>483</v>
      </c>
      <c r="BB595" s="18">
        <v>1</v>
      </c>
      <c r="BC595" s="20" t="e">
        <f>-SUMIFS('TRA RESID'!$P:$P,'TRA RESID'!$I:$I,AY595,'TRA RESID'!$J:$J,AV595,'TRA RESID'!$H:$H,AW595)/SUMIFS('TRA RESID'!$P:$P,'TRA RESID'!$I:$I,AY595)*BG595</f>
        <v>#DIV/0!</v>
      </c>
      <c r="BD595" s="18">
        <v>0</v>
      </c>
      <c r="BE595" s="18">
        <v>5</v>
      </c>
      <c r="BG595" s="21">
        <v>0.98</v>
      </c>
    </row>
    <row r="596" spans="1:59" x14ac:dyDescent="0.25">
      <c r="C596" s="15" t="str">
        <f>IF(C595="*",C595,"")</f>
        <v>*</v>
      </c>
      <c r="D596" s="17" t="str">
        <f t="shared" ref="D596:G599" si="472">D595</f>
        <v>*ICEV*</v>
      </c>
      <c r="E596" s="17" t="str">
        <f t="shared" si="472"/>
        <v>TRACNG</v>
      </c>
      <c r="F596" s="17" t="str">
        <f t="shared" si="472"/>
        <v>TRAPASTRMDMD</v>
      </c>
      <c r="G596" s="17" t="str">
        <f t="shared" si="472"/>
        <v>TRAPASTRMDMD</v>
      </c>
      <c r="H596" s="18">
        <v>2025</v>
      </c>
      <c r="I596" s="18" t="str">
        <f>I595</f>
        <v>LO</v>
      </c>
      <c r="J596" s="18"/>
      <c r="K596" s="20" t="e">
        <f>-SUMIFS('TRA RESID'!$P:$P,'TRA RESID'!$I:$I,G596,'TRA RESID'!$J:$J,D596,'TRA RESID'!$H:$H,E596)/SUMIFS('TRA RESID'!$P:$P,'TRA RESID'!$I:$I,G596)*O596</f>
        <v>#DIV/0!</v>
      </c>
      <c r="L596" s="18"/>
      <c r="M596" s="18"/>
      <c r="O596" s="21">
        <v>0.8</v>
      </c>
      <c r="S596" s="15" t="str">
        <f>IF(S595="*",S595,"")</f>
        <v>*</v>
      </c>
      <c r="T596" s="17" t="str">
        <f t="shared" ref="T596:W599" si="473">T595</f>
        <v>*BEV*</v>
      </c>
      <c r="U596" s="17" t="str">
        <f t="shared" si="473"/>
        <v>TRACNG</v>
      </c>
      <c r="V596" s="17" t="str">
        <f t="shared" si="473"/>
        <v>TRAPASTRMDMD</v>
      </c>
      <c r="W596" s="17" t="str">
        <f t="shared" si="473"/>
        <v>TRAPASTRMDMD</v>
      </c>
      <c r="X596" s="18">
        <v>2025</v>
      </c>
      <c r="Y596" s="18" t="str">
        <f>Y595</f>
        <v>LO</v>
      </c>
      <c r="Z596" s="18"/>
      <c r="AA596" s="20" t="e">
        <f>-SUMIFS('TRA RESID'!$P:$P,'TRA RESID'!$I:$I,W596,'TRA RESID'!$J:$J,T596,'TRA RESID'!$H:$H,U596)/SUMIFS('TRA RESID'!$P:$P,'TRA RESID'!$I:$I,W596)*AE596</f>
        <v>#DIV/0!</v>
      </c>
      <c r="AB596" s="18"/>
      <c r="AC596" s="18"/>
      <c r="AE596" s="21">
        <v>1</v>
      </c>
      <c r="AG596" s="15" t="str">
        <f>IF(AG595="*",AG595,"")</f>
        <v>*</v>
      </c>
      <c r="AH596" s="17" t="str">
        <f t="shared" ref="AH596:AK599" si="474">AH595</f>
        <v>*HEV*</v>
      </c>
      <c r="AI596" s="17" t="str">
        <f t="shared" si="474"/>
        <v>TRACNG</v>
      </c>
      <c r="AJ596" s="17" t="str">
        <f t="shared" si="474"/>
        <v>TRAPASTRMDMD</v>
      </c>
      <c r="AK596" s="17" t="str">
        <f t="shared" si="474"/>
        <v>TRAPASTRMDMD</v>
      </c>
      <c r="AL596" s="18">
        <v>2025</v>
      </c>
      <c r="AM596" s="18" t="str">
        <f>AM595</f>
        <v>LO</v>
      </c>
      <c r="AN596" s="18"/>
      <c r="AO596" s="20" t="e">
        <f>-SUMIFS('TRA RESID'!$P:$P,'TRA RESID'!$I:$I,AK596,'TRA RESID'!$J:$J,AH596,'TRA RESID'!$H:$H,AI596)/SUMIFS('TRA RESID'!$P:$P,'TRA RESID'!$I:$I,AK596)*AS596</f>
        <v>#DIV/0!</v>
      </c>
      <c r="AP596" s="18"/>
      <c r="AQ596" s="18"/>
      <c r="AS596" s="21">
        <v>0.8</v>
      </c>
      <c r="AU596" s="15" t="str">
        <f>IF(AU595="*",AU595,"")</f>
        <v>*</v>
      </c>
      <c r="AV596" s="17" t="str">
        <f t="shared" ref="AV596:AY599" si="475">AV595</f>
        <v>*FCEV*</v>
      </c>
      <c r="AW596" s="17" t="str">
        <f t="shared" si="475"/>
        <v>TRACNG</v>
      </c>
      <c r="AX596" s="17" t="str">
        <f t="shared" si="475"/>
        <v>TRAPASTRMDMD</v>
      </c>
      <c r="AY596" s="17" t="str">
        <f t="shared" si="475"/>
        <v>TRAPASTRMDMD</v>
      </c>
      <c r="AZ596" s="18">
        <v>2025</v>
      </c>
      <c r="BA596" s="18" t="str">
        <f>BA595</f>
        <v>LO</v>
      </c>
      <c r="BB596" s="18"/>
      <c r="BC596" s="20" t="e">
        <f>-SUMIFS('TRA RESID'!$P:$P,'TRA RESID'!$I:$I,AY596,'TRA RESID'!$J:$J,AV596,'TRA RESID'!$H:$H,AW596)/SUMIFS('TRA RESID'!$P:$P,'TRA RESID'!$I:$I,AY596)*BG596</f>
        <v>#DIV/0!</v>
      </c>
      <c r="BD596" s="18"/>
      <c r="BE596" s="18"/>
      <c r="BG596" s="21">
        <v>0.8</v>
      </c>
    </row>
    <row r="597" spans="1:59" x14ac:dyDescent="0.25">
      <c r="C597" s="15" t="str">
        <f>IF(C596="*",C596,"")</f>
        <v>*</v>
      </c>
      <c r="D597" s="17" t="str">
        <f t="shared" si="472"/>
        <v>*ICEV*</v>
      </c>
      <c r="E597" s="17" t="str">
        <f t="shared" si="472"/>
        <v>TRACNG</v>
      </c>
      <c r="F597" s="17" t="str">
        <f t="shared" si="472"/>
        <v>TRAPASTRMDMD</v>
      </c>
      <c r="G597" s="17" t="str">
        <f t="shared" si="472"/>
        <v>TRAPASTRMDMD</v>
      </c>
      <c r="H597" s="18">
        <v>2030</v>
      </c>
      <c r="I597" s="18" t="str">
        <f>I596</f>
        <v>LO</v>
      </c>
      <c r="J597" s="18"/>
      <c r="K597" s="20" t="e">
        <f>-SUMIFS('TRA RESID'!$P:$P,'TRA RESID'!$I:$I,G597,'TRA RESID'!$J:$J,D597,'TRA RESID'!$H:$H,E597)/SUMIFS('TRA RESID'!$P:$P,'TRA RESID'!$I:$I,G597)*O597</f>
        <v>#DIV/0!</v>
      </c>
      <c r="L597" s="18"/>
      <c r="M597" s="18"/>
      <c r="O597" s="21">
        <v>0.5</v>
      </c>
      <c r="S597" s="15" t="str">
        <f>IF(S596="*",S596,"")</f>
        <v>*</v>
      </c>
      <c r="T597" s="17" t="str">
        <f t="shared" si="473"/>
        <v>*BEV*</v>
      </c>
      <c r="U597" s="17" t="str">
        <f t="shared" si="473"/>
        <v>TRACNG</v>
      </c>
      <c r="V597" s="17" t="str">
        <f t="shared" si="473"/>
        <v>TRAPASTRMDMD</v>
      </c>
      <c r="W597" s="17" t="str">
        <f t="shared" si="473"/>
        <v>TRAPASTRMDMD</v>
      </c>
      <c r="X597" s="18">
        <v>2030</v>
      </c>
      <c r="Y597" s="18" t="str">
        <f>Y596</f>
        <v>LO</v>
      </c>
      <c r="Z597" s="18"/>
      <c r="AA597" s="20" t="e">
        <f>-SUMIFS('TRA RESID'!$P:$P,'TRA RESID'!$I:$I,W597,'TRA RESID'!$J:$J,T597,'TRA RESID'!$H:$H,U597)/SUMIFS('TRA RESID'!$P:$P,'TRA RESID'!$I:$I,W597)*AE597</f>
        <v>#DIV/0!</v>
      </c>
      <c r="AB597" s="18"/>
      <c r="AC597" s="18"/>
      <c r="AE597" s="21">
        <v>1</v>
      </c>
      <c r="AG597" s="15" t="str">
        <f>IF(AG596="*",AG596,"")</f>
        <v>*</v>
      </c>
      <c r="AH597" s="17" t="str">
        <f t="shared" si="474"/>
        <v>*HEV*</v>
      </c>
      <c r="AI597" s="17" t="str">
        <f t="shared" si="474"/>
        <v>TRACNG</v>
      </c>
      <c r="AJ597" s="17" t="str">
        <f t="shared" si="474"/>
        <v>TRAPASTRMDMD</v>
      </c>
      <c r="AK597" s="17" t="str">
        <f t="shared" si="474"/>
        <v>TRAPASTRMDMD</v>
      </c>
      <c r="AL597" s="18">
        <v>2030</v>
      </c>
      <c r="AM597" s="18" t="str">
        <f>AM596</f>
        <v>LO</v>
      </c>
      <c r="AN597" s="18"/>
      <c r="AO597" s="20" t="e">
        <f>-SUMIFS('TRA RESID'!$P:$P,'TRA RESID'!$I:$I,AK597,'TRA RESID'!$J:$J,AH597,'TRA RESID'!$H:$H,AI597)/SUMIFS('TRA RESID'!$P:$P,'TRA RESID'!$I:$I,AK597)*AS597</f>
        <v>#DIV/0!</v>
      </c>
      <c r="AP597" s="18"/>
      <c r="AQ597" s="18"/>
      <c r="AS597" s="21">
        <v>0.5</v>
      </c>
      <c r="AU597" s="15" t="str">
        <f>IF(AU596="*",AU596,"")</f>
        <v>*</v>
      </c>
      <c r="AV597" s="17" t="str">
        <f t="shared" si="475"/>
        <v>*FCEV*</v>
      </c>
      <c r="AW597" s="17" t="str">
        <f t="shared" si="475"/>
        <v>TRACNG</v>
      </c>
      <c r="AX597" s="17" t="str">
        <f t="shared" si="475"/>
        <v>TRAPASTRMDMD</v>
      </c>
      <c r="AY597" s="17" t="str">
        <f t="shared" si="475"/>
        <v>TRAPASTRMDMD</v>
      </c>
      <c r="AZ597" s="18">
        <v>2030</v>
      </c>
      <c r="BA597" s="18" t="str">
        <f>BA596</f>
        <v>LO</v>
      </c>
      <c r="BB597" s="18"/>
      <c r="BC597" s="20" t="e">
        <f>-SUMIFS('TRA RESID'!$P:$P,'TRA RESID'!$I:$I,AY597,'TRA RESID'!$J:$J,AV597,'TRA RESID'!$H:$H,AW597)/SUMIFS('TRA RESID'!$P:$P,'TRA RESID'!$I:$I,AY597)*BG597</f>
        <v>#DIV/0!</v>
      </c>
      <c r="BD597" s="18"/>
      <c r="BE597" s="18"/>
      <c r="BG597" s="21">
        <v>0.5</v>
      </c>
    </row>
    <row r="598" spans="1:59" x14ac:dyDescent="0.25">
      <c r="C598" s="15" t="str">
        <f>IF(C597="*",C597,"")</f>
        <v>*</v>
      </c>
      <c r="D598" s="17" t="str">
        <f t="shared" si="472"/>
        <v>*ICEV*</v>
      </c>
      <c r="E598" s="17" t="str">
        <f t="shared" si="472"/>
        <v>TRACNG</v>
      </c>
      <c r="F598" s="17" t="str">
        <f t="shared" si="472"/>
        <v>TRAPASTRMDMD</v>
      </c>
      <c r="G598" s="17" t="str">
        <f t="shared" si="472"/>
        <v>TRAPASTRMDMD</v>
      </c>
      <c r="H598" s="18">
        <v>2040</v>
      </c>
      <c r="I598" s="18" t="str">
        <f>I597</f>
        <v>LO</v>
      </c>
      <c r="J598" s="18"/>
      <c r="K598" s="20" t="e">
        <f>-SUMIFS('TRA RESID'!$P:$P,'TRA RESID'!$I:$I,G598,'TRA RESID'!$J:$J,D598,'TRA RESID'!$H:$H,E598)/SUMIFS('TRA RESID'!$P:$P,'TRA RESID'!$I:$I,G598)*O598</f>
        <v>#DIV/0!</v>
      </c>
      <c r="L598" s="18"/>
      <c r="M598" s="18"/>
      <c r="O598" s="21">
        <v>0</v>
      </c>
      <c r="S598" s="15" t="str">
        <f>IF(S597="*",S597,"")</f>
        <v>*</v>
      </c>
      <c r="T598" s="17" t="str">
        <f t="shared" si="473"/>
        <v>*BEV*</v>
      </c>
      <c r="U598" s="17" t="str">
        <f t="shared" si="473"/>
        <v>TRACNG</v>
      </c>
      <c r="V598" s="17" t="str">
        <f t="shared" si="473"/>
        <v>TRAPASTRMDMD</v>
      </c>
      <c r="W598" s="17" t="str">
        <f t="shared" si="473"/>
        <v>TRAPASTRMDMD</v>
      </c>
      <c r="X598" s="18">
        <v>2040</v>
      </c>
      <c r="Y598" s="18" t="str">
        <f>Y597</f>
        <v>LO</v>
      </c>
      <c r="Z598" s="18"/>
      <c r="AA598" s="20" t="e">
        <f>-SUMIFS('TRA RESID'!$P:$P,'TRA RESID'!$I:$I,W598,'TRA RESID'!$J:$J,T598,'TRA RESID'!$H:$H,U598)/SUMIFS('TRA RESID'!$P:$P,'TRA RESID'!$I:$I,W598)*AE598</f>
        <v>#DIV/0!</v>
      </c>
      <c r="AB598" s="18"/>
      <c r="AC598" s="18"/>
      <c r="AE598" s="21">
        <v>1</v>
      </c>
      <c r="AG598" s="15" t="str">
        <f>IF(AG597="*",AG597,"")</f>
        <v>*</v>
      </c>
      <c r="AH598" s="17" t="str">
        <f t="shared" si="474"/>
        <v>*HEV*</v>
      </c>
      <c r="AI598" s="17" t="str">
        <f t="shared" si="474"/>
        <v>TRACNG</v>
      </c>
      <c r="AJ598" s="17" t="str">
        <f t="shared" si="474"/>
        <v>TRAPASTRMDMD</v>
      </c>
      <c r="AK598" s="17" t="str">
        <f t="shared" si="474"/>
        <v>TRAPASTRMDMD</v>
      </c>
      <c r="AL598" s="18">
        <v>2040</v>
      </c>
      <c r="AM598" s="18" t="str">
        <f>AM597</f>
        <v>LO</v>
      </c>
      <c r="AN598" s="18"/>
      <c r="AO598" s="20" t="e">
        <f>-SUMIFS('TRA RESID'!$P:$P,'TRA RESID'!$I:$I,AK598,'TRA RESID'!$J:$J,AH598,'TRA RESID'!$H:$H,AI598)/SUMIFS('TRA RESID'!$P:$P,'TRA RESID'!$I:$I,AK598)*AS598</f>
        <v>#DIV/0!</v>
      </c>
      <c r="AP598" s="18"/>
      <c r="AQ598" s="18"/>
      <c r="AS598" s="21">
        <v>0</v>
      </c>
      <c r="AU598" s="15" t="str">
        <f>IF(AU597="*",AU597,"")</f>
        <v>*</v>
      </c>
      <c r="AV598" s="17" t="str">
        <f t="shared" si="475"/>
        <v>*FCEV*</v>
      </c>
      <c r="AW598" s="17" t="str">
        <f t="shared" si="475"/>
        <v>TRACNG</v>
      </c>
      <c r="AX598" s="17" t="str">
        <f t="shared" si="475"/>
        <v>TRAPASTRMDMD</v>
      </c>
      <c r="AY598" s="17" t="str">
        <f t="shared" si="475"/>
        <v>TRAPASTRMDMD</v>
      </c>
      <c r="AZ598" s="18">
        <v>2040</v>
      </c>
      <c r="BA598" s="18" t="str">
        <f>BA597</f>
        <v>LO</v>
      </c>
      <c r="BB598" s="18"/>
      <c r="BC598" s="20" t="e">
        <f>-SUMIFS('TRA RESID'!$P:$P,'TRA RESID'!$I:$I,AY598,'TRA RESID'!$J:$J,AV598,'TRA RESID'!$H:$H,AW598)/SUMIFS('TRA RESID'!$P:$P,'TRA RESID'!$I:$I,AY598)*BG598</f>
        <v>#DIV/0!</v>
      </c>
      <c r="BD598" s="18"/>
      <c r="BE598" s="18"/>
      <c r="BG598" s="21">
        <v>0</v>
      </c>
    </row>
    <row r="599" spans="1:59" x14ac:dyDescent="0.25">
      <c r="C599" s="23" t="str">
        <f>IF(C598="*",C598,"")</f>
        <v>*</v>
      </c>
      <c r="D599" s="25" t="str">
        <f t="shared" si="472"/>
        <v>*ICEV*</v>
      </c>
      <c r="E599" s="25" t="str">
        <f t="shared" si="472"/>
        <v>TRACNG</v>
      </c>
      <c r="F599" s="25" t="str">
        <f t="shared" si="472"/>
        <v>TRAPASTRMDMD</v>
      </c>
      <c r="G599" s="25" t="str">
        <f t="shared" si="472"/>
        <v>TRAPASTRMDMD</v>
      </c>
      <c r="H599" s="26">
        <v>2050</v>
      </c>
      <c r="I599" s="26" t="str">
        <f>I597</f>
        <v>LO</v>
      </c>
      <c r="J599" s="26"/>
      <c r="K599" s="27" t="e">
        <f>-SUMIFS('TRA RESID'!$P:$P,'TRA RESID'!$I:$I,G599,'TRA RESID'!$J:$J,D599,'TRA RESID'!$H:$H,E599)/SUMIFS('TRA RESID'!$P:$P,'TRA RESID'!$I:$I,G599)*O599</f>
        <v>#DIV/0!</v>
      </c>
      <c r="L599" s="26"/>
      <c r="M599" s="26"/>
      <c r="O599" s="28">
        <v>0</v>
      </c>
      <c r="S599" s="23" t="str">
        <f>IF(S598="*",S598,"")</f>
        <v>*</v>
      </c>
      <c r="T599" s="25" t="str">
        <f t="shared" si="473"/>
        <v>*BEV*</v>
      </c>
      <c r="U599" s="25" t="str">
        <f t="shared" si="473"/>
        <v>TRACNG</v>
      </c>
      <c r="V599" s="25" t="str">
        <f t="shared" si="473"/>
        <v>TRAPASTRMDMD</v>
      </c>
      <c r="W599" s="25" t="str">
        <f t="shared" si="473"/>
        <v>TRAPASTRMDMD</v>
      </c>
      <c r="X599" s="26">
        <v>2050</v>
      </c>
      <c r="Y599" s="26" t="str">
        <f>Y597</f>
        <v>LO</v>
      </c>
      <c r="Z599" s="26"/>
      <c r="AA599" s="27" t="e">
        <f>-SUMIFS('TRA RESID'!$P:$P,'TRA RESID'!$I:$I,W599,'TRA RESID'!$J:$J,T599,'TRA RESID'!$H:$H,U599)/SUMIFS('TRA RESID'!$P:$P,'TRA RESID'!$I:$I,W599)*AE599</f>
        <v>#DIV/0!</v>
      </c>
      <c r="AB599" s="26"/>
      <c r="AC599" s="26"/>
      <c r="AE599" s="28">
        <v>1</v>
      </c>
      <c r="AG599" s="23" t="str">
        <f>IF(AG598="*",AG598,"")</f>
        <v>*</v>
      </c>
      <c r="AH599" s="25" t="str">
        <f t="shared" si="474"/>
        <v>*HEV*</v>
      </c>
      <c r="AI599" s="25" t="str">
        <f t="shared" si="474"/>
        <v>TRACNG</v>
      </c>
      <c r="AJ599" s="25" t="str">
        <f t="shared" si="474"/>
        <v>TRAPASTRMDMD</v>
      </c>
      <c r="AK599" s="25" t="str">
        <f t="shared" si="474"/>
        <v>TRAPASTRMDMD</v>
      </c>
      <c r="AL599" s="26">
        <v>2050</v>
      </c>
      <c r="AM599" s="26" t="str">
        <f>AM597</f>
        <v>LO</v>
      </c>
      <c r="AN599" s="26"/>
      <c r="AO599" s="27" t="e">
        <f>-SUMIFS('TRA RESID'!$P:$P,'TRA RESID'!$I:$I,AK599,'TRA RESID'!$J:$J,AH599,'TRA RESID'!$H:$H,AI599)/SUMIFS('TRA RESID'!$P:$P,'TRA RESID'!$I:$I,AK599)*AS599</f>
        <v>#DIV/0!</v>
      </c>
      <c r="AP599" s="26"/>
      <c r="AQ599" s="26"/>
      <c r="AS599" s="28">
        <v>0</v>
      </c>
      <c r="AU599" s="23" t="str">
        <f>IF(AU598="*",AU598,"")</f>
        <v>*</v>
      </c>
      <c r="AV599" s="25" t="str">
        <f t="shared" si="475"/>
        <v>*FCEV*</v>
      </c>
      <c r="AW599" s="25" t="str">
        <f t="shared" si="475"/>
        <v>TRACNG</v>
      </c>
      <c r="AX599" s="25" t="str">
        <f t="shared" si="475"/>
        <v>TRAPASTRMDMD</v>
      </c>
      <c r="AY599" s="25" t="str">
        <f t="shared" si="475"/>
        <v>TRAPASTRMDMD</v>
      </c>
      <c r="AZ599" s="26">
        <v>2050</v>
      </c>
      <c r="BA599" s="26" t="str">
        <f>BA597</f>
        <v>LO</v>
      </c>
      <c r="BB599" s="26"/>
      <c r="BC599" s="27" t="e">
        <f>-SUMIFS('TRA RESID'!$P:$P,'TRA RESID'!$I:$I,AY599,'TRA RESID'!$J:$J,AV599,'TRA RESID'!$H:$H,AW599)/SUMIFS('TRA RESID'!$P:$P,'TRA RESID'!$I:$I,AY599)*BG599</f>
        <v>#DIV/0!</v>
      </c>
      <c r="BD599" s="26"/>
      <c r="BE599" s="26"/>
      <c r="BG599" s="28">
        <v>0</v>
      </c>
    </row>
    <row r="600" spans="1:59" x14ac:dyDescent="0.25">
      <c r="A600">
        <f>A595+1</f>
        <v>120</v>
      </c>
      <c r="C600" s="15" t="str">
        <f>IF(E600="","",IF(_xlfn.XLOOKUP($A600,Selected_constraint!$A:$A,Selected_constraint!$D:$D)=1,"*",IF(SUMIFS('TRA TECH'!$M:$M,'TRA TECH'!$H:$H,E600,'TRA TECH'!$I:$I,F600)=0,"*",IF(SUMIFS('TRA RESID'!$P:$P,'TRA RESID'!$I:$I,G600,'TRA RESID'!$J:$J,D600,'TRA RESID'!$H:$H,E600)=0,"*","UC_"&amp;SUBSTITUTE(D600,"*","")&amp;"_"&amp;RIGHT(E600,3)&amp;"_"&amp;F600))))</f>
        <v>*</v>
      </c>
      <c r="D600" s="17" t="s">
        <v>485</v>
      </c>
      <c r="E600" s="17" t="str">
        <f>_xlfn.XLOOKUP($A600,Selected_constraint!$A:$A,Selected_constraint!$B:$B)</f>
        <v>TRARNG</v>
      </c>
      <c r="F600" s="17" t="str">
        <f>_xlfn.XLOOKUP($A600,Selected_constraint!$A:$A,Selected_constraint!$C:$C)</f>
        <v>TRAPASTRMDMD</v>
      </c>
      <c r="G600" s="17" t="str">
        <f>F600</f>
        <v>TRAPASTRMDMD</v>
      </c>
      <c r="H600" s="18">
        <v>2019</v>
      </c>
      <c r="I600" s="18" t="s">
        <v>483</v>
      </c>
      <c r="J600" s="18">
        <v>1</v>
      </c>
      <c r="K600" s="20" t="e">
        <f>-SUMIFS('TRA RESID'!$P:$P,'TRA RESID'!$I:$I,G600,'TRA RESID'!$J:$J,D600,'TRA RESID'!$H:$H,E600)/SUMIFS('TRA RESID'!$P:$P,'TRA RESID'!$I:$I,G600)*O600</f>
        <v>#DIV/0!</v>
      </c>
      <c r="L600" s="18">
        <v>0</v>
      </c>
      <c r="M600" s="18">
        <v>5</v>
      </c>
      <c r="O600" s="21">
        <v>0.98</v>
      </c>
      <c r="Q600">
        <f>Q595+1</f>
        <v>120</v>
      </c>
      <c r="S600" s="15" t="str">
        <f>IF(SUMIFS('TRA RESID'!$P:$P,'TRA RESID'!$I:$I,W600,'TRA RESID'!$J:$J,T600,'TRA RESID'!$H:$H,U600)=0,"*","UC_"&amp;SUBSTITUTE(T600,"*","")&amp;"_"&amp;RIGHT(U600,3)&amp;"_"&amp;V600)</f>
        <v>*</v>
      </c>
      <c r="T600" s="17" t="s">
        <v>486</v>
      </c>
      <c r="U600" s="17" t="str">
        <f>_xlfn.XLOOKUP($A600,Selected_constraint!$A:$A,Selected_constraint!$B:$B)</f>
        <v>TRARNG</v>
      </c>
      <c r="V600" s="17" t="str">
        <f>_xlfn.XLOOKUP($A600,Selected_constraint!$A:$A,Selected_constraint!$C:$C)</f>
        <v>TRAPASTRMDMD</v>
      </c>
      <c r="W600" s="17" t="str">
        <f>V600</f>
        <v>TRAPASTRMDMD</v>
      </c>
      <c r="X600" s="18">
        <v>2019</v>
      </c>
      <c r="Y600" s="18" t="s">
        <v>483</v>
      </c>
      <c r="Z600" s="18">
        <v>1</v>
      </c>
      <c r="AA600" s="20" t="e">
        <f>-SUMIFS('TRA RESID'!$P:$P,'TRA RESID'!$I:$I,W600,'TRA RESID'!$J:$J,T600,'TRA RESID'!$H:$H,U600)/SUMIFS('TRA RESID'!$P:$P,'TRA RESID'!$I:$I,W600)*AE600</f>
        <v>#DIV/0!</v>
      </c>
      <c r="AB600" s="18">
        <v>0</v>
      </c>
      <c r="AC600" s="18">
        <v>5</v>
      </c>
      <c r="AE600" s="21">
        <v>0.98</v>
      </c>
      <c r="AG600" s="15" t="str">
        <f>IF(SUMIFS('TRA RESID'!$P:$P,'TRA RESID'!$I:$I,AK600,'TRA RESID'!$J:$J,AH600,'TRA RESID'!$H:$H,AI600)=0,"*","UC_"&amp;SUBSTITUTE(AH600,"*","")&amp;"_"&amp;RIGHT(AI600,3)&amp;"_"&amp;AJ600)</f>
        <v>*</v>
      </c>
      <c r="AH600" s="17" t="s">
        <v>487</v>
      </c>
      <c r="AI600" s="17" t="str">
        <f>_xlfn.XLOOKUP($A600,Selected_constraint!$A:$A,Selected_constraint!$B:$B)</f>
        <v>TRARNG</v>
      </c>
      <c r="AJ600" s="17" t="str">
        <f>_xlfn.XLOOKUP($A600,Selected_constraint!$A:$A,Selected_constraint!$C:$C)</f>
        <v>TRAPASTRMDMD</v>
      </c>
      <c r="AK600" s="17" t="str">
        <f>AJ600</f>
        <v>TRAPASTRMDMD</v>
      </c>
      <c r="AL600" s="18">
        <v>2019</v>
      </c>
      <c r="AM600" s="18" t="s">
        <v>483</v>
      </c>
      <c r="AN600" s="18">
        <v>1</v>
      </c>
      <c r="AO600" s="20" t="e">
        <f>-SUMIFS('TRA RESID'!$P:$P,'TRA RESID'!$I:$I,AK600,'TRA RESID'!$J:$J,AH600,'TRA RESID'!$H:$H,AI600)/SUMIFS('TRA RESID'!$P:$P,'TRA RESID'!$I:$I,AK600)*AS600</f>
        <v>#DIV/0!</v>
      </c>
      <c r="AP600" s="18">
        <v>0</v>
      </c>
      <c r="AQ600" s="18">
        <v>5</v>
      </c>
      <c r="AS600" s="21">
        <v>0.98</v>
      </c>
      <c r="AU600" s="15" t="str">
        <f>IF(SUMIFS('TRA RESID'!$P:$P,'TRA RESID'!$I:$I,AY600,'TRA RESID'!$J:$J,AV600,'TRA RESID'!$H:$H,AW600)=0,"*","UC_"&amp;SUBSTITUTE(AV600,"*","")&amp;"_"&amp;RIGHT(AW600,3)&amp;"_"&amp;AX600)</f>
        <v>*</v>
      </c>
      <c r="AV600" s="17" t="s">
        <v>488</v>
      </c>
      <c r="AW600" s="17" t="str">
        <f>_xlfn.XLOOKUP($A600,Selected_constraint!$A:$A,Selected_constraint!$B:$B)</f>
        <v>TRARNG</v>
      </c>
      <c r="AX600" s="17" t="str">
        <f>_xlfn.XLOOKUP($A600,Selected_constraint!$A:$A,Selected_constraint!$C:$C)</f>
        <v>TRAPASTRMDMD</v>
      </c>
      <c r="AY600" s="17" t="str">
        <f>AX600</f>
        <v>TRAPASTRMDMD</v>
      </c>
      <c r="AZ600" s="18">
        <v>2019</v>
      </c>
      <c r="BA600" s="18" t="s">
        <v>483</v>
      </c>
      <c r="BB600" s="18">
        <v>1</v>
      </c>
      <c r="BC600" s="20" t="e">
        <f>-SUMIFS('TRA RESID'!$P:$P,'TRA RESID'!$I:$I,AY600,'TRA RESID'!$J:$J,AV600,'TRA RESID'!$H:$H,AW600)/SUMIFS('TRA RESID'!$P:$P,'TRA RESID'!$I:$I,AY600)*BG600</f>
        <v>#DIV/0!</v>
      </c>
      <c r="BD600" s="18">
        <v>0</v>
      </c>
      <c r="BE600" s="18">
        <v>5</v>
      </c>
      <c r="BG600" s="21">
        <v>0.98</v>
      </c>
    </row>
    <row r="601" spans="1:59" x14ac:dyDescent="0.25">
      <c r="C601" s="15" t="str">
        <f>IF(C600="*",C600,"")</f>
        <v>*</v>
      </c>
      <c r="D601" s="17" t="str">
        <f t="shared" ref="D601:G604" si="476">D600</f>
        <v>*ICEV*</v>
      </c>
      <c r="E601" s="17" t="str">
        <f t="shared" si="476"/>
        <v>TRARNG</v>
      </c>
      <c r="F601" s="17" t="str">
        <f t="shared" si="476"/>
        <v>TRAPASTRMDMD</v>
      </c>
      <c r="G601" s="17" t="str">
        <f t="shared" si="476"/>
        <v>TRAPASTRMDMD</v>
      </c>
      <c r="H601" s="18">
        <v>2025</v>
      </c>
      <c r="I601" s="18" t="str">
        <f>I600</f>
        <v>LO</v>
      </c>
      <c r="J601" s="18"/>
      <c r="K601" s="20" t="e">
        <f>-SUMIFS('TRA RESID'!$P:$P,'TRA RESID'!$I:$I,G601,'TRA RESID'!$J:$J,D601,'TRA RESID'!$H:$H,E601)/SUMIFS('TRA RESID'!$P:$P,'TRA RESID'!$I:$I,G601)*O601</f>
        <v>#DIV/0!</v>
      </c>
      <c r="L601" s="18"/>
      <c r="M601" s="18"/>
      <c r="O601" s="21">
        <v>0.8</v>
      </c>
      <c r="S601" s="15" t="str">
        <f>IF(S600="*",S600,"")</f>
        <v>*</v>
      </c>
      <c r="T601" s="17" t="str">
        <f t="shared" ref="T601:W604" si="477">T600</f>
        <v>*BEV*</v>
      </c>
      <c r="U601" s="17" t="str">
        <f t="shared" si="477"/>
        <v>TRARNG</v>
      </c>
      <c r="V601" s="17" t="str">
        <f t="shared" si="477"/>
        <v>TRAPASTRMDMD</v>
      </c>
      <c r="W601" s="17" t="str">
        <f t="shared" si="477"/>
        <v>TRAPASTRMDMD</v>
      </c>
      <c r="X601" s="18">
        <v>2025</v>
      </c>
      <c r="Y601" s="18" t="str">
        <f>Y600</f>
        <v>LO</v>
      </c>
      <c r="Z601" s="18"/>
      <c r="AA601" s="20" t="e">
        <f>-SUMIFS('TRA RESID'!$P:$P,'TRA RESID'!$I:$I,W601,'TRA RESID'!$J:$J,T601,'TRA RESID'!$H:$H,U601)/SUMIFS('TRA RESID'!$P:$P,'TRA RESID'!$I:$I,W601)*AE601</f>
        <v>#DIV/0!</v>
      </c>
      <c r="AB601" s="18"/>
      <c r="AC601" s="18"/>
      <c r="AE601" s="21">
        <v>1</v>
      </c>
      <c r="AG601" s="15" t="str">
        <f>IF(AG600="*",AG600,"")</f>
        <v>*</v>
      </c>
      <c r="AH601" s="17" t="str">
        <f t="shared" ref="AH601:AK604" si="478">AH600</f>
        <v>*HEV*</v>
      </c>
      <c r="AI601" s="17" t="str">
        <f t="shared" si="478"/>
        <v>TRARNG</v>
      </c>
      <c r="AJ601" s="17" t="str">
        <f t="shared" si="478"/>
        <v>TRAPASTRMDMD</v>
      </c>
      <c r="AK601" s="17" t="str">
        <f t="shared" si="478"/>
        <v>TRAPASTRMDMD</v>
      </c>
      <c r="AL601" s="18">
        <v>2025</v>
      </c>
      <c r="AM601" s="18" t="str">
        <f>AM600</f>
        <v>LO</v>
      </c>
      <c r="AN601" s="18"/>
      <c r="AO601" s="20" t="e">
        <f>-SUMIFS('TRA RESID'!$P:$P,'TRA RESID'!$I:$I,AK601,'TRA RESID'!$J:$J,AH601,'TRA RESID'!$H:$H,AI601)/SUMIFS('TRA RESID'!$P:$P,'TRA RESID'!$I:$I,AK601)*AS601</f>
        <v>#DIV/0!</v>
      </c>
      <c r="AP601" s="18"/>
      <c r="AQ601" s="18"/>
      <c r="AS601" s="21">
        <v>0.8</v>
      </c>
      <c r="AU601" s="15" t="str">
        <f>IF(AU600="*",AU600,"")</f>
        <v>*</v>
      </c>
      <c r="AV601" s="17" t="str">
        <f t="shared" ref="AV601:AY604" si="479">AV600</f>
        <v>*FCEV*</v>
      </c>
      <c r="AW601" s="17" t="str">
        <f t="shared" si="479"/>
        <v>TRARNG</v>
      </c>
      <c r="AX601" s="17" t="str">
        <f t="shared" si="479"/>
        <v>TRAPASTRMDMD</v>
      </c>
      <c r="AY601" s="17" t="str">
        <f t="shared" si="479"/>
        <v>TRAPASTRMDMD</v>
      </c>
      <c r="AZ601" s="18">
        <v>2025</v>
      </c>
      <c r="BA601" s="18" t="str">
        <f>BA600</f>
        <v>LO</v>
      </c>
      <c r="BB601" s="18"/>
      <c r="BC601" s="20" t="e">
        <f>-SUMIFS('TRA RESID'!$P:$P,'TRA RESID'!$I:$I,AY601,'TRA RESID'!$J:$J,AV601,'TRA RESID'!$H:$H,AW601)/SUMIFS('TRA RESID'!$P:$P,'TRA RESID'!$I:$I,AY601)*BG601</f>
        <v>#DIV/0!</v>
      </c>
      <c r="BD601" s="18"/>
      <c r="BE601" s="18"/>
      <c r="BG601" s="21">
        <v>0.8</v>
      </c>
    </row>
    <row r="602" spans="1:59" x14ac:dyDescent="0.25">
      <c r="C602" s="15" t="str">
        <f>IF(C601="*",C601,"")</f>
        <v>*</v>
      </c>
      <c r="D602" s="17" t="str">
        <f t="shared" si="476"/>
        <v>*ICEV*</v>
      </c>
      <c r="E602" s="17" t="str">
        <f t="shared" si="476"/>
        <v>TRARNG</v>
      </c>
      <c r="F602" s="17" t="str">
        <f t="shared" si="476"/>
        <v>TRAPASTRMDMD</v>
      </c>
      <c r="G602" s="17" t="str">
        <f t="shared" si="476"/>
        <v>TRAPASTRMDMD</v>
      </c>
      <c r="H602" s="18">
        <v>2030</v>
      </c>
      <c r="I602" s="18" t="str">
        <f>I601</f>
        <v>LO</v>
      </c>
      <c r="J602" s="18"/>
      <c r="K602" s="20" t="e">
        <f>-SUMIFS('TRA RESID'!$P:$P,'TRA RESID'!$I:$I,G602,'TRA RESID'!$J:$J,D602,'TRA RESID'!$H:$H,E602)/SUMIFS('TRA RESID'!$P:$P,'TRA RESID'!$I:$I,G602)*O602</f>
        <v>#DIV/0!</v>
      </c>
      <c r="L602" s="18"/>
      <c r="M602" s="18"/>
      <c r="O602" s="21">
        <v>0.5</v>
      </c>
      <c r="S602" s="15" t="str">
        <f>IF(S601="*",S601,"")</f>
        <v>*</v>
      </c>
      <c r="T602" s="17" t="str">
        <f t="shared" si="477"/>
        <v>*BEV*</v>
      </c>
      <c r="U602" s="17" t="str">
        <f t="shared" si="477"/>
        <v>TRARNG</v>
      </c>
      <c r="V602" s="17" t="str">
        <f t="shared" si="477"/>
        <v>TRAPASTRMDMD</v>
      </c>
      <c r="W602" s="17" t="str">
        <f t="shared" si="477"/>
        <v>TRAPASTRMDMD</v>
      </c>
      <c r="X602" s="18">
        <v>2030</v>
      </c>
      <c r="Y602" s="18" t="str">
        <f>Y601</f>
        <v>LO</v>
      </c>
      <c r="Z602" s="18"/>
      <c r="AA602" s="20" t="e">
        <f>-SUMIFS('TRA RESID'!$P:$P,'TRA RESID'!$I:$I,W602,'TRA RESID'!$J:$J,T602,'TRA RESID'!$H:$H,U602)/SUMIFS('TRA RESID'!$P:$P,'TRA RESID'!$I:$I,W602)*AE602</f>
        <v>#DIV/0!</v>
      </c>
      <c r="AB602" s="18"/>
      <c r="AC602" s="18"/>
      <c r="AE602" s="21">
        <v>1</v>
      </c>
      <c r="AG602" s="15" t="str">
        <f>IF(AG601="*",AG601,"")</f>
        <v>*</v>
      </c>
      <c r="AH602" s="17" t="str">
        <f t="shared" si="478"/>
        <v>*HEV*</v>
      </c>
      <c r="AI602" s="17" t="str">
        <f t="shared" si="478"/>
        <v>TRARNG</v>
      </c>
      <c r="AJ602" s="17" t="str">
        <f t="shared" si="478"/>
        <v>TRAPASTRMDMD</v>
      </c>
      <c r="AK602" s="17" t="str">
        <f t="shared" si="478"/>
        <v>TRAPASTRMDMD</v>
      </c>
      <c r="AL602" s="18">
        <v>2030</v>
      </c>
      <c r="AM602" s="18" t="str">
        <f>AM601</f>
        <v>LO</v>
      </c>
      <c r="AN602" s="18"/>
      <c r="AO602" s="20" t="e">
        <f>-SUMIFS('TRA RESID'!$P:$P,'TRA RESID'!$I:$I,AK602,'TRA RESID'!$J:$J,AH602,'TRA RESID'!$H:$H,AI602)/SUMIFS('TRA RESID'!$P:$P,'TRA RESID'!$I:$I,AK602)*AS602</f>
        <v>#DIV/0!</v>
      </c>
      <c r="AP602" s="18"/>
      <c r="AQ602" s="18"/>
      <c r="AS602" s="21">
        <v>0.5</v>
      </c>
      <c r="AU602" s="15" t="str">
        <f>IF(AU601="*",AU601,"")</f>
        <v>*</v>
      </c>
      <c r="AV602" s="17" t="str">
        <f t="shared" si="479"/>
        <v>*FCEV*</v>
      </c>
      <c r="AW602" s="17" t="str">
        <f t="shared" si="479"/>
        <v>TRARNG</v>
      </c>
      <c r="AX602" s="17" t="str">
        <f t="shared" si="479"/>
        <v>TRAPASTRMDMD</v>
      </c>
      <c r="AY602" s="17" t="str">
        <f t="shared" si="479"/>
        <v>TRAPASTRMDMD</v>
      </c>
      <c r="AZ602" s="18">
        <v>2030</v>
      </c>
      <c r="BA602" s="18" t="str">
        <f>BA601</f>
        <v>LO</v>
      </c>
      <c r="BB602" s="18"/>
      <c r="BC602" s="20" t="e">
        <f>-SUMIFS('TRA RESID'!$P:$P,'TRA RESID'!$I:$I,AY602,'TRA RESID'!$J:$J,AV602,'TRA RESID'!$H:$H,AW602)/SUMIFS('TRA RESID'!$P:$P,'TRA RESID'!$I:$I,AY602)*BG602</f>
        <v>#DIV/0!</v>
      </c>
      <c r="BD602" s="18"/>
      <c r="BE602" s="18"/>
      <c r="BG602" s="21">
        <v>0.5</v>
      </c>
    </row>
    <row r="603" spans="1:59" x14ac:dyDescent="0.25">
      <c r="C603" s="15" t="str">
        <f>IF(C602="*",C602,"")</f>
        <v>*</v>
      </c>
      <c r="D603" s="17" t="str">
        <f t="shared" si="476"/>
        <v>*ICEV*</v>
      </c>
      <c r="E603" s="17" t="str">
        <f t="shared" si="476"/>
        <v>TRARNG</v>
      </c>
      <c r="F603" s="17" t="str">
        <f t="shared" si="476"/>
        <v>TRAPASTRMDMD</v>
      </c>
      <c r="G603" s="17" t="str">
        <f t="shared" si="476"/>
        <v>TRAPASTRMDMD</v>
      </c>
      <c r="H603" s="18">
        <v>2040</v>
      </c>
      <c r="I603" s="18" t="str">
        <f>I602</f>
        <v>LO</v>
      </c>
      <c r="J603" s="18"/>
      <c r="K603" s="20" t="e">
        <f>-SUMIFS('TRA RESID'!$P:$P,'TRA RESID'!$I:$I,G603,'TRA RESID'!$J:$J,D603,'TRA RESID'!$H:$H,E603)/SUMIFS('TRA RESID'!$P:$P,'TRA RESID'!$I:$I,G603)*O603</f>
        <v>#DIV/0!</v>
      </c>
      <c r="L603" s="18"/>
      <c r="M603" s="18"/>
      <c r="O603" s="21">
        <v>0</v>
      </c>
      <c r="S603" s="15" t="str">
        <f>IF(S602="*",S602,"")</f>
        <v>*</v>
      </c>
      <c r="T603" s="17" t="str">
        <f t="shared" si="477"/>
        <v>*BEV*</v>
      </c>
      <c r="U603" s="17" t="str">
        <f t="shared" si="477"/>
        <v>TRARNG</v>
      </c>
      <c r="V603" s="17" t="str">
        <f t="shared" si="477"/>
        <v>TRAPASTRMDMD</v>
      </c>
      <c r="W603" s="17" t="str">
        <f t="shared" si="477"/>
        <v>TRAPASTRMDMD</v>
      </c>
      <c r="X603" s="18">
        <v>2040</v>
      </c>
      <c r="Y603" s="18" t="str">
        <f>Y602</f>
        <v>LO</v>
      </c>
      <c r="Z603" s="18"/>
      <c r="AA603" s="20" t="e">
        <f>-SUMIFS('TRA RESID'!$P:$P,'TRA RESID'!$I:$I,W603,'TRA RESID'!$J:$J,T603,'TRA RESID'!$H:$H,U603)/SUMIFS('TRA RESID'!$P:$P,'TRA RESID'!$I:$I,W603)*AE603</f>
        <v>#DIV/0!</v>
      </c>
      <c r="AB603" s="18"/>
      <c r="AC603" s="18"/>
      <c r="AE603" s="21">
        <v>1</v>
      </c>
      <c r="AG603" s="15" t="str">
        <f>IF(AG602="*",AG602,"")</f>
        <v>*</v>
      </c>
      <c r="AH603" s="17" t="str">
        <f t="shared" si="478"/>
        <v>*HEV*</v>
      </c>
      <c r="AI603" s="17" t="str">
        <f t="shared" si="478"/>
        <v>TRARNG</v>
      </c>
      <c r="AJ603" s="17" t="str">
        <f t="shared" si="478"/>
        <v>TRAPASTRMDMD</v>
      </c>
      <c r="AK603" s="17" t="str">
        <f t="shared" si="478"/>
        <v>TRAPASTRMDMD</v>
      </c>
      <c r="AL603" s="18">
        <v>2040</v>
      </c>
      <c r="AM603" s="18" t="str">
        <f>AM602</f>
        <v>LO</v>
      </c>
      <c r="AN603" s="18"/>
      <c r="AO603" s="20" t="e">
        <f>-SUMIFS('TRA RESID'!$P:$P,'TRA RESID'!$I:$I,AK603,'TRA RESID'!$J:$J,AH603,'TRA RESID'!$H:$H,AI603)/SUMIFS('TRA RESID'!$P:$P,'TRA RESID'!$I:$I,AK603)*AS603</f>
        <v>#DIV/0!</v>
      </c>
      <c r="AP603" s="18"/>
      <c r="AQ603" s="18"/>
      <c r="AS603" s="21">
        <v>0</v>
      </c>
      <c r="AU603" s="15" t="str">
        <f>IF(AU602="*",AU602,"")</f>
        <v>*</v>
      </c>
      <c r="AV603" s="17" t="str">
        <f t="shared" si="479"/>
        <v>*FCEV*</v>
      </c>
      <c r="AW603" s="17" t="str">
        <f t="shared" si="479"/>
        <v>TRARNG</v>
      </c>
      <c r="AX603" s="17" t="str">
        <f t="shared" si="479"/>
        <v>TRAPASTRMDMD</v>
      </c>
      <c r="AY603" s="17" t="str">
        <f t="shared" si="479"/>
        <v>TRAPASTRMDMD</v>
      </c>
      <c r="AZ603" s="18">
        <v>2040</v>
      </c>
      <c r="BA603" s="18" t="str">
        <f>BA602</f>
        <v>LO</v>
      </c>
      <c r="BB603" s="18"/>
      <c r="BC603" s="20" t="e">
        <f>-SUMIFS('TRA RESID'!$P:$P,'TRA RESID'!$I:$I,AY603,'TRA RESID'!$J:$J,AV603,'TRA RESID'!$H:$H,AW603)/SUMIFS('TRA RESID'!$P:$P,'TRA RESID'!$I:$I,AY603)*BG603</f>
        <v>#DIV/0!</v>
      </c>
      <c r="BD603" s="18"/>
      <c r="BE603" s="18"/>
      <c r="BG603" s="21">
        <v>0</v>
      </c>
    </row>
    <row r="604" spans="1:59" x14ac:dyDescent="0.25">
      <c r="C604" s="23" t="str">
        <f>IF(C603="*",C603,"")</f>
        <v>*</v>
      </c>
      <c r="D604" s="25" t="str">
        <f t="shared" si="476"/>
        <v>*ICEV*</v>
      </c>
      <c r="E604" s="25" t="str">
        <f t="shared" si="476"/>
        <v>TRARNG</v>
      </c>
      <c r="F604" s="25" t="str">
        <f t="shared" si="476"/>
        <v>TRAPASTRMDMD</v>
      </c>
      <c r="G604" s="25" t="str">
        <f t="shared" si="476"/>
        <v>TRAPASTRMDMD</v>
      </c>
      <c r="H604" s="26">
        <v>2050</v>
      </c>
      <c r="I604" s="26" t="str">
        <f>I602</f>
        <v>LO</v>
      </c>
      <c r="J604" s="26"/>
      <c r="K604" s="27" t="e">
        <f>-SUMIFS('TRA RESID'!$P:$P,'TRA RESID'!$I:$I,G604,'TRA RESID'!$J:$J,D604,'TRA RESID'!$H:$H,E604)/SUMIFS('TRA RESID'!$P:$P,'TRA RESID'!$I:$I,G604)*O604</f>
        <v>#DIV/0!</v>
      </c>
      <c r="L604" s="26"/>
      <c r="M604" s="26"/>
      <c r="O604" s="28">
        <v>0</v>
      </c>
      <c r="S604" s="23" t="str">
        <f>IF(S603="*",S603,"")</f>
        <v>*</v>
      </c>
      <c r="T604" s="25" t="str">
        <f t="shared" si="477"/>
        <v>*BEV*</v>
      </c>
      <c r="U604" s="25" t="str">
        <f t="shared" si="477"/>
        <v>TRARNG</v>
      </c>
      <c r="V604" s="25" t="str">
        <f t="shared" si="477"/>
        <v>TRAPASTRMDMD</v>
      </c>
      <c r="W604" s="25" t="str">
        <f t="shared" si="477"/>
        <v>TRAPASTRMDMD</v>
      </c>
      <c r="X604" s="26">
        <v>2050</v>
      </c>
      <c r="Y604" s="26" t="str">
        <f>Y602</f>
        <v>LO</v>
      </c>
      <c r="Z604" s="26"/>
      <c r="AA604" s="27" t="e">
        <f>-SUMIFS('TRA RESID'!$P:$P,'TRA RESID'!$I:$I,W604,'TRA RESID'!$J:$J,T604,'TRA RESID'!$H:$H,U604)/SUMIFS('TRA RESID'!$P:$P,'TRA RESID'!$I:$I,W604)*AE604</f>
        <v>#DIV/0!</v>
      </c>
      <c r="AB604" s="26"/>
      <c r="AC604" s="26"/>
      <c r="AE604" s="28">
        <v>1</v>
      </c>
      <c r="AG604" s="23" t="str">
        <f>IF(AG603="*",AG603,"")</f>
        <v>*</v>
      </c>
      <c r="AH604" s="25" t="str">
        <f t="shared" si="478"/>
        <v>*HEV*</v>
      </c>
      <c r="AI604" s="25" t="str">
        <f t="shared" si="478"/>
        <v>TRARNG</v>
      </c>
      <c r="AJ604" s="25" t="str">
        <f t="shared" si="478"/>
        <v>TRAPASTRMDMD</v>
      </c>
      <c r="AK604" s="25" t="str">
        <f t="shared" si="478"/>
        <v>TRAPASTRMDMD</v>
      </c>
      <c r="AL604" s="26">
        <v>2050</v>
      </c>
      <c r="AM604" s="26" t="str">
        <f>AM602</f>
        <v>LO</v>
      </c>
      <c r="AN604" s="26"/>
      <c r="AO604" s="27" t="e">
        <f>-SUMIFS('TRA RESID'!$P:$P,'TRA RESID'!$I:$I,AK604,'TRA RESID'!$J:$J,AH604,'TRA RESID'!$H:$H,AI604)/SUMIFS('TRA RESID'!$P:$P,'TRA RESID'!$I:$I,AK604)*AS604</f>
        <v>#DIV/0!</v>
      </c>
      <c r="AP604" s="26"/>
      <c r="AQ604" s="26"/>
      <c r="AS604" s="28">
        <v>0</v>
      </c>
      <c r="AU604" s="23" t="str">
        <f>IF(AU603="*",AU603,"")</f>
        <v>*</v>
      </c>
      <c r="AV604" s="25" t="str">
        <f t="shared" si="479"/>
        <v>*FCEV*</v>
      </c>
      <c r="AW604" s="25" t="str">
        <f t="shared" si="479"/>
        <v>TRARNG</v>
      </c>
      <c r="AX604" s="25" t="str">
        <f t="shared" si="479"/>
        <v>TRAPASTRMDMD</v>
      </c>
      <c r="AY604" s="25" t="str">
        <f t="shared" si="479"/>
        <v>TRAPASTRMDMD</v>
      </c>
      <c r="AZ604" s="26">
        <v>2050</v>
      </c>
      <c r="BA604" s="26" t="str">
        <f>BA602</f>
        <v>LO</v>
      </c>
      <c r="BB604" s="26"/>
      <c r="BC604" s="27" t="e">
        <f>-SUMIFS('TRA RESID'!$P:$P,'TRA RESID'!$I:$I,AY604,'TRA RESID'!$J:$J,AV604,'TRA RESID'!$H:$H,AW604)/SUMIFS('TRA RESID'!$P:$P,'TRA RESID'!$I:$I,AY604)*BG604</f>
        <v>#DIV/0!</v>
      </c>
      <c r="BD604" s="26"/>
      <c r="BE604" s="26"/>
      <c r="BG604" s="28">
        <v>0</v>
      </c>
    </row>
    <row r="605" spans="1:59" x14ac:dyDescent="0.25">
      <c r="A605">
        <f>A600+1</f>
        <v>121</v>
      </c>
      <c r="C605" s="15" t="str">
        <f>IF(E605="","",IF(_xlfn.XLOOKUP($A605,Selected_constraint!$A:$A,Selected_constraint!$D:$D)=1,"*",IF(SUMIFS('TRA TECH'!$M:$M,'TRA TECH'!$H:$H,E605,'TRA TECH'!$I:$I,F605)=0,"*",IF(SUMIFS('TRA RESID'!$P:$P,'TRA RESID'!$I:$I,G605,'TRA RESID'!$J:$J,D605,'TRA RESID'!$H:$H,E605)=0,"*","UC_"&amp;SUBSTITUTE(D605,"*","")&amp;"_"&amp;RIGHT(E605,3)&amp;"_"&amp;F605))))</f>
        <v>*</v>
      </c>
      <c r="D605" s="17" t="s">
        <v>485</v>
      </c>
      <c r="E605" s="17" t="str">
        <f>_xlfn.XLOOKUP($A605,Selected_constraint!$A:$A,Selected_constraint!$B:$B)</f>
        <v>TRAELC</v>
      </c>
      <c r="F605" s="17" t="str">
        <f>_xlfn.XLOOKUP($A605,Selected_constraint!$A:$A,Selected_constraint!$C:$C)</f>
        <v>TRAPASTRMDMD</v>
      </c>
      <c r="G605" s="17" t="str">
        <f>F605</f>
        <v>TRAPASTRMDMD</v>
      </c>
      <c r="H605" s="18">
        <v>2019</v>
      </c>
      <c r="I605" s="18" t="s">
        <v>483</v>
      </c>
      <c r="J605" s="18">
        <v>1</v>
      </c>
      <c r="K605" s="20" t="e">
        <f>-SUMIFS('TRA RESID'!$P:$P,'TRA RESID'!$I:$I,G605,'TRA RESID'!$J:$J,D605,'TRA RESID'!$H:$H,E605)/SUMIFS('TRA RESID'!$P:$P,'TRA RESID'!$I:$I,G605)*O605</f>
        <v>#DIV/0!</v>
      </c>
      <c r="L605" s="18">
        <v>0</v>
      </c>
      <c r="M605" s="18">
        <v>5</v>
      </c>
      <c r="O605" s="21">
        <v>0.98</v>
      </c>
      <c r="Q605">
        <f>Q600+1</f>
        <v>121</v>
      </c>
      <c r="S605" s="15" t="str">
        <f>IF(SUMIFS('TRA RESID'!$P:$P,'TRA RESID'!$I:$I,W605,'TRA RESID'!$J:$J,T605,'TRA RESID'!$H:$H,U605)=0,"*","UC_"&amp;SUBSTITUTE(T605,"*","")&amp;"_"&amp;RIGHT(U605,3)&amp;"_"&amp;V605)</f>
        <v>*</v>
      </c>
      <c r="T605" s="17" t="s">
        <v>486</v>
      </c>
      <c r="U605" s="17" t="str">
        <f>_xlfn.XLOOKUP($A605,Selected_constraint!$A:$A,Selected_constraint!$B:$B)</f>
        <v>TRAELC</v>
      </c>
      <c r="V605" s="17" t="str">
        <f>_xlfn.XLOOKUP($A605,Selected_constraint!$A:$A,Selected_constraint!$C:$C)</f>
        <v>TRAPASTRMDMD</v>
      </c>
      <c r="W605" s="17" t="str">
        <f>V605</f>
        <v>TRAPASTRMDMD</v>
      </c>
      <c r="X605" s="18">
        <v>2019</v>
      </c>
      <c r="Y605" s="18" t="s">
        <v>483</v>
      </c>
      <c r="Z605" s="18">
        <v>1</v>
      </c>
      <c r="AA605" s="20" t="e">
        <f>-SUMIFS('TRA RESID'!$P:$P,'TRA RESID'!$I:$I,W605,'TRA RESID'!$J:$J,T605,'TRA RESID'!$H:$H,U605)/SUMIFS('TRA RESID'!$P:$P,'TRA RESID'!$I:$I,W605)*AE605</f>
        <v>#DIV/0!</v>
      </c>
      <c r="AB605" s="18">
        <v>0</v>
      </c>
      <c r="AC605" s="18">
        <v>5</v>
      </c>
      <c r="AE605" s="21">
        <v>0.98</v>
      </c>
      <c r="AG605" s="15" t="str">
        <f>IF(SUMIFS('TRA RESID'!$P:$P,'TRA RESID'!$I:$I,AK605,'TRA RESID'!$J:$J,AH605,'TRA RESID'!$H:$H,AI605)=0,"*","UC_"&amp;SUBSTITUTE(AH605,"*","")&amp;"_"&amp;RIGHT(AI605,3)&amp;"_"&amp;AJ605)</f>
        <v>*</v>
      </c>
      <c r="AH605" s="17" t="s">
        <v>487</v>
      </c>
      <c r="AI605" s="17" t="str">
        <f>_xlfn.XLOOKUP($A605,Selected_constraint!$A:$A,Selected_constraint!$B:$B)</f>
        <v>TRAELC</v>
      </c>
      <c r="AJ605" s="17" t="str">
        <f>_xlfn.XLOOKUP($A605,Selected_constraint!$A:$A,Selected_constraint!$C:$C)</f>
        <v>TRAPASTRMDMD</v>
      </c>
      <c r="AK605" s="17" t="str">
        <f>AJ605</f>
        <v>TRAPASTRMDMD</v>
      </c>
      <c r="AL605" s="18">
        <v>2019</v>
      </c>
      <c r="AM605" s="18" t="s">
        <v>483</v>
      </c>
      <c r="AN605" s="18">
        <v>1</v>
      </c>
      <c r="AO605" s="20" t="e">
        <f>-SUMIFS('TRA RESID'!$P:$P,'TRA RESID'!$I:$I,AK605,'TRA RESID'!$J:$J,AH605,'TRA RESID'!$H:$H,AI605)/SUMIFS('TRA RESID'!$P:$P,'TRA RESID'!$I:$I,AK605)*AS605</f>
        <v>#DIV/0!</v>
      </c>
      <c r="AP605" s="18">
        <v>0</v>
      </c>
      <c r="AQ605" s="18">
        <v>5</v>
      </c>
      <c r="AS605" s="21">
        <v>0.98</v>
      </c>
      <c r="AU605" s="15" t="str">
        <f>IF(SUMIFS('TRA RESID'!$P:$P,'TRA RESID'!$I:$I,AY605,'TRA RESID'!$J:$J,AV605,'TRA RESID'!$H:$H,AW605)=0,"*","UC_"&amp;SUBSTITUTE(AV605,"*","")&amp;"_"&amp;RIGHT(AW605,3)&amp;"_"&amp;AX605)</f>
        <v>*</v>
      </c>
      <c r="AV605" s="17" t="s">
        <v>488</v>
      </c>
      <c r="AW605" s="17" t="str">
        <f>_xlfn.XLOOKUP($A605,Selected_constraint!$A:$A,Selected_constraint!$B:$B)</f>
        <v>TRAELC</v>
      </c>
      <c r="AX605" s="17" t="str">
        <f>_xlfn.XLOOKUP($A605,Selected_constraint!$A:$A,Selected_constraint!$C:$C)</f>
        <v>TRAPASTRMDMD</v>
      </c>
      <c r="AY605" s="17" t="str">
        <f>AX605</f>
        <v>TRAPASTRMDMD</v>
      </c>
      <c r="AZ605" s="18">
        <v>2019</v>
      </c>
      <c r="BA605" s="18" t="s">
        <v>483</v>
      </c>
      <c r="BB605" s="18">
        <v>1</v>
      </c>
      <c r="BC605" s="20" t="e">
        <f>-SUMIFS('TRA RESID'!$P:$P,'TRA RESID'!$I:$I,AY605,'TRA RESID'!$J:$J,AV605,'TRA RESID'!$H:$H,AW605)/SUMIFS('TRA RESID'!$P:$P,'TRA RESID'!$I:$I,AY605)*BG605</f>
        <v>#DIV/0!</v>
      </c>
      <c r="BD605" s="18">
        <v>0</v>
      </c>
      <c r="BE605" s="18">
        <v>5</v>
      </c>
      <c r="BG605" s="21">
        <v>0.98</v>
      </c>
    </row>
    <row r="606" spans="1:59" x14ac:dyDescent="0.25">
      <c r="C606" s="15" t="str">
        <f>IF(C605="*",C605,"")</f>
        <v>*</v>
      </c>
      <c r="D606" s="17" t="str">
        <f t="shared" ref="D606:G609" si="480">D605</f>
        <v>*ICEV*</v>
      </c>
      <c r="E606" s="17" t="str">
        <f t="shared" si="480"/>
        <v>TRAELC</v>
      </c>
      <c r="F606" s="17" t="str">
        <f t="shared" si="480"/>
        <v>TRAPASTRMDMD</v>
      </c>
      <c r="G606" s="17" t="str">
        <f t="shared" si="480"/>
        <v>TRAPASTRMDMD</v>
      </c>
      <c r="H606" s="18">
        <v>2025</v>
      </c>
      <c r="I606" s="18" t="str">
        <f>I605</f>
        <v>LO</v>
      </c>
      <c r="J606" s="18"/>
      <c r="K606" s="20" t="e">
        <f>-SUMIFS('TRA RESID'!$P:$P,'TRA RESID'!$I:$I,G606,'TRA RESID'!$J:$J,D606,'TRA RESID'!$H:$H,E606)/SUMIFS('TRA RESID'!$P:$P,'TRA RESID'!$I:$I,G606)*O606</f>
        <v>#DIV/0!</v>
      </c>
      <c r="L606" s="18"/>
      <c r="M606" s="18"/>
      <c r="O606" s="21">
        <v>0.8</v>
      </c>
      <c r="S606" s="15" t="str">
        <f>IF(S605="*",S605,"")</f>
        <v>*</v>
      </c>
      <c r="T606" s="17" t="str">
        <f t="shared" ref="T606:W609" si="481">T605</f>
        <v>*BEV*</v>
      </c>
      <c r="U606" s="17" t="str">
        <f t="shared" si="481"/>
        <v>TRAELC</v>
      </c>
      <c r="V606" s="17" t="str">
        <f t="shared" si="481"/>
        <v>TRAPASTRMDMD</v>
      </c>
      <c r="W606" s="17" t="str">
        <f t="shared" si="481"/>
        <v>TRAPASTRMDMD</v>
      </c>
      <c r="X606" s="18">
        <v>2025</v>
      </c>
      <c r="Y606" s="18" t="str">
        <f>Y605</f>
        <v>LO</v>
      </c>
      <c r="Z606" s="18"/>
      <c r="AA606" s="20" t="e">
        <f>-SUMIFS('TRA RESID'!$P:$P,'TRA RESID'!$I:$I,W606,'TRA RESID'!$J:$J,T606,'TRA RESID'!$H:$H,U606)/SUMIFS('TRA RESID'!$P:$P,'TRA RESID'!$I:$I,W606)*AE606</f>
        <v>#DIV/0!</v>
      </c>
      <c r="AB606" s="18"/>
      <c r="AC606" s="18"/>
      <c r="AE606" s="21">
        <v>1</v>
      </c>
      <c r="AG606" s="15" t="str">
        <f>IF(AG605="*",AG605,"")</f>
        <v>*</v>
      </c>
      <c r="AH606" s="17" t="str">
        <f t="shared" ref="AH606:AK609" si="482">AH605</f>
        <v>*HEV*</v>
      </c>
      <c r="AI606" s="17" t="str">
        <f t="shared" si="482"/>
        <v>TRAELC</v>
      </c>
      <c r="AJ606" s="17" t="str">
        <f t="shared" si="482"/>
        <v>TRAPASTRMDMD</v>
      </c>
      <c r="AK606" s="17" t="str">
        <f t="shared" si="482"/>
        <v>TRAPASTRMDMD</v>
      </c>
      <c r="AL606" s="18">
        <v>2025</v>
      </c>
      <c r="AM606" s="18" t="str">
        <f>AM605</f>
        <v>LO</v>
      </c>
      <c r="AN606" s="18"/>
      <c r="AO606" s="20" t="e">
        <f>-SUMIFS('TRA RESID'!$P:$P,'TRA RESID'!$I:$I,AK606,'TRA RESID'!$J:$J,AH606,'TRA RESID'!$H:$H,AI606)/SUMIFS('TRA RESID'!$P:$P,'TRA RESID'!$I:$I,AK606)*AS606</f>
        <v>#DIV/0!</v>
      </c>
      <c r="AP606" s="18"/>
      <c r="AQ606" s="18"/>
      <c r="AS606" s="21">
        <v>0.8</v>
      </c>
      <c r="AU606" s="15" t="str">
        <f>IF(AU605="*",AU605,"")</f>
        <v>*</v>
      </c>
      <c r="AV606" s="17" t="str">
        <f t="shared" ref="AV606:AY609" si="483">AV605</f>
        <v>*FCEV*</v>
      </c>
      <c r="AW606" s="17" t="str">
        <f t="shared" si="483"/>
        <v>TRAELC</v>
      </c>
      <c r="AX606" s="17" t="str">
        <f t="shared" si="483"/>
        <v>TRAPASTRMDMD</v>
      </c>
      <c r="AY606" s="17" t="str">
        <f t="shared" si="483"/>
        <v>TRAPASTRMDMD</v>
      </c>
      <c r="AZ606" s="18">
        <v>2025</v>
      </c>
      <c r="BA606" s="18" t="str">
        <f>BA605</f>
        <v>LO</v>
      </c>
      <c r="BB606" s="18"/>
      <c r="BC606" s="20" t="e">
        <f>-SUMIFS('TRA RESID'!$P:$P,'TRA RESID'!$I:$I,AY606,'TRA RESID'!$J:$J,AV606,'TRA RESID'!$H:$H,AW606)/SUMIFS('TRA RESID'!$P:$P,'TRA RESID'!$I:$I,AY606)*BG606</f>
        <v>#DIV/0!</v>
      </c>
      <c r="BD606" s="18"/>
      <c r="BE606" s="18"/>
      <c r="BG606" s="21">
        <v>0.8</v>
      </c>
    </row>
    <row r="607" spans="1:59" x14ac:dyDescent="0.25">
      <c r="C607" s="15" t="str">
        <f>IF(C606="*",C606,"")</f>
        <v>*</v>
      </c>
      <c r="D607" s="17" t="str">
        <f t="shared" si="480"/>
        <v>*ICEV*</v>
      </c>
      <c r="E607" s="17" t="str">
        <f t="shared" si="480"/>
        <v>TRAELC</v>
      </c>
      <c r="F607" s="17" t="str">
        <f t="shared" si="480"/>
        <v>TRAPASTRMDMD</v>
      </c>
      <c r="G607" s="17" t="str">
        <f t="shared" si="480"/>
        <v>TRAPASTRMDMD</v>
      </c>
      <c r="H607" s="18">
        <v>2030</v>
      </c>
      <c r="I607" s="18" t="str">
        <f>I606</f>
        <v>LO</v>
      </c>
      <c r="J607" s="18"/>
      <c r="K607" s="20" t="e">
        <f>-SUMIFS('TRA RESID'!$P:$P,'TRA RESID'!$I:$I,G607,'TRA RESID'!$J:$J,D607,'TRA RESID'!$H:$H,E607)/SUMIFS('TRA RESID'!$P:$P,'TRA RESID'!$I:$I,G607)*O607</f>
        <v>#DIV/0!</v>
      </c>
      <c r="L607" s="18"/>
      <c r="M607" s="18"/>
      <c r="O607" s="21">
        <v>0.5</v>
      </c>
      <c r="S607" s="15" t="str">
        <f>IF(S606="*",S606,"")</f>
        <v>*</v>
      </c>
      <c r="T607" s="17" t="str">
        <f t="shared" si="481"/>
        <v>*BEV*</v>
      </c>
      <c r="U607" s="17" t="str">
        <f t="shared" si="481"/>
        <v>TRAELC</v>
      </c>
      <c r="V607" s="17" t="str">
        <f t="shared" si="481"/>
        <v>TRAPASTRMDMD</v>
      </c>
      <c r="W607" s="17" t="str">
        <f t="shared" si="481"/>
        <v>TRAPASTRMDMD</v>
      </c>
      <c r="X607" s="18">
        <v>2030</v>
      </c>
      <c r="Y607" s="18" t="str">
        <f>Y606</f>
        <v>LO</v>
      </c>
      <c r="Z607" s="18"/>
      <c r="AA607" s="20" t="e">
        <f>-SUMIFS('TRA RESID'!$P:$P,'TRA RESID'!$I:$I,W607,'TRA RESID'!$J:$J,T607,'TRA RESID'!$H:$H,U607)/SUMIFS('TRA RESID'!$P:$P,'TRA RESID'!$I:$I,W607)*AE607</f>
        <v>#DIV/0!</v>
      </c>
      <c r="AB607" s="18"/>
      <c r="AC607" s="18"/>
      <c r="AE607" s="21">
        <v>1</v>
      </c>
      <c r="AG607" s="15" t="str">
        <f>IF(AG606="*",AG606,"")</f>
        <v>*</v>
      </c>
      <c r="AH607" s="17" t="str">
        <f t="shared" si="482"/>
        <v>*HEV*</v>
      </c>
      <c r="AI607" s="17" t="str">
        <f t="shared" si="482"/>
        <v>TRAELC</v>
      </c>
      <c r="AJ607" s="17" t="str">
        <f t="shared" si="482"/>
        <v>TRAPASTRMDMD</v>
      </c>
      <c r="AK607" s="17" t="str">
        <f t="shared" si="482"/>
        <v>TRAPASTRMDMD</v>
      </c>
      <c r="AL607" s="18">
        <v>2030</v>
      </c>
      <c r="AM607" s="18" t="str">
        <f>AM606</f>
        <v>LO</v>
      </c>
      <c r="AN607" s="18"/>
      <c r="AO607" s="20" t="e">
        <f>-SUMIFS('TRA RESID'!$P:$P,'TRA RESID'!$I:$I,AK607,'TRA RESID'!$J:$J,AH607,'TRA RESID'!$H:$H,AI607)/SUMIFS('TRA RESID'!$P:$P,'TRA RESID'!$I:$I,AK607)*AS607</f>
        <v>#DIV/0!</v>
      </c>
      <c r="AP607" s="18"/>
      <c r="AQ607" s="18"/>
      <c r="AS607" s="21">
        <v>0.5</v>
      </c>
      <c r="AU607" s="15" t="str">
        <f>IF(AU606="*",AU606,"")</f>
        <v>*</v>
      </c>
      <c r="AV607" s="17" t="str">
        <f t="shared" si="483"/>
        <v>*FCEV*</v>
      </c>
      <c r="AW607" s="17" t="str">
        <f t="shared" si="483"/>
        <v>TRAELC</v>
      </c>
      <c r="AX607" s="17" t="str">
        <f t="shared" si="483"/>
        <v>TRAPASTRMDMD</v>
      </c>
      <c r="AY607" s="17" t="str">
        <f t="shared" si="483"/>
        <v>TRAPASTRMDMD</v>
      </c>
      <c r="AZ607" s="18">
        <v>2030</v>
      </c>
      <c r="BA607" s="18" t="str">
        <f>BA606</f>
        <v>LO</v>
      </c>
      <c r="BB607" s="18"/>
      <c r="BC607" s="20" t="e">
        <f>-SUMIFS('TRA RESID'!$P:$P,'TRA RESID'!$I:$I,AY607,'TRA RESID'!$J:$J,AV607,'TRA RESID'!$H:$H,AW607)/SUMIFS('TRA RESID'!$P:$P,'TRA RESID'!$I:$I,AY607)*BG607</f>
        <v>#DIV/0!</v>
      </c>
      <c r="BD607" s="18"/>
      <c r="BE607" s="18"/>
      <c r="BG607" s="21">
        <v>0.5</v>
      </c>
    </row>
    <row r="608" spans="1:59" x14ac:dyDescent="0.25">
      <c r="C608" s="15" t="str">
        <f>IF(C607="*",C607,"")</f>
        <v>*</v>
      </c>
      <c r="D608" s="17" t="str">
        <f t="shared" si="480"/>
        <v>*ICEV*</v>
      </c>
      <c r="E608" s="17" t="str">
        <f t="shared" si="480"/>
        <v>TRAELC</v>
      </c>
      <c r="F608" s="17" t="str">
        <f t="shared" si="480"/>
        <v>TRAPASTRMDMD</v>
      </c>
      <c r="G608" s="17" t="str">
        <f t="shared" si="480"/>
        <v>TRAPASTRMDMD</v>
      </c>
      <c r="H608" s="18">
        <v>2040</v>
      </c>
      <c r="I608" s="18" t="str">
        <f>I607</f>
        <v>LO</v>
      </c>
      <c r="J608" s="18"/>
      <c r="K608" s="20" t="e">
        <f>-SUMIFS('TRA RESID'!$P:$P,'TRA RESID'!$I:$I,G608,'TRA RESID'!$J:$J,D608,'TRA RESID'!$H:$H,E608)/SUMIFS('TRA RESID'!$P:$P,'TRA RESID'!$I:$I,G608)*O608</f>
        <v>#DIV/0!</v>
      </c>
      <c r="L608" s="18"/>
      <c r="M608" s="18"/>
      <c r="O608" s="21">
        <v>0</v>
      </c>
      <c r="S608" s="15" t="str">
        <f>IF(S607="*",S607,"")</f>
        <v>*</v>
      </c>
      <c r="T608" s="17" t="str">
        <f t="shared" si="481"/>
        <v>*BEV*</v>
      </c>
      <c r="U608" s="17" t="str">
        <f t="shared" si="481"/>
        <v>TRAELC</v>
      </c>
      <c r="V608" s="17" t="str">
        <f t="shared" si="481"/>
        <v>TRAPASTRMDMD</v>
      </c>
      <c r="W608" s="17" t="str">
        <f t="shared" si="481"/>
        <v>TRAPASTRMDMD</v>
      </c>
      <c r="X608" s="18">
        <v>2040</v>
      </c>
      <c r="Y608" s="18" t="str">
        <f>Y607</f>
        <v>LO</v>
      </c>
      <c r="Z608" s="18"/>
      <c r="AA608" s="20" t="e">
        <f>-SUMIFS('TRA RESID'!$P:$P,'TRA RESID'!$I:$I,W608,'TRA RESID'!$J:$J,T608,'TRA RESID'!$H:$H,U608)/SUMIFS('TRA RESID'!$P:$P,'TRA RESID'!$I:$I,W608)*AE608</f>
        <v>#DIV/0!</v>
      </c>
      <c r="AB608" s="18"/>
      <c r="AC608" s="18"/>
      <c r="AE608" s="21">
        <v>1</v>
      </c>
      <c r="AG608" s="15" t="str">
        <f>IF(AG607="*",AG607,"")</f>
        <v>*</v>
      </c>
      <c r="AH608" s="17" t="str">
        <f t="shared" si="482"/>
        <v>*HEV*</v>
      </c>
      <c r="AI608" s="17" t="str">
        <f t="shared" si="482"/>
        <v>TRAELC</v>
      </c>
      <c r="AJ608" s="17" t="str">
        <f t="shared" si="482"/>
        <v>TRAPASTRMDMD</v>
      </c>
      <c r="AK608" s="17" t="str">
        <f t="shared" si="482"/>
        <v>TRAPASTRMDMD</v>
      </c>
      <c r="AL608" s="18">
        <v>2040</v>
      </c>
      <c r="AM608" s="18" t="str">
        <f>AM607</f>
        <v>LO</v>
      </c>
      <c r="AN608" s="18"/>
      <c r="AO608" s="20" t="e">
        <f>-SUMIFS('TRA RESID'!$P:$P,'TRA RESID'!$I:$I,AK608,'TRA RESID'!$J:$J,AH608,'TRA RESID'!$H:$H,AI608)/SUMIFS('TRA RESID'!$P:$P,'TRA RESID'!$I:$I,AK608)*AS608</f>
        <v>#DIV/0!</v>
      </c>
      <c r="AP608" s="18"/>
      <c r="AQ608" s="18"/>
      <c r="AS608" s="21">
        <v>0</v>
      </c>
      <c r="AU608" s="15" t="str">
        <f>IF(AU607="*",AU607,"")</f>
        <v>*</v>
      </c>
      <c r="AV608" s="17" t="str">
        <f t="shared" si="483"/>
        <v>*FCEV*</v>
      </c>
      <c r="AW608" s="17" t="str">
        <f t="shared" si="483"/>
        <v>TRAELC</v>
      </c>
      <c r="AX608" s="17" t="str">
        <f t="shared" si="483"/>
        <v>TRAPASTRMDMD</v>
      </c>
      <c r="AY608" s="17" t="str">
        <f t="shared" si="483"/>
        <v>TRAPASTRMDMD</v>
      </c>
      <c r="AZ608" s="18">
        <v>2040</v>
      </c>
      <c r="BA608" s="18" t="str">
        <f>BA607</f>
        <v>LO</v>
      </c>
      <c r="BB608" s="18"/>
      <c r="BC608" s="20" t="e">
        <f>-SUMIFS('TRA RESID'!$P:$P,'TRA RESID'!$I:$I,AY608,'TRA RESID'!$J:$J,AV608,'TRA RESID'!$H:$H,AW608)/SUMIFS('TRA RESID'!$P:$P,'TRA RESID'!$I:$I,AY608)*BG608</f>
        <v>#DIV/0!</v>
      </c>
      <c r="BD608" s="18"/>
      <c r="BE608" s="18"/>
      <c r="BG608" s="21">
        <v>0</v>
      </c>
    </row>
    <row r="609" spans="1:59" x14ac:dyDescent="0.25">
      <c r="C609" s="23" t="str">
        <f>IF(C608="*",C608,"")</f>
        <v>*</v>
      </c>
      <c r="D609" s="25" t="str">
        <f t="shared" si="480"/>
        <v>*ICEV*</v>
      </c>
      <c r="E609" s="25" t="str">
        <f t="shared" si="480"/>
        <v>TRAELC</v>
      </c>
      <c r="F609" s="25" t="str">
        <f t="shared" si="480"/>
        <v>TRAPASTRMDMD</v>
      </c>
      <c r="G609" s="25" t="str">
        <f t="shared" si="480"/>
        <v>TRAPASTRMDMD</v>
      </c>
      <c r="H609" s="26">
        <v>2050</v>
      </c>
      <c r="I609" s="26" t="str">
        <f>I607</f>
        <v>LO</v>
      </c>
      <c r="J609" s="26"/>
      <c r="K609" s="27" t="e">
        <f>-SUMIFS('TRA RESID'!$P:$P,'TRA RESID'!$I:$I,G609,'TRA RESID'!$J:$J,D609,'TRA RESID'!$H:$H,E609)/SUMIFS('TRA RESID'!$P:$P,'TRA RESID'!$I:$I,G609)*O609</f>
        <v>#DIV/0!</v>
      </c>
      <c r="L609" s="26"/>
      <c r="M609" s="26"/>
      <c r="O609" s="28">
        <v>0</v>
      </c>
      <c r="S609" s="23" t="str">
        <f>IF(S608="*",S608,"")</f>
        <v>*</v>
      </c>
      <c r="T609" s="25" t="str">
        <f t="shared" si="481"/>
        <v>*BEV*</v>
      </c>
      <c r="U609" s="25" t="str">
        <f t="shared" si="481"/>
        <v>TRAELC</v>
      </c>
      <c r="V609" s="25" t="str">
        <f t="shared" si="481"/>
        <v>TRAPASTRMDMD</v>
      </c>
      <c r="W609" s="25" t="str">
        <f t="shared" si="481"/>
        <v>TRAPASTRMDMD</v>
      </c>
      <c r="X609" s="26">
        <v>2050</v>
      </c>
      <c r="Y609" s="26" t="str">
        <f>Y607</f>
        <v>LO</v>
      </c>
      <c r="Z609" s="26"/>
      <c r="AA609" s="27" t="e">
        <f>-SUMIFS('TRA RESID'!$P:$P,'TRA RESID'!$I:$I,W609,'TRA RESID'!$J:$J,T609,'TRA RESID'!$H:$H,U609)/SUMIFS('TRA RESID'!$P:$P,'TRA RESID'!$I:$I,W609)*AE609</f>
        <v>#DIV/0!</v>
      </c>
      <c r="AB609" s="26"/>
      <c r="AC609" s="26"/>
      <c r="AE609" s="28">
        <v>1</v>
      </c>
      <c r="AG609" s="23" t="str">
        <f>IF(AG608="*",AG608,"")</f>
        <v>*</v>
      </c>
      <c r="AH609" s="25" t="str">
        <f t="shared" si="482"/>
        <v>*HEV*</v>
      </c>
      <c r="AI609" s="25" t="str">
        <f t="shared" si="482"/>
        <v>TRAELC</v>
      </c>
      <c r="AJ609" s="25" t="str">
        <f t="shared" si="482"/>
        <v>TRAPASTRMDMD</v>
      </c>
      <c r="AK609" s="25" t="str">
        <f t="shared" si="482"/>
        <v>TRAPASTRMDMD</v>
      </c>
      <c r="AL609" s="26">
        <v>2050</v>
      </c>
      <c r="AM609" s="26" t="str">
        <f>AM607</f>
        <v>LO</v>
      </c>
      <c r="AN609" s="26"/>
      <c r="AO609" s="27" t="e">
        <f>-SUMIFS('TRA RESID'!$P:$P,'TRA RESID'!$I:$I,AK609,'TRA RESID'!$J:$J,AH609,'TRA RESID'!$H:$H,AI609)/SUMIFS('TRA RESID'!$P:$P,'TRA RESID'!$I:$I,AK609)*AS609</f>
        <v>#DIV/0!</v>
      </c>
      <c r="AP609" s="26"/>
      <c r="AQ609" s="26"/>
      <c r="AS609" s="28">
        <v>0</v>
      </c>
      <c r="AU609" s="23" t="str">
        <f>IF(AU608="*",AU608,"")</f>
        <v>*</v>
      </c>
      <c r="AV609" s="25" t="str">
        <f t="shared" si="483"/>
        <v>*FCEV*</v>
      </c>
      <c r="AW609" s="25" t="str">
        <f t="shared" si="483"/>
        <v>TRAELC</v>
      </c>
      <c r="AX609" s="25" t="str">
        <f t="shared" si="483"/>
        <v>TRAPASTRMDMD</v>
      </c>
      <c r="AY609" s="25" t="str">
        <f t="shared" si="483"/>
        <v>TRAPASTRMDMD</v>
      </c>
      <c r="AZ609" s="26">
        <v>2050</v>
      </c>
      <c r="BA609" s="26" t="str">
        <f>BA607</f>
        <v>LO</v>
      </c>
      <c r="BB609" s="26"/>
      <c r="BC609" s="27" t="e">
        <f>-SUMIFS('TRA RESID'!$P:$P,'TRA RESID'!$I:$I,AY609,'TRA RESID'!$J:$J,AV609,'TRA RESID'!$H:$H,AW609)/SUMIFS('TRA RESID'!$P:$P,'TRA RESID'!$I:$I,AY609)*BG609</f>
        <v>#DIV/0!</v>
      </c>
      <c r="BD609" s="26"/>
      <c r="BE609" s="26"/>
      <c r="BG609" s="28">
        <v>0</v>
      </c>
    </row>
    <row r="610" spans="1:59" x14ac:dyDescent="0.25">
      <c r="A610">
        <f>A605+1</f>
        <v>122</v>
      </c>
      <c r="C610" s="15" t="str">
        <f>IF(E610="","",IF(_xlfn.XLOOKUP($A610,Selected_constraint!$A:$A,Selected_constraint!$D:$D)=1,"*",IF(SUMIFS('TRA TECH'!$M:$M,'TRA TECH'!$H:$H,E610,'TRA TECH'!$I:$I,F610)=0,"*",IF(SUMIFS('TRA RESID'!$P:$P,'TRA RESID'!$I:$I,G610,'TRA RESID'!$J:$J,D610,'TRA RESID'!$H:$H,E610)=0,"*","UC_"&amp;SUBSTITUTE(D610,"*","")&amp;"_"&amp;RIGHT(E610,3)&amp;"_"&amp;F610))))</f>
        <v>*</v>
      </c>
      <c r="D610" s="17" t="s">
        <v>485</v>
      </c>
      <c r="E610" s="17" t="str">
        <f>_xlfn.XLOOKUP($A610,Selected_constraint!$A:$A,Selected_constraint!$B:$B)</f>
        <v>TRAELC</v>
      </c>
      <c r="F610" s="17" t="str">
        <f>_xlfn.XLOOKUP($A610,Selected_constraint!$A:$A,Selected_constraint!$C:$C)</f>
        <v>TRAPASSUBDMD</v>
      </c>
      <c r="G610" s="17" t="str">
        <f>F610</f>
        <v>TRAPASSUBDMD</v>
      </c>
      <c r="H610" s="18">
        <v>2019</v>
      </c>
      <c r="I610" s="18" t="s">
        <v>483</v>
      </c>
      <c r="J610" s="18">
        <v>1</v>
      </c>
      <c r="K610" s="20" t="e">
        <f>-SUMIFS('TRA RESID'!$P:$P,'TRA RESID'!$I:$I,G610,'TRA RESID'!$J:$J,D610,'TRA RESID'!$H:$H,E610)/SUMIFS('TRA RESID'!$P:$P,'TRA RESID'!$I:$I,G610)*O610</f>
        <v>#DIV/0!</v>
      </c>
      <c r="L610" s="18">
        <v>0</v>
      </c>
      <c r="M610" s="18">
        <v>5</v>
      </c>
      <c r="O610" s="21">
        <v>0.98</v>
      </c>
      <c r="Q610">
        <f>Q605+1</f>
        <v>122</v>
      </c>
      <c r="S610" s="15" t="str">
        <f>IF(SUMIFS('TRA RESID'!$P:$P,'TRA RESID'!$I:$I,W610,'TRA RESID'!$J:$J,T610,'TRA RESID'!$H:$H,U610)=0,"*","UC_"&amp;SUBSTITUTE(T610,"*","")&amp;"_"&amp;RIGHT(U610,3)&amp;"_"&amp;V610)</f>
        <v>*</v>
      </c>
      <c r="T610" s="17" t="s">
        <v>486</v>
      </c>
      <c r="U610" s="17" t="str">
        <f>_xlfn.XLOOKUP($A610,Selected_constraint!$A:$A,Selected_constraint!$B:$B)</f>
        <v>TRAELC</v>
      </c>
      <c r="V610" s="17" t="str">
        <f>_xlfn.XLOOKUP($A610,Selected_constraint!$A:$A,Selected_constraint!$C:$C)</f>
        <v>TRAPASSUBDMD</v>
      </c>
      <c r="W610" s="17" t="str">
        <f>V610</f>
        <v>TRAPASSUBDMD</v>
      </c>
      <c r="X610" s="18">
        <v>2019</v>
      </c>
      <c r="Y610" s="18" t="s">
        <v>483</v>
      </c>
      <c r="Z610" s="18">
        <v>1</v>
      </c>
      <c r="AA610" s="20" t="e">
        <f>-SUMIFS('TRA RESID'!$P:$P,'TRA RESID'!$I:$I,W610,'TRA RESID'!$J:$J,T610,'TRA RESID'!$H:$H,U610)/SUMIFS('TRA RESID'!$P:$P,'TRA RESID'!$I:$I,W610)*AE610</f>
        <v>#DIV/0!</v>
      </c>
      <c r="AB610" s="18">
        <v>0</v>
      </c>
      <c r="AC610" s="18">
        <v>5</v>
      </c>
      <c r="AE610" s="21">
        <v>0.98</v>
      </c>
      <c r="AG610" s="15" t="str">
        <f>IF(SUMIFS('TRA RESID'!$P:$P,'TRA RESID'!$I:$I,AK610,'TRA RESID'!$J:$J,AH610,'TRA RESID'!$H:$H,AI610)=0,"*","UC_"&amp;SUBSTITUTE(AH610,"*","")&amp;"_"&amp;RIGHT(AI610,3)&amp;"_"&amp;AJ610)</f>
        <v>*</v>
      </c>
      <c r="AH610" s="17" t="s">
        <v>487</v>
      </c>
      <c r="AI610" s="17" t="str">
        <f>_xlfn.XLOOKUP($A610,Selected_constraint!$A:$A,Selected_constraint!$B:$B)</f>
        <v>TRAELC</v>
      </c>
      <c r="AJ610" s="17" t="str">
        <f>_xlfn.XLOOKUP($A610,Selected_constraint!$A:$A,Selected_constraint!$C:$C)</f>
        <v>TRAPASSUBDMD</v>
      </c>
      <c r="AK610" s="17" t="str">
        <f>AJ610</f>
        <v>TRAPASSUBDMD</v>
      </c>
      <c r="AL610" s="18">
        <v>2019</v>
      </c>
      <c r="AM610" s="18" t="s">
        <v>483</v>
      </c>
      <c r="AN610" s="18">
        <v>1</v>
      </c>
      <c r="AO610" s="20" t="e">
        <f>-SUMIFS('TRA RESID'!$P:$P,'TRA RESID'!$I:$I,AK610,'TRA RESID'!$J:$J,AH610,'TRA RESID'!$H:$H,AI610)/SUMIFS('TRA RESID'!$P:$P,'TRA RESID'!$I:$I,AK610)*AS610</f>
        <v>#DIV/0!</v>
      </c>
      <c r="AP610" s="18">
        <v>0</v>
      </c>
      <c r="AQ610" s="18">
        <v>5</v>
      </c>
      <c r="AS610" s="21">
        <v>0.98</v>
      </c>
      <c r="AU610" s="15" t="str">
        <f>IF(SUMIFS('TRA RESID'!$P:$P,'TRA RESID'!$I:$I,AY610,'TRA RESID'!$J:$J,AV610,'TRA RESID'!$H:$H,AW610)=0,"*","UC_"&amp;SUBSTITUTE(AV610,"*","")&amp;"_"&amp;RIGHT(AW610,3)&amp;"_"&amp;AX610)</f>
        <v>*</v>
      </c>
      <c r="AV610" s="17" t="s">
        <v>488</v>
      </c>
      <c r="AW610" s="17" t="str">
        <f>_xlfn.XLOOKUP($A610,Selected_constraint!$A:$A,Selected_constraint!$B:$B)</f>
        <v>TRAELC</v>
      </c>
      <c r="AX610" s="17" t="str">
        <f>_xlfn.XLOOKUP($A610,Selected_constraint!$A:$A,Selected_constraint!$C:$C)</f>
        <v>TRAPASSUBDMD</v>
      </c>
      <c r="AY610" s="17" t="str">
        <f>AX610</f>
        <v>TRAPASSUBDMD</v>
      </c>
      <c r="AZ610" s="18">
        <v>2019</v>
      </c>
      <c r="BA610" s="18" t="s">
        <v>483</v>
      </c>
      <c r="BB610" s="18">
        <v>1</v>
      </c>
      <c r="BC610" s="20" t="e">
        <f>-SUMIFS('TRA RESID'!$P:$P,'TRA RESID'!$I:$I,AY610,'TRA RESID'!$J:$J,AV610,'TRA RESID'!$H:$H,AW610)/SUMIFS('TRA RESID'!$P:$P,'TRA RESID'!$I:$I,AY610)*BG610</f>
        <v>#DIV/0!</v>
      </c>
      <c r="BD610" s="18">
        <v>0</v>
      </c>
      <c r="BE610" s="18">
        <v>5</v>
      </c>
      <c r="BG610" s="21">
        <v>0.98</v>
      </c>
    </row>
    <row r="611" spans="1:59" x14ac:dyDescent="0.25">
      <c r="C611" s="15" t="str">
        <f>IF(C610="*",C610,"")</f>
        <v>*</v>
      </c>
      <c r="D611" s="17" t="str">
        <f t="shared" ref="D611:G614" si="484">D610</f>
        <v>*ICEV*</v>
      </c>
      <c r="E611" s="17" t="str">
        <f t="shared" si="484"/>
        <v>TRAELC</v>
      </c>
      <c r="F611" s="17" t="str">
        <f t="shared" si="484"/>
        <v>TRAPASSUBDMD</v>
      </c>
      <c r="G611" s="17" t="str">
        <f t="shared" si="484"/>
        <v>TRAPASSUBDMD</v>
      </c>
      <c r="H611" s="18">
        <v>2025</v>
      </c>
      <c r="I611" s="18" t="str">
        <f>I610</f>
        <v>LO</v>
      </c>
      <c r="J611" s="18"/>
      <c r="K611" s="20" t="e">
        <f>-SUMIFS('TRA RESID'!$P:$P,'TRA RESID'!$I:$I,G611,'TRA RESID'!$J:$J,D611,'TRA RESID'!$H:$H,E611)/SUMIFS('TRA RESID'!$P:$P,'TRA RESID'!$I:$I,G611)*O611</f>
        <v>#DIV/0!</v>
      </c>
      <c r="L611" s="18"/>
      <c r="M611" s="18"/>
      <c r="O611" s="21">
        <v>0.8</v>
      </c>
      <c r="S611" s="15" t="str">
        <f>IF(S610="*",S610,"")</f>
        <v>*</v>
      </c>
      <c r="T611" s="17" t="str">
        <f t="shared" ref="T611:W614" si="485">T610</f>
        <v>*BEV*</v>
      </c>
      <c r="U611" s="17" t="str">
        <f t="shared" si="485"/>
        <v>TRAELC</v>
      </c>
      <c r="V611" s="17" t="str">
        <f t="shared" si="485"/>
        <v>TRAPASSUBDMD</v>
      </c>
      <c r="W611" s="17" t="str">
        <f t="shared" si="485"/>
        <v>TRAPASSUBDMD</v>
      </c>
      <c r="X611" s="18">
        <v>2025</v>
      </c>
      <c r="Y611" s="18" t="str">
        <f>Y610</f>
        <v>LO</v>
      </c>
      <c r="Z611" s="18"/>
      <c r="AA611" s="20" t="e">
        <f>-SUMIFS('TRA RESID'!$P:$P,'TRA RESID'!$I:$I,W611,'TRA RESID'!$J:$J,T611,'TRA RESID'!$H:$H,U611)/SUMIFS('TRA RESID'!$P:$P,'TRA RESID'!$I:$I,W611)*AE611</f>
        <v>#DIV/0!</v>
      </c>
      <c r="AB611" s="18"/>
      <c r="AC611" s="18"/>
      <c r="AE611" s="21">
        <v>1</v>
      </c>
      <c r="AG611" s="15" t="str">
        <f>IF(AG610="*",AG610,"")</f>
        <v>*</v>
      </c>
      <c r="AH611" s="17" t="str">
        <f t="shared" ref="AH611:AK614" si="486">AH610</f>
        <v>*HEV*</v>
      </c>
      <c r="AI611" s="17" t="str">
        <f t="shared" si="486"/>
        <v>TRAELC</v>
      </c>
      <c r="AJ611" s="17" t="str">
        <f t="shared" si="486"/>
        <v>TRAPASSUBDMD</v>
      </c>
      <c r="AK611" s="17" t="str">
        <f t="shared" si="486"/>
        <v>TRAPASSUBDMD</v>
      </c>
      <c r="AL611" s="18">
        <v>2025</v>
      </c>
      <c r="AM611" s="18" t="str">
        <f>AM610</f>
        <v>LO</v>
      </c>
      <c r="AN611" s="18"/>
      <c r="AO611" s="20" t="e">
        <f>-SUMIFS('TRA RESID'!$P:$P,'TRA RESID'!$I:$I,AK611,'TRA RESID'!$J:$J,AH611,'TRA RESID'!$H:$H,AI611)/SUMIFS('TRA RESID'!$P:$P,'TRA RESID'!$I:$I,AK611)*AS611</f>
        <v>#DIV/0!</v>
      </c>
      <c r="AP611" s="18"/>
      <c r="AQ611" s="18"/>
      <c r="AS611" s="21">
        <v>0.8</v>
      </c>
      <c r="AU611" s="15" t="str">
        <f>IF(AU610="*",AU610,"")</f>
        <v>*</v>
      </c>
      <c r="AV611" s="17" t="str">
        <f t="shared" ref="AV611:AY614" si="487">AV610</f>
        <v>*FCEV*</v>
      </c>
      <c r="AW611" s="17" t="str">
        <f t="shared" si="487"/>
        <v>TRAELC</v>
      </c>
      <c r="AX611" s="17" t="str">
        <f t="shared" si="487"/>
        <v>TRAPASSUBDMD</v>
      </c>
      <c r="AY611" s="17" t="str">
        <f t="shared" si="487"/>
        <v>TRAPASSUBDMD</v>
      </c>
      <c r="AZ611" s="18">
        <v>2025</v>
      </c>
      <c r="BA611" s="18" t="str">
        <f>BA610</f>
        <v>LO</v>
      </c>
      <c r="BB611" s="18"/>
      <c r="BC611" s="20" t="e">
        <f>-SUMIFS('TRA RESID'!$P:$P,'TRA RESID'!$I:$I,AY611,'TRA RESID'!$J:$J,AV611,'TRA RESID'!$H:$H,AW611)/SUMIFS('TRA RESID'!$P:$P,'TRA RESID'!$I:$I,AY611)*BG611</f>
        <v>#DIV/0!</v>
      </c>
      <c r="BD611" s="18"/>
      <c r="BE611" s="18"/>
      <c r="BG611" s="21">
        <v>0.8</v>
      </c>
    </row>
    <row r="612" spans="1:59" x14ac:dyDescent="0.25">
      <c r="C612" s="15" t="str">
        <f>IF(C611="*",C611,"")</f>
        <v>*</v>
      </c>
      <c r="D612" s="17" t="str">
        <f t="shared" si="484"/>
        <v>*ICEV*</v>
      </c>
      <c r="E612" s="17" t="str">
        <f t="shared" si="484"/>
        <v>TRAELC</v>
      </c>
      <c r="F612" s="17" t="str">
        <f t="shared" si="484"/>
        <v>TRAPASSUBDMD</v>
      </c>
      <c r="G612" s="17" t="str">
        <f t="shared" si="484"/>
        <v>TRAPASSUBDMD</v>
      </c>
      <c r="H612" s="18">
        <v>2030</v>
      </c>
      <c r="I612" s="18" t="str">
        <f>I611</f>
        <v>LO</v>
      </c>
      <c r="J612" s="18"/>
      <c r="K612" s="20" t="e">
        <f>-SUMIFS('TRA RESID'!$P:$P,'TRA RESID'!$I:$I,G612,'TRA RESID'!$J:$J,D612,'TRA RESID'!$H:$H,E612)/SUMIFS('TRA RESID'!$P:$P,'TRA RESID'!$I:$I,G612)*O612</f>
        <v>#DIV/0!</v>
      </c>
      <c r="L612" s="18"/>
      <c r="M612" s="18"/>
      <c r="O612" s="21">
        <v>0.5</v>
      </c>
      <c r="S612" s="15" t="str">
        <f>IF(S611="*",S611,"")</f>
        <v>*</v>
      </c>
      <c r="T612" s="17" t="str">
        <f t="shared" si="485"/>
        <v>*BEV*</v>
      </c>
      <c r="U612" s="17" t="str">
        <f t="shared" si="485"/>
        <v>TRAELC</v>
      </c>
      <c r="V612" s="17" t="str">
        <f t="shared" si="485"/>
        <v>TRAPASSUBDMD</v>
      </c>
      <c r="W612" s="17" t="str">
        <f t="shared" si="485"/>
        <v>TRAPASSUBDMD</v>
      </c>
      <c r="X612" s="18">
        <v>2030</v>
      </c>
      <c r="Y612" s="18" t="str">
        <f>Y611</f>
        <v>LO</v>
      </c>
      <c r="Z612" s="18"/>
      <c r="AA612" s="20" t="e">
        <f>-SUMIFS('TRA RESID'!$P:$P,'TRA RESID'!$I:$I,W612,'TRA RESID'!$J:$J,T612,'TRA RESID'!$H:$H,U612)/SUMIFS('TRA RESID'!$P:$P,'TRA RESID'!$I:$I,W612)*AE612</f>
        <v>#DIV/0!</v>
      </c>
      <c r="AB612" s="18"/>
      <c r="AC612" s="18"/>
      <c r="AE612" s="21">
        <v>1</v>
      </c>
      <c r="AG612" s="15" t="str">
        <f>IF(AG611="*",AG611,"")</f>
        <v>*</v>
      </c>
      <c r="AH612" s="17" t="str">
        <f t="shared" si="486"/>
        <v>*HEV*</v>
      </c>
      <c r="AI612" s="17" t="str">
        <f t="shared" si="486"/>
        <v>TRAELC</v>
      </c>
      <c r="AJ612" s="17" t="str">
        <f t="shared" si="486"/>
        <v>TRAPASSUBDMD</v>
      </c>
      <c r="AK612" s="17" t="str">
        <f t="shared" si="486"/>
        <v>TRAPASSUBDMD</v>
      </c>
      <c r="AL612" s="18">
        <v>2030</v>
      </c>
      <c r="AM612" s="18" t="str">
        <f>AM611</f>
        <v>LO</v>
      </c>
      <c r="AN612" s="18"/>
      <c r="AO612" s="20" t="e">
        <f>-SUMIFS('TRA RESID'!$P:$P,'TRA RESID'!$I:$I,AK612,'TRA RESID'!$J:$J,AH612,'TRA RESID'!$H:$H,AI612)/SUMIFS('TRA RESID'!$P:$P,'TRA RESID'!$I:$I,AK612)*AS612</f>
        <v>#DIV/0!</v>
      </c>
      <c r="AP612" s="18"/>
      <c r="AQ612" s="18"/>
      <c r="AS612" s="21">
        <v>0.5</v>
      </c>
      <c r="AU612" s="15" t="str">
        <f>IF(AU611="*",AU611,"")</f>
        <v>*</v>
      </c>
      <c r="AV612" s="17" t="str">
        <f t="shared" si="487"/>
        <v>*FCEV*</v>
      </c>
      <c r="AW612" s="17" t="str">
        <f t="shared" si="487"/>
        <v>TRAELC</v>
      </c>
      <c r="AX612" s="17" t="str">
        <f t="shared" si="487"/>
        <v>TRAPASSUBDMD</v>
      </c>
      <c r="AY612" s="17" t="str">
        <f t="shared" si="487"/>
        <v>TRAPASSUBDMD</v>
      </c>
      <c r="AZ612" s="18">
        <v>2030</v>
      </c>
      <c r="BA612" s="18" t="str">
        <f>BA611</f>
        <v>LO</v>
      </c>
      <c r="BB612" s="18"/>
      <c r="BC612" s="20" t="e">
        <f>-SUMIFS('TRA RESID'!$P:$P,'TRA RESID'!$I:$I,AY612,'TRA RESID'!$J:$J,AV612,'TRA RESID'!$H:$H,AW612)/SUMIFS('TRA RESID'!$P:$P,'TRA RESID'!$I:$I,AY612)*BG612</f>
        <v>#DIV/0!</v>
      </c>
      <c r="BD612" s="18"/>
      <c r="BE612" s="18"/>
      <c r="BG612" s="21">
        <v>0.5</v>
      </c>
    </row>
    <row r="613" spans="1:59" x14ac:dyDescent="0.25">
      <c r="C613" s="15" t="str">
        <f>IF(C612="*",C612,"")</f>
        <v>*</v>
      </c>
      <c r="D613" s="17" t="str">
        <f t="shared" si="484"/>
        <v>*ICEV*</v>
      </c>
      <c r="E613" s="17" t="str">
        <f t="shared" si="484"/>
        <v>TRAELC</v>
      </c>
      <c r="F613" s="17" t="str">
        <f t="shared" si="484"/>
        <v>TRAPASSUBDMD</v>
      </c>
      <c r="G613" s="17" t="str">
        <f t="shared" si="484"/>
        <v>TRAPASSUBDMD</v>
      </c>
      <c r="H613" s="18">
        <v>2040</v>
      </c>
      <c r="I613" s="18" t="str">
        <f>I612</f>
        <v>LO</v>
      </c>
      <c r="J613" s="18"/>
      <c r="K613" s="20" t="e">
        <f>-SUMIFS('TRA RESID'!$P:$P,'TRA RESID'!$I:$I,G613,'TRA RESID'!$J:$J,D613,'TRA RESID'!$H:$H,E613)/SUMIFS('TRA RESID'!$P:$P,'TRA RESID'!$I:$I,G613)*O613</f>
        <v>#DIV/0!</v>
      </c>
      <c r="L613" s="18"/>
      <c r="M613" s="18"/>
      <c r="O613" s="21">
        <v>0</v>
      </c>
      <c r="S613" s="15" t="str">
        <f>IF(S612="*",S612,"")</f>
        <v>*</v>
      </c>
      <c r="T613" s="17" t="str">
        <f t="shared" si="485"/>
        <v>*BEV*</v>
      </c>
      <c r="U613" s="17" t="str">
        <f t="shared" si="485"/>
        <v>TRAELC</v>
      </c>
      <c r="V613" s="17" t="str">
        <f t="shared" si="485"/>
        <v>TRAPASSUBDMD</v>
      </c>
      <c r="W613" s="17" t="str">
        <f t="shared" si="485"/>
        <v>TRAPASSUBDMD</v>
      </c>
      <c r="X613" s="18">
        <v>2040</v>
      </c>
      <c r="Y613" s="18" t="str">
        <f>Y612</f>
        <v>LO</v>
      </c>
      <c r="Z613" s="18"/>
      <c r="AA613" s="20" t="e">
        <f>-SUMIFS('TRA RESID'!$P:$P,'TRA RESID'!$I:$I,W613,'TRA RESID'!$J:$J,T613,'TRA RESID'!$H:$H,U613)/SUMIFS('TRA RESID'!$P:$P,'TRA RESID'!$I:$I,W613)*AE613</f>
        <v>#DIV/0!</v>
      </c>
      <c r="AB613" s="18"/>
      <c r="AC613" s="18"/>
      <c r="AE613" s="21">
        <v>1</v>
      </c>
      <c r="AG613" s="15" t="str">
        <f>IF(AG612="*",AG612,"")</f>
        <v>*</v>
      </c>
      <c r="AH613" s="17" t="str">
        <f t="shared" si="486"/>
        <v>*HEV*</v>
      </c>
      <c r="AI613" s="17" t="str">
        <f t="shared" si="486"/>
        <v>TRAELC</v>
      </c>
      <c r="AJ613" s="17" t="str">
        <f t="shared" si="486"/>
        <v>TRAPASSUBDMD</v>
      </c>
      <c r="AK613" s="17" t="str">
        <f t="shared" si="486"/>
        <v>TRAPASSUBDMD</v>
      </c>
      <c r="AL613" s="18">
        <v>2040</v>
      </c>
      <c r="AM613" s="18" t="str">
        <f>AM612</f>
        <v>LO</v>
      </c>
      <c r="AN613" s="18"/>
      <c r="AO613" s="20" t="e">
        <f>-SUMIFS('TRA RESID'!$P:$P,'TRA RESID'!$I:$I,AK613,'TRA RESID'!$J:$J,AH613,'TRA RESID'!$H:$H,AI613)/SUMIFS('TRA RESID'!$P:$P,'TRA RESID'!$I:$I,AK613)*AS613</f>
        <v>#DIV/0!</v>
      </c>
      <c r="AP613" s="18"/>
      <c r="AQ613" s="18"/>
      <c r="AS613" s="21">
        <v>0</v>
      </c>
      <c r="AU613" s="15" t="str">
        <f>IF(AU612="*",AU612,"")</f>
        <v>*</v>
      </c>
      <c r="AV613" s="17" t="str">
        <f t="shared" si="487"/>
        <v>*FCEV*</v>
      </c>
      <c r="AW613" s="17" t="str">
        <f t="shared" si="487"/>
        <v>TRAELC</v>
      </c>
      <c r="AX613" s="17" t="str">
        <f t="shared" si="487"/>
        <v>TRAPASSUBDMD</v>
      </c>
      <c r="AY613" s="17" t="str">
        <f t="shared" si="487"/>
        <v>TRAPASSUBDMD</v>
      </c>
      <c r="AZ613" s="18">
        <v>2040</v>
      </c>
      <c r="BA613" s="18" t="str">
        <f>BA612</f>
        <v>LO</v>
      </c>
      <c r="BB613" s="18"/>
      <c r="BC613" s="20" t="e">
        <f>-SUMIFS('TRA RESID'!$P:$P,'TRA RESID'!$I:$I,AY613,'TRA RESID'!$J:$J,AV613,'TRA RESID'!$H:$H,AW613)/SUMIFS('TRA RESID'!$P:$P,'TRA RESID'!$I:$I,AY613)*BG613</f>
        <v>#DIV/0!</v>
      </c>
      <c r="BD613" s="18"/>
      <c r="BE613" s="18"/>
      <c r="BG613" s="21">
        <v>0</v>
      </c>
    </row>
    <row r="614" spans="1:59" x14ac:dyDescent="0.25">
      <c r="C614" s="23" t="str">
        <f>IF(C613="*",C613,"")</f>
        <v>*</v>
      </c>
      <c r="D614" s="25" t="str">
        <f t="shared" si="484"/>
        <v>*ICEV*</v>
      </c>
      <c r="E614" s="25" t="str">
        <f t="shared" si="484"/>
        <v>TRAELC</v>
      </c>
      <c r="F614" s="25" t="str">
        <f t="shared" si="484"/>
        <v>TRAPASSUBDMD</v>
      </c>
      <c r="G614" s="25" t="str">
        <f t="shared" si="484"/>
        <v>TRAPASSUBDMD</v>
      </c>
      <c r="H614" s="26">
        <v>2050</v>
      </c>
      <c r="I614" s="26" t="str">
        <f>I612</f>
        <v>LO</v>
      </c>
      <c r="J614" s="26"/>
      <c r="K614" s="27" t="e">
        <f>-SUMIFS('TRA RESID'!$P:$P,'TRA RESID'!$I:$I,G614,'TRA RESID'!$J:$J,D614,'TRA RESID'!$H:$H,E614)/SUMIFS('TRA RESID'!$P:$P,'TRA RESID'!$I:$I,G614)*O614</f>
        <v>#DIV/0!</v>
      </c>
      <c r="L614" s="26"/>
      <c r="M614" s="26"/>
      <c r="O614" s="28">
        <v>0</v>
      </c>
      <c r="S614" s="23" t="str">
        <f>IF(S613="*",S613,"")</f>
        <v>*</v>
      </c>
      <c r="T614" s="25" t="str">
        <f t="shared" si="485"/>
        <v>*BEV*</v>
      </c>
      <c r="U614" s="25" t="str">
        <f t="shared" si="485"/>
        <v>TRAELC</v>
      </c>
      <c r="V614" s="25" t="str">
        <f t="shared" si="485"/>
        <v>TRAPASSUBDMD</v>
      </c>
      <c r="W614" s="25" t="str">
        <f t="shared" si="485"/>
        <v>TRAPASSUBDMD</v>
      </c>
      <c r="X614" s="26">
        <v>2050</v>
      </c>
      <c r="Y614" s="26" t="str">
        <f>Y612</f>
        <v>LO</v>
      </c>
      <c r="Z614" s="26"/>
      <c r="AA614" s="27" t="e">
        <f>-SUMIFS('TRA RESID'!$P:$P,'TRA RESID'!$I:$I,W614,'TRA RESID'!$J:$J,T614,'TRA RESID'!$H:$H,U614)/SUMIFS('TRA RESID'!$P:$P,'TRA RESID'!$I:$I,W614)*AE614</f>
        <v>#DIV/0!</v>
      </c>
      <c r="AB614" s="26"/>
      <c r="AC614" s="26"/>
      <c r="AE614" s="28">
        <v>1</v>
      </c>
      <c r="AG614" s="23" t="str">
        <f>IF(AG613="*",AG613,"")</f>
        <v>*</v>
      </c>
      <c r="AH614" s="25" t="str">
        <f t="shared" si="486"/>
        <v>*HEV*</v>
      </c>
      <c r="AI614" s="25" t="str">
        <f t="shared" si="486"/>
        <v>TRAELC</v>
      </c>
      <c r="AJ614" s="25" t="str">
        <f t="shared" si="486"/>
        <v>TRAPASSUBDMD</v>
      </c>
      <c r="AK614" s="25" t="str">
        <f t="shared" si="486"/>
        <v>TRAPASSUBDMD</v>
      </c>
      <c r="AL614" s="26">
        <v>2050</v>
      </c>
      <c r="AM614" s="26" t="str">
        <f>AM612</f>
        <v>LO</v>
      </c>
      <c r="AN614" s="26"/>
      <c r="AO614" s="27" t="e">
        <f>-SUMIFS('TRA RESID'!$P:$P,'TRA RESID'!$I:$I,AK614,'TRA RESID'!$J:$J,AH614,'TRA RESID'!$H:$H,AI614)/SUMIFS('TRA RESID'!$P:$P,'TRA RESID'!$I:$I,AK614)*AS614</f>
        <v>#DIV/0!</v>
      </c>
      <c r="AP614" s="26"/>
      <c r="AQ614" s="26"/>
      <c r="AS614" s="28">
        <v>0</v>
      </c>
      <c r="AU614" s="23" t="str">
        <f>IF(AU613="*",AU613,"")</f>
        <v>*</v>
      </c>
      <c r="AV614" s="25" t="str">
        <f t="shared" si="487"/>
        <v>*FCEV*</v>
      </c>
      <c r="AW614" s="25" t="str">
        <f t="shared" si="487"/>
        <v>TRAELC</v>
      </c>
      <c r="AX614" s="25" t="str">
        <f t="shared" si="487"/>
        <v>TRAPASSUBDMD</v>
      </c>
      <c r="AY614" s="25" t="str">
        <f t="shared" si="487"/>
        <v>TRAPASSUBDMD</v>
      </c>
      <c r="AZ614" s="26">
        <v>2050</v>
      </c>
      <c r="BA614" s="26" t="str">
        <f>BA612</f>
        <v>LO</v>
      </c>
      <c r="BB614" s="26"/>
      <c r="BC614" s="27" t="e">
        <f>-SUMIFS('TRA RESID'!$P:$P,'TRA RESID'!$I:$I,AY614,'TRA RESID'!$J:$J,AV614,'TRA RESID'!$H:$H,AW614)/SUMIFS('TRA RESID'!$P:$P,'TRA RESID'!$I:$I,AY614)*BG614</f>
        <v>#DIV/0!</v>
      </c>
      <c r="BD614" s="26"/>
      <c r="BE614" s="26"/>
      <c r="BG614" s="28">
        <v>0</v>
      </c>
    </row>
    <row r="615" spans="1:59" x14ac:dyDescent="0.25">
      <c r="A615">
        <f>A610+1</f>
        <v>123</v>
      </c>
      <c r="C615" s="15" t="str">
        <f>IF(E615="","",IF(_xlfn.XLOOKUP($A615,Selected_constraint!$A:$A,Selected_constraint!$D:$D)=1,"*",IF(SUMIFS('TRA TECH'!$M:$M,'TRA TECH'!$H:$H,E615,'TRA TECH'!$I:$I,F615)=0,"*",IF(SUMIFS('TRA RESID'!$P:$P,'TRA RESID'!$I:$I,G615,'TRA RESID'!$J:$J,D615,'TRA RESID'!$H:$H,E615)=0,"*","UC_"&amp;SUBSTITUTE(D615,"*","")&amp;"_"&amp;RIGHT(E615,3)&amp;"_"&amp;F615))))</f>
        <v>*</v>
      </c>
      <c r="D615" s="17" t="s">
        <v>485</v>
      </c>
      <c r="E615" s="17" t="str">
        <f>_xlfn.XLOOKUP($A615,Selected_constraint!$A:$A,Selected_constraint!$B:$B)</f>
        <v>TRAGSL</v>
      </c>
      <c r="F615" s="17" t="str">
        <f>_xlfn.XLOOKUP($A615,Selected_constraint!$A:$A,Selected_constraint!$C:$C)</f>
        <v>TRAOTHOFRDMD</v>
      </c>
      <c r="G615" s="17" t="str">
        <f>F615</f>
        <v>TRAOTHOFRDMD</v>
      </c>
      <c r="H615" s="18">
        <v>2019</v>
      </c>
      <c r="I615" s="18" t="s">
        <v>483</v>
      </c>
      <c r="J615" s="18">
        <v>1</v>
      </c>
      <c r="K615" s="20" t="e">
        <f>-SUMIFS('TRA RESID'!$P:$P,'TRA RESID'!$I:$I,G615,'TRA RESID'!$J:$J,D615,'TRA RESID'!$H:$H,E615)/SUMIFS('TRA RESID'!$P:$P,'TRA RESID'!$I:$I,G615)*O615</f>
        <v>#DIV/0!</v>
      </c>
      <c r="L615" s="18">
        <v>0</v>
      </c>
      <c r="M615" s="18">
        <v>5</v>
      </c>
      <c r="O615" s="21">
        <v>0.98</v>
      </c>
      <c r="Q615">
        <f>Q610+1</f>
        <v>123</v>
      </c>
      <c r="S615" s="15" t="str">
        <f>IF(SUMIFS('TRA RESID'!$P:$P,'TRA RESID'!$I:$I,W615,'TRA RESID'!$J:$J,T615,'TRA RESID'!$H:$H,U615)=0,"*","UC_"&amp;SUBSTITUTE(T615,"*","")&amp;"_"&amp;RIGHT(U615,3)&amp;"_"&amp;V615)</f>
        <v>*</v>
      </c>
      <c r="T615" s="17" t="s">
        <v>486</v>
      </c>
      <c r="U615" s="17" t="str">
        <f>_xlfn.XLOOKUP($A615,Selected_constraint!$A:$A,Selected_constraint!$B:$B)</f>
        <v>TRAGSL</v>
      </c>
      <c r="V615" s="17" t="str">
        <f>_xlfn.XLOOKUP($A615,Selected_constraint!$A:$A,Selected_constraint!$C:$C)</f>
        <v>TRAOTHOFRDMD</v>
      </c>
      <c r="W615" s="17" t="str">
        <f>V615</f>
        <v>TRAOTHOFRDMD</v>
      </c>
      <c r="X615" s="18">
        <v>2019</v>
      </c>
      <c r="Y615" s="18" t="s">
        <v>483</v>
      </c>
      <c r="Z615" s="18">
        <v>1</v>
      </c>
      <c r="AA615" s="20" t="e">
        <f>-SUMIFS('TRA RESID'!$P:$P,'TRA RESID'!$I:$I,W615,'TRA RESID'!$J:$J,T615,'TRA RESID'!$H:$H,U615)/SUMIFS('TRA RESID'!$P:$P,'TRA RESID'!$I:$I,W615)*AE615</f>
        <v>#DIV/0!</v>
      </c>
      <c r="AB615" s="18">
        <v>0</v>
      </c>
      <c r="AC615" s="18">
        <v>5</v>
      </c>
      <c r="AE615" s="21">
        <v>0.98</v>
      </c>
      <c r="AG615" s="15" t="str">
        <f>IF(SUMIFS('TRA RESID'!$P:$P,'TRA RESID'!$I:$I,AK615,'TRA RESID'!$J:$J,AH615,'TRA RESID'!$H:$H,AI615)=0,"*","UC_"&amp;SUBSTITUTE(AH615,"*","")&amp;"_"&amp;RIGHT(AI615,3)&amp;"_"&amp;AJ615)</f>
        <v>*</v>
      </c>
      <c r="AH615" s="17" t="s">
        <v>487</v>
      </c>
      <c r="AI615" s="17" t="str">
        <f>_xlfn.XLOOKUP($A615,Selected_constraint!$A:$A,Selected_constraint!$B:$B)</f>
        <v>TRAGSL</v>
      </c>
      <c r="AJ615" s="17" t="str">
        <f>_xlfn.XLOOKUP($A615,Selected_constraint!$A:$A,Selected_constraint!$C:$C)</f>
        <v>TRAOTHOFRDMD</v>
      </c>
      <c r="AK615" s="17" t="str">
        <f>AJ615</f>
        <v>TRAOTHOFRDMD</v>
      </c>
      <c r="AL615" s="18">
        <v>2019</v>
      </c>
      <c r="AM615" s="18" t="s">
        <v>483</v>
      </c>
      <c r="AN615" s="18">
        <v>1</v>
      </c>
      <c r="AO615" s="20" t="e">
        <f>-SUMIFS('TRA RESID'!$P:$P,'TRA RESID'!$I:$I,AK615,'TRA RESID'!$J:$J,AH615,'TRA RESID'!$H:$H,AI615)/SUMIFS('TRA RESID'!$P:$P,'TRA RESID'!$I:$I,AK615)*AS615</f>
        <v>#DIV/0!</v>
      </c>
      <c r="AP615" s="18">
        <v>0</v>
      </c>
      <c r="AQ615" s="18">
        <v>5</v>
      </c>
      <c r="AS615" s="21">
        <v>0.98</v>
      </c>
      <c r="AU615" s="15" t="str">
        <f>IF(SUMIFS('TRA RESID'!$P:$P,'TRA RESID'!$I:$I,AY615,'TRA RESID'!$J:$J,AV615,'TRA RESID'!$H:$H,AW615)=0,"*","UC_"&amp;SUBSTITUTE(AV615,"*","")&amp;"_"&amp;RIGHT(AW615,3)&amp;"_"&amp;AX615)</f>
        <v>*</v>
      </c>
      <c r="AV615" s="17" t="s">
        <v>488</v>
      </c>
      <c r="AW615" s="17" t="str">
        <f>_xlfn.XLOOKUP($A615,Selected_constraint!$A:$A,Selected_constraint!$B:$B)</f>
        <v>TRAGSL</v>
      </c>
      <c r="AX615" s="17" t="str">
        <f>_xlfn.XLOOKUP($A615,Selected_constraint!$A:$A,Selected_constraint!$C:$C)</f>
        <v>TRAOTHOFRDMD</v>
      </c>
      <c r="AY615" s="17" t="str">
        <f>AX615</f>
        <v>TRAOTHOFRDMD</v>
      </c>
      <c r="AZ615" s="18">
        <v>2019</v>
      </c>
      <c r="BA615" s="18" t="s">
        <v>483</v>
      </c>
      <c r="BB615" s="18">
        <v>1</v>
      </c>
      <c r="BC615" s="20" t="e">
        <f>-SUMIFS('TRA RESID'!$P:$P,'TRA RESID'!$I:$I,AY615,'TRA RESID'!$J:$J,AV615,'TRA RESID'!$H:$H,AW615)/SUMIFS('TRA RESID'!$P:$P,'TRA RESID'!$I:$I,AY615)*BG615</f>
        <v>#DIV/0!</v>
      </c>
      <c r="BD615" s="18">
        <v>0</v>
      </c>
      <c r="BE615" s="18">
        <v>5</v>
      </c>
      <c r="BG615" s="21">
        <v>0.98</v>
      </c>
    </row>
    <row r="616" spans="1:59" x14ac:dyDescent="0.25">
      <c r="C616" s="15" t="str">
        <f>IF(C615="*",C615,"")</f>
        <v>*</v>
      </c>
      <c r="D616" s="17" t="str">
        <f t="shared" ref="D616:G619" si="488">D615</f>
        <v>*ICEV*</v>
      </c>
      <c r="E616" s="17" t="str">
        <f t="shared" si="488"/>
        <v>TRAGSL</v>
      </c>
      <c r="F616" s="17" t="str">
        <f t="shared" si="488"/>
        <v>TRAOTHOFRDMD</v>
      </c>
      <c r="G616" s="17" t="str">
        <f t="shared" si="488"/>
        <v>TRAOTHOFRDMD</v>
      </c>
      <c r="H616" s="18">
        <v>2025</v>
      </c>
      <c r="I616" s="18" t="str">
        <f>I615</f>
        <v>LO</v>
      </c>
      <c r="J616" s="18"/>
      <c r="K616" s="20" t="e">
        <f>-SUMIFS('TRA RESID'!$P:$P,'TRA RESID'!$I:$I,G616,'TRA RESID'!$J:$J,D616,'TRA RESID'!$H:$H,E616)/SUMIFS('TRA RESID'!$P:$P,'TRA RESID'!$I:$I,G616)*O616</f>
        <v>#DIV/0!</v>
      </c>
      <c r="L616" s="18"/>
      <c r="M616" s="18"/>
      <c r="O616" s="21">
        <v>0.8</v>
      </c>
      <c r="S616" s="15" t="str">
        <f>IF(S615="*",S615,"")</f>
        <v>*</v>
      </c>
      <c r="T616" s="17" t="str">
        <f t="shared" ref="T616:W619" si="489">T615</f>
        <v>*BEV*</v>
      </c>
      <c r="U616" s="17" t="str">
        <f t="shared" si="489"/>
        <v>TRAGSL</v>
      </c>
      <c r="V616" s="17" t="str">
        <f t="shared" si="489"/>
        <v>TRAOTHOFRDMD</v>
      </c>
      <c r="W616" s="17" t="str">
        <f t="shared" si="489"/>
        <v>TRAOTHOFRDMD</v>
      </c>
      <c r="X616" s="18">
        <v>2025</v>
      </c>
      <c r="Y616" s="18" t="str">
        <f>Y615</f>
        <v>LO</v>
      </c>
      <c r="Z616" s="18"/>
      <c r="AA616" s="20" t="e">
        <f>-SUMIFS('TRA RESID'!$P:$P,'TRA RESID'!$I:$I,W616,'TRA RESID'!$J:$J,T616,'TRA RESID'!$H:$H,U616)/SUMIFS('TRA RESID'!$P:$P,'TRA RESID'!$I:$I,W616)*AE616</f>
        <v>#DIV/0!</v>
      </c>
      <c r="AB616" s="18"/>
      <c r="AC616" s="18"/>
      <c r="AE616" s="21">
        <v>1</v>
      </c>
      <c r="AG616" s="15" t="str">
        <f>IF(AG615="*",AG615,"")</f>
        <v>*</v>
      </c>
      <c r="AH616" s="17" t="str">
        <f t="shared" ref="AH616:AK619" si="490">AH615</f>
        <v>*HEV*</v>
      </c>
      <c r="AI616" s="17" t="str">
        <f t="shared" si="490"/>
        <v>TRAGSL</v>
      </c>
      <c r="AJ616" s="17" t="str">
        <f t="shared" si="490"/>
        <v>TRAOTHOFRDMD</v>
      </c>
      <c r="AK616" s="17" t="str">
        <f t="shared" si="490"/>
        <v>TRAOTHOFRDMD</v>
      </c>
      <c r="AL616" s="18">
        <v>2025</v>
      </c>
      <c r="AM616" s="18" t="str">
        <f>AM615</f>
        <v>LO</v>
      </c>
      <c r="AN616" s="18"/>
      <c r="AO616" s="20" t="e">
        <f>-SUMIFS('TRA RESID'!$P:$P,'TRA RESID'!$I:$I,AK616,'TRA RESID'!$J:$J,AH616,'TRA RESID'!$H:$H,AI616)/SUMIFS('TRA RESID'!$P:$P,'TRA RESID'!$I:$I,AK616)*AS616</f>
        <v>#DIV/0!</v>
      </c>
      <c r="AP616" s="18"/>
      <c r="AQ616" s="18"/>
      <c r="AS616" s="21">
        <v>0.8</v>
      </c>
      <c r="AU616" s="15" t="str">
        <f>IF(AU615="*",AU615,"")</f>
        <v>*</v>
      </c>
      <c r="AV616" s="17" t="str">
        <f t="shared" ref="AV616:AY619" si="491">AV615</f>
        <v>*FCEV*</v>
      </c>
      <c r="AW616" s="17" t="str">
        <f t="shared" si="491"/>
        <v>TRAGSL</v>
      </c>
      <c r="AX616" s="17" t="str">
        <f t="shared" si="491"/>
        <v>TRAOTHOFRDMD</v>
      </c>
      <c r="AY616" s="17" t="str">
        <f t="shared" si="491"/>
        <v>TRAOTHOFRDMD</v>
      </c>
      <c r="AZ616" s="18">
        <v>2025</v>
      </c>
      <c r="BA616" s="18" t="str">
        <f>BA615</f>
        <v>LO</v>
      </c>
      <c r="BB616" s="18"/>
      <c r="BC616" s="20" t="e">
        <f>-SUMIFS('TRA RESID'!$P:$P,'TRA RESID'!$I:$I,AY616,'TRA RESID'!$J:$J,AV616,'TRA RESID'!$H:$H,AW616)/SUMIFS('TRA RESID'!$P:$P,'TRA RESID'!$I:$I,AY616)*BG616</f>
        <v>#DIV/0!</v>
      </c>
      <c r="BD616" s="18"/>
      <c r="BE616" s="18"/>
      <c r="BG616" s="21">
        <v>0.8</v>
      </c>
    </row>
    <row r="617" spans="1:59" x14ac:dyDescent="0.25">
      <c r="C617" s="15" t="str">
        <f>IF(C616="*",C616,"")</f>
        <v>*</v>
      </c>
      <c r="D617" s="17" t="str">
        <f t="shared" si="488"/>
        <v>*ICEV*</v>
      </c>
      <c r="E617" s="17" t="str">
        <f t="shared" si="488"/>
        <v>TRAGSL</v>
      </c>
      <c r="F617" s="17" t="str">
        <f t="shared" si="488"/>
        <v>TRAOTHOFRDMD</v>
      </c>
      <c r="G617" s="17" t="str">
        <f t="shared" si="488"/>
        <v>TRAOTHOFRDMD</v>
      </c>
      <c r="H617" s="18">
        <v>2030</v>
      </c>
      <c r="I617" s="18" t="str">
        <f>I616</f>
        <v>LO</v>
      </c>
      <c r="J617" s="18"/>
      <c r="K617" s="20" t="e">
        <f>-SUMIFS('TRA RESID'!$P:$P,'TRA RESID'!$I:$I,G617,'TRA RESID'!$J:$J,D617,'TRA RESID'!$H:$H,E617)/SUMIFS('TRA RESID'!$P:$P,'TRA RESID'!$I:$I,G617)*O617</f>
        <v>#DIV/0!</v>
      </c>
      <c r="L617" s="18"/>
      <c r="M617" s="18"/>
      <c r="O617" s="21">
        <v>0.5</v>
      </c>
      <c r="S617" s="15" t="str">
        <f>IF(S616="*",S616,"")</f>
        <v>*</v>
      </c>
      <c r="T617" s="17" t="str">
        <f t="shared" si="489"/>
        <v>*BEV*</v>
      </c>
      <c r="U617" s="17" t="str">
        <f t="shared" si="489"/>
        <v>TRAGSL</v>
      </c>
      <c r="V617" s="17" t="str">
        <f t="shared" si="489"/>
        <v>TRAOTHOFRDMD</v>
      </c>
      <c r="W617" s="17" t="str">
        <f t="shared" si="489"/>
        <v>TRAOTHOFRDMD</v>
      </c>
      <c r="X617" s="18">
        <v>2030</v>
      </c>
      <c r="Y617" s="18" t="str">
        <f>Y616</f>
        <v>LO</v>
      </c>
      <c r="Z617" s="18"/>
      <c r="AA617" s="20" t="e">
        <f>-SUMIFS('TRA RESID'!$P:$P,'TRA RESID'!$I:$I,W617,'TRA RESID'!$J:$J,T617,'TRA RESID'!$H:$H,U617)/SUMIFS('TRA RESID'!$P:$P,'TRA RESID'!$I:$I,W617)*AE617</f>
        <v>#DIV/0!</v>
      </c>
      <c r="AB617" s="18"/>
      <c r="AC617" s="18"/>
      <c r="AE617" s="21">
        <v>1</v>
      </c>
      <c r="AG617" s="15" t="str">
        <f>IF(AG616="*",AG616,"")</f>
        <v>*</v>
      </c>
      <c r="AH617" s="17" t="str">
        <f t="shared" si="490"/>
        <v>*HEV*</v>
      </c>
      <c r="AI617" s="17" t="str">
        <f t="shared" si="490"/>
        <v>TRAGSL</v>
      </c>
      <c r="AJ617" s="17" t="str">
        <f t="shared" si="490"/>
        <v>TRAOTHOFRDMD</v>
      </c>
      <c r="AK617" s="17" t="str">
        <f t="shared" si="490"/>
        <v>TRAOTHOFRDMD</v>
      </c>
      <c r="AL617" s="18">
        <v>2030</v>
      </c>
      <c r="AM617" s="18" t="str">
        <f>AM616</f>
        <v>LO</v>
      </c>
      <c r="AN617" s="18"/>
      <c r="AO617" s="20" t="e">
        <f>-SUMIFS('TRA RESID'!$P:$P,'TRA RESID'!$I:$I,AK617,'TRA RESID'!$J:$J,AH617,'TRA RESID'!$H:$H,AI617)/SUMIFS('TRA RESID'!$P:$P,'TRA RESID'!$I:$I,AK617)*AS617</f>
        <v>#DIV/0!</v>
      </c>
      <c r="AP617" s="18"/>
      <c r="AQ617" s="18"/>
      <c r="AS617" s="21">
        <v>0.5</v>
      </c>
      <c r="AU617" s="15" t="str">
        <f>IF(AU616="*",AU616,"")</f>
        <v>*</v>
      </c>
      <c r="AV617" s="17" t="str">
        <f t="shared" si="491"/>
        <v>*FCEV*</v>
      </c>
      <c r="AW617" s="17" t="str">
        <f t="shared" si="491"/>
        <v>TRAGSL</v>
      </c>
      <c r="AX617" s="17" t="str">
        <f t="shared" si="491"/>
        <v>TRAOTHOFRDMD</v>
      </c>
      <c r="AY617" s="17" t="str">
        <f t="shared" si="491"/>
        <v>TRAOTHOFRDMD</v>
      </c>
      <c r="AZ617" s="18">
        <v>2030</v>
      </c>
      <c r="BA617" s="18" t="str">
        <f>BA616</f>
        <v>LO</v>
      </c>
      <c r="BB617" s="18"/>
      <c r="BC617" s="20" t="e">
        <f>-SUMIFS('TRA RESID'!$P:$P,'TRA RESID'!$I:$I,AY617,'TRA RESID'!$J:$J,AV617,'TRA RESID'!$H:$H,AW617)/SUMIFS('TRA RESID'!$P:$P,'TRA RESID'!$I:$I,AY617)*BG617</f>
        <v>#DIV/0!</v>
      </c>
      <c r="BD617" s="18"/>
      <c r="BE617" s="18"/>
      <c r="BG617" s="21">
        <v>0.5</v>
      </c>
    </row>
    <row r="618" spans="1:59" x14ac:dyDescent="0.25">
      <c r="C618" s="15" t="str">
        <f>IF(C617="*",C617,"")</f>
        <v>*</v>
      </c>
      <c r="D618" s="17" t="str">
        <f t="shared" si="488"/>
        <v>*ICEV*</v>
      </c>
      <c r="E618" s="17" t="str">
        <f t="shared" si="488"/>
        <v>TRAGSL</v>
      </c>
      <c r="F618" s="17" t="str">
        <f t="shared" si="488"/>
        <v>TRAOTHOFRDMD</v>
      </c>
      <c r="G618" s="17" t="str">
        <f t="shared" si="488"/>
        <v>TRAOTHOFRDMD</v>
      </c>
      <c r="H618" s="18">
        <v>2040</v>
      </c>
      <c r="I618" s="18" t="str">
        <f>I617</f>
        <v>LO</v>
      </c>
      <c r="J618" s="18"/>
      <c r="K618" s="20" t="e">
        <f>-SUMIFS('TRA RESID'!$P:$P,'TRA RESID'!$I:$I,G618,'TRA RESID'!$J:$J,D618,'TRA RESID'!$H:$H,E618)/SUMIFS('TRA RESID'!$P:$P,'TRA RESID'!$I:$I,G618)*O618</f>
        <v>#DIV/0!</v>
      </c>
      <c r="L618" s="18"/>
      <c r="M618" s="18"/>
      <c r="O618" s="21">
        <v>0</v>
      </c>
      <c r="S618" s="15" t="str">
        <f>IF(S617="*",S617,"")</f>
        <v>*</v>
      </c>
      <c r="T618" s="17" t="str">
        <f t="shared" si="489"/>
        <v>*BEV*</v>
      </c>
      <c r="U618" s="17" t="str">
        <f t="shared" si="489"/>
        <v>TRAGSL</v>
      </c>
      <c r="V618" s="17" t="str">
        <f t="shared" si="489"/>
        <v>TRAOTHOFRDMD</v>
      </c>
      <c r="W618" s="17" t="str">
        <f t="shared" si="489"/>
        <v>TRAOTHOFRDMD</v>
      </c>
      <c r="X618" s="18">
        <v>2040</v>
      </c>
      <c r="Y618" s="18" t="str">
        <f>Y617</f>
        <v>LO</v>
      </c>
      <c r="Z618" s="18"/>
      <c r="AA618" s="20" t="e">
        <f>-SUMIFS('TRA RESID'!$P:$P,'TRA RESID'!$I:$I,W618,'TRA RESID'!$J:$J,T618,'TRA RESID'!$H:$H,U618)/SUMIFS('TRA RESID'!$P:$P,'TRA RESID'!$I:$I,W618)*AE618</f>
        <v>#DIV/0!</v>
      </c>
      <c r="AB618" s="18"/>
      <c r="AC618" s="18"/>
      <c r="AE618" s="21">
        <v>1</v>
      </c>
      <c r="AG618" s="15" t="str">
        <f>IF(AG617="*",AG617,"")</f>
        <v>*</v>
      </c>
      <c r="AH618" s="17" t="str">
        <f t="shared" si="490"/>
        <v>*HEV*</v>
      </c>
      <c r="AI618" s="17" t="str">
        <f t="shared" si="490"/>
        <v>TRAGSL</v>
      </c>
      <c r="AJ618" s="17" t="str">
        <f t="shared" si="490"/>
        <v>TRAOTHOFRDMD</v>
      </c>
      <c r="AK618" s="17" t="str">
        <f t="shared" si="490"/>
        <v>TRAOTHOFRDMD</v>
      </c>
      <c r="AL618" s="18">
        <v>2040</v>
      </c>
      <c r="AM618" s="18" t="str">
        <f>AM617</f>
        <v>LO</v>
      </c>
      <c r="AN618" s="18"/>
      <c r="AO618" s="20" t="e">
        <f>-SUMIFS('TRA RESID'!$P:$P,'TRA RESID'!$I:$I,AK618,'TRA RESID'!$J:$J,AH618,'TRA RESID'!$H:$H,AI618)/SUMIFS('TRA RESID'!$P:$P,'TRA RESID'!$I:$I,AK618)*AS618</f>
        <v>#DIV/0!</v>
      </c>
      <c r="AP618" s="18"/>
      <c r="AQ618" s="18"/>
      <c r="AS618" s="21">
        <v>0</v>
      </c>
      <c r="AU618" s="15" t="str">
        <f>IF(AU617="*",AU617,"")</f>
        <v>*</v>
      </c>
      <c r="AV618" s="17" t="str">
        <f t="shared" si="491"/>
        <v>*FCEV*</v>
      </c>
      <c r="AW618" s="17" t="str">
        <f t="shared" si="491"/>
        <v>TRAGSL</v>
      </c>
      <c r="AX618" s="17" t="str">
        <f t="shared" si="491"/>
        <v>TRAOTHOFRDMD</v>
      </c>
      <c r="AY618" s="17" t="str">
        <f t="shared" si="491"/>
        <v>TRAOTHOFRDMD</v>
      </c>
      <c r="AZ618" s="18">
        <v>2040</v>
      </c>
      <c r="BA618" s="18" t="str">
        <f>BA617</f>
        <v>LO</v>
      </c>
      <c r="BB618" s="18"/>
      <c r="BC618" s="20" t="e">
        <f>-SUMIFS('TRA RESID'!$P:$P,'TRA RESID'!$I:$I,AY618,'TRA RESID'!$J:$J,AV618,'TRA RESID'!$H:$H,AW618)/SUMIFS('TRA RESID'!$P:$P,'TRA RESID'!$I:$I,AY618)*BG618</f>
        <v>#DIV/0!</v>
      </c>
      <c r="BD618" s="18"/>
      <c r="BE618" s="18"/>
      <c r="BG618" s="21">
        <v>0</v>
      </c>
    </row>
    <row r="619" spans="1:59" x14ac:dyDescent="0.25">
      <c r="C619" s="23" t="str">
        <f>IF(C618="*",C618,"")</f>
        <v>*</v>
      </c>
      <c r="D619" s="25" t="str">
        <f t="shared" si="488"/>
        <v>*ICEV*</v>
      </c>
      <c r="E619" s="25" t="str">
        <f t="shared" si="488"/>
        <v>TRAGSL</v>
      </c>
      <c r="F619" s="25" t="str">
        <f t="shared" si="488"/>
        <v>TRAOTHOFRDMD</v>
      </c>
      <c r="G619" s="25" t="str">
        <f t="shared" si="488"/>
        <v>TRAOTHOFRDMD</v>
      </c>
      <c r="H619" s="26">
        <v>2050</v>
      </c>
      <c r="I619" s="26" t="str">
        <f>I617</f>
        <v>LO</v>
      </c>
      <c r="J619" s="26"/>
      <c r="K619" s="27" t="e">
        <f>-SUMIFS('TRA RESID'!$P:$P,'TRA RESID'!$I:$I,G619,'TRA RESID'!$J:$J,D619,'TRA RESID'!$H:$H,E619)/SUMIFS('TRA RESID'!$P:$P,'TRA RESID'!$I:$I,G619)*O619</f>
        <v>#DIV/0!</v>
      </c>
      <c r="L619" s="26"/>
      <c r="M619" s="26"/>
      <c r="O619" s="28">
        <v>0</v>
      </c>
      <c r="S619" s="23" t="str">
        <f>IF(S618="*",S618,"")</f>
        <v>*</v>
      </c>
      <c r="T619" s="25" t="str">
        <f t="shared" si="489"/>
        <v>*BEV*</v>
      </c>
      <c r="U619" s="25" t="str">
        <f t="shared" si="489"/>
        <v>TRAGSL</v>
      </c>
      <c r="V619" s="25" t="str">
        <f t="shared" si="489"/>
        <v>TRAOTHOFRDMD</v>
      </c>
      <c r="W619" s="25" t="str">
        <f t="shared" si="489"/>
        <v>TRAOTHOFRDMD</v>
      </c>
      <c r="X619" s="26">
        <v>2050</v>
      </c>
      <c r="Y619" s="26" t="str">
        <f>Y617</f>
        <v>LO</v>
      </c>
      <c r="Z619" s="26"/>
      <c r="AA619" s="27" t="e">
        <f>-SUMIFS('TRA RESID'!$P:$P,'TRA RESID'!$I:$I,W619,'TRA RESID'!$J:$J,T619,'TRA RESID'!$H:$H,U619)/SUMIFS('TRA RESID'!$P:$P,'TRA RESID'!$I:$I,W619)*AE619</f>
        <v>#DIV/0!</v>
      </c>
      <c r="AB619" s="26"/>
      <c r="AC619" s="26"/>
      <c r="AE619" s="28">
        <v>1</v>
      </c>
      <c r="AG619" s="23" t="str">
        <f>IF(AG618="*",AG618,"")</f>
        <v>*</v>
      </c>
      <c r="AH619" s="25" t="str">
        <f t="shared" si="490"/>
        <v>*HEV*</v>
      </c>
      <c r="AI619" s="25" t="str">
        <f t="shared" si="490"/>
        <v>TRAGSL</v>
      </c>
      <c r="AJ619" s="25" t="str">
        <f t="shared" si="490"/>
        <v>TRAOTHOFRDMD</v>
      </c>
      <c r="AK619" s="25" t="str">
        <f t="shared" si="490"/>
        <v>TRAOTHOFRDMD</v>
      </c>
      <c r="AL619" s="26">
        <v>2050</v>
      </c>
      <c r="AM619" s="26" t="str">
        <f>AM617</f>
        <v>LO</v>
      </c>
      <c r="AN619" s="26"/>
      <c r="AO619" s="27" t="e">
        <f>-SUMIFS('TRA RESID'!$P:$P,'TRA RESID'!$I:$I,AK619,'TRA RESID'!$J:$J,AH619,'TRA RESID'!$H:$H,AI619)/SUMIFS('TRA RESID'!$P:$P,'TRA RESID'!$I:$I,AK619)*AS619</f>
        <v>#DIV/0!</v>
      </c>
      <c r="AP619" s="26"/>
      <c r="AQ619" s="26"/>
      <c r="AS619" s="28">
        <v>0</v>
      </c>
      <c r="AU619" s="23" t="str">
        <f>IF(AU618="*",AU618,"")</f>
        <v>*</v>
      </c>
      <c r="AV619" s="25" t="str">
        <f t="shared" si="491"/>
        <v>*FCEV*</v>
      </c>
      <c r="AW619" s="25" t="str">
        <f t="shared" si="491"/>
        <v>TRAGSL</v>
      </c>
      <c r="AX619" s="25" t="str">
        <f t="shared" si="491"/>
        <v>TRAOTHOFRDMD</v>
      </c>
      <c r="AY619" s="25" t="str">
        <f t="shared" si="491"/>
        <v>TRAOTHOFRDMD</v>
      </c>
      <c r="AZ619" s="26">
        <v>2050</v>
      </c>
      <c r="BA619" s="26" t="str">
        <f>BA617</f>
        <v>LO</v>
      </c>
      <c r="BB619" s="26"/>
      <c r="BC619" s="27" t="e">
        <f>-SUMIFS('TRA RESID'!$P:$P,'TRA RESID'!$I:$I,AY619,'TRA RESID'!$J:$J,AV619,'TRA RESID'!$H:$H,AW619)/SUMIFS('TRA RESID'!$P:$P,'TRA RESID'!$I:$I,AY619)*BG619</f>
        <v>#DIV/0!</v>
      </c>
      <c r="BD619" s="26"/>
      <c r="BE619" s="26"/>
      <c r="BG619" s="28">
        <v>0</v>
      </c>
    </row>
    <row r="620" spans="1:59" x14ac:dyDescent="0.25">
      <c r="A620">
        <f>A615+1</f>
        <v>124</v>
      </c>
      <c r="C620" s="15" t="str">
        <f>IF(E620="","",IF(_xlfn.XLOOKUP($A620,Selected_constraint!$A:$A,Selected_constraint!$D:$D)=1,"*",IF(SUMIFS('TRA TECH'!$M:$M,'TRA TECH'!$H:$H,E620,'TRA TECH'!$I:$I,F620)=0,"*",IF(SUMIFS('TRA RESID'!$P:$P,'TRA RESID'!$I:$I,G620,'TRA RESID'!$J:$J,D620,'TRA RESID'!$H:$H,E620)=0,"*","UC_"&amp;SUBSTITUTE(D620,"*","")&amp;"_"&amp;RIGHT(E620,3)&amp;"_"&amp;F620))))</f>
        <v>*</v>
      </c>
      <c r="D620" s="17" t="s">
        <v>485</v>
      </c>
      <c r="E620" s="17" t="str">
        <f>_xlfn.XLOOKUP($A620,Selected_constraint!$A:$A,Selected_constraint!$B:$B)</f>
        <v>TRAETH</v>
      </c>
      <c r="F620" s="17" t="str">
        <f>_xlfn.XLOOKUP($A620,Selected_constraint!$A:$A,Selected_constraint!$C:$C)</f>
        <v>TRAOTHOFRDMD</v>
      </c>
      <c r="G620" s="17" t="str">
        <f>F620</f>
        <v>TRAOTHOFRDMD</v>
      </c>
      <c r="H620" s="18">
        <v>2019</v>
      </c>
      <c r="I620" s="18" t="s">
        <v>483</v>
      </c>
      <c r="J620" s="18">
        <v>1</v>
      </c>
      <c r="K620" s="20" t="e">
        <f>-SUMIFS('TRA RESID'!$P:$P,'TRA RESID'!$I:$I,G620,'TRA RESID'!$J:$J,D620,'TRA RESID'!$H:$H,E620)/SUMIFS('TRA RESID'!$P:$P,'TRA RESID'!$I:$I,G620)*O620</f>
        <v>#DIV/0!</v>
      </c>
      <c r="L620" s="18">
        <v>0</v>
      </c>
      <c r="M620" s="18">
        <v>5</v>
      </c>
      <c r="O620" s="21">
        <v>0.98</v>
      </c>
      <c r="Q620">
        <f>Q615+1</f>
        <v>124</v>
      </c>
      <c r="S620" s="15" t="str">
        <f>IF(SUMIFS('TRA RESID'!$P:$P,'TRA RESID'!$I:$I,W620,'TRA RESID'!$J:$J,T620,'TRA RESID'!$H:$H,U620)=0,"*","UC_"&amp;SUBSTITUTE(T620,"*","")&amp;"_"&amp;RIGHT(U620,3)&amp;"_"&amp;V620)</f>
        <v>*</v>
      </c>
      <c r="T620" s="17" t="s">
        <v>486</v>
      </c>
      <c r="U620" s="17" t="str">
        <f>_xlfn.XLOOKUP($A620,Selected_constraint!$A:$A,Selected_constraint!$B:$B)</f>
        <v>TRAETH</v>
      </c>
      <c r="V620" s="17" t="str">
        <f>_xlfn.XLOOKUP($A620,Selected_constraint!$A:$A,Selected_constraint!$C:$C)</f>
        <v>TRAOTHOFRDMD</v>
      </c>
      <c r="W620" s="17" t="str">
        <f>V620</f>
        <v>TRAOTHOFRDMD</v>
      </c>
      <c r="X620" s="18">
        <v>2019</v>
      </c>
      <c r="Y620" s="18" t="s">
        <v>483</v>
      </c>
      <c r="Z620" s="18">
        <v>1</v>
      </c>
      <c r="AA620" s="20" t="e">
        <f>-SUMIFS('TRA RESID'!$P:$P,'TRA RESID'!$I:$I,W620,'TRA RESID'!$J:$J,T620,'TRA RESID'!$H:$H,U620)/SUMIFS('TRA RESID'!$P:$P,'TRA RESID'!$I:$I,W620)*AE620</f>
        <v>#DIV/0!</v>
      </c>
      <c r="AB620" s="18">
        <v>0</v>
      </c>
      <c r="AC620" s="18">
        <v>5</v>
      </c>
      <c r="AE620" s="21">
        <v>0.98</v>
      </c>
      <c r="AG620" s="15" t="str">
        <f>IF(SUMIFS('TRA RESID'!$P:$P,'TRA RESID'!$I:$I,AK620,'TRA RESID'!$J:$J,AH620,'TRA RESID'!$H:$H,AI620)=0,"*","UC_"&amp;SUBSTITUTE(AH620,"*","")&amp;"_"&amp;RIGHT(AI620,3)&amp;"_"&amp;AJ620)</f>
        <v>*</v>
      </c>
      <c r="AH620" s="17" t="s">
        <v>487</v>
      </c>
      <c r="AI620" s="17" t="str">
        <f>_xlfn.XLOOKUP($A620,Selected_constraint!$A:$A,Selected_constraint!$B:$B)</f>
        <v>TRAETH</v>
      </c>
      <c r="AJ620" s="17" t="str">
        <f>_xlfn.XLOOKUP($A620,Selected_constraint!$A:$A,Selected_constraint!$C:$C)</f>
        <v>TRAOTHOFRDMD</v>
      </c>
      <c r="AK620" s="17" t="str">
        <f>AJ620</f>
        <v>TRAOTHOFRDMD</v>
      </c>
      <c r="AL620" s="18">
        <v>2019</v>
      </c>
      <c r="AM620" s="18" t="s">
        <v>483</v>
      </c>
      <c r="AN620" s="18">
        <v>1</v>
      </c>
      <c r="AO620" s="20" t="e">
        <f>-SUMIFS('TRA RESID'!$P:$P,'TRA RESID'!$I:$I,AK620,'TRA RESID'!$J:$J,AH620,'TRA RESID'!$H:$H,AI620)/SUMIFS('TRA RESID'!$P:$P,'TRA RESID'!$I:$I,AK620)*AS620</f>
        <v>#DIV/0!</v>
      </c>
      <c r="AP620" s="18">
        <v>0</v>
      </c>
      <c r="AQ620" s="18">
        <v>5</v>
      </c>
      <c r="AS620" s="21">
        <v>0.98</v>
      </c>
      <c r="AU620" s="15" t="str">
        <f>IF(SUMIFS('TRA RESID'!$P:$P,'TRA RESID'!$I:$I,AY620,'TRA RESID'!$J:$J,AV620,'TRA RESID'!$H:$H,AW620)=0,"*","UC_"&amp;SUBSTITUTE(AV620,"*","")&amp;"_"&amp;RIGHT(AW620,3)&amp;"_"&amp;AX620)</f>
        <v>*</v>
      </c>
      <c r="AV620" s="17" t="s">
        <v>488</v>
      </c>
      <c r="AW620" s="17" t="str">
        <f>_xlfn.XLOOKUP($A620,Selected_constraint!$A:$A,Selected_constraint!$B:$B)</f>
        <v>TRAETH</v>
      </c>
      <c r="AX620" s="17" t="str">
        <f>_xlfn.XLOOKUP($A620,Selected_constraint!$A:$A,Selected_constraint!$C:$C)</f>
        <v>TRAOTHOFRDMD</v>
      </c>
      <c r="AY620" s="17" t="str">
        <f>AX620</f>
        <v>TRAOTHOFRDMD</v>
      </c>
      <c r="AZ620" s="18">
        <v>2019</v>
      </c>
      <c r="BA620" s="18" t="s">
        <v>483</v>
      </c>
      <c r="BB620" s="18">
        <v>1</v>
      </c>
      <c r="BC620" s="20" t="e">
        <f>-SUMIFS('TRA RESID'!$P:$P,'TRA RESID'!$I:$I,AY620,'TRA RESID'!$J:$J,AV620,'TRA RESID'!$H:$H,AW620)/SUMIFS('TRA RESID'!$P:$P,'TRA RESID'!$I:$I,AY620)*BG620</f>
        <v>#DIV/0!</v>
      </c>
      <c r="BD620" s="18">
        <v>0</v>
      </c>
      <c r="BE620" s="18">
        <v>5</v>
      </c>
      <c r="BG620" s="21">
        <v>0.98</v>
      </c>
    </row>
    <row r="621" spans="1:59" x14ac:dyDescent="0.25">
      <c r="C621" s="15" t="str">
        <f>IF(C620="*",C620,"")</f>
        <v>*</v>
      </c>
      <c r="D621" s="17" t="str">
        <f t="shared" ref="D621:G624" si="492">D620</f>
        <v>*ICEV*</v>
      </c>
      <c r="E621" s="17" t="str">
        <f t="shared" si="492"/>
        <v>TRAETH</v>
      </c>
      <c r="F621" s="17" t="str">
        <f t="shared" si="492"/>
        <v>TRAOTHOFRDMD</v>
      </c>
      <c r="G621" s="17" t="str">
        <f t="shared" si="492"/>
        <v>TRAOTHOFRDMD</v>
      </c>
      <c r="H621" s="18">
        <v>2025</v>
      </c>
      <c r="I621" s="18" t="str">
        <f>I620</f>
        <v>LO</v>
      </c>
      <c r="J621" s="18"/>
      <c r="K621" s="20" t="e">
        <f>-SUMIFS('TRA RESID'!$P:$P,'TRA RESID'!$I:$I,G621,'TRA RESID'!$J:$J,D621,'TRA RESID'!$H:$H,E621)/SUMIFS('TRA RESID'!$P:$P,'TRA RESID'!$I:$I,G621)*O621</f>
        <v>#DIV/0!</v>
      </c>
      <c r="L621" s="18"/>
      <c r="M621" s="18"/>
      <c r="O621" s="21">
        <v>0.8</v>
      </c>
      <c r="S621" s="15" t="str">
        <f>IF(S620="*",S620,"")</f>
        <v>*</v>
      </c>
      <c r="T621" s="17" t="str">
        <f t="shared" ref="T621:W624" si="493">T620</f>
        <v>*BEV*</v>
      </c>
      <c r="U621" s="17" t="str">
        <f t="shared" si="493"/>
        <v>TRAETH</v>
      </c>
      <c r="V621" s="17" t="str">
        <f t="shared" si="493"/>
        <v>TRAOTHOFRDMD</v>
      </c>
      <c r="W621" s="17" t="str">
        <f t="shared" si="493"/>
        <v>TRAOTHOFRDMD</v>
      </c>
      <c r="X621" s="18">
        <v>2025</v>
      </c>
      <c r="Y621" s="18" t="str">
        <f>Y620</f>
        <v>LO</v>
      </c>
      <c r="Z621" s="18"/>
      <c r="AA621" s="20" t="e">
        <f>-SUMIFS('TRA RESID'!$P:$P,'TRA RESID'!$I:$I,W621,'TRA RESID'!$J:$J,T621,'TRA RESID'!$H:$H,U621)/SUMIFS('TRA RESID'!$P:$P,'TRA RESID'!$I:$I,W621)*AE621</f>
        <v>#DIV/0!</v>
      </c>
      <c r="AB621" s="18"/>
      <c r="AC621" s="18"/>
      <c r="AE621" s="21">
        <v>1</v>
      </c>
      <c r="AG621" s="15" t="str">
        <f>IF(AG620="*",AG620,"")</f>
        <v>*</v>
      </c>
      <c r="AH621" s="17" t="str">
        <f t="shared" ref="AH621:AK624" si="494">AH620</f>
        <v>*HEV*</v>
      </c>
      <c r="AI621" s="17" t="str">
        <f t="shared" si="494"/>
        <v>TRAETH</v>
      </c>
      <c r="AJ621" s="17" t="str">
        <f t="shared" si="494"/>
        <v>TRAOTHOFRDMD</v>
      </c>
      <c r="AK621" s="17" t="str">
        <f t="shared" si="494"/>
        <v>TRAOTHOFRDMD</v>
      </c>
      <c r="AL621" s="18">
        <v>2025</v>
      </c>
      <c r="AM621" s="18" t="str">
        <f>AM620</f>
        <v>LO</v>
      </c>
      <c r="AN621" s="18"/>
      <c r="AO621" s="20" t="e">
        <f>-SUMIFS('TRA RESID'!$P:$P,'TRA RESID'!$I:$I,AK621,'TRA RESID'!$J:$J,AH621,'TRA RESID'!$H:$H,AI621)/SUMIFS('TRA RESID'!$P:$P,'TRA RESID'!$I:$I,AK621)*AS621</f>
        <v>#DIV/0!</v>
      </c>
      <c r="AP621" s="18"/>
      <c r="AQ621" s="18"/>
      <c r="AS621" s="21">
        <v>0.8</v>
      </c>
      <c r="AU621" s="15" t="str">
        <f>IF(AU620="*",AU620,"")</f>
        <v>*</v>
      </c>
      <c r="AV621" s="17" t="str">
        <f t="shared" ref="AV621:AY624" si="495">AV620</f>
        <v>*FCEV*</v>
      </c>
      <c r="AW621" s="17" t="str">
        <f t="shared" si="495"/>
        <v>TRAETH</v>
      </c>
      <c r="AX621" s="17" t="str">
        <f t="shared" si="495"/>
        <v>TRAOTHOFRDMD</v>
      </c>
      <c r="AY621" s="17" t="str">
        <f t="shared" si="495"/>
        <v>TRAOTHOFRDMD</v>
      </c>
      <c r="AZ621" s="18">
        <v>2025</v>
      </c>
      <c r="BA621" s="18" t="str">
        <f>BA620</f>
        <v>LO</v>
      </c>
      <c r="BB621" s="18"/>
      <c r="BC621" s="20" t="e">
        <f>-SUMIFS('TRA RESID'!$P:$P,'TRA RESID'!$I:$I,AY621,'TRA RESID'!$J:$J,AV621,'TRA RESID'!$H:$H,AW621)/SUMIFS('TRA RESID'!$P:$P,'TRA RESID'!$I:$I,AY621)*BG621</f>
        <v>#DIV/0!</v>
      </c>
      <c r="BD621" s="18"/>
      <c r="BE621" s="18"/>
      <c r="BG621" s="21">
        <v>0.8</v>
      </c>
    </row>
    <row r="622" spans="1:59" x14ac:dyDescent="0.25">
      <c r="C622" s="15" t="str">
        <f>IF(C621="*",C621,"")</f>
        <v>*</v>
      </c>
      <c r="D622" s="17" t="str">
        <f t="shared" si="492"/>
        <v>*ICEV*</v>
      </c>
      <c r="E622" s="17" t="str">
        <f t="shared" si="492"/>
        <v>TRAETH</v>
      </c>
      <c r="F622" s="17" t="str">
        <f t="shared" si="492"/>
        <v>TRAOTHOFRDMD</v>
      </c>
      <c r="G622" s="17" t="str">
        <f t="shared" si="492"/>
        <v>TRAOTHOFRDMD</v>
      </c>
      <c r="H622" s="18">
        <v>2030</v>
      </c>
      <c r="I622" s="18" t="str">
        <f>I621</f>
        <v>LO</v>
      </c>
      <c r="J622" s="18"/>
      <c r="K622" s="20" t="e">
        <f>-SUMIFS('TRA RESID'!$P:$P,'TRA RESID'!$I:$I,G622,'TRA RESID'!$J:$J,D622,'TRA RESID'!$H:$H,E622)/SUMIFS('TRA RESID'!$P:$P,'TRA RESID'!$I:$I,G622)*O622</f>
        <v>#DIV/0!</v>
      </c>
      <c r="L622" s="18"/>
      <c r="M622" s="18"/>
      <c r="O622" s="21">
        <v>0.5</v>
      </c>
      <c r="S622" s="15" t="str">
        <f>IF(S621="*",S621,"")</f>
        <v>*</v>
      </c>
      <c r="T622" s="17" t="str">
        <f t="shared" si="493"/>
        <v>*BEV*</v>
      </c>
      <c r="U622" s="17" t="str">
        <f t="shared" si="493"/>
        <v>TRAETH</v>
      </c>
      <c r="V622" s="17" t="str">
        <f t="shared" si="493"/>
        <v>TRAOTHOFRDMD</v>
      </c>
      <c r="W622" s="17" t="str">
        <f t="shared" si="493"/>
        <v>TRAOTHOFRDMD</v>
      </c>
      <c r="X622" s="18">
        <v>2030</v>
      </c>
      <c r="Y622" s="18" t="str">
        <f>Y621</f>
        <v>LO</v>
      </c>
      <c r="Z622" s="18"/>
      <c r="AA622" s="20" t="e">
        <f>-SUMIFS('TRA RESID'!$P:$P,'TRA RESID'!$I:$I,W622,'TRA RESID'!$J:$J,T622,'TRA RESID'!$H:$H,U622)/SUMIFS('TRA RESID'!$P:$P,'TRA RESID'!$I:$I,W622)*AE622</f>
        <v>#DIV/0!</v>
      </c>
      <c r="AB622" s="18"/>
      <c r="AC622" s="18"/>
      <c r="AE622" s="21">
        <v>1</v>
      </c>
      <c r="AG622" s="15" t="str">
        <f>IF(AG621="*",AG621,"")</f>
        <v>*</v>
      </c>
      <c r="AH622" s="17" t="str">
        <f t="shared" si="494"/>
        <v>*HEV*</v>
      </c>
      <c r="AI622" s="17" t="str">
        <f t="shared" si="494"/>
        <v>TRAETH</v>
      </c>
      <c r="AJ622" s="17" t="str">
        <f t="shared" si="494"/>
        <v>TRAOTHOFRDMD</v>
      </c>
      <c r="AK622" s="17" t="str">
        <f t="shared" si="494"/>
        <v>TRAOTHOFRDMD</v>
      </c>
      <c r="AL622" s="18">
        <v>2030</v>
      </c>
      <c r="AM622" s="18" t="str">
        <f>AM621</f>
        <v>LO</v>
      </c>
      <c r="AN622" s="18"/>
      <c r="AO622" s="20" t="e">
        <f>-SUMIFS('TRA RESID'!$P:$P,'TRA RESID'!$I:$I,AK622,'TRA RESID'!$J:$J,AH622,'TRA RESID'!$H:$H,AI622)/SUMIFS('TRA RESID'!$P:$P,'TRA RESID'!$I:$I,AK622)*AS622</f>
        <v>#DIV/0!</v>
      </c>
      <c r="AP622" s="18"/>
      <c r="AQ622" s="18"/>
      <c r="AS622" s="21">
        <v>0.5</v>
      </c>
      <c r="AU622" s="15" t="str">
        <f>IF(AU621="*",AU621,"")</f>
        <v>*</v>
      </c>
      <c r="AV622" s="17" t="str">
        <f t="shared" si="495"/>
        <v>*FCEV*</v>
      </c>
      <c r="AW622" s="17" t="str">
        <f t="shared" si="495"/>
        <v>TRAETH</v>
      </c>
      <c r="AX622" s="17" t="str">
        <f t="shared" si="495"/>
        <v>TRAOTHOFRDMD</v>
      </c>
      <c r="AY622" s="17" t="str">
        <f t="shared" si="495"/>
        <v>TRAOTHOFRDMD</v>
      </c>
      <c r="AZ622" s="18">
        <v>2030</v>
      </c>
      <c r="BA622" s="18" t="str">
        <f>BA621</f>
        <v>LO</v>
      </c>
      <c r="BB622" s="18"/>
      <c r="BC622" s="20" t="e">
        <f>-SUMIFS('TRA RESID'!$P:$P,'TRA RESID'!$I:$I,AY622,'TRA RESID'!$J:$J,AV622,'TRA RESID'!$H:$H,AW622)/SUMIFS('TRA RESID'!$P:$P,'TRA RESID'!$I:$I,AY622)*BG622</f>
        <v>#DIV/0!</v>
      </c>
      <c r="BD622" s="18"/>
      <c r="BE622" s="18"/>
      <c r="BG622" s="21">
        <v>0.5</v>
      </c>
    </row>
    <row r="623" spans="1:59" x14ac:dyDescent="0.25">
      <c r="C623" s="15" t="str">
        <f>IF(C622="*",C622,"")</f>
        <v>*</v>
      </c>
      <c r="D623" s="17" t="str">
        <f t="shared" si="492"/>
        <v>*ICEV*</v>
      </c>
      <c r="E623" s="17" t="str">
        <f t="shared" si="492"/>
        <v>TRAETH</v>
      </c>
      <c r="F623" s="17" t="str">
        <f t="shared" si="492"/>
        <v>TRAOTHOFRDMD</v>
      </c>
      <c r="G623" s="17" t="str">
        <f t="shared" si="492"/>
        <v>TRAOTHOFRDMD</v>
      </c>
      <c r="H623" s="18">
        <v>2040</v>
      </c>
      <c r="I623" s="18" t="str">
        <f>I622</f>
        <v>LO</v>
      </c>
      <c r="J623" s="18"/>
      <c r="K623" s="20" t="e">
        <f>-SUMIFS('TRA RESID'!$P:$P,'TRA RESID'!$I:$I,G623,'TRA RESID'!$J:$J,D623,'TRA RESID'!$H:$H,E623)/SUMIFS('TRA RESID'!$P:$P,'TRA RESID'!$I:$I,G623)*O623</f>
        <v>#DIV/0!</v>
      </c>
      <c r="L623" s="18"/>
      <c r="M623" s="18"/>
      <c r="O623" s="21">
        <v>0</v>
      </c>
      <c r="S623" s="15" t="str">
        <f>IF(S622="*",S622,"")</f>
        <v>*</v>
      </c>
      <c r="T623" s="17" t="str">
        <f t="shared" si="493"/>
        <v>*BEV*</v>
      </c>
      <c r="U623" s="17" t="str">
        <f t="shared" si="493"/>
        <v>TRAETH</v>
      </c>
      <c r="V623" s="17" t="str">
        <f t="shared" si="493"/>
        <v>TRAOTHOFRDMD</v>
      </c>
      <c r="W623" s="17" t="str">
        <f t="shared" si="493"/>
        <v>TRAOTHOFRDMD</v>
      </c>
      <c r="X623" s="18">
        <v>2040</v>
      </c>
      <c r="Y623" s="18" t="str">
        <f>Y622</f>
        <v>LO</v>
      </c>
      <c r="Z623" s="18"/>
      <c r="AA623" s="20" t="e">
        <f>-SUMIFS('TRA RESID'!$P:$P,'TRA RESID'!$I:$I,W623,'TRA RESID'!$J:$J,T623,'TRA RESID'!$H:$H,U623)/SUMIFS('TRA RESID'!$P:$P,'TRA RESID'!$I:$I,W623)*AE623</f>
        <v>#DIV/0!</v>
      </c>
      <c r="AB623" s="18"/>
      <c r="AC623" s="18"/>
      <c r="AE623" s="21">
        <v>1</v>
      </c>
      <c r="AG623" s="15" t="str">
        <f>IF(AG622="*",AG622,"")</f>
        <v>*</v>
      </c>
      <c r="AH623" s="17" t="str">
        <f t="shared" si="494"/>
        <v>*HEV*</v>
      </c>
      <c r="AI623" s="17" t="str">
        <f t="shared" si="494"/>
        <v>TRAETH</v>
      </c>
      <c r="AJ623" s="17" t="str">
        <f t="shared" si="494"/>
        <v>TRAOTHOFRDMD</v>
      </c>
      <c r="AK623" s="17" t="str">
        <f t="shared" si="494"/>
        <v>TRAOTHOFRDMD</v>
      </c>
      <c r="AL623" s="18">
        <v>2040</v>
      </c>
      <c r="AM623" s="18" t="str">
        <f>AM622</f>
        <v>LO</v>
      </c>
      <c r="AN623" s="18"/>
      <c r="AO623" s="20" t="e">
        <f>-SUMIFS('TRA RESID'!$P:$P,'TRA RESID'!$I:$I,AK623,'TRA RESID'!$J:$J,AH623,'TRA RESID'!$H:$H,AI623)/SUMIFS('TRA RESID'!$P:$P,'TRA RESID'!$I:$I,AK623)*AS623</f>
        <v>#DIV/0!</v>
      </c>
      <c r="AP623" s="18"/>
      <c r="AQ623" s="18"/>
      <c r="AS623" s="21">
        <v>0</v>
      </c>
      <c r="AU623" s="15" t="str">
        <f>IF(AU622="*",AU622,"")</f>
        <v>*</v>
      </c>
      <c r="AV623" s="17" t="str">
        <f t="shared" si="495"/>
        <v>*FCEV*</v>
      </c>
      <c r="AW623" s="17" t="str">
        <f t="shared" si="495"/>
        <v>TRAETH</v>
      </c>
      <c r="AX623" s="17" t="str">
        <f t="shared" si="495"/>
        <v>TRAOTHOFRDMD</v>
      </c>
      <c r="AY623" s="17" t="str">
        <f t="shared" si="495"/>
        <v>TRAOTHOFRDMD</v>
      </c>
      <c r="AZ623" s="18">
        <v>2040</v>
      </c>
      <c r="BA623" s="18" t="str">
        <f>BA622</f>
        <v>LO</v>
      </c>
      <c r="BB623" s="18"/>
      <c r="BC623" s="20" t="e">
        <f>-SUMIFS('TRA RESID'!$P:$P,'TRA RESID'!$I:$I,AY623,'TRA RESID'!$J:$J,AV623,'TRA RESID'!$H:$H,AW623)/SUMIFS('TRA RESID'!$P:$P,'TRA RESID'!$I:$I,AY623)*BG623</f>
        <v>#DIV/0!</v>
      </c>
      <c r="BD623" s="18"/>
      <c r="BE623" s="18"/>
      <c r="BG623" s="21">
        <v>0</v>
      </c>
    </row>
    <row r="624" spans="1:59" x14ac:dyDescent="0.25">
      <c r="C624" s="23" t="str">
        <f>IF(C623="*",C623,"")</f>
        <v>*</v>
      </c>
      <c r="D624" s="25" t="str">
        <f t="shared" si="492"/>
        <v>*ICEV*</v>
      </c>
      <c r="E624" s="25" t="str">
        <f t="shared" si="492"/>
        <v>TRAETH</v>
      </c>
      <c r="F624" s="25" t="str">
        <f t="shared" si="492"/>
        <v>TRAOTHOFRDMD</v>
      </c>
      <c r="G624" s="25" t="str">
        <f t="shared" si="492"/>
        <v>TRAOTHOFRDMD</v>
      </c>
      <c r="H624" s="26">
        <v>2050</v>
      </c>
      <c r="I624" s="26" t="str">
        <f>I622</f>
        <v>LO</v>
      </c>
      <c r="J624" s="26"/>
      <c r="K624" s="27" t="e">
        <f>-SUMIFS('TRA RESID'!$P:$P,'TRA RESID'!$I:$I,G624,'TRA RESID'!$J:$J,D624,'TRA RESID'!$H:$H,E624)/SUMIFS('TRA RESID'!$P:$P,'TRA RESID'!$I:$I,G624)*O624</f>
        <v>#DIV/0!</v>
      </c>
      <c r="L624" s="26"/>
      <c r="M624" s="26"/>
      <c r="O624" s="28">
        <v>0</v>
      </c>
      <c r="S624" s="23" t="str">
        <f>IF(S623="*",S623,"")</f>
        <v>*</v>
      </c>
      <c r="T624" s="25" t="str">
        <f t="shared" si="493"/>
        <v>*BEV*</v>
      </c>
      <c r="U624" s="25" t="str">
        <f t="shared" si="493"/>
        <v>TRAETH</v>
      </c>
      <c r="V624" s="25" t="str">
        <f t="shared" si="493"/>
        <v>TRAOTHOFRDMD</v>
      </c>
      <c r="W624" s="25" t="str">
        <f t="shared" si="493"/>
        <v>TRAOTHOFRDMD</v>
      </c>
      <c r="X624" s="26">
        <v>2050</v>
      </c>
      <c r="Y624" s="26" t="str">
        <f>Y622</f>
        <v>LO</v>
      </c>
      <c r="Z624" s="26"/>
      <c r="AA624" s="27" t="e">
        <f>-SUMIFS('TRA RESID'!$P:$P,'TRA RESID'!$I:$I,W624,'TRA RESID'!$J:$J,T624,'TRA RESID'!$H:$H,U624)/SUMIFS('TRA RESID'!$P:$P,'TRA RESID'!$I:$I,W624)*AE624</f>
        <v>#DIV/0!</v>
      </c>
      <c r="AB624" s="26"/>
      <c r="AC624" s="26"/>
      <c r="AE624" s="28">
        <v>1</v>
      </c>
      <c r="AG624" s="23" t="str">
        <f>IF(AG623="*",AG623,"")</f>
        <v>*</v>
      </c>
      <c r="AH624" s="25" t="str">
        <f t="shared" si="494"/>
        <v>*HEV*</v>
      </c>
      <c r="AI624" s="25" t="str">
        <f t="shared" si="494"/>
        <v>TRAETH</v>
      </c>
      <c r="AJ624" s="25" t="str">
        <f t="shared" si="494"/>
        <v>TRAOTHOFRDMD</v>
      </c>
      <c r="AK624" s="25" t="str">
        <f t="shared" si="494"/>
        <v>TRAOTHOFRDMD</v>
      </c>
      <c r="AL624" s="26">
        <v>2050</v>
      </c>
      <c r="AM624" s="26" t="str">
        <f>AM622</f>
        <v>LO</v>
      </c>
      <c r="AN624" s="26"/>
      <c r="AO624" s="27" t="e">
        <f>-SUMIFS('TRA RESID'!$P:$P,'TRA RESID'!$I:$I,AK624,'TRA RESID'!$J:$J,AH624,'TRA RESID'!$H:$H,AI624)/SUMIFS('TRA RESID'!$P:$P,'TRA RESID'!$I:$I,AK624)*AS624</f>
        <v>#DIV/0!</v>
      </c>
      <c r="AP624" s="26"/>
      <c r="AQ624" s="26"/>
      <c r="AS624" s="28">
        <v>0</v>
      </c>
      <c r="AU624" s="23" t="str">
        <f>IF(AU623="*",AU623,"")</f>
        <v>*</v>
      </c>
      <c r="AV624" s="25" t="str">
        <f t="shared" si="495"/>
        <v>*FCEV*</v>
      </c>
      <c r="AW624" s="25" t="str">
        <f t="shared" si="495"/>
        <v>TRAETH</v>
      </c>
      <c r="AX624" s="25" t="str">
        <f t="shared" si="495"/>
        <v>TRAOTHOFRDMD</v>
      </c>
      <c r="AY624" s="25" t="str">
        <f t="shared" si="495"/>
        <v>TRAOTHOFRDMD</v>
      </c>
      <c r="AZ624" s="26">
        <v>2050</v>
      </c>
      <c r="BA624" s="26" t="str">
        <f>BA622</f>
        <v>LO</v>
      </c>
      <c r="BB624" s="26"/>
      <c r="BC624" s="27" t="e">
        <f>-SUMIFS('TRA RESID'!$P:$P,'TRA RESID'!$I:$I,AY624,'TRA RESID'!$J:$J,AV624,'TRA RESID'!$H:$H,AW624)/SUMIFS('TRA RESID'!$P:$P,'TRA RESID'!$I:$I,AY624)*BG624</f>
        <v>#DIV/0!</v>
      </c>
      <c r="BD624" s="26"/>
      <c r="BE624" s="26"/>
      <c r="BG624" s="28">
        <v>0</v>
      </c>
    </row>
    <row r="625" spans="1:59" x14ac:dyDescent="0.25">
      <c r="A625">
        <f>A620+1</f>
        <v>125</v>
      </c>
      <c r="C625" s="15" t="str">
        <f>IF(E625="","",IF(_xlfn.XLOOKUP($A625,Selected_constraint!$A:$A,Selected_constraint!$D:$D)=1,"*",IF(SUMIFS('TRA TECH'!$M:$M,'TRA TECH'!$H:$H,E625,'TRA TECH'!$I:$I,F625)=0,"*",IF(SUMIFS('TRA RESID'!$P:$P,'TRA RESID'!$I:$I,G625,'TRA RESID'!$J:$J,D625,'TRA RESID'!$H:$H,E625)=0,"*","UC_"&amp;SUBSTITUTE(D625,"*","")&amp;"_"&amp;RIGHT(E625,3)&amp;"_"&amp;F625))))</f>
        <v>*</v>
      </c>
      <c r="D625" s="17" t="s">
        <v>485</v>
      </c>
      <c r="E625" s="17" t="str">
        <f>_xlfn.XLOOKUP($A625,Selected_constraint!$A:$A,Selected_constraint!$B:$B)</f>
        <v>TRADSL</v>
      </c>
      <c r="F625" s="17" t="str">
        <f>_xlfn.XLOOKUP($A625,Selected_constraint!$A:$A,Selected_constraint!$C:$C)</f>
        <v>TRAOTHOFRDMD</v>
      </c>
      <c r="G625" s="17" t="str">
        <f>F625</f>
        <v>TRAOTHOFRDMD</v>
      </c>
      <c r="H625" s="18">
        <v>2019</v>
      </c>
      <c r="I625" s="18" t="s">
        <v>483</v>
      </c>
      <c r="J625" s="18">
        <v>1</v>
      </c>
      <c r="K625" s="20" t="e">
        <f>-SUMIFS('TRA RESID'!$P:$P,'TRA RESID'!$I:$I,G625,'TRA RESID'!$J:$J,D625,'TRA RESID'!$H:$H,E625)/SUMIFS('TRA RESID'!$P:$P,'TRA RESID'!$I:$I,G625)*O625</f>
        <v>#DIV/0!</v>
      </c>
      <c r="L625" s="18">
        <v>0</v>
      </c>
      <c r="M625" s="18">
        <v>5</v>
      </c>
      <c r="O625" s="21">
        <v>0.98</v>
      </c>
      <c r="Q625">
        <f>Q620+1</f>
        <v>125</v>
      </c>
      <c r="S625" s="15" t="str">
        <f>IF(SUMIFS('TRA RESID'!$P:$P,'TRA RESID'!$I:$I,W625,'TRA RESID'!$J:$J,T625,'TRA RESID'!$H:$H,U625)=0,"*","UC_"&amp;SUBSTITUTE(T625,"*","")&amp;"_"&amp;RIGHT(U625,3)&amp;"_"&amp;V625)</f>
        <v>*</v>
      </c>
      <c r="T625" s="17" t="s">
        <v>486</v>
      </c>
      <c r="U625" s="17" t="str">
        <f>_xlfn.XLOOKUP($A625,Selected_constraint!$A:$A,Selected_constraint!$B:$B)</f>
        <v>TRADSL</v>
      </c>
      <c r="V625" s="17" t="str">
        <f>_xlfn.XLOOKUP($A625,Selected_constraint!$A:$A,Selected_constraint!$C:$C)</f>
        <v>TRAOTHOFRDMD</v>
      </c>
      <c r="W625" s="17" t="str">
        <f>V625</f>
        <v>TRAOTHOFRDMD</v>
      </c>
      <c r="X625" s="18">
        <v>2019</v>
      </c>
      <c r="Y625" s="18" t="s">
        <v>483</v>
      </c>
      <c r="Z625" s="18">
        <v>1</v>
      </c>
      <c r="AA625" s="20" t="e">
        <f>-SUMIFS('TRA RESID'!$P:$P,'TRA RESID'!$I:$I,W625,'TRA RESID'!$J:$J,T625,'TRA RESID'!$H:$H,U625)/SUMIFS('TRA RESID'!$P:$P,'TRA RESID'!$I:$I,W625)*AE625</f>
        <v>#DIV/0!</v>
      </c>
      <c r="AB625" s="18">
        <v>0</v>
      </c>
      <c r="AC625" s="18">
        <v>5</v>
      </c>
      <c r="AE625" s="21">
        <v>0.98</v>
      </c>
      <c r="AG625" s="15" t="str">
        <f>IF(SUMIFS('TRA RESID'!$P:$P,'TRA RESID'!$I:$I,AK625,'TRA RESID'!$J:$J,AH625,'TRA RESID'!$H:$H,AI625)=0,"*","UC_"&amp;SUBSTITUTE(AH625,"*","")&amp;"_"&amp;RIGHT(AI625,3)&amp;"_"&amp;AJ625)</f>
        <v>*</v>
      </c>
      <c r="AH625" s="17" t="s">
        <v>487</v>
      </c>
      <c r="AI625" s="17" t="str">
        <f>_xlfn.XLOOKUP($A625,Selected_constraint!$A:$A,Selected_constraint!$B:$B)</f>
        <v>TRADSL</v>
      </c>
      <c r="AJ625" s="17" t="str">
        <f>_xlfn.XLOOKUP($A625,Selected_constraint!$A:$A,Selected_constraint!$C:$C)</f>
        <v>TRAOTHOFRDMD</v>
      </c>
      <c r="AK625" s="17" t="str">
        <f>AJ625</f>
        <v>TRAOTHOFRDMD</v>
      </c>
      <c r="AL625" s="18">
        <v>2019</v>
      </c>
      <c r="AM625" s="18" t="s">
        <v>483</v>
      </c>
      <c r="AN625" s="18">
        <v>1</v>
      </c>
      <c r="AO625" s="20" t="e">
        <f>-SUMIFS('TRA RESID'!$P:$P,'TRA RESID'!$I:$I,AK625,'TRA RESID'!$J:$J,AH625,'TRA RESID'!$H:$H,AI625)/SUMIFS('TRA RESID'!$P:$P,'TRA RESID'!$I:$I,AK625)*AS625</f>
        <v>#DIV/0!</v>
      </c>
      <c r="AP625" s="18">
        <v>0</v>
      </c>
      <c r="AQ625" s="18">
        <v>5</v>
      </c>
      <c r="AS625" s="21">
        <v>0.98</v>
      </c>
      <c r="AU625" s="15" t="str">
        <f>IF(SUMIFS('TRA RESID'!$P:$P,'TRA RESID'!$I:$I,AY625,'TRA RESID'!$J:$J,AV625,'TRA RESID'!$H:$H,AW625)=0,"*","UC_"&amp;SUBSTITUTE(AV625,"*","")&amp;"_"&amp;RIGHT(AW625,3)&amp;"_"&amp;AX625)</f>
        <v>*</v>
      </c>
      <c r="AV625" s="17" t="s">
        <v>488</v>
      </c>
      <c r="AW625" s="17" t="str">
        <f>_xlfn.XLOOKUP($A625,Selected_constraint!$A:$A,Selected_constraint!$B:$B)</f>
        <v>TRADSL</v>
      </c>
      <c r="AX625" s="17" t="str">
        <f>_xlfn.XLOOKUP($A625,Selected_constraint!$A:$A,Selected_constraint!$C:$C)</f>
        <v>TRAOTHOFRDMD</v>
      </c>
      <c r="AY625" s="17" t="str">
        <f>AX625</f>
        <v>TRAOTHOFRDMD</v>
      </c>
      <c r="AZ625" s="18">
        <v>2019</v>
      </c>
      <c r="BA625" s="18" t="s">
        <v>483</v>
      </c>
      <c r="BB625" s="18">
        <v>1</v>
      </c>
      <c r="BC625" s="20" t="e">
        <f>-SUMIFS('TRA RESID'!$P:$P,'TRA RESID'!$I:$I,AY625,'TRA RESID'!$J:$J,AV625,'TRA RESID'!$H:$H,AW625)/SUMIFS('TRA RESID'!$P:$P,'TRA RESID'!$I:$I,AY625)*BG625</f>
        <v>#DIV/0!</v>
      </c>
      <c r="BD625" s="18">
        <v>0</v>
      </c>
      <c r="BE625" s="18">
        <v>5</v>
      </c>
      <c r="BG625" s="21">
        <v>0.98</v>
      </c>
    </row>
    <row r="626" spans="1:59" x14ac:dyDescent="0.25">
      <c r="C626" s="15" t="str">
        <f>IF(C625="*",C625,"")</f>
        <v>*</v>
      </c>
      <c r="D626" s="17" t="str">
        <f t="shared" ref="D626:G629" si="496">D625</f>
        <v>*ICEV*</v>
      </c>
      <c r="E626" s="17" t="str">
        <f t="shared" si="496"/>
        <v>TRADSL</v>
      </c>
      <c r="F626" s="17" t="str">
        <f t="shared" si="496"/>
        <v>TRAOTHOFRDMD</v>
      </c>
      <c r="G626" s="17" t="str">
        <f t="shared" si="496"/>
        <v>TRAOTHOFRDMD</v>
      </c>
      <c r="H626" s="18">
        <v>2025</v>
      </c>
      <c r="I626" s="18" t="str">
        <f>I625</f>
        <v>LO</v>
      </c>
      <c r="J626" s="18"/>
      <c r="K626" s="20" t="e">
        <f>-SUMIFS('TRA RESID'!$P:$P,'TRA RESID'!$I:$I,G626,'TRA RESID'!$J:$J,D626,'TRA RESID'!$H:$H,E626)/SUMIFS('TRA RESID'!$P:$P,'TRA RESID'!$I:$I,G626)*O626</f>
        <v>#DIV/0!</v>
      </c>
      <c r="L626" s="18"/>
      <c r="M626" s="18"/>
      <c r="O626" s="21">
        <v>0.8</v>
      </c>
      <c r="S626" s="15" t="str">
        <f>IF(S625="*",S625,"")</f>
        <v>*</v>
      </c>
      <c r="T626" s="17" t="str">
        <f t="shared" ref="T626:W629" si="497">T625</f>
        <v>*BEV*</v>
      </c>
      <c r="U626" s="17" t="str">
        <f t="shared" si="497"/>
        <v>TRADSL</v>
      </c>
      <c r="V626" s="17" t="str">
        <f t="shared" si="497"/>
        <v>TRAOTHOFRDMD</v>
      </c>
      <c r="W626" s="17" t="str">
        <f t="shared" si="497"/>
        <v>TRAOTHOFRDMD</v>
      </c>
      <c r="X626" s="18">
        <v>2025</v>
      </c>
      <c r="Y626" s="18" t="str">
        <f>Y625</f>
        <v>LO</v>
      </c>
      <c r="Z626" s="18"/>
      <c r="AA626" s="20" t="e">
        <f>-SUMIFS('TRA RESID'!$P:$P,'TRA RESID'!$I:$I,W626,'TRA RESID'!$J:$J,T626,'TRA RESID'!$H:$H,U626)/SUMIFS('TRA RESID'!$P:$P,'TRA RESID'!$I:$I,W626)*AE626</f>
        <v>#DIV/0!</v>
      </c>
      <c r="AB626" s="18"/>
      <c r="AC626" s="18"/>
      <c r="AE626" s="21">
        <v>1</v>
      </c>
      <c r="AG626" s="15" t="str">
        <f>IF(AG625="*",AG625,"")</f>
        <v>*</v>
      </c>
      <c r="AH626" s="17" t="str">
        <f t="shared" ref="AH626:AK629" si="498">AH625</f>
        <v>*HEV*</v>
      </c>
      <c r="AI626" s="17" t="str">
        <f t="shared" si="498"/>
        <v>TRADSL</v>
      </c>
      <c r="AJ626" s="17" t="str">
        <f t="shared" si="498"/>
        <v>TRAOTHOFRDMD</v>
      </c>
      <c r="AK626" s="17" t="str">
        <f t="shared" si="498"/>
        <v>TRAOTHOFRDMD</v>
      </c>
      <c r="AL626" s="18">
        <v>2025</v>
      </c>
      <c r="AM626" s="18" t="str">
        <f>AM625</f>
        <v>LO</v>
      </c>
      <c r="AN626" s="18"/>
      <c r="AO626" s="20" t="e">
        <f>-SUMIFS('TRA RESID'!$P:$P,'TRA RESID'!$I:$I,AK626,'TRA RESID'!$J:$J,AH626,'TRA RESID'!$H:$H,AI626)/SUMIFS('TRA RESID'!$P:$P,'TRA RESID'!$I:$I,AK626)*AS626</f>
        <v>#DIV/0!</v>
      </c>
      <c r="AP626" s="18"/>
      <c r="AQ626" s="18"/>
      <c r="AS626" s="21">
        <v>0.8</v>
      </c>
      <c r="AU626" s="15" t="str">
        <f>IF(AU625="*",AU625,"")</f>
        <v>*</v>
      </c>
      <c r="AV626" s="17" t="str">
        <f t="shared" ref="AV626:AY629" si="499">AV625</f>
        <v>*FCEV*</v>
      </c>
      <c r="AW626" s="17" t="str">
        <f t="shared" si="499"/>
        <v>TRADSL</v>
      </c>
      <c r="AX626" s="17" t="str">
        <f t="shared" si="499"/>
        <v>TRAOTHOFRDMD</v>
      </c>
      <c r="AY626" s="17" t="str">
        <f t="shared" si="499"/>
        <v>TRAOTHOFRDMD</v>
      </c>
      <c r="AZ626" s="18">
        <v>2025</v>
      </c>
      <c r="BA626" s="18" t="str">
        <f>BA625</f>
        <v>LO</v>
      </c>
      <c r="BB626" s="18"/>
      <c r="BC626" s="20" t="e">
        <f>-SUMIFS('TRA RESID'!$P:$P,'TRA RESID'!$I:$I,AY626,'TRA RESID'!$J:$J,AV626,'TRA RESID'!$H:$H,AW626)/SUMIFS('TRA RESID'!$P:$P,'TRA RESID'!$I:$I,AY626)*BG626</f>
        <v>#DIV/0!</v>
      </c>
      <c r="BD626" s="18"/>
      <c r="BE626" s="18"/>
      <c r="BG626" s="21">
        <v>0.8</v>
      </c>
    </row>
    <row r="627" spans="1:59" x14ac:dyDescent="0.25">
      <c r="C627" s="15" t="str">
        <f>IF(C626="*",C626,"")</f>
        <v>*</v>
      </c>
      <c r="D627" s="17" t="str">
        <f t="shared" si="496"/>
        <v>*ICEV*</v>
      </c>
      <c r="E627" s="17" t="str">
        <f t="shared" si="496"/>
        <v>TRADSL</v>
      </c>
      <c r="F627" s="17" t="str">
        <f t="shared" si="496"/>
        <v>TRAOTHOFRDMD</v>
      </c>
      <c r="G627" s="17" t="str">
        <f t="shared" si="496"/>
        <v>TRAOTHOFRDMD</v>
      </c>
      <c r="H627" s="18">
        <v>2030</v>
      </c>
      <c r="I627" s="18" t="str">
        <f>I626</f>
        <v>LO</v>
      </c>
      <c r="J627" s="18"/>
      <c r="K627" s="20" t="e">
        <f>-SUMIFS('TRA RESID'!$P:$P,'TRA RESID'!$I:$I,G627,'TRA RESID'!$J:$J,D627,'TRA RESID'!$H:$H,E627)/SUMIFS('TRA RESID'!$P:$P,'TRA RESID'!$I:$I,G627)*O627</f>
        <v>#DIV/0!</v>
      </c>
      <c r="L627" s="18"/>
      <c r="M627" s="18"/>
      <c r="O627" s="21">
        <v>0.5</v>
      </c>
      <c r="S627" s="15" t="str">
        <f>IF(S626="*",S626,"")</f>
        <v>*</v>
      </c>
      <c r="T627" s="17" t="str">
        <f t="shared" si="497"/>
        <v>*BEV*</v>
      </c>
      <c r="U627" s="17" t="str">
        <f t="shared" si="497"/>
        <v>TRADSL</v>
      </c>
      <c r="V627" s="17" t="str">
        <f t="shared" si="497"/>
        <v>TRAOTHOFRDMD</v>
      </c>
      <c r="W627" s="17" t="str">
        <f t="shared" si="497"/>
        <v>TRAOTHOFRDMD</v>
      </c>
      <c r="X627" s="18">
        <v>2030</v>
      </c>
      <c r="Y627" s="18" t="str">
        <f>Y626</f>
        <v>LO</v>
      </c>
      <c r="Z627" s="18"/>
      <c r="AA627" s="20" t="e">
        <f>-SUMIFS('TRA RESID'!$P:$P,'TRA RESID'!$I:$I,W627,'TRA RESID'!$J:$J,T627,'TRA RESID'!$H:$H,U627)/SUMIFS('TRA RESID'!$P:$P,'TRA RESID'!$I:$I,W627)*AE627</f>
        <v>#DIV/0!</v>
      </c>
      <c r="AB627" s="18"/>
      <c r="AC627" s="18"/>
      <c r="AE627" s="21">
        <v>1</v>
      </c>
      <c r="AG627" s="15" t="str">
        <f>IF(AG626="*",AG626,"")</f>
        <v>*</v>
      </c>
      <c r="AH627" s="17" t="str">
        <f t="shared" si="498"/>
        <v>*HEV*</v>
      </c>
      <c r="AI627" s="17" t="str">
        <f t="shared" si="498"/>
        <v>TRADSL</v>
      </c>
      <c r="AJ627" s="17" t="str">
        <f t="shared" si="498"/>
        <v>TRAOTHOFRDMD</v>
      </c>
      <c r="AK627" s="17" t="str">
        <f t="shared" si="498"/>
        <v>TRAOTHOFRDMD</v>
      </c>
      <c r="AL627" s="18">
        <v>2030</v>
      </c>
      <c r="AM627" s="18" t="str">
        <f>AM626</f>
        <v>LO</v>
      </c>
      <c r="AN627" s="18"/>
      <c r="AO627" s="20" t="e">
        <f>-SUMIFS('TRA RESID'!$P:$P,'TRA RESID'!$I:$I,AK627,'TRA RESID'!$J:$J,AH627,'TRA RESID'!$H:$H,AI627)/SUMIFS('TRA RESID'!$P:$P,'TRA RESID'!$I:$I,AK627)*AS627</f>
        <v>#DIV/0!</v>
      </c>
      <c r="AP627" s="18"/>
      <c r="AQ627" s="18"/>
      <c r="AS627" s="21">
        <v>0.5</v>
      </c>
      <c r="AU627" s="15" t="str">
        <f>IF(AU626="*",AU626,"")</f>
        <v>*</v>
      </c>
      <c r="AV627" s="17" t="str">
        <f t="shared" si="499"/>
        <v>*FCEV*</v>
      </c>
      <c r="AW627" s="17" t="str">
        <f t="shared" si="499"/>
        <v>TRADSL</v>
      </c>
      <c r="AX627" s="17" t="str">
        <f t="shared" si="499"/>
        <v>TRAOTHOFRDMD</v>
      </c>
      <c r="AY627" s="17" t="str">
        <f t="shared" si="499"/>
        <v>TRAOTHOFRDMD</v>
      </c>
      <c r="AZ627" s="18">
        <v>2030</v>
      </c>
      <c r="BA627" s="18" t="str">
        <f>BA626</f>
        <v>LO</v>
      </c>
      <c r="BB627" s="18"/>
      <c r="BC627" s="20" t="e">
        <f>-SUMIFS('TRA RESID'!$P:$P,'TRA RESID'!$I:$I,AY627,'TRA RESID'!$J:$J,AV627,'TRA RESID'!$H:$H,AW627)/SUMIFS('TRA RESID'!$P:$P,'TRA RESID'!$I:$I,AY627)*BG627</f>
        <v>#DIV/0!</v>
      </c>
      <c r="BD627" s="18"/>
      <c r="BE627" s="18"/>
      <c r="BG627" s="21">
        <v>0.5</v>
      </c>
    </row>
    <row r="628" spans="1:59" x14ac:dyDescent="0.25">
      <c r="C628" s="15" t="str">
        <f>IF(C627="*",C627,"")</f>
        <v>*</v>
      </c>
      <c r="D628" s="17" t="str">
        <f t="shared" si="496"/>
        <v>*ICEV*</v>
      </c>
      <c r="E628" s="17" t="str">
        <f t="shared" si="496"/>
        <v>TRADSL</v>
      </c>
      <c r="F628" s="17" t="str">
        <f t="shared" si="496"/>
        <v>TRAOTHOFRDMD</v>
      </c>
      <c r="G628" s="17" t="str">
        <f t="shared" si="496"/>
        <v>TRAOTHOFRDMD</v>
      </c>
      <c r="H628" s="18">
        <v>2040</v>
      </c>
      <c r="I628" s="18" t="str">
        <f>I627</f>
        <v>LO</v>
      </c>
      <c r="J628" s="18"/>
      <c r="K628" s="20" t="e">
        <f>-SUMIFS('TRA RESID'!$P:$P,'TRA RESID'!$I:$I,G628,'TRA RESID'!$J:$J,D628,'TRA RESID'!$H:$H,E628)/SUMIFS('TRA RESID'!$P:$P,'TRA RESID'!$I:$I,G628)*O628</f>
        <v>#DIV/0!</v>
      </c>
      <c r="L628" s="18"/>
      <c r="M628" s="18"/>
      <c r="O628" s="21">
        <v>0</v>
      </c>
      <c r="S628" s="15" t="str">
        <f>IF(S627="*",S627,"")</f>
        <v>*</v>
      </c>
      <c r="T628" s="17" t="str">
        <f t="shared" si="497"/>
        <v>*BEV*</v>
      </c>
      <c r="U628" s="17" t="str">
        <f t="shared" si="497"/>
        <v>TRADSL</v>
      </c>
      <c r="V628" s="17" t="str">
        <f t="shared" si="497"/>
        <v>TRAOTHOFRDMD</v>
      </c>
      <c r="W628" s="17" t="str">
        <f t="shared" si="497"/>
        <v>TRAOTHOFRDMD</v>
      </c>
      <c r="X628" s="18">
        <v>2040</v>
      </c>
      <c r="Y628" s="18" t="str">
        <f>Y627</f>
        <v>LO</v>
      </c>
      <c r="Z628" s="18"/>
      <c r="AA628" s="20" t="e">
        <f>-SUMIFS('TRA RESID'!$P:$P,'TRA RESID'!$I:$I,W628,'TRA RESID'!$J:$J,T628,'TRA RESID'!$H:$H,U628)/SUMIFS('TRA RESID'!$P:$P,'TRA RESID'!$I:$I,W628)*AE628</f>
        <v>#DIV/0!</v>
      </c>
      <c r="AB628" s="18"/>
      <c r="AC628" s="18"/>
      <c r="AE628" s="21">
        <v>1</v>
      </c>
      <c r="AG628" s="15" t="str">
        <f>IF(AG627="*",AG627,"")</f>
        <v>*</v>
      </c>
      <c r="AH628" s="17" t="str">
        <f t="shared" si="498"/>
        <v>*HEV*</v>
      </c>
      <c r="AI628" s="17" t="str">
        <f t="shared" si="498"/>
        <v>TRADSL</v>
      </c>
      <c r="AJ628" s="17" t="str">
        <f t="shared" si="498"/>
        <v>TRAOTHOFRDMD</v>
      </c>
      <c r="AK628" s="17" t="str">
        <f t="shared" si="498"/>
        <v>TRAOTHOFRDMD</v>
      </c>
      <c r="AL628" s="18">
        <v>2040</v>
      </c>
      <c r="AM628" s="18" t="str">
        <f>AM627</f>
        <v>LO</v>
      </c>
      <c r="AN628" s="18"/>
      <c r="AO628" s="20" t="e">
        <f>-SUMIFS('TRA RESID'!$P:$P,'TRA RESID'!$I:$I,AK628,'TRA RESID'!$J:$J,AH628,'TRA RESID'!$H:$H,AI628)/SUMIFS('TRA RESID'!$P:$P,'TRA RESID'!$I:$I,AK628)*AS628</f>
        <v>#DIV/0!</v>
      </c>
      <c r="AP628" s="18"/>
      <c r="AQ628" s="18"/>
      <c r="AS628" s="21">
        <v>0</v>
      </c>
      <c r="AU628" s="15" t="str">
        <f>IF(AU627="*",AU627,"")</f>
        <v>*</v>
      </c>
      <c r="AV628" s="17" t="str">
        <f t="shared" si="499"/>
        <v>*FCEV*</v>
      </c>
      <c r="AW628" s="17" t="str">
        <f t="shared" si="499"/>
        <v>TRADSL</v>
      </c>
      <c r="AX628" s="17" t="str">
        <f t="shared" si="499"/>
        <v>TRAOTHOFRDMD</v>
      </c>
      <c r="AY628" s="17" t="str">
        <f t="shared" si="499"/>
        <v>TRAOTHOFRDMD</v>
      </c>
      <c r="AZ628" s="18">
        <v>2040</v>
      </c>
      <c r="BA628" s="18" t="str">
        <f>BA627</f>
        <v>LO</v>
      </c>
      <c r="BB628" s="18"/>
      <c r="BC628" s="20" t="e">
        <f>-SUMIFS('TRA RESID'!$P:$P,'TRA RESID'!$I:$I,AY628,'TRA RESID'!$J:$J,AV628,'TRA RESID'!$H:$H,AW628)/SUMIFS('TRA RESID'!$P:$P,'TRA RESID'!$I:$I,AY628)*BG628</f>
        <v>#DIV/0!</v>
      </c>
      <c r="BD628" s="18"/>
      <c r="BE628" s="18"/>
      <c r="BG628" s="21">
        <v>0</v>
      </c>
    </row>
    <row r="629" spans="1:59" x14ac:dyDescent="0.25">
      <c r="C629" s="23" t="str">
        <f>IF(C628="*",C628,"")</f>
        <v>*</v>
      </c>
      <c r="D629" s="25" t="str">
        <f t="shared" si="496"/>
        <v>*ICEV*</v>
      </c>
      <c r="E629" s="25" t="str">
        <f t="shared" si="496"/>
        <v>TRADSL</v>
      </c>
      <c r="F629" s="25" t="str">
        <f t="shared" si="496"/>
        <v>TRAOTHOFRDMD</v>
      </c>
      <c r="G629" s="25" t="str">
        <f t="shared" si="496"/>
        <v>TRAOTHOFRDMD</v>
      </c>
      <c r="H629" s="26">
        <v>2050</v>
      </c>
      <c r="I629" s="26" t="str">
        <f>I627</f>
        <v>LO</v>
      </c>
      <c r="J629" s="26"/>
      <c r="K629" s="27" t="e">
        <f>-SUMIFS('TRA RESID'!$P:$P,'TRA RESID'!$I:$I,G629,'TRA RESID'!$J:$J,D629,'TRA RESID'!$H:$H,E629)/SUMIFS('TRA RESID'!$P:$P,'TRA RESID'!$I:$I,G629)*O629</f>
        <v>#DIV/0!</v>
      </c>
      <c r="L629" s="26"/>
      <c r="M629" s="26"/>
      <c r="O629" s="28">
        <v>0</v>
      </c>
      <c r="S629" s="23" t="str">
        <f>IF(S628="*",S628,"")</f>
        <v>*</v>
      </c>
      <c r="T629" s="25" t="str">
        <f t="shared" si="497"/>
        <v>*BEV*</v>
      </c>
      <c r="U629" s="25" t="str">
        <f t="shared" si="497"/>
        <v>TRADSL</v>
      </c>
      <c r="V629" s="25" t="str">
        <f t="shared" si="497"/>
        <v>TRAOTHOFRDMD</v>
      </c>
      <c r="W629" s="25" t="str">
        <f t="shared" si="497"/>
        <v>TRAOTHOFRDMD</v>
      </c>
      <c r="X629" s="26">
        <v>2050</v>
      </c>
      <c r="Y629" s="26" t="str">
        <f>Y627</f>
        <v>LO</v>
      </c>
      <c r="Z629" s="26"/>
      <c r="AA629" s="27" t="e">
        <f>-SUMIFS('TRA RESID'!$P:$P,'TRA RESID'!$I:$I,W629,'TRA RESID'!$J:$J,T629,'TRA RESID'!$H:$H,U629)/SUMIFS('TRA RESID'!$P:$P,'TRA RESID'!$I:$I,W629)*AE629</f>
        <v>#DIV/0!</v>
      </c>
      <c r="AB629" s="26"/>
      <c r="AC629" s="26"/>
      <c r="AE629" s="28">
        <v>1</v>
      </c>
      <c r="AG629" s="23" t="str">
        <f>IF(AG628="*",AG628,"")</f>
        <v>*</v>
      </c>
      <c r="AH629" s="25" t="str">
        <f t="shared" si="498"/>
        <v>*HEV*</v>
      </c>
      <c r="AI629" s="25" t="str">
        <f t="shared" si="498"/>
        <v>TRADSL</v>
      </c>
      <c r="AJ629" s="25" t="str">
        <f t="shared" si="498"/>
        <v>TRAOTHOFRDMD</v>
      </c>
      <c r="AK629" s="25" t="str">
        <f t="shared" si="498"/>
        <v>TRAOTHOFRDMD</v>
      </c>
      <c r="AL629" s="26">
        <v>2050</v>
      </c>
      <c r="AM629" s="26" t="str">
        <f>AM627</f>
        <v>LO</v>
      </c>
      <c r="AN629" s="26"/>
      <c r="AO629" s="27" t="e">
        <f>-SUMIFS('TRA RESID'!$P:$P,'TRA RESID'!$I:$I,AK629,'TRA RESID'!$J:$J,AH629,'TRA RESID'!$H:$H,AI629)/SUMIFS('TRA RESID'!$P:$P,'TRA RESID'!$I:$I,AK629)*AS629</f>
        <v>#DIV/0!</v>
      </c>
      <c r="AP629" s="26"/>
      <c r="AQ629" s="26"/>
      <c r="AS629" s="28">
        <v>0</v>
      </c>
      <c r="AU629" s="23" t="str">
        <f>IF(AU628="*",AU628,"")</f>
        <v>*</v>
      </c>
      <c r="AV629" s="25" t="str">
        <f t="shared" si="499"/>
        <v>*FCEV*</v>
      </c>
      <c r="AW629" s="25" t="str">
        <f t="shared" si="499"/>
        <v>TRADSL</v>
      </c>
      <c r="AX629" s="25" t="str">
        <f t="shared" si="499"/>
        <v>TRAOTHOFRDMD</v>
      </c>
      <c r="AY629" s="25" t="str">
        <f t="shared" si="499"/>
        <v>TRAOTHOFRDMD</v>
      </c>
      <c r="AZ629" s="26">
        <v>2050</v>
      </c>
      <c r="BA629" s="26" t="str">
        <f>BA627</f>
        <v>LO</v>
      </c>
      <c r="BB629" s="26"/>
      <c r="BC629" s="27" t="e">
        <f>-SUMIFS('TRA RESID'!$P:$P,'TRA RESID'!$I:$I,AY629,'TRA RESID'!$J:$J,AV629,'TRA RESID'!$H:$H,AW629)/SUMIFS('TRA RESID'!$P:$P,'TRA RESID'!$I:$I,AY629)*BG629</f>
        <v>#DIV/0!</v>
      </c>
      <c r="BD629" s="26"/>
      <c r="BE629" s="26"/>
      <c r="BG629" s="28">
        <v>0</v>
      </c>
    </row>
    <row r="630" spans="1:59" x14ac:dyDescent="0.25">
      <c r="A630">
        <f>A625+1</f>
        <v>126</v>
      </c>
      <c r="C630" s="15" t="str">
        <f>IF(E630="","",IF(_xlfn.XLOOKUP($A630,Selected_constraint!$A:$A,Selected_constraint!$D:$D)=1,"*",IF(SUMIFS('TRA TECH'!$M:$M,'TRA TECH'!$H:$H,E630,'TRA TECH'!$I:$I,F630)=0,"*",IF(SUMIFS('TRA RESID'!$P:$P,'TRA RESID'!$I:$I,G630,'TRA RESID'!$J:$J,D630,'TRA RESID'!$H:$H,E630)=0,"*","UC_"&amp;SUBSTITUTE(D630,"*","")&amp;"_"&amp;RIGHT(E630,3)&amp;"_"&amp;F630))))</f>
        <v>*</v>
      </c>
      <c r="D630" s="17" t="s">
        <v>485</v>
      </c>
      <c r="E630" s="17" t="str">
        <f>_xlfn.XLOOKUP($A630,Selected_constraint!$A:$A,Selected_constraint!$B:$B)</f>
        <v>TRARDS</v>
      </c>
      <c r="F630" s="17" t="str">
        <f>_xlfn.XLOOKUP($A630,Selected_constraint!$A:$A,Selected_constraint!$C:$C)</f>
        <v>TRAOTHOFRDMD</v>
      </c>
      <c r="G630" s="17" t="str">
        <f>F630</f>
        <v>TRAOTHOFRDMD</v>
      </c>
      <c r="H630" s="18">
        <v>2019</v>
      </c>
      <c r="I630" s="18" t="s">
        <v>483</v>
      </c>
      <c r="J630" s="18">
        <v>1</v>
      </c>
      <c r="K630" s="20" t="e">
        <f>-SUMIFS('TRA RESID'!$P:$P,'TRA RESID'!$I:$I,G630,'TRA RESID'!$J:$J,D630,'TRA RESID'!$H:$H,E630)/SUMIFS('TRA RESID'!$P:$P,'TRA RESID'!$I:$I,G630)*O630</f>
        <v>#DIV/0!</v>
      </c>
      <c r="L630" s="18">
        <v>0</v>
      </c>
      <c r="M630" s="18">
        <v>5</v>
      </c>
      <c r="O630" s="21">
        <v>0.98</v>
      </c>
      <c r="Q630">
        <f>Q625+1</f>
        <v>126</v>
      </c>
      <c r="S630" s="15" t="str">
        <f>IF(SUMIFS('TRA RESID'!$P:$P,'TRA RESID'!$I:$I,W630,'TRA RESID'!$J:$J,T630,'TRA RESID'!$H:$H,U630)=0,"*","UC_"&amp;SUBSTITUTE(T630,"*","")&amp;"_"&amp;RIGHT(U630,3)&amp;"_"&amp;V630)</f>
        <v>*</v>
      </c>
      <c r="T630" s="17" t="s">
        <v>486</v>
      </c>
      <c r="U630" s="17" t="str">
        <f>_xlfn.XLOOKUP($A630,Selected_constraint!$A:$A,Selected_constraint!$B:$B)</f>
        <v>TRARDS</v>
      </c>
      <c r="V630" s="17" t="str">
        <f>_xlfn.XLOOKUP($A630,Selected_constraint!$A:$A,Selected_constraint!$C:$C)</f>
        <v>TRAOTHOFRDMD</v>
      </c>
      <c r="W630" s="17" t="str">
        <f>V630</f>
        <v>TRAOTHOFRDMD</v>
      </c>
      <c r="X630" s="18">
        <v>2019</v>
      </c>
      <c r="Y630" s="18" t="s">
        <v>483</v>
      </c>
      <c r="Z630" s="18">
        <v>1</v>
      </c>
      <c r="AA630" s="20" t="e">
        <f>-SUMIFS('TRA RESID'!$P:$P,'TRA RESID'!$I:$I,W630,'TRA RESID'!$J:$J,T630,'TRA RESID'!$H:$H,U630)/SUMIFS('TRA RESID'!$P:$P,'TRA RESID'!$I:$I,W630)*AE630</f>
        <v>#DIV/0!</v>
      </c>
      <c r="AB630" s="18">
        <v>0</v>
      </c>
      <c r="AC630" s="18">
        <v>5</v>
      </c>
      <c r="AE630" s="21">
        <v>0.98</v>
      </c>
      <c r="AG630" s="15" t="str">
        <f>IF(SUMIFS('TRA RESID'!$P:$P,'TRA RESID'!$I:$I,AK630,'TRA RESID'!$J:$J,AH630,'TRA RESID'!$H:$H,AI630)=0,"*","UC_"&amp;SUBSTITUTE(AH630,"*","")&amp;"_"&amp;RIGHT(AI630,3)&amp;"_"&amp;AJ630)</f>
        <v>*</v>
      </c>
      <c r="AH630" s="17" t="s">
        <v>487</v>
      </c>
      <c r="AI630" s="17" t="str">
        <f>_xlfn.XLOOKUP($A630,Selected_constraint!$A:$A,Selected_constraint!$B:$B)</f>
        <v>TRARDS</v>
      </c>
      <c r="AJ630" s="17" t="str">
        <f>_xlfn.XLOOKUP($A630,Selected_constraint!$A:$A,Selected_constraint!$C:$C)</f>
        <v>TRAOTHOFRDMD</v>
      </c>
      <c r="AK630" s="17" t="str">
        <f>AJ630</f>
        <v>TRAOTHOFRDMD</v>
      </c>
      <c r="AL630" s="18">
        <v>2019</v>
      </c>
      <c r="AM630" s="18" t="s">
        <v>483</v>
      </c>
      <c r="AN630" s="18">
        <v>1</v>
      </c>
      <c r="AO630" s="20" t="e">
        <f>-SUMIFS('TRA RESID'!$P:$P,'TRA RESID'!$I:$I,AK630,'TRA RESID'!$J:$J,AH630,'TRA RESID'!$H:$H,AI630)/SUMIFS('TRA RESID'!$P:$P,'TRA RESID'!$I:$I,AK630)*AS630</f>
        <v>#DIV/0!</v>
      </c>
      <c r="AP630" s="18">
        <v>0</v>
      </c>
      <c r="AQ630" s="18">
        <v>5</v>
      </c>
      <c r="AS630" s="21">
        <v>0.98</v>
      </c>
      <c r="AU630" s="15" t="str">
        <f>IF(SUMIFS('TRA RESID'!$P:$P,'TRA RESID'!$I:$I,AY630,'TRA RESID'!$J:$J,AV630,'TRA RESID'!$H:$H,AW630)=0,"*","UC_"&amp;SUBSTITUTE(AV630,"*","")&amp;"_"&amp;RIGHT(AW630,3)&amp;"_"&amp;AX630)</f>
        <v>*</v>
      </c>
      <c r="AV630" s="17" t="s">
        <v>488</v>
      </c>
      <c r="AW630" s="17" t="str">
        <f>_xlfn.XLOOKUP($A630,Selected_constraint!$A:$A,Selected_constraint!$B:$B)</f>
        <v>TRARDS</v>
      </c>
      <c r="AX630" s="17" t="str">
        <f>_xlfn.XLOOKUP($A630,Selected_constraint!$A:$A,Selected_constraint!$C:$C)</f>
        <v>TRAOTHOFRDMD</v>
      </c>
      <c r="AY630" s="17" t="str">
        <f>AX630</f>
        <v>TRAOTHOFRDMD</v>
      </c>
      <c r="AZ630" s="18">
        <v>2019</v>
      </c>
      <c r="BA630" s="18" t="s">
        <v>483</v>
      </c>
      <c r="BB630" s="18">
        <v>1</v>
      </c>
      <c r="BC630" s="20" t="e">
        <f>-SUMIFS('TRA RESID'!$P:$P,'TRA RESID'!$I:$I,AY630,'TRA RESID'!$J:$J,AV630,'TRA RESID'!$H:$H,AW630)/SUMIFS('TRA RESID'!$P:$P,'TRA RESID'!$I:$I,AY630)*BG630</f>
        <v>#DIV/0!</v>
      </c>
      <c r="BD630" s="18">
        <v>0</v>
      </c>
      <c r="BE630" s="18">
        <v>5</v>
      </c>
      <c r="BG630" s="21">
        <v>0.98</v>
      </c>
    </row>
    <row r="631" spans="1:59" x14ac:dyDescent="0.25">
      <c r="C631" s="15" t="str">
        <f>IF(C630="*",C630,"")</f>
        <v>*</v>
      </c>
      <c r="D631" s="17" t="str">
        <f t="shared" ref="D631:G634" si="500">D630</f>
        <v>*ICEV*</v>
      </c>
      <c r="E631" s="17" t="str">
        <f t="shared" si="500"/>
        <v>TRARDS</v>
      </c>
      <c r="F631" s="17" t="str">
        <f t="shared" si="500"/>
        <v>TRAOTHOFRDMD</v>
      </c>
      <c r="G631" s="17" t="str">
        <f t="shared" si="500"/>
        <v>TRAOTHOFRDMD</v>
      </c>
      <c r="H631" s="18">
        <v>2025</v>
      </c>
      <c r="I631" s="18" t="str">
        <f>I630</f>
        <v>LO</v>
      </c>
      <c r="J631" s="18"/>
      <c r="K631" s="20" t="e">
        <f>-SUMIFS('TRA RESID'!$P:$P,'TRA RESID'!$I:$I,G631,'TRA RESID'!$J:$J,D631,'TRA RESID'!$H:$H,E631)/SUMIFS('TRA RESID'!$P:$P,'TRA RESID'!$I:$I,G631)*O631</f>
        <v>#DIV/0!</v>
      </c>
      <c r="L631" s="18"/>
      <c r="M631" s="18"/>
      <c r="O631" s="21">
        <v>0.8</v>
      </c>
      <c r="S631" s="15" t="str">
        <f>IF(S630="*",S630,"")</f>
        <v>*</v>
      </c>
      <c r="T631" s="17" t="str">
        <f t="shared" ref="T631:W634" si="501">T630</f>
        <v>*BEV*</v>
      </c>
      <c r="U631" s="17" t="str">
        <f t="shared" si="501"/>
        <v>TRARDS</v>
      </c>
      <c r="V631" s="17" t="str">
        <f t="shared" si="501"/>
        <v>TRAOTHOFRDMD</v>
      </c>
      <c r="W631" s="17" t="str">
        <f t="shared" si="501"/>
        <v>TRAOTHOFRDMD</v>
      </c>
      <c r="X631" s="18">
        <v>2025</v>
      </c>
      <c r="Y631" s="18" t="str">
        <f>Y630</f>
        <v>LO</v>
      </c>
      <c r="Z631" s="18"/>
      <c r="AA631" s="20" t="e">
        <f>-SUMIFS('TRA RESID'!$P:$P,'TRA RESID'!$I:$I,W631,'TRA RESID'!$J:$J,T631,'TRA RESID'!$H:$H,U631)/SUMIFS('TRA RESID'!$P:$P,'TRA RESID'!$I:$I,W631)*AE631</f>
        <v>#DIV/0!</v>
      </c>
      <c r="AB631" s="18"/>
      <c r="AC631" s="18"/>
      <c r="AE631" s="21">
        <v>1</v>
      </c>
      <c r="AG631" s="15" t="str">
        <f>IF(AG630="*",AG630,"")</f>
        <v>*</v>
      </c>
      <c r="AH631" s="17" t="str">
        <f t="shared" ref="AH631:AK634" si="502">AH630</f>
        <v>*HEV*</v>
      </c>
      <c r="AI631" s="17" t="str">
        <f t="shared" si="502"/>
        <v>TRARDS</v>
      </c>
      <c r="AJ631" s="17" t="str">
        <f t="shared" si="502"/>
        <v>TRAOTHOFRDMD</v>
      </c>
      <c r="AK631" s="17" t="str">
        <f t="shared" si="502"/>
        <v>TRAOTHOFRDMD</v>
      </c>
      <c r="AL631" s="18">
        <v>2025</v>
      </c>
      <c r="AM631" s="18" t="str">
        <f>AM630</f>
        <v>LO</v>
      </c>
      <c r="AN631" s="18"/>
      <c r="AO631" s="20" t="e">
        <f>-SUMIFS('TRA RESID'!$P:$P,'TRA RESID'!$I:$I,AK631,'TRA RESID'!$J:$J,AH631,'TRA RESID'!$H:$H,AI631)/SUMIFS('TRA RESID'!$P:$P,'TRA RESID'!$I:$I,AK631)*AS631</f>
        <v>#DIV/0!</v>
      </c>
      <c r="AP631" s="18"/>
      <c r="AQ631" s="18"/>
      <c r="AS631" s="21">
        <v>0.8</v>
      </c>
      <c r="AU631" s="15" t="str">
        <f>IF(AU630="*",AU630,"")</f>
        <v>*</v>
      </c>
      <c r="AV631" s="17" t="str">
        <f t="shared" ref="AV631:AY634" si="503">AV630</f>
        <v>*FCEV*</v>
      </c>
      <c r="AW631" s="17" t="str">
        <f t="shared" si="503"/>
        <v>TRARDS</v>
      </c>
      <c r="AX631" s="17" t="str">
        <f t="shared" si="503"/>
        <v>TRAOTHOFRDMD</v>
      </c>
      <c r="AY631" s="17" t="str">
        <f t="shared" si="503"/>
        <v>TRAOTHOFRDMD</v>
      </c>
      <c r="AZ631" s="18">
        <v>2025</v>
      </c>
      <c r="BA631" s="18" t="str">
        <f>BA630</f>
        <v>LO</v>
      </c>
      <c r="BB631" s="18"/>
      <c r="BC631" s="20" t="e">
        <f>-SUMIFS('TRA RESID'!$P:$P,'TRA RESID'!$I:$I,AY631,'TRA RESID'!$J:$J,AV631,'TRA RESID'!$H:$H,AW631)/SUMIFS('TRA RESID'!$P:$P,'TRA RESID'!$I:$I,AY631)*BG631</f>
        <v>#DIV/0!</v>
      </c>
      <c r="BD631" s="18"/>
      <c r="BE631" s="18"/>
      <c r="BG631" s="21">
        <v>0.8</v>
      </c>
    </row>
    <row r="632" spans="1:59" x14ac:dyDescent="0.25">
      <c r="C632" s="15" t="str">
        <f>IF(C631="*",C631,"")</f>
        <v>*</v>
      </c>
      <c r="D632" s="17" t="str">
        <f t="shared" si="500"/>
        <v>*ICEV*</v>
      </c>
      <c r="E632" s="17" t="str">
        <f t="shared" si="500"/>
        <v>TRARDS</v>
      </c>
      <c r="F632" s="17" t="str">
        <f t="shared" si="500"/>
        <v>TRAOTHOFRDMD</v>
      </c>
      <c r="G632" s="17" t="str">
        <f t="shared" si="500"/>
        <v>TRAOTHOFRDMD</v>
      </c>
      <c r="H632" s="18">
        <v>2030</v>
      </c>
      <c r="I632" s="18" t="str">
        <f>I631</f>
        <v>LO</v>
      </c>
      <c r="J632" s="18"/>
      <c r="K632" s="20" t="e">
        <f>-SUMIFS('TRA RESID'!$P:$P,'TRA RESID'!$I:$I,G632,'TRA RESID'!$J:$J,D632,'TRA RESID'!$H:$H,E632)/SUMIFS('TRA RESID'!$P:$P,'TRA RESID'!$I:$I,G632)*O632</f>
        <v>#DIV/0!</v>
      </c>
      <c r="L632" s="18"/>
      <c r="M632" s="18"/>
      <c r="O632" s="21">
        <v>0.5</v>
      </c>
      <c r="S632" s="15" t="str">
        <f>IF(S631="*",S631,"")</f>
        <v>*</v>
      </c>
      <c r="T632" s="17" t="str">
        <f t="shared" si="501"/>
        <v>*BEV*</v>
      </c>
      <c r="U632" s="17" t="str">
        <f t="shared" si="501"/>
        <v>TRARDS</v>
      </c>
      <c r="V632" s="17" t="str">
        <f t="shared" si="501"/>
        <v>TRAOTHOFRDMD</v>
      </c>
      <c r="W632" s="17" t="str">
        <f t="shared" si="501"/>
        <v>TRAOTHOFRDMD</v>
      </c>
      <c r="X632" s="18">
        <v>2030</v>
      </c>
      <c r="Y632" s="18" t="str">
        <f>Y631</f>
        <v>LO</v>
      </c>
      <c r="Z632" s="18"/>
      <c r="AA632" s="20" t="e">
        <f>-SUMIFS('TRA RESID'!$P:$P,'TRA RESID'!$I:$I,W632,'TRA RESID'!$J:$J,T632,'TRA RESID'!$H:$H,U632)/SUMIFS('TRA RESID'!$P:$P,'TRA RESID'!$I:$I,W632)*AE632</f>
        <v>#DIV/0!</v>
      </c>
      <c r="AB632" s="18"/>
      <c r="AC632" s="18"/>
      <c r="AE632" s="21">
        <v>1</v>
      </c>
      <c r="AG632" s="15" t="str">
        <f>IF(AG631="*",AG631,"")</f>
        <v>*</v>
      </c>
      <c r="AH632" s="17" t="str">
        <f t="shared" si="502"/>
        <v>*HEV*</v>
      </c>
      <c r="AI632" s="17" t="str">
        <f t="shared" si="502"/>
        <v>TRARDS</v>
      </c>
      <c r="AJ632" s="17" t="str">
        <f t="shared" si="502"/>
        <v>TRAOTHOFRDMD</v>
      </c>
      <c r="AK632" s="17" t="str">
        <f t="shared" si="502"/>
        <v>TRAOTHOFRDMD</v>
      </c>
      <c r="AL632" s="18">
        <v>2030</v>
      </c>
      <c r="AM632" s="18" t="str">
        <f>AM631</f>
        <v>LO</v>
      </c>
      <c r="AN632" s="18"/>
      <c r="AO632" s="20" t="e">
        <f>-SUMIFS('TRA RESID'!$P:$P,'TRA RESID'!$I:$I,AK632,'TRA RESID'!$J:$J,AH632,'TRA RESID'!$H:$H,AI632)/SUMIFS('TRA RESID'!$P:$P,'TRA RESID'!$I:$I,AK632)*AS632</f>
        <v>#DIV/0!</v>
      </c>
      <c r="AP632" s="18"/>
      <c r="AQ632" s="18"/>
      <c r="AS632" s="21">
        <v>0.5</v>
      </c>
      <c r="AU632" s="15" t="str">
        <f>IF(AU631="*",AU631,"")</f>
        <v>*</v>
      </c>
      <c r="AV632" s="17" t="str">
        <f t="shared" si="503"/>
        <v>*FCEV*</v>
      </c>
      <c r="AW632" s="17" t="str">
        <f t="shared" si="503"/>
        <v>TRARDS</v>
      </c>
      <c r="AX632" s="17" t="str">
        <f t="shared" si="503"/>
        <v>TRAOTHOFRDMD</v>
      </c>
      <c r="AY632" s="17" t="str">
        <f t="shared" si="503"/>
        <v>TRAOTHOFRDMD</v>
      </c>
      <c r="AZ632" s="18">
        <v>2030</v>
      </c>
      <c r="BA632" s="18" t="str">
        <f>BA631</f>
        <v>LO</v>
      </c>
      <c r="BB632" s="18"/>
      <c r="BC632" s="20" t="e">
        <f>-SUMIFS('TRA RESID'!$P:$P,'TRA RESID'!$I:$I,AY632,'TRA RESID'!$J:$J,AV632,'TRA RESID'!$H:$H,AW632)/SUMIFS('TRA RESID'!$P:$P,'TRA RESID'!$I:$I,AY632)*BG632</f>
        <v>#DIV/0!</v>
      </c>
      <c r="BD632" s="18"/>
      <c r="BE632" s="18"/>
      <c r="BG632" s="21">
        <v>0.5</v>
      </c>
    </row>
    <row r="633" spans="1:59" x14ac:dyDescent="0.25">
      <c r="C633" s="15" t="str">
        <f>IF(C632="*",C632,"")</f>
        <v>*</v>
      </c>
      <c r="D633" s="17" t="str">
        <f t="shared" si="500"/>
        <v>*ICEV*</v>
      </c>
      <c r="E633" s="17" t="str">
        <f t="shared" si="500"/>
        <v>TRARDS</v>
      </c>
      <c r="F633" s="17" t="str">
        <f t="shared" si="500"/>
        <v>TRAOTHOFRDMD</v>
      </c>
      <c r="G633" s="17" t="str">
        <f t="shared" si="500"/>
        <v>TRAOTHOFRDMD</v>
      </c>
      <c r="H633" s="18">
        <v>2040</v>
      </c>
      <c r="I633" s="18" t="str">
        <f>I632</f>
        <v>LO</v>
      </c>
      <c r="J633" s="18"/>
      <c r="K633" s="20" t="e">
        <f>-SUMIFS('TRA RESID'!$P:$P,'TRA RESID'!$I:$I,G633,'TRA RESID'!$J:$J,D633,'TRA RESID'!$H:$H,E633)/SUMIFS('TRA RESID'!$P:$P,'TRA RESID'!$I:$I,G633)*O633</f>
        <v>#DIV/0!</v>
      </c>
      <c r="L633" s="18"/>
      <c r="M633" s="18"/>
      <c r="O633" s="21">
        <v>0</v>
      </c>
      <c r="S633" s="15" t="str">
        <f>IF(S632="*",S632,"")</f>
        <v>*</v>
      </c>
      <c r="T633" s="17" t="str">
        <f t="shared" si="501"/>
        <v>*BEV*</v>
      </c>
      <c r="U633" s="17" t="str">
        <f t="shared" si="501"/>
        <v>TRARDS</v>
      </c>
      <c r="V633" s="17" t="str">
        <f t="shared" si="501"/>
        <v>TRAOTHOFRDMD</v>
      </c>
      <c r="W633" s="17" t="str">
        <f t="shared" si="501"/>
        <v>TRAOTHOFRDMD</v>
      </c>
      <c r="X633" s="18">
        <v>2040</v>
      </c>
      <c r="Y633" s="18" t="str">
        <f>Y632</f>
        <v>LO</v>
      </c>
      <c r="Z633" s="18"/>
      <c r="AA633" s="20" t="e">
        <f>-SUMIFS('TRA RESID'!$P:$P,'TRA RESID'!$I:$I,W633,'TRA RESID'!$J:$J,T633,'TRA RESID'!$H:$H,U633)/SUMIFS('TRA RESID'!$P:$P,'TRA RESID'!$I:$I,W633)*AE633</f>
        <v>#DIV/0!</v>
      </c>
      <c r="AB633" s="18"/>
      <c r="AC633" s="18"/>
      <c r="AE633" s="21">
        <v>1</v>
      </c>
      <c r="AG633" s="15" t="str">
        <f>IF(AG632="*",AG632,"")</f>
        <v>*</v>
      </c>
      <c r="AH633" s="17" t="str">
        <f t="shared" si="502"/>
        <v>*HEV*</v>
      </c>
      <c r="AI633" s="17" t="str">
        <f t="shared" si="502"/>
        <v>TRARDS</v>
      </c>
      <c r="AJ633" s="17" t="str">
        <f t="shared" si="502"/>
        <v>TRAOTHOFRDMD</v>
      </c>
      <c r="AK633" s="17" t="str">
        <f t="shared" si="502"/>
        <v>TRAOTHOFRDMD</v>
      </c>
      <c r="AL633" s="18">
        <v>2040</v>
      </c>
      <c r="AM633" s="18" t="str">
        <f>AM632</f>
        <v>LO</v>
      </c>
      <c r="AN633" s="18"/>
      <c r="AO633" s="20" t="e">
        <f>-SUMIFS('TRA RESID'!$P:$P,'TRA RESID'!$I:$I,AK633,'TRA RESID'!$J:$J,AH633,'TRA RESID'!$H:$H,AI633)/SUMIFS('TRA RESID'!$P:$P,'TRA RESID'!$I:$I,AK633)*AS633</f>
        <v>#DIV/0!</v>
      </c>
      <c r="AP633" s="18"/>
      <c r="AQ633" s="18"/>
      <c r="AS633" s="21">
        <v>0</v>
      </c>
      <c r="AU633" s="15" t="str">
        <f>IF(AU632="*",AU632,"")</f>
        <v>*</v>
      </c>
      <c r="AV633" s="17" t="str">
        <f t="shared" si="503"/>
        <v>*FCEV*</v>
      </c>
      <c r="AW633" s="17" t="str">
        <f t="shared" si="503"/>
        <v>TRARDS</v>
      </c>
      <c r="AX633" s="17" t="str">
        <f t="shared" si="503"/>
        <v>TRAOTHOFRDMD</v>
      </c>
      <c r="AY633" s="17" t="str">
        <f t="shared" si="503"/>
        <v>TRAOTHOFRDMD</v>
      </c>
      <c r="AZ633" s="18">
        <v>2040</v>
      </c>
      <c r="BA633" s="18" t="str">
        <f>BA632</f>
        <v>LO</v>
      </c>
      <c r="BB633" s="18"/>
      <c r="BC633" s="20" t="e">
        <f>-SUMIFS('TRA RESID'!$P:$P,'TRA RESID'!$I:$I,AY633,'TRA RESID'!$J:$J,AV633,'TRA RESID'!$H:$H,AW633)/SUMIFS('TRA RESID'!$P:$P,'TRA RESID'!$I:$I,AY633)*BG633</f>
        <v>#DIV/0!</v>
      </c>
      <c r="BD633" s="18"/>
      <c r="BE633" s="18"/>
      <c r="BG633" s="21">
        <v>0</v>
      </c>
    </row>
    <row r="634" spans="1:59" x14ac:dyDescent="0.25">
      <c r="C634" s="23" t="str">
        <f>IF(C633="*",C633,"")</f>
        <v>*</v>
      </c>
      <c r="D634" s="25" t="str">
        <f t="shared" si="500"/>
        <v>*ICEV*</v>
      </c>
      <c r="E634" s="25" t="str">
        <f t="shared" si="500"/>
        <v>TRARDS</v>
      </c>
      <c r="F634" s="25" t="str">
        <f t="shared" si="500"/>
        <v>TRAOTHOFRDMD</v>
      </c>
      <c r="G634" s="25" t="str">
        <f t="shared" si="500"/>
        <v>TRAOTHOFRDMD</v>
      </c>
      <c r="H634" s="26">
        <v>2050</v>
      </c>
      <c r="I634" s="26" t="str">
        <f>I632</f>
        <v>LO</v>
      </c>
      <c r="J634" s="26"/>
      <c r="K634" s="27" t="e">
        <f>-SUMIFS('TRA RESID'!$P:$P,'TRA RESID'!$I:$I,G634,'TRA RESID'!$J:$J,D634,'TRA RESID'!$H:$H,E634)/SUMIFS('TRA RESID'!$P:$P,'TRA RESID'!$I:$I,G634)*O634</f>
        <v>#DIV/0!</v>
      </c>
      <c r="L634" s="26"/>
      <c r="M634" s="26"/>
      <c r="O634" s="28">
        <v>0</v>
      </c>
      <c r="S634" s="23" t="str">
        <f>IF(S633="*",S633,"")</f>
        <v>*</v>
      </c>
      <c r="T634" s="25" t="str">
        <f t="shared" si="501"/>
        <v>*BEV*</v>
      </c>
      <c r="U634" s="25" t="str">
        <f t="shared" si="501"/>
        <v>TRARDS</v>
      </c>
      <c r="V634" s="25" t="str">
        <f t="shared" si="501"/>
        <v>TRAOTHOFRDMD</v>
      </c>
      <c r="W634" s="25" t="str">
        <f t="shared" si="501"/>
        <v>TRAOTHOFRDMD</v>
      </c>
      <c r="X634" s="26">
        <v>2050</v>
      </c>
      <c r="Y634" s="26" t="str">
        <f>Y632</f>
        <v>LO</v>
      </c>
      <c r="Z634" s="26"/>
      <c r="AA634" s="27" t="e">
        <f>-SUMIFS('TRA RESID'!$P:$P,'TRA RESID'!$I:$I,W634,'TRA RESID'!$J:$J,T634,'TRA RESID'!$H:$H,U634)/SUMIFS('TRA RESID'!$P:$P,'TRA RESID'!$I:$I,W634)*AE634</f>
        <v>#DIV/0!</v>
      </c>
      <c r="AB634" s="26"/>
      <c r="AC634" s="26"/>
      <c r="AE634" s="28">
        <v>1</v>
      </c>
      <c r="AG634" s="23" t="str">
        <f>IF(AG633="*",AG633,"")</f>
        <v>*</v>
      </c>
      <c r="AH634" s="25" t="str">
        <f t="shared" si="502"/>
        <v>*HEV*</v>
      </c>
      <c r="AI634" s="25" t="str">
        <f t="shared" si="502"/>
        <v>TRARDS</v>
      </c>
      <c r="AJ634" s="25" t="str">
        <f t="shared" si="502"/>
        <v>TRAOTHOFRDMD</v>
      </c>
      <c r="AK634" s="25" t="str">
        <f t="shared" si="502"/>
        <v>TRAOTHOFRDMD</v>
      </c>
      <c r="AL634" s="26">
        <v>2050</v>
      </c>
      <c r="AM634" s="26" t="str">
        <f>AM632</f>
        <v>LO</v>
      </c>
      <c r="AN634" s="26"/>
      <c r="AO634" s="27" t="e">
        <f>-SUMIFS('TRA RESID'!$P:$P,'TRA RESID'!$I:$I,AK634,'TRA RESID'!$J:$J,AH634,'TRA RESID'!$H:$H,AI634)/SUMIFS('TRA RESID'!$P:$P,'TRA RESID'!$I:$I,AK634)*AS634</f>
        <v>#DIV/0!</v>
      </c>
      <c r="AP634" s="26"/>
      <c r="AQ634" s="26"/>
      <c r="AS634" s="28">
        <v>0</v>
      </c>
      <c r="AU634" s="23" t="str">
        <f>IF(AU633="*",AU633,"")</f>
        <v>*</v>
      </c>
      <c r="AV634" s="25" t="str">
        <f t="shared" si="503"/>
        <v>*FCEV*</v>
      </c>
      <c r="AW634" s="25" t="str">
        <f t="shared" si="503"/>
        <v>TRARDS</v>
      </c>
      <c r="AX634" s="25" t="str">
        <f t="shared" si="503"/>
        <v>TRAOTHOFRDMD</v>
      </c>
      <c r="AY634" s="25" t="str">
        <f t="shared" si="503"/>
        <v>TRAOTHOFRDMD</v>
      </c>
      <c r="AZ634" s="26">
        <v>2050</v>
      </c>
      <c r="BA634" s="26" t="str">
        <f>BA632</f>
        <v>LO</v>
      </c>
      <c r="BB634" s="26"/>
      <c r="BC634" s="27" t="e">
        <f>-SUMIFS('TRA RESID'!$P:$P,'TRA RESID'!$I:$I,AY634,'TRA RESID'!$J:$J,AV634,'TRA RESID'!$H:$H,AW634)/SUMIFS('TRA RESID'!$P:$P,'TRA RESID'!$I:$I,AY634)*BG634</f>
        <v>#DIV/0!</v>
      </c>
      <c r="BD634" s="26"/>
      <c r="BE634" s="26"/>
      <c r="BG634" s="28">
        <v>0</v>
      </c>
    </row>
    <row r="635" spans="1:59" x14ac:dyDescent="0.25">
      <c r="A635">
        <f>A630+1</f>
        <v>127</v>
      </c>
      <c r="C635" s="15" t="str">
        <f>IF(E635="","",IF(_xlfn.XLOOKUP($A635,Selected_constraint!$A:$A,Selected_constraint!$D:$D)=1,"*",IF(SUMIFS('TRA TECH'!$M:$M,'TRA TECH'!$H:$H,E635,'TRA TECH'!$I:$I,F635)=0,"*",IF(SUMIFS('TRA RESID'!$P:$P,'TRA RESID'!$I:$I,G635,'TRA RESID'!$J:$J,D635,'TRA RESID'!$H:$H,E635)=0,"*","UC_"&amp;SUBSTITUTE(D635,"*","")&amp;"_"&amp;RIGHT(E635,3)&amp;"_"&amp;F635))))</f>
        <v>*</v>
      </c>
      <c r="D635" s="17" t="s">
        <v>485</v>
      </c>
      <c r="E635" s="17" t="str">
        <f>_xlfn.XLOOKUP($A635,Selected_constraint!$A:$A,Selected_constraint!$B:$B)</f>
        <v>TRABDS</v>
      </c>
      <c r="F635" s="17" t="str">
        <f>_xlfn.XLOOKUP($A635,Selected_constraint!$A:$A,Selected_constraint!$C:$C)</f>
        <v>TRAOTHOFRDMD</v>
      </c>
      <c r="G635" s="17" t="str">
        <f>F635</f>
        <v>TRAOTHOFRDMD</v>
      </c>
      <c r="H635" s="18">
        <v>2019</v>
      </c>
      <c r="I635" s="18" t="s">
        <v>483</v>
      </c>
      <c r="J635" s="18">
        <v>1</v>
      </c>
      <c r="K635" s="20" t="e">
        <f>-SUMIFS('TRA RESID'!$P:$P,'TRA RESID'!$I:$I,G635,'TRA RESID'!$J:$J,D635,'TRA RESID'!$H:$H,E635)/SUMIFS('TRA RESID'!$P:$P,'TRA RESID'!$I:$I,G635)*O635</f>
        <v>#DIV/0!</v>
      </c>
      <c r="L635" s="18">
        <v>0</v>
      </c>
      <c r="M635" s="18">
        <v>5</v>
      </c>
      <c r="O635" s="21">
        <v>0.98</v>
      </c>
      <c r="Q635">
        <f>Q630+1</f>
        <v>127</v>
      </c>
      <c r="S635" s="15" t="str">
        <f>IF(SUMIFS('TRA RESID'!$P:$P,'TRA RESID'!$I:$I,W635,'TRA RESID'!$J:$J,T635,'TRA RESID'!$H:$H,U635)=0,"*","UC_"&amp;SUBSTITUTE(T635,"*","")&amp;"_"&amp;RIGHT(U635,3)&amp;"_"&amp;V635)</f>
        <v>*</v>
      </c>
      <c r="T635" s="17" t="s">
        <v>486</v>
      </c>
      <c r="U635" s="17" t="str">
        <f>_xlfn.XLOOKUP($A635,Selected_constraint!$A:$A,Selected_constraint!$B:$B)</f>
        <v>TRABDS</v>
      </c>
      <c r="V635" s="17" t="str">
        <f>_xlfn.XLOOKUP($A635,Selected_constraint!$A:$A,Selected_constraint!$C:$C)</f>
        <v>TRAOTHOFRDMD</v>
      </c>
      <c r="W635" s="17" t="str">
        <f>V635</f>
        <v>TRAOTHOFRDMD</v>
      </c>
      <c r="X635" s="18">
        <v>2019</v>
      </c>
      <c r="Y635" s="18" t="s">
        <v>483</v>
      </c>
      <c r="Z635" s="18">
        <v>1</v>
      </c>
      <c r="AA635" s="20" t="e">
        <f>-SUMIFS('TRA RESID'!$P:$P,'TRA RESID'!$I:$I,W635,'TRA RESID'!$J:$J,T635,'TRA RESID'!$H:$H,U635)/SUMIFS('TRA RESID'!$P:$P,'TRA RESID'!$I:$I,W635)*AE635</f>
        <v>#DIV/0!</v>
      </c>
      <c r="AB635" s="18">
        <v>0</v>
      </c>
      <c r="AC635" s="18">
        <v>5</v>
      </c>
      <c r="AE635" s="21">
        <v>0.98</v>
      </c>
      <c r="AG635" s="15" t="str">
        <f>IF(SUMIFS('TRA RESID'!$P:$P,'TRA RESID'!$I:$I,AK635,'TRA RESID'!$J:$J,AH635,'TRA RESID'!$H:$H,AI635)=0,"*","UC_"&amp;SUBSTITUTE(AH635,"*","")&amp;"_"&amp;RIGHT(AI635,3)&amp;"_"&amp;AJ635)</f>
        <v>*</v>
      </c>
      <c r="AH635" s="17" t="s">
        <v>487</v>
      </c>
      <c r="AI635" s="17" t="str">
        <f>_xlfn.XLOOKUP($A635,Selected_constraint!$A:$A,Selected_constraint!$B:$B)</f>
        <v>TRABDS</v>
      </c>
      <c r="AJ635" s="17" t="str">
        <f>_xlfn.XLOOKUP($A635,Selected_constraint!$A:$A,Selected_constraint!$C:$C)</f>
        <v>TRAOTHOFRDMD</v>
      </c>
      <c r="AK635" s="17" t="str">
        <f>AJ635</f>
        <v>TRAOTHOFRDMD</v>
      </c>
      <c r="AL635" s="18">
        <v>2019</v>
      </c>
      <c r="AM635" s="18" t="s">
        <v>483</v>
      </c>
      <c r="AN635" s="18">
        <v>1</v>
      </c>
      <c r="AO635" s="20" t="e">
        <f>-SUMIFS('TRA RESID'!$P:$P,'TRA RESID'!$I:$I,AK635,'TRA RESID'!$J:$J,AH635,'TRA RESID'!$H:$H,AI635)/SUMIFS('TRA RESID'!$P:$P,'TRA RESID'!$I:$I,AK635)*AS635</f>
        <v>#DIV/0!</v>
      </c>
      <c r="AP635" s="18">
        <v>0</v>
      </c>
      <c r="AQ635" s="18">
        <v>5</v>
      </c>
      <c r="AS635" s="21">
        <v>0.98</v>
      </c>
      <c r="AU635" s="15" t="str">
        <f>IF(SUMIFS('TRA RESID'!$P:$P,'TRA RESID'!$I:$I,AY635,'TRA RESID'!$J:$J,AV635,'TRA RESID'!$H:$H,AW635)=0,"*","UC_"&amp;SUBSTITUTE(AV635,"*","")&amp;"_"&amp;RIGHT(AW635,3)&amp;"_"&amp;AX635)</f>
        <v>*</v>
      </c>
      <c r="AV635" s="17" t="s">
        <v>488</v>
      </c>
      <c r="AW635" s="17" t="str">
        <f>_xlfn.XLOOKUP($A635,Selected_constraint!$A:$A,Selected_constraint!$B:$B)</f>
        <v>TRABDS</v>
      </c>
      <c r="AX635" s="17" t="str">
        <f>_xlfn.XLOOKUP($A635,Selected_constraint!$A:$A,Selected_constraint!$C:$C)</f>
        <v>TRAOTHOFRDMD</v>
      </c>
      <c r="AY635" s="17" t="str">
        <f>AX635</f>
        <v>TRAOTHOFRDMD</v>
      </c>
      <c r="AZ635" s="18">
        <v>2019</v>
      </c>
      <c r="BA635" s="18" t="s">
        <v>483</v>
      </c>
      <c r="BB635" s="18">
        <v>1</v>
      </c>
      <c r="BC635" s="20" t="e">
        <f>-SUMIFS('TRA RESID'!$P:$P,'TRA RESID'!$I:$I,AY635,'TRA RESID'!$J:$J,AV635,'TRA RESID'!$H:$H,AW635)/SUMIFS('TRA RESID'!$P:$P,'TRA RESID'!$I:$I,AY635)*BG635</f>
        <v>#DIV/0!</v>
      </c>
      <c r="BD635" s="18">
        <v>0</v>
      </c>
      <c r="BE635" s="18">
        <v>5</v>
      </c>
      <c r="BG635" s="21">
        <v>0.98</v>
      </c>
    </row>
    <row r="636" spans="1:59" x14ac:dyDescent="0.25">
      <c r="C636" s="15" t="str">
        <f>IF(C635="*",C635,"")</f>
        <v>*</v>
      </c>
      <c r="D636" s="17" t="str">
        <f t="shared" ref="D636:G639" si="504">D635</f>
        <v>*ICEV*</v>
      </c>
      <c r="E636" s="17" t="str">
        <f t="shared" si="504"/>
        <v>TRABDS</v>
      </c>
      <c r="F636" s="17" t="str">
        <f t="shared" si="504"/>
        <v>TRAOTHOFRDMD</v>
      </c>
      <c r="G636" s="17" t="str">
        <f t="shared" si="504"/>
        <v>TRAOTHOFRDMD</v>
      </c>
      <c r="H636" s="18">
        <v>2025</v>
      </c>
      <c r="I636" s="18" t="str">
        <f>I635</f>
        <v>LO</v>
      </c>
      <c r="J636" s="18"/>
      <c r="K636" s="20" t="e">
        <f>-SUMIFS('TRA RESID'!$P:$P,'TRA RESID'!$I:$I,G636,'TRA RESID'!$J:$J,D636,'TRA RESID'!$H:$H,E636)/SUMIFS('TRA RESID'!$P:$P,'TRA RESID'!$I:$I,G636)*O636</f>
        <v>#DIV/0!</v>
      </c>
      <c r="L636" s="18"/>
      <c r="M636" s="18"/>
      <c r="O636" s="21">
        <v>0.8</v>
      </c>
      <c r="S636" s="15" t="str">
        <f>IF(S635="*",S635,"")</f>
        <v>*</v>
      </c>
      <c r="T636" s="17" t="str">
        <f t="shared" ref="T636:W639" si="505">T635</f>
        <v>*BEV*</v>
      </c>
      <c r="U636" s="17" t="str">
        <f t="shared" si="505"/>
        <v>TRABDS</v>
      </c>
      <c r="V636" s="17" t="str">
        <f t="shared" si="505"/>
        <v>TRAOTHOFRDMD</v>
      </c>
      <c r="W636" s="17" t="str">
        <f t="shared" si="505"/>
        <v>TRAOTHOFRDMD</v>
      </c>
      <c r="X636" s="18">
        <v>2025</v>
      </c>
      <c r="Y636" s="18" t="str">
        <f>Y635</f>
        <v>LO</v>
      </c>
      <c r="Z636" s="18"/>
      <c r="AA636" s="20" t="e">
        <f>-SUMIFS('TRA RESID'!$P:$P,'TRA RESID'!$I:$I,W636,'TRA RESID'!$J:$J,T636,'TRA RESID'!$H:$H,U636)/SUMIFS('TRA RESID'!$P:$P,'TRA RESID'!$I:$I,W636)*AE636</f>
        <v>#DIV/0!</v>
      </c>
      <c r="AB636" s="18"/>
      <c r="AC636" s="18"/>
      <c r="AE636" s="21">
        <v>1</v>
      </c>
      <c r="AG636" s="15" t="str">
        <f>IF(AG635="*",AG635,"")</f>
        <v>*</v>
      </c>
      <c r="AH636" s="17" t="str">
        <f t="shared" ref="AH636:AK639" si="506">AH635</f>
        <v>*HEV*</v>
      </c>
      <c r="AI636" s="17" t="str">
        <f t="shared" si="506"/>
        <v>TRABDS</v>
      </c>
      <c r="AJ636" s="17" t="str">
        <f t="shared" si="506"/>
        <v>TRAOTHOFRDMD</v>
      </c>
      <c r="AK636" s="17" t="str">
        <f t="shared" si="506"/>
        <v>TRAOTHOFRDMD</v>
      </c>
      <c r="AL636" s="18">
        <v>2025</v>
      </c>
      <c r="AM636" s="18" t="str">
        <f>AM635</f>
        <v>LO</v>
      </c>
      <c r="AN636" s="18"/>
      <c r="AO636" s="20" t="e">
        <f>-SUMIFS('TRA RESID'!$P:$P,'TRA RESID'!$I:$I,AK636,'TRA RESID'!$J:$J,AH636,'TRA RESID'!$H:$H,AI636)/SUMIFS('TRA RESID'!$P:$P,'TRA RESID'!$I:$I,AK636)*AS636</f>
        <v>#DIV/0!</v>
      </c>
      <c r="AP636" s="18"/>
      <c r="AQ636" s="18"/>
      <c r="AS636" s="21">
        <v>0.8</v>
      </c>
      <c r="AU636" s="15" t="str">
        <f>IF(AU635="*",AU635,"")</f>
        <v>*</v>
      </c>
      <c r="AV636" s="17" t="str">
        <f t="shared" ref="AV636:AY639" si="507">AV635</f>
        <v>*FCEV*</v>
      </c>
      <c r="AW636" s="17" t="str">
        <f t="shared" si="507"/>
        <v>TRABDS</v>
      </c>
      <c r="AX636" s="17" t="str">
        <f t="shared" si="507"/>
        <v>TRAOTHOFRDMD</v>
      </c>
      <c r="AY636" s="17" t="str">
        <f t="shared" si="507"/>
        <v>TRAOTHOFRDMD</v>
      </c>
      <c r="AZ636" s="18">
        <v>2025</v>
      </c>
      <c r="BA636" s="18" t="str">
        <f>BA635</f>
        <v>LO</v>
      </c>
      <c r="BB636" s="18"/>
      <c r="BC636" s="20" t="e">
        <f>-SUMIFS('TRA RESID'!$P:$P,'TRA RESID'!$I:$I,AY636,'TRA RESID'!$J:$J,AV636,'TRA RESID'!$H:$H,AW636)/SUMIFS('TRA RESID'!$P:$P,'TRA RESID'!$I:$I,AY636)*BG636</f>
        <v>#DIV/0!</v>
      </c>
      <c r="BD636" s="18"/>
      <c r="BE636" s="18"/>
      <c r="BG636" s="21">
        <v>0.8</v>
      </c>
    </row>
    <row r="637" spans="1:59" x14ac:dyDescent="0.25">
      <c r="C637" s="15" t="str">
        <f>IF(C636="*",C636,"")</f>
        <v>*</v>
      </c>
      <c r="D637" s="17" t="str">
        <f t="shared" si="504"/>
        <v>*ICEV*</v>
      </c>
      <c r="E637" s="17" t="str">
        <f t="shared" si="504"/>
        <v>TRABDS</v>
      </c>
      <c r="F637" s="17" t="str">
        <f t="shared" si="504"/>
        <v>TRAOTHOFRDMD</v>
      </c>
      <c r="G637" s="17" t="str">
        <f t="shared" si="504"/>
        <v>TRAOTHOFRDMD</v>
      </c>
      <c r="H637" s="18">
        <v>2030</v>
      </c>
      <c r="I637" s="18" t="str">
        <f>I636</f>
        <v>LO</v>
      </c>
      <c r="J637" s="18"/>
      <c r="K637" s="20" t="e">
        <f>-SUMIFS('TRA RESID'!$P:$P,'TRA RESID'!$I:$I,G637,'TRA RESID'!$J:$J,D637,'TRA RESID'!$H:$H,E637)/SUMIFS('TRA RESID'!$P:$P,'TRA RESID'!$I:$I,G637)*O637</f>
        <v>#DIV/0!</v>
      </c>
      <c r="L637" s="18"/>
      <c r="M637" s="18"/>
      <c r="O637" s="21">
        <v>0.5</v>
      </c>
      <c r="S637" s="15" t="str">
        <f>IF(S636="*",S636,"")</f>
        <v>*</v>
      </c>
      <c r="T637" s="17" t="str">
        <f t="shared" si="505"/>
        <v>*BEV*</v>
      </c>
      <c r="U637" s="17" t="str">
        <f t="shared" si="505"/>
        <v>TRABDS</v>
      </c>
      <c r="V637" s="17" t="str">
        <f t="shared" si="505"/>
        <v>TRAOTHOFRDMD</v>
      </c>
      <c r="W637" s="17" t="str">
        <f t="shared" si="505"/>
        <v>TRAOTHOFRDMD</v>
      </c>
      <c r="X637" s="18">
        <v>2030</v>
      </c>
      <c r="Y637" s="18" t="str">
        <f>Y636</f>
        <v>LO</v>
      </c>
      <c r="Z637" s="18"/>
      <c r="AA637" s="20" t="e">
        <f>-SUMIFS('TRA RESID'!$P:$P,'TRA RESID'!$I:$I,W637,'TRA RESID'!$J:$J,T637,'TRA RESID'!$H:$H,U637)/SUMIFS('TRA RESID'!$P:$P,'TRA RESID'!$I:$I,W637)*AE637</f>
        <v>#DIV/0!</v>
      </c>
      <c r="AB637" s="18"/>
      <c r="AC637" s="18"/>
      <c r="AE637" s="21">
        <v>1</v>
      </c>
      <c r="AG637" s="15" t="str">
        <f>IF(AG636="*",AG636,"")</f>
        <v>*</v>
      </c>
      <c r="AH637" s="17" t="str">
        <f t="shared" si="506"/>
        <v>*HEV*</v>
      </c>
      <c r="AI637" s="17" t="str">
        <f t="shared" si="506"/>
        <v>TRABDS</v>
      </c>
      <c r="AJ637" s="17" t="str">
        <f t="shared" si="506"/>
        <v>TRAOTHOFRDMD</v>
      </c>
      <c r="AK637" s="17" t="str">
        <f t="shared" si="506"/>
        <v>TRAOTHOFRDMD</v>
      </c>
      <c r="AL637" s="18">
        <v>2030</v>
      </c>
      <c r="AM637" s="18" t="str">
        <f>AM636</f>
        <v>LO</v>
      </c>
      <c r="AN637" s="18"/>
      <c r="AO637" s="20" t="e">
        <f>-SUMIFS('TRA RESID'!$P:$P,'TRA RESID'!$I:$I,AK637,'TRA RESID'!$J:$J,AH637,'TRA RESID'!$H:$H,AI637)/SUMIFS('TRA RESID'!$P:$P,'TRA RESID'!$I:$I,AK637)*AS637</f>
        <v>#DIV/0!</v>
      </c>
      <c r="AP637" s="18"/>
      <c r="AQ637" s="18"/>
      <c r="AS637" s="21">
        <v>0.5</v>
      </c>
      <c r="AU637" s="15" t="str">
        <f>IF(AU636="*",AU636,"")</f>
        <v>*</v>
      </c>
      <c r="AV637" s="17" t="str">
        <f t="shared" si="507"/>
        <v>*FCEV*</v>
      </c>
      <c r="AW637" s="17" t="str">
        <f t="shared" si="507"/>
        <v>TRABDS</v>
      </c>
      <c r="AX637" s="17" t="str">
        <f t="shared" si="507"/>
        <v>TRAOTHOFRDMD</v>
      </c>
      <c r="AY637" s="17" t="str">
        <f t="shared" si="507"/>
        <v>TRAOTHOFRDMD</v>
      </c>
      <c r="AZ637" s="18">
        <v>2030</v>
      </c>
      <c r="BA637" s="18" t="str">
        <f>BA636</f>
        <v>LO</v>
      </c>
      <c r="BB637" s="18"/>
      <c r="BC637" s="20" t="e">
        <f>-SUMIFS('TRA RESID'!$P:$P,'TRA RESID'!$I:$I,AY637,'TRA RESID'!$J:$J,AV637,'TRA RESID'!$H:$H,AW637)/SUMIFS('TRA RESID'!$P:$P,'TRA RESID'!$I:$I,AY637)*BG637</f>
        <v>#DIV/0!</v>
      </c>
      <c r="BD637" s="18"/>
      <c r="BE637" s="18"/>
      <c r="BG637" s="21">
        <v>0.5</v>
      </c>
    </row>
    <row r="638" spans="1:59" x14ac:dyDescent="0.25">
      <c r="C638" s="15" t="str">
        <f>IF(C637="*",C637,"")</f>
        <v>*</v>
      </c>
      <c r="D638" s="17" t="str">
        <f t="shared" si="504"/>
        <v>*ICEV*</v>
      </c>
      <c r="E638" s="17" t="str">
        <f t="shared" si="504"/>
        <v>TRABDS</v>
      </c>
      <c r="F638" s="17" t="str">
        <f t="shared" si="504"/>
        <v>TRAOTHOFRDMD</v>
      </c>
      <c r="G638" s="17" t="str">
        <f t="shared" si="504"/>
        <v>TRAOTHOFRDMD</v>
      </c>
      <c r="H638" s="18">
        <v>2040</v>
      </c>
      <c r="I638" s="18" t="str">
        <f>I637</f>
        <v>LO</v>
      </c>
      <c r="J638" s="18"/>
      <c r="K638" s="20" t="e">
        <f>-SUMIFS('TRA RESID'!$P:$P,'TRA RESID'!$I:$I,G638,'TRA RESID'!$J:$J,D638,'TRA RESID'!$H:$H,E638)/SUMIFS('TRA RESID'!$P:$P,'TRA RESID'!$I:$I,G638)*O638</f>
        <v>#DIV/0!</v>
      </c>
      <c r="L638" s="18"/>
      <c r="M638" s="18"/>
      <c r="O638" s="21">
        <v>0</v>
      </c>
      <c r="S638" s="15" t="str">
        <f>IF(S637="*",S637,"")</f>
        <v>*</v>
      </c>
      <c r="T638" s="17" t="str">
        <f t="shared" si="505"/>
        <v>*BEV*</v>
      </c>
      <c r="U638" s="17" t="str">
        <f t="shared" si="505"/>
        <v>TRABDS</v>
      </c>
      <c r="V638" s="17" t="str">
        <f t="shared" si="505"/>
        <v>TRAOTHOFRDMD</v>
      </c>
      <c r="W638" s="17" t="str">
        <f t="shared" si="505"/>
        <v>TRAOTHOFRDMD</v>
      </c>
      <c r="X638" s="18">
        <v>2040</v>
      </c>
      <c r="Y638" s="18" t="str">
        <f>Y637</f>
        <v>LO</v>
      </c>
      <c r="Z638" s="18"/>
      <c r="AA638" s="20" t="e">
        <f>-SUMIFS('TRA RESID'!$P:$P,'TRA RESID'!$I:$I,W638,'TRA RESID'!$J:$J,T638,'TRA RESID'!$H:$H,U638)/SUMIFS('TRA RESID'!$P:$P,'TRA RESID'!$I:$I,W638)*AE638</f>
        <v>#DIV/0!</v>
      </c>
      <c r="AB638" s="18"/>
      <c r="AC638" s="18"/>
      <c r="AE638" s="21">
        <v>1</v>
      </c>
      <c r="AG638" s="15" t="str">
        <f>IF(AG637="*",AG637,"")</f>
        <v>*</v>
      </c>
      <c r="AH638" s="17" t="str">
        <f t="shared" si="506"/>
        <v>*HEV*</v>
      </c>
      <c r="AI638" s="17" t="str">
        <f t="shared" si="506"/>
        <v>TRABDS</v>
      </c>
      <c r="AJ638" s="17" t="str">
        <f t="shared" si="506"/>
        <v>TRAOTHOFRDMD</v>
      </c>
      <c r="AK638" s="17" t="str">
        <f t="shared" si="506"/>
        <v>TRAOTHOFRDMD</v>
      </c>
      <c r="AL638" s="18">
        <v>2040</v>
      </c>
      <c r="AM638" s="18" t="str">
        <f>AM637</f>
        <v>LO</v>
      </c>
      <c r="AN638" s="18"/>
      <c r="AO638" s="20" t="e">
        <f>-SUMIFS('TRA RESID'!$P:$P,'TRA RESID'!$I:$I,AK638,'TRA RESID'!$J:$J,AH638,'TRA RESID'!$H:$H,AI638)/SUMIFS('TRA RESID'!$P:$P,'TRA RESID'!$I:$I,AK638)*AS638</f>
        <v>#DIV/0!</v>
      </c>
      <c r="AP638" s="18"/>
      <c r="AQ638" s="18"/>
      <c r="AS638" s="21">
        <v>0</v>
      </c>
      <c r="AU638" s="15" t="str">
        <f>IF(AU637="*",AU637,"")</f>
        <v>*</v>
      </c>
      <c r="AV638" s="17" t="str">
        <f t="shared" si="507"/>
        <v>*FCEV*</v>
      </c>
      <c r="AW638" s="17" t="str">
        <f t="shared" si="507"/>
        <v>TRABDS</v>
      </c>
      <c r="AX638" s="17" t="str">
        <f t="shared" si="507"/>
        <v>TRAOTHOFRDMD</v>
      </c>
      <c r="AY638" s="17" t="str">
        <f t="shared" si="507"/>
        <v>TRAOTHOFRDMD</v>
      </c>
      <c r="AZ638" s="18">
        <v>2040</v>
      </c>
      <c r="BA638" s="18" t="str">
        <f>BA637</f>
        <v>LO</v>
      </c>
      <c r="BB638" s="18"/>
      <c r="BC638" s="20" t="e">
        <f>-SUMIFS('TRA RESID'!$P:$P,'TRA RESID'!$I:$I,AY638,'TRA RESID'!$J:$J,AV638,'TRA RESID'!$H:$H,AW638)/SUMIFS('TRA RESID'!$P:$P,'TRA RESID'!$I:$I,AY638)*BG638</f>
        <v>#DIV/0!</v>
      </c>
      <c r="BD638" s="18"/>
      <c r="BE638" s="18"/>
      <c r="BG638" s="21">
        <v>0</v>
      </c>
    </row>
    <row r="639" spans="1:59" x14ac:dyDescent="0.25">
      <c r="C639" s="23" t="str">
        <f>IF(C638="*",C638,"")</f>
        <v>*</v>
      </c>
      <c r="D639" s="25" t="str">
        <f t="shared" si="504"/>
        <v>*ICEV*</v>
      </c>
      <c r="E639" s="25" t="str">
        <f t="shared" si="504"/>
        <v>TRABDS</v>
      </c>
      <c r="F639" s="25" t="str">
        <f t="shared" si="504"/>
        <v>TRAOTHOFRDMD</v>
      </c>
      <c r="G639" s="25" t="str">
        <f t="shared" si="504"/>
        <v>TRAOTHOFRDMD</v>
      </c>
      <c r="H639" s="26">
        <v>2050</v>
      </c>
      <c r="I639" s="26" t="str">
        <f>I637</f>
        <v>LO</v>
      </c>
      <c r="J639" s="26"/>
      <c r="K639" s="27" t="e">
        <f>-SUMIFS('TRA RESID'!$P:$P,'TRA RESID'!$I:$I,G639,'TRA RESID'!$J:$J,D639,'TRA RESID'!$H:$H,E639)/SUMIFS('TRA RESID'!$P:$P,'TRA RESID'!$I:$I,G639)*O639</f>
        <v>#DIV/0!</v>
      </c>
      <c r="L639" s="26"/>
      <c r="M639" s="26"/>
      <c r="O639" s="28">
        <v>0</v>
      </c>
      <c r="S639" s="23" t="str">
        <f>IF(S638="*",S638,"")</f>
        <v>*</v>
      </c>
      <c r="T639" s="25" t="str">
        <f t="shared" si="505"/>
        <v>*BEV*</v>
      </c>
      <c r="U639" s="25" t="str">
        <f t="shared" si="505"/>
        <v>TRABDS</v>
      </c>
      <c r="V639" s="25" t="str">
        <f t="shared" si="505"/>
        <v>TRAOTHOFRDMD</v>
      </c>
      <c r="W639" s="25" t="str">
        <f t="shared" si="505"/>
        <v>TRAOTHOFRDMD</v>
      </c>
      <c r="X639" s="26">
        <v>2050</v>
      </c>
      <c r="Y639" s="26" t="str">
        <f>Y637</f>
        <v>LO</v>
      </c>
      <c r="Z639" s="26"/>
      <c r="AA639" s="27" t="e">
        <f>-SUMIFS('TRA RESID'!$P:$P,'TRA RESID'!$I:$I,W639,'TRA RESID'!$J:$J,T639,'TRA RESID'!$H:$H,U639)/SUMIFS('TRA RESID'!$P:$P,'TRA RESID'!$I:$I,W639)*AE639</f>
        <v>#DIV/0!</v>
      </c>
      <c r="AB639" s="26"/>
      <c r="AC639" s="26"/>
      <c r="AE639" s="28">
        <v>1</v>
      </c>
      <c r="AG639" s="23" t="str">
        <f>IF(AG638="*",AG638,"")</f>
        <v>*</v>
      </c>
      <c r="AH639" s="25" t="str">
        <f t="shared" si="506"/>
        <v>*HEV*</v>
      </c>
      <c r="AI639" s="25" t="str">
        <f t="shared" si="506"/>
        <v>TRABDS</v>
      </c>
      <c r="AJ639" s="25" t="str">
        <f t="shared" si="506"/>
        <v>TRAOTHOFRDMD</v>
      </c>
      <c r="AK639" s="25" t="str">
        <f t="shared" si="506"/>
        <v>TRAOTHOFRDMD</v>
      </c>
      <c r="AL639" s="26">
        <v>2050</v>
      </c>
      <c r="AM639" s="26" t="str">
        <f>AM637</f>
        <v>LO</v>
      </c>
      <c r="AN639" s="26"/>
      <c r="AO639" s="27" t="e">
        <f>-SUMIFS('TRA RESID'!$P:$P,'TRA RESID'!$I:$I,AK639,'TRA RESID'!$J:$J,AH639,'TRA RESID'!$H:$H,AI639)/SUMIFS('TRA RESID'!$P:$P,'TRA RESID'!$I:$I,AK639)*AS639</f>
        <v>#DIV/0!</v>
      </c>
      <c r="AP639" s="26"/>
      <c r="AQ639" s="26"/>
      <c r="AS639" s="28">
        <v>0</v>
      </c>
      <c r="AU639" s="23" t="str">
        <f>IF(AU638="*",AU638,"")</f>
        <v>*</v>
      </c>
      <c r="AV639" s="25" t="str">
        <f t="shared" si="507"/>
        <v>*FCEV*</v>
      </c>
      <c r="AW639" s="25" t="str">
        <f t="shared" si="507"/>
        <v>TRABDS</v>
      </c>
      <c r="AX639" s="25" t="str">
        <f t="shared" si="507"/>
        <v>TRAOTHOFRDMD</v>
      </c>
      <c r="AY639" s="25" t="str">
        <f t="shared" si="507"/>
        <v>TRAOTHOFRDMD</v>
      </c>
      <c r="AZ639" s="26">
        <v>2050</v>
      </c>
      <c r="BA639" s="26" t="str">
        <f>BA637</f>
        <v>LO</v>
      </c>
      <c r="BB639" s="26"/>
      <c r="BC639" s="27" t="e">
        <f>-SUMIFS('TRA RESID'!$P:$P,'TRA RESID'!$I:$I,AY639,'TRA RESID'!$J:$J,AV639,'TRA RESID'!$H:$H,AW639)/SUMIFS('TRA RESID'!$P:$P,'TRA RESID'!$I:$I,AY639)*BG639</f>
        <v>#DIV/0!</v>
      </c>
      <c r="BD639" s="26"/>
      <c r="BE639" s="26"/>
      <c r="BG639" s="28">
        <v>0</v>
      </c>
    </row>
    <row r="640" spans="1:59" x14ac:dyDescent="0.25">
      <c r="A640">
        <f>A635+1</f>
        <v>128</v>
      </c>
      <c r="C640" s="15" t="str">
        <f>IF(E640="","",IF(_xlfn.XLOOKUP($A640,Selected_constraint!$A:$A,Selected_constraint!$D:$D)=1,"*",IF(SUMIFS('TRA TECH'!$M:$M,'TRA TECH'!$H:$H,E640,'TRA TECH'!$I:$I,F640)=0,"*",IF(SUMIFS('TRA RESID'!$P:$P,'TRA RESID'!$I:$I,G640,'TRA RESID'!$J:$J,D640,'TRA RESID'!$H:$H,E640)=0,"*","UC_"&amp;SUBSTITUTE(D640,"*","")&amp;"_"&amp;RIGHT(E640,3)&amp;"_"&amp;F640))))</f>
        <v>*</v>
      </c>
      <c r="D640" s="17" t="s">
        <v>485</v>
      </c>
      <c r="E640" s="17" t="str">
        <f>_xlfn.XLOOKUP($A640,Selected_constraint!$A:$A,Selected_constraint!$B:$B)</f>
        <v>TRACNG</v>
      </c>
      <c r="F640" s="17" t="str">
        <f>_xlfn.XLOOKUP($A640,Selected_constraint!$A:$A,Selected_constraint!$C:$C)</f>
        <v>TRAOTHOFRDMD</v>
      </c>
      <c r="G640" s="17" t="str">
        <f>F640</f>
        <v>TRAOTHOFRDMD</v>
      </c>
      <c r="H640" s="18">
        <v>2019</v>
      </c>
      <c r="I640" s="18" t="s">
        <v>483</v>
      </c>
      <c r="J640" s="18">
        <v>1</v>
      </c>
      <c r="K640" s="20" t="e">
        <f>-SUMIFS('TRA RESID'!$P:$P,'TRA RESID'!$I:$I,G640,'TRA RESID'!$J:$J,D640,'TRA RESID'!$H:$H,E640)/SUMIFS('TRA RESID'!$P:$P,'TRA RESID'!$I:$I,G640)*O640</f>
        <v>#DIV/0!</v>
      </c>
      <c r="L640" s="18">
        <v>0</v>
      </c>
      <c r="M640" s="18">
        <v>5</v>
      </c>
      <c r="O640" s="21">
        <v>0.98</v>
      </c>
      <c r="Q640">
        <f>Q635+1</f>
        <v>128</v>
      </c>
      <c r="S640" s="15" t="str">
        <f>IF(SUMIFS('TRA RESID'!$P:$P,'TRA RESID'!$I:$I,W640,'TRA RESID'!$J:$J,T640,'TRA RESID'!$H:$H,U640)=0,"*","UC_"&amp;SUBSTITUTE(T640,"*","")&amp;"_"&amp;RIGHT(U640,3)&amp;"_"&amp;V640)</f>
        <v>*</v>
      </c>
      <c r="T640" s="17" t="s">
        <v>486</v>
      </c>
      <c r="U640" s="17" t="str">
        <f>_xlfn.XLOOKUP($A640,Selected_constraint!$A:$A,Selected_constraint!$B:$B)</f>
        <v>TRACNG</v>
      </c>
      <c r="V640" s="17" t="str">
        <f>_xlfn.XLOOKUP($A640,Selected_constraint!$A:$A,Selected_constraint!$C:$C)</f>
        <v>TRAOTHOFRDMD</v>
      </c>
      <c r="W640" s="17" t="str">
        <f>V640</f>
        <v>TRAOTHOFRDMD</v>
      </c>
      <c r="X640" s="18">
        <v>2019</v>
      </c>
      <c r="Y640" s="18" t="s">
        <v>483</v>
      </c>
      <c r="Z640" s="18">
        <v>1</v>
      </c>
      <c r="AA640" s="20" t="e">
        <f>-SUMIFS('TRA RESID'!$P:$P,'TRA RESID'!$I:$I,W640,'TRA RESID'!$J:$J,T640,'TRA RESID'!$H:$H,U640)/SUMIFS('TRA RESID'!$P:$P,'TRA RESID'!$I:$I,W640)*AE640</f>
        <v>#DIV/0!</v>
      </c>
      <c r="AB640" s="18">
        <v>0</v>
      </c>
      <c r="AC640" s="18">
        <v>5</v>
      </c>
      <c r="AE640" s="21">
        <v>0.98</v>
      </c>
      <c r="AG640" s="15" t="str">
        <f>IF(SUMIFS('TRA RESID'!$P:$P,'TRA RESID'!$I:$I,AK640,'TRA RESID'!$J:$J,AH640,'TRA RESID'!$H:$H,AI640)=0,"*","UC_"&amp;SUBSTITUTE(AH640,"*","")&amp;"_"&amp;RIGHT(AI640,3)&amp;"_"&amp;AJ640)</f>
        <v>*</v>
      </c>
      <c r="AH640" s="17" t="s">
        <v>487</v>
      </c>
      <c r="AI640" s="17" t="str">
        <f>_xlfn.XLOOKUP($A640,Selected_constraint!$A:$A,Selected_constraint!$B:$B)</f>
        <v>TRACNG</v>
      </c>
      <c r="AJ640" s="17" t="str">
        <f>_xlfn.XLOOKUP($A640,Selected_constraint!$A:$A,Selected_constraint!$C:$C)</f>
        <v>TRAOTHOFRDMD</v>
      </c>
      <c r="AK640" s="17" t="str">
        <f>AJ640</f>
        <v>TRAOTHOFRDMD</v>
      </c>
      <c r="AL640" s="18">
        <v>2019</v>
      </c>
      <c r="AM640" s="18" t="s">
        <v>483</v>
      </c>
      <c r="AN640" s="18">
        <v>1</v>
      </c>
      <c r="AO640" s="20" t="e">
        <f>-SUMIFS('TRA RESID'!$P:$P,'TRA RESID'!$I:$I,AK640,'TRA RESID'!$J:$J,AH640,'TRA RESID'!$H:$H,AI640)/SUMIFS('TRA RESID'!$P:$P,'TRA RESID'!$I:$I,AK640)*AS640</f>
        <v>#DIV/0!</v>
      </c>
      <c r="AP640" s="18">
        <v>0</v>
      </c>
      <c r="AQ640" s="18">
        <v>5</v>
      </c>
      <c r="AS640" s="21">
        <v>0.98</v>
      </c>
      <c r="AU640" s="15" t="str">
        <f>IF(SUMIFS('TRA RESID'!$P:$P,'TRA RESID'!$I:$I,AY640,'TRA RESID'!$J:$J,AV640,'TRA RESID'!$H:$H,AW640)=0,"*","UC_"&amp;SUBSTITUTE(AV640,"*","")&amp;"_"&amp;RIGHT(AW640,3)&amp;"_"&amp;AX640)</f>
        <v>*</v>
      </c>
      <c r="AV640" s="17" t="s">
        <v>488</v>
      </c>
      <c r="AW640" s="17" t="str">
        <f>_xlfn.XLOOKUP($A640,Selected_constraint!$A:$A,Selected_constraint!$B:$B)</f>
        <v>TRACNG</v>
      </c>
      <c r="AX640" s="17" t="str">
        <f>_xlfn.XLOOKUP($A640,Selected_constraint!$A:$A,Selected_constraint!$C:$C)</f>
        <v>TRAOTHOFRDMD</v>
      </c>
      <c r="AY640" s="17" t="str">
        <f>AX640</f>
        <v>TRAOTHOFRDMD</v>
      </c>
      <c r="AZ640" s="18">
        <v>2019</v>
      </c>
      <c r="BA640" s="18" t="s">
        <v>483</v>
      </c>
      <c r="BB640" s="18">
        <v>1</v>
      </c>
      <c r="BC640" s="20" t="e">
        <f>-SUMIFS('TRA RESID'!$P:$P,'TRA RESID'!$I:$I,AY640,'TRA RESID'!$J:$J,AV640,'TRA RESID'!$H:$H,AW640)/SUMIFS('TRA RESID'!$P:$P,'TRA RESID'!$I:$I,AY640)*BG640</f>
        <v>#DIV/0!</v>
      </c>
      <c r="BD640" s="18">
        <v>0</v>
      </c>
      <c r="BE640" s="18">
        <v>5</v>
      </c>
      <c r="BG640" s="21">
        <v>0.98</v>
      </c>
    </row>
    <row r="641" spans="1:59" x14ac:dyDescent="0.25">
      <c r="C641" s="15" t="str">
        <f>IF(C640="*",C640,"")</f>
        <v>*</v>
      </c>
      <c r="D641" s="17" t="str">
        <f t="shared" ref="D641:G644" si="508">D640</f>
        <v>*ICEV*</v>
      </c>
      <c r="E641" s="17" t="str">
        <f t="shared" si="508"/>
        <v>TRACNG</v>
      </c>
      <c r="F641" s="17" t="str">
        <f t="shared" si="508"/>
        <v>TRAOTHOFRDMD</v>
      </c>
      <c r="G641" s="17" t="str">
        <f t="shared" si="508"/>
        <v>TRAOTHOFRDMD</v>
      </c>
      <c r="H641" s="18">
        <v>2025</v>
      </c>
      <c r="I641" s="18" t="str">
        <f>I640</f>
        <v>LO</v>
      </c>
      <c r="J641" s="18"/>
      <c r="K641" s="20" t="e">
        <f>-SUMIFS('TRA RESID'!$P:$P,'TRA RESID'!$I:$I,G641,'TRA RESID'!$J:$J,D641,'TRA RESID'!$H:$H,E641)/SUMIFS('TRA RESID'!$P:$P,'TRA RESID'!$I:$I,G641)*O641</f>
        <v>#DIV/0!</v>
      </c>
      <c r="L641" s="18"/>
      <c r="M641" s="18"/>
      <c r="O641" s="21">
        <v>0.8</v>
      </c>
      <c r="S641" s="15" t="str">
        <f>IF(S640="*",S640,"")</f>
        <v>*</v>
      </c>
      <c r="T641" s="17" t="str">
        <f t="shared" ref="T641:W644" si="509">T640</f>
        <v>*BEV*</v>
      </c>
      <c r="U641" s="17" t="str">
        <f t="shared" si="509"/>
        <v>TRACNG</v>
      </c>
      <c r="V641" s="17" t="str">
        <f t="shared" si="509"/>
        <v>TRAOTHOFRDMD</v>
      </c>
      <c r="W641" s="17" t="str">
        <f t="shared" si="509"/>
        <v>TRAOTHOFRDMD</v>
      </c>
      <c r="X641" s="18">
        <v>2025</v>
      </c>
      <c r="Y641" s="18" t="str">
        <f>Y640</f>
        <v>LO</v>
      </c>
      <c r="Z641" s="18"/>
      <c r="AA641" s="20" t="e">
        <f>-SUMIFS('TRA RESID'!$P:$P,'TRA RESID'!$I:$I,W641,'TRA RESID'!$J:$J,T641,'TRA RESID'!$H:$H,U641)/SUMIFS('TRA RESID'!$P:$P,'TRA RESID'!$I:$I,W641)*AE641</f>
        <v>#DIV/0!</v>
      </c>
      <c r="AB641" s="18"/>
      <c r="AC641" s="18"/>
      <c r="AE641" s="21">
        <v>1</v>
      </c>
      <c r="AG641" s="15" t="str">
        <f>IF(AG640="*",AG640,"")</f>
        <v>*</v>
      </c>
      <c r="AH641" s="17" t="str">
        <f t="shared" ref="AH641:AK644" si="510">AH640</f>
        <v>*HEV*</v>
      </c>
      <c r="AI641" s="17" t="str">
        <f t="shared" si="510"/>
        <v>TRACNG</v>
      </c>
      <c r="AJ641" s="17" t="str">
        <f t="shared" si="510"/>
        <v>TRAOTHOFRDMD</v>
      </c>
      <c r="AK641" s="17" t="str">
        <f t="shared" si="510"/>
        <v>TRAOTHOFRDMD</v>
      </c>
      <c r="AL641" s="18">
        <v>2025</v>
      </c>
      <c r="AM641" s="18" t="str">
        <f>AM640</f>
        <v>LO</v>
      </c>
      <c r="AN641" s="18"/>
      <c r="AO641" s="20" t="e">
        <f>-SUMIFS('TRA RESID'!$P:$P,'TRA RESID'!$I:$I,AK641,'TRA RESID'!$J:$J,AH641,'TRA RESID'!$H:$H,AI641)/SUMIFS('TRA RESID'!$P:$P,'TRA RESID'!$I:$I,AK641)*AS641</f>
        <v>#DIV/0!</v>
      </c>
      <c r="AP641" s="18"/>
      <c r="AQ641" s="18"/>
      <c r="AS641" s="21">
        <v>0.8</v>
      </c>
      <c r="AU641" s="15" t="str">
        <f>IF(AU640="*",AU640,"")</f>
        <v>*</v>
      </c>
      <c r="AV641" s="17" t="str">
        <f t="shared" ref="AV641:AY644" si="511">AV640</f>
        <v>*FCEV*</v>
      </c>
      <c r="AW641" s="17" t="str">
        <f t="shared" si="511"/>
        <v>TRACNG</v>
      </c>
      <c r="AX641" s="17" t="str">
        <f t="shared" si="511"/>
        <v>TRAOTHOFRDMD</v>
      </c>
      <c r="AY641" s="17" t="str">
        <f t="shared" si="511"/>
        <v>TRAOTHOFRDMD</v>
      </c>
      <c r="AZ641" s="18">
        <v>2025</v>
      </c>
      <c r="BA641" s="18" t="str">
        <f>BA640</f>
        <v>LO</v>
      </c>
      <c r="BB641" s="18"/>
      <c r="BC641" s="20" t="e">
        <f>-SUMIFS('TRA RESID'!$P:$P,'TRA RESID'!$I:$I,AY641,'TRA RESID'!$J:$J,AV641,'TRA RESID'!$H:$H,AW641)/SUMIFS('TRA RESID'!$P:$P,'TRA RESID'!$I:$I,AY641)*BG641</f>
        <v>#DIV/0!</v>
      </c>
      <c r="BD641" s="18"/>
      <c r="BE641" s="18"/>
      <c r="BG641" s="21">
        <v>0.8</v>
      </c>
    </row>
    <row r="642" spans="1:59" x14ac:dyDescent="0.25">
      <c r="C642" s="15" t="str">
        <f>IF(C641="*",C641,"")</f>
        <v>*</v>
      </c>
      <c r="D642" s="17" t="str">
        <f t="shared" si="508"/>
        <v>*ICEV*</v>
      </c>
      <c r="E642" s="17" t="str">
        <f t="shared" si="508"/>
        <v>TRACNG</v>
      </c>
      <c r="F642" s="17" t="str">
        <f t="shared" si="508"/>
        <v>TRAOTHOFRDMD</v>
      </c>
      <c r="G642" s="17" t="str">
        <f t="shared" si="508"/>
        <v>TRAOTHOFRDMD</v>
      </c>
      <c r="H642" s="18">
        <v>2030</v>
      </c>
      <c r="I642" s="18" t="str">
        <f>I641</f>
        <v>LO</v>
      </c>
      <c r="J642" s="18"/>
      <c r="K642" s="20" t="e">
        <f>-SUMIFS('TRA RESID'!$P:$P,'TRA RESID'!$I:$I,G642,'TRA RESID'!$J:$J,D642,'TRA RESID'!$H:$H,E642)/SUMIFS('TRA RESID'!$P:$P,'TRA RESID'!$I:$I,G642)*O642</f>
        <v>#DIV/0!</v>
      </c>
      <c r="L642" s="18"/>
      <c r="M642" s="18"/>
      <c r="O642" s="21">
        <v>0.5</v>
      </c>
      <c r="S642" s="15" t="str">
        <f>IF(S641="*",S641,"")</f>
        <v>*</v>
      </c>
      <c r="T642" s="17" t="str">
        <f t="shared" si="509"/>
        <v>*BEV*</v>
      </c>
      <c r="U642" s="17" t="str">
        <f t="shared" si="509"/>
        <v>TRACNG</v>
      </c>
      <c r="V642" s="17" t="str">
        <f t="shared" si="509"/>
        <v>TRAOTHOFRDMD</v>
      </c>
      <c r="W642" s="17" t="str">
        <f t="shared" si="509"/>
        <v>TRAOTHOFRDMD</v>
      </c>
      <c r="X642" s="18">
        <v>2030</v>
      </c>
      <c r="Y642" s="18" t="str">
        <f>Y641</f>
        <v>LO</v>
      </c>
      <c r="Z642" s="18"/>
      <c r="AA642" s="20" t="e">
        <f>-SUMIFS('TRA RESID'!$P:$P,'TRA RESID'!$I:$I,W642,'TRA RESID'!$J:$J,T642,'TRA RESID'!$H:$H,U642)/SUMIFS('TRA RESID'!$P:$P,'TRA RESID'!$I:$I,W642)*AE642</f>
        <v>#DIV/0!</v>
      </c>
      <c r="AB642" s="18"/>
      <c r="AC642" s="18"/>
      <c r="AE642" s="21">
        <v>1</v>
      </c>
      <c r="AG642" s="15" t="str">
        <f>IF(AG641="*",AG641,"")</f>
        <v>*</v>
      </c>
      <c r="AH642" s="17" t="str">
        <f t="shared" si="510"/>
        <v>*HEV*</v>
      </c>
      <c r="AI642" s="17" t="str">
        <f t="shared" si="510"/>
        <v>TRACNG</v>
      </c>
      <c r="AJ642" s="17" t="str">
        <f t="shared" si="510"/>
        <v>TRAOTHOFRDMD</v>
      </c>
      <c r="AK642" s="17" t="str">
        <f t="shared" si="510"/>
        <v>TRAOTHOFRDMD</v>
      </c>
      <c r="AL642" s="18">
        <v>2030</v>
      </c>
      <c r="AM642" s="18" t="str">
        <f>AM641</f>
        <v>LO</v>
      </c>
      <c r="AN642" s="18"/>
      <c r="AO642" s="20" t="e">
        <f>-SUMIFS('TRA RESID'!$P:$P,'TRA RESID'!$I:$I,AK642,'TRA RESID'!$J:$J,AH642,'TRA RESID'!$H:$H,AI642)/SUMIFS('TRA RESID'!$P:$P,'TRA RESID'!$I:$I,AK642)*AS642</f>
        <v>#DIV/0!</v>
      </c>
      <c r="AP642" s="18"/>
      <c r="AQ642" s="18"/>
      <c r="AS642" s="21">
        <v>0.5</v>
      </c>
      <c r="AU642" s="15" t="str">
        <f>IF(AU641="*",AU641,"")</f>
        <v>*</v>
      </c>
      <c r="AV642" s="17" t="str">
        <f t="shared" si="511"/>
        <v>*FCEV*</v>
      </c>
      <c r="AW642" s="17" t="str">
        <f t="shared" si="511"/>
        <v>TRACNG</v>
      </c>
      <c r="AX642" s="17" t="str">
        <f t="shared" si="511"/>
        <v>TRAOTHOFRDMD</v>
      </c>
      <c r="AY642" s="17" t="str">
        <f t="shared" si="511"/>
        <v>TRAOTHOFRDMD</v>
      </c>
      <c r="AZ642" s="18">
        <v>2030</v>
      </c>
      <c r="BA642" s="18" t="str">
        <f>BA641</f>
        <v>LO</v>
      </c>
      <c r="BB642" s="18"/>
      <c r="BC642" s="20" t="e">
        <f>-SUMIFS('TRA RESID'!$P:$P,'TRA RESID'!$I:$I,AY642,'TRA RESID'!$J:$J,AV642,'TRA RESID'!$H:$H,AW642)/SUMIFS('TRA RESID'!$P:$P,'TRA RESID'!$I:$I,AY642)*BG642</f>
        <v>#DIV/0!</v>
      </c>
      <c r="BD642" s="18"/>
      <c r="BE642" s="18"/>
      <c r="BG642" s="21">
        <v>0.5</v>
      </c>
    </row>
    <row r="643" spans="1:59" x14ac:dyDescent="0.25">
      <c r="C643" s="15" t="str">
        <f>IF(C642="*",C642,"")</f>
        <v>*</v>
      </c>
      <c r="D643" s="17" t="str">
        <f t="shared" si="508"/>
        <v>*ICEV*</v>
      </c>
      <c r="E643" s="17" t="str">
        <f t="shared" si="508"/>
        <v>TRACNG</v>
      </c>
      <c r="F643" s="17" t="str">
        <f t="shared" si="508"/>
        <v>TRAOTHOFRDMD</v>
      </c>
      <c r="G643" s="17" t="str">
        <f t="shared" si="508"/>
        <v>TRAOTHOFRDMD</v>
      </c>
      <c r="H643" s="18">
        <v>2040</v>
      </c>
      <c r="I643" s="18" t="str">
        <f>I642</f>
        <v>LO</v>
      </c>
      <c r="J643" s="18"/>
      <c r="K643" s="20" t="e">
        <f>-SUMIFS('TRA RESID'!$P:$P,'TRA RESID'!$I:$I,G643,'TRA RESID'!$J:$J,D643,'TRA RESID'!$H:$H,E643)/SUMIFS('TRA RESID'!$P:$P,'TRA RESID'!$I:$I,G643)*O643</f>
        <v>#DIV/0!</v>
      </c>
      <c r="L643" s="18"/>
      <c r="M643" s="18"/>
      <c r="O643" s="21">
        <v>0</v>
      </c>
      <c r="S643" s="15" t="str">
        <f>IF(S642="*",S642,"")</f>
        <v>*</v>
      </c>
      <c r="T643" s="17" t="str">
        <f t="shared" si="509"/>
        <v>*BEV*</v>
      </c>
      <c r="U643" s="17" t="str">
        <f t="shared" si="509"/>
        <v>TRACNG</v>
      </c>
      <c r="V643" s="17" t="str">
        <f t="shared" si="509"/>
        <v>TRAOTHOFRDMD</v>
      </c>
      <c r="W643" s="17" t="str">
        <f t="shared" si="509"/>
        <v>TRAOTHOFRDMD</v>
      </c>
      <c r="X643" s="18">
        <v>2040</v>
      </c>
      <c r="Y643" s="18" t="str">
        <f>Y642</f>
        <v>LO</v>
      </c>
      <c r="Z643" s="18"/>
      <c r="AA643" s="20" t="e">
        <f>-SUMIFS('TRA RESID'!$P:$P,'TRA RESID'!$I:$I,W643,'TRA RESID'!$J:$J,T643,'TRA RESID'!$H:$H,U643)/SUMIFS('TRA RESID'!$P:$P,'TRA RESID'!$I:$I,W643)*AE643</f>
        <v>#DIV/0!</v>
      </c>
      <c r="AB643" s="18"/>
      <c r="AC643" s="18"/>
      <c r="AE643" s="21">
        <v>1</v>
      </c>
      <c r="AG643" s="15" t="str">
        <f>IF(AG642="*",AG642,"")</f>
        <v>*</v>
      </c>
      <c r="AH643" s="17" t="str">
        <f t="shared" si="510"/>
        <v>*HEV*</v>
      </c>
      <c r="AI643" s="17" t="str">
        <f t="shared" si="510"/>
        <v>TRACNG</v>
      </c>
      <c r="AJ643" s="17" t="str">
        <f t="shared" si="510"/>
        <v>TRAOTHOFRDMD</v>
      </c>
      <c r="AK643" s="17" t="str">
        <f t="shared" si="510"/>
        <v>TRAOTHOFRDMD</v>
      </c>
      <c r="AL643" s="18">
        <v>2040</v>
      </c>
      <c r="AM643" s="18" t="str">
        <f>AM642</f>
        <v>LO</v>
      </c>
      <c r="AN643" s="18"/>
      <c r="AO643" s="20" t="e">
        <f>-SUMIFS('TRA RESID'!$P:$P,'TRA RESID'!$I:$I,AK643,'TRA RESID'!$J:$J,AH643,'TRA RESID'!$H:$H,AI643)/SUMIFS('TRA RESID'!$P:$P,'TRA RESID'!$I:$I,AK643)*AS643</f>
        <v>#DIV/0!</v>
      </c>
      <c r="AP643" s="18"/>
      <c r="AQ643" s="18"/>
      <c r="AS643" s="21">
        <v>0</v>
      </c>
      <c r="AU643" s="15" t="str">
        <f>IF(AU642="*",AU642,"")</f>
        <v>*</v>
      </c>
      <c r="AV643" s="17" t="str">
        <f t="shared" si="511"/>
        <v>*FCEV*</v>
      </c>
      <c r="AW643" s="17" t="str">
        <f t="shared" si="511"/>
        <v>TRACNG</v>
      </c>
      <c r="AX643" s="17" t="str">
        <f t="shared" si="511"/>
        <v>TRAOTHOFRDMD</v>
      </c>
      <c r="AY643" s="17" t="str">
        <f t="shared" si="511"/>
        <v>TRAOTHOFRDMD</v>
      </c>
      <c r="AZ643" s="18">
        <v>2040</v>
      </c>
      <c r="BA643" s="18" t="str">
        <f>BA642</f>
        <v>LO</v>
      </c>
      <c r="BB643" s="18"/>
      <c r="BC643" s="20" t="e">
        <f>-SUMIFS('TRA RESID'!$P:$P,'TRA RESID'!$I:$I,AY643,'TRA RESID'!$J:$J,AV643,'TRA RESID'!$H:$H,AW643)/SUMIFS('TRA RESID'!$P:$P,'TRA RESID'!$I:$I,AY643)*BG643</f>
        <v>#DIV/0!</v>
      </c>
      <c r="BD643" s="18"/>
      <c r="BE643" s="18"/>
      <c r="BG643" s="21">
        <v>0</v>
      </c>
    </row>
    <row r="644" spans="1:59" x14ac:dyDescent="0.25">
      <c r="C644" s="23" t="str">
        <f>IF(C643="*",C643,"")</f>
        <v>*</v>
      </c>
      <c r="D644" s="25" t="str">
        <f t="shared" si="508"/>
        <v>*ICEV*</v>
      </c>
      <c r="E644" s="25" t="str">
        <f t="shared" si="508"/>
        <v>TRACNG</v>
      </c>
      <c r="F644" s="25" t="str">
        <f t="shared" si="508"/>
        <v>TRAOTHOFRDMD</v>
      </c>
      <c r="G644" s="25" t="str">
        <f t="shared" si="508"/>
        <v>TRAOTHOFRDMD</v>
      </c>
      <c r="H644" s="26">
        <v>2050</v>
      </c>
      <c r="I644" s="26" t="str">
        <f>I642</f>
        <v>LO</v>
      </c>
      <c r="J644" s="26"/>
      <c r="K644" s="27" t="e">
        <f>-SUMIFS('TRA RESID'!$P:$P,'TRA RESID'!$I:$I,G644,'TRA RESID'!$J:$J,D644,'TRA RESID'!$H:$H,E644)/SUMIFS('TRA RESID'!$P:$P,'TRA RESID'!$I:$I,G644)*O644</f>
        <v>#DIV/0!</v>
      </c>
      <c r="L644" s="26"/>
      <c r="M644" s="26"/>
      <c r="O644" s="28">
        <v>0</v>
      </c>
      <c r="S644" s="23" t="str">
        <f>IF(S643="*",S643,"")</f>
        <v>*</v>
      </c>
      <c r="T644" s="25" t="str">
        <f t="shared" si="509"/>
        <v>*BEV*</v>
      </c>
      <c r="U644" s="25" t="str">
        <f t="shared" si="509"/>
        <v>TRACNG</v>
      </c>
      <c r="V644" s="25" t="str">
        <f t="shared" si="509"/>
        <v>TRAOTHOFRDMD</v>
      </c>
      <c r="W644" s="25" t="str">
        <f t="shared" si="509"/>
        <v>TRAOTHOFRDMD</v>
      </c>
      <c r="X644" s="26">
        <v>2050</v>
      </c>
      <c r="Y644" s="26" t="str">
        <f>Y642</f>
        <v>LO</v>
      </c>
      <c r="Z644" s="26"/>
      <c r="AA644" s="27" t="e">
        <f>-SUMIFS('TRA RESID'!$P:$P,'TRA RESID'!$I:$I,W644,'TRA RESID'!$J:$J,T644,'TRA RESID'!$H:$H,U644)/SUMIFS('TRA RESID'!$P:$P,'TRA RESID'!$I:$I,W644)*AE644</f>
        <v>#DIV/0!</v>
      </c>
      <c r="AB644" s="26"/>
      <c r="AC644" s="26"/>
      <c r="AE644" s="28">
        <v>1</v>
      </c>
      <c r="AG644" s="23" t="str">
        <f>IF(AG643="*",AG643,"")</f>
        <v>*</v>
      </c>
      <c r="AH644" s="25" t="str">
        <f t="shared" si="510"/>
        <v>*HEV*</v>
      </c>
      <c r="AI644" s="25" t="str">
        <f t="shared" si="510"/>
        <v>TRACNG</v>
      </c>
      <c r="AJ644" s="25" t="str">
        <f t="shared" si="510"/>
        <v>TRAOTHOFRDMD</v>
      </c>
      <c r="AK644" s="25" t="str">
        <f t="shared" si="510"/>
        <v>TRAOTHOFRDMD</v>
      </c>
      <c r="AL644" s="26">
        <v>2050</v>
      </c>
      <c r="AM644" s="26" t="str">
        <f>AM642</f>
        <v>LO</v>
      </c>
      <c r="AN644" s="26"/>
      <c r="AO644" s="27" t="e">
        <f>-SUMIFS('TRA RESID'!$P:$P,'TRA RESID'!$I:$I,AK644,'TRA RESID'!$J:$J,AH644,'TRA RESID'!$H:$H,AI644)/SUMIFS('TRA RESID'!$P:$P,'TRA RESID'!$I:$I,AK644)*AS644</f>
        <v>#DIV/0!</v>
      </c>
      <c r="AP644" s="26"/>
      <c r="AQ644" s="26"/>
      <c r="AS644" s="28">
        <v>0</v>
      </c>
      <c r="AU644" s="23" t="str">
        <f>IF(AU643="*",AU643,"")</f>
        <v>*</v>
      </c>
      <c r="AV644" s="25" t="str">
        <f t="shared" si="511"/>
        <v>*FCEV*</v>
      </c>
      <c r="AW644" s="25" t="str">
        <f t="shared" si="511"/>
        <v>TRACNG</v>
      </c>
      <c r="AX644" s="25" t="str">
        <f t="shared" si="511"/>
        <v>TRAOTHOFRDMD</v>
      </c>
      <c r="AY644" s="25" t="str">
        <f t="shared" si="511"/>
        <v>TRAOTHOFRDMD</v>
      </c>
      <c r="AZ644" s="26">
        <v>2050</v>
      </c>
      <c r="BA644" s="26" t="str">
        <f>BA642</f>
        <v>LO</v>
      </c>
      <c r="BB644" s="26"/>
      <c r="BC644" s="27" t="e">
        <f>-SUMIFS('TRA RESID'!$P:$P,'TRA RESID'!$I:$I,AY644,'TRA RESID'!$J:$J,AV644,'TRA RESID'!$H:$H,AW644)/SUMIFS('TRA RESID'!$P:$P,'TRA RESID'!$I:$I,AY644)*BG644</f>
        <v>#DIV/0!</v>
      </c>
      <c r="BD644" s="26"/>
      <c r="BE644" s="26"/>
      <c r="BG644" s="28">
        <v>0</v>
      </c>
    </row>
    <row r="645" spans="1:59" x14ac:dyDescent="0.25">
      <c r="A645">
        <f>A640+1</f>
        <v>129</v>
      </c>
      <c r="C645" s="15" t="str">
        <f>IF(E645="","",IF(_xlfn.XLOOKUP($A645,Selected_constraint!$A:$A,Selected_constraint!$D:$D)=1,"*",IF(SUMIFS('TRA TECH'!$M:$M,'TRA TECH'!$H:$H,E645,'TRA TECH'!$I:$I,F645)=0,"*",IF(SUMIFS('TRA RESID'!$P:$P,'TRA RESID'!$I:$I,G645,'TRA RESID'!$J:$J,D645,'TRA RESID'!$H:$H,E645)=0,"*","UC_"&amp;SUBSTITUTE(D645,"*","")&amp;"_"&amp;RIGHT(E645,3)&amp;"_"&amp;F645))))</f>
        <v>*</v>
      </c>
      <c r="D645" s="17" t="s">
        <v>485</v>
      </c>
      <c r="E645" s="17" t="str">
        <f>_xlfn.XLOOKUP($A645,Selected_constraint!$A:$A,Selected_constraint!$B:$B)</f>
        <v>TRARNG</v>
      </c>
      <c r="F645" s="17" t="str">
        <f>_xlfn.XLOOKUP($A645,Selected_constraint!$A:$A,Selected_constraint!$C:$C)</f>
        <v>TRAOTHOFRDMD</v>
      </c>
      <c r="G645" s="17" t="str">
        <f>F645</f>
        <v>TRAOTHOFRDMD</v>
      </c>
      <c r="H645" s="18">
        <v>2019</v>
      </c>
      <c r="I645" s="18" t="s">
        <v>483</v>
      </c>
      <c r="J645" s="18">
        <v>1</v>
      </c>
      <c r="K645" s="20" t="e">
        <f>-SUMIFS('TRA RESID'!$P:$P,'TRA RESID'!$I:$I,G645,'TRA RESID'!$J:$J,D645,'TRA RESID'!$H:$H,E645)/SUMIFS('TRA RESID'!$P:$P,'TRA RESID'!$I:$I,G645)*O645</f>
        <v>#DIV/0!</v>
      </c>
      <c r="L645" s="18">
        <v>0</v>
      </c>
      <c r="M645" s="18">
        <v>5</v>
      </c>
      <c r="O645" s="21">
        <v>0.98</v>
      </c>
      <c r="Q645">
        <f>Q640+1</f>
        <v>129</v>
      </c>
      <c r="S645" s="15" t="str">
        <f>IF(SUMIFS('TRA RESID'!$P:$P,'TRA RESID'!$I:$I,W645,'TRA RESID'!$J:$J,T645,'TRA RESID'!$H:$H,U645)=0,"*","UC_"&amp;SUBSTITUTE(T645,"*","")&amp;"_"&amp;RIGHT(U645,3)&amp;"_"&amp;V645)</f>
        <v>*</v>
      </c>
      <c r="T645" s="17" t="s">
        <v>486</v>
      </c>
      <c r="U645" s="17" t="str">
        <f>_xlfn.XLOOKUP($A645,Selected_constraint!$A:$A,Selected_constraint!$B:$B)</f>
        <v>TRARNG</v>
      </c>
      <c r="V645" s="17" t="str">
        <f>_xlfn.XLOOKUP($A645,Selected_constraint!$A:$A,Selected_constraint!$C:$C)</f>
        <v>TRAOTHOFRDMD</v>
      </c>
      <c r="W645" s="17" t="str">
        <f>V645</f>
        <v>TRAOTHOFRDMD</v>
      </c>
      <c r="X645" s="18">
        <v>2019</v>
      </c>
      <c r="Y645" s="18" t="s">
        <v>483</v>
      </c>
      <c r="Z645" s="18">
        <v>1</v>
      </c>
      <c r="AA645" s="20" t="e">
        <f>-SUMIFS('TRA RESID'!$P:$P,'TRA RESID'!$I:$I,W645,'TRA RESID'!$J:$J,T645,'TRA RESID'!$H:$H,U645)/SUMIFS('TRA RESID'!$P:$P,'TRA RESID'!$I:$I,W645)*AE645</f>
        <v>#DIV/0!</v>
      </c>
      <c r="AB645" s="18">
        <v>0</v>
      </c>
      <c r="AC645" s="18">
        <v>5</v>
      </c>
      <c r="AE645" s="21">
        <v>0.98</v>
      </c>
      <c r="AG645" s="15" t="str">
        <f>IF(SUMIFS('TRA RESID'!$P:$P,'TRA RESID'!$I:$I,AK645,'TRA RESID'!$J:$J,AH645,'TRA RESID'!$H:$H,AI645)=0,"*","UC_"&amp;SUBSTITUTE(AH645,"*","")&amp;"_"&amp;RIGHT(AI645,3)&amp;"_"&amp;AJ645)</f>
        <v>*</v>
      </c>
      <c r="AH645" s="17" t="s">
        <v>487</v>
      </c>
      <c r="AI645" s="17" t="str">
        <f>_xlfn.XLOOKUP($A645,Selected_constraint!$A:$A,Selected_constraint!$B:$B)</f>
        <v>TRARNG</v>
      </c>
      <c r="AJ645" s="17" t="str">
        <f>_xlfn.XLOOKUP($A645,Selected_constraint!$A:$A,Selected_constraint!$C:$C)</f>
        <v>TRAOTHOFRDMD</v>
      </c>
      <c r="AK645" s="17" t="str">
        <f>AJ645</f>
        <v>TRAOTHOFRDMD</v>
      </c>
      <c r="AL645" s="18">
        <v>2019</v>
      </c>
      <c r="AM645" s="18" t="s">
        <v>483</v>
      </c>
      <c r="AN645" s="18">
        <v>1</v>
      </c>
      <c r="AO645" s="20" t="e">
        <f>-SUMIFS('TRA RESID'!$P:$P,'TRA RESID'!$I:$I,AK645,'TRA RESID'!$J:$J,AH645,'TRA RESID'!$H:$H,AI645)/SUMIFS('TRA RESID'!$P:$P,'TRA RESID'!$I:$I,AK645)*AS645</f>
        <v>#DIV/0!</v>
      </c>
      <c r="AP645" s="18">
        <v>0</v>
      </c>
      <c r="AQ645" s="18">
        <v>5</v>
      </c>
      <c r="AS645" s="21">
        <v>0.98</v>
      </c>
      <c r="AU645" s="15" t="str">
        <f>IF(SUMIFS('TRA RESID'!$P:$P,'TRA RESID'!$I:$I,AY645,'TRA RESID'!$J:$J,AV645,'TRA RESID'!$H:$H,AW645)=0,"*","UC_"&amp;SUBSTITUTE(AV645,"*","")&amp;"_"&amp;RIGHT(AW645,3)&amp;"_"&amp;AX645)</f>
        <v>*</v>
      </c>
      <c r="AV645" s="17" t="s">
        <v>488</v>
      </c>
      <c r="AW645" s="17" t="str">
        <f>_xlfn.XLOOKUP($A645,Selected_constraint!$A:$A,Selected_constraint!$B:$B)</f>
        <v>TRARNG</v>
      </c>
      <c r="AX645" s="17" t="str">
        <f>_xlfn.XLOOKUP($A645,Selected_constraint!$A:$A,Selected_constraint!$C:$C)</f>
        <v>TRAOTHOFRDMD</v>
      </c>
      <c r="AY645" s="17" t="str">
        <f>AX645</f>
        <v>TRAOTHOFRDMD</v>
      </c>
      <c r="AZ645" s="18">
        <v>2019</v>
      </c>
      <c r="BA645" s="18" t="s">
        <v>483</v>
      </c>
      <c r="BB645" s="18">
        <v>1</v>
      </c>
      <c r="BC645" s="20" t="e">
        <f>-SUMIFS('TRA RESID'!$P:$P,'TRA RESID'!$I:$I,AY645,'TRA RESID'!$J:$J,AV645,'TRA RESID'!$H:$H,AW645)/SUMIFS('TRA RESID'!$P:$P,'TRA RESID'!$I:$I,AY645)*BG645</f>
        <v>#DIV/0!</v>
      </c>
      <c r="BD645" s="18">
        <v>0</v>
      </c>
      <c r="BE645" s="18">
        <v>5</v>
      </c>
      <c r="BG645" s="21">
        <v>0.98</v>
      </c>
    </row>
    <row r="646" spans="1:59" x14ac:dyDescent="0.25">
      <c r="C646" s="15" t="str">
        <f>IF(C645="*",C645,"")</f>
        <v>*</v>
      </c>
      <c r="D646" s="17" t="str">
        <f t="shared" ref="D646:G649" si="512">D645</f>
        <v>*ICEV*</v>
      </c>
      <c r="E646" s="17" t="str">
        <f t="shared" si="512"/>
        <v>TRARNG</v>
      </c>
      <c r="F646" s="17" t="str">
        <f t="shared" si="512"/>
        <v>TRAOTHOFRDMD</v>
      </c>
      <c r="G646" s="17" t="str">
        <f t="shared" si="512"/>
        <v>TRAOTHOFRDMD</v>
      </c>
      <c r="H646" s="18">
        <v>2025</v>
      </c>
      <c r="I646" s="18" t="str">
        <f>I645</f>
        <v>LO</v>
      </c>
      <c r="J646" s="18"/>
      <c r="K646" s="20" t="e">
        <f>-SUMIFS('TRA RESID'!$P:$P,'TRA RESID'!$I:$I,G646,'TRA RESID'!$J:$J,D646,'TRA RESID'!$H:$H,E646)/SUMIFS('TRA RESID'!$P:$P,'TRA RESID'!$I:$I,G646)*O646</f>
        <v>#DIV/0!</v>
      </c>
      <c r="L646" s="18"/>
      <c r="M646" s="18"/>
      <c r="O646" s="21">
        <v>0.8</v>
      </c>
      <c r="S646" s="15" t="str">
        <f>IF(S645="*",S645,"")</f>
        <v>*</v>
      </c>
      <c r="T646" s="17" t="str">
        <f t="shared" ref="T646:W649" si="513">T645</f>
        <v>*BEV*</v>
      </c>
      <c r="U646" s="17" t="str">
        <f t="shared" si="513"/>
        <v>TRARNG</v>
      </c>
      <c r="V646" s="17" t="str">
        <f t="shared" si="513"/>
        <v>TRAOTHOFRDMD</v>
      </c>
      <c r="W646" s="17" t="str">
        <f t="shared" si="513"/>
        <v>TRAOTHOFRDMD</v>
      </c>
      <c r="X646" s="18">
        <v>2025</v>
      </c>
      <c r="Y646" s="18" t="str">
        <f>Y645</f>
        <v>LO</v>
      </c>
      <c r="Z646" s="18"/>
      <c r="AA646" s="20" t="e">
        <f>-SUMIFS('TRA RESID'!$P:$P,'TRA RESID'!$I:$I,W646,'TRA RESID'!$J:$J,T646,'TRA RESID'!$H:$H,U646)/SUMIFS('TRA RESID'!$P:$P,'TRA RESID'!$I:$I,W646)*AE646</f>
        <v>#DIV/0!</v>
      </c>
      <c r="AB646" s="18"/>
      <c r="AC646" s="18"/>
      <c r="AE646" s="21">
        <v>1</v>
      </c>
      <c r="AG646" s="15" t="str">
        <f>IF(AG645="*",AG645,"")</f>
        <v>*</v>
      </c>
      <c r="AH646" s="17" t="str">
        <f t="shared" ref="AH646:AK649" si="514">AH645</f>
        <v>*HEV*</v>
      </c>
      <c r="AI646" s="17" t="str">
        <f t="shared" si="514"/>
        <v>TRARNG</v>
      </c>
      <c r="AJ646" s="17" t="str">
        <f t="shared" si="514"/>
        <v>TRAOTHOFRDMD</v>
      </c>
      <c r="AK646" s="17" t="str">
        <f t="shared" si="514"/>
        <v>TRAOTHOFRDMD</v>
      </c>
      <c r="AL646" s="18">
        <v>2025</v>
      </c>
      <c r="AM646" s="18" t="str">
        <f>AM645</f>
        <v>LO</v>
      </c>
      <c r="AN646" s="18"/>
      <c r="AO646" s="20" t="e">
        <f>-SUMIFS('TRA RESID'!$P:$P,'TRA RESID'!$I:$I,AK646,'TRA RESID'!$J:$J,AH646,'TRA RESID'!$H:$H,AI646)/SUMIFS('TRA RESID'!$P:$P,'TRA RESID'!$I:$I,AK646)*AS646</f>
        <v>#DIV/0!</v>
      </c>
      <c r="AP646" s="18"/>
      <c r="AQ646" s="18"/>
      <c r="AS646" s="21">
        <v>0.8</v>
      </c>
      <c r="AU646" s="15" t="str">
        <f>IF(AU645="*",AU645,"")</f>
        <v>*</v>
      </c>
      <c r="AV646" s="17" t="str">
        <f t="shared" ref="AV646:AY649" si="515">AV645</f>
        <v>*FCEV*</v>
      </c>
      <c r="AW646" s="17" t="str">
        <f t="shared" si="515"/>
        <v>TRARNG</v>
      </c>
      <c r="AX646" s="17" t="str">
        <f t="shared" si="515"/>
        <v>TRAOTHOFRDMD</v>
      </c>
      <c r="AY646" s="17" t="str">
        <f t="shared" si="515"/>
        <v>TRAOTHOFRDMD</v>
      </c>
      <c r="AZ646" s="18">
        <v>2025</v>
      </c>
      <c r="BA646" s="18" t="str">
        <f>BA645</f>
        <v>LO</v>
      </c>
      <c r="BB646" s="18"/>
      <c r="BC646" s="20" t="e">
        <f>-SUMIFS('TRA RESID'!$P:$P,'TRA RESID'!$I:$I,AY646,'TRA RESID'!$J:$J,AV646,'TRA RESID'!$H:$H,AW646)/SUMIFS('TRA RESID'!$P:$P,'TRA RESID'!$I:$I,AY646)*BG646</f>
        <v>#DIV/0!</v>
      </c>
      <c r="BD646" s="18"/>
      <c r="BE646" s="18"/>
      <c r="BG646" s="21">
        <v>0.8</v>
      </c>
    </row>
    <row r="647" spans="1:59" x14ac:dyDescent="0.25">
      <c r="C647" s="15" t="str">
        <f>IF(C646="*",C646,"")</f>
        <v>*</v>
      </c>
      <c r="D647" s="17" t="str">
        <f t="shared" si="512"/>
        <v>*ICEV*</v>
      </c>
      <c r="E647" s="17" t="str">
        <f t="shared" si="512"/>
        <v>TRARNG</v>
      </c>
      <c r="F647" s="17" t="str">
        <f t="shared" si="512"/>
        <v>TRAOTHOFRDMD</v>
      </c>
      <c r="G647" s="17" t="str">
        <f t="shared" si="512"/>
        <v>TRAOTHOFRDMD</v>
      </c>
      <c r="H647" s="18">
        <v>2030</v>
      </c>
      <c r="I647" s="18" t="str">
        <f>I646</f>
        <v>LO</v>
      </c>
      <c r="J647" s="18"/>
      <c r="K647" s="20" t="e">
        <f>-SUMIFS('TRA RESID'!$P:$P,'TRA RESID'!$I:$I,G647,'TRA RESID'!$J:$J,D647,'TRA RESID'!$H:$H,E647)/SUMIFS('TRA RESID'!$P:$P,'TRA RESID'!$I:$I,G647)*O647</f>
        <v>#DIV/0!</v>
      </c>
      <c r="L647" s="18"/>
      <c r="M647" s="18"/>
      <c r="O647" s="21">
        <v>0.5</v>
      </c>
      <c r="S647" s="15" t="str">
        <f>IF(S646="*",S646,"")</f>
        <v>*</v>
      </c>
      <c r="T647" s="17" t="str">
        <f t="shared" si="513"/>
        <v>*BEV*</v>
      </c>
      <c r="U647" s="17" t="str">
        <f t="shared" si="513"/>
        <v>TRARNG</v>
      </c>
      <c r="V647" s="17" t="str">
        <f t="shared" si="513"/>
        <v>TRAOTHOFRDMD</v>
      </c>
      <c r="W647" s="17" t="str">
        <f t="shared" si="513"/>
        <v>TRAOTHOFRDMD</v>
      </c>
      <c r="X647" s="18">
        <v>2030</v>
      </c>
      <c r="Y647" s="18" t="str">
        <f>Y646</f>
        <v>LO</v>
      </c>
      <c r="Z647" s="18"/>
      <c r="AA647" s="20" t="e">
        <f>-SUMIFS('TRA RESID'!$P:$P,'TRA RESID'!$I:$I,W647,'TRA RESID'!$J:$J,T647,'TRA RESID'!$H:$H,U647)/SUMIFS('TRA RESID'!$P:$P,'TRA RESID'!$I:$I,W647)*AE647</f>
        <v>#DIV/0!</v>
      </c>
      <c r="AB647" s="18"/>
      <c r="AC647" s="18"/>
      <c r="AE647" s="21">
        <v>1</v>
      </c>
      <c r="AG647" s="15" t="str">
        <f>IF(AG646="*",AG646,"")</f>
        <v>*</v>
      </c>
      <c r="AH647" s="17" t="str">
        <f t="shared" si="514"/>
        <v>*HEV*</v>
      </c>
      <c r="AI647" s="17" t="str">
        <f t="shared" si="514"/>
        <v>TRARNG</v>
      </c>
      <c r="AJ647" s="17" t="str">
        <f t="shared" si="514"/>
        <v>TRAOTHOFRDMD</v>
      </c>
      <c r="AK647" s="17" t="str">
        <f t="shared" si="514"/>
        <v>TRAOTHOFRDMD</v>
      </c>
      <c r="AL647" s="18">
        <v>2030</v>
      </c>
      <c r="AM647" s="18" t="str">
        <f>AM646</f>
        <v>LO</v>
      </c>
      <c r="AN647" s="18"/>
      <c r="AO647" s="20" t="e">
        <f>-SUMIFS('TRA RESID'!$P:$P,'TRA RESID'!$I:$I,AK647,'TRA RESID'!$J:$J,AH647,'TRA RESID'!$H:$H,AI647)/SUMIFS('TRA RESID'!$P:$P,'TRA RESID'!$I:$I,AK647)*AS647</f>
        <v>#DIV/0!</v>
      </c>
      <c r="AP647" s="18"/>
      <c r="AQ647" s="18"/>
      <c r="AS647" s="21">
        <v>0.5</v>
      </c>
      <c r="AU647" s="15" t="str">
        <f>IF(AU646="*",AU646,"")</f>
        <v>*</v>
      </c>
      <c r="AV647" s="17" t="str">
        <f t="shared" si="515"/>
        <v>*FCEV*</v>
      </c>
      <c r="AW647" s="17" t="str">
        <f t="shared" si="515"/>
        <v>TRARNG</v>
      </c>
      <c r="AX647" s="17" t="str">
        <f t="shared" si="515"/>
        <v>TRAOTHOFRDMD</v>
      </c>
      <c r="AY647" s="17" t="str">
        <f t="shared" si="515"/>
        <v>TRAOTHOFRDMD</v>
      </c>
      <c r="AZ647" s="18">
        <v>2030</v>
      </c>
      <c r="BA647" s="18" t="str">
        <f>BA646</f>
        <v>LO</v>
      </c>
      <c r="BB647" s="18"/>
      <c r="BC647" s="20" t="e">
        <f>-SUMIFS('TRA RESID'!$P:$P,'TRA RESID'!$I:$I,AY647,'TRA RESID'!$J:$J,AV647,'TRA RESID'!$H:$H,AW647)/SUMIFS('TRA RESID'!$P:$P,'TRA RESID'!$I:$I,AY647)*BG647</f>
        <v>#DIV/0!</v>
      </c>
      <c r="BD647" s="18"/>
      <c r="BE647" s="18"/>
      <c r="BG647" s="21">
        <v>0.5</v>
      </c>
    </row>
    <row r="648" spans="1:59" x14ac:dyDescent="0.25">
      <c r="C648" s="15" t="str">
        <f>IF(C647="*",C647,"")</f>
        <v>*</v>
      </c>
      <c r="D648" s="17" t="str">
        <f t="shared" si="512"/>
        <v>*ICEV*</v>
      </c>
      <c r="E648" s="17" t="str">
        <f t="shared" si="512"/>
        <v>TRARNG</v>
      </c>
      <c r="F648" s="17" t="str">
        <f t="shared" si="512"/>
        <v>TRAOTHOFRDMD</v>
      </c>
      <c r="G648" s="17" t="str">
        <f t="shared" si="512"/>
        <v>TRAOTHOFRDMD</v>
      </c>
      <c r="H648" s="18">
        <v>2040</v>
      </c>
      <c r="I648" s="18" t="str">
        <f>I647</f>
        <v>LO</v>
      </c>
      <c r="J648" s="18"/>
      <c r="K648" s="20" t="e">
        <f>-SUMIFS('TRA RESID'!$P:$P,'TRA RESID'!$I:$I,G648,'TRA RESID'!$J:$J,D648,'TRA RESID'!$H:$H,E648)/SUMIFS('TRA RESID'!$P:$P,'TRA RESID'!$I:$I,G648)*O648</f>
        <v>#DIV/0!</v>
      </c>
      <c r="L648" s="18"/>
      <c r="M648" s="18"/>
      <c r="O648" s="21">
        <v>0</v>
      </c>
      <c r="S648" s="15" t="str">
        <f>IF(S647="*",S647,"")</f>
        <v>*</v>
      </c>
      <c r="T648" s="17" t="str">
        <f t="shared" si="513"/>
        <v>*BEV*</v>
      </c>
      <c r="U648" s="17" t="str">
        <f t="shared" si="513"/>
        <v>TRARNG</v>
      </c>
      <c r="V648" s="17" t="str">
        <f t="shared" si="513"/>
        <v>TRAOTHOFRDMD</v>
      </c>
      <c r="W648" s="17" t="str">
        <f t="shared" si="513"/>
        <v>TRAOTHOFRDMD</v>
      </c>
      <c r="X648" s="18">
        <v>2040</v>
      </c>
      <c r="Y648" s="18" t="str">
        <f>Y647</f>
        <v>LO</v>
      </c>
      <c r="Z648" s="18"/>
      <c r="AA648" s="20" t="e">
        <f>-SUMIFS('TRA RESID'!$P:$P,'TRA RESID'!$I:$I,W648,'TRA RESID'!$J:$J,T648,'TRA RESID'!$H:$H,U648)/SUMIFS('TRA RESID'!$P:$P,'TRA RESID'!$I:$I,W648)*AE648</f>
        <v>#DIV/0!</v>
      </c>
      <c r="AB648" s="18"/>
      <c r="AC648" s="18"/>
      <c r="AE648" s="21">
        <v>1</v>
      </c>
      <c r="AG648" s="15" t="str">
        <f>IF(AG647="*",AG647,"")</f>
        <v>*</v>
      </c>
      <c r="AH648" s="17" t="str">
        <f t="shared" si="514"/>
        <v>*HEV*</v>
      </c>
      <c r="AI648" s="17" t="str">
        <f t="shared" si="514"/>
        <v>TRARNG</v>
      </c>
      <c r="AJ648" s="17" t="str">
        <f t="shared" si="514"/>
        <v>TRAOTHOFRDMD</v>
      </c>
      <c r="AK648" s="17" t="str">
        <f t="shared" si="514"/>
        <v>TRAOTHOFRDMD</v>
      </c>
      <c r="AL648" s="18">
        <v>2040</v>
      </c>
      <c r="AM648" s="18" t="str">
        <f>AM647</f>
        <v>LO</v>
      </c>
      <c r="AN648" s="18"/>
      <c r="AO648" s="20" t="e">
        <f>-SUMIFS('TRA RESID'!$P:$P,'TRA RESID'!$I:$I,AK648,'TRA RESID'!$J:$J,AH648,'TRA RESID'!$H:$H,AI648)/SUMIFS('TRA RESID'!$P:$P,'TRA RESID'!$I:$I,AK648)*AS648</f>
        <v>#DIV/0!</v>
      </c>
      <c r="AP648" s="18"/>
      <c r="AQ648" s="18"/>
      <c r="AS648" s="21">
        <v>0</v>
      </c>
      <c r="AU648" s="15" t="str">
        <f>IF(AU647="*",AU647,"")</f>
        <v>*</v>
      </c>
      <c r="AV648" s="17" t="str">
        <f t="shared" si="515"/>
        <v>*FCEV*</v>
      </c>
      <c r="AW648" s="17" t="str">
        <f t="shared" si="515"/>
        <v>TRARNG</v>
      </c>
      <c r="AX648" s="17" t="str">
        <f t="shared" si="515"/>
        <v>TRAOTHOFRDMD</v>
      </c>
      <c r="AY648" s="17" t="str">
        <f t="shared" si="515"/>
        <v>TRAOTHOFRDMD</v>
      </c>
      <c r="AZ648" s="18">
        <v>2040</v>
      </c>
      <c r="BA648" s="18" t="str">
        <f>BA647</f>
        <v>LO</v>
      </c>
      <c r="BB648" s="18"/>
      <c r="BC648" s="20" t="e">
        <f>-SUMIFS('TRA RESID'!$P:$P,'TRA RESID'!$I:$I,AY648,'TRA RESID'!$J:$J,AV648,'TRA RESID'!$H:$H,AW648)/SUMIFS('TRA RESID'!$P:$P,'TRA RESID'!$I:$I,AY648)*BG648</f>
        <v>#DIV/0!</v>
      </c>
      <c r="BD648" s="18"/>
      <c r="BE648" s="18"/>
      <c r="BG648" s="21">
        <v>0</v>
      </c>
    </row>
    <row r="649" spans="1:59" x14ac:dyDescent="0.25">
      <c r="C649" s="23" t="str">
        <f>IF(C648="*",C648,"")</f>
        <v>*</v>
      </c>
      <c r="D649" s="25" t="str">
        <f t="shared" si="512"/>
        <v>*ICEV*</v>
      </c>
      <c r="E649" s="25" t="str">
        <f t="shared" si="512"/>
        <v>TRARNG</v>
      </c>
      <c r="F649" s="25" t="str">
        <f t="shared" si="512"/>
        <v>TRAOTHOFRDMD</v>
      </c>
      <c r="G649" s="25" t="str">
        <f t="shared" si="512"/>
        <v>TRAOTHOFRDMD</v>
      </c>
      <c r="H649" s="26">
        <v>2050</v>
      </c>
      <c r="I649" s="26" t="str">
        <f>I647</f>
        <v>LO</v>
      </c>
      <c r="J649" s="26"/>
      <c r="K649" s="27" t="e">
        <f>-SUMIFS('TRA RESID'!$P:$P,'TRA RESID'!$I:$I,G649,'TRA RESID'!$J:$J,D649,'TRA RESID'!$H:$H,E649)/SUMIFS('TRA RESID'!$P:$P,'TRA RESID'!$I:$I,G649)*O649</f>
        <v>#DIV/0!</v>
      </c>
      <c r="L649" s="26"/>
      <c r="M649" s="26"/>
      <c r="O649" s="28">
        <v>0</v>
      </c>
      <c r="S649" s="23" t="str">
        <f>IF(S648="*",S648,"")</f>
        <v>*</v>
      </c>
      <c r="T649" s="25" t="str">
        <f t="shared" si="513"/>
        <v>*BEV*</v>
      </c>
      <c r="U649" s="25" t="str">
        <f t="shared" si="513"/>
        <v>TRARNG</v>
      </c>
      <c r="V649" s="25" t="str">
        <f t="shared" si="513"/>
        <v>TRAOTHOFRDMD</v>
      </c>
      <c r="W649" s="25" t="str">
        <f t="shared" si="513"/>
        <v>TRAOTHOFRDMD</v>
      </c>
      <c r="X649" s="26">
        <v>2050</v>
      </c>
      <c r="Y649" s="26" t="str">
        <f>Y647</f>
        <v>LO</v>
      </c>
      <c r="Z649" s="26"/>
      <c r="AA649" s="27" t="e">
        <f>-SUMIFS('TRA RESID'!$P:$P,'TRA RESID'!$I:$I,W649,'TRA RESID'!$J:$J,T649,'TRA RESID'!$H:$H,U649)/SUMIFS('TRA RESID'!$P:$P,'TRA RESID'!$I:$I,W649)*AE649</f>
        <v>#DIV/0!</v>
      </c>
      <c r="AB649" s="26"/>
      <c r="AC649" s="26"/>
      <c r="AE649" s="28">
        <v>1</v>
      </c>
      <c r="AG649" s="23" t="str">
        <f>IF(AG648="*",AG648,"")</f>
        <v>*</v>
      </c>
      <c r="AH649" s="25" t="str">
        <f t="shared" si="514"/>
        <v>*HEV*</v>
      </c>
      <c r="AI649" s="25" t="str">
        <f t="shared" si="514"/>
        <v>TRARNG</v>
      </c>
      <c r="AJ649" s="25" t="str">
        <f t="shared" si="514"/>
        <v>TRAOTHOFRDMD</v>
      </c>
      <c r="AK649" s="25" t="str">
        <f t="shared" si="514"/>
        <v>TRAOTHOFRDMD</v>
      </c>
      <c r="AL649" s="26">
        <v>2050</v>
      </c>
      <c r="AM649" s="26" t="str">
        <f>AM647</f>
        <v>LO</v>
      </c>
      <c r="AN649" s="26"/>
      <c r="AO649" s="27" t="e">
        <f>-SUMIFS('TRA RESID'!$P:$P,'TRA RESID'!$I:$I,AK649,'TRA RESID'!$J:$J,AH649,'TRA RESID'!$H:$H,AI649)/SUMIFS('TRA RESID'!$P:$P,'TRA RESID'!$I:$I,AK649)*AS649</f>
        <v>#DIV/0!</v>
      </c>
      <c r="AP649" s="26"/>
      <c r="AQ649" s="26"/>
      <c r="AS649" s="28">
        <v>0</v>
      </c>
      <c r="AU649" s="23" t="str">
        <f>IF(AU648="*",AU648,"")</f>
        <v>*</v>
      </c>
      <c r="AV649" s="25" t="str">
        <f t="shared" si="515"/>
        <v>*FCEV*</v>
      </c>
      <c r="AW649" s="25" t="str">
        <f t="shared" si="515"/>
        <v>TRARNG</v>
      </c>
      <c r="AX649" s="25" t="str">
        <f t="shared" si="515"/>
        <v>TRAOTHOFRDMD</v>
      </c>
      <c r="AY649" s="25" t="str">
        <f t="shared" si="515"/>
        <v>TRAOTHOFRDMD</v>
      </c>
      <c r="AZ649" s="26">
        <v>2050</v>
      </c>
      <c r="BA649" s="26" t="str">
        <f>BA647</f>
        <v>LO</v>
      </c>
      <c r="BB649" s="26"/>
      <c r="BC649" s="27" t="e">
        <f>-SUMIFS('TRA RESID'!$P:$P,'TRA RESID'!$I:$I,AY649,'TRA RESID'!$J:$J,AV649,'TRA RESID'!$H:$H,AW649)/SUMIFS('TRA RESID'!$P:$P,'TRA RESID'!$I:$I,AY649)*BG649</f>
        <v>#DIV/0!</v>
      </c>
      <c r="BD649" s="26"/>
      <c r="BE649" s="26"/>
      <c r="BG649" s="28">
        <v>0</v>
      </c>
    </row>
    <row r="650" spans="1:59" x14ac:dyDescent="0.25">
      <c r="A650">
        <f>A645+1</f>
        <v>130</v>
      </c>
      <c r="C650" s="15" t="str">
        <f>IF(E650="","",IF(_xlfn.XLOOKUP($A650,Selected_constraint!$A:$A,Selected_constraint!$D:$D)=1,"*",IF(SUMIFS('TRA TECH'!$M:$M,'TRA TECH'!$H:$H,E650,'TRA TECH'!$I:$I,F650)=0,"*",IF(SUMIFS('TRA RESID'!$P:$P,'TRA RESID'!$I:$I,G650,'TRA RESID'!$J:$J,D650,'TRA RESID'!$H:$H,E650)=0,"*","UC_"&amp;SUBSTITUTE(D650,"*","")&amp;"_"&amp;RIGHT(E650,3)&amp;"_"&amp;F650))))</f>
        <v>*</v>
      </c>
      <c r="D650" s="17" t="s">
        <v>485</v>
      </c>
      <c r="E650" s="17" t="str">
        <f>_xlfn.XLOOKUP($A650,Selected_constraint!$A:$A,Selected_constraint!$B:$B)</f>
        <v>TRABAF</v>
      </c>
      <c r="F650" s="17" t="str">
        <f>_xlfn.XLOOKUP($A650,Selected_constraint!$A:$A,Selected_constraint!$C:$C)</f>
        <v>TRAOTHOFRDMD</v>
      </c>
      <c r="G650" s="17" t="str">
        <f>F650</f>
        <v>TRAOTHOFRDMD</v>
      </c>
      <c r="H650" s="18">
        <v>2019</v>
      </c>
      <c r="I650" s="18" t="s">
        <v>483</v>
      </c>
      <c r="J650" s="18">
        <v>1</v>
      </c>
      <c r="K650" s="20" t="e">
        <f>-SUMIFS('TRA RESID'!$P:$P,'TRA RESID'!$I:$I,G650,'TRA RESID'!$J:$J,D650,'TRA RESID'!$H:$H,E650)/SUMIFS('TRA RESID'!$P:$P,'TRA RESID'!$I:$I,G650)*O650</f>
        <v>#DIV/0!</v>
      </c>
      <c r="L650" s="18">
        <v>0</v>
      </c>
      <c r="M650" s="18">
        <v>5</v>
      </c>
      <c r="O650" s="21">
        <v>0.98</v>
      </c>
      <c r="Q650">
        <f>Q645+1</f>
        <v>130</v>
      </c>
      <c r="S650" s="15" t="str">
        <f>IF(SUMIFS('TRA RESID'!$P:$P,'TRA RESID'!$I:$I,W650,'TRA RESID'!$J:$J,T650,'TRA RESID'!$H:$H,U650)=0,"*","UC_"&amp;SUBSTITUTE(T650,"*","")&amp;"_"&amp;RIGHT(U650,3)&amp;"_"&amp;V650)</f>
        <v>*</v>
      </c>
      <c r="T650" s="17" t="s">
        <v>486</v>
      </c>
      <c r="U650" s="17" t="str">
        <f>_xlfn.XLOOKUP($A650,Selected_constraint!$A:$A,Selected_constraint!$B:$B)</f>
        <v>TRABAF</v>
      </c>
      <c r="V650" s="17" t="str">
        <f>_xlfn.XLOOKUP($A650,Selected_constraint!$A:$A,Selected_constraint!$C:$C)</f>
        <v>TRAOTHOFRDMD</v>
      </c>
      <c r="W650" s="17" t="str">
        <f>V650</f>
        <v>TRAOTHOFRDMD</v>
      </c>
      <c r="X650" s="18">
        <v>2019</v>
      </c>
      <c r="Y650" s="18" t="s">
        <v>483</v>
      </c>
      <c r="Z650" s="18">
        <v>1</v>
      </c>
      <c r="AA650" s="20" t="e">
        <f>-SUMIFS('TRA RESID'!$P:$P,'TRA RESID'!$I:$I,W650,'TRA RESID'!$J:$J,T650,'TRA RESID'!$H:$H,U650)/SUMIFS('TRA RESID'!$P:$P,'TRA RESID'!$I:$I,W650)*AE650</f>
        <v>#DIV/0!</v>
      </c>
      <c r="AB650" s="18">
        <v>0</v>
      </c>
      <c r="AC650" s="18">
        <v>5</v>
      </c>
      <c r="AE650" s="21">
        <v>0.98</v>
      </c>
      <c r="AG650" s="15" t="str">
        <f>IF(SUMIFS('TRA RESID'!$P:$P,'TRA RESID'!$I:$I,AK650,'TRA RESID'!$J:$J,AH650,'TRA RESID'!$H:$H,AI650)=0,"*","UC_"&amp;SUBSTITUTE(AH650,"*","")&amp;"_"&amp;RIGHT(AI650,3)&amp;"_"&amp;AJ650)</f>
        <v>*</v>
      </c>
      <c r="AH650" s="17" t="s">
        <v>487</v>
      </c>
      <c r="AI650" s="17" t="str">
        <f>_xlfn.XLOOKUP($A650,Selected_constraint!$A:$A,Selected_constraint!$B:$B)</f>
        <v>TRABAF</v>
      </c>
      <c r="AJ650" s="17" t="str">
        <f>_xlfn.XLOOKUP($A650,Selected_constraint!$A:$A,Selected_constraint!$C:$C)</f>
        <v>TRAOTHOFRDMD</v>
      </c>
      <c r="AK650" s="17" t="str">
        <f>AJ650</f>
        <v>TRAOTHOFRDMD</v>
      </c>
      <c r="AL650" s="18">
        <v>2019</v>
      </c>
      <c r="AM650" s="18" t="s">
        <v>483</v>
      </c>
      <c r="AN650" s="18">
        <v>1</v>
      </c>
      <c r="AO650" s="20" t="e">
        <f>-SUMIFS('TRA RESID'!$P:$P,'TRA RESID'!$I:$I,AK650,'TRA RESID'!$J:$J,AH650,'TRA RESID'!$H:$H,AI650)/SUMIFS('TRA RESID'!$P:$P,'TRA RESID'!$I:$I,AK650)*AS650</f>
        <v>#DIV/0!</v>
      </c>
      <c r="AP650" s="18">
        <v>0</v>
      </c>
      <c r="AQ650" s="18">
        <v>5</v>
      </c>
      <c r="AS650" s="21">
        <v>0.98</v>
      </c>
      <c r="AU650" s="15" t="str">
        <f>IF(SUMIFS('TRA RESID'!$P:$P,'TRA RESID'!$I:$I,AY650,'TRA RESID'!$J:$J,AV650,'TRA RESID'!$H:$H,AW650)=0,"*","UC_"&amp;SUBSTITUTE(AV650,"*","")&amp;"_"&amp;RIGHT(AW650,3)&amp;"_"&amp;AX650)</f>
        <v>*</v>
      </c>
      <c r="AV650" s="17" t="s">
        <v>488</v>
      </c>
      <c r="AW650" s="17" t="str">
        <f>_xlfn.XLOOKUP($A650,Selected_constraint!$A:$A,Selected_constraint!$B:$B)</f>
        <v>TRABAF</v>
      </c>
      <c r="AX650" s="17" t="str">
        <f>_xlfn.XLOOKUP($A650,Selected_constraint!$A:$A,Selected_constraint!$C:$C)</f>
        <v>TRAOTHOFRDMD</v>
      </c>
      <c r="AY650" s="17" t="str">
        <f>AX650</f>
        <v>TRAOTHOFRDMD</v>
      </c>
      <c r="AZ650" s="18">
        <v>2019</v>
      </c>
      <c r="BA650" s="18" t="s">
        <v>483</v>
      </c>
      <c r="BB650" s="18">
        <v>1</v>
      </c>
      <c r="BC650" s="20" t="e">
        <f>-SUMIFS('TRA RESID'!$P:$P,'TRA RESID'!$I:$I,AY650,'TRA RESID'!$J:$J,AV650,'TRA RESID'!$H:$H,AW650)/SUMIFS('TRA RESID'!$P:$P,'TRA RESID'!$I:$I,AY650)*BG650</f>
        <v>#DIV/0!</v>
      </c>
      <c r="BD650" s="18">
        <v>0</v>
      </c>
      <c r="BE650" s="18">
        <v>5</v>
      </c>
      <c r="BG650" s="21">
        <v>0.98</v>
      </c>
    </row>
    <row r="651" spans="1:59" x14ac:dyDescent="0.25">
      <c r="C651" s="15" t="str">
        <f>IF(C650="*",C650,"")</f>
        <v>*</v>
      </c>
      <c r="D651" s="17" t="str">
        <f t="shared" ref="D651:G654" si="516">D650</f>
        <v>*ICEV*</v>
      </c>
      <c r="E651" s="17" t="str">
        <f t="shared" si="516"/>
        <v>TRABAF</v>
      </c>
      <c r="F651" s="17" t="str">
        <f t="shared" si="516"/>
        <v>TRAOTHOFRDMD</v>
      </c>
      <c r="G651" s="17" t="str">
        <f t="shared" si="516"/>
        <v>TRAOTHOFRDMD</v>
      </c>
      <c r="H651" s="18">
        <v>2025</v>
      </c>
      <c r="I651" s="18" t="str">
        <f>I650</f>
        <v>LO</v>
      </c>
      <c r="J651" s="18"/>
      <c r="K651" s="20" t="e">
        <f>-SUMIFS('TRA RESID'!$P:$P,'TRA RESID'!$I:$I,G651,'TRA RESID'!$J:$J,D651,'TRA RESID'!$H:$H,E651)/SUMIFS('TRA RESID'!$P:$P,'TRA RESID'!$I:$I,G651)*O651</f>
        <v>#DIV/0!</v>
      </c>
      <c r="L651" s="18"/>
      <c r="M651" s="18"/>
      <c r="O651" s="21">
        <v>0.8</v>
      </c>
      <c r="S651" s="15" t="str">
        <f>IF(S650="*",S650,"")</f>
        <v>*</v>
      </c>
      <c r="T651" s="17" t="str">
        <f t="shared" ref="T651:W654" si="517">T650</f>
        <v>*BEV*</v>
      </c>
      <c r="U651" s="17" t="str">
        <f t="shared" si="517"/>
        <v>TRABAF</v>
      </c>
      <c r="V651" s="17" t="str">
        <f t="shared" si="517"/>
        <v>TRAOTHOFRDMD</v>
      </c>
      <c r="W651" s="17" t="str">
        <f t="shared" si="517"/>
        <v>TRAOTHOFRDMD</v>
      </c>
      <c r="X651" s="18">
        <v>2025</v>
      </c>
      <c r="Y651" s="18" t="str">
        <f>Y650</f>
        <v>LO</v>
      </c>
      <c r="Z651" s="18"/>
      <c r="AA651" s="20" t="e">
        <f>-SUMIFS('TRA RESID'!$P:$P,'TRA RESID'!$I:$I,W651,'TRA RESID'!$J:$J,T651,'TRA RESID'!$H:$H,U651)/SUMIFS('TRA RESID'!$P:$P,'TRA RESID'!$I:$I,W651)*AE651</f>
        <v>#DIV/0!</v>
      </c>
      <c r="AB651" s="18"/>
      <c r="AC651" s="18"/>
      <c r="AE651" s="21">
        <v>1</v>
      </c>
      <c r="AG651" s="15" t="str">
        <f>IF(AG650="*",AG650,"")</f>
        <v>*</v>
      </c>
      <c r="AH651" s="17" t="str">
        <f t="shared" ref="AH651:AK654" si="518">AH650</f>
        <v>*HEV*</v>
      </c>
      <c r="AI651" s="17" t="str">
        <f t="shared" si="518"/>
        <v>TRABAF</v>
      </c>
      <c r="AJ651" s="17" t="str">
        <f t="shared" si="518"/>
        <v>TRAOTHOFRDMD</v>
      </c>
      <c r="AK651" s="17" t="str">
        <f t="shared" si="518"/>
        <v>TRAOTHOFRDMD</v>
      </c>
      <c r="AL651" s="18">
        <v>2025</v>
      </c>
      <c r="AM651" s="18" t="str">
        <f>AM650</f>
        <v>LO</v>
      </c>
      <c r="AN651" s="18"/>
      <c r="AO651" s="20" t="e">
        <f>-SUMIFS('TRA RESID'!$P:$P,'TRA RESID'!$I:$I,AK651,'TRA RESID'!$J:$J,AH651,'TRA RESID'!$H:$H,AI651)/SUMIFS('TRA RESID'!$P:$P,'TRA RESID'!$I:$I,AK651)*AS651</f>
        <v>#DIV/0!</v>
      </c>
      <c r="AP651" s="18"/>
      <c r="AQ651" s="18"/>
      <c r="AS651" s="21">
        <v>0.8</v>
      </c>
      <c r="AU651" s="15" t="str">
        <f>IF(AU650="*",AU650,"")</f>
        <v>*</v>
      </c>
      <c r="AV651" s="17" t="str">
        <f t="shared" ref="AV651:AY654" si="519">AV650</f>
        <v>*FCEV*</v>
      </c>
      <c r="AW651" s="17" t="str">
        <f t="shared" si="519"/>
        <v>TRABAF</v>
      </c>
      <c r="AX651" s="17" t="str">
        <f t="shared" si="519"/>
        <v>TRAOTHOFRDMD</v>
      </c>
      <c r="AY651" s="17" t="str">
        <f t="shared" si="519"/>
        <v>TRAOTHOFRDMD</v>
      </c>
      <c r="AZ651" s="18">
        <v>2025</v>
      </c>
      <c r="BA651" s="18" t="str">
        <f>BA650</f>
        <v>LO</v>
      </c>
      <c r="BB651" s="18"/>
      <c r="BC651" s="20" t="e">
        <f>-SUMIFS('TRA RESID'!$P:$P,'TRA RESID'!$I:$I,AY651,'TRA RESID'!$J:$J,AV651,'TRA RESID'!$H:$H,AW651)/SUMIFS('TRA RESID'!$P:$P,'TRA RESID'!$I:$I,AY651)*BG651</f>
        <v>#DIV/0!</v>
      </c>
      <c r="BD651" s="18"/>
      <c r="BE651" s="18"/>
      <c r="BG651" s="21">
        <v>0.8</v>
      </c>
    </row>
    <row r="652" spans="1:59" x14ac:dyDescent="0.25">
      <c r="C652" s="15" t="str">
        <f>IF(C651="*",C651,"")</f>
        <v>*</v>
      </c>
      <c r="D652" s="17" t="str">
        <f t="shared" si="516"/>
        <v>*ICEV*</v>
      </c>
      <c r="E652" s="17" t="str">
        <f t="shared" si="516"/>
        <v>TRABAF</v>
      </c>
      <c r="F652" s="17" t="str">
        <f t="shared" si="516"/>
        <v>TRAOTHOFRDMD</v>
      </c>
      <c r="G652" s="17" t="str">
        <f t="shared" si="516"/>
        <v>TRAOTHOFRDMD</v>
      </c>
      <c r="H652" s="18">
        <v>2030</v>
      </c>
      <c r="I652" s="18" t="str">
        <f>I651</f>
        <v>LO</v>
      </c>
      <c r="J652" s="18"/>
      <c r="K652" s="20" t="e">
        <f>-SUMIFS('TRA RESID'!$P:$P,'TRA RESID'!$I:$I,G652,'TRA RESID'!$J:$J,D652,'TRA RESID'!$H:$H,E652)/SUMIFS('TRA RESID'!$P:$P,'TRA RESID'!$I:$I,G652)*O652</f>
        <v>#DIV/0!</v>
      </c>
      <c r="L652" s="18"/>
      <c r="M652" s="18"/>
      <c r="O652" s="21">
        <v>0.5</v>
      </c>
      <c r="S652" s="15" t="str">
        <f>IF(S651="*",S651,"")</f>
        <v>*</v>
      </c>
      <c r="T652" s="17" t="str">
        <f t="shared" si="517"/>
        <v>*BEV*</v>
      </c>
      <c r="U652" s="17" t="str">
        <f t="shared" si="517"/>
        <v>TRABAF</v>
      </c>
      <c r="V652" s="17" t="str">
        <f t="shared" si="517"/>
        <v>TRAOTHOFRDMD</v>
      </c>
      <c r="W652" s="17" t="str">
        <f t="shared" si="517"/>
        <v>TRAOTHOFRDMD</v>
      </c>
      <c r="X652" s="18">
        <v>2030</v>
      </c>
      <c r="Y652" s="18" t="str">
        <f>Y651</f>
        <v>LO</v>
      </c>
      <c r="Z652" s="18"/>
      <c r="AA652" s="20" t="e">
        <f>-SUMIFS('TRA RESID'!$P:$P,'TRA RESID'!$I:$I,W652,'TRA RESID'!$J:$J,T652,'TRA RESID'!$H:$H,U652)/SUMIFS('TRA RESID'!$P:$P,'TRA RESID'!$I:$I,W652)*AE652</f>
        <v>#DIV/0!</v>
      </c>
      <c r="AB652" s="18"/>
      <c r="AC652" s="18"/>
      <c r="AE652" s="21">
        <v>1</v>
      </c>
      <c r="AG652" s="15" t="str">
        <f>IF(AG651="*",AG651,"")</f>
        <v>*</v>
      </c>
      <c r="AH652" s="17" t="str">
        <f t="shared" si="518"/>
        <v>*HEV*</v>
      </c>
      <c r="AI652" s="17" t="str">
        <f t="shared" si="518"/>
        <v>TRABAF</v>
      </c>
      <c r="AJ652" s="17" t="str">
        <f t="shared" si="518"/>
        <v>TRAOTHOFRDMD</v>
      </c>
      <c r="AK652" s="17" t="str">
        <f t="shared" si="518"/>
        <v>TRAOTHOFRDMD</v>
      </c>
      <c r="AL652" s="18">
        <v>2030</v>
      </c>
      <c r="AM652" s="18" t="str">
        <f>AM651</f>
        <v>LO</v>
      </c>
      <c r="AN652" s="18"/>
      <c r="AO652" s="20" t="e">
        <f>-SUMIFS('TRA RESID'!$P:$P,'TRA RESID'!$I:$I,AK652,'TRA RESID'!$J:$J,AH652,'TRA RESID'!$H:$H,AI652)/SUMIFS('TRA RESID'!$P:$P,'TRA RESID'!$I:$I,AK652)*AS652</f>
        <v>#DIV/0!</v>
      </c>
      <c r="AP652" s="18"/>
      <c r="AQ652" s="18"/>
      <c r="AS652" s="21">
        <v>0.5</v>
      </c>
      <c r="AU652" s="15" t="str">
        <f>IF(AU651="*",AU651,"")</f>
        <v>*</v>
      </c>
      <c r="AV652" s="17" t="str">
        <f t="shared" si="519"/>
        <v>*FCEV*</v>
      </c>
      <c r="AW652" s="17" t="str">
        <f t="shared" si="519"/>
        <v>TRABAF</v>
      </c>
      <c r="AX652" s="17" t="str">
        <f t="shared" si="519"/>
        <v>TRAOTHOFRDMD</v>
      </c>
      <c r="AY652" s="17" t="str">
        <f t="shared" si="519"/>
        <v>TRAOTHOFRDMD</v>
      </c>
      <c r="AZ652" s="18">
        <v>2030</v>
      </c>
      <c r="BA652" s="18" t="str">
        <f>BA651</f>
        <v>LO</v>
      </c>
      <c r="BB652" s="18"/>
      <c r="BC652" s="20" t="e">
        <f>-SUMIFS('TRA RESID'!$P:$P,'TRA RESID'!$I:$I,AY652,'TRA RESID'!$J:$J,AV652,'TRA RESID'!$H:$H,AW652)/SUMIFS('TRA RESID'!$P:$P,'TRA RESID'!$I:$I,AY652)*BG652</f>
        <v>#DIV/0!</v>
      </c>
      <c r="BD652" s="18"/>
      <c r="BE652" s="18"/>
      <c r="BG652" s="21">
        <v>0.5</v>
      </c>
    </row>
    <row r="653" spans="1:59" x14ac:dyDescent="0.25">
      <c r="C653" s="15" t="str">
        <f>IF(C652="*",C652,"")</f>
        <v>*</v>
      </c>
      <c r="D653" s="17" t="str">
        <f t="shared" si="516"/>
        <v>*ICEV*</v>
      </c>
      <c r="E653" s="17" t="str">
        <f t="shared" si="516"/>
        <v>TRABAF</v>
      </c>
      <c r="F653" s="17" t="str">
        <f t="shared" si="516"/>
        <v>TRAOTHOFRDMD</v>
      </c>
      <c r="G653" s="17" t="str">
        <f t="shared" si="516"/>
        <v>TRAOTHOFRDMD</v>
      </c>
      <c r="H653" s="18">
        <v>2040</v>
      </c>
      <c r="I653" s="18" t="str">
        <f>I652</f>
        <v>LO</v>
      </c>
      <c r="J653" s="18"/>
      <c r="K653" s="20" t="e">
        <f>-SUMIFS('TRA RESID'!$P:$P,'TRA RESID'!$I:$I,G653,'TRA RESID'!$J:$J,D653,'TRA RESID'!$H:$H,E653)/SUMIFS('TRA RESID'!$P:$P,'TRA RESID'!$I:$I,G653)*O653</f>
        <v>#DIV/0!</v>
      </c>
      <c r="L653" s="18"/>
      <c r="M653" s="18"/>
      <c r="O653" s="21">
        <v>0</v>
      </c>
      <c r="S653" s="15" t="str">
        <f>IF(S652="*",S652,"")</f>
        <v>*</v>
      </c>
      <c r="T653" s="17" t="str">
        <f t="shared" si="517"/>
        <v>*BEV*</v>
      </c>
      <c r="U653" s="17" t="str">
        <f t="shared" si="517"/>
        <v>TRABAF</v>
      </c>
      <c r="V653" s="17" t="str">
        <f t="shared" si="517"/>
        <v>TRAOTHOFRDMD</v>
      </c>
      <c r="W653" s="17" t="str">
        <f t="shared" si="517"/>
        <v>TRAOTHOFRDMD</v>
      </c>
      <c r="X653" s="18">
        <v>2040</v>
      </c>
      <c r="Y653" s="18" t="str">
        <f>Y652</f>
        <v>LO</v>
      </c>
      <c r="Z653" s="18"/>
      <c r="AA653" s="20" t="e">
        <f>-SUMIFS('TRA RESID'!$P:$P,'TRA RESID'!$I:$I,W653,'TRA RESID'!$J:$J,T653,'TRA RESID'!$H:$H,U653)/SUMIFS('TRA RESID'!$P:$P,'TRA RESID'!$I:$I,W653)*AE653</f>
        <v>#DIV/0!</v>
      </c>
      <c r="AB653" s="18"/>
      <c r="AC653" s="18"/>
      <c r="AE653" s="21">
        <v>1</v>
      </c>
      <c r="AG653" s="15" t="str">
        <f>IF(AG652="*",AG652,"")</f>
        <v>*</v>
      </c>
      <c r="AH653" s="17" t="str">
        <f t="shared" si="518"/>
        <v>*HEV*</v>
      </c>
      <c r="AI653" s="17" t="str">
        <f t="shared" si="518"/>
        <v>TRABAF</v>
      </c>
      <c r="AJ653" s="17" t="str">
        <f t="shared" si="518"/>
        <v>TRAOTHOFRDMD</v>
      </c>
      <c r="AK653" s="17" t="str">
        <f t="shared" si="518"/>
        <v>TRAOTHOFRDMD</v>
      </c>
      <c r="AL653" s="18">
        <v>2040</v>
      </c>
      <c r="AM653" s="18" t="str">
        <f>AM652</f>
        <v>LO</v>
      </c>
      <c r="AN653" s="18"/>
      <c r="AO653" s="20" t="e">
        <f>-SUMIFS('TRA RESID'!$P:$P,'TRA RESID'!$I:$I,AK653,'TRA RESID'!$J:$J,AH653,'TRA RESID'!$H:$H,AI653)/SUMIFS('TRA RESID'!$P:$P,'TRA RESID'!$I:$I,AK653)*AS653</f>
        <v>#DIV/0!</v>
      </c>
      <c r="AP653" s="18"/>
      <c r="AQ653" s="18"/>
      <c r="AS653" s="21">
        <v>0</v>
      </c>
      <c r="AU653" s="15" t="str">
        <f>IF(AU652="*",AU652,"")</f>
        <v>*</v>
      </c>
      <c r="AV653" s="17" t="str">
        <f t="shared" si="519"/>
        <v>*FCEV*</v>
      </c>
      <c r="AW653" s="17" t="str">
        <f t="shared" si="519"/>
        <v>TRABAF</v>
      </c>
      <c r="AX653" s="17" t="str">
        <f t="shared" si="519"/>
        <v>TRAOTHOFRDMD</v>
      </c>
      <c r="AY653" s="17" t="str">
        <f t="shared" si="519"/>
        <v>TRAOTHOFRDMD</v>
      </c>
      <c r="AZ653" s="18">
        <v>2040</v>
      </c>
      <c r="BA653" s="18" t="str">
        <f>BA652</f>
        <v>LO</v>
      </c>
      <c r="BB653" s="18"/>
      <c r="BC653" s="20" t="e">
        <f>-SUMIFS('TRA RESID'!$P:$P,'TRA RESID'!$I:$I,AY653,'TRA RESID'!$J:$J,AV653,'TRA RESID'!$H:$H,AW653)/SUMIFS('TRA RESID'!$P:$P,'TRA RESID'!$I:$I,AY653)*BG653</f>
        <v>#DIV/0!</v>
      </c>
      <c r="BD653" s="18"/>
      <c r="BE653" s="18"/>
      <c r="BG653" s="21">
        <v>0</v>
      </c>
    </row>
    <row r="654" spans="1:59" x14ac:dyDescent="0.25">
      <c r="C654" s="23" t="str">
        <f>IF(C653="*",C653,"")</f>
        <v>*</v>
      </c>
      <c r="D654" s="25" t="str">
        <f t="shared" si="516"/>
        <v>*ICEV*</v>
      </c>
      <c r="E654" s="25" t="str">
        <f t="shared" si="516"/>
        <v>TRABAF</v>
      </c>
      <c r="F654" s="25" t="str">
        <f t="shared" si="516"/>
        <v>TRAOTHOFRDMD</v>
      </c>
      <c r="G654" s="25" t="str">
        <f t="shared" si="516"/>
        <v>TRAOTHOFRDMD</v>
      </c>
      <c r="H654" s="26">
        <v>2050</v>
      </c>
      <c r="I654" s="26" t="str">
        <f>I652</f>
        <v>LO</v>
      </c>
      <c r="J654" s="26"/>
      <c r="K654" s="27" t="e">
        <f>-SUMIFS('TRA RESID'!$P:$P,'TRA RESID'!$I:$I,G654,'TRA RESID'!$J:$J,D654,'TRA RESID'!$H:$H,E654)/SUMIFS('TRA RESID'!$P:$P,'TRA RESID'!$I:$I,G654)*O654</f>
        <v>#DIV/0!</v>
      </c>
      <c r="L654" s="26"/>
      <c r="M654" s="26"/>
      <c r="O654" s="28">
        <v>0</v>
      </c>
      <c r="S654" s="23" t="str">
        <f>IF(S653="*",S653,"")</f>
        <v>*</v>
      </c>
      <c r="T654" s="25" t="str">
        <f t="shared" si="517"/>
        <v>*BEV*</v>
      </c>
      <c r="U654" s="25" t="str">
        <f t="shared" si="517"/>
        <v>TRABAF</v>
      </c>
      <c r="V654" s="25" t="str">
        <f t="shared" si="517"/>
        <v>TRAOTHOFRDMD</v>
      </c>
      <c r="W654" s="25" t="str">
        <f t="shared" si="517"/>
        <v>TRAOTHOFRDMD</v>
      </c>
      <c r="X654" s="26">
        <v>2050</v>
      </c>
      <c r="Y654" s="26" t="str">
        <f>Y652</f>
        <v>LO</v>
      </c>
      <c r="Z654" s="26"/>
      <c r="AA654" s="27" t="e">
        <f>-SUMIFS('TRA RESID'!$P:$P,'TRA RESID'!$I:$I,W654,'TRA RESID'!$J:$J,T654,'TRA RESID'!$H:$H,U654)/SUMIFS('TRA RESID'!$P:$P,'TRA RESID'!$I:$I,W654)*AE654</f>
        <v>#DIV/0!</v>
      </c>
      <c r="AB654" s="26"/>
      <c r="AC654" s="26"/>
      <c r="AE654" s="28">
        <v>1</v>
      </c>
      <c r="AG654" s="23" t="str">
        <f>IF(AG653="*",AG653,"")</f>
        <v>*</v>
      </c>
      <c r="AH654" s="25" t="str">
        <f t="shared" si="518"/>
        <v>*HEV*</v>
      </c>
      <c r="AI654" s="25" t="str">
        <f t="shared" si="518"/>
        <v>TRABAF</v>
      </c>
      <c r="AJ654" s="25" t="str">
        <f t="shared" si="518"/>
        <v>TRAOTHOFRDMD</v>
      </c>
      <c r="AK654" s="25" t="str">
        <f t="shared" si="518"/>
        <v>TRAOTHOFRDMD</v>
      </c>
      <c r="AL654" s="26">
        <v>2050</v>
      </c>
      <c r="AM654" s="26" t="str">
        <f>AM652</f>
        <v>LO</v>
      </c>
      <c r="AN654" s="26"/>
      <c r="AO654" s="27" t="e">
        <f>-SUMIFS('TRA RESID'!$P:$P,'TRA RESID'!$I:$I,AK654,'TRA RESID'!$J:$J,AH654,'TRA RESID'!$H:$H,AI654)/SUMIFS('TRA RESID'!$P:$P,'TRA RESID'!$I:$I,AK654)*AS654</f>
        <v>#DIV/0!</v>
      </c>
      <c r="AP654" s="26"/>
      <c r="AQ654" s="26"/>
      <c r="AS654" s="28">
        <v>0</v>
      </c>
      <c r="AU654" s="23" t="str">
        <f>IF(AU653="*",AU653,"")</f>
        <v>*</v>
      </c>
      <c r="AV654" s="25" t="str">
        <f t="shared" si="519"/>
        <v>*FCEV*</v>
      </c>
      <c r="AW654" s="25" t="str">
        <f t="shared" si="519"/>
        <v>TRABAF</v>
      </c>
      <c r="AX654" s="25" t="str">
        <f t="shared" si="519"/>
        <v>TRAOTHOFRDMD</v>
      </c>
      <c r="AY654" s="25" t="str">
        <f t="shared" si="519"/>
        <v>TRAOTHOFRDMD</v>
      </c>
      <c r="AZ654" s="26">
        <v>2050</v>
      </c>
      <c r="BA654" s="26" t="str">
        <f>BA652</f>
        <v>LO</v>
      </c>
      <c r="BB654" s="26"/>
      <c r="BC654" s="27" t="e">
        <f>-SUMIFS('TRA RESID'!$P:$P,'TRA RESID'!$I:$I,AY654,'TRA RESID'!$J:$J,AV654,'TRA RESID'!$H:$H,AW654)/SUMIFS('TRA RESID'!$P:$P,'TRA RESID'!$I:$I,AY654)*BG654</f>
        <v>#DIV/0!</v>
      </c>
      <c r="BD654" s="26"/>
      <c r="BE654" s="26"/>
      <c r="BG654" s="28">
        <v>0</v>
      </c>
    </row>
    <row r="655" spans="1:59" x14ac:dyDescent="0.25">
      <c r="A655">
        <f>A650+1</f>
        <v>131</v>
      </c>
      <c r="C655" s="15" t="str">
        <f>IF(E655="","",IF(_xlfn.XLOOKUP($A655,Selected_constraint!$A:$A,Selected_constraint!$D:$D)=1,"*",IF(SUMIFS('TRA TECH'!$M:$M,'TRA TECH'!$H:$H,E655,'TRA TECH'!$I:$I,F655)=0,"*",IF(SUMIFS('TRA RESID'!$P:$P,'TRA RESID'!$I:$I,G655,'TRA RESID'!$J:$J,D655,'TRA RESID'!$H:$H,E655)=0,"*","UC_"&amp;SUBSTITUTE(D655,"*","")&amp;"_"&amp;RIGHT(E655,3)&amp;"_"&amp;F655))))</f>
        <v>*</v>
      </c>
      <c r="D655" s="17" t="s">
        <v>485</v>
      </c>
      <c r="E655" s="17" t="str">
        <f>_xlfn.XLOOKUP($A655,Selected_constraint!$A:$A,Selected_constraint!$B:$B)</f>
        <v>TRAH2G</v>
      </c>
      <c r="F655" s="17" t="str">
        <f>_xlfn.XLOOKUP($A655,Selected_constraint!$A:$A,Selected_constraint!$C:$C)</f>
        <v>TRAOTHOFRDMD</v>
      </c>
      <c r="G655" s="17" t="str">
        <f>F655</f>
        <v>TRAOTHOFRDMD</v>
      </c>
      <c r="H655" s="18">
        <v>2019</v>
      </c>
      <c r="I655" s="18" t="s">
        <v>483</v>
      </c>
      <c r="J655" s="18">
        <v>1</v>
      </c>
      <c r="K655" s="20" t="e">
        <f>-SUMIFS('TRA RESID'!$P:$P,'TRA RESID'!$I:$I,G655,'TRA RESID'!$J:$J,D655,'TRA RESID'!$H:$H,E655)/SUMIFS('TRA RESID'!$P:$P,'TRA RESID'!$I:$I,G655)*O655</f>
        <v>#DIV/0!</v>
      </c>
      <c r="L655" s="18">
        <v>0</v>
      </c>
      <c r="M655" s="18">
        <v>5</v>
      </c>
      <c r="O655" s="21">
        <v>0.98</v>
      </c>
      <c r="Q655">
        <f>Q650+1</f>
        <v>131</v>
      </c>
      <c r="S655" s="15" t="str">
        <f>IF(SUMIFS('TRA RESID'!$P:$P,'TRA RESID'!$I:$I,W655,'TRA RESID'!$J:$J,T655,'TRA RESID'!$H:$H,U655)=0,"*","UC_"&amp;SUBSTITUTE(T655,"*","")&amp;"_"&amp;RIGHT(U655,3)&amp;"_"&amp;V655)</f>
        <v>*</v>
      </c>
      <c r="T655" s="17" t="s">
        <v>486</v>
      </c>
      <c r="U655" s="17" t="str">
        <f>_xlfn.XLOOKUP($A655,Selected_constraint!$A:$A,Selected_constraint!$B:$B)</f>
        <v>TRAH2G</v>
      </c>
      <c r="V655" s="17" t="str">
        <f>_xlfn.XLOOKUP($A655,Selected_constraint!$A:$A,Selected_constraint!$C:$C)</f>
        <v>TRAOTHOFRDMD</v>
      </c>
      <c r="W655" s="17" t="str">
        <f>V655</f>
        <v>TRAOTHOFRDMD</v>
      </c>
      <c r="X655" s="18">
        <v>2019</v>
      </c>
      <c r="Y655" s="18" t="s">
        <v>483</v>
      </c>
      <c r="Z655" s="18">
        <v>1</v>
      </c>
      <c r="AA655" s="20" t="e">
        <f>-SUMIFS('TRA RESID'!$P:$P,'TRA RESID'!$I:$I,W655,'TRA RESID'!$J:$J,T655,'TRA RESID'!$H:$H,U655)/SUMIFS('TRA RESID'!$P:$P,'TRA RESID'!$I:$I,W655)*AE655</f>
        <v>#DIV/0!</v>
      </c>
      <c r="AB655" s="18">
        <v>0</v>
      </c>
      <c r="AC655" s="18">
        <v>5</v>
      </c>
      <c r="AE655" s="21">
        <v>0.98</v>
      </c>
      <c r="AG655" s="15" t="str">
        <f>IF(SUMIFS('TRA RESID'!$P:$P,'TRA RESID'!$I:$I,AK655,'TRA RESID'!$J:$J,AH655,'TRA RESID'!$H:$H,AI655)=0,"*","UC_"&amp;SUBSTITUTE(AH655,"*","")&amp;"_"&amp;RIGHT(AI655,3)&amp;"_"&amp;AJ655)</f>
        <v>*</v>
      </c>
      <c r="AH655" s="17" t="s">
        <v>487</v>
      </c>
      <c r="AI655" s="17" t="str">
        <f>_xlfn.XLOOKUP($A655,Selected_constraint!$A:$A,Selected_constraint!$B:$B)</f>
        <v>TRAH2G</v>
      </c>
      <c r="AJ655" s="17" t="str">
        <f>_xlfn.XLOOKUP($A655,Selected_constraint!$A:$A,Selected_constraint!$C:$C)</f>
        <v>TRAOTHOFRDMD</v>
      </c>
      <c r="AK655" s="17" t="str">
        <f>AJ655</f>
        <v>TRAOTHOFRDMD</v>
      </c>
      <c r="AL655" s="18">
        <v>2019</v>
      </c>
      <c r="AM655" s="18" t="s">
        <v>483</v>
      </c>
      <c r="AN655" s="18">
        <v>1</v>
      </c>
      <c r="AO655" s="20" t="e">
        <f>-SUMIFS('TRA RESID'!$P:$P,'TRA RESID'!$I:$I,AK655,'TRA RESID'!$J:$J,AH655,'TRA RESID'!$H:$H,AI655)/SUMIFS('TRA RESID'!$P:$P,'TRA RESID'!$I:$I,AK655)*AS655</f>
        <v>#DIV/0!</v>
      </c>
      <c r="AP655" s="18">
        <v>0</v>
      </c>
      <c r="AQ655" s="18">
        <v>5</v>
      </c>
      <c r="AS655" s="21">
        <v>0.98</v>
      </c>
      <c r="AU655" s="15" t="str">
        <f>IF(SUMIFS('TRA RESID'!$P:$P,'TRA RESID'!$I:$I,AY655,'TRA RESID'!$J:$J,AV655,'TRA RESID'!$H:$H,AW655)=0,"*","UC_"&amp;SUBSTITUTE(AV655,"*","")&amp;"_"&amp;RIGHT(AW655,3)&amp;"_"&amp;AX655)</f>
        <v>*</v>
      </c>
      <c r="AV655" s="17" t="s">
        <v>488</v>
      </c>
      <c r="AW655" s="17" t="str">
        <f>_xlfn.XLOOKUP($A655,Selected_constraint!$A:$A,Selected_constraint!$B:$B)</f>
        <v>TRAH2G</v>
      </c>
      <c r="AX655" s="17" t="str">
        <f>_xlfn.XLOOKUP($A655,Selected_constraint!$A:$A,Selected_constraint!$C:$C)</f>
        <v>TRAOTHOFRDMD</v>
      </c>
      <c r="AY655" s="17" t="str">
        <f>AX655</f>
        <v>TRAOTHOFRDMD</v>
      </c>
      <c r="AZ655" s="18">
        <v>2019</v>
      </c>
      <c r="BA655" s="18" t="s">
        <v>483</v>
      </c>
      <c r="BB655" s="18">
        <v>1</v>
      </c>
      <c r="BC655" s="20" t="e">
        <f>-SUMIFS('TRA RESID'!$P:$P,'TRA RESID'!$I:$I,AY655,'TRA RESID'!$J:$J,AV655,'TRA RESID'!$H:$H,AW655)/SUMIFS('TRA RESID'!$P:$P,'TRA RESID'!$I:$I,AY655)*BG655</f>
        <v>#DIV/0!</v>
      </c>
      <c r="BD655" s="18">
        <v>0</v>
      </c>
      <c r="BE655" s="18">
        <v>5</v>
      </c>
      <c r="BG655" s="21">
        <v>0.98</v>
      </c>
    </row>
    <row r="656" spans="1:59" x14ac:dyDescent="0.25">
      <c r="C656" s="15" t="str">
        <f>IF(C655="*",C655,"")</f>
        <v>*</v>
      </c>
      <c r="D656" s="17" t="str">
        <f t="shared" ref="D656:G659" si="520">D655</f>
        <v>*ICEV*</v>
      </c>
      <c r="E656" s="17" t="str">
        <f t="shared" si="520"/>
        <v>TRAH2G</v>
      </c>
      <c r="F656" s="17" t="str">
        <f t="shared" si="520"/>
        <v>TRAOTHOFRDMD</v>
      </c>
      <c r="G656" s="17" t="str">
        <f t="shared" si="520"/>
        <v>TRAOTHOFRDMD</v>
      </c>
      <c r="H656" s="18">
        <v>2025</v>
      </c>
      <c r="I656" s="18" t="str">
        <f>I655</f>
        <v>LO</v>
      </c>
      <c r="J656" s="18"/>
      <c r="K656" s="20" t="e">
        <f>-SUMIFS('TRA RESID'!$P:$P,'TRA RESID'!$I:$I,G656,'TRA RESID'!$J:$J,D656,'TRA RESID'!$H:$H,E656)/SUMIFS('TRA RESID'!$P:$P,'TRA RESID'!$I:$I,G656)*O656</f>
        <v>#DIV/0!</v>
      </c>
      <c r="L656" s="18"/>
      <c r="M656" s="18"/>
      <c r="O656" s="21">
        <v>0.8</v>
      </c>
      <c r="S656" s="15" t="str">
        <f>IF(S655="*",S655,"")</f>
        <v>*</v>
      </c>
      <c r="T656" s="17" t="str">
        <f t="shared" ref="T656:W659" si="521">T655</f>
        <v>*BEV*</v>
      </c>
      <c r="U656" s="17" t="str">
        <f t="shared" si="521"/>
        <v>TRAH2G</v>
      </c>
      <c r="V656" s="17" t="str">
        <f t="shared" si="521"/>
        <v>TRAOTHOFRDMD</v>
      </c>
      <c r="W656" s="17" t="str">
        <f t="shared" si="521"/>
        <v>TRAOTHOFRDMD</v>
      </c>
      <c r="X656" s="18">
        <v>2025</v>
      </c>
      <c r="Y656" s="18" t="str">
        <f>Y655</f>
        <v>LO</v>
      </c>
      <c r="Z656" s="18"/>
      <c r="AA656" s="20" t="e">
        <f>-SUMIFS('TRA RESID'!$P:$P,'TRA RESID'!$I:$I,W656,'TRA RESID'!$J:$J,T656,'TRA RESID'!$H:$H,U656)/SUMIFS('TRA RESID'!$P:$P,'TRA RESID'!$I:$I,W656)*AE656</f>
        <v>#DIV/0!</v>
      </c>
      <c r="AB656" s="18"/>
      <c r="AC656" s="18"/>
      <c r="AE656" s="21">
        <v>1</v>
      </c>
      <c r="AG656" s="15" t="str">
        <f>IF(AG655="*",AG655,"")</f>
        <v>*</v>
      </c>
      <c r="AH656" s="17" t="str">
        <f t="shared" ref="AH656:AK659" si="522">AH655</f>
        <v>*HEV*</v>
      </c>
      <c r="AI656" s="17" t="str">
        <f t="shared" si="522"/>
        <v>TRAH2G</v>
      </c>
      <c r="AJ656" s="17" t="str">
        <f t="shared" si="522"/>
        <v>TRAOTHOFRDMD</v>
      </c>
      <c r="AK656" s="17" t="str">
        <f t="shared" si="522"/>
        <v>TRAOTHOFRDMD</v>
      </c>
      <c r="AL656" s="18">
        <v>2025</v>
      </c>
      <c r="AM656" s="18" t="str">
        <f>AM655</f>
        <v>LO</v>
      </c>
      <c r="AN656" s="18"/>
      <c r="AO656" s="20" t="e">
        <f>-SUMIFS('TRA RESID'!$P:$P,'TRA RESID'!$I:$I,AK656,'TRA RESID'!$J:$J,AH656,'TRA RESID'!$H:$H,AI656)/SUMIFS('TRA RESID'!$P:$P,'TRA RESID'!$I:$I,AK656)*AS656</f>
        <v>#DIV/0!</v>
      </c>
      <c r="AP656" s="18"/>
      <c r="AQ656" s="18"/>
      <c r="AS656" s="21">
        <v>0.8</v>
      </c>
      <c r="AU656" s="15" t="str">
        <f>IF(AU655="*",AU655,"")</f>
        <v>*</v>
      </c>
      <c r="AV656" s="17" t="str">
        <f t="shared" ref="AV656:AY659" si="523">AV655</f>
        <v>*FCEV*</v>
      </c>
      <c r="AW656" s="17" t="str">
        <f t="shared" si="523"/>
        <v>TRAH2G</v>
      </c>
      <c r="AX656" s="17" t="str">
        <f t="shared" si="523"/>
        <v>TRAOTHOFRDMD</v>
      </c>
      <c r="AY656" s="17" t="str">
        <f t="shared" si="523"/>
        <v>TRAOTHOFRDMD</v>
      </c>
      <c r="AZ656" s="18">
        <v>2025</v>
      </c>
      <c r="BA656" s="18" t="str">
        <f>BA655</f>
        <v>LO</v>
      </c>
      <c r="BB656" s="18"/>
      <c r="BC656" s="20" t="e">
        <f>-SUMIFS('TRA RESID'!$P:$P,'TRA RESID'!$I:$I,AY656,'TRA RESID'!$J:$J,AV656,'TRA RESID'!$H:$H,AW656)/SUMIFS('TRA RESID'!$P:$P,'TRA RESID'!$I:$I,AY656)*BG656</f>
        <v>#DIV/0!</v>
      </c>
      <c r="BD656" s="18"/>
      <c r="BE656" s="18"/>
      <c r="BG656" s="21">
        <v>0.8</v>
      </c>
    </row>
    <row r="657" spans="1:59" x14ac:dyDescent="0.25">
      <c r="C657" s="15" t="str">
        <f>IF(C656="*",C656,"")</f>
        <v>*</v>
      </c>
      <c r="D657" s="17" t="str">
        <f t="shared" si="520"/>
        <v>*ICEV*</v>
      </c>
      <c r="E657" s="17" t="str">
        <f t="shared" si="520"/>
        <v>TRAH2G</v>
      </c>
      <c r="F657" s="17" t="str">
        <f t="shared" si="520"/>
        <v>TRAOTHOFRDMD</v>
      </c>
      <c r="G657" s="17" t="str">
        <f t="shared" si="520"/>
        <v>TRAOTHOFRDMD</v>
      </c>
      <c r="H657" s="18">
        <v>2030</v>
      </c>
      <c r="I657" s="18" t="str">
        <f>I656</f>
        <v>LO</v>
      </c>
      <c r="J657" s="18"/>
      <c r="K657" s="20" t="e">
        <f>-SUMIFS('TRA RESID'!$P:$P,'TRA RESID'!$I:$I,G657,'TRA RESID'!$J:$J,D657,'TRA RESID'!$H:$H,E657)/SUMIFS('TRA RESID'!$P:$P,'TRA RESID'!$I:$I,G657)*O657</f>
        <v>#DIV/0!</v>
      </c>
      <c r="L657" s="18"/>
      <c r="M657" s="18"/>
      <c r="O657" s="21">
        <v>0.5</v>
      </c>
      <c r="S657" s="15" t="str">
        <f>IF(S656="*",S656,"")</f>
        <v>*</v>
      </c>
      <c r="T657" s="17" t="str">
        <f t="shared" si="521"/>
        <v>*BEV*</v>
      </c>
      <c r="U657" s="17" t="str">
        <f t="shared" si="521"/>
        <v>TRAH2G</v>
      </c>
      <c r="V657" s="17" t="str">
        <f t="shared" si="521"/>
        <v>TRAOTHOFRDMD</v>
      </c>
      <c r="W657" s="17" t="str">
        <f t="shared" si="521"/>
        <v>TRAOTHOFRDMD</v>
      </c>
      <c r="X657" s="18">
        <v>2030</v>
      </c>
      <c r="Y657" s="18" t="str">
        <f>Y656</f>
        <v>LO</v>
      </c>
      <c r="Z657" s="18"/>
      <c r="AA657" s="20" t="e">
        <f>-SUMIFS('TRA RESID'!$P:$P,'TRA RESID'!$I:$I,W657,'TRA RESID'!$J:$J,T657,'TRA RESID'!$H:$H,U657)/SUMIFS('TRA RESID'!$P:$P,'TRA RESID'!$I:$I,W657)*AE657</f>
        <v>#DIV/0!</v>
      </c>
      <c r="AB657" s="18"/>
      <c r="AC657" s="18"/>
      <c r="AE657" s="21">
        <v>1</v>
      </c>
      <c r="AG657" s="15" t="str">
        <f>IF(AG656="*",AG656,"")</f>
        <v>*</v>
      </c>
      <c r="AH657" s="17" t="str">
        <f t="shared" si="522"/>
        <v>*HEV*</v>
      </c>
      <c r="AI657" s="17" t="str">
        <f t="shared" si="522"/>
        <v>TRAH2G</v>
      </c>
      <c r="AJ657" s="17" t="str">
        <f t="shared" si="522"/>
        <v>TRAOTHOFRDMD</v>
      </c>
      <c r="AK657" s="17" t="str">
        <f t="shared" si="522"/>
        <v>TRAOTHOFRDMD</v>
      </c>
      <c r="AL657" s="18">
        <v>2030</v>
      </c>
      <c r="AM657" s="18" t="str">
        <f>AM656</f>
        <v>LO</v>
      </c>
      <c r="AN657" s="18"/>
      <c r="AO657" s="20" t="e">
        <f>-SUMIFS('TRA RESID'!$P:$P,'TRA RESID'!$I:$I,AK657,'TRA RESID'!$J:$J,AH657,'TRA RESID'!$H:$H,AI657)/SUMIFS('TRA RESID'!$P:$P,'TRA RESID'!$I:$I,AK657)*AS657</f>
        <v>#DIV/0!</v>
      </c>
      <c r="AP657" s="18"/>
      <c r="AQ657" s="18"/>
      <c r="AS657" s="21">
        <v>0.5</v>
      </c>
      <c r="AU657" s="15" t="str">
        <f>IF(AU656="*",AU656,"")</f>
        <v>*</v>
      </c>
      <c r="AV657" s="17" t="str">
        <f t="shared" si="523"/>
        <v>*FCEV*</v>
      </c>
      <c r="AW657" s="17" t="str">
        <f t="shared" si="523"/>
        <v>TRAH2G</v>
      </c>
      <c r="AX657" s="17" t="str">
        <f t="shared" si="523"/>
        <v>TRAOTHOFRDMD</v>
      </c>
      <c r="AY657" s="17" t="str">
        <f t="shared" si="523"/>
        <v>TRAOTHOFRDMD</v>
      </c>
      <c r="AZ657" s="18">
        <v>2030</v>
      </c>
      <c r="BA657" s="18" t="str">
        <f>BA656</f>
        <v>LO</v>
      </c>
      <c r="BB657" s="18"/>
      <c r="BC657" s="20" t="e">
        <f>-SUMIFS('TRA RESID'!$P:$P,'TRA RESID'!$I:$I,AY657,'TRA RESID'!$J:$J,AV657,'TRA RESID'!$H:$H,AW657)/SUMIFS('TRA RESID'!$P:$P,'TRA RESID'!$I:$I,AY657)*BG657</f>
        <v>#DIV/0!</v>
      </c>
      <c r="BD657" s="18"/>
      <c r="BE657" s="18"/>
      <c r="BG657" s="21">
        <v>0.5</v>
      </c>
    </row>
    <row r="658" spans="1:59" x14ac:dyDescent="0.25">
      <c r="C658" s="15" t="str">
        <f>IF(C657="*",C657,"")</f>
        <v>*</v>
      </c>
      <c r="D658" s="17" t="str">
        <f t="shared" si="520"/>
        <v>*ICEV*</v>
      </c>
      <c r="E658" s="17" t="str">
        <f t="shared" si="520"/>
        <v>TRAH2G</v>
      </c>
      <c r="F658" s="17" t="str">
        <f t="shared" si="520"/>
        <v>TRAOTHOFRDMD</v>
      </c>
      <c r="G658" s="17" t="str">
        <f t="shared" si="520"/>
        <v>TRAOTHOFRDMD</v>
      </c>
      <c r="H658" s="18">
        <v>2040</v>
      </c>
      <c r="I658" s="18" t="str">
        <f>I657</f>
        <v>LO</v>
      </c>
      <c r="J658" s="18"/>
      <c r="K658" s="20" t="e">
        <f>-SUMIFS('TRA RESID'!$P:$P,'TRA RESID'!$I:$I,G658,'TRA RESID'!$J:$J,D658,'TRA RESID'!$H:$H,E658)/SUMIFS('TRA RESID'!$P:$P,'TRA RESID'!$I:$I,G658)*O658</f>
        <v>#DIV/0!</v>
      </c>
      <c r="L658" s="18"/>
      <c r="M658" s="18"/>
      <c r="O658" s="21">
        <v>0</v>
      </c>
      <c r="S658" s="15" t="str">
        <f>IF(S657="*",S657,"")</f>
        <v>*</v>
      </c>
      <c r="T658" s="17" t="str">
        <f t="shared" si="521"/>
        <v>*BEV*</v>
      </c>
      <c r="U658" s="17" t="str">
        <f t="shared" si="521"/>
        <v>TRAH2G</v>
      </c>
      <c r="V658" s="17" t="str">
        <f t="shared" si="521"/>
        <v>TRAOTHOFRDMD</v>
      </c>
      <c r="W658" s="17" t="str">
        <f t="shared" si="521"/>
        <v>TRAOTHOFRDMD</v>
      </c>
      <c r="X658" s="18">
        <v>2040</v>
      </c>
      <c r="Y658" s="18" t="str">
        <f>Y657</f>
        <v>LO</v>
      </c>
      <c r="Z658" s="18"/>
      <c r="AA658" s="20" t="e">
        <f>-SUMIFS('TRA RESID'!$P:$P,'TRA RESID'!$I:$I,W658,'TRA RESID'!$J:$J,T658,'TRA RESID'!$H:$H,U658)/SUMIFS('TRA RESID'!$P:$P,'TRA RESID'!$I:$I,W658)*AE658</f>
        <v>#DIV/0!</v>
      </c>
      <c r="AB658" s="18"/>
      <c r="AC658" s="18"/>
      <c r="AE658" s="21">
        <v>1</v>
      </c>
      <c r="AG658" s="15" t="str">
        <f>IF(AG657="*",AG657,"")</f>
        <v>*</v>
      </c>
      <c r="AH658" s="17" t="str">
        <f t="shared" si="522"/>
        <v>*HEV*</v>
      </c>
      <c r="AI658" s="17" t="str">
        <f t="shared" si="522"/>
        <v>TRAH2G</v>
      </c>
      <c r="AJ658" s="17" t="str">
        <f t="shared" si="522"/>
        <v>TRAOTHOFRDMD</v>
      </c>
      <c r="AK658" s="17" t="str">
        <f t="shared" si="522"/>
        <v>TRAOTHOFRDMD</v>
      </c>
      <c r="AL658" s="18">
        <v>2040</v>
      </c>
      <c r="AM658" s="18" t="str">
        <f>AM657</f>
        <v>LO</v>
      </c>
      <c r="AN658" s="18"/>
      <c r="AO658" s="20" t="e">
        <f>-SUMIFS('TRA RESID'!$P:$P,'TRA RESID'!$I:$I,AK658,'TRA RESID'!$J:$J,AH658,'TRA RESID'!$H:$H,AI658)/SUMIFS('TRA RESID'!$P:$P,'TRA RESID'!$I:$I,AK658)*AS658</f>
        <v>#DIV/0!</v>
      </c>
      <c r="AP658" s="18"/>
      <c r="AQ658" s="18"/>
      <c r="AS658" s="21">
        <v>0</v>
      </c>
      <c r="AU658" s="15" t="str">
        <f>IF(AU657="*",AU657,"")</f>
        <v>*</v>
      </c>
      <c r="AV658" s="17" t="str">
        <f t="shared" si="523"/>
        <v>*FCEV*</v>
      </c>
      <c r="AW658" s="17" t="str">
        <f t="shared" si="523"/>
        <v>TRAH2G</v>
      </c>
      <c r="AX658" s="17" t="str">
        <f t="shared" si="523"/>
        <v>TRAOTHOFRDMD</v>
      </c>
      <c r="AY658" s="17" t="str">
        <f t="shared" si="523"/>
        <v>TRAOTHOFRDMD</v>
      </c>
      <c r="AZ658" s="18">
        <v>2040</v>
      </c>
      <c r="BA658" s="18" t="str">
        <f>BA657</f>
        <v>LO</v>
      </c>
      <c r="BB658" s="18"/>
      <c r="BC658" s="20" t="e">
        <f>-SUMIFS('TRA RESID'!$P:$P,'TRA RESID'!$I:$I,AY658,'TRA RESID'!$J:$J,AV658,'TRA RESID'!$H:$H,AW658)/SUMIFS('TRA RESID'!$P:$P,'TRA RESID'!$I:$I,AY658)*BG658</f>
        <v>#DIV/0!</v>
      </c>
      <c r="BD658" s="18"/>
      <c r="BE658" s="18"/>
      <c r="BG658" s="21">
        <v>0</v>
      </c>
    </row>
    <row r="659" spans="1:59" x14ac:dyDescent="0.25">
      <c r="C659" s="23" t="str">
        <f>IF(C658="*",C658,"")</f>
        <v>*</v>
      </c>
      <c r="D659" s="25" t="str">
        <f t="shared" si="520"/>
        <v>*ICEV*</v>
      </c>
      <c r="E659" s="25" t="str">
        <f t="shared" si="520"/>
        <v>TRAH2G</v>
      </c>
      <c r="F659" s="25" t="str">
        <f t="shared" si="520"/>
        <v>TRAOTHOFRDMD</v>
      </c>
      <c r="G659" s="25" t="str">
        <f t="shared" si="520"/>
        <v>TRAOTHOFRDMD</v>
      </c>
      <c r="H659" s="26">
        <v>2050</v>
      </c>
      <c r="I659" s="26" t="str">
        <f>I657</f>
        <v>LO</v>
      </c>
      <c r="J659" s="26"/>
      <c r="K659" s="27" t="e">
        <f>-SUMIFS('TRA RESID'!$P:$P,'TRA RESID'!$I:$I,G659,'TRA RESID'!$J:$J,D659,'TRA RESID'!$H:$H,E659)/SUMIFS('TRA RESID'!$P:$P,'TRA RESID'!$I:$I,G659)*O659</f>
        <v>#DIV/0!</v>
      </c>
      <c r="L659" s="26"/>
      <c r="M659" s="26"/>
      <c r="O659" s="28">
        <v>0</v>
      </c>
      <c r="S659" s="23" t="str">
        <f>IF(S658="*",S658,"")</f>
        <v>*</v>
      </c>
      <c r="T659" s="25" t="str">
        <f t="shared" si="521"/>
        <v>*BEV*</v>
      </c>
      <c r="U659" s="25" t="str">
        <f t="shared" si="521"/>
        <v>TRAH2G</v>
      </c>
      <c r="V659" s="25" t="str">
        <f t="shared" si="521"/>
        <v>TRAOTHOFRDMD</v>
      </c>
      <c r="W659" s="25" t="str">
        <f t="shared" si="521"/>
        <v>TRAOTHOFRDMD</v>
      </c>
      <c r="X659" s="26">
        <v>2050</v>
      </c>
      <c r="Y659" s="26" t="str">
        <f>Y657</f>
        <v>LO</v>
      </c>
      <c r="Z659" s="26"/>
      <c r="AA659" s="27" t="e">
        <f>-SUMIFS('TRA RESID'!$P:$P,'TRA RESID'!$I:$I,W659,'TRA RESID'!$J:$J,T659,'TRA RESID'!$H:$H,U659)/SUMIFS('TRA RESID'!$P:$P,'TRA RESID'!$I:$I,W659)*AE659</f>
        <v>#DIV/0!</v>
      </c>
      <c r="AB659" s="26"/>
      <c r="AC659" s="26"/>
      <c r="AE659" s="28">
        <v>1</v>
      </c>
      <c r="AG659" s="23" t="str">
        <f>IF(AG658="*",AG658,"")</f>
        <v>*</v>
      </c>
      <c r="AH659" s="25" t="str">
        <f t="shared" si="522"/>
        <v>*HEV*</v>
      </c>
      <c r="AI659" s="25" t="str">
        <f t="shared" si="522"/>
        <v>TRAH2G</v>
      </c>
      <c r="AJ659" s="25" t="str">
        <f t="shared" si="522"/>
        <v>TRAOTHOFRDMD</v>
      </c>
      <c r="AK659" s="25" t="str">
        <f t="shared" si="522"/>
        <v>TRAOTHOFRDMD</v>
      </c>
      <c r="AL659" s="26">
        <v>2050</v>
      </c>
      <c r="AM659" s="26" t="str">
        <f>AM657</f>
        <v>LO</v>
      </c>
      <c r="AN659" s="26"/>
      <c r="AO659" s="27" t="e">
        <f>-SUMIFS('TRA RESID'!$P:$P,'TRA RESID'!$I:$I,AK659,'TRA RESID'!$J:$J,AH659,'TRA RESID'!$H:$H,AI659)/SUMIFS('TRA RESID'!$P:$P,'TRA RESID'!$I:$I,AK659)*AS659</f>
        <v>#DIV/0!</v>
      </c>
      <c r="AP659" s="26"/>
      <c r="AQ659" s="26"/>
      <c r="AS659" s="28">
        <v>0</v>
      </c>
      <c r="AU659" s="23" t="str">
        <f>IF(AU658="*",AU658,"")</f>
        <v>*</v>
      </c>
      <c r="AV659" s="25" t="str">
        <f t="shared" si="523"/>
        <v>*FCEV*</v>
      </c>
      <c r="AW659" s="25" t="str">
        <f t="shared" si="523"/>
        <v>TRAH2G</v>
      </c>
      <c r="AX659" s="25" t="str">
        <f t="shared" si="523"/>
        <v>TRAOTHOFRDMD</v>
      </c>
      <c r="AY659" s="25" t="str">
        <f t="shared" si="523"/>
        <v>TRAOTHOFRDMD</v>
      </c>
      <c r="AZ659" s="26">
        <v>2050</v>
      </c>
      <c r="BA659" s="26" t="str">
        <f>BA657</f>
        <v>LO</v>
      </c>
      <c r="BB659" s="26"/>
      <c r="BC659" s="27" t="e">
        <f>-SUMIFS('TRA RESID'!$P:$P,'TRA RESID'!$I:$I,AY659,'TRA RESID'!$J:$J,AV659,'TRA RESID'!$H:$H,AW659)/SUMIFS('TRA RESID'!$P:$P,'TRA RESID'!$I:$I,AY659)*BG659</f>
        <v>#DIV/0!</v>
      </c>
      <c r="BD659" s="26"/>
      <c r="BE659" s="26"/>
      <c r="BG659" s="28">
        <v>0</v>
      </c>
    </row>
    <row r="660" spans="1:59" x14ac:dyDescent="0.25">
      <c r="A660">
        <f>A655+1</f>
        <v>132</v>
      </c>
      <c r="C660" s="15" t="str">
        <f>IF(E660="","",IF(_xlfn.XLOOKUP($A660,Selected_constraint!$A:$A,Selected_constraint!$D:$D)=1,"*",IF(SUMIFS('TRA TECH'!$M:$M,'TRA TECH'!$H:$H,E660,'TRA TECH'!$I:$I,F660)=0,"*",IF(SUMIFS('TRA RESID'!$P:$P,'TRA RESID'!$I:$I,G660,'TRA RESID'!$J:$J,D660,'TRA RESID'!$H:$H,E660)=0,"*","UC_"&amp;SUBSTITUTE(D660,"*","")&amp;"_"&amp;RIGHT(E660,3)&amp;"_"&amp;F660))))</f>
        <v>*</v>
      </c>
      <c r="D660" s="17" t="s">
        <v>485</v>
      </c>
      <c r="E660" s="17" t="str">
        <f>_xlfn.XLOOKUP($A660,Selected_constraint!$A:$A,Selected_constraint!$B:$B)</f>
        <v>TRAGSL</v>
      </c>
      <c r="F660" s="17" t="str">
        <f>_xlfn.XLOOKUP($A660,Selected_constraint!$A:$A,Selected_constraint!$C:$C)</f>
        <v>TRAOTHWATDMD</v>
      </c>
      <c r="G660" s="17" t="str">
        <f>F660</f>
        <v>TRAOTHWATDMD</v>
      </c>
      <c r="H660" s="18">
        <v>2019</v>
      </c>
      <c r="I660" s="18" t="s">
        <v>483</v>
      </c>
      <c r="J660" s="18">
        <v>1</v>
      </c>
      <c r="K660" s="20">
        <f>-SUMIFS('TRA RESID'!$P:$P,'TRA RESID'!$I:$I,G660,'TRA RESID'!$J:$J,D660,'TRA RESID'!$H:$H,E660)/SUMIFS('TRA RESID'!$P:$P,'TRA RESID'!$I:$I,G660)*O660</f>
        <v>0</v>
      </c>
      <c r="L660" s="18">
        <v>0</v>
      </c>
      <c r="M660" s="18">
        <v>5</v>
      </c>
      <c r="O660" s="21">
        <v>0.98</v>
      </c>
      <c r="Q660">
        <f>Q655+1</f>
        <v>132</v>
      </c>
      <c r="S660" s="15" t="str">
        <f>IF(SUMIFS('TRA RESID'!$P:$P,'TRA RESID'!$I:$I,W660,'TRA RESID'!$J:$J,T660,'TRA RESID'!$H:$H,U660)=0,"*","UC_"&amp;SUBSTITUTE(T660,"*","")&amp;"_"&amp;RIGHT(U660,3)&amp;"_"&amp;V660)</f>
        <v>*</v>
      </c>
      <c r="T660" s="17" t="s">
        <v>486</v>
      </c>
      <c r="U660" s="17" t="str">
        <f>_xlfn.XLOOKUP($A660,Selected_constraint!$A:$A,Selected_constraint!$B:$B)</f>
        <v>TRAGSL</v>
      </c>
      <c r="V660" s="17" t="str">
        <f>_xlfn.XLOOKUP($A660,Selected_constraint!$A:$A,Selected_constraint!$C:$C)</f>
        <v>TRAOTHWATDMD</v>
      </c>
      <c r="W660" s="17" t="str">
        <f>V660</f>
        <v>TRAOTHWATDMD</v>
      </c>
      <c r="X660" s="18">
        <v>2019</v>
      </c>
      <c r="Y660" s="18" t="s">
        <v>483</v>
      </c>
      <c r="Z660" s="18">
        <v>1</v>
      </c>
      <c r="AA660" s="20">
        <f>-SUMIFS('TRA RESID'!$P:$P,'TRA RESID'!$I:$I,W660,'TRA RESID'!$J:$J,T660,'TRA RESID'!$H:$H,U660)/SUMIFS('TRA RESID'!$P:$P,'TRA RESID'!$I:$I,W660)*AE660</f>
        <v>0</v>
      </c>
      <c r="AB660" s="18">
        <v>0</v>
      </c>
      <c r="AC660" s="18">
        <v>5</v>
      </c>
      <c r="AE660" s="21">
        <v>0.98</v>
      </c>
      <c r="AG660" s="15" t="str">
        <f>IF(SUMIFS('TRA RESID'!$P:$P,'TRA RESID'!$I:$I,AK660,'TRA RESID'!$J:$J,AH660,'TRA RESID'!$H:$H,AI660)=0,"*","UC_"&amp;SUBSTITUTE(AH660,"*","")&amp;"_"&amp;RIGHT(AI660,3)&amp;"_"&amp;AJ660)</f>
        <v>*</v>
      </c>
      <c r="AH660" s="17" t="s">
        <v>487</v>
      </c>
      <c r="AI660" s="17" t="str">
        <f>_xlfn.XLOOKUP($A660,Selected_constraint!$A:$A,Selected_constraint!$B:$B)</f>
        <v>TRAGSL</v>
      </c>
      <c r="AJ660" s="17" t="str">
        <f>_xlfn.XLOOKUP($A660,Selected_constraint!$A:$A,Selected_constraint!$C:$C)</f>
        <v>TRAOTHWATDMD</v>
      </c>
      <c r="AK660" s="17" t="str">
        <f>AJ660</f>
        <v>TRAOTHWATDMD</v>
      </c>
      <c r="AL660" s="18">
        <v>2019</v>
      </c>
      <c r="AM660" s="18" t="s">
        <v>483</v>
      </c>
      <c r="AN660" s="18">
        <v>1</v>
      </c>
      <c r="AO660" s="20">
        <f>-SUMIFS('TRA RESID'!$P:$P,'TRA RESID'!$I:$I,AK660,'TRA RESID'!$J:$J,AH660,'TRA RESID'!$H:$H,AI660)/SUMIFS('TRA RESID'!$P:$P,'TRA RESID'!$I:$I,AK660)*AS660</f>
        <v>0</v>
      </c>
      <c r="AP660" s="18">
        <v>0</v>
      </c>
      <c r="AQ660" s="18">
        <v>5</v>
      </c>
      <c r="AS660" s="21">
        <v>0.98</v>
      </c>
      <c r="AU660" s="15" t="str">
        <f>IF(SUMIFS('TRA RESID'!$P:$P,'TRA RESID'!$I:$I,AY660,'TRA RESID'!$J:$J,AV660,'TRA RESID'!$H:$H,AW660)=0,"*","UC_"&amp;SUBSTITUTE(AV660,"*","")&amp;"_"&amp;RIGHT(AW660,3)&amp;"_"&amp;AX660)</f>
        <v>*</v>
      </c>
      <c r="AV660" s="17" t="s">
        <v>488</v>
      </c>
      <c r="AW660" s="17" t="str">
        <f>_xlfn.XLOOKUP($A660,Selected_constraint!$A:$A,Selected_constraint!$B:$B)</f>
        <v>TRAGSL</v>
      </c>
      <c r="AX660" s="17" t="str">
        <f>_xlfn.XLOOKUP($A660,Selected_constraint!$A:$A,Selected_constraint!$C:$C)</f>
        <v>TRAOTHWATDMD</v>
      </c>
      <c r="AY660" s="17" t="str">
        <f>AX660</f>
        <v>TRAOTHWATDMD</v>
      </c>
      <c r="AZ660" s="18">
        <v>2019</v>
      </c>
      <c r="BA660" s="18" t="s">
        <v>483</v>
      </c>
      <c r="BB660" s="18">
        <v>1</v>
      </c>
      <c r="BC660" s="20">
        <f>-SUMIFS('TRA RESID'!$P:$P,'TRA RESID'!$I:$I,AY660,'TRA RESID'!$J:$J,AV660,'TRA RESID'!$H:$H,AW660)/SUMIFS('TRA RESID'!$P:$P,'TRA RESID'!$I:$I,AY660)*BG660</f>
        <v>0</v>
      </c>
      <c r="BD660" s="18">
        <v>0</v>
      </c>
      <c r="BE660" s="18">
        <v>5</v>
      </c>
      <c r="BG660" s="21">
        <v>0.98</v>
      </c>
    </row>
    <row r="661" spans="1:59" x14ac:dyDescent="0.25">
      <c r="C661" s="15" t="str">
        <f>IF(C660="*",C660,"")</f>
        <v>*</v>
      </c>
      <c r="D661" s="17" t="str">
        <f t="shared" ref="D661:G664" si="524">D660</f>
        <v>*ICEV*</v>
      </c>
      <c r="E661" s="17" t="str">
        <f t="shared" si="524"/>
        <v>TRAGSL</v>
      </c>
      <c r="F661" s="17" t="str">
        <f t="shared" si="524"/>
        <v>TRAOTHWATDMD</v>
      </c>
      <c r="G661" s="17" t="str">
        <f t="shared" si="524"/>
        <v>TRAOTHWATDMD</v>
      </c>
      <c r="H661" s="18">
        <v>2025</v>
      </c>
      <c r="I661" s="18" t="str">
        <f>I660</f>
        <v>LO</v>
      </c>
      <c r="J661" s="18"/>
      <c r="K661" s="20">
        <f>-SUMIFS('TRA RESID'!$P:$P,'TRA RESID'!$I:$I,G661,'TRA RESID'!$J:$J,D661,'TRA RESID'!$H:$H,E661)/SUMIFS('TRA RESID'!$P:$P,'TRA RESID'!$I:$I,G661)*O661</f>
        <v>0</v>
      </c>
      <c r="L661" s="18"/>
      <c r="M661" s="18"/>
      <c r="O661" s="21">
        <v>0.8</v>
      </c>
      <c r="S661" s="15" t="str">
        <f>IF(S660="*",S660,"")</f>
        <v>*</v>
      </c>
      <c r="T661" s="17" t="str">
        <f t="shared" ref="T661:W664" si="525">T660</f>
        <v>*BEV*</v>
      </c>
      <c r="U661" s="17" t="str">
        <f t="shared" si="525"/>
        <v>TRAGSL</v>
      </c>
      <c r="V661" s="17" t="str">
        <f t="shared" si="525"/>
        <v>TRAOTHWATDMD</v>
      </c>
      <c r="W661" s="17" t="str">
        <f t="shared" si="525"/>
        <v>TRAOTHWATDMD</v>
      </c>
      <c r="X661" s="18">
        <v>2025</v>
      </c>
      <c r="Y661" s="18" t="str">
        <f>Y660</f>
        <v>LO</v>
      </c>
      <c r="Z661" s="18"/>
      <c r="AA661" s="20">
        <f>-SUMIFS('TRA RESID'!$P:$P,'TRA RESID'!$I:$I,W661,'TRA RESID'!$J:$J,T661,'TRA RESID'!$H:$H,U661)/SUMIFS('TRA RESID'!$P:$P,'TRA RESID'!$I:$I,W661)*AE661</f>
        <v>0</v>
      </c>
      <c r="AB661" s="18"/>
      <c r="AC661" s="18"/>
      <c r="AE661" s="21">
        <v>1</v>
      </c>
      <c r="AG661" s="15" t="str">
        <f>IF(AG660="*",AG660,"")</f>
        <v>*</v>
      </c>
      <c r="AH661" s="17" t="str">
        <f t="shared" ref="AH661:AK664" si="526">AH660</f>
        <v>*HEV*</v>
      </c>
      <c r="AI661" s="17" t="str">
        <f t="shared" si="526"/>
        <v>TRAGSL</v>
      </c>
      <c r="AJ661" s="17" t="str">
        <f t="shared" si="526"/>
        <v>TRAOTHWATDMD</v>
      </c>
      <c r="AK661" s="17" t="str">
        <f t="shared" si="526"/>
        <v>TRAOTHWATDMD</v>
      </c>
      <c r="AL661" s="18">
        <v>2025</v>
      </c>
      <c r="AM661" s="18" t="str">
        <f>AM660</f>
        <v>LO</v>
      </c>
      <c r="AN661" s="18"/>
      <c r="AO661" s="20">
        <f>-SUMIFS('TRA RESID'!$P:$P,'TRA RESID'!$I:$I,AK661,'TRA RESID'!$J:$J,AH661,'TRA RESID'!$H:$H,AI661)/SUMIFS('TRA RESID'!$P:$P,'TRA RESID'!$I:$I,AK661)*AS661</f>
        <v>0</v>
      </c>
      <c r="AP661" s="18"/>
      <c r="AQ661" s="18"/>
      <c r="AS661" s="21">
        <v>0.8</v>
      </c>
      <c r="AU661" s="15" t="str">
        <f>IF(AU660="*",AU660,"")</f>
        <v>*</v>
      </c>
      <c r="AV661" s="17" t="str">
        <f t="shared" ref="AV661:AY664" si="527">AV660</f>
        <v>*FCEV*</v>
      </c>
      <c r="AW661" s="17" t="str">
        <f t="shared" si="527"/>
        <v>TRAGSL</v>
      </c>
      <c r="AX661" s="17" t="str">
        <f t="shared" si="527"/>
        <v>TRAOTHWATDMD</v>
      </c>
      <c r="AY661" s="17" t="str">
        <f t="shared" si="527"/>
        <v>TRAOTHWATDMD</v>
      </c>
      <c r="AZ661" s="18">
        <v>2025</v>
      </c>
      <c r="BA661" s="18" t="str">
        <f>BA660</f>
        <v>LO</v>
      </c>
      <c r="BB661" s="18"/>
      <c r="BC661" s="20">
        <f>-SUMIFS('TRA RESID'!$P:$P,'TRA RESID'!$I:$I,AY661,'TRA RESID'!$J:$J,AV661,'TRA RESID'!$H:$H,AW661)/SUMIFS('TRA RESID'!$P:$P,'TRA RESID'!$I:$I,AY661)*BG661</f>
        <v>0</v>
      </c>
      <c r="BD661" s="18"/>
      <c r="BE661" s="18"/>
      <c r="BG661" s="21">
        <v>0.8</v>
      </c>
    </row>
    <row r="662" spans="1:59" x14ac:dyDescent="0.25">
      <c r="C662" s="15" t="str">
        <f>IF(C661="*",C661,"")</f>
        <v>*</v>
      </c>
      <c r="D662" s="17" t="str">
        <f t="shared" si="524"/>
        <v>*ICEV*</v>
      </c>
      <c r="E662" s="17" t="str">
        <f t="shared" si="524"/>
        <v>TRAGSL</v>
      </c>
      <c r="F662" s="17" t="str">
        <f t="shared" si="524"/>
        <v>TRAOTHWATDMD</v>
      </c>
      <c r="G662" s="17" t="str">
        <f t="shared" si="524"/>
        <v>TRAOTHWATDMD</v>
      </c>
      <c r="H662" s="18">
        <v>2030</v>
      </c>
      <c r="I662" s="18" t="str">
        <f>I661</f>
        <v>LO</v>
      </c>
      <c r="J662" s="18"/>
      <c r="K662" s="20">
        <f>-SUMIFS('TRA RESID'!$P:$P,'TRA RESID'!$I:$I,G662,'TRA RESID'!$J:$J,D662,'TRA RESID'!$H:$H,E662)/SUMIFS('TRA RESID'!$P:$P,'TRA RESID'!$I:$I,G662)*O662</f>
        <v>0</v>
      </c>
      <c r="L662" s="18"/>
      <c r="M662" s="18"/>
      <c r="O662" s="21">
        <v>0.5</v>
      </c>
      <c r="S662" s="15" t="str">
        <f>IF(S661="*",S661,"")</f>
        <v>*</v>
      </c>
      <c r="T662" s="17" t="str">
        <f t="shared" si="525"/>
        <v>*BEV*</v>
      </c>
      <c r="U662" s="17" t="str">
        <f t="shared" si="525"/>
        <v>TRAGSL</v>
      </c>
      <c r="V662" s="17" t="str">
        <f t="shared" si="525"/>
        <v>TRAOTHWATDMD</v>
      </c>
      <c r="W662" s="17" t="str">
        <f t="shared" si="525"/>
        <v>TRAOTHWATDMD</v>
      </c>
      <c r="X662" s="18">
        <v>2030</v>
      </c>
      <c r="Y662" s="18" t="str">
        <f>Y661</f>
        <v>LO</v>
      </c>
      <c r="Z662" s="18"/>
      <c r="AA662" s="20">
        <f>-SUMIFS('TRA RESID'!$P:$P,'TRA RESID'!$I:$I,W662,'TRA RESID'!$J:$J,T662,'TRA RESID'!$H:$H,U662)/SUMIFS('TRA RESID'!$P:$P,'TRA RESID'!$I:$I,W662)*AE662</f>
        <v>0</v>
      </c>
      <c r="AB662" s="18"/>
      <c r="AC662" s="18"/>
      <c r="AE662" s="21">
        <v>1</v>
      </c>
      <c r="AG662" s="15" t="str">
        <f>IF(AG661="*",AG661,"")</f>
        <v>*</v>
      </c>
      <c r="AH662" s="17" t="str">
        <f t="shared" si="526"/>
        <v>*HEV*</v>
      </c>
      <c r="AI662" s="17" t="str">
        <f t="shared" si="526"/>
        <v>TRAGSL</v>
      </c>
      <c r="AJ662" s="17" t="str">
        <f t="shared" si="526"/>
        <v>TRAOTHWATDMD</v>
      </c>
      <c r="AK662" s="17" t="str">
        <f t="shared" si="526"/>
        <v>TRAOTHWATDMD</v>
      </c>
      <c r="AL662" s="18">
        <v>2030</v>
      </c>
      <c r="AM662" s="18" t="str">
        <f>AM661</f>
        <v>LO</v>
      </c>
      <c r="AN662" s="18"/>
      <c r="AO662" s="20">
        <f>-SUMIFS('TRA RESID'!$P:$P,'TRA RESID'!$I:$I,AK662,'TRA RESID'!$J:$J,AH662,'TRA RESID'!$H:$H,AI662)/SUMIFS('TRA RESID'!$P:$P,'TRA RESID'!$I:$I,AK662)*AS662</f>
        <v>0</v>
      </c>
      <c r="AP662" s="18"/>
      <c r="AQ662" s="18"/>
      <c r="AS662" s="21">
        <v>0.5</v>
      </c>
      <c r="AU662" s="15" t="str">
        <f>IF(AU661="*",AU661,"")</f>
        <v>*</v>
      </c>
      <c r="AV662" s="17" t="str">
        <f t="shared" si="527"/>
        <v>*FCEV*</v>
      </c>
      <c r="AW662" s="17" t="str">
        <f t="shared" si="527"/>
        <v>TRAGSL</v>
      </c>
      <c r="AX662" s="17" t="str">
        <f t="shared" si="527"/>
        <v>TRAOTHWATDMD</v>
      </c>
      <c r="AY662" s="17" t="str">
        <f t="shared" si="527"/>
        <v>TRAOTHWATDMD</v>
      </c>
      <c r="AZ662" s="18">
        <v>2030</v>
      </c>
      <c r="BA662" s="18" t="str">
        <f>BA661</f>
        <v>LO</v>
      </c>
      <c r="BB662" s="18"/>
      <c r="BC662" s="20">
        <f>-SUMIFS('TRA RESID'!$P:$P,'TRA RESID'!$I:$I,AY662,'TRA RESID'!$J:$J,AV662,'TRA RESID'!$H:$H,AW662)/SUMIFS('TRA RESID'!$P:$P,'TRA RESID'!$I:$I,AY662)*BG662</f>
        <v>0</v>
      </c>
      <c r="BD662" s="18"/>
      <c r="BE662" s="18"/>
      <c r="BG662" s="21">
        <v>0.5</v>
      </c>
    </row>
    <row r="663" spans="1:59" x14ac:dyDescent="0.25">
      <c r="C663" s="15" t="str">
        <f>IF(C662="*",C662,"")</f>
        <v>*</v>
      </c>
      <c r="D663" s="17" t="str">
        <f t="shared" si="524"/>
        <v>*ICEV*</v>
      </c>
      <c r="E663" s="17" t="str">
        <f t="shared" si="524"/>
        <v>TRAGSL</v>
      </c>
      <c r="F663" s="17" t="str">
        <f t="shared" si="524"/>
        <v>TRAOTHWATDMD</v>
      </c>
      <c r="G663" s="17" t="str">
        <f t="shared" si="524"/>
        <v>TRAOTHWATDMD</v>
      </c>
      <c r="H663" s="18">
        <v>2040</v>
      </c>
      <c r="I663" s="18" t="str">
        <f>I662</f>
        <v>LO</v>
      </c>
      <c r="J663" s="18"/>
      <c r="K663" s="20">
        <f>-SUMIFS('TRA RESID'!$P:$P,'TRA RESID'!$I:$I,G663,'TRA RESID'!$J:$J,D663,'TRA RESID'!$H:$H,E663)/SUMIFS('TRA RESID'!$P:$P,'TRA RESID'!$I:$I,G663)*O663</f>
        <v>0</v>
      </c>
      <c r="L663" s="18"/>
      <c r="M663" s="18"/>
      <c r="O663" s="21">
        <v>0</v>
      </c>
      <c r="S663" s="15" t="str">
        <f>IF(S662="*",S662,"")</f>
        <v>*</v>
      </c>
      <c r="T663" s="17" t="str">
        <f t="shared" si="525"/>
        <v>*BEV*</v>
      </c>
      <c r="U663" s="17" t="str">
        <f t="shared" si="525"/>
        <v>TRAGSL</v>
      </c>
      <c r="V663" s="17" t="str">
        <f t="shared" si="525"/>
        <v>TRAOTHWATDMD</v>
      </c>
      <c r="W663" s="17" t="str">
        <f t="shared" si="525"/>
        <v>TRAOTHWATDMD</v>
      </c>
      <c r="X663" s="18">
        <v>2040</v>
      </c>
      <c r="Y663" s="18" t="str">
        <f>Y662</f>
        <v>LO</v>
      </c>
      <c r="Z663" s="18"/>
      <c r="AA663" s="20">
        <f>-SUMIFS('TRA RESID'!$P:$P,'TRA RESID'!$I:$I,W663,'TRA RESID'!$J:$J,T663,'TRA RESID'!$H:$H,U663)/SUMIFS('TRA RESID'!$P:$P,'TRA RESID'!$I:$I,W663)*AE663</f>
        <v>0</v>
      </c>
      <c r="AB663" s="18"/>
      <c r="AC663" s="18"/>
      <c r="AE663" s="21">
        <v>1</v>
      </c>
      <c r="AG663" s="15" t="str">
        <f>IF(AG662="*",AG662,"")</f>
        <v>*</v>
      </c>
      <c r="AH663" s="17" t="str">
        <f t="shared" si="526"/>
        <v>*HEV*</v>
      </c>
      <c r="AI663" s="17" t="str">
        <f t="shared" si="526"/>
        <v>TRAGSL</v>
      </c>
      <c r="AJ663" s="17" t="str">
        <f t="shared" si="526"/>
        <v>TRAOTHWATDMD</v>
      </c>
      <c r="AK663" s="17" t="str">
        <f t="shared" si="526"/>
        <v>TRAOTHWATDMD</v>
      </c>
      <c r="AL663" s="18">
        <v>2040</v>
      </c>
      <c r="AM663" s="18" t="str">
        <f>AM662</f>
        <v>LO</v>
      </c>
      <c r="AN663" s="18"/>
      <c r="AO663" s="20">
        <f>-SUMIFS('TRA RESID'!$P:$P,'TRA RESID'!$I:$I,AK663,'TRA RESID'!$J:$J,AH663,'TRA RESID'!$H:$H,AI663)/SUMIFS('TRA RESID'!$P:$P,'TRA RESID'!$I:$I,AK663)*AS663</f>
        <v>0</v>
      </c>
      <c r="AP663" s="18"/>
      <c r="AQ663" s="18"/>
      <c r="AS663" s="21">
        <v>0</v>
      </c>
      <c r="AU663" s="15" t="str">
        <f>IF(AU662="*",AU662,"")</f>
        <v>*</v>
      </c>
      <c r="AV663" s="17" t="str">
        <f t="shared" si="527"/>
        <v>*FCEV*</v>
      </c>
      <c r="AW663" s="17" t="str">
        <f t="shared" si="527"/>
        <v>TRAGSL</v>
      </c>
      <c r="AX663" s="17" t="str">
        <f t="shared" si="527"/>
        <v>TRAOTHWATDMD</v>
      </c>
      <c r="AY663" s="17" t="str">
        <f t="shared" si="527"/>
        <v>TRAOTHWATDMD</v>
      </c>
      <c r="AZ663" s="18">
        <v>2040</v>
      </c>
      <c r="BA663" s="18" t="str">
        <f>BA662</f>
        <v>LO</v>
      </c>
      <c r="BB663" s="18"/>
      <c r="BC663" s="20">
        <f>-SUMIFS('TRA RESID'!$P:$P,'TRA RESID'!$I:$I,AY663,'TRA RESID'!$J:$J,AV663,'TRA RESID'!$H:$H,AW663)/SUMIFS('TRA RESID'!$P:$P,'TRA RESID'!$I:$I,AY663)*BG663</f>
        <v>0</v>
      </c>
      <c r="BD663" s="18"/>
      <c r="BE663" s="18"/>
      <c r="BG663" s="21">
        <v>0</v>
      </c>
    </row>
    <row r="664" spans="1:59" x14ac:dyDescent="0.25">
      <c r="C664" s="23" t="str">
        <f>IF(C663="*",C663,"")</f>
        <v>*</v>
      </c>
      <c r="D664" s="25" t="str">
        <f t="shared" si="524"/>
        <v>*ICEV*</v>
      </c>
      <c r="E664" s="25" t="str">
        <f t="shared" si="524"/>
        <v>TRAGSL</v>
      </c>
      <c r="F664" s="25" t="str">
        <f t="shared" si="524"/>
        <v>TRAOTHWATDMD</v>
      </c>
      <c r="G664" s="25" t="str">
        <f t="shared" si="524"/>
        <v>TRAOTHWATDMD</v>
      </c>
      <c r="H664" s="26">
        <v>2050</v>
      </c>
      <c r="I664" s="26" t="str">
        <f>I662</f>
        <v>LO</v>
      </c>
      <c r="J664" s="26"/>
      <c r="K664" s="27">
        <f>-SUMIFS('TRA RESID'!$P:$P,'TRA RESID'!$I:$I,G664,'TRA RESID'!$J:$J,D664,'TRA RESID'!$H:$H,E664)/SUMIFS('TRA RESID'!$P:$P,'TRA RESID'!$I:$I,G664)*O664</f>
        <v>0</v>
      </c>
      <c r="L664" s="26"/>
      <c r="M664" s="26"/>
      <c r="O664" s="28">
        <v>0</v>
      </c>
      <c r="S664" s="23" t="str">
        <f>IF(S663="*",S663,"")</f>
        <v>*</v>
      </c>
      <c r="T664" s="25" t="str">
        <f t="shared" si="525"/>
        <v>*BEV*</v>
      </c>
      <c r="U664" s="25" t="str">
        <f t="shared" si="525"/>
        <v>TRAGSL</v>
      </c>
      <c r="V664" s="25" t="str">
        <f t="shared" si="525"/>
        <v>TRAOTHWATDMD</v>
      </c>
      <c r="W664" s="25" t="str">
        <f t="shared" si="525"/>
        <v>TRAOTHWATDMD</v>
      </c>
      <c r="X664" s="26">
        <v>2050</v>
      </c>
      <c r="Y664" s="26" t="str">
        <f>Y662</f>
        <v>LO</v>
      </c>
      <c r="Z664" s="26"/>
      <c r="AA664" s="27">
        <f>-SUMIFS('TRA RESID'!$P:$P,'TRA RESID'!$I:$I,W664,'TRA RESID'!$J:$J,T664,'TRA RESID'!$H:$H,U664)/SUMIFS('TRA RESID'!$P:$P,'TRA RESID'!$I:$I,W664)*AE664</f>
        <v>0</v>
      </c>
      <c r="AB664" s="26"/>
      <c r="AC664" s="26"/>
      <c r="AE664" s="28">
        <v>1</v>
      </c>
      <c r="AG664" s="23" t="str">
        <f>IF(AG663="*",AG663,"")</f>
        <v>*</v>
      </c>
      <c r="AH664" s="25" t="str">
        <f t="shared" si="526"/>
        <v>*HEV*</v>
      </c>
      <c r="AI664" s="25" t="str">
        <f t="shared" si="526"/>
        <v>TRAGSL</v>
      </c>
      <c r="AJ664" s="25" t="str">
        <f t="shared" si="526"/>
        <v>TRAOTHWATDMD</v>
      </c>
      <c r="AK664" s="25" t="str">
        <f t="shared" si="526"/>
        <v>TRAOTHWATDMD</v>
      </c>
      <c r="AL664" s="26">
        <v>2050</v>
      </c>
      <c r="AM664" s="26" t="str">
        <f>AM662</f>
        <v>LO</v>
      </c>
      <c r="AN664" s="26"/>
      <c r="AO664" s="27">
        <f>-SUMIFS('TRA RESID'!$P:$P,'TRA RESID'!$I:$I,AK664,'TRA RESID'!$J:$J,AH664,'TRA RESID'!$H:$H,AI664)/SUMIFS('TRA RESID'!$P:$P,'TRA RESID'!$I:$I,AK664)*AS664</f>
        <v>0</v>
      </c>
      <c r="AP664" s="26"/>
      <c r="AQ664" s="26"/>
      <c r="AS664" s="28">
        <v>0</v>
      </c>
      <c r="AU664" s="23" t="str">
        <f>IF(AU663="*",AU663,"")</f>
        <v>*</v>
      </c>
      <c r="AV664" s="25" t="str">
        <f t="shared" si="527"/>
        <v>*FCEV*</v>
      </c>
      <c r="AW664" s="25" t="str">
        <f t="shared" si="527"/>
        <v>TRAGSL</v>
      </c>
      <c r="AX664" s="25" t="str">
        <f t="shared" si="527"/>
        <v>TRAOTHWATDMD</v>
      </c>
      <c r="AY664" s="25" t="str">
        <f t="shared" si="527"/>
        <v>TRAOTHWATDMD</v>
      </c>
      <c r="AZ664" s="26">
        <v>2050</v>
      </c>
      <c r="BA664" s="26" t="str">
        <f>BA662</f>
        <v>LO</v>
      </c>
      <c r="BB664" s="26"/>
      <c r="BC664" s="27">
        <f>-SUMIFS('TRA RESID'!$P:$P,'TRA RESID'!$I:$I,AY664,'TRA RESID'!$J:$J,AV664,'TRA RESID'!$H:$H,AW664)/SUMIFS('TRA RESID'!$P:$P,'TRA RESID'!$I:$I,AY664)*BG664</f>
        <v>0</v>
      </c>
      <c r="BD664" s="26"/>
      <c r="BE664" s="26"/>
      <c r="BG664" s="28">
        <v>0</v>
      </c>
    </row>
    <row r="665" spans="1:59" x14ac:dyDescent="0.25">
      <c r="A665">
        <f>A660+1</f>
        <v>133</v>
      </c>
      <c r="C665" s="15" t="str">
        <f>IF(E665="","",IF(_xlfn.XLOOKUP($A665,Selected_constraint!$A:$A,Selected_constraint!$D:$D)=1,"*",IF(SUMIFS('TRA TECH'!$M:$M,'TRA TECH'!$H:$H,E665,'TRA TECH'!$I:$I,F665)=0,"*",IF(SUMIFS('TRA RESID'!$P:$P,'TRA RESID'!$I:$I,G665,'TRA RESID'!$J:$J,D665,'TRA RESID'!$H:$H,E665)=0,"*","UC_"&amp;SUBSTITUTE(D665,"*","")&amp;"_"&amp;RIGHT(E665,3)&amp;"_"&amp;F665))))</f>
        <v>*</v>
      </c>
      <c r="D665" s="17" t="s">
        <v>485</v>
      </c>
      <c r="E665" s="17" t="str">
        <f>_xlfn.XLOOKUP($A665,Selected_constraint!$A:$A,Selected_constraint!$B:$B)</f>
        <v>TRAETH</v>
      </c>
      <c r="F665" s="17" t="str">
        <f>_xlfn.XLOOKUP($A665,Selected_constraint!$A:$A,Selected_constraint!$C:$C)</f>
        <v>TRAOTHWATDMD</v>
      </c>
      <c r="G665" s="17" t="str">
        <f>F665</f>
        <v>TRAOTHWATDMD</v>
      </c>
      <c r="H665" s="18">
        <v>2019</v>
      </c>
      <c r="I665" s="18" t="s">
        <v>483</v>
      </c>
      <c r="J665" s="18">
        <v>1</v>
      </c>
      <c r="K665" s="20">
        <f>-SUMIFS('TRA RESID'!$P:$P,'TRA RESID'!$I:$I,G665,'TRA RESID'!$J:$J,D665,'TRA RESID'!$H:$H,E665)/SUMIFS('TRA RESID'!$P:$P,'TRA RESID'!$I:$I,G665)*O665</f>
        <v>0</v>
      </c>
      <c r="L665" s="18">
        <v>0</v>
      </c>
      <c r="M665" s="18">
        <v>5</v>
      </c>
      <c r="O665" s="21">
        <v>0.98</v>
      </c>
      <c r="Q665">
        <f>Q660+1</f>
        <v>133</v>
      </c>
      <c r="S665" s="15" t="str">
        <f>IF(SUMIFS('TRA RESID'!$P:$P,'TRA RESID'!$I:$I,W665,'TRA RESID'!$J:$J,T665,'TRA RESID'!$H:$H,U665)=0,"*","UC_"&amp;SUBSTITUTE(T665,"*","")&amp;"_"&amp;RIGHT(U665,3)&amp;"_"&amp;V665)</f>
        <v>*</v>
      </c>
      <c r="T665" s="17" t="s">
        <v>486</v>
      </c>
      <c r="U665" s="17" t="str">
        <f>_xlfn.XLOOKUP($A665,Selected_constraint!$A:$A,Selected_constraint!$B:$B)</f>
        <v>TRAETH</v>
      </c>
      <c r="V665" s="17" t="str">
        <f>_xlfn.XLOOKUP($A665,Selected_constraint!$A:$A,Selected_constraint!$C:$C)</f>
        <v>TRAOTHWATDMD</v>
      </c>
      <c r="W665" s="17" t="str">
        <f>V665</f>
        <v>TRAOTHWATDMD</v>
      </c>
      <c r="X665" s="18">
        <v>2019</v>
      </c>
      <c r="Y665" s="18" t="s">
        <v>483</v>
      </c>
      <c r="Z665" s="18">
        <v>1</v>
      </c>
      <c r="AA665" s="20">
        <f>-SUMIFS('TRA RESID'!$P:$P,'TRA RESID'!$I:$I,W665,'TRA RESID'!$J:$J,T665,'TRA RESID'!$H:$H,U665)/SUMIFS('TRA RESID'!$P:$P,'TRA RESID'!$I:$I,W665)*AE665</f>
        <v>0</v>
      </c>
      <c r="AB665" s="18">
        <v>0</v>
      </c>
      <c r="AC665" s="18">
        <v>5</v>
      </c>
      <c r="AE665" s="21">
        <v>0.98</v>
      </c>
      <c r="AG665" s="15" t="str">
        <f>IF(SUMIFS('TRA RESID'!$P:$P,'TRA RESID'!$I:$I,AK665,'TRA RESID'!$J:$J,AH665,'TRA RESID'!$H:$H,AI665)=0,"*","UC_"&amp;SUBSTITUTE(AH665,"*","")&amp;"_"&amp;RIGHT(AI665,3)&amp;"_"&amp;AJ665)</f>
        <v>*</v>
      </c>
      <c r="AH665" s="17" t="s">
        <v>487</v>
      </c>
      <c r="AI665" s="17" t="str">
        <f>_xlfn.XLOOKUP($A665,Selected_constraint!$A:$A,Selected_constraint!$B:$B)</f>
        <v>TRAETH</v>
      </c>
      <c r="AJ665" s="17" t="str">
        <f>_xlfn.XLOOKUP($A665,Selected_constraint!$A:$A,Selected_constraint!$C:$C)</f>
        <v>TRAOTHWATDMD</v>
      </c>
      <c r="AK665" s="17" t="str">
        <f>AJ665</f>
        <v>TRAOTHWATDMD</v>
      </c>
      <c r="AL665" s="18">
        <v>2019</v>
      </c>
      <c r="AM665" s="18" t="s">
        <v>483</v>
      </c>
      <c r="AN665" s="18">
        <v>1</v>
      </c>
      <c r="AO665" s="20">
        <f>-SUMIFS('TRA RESID'!$P:$P,'TRA RESID'!$I:$I,AK665,'TRA RESID'!$J:$J,AH665,'TRA RESID'!$H:$H,AI665)/SUMIFS('TRA RESID'!$P:$P,'TRA RESID'!$I:$I,AK665)*AS665</f>
        <v>0</v>
      </c>
      <c r="AP665" s="18">
        <v>0</v>
      </c>
      <c r="AQ665" s="18">
        <v>5</v>
      </c>
      <c r="AS665" s="21">
        <v>0.98</v>
      </c>
      <c r="AU665" s="15" t="str">
        <f>IF(SUMIFS('TRA RESID'!$P:$P,'TRA RESID'!$I:$I,AY665,'TRA RESID'!$J:$J,AV665,'TRA RESID'!$H:$H,AW665)=0,"*","UC_"&amp;SUBSTITUTE(AV665,"*","")&amp;"_"&amp;RIGHT(AW665,3)&amp;"_"&amp;AX665)</f>
        <v>*</v>
      </c>
      <c r="AV665" s="17" t="s">
        <v>488</v>
      </c>
      <c r="AW665" s="17" t="str">
        <f>_xlfn.XLOOKUP($A665,Selected_constraint!$A:$A,Selected_constraint!$B:$B)</f>
        <v>TRAETH</v>
      </c>
      <c r="AX665" s="17" t="str">
        <f>_xlfn.XLOOKUP($A665,Selected_constraint!$A:$A,Selected_constraint!$C:$C)</f>
        <v>TRAOTHWATDMD</v>
      </c>
      <c r="AY665" s="17" t="str">
        <f>AX665</f>
        <v>TRAOTHWATDMD</v>
      </c>
      <c r="AZ665" s="18">
        <v>2019</v>
      </c>
      <c r="BA665" s="18" t="s">
        <v>483</v>
      </c>
      <c r="BB665" s="18">
        <v>1</v>
      </c>
      <c r="BC665" s="20">
        <f>-SUMIFS('TRA RESID'!$P:$P,'TRA RESID'!$I:$I,AY665,'TRA RESID'!$J:$J,AV665,'TRA RESID'!$H:$H,AW665)/SUMIFS('TRA RESID'!$P:$P,'TRA RESID'!$I:$I,AY665)*BG665</f>
        <v>0</v>
      </c>
      <c r="BD665" s="18">
        <v>0</v>
      </c>
      <c r="BE665" s="18">
        <v>5</v>
      </c>
      <c r="BG665" s="21">
        <v>0.98</v>
      </c>
    </row>
    <row r="666" spans="1:59" x14ac:dyDescent="0.25">
      <c r="C666" s="15" t="str">
        <f>IF(C665="*",C665,"")</f>
        <v>*</v>
      </c>
      <c r="D666" s="17" t="str">
        <f t="shared" ref="D666:G669" si="528">D665</f>
        <v>*ICEV*</v>
      </c>
      <c r="E666" s="17" t="str">
        <f t="shared" si="528"/>
        <v>TRAETH</v>
      </c>
      <c r="F666" s="17" t="str">
        <f t="shared" si="528"/>
        <v>TRAOTHWATDMD</v>
      </c>
      <c r="G666" s="17" t="str">
        <f t="shared" si="528"/>
        <v>TRAOTHWATDMD</v>
      </c>
      <c r="H666" s="18">
        <v>2025</v>
      </c>
      <c r="I666" s="18" t="str">
        <f>I665</f>
        <v>LO</v>
      </c>
      <c r="J666" s="18"/>
      <c r="K666" s="20">
        <f>-SUMIFS('TRA RESID'!$P:$P,'TRA RESID'!$I:$I,G666,'TRA RESID'!$J:$J,D666,'TRA RESID'!$H:$H,E666)/SUMIFS('TRA RESID'!$P:$P,'TRA RESID'!$I:$I,G666)*O666</f>
        <v>0</v>
      </c>
      <c r="L666" s="18"/>
      <c r="M666" s="18"/>
      <c r="O666" s="21">
        <v>0.8</v>
      </c>
      <c r="S666" s="15" t="str">
        <f>IF(S665="*",S665,"")</f>
        <v>*</v>
      </c>
      <c r="T666" s="17" t="str">
        <f t="shared" ref="T666:W669" si="529">T665</f>
        <v>*BEV*</v>
      </c>
      <c r="U666" s="17" t="str">
        <f t="shared" si="529"/>
        <v>TRAETH</v>
      </c>
      <c r="V666" s="17" t="str">
        <f t="shared" si="529"/>
        <v>TRAOTHWATDMD</v>
      </c>
      <c r="W666" s="17" t="str">
        <f t="shared" si="529"/>
        <v>TRAOTHWATDMD</v>
      </c>
      <c r="X666" s="18">
        <v>2025</v>
      </c>
      <c r="Y666" s="18" t="str">
        <f>Y665</f>
        <v>LO</v>
      </c>
      <c r="Z666" s="18"/>
      <c r="AA666" s="20">
        <f>-SUMIFS('TRA RESID'!$P:$P,'TRA RESID'!$I:$I,W666,'TRA RESID'!$J:$J,T666,'TRA RESID'!$H:$H,U666)/SUMIFS('TRA RESID'!$P:$P,'TRA RESID'!$I:$I,W666)*AE666</f>
        <v>0</v>
      </c>
      <c r="AB666" s="18"/>
      <c r="AC666" s="18"/>
      <c r="AE666" s="21">
        <v>1</v>
      </c>
      <c r="AG666" s="15" t="str">
        <f>IF(AG665="*",AG665,"")</f>
        <v>*</v>
      </c>
      <c r="AH666" s="17" t="str">
        <f t="shared" ref="AH666:AK669" si="530">AH665</f>
        <v>*HEV*</v>
      </c>
      <c r="AI666" s="17" t="str">
        <f t="shared" si="530"/>
        <v>TRAETH</v>
      </c>
      <c r="AJ666" s="17" t="str">
        <f t="shared" si="530"/>
        <v>TRAOTHWATDMD</v>
      </c>
      <c r="AK666" s="17" t="str">
        <f t="shared" si="530"/>
        <v>TRAOTHWATDMD</v>
      </c>
      <c r="AL666" s="18">
        <v>2025</v>
      </c>
      <c r="AM666" s="18" t="str">
        <f>AM665</f>
        <v>LO</v>
      </c>
      <c r="AN666" s="18"/>
      <c r="AO666" s="20">
        <f>-SUMIFS('TRA RESID'!$P:$P,'TRA RESID'!$I:$I,AK666,'TRA RESID'!$J:$J,AH666,'TRA RESID'!$H:$H,AI666)/SUMIFS('TRA RESID'!$P:$P,'TRA RESID'!$I:$I,AK666)*AS666</f>
        <v>0</v>
      </c>
      <c r="AP666" s="18"/>
      <c r="AQ666" s="18"/>
      <c r="AS666" s="21">
        <v>0.8</v>
      </c>
      <c r="AU666" s="15" t="str">
        <f>IF(AU665="*",AU665,"")</f>
        <v>*</v>
      </c>
      <c r="AV666" s="17" t="str">
        <f t="shared" ref="AV666:AY669" si="531">AV665</f>
        <v>*FCEV*</v>
      </c>
      <c r="AW666" s="17" t="str">
        <f t="shared" si="531"/>
        <v>TRAETH</v>
      </c>
      <c r="AX666" s="17" t="str">
        <f t="shared" si="531"/>
        <v>TRAOTHWATDMD</v>
      </c>
      <c r="AY666" s="17" t="str">
        <f t="shared" si="531"/>
        <v>TRAOTHWATDMD</v>
      </c>
      <c r="AZ666" s="18">
        <v>2025</v>
      </c>
      <c r="BA666" s="18" t="str">
        <f>BA665</f>
        <v>LO</v>
      </c>
      <c r="BB666" s="18"/>
      <c r="BC666" s="20">
        <f>-SUMIFS('TRA RESID'!$P:$P,'TRA RESID'!$I:$I,AY666,'TRA RESID'!$J:$J,AV666,'TRA RESID'!$H:$H,AW666)/SUMIFS('TRA RESID'!$P:$P,'TRA RESID'!$I:$I,AY666)*BG666</f>
        <v>0</v>
      </c>
      <c r="BD666" s="18"/>
      <c r="BE666" s="18"/>
      <c r="BG666" s="21">
        <v>0.8</v>
      </c>
    </row>
    <row r="667" spans="1:59" x14ac:dyDescent="0.25">
      <c r="C667" s="15" t="str">
        <f>IF(C666="*",C666,"")</f>
        <v>*</v>
      </c>
      <c r="D667" s="17" t="str">
        <f t="shared" si="528"/>
        <v>*ICEV*</v>
      </c>
      <c r="E667" s="17" t="str">
        <f t="shared" si="528"/>
        <v>TRAETH</v>
      </c>
      <c r="F667" s="17" t="str">
        <f t="shared" si="528"/>
        <v>TRAOTHWATDMD</v>
      </c>
      <c r="G667" s="17" t="str">
        <f t="shared" si="528"/>
        <v>TRAOTHWATDMD</v>
      </c>
      <c r="H667" s="18">
        <v>2030</v>
      </c>
      <c r="I667" s="18" t="str">
        <f>I666</f>
        <v>LO</v>
      </c>
      <c r="J667" s="18"/>
      <c r="K667" s="20">
        <f>-SUMIFS('TRA RESID'!$P:$P,'TRA RESID'!$I:$I,G667,'TRA RESID'!$J:$J,D667,'TRA RESID'!$H:$H,E667)/SUMIFS('TRA RESID'!$P:$P,'TRA RESID'!$I:$I,G667)*O667</f>
        <v>0</v>
      </c>
      <c r="L667" s="18"/>
      <c r="M667" s="18"/>
      <c r="O667" s="21">
        <v>0.5</v>
      </c>
      <c r="S667" s="15" t="str">
        <f>IF(S666="*",S666,"")</f>
        <v>*</v>
      </c>
      <c r="T667" s="17" t="str">
        <f t="shared" si="529"/>
        <v>*BEV*</v>
      </c>
      <c r="U667" s="17" t="str">
        <f t="shared" si="529"/>
        <v>TRAETH</v>
      </c>
      <c r="V667" s="17" t="str">
        <f t="shared" si="529"/>
        <v>TRAOTHWATDMD</v>
      </c>
      <c r="W667" s="17" t="str">
        <f t="shared" si="529"/>
        <v>TRAOTHWATDMD</v>
      </c>
      <c r="X667" s="18">
        <v>2030</v>
      </c>
      <c r="Y667" s="18" t="str">
        <f>Y666</f>
        <v>LO</v>
      </c>
      <c r="Z667" s="18"/>
      <c r="AA667" s="20">
        <f>-SUMIFS('TRA RESID'!$P:$P,'TRA RESID'!$I:$I,W667,'TRA RESID'!$J:$J,T667,'TRA RESID'!$H:$H,U667)/SUMIFS('TRA RESID'!$P:$P,'TRA RESID'!$I:$I,W667)*AE667</f>
        <v>0</v>
      </c>
      <c r="AB667" s="18"/>
      <c r="AC667" s="18"/>
      <c r="AE667" s="21">
        <v>1</v>
      </c>
      <c r="AG667" s="15" t="str">
        <f>IF(AG666="*",AG666,"")</f>
        <v>*</v>
      </c>
      <c r="AH667" s="17" t="str">
        <f t="shared" si="530"/>
        <v>*HEV*</v>
      </c>
      <c r="AI667" s="17" t="str">
        <f t="shared" si="530"/>
        <v>TRAETH</v>
      </c>
      <c r="AJ667" s="17" t="str">
        <f t="shared" si="530"/>
        <v>TRAOTHWATDMD</v>
      </c>
      <c r="AK667" s="17" t="str">
        <f t="shared" si="530"/>
        <v>TRAOTHWATDMD</v>
      </c>
      <c r="AL667" s="18">
        <v>2030</v>
      </c>
      <c r="AM667" s="18" t="str">
        <f>AM666</f>
        <v>LO</v>
      </c>
      <c r="AN667" s="18"/>
      <c r="AO667" s="20">
        <f>-SUMIFS('TRA RESID'!$P:$P,'TRA RESID'!$I:$I,AK667,'TRA RESID'!$J:$J,AH667,'TRA RESID'!$H:$H,AI667)/SUMIFS('TRA RESID'!$P:$P,'TRA RESID'!$I:$I,AK667)*AS667</f>
        <v>0</v>
      </c>
      <c r="AP667" s="18"/>
      <c r="AQ667" s="18"/>
      <c r="AS667" s="21">
        <v>0.5</v>
      </c>
      <c r="AU667" s="15" t="str">
        <f>IF(AU666="*",AU666,"")</f>
        <v>*</v>
      </c>
      <c r="AV667" s="17" t="str">
        <f t="shared" si="531"/>
        <v>*FCEV*</v>
      </c>
      <c r="AW667" s="17" t="str">
        <f t="shared" si="531"/>
        <v>TRAETH</v>
      </c>
      <c r="AX667" s="17" t="str">
        <f t="shared" si="531"/>
        <v>TRAOTHWATDMD</v>
      </c>
      <c r="AY667" s="17" t="str">
        <f t="shared" si="531"/>
        <v>TRAOTHWATDMD</v>
      </c>
      <c r="AZ667" s="18">
        <v>2030</v>
      </c>
      <c r="BA667" s="18" t="str">
        <f>BA666</f>
        <v>LO</v>
      </c>
      <c r="BB667" s="18"/>
      <c r="BC667" s="20">
        <f>-SUMIFS('TRA RESID'!$P:$P,'TRA RESID'!$I:$I,AY667,'TRA RESID'!$J:$J,AV667,'TRA RESID'!$H:$H,AW667)/SUMIFS('TRA RESID'!$P:$P,'TRA RESID'!$I:$I,AY667)*BG667</f>
        <v>0</v>
      </c>
      <c r="BD667" s="18"/>
      <c r="BE667" s="18"/>
      <c r="BG667" s="21">
        <v>0.5</v>
      </c>
    </row>
    <row r="668" spans="1:59" x14ac:dyDescent="0.25">
      <c r="C668" s="15" t="str">
        <f>IF(C667="*",C667,"")</f>
        <v>*</v>
      </c>
      <c r="D668" s="17" t="str">
        <f t="shared" si="528"/>
        <v>*ICEV*</v>
      </c>
      <c r="E668" s="17" t="str">
        <f t="shared" si="528"/>
        <v>TRAETH</v>
      </c>
      <c r="F668" s="17" t="str">
        <f t="shared" si="528"/>
        <v>TRAOTHWATDMD</v>
      </c>
      <c r="G668" s="17" t="str">
        <f t="shared" si="528"/>
        <v>TRAOTHWATDMD</v>
      </c>
      <c r="H668" s="18">
        <v>2040</v>
      </c>
      <c r="I668" s="18" t="str">
        <f>I667</f>
        <v>LO</v>
      </c>
      <c r="J668" s="18"/>
      <c r="K668" s="20">
        <f>-SUMIFS('TRA RESID'!$P:$P,'TRA RESID'!$I:$I,G668,'TRA RESID'!$J:$J,D668,'TRA RESID'!$H:$H,E668)/SUMIFS('TRA RESID'!$P:$P,'TRA RESID'!$I:$I,G668)*O668</f>
        <v>0</v>
      </c>
      <c r="L668" s="18"/>
      <c r="M668" s="18"/>
      <c r="O668" s="21">
        <v>0</v>
      </c>
      <c r="S668" s="15" t="str">
        <f>IF(S667="*",S667,"")</f>
        <v>*</v>
      </c>
      <c r="T668" s="17" t="str">
        <f t="shared" si="529"/>
        <v>*BEV*</v>
      </c>
      <c r="U668" s="17" t="str">
        <f t="shared" si="529"/>
        <v>TRAETH</v>
      </c>
      <c r="V668" s="17" t="str">
        <f t="shared" si="529"/>
        <v>TRAOTHWATDMD</v>
      </c>
      <c r="W668" s="17" t="str">
        <f t="shared" si="529"/>
        <v>TRAOTHWATDMD</v>
      </c>
      <c r="X668" s="18">
        <v>2040</v>
      </c>
      <c r="Y668" s="18" t="str">
        <f>Y667</f>
        <v>LO</v>
      </c>
      <c r="Z668" s="18"/>
      <c r="AA668" s="20">
        <f>-SUMIFS('TRA RESID'!$P:$P,'TRA RESID'!$I:$I,W668,'TRA RESID'!$J:$J,T668,'TRA RESID'!$H:$H,U668)/SUMIFS('TRA RESID'!$P:$P,'TRA RESID'!$I:$I,W668)*AE668</f>
        <v>0</v>
      </c>
      <c r="AB668" s="18"/>
      <c r="AC668" s="18"/>
      <c r="AE668" s="21">
        <v>1</v>
      </c>
      <c r="AG668" s="15" t="str">
        <f>IF(AG667="*",AG667,"")</f>
        <v>*</v>
      </c>
      <c r="AH668" s="17" t="str">
        <f t="shared" si="530"/>
        <v>*HEV*</v>
      </c>
      <c r="AI668" s="17" t="str">
        <f t="shared" si="530"/>
        <v>TRAETH</v>
      </c>
      <c r="AJ668" s="17" t="str">
        <f t="shared" si="530"/>
        <v>TRAOTHWATDMD</v>
      </c>
      <c r="AK668" s="17" t="str">
        <f t="shared" si="530"/>
        <v>TRAOTHWATDMD</v>
      </c>
      <c r="AL668" s="18">
        <v>2040</v>
      </c>
      <c r="AM668" s="18" t="str">
        <f>AM667</f>
        <v>LO</v>
      </c>
      <c r="AN668" s="18"/>
      <c r="AO668" s="20">
        <f>-SUMIFS('TRA RESID'!$P:$P,'TRA RESID'!$I:$I,AK668,'TRA RESID'!$J:$J,AH668,'TRA RESID'!$H:$H,AI668)/SUMIFS('TRA RESID'!$P:$P,'TRA RESID'!$I:$I,AK668)*AS668</f>
        <v>0</v>
      </c>
      <c r="AP668" s="18"/>
      <c r="AQ668" s="18"/>
      <c r="AS668" s="21">
        <v>0</v>
      </c>
      <c r="AU668" s="15" t="str">
        <f>IF(AU667="*",AU667,"")</f>
        <v>*</v>
      </c>
      <c r="AV668" s="17" t="str">
        <f t="shared" si="531"/>
        <v>*FCEV*</v>
      </c>
      <c r="AW668" s="17" t="str">
        <f t="shared" si="531"/>
        <v>TRAETH</v>
      </c>
      <c r="AX668" s="17" t="str">
        <f t="shared" si="531"/>
        <v>TRAOTHWATDMD</v>
      </c>
      <c r="AY668" s="17" t="str">
        <f t="shared" si="531"/>
        <v>TRAOTHWATDMD</v>
      </c>
      <c r="AZ668" s="18">
        <v>2040</v>
      </c>
      <c r="BA668" s="18" t="str">
        <f>BA667</f>
        <v>LO</v>
      </c>
      <c r="BB668" s="18"/>
      <c r="BC668" s="20">
        <f>-SUMIFS('TRA RESID'!$P:$P,'TRA RESID'!$I:$I,AY668,'TRA RESID'!$J:$J,AV668,'TRA RESID'!$H:$H,AW668)/SUMIFS('TRA RESID'!$P:$P,'TRA RESID'!$I:$I,AY668)*BG668</f>
        <v>0</v>
      </c>
      <c r="BD668" s="18"/>
      <c r="BE668" s="18"/>
      <c r="BG668" s="21">
        <v>0</v>
      </c>
    </row>
    <row r="669" spans="1:59" x14ac:dyDescent="0.25">
      <c r="C669" s="23" t="str">
        <f>IF(C668="*",C668,"")</f>
        <v>*</v>
      </c>
      <c r="D669" s="25" t="str">
        <f t="shared" si="528"/>
        <v>*ICEV*</v>
      </c>
      <c r="E669" s="25" t="str">
        <f t="shared" si="528"/>
        <v>TRAETH</v>
      </c>
      <c r="F669" s="25" t="str">
        <f t="shared" si="528"/>
        <v>TRAOTHWATDMD</v>
      </c>
      <c r="G669" s="25" t="str">
        <f t="shared" si="528"/>
        <v>TRAOTHWATDMD</v>
      </c>
      <c r="H669" s="26">
        <v>2050</v>
      </c>
      <c r="I669" s="26" t="str">
        <f>I667</f>
        <v>LO</v>
      </c>
      <c r="J669" s="26"/>
      <c r="K669" s="27">
        <f>-SUMIFS('TRA RESID'!$P:$P,'TRA RESID'!$I:$I,G669,'TRA RESID'!$J:$J,D669,'TRA RESID'!$H:$H,E669)/SUMIFS('TRA RESID'!$P:$P,'TRA RESID'!$I:$I,G669)*O669</f>
        <v>0</v>
      </c>
      <c r="L669" s="26"/>
      <c r="M669" s="26"/>
      <c r="O669" s="28">
        <v>0</v>
      </c>
      <c r="S669" s="23" t="str">
        <f>IF(S668="*",S668,"")</f>
        <v>*</v>
      </c>
      <c r="T669" s="25" t="str">
        <f t="shared" si="529"/>
        <v>*BEV*</v>
      </c>
      <c r="U669" s="25" t="str">
        <f t="shared" si="529"/>
        <v>TRAETH</v>
      </c>
      <c r="V669" s="25" t="str">
        <f t="shared" si="529"/>
        <v>TRAOTHWATDMD</v>
      </c>
      <c r="W669" s="25" t="str">
        <f t="shared" si="529"/>
        <v>TRAOTHWATDMD</v>
      </c>
      <c r="X669" s="26">
        <v>2050</v>
      </c>
      <c r="Y669" s="26" t="str">
        <f>Y667</f>
        <v>LO</v>
      </c>
      <c r="Z669" s="26"/>
      <c r="AA669" s="27">
        <f>-SUMIFS('TRA RESID'!$P:$P,'TRA RESID'!$I:$I,W669,'TRA RESID'!$J:$J,T669,'TRA RESID'!$H:$H,U669)/SUMIFS('TRA RESID'!$P:$P,'TRA RESID'!$I:$I,W669)*AE669</f>
        <v>0</v>
      </c>
      <c r="AB669" s="26"/>
      <c r="AC669" s="26"/>
      <c r="AE669" s="28">
        <v>1</v>
      </c>
      <c r="AG669" s="23" t="str">
        <f>IF(AG668="*",AG668,"")</f>
        <v>*</v>
      </c>
      <c r="AH669" s="25" t="str">
        <f t="shared" si="530"/>
        <v>*HEV*</v>
      </c>
      <c r="AI669" s="25" t="str">
        <f t="shared" si="530"/>
        <v>TRAETH</v>
      </c>
      <c r="AJ669" s="25" t="str">
        <f t="shared" si="530"/>
        <v>TRAOTHWATDMD</v>
      </c>
      <c r="AK669" s="25" t="str">
        <f t="shared" si="530"/>
        <v>TRAOTHWATDMD</v>
      </c>
      <c r="AL669" s="26">
        <v>2050</v>
      </c>
      <c r="AM669" s="26" t="str">
        <f>AM667</f>
        <v>LO</v>
      </c>
      <c r="AN669" s="26"/>
      <c r="AO669" s="27">
        <f>-SUMIFS('TRA RESID'!$P:$P,'TRA RESID'!$I:$I,AK669,'TRA RESID'!$J:$J,AH669,'TRA RESID'!$H:$H,AI669)/SUMIFS('TRA RESID'!$P:$P,'TRA RESID'!$I:$I,AK669)*AS669</f>
        <v>0</v>
      </c>
      <c r="AP669" s="26"/>
      <c r="AQ669" s="26"/>
      <c r="AS669" s="28">
        <v>0</v>
      </c>
      <c r="AU669" s="23" t="str">
        <f>IF(AU668="*",AU668,"")</f>
        <v>*</v>
      </c>
      <c r="AV669" s="25" t="str">
        <f t="shared" si="531"/>
        <v>*FCEV*</v>
      </c>
      <c r="AW669" s="25" t="str">
        <f t="shared" si="531"/>
        <v>TRAETH</v>
      </c>
      <c r="AX669" s="25" t="str">
        <f t="shared" si="531"/>
        <v>TRAOTHWATDMD</v>
      </c>
      <c r="AY669" s="25" t="str">
        <f t="shared" si="531"/>
        <v>TRAOTHWATDMD</v>
      </c>
      <c r="AZ669" s="26">
        <v>2050</v>
      </c>
      <c r="BA669" s="26" t="str">
        <f>BA667</f>
        <v>LO</v>
      </c>
      <c r="BB669" s="26"/>
      <c r="BC669" s="27">
        <f>-SUMIFS('TRA RESID'!$P:$P,'TRA RESID'!$I:$I,AY669,'TRA RESID'!$J:$J,AV669,'TRA RESID'!$H:$H,AW669)/SUMIFS('TRA RESID'!$P:$P,'TRA RESID'!$I:$I,AY669)*BG669</f>
        <v>0</v>
      </c>
      <c r="BD669" s="26"/>
      <c r="BE669" s="26"/>
      <c r="BG669" s="28">
        <v>0</v>
      </c>
    </row>
    <row r="670" spans="1:59" x14ac:dyDescent="0.25">
      <c r="A670">
        <f>A665+1</f>
        <v>134</v>
      </c>
      <c r="C670" s="15" t="str">
        <f>IF(E670="","",IF(_xlfn.XLOOKUP($A670,Selected_constraint!$A:$A,Selected_constraint!$D:$D)=1,"*",IF(SUMIFS('TRA TECH'!$M:$M,'TRA TECH'!$H:$H,E670,'TRA TECH'!$I:$I,F670)=0,"*",IF(SUMIFS('TRA RESID'!$P:$P,'TRA RESID'!$I:$I,G670,'TRA RESID'!$J:$J,D670,'TRA RESID'!$H:$H,E670)=0,"*","UC_"&amp;SUBSTITUTE(D670,"*","")&amp;"_"&amp;RIGHT(E670,3)&amp;"_"&amp;F670))))</f>
        <v>UC_ICEV_DSL_TRAOTHWATDMD</v>
      </c>
      <c r="D670" s="17" t="s">
        <v>485</v>
      </c>
      <c r="E670" s="17" t="str">
        <f>_xlfn.XLOOKUP($A670,Selected_constraint!$A:$A,Selected_constraint!$B:$B)</f>
        <v>TRADSL</v>
      </c>
      <c r="F670" s="17" t="str">
        <f>_xlfn.XLOOKUP($A670,Selected_constraint!$A:$A,Selected_constraint!$C:$C)</f>
        <v>TRAOTHWATDMD</v>
      </c>
      <c r="G670" s="17" t="str">
        <f>F670</f>
        <v>TRAOTHWATDMD</v>
      </c>
      <c r="H670" s="18">
        <v>2019</v>
      </c>
      <c r="I670" s="18" t="s">
        <v>483</v>
      </c>
      <c r="J670" s="18">
        <v>1</v>
      </c>
      <c r="K670" s="20">
        <f>-SUMIFS('TRA RESID'!$P:$P,'TRA RESID'!$I:$I,G670,'TRA RESID'!$J:$J,D670,'TRA RESID'!$H:$H,E670)/SUMIFS('TRA RESID'!$P:$P,'TRA RESID'!$I:$I,G670)*O670</f>
        <v>-0.98</v>
      </c>
      <c r="L670" s="18">
        <v>0</v>
      </c>
      <c r="M670" s="18">
        <v>5</v>
      </c>
      <c r="O670" s="21">
        <v>0.98</v>
      </c>
      <c r="Q670">
        <f>Q665+1</f>
        <v>134</v>
      </c>
      <c r="S670" s="15" t="str">
        <f>IF(SUMIFS('TRA RESID'!$P:$P,'TRA RESID'!$I:$I,W670,'TRA RESID'!$J:$J,T670,'TRA RESID'!$H:$H,U670)=0,"*","UC_"&amp;SUBSTITUTE(T670,"*","")&amp;"_"&amp;RIGHT(U670,3)&amp;"_"&amp;V670)</f>
        <v>*</v>
      </c>
      <c r="T670" s="17" t="s">
        <v>486</v>
      </c>
      <c r="U670" s="17" t="str">
        <f>_xlfn.XLOOKUP($A670,Selected_constraint!$A:$A,Selected_constraint!$B:$B)</f>
        <v>TRADSL</v>
      </c>
      <c r="V670" s="17" t="str">
        <f>_xlfn.XLOOKUP($A670,Selected_constraint!$A:$A,Selected_constraint!$C:$C)</f>
        <v>TRAOTHWATDMD</v>
      </c>
      <c r="W670" s="17" t="str">
        <f>V670</f>
        <v>TRAOTHWATDMD</v>
      </c>
      <c r="X670" s="18">
        <v>2019</v>
      </c>
      <c r="Y670" s="18" t="s">
        <v>483</v>
      </c>
      <c r="Z670" s="18">
        <v>1</v>
      </c>
      <c r="AA670" s="20">
        <f>-SUMIFS('TRA RESID'!$P:$P,'TRA RESID'!$I:$I,W670,'TRA RESID'!$J:$J,T670,'TRA RESID'!$H:$H,U670)/SUMIFS('TRA RESID'!$P:$P,'TRA RESID'!$I:$I,W670)*AE670</f>
        <v>0</v>
      </c>
      <c r="AB670" s="18">
        <v>0</v>
      </c>
      <c r="AC670" s="18">
        <v>5</v>
      </c>
      <c r="AE670" s="21">
        <v>0.98</v>
      </c>
      <c r="AG670" s="15" t="str">
        <f>IF(SUMIFS('TRA RESID'!$P:$P,'TRA RESID'!$I:$I,AK670,'TRA RESID'!$J:$J,AH670,'TRA RESID'!$H:$H,AI670)=0,"*","UC_"&amp;SUBSTITUTE(AH670,"*","")&amp;"_"&amp;RIGHT(AI670,3)&amp;"_"&amp;AJ670)</f>
        <v>*</v>
      </c>
      <c r="AH670" s="17" t="s">
        <v>487</v>
      </c>
      <c r="AI670" s="17" t="str">
        <f>_xlfn.XLOOKUP($A670,Selected_constraint!$A:$A,Selected_constraint!$B:$B)</f>
        <v>TRADSL</v>
      </c>
      <c r="AJ670" s="17" t="str">
        <f>_xlfn.XLOOKUP($A670,Selected_constraint!$A:$A,Selected_constraint!$C:$C)</f>
        <v>TRAOTHWATDMD</v>
      </c>
      <c r="AK670" s="17" t="str">
        <f>AJ670</f>
        <v>TRAOTHWATDMD</v>
      </c>
      <c r="AL670" s="18">
        <v>2019</v>
      </c>
      <c r="AM670" s="18" t="s">
        <v>483</v>
      </c>
      <c r="AN670" s="18">
        <v>1</v>
      </c>
      <c r="AO670" s="20">
        <f>-SUMIFS('TRA RESID'!$P:$P,'TRA RESID'!$I:$I,AK670,'TRA RESID'!$J:$J,AH670,'TRA RESID'!$H:$H,AI670)/SUMIFS('TRA RESID'!$P:$P,'TRA RESID'!$I:$I,AK670)*AS670</f>
        <v>0</v>
      </c>
      <c r="AP670" s="18">
        <v>0</v>
      </c>
      <c r="AQ670" s="18">
        <v>5</v>
      </c>
      <c r="AS670" s="21">
        <v>0.98</v>
      </c>
      <c r="AU670" s="15" t="str">
        <f>IF(SUMIFS('TRA RESID'!$P:$P,'TRA RESID'!$I:$I,AY670,'TRA RESID'!$J:$J,AV670,'TRA RESID'!$H:$H,AW670)=0,"*","UC_"&amp;SUBSTITUTE(AV670,"*","")&amp;"_"&amp;RIGHT(AW670,3)&amp;"_"&amp;AX670)</f>
        <v>*</v>
      </c>
      <c r="AV670" s="17" t="s">
        <v>488</v>
      </c>
      <c r="AW670" s="17" t="str">
        <f>_xlfn.XLOOKUP($A670,Selected_constraint!$A:$A,Selected_constraint!$B:$B)</f>
        <v>TRADSL</v>
      </c>
      <c r="AX670" s="17" t="str">
        <f>_xlfn.XLOOKUP($A670,Selected_constraint!$A:$A,Selected_constraint!$C:$C)</f>
        <v>TRAOTHWATDMD</v>
      </c>
      <c r="AY670" s="17" t="str">
        <f>AX670</f>
        <v>TRAOTHWATDMD</v>
      </c>
      <c r="AZ670" s="18">
        <v>2019</v>
      </c>
      <c r="BA670" s="18" t="s">
        <v>483</v>
      </c>
      <c r="BB670" s="18">
        <v>1</v>
      </c>
      <c r="BC670" s="20">
        <f>-SUMIFS('TRA RESID'!$P:$P,'TRA RESID'!$I:$I,AY670,'TRA RESID'!$J:$J,AV670,'TRA RESID'!$H:$H,AW670)/SUMIFS('TRA RESID'!$P:$P,'TRA RESID'!$I:$I,AY670)*BG670</f>
        <v>0</v>
      </c>
      <c r="BD670" s="18">
        <v>0</v>
      </c>
      <c r="BE670" s="18">
        <v>5</v>
      </c>
      <c r="BG670" s="21">
        <v>0.98</v>
      </c>
    </row>
    <row r="671" spans="1:59" x14ac:dyDescent="0.25">
      <c r="C671" s="15" t="str">
        <f>IF(C670="*",C670,"")</f>
        <v/>
      </c>
      <c r="D671" s="17" t="str">
        <f t="shared" ref="D671:G674" si="532">D670</f>
        <v>*ICEV*</v>
      </c>
      <c r="E671" s="17" t="str">
        <f t="shared" si="532"/>
        <v>TRADSL</v>
      </c>
      <c r="F671" s="17" t="str">
        <f t="shared" si="532"/>
        <v>TRAOTHWATDMD</v>
      </c>
      <c r="G671" s="17" t="str">
        <f t="shared" si="532"/>
        <v>TRAOTHWATDMD</v>
      </c>
      <c r="H671" s="18">
        <v>2025</v>
      </c>
      <c r="I671" s="18" t="str">
        <f>I670</f>
        <v>LO</v>
      </c>
      <c r="J671" s="18"/>
      <c r="K671" s="20">
        <f>-SUMIFS('TRA RESID'!$P:$P,'TRA RESID'!$I:$I,G671,'TRA RESID'!$J:$J,D671,'TRA RESID'!$H:$H,E671)/SUMIFS('TRA RESID'!$P:$P,'TRA RESID'!$I:$I,G671)*O671</f>
        <v>-0.8</v>
      </c>
      <c r="L671" s="18"/>
      <c r="M671" s="18"/>
      <c r="O671" s="21">
        <v>0.8</v>
      </c>
      <c r="S671" s="15" t="str">
        <f>IF(S670="*",S670,"")</f>
        <v>*</v>
      </c>
      <c r="T671" s="17" t="str">
        <f t="shared" ref="T671:W674" si="533">T670</f>
        <v>*BEV*</v>
      </c>
      <c r="U671" s="17" t="str">
        <f t="shared" si="533"/>
        <v>TRADSL</v>
      </c>
      <c r="V671" s="17" t="str">
        <f t="shared" si="533"/>
        <v>TRAOTHWATDMD</v>
      </c>
      <c r="W671" s="17" t="str">
        <f t="shared" si="533"/>
        <v>TRAOTHWATDMD</v>
      </c>
      <c r="X671" s="18">
        <v>2025</v>
      </c>
      <c r="Y671" s="18" t="str">
        <f>Y670</f>
        <v>LO</v>
      </c>
      <c r="Z671" s="18"/>
      <c r="AA671" s="20">
        <f>-SUMIFS('TRA RESID'!$P:$P,'TRA RESID'!$I:$I,W671,'TRA RESID'!$J:$J,T671,'TRA RESID'!$H:$H,U671)/SUMIFS('TRA RESID'!$P:$P,'TRA RESID'!$I:$I,W671)*AE671</f>
        <v>0</v>
      </c>
      <c r="AB671" s="18"/>
      <c r="AC671" s="18"/>
      <c r="AE671" s="21">
        <v>1</v>
      </c>
      <c r="AG671" s="15" t="str">
        <f>IF(AG670="*",AG670,"")</f>
        <v>*</v>
      </c>
      <c r="AH671" s="17" t="str">
        <f t="shared" ref="AH671:AK674" si="534">AH670</f>
        <v>*HEV*</v>
      </c>
      <c r="AI671" s="17" t="str">
        <f t="shared" si="534"/>
        <v>TRADSL</v>
      </c>
      <c r="AJ671" s="17" t="str">
        <f t="shared" si="534"/>
        <v>TRAOTHWATDMD</v>
      </c>
      <c r="AK671" s="17" t="str">
        <f t="shared" si="534"/>
        <v>TRAOTHWATDMD</v>
      </c>
      <c r="AL671" s="18">
        <v>2025</v>
      </c>
      <c r="AM671" s="18" t="str">
        <f>AM670</f>
        <v>LO</v>
      </c>
      <c r="AN671" s="18"/>
      <c r="AO671" s="20">
        <f>-SUMIFS('TRA RESID'!$P:$P,'TRA RESID'!$I:$I,AK671,'TRA RESID'!$J:$J,AH671,'TRA RESID'!$H:$H,AI671)/SUMIFS('TRA RESID'!$P:$P,'TRA RESID'!$I:$I,AK671)*AS671</f>
        <v>0</v>
      </c>
      <c r="AP671" s="18"/>
      <c r="AQ671" s="18"/>
      <c r="AS671" s="21">
        <v>0.8</v>
      </c>
      <c r="AU671" s="15" t="str">
        <f>IF(AU670="*",AU670,"")</f>
        <v>*</v>
      </c>
      <c r="AV671" s="17" t="str">
        <f t="shared" ref="AV671:AY674" si="535">AV670</f>
        <v>*FCEV*</v>
      </c>
      <c r="AW671" s="17" t="str">
        <f t="shared" si="535"/>
        <v>TRADSL</v>
      </c>
      <c r="AX671" s="17" t="str">
        <f t="shared" si="535"/>
        <v>TRAOTHWATDMD</v>
      </c>
      <c r="AY671" s="17" t="str">
        <f t="shared" si="535"/>
        <v>TRAOTHWATDMD</v>
      </c>
      <c r="AZ671" s="18">
        <v>2025</v>
      </c>
      <c r="BA671" s="18" t="str">
        <f>BA670</f>
        <v>LO</v>
      </c>
      <c r="BB671" s="18"/>
      <c r="BC671" s="20">
        <f>-SUMIFS('TRA RESID'!$P:$P,'TRA RESID'!$I:$I,AY671,'TRA RESID'!$J:$J,AV671,'TRA RESID'!$H:$H,AW671)/SUMIFS('TRA RESID'!$P:$P,'TRA RESID'!$I:$I,AY671)*BG671</f>
        <v>0</v>
      </c>
      <c r="BD671" s="18"/>
      <c r="BE671" s="18"/>
      <c r="BG671" s="21">
        <v>0.8</v>
      </c>
    </row>
    <row r="672" spans="1:59" x14ac:dyDescent="0.25">
      <c r="C672" s="15" t="str">
        <f>IF(C671="*",C671,"")</f>
        <v/>
      </c>
      <c r="D672" s="17" t="str">
        <f t="shared" si="532"/>
        <v>*ICEV*</v>
      </c>
      <c r="E672" s="17" t="str">
        <f t="shared" si="532"/>
        <v>TRADSL</v>
      </c>
      <c r="F672" s="17" t="str">
        <f t="shared" si="532"/>
        <v>TRAOTHWATDMD</v>
      </c>
      <c r="G672" s="17" t="str">
        <f t="shared" si="532"/>
        <v>TRAOTHWATDMD</v>
      </c>
      <c r="H672" s="18">
        <v>2030</v>
      </c>
      <c r="I672" s="18" t="str">
        <f>I671</f>
        <v>LO</v>
      </c>
      <c r="J672" s="18"/>
      <c r="K672" s="20">
        <f>-SUMIFS('TRA RESID'!$P:$P,'TRA RESID'!$I:$I,G672,'TRA RESID'!$J:$J,D672,'TRA RESID'!$H:$H,E672)/SUMIFS('TRA RESID'!$P:$P,'TRA RESID'!$I:$I,G672)*O672</f>
        <v>-0.5</v>
      </c>
      <c r="L672" s="18"/>
      <c r="M672" s="18"/>
      <c r="O672" s="21">
        <v>0.5</v>
      </c>
      <c r="S672" s="15" t="str">
        <f>IF(S671="*",S671,"")</f>
        <v>*</v>
      </c>
      <c r="T672" s="17" t="str">
        <f t="shared" si="533"/>
        <v>*BEV*</v>
      </c>
      <c r="U672" s="17" t="str">
        <f t="shared" si="533"/>
        <v>TRADSL</v>
      </c>
      <c r="V672" s="17" t="str">
        <f t="shared" si="533"/>
        <v>TRAOTHWATDMD</v>
      </c>
      <c r="W672" s="17" t="str">
        <f t="shared" si="533"/>
        <v>TRAOTHWATDMD</v>
      </c>
      <c r="X672" s="18">
        <v>2030</v>
      </c>
      <c r="Y672" s="18" t="str">
        <f>Y671</f>
        <v>LO</v>
      </c>
      <c r="Z672" s="18"/>
      <c r="AA672" s="20">
        <f>-SUMIFS('TRA RESID'!$P:$P,'TRA RESID'!$I:$I,W672,'TRA RESID'!$J:$J,T672,'TRA RESID'!$H:$H,U672)/SUMIFS('TRA RESID'!$P:$P,'TRA RESID'!$I:$I,W672)*AE672</f>
        <v>0</v>
      </c>
      <c r="AB672" s="18"/>
      <c r="AC672" s="18"/>
      <c r="AE672" s="21">
        <v>1</v>
      </c>
      <c r="AG672" s="15" t="str">
        <f>IF(AG671="*",AG671,"")</f>
        <v>*</v>
      </c>
      <c r="AH672" s="17" t="str">
        <f t="shared" si="534"/>
        <v>*HEV*</v>
      </c>
      <c r="AI672" s="17" t="str">
        <f t="shared" si="534"/>
        <v>TRADSL</v>
      </c>
      <c r="AJ672" s="17" t="str">
        <f t="shared" si="534"/>
        <v>TRAOTHWATDMD</v>
      </c>
      <c r="AK672" s="17" t="str">
        <f t="shared" si="534"/>
        <v>TRAOTHWATDMD</v>
      </c>
      <c r="AL672" s="18">
        <v>2030</v>
      </c>
      <c r="AM672" s="18" t="str">
        <f>AM671</f>
        <v>LO</v>
      </c>
      <c r="AN672" s="18"/>
      <c r="AO672" s="20">
        <f>-SUMIFS('TRA RESID'!$P:$P,'TRA RESID'!$I:$I,AK672,'TRA RESID'!$J:$J,AH672,'TRA RESID'!$H:$H,AI672)/SUMIFS('TRA RESID'!$P:$P,'TRA RESID'!$I:$I,AK672)*AS672</f>
        <v>0</v>
      </c>
      <c r="AP672" s="18"/>
      <c r="AQ672" s="18"/>
      <c r="AS672" s="21">
        <v>0.5</v>
      </c>
      <c r="AU672" s="15" t="str">
        <f>IF(AU671="*",AU671,"")</f>
        <v>*</v>
      </c>
      <c r="AV672" s="17" t="str">
        <f t="shared" si="535"/>
        <v>*FCEV*</v>
      </c>
      <c r="AW672" s="17" t="str">
        <f t="shared" si="535"/>
        <v>TRADSL</v>
      </c>
      <c r="AX672" s="17" t="str">
        <f t="shared" si="535"/>
        <v>TRAOTHWATDMD</v>
      </c>
      <c r="AY672" s="17" t="str">
        <f t="shared" si="535"/>
        <v>TRAOTHWATDMD</v>
      </c>
      <c r="AZ672" s="18">
        <v>2030</v>
      </c>
      <c r="BA672" s="18" t="str">
        <f>BA671</f>
        <v>LO</v>
      </c>
      <c r="BB672" s="18"/>
      <c r="BC672" s="20">
        <f>-SUMIFS('TRA RESID'!$P:$P,'TRA RESID'!$I:$I,AY672,'TRA RESID'!$J:$J,AV672,'TRA RESID'!$H:$H,AW672)/SUMIFS('TRA RESID'!$P:$P,'TRA RESID'!$I:$I,AY672)*BG672</f>
        <v>0</v>
      </c>
      <c r="BD672" s="18"/>
      <c r="BE672" s="18"/>
      <c r="BG672" s="21">
        <v>0.5</v>
      </c>
    </row>
    <row r="673" spans="1:59" x14ac:dyDescent="0.25">
      <c r="C673" s="15" t="str">
        <f>IF(C672="*",C672,"")</f>
        <v/>
      </c>
      <c r="D673" s="17" t="str">
        <f t="shared" si="532"/>
        <v>*ICEV*</v>
      </c>
      <c r="E673" s="17" t="str">
        <f t="shared" si="532"/>
        <v>TRADSL</v>
      </c>
      <c r="F673" s="17" t="str">
        <f t="shared" si="532"/>
        <v>TRAOTHWATDMD</v>
      </c>
      <c r="G673" s="17" t="str">
        <f t="shared" si="532"/>
        <v>TRAOTHWATDMD</v>
      </c>
      <c r="H673" s="18">
        <v>2040</v>
      </c>
      <c r="I673" s="18" t="str">
        <f>I672</f>
        <v>LO</v>
      </c>
      <c r="J673" s="18"/>
      <c r="K673" s="20">
        <f>-SUMIFS('TRA RESID'!$P:$P,'TRA RESID'!$I:$I,G673,'TRA RESID'!$J:$J,D673,'TRA RESID'!$H:$H,E673)/SUMIFS('TRA RESID'!$P:$P,'TRA RESID'!$I:$I,G673)*O673</f>
        <v>0</v>
      </c>
      <c r="L673" s="18"/>
      <c r="M673" s="18"/>
      <c r="O673" s="21">
        <v>0</v>
      </c>
      <c r="S673" s="15" t="str">
        <f>IF(S672="*",S672,"")</f>
        <v>*</v>
      </c>
      <c r="T673" s="17" t="str">
        <f t="shared" si="533"/>
        <v>*BEV*</v>
      </c>
      <c r="U673" s="17" t="str">
        <f t="shared" si="533"/>
        <v>TRADSL</v>
      </c>
      <c r="V673" s="17" t="str">
        <f t="shared" si="533"/>
        <v>TRAOTHWATDMD</v>
      </c>
      <c r="W673" s="17" t="str">
        <f t="shared" si="533"/>
        <v>TRAOTHWATDMD</v>
      </c>
      <c r="X673" s="18">
        <v>2040</v>
      </c>
      <c r="Y673" s="18" t="str">
        <f>Y672</f>
        <v>LO</v>
      </c>
      <c r="Z673" s="18"/>
      <c r="AA673" s="20">
        <f>-SUMIFS('TRA RESID'!$P:$P,'TRA RESID'!$I:$I,W673,'TRA RESID'!$J:$J,T673,'TRA RESID'!$H:$H,U673)/SUMIFS('TRA RESID'!$P:$P,'TRA RESID'!$I:$I,W673)*AE673</f>
        <v>0</v>
      </c>
      <c r="AB673" s="18"/>
      <c r="AC673" s="18"/>
      <c r="AE673" s="21">
        <v>1</v>
      </c>
      <c r="AG673" s="15" t="str">
        <f>IF(AG672="*",AG672,"")</f>
        <v>*</v>
      </c>
      <c r="AH673" s="17" t="str">
        <f t="shared" si="534"/>
        <v>*HEV*</v>
      </c>
      <c r="AI673" s="17" t="str">
        <f t="shared" si="534"/>
        <v>TRADSL</v>
      </c>
      <c r="AJ673" s="17" t="str">
        <f t="shared" si="534"/>
        <v>TRAOTHWATDMD</v>
      </c>
      <c r="AK673" s="17" t="str">
        <f t="shared" si="534"/>
        <v>TRAOTHWATDMD</v>
      </c>
      <c r="AL673" s="18">
        <v>2040</v>
      </c>
      <c r="AM673" s="18" t="str">
        <f>AM672</f>
        <v>LO</v>
      </c>
      <c r="AN673" s="18"/>
      <c r="AO673" s="20">
        <f>-SUMIFS('TRA RESID'!$P:$P,'TRA RESID'!$I:$I,AK673,'TRA RESID'!$J:$J,AH673,'TRA RESID'!$H:$H,AI673)/SUMIFS('TRA RESID'!$P:$P,'TRA RESID'!$I:$I,AK673)*AS673</f>
        <v>0</v>
      </c>
      <c r="AP673" s="18"/>
      <c r="AQ673" s="18"/>
      <c r="AS673" s="21">
        <v>0</v>
      </c>
      <c r="AU673" s="15" t="str">
        <f>IF(AU672="*",AU672,"")</f>
        <v>*</v>
      </c>
      <c r="AV673" s="17" t="str">
        <f t="shared" si="535"/>
        <v>*FCEV*</v>
      </c>
      <c r="AW673" s="17" t="str">
        <f t="shared" si="535"/>
        <v>TRADSL</v>
      </c>
      <c r="AX673" s="17" t="str">
        <f t="shared" si="535"/>
        <v>TRAOTHWATDMD</v>
      </c>
      <c r="AY673" s="17" t="str">
        <f t="shared" si="535"/>
        <v>TRAOTHWATDMD</v>
      </c>
      <c r="AZ673" s="18">
        <v>2040</v>
      </c>
      <c r="BA673" s="18" t="str">
        <f>BA672</f>
        <v>LO</v>
      </c>
      <c r="BB673" s="18"/>
      <c r="BC673" s="20">
        <f>-SUMIFS('TRA RESID'!$P:$P,'TRA RESID'!$I:$I,AY673,'TRA RESID'!$J:$J,AV673,'TRA RESID'!$H:$H,AW673)/SUMIFS('TRA RESID'!$P:$P,'TRA RESID'!$I:$I,AY673)*BG673</f>
        <v>0</v>
      </c>
      <c r="BD673" s="18"/>
      <c r="BE673" s="18"/>
      <c r="BG673" s="21">
        <v>0</v>
      </c>
    </row>
    <row r="674" spans="1:59" x14ac:dyDescent="0.25">
      <c r="C674" s="23" t="str">
        <f>IF(C673="*",C673,"")</f>
        <v/>
      </c>
      <c r="D674" s="25" t="str">
        <f t="shared" si="532"/>
        <v>*ICEV*</v>
      </c>
      <c r="E674" s="25" t="str">
        <f t="shared" si="532"/>
        <v>TRADSL</v>
      </c>
      <c r="F674" s="25" t="str">
        <f t="shared" si="532"/>
        <v>TRAOTHWATDMD</v>
      </c>
      <c r="G674" s="25" t="str">
        <f t="shared" si="532"/>
        <v>TRAOTHWATDMD</v>
      </c>
      <c r="H674" s="26">
        <v>2050</v>
      </c>
      <c r="I674" s="26" t="str">
        <f>I672</f>
        <v>LO</v>
      </c>
      <c r="J674" s="26"/>
      <c r="K674" s="27">
        <f>-SUMIFS('TRA RESID'!$P:$P,'TRA RESID'!$I:$I,G674,'TRA RESID'!$J:$J,D674,'TRA RESID'!$H:$H,E674)/SUMIFS('TRA RESID'!$P:$P,'TRA RESID'!$I:$I,G674)*O674</f>
        <v>0</v>
      </c>
      <c r="L674" s="26"/>
      <c r="M674" s="26"/>
      <c r="O674" s="28">
        <v>0</v>
      </c>
      <c r="S674" s="23" t="str">
        <f>IF(S673="*",S673,"")</f>
        <v>*</v>
      </c>
      <c r="T674" s="25" t="str">
        <f t="shared" si="533"/>
        <v>*BEV*</v>
      </c>
      <c r="U674" s="25" t="str">
        <f t="shared" si="533"/>
        <v>TRADSL</v>
      </c>
      <c r="V674" s="25" t="str">
        <f t="shared" si="533"/>
        <v>TRAOTHWATDMD</v>
      </c>
      <c r="W674" s="25" t="str">
        <f t="shared" si="533"/>
        <v>TRAOTHWATDMD</v>
      </c>
      <c r="X674" s="26">
        <v>2050</v>
      </c>
      <c r="Y674" s="26" t="str">
        <f>Y672</f>
        <v>LO</v>
      </c>
      <c r="Z674" s="26"/>
      <c r="AA674" s="27">
        <f>-SUMIFS('TRA RESID'!$P:$P,'TRA RESID'!$I:$I,W674,'TRA RESID'!$J:$J,T674,'TRA RESID'!$H:$H,U674)/SUMIFS('TRA RESID'!$P:$P,'TRA RESID'!$I:$I,W674)*AE674</f>
        <v>0</v>
      </c>
      <c r="AB674" s="26"/>
      <c r="AC674" s="26"/>
      <c r="AE674" s="28">
        <v>1</v>
      </c>
      <c r="AG674" s="23" t="str">
        <f>IF(AG673="*",AG673,"")</f>
        <v>*</v>
      </c>
      <c r="AH674" s="25" t="str">
        <f t="shared" si="534"/>
        <v>*HEV*</v>
      </c>
      <c r="AI674" s="25" t="str">
        <f t="shared" si="534"/>
        <v>TRADSL</v>
      </c>
      <c r="AJ674" s="25" t="str">
        <f t="shared" si="534"/>
        <v>TRAOTHWATDMD</v>
      </c>
      <c r="AK674" s="25" t="str">
        <f t="shared" si="534"/>
        <v>TRAOTHWATDMD</v>
      </c>
      <c r="AL674" s="26">
        <v>2050</v>
      </c>
      <c r="AM674" s="26" t="str">
        <f>AM672</f>
        <v>LO</v>
      </c>
      <c r="AN674" s="26"/>
      <c r="AO674" s="27">
        <f>-SUMIFS('TRA RESID'!$P:$P,'TRA RESID'!$I:$I,AK674,'TRA RESID'!$J:$J,AH674,'TRA RESID'!$H:$H,AI674)/SUMIFS('TRA RESID'!$P:$P,'TRA RESID'!$I:$I,AK674)*AS674</f>
        <v>0</v>
      </c>
      <c r="AP674" s="26"/>
      <c r="AQ674" s="26"/>
      <c r="AS674" s="28">
        <v>0</v>
      </c>
      <c r="AU674" s="23" t="str">
        <f>IF(AU673="*",AU673,"")</f>
        <v>*</v>
      </c>
      <c r="AV674" s="25" t="str">
        <f t="shared" si="535"/>
        <v>*FCEV*</v>
      </c>
      <c r="AW674" s="25" t="str">
        <f t="shared" si="535"/>
        <v>TRADSL</v>
      </c>
      <c r="AX674" s="25" t="str">
        <f t="shared" si="535"/>
        <v>TRAOTHWATDMD</v>
      </c>
      <c r="AY674" s="25" t="str">
        <f t="shared" si="535"/>
        <v>TRAOTHWATDMD</v>
      </c>
      <c r="AZ674" s="26">
        <v>2050</v>
      </c>
      <c r="BA674" s="26" t="str">
        <f>BA672</f>
        <v>LO</v>
      </c>
      <c r="BB674" s="26"/>
      <c r="BC674" s="27">
        <f>-SUMIFS('TRA RESID'!$P:$P,'TRA RESID'!$I:$I,AY674,'TRA RESID'!$J:$J,AV674,'TRA RESID'!$H:$H,AW674)/SUMIFS('TRA RESID'!$P:$P,'TRA RESID'!$I:$I,AY674)*BG674</f>
        <v>0</v>
      </c>
      <c r="BD674" s="26"/>
      <c r="BE674" s="26"/>
      <c r="BG674" s="28">
        <v>0</v>
      </c>
    </row>
    <row r="675" spans="1:59" x14ac:dyDescent="0.25">
      <c r="A675">
        <f>A670+1</f>
        <v>135</v>
      </c>
      <c r="C675" s="15" t="str">
        <f>IF(E675="","",IF(_xlfn.XLOOKUP($A675,Selected_constraint!$A:$A,Selected_constraint!$D:$D)=1,"*",IF(SUMIFS('TRA TECH'!$M:$M,'TRA TECH'!$H:$H,E675,'TRA TECH'!$I:$I,F675)=0,"*",IF(SUMIFS('TRA RESID'!$P:$P,'TRA RESID'!$I:$I,G675,'TRA RESID'!$J:$J,D675,'TRA RESID'!$H:$H,E675)=0,"*","UC_"&amp;SUBSTITUTE(D675,"*","")&amp;"_"&amp;RIGHT(E675,3)&amp;"_"&amp;F675))))</f>
        <v>*</v>
      </c>
      <c r="D675" s="17" t="s">
        <v>485</v>
      </c>
      <c r="E675" s="17" t="str">
        <f>_xlfn.XLOOKUP($A675,Selected_constraint!$A:$A,Selected_constraint!$B:$B)</f>
        <v>TRARDS</v>
      </c>
      <c r="F675" s="17" t="str">
        <f>_xlfn.XLOOKUP($A675,Selected_constraint!$A:$A,Selected_constraint!$C:$C)</f>
        <v>TRAOTHWATDMD</v>
      </c>
      <c r="G675" s="17" t="str">
        <f>F675</f>
        <v>TRAOTHWATDMD</v>
      </c>
      <c r="H675" s="18">
        <v>2019</v>
      </c>
      <c r="I675" s="18" t="s">
        <v>483</v>
      </c>
      <c r="J675" s="18">
        <v>1</v>
      </c>
      <c r="K675" s="20">
        <f>-SUMIFS('TRA RESID'!$P:$P,'TRA RESID'!$I:$I,G675,'TRA RESID'!$J:$J,D675,'TRA RESID'!$H:$H,E675)/SUMIFS('TRA RESID'!$P:$P,'TRA RESID'!$I:$I,G675)*O675</f>
        <v>0</v>
      </c>
      <c r="L675" s="18">
        <v>0</v>
      </c>
      <c r="M675" s="18">
        <v>5</v>
      </c>
      <c r="O675" s="21">
        <v>0.98</v>
      </c>
      <c r="Q675">
        <f>Q670+1</f>
        <v>135</v>
      </c>
      <c r="S675" s="15" t="str">
        <f>IF(SUMIFS('TRA RESID'!$P:$P,'TRA RESID'!$I:$I,W675,'TRA RESID'!$J:$J,T675,'TRA RESID'!$H:$H,U675)=0,"*","UC_"&amp;SUBSTITUTE(T675,"*","")&amp;"_"&amp;RIGHT(U675,3)&amp;"_"&amp;V675)</f>
        <v>*</v>
      </c>
      <c r="T675" s="17" t="s">
        <v>486</v>
      </c>
      <c r="U675" s="17" t="str">
        <f>_xlfn.XLOOKUP($A675,Selected_constraint!$A:$A,Selected_constraint!$B:$B)</f>
        <v>TRARDS</v>
      </c>
      <c r="V675" s="17" t="str">
        <f>_xlfn.XLOOKUP($A675,Selected_constraint!$A:$A,Selected_constraint!$C:$C)</f>
        <v>TRAOTHWATDMD</v>
      </c>
      <c r="W675" s="17" t="str">
        <f>V675</f>
        <v>TRAOTHWATDMD</v>
      </c>
      <c r="X675" s="18">
        <v>2019</v>
      </c>
      <c r="Y675" s="18" t="s">
        <v>483</v>
      </c>
      <c r="Z675" s="18">
        <v>1</v>
      </c>
      <c r="AA675" s="20">
        <f>-SUMIFS('TRA RESID'!$P:$P,'TRA RESID'!$I:$I,W675,'TRA RESID'!$J:$J,T675,'TRA RESID'!$H:$H,U675)/SUMIFS('TRA RESID'!$P:$P,'TRA RESID'!$I:$I,W675)*AE675</f>
        <v>0</v>
      </c>
      <c r="AB675" s="18">
        <v>0</v>
      </c>
      <c r="AC675" s="18">
        <v>5</v>
      </c>
      <c r="AE675" s="21">
        <v>0.98</v>
      </c>
      <c r="AG675" s="15" t="str">
        <f>IF(SUMIFS('TRA RESID'!$P:$P,'TRA RESID'!$I:$I,AK675,'TRA RESID'!$J:$J,AH675,'TRA RESID'!$H:$H,AI675)=0,"*","UC_"&amp;SUBSTITUTE(AH675,"*","")&amp;"_"&amp;RIGHT(AI675,3)&amp;"_"&amp;AJ675)</f>
        <v>*</v>
      </c>
      <c r="AH675" s="17" t="s">
        <v>487</v>
      </c>
      <c r="AI675" s="17" t="str">
        <f>_xlfn.XLOOKUP($A675,Selected_constraint!$A:$A,Selected_constraint!$B:$B)</f>
        <v>TRARDS</v>
      </c>
      <c r="AJ675" s="17" t="str">
        <f>_xlfn.XLOOKUP($A675,Selected_constraint!$A:$A,Selected_constraint!$C:$C)</f>
        <v>TRAOTHWATDMD</v>
      </c>
      <c r="AK675" s="17" t="str">
        <f>AJ675</f>
        <v>TRAOTHWATDMD</v>
      </c>
      <c r="AL675" s="18">
        <v>2019</v>
      </c>
      <c r="AM675" s="18" t="s">
        <v>483</v>
      </c>
      <c r="AN675" s="18">
        <v>1</v>
      </c>
      <c r="AO675" s="20">
        <f>-SUMIFS('TRA RESID'!$P:$P,'TRA RESID'!$I:$I,AK675,'TRA RESID'!$J:$J,AH675,'TRA RESID'!$H:$H,AI675)/SUMIFS('TRA RESID'!$P:$P,'TRA RESID'!$I:$I,AK675)*AS675</f>
        <v>0</v>
      </c>
      <c r="AP675" s="18">
        <v>0</v>
      </c>
      <c r="AQ675" s="18">
        <v>5</v>
      </c>
      <c r="AS675" s="21">
        <v>0.98</v>
      </c>
      <c r="AU675" s="15" t="str">
        <f>IF(SUMIFS('TRA RESID'!$P:$P,'TRA RESID'!$I:$I,AY675,'TRA RESID'!$J:$J,AV675,'TRA RESID'!$H:$H,AW675)=0,"*","UC_"&amp;SUBSTITUTE(AV675,"*","")&amp;"_"&amp;RIGHT(AW675,3)&amp;"_"&amp;AX675)</f>
        <v>*</v>
      </c>
      <c r="AV675" s="17" t="s">
        <v>488</v>
      </c>
      <c r="AW675" s="17" t="str">
        <f>_xlfn.XLOOKUP($A675,Selected_constraint!$A:$A,Selected_constraint!$B:$B)</f>
        <v>TRARDS</v>
      </c>
      <c r="AX675" s="17" t="str">
        <f>_xlfn.XLOOKUP($A675,Selected_constraint!$A:$A,Selected_constraint!$C:$C)</f>
        <v>TRAOTHWATDMD</v>
      </c>
      <c r="AY675" s="17" t="str">
        <f>AX675</f>
        <v>TRAOTHWATDMD</v>
      </c>
      <c r="AZ675" s="18">
        <v>2019</v>
      </c>
      <c r="BA675" s="18" t="s">
        <v>483</v>
      </c>
      <c r="BB675" s="18">
        <v>1</v>
      </c>
      <c r="BC675" s="20">
        <f>-SUMIFS('TRA RESID'!$P:$P,'TRA RESID'!$I:$I,AY675,'TRA RESID'!$J:$J,AV675,'TRA RESID'!$H:$H,AW675)/SUMIFS('TRA RESID'!$P:$P,'TRA RESID'!$I:$I,AY675)*BG675</f>
        <v>0</v>
      </c>
      <c r="BD675" s="18">
        <v>0</v>
      </c>
      <c r="BE675" s="18">
        <v>5</v>
      </c>
      <c r="BG675" s="21">
        <v>0.98</v>
      </c>
    </row>
    <row r="676" spans="1:59" x14ac:dyDescent="0.25">
      <c r="C676" s="15" t="str">
        <f>IF(C675="*",C675,"")</f>
        <v>*</v>
      </c>
      <c r="D676" s="17" t="str">
        <f t="shared" ref="D676:G679" si="536">D675</f>
        <v>*ICEV*</v>
      </c>
      <c r="E676" s="17" t="str">
        <f t="shared" si="536"/>
        <v>TRARDS</v>
      </c>
      <c r="F676" s="17" t="str">
        <f t="shared" si="536"/>
        <v>TRAOTHWATDMD</v>
      </c>
      <c r="G676" s="17" t="str">
        <f t="shared" si="536"/>
        <v>TRAOTHWATDMD</v>
      </c>
      <c r="H676" s="18">
        <v>2025</v>
      </c>
      <c r="I676" s="18" t="str">
        <f>I675</f>
        <v>LO</v>
      </c>
      <c r="J676" s="18"/>
      <c r="K676" s="20">
        <f>-SUMIFS('TRA RESID'!$P:$P,'TRA RESID'!$I:$I,G676,'TRA RESID'!$J:$J,D676,'TRA RESID'!$H:$H,E676)/SUMIFS('TRA RESID'!$P:$P,'TRA RESID'!$I:$I,G676)*O676</f>
        <v>0</v>
      </c>
      <c r="L676" s="18"/>
      <c r="M676" s="18"/>
      <c r="O676" s="21">
        <v>0.8</v>
      </c>
      <c r="S676" s="15" t="str">
        <f>IF(S675="*",S675,"")</f>
        <v>*</v>
      </c>
      <c r="T676" s="17" t="str">
        <f t="shared" ref="T676:W679" si="537">T675</f>
        <v>*BEV*</v>
      </c>
      <c r="U676" s="17" t="str">
        <f t="shared" si="537"/>
        <v>TRARDS</v>
      </c>
      <c r="V676" s="17" t="str">
        <f t="shared" si="537"/>
        <v>TRAOTHWATDMD</v>
      </c>
      <c r="W676" s="17" t="str">
        <f t="shared" si="537"/>
        <v>TRAOTHWATDMD</v>
      </c>
      <c r="X676" s="18">
        <v>2025</v>
      </c>
      <c r="Y676" s="18" t="str">
        <f>Y675</f>
        <v>LO</v>
      </c>
      <c r="Z676" s="18"/>
      <c r="AA676" s="20">
        <f>-SUMIFS('TRA RESID'!$P:$P,'TRA RESID'!$I:$I,W676,'TRA RESID'!$J:$J,T676,'TRA RESID'!$H:$H,U676)/SUMIFS('TRA RESID'!$P:$P,'TRA RESID'!$I:$I,W676)*AE676</f>
        <v>0</v>
      </c>
      <c r="AB676" s="18"/>
      <c r="AC676" s="18"/>
      <c r="AE676" s="21">
        <v>1</v>
      </c>
      <c r="AG676" s="15" t="str">
        <f>IF(AG675="*",AG675,"")</f>
        <v>*</v>
      </c>
      <c r="AH676" s="17" t="str">
        <f t="shared" ref="AH676:AK679" si="538">AH675</f>
        <v>*HEV*</v>
      </c>
      <c r="AI676" s="17" t="str">
        <f t="shared" si="538"/>
        <v>TRARDS</v>
      </c>
      <c r="AJ676" s="17" t="str">
        <f t="shared" si="538"/>
        <v>TRAOTHWATDMD</v>
      </c>
      <c r="AK676" s="17" t="str">
        <f t="shared" si="538"/>
        <v>TRAOTHWATDMD</v>
      </c>
      <c r="AL676" s="18">
        <v>2025</v>
      </c>
      <c r="AM676" s="18" t="str">
        <f>AM675</f>
        <v>LO</v>
      </c>
      <c r="AN676" s="18"/>
      <c r="AO676" s="20">
        <f>-SUMIFS('TRA RESID'!$P:$P,'TRA RESID'!$I:$I,AK676,'TRA RESID'!$J:$J,AH676,'TRA RESID'!$H:$H,AI676)/SUMIFS('TRA RESID'!$P:$P,'TRA RESID'!$I:$I,AK676)*AS676</f>
        <v>0</v>
      </c>
      <c r="AP676" s="18"/>
      <c r="AQ676" s="18"/>
      <c r="AS676" s="21">
        <v>0.8</v>
      </c>
      <c r="AU676" s="15" t="str">
        <f>IF(AU675="*",AU675,"")</f>
        <v>*</v>
      </c>
      <c r="AV676" s="17" t="str">
        <f t="shared" ref="AV676:AY679" si="539">AV675</f>
        <v>*FCEV*</v>
      </c>
      <c r="AW676" s="17" t="str">
        <f t="shared" si="539"/>
        <v>TRARDS</v>
      </c>
      <c r="AX676" s="17" t="str">
        <f t="shared" si="539"/>
        <v>TRAOTHWATDMD</v>
      </c>
      <c r="AY676" s="17" t="str">
        <f t="shared" si="539"/>
        <v>TRAOTHWATDMD</v>
      </c>
      <c r="AZ676" s="18">
        <v>2025</v>
      </c>
      <c r="BA676" s="18" t="str">
        <f>BA675</f>
        <v>LO</v>
      </c>
      <c r="BB676" s="18"/>
      <c r="BC676" s="20">
        <f>-SUMIFS('TRA RESID'!$P:$P,'TRA RESID'!$I:$I,AY676,'TRA RESID'!$J:$J,AV676,'TRA RESID'!$H:$H,AW676)/SUMIFS('TRA RESID'!$P:$P,'TRA RESID'!$I:$I,AY676)*BG676</f>
        <v>0</v>
      </c>
      <c r="BD676" s="18"/>
      <c r="BE676" s="18"/>
      <c r="BG676" s="21">
        <v>0.8</v>
      </c>
    </row>
    <row r="677" spans="1:59" x14ac:dyDescent="0.25">
      <c r="C677" s="15" t="str">
        <f>IF(C676="*",C676,"")</f>
        <v>*</v>
      </c>
      <c r="D677" s="17" t="str">
        <f t="shared" si="536"/>
        <v>*ICEV*</v>
      </c>
      <c r="E677" s="17" t="str">
        <f t="shared" si="536"/>
        <v>TRARDS</v>
      </c>
      <c r="F677" s="17" t="str">
        <f t="shared" si="536"/>
        <v>TRAOTHWATDMD</v>
      </c>
      <c r="G677" s="17" t="str">
        <f t="shared" si="536"/>
        <v>TRAOTHWATDMD</v>
      </c>
      <c r="H677" s="18">
        <v>2030</v>
      </c>
      <c r="I677" s="18" t="str">
        <f>I676</f>
        <v>LO</v>
      </c>
      <c r="J677" s="18"/>
      <c r="K677" s="20">
        <f>-SUMIFS('TRA RESID'!$P:$P,'TRA RESID'!$I:$I,G677,'TRA RESID'!$J:$J,D677,'TRA RESID'!$H:$H,E677)/SUMIFS('TRA RESID'!$P:$P,'TRA RESID'!$I:$I,G677)*O677</f>
        <v>0</v>
      </c>
      <c r="L677" s="18"/>
      <c r="M677" s="18"/>
      <c r="O677" s="21">
        <v>0.5</v>
      </c>
      <c r="S677" s="15" t="str">
        <f>IF(S676="*",S676,"")</f>
        <v>*</v>
      </c>
      <c r="T677" s="17" t="str">
        <f t="shared" si="537"/>
        <v>*BEV*</v>
      </c>
      <c r="U677" s="17" t="str">
        <f t="shared" si="537"/>
        <v>TRARDS</v>
      </c>
      <c r="V677" s="17" t="str">
        <f t="shared" si="537"/>
        <v>TRAOTHWATDMD</v>
      </c>
      <c r="W677" s="17" t="str">
        <f t="shared" si="537"/>
        <v>TRAOTHWATDMD</v>
      </c>
      <c r="X677" s="18">
        <v>2030</v>
      </c>
      <c r="Y677" s="18" t="str">
        <f>Y676</f>
        <v>LO</v>
      </c>
      <c r="Z677" s="18"/>
      <c r="AA677" s="20">
        <f>-SUMIFS('TRA RESID'!$P:$P,'TRA RESID'!$I:$I,W677,'TRA RESID'!$J:$J,T677,'TRA RESID'!$H:$H,U677)/SUMIFS('TRA RESID'!$P:$P,'TRA RESID'!$I:$I,W677)*AE677</f>
        <v>0</v>
      </c>
      <c r="AB677" s="18"/>
      <c r="AC677" s="18"/>
      <c r="AE677" s="21">
        <v>1</v>
      </c>
      <c r="AG677" s="15" t="str">
        <f>IF(AG676="*",AG676,"")</f>
        <v>*</v>
      </c>
      <c r="AH677" s="17" t="str">
        <f t="shared" si="538"/>
        <v>*HEV*</v>
      </c>
      <c r="AI677" s="17" t="str">
        <f t="shared" si="538"/>
        <v>TRARDS</v>
      </c>
      <c r="AJ677" s="17" t="str">
        <f t="shared" si="538"/>
        <v>TRAOTHWATDMD</v>
      </c>
      <c r="AK677" s="17" t="str">
        <f t="shared" si="538"/>
        <v>TRAOTHWATDMD</v>
      </c>
      <c r="AL677" s="18">
        <v>2030</v>
      </c>
      <c r="AM677" s="18" t="str">
        <f>AM676</f>
        <v>LO</v>
      </c>
      <c r="AN677" s="18"/>
      <c r="AO677" s="20">
        <f>-SUMIFS('TRA RESID'!$P:$P,'TRA RESID'!$I:$I,AK677,'TRA RESID'!$J:$J,AH677,'TRA RESID'!$H:$H,AI677)/SUMIFS('TRA RESID'!$P:$P,'TRA RESID'!$I:$I,AK677)*AS677</f>
        <v>0</v>
      </c>
      <c r="AP677" s="18"/>
      <c r="AQ677" s="18"/>
      <c r="AS677" s="21">
        <v>0.5</v>
      </c>
      <c r="AU677" s="15" t="str">
        <f>IF(AU676="*",AU676,"")</f>
        <v>*</v>
      </c>
      <c r="AV677" s="17" t="str">
        <f t="shared" si="539"/>
        <v>*FCEV*</v>
      </c>
      <c r="AW677" s="17" t="str">
        <f t="shared" si="539"/>
        <v>TRARDS</v>
      </c>
      <c r="AX677" s="17" t="str">
        <f t="shared" si="539"/>
        <v>TRAOTHWATDMD</v>
      </c>
      <c r="AY677" s="17" t="str">
        <f t="shared" si="539"/>
        <v>TRAOTHWATDMD</v>
      </c>
      <c r="AZ677" s="18">
        <v>2030</v>
      </c>
      <c r="BA677" s="18" t="str">
        <f>BA676</f>
        <v>LO</v>
      </c>
      <c r="BB677" s="18"/>
      <c r="BC677" s="20">
        <f>-SUMIFS('TRA RESID'!$P:$P,'TRA RESID'!$I:$I,AY677,'TRA RESID'!$J:$J,AV677,'TRA RESID'!$H:$H,AW677)/SUMIFS('TRA RESID'!$P:$P,'TRA RESID'!$I:$I,AY677)*BG677</f>
        <v>0</v>
      </c>
      <c r="BD677" s="18"/>
      <c r="BE677" s="18"/>
      <c r="BG677" s="21">
        <v>0.5</v>
      </c>
    </row>
    <row r="678" spans="1:59" x14ac:dyDescent="0.25">
      <c r="C678" s="15" t="str">
        <f>IF(C677="*",C677,"")</f>
        <v>*</v>
      </c>
      <c r="D678" s="17" t="str">
        <f t="shared" si="536"/>
        <v>*ICEV*</v>
      </c>
      <c r="E678" s="17" t="str">
        <f t="shared" si="536"/>
        <v>TRARDS</v>
      </c>
      <c r="F678" s="17" t="str">
        <f t="shared" si="536"/>
        <v>TRAOTHWATDMD</v>
      </c>
      <c r="G678" s="17" t="str">
        <f t="shared" si="536"/>
        <v>TRAOTHWATDMD</v>
      </c>
      <c r="H678" s="18">
        <v>2040</v>
      </c>
      <c r="I678" s="18" t="str">
        <f>I677</f>
        <v>LO</v>
      </c>
      <c r="J678" s="18"/>
      <c r="K678" s="20">
        <f>-SUMIFS('TRA RESID'!$P:$P,'TRA RESID'!$I:$I,G678,'TRA RESID'!$J:$J,D678,'TRA RESID'!$H:$H,E678)/SUMIFS('TRA RESID'!$P:$P,'TRA RESID'!$I:$I,G678)*O678</f>
        <v>0</v>
      </c>
      <c r="L678" s="18"/>
      <c r="M678" s="18"/>
      <c r="O678" s="21">
        <v>0</v>
      </c>
      <c r="S678" s="15" t="str">
        <f>IF(S677="*",S677,"")</f>
        <v>*</v>
      </c>
      <c r="T678" s="17" t="str">
        <f t="shared" si="537"/>
        <v>*BEV*</v>
      </c>
      <c r="U678" s="17" t="str">
        <f t="shared" si="537"/>
        <v>TRARDS</v>
      </c>
      <c r="V678" s="17" t="str">
        <f t="shared" si="537"/>
        <v>TRAOTHWATDMD</v>
      </c>
      <c r="W678" s="17" t="str">
        <f t="shared" si="537"/>
        <v>TRAOTHWATDMD</v>
      </c>
      <c r="X678" s="18">
        <v>2040</v>
      </c>
      <c r="Y678" s="18" t="str">
        <f>Y677</f>
        <v>LO</v>
      </c>
      <c r="Z678" s="18"/>
      <c r="AA678" s="20">
        <f>-SUMIFS('TRA RESID'!$P:$P,'TRA RESID'!$I:$I,W678,'TRA RESID'!$J:$J,T678,'TRA RESID'!$H:$H,U678)/SUMIFS('TRA RESID'!$P:$P,'TRA RESID'!$I:$I,W678)*AE678</f>
        <v>0</v>
      </c>
      <c r="AB678" s="18"/>
      <c r="AC678" s="18"/>
      <c r="AE678" s="21">
        <v>1</v>
      </c>
      <c r="AG678" s="15" t="str">
        <f>IF(AG677="*",AG677,"")</f>
        <v>*</v>
      </c>
      <c r="AH678" s="17" t="str">
        <f t="shared" si="538"/>
        <v>*HEV*</v>
      </c>
      <c r="AI678" s="17" t="str">
        <f t="shared" si="538"/>
        <v>TRARDS</v>
      </c>
      <c r="AJ678" s="17" t="str">
        <f t="shared" si="538"/>
        <v>TRAOTHWATDMD</v>
      </c>
      <c r="AK678" s="17" t="str">
        <f t="shared" si="538"/>
        <v>TRAOTHWATDMD</v>
      </c>
      <c r="AL678" s="18">
        <v>2040</v>
      </c>
      <c r="AM678" s="18" t="str">
        <f>AM677</f>
        <v>LO</v>
      </c>
      <c r="AN678" s="18"/>
      <c r="AO678" s="20">
        <f>-SUMIFS('TRA RESID'!$P:$P,'TRA RESID'!$I:$I,AK678,'TRA RESID'!$J:$J,AH678,'TRA RESID'!$H:$H,AI678)/SUMIFS('TRA RESID'!$P:$P,'TRA RESID'!$I:$I,AK678)*AS678</f>
        <v>0</v>
      </c>
      <c r="AP678" s="18"/>
      <c r="AQ678" s="18"/>
      <c r="AS678" s="21">
        <v>0</v>
      </c>
      <c r="AU678" s="15" t="str">
        <f>IF(AU677="*",AU677,"")</f>
        <v>*</v>
      </c>
      <c r="AV678" s="17" t="str">
        <f t="shared" si="539"/>
        <v>*FCEV*</v>
      </c>
      <c r="AW678" s="17" t="str">
        <f t="shared" si="539"/>
        <v>TRARDS</v>
      </c>
      <c r="AX678" s="17" t="str">
        <f t="shared" si="539"/>
        <v>TRAOTHWATDMD</v>
      </c>
      <c r="AY678" s="17" t="str">
        <f t="shared" si="539"/>
        <v>TRAOTHWATDMD</v>
      </c>
      <c r="AZ678" s="18">
        <v>2040</v>
      </c>
      <c r="BA678" s="18" t="str">
        <f>BA677</f>
        <v>LO</v>
      </c>
      <c r="BB678" s="18"/>
      <c r="BC678" s="20">
        <f>-SUMIFS('TRA RESID'!$P:$P,'TRA RESID'!$I:$I,AY678,'TRA RESID'!$J:$J,AV678,'TRA RESID'!$H:$H,AW678)/SUMIFS('TRA RESID'!$P:$P,'TRA RESID'!$I:$I,AY678)*BG678</f>
        <v>0</v>
      </c>
      <c r="BD678" s="18"/>
      <c r="BE678" s="18"/>
      <c r="BG678" s="21">
        <v>0</v>
      </c>
    </row>
    <row r="679" spans="1:59" x14ac:dyDescent="0.25">
      <c r="C679" s="23" t="str">
        <f>IF(C678="*",C678,"")</f>
        <v>*</v>
      </c>
      <c r="D679" s="25" t="str">
        <f t="shared" si="536"/>
        <v>*ICEV*</v>
      </c>
      <c r="E679" s="25" t="str">
        <f t="shared" si="536"/>
        <v>TRARDS</v>
      </c>
      <c r="F679" s="25" t="str">
        <f t="shared" si="536"/>
        <v>TRAOTHWATDMD</v>
      </c>
      <c r="G679" s="25" t="str">
        <f t="shared" si="536"/>
        <v>TRAOTHWATDMD</v>
      </c>
      <c r="H679" s="26">
        <v>2050</v>
      </c>
      <c r="I679" s="26" t="str">
        <f>I677</f>
        <v>LO</v>
      </c>
      <c r="J679" s="26"/>
      <c r="K679" s="27">
        <f>-SUMIFS('TRA RESID'!$P:$P,'TRA RESID'!$I:$I,G679,'TRA RESID'!$J:$J,D679,'TRA RESID'!$H:$H,E679)/SUMIFS('TRA RESID'!$P:$P,'TRA RESID'!$I:$I,G679)*O679</f>
        <v>0</v>
      </c>
      <c r="L679" s="26"/>
      <c r="M679" s="26"/>
      <c r="O679" s="28">
        <v>0</v>
      </c>
      <c r="S679" s="23" t="str">
        <f>IF(S678="*",S678,"")</f>
        <v>*</v>
      </c>
      <c r="T679" s="25" t="str">
        <f t="shared" si="537"/>
        <v>*BEV*</v>
      </c>
      <c r="U679" s="25" t="str">
        <f t="shared" si="537"/>
        <v>TRARDS</v>
      </c>
      <c r="V679" s="25" t="str">
        <f t="shared" si="537"/>
        <v>TRAOTHWATDMD</v>
      </c>
      <c r="W679" s="25" t="str">
        <f t="shared" si="537"/>
        <v>TRAOTHWATDMD</v>
      </c>
      <c r="X679" s="26">
        <v>2050</v>
      </c>
      <c r="Y679" s="26" t="str">
        <f>Y677</f>
        <v>LO</v>
      </c>
      <c r="Z679" s="26"/>
      <c r="AA679" s="27">
        <f>-SUMIFS('TRA RESID'!$P:$P,'TRA RESID'!$I:$I,W679,'TRA RESID'!$J:$J,T679,'TRA RESID'!$H:$H,U679)/SUMIFS('TRA RESID'!$P:$P,'TRA RESID'!$I:$I,W679)*AE679</f>
        <v>0</v>
      </c>
      <c r="AB679" s="26"/>
      <c r="AC679" s="26"/>
      <c r="AE679" s="28">
        <v>1</v>
      </c>
      <c r="AG679" s="23" t="str">
        <f>IF(AG678="*",AG678,"")</f>
        <v>*</v>
      </c>
      <c r="AH679" s="25" t="str">
        <f t="shared" si="538"/>
        <v>*HEV*</v>
      </c>
      <c r="AI679" s="25" t="str">
        <f t="shared" si="538"/>
        <v>TRARDS</v>
      </c>
      <c r="AJ679" s="25" t="str">
        <f t="shared" si="538"/>
        <v>TRAOTHWATDMD</v>
      </c>
      <c r="AK679" s="25" t="str">
        <f t="shared" si="538"/>
        <v>TRAOTHWATDMD</v>
      </c>
      <c r="AL679" s="26">
        <v>2050</v>
      </c>
      <c r="AM679" s="26" t="str">
        <f>AM677</f>
        <v>LO</v>
      </c>
      <c r="AN679" s="26"/>
      <c r="AO679" s="27">
        <f>-SUMIFS('TRA RESID'!$P:$P,'TRA RESID'!$I:$I,AK679,'TRA RESID'!$J:$J,AH679,'TRA RESID'!$H:$H,AI679)/SUMIFS('TRA RESID'!$P:$P,'TRA RESID'!$I:$I,AK679)*AS679</f>
        <v>0</v>
      </c>
      <c r="AP679" s="26"/>
      <c r="AQ679" s="26"/>
      <c r="AS679" s="28">
        <v>0</v>
      </c>
      <c r="AU679" s="23" t="str">
        <f>IF(AU678="*",AU678,"")</f>
        <v>*</v>
      </c>
      <c r="AV679" s="25" t="str">
        <f t="shared" si="539"/>
        <v>*FCEV*</v>
      </c>
      <c r="AW679" s="25" t="str">
        <f t="shared" si="539"/>
        <v>TRARDS</v>
      </c>
      <c r="AX679" s="25" t="str">
        <f t="shared" si="539"/>
        <v>TRAOTHWATDMD</v>
      </c>
      <c r="AY679" s="25" t="str">
        <f t="shared" si="539"/>
        <v>TRAOTHWATDMD</v>
      </c>
      <c r="AZ679" s="26">
        <v>2050</v>
      </c>
      <c r="BA679" s="26" t="str">
        <f>BA677</f>
        <v>LO</v>
      </c>
      <c r="BB679" s="26"/>
      <c r="BC679" s="27">
        <f>-SUMIFS('TRA RESID'!$P:$P,'TRA RESID'!$I:$I,AY679,'TRA RESID'!$J:$J,AV679,'TRA RESID'!$H:$H,AW679)/SUMIFS('TRA RESID'!$P:$P,'TRA RESID'!$I:$I,AY679)*BG679</f>
        <v>0</v>
      </c>
      <c r="BD679" s="26"/>
      <c r="BE679" s="26"/>
      <c r="BG679" s="28">
        <v>0</v>
      </c>
    </row>
    <row r="680" spans="1:59" x14ac:dyDescent="0.25">
      <c r="A680">
        <f>A675+1</f>
        <v>136</v>
      </c>
      <c r="C680" s="15" t="str">
        <f>IF(E680="","",IF(_xlfn.XLOOKUP($A680,Selected_constraint!$A:$A,Selected_constraint!$D:$D)=1,"*",IF(SUMIFS('TRA TECH'!$M:$M,'TRA TECH'!$H:$H,E680,'TRA TECH'!$I:$I,F680)=0,"*",IF(SUMIFS('TRA RESID'!$P:$P,'TRA RESID'!$I:$I,G680,'TRA RESID'!$J:$J,D680,'TRA RESID'!$H:$H,E680)=0,"*","UC_"&amp;SUBSTITUTE(D680,"*","")&amp;"_"&amp;RIGHT(E680,3)&amp;"_"&amp;F680))))</f>
        <v>*</v>
      </c>
      <c r="D680" s="17" t="s">
        <v>485</v>
      </c>
      <c r="E680" s="17" t="str">
        <f>_xlfn.XLOOKUP($A680,Selected_constraint!$A:$A,Selected_constraint!$B:$B)</f>
        <v>TRABDS</v>
      </c>
      <c r="F680" s="17" t="str">
        <f>_xlfn.XLOOKUP($A680,Selected_constraint!$A:$A,Selected_constraint!$C:$C)</f>
        <v>TRAOTHWATDMD</v>
      </c>
      <c r="G680" s="17" t="str">
        <f>F680</f>
        <v>TRAOTHWATDMD</v>
      </c>
      <c r="H680" s="18">
        <v>2019</v>
      </c>
      <c r="I680" s="18" t="s">
        <v>483</v>
      </c>
      <c r="J680" s="18">
        <v>1</v>
      </c>
      <c r="K680" s="20">
        <f>-SUMIFS('TRA RESID'!$P:$P,'TRA RESID'!$I:$I,G680,'TRA RESID'!$J:$J,D680,'TRA RESID'!$H:$H,E680)/SUMIFS('TRA RESID'!$P:$P,'TRA RESID'!$I:$I,G680)*O680</f>
        <v>0</v>
      </c>
      <c r="L680" s="18">
        <v>0</v>
      </c>
      <c r="M680" s="18">
        <v>5</v>
      </c>
      <c r="O680" s="21">
        <v>0.98</v>
      </c>
      <c r="Q680">
        <f>Q675+1</f>
        <v>136</v>
      </c>
      <c r="S680" s="15" t="str">
        <f>IF(SUMIFS('TRA RESID'!$P:$P,'TRA RESID'!$I:$I,W680,'TRA RESID'!$J:$J,T680,'TRA RESID'!$H:$H,U680)=0,"*","UC_"&amp;SUBSTITUTE(T680,"*","")&amp;"_"&amp;RIGHT(U680,3)&amp;"_"&amp;V680)</f>
        <v>*</v>
      </c>
      <c r="T680" s="17" t="s">
        <v>486</v>
      </c>
      <c r="U680" s="17" t="str">
        <f>_xlfn.XLOOKUP($A680,Selected_constraint!$A:$A,Selected_constraint!$B:$B)</f>
        <v>TRABDS</v>
      </c>
      <c r="V680" s="17" t="str">
        <f>_xlfn.XLOOKUP($A680,Selected_constraint!$A:$A,Selected_constraint!$C:$C)</f>
        <v>TRAOTHWATDMD</v>
      </c>
      <c r="W680" s="17" t="str">
        <f>V680</f>
        <v>TRAOTHWATDMD</v>
      </c>
      <c r="X680" s="18">
        <v>2019</v>
      </c>
      <c r="Y680" s="18" t="s">
        <v>483</v>
      </c>
      <c r="Z680" s="18">
        <v>1</v>
      </c>
      <c r="AA680" s="20">
        <f>-SUMIFS('TRA RESID'!$P:$P,'TRA RESID'!$I:$I,W680,'TRA RESID'!$J:$J,T680,'TRA RESID'!$H:$H,U680)/SUMIFS('TRA RESID'!$P:$P,'TRA RESID'!$I:$I,W680)*AE680</f>
        <v>0</v>
      </c>
      <c r="AB680" s="18">
        <v>0</v>
      </c>
      <c r="AC680" s="18">
        <v>5</v>
      </c>
      <c r="AE680" s="21">
        <v>0.98</v>
      </c>
      <c r="AG680" s="15" t="str">
        <f>IF(SUMIFS('TRA RESID'!$P:$P,'TRA RESID'!$I:$I,AK680,'TRA RESID'!$J:$J,AH680,'TRA RESID'!$H:$H,AI680)=0,"*","UC_"&amp;SUBSTITUTE(AH680,"*","")&amp;"_"&amp;RIGHT(AI680,3)&amp;"_"&amp;AJ680)</f>
        <v>*</v>
      </c>
      <c r="AH680" s="17" t="s">
        <v>487</v>
      </c>
      <c r="AI680" s="17" t="str">
        <f>_xlfn.XLOOKUP($A680,Selected_constraint!$A:$A,Selected_constraint!$B:$B)</f>
        <v>TRABDS</v>
      </c>
      <c r="AJ680" s="17" t="str">
        <f>_xlfn.XLOOKUP($A680,Selected_constraint!$A:$A,Selected_constraint!$C:$C)</f>
        <v>TRAOTHWATDMD</v>
      </c>
      <c r="AK680" s="17" t="str">
        <f>AJ680</f>
        <v>TRAOTHWATDMD</v>
      </c>
      <c r="AL680" s="18">
        <v>2019</v>
      </c>
      <c r="AM680" s="18" t="s">
        <v>483</v>
      </c>
      <c r="AN680" s="18">
        <v>1</v>
      </c>
      <c r="AO680" s="20">
        <f>-SUMIFS('TRA RESID'!$P:$P,'TRA RESID'!$I:$I,AK680,'TRA RESID'!$J:$J,AH680,'TRA RESID'!$H:$H,AI680)/SUMIFS('TRA RESID'!$P:$P,'TRA RESID'!$I:$I,AK680)*AS680</f>
        <v>0</v>
      </c>
      <c r="AP680" s="18">
        <v>0</v>
      </c>
      <c r="AQ680" s="18">
        <v>5</v>
      </c>
      <c r="AS680" s="21">
        <v>0.98</v>
      </c>
      <c r="AU680" s="15" t="str">
        <f>IF(SUMIFS('TRA RESID'!$P:$P,'TRA RESID'!$I:$I,AY680,'TRA RESID'!$J:$J,AV680,'TRA RESID'!$H:$H,AW680)=0,"*","UC_"&amp;SUBSTITUTE(AV680,"*","")&amp;"_"&amp;RIGHT(AW680,3)&amp;"_"&amp;AX680)</f>
        <v>*</v>
      </c>
      <c r="AV680" s="17" t="s">
        <v>488</v>
      </c>
      <c r="AW680" s="17" t="str">
        <f>_xlfn.XLOOKUP($A680,Selected_constraint!$A:$A,Selected_constraint!$B:$B)</f>
        <v>TRABDS</v>
      </c>
      <c r="AX680" s="17" t="str">
        <f>_xlfn.XLOOKUP($A680,Selected_constraint!$A:$A,Selected_constraint!$C:$C)</f>
        <v>TRAOTHWATDMD</v>
      </c>
      <c r="AY680" s="17" t="str">
        <f>AX680</f>
        <v>TRAOTHWATDMD</v>
      </c>
      <c r="AZ680" s="18">
        <v>2019</v>
      </c>
      <c r="BA680" s="18" t="s">
        <v>483</v>
      </c>
      <c r="BB680" s="18">
        <v>1</v>
      </c>
      <c r="BC680" s="20">
        <f>-SUMIFS('TRA RESID'!$P:$P,'TRA RESID'!$I:$I,AY680,'TRA RESID'!$J:$J,AV680,'TRA RESID'!$H:$H,AW680)/SUMIFS('TRA RESID'!$P:$P,'TRA RESID'!$I:$I,AY680)*BG680</f>
        <v>0</v>
      </c>
      <c r="BD680" s="18">
        <v>0</v>
      </c>
      <c r="BE680" s="18">
        <v>5</v>
      </c>
      <c r="BG680" s="21">
        <v>0.98</v>
      </c>
    </row>
    <row r="681" spans="1:59" x14ac:dyDescent="0.25">
      <c r="C681" s="15" t="str">
        <f>IF(C680="*",C680,"")</f>
        <v>*</v>
      </c>
      <c r="D681" s="17" t="str">
        <f t="shared" ref="D681:G684" si="540">D680</f>
        <v>*ICEV*</v>
      </c>
      <c r="E681" s="17" t="str">
        <f t="shared" si="540"/>
        <v>TRABDS</v>
      </c>
      <c r="F681" s="17" t="str">
        <f t="shared" si="540"/>
        <v>TRAOTHWATDMD</v>
      </c>
      <c r="G681" s="17" t="str">
        <f t="shared" si="540"/>
        <v>TRAOTHWATDMD</v>
      </c>
      <c r="H681" s="18">
        <v>2025</v>
      </c>
      <c r="I681" s="18" t="str">
        <f>I680</f>
        <v>LO</v>
      </c>
      <c r="J681" s="18"/>
      <c r="K681" s="20">
        <f>-SUMIFS('TRA RESID'!$P:$P,'TRA RESID'!$I:$I,G681,'TRA RESID'!$J:$J,D681,'TRA RESID'!$H:$H,E681)/SUMIFS('TRA RESID'!$P:$P,'TRA RESID'!$I:$I,G681)*O681</f>
        <v>0</v>
      </c>
      <c r="L681" s="18"/>
      <c r="M681" s="18"/>
      <c r="O681" s="21">
        <v>0.8</v>
      </c>
      <c r="S681" s="15" t="str">
        <f>IF(S680="*",S680,"")</f>
        <v>*</v>
      </c>
      <c r="T681" s="17" t="str">
        <f t="shared" ref="T681:W684" si="541">T680</f>
        <v>*BEV*</v>
      </c>
      <c r="U681" s="17" t="str">
        <f t="shared" si="541"/>
        <v>TRABDS</v>
      </c>
      <c r="V681" s="17" t="str">
        <f t="shared" si="541"/>
        <v>TRAOTHWATDMD</v>
      </c>
      <c r="W681" s="17" t="str">
        <f t="shared" si="541"/>
        <v>TRAOTHWATDMD</v>
      </c>
      <c r="X681" s="18">
        <v>2025</v>
      </c>
      <c r="Y681" s="18" t="str">
        <f>Y680</f>
        <v>LO</v>
      </c>
      <c r="Z681" s="18"/>
      <c r="AA681" s="20">
        <f>-SUMIFS('TRA RESID'!$P:$P,'TRA RESID'!$I:$I,W681,'TRA RESID'!$J:$J,T681,'TRA RESID'!$H:$H,U681)/SUMIFS('TRA RESID'!$P:$P,'TRA RESID'!$I:$I,W681)*AE681</f>
        <v>0</v>
      </c>
      <c r="AB681" s="18"/>
      <c r="AC681" s="18"/>
      <c r="AE681" s="21">
        <v>1</v>
      </c>
      <c r="AG681" s="15" t="str">
        <f>IF(AG680="*",AG680,"")</f>
        <v>*</v>
      </c>
      <c r="AH681" s="17" t="str">
        <f t="shared" ref="AH681:AK684" si="542">AH680</f>
        <v>*HEV*</v>
      </c>
      <c r="AI681" s="17" t="str">
        <f t="shared" si="542"/>
        <v>TRABDS</v>
      </c>
      <c r="AJ681" s="17" t="str">
        <f t="shared" si="542"/>
        <v>TRAOTHWATDMD</v>
      </c>
      <c r="AK681" s="17" t="str">
        <f t="shared" si="542"/>
        <v>TRAOTHWATDMD</v>
      </c>
      <c r="AL681" s="18">
        <v>2025</v>
      </c>
      <c r="AM681" s="18" t="str">
        <f>AM680</f>
        <v>LO</v>
      </c>
      <c r="AN681" s="18"/>
      <c r="AO681" s="20">
        <f>-SUMIFS('TRA RESID'!$P:$P,'TRA RESID'!$I:$I,AK681,'TRA RESID'!$J:$J,AH681,'TRA RESID'!$H:$H,AI681)/SUMIFS('TRA RESID'!$P:$P,'TRA RESID'!$I:$I,AK681)*AS681</f>
        <v>0</v>
      </c>
      <c r="AP681" s="18"/>
      <c r="AQ681" s="18"/>
      <c r="AS681" s="21">
        <v>0.8</v>
      </c>
      <c r="AU681" s="15" t="str">
        <f>IF(AU680="*",AU680,"")</f>
        <v>*</v>
      </c>
      <c r="AV681" s="17" t="str">
        <f t="shared" ref="AV681:AY684" si="543">AV680</f>
        <v>*FCEV*</v>
      </c>
      <c r="AW681" s="17" t="str">
        <f t="shared" si="543"/>
        <v>TRABDS</v>
      </c>
      <c r="AX681" s="17" t="str">
        <f t="shared" si="543"/>
        <v>TRAOTHWATDMD</v>
      </c>
      <c r="AY681" s="17" t="str">
        <f t="shared" si="543"/>
        <v>TRAOTHWATDMD</v>
      </c>
      <c r="AZ681" s="18">
        <v>2025</v>
      </c>
      <c r="BA681" s="18" t="str">
        <f>BA680</f>
        <v>LO</v>
      </c>
      <c r="BB681" s="18"/>
      <c r="BC681" s="20">
        <f>-SUMIFS('TRA RESID'!$P:$P,'TRA RESID'!$I:$I,AY681,'TRA RESID'!$J:$J,AV681,'TRA RESID'!$H:$H,AW681)/SUMIFS('TRA RESID'!$P:$P,'TRA RESID'!$I:$I,AY681)*BG681</f>
        <v>0</v>
      </c>
      <c r="BD681" s="18"/>
      <c r="BE681" s="18"/>
      <c r="BG681" s="21">
        <v>0.8</v>
      </c>
    </row>
    <row r="682" spans="1:59" x14ac:dyDescent="0.25">
      <c r="C682" s="15" t="str">
        <f>IF(C681="*",C681,"")</f>
        <v>*</v>
      </c>
      <c r="D682" s="17" t="str">
        <f t="shared" si="540"/>
        <v>*ICEV*</v>
      </c>
      <c r="E682" s="17" t="str">
        <f t="shared" si="540"/>
        <v>TRABDS</v>
      </c>
      <c r="F682" s="17" t="str">
        <f t="shared" si="540"/>
        <v>TRAOTHWATDMD</v>
      </c>
      <c r="G682" s="17" t="str">
        <f t="shared" si="540"/>
        <v>TRAOTHWATDMD</v>
      </c>
      <c r="H682" s="18">
        <v>2030</v>
      </c>
      <c r="I682" s="18" t="str">
        <f>I681</f>
        <v>LO</v>
      </c>
      <c r="J682" s="18"/>
      <c r="K682" s="20">
        <f>-SUMIFS('TRA RESID'!$P:$P,'TRA RESID'!$I:$I,G682,'TRA RESID'!$J:$J,D682,'TRA RESID'!$H:$H,E682)/SUMIFS('TRA RESID'!$P:$P,'TRA RESID'!$I:$I,G682)*O682</f>
        <v>0</v>
      </c>
      <c r="L682" s="18"/>
      <c r="M682" s="18"/>
      <c r="O682" s="21">
        <v>0.5</v>
      </c>
      <c r="S682" s="15" t="str">
        <f>IF(S681="*",S681,"")</f>
        <v>*</v>
      </c>
      <c r="T682" s="17" t="str">
        <f t="shared" si="541"/>
        <v>*BEV*</v>
      </c>
      <c r="U682" s="17" t="str">
        <f t="shared" si="541"/>
        <v>TRABDS</v>
      </c>
      <c r="V682" s="17" t="str">
        <f t="shared" si="541"/>
        <v>TRAOTHWATDMD</v>
      </c>
      <c r="W682" s="17" t="str">
        <f t="shared" si="541"/>
        <v>TRAOTHWATDMD</v>
      </c>
      <c r="X682" s="18">
        <v>2030</v>
      </c>
      <c r="Y682" s="18" t="str">
        <f>Y681</f>
        <v>LO</v>
      </c>
      <c r="Z682" s="18"/>
      <c r="AA682" s="20">
        <f>-SUMIFS('TRA RESID'!$P:$P,'TRA RESID'!$I:$I,W682,'TRA RESID'!$J:$J,T682,'TRA RESID'!$H:$H,U682)/SUMIFS('TRA RESID'!$P:$P,'TRA RESID'!$I:$I,W682)*AE682</f>
        <v>0</v>
      </c>
      <c r="AB682" s="18"/>
      <c r="AC682" s="18"/>
      <c r="AE682" s="21">
        <v>1</v>
      </c>
      <c r="AG682" s="15" t="str">
        <f>IF(AG681="*",AG681,"")</f>
        <v>*</v>
      </c>
      <c r="AH682" s="17" t="str">
        <f t="shared" si="542"/>
        <v>*HEV*</v>
      </c>
      <c r="AI682" s="17" t="str">
        <f t="shared" si="542"/>
        <v>TRABDS</v>
      </c>
      <c r="AJ682" s="17" t="str">
        <f t="shared" si="542"/>
        <v>TRAOTHWATDMD</v>
      </c>
      <c r="AK682" s="17" t="str">
        <f t="shared" si="542"/>
        <v>TRAOTHWATDMD</v>
      </c>
      <c r="AL682" s="18">
        <v>2030</v>
      </c>
      <c r="AM682" s="18" t="str">
        <f>AM681</f>
        <v>LO</v>
      </c>
      <c r="AN682" s="18"/>
      <c r="AO682" s="20">
        <f>-SUMIFS('TRA RESID'!$P:$P,'TRA RESID'!$I:$I,AK682,'TRA RESID'!$J:$J,AH682,'TRA RESID'!$H:$H,AI682)/SUMIFS('TRA RESID'!$P:$P,'TRA RESID'!$I:$I,AK682)*AS682</f>
        <v>0</v>
      </c>
      <c r="AP682" s="18"/>
      <c r="AQ682" s="18"/>
      <c r="AS682" s="21">
        <v>0.5</v>
      </c>
      <c r="AU682" s="15" t="str">
        <f>IF(AU681="*",AU681,"")</f>
        <v>*</v>
      </c>
      <c r="AV682" s="17" t="str">
        <f t="shared" si="543"/>
        <v>*FCEV*</v>
      </c>
      <c r="AW682" s="17" t="str">
        <f t="shared" si="543"/>
        <v>TRABDS</v>
      </c>
      <c r="AX682" s="17" t="str">
        <f t="shared" si="543"/>
        <v>TRAOTHWATDMD</v>
      </c>
      <c r="AY682" s="17" t="str">
        <f t="shared" si="543"/>
        <v>TRAOTHWATDMD</v>
      </c>
      <c r="AZ682" s="18">
        <v>2030</v>
      </c>
      <c r="BA682" s="18" t="str">
        <f>BA681</f>
        <v>LO</v>
      </c>
      <c r="BB682" s="18"/>
      <c r="BC682" s="20">
        <f>-SUMIFS('TRA RESID'!$P:$P,'TRA RESID'!$I:$I,AY682,'TRA RESID'!$J:$J,AV682,'TRA RESID'!$H:$H,AW682)/SUMIFS('TRA RESID'!$P:$P,'TRA RESID'!$I:$I,AY682)*BG682</f>
        <v>0</v>
      </c>
      <c r="BD682" s="18"/>
      <c r="BE682" s="18"/>
      <c r="BG682" s="21">
        <v>0.5</v>
      </c>
    </row>
    <row r="683" spans="1:59" x14ac:dyDescent="0.25">
      <c r="C683" s="15" t="str">
        <f>IF(C682="*",C682,"")</f>
        <v>*</v>
      </c>
      <c r="D683" s="17" t="str">
        <f t="shared" si="540"/>
        <v>*ICEV*</v>
      </c>
      <c r="E683" s="17" t="str">
        <f t="shared" si="540"/>
        <v>TRABDS</v>
      </c>
      <c r="F683" s="17" t="str">
        <f t="shared" si="540"/>
        <v>TRAOTHWATDMD</v>
      </c>
      <c r="G683" s="17" t="str">
        <f t="shared" si="540"/>
        <v>TRAOTHWATDMD</v>
      </c>
      <c r="H683" s="18">
        <v>2040</v>
      </c>
      <c r="I683" s="18" t="str">
        <f>I682</f>
        <v>LO</v>
      </c>
      <c r="J683" s="18"/>
      <c r="K683" s="20">
        <f>-SUMIFS('TRA RESID'!$P:$P,'TRA RESID'!$I:$I,G683,'TRA RESID'!$J:$J,D683,'TRA RESID'!$H:$H,E683)/SUMIFS('TRA RESID'!$P:$P,'TRA RESID'!$I:$I,G683)*O683</f>
        <v>0</v>
      </c>
      <c r="L683" s="18"/>
      <c r="M683" s="18"/>
      <c r="O683" s="21">
        <v>0</v>
      </c>
      <c r="S683" s="15" t="str">
        <f>IF(S682="*",S682,"")</f>
        <v>*</v>
      </c>
      <c r="T683" s="17" t="str">
        <f t="shared" si="541"/>
        <v>*BEV*</v>
      </c>
      <c r="U683" s="17" t="str">
        <f t="shared" si="541"/>
        <v>TRABDS</v>
      </c>
      <c r="V683" s="17" t="str">
        <f t="shared" si="541"/>
        <v>TRAOTHWATDMD</v>
      </c>
      <c r="W683" s="17" t="str">
        <f t="shared" si="541"/>
        <v>TRAOTHWATDMD</v>
      </c>
      <c r="X683" s="18">
        <v>2040</v>
      </c>
      <c r="Y683" s="18" t="str">
        <f>Y682</f>
        <v>LO</v>
      </c>
      <c r="Z683" s="18"/>
      <c r="AA683" s="20">
        <f>-SUMIFS('TRA RESID'!$P:$P,'TRA RESID'!$I:$I,W683,'TRA RESID'!$J:$J,T683,'TRA RESID'!$H:$H,U683)/SUMIFS('TRA RESID'!$P:$P,'TRA RESID'!$I:$I,W683)*AE683</f>
        <v>0</v>
      </c>
      <c r="AB683" s="18"/>
      <c r="AC683" s="18"/>
      <c r="AE683" s="21">
        <v>1</v>
      </c>
      <c r="AG683" s="15" t="str">
        <f>IF(AG682="*",AG682,"")</f>
        <v>*</v>
      </c>
      <c r="AH683" s="17" t="str">
        <f t="shared" si="542"/>
        <v>*HEV*</v>
      </c>
      <c r="AI683" s="17" t="str">
        <f t="shared" si="542"/>
        <v>TRABDS</v>
      </c>
      <c r="AJ683" s="17" t="str">
        <f t="shared" si="542"/>
        <v>TRAOTHWATDMD</v>
      </c>
      <c r="AK683" s="17" t="str">
        <f t="shared" si="542"/>
        <v>TRAOTHWATDMD</v>
      </c>
      <c r="AL683" s="18">
        <v>2040</v>
      </c>
      <c r="AM683" s="18" t="str">
        <f>AM682</f>
        <v>LO</v>
      </c>
      <c r="AN683" s="18"/>
      <c r="AO683" s="20">
        <f>-SUMIFS('TRA RESID'!$P:$P,'TRA RESID'!$I:$I,AK683,'TRA RESID'!$J:$J,AH683,'TRA RESID'!$H:$H,AI683)/SUMIFS('TRA RESID'!$P:$P,'TRA RESID'!$I:$I,AK683)*AS683</f>
        <v>0</v>
      </c>
      <c r="AP683" s="18"/>
      <c r="AQ683" s="18"/>
      <c r="AS683" s="21">
        <v>0</v>
      </c>
      <c r="AU683" s="15" t="str">
        <f>IF(AU682="*",AU682,"")</f>
        <v>*</v>
      </c>
      <c r="AV683" s="17" t="str">
        <f t="shared" si="543"/>
        <v>*FCEV*</v>
      </c>
      <c r="AW683" s="17" t="str">
        <f t="shared" si="543"/>
        <v>TRABDS</v>
      </c>
      <c r="AX683" s="17" t="str">
        <f t="shared" si="543"/>
        <v>TRAOTHWATDMD</v>
      </c>
      <c r="AY683" s="17" t="str">
        <f t="shared" si="543"/>
        <v>TRAOTHWATDMD</v>
      </c>
      <c r="AZ683" s="18">
        <v>2040</v>
      </c>
      <c r="BA683" s="18" t="str">
        <f>BA682</f>
        <v>LO</v>
      </c>
      <c r="BB683" s="18"/>
      <c r="BC683" s="20">
        <f>-SUMIFS('TRA RESID'!$P:$P,'TRA RESID'!$I:$I,AY683,'TRA RESID'!$J:$J,AV683,'TRA RESID'!$H:$H,AW683)/SUMIFS('TRA RESID'!$P:$P,'TRA RESID'!$I:$I,AY683)*BG683</f>
        <v>0</v>
      </c>
      <c r="BD683" s="18"/>
      <c r="BE683" s="18"/>
      <c r="BG683" s="21">
        <v>0</v>
      </c>
    </row>
    <row r="684" spans="1:59" x14ac:dyDescent="0.25">
      <c r="C684" s="23" t="str">
        <f>IF(C683="*",C683,"")</f>
        <v>*</v>
      </c>
      <c r="D684" s="25" t="str">
        <f t="shared" si="540"/>
        <v>*ICEV*</v>
      </c>
      <c r="E684" s="25" t="str">
        <f t="shared" si="540"/>
        <v>TRABDS</v>
      </c>
      <c r="F684" s="25" t="str">
        <f t="shared" si="540"/>
        <v>TRAOTHWATDMD</v>
      </c>
      <c r="G684" s="25" t="str">
        <f t="shared" si="540"/>
        <v>TRAOTHWATDMD</v>
      </c>
      <c r="H684" s="26">
        <v>2050</v>
      </c>
      <c r="I684" s="26" t="str">
        <f>I682</f>
        <v>LO</v>
      </c>
      <c r="J684" s="26"/>
      <c r="K684" s="27">
        <f>-SUMIFS('TRA RESID'!$P:$P,'TRA RESID'!$I:$I,G684,'TRA RESID'!$J:$J,D684,'TRA RESID'!$H:$H,E684)/SUMIFS('TRA RESID'!$P:$P,'TRA RESID'!$I:$I,G684)*O684</f>
        <v>0</v>
      </c>
      <c r="L684" s="26"/>
      <c r="M684" s="26"/>
      <c r="O684" s="28">
        <v>0</v>
      </c>
      <c r="S684" s="23" t="str">
        <f>IF(S683="*",S683,"")</f>
        <v>*</v>
      </c>
      <c r="T684" s="25" t="str">
        <f t="shared" si="541"/>
        <v>*BEV*</v>
      </c>
      <c r="U684" s="25" t="str">
        <f t="shared" si="541"/>
        <v>TRABDS</v>
      </c>
      <c r="V684" s="25" t="str">
        <f t="shared" si="541"/>
        <v>TRAOTHWATDMD</v>
      </c>
      <c r="W684" s="25" t="str">
        <f t="shared" si="541"/>
        <v>TRAOTHWATDMD</v>
      </c>
      <c r="X684" s="26">
        <v>2050</v>
      </c>
      <c r="Y684" s="26" t="str">
        <f>Y682</f>
        <v>LO</v>
      </c>
      <c r="Z684" s="26"/>
      <c r="AA684" s="27">
        <f>-SUMIFS('TRA RESID'!$P:$P,'TRA RESID'!$I:$I,W684,'TRA RESID'!$J:$J,T684,'TRA RESID'!$H:$H,U684)/SUMIFS('TRA RESID'!$P:$P,'TRA RESID'!$I:$I,W684)*AE684</f>
        <v>0</v>
      </c>
      <c r="AB684" s="26"/>
      <c r="AC684" s="26"/>
      <c r="AE684" s="28">
        <v>1</v>
      </c>
      <c r="AG684" s="23" t="str">
        <f>IF(AG683="*",AG683,"")</f>
        <v>*</v>
      </c>
      <c r="AH684" s="25" t="str">
        <f t="shared" si="542"/>
        <v>*HEV*</v>
      </c>
      <c r="AI684" s="25" t="str">
        <f t="shared" si="542"/>
        <v>TRABDS</v>
      </c>
      <c r="AJ684" s="25" t="str">
        <f t="shared" si="542"/>
        <v>TRAOTHWATDMD</v>
      </c>
      <c r="AK684" s="25" t="str">
        <f t="shared" si="542"/>
        <v>TRAOTHWATDMD</v>
      </c>
      <c r="AL684" s="26">
        <v>2050</v>
      </c>
      <c r="AM684" s="26" t="str">
        <f>AM682</f>
        <v>LO</v>
      </c>
      <c r="AN684" s="26"/>
      <c r="AO684" s="27">
        <f>-SUMIFS('TRA RESID'!$P:$P,'TRA RESID'!$I:$I,AK684,'TRA RESID'!$J:$J,AH684,'TRA RESID'!$H:$H,AI684)/SUMIFS('TRA RESID'!$P:$P,'TRA RESID'!$I:$I,AK684)*AS684</f>
        <v>0</v>
      </c>
      <c r="AP684" s="26"/>
      <c r="AQ684" s="26"/>
      <c r="AS684" s="28">
        <v>0</v>
      </c>
      <c r="AU684" s="23" t="str">
        <f>IF(AU683="*",AU683,"")</f>
        <v>*</v>
      </c>
      <c r="AV684" s="25" t="str">
        <f t="shared" si="543"/>
        <v>*FCEV*</v>
      </c>
      <c r="AW684" s="25" t="str">
        <f t="shared" si="543"/>
        <v>TRABDS</v>
      </c>
      <c r="AX684" s="25" t="str">
        <f t="shared" si="543"/>
        <v>TRAOTHWATDMD</v>
      </c>
      <c r="AY684" s="25" t="str">
        <f t="shared" si="543"/>
        <v>TRAOTHWATDMD</v>
      </c>
      <c r="AZ684" s="26">
        <v>2050</v>
      </c>
      <c r="BA684" s="26" t="str">
        <f>BA682</f>
        <v>LO</v>
      </c>
      <c r="BB684" s="26"/>
      <c r="BC684" s="27">
        <f>-SUMIFS('TRA RESID'!$P:$P,'TRA RESID'!$I:$I,AY684,'TRA RESID'!$J:$J,AV684,'TRA RESID'!$H:$H,AW684)/SUMIFS('TRA RESID'!$P:$P,'TRA RESID'!$I:$I,AY684)*BG684</f>
        <v>0</v>
      </c>
      <c r="BD684" s="26"/>
      <c r="BE684" s="26"/>
      <c r="BG684" s="28">
        <v>0</v>
      </c>
    </row>
    <row r="685" spans="1:59" x14ac:dyDescent="0.25">
      <c r="A685">
        <f>A680+1</f>
        <v>137</v>
      </c>
      <c r="C685" s="15" t="str">
        <f>IF(E685="","",IF(_xlfn.XLOOKUP($A685,Selected_constraint!$A:$A,Selected_constraint!$D:$D)=1,"*",IF(SUMIFS('TRA TECH'!$M:$M,'TRA TECH'!$H:$H,E685,'TRA TECH'!$I:$I,F685)=0,"*",IF(SUMIFS('TRA RESID'!$P:$P,'TRA RESID'!$I:$I,G685,'TRA RESID'!$J:$J,D685,'TRA RESID'!$H:$H,E685)=0,"*","UC_"&amp;SUBSTITUTE(D685,"*","")&amp;"_"&amp;RIGHT(E685,3)&amp;"_"&amp;F685))))</f>
        <v>*</v>
      </c>
      <c r="D685" s="17" t="s">
        <v>485</v>
      </c>
      <c r="E685" s="17" t="str">
        <f>_xlfn.XLOOKUP($A685,Selected_constraint!$A:$A,Selected_constraint!$B:$B)</f>
        <v>TRAFOI</v>
      </c>
      <c r="F685" s="17" t="str">
        <f>_xlfn.XLOOKUP($A685,Selected_constraint!$A:$A,Selected_constraint!$C:$C)</f>
        <v>TRAOTHWATDMD</v>
      </c>
      <c r="G685" s="17" t="str">
        <f>F685</f>
        <v>TRAOTHWATDMD</v>
      </c>
      <c r="H685" s="18">
        <v>2019</v>
      </c>
      <c r="I685" s="18" t="s">
        <v>483</v>
      </c>
      <c r="J685" s="18">
        <v>1</v>
      </c>
      <c r="K685" s="20">
        <f>-SUMIFS('TRA RESID'!$P:$P,'TRA RESID'!$I:$I,G685,'TRA RESID'!$J:$J,D685,'TRA RESID'!$H:$H,E685)/SUMIFS('TRA RESID'!$P:$P,'TRA RESID'!$I:$I,G685)*O685</f>
        <v>0</v>
      </c>
      <c r="L685" s="18">
        <v>0</v>
      </c>
      <c r="M685" s="18">
        <v>5</v>
      </c>
      <c r="O685" s="21">
        <v>0.98</v>
      </c>
      <c r="Q685">
        <f>Q680+1</f>
        <v>137</v>
      </c>
      <c r="S685" s="15" t="str">
        <f>IF(SUMIFS('TRA RESID'!$P:$P,'TRA RESID'!$I:$I,W685,'TRA RESID'!$J:$J,T685,'TRA RESID'!$H:$H,U685)=0,"*","UC_"&amp;SUBSTITUTE(T685,"*","")&amp;"_"&amp;RIGHT(U685,3)&amp;"_"&amp;V685)</f>
        <v>*</v>
      </c>
      <c r="T685" s="17" t="s">
        <v>486</v>
      </c>
      <c r="U685" s="17" t="str">
        <f>_xlfn.XLOOKUP($A685,Selected_constraint!$A:$A,Selected_constraint!$B:$B)</f>
        <v>TRAFOI</v>
      </c>
      <c r="V685" s="17" t="str">
        <f>_xlfn.XLOOKUP($A685,Selected_constraint!$A:$A,Selected_constraint!$C:$C)</f>
        <v>TRAOTHWATDMD</v>
      </c>
      <c r="W685" s="17" t="str">
        <f>V685</f>
        <v>TRAOTHWATDMD</v>
      </c>
      <c r="X685" s="18">
        <v>2019</v>
      </c>
      <c r="Y685" s="18" t="s">
        <v>483</v>
      </c>
      <c r="Z685" s="18">
        <v>1</v>
      </c>
      <c r="AA685" s="20">
        <f>-SUMIFS('TRA RESID'!$P:$P,'TRA RESID'!$I:$I,W685,'TRA RESID'!$J:$J,T685,'TRA RESID'!$H:$H,U685)/SUMIFS('TRA RESID'!$P:$P,'TRA RESID'!$I:$I,W685)*AE685</f>
        <v>0</v>
      </c>
      <c r="AB685" s="18">
        <v>0</v>
      </c>
      <c r="AC685" s="18">
        <v>5</v>
      </c>
      <c r="AE685" s="21">
        <v>0.98</v>
      </c>
      <c r="AG685" s="15" t="str">
        <f>IF(SUMIFS('TRA RESID'!$P:$P,'TRA RESID'!$I:$I,AK685,'TRA RESID'!$J:$J,AH685,'TRA RESID'!$H:$H,AI685)=0,"*","UC_"&amp;SUBSTITUTE(AH685,"*","")&amp;"_"&amp;RIGHT(AI685,3)&amp;"_"&amp;AJ685)</f>
        <v>*</v>
      </c>
      <c r="AH685" s="17" t="s">
        <v>487</v>
      </c>
      <c r="AI685" s="17" t="str">
        <f>_xlfn.XLOOKUP($A685,Selected_constraint!$A:$A,Selected_constraint!$B:$B)</f>
        <v>TRAFOI</v>
      </c>
      <c r="AJ685" s="17" t="str">
        <f>_xlfn.XLOOKUP($A685,Selected_constraint!$A:$A,Selected_constraint!$C:$C)</f>
        <v>TRAOTHWATDMD</v>
      </c>
      <c r="AK685" s="17" t="str">
        <f>AJ685</f>
        <v>TRAOTHWATDMD</v>
      </c>
      <c r="AL685" s="18">
        <v>2019</v>
      </c>
      <c r="AM685" s="18" t="s">
        <v>483</v>
      </c>
      <c r="AN685" s="18">
        <v>1</v>
      </c>
      <c r="AO685" s="20">
        <f>-SUMIFS('TRA RESID'!$P:$P,'TRA RESID'!$I:$I,AK685,'TRA RESID'!$J:$J,AH685,'TRA RESID'!$H:$H,AI685)/SUMIFS('TRA RESID'!$P:$P,'TRA RESID'!$I:$I,AK685)*AS685</f>
        <v>0</v>
      </c>
      <c r="AP685" s="18">
        <v>0</v>
      </c>
      <c r="AQ685" s="18">
        <v>5</v>
      </c>
      <c r="AS685" s="21">
        <v>0.98</v>
      </c>
      <c r="AU685" s="15" t="str">
        <f>IF(SUMIFS('TRA RESID'!$P:$P,'TRA RESID'!$I:$I,AY685,'TRA RESID'!$J:$J,AV685,'TRA RESID'!$H:$H,AW685)=0,"*","UC_"&amp;SUBSTITUTE(AV685,"*","")&amp;"_"&amp;RIGHT(AW685,3)&amp;"_"&amp;AX685)</f>
        <v>*</v>
      </c>
      <c r="AV685" s="17" t="s">
        <v>488</v>
      </c>
      <c r="AW685" s="17" t="str">
        <f>_xlfn.XLOOKUP($A685,Selected_constraint!$A:$A,Selected_constraint!$B:$B)</f>
        <v>TRAFOI</v>
      </c>
      <c r="AX685" s="17" t="str">
        <f>_xlfn.XLOOKUP($A685,Selected_constraint!$A:$A,Selected_constraint!$C:$C)</f>
        <v>TRAOTHWATDMD</v>
      </c>
      <c r="AY685" s="17" t="str">
        <f>AX685</f>
        <v>TRAOTHWATDMD</v>
      </c>
      <c r="AZ685" s="18">
        <v>2019</v>
      </c>
      <c r="BA685" s="18" t="s">
        <v>483</v>
      </c>
      <c r="BB685" s="18">
        <v>1</v>
      </c>
      <c r="BC685" s="20">
        <f>-SUMIFS('TRA RESID'!$P:$P,'TRA RESID'!$I:$I,AY685,'TRA RESID'!$J:$J,AV685,'TRA RESID'!$H:$H,AW685)/SUMIFS('TRA RESID'!$P:$P,'TRA RESID'!$I:$I,AY685)*BG685</f>
        <v>0</v>
      </c>
      <c r="BD685" s="18">
        <v>0</v>
      </c>
      <c r="BE685" s="18">
        <v>5</v>
      </c>
      <c r="BG685" s="21">
        <v>0.98</v>
      </c>
    </row>
    <row r="686" spans="1:59" x14ac:dyDescent="0.25">
      <c r="C686" s="15" t="str">
        <f>IF(C685="*",C685,"")</f>
        <v>*</v>
      </c>
      <c r="D686" s="17" t="str">
        <f t="shared" ref="D686:G689" si="544">D685</f>
        <v>*ICEV*</v>
      </c>
      <c r="E686" s="17" t="str">
        <f t="shared" si="544"/>
        <v>TRAFOI</v>
      </c>
      <c r="F686" s="17" t="str">
        <f t="shared" si="544"/>
        <v>TRAOTHWATDMD</v>
      </c>
      <c r="G686" s="17" t="str">
        <f t="shared" si="544"/>
        <v>TRAOTHWATDMD</v>
      </c>
      <c r="H686" s="18">
        <v>2025</v>
      </c>
      <c r="I686" s="18" t="str">
        <f>I685</f>
        <v>LO</v>
      </c>
      <c r="J686" s="18"/>
      <c r="K686" s="20">
        <f>-SUMIFS('TRA RESID'!$P:$P,'TRA RESID'!$I:$I,G686,'TRA RESID'!$J:$J,D686,'TRA RESID'!$H:$H,E686)/SUMIFS('TRA RESID'!$P:$P,'TRA RESID'!$I:$I,G686)*O686</f>
        <v>0</v>
      </c>
      <c r="L686" s="18"/>
      <c r="M686" s="18"/>
      <c r="O686" s="21">
        <v>0.8</v>
      </c>
      <c r="S686" s="15" t="str">
        <f>IF(S685="*",S685,"")</f>
        <v>*</v>
      </c>
      <c r="T686" s="17" t="str">
        <f t="shared" ref="T686:W689" si="545">T685</f>
        <v>*BEV*</v>
      </c>
      <c r="U686" s="17" t="str">
        <f t="shared" si="545"/>
        <v>TRAFOI</v>
      </c>
      <c r="V686" s="17" t="str">
        <f t="shared" si="545"/>
        <v>TRAOTHWATDMD</v>
      </c>
      <c r="W686" s="17" t="str">
        <f t="shared" si="545"/>
        <v>TRAOTHWATDMD</v>
      </c>
      <c r="X686" s="18">
        <v>2025</v>
      </c>
      <c r="Y686" s="18" t="str">
        <f>Y685</f>
        <v>LO</v>
      </c>
      <c r="Z686" s="18"/>
      <c r="AA686" s="20">
        <f>-SUMIFS('TRA RESID'!$P:$P,'TRA RESID'!$I:$I,W686,'TRA RESID'!$J:$J,T686,'TRA RESID'!$H:$H,U686)/SUMIFS('TRA RESID'!$P:$P,'TRA RESID'!$I:$I,W686)*AE686</f>
        <v>0</v>
      </c>
      <c r="AB686" s="18"/>
      <c r="AC686" s="18"/>
      <c r="AE686" s="21">
        <v>1</v>
      </c>
      <c r="AG686" s="15" t="str">
        <f>IF(AG685="*",AG685,"")</f>
        <v>*</v>
      </c>
      <c r="AH686" s="17" t="str">
        <f t="shared" ref="AH686:AK689" si="546">AH685</f>
        <v>*HEV*</v>
      </c>
      <c r="AI686" s="17" t="str">
        <f t="shared" si="546"/>
        <v>TRAFOI</v>
      </c>
      <c r="AJ686" s="17" t="str">
        <f t="shared" si="546"/>
        <v>TRAOTHWATDMD</v>
      </c>
      <c r="AK686" s="17" t="str">
        <f t="shared" si="546"/>
        <v>TRAOTHWATDMD</v>
      </c>
      <c r="AL686" s="18">
        <v>2025</v>
      </c>
      <c r="AM686" s="18" t="str">
        <f>AM685</f>
        <v>LO</v>
      </c>
      <c r="AN686" s="18"/>
      <c r="AO686" s="20">
        <f>-SUMIFS('TRA RESID'!$P:$P,'TRA RESID'!$I:$I,AK686,'TRA RESID'!$J:$J,AH686,'TRA RESID'!$H:$H,AI686)/SUMIFS('TRA RESID'!$P:$P,'TRA RESID'!$I:$I,AK686)*AS686</f>
        <v>0</v>
      </c>
      <c r="AP686" s="18"/>
      <c r="AQ686" s="18"/>
      <c r="AS686" s="21">
        <v>0.8</v>
      </c>
      <c r="AU686" s="15" t="str">
        <f>IF(AU685="*",AU685,"")</f>
        <v>*</v>
      </c>
      <c r="AV686" s="17" t="str">
        <f t="shared" ref="AV686:AY689" si="547">AV685</f>
        <v>*FCEV*</v>
      </c>
      <c r="AW686" s="17" t="str">
        <f t="shared" si="547"/>
        <v>TRAFOI</v>
      </c>
      <c r="AX686" s="17" t="str">
        <f t="shared" si="547"/>
        <v>TRAOTHWATDMD</v>
      </c>
      <c r="AY686" s="17" t="str">
        <f t="shared" si="547"/>
        <v>TRAOTHWATDMD</v>
      </c>
      <c r="AZ686" s="18">
        <v>2025</v>
      </c>
      <c r="BA686" s="18" t="str">
        <f>BA685</f>
        <v>LO</v>
      </c>
      <c r="BB686" s="18"/>
      <c r="BC686" s="20">
        <f>-SUMIFS('TRA RESID'!$P:$P,'TRA RESID'!$I:$I,AY686,'TRA RESID'!$J:$J,AV686,'TRA RESID'!$H:$H,AW686)/SUMIFS('TRA RESID'!$P:$P,'TRA RESID'!$I:$I,AY686)*BG686</f>
        <v>0</v>
      </c>
      <c r="BD686" s="18"/>
      <c r="BE686" s="18"/>
      <c r="BG686" s="21">
        <v>0.8</v>
      </c>
    </row>
    <row r="687" spans="1:59" x14ac:dyDescent="0.25">
      <c r="C687" s="15" t="str">
        <f>IF(C686="*",C686,"")</f>
        <v>*</v>
      </c>
      <c r="D687" s="17" t="str">
        <f t="shared" si="544"/>
        <v>*ICEV*</v>
      </c>
      <c r="E687" s="17" t="str">
        <f t="shared" si="544"/>
        <v>TRAFOI</v>
      </c>
      <c r="F687" s="17" t="str">
        <f t="shared" si="544"/>
        <v>TRAOTHWATDMD</v>
      </c>
      <c r="G687" s="17" t="str">
        <f t="shared" si="544"/>
        <v>TRAOTHWATDMD</v>
      </c>
      <c r="H687" s="18">
        <v>2030</v>
      </c>
      <c r="I687" s="18" t="str">
        <f>I686</f>
        <v>LO</v>
      </c>
      <c r="J687" s="18"/>
      <c r="K687" s="20">
        <f>-SUMIFS('TRA RESID'!$P:$P,'TRA RESID'!$I:$I,G687,'TRA RESID'!$J:$J,D687,'TRA RESID'!$H:$H,E687)/SUMIFS('TRA RESID'!$P:$P,'TRA RESID'!$I:$I,G687)*O687</f>
        <v>0</v>
      </c>
      <c r="L687" s="18"/>
      <c r="M687" s="18"/>
      <c r="O687" s="21">
        <v>0.5</v>
      </c>
      <c r="S687" s="15" t="str">
        <f>IF(S686="*",S686,"")</f>
        <v>*</v>
      </c>
      <c r="T687" s="17" t="str">
        <f t="shared" si="545"/>
        <v>*BEV*</v>
      </c>
      <c r="U687" s="17" t="str">
        <f t="shared" si="545"/>
        <v>TRAFOI</v>
      </c>
      <c r="V687" s="17" t="str">
        <f t="shared" si="545"/>
        <v>TRAOTHWATDMD</v>
      </c>
      <c r="W687" s="17" t="str">
        <f t="shared" si="545"/>
        <v>TRAOTHWATDMD</v>
      </c>
      <c r="X687" s="18">
        <v>2030</v>
      </c>
      <c r="Y687" s="18" t="str">
        <f>Y686</f>
        <v>LO</v>
      </c>
      <c r="Z687" s="18"/>
      <c r="AA687" s="20">
        <f>-SUMIFS('TRA RESID'!$P:$P,'TRA RESID'!$I:$I,W687,'TRA RESID'!$J:$J,T687,'TRA RESID'!$H:$H,U687)/SUMIFS('TRA RESID'!$P:$P,'TRA RESID'!$I:$I,W687)*AE687</f>
        <v>0</v>
      </c>
      <c r="AB687" s="18"/>
      <c r="AC687" s="18"/>
      <c r="AE687" s="21">
        <v>1</v>
      </c>
      <c r="AG687" s="15" t="str">
        <f>IF(AG686="*",AG686,"")</f>
        <v>*</v>
      </c>
      <c r="AH687" s="17" t="str">
        <f t="shared" si="546"/>
        <v>*HEV*</v>
      </c>
      <c r="AI687" s="17" t="str">
        <f t="shared" si="546"/>
        <v>TRAFOI</v>
      </c>
      <c r="AJ687" s="17" t="str">
        <f t="shared" si="546"/>
        <v>TRAOTHWATDMD</v>
      </c>
      <c r="AK687" s="17" t="str">
        <f t="shared" si="546"/>
        <v>TRAOTHWATDMD</v>
      </c>
      <c r="AL687" s="18">
        <v>2030</v>
      </c>
      <c r="AM687" s="18" t="str">
        <f>AM686</f>
        <v>LO</v>
      </c>
      <c r="AN687" s="18"/>
      <c r="AO687" s="20">
        <f>-SUMIFS('TRA RESID'!$P:$P,'TRA RESID'!$I:$I,AK687,'TRA RESID'!$J:$J,AH687,'TRA RESID'!$H:$H,AI687)/SUMIFS('TRA RESID'!$P:$P,'TRA RESID'!$I:$I,AK687)*AS687</f>
        <v>0</v>
      </c>
      <c r="AP687" s="18"/>
      <c r="AQ687" s="18"/>
      <c r="AS687" s="21">
        <v>0.5</v>
      </c>
      <c r="AU687" s="15" t="str">
        <f>IF(AU686="*",AU686,"")</f>
        <v>*</v>
      </c>
      <c r="AV687" s="17" t="str">
        <f t="shared" si="547"/>
        <v>*FCEV*</v>
      </c>
      <c r="AW687" s="17" t="str">
        <f t="shared" si="547"/>
        <v>TRAFOI</v>
      </c>
      <c r="AX687" s="17" t="str">
        <f t="shared" si="547"/>
        <v>TRAOTHWATDMD</v>
      </c>
      <c r="AY687" s="17" t="str">
        <f t="shared" si="547"/>
        <v>TRAOTHWATDMD</v>
      </c>
      <c r="AZ687" s="18">
        <v>2030</v>
      </c>
      <c r="BA687" s="18" t="str">
        <f>BA686</f>
        <v>LO</v>
      </c>
      <c r="BB687" s="18"/>
      <c r="BC687" s="20">
        <f>-SUMIFS('TRA RESID'!$P:$P,'TRA RESID'!$I:$I,AY687,'TRA RESID'!$J:$J,AV687,'TRA RESID'!$H:$H,AW687)/SUMIFS('TRA RESID'!$P:$P,'TRA RESID'!$I:$I,AY687)*BG687</f>
        <v>0</v>
      </c>
      <c r="BD687" s="18"/>
      <c r="BE687" s="18"/>
      <c r="BG687" s="21">
        <v>0.5</v>
      </c>
    </row>
    <row r="688" spans="1:59" x14ac:dyDescent="0.25">
      <c r="C688" s="15" t="str">
        <f>IF(C687="*",C687,"")</f>
        <v>*</v>
      </c>
      <c r="D688" s="17" t="str">
        <f t="shared" si="544"/>
        <v>*ICEV*</v>
      </c>
      <c r="E688" s="17" t="str">
        <f t="shared" si="544"/>
        <v>TRAFOI</v>
      </c>
      <c r="F688" s="17" t="str">
        <f t="shared" si="544"/>
        <v>TRAOTHWATDMD</v>
      </c>
      <c r="G688" s="17" t="str">
        <f t="shared" si="544"/>
        <v>TRAOTHWATDMD</v>
      </c>
      <c r="H688" s="18">
        <v>2040</v>
      </c>
      <c r="I688" s="18" t="str">
        <f>I687</f>
        <v>LO</v>
      </c>
      <c r="J688" s="18"/>
      <c r="K688" s="20">
        <f>-SUMIFS('TRA RESID'!$P:$P,'TRA RESID'!$I:$I,G688,'TRA RESID'!$J:$J,D688,'TRA RESID'!$H:$H,E688)/SUMIFS('TRA RESID'!$P:$P,'TRA RESID'!$I:$I,G688)*O688</f>
        <v>0</v>
      </c>
      <c r="L688" s="18"/>
      <c r="M688" s="18"/>
      <c r="O688" s="21">
        <v>0</v>
      </c>
      <c r="S688" s="15" t="str">
        <f>IF(S687="*",S687,"")</f>
        <v>*</v>
      </c>
      <c r="T688" s="17" t="str">
        <f t="shared" si="545"/>
        <v>*BEV*</v>
      </c>
      <c r="U688" s="17" t="str">
        <f t="shared" si="545"/>
        <v>TRAFOI</v>
      </c>
      <c r="V688" s="17" t="str">
        <f t="shared" si="545"/>
        <v>TRAOTHWATDMD</v>
      </c>
      <c r="W688" s="17" t="str">
        <f t="shared" si="545"/>
        <v>TRAOTHWATDMD</v>
      </c>
      <c r="X688" s="18">
        <v>2040</v>
      </c>
      <c r="Y688" s="18" t="str">
        <f>Y687</f>
        <v>LO</v>
      </c>
      <c r="Z688" s="18"/>
      <c r="AA688" s="20">
        <f>-SUMIFS('TRA RESID'!$P:$P,'TRA RESID'!$I:$I,W688,'TRA RESID'!$J:$J,T688,'TRA RESID'!$H:$H,U688)/SUMIFS('TRA RESID'!$P:$P,'TRA RESID'!$I:$I,W688)*AE688</f>
        <v>0</v>
      </c>
      <c r="AB688" s="18"/>
      <c r="AC688" s="18"/>
      <c r="AE688" s="21">
        <v>1</v>
      </c>
      <c r="AG688" s="15" t="str">
        <f>IF(AG687="*",AG687,"")</f>
        <v>*</v>
      </c>
      <c r="AH688" s="17" t="str">
        <f t="shared" si="546"/>
        <v>*HEV*</v>
      </c>
      <c r="AI688" s="17" t="str">
        <f t="shared" si="546"/>
        <v>TRAFOI</v>
      </c>
      <c r="AJ688" s="17" t="str">
        <f t="shared" si="546"/>
        <v>TRAOTHWATDMD</v>
      </c>
      <c r="AK688" s="17" t="str">
        <f t="shared" si="546"/>
        <v>TRAOTHWATDMD</v>
      </c>
      <c r="AL688" s="18">
        <v>2040</v>
      </c>
      <c r="AM688" s="18" t="str">
        <f>AM687</f>
        <v>LO</v>
      </c>
      <c r="AN688" s="18"/>
      <c r="AO688" s="20">
        <f>-SUMIFS('TRA RESID'!$P:$P,'TRA RESID'!$I:$I,AK688,'TRA RESID'!$J:$J,AH688,'TRA RESID'!$H:$H,AI688)/SUMIFS('TRA RESID'!$P:$P,'TRA RESID'!$I:$I,AK688)*AS688</f>
        <v>0</v>
      </c>
      <c r="AP688" s="18"/>
      <c r="AQ688" s="18"/>
      <c r="AS688" s="21">
        <v>0</v>
      </c>
      <c r="AU688" s="15" t="str">
        <f>IF(AU687="*",AU687,"")</f>
        <v>*</v>
      </c>
      <c r="AV688" s="17" t="str">
        <f t="shared" si="547"/>
        <v>*FCEV*</v>
      </c>
      <c r="AW688" s="17" t="str">
        <f t="shared" si="547"/>
        <v>TRAFOI</v>
      </c>
      <c r="AX688" s="17" t="str">
        <f t="shared" si="547"/>
        <v>TRAOTHWATDMD</v>
      </c>
      <c r="AY688" s="17" t="str">
        <f t="shared" si="547"/>
        <v>TRAOTHWATDMD</v>
      </c>
      <c r="AZ688" s="18">
        <v>2040</v>
      </c>
      <c r="BA688" s="18" t="str">
        <f>BA687</f>
        <v>LO</v>
      </c>
      <c r="BB688" s="18"/>
      <c r="BC688" s="20">
        <f>-SUMIFS('TRA RESID'!$P:$P,'TRA RESID'!$I:$I,AY688,'TRA RESID'!$J:$J,AV688,'TRA RESID'!$H:$H,AW688)/SUMIFS('TRA RESID'!$P:$P,'TRA RESID'!$I:$I,AY688)*BG688</f>
        <v>0</v>
      </c>
      <c r="BD688" s="18"/>
      <c r="BE688" s="18"/>
      <c r="BG688" s="21">
        <v>0</v>
      </c>
    </row>
    <row r="689" spans="1:59" x14ac:dyDescent="0.25">
      <c r="C689" s="23" t="str">
        <f>IF(C688="*",C688,"")</f>
        <v>*</v>
      </c>
      <c r="D689" s="25" t="str">
        <f t="shared" si="544"/>
        <v>*ICEV*</v>
      </c>
      <c r="E689" s="25" t="str">
        <f t="shared" si="544"/>
        <v>TRAFOI</v>
      </c>
      <c r="F689" s="25" t="str">
        <f t="shared" si="544"/>
        <v>TRAOTHWATDMD</v>
      </c>
      <c r="G689" s="25" t="str">
        <f t="shared" si="544"/>
        <v>TRAOTHWATDMD</v>
      </c>
      <c r="H689" s="26">
        <v>2050</v>
      </c>
      <c r="I689" s="26" t="str">
        <f>I687</f>
        <v>LO</v>
      </c>
      <c r="J689" s="26"/>
      <c r="K689" s="27">
        <f>-SUMIFS('TRA RESID'!$P:$P,'TRA RESID'!$I:$I,G689,'TRA RESID'!$J:$J,D689,'TRA RESID'!$H:$H,E689)/SUMIFS('TRA RESID'!$P:$P,'TRA RESID'!$I:$I,G689)*O689</f>
        <v>0</v>
      </c>
      <c r="L689" s="26"/>
      <c r="M689" s="26"/>
      <c r="O689" s="28">
        <v>0</v>
      </c>
      <c r="S689" s="23" t="str">
        <f>IF(S688="*",S688,"")</f>
        <v>*</v>
      </c>
      <c r="T689" s="25" t="str">
        <f t="shared" si="545"/>
        <v>*BEV*</v>
      </c>
      <c r="U689" s="25" t="str">
        <f t="shared" si="545"/>
        <v>TRAFOI</v>
      </c>
      <c r="V689" s="25" t="str">
        <f t="shared" si="545"/>
        <v>TRAOTHWATDMD</v>
      </c>
      <c r="W689" s="25" t="str">
        <f t="shared" si="545"/>
        <v>TRAOTHWATDMD</v>
      </c>
      <c r="X689" s="26">
        <v>2050</v>
      </c>
      <c r="Y689" s="26" t="str">
        <f>Y687</f>
        <v>LO</v>
      </c>
      <c r="Z689" s="26"/>
      <c r="AA689" s="27">
        <f>-SUMIFS('TRA RESID'!$P:$P,'TRA RESID'!$I:$I,W689,'TRA RESID'!$J:$J,T689,'TRA RESID'!$H:$H,U689)/SUMIFS('TRA RESID'!$P:$P,'TRA RESID'!$I:$I,W689)*AE689</f>
        <v>0</v>
      </c>
      <c r="AB689" s="26"/>
      <c r="AC689" s="26"/>
      <c r="AE689" s="28">
        <v>1</v>
      </c>
      <c r="AG689" s="23" t="str">
        <f>IF(AG688="*",AG688,"")</f>
        <v>*</v>
      </c>
      <c r="AH689" s="25" t="str">
        <f t="shared" si="546"/>
        <v>*HEV*</v>
      </c>
      <c r="AI689" s="25" t="str">
        <f t="shared" si="546"/>
        <v>TRAFOI</v>
      </c>
      <c r="AJ689" s="25" t="str">
        <f t="shared" si="546"/>
        <v>TRAOTHWATDMD</v>
      </c>
      <c r="AK689" s="25" t="str">
        <f t="shared" si="546"/>
        <v>TRAOTHWATDMD</v>
      </c>
      <c r="AL689" s="26">
        <v>2050</v>
      </c>
      <c r="AM689" s="26" t="str">
        <f>AM687</f>
        <v>LO</v>
      </c>
      <c r="AN689" s="26"/>
      <c r="AO689" s="27">
        <f>-SUMIFS('TRA RESID'!$P:$P,'TRA RESID'!$I:$I,AK689,'TRA RESID'!$J:$J,AH689,'TRA RESID'!$H:$H,AI689)/SUMIFS('TRA RESID'!$P:$P,'TRA RESID'!$I:$I,AK689)*AS689</f>
        <v>0</v>
      </c>
      <c r="AP689" s="26"/>
      <c r="AQ689" s="26"/>
      <c r="AS689" s="28">
        <v>0</v>
      </c>
      <c r="AU689" s="23" t="str">
        <f>IF(AU688="*",AU688,"")</f>
        <v>*</v>
      </c>
      <c r="AV689" s="25" t="str">
        <f t="shared" si="547"/>
        <v>*FCEV*</v>
      </c>
      <c r="AW689" s="25" t="str">
        <f t="shared" si="547"/>
        <v>TRAFOI</v>
      </c>
      <c r="AX689" s="25" t="str">
        <f t="shared" si="547"/>
        <v>TRAOTHWATDMD</v>
      </c>
      <c r="AY689" s="25" t="str">
        <f t="shared" si="547"/>
        <v>TRAOTHWATDMD</v>
      </c>
      <c r="AZ689" s="26">
        <v>2050</v>
      </c>
      <c r="BA689" s="26" t="str">
        <f>BA687</f>
        <v>LO</v>
      </c>
      <c r="BB689" s="26"/>
      <c r="BC689" s="27">
        <f>-SUMIFS('TRA RESID'!$P:$P,'TRA RESID'!$I:$I,AY689,'TRA RESID'!$J:$J,AV689,'TRA RESID'!$H:$H,AW689)/SUMIFS('TRA RESID'!$P:$P,'TRA RESID'!$I:$I,AY689)*BG689</f>
        <v>0</v>
      </c>
      <c r="BD689" s="26"/>
      <c r="BE689" s="26"/>
      <c r="BG689" s="28">
        <v>0</v>
      </c>
    </row>
    <row r="690" spans="1:59" x14ac:dyDescent="0.25">
      <c r="A690">
        <f>A685+1</f>
        <v>138</v>
      </c>
      <c r="C690" s="15" t="str">
        <f>IF(E690="","",IF(_xlfn.XLOOKUP($A690,Selected_constraint!$A:$A,Selected_constraint!$D:$D)=1,"*",IF(SUMIFS('TRA TECH'!$M:$M,'TRA TECH'!$H:$H,E690,'TRA TECH'!$I:$I,F690)=0,"*",IF(SUMIFS('TRA RESID'!$P:$P,'TRA RESID'!$I:$I,G690,'TRA RESID'!$J:$J,D690,'TRA RESID'!$H:$H,E690)=0,"*","UC_"&amp;SUBSTITUTE(D690,"*","")&amp;"_"&amp;RIGHT(E690,3)&amp;"_"&amp;F690))))</f>
        <v>*</v>
      </c>
      <c r="D690" s="17" t="s">
        <v>485</v>
      </c>
      <c r="E690" s="17" t="str">
        <f>_xlfn.XLOOKUP($A690,Selected_constraint!$A:$A,Selected_constraint!$B:$B)</f>
        <v>TRAAGA</v>
      </c>
      <c r="F690" s="17" t="str">
        <f>_xlfn.XLOOKUP($A690,Selected_constraint!$A:$A,Selected_constraint!$C:$C)</f>
        <v>TRAOTHAIRDMD</v>
      </c>
      <c r="G690" s="17" t="str">
        <f>F690</f>
        <v>TRAOTHAIRDMD</v>
      </c>
      <c r="H690" s="18">
        <v>2019</v>
      </c>
      <c r="I690" s="18" t="s">
        <v>483</v>
      </c>
      <c r="J690" s="18">
        <v>1</v>
      </c>
      <c r="K690" s="20">
        <f>-SUMIFS('TRA RESID'!$P:$P,'TRA RESID'!$I:$I,G690,'TRA RESID'!$J:$J,D690,'TRA RESID'!$H:$H,E690)/SUMIFS('TRA RESID'!$P:$P,'TRA RESID'!$I:$I,G690)*O690</f>
        <v>0</v>
      </c>
      <c r="L690" s="18">
        <v>0</v>
      </c>
      <c r="M690" s="18">
        <v>5</v>
      </c>
      <c r="O690" s="21">
        <v>0.98</v>
      </c>
      <c r="Q690">
        <f>Q685+1</f>
        <v>138</v>
      </c>
      <c r="S690" s="15" t="str">
        <f>IF(SUMIFS('TRA RESID'!$P:$P,'TRA RESID'!$I:$I,W690,'TRA RESID'!$J:$J,T690,'TRA RESID'!$H:$H,U690)=0,"*","UC_"&amp;SUBSTITUTE(T690,"*","")&amp;"_"&amp;RIGHT(U690,3)&amp;"_"&amp;V690)</f>
        <v>*</v>
      </c>
      <c r="T690" s="17" t="s">
        <v>486</v>
      </c>
      <c r="U690" s="17" t="str">
        <f>_xlfn.XLOOKUP($A690,Selected_constraint!$A:$A,Selected_constraint!$B:$B)</f>
        <v>TRAAGA</v>
      </c>
      <c r="V690" s="17" t="str">
        <f>_xlfn.XLOOKUP($A690,Selected_constraint!$A:$A,Selected_constraint!$C:$C)</f>
        <v>TRAOTHAIRDMD</v>
      </c>
      <c r="W690" s="17" t="str">
        <f>V690</f>
        <v>TRAOTHAIRDMD</v>
      </c>
      <c r="X690" s="18">
        <v>2019</v>
      </c>
      <c r="Y690" s="18" t="s">
        <v>483</v>
      </c>
      <c r="Z690" s="18">
        <v>1</v>
      </c>
      <c r="AA690" s="20">
        <f>-SUMIFS('TRA RESID'!$P:$P,'TRA RESID'!$I:$I,W690,'TRA RESID'!$J:$J,T690,'TRA RESID'!$H:$H,U690)/SUMIFS('TRA RESID'!$P:$P,'TRA RESID'!$I:$I,W690)*AE690</f>
        <v>0</v>
      </c>
      <c r="AB690" s="18">
        <v>0</v>
      </c>
      <c r="AC690" s="18">
        <v>5</v>
      </c>
      <c r="AE690" s="21">
        <v>0.98</v>
      </c>
      <c r="AG690" s="15" t="str">
        <f>IF(SUMIFS('TRA RESID'!$P:$P,'TRA RESID'!$I:$I,AK690,'TRA RESID'!$J:$J,AH690,'TRA RESID'!$H:$H,AI690)=0,"*","UC_"&amp;SUBSTITUTE(AH690,"*","")&amp;"_"&amp;RIGHT(AI690,3)&amp;"_"&amp;AJ690)</f>
        <v>*</v>
      </c>
      <c r="AH690" s="17" t="s">
        <v>487</v>
      </c>
      <c r="AI690" s="17" t="str">
        <f>_xlfn.XLOOKUP($A690,Selected_constraint!$A:$A,Selected_constraint!$B:$B)</f>
        <v>TRAAGA</v>
      </c>
      <c r="AJ690" s="17" t="str">
        <f>_xlfn.XLOOKUP($A690,Selected_constraint!$A:$A,Selected_constraint!$C:$C)</f>
        <v>TRAOTHAIRDMD</v>
      </c>
      <c r="AK690" s="17" t="str">
        <f>AJ690</f>
        <v>TRAOTHAIRDMD</v>
      </c>
      <c r="AL690" s="18">
        <v>2019</v>
      </c>
      <c r="AM690" s="18" t="s">
        <v>483</v>
      </c>
      <c r="AN690" s="18">
        <v>1</v>
      </c>
      <c r="AO690" s="20">
        <f>-SUMIFS('TRA RESID'!$P:$P,'TRA RESID'!$I:$I,AK690,'TRA RESID'!$J:$J,AH690,'TRA RESID'!$H:$H,AI690)/SUMIFS('TRA RESID'!$P:$P,'TRA RESID'!$I:$I,AK690)*AS690</f>
        <v>0</v>
      </c>
      <c r="AP690" s="18">
        <v>0</v>
      </c>
      <c r="AQ690" s="18">
        <v>5</v>
      </c>
      <c r="AS690" s="21">
        <v>0.98</v>
      </c>
      <c r="AU690" s="15" t="str">
        <f>IF(SUMIFS('TRA RESID'!$P:$P,'TRA RESID'!$I:$I,AY690,'TRA RESID'!$J:$J,AV690,'TRA RESID'!$H:$H,AW690)=0,"*","UC_"&amp;SUBSTITUTE(AV690,"*","")&amp;"_"&amp;RIGHT(AW690,3)&amp;"_"&amp;AX690)</f>
        <v>*</v>
      </c>
      <c r="AV690" s="17" t="s">
        <v>488</v>
      </c>
      <c r="AW690" s="17" t="str">
        <f>_xlfn.XLOOKUP($A690,Selected_constraint!$A:$A,Selected_constraint!$B:$B)</f>
        <v>TRAAGA</v>
      </c>
      <c r="AX690" s="17" t="str">
        <f>_xlfn.XLOOKUP($A690,Selected_constraint!$A:$A,Selected_constraint!$C:$C)</f>
        <v>TRAOTHAIRDMD</v>
      </c>
      <c r="AY690" s="17" t="str">
        <f>AX690</f>
        <v>TRAOTHAIRDMD</v>
      </c>
      <c r="AZ690" s="18">
        <v>2019</v>
      </c>
      <c r="BA690" s="18" t="s">
        <v>483</v>
      </c>
      <c r="BB690" s="18">
        <v>1</v>
      </c>
      <c r="BC690" s="20">
        <f>-SUMIFS('TRA RESID'!$P:$P,'TRA RESID'!$I:$I,AY690,'TRA RESID'!$J:$J,AV690,'TRA RESID'!$H:$H,AW690)/SUMIFS('TRA RESID'!$P:$P,'TRA RESID'!$I:$I,AY690)*BG690</f>
        <v>0</v>
      </c>
      <c r="BD690" s="18">
        <v>0</v>
      </c>
      <c r="BE690" s="18">
        <v>5</v>
      </c>
      <c r="BG690" s="21">
        <v>0.98</v>
      </c>
    </row>
    <row r="691" spans="1:59" x14ac:dyDescent="0.25">
      <c r="C691" s="15" t="str">
        <f>IF(C690="*",C690,"")</f>
        <v>*</v>
      </c>
      <c r="D691" s="17" t="str">
        <f t="shared" ref="D691:G694" si="548">D690</f>
        <v>*ICEV*</v>
      </c>
      <c r="E691" s="17" t="str">
        <f t="shared" si="548"/>
        <v>TRAAGA</v>
      </c>
      <c r="F691" s="17" t="str">
        <f t="shared" si="548"/>
        <v>TRAOTHAIRDMD</v>
      </c>
      <c r="G691" s="17" t="str">
        <f t="shared" si="548"/>
        <v>TRAOTHAIRDMD</v>
      </c>
      <c r="H691" s="18">
        <v>2025</v>
      </c>
      <c r="I691" s="18" t="str">
        <f>I690</f>
        <v>LO</v>
      </c>
      <c r="J691" s="18"/>
      <c r="K691" s="20">
        <f>-SUMIFS('TRA RESID'!$P:$P,'TRA RESID'!$I:$I,G691,'TRA RESID'!$J:$J,D691,'TRA RESID'!$H:$H,E691)/SUMIFS('TRA RESID'!$P:$P,'TRA RESID'!$I:$I,G691)*O691</f>
        <v>0</v>
      </c>
      <c r="L691" s="18"/>
      <c r="M691" s="18"/>
      <c r="O691" s="21">
        <v>0.8</v>
      </c>
      <c r="S691" s="15" t="str">
        <f>IF(S690="*",S690,"")</f>
        <v>*</v>
      </c>
      <c r="T691" s="17" t="str">
        <f t="shared" ref="T691:W694" si="549">T690</f>
        <v>*BEV*</v>
      </c>
      <c r="U691" s="17" t="str">
        <f t="shared" si="549"/>
        <v>TRAAGA</v>
      </c>
      <c r="V691" s="17" t="str">
        <f t="shared" si="549"/>
        <v>TRAOTHAIRDMD</v>
      </c>
      <c r="W691" s="17" t="str">
        <f t="shared" si="549"/>
        <v>TRAOTHAIRDMD</v>
      </c>
      <c r="X691" s="18">
        <v>2025</v>
      </c>
      <c r="Y691" s="18" t="str">
        <f>Y690</f>
        <v>LO</v>
      </c>
      <c r="Z691" s="18"/>
      <c r="AA691" s="20">
        <f>-SUMIFS('TRA RESID'!$P:$P,'TRA RESID'!$I:$I,W691,'TRA RESID'!$J:$J,T691,'TRA RESID'!$H:$H,U691)/SUMIFS('TRA RESID'!$P:$P,'TRA RESID'!$I:$I,W691)*AE691</f>
        <v>0</v>
      </c>
      <c r="AB691" s="18"/>
      <c r="AC691" s="18"/>
      <c r="AE691" s="21">
        <v>1</v>
      </c>
      <c r="AG691" s="15" t="str">
        <f>IF(AG690="*",AG690,"")</f>
        <v>*</v>
      </c>
      <c r="AH691" s="17" t="str">
        <f t="shared" ref="AH691:AK694" si="550">AH690</f>
        <v>*HEV*</v>
      </c>
      <c r="AI691" s="17" t="str">
        <f t="shared" si="550"/>
        <v>TRAAGA</v>
      </c>
      <c r="AJ691" s="17" t="str">
        <f t="shared" si="550"/>
        <v>TRAOTHAIRDMD</v>
      </c>
      <c r="AK691" s="17" t="str">
        <f t="shared" si="550"/>
        <v>TRAOTHAIRDMD</v>
      </c>
      <c r="AL691" s="18">
        <v>2025</v>
      </c>
      <c r="AM691" s="18" t="str">
        <f>AM690</f>
        <v>LO</v>
      </c>
      <c r="AN691" s="18"/>
      <c r="AO691" s="20">
        <f>-SUMIFS('TRA RESID'!$P:$P,'TRA RESID'!$I:$I,AK691,'TRA RESID'!$J:$J,AH691,'TRA RESID'!$H:$H,AI691)/SUMIFS('TRA RESID'!$P:$P,'TRA RESID'!$I:$I,AK691)*AS691</f>
        <v>0</v>
      </c>
      <c r="AP691" s="18"/>
      <c r="AQ691" s="18"/>
      <c r="AS691" s="21">
        <v>0.8</v>
      </c>
      <c r="AU691" s="15" t="str">
        <f>IF(AU690="*",AU690,"")</f>
        <v>*</v>
      </c>
      <c r="AV691" s="17" t="str">
        <f t="shared" ref="AV691:AY694" si="551">AV690</f>
        <v>*FCEV*</v>
      </c>
      <c r="AW691" s="17" t="str">
        <f t="shared" si="551"/>
        <v>TRAAGA</v>
      </c>
      <c r="AX691" s="17" t="str">
        <f t="shared" si="551"/>
        <v>TRAOTHAIRDMD</v>
      </c>
      <c r="AY691" s="17" t="str">
        <f t="shared" si="551"/>
        <v>TRAOTHAIRDMD</v>
      </c>
      <c r="AZ691" s="18">
        <v>2025</v>
      </c>
      <c r="BA691" s="18" t="str">
        <f>BA690</f>
        <v>LO</v>
      </c>
      <c r="BB691" s="18"/>
      <c r="BC691" s="20">
        <f>-SUMIFS('TRA RESID'!$P:$P,'TRA RESID'!$I:$I,AY691,'TRA RESID'!$J:$J,AV691,'TRA RESID'!$H:$H,AW691)/SUMIFS('TRA RESID'!$P:$P,'TRA RESID'!$I:$I,AY691)*BG691</f>
        <v>0</v>
      </c>
      <c r="BD691" s="18"/>
      <c r="BE691" s="18"/>
      <c r="BG691" s="21">
        <v>0.8</v>
      </c>
    </row>
    <row r="692" spans="1:59" x14ac:dyDescent="0.25">
      <c r="C692" s="15" t="str">
        <f>IF(C691="*",C691,"")</f>
        <v>*</v>
      </c>
      <c r="D692" s="17" t="str">
        <f t="shared" si="548"/>
        <v>*ICEV*</v>
      </c>
      <c r="E692" s="17" t="str">
        <f t="shared" si="548"/>
        <v>TRAAGA</v>
      </c>
      <c r="F692" s="17" t="str">
        <f t="shared" si="548"/>
        <v>TRAOTHAIRDMD</v>
      </c>
      <c r="G692" s="17" t="str">
        <f t="shared" si="548"/>
        <v>TRAOTHAIRDMD</v>
      </c>
      <c r="H692" s="18">
        <v>2030</v>
      </c>
      <c r="I692" s="18" t="str">
        <f>I691</f>
        <v>LO</v>
      </c>
      <c r="J692" s="18"/>
      <c r="K692" s="20">
        <f>-SUMIFS('TRA RESID'!$P:$P,'TRA RESID'!$I:$I,G692,'TRA RESID'!$J:$J,D692,'TRA RESID'!$H:$H,E692)/SUMIFS('TRA RESID'!$P:$P,'TRA RESID'!$I:$I,G692)*O692</f>
        <v>0</v>
      </c>
      <c r="L692" s="18"/>
      <c r="M692" s="18"/>
      <c r="O692" s="21">
        <v>0.5</v>
      </c>
      <c r="S692" s="15" t="str">
        <f>IF(S691="*",S691,"")</f>
        <v>*</v>
      </c>
      <c r="T692" s="17" t="str">
        <f t="shared" si="549"/>
        <v>*BEV*</v>
      </c>
      <c r="U692" s="17" t="str">
        <f t="shared" si="549"/>
        <v>TRAAGA</v>
      </c>
      <c r="V692" s="17" t="str">
        <f t="shared" si="549"/>
        <v>TRAOTHAIRDMD</v>
      </c>
      <c r="W692" s="17" t="str">
        <f t="shared" si="549"/>
        <v>TRAOTHAIRDMD</v>
      </c>
      <c r="X692" s="18">
        <v>2030</v>
      </c>
      <c r="Y692" s="18" t="str">
        <f>Y691</f>
        <v>LO</v>
      </c>
      <c r="Z692" s="18"/>
      <c r="AA692" s="20">
        <f>-SUMIFS('TRA RESID'!$P:$P,'TRA RESID'!$I:$I,W692,'TRA RESID'!$J:$J,T692,'TRA RESID'!$H:$H,U692)/SUMIFS('TRA RESID'!$P:$P,'TRA RESID'!$I:$I,W692)*AE692</f>
        <v>0</v>
      </c>
      <c r="AB692" s="18"/>
      <c r="AC692" s="18"/>
      <c r="AE692" s="21">
        <v>1</v>
      </c>
      <c r="AG692" s="15" t="str">
        <f>IF(AG691="*",AG691,"")</f>
        <v>*</v>
      </c>
      <c r="AH692" s="17" t="str">
        <f t="shared" si="550"/>
        <v>*HEV*</v>
      </c>
      <c r="AI692" s="17" t="str">
        <f t="shared" si="550"/>
        <v>TRAAGA</v>
      </c>
      <c r="AJ692" s="17" t="str">
        <f t="shared" si="550"/>
        <v>TRAOTHAIRDMD</v>
      </c>
      <c r="AK692" s="17" t="str">
        <f t="shared" si="550"/>
        <v>TRAOTHAIRDMD</v>
      </c>
      <c r="AL692" s="18">
        <v>2030</v>
      </c>
      <c r="AM692" s="18" t="str">
        <f>AM691</f>
        <v>LO</v>
      </c>
      <c r="AN692" s="18"/>
      <c r="AO692" s="20">
        <f>-SUMIFS('TRA RESID'!$P:$P,'TRA RESID'!$I:$I,AK692,'TRA RESID'!$J:$J,AH692,'TRA RESID'!$H:$H,AI692)/SUMIFS('TRA RESID'!$P:$P,'TRA RESID'!$I:$I,AK692)*AS692</f>
        <v>0</v>
      </c>
      <c r="AP692" s="18"/>
      <c r="AQ692" s="18"/>
      <c r="AS692" s="21">
        <v>0.5</v>
      </c>
      <c r="AU692" s="15" t="str">
        <f>IF(AU691="*",AU691,"")</f>
        <v>*</v>
      </c>
      <c r="AV692" s="17" t="str">
        <f t="shared" si="551"/>
        <v>*FCEV*</v>
      </c>
      <c r="AW692" s="17" t="str">
        <f t="shared" si="551"/>
        <v>TRAAGA</v>
      </c>
      <c r="AX692" s="17" t="str">
        <f t="shared" si="551"/>
        <v>TRAOTHAIRDMD</v>
      </c>
      <c r="AY692" s="17" t="str">
        <f t="shared" si="551"/>
        <v>TRAOTHAIRDMD</v>
      </c>
      <c r="AZ692" s="18">
        <v>2030</v>
      </c>
      <c r="BA692" s="18" t="str">
        <f>BA691</f>
        <v>LO</v>
      </c>
      <c r="BB692" s="18"/>
      <c r="BC692" s="20">
        <f>-SUMIFS('TRA RESID'!$P:$P,'TRA RESID'!$I:$I,AY692,'TRA RESID'!$J:$J,AV692,'TRA RESID'!$H:$H,AW692)/SUMIFS('TRA RESID'!$P:$P,'TRA RESID'!$I:$I,AY692)*BG692</f>
        <v>0</v>
      </c>
      <c r="BD692" s="18"/>
      <c r="BE692" s="18"/>
      <c r="BG692" s="21">
        <v>0.5</v>
      </c>
    </row>
    <row r="693" spans="1:59" x14ac:dyDescent="0.25">
      <c r="C693" s="15" t="str">
        <f>IF(C692="*",C692,"")</f>
        <v>*</v>
      </c>
      <c r="D693" s="17" t="str">
        <f t="shared" si="548"/>
        <v>*ICEV*</v>
      </c>
      <c r="E693" s="17" t="str">
        <f t="shared" si="548"/>
        <v>TRAAGA</v>
      </c>
      <c r="F693" s="17" t="str">
        <f t="shared" si="548"/>
        <v>TRAOTHAIRDMD</v>
      </c>
      <c r="G693" s="17" t="str">
        <f t="shared" si="548"/>
        <v>TRAOTHAIRDMD</v>
      </c>
      <c r="H693" s="18">
        <v>2040</v>
      </c>
      <c r="I693" s="18" t="str">
        <f>I692</f>
        <v>LO</v>
      </c>
      <c r="J693" s="18"/>
      <c r="K693" s="20">
        <f>-SUMIFS('TRA RESID'!$P:$P,'TRA RESID'!$I:$I,G693,'TRA RESID'!$J:$J,D693,'TRA RESID'!$H:$H,E693)/SUMIFS('TRA RESID'!$P:$P,'TRA RESID'!$I:$I,G693)*O693</f>
        <v>0</v>
      </c>
      <c r="L693" s="18"/>
      <c r="M693" s="18"/>
      <c r="O693" s="21">
        <v>0</v>
      </c>
      <c r="S693" s="15" t="str">
        <f>IF(S692="*",S692,"")</f>
        <v>*</v>
      </c>
      <c r="T693" s="17" t="str">
        <f t="shared" si="549"/>
        <v>*BEV*</v>
      </c>
      <c r="U693" s="17" t="str">
        <f t="shared" si="549"/>
        <v>TRAAGA</v>
      </c>
      <c r="V693" s="17" t="str">
        <f t="shared" si="549"/>
        <v>TRAOTHAIRDMD</v>
      </c>
      <c r="W693" s="17" t="str">
        <f t="shared" si="549"/>
        <v>TRAOTHAIRDMD</v>
      </c>
      <c r="X693" s="18">
        <v>2040</v>
      </c>
      <c r="Y693" s="18" t="str">
        <f>Y692</f>
        <v>LO</v>
      </c>
      <c r="Z693" s="18"/>
      <c r="AA693" s="20">
        <f>-SUMIFS('TRA RESID'!$P:$P,'TRA RESID'!$I:$I,W693,'TRA RESID'!$J:$J,T693,'TRA RESID'!$H:$H,U693)/SUMIFS('TRA RESID'!$P:$P,'TRA RESID'!$I:$I,W693)*AE693</f>
        <v>0</v>
      </c>
      <c r="AB693" s="18"/>
      <c r="AC693" s="18"/>
      <c r="AE693" s="21">
        <v>1</v>
      </c>
      <c r="AG693" s="15" t="str">
        <f>IF(AG692="*",AG692,"")</f>
        <v>*</v>
      </c>
      <c r="AH693" s="17" t="str">
        <f t="shared" si="550"/>
        <v>*HEV*</v>
      </c>
      <c r="AI693" s="17" t="str">
        <f t="shared" si="550"/>
        <v>TRAAGA</v>
      </c>
      <c r="AJ693" s="17" t="str">
        <f t="shared" si="550"/>
        <v>TRAOTHAIRDMD</v>
      </c>
      <c r="AK693" s="17" t="str">
        <f t="shared" si="550"/>
        <v>TRAOTHAIRDMD</v>
      </c>
      <c r="AL693" s="18">
        <v>2040</v>
      </c>
      <c r="AM693" s="18" t="str">
        <f>AM692</f>
        <v>LO</v>
      </c>
      <c r="AN693" s="18"/>
      <c r="AO693" s="20">
        <f>-SUMIFS('TRA RESID'!$P:$P,'TRA RESID'!$I:$I,AK693,'TRA RESID'!$J:$J,AH693,'TRA RESID'!$H:$H,AI693)/SUMIFS('TRA RESID'!$P:$P,'TRA RESID'!$I:$I,AK693)*AS693</f>
        <v>0</v>
      </c>
      <c r="AP693" s="18"/>
      <c r="AQ693" s="18"/>
      <c r="AS693" s="21">
        <v>0</v>
      </c>
      <c r="AU693" s="15" t="str">
        <f>IF(AU692="*",AU692,"")</f>
        <v>*</v>
      </c>
      <c r="AV693" s="17" t="str">
        <f t="shared" si="551"/>
        <v>*FCEV*</v>
      </c>
      <c r="AW693" s="17" t="str">
        <f t="shared" si="551"/>
        <v>TRAAGA</v>
      </c>
      <c r="AX693" s="17" t="str">
        <f t="shared" si="551"/>
        <v>TRAOTHAIRDMD</v>
      </c>
      <c r="AY693" s="17" t="str">
        <f t="shared" si="551"/>
        <v>TRAOTHAIRDMD</v>
      </c>
      <c r="AZ693" s="18">
        <v>2040</v>
      </c>
      <c r="BA693" s="18" t="str">
        <f>BA692</f>
        <v>LO</v>
      </c>
      <c r="BB693" s="18"/>
      <c r="BC693" s="20">
        <f>-SUMIFS('TRA RESID'!$P:$P,'TRA RESID'!$I:$I,AY693,'TRA RESID'!$J:$J,AV693,'TRA RESID'!$H:$H,AW693)/SUMIFS('TRA RESID'!$P:$P,'TRA RESID'!$I:$I,AY693)*BG693</f>
        <v>0</v>
      </c>
      <c r="BD693" s="18"/>
      <c r="BE693" s="18"/>
      <c r="BG693" s="21">
        <v>0</v>
      </c>
    </row>
    <row r="694" spans="1:59" x14ac:dyDescent="0.25">
      <c r="C694" s="23" t="str">
        <f>IF(C693="*",C693,"")</f>
        <v>*</v>
      </c>
      <c r="D694" s="25" t="str">
        <f t="shared" si="548"/>
        <v>*ICEV*</v>
      </c>
      <c r="E694" s="25" t="str">
        <f t="shared" si="548"/>
        <v>TRAAGA</v>
      </c>
      <c r="F694" s="25" t="str">
        <f t="shared" si="548"/>
        <v>TRAOTHAIRDMD</v>
      </c>
      <c r="G694" s="25" t="str">
        <f t="shared" si="548"/>
        <v>TRAOTHAIRDMD</v>
      </c>
      <c r="H694" s="26">
        <v>2050</v>
      </c>
      <c r="I694" s="26" t="str">
        <f>I692</f>
        <v>LO</v>
      </c>
      <c r="J694" s="26"/>
      <c r="K694" s="27">
        <f>-SUMIFS('TRA RESID'!$P:$P,'TRA RESID'!$I:$I,G694,'TRA RESID'!$J:$J,D694,'TRA RESID'!$H:$H,E694)/SUMIFS('TRA RESID'!$P:$P,'TRA RESID'!$I:$I,G694)*O694</f>
        <v>0</v>
      </c>
      <c r="L694" s="26"/>
      <c r="M694" s="26"/>
      <c r="O694" s="28">
        <v>0</v>
      </c>
      <c r="S694" s="23" t="str">
        <f>IF(S693="*",S693,"")</f>
        <v>*</v>
      </c>
      <c r="T694" s="25" t="str">
        <f t="shared" si="549"/>
        <v>*BEV*</v>
      </c>
      <c r="U694" s="25" t="str">
        <f t="shared" si="549"/>
        <v>TRAAGA</v>
      </c>
      <c r="V694" s="25" t="str">
        <f t="shared" si="549"/>
        <v>TRAOTHAIRDMD</v>
      </c>
      <c r="W694" s="25" t="str">
        <f t="shared" si="549"/>
        <v>TRAOTHAIRDMD</v>
      </c>
      <c r="X694" s="26">
        <v>2050</v>
      </c>
      <c r="Y694" s="26" t="str">
        <f>Y692</f>
        <v>LO</v>
      </c>
      <c r="Z694" s="26"/>
      <c r="AA694" s="27">
        <f>-SUMIFS('TRA RESID'!$P:$P,'TRA RESID'!$I:$I,W694,'TRA RESID'!$J:$J,T694,'TRA RESID'!$H:$H,U694)/SUMIFS('TRA RESID'!$P:$P,'TRA RESID'!$I:$I,W694)*AE694</f>
        <v>0</v>
      </c>
      <c r="AB694" s="26"/>
      <c r="AC694" s="26"/>
      <c r="AE694" s="28">
        <v>1</v>
      </c>
      <c r="AG694" s="23" t="str">
        <f>IF(AG693="*",AG693,"")</f>
        <v>*</v>
      </c>
      <c r="AH694" s="25" t="str">
        <f t="shared" si="550"/>
        <v>*HEV*</v>
      </c>
      <c r="AI694" s="25" t="str">
        <f t="shared" si="550"/>
        <v>TRAAGA</v>
      </c>
      <c r="AJ694" s="25" t="str">
        <f t="shared" si="550"/>
        <v>TRAOTHAIRDMD</v>
      </c>
      <c r="AK694" s="25" t="str">
        <f t="shared" si="550"/>
        <v>TRAOTHAIRDMD</v>
      </c>
      <c r="AL694" s="26">
        <v>2050</v>
      </c>
      <c r="AM694" s="26" t="str">
        <f>AM692</f>
        <v>LO</v>
      </c>
      <c r="AN694" s="26"/>
      <c r="AO694" s="27">
        <f>-SUMIFS('TRA RESID'!$P:$P,'TRA RESID'!$I:$I,AK694,'TRA RESID'!$J:$J,AH694,'TRA RESID'!$H:$H,AI694)/SUMIFS('TRA RESID'!$P:$P,'TRA RESID'!$I:$I,AK694)*AS694</f>
        <v>0</v>
      </c>
      <c r="AP694" s="26"/>
      <c r="AQ694" s="26"/>
      <c r="AS694" s="28">
        <v>0</v>
      </c>
      <c r="AU694" s="23" t="str">
        <f>IF(AU693="*",AU693,"")</f>
        <v>*</v>
      </c>
      <c r="AV694" s="25" t="str">
        <f t="shared" si="551"/>
        <v>*FCEV*</v>
      </c>
      <c r="AW694" s="25" t="str">
        <f t="shared" si="551"/>
        <v>TRAAGA</v>
      </c>
      <c r="AX694" s="25" t="str">
        <f t="shared" si="551"/>
        <v>TRAOTHAIRDMD</v>
      </c>
      <c r="AY694" s="25" t="str">
        <f t="shared" si="551"/>
        <v>TRAOTHAIRDMD</v>
      </c>
      <c r="AZ694" s="26">
        <v>2050</v>
      </c>
      <c r="BA694" s="26" t="str">
        <f>BA692</f>
        <v>LO</v>
      </c>
      <c r="BB694" s="26"/>
      <c r="BC694" s="27">
        <f>-SUMIFS('TRA RESID'!$P:$P,'TRA RESID'!$I:$I,AY694,'TRA RESID'!$J:$J,AV694,'TRA RESID'!$H:$H,AW694)/SUMIFS('TRA RESID'!$P:$P,'TRA RESID'!$I:$I,AY694)*BG694</f>
        <v>0</v>
      </c>
      <c r="BD694" s="26"/>
      <c r="BE694" s="26"/>
      <c r="BG694" s="28">
        <v>0</v>
      </c>
    </row>
    <row r="695" spans="1:59" x14ac:dyDescent="0.25">
      <c r="A695">
        <f>A690+1</f>
        <v>139</v>
      </c>
      <c r="C695" s="15" t="str">
        <f>IF(E695="","",IF(_xlfn.XLOOKUP($A695,Selected_constraint!$A:$A,Selected_constraint!$D:$D)=1,"*",IF(SUMIFS('TRA TECH'!$M:$M,'TRA TECH'!$H:$H,E695,'TRA TECH'!$I:$I,F695)=0,"*",IF(SUMIFS('TRA RESID'!$P:$P,'TRA RESID'!$I:$I,G695,'TRA RESID'!$J:$J,D695,'TRA RESID'!$H:$H,E695)=0,"*","UC_"&amp;SUBSTITUTE(D695,"*","")&amp;"_"&amp;RIGHT(E695,3)&amp;"_"&amp;F695))))</f>
        <v>*</v>
      </c>
      <c r="D695" s="17" t="s">
        <v>485</v>
      </c>
      <c r="E695" s="17" t="str">
        <f>_xlfn.XLOOKUP($A695,Selected_constraint!$A:$A,Selected_constraint!$B:$B)</f>
        <v>TRAATF</v>
      </c>
      <c r="F695" s="17" t="str">
        <f>_xlfn.XLOOKUP($A695,Selected_constraint!$A:$A,Selected_constraint!$C:$C)</f>
        <v>TRAOTHAIRDMD</v>
      </c>
      <c r="G695" s="17" t="str">
        <f>F695</f>
        <v>TRAOTHAIRDMD</v>
      </c>
      <c r="H695" s="18">
        <v>2019</v>
      </c>
      <c r="I695" s="18" t="s">
        <v>483</v>
      </c>
      <c r="J695" s="18">
        <v>1</v>
      </c>
      <c r="K695" s="20">
        <f>-SUMIFS('TRA RESID'!$P:$P,'TRA RESID'!$I:$I,G695,'TRA RESID'!$J:$J,D695,'TRA RESID'!$H:$H,E695)/SUMIFS('TRA RESID'!$P:$P,'TRA RESID'!$I:$I,G695)*O695</f>
        <v>0</v>
      </c>
      <c r="L695" s="18">
        <v>0</v>
      </c>
      <c r="M695" s="18">
        <v>5</v>
      </c>
      <c r="O695" s="21">
        <v>0.98</v>
      </c>
      <c r="Q695">
        <f>Q690+1</f>
        <v>139</v>
      </c>
      <c r="S695" s="15" t="str">
        <f>IF(SUMIFS('TRA RESID'!$P:$P,'TRA RESID'!$I:$I,W695,'TRA RESID'!$J:$J,T695,'TRA RESID'!$H:$H,U695)=0,"*","UC_"&amp;SUBSTITUTE(T695,"*","")&amp;"_"&amp;RIGHT(U695,3)&amp;"_"&amp;V695)</f>
        <v>*</v>
      </c>
      <c r="T695" s="17" t="s">
        <v>486</v>
      </c>
      <c r="U695" s="17" t="str">
        <f>_xlfn.XLOOKUP($A695,Selected_constraint!$A:$A,Selected_constraint!$B:$B)</f>
        <v>TRAATF</v>
      </c>
      <c r="V695" s="17" t="str">
        <f>_xlfn.XLOOKUP($A695,Selected_constraint!$A:$A,Selected_constraint!$C:$C)</f>
        <v>TRAOTHAIRDMD</v>
      </c>
      <c r="W695" s="17" t="str">
        <f>V695</f>
        <v>TRAOTHAIRDMD</v>
      </c>
      <c r="X695" s="18">
        <v>2019</v>
      </c>
      <c r="Y695" s="18" t="s">
        <v>483</v>
      </c>
      <c r="Z695" s="18">
        <v>1</v>
      </c>
      <c r="AA695" s="20">
        <f>-SUMIFS('TRA RESID'!$P:$P,'TRA RESID'!$I:$I,W695,'TRA RESID'!$J:$J,T695,'TRA RESID'!$H:$H,U695)/SUMIFS('TRA RESID'!$P:$P,'TRA RESID'!$I:$I,W695)*AE695</f>
        <v>0</v>
      </c>
      <c r="AB695" s="18">
        <v>0</v>
      </c>
      <c r="AC695" s="18">
        <v>5</v>
      </c>
      <c r="AE695" s="21">
        <v>0.98</v>
      </c>
      <c r="AG695" s="15" t="str">
        <f>IF(SUMIFS('TRA RESID'!$P:$P,'TRA RESID'!$I:$I,AK695,'TRA RESID'!$J:$J,AH695,'TRA RESID'!$H:$H,AI695)=0,"*","UC_"&amp;SUBSTITUTE(AH695,"*","")&amp;"_"&amp;RIGHT(AI695,3)&amp;"_"&amp;AJ695)</f>
        <v>*</v>
      </c>
      <c r="AH695" s="17" t="s">
        <v>487</v>
      </c>
      <c r="AI695" s="17" t="str">
        <f>_xlfn.XLOOKUP($A695,Selected_constraint!$A:$A,Selected_constraint!$B:$B)</f>
        <v>TRAATF</v>
      </c>
      <c r="AJ695" s="17" t="str">
        <f>_xlfn.XLOOKUP($A695,Selected_constraint!$A:$A,Selected_constraint!$C:$C)</f>
        <v>TRAOTHAIRDMD</v>
      </c>
      <c r="AK695" s="17" t="str">
        <f>AJ695</f>
        <v>TRAOTHAIRDMD</v>
      </c>
      <c r="AL695" s="18">
        <v>2019</v>
      </c>
      <c r="AM695" s="18" t="s">
        <v>483</v>
      </c>
      <c r="AN695" s="18">
        <v>1</v>
      </c>
      <c r="AO695" s="20">
        <f>-SUMIFS('TRA RESID'!$P:$P,'TRA RESID'!$I:$I,AK695,'TRA RESID'!$J:$J,AH695,'TRA RESID'!$H:$H,AI695)/SUMIFS('TRA RESID'!$P:$P,'TRA RESID'!$I:$I,AK695)*AS695</f>
        <v>0</v>
      </c>
      <c r="AP695" s="18">
        <v>0</v>
      </c>
      <c r="AQ695" s="18">
        <v>5</v>
      </c>
      <c r="AS695" s="21">
        <v>0.98</v>
      </c>
      <c r="AU695" s="15" t="str">
        <f>IF(SUMIFS('TRA RESID'!$P:$P,'TRA RESID'!$I:$I,AY695,'TRA RESID'!$J:$J,AV695,'TRA RESID'!$H:$H,AW695)=0,"*","UC_"&amp;SUBSTITUTE(AV695,"*","")&amp;"_"&amp;RIGHT(AW695,3)&amp;"_"&amp;AX695)</f>
        <v>*</v>
      </c>
      <c r="AV695" s="17" t="s">
        <v>488</v>
      </c>
      <c r="AW695" s="17" t="str">
        <f>_xlfn.XLOOKUP($A695,Selected_constraint!$A:$A,Selected_constraint!$B:$B)</f>
        <v>TRAATF</v>
      </c>
      <c r="AX695" s="17" t="str">
        <f>_xlfn.XLOOKUP($A695,Selected_constraint!$A:$A,Selected_constraint!$C:$C)</f>
        <v>TRAOTHAIRDMD</v>
      </c>
      <c r="AY695" s="17" t="str">
        <f>AX695</f>
        <v>TRAOTHAIRDMD</v>
      </c>
      <c r="AZ695" s="18">
        <v>2019</v>
      </c>
      <c r="BA695" s="18" t="s">
        <v>483</v>
      </c>
      <c r="BB695" s="18">
        <v>1</v>
      </c>
      <c r="BC695" s="20">
        <f>-SUMIFS('TRA RESID'!$P:$P,'TRA RESID'!$I:$I,AY695,'TRA RESID'!$J:$J,AV695,'TRA RESID'!$H:$H,AW695)/SUMIFS('TRA RESID'!$P:$P,'TRA RESID'!$I:$I,AY695)*BG695</f>
        <v>0</v>
      </c>
      <c r="BD695" s="18">
        <v>0</v>
      </c>
      <c r="BE695" s="18">
        <v>5</v>
      </c>
      <c r="BG695" s="21">
        <v>0.98</v>
      </c>
    </row>
    <row r="696" spans="1:59" x14ac:dyDescent="0.25">
      <c r="C696" s="15" t="str">
        <f>IF(C695="*",C695,"")</f>
        <v>*</v>
      </c>
      <c r="D696" s="17" t="str">
        <f t="shared" ref="D696:G699" si="552">D695</f>
        <v>*ICEV*</v>
      </c>
      <c r="E696" s="17" t="str">
        <f t="shared" si="552"/>
        <v>TRAATF</v>
      </c>
      <c r="F696" s="17" t="str">
        <f t="shared" si="552"/>
        <v>TRAOTHAIRDMD</v>
      </c>
      <c r="G696" s="17" t="str">
        <f t="shared" si="552"/>
        <v>TRAOTHAIRDMD</v>
      </c>
      <c r="H696" s="18">
        <v>2025</v>
      </c>
      <c r="I696" s="18" t="str">
        <f>I695</f>
        <v>LO</v>
      </c>
      <c r="J696" s="18"/>
      <c r="K696" s="20">
        <f>-SUMIFS('TRA RESID'!$P:$P,'TRA RESID'!$I:$I,G696,'TRA RESID'!$J:$J,D696,'TRA RESID'!$H:$H,E696)/SUMIFS('TRA RESID'!$P:$P,'TRA RESID'!$I:$I,G696)*O696</f>
        <v>0</v>
      </c>
      <c r="L696" s="18"/>
      <c r="M696" s="18"/>
      <c r="O696" s="21">
        <v>0.8</v>
      </c>
      <c r="S696" s="15" t="str">
        <f>IF(S695="*",S695,"")</f>
        <v>*</v>
      </c>
      <c r="T696" s="17" t="str">
        <f t="shared" ref="T696:W699" si="553">T695</f>
        <v>*BEV*</v>
      </c>
      <c r="U696" s="17" t="str">
        <f t="shared" si="553"/>
        <v>TRAATF</v>
      </c>
      <c r="V696" s="17" t="str">
        <f t="shared" si="553"/>
        <v>TRAOTHAIRDMD</v>
      </c>
      <c r="W696" s="17" t="str">
        <f t="shared" si="553"/>
        <v>TRAOTHAIRDMD</v>
      </c>
      <c r="X696" s="18">
        <v>2025</v>
      </c>
      <c r="Y696" s="18" t="str">
        <f>Y695</f>
        <v>LO</v>
      </c>
      <c r="Z696" s="18"/>
      <c r="AA696" s="20">
        <f>-SUMIFS('TRA RESID'!$P:$P,'TRA RESID'!$I:$I,W696,'TRA RESID'!$J:$J,T696,'TRA RESID'!$H:$H,U696)/SUMIFS('TRA RESID'!$P:$P,'TRA RESID'!$I:$I,W696)*AE696</f>
        <v>0</v>
      </c>
      <c r="AB696" s="18"/>
      <c r="AC696" s="18"/>
      <c r="AE696" s="21">
        <v>1</v>
      </c>
      <c r="AG696" s="15" t="str">
        <f>IF(AG695="*",AG695,"")</f>
        <v>*</v>
      </c>
      <c r="AH696" s="17" t="str">
        <f t="shared" ref="AH696:AK699" si="554">AH695</f>
        <v>*HEV*</v>
      </c>
      <c r="AI696" s="17" t="str">
        <f t="shared" si="554"/>
        <v>TRAATF</v>
      </c>
      <c r="AJ696" s="17" t="str">
        <f t="shared" si="554"/>
        <v>TRAOTHAIRDMD</v>
      </c>
      <c r="AK696" s="17" t="str">
        <f t="shared" si="554"/>
        <v>TRAOTHAIRDMD</v>
      </c>
      <c r="AL696" s="18">
        <v>2025</v>
      </c>
      <c r="AM696" s="18" t="str">
        <f>AM695</f>
        <v>LO</v>
      </c>
      <c r="AN696" s="18"/>
      <c r="AO696" s="20">
        <f>-SUMIFS('TRA RESID'!$P:$P,'TRA RESID'!$I:$I,AK696,'TRA RESID'!$J:$J,AH696,'TRA RESID'!$H:$H,AI696)/SUMIFS('TRA RESID'!$P:$P,'TRA RESID'!$I:$I,AK696)*AS696</f>
        <v>0</v>
      </c>
      <c r="AP696" s="18"/>
      <c r="AQ696" s="18"/>
      <c r="AS696" s="21">
        <v>0.8</v>
      </c>
      <c r="AU696" s="15" t="str">
        <f>IF(AU695="*",AU695,"")</f>
        <v>*</v>
      </c>
      <c r="AV696" s="17" t="str">
        <f t="shared" ref="AV696:AY699" si="555">AV695</f>
        <v>*FCEV*</v>
      </c>
      <c r="AW696" s="17" t="str">
        <f t="shared" si="555"/>
        <v>TRAATF</v>
      </c>
      <c r="AX696" s="17" t="str">
        <f t="shared" si="555"/>
        <v>TRAOTHAIRDMD</v>
      </c>
      <c r="AY696" s="17" t="str">
        <f t="shared" si="555"/>
        <v>TRAOTHAIRDMD</v>
      </c>
      <c r="AZ696" s="18">
        <v>2025</v>
      </c>
      <c r="BA696" s="18" t="str">
        <f>BA695</f>
        <v>LO</v>
      </c>
      <c r="BB696" s="18"/>
      <c r="BC696" s="20">
        <f>-SUMIFS('TRA RESID'!$P:$P,'TRA RESID'!$I:$I,AY696,'TRA RESID'!$J:$J,AV696,'TRA RESID'!$H:$H,AW696)/SUMIFS('TRA RESID'!$P:$P,'TRA RESID'!$I:$I,AY696)*BG696</f>
        <v>0</v>
      </c>
      <c r="BD696" s="18"/>
      <c r="BE696" s="18"/>
      <c r="BG696" s="21">
        <v>0.8</v>
      </c>
    </row>
    <row r="697" spans="1:59" x14ac:dyDescent="0.25">
      <c r="C697" s="15" t="str">
        <f>IF(C696="*",C696,"")</f>
        <v>*</v>
      </c>
      <c r="D697" s="17" t="str">
        <f t="shared" si="552"/>
        <v>*ICEV*</v>
      </c>
      <c r="E697" s="17" t="str">
        <f t="shared" si="552"/>
        <v>TRAATF</v>
      </c>
      <c r="F697" s="17" t="str">
        <f t="shared" si="552"/>
        <v>TRAOTHAIRDMD</v>
      </c>
      <c r="G697" s="17" t="str">
        <f t="shared" si="552"/>
        <v>TRAOTHAIRDMD</v>
      </c>
      <c r="H697" s="18">
        <v>2030</v>
      </c>
      <c r="I697" s="18" t="str">
        <f>I696</f>
        <v>LO</v>
      </c>
      <c r="J697" s="18"/>
      <c r="K697" s="20">
        <f>-SUMIFS('TRA RESID'!$P:$P,'TRA RESID'!$I:$I,G697,'TRA RESID'!$J:$J,D697,'TRA RESID'!$H:$H,E697)/SUMIFS('TRA RESID'!$P:$P,'TRA RESID'!$I:$I,G697)*O697</f>
        <v>0</v>
      </c>
      <c r="L697" s="18"/>
      <c r="M697" s="18"/>
      <c r="O697" s="21">
        <v>0.5</v>
      </c>
      <c r="S697" s="15" t="str">
        <f>IF(S696="*",S696,"")</f>
        <v>*</v>
      </c>
      <c r="T697" s="17" t="str">
        <f t="shared" si="553"/>
        <v>*BEV*</v>
      </c>
      <c r="U697" s="17" t="str">
        <f t="shared" si="553"/>
        <v>TRAATF</v>
      </c>
      <c r="V697" s="17" t="str">
        <f t="shared" si="553"/>
        <v>TRAOTHAIRDMD</v>
      </c>
      <c r="W697" s="17" t="str">
        <f t="shared" si="553"/>
        <v>TRAOTHAIRDMD</v>
      </c>
      <c r="X697" s="18">
        <v>2030</v>
      </c>
      <c r="Y697" s="18" t="str">
        <f>Y696</f>
        <v>LO</v>
      </c>
      <c r="Z697" s="18"/>
      <c r="AA697" s="20">
        <f>-SUMIFS('TRA RESID'!$P:$P,'TRA RESID'!$I:$I,W697,'TRA RESID'!$J:$J,T697,'TRA RESID'!$H:$H,U697)/SUMIFS('TRA RESID'!$P:$P,'TRA RESID'!$I:$I,W697)*AE697</f>
        <v>0</v>
      </c>
      <c r="AB697" s="18"/>
      <c r="AC697" s="18"/>
      <c r="AE697" s="21">
        <v>1</v>
      </c>
      <c r="AG697" s="15" t="str">
        <f>IF(AG696="*",AG696,"")</f>
        <v>*</v>
      </c>
      <c r="AH697" s="17" t="str">
        <f t="shared" si="554"/>
        <v>*HEV*</v>
      </c>
      <c r="AI697" s="17" t="str">
        <f t="shared" si="554"/>
        <v>TRAATF</v>
      </c>
      <c r="AJ697" s="17" t="str">
        <f t="shared" si="554"/>
        <v>TRAOTHAIRDMD</v>
      </c>
      <c r="AK697" s="17" t="str">
        <f t="shared" si="554"/>
        <v>TRAOTHAIRDMD</v>
      </c>
      <c r="AL697" s="18">
        <v>2030</v>
      </c>
      <c r="AM697" s="18" t="str">
        <f>AM696</f>
        <v>LO</v>
      </c>
      <c r="AN697" s="18"/>
      <c r="AO697" s="20">
        <f>-SUMIFS('TRA RESID'!$P:$P,'TRA RESID'!$I:$I,AK697,'TRA RESID'!$J:$J,AH697,'TRA RESID'!$H:$H,AI697)/SUMIFS('TRA RESID'!$P:$P,'TRA RESID'!$I:$I,AK697)*AS697</f>
        <v>0</v>
      </c>
      <c r="AP697" s="18"/>
      <c r="AQ697" s="18"/>
      <c r="AS697" s="21">
        <v>0.5</v>
      </c>
      <c r="AU697" s="15" t="str">
        <f>IF(AU696="*",AU696,"")</f>
        <v>*</v>
      </c>
      <c r="AV697" s="17" t="str">
        <f t="shared" si="555"/>
        <v>*FCEV*</v>
      </c>
      <c r="AW697" s="17" t="str">
        <f t="shared" si="555"/>
        <v>TRAATF</v>
      </c>
      <c r="AX697" s="17" t="str">
        <f t="shared" si="555"/>
        <v>TRAOTHAIRDMD</v>
      </c>
      <c r="AY697" s="17" t="str">
        <f t="shared" si="555"/>
        <v>TRAOTHAIRDMD</v>
      </c>
      <c r="AZ697" s="18">
        <v>2030</v>
      </c>
      <c r="BA697" s="18" t="str">
        <f>BA696</f>
        <v>LO</v>
      </c>
      <c r="BB697" s="18"/>
      <c r="BC697" s="20">
        <f>-SUMIFS('TRA RESID'!$P:$P,'TRA RESID'!$I:$I,AY697,'TRA RESID'!$J:$J,AV697,'TRA RESID'!$H:$H,AW697)/SUMIFS('TRA RESID'!$P:$P,'TRA RESID'!$I:$I,AY697)*BG697</f>
        <v>0</v>
      </c>
      <c r="BD697" s="18"/>
      <c r="BE697" s="18"/>
      <c r="BG697" s="21">
        <v>0.5</v>
      </c>
    </row>
    <row r="698" spans="1:59" x14ac:dyDescent="0.25">
      <c r="C698" s="15" t="str">
        <f>IF(C697="*",C697,"")</f>
        <v>*</v>
      </c>
      <c r="D698" s="17" t="str">
        <f t="shared" si="552"/>
        <v>*ICEV*</v>
      </c>
      <c r="E698" s="17" t="str">
        <f t="shared" si="552"/>
        <v>TRAATF</v>
      </c>
      <c r="F698" s="17" t="str">
        <f t="shared" si="552"/>
        <v>TRAOTHAIRDMD</v>
      </c>
      <c r="G698" s="17" t="str">
        <f t="shared" si="552"/>
        <v>TRAOTHAIRDMD</v>
      </c>
      <c r="H698" s="18">
        <v>2040</v>
      </c>
      <c r="I698" s="18" t="str">
        <f>I697</f>
        <v>LO</v>
      </c>
      <c r="J698" s="18"/>
      <c r="K698" s="20">
        <f>-SUMIFS('TRA RESID'!$P:$P,'TRA RESID'!$I:$I,G698,'TRA RESID'!$J:$J,D698,'TRA RESID'!$H:$H,E698)/SUMIFS('TRA RESID'!$P:$P,'TRA RESID'!$I:$I,G698)*O698</f>
        <v>0</v>
      </c>
      <c r="L698" s="18"/>
      <c r="M698" s="18"/>
      <c r="O698" s="21">
        <v>0</v>
      </c>
      <c r="S698" s="15" t="str">
        <f>IF(S697="*",S697,"")</f>
        <v>*</v>
      </c>
      <c r="T698" s="17" t="str">
        <f t="shared" si="553"/>
        <v>*BEV*</v>
      </c>
      <c r="U698" s="17" t="str">
        <f t="shared" si="553"/>
        <v>TRAATF</v>
      </c>
      <c r="V698" s="17" t="str">
        <f t="shared" si="553"/>
        <v>TRAOTHAIRDMD</v>
      </c>
      <c r="W698" s="17" t="str">
        <f t="shared" si="553"/>
        <v>TRAOTHAIRDMD</v>
      </c>
      <c r="X698" s="18">
        <v>2040</v>
      </c>
      <c r="Y698" s="18" t="str">
        <f>Y697</f>
        <v>LO</v>
      </c>
      <c r="Z698" s="18"/>
      <c r="AA698" s="20">
        <f>-SUMIFS('TRA RESID'!$P:$P,'TRA RESID'!$I:$I,W698,'TRA RESID'!$J:$J,T698,'TRA RESID'!$H:$H,U698)/SUMIFS('TRA RESID'!$P:$P,'TRA RESID'!$I:$I,W698)*AE698</f>
        <v>0</v>
      </c>
      <c r="AB698" s="18"/>
      <c r="AC698" s="18"/>
      <c r="AE698" s="21">
        <v>1</v>
      </c>
      <c r="AG698" s="15" t="str">
        <f>IF(AG697="*",AG697,"")</f>
        <v>*</v>
      </c>
      <c r="AH698" s="17" t="str">
        <f t="shared" si="554"/>
        <v>*HEV*</v>
      </c>
      <c r="AI698" s="17" t="str">
        <f t="shared" si="554"/>
        <v>TRAATF</v>
      </c>
      <c r="AJ698" s="17" t="str">
        <f t="shared" si="554"/>
        <v>TRAOTHAIRDMD</v>
      </c>
      <c r="AK698" s="17" t="str">
        <f t="shared" si="554"/>
        <v>TRAOTHAIRDMD</v>
      </c>
      <c r="AL698" s="18">
        <v>2040</v>
      </c>
      <c r="AM698" s="18" t="str">
        <f>AM697</f>
        <v>LO</v>
      </c>
      <c r="AN698" s="18"/>
      <c r="AO698" s="20">
        <f>-SUMIFS('TRA RESID'!$P:$P,'TRA RESID'!$I:$I,AK698,'TRA RESID'!$J:$J,AH698,'TRA RESID'!$H:$H,AI698)/SUMIFS('TRA RESID'!$P:$P,'TRA RESID'!$I:$I,AK698)*AS698</f>
        <v>0</v>
      </c>
      <c r="AP698" s="18"/>
      <c r="AQ698" s="18"/>
      <c r="AS698" s="21">
        <v>0</v>
      </c>
      <c r="AU698" s="15" t="str">
        <f>IF(AU697="*",AU697,"")</f>
        <v>*</v>
      </c>
      <c r="AV698" s="17" t="str">
        <f t="shared" si="555"/>
        <v>*FCEV*</v>
      </c>
      <c r="AW698" s="17" t="str">
        <f t="shared" si="555"/>
        <v>TRAATF</v>
      </c>
      <c r="AX698" s="17" t="str">
        <f t="shared" si="555"/>
        <v>TRAOTHAIRDMD</v>
      </c>
      <c r="AY698" s="17" t="str">
        <f t="shared" si="555"/>
        <v>TRAOTHAIRDMD</v>
      </c>
      <c r="AZ698" s="18">
        <v>2040</v>
      </c>
      <c r="BA698" s="18" t="str">
        <f>BA697</f>
        <v>LO</v>
      </c>
      <c r="BB698" s="18"/>
      <c r="BC698" s="20">
        <f>-SUMIFS('TRA RESID'!$P:$P,'TRA RESID'!$I:$I,AY698,'TRA RESID'!$J:$J,AV698,'TRA RESID'!$H:$H,AW698)/SUMIFS('TRA RESID'!$P:$P,'TRA RESID'!$I:$I,AY698)*BG698</f>
        <v>0</v>
      </c>
      <c r="BD698" s="18"/>
      <c r="BE698" s="18"/>
      <c r="BG698" s="21">
        <v>0</v>
      </c>
    </row>
    <row r="699" spans="1:59" x14ac:dyDescent="0.25">
      <c r="C699" s="23" t="str">
        <f>IF(C698="*",C698,"")</f>
        <v>*</v>
      </c>
      <c r="D699" s="25" t="str">
        <f t="shared" si="552"/>
        <v>*ICEV*</v>
      </c>
      <c r="E699" s="25" t="str">
        <f t="shared" si="552"/>
        <v>TRAATF</v>
      </c>
      <c r="F699" s="25" t="str">
        <f t="shared" si="552"/>
        <v>TRAOTHAIRDMD</v>
      </c>
      <c r="G699" s="25" t="str">
        <f t="shared" si="552"/>
        <v>TRAOTHAIRDMD</v>
      </c>
      <c r="H699" s="26">
        <v>2050</v>
      </c>
      <c r="I699" s="26" t="str">
        <f>I697</f>
        <v>LO</v>
      </c>
      <c r="J699" s="26"/>
      <c r="K699" s="27">
        <f>-SUMIFS('TRA RESID'!$P:$P,'TRA RESID'!$I:$I,G699,'TRA RESID'!$J:$J,D699,'TRA RESID'!$H:$H,E699)/SUMIFS('TRA RESID'!$P:$P,'TRA RESID'!$I:$I,G699)*O699</f>
        <v>0</v>
      </c>
      <c r="L699" s="26"/>
      <c r="M699" s="26"/>
      <c r="O699" s="28">
        <v>0</v>
      </c>
      <c r="S699" s="23" t="str">
        <f>IF(S698="*",S698,"")</f>
        <v>*</v>
      </c>
      <c r="T699" s="25" t="str">
        <f t="shared" si="553"/>
        <v>*BEV*</v>
      </c>
      <c r="U699" s="25" t="str">
        <f t="shared" si="553"/>
        <v>TRAATF</v>
      </c>
      <c r="V699" s="25" t="str">
        <f t="shared" si="553"/>
        <v>TRAOTHAIRDMD</v>
      </c>
      <c r="W699" s="25" t="str">
        <f t="shared" si="553"/>
        <v>TRAOTHAIRDMD</v>
      </c>
      <c r="X699" s="26">
        <v>2050</v>
      </c>
      <c r="Y699" s="26" t="str">
        <f>Y697</f>
        <v>LO</v>
      </c>
      <c r="Z699" s="26"/>
      <c r="AA699" s="27">
        <f>-SUMIFS('TRA RESID'!$P:$P,'TRA RESID'!$I:$I,W699,'TRA RESID'!$J:$J,T699,'TRA RESID'!$H:$H,U699)/SUMIFS('TRA RESID'!$P:$P,'TRA RESID'!$I:$I,W699)*AE699</f>
        <v>0</v>
      </c>
      <c r="AB699" s="26"/>
      <c r="AC699" s="26"/>
      <c r="AE699" s="28">
        <v>1</v>
      </c>
      <c r="AG699" s="23" t="str">
        <f>IF(AG698="*",AG698,"")</f>
        <v>*</v>
      </c>
      <c r="AH699" s="25" t="str">
        <f t="shared" si="554"/>
        <v>*HEV*</v>
      </c>
      <c r="AI699" s="25" t="str">
        <f t="shared" si="554"/>
        <v>TRAATF</v>
      </c>
      <c r="AJ699" s="25" t="str">
        <f t="shared" si="554"/>
        <v>TRAOTHAIRDMD</v>
      </c>
      <c r="AK699" s="25" t="str">
        <f t="shared" si="554"/>
        <v>TRAOTHAIRDMD</v>
      </c>
      <c r="AL699" s="26">
        <v>2050</v>
      </c>
      <c r="AM699" s="26" t="str">
        <f>AM697</f>
        <v>LO</v>
      </c>
      <c r="AN699" s="26"/>
      <c r="AO699" s="27">
        <f>-SUMIFS('TRA RESID'!$P:$P,'TRA RESID'!$I:$I,AK699,'TRA RESID'!$J:$J,AH699,'TRA RESID'!$H:$H,AI699)/SUMIFS('TRA RESID'!$P:$P,'TRA RESID'!$I:$I,AK699)*AS699</f>
        <v>0</v>
      </c>
      <c r="AP699" s="26"/>
      <c r="AQ699" s="26"/>
      <c r="AS699" s="28">
        <v>0</v>
      </c>
      <c r="AU699" s="23" t="str">
        <f>IF(AU698="*",AU698,"")</f>
        <v>*</v>
      </c>
      <c r="AV699" s="25" t="str">
        <f t="shared" si="555"/>
        <v>*FCEV*</v>
      </c>
      <c r="AW699" s="25" t="str">
        <f t="shared" si="555"/>
        <v>TRAATF</v>
      </c>
      <c r="AX699" s="25" t="str">
        <f t="shared" si="555"/>
        <v>TRAOTHAIRDMD</v>
      </c>
      <c r="AY699" s="25" t="str">
        <f t="shared" si="555"/>
        <v>TRAOTHAIRDMD</v>
      </c>
      <c r="AZ699" s="26">
        <v>2050</v>
      </c>
      <c r="BA699" s="26" t="str">
        <f>BA697</f>
        <v>LO</v>
      </c>
      <c r="BB699" s="26"/>
      <c r="BC699" s="27">
        <f>-SUMIFS('TRA RESID'!$P:$P,'TRA RESID'!$I:$I,AY699,'TRA RESID'!$J:$J,AV699,'TRA RESID'!$H:$H,AW699)/SUMIFS('TRA RESID'!$P:$P,'TRA RESID'!$I:$I,AY699)*BG699</f>
        <v>0</v>
      </c>
      <c r="BD699" s="26"/>
      <c r="BE699" s="26"/>
      <c r="BG699" s="2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N1404"/>
  <sheetViews>
    <sheetView tabSelected="1" workbookViewId="0">
      <selection activeCell="C5" sqref="C5:C1404"/>
    </sheetView>
  </sheetViews>
  <sheetFormatPr defaultRowHeight="15" x14ac:dyDescent="0.25"/>
  <cols>
    <col min="1" max="1" width="4" bestFit="1" customWidth="1"/>
    <col min="3" max="3" width="35.140625" bestFit="1" customWidth="1"/>
    <col min="4" max="4" width="8.42578125" bestFit="1" customWidth="1"/>
    <col min="5" max="5" width="8.5703125" bestFit="1" customWidth="1"/>
    <col min="6" max="7" width="16.5703125" bestFit="1" customWidth="1"/>
    <col min="8" max="8" width="17.5703125" bestFit="1" customWidth="1"/>
    <col min="9" max="9" width="7.85546875" bestFit="1" customWidth="1"/>
    <col min="10" max="10" width="10.5703125" bestFit="1" customWidth="1"/>
    <col min="11" max="11" width="16.140625" customWidth="1"/>
    <col min="12" max="12" width="13.140625" bestFit="1" customWidth="1"/>
    <col min="16" max="16" width="4" bestFit="1" customWidth="1"/>
    <col min="17" max="17" width="17.7109375" bestFit="1" customWidth="1"/>
  </cols>
  <sheetData>
    <row r="2" spans="1:14" x14ac:dyDescent="0.25">
      <c r="C2" s="10" t="s">
        <v>471</v>
      </c>
      <c r="D2" s="9"/>
      <c r="E2" s="9"/>
      <c r="F2" s="9"/>
      <c r="G2" s="9"/>
      <c r="H2" s="9"/>
      <c r="I2" s="9"/>
      <c r="J2" s="9"/>
      <c r="K2" s="9"/>
      <c r="L2" s="9"/>
    </row>
    <row r="3" spans="1:14" x14ac:dyDescent="0.25">
      <c r="C3" s="9"/>
      <c r="D3" s="9"/>
      <c r="E3" s="9"/>
      <c r="F3" s="9"/>
      <c r="G3" s="9"/>
      <c r="H3" s="10" t="s">
        <v>489</v>
      </c>
      <c r="I3" s="10"/>
      <c r="J3" s="9"/>
      <c r="K3" s="9"/>
      <c r="L3" s="9"/>
    </row>
    <row r="4" spans="1:14" ht="15.75" customHeight="1" thickBot="1" x14ac:dyDescent="0.3">
      <c r="C4" s="11" t="s">
        <v>473</v>
      </c>
      <c r="D4" s="12" t="s">
        <v>474</v>
      </c>
      <c r="E4" s="11" t="s">
        <v>475</v>
      </c>
      <c r="F4" s="11" t="s">
        <v>476</v>
      </c>
      <c r="G4" s="11" t="s">
        <v>477</v>
      </c>
      <c r="H4" s="11" t="s">
        <v>30</v>
      </c>
      <c r="I4" s="11" t="s">
        <v>478</v>
      </c>
      <c r="J4" s="13" t="s">
        <v>480</v>
      </c>
      <c r="K4" s="13" t="s">
        <v>481</v>
      </c>
      <c r="L4" s="13" t="s">
        <v>482</v>
      </c>
    </row>
    <row r="5" spans="1:14" x14ac:dyDescent="0.25">
      <c r="A5">
        <v>1</v>
      </c>
      <c r="C5" s="15" t="str">
        <f>IF(E5="","",IF(SUMIFS('TRA TECH'!M:M,'TRA TECH'!J:J,D6,'TRA TECH'!I:I,F6,'TRA TECH'!H:H,E6)=0,"*",IF(_xlfn.XLOOKUP($A5,Selected_constraint!$A:$A,Selected_constraint!$D:$D)=1,"*",IF(SUMIFS('TRA TECH'!$M:$M,'TRA TECH'!$H:$H,E5,'TRA TECH'!$I:$I,F5)=0,"*",IF(SUMIFS('TRA RESID'!$P:$P,'TRA RESID'!$I:$I,G5,'TRA RESID'!$J:$J,D5,'TRA RESID'!$H:$H,E5)=0,"*","UC_"&amp;SUBSTITUTE(D5,"*","")&amp;"_"&amp;SUBSTITUTE(D5,"*","")&amp;"_"&amp;RIGHT(E5,3)&amp;"_"&amp;F5)))))</f>
        <v>UC_ICEV_ICEV_GSL_TRAPASCARDMD</v>
      </c>
      <c r="D5" s="17" t="s">
        <v>485</v>
      </c>
      <c r="E5" s="17" t="str">
        <f>_xlfn.XLOOKUP($A5,Selected_constraint!$A:$A,Selected_constraint!$B:$B)</f>
        <v>TRAGSL</v>
      </c>
      <c r="F5" s="17" t="str">
        <f>_xlfn.XLOOKUP($A5,Selected_constraint!$A:$A,Selected_constraint!$C:$C)</f>
        <v>TRAPASCARDMD</v>
      </c>
      <c r="G5" s="17" t="str">
        <f>F5</f>
        <v>TRAPASCARDMD</v>
      </c>
      <c r="H5" s="18">
        <v>2019</v>
      </c>
      <c r="I5" s="19" t="s">
        <v>484</v>
      </c>
      <c r="J5" s="29">
        <f>-SUMIFS('TRA RESID'!$P:$P,'TRA RESID'!$I:$I,G6,'TRA RESID'!$J:$J,D6,'TRA RESID'!$H:$H,E6)/(SUMIFS('TRA RESID'!$P:$P,'TRA RESID'!$I:$I,G6,'TRA RESID'!$J:$J,D6,'TRA RESID'!$H:$H,E6)+SUMIFS('TRA RESID'!$P:$P,'TRA RESID'!$I:$I,G5,'TRA RESID'!$J:$J,D5,'TRA RESID'!$H:$H,E5))</f>
        <v>0</v>
      </c>
      <c r="K5" s="18">
        <v>0</v>
      </c>
      <c r="L5" s="18">
        <v>5</v>
      </c>
      <c r="N5" s="21">
        <v>1</v>
      </c>
    </row>
    <row r="6" spans="1:14" x14ac:dyDescent="0.25">
      <c r="C6" s="15" t="str">
        <f t="shared" ref="C6:C14" si="0">IF(C5="*",C5,"")</f>
        <v/>
      </c>
      <c r="D6" s="17" t="s">
        <v>487</v>
      </c>
      <c r="E6" s="17" t="str">
        <f>E5</f>
        <v>TRAGSL</v>
      </c>
      <c r="F6" s="17" t="str">
        <f>F5</f>
        <v>TRAPASCARDMD</v>
      </c>
      <c r="G6" s="17" t="str">
        <f>G5</f>
        <v>TRAPASCARDMD</v>
      </c>
      <c r="H6" s="18">
        <v>2019</v>
      </c>
      <c r="I6" s="18"/>
      <c r="J6" s="20">
        <f>1-(J5*-1)</f>
        <v>1</v>
      </c>
      <c r="K6" s="18"/>
      <c r="L6" s="18"/>
      <c r="N6" s="21"/>
    </row>
    <row r="7" spans="1:14" ht="15.75" customHeight="1" x14ac:dyDescent="0.25">
      <c r="C7" s="15" t="str">
        <f t="shared" si="0"/>
        <v/>
      </c>
      <c r="D7" s="17" t="str">
        <f>D5</f>
        <v>*ICEV*</v>
      </c>
      <c r="E7" s="17" t="str">
        <f>E5</f>
        <v>TRAGSL</v>
      </c>
      <c r="F7" s="17" t="str">
        <f>F5</f>
        <v>TRAPASCARDMD</v>
      </c>
      <c r="G7" s="17" t="str">
        <f>G5</f>
        <v>TRAPASCARDMD</v>
      </c>
      <c r="H7" s="18">
        <v>2025</v>
      </c>
      <c r="I7" s="18"/>
      <c r="J7" s="29">
        <f>IF(J5=0,-N7+1,J5*N7)</f>
        <v>-0.10000000000000009</v>
      </c>
      <c r="K7" s="18"/>
      <c r="L7" s="18"/>
      <c r="N7" s="21">
        <v>1.1000000000000001</v>
      </c>
    </row>
    <row r="8" spans="1:14" ht="15.75" customHeight="1" x14ac:dyDescent="0.25">
      <c r="C8" s="15" t="str">
        <f t="shared" si="0"/>
        <v/>
      </c>
      <c r="D8" s="17" t="s">
        <v>487</v>
      </c>
      <c r="E8" s="17" t="str">
        <f>E7</f>
        <v>TRAGSL</v>
      </c>
      <c r="F8" s="17" t="str">
        <f>F7</f>
        <v>TRAPASCARDMD</v>
      </c>
      <c r="G8" s="17" t="str">
        <f>G7</f>
        <v>TRAPASCARDMD</v>
      </c>
      <c r="H8" s="18">
        <v>2025</v>
      </c>
      <c r="I8" s="18"/>
      <c r="J8" s="20">
        <f>1-(J7*-1)</f>
        <v>0.89999999999999991</v>
      </c>
      <c r="K8" s="18"/>
      <c r="L8" s="18"/>
      <c r="N8" s="21"/>
    </row>
    <row r="9" spans="1:14" x14ac:dyDescent="0.25">
      <c r="C9" s="15" t="str">
        <f t="shared" si="0"/>
        <v/>
      </c>
      <c r="D9" s="17" t="str">
        <f>D7</f>
        <v>*ICEV*</v>
      </c>
      <c r="E9" s="17" t="str">
        <f>E7</f>
        <v>TRAGSL</v>
      </c>
      <c r="F9" s="17" t="str">
        <f>F7</f>
        <v>TRAPASCARDMD</v>
      </c>
      <c r="G9" s="17" t="str">
        <f>G7</f>
        <v>TRAPASCARDMD</v>
      </c>
      <c r="H9" s="18">
        <v>2030</v>
      </c>
      <c r="I9" s="18"/>
      <c r="J9" s="29">
        <f>IF(J5=0,-N9+1,J5*N9)</f>
        <v>-0.19999999999999996</v>
      </c>
      <c r="K9" s="18"/>
      <c r="L9" s="18"/>
      <c r="N9" s="21">
        <v>1.2</v>
      </c>
    </row>
    <row r="10" spans="1:14" x14ac:dyDescent="0.25">
      <c r="C10" s="15" t="str">
        <f t="shared" si="0"/>
        <v/>
      </c>
      <c r="D10" s="17" t="s">
        <v>487</v>
      </c>
      <c r="E10" s="17" t="str">
        <f>E9</f>
        <v>TRAGSL</v>
      </c>
      <c r="F10" s="17" t="str">
        <f>F9</f>
        <v>TRAPASCARDMD</v>
      </c>
      <c r="G10" s="17" t="str">
        <f>G9</f>
        <v>TRAPASCARDMD</v>
      </c>
      <c r="H10" s="18">
        <v>2030</v>
      </c>
      <c r="I10" s="18"/>
      <c r="J10" s="20">
        <f>1-(J9*-1)</f>
        <v>0.8</v>
      </c>
      <c r="K10" s="18"/>
      <c r="L10" s="18"/>
      <c r="N10" s="21"/>
    </row>
    <row r="11" spans="1:14" x14ac:dyDescent="0.25">
      <c r="C11" s="15" t="str">
        <f t="shared" si="0"/>
        <v/>
      </c>
      <c r="D11" s="17" t="str">
        <f>D9</f>
        <v>*ICEV*</v>
      </c>
      <c r="E11" s="17" t="str">
        <f>E9</f>
        <v>TRAGSL</v>
      </c>
      <c r="F11" s="17" t="str">
        <f>F9</f>
        <v>TRAPASCARDMD</v>
      </c>
      <c r="G11" s="17" t="str">
        <f>G9</f>
        <v>TRAPASCARDMD</v>
      </c>
      <c r="H11" s="18">
        <v>2040</v>
      </c>
      <c r="I11" s="18"/>
      <c r="J11" s="29">
        <f>IF(J5=0,-N11+1,J5*N11)</f>
        <v>-0.30000000000000004</v>
      </c>
      <c r="K11" s="18"/>
      <c r="L11" s="18"/>
      <c r="N11" s="21">
        <v>1.3</v>
      </c>
    </row>
    <row r="12" spans="1:14" x14ac:dyDescent="0.25">
      <c r="C12" s="15" t="str">
        <f t="shared" si="0"/>
        <v/>
      </c>
      <c r="D12" s="17" t="s">
        <v>487</v>
      </c>
      <c r="E12" s="17" t="str">
        <f>E11</f>
        <v>TRAGSL</v>
      </c>
      <c r="F12" s="17" t="str">
        <f>F11</f>
        <v>TRAPASCARDMD</v>
      </c>
      <c r="G12" s="17" t="str">
        <f>G11</f>
        <v>TRAPASCARDMD</v>
      </c>
      <c r="H12" s="18">
        <v>2040</v>
      </c>
      <c r="I12" s="18"/>
      <c r="J12" s="20">
        <f>1-(J11*-1)</f>
        <v>0.7</v>
      </c>
      <c r="K12" s="18"/>
      <c r="L12" s="18"/>
      <c r="N12" s="21"/>
    </row>
    <row r="13" spans="1:14" x14ac:dyDescent="0.25">
      <c r="C13" s="15" t="str">
        <f t="shared" si="0"/>
        <v/>
      </c>
      <c r="D13" s="17" t="str">
        <f>D11</f>
        <v>*ICEV*</v>
      </c>
      <c r="E13" s="17" t="str">
        <f>E11</f>
        <v>TRAGSL</v>
      </c>
      <c r="F13" s="17" t="str">
        <f>F11</f>
        <v>TRAPASCARDMD</v>
      </c>
      <c r="G13" s="17" t="str">
        <f>G11</f>
        <v>TRAPASCARDMD</v>
      </c>
      <c r="H13" s="18">
        <v>2050</v>
      </c>
      <c r="I13" s="18"/>
      <c r="J13" s="29">
        <f>IF(J5=0,-N13+1,J5*N13)</f>
        <v>-0.39999999999999991</v>
      </c>
      <c r="K13" s="18"/>
      <c r="L13" s="18"/>
      <c r="N13" s="21">
        <v>1.4</v>
      </c>
    </row>
    <row r="14" spans="1:14" x14ac:dyDescent="0.25">
      <c r="C14" s="23" t="str">
        <f t="shared" si="0"/>
        <v/>
      </c>
      <c r="D14" s="25" t="s">
        <v>487</v>
      </c>
      <c r="E14" s="25" t="str">
        <f>E13</f>
        <v>TRAGSL</v>
      </c>
      <c r="F14" s="25" t="str">
        <f>F13</f>
        <v>TRAPASCARDMD</v>
      </c>
      <c r="G14" s="25" t="str">
        <f>G13</f>
        <v>TRAPASCARDMD</v>
      </c>
      <c r="H14" s="26">
        <v>2050</v>
      </c>
      <c r="I14" s="26"/>
      <c r="J14" s="27">
        <f>1-(J13*-1)</f>
        <v>0.60000000000000009</v>
      </c>
      <c r="K14" s="26"/>
      <c r="L14" s="26"/>
      <c r="N14" s="28"/>
    </row>
    <row r="15" spans="1:14" x14ac:dyDescent="0.25">
      <c r="A15">
        <f>A5+1</f>
        <v>2</v>
      </c>
      <c r="C15" s="15" t="str">
        <f>IF(E15="","",IF(SUMIFS('TRA TECH'!M:M,'TRA TECH'!J:J,D16,'TRA TECH'!I:I,F16,'TRA TECH'!H:H,E16)=0,"*",IF(_xlfn.XLOOKUP($A15,Selected_constraint!$A:$A,Selected_constraint!$D:$D)=1,"*",IF(SUMIFS('TRA TECH'!$M:$M,'TRA TECH'!$H:$H,E15,'TRA TECH'!$I:$I,F15)=0,"*",IF(SUMIFS('TRA RESID'!$P:$P,'TRA RESID'!$I:$I,G15,'TRA RESID'!$J:$J,D15,'TRA RESID'!$H:$H,E15)=0,"*","UC_"&amp;SUBSTITUTE(D15,"*","")&amp;"_"&amp;SUBSTITUTE(D15,"*","")&amp;"_"&amp;RIGHT(E15,3)&amp;"_"&amp;F15)))))</f>
        <v>*</v>
      </c>
      <c r="D15" s="17" t="s">
        <v>485</v>
      </c>
      <c r="E15" s="17" t="str">
        <f>_xlfn.XLOOKUP($A15,Selected_constraint!$A:$A,Selected_constraint!$B:$B)</f>
        <v>TRAETH</v>
      </c>
      <c r="F15" s="17" t="str">
        <f>_xlfn.XLOOKUP($A15,Selected_constraint!$A:$A,Selected_constraint!$C:$C)</f>
        <v>TRAPASCARDMD</v>
      </c>
      <c r="G15" s="17" t="str">
        <f>F15</f>
        <v>TRAPASCARDMD</v>
      </c>
      <c r="H15" s="18">
        <v>2019</v>
      </c>
      <c r="I15" s="18" t="s">
        <v>484</v>
      </c>
      <c r="J15" s="29" t="e">
        <f>-SUMIFS('TRA RESID'!$P:$P,'TRA RESID'!$I:$I,G16,'TRA RESID'!$J:$J,D16,'TRA RESID'!$H:$H,E16)/(SUMIFS('TRA RESID'!$P:$P,'TRA RESID'!$I:$I,G16,'TRA RESID'!$J:$J,D16,'TRA RESID'!$H:$H,E16)+SUMIFS('TRA RESID'!$P:$P,'TRA RESID'!$I:$I,G15,'TRA RESID'!$J:$J,D15,'TRA RESID'!$H:$H,E15))</f>
        <v>#DIV/0!</v>
      </c>
      <c r="K15" s="18">
        <v>0</v>
      </c>
      <c r="L15" s="18">
        <v>5</v>
      </c>
      <c r="N15" s="21">
        <v>1</v>
      </c>
    </row>
    <row r="16" spans="1:14" x14ac:dyDescent="0.25">
      <c r="C16" s="15" t="str">
        <f t="shared" ref="C16:C24" si="1">IF(C15="*",C15,"")</f>
        <v>*</v>
      </c>
      <c r="D16" s="17" t="s">
        <v>487</v>
      </c>
      <c r="E16" s="17" t="str">
        <f>E15</f>
        <v>TRAETH</v>
      </c>
      <c r="F16" s="17" t="str">
        <f>F15</f>
        <v>TRAPASCARDMD</v>
      </c>
      <c r="G16" s="17" t="str">
        <f>G15</f>
        <v>TRAPASCARDMD</v>
      </c>
      <c r="H16" s="18">
        <v>2019</v>
      </c>
      <c r="I16" s="18"/>
      <c r="J16" s="20" t="e">
        <f>1-(J15*-1)</f>
        <v>#DIV/0!</v>
      </c>
      <c r="K16" s="18"/>
      <c r="L16" s="18"/>
      <c r="N16" s="21"/>
    </row>
    <row r="17" spans="1:14" x14ac:dyDescent="0.25">
      <c r="C17" s="15" t="str">
        <f t="shared" si="1"/>
        <v>*</v>
      </c>
      <c r="D17" s="17" t="str">
        <f>D15</f>
        <v>*ICEV*</v>
      </c>
      <c r="E17" s="17" t="str">
        <f>E15</f>
        <v>TRAETH</v>
      </c>
      <c r="F17" s="17" t="str">
        <f>F15</f>
        <v>TRAPASCARDMD</v>
      </c>
      <c r="G17" s="17" t="str">
        <f>G15</f>
        <v>TRAPASCARDMD</v>
      </c>
      <c r="H17" s="18">
        <v>2025</v>
      </c>
      <c r="I17" s="18"/>
      <c r="J17" s="29" t="e">
        <f>IF(J15=0,-N17+1,J15*N17)</f>
        <v>#DIV/0!</v>
      </c>
      <c r="K17" s="18"/>
      <c r="L17" s="18"/>
      <c r="N17" s="21">
        <v>1.1000000000000001</v>
      </c>
    </row>
    <row r="18" spans="1:14" x14ac:dyDescent="0.25">
      <c r="C18" s="15" t="str">
        <f t="shared" si="1"/>
        <v>*</v>
      </c>
      <c r="D18" s="17" t="s">
        <v>487</v>
      </c>
      <c r="E18" s="17" t="str">
        <f>E17</f>
        <v>TRAETH</v>
      </c>
      <c r="F18" s="17" t="str">
        <f>F17</f>
        <v>TRAPASCARDMD</v>
      </c>
      <c r="G18" s="17" t="str">
        <f>G17</f>
        <v>TRAPASCARDMD</v>
      </c>
      <c r="H18" s="18">
        <v>2025</v>
      </c>
      <c r="I18" s="18"/>
      <c r="J18" s="20" t="e">
        <f>1-(J17*-1)</f>
        <v>#DIV/0!</v>
      </c>
      <c r="K18" s="18"/>
      <c r="L18" s="18"/>
      <c r="N18" s="21"/>
    </row>
    <row r="19" spans="1:14" x14ac:dyDescent="0.25">
      <c r="C19" s="15" t="str">
        <f t="shared" si="1"/>
        <v>*</v>
      </c>
      <c r="D19" s="17" t="str">
        <f>D17</f>
        <v>*ICEV*</v>
      </c>
      <c r="E19" s="17" t="str">
        <f>E17</f>
        <v>TRAETH</v>
      </c>
      <c r="F19" s="17" t="str">
        <f>F17</f>
        <v>TRAPASCARDMD</v>
      </c>
      <c r="G19" s="17" t="str">
        <f>G17</f>
        <v>TRAPASCARDMD</v>
      </c>
      <c r="H19" s="18">
        <v>2030</v>
      </c>
      <c r="I19" s="18"/>
      <c r="J19" s="29" t="e">
        <f>IF(J15=0,-N19+1,J15*N19)</f>
        <v>#DIV/0!</v>
      </c>
      <c r="K19" s="18"/>
      <c r="L19" s="18"/>
      <c r="N19" s="21">
        <v>1.2</v>
      </c>
    </row>
    <row r="20" spans="1:14" x14ac:dyDescent="0.25">
      <c r="C20" s="15" t="str">
        <f t="shared" si="1"/>
        <v>*</v>
      </c>
      <c r="D20" s="17" t="s">
        <v>487</v>
      </c>
      <c r="E20" s="17" t="str">
        <f>E19</f>
        <v>TRAETH</v>
      </c>
      <c r="F20" s="17" t="str">
        <f>F19</f>
        <v>TRAPASCARDMD</v>
      </c>
      <c r="G20" s="17" t="str">
        <f>G19</f>
        <v>TRAPASCARDMD</v>
      </c>
      <c r="H20" s="18">
        <v>2030</v>
      </c>
      <c r="I20" s="18"/>
      <c r="J20" s="20" t="e">
        <f>1-(J19*-1)</f>
        <v>#DIV/0!</v>
      </c>
      <c r="K20" s="18"/>
      <c r="L20" s="18"/>
      <c r="N20" s="21"/>
    </row>
    <row r="21" spans="1:14" x14ac:dyDescent="0.25">
      <c r="C21" s="15" t="str">
        <f t="shared" si="1"/>
        <v>*</v>
      </c>
      <c r="D21" s="17" t="str">
        <f>D19</f>
        <v>*ICEV*</v>
      </c>
      <c r="E21" s="17" t="str">
        <f>E19</f>
        <v>TRAETH</v>
      </c>
      <c r="F21" s="17" t="str">
        <f>F19</f>
        <v>TRAPASCARDMD</v>
      </c>
      <c r="G21" s="17" t="str">
        <f>G19</f>
        <v>TRAPASCARDMD</v>
      </c>
      <c r="H21" s="18">
        <v>2040</v>
      </c>
      <c r="I21" s="18"/>
      <c r="J21" s="29" t="e">
        <f>IF(J15=0,-N21+1,J15*N21)</f>
        <v>#DIV/0!</v>
      </c>
      <c r="K21" s="18"/>
      <c r="L21" s="18"/>
      <c r="N21" s="21">
        <v>1.3</v>
      </c>
    </row>
    <row r="22" spans="1:14" x14ac:dyDescent="0.25">
      <c r="C22" s="15" t="str">
        <f t="shared" si="1"/>
        <v>*</v>
      </c>
      <c r="D22" s="17" t="s">
        <v>487</v>
      </c>
      <c r="E22" s="17" t="str">
        <f>E21</f>
        <v>TRAETH</v>
      </c>
      <c r="F22" s="17" t="str">
        <f>F21</f>
        <v>TRAPASCARDMD</v>
      </c>
      <c r="G22" s="17" t="str">
        <f>G21</f>
        <v>TRAPASCARDMD</v>
      </c>
      <c r="H22" s="18">
        <v>2040</v>
      </c>
      <c r="I22" s="18"/>
      <c r="J22" s="20" t="e">
        <f>1-(J21*-1)</f>
        <v>#DIV/0!</v>
      </c>
      <c r="K22" s="18"/>
      <c r="L22" s="18"/>
      <c r="N22" s="21"/>
    </row>
    <row r="23" spans="1:14" x14ac:dyDescent="0.25">
      <c r="C23" s="15" t="str">
        <f t="shared" si="1"/>
        <v>*</v>
      </c>
      <c r="D23" s="17" t="str">
        <f>D21</f>
        <v>*ICEV*</v>
      </c>
      <c r="E23" s="17" t="str">
        <f>E21</f>
        <v>TRAETH</v>
      </c>
      <c r="F23" s="17" t="str">
        <f>F21</f>
        <v>TRAPASCARDMD</v>
      </c>
      <c r="G23" s="17" t="str">
        <f>G21</f>
        <v>TRAPASCARDMD</v>
      </c>
      <c r="H23" s="18">
        <v>2050</v>
      </c>
      <c r="I23" s="18"/>
      <c r="J23" s="29" t="e">
        <f>IF(J15=0,-N23+1,J15*N23)</f>
        <v>#DIV/0!</v>
      </c>
      <c r="K23" s="18"/>
      <c r="L23" s="18"/>
      <c r="N23" s="21">
        <v>1.4</v>
      </c>
    </row>
    <row r="24" spans="1:14" x14ac:dyDescent="0.25">
      <c r="C24" s="23" t="str">
        <f t="shared" si="1"/>
        <v>*</v>
      </c>
      <c r="D24" s="25" t="s">
        <v>487</v>
      </c>
      <c r="E24" s="25" t="str">
        <f>E23</f>
        <v>TRAETH</v>
      </c>
      <c r="F24" s="25" t="str">
        <f>F23</f>
        <v>TRAPASCARDMD</v>
      </c>
      <c r="G24" s="25" t="str">
        <f>G23</f>
        <v>TRAPASCARDMD</v>
      </c>
      <c r="H24" s="26">
        <v>2050</v>
      </c>
      <c r="I24" s="26"/>
      <c r="J24" s="27" t="e">
        <f>1-(J23*-1)</f>
        <v>#DIV/0!</v>
      </c>
      <c r="K24" s="26"/>
      <c r="L24" s="26"/>
      <c r="N24" s="28"/>
    </row>
    <row r="25" spans="1:14" x14ac:dyDescent="0.25">
      <c r="A25">
        <f>A15+1</f>
        <v>3</v>
      </c>
      <c r="C25" s="15" t="str">
        <f>IF(E25="","",IF(SUMIFS('TRA TECH'!M:M,'TRA TECH'!J:J,D26,'TRA TECH'!I:I,F26,'TRA TECH'!H:H,E26)=0,"*",IF(_xlfn.XLOOKUP($A25,Selected_constraint!$A:$A,Selected_constraint!$D:$D)=1,"*",IF(SUMIFS('TRA TECH'!$M:$M,'TRA TECH'!$H:$H,E25,'TRA TECH'!$I:$I,F25)=0,"*",IF(SUMIFS('TRA RESID'!$P:$P,'TRA RESID'!$I:$I,G25,'TRA RESID'!$J:$J,D25,'TRA RESID'!$H:$H,E25)=0,"*","UC_"&amp;SUBSTITUTE(D25,"*","")&amp;"_"&amp;SUBSTITUTE(D25,"*","")&amp;"_"&amp;RIGHT(E25,3)&amp;"_"&amp;F25)))))</f>
        <v>*</v>
      </c>
      <c r="D25" s="17" t="s">
        <v>485</v>
      </c>
      <c r="E25" s="17" t="str">
        <f>_xlfn.XLOOKUP($A25,Selected_constraint!$A:$A,Selected_constraint!$B:$B)</f>
        <v>TRADSL</v>
      </c>
      <c r="F25" s="17" t="str">
        <f>_xlfn.XLOOKUP($A25,Selected_constraint!$A:$A,Selected_constraint!$C:$C)</f>
        <v>TRAPASCARDMD</v>
      </c>
      <c r="G25" s="17" t="str">
        <f>F25</f>
        <v>TRAPASCARDMD</v>
      </c>
      <c r="H25" s="18">
        <v>2019</v>
      </c>
      <c r="I25" s="18" t="s">
        <v>484</v>
      </c>
      <c r="J25" s="29">
        <f>-SUMIFS('TRA RESID'!$P:$P,'TRA RESID'!$I:$I,G26,'TRA RESID'!$J:$J,D26,'TRA RESID'!$H:$H,E26)/(SUMIFS('TRA RESID'!$P:$P,'TRA RESID'!$I:$I,G26,'TRA RESID'!$J:$J,D26,'TRA RESID'!$H:$H,E26)+SUMIFS('TRA RESID'!$P:$P,'TRA RESID'!$I:$I,G25,'TRA RESID'!$J:$J,D25,'TRA RESID'!$H:$H,E25))</f>
        <v>0</v>
      </c>
      <c r="K25" s="18">
        <v>0</v>
      </c>
      <c r="L25" s="18">
        <v>5</v>
      </c>
      <c r="N25" s="21">
        <v>1</v>
      </c>
    </row>
    <row r="26" spans="1:14" x14ac:dyDescent="0.25">
      <c r="C26" s="15" t="str">
        <f t="shared" ref="C26:C34" si="2">IF(C25="*",C25,"")</f>
        <v>*</v>
      </c>
      <c r="D26" s="17" t="s">
        <v>487</v>
      </c>
      <c r="E26" s="17" t="str">
        <f>E25</f>
        <v>TRADSL</v>
      </c>
      <c r="F26" s="17" t="str">
        <f>F25</f>
        <v>TRAPASCARDMD</v>
      </c>
      <c r="G26" s="17" t="str">
        <f>G25</f>
        <v>TRAPASCARDMD</v>
      </c>
      <c r="H26" s="18">
        <v>2019</v>
      </c>
      <c r="I26" s="18"/>
      <c r="J26" s="20">
        <f>1-(J25*-1)</f>
        <v>1</v>
      </c>
      <c r="K26" s="18"/>
      <c r="L26" s="18"/>
      <c r="N26" s="21"/>
    </row>
    <row r="27" spans="1:14" x14ac:dyDescent="0.25">
      <c r="C27" s="15" t="str">
        <f t="shared" si="2"/>
        <v>*</v>
      </c>
      <c r="D27" s="17" t="str">
        <f>D25</f>
        <v>*ICEV*</v>
      </c>
      <c r="E27" s="17" t="str">
        <f>E25</f>
        <v>TRADSL</v>
      </c>
      <c r="F27" s="17" t="str">
        <f>F25</f>
        <v>TRAPASCARDMD</v>
      </c>
      <c r="G27" s="17" t="str">
        <f>G25</f>
        <v>TRAPASCARDMD</v>
      </c>
      <c r="H27" s="18">
        <v>2025</v>
      </c>
      <c r="I27" s="18"/>
      <c r="J27" s="29">
        <f>IF(J25=0,-N27+1,J25*N27)</f>
        <v>-0.10000000000000009</v>
      </c>
      <c r="K27" s="18"/>
      <c r="L27" s="18"/>
      <c r="N27" s="21">
        <v>1.1000000000000001</v>
      </c>
    </row>
    <row r="28" spans="1:14" x14ac:dyDescent="0.25">
      <c r="C28" s="15" t="str">
        <f t="shared" si="2"/>
        <v>*</v>
      </c>
      <c r="D28" s="17" t="s">
        <v>487</v>
      </c>
      <c r="E28" s="17" t="str">
        <f>E27</f>
        <v>TRADSL</v>
      </c>
      <c r="F28" s="17" t="str">
        <f>F27</f>
        <v>TRAPASCARDMD</v>
      </c>
      <c r="G28" s="17" t="str">
        <f>G27</f>
        <v>TRAPASCARDMD</v>
      </c>
      <c r="H28" s="18">
        <v>2025</v>
      </c>
      <c r="I28" s="18"/>
      <c r="J28" s="20">
        <f>1-(J27*-1)</f>
        <v>0.89999999999999991</v>
      </c>
      <c r="K28" s="18"/>
      <c r="L28" s="18"/>
      <c r="N28" s="21"/>
    </row>
    <row r="29" spans="1:14" x14ac:dyDescent="0.25">
      <c r="C29" s="15" t="str">
        <f t="shared" si="2"/>
        <v>*</v>
      </c>
      <c r="D29" s="17" t="str">
        <f>D27</f>
        <v>*ICEV*</v>
      </c>
      <c r="E29" s="17" t="str">
        <f>E27</f>
        <v>TRADSL</v>
      </c>
      <c r="F29" s="17" t="str">
        <f>F27</f>
        <v>TRAPASCARDMD</v>
      </c>
      <c r="G29" s="17" t="str">
        <f>G27</f>
        <v>TRAPASCARDMD</v>
      </c>
      <c r="H29" s="18">
        <v>2030</v>
      </c>
      <c r="I29" s="18"/>
      <c r="J29" s="29">
        <f>IF(J25=0,-N29+1,J25*N29)</f>
        <v>-0.19999999999999996</v>
      </c>
      <c r="K29" s="18"/>
      <c r="L29" s="18"/>
      <c r="N29" s="21">
        <v>1.2</v>
      </c>
    </row>
    <row r="30" spans="1:14" x14ac:dyDescent="0.25">
      <c r="C30" s="15" t="str">
        <f t="shared" si="2"/>
        <v>*</v>
      </c>
      <c r="D30" s="17" t="s">
        <v>487</v>
      </c>
      <c r="E30" s="17" t="str">
        <f>E29</f>
        <v>TRADSL</v>
      </c>
      <c r="F30" s="17" t="str">
        <f>F29</f>
        <v>TRAPASCARDMD</v>
      </c>
      <c r="G30" s="17" t="str">
        <f>G29</f>
        <v>TRAPASCARDMD</v>
      </c>
      <c r="H30" s="18">
        <v>2030</v>
      </c>
      <c r="I30" s="18"/>
      <c r="J30" s="20">
        <f>1-(J29*-1)</f>
        <v>0.8</v>
      </c>
      <c r="K30" s="18"/>
      <c r="L30" s="18"/>
      <c r="N30" s="21"/>
    </row>
    <row r="31" spans="1:14" x14ac:dyDescent="0.25">
      <c r="C31" s="15" t="str">
        <f t="shared" si="2"/>
        <v>*</v>
      </c>
      <c r="D31" s="17" t="str">
        <f>D29</f>
        <v>*ICEV*</v>
      </c>
      <c r="E31" s="17" t="str">
        <f>E29</f>
        <v>TRADSL</v>
      </c>
      <c r="F31" s="17" t="str">
        <f>F29</f>
        <v>TRAPASCARDMD</v>
      </c>
      <c r="G31" s="17" t="str">
        <f>G29</f>
        <v>TRAPASCARDMD</v>
      </c>
      <c r="H31" s="18">
        <v>2040</v>
      </c>
      <c r="I31" s="18"/>
      <c r="J31" s="29">
        <f>IF(J25=0,-N31+1,J25*N31)</f>
        <v>-0.30000000000000004</v>
      </c>
      <c r="K31" s="18"/>
      <c r="L31" s="18"/>
      <c r="N31" s="21">
        <v>1.3</v>
      </c>
    </row>
    <row r="32" spans="1:14" x14ac:dyDescent="0.25">
      <c r="C32" s="15" t="str">
        <f t="shared" si="2"/>
        <v>*</v>
      </c>
      <c r="D32" s="17" t="s">
        <v>487</v>
      </c>
      <c r="E32" s="17" t="str">
        <f>E31</f>
        <v>TRADSL</v>
      </c>
      <c r="F32" s="17" t="str">
        <f>F31</f>
        <v>TRAPASCARDMD</v>
      </c>
      <c r="G32" s="17" t="str">
        <f>G31</f>
        <v>TRAPASCARDMD</v>
      </c>
      <c r="H32" s="18">
        <v>2040</v>
      </c>
      <c r="I32" s="18"/>
      <c r="J32" s="20">
        <f>1-(J31*-1)</f>
        <v>0.7</v>
      </c>
      <c r="K32" s="18"/>
      <c r="L32" s="18"/>
      <c r="N32" s="21"/>
    </row>
    <row r="33" spans="1:14" x14ac:dyDescent="0.25">
      <c r="C33" s="15" t="str">
        <f t="shared" si="2"/>
        <v>*</v>
      </c>
      <c r="D33" s="17" t="str">
        <f>D31</f>
        <v>*ICEV*</v>
      </c>
      <c r="E33" s="17" t="str">
        <f>E31</f>
        <v>TRADSL</v>
      </c>
      <c r="F33" s="17" t="str">
        <f>F31</f>
        <v>TRAPASCARDMD</v>
      </c>
      <c r="G33" s="17" t="str">
        <f>G31</f>
        <v>TRAPASCARDMD</v>
      </c>
      <c r="H33" s="18">
        <v>2050</v>
      </c>
      <c r="I33" s="18"/>
      <c r="J33" s="29">
        <f>IF(J25=0,-N33+1,J25*N33)</f>
        <v>-0.39999999999999991</v>
      </c>
      <c r="K33" s="18"/>
      <c r="L33" s="18"/>
      <c r="N33" s="21">
        <v>1.4</v>
      </c>
    </row>
    <row r="34" spans="1:14" x14ac:dyDescent="0.25">
      <c r="C34" s="23" t="str">
        <f t="shared" si="2"/>
        <v>*</v>
      </c>
      <c r="D34" s="25" t="s">
        <v>487</v>
      </c>
      <c r="E34" s="25" t="str">
        <f>E33</f>
        <v>TRADSL</v>
      </c>
      <c r="F34" s="25" t="str">
        <f>F33</f>
        <v>TRAPASCARDMD</v>
      </c>
      <c r="G34" s="25" t="str">
        <f>G33</f>
        <v>TRAPASCARDMD</v>
      </c>
      <c r="H34" s="26">
        <v>2050</v>
      </c>
      <c r="I34" s="26"/>
      <c r="J34" s="27">
        <f>1-(J33*-1)</f>
        <v>0.60000000000000009</v>
      </c>
      <c r="K34" s="26"/>
      <c r="L34" s="26"/>
      <c r="N34" s="28"/>
    </row>
    <row r="35" spans="1:14" x14ac:dyDescent="0.25">
      <c r="A35">
        <f>A25+1</f>
        <v>4</v>
      </c>
      <c r="C35" s="15" t="str">
        <f>IF(E35="","",IF(SUMIFS('TRA TECH'!M:M,'TRA TECH'!J:J,D36,'TRA TECH'!I:I,F36,'TRA TECH'!H:H,E36)=0,"*",IF(_xlfn.XLOOKUP($A35,Selected_constraint!$A:$A,Selected_constraint!$D:$D)=1,"*",IF(SUMIFS('TRA TECH'!$M:$M,'TRA TECH'!$H:$H,E35,'TRA TECH'!$I:$I,F35)=0,"*",IF(SUMIFS('TRA RESID'!$P:$P,'TRA RESID'!$I:$I,G35,'TRA RESID'!$J:$J,D35,'TRA RESID'!$H:$H,E35)=0,"*","UC_"&amp;SUBSTITUTE(D35,"*","")&amp;"_"&amp;SUBSTITUTE(D35,"*","")&amp;"_"&amp;RIGHT(E35,3)&amp;"_"&amp;F35)))))</f>
        <v>*</v>
      </c>
      <c r="D35" s="17" t="s">
        <v>485</v>
      </c>
      <c r="E35" s="17" t="str">
        <f>_xlfn.XLOOKUP($A35,Selected_constraint!$A:$A,Selected_constraint!$B:$B)</f>
        <v>TRARDS</v>
      </c>
      <c r="F35" s="17" t="str">
        <f>_xlfn.XLOOKUP($A35,Selected_constraint!$A:$A,Selected_constraint!$C:$C)</f>
        <v>TRAPASCARDMD</v>
      </c>
      <c r="G35" s="17" t="str">
        <f>F35</f>
        <v>TRAPASCARDMD</v>
      </c>
      <c r="H35" s="18">
        <v>2019</v>
      </c>
      <c r="I35" s="18" t="s">
        <v>484</v>
      </c>
      <c r="J35" s="29" t="e">
        <f>-SUMIFS('TRA RESID'!$P:$P,'TRA RESID'!$I:$I,G36,'TRA RESID'!$J:$J,D36,'TRA RESID'!$H:$H,E36)/(SUMIFS('TRA RESID'!$P:$P,'TRA RESID'!$I:$I,G36,'TRA RESID'!$J:$J,D36,'TRA RESID'!$H:$H,E36)+SUMIFS('TRA RESID'!$P:$P,'TRA RESID'!$I:$I,G35,'TRA RESID'!$J:$J,D35,'TRA RESID'!$H:$H,E35))</f>
        <v>#DIV/0!</v>
      </c>
      <c r="K35" s="18">
        <v>0</v>
      </c>
      <c r="L35" s="18">
        <v>5</v>
      </c>
      <c r="N35" s="21">
        <v>1</v>
      </c>
    </row>
    <row r="36" spans="1:14" x14ac:dyDescent="0.25">
      <c r="C36" s="15" t="str">
        <f t="shared" ref="C36:C44" si="3">IF(C35="*",C35,"")</f>
        <v>*</v>
      </c>
      <c r="D36" s="17" t="s">
        <v>487</v>
      </c>
      <c r="E36" s="17" t="str">
        <f>E35</f>
        <v>TRARDS</v>
      </c>
      <c r="F36" s="17" t="str">
        <f>F35</f>
        <v>TRAPASCARDMD</v>
      </c>
      <c r="G36" s="17" t="str">
        <f>G35</f>
        <v>TRAPASCARDMD</v>
      </c>
      <c r="H36" s="18">
        <v>2019</v>
      </c>
      <c r="I36" s="18"/>
      <c r="J36" s="20" t="e">
        <f>1-(J35*-1)</f>
        <v>#DIV/0!</v>
      </c>
      <c r="K36" s="18"/>
      <c r="L36" s="18"/>
      <c r="N36" s="21"/>
    </row>
    <row r="37" spans="1:14" x14ac:dyDescent="0.25">
      <c r="C37" s="15" t="str">
        <f t="shared" si="3"/>
        <v>*</v>
      </c>
      <c r="D37" s="17" t="str">
        <f>D35</f>
        <v>*ICEV*</v>
      </c>
      <c r="E37" s="17" t="str">
        <f>E35</f>
        <v>TRARDS</v>
      </c>
      <c r="F37" s="17" t="str">
        <f>F35</f>
        <v>TRAPASCARDMD</v>
      </c>
      <c r="G37" s="17" t="str">
        <f>G35</f>
        <v>TRAPASCARDMD</v>
      </c>
      <c r="H37" s="18">
        <v>2025</v>
      </c>
      <c r="I37" s="18"/>
      <c r="J37" s="29" t="e">
        <f>IF(J35=0,-N37+1,J35*N37)</f>
        <v>#DIV/0!</v>
      </c>
      <c r="K37" s="18"/>
      <c r="L37" s="18"/>
      <c r="N37" s="21">
        <v>1.1000000000000001</v>
      </c>
    </row>
    <row r="38" spans="1:14" x14ac:dyDescent="0.25">
      <c r="C38" s="15" t="str">
        <f t="shared" si="3"/>
        <v>*</v>
      </c>
      <c r="D38" s="17" t="s">
        <v>487</v>
      </c>
      <c r="E38" s="17" t="str">
        <f>E37</f>
        <v>TRARDS</v>
      </c>
      <c r="F38" s="17" t="str">
        <f>F37</f>
        <v>TRAPASCARDMD</v>
      </c>
      <c r="G38" s="17" t="str">
        <f>G37</f>
        <v>TRAPASCARDMD</v>
      </c>
      <c r="H38" s="18">
        <v>2025</v>
      </c>
      <c r="I38" s="18"/>
      <c r="J38" s="20" t="e">
        <f>1-(J37*-1)</f>
        <v>#DIV/0!</v>
      </c>
      <c r="K38" s="18"/>
      <c r="L38" s="18"/>
      <c r="N38" s="21"/>
    </row>
    <row r="39" spans="1:14" x14ac:dyDescent="0.25">
      <c r="C39" s="15" t="str">
        <f t="shared" si="3"/>
        <v>*</v>
      </c>
      <c r="D39" s="17" t="str">
        <f>D37</f>
        <v>*ICEV*</v>
      </c>
      <c r="E39" s="17" t="str">
        <f>E37</f>
        <v>TRARDS</v>
      </c>
      <c r="F39" s="17" t="str">
        <f>F37</f>
        <v>TRAPASCARDMD</v>
      </c>
      <c r="G39" s="17" t="str">
        <f>G37</f>
        <v>TRAPASCARDMD</v>
      </c>
      <c r="H39" s="18">
        <v>2030</v>
      </c>
      <c r="I39" s="18"/>
      <c r="J39" s="29" t="e">
        <f>IF(J35=0,-N39+1,J35*N39)</f>
        <v>#DIV/0!</v>
      </c>
      <c r="K39" s="18"/>
      <c r="L39" s="18"/>
      <c r="N39" s="21">
        <v>1.2</v>
      </c>
    </row>
    <row r="40" spans="1:14" x14ac:dyDescent="0.25">
      <c r="C40" s="15" t="str">
        <f t="shared" si="3"/>
        <v>*</v>
      </c>
      <c r="D40" s="17" t="s">
        <v>487</v>
      </c>
      <c r="E40" s="17" t="str">
        <f>E39</f>
        <v>TRARDS</v>
      </c>
      <c r="F40" s="17" t="str">
        <f>F39</f>
        <v>TRAPASCARDMD</v>
      </c>
      <c r="G40" s="17" t="str">
        <f>G39</f>
        <v>TRAPASCARDMD</v>
      </c>
      <c r="H40" s="18">
        <v>2030</v>
      </c>
      <c r="I40" s="18"/>
      <c r="J40" s="20" t="e">
        <f>1-(J39*-1)</f>
        <v>#DIV/0!</v>
      </c>
      <c r="K40" s="18"/>
      <c r="L40" s="18"/>
      <c r="N40" s="21"/>
    </row>
    <row r="41" spans="1:14" x14ac:dyDescent="0.25">
      <c r="C41" s="15" t="str">
        <f t="shared" si="3"/>
        <v>*</v>
      </c>
      <c r="D41" s="17" t="str">
        <f>D39</f>
        <v>*ICEV*</v>
      </c>
      <c r="E41" s="17" t="str">
        <f>E39</f>
        <v>TRARDS</v>
      </c>
      <c r="F41" s="17" t="str">
        <f>F39</f>
        <v>TRAPASCARDMD</v>
      </c>
      <c r="G41" s="17" t="str">
        <f>G39</f>
        <v>TRAPASCARDMD</v>
      </c>
      <c r="H41" s="18">
        <v>2040</v>
      </c>
      <c r="I41" s="18"/>
      <c r="J41" s="29" t="e">
        <f>IF(J35=0,-N41+1,J35*N41)</f>
        <v>#DIV/0!</v>
      </c>
      <c r="K41" s="18"/>
      <c r="L41" s="18"/>
      <c r="N41" s="21">
        <v>1.3</v>
      </c>
    </row>
    <row r="42" spans="1:14" x14ac:dyDescent="0.25">
      <c r="C42" s="15" t="str">
        <f t="shared" si="3"/>
        <v>*</v>
      </c>
      <c r="D42" s="17" t="s">
        <v>487</v>
      </c>
      <c r="E42" s="17" t="str">
        <f>E41</f>
        <v>TRARDS</v>
      </c>
      <c r="F42" s="17" t="str">
        <f>F41</f>
        <v>TRAPASCARDMD</v>
      </c>
      <c r="G42" s="17" t="str">
        <f>G41</f>
        <v>TRAPASCARDMD</v>
      </c>
      <c r="H42" s="18">
        <v>2040</v>
      </c>
      <c r="I42" s="18"/>
      <c r="J42" s="20" t="e">
        <f>1-(J41*-1)</f>
        <v>#DIV/0!</v>
      </c>
      <c r="K42" s="18"/>
      <c r="L42" s="18"/>
      <c r="N42" s="21"/>
    </row>
    <row r="43" spans="1:14" x14ac:dyDescent="0.25">
      <c r="C43" s="15" t="str">
        <f t="shared" si="3"/>
        <v>*</v>
      </c>
      <c r="D43" s="17" t="str">
        <f>D41</f>
        <v>*ICEV*</v>
      </c>
      <c r="E43" s="17" t="str">
        <f>E41</f>
        <v>TRARDS</v>
      </c>
      <c r="F43" s="17" t="str">
        <f>F41</f>
        <v>TRAPASCARDMD</v>
      </c>
      <c r="G43" s="17" t="str">
        <f>G41</f>
        <v>TRAPASCARDMD</v>
      </c>
      <c r="H43" s="18">
        <v>2050</v>
      </c>
      <c r="I43" s="18"/>
      <c r="J43" s="29" t="e">
        <f>IF(J35=0,-N43+1,J35*N43)</f>
        <v>#DIV/0!</v>
      </c>
      <c r="K43" s="18"/>
      <c r="L43" s="18"/>
      <c r="N43" s="21">
        <v>1.4</v>
      </c>
    </row>
    <row r="44" spans="1:14" x14ac:dyDescent="0.25">
      <c r="C44" s="23" t="str">
        <f t="shared" si="3"/>
        <v>*</v>
      </c>
      <c r="D44" s="25" t="s">
        <v>487</v>
      </c>
      <c r="E44" s="25" t="str">
        <f>E43</f>
        <v>TRARDS</v>
      </c>
      <c r="F44" s="25" t="str">
        <f>F43</f>
        <v>TRAPASCARDMD</v>
      </c>
      <c r="G44" s="25" t="str">
        <f>G43</f>
        <v>TRAPASCARDMD</v>
      </c>
      <c r="H44" s="26">
        <v>2050</v>
      </c>
      <c r="I44" s="26"/>
      <c r="J44" s="27" t="e">
        <f>1-(J43*-1)</f>
        <v>#DIV/0!</v>
      </c>
      <c r="K44" s="26"/>
      <c r="L44" s="26"/>
      <c r="N44" s="28"/>
    </row>
    <row r="45" spans="1:14" x14ac:dyDescent="0.25">
      <c r="A45">
        <f>A35+1</f>
        <v>5</v>
      </c>
      <c r="C45" s="15" t="str">
        <f>IF(E45="","",IF(SUMIFS('TRA TECH'!M:M,'TRA TECH'!J:J,D46,'TRA TECH'!I:I,F46,'TRA TECH'!H:H,E46)=0,"*",IF(_xlfn.XLOOKUP($A45,Selected_constraint!$A:$A,Selected_constraint!$D:$D)=1,"*",IF(SUMIFS('TRA TECH'!$M:$M,'TRA TECH'!$H:$H,E45,'TRA TECH'!$I:$I,F45)=0,"*",IF(SUMIFS('TRA RESID'!$P:$P,'TRA RESID'!$I:$I,G45,'TRA RESID'!$J:$J,D45,'TRA RESID'!$H:$H,E45)=0,"*","UC_"&amp;SUBSTITUTE(D45,"*","")&amp;"_"&amp;SUBSTITUTE(D45,"*","")&amp;"_"&amp;RIGHT(E45,3)&amp;"_"&amp;F45)))))</f>
        <v>*</v>
      </c>
      <c r="D45" s="17" t="s">
        <v>485</v>
      </c>
      <c r="E45" s="17" t="str">
        <f>_xlfn.XLOOKUP($A45,Selected_constraint!$A:$A,Selected_constraint!$B:$B)</f>
        <v>TRABDS</v>
      </c>
      <c r="F45" s="17" t="str">
        <f>_xlfn.XLOOKUP($A45,Selected_constraint!$A:$A,Selected_constraint!$C:$C)</f>
        <v>TRAPASCARDMD</v>
      </c>
      <c r="G45" s="17" t="str">
        <f>F45</f>
        <v>TRAPASCARDMD</v>
      </c>
      <c r="H45" s="18">
        <v>2019</v>
      </c>
      <c r="I45" s="18" t="s">
        <v>484</v>
      </c>
      <c r="J45" s="29" t="e">
        <f>-SUMIFS('TRA RESID'!$P:$P,'TRA RESID'!$I:$I,G46,'TRA RESID'!$J:$J,D46,'TRA RESID'!$H:$H,E46)/(SUMIFS('TRA RESID'!$P:$P,'TRA RESID'!$I:$I,G46,'TRA RESID'!$J:$J,D46,'TRA RESID'!$H:$H,E46)+SUMIFS('TRA RESID'!$P:$P,'TRA RESID'!$I:$I,G45,'TRA RESID'!$J:$J,D45,'TRA RESID'!$H:$H,E45))</f>
        <v>#DIV/0!</v>
      </c>
      <c r="K45" s="18">
        <v>0</v>
      </c>
      <c r="L45" s="18">
        <v>5</v>
      </c>
      <c r="N45" s="21">
        <v>1</v>
      </c>
    </row>
    <row r="46" spans="1:14" x14ac:dyDescent="0.25">
      <c r="C46" s="15" t="str">
        <f t="shared" ref="C46:C54" si="4">IF(C45="*",C45,"")</f>
        <v>*</v>
      </c>
      <c r="D46" s="17" t="s">
        <v>487</v>
      </c>
      <c r="E46" s="17" t="str">
        <f>E45</f>
        <v>TRABDS</v>
      </c>
      <c r="F46" s="17" t="str">
        <f>F45</f>
        <v>TRAPASCARDMD</v>
      </c>
      <c r="G46" s="17" t="str">
        <f>G45</f>
        <v>TRAPASCARDMD</v>
      </c>
      <c r="H46" s="18">
        <v>2019</v>
      </c>
      <c r="I46" s="18"/>
      <c r="J46" s="20" t="e">
        <f>1-(J45*-1)</f>
        <v>#DIV/0!</v>
      </c>
      <c r="K46" s="18"/>
      <c r="L46" s="18"/>
      <c r="N46" s="21"/>
    </row>
    <row r="47" spans="1:14" x14ac:dyDescent="0.25">
      <c r="C47" s="15" t="str">
        <f t="shared" si="4"/>
        <v>*</v>
      </c>
      <c r="D47" s="17" t="str">
        <f>D45</f>
        <v>*ICEV*</v>
      </c>
      <c r="E47" s="17" t="str">
        <f>E45</f>
        <v>TRABDS</v>
      </c>
      <c r="F47" s="17" t="str">
        <f>F45</f>
        <v>TRAPASCARDMD</v>
      </c>
      <c r="G47" s="17" t="str">
        <f>G45</f>
        <v>TRAPASCARDMD</v>
      </c>
      <c r="H47" s="18">
        <v>2025</v>
      </c>
      <c r="I47" s="18"/>
      <c r="J47" s="29" t="e">
        <f>IF(J45=0,-N47+1,J45*N47)</f>
        <v>#DIV/0!</v>
      </c>
      <c r="K47" s="18"/>
      <c r="L47" s="18"/>
      <c r="N47" s="21">
        <v>1.1000000000000001</v>
      </c>
    </row>
    <row r="48" spans="1:14" x14ac:dyDescent="0.25">
      <c r="C48" s="15" t="str">
        <f t="shared" si="4"/>
        <v>*</v>
      </c>
      <c r="D48" s="17" t="s">
        <v>487</v>
      </c>
      <c r="E48" s="17" t="str">
        <f>E47</f>
        <v>TRABDS</v>
      </c>
      <c r="F48" s="17" t="str">
        <f>F47</f>
        <v>TRAPASCARDMD</v>
      </c>
      <c r="G48" s="17" t="str">
        <f>G47</f>
        <v>TRAPASCARDMD</v>
      </c>
      <c r="H48" s="18">
        <v>2025</v>
      </c>
      <c r="I48" s="18"/>
      <c r="J48" s="20" t="e">
        <f>1-(J47*-1)</f>
        <v>#DIV/0!</v>
      </c>
      <c r="K48" s="18"/>
      <c r="L48" s="18"/>
      <c r="N48" s="21"/>
    </row>
    <row r="49" spans="1:14" x14ac:dyDescent="0.25">
      <c r="C49" s="15" t="str">
        <f t="shared" si="4"/>
        <v>*</v>
      </c>
      <c r="D49" s="17" t="str">
        <f>D47</f>
        <v>*ICEV*</v>
      </c>
      <c r="E49" s="17" t="str">
        <f>E47</f>
        <v>TRABDS</v>
      </c>
      <c r="F49" s="17" t="str">
        <f>F47</f>
        <v>TRAPASCARDMD</v>
      </c>
      <c r="G49" s="17" t="str">
        <f>G47</f>
        <v>TRAPASCARDMD</v>
      </c>
      <c r="H49" s="18">
        <v>2030</v>
      </c>
      <c r="I49" s="18"/>
      <c r="J49" s="29" t="e">
        <f>IF(J45=0,-N49+1,J45*N49)</f>
        <v>#DIV/0!</v>
      </c>
      <c r="K49" s="18"/>
      <c r="L49" s="18"/>
      <c r="N49" s="21">
        <v>1.2</v>
      </c>
    </row>
    <row r="50" spans="1:14" x14ac:dyDescent="0.25">
      <c r="C50" s="15" t="str">
        <f t="shared" si="4"/>
        <v>*</v>
      </c>
      <c r="D50" s="17" t="s">
        <v>487</v>
      </c>
      <c r="E50" s="17" t="str">
        <f>E49</f>
        <v>TRABDS</v>
      </c>
      <c r="F50" s="17" t="str">
        <f>F49</f>
        <v>TRAPASCARDMD</v>
      </c>
      <c r="G50" s="17" t="str">
        <f>G49</f>
        <v>TRAPASCARDMD</v>
      </c>
      <c r="H50" s="18">
        <v>2030</v>
      </c>
      <c r="I50" s="18"/>
      <c r="J50" s="20" t="e">
        <f>1-(J49*-1)</f>
        <v>#DIV/0!</v>
      </c>
      <c r="K50" s="18"/>
      <c r="L50" s="18"/>
      <c r="N50" s="21"/>
    </row>
    <row r="51" spans="1:14" x14ac:dyDescent="0.25">
      <c r="C51" s="15" t="str">
        <f t="shared" si="4"/>
        <v>*</v>
      </c>
      <c r="D51" s="17" t="str">
        <f>D49</f>
        <v>*ICEV*</v>
      </c>
      <c r="E51" s="17" t="str">
        <f>E49</f>
        <v>TRABDS</v>
      </c>
      <c r="F51" s="17" t="str">
        <f>F49</f>
        <v>TRAPASCARDMD</v>
      </c>
      <c r="G51" s="17" t="str">
        <f>G49</f>
        <v>TRAPASCARDMD</v>
      </c>
      <c r="H51" s="18">
        <v>2040</v>
      </c>
      <c r="I51" s="18"/>
      <c r="J51" s="29" t="e">
        <f>IF(J45=0,-N51+1,J45*N51)</f>
        <v>#DIV/0!</v>
      </c>
      <c r="K51" s="18"/>
      <c r="L51" s="18"/>
      <c r="N51" s="21">
        <v>1.3</v>
      </c>
    </row>
    <row r="52" spans="1:14" x14ac:dyDescent="0.25">
      <c r="C52" s="15" t="str">
        <f t="shared" si="4"/>
        <v>*</v>
      </c>
      <c r="D52" s="17" t="s">
        <v>487</v>
      </c>
      <c r="E52" s="17" t="str">
        <f>E51</f>
        <v>TRABDS</v>
      </c>
      <c r="F52" s="17" t="str">
        <f>F51</f>
        <v>TRAPASCARDMD</v>
      </c>
      <c r="G52" s="17" t="str">
        <f>G51</f>
        <v>TRAPASCARDMD</v>
      </c>
      <c r="H52" s="18">
        <v>2040</v>
      </c>
      <c r="I52" s="18"/>
      <c r="J52" s="20" t="e">
        <f>1-(J51*-1)</f>
        <v>#DIV/0!</v>
      </c>
      <c r="K52" s="18"/>
      <c r="L52" s="18"/>
      <c r="N52" s="21"/>
    </row>
    <row r="53" spans="1:14" x14ac:dyDescent="0.25">
      <c r="C53" s="15" t="str">
        <f t="shared" si="4"/>
        <v>*</v>
      </c>
      <c r="D53" s="17" t="str">
        <f>D51</f>
        <v>*ICEV*</v>
      </c>
      <c r="E53" s="17" t="str">
        <f>E51</f>
        <v>TRABDS</v>
      </c>
      <c r="F53" s="17" t="str">
        <f>F51</f>
        <v>TRAPASCARDMD</v>
      </c>
      <c r="G53" s="17" t="str">
        <f>G51</f>
        <v>TRAPASCARDMD</v>
      </c>
      <c r="H53" s="18">
        <v>2050</v>
      </c>
      <c r="I53" s="18"/>
      <c r="J53" s="29" t="e">
        <f>IF(J45=0,-N53+1,J45*N53)</f>
        <v>#DIV/0!</v>
      </c>
      <c r="K53" s="18"/>
      <c r="L53" s="18"/>
      <c r="N53" s="21">
        <v>1.4</v>
      </c>
    </row>
    <row r="54" spans="1:14" x14ac:dyDescent="0.25">
      <c r="C54" s="23" t="str">
        <f t="shared" si="4"/>
        <v>*</v>
      </c>
      <c r="D54" s="25" t="s">
        <v>487</v>
      </c>
      <c r="E54" s="25" t="str">
        <f>E53</f>
        <v>TRABDS</v>
      </c>
      <c r="F54" s="25" t="str">
        <f>F53</f>
        <v>TRAPASCARDMD</v>
      </c>
      <c r="G54" s="25" t="str">
        <f>G53</f>
        <v>TRAPASCARDMD</v>
      </c>
      <c r="H54" s="26">
        <v>2050</v>
      </c>
      <c r="I54" s="26"/>
      <c r="J54" s="27" t="e">
        <f>1-(J53*-1)</f>
        <v>#DIV/0!</v>
      </c>
      <c r="K54" s="26"/>
      <c r="L54" s="26"/>
      <c r="N54" s="28"/>
    </row>
    <row r="55" spans="1:14" x14ac:dyDescent="0.25">
      <c r="A55">
        <f>A45+1</f>
        <v>6</v>
      </c>
      <c r="C55" s="15" t="str">
        <f>IF(E55="","",IF(SUMIFS('TRA TECH'!M:M,'TRA TECH'!J:J,D56,'TRA TECH'!I:I,F56,'TRA TECH'!H:H,E56)=0,"*",IF(_xlfn.XLOOKUP($A55,Selected_constraint!$A:$A,Selected_constraint!$D:$D)=1,"*",IF(SUMIFS('TRA TECH'!$M:$M,'TRA TECH'!$H:$H,E55,'TRA TECH'!$I:$I,F55)=0,"*",IF(SUMIFS('TRA RESID'!$P:$P,'TRA RESID'!$I:$I,G55,'TRA RESID'!$J:$J,D55,'TRA RESID'!$H:$H,E55)=0,"*","UC_"&amp;SUBSTITUTE(D55,"*","")&amp;"_"&amp;SUBSTITUTE(D55,"*","")&amp;"_"&amp;RIGHT(E55,3)&amp;"_"&amp;F55)))))</f>
        <v>*</v>
      </c>
      <c r="D55" s="17" t="s">
        <v>485</v>
      </c>
      <c r="E55" s="17" t="str">
        <f>_xlfn.XLOOKUP($A55,Selected_constraint!$A:$A,Selected_constraint!$B:$B)</f>
        <v>TRACNG</v>
      </c>
      <c r="F55" s="17" t="str">
        <f>_xlfn.XLOOKUP($A55,Selected_constraint!$A:$A,Selected_constraint!$C:$C)</f>
        <v>TRAPASCARDMD</v>
      </c>
      <c r="G55" s="17" t="str">
        <f>F55</f>
        <v>TRAPASCARDMD</v>
      </c>
      <c r="H55" s="18">
        <v>2019</v>
      </c>
      <c r="I55" s="18" t="s">
        <v>484</v>
      </c>
      <c r="J55" s="29" t="e">
        <f>-SUMIFS('TRA RESID'!$P:$P,'TRA RESID'!$I:$I,G56,'TRA RESID'!$J:$J,D56,'TRA RESID'!$H:$H,E56)/(SUMIFS('TRA RESID'!$P:$P,'TRA RESID'!$I:$I,G56,'TRA RESID'!$J:$J,D56,'TRA RESID'!$H:$H,E56)+SUMIFS('TRA RESID'!$P:$P,'TRA RESID'!$I:$I,G55,'TRA RESID'!$J:$J,D55,'TRA RESID'!$H:$H,E55))</f>
        <v>#DIV/0!</v>
      </c>
      <c r="K55" s="18">
        <v>0</v>
      </c>
      <c r="L55" s="18">
        <v>5</v>
      </c>
      <c r="N55" s="21">
        <v>1</v>
      </c>
    </row>
    <row r="56" spans="1:14" x14ac:dyDescent="0.25">
      <c r="C56" s="15" t="str">
        <f t="shared" ref="C56:C64" si="5">IF(C55="*",C55,"")</f>
        <v>*</v>
      </c>
      <c r="D56" s="17" t="s">
        <v>487</v>
      </c>
      <c r="E56" s="17" t="str">
        <f>E55</f>
        <v>TRACNG</v>
      </c>
      <c r="F56" s="17" t="str">
        <f>F55</f>
        <v>TRAPASCARDMD</v>
      </c>
      <c r="G56" s="17" t="str">
        <f>G55</f>
        <v>TRAPASCARDMD</v>
      </c>
      <c r="H56" s="18">
        <v>2019</v>
      </c>
      <c r="I56" s="18"/>
      <c r="J56" s="20" t="e">
        <f>1-(J55*-1)</f>
        <v>#DIV/0!</v>
      </c>
      <c r="K56" s="18"/>
      <c r="L56" s="18"/>
      <c r="N56" s="21"/>
    </row>
    <row r="57" spans="1:14" x14ac:dyDescent="0.25">
      <c r="C57" s="15" t="str">
        <f t="shared" si="5"/>
        <v>*</v>
      </c>
      <c r="D57" s="17" t="str">
        <f>D55</f>
        <v>*ICEV*</v>
      </c>
      <c r="E57" s="17" t="str">
        <f>E55</f>
        <v>TRACNG</v>
      </c>
      <c r="F57" s="17" t="str">
        <f>F55</f>
        <v>TRAPASCARDMD</v>
      </c>
      <c r="G57" s="17" t="str">
        <f>G55</f>
        <v>TRAPASCARDMD</v>
      </c>
      <c r="H57" s="18">
        <v>2025</v>
      </c>
      <c r="I57" s="18"/>
      <c r="J57" s="29" t="e">
        <f>IF(J55=0,-N57+1,J55*N57)</f>
        <v>#DIV/0!</v>
      </c>
      <c r="K57" s="18"/>
      <c r="L57" s="18"/>
      <c r="N57" s="21">
        <v>1.1000000000000001</v>
      </c>
    </row>
    <row r="58" spans="1:14" x14ac:dyDescent="0.25">
      <c r="C58" s="15" t="str">
        <f t="shared" si="5"/>
        <v>*</v>
      </c>
      <c r="D58" s="17" t="s">
        <v>487</v>
      </c>
      <c r="E58" s="17" t="str">
        <f>E57</f>
        <v>TRACNG</v>
      </c>
      <c r="F58" s="17" t="str">
        <f>F57</f>
        <v>TRAPASCARDMD</v>
      </c>
      <c r="G58" s="17" t="str">
        <f>G57</f>
        <v>TRAPASCARDMD</v>
      </c>
      <c r="H58" s="18">
        <v>2025</v>
      </c>
      <c r="I58" s="18"/>
      <c r="J58" s="20" t="e">
        <f>1-(J57*-1)</f>
        <v>#DIV/0!</v>
      </c>
      <c r="K58" s="18"/>
      <c r="L58" s="18"/>
      <c r="N58" s="21"/>
    </row>
    <row r="59" spans="1:14" x14ac:dyDescent="0.25">
      <c r="C59" s="15" t="str">
        <f t="shared" si="5"/>
        <v>*</v>
      </c>
      <c r="D59" s="17" t="str">
        <f>D57</f>
        <v>*ICEV*</v>
      </c>
      <c r="E59" s="17" t="str">
        <f>E57</f>
        <v>TRACNG</v>
      </c>
      <c r="F59" s="17" t="str">
        <f>F57</f>
        <v>TRAPASCARDMD</v>
      </c>
      <c r="G59" s="17" t="str">
        <f>G57</f>
        <v>TRAPASCARDMD</v>
      </c>
      <c r="H59" s="18">
        <v>2030</v>
      </c>
      <c r="I59" s="18"/>
      <c r="J59" s="29" t="e">
        <f>IF(J55=0,-N59+1,J55*N59)</f>
        <v>#DIV/0!</v>
      </c>
      <c r="K59" s="18"/>
      <c r="L59" s="18"/>
      <c r="N59" s="21">
        <v>1.2</v>
      </c>
    </row>
    <row r="60" spans="1:14" x14ac:dyDescent="0.25">
      <c r="C60" s="15" t="str">
        <f t="shared" si="5"/>
        <v>*</v>
      </c>
      <c r="D60" s="17" t="s">
        <v>487</v>
      </c>
      <c r="E60" s="17" t="str">
        <f>E59</f>
        <v>TRACNG</v>
      </c>
      <c r="F60" s="17" t="str">
        <f>F59</f>
        <v>TRAPASCARDMD</v>
      </c>
      <c r="G60" s="17" t="str">
        <f>G59</f>
        <v>TRAPASCARDMD</v>
      </c>
      <c r="H60" s="18">
        <v>2030</v>
      </c>
      <c r="I60" s="18"/>
      <c r="J60" s="20" t="e">
        <f>1-(J59*-1)</f>
        <v>#DIV/0!</v>
      </c>
      <c r="K60" s="18"/>
      <c r="L60" s="18"/>
      <c r="N60" s="21"/>
    </row>
    <row r="61" spans="1:14" x14ac:dyDescent="0.25">
      <c r="C61" s="15" t="str">
        <f t="shared" si="5"/>
        <v>*</v>
      </c>
      <c r="D61" s="17" t="str">
        <f>D59</f>
        <v>*ICEV*</v>
      </c>
      <c r="E61" s="17" t="str">
        <f>E59</f>
        <v>TRACNG</v>
      </c>
      <c r="F61" s="17" t="str">
        <f>F59</f>
        <v>TRAPASCARDMD</v>
      </c>
      <c r="G61" s="17" t="str">
        <f>G59</f>
        <v>TRAPASCARDMD</v>
      </c>
      <c r="H61" s="18">
        <v>2040</v>
      </c>
      <c r="I61" s="18"/>
      <c r="J61" s="29" t="e">
        <f>IF(J55=0,-N61+1,J55*N61)</f>
        <v>#DIV/0!</v>
      </c>
      <c r="K61" s="18"/>
      <c r="L61" s="18"/>
      <c r="N61" s="21">
        <v>1.3</v>
      </c>
    </row>
    <row r="62" spans="1:14" x14ac:dyDescent="0.25">
      <c r="C62" s="15" t="str">
        <f t="shared" si="5"/>
        <v>*</v>
      </c>
      <c r="D62" s="17" t="s">
        <v>487</v>
      </c>
      <c r="E62" s="17" t="str">
        <f>E61</f>
        <v>TRACNG</v>
      </c>
      <c r="F62" s="17" t="str">
        <f>F61</f>
        <v>TRAPASCARDMD</v>
      </c>
      <c r="G62" s="17" t="str">
        <f>G61</f>
        <v>TRAPASCARDMD</v>
      </c>
      <c r="H62" s="18">
        <v>2040</v>
      </c>
      <c r="I62" s="18"/>
      <c r="J62" s="20" t="e">
        <f>1-(J61*-1)</f>
        <v>#DIV/0!</v>
      </c>
      <c r="K62" s="18"/>
      <c r="L62" s="18"/>
      <c r="N62" s="21"/>
    </row>
    <row r="63" spans="1:14" x14ac:dyDescent="0.25">
      <c r="C63" s="15" t="str">
        <f t="shared" si="5"/>
        <v>*</v>
      </c>
      <c r="D63" s="17" t="str">
        <f>D61</f>
        <v>*ICEV*</v>
      </c>
      <c r="E63" s="17" t="str">
        <f>E61</f>
        <v>TRACNG</v>
      </c>
      <c r="F63" s="17" t="str">
        <f>F61</f>
        <v>TRAPASCARDMD</v>
      </c>
      <c r="G63" s="17" t="str">
        <f>G61</f>
        <v>TRAPASCARDMD</v>
      </c>
      <c r="H63" s="18">
        <v>2050</v>
      </c>
      <c r="I63" s="18"/>
      <c r="J63" s="29" t="e">
        <f>IF(J55=0,-N63+1,J55*N63)</f>
        <v>#DIV/0!</v>
      </c>
      <c r="K63" s="18"/>
      <c r="L63" s="18"/>
      <c r="N63" s="21">
        <v>1.4</v>
      </c>
    </row>
    <row r="64" spans="1:14" x14ac:dyDescent="0.25">
      <c r="C64" s="23" t="str">
        <f t="shared" si="5"/>
        <v>*</v>
      </c>
      <c r="D64" s="25" t="s">
        <v>487</v>
      </c>
      <c r="E64" s="25" t="str">
        <f>E63</f>
        <v>TRACNG</v>
      </c>
      <c r="F64" s="25" t="str">
        <f>F63</f>
        <v>TRAPASCARDMD</v>
      </c>
      <c r="G64" s="25" t="str">
        <f>G63</f>
        <v>TRAPASCARDMD</v>
      </c>
      <c r="H64" s="26">
        <v>2050</v>
      </c>
      <c r="I64" s="26"/>
      <c r="J64" s="27" t="e">
        <f>1-(J63*-1)</f>
        <v>#DIV/0!</v>
      </c>
      <c r="K64" s="26"/>
      <c r="L64" s="26"/>
      <c r="N64" s="28"/>
    </row>
    <row r="65" spans="1:14" x14ac:dyDescent="0.25">
      <c r="A65">
        <f>A55+1</f>
        <v>7</v>
      </c>
      <c r="C65" s="15" t="str">
        <f>IF(E65="","",IF(SUMIFS('TRA TECH'!M:M,'TRA TECH'!J:J,D66,'TRA TECH'!I:I,F66,'TRA TECH'!H:H,E66)=0,"*",IF(_xlfn.XLOOKUP($A65,Selected_constraint!$A:$A,Selected_constraint!$D:$D)=1,"*",IF(SUMIFS('TRA TECH'!$M:$M,'TRA TECH'!$H:$H,E65,'TRA TECH'!$I:$I,F65)=0,"*",IF(SUMIFS('TRA RESID'!$P:$P,'TRA RESID'!$I:$I,G65,'TRA RESID'!$J:$J,D65,'TRA RESID'!$H:$H,E65)=0,"*","UC_"&amp;SUBSTITUTE(D65,"*","")&amp;"_"&amp;SUBSTITUTE(D65,"*","")&amp;"_"&amp;RIGHT(E65,3)&amp;"_"&amp;F65)))))</f>
        <v>*</v>
      </c>
      <c r="D65" s="17" t="s">
        <v>485</v>
      </c>
      <c r="E65" s="17" t="str">
        <f>_xlfn.XLOOKUP($A65,Selected_constraint!$A:$A,Selected_constraint!$B:$B)</f>
        <v>TRARNG</v>
      </c>
      <c r="F65" s="17" t="str">
        <f>_xlfn.XLOOKUP($A65,Selected_constraint!$A:$A,Selected_constraint!$C:$C)</f>
        <v>TRAPASCARDMD</v>
      </c>
      <c r="G65" s="17" t="str">
        <f>F65</f>
        <v>TRAPASCARDMD</v>
      </c>
      <c r="H65" s="18">
        <v>2019</v>
      </c>
      <c r="I65" s="18" t="s">
        <v>484</v>
      </c>
      <c r="J65" s="29" t="e">
        <f>-SUMIFS('TRA RESID'!$P:$P,'TRA RESID'!$I:$I,G66,'TRA RESID'!$J:$J,D66,'TRA RESID'!$H:$H,E66)/(SUMIFS('TRA RESID'!$P:$P,'TRA RESID'!$I:$I,G66,'TRA RESID'!$J:$J,D66,'TRA RESID'!$H:$H,E66)+SUMIFS('TRA RESID'!$P:$P,'TRA RESID'!$I:$I,G65,'TRA RESID'!$J:$J,D65,'TRA RESID'!$H:$H,E65))</f>
        <v>#DIV/0!</v>
      </c>
      <c r="K65" s="18">
        <v>0</v>
      </c>
      <c r="L65" s="18">
        <v>5</v>
      </c>
      <c r="N65" s="21">
        <v>1</v>
      </c>
    </row>
    <row r="66" spans="1:14" x14ac:dyDescent="0.25">
      <c r="C66" s="15" t="str">
        <f t="shared" ref="C66:C74" si="6">IF(C65="*",C65,"")</f>
        <v>*</v>
      </c>
      <c r="D66" s="17" t="s">
        <v>487</v>
      </c>
      <c r="E66" s="17" t="str">
        <f>E65</f>
        <v>TRARNG</v>
      </c>
      <c r="F66" s="17" t="str">
        <f>F65</f>
        <v>TRAPASCARDMD</v>
      </c>
      <c r="G66" s="17" t="str">
        <f>G65</f>
        <v>TRAPASCARDMD</v>
      </c>
      <c r="H66" s="18">
        <v>2019</v>
      </c>
      <c r="I66" s="18"/>
      <c r="J66" s="20" t="e">
        <f>1-(J65*-1)</f>
        <v>#DIV/0!</v>
      </c>
      <c r="K66" s="18"/>
      <c r="L66" s="18"/>
      <c r="N66" s="21"/>
    </row>
    <row r="67" spans="1:14" x14ac:dyDescent="0.25">
      <c r="C67" s="15" t="str">
        <f t="shared" si="6"/>
        <v>*</v>
      </c>
      <c r="D67" s="17" t="str">
        <f>D65</f>
        <v>*ICEV*</v>
      </c>
      <c r="E67" s="17" t="str">
        <f>E65</f>
        <v>TRARNG</v>
      </c>
      <c r="F67" s="17" t="str">
        <f>F65</f>
        <v>TRAPASCARDMD</v>
      </c>
      <c r="G67" s="17" t="str">
        <f>G65</f>
        <v>TRAPASCARDMD</v>
      </c>
      <c r="H67" s="18">
        <v>2025</v>
      </c>
      <c r="I67" s="18"/>
      <c r="J67" s="29" t="e">
        <f>IF(J65=0,-N67+1,J65*N67)</f>
        <v>#DIV/0!</v>
      </c>
      <c r="K67" s="18"/>
      <c r="L67" s="18"/>
      <c r="N67" s="21">
        <v>1.1000000000000001</v>
      </c>
    </row>
    <row r="68" spans="1:14" x14ac:dyDescent="0.25">
      <c r="C68" s="15" t="str">
        <f t="shared" si="6"/>
        <v>*</v>
      </c>
      <c r="D68" s="17" t="s">
        <v>487</v>
      </c>
      <c r="E68" s="17" t="str">
        <f>E67</f>
        <v>TRARNG</v>
      </c>
      <c r="F68" s="17" t="str">
        <f>F67</f>
        <v>TRAPASCARDMD</v>
      </c>
      <c r="G68" s="17" t="str">
        <f>G67</f>
        <v>TRAPASCARDMD</v>
      </c>
      <c r="H68" s="18">
        <v>2025</v>
      </c>
      <c r="I68" s="18"/>
      <c r="J68" s="20" t="e">
        <f>1-(J67*-1)</f>
        <v>#DIV/0!</v>
      </c>
      <c r="K68" s="18"/>
      <c r="L68" s="18"/>
      <c r="N68" s="21"/>
    </row>
    <row r="69" spans="1:14" x14ac:dyDescent="0.25">
      <c r="C69" s="15" t="str">
        <f t="shared" si="6"/>
        <v>*</v>
      </c>
      <c r="D69" s="17" t="str">
        <f>D67</f>
        <v>*ICEV*</v>
      </c>
      <c r="E69" s="17" t="str">
        <f>E67</f>
        <v>TRARNG</v>
      </c>
      <c r="F69" s="17" t="str">
        <f>F67</f>
        <v>TRAPASCARDMD</v>
      </c>
      <c r="G69" s="17" t="str">
        <f>G67</f>
        <v>TRAPASCARDMD</v>
      </c>
      <c r="H69" s="18">
        <v>2030</v>
      </c>
      <c r="I69" s="18"/>
      <c r="J69" s="29" t="e">
        <f>IF(J65=0,-N69+1,J65*N69)</f>
        <v>#DIV/0!</v>
      </c>
      <c r="K69" s="18"/>
      <c r="L69" s="18"/>
      <c r="N69" s="21">
        <v>1.2</v>
      </c>
    </row>
    <row r="70" spans="1:14" x14ac:dyDescent="0.25">
      <c r="C70" s="15" t="str">
        <f t="shared" si="6"/>
        <v>*</v>
      </c>
      <c r="D70" s="17" t="s">
        <v>487</v>
      </c>
      <c r="E70" s="17" t="str">
        <f>E69</f>
        <v>TRARNG</v>
      </c>
      <c r="F70" s="17" t="str">
        <f>F69</f>
        <v>TRAPASCARDMD</v>
      </c>
      <c r="G70" s="17" t="str">
        <f>G69</f>
        <v>TRAPASCARDMD</v>
      </c>
      <c r="H70" s="18">
        <v>2030</v>
      </c>
      <c r="I70" s="18"/>
      <c r="J70" s="20" t="e">
        <f>1-(J69*-1)</f>
        <v>#DIV/0!</v>
      </c>
      <c r="K70" s="18"/>
      <c r="L70" s="18"/>
      <c r="N70" s="21"/>
    </row>
    <row r="71" spans="1:14" x14ac:dyDescent="0.25">
      <c r="C71" s="15" t="str">
        <f t="shared" si="6"/>
        <v>*</v>
      </c>
      <c r="D71" s="17" t="str">
        <f>D69</f>
        <v>*ICEV*</v>
      </c>
      <c r="E71" s="17" t="str">
        <f>E69</f>
        <v>TRARNG</v>
      </c>
      <c r="F71" s="17" t="str">
        <f>F69</f>
        <v>TRAPASCARDMD</v>
      </c>
      <c r="G71" s="17" t="str">
        <f>G69</f>
        <v>TRAPASCARDMD</v>
      </c>
      <c r="H71" s="18">
        <v>2040</v>
      </c>
      <c r="I71" s="18"/>
      <c r="J71" s="29" t="e">
        <f>IF(J65=0,-N71+1,J65*N71)</f>
        <v>#DIV/0!</v>
      </c>
      <c r="K71" s="18"/>
      <c r="L71" s="18"/>
      <c r="N71" s="21">
        <v>1.3</v>
      </c>
    </row>
    <row r="72" spans="1:14" x14ac:dyDescent="0.25">
      <c r="C72" s="15" t="str">
        <f t="shared" si="6"/>
        <v>*</v>
      </c>
      <c r="D72" s="17" t="s">
        <v>487</v>
      </c>
      <c r="E72" s="17" t="str">
        <f>E71</f>
        <v>TRARNG</v>
      </c>
      <c r="F72" s="17" t="str">
        <f>F71</f>
        <v>TRAPASCARDMD</v>
      </c>
      <c r="G72" s="17" t="str">
        <f>G71</f>
        <v>TRAPASCARDMD</v>
      </c>
      <c r="H72" s="18">
        <v>2040</v>
      </c>
      <c r="I72" s="18"/>
      <c r="J72" s="20" t="e">
        <f>1-(J71*-1)</f>
        <v>#DIV/0!</v>
      </c>
      <c r="K72" s="18"/>
      <c r="L72" s="18"/>
      <c r="N72" s="21"/>
    </row>
    <row r="73" spans="1:14" x14ac:dyDescent="0.25">
      <c r="C73" s="15" t="str">
        <f t="shared" si="6"/>
        <v>*</v>
      </c>
      <c r="D73" s="17" t="str">
        <f>D71</f>
        <v>*ICEV*</v>
      </c>
      <c r="E73" s="17" t="str">
        <f>E71</f>
        <v>TRARNG</v>
      </c>
      <c r="F73" s="17" t="str">
        <f>F71</f>
        <v>TRAPASCARDMD</v>
      </c>
      <c r="G73" s="17" t="str">
        <f>G71</f>
        <v>TRAPASCARDMD</v>
      </c>
      <c r="H73" s="18">
        <v>2050</v>
      </c>
      <c r="I73" s="18"/>
      <c r="J73" s="29" t="e">
        <f>IF(J65=0,-N73+1,J65*N73)</f>
        <v>#DIV/0!</v>
      </c>
      <c r="K73" s="18"/>
      <c r="L73" s="18"/>
      <c r="N73" s="21">
        <v>1.4</v>
      </c>
    </row>
    <row r="74" spans="1:14" x14ac:dyDescent="0.25">
      <c r="C74" s="23" t="str">
        <f t="shared" si="6"/>
        <v>*</v>
      </c>
      <c r="D74" s="25" t="s">
        <v>487</v>
      </c>
      <c r="E74" s="25" t="str">
        <f>E73</f>
        <v>TRARNG</v>
      </c>
      <c r="F74" s="25" t="str">
        <f>F73</f>
        <v>TRAPASCARDMD</v>
      </c>
      <c r="G74" s="25" t="str">
        <f>G73</f>
        <v>TRAPASCARDMD</v>
      </c>
      <c r="H74" s="26">
        <v>2050</v>
      </c>
      <c r="I74" s="26"/>
      <c r="J74" s="27" t="e">
        <f>1-(J73*-1)</f>
        <v>#DIV/0!</v>
      </c>
      <c r="K74" s="26"/>
      <c r="L74" s="26"/>
      <c r="N74" s="28"/>
    </row>
    <row r="75" spans="1:14" x14ac:dyDescent="0.25">
      <c r="A75">
        <f>A65+1</f>
        <v>8</v>
      </c>
      <c r="C75" s="15" t="str">
        <f>IF(E75="","",IF(SUMIFS('TRA TECH'!M:M,'TRA TECH'!J:J,D76,'TRA TECH'!I:I,F76,'TRA TECH'!H:H,E76)=0,"*",IF(_xlfn.XLOOKUP($A75,Selected_constraint!$A:$A,Selected_constraint!$D:$D)=1,"*",IF(SUMIFS('TRA TECH'!$M:$M,'TRA TECH'!$H:$H,E75,'TRA TECH'!$I:$I,F75)=0,"*",IF(SUMIFS('TRA RESID'!$P:$P,'TRA RESID'!$I:$I,G75,'TRA RESID'!$J:$J,D75,'TRA RESID'!$H:$H,E75)=0,"*","UC_"&amp;SUBSTITUTE(D75,"*","")&amp;"_"&amp;SUBSTITUTE(D75,"*","")&amp;"_"&amp;RIGHT(E75,3)&amp;"_"&amp;F75)))))</f>
        <v>*</v>
      </c>
      <c r="D75" s="17" t="s">
        <v>485</v>
      </c>
      <c r="E75" s="17" t="str">
        <f>_xlfn.XLOOKUP($A75,Selected_constraint!$A:$A,Selected_constraint!$B:$B)</f>
        <v>TRABAT</v>
      </c>
      <c r="F75" s="17" t="str">
        <f>_xlfn.XLOOKUP($A75,Selected_constraint!$A:$A,Selected_constraint!$C:$C)</f>
        <v>TRAPASCARDMD</v>
      </c>
      <c r="G75" s="17" t="str">
        <f>F75</f>
        <v>TRAPASCARDMD</v>
      </c>
      <c r="H75" s="18">
        <v>2019</v>
      </c>
      <c r="I75" s="18" t="s">
        <v>484</v>
      </c>
      <c r="J75" s="29" t="e">
        <f>-SUMIFS('TRA RESID'!$P:$P,'TRA RESID'!$I:$I,G76,'TRA RESID'!$J:$J,D76,'TRA RESID'!$H:$H,E76)/(SUMIFS('TRA RESID'!$P:$P,'TRA RESID'!$I:$I,G76,'TRA RESID'!$J:$J,D76,'TRA RESID'!$H:$H,E76)+SUMIFS('TRA RESID'!$P:$P,'TRA RESID'!$I:$I,G75,'TRA RESID'!$J:$J,D75,'TRA RESID'!$H:$H,E75))</f>
        <v>#DIV/0!</v>
      </c>
      <c r="K75" s="18">
        <v>0</v>
      </c>
      <c r="L75" s="18">
        <v>5</v>
      </c>
      <c r="N75" s="21">
        <v>1</v>
      </c>
    </row>
    <row r="76" spans="1:14" x14ac:dyDescent="0.25">
      <c r="C76" s="15" t="str">
        <f t="shared" ref="C76:C84" si="7">IF(C75="*",C75,"")</f>
        <v>*</v>
      </c>
      <c r="D76" s="17" t="s">
        <v>487</v>
      </c>
      <c r="E76" s="17" t="str">
        <f>E75</f>
        <v>TRABAT</v>
      </c>
      <c r="F76" s="17" t="str">
        <f>F75</f>
        <v>TRAPASCARDMD</v>
      </c>
      <c r="G76" s="17" t="str">
        <f>G75</f>
        <v>TRAPASCARDMD</v>
      </c>
      <c r="H76" s="18">
        <v>2019</v>
      </c>
      <c r="I76" s="18"/>
      <c r="J76" s="20" t="e">
        <f>1-(J75*-1)</f>
        <v>#DIV/0!</v>
      </c>
      <c r="K76" s="18"/>
      <c r="L76" s="18"/>
      <c r="N76" s="21"/>
    </row>
    <row r="77" spans="1:14" x14ac:dyDescent="0.25">
      <c r="C77" s="15" t="str">
        <f t="shared" si="7"/>
        <v>*</v>
      </c>
      <c r="D77" s="17" t="str">
        <f>D75</f>
        <v>*ICEV*</v>
      </c>
      <c r="E77" s="17" t="str">
        <f>E75</f>
        <v>TRABAT</v>
      </c>
      <c r="F77" s="17" t="str">
        <f>F75</f>
        <v>TRAPASCARDMD</v>
      </c>
      <c r="G77" s="17" t="str">
        <f>G75</f>
        <v>TRAPASCARDMD</v>
      </c>
      <c r="H77" s="18">
        <v>2025</v>
      </c>
      <c r="I77" s="18"/>
      <c r="J77" s="29" t="e">
        <f>IF(J75=0,-N77+1,J75*N77)</f>
        <v>#DIV/0!</v>
      </c>
      <c r="K77" s="18"/>
      <c r="L77" s="18"/>
      <c r="N77" s="21">
        <v>1.1000000000000001</v>
      </c>
    </row>
    <row r="78" spans="1:14" x14ac:dyDescent="0.25">
      <c r="C78" s="15" t="str">
        <f t="shared" si="7"/>
        <v>*</v>
      </c>
      <c r="D78" s="17" t="s">
        <v>487</v>
      </c>
      <c r="E78" s="17" t="str">
        <f>E77</f>
        <v>TRABAT</v>
      </c>
      <c r="F78" s="17" t="str">
        <f>F77</f>
        <v>TRAPASCARDMD</v>
      </c>
      <c r="G78" s="17" t="str">
        <f>G77</f>
        <v>TRAPASCARDMD</v>
      </c>
      <c r="H78" s="18">
        <v>2025</v>
      </c>
      <c r="I78" s="18"/>
      <c r="J78" s="20" t="e">
        <f>1-(J77*-1)</f>
        <v>#DIV/0!</v>
      </c>
      <c r="K78" s="18"/>
      <c r="L78" s="18"/>
      <c r="N78" s="21"/>
    </row>
    <row r="79" spans="1:14" x14ac:dyDescent="0.25">
      <c r="C79" s="15" t="str">
        <f t="shared" si="7"/>
        <v>*</v>
      </c>
      <c r="D79" s="17" t="str">
        <f>D77</f>
        <v>*ICEV*</v>
      </c>
      <c r="E79" s="17" t="str">
        <f>E77</f>
        <v>TRABAT</v>
      </c>
      <c r="F79" s="17" t="str">
        <f>F77</f>
        <v>TRAPASCARDMD</v>
      </c>
      <c r="G79" s="17" t="str">
        <f>G77</f>
        <v>TRAPASCARDMD</v>
      </c>
      <c r="H79" s="18">
        <v>2030</v>
      </c>
      <c r="I79" s="18"/>
      <c r="J79" s="29" t="e">
        <f>IF(J75=0,-N79+1,J75*N79)</f>
        <v>#DIV/0!</v>
      </c>
      <c r="K79" s="18"/>
      <c r="L79" s="18"/>
      <c r="N79" s="21">
        <v>1.2</v>
      </c>
    </row>
    <row r="80" spans="1:14" x14ac:dyDescent="0.25">
      <c r="C80" s="15" t="str">
        <f t="shared" si="7"/>
        <v>*</v>
      </c>
      <c r="D80" s="17" t="s">
        <v>487</v>
      </c>
      <c r="E80" s="17" t="str">
        <f>E79</f>
        <v>TRABAT</v>
      </c>
      <c r="F80" s="17" t="str">
        <f>F79</f>
        <v>TRAPASCARDMD</v>
      </c>
      <c r="G80" s="17" t="str">
        <f>G79</f>
        <v>TRAPASCARDMD</v>
      </c>
      <c r="H80" s="18">
        <v>2030</v>
      </c>
      <c r="I80" s="18"/>
      <c r="J80" s="20" t="e">
        <f>1-(J79*-1)</f>
        <v>#DIV/0!</v>
      </c>
      <c r="K80" s="18"/>
      <c r="L80" s="18"/>
      <c r="N80" s="21"/>
    </row>
    <row r="81" spans="1:14" x14ac:dyDescent="0.25">
      <c r="C81" s="15" t="str">
        <f t="shared" si="7"/>
        <v>*</v>
      </c>
      <c r="D81" s="17" t="str">
        <f>D79</f>
        <v>*ICEV*</v>
      </c>
      <c r="E81" s="17" t="str">
        <f>E79</f>
        <v>TRABAT</v>
      </c>
      <c r="F81" s="17" t="str">
        <f>F79</f>
        <v>TRAPASCARDMD</v>
      </c>
      <c r="G81" s="17" t="str">
        <f>G79</f>
        <v>TRAPASCARDMD</v>
      </c>
      <c r="H81" s="18">
        <v>2040</v>
      </c>
      <c r="I81" s="18"/>
      <c r="J81" s="29" t="e">
        <f>IF(J75=0,-N81+1,J75*N81)</f>
        <v>#DIV/0!</v>
      </c>
      <c r="K81" s="18"/>
      <c r="L81" s="18"/>
      <c r="N81" s="21">
        <v>1.3</v>
      </c>
    </row>
    <row r="82" spans="1:14" x14ac:dyDescent="0.25">
      <c r="C82" s="15" t="str">
        <f t="shared" si="7"/>
        <v>*</v>
      </c>
      <c r="D82" s="17" t="s">
        <v>487</v>
      </c>
      <c r="E82" s="17" t="str">
        <f>E81</f>
        <v>TRABAT</v>
      </c>
      <c r="F82" s="17" t="str">
        <f>F81</f>
        <v>TRAPASCARDMD</v>
      </c>
      <c r="G82" s="17" t="str">
        <f>G81</f>
        <v>TRAPASCARDMD</v>
      </c>
      <c r="H82" s="18">
        <v>2040</v>
      </c>
      <c r="I82" s="18"/>
      <c r="J82" s="20" t="e">
        <f>1-(J81*-1)</f>
        <v>#DIV/0!</v>
      </c>
      <c r="K82" s="18"/>
      <c r="L82" s="18"/>
      <c r="N82" s="21"/>
    </row>
    <row r="83" spans="1:14" x14ac:dyDescent="0.25">
      <c r="C83" s="15" t="str">
        <f t="shared" si="7"/>
        <v>*</v>
      </c>
      <c r="D83" s="17" t="str">
        <f>D81</f>
        <v>*ICEV*</v>
      </c>
      <c r="E83" s="17" t="str">
        <f>E81</f>
        <v>TRABAT</v>
      </c>
      <c r="F83" s="17" t="str">
        <f>F81</f>
        <v>TRAPASCARDMD</v>
      </c>
      <c r="G83" s="17" t="str">
        <f>G81</f>
        <v>TRAPASCARDMD</v>
      </c>
      <c r="H83" s="18">
        <v>2050</v>
      </c>
      <c r="I83" s="18"/>
      <c r="J83" s="29" t="e">
        <f>IF(J75=0,-N83+1,J75*N83)</f>
        <v>#DIV/0!</v>
      </c>
      <c r="K83" s="18"/>
      <c r="L83" s="18"/>
      <c r="N83" s="21">
        <v>1.4</v>
      </c>
    </row>
    <row r="84" spans="1:14" x14ac:dyDescent="0.25">
      <c r="C84" s="23" t="str">
        <f t="shared" si="7"/>
        <v>*</v>
      </c>
      <c r="D84" s="25" t="s">
        <v>487</v>
      </c>
      <c r="E84" s="25" t="str">
        <f>E83</f>
        <v>TRABAT</v>
      </c>
      <c r="F84" s="25" t="str">
        <f>F83</f>
        <v>TRAPASCARDMD</v>
      </c>
      <c r="G84" s="25" t="str">
        <f>G83</f>
        <v>TRAPASCARDMD</v>
      </c>
      <c r="H84" s="26">
        <v>2050</v>
      </c>
      <c r="I84" s="26"/>
      <c r="J84" s="27" t="e">
        <f>1-(J83*-1)</f>
        <v>#DIV/0!</v>
      </c>
      <c r="K84" s="26"/>
      <c r="L84" s="26"/>
      <c r="N84" s="28"/>
    </row>
    <row r="85" spans="1:14" x14ac:dyDescent="0.25">
      <c r="A85">
        <f>A75+1</f>
        <v>9</v>
      </c>
      <c r="C85" s="15" t="str">
        <f>IF(E85="","",IF(SUMIFS('TRA TECH'!M:M,'TRA TECH'!J:J,D86,'TRA TECH'!I:I,F86,'TRA TECH'!H:H,E86)=0,"*",IF(_xlfn.XLOOKUP($A85,Selected_constraint!$A:$A,Selected_constraint!$D:$D)=1,"*",IF(SUMIFS('TRA TECH'!$M:$M,'TRA TECH'!$H:$H,E85,'TRA TECH'!$I:$I,F85)=0,"*",IF(SUMIFS('TRA RESID'!$P:$P,'TRA RESID'!$I:$I,G85,'TRA RESID'!$J:$J,D85,'TRA RESID'!$H:$H,E85)=0,"*","UC_"&amp;SUBSTITUTE(D85,"*","")&amp;"_"&amp;SUBSTITUTE(D85,"*","")&amp;"_"&amp;RIGHT(E85,3)&amp;"_"&amp;F85)))))</f>
        <v>*</v>
      </c>
      <c r="D85" s="17" t="s">
        <v>485</v>
      </c>
      <c r="E85" s="17" t="str">
        <f>_xlfn.XLOOKUP($A85,Selected_constraint!$A:$A,Selected_constraint!$B:$B)</f>
        <v>TRAH2G</v>
      </c>
      <c r="F85" s="17" t="str">
        <f>_xlfn.XLOOKUP($A85,Selected_constraint!$A:$A,Selected_constraint!$C:$C)</f>
        <v>TRAPASCARDMD</v>
      </c>
      <c r="G85" s="17" t="str">
        <f>F85</f>
        <v>TRAPASCARDMD</v>
      </c>
      <c r="H85" s="18">
        <v>2019</v>
      </c>
      <c r="I85" s="18" t="s">
        <v>484</v>
      </c>
      <c r="J85" s="29" t="e">
        <f>-SUMIFS('TRA RESID'!$P:$P,'TRA RESID'!$I:$I,G86,'TRA RESID'!$J:$J,D86,'TRA RESID'!$H:$H,E86)/(SUMIFS('TRA RESID'!$P:$P,'TRA RESID'!$I:$I,G86,'TRA RESID'!$J:$J,D86,'TRA RESID'!$H:$H,E86)+SUMIFS('TRA RESID'!$P:$P,'TRA RESID'!$I:$I,G85,'TRA RESID'!$J:$J,D85,'TRA RESID'!$H:$H,E85))</f>
        <v>#DIV/0!</v>
      </c>
      <c r="K85" s="18">
        <v>0</v>
      </c>
      <c r="L85" s="18">
        <v>5</v>
      </c>
      <c r="N85" s="21">
        <v>1</v>
      </c>
    </row>
    <row r="86" spans="1:14" x14ac:dyDescent="0.25">
      <c r="C86" s="15" t="str">
        <f t="shared" ref="C86:C94" si="8">IF(C85="*",C85,"")</f>
        <v>*</v>
      </c>
      <c r="D86" s="17" t="s">
        <v>487</v>
      </c>
      <c r="E86" s="17" t="str">
        <f>E85</f>
        <v>TRAH2G</v>
      </c>
      <c r="F86" s="17" t="str">
        <f>F85</f>
        <v>TRAPASCARDMD</v>
      </c>
      <c r="G86" s="17" t="str">
        <f>G85</f>
        <v>TRAPASCARDMD</v>
      </c>
      <c r="H86" s="18">
        <v>2019</v>
      </c>
      <c r="I86" s="18"/>
      <c r="J86" s="20" t="e">
        <f>1-(J85*-1)</f>
        <v>#DIV/0!</v>
      </c>
      <c r="K86" s="18"/>
      <c r="L86" s="18"/>
      <c r="N86" s="21"/>
    </row>
    <row r="87" spans="1:14" x14ac:dyDescent="0.25">
      <c r="C87" s="15" t="str">
        <f t="shared" si="8"/>
        <v>*</v>
      </c>
      <c r="D87" s="17" t="str">
        <f>D85</f>
        <v>*ICEV*</v>
      </c>
      <c r="E87" s="17" t="str">
        <f>E85</f>
        <v>TRAH2G</v>
      </c>
      <c r="F87" s="17" t="str">
        <f>F85</f>
        <v>TRAPASCARDMD</v>
      </c>
      <c r="G87" s="17" t="str">
        <f>G85</f>
        <v>TRAPASCARDMD</v>
      </c>
      <c r="H87" s="18">
        <v>2025</v>
      </c>
      <c r="I87" s="18"/>
      <c r="J87" s="29" t="e">
        <f>IF(J85=0,-N87+1,J85*N87)</f>
        <v>#DIV/0!</v>
      </c>
      <c r="K87" s="18"/>
      <c r="L87" s="18"/>
      <c r="N87" s="21">
        <v>1.1000000000000001</v>
      </c>
    </row>
    <row r="88" spans="1:14" x14ac:dyDescent="0.25">
      <c r="C88" s="15" t="str">
        <f t="shared" si="8"/>
        <v>*</v>
      </c>
      <c r="D88" s="17" t="s">
        <v>487</v>
      </c>
      <c r="E88" s="17" t="str">
        <f>E87</f>
        <v>TRAH2G</v>
      </c>
      <c r="F88" s="17" t="str">
        <f>F87</f>
        <v>TRAPASCARDMD</v>
      </c>
      <c r="G88" s="17" t="str">
        <f>G87</f>
        <v>TRAPASCARDMD</v>
      </c>
      <c r="H88" s="18">
        <v>2025</v>
      </c>
      <c r="I88" s="18"/>
      <c r="J88" s="20" t="e">
        <f>1-(J87*-1)</f>
        <v>#DIV/0!</v>
      </c>
      <c r="K88" s="18"/>
      <c r="L88" s="18"/>
      <c r="N88" s="21"/>
    </row>
    <row r="89" spans="1:14" x14ac:dyDescent="0.25">
      <c r="C89" s="15" t="str">
        <f t="shared" si="8"/>
        <v>*</v>
      </c>
      <c r="D89" s="17" t="str">
        <f>D87</f>
        <v>*ICEV*</v>
      </c>
      <c r="E89" s="17" t="str">
        <f>E87</f>
        <v>TRAH2G</v>
      </c>
      <c r="F89" s="17" t="str">
        <f>F87</f>
        <v>TRAPASCARDMD</v>
      </c>
      <c r="G89" s="17" t="str">
        <f>G87</f>
        <v>TRAPASCARDMD</v>
      </c>
      <c r="H89" s="18">
        <v>2030</v>
      </c>
      <c r="I89" s="18"/>
      <c r="J89" s="29" t="e">
        <f>IF(J85=0,-N89+1,J85*N89)</f>
        <v>#DIV/0!</v>
      </c>
      <c r="K89" s="18"/>
      <c r="L89" s="18"/>
      <c r="N89" s="21">
        <v>1.2</v>
      </c>
    </row>
    <row r="90" spans="1:14" x14ac:dyDescent="0.25">
      <c r="C90" s="15" t="str">
        <f t="shared" si="8"/>
        <v>*</v>
      </c>
      <c r="D90" s="17" t="s">
        <v>487</v>
      </c>
      <c r="E90" s="17" t="str">
        <f>E89</f>
        <v>TRAH2G</v>
      </c>
      <c r="F90" s="17" t="str">
        <f>F89</f>
        <v>TRAPASCARDMD</v>
      </c>
      <c r="G90" s="17" t="str">
        <f>G89</f>
        <v>TRAPASCARDMD</v>
      </c>
      <c r="H90" s="18">
        <v>2030</v>
      </c>
      <c r="I90" s="18"/>
      <c r="J90" s="20" t="e">
        <f>1-(J89*-1)</f>
        <v>#DIV/0!</v>
      </c>
      <c r="K90" s="18"/>
      <c r="L90" s="18"/>
      <c r="N90" s="21"/>
    </row>
    <row r="91" spans="1:14" x14ac:dyDescent="0.25">
      <c r="C91" s="15" t="str">
        <f t="shared" si="8"/>
        <v>*</v>
      </c>
      <c r="D91" s="17" t="str">
        <f>D89</f>
        <v>*ICEV*</v>
      </c>
      <c r="E91" s="17" t="str">
        <f>E89</f>
        <v>TRAH2G</v>
      </c>
      <c r="F91" s="17" t="str">
        <f>F89</f>
        <v>TRAPASCARDMD</v>
      </c>
      <c r="G91" s="17" t="str">
        <f>G89</f>
        <v>TRAPASCARDMD</v>
      </c>
      <c r="H91" s="18">
        <v>2040</v>
      </c>
      <c r="I91" s="18"/>
      <c r="J91" s="29" t="e">
        <f>IF(J85=0,-N91+1,J85*N91)</f>
        <v>#DIV/0!</v>
      </c>
      <c r="K91" s="18"/>
      <c r="L91" s="18"/>
      <c r="N91" s="21">
        <v>1.3</v>
      </c>
    </row>
    <row r="92" spans="1:14" x14ac:dyDescent="0.25">
      <c r="C92" s="15" t="str">
        <f t="shared" si="8"/>
        <v>*</v>
      </c>
      <c r="D92" s="17" t="s">
        <v>487</v>
      </c>
      <c r="E92" s="17" t="str">
        <f>E91</f>
        <v>TRAH2G</v>
      </c>
      <c r="F92" s="17" t="str">
        <f>F91</f>
        <v>TRAPASCARDMD</v>
      </c>
      <c r="G92" s="17" t="str">
        <f>G91</f>
        <v>TRAPASCARDMD</v>
      </c>
      <c r="H92" s="18">
        <v>2040</v>
      </c>
      <c r="I92" s="18"/>
      <c r="J92" s="20" t="e">
        <f>1-(J91*-1)</f>
        <v>#DIV/0!</v>
      </c>
      <c r="K92" s="18"/>
      <c r="L92" s="18"/>
      <c r="N92" s="21"/>
    </row>
    <row r="93" spans="1:14" x14ac:dyDescent="0.25">
      <c r="C93" s="15" t="str">
        <f t="shared" si="8"/>
        <v>*</v>
      </c>
      <c r="D93" s="17" t="str">
        <f>D91</f>
        <v>*ICEV*</v>
      </c>
      <c r="E93" s="17" t="str">
        <f>E91</f>
        <v>TRAH2G</v>
      </c>
      <c r="F93" s="17" t="str">
        <f>F91</f>
        <v>TRAPASCARDMD</v>
      </c>
      <c r="G93" s="17" t="str">
        <f>G91</f>
        <v>TRAPASCARDMD</v>
      </c>
      <c r="H93" s="18">
        <v>2050</v>
      </c>
      <c r="I93" s="18"/>
      <c r="J93" s="29" t="e">
        <f>IF(J85=0,-N93+1,J85*N93)</f>
        <v>#DIV/0!</v>
      </c>
      <c r="K93" s="18"/>
      <c r="L93" s="18"/>
      <c r="N93" s="21">
        <v>1.4</v>
      </c>
    </row>
    <row r="94" spans="1:14" x14ac:dyDescent="0.25">
      <c r="C94" s="23" t="str">
        <f t="shared" si="8"/>
        <v>*</v>
      </c>
      <c r="D94" s="25" t="s">
        <v>487</v>
      </c>
      <c r="E94" s="25" t="str">
        <f>E93</f>
        <v>TRAH2G</v>
      </c>
      <c r="F94" s="25" t="str">
        <f>F93</f>
        <v>TRAPASCARDMD</v>
      </c>
      <c r="G94" s="25" t="str">
        <f>G93</f>
        <v>TRAPASCARDMD</v>
      </c>
      <c r="H94" s="26">
        <v>2050</v>
      </c>
      <c r="I94" s="26"/>
      <c r="J94" s="27" t="e">
        <f>1-(J93*-1)</f>
        <v>#DIV/0!</v>
      </c>
      <c r="K94" s="26"/>
      <c r="L94" s="26"/>
      <c r="N94" s="28"/>
    </row>
    <row r="95" spans="1:14" x14ac:dyDescent="0.25">
      <c r="A95">
        <f>A85+1</f>
        <v>10</v>
      </c>
      <c r="C95" s="15" t="str">
        <f>IF(E95="","",IF(SUMIFS('TRA TECH'!M:M,'TRA TECH'!J:J,D96,'TRA TECH'!I:I,F96,'TRA TECH'!H:H,E96)=0,"*",IF(_xlfn.XLOOKUP($A95,Selected_constraint!$A:$A,Selected_constraint!$D:$D)=1,"*",IF(SUMIFS('TRA TECH'!$M:$M,'TRA TECH'!$H:$H,E95,'TRA TECH'!$I:$I,F95)=0,"*",IF(SUMIFS('TRA RESID'!$P:$P,'TRA RESID'!$I:$I,G95,'TRA RESID'!$J:$J,D95,'TRA RESID'!$H:$H,E95)=0,"*","UC_"&amp;SUBSTITUTE(D95,"*","")&amp;"_"&amp;SUBSTITUTE(D95,"*","")&amp;"_"&amp;RIGHT(E95,3)&amp;"_"&amp;F95)))))</f>
        <v>*</v>
      </c>
      <c r="D95" s="17" t="s">
        <v>485</v>
      </c>
      <c r="E95" s="17" t="str">
        <f>_xlfn.XLOOKUP($A95,Selected_constraint!$A:$A,Selected_constraint!$B:$B)</f>
        <v>TRAGSL</v>
      </c>
      <c r="F95" s="17" t="str">
        <f>_xlfn.XLOOKUP($A95,Selected_constraint!$A:$A,Selected_constraint!$C:$C)</f>
        <v>TRAPASLDTDMD</v>
      </c>
      <c r="G95" s="17" t="str">
        <f>F95</f>
        <v>TRAPASLDTDMD</v>
      </c>
      <c r="H95" s="18">
        <v>2019</v>
      </c>
      <c r="I95" s="18" t="s">
        <v>484</v>
      </c>
      <c r="J95" s="29" t="e">
        <f>-SUMIFS('TRA RESID'!$P:$P,'TRA RESID'!$I:$I,G96,'TRA RESID'!$J:$J,D96,'TRA RESID'!$H:$H,E96)/(SUMIFS('TRA RESID'!$P:$P,'TRA RESID'!$I:$I,G96,'TRA RESID'!$J:$J,D96,'TRA RESID'!$H:$H,E96)+SUMIFS('TRA RESID'!$P:$P,'TRA RESID'!$I:$I,G95,'TRA RESID'!$J:$J,D95,'TRA RESID'!$H:$H,E95))</f>
        <v>#DIV/0!</v>
      </c>
      <c r="K95" s="18">
        <v>0</v>
      </c>
      <c r="L95" s="18">
        <v>5</v>
      </c>
      <c r="N95" s="21">
        <v>1</v>
      </c>
    </row>
    <row r="96" spans="1:14" x14ac:dyDescent="0.25">
      <c r="C96" s="15" t="str">
        <f t="shared" ref="C96:C104" si="9">IF(C95="*",C95,"")</f>
        <v>*</v>
      </c>
      <c r="D96" s="17" t="s">
        <v>487</v>
      </c>
      <c r="E96" s="17" t="str">
        <f>E95</f>
        <v>TRAGSL</v>
      </c>
      <c r="F96" s="17" t="str">
        <f>F95</f>
        <v>TRAPASLDTDMD</v>
      </c>
      <c r="G96" s="17" t="str">
        <f>G95</f>
        <v>TRAPASLDTDMD</v>
      </c>
      <c r="H96" s="18">
        <v>2019</v>
      </c>
      <c r="I96" s="18"/>
      <c r="J96" s="20" t="e">
        <f>1-(J95*-1)</f>
        <v>#DIV/0!</v>
      </c>
      <c r="K96" s="18"/>
      <c r="L96" s="18"/>
      <c r="N96" s="21"/>
    </row>
    <row r="97" spans="1:14" x14ac:dyDescent="0.25">
      <c r="C97" s="15" t="str">
        <f t="shared" si="9"/>
        <v>*</v>
      </c>
      <c r="D97" s="17" t="str">
        <f>D95</f>
        <v>*ICEV*</v>
      </c>
      <c r="E97" s="17" t="str">
        <f>E95</f>
        <v>TRAGSL</v>
      </c>
      <c r="F97" s="17" t="str">
        <f>F95</f>
        <v>TRAPASLDTDMD</v>
      </c>
      <c r="G97" s="17" t="str">
        <f>G95</f>
        <v>TRAPASLDTDMD</v>
      </c>
      <c r="H97" s="18">
        <v>2025</v>
      </c>
      <c r="I97" s="18"/>
      <c r="J97" s="29" t="e">
        <f>IF(J95=0,-N97+1,J95*N97)</f>
        <v>#DIV/0!</v>
      </c>
      <c r="K97" s="18"/>
      <c r="L97" s="18"/>
      <c r="N97" s="21">
        <v>1.1000000000000001</v>
      </c>
    </row>
    <row r="98" spans="1:14" x14ac:dyDescent="0.25">
      <c r="C98" s="15" t="str">
        <f t="shared" si="9"/>
        <v>*</v>
      </c>
      <c r="D98" s="17" t="s">
        <v>487</v>
      </c>
      <c r="E98" s="17" t="str">
        <f>E97</f>
        <v>TRAGSL</v>
      </c>
      <c r="F98" s="17" t="str">
        <f>F97</f>
        <v>TRAPASLDTDMD</v>
      </c>
      <c r="G98" s="17" t="str">
        <f>G97</f>
        <v>TRAPASLDTDMD</v>
      </c>
      <c r="H98" s="18">
        <v>2025</v>
      </c>
      <c r="I98" s="18"/>
      <c r="J98" s="20" t="e">
        <f>1-(J97*-1)</f>
        <v>#DIV/0!</v>
      </c>
      <c r="K98" s="18"/>
      <c r="L98" s="18"/>
      <c r="N98" s="21"/>
    </row>
    <row r="99" spans="1:14" x14ac:dyDescent="0.25">
      <c r="C99" s="15" t="str">
        <f t="shared" si="9"/>
        <v>*</v>
      </c>
      <c r="D99" s="17" t="str">
        <f>D97</f>
        <v>*ICEV*</v>
      </c>
      <c r="E99" s="17" t="str">
        <f>E97</f>
        <v>TRAGSL</v>
      </c>
      <c r="F99" s="17" t="str">
        <f>F97</f>
        <v>TRAPASLDTDMD</v>
      </c>
      <c r="G99" s="17" t="str">
        <f>G97</f>
        <v>TRAPASLDTDMD</v>
      </c>
      <c r="H99" s="18">
        <v>2030</v>
      </c>
      <c r="I99" s="18"/>
      <c r="J99" s="29" t="e">
        <f>IF(J95=0,-N99+1,J95*N99)</f>
        <v>#DIV/0!</v>
      </c>
      <c r="K99" s="18"/>
      <c r="L99" s="18"/>
      <c r="N99" s="21">
        <v>1.2</v>
      </c>
    </row>
    <row r="100" spans="1:14" x14ac:dyDescent="0.25">
      <c r="C100" s="15" t="str">
        <f t="shared" si="9"/>
        <v>*</v>
      </c>
      <c r="D100" s="17" t="s">
        <v>487</v>
      </c>
      <c r="E100" s="17" t="str">
        <f>E99</f>
        <v>TRAGSL</v>
      </c>
      <c r="F100" s="17" t="str">
        <f>F99</f>
        <v>TRAPASLDTDMD</v>
      </c>
      <c r="G100" s="17" t="str">
        <f>G99</f>
        <v>TRAPASLDTDMD</v>
      </c>
      <c r="H100" s="18">
        <v>2030</v>
      </c>
      <c r="I100" s="18"/>
      <c r="J100" s="20" t="e">
        <f>1-(J99*-1)</f>
        <v>#DIV/0!</v>
      </c>
      <c r="K100" s="18"/>
      <c r="L100" s="18"/>
      <c r="N100" s="21"/>
    </row>
    <row r="101" spans="1:14" x14ac:dyDescent="0.25">
      <c r="C101" s="15" t="str">
        <f t="shared" si="9"/>
        <v>*</v>
      </c>
      <c r="D101" s="17" t="str">
        <f>D99</f>
        <v>*ICEV*</v>
      </c>
      <c r="E101" s="17" t="str">
        <f>E99</f>
        <v>TRAGSL</v>
      </c>
      <c r="F101" s="17" t="str">
        <f>F99</f>
        <v>TRAPASLDTDMD</v>
      </c>
      <c r="G101" s="17" t="str">
        <f>G99</f>
        <v>TRAPASLDTDMD</v>
      </c>
      <c r="H101" s="18">
        <v>2040</v>
      </c>
      <c r="I101" s="18"/>
      <c r="J101" s="29" t="e">
        <f>IF(J95=0,-N101+1,J95*N101)</f>
        <v>#DIV/0!</v>
      </c>
      <c r="K101" s="18"/>
      <c r="L101" s="18"/>
      <c r="N101" s="21">
        <v>1.3</v>
      </c>
    </row>
    <row r="102" spans="1:14" x14ac:dyDescent="0.25">
      <c r="C102" s="15" t="str">
        <f t="shared" si="9"/>
        <v>*</v>
      </c>
      <c r="D102" s="17" t="s">
        <v>487</v>
      </c>
      <c r="E102" s="17" t="str">
        <f>E101</f>
        <v>TRAGSL</v>
      </c>
      <c r="F102" s="17" t="str">
        <f>F101</f>
        <v>TRAPASLDTDMD</v>
      </c>
      <c r="G102" s="17" t="str">
        <f>G101</f>
        <v>TRAPASLDTDMD</v>
      </c>
      <c r="H102" s="18">
        <v>2040</v>
      </c>
      <c r="I102" s="18"/>
      <c r="J102" s="20" t="e">
        <f>1-(J101*-1)</f>
        <v>#DIV/0!</v>
      </c>
      <c r="K102" s="18"/>
      <c r="L102" s="18"/>
      <c r="N102" s="21"/>
    </row>
    <row r="103" spans="1:14" x14ac:dyDescent="0.25">
      <c r="C103" s="15" t="str">
        <f t="shared" si="9"/>
        <v>*</v>
      </c>
      <c r="D103" s="17" t="str">
        <f>D101</f>
        <v>*ICEV*</v>
      </c>
      <c r="E103" s="17" t="str">
        <f>E101</f>
        <v>TRAGSL</v>
      </c>
      <c r="F103" s="17" t="str">
        <f>F101</f>
        <v>TRAPASLDTDMD</v>
      </c>
      <c r="G103" s="17" t="str">
        <f>G101</f>
        <v>TRAPASLDTDMD</v>
      </c>
      <c r="H103" s="18">
        <v>2050</v>
      </c>
      <c r="I103" s="18"/>
      <c r="J103" s="29" t="e">
        <f>IF(J95=0,-N103+1,J95*N103)</f>
        <v>#DIV/0!</v>
      </c>
      <c r="K103" s="18"/>
      <c r="L103" s="18"/>
      <c r="N103" s="21">
        <v>1.4</v>
      </c>
    </row>
    <row r="104" spans="1:14" x14ac:dyDescent="0.25">
      <c r="C104" s="23" t="str">
        <f t="shared" si="9"/>
        <v>*</v>
      </c>
      <c r="D104" s="25" t="s">
        <v>487</v>
      </c>
      <c r="E104" s="25" t="str">
        <f>E103</f>
        <v>TRAGSL</v>
      </c>
      <c r="F104" s="25" t="str">
        <f>F103</f>
        <v>TRAPASLDTDMD</v>
      </c>
      <c r="G104" s="25" t="str">
        <f>G103</f>
        <v>TRAPASLDTDMD</v>
      </c>
      <c r="H104" s="26">
        <v>2050</v>
      </c>
      <c r="I104" s="26"/>
      <c r="J104" s="27" t="e">
        <f>1-(J103*-1)</f>
        <v>#DIV/0!</v>
      </c>
      <c r="K104" s="26"/>
      <c r="L104" s="26"/>
      <c r="N104" s="28"/>
    </row>
    <row r="105" spans="1:14" x14ac:dyDescent="0.25">
      <c r="A105">
        <f>A95+1</f>
        <v>11</v>
      </c>
      <c r="C105" s="15" t="str">
        <f>IF(E105="","",IF(SUMIFS('TRA TECH'!M:M,'TRA TECH'!J:J,D106,'TRA TECH'!I:I,F106,'TRA TECH'!H:H,E106)=0,"*",IF(_xlfn.XLOOKUP($A105,Selected_constraint!$A:$A,Selected_constraint!$D:$D)=1,"*",IF(SUMIFS('TRA TECH'!$M:$M,'TRA TECH'!$H:$H,E105,'TRA TECH'!$I:$I,F105)=0,"*",IF(SUMIFS('TRA RESID'!$P:$P,'TRA RESID'!$I:$I,G105,'TRA RESID'!$J:$J,D105,'TRA RESID'!$H:$H,E105)=0,"*","UC_"&amp;SUBSTITUTE(D105,"*","")&amp;"_"&amp;SUBSTITUTE(D105,"*","")&amp;"_"&amp;RIGHT(E105,3)&amp;"_"&amp;F105)))))</f>
        <v>*</v>
      </c>
      <c r="D105" s="17" t="s">
        <v>485</v>
      </c>
      <c r="E105" s="17" t="str">
        <f>_xlfn.XLOOKUP($A105,Selected_constraint!$A:$A,Selected_constraint!$B:$B)</f>
        <v>TRAETH</v>
      </c>
      <c r="F105" s="17" t="str">
        <f>_xlfn.XLOOKUP($A105,Selected_constraint!$A:$A,Selected_constraint!$C:$C)</f>
        <v>TRAPASLDTDMD</v>
      </c>
      <c r="G105" s="17" t="str">
        <f>F105</f>
        <v>TRAPASLDTDMD</v>
      </c>
      <c r="H105" s="18">
        <v>2019</v>
      </c>
      <c r="I105" s="18" t="s">
        <v>484</v>
      </c>
      <c r="J105" s="29" t="e">
        <f>-SUMIFS('TRA RESID'!$P:$P,'TRA RESID'!$I:$I,G106,'TRA RESID'!$J:$J,D106,'TRA RESID'!$H:$H,E106)/(SUMIFS('TRA RESID'!$P:$P,'TRA RESID'!$I:$I,G106,'TRA RESID'!$J:$J,D106,'TRA RESID'!$H:$H,E106)+SUMIFS('TRA RESID'!$P:$P,'TRA RESID'!$I:$I,G105,'TRA RESID'!$J:$J,D105,'TRA RESID'!$H:$H,E105))</f>
        <v>#DIV/0!</v>
      </c>
      <c r="K105" s="18">
        <v>0</v>
      </c>
      <c r="L105" s="18">
        <v>5</v>
      </c>
      <c r="N105" s="21">
        <v>1</v>
      </c>
    </row>
    <row r="106" spans="1:14" x14ac:dyDescent="0.25">
      <c r="C106" s="15" t="str">
        <f t="shared" ref="C106:C114" si="10">IF(C105="*",C105,"")</f>
        <v>*</v>
      </c>
      <c r="D106" s="17" t="s">
        <v>487</v>
      </c>
      <c r="E106" s="17" t="str">
        <f>E105</f>
        <v>TRAETH</v>
      </c>
      <c r="F106" s="17" t="str">
        <f>F105</f>
        <v>TRAPASLDTDMD</v>
      </c>
      <c r="G106" s="17" t="str">
        <f>G105</f>
        <v>TRAPASLDTDMD</v>
      </c>
      <c r="H106" s="18">
        <v>2019</v>
      </c>
      <c r="I106" s="18"/>
      <c r="J106" s="20" t="e">
        <f>1-(J105*-1)</f>
        <v>#DIV/0!</v>
      </c>
      <c r="K106" s="18"/>
      <c r="L106" s="18"/>
      <c r="N106" s="21"/>
    </row>
    <row r="107" spans="1:14" x14ac:dyDescent="0.25">
      <c r="C107" s="15" t="str">
        <f t="shared" si="10"/>
        <v>*</v>
      </c>
      <c r="D107" s="17" t="str">
        <f>D105</f>
        <v>*ICEV*</v>
      </c>
      <c r="E107" s="17" t="str">
        <f>E105</f>
        <v>TRAETH</v>
      </c>
      <c r="F107" s="17" t="str">
        <f>F105</f>
        <v>TRAPASLDTDMD</v>
      </c>
      <c r="G107" s="17" t="str">
        <f>G105</f>
        <v>TRAPASLDTDMD</v>
      </c>
      <c r="H107" s="18">
        <v>2025</v>
      </c>
      <c r="I107" s="18"/>
      <c r="J107" s="29" t="e">
        <f>IF(J105=0,-N107+1,J105*N107)</f>
        <v>#DIV/0!</v>
      </c>
      <c r="K107" s="18"/>
      <c r="L107" s="18"/>
      <c r="N107" s="21">
        <v>1.1000000000000001</v>
      </c>
    </row>
    <row r="108" spans="1:14" x14ac:dyDescent="0.25">
      <c r="C108" s="15" t="str">
        <f t="shared" si="10"/>
        <v>*</v>
      </c>
      <c r="D108" s="17" t="s">
        <v>487</v>
      </c>
      <c r="E108" s="17" t="str">
        <f>E107</f>
        <v>TRAETH</v>
      </c>
      <c r="F108" s="17" t="str">
        <f>F107</f>
        <v>TRAPASLDTDMD</v>
      </c>
      <c r="G108" s="17" t="str">
        <f>G107</f>
        <v>TRAPASLDTDMD</v>
      </c>
      <c r="H108" s="18">
        <v>2025</v>
      </c>
      <c r="I108" s="18"/>
      <c r="J108" s="20" t="e">
        <f>1-(J107*-1)</f>
        <v>#DIV/0!</v>
      </c>
      <c r="K108" s="18"/>
      <c r="L108" s="18"/>
      <c r="N108" s="21"/>
    </row>
    <row r="109" spans="1:14" x14ac:dyDescent="0.25">
      <c r="C109" s="15" t="str">
        <f t="shared" si="10"/>
        <v>*</v>
      </c>
      <c r="D109" s="17" t="str">
        <f>D107</f>
        <v>*ICEV*</v>
      </c>
      <c r="E109" s="17" t="str">
        <f>E107</f>
        <v>TRAETH</v>
      </c>
      <c r="F109" s="17" t="str">
        <f>F107</f>
        <v>TRAPASLDTDMD</v>
      </c>
      <c r="G109" s="17" t="str">
        <f>G107</f>
        <v>TRAPASLDTDMD</v>
      </c>
      <c r="H109" s="18">
        <v>2030</v>
      </c>
      <c r="I109" s="18"/>
      <c r="J109" s="29" t="e">
        <f>IF(J105=0,-N109+1,J105*N109)</f>
        <v>#DIV/0!</v>
      </c>
      <c r="K109" s="18"/>
      <c r="L109" s="18"/>
      <c r="N109" s="21">
        <v>1.2</v>
      </c>
    </row>
    <row r="110" spans="1:14" x14ac:dyDescent="0.25">
      <c r="C110" s="15" t="str">
        <f t="shared" si="10"/>
        <v>*</v>
      </c>
      <c r="D110" s="17" t="s">
        <v>487</v>
      </c>
      <c r="E110" s="17" t="str">
        <f>E109</f>
        <v>TRAETH</v>
      </c>
      <c r="F110" s="17" t="str">
        <f>F109</f>
        <v>TRAPASLDTDMD</v>
      </c>
      <c r="G110" s="17" t="str">
        <f>G109</f>
        <v>TRAPASLDTDMD</v>
      </c>
      <c r="H110" s="18">
        <v>2030</v>
      </c>
      <c r="I110" s="18"/>
      <c r="J110" s="20" t="e">
        <f>1-(J109*-1)</f>
        <v>#DIV/0!</v>
      </c>
      <c r="K110" s="18"/>
      <c r="L110" s="18"/>
      <c r="N110" s="21"/>
    </row>
    <row r="111" spans="1:14" x14ac:dyDescent="0.25">
      <c r="C111" s="15" t="str">
        <f t="shared" si="10"/>
        <v>*</v>
      </c>
      <c r="D111" s="17" t="str">
        <f>D109</f>
        <v>*ICEV*</v>
      </c>
      <c r="E111" s="17" t="str">
        <f>E109</f>
        <v>TRAETH</v>
      </c>
      <c r="F111" s="17" t="str">
        <f>F109</f>
        <v>TRAPASLDTDMD</v>
      </c>
      <c r="G111" s="17" t="str">
        <f>G109</f>
        <v>TRAPASLDTDMD</v>
      </c>
      <c r="H111" s="18">
        <v>2040</v>
      </c>
      <c r="I111" s="18"/>
      <c r="J111" s="29" t="e">
        <f>IF(J105=0,-N111+1,J105*N111)</f>
        <v>#DIV/0!</v>
      </c>
      <c r="K111" s="18"/>
      <c r="L111" s="18"/>
      <c r="N111" s="21">
        <v>1.3</v>
      </c>
    </row>
    <row r="112" spans="1:14" x14ac:dyDescent="0.25">
      <c r="C112" s="15" t="str">
        <f t="shared" si="10"/>
        <v>*</v>
      </c>
      <c r="D112" s="17" t="s">
        <v>487</v>
      </c>
      <c r="E112" s="17" t="str">
        <f>E111</f>
        <v>TRAETH</v>
      </c>
      <c r="F112" s="17" t="str">
        <f>F111</f>
        <v>TRAPASLDTDMD</v>
      </c>
      <c r="G112" s="17" t="str">
        <f>G111</f>
        <v>TRAPASLDTDMD</v>
      </c>
      <c r="H112" s="18">
        <v>2040</v>
      </c>
      <c r="I112" s="18"/>
      <c r="J112" s="20" t="e">
        <f>1-(J111*-1)</f>
        <v>#DIV/0!</v>
      </c>
      <c r="K112" s="18"/>
      <c r="L112" s="18"/>
      <c r="N112" s="21"/>
    </row>
    <row r="113" spans="1:14" x14ac:dyDescent="0.25">
      <c r="C113" s="15" t="str">
        <f t="shared" si="10"/>
        <v>*</v>
      </c>
      <c r="D113" s="17" t="str">
        <f>D111</f>
        <v>*ICEV*</v>
      </c>
      <c r="E113" s="17" t="str">
        <f>E111</f>
        <v>TRAETH</v>
      </c>
      <c r="F113" s="17" t="str">
        <f>F111</f>
        <v>TRAPASLDTDMD</v>
      </c>
      <c r="G113" s="17" t="str">
        <f>G111</f>
        <v>TRAPASLDTDMD</v>
      </c>
      <c r="H113" s="18">
        <v>2050</v>
      </c>
      <c r="I113" s="18"/>
      <c r="J113" s="29" t="e">
        <f>IF(J105=0,-N113+1,J105*N113)</f>
        <v>#DIV/0!</v>
      </c>
      <c r="K113" s="18"/>
      <c r="L113" s="18"/>
      <c r="N113" s="21">
        <v>1.4</v>
      </c>
    </row>
    <row r="114" spans="1:14" x14ac:dyDescent="0.25">
      <c r="C114" s="23" t="str">
        <f t="shared" si="10"/>
        <v>*</v>
      </c>
      <c r="D114" s="25" t="s">
        <v>487</v>
      </c>
      <c r="E114" s="25" t="str">
        <f>E113</f>
        <v>TRAETH</v>
      </c>
      <c r="F114" s="25" t="str">
        <f>F113</f>
        <v>TRAPASLDTDMD</v>
      </c>
      <c r="G114" s="25" t="str">
        <f>G113</f>
        <v>TRAPASLDTDMD</v>
      </c>
      <c r="H114" s="26">
        <v>2050</v>
      </c>
      <c r="I114" s="26"/>
      <c r="J114" s="27" t="e">
        <f>1-(J113*-1)</f>
        <v>#DIV/0!</v>
      </c>
      <c r="K114" s="26"/>
      <c r="L114" s="26"/>
      <c r="N114" s="28"/>
    </row>
    <row r="115" spans="1:14" x14ac:dyDescent="0.25">
      <c r="A115">
        <f>A105+1</f>
        <v>12</v>
      </c>
      <c r="C115" s="15" t="str">
        <f>IF(E115="","",IF(SUMIFS('TRA TECH'!M:M,'TRA TECH'!J:J,D116,'TRA TECH'!I:I,F116,'TRA TECH'!H:H,E116)=0,"*",IF(_xlfn.XLOOKUP($A115,Selected_constraint!$A:$A,Selected_constraint!$D:$D)=1,"*",IF(SUMIFS('TRA TECH'!$M:$M,'TRA TECH'!$H:$H,E115,'TRA TECH'!$I:$I,F115)=0,"*",IF(SUMIFS('TRA RESID'!$P:$P,'TRA RESID'!$I:$I,G115,'TRA RESID'!$J:$J,D115,'TRA RESID'!$H:$H,E115)=0,"*","UC_"&amp;SUBSTITUTE(D115,"*","")&amp;"_"&amp;SUBSTITUTE(D115,"*","")&amp;"_"&amp;RIGHT(E115,3)&amp;"_"&amp;F115)))))</f>
        <v>*</v>
      </c>
      <c r="D115" s="17" t="s">
        <v>485</v>
      </c>
      <c r="E115" s="17" t="str">
        <f>_xlfn.XLOOKUP($A115,Selected_constraint!$A:$A,Selected_constraint!$B:$B)</f>
        <v>TRADSL</v>
      </c>
      <c r="F115" s="17" t="str">
        <f>_xlfn.XLOOKUP($A115,Selected_constraint!$A:$A,Selected_constraint!$C:$C)</f>
        <v>TRAPASLDTDMD</v>
      </c>
      <c r="G115" s="17" t="str">
        <f>F115</f>
        <v>TRAPASLDTDMD</v>
      </c>
      <c r="H115" s="18">
        <v>2019</v>
      </c>
      <c r="I115" s="18" t="s">
        <v>484</v>
      </c>
      <c r="J115" s="29" t="e">
        <f>-SUMIFS('TRA RESID'!$P:$P,'TRA RESID'!$I:$I,G116,'TRA RESID'!$J:$J,D116,'TRA RESID'!$H:$H,E116)/(SUMIFS('TRA RESID'!$P:$P,'TRA RESID'!$I:$I,G116,'TRA RESID'!$J:$J,D116,'TRA RESID'!$H:$H,E116)+SUMIFS('TRA RESID'!$P:$P,'TRA RESID'!$I:$I,G115,'TRA RESID'!$J:$J,D115,'TRA RESID'!$H:$H,E115))</f>
        <v>#DIV/0!</v>
      </c>
      <c r="K115" s="18">
        <v>0</v>
      </c>
      <c r="L115" s="18">
        <v>5</v>
      </c>
      <c r="N115" s="21">
        <v>1</v>
      </c>
    </row>
    <row r="116" spans="1:14" x14ac:dyDescent="0.25">
      <c r="C116" s="15" t="str">
        <f t="shared" ref="C116:C124" si="11">IF(C115="*",C115,"")</f>
        <v>*</v>
      </c>
      <c r="D116" s="17" t="s">
        <v>487</v>
      </c>
      <c r="E116" s="17" t="str">
        <f>E115</f>
        <v>TRADSL</v>
      </c>
      <c r="F116" s="17" t="str">
        <f>F115</f>
        <v>TRAPASLDTDMD</v>
      </c>
      <c r="G116" s="17" t="str">
        <f>G115</f>
        <v>TRAPASLDTDMD</v>
      </c>
      <c r="H116" s="18">
        <v>2019</v>
      </c>
      <c r="I116" s="18"/>
      <c r="J116" s="20" t="e">
        <f>1-(J115*-1)</f>
        <v>#DIV/0!</v>
      </c>
      <c r="K116" s="18"/>
      <c r="L116" s="18"/>
      <c r="N116" s="21"/>
    </row>
    <row r="117" spans="1:14" x14ac:dyDescent="0.25">
      <c r="C117" s="15" t="str">
        <f t="shared" si="11"/>
        <v>*</v>
      </c>
      <c r="D117" s="17" t="str">
        <f>D115</f>
        <v>*ICEV*</v>
      </c>
      <c r="E117" s="17" t="str">
        <f>E115</f>
        <v>TRADSL</v>
      </c>
      <c r="F117" s="17" t="str">
        <f>F115</f>
        <v>TRAPASLDTDMD</v>
      </c>
      <c r="G117" s="17" t="str">
        <f>G115</f>
        <v>TRAPASLDTDMD</v>
      </c>
      <c r="H117" s="18">
        <v>2025</v>
      </c>
      <c r="I117" s="18"/>
      <c r="J117" s="29" t="e">
        <f>IF(J115=0,-N117+1,J115*N117)</f>
        <v>#DIV/0!</v>
      </c>
      <c r="K117" s="18"/>
      <c r="L117" s="18"/>
      <c r="N117" s="21">
        <v>1.1000000000000001</v>
      </c>
    </row>
    <row r="118" spans="1:14" x14ac:dyDescent="0.25">
      <c r="C118" s="15" t="str">
        <f t="shared" si="11"/>
        <v>*</v>
      </c>
      <c r="D118" s="17" t="s">
        <v>487</v>
      </c>
      <c r="E118" s="17" t="str">
        <f>E117</f>
        <v>TRADSL</v>
      </c>
      <c r="F118" s="17" t="str">
        <f>F117</f>
        <v>TRAPASLDTDMD</v>
      </c>
      <c r="G118" s="17" t="str">
        <f>G117</f>
        <v>TRAPASLDTDMD</v>
      </c>
      <c r="H118" s="18">
        <v>2025</v>
      </c>
      <c r="I118" s="18"/>
      <c r="J118" s="20" t="e">
        <f>1-(J117*-1)</f>
        <v>#DIV/0!</v>
      </c>
      <c r="K118" s="18"/>
      <c r="L118" s="18"/>
      <c r="N118" s="21"/>
    </row>
    <row r="119" spans="1:14" x14ac:dyDescent="0.25">
      <c r="C119" s="15" t="str">
        <f t="shared" si="11"/>
        <v>*</v>
      </c>
      <c r="D119" s="17" t="str">
        <f>D117</f>
        <v>*ICEV*</v>
      </c>
      <c r="E119" s="17" t="str">
        <f>E117</f>
        <v>TRADSL</v>
      </c>
      <c r="F119" s="17" t="str">
        <f>F117</f>
        <v>TRAPASLDTDMD</v>
      </c>
      <c r="G119" s="17" t="str">
        <f>G117</f>
        <v>TRAPASLDTDMD</v>
      </c>
      <c r="H119" s="18">
        <v>2030</v>
      </c>
      <c r="I119" s="18"/>
      <c r="J119" s="29" t="e">
        <f>IF(J115=0,-N119+1,J115*N119)</f>
        <v>#DIV/0!</v>
      </c>
      <c r="K119" s="18"/>
      <c r="L119" s="18"/>
      <c r="N119" s="21">
        <v>1.2</v>
      </c>
    </row>
    <row r="120" spans="1:14" x14ac:dyDescent="0.25">
      <c r="C120" s="15" t="str">
        <f t="shared" si="11"/>
        <v>*</v>
      </c>
      <c r="D120" s="17" t="s">
        <v>487</v>
      </c>
      <c r="E120" s="17" t="str">
        <f>E119</f>
        <v>TRADSL</v>
      </c>
      <c r="F120" s="17" t="str">
        <f>F119</f>
        <v>TRAPASLDTDMD</v>
      </c>
      <c r="G120" s="17" t="str">
        <f>G119</f>
        <v>TRAPASLDTDMD</v>
      </c>
      <c r="H120" s="18">
        <v>2030</v>
      </c>
      <c r="I120" s="18"/>
      <c r="J120" s="20" t="e">
        <f>1-(J119*-1)</f>
        <v>#DIV/0!</v>
      </c>
      <c r="K120" s="18"/>
      <c r="L120" s="18"/>
      <c r="N120" s="21"/>
    </row>
    <row r="121" spans="1:14" x14ac:dyDescent="0.25">
      <c r="C121" s="15" t="str">
        <f t="shared" si="11"/>
        <v>*</v>
      </c>
      <c r="D121" s="17" t="str">
        <f>D119</f>
        <v>*ICEV*</v>
      </c>
      <c r="E121" s="17" t="str">
        <f>E119</f>
        <v>TRADSL</v>
      </c>
      <c r="F121" s="17" t="str">
        <f>F119</f>
        <v>TRAPASLDTDMD</v>
      </c>
      <c r="G121" s="17" t="str">
        <f>G119</f>
        <v>TRAPASLDTDMD</v>
      </c>
      <c r="H121" s="18">
        <v>2040</v>
      </c>
      <c r="I121" s="18"/>
      <c r="J121" s="29" t="e">
        <f>IF(J115=0,-N121+1,J115*N121)</f>
        <v>#DIV/0!</v>
      </c>
      <c r="K121" s="18"/>
      <c r="L121" s="18"/>
      <c r="N121" s="21">
        <v>1.3</v>
      </c>
    </row>
    <row r="122" spans="1:14" x14ac:dyDescent="0.25">
      <c r="C122" s="15" t="str">
        <f t="shared" si="11"/>
        <v>*</v>
      </c>
      <c r="D122" s="17" t="s">
        <v>487</v>
      </c>
      <c r="E122" s="17" t="str">
        <f>E121</f>
        <v>TRADSL</v>
      </c>
      <c r="F122" s="17" t="str">
        <f>F121</f>
        <v>TRAPASLDTDMD</v>
      </c>
      <c r="G122" s="17" t="str">
        <f>G121</f>
        <v>TRAPASLDTDMD</v>
      </c>
      <c r="H122" s="18">
        <v>2040</v>
      </c>
      <c r="I122" s="18"/>
      <c r="J122" s="20" t="e">
        <f>1-(J121*-1)</f>
        <v>#DIV/0!</v>
      </c>
      <c r="K122" s="18"/>
      <c r="L122" s="18"/>
      <c r="N122" s="21"/>
    </row>
    <row r="123" spans="1:14" x14ac:dyDescent="0.25">
      <c r="C123" s="15" t="str">
        <f t="shared" si="11"/>
        <v>*</v>
      </c>
      <c r="D123" s="17" t="str">
        <f>D121</f>
        <v>*ICEV*</v>
      </c>
      <c r="E123" s="17" t="str">
        <f>E121</f>
        <v>TRADSL</v>
      </c>
      <c r="F123" s="17" t="str">
        <f>F121</f>
        <v>TRAPASLDTDMD</v>
      </c>
      <c r="G123" s="17" t="str">
        <f>G121</f>
        <v>TRAPASLDTDMD</v>
      </c>
      <c r="H123" s="18">
        <v>2050</v>
      </c>
      <c r="I123" s="18"/>
      <c r="J123" s="29" t="e">
        <f>IF(J115=0,-N123+1,J115*N123)</f>
        <v>#DIV/0!</v>
      </c>
      <c r="K123" s="18"/>
      <c r="L123" s="18"/>
      <c r="N123" s="21">
        <v>1.4</v>
      </c>
    </row>
    <row r="124" spans="1:14" x14ac:dyDescent="0.25">
      <c r="C124" s="23" t="str">
        <f t="shared" si="11"/>
        <v>*</v>
      </c>
      <c r="D124" s="25" t="s">
        <v>487</v>
      </c>
      <c r="E124" s="25" t="str">
        <f>E123</f>
        <v>TRADSL</v>
      </c>
      <c r="F124" s="25" t="str">
        <f>F123</f>
        <v>TRAPASLDTDMD</v>
      </c>
      <c r="G124" s="25" t="str">
        <f>G123</f>
        <v>TRAPASLDTDMD</v>
      </c>
      <c r="H124" s="26">
        <v>2050</v>
      </c>
      <c r="I124" s="26"/>
      <c r="J124" s="27" t="e">
        <f>1-(J123*-1)</f>
        <v>#DIV/0!</v>
      </c>
      <c r="K124" s="26"/>
      <c r="L124" s="26"/>
      <c r="N124" s="28"/>
    </row>
    <row r="125" spans="1:14" x14ac:dyDescent="0.25">
      <c r="A125">
        <f>A115+1</f>
        <v>13</v>
      </c>
      <c r="C125" s="15" t="str">
        <f>IF(E125="","",IF(SUMIFS('TRA TECH'!M:M,'TRA TECH'!J:J,D126,'TRA TECH'!I:I,F126,'TRA TECH'!H:H,E126)=0,"*",IF(_xlfn.XLOOKUP($A125,Selected_constraint!$A:$A,Selected_constraint!$D:$D)=1,"*",IF(SUMIFS('TRA TECH'!$M:$M,'TRA TECH'!$H:$H,E125,'TRA TECH'!$I:$I,F125)=0,"*",IF(SUMIFS('TRA RESID'!$P:$P,'TRA RESID'!$I:$I,G125,'TRA RESID'!$J:$J,D125,'TRA RESID'!$H:$H,E125)=0,"*","UC_"&amp;SUBSTITUTE(D125,"*","")&amp;"_"&amp;SUBSTITUTE(D125,"*","")&amp;"_"&amp;RIGHT(E125,3)&amp;"_"&amp;F125)))))</f>
        <v>*</v>
      </c>
      <c r="D125" s="17" t="s">
        <v>485</v>
      </c>
      <c r="E125" s="17" t="str">
        <f>_xlfn.XLOOKUP($A125,Selected_constraint!$A:$A,Selected_constraint!$B:$B)</f>
        <v>TRARDS</v>
      </c>
      <c r="F125" s="17" t="str">
        <f>_xlfn.XLOOKUP($A125,Selected_constraint!$A:$A,Selected_constraint!$C:$C)</f>
        <v>TRAPASLDTDMD</v>
      </c>
      <c r="G125" s="17" t="str">
        <f>F125</f>
        <v>TRAPASLDTDMD</v>
      </c>
      <c r="H125" s="18">
        <v>2019</v>
      </c>
      <c r="I125" s="18" t="s">
        <v>484</v>
      </c>
      <c r="J125" s="29" t="e">
        <f>-SUMIFS('TRA RESID'!$P:$P,'TRA RESID'!$I:$I,G126,'TRA RESID'!$J:$J,D126,'TRA RESID'!$H:$H,E126)/(SUMIFS('TRA RESID'!$P:$P,'TRA RESID'!$I:$I,G126,'TRA RESID'!$J:$J,D126,'TRA RESID'!$H:$H,E126)+SUMIFS('TRA RESID'!$P:$P,'TRA RESID'!$I:$I,G125,'TRA RESID'!$J:$J,D125,'TRA RESID'!$H:$H,E125))</f>
        <v>#DIV/0!</v>
      </c>
      <c r="K125" s="18">
        <v>0</v>
      </c>
      <c r="L125" s="18">
        <v>5</v>
      </c>
      <c r="N125" s="21">
        <v>1</v>
      </c>
    </row>
    <row r="126" spans="1:14" x14ac:dyDescent="0.25">
      <c r="C126" s="15" t="str">
        <f t="shared" ref="C126:C134" si="12">IF(C125="*",C125,"")</f>
        <v>*</v>
      </c>
      <c r="D126" s="17" t="s">
        <v>487</v>
      </c>
      <c r="E126" s="17" t="str">
        <f>E125</f>
        <v>TRARDS</v>
      </c>
      <c r="F126" s="17" t="str">
        <f>F125</f>
        <v>TRAPASLDTDMD</v>
      </c>
      <c r="G126" s="17" t="str">
        <f>G125</f>
        <v>TRAPASLDTDMD</v>
      </c>
      <c r="H126" s="18">
        <v>2019</v>
      </c>
      <c r="I126" s="18"/>
      <c r="J126" s="20" t="e">
        <f>1-(J125*-1)</f>
        <v>#DIV/0!</v>
      </c>
      <c r="K126" s="18"/>
      <c r="L126" s="18"/>
      <c r="N126" s="21"/>
    </row>
    <row r="127" spans="1:14" x14ac:dyDescent="0.25">
      <c r="C127" s="15" t="str">
        <f t="shared" si="12"/>
        <v>*</v>
      </c>
      <c r="D127" s="17" t="str">
        <f>D125</f>
        <v>*ICEV*</v>
      </c>
      <c r="E127" s="17" t="str">
        <f>E125</f>
        <v>TRARDS</v>
      </c>
      <c r="F127" s="17" t="str">
        <f>F125</f>
        <v>TRAPASLDTDMD</v>
      </c>
      <c r="G127" s="17" t="str">
        <f>G125</f>
        <v>TRAPASLDTDMD</v>
      </c>
      <c r="H127" s="18">
        <v>2025</v>
      </c>
      <c r="I127" s="18"/>
      <c r="J127" s="29" t="e">
        <f>IF(J125=0,-N127+1,J125*N127)</f>
        <v>#DIV/0!</v>
      </c>
      <c r="K127" s="18"/>
      <c r="L127" s="18"/>
      <c r="N127" s="21">
        <v>1.1000000000000001</v>
      </c>
    </row>
    <row r="128" spans="1:14" x14ac:dyDescent="0.25">
      <c r="C128" s="15" t="str">
        <f t="shared" si="12"/>
        <v>*</v>
      </c>
      <c r="D128" s="17" t="s">
        <v>487</v>
      </c>
      <c r="E128" s="17" t="str">
        <f>E127</f>
        <v>TRARDS</v>
      </c>
      <c r="F128" s="17" t="str">
        <f>F127</f>
        <v>TRAPASLDTDMD</v>
      </c>
      <c r="G128" s="17" t="str">
        <f>G127</f>
        <v>TRAPASLDTDMD</v>
      </c>
      <c r="H128" s="18">
        <v>2025</v>
      </c>
      <c r="I128" s="18"/>
      <c r="J128" s="20" t="e">
        <f>1-(J127*-1)</f>
        <v>#DIV/0!</v>
      </c>
      <c r="K128" s="18"/>
      <c r="L128" s="18"/>
      <c r="N128" s="21"/>
    </row>
    <row r="129" spans="1:14" x14ac:dyDescent="0.25">
      <c r="C129" s="15" t="str">
        <f t="shared" si="12"/>
        <v>*</v>
      </c>
      <c r="D129" s="17" t="str">
        <f>D127</f>
        <v>*ICEV*</v>
      </c>
      <c r="E129" s="17" t="str">
        <f>E127</f>
        <v>TRARDS</v>
      </c>
      <c r="F129" s="17" t="str">
        <f>F127</f>
        <v>TRAPASLDTDMD</v>
      </c>
      <c r="G129" s="17" t="str">
        <f>G127</f>
        <v>TRAPASLDTDMD</v>
      </c>
      <c r="H129" s="18">
        <v>2030</v>
      </c>
      <c r="I129" s="18"/>
      <c r="J129" s="29" t="e">
        <f>IF(J125=0,-N129+1,J125*N129)</f>
        <v>#DIV/0!</v>
      </c>
      <c r="K129" s="18"/>
      <c r="L129" s="18"/>
      <c r="N129" s="21">
        <v>1.2</v>
      </c>
    </row>
    <row r="130" spans="1:14" x14ac:dyDescent="0.25">
      <c r="C130" s="15" t="str">
        <f t="shared" si="12"/>
        <v>*</v>
      </c>
      <c r="D130" s="17" t="s">
        <v>487</v>
      </c>
      <c r="E130" s="17" t="str">
        <f>E129</f>
        <v>TRARDS</v>
      </c>
      <c r="F130" s="17" t="str">
        <f>F129</f>
        <v>TRAPASLDTDMD</v>
      </c>
      <c r="G130" s="17" t="str">
        <f>G129</f>
        <v>TRAPASLDTDMD</v>
      </c>
      <c r="H130" s="18">
        <v>2030</v>
      </c>
      <c r="I130" s="18"/>
      <c r="J130" s="20" t="e">
        <f>1-(J129*-1)</f>
        <v>#DIV/0!</v>
      </c>
      <c r="K130" s="18"/>
      <c r="L130" s="18"/>
      <c r="N130" s="21"/>
    </row>
    <row r="131" spans="1:14" x14ac:dyDescent="0.25">
      <c r="C131" s="15" t="str">
        <f t="shared" si="12"/>
        <v>*</v>
      </c>
      <c r="D131" s="17" t="str">
        <f>D129</f>
        <v>*ICEV*</v>
      </c>
      <c r="E131" s="17" t="str">
        <f>E129</f>
        <v>TRARDS</v>
      </c>
      <c r="F131" s="17" t="str">
        <f>F129</f>
        <v>TRAPASLDTDMD</v>
      </c>
      <c r="G131" s="17" t="str">
        <f>G129</f>
        <v>TRAPASLDTDMD</v>
      </c>
      <c r="H131" s="18">
        <v>2040</v>
      </c>
      <c r="I131" s="18"/>
      <c r="J131" s="29" t="e">
        <f>IF(J125=0,-N131+1,J125*N131)</f>
        <v>#DIV/0!</v>
      </c>
      <c r="K131" s="18"/>
      <c r="L131" s="18"/>
      <c r="N131" s="21">
        <v>1.3</v>
      </c>
    </row>
    <row r="132" spans="1:14" x14ac:dyDescent="0.25">
      <c r="C132" s="15" t="str">
        <f t="shared" si="12"/>
        <v>*</v>
      </c>
      <c r="D132" s="17" t="s">
        <v>487</v>
      </c>
      <c r="E132" s="17" t="str">
        <f>E131</f>
        <v>TRARDS</v>
      </c>
      <c r="F132" s="17" t="str">
        <f>F131</f>
        <v>TRAPASLDTDMD</v>
      </c>
      <c r="G132" s="17" t="str">
        <f>G131</f>
        <v>TRAPASLDTDMD</v>
      </c>
      <c r="H132" s="18">
        <v>2040</v>
      </c>
      <c r="I132" s="18"/>
      <c r="J132" s="20" t="e">
        <f>1-(J131*-1)</f>
        <v>#DIV/0!</v>
      </c>
      <c r="K132" s="18"/>
      <c r="L132" s="18"/>
      <c r="N132" s="21"/>
    </row>
    <row r="133" spans="1:14" x14ac:dyDescent="0.25">
      <c r="C133" s="15" t="str">
        <f t="shared" si="12"/>
        <v>*</v>
      </c>
      <c r="D133" s="17" t="str">
        <f>D131</f>
        <v>*ICEV*</v>
      </c>
      <c r="E133" s="17" t="str">
        <f>E131</f>
        <v>TRARDS</v>
      </c>
      <c r="F133" s="17" t="str">
        <f>F131</f>
        <v>TRAPASLDTDMD</v>
      </c>
      <c r="G133" s="17" t="str">
        <f>G131</f>
        <v>TRAPASLDTDMD</v>
      </c>
      <c r="H133" s="18">
        <v>2050</v>
      </c>
      <c r="I133" s="18"/>
      <c r="J133" s="29" t="e">
        <f>IF(J125=0,-N133+1,J125*N133)</f>
        <v>#DIV/0!</v>
      </c>
      <c r="K133" s="18"/>
      <c r="L133" s="18"/>
      <c r="N133" s="21">
        <v>1.4</v>
      </c>
    </row>
    <row r="134" spans="1:14" x14ac:dyDescent="0.25">
      <c r="C134" s="23" t="str">
        <f t="shared" si="12"/>
        <v>*</v>
      </c>
      <c r="D134" s="25" t="s">
        <v>487</v>
      </c>
      <c r="E134" s="25" t="str">
        <f>E133</f>
        <v>TRARDS</v>
      </c>
      <c r="F134" s="25" t="str">
        <f>F133</f>
        <v>TRAPASLDTDMD</v>
      </c>
      <c r="G134" s="25" t="str">
        <f>G133</f>
        <v>TRAPASLDTDMD</v>
      </c>
      <c r="H134" s="26">
        <v>2050</v>
      </c>
      <c r="I134" s="26"/>
      <c r="J134" s="27" t="e">
        <f>1-(J133*-1)</f>
        <v>#DIV/0!</v>
      </c>
      <c r="K134" s="26"/>
      <c r="L134" s="26"/>
      <c r="N134" s="28"/>
    </row>
    <row r="135" spans="1:14" x14ac:dyDescent="0.25">
      <c r="A135">
        <f>A125+1</f>
        <v>14</v>
      </c>
      <c r="C135" s="15" t="str">
        <f>IF(E135="","",IF(SUMIFS('TRA TECH'!M:M,'TRA TECH'!J:J,D136,'TRA TECH'!I:I,F136,'TRA TECH'!H:H,E136)=0,"*",IF(_xlfn.XLOOKUP($A135,Selected_constraint!$A:$A,Selected_constraint!$D:$D)=1,"*",IF(SUMIFS('TRA TECH'!$M:$M,'TRA TECH'!$H:$H,E135,'TRA TECH'!$I:$I,F135)=0,"*",IF(SUMIFS('TRA RESID'!$P:$P,'TRA RESID'!$I:$I,G135,'TRA RESID'!$J:$J,D135,'TRA RESID'!$H:$H,E135)=0,"*","UC_"&amp;SUBSTITUTE(D135,"*","")&amp;"_"&amp;SUBSTITUTE(D135,"*","")&amp;"_"&amp;RIGHT(E135,3)&amp;"_"&amp;F135)))))</f>
        <v>*</v>
      </c>
      <c r="D135" s="17" t="s">
        <v>485</v>
      </c>
      <c r="E135" s="17" t="str">
        <f>_xlfn.XLOOKUP($A135,Selected_constraint!$A:$A,Selected_constraint!$B:$B)</f>
        <v>TRABDS</v>
      </c>
      <c r="F135" s="17" t="str">
        <f>_xlfn.XLOOKUP($A135,Selected_constraint!$A:$A,Selected_constraint!$C:$C)</f>
        <v>TRAPASLDTDMD</v>
      </c>
      <c r="G135" s="17" t="str">
        <f>F135</f>
        <v>TRAPASLDTDMD</v>
      </c>
      <c r="H135" s="18">
        <v>2019</v>
      </c>
      <c r="I135" s="18" t="s">
        <v>484</v>
      </c>
      <c r="J135" s="29" t="e">
        <f>-SUMIFS('TRA RESID'!$P:$P,'TRA RESID'!$I:$I,G136,'TRA RESID'!$J:$J,D136,'TRA RESID'!$H:$H,E136)/(SUMIFS('TRA RESID'!$P:$P,'TRA RESID'!$I:$I,G136,'TRA RESID'!$J:$J,D136,'TRA RESID'!$H:$H,E136)+SUMIFS('TRA RESID'!$P:$P,'TRA RESID'!$I:$I,G135,'TRA RESID'!$J:$J,D135,'TRA RESID'!$H:$H,E135))</f>
        <v>#DIV/0!</v>
      </c>
      <c r="K135" s="18">
        <v>0</v>
      </c>
      <c r="L135" s="18">
        <v>5</v>
      </c>
      <c r="N135" s="21">
        <v>1</v>
      </c>
    </row>
    <row r="136" spans="1:14" x14ac:dyDescent="0.25">
      <c r="C136" s="15" t="str">
        <f t="shared" ref="C136:C144" si="13">IF(C135="*",C135,"")</f>
        <v>*</v>
      </c>
      <c r="D136" s="17" t="s">
        <v>487</v>
      </c>
      <c r="E136" s="17" t="str">
        <f>E135</f>
        <v>TRABDS</v>
      </c>
      <c r="F136" s="17" t="str">
        <f>F135</f>
        <v>TRAPASLDTDMD</v>
      </c>
      <c r="G136" s="17" t="str">
        <f>G135</f>
        <v>TRAPASLDTDMD</v>
      </c>
      <c r="H136" s="18">
        <v>2019</v>
      </c>
      <c r="I136" s="18"/>
      <c r="J136" s="20" t="e">
        <f>1-(J135*-1)</f>
        <v>#DIV/0!</v>
      </c>
      <c r="K136" s="18"/>
      <c r="L136" s="18"/>
      <c r="N136" s="21"/>
    </row>
    <row r="137" spans="1:14" x14ac:dyDescent="0.25">
      <c r="C137" s="15" t="str">
        <f t="shared" si="13"/>
        <v>*</v>
      </c>
      <c r="D137" s="17" t="str">
        <f>D135</f>
        <v>*ICEV*</v>
      </c>
      <c r="E137" s="17" t="str">
        <f>E135</f>
        <v>TRABDS</v>
      </c>
      <c r="F137" s="17" t="str">
        <f>F135</f>
        <v>TRAPASLDTDMD</v>
      </c>
      <c r="G137" s="17" t="str">
        <f>G135</f>
        <v>TRAPASLDTDMD</v>
      </c>
      <c r="H137" s="18">
        <v>2025</v>
      </c>
      <c r="I137" s="18"/>
      <c r="J137" s="29" t="e">
        <f>IF(J135=0,-N137+1,J135*N137)</f>
        <v>#DIV/0!</v>
      </c>
      <c r="K137" s="18"/>
      <c r="L137" s="18"/>
      <c r="N137" s="21">
        <v>1.1000000000000001</v>
      </c>
    </row>
    <row r="138" spans="1:14" x14ac:dyDescent="0.25">
      <c r="C138" s="15" t="str">
        <f t="shared" si="13"/>
        <v>*</v>
      </c>
      <c r="D138" s="17" t="s">
        <v>487</v>
      </c>
      <c r="E138" s="17" t="str">
        <f>E137</f>
        <v>TRABDS</v>
      </c>
      <c r="F138" s="17" t="str">
        <f>F137</f>
        <v>TRAPASLDTDMD</v>
      </c>
      <c r="G138" s="17" t="str">
        <f>G137</f>
        <v>TRAPASLDTDMD</v>
      </c>
      <c r="H138" s="18">
        <v>2025</v>
      </c>
      <c r="I138" s="18"/>
      <c r="J138" s="20" t="e">
        <f>1-(J137*-1)</f>
        <v>#DIV/0!</v>
      </c>
      <c r="K138" s="18"/>
      <c r="L138" s="18"/>
      <c r="N138" s="21"/>
    </row>
    <row r="139" spans="1:14" x14ac:dyDescent="0.25">
      <c r="C139" s="15" t="str">
        <f t="shared" si="13"/>
        <v>*</v>
      </c>
      <c r="D139" s="17" t="str">
        <f>D137</f>
        <v>*ICEV*</v>
      </c>
      <c r="E139" s="17" t="str">
        <f>E137</f>
        <v>TRABDS</v>
      </c>
      <c r="F139" s="17" t="str">
        <f>F137</f>
        <v>TRAPASLDTDMD</v>
      </c>
      <c r="G139" s="17" t="str">
        <f>G137</f>
        <v>TRAPASLDTDMD</v>
      </c>
      <c r="H139" s="18">
        <v>2030</v>
      </c>
      <c r="I139" s="18"/>
      <c r="J139" s="29" t="e">
        <f>IF(J135=0,-N139+1,J135*N139)</f>
        <v>#DIV/0!</v>
      </c>
      <c r="K139" s="18"/>
      <c r="L139" s="18"/>
      <c r="N139" s="21">
        <v>1.2</v>
      </c>
    </row>
    <row r="140" spans="1:14" x14ac:dyDescent="0.25">
      <c r="C140" s="15" t="str">
        <f t="shared" si="13"/>
        <v>*</v>
      </c>
      <c r="D140" s="17" t="s">
        <v>487</v>
      </c>
      <c r="E140" s="17" t="str">
        <f>E139</f>
        <v>TRABDS</v>
      </c>
      <c r="F140" s="17" t="str">
        <f>F139</f>
        <v>TRAPASLDTDMD</v>
      </c>
      <c r="G140" s="17" t="str">
        <f>G139</f>
        <v>TRAPASLDTDMD</v>
      </c>
      <c r="H140" s="18">
        <v>2030</v>
      </c>
      <c r="I140" s="18"/>
      <c r="J140" s="20" t="e">
        <f>1-(J139*-1)</f>
        <v>#DIV/0!</v>
      </c>
      <c r="K140" s="18"/>
      <c r="L140" s="18"/>
      <c r="N140" s="21"/>
    </row>
    <row r="141" spans="1:14" x14ac:dyDescent="0.25">
      <c r="C141" s="15" t="str">
        <f t="shared" si="13"/>
        <v>*</v>
      </c>
      <c r="D141" s="17" t="str">
        <f>D139</f>
        <v>*ICEV*</v>
      </c>
      <c r="E141" s="17" t="str">
        <f>E139</f>
        <v>TRABDS</v>
      </c>
      <c r="F141" s="17" t="str">
        <f>F139</f>
        <v>TRAPASLDTDMD</v>
      </c>
      <c r="G141" s="17" t="str">
        <f>G139</f>
        <v>TRAPASLDTDMD</v>
      </c>
      <c r="H141" s="18">
        <v>2040</v>
      </c>
      <c r="I141" s="18"/>
      <c r="J141" s="29" t="e">
        <f>IF(J135=0,-N141+1,J135*N141)</f>
        <v>#DIV/0!</v>
      </c>
      <c r="K141" s="18"/>
      <c r="L141" s="18"/>
      <c r="N141" s="21">
        <v>1.3</v>
      </c>
    </row>
    <row r="142" spans="1:14" x14ac:dyDescent="0.25">
      <c r="C142" s="15" t="str">
        <f t="shared" si="13"/>
        <v>*</v>
      </c>
      <c r="D142" s="17" t="s">
        <v>487</v>
      </c>
      <c r="E142" s="17" t="str">
        <f>E141</f>
        <v>TRABDS</v>
      </c>
      <c r="F142" s="17" t="str">
        <f>F141</f>
        <v>TRAPASLDTDMD</v>
      </c>
      <c r="G142" s="17" t="str">
        <f>G141</f>
        <v>TRAPASLDTDMD</v>
      </c>
      <c r="H142" s="18">
        <v>2040</v>
      </c>
      <c r="I142" s="18"/>
      <c r="J142" s="20" t="e">
        <f>1-(J141*-1)</f>
        <v>#DIV/0!</v>
      </c>
      <c r="K142" s="18"/>
      <c r="L142" s="18"/>
      <c r="N142" s="21"/>
    </row>
    <row r="143" spans="1:14" x14ac:dyDescent="0.25">
      <c r="C143" s="15" t="str">
        <f t="shared" si="13"/>
        <v>*</v>
      </c>
      <c r="D143" s="17" t="str">
        <f>D141</f>
        <v>*ICEV*</v>
      </c>
      <c r="E143" s="17" t="str">
        <f>E141</f>
        <v>TRABDS</v>
      </c>
      <c r="F143" s="17" t="str">
        <f>F141</f>
        <v>TRAPASLDTDMD</v>
      </c>
      <c r="G143" s="17" t="str">
        <f>G141</f>
        <v>TRAPASLDTDMD</v>
      </c>
      <c r="H143" s="18">
        <v>2050</v>
      </c>
      <c r="I143" s="18"/>
      <c r="J143" s="29" t="e">
        <f>IF(J135=0,-N143+1,J135*N143)</f>
        <v>#DIV/0!</v>
      </c>
      <c r="K143" s="18"/>
      <c r="L143" s="18"/>
      <c r="N143" s="21">
        <v>1.4</v>
      </c>
    </row>
    <row r="144" spans="1:14" x14ac:dyDescent="0.25">
      <c r="C144" s="23" t="str">
        <f t="shared" si="13"/>
        <v>*</v>
      </c>
      <c r="D144" s="25" t="s">
        <v>487</v>
      </c>
      <c r="E144" s="25" t="str">
        <f>E143</f>
        <v>TRABDS</v>
      </c>
      <c r="F144" s="25" t="str">
        <f>F143</f>
        <v>TRAPASLDTDMD</v>
      </c>
      <c r="G144" s="25" t="str">
        <f>G143</f>
        <v>TRAPASLDTDMD</v>
      </c>
      <c r="H144" s="26">
        <v>2050</v>
      </c>
      <c r="I144" s="26"/>
      <c r="J144" s="27" t="e">
        <f>1-(J143*-1)</f>
        <v>#DIV/0!</v>
      </c>
      <c r="K144" s="26"/>
      <c r="L144" s="26"/>
      <c r="N144" s="28"/>
    </row>
    <row r="145" spans="1:14" x14ac:dyDescent="0.25">
      <c r="A145">
        <f>A135+1</f>
        <v>15</v>
      </c>
      <c r="C145" s="15" t="str">
        <f>IF(E145="","",IF(SUMIFS('TRA TECH'!M:M,'TRA TECH'!J:J,D146,'TRA TECH'!I:I,F146,'TRA TECH'!H:H,E146)=0,"*",IF(_xlfn.XLOOKUP($A145,Selected_constraint!$A:$A,Selected_constraint!$D:$D)=1,"*",IF(SUMIFS('TRA TECH'!$M:$M,'TRA TECH'!$H:$H,E145,'TRA TECH'!$I:$I,F145)=0,"*",IF(SUMIFS('TRA RESID'!$P:$P,'TRA RESID'!$I:$I,G145,'TRA RESID'!$J:$J,D145,'TRA RESID'!$H:$H,E145)=0,"*","UC_"&amp;SUBSTITUTE(D145,"*","")&amp;"_"&amp;SUBSTITUTE(D145,"*","")&amp;"_"&amp;RIGHT(E145,3)&amp;"_"&amp;F145)))))</f>
        <v>*</v>
      </c>
      <c r="D145" s="17" t="s">
        <v>485</v>
      </c>
      <c r="E145" s="17" t="str">
        <f>_xlfn.XLOOKUP($A145,Selected_constraint!$A:$A,Selected_constraint!$B:$B)</f>
        <v>TRACNG</v>
      </c>
      <c r="F145" s="17" t="str">
        <f>_xlfn.XLOOKUP($A145,Selected_constraint!$A:$A,Selected_constraint!$C:$C)</f>
        <v>TRAPASLDTDMD</v>
      </c>
      <c r="G145" s="17" t="str">
        <f>F145</f>
        <v>TRAPASLDTDMD</v>
      </c>
      <c r="H145" s="18">
        <v>2019</v>
      </c>
      <c r="I145" s="18" t="s">
        <v>484</v>
      </c>
      <c r="J145" s="29" t="e">
        <f>-SUMIFS('TRA RESID'!$P:$P,'TRA RESID'!$I:$I,G146,'TRA RESID'!$J:$J,D146,'TRA RESID'!$H:$H,E146)/(SUMIFS('TRA RESID'!$P:$P,'TRA RESID'!$I:$I,G146,'TRA RESID'!$J:$J,D146,'TRA RESID'!$H:$H,E146)+SUMIFS('TRA RESID'!$P:$P,'TRA RESID'!$I:$I,G145,'TRA RESID'!$J:$J,D145,'TRA RESID'!$H:$H,E145))</f>
        <v>#DIV/0!</v>
      </c>
      <c r="K145" s="18">
        <v>0</v>
      </c>
      <c r="L145" s="18">
        <v>5</v>
      </c>
      <c r="N145" s="21">
        <v>1</v>
      </c>
    </row>
    <row r="146" spans="1:14" x14ac:dyDescent="0.25">
      <c r="C146" s="15" t="str">
        <f t="shared" ref="C146:C154" si="14">IF(C145="*",C145,"")</f>
        <v>*</v>
      </c>
      <c r="D146" s="17" t="s">
        <v>487</v>
      </c>
      <c r="E146" s="17" t="str">
        <f>E145</f>
        <v>TRACNG</v>
      </c>
      <c r="F146" s="17" t="str">
        <f>F145</f>
        <v>TRAPASLDTDMD</v>
      </c>
      <c r="G146" s="17" t="str">
        <f>G145</f>
        <v>TRAPASLDTDMD</v>
      </c>
      <c r="H146" s="18">
        <v>2019</v>
      </c>
      <c r="I146" s="18"/>
      <c r="J146" s="20" t="e">
        <f>1-(J145*-1)</f>
        <v>#DIV/0!</v>
      </c>
      <c r="K146" s="18"/>
      <c r="L146" s="18"/>
      <c r="N146" s="21"/>
    </row>
    <row r="147" spans="1:14" x14ac:dyDescent="0.25">
      <c r="C147" s="15" t="str">
        <f t="shared" si="14"/>
        <v>*</v>
      </c>
      <c r="D147" s="17" t="str">
        <f>D145</f>
        <v>*ICEV*</v>
      </c>
      <c r="E147" s="17" t="str">
        <f>E145</f>
        <v>TRACNG</v>
      </c>
      <c r="F147" s="17" t="str">
        <f>F145</f>
        <v>TRAPASLDTDMD</v>
      </c>
      <c r="G147" s="17" t="str">
        <f>G145</f>
        <v>TRAPASLDTDMD</v>
      </c>
      <c r="H147" s="18">
        <v>2025</v>
      </c>
      <c r="I147" s="18"/>
      <c r="J147" s="29" t="e">
        <f>IF(J145=0,-N147+1,J145*N147)</f>
        <v>#DIV/0!</v>
      </c>
      <c r="K147" s="18"/>
      <c r="L147" s="18"/>
      <c r="N147" s="21">
        <v>1.1000000000000001</v>
      </c>
    </row>
    <row r="148" spans="1:14" x14ac:dyDescent="0.25">
      <c r="C148" s="15" t="str">
        <f t="shared" si="14"/>
        <v>*</v>
      </c>
      <c r="D148" s="17" t="s">
        <v>487</v>
      </c>
      <c r="E148" s="17" t="str">
        <f>E147</f>
        <v>TRACNG</v>
      </c>
      <c r="F148" s="17" t="str">
        <f>F147</f>
        <v>TRAPASLDTDMD</v>
      </c>
      <c r="G148" s="17" t="str">
        <f>G147</f>
        <v>TRAPASLDTDMD</v>
      </c>
      <c r="H148" s="18">
        <v>2025</v>
      </c>
      <c r="I148" s="18"/>
      <c r="J148" s="20" t="e">
        <f>1-(J147*-1)</f>
        <v>#DIV/0!</v>
      </c>
      <c r="K148" s="18"/>
      <c r="L148" s="18"/>
      <c r="N148" s="21"/>
    </row>
    <row r="149" spans="1:14" x14ac:dyDescent="0.25">
      <c r="C149" s="15" t="str">
        <f t="shared" si="14"/>
        <v>*</v>
      </c>
      <c r="D149" s="17" t="str">
        <f>D147</f>
        <v>*ICEV*</v>
      </c>
      <c r="E149" s="17" t="str">
        <f>E147</f>
        <v>TRACNG</v>
      </c>
      <c r="F149" s="17" t="str">
        <f>F147</f>
        <v>TRAPASLDTDMD</v>
      </c>
      <c r="G149" s="17" t="str">
        <f>G147</f>
        <v>TRAPASLDTDMD</v>
      </c>
      <c r="H149" s="18">
        <v>2030</v>
      </c>
      <c r="I149" s="18"/>
      <c r="J149" s="29" t="e">
        <f>IF(J145=0,-N149+1,J145*N149)</f>
        <v>#DIV/0!</v>
      </c>
      <c r="K149" s="18"/>
      <c r="L149" s="18"/>
      <c r="N149" s="21">
        <v>1.2</v>
      </c>
    </row>
    <row r="150" spans="1:14" x14ac:dyDescent="0.25">
      <c r="C150" s="15" t="str">
        <f t="shared" si="14"/>
        <v>*</v>
      </c>
      <c r="D150" s="17" t="s">
        <v>487</v>
      </c>
      <c r="E150" s="17" t="str">
        <f>E149</f>
        <v>TRACNG</v>
      </c>
      <c r="F150" s="17" t="str">
        <f>F149</f>
        <v>TRAPASLDTDMD</v>
      </c>
      <c r="G150" s="17" t="str">
        <f>G149</f>
        <v>TRAPASLDTDMD</v>
      </c>
      <c r="H150" s="18">
        <v>2030</v>
      </c>
      <c r="I150" s="18"/>
      <c r="J150" s="20" t="e">
        <f>1-(J149*-1)</f>
        <v>#DIV/0!</v>
      </c>
      <c r="K150" s="18"/>
      <c r="L150" s="18"/>
      <c r="N150" s="21"/>
    </row>
    <row r="151" spans="1:14" x14ac:dyDescent="0.25">
      <c r="C151" s="15" t="str">
        <f t="shared" si="14"/>
        <v>*</v>
      </c>
      <c r="D151" s="17" t="str">
        <f>D149</f>
        <v>*ICEV*</v>
      </c>
      <c r="E151" s="17" t="str">
        <f>E149</f>
        <v>TRACNG</v>
      </c>
      <c r="F151" s="17" t="str">
        <f>F149</f>
        <v>TRAPASLDTDMD</v>
      </c>
      <c r="G151" s="17" t="str">
        <f>G149</f>
        <v>TRAPASLDTDMD</v>
      </c>
      <c r="H151" s="18">
        <v>2040</v>
      </c>
      <c r="I151" s="18"/>
      <c r="J151" s="29" t="e">
        <f>IF(J145=0,-N151+1,J145*N151)</f>
        <v>#DIV/0!</v>
      </c>
      <c r="K151" s="18"/>
      <c r="L151" s="18"/>
      <c r="N151" s="21">
        <v>1.3</v>
      </c>
    </row>
    <row r="152" spans="1:14" x14ac:dyDescent="0.25">
      <c r="C152" s="15" t="str">
        <f t="shared" si="14"/>
        <v>*</v>
      </c>
      <c r="D152" s="17" t="s">
        <v>487</v>
      </c>
      <c r="E152" s="17" t="str">
        <f>E151</f>
        <v>TRACNG</v>
      </c>
      <c r="F152" s="17" t="str">
        <f>F151</f>
        <v>TRAPASLDTDMD</v>
      </c>
      <c r="G152" s="17" t="str">
        <f>G151</f>
        <v>TRAPASLDTDMD</v>
      </c>
      <c r="H152" s="18">
        <v>2040</v>
      </c>
      <c r="I152" s="18"/>
      <c r="J152" s="20" t="e">
        <f>1-(J151*-1)</f>
        <v>#DIV/0!</v>
      </c>
      <c r="K152" s="18"/>
      <c r="L152" s="18"/>
      <c r="N152" s="21"/>
    </row>
    <row r="153" spans="1:14" x14ac:dyDescent="0.25">
      <c r="C153" s="15" t="str">
        <f t="shared" si="14"/>
        <v>*</v>
      </c>
      <c r="D153" s="17" t="str">
        <f>D151</f>
        <v>*ICEV*</v>
      </c>
      <c r="E153" s="17" t="str">
        <f>E151</f>
        <v>TRACNG</v>
      </c>
      <c r="F153" s="17" t="str">
        <f>F151</f>
        <v>TRAPASLDTDMD</v>
      </c>
      <c r="G153" s="17" t="str">
        <f>G151</f>
        <v>TRAPASLDTDMD</v>
      </c>
      <c r="H153" s="18">
        <v>2050</v>
      </c>
      <c r="I153" s="18"/>
      <c r="J153" s="29" t="e">
        <f>IF(J145=0,-N153+1,J145*N153)</f>
        <v>#DIV/0!</v>
      </c>
      <c r="K153" s="18"/>
      <c r="L153" s="18"/>
      <c r="N153" s="21">
        <v>1.4</v>
      </c>
    </row>
    <row r="154" spans="1:14" x14ac:dyDescent="0.25">
      <c r="C154" s="23" t="str">
        <f t="shared" si="14"/>
        <v>*</v>
      </c>
      <c r="D154" s="25" t="s">
        <v>487</v>
      </c>
      <c r="E154" s="25" t="str">
        <f>E153</f>
        <v>TRACNG</v>
      </c>
      <c r="F154" s="25" t="str">
        <f>F153</f>
        <v>TRAPASLDTDMD</v>
      </c>
      <c r="G154" s="25" t="str">
        <f>G153</f>
        <v>TRAPASLDTDMD</v>
      </c>
      <c r="H154" s="26">
        <v>2050</v>
      </c>
      <c r="I154" s="26"/>
      <c r="J154" s="27" t="e">
        <f>1-(J153*-1)</f>
        <v>#DIV/0!</v>
      </c>
      <c r="K154" s="26"/>
      <c r="L154" s="26"/>
      <c r="N154" s="28"/>
    </row>
    <row r="155" spans="1:14" x14ac:dyDescent="0.25">
      <c r="A155">
        <f>A145+1</f>
        <v>16</v>
      </c>
      <c r="C155" s="15" t="str">
        <f>IF(E155="","",IF(SUMIFS('TRA TECH'!M:M,'TRA TECH'!J:J,D156,'TRA TECH'!I:I,F156,'TRA TECH'!H:H,E156)=0,"*",IF(_xlfn.XLOOKUP($A155,Selected_constraint!$A:$A,Selected_constraint!$D:$D)=1,"*",IF(SUMIFS('TRA TECH'!$M:$M,'TRA TECH'!$H:$H,E155,'TRA TECH'!$I:$I,F155)=0,"*",IF(SUMIFS('TRA RESID'!$P:$P,'TRA RESID'!$I:$I,G155,'TRA RESID'!$J:$J,D155,'TRA RESID'!$H:$H,E155)=0,"*","UC_"&amp;SUBSTITUTE(D155,"*","")&amp;"_"&amp;SUBSTITUTE(D155,"*","")&amp;"_"&amp;RIGHT(E155,3)&amp;"_"&amp;F155)))))</f>
        <v>*</v>
      </c>
      <c r="D155" s="17" t="s">
        <v>485</v>
      </c>
      <c r="E155" s="17" t="str">
        <f>_xlfn.XLOOKUP($A155,Selected_constraint!$A:$A,Selected_constraint!$B:$B)</f>
        <v>TRARNG</v>
      </c>
      <c r="F155" s="17" t="str">
        <f>_xlfn.XLOOKUP($A155,Selected_constraint!$A:$A,Selected_constraint!$C:$C)</f>
        <v>TRAPASLDTDMD</v>
      </c>
      <c r="G155" s="17" t="str">
        <f>F155</f>
        <v>TRAPASLDTDMD</v>
      </c>
      <c r="H155" s="18">
        <v>2019</v>
      </c>
      <c r="I155" s="18" t="s">
        <v>484</v>
      </c>
      <c r="J155" s="29" t="e">
        <f>-SUMIFS('TRA RESID'!$P:$P,'TRA RESID'!$I:$I,G156,'TRA RESID'!$J:$J,D156,'TRA RESID'!$H:$H,E156)/(SUMIFS('TRA RESID'!$P:$P,'TRA RESID'!$I:$I,G156,'TRA RESID'!$J:$J,D156,'TRA RESID'!$H:$H,E156)+SUMIFS('TRA RESID'!$P:$P,'TRA RESID'!$I:$I,G155,'TRA RESID'!$J:$J,D155,'TRA RESID'!$H:$H,E155))</f>
        <v>#DIV/0!</v>
      </c>
      <c r="K155" s="18">
        <v>0</v>
      </c>
      <c r="L155" s="18">
        <v>5</v>
      </c>
      <c r="N155" s="21">
        <v>1</v>
      </c>
    </row>
    <row r="156" spans="1:14" x14ac:dyDescent="0.25">
      <c r="C156" s="15" t="str">
        <f t="shared" ref="C156:C164" si="15">IF(C155="*",C155,"")</f>
        <v>*</v>
      </c>
      <c r="D156" s="17" t="s">
        <v>487</v>
      </c>
      <c r="E156" s="17" t="str">
        <f>E155</f>
        <v>TRARNG</v>
      </c>
      <c r="F156" s="17" t="str">
        <f>F155</f>
        <v>TRAPASLDTDMD</v>
      </c>
      <c r="G156" s="17" t="str">
        <f>G155</f>
        <v>TRAPASLDTDMD</v>
      </c>
      <c r="H156" s="18">
        <v>2019</v>
      </c>
      <c r="I156" s="18"/>
      <c r="J156" s="20" t="e">
        <f>1-(J155*-1)</f>
        <v>#DIV/0!</v>
      </c>
      <c r="K156" s="18"/>
      <c r="L156" s="18"/>
      <c r="N156" s="21"/>
    </row>
    <row r="157" spans="1:14" x14ac:dyDescent="0.25">
      <c r="C157" s="15" t="str">
        <f t="shared" si="15"/>
        <v>*</v>
      </c>
      <c r="D157" s="17" t="str">
        <f>D155</f>
        <v>*ICEV*</v>
      </c>
      <c r="E157" s="17" t="str">
        <f>E155</f>
        <v>TRARNG</v>
      </c>
      <c r="F157" s="17" t="str">
        <f>F155</f>
        <v>TRAPASLDTDMD</v>
      </c>
      <c r="G157" s="17" t="str">
        <f>G155</f>
        <v>TRAPASLDTDMD</v>
      </c>
      <c r="H157" s="18">
        <v>2025</v>
      </c>
      <c r="I157" s="18"/>
      <c r="J157" s="29" t="e">
        <f>IF(J155=0,-N157+1,J155*N157)</f>
        <v>#DIV/0!</v>
      </c>
      <c r="K157" s="18"/>
      <c r="L157" s="18"/>
      <c r="N157" s="21">
        <v>1.1000000000000001</v>
      </c>
    </row>
    <row r="158" spans="1:14" x14ac:dyDescent="0.25">
      <c r="C158" s="15" t="str">
        <f t="shared" si="15"/>
        <v>*</v>
      </c>
      <c r="D158" s="17" t="s">
        <v>487</v>
      </c>
      <c r="E158" s="17" t="str">
        <f>E157</f>
        <v>TRARNG</v>
      </c>
      <c r="F158" s="17" t="str">
        <f>F157</f>
        <v>TRAPASLDTDMD</v>
      </c>
      <c r="G158" s="17" t="str">
        <f>G157</f>
        <v>TRAPASLDTDMD</v>
      </c>
      <c r="H158" s="18">
        <v>2025</v>
      </c>
      <c r="I158" s="18"/>
      <c r="J158" s="20" t="e">
        <f>1-(J157*-1)</f>
        <v>#DIV/0!</v>
      </c>
      <c r="K158" s="18"/>
      <c r="L158" s="18"/>
      <c r="N158" s="21"/>
    </row>
    <row r="159" spans="1:14" x14ac:dyDescent="0.25">
      <c r="C159" s="15" t="str">
        <f t="shared" si="15"/>
        <v>*</v>
      </c>
      <c r="D159" s="17" t="str">
        <f>D157</f>
        <v>*ICEV*</v>
      </c>
      <c r="E159" s="17" t="str">
        <f>E157</f>
        <v>TRARNG</v>
      </c>
      <c r="F159" s="17" t="str">
        <f>F157</f>
        <v>TRAPASLDTDMD</v>
      </c>
      <c r="G159" s="17" t="str">
        <f>G157</f>
        <v>TRAPASLDTDMD</v>
      </c>
      <c r="H159" s="18">
        <v>2030</v>
      </c>
      <c r="I159" s="18"/>
      <c r="J159" s="29" t="e">
        <f>IF(J155=0,-N159+1,J155*N159)</f>
        <v>#DIV/0!</v>
      </c>
      <c r="K159" s="18"/>
      <c r="L159" s="18"/>
      <c r="N159" s="21">
        <v>1.2</v>
      </c>
    </row>
    <row r="160" spans="1:14" x14ac:dyDescent="0.25">
      <c r="C160" s="15" t="str">
        <f t="shared" si="15"/>
        <v>*</v>
      </c>
      <c r="D160" s="17" t="s">
        <v>487</v>
      </c>
      <c r="E160" s="17" t="str">
        <f>E159</f>
        <v>TRARNG</v>
      </c>
      <c r="F160" s="17" t="str">
        <f>F159</f>
        <v>TRAPASLDTDMD</v>
      </c>
      <c r="G160" s="17" t="str">
        <f>G159</f>
        <v>TRAPASLDTDMD</v>
      </c>
      <c r="H160" s="18">
        <v>2030</v>
      </c>
      <c r="I160" s="18"/>
      <c r="J160" s="20" t="e">
        <f>1-(J159*-1)</f>
        <v>#DIV/0!</v>
      </c>
      <c r="K160" s="18"/>
      <c r="L160" s="18"/>
      <c r="N160" s="21"/>
    </row>
    <row r="161" spans="1:14" x14ac:dyDescent="0.25">
      <c r="C161" s="15" t="str">
        <f t="shared" si="15"/>
        <v>*</v>
      </c>
      <c r="D161" s="17" t="str">
        <f>D159</f>
        <v>*ICEV*</v>
      </c>
      <c r="E161" s="17" t="str">
        <f>E159</f>
        <v>TRARNG</v>
      </c>
      <c r="F161" s="17" t="str">
        <f>F159</f>
        <v>TRAPASLDTDMD</v>
      </c>
      <c r="G161" s="17" t="str">
        <f>G159</f>
        <v>TRAPASLDTDMD</v>
      </c>
      <c r="H161" s="18">
        <v>2040</v>
      </c>
      <c r="I161" s="18"/>
      <c r="J161" s="29" t="e">
        <f>IF(J155=0,-N161+1,J155*N161)</f>
        <v>#DIV/0!</v>
      </c>
      <c r="K161" s="18"/>
      <c r="L161" s="18"/>
      <c r="N161" s="21">
        <v>1.3</v>
      </c>
    </row>
    <row r="162" spans="1:14" x14ac:dyDescent="0.25">
      <c r="C162" s="15" t="str">
        <f t="shared" si="15"/>
        <v>*</v>
      </c>
      <c r="D162" s="17" t="s">
        <v>487</v>
      </c>
      <c r="E162" s="17" t="str">
        <f>E161</f>
        <v>TRARNG</v>
      </c>
      <c r="F162" s="17" t="str">
        <f>F161</f>
        <v>TRAPASLDTDMD</v>
      </c>
      <c r="G162" s="17" t="str">
        <f>G161</f>
        <v>TRAPASLDTDMD</v>
      </c>
      <c r="H162" s="18">
        <v>2040</v>
      </c>
      <c r="I162" s="18"/>
      <c r="J162" s="20" t="e">
        <f>1-(J161*-1)</f>
        <v>#DIV/0!</v>
      </c>
      <c r="K162" s="18"/>
      <c r="L162" s="18"/>
      <c r="N162" s="21"/>
    </row>
    <row r="163" spans="1:14" x14ac:dyDescent="0.25">
      <c r="C163" s="15" t="str">
        <f t="shared" si="15"/>
        <v>*</v>
      </c>
      <c r="D163" s="17" t="str">
        <f>D161</f>
        <v>*ICEV*</v>
      </c>
      <c r="E163" s="17" t="str">
        <f>E161</f>
        <v>TRARNG</v>
      </c>
      <c r="F163" s="17" t="str">
        <f>F161</f>
        <v>TRAPASLDTDMD</v>
      </c>
      <c r="G163" s="17" t="str">
        <f>G161</f>
        <v>TRAPASLDTDMD</v>
      </c>
      <c r="H163" s="18">
        <v>2050</v>
      </c>
      <c r="I163" s="18"/>
      <c r="J163" s="29" t="e">
        <f>IF(J155=0,-N163+1,J155*N163)</f>
        <v>#DIV/0!</v>
      </c>
      <c r="K163" s="18"/>
      <c r="L163" s="18"/>
      <c r="N163" s="21">
        <v>1.4</v>
      </c>
    </row>
    <row r="164" spans="1:14" x14ac:dyDescent="0.25">
      <c r="C164" s="23" t="str">
        <f t="shared" si="15"/>
        <v>*</v>
      </c>
      <c r="D164" s="25" t="s">
        <v>487</v>
      </c>
      <c r="E164" s="25" t="str">
        <f>E163</f>
        <v>TRARNG</v>
      </c>
      <c r="F164" s="25" t="str">
        <f>F163</f>
        <v>TRAPASLDTDMD</v>
      </c>
      <c r="G164" s="25" t="str">
        <f>G163</f>
        <v>TRAPASLDTDMD</v>
      </c>
      <c r="H164" s="26">
        <v>2050</v>
      </c>
      <c r="I164" s="26"/>
      <c r="J164" s="27" t="e">
        <f>1-(J163*-1)</f>
        <v>#DIV/0!</v>
      </c>
      <c r="K164" s="26"/>
      <c r="L164" s="26"/>
      <c r="N164" s="28"/>
    </row>
    <row r="165" spans="1:14" x14ac:dyDescent="0.25">
      <c r="A165">
        <f>A155+1</f>
        <v>17</v>
      </c>
      <c r="C165" s="15" t="str">
        <f>IF(E165="","",IF(SUMIFS('TRA TECH'!M:M,'TRA TECH'!J:J,D166,'TRA TECH'!I:I,F166,'TRA TECH'!H:H,E166)=0,"*",IF(_xlfn.XLOOKUP($A165,Selected_constraint!$A:$A,Selected_constraint!$D:$D)=1,"*",IF(SUMIFS('TRA TECH'!$M:$M,'TRA TECH'!$H:$H,E165,'TRA TECH'!$I:$I,F165)=0,"*",IF(SUMIFS('TRA RESID'!$P:$P,'TRA RESID'!$I:$I,G165,'TRA RESID'!$J:$J,D165,'TRA RESID'!$H:$H,E165)=0,"*","UC_"&amp;SUBSTITUTE(D165,"*","")&amp;"_"&amp;SUBSTITUTE(D165,"*","")&amp;"_"&amp;RIGHT(E165,3)&amp;"_"&amp;F165)))))</f>
        <v>*</v>
      </c>
      <c r="D165" s="17" t="s">
        <v>485</v>
      </c>
      <c r="E165" s="17" t="str">
        <f>_xlfn.XLOOKUP($A165,Selected_constraint!$A:$A,Selected_constraint!$B:$B)</f>
        <v>TRABAT</v>
      </c>
      <c r="F165" s="17" t="str">
        <f>_xlfn.XLOOKUP($A165,Selected_constraint!$A:$A,Selected_constraint!$C:$C)</f>
        <v>TRAPASLDTDMD</v>
      </c>
      <c r="G165" s="17" t="str">
        <f>F165</f>
        <v>TRAPASLDTDMD</v>
      </c>
      <c r="H165" s="18">
        <v>2019</v>
      </c>
      <c r="I165" s="18" t="s">
        <v>484</v>
      </c>
      <c r="J165" s="29" t="e">
        <f>-SUMIFS('TRA RESID'!$P:$P,'TRA RESID'!$I:$I,G166,'TRA RESID'!$J:$J,D166,'TRA RESID'!$H:$H,E166)/(SUMIFS('TRA RESID'!$P:$P,'TRA RESID'!$I:$I,G166,'TRA RESID'!$J:$J,D166,'TRA RESID'!$H:$H,E166)+SUMIFS('TRA RESID'!$P:$P,'TRA RESID'!$I:$I,G165,'TRA RESID'!$J:$J,D165,'TRA RESID'!$H:$H,E165))</f>
        <v>#DIV/0!</v>
      </c>
      <c r="K165" s="18">
        <v>0</v>
      </c>
      <c r="L165" s="18">
        <v>5</v>
      </c>
      <c r="N165" s="21">
        <v>1</v>
      </c>
    </row>
    <row r="166" spans="1:14" x14ac:dyDescent="0.25">
      <c r="C166" s="15" t="str">
        <f t="shared" ref="C166:C174" si="16">IF(C165="*",C165,"")</f>
        <v>*</v>
      </c>
      <c r="D166" s="17" t="s">
        <v>487</v>
      </c>
      <c r="E166" s="17" t="str">
        <f>E165</f>
        <v>TRABAT</v>
      </c>
      <c r="F166" s="17" t="str">
        <f>F165</f>
        <v>TRAPASLDTDMD</v>
      </c>
      <c r="G166" s="17" t="str">
        <f>G165</f>
        <v>TRAPASLDTDMD</v>
      </c>
      <c r="H166" s="18">
        <v>2019</v>
      </c>
      <c r="I166" s="18"/>
      <c r="J166" s="20" t="e">
        <f>1-(J165*-1)</f>
        <v>#DIV/0!</v>
      </c>
      <c r="K166" s="18"/>
      <c r="L166" s="18"/>
      <c r="N166" s="21"/>
    </row>
    <row r="167" spans="1:14" x14ac:dyDescent="0.25">
      <c r="C167" s="15" t="str">
        <f t="shared" si="16"/>
        <v>*</v>
      </c>
      <c r="D167" s="17" t="str">
        <f>D165</f>
        <v>*ICEV*</v>
      </c>
      <c r="E167" s="17" t="str">
        <f>E165</f>
        <v>TRABAT</v>
      </c>
      <c r="F167" s="17" t="str">
        <f>F165</f>
        <v>TRAPASLDTDMD</v>
      </c>
      <c r="G167" s="17" t="str">
        <f>G165</f>
        <v>TRAPASLDTDMD</v>
      </c>
      <c r="H167" s="18">
        <v>2025</v>
      </c>
      <c r="I167" s="18"/>
      <c r="J167" s="29" t="e">
        <f>IF(J165=0,-N167+1,J165*N167)</f>
        <v>#DIV/0!</v>
      </c>
      <c r="K167" s="18"/>
      <c r="L167" s="18"/>
      <c r="N167" s="21">
        <v>1.1000000000000001</v>
      </c>
    </row>
    <row r="168" spans="1:14" x14ac:dyDescent="0.25">
      <c r="C168" s="15" t="str">
        <f t="shared" si="16"/>
        <v>*</v>
      </c>
      <c r="D168" s="17" t="s">
        <v>487</v>
      </c>
      <c r="E168" s="17" t="str">
        <f>E167</f>
        <v>TRABAT</v>
      </c>
      <c r="F168" s="17" t="str">
        <f>F167</f>
        <v>TRAPASLDTDMD</v>
      </c>
      <c r="G168" s="17" t="str">
        <f>G167</f>
        <v>TRAPASLDTDMD</v>
      </c>
      <c r="H168" s="18">
        <v>2025</v>
      </c>
      <c r="I168" s="18"/>
      <c r="J168" s="20" t="e">
        <f>1-(J167*-1)</f>
        <v>#DIV/0!</v>
      </c>
      <c r="K168" s="18"/>
      <c r="L168" s="18"/>
      <c r="N168" s="21"/>
    </row>
    <row r="169" spans="1:14" x14ac:dyDescent="0.25">
      <c r="C169" s="15" t="str">
        <f t="shared" si="16"/>
        <v>*</v>
      </c>
      <c r="D169" s="17" t="str">
        <f>D167</f>
        <v>*ICEV*</v>
      </c>
      <c r="E169" s="17" t="str">
        <f>E167</f>
        <v>TRABAT</v>
      </c>
      <c r="F169" s="17" t="str">
        <f>F167</f>
        <v>TRAPASLDTDMD</v>
      </c>
      <c r="G169" s="17" t="str">
        <f>G167</f>
        <v>TRAPASLDTDMD</v>
      </c>
      <c r="H169" s="18">
        <v>2030</v>
      </c>
      <c r="I169" s="18"/>
      <c r="J169" s="29" t="e">
        <f>IF(J165=0,-N169+1,J165*N169)</f>
        <v>#DIV/0!</v>
      </c>
      <c r="K169" s="18"/>
      <c r="L169" s="18"/>
      <c r="N169" s="21">
        <v>1.2</v>
      </c>
    </row>
    <row r="170" spans="1:14" x14ac:dyDescent="0.25">
      <c r="C170" s="15" t="str">
        <f t="shared" si="16"/>
        <v>*</v>
      </c>
      <c r="D170" s="17" t="s">
        <v>487</v>
      </c>
      <c r="E170" s="17" t="str">
        <f>E169</f>
        <v>TRABAT</v>
      </c>
      <c r="F170" s="17" t="str">
        <f>F169</f>
        <v>TRAPASLDTDMD</v>
      </c>
      <c r="G170" s="17" t="str">
        <f>G169</f>
        <v>TRAPASLDTDMD</v>
      </c>
      <c r="H170" s="18">
        <v>2030</v>
      </c>
      <c r="I170" s="18"/>
      <c r="J170" s="20" t="e">
        <f>1-(J169*-1)</f>
        <v>#DIV/0!</v>
      </c>
      <c r="K170" s="18"/>
      <c r="L170" s="18"/>
      <c r="N170" s="21"/>
    </row>
    <row r="171" spans="1:14" x14ac:dyDescent="0.25">
      <c r="C171" s="15" t="str">
        <f t="shared" si="16"/>
        <v>*</v>
      </c>
      <c r="D171" s="17" t="str">
        <f>D169</f>
        <v>*ICEV*</v>
      </c>
      <c r="E171" s="17" t="str">
        <f>E169</f>
        <v>TRABAT</v>
      </c>
      <c r="F171" s="17" t="str">
        <f>F169</f>
        <v>TRAPASLDTDMD</v>
      </c>
      <c r="G171" s="17" t="str">
        <f>G169</f>
        <v>TRAPASLDTDMD</v>
      </c>
      <c r="H171" s="18">
        <v>2040</v>
      </c>
      <c r="I171" s="18"/>
      <c r="J171" s="29" t="e">
        <f>IF(J165=0,-N171+1,J165*N171)</f>
        <v>#DIV/0!</v>
      </c>
      <c r="K171" s="18"/>
      <c r="L171" s="18"/>
      <c r="N171" s="21">
        <v>1.3</v>
      </c>
    </row>
    <row r="172" spans="1:14" x14ac:dyDescent="0.25">
      <c r="C172" s="15" t="str">
        <f t="shared" si="16"/>
        <v>*</v>
      </c>
      <c r="D172" s="17" t="s">
        <v>487</v>
      </c>
      <c r="E172" s="17" t="str">
        <f>E171</f>
        <v>TRABAT</v>
      </c>
      <c r="F172" s="17" t="str">
        <f>F171</f>
        <v>TRAPASLDTDMD</v>
      </c>
      <c r="G172" s="17" t="str">
        <f>G171</f>
        <v>TRAPASLDTDMD</v>
      </c>
      <c r="H172" s="18">
        <v>2040</v>
      </c>
      <c r="I172" s="18"/>
      <c r="J172" s="20" t="e">
        <f>1-(J171*-1)</f>
        <v>#DIV/0!</v>
      </c>
      <c r="K172" s="18"/>
      <c r="L172" s="18"/>
      <c r="N172" s="21"/>
    </row>
    <row r="173" spans="1:14" x14ac:dyDescent="0.25">
      <c r="C173" s="15" t="str">
        <f t="shared" si="16"/>
        <v>*</v>
      </c>
      <c r="D173" s="17" t="str">
        <f>D171</f>
        <v>*ICEV*</v>
      </c>
      <c r="E173" s="17" t="str">
        <f>E171</f>
        <v>TRABAT</v>
      </c>
      <c r="F173" s="17" t="str">
        <f>F171</f>
        <v>TRAPASLDTDMD</v>
      </c>
      <c r="G173" s="17" t="str">
        <f>G171</f>
        <v>TRAPASLDTDMD</v>
      </c>
      <c r="H173" s="18">
        <v>2050</v>
      </c>
      <c r="I173" s="18"/>
      <c r="J173" s="29" t="e">
        <f>IF(J165=0,-N173+1,J165*N173)</f>
        <v>#DIV/0!</v>
      </c>
      <c r="K173" s="18"/>
      <c r="L173" s="18"/>
      <c r="N173" s="21">
        <v>1.4</v>
      </c>
    </row>
    <row r="174" spans="1:14" x14ac:dyDescent="0.25">
      <c r="C174" s="23" t="str">
        <f t="shared" si="16"/>
        <v>*</v>
      </c>
      <c r="D174" s="25" t="s">
        <v>487</v>
      </c>
      <c r="E174" s="25" t="str">
        <f>E173</f>
        <v>TRABAT</v>
      </c>
      <c r="F174" s="25" t="str">
        <f>F173</f>
        <v>TRAPASLDTDMD</v>
      </c>
      <c r="G174" s="25" t="str">
        <f>G173</f>
        <v>TRAPASLDTDMD</v>
      </c>
      <c r="H174" s="26">
        <v>2050</v>
      </c>
      <c r="I174" s="26"/>
      <c r="J174" s="27" t="e">
        <f>1-(J173*-1)</f>
        <v>#DIV/0!</v>
      </c>
      <c r="K174" s="26"/>
      <c r="L174" s="26"/>
      <c r="N174" s="28"/>
    </row>
    <row r="175" spans="1:14" x14ac:dyDescent="0.25">
      <c r="A175">
        <f>A165+1</f>
        <v>18</v>
      </c>
      <c r="C175" s="15" t="str">
        <f>IF(E175="","",IF(SUMIFS('TRA TECH'!M:M,'TRA TECH'!J:J,D176,'TRA TECH'!I:I,F176,'TRA TECH'!H:H,E176)=0,"*",IF(_xlfn.XLOOKUP($A175,Selected_constraint!$A:$A,Selected_constraint!$D:$D)=1,"*",IF(SUMIFS('TRA TECH'!$M:$M,'TRA TECH'!$H:$H,E175,'TRA TECH'!$I:$I,F175)=0,"*",IF(SUMIFS('TRA RESID'!$P:$P,'TRA RESID'!$I:$I,G175,'TRA RESID'!$J:$J,D175,'TRA RESID'!$H:$H,E175)=0,"*","UC_"&amp;SUBSTITUTE(D175,"*","")&amp;"_"&amp;SUBSTITUTE(D175,"*","")&amp;"_"&amp;RIGHT(E175,3)&amp;"_"&amp;F175)))))</f>
        <v>*</v>
      </c>
      <c r="D175" s="17" t="s">
        <v>485</v>
      </c>
      <c r="E175" s="17" t="str">
        <f>_xlfn.XLOOKUP($A175,Selected_constraint!$A:$A,Selected_constraint!$B:$B)</f>
        <v>TRAH2G</v>
      </c>
      <c r="F175" s="17" t="str">
        <f>_xlfn.XLOOKUP($A175,Selected_constraint!$A:$A,Selected_constraint!$C:$C)</f>
        <v>TRAPASLDTDMD</v>
      </c>
      <c r="G175" s="17" t="str">
        <f>F175</f>
        <v>TRAPASLDTDMD</v>
      </c>
      <c r="H175" s="18">
        <v>2019</v>
      </c>
      <c r="I175" s="18" t="s">
        <v>484</v>
      </c>
      <c r="J175" s="29" t="e">
        <f>-SUMIFS('TRA RESID'!$P:$P,'TRA RESID'!$I:$I,G176,'TRA RESID'!$J:$J,D176,'TRA RESID'!$H:$H,E176)/(SUMIFS('TRA RESID'!$P:$P,'TRA RESID'!$I:$I,G176,'TRA RESID'!$J:$J,D176,'TRA RESID'!$H:$H,E176)+SUMIFS('TRA RESID'!$P:$P,'TRA RESID'!$I:$I,G175,'TRA RESID'!$J:$J,D175,'TRA RESID'!$H:$H,E175))</f>
        <v>#DIV/0!</v>
      </c>
      <c r="K175" s="18">
        <v>0</v>
      </c>
      <c r="L175" s="18">
        <v>5</v>
      </c>
      <c r="N175" s="21">
        <v>1</v>
      </c>
    </row>
    <row r="176" spans="1:14" x14ac:dyDescent="0.25">
      <c r="C176" s="15" t="str">
        <f t="shared" ref="C176:C184" si="17">IF(C175="*",C175,"")</f>
        <v>*</v>
      </c>
      <c r="D176" s="17" t="s">
        <v>487</v>
      </c>
      <c r="E176" s="17" t="str">
        <f>E175</f>
        <v>TRAH2G</v>
      </c>
      <c r="F176" s="17" t="str">
        <f>F175</f>
        <v>TRAPASLDTDMD</v>
      </c>
      <c r="G176" s="17" t="str">
        <f>G175</f>
        <v>TRAPASLDTDMD</v>
      </c>
      <c r="H176" s="18">
        <v>2019</v>
      </c>
      <c r="I176" s="18"/>
      <c r="J176" s="20" t="e">
        <f>1-(J175*-1)</f>
        <v>#DIV/0!</v>
      </c>
      <c r="K176" s="18"/>
      <c r="L176" s="18"/>
      <c r="N176" s="21"/>
    </row>
    <row r="177" spans="1:14" x14ac:dyDescent="0.25">
      <c r="C177" s="15" t="str">
        <f t="shared" si="17"/>
        <v>*</v>
      </c>
      <c r="D177" s="17" t="str">
        <f>D175</f>
        <v>*ICEV*</v>
      </c>
      <c r="E177" s="17" t="str">
        <f>E175</f>
        <v>TRAH2G</v>
      </c>
      <c r="F177" s="17" t="str">
        <f>F175</f>
        <v>TRAPASLDTDMD</v>
      </c>
      <c r="G177" s="17" t="str">
        <f>G175</f>
        <v>TRAPASLDTDMD</v>
      </c>
      <c r="H177" s="18">
        <v>2025</v>
      </c>
      <c r="I177" s="18"/>
      <c r="J177" s="29" t="e">
        <f>IF(J175=0,-N177+1,J175*N177)</f>
        <v>#DIV/0!</v>
      </c>
      <c r="K177" s="18"/>
      <c r="L177" s="18"/>
      <c r="N177" s="21">
        <v>1.1000000000000001</v>
      </c>
    </row>
    <row r="178" spans="1:14" x14ac:dyDescent="0.25">
      <c r="C178" s="15" t="str">
        <f t="shared" si="17"/>
        <v>*</v>
      </c>
      <c r="D178" s="17" t="s">
        <v>487</v>
      </c>
      <c r="E178" s="17" t="str">
        <f>E177</f>
        <v>TRAH2G</v>
      </c>
      <c r="F178" s="17" t="str">
        <f>F177</f>
        <v>TRAPASLDTDMD</v>
      </c>
      <c r="G178" s="17" t="str">
        <f>G177</f>
        <v>TRAPASLDTDMD</v>
      </c>
      <c r="H178" s="18">
        <v>2025</v>
      </c>
      <c r="I178" s="18"/>
      <c r="J178" s="20" t="e">
        <f>1-(J177*-1)</f>
        <v>#DIV/0!</v>
      </c>
      <c r="K178" s="18"/>
      <c r="L178" s="18"/>
      <c r="N178" s="21"/>
    </row>
    <row r="179" spans="1:14" x14ac:dyDescent="0.25">
      <c r="C179" s="15" t="str">
        <f t="shared" si="17"/>
        <v>*</v>
      </c>
      <c r="D179" s="17" t="str">
        <f>D177</f>
        <v>*ICEV*</v>
      </c>
      <c r="E179" s="17" t="str">
        <f>E177</f>
        <v>TRAH2G</v>
      </c>
      <c r="F179" s="17" t="str">
        <f>F177</f>
        <v>TRAPASLDTDMD</v>
      </c>
      <c r="G179" s="17" t="str">
        <f>G177</f>
        <v>TRAPASLDTDMD</v>
      </c>
      <c r="H179" s="18">
        <v>2030</v>
      </c>
      <c r="I179" s="18"/>
      <c r="J179" s="29" t="e">
        <f>IF(J175=0,-N179+1,J175*N179)</f>
        <v>#DIV/0!</v>
      </c>
      <c r="K179" s="18"/>
      <c r="L179" s="18"/>
      <c r="N179" s="21">
        <v>1.2</v>
      </c>
    </row>
    <row r="180" spans="1:14" x14ac:dyDescent="0.25">
      <c r="C180" s="15" t="str">
        <f t="shared" si="17"/>
        <v>*</v>
      </c>
      <c r="D180" s="17" t="s">
        <v>487</v>
      </c>
      <c r="E180" s="17" t="str">
        <f>E179</f>
        <v>TRAH2G</v>
      </c>
      <c r="F180" s="17" t="str">
        <f>F179</f>
        <v>TRAPASLDTDMD</v>
      </c>
      <c r="G180" s="17" t="str">
        <f>G179</f>
        <v>TRAPASLDTDMD</v>
      </c>
      <c r="H180" s="18">
        <v>2030</v>
      </c>
      <c r="I180" s="18"/>
      <c r="J180" s="20" t="e">
        <f>1-(J179*-1)</f>
        <v>#DIV/0!</v>
      </c>
      <c r="K180" s="18"/>
      <c r="L180" s="18"/>
      <c r="N180" s="21"/>
    </row>
    <row r="181" spans="1:14" x14ac:dyDescent="0.25">
      <c r="C181" s="15" t="str">
        <f t="shared" si="17"/>
        <v>*</v>
      </c>
      <c r="D181" s="17" t="str">
        <f>D179</f>
        <v>*ICEV*</v>
      </c>
      <c r="E181" s="17" t="str">
        <f>E179</f>
        <v>TRAH2G</v>
      </c>
      <c r="F181" s="17" t="str">
        <f>F179</f>
        <v>TRAPASLDTDMD</v>
      </c>
      <c r="G181" s="17" t="str">
        <f>G179</f>
        <v>TRAPASLDTDMD</v>
      </c>
      <c r="H181" s="18">
        <v>2040</v>
      </c>
      <c r="I181" s="18"/>
      <c r="J181" s="29" t="e">
        <f>IF(J175=0,-N181+1,J175*N181)</f>
        <v>#DIV/0!</v>
      </c>
      <c r="K181" s="18"/>
      <c r="L181" s="18"/>
      <c r="N181" s="21">
        <v>1.3</v>
      </c>
    </row>
    <row r="182" spans="1:14" x14ac:dyDescent="0.25">
      <c r="C182" s="15" t="str">
        <f t="shared" si="17"/>
        <v>*</v>
      </c>
      <c r="D182" s="17" t="s">
        <v>487</v>
      </c>
      <c r="E182" s="17" t="str">
        <f>E181</f>
        <v>TRAH2G</v>
      </c>
      <c r="F182" s="17" t="str">
        <f>F181</f>
        <v>TRAPASLDTDMD</v>
      </c>
      <c r="G182" s="17" t="str">
        <f>G181</f>
        <v>TRAPASLDTDMD</v>
      </c>
      <c r="H182" s="18">
        <v>2040</v>
      </c>
      <c r="I182" s="18"/>
      <c r="J182" s="20" t="e">
        <f>1-(J181*-1)</f>
        <v>#DIV/0!</v>
      </c>
      <c r="K182" s="18"/>
      <c r="L182" s="18"/>
      <c r="N182" s="21"/>
    </row>
    <row r="183" spans="1:14" x14ac:dyDescent="0.25">
      <c r="C183" s="15" t="str">
        <f t="shared" si="17"/>
        <v>*</v>
      </c>
      <c r="D183" s="17" t="str">
        <f>D181</f>
        <v>*ICEV*</v>
      </c>
      <c r="E183" s="17" t="str">
        <f>E181</f>
        <v>TRAH2G</v>
      </c>
      <c r="F183" s="17" t="str">
        <f>F181</f>
        <v>TRAPASLDTDMD</v>
      </c>
      <c r="G183" s="17" t="str">
        <f>G181</f>
        <v>TRAPASLDTDMD</v>
      </c>
      <c r="H183" s="18">
        <v>2050</v>
      </c>
      <c r="I183" s="18"/>
      <c r="J183" s="29" t="e">
        <f>IF(J175=0,-N183+1,J175*N183)</f>
        <v>#DIV/0!</v>
      </c>
      <c r="K183" s="18"/>
      <c r="L183" s="18"/>
      <c r="N183" s="21">
        <v>1.4</v>
      </c>
    </row>
    <row r="184" spans="1:14" x14ac:dyDescent="0.25">
      <c r="C184" s="23" t="str">
        <f t="shared" si="17"/>
        <v>*</v>
      </c>
      <c r="D184" s="25" t="s">
        <v>487</v>
      </c>
      <c r="E184" s="25" t="str">
        <f>E183</f>
        <v>TRAH2G</v>
      </c>
      <c r="F184" s="25" t="str">
        <f>F183</f>
        <v>TRAPASLDTDMD</v>
      </c>
      <c r="G184" s="25" t="str">
        <f>G183</f>
        <v>TRAPASLDTDMD</v>
      </c>
      <c r="H184" s="26">
        <v>2050</v>
      </c>
      <c r="I184" s="26"/>
      <c r="J184" s="27" t="e">
        <f>1-(J183*-1)</f>
        <v>#DIV/0!</v>
      </c>
      <c r="K184" s="26"/>
      <c r="L184" s="26"/>
      <c r="N184" s="28"/>
    </row>
    <row r="185" spans="1:14" x14ac:dyDescent="0.25">
      <c r="A185">
        <f>A175+1</f>
        <v>19</v>
      </c>
      <c r="C185" s="15" t="str">
        <f>IF(E185="","",IF(SUMIFS('TRA TECH'!M:M,'TRA TECH'!J:J,D186,'TRA TECH'!I:I,F186,'TRA TECH'!H:H,E186)=0,"*",IF(_xlfn.XLOOKUP($A185,Selected_constraint!$A:$A,Selected_constraint!$D:$D)=1,"*",IF(SUMIFS('TRA TECH'!$M:$M,'TRA TECH'!$H:$H,E185,'TRA TECH'!$I:$I,F185)=0,"*",IF(SUMIFS('TRA RESID'!$P:$P,'TRA RESID'!$I:$I,G185,'TRA RESID'!$J:$J,D185,'TRA RESID'!$H:$H,E185)=0,"*","UC_"&amp;SUBSTITUTE(D185,"*","")&amp;"_"&amp;SUBSTITUTE(D185,"*","")&amp;"_"&amp;RIGHT(E185,3)&amp;"_"&amp;F185)))))</f>
        <v>*</v>
      </c>
      <c r="D185" s="17" t="s">
        <v>485</v>
      </c>
      <c r="E185" s="17" t="str">
        <f>_xlfn.XLOOKUP($A185,Selected_constraint!$A:$A,Selected_constraint!$B:$B)</f>
        <v>TRAGSL</v>
      </c>
      <c r="F185" s="17" t="str">
        <f>_xlfn.XLOOKUP($A185,Selected_constraint!$A:$A,Selected_constraint!$C:$C)</f>
        <v>TRAPASMOTDMD</v>
      </c>
      <c r="G185" s="17" t="str">
        <f>F185</f>
        <v>TRAPASMOTDMD</v>
      </c>
      <c r="H185" s="18">
        <v>2019</v>
      </c>
      <c r="I185" s="18" t="s">
        <v>484</v>
      </c>
      <c r="J185" s="29" t="e">
        <f>-SUMIFS('TRA RESID'!$P:$P,'TRA RESID'!$I:$I,G186,'TRA RESID'!$J:$J,D186,'TRA RESID'!$H:$H,E186)/(SUMIFS('TRA RESID'!$P:$P,'TRA RESID'!$I:$I,G186,'TRA RESID'!$J:$J,D186,'TRA RESID'!$H:$H,E186)+SUMIFS('TRA RESID'!$P:$P,'TRA RESID'!$I:$I,G185,'TRA RESID'!$J:$J,D185,'TRA RESID'!$H:$H,E185))</f>
        <v>#DIV/0!</v>
      </c>
      <c r="K185" s="18">
        <v>0</v>
      </c>
      <c r="L185" s="18">
        <v>5</v>
      </c>
      <c r="N185" s="21">
        <v>1</v>
      </c>
    </row>
    <row r="186" spans="1:14" x14ac:dyDescent="0.25">
      <c r="C186" s="15" t="str">
        <f t="shared" ref="C186:C194" si="18">IF(C185="*",C185,"")</f>
        <v>*</v>
      </c>
      <c r="D186" s="17" t="s">
        <v>487</v>
      </c>
      <c r="E186" s="17" t="str">
        <f>E185</f>
        <v>TRAGSL</v>
      </c>
      <c r="F186" s="17" t="str">
        <f>F185</f>
        <v>TRAPASMOTDMD</v>
      </c>
      <c r="G186" s="17" t="str">
        <f>G185</f>
        <v>TRAPASMOTDMD</v>
      </c>
      <c r="H186" s="18">
        <v>2019</v>
      </c>
      <c r="I186" s="18"/>
      <c r="J186" s="20" t="e">
        <f>1-(J185*-1)</f>
        <v>#DIV/0!</v>
      </c>
      <c r="K186" s="18"/>
      <c r="L186" s="18"/>
      <c r="N186" s="21"/>
    </row>
    <row r="187" spans="1:14" x14ac:dyDescent="0.25">
      <c r="C187" s="15" t="str">
        <f t="shared" si="18"/>
        <v>*</v>
      </c>
      <c r="D187" s="17" t="str">
        <f>D185</f>
        <v>*ICEV*</v>
      </c>
      <c r="E187" s="17" t="str">
        <f>E185</f>
        <v>TRAGSL</v>
      </c>
      <c r="F187" s="17" t="str">
        <f>F185</f>
        <v>TRAPASMOTDMD</v>
      </c>
      <c r="G187" s="17" t="str">
        <f>G185</f>
        <v>TRAPASMOTDMD</v>
      </c>
      <c r="H187" s="18">
        <v>2025</v>
      </c>
      <c r="I187" s="18"/>
      <c r="J187" s="29" t="e">
        <f>IF(J185=0,-N187+1,J185*N187)</f>
        <v>#DIV/0!</v>
      </c>
      <c r="K187" s="18"/>
      <c r="L187" s="18"/>
      <c r="N187" s="21">
        <v>1.1000000000000001</v>
      </c>
    </row>
    <row r="188" spans="1:14" x14ac:dyDescent="0.25">
      <c r="C188" s="15" t="str">
        <f t="shared" si="18"/>
        <v>*</v>
      </c>
      <c r="D188" s="17" t="s">
        <v>487</v>
      </c>
      <c r="E188" s="17" t="str">
        <f>E187</f>
        <v>TRAGSL</v>
      </c>
      <c r="F188" s="17" t="str">
        <f>F187</f>
        <v>TRAPASMOTDMD</v>
      </c>
      <c r="G188" s="17" t="str">
        <f>G187</f>
        <v>TRAPASMOTDMD</v>
      </c>
      <c r="H188" s="18">
        <v>2025</v>
      </c>
      <c r="I188" s="18"/>
      <c r="J188" s="20" t="e">
        <f>1-(J187*-1)</f>
        <v>#DIV/0!</v>
      </c>
      <c r="K188" s="18"/>
      <c r="L188" s="18"/>
      <c r="N188" s="21"/>
    </row>
    <row r="189" spans="1:14" x14ac:dyDescent="0.25">
      <c r="C189" s="15" t="str">
        <f t="shared" si="18"/>
        <v>*</v>
      </c>
      <c r="D189" s="17" t="str">
        <f>D187</f>
        <v>*ICEV*</v>
      </c>
      <c r="E189" s="17" t="str">
        <f>E187</f>
        <v>TRAGSL</v>
      </c>
      <c r="F189" s="17" t="str">
        <f>F187</f>
        <v>TRAPASMOTDMD</v>
      </c>
      <c r="G189" s="17" t="str">
        <f>G187</f>
        <v>TRAPASMOTDMD</v>
      </c>
      <c r="H189" s="18">
        <v>2030</v>
      </c>
      <c r="I189" s="18"/>
      <c r="J189" s="29" t="e">
        <f>IF(J185=0,-N189+1,J185*N189)</f>
        <v>#DIV/0!</v>
      </c>
      <c r="K189" s="18"/>
      <c r="L189" s="18"/>
      <c r="N189" s="21">
        <v>1.2</v>
      </c>
    </row>
    <row r="190" spans="1:14" x14ac:dyDescent="0.25">
      <c r="C190" s="15" t="str">
        <f t="shared" si="18"/>
        <v>*</v>
      </c>
      <c r="D190" s="17" t="s">
        <v>487</v>
      </c>
      <c r="E190" s="17" t="str">
        <f>E189</f>
        <v>TRAGSL</v>
      </c>
      <c r="F190" s="17" t="str">
        <f>F189</f>
        <v>TRAPASMOTDMD</v>
      </c>
      <c r="G190" s="17" t="str">
        <f>G189</f>
        <v>TRAPASMOTDMD</v>
      </c>
      <c r="H190" s="18">
        <v>2030</v>
      </c>
      <c r="I190" s="18"/>
      <c r="J190" s="20" t="e">
        <f>1-(J189*-1)</f>
        <v>#DIV/0!</v>
      </c>
      <c r="K190" s="18"/>
      <c r="L190" s="18"/>
      <c r="N190" s="21"/>
    </row>
    <row r="191" spans="1:14" x14ac:dyDescent="0.25">
      <c r="C191" s="15" t="str">
        <f t="shared" si="18"/>
        <v>*</v>
      </c>
      <c r="D191" s="17" t="str">
        <f>D189</f>
        <v>*ICEV*</v>
      </c>
      <c r="E191" s="17" t="str">
        <f>E189</f>
        <v>TRAGSL</v>
      </c>
      <c r="F191" s="17" t="str">
        <f>F189</f>
        <v>TRAPASMOTDMD</v>
      </c>
      <c r="G191" s="17" t="str">
        <f>G189</f>
        <v>TRAPASMOTDMD</v>
      </c>
      <c r="H191" s="18">
        <v>2040</v>
      </c>
      <c r="I191" s="18"/>
      <c r="J191" s="29" t="e">
        <f>IF(J185=0,-N191+1,J185*N191)</f>
        <v>#DIV/0!</v>
      </c>
      <c r="K191" s="18"/>
      <c r="L191" s="18"/>
      <c r="N191" s="21">
        <v>1.3</v>
      </c>
    </row>
    <row r="192" spans="1:14" x14ac:dyDescent="0.25">
      <c r="C192" s="15" t="str">
        <f t="shared" si="18"/>
        <v>*</v>
      </c>
      <c r="D192" s="17" t="s">
        <v>487</v>
      </c>
      <c r="E192" s="17" t="str">
        <f>E191</f>
        <v>TRAGSL</v>
      </c>
      <c r="F192" s="17" t="str">
        <f>F191</f>
        <v>TRAPASMOTDMD</v>
      </c>
      <c r="G192" s="17" t="str">
        <f>G191</f>
        <v>TRAPASMOTDMD</v>
      </c>
      <c r="H192" s="18">
        <v>2040</v>
      </c>
      <c r="I192" s="18"/>
      <c r="J192" s="20" t="e">
        <f>1-(J191*-1)</f>
        <v>#DIV/0!</v>
      </c>
      <c r="K192" s="18"/>
      <c r="L192" s="18"/>
      <c r="N192" s="21"/>
    </row>
    <row r="193" spans="1:14" x14ac:dyDescent="0.25">
      <c r="C193" s="15" t="str">
        <f t="shared" si="18"/>
        <v>*</v>
      </c>
      <c r="D193" s="17" t="str">
        <f>D191</f>
        <v>*ICEV*</v>
      </c>
      <c r="E193" s="17" t="str">
        <f>E191</f>
        <v>TRAGSL</v>
      </c>
      <c r="F193" s="17" t="str">
        <f>F191</f>
        <v>TRAPASMOTDMD</v>
      </c>
      <c r="G193" s="17" t="str">
        <f>G191</f>
        <v>TRAPASMOTDMD</v>
      </c>
      <c r="H193" s="18">
        <v>2050</v>
      </c>
      <c r="I193" s="18"/>
      <c r="J193" s="29" t="e">
        <f>IF(J185=0,-N193+1,J185*N193)</f>
        <v>#DIV/0!</v>
      </c>
      <c r="K193" s="18"/>
      <c r="L193" s="18"/>
      <c r="N193" s="21">
        <v>1.4</v>
      </c>
    </row>
    <row r="194" spans="1:14" x14ac:dyDescent="0.25">
      <c r="C194" s="23" t="str">
        <f t="shared" si="18"/>
        <v>*</v>
      </c>
      <c r="D194" s="25" t="s">
        <v>487</v>
      </c>
      <c r="E194" s="25" t="str">
        <f>E193</f>
        <v>TRAGSL</v>
      </c>
      <c r="F194" s="25" t="str">
        <f>F193</f>
        <v>TRAPASMOTDMD</v>
      </c>
      <c r="G194" s="25" t="str">
        <f>G193</f>
        <v>TRAPASMOTDMD</v>
      </c>
      <c r="H194" s="26">
        <v>2050</v>
      </c>
      <c r="I194" s="26"/>
      <c r="J194" s="27" t="e">
        <f>1-(J193*-1)</f>
        <v>#DIV/0!</v>
      </c>
      <c r="K194" s="26"/>
      <c r="L194" s="26"/>
      <c r="N194" s="28"/>
    </row>
    <row r="195" spans="1:14" x14ac:dyDescent="0.25">
      <c r="A195">
        <f>A185+1</f>
        <v>20</v>
      </c>
      <c r="C195" s="15" t="str">
        <f>IF(E195="","",IF(SUMIFS('TRA TECH'!M:M,'TRA TECH'!J:J,D196,'TRA TECH'!I:I,F196,'TRA TECH'!H:H,E196)=0,"*",IF(_xlfn.XLOOKUP($A195,Selected_constraint!$A:$A,Selected_constraint!$D:$D)=1,"*",IF(SUMIFS('TRA TECH'!$M:$M,'TRA TECH'!$H:$H,E195,'TRA TECH'!$I:$I,F195)=0,"*",IF(SUMIFS('TRA RESID'!$P:$P,'TRA RESID'!$I:$I,G195,'TRA RESID'!$J:$J,D195,'TRA RESID'!$H:$H,E195)=0,"*","UC_"&amp;SUBSTITUTE(D195,"*","")&amp;"_"&amp;SUBSTITUTE(D195,"*","")&amp;"_"&amp;RIGHT(E195,3)&amp;"_"&amp;F195)))))</f>
        <v>*</v>
      </c>
      <c r="D195" s="17" t="s">
        <v>485</v>
      </c>
      <c r="E195" s="17" t="str">
        <f>_xlfn.XLOOKUP($A195,Selected_constraint!$A:$A,Selected_constraint!$B:$B)</f>
        <v>TRAETH</v>
      </c>
      <c r="F195" s="17" t="str">
        <f>_xlfn.XLOOKUP($A195,Selected_constraint!$A:$A,Selected_constraint!$C:$C)</f>
        <v>TRAPASMOTDMD</v>
      </c>
      <c r="G195" s="17" t="str">
        <f>F195</f>
        <v>TRAPASMOTDMD</v>
      </c>
      <c r="H195" s="18">
        <v>2019</v>
      </c>
      <c r="I195" s="18" t="s">
        <v>484</v>
      </c>
      <c r="J195" s="29" t="e">
        <f>-SUMIFS('TRA RESID'!$P:$P,'TRA RESID'!$I:$I,G196,'TRA RESID'!$J:$J,D196,'TRA RESID'!$H:$H,E196)/(SUMIFS('TRA RESID'!$P:$P,'TRA RESID'!$I:$I,G196,'TRA RESID'!$J:$J,D196,'TRA RESID'!$H:$H,E196)+SUMIFS('TRA RESID'!$P:$P,'TRA RESID'!$I:$I,G195,'TRA RESID'!$J:$J,D195,'TRA RESID'!$H:$H,E195))</f>
        <v>#DIV/0!</v>
      </c>
      <c r="K195" s="18">
        <v>0</v>
      </c>
      <c r="L195" s="18">
        <v>5</v>
      </c>
      <c r="N195" s="21">
        <v>1</v>
      </c>
    </row>
    <row r="196" spans="1:14" x14ac:dyDescent="0.25">
      <c r="C196" s="15" t="str">
        <f t="shared" ref="C196:C204" si="19">IF(C195="*",C195,"")</f>
        <v>*</v>
      </c>
      <c r="D196" s="17" t="s">
        <v>487</v>
      </c>
      <c r="E196" s="17" t="str">
        <f>E195</f>
        <v>TRAETH</v>
      </c>
      <c r="F196" s="17" t="str">
        <f>F195</f>
        <v>TRAPASMOTDMD</v>
      </c>
      <c r="G196" s="17" t="str">
        <f>G195</f>
        <v>TRAPASMOTDMD</v>
      </c>
      <c r="H196" s="18">
        <v>2019</v>
      </c>
      <c r="I196" s="18"/>
      <c r="J196" s="20" t="e">
        <f>1-(J195*-1)</f>
        <v>#DIV/0!</v>
      </c>
      <c r="K196" s="18"/>
      <c r="L196" s="18"/>
      <c r="N196" s="21"/>
    </row>
    <row r="197" spans="1:14" x14ac:dyDescent="0.25">
      <c r="C197" s="15" t="str">
        <f t="shared" si="19"/>
        <v>*</v>
      </c>
      <c r="D197" s="17" t="str">
        <f>D195</f>
        <v>*ICEV*</v>
      </c>
      <c r="E197" s="17" t="str">
        <f>E195</f>
        <v>TRAETH</v>
      </c>
      <c r="F197" s="17" t="str">
        <f>F195</f>
        <v>TRAPASMOTDMD</v>
      </c>
      <c r="G197" s="17" t="str">
        <f>G195</f>
        <v>TRAPASMOTDMD</v>
      </c>
      <c r="H197" s="18">
        <v>2025</v>
      </c>
      <c r="I197" s="18"/>
      <c r="J197" s="29" t="e">
        <f>IF(J195=0,-N197+1,J195*N197)</f>
        <v>#DIV/0!</v>
      </c>
      <c r="K197" s="18"/>
      <c r="L197" s="18"/>
      <c r="N197" s="21">
        <v>1.1000000000000001</v>
      </c>
    </row>
    <row r="198" spans="1:14" x14ac:dyDescent="0.25">
      <c r="C198" s="15" t="str">
        <f t="shared" si="19"/>
        <v>*</v>
      </c>
      <c r="D198" s="17" t="s">
        <v>487</v>
      </c>
      <c r="E198" s="17" t="str">
        <f>E197</f>
        <v>TRAETH</v>
      </c>
      <c r="F198" s="17" t="str">
        <f>F197</f>
        <v>TRAPASMOTDMD</v>
      </c>
      <c r="G198" s="17" t="str">
        <f>G197</f>
        <v>TRAPASMOTDMD</v>
      </c>
      <c r="H198" s="18">
        <v>2025</v>
      </c>
      <c r="I198" s="18"/>
      <c r="J198" s="20" t="e">
        <f>1-(J197*-1)</f>
        <v>#DIV/0!</v>
      </c>
      <c r="K198" s="18"/>
      <c r="L198" s="18"/>
      <c r="N198" s="21"/>
    </row>
    <row r="199" spans="1:14" x14ac:dyDescent="0.25">
      <c r="C199" s="15" t="str">
        <f t="shared" si="19"/>
        <v>*</v>
      </c>
      <c r="D199" s="17" t="str">
        <f>D197</f>
        <v>*ICEV*</v>
      </c>
      <c r="E199" s="17" t="str">
        <f>E197</f>
        <v>TRAETH</v>
      </c>
      <c r="F199" s="17" t="str">
        <f>F197</f>
        <v>TRAPASMOTDMD</v>
      </c>
      <c r="G199" s="17" t="str">
        <f>G197</f>
        <v>TRAPASMOTDMD</v>
      </c>
      <c r="H199" s="18">
        <v>2030</v>
      </c>
      <c r="I199" s="18"/>
      <c r="J199" s="29" t="e">
        <f>IF(J195=0,-N199+1,J195*N199)</f>
        <v>#DIV/0!</v>
      </c>
      <c r="K199" s="18"/>
      <c r="L199" s="18"/>
      <c r="N199" s="21">
        <v>1.2</v>
      </c>
    </row>
    <row r="200" spans="1:14" x14ac:dyDescent="0.25">
      <c r="C200" s="15" t="str">
        <f t="shared" si="19"/>
        <v>*</v>
      </c>
      <c r="D200" s="17" t="s">
        <v>487</v>
      </c>
      <c r="E200" s="17" t="str">
        <f>E199</f>
        <v>TRAETH</v>
      </c>
      <c r="F200" s="17" t="str">
        <f>F199</f>
        <v>TRAPASMOTDMD</v>
      </c>
      <c r="G200" s="17" t="str">
        <f>G199</f>
        <v>TRAPASMOTDMD</v>
      </c>
      <c r="H200" s="18">
        <v>2030</v>
      </c>
      <c r="I200" s="18"/>
      <c r="J200" s="20" t="e">
        <f>1-(J199*-1)</f>
        <v>#DIV/0!</v>
      </c>
      <c r="K200" s="18"/>
      <c r="L200" s="18"/>
      <c r="N200" s="21"/>
    </row>
    <row r="201" spans="1:14" x14ac:dyDescent="0.25">
      <c r="C201" s="15" t="str">
        <f t="shared" si="19"/>
        <v>*</v>
      </c>
      <c r="D201" s="17" t="str">
        <f>D199</f>
        <v>*ICEV*</v>
      </c>
      <c r="E201" s="17" t="str">
        <f>E199</f>
        <v>TRAETH</v>
      </c>
      <c r="F201" s="17" t="str">
        <f>F199</f>
        <v>TRAPASMOTDMD</v>
      </c>
      <c r="G201" s="17" t="str">
        <f>G199</f>
        <v>TRAPASMOTDMD</v>
      </c>
      <c r="H201" s="18">
        <v>2040</v>
      </c>
      <c r="I201" s="18"/>
      <c r="J201" s="29" t="e">
        <f>IF(J195=0,-N201+1,J195*N201)</f>
        <v>#DIV/0!</v>
      </c>
      <c r="K201" s="18"/>
      <c r="L201" s="18"/>
      <c r="N201" s="21">
        <v>1.3</v>
      </c>
    </row>
    <row r="202" spans="1:14" x14ac:dyDescent="0.25">
      <c r="C202" s="15" t="str">
        <f t="shared" si="19"/>
        <v>*</v>
      </c>
      <c r="D202" s="17" t="s">
        <v>487</v>
      </c>
      <c r="E202" s="17" t="str">
        <f>E201</f>
        <v>TRAETH</v>
      </c>
      <c r="F202" s="17" t="str">
        <f>F201</f>
        <v>TRAPASMOTDMD</v>
      </c>
      <c r="G202" s="17" t="str">
        <f>G201</f>
        <v>TRAPASMOTDMD</v>
      </c>
      <c r="H202" s="18">
        <v>2040</v>
      </c>
      <c r="I202" s="18"/>
      <c r="J202" s="20" t="e">
        <f>1-(J201*-1)</f>
        <v>#DIV/0!</v>
      </c>
      <c r="K202" s="18"/>
      <c r="L202" s="18"/>
      <c r="N202" s="21"/>
    </row>
    <row r="203" spans="1:14" x14ac:dyDescent="0.25">
      <c r="C203" s="15" t="str">
        <f t="shared" si="19"/>
        <v>*</v>
      </c>
      <c r="D203" s="17" t="str">
        <f>D201</f>
        <v>*ICEV*</v>
      </c>
      <c r="E203" s="17" t="str">
        <f>E201</f>
        <v>TRAETH</v>
      </c>
      <c r="F203" s="17" t="str">
        <f>F201</f>
        <v>TRAPASMOTDMD</v>
      </c>
      <c r="G203" s="17" t="str">
        <f>G201</f>
        <v>TRAPASMOTDMD</v>
      </c>
      <c r="H203" s="18">
        <v>2050</v>
      </c>
      <c r="I203" s="18"/>
      <c r="J203" s="29" t="e">
        <f>IF(J195=0,-N203+1,J195*N203)</f>
        <v>#DIV/0!</v>
      </c>
      <c r="K203" s="18"/>
      <c r="L203" s="18"/>
      <c r="N203" s="21">
        <v>1.4</v>
      </c>
    </row>
    <row r="204" spans="1:14" x14ac:dyDescent="0.25">
      <c r="C204" s="23" t="str">
        <f t="shared" si="19"/>
        <v>*</v>
      </c>
      <c r="D204" s="25" t="s">
        <v>487</v>
      </c>
      <c r="E204" s="25" t="str">
        <f>E203</f>
        <v>TRAETH</v>
      </c>
      <c r="F204" s="25" t="str">
        <f>F203</f>
        <v>TRAPASMOTDMD</v>
      </c>
      <c r="G204" s="25" t="str">
        <f>G203</f>
        <v>TRAPASMOTDMD</v>
      </c>
      <c r="H204" s="26">
        <v>2050</v>
      </c>
      <c r="I204" s="26"/>
      <c r="J204" s="27" t="e">
        <f>1-(J203*-1)</f>
        <v>#DIV/0!</v>
      </c>
      <c r="K204" s="26"/>
      <c r="L204" s="26"/>
      <c r="N204" s="28"/>
    </row>
    <row r="205" spans="1:14" x14ac:dyDescent="0.25">
      <c r="A205">
        <f>A195+1</f>
        <v>21</v>
      </c>
      <c r="C205" s="15" t="str">
        <f>IF(E205="","",IF(SUMIFS('TRA TECH'!M:M,'TRA TECH'!J:J,D206,'TRA TECH'!I:I,F206,'TRA TECH'!H:H,E206)=0,"*",IF(_xlfn.XLOOKUP($A205,Selected_constraint!$A:$A,Selected_constraint!$D:$D)=1,"*",IF(SUMIFS('TRA TECH'!$M:$M,'TRA TECH'!$H:$H,E205,'TRA TECH'!$I:$I,F205)=0,"*",IF(SUMIFS('TRA RESID'!$P:$P,'TRA RESID'!$I:$I,G205,'TRA RESID'!$J:$J,D205,'TRA RESID'!$H:$H,E205)=0,"*","UC_"&amp;SUBSTITUTE(D205,"*","")&amp;"_"&amp;SUBSTITUTE(D205,"*","")&amp;"_"&amp;RIGHT(E205,3)&amp;"_"&amp;F205)))))</f>
        <v>*</v>
      </c>
      <c r="D205" s="17" t="s">
        <v>485</v>
      </c>
      <c r="E205" s="17" t="str">
        <f>_xlfn.XLOOKUP($A205,Selected_constraint!$A:$A,Selected_constraint!$B:$B)</f>
        <v>TRADSL</v>
      </c>
      <c r="F205" s="17" t="str">
        <f>_xlfn.XLOOKUP($A205,Selected_constraint!$A:$A,Selected_constraint!$C:$C)</f>
        <v>TRAPASMOTDMD</v>
      </c>
      <c r="G205" s="17" t="str">
        <f>F205</f>
        <v>TRAPASMOTDMD</v>
      </c>
      <c r="H205" s="18">
        <v>2019</v>
      </c>
      <c r="I205" s="18" t="s">
        <v>484</v>
      </c>
      <c r="J205" s="29" t="e">
        <f>-SUMIFS('TRA RESID'!$P:$P,'TRA RESID'!$I:$I,G206,'TRA RESID'!$J:$J,D206,'TRA RESID'!$H:$H,E206)/(SUMIFS('TRA RESID'!$P:$P,'TRA RESID'!$I:$I,G206,'TRA RESID'!$J:$J,D206,'TRA RESID'!$H:$H,E206)+SUMIFS('TRA RESID'!$P:$P,'TRA RESID'!$I:$I,G205,'TRA RESID'!$J:$J,D205,'TRA RESID'!$H:$H,E205))</f>
        <v>#DIV/0!</v>
      </c>
      <c r="K205" s="18">
        <v>0</v>
      </c>
      <c r="L205" s="18">
        <v>5</v>
      </c>
      <c r="N205" s="21">
        <v>1</v>
      </c>
    </row>
    <row r="206" spans="1:14" x14ac:dyDescent="0.25">
      <c r="C206" s="15" t="str">
        <f t="shared" ref="C206:C214" si="20">IF(C205="*",C205,"")</f>
        <v>*</v>
      </c>
      <c r="D206" s="17" t="s">
        <v>487</v>
      </c>
      <c r="E206" s="17" t="str">
        <f>E205</f>
        <v>TRADSL</v>
      </c>
      <c r="F206" s="17" t="str">
        <f>F205</f>
        <v>TRAPASMOTDMD</v>
      </c>
      <c r="G206" s="17" t="str">
        <f>G205</f>
        <v>TRAPASMOTDMD</v>
      </c>
      <c r="H206" s="18">
        <v>2019</v>
      </c>
      <c r="I206" s="18"/>
      <c r="J206" s="20" t="e">
        <f>1-(J205*-1)</f>
        <v>#DIV/0!</v>
      </c>
      <c r="K206" s="18"/>
      <c r="L206" s="18"/>
      <c r="N206" s="21"/>
    </row>
    <row r="207" spans="1:14" x14ac:dyDescent="0.25">
      <c r="C207" s="15" t="str">
        <f t="shared" si="20"/>
        <v>*</v>
      </c>
      <c r="D207" s="17" t="str">
        <f>D205</f>
        <v>*ICEV*</v>
      </c>
      <c r="E207" s="17" t="str">
        <f>E205</f>
        <v>TRADSL</v>
      </c>
      <c r="F207" s="17" t="str">
        <f>F205</f>
        <v>TRAPASMOTDMD</v>
      </c>
      <c r="G207" s="17" t="str">
        <f>G205</f>
        <v>TRAPASMOTDMD</v>
      </c>
      <c r="H207" s="18">
        <v>2025</v>
      </c>
      <c r="I207" s="18"/>
      <c r="J207" s="29" t="e">
        <f>IF(J205=0,-N207+1,J205*N207)</f>
        <v>#DIV/0!</v>
      </c>
      <c r="K207" s="18"/>
      <c r="L207" s="18"/>
      <c r="N207" s="21">
        <v>1.1000000000000001</v>
      </c>
    </row>
    <row r="208" spans="1:14" x14ac:dyDescent="0.25">
      <c r="C208" s="15" t="str">
        <f t="shared" si="20"/>
        <v>*</v>
      </c>
      <c r="D208" s="17" t="s">
        <v>487</v>
      </c>
      <c r="E208" s="17" t="str">
        <f>E207</f>
        <v>TRADSL</v>
      </c>
      <c r="F208" s="17" t="str">
        <f>F207</f>
        <v>TRAPASMOTDMD</v>
      </c>
      <c r="G208" s="17" t="str">
        <f>G207</f>
        <v>TRAPASMOTDMD</v>
      </c>
      <c r="H208" s="18">
        <v>2025</v>
      </c>
      <c r="I208" s="18"/>
      <c r="J208" s="20" t="e">
        <f>1-(J207*-1)</f>
        <v>#DIV/0!</v>
      </c>
      <c r="K208" s="18"/>
      <c r="L208" s="18"/>
      <c r="N208" s="21"/>
    </row>
    <row r="209" spans="1:14" x14ac:dyDescent="0.25">
      <c r="C209" s="15" t="str">
        <f t="shared" si="20"/>
        <v>*</v>
      </c>
      <c r="D209" s="17" t="str">
        <f>D207</f>
        <v>*ICEV*</v>
      </c>
      <c r="E209" s="17" t="str">
        <f>E207</f>
        <v>TRADSL</v>
      </c>
      <c r="F209" s="17" t="str">
        <f>F207</f>
        <v>TRAPASMOTDMD</v>
      </c>
      <c r="G209" s="17" t="str">
        <f>G207</f>
        <v>TRAPASMOTDMD</v>
      </c>
      <c r="H209" s="18">
        <v>2030</v>
      </c>
      <c r="I209" s="18"/>
      <c r="J209" s="29" t="e">
        <f>IF(J205=0,-N209+1,J205*N209)</f>
        <v>#DIV/0!</v>
      </c>
      <c r="K209" s="18"/>
      <c r="L209" s="18"/>
      <c r="N209" s="21">
        <v>1.2</v>
      </c>
    </row>
    <row r="210" spans="1:14" x14ac:dyDescent="0.25">
      <c r="C210" s="15" t="str">
        <f t="shared" si="20"/>
        <v>*</v>
      </c>
      <c r="D210" s="17" t="s">
        <v>487</v>
      </c>
      <c r="E210" s="17" t="str">
        <f>E209</f>
        <v>TRADSL</v>
      </c>
      <c r="F210" s="17" t="str">
        <f>F209</f>
        <v>TRAPASMOTDMD</v>
      </c>
      <c r="G210" s="17" t="str">
        <f>G209</f>
        <v>TRAPASMOTDMD</v>
      </c>
      <c r="H210" s="18">
        <v>2030</v>
      </c>
      <c r="I210" s="18"/>
      <c r="J210" s="20" t="e">
        <f>1-(J209*-1)</f>
        <v>#DIV/0!</v>
      </c>
      <c r="K210" s="18"/>
      <c r="L210" s="18"/>
      <c r="N210" s="21"/>
    </row>
    <row r="211" spans="1:14" x14ac:dyDescent="0.25">
      <c r="C211" s="15" t="str">
        <f t="shared" si="20"/>
        <v>*</v>
      </c>
      <c r="D211" s="17" t="str">
        <f>D209</f>
        <v>*ICEV*</v>
      </c>
      <c r="E211" s="17" t="str">
        <f>E209</f>
        <v>TRADSL</v>
      </c>
      <c r="F211" s="17" t="str">
        <f>F209</f>
        <v>TRAPASMOTDMD</v>
      </c>
      <c r="G211" s="17" t="str">
        <f>G209</f>
        <v>TRAPASMOTDMD</v>
      </c>
      <c r="H211" s="18">
        <v>2040</v>
      </c>
      <c r="I211" s="18"/>
      <c r="J211" s="29" t="e">
        <f>IF(J205=0,-N211+1,J205*N211)</f>
        <v>#DIV/0!</v>
      </c>
      <c r="K211" s="18"/>
      <c r="L211" s="18"/>
      <c r="N211" s="21">
        <v>1.3</v>
      </c>
    </row>
    <row r="212" spans="1:14" x14ac:dyDescent="0.25">
      <c r="C212" s="15" t="str">
        <f t="shared" si="20"/>
        <v>*</v>
      </c>
      <c r="D212" s="17" t="s">
        <v>487</v>
      </c>
      <c r="E212" s="17" t="str">
        <f>E211</f>
        <v>TRADSL</v>
      </c>
      <c r="F212" s="17" t="str">
        <f>F211</f>
        <v>TRAPASMOTDMD</v>
      </c>
      <c r="G212" s="17" t="str">
        <f>G211</f>
        <v>TRAPASMOTDMD</v>
      </c>
      <c r="H212" s="18">
        <v>2040</v>
      </c>
      <c r="I212" s="18"/>
      <c r="J212" s="20" t="e">
        <f>1-(J211*-1)</f>
        <v>#DIV/0!</v>
      </c>
      <c r="K212" s="18"/>
      <c r="L212" s="18"/>
      <c r="N212" s="21"/>
    </row>
    <row r="213" spans="1:14" x14ac:dyDescent="0.25">
      <c r="C213" s="15" t="str">
        <f t="shared" si="20"/>
        <v>*</v>
      </c>
      <c r="D213" s="17" t="str">
        <f>D211</f>
        <v>*ICEV*</v>
      </c>
      <c r="E213" s="17" t="str">
        <f>E211</f>
        <v>TRADSL</v>
      </c>
      <c r="F213" s="17" t="str">
        <f>F211</f>
        <v>TRAPASMOTDMD</v>
      </c>
      <c r="G213" s="17" t="str">
        <f>G211</f>
        <v>TRAPASMOTDMD</v>
      </c>
      <c r="H213" s="18">
        <v>2050</v>
      </c>
      <c r="I213" s="18"/>
      <c r="J213" s="29" t="e">
        <f>IF(J205=0,-N213+1,J205*N213)</f>
        <v>#DIV/0!</v>
      </c>
      <c r="K213" s="18"/>
      <c r="L213" s="18"/>
      <c r="N213" s="21">
        <v>1.4</v>
      </c>
    </row>
    <row r="214" spans="1:14" x14ac:dyDescent="0.25">
      <c r="C214" s="23" t="str">
        <f t="shared" si="20"/>
        <v>*</v>
      </c>
      <c r="D214" s="25" t="s">
        <v>487</v>
      </c>
      <c r="E214" s="25" t="str">
        <f>E213</f>
        <v>TRADSL</v>
      </c>
      <c r="F214" s="25" t="str">
        <f>F213</f>
        <v>TRAPASMOTDMD</v>
      </c>
      <c r="G214" s="25" t="str">
        <f>G213</f>
        <v>TRAPASMOTDMD</v>
      </c>
      <c r="H214" s="26">
        <v>2050</v>
      </c>
      <c r="I214" s="26"/>
      <c r="J214" s="27" t="e">
        <f>1-(J213*-1)</f>
        <v>#DIV/0!</v>
      </c>
      <c r="K214" s="26"/>
      <c r="L214" s="26"/>
      <c r="N214" s="28"/>
    </row>
    <row r="215" spans="1:14" x14ac:dyDescent="0.25">
      <c r="A215">
        <f>A205+1</f>
        <v>22</v>
      </c>
      <c r="C215" s="15" t="str">
        <f>IF(E215="","",IF(SUMIFS('TRA TECH'!M:M,'TRA TECH'!J:J,D216,'TRA TECH'!I:I,F216,'TRA TECH'!H:H,E216)=0,"*",IF(_xlfn.XLOOKUP($A215,Selected_constraint!$A:$A,Selected_constraint!$D:$D)=1,"*",IF(SUMIFS('TRA TECH'!$M:$M,'TRA TECH'!$H:$H,E215,'TRA TECH'!$I:$I,F215)=0,"*",IF(SUMIFS('TRA RESID'!$P:$P,'TRA RESID'!$I:$I,G215,'TRA RESID'!$J:$J,D215,'TRA RESID'!$H:$H,E215)=0,"*","UC_"&amp;SUBSTITUTE(D215,"*","")&amp;"_"&amp;SUBSTITUTE(D215,"*","")&amp;"_"&amp;RIGHT(E215,3)&amp;"_"&amp;F215)))))</f>
        <v>*</v>
      </c>
      <c r="D215" s="17" t="s">
        <v>485</v>
      </c>
      <c r="E215" s="17" t="str">
        <f>_xlfn.XLOOKUP($A215,Selected_constraint!$A:$A,Selected_constraint!$B:$B)</f>
        <v>TRARDS</v>
      </c>
      <c r="F215" s="17" t="str">
        <f>_xlfn.XLOOKUP($A215,Selected_constraint!$A:$A,Selected_constraint!$C:$C)</f>
        <v>TRAPASMOTDMD</v>
      </c>
      <c r="G215" s="17" t="str">
        <f>F215</f>
        <v>TRAPASMOTDMD</v>
      </c>
      <c r="H215" s="18">
        <v>2019</v>
      </c>
      <c r="I215" s="18" t="s">
        <v>484</v>
      </c>
      <c r="J215" s="29" t="e">
        <f>-SUMIFS('TRA RESID'!$P:$P,'TRA RESID'!$I:$I,G216,'TRA RESID'!$J:$J,D216,'TRA RESID'!$H:$H,E216)/(SUMIFS('TRA RESID'!$P:$P,'TRA RESID'!$I:$I,G216,'TRA RESID'!$J:$J,D216,'TRA RESID'!$H:$H,E216)+SUMIFS('TRA RESID'!$P:$P,'TRA RESID'!$I:$I,G215,'TRA RESID'!$J:$J,D215,'TRA RESID'!$H:$H,E215))</f>
        <v>#DIV/0!</v>
      </c>
      <c r="K215" s="18">
        <v>0</v>
      </c>
      <c r="L215" s="18">
        <v>5</v>
      </c>
      <c r="N215" s="21">
        <v>1</v>
      </c>
    </row>
    <row r="216" spans="1:14" x14ac:dyDescent="0.25">
      <c r="C216" s="15" t="str">
        <f t="shared" ref="C216:C224" si="21">IF(C215="*",C215,"")</f>
        <v>*</v>
      </c>
      <c r="D216" s="17" t="s">
        <v>487</v>
      </c>
      <c r="E216" s="17" t="str">
        <f>E215</f>
        <v>TRARDS</v>
      </c>
      <c r="F216" s="17" t="str">
        <f>F215</f>
        <v>TRAPASMOTDMD</v>
      </c>
      <c r="G216" s="17" t="str">
        <f>G215</f>
        <v>TRAPASMOTDMD</v>
      </c>
      <c r="H216" s="18">
        <v>2019</v>
      </c>
      <c r="I216" s="18"/>
      <c r="J216" s="20" t="e">
        <f>1-(J215*-1)</f>
        <v>#DIV/0!</v>
      </c>
      <c r="K216" s="18"/>
      <c r="L216" s="18"/>
      <c r="N216" s="21"/>
    </row>
    <row r="217" spans="1:14" x14ac:dyDescent="0.25">
      <c r="C217" s="15" t="str">
        <f t="shared" si="21"/>
        <v>*</v>
      </c>
      <c r="D217" s="17" t="str">
        <f>D215</f>
        <v>*ICEV*</v>
      </c>
      <c r="E217" s="17" t="str">
        <f>E215</f>
        <v>TRARDS</v>
      </c>
      <c r="F217" s="17" t="str">
        <f>F215</f>
        <v>TRAPASMOTDMD</v>
      </c>
      <c r="G217" s="17" t="str">
        <f>G215</f>
        <v>TRAPASMOTDMD</v>
      </c>
      <c r="H217" s="18">
        <v>2025</v>
      </c>
      <c r="I217" s="18"/>
      <c r="J217" s="29" t="e">
        <f>IF(J215=0,-N217+1,J215*N217)</f>
        <v>#DIV/0!</v>
      </c>
      <c r="K217" s="18"/>
      <c r="L217" s="18"/>
      <c r="N217" s="21">
        <v>1.1000000000000001</v>
      </c>
    </row>
    <row r="218" spans="1:14" x14ac:dyDescent="0.25">
      <c r="C218" s="15" t="str">
        <f t="shared" si="21"/>
        <v>*</v>
      </c>
      <c r="D218" s="17" t="s">
        <v>487</v>
      </c>
      <c r="E218" s="17" t="str">
        <f>E217</f>
        <v>TRARDS</v>
      </c>
      <c r="F218" s="17" t="str">
        <f>F217</f>
        <v>TRAPASMOTDMD</v>
      </c>
      <c r="G218" s="17" t="str">
        <f>G217</f>
        <v>TRAPASMOTDMD</v>
      </c>
      <c r="H218" s="18">
        <v>2025</v>
      </c>
      <c r="I218" s="18"/>
      <c r="J218" s="20" t="e">
        <f>1-(J217*-1)</f>
        <v>#DIV/0!</v>
      </c>
      <c r="K218" s="18"/>
      <c r="L218" s="18"/>
      <c r="N218" s="21"/>
    </row>
    <row r="219" spans="1:14" x14ac:dyDescent="0.25">
      <c r="C219" s="15" t="str">
        <f t="shared" si="21"/>
        <v>*</v>
      </c>
      <c r="D219" s="17" t="str">
        <f>D217</f>
        <v>*ICEV*</v>
      </c>
      <c r="E219" s="17" t="str">
        <f>E217</f>
        <v>TRARDS</v>
      </c>
      <c r="F219" s="17" t="str">
        <f>F217</f>
        <v>TRAPASMOTDMD</v>
      </c>
      <c r="G219" s="17" t="str">
        <f>G217</f>
        <v>TRAPASMOTDMD</v>
      </c>
      <c r="H219" s="18">
        <v>2030</v>
      </c>
      <c r="I219" s="18"/>
      <c r="J219" s="29" t="e">
        <f>IF(J215=0,-N219+1,J215*N219)</f>
        <v>#DIV/0!</v>
      </c>
      <c r="K219" s="18"/>
      <c r="L219" s="18"/>
      <c r="N219" s="21">
        <v>1.2</v>
      </c>
    </row>
    <row r="220" spans="1:14" x14ac:dyDescent="0.25">
      <c r="C220" s="15" t="str">
        <f t="shared" si="21"/>
        <v>*</v>
      </c>
      <c r="D220" s="17" t="s">
        <v>487</v>
      </c>
      <c r="E220" s="17" t="str">
        <f>E219</f>
        <v>TRARDS</v>
      </c>
      <c r="F220" s="17" t="str">
        <f>F219</f>
        <v>TRAPASMOTDMD</v>
      </c>
      <c r="G220" s="17" t="str">
        <f>G219</f>
        <v>TRAPASMOTDMD</v>
      </c>
      <c r="H220" s="18">
        <v>2030</v>
      </c>
      <c r="I220" s="18"/>
      <c r="J220" s="20" t="e">
        <f>1-(J219*-1)</f>
        <v>#DIV/0!</v>
      </c>
      <c r="K220" s="18"/>
      <c r="L220" s="18"/>
      <c r="N220" s="21"/>
    </row>
    <row r="221" spans="1:14" x14ac:dyDescent="0.25">
      <c r="C221" s="15" t="str">
        <f t="shared" si="21"/>
        <v>*</v>
      </c>
      <c r="D221" s="17" t="str">
        <f>D219</f>
        <v>*ICEV*</v>
      </c>
      <c r="E221" s="17" t="str">
        <f>E219</f>
        <v>TRARDS</v>
      </c>
      <c r="F221" s="17" t="str">
        <f>F219</f>
        <v>TRAPASMOTDMD</v>
      </c>
      <c r="G221" s="17" t="str">
        <f>G219</f>
        <v>TRAPASMOTDMD</v>
      </c>
      <c r="H221" s="18">
        <v>2040</v>
      </c>
      <c r="I221" s="18"/>
      <c r="J221" s="29" t="e">
        <f>IF(J215=0,-N221+1,J215*N221)</f>
        <v>#DIV/0!</v>
      </c>
      <c r="K221" s="18"/>
      <c r="L221" s="18"/>
      <c r="N221" s="21">
        <v>1.3</v>
      </c>
    </row>
    <row r="222" spans="1:14" x14ac:dyDescent="0.25">
      <c r="C222" s="15" t="str">
        <f t="shared" si="21"/>
        <v>*</v>
      </c>
      <c r="D222" s="17" t="s">
        <v>487</v>
      </c>
      <c r="E222" s="17" t="str">
        <f>E221</f>
        <v>TRARDS</v>
      </c>
      <c r="F222" s="17" t="str">
        <f>F221</f>
        <v>TRAPASMOTDMD</v>
      </c>
      <c r="G222" s="17" t="str">
        <f>G221</f>
        <v>TRAPASMOTDMD</v>
      </c>
      <c r="H222" s="18">
        <v>2040</v>
      </c>
      <c r="I222" s="18"/>
      <c r="J222" s="20" t="e">
        <f>1-(J221*-1)</f>
        <v>#DIV/0!</v>
      </c>
      <c r="K222" s="18"/>
      <c r="L222" s="18"/>
      <c r="N222" s="21"/>
    </row>
    <row r="223" spans="1:14" x14ac:dyDescent="0.25">
      <c r="C223" s="15" t="str">
        <f t="shared" si="21"/>
        <v>*</v>
      </c>
      <c r="D223" s="17" t="str">
        <f>D221</f>
        <v>*ICEV*</v>
      </c>
      <c r="E223" s="17" t="str">
        <f>E221</f>
        <v>TRARDS</v>
      </c>
      <c r="F223" s="17" t="str">
        <f>F221</f>
        <v>TRAPASMOTDMD</v>
      </c>
      <c r="G223" s="17" t="str">
        <f>G221</f>
        <v>TRAPASMOTDMD</v>
      </c>
      <c r="H223" s="18">
        <v>2050</v>
      </c>
      <c r="I223" s="18"/>
      <c r="J223" s="29" t="e">
        <f>IF(J215=0,-N223+1,J215*N223)</f>
        <v>#DIV/0!</v>
      </c>
      <c r="K223" s="18"/>
      <c r="L223" s="18"/>
      <c r="N223" s="21">
        <v>1.4</v>
      </c>
    </row>
    <row r="224" spans="1:14" x14ac:dyDescent="0.25">
      <c r="C224" s="23" t="str">
        <f t="shared" si="21"/>
        <v>*</v>
      </c>
      <c r="D224" s="25" t="s">
        <v>487</v>
      </c>
      <c r="E224" s="25" t="str">
        <f>E223</f>
        <v>TRARDS</v>
      </c>
      <c r="F224" s="25" t="str">
        <f>F223</f>
        <v>TRAPASMOTDMD</v>
      </c>
      <c r="G224" s="25" t="str">
        <f>G223</f>
        <v>TRAPASMOTDMD</v>
      </c>
      <c r="H224" s="26">
        <v>2050</v>
      </c>
      <c r="I224" s="26"/>
      <c r="J224" s="27" t="e">
        <f>1-(J223*-1)</f>
        <v>#DIV/0!</v>
      </c>
      <c r="K224" s="26"/>
      <c r="L224" s="26"/>
      <c r="N224" s="28"/>
    </row>
    <row r="225" spans="1:14" x14ac:dyDescent="0.25">
      <c r="A225">
        <f>A215+1</f>
        <v>23</v>
      </c>
      <c r="C225" s="15" t="str">
        <f>IF(E225="","",IF(SUMIFS('TRA TECH'!M:M,'TRA TECH'!J:J,D226,'TRA TECH'!I:I,F226,'TRA TECH'!H:H,E226)=0,"*",IF(_xlfn.XLOOKUP($A225,Selected_constraint!$A:$A,Selected_constraint!$D:$D)=1,"*",IF(SUMIFS('TRA TECH'!$M:$M,'TRA TECH'!$H:$H,E225,'TRA TECH'!$I:$I,F225)=0,"*",IF(SUMIFS('TRA RESID'!$P:$P,'TRA RESID'!$I:$I,G225,'TRA RESID'!$J:$J,D225,'TRA RESID'!$H:$H,E225)=0,"*","UC_"&amp;SUBSTITUTE(D225,"*","")&amp;"_"&amp;SUBSTITUTE(D225,"*","")&amp;"_"&amp;RIGHT(E225,3)&amp;"_"&amp;F225)))))</f>
        <v>*</v>
      </c>
      <c r="D225" s="17" t="s">
        <v>485</v>
      </c>
      <c r="E225" s="17" t="str">
        <f>_xlfn.XLOOKUP($A225,Selected_constraint!$A:$A,Selected_constraint!$B:$B)</f>
        <v>TRABDS</v>
      </c>
      <c r="F225" s="17" t="str">
        <f>_xlfn.XLOOKUP($A225,Selected_constraint!$A:$A,Selected_constraint!$C:$C)</f>
        <v>TRAPASMOTDMD</v>
      </c>
      <c r="G225" s="17" t="str">
        <f>F225</f>
        <v>TRAPASMOTDMD</v>
      </c>
      <c r="H225" s="18">
        <v>2019</v>
      </c>
      <c r="I225" s="18" t="s">
        <v>484</v>
      </c>
      <c r="J225" s="29" t="e">
        <f>-SUMIFS('TRA RESID'!$P:$P,'TRA RESID'!$I:$I,G226,'TRA RESID'!$J:$J,D226,'TRA RESID'!$H:$H,E226)/(SUMIFS('TRA RESID'!$P:$P,'TRA RESID'!$I:$I,G226,'TRA RESID'!$J:$J,D226,'TRA RESID'!$H:$H,E226)+SUMIFS('TRA RESID'!$P:$P,'TRA RESID'!$I:$I,G225,'TRA RESID'!$J:$J,D225,'TRA RESID'!$H:$H,E225))</f>
        <v>#DIV/0!</v>
      </c>
      <c r="K225" s="18">
        <v>0</v>
      </c>
      <c r="L225" s="18">
        <v>5</v>
      </c>
      <c r="N225" s="21">
        <v>1</v>
      </c>
    </row>
    <row r="226" spans="1:14" x14ac:dyDescent="0.25">
      <c r="C226" s="15" t="str">
        <f t="shared" ref="C226:C234" si="22">IF(C225="*",C225,"")</f>
        <v>*</v>
      </c>
      <c r="D226" s="17" t="s">
        <v>487</v>
      </c>
      <c r="E226" s="17" t="str">
        <f>E225</f>
        <v>TRABDS</v>
      </c>
      <c r="F226" s="17" t="str">
        <f>F225</f>
        <v>TRAPASMOTDMD</v>
      </c>
      <c r="G226" s="17" t="str">
        <f>G225</f>
        <v>TRAPASMOTDMD</v>
      </c>
      <c r="H226" s="18">
        <v>2019</v>
      </c>
      <c r="I226" s="18"/>
      <c r="J226" s="20" t="e">
        <f>1-(J225*-1)</f>
        <v>#DIV/0!</v>
      </c>
      <c r="K226" s="18"/>
      <c r="L226" s="18"/>
      <c r="N226" s="21"/>
    </row>
    <row r="227" spans="1:14" x14ac:dyDescent="0.25">
      <c r="C227" s="15" t="str">
        <f t="shared" si="22"/>
        <v>*</v>
      </c>
      <c r="D227" s="17" t="str">
        <f>D225</f>
        <v>*ICEV*</v>
      </c>
      <c r="E227" s="17" t="str">
        <f>E225</f>
        <v>TRABDS</v>
      </c>
      <c r="F227" s="17" t="str">
        <f>F225</f>
        <v>TRAPASMOTDMD</v>
      </c>
      <c r="G227" s="17" t="str">
        <f>G225</f>
        <v>TRAPASMOTDMD</v>
      </c>
      <c r="H227" s="18">
        <v>2025</v>
      </c>
      <c r="I227" s="18"/>
      <c r="J227" s="29" t="e">
        <f>IF(J225=0,-N227+1,J225*N227)</f>
        <v>#DIV/0!</v>
      </c>
      <c r="K227" s="18"/>
      <c r="L227" s="18"/>
      <c r="N227" s="21">
        <v>1.1000000000000001</v>
      </c>
    </row>
    <row r="228" spans="1:14" x14ac:dyDescent="0.25">
      <c r="C228" s="15" t="str">
        <f t="shared" si="22"/>
        <v>*</v>
      </c>
      <c r="D228" s="17" t="s">
        <v>487</v>
      </c>
      <c r="E228" s="17" t="str">
        <f>E227</f>
        <v>TRABDS</v>
      </c>
      <c r="F228" s="17" t="str">
        <f>F227</f>
        <v>TRAPASMOTDMD</v>
      </c>
      <c r="G228" s="17" t="str">
        <f>G227</f>
        <v>TRAPASMOTDMD</v>
      </c>
      <c r="H228" s="18">
        <v>2025</v>
      </c>
      <c r="I228" s="18"/>
      <c r="J228" s="20" t="e">
        <f>1-(J227*-1)</f>
        <v>#DIV/0!</v>
      </c>
      <c r="K228" s="18"/>
      <c r="L228" s="18"/>
      <c r="N228" s="21"/>
    </row>
    <row r="229" spans="1:14" x14ac:dyDescent="0.25">
      <c r="C229" s="15" t="str">
        <f t="shared" si="22"/>
        <v>*</v>
      </c>
      <c r="D229" s="17" t="str">
        <f>D227</f>
        <v>*ICEV*</v>
      </c>
      <c r="E229" s="17" t="str">
        <f>E227</f>
        <v>TRABDS</v>
      </c>
      <c r="F229" s="17" t="str">
        <f>F227</f>
        <v>TRAPASMOTDMD</v>
      </c>
      <c r="G229" s="17" t="str">
        <f>G227</f>
        <v>TRAPASMOTDMD</v>
      </c>
      <c r="H229" s="18">
        <v>2030</v>
      </c>
      <c r="I229" s="18"/>
      <c r="J229" s="29" t="e">
        <f>IF(J225=0,-N229+1,J225*N229)</f>
        <v>#DIV/0!</v>
      </c>
      <c r="K229" s="18"/>
      <c r="L229" s="18"/>
      <c r="N229" s="21">
        <v>1.2</v>
      </c>
    </row>
    <row r="230" spans="1:14" x14ac:dyDescent="0.25">
      <c r="C230" s="15" t="str">
        <f t="shared" si="22"/>
        <v>*</v>
      </c>
      <c r="D230" s="17" t="s">
        <v>487</v>
      </c>
      <c r="E230" s="17" t="str">
        <f>E229</f>
        <v>TRABDS</v>
      </c>
      <c r="F230" s="17" t="str">
        <f>F229</f>
        <v>TRAPASMOTDMD</v>
      </c>
      <c r="G230" s="17" t="str">
        <f>G229</f>
        <v>TRAPASMOTDMD</v>
      </c>
      <c r="H230" s="18">
        <v>2030</v>
      </c>
      <c r="I230" s="18"/>
      <c r="J230" s="20" t="e">
        <f>1-(J229*-1)</f>
        <v>#DIV/0!</v>
      </c>
      <c r="K230" s="18"/>
      <c r="L230" s="18"/>
      <c r="N230" s="21"/>
    </row>
    <row r="231" spans="1:14" x14ac:dyDescent="0.25">
      <c r="C231" s="15" t="str">
        <f t="shared" si="22"/>
        <v>*</v>
      </c>
      <c r="D231" s="17" t="str">
        <f>D229</f>
        <v>*ICEV*</v>
      </c>
      <c r="E231" s="17" t="str">
        <f>E229</f>
        <v>TRABDS</v>
      </c>
      <c r="F231" s="17" t="str">
        <f>F229</f>
        <v>TRAPASMOTDMD</v>
      </c>
      <c r="G231" s="17" t="str">
        <f>G229</f>
        <v>TRAPASMOTDMD</v>
      </c>
      <c r="H231" s="18">
        <v>2040</v>
      </c>
      <c r="I231" s="18"/>
      <c r="J231" s="29" t="e">
        <f>IF(J225=0,-N231+1,J225*N231)</f>
        <v>#DIV/0!</v>
      </c>
      <c r="K231" s="18"/>
      <c r="L231" s="18"/>
      <c r="N231" s="21">
        <v>1.3</v>
      </c>
    </row>
    <row r="232" spans="1:14" x14ac:dyDescent="0.25">
      <c r="C232" s="15" t="str">
        <f t="shared" si="22"/>
        <v>*</v>
      </c>
      <c r="D232" s="17" t="s">
        <v>487</v>
      </c>
      <c r="E232" s="17" t="str">
        <f>E231</f>
        <v>TRABDS</v>
      </c>
      <c r="F232" s="17" t="str">
        <f>F231</f>
        <v>TRAPASMOTDMD</v>
      </c>
      <c r="G232" s="17" t="str">
        <f>G231</f>
        <v>TRAPASMOTDMD</v>
      </c>
      <c r="H232" s="18">
        <v>2040</v>
      </c>
      <c r="I232" s="18"/>
      <c r="J232" s="20" t="e">
        <f>1-(J231*-1)</f>
        <v>#DIV/0!</v>
      </c>
      <c r="K232" s="18"/>
      <c r="L232" s="18"/>
      <c r="N232" s="21"/>
    </row>
    <row r="233" spans="1:14" x14ac:dyDescent="0.25">
      <c r="C233" s="15" t="str">
        <f t="shared" si="22"/>
        <v>*</v>
      </c>
      <c r="D233" s="17" t="str">
        <f>D231</f>
        <v>*ICEV*</v>
      </c>
      <c r="E233" s="17" t="str">
        <f>E231</f>
        <v>TRABDS</v>
      </c>
      <c r="F233" s="17" t="str">
        <f>F231</f>
        <v>TRAPASMOTDMD</v>
      </c>
      <c r="G233" s="17" t="str">
        <f>G231</f>
        <v>TRAPASMOTDMD</v>
      </c>
      <c r="H233" s="18">
        <v>2050</v>
      </c>
      <c r="I233" s="18"/>
      <c r="J233" s="29" t="e">
        <f>IF(J225=0,-N233+1,J225*N233)</f>
        <v>#DIV/0!</v>
      </c>
      <c r="K233" s="18"/>
      <c r="L233" s="18"/>
      <c r="N233" s="21">
        <v>1.4</v>
      </c>
    </row>
    <row r="234" spans="1:14" x14ac:dyDescent="0.25">
      <c r="C234" s="23" t="str">
        <f t="shared" si="22"/>
        <v>*</v>
      </c>
      <c r="D234" s="25" t="s">
        <v>487</v>
      </c>
      <c r="E234" s="25" t="str">
        <f>E233</f>
        <v>TRABDS</v>
      </c>
      <c r="F234" s="25" t="str">
        <f>F233</f>
        <v>TRAPASMOTDMD</v>
      </c>
      <c r="G234" s="25" t="str">
        <f>G233</f>
        <v>TRAPASMOTDMD</v>
      </c>
      <c r="H234" s="26">
        <v>2050</v>
      </c>
      <c r="I234" s="26"/>
      <c r="J234" s="27" t="e">
        <f>1-(J233*-1)</f>
        <v>#DIV/0!</v>
      </c>
      <c r="K234" s="26"/>
      <c r="L234" s="26"/>
      <c r="N234" s="28"/>
    </row>
    <row r="235" spans="1:14" x14ac:dyDescent="0.25">
      <c r="A235">
        <f>A225+1</f>
        <v>24</v>
      </c>
      <c r="C235" s="15" t="str">
        <f>IF(E235="","",IF(SUMIFS('TRA TECH'!M:M,'TRA TECH'!J:J,D236,'TRA TECH'!I:I,F236,'TRA TECH'!H:H,E236)=0,"*",IF(_xlfn.XLOOKUP($A235,Selected_constraint!$A:$A,Selected_constraint!$D:$D)=1,"*",IF(SUMIFS('TRA TECH'!$M:$M,'TRA TECH'!$H:$H,E235,'TRA TECH'!$I:$I,F235)=0,"*",IF(SUMIFS('TRA RESID'!$P:$P,'TRA RESID'!$I:$I,G235,'TRA RESID'!$J:$J,D235,'TRA RESID'!$H:$H,E235)=0,"*","UC_"&amp;SUBSTITUTE(D235,"*","")&amp;"_"&amp;SUBSTITUTE(D235,"*","")&amp;"_"&amp;RIGHT(E235,3)&amp;"_"&amp;F235)))))</f>
        <v>*</v>
      </c>
      <c r="D235" s="17" t="s">
        <v>485</v>
      </c>
      <c r="E235" s="17" t="str">
        <f>_xlfn.XLOOKUP($A235,Selected_constraint!$A:$A,Selected_constraint!$B:$B)</f>
        <v>TRACNG</v>
      </c>
      <c r="F235" s="17" t="str">
        <f>_xlfn.XLOOKUP($A235,Selected_constraint!$A:$A,Selected_constraint!$C:$C)</f>
        <v>TRAPASMOTDMD</v>
      </c>
      <c r="G235" s="17" t="str">
        <f>F235</f>
        <v>TRAPASMOTDMD</v>
      </c>
      <c r="H235" s="18">
        <v>2019</v>
      </c>
      <c r="I235" s="18" t="s">
        <v>484</v>
      </c>
      <c r="J235" s="29" t="e">
        <f>-SUMIFS('TRA RESID'!$P:$P,'TRA RESID'!$I:$I,G236,'TRA RESID'!$J:$J,D236,'TRA RESID'!$H:$H,E236)/(SUMIFS('TRA RESID'!$P:$P,'TRA RESID'!$I:$I,G236,'TRA RESID'!$J:$J,D236,'TRA RESID'!$H:$H,E236)+SUMIFS('TRA RESID'!$P:$P,'TRA RESID'!$I:$I,G235,'TRA RESID'!$J:$J,D235,'TRA RESID'!$H:$H,E235))</f>
        <v>#DIV/0!</v>
      </c>
      <c r="K235" s="18">
        <v>0</v>
      </c>
      <c r="L235" s="18">
        <v>5</v>
      </c>
      <c r="N235" s="21">
        <v>1</v>
      </c>
    </row>
    <row r="236" spans="1:14" x14ac:dyDescent="0.25">
      <c r="C236" s="15" t="str">
        <f t="shared" ref="C236:C244" si="23">IF(C235="*",C235,"")</f>
        <v>*</v>
      </c>
      <c r="D236" s="17" t="s">
        <v>487</v>
      </c>
      <c r="E236" s="17" t="str">
        <f>E235</f>
        <v>TRACNG</v>
      </c>
      <c r="F236" s="17" t="str">
        <f>F235</f>
        <v>TRAPASMOTDMD</v>
      </c>
      <c r="G236" s="17" t="str">
        <f>G235</f>
        <v>TRAPASMOTDMD</v>
      </c>
      <c r="H236" s="18">
        <v>2019</v>
      </c>
      <c r="I236" s="18"/>
      <c r="J236" s="20" t="e">
        <f>1-(J235*-1)</f>
        <v>#DIV/0!</v>
      </c>
      <c r="K236" s="18"/>
      <c r="L236" s="18"/>
      <c r="N236" s="21"/>
    </row>
    <row r="237" spans="1:14" x14ac:dyDescent="0.25">
      <c r="C237" s="15" t="str">
        <f t="shared" si="23"/>
        <v>*</v>
      </c>
      <c r="D237" s="17" t="str">
        <f>D235</f>
        <v>*ICEV*</v>
      </c>
      <c r="E237" s="17" t="str">
        <f>E235</f>
        <v>TRACNG</v>
      </c>
      <c r="F237" s="17" t="str">
        <f>F235</f>
        <v>TRAPASMOTDMD</v>
      </c>
      <c r="G237" s="17" t="str">
        <f>G235</f>
        <v>TRAPASMOTDMD</v>
      </c>
      <c r="H237" s="18">
        <v>2025</v>
      </c>
      <c r="I237" s="18"/>
      <c r="J237" s="29" t="e">
        <f>IF(J235=0,-N237+1,J235*N237)</f>
        <v>#DIV/0!</v>
      </c>
      <c r="K237" s="18"/>
      <c r="L237" s="18"/>
      <c r="N237" s="21">
        <v>1.1000000000000001</v>
      </c>
    </row>
    <row r="238" spans="1:14" x14ac:dyDescent="0.25">
      <c r="C238" s="15" t="str">
        <f t="shared" si="23"/>
        <v>*</v>
      </c>
      <c r="D238" s="17" t="s">
        <v>487</v>
      </c>
      <c r="E238" s="17" t="str">
        <f>E237</f>
        <v>TRACNG</v>
      </c>
      <c r="F238" s="17" t="str">
        <f>F237</f>
        <v>TRAPASMOTDMD</v>
      </c>
      <c r="G238" s="17" t="str">
        <f>G237</f>
        <v>TRAPASMOTDMD</v>
      </c>
      <c r="H238" s="18">
        <v>2025</v>
      </c>
      <c r="I238" s="18"/>
      <c r="J238" s="20" t="e">
        <f>1-(J237*-1)</f>
        <v>#DIV/0!</v>
      </c>
      <c r="K238" s="18"/>
      <c r="L238" s="18"/>
      <c r="N238" s="21"/>
    </row>
    <row r="239" spans="1:14" x14ac:dyDescent="0.25">
      <c r="C239" s="15" t="str">
        <f t="shared" si="23"/>
        <v>*</v>
      </c>
      <c r="D239" s="17" t="str">
        <f>D237</f>
        <v>*ICEV*</v>
      </c>
      <c r="E239" s="17" t="str">
        <f>E237</f>
        <v>TRACNG</v>
      </c>
      <c r="F239" s="17" t="str">
        <f>F237</f>
        <v>TRAPASMOTDMD</v>
      </c>
      <c r="G239" s="17" t="str">
        <f>G237</f>
        <v>TRAPASMOTDMD</v>
      </c>
      <c r="H239" s="18">
        <v>2030</v>
      </c>
      <c r="I239" s="18"/>
      <c r="J239" s="29" t="e">
        <f>IF(J235=0,-N239+1,J235*N239)</f>
        <v>#DIV/0!</v>
      </c>
      <c r="K239" s="18"/>
      <c r="L239" s="18"/>
      <c r="N239" s="21">
        <v>1.2</v>
      </c>
    </row>
    <row r="240" spans="1:14" x14ac:dyDescent="0.25">
      <c r="C240" s="15" t="str">
        <f t="shared" si="23"/>
        <v>*</v>
      </c>
      <c r="D240" s="17" t="s">
        <v>487</v>
      </c>
      <c r="E240" s="17" t="str">
        <f>E239</f>
        <v>TRACNG</v>
      </c>
      <c r="F240" s="17" t="str">
        <f>F239</f>
        <v>TRAPASMOTDMD</v>
      </c>
      <c r="G240" s="17" t="str">
        <f>G239</f>
        <v>TRAPASMOTDMD</v>
      </c>
      <c r="H240" s="18">
        <v>2030</v>
      </c>
      <c r="I240" s="18"/>
      <c r="J240" s="20" t="e">
        <f>1-(J239*-1)</f>
        <v>#DIV/0!</v>
      </c>
      <c r="K240" s="18"/>
      <c r="L240" s="18"/>
      <c r="N240" s="21"/>
    </row>
    <row r="241" spans="1:14" x14ac:dyDescent="0.25">
      <c r="C241" s="15" t="str">
        <f t="shared" si="23"/>
        <v>*</v>
      </c>
      <c r="D241" s="17" t="str">
        <f>D239</f>
        <v>*ICEV*</v>
      </c>
      <c r="E241" s="17" t="str">
        <f>E239</f>
        <v>TRACNG</v>
      </c>
      <c r="F241" s="17" t="str">
        <f>F239</f>
        <v>TRAPASMOTDMD</v>
      </c>
      <c r="G241" s="17" t="str">
        <f>G239</f>
        <v>TRAPASMOTDMD</v>
      </c>
      <c r="H241" s="18">
        <v>2040</v>
      </c>
      <c r="I241" s="18"/>
      <c r="J241" s="29" t="e">
        <f>IF(J235=0,-N241+1,J235*N241)</f>
        <v>#DIV/0!</v>
      </c>
      <c r="K241" s="18"/>
      <c r="L241" s="18"/>
      <c r="N241" s="21">
        <v>1.3</v>
      </c>
    </row>
    <row r="242" spans="1:14" x14ac:dyDescent="0.25">
      <c r="C242" s="15" t="str">
        <f t="shared" si="23"/>
        <v>*</v>
      </c>
      <c r="D242" s="17" t="s">
        <v>487</v>
      </c>
      <c r="E242" s="17" t="str">
        <f>E241</f>
        <v>TRACNG</v>
      </c>
      <c r="F242" s="17" t="str">
        <f>F241</f>
        <v>TRAPASMOTDMD</v>
      </c>
      <c r="G242" s="17" t="str">
        <f>G241</f>
        <v>TRAPASMOTDMD</v>
      </c>
      <c r="H242" s="18">
        <v>2040</v>
      </c>
      <c r="I242" s="18"/>
      <c r="J242" s="20" t="e">
        <f>1-(J241*-1)</f>
        <v>#DIV/0!</v>
      </c>
      <c r="K242" s="18"/>
      <c r="L242" s="18"/>
      <c r="N242" s="21"/>
    </row>
    <row r="243" spans="1:14" x14ac:dyDescent="0.25">
      <c r="C243" s="15" t="str">
        <f t="shared" si="23"/>
        <v>*</v>
      </c>
      <c r="D243" s="17" t="str">
        <f>D241</f>
        <v>*ICEV*</v>
      </c>
      <c r="E243" s="17" t="str">
        <f>E241</f>
        <v>TRACNG</v>
      </c>
      <c r="F243" s="17" t="str">
        <f>F241</f>
        <v>TRAPASMOTDMD</v>
      </c>
      <c r="G243" s="17" t="str">
        <f>G241</f>
        <v>TRAPASMOTDMD</v>
      </c>
      <c r="H243" s="18">
        <v>2050</v>
      </c>
      <c r="I243" s="18"/>
      <c r="J243" s="29" t="e">
        <f>IF(J235=0,-N243+1,J235*N243)</f>
        <v>#DIV/0!</v>
      </c>
      <c r="K243" s="18"/>
      <c r="L243" s="18"/>
      <c r="N243" s="21">
        <v>1.4</v>
      </c>
    </row>
    <row r="244" spans="1:14" x14ac:dyDescent="0.25">
      <c r="C244" s="23" t="str">
        <f t="shared" si="23"/>
        <v>*</v>
      </c>
      <c r="D244" s="25" t="s">
        <v>487</v>
      </c>
      <c r="E244" s="25" t="str">
        <f>E243</f>
        <v>TRACNG</v>
      </c>
      <c r="F244" s="25" t="str">
        <f>F243</f>
        <v>TRAPASMOTDMD</v>
      </c>
      <c r="G244" s="25" t="str">
        <f>G243</f>
        <v>TRAPASMOTDMD</v>
      </c>
      <c r="H244" s="26">
        <v>2050</v>
      </c>
      <c r="I244" s="26"/>
      <c r="J244" s="27" t="e">
        <f>1-(J243*-1)</f>
        <v>#DIV/0!</v>
      </c>
      <c r="K244" s="26"/>
      <c r="L244" s="26"/>
      <c r="N244" s="28"/>
    </row>
    <row r="245" spans="1:14" x14ac:dyDescent="0.25">
      <c r="A245">
        <f>A235+1</f>
        <v>25</v>
      </c>
      <c r="C245" s="15" t="str">
        <f>IF(E245="","",IF(SUMIFS('TRA TECH'!M:M,'TRA TECH'!J:J,D246,'TRA TECH'!I:I,F246,'TRA TECH'!H:H,E246)=0,"*",IF(_xlfn.XLOOKUP($A245,Selected_constraint!$A:$A,Selected_constraint!$D:$D)=1,"*",IF(SUMIFS('TRA TECH'!$M:$M,'TRA TECH'!$H:$H,E245,'TRA TECH'!$I:$I,F245)=0,"*",IF(SUMIFS('TRA RESID'!$P:$P,'TRA RESID'!$I:$I,G245,'TRA RESID'!$J:$J,D245,'TRA RESID'!$H:$H,E245)=0,"*","UC_"&amp;SUBSTITUTE(D245,"*","")&amp;"_"&amp;SUBSTITUTE(D245,"*","")&amp;"_"&amp;RIGHT(E245,3)&amp;"_"&amp;F245)))))</f>
        <v>*</v>
      </c>
      <c r="D245" s="17" t="s">
        <v>485</v>
      </c>
      <c r="E245" s="17" t="str">
        <f>_xlfn.XLOOKUP($A245,Selected_constraint!$A:$A,Selected_constraint!$B:$B)</f>
        <v>TRARNG</v>
      </c>
      <c r="F245" s="17" t="str">
        <f>_xlfn.XLOOKUP($A245,Selected_constraint!$A:$A,Selected_constraint!$C:$C)</f>
        <v>TRAPASMOTDMD</v>
      </c>
      <c r="G245" s="17" t="str">
        <f>F245</f>
        <v>TRAPASMOTDMD</v>
      </c>
      <c r="H245" s="18">
        <v>2019</v>
      </c>
      <c r="I245" s="18" t="s">
        <v>484</v>
      </c>
      <c r="J245" s="29" t="e">
        <f>-SUMIFS('TRA RESID'!$P:$P,'TRA RESID'!$I:$I,G246,'TRA RESID'!$J:$J,D246,'TRA RESID'!$H:$H,E246)/(SUMIFS('TRA RESID'!$P:$P,'TRA RESID'!$I:$I,G246,'TRA RESID'!$J:$J,D246,'TRA RESID'!$H:$H,E246)+SUMIFS('TRA RESID'!$P:$P,'TRA RESID'!$I:$I,G245,'TRA RESID'!$J:$J,D245,'TRA RESID'!$H:$H,E245))</f>
        <v>#DIV/0!</v>
      </c>
      <c r="K245" s="18">
        <v>0</v>
      </c>
      <c r="L245" s="18">
        <v>5</v>
      </c>
      <c r="N245" s="21">
        <v>1</v>
      </c>
    </row>
    <row r="246" spans="1:14" x14ac:dyDescent="0.25">
      <c r="C246" s="15" t="str">
        <f t="shared" ref="C246:C254" si="24">IF(C245="*",C245,"")</f>
        <v>*</v>
      </c>
      <c r="D246" s="17" t="s">
        <v>487</v>
      </c>
      <c r="E246" s="17" t="str">
        <f>E245</f>
        <v>TRARNG</v>
      </c>
      <c r="F246" s="17" t="str">
        <f>F245</f>
        <v>TRAPASMOTDMD</v>
      </c>
      <c r="G246" s="17" t="str">
        <f>G245</f>
        <v>TRAPASMOTDMD</v>
      </c>
      <c r="H246" s="18">
        <v>2019</v>
      </c>
      <c r="I246" s="18"/>
      <c r="J246" s="20" t="e">
        <f>1-(J245*-1)</f>
        <v>#DIV/0!</v>
      </c>
      <c r="K246" s="18"/>
      <c r="L246" s="18"/>
      <c r="N246" s="21"/>
    </row>
    <row r="247" spans="1:14" x14ac:dyDescent="0.25">
      <c r="C247" s="15" t="str">
        <f t="shared" si="24"/>
        <v>*</v>
      </c>
      <c r="D247" s="17" t="str">
        <f>D245</f>
        <v>*ICEV*</v>
      </c>
      <c r="E247" s="17" t="str">
        <f>E245</f>
        <v>TRARNG</v>
      </c>
      <c r="F247" s="17" t="str">
        <f>F245</f>
        <v>TRAPASMOTDMD</v>
      </c>
      <c r="G247" s="17" t="str">
        <f>G245</f>
        <v>TRAPASMOTDMD</v>
      </c>
      <c r="H247" s="18">
        <v>2025</v>
      </c>
      <c r="I247" s="18"/>
      <c r="J247" s="29" t="e">
        <f>IF(J245=0,-N247+1,J245*N247)</f>
        <v>#DIV/0!</v>
      </c>
      <c r="K247" s="18"/>
      <c r="L247" s="18"/>
      <c r="N247" s="21">
        <v>1.1000000000000001</v>
      </c>
    </row>
    <row r="248" spans="1:14" x14ac:dyDescent="0.25">
      <c r="C248" s="15" t="str">
        <f t="shared" si="24"/>
        <v>*</v>
      </c>
      <c r="D248" s="17" t="s">
        <v>487</v>
      </c>
      <c r="E248" s="17" t="str">
        <f>E247</f>
        <v>TRARNG</v>
      </c>
      <c r="F248" s="17" t="str">
        <f>F247</f>
        <v>TRAPASMOTDMD</v>
      </c>
      <c r="G248" s="17" t="str">
        <f>G247</f>
        <v>TRAPASMOTDMD</v>
      </c>
      <c r="H248" s="18">
        <v>2025</v>
      </c>
      <c r="I248" s="18"/>
      <c r="J248" s="20" t="e">
        <f>1-(J247*-1)</f>
        <v>#DIV/0!</v>
      </c>
      <c r="K248" s="18"/>
      <c r="L248" s="18"/>
      <c r="N248" s="21"/>
    </row>
    <row r="249" spans="1:14" x14ac:dyDescent="0.25">
      <c r="C249" s="15" t="str">
        <f t="shared" si="24"/>
        <v>*</v>
      </c>
      <c r="D249" s="17" t="str">
        <f>D247</f>
        <v>*ICEV*</v>
      </c>
      <c r="E249" s="17" t="str">
        <f>E247</f>
        <v>TRARNG</v>
      </c>
      <c r="F249" s="17" t="str">
        <f>F247</f>
        <v>TRAPASMOTDMD</v>
      </c>
      <c r="G249" s="17" t="str">
        <f>G247</f>
        <v>TRAPASMOTDMD</v>
      </c>
      <c r="H249" s="18">
        <v>2030</v>
      </c>
      <c r="I249" s="18"/>
      <c r="J249" s="29" t="e">
        <f>IF(J245=0,-N249+1,J245*N249)</f>
        <v>#DIV/0!</v>
      </c>
      <c r="K249" s="18"/>
      <c r="L249" s="18"/>
      <c r="N249" s="21">
        <v>1.2</v>
      </c>
    </row>
    <row r="250" spans="1:14" x14ac:dyDescent="0.25">
      <c r="C250" s="15" t="str">
        <f t="shared" si="24"/>
        <v>*</v>
      </c>
      <c r="D250" s="17" t="s">
        <v>487</v>
      </c>
      <c r="E250" s="17" t="str">
        <f>E249</f>
        <v>TRARNG</v>
      </c>
      <c r="F250" s="17" t="str">
        <f>F249</f>
        <v>TRAPASMOTDMD</v>
      </c>
      <c r="G250" s="17" t="str">
        <f>G249</f>
        <v>TRAPASMOTDMD</v>
      </c>
      <c r="H250" s="18">
        <v>2030</v>
      </c>
      <c r="I250" s="18"/>
      <c r="J250" s="20" t="e">
        <f>1-(J249*-1)</f>
        <v>#DIV/0!</v>
      </c>
      <c r="K250" s="18"/>
      <c r="L250" s="18"/>
      <c r="N250" s="21"/>
    </row>
    <row r="251" spans="1:14" x14ac:dyDescent="0.25">
      <c r="C251" s="15" t="str">
        <f t="shared" si="24"/>
        <v>*</v>
      </c>
      <c r="D251" s="17" t="str">
        <f>D249</f>
        <v>*ICEV*</v>
      </c>
      <c r="E251" s="17" t="str">
        <f>E249</f>
        <v>TRARNG</v>
      </c>
      <c r="F251" s="17" t="str">
        <f>F249</f>
        <v>TRAPASMOTDMD</v>
      </c>
      <c r="G251" s="17" t="str">
        <f>G249</f>
        <v>TRAPASMOTDMD</v>
      </c>
      <c r="H251" s="18">
        <v>2040</v>
      </c>
      <c r="I251" s="18"/>
      <c r="J251" s="29" t="e">
        <f>IF(J245=0,-N251+1,J245*N251)</f>
        <v>#DIV/0!</v>
      </c>
      <c r="K251" s="18"/>
      <c r="L251" s="18"/>
      <c r="N251" s="21">
        <v>1.3</v>
      </c>
    </row>
    <row r="252" spans="1:14" x14ac:dyDescent="0.25">
      <c r="C252" s="15" t="str">
        <f t="shared" si="24"/>
        <v>*</v>
      </c>
      <c r="D252" s="17" t="s">
        <v>487</v>
      </c>
      <c r="E252" s="17" t="str">
        <f>E251</f>
        <v>TRARNG</v>
      </c>
      <c r="F252" s="17" t="str">
        <f>F251</f>
        <v>TRAPASMOTDMD</v>
      </c>
      <c r="G252" s="17" t="str">
        <f>G251</f>
        <v>TRAPASMOTDMD</v>
      </c>
      <c r="H252" s="18">
        <v>2040</v>
      </c>
      <c r="I252" s="18"/>
      <c r="J252" s="20" t="e">
        <f>1-(J251*-1)</f>
        <v>#DIV/0!</v>
      </c>
      <c r="K252" s="18"/>
      <c r="L252" s="18"/>
      <c r="N252" s="21"/>
    </row>
    <row r="253" spans="1:14" x14ac:dyDescent="0.25">
      <c r="C253" s="15" t="str">
        <f t="shared" si="24"/>
        <v>*</v>
      </c>
      <c r="D253" s="17" t="str">
        <f>D251</f>
        <v>*ICEV*</v>
      </c>
      <c r="E253" s="17" t="str">
        <f>E251</f>
        <v>TRARNG</v>
      </c>
      <c r="F253" s="17" t="str">
        <f>F251</f>
        <v>TRAPASMOTDMD</v>
      </c>
      <c r="G253" s="17" t="str">
        <f>G251</f>
        <v>TRAPASMOTDMD</v>
      </c>
      <c r="H253" s="18">
        <v>2050</v>
      </c>
      <c r="I253" s="18"/>
      <c r="J253" s="29" t="e">
        <f>IF(J245=0,-N253+1,J245*N253)</f>
        <v>#DIV/0!</v>
      </c>
      <c r="K253" s="18"/>
      <c r="L253" s="18"/>
      <c r="N253" s="21">
        <v>1.4</v>
      </c>
    </row>
    <row r="254" spans="1:14" x14ac:dyDescent="0.25">
      <c r="C254" s="23" t="str">
        <f t="shared" si="24"/>
        <v>*</v>
      </c>
      <c r="D254" s="25" t="s">
        <v>487</v>
      </c>
      <c r="E254" s="25" t="str">
        <f>E253</f>
        <v>TRARNG</v>
      </c>
      <c r="F254" s="25" t="str">
        <f>F253</f>
        <v>TRAPASMOTDMD</v>
      </c>
      <c r="G254" s="25" t="str">
        <f>G253</f>
        <v>TRAPASMOTDMD</v>
      </c>
      <c r="H254" s="26">
        <v>2050</v>
      </c>
      <c r="I254" s="26"/>
      <c r="J254" s="27" t="e">
        <f>1-(J253*-1)</f>
        <v>#DIV/0!</v>
      </c>
      <c r="K254" s="26"/>
      <c r="L254" s="26"/>
      <c r="N254" s="28"/>
    </row>
    <row r="255" spans="1:14" x14ac:dyDescent="0.25">
      <c r="A255">
        <f>A245+1</f>
        <v>26</v>
      </c>
      <c r="C255" s="15" t="str">
        <f>IF(E255="","",IF(SUMIFS('TRA TECH'!M:M,'TRA TECH'!J:J,D256,'TRA TECH'!I:I,F256,'TRA TECH'!H:H,E256)=0,"*",IF(_xlfn.XLOOKUP($A255,Selected_constraint!$A:$A,Selected_constraint!$D:$D)=1,"*",IF(SUMIFS('TRA TECH'!$M:$M,'TRA TECH'!$H:$H,E255,'TRA TECH'!$I:$I,F255)=0,"*",IF(SUMIFS('TRA RESID'!$P:$P,'TRA RESID'!$I:$I,G255,'TRA RESID'!$J:$J,D255,'TRA RESID'!$H:$H,E255)=0,"*","UC_"&amp;SUBSTITUTE(D255,"*","")&amp;"_"&amp;SUBSTITUTE(D255,"*","")&amp;"_"&amp;RIGHT(E255,3)&amp;"_"&amp;F255)))))</f>
        <v>*</v>
      </c>
      <c r="D255" s="17" t="s">
        <v>485</v>
      </c>
      <c r="E255" s="17" t="str">
        <f>_xlfn.XLOOKUP($A255,Selected_constraint!$A:$A,Selected_constraint!$B:$B)</f>
        <v>TRABAT</v>
      </c>
      <c r="F255" s="17" t="str">
        <f>_xlfn.XLOOKUP($A255,Selected_constraint!$A:$A,Selected_constraint!$C:$C)</f>
        <v>TRAPASMOTDMD</v>
      </c>
      <c r="G255" s="17" t="str">
        <f>F255</f>
        <v>TRAPASMOTDMD</v>
      </c>
      <c r="H255" s="18">
        <v>2019</v>
      </c>
      <c r="I255" s="18" t="s">
        <v>484</v>
      </c>
      <c r="J255" s="29" t="e">
        <f>-SUMIFS('TRA RESID'!$P:$P,'TRA RESID'!$I:$I,G256,'TRA RESID'!$J:$J,D256,'TRA RESID'!$H:$H,E256)/(SUMIFS('TRA RESID'!$P:$P,'TRA RESID'!$I:$I,G256,'TRA RESID'!$J:$J,D256,'TRA RESID'!$H:$H,E256)+SUMIFS('TRA RESID'!$P:$P,'TRA RESID'!$I:$I,G255,'TRA RESID'!$J:$J,D255,'TRA RESID'!$H:$H,E255))</f>
        <v>#DIV/0!</v>
      </c>
      <c r="K255" s="18">
        <v>0</v>
      </c>
      <c r="L255" s="18">
        <v>5</v>
      </c>
      <c r="N255" s="21">
        <v>1</v>
      </c>
    </row>
    <row r="256" spans="1:14" x14ac:dyDescent="0.25">
      <c r="C256" s="15" t="str">
        <f t="shared" ref="C256:C264" si="25">IF(C255="*",C255,"")</f>
        <v>*</v>
      </c>
      <c r="D256" s="17" t="s">
        <v>487</v>
      </c>
      <c r="E256" s="17" t="str">
        <f>E255</f>
        <v>TRABAT</v>
      </c>
      <c r="F256" s="17" t="str">
        <f>F255</f>
        <v>TRAPASMOTDMD</v>
      </c>
      <c r="G256" s="17" t="str">
        <f>G255</f>
        <v>TRAPASMOTDMD</v>
      </c>
      <c r="H256" s="18">
        <v>2019</v>
      </c>
      <c r="I256" s="18"/>
      <c r="J256" s="20" t="e">
        <f>1-(J255*-1)</f>
        <v>#DIV/0!</v>
      </c>
      <c r="K256" s="18"/>
      <c r="L256" s="18"/>
      <c r="N256" s="21"/>
    </row>
    <row r="257" spans="1:14" x14ac:dyDescent="0.25">
      <c r="C257" s="15" t="str">
        <f t="shared" si="25"/>
        <v>*</v>
      </c>
      <c r="D257" s="17" t="str">
        <f>D255</f>
        <v>*ICEV*</v>
      </c>
      <c r="E257" s="17" t="str">
        <f>E255</f>
        <v>TRABAT</v>
      </c>
      <c r="F257" s="17" t="str">
        <f>F255</f>
        <v>TRAPASMOTDMD</v>
      </c>
      <c r="G257" s="17" t="str">
        <f>G255</f>
        <v>TRAPASMOTDMD</v>
      </c>
      <c r="H257" s="18">
        <v>2025</v>
      </c>
      <c r="I257" s="18"/>
      <c r="J257" s="29" t="e">
        <f>IF(J255=0,-N257+1,J255*N257)</f>
        <v>#DIV/0!</v>
      </c>
      <c r="K257" s="18"/>
      <c r="L257" s="18"/>
      <c r="N257" s="21">
        <v>1.1000000000000001</v>
      </c>
    </row>
    <row r="258" spans="1:14" x14ac:dyDescent="0.25">
      <c r="C258" s="15" t="str">
        <f t="shared" si="25"/>
        <v>*</v>
      </c>
      <c r="D258" s="17" t="s">
        <v>487</v>
      </c>
      <c r="E258" s="17" t="str">
        <f>E257</f>
        <v>TRABAT</v>
      </c>
      <c r="F258" s="17" t="str">
        <f>F257</f>
        <v>TRAPASMOTDMD</v>
      </c>
      <c r="G258" s="17" t="str">
        <f>G257</f>
        <v>TRAPASMOTDMD</v>
      </c>
      <c r="H258" s="18">
        <v>2025</v>
      </c>
      <c r="I258" s="18"/>
      <c r="J258" s="20" t="e">
        <f>1-(J257*-1)</f>
        <v>#DIV/0!</v>
      </c>
      <c r="K258" s="18"/>
      <c r="L258" s="18"/>
      <c r="N258" s="21"/>
    </row>
    <row r="259" spans="1:14" x14ac:dyDescent="0.25">
      <c r="C259" s="15" t="str">
        <f t="shared" si="25"/>
        <v>*</v>
      </c>
      <c r="D259" s="17" t="str">
        <f>D257</f>
        <v>*ICEV*</v>
      </c>
      <c r="E259" s="17" t="str">
        <f>E257</f>
        <v>TRABAT</v>
      </c>
      <c r="F259" s="17" t="str">
        <f>F257</f>
        <v>TRAPASMOTDMD</v>
      </c>
      <c r="G259" s="17" t="str">
        <f>G257</f>
        <v>TRAPASMOTDMD</v>
      </c>
      <c r="H259" s="18">
        <v>2030</v>
      </c>
      <c r="I259" s="18"/>
      <c r="J259" s="29" t="e">
        <f>IF(J255=0,-N259+1,J255*N259)</f>
        <v>#DIV/0!</v>
      </c>
      <c r="K259" s="18"/>
      <c r="L259" s="18"/>
      <c r="N259" s="21">
        <v>1.2</v>
      </c>
    </row>
    <row r="260" spans="1:14" x14ac:dyDescent="0.25">
      <c r="C260" s="15" t="str">
        <f t="shared" si="25"/>
        <v>*</v>
      </c>
      <c r="D260" s="17" t="s">
        <v>487</v>
      </c>
      <c r="E260" s="17" t="str">
        <f>E259</f>
        <v>TRABAT</v>
      </c>
      <c r="F260" s="17" t="str">
        <f>F259</f>
        <v>TRAPASMOTDMD</v>
      </c>
      <c r="G260" s="17" t="str">
        <f>G259</f>
        <v>TRAPASMOTDMD</v>
      </c>
      <c r="H260" s="18">
        <v>2030</v>
      </c>
      <c r="I260" s="18"/>
      <c r="J260" s="20" t="e">
        <f>1-(J259*-1)</f>
        <v>#DIV/0!</v>
      </c>
      <c r="K260" s="18"/>
      <c r="L260" s="18"/>
      <c r="N260" s="21"/>
    </row>
    <row r="261" spans="1:14" x14ac:dyDescent="0.25">
      <c r="C261" s="15" t="str">
        <f t="shared" si="25"/>
        <v>*</v>
      </c>
      <c r="D261" s="17" t="str">
        <f>D259</f>
        <v>*ICEV*</v>
      </c>
      <c r="E261" s="17" t="str">
        <f>E259</f>
        <v>TRABAT</v>
      </c>
      <c r="F261" s="17" t="str">
        <f>F259</f>
        <v>TRAPASMOTDMD</v>
      </c>
      <c r="G261" s="17" t="str">
        <f>G259</f>
        <v>TRAPASMOTDMD</v>
      </c>
      <c r="H261" s="18">
        <v>2040</v>
      </c>
      <c r="I261" s="18"/>
      <c r="J261" s="29" t="e">
        <f>IF(J255=0,-N261+1,J255*N261)</f>
        <v>#DIV/0!</v>
      </c>
      <c r="K261" s="18"/>
      <c r="L261" s="18"/>
      <c r="N261" s="21">
        <v>1.3</v>
      </c>
    </row>
    <row r="262" spans="1:14" x14ac:dyDescent="0.25">
      <c r="C262" s="15" t="str">
        <f t="shared" si="25"/>
        <v>*</v>
      </c>
      <c r="D262" s="17" t="s">
        <v>487</v>
      </c>
      <c r="E262" s="17" t="str">
        <f>E261</f>
        <v>TRABAT</v>
      </c>
      <c r="F262" s="17" t="str">
        <f>F261</f>
        <v>TRAPASMOTDMD</v>
      </c>
      <c r="G262" s="17" t="str">
        <f>G261</f>
        <v>TRAPASMOTDMD</v>
      </c>
      <c r="H262" s="18">
        <v>2040</v>
      </c>
      <c r="I262" s="18"/>
      <c r="J262" s="20" t="e">
        <f>1-(J261*-1)</f>
        <v>#DIV/0!</v>
      </c>
      <c r="K262" s="18"/>
      <c r="L262" s="18"/>
      <c r="N262" s="21"/>
    </row>
    <row r="263" spans="1:14" x14ac:dyDescent="0.25">
      <c r="C263" s="15" t="str">
        <f t="shared" si="25"/>
        <v>*</v>
      </c>
      <c r="D263" s="17" t="str">
        <f>D261</f>
        <v>*ICEV*</v>
      </c>
      <c r="E263" s="17" t="str">
        <f>E261</f>
        <v>TRABAT</v>
      </c>
      <c r="F263" s="17" t="str">
        <f>F261</f>
        <v>TRAPASMOTDMD</v>
      </c>
      <c r="G263" s="17" t="str">
        <f>G261</f>
        <v>TRAPASMOTDMD</v>
      </c>
      <c r="H263" s="18">
        <v>2050</v>
      </c>
      <c r="I263" s="18"/>
      <c r="J263" s="29" t="e">
        <f>IF(J255=0,-N263+1,J255*N263)</f>
        <v>#DIV/0!</v>
      </c>
      <c r="K263" s="18"/>
      <c r="L263" s="18"/>
      <c r="N263" s="21">
        <v>1.4</v>
      </c>
    </row>
    <row r="264" spans="1:14" x14ac:dyDescent="0.25">
      <c r="C264" s="23" t="str">
        <f t="shared" si="25"/>
        <v>*</v>
      </c>
      <c r="D264" s="25" t="s">
        <v>487</v>
      </c>
      <c r="E264" s="25" t="str">
        <f>E263</f>
        <v>TRABAT</v>
      </c>
      <c r="F264" s="25" t="str">
        <f>F263</f>
        <v>TRAPASMOTDMD</v>
      </c>
      <c r="G264" s="25" t="str">
        <f>G263</f>
        <v>TRAPASMOTDMD</v>
      </c>
      <c r="H264" s="26">
        <v>2050</v>
      </c>
      <c r="I264" s="26"/>
      <c r="J264" s="27" t="e">
        <f>1-(J263*-1)</f>
        <v>#DIV/0!</v>
      </c>
      <c r="K264" s="26"/>
      <c r="L264" s="26"/>
      <c r="N264" s="28"/>
    </row>
    <row r="265" spans="1:14" x14ac:dyDescent="0.25">
      <c r="A265">
        <f>A255+1</f>
        <v>27</v>
      </c>
      <c r="C265" s="15" t="str">
        <f>IF(E265="","",IF(SUMIFS('TRA TECH'!M:M,'TRA TECH'!J:J,D266,'TRA TECH'!I:I,F266,'TRA TECH'!H:H,E266)=0,"*",IF(_xlfn.XLOOKUP($A265,Selected_constraint!$A:$A,Selected_constraint!$D:$D)=1,"*",IF(SUMIFS('TRA TECH'!$M:$M,'TRA TECH'!$H:$H,E265,'TRA TECH'!$I:$I,F265)=0,"*",IF(SUMIFS('TRA RESID'!$P:$P,'TRA RESID'!$I:$I,G265,'TRA RESID'!$J:$J,D265,'TRA RESID'!$H:$H,E265)=0,"*","UC_"&amp;SUBSTITUTE(D265,"*","")&amp;"_"&amp;SUBSTITUTE(D265,"*","")&amp;"_"&amp;RIGHT(E265,3)&amp;"_"&amp;F265)))))</f>
        <v>*</v>
      </c>
      <c r="D265" s="17" t="s">
        <v>485</v>
      </c>
      <c r="E265" s="17" t="str">
        <f>_xlfn.XLOOKUP($A265,Selected_constraint!$A:$A,Selected_constraint!$B:$B)</f>
        <v>TRAH2G</v>
      </c>
      <c r="F265" s="17" t="str">
        <f>_xlfn.XLOOKUP($A265,Selected_constraint!$A:$A,Selected_constraint!$C:$C)</f>
        <v>TRAPASMOTDMD</v>
      </c>
      <c r="G265" s="17" t="str">
        <f>F265</f>
        <v>TRAPASMOTDMD</v>
      </c>
      <c r="H265" s="18">
        <v>2019</v>
      </c>
      <c r="I265" s="18" t="s">
        <v>484</v>
      </c>
      <c r="J265" s="29" t="e">
        <f>-SUMIFS('TRA RESID'!$P:$P,'TRA RESID'!$I:$I,G266,'TRA RESID'!$J:$J,D266,'TRA RESID'!$H:$H,E266)/(SUMIFS('TRA RESID'!$P:$P,'TRA RESID'!$I:$I,G266,'TRA RESID'!$J:$J,D266,'TRA RESID'!$H:$H,E266)+SUMIFS('TRA RESID'!$P:$P,'TRA RESID'!$I:$I,G265,'TRA RESID'!$J:$J,D265,'TRA RESID'!$H:$H,E265))</f>
        <v>#DIV/0!</v>
      </c>
      <c r="K265" s="18">
        <v>0</v>
      </c>
      <c r="L265" s="18">
        <v>5</v>
      </c>
      <c r="N265" s="21">
        <v>1</v>
      </c>
    </row>
    <row r="266" spans="1:14" x14ac:dyDescent="0.25">
      <c r="C266" s="15" t="str">
        <f t="shared" ref="C266:C274" si="26">IF(C265="*",C265,"")</f>
        <v>*</v>
      </c>
      <c r="D266" s="17" t="s">
        <v>487</v>
      </c>
      <c r="E266" s="17" t="str">
        <f>E265</f>
        <v>TRAH2G</v>
      </c>
      <c r="F266" s="17" t="str">
        <f>F265</f>
        <v>TRAPASMOTDMD</v>
      </c>
      <c r="G266" s="17" t="str">
        <f>G265</f>
        <v>TRAPASMOTDMD</v>
      </c>
      <c r="H266" s="18">
        <v>2019</v>
      </c>
      <c r="I266" s="18"/>
      <c r="J266" s="20" t="e">
        <f>1-(J265*-1)</f>
        <v>#DIV/0!</v>
      </c>
      <c r="K266" s="18"/>
      <c r="L266" s="18"/>
      <c r="N266" s="21"/>
    </row>
    <row r="267" spans="1:14" x14ac:dyDescent="0.25">
      <c r="C267" s="15" t="str">
        <f t="shared" si="26"/>
        <v>*</v>
      </c>
      <c r="D267" s="17" t="str">
        <f>D265</f>
        <v>*ICEV*</v>
      </c>
      <c r="E267" s="17" t="str">
        <f>E265</f>
        <v>TRAH2G</v>
      </c>
      <c r="F267" s="17" t="str">
        <f>F265</f>
        <v>TRAPASMOTDMD</v>
      </c>
      <c r="G267" s="17" t="str">
        <f>G265</f>
        <v>TRAPASMOTDMD</v>
      </c>
      <c r="H267" s="18">
        <v>2025</v>
      </c>
      <c r="I267" s="18"/>
      <c r="J267" s="29" t="e">
        <f>IF(J265=0,-N267+1,J265*N267)</f>
        <v>#DIV/0!</v>
      </c>
      <c r="K267" s="18"/>
      <c r="L267" s="18"/>
      <c r="N267" s="21">
        <v>1.1000000000000001</v>
      </c>
    </row>
    <row r="268" spans="1:14" x14ac:dyDescent="0.25">
      <c r="C268" s="15" t="str">
        <f t="shared" si="26"/>
        <v>*</v>
      </c>
      <c r="D268" s="17" t="s">
        <v>487</v>
      </c>
      <c r="E268" s="17" t="str">
        <f>E267</f>
        <v>TRAH2G</v>
      </c>
      <c r="F268" s="17" t="str">
        <f>F267</f>
        <v>TRAPASMOTDMD</v>
      </c>
      <c r="G268" s="17" t="str">
        <f>G267</f>
        <v>TRAPASMOTDMD</v>
      </c>
      <c r="H268" s="18">
        <v>2025</v>
      </c>
      <c r="I268" s="18"/>
      <c r="J268" s="20" t="e">
        <f>1-(J267*-1)</f>
        <v>#DIV/0!</v>
      </c>
      <c r="K268" s="18"/>
      <c r="L268" s="18"/>
      <c r="N268" s="21"/>
    </row>
    <row r="269" spans="1:14" x14ac:dyDescent="0.25">
      <c r="C269" s="15" t="str">
        <f t="shared" si="26"/>
        <v>*</v>
      </c>
      <c r="D269" s="17" t="str">
        <f>D267</f>
        <v>*ICEV*</v>
      </c>
      <c r="E269" s="17" t="str">
        <f>E267</f>
        <v>TRAH2G</v>
      </c>
      <c r="F269" s="17" t="str">
        <f>F267</f>
        <v>TRAPASMOTDMD</v>
      </c>
      <c r="G269" s="17" t="str">
        <f>G267</f>
        <v>TRAPASMOTDMD</v>
      </c>
      <c r="H269" s="18">
        <v>2030</v>
      </c>
      <c r="I269" s="18"/>
      <c r="J269" s="29" t="e">
        <f>IF(J265=0,-N269+1,J265*N269)</f>
        <v>#DIV/0!</v>
      </c>
      <c r="K269" s="18"/>
      <c r="L269" s="18"/>
      <c r="N269" s="21">
        <v>1.2</v>
      </c>
    </row>
    <row r="270" spans="1:14" x14ac:dyDescent="0.25">
      <c r="C270" s="15" t="str">
        <f t="shared" si="26"/>
        <v>*</v>
      </c>
      <c r="D270" s="17" t="s">
        <v>487</v>
      </c>
      <c r="E270" s="17" t="str">
        <f>E269</f>
        <v>TRAH2G</v>
      </c>
      <c r="F270" s="17" t="str">
        <f>F269</f>
        <v>TRAPASMOTDMD</v>
      </c>
      <c r="G270" s="17" t="str">
        <f>G269</f>
        <v>TRAPASMOTDMD</v>
      </c>
      <c r="H270" s="18">
        <v>2030</v>
      </c>
      <c r="I270" s="18"/>
      <c r="J270" s="20" t="e">
        <f>1-(J269*-1)</f>
        <v>#DIV/0!</v>
      </c>
      <c r="K270" s="18"/>
      <c r="L270" s="18"/>
      <c r="N270" s="21"/>
    </row>
    <row r="271" spans="1:14" x14ac:dyDescent="0.25">
      <c r="C271" s="15" t="str">
        <f t="shared" si="26"/>
        <v>*</v>
      </c>
      <c r="D271" s="17" t="str">
        <f>D269</f>
        <v>*ICEV*</v>
      </c>
      <c r="E271" s="17" t="str">
        <f>E269</f>
        <v>TRAH2G</v>
      </c>
      <c r="F271" s="17" t="str">
        <f>F269</f>
        <v>TRAPASMOTDMD</v>
      </c>
      <c r="G271" s="17" t="str">
        <f>G269</f>
        <v>TRAPASMOTDMD</v>
      </c>
      <c r="H271" s="18">
        <v>2040</v>
      </c>
      <c r="I271" s="18"/>
      <c r="J271" s="29" t="e">
        <f>IF(J265=0,-N271+1,J265*N271)</f>
        <v>#DIV/0!</v>
      </c>
      <c r="K271" s="18"/>
      <c r="L271" s="18"/>
      <c r="N271" s="21">
        <v>1.3</v>
      </c>
    </row>
    <row r="272" spans="1:14" x14ac:dyDescent="0.25">
      <c r="C272" s="15" t="str">
        <f t="shared" si="26"/>
        <v>*</v>
      </c>
      <c r="D272" s="17" t="s">
        <v>487</v>
      </c>
      <c r="E272" s="17" t="str">
        <f>E271</f>
        <v>TRAH2G</v>
      </c>
      <c r="F272" s="17" t="str">
        <f>F271</f>
        <v>TRAPASMOTDMD</v>
      </c>
      <c r="G272" s="17" t="str">
        <f>G271</f>
        <v>TRAPASMOTDMD</v>
      </c>
      <c r="H272" s="18">
        <v>2040</v>
      </c>
      <c r="I272" s="18"/>
      <c r="J272" s="20" t="e">
        <f>1-(J271*-1)</f>
        <v>#DIV/0!</v>
      </c>
      <c r="K272" s="18"/>
      <c r="L272" s="18"/>
      <c r="N272" s="21"/>
    </row>
    <row r="273" spans="1:14" x14ac:dyDescent="0.25">
      <c r="C273" s="15" t="str">
        <f t="shared" si="26"/>
        <v>*</v>
      </c>
      <c r="D273" s="17" t="str">
        <f>D271</f>
        <v>*ICEV*</v>
      </c>
      <c r="E273" s="17" t="str">
        <f>E271</f>
        <v>TRAH2G</v>
      </c>
      <c r="F273" s="17" t="str">
        <f>F271</f>
        <v>TRAPASMOTDMD</v>
      </c>
      <c r="G273" s="17" t="str">
        <f>G271</f>
        <v>TRAPASMOTDMD</v>
      </c>
      <c r="H273" s="18">
        <v>2050</v>
      </c>
      <c r="I273" s="18"/>
      <c r="J273" s="29" t="e">
        <f>IF(J265=0,-N273+1,J265*N273)</f>
        <v>#DIV/0!</v>
      </c>
      <c r="K273" s="18"/>
      <c r="L273" s="18"/>
      <c r="N273" s="21">
        <v>1.4</v>
      </c>
    </row>
    <row r="274" spans="1:14" x14ac:dyDescent="0.25">
      <c r="C274" s="23" t="str">
        <f t="shared" si="26"/>
        <v>*</v>
      </c>
      <c r="D274" s="25" t="s">
        <v>487</v>
      </c>
      <c r="E274" s="25" t="str">
        <f>E273</f>
        <v>TRAH2G</v>
      </c>
      <c r="F274" s="25" t="str">
        <f>F273</f>
        <v>TRAPASMOTDMD</v>
      </c>
      <c r="G274" s="25" t="str">
        <f>G273</f>
        <v>TRAPASMOTDMD</v>
      </c>
      <c r="H274" s="26">
        <v>2050</v>
      </c>
      <c r="I274" s="26"/>
      <c r="J274" s="27" t="e">
        <f>1-(J273*-1)</f>
        <v>#DIV/0!</v>
      </c>
      <c r="K274" s="26"/>
      <c r="L274" s="26"/>
      <c r="N274" s="28"/>
    </row>
    <row r="275" spans="1:14" x14ac:dyDescent="0.25">
      <c r="A275">
        <f>A265+1</f>
        <v>28</v>
      </c>
      <c r="C275" s="15" t="str">
        <f>IF(E275="","",IF(SUMIFS('TRA TECH'!M:M,'TRA TECH'!J:J,D276,'TRA TECH'!I:I,F276,'TRA TECH'!H:H,E276)=0,"*",IF(_xlfn.XLOOKUP($A275,Selected_constraint!$A:$A,Selected_constraint!$D:$D)=1,"*",IF(SUMIFS('TRA TECH'!$M:$M,'TRA TECH'!$H:$H,E275,'TRA TECH'!$I:$I,F275)=0,"*",IF(SUMIFS('TRA RESID'!$P:$P,'TRA RESID'!$I:$I,G275,'TRA RESID'!$J:$J,D275,'TRA RESID'!$H:$H,E275)=0,"*","UC_"&amp;SUBSTITUTE(D275,"*","")&amp;"_"&amp;SUBSTITUTE(D275,"*","")&amp;"_"&amp;RIGHT(E275,3)&amp;"_"&amp;F275)))))</f>
        <v>UC_ICEV_ICEV_GSL_TRAFRECLTDMD</v>
      </c>
      <c r="D275" s="17" t="s">
        <v>485</v>
      </c>
      <c r="E275" s="17" t="str">
        <f>_xlfn.XLOOKUP($A275,Selected_constraint!$A:$A,Selected_constraint!$B:$B)</f>
        <v>TRAGSL</v>
      </c>
      <c r="F275" s="17" t="str">
        <f>_xlfn.XLOOKUP($A275,Selected_constraint!$A:$A,Selected_constraint!$C:$C)</f>
        <v>TRAFRECLTDMD</v>
      </c>
      <c r="G275" s="17" t="str">
        <f>F275</f>
        <v>TRAFRECLTDMD</v>
      </c>
      <c r="H275" s="18">
        <v>2019</v>
      </c>
      <c r="I275" s="18" t="s">
        <v>484</v>
      </c>
      <c r="J275" s="29">
        <f>-SUMIFS('TRA RESID'!$P:$P,'TRA RESID'!$I:$I,G276,'TRA RESID'!$J:$J,D276,'TRA RESID'!$H:$H,E276)/(SUMIFS('TRA RESID'!$P:$P,'TRA RESID'!$I:$I,G276,'TRA RESID'!$J:$J,D276,'TRA RESID'!$H:$H,E276)+SUMIFS('TRA RESID'!$P:$P,'TRA RESID'!$I:$I,G275,'TRA RESID'!$J:$J,D275,'TRA RESID'!$H:$H,E275))</f>
        <v>0</v>
      </c>
      <c r="K275" s="18">
        <v>0</v>
      </c>
      <c r="L275" s="18">
        <v>5</v>
      </c>
      <c r="N275" s="21">
        <v>1</v>
      </c>
    </row>
    <row r="276" spans="1:14" x14ac:dyDescent="0.25">
      <c r="C276" s="15" t="str">
        <f t="shared" ref="C276:C284" si="27">IF(C275="*",C275,"")</f>
        <v/>
      </c>
      <c r="D276" s="17" t="s">
        <v>487</v>
      </c>
      <c r="E276" s="17" t="str">
        <f>E275</f>
        <v>TRAGSL</v>
      </c>
      <c r="F276" s="17" t="str">
        <f>F275</f>
        <v>TRAFRECLTDMD</v>
      </c>
      <c r="G276" s="17" t="str">
        <f>G275</f>
        <v>TRAFRECLTDMD</v>
      </c>
      <c r="H276" s="18">
        <v>2019</v>
      </c>
      <c r="I276" s="18"/>
      <c r="J276" s="20">
        <f>1-(J275*-1)</f>
        <v>1</v>
      </c>
      <c r="K276" s="18"/>
      <c r="L276" s="18"/>
      <c r="N276" s="21"/>
    </row>
    <row r="277" spans="1:14" x14ac:dyDescent="0.25">
      <c r="C277" s="15" t="str">
        <f t="shared" si="27"/>
        <v/>
      </c>
      <c r="D277" s="17" t="str">
        <f>D275</f>
        <v>*ICEV*</v>
      </c>
      <c r="E277" s="17" t="str">
        <f>E275</f>
        <v>TRAGSL</v>
      </c>
      <c r="F277" s="17" t="str">
        <f>F275</f>
        <v>TRAFRECLTDMD</v>
      </c>
      <c r="G277" s="17" t="str">
        <f>G275</f>
        <v>TRAFRECLTDMD</v>
      </c>
      <c r="H277" s="18">
        <v>2025</v>
      </c>
      <c r="I277" s="18"/>
      <c r="J277" s="29">
        <f>IF(J275=0,-N277+1,J275*N277)</f>
        <v>-0.10000000000000009</v>
      </c>
      <c r="K277" s="18"/>
      <c r="L277" s="18"/>
      <c r="N277" s="21">
        <v>1.1000000000000001</v>
      </c>
    </row>
    <row r="278" spans="1:14" x14ac:dyDescent="0.25">
      <c r="C278" s="15" t="str">
        <f t="shared" si="27"/>
        <v/>
      </c>
      <c r="D278" s="17" t="s">
        <v>487</v>
      </c>
      <c r="E278" s="17" t="str">
        <f>E277</f>
        <v>TRAGSL</v>
      </c>
      <c r="F278" s="17" t="str">
        <f>F277</f>
        <v>TRAFRECLTDMD</v>
      </c>
      <c r="G278" s="17" t="str">
        <f>G277</f>
        <v>TRAFRECLTDMD</v>
      </c>
      <c r="H278" s="18">
        <v>2025</v>
      </c>
      <c r="I278" s="18"/>
      <c r="J278" s="20">
        <f>1-(J277*-1)</f>
        <v>0.89999999999999991</v>
      </c>
      <c r="K278" s="18"/>
      <c r="L278" s="18"/>
      <c r="N278" s="21"/>
    </row>
    <row r="279" spans="1:14" x14ac:dyDescent="0.25">
      <c r="C279" s="15" t="str">
        <f t="shared" si="27"/>
        <v/>
      </c>
      <c r="D279" s="17" t="str">
        <f>D277</f>
        <v>*ICEV*</v>
      </c>
      <c r="E279" s="17" t="str">
        <f>E277</f>
        <v>TRAGSL</v>
      </c>
      <c r="F279" s="17" t="str">
        <f>F277</f>
        <v>TRAFRECLTDMD</v>
      </c>
      <c r="G279" s="17" t="str">
        <f>G277</f>
        <v>TRAFRECLTDMD</v>
      </c>
      <c r="H279" s="18">
        <v>2030</v>
      </c>
      <c r="I279" s="18"/>
      <c r="J279" s="29">
        <f>IF(J275=0,-N279+1,J275*N279)</f>
        <v>-0.19999999999999996</v>
      </c>
      <c r="K279" s="18"/>
      <c r="L279" s="18"/>
      <c r="N279" s="21">
        <v>1.2</v>
      </c>
    </row>
    <row r="280" spans="1:14" x14ac:dyDescent="0.25">
      <c r="C280" s="15" t="str">
        <f t="shared" si="27"/>
        <v/>
      </c>
      <c r="D280" s="17" t="s">
        <v>487</v>
      </c>
      <c r="E280" s="17" t="str">
        <f>E279</f>
        <v>TRAGSL</v>
      </c>
      <c r="F280" s="17" t="str">
        <f>F279</f>
        <v>TRAFRECLTDMD</v>
      </c>
      <c r="G280" s="17" t="str">
        <f>G279</f>
        <v>TRAFRECLTDMD</v>
      </c>
      <c r="H280" s="18">
        <v>2030</v>
      </c>
      <c r="I280" s="18"/>
      <c r="J280" s="20">
        <f>1-(J279*-1)</f>
        <v>0.8</v>
      </c>
      <c r="K280" s="18"/>
      <c r="L280" s="18"/>
      <c r="N280" s="21"/>
    </row>
    <row r="281" spans="1:14" x14ac:dyDescent="0.25">
      <c r="C281" s="15" t="str">
        <f t="shared" si="27"/>
        <v/>
      </c>
      <c r="D281" s="17" t="str">
        <f>D279</f>
        <v>*ICEV*</v>
      </c>
      <c r="E281" s="17" t="str">
        <f>E279</f>
        <v>TRAGSL</v>
      </c>
      <c r="F281" s="17" t="str">
        <f>F279</f>
        <v>TRAFRECLTDMD</v>
      </c>
      <c r="G281" s="17" t="str">
        <f>G279</f>
        <v>TRAFRECLTDMD</v>
      </c>
      <c r="H281" s="18">
        <v>2040</v>
      </c>
      <c r="I281" s="18"/>
      <c r="J281" s="29">
        <f>IF(J275=0,-N281+1,J275*N281)</f>
        <v>-0.30000000000000004</v>
      </c>
      <c r="K281" s="18"/>
      <c r="L281" s="18"/>
      <c r="N281" s="21">
        <v>1.3</v>
      </c>
    </row>
    <row r="282" spans="1:14" x14ac:dyDescent="0.25">
      <c r="C282" s="15" t="str">
        <f t="shared" si="27"/>
        <v/>
      </c>
      <c r="D282" s="17" t="s">
        <v>487</v>
      </c>
      <c r="E282" s="17" t="str">
        <f>E281</f>
        <v>TRAGSL</v>
      </c>
      <c r="F282" s="17" t="str">
        <f>F281</f>
        <v>TRAFRECLTDMD</v>
      </c>
      <c r="G282" s="17" t="str">
        <f>G281</f>
        <v>TRAFRECLTDMD</v>
      </c>
      <c r="H282" s="18">
        <v>2040</v>
      </c>
      <c r="I282" s="18"/>
      <c r="J282" s="20">
        <f>1-(J281*-1)</f>
        <v>0.7</v>
      </c>
      <c r="K282" s="18"/>
      <c r="L282" s="18"/>
      <c r="N282" s="21"/>
    </row>
    <row r="283" spans="1:14" x14ac:dyDescent="0.25">
      <c r="C283" s="15" t="str">
        <f t="shared" si="27"/>
        <v/>
      </c>
      <c r="D283" s="17" t="str">
        <f>D281</f>
        <v>*ICEV*</v>
      </c>
      <c r="E283" s="17" t="str">
        <f>E281</f>
        <v>TRAGSL</v>
      </c>
      <c r="F283" s="17" t="str">
        <f>F281</f>
        <v>TRAFRECLTDMD</v>
      </c>
      <c r="G283" s="17" t="str">
        <f>G281</f>
        <v>TRAFRECLTDMD</v>
      </c>
      <c r="H283" s="18">
        <v>2050</v>
      </c>
      <c r="I283" s="18"/>
      <c r="J283" s="29">
        <f>IF(J275=0,-N283+1,J275*N283)</f>
        <v>-0.39999999999999991</v>
      </c>
      <c r="K283" s="18"/>
      <c r="L283" s="18"/>
      <c r="N283" s="21">
        <v>1.4</v>
      </c>
    </row>
    <row r="284" spans="1:14" x14ac:dyDescent="0.25">
      <c r="C284" s="23" t="str">
        <f t="shared" si="27"/>
        <v/>
      </c>
      <c r="D284" s="25" t="s">
        <v>487</v>
      </c>
      <c r="E284" s="25" t="str">
        <f>E283</f>
        <v>TRAGSL</v>
      </c>
      <c r="F284" s="25" t="str">
        <f>F283</f>
        <v>TRAFRECLTDMD</v>
      </c>
      <c r="G284" s="25" t="str">
        <f>G283</f>
        <v>TRAFRECLTDMD</v>
      </c>
      <c r="H284" s="26">
        <v>2050</v>
      </c>
      <c r="I284" s="26"/>
      <c r="J284" s="27">
        <f>1-(J283*-1)</f>
        <v>0.60000000000000009</v>
      </c>
      <c r="K284" s="26"/>
      <c r="L284" s="26"/>
      <c r="N284" s="28"/>
    </row>
    <row r="285" spans="1:14" x14ac:dyDescent="0.25">
      <c r="A285">
        <f>A275+1</f>
        <v>29</v>
      </c>
      <c r="C285" s="15" t="str">
        <f>IF(E285="","",IF(SUMIFS('TRA TECH'!M:M,'TRA TECH'!J:J,D286,'TRA TECH'!I:I,F286,'TRA TECH'!H:H,E286)=0,"*",IF(_xlfn.XLOOKUP($A285,Selected_constraint!$A:$A,Selected_constraint!$D:$D)=1,"*",IF(SUMIFS('TRA TECH'!$M:$M,'TRA TECH'!$H:$H,E285,'TRA TECH'!$I:$I,F285)=0,"*",IF(SUMIFS('TRA RESID'!$P:$P,'TRA RESID'!$I:$I,G285,'TRA RESID'!$J:$J,D285,'TRA RESID'!$H:$H,E285)=0,"*","UC_"&amp;SUBSTITUTE(D285,"*","")&amp;"_"&amp;SUBSTITUTE(D285,"*","")&amp;"_"&amp;RIGHT(E285,3)&amp;"_"&amp;F285)))))</f>
        <v>*</v>
      </c>
      <c r="D285" s="17" t="s">
        <v>485</v>
      </c>
      <c r="E285" s="17" t="str">
        <f>_xlfn.XLOOKUP($A285,Selected_constraint!$A:$A,Selected_constraint!$B:$B)</f>
        <v>TRAETH</v>
      </c>
      <c r="F285" s="17" t="str">
        <f>_xlfn.XLOOKUP($A285,Selected_constraint!$A:$A,Selected_constraint!$C:$C)</f>
        <v>TRAFRECLTDMD</v>
      </c>
      <c r="G285" s="17" t="str">
        <f>F285</f>
        <v>TRAFRECLTDMD</v>
      </c>
      <c r="H285" s="18">
        <v>2019</v>
      </c>
      <c r="I285" s="18" t="s">
        <v>484</v>
      </c>
      <c r="J285" s="29" t="e">
        <f>-SUMIFS('TRA RESID'!$P:$P,'TRA RESID'!$I:$I,G286,'TRA RESID'!$J:$J,D286,'TRA RESID'!$H:$H,E286)/(SUMIFS('TRA RESID'!$P:$P,'TRA RESID'!$I:$I,G286,'TRA RESID'!$J:$J,D286,'TRA RESID'!$H:$H,E286)+SUMIFS('TRA RESID'!$P:$P,'TRA RESID'!$I:$I,G285,'TRA RESID'!$J:$J,D285,'TRA RESID'!$H:$H,E285))</f>
        <v>#DIV/0!</v>
      </c>
      <c r="K285" s="18">
        <v>0</v>
      </c>
      <c r="L285" s="18">
        <v>5</v>
      </c>
      <c r="N285" s="21">
        <v>1</v>
      </c>
    </row>
    <row r="286" spans="1:14" x14ac:dyDescent="0.25">
      <c r="C286" s="15" t="str">
        <f t="shared" ref="C286:C294" si="28">IF(C285="*",C285,"")</f>
        <v>*</v>
      </c>
      <c r="D286" s="17" t="s">
        <v>487</v>
      </c>
      <c r="E286" s="17" t="str">
        <f>E285</f>
        <v>TRAETH</v>
      </c>
      <c r="F286" s="17" t="str">
        <f>F285</f>
        <v>TRAFRECLTDMD</v>
      </c>
      <c r="G286" s="17" t="str">
        <f>G285</f>
        <v>TRAFRECLTDMD</v>
      </c>
      <c r="H286" s="18">
        <v>2019</v>
      </c>
      <c r="I286" s="18"/>
      <c r="J286" s="20" t="e">
        <f>1-(J285*-1)</f>
        <v>#DIV/0!</v>
      </c>
      <c r="K286" s="18"/>
      <c r="L286" s="18"/>
      <c r="N286" s="21"/>
    </row>
    <row r="287" spans="1:14" x14ac:dyDescent="0.25">
      <c r="C287" s="15" t="str">
        <f t="shared" si="28"/>
        <v>*</v>
      </c>
      <c r="D287" s="17" t="str">
        <f>D285</f>
        <v>*ICEV*</v>
      </c>
      <c r="E287" s="17" t="str">
        <f>E285</f>
        <v>TRAETH</v>
      </c>
      <c r="F287" s="17" t="str">
        <f>F285</f>
        <v>TRAFRECLTDMD</v>
      </c>
      <c r="G287" s="17" t="str">
        <f>G285</f>
        <v>TRAFRECLTDMD</v>
      </c>
      <c r="H287" s="18">
        <v>2025</v>
      </c>
      <c r="I287" s="18"/>
      <c r="J287" s="29" t="e">
        <f>IF(J285=0,-N287+1,J285*N287)</f>
        <v>#DIV/0!</v>
      </c>
      <c r="K287" s="18"/>
      <c r="L287" s="18"/>
      <c r="N287" s="21">
        <v>1.1000000000000001</v>
      </c>
    </row>
    <row r="288" spans="1:14" x14ac:dyDescent="0.25">
      <c r="C288" s="15" t="str">
        <f t="shared" si="28"/>
        <v>*</v>
      </c>
      <c r="D288" s="17" t="s">
        <v>487</v>
      </c>
      <c r="E288" s="17" t="str">
        <f>E287</f>
        <v>TRAETH</v>
      </c>
      <c r="F288" s="17" t="str">
        <f>F287</f>
        <v>TRAFRECLTDMD</v>
      </c>
      <c r="G288" s="17" t="str">
        <f>G287</f>
        <v>TRAFRECLTDMD</v>
      </c>
      <c r="H288" s="18">
        <v>2025</v>
      </c>
      <c r="I288" s="18"/>
      <c r="J288" s="20" t="e">
        <f>1-(J287*-1)</f>
        <v>#DIV/0!</v>
      </c>
      <c r="K288" s="18"/>
      <c r="L288" s="18"/>
      <c r="N288" s="21"/>
    </row>
    <row r="289" spans="1:14" x14ac:dyDescent="0.25">
      <c r="C289" s="15" t="str">
        <f t="shared" si="28"/>
        <v>*</v>
      </c>
      <c r="D289" s="17" t="str">
        <f>D287</f>
        <v>*ICEV*</v>
      </c>
      <c r="E289" s="17" t="str">
        <f>E287</f>
        <v>TRAETH</v>
      </c>
      <c r="F289" s="17" t="str">
        <f>F287</f>
        <v>TRAFRECLTDMD</v>
      </c>
      <c r="G289" s="17" t="str">
        <f>G287</f>
        <v>TRAFRECLTDMD</v>
      </c>
      <c r="H289" s="18">
        <v>2030</v>
      </c>
      <c r="I289" s="18"/>
      <c r="J289" s="29" t="e">
        <f>IF(J285=0,-N289+1,J285*N289)</f>
        <v>#DIV/0!</v>
      </c>
      <c r="K289" s="18"/>
      <c r="L289" s="18"/>
      <c r="N289" s="21">
        <v>1.2</v>
      </c>
    </row>
    <row r="290" spans="1:14" x14ac:dyDescent="0.25">
      <c r="C290" s="15" t="str">
        <f t="shared" si="28"/>
        <v>*</v>
      </c>
      <c r="D290" s="17" t="s">
        <v>487</v>
      </c>
      <c r="E290" s="17" t="str">
        <f>E289</f>
        <v>TRAETH</v>
      </c>
      <c r="F290" s="17" t="str">
        <f>F289</f>
        <v>TRAFRECLTDMD</v>
      </c>
      <c r="G290" s="17" t="str">
        <f>G289</f>
        <v>TRAFRECLTDMD</v>
      </c>
      <c r="H290" s="18">
        <v>2030</v>
      </c>
      <c r="I290" s="18"/>
      <c r="J290" s="20" t="e">
        <f>1-(J289*-1)</f>
        <v>#DIV/0!</v>
      </c>
      <c r="K290" s="18"/>
      <c r="L290" s="18"/>
      <c r="N290" s="21"/>
    </row>
    <row r="291" spans="1:14" x14ac:dyDescent="0.25">
      <c r="C291" s="15" t="str">
        <f t="shared" si="28"/>
        <v>*</v>
      </c>
      <c r="D291" s="17" t="str">
        <f>D289</f>
        <v>*ICEV*</v>
      </c>
      <c r="E291" s="17" t="str">
        <f>E289</f>
        <v>TRAETH</v>
      </c>
      <c r="F291" s="17" t="str">
        <f>F289</f>
        <v>TRAFRECLTDMD</v>
      </c>
      <c r="G291" s="17" t="str">
        <f>G289</f>
        <v>TRAFRECLTDMD</v>
      </c>
      <c r="H291" s="18">
        <v>2040</v>
      </c>
      <c r="I291" s="18"/>
      <c r="J291" s="29" t="e">
        <f>IF(J285=0,-N291+1,J285*N291)</f>
        <v>#DIV/0!</v>
      </c>
      <c r="K291" s="18"/>
      <c r="L291" s="18"/>
      <c r="N291" s="21">
        <v>1.3</v>
      </c>
    </row>
    <row r="292" spans="1:14" x14ac:dyDescent="0.25">
      <c r="C292" s="15" t="str">
        <f t="shared" si="28"/>
        <v>*</v>
      </c>
      <c r="D292" s="17" t="s">
        <v>487</v>
      </c>
      <c r="E292" s="17" t="str">
        <f>E291</f>
        <v>TRAETH</v>
      </c>
      <c r="F292" s="17" t="str">
        <f>F291</f>
        <v>TRAFRECLTDMD</v>
      </c>
      <c r="G292" s="17" t="str">
        <f>G291</f>
        <v>TRAFRECLTDMD</v>
      </c>
      <c r="H292" s="18">
        <v>2040</v>
      </c>
      <c r="I292" s="18"/>
      <c r="J292" s="20" t="e">
        <f>1-(J291*-1)</f>
        <v>#DIV/0!</v>
      </c>
      <c r="K292" s="18"/>
      <c r="L292" s="18"/>
      <c r="N292" s="21"/>
    </row>
    <row r="293" spans="1:14" x14ac:dyDescent="0.25">
      <c r="C293" s="15" t="str">
        <f t="shared" si="28"/>
        <v>*</v>
      </c>
      <c r="D293" s="17" t="str">
        <f>D291</f>
        <v>*ICEV*</v>
      </c>
      <c r="E293" s="17" t="str">
        <f>E291</f>
        <v>TRAETH</v>
      </c>
      <c r="F293" s="17" t="str">
        <f>F291</f>
        <v>TRAFRECLTDMD</v>
      </c>
      <c r="G293" s="17" t="str">
        <f>G291</f>
        <v>TRAFRECLTDMD</v>
      </c>
      <c r="H293" s="18">
        <v>2050</v>
      </c>
      <c r="I293" s="18"/>
      <c r="J293" s="29" t="e">
        <f>IF(J285=0,-N293+1,J285*N293)</f>
        <v>#DIV/0!</v>
      </c>
      <c r="K293" s="18"/>
      <c r="L293" s="18"/>
      <c r="N293" s="21">
        <v>1.4</v>
      </c>
    </row>
    <row r="294" spans="1:14" x14ac:dyDescent="0.25">
      <c r="C294" s="23" t="str">
        <f t="shared" si="28"/>
        <v>*</v>
      </c>
      <c r="D294" s="25" t="s">
        <v>487</v>
      </c>
      <c r="E294" s="25" t="str">
        <f>E293</f>
        <v>TRAETH</v>
      </c>
      <c r="F294" s="25" t="str">
        <f>F293</f>
        <v>TRAFRECLTDMD</v>
      </c>
      <c r="G294" s="25" t="str">
        <f>G293</f>
        <v>TRAFRECLTDMD</v>
      </c>
      <c r="H294" s="26">
        <v>2050</v>
      </c>
      <c r="I294" s="26"/>
      <c r="J294" s="27" t="e">
        <f>1-(J293*-1)</f>
        <v>#DIV/0!</v>
      </c>
      <c r="K294" s="26"/>
      <c r="L294" s="26"/>
      <c r="N294" s="28"/>
    </row>
    <row r="295" spans="1:14" x14ac:dyDescent="0.25">
      <c r="A295">
        <f>A285+1</f>
        <v>30</v>
      </c>
      <c r="C295" s="15" t="str">
        <f>IF(E295="","",IF(SUMIFS('TRA TECH'!M:M,'TRA TECH'!J:J,D296,'TRA TECH'!I:I,F296,'TRA TECH'!H:H,E296)=0,"*",IF(_xlfn.XLOOKUP($A295,Selected_constraint!$A:$A,Selected_constraint!$D:$D)=1,"*",IF(SUMIFS('TRA TECH'!$M:$M,'TRA TECH'!$H:$H,E295,'TRA TECH'!$I:$I,F295)=0,"*",IF(SUMIFS('TRA RESID'!$P:$P,'TRA RESID'!$I:$I,G295,'TRA RESID'!$J:$J,D295,'TRA RESID'!$H:$H,E295)=0,"*","UC_"&amp;SUBSTITUTE(D295,"*","")&amp;"_"&amp;SUBSTITUTE(D295,"*","")&amp;"_"&amp;RIGHT(E295,3)&amp;"_"&amp;F295)))))</f>
        <v>*</v>
      </c>
      <c r="D295" s="17" t="s">
        <v>485</v>
      </c>
      <c r="E295" s="17" t="str">
        <f>_xlfn.XLOOKUP($A295,Selected_constraint!$A:$A,Selected_constraint!$B:$B)</f>
        <v>TRADSL</v>
      </c>
      <c r="F295" s="17" t="str">
        <f>_xlfn.XLOOKUP($A295,Selected_constraint!$A:$A,Selected_constraint!$C:$C)</f>
        <v>TRAFRECLTDMD</v>
      </c>
      <c r="G295" s="17" t="str">
        <f>F295</f>
        <v>TRAFRECLTDMD</v>
      </c>
      <c r="H295" s="18">
        <v>2019</v>
      </c>
      <c r="I295" s="18" t="s">
        <v>484</v>
      </c>
      <c r="J295" s="29">
        <f>-SUMIFS('TRA RESID'!$P:$P,'TRA RESID'!$I:$I,G296,'TRA RESID'!$J:$J,D296,'TRA RESID'!$H:$H,E296)/(SUMIFS('TRA RESID'!$P:$P,'TRA RESID'!$I:$I,G296,'TRA RESID'!$J:$J,D296,'TRA RESID'!$H:$H,E296)+SUMIFS('TRA RESID'!$P:$P,'TRA RESID'!$I:$I,G295,'TRA RESID'!$J:$J,D295,'TRA RESID'!$H:$H,E295))</f>
        <v>0</v>
      </c>
      <c r="K295" s="18">
        <v>0</v>
      </c>
      <c r="L295" s="18">
        <v>5</v>
      </c>
      <c r="N295" s="21">
        <v>1</v>
      </c>
    </row>
    <row r="296" spans="1:14" x14ac:dyDescent="0.25">
      <c r="C296" s="15" t="str">
        <f t="shared" ref="C296:C304" si="29">IF(C295="*",C295,"")</f>
        <v>*</v>
      </c>
      <c r="D296" s="17" t="s">
        <v>487</v>
      </c>
      <c r="E296" s="17" t="str">
        <f>E295</f>
        <v>TRADSL</v>
      </c>
      <c r="F296" s="17" t="str">
        <f>F295</f>
        <v>TRAFRECLTDMD</v>
      </c>
      <c r="G296" s="17" t="str">
        <f>G295</f>
        <v>TRAFRECLTDMD</v>
      </c>
      <c r="H296" s="18">
        <v>2019</v>
      </c>
      <c r="I296" s="18"/>
      <c r="J296" s="20">
        <f>1-(J295*-1)</f>
        <v>1</v>
      </c>
      <c r="K296" s="18"/>
      <c r="L296" s="18"/>
      <c r="N296" s="21"/>
    </row>
    <row r="297" spans="1:14" x14ac:dyDescent="0.25">
      <c r="C297" s="15" t="str">
        <f t="shared" si="29"/>
        <v>*</v>
      </c>
      <c r="D297" s="17" t="str">
        <f>D295</f>
        <v>*ICEV*</v>
      </c>
      <c r="E297" s="17" t="str">
        <f>E295</f>
        <v>TRADSL</v>
      </c>
      <c r="F297" s="17" t="str">
        <f>F295</f>
        <v>TRAFRECLTDMD</v>
      </c>
      <c r="G297" s="17" t="str">
        <f>G295</f>
        <v>TRAFRECLTDMD</v>
      </c>
      <c r="H297" s="18">
        <v>2025</v>
      </c>
      <c r="I297" s="18"/>
      <c r="J297" s="29">
        <f>IF(J295=0,-N297+1,J295*N297)</f>
        <v>-0.10000000000000009</v>
      </c>
      <c r="K297" s="18"/>
      <c r="L297" s="18"/>
      <c r="N297" s="21">
        <v>1.1000000000000001</v>
      </c>
    </row>
    <row r="298" spans="1:14" x14ac:dyDescent="0.25">
      <c r="C298" s="15" t="str">
        <f t="shared" si="29"/>
        <v>*</v>
      </c>
      <c r="D298" s="17" t="s">
        <v>487</v>
      </c>
      <c r="E298" s="17" t="str">
        <f>E297</f>
        <v>TRADSL</v>
      </c>
      <c r="F298" s="17" t="str">
        <f>F297</f>
        <v>TRAFRECLTDMD</v>
      </c>
      <c r="G298" s="17" t="str">
        <f>G297</f>
        <v>TRAFRECLTDMD</v>
      </c>
      <c r="H298" s="18">
        <v>2025</v>
      </c>
      <c r="I298" s="18"/>
      <c r="J298" s="20">
        <f>1-(J297*-1)</f>
        <v>0.89999999999999991</v>
      </c>
      <c r="K298" s="18"/>
      <c r="L298" s="18"/>
      <c r="N298" s="21"/>
    </row>
    <row r="299" spans="1:14" x14ac:dyDescent="0.25">
      <c r="C299" s="15" t="str">
        <f t="shared" si="29"/>
        <v>*</v>
      </c>
      <c r="D299" s="17" t="str">
        <f>D297</f>
        <v>*ICEV*</v>
      </c>
      <c r="E299" s="17" t="str">
        <f>E297</f>
        <v>TRADSL</v>
      </c>
      <c r="F299" s="17" t="str">
        <f>F297</f>
        <v>TRAFRECLTDMD</v>
      </c>
      <c r="G299" s="17" t="str">
        <f>G297</f>
        <v>TRAFRECLTDMD</v>
      </c>
      <c r="H299" s="18">
        <v>2030</v>
      </c>
      <c r="I299" s="18"/>
      <c r="J299" s="29">
        <f>IF(J295=0,-N299+1,J295*N299)</f>
        <v>-0.19999999999999996</v>
      </c>
      <c r="K299" s="18"/>
      <c r="L299" s="18"/>
      <c r="N299" s="21">
        <v>1.2</v>
      </c>
    </row>
    <row r="300" spans="1:14" x14ac:dyDescent="0.25">
      <c r="C300" s="15" t="str">
        <f t="shared" si="29"/>
        <v>*</v>
      </c>
      <c r="D300" s="17" t="s">
        <v>487</v>
      </c>
      <c r="E300" s="17" t="str">
        <f>E299</f>
        <v>TRADSL</v>
      </c>
      <c r="F300" s="17" t="str">
        <f>F299</f>
        <v>TRAFRECLTDMD</v>
      </c>
      <c r="G300" s="17" t="str">
        <f>G299</f>
        <v>TRAFRECLTDMD</v>
      </c>
      <c r="H300" s="18">
        <v>2030</v>
      </c>
      <c r="I300" s="18"/>
      <c r="J300" s="20">
        <f>1-(J299*-1)</f>
        <v>0.8</v>
      </c>
      <c r="K300" s="18"/>
      <c r="L300" s="18"/>
      <c r="N300" s="21"/>
    </row>
    <row r="301" spans="1:14" x14ac:dyDescent="0.25">
      <c r="C301" s="15" t="str">
        <f t="shared" si="29"/>
        <v>*</v>
      </c>
      <c r="D301" s="17" t="str">
        <f>D299</f>
        <v>*ICEV*</v>
      </c>
      <c r="E301" s="17" t="str">
        <f>E299</f>
        <v>TRADSL</v>
      </c>
      <c r="F301" s="17" t="str">
        <f>F299</f>
        <v>TRAFRECLTDMD</v>
      </c>
      <c r="G301" s="17" t="str">
        <f>G299</f>
        <v>TRAFRECLTDMD</v>
      </c>
      <c r="H301" s="18">
        <v>2040</v>
      </c>
      <c r="I301" s="18"/>
      <c r="J301" s="29">
        <f>IF(J295=0,-N301+1,J295*N301)</f>
        <v>-0.30000000000000004</v>
      </c>
      <c r="K301" s="18"/>
      <c r="L301" s="18"/>
      <c r="N301" s="21">
        <v>1.3</v>
      </c>
    </row>
    <row r="302" spans="1:14" x14ac:dyDescent="0.25">
      <c r="C302" s="15" t="str">
        <f t="shared" si="29"/>
        <v>*</v>
      </c>
      <c r="D302" s="17" t="s">
        <v>487</v>
      </c>
      <c r="E302" s="17" t="str">
        <f>E301</f>
        <v>TRADSL</v>
      </c>
      <c r="F302" s="17" t="str">
        <f>F301</f>
        <v>TRAFRECLTDMD</v>
      </c>
      <c r="G302" s="17" t="str">
        <f>G301</f>
        <v>TRAFRECLTDMD</v>
      </c>
      <c r="H302" s="18">
        <v>2040</v>
      </c>
      <c r="I302" s="18"/>
      <c r="J302" s="20">
        <f>1-(J301*-1)</f>
        <v>0.7</v>
      </c>
      <c r="K302" s="18"/>
      <c r="L302" s="18"/>
      <c r="N302" s="21"/>
    </row>
    <row r="303" spans="1:14" x14ac:dyDescent="0.25">
      <c r="C303" s="15" t="str">
        <f t="shared" si="29"/>
        <v>*</v>
      </c>
      <c r="D303" s="17" t="str">
        <f>D301</f>
        <v>*ICEV*</v>
      </c>
      <c r="E303" s="17" t="str">
        <f>E301</f>
        <v>TRADSL</v>
      </c>
      <c r="F303" s="17" t="str">
        <f>F301</f>
        <v>TRAFRECLTDMD</v>
      </c>
      <c r="G303" s="17" t="str">
        <f>G301</f>
        <v>TRAFRECLTDMD</v>
      </c>
      <c r="H303" s="18">
        <v>2050</v>
      </c>
      <c r="I303" s="18"/>
      <c r="J303" s="29">
        <f>IF(J295=0,-N303+1,J295*N303)</f>
        <v>-0.39999999999999991</v>
      </c>
      <c r="K303" s="18"/>
      <c r="L303" s="18"/>
      <c r="N303" s="21">
        <v>1.4</v>
      </c>
    </row>
    <row r="304" spans="1:14" x14ac:dyDescent="0.25">
      <c r="C304" s="23" t="str">
        <f t="shared" si="29"/>
        <v>*</v>
      </c>
      <c r="D304" s="25" t="s">
        <v>487</v>
      </c>
      <c r="E304" s="25" t="str">
        <f>E303</f>
        <v>TRADSL</v>
      </c>
      <c r="F304" s="25" t="str">
        <f>F303</f>
        <v>TRAFRECLTDMD</v>
      </c>
      <c r="G304" s="25" t="str">
        <f>G303</f>
        <v>TRAFRECLTDMD</v>
      </c>
      <c r="H304" s="26">
        <v>2050</v>
      </c>
      <c r="I304" s="26"/>
      <c r="J304" s="27">
        <f>1-(J303*-1)</f>
        <v>0.60000000000000009</v>
      </c>
      <c r="K304" s="26"/>
      <c r="L304" s="26"/>
      <c r="N304" s="28"/>
    </row>
    <row r="305" spans="1:14" x14ac:dyDescent="0.25">
      <c r="A305">
        <f>A295+1</f>
        <v>31</v>
      </c>
      <c r="C305" s="15" t="str">
        <f>IF(E305="","",IF(SUMIFS('TRA TECH'!M:M,'TRA TECH'!J:J,D306,'TRA TECH'!I:I,F306,'TRA TECH'!H:H,E306)=0,"*",IF(_xlfn.XLOOKUP($A305,Selected_constraint!$A:$A,Selected_constraint!$D:$D)=1,"*",IF(SUMIFS('TRA TECH'!$M:$M,'TRA TECH'!$H:$H,E305,'TRA TECH'!$I:$I,F305)=0,"*",IF(SUMIFS('TRA RESID'!$P:$P,'TRA RESID'!$I:$I,G305,'TRA RESID'!$J:$J,D305,'TRA RESID'!$H:$H,E305)=0,"*","UC_"&amp;SUBSTITUTE(D305,"*","")&amp;"_"&amp;SUBSTITUTE(D305,"*","")&amp;"_"&amp;RIGHT(E305,3)&amp;"_"&amp;F305)))))</f>
        <v>*</v>
      </c>
      <c r="D305" s="17" t="s">
        <v>485</v>
      </c>
      <c r="E305" s="17" t="str">
        <f>_xlfn.XLOOKUP($A305,Selected_constraint!$A:$A,Selected_constraint!$B:$B)</f>
        <v>TRARDS</v>
      </c>
      <c r="F305" s="17" t="str">
        <f>_xlfn.XLOOKUP($A305,Selected_constraint!$A:$A,Selected_constraint!$C:$C)</f>
        <v>TRAFRECLTDMD</v>
      </c>
      <c r="G305" s="17" t="str">
        <f>F305</f>
        <v>TRAFRECLTDMD</v>
      </c>
      <c r="H305" s="18">
        <v>2019</v>
      </c>
      <c r="I305" s="18" t="s">
        <v>484</v>
      </c>
      <c r="J305" s="29" t="e">
        <f>-SUMIFS('TRA RESID'!$P:$P,'TRA RESID'!$I:$I,G306,'TRA RESID'!$J:$J,D306,'TRA RESID'!$H:$H,E306)/(SUMIFS('TRA RESID'!$P:$P,'TRA RESID'!$I:$I,G306,'TRA RESID'!$J:$J,D306,'TRA RESID'!$H:$H,E306)+SUMIFS('TRA RESID'!$P:$P,'TRA RESID'!$I:$I,G305,'TRA RESID'!$J:$J,D305,'TRA RESID'!$H:$H,E305))</f>
        <v>#DIV/0!</v>
      </c>
      <c r="K305" s="18">
        <v>0</v>
      </c>
      <c r="L305" s="18">
        <v>5</v>
      </c>
      <c r="N305" s="21">
        <v>1</v>
      </c>
    </row>
    <row r="306" spans="1:14" x14ac:dyDescent="0.25">
      <c r="C306" s="15" t="str">
        <f t="shared" ref="C306:C314" si="30">IF(C305="*",C305,"")</f>
        <v>*</v>
      </c>
      <c r="D306" s="17" t="s">
        <v>487</v>
      </c>
      <c r="E306" s="17" t="str">
        <f>E305</f>
        <v>TRARDS</v>
      </c>
      <c r="F306" s="17" t="str">
        <f>F305</f>
        <v>TRAFRECLTDMD</v>
      </c>
      <c r="G306" s="17" t="str">
        <f>G305</f>
        <v>TRAFRECLTDMD</v>
      </c>
      <c r="H306" s="18">
        <v>2019</v>
      </c>
      <c r="I306" s="18"/>
      <c r="J306" s="20" t="e">
        <f>1-(J305*-1)</f>
        <v>#DIV/0!</v>
      </c>
      <c r="K306" s="18"/>
      <c r="L306" s="18"/>
      <c r="N306" s="21"/>
    </row>
    <row r="307" spans="1:14" x14ac:dyDescent="0.25">
      <c r="C307" s="15" t="str">
        <f t="shared" si="30"/>
        <v>*</v>
      </c>
      <c r="D307" s="17" t="str">
        <f>D305</f>
        <v>*ICEV*</v>
      </c>
      <c r="E307" s="17" t="str">
        <f>E305</f>
        <v>TRARDS</v>
      </c>
      <c r="F307" s="17" t="str">
        <f>F305</f>
        <v>TRAFRECLTDMD</v>
      </c>
      <c r="G307" s="17" t="str">
        <f>G305</f>
        <v>TRAFRECLTDMD</v>
      </c>
      <c r="H307" s="18">
        <v>2025</v>
      </c>
      <c r="I307" s="18"/>
      <c r="J307" s="29" t="e">
        <f>IF(J305=0,-N307+1,J305*N307)</f>
        <v>#DIV/0!</v>
      </c>
      <c r="K307" s="18"/>
      <c r="L307" s="18"/>
      <c r="N307" s="21">
        <v>1.1000000000000001</v>
      </c>
    </row>
    <row r="308" spans="1:14" x14ac:dyDescent="0.25">
      <c r="C308" s="15" t="str">
        <f t="shared" si="30"/>
        <v>*</v>
      </c>
      <c r="D308" s="17" t="s">
        <v>487</v>
      </c>
      <c r="E308" s="17" t="str">
        <f>E307</f>
        <v>TRARDS</v>
      </c>
      <c r="F308" s="17" t="str">
        <f>F307</f>
        <v>TRAFRECLTDMD</v>
      </c>
      <c r="G308" s="17" t="str">
        <f>G307</f>
        <v>TRAFRECLTDMD</v>
      </c>
      <c r="H308" s="18">
        <v>2025</v>
      </c>
      <c r="I308" s="18"/>
      <c r="J308" s="20" t="e">
        <f>1-(J307*-1)</f>
        <v>#DIV/0!</v>
      </c>
      <c r="K308" s="18"/>
      <c r="L308" s="18"/>
      <c r="N308" s="21"/>
    </row>
    <row r="309" spans="1:14" x14ac:dyDescent="0.25">
      <c r="C309" s="15" t="str">
        <f t="shared" si="30"/>
        <v>*</v>
      </c>
      <c r="D309" s="17" t="str">
        <f>D307</f>
        <v>*ICEV*</v>
      </c>
      <c r="E309" s="17" t="str">
        <f>E307</f>
        <v>TRARDS</v>
      </c>
      <c r="F309" s="17" t="str">
        <f>F307</f>
        <v>TRAFRECLTDMD</v>
      </c>
      <c r="G309" s="17" t="str">
        <f>G307</f>
        <v>TRAFRECLTDMD</v>
      </c>
      <c r="H309" s="18">
        <v>2030</v>
      </c>
      <c r="I309" s="18"/>
      <c r="J309" s="29" t="e">
        <f>IF(J305=0,-N309+1,J305*N309)</f>
        <v>#DIV/0!</v>
      </c>
      <c r="K309" s="18"/>
      <c r="L309" s="18"/>
      <c r="N309" s="21">
        <v>1.2</v>
      </c>
    </row>
    <row r="310" spans="1:14" x14ac:dyDescent="0.25">
      <c r="C310" s="15" t="str">
        <f t="shared" si="30"/>
        <v>*</v>
      </c>
      <c r="D310" s="17" t="s">
        <v>487</v>
      </c>
      <c r="E310" s="17" t="str">
        <f>E309</f>
        <v>TRARDS</v>
      </c>
      <c r="F310" s="17" t="str">
        <f>F309</f>
        <v>TRAFRECLTDMD</v>
      </c>
      <c r="G310" s="17" t="str">
        <f>G309</f>
        <v>TRAFRECLTDMD</v>
      </c>
      <c r="H310" s="18">
        <v>2030</v>
      </c>
      <c r="I310" s="18"/>
      <c r="J310" s="20" t="e">
        <f>1-(J309*-1)</f>
        <v>#DIV/0!</v>
      </c>
      <c r="K310" s="18"/>
      <c r="L310" s="18"/>
      <c r="N310" s="21"/>
    </row>
    <row r="311" spans="1:14" x14ac:dyDescent="0.25">
      <c r="C311" s="15" t="str">
        <f t="shared" si="30"/>
        <v>*</v>
      </c>
      <c r="D311" s="17" t="str">
        <f>D309</f>
        <v>*ICEV*</v>
      </c>
      <c r="E311" s="17" t="str">
        <f>E309</f>
        <v>TRARDS</v>
      </c>
      <c r="F311" s="17" t="str">
        <f>F309</f>
        <v>TRAFRECLTDMD</v>
      </c>
      <c r="G311" s="17" t="str">
        <f>G309</f>
        <v>TRAFRECLTDMD</v>
      </c>
      <c r="H311" s="18">
        <v>2040</v>
      </c>
      <c r="I311" s="18"/>
      <c r="J311" s="29" t="e">
        <f>IF(J305=0,-N311+1,J305*N311)</f>
        <v>#DIV/0!</v>
      </c>
      <c r="K311" s="18"/>
      <c r="L311" s="18"/>
      <c r="N311" s="21">
        <v>1.3</v>
      </c>
    </row>
    <row r="312" spans="1:14" x14ac:dyDescent="0.25">
      <c r="C312" s="15" t="str">
        <f t="shared" si="30"/>
        <v>*</v>
      </c>
      <c r="D312" s="17" t="s">
        <v>487</v>
      </c>
      <c r="E312" s="17" t="str">
        <f>E311</f>
        <v>TRARDS</v>
      </c>
      <c r="F312" s="17" t="str">
        <f>F311</f>
        <v>TRAFRECLTDMD</v>
      </c>
      <c r="G312" s="17" t="str">
        <f>G311</f>
        <v>TRAFRECLTDMD</v>
      </c>
      <c r="H312" s="18">
        <v>2040</v>
      </c>
      <c r="I312" s="18"/>
      <c r="J312" s="20" t="e">
        <f>1-(J311*-1)</f>
        <v>#DIV/0!</v>
      </c>
      <c r="K312" s="18"/>
      <c r="L312" s="18"/>
      <c r="N312" s="21"/>
    </row>
    <row r="313" spans="1:14" x14ac:dyDescent="0.25">
      <c r="C313" s="15" t="str">
        <f t="shared" si="30"/>
        <v>*</v>
      </c>
      <c r="D313" s="17" t="str">
        <f>D311</f>
        <v>*ICEV*</v>
      </c>
      <c r="E313" s="17" t="str">
        <f>E311</f>
        <v>TRARDS</v>
      </c>
      <c r="F313" s="17" t="str">
        <f>F311</f>
        <v>TRAFRECLTDMD</v>
      </c>
      <c r="G313" s="17" t="str">
        <f>G311</f>
        <v>TRAFRECLTDMD</v>
      </c>
      <c r="H313" s="18">
        <v>2050</v>
      </c>
      <c r="I313" s="18"/>
      <c r="J313" s="29" t="e">
        <f>IF(J305=0,-N313+1,J305*N313)</f>
        <v>#DIV/0!</v>
      </c>
      <c r="K313" s="18"/>
      <c r="L313" s="18"/>
      <c r="N313" s="21">
        <v>1.4</v>
      </c>
    </row>
    <row r="314" spans="1:14" x14ac:dyDescent="0.25">
      <c r="C314" s="23" t="str">
        <f t="shared" si="30"/>
        <v>*</v>
      </c>
      <c r="D314" s="25" t="s">
        <v>487</v>
      </c>
      <c r="E314" s="25" t="str">
        <f>E313</f>
        <v>TRARDS</v>
      </c>
      <c r="F314" s="25" t="str">
        <f>F313</f>
        <v>TRAFRECLTDMD</v>
      </c>
      <c r="G314" s="25" t="str">
        <f>G313</f>
        <v>TRAFRECLTDMD</v>
      </c>
      <c r="H314" s="26">
        <v>2050</v>
      </c>
      <c r="I314" s="26"/>
      <c r="J314" s="27" t="e">
        <f>1-(J313*-1)</f>
        <v>#DIV/0!</v>
      </c>
      <c r="K314" s="26"/>
      <c r="L314" s="26"/>
      <c r="N314" s="28"/>
    </row>
    <row r="315" spans="1:14" x14ac:dyDescent="0.25">
      <c r="A315">
        <f>A305+1</f>
        <v>32</v>
      </c>
      <c r="C315" s="15" t="str">
        <f>IF(E315="","",IF(SUMIFS('TRA TECH'!M:M,'TRA TECH'!J:J,D316,'TRA TECH'!I:I,F316,'TRA TECH'!H:H,E316)=0,"*",IF(_xlfn.XLOOKUP($A315,Selected_constraint!$A:$A,Selected_constraint!$D:$D)=1,"*",IF(SUMIFS('TRA TECH'!$M:$M,'TRA TECH'!$H:$H,E315,'TRA TECH'!$I:$I,F315)=0,"*",IF(SUMIFS('TRA RESID'!$P:$P,'TRA RESID'!$I:$I,G315,'TRA RESID'!$J:$J,D315,'TRA RESID'!$H:$H,E315)=0,"*","UC_"&amp;SUBSTITUTE(D315,"*","")&amp;"_"&amp;SUBSTITUTE(D315,"*","")&amp;"_"&amp;RIGHT(E315,3)&amp;"_"&amp;F315)))))</f>
        <v>*</v>
      </c>
      <c r="D315" s="17" t="s">
        <v>485</v>
      </c>
      <c r="E315" s="17" t="str">
        <f>_xlfn.XLOOKUP($A315,Selected_constraint!$A:$A,Selected_constraint!$B:$B)</f>
        <v>TRABDS</v>
      </c>
      <c r="F315" s="17" t="str">
        <f>_xlfn.XLOOKUP($A315,Selected_constraint!$A:$A,Selected_constraint!$C:$C)</f>
        <v>TRAFRECLTDMD</v>
      </c>
      <c r="G315" s="17" t="str">
        <f>F315</f>
        <v>TRAFRECLTDMD</v>
      </c>
      <c r="H315" s="18">
        <v>2019</v>
      </c>
      <c r="I315" s="18" t="s">
        <v>484</v>
      </c>
      <c r="J315" s="29" t="e">
        <f>-SUMIFS('TRA RESID'!$P:$P,'TRA RESID'!$I:$I,G316,'TRA RESID'!$J:$J,D316,'TRA RESID'!$H:$H,E316)/(SUMIFS('TRA RESID'!$P:$P,'TRA RESID'!$I:$I,G316,'TRA RESID'!$J:$J,D316,'TRA RESID'!$H:$H,E316)+SUMIFS('TRA RESID'!$P:$P,'TRA RESID'!$I:$I,G315,'TRA RESID'!$J:$J,D315,'TRA RESID'!$H:$H,E315))</f>
        <v>#DIV/0!</v>
      </c>
      <c r="K315" s="18">
        <v>0</v>
      </c>
      <c r="L315" s="18">
        <v>5</v>
      </c>
      <c r="N315" s="21">
        <v>1</v>
      </c>
    </row>
    <row r="316" spans="1:14" x14ac:dyDescent="0.25">
      <c r="C316" s="15" t="str">
        <f t="shared" ref="C316:C324" si="31">IF(C315="*",C315,"")</f>
        <v>*</v>
      </c>
      <c r="D316" s="17" t="s">
        <v>487</v>
      </c>
      <c r="E316" s="17" t="str">
        <f>E315</f>
        <v>TRABDS</v>
      </c>
      <c r="F316" s="17" t="str">
        <f>F315</f>
        <v>TRAFRECLTDMD</v>
      </c>
      <c r="G316" s="17" t="str">
        <f>G315</f>
        <v>TRAFRECLTDMD</v>
      </c>
      <c r="H316" s="18">
        <v>2019</v>
      </c>
      <c r="I316" s="18"/>
      <c r="J316" s="20" t="e">
        <f>1-(J315*-1)</f>
        <v>#DIV/0!</v>
      </c>
      <c r="K316" s="18"/>
      <c r="L316" s="18"/>
      <c r="N316" s="21"/>
    </row>
    <row r="317" spans="1:14" x14ac:dyDescent="0.25">
      <c r="C317" s="15" t="str">
        <f t="shared" si="31"/>
        <v>*</v>
      </c>
      <c r="D317" s="17" t="str">
        <f>D315</f>
        <v>*ICEV*</v>
      </c>
      <c r="E317" s="17" t="str">
        <f>E315</f>
        <v>TRABDS</v>
      </c>
      <c r="F317" s="17" t="str">
        <f>F315</f>
        <v>TRAFRECLTDMD</v>
      </c>
      <c r="G317" s="17" t="str">
        <f>G315</f>
        <v>TRAFRECLTDMD</v>
      </c>
      <c r="H317" s="18">
        <v>2025</v>
      </c>
      <c r="I317" s="18"/>
      <c r="J317" s="29" t="e">
        <f>IF(J315=0,-N317+1,J315*N317)</f>
        <v>#DIV/0!</v>
      </c>
      <c r="K317" s="18"/>
      <c r="L317" s="18"/>
      <c r="N317" s="21">
        <v>1.1000000000000001</v>
      </c>
    </row>
    <row r="318" spans="1:14" x14ac:dyDescent="0.25">
      <c r="C318" s="15" t="str">
        <f t="shared" si="31"/>
        <v>*</v>
      </c>
      <c r="D318" s="17" t="s">
        <v>487</v>
      </c>
      <c r="E318" s="17" t="str">
        <f>E317</f>
        <v>TRABDS</v>
      </c>
      <c r="F318" s="17" t="str">
        <f>F317</f>
        <v>TRAFRECLTDMD</v>
      </c>
      <c r="G318" s="17" t="str">
        <f>G317</f>
        <v>TRAFRECLTDMD</v>
      </c>
      <c r="H318" s="18">
        <v>2025</v>
      </c>
      <c r="I318" s="18"/>
      <c r="J318" s="20" t="e">
        <f>1-(J317*-1)</f>
        <v>#DIV/0!</v>
      </c>
      <c r="K318" s="18"/>
      <c r="L318" s="18"/>
      <c r="N318" s="21"/>
    </row>
    <row r="319" spans="1:14" x14ac:dyDescent="0.25">
      <c r="C319" s="15" t="str">
        <f t="shared" si="31"/>
        <v>*</v>
      </c>
      <c r="D319" s="17" t="str">
        <f>D317</f>
        <v>*ICEV*</v>
      </c>
      <c r="E319" s="17" t="str">
        <f>E317</f>
        <v>TRABDS</v>
      </c>
      <c r="F319" s="17" t="str">
        <f>F317</f>
        <v>TRAFRECLTDMD</v>
      </c>
      <c r="G319" s="17" t="str">
        <f>G317</f>
        <v>TRAFRECLTDMD</v>
      </c>
      <c r="H319" s="18">
        <v>2030</v>
      </c>
      <c r="I319" s="18"/>
      <c r="J319" s="29" t="e">
        <f>IF(J315=0,-N319+1,J315*N319)</f>
        <v>#DIV/0!</v>
      </c>
      <c r="K319" s="18"/>
      <c r="L319" s="18"/>
      <c r="N319" s="21">
        <v>1.2</v>
      </c>
    </row>
    <row r="320" spans="1:14" x14ac:dyDescent="0.25">
      <c r="C320" s="15" t="str">
        <f t="shared" si="31"/>
        <v>*</v>
      </c>
      <c r="D320" s="17" t="s">
        <v>487</v>
      </c>
      <c r="E320" s="17" t="str">
        <f>E319</f>
        <v>TRABDS</v>
      </c>
      <c r="F320" s="17" t="str">
        <f>F319</f>
        <v>TRAFRECLTDMD</v>
      </c>
      <c r="G320" s="17" t="str">
        <f>G319</f>
        <v>TRAFRECLTDMD</v>
      </c>
      <c r="H320" s="18">
        <v>2030</v>
      </c>
      <c r="I320" s="18"/>
      <c r="J320" s="20" t="e">
        <f>1-(J319*-1)</f>
        <v>#DIV/0!</v>
      </c>
      <c r="K320" s="18"/>
      <c r="L320" s="18"/>
      <c r="N320" s="21"/>
    </row>
    <row r="321" spans="1:14" x14ac:dyDescent="0.25">
      <c r="C321" s="15" t="str">
        <f t="shared" si="31"/>
        <v>*</v>
      </c>
      <c r="D321" s="17" t="str">
        <f>D319</f>
        <v>*ICEV*</v>
      </c>
      <c r="E321" s="17" t="str">
        <f>E319</f>
        <v>TRABDS</v>
      </c>
      <c r="F321" s="17" t="str">
        <f>F319</f>
        <v>TRAFRECLTDMD</v>
      </c>
      <c r="G321" s="17" t="str">
        <f>G319</f>
        <v>TRAFRECLTDMD</v>
      </c>
      <c r="H321" s="18">
        <v>2040</v>
      </c>
      <c r="I321" s="18"/>
      <c r="J321" s="29" t="e">
        <f>IF(J315=0,-N321+1,J315*N321)</f>
        <v>#DIV/0!</v>
      </c>
      <c r="K321" s="18"/>
      <c r="L321" s="18"/>
      <c r="N321" s="21">
        <v>1.3</v>
      </c>
    </row>
    <row r="322" spans="1:14" x14ac:dyDescent="0.25">
      <c r="C322" s="15" t="str">
        <f t="shared" si="31"/>
        <v>*</v>
      </c>
      <c r="D322" s="17" t="s">
        <v>487</v>
      </c>
      <c r="E322" s="17" t="str">
        <f>E321</f>
        <v>TRABDS</v>
      </c>
      <c r="F322" s="17" t="str">
        <f>F321</f>
        <v>TRAFRECLTDMD</v>
      </c>
      <c r="G322" s="17" t="str">
        <f>G321</f>
        <v>TRAFRECLTDMD</v>
      </c>
      <c r="H322" s="18">
        <v>2040</v>
      </c>
      <c r="I322" s="18"/>
      <c r="J322" s="20" t="e">
        <f>1-(J321*-1)</f>
        <v>#DIV/0!</v>
      </c>
      <c r="K322" s="18"/>
      <c r="L322" s="18"/>
      <c r="N322" s="21"/>
    </row>
    <row r="323" spans="1:14" x14ac:dyDescent="0.25">
      <c r="C323" s="15" t="str">
        <f t="shared" si="31"/>
        <v>*</v>
      </c>
      <c r="D323" s="17" t="str">
        <f>D321</f>
        <v>*ICEV*</v>
      </c>
      <c r="E323" s="17" t="str">
        <f>E321</f>
        <v>TRABDS</v>
      </c>
      <c r="F323" s="17" t="str">
        <f>F321</f>
        <v>TRAFRECLTDMD</v>
      </c>
      <c r="G323" s="17" t="str">
        <f>G321</f>
        <v>TRAFRECLTDMD</v>
      </c>
      <c r="H323" s="18">
        <v>2050</v>
      </c>
      <c r="I323" s="18"/>
      <c r="J323" s="29" t="e">
        <f>IF(J315=0,-N323+1,J315*N323)</f>
        <v>#DIV/0!</v>
      </c>
      <c r="K323" s="18"/>
      <c r="L323" s="18"/>
      <c r="N323" s="21">
        <v>1.4</v>
      </c>
    </row>
    <row r="324" spans="1:14" x14ac:dyDescent="0.25">
      <c r="C324" s="23" t="str">
        <f t="shared" si="31"/>
        <v>*</v>
      </c>
      <c r="D324" s="25" t="s">
        <v>487</v>
      </c>
      <c r="E324" s="25" t="str">
        <f>E323</f>
        <v>TRABDS</v>
      </c>
      <c r="F324" s="25" t="str">
        <f>F323</f>
        <v>TRAFRECLTDMD</v>
      </c>
      <c r="G324" s="25" t="str">
        <f>G323</f>
        <v>TRAFRECLTDMD</v>
      </c>
      <c r="H324" s="26">
        <v>2050</v>
      </c>
      <c r="I324" s="26"/>
      <c r="J324" s="27" t="e">
        <f>1-(J323*-1)</f>
        <v>#DIV/0!</v>
      </c>
      <c r="K324" s="26"/>
      <c r="L324" s="26"/>
      <c r="N324" s="28"/>
    </row>
    <row r="325" spans="1:14" x14ac:dyDescent="0.25">
      <c r="A325">
        <f>A315+1</f>
        <v>33</v>
      </c>
      <c r="C325" s="15" t="str">
        <f>IF(E325="","",IF(SUMIFS('TRA TECH'!M:M,'TRA TECH'!J:J,D326,'TRA TECH'!I:I,F326,'TRA TECH'!H:H,E326)=0,"*",IF(_xlfn.XLOOKUP($A325,Selected_constraint!$A:$A,Selected_constraint!$D:$D)=1,"*",IF(SUMIFS('TRA TECH'!$M:$M,'TRA TECH'!$H:$H,E325,'TRA TECH'!$I:$I,F325)=0,"*",IF(SUMIFS('TRA RESID'!$P:$P,'TRA RESID'!$I:$I,G325,'TRA RESID'!$J:$J,D325,'TRA RESID'!$H:$H,E325)=0,"*","UC_"&amp;SUBSTITUTE(D325,"*","")&amp;"_"&amp;SUBSTITUTE(D325,"*","")&amp;"_"&amp;RIGHT(E325,3)&amp;"_"&amp;F325)))))</f>
        <v>*</v>
      </c>
      <c r="D325" s="17" t="s">
        <v>485</v>
      </c>
      <c r="E325" s="17" t="str">
        <f>_xlfn.XLOOKUP($A325,Selected_constraint!$A:$A,Selected_constraint!$B:$B)</f>
        <v>TRACNG</v>
      </c>
      <c r="F325" s="17" t="str">
        <f>_xlfn.XLOOKUP($A325,Selected_constraint!$A:$A,Selected_constraint!$C:$C)</f>
        <v>TRAFRECLTDMD</v>
      </c>
      <c r="G325" s="17" t="str">
        <f>F325</f>
        <v>TRAFRECLTDMD</v>
      </c>
      <c r="H325" s="18">
        <v>2019</v>
      </c>
      <c r="I325" s="18" t="s">
        <v>484</v>
      </c>
      <c r="J325" s="29">
        <f>-SUMIFS('TRA RESID'!$P:$P,'TRA RESID'!$I:$I,G326,'TRA RESID'!$J:$J,D326,'TRA RESID'!$H:$H,E326)/(SUMIFS('TRA RESID'!$P:$P,'TRA RESID'!$I:$I,G326,'TRA RESID'!$J:$J,D326,'TRA RESID'!$H:$H,E326)+SUMIFS('TRA RESID'!$P:$P,'TRA RESID'!$I:$I,G325,'TRA RESID'!$J:$J,D325,'TRA RESID'!$H:$H,E325))</f>
        <v>0</v>
      </c>
      <c r="K325" s="18">
        <v>0</v>
      </c>
      <c r="L325" s="18">
        <v>5</v>
      </c>
      <c r="N325" s="21">
        <v>1</v>
      </c>
    </row>
    <row r="326" spans="1:14" x14ac:dyDescent="0.25">
      <c r="C326" s="15" t="str">
        <f t="shared" ref="C326:C334" si="32">IF(C325="*",C325,"")</f>
        <v>*</v>
      </c>
      <c r="D326" s="17" t="s">
        <v>487</v>
      </c>
      <c r="E326" s="17" t="str">
        <f>E325</f>
        <v>TRACNG</v>
      </c>
      <c r="F326" s="17" t="str">
        <f>F325</f>
        <v>TRAFRECLTDMD</v>
      </c>
      <c r="G326" s="17" t="str">
        <f>G325</f>
        <v>TRAFRECLTDMD</v>
      </c>
      <c r="H326" s="18">
        <v>2019</v>
      </c>
      <c r="I326" s="18"/>
      <c r="J326" s="20">
        <f>1-(J325*-1)</f>
        <v>1</v>
      </c>
      <c r="K326" s="18"/>
      <c r="L326" s="18"/>
      <c r="N326" s="21"/>
    </row>
    <row r="327" spans="1:14" x14ac:dyDescent="0.25">
      <c r="C327" s="15" t="str">
        <f t="shared" si="32"/>
        <v>*</v>
      </c>
      <c r="D327" s="17" t="str">
        <f>D325</f>
        <v>*ICEV*</v>
      </c>
      <c r="E327" s="17" t="str">
        <f>E325</f>
        <v>TRACNG</v>
      </c>
      <c r="F327" s="17" t="str">
        <f>F325</f>
        <v>TRAFRECLTDMD</v>
      </c>
      <c r="G327" s="17" t="str">
        <f>G325</f>
        <v>TRAFRECLTDMD</v>
      </c>
      <c r="H327" s="18">
        <v>2025</v>
      </c>
      <c r="I327" s="18"/>
      <c r="J327" s="29">
        <f>IF(J325=0,-N327+1,J325*N327)</f>
        <v>-0.10000000000000009</v>
      </c>
      <c r="K327" s="18"/>
      <c r="L327" s="18"/>
      <c r="N327" s="21">
        <v>1.1000000000000001</v>
      </c>
    </row>
    <row r="328" spans="1:14" x14ac:dyDescent="0.25">
      <c r="C328" s="15" t="str">
        <f t="shared" si="32"/>
        <v>*</v>
      </c>
      <c r="D328" s="17" t="s">
        <v>487</v>
      </c>
      <c r="E328" s="17" t="str">
        <f>E327</f>
        <v>TRACNG</v>
      </c>
      <c r="F328" s="17" t="str">
        <f>F327</f>
        <v>TRAFRECLTDMD</v>
      </c>
      <c r="G328" s="17" t="str">
        <f>G327</f>
        <v>TRAFRECLTDMD</v>
      </c>
      <c r="H328" s="18">
        <v>2025</v>
      </c>
      <c r="I328" s="18"/>
      <c r="J328" s="20">
        <f>1-(J327*-1)</f>
        <v>0.89999999999999991</v>
      </c>
      <c r="K328" s="18"/>
      <c r="L328" s="18"/>
      <c r="N328" s="21"/>
    </row>
    <row r="329" spans="1:14" x14ac:dyDescent="0.25">
      <c r="C329" s="15" t="str">
        <f t="shared" si="32"/>
        <v>*</v>
      </c>
      <c r="D329" s="17" t="str">
        <f>D327</f>
        <v>*ICEV*</v>
      </c>
      <c r="E329" s="17" t="str">
        <f>E327</f>
        <v>TRACNG</v>
      </c>
      <c r="F329" s="17" t="str">
        <f>F327</f>
        <v>TRAFRECLTDMD</v>
      </c>
      <c r="G329" s="17" t="str">
        <f>G327</f>
        <v>TRAFRECLTDMD</v>
      </c>
      <c r="H329" s="18">
        <v>2030</v>
      </c>
      <c r="I329" s="18"/>
      <c r="J329" s="29">
        <f>IF(J325=0,-N329+1,J325*N329)</f>
        <v>-0.19999999999999996</v>
      </c>
      <c r="K329" s="18"/>
      <c r="L329" s="18"/>
      <c r="N329" s="21">
        <v>1.2</v>
      </c>
    </row>
    <row r="330" spans="1:14" x14ac:dyDescent="0.25">
      <c r="C330" s="15" t="str">
        <f t="shared" si="32"/>
        <v>*</v>
      </c>
      <c r="D330" s="17" t="s">
        <v>487</v>
      </c>
      <c r="E330" s="17" t="str">
        <f>E329</f>
        <v>TRACNG</v>
      </c>
      <c r="F330" s="17" t="str">
        <f>F329</f>
        <v>TRAFRECLTDMD</v>
      </c>
      <c r="G330" s="17" t="str">
        <f>G329</f>
        <v>TRAFRECLTDMD</v>
      </c>
      <c r="H330" s="18">
        <v>2030</v>
      </c>
      <c r="I330" s="18"/>
      <c r="J330" s="20">
        <f>1-(J329*-1)</f>
        <v>0.8</v>
      </c>
      <c r="K330" s="18"/>
      <c r="L330" s="18"/>
      <c r="N330" s="21"/>
    </row>
    <row r="331" spans="1:14" x14ac:dyDescent="0.25">
      <c r="C331" s="15" t="str">
        <f t="shared" si="32"/>
        <v>*</v>
      </c>
      <c r="D331" s="17" t="str">
        <f>D329</f>
        <v>*ICEV*</v>
      </c>
      <c r="E331" s="17" t="str">
        <f>E329</f>
        <v>TRACNG</v>
      </c>
      <c r="F331" s="17" t="str">
        <f>F329</f>
        <v>TRAFRECLTDMD</v>
      </c>
      <c r="G331" s="17" t="str">
        <f>G329</f>
        <v>TRAFRECLTDMD</v>
      </c>
      <c r="H331" s="18">
        <v>2040</v>
      </c>
      <c r="I331" s="18"/>
      <c r="J331" s="29">
        <f>IF(J325=0,-N331+1,J325*N331)</f>
        <v>-0.30000000000000004</v>
      </c>
      <c r="K331" s="18"/>
      <c r="L331" s="18"/>
      <c r="N331" s="21">
        <v>1.3</v>
      </c>
    </row>
    <row r="332" spans="1:14" x14ac:dyDescent="0.25">
      <c r="C332" s="15" t="str">
        <f t="shared" si="32"/>
        <v>*</v>
      </c>
      <c r="D332" s="17" t="s">
        <v>487</v>
      </c>
      <c r="E332" s="17" t="str">
        <f>E331</f>
        <v>TRACNG</v>
      </c>
      <c r="F332" s="17" t="str">
        <f>F331</f>
        <v>TRAFRECLTDMD</v>
      </c>
      <c r="G332" s="17" t="str">
        <f>G331</f>
        <v>TRAFRECLTDMD</v>
      </c>
      <c r="H332" s="18">
        <v>2040</v>
      </c>
      <c r="I332" s="18"/>
      <c r="J332" s="20">
        <f>1-(J331*-1)</f>
        <v>0.7</v>
      </c>
      <c r="K332" s="18"/>
      <c r="L332" s="18"/>
      <c r="N332" s="21"/>
    </row>
    <row r="333" spans="1:14" x14ac:dyDescent="0.25">
      <c r="C333" s="15" t="str">
        <f t="shared" si="32"/>
        <v>*</v>
      </c>
      <c r="D333" s="17" t="str">
        <f>D331</f>
        <v>*ICEV*</v>
      </c>
      <c r="E333" s="17" t="str">
        <f>E331</f>
        <v>TRACNG</v>
      </c>
      <c r="F333" s="17" t="str">
        <f>F331</f>
        <v>TRAFRECLTDMD</v>
      </c>
      <c r="G333" s="17" t="str">
        <f>G331</f>
        <v>TRAFRECLTDMD</v>
      </c>
      <c r="H333" s="18">
        <v>2050</v>
      </c>
      <c r="I333" s="18"/>
      <c r="J333" s="29">
        <f>IF(J325=0,-N333+1,J325*N333)</f>
        <v>-0.39999999999999991</v>
      </c>
      <c r="K333" s="18"/>
      <c r="L333" s="18"/>
      <c r="N333" s="21">
        <v>1.4</v>
      </c>
    </row>
    <row r="334" spans="1:14" x14ac:dyDescent="0.25">
      <c r="C334" s="23" t="str">
        <f t="shared" si="32"/>
        <v>*</v>
      </c>
      <c r="D334" s="25" t="s">
        <v>487</v>
      </c>
      <c r="E334" s="25" t="str">
        <f>E333</f>
        <v>TRACNG</v>
      </c>
      <c r="F334" s="25" t="str">
        <f>F333</f>
        <v>TRAFRECLTDMD</v>
      </c>
      <c r="G334" s="25" t="str">
        <f>G333</f>
        <v>TRAFRECLTDMD</v>
      </c>
      <c r="H334" s="26">
        <v>2050</v>
      </c>
      <c r="I334" s="26"/>
      <c r="J334" s="27">
        <f>1-(J333*-1)</f>
        <v>0.60000000000000009</v>
      </c>
      <c r="K334" s="26"/>
      <c r="L334" s="26"/>
      <c r="N334" s="28"/>
    </row>
    <row r="335" spans="1:14" x14ac:dyDescent="0.25">
      <c r="A335">
        <f>A325+1</f>
        <v>34</v>
      </c>
      <c r="C335" s="15" t="str">
        <f>IF(E335="","",IF(SUMIFS('TRA TECH'!M:M,'TRA TECH'!J:J,D336,'TRA TECH'!I:I,F336,'TRA TECH'!H:H,E336)=0,"*",IF(_xlfn.XLOOKUP($A335,Selected_constraint!$A:$A,Selected_constraint!$D:$D)=1,"*",IF(SUMIFS('TRA TECH'!$M:$M,'TRA TECH'!$H:$H,E335,'TRA TECH'!$I:$I,F335)=0,"*",IF(SUMIFS('TRA RESID'!$P:$P,'TRA RESID'!$I:$I,G335,'TRA RESID'!$J:$J,D335,'TRA RESID'!$H:$H,E335)=0,"*","UC_"&amp;SUBSTITUTE(D335,"*","")&amp;"_"&amp;SUBSTITUTE(D335,"*","")&amp;"_"&amp;RIGHT(E335,3)&amp;"_"&amp;F335)))))</f>
        <v>*</v>
      </c>
      <c r="D335" s="17" t="s">
        <v>485</v>
      </c>
      <c r="E335" s="17" t="str">
        <f>_xlfn.XLOOKUP($A335,Selected_constraint!$A:$A,Selected_constraint!$B:$B)</f>
        <v>TRARNG</v>
      </c>
      <c r="F335" s="17" t="str">
        <f>_xlfn.XLOOKUP($A335,Selected_constraint!$A:$A,Selected_constraint!$C:$C)</f>
        <v>TRAFRECLTDMD</v>
      </c>
      <c r="G335" s="17" t="str">
        <f>F335</f>
        <v>TRAFRECLTDMD</v>
      </c>
      <c r="H335" s="18">
        <v>2019</v>
      </c>
      <c r="I335" s="18" t="s">
        <v>484</v>
      </c>
      <c r="J335" s="29" t="e">
        <f>-SUMIFS('TRA RESID'!$P:$P,'TRA RESID'!$I:$I,G336,'TRA RESID'!$J:$J,D336,'TRA RESID'!$H:$H,E336)/(SUMIFS('TRA RESID'!$P:$P,'TRA RESID'!$I:$I,G336,'TRA RESID'!$J:$J,D336,'TRA RESID'!$H:$H,E336)+SUMIFS('TRA RESID'!$P:$P,'TRA RESID'!$I:$I,G335,'TRA RESID'!$J:$J,D335,'TRA RESID'!$H:$H,E335))</f>
        <v>#DIV/0!</v>
      </c>
      <c r="K335" s="18">
        <v>0</v>
      </c>
      <c r="L335" s="18">
        <v>5</v>
      </c>
      <c r="N335" s="21">
        <v>1</v>
      </c>
    </row>
    <row r="336" spans="1:14" x14ac:dyDescent="0.25">
      <c r="C336" s="15" t="str">
        <f t="shared" ref="C336:C344" si="33">IF(C335="*",C335,"")</f>
        <v>*</v>
      </c>
      <c r="D336" s="17" t="s">
        <v>487</v>
      </c>
      <c r="E336" s="17" t="str">
        <f>E335</f>
        <v>TRARNG</v>
      </c>
      <c r="F336" s="17" t="str">
        <f>F335</f>
        <v>TRAFRECLTDMD</v>
      </c>
      <c r="G336" s="17" t="str">
        <f>G335</f>
        <v>TRAFRECLTDMD</v>
      </c>
      <c r="H336" s="18">
        <v>2019</v>
      </c>
      <c r="I336" s="18"/>
      <c r="J336" s="20" t="e">
        <f>1-(J335*-1)</f>
        <v>#DIV/0!</v>
      </c>
      <c r="K336" s="18"/>
      <c r="L336" s="18"/>
      <c r="N336" s="21"/>
    </row>
    <row r="337" spans="1:14" x14ac:dyDescent="0.25">
      <c r="C337" s="15" t="str">
        <f t="shared" si="33"/>
        <v>*</v>
      </c>
      <c r="D337" s="17" t="str">
        <f>D335</f>
        <v>*ICEV*</v>
      </c>
      <c r="E337" s="17" t="str">
        <f>E335</f>
        <v>TRARNG</v>
      </c>
      <c r="F337" s="17" t="str">
        <f>F335</f>
        <v>TRAFRECLTDMD</v>
      </c>
      <c r="G337" s="17" t="str">
        <f>G335</f>
        <v>TRAFRECLTDMD</v>
      </c>
      <c r="H337" s="18">
        <v>2025</v>
      </c>
      <c r="I337" s="18"/>
      <c r="J337" s="29" t="e">
        <f>IF(J335=0,-N337+1,J335*N337)</f>
        <v>#DIV/0!</v>
      </c>
      <c r="K337" s="18"/>
      <c r="L337" s="18"/>
      <c r="N337" s="21">
        <v>1.1000000000000001</v>
      </c>
    </row>
    <row r="338" spans="1:14" x14ac:dyDescent="0.25">
      <c r="C338" s="15" t="str">
        <f t="shared" si="33"/>
        <v>*</v>
      </c>
      <c r="D338" s="17" t="s">
        <v>487</v>
      </c>
      <c r="E338" s="17" t="str">
        <f>E337</f>
        <v>TRARNG</v>
      </c>
      <c r="F338" s="17" t="str">
        <f>F337</f>
        <v>TRAFRECLTDMD</v>
      </c>
      <c r="G338" s="17" t="str">
        <f>G337</f>
        <v>TRAFRECLTDMD</v>
      </c>
      <c r="H338" s="18">
        <v>2025</v>
      </c>
      <c r="I338" s="18"/>
      <c r="J338" s="20" t="e">
        <f>1-(J337*-1)</f>
        <v>#DIV/0!</v>
      </c>
      <c r="K338" s="18"/>
      <c r="L338" s="18"/>
      <c r="N338" s="21"/>
    </row>
    <row r="339" spans="1:14" x14ac:dyDescent="0.25">
      <c r="C339" s="15" t="str">
        <f t="shared" si="33"/>
        <v>*</v>
      </c>
      <c r="D339" s="17" t="str">
        <f>D337</f>
        <v>*ICEV*</v>
      </c>
      <c r="E339" s="17" t="str">
        <f>E337</f>
        <v>TRARNG</v>
      </c>
      <c r="F339" s="17" t="str">
        <f>F337</f>
        <v>TRAFRECLTDMD</v>
      </c>
      <c r="G339" s="17" t="str">
        <f>G337</f>
        <v>TRAFRECLTDMD</v>
      </c>
      <c r="H339" s="18">
        <v>2030</v>
      </c>
      <c r="I339" s="18"/>
      <c r="J339" s="29" t="e">
        <f>IF(J335=0,-N339+1,J335*N339)</f>
        <v>#DIV/0!</v>
      </c>
      <c r="K339" s="18"/>
      <c r="L339" s="18"/>
      <c r="N339" s="21">
        <v>1.2</v>
      </c>
    </row>
    <row r="340" spans="1:14" x14ac:dyDescent="0.25">
      <c r="C340" s="15" t="str">
        <f t="shared" si="33"/>
        <v>*</v>
      </c>
      <c r="D340" s="17" t="s">
        <v>487</v>
      </c>
      <c r="E340" s="17" t="str">
        <f>E339</f>
        <v>TRARNG</v>
      </c>
      <c r="F340" s="17" t="str">
        <f>F339</f>
        <v>TRAFRECLTDMD</v>
      </c>
      <c r="G340" s="17" t="str">
        <f>G339</f>
        <v>TRAFRECLTDMD</v>
      </c>
      <c r="H340" s="18">
        <v>2030</v>
      </c>
      <c r="I340" s="18"/>
      <c r="J340" s="20" t="e">
        <f>1-(J339*-1)</f>
        <v>#DIV/0!</v>
      </c>
      <c r="K340" s="18"/>
      <c r="L340" s="18"/>
      <c r="N340" s="21"/>
    </row>
    <row r="341" spans="1:14" x14ac:dyDescent="0.25">
      <c r="C341" s="15" t="str">
        <f t="shared" si="33"/>
        <v>*</v>
      </c>
      <c r="D341" s="17" t="str">
        <f>D339</f>
        <v>*ICEV*</v>
      </c>
      <c r="E341" s="17" t="str">
        <f>E339</f>
        <v>TRARNG</v>
      </c>
      <c r="F341" s="17" t="str">
        <f>F339</f>
        <v>TRAFRECLTDMD</v>
      </c>
      <c r="G341" s="17" t="str">
        <f>G339</f>
        <v>TRAFRECLTDMD</v>
      </c>
      <c r="H341" s="18">
        <v>2040</v>
      </c>
      <c r="I341" s="18"/>
      <c r="J341" s="29" t="e">
        <f>IF(J335=0,-N341+1,J335*N341)</f>
        <v>#DIV/0!</v>
      </c>
      <c r="K341" s="18"/>
      <c r="L341" s="18"/>
      <c r="N341" s="21">
        <v>1.3</v>
      </c>
    </row>
    <row r="342" spans="1:14" x14ac:dyDescent="0.25">
      <c r="C342" s="15" t="str">
        <f t="shared" si="33"/>
        <v>*</v>
      </c>
      <c r="D342" s="17" t="s">
        <v>487</v>
      </c>
      <c r="E342" s="17" t="str">
        <f>E341</f>
        <v>TRARNG</v>
      </c>
      <c r="F342" s="17" t="str">
        <f>F341</f>
        <v>TRAFRECLTDMD</v>
      </c>
      <c r="G342" s="17" t="str">
        <f>G341</f>
        <v>TRAFRECLTDMD</v>
      </c>
      <c r="H342" s="18">
        <v>2040</v>
      </c>
      <c r="I342" s="18"/>
      <c r="J342" s="20" t="e">
        <f>1-(J341*-1)</f>
        <v>#DIV/0!</v>
      </c>
      <c r="K342" s="18"/>
      <c r="L342" s="18"/>
      <c r="N342" s="21"/>
    </row>
    <row r="343" spans="1:14" x14ac:dyDescent="0.25">
      <c r="C343" s="15" t="str">
        <f t="shared" si="33"/>
        <v>*</v>
      </c>
      <c r="D343" s="17" t="str">
        <f>D341</f>
        <v>*ICEV*</v>
      </c>
      <c r="E343" s="17" t="str">
        <f>E341</f>
        <v>TRARNG</v>
      </c>
      <c r="F343" s="17" t="str">
        <f>F341</f>
        <v>TRAFRECLTDMD</v>
      </c>
      <c r="G343" s="17" t="str">
        <f>G341</f>
        <v>TRAFRECLTDMD</v>
      </c>
      <c r="H343" s="18">
        <v>2050</v>
      </c>
      <c r="I343" s="18"/>
      <c r="J343" s="29" t="e">
        <f>IF(J335=0,-N343+1,J335*N343)</f>
        <v>#DIV/0!</v>
      </c>
      <c r="K343" s="18"/>
      <c r="L343" s="18"/>
      <c r="N343" s="21">
        <v>1.4</v>
      </c>
    </row>
    <row r="344" spans="1:14" x14ac:dyDescent="0.25">
      <c r="C344" s="23" t="str">
        <f t="shared" si="33"/>
        <v>*</v>
      </c>
      <c r="D344" s="25" t="s">
        <v>487</v>
      </c>
      <c r="E344" s="25" t="str">
        <f>E343</f>
        <v>TRARNG</v>
      </c>
      <c r="F344" s="25" t="str">
        <f>F343</f>
        <v>TRAFRECLTDMD</v>
      </c>
      <c r="G344" s="25" t="str">
        <f>G343</f>
        <v>TRAFRECLTDMD</v>
      </c>
      <c r="H344" s="26">
        <v>2050</v>
      </c>
      <c r="I344" s="26"/>
      <c r="J344" s="27" t="e">
        <f>1-(J343*-1)</f>
        <v>#DIV/0!</v>
      </c>
      <c r="K344" s="26"/>
      <c r="L344" s="26"/>
      <c r="N344" s="28"/>
    </row>
    <row r="345" spans="1:14" x14ac:dyDescent="0.25">
      <c r="A345">
        <f>A335+1</f>
        <v>35</v>
      </c>
      <c r="C345" s="15" t="str">
        <f>IF(E345="","",IF(SUMIFS('TRA TECH'!M:M,'TRA TECH'!J:J,D346,'TRA TECH'!I:I,F346,'TRA TECH'!H:H,E346)=0,"*",IF(_xlfn.XLOOKUP($A345,Selected_constraint!$A:$A,Selected_constraint!$D:$D)=1,"*",IF(SUMIFS('TRA TECH'!$M:$M,'TRA TECH'!$H:$H,E345,'TRA TECH'!$I:$I,F345)=0,"*",IF(SUMIFS('TRA RESID'!$P:$P,'TRA RESID'!$I:$I,G345,'TRA RESID'!$J:$J,D345,'TRA RESID'!$H:$H,E345)=0,"*","UC_"&amp;SUBSTITUTE(D345,"*","")&amp;"_"&amp;SUBSTITUTE(D345,"*","")&amp;"_"&amp;RIGHT(E345,3)&amp;"_"&amp;F345)))))</f>
        <v>*</v>
      </c>
      <c r="D345" s="17" t="s">
        <v>485</v>
      </c>
      <c r="E345" s="17" t="str">
        <f>_xlfn.XLOOKUP($A345,Selected_constraint!$A:$A,Selected_constraint!$B:$B)</f>
        <v>TRABAT</v>
      </c>
      <c r="F345" s="17" t="str">
        <f>_xlfn.XLOOKUP($A345,Selected_constraint!$A:$A,Selected_constraint!$C:$C)</f>
        <v>TRAFRECLTDMD</v>
      </c>
      <c r="G345" s="17" t="str">
        <f>F345</f>
        <v>TRAFRECLTDMD</v>
      </c>
      <c r="H345" s="18">
        <v>2019</v>
      </c>
      <c r="I345" s="18" t="s">
        <v>484</v>
      </c>
      <c r="J345" s="29" t="e">
        <f>-SUMIFS('TRA RESID'!$P:$P,'TRA RESID'!$I:$I,G346,'TRA RESID'!$J:$J,D346,'TRA RESID'!$H:$H,E346)/(SUMIFS('TRA RESID'!$P:$P,'TRA RESID'!$I:$I,G346,'TRA RESID'!$J:$J,D346,'TRA RESID'!$H:$H,E346)+SUMIFS('TRA RESID'!$P:$P,'TRA RESID'!$I:$I,G345,'TRA RESID'!$J:$J,D345,'TRA RESID'!$H:$H,E345))</f>
        <v>#DIV/0!</v>
      </c>
      <c r="K345" s="18">
        <v>0</v>
      </c>
      <c r="L345" s="18">
        <v>5</v>
      </c>
      <c r="N345" s="21">
        <v>1</v>
      </c>
    </row>
    <row r="346" spans="1:14" x14ac:dyDescent="0.25">
      <c r="C346" s="15" t="str">
        <f t="shared" ref="C346:C354" si="34">IF(C345="*",C345,"")</f>
        <v>*</v>
      </c>
      <c r="D346" s="17" t="s">
        <v>487</v>
      </c>
      <c r="E346" s="17" t="str">
        <f>E345</f>
        <v>TRABAT</v>
      </c>
      <c r="F346" s="17" t="str">
        <f>F345</f>
        <v>TRAFRECLTDMD</v>
      </c>
      <c r="G346" s="17" t="str">
        <f>G345</f>
        <v>TRAFRECLTDMD</v>
      </c>
      <c r="H346" s="18">
        <v>2019</v>
      </c>
      <c r="I346" s="18"/>
      <c r="J346" s="20" t="e">
        <f>1-(J345*-1)</f>
        <v>#DIV/0!</v>
      </c>
      <c r="K346" s="18"/>
      <c r="L346" s="18"/>
      <c r="N346" s="21"/>
    </row>
    <row r="347" spans="1:14" x14ac:dyDescent="0.25">
      <c r="C347" s="15" t="str">
        <f t="shared" si="34"/>
        <v>*</v>
      </c>
      <c r="D347" s="17" t="str">
        <f>D345</f>
        <v>*ICEV*</v>
      </c>
      <c r="E347" s="17" t="str">
        <f>E345</f>
        <v>TRABAT</v>
      </c>
      <c r="F347" s="17" t="str">
        <f>F345</f>
        <v>TRAFRECLTDMD</v>
      </c>
      <c r="G347" s="17" t="str">
        <f>G345</f>
        <v>TRAFRECLTDMD</v>
      </c>
      <c r="H347" s="18">
        <v>2025</v>
      </c>
      <c r="I347" s="18"/>
      <c r="J347" s="29" t="e">
        <f>IF(J345=0,-N347+1,J345*N347)</f>
        <v>#DIV/0!</v>
      </c>
      <c r="K347" s="18"/>
      <c r="L347" s="18"/>
      <c r="N347" s="21">
        <v>1.1000000000000001</v>
      </c>
    </row>
    <row r="348" spans="1:14" x14ac:dyDescent="0.25">
      <c r="C348" s="15" t="str">
        <f t="shared" si="34"/>
        <v>*</v>
      </c>
      <c r="D348" s="17" t="s">
        <v>487</v>
      </c>
      <c r="E348" s="17" t="str">
        <f>E347</f>
        <v>TRABAT</v>
      </c>
      <c r="F348" s="17" t="str">
        <f>F347</f>
        <v>TRAFRECLTDMD</v>
      </c>
      <c r="G348" s="17" t="str">
        <f>G347</f>
        <v>TRAFRECLTDMD</v>
      </c>
      <c r="H348" s="18">
        <v>2025</v>
      </c>
      <c r="I348" s="18"/>
      <c r="J348" s="20" t="e">
        <f>1-(J347*-1)</f>
        <v>#DIV/0!</v>
      </c>
      <c r="K348" s="18"/>
      <c r="L348" s="18"/>
      <c r="N348" s="21"/>
    </row>
    <row r="349" spans="1:14" x14ac:dyDescent="0.25">
      <c r="C349" s="15" t="str">
        <f t="shared" si="34"/>
        <v>*</v>
      </c>
      <c r="D349" s="17" t="str">
        <f>D347</f>
        <v>*ICEV*</v>
      </c>
      <c r="E349" s="17" t="str">
        <f>E347</f>
        <v>TRABAT</v>
      </c>
      <c r="F349" s="17" t="str">
        <f>F347</f>
        <v>TRAFRECLTDMD</v>
      </c>
      <c r="G349" s="17" t="str">
        <f>G347</f>
        <v>TRAFRECLTDMD</v>
      </c>
      <c r="H349" s="18">
        <v>2030</v>
      </c>
      <c r="I349" s="18"/>
      <c r="J349" s="29" t="e">
        <f>IF(J345=0,-N349+1,J345*N349)</f>
        <v>#DIV/0!</v>
      </c>
      <c r="K349" s="18"/>
      <c r="L349" s="18"/>
      <c r="N349" s="21">
        <v>1.2</v>
      </c>
    </row>
    <row r="350" spans="1:14" x14ac:dyDescent="0.25">
      <c r="C350" s="15" t="str">
        <f t="shared" si="34"/>
        <v>*</v>
      </c>
      <c r="D350" s="17" t="s">
        <v>487</v>
      </c>
      <c r="E350" s="17" t="str">
        <f>E349</f>
        <v>TRABAT</v>
      </c>
      <c r="F350" s="17" t="str">
        <f>F349</f>
        <v>TRAFRECLTDMD</v>
      </c>
      <c r="G350" s="17" t="str">
        <f>G349</f>
        <v>TRAFRECLTDMD</v>
      </c>
      <c r="H350" s="18">
        <v>2030</v>
      </c>
      <c r="I350" s="18"/>
      <c r="J350" s="20" t="e">
        <f>1-(J349*-1)</f>
        <v>#DIV/0!</v>
      </c>
      <c r="K350" s="18"/>
      <c r="L350" s="18"/>
      <c r="N350" s="21"/>
    </row>
    <row r="351" spans="1:14" x14ac:dyDescent="0.25">
      <c r="C351" s="15" t="str">
        <f t="shared" si="34"/>
        <v>*</v>
      </c>
      <c r="D351" s="17" t="str">
        <f>D349</f>
        <v>*ICEV*</v>
      </c>
      <c r="E351" s="17" t="str">
        <f>E349</f>
        <v>TRABAT</v>
      </c>
      <c r="F351" s="17" t="str">
        <f>F349</f>
        <v>TRAFRECLTDMD</v>
      </c>
      <c r="G351" s="17" t="str">
        <f>G349</f>
        <v>TRAFRECLTDMD</v>
      </c>
      <c r="H351" s="18">
        <v>2040</v>
      </c>
      <c r="I351" s="18"/>
      <c r="J351" s="29" t="e">
        <f>IF(J345=0,-N351+1,J345*N351)</f>
        <v>#DIV/0!</v>
      </c>
      <c r="K351" s="18"/>
      <c r="L351" s="18"/>
      <c r="N351" s="21">
        <v>1.3</v>
      </c>
    </row>
    <row r="352" spans="1:14" x14ac:dyDescent="0.25">
      <c r="C352" s="15" t="str">
        <f t="shared" si="34"/>
        <v>*</v>
      </c>
      <c r="D352" s="17" t="s">
        <v>487</v>
      </c>
      <c r="E352" s="17" t="str">
        <f>E351</f>
        <v>TRABAT</v>
      </c>
      <c r="F352" s="17" t="str">
        <f>F351</f>
        <v>TRAFRECLTDMD</v>
      </c>
      <c r="G352" s="17" t="str">
        <f>G351</f>
        <v>TRAFRECLTDMD</v>
      </c>
      <c r="H352" s="18">
        <v>2040</v>
      </c>
      <c r="I352" s="18"/>
      <c r="J352" s="20" t="e">
        <f>1-(J351*-1)</f>
        <v>#DIV/0!</v>
      </c>
      <c r="K352" s="18"/>
      <c r="L352" s="18"/>
      <c r="N352" s="21"/>
    </row>
    <row r="353" spans="1:14" x14ac:dyDescent="0.25">
      <c r="C353" s="15" t="str">
        <f t="shared" si="34"/>
        <v>*</v>
      </c>
      <c r="D353" s="17" t="str">
        <f>D351</f>
        <v>*ICEV*</v>
      </c>
      <c r="E353" s="17" t="str">
        <f>E351</f>
        <v>TRABAT</v>
      </c>
      <c r="F353" s="17" t="str">
        <f>F351</f>
        <v>TRAFRECLTDMD</v>
      </c>
      <c r="G353" s="17" t="str">
        <f>G351</f>
        <v>TRAFRECLTDMD</v>
      </c>
      <c r="H353" s="18">
        <v>2050</v>
      </c>
      <c r="I353" s="18"/>
      <c r="J353" s="29" t="e">
        <f>IF(J345=0,-N353+1,J345*N353)</f>
        <v>#DIV/0!</v>
      </c>
      <c r="K353" s="18"/>
      <c r="L353" s="18"/>
      <c r="N353" s="21">
        <v>1.4</v>
      </c>
    </row>
    <row r="354" spans="1:14" x14ac:dyDescent="0.25">
      <c r="C354" s="23" t="str">
        <f t="shared" si="34"/>
        <v>*</v>
      </c>
      <c r="D354" s="25" t="s">
        <v>487</v>
      </c>
      <c r="E354" s="25" t="str">
        <f>E353</f>
        <v>TRABAT</v>
      </c>
      <c r="F354" s="25" t="str">
        <f>F353</f>
        <v>TRAFRECLTDMD</v>
      </c>
      <c r="G354" s="25" t="str">
        <f>G353</f>
        <v>TRAFRECLTDMD</v>
      </c>
      <c r="H354" s="26">
        <v>2050</v>
      </c>
      <c r="I354" s="26"/>
      <c r="J354" s="27" t="e">
        <f>1-(J353*-1)</f>
        <v>#DIV/0!</v>
      </c>
      <c r="K354" s="26"/>
      <c r="L354" s="26"/>
      <c r="N354" s="28"/>
    </row>
    <row r="355" spans="1:14" x14ac:dyDescent="0.25">
      <c r="A355">
        <f>A345+1</f>
        <v>36</v>
      </c>
      <c r="C355" s="15" t="str">
        <f>IF(E355="","",IF(SUMIFS('TRA TECH'!M:M,'TRA TECH'!J:J,D356,'TRA TECH'!I:I,F356,'TRA TECH'!H:H,E356)=0,"*",IF(_xlfn.XLOOKUP($A355,Selected_constraint!$A:$A,Selected_constraint!$D:$D)=1,"*",IF(SUMIFS('TRA TECH'!$M:$M,'TRA TECH'!$H:$H,E355,'TRA TECH'!$I:$I,F355)=0,"*",IF(SUMIFS('TRA RESID'!$P:$P,'TRA RESID'!$I:$I,G355,'TRA RESID'!$J:$J,D355,'TRA RESID'!$H:$H,E355)=0,"*","UC_"&amp;SUBSTITUTE(D355,"*","")&amp;"_"&amp;SUBSTITUTE(D355,"*","")&amp;"_"&amp;RIGHT(E355,3)&amp;"_"&amp;F355)))))</f>
        <v>*</v>
      </c>
      <c r="D355" s="17" t="s">
        <v>485</v>
      </c>
      <c r="E355" s="17" t="str">
        <f>_xlfn.XLOOKUP($A355,Selected_constraint!$A:$A,Selected_constraint!$B:$B)</f>
        <v>TRAH2G</v>
      </c>
      <c r="F355" s="17" t="str">
        <f>_xlfn.XLOOKUP($A355,Selected_constraint!$A:$A,Selected_constraint!$C:$C)</f>
        <v>TRAFRECLTDMD</v>
      </c>
      <c r="G355" s="17" t="str">
        <f>F355</f>
        <v>TRAFRECLTDMD</v>
      </c>
      <c r="H355" s="18">
        <v>2019</v>
      </c>
      <c r="I355" s="18" t="s">
        <v>484</v>
      </c>
      <c r="J355" s="29" t="e">
        <f>-SUMIFS('TRA RESID'!$P:$P,'TRA RESID'!$I:$I,G356,'TRA RESID'!$J:$J,D356,'TRA RESID'!$H:$H,E356)/(SUMIFS('TRA RESID'!$P:$P,'TRA RESID'!$I:$I,G356,'TRA RESID'!$J:$J,D356,'TRA RESID'!$H:$H,E356)+SUMIFS('TRA RESID'!$P:$P,'TRA RESID'!$I:$I,G355,'TRA RESID'!$J:$J,D355,'TRA RESID'!$H:$H,E355))</f>
        <v>#DIV/0!</v>
      </c>
      <c r="K355" s="18">
        <v>0</v>
      </c>
      <c r="L355" s="18">
        <v>5</v>
      </c>
      <c r="N355" s="21">
        <v>1</v>
      </c>
    </row>
    <row r="356" spans="1:14" x14ac:dyDescent="0.25">
      <c r="C356" s="15" t="str">
        <f t="shared" ref="C356:C364" si="35">IF(C355="*",C355,"")</f>
        <v>*</v>
      </c>
      <c r="D356" s="17" t="s">
        <v>487</v>
      </c>
      <c r="E356" s="17" t="str">
        <f>E355</f>
        <v>TRAH2G</v>
      </c>
      <c r="F356" s="17" t="str">
        <f>F355</f>
        <v>TRAFRECLTDMD</v>
      </c>
      <c r="G356" s="17" t="str">
        <f>G355</f>
        <v>TRAFRECLTDMD</v>
      </c>
      <c r="H356" s="18">
        <v>2019</v>
      </c>
      <c r="I356" s="18"/>
      <c r="J356" s="20" t="e">
        <f>1-(J355*-1)</f>
        <v>#DIV/0!</v>
      </c>
      <c r="K356" s="18"/>
      <c r="L356" s="18"/>
      <c r="N356" s="21"/>
    </row>
    <row r="357" spans="1:14" x14ac:dyDescent="0.25">
      <c r="C357" s="15" t="str">
        <f t="shared" si="35"/>
        <v>*</v>
      </c>
      <c r="D357" s="17" t="str">
        <f>D355</f>
        <v>*ICEV*</v>
      </c>
      <c r="E357" s="17" t="str">
        <f>E355</f>
        <v>TRAH2G</v>
      </c>
      <c r="F357" s="17" t="str">
        <f>F355</f>
        <v>TRAFRECLTDMD</v>
      </c>
      <c r="G357" s="17" t="str">
        <f>G355</f>
        <v>TRAFRECLTDMD</v>
      </c>
      <c r="H357" s="18">
        <v>2025</v>
      </c>
      <c r="I357" s="18"/>
      <c r="J357" s="29" t="e">
        <f>IF(J355=0,-N357+1,J355*N357)</f>
        <v>#DIV/0!</v>
      </c>
      <c r="K357" s="18"/>
      <c r="L357" s="18"/>
      <c r="N357" s="21">
        <v>1.1000000000000001</v>
      </c>
    </row>
    <row r="358" spans="1:14" x14ac:dyDescent="0.25">
      <c r="C358" s="15" t="str">
        <f t="shared" si="35"/>
        <v>*</v>
      </c>
      <c r="D358" s="17" t="s">
        <v>487</v>
      </c>
      <c r="E358" s="17" t="str">
        <f>E357</f>
        <v>TRAH2G</v>
      </c>
      <c r="F358" s="17" t="str">
        <f>F357</f>
        <v>TRAFRECLTDMD</v>
      </c>
      <c r="G358" s="17" t="str">
        <f>G357</f>
        <v>TRAFRECLTDMD</v>
      </c>
      <c r="H358" s="18">
        <v>2025</v>
      </c>
      <c r="I358" s="18"/>
      <c r="J358" s="20" t="e">
        <f>1-(J357*-1)</f>
        <v>#DIV/0!</v>
      </c>
      <c r="K358" s="18"/>
      <c r="L358" s="18"/>
      <c r="N358" s="21"/>
    </row>
    <row r="359" spans="1:14" x14ac:dyDescent="0.25">
      <c r="C359" s="15" t="str">
        <f t="shared" si="35"/>
        <v>*</v>
      </c>
      <c r="D359" s="17" t="str">
        <f>D357</f>
        <v>*ICEV*</v>
      </c>
      <c r="E359" s="17" t="str">
        <f>E357</f>
        <v>TRAH2G</v>
      </c>
      <c r="F359" s="17" t="str">
        <f>F357</f>
        <v>TRAFRECLTDMD</v>
      </c>
      <c r="G359" s="17" t="str">
        <f>G357</f>
        <v>TRAFRECLTDMD</v>
      </c>
      <c r="H359" s="18">
        <v>2030</v>
      </c>
      <c r="I359" s="18"/>
      <c r="J359" s="29" t="e">
        <f>IF(J355=0,-N359+1,J355*N359)</f>
        <v>#DIV/0!</v>
      </c>
      <c r="K359" s="18"/>
      <c r="L359" s="18"/>
      <c r="N359" s="21">
        <v>1.2</v>
      </c>
    </row>
    <row r="360" spans="1:14" x14ac:dyDescent="0.25">
      <c r="C360" s="15" t="str">
        <f t="shared" si="35"/>
        <v>*</v>
      </c>
      <c r="D360" s="17" t="s">
        <v>487</v>
      </c>
      <c r="E360" s="17" t="str">
        <f>E359</f>
        <v>TRAH2G</v>
      </c>
      <c r="F360" s="17" t="str">
        <f>F359</f>
        <v>TRAFRECLTDMD</v>
      </c>
      <c r="G360" s="17" t="str">
        <f>G359</f>
        <v>TRAFRECLTDMD</v>
      </c>
      <c r="H360" s="18">
        <v>2030</v>
      </c>
      <c r="I360" s="18"/>
      <c r="J360" s="20" t="e">
        <f>1-(J359*-1)</f>
        <v>#DIV/0!</v>
      </c>
      <c r="K360" s="18"/>
      <c r="L360" s="18"/>
      <c r="N360" s="21"/>
    </row>
    <row r="361" spans="1:14" x14ac:dyDescent="0.25">
      <c r="C361" s="15" t="str">
        <f t="shared" si="35"/>
        <v>*</v>
      </c>
      <c r="D361" s="17" t="str">
        <f>D359</f>
        <v>*ICEV*</v>
      </c>
      <c r="E361" s="17" t="str">
        <f>E359</f>
        <v>TRAH2G</v>
      </c>
      <c r="F361" s="17" t="str">
        <f>F359</f>
        <v>TRAFRECLTDMD</v>
      </c>
      <c r="G361" s="17" t="str">
        <f>G359</f>
        <v>TRAFRECLTDMD</v>
      </c>
      <c r="H361" s="18">
        <v>2040</v>
      </c>
      <c r="I361" s="18"/>
      <c r="J361" s="29" t="e">
        <f>IF(J355=0,-N361+1,J355*N361)</f>
        <v>#DIV/0!</v>
      </c>
      <c r="K361" s="18"/>
      <c r="L361" s="18"/>
      <c r="N361" s="21">
        <v>1.3</v>
      </c>
    </row>
    <row r="362" spans="1:14" x14ac:dyDescent="0.25">
      <c r="C362" s="15" t="str">
        <f t="shared" si="35"/>
        <v>*</v>
      </c>
      <c r="D362" s="17" t="s">
        <v>487</v>
      </c>
      <c r="E362" s="17" t="str">
        <f>E361</f>
        <v>TRAH2G</v>
      </c>
      <c r="F362" s="17" t="str">
        <f>F361</f>
        <v>TRAFRECLTDMD</v>
      </c>
      <c r="G362" s="17" t="str">
        <f>G361</f>
        <v>TRAFRECLTDMD</v>
      </c>
      <c r="H362" s="18">
        <v>2040</v>
      </c>
      <c r="I362" s="18"/>
      <c r="J362" s="20" t="e">
        <f>1-(J361*-1)</f>
        <v>#DIV/0!</v>
      </c>
      <c r="K362" s="18"/>
      <c r="L362" s="18"/>
      <c r="N362" s="21"/>
    </row>
    <row r="363" spans="1:14" x14ac:dyDescent="0.25">
      <c r="C363" s="15" t="str">
        <f t="shared" si="35"/>
        <v>*</v>
      </c>
      <c r="D363" s="17" t="str">
        <f>D361</f>
        <v>*ICEV*</v>
      </c>
      <c r="E363" s="17" t="str">
        <f>E361</f>
        <v>TRAH2G</v>
      </c>
      <c r="F363" s="17" t="str">
        <f>F361</f>
        <v>TRAFRECLTDMD</v>
      </c>
      <c r="G363" s="17" t="str">
        <f>G361</f>
        <v>TRAFRECLTDMD</v>
      </c>
      <c r="H363" s="18">
        <v>2050</v>
      </c>
      <c r="I363" s="18"/>
      <c r="J363" s="29" t="e">
        <f>IF(J355=0,-N363+1,J355*N363)</f>
        <v>#DIV/0!</v>
      </c>
      <c r="K363" s="18"/>
      <c r="L363" s="18"/>
      <c r="N363" s="21">
        <v>1.4</v>
      </c>
    </row>
    <row r="364" spans="1:14" x14ac:dyDescent="0.25">
      <c r="C364" s="23" t="str">
        <f t="shared" si="35"/>
        <v>*</v>
      </c>
      <c r="D364" s="25" t="s">
        <v>487</v>
      </c>
      <c r="E364" s="25" t="str">
        <f>E363</f>
        <v>TRAH2G</v>
      </c>
      <c r="F364" s="25" t="str">
        <f>F363</f>
        <v>TRAFRECLTDMD</v>
      </c>
      <c r="G364" s="25" t="str">
        <f>G363</f>
        <v>TRAFRECLTDMD</v>
      </c>
      <c r="H364" s="26">
        <v>2050</v>
      </c>
      <c r="I364" s="26"/>
      <c r="J364" s="27" t="e">
        <f>1-(J363*-1)</f>
        <v>#DIV/0!</v>
      </c>
      <c r="K364" s="26"/>
      <c r="L364" s="26"/>
      <c r="N364" s="28"/>
    </row>
    <row r="365" spans="1:14" x14ac:dyDescent="0.25">
      <c r="A365">
        <f>A355+1</f>
        <v>37</v>
      </c>
      <c r="C365" s="15" t="str">
        <f>IF(E365="","",IF(SUMIFS('TRA TECH'!M:M,'TRA TECH'!J:J,D366,'TRA TECH'!I:I,F366,'TRA TECH'!H:H,E366)=0,"*",IF(_xlfn.XLOOKUP($A365,Selected_constraint!$A:$A,Selected_constraint!$D:$D)=1,"*",IF(SUMIFS('TRA TECH'!$M:$M,'TRA TECH'!$H:$H,E365,'TRA TECH'!$I:$I,F365)=0,"*",IF(SUMIFS('TRA RESID'!$P:$P,'TRA RESID'!$I:$I,G365,'TRA RESID'!$J:$J,D365,'TRA RESID'!$H:$H,E365)=0,"*","UC_"&amp;SUBSTITUTE(D365,"*","")&amp;"_"&amp;SUBSTITUTE(D365,"*","")&amp;"_"&amp;RIGHT(E365,3)&amp;"_"&amp;F365)))))</f>
        <v>*</v>
      </c>
      <c r="D365" s="17" t="s">
        <v>485</v>
      </c>
      <c r="E365" s="17" t="str">
        <f>_xlfn.XLOOKUP($A365,Selected_constraint!$A:$A,Selected_constraint!$B:$B)</f>
        <v>TRAGSL</v>
      </c>
      <c r="F365" s="17" t="str">
        <f>_xlfn.XLOOKUP($A365,Selected_constraint!$A:$A,Selected_constraint!$C:$C)</f>
        <v>TRAFRERFTDMD</v>
      </c>
      <c r="G365" s="17" t="str">
        <f>F365</f>
        <v>TRAFRERFTDMD</v>
      </c>
      <c r="H365" s="18">
        <v>2019</v>
      </c>
      <c r="I365" s="18" t="s">
        <v>484</v>
      </c>
      <c r="J365" s="29">
        <f>-SUMIFS('TRA RESID'!$P:$P,'TRA RESID'!$I:$I,G366,'TRA RESID'!$J:$J,D366,'TRA RESID'!$H:$H,E366)/(SUMIFS('TRA RESID'!$P:$P,'TRA RESID'!$I:$I,G366,'TRA RESID'!$J:$J,D366,'TRA RESID'!$H:$H,E366)+SUMIFS('TRA RESID'!$P:$P,'TRA RESID'!$I:$I,G365,'TRA RESID'!$J:$J,D365,'TRA RESID'!$H:$H,E365))</f>
        <v>0</v>
      </c>
      <c r="K365" s="18">
        <v>0</v>
      </c>
      <c r="L365" s="18">
        <v>5</v>
      </c>
      <c r="N365" s="21">
        <v>1</v>
      </c>
    </row>
    <row r="366" spans="1:14" x14ac:dyDescent="0.25">
      <c r="C366" s="15" t="str">
        <f t="shared" ref="C366:C374" si="36">IF(C365="*",C365,"")</f>
        <v>*</v>
      </c>
      <c r="D366" s="17" t="s">
        <v>487</v>
      </c>
      <c r="E366" s="17" t="str">
        <f>E365</f>
        <v>TRAGSL</v>
      </c>
      <c r="F366" s="17" t="str">
        <f>F365</f>
        <v>TRAFRERFTDMD</v>
      </c>
      <c r="G366" s="17" t="str">
        <f>G365</f>
        <v>TRAFRERFTDMD</v>
      </c>
      <c r="H366" s="18">
        <v>2019</v>
      </c>
      <c r="I366" s="18"/>
      <c r="J366" s="20">
        <f>1-(J365*-1)</f>
        <v>1</v>
      </c>
      <c r="K366" s="18"/>
      <c r="L366" s="18"/>
      <c r="N366" s="21"/>
    </row>
    <row r="367" spans="1:14" x14ac:dyDescent="0.25">
      <c r="C367" s="15" t="str">
        <f t="shared" si="36"/>
        <v>*</v>
      </c>
      <c r="D367" s="17" t="str">
        <f>D365</f>
        <v>*ICEV*</v>
      </c>
      <c r="E367" s="17" t="str">
        <f>E365</f>
        <v>TRAGSL</v>
      </c>
      <c r="F367" s="17" t="str">
        <f>F365</f>
        <v>TRAFRERFTDMD</v>
      </c>
      <c r="G367" s="17" t="str">
        <f>G365</f>
        <v>TRAFRERFTDMD</v>
      </c>
      <c r="H367" s="18">
        <v>2025</v>
      </c>
      <c r="I367" s="18"/>
      <c r="J367" s="29">
        <f>IF(J365=0,-N367+1,J365*N367)</f>
        <v>-0.10000000000000009</v>
      </c>
      <c r="K367" s="18"/>
      <c r="L367" s="18"/>
      <c r="N367" s="21">
        <v>1.1000000000000001</v>
      </c>
    </row>
    <row r="368" spans="1:14" x14ac:dyDescent="0.25">
      <c r="C368" s="15" t="str">
        <f t="shared" si="36"/>
        <v>*</v>
      </c>
      <c r="D368" s="17" t="s">
        <v>487</v>
      </c>
      <c r="E368" s="17" t="str">
        <f>E367</f>
        <v>TRAGSL</v>
      </c>
      <c r="F368" s="17" t="str">
        <f>F367</f>
        <v>TRAFRERFTDMD</v>
      </c>
      <c r="G368" s="17" t="str">
        <f>G367</f>
        <v>TRAFRERFTDMD</v>
      </c>
      <c r="H368" s="18">
        <v>2025</v>
      </c>
      <c r="I368" s="18"/>
      <c r="J368" s="20">
        <f>1-(J367*-1)</f>
        <v>0.89999999999999991</v>
      </c>
      <c r="K368" s="18"/>
      <c r="L368" s="18"/>
      <c r="N368" s="21"/>
    </row>
    <row r="369" spans="1:14" x14ac:dyDescent="0.25">
      <c r="C369" s="15" t="str">
        <f t="shared" si="36"/>
        <v>*</v>
      </c>
      <c r="D369" s="17" t="str">
        <f>D367</f>
        <v>*ICEV*</v>
      </c>
      <c r="E369" s="17" t="str">
        <f>E367</f>
        <v>TRAGSL</v>
      </c>
      <c r="F369" s="17" t="str">
        <f>F367</f>
        <v>TRAFRERFTDMD</v>
      </c>
      <c r="G369" s="17" t="str">
        <f>G367</f>
        <v>TRAFRERFTDMD</v>
      </c>
      <c r="H369" s="18">
        <v>2030</v>
      </c>
      <c r="I369" s="18"/>
      <c r="J369" s="29">
        <f>IF(J365=0,-N369+1,J365*N369)</f>
        <v>-0.19999999999999996</v>
      </c>
      <c r="K369" s="18"/>
      <c r="L369" s="18"/>
      <c r="N369" s="21">
        <v>1.2</v>
      </c>
    </row>
    <row r="370" spans="1:14" x14ac:dyDescent="0.25">
      <c r="C370" s="15" t="str">
        <f t="shared" si="36"/>
        <v>*</v>
      </c>
      <c r="D370" s="17" t="s">
        <v>487</v>
      </c>
      <c r="E370" s="17" t="str">
        <f>E369</f>
        <v>TRAGSL</v>
      </c>
      <c r="F370" s="17" t="str">
        <f>F369</f>
        <v>TRAFRERFTDMD</v>
      </c>
      <c r="G370" s="17" t="str">
        <f>G369</f>
        <v>TRAFRERFTDMD</v>
      </c>
      <c r="H370" s="18">
        <v>2030</v>
      </c>
      <c r="I370" s="18"/>
      <c r="J370" s="20">
        <f>1-(J369*-1)</f>
        <v>0.8</v>
      </c>
      <c r="K370" s="18"/>
      <c r="L370" s="18"/>
      <c r="N370" s="21"/>
    </row>
    <row r="371" spans="1:14" x14ac:dyDescent="0.25">
      <c r="C371" s="15" t="str">
        <f t="shared" si="36"/>
        <v>*</v>
      </c>
      <c r="D371" s="17" t="str">
        <f>D369</f>
        <v>*ICEV*</v>
      </c>
      <c r="E371" s="17" t="str">
        <f>E369</f>
        <v>TRAGSL</v>
      </c>
      <c r="F371" s="17" t="str">
        <f>F369</f>
        <v>TRAFRERFTDMD</v>
      </c>
      <c r="G371" s="17" t="str">
        <f>G369</f>
        <v>TRAFRERFTDMD</v>
      </c>
      <c r="H371" s="18">
        <v>2040</v>
      </c>
      <c r="I371" s="18"/>
      <c r="J371" s="29">
        <f>IF(J365=0,-N371+1,J365*N371)</f>
        <v>-0.30000000000000004</v>
      </c>
      <c r="K371" s="18"/>
      <c r="L371" s="18"/>
      <c r="N371" s="21">
        <v>1.3</v>
      </c>
    </row>
    <row r="372" spans="1:14" x14ac:dyDescent="0.25">
      <c r="C372" s="15" t="str">
        <f t="shared" si="36"/>
        <v>*</v>
      </c>
      <c r="D372" s="17" t="s">
        <v>487</v>
      </c>
      <c r="E372" s="17" t="str">
        <f>E371</f>
        <v>TRAGSL</v>
      </c>
      <c r="F372" s="17" t="str">
        <f>F371</f>
        <v>TRAFRERFTDMD</v>
      </c>
      <c r="G372" s="17" t="str">
        <f>G371</f>
        <v>TRAFRERFTDMD</v>
      </c>
      <c r="H372" s="18">
        <v>2040</v>
      </c>
      <c r="I372" s="18"/>
      <c r="J372" s="20">
        <f>1-(J371*-1)</f>
        <v>0.7</v>
      </c>
      <c r="K372" s="18"/>
      <c r="L372" s="18"/>
      <c r="N372" s="21"/>
    </row>
    <row r="373" spans="1:14" x14ac:dyDescent="0.25">
      <c r="C373" s="15" t="str">
        <f t="shared" si="36"/>
        <v>*</v>
      </c>
      <c r="D373" s="17" t="str">
        <f>D371</f>
        <v>*ICEV*</v>
      </c>
      <c r="E373" s="17" t="str">
        <f>E371</f>
        <v>TRAGSL</v>
      </c>
      <c r="F373" s="17" t="str">
        <f>F371</f>
        <v>TRAFRERFTDMD</v>
      </c>
      <c r="G373" s="17" t="str">
        <f>G371</f>
        <v>TRAFRERFTDMD</v>
      </c>
      <c r="H373" s="18">
        <v>2050</v>
      </c>
      <c r="I373" s="18"/>
      <c r="J373" s="29">
        <f>IF(J365=0,-N373+1,J365*N373)</f>
        <v>-0.39999999999999991</v>
      </c>
      <c r="K373" s="18"/>
      <c r="L373" s="18"/>
      <c r="N373" s="21">
        <v>1.4</v>
      </c>
    </row>
    <row r="374" spans="1:14" x14ac:dyDescent="0.25">
      <c r="C374" s="23" t="str">
        <f t="shared" si="36"/>
        <v>*</v>
      </c>
      <c r="D374" s="25" t="s">
        <v>487</v>
      </c>
      <c r="E374" s="25" t="str">
        <f>E373</f>
        <v>TRAGSL</v>
      </c>
      <c r="F374" s="25" t="str">
        <f>F373</f>
        <v>TRAFRERFTDMD</v>
      </c>
      <c r="G374" s="25" t="str">
        <f>G373</f>
        <v>TRAFRERFTDMD</v>
      </c>
      <c r="H374" s="26">
        <v>2050</v>
      </c>
      <c r="I374" s="26"/>
      <c r="J374" s="27">
        <f>1-(J373*-1)</f>
        <v>0.60000000000000009</v>
      </c>
      <c r="K374" s="26"/>
      <c r="L374" s="26"/>
      <c r="N374" s="28"/>
    </row>
    <row r="375" spans="1:14" x14ac:dyDescent="0.25">
      <c r="A375">
        <f>A365+1</f>
        <v>38</v>
      </c>
      <c r="C375" s="15" t="str">
        <f>IF(E375="","",IF(SUMIFS('TRA TECH'!M:M,'TRA TECH'!J:J,D376,'TRA TECH'!I:I,F376,'TRA TECH'!H:H,E376)=0,"*",IF(_xlfn.XLOOKUP($A375,Selected_constraint!$A:$A,Selected_constraint!$D:$D)=1,"*",IF(SUMIFS('TRA TECH'!$M:$M,'TRA TECH'!$H:$H,E375,'TRA TECH'!$I:$I,F375)=0,"*",IF(SUMIFS('TRA RESID'!$P:$P,'TRA RESID'!$I:$I,G375,'TRA RESID'!$J:$J,D375,'TRA RESID'!$H:$H,E375)=0,"*","UC_"&amp;SUBSTITUTE(D375,"*","")&amp;"_"&amp;SUBSTITUTE(D375,"*","")&amp;"_"&amp;RIGHT(E375,3)&amp;"_"&amp;F375)))))</f>
        <v>*</v>
      </c>
      <c r="D375" s="17" t="s">
        <v>485</v>
      </c>
      <c r="E375" s="17" t="str">
        <f>_xlfn.XLOOKUP($A375,Selected_constraint!$A:$A,Selected_constraint!$B:$B)</f>
        <v>TRAETH</v>
      </c>
      <c r="F375" s="17" t="str">
        <f>_xlfn.XLOOKUP($A375,Selected_constraint!$A:$A,Selected_constraint!$C:$C)</f>
        <v>TRAFRERFTDMD</v>
      </c>
      <c r="G375" s="17" t="str">
        <f>F375</f>
        <v>TRAFRERFTDMD</v>
      </c>
      <c r="H375" s="18">
        <v>2019</v>
      </c>
      <c r="I375" s="18" t="s">
        <v>484</v>
      </c>
      <c r="J375" s="29" t="e">
        <f>-SUMIFS('TRA RESID'!$P:$P,'TRA RESID'!$I:$I,G376,'TRA RESID'!$J:$J,D376,'TRA RESID'!$H:$H,E376)/(SUMIFS('TRA RESID'!$P:$P,'TRA RESID'!$I:$I,G376,'TRA RESID'!$J:$J,D376,'TRA RESID'!$H:$H,E376)+SUMIFS('TRA RESID'!$P:$P,'TRA RESID'!$I:$I,G375,'TRA RESID'!$J:$J,D375,'TRA RESID'!$H:$H,E375))</f>
        <v>#DIV/0!</v>
      </c>
      <c r="K375" s="18">
        <v>0</v>
      </c>
      <c r="L375" s="18">
        <v>5</v>
      </c>
      <c r="N375" s="21">
        <v>1</v>
      </c>
    </row>
    <row r="376" spans="1:14" x14ac:dyDescent="0.25">
      <c r="C376" s="15" t="str">
        <f t="shared" ref="C376:C384" si="37">IF(C375="*",C375,"")</f>
        <v>*</v>
      </c>
      <c r="D376" s="17" t="s">
        <v>487</v>
      </c>
      <c r="E376" s="17" t="str">
        <f>E375</f>
        <v>TRAETH</v>
      </c>
      <c r="F376" s="17" t="str">
        <f>F375</f>
        <v>TRAFRERFTDMD</v>
      </c>
      <c r="G376" s="17" t="str">
        <f>G375</f>
        <v>TRAFRERFTDMD</v>
      </c>
      <c r="H376" s="18">
        <v>2019</v>
      </c>
      <c r="I376" s="18"/>
      <c r="J376" s="20" t="e">
        <f>1-(J375*-1)</f>
        <v>#DIV/0!</v>
      </c>
      <c r="K376" s="18"/>
      <c r="L376" s="18"/>
      <c r="N376" s="21"/>
    </row>
    <row r="377" spans="1:14" x14ac:dyDescent="0.25">
      <c r="C377" s="15" t="str">
        <f t="shared" si="37"/>
        <v>*</v>
      </c>
      <c r="D377" s="17" t="str">
        <f>D375</f>
        <v>*ICEV*</v>
      </c>
      <c r="E377" s="17" t="str">
        <f>E375</f>
        <v>TRAETH</v>
      </c>
      <c r="F377" s="17" t="str">
        <f>F375</f>
        <v>TRAFRERFTDMD</v>
      </c>
      <c r="G377" s="17" t="str">
        <f>G375</f>
        <v>TRAFRERFTDMD</v>
      </c>
      <c r="H377" s="18">
        <v>2025</v>
      </c>
      <c r="I377" s="18"/>
      <c r="J377" s="29" t="e">
        <f>IF(J375=0,-N377+1,J375*N377)</f>
        <v>#DIV/0!</v>
      </c>
      <c r="K377" s="18"/>
      <c r="L377" s="18"/>
      <c r="N377" s="21">
        <v>1.1000000000000001</v>
      </c>
    </row>
    <row r="378" spans="1:14" x14ac:dyDescent="0.25">
      <c r="C378" s="15" t="str">
        <f t="shared" si="37"/>
        <v>*</v>
      </c>
      <c r="D378" s="17" t="s">
        <v>487</v>
      </c>
      <c r="E378" s="17" t="str">
        <f>E377</f>
        <v>TRAETH</v>
      </c>
      <c r="F378" s="17" t="str">
        <f>F377</f>
        <v>TRAFRERFTDMD</v>
      </c>
      <c r="G378" s="17" t="str">
        <f>G377</f>
        <v>TRAFRERFTDMD</v>
      </c>
      <c r="H378" s="18">
        <v>2025</v>
      </c>
      <c r="I378" s="18"/>
      <c r="J378" s="20" t="e">
        <f>1-(J377*-1)</f>
        <v>#DIV/0!</v>
      </c>
      <c r="K378" s="18"/>
      <c r="L378" s="18"/>
      <c r="N378" s="21"/>
    </row>
    <row r="379" spans="1:14" x14ac:dyDescent="0.25">
      <c r="C379" s="15" t="str">
        <f t="shared" si="37"/>
        <v>*</v>
      </c>
      <c r="D379" s="17" t="str">
        <f>D377</f>
        <v>*ICEV*</v>
      </c>
      <c r="E379" s="17" t="str">
        <f>E377</f>
        <v>TRAETH</v>
      </c>
      <c r="F379" s="17" t="str">
        <f>F377</f>
        <v>TRAFRERFTDMD</v>
      </c>
      <c r="G379" s="17" t="str">
        <f>G377</f>
        <v>TRAFRERFTDMD</v>
      </c>
      <c r="H379" s="18">
        <v>2030</v>
      </c>
      <c r="I379" s="18"/>
      <c r="J379" s="29" t="e">
        <f>IF(J375=0,-N379+1,J375*N379)</f>
        <v>#DIV/0!</v>
      </c>
      <c r="K379" s="18"/>
      <c r="L379" s="18"/>
      <c r="N379" s="21">
        <v>1.2</v>
      </c>
    </row>
    <row r="380" spans="1:14" x14ac:dyDescent="0.25">
      <c r="C380" s="15" t="str">
        <f t="shared" si="37"/>
        <v>*</v>
      </c>
      <c r="D380" s="17" t="s">
        <v>487</v>
      </c>
      <c r="E380" s="17" t="str">
        <f>E379</f>
        <v>TRAETH</v>
      </c>
      <c r="F380" s="17" t="str">
        <f>F379</f>
        <v>TRAFRERFTDMD</v>
      </c>
      <c r="G380" s="17" t="str">
        <f>G379</f>
        <v>TRAFRERFTDMD</v>
      </c>
      <c r="H380" s="18">
        <v>2030</v>
      </c>
      <c r="I380" s="18"/>
      <c r="J380" s="20" t="e">
        <f>1-(J379*-1)</f>
        <v>#DIV/0!</v>
      </c>
      <c r="K380" s="18"/>
      <c r="L380" s="18"/>
      <c r="N380" s="21"/>
    </row>
    <row r="381" spans="1:14" x14ac:dyDescent="0.25">
      <c r="C381" s="15" t="str">
        <f t="shared" si="37"/>
        <v>*</v>
      </c>
      <c r="D381" s="17" t="str">
        <f>D379</f>
        <v>*ICEV*</v>
      </c>
      <c r="E381" s="17" t="str">
        <f>E379</f>
        <v>TRAETH</v>
      </c>
      <c r="F381" s="17" t="str">
        <f>F379</f>
        <v>TRAFRERFTDMD</v>
      </c>
      <c r="G381" s="17" t="str">
        <f>G379</f>
        <v>TRAFRERFTDMD</v>
      </c>
      <c r="H381" s="18">
        <v>2040</v>
      </c>
      <c r="I381" s="18"/>
      <c r="J381" s="29" t="e">
        <f>IF(J375=0,-N381+1,J375*N381)</f>
        <v>#DIV/0!</v>
      </c>
      <c r="K381" s="18"/>
      <c r="L381" s="18"/>
      <c r="N381" s="21">
        <v>1.3</v>
      </c>
    </row>
    <row r="382" spans="1:14" x14ac:dyDescent="0.25">
      <c r="C382" s="15" t="str">
        <f t="shared" si="37"/>
        <v>*</v>
      </c>
      <c r="D382" s="17" t="s">
        <v>487</v>
      </c>
      <c r="E382" s="17" t="str">
        <f>E381</f>
        <v>TRAETH</v>
      </c>
      <c r="F382" s="17" t="str">
        <f>F381</f>
        <v>TRAFRERFTDMD</v>
      </c>
      <c r="G382" s="17" t="str">
        <f>G381</f>
        <v>TRAFRERFTDMD</v>
      </c>
      <c r="H382" s="18">
        <v>2040</v>
      </c>
      <c r="I382" s="18"/>
      <c r="J382" s="20" t="e">
        <f>1-(J381*-1)</f>
        <v>#DIV/0!</v>
      </c>
      <c r="K382" s="18"/>
      <c r="L382" s="18"/>
      <c r="N382" s="21"/>
    </row>
    <row r="383" spans="1:14" x14ac:dyDescent="0.25">
      <c r="C383" s="15" t="str">
        <f t="shared" si="37"/>
        <v>*</v>
      </c>
      <c r="D383" s="17" t="str">
        <f>D381</f>
        <v>*ICEV*</v>
      </c>
      <c r="E383" s="17" t="str">
        <f>E381</f>
        <v>TRAETH</v>
      </c>
      <c r="F383" s="17" t="str">
        <f>F381</f>
        <v>TRAFRERFTDMD</v>
      </c>
      <c r="G383" s="17" t="str">
        <f>G381</f>
        <v>TRAFRERFTDMD</v>
      </c>
      <c r="H383" s="18">
        <v>2050</v>
      </c>
      <c r="I383" s="18"/>
      <c r="J383" s="29" t="e">
        <f>IF(J375=0,-N383+1,J375*N383)</f>
        <v>#DIV/0!</v>
      </c>
      <c r="K383" s="18"/>
      <c r="L383" s="18"/>
      <c r="N383" s="21">
        <v>1.4</v>
      </c>
    </row>
    <row r="384" spans="1:14" x14ac:dyDescent="0.25">
      <c r="C384" s="23" t="str">
        <f t="shared" si="37"/>
        <v>*</v>
      </c>
      <c r="D384" s="25" t="s">
        <v>487</v>
      </c>
      <c r="E384" s="25" t="str">
        <f>E383</f>
        <v>TRAETH</v>
      </c>
      <c r="F384" s="25" t="str">
        <f>F383</f>
        <v>TRAFRERFTDMD</v>
      </c>
      <c r="G384" s="25" t="str">
        <f>G383</f>
        <v>TRAFRERFTDMD</v>
      </c>
      <c r="H384" s="26">
        <v>2050</v>
      </c>
      <c r="I384" s="26"/>
      <c r="J384" s="27" t="e">
        <f>1-(J383*-1)</f>
        <v>#DIV/0!</v>
      </c>
      <c r="K384" s="26"/>
      <c r="L384" s="26"/>
      <c r="N384" s="28"/>
    </row>
    <row r="385" spans="1:14" x14ac:dyDescent="0.25">
      <c r="A385">
        <f>A375+1</f>
        <v>39</v>
      </c>
      <c r="C385" s="15" t="str">
        <f>IF(E385="","",IF(SUMIFS('TRA TECH'!M:M,'TRA TECH'!J:J,D386,'TRA TECH'!I:I,F386,'TRA TECH'!H:H,E386)=0,"*",IF(_xlfn.XLOOKUP($A385,Selected_constraint!$A:$A,Selected_constraint!$D:$D)=1,"*",IF(SUMIFS('TRA TECH'!$M:$M,'TRA TECH'!$H:$H,E385,'TRA TECH'!$I:$I,F385)=0,"*",IF(SUMIFS('TRA RESID'!$P:$P,'TRA RESID'!$I:$I,G385,'TRA RESID'!$J:$J,D385,'TRA RESID'!$H:$H,E385)=0,"*","UC_"&amp;SUBSTITUTE(D385,"*","")&amp;"_"&amp;SUBSTITUTE(D385,"*","")&amp;"_"&amp;RIGHT(E385,3)&amp;"_"&amp;F385)))))</f>
        <v>UC_ICEV_ICEV_DSL_TRAFRERFTDMD</v>
      </c>
      <c r="D385" s="17" t="s">
        <v>485</v>
      </c>
      <c r="E385" s="17" t="str">
        <f>_xlfn.XLOOKUP($A385,Selected_constraint!$A:$A,Selected_constraint!$B:$B)</f>
        <v>TRADSL</v>
      </c>
      <c r="F385" s="17" t="str">
        <f>_xlfn.XLOOKUP($A385,Selected_constraint!$A:$A,Selected_constraint!$C:$C)</f>
        <v>TRAFRERFTDMD</v>
      </c>
      <c r="G385" s="17" t="str">
        <f>F385</f>
        <v>TRAFRERFTDMD</v>
      </c>
      <c r="H385" s="18">
        <v>2019</v>
      </c>
      <c r="I385" s="18" t="s">
        <v>484</v>
      </c>
      <c r="J385" s="29">
        <f>-SUMIFS('TRA RESID'!$P:$P,'TRA RESID'!$I:$I,G386,'TRA RESID'!$J:$J,D386,'TRA RESID'!$H:$H,E386)/(SUMIFS('TRA RESID'!$P:$P,'TRA RESID'!$I:$I,G386,'TRA RESID'!$J:$J,D386,'TRA RESID'!$H:$H,E386)+SUMIFS('TRA RESID'!$P:$P,'TRA RESID'!$I:$I,G385,'TRA RESID'!$J:$J,D385,'TRA RESID'!$H:$H,E385))</f>
        <v>0</v>
      </c>
      <c r="K385" s="18">
        <v>0</v>
      </c>
      <c r="L385" s="18">
        <v>5</v>
      </c>
      <c r="N385" s="21">
        <v>1</v>
      </c>
    </row>
    <row r="386" spans="1:14" x14ac:dyDescent="0.25">
      <c r="C386" s="15" t="str">
        <f t="shared" ref="C386:C394" si="38">IF(C385="*",C385,"")</f>
        <v/>
      </c>
      <c r="D386" s="17" t="s">
        <v>487</v>
      </c>
      <c r="E386" s="17" t="str">
        <f>E385</f>
        <v>TRADSL</v>
      </c>
      <c r="F386" s="17" t="str">
        <f>F385</f>
        <v>TRAFRERFTDMD</v>
      </c>
      <c r="G386" s="17" t="str">
        <f>G385</f>
        <v>TRAFRERFTDMD</v>
      </c>
      <c r="H386" s="18">
        <v>2019</v>
      </c>
      <c r="I386" s="18"/>
      <c r="J386" s="20">
        <f>1-(J385*-1)</f>
        <v>1</v>
      </c>
      <c r="K386" s="18"/>
      <c r="L386" s="18"/>
      <c r="N386" s="21"/>
    </row>
    <row r="387" spans="1:14" x14ac:dyDescent="0.25">
      <c r="C387" s="15" t="str">
        <f t="shared" si="38"/>
        <v/>
      </c>
      <c r="D387" s="17" t="str">
        <f>D385</f>
        <v>*ICEV*</v>
      </c>
      <c r="E387" s="17" t="str">
        <f>E385</f>
        <v>TRADSL</v>
      </c>
      <c r="F387" s="17" t="str">
        <f>F385</f>
        <v>TRAFRERFTDMD</v>
      </c>
      <c r="G387" s="17" t="str">
        <f>G385</f>
        <v>TRAFRERFTDMD</v>
      </c>
      <c r="H387" s="18">
        <v>2025</v>
      </c>
      <c r="I387" s="18"/>
      <c r="J387" s="29">
        <f>IF(J385=0,-N387+1,J385*N387)</f>
        <v>-0.10000000000000009</v>
      </c>
      <c r="K387" s="18"/>
      <c r="L387" s="18"/>
      <c r="N387" s="21">
        <v>1.1000000000000001</v>
      </c>
    </row>
    <row r="388" spans="1:14" x14ac:dyDescent="0.25">
      <c r="C388" s="15" t="str">
        <f t="shared" si="38"/>
        <v/>
      </c>
      <c r="D388" s="17" t="s">
        <v>487</v>
      </c>
      <c r="E388" s="17" t="str">
        <f>E387</f>
        <v>TRADSL</v>
      </c>
      <c r="F388" s="17" t="str">
        <f>F387</f>
        <v>TRAFRERFTDMD</v>
      </c>
      <c r="G388" s="17" t="str">
        <f>G387</f>
        <v>TRAFRERFTDMD</v>
      </c>
      <c r="H388" s="18">
        <v>2025</v>
      </c>
      <c r="I388" s="18"/>
      <c r="J388" s="20">
        <f>1-(J387*-1)</f>
        <v>0.89999999999999991</v>
      </c>
      <c r="K388" s="18"/>
      <c r="L388" s="18"/>
      <c r="N388" s="21"/>
    </row>
    <row r="389" spans="1:14" x14ac:dyDescent="0.25">
      <c r="C389" s="15" t="str">
        <f t="shared" si="38"/>
        <v/>
      </c>
      <c r="D389" s="17" t="str">
        <f>D387</f>
        <v>*ICEV*</v>
      </c>
      <c r="E389" s="17" t="str">
        <f>E387</f>
        <v>TRADSL</v>
      </c>
      <c r="F389" s="17" t="str">
        <f>F387</f>
        <v>TRAFRERFTDMD</v>
      </c>
      <c r="G389" s="17" t="str">
        <f>G387</f>
        <v>TRAFRERFTDMD</v>
      </c>
      <c r="H389" s="18">
        <v>2030</v>
      </c>
      <c r="I389" s="18"/>
      <c r="J389" s="29">
        <f>IF(J385=0,-N389+1,J385*N389)</f>
        <v>-0.19999999999999996</v>
      </c>
      <c r="K389" s="18"/>
      <c r="L389" s="18"/>
      <c r="N389" s="21">
        <v>1.2</v>
      </c>
    </row>
    <row r="390" spans="1:14" x14ac:dyDescent="0.25">
      <c r="C390" s="15" t="str">
        <f t="shared" si="38"/>
        <v/>
      </c>
      <c r="D390" s="17" t="s">
        <v>487</v>
      </c>
      <c r="E390" s="17" t="str">
        <f>E389</f>
        <v>TRADSL</v>
      </c>
      <c r="F390" s="17" t="str">
        <f>F389</f>
        <v>TRAFRERFTDMD</v>
      </c>
      <c r="G390" s="17" t="str">
        <f>G389</f>
        <v>TRAFRERFTDMD</v>
      </c>
      <c r="H390" s="18">
        <v>2030</v>
      </c>
      <c r="I390" s="18"/>
      <c r="J390" s="20">
        <f>1-(J389*-1)</f>
        <v>0.8</v>
      </c>
      <c r="K390" s="18"/>
      <c r="L390" s="18"/>
      <c r="N390" s="21"/>
    </row>
    <row r="391" spans="1:14" x14ac:dyDescent="0.25">
      <c r="C391" s="15" t="str">
        <f t="shared" si="38"/>
        <v/>
      </c>
      <c r="D391" s="17" t="str">
        <f>D389</f>
        <v>*ICEV*</v>
      </c>
      <c r="E391" s="17" t="str">
        <f>E389</f>
        <v>TRADSL</v>
      </c>
      <c r="F391" s="17" t="str">
        <f>F389</f>
        <v>TRAFRERFTDMD</v>
      </c>
      <c r="G391" s="17" t="str">
        <f>G389</f>
        <v>TRAFRERFTDMD</v>
      </c>
      <c r="H391" s="18">
        <v>2040</v>
      </c>
      <c r="I391" s="18"/>
      <c r="J391" s="29">
        <f>IF(J385=0,-N391+1,J385*N391)</f>
        <v>-0.30000000000000004</v>
      </c>
      <c r="K391" s="18"/>
      <c r="L391" s="18"/>
      <c r="N391" s="21">
        <v>1.3</v>
      </c>
    </row>
    <row r="392" spans="1:14" x14ac:dyDescent="0.25">
      <c r="C392" s="15" t="str">
        <f t="shared" si="38"/>
        <v/>
      </c>
      <c r="D392" s="17" t="s">
        <v>487</v>
      </c>
      <c r="E392" s="17" t="str">
        <f>E391</f>
        <v>TRADSL</v>
      </c>
      <c r="F392" s="17" t="str">
        <f>F391</f>
        <v>TRAFRERFTDMD</v>
      </c>
      <c r="G392" s="17" t="str">
        <f>G391</f>
        <v>TRAFRERFTDMD</v>
      </c>
      <c r="H392" s="18">
        <v>2040</v>
      </c>
      <c r="I392" s="18"/>
      <c r="J392" s="20">
        <f>1-(J391*-1)</f>
        <v>0.7</v>
      </c>
      <c r="K392" s="18"/>
      <c r="L392" s="18"/>
      <c r="N392" s="21"/>
    </row>
    <row r="393" spans="1:14" x14ac:dyDescent="0.25">
      <c r="C393" s="15" t="str">
        <f t="shared" si="38"/>
        <v/>
      </c>
      <c r="D393" s="17" t="str">
        <f>D391</f>
        <v>*ICEV*</v>
      </c>
      <c r="E393" s="17" t="str">
        <f>E391</f>
        <v>TRADSL</v>
      </c>
      <c r="F393" s="17" t="str">
        <f>F391</f>
        <v>TRAFRERFTDMD</v>
      </c>
      <c r="G393" s="17" t="str">
        <f>G391</f>
        <v>TRAFRERFTDMD</v>
      </c>
      <c r="H393" s="18">
        <v>2050</v>
      </c>
      <c r="I393" s="18"/>
      <c r="J393" s="29">
        <f>IF(J385=0,-N393+1,J385*N393)</f>
        <v>-0.39999999999999991</v>
      </c>
      <c r="K393" s="18"/>
      <c r="L393" s="18"/>
      <c r="N393" s="21">
        <v>1.4</v>
      </c>
    </row>
    <row r="394" spans="1:14" x14ac:dyDescent="0.25">
      <c r="C394" s="23" t="str">
        <f t="shared" si="38"/>
        <v/>
      </c>
      <c r="D394" s="25" t="s">
        <v>487</v>
      </c>
      <c r="E394" s="25" t="str">
        <f>E393</f>
        <v>TRADSL</v>
      </c>
      <c r="F394" s="25" t="str">
        <f>F393</f>
        <v>TRAFRERFTDMD</v>
      </c>
      <c r="G394" s="25" t="str">
        <f>G393</f>
        <v>TRAFRERFTDMD</v>
      </c>
      <c r="H394" s="26">
        <v>2050</v>
      </c>
      <c r="I394" s="26"/>
      <c r="J394" s="27">
        <f>1-(J393*-1)</f>
        <v>0.60000000000000009</v>
      </c>
      <c r="K394" s="26"/>
      <c r="L394" s="26"/>
      <c r="N394" s="28"/>
    </row>
    <row r="395" spans="1:14" x14ac:dyDescent="0.25">
      <c r="A395">
        <f>A385+1</f>
        <v>40</v>
      </c>
      <c r="C395" s="15" t="str">
        <f>IF(E395="","",IF(SUMIFS('TRA TECH'!M:M,'TRA TECH'!J:J,D396,'TRA TECH'!I:I,F396,'TRA TECH'!H:H,E396)=0,"*",IF(_xlfn.XLOOKUP($A395,Selected_constraint!$A:$A,Selected_constraint!$D:$D)=1,"*",IF(SUMIFS('TRA TECH'!$M:$M,'TRA TECH'!$H:$H,E395,'TRA TECH'!$I:$I,F395)=0,"*",IF(SUMIFS('TRA RESID'!$P:$P,'TRA RESID'!$I:$I,G395,'TRA RESID'!$J:$J,D395,'TRA RESID'!$H:$H,E395)=0,"*","UC_"&amp;SUBSTITUTE(D395,"*","")&amp;"_"&amp;SUBSTITUTE(D395,"*","")&amp;"_"&amp;RIGHT(E395,3)&amp;"_"&amp;F395)))))</f>
        <v>*</v>
      </c>
      <c r="D395" s="17" t="s">
        <v>485</v>
      </c>
      <c r="E395" s="17" t="str">
        <f>_xlfn.XLOOKUP($A395,Selected_constraint!$A:$A,Selected_constraint!$B:$B)</f>
        <v>TRARDS</v>
      </c>
      <c r="F395" s="17" t="str">
        <f>_xlfn.XLOOKUP($A395,Selected_constraint!$A:$A,Selected_constraint!$C:$C)</f>
        <v>TRAFRERFTDMD</v>
      </c>
      <c r="G395" s="17" t="str">
        <f>F395</f>
        <v>TRAFRERFTDMD</v>
      </c>
      <c r="H395" s="18">
        <v>2019</v>
      </c>
      <c r="I395" s="18" t="s">
        <v>484</v>
      </c>
      <c r="J395" s="29" t="e">
        <f>-SUMIFS('TRA RESID'!$P:$P,'TRA RESID'!$I:$I,G396,'TRA RESID'!$J:$J,D396,'TRA RESID'!$H:$H,E396)/(SUMIFS('TRA RESID'!$P:$P,'TRA RESID'!$I:$I,G396,'TRA RESID'!$J:$J,D396,'TRA RESID'!$H:$H,E396)+SUMIFS('TRA RESID'!$P:$P,'TRA RESID'!$I:$I,G395,'TRA RESID'!$J:$J,D395,'TRA RESID'!$H:$H,E395))</f>
        <v>#DIV/0!</v>
      </c>
      <c r="K395" s="18">
        <v>0</v>
      </c>
      <c r="L395" s="18">
        <v>5</v>
      </c>
      <c r="N395" s="21">
        <v>1</v>
      </c>
    </row>
    <row r="396" spans="1:14" x14ac:dyDescent="0.25">
      <c r="C396" s="15" t="str">
        <f t="shared" ref="C396:C404" si="39">IF(C395="*",C395,"")</f>
        <v>*</v>
      </c>
      <c r="D396" s="17" t="s">
        <v>487</v>
      </c>
      <c r="E396" s="17" t="str">
        <f>E395</f>
        <v>TRARDS</v>
      </c>
      <c r="F396" s="17" t="str">
        <f>F395</f>
        <v>TRAFRERFTDMD</v>
      </c>
      <c r="G396" s="17" t="str">
        <f>G395</f>
        <v>TRAFRERFTDMD</v>
      </c>
      <c r="H396" s="18">
        <v>2019</v>
      </c>
      <c r="I396" s="18"/>
      <c r="J396" s="20" t="e">
        <f>1-(J395*-1)</f>
        <v>#DIV/0!</v>
      </c>
      <c r="K396" s="18"/>
      <c r="L396" s="18"/>
      <c r="N396" s="21"/>
    </row>
    <row r="397" spans="1:14" x14ac:dyDescent="0.25">
      <c r="C397" s="15" t="str">
        <f t="shared" si="39"/>
        <v>*</v>
      </c>
      <c r="D397" s="17" t="str">
        <f>D395</f>
        <v>*ICEV*</v>
      </c>
      <c r="E397" s="17" t="str">
        <f>E395</f>
        <v>TRARDS</v>
      </c>
      <c r="F397" s="17" t="str">
        <f>F395</f>
        <v>TRAFRERFTDMD</v>
      </c>
      <c r="G397" s="17" t="str">
        <f>G395</f>
        <v>TRAFRERFTDMD</v>
      </c>
      <c r="H397" s="18">
        <v>2025</v>
      </c>
      <c r="I397" s="18"/>
      <c r="J397" s="29" t="e">
        <f>IF(J395=0,-N397+1,J395*N397)</f>
        <v>#DIV/0!</v>
      </c>
      <c r="K397" s="18"/>
      <c r="L397" s="18"/>
      <c r="N397" s="21">
        <v>1.1000000000000001</v>
      </c>
    </row>
    <row r="398" spans="1:14" x14ac:dyDescent="0.25">
      <c r="C398" s="15" t="str">
        <f t="shared" si="39"/>
        <v>*</v>
      </c>
      <c r="D398" s="17" t="s">
        <v>487</v>
      </c>
      <c r="E398" s="17" t="str">
        <f>E397</f>
        <v>TRARDS</v>
      </c>
      <c r="F398" s="17" t="str">
        <f>F397</f>
        <v>TRAFRERFTDMD</v>
      </c>
      <c r="G398" s="17" t="str">
        <f>G397</f>
        <v>TRAFRERFTDMD</v>
      </c>
      <c r="H398" s="18">
        <v>2025</v>
      </c>
      <c r="I398" s="18"/>
      <c r="J398" s="20" t="e">
        <f>1-(J397*-1)</f>
        <v>#DIV/0!</v>
      </c>
      <c r="K398" s="18"/>
      <c r="L398" s="18"/>
      <c r="N398" s="21"/>
    </row>
    <row r="399" spans="1:14" x14ac:dyDescent="0.25">
      <c r="C399" s="15" t="str">
        <f t="shared" si="39"/>
        <v>*</v>
      </c>
      <c r="D399" s="17" t="str">
        <f>D397</f>
        <v>*ICEV*</v>
      </c>
      <c r="E399" s="17" t="str">
        <f>E397</f>
        <v>TRARDS</v>
      </c>
      <c r="F399" s="17" t="str">
        <f>F397</f>
        <v>TRAFRERFTDMD</v>
      </c>
      <c r="G399" s="17" t="str">
        <f>G397</f>
        <v>TRAFRERFTDMD</v>
      </c>
      <c r="H399" s="18">
        <v>2030</v>
      </c>
      <c r="I399" s="18"/>
      <c r="J399" s="29" t="e">
        <f>IF(J395=0,-N399+1,J395*N399)</f>
        <v>#DIV/0!</v>
      </c>
      <c r="K399" s="18"/>
      <c r="L399" s="18"/>
      <c r="N399" s="21">
        <v>1.2</v>
      </c>
    </row>
    <row r="400" spans="1:14" x14ac:dyDescent="0.25">
      <c r="C400" s="15" t="str">
        <f t="shared" si="39"/>
        <v>*</v>
      </c>
      <c r="D400" s="17" t="s">
        <v>487</v>
      </c>
      <c r="E400" s="17" t="str">
        <f>E399</f>
        <v>TRARDS</v>
      </c>
      <c r="F400" s="17" t="str">
        <f>F399</f>
        <v>TRAFRERFTDMD</v>
      </c>
      <c r="G400" s="17" t="str">
        <f>G399</f>
        <v>TRAFRERFTDMD</v>
      </c>
      <c r="H400" s="18">
        <v>2030</v>
      </c>
      <c r="I400" s="18"/>
      <c r="J400" s="20" t="e">
        <f>1-(J399*-1)</f>
        <v>#DIV/0!</v>
      </c>
      <c r="K400" s="18"/>
      <c r="L400" s="18"/>
      <c r="N400" s="21"/>
    </row>
    <row r="401" spans="1:14" x14ac:dyDescent="0.25">
      <c r="C401" s="15" t="str">
        <f t="shared" si="39"/>
        <v>*</v>
      </c>
      <c r="D401" s="17" t="str">
        <f>D399</f>
        <v>*ICEV*</v>
      </c>
      <c r="E401" s="17" t="str">
        <f>E399</f>
        <v>TRARDS</v>
      </c>
      <c r="F401" s="17" t="str">
        <f>F399</f>
        <v>TRAFRERFTDMD</v>
      </c>
      <c r="G401" s="17" t="str">
        <f>G399</f>
        <v>TRAFRERFTDMD</v>
      </c>
      <c r="H401" s="18">
        <v>2040</v>
      </c>
      <c r="I401" s="18"/>
      <c r="J401" s="29" t="e">
        <f>IF(J395=0,-N401+1,J395*N401)</f>
        <v>#DIV/0!</v>
      </c>
      <c r="K401" s="18"/>
      <c r="L401" s="18"/>
      <c r="N401" s="21">
        <v>1.3</v>
      </c>
    </row>
    <row r="402" spans="1:14" x14ac:dyDescent="0.25">
      <c r="C402" s="15" t="str">
        <f t="shared" si="39"/>
        <v>*</v>
      </c>
      <c r="D402" s="17" t="s">
        <v>487</v>
      </c>
      <c r="E402" s="17" t="str">
        <f>E401</f>
        <v>TRARDS</v>
      </c>
      <c r="F402" s="17" t="str">
        <f>F401</f>
        <v>TRAFRERFTDMD</v>
      </c>
      <c r="G402" s="17" t="str">
        <f>G401</f>
        <v>TRAFRERFTDMD</v>
      </c>
      <c r="H402" s="18">
        <v>2040</v>
      </c>
      <c r="I402" s="18"/>
      <c r="J402" s="20" t="e">
        <f>1-(J401*-1)</f>
        <v>#DIV/0!</v>
      </c>
      <c r="K402" s="18"/>
      <c r="L402" s="18"/>
      <c r="N402" s="21"/>
    </row>
    <row r="403" spans="1:14" x14ac:dyDescent="0.25">
      <c r="C403" s="15" t="str">
        <f t="shared" si="39"/>
        <v>*</v>
      </c>
      <c r="D403" s="17" t="str">
        <f>D401</f>
        <v>*ICEV*</v>
      </c>
      <c r="E403" s="17" t="str">
        <f>E401</f>
        <v>TRARDS</v>
      </c>
      <c r="F403" s="17" t="str">
        <f>F401</f>
        <v>TRAFRERFTDMD</v>
      </c>
      <c r="G403" s="17" t="str">
        <f>G401</f>
        <v>TRAFRERFTDMD</v>
      </c>
      <c r="H403" s="18">
        <v>2050</v>
      </c>
      <c r="I403" s="18"/>
      <c r="J403" s="29" t="e">
        <f>IF(J395=0,-N403+1,J395*N403)</f>
        <v>#DIV/0!</v>
      </c>
      <c r="K403" s="18"/>
      <c r="L403" s="18"/>
      <c r="N403" s="21">
        <v>1.4</v>
      </c>
    </row>
    <row r="404" spans="1:14" x14ac:dyDescent="0.25">
      <c r="C404" s="23" t="str">
        <f t="shared" si="39"/>
        <v>*</v>
      </c>
      <c r="D404" s="25" t="s">
        <v>487</v>
      </c>
      <c r="E404" s="25" t="str">
        <f>E403</f>
        <v>TRARDS</v>
      </c>
      <c r="F404" s="25" t="str">
        <f>F403</f>
        <v>TRAFRERFTDMD</v>
      </c>
      <c r="G404" s="25" t="str">
        <f>G403</f>
        <v>TRAFRERFTDMD</v>
      </c>
      <c r="H404" s="26">
        <v>2050</v>
      </c>
      <c r="I404" s="26"/>
      <c r="J404" s="27" t="e">
        <f>1-(J403*-1)</f>
        <v>#DIV/0!</v>
      </c>
      <c r="K404" s="26"/>
      <c r="L404" s="26"/>
      <c r="N404" s="28"/>
    </row>
    <row r="405" spans="1:14" x14ac:dyDescent="0.25">
      <c r="A405">
        <f>A395+1</f>
        <v>41</v>
      </c>
      <c r="C405" s="15" t="str">
        <f>IF(E405="","",IF(SUMIFS('TRA TECH'!M:M,'TRA TECH'!J:J,D406,'TRA TECH'!I:I,F406,'TRA TECH'!H:H,E406)=0,"*",IF(_xlfn.XLOOKUP($A405,Selected_constraint!$A:$A,Selected_constraint!$D:$D)=1,"*",IF(SUMIFS('TRA TECH'!$M:$M,'TRA TECH'!$H:$H,E405,'TRA TECH'!$I:$I,F405)=0,"*",IF(SUMIFS('TRA RESID'!$P:$P,'TRA RESID'!$I:$I,G405,'TRA RESID'!$J:$J,D405,'TRA RESID'!$H:$H,E405)=0,"*","UC_"&amp;SUBSTITUTE(D405,"*","")&amp;"_"&amp;SUBSTITUTE(D405,"*","")&amp;"_"&amp;RIGHT(E405,3)&amp;"_"&amp;F405)))))</f>
        <v>*</v>
      </c>
      <c r="D405" s="17" t="s">
        <v>485</v>
      </c>
      <c r="E405" s="17" t="str">
        <f>_xlfn.XLOOKUP($A405,Selected_constraint!$A:$A,Selected_constraint!$B:$B)</f>
        <v>TRABDS</v>
      </c>
      <c r="F405" s="17" t="str">
        <f>_xlfn.XLOOKUP($A405,Selected_constraint!$A:$A,Selected_constraint!$C:$C)</f>
        <v>TRAFRERFTDMD</v>
      </c>
      <c r="G405" s="17" t="str">
        <f>F405</f>
        <v>TRAFRERFTDMD</v>
      </c>
      <c r="H405" s="18">
        <v>2019</v>
      </c>
      <c r="I405" s="18" t="s">
        <v>484</v>
      </c>
      <c r="J405" s="29" t="e">
        <f>-SUMIFS('TRA RESID'!$P:$P,'TRA RESID'!$I:$I,G406,'TRA RESID'!$J:$J,D406,'TRA RESID'!$H:$H,E406)/(SUMIFS('TRA RESID'!$P:$P,'TRA RESID'!$I:$I,G406,'TRA RESID'!$J:$J,D406,'TRA RESID'!$H:$H,E406)+SUMIFS('TRA RESID'!$P:$P,'TRA RESID'!$I:$I,G405,'TRA RESID'!$J:$J,D405,'TRA RESID'!$H:$H,E405))</f>
        <v>#DIV/0!</v>
      </c>
      <c r="K405" s="18">
        <v>0</v>
      </c>
      <c r="L405" s="18">
        <v>5</v>
      </c>
      <c r="N405" s="21">
        <v>1</v>
      </c>
    </row>
    <row r="406" spans="1:14" x14ac:dyDescent="0.25">
      <c r="C406" s="15" t="str">
        <f t="shared" ref="C406:C414" si="40">IF(C405="*",C405,"")</f>
        <v>*</v>
      </c>
      <c r="D406" s="17" t="s">
        <v>487</v>
      </c>
      <c r="E406" s="17" t="str">
        <f>E405</f>
        <v>TRABDS</v>
      </c>
      <c r="F406" s="17" t="str">
        <f>F405</f>
        <v>TRAFRERFTDMD</v>
      </c>
      <c r="G406" s="17" t="str">
        <f>G405</f>
        <v>TRAFRERFTDMD</v>
      </c>
      <c r="H406" s="18">
        <v>2019</v>
      </c>
      <c r="I406" s="18"/>
      <c r="J406" s="20" t="e">
        <f>1-(J405*-1)</f>
        <v>#DIV/0!</v>
      </c>
      <c r="K406" s="18"/>
      <c r="L406" s="18"/>
      <c r="N406" s="21"/>
    </row>
    <row r="407" spans="1:14" x14ac:dyDescent="0.25">
      <c r="C407" s="15" t="str">
        <f t="shared" si="40"/>
        <v>*</v>
      </c>
      <c r="D407" s="17" t="str">
        <f>D405</f>
        <v>*ICEV*</v>
      </c>
      <c r="E407" s="17" t="str">
        <f>E405</f>
        <v>TRABDS</v>
      </c>
      <c r="F407" s="17" t="str">
        <f>F405</f>
        <v>TRAFRERFTDMD</v>
      </c>
      <c r="G407" s="17" t="str">
        <f>G405</f>
        <v>TRAFRERFTDMD</v>
      </c>
      <c r="H407" s="18">
        <v>2025</v>
      </c>
      <c r="I407" s="18"/>
      <c r="J407" s="29" t="e">
        <f>IF(J405=0,-N407+1,J405*N407)</f>
        <v>#DIV/0!</v>
      </c>
      <c r="K407" s="18"/>
      <c r="L407" s="18"/>
      <c r="N407" s="21">
        <v>1.1000000000000001</v>
      </c>
    </row>
    <row r="408" spans="1:14" x14ac:dyDescent="0.25">
      <c r="C408" s="15" t="str">
        <f t="shared" si="40"/>
        <v>*</v>
      </c>
      <c r="D408" s="17" t="s">
        <v>487</v>
      </c>
      <c r="E408" s="17" t="str">
        <f>E407</f>
        <v>TRABDS</v>
      </c>
      <c r="F408" s="17" t="str">
        <f>F407</f>
        <v>TRAFRERFTDMD</v>
      </c>
      <c r="G408" s="17" t="str">
        <f>G407</f>
        <v>TRAFRERFTDMD</v>
      </c>
      <c r="H408" s="18">
        <v>2025</v>
      </c>
      <c r="I408" s="18"/>
      <c r="J408" s="20" t="e">
        <f>1-(J407*-1)</f>
        <v>#DIV/0!</v>
      </c>
      <c r="K408" s="18"/>
      <c r="L408" s="18"/>
      <c r="N408" s="21"/>
    </row>
    <row r="409" spans="1:14" x14ac:dyDescent="0.25">
      <c r="C409" s="15" t="str">
        <f t="shared" si="40"/>
        <v>*</v>
      </c>
      <c r="D409" s="17" t="str">
        <f>D407</f>
        <v>*ICEV*</v>
      </c>
      <c r="E409" s="17" t="str">
        <f>E407</f>
        <v>TRABDS</v>
      </c>
      <c r="F409" s="17" t="str">
        <f>F407</f>
        <v>TRAFRERFTDMD</v>
      </c>
      <c r="G409" s="17" t="str">
        <f>G407</f>
        <v>TRAFRERFTDMD</v>
      </c>
      <c r="H409" s="18">
        <v>2030</v>
      </c>
      <c r="I409" s="18"/>
      <c r="J409" s="29" t="e">
        <f>IF(J405=0,-N409+1,J405*N409)</f>
        <v>#DIV/0!</v>
      </c>
      <c r="K409" s="18"/>
      <c r="L409" s="18"/>
      <c r="N409" s="21">
        <v>1.2</v>
      </c>
    </row>
    <row r="410" spans="1:14" x14ac:dyDescent="0.25">
      <c r="C410" s="15" t="str">
        <f t="shared" si="40"/>
        <v>*</v>
      </c>
      <c r="D410" s="17" t="s">
        <v>487</v>
      </c>
      <c r="E410" s="17" t="str">
        <f>E409</f>
        <v>TRABDS</v>
      </c>
      <c r="F410" s="17" t="str">
        <f>F409</f>
        <v>TRAFRERFTDMD</v>
      </c>
      <c r="G410" s="17" t="str">
        <f>G409</f>
        <v>TRAFRERFTDMD</v>
      </c>
      <c r="H410" s="18">
        <v>2030</v>
      </c>
      <c r="I410" s="18"/>
      <c r="J410" s="20" t="e">
        <f>1-(J409*-1)</f>
        <v>#DIV/0!</v>
      </c>
      <c r="K410" s="18"/>
      <c r="L410" s="18"/>
      <c r="N410" s="21"/>
    </row>
    <row r="411" spans="1:14" x14ac:dyDescent="0.25">
      <c r="C411" s="15" t="str">
        <f t="shared" si="40"/>
        <v>*</v>
      </c>
      <c r="D411" s="17" t="str">
        <f>D409</f>
        <v>*ICEV*</v>
      </c>
      <c r="E411" s="17" t="str">
        <f>E409</f>
        <v>TRABDS</v>
      </c>
      <c r="F411" s="17" t="str">
        <f>F409</f>
        <v>TRAFRERFTDMD</v>
      </c>
      <c r="G411" s="17" t="str">
        <f>G409</f>
        <v>TRAFRERFTDMD</v>
      </c>
      <c r="H411" s="18">
        <v>2040</v>
      </c>
      <c r="I411" s="18"/>
      <c r="J411" s="29" t="e">
        <f>IF(J405=0,-N411+1,J405*N411)</f>
        <v>#DIV/0!</v>
      </c>
      <c r="K411" s="18"/>
      <c r="L411" s="18"/>
      <c r="N411" s="21">
        <v>1.3</v>
      </c>
    </row>
    <row r="412" spans="1:14" x14ac:dyDescent="0.25">
      <c r="C412" s="15" t="str">
        <f t="shared" si="40"/>
        <v>*</v>
      </c>
      <c r="D412" s="17" t="s">
        <v>487</v>
      </c>
      <c r="E412" s="17" t="str">
        <f>E411</f>
        <v>TRABDS</v>
      </c>
      <c r="F412" s="17" t="str">
        <f>F411</f>
        <v>TRAFRERFTDMD</v>
      </c>
      <c r="G412" s="17" t="str">
        <f>G411</f>
        <v>TRAFRERFTDMD</v>
      </c>
      <c r="H412" s="18">
        <v>2040</v>
      </c>
      <c r="I412" s="18"/>
      <c r="J412" s="20" t="e">
        <f>1-(J411*-1)</f>
        <v>#DIV/0!</v>
      </c>
      <c r="K412" s="18"/>
      <c r="L412" s="18"/>
      <c r="N412" s="21"/>
    </row>
    <row r="413" spans="1:14" x14ac:dyDescent="0.25">
      <c r="C413" s="15" t="str">
        <f t="shared" si="40"/>
        <v>*</v>
      </c>
      <c r="D413" s="17" t="str">
        <f>D411</f>
        <v>*ICEV*</v>
      </c>
      <c r="E413" s="17" t="str">
        <f>E411</f>
        <v>TRABDS</v>
      </c>
      <c r="F413" s="17" t="str">
        <f>F411</f>
        <v>TRAFRERFTDMD</v>
      </c>
      <c r="G413" s="17" t="str">
        <f>G411</f>
        <v>TRAFRERFTDMD</v>
      </c>
      <c r="H413" s="18">
        <v>2050</v>
      </c>
      <c r="I413" s="18"/>
      <c r="J413" s="29" t="e">
        <f>IF(J405=0,-N413+1,J405*N413)</f>
        <v>#DIV/0!</v>
      </c>
      <c r="K413" s="18"/>
      <c r="L413" s="18"/>
      <c r="N413" s="21">
        <v>1.4</v>
      </c>
    </row>
    <row r="414" spans="1:14" x14ac:dyDescent="0.25">
      <c r="C414" s="23" t="str">
        <f t="shared" si="40"/>
        <v>*</v>
      </c>
      <c r="D414" s="25" t="s">
        <v>487</v>
      </c>
      <c r="E414" s="25" t="str">
        <f>E413</f>
        <v>TRABDS</v>
      </c>
      <c r="F414" s="25" t="str">
        <f>F413</f>
        <v>TRAFRERFTDMD</v>
      </c>
      <c r="G414" s="25" t="str">
        <f>G413</f>
        <v>TRAFRERFTDMD</v>
      </c>
      <c r="H414" s="26">
        <v>2050</v>
      </c>
      <c r="I414" s="26"/>
      <c r="J414" s="27" t="e">
        <f>1-(J413*-1)</f>
        <v>#DIV/0!</v>
      </c>
      <c r="K414" s="26"/>
      <c r="L414" s="26"/>
      <c r="N414" s="28"/>
    </row>
    <row r="415" spans="1:14" x14ac:dyDescent="0.25">
      <c r="A415">
        <f>A405+1</f>
        <v>42</v>
      </c>
      <c r="C415" s="15" t="str">
        <f>IF(E415="","",IF(SUMIFS('TRA TECH'!M:M,'TRA TECH'!J:J,D416,'TRA TECH'!I:I,F416,'TRA TECH'!H:H,E416)=0,"*",IF(_xlfn.XLOOKUP($A415,Selected_constraint!$A:$A,Selected_constraint!$D:$D)=1,"*",IF(SUMIFS('TRA TECH'!$M:$M,'TRA TECH'!$H:$H,E415,'TRA TECH'!$I:$I,F415)=0,"*",IF(SUMIFS('TRA RESID'!$P:$P,'TRA RESID'!$I:$I,G415,'TRA RESID'!$J:$J,D415,'TRA RESID'!$H:$H,E415)=0,"*","UC_"&amp;SUBSTITUTE(D415,"*","")&amp;"_"&amp;SUBSTITUTE(D415,"*","")&amp;"_"&amp;RIGHT(E415,3)&amp;"_"&amp;F415)))))</f>
        <v>*</v>
      </c>
      <c r="D415" s="17" t="s">
        <v>485</v>
      </c>
      <c r="E415" s="17" t="str">
        <f>_xlfn.XLOOKUP($A415,Selected_constraint!$A:$A,Selected_constraint!$B:$B)</f>
        <v>TRACNG</v>
      </c>
      <c r="F415" s="17" t="str">
        <f>_xlfn.XLOOKUP($A415,Selected_constraint!$A:$A,Selected_constraint!$C:$C)</f>
        <v>TRAFRERFTDMD</v>
      </c>
      <c r="G415" s="17" t="str">
        <f>F415</f>
        <v>TRAFRERFTDMD</v>
      </c>
      <c r="H415" s="18">
        <v>2019</v>
      </c>
      <c r="I415" s="18" t="s">
        <v>484</v>
      </c>
      <c r="J415" s="29">
        <f>-SUMIFS('TRA RESID'!$P:$P,'TRA RESID'!$I:$I,G416,'TRA RESID'!$J:$J,D416,'TRA RESID'!$H:$H,E416)/(SUMIFS('TRA RESID'!$P:$P,'TRA RESID'!$I:$I,G416,'TRA RESID'!$J:$J,D416,'TRA RESID'!$H:$H,E416)+SUMIFS('TRA RESID'!$P:$P,'TRA RESID'!$I:$I,G415,'TRA RESID'!$J:$J,D415,'TRA RESID'!$H:$H,E415))</f>
        <v>0</v>
      </c>
      <c r="K415" s="18">
        <v>0</v>
      </c>
      <c r="L415" s="18">
        <v>5</v>
      </c>
      <c r="N415" s="21">
        <v>1</v>
      </c>
    </row>
    <row r="416" spans="1:14" x14ac:dyDescent="0.25">
      <c r="C416" s="15" t="str">
        <f t="shared" ref="C416:C424" si="41">IF(C415="*",C415,"")</f>
        <v>*</v>
      </c>
      <c r="D416" s="17" t="s">
        <v>487</v>
      </c>
      <c r="E416" s="17" t="str">
        <f>E415</f>
        <v>TRACNG</v>
      </c>
      <c r="F416" s="17" t="str">
        <f>F415</f>
        <v>TRAFRERFTDMD</v>
      </c>
      <c r="G416" s="17" t="str">
        <f>G415</f>
        <v>TRAFRERFTDMD</v>
      </c>
      <c r="H416" s="18">
        <v>2019</v>
      </c>
      <c r="I416" s="18"/>
      <c r="J416" s="20">
        <f>1-(J415*-1)</f>
        <v>1</v>
      </c>
      <c r="K416" s="18"/>
      <c r="L416" s="18"/>
      <c r="N416" s="21"/>
    </row>
    <row r="417" spans="1:14" x14ac:dyDescent="0.25">
      <c r="C417" s="15" t="str">
        <f t="shared" si="41"/>
        <v>*</v>
      </c>
      <c r="D417" s="17" t="str">
        <f>D415</f>
        <v>*ICEV*</v>
      </c>
      <c r="E417" s="17" t="str">
        <f>E415</f>
        <v>TRACNG</v>
      </c>
      <c r="F417" s="17" t="str">
        <f>F415</f>
        <v>TRAFRERFTDMD</v>
      </c>
      <c r="G417" s="17" t="str">
        <f>G415</f>
        <v>TRAFRERFTDMD</v>
      </c>
      <c r="H417" s="18">
        <v>2025</v>
      </c>
      <c r="I417" s="18"/>
      <c r="J417" s="29">
        <f>IF(J415=0,-N417+1,J415*N417)</f>
        <v>-0.10000000000000009</v>
      </c>
      <c r="K417" s="18"/>
      <c r="L417" s="18"/>
      <c r="N417" s="21">
        <v>1.1000000000000001</v>
      </c>
    </row>
    <row r="418" spans="1:14" x14ac:dyDescent="0.25">
      <c r="C418" s="15" t="str">
        <f t="shared" si="41"/>
        <v>*</v>
      </c>
      <c r="D418" s="17" t="s">
        <v>487</v>
      </c>
      <c r="E418" s="17" t="str">
        <f>E417</f>
        <v>TRACNG</v>
      </c>
      <c r="F418" s="17" t="str">
        <f>F417</f>
        <v>TRAFRERFTDMD</v>
      </c>
      <c r="G418" s="17" t="str">
        <f>G417</f>
        <v>TRAFRERFTDMD</v>
      </c>
      <c r="H418" s="18">
        <v>2025</v>
      </c>
      <c r="I418" s="18"/>
      <c r="J418" s="20">
        <f>1-(J417*-1)</f>
        <v>0.89999999999999991</v>
      </c>
      <c r="K418" s="18"/>
      <c r="L418" s="18"/>
      <c r="N418" s="21"/>
    </row>
    <row r="419" spans="1:14" x14ac:dyDescent="0.25">
      <c r="C419" s="15" t="str">
        <f t="shared" si="41"/>
        <v>*</v>
      </c>
      <c r="D419" s="17" t="str">
        <f>D417</f>
        <v>*ICEV*</v>
      </c>
      <c r="E419" s="17" t="str">
        <f>E417</f>
        <v>TRACNG</v>
      </c>
      <c r="F419" s="17" t="str">
        <f>F417</f>
        <v>TRAFRERFTDMD</v>
      </c>
      <c r="G419" s="17" t="str">
        <f>G417</f>
        <v>TRAFRERFTDMD</v>
      </c>
      <c r="H419" s="18">
        <v>2030</v>
      </c>
      <c r="I419" s="18"/>
      <c r="J419" s="29">
        <f>IF(J415=0,-N419+1,J415*N419)</f>
        <v>-0.19999999999999996</v>
      </c>
      <c r="K419" s="18"/>
      <c r="L419" s="18"/>
      <c r="N419" s="21">
        <v>1.2</v>
      </c>
    </row>
    <row r="420" spans="1:14" x14ac:dyDescent="0.25">
      <c r="C420" s="15" t="str">
        <f t="shared" si="41"/>
        <v>*</v>
      </c>
      <c r="D420" s="17" t="s">
        <v>487</v>
      </c>
      <c r="E420" s="17" t="str">
        <f>E419</f>
        <v>TRACNG</v>
      </c>
      <c r="F420" s="17" t="str">
        <f>F419</f>
        <v>TRAFRERFTDMD</v>
      </c>
      <c r="G420" s="17" t="str">
        <f>G419</f>
        <v>TRAFRERFTDMD</v>
      </c>
      <c r="H420" s="18">
        <v>2030</v>
      </c>
      <c r="I420" s="18"/>
      <c r="J420" s="20">
        <f>1-(J419*-1)</f>
        <v>0.8</v>
      </c>
      <c r="K420" s="18"/>
      <c r="L420" s="18"/>
      <c r="N420" s="21"/>
    </row>
    <row r="421" spans="1:14" x14ac:dyDescent="0.25">
      <c r="C421" s="15" t="str">
        <f t="shared" si="41"/>
        <v>*</v>
      </c>
      <c r="D421" s="17" t="str">
        <f>D419</f>
        <v>*ICEV*</v>
      </c>
      <c r="E421" s="17" t="str">
        <f>E419</f>
        <v>TRACNG</v>
      </c>
      <c r="F421" s="17" t="str">
        <f>F419</f>
        <v>TRAFRERFTDMD</v>
      </c>
      <c r="G421" s="17" t="str">
        <f>G419</f>
        <v>TRAFRERFTDMD</v>
      </c>
      <c r="H421" s="18">
        <v>2040</v>
      </c>
      <c r="I421" s="18"/>
      <c r="J421" s="29">
        <f>IF(J415=0,-N421+1,J415*N421)</f>
        <v>-0.30000000000000004</v>
      </c>
      <c r="K421" s="18"/>
      <c r="L421" s="18"/>
      <c r="N421" s="21">
        <v>1.3</v>
      </c>
    </row>
    <row r="422" spans="1:14" x14ac:dyDescent="0.25">
      <c r="C422" s="15" t="str">
        <f t="shared" si="41"/>
        <v>*</v>
      </c>
      <c r="D422" s="17" t="s">
        <v>487</v>
      </c>
      <c r="E422" s="17" t="str">
        <f>E421</f>
        <v>TRACNG</v>
      </c>
      <c r="F422" s="17" t="str">
        <f>F421</f>
        <v>TRAFRERFTDMD</v>
      </c>
      <c r="G422" s="17" t="str">
        <f>G421</f>
        <v>TRAFRERFTDMD</v>
      </c>
      <c r="H422" s="18">
        <v>2040</v>
      </c>
      <c r="I422" s="18"/>
      <c r="J422" s="20">
        <f>1-(J421*-1)</f>
        <v>0.7</v>
      </c>
      <c r="K422" s="18"/>
      <c r="L422" s="18"/>
      <c r="N422" s="21"/>
    </row>
    <row r="423" spans="1:14" x14ac:dyDescent="0.25">
      <c r="C423" s="15" t="str">
        <f t="shared" si="41"/>
        <v>*</v>
      </c>
      <c r="D423" s="17" t="str">
        <f>D421</f>
        <v>*ICEV*</v>
      </c>
      <c r="E423" s="17" t="str">
        <f>E421</f>
        <v>TRACNG</v>
      </c>
      <c r="F423" s="17" t="str">
        <f>F421</f>
        <v>TRAFRERFTDMD</v>
      </c>
      <c r="G423" s="17" t="str">
        <f>G421</f>
        <v>TRAFRERFTDMD</v>
      </c>
      <c r="H423" s="18">
        <v>2050</v>
      </c>
      <c r="I423" s="18"/>
      <c r="J423" s="29">
        <f>IF(J415=0,-N423+1,J415*N423)</f>
        <v>-0.39999999999999991</v>
      </c>
      <c r="K423" s="18"/>
      <c r="L423" s="18"/>
      <c r="N423" s="21">
        <v>1.4</v>
      </c>
    </row>
    <row r="424" spans="1:14" x14ac:dyDescent="0.25">
      <c r="C424" s="23" t="str">
        <f t="shared" si="41"/>
        <v>*</v>
      </c>
      <c r="D424" s="25" t="s">
        <v>487</v>
      </c>
      <c r="E424" s="25" t="str">
        <f>E423</f>
        <v>TRACNG</v>
      </c>
      <c r="F424" s="25" t="str">
        <f>F423</f>
        <v>TRAFRERFTDMD</v>
      </c>
      <c r="G424" s="25" t="str">
        <f>G423</f>
        <v>TRAFRERFTDMD</v>
      </c>
      <c r="H424" s="26">
        <v>2050</v>
      </c>
      <c r="I424" s="26"/>
      <c r="J424" s="27">
        <f>1-(J423*-1)</f>
        <v>0.60000000000000009</v>
      </c>
      <c r="K424" s="26"/>
      <c r="L424" s="26"/>
      <c r="N424" s="28"/>
    </row>
    <row r="425" spans="1:14" x14ac:dyDescent="0.25">
      <c r="A425">
        <f>A415+1</f>
        <v>43</v>
      </c>
      <c r="C425" s="15" t="str">
        <f>IF(E425="","",IF(SUMIFS('TRA TECH'!M:M,'TRA TECH'!J:J,D426,'TRA TECH'!I:I,F426,'TRA TECH'!H:H,E426)=0,"*",IF(_xlfn.XLOOKUP($A425,Selected_constraint!$A:$A,Selected_constraint!$D:$D)=1,"*",IF(SUMIFS('TRA TECH'!$M:$M,'TRA TECH'!$H:$H,E425,'TRA TECH'!$I:$I,F425)=0,"*",IF(SUMIFS('TRA RESID'!$P:$P,'TRA RESID'!$I:$I,G425,'TRA RESID'!$J:$J,D425,'TRA RESID'!$H:$H,E425)=0,"*","UC_"&amp;SUBSTITUTE(D425,"*","")&amp;"_"&amp;SUBSTITUTE(D425,"*","")&amp;"_"&amp;RIGHT(E425,3)&amp;"_"&amp;F425)))))</f>
        <v>*</v>
      </c>
      <c r="D425" s="17" t="s">
        <v>485</v>
      </c>
      <c r="E425" s="17" t="str">
        <f>_xlfn.XLOOKUP($A425,Selected_constraint!$A:$A,Selected_constraint!$B:$B)</f>
        <v>TRARNG</v>
      </c>
      <c r="F425" s="17" t="str">
        <f>_xlfn.XLOOKUP($A425,Selected_constraint!$A:$A,Selected_constraint!$C:$C)</f>
        <v>TRAFRERFTDMD</v>
      </c>
      <c r="G425" s="17" t="str">
        <f>F425</f>
        <v>TRAFRERFTDMD</v>
      </c>
      <c r="H425" s="18">
        <v>2019</v>
      </c>
      <c r="I425" s="18" t="s">
        <v>484</v>
      </c>
      <c r="J425" s="29" t="e">
        <f>-SUMIFS('TRA RESID'!$P:$P,'TRA RESID'!$I:$I,G426,'TRA RESID'!$J:$J,D426,'TRA RESID'!$H:$H,E426)/(SUMIFS('TRA RESID'!$P:$P,'TRA RESID'!$I:$I,G426,'TRA RESID'!$J:$J,D426,'TRA RESID'!$H:$H,E426)+SUMIFS('TRA RESID'!$P:$P,'TRA RESID'!$I:$I,G425,'TRA RESID'!$J:$J,D425,'TRA RESID'!$H:$H,E425))</f>
        <v>#DIV/0!</v>
      </c>
      <c r="K425" s="18">
        <v>0</v>
      </c>
      <c r="L425" s="18">
        <v>5</v>
      </c>
      <c r="N425" s="21">
        <v>1</v>
      </c>
    </row>
    <row r="426" spans="1:14" x14ac:dyDescent="0.25">
      <c r="C426" s="15" t="str">
        <f t="shared" ref="C426:C434" si="42">IF(C425="*",C425,"")</f>
        <v>*</v>
      </c>
      <c r="D426" s="17" t="s">
        <v>487</v>
      </c>
      <c r="E426" s="17" t="str">
        <f>E425</f>
        <v>TRARNG</v>
      </c>
      <c r="F426" s="17" t="str">
        <f>F425</f>
        <v>TRAFRERFTDMD</v>
      </c>
      <c r="G426" s="17" t="str">
        <f>G425</f>
        <v>TRAFRERFTDMD</v>
      </c>
      <c r="H426" s="18">
        <v>2019</v>
      </c>
      <c r="I426" s="18"/>
      <c r="J426" s="20" t="e">
        <f>1-(J425*-1)</f>
        <v>#DIV/0!</v>
      </c>
      <c r="K426" s="18"/>
      <c r="L426" s="18"/>
      <c r="N426" s="21"/>
    </row>
    <row r="427" spans="1:14" x14ac:dyDescent="0.25">
      <c r="C427" s="15" t="str">
        <f t="shared" si="42"/>
        <v>*</v>
      </c>
      <c r="D427" s="17" t="str">
        <f>D425</f>
        <v>*ICEV*</v>
      </c>
      <c r="E427" s="17" t="str">
        <f>E425</f>
        <v>TRARNG</v>
      </c>
      <c r="F427" s="17" t="str">
        <f>F425</f>
        <v>TRAFRERFTDMD</v>
      </c>
      <c r="G427" s="17" t="str">
        <f>G425</f>
        <v>TRAFRERFTDMD</v>
      </c>
      <c r="H427" s="18">
        <v>2025</v>
      </c>
      <c r="I427" s="18"/>
      <c r="J427" s="29" t="e">
        <f>IF(J425=0,-N427+1,J425*N427)</f>
        <v>#DIV/0!</v>
      </c>
      <c r="K427" s="18"/>
      <c r="L427" s="18"/>
      <c r="N427" s="21">
        <v>1.1000000000000001</v>
      </c>
    </row>
    <row r="428" spans="1:14" x14ac:dyDescent="0.25">
      <c r="C428" s="15" t="str">
        <f t="shared" si="42"/>
        <v>*</v>
      </c>
      <c r="D428" s="17" t="s">
        <v>487</v>
      </c>
      <c r="E428" s="17" t="str">
        <f>E427</f>
        <v>TRARNG</v>
      </c>
      <c r="F428" s="17" t="str">
        <f>F427</f>
        <v>TRAFRERFTDMD</v>
      </c>
      <c r="G428" s="17" t="str">
        <f>G427</f>
        <v>TRAFRERFTDMD</v>
      </c>
      <c r="H428" s="18">
        <v>2025</v>
      </c>
      <c r="I428" s="18"/>
      <c r="J428" s="20" t="e">
        <f>1-(J427*-1)</f>
        <v>#DIV/0!</v>
      </c>
      <c r="K428" s="18"/>
      <c r="L428" s="18"/>
      <c r="N428" s="21"/>
    </row>
    <row r="429" spans="1:14" x14ac:dyDescent="0.25">
      <c r="C429" s="15" t="str">
        <f t="shared" si="42"/>
        <v>*</v>
      </c>
      <c r="D429" s="17" t="str">
        <f>D427</f>
        <v>*ICEV*</v>
      </c>
      <c r="E429" s="17" t="str">
        <f>E427</f>
        <v>TRARNG</v>
      </c>
      <c r="F429" s="17" t="str">
        <f>F427</f>
        <v>TRAFRERFTDMD</v>
      </c>
      <c r="G429" s="17" t="str">
        <f>G427</f>
        <v>TRAFRERFTDMD</v>
      </c>
      <c r="H429" s="18">
        <v>2030</v>
      </c>
      <c r="I429" s="18"/>
      <c r="J429" s="29" t="e">
        <f>IF(J425=0,-N429+1,J425*N429)</f>
        <v>#DIV/0!</v>
      </c>
      <c r="K429" s="18"/>
      <c r="L429" s="18"/>
      <c r="N429" s="21">
        <v>1.2</v>
      </c>
    </row>
    <row r="430" spans="1:14" x14ac:dyDescent="0.25">
      <c r="C430" s="15" t="str">
        <f t="shared" si="42"/>
        <v>*</v>
      </c>
      <c r="D430" s="17" t="s">
        <v>487</v>
      </c>
      <c r="E430" s="17" t="str">
        <f>E429</f>
        <v>TRARNG</v>
      </c>
      <c r="F430" s="17" t="str">
        <f>F429</f>
        <v>TRAFRERFTDMD</v>
      </c>
      <c r="G430" s="17" t="str">
        <f>G429</f>
        <v>TRAFRERFTDMD</v>
      </c>
      <c r="H430" s="18">
        <v>2030</v>
      </c>
      <c r="I430" s="18"/>
      <c r="J430" s="20" t="e">
        <f>1-(J429*-1)</f>
        <v>#DIV/0!</v>
      </c>
      <c r="K430" s="18"/>
      <c r="L430" s="18"/>
      <c r="N430" s="21"/>
    </row>
    <row r="431" spans="1:14" x14ac:dyDescent="0.25">
      <c r="C431" s="15" t="str">
        <f t="shared" si="42"/>
        <v>*</v>
      </c>
      <c r="D431" s="17" t="str">
        <f>D429</f>
        <v>*ICEV*</v>
      </c>
      <c r="E431" s="17" t="str">
        <f>E429</f>
        <v>TRARNG</v>
      </c>
      <c r="F431" s="17" t="str">
        <f>F429</f>
        <v>TRAFRERFTDMD</v>
      </c>
      <c r="G431" s="17" t="str">
        <f>G429</f>
        <v>TRAFRERFTDMD</v>
      </c>
      <c r="H431" s="18">
        <v>2040</v>
      </c>
      <c r="I431" s="18"/>
      <c r="J431" s="29" t="e">
        <f>IF(J425=0,-N431+1,J425*N431)</f>
        <v>#DIV/0!</v>
      </c>
      <c r="K431" s="18"/>
      <c r="L431" s="18"/>
      <c r="N431" s="21">
        <v>1.3</v>
      </c>
    </row>
    <row r="432" spans="1:14" x14ac:dyDescent="0.25">
      <c r="C432" s="15" t="str">
        <f t="shared" si="42"/>
        <v>*</v>
      </c>
      <c r="D432" s="17" t="s">
        <v>487</v>
      </c>
      <c r="E432" s="17" t="str">
        <f>E431</f>
        <v>TRARNG</v>
      </c>
      <c r="F432" s="17" t="str">
        <f>F431</f>
        <v>TRAFRERFTDMD</v>
      </c>
      <c r="G432" s="17" t="str">
        <f>G431</f>
        <v>TRAFRERFTDMD</v>
      </c>
      <c r="H432" s="18">
        <v>2040</v>
      </c>
      <c r="I432" s="18"/>
      <c r="J432" s="20" t="e">
        <f>1-(J431*-1)</f>
        <v>#DIV/0!</v>
      </c>
      <c r="K432" s="18"/>
      <c r="L432" s="18"/>
      <c r="N432" s="21"/>
    </row>
    <row r="433" spans="1:14" x14ac:dyDescent="0.25">
      <c r="C433" s="15" t="str">
        <f t="shared" si="42"/>
        <v>*</v>
      </c>
      <c r="D433" s="17" t="str">
        <f>D431</f>
        <v>*ICEV*</v>
      </c>
      <c r="E433" s="17" t="str">
        <f>E431</f>
        <v>TRARNG</v>
      </c>
      <c r="F433" s="17" t="str">
        <f>F431</f>
        <v>TRAFRERFTDMD</v>
      </c>
      <c r="G433" s="17" t="str">
        <f>G431</f>
        <v>TRAFRERFTDMD</v>
      </c>
      <c r="H433" s="18">
        <v>2050</v>
      </c>
      <c r="I433" s="18"/>
      <c r="J433" s="29" t="e">
        <f>IF(J425=0,-N433+1,J425*N433)</f>
        <v>#DIV/0!</v>
      </c>
      <c r="K433" s="18"/>
      <c r="L433" s="18"/>
      <c r="N433" s="21">
        <v>1.4</v>
      </c>
    </row>
    <row r="434" spans="1:14" x14ac:dyDescent="0.25">
      <c r="C434" s="23" t="str">
        <f t="shared" si="42"/>
        <v>*</v>
      </c>
      <c r="D434" s="25" t="s">
        <v>487</v>
      </c>
      <c r="E434" s="25" t="str">
        <f>E433</f>
        <v>TRARNG</v>
      </c>
      <c r="F434" s="25" t="str">
        <f>F433</f>
        <v>TRAFRERFTDMD</v>
      </c>
      <c r="G434" s="25" t="str">
        <f>G433</f>
        <v>TRAFRERFTDMD</v>
      </c>
      <c r="H434" s="26">
        <v>2050</v>
      </c>
      <c r="I434" s="26"/>
      <c r="J434" s="27" t="e">
        <f>1-(J433*-1)</f>
        <v>#DIV/0!</v>
      </c>
      <c r="K434" s="26"/>
      <c r="L434" s="26"/>
      <c r="N434" s="28"/>
    </row>
    <row r="435" spans="1:14" x14ac:dyDescent="0.25">
      <c r="A435">
        <f>A425+1</f>
        <v>44</v>
      </c>
      <c r="C435" s="15" t="str">
        <f>IF(E435="","",IF(SUMIFS('TRA TECH'!M:M,'TRA TECH'!J:J,D436,'TRA TECH'!I:I,F436,'TRA TECH'!H:H,E436)=0,"*",IF(_xlfn.XLOOKUP($A435,Selected_constraint!$A:$A,Selected_constraint!$D:$D)=1,"*",IF(SUMIFS('TRA TECH'!$M:$M,'TRA TECH'!$H:$H,E435,'TRA TECH'!$I:$I,F435)=0,"*",IF(SUMIFS('TRA RESID'!$P:$P,'TRA RESID'!$I:$I,G435,'TRA RESID'!$J:$J,D435,'TRA RESID'!$H:$H,E435)=0,"*","UC_"&amp;SUBSTITUTE(D435,"*","")&amp;"_"&amp;SUBSTITUTE(D435,"*","")&amp;"_"&amp;RIGHT(E435,3)&amp;"_"&amp;F435)))))</f>
        <v>*</v>
      </c>
      <c r="D435" s="17" t="s">
        <v>485</v>
      </c>
      <c r="E435" s="17" t="str">
        <f>_xlfn.XLOOKUP($A435,Selected_constraint!$A:$A,Selected_constraint!$B:$B)</f>
        <v>TRABAF</v>
      </c>
      <c r="F435" s="17" t="str">
        <f>_xlfn.XLOOKUP($A435,Selected_constraint!$A:$A,Selected_constraint!$C:$C)</f>
        <v>TRAFRERFTDMD</v>
      </c>
      <c r="G435" s="17" t="str">
        <f>F435</f>
        <v>TRAFRERFTDMD</v>
      </c>
      <c r="H435" s="18">
        <v>2019</v>
      </c>
      <c r="I435" s="18" t="s">
        <v>484</v>
      </c>
      <c r="J435" s="29" t="e">
        <f>-SUMIFS('TRA RESID'!$P:$P,'TRA RESID'!$I:$I,G436,'TRA RESID'!$J:$J,D436,'TRA RESID'!$H:$H,E436)/(SUMIFS('TRA RESID'!$P:$P,'TRA RESID'!$I:$I,G436,'TRA RESID'!$J:$J,D436,'TRA RESID'!$H:$H,E436)+SUMIFS('TRA RESID'!$P:$P,'TRA RESID'!$I:$I,G435,'TRA RESID'!$J:$J,D435,'TRA RESID'!$H:$H,E435))</f>
        <v>#DIV/0!</v>
      </c>
      <c r="K435" s="18">
        <v>0</v>
      </c>
      <c r="L435" s="18">
        <v>5</v>
      </c>
      <c r="N435" s="21">
        <v>1</v>
      </c>
    </row>
    <row r="436" spans="1:14" x14ac:dyDescent="0.25">
      <c r="C436" s="15" t="str">
        <f t="shared" ref="C436:C444" si="43">IF(C435="*",C435,"")</f>
        <v>*</v>
      </c>
      <c r="D436" s="17" t="s">
        <v>487</v>
      </c>
      <c r="E436" s="17" t="str">
        <f>E435</f>
        <v>TRABAF</v>
      </c>
      <c r="F436" s="17" t="str">
        <f>F435</f>
        <v>TRAFRERFTDMD</v>
      </c>
      <c r="G436" s="17" t="str">
        <f>G435</f>
        <v>TRAFRERFTDMD</v>
      </c>
      <c r="H436" s="18">
        <v>2019</v>
      </c>
      <c r="I436" s="18"/>
      <c r="J436" s="20" t="e">
        <f>1-(J435*-1)</f>
        <v>#DIV/0!</v>
      </c>
      <c r="K436" s="18"/>
      <c r="L436" s="18"/>
      <c r="N436" s="21"/>
    </row>
    <row r="437" spans="1:14" x14ac:dyDescent="0.25">
      <c r="C437" s="15" t="str">
        <f t="shared" si="43"/>
        <v>*</v>
      </c>
      <c r="D437" s="17" t="str">
        <f>D435</f>
        <v>*ICEV*</v>
      </c>
      <c r="E437" s="17" t="str">
        <f>E435</f>
        <v>TRABAF</v>
      </c>
      <c r="F437" s="17" t="str">
        <f>F435</f>
        <v>TRAFRERFTDMD</v>
      </c>
      <c r="G437" s="17" t="str">
        <f>G435</f>
        <v>TRAFRERFTDMD</v>
      </c>
      <c r="H437" s="18">
        <v>2025</v>
      </c>
      <c r="I437" s="18"/>
      <c r="J437" s="29" t="e">
        <f>IF(J435=0,-N437+1,J435*N437)</f>
        <v>#DIV/0!</v>
      </c>
      <c r="K437" s="18"/>
      <c r="L437" s="18"/>
      <c r="N437" s="21">
        <v>1.1000000000000001</v>
      </c>
    </row>
    <row r="438" spans="1:14" x14ac:dyDescent="0.25">
      <c r="C438" s="15" t="str">
        <f t="shared" si="43"/>
        <v>*</v>
      </c>
      <c r="D438" s="17" t="s">
        <v>487</v>
      </c>
      <c r="E438" s="17" t="str">
        <f>E437</f>
        <v>TRABAF</v>
      </c>
      <c r="F438" s="17" t="str">
        <f>F437</f>
        <v>TRAFRERFTDMD</v>
      </c>
      <c r="G438" s="17" t="str">
        <f>G437</f>
        <v>TRAFRERFTDMD</v>
      </c>
      <c r="H438" s="18">
        <v>2025</v>
      </c>
      <c r="I438" s="18"/>
      <c r="J438" s="20" t="e">
        <f>1-(J437*-1)</f>
        <v>#DIV/0!</v>
      </c>
      <c r="K438" s="18"/>
      <c r="L438" s="18"/>
      <c r="N438" s="21"/>
    </row>
    <row r="439" spans="1:14" x14ac:dyDescent="0.25">
      <c r="C439" s="15" t="str">
        <f t="shared" si="43"/>
        <v>*</v>
      </c>
      <c r="D439" s="17" t="str">
        <f>D437</f>
        <v>*ICEV*</v>
      </c>
      <c r="E439" s="17" t="str">
        <f>E437</f>
        <v>TRABAF</v>
      </c>
      <c r="F439" s="17" t="str">
        <f>F437</f>
        <v>TRAFRERFTDMD</v>
      </c>
      <c r="G439" s="17" t="str">
        <f>G437</f>
        <v>TRAFRERFTDMD</v>
      </c>
      <c r="H439" s="18">
        <v>2030</v>
      </c>
      <c r="I439" s="18"/>
      <c r="J439" s="29" t="e">
        <f>IF(J435=0,-N439+1,J435*N439)</f>
        <v>#DIV/0!</v>
      </c>
      <c r="K439" s="18"/>
      <c r="L439" s="18"/>
      <c r="N439" s="21">
        <v>1.2</v>
      </c>
    </row>
    <row r="440" spans="1:14" x14ac:dyDescent="0.25">
      <c r="C440" s="15" t="str">
        <f t="shared" si="43"/>
        <v>*</v>
      </c>
      <c r="D440" s="17" t="s">
        <v>487</v>
      </c>
      <c r="E440" s="17" t="str">
        <f>E439</f>
        <v>TRABAF</v>
      </c>
      <c r="F440" s="17" t="str">
        <f>F439</f>
        <v>TRAFRERFTDMD</v>
      </c>
      <c r="G440" s="17" t="str">
        <f>G439</f>
        <v>TRAFRERFTDMD</v>
      </c>
      <c r="H440" s="18">
        <v>2030</v>
      </c>
      <c r="I440" s="18"/>
      <c r="J440" s="20" t="e">
        <f>1-(J439*-1)</f>
        <v>#DIV/0!</v>
      </c>
      <c r="K440" s="18"/>
      <c r="L440" s="18"/>
      <c r="N440" s="21"/>
    </row>
    <row r="441" spans="1:14" x14ac:dyDescent="0.25">
      <c r="C441" s="15" t="str">
        <f t="shared" si="43"/>
        <v>*</v>
      </c>
      <c r="D441" s="17" t="str">
        <f>D439</f>
        <v>*ICEV*</v>
      </c>
      <c r="E441" s="17" t="str">
        <f>E439</f>
        <v>TRABAF</v>
      </c>
      <c r="F441" s="17" t="str">
        <f>F439</f>
        <v>TRAFRERFTDMD</v>
      </c>
      <c r="G441" s="17" t="str">
        <f>G439</f>
        <v>TRAFRERFTDMD</v>
      </c>
      <c r="H441" s="18">
        <v>2040</v>
      </c>
      <c r="I441" s="18"/>
      <c r="J441" s="29" t="e">
        <f>IF(J435=0,-N441+1,J435*N441)</f>
        <v>#DIV/0!</v>
      </c>
      <c r="K441" s="18"/>
      <c r="L441" s="18"/>
      <c r="N441" s="21">
        <v>1.3</v>
      </c>
    </row>
    <row r="442" spans="1:14" x14ac:dyDescent="0.25">
      <c r="C442" s="15" t="str">
        <f t="shared" si="43"/>
        <v>*</v>
      </c>
      <c r="D442" s="17" t="s">
        <v>487</v>
      </c>
      <c r="E442" s="17" t="str">
        <f>E441</f>
        <v>TRABAF</v>
      </c>
      <c r="F442" s="17" t="str">
        <f>F441</f>
        <v>TRAFRERFTDMD</v>
      </c>
      <c r="G442" s="17" t="str">
        <f>G441</f>
        <v>TRAFRERFTDMD</v>
      </c>
      <c r="H442" s="18">
        <v>2040</v>
      </c>
      <c r="I442" s="18"/>
      <c r="J442" s="20" t="e">
        <f>1-(J441*-1)</f>
        <v>#DIV/0!</v>
      </c>
      <c r="K442" s="18"/>
      <c r="L442" s="18"/>
      <c r="N442" s="21"/>
    </row>
    <row r="443" spans="1:14" x14ac:dyDescent="0.25">
      <c r="C443" s="15" t="str">
        <f t="shared" si="43"/>
        <v>*</v>
      </c>
      <c r="D443" s="17" t="str">
        <f>D441</f>
        <v>*ICEV*</v>
      </c>
      <c r="E443" s="17" t="str">
        <f>E441</f>
        <v>TRABAF</v>
      </c>
      <c r="F443" s="17" t="str">
        <f>F441</f>
        <v>TRAFRERFTDMD</v>
      </c>
      <c r="G443" s="17" t="str">
        <f>G441</f>
        <v>TRAFRERFTDMD</v>
      </c>
      <c r="H443" s="18">
        <v>2050</v>
      </c>
      <c r="I443" s="18"/>
      <c r="J443" s="29" t="e">
        <f>IF(J435=0,-N443+1,J435*N443)</f>
        <v>#DIV/0!</v>
      </c>
      <c r="K443" s="18"/>
      <c r="L443" s="18"/>
      <c r="N443" s="21">
        <v>1.4</v>
      </c>
    </row>
    <row r="444" spans="1:14" x14ac:dyDescent="0.25">
      <c r="C444" s="23" t="str">
        <f t="shared" si="43"/>
        <v>*</v>
      </c>
      <c r="D444" s="25" t="s">
        <v>487</v>
      </c>
      <c r="E444" s="25" t="str">
        <f>E443</f>
        <v>TRABAF</v>
      </c>
      <c r="F444" s="25" t="str">
        <f>F443</f>
        <v>TRAFRERFTDMD</v>
      </c>
      <c r="G444" s="25" t="str">
        <f>G443</f>
        <v>TRAFRERFTDMD</v>
      </c>
      <c r="H444" s="26">
        <v>2050</v>
      </c>
      <c r="I444" s="26"/>
      <c r="J444" s="27" t="e">
        <f>1-(J443*-1)</f>
        <v>#DIV/0!</v>
      </c>
      <c r="K444" s="26"/>
      <c r="L444" s="26"/>
      <c r="N444" s="28"/>
    </row>
    <row r="445" spans="1:14" x14ac:dyDescent="0.25">
      <c r="A445">
        <f>A435+1</f>
        <v>45</v>
      </c>
      <c r="C445" s="15" t="str">
        <f>IF(E445="","",IF(SUMIFS('TRA TECH'!M:M,'TRA TECH'!J:J,D446,'TRA TECH'!I:I,F446,'TRA TECH'!H:H,E446)=0,"*",IF(_xlfn.XLOOKUP($A445,Selected_constraint!$A:$A,Selected_constraint!$D:$D)=1,"*",IF(SUMIFS('TRA TECH'!$M:$M,'TRA TECH'!$H:$H,E445,'TRA TECH'!$I:$I,F445)=0,"*",IF(SUMIFS('TRA RESID'!$P:$P,'TRA RESID'!$I:$I,G445,'TRA RESID'!$J:$J,D445,'TRA RESID'!$H:$H,E445)=0,"*","UC_"&amp;SUBSTITUTE(D445,"*","")&amp;"_"&amp;SUBSTITUTE(D445,"*","")&amp;"_"&amp;RIGHT(E445,3)&amp;"_"&amp;F445)))))</f>
        <v>*</v>
      </c>
      <c r="D445" s="17" t="s">
        <v>485</v>
      </c>
      <c r="E445" s="17" t="str">
        <f>_xlfn.XLOOKUP($A445,Selected_constraint!$A:$A,Selected_constraint!$B:$B)</f>
        <v>TRAH2G</v>
      </c>
      <c r="F445" s="17" t="str">
        <f>_xlfn.XLOOKUP($A445,Selected_constraint!$A:$A,Selected_constraint!$C:$C)</f>
        <v>TRAFRERFTDMD</v>
      </c>
      <c r="G445" s="17" t="str">
        <f>F445</f>
        <v>TRAFRERFTDMD</v>
      </c>
      <c r="H445" s="18">
        <v>2019</v>
      </c>
      <c r="I445" s="18" t="s">
        <v>484</v>
      </c>
      <c r="J445" s="29" t="e">
        <f>-SUMIFS('TRA RESID'!$P:$P,'TRA RESID'!$I:$I,G446,'TRA RESID'!$J:$J,D446,'TRA RESID'!$H:$H,E446)/(SUMIFS('TRA RESID'!$P:$P,'TRA RESID'!$I:$I,G446,'TRA RESID'!$J:$J,D446,'TRA RESID'!$H:$H,E446)+SUMIFS('TRA RESID'!$P:$P,'TRA RESID'!$I:$I,G445,'TRA RESID'!$J:$J,D445,'TRA RESID'!$H:$H,E445))</f>
        <v>#DIV/0!</v>
      </c>
      <c r="K445" s="18">
        <v>0</v>
      </c>
      <c r="L445" s="18">
        <v>5</v>
      </c>
      <c r="N445" s="21">
        <v>1</v>
      </c>
    </row>
    <row r="446" spans="1:14" x14ac:dyDescent="0.25">
      <c r="C446" s="15" t="str">
        <f t="shared" ref="C446:C454" si="44">IF(C445="*",C445,"")</f>
        <v>*</v>
      </c>
      <c r="D446" s="17" t="s">
        <v>487</v>
      </c>
      <c r="E446" s="17" t="str">
        <f>E445</f>
        <v>TRAH2G</v>
      </c>
      <c r="F446" s="17" t="str">
        <f>F445</f>
        <v>TRAFRERFTDMD</v>
      </c>
      <c r="G446" s="17" t="str">
        <f>G445</f>
        <v>TRAFRERFTDMD</v>
      </c>
      <c r="H446" s="18">
        <v>2019</v>
      </c>
      <c r="I446" s="18"/>
      <c r="J446" s="20" t="e">
        <f>1-(J445*-1)</f>
        <v>#DIV/0!</v>
      </c>
      <c r="K446" s="18"/>
      <c r="L446" s="18"/>
      <c r="N446" s="21"/>
    </row>
    <row r="447" spans="1:14" x14ac:dyDescent="0.25">
      <c r="C447" s="15" t="str">
        <f t="shared" si="44"/>
        <v>*</v>
      </c>
      <c r="D447" s="17" t="str">
        <f>D445</f>
        <v>*ICEV*</v>
      </c>
      <c r="E447" s="17" t="str">
        <f>E445</f>
        <v>TRAH2G</v>
      </c>
      <c r="F447" s="17" t="str">
        <f>F445</f>
        <v>TRAFRERFTDMD</v>
      </c>
      <c r="G447" s="17" t="str">
        <f>G445</f>
        <v>TRAFRERFTDMD</v>
      </c>
      <c r="H447" s="18">
        <v>2025</v>
      </c>
      <c r="I447" s="18"/>
      <c r="J447" s="29" t="e">
        <f>IF(J445=0,-N447+1,J445*N447)</f>
        <v>#DIV/0!</v>
      </c>
      <c r="K447" s="18"/>
      <c r="L447" s="18"/>
      <c r="N447" s="21">
        <v>1.1000000000000001</v>
      </c>
    </row>
    <row r="448" spans="1:14" x14ac:dyDescent="0.25">
      <c r="C448" s="15" t="str">
        <f t="shared" si="44"/>
        <v>*</v>
      </c>
      <c r="D448" s="17" t="s">
        <v>487</v>
      </c>
      <c r="E448" s="17" t="str">
        <f>E447</f>
        <v>TRAH2G</v>
      </c>
      <c r="F448" s="17" t="str">
        <f>F447</f>
        <v>TRAFRERFTDMD</v>
      </c>
      <c r="G448" s="17" t="str">
        <f>G447</f>
        <v>TRAFRERFTDMD</v>
      </c>
      <c r="H448" s="18">
        <v>2025</v>
      </c>
      <c r="I448" s="18"/>
      <c r="J448" s="20" t="e">
        <f>1-(J447*-1)</f>
        <v>#DIV/0!</v>
      </c>
      <c r="K448" s="18"/>
      <c r="L448" s="18"/>
      <c r="N448" s="21"/>
    </row>
    <row r="449" spans="1:14" x14ac:dyDescent="0.25">
      <c r="C449" s="15" t="str">
        <f t="shared" si="44"/>
        <v>*</v>
      </c>
      <c r="D449" s="17" t="str">
        <f>D447</f>
        <v>*ICEV*</v>
      </c>
      <c r="E449" s="17" t="str">
        <f>E447</f>
        <v>TRAH2G</v>
      </c>
      <c r="F449" s="17" t="str">
        <f>F447</f>
        <v>TRAFRERFTDMD</v>
      </c>
      <c r="G449" s="17" t="str">
        <f>G447</f>
        <v>TRAFRERFTDMD</v>
      </c>
      <c r="H449" s="18">
        <v>2030</v>
      </c>
      <c r="I449" s="18"/>
      <c r="J449" s="29" t="e">
        <f>IF(J445=0,-N449+1,J445*N449)</f>
        <v>#DIV/0!</v>
      </c>
      <c r="K449" s="18"/>
      <c r="L449" s="18"/>
      <c r="N449" s="21">
        <v>1.2</v>
      </c>
    </row>
    <row r="450" spans="1:14" x14ac:dyDescent="0.25">
      <c r="C450" s="15" t="str">
        <f t="shared" si="44"/>
        <v>*</v>
      </c>
      <c r="D450" s="17" t="s">
        <v>487</v>
      </c>
      <c r="E450" s="17" t="str">
        <f>E449</f>
        <v>TRAH2G</v>
      </c>
      <c r="F450" s="17" t="str">
        <f>F449</f>
        <v>TRAFRERFTDMD</v>
      </c>
      <c r="G450" s="17" t="str">
        <f>G449</f>
        <v>TRAFRERFTDMD</v>
      </c>
      <c r="H450" s="18">
        <v>2030</v>
      </c>
      <c r="I450" s="18"/>
      <c r="J450" s="20" t="e">
        <f>1-(J449*-1)</f>
        <v>#DIV/0!</v>
      </c>
      <c r="K450" s="18"/>
      <c r="L450" s="18"/>
      <c r="N450" s="21"/>
    </row>
    <row r="451" spans="1:14" x14ac:dyDescent="0.25">
      <c r="C451" s="15" t="str">
        <f t="shared" si="44"/>
        <v>*</v>
      </c>
      <c r="D451" s="17" t="str">
        <f>D449</f>
        <v>*ICEV*</v>
      </c>
      <c r="E451" s="17" t="str">
        <f>E449</f>
        <v>TRAH2G</v>
      </c>
      <c r="F451" s="17" t="str">
        <f>F449</f>
        <v>TRAFRERFTDMD</v>
      </c>
      <c r="G451" s="17" t="str">
        <f>G449</f>
        <v>TRAFRERFTDMD</v>
      </c>
      <c r="H451" s="18">
        <v>2040</v>
      </c>
      <c r="I451" s="18"/>
      <c r="J451" s="29" t="e">
        <f>IF(J445=0,-N451+1,J445*N451)</f>
        <v>#DIV/0!</v>
      </c>
      <c r="K451" s="18"/>
      <c r="L451" s="18"/>
      <c r="N451" s="21">
        <v>1.3</v>
      </c>
    </row>
    <row r="452" spans="1:14" x14ac:dyDescent="0.25">
      <c r="C452" s="15" t="str">
        <f t="shared" si="44"/>
        <v>*</v>
      </c>
      <c r="D452" s="17" t="s">
        <v>487</v>
      </c>
      <c r="E452" s="17" t="str">
        <f>E451</f>
        <v>TRAH2G</v>
      </c>
      <c r="F452" s="17" t="str">
        <f>F451</f>
        <v>TRAFRERFTDMD</v>
      </c>
      <c r="G452" s="17" t="str">
        <f>G451</f>
        <v>TRAFRERFTDMD</v>
      </c>
      <c r="H452" s="18">
        <v>2040</v>
      </c>
      <c r="I452" s="18"/>
      <c r="J452" s="20" t="e">
        <f>1-(J451*-1)</f>
        <v>#DIV/0!</v>
      </c>
      <c r="K452" s="18"/>
      <c r="L452" s="18"/>
      <c r="N452" s="21"/>
    </row>
    <row r="453" spans="1:14" x14ac:dyDescent="0.25">
      <c r="C453" s="15" t="str">
        <f t="shared" si="44"/>
        <v>*</v>
      </c>
      <c r="D453" s="17" t="str">
        <f>D451</f>
        <v>*ICEV*</v>
      </c>
      <c r="E453" s="17" t="str">
        <f>E451</f>
        <v>TRAH2G</v>
      </c>
      <c r="F453" s="17" t="str">
        <f>F451</f>
        <v>TRAFRERFTDMD</v>
      </c>
      <c r="G453" s="17" t="str">
        <f>G451</f>
        <v>TRAFRERFTDMD</v>
      </c>
      <c r="H453" s="18">
        <v>2050</v>
      </c>
      <c r="I453" s="18"/>
      <c r="J453" s="29" t="e">
        <f>IF(J445=0,-N453+1,J445*N453)</f>
        <v>#DIV/0!</v>
      </c>
      <c r="K453" s="18"/>
      <c r="L453" s="18"/>
      <c r="N453" s="21">
        <v>1.4</v>
      </c>
    </row>
    <row r="454" spans="1:14" x14ac:dyDescent="0.25">
      <c r="C454" s="23" t="str">
        <f t="shared" si="44"/>
        <v>*</v>
      </c>
      <c r="D454" s="25" t="s">
        <v>487</v>
      </c>
      <c r="E454" s="25" t="str">
        <f>E453</f>
        <v>TRAH2G</v>
      </c>
      <c r="F454" s="25" t="str">
        <f>F453</f>
        <v>TRAFRERFTDMD</v>
      </c>
      <c r="G454" s="25" t="str">
        <f>G453</f>
        <v>TRAFRERFTDMD</v>
      </c>
      <c r="H454" s="26">
        <v>2050</v>
      </c>
      <c r="I454" s="26"/>
      <c r="J454" s="27" t="e">
        <f>1-(J453*-1)</f>
        <v>#DIV/0!</v>
      </c>
      <c r="K454" s="26"/>
      <c r="L454" s="26"/>
      <c r="N454" s="28"/>
    </row>
    <row r="455" spans="1:14" x14ac:dyDescent="0.25">
      <c r="A455">
        <f>A445+1</f>
        <v>46</v>
      </c>
      <c r="C455" s="15" t="str">
        <f>IF(E455="","",IF(SUMIFS('TRA TECH'!M:M,'TRA TECH'!J:J,D456,'TRA TECH'!I:I,F456,'TRA TECH'!H:H,E456)=0,"*",IF(_xlfn.XLOOKUP($A455,Selected_constraint!$A:$A,Selected_constraint!$D:$D)=1,"*",IF(SUMIFS('TRA TECH'!$M:$M,'TRA TECH'!$H:$H,E455,'TRA TECH'!$I:$I,F455)=0,"*",IF(SUMIFS('TRA RESID'!$P:$P,'TRA RESID'!$I:$I,G455,'TRA RESID'!$J:$J,D455,'TRA RESID'!$H:$H,E455)=0,"*","UC_"&amp;SUBSTITUTE(D455,"*","")&amp;"_"&amp;SUBSTITUTE(D455,"*","")&amp;"_"&amp;RIGHT(E455,3)&amp;"_"&amp;F455)))))</f>
        <v>*</v>
      </c>
      <c r="D455" s="17" t="s">
        <v>485</v>
      </c>
      <c r="E455" s="17" t="str">
        <f>_xlfn.XLOOKUP($A455,Selected_constraint!$A:$A,Selected_constraint!$B:$B)</f>
        <v>TRAGSL</v>
      </c>
      <c r="F455" s="17" t="str">
        <f>_xlfn.XLOOKUP($A455,Selected_constraint!$A:$A,Selected_constraint!$C:$C)</f>
        <v>TRAFRESLHDMD</v>
      </c>
      <c r="G455" s="17" t="str">
        <f>F455</f>
        <v>TRAFRESLHDMD</v>
      </c>
      <c r="H455" s="18">
        <v>2019</v>
      </c>
      <c r="I455" s="18" t="s">
        <v>484</v>
      </c>
      <c r="J455" s="29" t="e">
        <f>-SUMIFS('TRA RESID'!$P:$P,'TRA RESID'!$I:$I,G456,'TRA RESID'!$J:$J,D456,'TRA RESID'!$H:$H,E456)/(SUMIFS('TRA RESID'!$P:$P,'TRA RESID'!$I:$I,G456,'TRA RESID'!$J:$J,D456,'TRA RESID'!$H:$H,E456)+SUMIFS('TRA RESID'!$P:$P,'TRA RESID'!$I:$I,G455,'TRA RESID'!$J:$J,D455,'TRA RESID'!$H:$H,E455))</f>
        <v>#DIV/0!</v>
      </c>
      <c r="K455" s="18">
        <v>0</v>
      </c>
      <c r="L455" s="18">
        <v>5</v>
      </c>
      <c r="N455" s="21">
        <v>1</v>
      </c>
    </row>
    <row r="456" spans="1:14" x14ac:dyDescent="0.25">
      <c r="C456" s="15" t="str">
        <f t="shared" ref="C456:C464" si="45">IF(C455="*",C455,"")</f>
        <v>*</v>
      </c>
      <c r="D456" s="17" t="s">
        <v>487</v>
      </c>
      <c r="E456" s="17" t="str">
        <f>E455</f>
        <v>TRAGSL</v>
      </c>
      <c r="F456" s="17" t="str">
        <f>F455</f>
        <v>TRAFRESLHDMD</v>
      </c>
      <c r="G456" s="17" t="str">
        <f>G455</f>
        <v>TRAFRESLHDMD</v>
      </c>
      <c r="H456" s="18">
        <v>2019</v>
      </c>
      <c r="I456" s="18"/>
      <c r="J456" s="20" t="e">
        <f>1-(J455*-1)</f>
        <v>#DIV/0!</v>
      </c>
      <c r="K456" s="18"/>
      <c r="L456" s="18"/>
      <c r="N456" s="21"/>
    </row>
    <row r="457" spans="1:14" x14ac:dyDescent="0.25">
      <c r="C457" s="15" t="str">
        <f t="shared" si="45"/>
        <v>*</v>
      </c>
      <c r="D457" s="17" t="str">
        <f>D455</f>
        <v>*ICEV*</v>
      </c>
      <c r="E457" s="17" t="str">
        <f>E455</f>
        <v>TRAGSL</v>
      </c>
      <c r="F457" s="17" t="str">
        <f>F455</f>
        <v>TRAFRESLHDMD</v>
      </c>
      <c r="G457" s="17" t="str">
        <f>G455</f>
        <v>TRAFRESLHDMD</v>
      </c>
      <c r="H457" s="18">
        <v>2025</v>
      </c>
      <c r="I457" s="18"/>
      <c r="J457" s="29" t="e">
        <f>IF(J455=0,-N457+1,J455*N457)</f>
        <v>#DIV/0!</v>
      </c>
      <c r="K457" s="18"/>
      <c r="L457" s="18"/>
      <c r="N457" s="21">
        <v>1.1000000000000001</v>
      </c>
    </row>
    <row r="458" spans="1:14" x14ac:dyDescent="0.25">
      <c r="C458" s="15" t="str">
        <f t="shared" si="45"/>
        <v>*</v>
      </c>
      <c r="D458" s="17" t="s">
        <v>487</v>
      </c>
      <c r="E458" s="17" t="str">
        <f>E457</f>
        <v>TRAGSL</v>
      </c>
      <c r="F458" s="17" t="str">
        <f>F457</f>
        <v>TRAFRESLHDMD</v>
      </c>
      <c r="G458" s="17" t="str">
        <f>G457</f>
        <v>TRAFRESLHDMD</v>
      </c>
      <c r="H458" s="18">
        <v>2025</v>
      </c>
      <c r="I458" s="18"/>
      <c r="J458" s="20" t="e">
        <f>1-(J457*-1)</f>
        <v>#DIV/0!</v>
      </c>
      <c r="K458" s="18"/>
      <c r="L458" s="18"/>
      <c r="N458" s="21"/>
    </row>
    <row r="459" spans="1:14" x14ac:dyDescent="0.25">
      <c r="C459" s="15" t="str">
        <f t="shared" si="45"/>
        <v>*</v>
      </c>
      <c r="D459" s="17" t="str">
        <f>D457</f>
        <v>*ICEV*</v>
      </c>
      <c r="E459" s="17" t="str">
        <f>E457</f>
        <v>TRAGSL</v>
      </c>
      <c r="F459" s="17" t="str">
        <f>F457</f>
        <v>TRAFRESLHDMD</v>
      </c>
      <c r="G459" s="17" t="str">
        <f>G457</f>
        <v>TRAFRESLHDMD</v>
      </c>
      <c r="H459" s="18">
        <v>2030</v>
      </c>
      <c r="I459" s="18"/>
      <c r="J459" s="29" t="e">
        <f>IF(J455=0,-N459+1,J455*N459)</f>
        <v>#DIV/0!</v>
      </c>
      <c r="K459" s="18"/>
      <c r="L459" s="18"/>
      <c r="N459" s="21">
        <v>1.2</v>
      </c>
    </row>
    <row r="460" spans="1:14" x14ac:dyDescent="0.25">
      <c r="C460" s="15" t="str">
        <f t="shared" si="45"/>
        <v>*</v>
      </c>
      <c r="D460" s="17" t="s">
        <v>487</v>
      </c>
      <c r="E460" s="17" t="str">
        <f>E459</f>
        <v>TRAGSL</v>
      </c>
      <c r="F460" s="17" t="str">
        <f>F459</f>
        <v>TRAFRESLHDMD</v>
      </c>
      <c r="G460" s="17" t="str">
        <f>G459</f>
        <v>TRAFRESLHDMD</v>
      </c>
      <c r="H460" s="18">
        <v>2030</v>
      </c>
      <c r="I460" s="18"/>
      <c r="J460" s="20" t="e">
        <f>1-(J459*-1)</f>
        <v>#DIV/0!</v>
      </c>
      <c r="K460" s="18"/>
      <c r="L460" s="18"/>
      <c r="N460" s="21"/>
    </row>
    <row r="461" spans="1:14" x14ac:dyDescent="0.25">
      <c r="C461" s="15" t="str">
        <f t="shared" si="45"/>
        <v>*</v>
      </c>
      <c r="D461" s="17" t="str">
        <f>D459</f>
        <v>*ICEV*</v>
      </c>
      <c r="E461" s="17" t="str">
        <f>E459</f>
        <v>TRAGSL</v>
      </c>
      <c r="F461" s="17" t="str">
        <f>F459</f>
        <v>TRAFRESLHDMD</v>
      </c>
      <c r="G461" s="17" t="str">
        <f>G459</f>
        <v>TRAFRESLHDMD</v>
      </c>
      <c r="H461" s="18">
        <v>2040</v>
      </c>
      <c r="I461" s="18"/>
      <c r="J461" s="29" t="e">
        <f>IF(J455=0,-N461+1,J455*N461)</f>
        <v>#DIV/0!</v>
      </c>
      <c r="K461" s="18"/>
      <c r="L461" s="18"/>
      <c r="N461" s="21">
        <v>1.3</v>
      </c>
    </row>
    <row r="462" spans="1:14" x14ac:dyDescent="0.25">
      <c r="C462" s="15" t="str">
        <f t="shared" si="45"/>
        <v>*</v>
      </c>
      <c r="D462" s="17" t="s">
        <v>487</v>
      </c>
      <c r="E462" s="17" t="str">
        <f>E461</f>
        <v>TRAGSL</v>
      </c>
      <c r="F462" s="17" t="str">
        <f>F461</f>
        <v>TRAFRESLHDMD</v>
      </c>
      <c r="G462" s="17" t="str">
        <f>G461</f>
        <v>TRAFRESLHDMD</v>
      </c>
      <c r="H462" s="18">
        <v>2040</v>
      </c>
      <c r="I462" s="18"/>
      <c r="J462" s="20" t="e">
        <f>1-(J461*-1)</f>
        <v>#DIV/0!</v>
      </c>
      <c r="K462" s="18"/>
      <c r="L462" s="18"/>
      <c r="N462" s="21"/>
    </row>
    <row r="463" spans="1:14" x14ac:dyDescent="0.25">
      <c r="C463" s="15" t="str">
        <f t="shared" si="45"/>
        <v>*</v>
      </c>
      <c r="D463" s="17" t="str">
        <f>D461</f>
        <v>*ICEV*</v>
      </c>
      <c r="E463" s="17" t="str">
        <f>E461</f>
        <v>TRAGSL</v>
      </c>
      <c r="F463" s="17" t="str">
        <f>F461</f>
        <v>TRAFRESLHDMD</v>
      </c>
      <c r="G463" s="17" t="str">
        <f>G461</f>
        <v>TRAFRESLHDMD</v>
      </c>
      <c r="H463" s="18">
        <v>2050</v>
      </c>
      <c r="I463" s="18"/>
      <c r="J463" s="29" t="e">
        <f>IF(J455=0,-N463+1,J455*N463)</f>
        <v>#DIV/0!</v>
      </c>
      <c r="K463" s="18"/>
      <c r="L463" s="18"/>
      <c r="N463" s="21">
        <v>1.4</v>
      </c>
    </row>
    <row r="464" spans="1:14" x14ac:dyDescent="0.25">
      <c r="C464" s="23" t="str">
        <f t="shared" si="45"/>
        <v>*</v>
      </c>
      <c r="D464" s="25" t="s">
        <v>487</v>
      </c>
      <c r="E464" s="25" t="str">
        <f>E463</f>
        <v>TRAGSL</v>
      </c>
      <c r="F464" s="25" t="str">
        <f>F463</f>
        <v>TRAFRESLHDMD</v>
      </c>
      <c r="G464" s="25" t="str">
        <f>G463</f>
        <v>TRAFRESLHDMD</v>
      </c>
      <c r="H464" s="26">
        <v>2050</v>
      </c>
      <c r="I464" s="26"/>
      <c r="J464" s="27" t="e">
        <f>1-(J463*-1)</f>
        <v>#DIV/0!</v>
      </c>
      <c r="K464" s="26"/>
      <c r="L464" s="26"/>
      <c r="N464" s="28"/>
    </row>
    <row r="465" spans="1:14" x14ac:dyDescent="0.25">
      <c r="A465">
        <f>A455+1</f>
        <v>47</v>
      </c>
      <c r="C465" s="15" t="str">
        <f>IF(E465="","",IF(SUMIFS('TRA TECH'!M:M,'TRA TECH'!J:J,D466,'TRA TECH'!I:I,F466,'TRA TECH'!H:H,E466)=0,"*",IF(_xlfn.XLOOKUP($A465,Selected_constraint!$A:$A,Selected_constraint!$D:$D)=1,"*",IF(SUMIFS('TRA TECH'!$M:$M,'TRA TECH'!$H:$H,E465,'TRA TECH'!$I:$I,F465)=0,"*",IF(SUMIFS('TRA RESID'!$P:$P,'TRA RESID'!$I:$I,G465,'TRA RESID'!$J:$J,D465,'TRA RESID'!$H:$H,E465)=0,"*","UC_"&amp;SUBSTITUTE(D465,"*","")&amp;"_"&amp;SUBSTITUTE(D465,"*","")&amp;"_"&amp;RIGHT(E465,3)&amp;"_"&amp;F465)))))</f>
        <v>*</v>
      </c>
      <c r="D465" s="17" t="s">
        <v>485</v>
      </c>
      <c r="E465" s="17" t="str">
        <f>_xlfn.XLOOKUP($A465,Selected_constraint!$A:$A,Selected_constraint!$B:$B)</f>
        <v>TRAETH</v>
      </c>
      <c r="F465" s="17" t="str">
        <f>_xlfn.XLOOKUP($A465,Selected_constraint!$A:$A,Selected_constraint!$C:$C)</f>
        <v>TRAFRESLHDMD</v>
      </c>
      <c r="G465" s="17" t="str">
        <f>F465</f>
        <v>TRAFRESLHDMD</v>
      </c>
      <c r="H465" s="18">
        <v>2019</v>
      </c>
      <c r="I465" s="18" t="s">
        <v>484</v>
      </c>
      <c r="J465" s="29" t="e">
        <f>-SUMIFS('TRA RESID'!$P:$P,'TRA RESID'!$I:$I,G466,'TRA RESID'!$J:$J,D466,'TRA RESID'!$H:$H,E466)/(SUMIFS('TRA RESID'!$P:$P,'TRA RESID'!$I:$I,G466,'TRA RESID'!$J:$J,D466,'TRA RESID'!$H:$H,E466)+SUMIFS('TRA RESID'!$P:$P,'TRA RESID'!$I:$I,G465,'TRA RESID'!$J:$J,D465,'TRA RESID'!$H:$H,E465))</f>
        <v>#DIV/0!</v>
      </c>
      <c r="K465" s="18">
        <v>0</v>
      </c>
      <c r="L465" s="18">
        <v>5</v>
      </c>
      <c r="N465" s="21">
        <v>1</v>
      </c>
    </row>
    <row r="466" spans="1:14" x14ac:dyDescent="0.25">
      <c r="C466" s="15" t="str">
        <f t="shared" ref="C466:C474" si="46">IF(C465="*",C465,"")</f>
        <v>*</v>
      </c>
      <c r="D466" s="17" t="s">
        <v>487</v>
      </c>
      <c r="E466" s="17" t="str">
        <f>E465</f>
        <v>TRAETH</v>
      </c>
      <c r="F466" s="17" t="str">
        <f>F465</f>
        <v>TRAFRESLHDMD</v>
      </c>
      <c r="G466" s="17" t="str">
        <f>G465</f>
        <v>TRAFRESLHDMD</v>
      </c>
      <c r="H466" s="18">
        <v>2019</v>
      </c>
      <c r="I466" s="18"/>
      <c r="J466" s="20" t="e">
        <f>1-(J465*-1)</f>
        <v>#DIV/0!</v>
      </c>
      <c r="K466" s="18"/>
      <c r="L466" s="18"/>
      <c r="N466" s="21"/>
    </row>
    <row r="467" spans="1:14" x14ac:dyDescent="0.25">
      <c r="C467" s="15" t="str">
        <f t="shared" si="46"/>
        <v>*</v>
      </c>
      <c r="D467" s="17" t="str">
        <f>D465</f>
        <v>*ICEV*</v>
      </c>
      <c r="E467" s="17" t="str">
        <f>E465</f>
        <v>TRAETH</v>
      </c>
      <c r="F467" s="17" t="str">
        <f>F465</f>
        <v>TRAFRESLHDMD</v>
      </c>
      <c r="G467" s="17" t="str">
        <f>G465</f>
        <v>TRAFRESLHDMD</v>
      </c>
      <c r="H467" s="18">
        <v>2025</v>
      </c>
      <c r="I467" s="18"/>
      <c r="J467" s="29" t="e">
        <f>IF(J465=0,-N467+1,J465*N467)</f>
        <v>#DIV/0!</v>
      </c>
      <c r="K467" s="18"/>
      <c r="L467" s="18"/>
      <c r="N467" s="21">
        <v>1.1000000000000001</v>
      </c>
    </row>
    <row r="468" spans="1:14" x14ac:dyDescent="0.25">
      <c r="C468" s="15" t="str">
        <f t="shared" si="46"/>
        <v>*</v>
      </c>
      <c r="D468" s="17" t="s">
        <v>487</v>
      </c>
      <c r="E468" s="17" t="str">
        <f>E467</f>
        <v>TRAETH</v>
      </c>
      <c r="F468" s="17" t="str">
        <f>F467</f>
        <v>TRAFRESLHDMD</v>
      </c>
      <c r="G468" s="17" t="str">
        <f>G467</f>
        <v>TRAFRESLHDMD</v>
      </c>
      <c r="H468" s="18">
        <v>2025</v>
      </c>
      <c r="I468" s="18"/>
      <c r="J468" s="20" t="e">
        <f>1-(J467*-1)</f>
        <v>#DIV/0!</v>
      </c>
      <c r="K468" s="18"/>
      <c r="L468" s="18"/>
      <c r="N468" s="21"/>
    </row>
    <row r="469" spans="1:14" x14ac:dyDescent="0.25">
      <c r="C469" s="15" t="str">
        <f t="shared" si="46"/>
        <v>*</v>
      </c>
      <c r="D469" s="17" t="str">
        <f>D467</f>
        <v>*ICEV*</v>
      </c>
      <c r="E469" s="17" t="str">
        <f>E467</f>
        <v>TRAETH</v>
      </c>
      <c r="F469" s="17" t="str">
        <f>F467</f>
        <v>TRAFRESLHDMD</v>
      </c>
      <c r="G469" s="17" t="str">
        <f>G467</f>
        <v>TRAFRESLHDMD</v>
      </c>
      <c r="H469" s="18">
        <v>2030</v>
      </c>
      <c r="I469" s="18"/>
      <c r="J469" s="29" t="e">
        <f>IF(J465=0,-N469+1,J465*N469)</f>
        <v>#DIV/0!</v>
      </c>
      <c r="K469" s="18"/>
      <c r="L469" s="18"/>
      <c r="N469" s="21">
        <v>1.2</v>
      </c>
    </row>
    <row r="470" spans="1:14" x14ac:dyDescent="0.25">
      <c r="C470" s="15" t="str">
        <f t="shared" si="46"/>
        <v>*</v>
      </c>
      <c r="D470" s="17" t="s">
        <v>487</v>
      </c>
      <c r="E470" s="17" t="str">
        <f>E469</f>
        <v>TRAETH</v>
      </c>
      <c r="F470" s="17" t="str">
        <f>F469</f>
        <v>TRAFRESLHDMD</v>
      </c>
      <c r="G470" s="17" t="str">
        <f>G469</f>
        <v>TRAFRESLHDMD</v>
      </c>
      <c r="H470" s="18">
        <v>2030</v>
      </c>
      <c r="I470" s="18"/>
      <c r="J470" s="20" t="e">
        <f>1-(J469*-1)</f>
        <v>#DIV/0!</v>
      </c>
      <c r="K470" s="18"/>
      <c r="L470" s="18"/>
      <c r="N470" s="21"/>
    </row>
    <row r="471" spans="1:14" x14ac:dyDescent="0.25">
      <c r="C471" s="15" t="str">
        <f t="shared" si="46"/>
        <v>*</v>
      </c>
      <c r="D471" s="17" t="str">
        <f>D469</f>
        <v>*ICEV*</v>
      </c>
      <c r="E471" s="17" t="str">
        <f>E469</f>
        <v>TRAETH</v>
      </c>
      <c r="F471" s="17" t="str">
        <f>F469</f>
        <v>TRAFRESLHDMD</v>
      </c>
      <c r="G471" s="17" t="str">
        <f>G469</f>
        <v>TRAFRESLHDMD</v>
      </c>
      <c r="H471" s="18">
        <v>2040</v>
      </c>
      <c r="I471" s="18"/>
      <c r="J471" s="29" t="e">
        <f>IF(J465=0,-N471+1,J465*N471)</f>
        <v>#DIV/0!</v>
      </c>
      <c r="K471" s="18"/>
      <c r="L471" s="18"/>
      <c r="N471" s="21">
        <v>1.3</v>
      </c>
    </row>
    <row r="472" spans="1:14" x14ac:dyDescent="0.25">
      <c r="C472" s="15" t="str">
        <f t="shared" si="46"/>
        <v>*</v>
      </c>
      <c r="D472" s="17" t="s">
        <v>487</v>
      </c>
      <c r="E472" s="17" t="str">
        <f>E471</f>
        <v>TRAETH</v>
      </c>
      <c r="F472" s="17" t="str">
        <f>F471</f>
        <v>TRAFRESLHDMD</v>
      </c>
      <c r="G472" s="17" t="str">
        <f>G471</f>
        <v>TRAFRESLHDMD</v>
      </c>
      <c r="H472" s="18">
        <v>2040</v>
      </c>
      <c r="I472" s="18"/>
      <c r="J472" s="20" t="e">
        <f>1-(J471*-1)</f>
        <v>#DIV/0!</v>
      </c>
      <c r="K472" s="18"/>
      <c r="L472" s="18"/>
      <c r="N472" s="21"/>
    </row>
    <row r="473" spans="1:14" x14ac:dyDescent="0.25">
      <c r="C473" s="15" t="str">
        <f t="shared" si="46"/>
        <v>*</v>
      </c>
      <c r="D473" s="17" t="str">
        <f>D471</f>
        <v>*ICEV*</v>
      </c>
      <c r="E473" s="17" t="str">
        <f>E471</f>
        <v>TRAETH</v>
      </c>
      <c r="F473" s="17" t="str">
        <f>F471</f>
        <v>TRAFRESLHDMD</v>
      </c>
      <c r="G473" s="17" t="str">
        <f>G471</f>
        <v>TRAFRESLHDMD</v>
      </c>
      <c r="H473" s="18">
        <v>2050</v>
      </c>
      <c r="I473" s="18"/>
      <c r="J473" s="29" t="e">
        <f>IF(J465=0,-N473+1,J465*N473)</f>
        <v>#DIV/0!</v>
      </c>
      <c r="K473" s="18"/>
      <c r="L473" s="18"/>
      <c r="N473" s="21">
        <v>1.4</v>
      </c>
    </row>
    <row r="474" spans="1:14" x14ac:dyDescent="0.25">
      <c r="C474" s="23" t="str">
        <f t="shared" si="46"/>
        <v>*</v>
      </c>
      <c r="D474" s="25" t="s">
        <v>487</v>
      </c>
      <c r="E474" s="25" t="str">
        <f>E473</f>
        <v>TRAETH</v>
      </c>
      <c r="F474" s="25" t="str">
        <f>F473</f>
        <v>TRAFRESLHDMD</v>
      </c>
      <c r="G474" s="25" t="str">
        <f>G473</f>
        <v>TRAFRESLHDMD</v>
      </c>
      <c r="H474" s="26">
        <v>2050</v>
      </c>
      <c r="I474" s="26"/>
      <c r="J474" s="27" t="e">
        <f>1-(J473*-1)</f>
        <v>#DIV/0!</v>
      </c>
      <c r="K474" s="26"/>
      <c r="L474" s="26"/>
      <c r="N474" s="28"/>
    </row>
    <row r="475" spans="1:14" x14ac:dyDescent="0.25">
      <c r="A475">
        <f>A465+1</f>
        <v>48</v>
      </c>
      <c r="C475" s="15" t="str">
        <f>IF(E475="","",IF(SUMIFS('TRA TECH'!M:M,'TRA TECH'!J:J,D476,'TRA TECH'!I:I,F476,'TRA TECH'!H:H,E476)=0,"*",IF(_xlfn.XLOOKUP($A475,Selected_constraint!$A:$A,Selected_constraint!$D:$D)=1,"*",IF(SUMIFS('TRA TECH'!$M:$M,'TRA TECH'!$H:$H,E475,'TRA TECH'!$I:$I,F475)=0,"*",IF(SUMIFS('TRA RESID'!$P:$P,'TRA RESID'!$I:$I,G475,'TRA RESID'!$J:$J,D475,'TRA RESID'!$H:$H,E475)=0,"*","UC_"&amp;SUBSTITUTE(D475,"*","")&amp;"_"&amp;SUBSTITUTE(D475,"*","")&amp;"_"&amp;RIGHT(E475,3)&amp;"_"&amp;F475)))))</f>
        <v>*</v>
      </c>
      <c r="D475" s="17" t="s">
        <v>485</v>
      </c>
      <c r="E475" s="17" t="str">
        <f>_xlfn.XLOOKUP($A475,Selected_constraint!$A:$A,Selected_constraint!$B:$B)</f>
        <v>TRADSL</v>
      </c>
      <c r="F475" s="17" t="str">
        <f>_xlfn.XLOOKUP($A475,Selected_constraint!$A:$A,Selected_constraint!$C:$C)</f>
        <v>TRAFRESLHDMD</v>
      </c>
      <c r="G475" s="17" t="str">
        <f>F475</f>
        <v>TRAFRESLHDMD</v>
      </c>
      <c r="H475" s="18">
        <v>2019</v>
      </c>
      <c r="I475" s="18" t="s">
        <v>484</v>
      </c>
      <c r="J475" s="29" t="e">
        <f>-SUMIFS('TRA RESID'!$P:$P,'TRA RESID'!$I:$I,G476,'TRA RESID'!$J:$J,D476,'TRA RESID'!$H:$H,E476)/(SUMIFS('TRA RESID'!$P:$P,'TRA RESID'!$I:$I,G476,'TRA RESID'!$J:$J,D476,'TRA RESID'!$H:$H,E476)+SUMIFS('TRA RESID'!$P:$P,'TRA RESID'!$I:$I,G475,'TRA RESID'!$J:$J,D475,'TRA RESID'!$H:$H,E475))</f>
        <v>#DIV/0!</v>
      </c>
      <c r="K475" s="18">
        <v>0</v>
      </c>
      <c r="L475" s="18">
        <v>5</v>
      </c>
      <c r="N475" s="21">
        <v>1</v>
      </c>
    </row>
    <row r="476" spans="1:14" x14ac:dyDescent="0.25">
      <c r="C476" s="15" t="str">
        <f t="shared" ref="C476:C484" si="47">IF(C475="*",C475,"")</f>
        <v>*</v>
      </c>
      <c r="D476" s="17" t="s">
        <v>487</v>
      </c>
      <c r="E476" s="17" t="str">
        <f>E475</f>
        <v>TRADSL</v>
      </c>
      <c r="F476" s="17" t="str">
        <f>F475</f>
        <v>TRAFRESLHDMD</v>
      </c>
      <c r="G476" s="17" t="str">
        <f>G475</f>
        <v>TRAFRESLHDMD</v>
      </c>
      <c r="H476" s="18">
        <v>2019</v>
      </c>
      <c r="I476" s="18"/>
      <c r="J476" s="20" t="e">
        <f>1-(J475*-1)</f>
        <v>#DIV/0!</v>
      </c>
      <c r="K476" s="18"/>
      <c r="L476" s="18"/>
      <c r="N476" s="21"/>
    </row>
    <row r="477" spans="1:14" x14ac:dyDescent="0.25">
      <c r="C477" s="15" t="str">
        <f t="shared" si="47"/>
        <v>*</v>
      </c>
      <c r="D477" s="17" t="str">
        <f>D475</f>
        <v>*ICEV*</v>
      </c>
      <c r="E477" s="17" t="str">
        <f>E475</f>
        <v>TRADSL</v>
      </c>
      <c r="F477" s="17" t="str">
        <f>F475</f>
        <v>TRAFRESLHDMD</v>
      </c>
      <c r="G477" s="17" t="str">
        <f>G475</f>
        <v>TRAFRESLHDMD</v>
      </c>
      <c r="H477" s="18">
        <v>2025</v>
      </c>
      <c r="I477" s="18"/>
      <c r="J477" s="29" t="e">
        <f>IF(J475=0,-N477+1,J475*N477)</f>
        <v>#DIV/0!</v>
      </c>
      <c r="K477" s="18"/>
      <c r="L477" s="18"/>
      <c r="N477" s="21">
        <v>1.1000000000000001</v>
      </c>
    </row>
    <row r="478" spans="1:14" x14ac:dyDescent="0.25">
      <c r="C478" s="15" t="str">
        <f t="shared" si="47"/>
        <v>*</v>
      </c>
      <c r="D478" s="17" t="s">
        <v>487</v>
      </c>
      <c r="E478" s="17" t="str">
        <f>E477</f>
        <v>TRADSL</v>
      </c>
      <c r="F478" s="17" t="str">
        <f>F477</f>
        <v>TRAFRESLHDMD</v>
      </c>
      <c r="G478" s="17" t="str">
        <f>G477</f>
        <v>TRAFRESLHDMD</v>
      </c>
      <c r="H478" s="18">
        <v>2025</v>
      </c>
      <c r="I478" s="18"/>
      <c r="J478" s="20" t="e">
        <f>1-(J477*-1)</f>
        <v>#DIV/0!</v>
      </c>
      <c r="K478" s="18"/>
      <c r="L478" s="18"/>
      <c r="N478" s="21"/>
    </row>
    <row r="479" spans="1:14" x14ac:dyDescent="0.25">
      <c r="C479" s="15" t="str">
        <f t="shared" si="47"/>
        <v>*</v>
      </c>
      <c r="D479" s="17" t="str">
        <f>D477</f>
        <v>*ICEV*</v>
      </c>
      <c r="E479" s="17" t="str">
        <f>E477</f>
        <v>TRADSL</v>
      </c>
      <c r="F479" s="17" t="str">
        <f>F477</f>
        <v>TRAFRESLHDMD</v>
      </c>
      <c r="G479" s="17" t="str">
        <f>G477</f>
        <v>TRAFRESLHDMD</v>
      </c>
      <c r="H479" s="18">
        <v>2030</v>
      </c>
      <c r="I479" s="18"/>
      <c r="J479" s="29" t="e">
        <f>IF(J475=0,-N479+1,J475*N479)</f>
        <v>#DIV/0!</v>
      </c>
      <c r="K479" s="18"/>
      <c r="L479" s="18"/>
      <c r="N479" s="21">
        <v>1.2</v>
      </c>
    </row>
    <row r="480" spans="1:14" x14ac:dyDescent="0.25">
      <c r="C480" s="15" t="str">
        <f t="shared" si="47"/>
        <v>*</v>
      </c>
      <c r="D480" s="17" t="s">
        <v>487</v>
      </c>
      <c r="E480" s="17" t="str">
        <f>E479</f>
        <v>TRADSL</v>
      </c>
      <c r="F480" s="17" t="str">
        <f>F479</f>
        <v>TRAFRESLHDMD</v>
      </c>
      <c r="G480" s="17" t="str">
        <f>G479</f>
        <v>TRAFRESLHDMD</v>
      </c>
      <c r="H480" s="18">
        <v>2030</v>
      </c>
      <c r="I480" s="18"/>
      <c r="J480" s="20" t="e">
        <f>1-(J479*-1)</f>
        <v>#DIV/0!</v>
      </c>
      <c r="K480" s="18"/>
      <c r="L480" s="18"/>
      <c r="N480" s="21"/>
    </row>
    <row r="481" spans="1:14" x14ac:dyDescent="0.25">
      <c r="C481" s="15" t="str">
        <f t="shared" si="47"/>
        <v>*</v>
      </c>
      <c r="D481" s="17" t="str">
        <f>D479</f>
        <v>*ICEV*</v>
      </c>
      <c r="E481" s="17" t="str">
        <f>E479</f>
        <v>TRADSL</v>
      </c>
      <c r="F481" s="17" t="str">
        <f>F479</f>
        <v>TRAFRESLHDMD</v>
      </c>
      <c r="G481" s="17" t="str">
        <f>G479</f>
        <v>TRAFRESLHDMD</v>
      </c>
      <c r="H481" s="18">
        <v>2040</v>
      </c>
      <c r="I481" s="18"/>
      <c r="J481" s="29" t="e">
        <f>IF(J475=0,-N481+1,J475*N481)</f>
        <v>#DIV/0!</v>
      </c>
      <c r="K481" s="18"/>
      <c r="L481" s="18"/>
      <c r="N481" s="21">
        <v>1.3</v>
      </c>
    </row>
    <row r="482" spans="1:14" x14ac:dyDescent="0.25">
      <c r="C482" s="15" t="str">
        <f t="shared" si="47"/>
        <v>*</v>
      </c>
      <c r="D482" s="17" t="s">
        <v>487</v>
      </c>
      <c r="E482" s="17" t="str">
        <f>E481</f>
        <v>TRADSL</v>
      </c>
      <c r="F482" s="17" t="str">
        <f>F481</f>
        <v>TRAFRESLHDMD</v>
      </c>
      <c r="G482" s="17" t="str">
        <f>G481</f>
        <v>TRAFRESLHDMD</v>
      </c>
      <c r="H482" s="18">
        <v>2040</v>
      </c>
      <c r="I482" s="18"/>
      <c r="J482" s="20" t="e">
        <f>1-(J481*-1)</f>
        <v>#DIV/0!</v>
      </c>
      <c r="K482" s="18"/>
      <c r="L482" s="18"/>
      <c r="N482" s="21"/>
    </row>
    <row r="483" spans="1:14" x14ac:dyDescent="0.25">
      <c r="C483" s="15" t="str">
        <f t="shared" si="47"/>
        <v>*</v>
      </c>
      <c r="D483" s="17" t="str">
        <f>D481</f>
        <v>*ICEV*</v>
      </c>
      <c r="E483" s="17" t="str">
        <f>E481</f>
        <v>TRADSL</v>
      </c>
      <c r="F483" s="17" t="str">
        <f>F481</f>
        <v>TRAFRESLHDMD</v>
      </c>
      <c r="G483" s="17" t="str">
        <f>G481</f>
        <v>TRAFRESLHDMD</v>
      </c>
      <c r="H483" s="18">
        <v>2050</v>
      </c>
      <c r="I483" s="18"/>
      <c r="J483" s="29" t="e">
        <f>IF(J475=0,-N483+1,J475*N483)</f>
        <v>#DIV/0!</v>
      </c>
      <c r="K483" s="18"/>
      <c r="L483" s="18"/>
      <c r="N483" s="21">
        <v>1.4</v>
      </c>
    </row>
    <row r="484" spans="1:14" x14ac:dyDescent="0.25">
      <c r="C484" s="23" t="str">
        <f t="shared" si="47"/>
        <v>*</v>
      </c>
      <c r="D484" s="25" t="s">
        <v>487</v>
      </c>
      <c r="E484" s="25" t="str">
        <f>E483</f>
        <v>TRADSL</v>
      </c>
      <c r="F484" s="25" t="str">
        <f>F483</f>
        <v>TRAFRESLHDMD</v>
      </c>
      <c r="G484" s="25" t="str">
        <f>G483</f>
        <v>TRAFRESLHDMD</v>
      </c>
      <c r="H484" s="26">
        <v>2050</v>
      </c>
      <c r="I484" s="26"/>
      <c r="J484" s="27" t="e">
        <f>1-(J483*-1)</f>
        <v>#DIV/0!</v>
      </c>
      <c r="K484" s="26"/>
      <c r="L484" s="26"/>
      <c r="N484" s="28"/>
    </row>
    <row r="485" spans="1:14" x14ac:dyDescent="0.25">
      <c r="A485">
        <f>A475+1</f>
        <v>49</v>
      </c>
      <c r="C485" s="15" t="str">
        <f>IF(E485="","",IF(SUMIFS('TRA TECH'!M:M,'TRA TECH'!J:J,D486,'TRA TECH'!I:I,F486,'TRA TECH'!H:H,E486)=0,"*",IF(_xlfn.XLOOKUP($A485,Selected_constraint!$A:$A,Selected_constraint!$D:$D)=1,"*",IF(SUMIFS('TRA TECH'!$M:$M,'TRA TECH'!$H:$H,E485,'TRA TECH'!$I:$I,F485)=0,"*",IF(SUMIFS('TRA RESID'!$P:$P,'TRA RESID'!$I:$I,G485,'TRA RESID'!$J:$J,D485,'TRA RESID'!$H:$H,E485)=0,"*","UC_"&amp;SUBSTITUTE(D485,"*","")&amp;"_"&amp;SUBSTITUTE(D485,"*","")&amp;"_"&amp;RIGHT(E485,3)&amp;"_"&amp;F485)))))</f>
        <v>*</v>
      </c>
      <c r="D485" s="17" t="s">
        <v>485</v>
      </c>
      <c r="E485" s="17" t="str">
        <f>_xlfn.XLOOKUP($A485,Selected_constraint!$A:$A,Selected_constraint!$B:$B)</f>
        <v>TRARDS</v>
      </c>
      <c r="F485" s="17" t="str">
        <f>_xlfn.XLOOKUP($A485,Selected_constraint!$A:$A,Selected_constraint!$C:$C)</f>
        <v>TRAFRESLHDMD</v>
      </c>
      <c r="G485" s="17" t="str">
        <f>F485</f>
        <v>TRAFRESLHDMD</v>
      </c>
      <c r="H485" s="18">
        <v>2019</v>
      </c>
      <c r="I485" s="18" t="s">
        <v>484</v>
      </c>
      <c r="J485" s="29" t="e">
        <f>-SUMIFS('TRA RESID'!$P:$P,'TRA RESID'!$I:$I,G486,'TRA RESID'!$J:$J,D486,'TRA RESID'!$H:$H,E486)/(SUMIFS('TRA RESID'!$P:$P,'TRA RESID'!$I:$I,G486,'TRA RESID'!$J:$J,D486,'TRA RESID'!$H:$H,E486)+SUMIFS('TRA RESID'!$P:$P,'TRA RESID'!$I:$I,G485,'TRA RESID'!$J:$J,D485,'TRA RESID'!$H:$H,E485))</f>
        <v>#DIV/0!</v>
      </c>
      <c r="K485" s="18">
        <v>0</v>
      </c>
      <c r="L485" s="18">
        <v>5</v>
      </c>
      <c r="N485" s="21">
        <v>1</v>
      </c>
    </row>
    <row r="486" spans="1:14" x14ac:dyDescent="0.25">
      <c r="C486" s="15" t="str">
        <f t="shared" ref="C486:C494" si="48">IF(C485="*",C485,"")</f>
        <v>*</v>
      </c>
      <c r="D486" s="17" t="s">
        <v>487</v>
      </c>
      <c r="E486" s="17" t="str">
        <f>E485</f>
        <v>TRARDS</v>
      </c>
      <c r="F486" s="17" t="str">
        <f>F485</f>
        <v>TRAFRESLHDMD</v>
      </c>
      <c r="G486" s="17" t="str">
        <f>G485</f>
        <v>TRAFRESLHDMD</v>
      </c>
      <c r="H486" s="18">
        <v>2019</v>
      </c>
      <c r="I486" s="18"/>
      <c r="J486" s="20" t="e">
        <f>1-(J485*-1)</f>
        <v>#DIV/0!</v>
      </c>
      <c r="K486" s="18"/>
      <c r="L486" s="18"/>
      <c r="N486" s="21"/>
    </row>
    <row r="487" spans="1:14" x14ac:dyDescent="0.25">
      <c r="C487" s="15" t="str">
        <f t="shared" si="48"/>
        <v>*</v>
      </c>
      <c r="D487" s="17" t="str">
        <f>D485</f>
        <v>*ICEV*</v>
      </c>
      <c r="E487" s="17" t="str">
        <f>E485</f>
        <v>TRARDS</v>
      </c>
      <c r="F487" s="17" t="str">
        <f>F485</f>
        <v>TRAFRESLHDMD</v>
      </c>
      <c r="G487" s="17" t="str">
        <f>G485</f>
        <v>TRAFRESLHDMD</v>
      </c>
      <c r="H487" s="18">
        <v>2025</v>
      </c>
      <c r="I487" s="18"/>
      <c r="J487" s="29" t="e">
        <f>IF(J485=0,-N487+1,J485*N487)</f>
        <v>#DIV/0!</v>
      </c>
      <c r="K487" s="18"/>
      <c r="L487" s="18"/>
      <c r="N487" s="21">
        <v>1.1000000000000001</v>
      </c>
    </row>
    <row r="488" spans="1:14" x14ac:dyDescent="0.25">
      <c r="C488" s="15" t="str">
        <f t="shared" si="48"/>
        <v>*</v>
      </c>
      <c r="D488" s="17" t="s">
        <v>487</v>
      </c>
      <c r="E488" s="17" t="str">
        <f>E487</f>
        <v>TRARDS</v>
      </c>
      <c r="F488" s="17" t="str">
        <f>F487</f>
        <v>TRAFRESLHDMD</v>
      </c>
      <c r="G488" s="17" t="str">
        <f>G487</f>
        <v>TRAFRESLHDMD</v>
      </c>
      <c r="H488" s="18">
        <v>2025</v>
      </c>
      <c r="I488" s="18"/>
      <c r="J488" s="20" t="e">
        <f>1-(J487*-1)</f>
        <v>#DIV/0!</v>
      </c>
      <c r="K488" s="18"/>
      <c r="L488" s="18"/>
      <c r="N488" s="21"/>
    </row>
    <row r="489" spans="1:14" x14ac:dyDescent="0.25">
      <c r="C489" s="15" t="str">
        <f t="shared" si="48"/>
        <v>*</v>
      </c>
      <c r="D489" s="17" t="str">
        <f>D487</f>
        <v>*ICEV*</v>
      </c>
      <c r="E489" s="17" t="str">
        <f>E487</f>
        <v>TRARDS</v>
      </c>
      <c r="F489" s="17" t="str">
        <f>F487</f>
        <v>TRAFRESLHDMD</v>
      </c>
      <c r="G489" s="17" t="str">
        <f>G487</f>
        <v>TRAFRESLHDMD</v>
      </c>
      <c r="H489" s="18">
        <v>2030</v>
      </c>
      <c r="I489" s="18"/>
      <c r="J489" s="29" t="e">
        <f>IF(J485=0,-N489+1,J485*N489)</f>
        <v>#DIV/0!</v>
      </c>
      <c r="K489" s="18"/>
      <c r="L489" s="18"/>
      <c r="N489" s="21">
        <v>1.2</v>
      </c>
    </row>
    <row r="490" spans="1:14" x14ac:dyDescent="0.25">
      <c r="C490" s="15" t="str">
        <f t="shared" si="48"/>
        <v>*</v>
      </c>
      <c r="D490" s="17" t="s">
        <v>487</v>
      </c>
      <c r="E490" s="17" t="str">
        <f>E489</f>
        <v>TRARDS</v>
      </c>
      <c r="F490" s="17" t="str">
        <f>F489</f>
        <v>TRAFRESLHDMD</v>
      </c>
      <c r="G490" s="17" t="str">
        <f>G489</f>
        <v>TRAFRESLHDMD</v>
      </c>
      <c r="H490" s="18">
        <v>2030</v>
      </c>
      <c r="I490" s="18"/>
      <c r="J490" s="20" t="e">
        <f>1-(J489*-1)</f>
        <v>#DIV/0!</v>
      </c>
      <c r="K490" s="18"/>
      <c r="L490" s="18"/>
      <c r="N490" s="21"/>
    </row>
    <row r="491" spans="1:14" x14ac:dyDescent="0.25">
      <c r="C491" s="15" t="str">
        <f t="shared" si="48"/>
        <v>*</v>
      </c>
      <c r="D491" s="17" t="str">
        <f>D489</f>
        <v>*ICEV*</v>
      </c>
      <c r="E491" s="17" t="str">
        <f>E489</f>
        <v>TRARDS</v>
      </c>
      <c r="F491" s="17" t="str">
        <f>F489</f>
        <v>TRAFRESLHDMD</v>
      </c>
      <c r="G491" s="17" t="str">
        <f>G489</f>
        <v>TRAFRESLHDMD</v>
      </c>
      <c r="H491" s="18">
        <v>2040</v>
      </c>
      <c r="I491" s="18"/>
      <c r="J491" s="29" t="e">
        <f>IF(J485=0,-N491+1,J485*N491)</f>
        <v>#DIV/0!</v>
      </c>
      <c r="K491" s="18"/>
      <c r="L491" s="18"/>
      <c r="N491" s="21">
        <v>1.3</v>
      </c>
    </row>
    <row r="492" spans="1:14" x14ac:dyDescent="0.25">
      <c r="C492" s="15" t="str">
        <f t="shared" si="48"/>
        <v>*</v>
      </c>
      <c r="D492" s="17" t="s">
        <v>487</v>
      </c>
      <c r="E492" s="17" t="str">
        <f>E491</f>
        <v>TRARDS</v>
      </c>
      <c r="F492" s="17" t="str">
        <f>F491</f>
        <v>TRAFRESLHDMD</v>
      </c>
      <c r="G492" s="17" t="str">
        <f>G491</f>
        <v>TRAFRESLHDMD</v>
      </c>
      <c r="H492" s="18">
        <v>2040</v>
      </c>
      <c r="I492" s="18"/>
      <c r="J492" s="20" t="e">
        <f>1-(J491*-1)</f>
        <v>#DIV/0!</v>
      </c>
      <c r="K492" s="18"/>
      <c r="L492" s="18"/>
      <c r="N492" s="21"/>
    </row>
    <row r="493" spans="1:14" x14ac:dyDescent="0.25">
      <c r="C493" s="15" t="str">
        <f t="shared" si="48"/>
        <v>*</v>
      </c>
      <c r="D493" s="17" t="str">
        <f>D491</f>
        <v>*ICEV*</v>
      </c>
      <c r="E493" s="17" t="str">
        <f>E491</f>
        <v>TRARDS</v>
      </c>
      <c r="F493" s="17" t="str">
        <f>F491</f>
        <v>TRAFRESLHDMD</v>
      </c>
      <c r="G493" s="17" t="str">
        <f>G491</f>
        <v>TRAFRESLHDMD</v>
      </c>
      <c r="H493" s="18">
        <v>2050</v>
      </c>
      <c r="I493" s="18"/>
      <c r="J493" s="29" t="e">
        <f>IF(J485=0,-N493+1,J485*N493)</f>
        <v>#DIV/0!</v>
      </c>
      <c r="K493" s="18"/>
      <c r="L493" s="18"/>
      <c r="N493" s="21">
        <v>1.4</v>
      </c>
    </row>
    <row r="494" spans="1:14" x14ac:dyDescent="0.25">
      <c r="C494" s="23" t="str">
        <f t="shared" si="48"/>
        <v>*</v>
      </c>
      <c r="D494" s="25" t="s">
        <v>487</v>
      </c>
      <c r="E494" s="25" t="str">
        <f>E493</f>
        <v>TRARDS</v>
      </c>
      <c r="F494" s="25" t="str">
        <f>F493</f>
        <v>TRAFRESLHDMD</v>
      </c>
      <c r="G494" s="25" t="str">
        <f>G493</f>
        <v>TRAFRESLHDMD</v>
      </c>
      <c r="H494" s="26">
        <v>2050</v>
      </c>
      <c r="I494" s="26"/>
      <c r="J494" s="27" t="e">
        <f>1-(J493*-1)</f>
        <v>#DIV/0!</v>
      </c>
      <c r="K494" s="26"/>
      <c r="L494" s="26"/>
      <c r="N494" s="28"/>
    </row>
    <row r="495" spans="1:14" x14ac:dyDescent="0.25">
      <c r="A495">
        <f>A485+1</f>
        <v>50</v>
      </c>
      <c r="C495" s="15" t="str">
        <f>IF(E495="","",IF(SUMIFS('TRA TECH'!M:M,'TRA TECH'!J:J,D496,'TRA TECH'!I:I,F496,'TRA TECH'!H:H,E496)=0,"*",IF(_xlfn.XLOOKUP($A495,Selected_constraint!$A:$A,Selected_constraint!$D:$D)=1,"*",IF(SUMIFS('TRA TECH'!$M:$M,'TRA TECH'!$H:$H,E495,'TRA TECH'!$I:$I,F495)=0,"*",IF(SUMIFS('TRA RESID'!$P:$P,'TRA RESID'!$I:$I,G495,'TRA RESID'!$J:$J,D495,'TRA RESID'!$H:$H,E495)=0,"*","UC_"&amp;SUBSTITUTE(D495,"*","")&amp;"_"&amp;SUBSTITUTE(D495,"*","")&amp;"_"&amp;RIGHT(E495,3)&amp;"_"&amp;F495)))))</f>
        <v>*</v>
      </c>
      <c r="D495" s="17" t="s">
        <v>485</v>
      </c>
      <c r="E495" s="17" t="str">
        <f>_xlfn.XLOOKUP($A495,Selected_constraint!$A:$A,Selected_constraint!$B:$B)</f>
        <v>TRABDS</v>
      </c>
      <c r="F495" s="17" t="str">
        <f>_xlfn.XLOOKUP($A495,Selected_constraint!$A:$A,Selected_constraint!$C:$C)</f>
        <v>TRAFRESLHDMD</v>
      </c>
      <c r="G495" s="17" t="str">
        <f>F495</f>
        <v>TRAFRESLHDMD</v>
      </c>
      <c r="H495" s="18">
        <v>2019</v>
      </c>
      <c r="I495" s="18" t="s">
        <v>484</v>
      </c>
      <c r="J495" s="29" t="e">
        <f>-SUMIFS('TRA RESID'!$P:$P,'TRA RESID'!$I:$I,G496,'TRA RESID'!$J:$J,D496,'TRA RESID'!$H:$H,E496)/(SUMIFS('TRA RESID'!$P:$P,'TRA RESID'!$I:$I,G496,'TRA RESID'!$J:$J,D496,'TRA RESID'!$H:$H,E496)+SUMIFS('TRA RESID'!$P:$P,'TRA RESID'!$I:$I,G495,'TRA RESID'!$J:$J,D495,'TRA RESID'!$H:$H,E495))</f>
        <v>#DIV/0!</v>
      </c>
      <c r="K495" s="18">
        <v>0</v>
      </c>
      <c r="L495" s="18">
        <v>5</v>
      </c>
      <c r="N495" s="21">
        <v>1</v>
      </c>
    </row>
    <row r="496" spans="1:14" x14ac:dyDescent="0.25">
      <c r="C496" s="15" t="str">
        <f t="shared" ref="C496:C504" si="49">IF(C495="*",C495,"")</f>
        <v>*</v>
      </c>
      <c r="D496" s="17" t="s">
        <v>487</v>
      </c>
      <c r="E496" s="17" t="str">
        <f>E495</f>
        <v>TRABDS</v>
      </c>
      <c r="F496" s="17" t="str">
        <f>F495</f>
        <v>TRAFRESLHDMD</v>
      </c>
      <c r="G496" s="17" t="str">
        <f>G495</f>
        <v>TRAFRESLHDMD</v>
      </c>
      <c r="H496" s="18">
        <v>2019</v>
      </c>
      <c r="I496" s="18"/>
      <c r="J496" s="20" t="e">
        <f>1-(J495*-1)</f>
        <v>#DIV/0!</v>
      </c>
      <c r="K496" s="18"/>
      <c r="L496" s="18"/>
      <c r="N496" s="21"/>
    </row>
    <row r="497" spans="1:14" x14ac:dyDescent="0.25">
      <c r="C497" s="15" t="str">
        <f t="shared" si="49"/>
        <v>*</v>
      </c>
      <c r="D497" s="17" t="str">
        <f>D495</f>
        <v>*ICEV*</v>
      </c>
      <c r="E497" s="17" t="str">
        <f>E495</f>
        <v>TRABDS</v>
      </c>
      <c r="F497" s="17" t="str">
        <f>F495</f>
        <v>TRAFRESLHDMD</v>
      </c>
      <c r="G497" s="17" t="str">
        <f>G495</f>
        <v>TRAFRESLHDMD</v>
      </c>
      <c r="H497" s="18">
        <v>2025</v>
      </c>
      <c r="I497" s="18"/>
      <c r="J497" s="29" t="e">
        <f>IF(J495=0,-N497+1,J495*N497)</f>
        <v>#DIV/0!</v>
      </c>
      <c r="K497" s="18"/>
      <c r="L497" s="18"/>
      <c r="N497" s="21">
        <v>1.1000000000000001</v>
      </c>
    </row>
    <row r="498" spans="1:14" x14ac:dyDescent="0.25">
      <c r="C498" s="15" t="str">
        <f t="shared" si="49"/>
        <v>*</v>
      </c>
      <c r="D498" s="17" t="s">
        <v>487</v>
      </c>
      <c r="E498" s="17" t="str">
        <f>E497</f>
        <v>TRABDS</v>
      </c>
      <c r="F498" s="17" t="str">
        <f>F497</f>
        <v>TRAFRESLHDMD</v>
      </c>
      <c r="G498" s="17" t="str">
        <f>G497</f>
        <v>TRAFRESLHDMD</v>
      </c>
      <c r="H498" s="18">
        <v>2025</v>
      </c>
      <c r="I498" s="18"/>
      <c r="J498" s="20" t="e">
        <f>1-(J497*-1)</f>
        <v>#DIV/0!</v>
      </c>
      <c r="K498" s="18"/>
      <c r="L498" s="18"/>
      <c r="N498" s="21"/>
    </row>
    <row r="499" spans="1:14" x14ac:dyDescent="0.25">
      <c r="C499" s="15" t="str">
        <f t="shared" si="49"/>
        <v>*</v>
      </c>
      <c r="D499" s="17" t="str">
        <f>D497</f>
        <v>*ICEV*</v>
      </c>
      <c r="E499" s="17" t="str">
        <f>E497</f>
        <v>TRABDS</v>
      </c>
      <c r="F499" s="17" t="str">
        <f>F497</f>
        <v>TRAFRESLHDMD</v>
      </c>
      <c r="G499" s="17" t="str">
        <f>G497</f>
        <v>TRAFRESLHDMD</v>
      </c>
      <c r="H499" s="18">
        <v>2030</v>
      </c>
      <c r="I499" s="18"/>
      <c r="J499" s="29" t="e">
        <f>IF(J495=0,-N499+1,J495*N499)</f>
        <v>#DIV/0!</v>
      </c>
      <c r="K499" s="18"/>
      <c r="L499" s="18"/>
      <c r="N499" s="21">
        <v>1.2</v>
      </c>
    </row>
    <row r="500" spans="1:14" x14ac:dyDescent="0.25">
      <c r="C500" s="15" t="str">
        <f t="shared" si="49"/>
        <v>*</v>
      </c>
      <c r="D500" s="17" t="s">
        <v>487</v>
      </c>
      <c r="E500" s="17" t="str">
        <f>E499</f>
        <v>TRABDS</v>
      </c>
      <c r="F500" s="17" t="str">
        <f>F499</f>
        <v>TRAFRESLHDMD</v>
      </c>
      <c r="G500" s="17" t="str">
        <f>G499</f>
        <v>TRAFRESLHDMD</v>
      </c>
      <c r="H500" s="18">
        <v>2030</v>
      </c>
      <c r="I500" s="18"/>
      <c r="J500" s="20" t="e">
        <f>1-(J499*-1)</f>
        <v>#DIV/0!</v>
      </c>
      <c r="K500" s="18"/>
      <c r="L500" s="18"/>
      <c r="N500" s="21"/>
    </row>
    <row r="501" spans="1:14" x14ac:dyDescent="0.25">
      <c r="C501" s="15" t="str">
        <f t="shared" si="49"/>
        <v>*</v>
      </c>
      <c r="D501" s="17" t="str">
        <f>D499</f>
        <v>*ICEV*</v>
      </c>
      <c r="E501" s="17" t="str">
        <f>E499</f>
        <v>TRABDS</v>
      </c>
      <c r="F501" s="17" t="str">
        <f>F499</f>
        <v>TRAFRESLHDMD</v>
      </c>
      <c r="G501" s="17" t="str">
        <f>G499</f>
        <v>TRAFRESLHDMD</v>
      </c>
      <c r="H501" s="18">
        <v>2040</v>
      </c>
      <c r="I501" s="18"/>
      <c r="J501" s="29" t="e">
        <f>IF(J495=0,-N501+1,J495*N501)</f>
        <v>#DIV/0!</v>
      </c>
      <c r="K501" s="18"/>
      <c r="L501" s="18"/>
      <c r="N501" s="21">
        <v>1.3</v>
      </c>
    </row>
    <row r="502" spans="1:14" x14ac:dyDescent="0.25">
      <c r="C502" s="15" t="str">
        <f t="shared" si="49"/>
        <v>*</v>
      </c>
      <c r="D502" s="17" t="s">
        <v>487</v>
      </c>
      <c r="E502" s="17" t="str">
        <f>E501</f>
        <v>TRABDS</v>
      </c>
      <c r="F502" s="17" t="str">
        <f>F501</f>
        <v>TRAFRESLHDMD</v>
      </c>
      <c r="G502" s="17" t="str">
        <f>G501</f>
        <v>TRAFRESLHDMD</v>
      </c>
      <c r="H502" s="18">
        <v>2040</v>
      </c>
      <c r="I502" s="18"/>
      <c r="J502" s="20" t="e">
        <f>1-(J501*-1)</f>
        <v>#DIV/0!</v>
      </c>
      <c r="K502" s="18"/>
      <c r="L502" s="18"/>
      <c r="N502" s="21"/>
    </row>
    <row r="503" spans="1:14" x14ac:dyDescent="0.25">
      <c r="C503" s="15" t="str">
        <f t="shared" si="49"/>
        <v>*</v>
      </c>
      <c r="D503" s="17" t="str">
        <f>D501</f>
        <v>*ICEV*</v>
      </c>
      <c r="E503" s="17" t="str">
        <f>E501</f>
        <v>TRABDS</v>
      </c>
      <c r="F503" s="17" t="str">
        <f>F501</f>
        <v>TRAFRESLHDMD</v>
      </c>
      <c r="G503" s="17" t="str">
        <f>G501</f>
        <v>TRAFRESLHDMD</v>
      </c>
      <c r="H503" s="18">
        <v>2050</v>
      </c>
      <c r="I503" s="18"/>
      <c r="J503" s="29" t="e">
        <f>IF(J495=0,-N503+1,J495*N503)</f>
        <v>#DIV/0!</v>
      </c>
      <c r="K503" s="18"/>
      <c r="L503" s="18"/>
      <c r="N503" s="21">
        <v>1.4</v>
      </c>
    </row>
    <row r="504" spans="1:14" x14ac:dyDescent="0.25">
      <c r="C504" s="23" t="str">
        <f t="shared" si="49"/>
        <v>*</v>
      </c>
      <c r="D504" s="25" t="s">
        <v>487</v>
      </c>
      <c r="E504" s="25" t="str">
        <f>E503</f>
        <v>TRABDS</v>
      </c>
      <c r="F504" s="25" t="str">
        <f>F503</f>
        <v>TRAFRESLHDMD</v>
      </c>
      <c r="G504" s="25" t="str">
        <f>G503</f>
        <v>TRAFRESLHDMD</v>
      </c>
      <c r="H504" s="26">
        <v>2050</v>
      </c>
      <c r="I504" s="26"/>
      <c r="J504" s="27" t="e">
        <f>1-(J503*-1)</f>
        <v>#DIV/0!</v>
      </c>
      <c r="K504" s="26"/>
      <c r="L504" s="26"/>
      <c r="N504" s="28"/>
    </row>
    <row r="505" spans="1:14" x14ac:dyDescent="0.25">
      <c r="A505">
        <f>A495+1</f>
        <v>51</v>
      </c>
      <c r="C505" s="15" t="str">
        <f>IF(E505="","",IF(SUMIFS('TRA TECH'!M:M,'TRA TECH'!J:J,D506,'TRA TECH'!I:I,F506,'TRA TECH'!H:H,E506)=0,"*",IF(_xlfn.XLOOKUP($A505,Selected_constraint!$A:$A,Selected_constraint!$D:$D)=1,"*",IF(SUMIFS('TRA TECH'!$M:$M,'TRA TECH'!$H:$H,E505,'TRA TECH'!$I:$I,F505)=0,"*",IF(SUMIFS('TRA RESID'!$P:$P,'TRA RESID'!$I:$I,G505,'TRA RESID'!$J:$J,D505,'TRA RESID'!$H:$H,E505)=0,"*","UC_"&amp;SUBSTITUTE(D505,"*","")&amp;"_"&amp;SUBSTITUTE(D505,"*","")&amp;"_"&amp;RIGHT(E505,3)&amp;"_"&amp;F505)))))</f>
        <v>*</v>
      </c>
      <c r="D505" s="17" t="s">
        <v>485</v>
      </c>
      <c r="E505" s="17" t="str">
        <f>_xlfn.XLOOKUP($A505,Selected_constraint!$A:$A,Selected_constraint!$B:$B)</f>
        <v>TRACNG</v>
      </c>
      <c r="F505" s="17" t="str">
        <f>_xlfn.XLOOKUP($A505,Selected_constraint!$A:$A,Selected_constraint!$C:$C)</f>
        <v>TRAFRESLHDMD</v>
      </c>
      <c r="G505" s="17" t="str">
        <f>F505</f>
        <v>TRAFRESLHDMD</v>
      </c>
      <c r="H505" s="18">
        <v>2019</v>
      </c>
      <c r="I505" s="18" t="s">
        <v>484</v>
      </c>
      <c r="J505" s="29" t="e">
        <f>-SUMIFS('TRA RESID'!$P:$P,'TRA RESID'!$I:$I,G506,'TRA RESID'!$J:$J,D506,'TRA RESID'!$H:$H,E506)/(SUMIFS('TRA RESID'!$P:$P,'TRA RESID'!$I:$I,G506,'TRA RESID'!$J:$J,D506,'TRA RESID'!$H:$H,E506)+SUMIFS('TRA RESID'!$P:$P,'TRA RESID'!$I:$I,G505,'TRA RESID'!$J:$J,D505,'TRA RESID'!$H:$H,E505))</f>
        <v>#DIV/0!</v>
      </c>
      <c r="K505" s="18">
        <v>0</v>
      </c>
      <c r="L505" s="18">
        <v>5</v>
      </c>
      <c r="N505" s="21">
        <v>1</v>
      </c>
    </row>
    <row r="506" spans="1:14" x14ac:dyDescent="0.25">
      <c r="C506" s="15" t="str">
        <f t="shared" ref="C506:C514" si="50">IF(C505="*",C505,"")</f>
        <v>*</v>
      </c>
      <c r="D506" s="17" t="s">
        <v>487</v>
      </c>
      <c r="E506" s="17" t="str">
        <f>E505</f>
        <v>TRACNG</v>
      </c>
      <c r="F506" s="17" t="str">
        <f>F505</f>
        <v>TRAFRESLHDMD</v>
      </c>
      <c r="G506" s="17" t="str">
        <f>G505</f>
        <v>TRAFRESLHDMD</v>
      </c>
      <c r="H506" s="18">
        <v>2019</v>
      </c>
      <c r="I506" s="18"/>
      <c r="J506" s="20" t="e">
        <f>1-(J505*-1)</f>
        <v>#DIV/0!</v>
      </c>
      <c r="K506" s="18"/>
      <c r="L506" s="18"/>
      <c r="N506" s="21"/>
    </row>
    <row r="507" spans="1:14" x14ac:dyDescent="0.25">
      <c r="C507" s="15" t="str">
        <f t="shared" si="50"/>
        <v>*</v>
      </c>
      <c r="D507" s="17" t="str">
        <f>D505</f>
        <v>*ICEV*</v>
      </c>
      <c r="E507" s="17" t="str">
        <f>E505</f>
        <v>TRACNG</v>
      </c>
      <c r="F507" s="17" t="str">
        <f>F505</f>
        <v>TRAFRESLHDMD</v>
      </c>
      <c r="G507" s="17" t="str">
        <f>G505</f>
        <v>TRAFRESLHDMD</v>
      </c>
      <c r="H507" s="18">
        <v>2025</v>
      </c>
      <c r="I507" s="18"/>
      <c r="J507" s="29" t="e">
        <f>IF(J505=0,-N507+1,J505*N507)</f>
        <v>#DIV/0!</v>
      </c>
      <c r="K507" s="18"/>
      <c r="L507" s="18"/>
      <c r="N507" s="21">
        <v>1.1000000000000001</v>
      </c>
    </row>
    <row r="508" spans="1:14" x14ac:dyDescent="0.25">
      <c r="C508" s="15" t="str">
        <f t="shared" si="50"/>
        <v>*</v>
      </c>
      <c r="D508" s="17" t="s">
        <v>487</v>
      </c>
      <c r="E508" s="17" t="str">
        <f>E507</f>
        <v>TRACNG</v>
      </c>
      <c r="F508" s="17" t="str">
        <f>F507</f>
        <v>TRAFRESLHDMD</v>
      </c>
      <c r="G508" s="17" t="str">
        <f>G507</f>
        <v>TRAFRESLHDMD</v>
      </c>
      <c r="H508" s="18">
        <v>2025</v>
      </c>
      <c r="I508" s="18"/>
      <c r="J508" s="20" t="e">
        <f>1-(J507*-1)</f>
        <v>#DIV/0!</v>
      </c>
      <c r="K508" s="18"/>
      <c r="L508" s="18"/>
      <c r="N508" s="21"/>
    </row>
    <row r="509" spans="1:14" x14ac:dyDescent="0.25">
      <c r="C509" s="15" t="str">
        <f t="shared" si="50"/>
        <v>*</v>
      </c>
      <c r="D509" s="17" t="str">
        <f>D507</f>
        <v>*ICEV*</v>
      </c>
      <c r="E509" s="17" t="str">
        <f>E507</f>
        <v>TRACNG</v>
      </c>
      <c r="F509" s="17" t="str">
        <f>F507</f>
        <v>TRAFRESLHDMD</v>
      </c>
      <c r="G509" s="17" t="str">
        <f>G507</f>
        <v>TRAFRESLHDMD</v>
      </c>
      <c r="H509" s="18">
        <v>2030</v>
      </c>
      <c r="I509" s="18"/>
      <c r="J509" s="29" t="e">
        <f>IF(J505=0,-N509+1,J505*N509)</f>
        <v>#DIV/0!</v>
      </c>
      <c r="K509" s="18"/>
      <c r="L509" s="18"/>
      <c r="N509" s="21">
        <v>1.2</v>
      </c>
    </row>
    <row r="510" spans="1:14" x14ac:dyDescent="0.25">
      <c r="C510" s="15" t="str">
        <f t="shared" si="50"/>
        <v>*</v>
      </c>
      <c r="D510" s="17" t="s">
        <v>487</v>
      </c>
      <c r="E510" s="17" t="str">
        <f>E509</f>
        <v>TRACNG</v>
      </c>
      <c r="F510" s="17" t="str">
        <f>F509</f>
        <v>TRAFRESLHDMD</v>
      </c>
      <c r="G510" s="17" t="str">
        <f>G509</f>
        <v>TRAFRESLHDMD</v>
      </c>
      <c r="H510" s="18">
        <v>2030</v>
      </c>
      <c r="I510" s="18"/>
      <c r="J510" s="20" t="e">
        <f>1-(J509*-1)</f>
        <v>#DIV/0!</v>
      </c>
      <c r="K510" s="18"/>
      <c r="L510" s="18"/>
      <c r="N510" s="21"/>
    </row>
    <row r="511" spans="1:14" x14ac:dyDescent="0.25">
      <c r="C511" s="15" t="str">
        <f t="shared" si="50"/>
        <v>*</v>
      </c>
      <c r="D511" s="17" t="str">
        <f>D509</f>
        <v>*ICEV*</v>
      </c>
      <c r="E511" s="17" t="str">
        <f>E509</f>
        <v>TRACNG</v>
      </c>
      <c r="F511" s="17" t="str">
        <f>F509</f>
        <v>TRAFRESLHDMD</v>
      </c>
      <c r="G511" s="17" t="str">
        <f>G509</f>
        <v>TRAFRESLHDMD</v>
      </c>
      <c r="H511" s="18">
        <v>2040</v>
      </c>
      <c r="I511" s="18"/>
      <c r="J511" s="29" t="e">
        <f>IF(J505=0,-N511+1,J505*N511)</f>
        <v>#DIV/0!</v>
      </c>
      <c r="K511" s="18"/>
      <c r="L511" s="18"/>
      <c r="N511" s="21">
        <v>1.3</v>
      </c>
    </row>
    <row r="512" spans="1:14" x14ac:dyDescent="0.25">
      <c r="C512" s="15" t="str">
        <f t="shared" si="50"/>
        <v>*</v>
      </c>
      <c r="D512" s="17" t="s">
        <v>487</v>
      </c>
      <c r="E512" s="17" t="str">
        <f>E511</f>
        <v>TRACNG</v>
      </c>
      <c r="F512" s="17" t="str">
        <f>F511</f>
        <v>TRAFRESLHDMD</v>
      </c>
      <c r="G512" s="17" t="str">
        <f>G511</f>
        <v>TRAFRESLHDMD</v>
      </c>
      <c r="H512" s="18">
        <v>2040</v>
      </c>
      <c r="I512" s="18"/>
      <c r="J512" s="20" t="e">
        <f>1-(J511*-1)</f>
        <v>#DIV/0!</v>
      </c>
      <c r="K512" s="18"/>
      <c r="L512" s="18"/>
      <c r="N512" s="21"/>
    </row>
    <row r="513" spans="1:14" x14ac:dyDescent="0.25">
      <c r="C513" s="15" t="str">
        <f t="shared" si="50"/>
        <v>*</v>
      </c>
      <c r="D513" s="17" t="str">
        <f>D511</f>
        <v>*ICEV*</v>
      </c>
      <c r="E513" s="17" t="str">
        <f>E511</f>
        <v>TRACNG</v>
      </c>
      <c r="F513" s="17" t="str">
        <f>F511</f>
        <v>TRAFRESLHDMD</v>
      </c>
      <c r="G513" s="17" t="str">
        <f>G511</f>
        <v>TRAFRESLHDMD</v>
      </c>
      <c r="H513" s="18">
        <v>2050</v>
      </c>
      <c r="I513" s="18"/>
      <c r="J513" s="29" t="e">
        <f>IF(J505=0,-N513+1,J505*N513)</f>
        <v>#DIV/0!</v>
      </c>
      <c r="K513" s="18"/>
      <c r="L513" s="18"/>
      <c r="N513" s="21">
        <v>1.4</v>
      </c>
    </row>
    <row r="514" spans="1:14" x14ac:dyDescent="0.25">
      <c r="C514" s="23" t="str">
        <f t="shared" si="50"/>
        <v>*</v>
      </c>
      <c r="D514" s="25" t="s">
        <v>487</v>
      </c>
      <c r="E514" s="25" t="str">
        <f>E513</f>
        <v>TRACNG</v>
      </c>
      <c r="F514" s="25" t="str">
        <f>F513</f>
        <v>TRAFRESLHDMD</v>
      </c>
      <c r="G514" s="25" t="str">
        <f>G513</f>
        <v>TRAFRESLHDMD</v>
      </c>
      <c r="H514" s="26">
        <v>2050</v>
      </c>
      <c r="I514" s="26"/>
      <c r="J514" s="27" t="e">
        <f>1-(J513*-1)</f>
        <v>#DIV/0!</v>
      </c>
      <c r="K514" s="26"/>
      <c r="L514" s="26"/>
      <c r="N514" s="28"/>
    </row>
    <row r="515" spans="1:14" x14ac:dyDescent="0.25">
      <c r="A515">
        <f>A505+1</f>
        <v>52</v>
      </c>
      <c r="C515" s="15" t="str">
        <f>IF(E515="","",IF(SUMIFS('TRA TECH'!M:M,'TRA TECH'!J:J,D516,'TRA TECH'!I:I,F516,'TRA TECH'!H:H,E516)=0,"*",IF(_xlfn.XLOOKUP($A515,Selected_constraint!$A:$A,Selected_constraint!$D:$D)=1,"*",IF(SUMIFS('TRA TECH'!$M:$M,'TRA TECH'!$H:$H,E515,'TRA TECH'!$I:$I,F515)=0,"*",IF(SUMIFS('TRA RESID'!$P:$P,'TRA RESID'!$I:$I,G515,'TRA RESID'!$J:$J,D515,'TRA RESID'!$H:$H,E515)=0,"*","UC_"&amp;SUBSTITUTE(D515,"*","")&amp;"_"&amp;SUBSTITUTE(D515,"*","")&amp;"_"&amp;RIGHT(E515,3)&amp;"_"&amp;F515)))))</f>
        <v>*</v>
      </c>
      <c r="D515" s="17" t="s">
        <v>485</v>
      </c>
      <c r="E515" s="17" t="str">
        <f>_xlfn.XLOOKUP($A515,Selected_constraint!$A:$A,Selected_constraint!$B:$B)</f>
        <v>TRARNG</v>
      </c>
      <c r="F515" s="17" t="str">
        <f>_xlfn.XLOOKUP($A515,Selected_constraint!$A:$A,Selected_constraint!$C:$C)</f>
        <v>TRAFRESLHDMD</v>
      </c>
      <c r="G515" s="17" t="str">
        <f>F515</f>
        <v>TRAFRESLHDMD</v>
      </c>
      <c r="H515" s="18">
        <v>2019</v>
      </c>
      <c r="I515" s="18" t="s">
        <v>484</v>
      </c>
      <c r="J515" s="29" t="e">
        <f>-SUMIFS('TRA RESID'!$P:$P,'TRA RESID'!$I:$I,G516,'TRA RESID'!$J:$J,D516,'TRA RESID'!$H:$H,E516)/(SUMIFS('TRA RESID'!$P:$P,'TRA RESID'!$I:$I,G516,'TRA RESID'!$J:$J,D516,'TRA RESID'!$H:$H,E516)+SUMIFS('TRA RESID'!$P:$P,'TRA RESID'!$I:$I,G515,'TRA RESID'!$J:$J,D515,'TRA RESID'!$H:$H,E515))</f>
        <v>#DIV/0!</v>
      </c>
      <c r="K515" s="18">
        <v>0</v>
      </c>
      <c r="L515" s="18">
        <v>5</v>
      </c>
      <c r="N515" s="21">
        <v>1</v>
      </c>
    </row>
    <row r="516" spans="1:14" x14ac:dyDescent="0.25">
      <c r="C516" s="15" t="str">
        <f t="shared" ref="C516:C524" si="51">IF(C515="*",C515,"")</f>
        <v>*</v>
      </c>
      <c r="D516" s="17" t="s">
        <v>487</v>
      </c>
      <c r="E516" s="17" t="str">
        <f>E515</f>
        <v>TRARNG</v>
      </c>
      <c r="F516" s="17" t="str">
        <f>F515</f>
        <v>TRAFRESLHDMD</v>
      </c>
      <c r="G516" s="17" t="str">
        <f>G515</f>
        <v>TRAFRESLHDMD</v>
      </c>
      <c r="H516" s="18">
        <v>2019</v>
      </c>
      <c r="I516" s="18"/>
      <c r="J516" s="20" t="e">
        <f>1-(J515*-1)</f>
        <v>#DIV/0!</v>
      </c>
      <c r="K516" s="18"/>
      <c r="L516" s="18"/>
      <c r="N516" s="21"/>
    </row>
    <row r="517" spans="1:14" x14ac:dyDescent="0.25">
      <c r="C517" s="15" t="str">
        <f t="shared" si="51"/>
        <v>*</v>
      </c>
      <c r="D517" s="17" t="str">
        <f>D515</f>
        <v>*ICEV*</v>
      </c>
      <c r="E517" s="17" t="str">
        <f>E515</f>
        <v>TRARNG</v>
      </c>
      <c r="F517" s="17" t="str">
        <f>F515</f>
        <v>TRAFRESLHDMD</v>
      </c>
      <c r="G517" s="17" t="str">
        <f>G515</f>
        <v>TRAFRESLHDMD</v>
      </c>
      <c r="H517" s="18">
        <v>2025</v>
      </c>
      <c r="I517" s="18"/>
      <c r="J517" s="29" t="e">
        <f>IF(J515=0,-N517+1,J515*N517)</f>
        <v>#DIV/0!</v>
      </c>
      <c r="K517" s="18"/>
      <c r="L517" s="18"/>
      <c r="N517" s="21">
        <v>1.1000000000000001</v>
      </c>
    </row>
    <row r="518" spans="1:14" x14ac:dyDescent="0.25">
      <c r="C518" s="15" t="str">
        <f t="shared" si="51"/>
        <v>*</v>
      </c>
      <c r="D518" s="17" t="s">
        <v>487</v>
      </c>
      <c r="E518" s="17" t="str">
        <f>E517</f>
        <v>TRARNG</v>
      </c>
      <c r="F518" s="17" t="str">
        <f>F517</f>
        <v>TRAFRESLHDMD</v>
      </c>
      <c r="G518" s="17" t="str">
        <f>G517</f>
        <v>TRAFRESLHDMD</v>
      </c>
      <c r="H518" s="18">
        <v>2025</v>
      </c>
      <c r="I518" s="18"/>
      <c r="J518" s="20" t="e">
        <f>1-(J517*-1)</f>
        <v>#DIV/0!</v>
      </c>
      <c r="K518" s="18"/>
      <c r="L518" s="18"/>
      <c r="N518" s="21"/>
    </row>
    <row r="519" spans="1:14" x14ac:dyDescent="0.25">
      <c r="C519" s="15" t="str">
        <f t="shared" si="51"/>
        <v>*</v>
      </c>
      <c r="D519" s="17" t="str">
        <f>D517</f>
        <v>*ICEV*</v>
      </c>
      <c r="E519" s="17" t="str">
        <f>E517</f>
        <v>TRARNG</v>
      </c>
      <c r="F519" s="17" t="str">
        <f>F517</f>
        <v>TRAFRESLHDMD</v>
      </c>
      <c r="G519" s="17" t="str">
        <f>G517</f>
        <v>TRAFRESLHDMD</v>
      </c>
      <c r="H519" s="18">
        <v>2030</v>
      </c>
      <c r="I519" s="18"/>
      <c r="J519" s="29" t="e">
        <f>IF(J515=0,-N519+1,J515*N519)</f>
        <v>#DIV/0!</v>
      </c>
      <c r="K519" s="18"/>
      <c r="L519" s="18"/>
      <c r="N519" s="21">
        <v>1.2</v>
      </c>
    </row>
    <row r="520" spans="1:14" x14ac:dyDescent="0.25">
      <c r="C520" s="15" t="str">
        <f t="shared" si="51"/>
        <v>*</v>
      </c>
      <c r="D520" s="17" t="s">
        <v>487</v>
      </c>
      <c r="E520" s="17" t="str">
        <f>E519</f>
        <v>TRARNG</v>
      </c>
      <c r="F520" s="17" t="str">
        <f>F519</f>
        <v>TRAFRESLHDMD</v>
      </c>
      <c r="G520" s="17" t="str">
        <f>G519</f>
        <v>TRAFRESLHDMD</v>
      </c>
      <c r="H520" s="18">
        <v>2030</v>
      </c>
      <c r="I520" s="18"/>
      <c r="J520" s="20" t="e">
        <f>1-(J519*-1)</f>
        <v>#DIV/0!</v>
      </c>
      <c r="K520" s="18"/>
      <c r="L520" s="18"/>
      <c r="N520" s="21"/>
    </row>
    <row r="521" spans="1:14" x14ac:dyDescent="0.25">
      <c r="C521" s="15" t="str">
        <f t="shared" si="51"/>
        <v>*</v>
      </c>
      <c r="D521" s="17" t="str">
        <f>D519</f>
        <v>*ICEV*</v>
      </c>
      <c r="E521" s="17" t="str">
        <f>E519</f>
        <v>TRARNG</v>
      </c>
      <c r="F521" s="17" t="str">
        <f>F519</f>
        <v>TRAFRESLHDMD</v>
      </c>
      <c r="G521" s="17" t="str">
        <f>G519</f>
        <v>TRAFRESLHDMD</v>
      </c>
      <c r="H521" s="18">
        <v>2040</v>
      </c>
      <c r="I521" s="18"/>
      <c r="J521" s="29" t="e">
        <f>IF(J515=0,-N521+1,J515*N521)</f>
        <v>#DIV/0!</v>
      </c>
      <c r="K521" s="18"/>
      <c r="L521" s="18"/>
      <c r="N521" s="21">
        <v>1.3</v>
      </c>
    </row>
    <row r="522" spans="1:14" x14ac:dyDescent="0.25">
      <c r="C522" s="15" t="str">
        <f t="shared" si="51"/>
        <v>*</v>
      </c>
      <c r="D522" s="17" t="s">
        <v>487</v>
      </c>
      <c r="E522" s="17" t="str">
        <f>E521</f>
        <v>TRARNG</v>
      </c>
      <c r="F522" s="17" t="str">
        <f>F521</f>
        <v>TRAFRESLHDMD</v>
      </c>
      <c r="G522" s="17" t="str">
        <f>G521</f>
        <v>TRAFRESLHDMD</v>
      </c>
      <c r="H522" s="18">
        <v>2040</v>
      </c>
      <c r="I522" s="18"/>
      <c r="J522" s="20" t="e">
        <f>1-(J521*-1)</f>
        <v>#DIV/0!</v>
      </c>
      <c r="K522" s="18"/>
      <c r="L522" s="18"/>
      <c r="N522" s="21"/>
    </row>
    <row r="523" spans="1:14" x14ac:dyDescent="0.25">
      <c r="C523" s="15" t="str">
        <f t="shared" si="51"/>
        <v>*</v>
      </c>
      <c r="D523" s="17" t="str">
        <f>D521</f>
        <v>*ICEV*</v>
      </c>
      <c r="E523" s="17" t="str">
        <f>E521</f>
        <v>TRARNG</v>
      </c>
      <c r="F523" s="17" t="str">
        <f>F521</f>
        <v>TRAFRESLHDMD</v>
      </c>
      <c r="G523" s="17" t="str">
        <f>G521</f>
        <v>TRAFRESLHDMD</v>
      </c>
      <c r="H523" s="18">
        <v>2050</v>
      </c>
      <c r="I523" s="18"/>
      <c r="J523" s="29" t="e">
        <f>IF(J515=0,-N523+1,J515*N523)</f>
        <v>#DIV/0!</v>
      </c>
      <c r="K523" s="18"/>
      <c r="L523" s="18"/>
      <c r="N523" s="21">
        <v>1.4</v>
      </c>
    </row>
    <row r="524" spans="1:14" x14ac:dyDescent="0.25">
      <c r="C524" s="23" t="str">
        <f t="shared" si="51"/>
        <v>*</v>
      </c>
      <c r="D524" s="25" t="s">
        <v>487</v>
      </c>
      <c r="E524" s="25" t="str">
        <f>E523</f>
        <v>TRARNG</v>
      </c>
      <c r="F524" s="25" t="str">
        <f>F523</f>
        <v>TRAFRESLHDMD</v>
      </c>
      <c r="G524" s="25" t="str">
        <f>G523</f>
        <v>TRAFRESLHDMD</v>
      </c>
      <c r="H524" s="26">
        <v>2050</v>
      </c>
      <c r="I524" s="26"/>
      <c r="J524" s="27" t="e">
        <f>1-(J523*-1)</f>
        <v>#DIV/0!</v>
      </c>
      <c r="K524" s="26"/>
      <c r="L524" s="26"/>
      <c r="N524" s="28"/>
    </row>
    <row r="525" spans="1:14" x14ac:dyDescent="0.25">
      <c r="A525">
        <f>A515+1</f>
        <v>53</v>
      </c>
      <c r="C525" s="15" t="str">
        <f>IF(E525="","",IF(SUMIFS('TRA TECH'!M:M,'TRA TECH'!J:J,D526,'TRA TECH'!I:I,F526,'TRA TECH'!H:H,E526)=0,"*",IF(_xlfn.XLOOKUP($A525,Selected_constraint!$A:$A,Selected_constraint!$D:$D)=1,"*",IF(SUMIFS('TRA TECH'!$M:$M,'TRA TECH'!$H:$H,E525,'TRA TECH'!$I:$I,F525)=0,"*",IF(SUMIFS('TRA RESID'!$P:$P,'TRA RESID'!$I:$I,G525,'TRA RESID'!$J:$J,D525,'TRA RESID'!$H:$H,E525)=0,"*","UC_"&amp;SUBSTITUTE(D525,"*","")&amp;"_"&amp;SUBSTITUTE(D525,"*","")&amp;"_"&amp;RIGHT(E525,3)&amp;"_"&amp;F525)))))</f>
        <v>*</v>
      </c>
      <c r="D525" s="17" t="s">
        <v>485</v>
      </c>
      <c r="E525" s="17" t="str">
        <f>_xlfn.XLOOKUP($A525,Selected_constraint!$A:$A,Selected_constraint!$B:$B)</f>
        <v>TRABAF</v>
      </c>
      <c r="F525" s="17" t="str">
        <f>_xlfn.XLOOKUP($A525,Selected_constraint!$A:$A,Selected_constraint!$C:$C)</f>
        <v>TRAFRESLHDMD</v>
      </c>
      <c r="G525" s="17" t="str">
        <f>F525</f>
        <v>TRAFRESLHDMD</v>
      </c>
      <c r="H525" s="18">
        <v>2019</v>
      </c>
      <c r="I525" s="18" t="s">
        <v>484</v>
      </c>
      <c r="J525" s="29" t="e">
        <f>-SUMIFS('TRA RESID'!$P:$P,'TRA RESID'!$I:$I,G526,'TRA RESID'!$J:$J,D526,'TRA RESID'!$H:$H,E526)/(SUMIFS('TRA RESID'!$P:$P,'TRA RESID'!$I:$I,G526,'TRA RESID'!$J:$J,D526,'TRA RESID'!$H:$H,E526)+SUMIFS('TRA RESID'!$P:$P,'TRA RESID'!$I:$I,G525,'TRA RESID'!$J:$J,D525,'TRA RESID'!$H:$H,E525))</f>
        <v>#DIV/0!</v>
      </c>
      <c r="K525" s="18">
        <v>0</v>
      </c>
      <c r="L525" s="18">
        <v>5</v>
      </c>
      <c r="N525" s="21">
        <v>1</v>
      </c>
    </row>
    <row r="526" spans="1:14" x14ac:dyDescent="0.25">
      <c r="C526" s="15" t="str">
        <f t="shared" ref="C526:C534" si="52">IF(C525="*",C525,"")</f>
        <v>*</v>
      </c>
      <c r="D526" s="17" t="s">
        <v>487</v>
      </c>
      <c r="E526" s="17" t="str">
        <f>E525</f>
        <v>TRABAF</v>
      </c>
      <c r="F526" s="17" t="str">
        <f>F525</f>
        <v>TRAFRESLHDMD</v>
      </c>
      <c r="G526" s="17" t="str">
        <f>G525</f>
        <v>TRAFRESLHDMD</v>
      </c>
      <c r="H526" s="18">
        <v>2019</v>
      </c>
      <c r="I526" s="18"/>
      <c r="J526" s="20" t="e">
        <f>1-(J525*-1)</f>
        <v>#DIV/0!</v>
      </c>
      <c r="K526" s="18"/>
      <c r="L526" s="18"/>
      <c r="N526" s="21"/>
    </row>
    <row r="527" spans="1:14" x14ac:dyDescent="0.25">
      <c r="C527" s="15" t="str">
        <f t="shared" si="52"/>
        <v>*</v>
      </c>
      <c r="D527" s="17" t="str">
        <f>D525</f>
        <v>*ICEV*</v>
      </c>
      <c r="E527" s="17" t="str">
        <f>E525</f>
        <v>TRABAF</v>
      </c>
      <c r="F527" s="17" t="str">
        <f>F525</f>
        <v>TRAFRESLHDMD</v>
      </c>
      <c r="G527" s="17" t="str">
        <f>G525</f>
        <v>TRAFRESLHDMD</v>
      </c>
      <c r="H527" s="18">
        <v>2025</v>
      </c>
      <c r="I527" s="18"/>
      <c r="J527" s="29" t="e">
        <f>IF(J525=0,-N527+1,J525*N527)</f>
        <v>#DIV/0!</v>
      </c>
      <c r="K527" s="18"/>
      <c r="L527" s="18"/>
      <c r="N527" s="21">
        <v>1.1000000000000001</v>
      </c>
    </row>
    <row r="528" spans="1:14" x14ac:dyDescent="0.25">
      <c r="C528" s="15" t="str">
        <f t="shared" si="52"/>
        <v>*</v>
      </c>
      <c r="D528" s="17" t="s">
        <v>487</v>
      </c>
      <c r="E528" s="17" t="str">
        <f>E527</f>
        <v>TRABAF</v>
      </c>
      <c r="F528" s="17" t="str">
        <f>F527</f>
        <v>TRAFRESLHDMD</v>
      </c>
      <c r="G528" s="17" t="str">
        <f>G527</f>
        <v>TRAFRESLHDMD</v>
      </c>
      <c r="H528" s="18">
        <v>2025</v>
      </c>
      <c r="I528" s="18"/>
      <c r="J528" s="20" t="e">
        <f>1-(J527*-1)</f>
        <v>#DIV/0!</v>
      </c>
      <c r="K528" s="18"/>
      <c r="L528" s="18"/>
      <c r="N528" s="21"/>
    </row>
    <row r="529" spans="1:14" x14ac:dyDescent="0.25">
      <c r="C529" s="15" t="str">
        <f t="shared" si="52"/>
        <v>*</v>
      </c>
      <c r="D529" s="17" t="str">
        <f>D527</f>
        <v>*ICEV*</v>
      </c>
      <c r="E529" s="17" t="str">
        <f>E527</f>
        <v>TRABAF</v>
      </c>
      <c r="F529" s="17" t="str">
        <f>F527</f>
        <v>TRAFRESLHDMD</v>
      </c>
      <c r="G529" s="17" t="str">
        <f>G527</f>
        <v>TRAFRESLHDMD</v>
      </c>
      <c r="H529" s="18">
        <v>2030</v>
      </c>
      <c r="I529" s="18"/>
      <c r="J529" s="29" t="e">
        <f>IF(J525=0,-N529+1,J525*N529)</f>
        <v>#DIV/0!</v>
      </c>
      <c r="K529" s="18"/>
      <c r="L529" s="18"/>
      <c r="N529" s="21">
        <v>1.2</v>
      </c>
    </row>
    <row r="530" spans="1:14" x14ac:dyDescent="0.25">
      <c r="C530" s="15" t="str">
        <f t="shared" si="52"/>
        <v>*</v>
      </c>
      <c r="D530" s="17" t="s">
        <v>487</v>
      </c>
      <c r="E530" s="17" t="str">
        <f>E529</f>
        <v>TRABAF</v>
      </c>
      <c r="F530" s="17" t="str">
        <f>F529</f>
        <v>TRAFRESLHDMD</v>
      </c>
      <c r="G530" s="17" t="str">
        <f>G529</f>
        <v>TRAFRESLHDMD</v>
      </c>
      <c r="H530" s="18">
        <v>2030</v>
      </c>
      <c r="I530" s="18"/>
      <c r="J530" s="20" t="e">
        <f>1-(J529*-1)</f>
        <v>#DIV/0!</v>
      </c>
      <c r="K530" s="18"/>
      <c r="L530" s="18"/>
      <c r="N530" s="21"/>
    </row>
    <row r="531" spans="1:14" x14ac:dyDescent="0.25">
      <c r="C531" s="15" t="str">
        <f t="shared" si="52"/>
        <v>*</v>
      </c>
      <c r="D531" s="17" t="str">
        <f>D529</f>
        <v>*ICEV*</v>
      </c>
      <c r="E531" s="17" t="str">
        <f>E529</f>
        <v>TRABAF</v>
      </c>
      <c r="F531" s="17" t="str">
        <f>F529</f>
        <v>TRAFRESLHDMD</v>
      </c>
      <c r="G531" s="17" t="str">
        <f>G529</f>
        <v>TRAFRESLHDMD</v>
      </c>
      <c r="H531" s="18">
        <v>2040</v>
      </c>
      <c r="I531" s="18"/>
      <c r="J531" s="29" t="e">
        <f>IF(J525=0,-N531+1,J525*N531)</f>
        <v>#DIV/0!</v>
      </c>
      <c r="K531" s="18"/>
      <c r="L531" s="18"/>
      <c r="N531" s="21">
        <v>1.3</v>
      </c>
    </row>
    <row r="532" spans="1:14" x14ac:dyDescent="0.25">
      <c r="C532" s="15" t="str">
        <f t="shared" si="52"/>
        <v>*</v>
      </c>
      <c r="D532" s="17" t="s">
        <v>487</v>
      </c>
      <c r="E532" s="17" t="str">
        <f>E531</f>
        <v>TRABAF</v>
      </c>
      <c r="F532" s="17" t="str">
        <f>F531</f>
        <v>TRAFRESLHDMD</v>
      </c>
      <c r="G532" s="17" t="str">
        <f>G531</f>
        <v>TRAFRESLHDMD</v>
      </c>
      <c r="H532" s="18">
        <v>2040</v>
      </c>
      <c r="I532" s="18"/>
      <c r="J532" s="20" t="e">
        <f>1-(J531*-1)</f>
        <v>#DIV/0!</v>
      </c>
      <c r="K532" s="18"/>
      <c r="L532" s="18"/>
      <c r="N532" s="21"/>
    </row>
    <row r="533" spans="1:14" x14ac:dyDescent="0.25">
      <c r="C533" s="15" t="str">
        <f t="shared" si="52"/>
        <v>*</v>
      </c>
      <c r="D533" s="17" t="str">
        <f>D531</f>
        <v>*ICEV*</v>
      </c>
      <c r="E533" s="17" t="str">
        <f>E531</f>
        <v>TRABAF</v>
      </c>
      <c r="F533" s="17" t="str">
        <f>F531</f>
        <v>TRAFRESLHDMD</v>
      </c>
      <c r="G533" s="17" t="str">
        <f>G531</f>
        <v>TRAFRESLHDMD</v>
      </c>
      <c r="H533" s="18">
        <v>2050</v>
      </c>
      <c r="I533" s="18"/>
      <c r="J533" s="29" t="e">
        <f>IF(J525=0,-N533+1,J525*N533)</f>
        <v>#DIV/0!</v>
      </c>
      <c r="K533" s="18"/>
      <c r="L533" s="18"/>
      <c r="N533" s="21">
        <v>1.4</v>
      </c>
    </row>
    <row r="534" spans="1:14" x14ac:dyDescent="0.25">
      <c r="C534" s="23" t="str">
        <f t="shared" si="52"/>
        <v>*</v>
      </c>
      <c r="D534" s="25" t="s">
        <v>487</v>
      </c>
      <c r="E534" s="25" t="str">
        <f>E533</f>
        <v>TRABAF</v>
      </c>
      <c r="F534" s="25" t="str">
        <f>F533</f>
        <v>TRAFRESLHDMD</v>
      </c>
      <c r="G534" s="25" t="str">
        <f>G533</f>
        <v>TRAFRESLHDMD</v>
      </c>
      <c r="H534" s="26">
        <v>2050</v>
      </c>
      <c r="I534" s="26"/>
      <c r="J534" s="27" t="e">
        <f>1-(J533*-1)</f>
        <v>#DIV/0!</v>
      </c>
      <c r="K534" s="26"/>
      <c r="L534" s="26"/>
      <c r="N534" s="28"/>
    </row>
    <row r="535" spans="1:14" x14ac:dyDescent="0.25">
      <c r="A535">
        <f>A525+1</f>
        <v>54</v>
      </c>
      <c r="C535" s="15" t="str">
        <f>IF(E535="","",IF(SUMIFS('TRA TECH'!M:M,'TRA TECH'!J:J,D536,'TRA TECH'!I:I,F536,'TRA TECH'!H:H,E536)=0,"*",IF(_xlfn.XLOOKUP($A535,Selected_constraint!$A:$A,Selected_constraint!$D:$D)=1,"*",IF(SUMIFS('TRA TECH'!$M:$M,'TRA TECH'!$H:$H,E535,'TRA TECH'!$I:$I,F535)=0,"*",IF(SUMIFS('TRA RESID'!$P:$P,'TRA RESID'!$I:$I,G535,'TRA RESID'!$J:$J,D535,'TRA RESID'!$H:$H,E535)=0,"*","UC_"&amp;SUBSTITUTE(D535,"*","")&amp;"_"&amp;SUBSTITUTE(D535,"*","")&amp;"_"&amp;RIGHT(E535,3)&amp;"_"&amp;F535)))))</f>
        <v>*</v>
      </c>
      <c r="D535" s="17" t="s">
        <v>485</v>
      </c>
      <c r="E535" s="17" t="str">
        <f>_xlfn.XLOOKUP($A535,Selected_constraint!$A:$A,Selected_constraint!$B:$B)</f>
        <v>TRAH2G</v>
      </c>
      <c r="F535" s="17" t="str">
        <f>_xlfn.XLOOKUP($A535,Selected_constraint!$A:$A,Selected_constraint!$C:$C)</f>
        <v>TRAFRESLHDMD</v>
      </c>
      <c r="G535" s="17" t="str">
        <f>F535</f>
        <v>TRAFRESLHDMD</v>
      </c>
      <c r="H535" s="18">
        <v>2019</v>
      </c>
      <c r="I535" s="18" t="s">
        <v>484</v>
      </c>
      <c r="J535" s="29" t="e">
        <f>-SUMIFS('TRA RESID'!$P:$P,'TRA RESID'!$I:$I,G536,'TRA RESID'!$J:$J,D536,'TRA RESID'!$H:$H,E536)/(SUMIFS('TRA RESID'!$P:$P,'TRA RESID'!$I:$I,G536,'TRA RESID'!$J:$J,D536,'TRA RESID'!$H:$H,E536)+SUMIFS('TRA RESID'!$P:$P,'TRA RESID'!$I:$I,G535,'TRA RESID'!$J:$J,D535,'TRA RESID'!$H:$H,E535))</f>
        <v>#DIV/0!</v>
      </c>
      <c r="K535" s="18">
        <v>0</v>
      </c>
      <c r="L535" s="18">
        <v>5</v>
      </c>
      <c r="N535" s="21">
        <v>1</v>
      </c>
    </row>
    <row r="536" spans="1:14" x14ac:dyDescent="0.25">
      <c r="C536" s="15" t="str">
        <f t="shared" ref="C536:C544" si="53">IF(C535="*",C535,"")</f>
        <v>*</v>
      </c>
      <c r="D536" s="17" t="s">
        <v>487</v>
      </c>
      <c r="E536" s="17" t="str">
        <f>E535</f>
        <v>TRAH2G</v>
      </c>
      <c r="F536" s="17" t="str">
        <f>F535</f>
        <v>TRAFRESLHDMD</v>
      </c>
      <c r="G536" s="17" t="str">
        <f>G535</f>
        <v>TRAFRESLHDMD</v>
      </c>
      <c r="H536" s="18">
        <v>2019</v>
      </c>
      <c r="I536" s="18"/>
      <c r="J536" s="20" t="e">
        <f>1-(J535*-1)</f>
        <v>#DIV/0!</v>
      </c>
      <c r="K536" s="18"/>
      <c r="L536" s="18"/>
      <c r="N536" s="21"/>
    </row>
    <row r="537" spans="1:14" x14ac:dyDescent="0.25">
      <c r="C537" s="15" t="str">
        <f t="shared" si="53"/>
        <v>*</v>
      </c>
      <c r="D537" s="17" t="str">
        <f>D535</f>
        <v>*ICEV*</v>
      </c>
      <c r="E537" s="17" t="str">
        <f>E535</f>
        <v>TRAH2G</v>
      </c>
      <c r="F537" s="17" t="str">
        <f>F535</f>
        <v>TRAFRESLHDMD</v>
      </c>
      <c r="G537" s="17" t="str">
        <f>G535</f>
        <v>TRAFRESLHDMD</v>
      </c>
      <c r="H537" s="18">
        <v>2025</v>
      </c>
      <c r="I537" s="18"/>
      <c r="J537" s="29" t="e">
        <f>IF(J535=0,-N537+1,J535*N537)</f>
        <v>#DIV/0!</v>
      </c>
      <c r="K537" s="18"/>
      <c r="L537" s="18"/>
      <c r="N537" s="21">
        <v>1.1000000000000001</v>
      </c>
    </row>
    <row r="538" spans="1:14" x14ac:dyDescent="0.25">
      <c r="C538" s="15" t="str">
        <f t="shared" si="53"/>
        <v>*</v>
      </c>
      <c r="D538" s="17" t="s">
        <v>487</v>
      </c>
      <c r="E538" s="17" t="str">
        <f>E537</f>
        <v>TRAH2G</v>
      </c>
      <c r="F538" s="17" t="str">
        <f>F537</f>
        <v>TRAFRESLHDMD</v>
      </c>
      <c r="G538" s="17" t="str">
        <f>G537</f>
        <v>TRAFRESLHDMD</v>
      </c>
      <c r="H538" s="18">
        <v>2025</v>
      </c>
      <c r="I538" s="18"/>
      <c r="J538" s="20" t="e">
        <f>1-(J537*-1)</f>
        <v>#DIV/0!</v>
      </c>
      <c r="K538" s="18"/>
      <c r="L538" s="18"/>
      <c r="N538" s="21"/>
    </row>
    <row r="539" spans="1:14" x14ac:dyDescent="0.25">
      <c r="C539" s="15" t="str">
        <f t="shared" si="53"/>
        <v>*</v>
      </c>
      <c r="D539" s="17" t="str">
        <f>D537</f>
        <v>*ICEV*</v>
      </c>
      <c r="E539" s="17" t="str">
        <f>E537</f>
        <v>TRAH2G</v>
      </c>
      <c r="F539" s="17" t="str">
        <f>F537</f>
        <v>TRAFRESLHDMD</v>
      </c>
      <c r="G539" s="17" t="str">
        <f>G537</f>
        <v>TRAFRESLHDMD</v>
      </c>
      <c r="H539" s="18">
        <v>2030</v>
      </c>
      <c r="I539" s="18"/>
      <c r="J539" s="29" t="e">
        <f>IF(J535=0,-N539+1,J535*N539)</f>
        <v>#DIV/0!</v>
      </c>
      <c r="K539" s="18"/>
      <c r="L539" s="18"/>
      <c r="N539" s="21">
        <v>1.2</v>
      </c>
    </row>
    <row r="540" spans="1:14" x14ac:dyDescent="0.25">
      <c r="C540" s="15" t="str">
        <f t="shared" si="53"/>
        <v>*</v>
      </c>
      <c r="D540" s="17" t="s">
        <v>487</v>
      </c>
      <c r="E540" s="17" t="str">
        <f>E539</f>
        <v>TRAH2G</v>
      </c>
      <c r="F540" s="17" t="str">
        <f>F539</f>
        <v>TRAFRESLHDMD</v>
      </c>
      <c r="G540" s="17" t="str">
        <f>G539</f>
        <v>TRAFRESLHDMD</v>
      </c>
      <c r="H540" s="18">
        <v>2030</v>
      </c>
      <c r="I540" s="18"/>
      <c r="J540" s="20" t="e">
        <f>1-(J539*-1)</f>
        <v>#DIV/0!</v>
      </c>
      <c r="K540" s="18"/>
      <c r="L540" s="18"/>
      <c r="N540" s="21"/>
    </row>
    <row r="541" spans="1:14" x14ac:dyDescent="0.25">
      <c r="C541" s="15" t="str">
        <f t="shared" si="53"/>
        <v>*</v>
      </c>
      <c r="D541" s="17" t="str">
        <f>D539</f>
        <v>*ICEV*</v>
      </c>
      <c r="E541" s="17" t="str">
        <f>E539</f>
        <v>TRAH2G</v>
      </c>
      <c r="F541" s="17" t="str">
        <f>F539</f>
        <v>TRAFRESLHDMD</v>
      </c>
      <c r="G541" s="17" t="str">
        <f>G539</f>
        <v>TRAFRESLHDMD</v>
      </c>
      <c r="H541" s="18">
        <v>2040</v>
      </c>
      <c r="I541" s="18"/>
      <c r="J541" s="29" t="e">
        <f>IF(J535=0,-N541+1,J535*N541)</f>
        <v>#DIV/0!</v>
      </c>
      <c r="K541" s="18"/>
      <c r="L541" s="18"/>
      <c r="N541" s="21">
        <v>1.3</v>
      </c>
    </row>
    <row r="542" spans="1:14" x14ac:dyDescent="0.25">
      <c r="C542" s="15" t="str">
        <f t="shared" si="53"/>
        <v>*</v>
      </c>
      <c r="D542" s="17" t="s">
        <v>487</v>
      </c>
      <c r="E542" s="17" t="str">
        <f>E541</f>
        <v>TRAH2G</v>
      </c>
      <c r="F542" s="17" t="str">
        <f>F541</f>
        <v>TRAFRESLHDMD</v>
      </c>
      <c r="G542" s="17" t="str">
        <f>G541</f>
        <v>TRAFRESLHDMD</v>
      </c>
      <c r="H542" s="18">
        <v>2040</v>
      </c>
      <c r="I542" s="18"/>
      <c r="J542" s="20" t="e">
        <f>1-(J541*-1)</f>
        <v>#DIV/0!</v>
      </c>
      <c r="K542" s="18"/>
      <c r="L542" s="18"/>
      <c r="N542" s="21"/>
    </row>
    <row r="543" spans="1:14" x14ac:dyDescent="0.25">
      <c r="C543" s="15" t="str">
        <f t="shared" si="53"/>
        <v>*</v>
      </c>
      <c r="D543" s="17" t="str">
        <f>D541</f>
        <v>*ICEV*</v>
      </c>
      <c r="E543" s="17" t="str">
        <f>E541</f>
        <v>TRAH2G</v>
      </c>
      <c r="F543" s="17" t="str">
        <f>F541</f>
        <v>TRAFRESLHDMD</v>
      </c>
      <c r="G543" s="17" t="str">
        <f>G541</f>
        <v>TRAFRESLHDMD</v>
      </c>
      <c r="H543" s="18">
        <v>2050</v>
      </c>
      <c r="I543" s="18"/>
      <c r="J543" s="29" t="e">
        <f>IF(J535=0,-N543+1,J535*N543)</f>
        <v>#DIV/0!</v>
      </c>
      <c r="K543" s="18"/>
      <c r="L543" s="18"/>
      <c r="N543" s="21">
        <v>1.4</v>
      </c>
    </row>
    <row r="544" spans="1:14" x14ac:dyDescent="0.25">
      <c r="C544" s="23" t="str">
        <f t="shared" si="53"/>
        <v>*</v>
      </c>
      <c r="D544" s="25" t="s">
        <v>487</v>
      </c>
      <c r="E544" s="25" t="str">
        <f>E543</f>
        <v>TRAH2G</v>
      </c>
      <c r="F544" s="25" t="str">
        <f>F543</f>
        <v>TRAFRESLHDMD</v>
      </c>
      <c r="G544" s="25" t="str">
        <f>G543</f>
        <v>TRAFRESLHDMD</v>
      </c>
      <c r="H544" s="26">
        <v>2050</v>
      </c>
      <c r="I544" s="26"/>
      <c r="J544" s="27" t="e">
        <f>1-(J543*-1)</f>
        <v>#DIV/0!</v>
      </c>
      <c r="K544" s="26"/>
      <c r="L544" s="26"/>
      <c r="N544" s="28"/>
    </row>
    <row r="545" spans="1:14" x14ac:dyDescent="0.25">
      <c r="A545">
        <f>A535+1</f>
        <v>55</v>
      </c>
      <c r="C545" s="15" t="str">
        <f>IF(E545="","",IF(SUMIFS('TRA TECH'!M:M,'TRA TECH'!J:J,D546,'TRA TECH'!I:I,F546,'TRA TECH'!H:H,E546)=0,"*",IF(_xlfn.XLOOKUP($A545,Selected_constraint!$A:$A,Selected_constraint!$D:$D)=1,"*",IF(SUMIFS('TRA TECH'!$M:$M,'TRA TECH'!$H:$H,E545,'TRA TECH'!$I:$I,F545)=0,"*",IF(SUMIFS('TRA RESID'!$P:$P,'TRA RESID'!$I:$I,G545,'TRA RESID'!$J:$J,D545,'TRA RESID'!$H:$H,E545)=0,"*","UC_"&amp;SUBSTITUTE(D545,"*","")&amp;"_"&amp;SUBSTITUTE(D545,"*","")&amp;"_"&amp;RIGHT(E545,3)&amp;"_"&amp;F545)))))</f>
        <v>*</v>
      </c>
      <c r="D545" s="17" t="s">
        <v>485</v>
      </c>
      <c r="E545" s="17" t="str">
        <f>_xlfn.XLOOKUP($A545,Selected_constraint!$A:$A,Selected_constraint!$B:$B)</f>
        <v>TRAGSL</v>
      </c>
      <c r="F545" s="17" t="str">
        <f>_xlfn.XLOOKUP($A545,Selected_constraint!$A:$A,Selected_constraint!$C:$C)</f>
        <v>TRAFRESSHDMD</v>
      </c>
      <c r="G545" s="17" t="str">
        <f>F545</f>
        <v>TRAFRESSHDMD</v>
      </c>
      <c r="H545" s="18">
        <v>2019</v>
      </c>
      <c r="I545" s="18" t="s">
        <v>484</v>
      </c>
      <c r="J545" s="29" t="e">
        <f>-SUMIFS('TRA RESID'!$P:$P,'TRA RESID'!$I:$I,G546,'TRA RESID'!$J:$J,D546,'TRA RESID'!$H:$H,E546)/(SUMIFS('TRA RESID'!$P:$P,'TRA RESID'!$I:$I,G546,'TRA RESID'!$J:$J,D546,'TRA RESID'!$H:$H,E546)+SUMIFS('TRA RESID'!$P:$P,'TRA RESID'!$I:$I,G545,'TRA RESID'!$J:$J,D545,'TRA RESID'!$H:$H,E545))</f>
        <v>#DIV/0!</v>
      </c>
      <c r="K545" s="18">
        <v>0</v>
      </c>
      <c r="L545" s="18">
        <v>5</v>
      </c>
      <c r="N545" s="21">
        <v>1</v>
      </c>
    </row>
    <row r="546" spans="1:14" x14ac:dyDescent="0.25">
      <c r="C546" s="15" t="str">
        <f t="shared" ref="C546:C554" si="54">IF(C545="*",C545,"")</f>
        <v>*</v>
      </c>
      <c r="D546" s="17" t="s">
        <v>487</v>
      </c>
      <c r="E546" s="17" t="str">
        <f>E545</f>
        <v>TRAGSL</v>
      </c>
      <c r="F546" s="17" t="str">
        <f>F545</f>
        <v>TRAFRESSHDMD</v>
      </c>
      <c r="G546" s="17" t="str">
        <f>G545</f>
        <v>TRAFRESSHDMD</v>
      </c>
      <c r="H546" s="18">
        <v>2019</v>
      </c>
      <c r="I546" s="18"/>
      <c r="J546" s="20" t="e">
        <f>1-(J545*-1)</f>
        <v>#DIV/0!</v>
      </c>
      <c r="K546" s="18"/>
      <c r="L546" s="18"/>
      <c r="N546" s="21"/>
    </row>
    <row r="547" spans="1:14" x14ac:dyDescent="0.25">
      <c r="C547" s="15" t="str">
        <f t="shared" si="54"/>
        <v>*</v>
      </c>
      <c r="D547" s="17" t="str">
        <f>D545</f>
        <v>*ICEV*</v>
      </c>
      <c r="E547" s="17" t="str">
        <f>E545</f>
        <v>TRAGSL</v>
      </c>
      <c r="F547" s="17" t="str">
        <f>F545</f>
        <v>TRAFRESSHDMD</v>
      </c>
      <c r="G547" s="17" t="str">
        <f>G545</f>
        <v>TRAFRESSHDMD</v>
      </c>
      <c r="H547" s="18">
        <v>2025</v>
      </c>
      <c r="I547" s="18"/>
      <c r="J547" s="29" t="e">
        <f>IF(J545=0,-N547+1,J545*N547)</f>
        <v>#DIV/0!</v>
      </c>
      <c r="K547" s="18"/>
      <c r="L547" s="18"/>
      <c r="N547" s="21">
        <v>1.1000000000000001</v>
      </c>
    </row>
    <row r="548" spans="1:14" x14ac:dyDescent="0.25">
      <c r="C548" s="15" t="str">
        <f t="shared" si="54"/>
        <v>*</v>
      </c>
      <c r="D548" s="17" t="s">
        <v>487</v>
      </c>
      <c r="E548" s="17" t="str">
        <f>E547</f>
        <v>TRAGSL</v>
      </c>
      <c r="F548" s="17" t="str">
        <f>F547</f>
        <v>TRAFRESSHDMD</v>
      </c>
      <c r="G548" s="17" t="str">
        <f>G547</f>
        <v>TRAFRESSHDMD</v>
      </c>
      <c r="H548" s="18">
        <v>2025</v>
      </c>
      <c r="I548" s="18"/>
      <c r="J548" s="20" t="e">
        <f>1-(J547*-1)</f>
        <v>#DIV/0!</v>
      </c>
      <c r="K548" s="18"/>
      <c r="L548" s="18"/>
      <c r="N548" s="21"/>
    </row>
    <row r="549" spans="1:14" x14ac:dyDescent="0.25">
      <c r="C549" s="15" t="str">
        <f t="shared" si="54"/>
        <v>*</v>
      </c>
      <c r="D549" s="17" t="str">
        <f>D547</f>
        <v>*ICEV*</v>
      </c>
      <c r="E549" s="17" t="str">
        <f>E547</f>
        <v>TRAGSL</v>
      </c>
      <c r="F549" s="17" t="str">
        <f>F547</f>
        <v>TRAFRESSHDMD</v>
      </c>
      <c r="G549" s="17" t="str">
        <f>G547</f>
        <v>TRAFRESSHDMD</v>
      </c>
      <c r="H549" s="18">
        <v>2030</v>
      </c>
      <c r="I549" s="18"/>
      <c r="J549" s="29" t="e">
        <f>IF(J545=0,-N549+1,J545*N549)</f>
        <v>#DIV/0!</v>
      </c>
      <c r="K549" s="18"/>
      <c r="L549" s="18"/>
      <c r="N549" s="21">
        <v>1.2</v>
      </c>
    </row>
    <row r="550" spans="1:14" x14ac:dyDescent="0.25">
      <c r="C550" s="15" t="str">
        <f t="shared" si="54"/>
        <v>*</v>
      </c>
      <c r="D550" s="17" t="s">
        <v>487</v>
      </c>
      <c r="E550" s="17" t="str">
        <f>E549</f>
        <v>TRAGSL</v>
      </c>
      <c r="F550" s="17" t="str">
        <f>F549</f>
        <v>TRAFRESSHDMD</v>
      </c>
      <c r="G550" s="17" t="str">
        <f>G549</f>
        <v>TRAFRESSHDMD</v>
      </c>
      <c r="H550" s="18">
        <v>2030</v>
      </c>
      <c r="I550" s="18"/>
      <c r="J550" s="20" t="e">
        <f>1-(J549*-1)</f>
        <v>#DIV/0!</v>
      </c>
      <c r="K550" s="18"/>
      <c r="L550" s="18"/>
      <c r="N550" s="21"/>
    </row>
    <row r="551" spans="1:14" x14ac:dyDescent="0.25">
      <c r="C551" s="15" t="str">
        <f t="shared" si="54"/>
        <v>*</v>
      </c>
      <c r="D551" s="17" t="str">
        <f>D549</f>
        <v>*ICEV*</v>
      </c>
      <c r="E551" s="17" t="str">
        <f>E549</f>
        <v>TRAGSL</v>
      </c>
      <c r="F551" s="17" t="str">
        <f>F549</f>
        <v>TRAFRESSHDMD</v>
      </c>
      <c r="G551" s="17" t="str">
        <f>G549</f>
        <v>TRAFRESSHDMD</v>
      </c>
      <c r="H551" s="18">
        <v>2040</v>
      </c>
      <c r="I551" s="18"/>
      <c r="J551" s="29" t="e">
        <f>IF(J545=0,-N551+1,J545*N551)</f>
        <v>#DIV/0!</v>
      </c>
      <c r="K551" s="18"/>
      <c r="L551" s="18"/>
      <c r="N551" s="21">
        <v>1.3</v>
      </c>
    </row>
    <row r="552" spans="1:14" x14ac:dyDescent="0.25">
      <c r="C552" s="15" t="str">
        <f t="shared" si="54"/>
        <v>*</v>
      </c>
      <c r="D552" s="17" t="s">
        <v>487</v>
      </c>
      <c r="E552" s="17" t="str">
        <f>E551</f>
        <v>TRAGSL</v>
      </c>
      <c r="F552" s="17" t="str">
        <f>F551</f>
        <v>TRAFRESSHDMD</v>
      </c>
      <c r="G552" s="17" t="str">
        <f>G551</f>
        <v>TRAFRESSHDMD</v>
      </c>
      <c r="H552" s="18">
        <v>2040</v>
      </c>
      <c r="I552" s="18"/>
      <c r="J552" s="20" t="e">
        <f>1-(J551*-1)</f>
        <v>#DIV/0!</v>
      </c>
      <c r="K552" s="18"/>
      <c r="L552" s="18"/>
      <c r="N552" s="21"/>
    </row>
    <row r="553" spans="1:14" x14ac:dyDescent="0.25">
      <c r="C553" s="15" t="str">
        <f t="shared" si="54"/>
        <v>*</v>
      </c>
      <c r="D553" s="17" t="str">
        <f>D551</f>
        <v>*ICEV*</v>
      </c>
      <c r="E553" s="17" t="str">
        <f>E551</f>
        <v>TRAGSL</v>
      </c>
      <c r="F553" s="17" t="str">
        <f>F551</f>
        <v>TRAFRESSHDMD</v>
      </c>
      <c r="G553" s="17" t="str">
        <f>G551</f>
        <v>TRAFRESSHDMD</v>
      </c>
      <c r="H553" s="18">
        <v>2050</v>
      </c>
      <c r="I553" s="18"/>
      <c r="J553" s="29" t="e">
        <f>IF(J545=0,-N553+1,J545*N553)</f>
        <v>#DIV/0!</v>
      </c>
      <c r="K553" s="18"/>
      <c r="L553" s="18"/>
      <c r="N553" s="21">
        <v>1.4</v>
      </c>
    </row>
    <row r="554" spans="1:14" x14ac:dyDescent="0.25">
      <c r="C554" s="23" t="str">
        <f t="shared" si="54"/>
        <v>*</v>
      </c>
      <c r="D554" s="25" t="s">
        <v>487</v>
      </c>
      <c r="E554" s="25" t="str">
        <f>E553</f>
        <v>TRAGSL</v>
      </c>
      <c r="F554" s="25" t="str">
        <f>F553</f>
        <v>TRAFRESSHDMD</v>
      </c>
      <c r="G554" s="25" t="str">
        <f>G553</f>
        <v>TRAFRESSHDMD</v>
      </c>
      <c r="H554" s="26">
        <v>2050</v>
      </c>
      <c r="I554" s="26"/>
      <c r="J554" s="27" t="e">
        <f>1-(J553*-1)</f>
        <v>#DIV/0!</v>
      </c>
      <c r="K554" s="26"/>
      <c r="L554" s="26"/>
      <c r="N554" s="28"/>
    </row>
    <row r="555" spans="1:14" x14ac:dyDescent="0.25">
      <c r="A555">
        <f>A545+1</f>
        <v>56</v>
      </c>
      <c r="C555" s="15" t="str">
        <f>IF(E555="","",IF(SUMIFS('TRA TECH'!M:M,'TRA TECH'!J:J,D556,'TRA TECH'!I:I,F556,'TRA TECH'!H:H,E556)=0,"*",IF(_xlfn.XLOOKUP($A555,Selected_constraint!$A:$A,Selected_constraint!$D:$D)=1,"*",IF(SUMIFS('TRA TECH'!$M:$M,'TRA TECH'!$H:$H,E555,'TRA TECH'!$I:$I,F555)=0,"*",IF(SUMIFS('TRA RESID'!$P:$P,'TRA RESID'!$I:$I,G555,'TRA RESID'!$J:$J,D555,'TRA RESID'!$H:$H,E555)=0,"*","UC_"&amp;SUBSTITUTE(D555,"*","")&amp;"_"&amp;SUBSTITUTE(D555,"*","")&amp;"_"&amp;RIGHT(E555,3)&amp;"_"&amp;F555)))))</f>
        <v>*</v>
      </c>
      <c r="D555" s="17" t="s">
        <v>485</v>
      </c>
      <c r="E555" s="17" t="str">
        <f>_xlfn.XLOOKUP($A555,Selected_constraint!$A:$A,Selected_constraint!$B:$B)</f>
        <v>TRAETH</v>
      </c>
      <c r="F555" s="17" t="str">
        <f>_xlfn.XLOOKUP($A555,Selected_constraint!$A:$A,Selected_constraint!$C:$C)</f>
        <v>TRAFRESSHDMD</v>
      </c>
      <c r="G555" s="17" t="str">
        <f>F555</f>
        <v>TRAFRESSHDMD</v>
      </c>
      <c r="H555" s="18">
        <v>2019</v>
      </c>
      <c r="I555" s="18" t="s">
        <v>484</v>
      </c>
      <c r="J555" s="29" t="e">
        <f>-SUMIFS('TRA RESID'!$P:$P,'TRA RESID'!$I:$I,G556,'TRA RESID'!$J:$J,D556,'TRA RESID'!$H:$H,E556)/(SUMIFS('TRA RESID'!$P:$P,'TRA RESID'!$I:$I,G556,'TRA RESID'!$J:$J,D556,'TRA RESID'!$H:$H,E556)+SUMIFS('TRA RESID'!$P:$P,'TRA RESID'!$I:$I,G555,'TRA RESID'!$J:$J,D555,'TRA RESID'!$H:$H,E555))</f>
        <v>#DIV/0!</v>
      </c>
      <c r="K555" s="18">
        <v>0</v>
      </c>
      <c r="L555" s="18">
        <v>5</v>
      </c>
      <c r="N555" s="21">
        <v>1</v>
      </c>
    </row>
    <row r="556" spans="1:14" x14ac:dyDescent="0.25">
      <c r="C556" s="15" t="str">
        <f t="shared" ref="C556:C564" si="55">IF(C555="*",C555,"")</f>
        <v>*</v>
      </c>
      <c r="D556" s="17" t="s">
        <v>487</v>
      </c>
      <c r="E556" s="17" t="str">
        <f>E555</f>
        <v>TRAETH</v>
      </c>
      <c r="F556" s="17" t="str">
        <f>F555</f>
        <v>TRAFRESSHDMD</v>
      </c>
      <c r="G556" s="17" t="str">
        <f>G555</f>
        <v>TRAFRESSHDMD</v>
      </c>
      <c r="H556" s="18">
        <v>2019</v>
      </c>
      <c r="I556" s="18"/>
      <c r="J556" s="20" t="e">
        <f>1-(J555*-1)</f>
        <v>#DIV/0!</v>
      </c>
      <c r="K556" s="18"/>
      <c r="L556" s="18"/>
      <c r="N556" s="21"/>
    </row>
    <row r="557" spans="1:14" x14ac:dyDescent="0.25">
      <c r="C557" s="15" t="str">
        <f t="shared" si="55"/>
        <v>*</v>
      </c>
      <c r="D557" s="17" t="str">
        <f>D555</f>
        <v>*ICEV*</v>
      </c>
      <c r="E557" s="17" t="str">
        <f>E555</f>
        <v>TRAETH</v>
      </c>
      <c r="F557" s="17" t="str">
        <f>F555</f>
        <v>TRAFRESSHDMD</v>
      </c>
      <c r="G557" s="17" t="str">
        <f>G555</f>
        <v>TRAFRESSHDMD</v>
      </c>
      <c r="H557" s="18">
        <v>2025</v>
      </c>
      <c r="I557" s="18"/>
      <c r="J557" s="29" t="e">
        <f>IF(J555=0,-N557+1,J555*N557)</f>
        <v>#DIV/0!</v>
      </c>
      <c r="K557" s="18"/>
      <c r="L557" s="18"/>
      <c r="N557" s="21">
        <v>1.1000000000000001</v>
      </c>
    </row>
    <row r="558" spans="1:14" x14ac:dyDescent="0.25">
      <c r="C558" s="15" t="str">
        <f t="shared" si="55"/>
        <v>*</v>
      </c>
      <c r="D558" s="17" t="s">
        <v>487</v>
      </c>
      <c r="E558" s="17" t="str">
        <f>E557</f>
        <v>TRAETH</v>
      </c>
      <c r="F558" s="17" t="str">
        <f>F557</f>
        <v>TRAFRESSHDMD</v>
      </c>
      <c r="G558" s="17" t="str">
        <f>G557</f>
        <v>TRAFRESSHDMD</v>
      </c>
      <c r="H558" s="18">
        <v>2025</v>
      </c>
      <c r="I558" s="18"/>
      <c r="J558" s="20" t="e">
        <f>1-(J557*-1)</f>
        <v>#DIV/0!</v>
      </c>
      <c r="K558" s="18"/>
      <c r="L558" s="18"/>
      <c r="N558" s="21"/>
    </row>
    <row r="559" spans="1:14" x14ac:dyDescent="0.25">
      <c r="C559" s="15" t="str">
        <f t="shared" si="55"/>
        <v>*</v>
      </c>
      <c r="D559" s="17" t="str">
        <f>D557</f>
        <v>*ICEV*</v>
      </c>
      <c r="E559" s="17" t="str">
        <f>E557</f>
        <v>TRAETH</v>
      </c>
      <c r="F559" s="17" t="str">
        <f>F557</f>
        <v>TRAFRESSHDMD</v>
      </c>
      <c r="G559" s="17" t="str">
        <f>G557</f>
        <v>TRAFRESSHDMD</v>
      </c>
      <c r="H559" s="18">
        <v>2030</v>
      </c>
      <c r="I559" s="18"/>
      <c r="J559" s="29" t="e">
        <f>IF(J555=0,-N559+1,J555*N559)</f>
        <v>#DIV/0!</v>
      </c>
      <c r="K559" s="18"/>
      <c r="L559" s="18"/>
      <c r="N559" s="21">
        <v>1.2</v>
      </c>
    </row>
    <row r="560" spans="1:14" x14ac:dyDescent="0.25">
      <c r="C560" s="15" t="str">
        <f t="shared" si="55"/>
        <v>*</v>
      </c>
      <c r="D560" s="17" t="s">
        <v>487</v>
      </c>
      <c r="E560" s="17" t="str">
        <f>E559</f>
        <v>TRAETH</v>
      </c>
      <c r="F560" s="17" t="str">
        <f>F559</f>
        <v>TRAFRESSHDMD</v>
      </c>
      <c r="G560" s="17" t="str">
        <f>G559</f>
        <v>TRAFRESSHDMD</v>
      </c>
      <c r="H560" s="18">
        <v>2030</v>
      </c>
      <c r="I560" s="18"/>
      <c r="J560" s="20" t="e">
        <f>1-(J559*-1)</f>
        <v>#DIV/0!</v>
      </c>
      <c r="K560" s="18"/>
      <c r="L560" s="18"/>
      <c r="N560" s="21"/>
    </row>
    <row r="561" spans="1:14" x14ac:dyDescent="0.25">
      <c r="C561" s="15" t="str">
        <f t="shared" si="55"/>
        <v>*</v>
      </c>
      <c r="D561" s="17" t="str">
        <f>D559</f>
        <v>*ICEV*</v>
      </c>
      <c r="E561" s="17" t="str">
        <f>E559</f>
        <v>TRAETH</v>
      </c>
      <c r="F561" s="17" t="str">
        <f>F559</f>
        <v>TRAFRESSHDMD</v>
      </c>
      <c r="G561" s="17" t="str">
        <f>G559</f>
        <v>TRAFRESSHDMD</v>
      </c>
      <c r="H561" s="18">
        <v>2040</v>
      </c>
      <c r="I561" s="18"/>
      <c r="J561" s="29" t="e">
        <f>IF(J555=0,-N561+1,J555*N561)</f>
        <v>#DIV/0!</v>
      </c>
      <c r="K561" s="18"/>
      <c r="L561" s="18"/>
      <c r="N561" s="21">
        <v>1.3</v>
      </c>
    </row>
    <row r="562" spans="1:14" x14ac:dyDescent="0.25">
      <c r="C562" s="15" t="str">
        <f t="shared" si="55"/>
        <v>*</v>
      </c>
      <c r="D562" s="17" t="s">
        <v>487</v>
      </c>
      <c r="E562" s="17" t="str">
        <f>E561</f>
        <v>TRAETH</v>
      </c>
      <c r="F562" s="17" t="str">
        <f>F561</f>
        <v>TRAFRESSHDMD</v>
      </c>
      <c r="G562" s="17" t="str">
        <f>G561</f>
        <v>TRAFRESSHDMD</v>
      </c>
      <c r="H562" s="18">
        <v>2040</v>
      </c>
      <c r="I562" s="18"/>
      <c r="J562" s="20" t="e">
        <f>1-(J561*-1)</f>
        <v>#DIV/0!</v>
      </c>
      <c r="K562" s="18"/>
      <c r="L562" s="18"/>
      <c r="N562" s="21"/>
    </row>
    <row r="563" spans="1:14" x14ac:dyDescent="0.25">
      <c r="C563" s="15" t="str">
        <f t="shared" si="55"/>
        <v>*</v>
      </c>
      <c r="D563" s="17" t="str">
        <f>D561</f>
        <v>*ICEV*</v>
      </c>
      <c r="E563" s="17" t="str">
        <f>E561</f>
        <v>TRAETH</v>
      </c>
      <c r="F563" s="17" t="str">
        <f>F561</f>
        <v>TRAFRESSHDMD</v>
      </c>
      <c r="G563" s="17" t="str">
        <f>G561</f>
        <v>TRAFRESSHDMD</v>
      </c>
      <c r="H563" s="18">
        <v>2050</v>
      </c>
      <c r="I563" s="18"/>
      <c r="J563" s="29" t="e">
        <f>IF(J555=0,-N563+1,J555*N563)</f>
        <v>#DIV/0!</v>
      </c>
      <c r="K563" s="18"/>
      <c r="L563" s="18"/>
      <c r="N563" s="21">
        <v>1.4</v>
      </c>
    </row>
    <row r="564" spans="1:14" x14ac:dyDescent="0.25">
      <c r="C564" s="23" t="str">
        <f t="shared" si="55"/>
        <v>*</v>
      </c>
      <c r="D564" s="25" t="s">
        <v>487</v>
      </c>
      <c r="E564" s="25" t="str">
        <f>E563</f>
        <v>TRAETH</v>
      </c>
      <c r="F564" s="25" t="str">
        <f>F563</f>
        <v>TRAFRESSHDMD</v>
      </c>
      <c r="G564" s="25" t="str">
        <f>G563</f>
        <v>TRAFRESSHDMD</v>
      </c>
      <c r="H564" s="26">
        <v>2050</v>
      </c>
      <c r="I564" s="26"/>
      <c r="J564" s="27" t="e">
        <f>1-(J563*-1)</f>
        <v>#DIV/0!</v>
      </c>
      <c r="K564" s="26"/>
      <c r="L564" s="26"/>
      <c r="N564" s="28"/>
    </row>
    <row r="565" spans="1:14" x14ac:dyDescent="0.25">
      <c r="A565">
        <f>A555+1</f>
        <v>57</v>
      </c>
      <c r="C565" s="15" t="str">
        <f>IF(E565="","",IF(SUMIFS('TRA TECH'!M:M,'TRA TECH'!J:J,D566,'TRA TECH'!I:I,F566,'TRA TECH'!H:H,E566)=0,"*",IF(_xlfn.XLOOKUP($A565,Selected_constraint!$A:$A,Selected_constraint!$D:$D)=1,"*",IF(SUMIFS('TRA TECH'!$M:$M,'TRA TECH'!$H:$H,E565,'TRA TECH'!$I:$I,F565)=0,"*",IF(SUMIFS('TRA RESID'!$P:$P,'TRA RESID'!$I:$I,G565,'TRA RESID'!$J:$J,D565,'TRA RESID'!$H:$H,E565)=0,"*","UC_"&amp;SUBSTITUTE(D565,"*","")&amp;"_"&amp;SUBSTITUTE(D565,"*","")&amp;"_"&amp;RIGHT(E565,3)&amp;"_"&amp;F565)))))</f>
        <v>*</v>
      </c>
      <c r="D565" s="17" t="s">
        <v>485</v>
      </c>
      <c r="E565" s="17" t="str">
        <f>_xlfn.XLOOKUP($A565,Selected_constraint!$A:$A,Selected_constraint!$B:$B)</f>
        <v>TRADSL</v>
      </c>
      <c r="F565" s="17" t="str">
        <f>_xlfn.XLOOKUP($A565,Selected_constraint!$A:$A,Selected_constraint!$C:$C)</f>
        <v>TRAFRESSHDMD</v>
      </c>
      <c r="G565" s="17" t="str">
        <f>F565</f>
        <v>TRAFRESSHDMD</v>
      </c>
      <c r="H565" s="18">
        <v>2019</v>
      </c>
      <c r="I565" s="18" t="s">
        <v>484</v>
      </c>
      <c r="J565" s="29" t="e">
        <f>-SUMIFS('TRA RESID'!$P:$P,'TRA RESID'!$I:$I,G566,'TRA RESID'!$J:$J,D566,'TRA RESID'!$H:$H,E566)/(SUMIFS('TRA RESID'!$P:$P,'TRA RESID'!$I:$I,G566,'TRA RESID'!$J:$J,D566,'TRA RESID'!$H:$H,E566)+SUMIFS('TRA RESID'!$P:$P,'TRA RESID'!$I:$I,G565,'TRA RESID'!$J:$J,D565,'TRA RESID'!$H:$H,E565))</f>
        <v>#DIV/0!</v>
      </c>
      <c r="K565" s="18">
        <v>0</v>
      </c>
      <c r="L565" s="18">
        <v>5</v>
      </c>
      <c r="N565" s="21">
        <v>1</v>
      </c>
    </row>
    <row r="566" spans="1:14" x14ac:dyDescent="0.25">
      <c r="C566" s="15" t="str">
        <f t="shared" ref="C566:C574" si="56">IF(C565="*",C565,"")</f>
        <v>*</v>
      </c>
      <c r="D566" s="17" t="s">
        <v>487</v>
      </c>
      <c r="E566" s="17" t="str">
        <f>E565</f>
        <v>TRADSL</v>
      </c>
      <c r="F566" s="17" t="str">
        <f>F565</f>
        <v>TRAFRESSHDMD</v>
      </c>
      <c r="G566" s="17" t="str">
        <f>G565</f>
        <v>TRAFRESSHDMD</v>
      </c>
      <c r="H566" s="18">
        <v>2019</v>
      </c>
      <c r="I566" s="18"/>
      <c r="J566" s="20" t="e">
        <f>1-(J565*-1)</f>
        <v>#DIV/0!</v>
      </c>
      <c r="K566" s="18"/>
      <c r="L566" s="18"/>
      <c r="N566" s="21"/>
    </row>
    <row r="567" spans="1:14" x14ac:dyDescent="0.25">
      <c r="C567" s="15" t="str">
        <f t="shared" si="56"/>
        <v>*</v>
      </c>
      <c r="D567" s="17" t="str">
        <f>D565</f>
        <v>*ICEV*</v>
      </c>
      <c r="E567" s="17" t="str">
        <f>E565</f>
        <v>TRADSL</v>
      </c>
      <c r="F567" s="17" t="str">
        <f>F565</f>
        <v>TRAFRESSHDMD</v>
      </c>
      <c r="G567" s="17" t="str">
        <f>G565</f>
        <v>TRAFRESSHDMD</v>
      </c>
      <c r="H567" s="18">
        <v>2025</v>
      </c>
      <c r="I567" s="18"/>
      <c r="J567" s="29" t="e">
        <f>IF(J565=0,-N567+1,J565*N567)</f>
        <v>#DIV/0!</v>
      </c>
      <c r="K567" s="18"/>
      <c r="L567" s="18"/>
      <c r="N567" s="21">
        <v>1.1000000000000001</v>
      </c>
    </row>
    <row r="568" spans="1:14" x14ac:dyDescent="0.25">
      <c r="C568" s="15" t="str">
        <f t="shared" si="56"/>
        <v>*</v>
      </c>
      <c r="D568" s="17" t="s">
        <v>487</v>
      </c>
      <c r="E568" s="17" t="str">
        <f>E567</f>
        <v>TRADSL</v>
      </c>
      <c r="F568" s="17" t="str">
        <f>F567</f>
        <v>TRAFRESSHDMD</v>
      </c>
      <c r="G568" s="17" t="str">
        <f>G567</f>
        <v>TRAFRESSHDMD</v>
      </c>
      <c r="H568" s="18">
        <v>2025</v>
      </c>
      <c r="I568" s="18"/>
      <c r="J568" s="20" t="e">
        <f>1-(J567*-1)</f>
        <v>#DIV/0!</v>
      </c>
      <c r="K568" s="18"/>
      <c r="L568" s="18"/>
      <c r="N568" s="21"/>
    </row>
    <row r="569" spans="1:14" x14ac:dyDescent="0.25">
      <c r="C569" s="15" t="str">
        <f t="shared" si="56"/>
        <v>*</v>
      </c>
      <c r="D569" s="17" t="str">
        <f>D567</f>
        <v>*ICEV*</v>
      </c>
      <c r="E569" s="17" t="str">
        <f>E567</f>
        <v>TRADSL</v>
      </c>
      <c r="F569" s="17" t="str">
        <f>F567</f>
        <v>TRAFRESSHDMD</v>
      </c>
      <c r="G569" s="17" t="str">
        <f>G567</f>
        <v>TRAFRESSHDMD</v>
      </c>
      <c r="H569" s="18">
        <v>2030</v>
      </c>
      <c r="I569" s="18"/>
      <c r="J569" s="29" t="e">
        <f>IF(J565=0,-N569+1,J565*N569)</f>
        <v>#DIV/0!</v>
      </c>
      <c r="K569" s="18"/>
      <c r="L569" s="18"/>
      <c r="N569" s="21">
        <v>1.2</v>
      </c>
    </row>
    <row r="570" spans="1:14" x14ac:dyDescent="0.25">
      <c r="C570" s="15" t="str">
        <f t="shared" si="56"/>
        <v>*</v>
      </c>
      <c r="D570" s="17" t="s">
        <v>487</v>
      </c>
      <c r="E570" s="17" t="str">
        <f>E569</f>
        <v>TRADSL</v>
      </c>
      <c r="F570" s="17" t="str">
        <f>F569</f>
        <v>TRAFRESSHDMD</v>
      </c>
      <c r="G570" s="17" t="str">
        <f>G569</f>
        <v>TRAFRESSHDMD</v>
      </c>
      <c r="H570" s="18">
        <v>2030</v>
      </c>
      <c r="I570" s="18"/>
      <c r="J570" s="20" t="e">
        <f>1-(J569*-1)</f>
        <v>#DIV/0!</v>
      </c>
      <c r="K570" s="18"/>
      <c r="L570" s="18"/>
      <c r="N570" s="21"/>
    </row>
    <row r="571" spans="1:14" x14ac:dyDescent="0.25">
      <c r="C571" s="15" t="str">
        <f t="shared" si="56"/>
        <v>*</v>
      </c>
      <c r="D571" s="17" t="str">
        <f>D569</f>
        <v>*ICEV*</v>
      </c>
      <c r="E571" s="17" t="str">
        <f>E569</f>
        <v>TRADSL</v>
      </c>
      <c r="F571" s="17" t="str">
        <f>F569</f>
        <v>TRAFRESSHDMD</v>
      </c>
      <c r="G571" s="17" t="str">
        <f>G569</f>
        <v>TRAFRESSHDMD</v>
      </c>
      <c r="H571" s="18">
        <v>2040</v>
      </c>
      <c r="I571" s="18"/>
      <c r="J571" s="29" t="e">
        <f>IF(J565=0,-N571+1,J565*N571)</f>
        <v>#DIV/0!</v>
      </c>
      <c r="K571" s="18"/>
      <c r="L571" s="18"/>
      <c r="N571" s="21">
        <v>1.3</v>
      </c>
    </row>
    <row r="572" spans="1:14" x14ac:dyDescent="0.25">
      <c r="C572" s="15" t="str">
        <f t="shared" si="56"/>
        <v>*</v>
      </c>
      <c r="D572" s="17" t="s">
        <v>487</v>
      </c>
      <c r="E572" s="17" t="str">
        <f>E571</f>
        <v>TRADSL</v>
      </c>
      <c r="F572" s="17" t="str">
        <f>F571</f>
        <v>TRAFRESSHDMD</v>
      </c>
      <c r="G572" s="17" t="str">
        <f>G571</f>
        <v>TRAFRESSHDMD</v>
      </c>
      <c r="H572" s="18">
        <v>2040</v>
      </c>
      <c r="I572" s="18"/>
      <c r="J572" s="20" t="e">
        <f>1-(J571*-1)</f>
        <v>#DIV/0!</v>
      </c>
      <c r="K572" s="18"/>
      <c r="L572" s="18"/>
      <c r="N572" s="21"/>
    </row>
    <row r="573" spans="1:14" x14ac:dyDescent="0.25">
      <c r="C573" s="15" t="str">
        <f t="shared" si="56"/>
        <v>*</v>
      </c>
      <c r="D573" s="17" t="str">
        <f>D571</f>
        <v>*ICEV*</v>
      </c>
      <c r="E573" s="17" t="str">
        <f>E571</f>
        <v>TRADSL</v>
      </c>
      <c r="F573" s="17" t="str">
        <f>F571</f>
        <v>TRAFRESSHDMD</v>
      </c>
      <c r="G573" s="17" t="str">
        <f>G571</f>
        <v>TRAFRESSHDMD</v>
      </c>
      <c r="H573" s="18">
        <v>2050</v>
      </c>
      <c r="I573" s="18"/>
      <c r="J573" s="29" t="e">
        <f>IF(J565=0,-N573+1,J565*N573)</f>
        <v>#DIV/0!</v>
      </c>
      <c r="K573" s="18"/>
      <c r="L573" s="18"/>
      <c r="N573" s="21">
        <v>1.4</v>
      </c>
    </row>
    <row r="574" spans="1:14" x14ac:dyDescent="0.25">
      <c r="C574" s="23" t="str">
        <f t="shared" si="56"/>
        <v>*</v>
      </c>
      <c r="D574" s="25" t="s">
        <v>487</v>
      </c>
      <c r="E574" s="25" t="str">
        <f>E573</f>
        <v>TRADSL</v>
      </c>
      <c r="F574" s="25" t="str">
        <f>F573</f>
        <v>TRAFRESSHDMD</v>
      </c>
      <c r="G574" s="25" t="str">
        <f>G573</f>
        <v>TRAFRESSHDMD</v>
      </c>
      <c r="H574" s="26">
        <v>2050</v>
      </c>
      <c r="I574" s="26"/>
      <c r="J574" s="27" t="e">
        <f>1-(J573*-1)</f>
        <v>#DIV/0!</v>
      </c>
      <c r="K574" s="26"/>
      <c r="L574" s="26"/>
      <c r="N574" s="28"/>
    </row>
    <row r="575" spans="1:14" x14ac:dyDescent="0.25">
      <c r="A575">
        <f>A565+1</f>
        <v>58</v>
      </c>
      <c r="C575" s="15" t="str">
        <f>IF(E575="","",IF(SUMIFS('TRA TECH'!M:M,'TRA TECH'!J:J,D576,'TRA TECH'!I:I,F576,'TRA TECH'!H:H,E576)=0,"*",IF(_xlfn.XLOOKUP($A575,Selected_constraint!$A:$A,Selected_constraint!$D:$D)=1,"*",IF(SUMIFS('TRA TECH'!$M:$M,'TRA TECH'!$H:$H,E575,'TRA TECH'!$I:$I,F575)=0,"*",IF(SUMIFS('TRA RESID'!$P:$P,'TRA RESID'!$I:$I,G575,'TRA RESID'!$J:$J,D575,'TRA RESID'!$H:$H,E575)=0,"*","UC_"&amp;SUBSTITUTE(D575,"*","")&amp;"_"&amp;SUBSTITUTE(D575,"*","")&amp;"_"&amp;RIGHT(E575,3)&amp;"_"&amp;F575)))))</f>
        <v>*</v>
      </c>
      <c r="D575" s="17" t="s">
        <v>485</v>
      </c>
      <c r="E575" s="17" t="str">
        <f>_xlfn.XLOOKUP($A575,Selected_constraint!$A:$A,Selected_constraint!$B:$B)</f>
        <v>TRARDS</v>
      </c>
      <c r="F575" s="17" t="str">
        <f>_xlfn.XLOOKUP($A575,Selected_constraint!$A:$A,Selected_constraint!$C:$C)</f>
        <v>TRAFRESSHDMD</v>
      </c>
      <c r="G575" s="17" t="str">
        <f>F575</f>
        <v>TRAFRESSHDMD</v>
      </c>
      <c r="H575" s="18">
        <v>2019</v>
      </c>
      <c r="I575" s="18" t="s">
        <v>484</v>
      </c>
      <c r="J575" s="29" t="e">
        <f>-SUMIFS('TRA RESID'!$P:$P,'TRA RESID'!$I:$I,G576,'TRA RESID'!$J:$J,D576,'TRA RESID'!$H:$H,E576)/(SUMIFS('TRA RESID'!$P:$P,'TRA RESID'!$I:$I,G576,'TRA RESID'!$J:$J,D576,'TRA RESID'!$H:$H,E576)+SUMIFS('TRA RESID'!$P:$P,'TRA RESID'!$I:$I,G575,'TRA RESID'!$J:$J,D575,'TRA RESID'!$H:$H,E575))</f>
        <v>#DIV/0!</v>
      </c>
      <c r="K575" s="18">
        <v>0</v>
      </c>
      <c r="L575" s="18">
        <v>5</v>
      </c>
      <c r="N575" s="21">
        <v>1</v>
      </c>
    </row>
    <row r="576" spans="1:14" x14ac:dyDescent="0.25">
      <c r="C576" s="15" t="str">
        <f t="shared" ref="C576:C584" si="57">IF(C575="*",C575,"")</f>
        <v>*</v>
      </c>
      <c r="D576" s="17" t="s">
        <v>487</v>
      </c>
      <c r="E576" s="17" t="str">
        <f>E575</f>
        <v>TRARDS</v>
      </c>
      <c r="F576" s="17" t="str">
        <f>F575</f>
        <v>TRAFRESSHDMD</v>
      </c>
      <c r="G576" s="17" t="str">
        <f>G575</f>
        <v>TRAFRESSHDMD</v>
      </c>
      <c r="H576" s="18">
        <v>2019</v>
      </c>
      <c r="I576" s="18"/>
      <c r="J576" s="20" t="e">
        <f>1-(J575*-1)</f>
        <v>#DIV/0!</v>
      </c>
      <c r="K576" s="18"/>
      <c r="L576" s="18"/>
      <c r="N576" s="21"/>
    </row>
    <row r="577" spans="1:14" x14ac:dyDescent="0.25">
      <c r="C577" s="15" t="str">
        <f t="shared" si="57"/>
        <v>*</v>
      </c>
      <c r="D577" s="17" t="str">
        <f>D575</f>
        <v>*ICEV*</v>
      </c>
      <c r="E577" s="17" t="str">
        <f>E575</f>
        <v>TRARDS</v>
      </c>
      <c r="F577" s="17" t="str">
        <f>F575</f>
        <v>TRAFRESSHDMD</v>
      </c>
      <c r="G577" s="17" t="str">
        <f>G575</f>
        <v>TRAFRESSHDMD</v>
      </c>
      <c r="H577" s="18">
        <v>2025</v>
      </c>
      <c r="I577" s="18"/>
      <c r="J577" s="29" t="e">
        <f>IF(J575=0,-N577+1,J575*N577)</f>
        <v>#DIV/0!</v>
      </c>
      <c r="K577" s="18"/>
      <c r="L577" s="18"/>
      <c r="N577" s="21">
        <v>1.1000000000000001</v>
      </c>
    </row>
    <row r="578" spans="1:14" x14ac:dyDescent="0.25">
      <c r="C578" s="15" t="str">
        <f t="shared" si="57"/>
        <v>*</v>
      </c>
      <c r="D578" s="17" t="s">
        <v>487</v>
      </c>
      <c r="E578" s="17" t="str">
        <f>E577</f>
        <v>TRARDS</v>
      </c>
      <c r="F578" s="17" t="str">
        <f>F577</f>
        <v>TRAFRESSHDMD</v>
      </c>
      <c r="G578" s="17" t="str">
        <f>G577</f>
        <v>TRAFRESSHDMD</v>
      </c>
      <c r="H578" s="18">
        <v>2025</v>
      </c>
      <c r="I578" s="18"/>
      <c r="J578" s="20" t="e">
        <f>1-(J577*-1)</f>
        <v>#DIV/0!</v>
      </c>
      <c r="K578" s="18"/>
      <c r="L578" s="18"/>
      <c r="N578" s="21"/>
    </row>
    <row r="579" spans="1:14" x14ac:dyDescent="0.25">
      <c r="C579" s="15" t="str">
        <f t="shared" si="57"/>
        <v>*</v>
      </c>
      <c r="D579" s="17" t="str">
        <f>D577</f>
        <v>*ICEV*</v>
      </c>
      <c r="E579" s="17" t="str">
        <f>E577</f>
        <v>TRARDS</v>
      </c>
      <c r="F579" s="17" t="str">
        <f>F577</f>
        <v>TRAFRESSHDMD</v>
      </c>
      <c r="G579" s="17" t="str">
        <f>G577</f>
        <v>TRAFRESSHDMD</v>
      </c>
      <c r="H579" s="18">
        <v>2030</v>
      </c>
      <c r="I579" s="18"/>
      <c r="J579" s="29" t="e">
        <f>IF(J575=0,-N579+1,J575*N579)</f>
        <v>#DIV/0!</v>
      </c>
      <c r="K579" s="18"/>
      <c r="L579" s="18"/>
      <c r="N579" s="21">
        <v>1.2</v>
      </c>
    </row>
    <row r="580" spans="1:14" x14ac:dyDescent="0.25">
      <c r="C580" s="15" t="str">
        <f t="shared" si="57"/>
        <v>*</v>
      </c>
      <c r="D580" s="17" t="s">
        <v>487</v>
      </c>
      <c r="E580" s="17" t="str">
        <f>E579</f>
        <v>TRARDS</v>
      </c>
      <c r="F580" s="17" t="str">
        <f>F579</f>
        <v>TRAFRESSHDMD</v>
      </c>
      <c r="G580" s="17" t="str">
        <f>G579</f>
        <v>TRAFRESSHDMD</v>
      </c>
      <c r="H580" s="18">
        <v>2030</v>
      </c>
      <c r="I580" s="18"/>
      <c r="J580" s="20" t="e">
        <f>1-(J579*-1)</f>
        <v>#DIV/0!</v>
      </c>
      <c r="K580" s="18"/>
      <c r="L580" s="18"/>
      <c r="N580" s="21"/>
    </row>
    <row r="581" spans="1:14" x14ac:dyDescent="0.25">
      <c r="C581" s="15" t="str">
        <f t="shared" si="57"/>
        <v>*</v>
      </c>
      <c r="D581" s="17" t="str">
        <f>D579</f>
        <v>*ICEV*</v>
      </c>
      <c r="E581" s="17" t="str">
        <f>E579</f>
        <v>TRARDS</v>
      </c>
      <c r="F581" s="17" t="str">
        <f>F579</f>
        <v>TRAFRESSHDMD</v>
      </c>
      <c r="G581" s="17" t="str">
        <f>G579</f>
        <v>TRAFRESSHDMD</v>
      </c>
      <c r="H581" s="18">
        <v>2040</v>
      </c>
      <c r="I581" s="18"/>
      <c r="J581" s="29" t="e">
        <f>IF(J575=0,-N581+1,J575*N581)</f>
        <v>#DIV/0!</v>
      </c>
      <c r="K581" s="18"/>
      <c r="L581" s="18"/>
      <c r="N581" s="21">
        <v>1.3</v>
      </c>
    </row>
    <row r="582" spans="1:14" x14ac:dyDescent="0.25">
      <c r="C582" s="15" t="str">
        <f t="shared" si="57"/>
        <v>*</v>
      </c>
      <c r="D582" s="17" t="s">
        <v>487</v>
      </c>
      <c r="E582" s="17" t="str">
        <f>E581</f>
        <v>TRARDS</v>
      </c>
      <c r="F582" s="17" t="str">
        <f>F581</f>
        <v>TRAFRESSHDMD</v>
      </c>
      <c r="G582" s="17" t="str">
        <f>G581</f>
        <v>TRAFRESSHDMD</v>
      </c>
      <c r="H582" s="18">
        <v>2040</v>
      </c>
      <c r="I582" s="18"/>
      <c r="J582" s="20" t="e">
        <f>1-(J581*-1)</f>
        <v>#DIV/0!</v>
      </c>
      <c r="K582" s="18"/>
      <c r="L582" s="18"/>
      <c r="N582" s="21"/>
    </row>
    <row r="583" spans="1:14" x14ac:dyDescent="0.25">
      <c r="C583" s="15" t="str">
        <f t="shared" si="57"/>
        <v>*</v>
      </c>
      <c r="D583" s="17" t="str">
        <f>D581</f>
        <v>*ICEV*</v>
      </c>
      <c r="E583" s="17" t="str">
        <f>E581</f>
        <v>TRARDS</v>
      </c>
      <c r="F583" s="17" t="str">
        <f>F581</f>
        <v>TRAFRESSHDMD</v>
      </c>
      <c r="G583" s="17" t="str">
        <f>G581</f>
        <v>TRAFRESSHDMD</v>
      </c>
      <c r="H583" s="18">
        <v>2050</v>
      </c>
      <c r="I583" s="18"/>
      <c r="J583" s="29" t="e">
        <f>IF(J575=0,-N583+1,J575*N583)</f>
        <v>#DIV/0!</v>
      </c>
      <c r="K583" s="18"/>
      <c r="L583" s="18"/>
      <c r="N583" s="21">
        <v>1.4</v>
      </c>
    </row>
    <row r="584" spans="1:14" x14ac:dyDescent="0.25">
      <c r="C584" s="23" t="str">
        <f t="shared" si="57"/>
        <v>*</v>
      </c>
      <c r="D584" s="25" t="s">
        <v>487</v>
      </c>
      <c r="E584" s="25" t="str">
        <f>E583</f>
        <v>TRARDS</v>
      </c>
      <c r="F584" s="25" t="str">
        <f>F583</f>
        <v>TRAFRESSHDMD</v>
      </c>
      <c r="G584" s="25" t="str">
        <f>G583</f>
        <v>TRAFRESSHDMD</v>
      </c>
      <c r="H584" s="26">
        <v>2050</v>
      </c>
      <c r="I584" s="26"/>
      <c r="J584" s="27" t="e">
        <f>1-(J583*-1)</f>
        <v>#DIV/0!</v>
      </c>
      <c r="K584" s="26"/>
      <c r="L584" s="26"/>
      <c r="N584" s="28"/>
    </row>
    <row r="585" spans="1:14" x14ac:dyDescent="0.25">
      <c r="A585">
        <f>A575+1</f>
        <v>59</v>
      </c>
      <c r="C585" s="15" t="str">
        <f>IF(E585="","",IF(SUMIFS('TRA TECH'!M:M,'TRA TECH'!J:J,D586,'TRA TECH'!I:I,F586,'TRA TECH'!H:H,E586)=0,"*",IF(_xlfn.XLOOKUP($A585,Selected_constraint!$A:$A,Selected_constraint!$D:$D)=1,"*",IF(SUMIFS('TRA TECH'!$M:$M,'TRA TECH'!$H:$H,E585,'TRA TECH'!$I:$I,F585)=0,"*",IF(SUMIFS('TRA RESID'!$P:$P,'TRA RESID'!$I:$I,G585,'TRA RESID'!$J:$J,D585,'TRA RESID'!$H:$H,E585)=0,"*","UC_"&amp;SUBSTITUTE(D585,"*","")&amp;"_"&amp;SUBSTITUTE(D585,"*","")&amp;"_"&amp;RIGHT(E585,3)&amp;"_"&amp;F585)))))</f>
        <v>*</v>
      </c>
      <c r="D585" s="17" t="s">
        <v>485</v>
      </c>
      <c r="E585" s="17" t="str">
        <f>_xlfn.XLOOKUP($A585,Selected_constraint!$A:$A,Selected_constraint!$B:$B)</f>
        <v>TRABDS</v>
      </c>
      <c r="F585" s="17" t="str">
        <f>_xlfn.XLOOKUP($A585,Selected_constraint!$A:$A,Selected_constraint!$C:$C)</f>
        <v>TRAFRESSHDMD</v>
      </c>
      <c r="G585" s="17" t="str">
        <f>F585</f>
        <v>TRAFRESSHDMD</v>
      </c>
      <c r="H585" s="18">
        <v>2019</v>
      </c>
      <c r="I585" s="18" t="s">
        <v>484</v>
      </c>
      <c r="J585" s="29" t="e">
        <f>-SUMIFS('TRA RESID'!$P:$P,'TRA RESID'!$I:$I,G586,'TRA RESID'!$J:$J,D586,'TRA RESID'!$H:$H,E586)/(SUMIFS('TRA RESID'!$P:$P,'TRA RESID'!$I:$I,G586,'TRA RESID'!$J:$J,D586,'TRA RESID'!$H:$H,E586)+SUMIFS('TRA RESID'!$P:$P,'TRA RESID'!$I:$I,G585,'TRA RESID'!$J:$J,D585,'TRA RESID'!$H:$H,E585))</f>
        <v>#DIV/0!</v>
      </c>
      <c r="K585" s="18">
        <v>0</v>
      </c>
      <c r="L585" s="18">
        <v>5</v>
      </c>
      <c r="N585" s="21">
        <v>1</v>
      </c>
    </row>
    <row r="586" spans="1:14" x14ac:dyDescent="0.25">
      <c r="C586" s="15" t="str">
        <f t="shared" ref="C586:C594" si="58">IF(C585="*",C585,"")</f>
        <v>*</v>
      </c>
      <c r="D586" s="17" t="s">
        <v>487</v>
      </c>
      <c r="E586" s="17" t="str">
        <f>E585</f>
        <v>TRABDS</v>
      </c>
      <c r="F586" s="17" t="str">
        <f>F585</f>
        <v>TRAFRESSHDMD</v>
      </c>
      <c r="G586" s="17" t="str">
        <f>G585</f>
        <v>TRAFRESSHDMD</v>
      </c>
      <c r="H586" s="18">
        <v>2019</v>
      </c>
      <c r="I586" s="18"/>
      <c r="J586" s="20" t="e">
        <f>1-(J585*-1)</f>
        <v>#DIV/0!</v>
      </c>
      <c r="K586" s="18"/>
      <c r="L586" s="18"/>
      <c r="N586" s="21"/>
    </row>
    <row r="587" spans="1:14" x14ac:dyDescent="0.25">
      <c r="C587" s="15" t="str">
        <f t="shared" si="58"/>
        <v>*</v>
      </c>
      <c r="D587" s="17" t="str">
        <f>D585</f>
        <v>*ICEV*</v>
      </c>
      <c r="E587" s="17" t="str">
        <f>E585</f>
        <v>TRABDS</v>
      </c>
      <c r="F587" s="17" t="str">
        <f>F585</f>
        <v>TRAFRESSHDMD</v>
      </c>
      <c r="G587" s="17" t="str">
        <f>G585</f>
        <v>TRAFRESSHDMD</v>
      </c>
      <c r="H587" s="18">
        <v>2025</v>
      </c>
      <c r="I587" s="18"/>
      <c r="J587" s="29" t="e">
        <f>IF(J585=0,-N587+1,J585*N587)</f>
        <v>#DIV/0!</v>
      </c>
      <c r="K587" s="18"/>
      <c r="L587" s="18"/>
      <c r="N587" s="21">
        <v>1.1000000000000001</v>
      </c>
    </row>
    <row r="588" spans="1:14" x14ac:dyDescent="0.25">
      <c r="C588" s="15" t="str">
        <f t="shared" si="58"/>
        <v>*</v>
      </c>
      <c r="D588" s="17" t="s">
        <v>487</v>
      </c>
      <c r="E588" s="17" t="str">
        <f>E587</f>
        <v>TRABDS</v>
      </c>
      <c r="F588" s="17" t="str">
        <f>F587</f>
        <v>TRAFRESSHDMD</v>
      </c>
      <c r="G588" s="17" t="str">
        <f>G587</f>
        <v>TRAFRESSHDMD</v>
      </c>
      <c r="H588" s="18">
        <v>2025</v>
      </c>
      <c r="I588" s="18"/>
      <c r="J588" s="20" t="e">
        <f>1-(J587*-1)</f>
        <v>#DIV/0!</v>
      </c>
      <c r="K588" s="18"/>
      <c r="L588" s="18"/>
      <c r="N588" s="21"/>
    </row>
    <row r="589" spans="1:14" x14ac:dyDescent="0.25">
      <c r="C589" s="15" t="str">
        <f t="shared" si="58"/>
        <v>*</v>
      </c>
      <c r="D589" s="17" t="str">
        <f>D587</f>
        <v>*ICEV*</v>
      </c>
      <c r="E589" s="17" t="str">
        <f>E587</f>
        <v>TRABDS</v>
      </c>
      <c r="F589" s="17" t="str">
        <f>F587</f>
        <v>TRAFRESSHDMD</v>
      </c>
      <c r="G589" s="17" t="str">
        <f>G587</f>
        <v>TRAFRESSHDMD</v>
      </c>
      <c r="H589" s="18">
        <v>2030</v>
      </c>
      <c r="I589" s="18"/>
      <c r="J589" s="29" t="e">
        <f>IF(J585=0,-N589+1,J585*N589)</f>
        <v>#DIV/0!</v>
      </c>
      <c r="K589" s="18"/>
      <c r="L589" s="18"/>
      <c r="N589" s="21">
        <v>1.2</v>
      </c>
    </row>
    <row r="590" spans="1:14" x14ac:dyDescent="0.25">
      <c r="C590" s="15" t="str">
        <f t="shared" si="58"/>
        <v>*</v>
      </c>
      <c r="D590" s="17" t="s">
        <v>487</v>
      </c>
      <c r="E590" s="17" t="str">
        <f>E589</f>
        <v>TRABDS</v>
      </c>
      <c r="F590" s="17" t="str">
        <f>F589</f>
        <v>TRAFRESSHDMD</v>
      </c>
      <c r="G590" s="17" t="str">
        <f>G589</f>
        <v>TRAFRESSHDMD</v>
      </c>
      <c r="H590" s="18">
        <v>2030</v>
      </c>
      <c r="I590" s="18"/>
      <c r="J590" s="20" t="e">
        <f>1-(J589*-1)</f>
        <v>#DIV/0!</v>
      </c>
      <c r="K590" s="18"/>
      <c r="L590" s="18"/>
      <c r="N590" s="21"/>
    </row>
    <row r="591" spans="1:14" x14ac:dyDescent="0.25">
      <c r="C591" s="15" t="str">
        <f t="shared" si="58"/>
        <v>*</v>
      </c>
      <c r="D591" s="17" t="str">
        <f>D589</f>
        <v>*ICEV*</v>
      </c>
      <c r="E591" s="17" t="str">
        <f>E589</f>
        <v>TRABDS</v>
      </c>
      <c r="F591" s="17" t="str">
        <f>F589</f>
        <v>TRAFRESSHDMD</v>
      </c>
      <c r="G591" s="17" t="str">
        <f>G589</f>
        <v>TRAFRESSHDMD</v>
      </c>
      <c r="H591" s="18">
        <v>2040</v>
      </c>
      <c r="I591" s="18"/>
      <c r="J591" s="29" t="e">
        <f>IF(J585=0,-N591+1,J585*N591)</f>
        <v>#DIV/0!</v>
      </c>
      <c r="K591" s="18"/>
      <c r="L591" s="18"/>
      <c r="N591" s="21">
        <v>1.3</v>
      </c>
    </row>
    <row r="592" spans="1:14" x14ac:dyDescent="0.25">
      <c r="C592" s="15" t="str">
        <f t="shared" si="58"/>
        <v>*</v>
      </c>
      <c r="D592" s="17" t="s">
        <v>487</v>
      </c>
      <c r="E592" s="17" t="str">
        <f>E591</f>
        <v>TRABDS</v>
      </c>
      <c r="F592" s="17" t="str">
        <f>F591</f>
        <v>TRAFRESSHDMD</v>
      </c>
      <c r="G592" s="17" t="str">
        <f>G591</f>
        <v>TRAFRESSHDMD</v>
      </c>
      <c r="H592" s="18">
        <v>2040</v>
      </c>
      <c r="I592" s="18"/>
      <c r="J592" s="20" t="e">
        <f>1-(J591*-1)</f>
        <v>#DIV/0!</v>
      </c>
      <c r="K592" s="18"/>
      <c r="L592" s="18"/>
      <c r="N592" s="21"/>
    </row>
    <row r="593" spans="1:14" x14ac:dyDescent="0.25">
      <c r="C593" s="15" t="str">
        <f t="shared" si="58"/>
        <v>*</v>
      </c>
      <c r="D593" s="17" t="str">
        <f>D591</f>
        <v>*ICEV*</v>
      </c>
      <c r="E593" s="17" t="str">
        <f>E591</f>
        <v>TRABDS</v>
      </c>
      <c r="F593" s="17" t="str">
        <f>F591</f>
        <v>TRAFRESSHDMD</v>
      </c>
      <c r="G593" s="17" t="str">
        <f>G591</f>
        <v>TRAFRESSHDMD</v>
      </c>
      <c r="H593" s="18">
        <v>2050</v>
      </c>
      <c r="I593" s="18"/>
      <c r="J593" s="29" t="e">
        <f>IF(J585=0,-N593+1,J585*N593)</f>
        <v>#DIV/0!</v>
      </c>
      <c r="K593" s="18"/>
      <c r="L593" s="18"/>
      <c r="N593" s="21">
        <v>1.4</v>
      </c>
    </row>
    <row r="594" spans="1:14" x14ac:dyDescent="0.25">
      <c r="C594" s="23" t="str">
        <f t="shared" si="58"/>
        <v>*</v>
      </c>
      <c r="D594" s="25" t="s">
        <v>487</v>
      </c>
      <c r="E594" s="25" t="str">
        <f>E593</f>
        <v>TRABDS</v>
      </c>
      <c r="F594" s="25" t="str">
        <f>F593</f>
        <v>TRAFRESSHDMD</v>
      </c>
      <c r="G594" s="25" t="str">
        <f>G593</f>
        <v>TRAFRESSHDMD</v>
      </c>
      <c r="H594" s="26">
        <v>2050</v>
      </c>
      <c r="I594" s="26"/>
      <c r="J594" s="27" t="e">
        <f>1-(J593*-1)</f>
        <v>#DIV/0!</v>
      </c>
      <c r="K594" s="26"/>
      <c r="L594" s="26"/>
      <c r="N594" s="28"/>
    </row>
    <row r="595" spans="1:14" x14ac:dyDescent="0.25">
      <c r="A595">
        <f>A585+1</f>
        <v>60</v>
      </c>
      <c r="C595" s="15" t="str">
        <f>IF(E595="","",IF(SUMIFS('TRA TECH'!M:M,'TRA TECH'!J:J,D596,'TRA TECH'!I:I,F596,'TRA TECH'!H:H,E596)=0,"*",IF(_xlfn.XLOOKUP($A595,Selected_constraint!$A:$A,Selected_constraint!$D:$D)=1,"*",IF(SUMIFS('TRA TECH'!$M:$M,'TRA TECH'!$H:$H,E595,'TRA TECH'!$I:$I,F595)=0,"*",IF(SUMIFS('TRA RESID'!$P:$P,'TRA RESID'!$I:$I,G595,'TRA RESID'!$J:$J,D595,'TRA RESID'!$H:$H,E595)=0,"*","UC_"&amp;SUBSTITUTE(D595,"*","")&amp;"_"&amp;SUBSTITUTE(D595,"*","")&amp;"_"&amp;RIGHT(E595,3)&amp;"_"&amp;F595)))))</f>
        <v>*</v>
      </c>
      <c r="D595" s="17" t="s">
        <v>485</v>
      </c>
      <c r="E595" s="17" t="str">
        <f>_xlfn.XLOOKUP($A595,Selected_constraint!$A:$A,Selected_constraint!$B:$B)</f>
        <v>TRACNG</v>
      </c>
      <c r="F595" s="17" t="str">
        <f>_xlfn.XLOOKUP($A595,Selected_constraint!$A:$A,Selected_constraint!$C:$C)</f>
        <v>TRAFRESSHDMD</v>
      </c>
      <c r="G595" s="17" t="str">
        <f>F595</f>
        <v>TRAFRESSHDMD</v>
      </c>
      <c r="H595" s="18">
        <v>2019</v>
      </c>
      <c r="I595" s="18" t="s">
        <v>484</v>
      </c>
      <c r="J595" s="29" t="e">
        <f>-SUMIFS('TRA RESID'!$P:$P,'TRA RESID'!$I:$I,G596,'TRA RESID'!$J:$J,D596,'TRA RESID'!$H:$H,E596)/(SUMIFS('TRA RESID'!$P:$P,'TRA RESID'!$I:$I,G596,'TRA RESID'!$J:$J,D596,'TRA RESID'!$H:$H,E596)+SUMIFS('TRA RESID'!$P:$P,'TRA RESID'!$I:$I,G595,'TRA RESID'!$J:$J,D595,'TRA RESID'!$H:$H,E595))</f>
        <v>#DIV/0!</v>
      </c>
      <c r="K595" s="18">
        <v>0</v>
      </c>
      <c r="L595" s="18">
        <v>5</v>
      </c>
      <c r="N595" s="21">
        <v>1</v>
      </c>
    </row>
    <row r="596" spans="1:14" x14ac:dyDescent="0.25">
      <c r="C596" s="15" t="str">
        <f t="shared" ref="C596:C604" si="59">IF(C595="*",C595,"")</f>
        <v>*</v>
      </c>
      <c r="D596" s="17" t="s">
        <v>487</v>
      </c>
      <c r="E596" s="17" t="str">
        <f>E595</f>
        <v>TRACNG</v>
      </c>
      <c r="F596" s="17" t="str">
        <f>F595</f>
        <v>TRAFRESSHDMD</v>
      </c>
      <c r="G596" s="17" t="str">
        <f>G595</f>
        <v>TRAFRESSHDMD</v>
      </c>
      <c r="H596" s="18">
        <v>2019</v>
      </c>
      <c r="I596" s="18"/>
      <c r="J596" s="20" t="e">
        <f>1-(J595*-1)</f>
        <v>#DIV/0!</v>
      </c>
      <c r="K596" s="18"/>
      <c r="L596" s="18"/>
      <c r="N596" s="21"/>
    </row>
    <row r="597" spans="1:14" x14ac:dyDescent="0.25">
      <c r="C597" s="15" t="str">
        <f t="shared" si="59"/>
        <v>*</v>
      </c>
      <c r="D597" s="17" t="str">
        <f>D595</f>
        <v>*ICEV*</v>
      </c>
      <c r="E597" s="17" t="str">
        <f>E595</f>
        <v>TRACNG</v>
      </c>
      <c r="F597" s="17" t="str">
        <f>F595</f>
        <v>TRAFRESSHDMD</v>
      </c>
      <c r="G597" s="17" t="str">
        <f>G595</f>
        <v>TRAFRESSHDMD</v>
      </c>
      <c r="H597" s="18">
        <v>2025</v>
      </c>
      <c r="I597" s="18"/>
      <c r="J597" s="29" t="e">
        <f>IF(J595=0,-N597+1,J595*N597)</f>
        <v>#DIV/0!</v>
      </c>
      <c r="K597" s="18"/>
      <c r="L597" s="18"/>
      <c r="N597" s="21">
        <v>1.1000000000000001</v>
      </c>
    </row>
    <row r="598" spans="1:14" x14ac:dyDescent="0.25">
      <c r="C598" s="15" t="str">
        <f t="shared" si="59"/>
        <v>*</v>
      </c>
      <c r="D598" s="17" t="s">
        <v>487</v>
      </c>
      <c r="E598" s="17" t="str">
        <f>E597</f>
        <v>TRACNG</v>
      </c>
      <c r="F598" s="17" t="str">
        <f>F597</f>
        <v>TRAFRESSHDMD</v>
      </c>
      <c r="G598" s="17" t="str">
        <f>G597</f>
        <v>TRAFRESSHDMD</v>
      </c>
      <c r="H598" s="18">
        <v>2025</v>
      </c>
      <c r="I598" s="18"/>
      <c r="J598" s="20" t="e">
        <f>1-(J597*-1)</f>
        <v>#DIV/0!</v>
      </c>
      <c r="K598" s="18"/>
      <c r="L598" s="18"/>
      <c r="N598" s="21"/>
    </row>
    <row r="599" spans="1:14" x14ac:dyDescent="0.25">
      <c r="C599" s="15" t="str">
        <f t="shared" si="59"/>
        <v>*</v>
      </c>
      <c r="D599" s="17" t="str">
        <f>D597</f>
        <v>*ICEV*</v>
      </c>
      <c r="E599" s="17" t="str">
        <f>E597</f>
        <v>TRACNG</v>
      </c>
      <c r="F599" s="17" t="str">
        <f>F597</f>
        <v>TRAFRESSHDMD</v>
      </c>
      <c r="G599" s="17" t="str">
        <f>G597</f>
        <v>TRAFRESSHDMD</v>
      </c>
      <c r="H599" s="18">
        <v>2030</v>
      </c>
      <c r="I599" s="18"/>
      <c r="J599" s="29" t="e">
        <f>IF(J595=0,-N599+1,J595*N599)</f>
        <v>#DIV/0!</v>
      </c>
      <c r="K599" s="18"/>
      <c r="L599" s="18"/>
      <c r="N599" s="21">
        <v>1.2</v>
      </c>
    </row>
    <row r="600" spans="1:14" x14ac:dyDescent="0.25">
      <c r="C600" s="15" t="str">
        <f t="shared" si="59"/>
        <v>*</v>
      </c>
      <c r="D600" s="17" t="s">
        <v>487</v>
      </c>
      <c r="E600" s="17" t="str">
        <f>E599</f>
        <v>TRACNG</v>
      </c>
      <c r="F600" s="17" t="str">
        <f>F599</f>
        <v>TRAFRESSHDMD</v>
      </c>
      <c r="G600" s="17" t="str">
        <f>G599</f>
        <v>TRAFRESSHDMD</v>
      </c>
      <c r="H600" s="18">
        <v>2030</v>
      </c>
      <c r="I600" s="18"/>
      <c r="J600" s="20" t="e">
        <f>1-(J599*-1)</f>
        <v>#DIV/0!</v>
      </c>
      <c r="K600" s="18"/>
      <c r="L600" s="18"/>
      <c r="N600" s="21"/>
    </row>
    <row r="601" spans="1:14" x14ac:dyDescent="0.25">
      <c r="C601" s="15" t="str">
        <f t="shared" si="59"/>
        <v>*</v>
      </c>
      <c r="D601" s="17" t="str">
        <f>D599</f>
        <v>*ICEV*</v>
      </c>
      <c r="E601" s="17" t="str">
        <f>E599</f>
        <v>TRACNG</v>
      </c>
      <c r="F601" s="17" t="str">
        <f>F599</f>
        <v>TRAFRESSHDMD</v>
      </c>
      <c r="G601" s="17" t="str">
        <f>G599</f>
        <v>TRAFRESSHDMD</v>
      </c>
      <c r="H601" s="18">
        <v>2040</v>
      </c>
      <c r="I601" s="18"/>
      <c r="J601" s="29" t="e">
        <f>IF(J595=0,-N601+1,J595*N601)</f>
        <v>#DIV/0!</v>
      </c>
      <c r="K601" s="18"/>
      <c r="L601" s="18"/>
      <c r="N601" s="21">
        <v>1.3</v>
      </c>
    </row>
    <row r="602" spans="1:14" x14ac:dyDescent="0.25">
      <c r="C602" s="15" t="str">
        <f t="shared" si="59"/>
        <v>*</v>
      </c>
      <c r="D602" s="17" t="s">
        <v>487</v>
      </c>
      <c r="E602" s="17" t="str">
        <f>E601</f>
        <v>TRACNG</v>
      </c>
      <c r="F602" s="17" t="str">
        <f>F601</f>
        <v>TRAFRESSHDMD</v>
      </c>
      <c r="G602" s="17" t="str">
        <f>G601</f>
        <v>TRAFRESSHDMD</v>
      </c>
      <c r="H602" s="18">
        <v>2040</v>
      </c>
      <c r="I602" s="18"/>
      <c r="J602" s="20" t="e">
        <f>1-(J601*-1)</f>
        <v>#DIV/0!</v>
      </c>
      <c r="K602" s="18"/>
      <c r="L602" s="18"/>
      <c r="N602" s="21"/>
    </row>
    <row r="603" spans="1:14" x14ac:dyDescent="0.25">
      <c r="C603" s="15" t="str">
        <f t="shared" si="59"/>
        <v>*</v>
      </c>
      <c r="D603" s="17" t="str">
        <f>D601</f>
        <v>*ICEV*</v>
      </c>
      <c r="E603" s="17" t="str">
        <f>E601</f>
        <v>TRACNG</v>
      </c>
      <c r="F603" s="17" t="str">
        <f>F601</f>
        <v>TRAFRESSHDMD</v>
      </c>
      <c r="G603" s="17" t="str">
        <f>G601</f>
        <v>TRAFRESSHDMD</v>
      </c>
      <c r="H603" s="18">
        <v>2050</v>
      </c>
      <c r="I603" s="18"/>
      <c r="J603" s="29" t="e">
        <f>IF(J595=0,-N603+1,J595*N603)</f>
        <v>#DIV/0!</v>
      </c>
      <c r="K603" s="18"/>
      <c r="L603" s="18"/>
      <c r="N603" s="21">
        <v>1.4</v>
      </c>
    </row>
    <row r="604" spans="1:14" x14ac:dyDescent="0.25">
      <c r="C604" s="23" t="str">
        <f t="shared" si="59"/>
        <v>*</v>
      </c>
      <c r="D604" s="25" t="s">
        <v>487</v>
      </c>
      <c r="E604" s="25" t="str">
        <f>E603</f>
        <v>TRACNG</v>
      </c>
      <c r="F604" s="25" t="str">
        <f>F603</f>
        <v>TRAFRESSHDMD</v>
      </c>
      <c r="G604" s="25" t="str">
        <f>G603</f>
        <v>TRAFRESSHDMD</v>
      </c>
      <c r="H604" s="26">
        <v>2050</v>
      </c>
      <c r="I604" s="26"/>
      <c r="J604" s="27" t="e">
        <f>1-(J603*-1)</f>
        <v>#DIV/0!</v>
      </c>
      <c r="K604" s="26"/>
      <c r="L604" s="26"/>
      <c r="N604" s="28"/>
    </row>
    <row r="605" spans="1:14" x14ac:dyDescent="0.25">
      <c r="A605">
        <f>A595+1</f>
        <v>61</v>
      </c>
      <c r="C605" s="15" t="str">
        <f>IF(E605="","",IF(SUMIFS('TRA TECH'!M:M,'TRA TECH'!J:J,D606,'TRA TECH'!I:I,F606,'TRA TECH'!H:H,E606)=0,"*",IF(_xlfn.XLOOKUP($A605,Selected_constraint!$A:$A,Selected_constraint!$D:$D)=1,"*",IF(SUMIFS('TRA TECH'!$M:$M,'TRA TECH'!$H:$H,E605,'TRA TECH'!$I:$I,F605)=0,"*",IF(SUMIFS('TRA RESID'!$P:$P,'TRA RESID'!$I:$I,G605,'TRA RESID'!$J:$J,D605,'TRA RESID'!$H:$H,E605)=0,"*","UC_"&amp;SUBSTITUTE(D605,"*","")&amp;"_"&amp;SUBSTITUTE(D605,"*","")&amp;"_"&amp;RIGHT(E605,3)&amp;"_"&amp;F605)))))</f>
        <v>*</v>
      </c>
      <c r="D605" s="17" t="s">
        <v>485</v>
      </c>
      <c r="E605" s="17" t="str">
        <f>_xlfn.XLOOKUP($A605,Selected_constraint!$A:$A,Selected_constraint!$B:$B)</f>
        <v>TRARNG</v>
      </c>
      <c r="F605" s="17" t="str">
        <f>_xlfn.XLOOKUP($A605,Selected_constraint!$A:$A,Selected_constraint!$C:$C)</f>
        <v>TRAFRESSHDMD</v>
      </c>
      <c r="G605" s="17" t="str">
        <f>F605</f>
        <v>TRAFRESSHDMD</v>
      </c>
      <c r="H605" s="18">
        <v>2019</v>
      </c>
      <c r="I605" s="18" t="s">
        <v>484</v>
      </c>
      <c r="J605" s="29" t="e">
        <f>-SUMIFS('TRA RESID'!$P:$P,'TRA RESID'!$I:$I,G606,'TRA RESID'!$J:$J,D606,'TRA RESID'!$H:$H,E606)/(SUMIFS('TRA RESID'!$P:$P,'TRA RESID'!$I:$I,G606,'TRA RESID'!$J:$J,D606,'TRA RESID'!$H:$H,E606)+SUMIFS('TRA RESID'!$P:$P,'TRA RESID'!$I:$I,G605,'TRA RESID'!$J:$J,D605,'TRA RESID'!$H:$H,E605))</f>
        <v>#DIV/0!</v>
      </c>
      <c r="K605" s="18">
        <v>0</v>
      </c>
      <c r="L605" s="18">
        <v>5</v>
      </c>
      <c r="N605" s="21">
        <v>1</v>
      </c>
    </row>
    <row r="606" spans="1:14" x14ac:dyDescent="0.25">
      <c r="C606" s="15" t="str">
        <f t="shared" ref="C606:C614" si="60">IF(C605="*",C605,"")</f>
        <v>*</v>
      </c>
      <c r="D606" s="17" t="s">
        <v>487</v>
      </c>
      <c r="E606" s="17" t="str">
        <f>E605</f>
        <v>TRARNG</v>
      </c>
      <c r="F606" s="17" t="str">
        <f>F605</f>
        <v>TRAFRESSHDMD</v>
      </c>
      <c r="G606" s="17" t="str">
        <f>G605</f>
        <v>TRAFRESSHDMD</v>
      </c>
      <c r="H606" s="18">
        <v>2019</v>
      </c>
      <c r="I606" s="18"/>
      <c r="J606" s="20" t="e">
        <f>1-(J605*-1)</f>
        <v>#DIV/0!</v>
      </c>
      <c r="K606" s="18"/>
      <c r="L606" s="18"/>
      <c r="N606" s="21"/>
    </row>
    <row r="607" spans="1:14" x14ac:dyDescent="0.25">
      <c r="C607" s="15" t="str">
        <f t="shared" si="60"/>
        <v>*</v>
      </c>
      <c r="D607" s="17" t="str">
        <f>D605</f>
        <v>*ICEV*</v>
      </c>
      <c r="E607" s="17" t="str">
        <f>E605</f>
        <v>TRARNG</v>
      </c>
      <c r="F607" s="17" t="str">
        <f>F605</f>
        <v>TRAFRESSHDMD</v>
      </c>
      <c r="G607" s="17" t="str">
        <f>G605</f>
        <v>TRAFRESSHDMD</v>
      </c>
      <c r="H607" s="18">
        <v>2025</v>
      </c>
      <c r="I607" s="18"/>
      <c r="J607" s="29" t="e">
        <f>IF(J605=0,-N607+1,J605*N607)</f>
        <v>#DIV/0!</v>
      </c>
      <c r="K607" s="18"/>
      <c r="L607" s="18"/>
      <c r="N607" s="21">
        <v>1.1000000000000001</v>
      </c>
    </row>
    <row r="608" spans="1:14" x14ac:dyDescent="0.25">
      <c r="C608" s="15" t="str">
        <f t="shared" si="60"/>
        <v>*</v>
      </c>
      <c r="D608" s="17" t="s">
        <v>487</v>
      </c>
      <c r="E608" s="17" t="str">
        <f>E607</f>
        <v>TRARNG</v>
      </c>
      <c r="F608" s="17" t="str">
        <f>F607</f>
        <v>TRAFRESSHDMD</v>
      </c>
      <c r="G608" s="17" t="str">
        <f>G607</f>
        <v>TRAFRESSHDMD</v>
      </c>
      <c r="H608" s="18">
        <v>2025</v>
      </c>
      <c r="I608" s="18"/>
      <c r="J608" s="20" t="e">
        <f>1-(J607*-1)</f>
        <v>#DIV/0!</v>
      </c>
      <c r="K608" s="18"/>
      <c r="L608" s="18"/>
      <c r="N608" s="21"/>
    </row>
    <row r="609" spans="1:14" x14ac:dyDescent="0.25">
      <c r="C609" s="15" t="str">
        <f t="shared" si="60"/>
        <v>*</v>
      </c>
      <c r="D609" s="17" t="str">
        <f>D607</f>
        <v>*ICEV*</v>
      </c>
      <c r="E609" s="17" t="str">
        <f>E607</f>
        <v>TRARNG</v>
      </c>
      <c r="F609" s="17" t="str">
        <f>F607</f>
        <v>TRAFRESSHDMD</v>
      </c>
      <c r="G609" s="17" t="str">
        <f>G607</f>
        <v>TRAFRESSHDMD</v>
      </c>
      <c r="H609" s="18">
        <v>2030</v>
      </c>
      <c r="I609" s="18"/>
      <c r="J609" s="29" t="e">
        <f>IF(J605=0,-N609+1,J605*N609)</f>
        <v>#DIV/0!</v>
      </c>
      <c r="K609" s="18"/>
      <c r="L609" s="18"/>
      <c r="N609" s="21">
        <v>1.2</v>
      </c>
    </row>
    <row r="610" spans="1:14" x14ac:dyDescent="0.25">
      <c r="C610" s="15" t="str">
        <f t="shared" si="60"/>
        <v>*</v>
      </c>
      <c r="D610" s="17" t="s">
        <v>487</v>
      </c>
      <c r="E610" s="17" t="str">
        <f>E609</f>
        <v>TRARNG</v>
      </c>
      <c r="F610" s="17" t="str">
        <f>F609</f>
        <v>TRAFRESSHDMD</v>
      </c>
      <c r="G610" s="17" t="str">
        <f>G609</f>
        <v>TRAFRESSHDMD</v>
      </c>
      <c r="H610" s="18">
        <v>2030</v>
      </c>
      <c r="I610" s="18"/>
      <c r="J610" s="20" t="e">
        <f>1-(J609*-1)</f>
        <v>#DIV/0!</v>
      </c>
      <c r="K610" s="18"/>
      <c r="L610" s="18"/>
      <c r="N610" s="21"/>
    </row>
    <row r="611" spans="1:14" x14ac:dyDescent="0.25">
      <c r="C611" s="15" t="str">
        <f t="shared" si="60"/>
        <v>*</v>
      </c>
      <c r="D611" s="17" t="str">
        <f>D609</f>
        <v>*ICEV*</v>
      </c>
      <c r="E611" s="17" t="str">
        <f>E609</f>
        <v>TRARNG</v>
      </c>
      <c r="F611" s="17" t="str">
        <f>F609</f>
        <v>TRAFRESSHDMD</v>
      </c>
      <c r="G611" s="17" t="str">
        <f>G609</f>
        <v>TRAFRESSHDMD</v>
      </c>
      <c r="H611" s="18">
        <v>2040</v>
      </c>
      <c r="I611" s="18"/>
      <c r="J611" s="29" t="e">
        <f>IF(J605=0,-N611+1,J605*N611)</f>
        <v>#DIV/0!</v>
      </c>
      <c r="K611" s="18"/>
      <c r="L611" s="18"/>
      <c r="N611" s="21">
        <v>1.3</v>
      </c>
    </row>
    <row r="612" spans="1:14" x14ac:dyDescent="0.25">
      <c r="C612" s="15" t="str">
        <f t="shared" si="60"/>
        <v>*</v>
      </c>
      <c r="D612" s="17" t="s">
        <v>487</v>
      </c>
      <c r="E612" s="17" t="str">
        <f>E611</f>
        <v>TRARNG</v>
      </c>
      <c r="F612" s="17" t="str">
        <f>F611</f>
        <v>TRAFRESSHDMD</v>
      </c>
      <c r="G612" s="17" t="str">
        <f>G611</f>
        <v>TRAFRESSHDMD</v>
      </c>
      <c r="H612" s="18">
        <v>2040</v>
      </c>
      <c r="I612" s="18"/>
      <c r="J612" s="20" t="e">
        <f>1-(J611*-1)</f>
        <v>#DIV/0!</v>
      </c>
      <c r="K612" s="18"/>
      <c r="L612" s="18"/>
      <c r="N612" s="21"/>
    </row>
    <row r="613" spans="1:14" x14ac:dyDescent="0.25">
      <c r="C613" s="15" t="str">
        <f t="shared" si="60"/>
        <v>*</v>
      </c>
      <c r="D613" s="17" t="str">
        <f>D611</f>
        <v>*ICEV*</v>
      </c>
      <c r="E613" s="17" t="str">
        <f>E611</f>
        <v>TRARNG</v>
      </c>
      <c r="F613" s="17" t="str">
        <f>F611</f>
        <v>TRAFRESSHDMD</v>
      </c>
      <c r="G613" s="17" t="str">
        <f>G611</f>
        <v>TRAFRESSHDMD</v>
      </c>
      <c r="H613" s="18">
        <v>2050</v>
      </c>
      <c r="I613" s="18"/>
      <c r="J613" s="29" t="e">
        <f>IF(J605=0,-N613+1,J605*N613)</f>
        <v>#DIV/0!</v>
      </c>
      <c r="K613" s="18"/>
      <c r="L613" s="18"/>
      <c r="N613" s="21">
        <v>1.4</v>
      </c>
    </row>
    <row r="614" spans="1:14" x14ac:dyDescent="0.25">
      <c r="C614" s="23" t="str">
        <f t="shared" si="60"/>
        <v>*</v>
      </c>
      <c r="D614" s="25" t="s">
        <v>487</v>
      </c>
      <c r="E614" s="25" t="str">
        <f>E613</f>
        <v>TRARNG</v>
      </c>
      <c r="F614" s="25" t="str">
        <f>F613</f>
        <v>TRAFRESSHDMD</v>
      </c>
      <c r="G614" s="25" t="str">
        <f>G613</f>
        <v>TRAFRESSHDMD</v>
      </c>
      <c r="H614" s="26">
        <v>2050</v>
      </c>
      <c r="I614" s="26"/>
      <c r="J614" s="27" t="e">
        <f>1-(J613*-1)</f>
        <v>#DIV/0!</v>
      </c>
      <c r="K614" s="26"/>
      <c r="L614" s="26"/>
      <c r="N614" s="28"/>
    </row>
    <row r="615" spans="1:14" x14ac:dyDescent="0.25">
      <c r="A615">
        <f>A605+1</f>
        <v>62</v>
      </c>
      <c r="C615" s="15" t="str">
        <f>IF(E615="","",IF(SUMIFS('TRA TECH'!M:M,'TRA TECH'!J:J,D616,'TRA TECH'!I:I,F616,'TRA TECH'!H:H,E616)=0,"*",IF(_xlfn.XLOOKUP($A615,Selected_constraint!$A:$A,Selected_constraint!$D:$D)=1,"*",IF(SUMIFS('TRA TECH'!$M:$M,'TRA TECH'!$H:$H,E615,'TRA TECH'!$I:$I,F615)=0,"*",IF(SUMIFS('TRA RESID'!$P:$P,'TRA RESID'!$I:$I,G615,'TRA RESID'!$J:$J,D615,'TRA RESID'!$H:$H,E615)=0,"*","UC_"&amp;SUBSTITUTE(D615,"*","")&amp;"_"&amp;SUBSTITUTE(D615,"*","")&amp;"_"&amp;RIGHT(E615,3)&amp;"_"&amp;F615)))))</f>
        <v>*</v>
      </c>
      <c r="D615" s="17" t="s">
        <v>485</v>
      </c>
      <c r="E615" s="17" t="str">
        <f>_xlfn.XLOOKUP($A615,Selected_constraint!$A:$A,Selected_constraint!$B:$B)</f>
        <v>TRABAF</v>
      </c>
      <c r="F615" s="17" t="str">
        <f>_xlfn.XLOOKUP($A615,Selected_constraint!$A:$A,Selected_constraint!$C:$C)</f>
        <v>TRAFRESSHDMD</v>
      </c>
      <c r="G615" s="17" t="str">
        <f>F615</f>
        <v>TRAFRESSHDMD</v>
      </c>
      <c r="H615" s="18">
        <v>2019</v>
      </c>
      <c r="I615" s="18" t="s">
        <v>484</v>
      </c>
      <c r="J615" s="29" t="e">
        <f>-SUMIFS('TRA RESID'!$P:$P,'TRA RESID'!$I:$I,G616,'TRA RESID'!$J:$J,D616,'TRA RESID'!$H:$H,E616)/(SUMIFS('TRA RESID'!$P:$P,'TRA RESID'!$I:$I,G616,'TRA RESID'!$J:$J,D616,'TRA RESID'!$H:$H,E616)+SUMIFS('TRA RESID'!$P:$P,'TRA RESID'!$I:$I,G615,'TRA RESID'!$J:$J,D615,'TRA RESID'!$H:$H,E615))</f>
        <v>#DIV/0!</v>
      </c>
      <c r="K615" s="18">
        <v>0</v>
      </c>
      <c r="L615" s="18">
        <v>5</v>
      </c>
      <c r="N615" s="21">
        <v>1</v>
      </c>
    </row>
    <row r="616" spans="1:14" x14ac:dyDescent="0.25">
      <c r="C616" s="15" t="str">
        <f t="shared" ref="C616:C624" si="61">IF(C615="*",C615,"")</f>
        <v>*</v>
      </c>
      <c r="D616" s="17" t="s">
        <v>487</v>
      </c>
      <c r="E616" s="17" t="str">
        <f>E615</f>
        <v>TRABAF</v>
      </c>
      <c r="F616" s="17" t="str">
        <f>F615</f>
        <v>TRAFRESSHDMD</v>
      </c>
      <c r="G616" s="17" t="str">
        <f>G615</f>
        <v>TRAFRESSHDMD</v>
      </c>
      <c r="H616" s="18">
        <v>2019</v>
      </c>
      <c r="I616" s="18"/>
      <c r="J616" s="20" t="e">
        <f>1-(J615*-1)</f>
        <v>#DIV/0!</v>
      </c>
      <c r="K616" s="18"/>
      <c r="L616" s="18"/>
      <c r="N616" s="21"/>
    </row>
    <row r="617" spans="1:14" x14ac:dyDescent="0.25">
      <c r="C617" s="15" t="str">
        <f t="shared" si="61"/>
        <v>*</v>
      </c>
      <c r="D617" s="17" t="str">
        <f>D615</f>
        <v>*ICEV*</v>
      </c>
      <c r="E617" s="17" t="str">
        <f>E615</f>
        <v>TRABAF</v>
      </c>
      <c r="F617" s="17" t="str">
        <f>F615</f>
        <v>TRAFRESSHDMD</v>
      </c>
      <c r="G617" s="17" t="str">
        <f>G615</f>
        <v>TRAFRESSHDMD</v>
      </c>
      <c r="H617" s="18">
        <v>2025</v>
      </c>
      <c r="I617" s="18"/>
      <c r="J617" s="29" t="e">
        <f>IF(J615=0,-N617+1,J615*N617)</f>
        <v>#DIV/0!</v>
      </c>
      <c r="K617" s="18"/>
      <c r="L617" s="18"/>
      <c r="N617" s="21">
        <v>1.1000000000000001</v>
      </c>
    </row>
    <row r="618" spans="1:14" x14ac:dyDescent="0.25">
      <c r="C618" s="15" t="str">
        <f t="shared" si="61"/>
        <v>*</v>
      </c>
      <c r="D618" s="17" t="s">
        <v>487</v>
      </c>
      <c r="E618" s="17" t="str">
        <f>E617</f>
        <v>TRABAF</v>
      </c>
      <c r="F618" s="17" t="str">
        <f>F617</f>
        <v>TRAFRESSHDMD</v>
      </c>
      <c r="G618" s="17" t="str">
        <f>G617</f>
        <v>TRAFRESSHDMD</v>
      </c>
      <c r="H618" s="18">
        <v>2025</v>
      </c>
      <c r="I618" s="18"/>
      <c r="J618" s="20" t="e">
        <f>1-(J617*-1)</f>
        <v>#DIV/0!</v>
      </c>
      <c r="K618" s="18"/>
      <c r="L618" s="18"/>
      <c r="N618" s="21"/>
    </row>
    <row r="619" spans="1:14" x14ac:dyDescent="0.25">
      <c r="C619" s="15" t="str">
        <f t="shared" si="61"/>
        <v>*</v>
      </c>
      <c r="D619" s="17" t="str">
        <f>D617</f>
        <v>*ICEV*</v>
      </c>
      <c r="E619" s="17" t="str">
        <f>E617</f>
        <v>TRABAF</v>
      </c>
      <c r="F619" s="17" t="str">
        <f>F617</f>
        <v>TRAFRESSHDMD</v>
      </c>
      <c r="G619" s="17" t="str">
        <f>G617</f>
        <v>TRAFRESSHDMD</v>
      </c>
      <c r="H619" s="18">
        <v>2030</v>
      </c>
      <c r="I619" s="18"/>
      <c r="J619" s="29" t="e">
        <f>IF(J615=0,-N619+1,J615*N619)</f>
        <v>#DIV/0!</v>
      </c>
      <c r="K619" s="18"/>
      <c r="L619" s="18"/>
      <c r="N619" s="21">
        <v>1.2</v>
      </c>
    </row>
    <row r="620" spans="1:14" x14ac:dyDescent="0.25">
      <c r="C620" s="15" t="str">
        <f t="shared" si="61"/>
        <v>*</v>
      </c>
      <c r="D620" s="17" t="s">
        <v>487</v>
      </c>
      <c r="E620" s="17" t="str">
        <f>E619</f>
        <v>TRABAF</v>
      </c>
      <c r="F620" s="17" t="str">
        <f>F619</f>
        <v>TRAFRESSHDMD</v>
      </c>
      <c r="G620" s="17" t="str">
        <f>G619</f>
        <v>TRAFRESSHDMD</v>
      </c>
      <c r="H620" s="18">
        <v>2030</v>
      </c>
      <c r="I620" s="18"/>
      <c r="J620" s="20" t="e">
        <f>1-(J619*-1)</f>
        <v>#DIV/0!</v>
      </c>
      <c r="K620" s="18"/>
      <c r="L620" s="18"/>
      <c r="N620" s="21"/>
    </row>
    <row r="621" spans="1:14" x14ac:dyDescent="0.25">
      <c r="C621" s="15" t="str">
        <f t="shared" si="61"/>
        <v>*</v>
      </c>
      <c r="D621" s="17" t="str">
        <f>D619</f>
        <v>*ICEV*</v>
      </c>
      <c r="E621" s="17" t="str">
        <f>E619</f>
        <v>TRABAF</v>
      </c>
      <c r="F621" s="17" t="str">
        <f>F619</f>
        <v>TRAFRESSHDMD</v>
      </c>
      <c r="G621" s="17" t="str">
        <f>G619</f>
        <v>TRAFRESSHDMD</v>
      </c>
      <c r="H621" s="18">
        <v>2040</v>
      </c>
      <c r="I621" s="18"/>
      <c r="J621" s="29" t="e">
        <f>IF(J615=0,-N621+1,J615*N621)</f>
        <v>#DIV/0!</v>
      </c>
      <c r="K621" s="18"/>
      <c r="L621" s="18"/>
      <c r="N621" s="21">
        <v>1.3</v>
      </c>
    </row>
    <row r="622" spans="1:14" x14ac:dyDescent="0.25">
      <c r="C622" s="15" t="str">
        <f t="shared" si="61"/>
        <v>*</v>
      </c>
      <c r="D622" s="17" t="s">
        <v>487</v>
      </c>
      <c r="E622" s="17" t="str">
        <f>E621</f>
        <v>TRABAF</v>
      </c>
      <c r="F622" s="17" t="str">
        <f>F621</f>
        <v>TRAFRESSHDMD</v>
      </c>
      <c r="G622" s="17" t="str">
        <f>G621</f>
        <v>TRAFRESSHDMD</v>
      </c>
      <c r="H622" s="18">
        <v>2040</v>
      </c>
      <c r="I622" s="18"/>
      <c r="J622" s="20" t="e">
        <f>1-(J621*-1)</f>
        <v>#DIV/0!</v>
      </c>
      <c r="K622" s="18"/>
      <c r="L622" s="18"/>
      <c r="N622" s="21"/>
    </row>
    <row r="623" spans="1:14" x14ac:dyDescent="0.25">
      <c r="C623" s="15" t="str">
        <f t="shared" si="61"/>
        <v>*</v>
      </c>
      <c r="D623" s="17" t="str">
        <f>D621</f>
        <v>*ICEV*</v>
      </c>
      <c r="E623" s="17" t="str">
        <f>E621</f>
        <v>TRABAF</v>
      </c>
      <c r="F623" s="17" t="str">
        <f>F621</f>
        <v>TRAFRESSHDMD</v>
      </c>
      <c r="G623" s="17" t="str">
        <f>G621</f>
        <v>TRAFRESSHDMD</v>
      </c>
      <c r="H623" s="18">
        <v>2050</v>
      </c>
      <c r="I623" s="18"/>
      <c r="J623" s="29" t="e">
        <f>IF(J615=0,-N623+1,J615*N623)</f>
        <v>#DIV/0!</v>
      </c>
      <c r="K623" s="18"/>
      <c r="L623" s="18"/>
      <c r="N623" s="21">
        <v>1.4</v>
      </c>
    </row>
    <row r="624" spans="1:14" x14ac:dyDescent="0.25">
      <c r="C624" s="23" t="str">
        <f t="shared" si="61"/>
        <v>*</v>
      </c>
      <c r="D624" s="25" t="s">
        <v>487</v>
      </c>
      <c r="E624" s="25" t="str">
        <f>E623</f>
        <v>TRABAF</v>
      </c>
      <c r="F624" s="25" t="str">
        <f>F623</f>
        <v>TRAFRESSHDMD</v>
      </c>
      <c r="G624" s="25" t="str">
        <f>G623</f>
        <v>TRAFRESSHDMD</v>
      </c>
      <c r="H624" s="26">
        <v>2050</v>
      </c>
      <c r="I624" s="26"/>
      <c r="J624" s="27" t="e">
        <f>1-(J623*-1)</f>
        <v>#DIV/0!</v>
      </c>
      <c r="K624" s="26"/>
      <c r="L624" s="26"/>
      <c r="N624" s="28"/>
    </row>
    <row r="625" spans="1:14" x14ac:dyDescent="0.25">
      <c r="A625">
        <f>A615+1</f>
        <v>63</v>
      </c>
      <c r="C625" s="15" t="str">
        <f>IF(E625="","",IF(SUMIFS('TRA TECH'!M:M,'TRA TECH'!J:J,D626,'TRA TECH'!I:I,F626,'TRA TECH'!H:H,E626)=0,"*",IF(_xlfn.XLOOKUP($A625,Selected_constraint!$A:$A,Selected_constraint!$D:$D)=1,"*",IF(SUMIFS('TRA TECH'!$M:$M,'TRA TECH'!$H:$H,E625,'TRA TECH'!$I:$I,F625)=0,"*",IF(SUMIFS('TRA RESID'!$P:$P,'TRA RESID'!$I:$I,G625,'TRA RESID'!$J:$J,D625,'TRA RESID'!$H:$H,E625)=0,"*","UC_"&amp;SUBSTITUTE(D625,"*","")&amp;"_"&amp;SUBSTITUTE(D625,"*","")&amp;"_"&amp;RIGHT(E625,3)&amp;"_"&amp;F625)))))</f>
        <v>*</v>
      </c>
      <c r="D625" s="17" t="s">
        <v>485</v>
      </c>
      <c r="E625" s="17" t="str">
        <f>_xlfn.XLOOKUP($A625,Selected_constraint!$A:$A,Selected_constraint!$B:$B)</f>
        <v>TRAH2G</v>
      </c>
      <c r="F625" s="17" t="str">
        <f>_xlfn.XLOOKUP($A625,Selected_constraint!$A:$A,Selected_constraint!$C:$C)</f>
        <v>TRAFRESSHDMD</v>
      </c>
      <c r="G625" s="17" t="str">
        <f>F625</f>
        <v>TRAFRESSHDMD</v>
      </c>
      <c r="H625" s="18">
        <v>2019</v>
      </c>
      <c r="I625" s="18" t="s">
        <v>484</v>
      </c>
      <c r="J625" s="29" t="e">
        <f>-SUMIFS('TRA RESID'!$P:$P,'TRA RESID'!$I:$I,G626,'TRA RESID'!$J:$J,D626,'TRA RESID'!$H:$H,E626)/(SUMIFS('TRA RESID'!$P:$P,'TRA RESID'!$I:$I,G626,'TRA RESID'!$J:$J,D626,'TRA RESID'!$H:$H,E626)+SUMIFS('TRA RESID'!$P:$P,'TRA RESID'!$I:$I,G625,'TRA RESID'!$J:$J,D625,'TRA RESID'!$H:$H,E625))</f>
        <v>#DIV/0!</v>
      </c>
      <c r="K625" s="18">
        <v>0</v>
      </c>
      <c r="L625" s="18">
        <v>5</v>
      </c>
      <c r="N625" s="21">
        <v>1</v>
      </c>
    </row>
    <row r="626" spans="1:14" x14ac:dyDescent="0.25">
      <c r="C626" s="15" t="str">
        <f t="shared" ref="C626:C634" si="62">IF(C625="*",C625,"")</f>
        <v>*</v>
      </c>
      <c r="D626" s="17" t="s">
        <v>487</v>
      </c>
      <c r="E626" s="17" t="str">
        <f>E625</f>
        <v>TRAH2G</v>
      </c>
      <c r="F626" s="17" t="str">
        <f>F625</f>
        <v>TRAFRESSHDMD</v>
      </c>
      <c r="G626" s="17" t="str">
        <f>G625</f>
        <v>TRAFRESSHDMD</v>
      </c>
      <c r="H626" s="18">
        <v>2019</v>
      </c>
      <c r="I626" s="18"/>
      <c r="J626" s="20" t="e">
        <f>1-(J625*-1)</f>
        <v>#DIV/0!</v>
      </c>
      <c r="K626" s="18"/>
      <c r="L626" s="18"/>
      <c r="N626" s="21"/>
    </row>
    <row r="627" spans="1:14" x14ac:dyDescent="0.25">
      <c r="C627" s="15" t="str">
        <f t="shared" si="62"/>
        <v>*</v>
      </c>
      <c r="D627" s="17" t="str">
        <f>D625</f>
        <v>*ICEV*</v>
      </c>
      <c r="E627" s="17" t="str">
        <f>E625</f>
        <v>TRAH2G</v>
      </c>
      <c r="F627" s="17" t="str">
        <f>F625</f>
        <v>TRAFRESSHDMD</v>
      </c>
      <c r="G627" s="17" t="str">
        <f>G625</f>
        <v>TRAFRESSHDMD</v>
      </c>
      <c r="H627" s="18">
        <v>2025</v>
      </c>
      <c r="I627" s="18"/>
      <c r="J627" s="29" t="e">
        <f>IF(J625=0,-N627+1,J625*N627)</f>
        <v>#DIV/0!</v>
      </c>
      <c r="K627" s="18"/>
      <c r="L627" s="18"/>
      <c r="N627" s="21">
        <v>1.1000000000000001</v>
      </c>
    </row>
    <row r="628" spans="1:14" x14ac:dyDescent="0.25">
      <c r="C628" s="15" t="str">
        <f t="shared" si="62"/>
        <v>*</v>
      </c>
      <c r="D628" s="17" t="s">
        <v>487</v>
      </c>
      <c r="E628" s="17" t="str">
        <f>E627</f>
        <v>TRAH2G</v>
      </c>
      <c r="F628" s="17" t="str">
        <f>F627</f>
        <v>TRAFRESSHDMD</v>
      </c>
      <c r="G628" s="17" t="str">
        <f>G627</f>
        <v>TRAFRESSHDMD</v>
      </c>
      <c r="H628" s="18">
        <v>2025</v>
      </c>
      <c r="I628" s="18"/>
      <c r="J628" s="20" t="e">
        <f>1-(J627*-1)</f>
        <v>#DIV/0!</v>
      </c>
      <c r="K628" s="18"/>
      <c r="L628" s="18"/>
      <c r="N628" s="21"/>
    </row>
    <row r="629" spans="1:14" x14ac:dyDescent="0.25">
      <c r="C629" s="15" t="str">
        <f t="shared" si="62"/>
        <v>*</v>
      </c>
      <c r="D629" s="17" t="str">
        <f>D627</f>
        <v>*ICEV*</v>
      </c>
      <c r="E629" s="17" t="str">
        <f>E627</f>
        <v>TRAH2G</v>
      </c>
      <c r="F629" s="17" t="str">
        <f>F627</f>
        <v>TRAFRESSHDMD</v>
      </c>
      <c r="G629" s="17" t="str">
        <f>G627</f>
        <v>TRAFRESSHDMD</v>
      </c>
      <c r="H629" s="18">
        <v>2030</v>
      </c>
      <c r="I629" s="18"/>
      <c r="J629" s="29" t="e">
        <f>IF(J625=0,-N629+1,J625*N629)</f>
        <v>#DIV/0!</v>
      </c>
      <c r="K629" s="18"/>
      <c r="L629" s="18"/>
      <c r="N629" s="21">
        <v>1.2</v>
      </c>
    </row>
    <row r="630" spans="1:14" x14ac:dyDescent="0.25">
      <c r="C630" s="15" t="str">
        <f t="shared" si="62"/>
        <v>*</v>
      </c>
      <c r="D630" s="17" t="s">
        <v>487</v>
      </c>
      <c r="E630" s="17" t="str">
        <f>E629</f>
        <v>TRAH2G</v>
      </c>
      <c r="F630" s="17" t="str">
        <f>F629</f>
        <v>TRAFRESSHDMD</v>
      </c>
      <c r="G630" s="17" t="str">
        <f>G629</f>
        <v>TRAFRESSHDMD</v>
      </c>
      <c r="H630" s="18">
        <v>2030</v>
      </c>
      <c r="I630" s="18"/>
      <c r="J630" s="20" t="e">
        <f>1-(J629*-1)</f>
        <v>#DIV/0!</v>
      </c>
      <c r="K630" s="18"/>
      <c r="L630" s="18"/>
      <c r="N630" s="21"/>
    </row>
    <row r="631" spans="1:14" x14ac:dyDescent="0.25">
      <c r="C631" s="15" t="str">
        <f t="shared" si="62"/>
        <v>*</v>
      </c>
      <c r="D631" s="17" t="str">
        <f>D629</f>
        <v>*ICEV*</v>
      </c>
      <c r="E631" s="17" t="str">
        <f>E629</f>
        <v>TRAH2G</v>
      </c>
      <c r="F631" s="17" t="str">
        <f>F629</f>
        <v>TRAFRESSHDMD</v>
      </c>
      <c r="G631" s="17" t="str">
        <f>G629</f>
        <v>TRAFRESSHDMD</v>
      </c>
      <c r="H631" s="18">
        <v>2040</v>
      </c>
      <c r="I631" s="18"/>
      <c r="J631" s="29" t="e">
        <f>IF(J625=0,-N631+1,J625*N631)</f>
        <v>#DIV/0!</v>
      </c>
      <c r="K631" s="18"/>
      <c r="L631" s="18"/>
      <c r="N631" s="21">
        <v>1.3</v>
      </c>
    </row>
    <row r="632" spans="1:14" x14ac:dyDescent="0.25">
      <c r="C632" s="15" t="str">
        <f t="shared" si="62"/>
        <v>*</v>
      </c>
      <c r="D632" s="17" t="s">
        <v>487</v>
      </c>
      <c r="E632" s="17" t="str">
        <f>E631</f>
        <v>TRAH2G</v>
      </c>
      <c r="F632" s="17" t="str">
        <f>F631</f>
        <v>TRAFRESSHDMD</v>
      </c>
      <c r="G632" s="17" t="str">
        <f>G631</f>
        <v>TRAFRESSHDMD</v>
      </c>
      <c r="H632" s="18">
        <v>2040</v>
      </c>
      <c r="I632" s="18"/>
      <c r="J632" s="20" t="e">
        <f>1-(J631*-1)</f>
        <v>#DIV/0!</v>
      </c>
      <c r="K632" s="18"/>
      <c r="L632" s="18"/>
      <c r="N632" s="21"/>
    </row>
    <row r="633" spans="1:14" x14ac:dyDescent="0.25">
      <c r="C633" s="15" t="str">
        <f t="shared" si="62"/>
        <v>*</v>
      </c>
      <c r="D633" s="17" t="str">
        <f>D631</f>
        <v>*ICEV*</v>
      </c>
      <c r="E633" s="17" t="str">
        <f>E631</f>
        <v>TRAH2G</v>
      </c>
      <c r="F633" s="17" t="str">
        <f>F631</f>
        <v>TRAFRESSHDMD</v>
      </c>
      <c r="G633" s="17" t="str">
        <f>G631</f>
        <v>TRAFRESSHDMD</v>
      </c>
      <c r="H633" s="18">
        <v>2050</v>
      </c>
      <c r="I633" s="18"/>
      <c r="J633" s="29" t="e">
        <f>IF(J625=0,-N633+1,J625*N633)</f>
        <v>#DIV/0!</v>
      </c>
      <c r="K633" s="18"/>
      <c r="L633" s="18"/>
      <c r="N633" s="21">
        <v>1.4</v>
      </c>
    </row>
    <row r="634" spans="1:14" x14ac:dyDescent="0.25">
      <c r="C634" s="23" t="str">
        <f t="shared" si="62"/>
        <v>*</v>
      </c>
      <c r="D634" s="25" t="s">
        <v>487</v>
      </c>
      <c r="E634" s="25" t="str">
        <f>E633</f>
        <v>TRAH2G</v>
      </c>
      <c r="F634" s="25" t="str">
        <f>F633</f>
        <v>TRAFRESSHDMD</v>
      </c>
      <c r="G634" s="25" t="str">
        <f>G633</f>
        <v>TRAFRESSHDMD</v>
      </c>
      <c r="H634" s="26">
        <v>2050</v>
      </c>
      <c r="I634" s="26"/>
      <c r="J634" s="27" t="e">
        <f>1-(J633*-1)</f>
        <v>#DIV/0!</v>
      </c>
      <c r="K634" s="26"/>
      <c r="L634" s="26"/>
      <c r="N634" s="28"/>
    </row>
    <row r="635" spans="1:14" x14ac:dyDescent="0.25">
      <c r="A635">
        <f>A625+1</f>
        <v>64</v>
      </c>
      <c r="C635" s="15" t="str">
        <f>IF(E635="","",IF(SUMIFS('TRA TECH'!M:M,'TRA TECH'!J:J,D636,'TRA TECH'!I:I,F636,'TRA TECH'!H:H,E636)=0,"*",IF(_xlfn.XLOOKUP($A635,Selected_constraint!$A:$A,Selected_constraint!$D:$D)=1,"*",IF(SUMIFS('TRA TECH'!$M:$M,'TRA TECH'!$H:$H,E635,'TRA TECH'!$I:$I,F635)=0,"*",IF(SUMIFS('TRA RESID'!$P:$P,'TRA RESID'!$I:$I,G635,'TRA RESID'!$J:$J,D635,'TRA RESID'!$H:$H,E635)=0,"*","UC_"&amp;SUBSTITUTE(D635,"*","")&amp;"_"&amp;SUBSTITUTE(D635,"*","")&amp;"_"&amp;RIGHT(E635,3)&amp;"_"&amp;F635)))))</f>
        <v>*</v>
      </c>
      <c r="D635" s="17" t="s">
        <v>485</v>
      </c>
      <c r="E635" s="17" t="str">
        <f>_xlfn.XLOOKUP($A635,Selected_constraint!$A:$A,Selected_constraint!$B:$B)</f>
        <v>TRAGSL</v>
      </c>
      <c r="F635" s="17" t="str">
        <f>_xlfn.XLOOKUP($A635,Selected_constraint!$A:$A,Selected_constraint!$C:$C)</f>
        <v>TRAFRECLHDMD</v>
      </c>
      <c r="G635" s="17" t="str">
        <f>F635</f>
        <v>TRAFRECLHDMD</v>
      </c>
      <c r="H635" s="18">
        <v>2019</v>
      </c>
      <c r="I635" s="18" t="s">
        <v>484</v>
      </c>
      <c r="J635" s="29">
        <f>-SUMIFS('TRA RESID'!$P:$P,'TRA RESID'!$I:$I,G636,'TRA RESID'!$J:$J,D636,'TRA RESID'!$H:$H,E636)/(SUMIFS('TRA RESID'!$P:$P,'TRA RESID'!$I:$I,G636,'TRA RESID'!$J:$J,D636,'TRA RESID'!$H:$H,E636)+SUMIFS('TRA RESID'!$P:$P,'TRA RESID'!$I:$I,G635,'TRA RESID'!$J:$J,D635,'TRA RESID'!$H:$H,E635))</f>
        <v>0</v>
      </c>
      <c r="K635" s="18">
        <v>0</v>
      </c>
      <c r="L635" s="18">
        <v>5</v>
      </c>
      <c r="N635" s="21">
        <v>1</v>
      </c>
    </row>
    <row r="636" spans="1:14" x14ac:dyDescent="0.25">
      <c r="C636" s="15" t="str">
        <f t="shared" ref="C636:C644" si="63">IF(C635="*",C635,"")</f>
        <v>*</v>
      </c>
      <c r="D636" s="17" t="s">
        <v>487</v>
      </c>
      <c r="E636" s="17" t="str">
        <f>E635</f>
        <v>TRAGSL</v>
      </c>
      <c r="F636" s="17" t="str">
        <f>F635</f>
        <v>TRAFRECLHDMD</v>
      </c>
      <c r="G636" s="17" t="str">
        <f>G635</f>
        <v>TRAFRECLHDMD</v>
      </c>
      <c r="H636" s="18">
        <v>2019</v>
      </c>
      <c r="I636" s="18"/>
      <c r="J636" s="20">
        <f>1-(J635*-1)</f>
        <v>1</v>
      </c>
      <c r="K636" s="18"/>
      <c r="L636" s="18"/>
      <c r="N636" s="21"/>
    </row>
    <row r="637" spans="1:14" x14ac:dyDescent="0.25">
      <c r="C637" s="15" t="str">
        <f t="shared" si="63"/>
        <v>*</v>
      </c>
      <c r="D637" s="17" t="str">
        <f>D635</f>
        <v>*ICEV*</v>
      </c>
      <c r="E637" s="17" t="str">
        <f>E635</f>
        <v>TRAGSL</v>
      </c>
      <c r="F637" s="17" t="str">
        <f>F635</f>
        <v>TRAFRECLHDMD</v>
      </c>
      <c r="G637" s="17" t="str">
        <f>G635</f>
        <v>TRAFRECLHDMD</v>
      </c>
      <c r="H637" s="18">
        <v>2025</v>
      </c>
      <c r="I637" s="18"/>
      <c r="J637" s="29">
        <f>IF(J635=0,-N637+1,J635*N637)</f>
        <v>-0.10000000000000009</v>
      </c>
      <c r="K637" s="18"/>
      <c r="L637" s="18"/>
      <c r="N637" s="21">
        <v>1.1000000000000001</v>
      </c>
    </row>
    <row r="638" spans="1:14" x14ac:dyDescent="0.25">
      <c r="C638" s="15" t="str">
        <f t="shared" si="63"/>
        <v>*</v>
      </c>
      <c r="D638" s="17" t="s">
        <v>487</v>
      </c>
      <c r="E638" s="17" t="str">
        <f>E637</f>
        <v>TRAGSL</v>
      </c>
      <c r="F638" s="17" t="str">
        <f>F637</f>
        <v>TRAFRECLHDMD</v>
      </c>
      <c r="G638" s="17" t="str">
        <f>G637</f>
        <v>TRAFRECLHDMD</v>
      </c>
      <c r="H638" s="18">
        <v>2025</v>
      </c>
      <c r="I638" s="18"/>
      <c r="J638" s="20">
        <f>1-(J637*-1)</f>
        <v>0.89999999999999991</v>
      </c>
      <c r="K638" s="18"/>
      <c r="L638" s="18"/>
      <c r="N638" s="21"/>
    </row>
    <row r="639" spans="1:14" x14ac:dyDescent="0.25">
      <c r="C639" s="15" t="str">
        <f t="shared" si="63"/>
        <v>*</v>
      </c>
      <c r="D639" s="17" t="str">
        <f>D637</f>
        <v>*ICEV*</v>
      </c>
      <c r="E639" s="17" t="str">
        <f>E637</f>
        <v>TRAGSL</v>
      </c>
      <c r="F639" s="17" t="str">
        <f>F637</f>
        <v>TRAFRECLHDMD</v>
      </c>
      <c r="G639" s="17" t="str">
        <f>G637</f>
        <v>TRAFRECLHDMD</v>
      </c>
      <c r="H639" s="18">
        <v>2030</v>
      </c>
      <c r="I639" s="18"/>
      <c r="J639" s="29">
        <f>IF(J635=0,-N639+1,J635*N639)</f>
        <v>-0.19999999999999996</v>
      </c>
      <c r="K639" s="18"/>
      <c r="L639" s="18"/>
      <c r="N639" s="21">
        <v>1.2</v>
      </c>
    </row>
    <row r="640" spans="1:14" x14ac:dyDescent="0.25">
      <c r="C640" s="15" t="str">
        <f t="shared" si="63"/>
        <v>*</v>
      </c>
      <c r="D640" s="17" t="s">
        <v>487</v>
      </c>
      <c r="E640" s="17" t="str">
        <f>E639</f>
        <v>TRAGSL</v>
      </c>
      <c r="F640" s="17" t="str">
        <f>F639</f>
        <v>TRAFRECLHDMD</v>
      </c>
      <c r="G640" s="17" t="str">
        <f>G639</f>
        <v>TRAFRECLHDMD</v>
      </c>
      <c r="H640" s="18">
        <v>2030</v>
      </c>
      <c r="I640" s="18"/>
      <c r="J640" s="20">
        <f>1-(J639*-1)</f>
        <v>0.8</v>
      </c>
      <c r="K640" s="18"/>
      <c r="L640" s="18"/>
      <c r="N640" s="21"/>
    </row>
    <row r="641" spans="1:14" x14ac:dyDescent="0.25">
      <c r="C641" s="15" t="str">
        <f t="shared" si="63"/>
        <v>*</v>
      </c>
      <c r="D641" s="17" t="str">
        <f>D639</f>
        <v>*ICEV*</v>
      </c>
      <c r="E641" s="17" t="str">
        <f>E639</f>
        <v>TRAGSL</v>
      </c>
      <c r="F641" s="17" t="str">
        <f>F639</f>
        <v>TRAFRECLHDMD</v>
      </c>
      <c r="G641" s="17" t="str">
        <f>G639</f>
        <v>TRAFRECLHDMD</v>
      </c>
      <c r="H641" s="18">
        <v>2040</v>
      </c>
      <c r="I641" s="18"/>
      <c r="J641" s="29">
        <f>IF(J635=0,-N641+1,J635*N641)</f>
        <v>-0.30000000000000004</v>
      </c>
      <c r="K641" s="18"/>
      <c r="L641" s="18"/>
      <c r="N641" s="21">
        <v>1.3</v>
      </c>
    </row>
    <row r="642" spans="1:14" x14ac:dyDescent="0.25">
      <c r="C642" s="15" t="str">
        <f t="shared" si="63"/>
        <v>*</v>
      </c>
      <c r="D642" s="17" t="s">
        <v>487</v>
      </c>
      <c r="E642" s="17" t="str">
        <f>E641</f>
        <v>TRAGSL</v>
      </c>
      <c r="F642" s="17" t="str">
        <f>F641</f>
        <v>TRAFRECLHDMD</v>
      </c>
      <c r="G642" s="17" t="str">
        <f>G641</f>
        <v>TRAFRECLHDMD</v>
      </c>
      <c r="H642" s="18">
        <v>2040</v>
      </c>
      <c r="I642" s="18"/>
      <c r="J642" s="20">
        <f>1-(J641*-1)</f>
        <v>0.7</v>
      </c>
      <c r="K642" s="18"/>
      <c r="L642" s="18"/>
      <c r="N642" s="21"/>
    </row>
    <row r="643" spans="1:14" x14ac:dyDescent="0.25">
      <c r="C643" s="15" t="str">
        <f t="shared" si="63"/>
        <v>*</v>
      </c>
      <c r="D643" s="17" t="str">
        <f>D641</f>
        <v>*ICEV*</v>
      </c>
      <c r="E643" s="17" t="str">
        <f>E641</f>
        <v>TRAGSL</v>
      </c>
      <c r="F643" s="17" t="str">
        <f>F641</f>
        <v>TRAFRECLHDMD</v>
      </c>
      <c r="G643" s="17" t="str">
        <f>G641</f>
        <v>TRAFRECLHDMD</v>
      </c>
      <c r="H643" s="18">
        <v>2050</v>
      </c>
      <c r="I643" s="18"/>
      <c r="J643" s="29">
        <f>IF(J635=0,-N643+1,J635*N643)</f>
        <v>-0.39999999999999991</v>
      </c>
      <c r="K643" s="18"/>
      <c r="L643" s="18"/>
      <c r="N643" s="21">
        <v>1.4</v>
      </c>
    </row>
    <row r="644" spans="1:14" x14ac:dyDescent="0.25">
      <c r="C644" s="23" t="str">
        <f t="shared" si="63"/>
        <v>*</v>
      </c>
      <c r="D644" s="25" t="s">
        <v>487</v>
      </c>
      <c r="E644" s="25" t="str">
        <f>E643</f>
        <v>TRAGSL</v>
      </c>
      <c r="F644" s="25" t="str">
        <f>F643</f>
        <v>TRAFRECLHDMD</v>
      </c>
      <c r="G644" s="25" t="str">
        <f>G643</f>
        <v>TRAFRECLHDMD</v>
      </c>
      <c r="H644" s="26">
        <v>2050</v>
      </c>
      <c r="I644" s="26"/>
      <c r="J644" s="27">
        <f>1-(J643*-1)</f>
        <v>0.60000000000000009</v>
      </c>
      <c r="K644" s="26"/>
      <c r="L644" s="26"/>
      <c r="N644" s="28"/>
    </row>
    <row r="645" spans="1:14" x14ac:dyDescent="0.25">
      <c r="A645">
        <f>A635+1</f>
        <v>65</v>
      </c>
      <c r="C645" s="15" t="str">
        <f>IF(E645="","",IF(SUMIFS('TRA TECH'!M:M,'TRA TECH'!J:J,D646,'TRA TECH'!I:I,F646,'TRA TECH'!H:H,E646)=0,"*",IF(_xlfn.XLOOKUP($A645,Selected_constraint!$A:$A,Selected_constraint!$D:$D)=1,"*",IF(SUMIFS('TRA TECH'!$M:$M,'TRA TECH'!$H:$H,E645,'TRA TECH'!$I:$I,F645)=0,"*",IF(SUMIFS('TRA RESID'!$P:$P,'TRA RESID'!$I:$I,G645,'TRA RESID'!$J:$J,D645,'TRA RESID'!$H:$H,E645)=0,"*","UC_"&amp;SUBSTITUTE(D645,"*","")&amp;"_"&amp;SUBSTITUTE(D645,"*","")&amp;"_"&amp;RIGHT(E645,3)&amp;"_"&amp;F645)))))</f>
        <v>*</v>
      </c>
      <c r="D645" s="17" t="s">
        <v>485</v>
      </c>
      <c r="E645" s="17" t="str">
        <f>_xlfn.XLOOKUP($A645,Selected_constraint!$A:$A,Selected_constraint!$B:$B)</f>
        <v>TRAETH</v>
      </c>
      <c r="F645" s="17" t="str">
        <f>_xlfn.XLOOKUP($A645,Selected_constraint!$A:$A,Selected_constraint!$C:$C)</f>
        <v>TRAFRECLHDMD</v>
      </c>
      <c r="G645" s="17" t="str">
        <f>F645</f>
        <v>TRAFRECLHDMD</v>
      </c>
      <c r="H645" s="18">
        <v>2019</v>
      </c>
      <c r="I645" s="18" t="s">
        <v>484</v>
      </c>
      <c r="J645" s="29" t="e">
        <f>-SUMIFS('TRA RESID'!$P:$P,'TRA RESID'!$I:$I,G646,'TRA RESID'!$J:$J,D646,'TRA RESID'!$H:$H,E646)/(SUMIFS('TRA RESID'!$P:$P,'TRA RESID'!$I:$I,G646,'TRA RESID'!$J:$J,D646,'TRA RESID'!$H:$H,E646)+SUMIFS('TRA RESID'!$P:$P,'TRA RESID'!$I:$I,G645,'TRA RESID'!$J:$J,D645,'TRA RESID'!$H:$H,E645))</f>
        <v>#DIV/0!</v>
      </c>
      <c r="K645" s="18">
        <v>0</v>
      </c>
      <c r="L645" s="18">
        <v>5</v>
      </c>
      <c r="N645" s="21">
        <v>1</v>
      </c>
    </row>
    <row r="646" spans="1:14" x14ac:dyDescent="0.25">
      <c r="C646" s="15" t="str">
        <f t="shared" ref="C646:C654" si="64">IF(C645="*",C645,"")</f>
        <v>*</v>
      </c>
      <c r="D646" s="17" t="s">
        <v>487</v>
      </c>
      <c r="E646" s="17" t="str">
        <f>E645</f>
        <v>TRAETH</v>
      </c>
      <c r="F646" s="17" t="str">
        <f>F645</f>
        <v>TRAFRECLHDMD</v>
      </c>
      <c r="G646" s="17" t="str">
        <f>G645</f>
        <v>TRAFRECLHDMD</v>
      </c>
      <c r="H646" s="18">
        <v>2019</v>
      </c>
      <c r="I646" s="18"/>
      <c r="J646" s="20" t="e">
        <f>1-(J645*-1)</f>
        <v>#DIV/0!</v>
      </c>
      <c r="K646" s="18"/>
      <c r="L646" s="18"/>
      <c r="N646" s="21"/>
    </row>
    <row r="647" spans="1:14" x14ac:dyDescent="0.25">
      <c r="C647" s="15" t="str">
        <f t="shared" si="64"/>
        <v>*</v>
      </c>
      <c r="D647" s="17" t="str">
        <f>D645</f>
        <v>*ICEV*</v>
      </c>
      <c r="E647" s="17" t="str">
        <f>E645</f>
        <v>TRAETH</v>
      </c>
      <c r="F647" s="17" t="str">
        <f>F645</f>
        <v>TRAFRECLHDMD</v>
      </c>
      <c r="G647" s="17" t="str">
        <f>G645</f>
        <v>TRAFRECLHDMD</v>
      </c>
      <c r="H647" s="18">
        <v>2025</v>
      </c>
      <c r="I647" s="18"/>
      <c r="J647" s="29" t="e">
        <f>IF(J645=0,-N647+1,J645*N647)</f>
        <v>#DIV/0!</v>
      </c>
      <c r="K647" s="18"/>
      <c r="L647" s="18"/>
      <c r="N647" s="21">
        <v>1.1000000000000001</v>
      </c>
    </row>
    <row r="648" spans="1:14" x14ac:dyDescent="0.25">
      <c r="C648" s="15" t="str">
        <f t="shared" si="64"/>
        <v>*</v>
      </c>
      <c r="D648" s="17" t="s">
        <v>487</v>
      </c>
      <c r="E648" s="17" t="str">
        <f>E647</f>
        <v>TRAETH</v>
      </c>
      <c r="F648" s="17" t="str">
        <f>F647</f>
        <v>TRAFRECLHDMD</v>
      </c>
      <c r="G648" s="17" t="str">
        <f>G647</f>
        <v>TRAFRECLHDMD</v>
      </c>
      <c r="H648" s="18">
        <v>2025</v>
      </c>
      <c r="I648" s="18"/>
      <c r="J648" s="20" t="e">
        <f>1-(J647*-1)</f>
        <v>#DIV/0!</v>
      </c>
      <c r="K648" s="18"/>
      <c r="L648" s="18"/>
      <c r="N648" s="21"/>
    </row>
    <row r="649" spans="1:14" x14ac:dyDescent="0.25">
      <c r="C649" s="15" t="str">
        <f t="shared" si="64"/>
        <v>*</v>
      </c>
      <c r="D649" s="17" t="str">
        <f>D647</f>
        <v>*ICEV*</v>
      </c>
      <c r="E649" s="17" t="str">
        <f>E647</f>
        <v>TRAETH</v>
      </c>
      <c r="F649" s="17" t="str">
        <f>F647</f>
        <v>TRAFRECLHDMD</v>
      </c>
      <c r="G649" s="17" t="str">
        <f>G647</f>
        <v>TRAFRECLHDMD</v>
      </c>
      <c r="H649" s="18">
        <v>2030</v>
      </c>
      <c r="I649" s="18"/>
      <c r="J649" s="29" t="e">
        <f>IF(J645=0,-N649+1,J645*N649)</f>
        <v>#DIV/0!</v>
      </c>
      <c r="K649" s="18"/>
      <c r="L649" s="18"/>
      <c r="N649" s="21">
        <v>1.2</v>
      </c>
    </row>
    <row r="650" spans="1:14" x14ac:dyDescent="0.25">
      <c r="C650" s="15" t="str">
        <f t="shared" si="64"/>
        <v>*</v>
      </c>
      <c r="D650" s="17" t="s">
        <v>487</v>
      </c>
      <c r="E650" s="17" t="str">
        <f>E649</f>
        <v>TRAETH</v>
      </c>
      <c r="F650" s="17" t="str">
        <f>F649</f>
        <v>TRAFRECLHDMD</v>
      </c>
      <c r="G650" s="17" t="str">
        <f>G649</f>
        <v>TRAFRECLHDMD</v>
      </c>
      <c r="H650" s="18">
        <v>2030</v>
      </c>
      <c r="I650" s="18"/>
      <c r="J650" s="20" t="e">
        <f>1-(J649*-1)</f>
        <v>#DIV/0!</v>
      </c>
      <c r="K650" s="18"/>
      <c r="L650" s="18"/>
      <c r="N650" s="21"/>
    </row>
    <row r="651" spans="1:14" x14ac:dyDescent="0.25">
      <c r="C651" s="15" t="str">
        <f t="shared" si="64"/>
        <v>*</v>
      </c>
      <c r="D651" s="17" t="str">
        <f>D649</f>
        <v>*ICEV*</v>
      </c>
      <c r="E651" s="17" t="str">
        <f>E649</f>
        <v>TRAETH</v>
      </c>
      <c r="F651" s="17" t="str">
        <f>F649</f>
        <v>TRAFRECLHDMD</v>
      </c>
      <c r="G651" s="17" t="str">
        <f>G649</f>
        <v>TRAFRECLHDMD</v>
      </c>
      <c r="H651" s="18">
        <v>2040</v>
      </c>
      <c r="I651" s="18"/>
      <c r="J651" s="29" t="e">
        <f>IF(J645=0,-N651+1,J645*N651)</f>
        <v>#DIV/0!</v>
      </c>
      <c r="K651" s="18"/>
      <c r="L651" s="18"/>
      <c r="N651" s="21">
        <v>1.3</v>
      </c>
    </row>
    <row r="652" spans="1:14" x14ac:dyDescent="0.25">
      <c r="C652" s="15" t="str">
        <f t="shared" si="64"/>
        <v>*</v>
      </c>
      <c r="D652" s="17" t="s">
        <v>487</v>
      </c>
      <c r="E652" s="17" t="str">
        <f>E651</f>
        <v>TRAETH</v>
      </c>
      <c r="F652" s="17" t="str">
        <f>F651</f>
        <v>TRAFRECLHDMD</v>
      </c>
      <c r="G652" s="17" t="str">
        <f>G651</f>
        <v>TRAFRECLHDMD</v>
      </c>
      <c r="H652" s="18">
        <v>2040</v>
      </c>
      <c r="I652" s="18"/>
      <c r="J652" s="20" t="e">
        <f>1-(J651*-1)</f>
        <v>#DIV/0!</v>
      </c>
      <c r="K652" s="18"/>
      <c r="L652" s="18"/>
      <c r="N652" s="21"/>
    </row>
    <row r="653" spans="1:14" x14ac:dyDescent="0.25">
      <c r="C653" s="15" t="str">
        <f t="shared" si="64"/>
        <v>*</v>
      </c>
      <c r="D653" s="17" t="str">
        <f>D651</f>
        <v>*ICEV*</v>
      </c>
      <c r="E653" s="17" t="str">
        <f>E651</f>
        <v>TRAETH</v>
      </c>
      <c r="F653" s="17" t="str">
        <f>F651</f>
        <v>TRAFRECLHDMD</v>
      </c>
      <c r="G653" s="17" t="str">
        <f>G651</f>
        <v>TRAFRECLHDMD</v>
      </c>
      <c r="H653" s="18">
        <v>2050</v>
      </c>
      <c r="I653" s="18"/>
      <c r="J653" s="29" t="e">
        <f>IF(J645=0,-N653+1,J645*N653)</f>
        <v>#DIV/0!</v>
      </c>
      <c r="K653" s="18"/>
      <c r="L653" s="18"/>
      <c r="N653" s="21">
        <v>1.4</v>
      </c>
    </row>
    <row r="654" spans="1:14" x14ac:dyDescent="0.25">
      <c r="C654" s="23" t="str">
        <f t="shared" si="64"/>
        <v>*</v>
      </c>
      <c r="D654" s="25" t="s">
        <v>487</v>
      </c>
      <c r="E654" s="25" t="str">
        <f>E653</f>
        <v>TRAETH</v>
      </c>
      <c r="F654" s="25" t="str">
        <f>F653</f>
        <v>TRAFRECLHDMD</v>
      </c>
      <c r="G654" s="25" t="str">
        <f>G653</f>
        <v>TRAFRECLHDMD</v>
      </c>
      <c r="H654" s="26">
        <v>2050</v>
      </c>
      <c r="I654" s="26"/>
      <c r="J654" s="27" t="e">
        <f>1-(J653*-1)</f>
        <v>#DIV/0!</v>
      </c>
      <c r="K654" s="26"/>
      <c r="L654" s="26"/>
      <c r="N654" s="28"/>
    </row>
    <row r="655" spans="1:14" x14ac:dyDescent="0.25">
      <c r="A655">
        <f>A645+1</f>
        <v>66</v>
      </c>
      <c r="C655" s="15" t="str">
        <f>IF(E655="","",IF(SUMIFS('TRA TECH'!M:M,'TRA TECH'!J:J,D656,'TRA TECH'!I:I,F656,'TRA TECH'!H:H,E656)=0,"*",IF(_xlfn.XLOOKUP($A655,Selected_constraint!$A:$A,Selected_constraint!$D:$D)=1,"*",IF(SUMIFS('TRA TECH'!$M:$M,'TRA TECH'!$H:$H,E655,'TRA TECH'!$I:$I,F655)=0,"*",IF(SUMIFS('TRA RESID'!$P:$P,'TRA RESID'!$I:$I,G655,'TRA RESID'!$J:$J,D655,'TRA RESID'!$H:$H,E655)=0,"*","UC_"&amp;SUBSTITUTE(D655,"*","")&amp;"_"&amp;SUBSTITUTE(D655,"*","")&amp;"_"&amp;RIGHT(E655,3)&amp;"_"&amp;F655)))))</f>
        <v>UC_ICEV_ICEV_DSL_TRAFRECLHDMD</v>
      </c>
      <c r="D655" s="17" t="s">
        <v>485</v>
      </c>
      <c r="E655" s="17" t="str">
        <f>_xlfn.XLOOKUP($A655,Selected_constraint!$A:$A,Selected_constraint!$B:$B)</f>
        <v>TRADSL</v>
      </c>
      <c r="F655" s="17" t="str">
        <f>_xlfn.XLOOKUP($A655,Selected_constraint!$A:$A,Selected_constraint!$C:$C)</f>
        <v>TRAFRECLHDMD</v>
      </c>
      <c r="G655" s="17" t="str">
        <f>F655</f>
        <v>TRAFRECLHDMD</v>
      </c>
      <c r="H655" s="18">
        <v>2019</v>
      </c>
      <c r="I655" s="18" t="s">
        <v>484</v>
      </c>
      <c r="J655" s="29">
        <f>-SUMIFS('TRA RESID'!$P:$P,'TRA RESID'!$I:$I,G656,'TRA RESID'!$J:$J,D656,'TRA RESID'!$H:$H,E656)/(SUMIFS('TRA RESID'!$P:$P,'TRA RESID'!$I:$I,G656,'TRA RESID'!$J:$J,D656,'TRA RESID'!$H:$H,E656)+SUMIFS('TRA RESID'!$P:$P,'TRA RESID'!$I:$I,G655,'TRA RESID'!$J:$J,D655,'TRA RESID'!$H:$H,E655))</f>
        <v>0</v>
      </c>
      <c r="K655" s="18">
        <v>0</v>
      </c>
      <c r="L655" s="18">
        <v>5</v>
      </c>
      <c r="N655" s="21">
        <v>1</v>
      </c>
    </row>
    <row r="656" spans="1:14" x14ac:dyDescent="0.25">
      <c r="C656" s="15" t="str">
        <f t="shared" ref="C656:C664" si="65">IF(C655="*",C655,"")</f>
        <v/>
      </c>
      <c r="D656" s="17" t="s">
        <v>487</v>
      </c>
      <c r="E656" s="17" t="str">
        <f>E655</f>
        <v>TRADSL</v>
      </c>
      <c r="F656" s="17" t="str">
        <f>F655</f>
        <v>TRAFRECLHDMD</v>
      </c>
      <c r="G656" s="17" t="str">
        <f>G655</f>
        <v>TRAFRECLHDMD</v>
      </c>
      <c r="H656" s="18">
        <v>2019</v>
      </c>
      <c r="I656" s="18"/>
      <c r="J656" s="20">
        <f>1-(J655*-1)</f>
        <v>1</v>
      </c>
      <c r="K656" s="18"/>
      <c r="L656" s="18"/>
      <c r="N656" s="21"/>
    </row>
    <row r="657" spans="1:14" x14ac:dyDescent="0.25">
      <c r="C657" s="15" t="str">
        <f t="shared" si="65"/>
        <v/>
      </c>
      <c r="D657" s="17" t="str">
        <f>D655</f>
        <v>*ICEV*</v>
      </c>
      <c r="E657" s="17" t="str">
        <f>E655</f>
        <v>TRADSL</v>
      </c>
      <c r="F657" s="17" t="str">
        <f>F655</f>
        <v>TRAFRECLHDMD</v>
      </c>
      <c r="G657" s="17" t="str">
        <f>G655</f>
        <v>TRAFRECLHDMD</v>
      </c>
      <c r="H657" s="18">
        <v>2025</v>
      </c>
      <c r="I657" s="18"/>
      <c r="J657" s="29">
        <f>IF(J655=0,-N657+1,J655*N657)</f>
        <v>-0.10000000000000009</v>
      </c>
      <c r="K657" s="18"/>
      <c r="L657" s="18"/>
      <c r="N657" s="21">
        <v>1.1000000000000001</v>
      </c>
    </row>
    <row r="658" spans="1:14" x14ac:dyDescent="0.25">
      <c r="C658" s="15" t="str">
        <f t="shared" si="65"/>
        <v/>
      </c>
      <c r="D658" s="17" t="s">
        <v>487</v>
      </c>
      <c r="E658" s="17" t="str">
        <f>E657</f>
        <v>TRADSL</v>
      </c>
      <c r="F658" s="17" t="str">
        <f>F657</f>
        <v>TRAFRECLHDMD</v>
      </c>
      <c r="G658" s="17" t="str">
        <f>G657</f>
        <v>TRAFRECLHDMD</v>
      </c>
      <c r="H658" s="18">
        <v>2025</v>
      </c>
      <c r="I658" s="18"/>
      <c r="J658" s="20">
        <f>1-(J657*-1)</f>
        <v>0.89999999999999991</v>
      </c>
      <c r="K658" s="18"/>
      <c r="L658" s="18"/>
      <c r="N658" s="21"/>
    </row>
    <row r="659" spans="1:14" x14ac:dyDescent="0.25">
      <c r="C659" s="15" t="str">
        <f t="shared" si="65"/>
        <v/>
      </c>
      <c r="D659" s="17" t="str">
        <f>D657</f>
        <v>*ICEV*</v>
      </c>
      <c r="E659" s="17" t="str">
        <f>E657</f>
        <v>TRADSL</v>
      </c>
      <c r="F659" s="17" t="str">
        <f>F657</f>
        <v>TRAFRECLHDMD</v>
      </c>
      <c r="G659" s="17" t="str">
        <f>G657</f>
        <v>TRAFRECLHDMD</v>
      </c>
      <c r="H659" s="18">
        <v>2030</v>
      </c>
      <c r="I659" s="18"/>
      <c r="J659" s="29">
        <f>IF(J655=0,-N659+1,J655*N659)</f>
        <v>-0.19999999999999996</v>
      </c>
      <c r="K659" s="18"/>
      <c r="L659" s="18"/>
      <c r="N659" s="21">
        <v>1.2</v>
      </c>
    </row>
    <row r="660" spans="1:14" x14ac:dyDescent="0.25">
      <c r="C660" s="15" t="str">
        <f t="shared" si="65"/>
        <v/>
      </c>
      <c r="D660" s="17" t="s">
        <v>487</v>
      </c>
      <c r="E660" s="17" t="str">
        <f>E659</f>
        <v>TRADSL</v>
      </c>
      <c r="F660" s="17" t="str">
        <f>F659</f>
        <v>TRAFRECLHDMD</v>
      </c>
      <c r="G660" s="17" t="str">
        <f>G659</f>
        <v>TRAFRECLHDMD</v>
      </c>
      <c r="H660" s="18">
        <v>2030</v>
      </c>
      <c r="I660" s="18"/>
      <c r="J660" s="20">
        <f>1-(J659*-1)</f>
        <v>0.8</v>
      </c>
      <c r="K660" s="18"/>
      <c r="L660" s="18"/>
      <c r="N660" s="21"/>
    </row>
    <row r="661" spans="1:14" x14ac:dyDescent="0.25">
      <c r="C661" s="15" t="str">
        <f t="shared" si="65"/>
        <v/>
      </c>
      <c r="D661" s="17" t="str">
        <f>D659</f>
        <v>*ICEV*</v>
      </c>
      <c r="E661" s="17" t="str">
        <f>E659</f>
        <v>TRADSL</v>
      </c>
      <c r="F661" s="17" t="str">
        <f>F659</f>
        <v>TRAFRECLHDMD</v>
      </c>
      <c r="G661" s="17" t="str">
        <f>G659</f>
        <v>TRAFRECLHDMD</v>
      </c>
      <c r="H661" s="18">
        <v>2040</v>
      </c>
      <c r="I661" s="18"/>
      <c r="J661" s="29">
        <f>IF(J655=0,-N661+1,J655*N661)</f>
        <v>-0.30000000000000004</v>
      </c>
      <c r="K661" s="18"/>
      <c r="L661" s="18"/>
      <c r="N661" s="21">
        <v>1.3</v>
      </c>
    </row>
    <row r="662" spans="1:14" x14ac:dyDescent="0.25">
      <c r="C662" s="15" t="str">
        <f t="shared" si="65"/>
        <v/>
      </c>
      <c r="D662" s="17" t="s">
        <v>487</v>
      </c>
      <c r="E662" s="17" t="str">
        <f>E661</f>
        <v>TRADSL</v>
      </c>
      <c r="F662" s="17" t="str">
        <f>F661</f>
        <v>TRAFRECLHDMD</v>
      </c>
      <c r="G662" s="17" t="str">
        <f>G661</f>
        <v>TRAFRECLHDMD</v>
      </c>
      <c r="H662" s="18">
        <v>2040</v>
      </c>
      <c r="I662" s="18"/>
      <c r="J662" s="20">
        <f>1-(J661*-1)</f>
        <v>0.7</v>
      </c>
      <c r="K662" s="18"/>
      <c r="L662" s="18"/>
      <c r="N662" s="21"/>
    </row>
    <row r="663" spans="1:14" x14ac:dyDescent="0.25">
      <c r="C663" s="15" t="str">
        <f t="shared" si="65"/>
        <v/>
      </c>
      <c r="D663" s="17" t="str">
        <f>D661</f>
        <v>*ICEV*</v>
      </c>
      <c r="E663" s="17" t="str">
        <f>E661</f>
        <v>TRADSL</v>
      </c>
      <c r="F663" s="17" t="str">
        <f>F661</f>
        <v>TRAFRECLHDMD</v>
      </c>
      <c r="G663" s="17" t="str">
        <f>G661</f>
        <v>TRAFRECLHDMD</v>
      </c>
      <c r="H663" s="18">
        <v>2050</v>
      </c>
      <c r="I663" s="18"/>
      <c r="J663" s="29">
        <f>IF(J655=0,-N663+1,J655*N663)</f>
        <v>-0.39999999999999991</v>
      </c>
      <c r="K663" s="18"/>
      <c r="L663" s="18"/>
      <c r="N663" s="21">
        <v>1.4</v>
      </c>
    </row>
    <row r="664" spans="1:14" x14ac:dyDescent="0.25">
      <c r="C664" s="23" t="str">
        <f t="shared" si="65"/>
        <v/>
      </c>
      <c r="D664" s="25" t="s">
        <v>487</v>
      </c>
      <c r="E664" s="25" t="str">
        <f>E663</f>
        <v>TRADSL</v>
      </c>
      <c r="F664" s="25" t="str">
        <f>F663</f>
        <v>TRAFRECLHDMD</v>
      </c>
      <c r="G664" s="25" t="str">
        <f>G663</f>
        <v>TRAFRECLHDMD</v>
      </c>
      <c r="H664" s="26">
        <v>2050</v>
      </c>
      <c r="I664" s="26"/>
      <c r="J664" s="27">
        <f>1-(J663*-1)</f>
        <v>0.60000000000000009</v>
      </c>
      <c r="K664" s="26"/>
      <c r="L664" s="26"/>
      <c r="N664" s="28"/>
    </row>
    <row r="665" spans="1:14" x14ac:dyDescent="0.25">
      <c r="A665">
        <f>A655+1</f>
        <v>67</v>
      </c>
      <c r="C665" s="15" t="str">
        <f>IF(E665="","",IF(SUMIFS('TRA TECH'!M:M,'TRA TECH'!J:J,D666,'TRA TECH'!I:I,F666,'TRA TECH'!H:H,E666)=0,"*",IF(_xlfn.XLOOKUP($A665,Selected_constraint!$A:$A,Selected_constraint!$D:$D)=1,"*",IF(SUMIFS('TRA TECH'!$M:$M,'TRA TECH'!$H:$H,E665,'TRA TECH'!$I:$I,F665)=0,"*",IF(SUMIFS('TRA RESID'!$P:$P,'TRA RESID'!$I:$I,G665,'TRA RESID'!$J:$J,D665,'TRA RESID'!$H:$H,E665)=0,"*","UC_"&amp;SUBSTITUTE(D665,"*","")&amp;"_"&amp;SUBSTITUTE(D665,"*","")&amp;"_"&amp;RIGHT(E665,3)&amp;"_"&amp;F665)))))</f>
        <v>*</v>
      </c>
      <c r="D665" s="17" t="s">
        <v>485</v>
      </c>
      <c r="E665" s="17" t="str">
        <f>_xlfn.XLOOKUP($A665,Selected_constraint!$A:$A,Selected_constraint!$B:$B)</f>
        <v>TRARDS</v>
      </c>
      <c r="F665" s="17" t="str">
        <f>_xlfn.XLOOKUP($A665,Selected_constraint!$A:$A,Selected_constraint!$C:$C)</f>
        <v>TRAFRECLHDMD</v>
      </c>
      <c r="G665" s="17" t="str">
        <f>F665</f>
        <v>TRAFRECLHDMD</v>
      </c>
      <c r="H665" s="18">
        <v>2019</v>
      </c>
      <c r="I665" s="18" t="s">
        <v>484</v>
      </c>
      <c r="J665" s="29" t="e">
        <f>-SUMIFS('TRA RESID'!$P:$P,'TRA RESID'!$I:$I,G666,'TRA RESID'!$J:$J,D666,'TRA RESID'!$H:$H,E666)/(SUMIFS('TRA RESID'!$P:$P,'TRA RESID'!$I:$I,G666,'TRA RESID'!$J:$J,D666,'TRA RESID'!$H:$H,E666)+SUMIFS('TRA RESID'!$P:$P,'TRA RESID'!$I:$I,G665,'TRA RESID'!$J:$J,D665,'TRA RESID'!$H:$H,E665))</f>
        <v>#DIV/0!</v>
      </c>
      <c r="K665" s="18">
        <v>0</v>
      </c>
      <c r="L665" s="18">
        <v>5</v>
      </c>
      <c r="N665" s="21">
        <v>1</v>
      </c>
    </row>
    <row r="666" spans="1:14" x14ac:dyDescent="0.25">
      <c r="C666" s="15" t="str">
        <f t="shared" ref="C666:C674" si="66">IF(C665="*",C665,"")</f>
        <v>*</v>
      </c>
      <c r="D666" s="17" t="s">
        <v>487</v>
      </c>
      <c r="E666" s="17" t="str">
        <f>E665</f>
        <v>TRARDS</v>
      </c>
      <c r="F666" s="17" t="str">
        <f>F665</f>
        <v>TRAFRECLHDMD</v>
      </c>
      <c r="G666" s="17" t="str">
        <f>G665</f>
        <v>TRAFRECLHDMD</v>
      </c>
      <c r="H666" s="18">
        <v>2019</v>
      </c>
      <c r="I666" s="18"/>
      <c r="J666" s="20" t="e">
        <f>1-(J665*-1)</f>
        <v>#DIV/0!</v>
      </c>
      <c r="K666" s="18"/>
      <c r="L666" s="18"/>
      <c r="N666" s="21"/>
    </row>
    <row r="667" spans="1:14" x14ac:dyDescent="0.25">
      <c r="C667" s="15" t="str">
        <f t="shared" si="66"/>
        <v>*</v>
      </c>
      <c r="D667" s="17" t="str">
        <f>D665</f>
        <v>*ICEV*</v>
      </c>
      <c r="E667" s="17" t="str">
        <f>E665</f>
        <v>TRARDS</v>
      </c>
      <c r="F667" s="17" t="str">
        <f>F665</f>
        <v>TRAFRECLHDMD</v>
      </c>
      <c r="G667" s="17" t="str">
        <f>G665</f>
        <v>TRAFRECLHDMD</v>
      </c>
      <c r="H667" s="18">
        <v>2025</v>
      </c>
      <c r="I667" s="18"/>
      <c r="J667" s="29" t="e">
        <f>IF(J665=0,-N667+1,J665*N667)</f>
        <v>#DIV/0!</v>
      </c>
      <c r="K667" s="18"/>
      <c r="L667" s="18"/>
      <c r="N667" s="21">
        <v>1.1000000000000001</v>
      </c>
    </row>
    <row r="668" spans="1:14" x14ac:dyDescent="0.25">
      <c r="C668" s="15" t="str">
        <f t="shared" si="66"/>
        <v>*</v>
      </c>
      <c r="D668" s="17" t="s">
        <v>487</v>
      </c>
      <c r="E668" s="17" t="str">
        <f>E667</f>
        <v>TRARDS</v>
      </c>
      <c r="F668" s="17" t="str">
        <f>F667</f>
        <v>TRAFRECLHDMD</v>
      </c>
      <c r="G668" s="17" t="str">
        <f>G667</f>
        <v>TRAFRECLHDMD</v>
      </c>
      <c r="H668" s="18">
        <v>2025</v>
      </c>
      <c r="I668" s="18"/>
      <c r="J668" s="20" t="e">
        <f>1-(J667*-1)</f>
        <v>#DIV/0!</v>
      </c>
      <c r="K668" s="18"/>
      <c r="L668" s="18"/>
      <c r="N668" s="21"/>
    </row>
    <row r="669" spans="1:14" x14ac:dyDescent="0.25">
      <c r="C669" s="15" t="str">
        <f t="shared" si="66"/>
        <v>*</v>
      </c>
      <c r="D669" s="17" t="str">
        <f>D667</f>
        <v>*ICEV*</v>
      </c>
      <c r="E669" s="17" t="str">
        <f>E667</f>
        <v>TRARDS</v>
      </c>
      <c r="F669" s="17" t="str">
        <f>F667</f>
        <v>TRAFRECLHDMD</v>
      </c>
      <c r="G669" s="17" t="str">
        <f>G667</f>
        <v>TRAFRECLHDMD</v>
      </c>
      <c r="H669" s="18">
        <v>2030</v>
      </c>
      <c r="I669" s="18"/>
      <c r="J669" s="29" t="e">
        <f>IF(J665=0,-N669+1,J665*N669)</f>
        <v>#DIV/0!</v>
      </c>
      <c r="K669" s="18"/>
      <c r="L669" s="18"/>
      <c r="N669" s="21">
        <v>1.2</v>
      </c>
    </row>
    <row r="670" spans="1:14" x14ac:dyDescent="0.25">
      <c r="C670" s="15" t="str">
        <f t="shared" si="66"/>
        <v>*</v>
      </c>
      <c r="D670" s="17" t="s">
        <v>487</v>
      </c>
      <c r="E670" s="17" t="str">
        <f>E669</f>
        <v>TRARDS</v>
      </c>
      <c r="F670" s="17" t="str">
        <f>F669</f>
        <v>TRAFRECLHDMD</v>
      </c>
      <c r="G670" s="17" t="str">
        <f>G669</f>
        <v>TRAFRECLHDMD</v>
      </c>
      <c r="H670" s="18">
        <v>2030</v>
      </c>
      <c r="I670" s="18"/>
      <c r="J670" s="20" t="e">
        <f>1-(J669*-1)</f>
        <v>#DIV/0!</v>
      </c>
      <c r="K670" s="18"/>
      <c r="L670" s="18"/>
      <c r="N670" s="21"/>
    </row>
    <row r="671" spans="1:14" x14ac:dyDescent="0.25">
      <c r="C671" s="15" t="str">
        <f t="shared" si="66"/>
        <v>*</v>
      </c>
      <c r="D671" s="17" t="str">
        <f>D669</f>
        <v>*ICEV*</v>
      </c>
      <c r="E671" s="17" t="str">
        <f>E669</f>
        <v>TRARDS</v>
      </c>
      <c r="F671" s="17" t="str">
        <f>F669</f>
        <v>TRAFRECLHDMD</v>
      </c>
      <c r="G671" s="17" t="str">
        <f>G669</f>
        <v>TRAFRECLHDMD</v>
      </c>
      <c r="H671" s="18">
        <v>2040</v>
      </c>
      <c r="I671" s="18"/>
      <c r="J671" s="29" t="e">
        <f>IF(J665=0,-N671+1,J665*N671)</f>
        <v>#DIV/0!</v>
      </c>
      <c r="K671" s="18"/>
      <c r="L671" s="18"/>
      <c r="N671" s="21">
        <v>1.3</v>
      </c>
    </row>
    <row r="672" spans="1:14" x14ac:dyDescent="0.25">
      <c r="C672" s="15" t="str">
        <f t="shared" si="66"/>
        <v>*</v>
      </c>
      <c r="D672" s="17" t="s">
        <v>487</v>
      </c>
      <c r="E672" s="17" t="str">
        <f>E671</f>
        <v>TRARDS</v>
      </c>
      <c r="F672" s="17" t="str">
        <f>F671</f>
        <v>TRAFRECLHDMD</v>
      </c>
      <c r="G672" s="17" t="str">
        <f>G671</f>
        <v>TRAFRECLHDMD</v>
      </c>
      <c r="H672" s="18">
        <v>2040</v>
      </c>
      <c r="I672" s="18"/>
      <c r="J672" s="20" t="e">
        <f>1-(J671*-1)</f>
        <v>#DIV/0!</v>
      </c>
      <c r="K672" s="18"/>
      <c r="L672" s="18"/>
      <c r="N672" s="21"/>
    </row>
    <row r="673" spans="1:14" x14ac:dyDescent="0.25">
      <c r="C673" s="15" t="str">
        <f t="shared" si="66"/>
        <v>*</v>
      </c>
      <c r="D673" s="17" t="str">
        <f>D671</f>
        <v>*ICEV*</v>
      </c>
      <c r="E673" s="17" t="str">
        <f>E671</f>
        <v>TRARDS</v>
      </c>
      <c r="F673" s="17" t="str">
        <f>F671</f>
        <v>TRAFRECLHDMD</v>
      </c>
      <c r="G673" s="17" t="str">
        <f>G671</f>
        <v>TRAFRECLHDMD</v>
      </c>
      <c r="H673" s="18">
        <v>2050</v>
      </c>
      <c r="I673" s="18"/>
      <c r="J673" s="29" t="e">
        <f>IF(J665=0,-N673+1,J665*N673)</f>
        <v>#DIV/0!</v>
      </c>
      <c r="K673" s="18"/>
      <c r="L673" s="18"/>
      <c r="N673" s="21">
        <v>1.4</v>
      </c>
    </row>
    <row r="674" spans="1:14" x14ac:dyDescent="0.25">
      <c r="C674" s="23" t="str">
        <f t="shared" si="66"/>
        <v>*</v>
      </c>
      <c r="D674" s="25" t="s">
        <v>487</v>
      </c>
      <c r="E674" s="25" t="str">
        <f>E673</f>
        <v>TRARDS</v>
      </c>
      <c r="F674" s="25" t="str">
        <f>F673</f>
        <v>TRAFRECLHDMD</v>
      </c>
      <c r="G674" s="25" t="str">
        <f>G673</f>
        <v>TRAFRECLHDMD</v>
      </c>
      <c r="H674" s="26">
        <v>2050</v>
      </c>
      <c r="I674" s="26"/>
      <c r="J674" s="27" t="e">
        <f>1-(J673*-1)</f>
        <v>#DIV/0!</v>
      </c>
      <c r="K674" s="26"/>
      <c r="L674" s="26"/>
      <c r="N674" s="28"/>
    </row>
    <row r="675" spans="1:14" x14ac:dyDescent="0.25">
      <c r="A675">
        <f>A665+1</f>
        <v>68</v>
      </c>
      <c r="C675" s="15" t="str">
        <f>IF(E675="","",IF(SUMIFS('TRA TECH'!M:M,'TRA TECH'!J:J,D676,'TRA TECH'!I:I,F676,'TRA TECH'!H:H,E676)=0,"*",IF(_xlfn.XLOOKUP($A675,Selected_constraint!$A:$A,Selected_constraint!$D:$D)=1,"*",IF(SUMIFS('TRA TECH'!$M:$M,'TRA TECH'!$H:$H,E675,'TRA TECH'!$I:$I,F675)=0,"*",IF(SUMIFS('TRA RESID'!$P:$P,'TRA RESID'!$I:$I,G675,'TRA RESID'!$J:$J,D675,'TRA RESID'!$H:$H,E675)=0,"*","UC_"&amp;SUBSTITUTE(D675,"*","")&amp;"_"&amp;SUBSTITUTE(D675,"*","")&amp;"_"&amp;RIGHT(E675,3)&amp;"_"&amp;F675)))))</f>
        <v>*</v>
      </c>
      <c r="D675" s="17" t="s">
        <v>485</v>
      </c>
      <c r="E675" s="17" t="str">
        <f>_xlfn.XLOOKUP($A675,Selected_constraint!$A:$A,Selected_constraint!$B:$B)</f>
        <v>TRABDS</v>
      </c>
      <c r="F675" s="17" t="str">
        <f>_xlfn.XLOOKUP($A675,Selected_constraint!$A:$A,Selected_constraint!$C:$C)</f>
        <v>TRAFRECLHDMD</v>
      </c>
      <c r="G675" s="17" t="str">
        <f>F675</f>
        <v>TRAFRECLHDMD</v>
      </c>
      <c r="H675" s="18">
        <v>2019</v>
      </c>
      <c r="I675" s="18" t="s">
        <v>484</v>
      </c>
      <c r="J675" s="29" t="e">
        <f>-SUMIFS('TRA RESID'!$P:$P,'TRA RESID'!$I:$I,G676,'TRA RESID'!$J:$J,D676,'TRA RESID'!$H:$H,E676)/(SUMIFS('TRA RESID'!$P:$P,'TRA RESID'!$I:$I,G676,'TRA RESID'!$J:$J,D676,'TRA RESID'!$H:$H,E676)+SUMIFS('TRA RESID'!$P:$P,'TRA RESID'!$I:$I,G675,'TRA RESID'!$J:$J,D675,'TRA RESID'!$H:$H,E675))</f>
        <v>#DIV/0!</v>
      </c>
      <c r="K675" s="18">
        <v>0</v>
      </c>
      <c r="L675" s="18">
        <v>5</v>
      </c>
      <c r="N675" s="21">
        <v>1</v>
      </c>
    </row>
    <row r="676" spans="1:14" x14ac:dyDescent="0.25">
      <c r="C676" s="15" t="str">
        <f t="shared" ref="C676:C684" si="67">IF(C675="*",C675,"")</f>
        <v>*</v>
      </c>
      <c r="D676" s="17" t="s">
        <v>487</v>
      </c>
      <c r="E676" s="17" t="str">
        <f>E675</f>
        <v>TRABDS</v>
      </c>
      <c r="F676" s="17" t="str">
        <f>F675</f>
        <v>TRAFRECLHDMD</v>
      </c>
      <c r="G676" s="17" t="str">
        <f>G675</f>
        <v>TRAFRECLHDMD</v>
      </c>
      <c r="H676" s="18">
        <v>2019</v>
      </c>
      <c r="I676" s="18"/>
      <c r="J676" s="20" t="e">
        <f>1-(J675*-1)</f>
        <v>#DIV/0!</v>
      </c>
      <c r="K676" s="18"/>
      <c r="L676" s="18"/>
      <c r="N676" s="21"/>
    </row>
    <row r="677" spans="1:14" x14ac:dyDescent="0.25">
      <c r="C677" s="15" t="str">
        <f t="shared" si="67"/>
        <v>*</v>
      </c>
      <c r="D677" s="17" t="str">
        <f>D675</f>
        <v>*ICEV*</v>
      </c>
      <c r="E677" s="17" t="str">
        <f>E675</f>
        <v>TRABDS</v>
      </c>
      <c r="F677" s="17" t="str">
        <f>F675</f>
        <v>TRAFRECLHDMD</v>
      </c>
      <c r="G677" s="17" t="str">
        <f>G675</f>
        <v>TRAFRECLHDMD</v>
      </c>
      <c r="H677" s="18">
        <v>2025</v>
      </c>
      <c r="I677" s="18"/>
      <c r="J677" s="29" t="e">
        <f>IF(J675=0,-N677+1,J675*N677)</f>
        <v>#DIV/0!</v>
      </c>
      <c r="K677" s="18"/>
      <c r="L677" s="18"/>
      <c r="N677" s="21">
        <v>1.1000000000000001</v>
      </c>
    </row>
    <row r="678" spans="1:14" x14ac:dyDescent="0.25">
      <c r="C678" s="15" t="str">
        <f t="shared" si="67"/>
        <v>*</v>
      </c>
      <c r="D678" s="17" t="s">
        <v>487</v>
      </c>
      <c r="E678" s="17" t="str">
        <f>E677</f>
        <v>TRABDS</v>
      </c>
      <c r="F678" s="17" t="str">
        <f>F677</f>
        <v>TRAFRECLHDMD</v>
      </c>
      <c r="G678" s="17" t="str">
        <f>G677</f>
        <v>TRAFRECLHDMD</v>
      </c>
      <c r="H678" s="18">
        <v>2025</v>
      </c>
      <c r="I678" s="18"/>
      <c r="J678" s="20" t="e">
        <f>1-(J677*-1)</f>
        <v>#DIV/0!</v>
      </c>
      <c r="K678" s="18"/>
      <c r="L678" s="18"/>
      <c r="N678" s="21"/>
    </row>
    <row r="679" spans="1:14" x14ac:dyDescent="0.25">
      <c r="C679" s="15" t="str">
        <f t="shared" si="67"/>
        <v>*</v>
      </c>
      <c r="D679" s="17" t="str">
        <f>D677</f>
        <v>*ICEV*</v>
      </c>
      <c r="E679" s="17" t="str">
        <f>E677</f>
        <v>TRABDS</v>
      </c>
      <c r="F679" s="17" t="str">
        <f>F677</f>
        <v>TRAFRECLHDMD</v>
      </c>
      <c r="G679" s="17" t="str">
        <f>G677</f>
        <v>TRAFRECLHDMD</v>
      </c>
      <c r="H679" s="18">
        <v>2030</v>
      </c>
      <c r="I679" s="18"/>
      <c r="J679" s="29" t="e">
        <f>IF(J675=0,-N679+1,J675*N679)</f>
        <v>#DIV/0!</v>
      </c>
      <c r="K679" s="18"/>
      <c r="L679" s="18"/>
      <c r="N679" s="21">
        <v>1.2</v>
      </c>
    </row>
    <row r="680" spans="1:14" x14ac:dyDescent="0.25">
      <c r="C680" s="15" t="str">
        <f t="shared" si="67"/>
        <v>*</v>
      </c>
      <c r="D680" s="17" t="s">
        <v>487</v>
      </c>
      <c r="E680" s="17" t="str">
        <f>E679</f>
        <v>TRABDS</v>
      </c>
      <c r="F680" s="17" t="str">
        <f>F679</f>
        <v>TRAFRECLHDMD</v>
      </c>
      <c r="G680" s="17" t="str">
        <f>G679</f>
        <v>TRAFRECLHDMD</v>
      </c>
      <c r="H680" s="18">
        <v>2030</v>
      </c>
      <c r="I680" s="18"/>
      <c r="J680" s="20" t="e">
        <f>1-(J679*-1)</f>
        <v>#DIV/0!</v>
      </c>
      <c r="K680" s="18"/>
      <c r="L680" s="18"/>
      <c r="N680" s="21"/>
    </row>
    <row r="681" spans="1:14" x14ac:dyDescent="0.25">
      <c r="C681" s="15" t="str">
        <f t="shared" si="67"/>
        <v>*</v>
      </c>
      <c r="D681" s="17" t="str">
        <f>D679</f>
        <v>*ICEV*</v>
      </c>
      <c r="E681" s="17" t="str">
        <f>E679</f>
        <v>TRABDS</v>
      </c>
      <c r="F681" s="17" t="str">
        <f>F679</f>
        <v>TRAFRECLHDMD</v>
      </c>
      <c r="G681" s="17" t="str">
        <f>G679</f>
        <v>TRAFRECLHDMD</v>
      </c>
      <c r="H681" s="18">
        <v>2040</v>
      </c>
      <c r="I681" s="18"/>
      <c r="J681" s="29" t="e">
        <f>IF(J675=0,-N681+1,J675*N681)</f>
        <v>#DIV/0!</v>
      </c>
      <c r="K681" s="18"/>
      <c r="L681" s="18"/>
      <c r="N681" s="21">
        <v>1.3</v>
      </c>
    </row>
    <row r="682" spans="1:14" x14ac:dyDescent="0.25">
      <c r="C682" s="15" t="str">
        <f t="shared" si="67"/>
        <v>*</v>
      </c>
      <c r="D682" s="17" t="s">
        <v>487</v>
      </c>
      <c r="E682" s="17" t="str">
        <f>E681</f>
        <v>TRABDS</v>
      </c>
      <c r="F682" s="17" t="str">
        <f>F681</f>
        <v>TRAFRECLHDMD</v>
      </c>
      <c r="G682" s="17" t="str">
        <f>G681</f>
        <v>TRAFRECLHDMD</v>
      </c>
      <c r="H682" s="18">
        <v>2040</v>
      </c>
      <c r="I682" s="18"/>
      <c r="J682" s="20" t="e">
        <f>1-(J681*-1)</f>
        <v>#DIV/0!</v>
      </c>
      <c r="K682" s="18"/>
      <c r="L682" s="18"/>
      <c r="N682" s="21"/>
    </row>
    <row r="683" spans="1:14" x14ac:dyDescent="0.25">
      <c r="C683" s="15" t="str">
        <f t="shared" si="67"/>
        <v>*</v>
      </c>
      <c r="D683" s="17" t="str">
        <f>D681</f>
        <v>*ICEV*</v>
      </c>
      <c r="E683" s="17" t="str">
        <f>E681</f>
        <v>TRABDS</v>
      </c>
      <c r="F683" s="17" t="str">
        <f>F681</f>
        <v>TRAFRECLHDMD</v>
      </c>
      <c r="G683" s="17" t="str">
        <f>G681</f>
        <v>TRAFRECLHDMD</v>
      </c>
      <c r="H683" s="18">
        <v>2050</v>
      </c>
      <c r="I683" s="18"/>
      <c r="J683" s="29" t="e">
        <f>IF(J675=0,-N683+1,J675*N683)</f>
        <v>#DIV/0!</v>
      </c>
      <c r="K683" s="18"/>
      <c r="L683" s="18"/>
      <c r="N683" s="21">
        <v>1.4</v>
      </c>
    </row>
    <row r="684" spans="1:14" x14ac:dyDescent="0.25">
      <c r="C684" s="23" t="str">
        <f t="shared" si="67"/>
        <v>*</v>
      </c>
      <c r="D684" s="25" t="s">
        <v>487</v>
      </c>
      <c r="E684" s="25" t="str">
        <f>E683</f>
        <v>TRABDS</v>
      </c>
      <c r="F684" s="25" t="str">
        <f>F683</f>
        <v>TRAFRECLHDMD</v>
      </c>
      <c r="G684" s="25" t="str">
        <f>G683</f>
        <v>TRAFRECLHDMD</v>
      </c>
      <c r="H684" s="26">
        <v>2050</v>
      </c>
      <c r="I684" s="26"/>
      <c r="J684" s="27" t="e">
        <f>1-(J683*-1)</f>
        <v>#DIV/0!</v>
      </c>
      <c r="K684" s="26"/>
      <c r="L684" s="26"/>
      <c r="N684" s="28"/>
    </row>
    <row r="685" spans="1:14" x14ac:dyDescent="0.25">
      <c r="A685">
        <f>A675+1</f>
        <v>69</v>
      </c>
      <c r="C685" s="15" t="str">
        <f>IF(E685="","",IF(SUMIFS('TRA TECH'!M:M,'TRA TECH'!J:J,D686,'TRA TECH'!I:I,F686,'TRA TECH'!H:H,E686)=0,"*",IF(_xlfn.XLOOKUP($A685,Selected_constraint!$A:$A,Selected_constraint!$D:$D)=1,"*",IF(SUMIFS('TRA TECH'!$M:$M,'TRA TECH'!$H:$H,E685,'TRA TECH'!$I:$I,F685)=0,"*",IF(SUMIFS('TRA RESID'!$P:$P,'TRA RESID'!$I:$I,G685,'TRA RESID'!$J:$J,D685,'TRA RESID'!$H:$H,E685)=0,"*","UC_"&amp;SUBSTITUTE(D685,"*","")&amp;"_"&amp;SUBSTITUTE(D685,"*","")&amp;"_"&amp;RIGHT(E685,3)&amp;"_"&amp;F685)))))</f>
        <v>*</v>
      </c>
      <c r="D685" s="17" t="s">
        <v>485</v>
      </c>
      <c r="E685" s="17" t="str">
        <f>_xlfn.XLOOKUP($A685,Selected_constraint!$A:$A,Selected_constraint!$B:$B)</f>
        <v>TRACNG</v>
      </c>
      <c r="F685" s="17" t="str">
        <f>_xlfn.XLOOKUP($A685,Selected_constraint!$A:$A,Selected_constraint!$C:$C)</f>
        <v>TRAFRECLHDMD</v>
      </c>
      <c r="G685" s="17" t="str">
        <f>F685</f>
        <v>TRAFRECLHDMD</v>
      </c>
      <c r="H685" s="18">
        <v>2019</v>
      </c>
      <c r="I685" s="18" t="s">
        <v>484</v>
      </c>
      <c r="J685" s="29">
        <f>-SUMIFS('TRA RESID'!$P:$P,'TRA RESID'!$I:$I,G686,'TRA RESID'!$J:$J,D686,'TRA RESID'!$H:$H,E686)/(SUMIFS('TRA RESID'!$P:$P,'TRA RESID'!$I:$I,G686,'TRA RESID'!$J:$J,D686,'TRA RESID'!$H:$H,E686)+SUMIFS('TRA RESID'!$P:$P,'TRA RESID'!$I:$I,G685,'TRA RESID'!$J:$J,D685,'TRA RESID'!$H:$H,E685))</f>
        <v>0</v>
      </c>
      <c r="K685" s="18">
        <v>0</v>
      </c>
      <c r="L685" s="18">
        <v>5</v>
      </c>
      <c r="N685" s="21">
        <v>1</v>
      </c>
    </row>
    <row r="686" spans="1:14" x14ac:dyDescent="0.25">
      <c r="C686" s="15" t="str">
        <f t="shared" ref="C686:C694" si="68">IF(C685="*",C685,"")</f>
        <v>*</v>
      </c>
      <c r="D686" s="17" t="s">
        <v>487</v>
      </c>
      <c r="E686" s="17" t="str">
        <f>E685</f>
        <v>TRACNG</v>
      </c>
      <c r="F686" s="17" t="str">
        <f>F685</f>
        <v>TRAFRECLHDMD</v>
      </c>
      <c r="G686" s="17" t="str">
        <f>G685</f>
        <v>TRAFRECLHDMD</v>
      </c>
      <c r="H686" s="18">
        <v>2019</v>
      </c>
      <c r="I686" s="18"/>
      <c r="J686" s="20">
        <f>1-(J685*-1)</f>
        <v>1</v>
      </c>
      <c r="K686" s="18"/>
      <c r="L686" s="18"/>
      <c r="N686" s="21"/>
    </row>
    <row r="687" spans="1:14" x14ac:dyDescent="0.25">
      <c r="C687" s="15" t="str">
        <f t="shared" si="68"/>
        <v>*</v>
      </c>
      <c r="D687" s="17" t="str">
        <f>D685</f>
        <v>*ICEV*</v>
      </c>
      <c r="E687" s="17" t="str">
        <f>E685</f>
        <v>TRACNG</v>
      </c>
      <c r="F687" s="17" t="str">
        <f>F685</f>
        <v>TRAFRECLHDMD</v>
      </c>
      <c r="G687" s="17" t="str">
        <f>G685</f>
        <v>TRAFRECLHDMD</v>
      </c>
      <c r="H687" s="18">
        <v>2025</v>
      </c>
      <c r="I687" s="18"/>
      <c r="J687" s="29">
        <f>IF(J685=0,-N687+1,J685*N687)</f>
        <v>-0.10000000000000009</v>
      </c>
      <c r="K687" s="18"/>
      <c r="L687" s="18"/>
      <c r="N687" s="21">
        <v>1.1000000000000001</v>
      </c>
    </row>
    <row r="688" spans="1:14" x14ac:dyDescent="0.25">
      <c r="C688" s="15" t="str">
        <f t="shared" si="68"/>
        <v>*</v>
      </c>
      <c r="D688" s="17" t="s">
        <v>487</v>
      </c>
      <c r="E688" s="17" t="str">
        <f>E687</f>
        <v>TRACNG</v>
      </c>
      <c r="F688" s="17" t="str">
        <f>F687</f>
        <v>TRAFRECLHDMD</v>
      </c>
      <c r="G688" s="17" t="str">
        <f>G687</f>
        <v>TRAFRECLHDMD</v>
      </c>
      <c r="H688" s="18">
        <v>2025</v>
      </c>
      <c r="I688" s="18"/>
      <c r="J688" s="20">
        <f>1-(J687*-1)</f>
        <v>0.89999999999999991</v>
      </c>
      <c r="K688" s="18"/>
      <c r="L688" s="18"/>
      <c r="N688" s="21"/>
    </row>
    <row r="689" spans="1:14" x14ac:dyDescent="0.25">
      <c r="C689" s="15" t="str">
        <f t="shared" si="68"/>
        <v>*</v>
      </c>
      <c r="D689" s="17" t="str">
        <f>D687</f>
        <v>*ICEV*</v>
      </c>
      <c r="E689" s="17" t="str">
        <f>E687</f>
        <v>TRACNG</v>
      </c>
      <c r="F689" s="17" t="str">
        <f>F687</f>
        <v>TRAFRECLHDMD</v>
      </c>
      <c r="G689" s="17" t="str">
        <f>G687</f>
        <v>TRAFRECLHDMD</v>
      </c>
      <c r="H689" s="18">
        <v>2030</v>
      </c>
      <c r="I689" s="18"/>
      <c r="J689" s="29">
        <f>IF(J685=0,-N689+1,J685*N689)</f>
        <v>-0.19999999999999996</v>
      </c>
      <c r="K689" s="18"/>
      <c r="L689" s="18"/>
      <c r="N689" s="21">
        <v>1.2</v>
      </c>
    </row>
    <row r="690" spans="1:14" x14ac:dyDescent="0.25">
      <c r="C690" s="15" t="str">
        <f t="shared" si="68"/>
        <v>*</v>
      </c>
      <c r="D690" s="17" t="s">
        <v>487</v>
      </c>
      <c r="E690" s="17" t="str">
        <f>E689</f>
        <v>TRACNG</v>
      </c>
      <c r="F690" s="17" t="str">
        <f>F689</f>
        <v>TRAFRECLHDMD</v>
      </c>
      <c r="G690" s="17" t="str">
        <f>G689</f>
        <v>TRAFRECLHDMD</v>
      </c>
      <c r="H690" s="18">
        <v>2030</v>
      </c>
      <c r="I690" s="18"/>
      <c r="J690" s="20">
        <f>1-(J689*-1)</f>
        <v>0.8</v>
      </c>
      <c r="K690" s="18"/>
      <c r="L690" s="18"/>
      <c r="N690" s="21"/>
    </row>
    <row r="691" spans="1:14" x14ac:dyDescent="0.25">
      <c r="C691" s="15" t="str">
        <f t="shared" si="68"/>
        <v>*</v>
      </c>
      <c r="D691" s="17" t="str">
        <f>D689</f>
        <v>*ICEV*</v>
      </c>
      <c r="E691" s="17" t="str">
        <f>E689</f>
        <v>TRACNG</v>
      </c>
      <c r="F691" s="17" t="str">
        <f>F689</f>
        <v>TRAFRECLHDMD</v>
      </c>
      <c r="G691" s="17" t="str">
        <f>G689</f>
        <v>TRAFRECLHDMD</v>
      </c>
      <c r="H691" s="18">
        <v>2040</v>
      </c>
      <c r="I691" s="18"/>
      <c r="J691" s="29">
        <f>IF(J685=0,-N691+1,J685*N691)</f>
        <v>-0.30000000000000004</v>
      </c>
      <c r="K691" s="18"/>
      <c r="L691" s="18"/>
      <c r="N691" s="21">
        <v>1.3</v>
      </c>
    </row>
    <row r="692" spans="1:14" x14ac:dyDescent="0.25">
      <c r="C692" s="15" t="str">
        <f t="shared" si="68"/>
        <v>*</v>
      </c>
      <c r="D692" s="17" t="s">
        <v>487</v>
      </c>
      <c r="E692" s="17" t="str">
        <f>E691</f>
        <v>TRACNG</v>
      </c>
      <c r="F692" s="17" t="str">
        <f>F691</f>
        <v>TRAFRECLHDMD</v>
      </c>
      <c r="G692" s="17" t="str">
        <f>G691</f>
        <v>TRAFRECLHDMD</v>
      </c>
      <c r="H692" s="18">
        <v>2040</v>
      </c>
      <c r="I692" s="18"/>
      <c r="J692" s="20">
        <f>1-(J691*-1)</f>
        <v>0.7</v>
      </c>
      <c r="K692" s="18"/>
      <c r="L692" s="18"/>
      <c r="N692" s="21"/>
    </row>
    <row r="693" spans="1:14" x14ac:dyDescent="0.25">
      <c r="C693" s="15" t="str">
        <f t="shared" si="68"/>
        <v>*</v>
      </c>
      <c r="D693" s="17" t="str">
        <f>D691</f>
        <v>*ICEV*</v>
      </c>
      <c r="E693" s="17" t="str">
        <f>E691</f>
        <v>TRACNG</v>
      </c>
      <c r="F693" s="17" t="str">
        <f>F691</f>
        <v>TRAFRECLHDMD</v>
      </c>
      <c r="G693" s="17" t="str">
        <f>G691</f>
        <v>TRAFRECLHDMD</v>
      </c>
      <c r="H693" s="18">
        <v>2050</v>
      </c>
      <c r="I693" s="18"/>
      <c r="J693" s="29">
        <f>IF(J685=0,-N693+1,J685*N693)</f>
        <v>-0.39999999999999991</v>
      </c>
      <c r="K693" s="18"/>
      <c r="L693" s="18"/>
      <c r="N693" s="21">
        <v>1.4</v>
      </c>
    </row>
    <row r="694" spans="1:14" x14ac:dyDescent="0.25">
      <c r="C694" s="23" t="str">
        <f t="shared" si="68"/>
        <v>*</v>
      </c>
      <c r="D694" s="25" t="s">
        <v>487</v>
      </c>
      <c r="E694" s="25" t="str">
        <f>E693</f>
        <v>TRACNG</v>
      </c>
      <c r="F694" s="25" t="str">
        <f>F693</f>
        <v>TRAFRECLHDMD</v>
      </c>
      <c r="G694" s="25" t="str">
        <f>G693</f>
        <v>TRAFRECLHDMD</v>
      </c>
      <c r="H694" s="26">
        <v>2050</v>
      </c>
      <c r="I694" s="26"/>
      <c r="J694" s="27">
        <f>1-(J693*-1)</f>
        <v>0.60000000000000009</v>
      </c>
      <c r="K694" s="26"/>
      <c r="L694" s="26"/>
      <c r="N694" s="28"/>
    </row>
    <row r="695" spans="1:14" x14ac:dyDescent="0.25">
      <c r="A695">
        <f>A685+1</f>
        <v>70</v>
      </c>
      <c r="C695" s="15" t="str">
        <f>IF(E695="","",IF(SUMIFS('TRA TECH'!M:M,'TRA TECH'!J:J,D696,'TRA TECH'!I:I,F696,'TRA TECH'!H:H,E696)=0,"*",IF(_xlfn.XLOOKUP($A695,Selected_constraint!$A:$A,Selected_constraint!$D:$D)=1,"*",IF(SUMIFS('TRA TECH'!$M:$M,'TRA TECH'!$H:$H,E695,'TRA TECH'!$I:$I,F695)=0,"*",IF(SUMIFS('TRA RESID'!$P:$P,'TRA RESID'!$I:$I,G695,'TRA RESID'!$J:$J,D695,'TRA RESID'!$H:$H,E695)=0,"*","UC_"&amp;SUBSTITUTE(D695,"*","")&amp;"_"&amp;SUBSTITUTE(D695,"*","")&amp;"_"&amp;RIGHT(E695,3)&amp;"_"&amp;F695)))))</f>
        <v>*</v>
      </c>
      <c r="D695" s="17" t="s">
        <v>485</v>
      </c>
      <c r="E695" s="17" t="str">
        <f>_xlfn.XLOOKUP($A695,Selected_constraint!$A:$A,Selected_constraint!$B:$B)</f>
        <v>TRARNG</v>
      </c>
      <c r="F695" s="17" t="str">
        <f>_xlfn.XLOOKUP($A695,Selected_constraint!$A:$A,Selected_constraint!$C:$C)</f>
        <v>TRAFRECLHDMD</v>
      </c>
      <c r="G695" s="17" t="str">
        <f>F695</f>
        <v>TRAFRECLHDMD</v>
      </c>
      <c r="H695" s="18">
        <v>2019</v>
      </c>
      <c r="I695" s="18" t="s">
        <v>484</v>
      </c>
      <c r="J695" s="29" t="e">
        <f>-SUMIFS('TRA RESID'!$P:$P,'TRA RESID'!$I:$I,G696,'TRA RESID'!$J:$J,D696,'TRA RESID'!$H:$H,E696)/(SUMIFS('TRA RESID'!$P:$P,'TRA RESID'!$I:$I,G696,'TRA RESID'!$J:$J,D696,'TRA RESID'!$H:$H,E696)+SUMIFS('TRA RESID'!$P:$P,'TRA RESID'!$I:$I,G695,'TRA RESID'!$J:$J,D695,'TRA RESID'!$H:$H,E695))</f>
        <v>#DIV/0!</v>
      </c>
      <c r="K695" s="18">
        <v>0</v>
      </c>
      <c r="L695" s="18">
        <v>5</v>
      </c>
      <c r="N695" s="21">
        <v>1</v>
      </c>
    </row>
    <row r="696" spans="1:14" x14ac:dyDescent="0.25">
      <c r="C696" s="15" t="str">
        <f t="shared" ref="C696:C704" si="69">IF(C695="*",C695,"")</f>
        <v>*</v>
      </c>
      <c r="D696" s="17" t="s">
        <v>487</v>
      </c>
      <c r="E696" s="17" t="str">
        <f>E695</f>
        <v>TRARNG</v>
      </c>
      <c r="F696" s="17" t="str">
        <f>F695</f>
        <v>TRAFRECLHDMD</v>
      </c>
      <c r="G696" s="17" t="str">
        <f>G695</f>
        <v>TRAFRECLHDMD</v>
      </c>
      <c r="H696" s="18">
        <v>2019</v>
      </c>
      <c r="I696" s="18"/>
      <c r="J696" s="20" t="e">
        <f>1-(J695*-1)</f>
        <v>#DIV/0!</v>
      </c>
      <c r="K696" s="18"/>
      <c r="L696" s="18"/>
      <c r="N696" s="21"/>
    </row>
    <row r="697" spans="1:14" x14ac:dyDescent="0.25">
      <c r="C697" s="15" t="str">
        <f t="shared" si="69"/>
        <v>*</v>
      </c>
      <c r="D697" s="17" t="str">
        <f>D695</f>
        <v>*ICEV*</v>
      </c>
      <c r="E697" s="17" t="str">
        <f>E695</f>
        <v>TRARNG</v>
      </c>
      <c r="F697" s="17" t="str">
        <f>F695</f>
        <v>TRAFRECLHDMD</v>
      </c>
      <c r="G697" s="17" t="str">
        <f>G695</f>
        <v>TRAFRECLHDMD</v>
      </c>
      <c r="H697" s="18">
        <v>2025</v>
      </c>
      <c r="I697" s="18"/>
      <c r="J697" s="29" t="e">
        <f>IF(J695=0,-N697+1,J695*N697)</f>
        <v>#DIV/0!</v>
      </c>
      <c r="K697" s="18"/>
      <c r="L697" s="18"/>
      <c r="N697" s="21">
        <v>1.1000000000000001</v>
      </c>
    </row>
    <row r="698" spans="1:14" x14ac:dyDescent="0.25">
      <c r="C698" s="15" t="str">
        <f t="shared" si="69"/>
        <v>*</v>
      </c>
      <c r="D698" s="17" t="s">
        <v>487</v>
      </c>
      <c r="E698" s="17" t="str">
        <f>E697</f>
        <v>TRARNG</v>
      </c>
      <c r="F698" s="17" t="str">
        <f>F697</f>
        <v>TRAFRECLHDMD</v>
      </c>
      <c r="G698" s="17" t="str">
        <f>G697</f>
        <v>TRAFRECLHDMD</v>
      </c>
      <c r="H698" s="18">
        <v>2025</v>
      </c>
      <c r="I698" s="18"/>
      <c r="J698" s="20" t="e">
        <f>1-(J697*-1)</f>
        <v>#DIV/0!</v>
      </c>
      <c r="K698" s="18"/>
      <c r="L698" s="18"/>
      <c r="N698" s="21"/>
    </row>
    <row r="699" spans="1:14" x14ac:dyDescent="0.25">
      <c r="C699" s="15" t="str">
        <f t="shared" si="69"/>
        <v>*</v>
      </c>
      <c r="D699" s="17" t="str">
        <f>D697</f>
        <v>*ICEV*</v>
      </c>
      <c r="E699" s="17" t="str">
        <f>E697</f>
        <v>TRARNG</v>
      </c>
      <c r="F699" s="17" t="str">
        <f>F697</f>
        <v>TRAFRECLHDMD</v>
      </c>
      <c r="G699" s="17" t="str">
        <f>G697</f>
        <v>TRAFRECLHDMD</v>
      </c>
      <c r="H699" s="18">
        <v>2030</v>
      </c>
      <c r="I699" s="18"/>
      <c r="J699" s="29" t="e">
        <f>IF(J695=0,-N699+1,J695*N699)</f>
        <v>#DIV/0!</v>
      </c>
      <c r="K699" s="18"/>
      <c r="L699" s="18"/>
      <c r="N699" s="21">
        <v>1.2</v>
      </c>
    </row>
    <row r="700" spans="1:14" x14ac:dyDescent="0.25">
      <c r="C700" s="15" t="str">
        <f t="shared" si="69"/>
        <v>*</v>
      </c>
      <c r="D700" s="17" t="s">
        <v>487</v>
      </c>
      <c r="E700" s="17" t="str">
        <f>E699</f>
        <v>TRARNG</v>
      </c>
      <c r="F700" s="17" t="str">
        <f>F699</f>
        <v>TRAFRECLHDMD</v>
      </c>
      <c r="G700" s="17" t="str">
        <f>G699</f>
        <v>TRAFRECLHDMD</v>
      </c>
      <c r="H700" s="18">
        <v>2030</v>
      </c>
      <c r="I700" s="18"/>
      <c r="J700" s="20" t="e">
        <f>1-(J699*-1)</f>
        <v>#DIV/0!</v>
      </c>
      <c r="K700" s="18"/>
      <c r="L700" s="18"/>
      <c r="N700" s="21"/>
    </row>
    <row r="701" spans="1:14" x14ac:dyDescent="0.25">
      <c r="C701" s="15" t="str">
        <f t="shared" si="69"/>
        <v>*</v>
      </c>
      <c r="D701" s="17" t="str">
        <f>D699</f>
        <v>*ICEV*</v>
      </c>
      <c r="E701" s="17" t="str">
        <f>E699</f>
        <v>TRARNG</v>
      </c>
      <c r="F701" s="17" t="str">
        <f>F699</f>
        <v>TRAFRECLHDMD</v>
      </c>
      <c r="G701" s="17" t="str">
        <f>G699</f>
        <v>TRAFRECLHDMD</v>
      </c>
      <c r="H701" s="18">
        <v>2040</v>
      </c>
      <c r="I701" s="18"/>
      <c r="J701" s="29" t="e">
        <f>IF(J695=0,-N701+1,J695*N701)</f>
        <v>#DIV/0!</v>
      </c>
      <c r="K701" s="18"/>
      <c r="L701" s="18"/>
      <c r="N701" s="21">
        <v>1.3</v>
      </c>
    </row>
    <row r="702" spans="1:14" x14ac:dyDescent="0.25">
      <c r="C702" s="15" t="str">
        <f t="shared" si="69"/>
        <v>*</v>
      </c>
      <c r="D702" s="17" t="s">
        <v>487</v>
      </c>
      <c r="E702" s="17" t="str">
        <f>E701</f>
        <v>TRARNG</v>
      </c>
      <c r="F702" s="17" t="str">
        <f>F701</f>
        <v>TRAFRECLHDMD</v>
      </c>
      <c r="G702" s="17" t="str">
        <f>G701</f>
        <v>TRAFRECLHDMD</v>
      </c>
      <c r="H702" s="18">
        <v>2040</v>
      </c>
      <c r="I702" s="18"/>
      <c r="J702" s="20" t="e">
        <f>1-(J701*-1)</f>
        <v>#DIV/0!</v>
      </c>
      <c r="K702" s="18"/>
      <c r="L702" s="18"/>
      <c r="N702" s="21"/>
    </row>
    <row r="703" spans="1:14" x14ac:dyDescent="0.25">
      <c r="C703" s="15" t="str">
        <f t="shared" si="69"/>
        <v>*</v>
      </c>
      <c r="D703" s="17" t="str">
        <f>D701</f>
        <v>*ICEV*</v>
      </c>
      <c r="E703" s="17" t="str">
        <f>E701</f>
        <v>TRARNG</v>
      </c>
      <c r="F703" s="17" t="str">
        <f>F701</f>
        <v>TRAFRECLHDMD</v>
      </c>
      <c r="G703" s="17" t="str">
        <f>G701</f>
        <v>TRAFRECLHDMD</v>
      </c>
      <c r="H703" s="18">
        <v>2050</v>
      </c>
      <c r="I703" s="18"/>
      <c r="J703" s="29" t="e">
        <f>IF(J695=0,-N703+1,J695*N703)</f>
        <v>#DIV/0!</v>
      </c>
      <c r="K703" s="18"/>
      <c r="L703" s="18"/>
      <c r="N703" s="21">
        <v>1.4</v>
      </c>
    </row>
    <row r="704" spans="1:14" x14ac:dyDescent="0.25">
      <c r="C704" s="23" t="str">
        <f t="shared" si="69"/>
        <v>*</v>
      </c>
      <c r="D704" s="25" t="s">
        <v>487</v>
      </c>
      <c r="E704" s="25" t="str">
        <f>E703</f>
        <v>TRARNG</v>
      </c>
      <c r="F704" s="25" t="str">
        <f>F703</f>
        <v>TRAFRECLHDMD</v>
      </c>
      <c r="G704" s="25" t="str">
        <f>G703</f>
        <v>TRAFRECLHDMD</v>
      </c>
      <c r="H704" s="26">
        <v>2050</v>
      </c>
      <c r="I704" s="26"/>
      <c r="J704" s="27" t="e">
        <f>1-(J703*-1)</f>
        <v>#DIV/0!</v>
      </c>
      <c r="K704" s="26"/>
      <c r="L704" s="26"/>
      <c r="N704" s="28"/>
    </row>
    <row r="705" spans="1:14" x14ac:dyDescent="0.25">
      <c r="A705">
        <f>A695+1</f>
        <v>71</v>
      </c>
      <c r="C705" s="15" t="str">
        <f>IF(E705="","",IF(SUMIFS('TRA TECH'!M:M,'TRA TECH'!J:J,D706,'TRA TECH'!I:I,F706,'TRA TECH'!H:H,E706)=0,"*",IF(_xlfn.XLOOKUP($A705,Selected_constraint!$A:$A,Selected_constraint!$D:$D)=1,"*",IF(SUMIFS('TRA TECH'!$M:$M,'TRA TECH'!$H:$H,E705,'TRA TECH'!$I:$I,F705)=0,"*",IF(SUMIFS('TRA RESID'!$P:$P,'TRA RESID'!$I:$I,G705,'TRA RESID'!$J:$J,D705,'TRA RESID'!$H:$H,E705)=0,"*","UC_"&amp;SUBSTITUTE(D705,"*","")&amp;"_"&amp;SUBSTITUTE(D705,"*","")&amp;"_"&amp;RIGHT(E705,3)&amp;"_"&amp;F705)))))</f>
        <v>*</v>
      </c>
      <c r="D705" s="17" t="s">
        <v>485</v>
      </c>
      <c r="E705" s="17" t="str">
        <f>_xlfn.XLOOKUP($A705,Selected_constraint!$A:$A,Selected_constraint!$B:$B)</f>
        <v>TRABAF</v>
      </c>
      <c r="F705" s="17" t="str">
        <f>_xlfn.XLOOKUP($A705,Selected_constraint!$A:$A,Selected_constraint!$C:$C)</f>
        <v>TRAFRECLHDMD</v>
      </c>
      <c r="G705" s="17" t="str">
        <f>F705</f>
        <v>TRAFRECLHDMD</v>
      </c>
      <c r="H705" s="18">
        <v>2019</v>
      </c>
      <c r="I705" s="18" t="s">
        <v>484</v>
      </c>
      <c r="J705" s="29" t="e">
        <f>-SUMIFS('TRA RESID'!$P:$P,'TRA RESID'!$I:$I,G706,'TRA RESID'!$J:$J,D706,'TRA RESID'!$H:$H,E706)/(SUMIFS('TRA RESID'!$P:$P,'TRA RESID'!$I:$I,G706,'TRA RESID'!$J:$J,D706,'TRA RESID'!$H:$H,E706)+SUMIFS('TRA RESID'!$P:$P,'TRA RESID'!$I:$I,G705,'TRA RESID'!$J:$J,D705,'TRA RESID'!$H:$H,E705))</f>
        <v>#DIV/0!</v>
      </c>
      <c r="K705" s="18">
        <v>0</v>
      </c>
      <c r="L705" s="18">
        <v>5</v>
      </c>
      <c r="N705" s="21">
        <v>1</v>
      </c>
    </row>
    <row r="706" spans="1:14" x14ac:dyDescent="0.25">
      <c r="C706" s="15" t="str">
        <f t="shared" ref="C706:C714" si="70">IF(C705="*",C705,"")</f>
        <v>*</v>
      </c>
      <c r="D706" s="17" t="s">
        <v>487</v>
      </c>
      <c r="E706" s="17" t="str">
        <f>E705</f>
        <v>TRABAF</v>
      </c>
      <c r="F706" s="17" t="str">
        <f>F705</f>
        <v>TRAFRECLHDMD</v>
      </c>
      <c r="G706" s="17" t="str">
        <f>G705</f>
        <v>TRAFRECLHDMD</v>
      </c>
      <c r="H706" s="18">
        <v>2019</v>
      </c>
      <c r="I706" s="18"/>
      <c r="J706" s="20" t="e">
        <f>1-(J705*-1)</f>
        <v>#DIV/0!</v>
      </c>
      <c r="K706" s="18"/>
      <c r="L706" s="18"/>
      <c r="N706" s="21"/>
    </row>
    <row r="707" spans="1:14" x14ac:dyDescent="0.25">
      <c r="C707" s="15" t="str">
        <f t="shared" si="70"/>
        <v>*</v>
      </c>
      <c r="D707" s="17" t="str">
        <f>D705</f>
        <v>*ICEV*</v>
      </c>
      <c r="E707" s="17" t="str">
        <f>E705</f>
        <v>TRABAF</v>
      </c>
      <c r="F707" s="17" t="str">
        <f>F705</f>
        <v>TRAFRECLHDMD</v>
      </c>
      <c r="G707" s="17" t="str">
        <f>G705</f>
        <v>TRAFRECLHDMD</v>
      </c>
      <c r="H707" s="18">
        <v>2025</v>
      </c>
      <c r="I707" s="18"/>
      <c r="J707" s="29" t="e">
        <f>IF(J705=0,-N707+1,J705*N707)</f>
        <v>#DIV/0!</v>
      </c>
      <c r="K707" s="18"/>
      <c r="L707" s="18"/>
      <c r="N707" s="21">
        <v>1.1000000000000001</v>
      </c>
    </row>
    <row r="708" spans="1:14" x14ac:dyDescent="0.25">
      <c r="C708" s="15" t="str">
        <f t="shared" si="70"/>
        <v>*</v>
      </c>
      <c r="D708" s="17" t="s">
        <v>487</v>
      </c>
      <c r="E708" s="17" t="str">
        <f>E707</f>
        <v>TRABAF</v>
      </c>
      <c r="F708" s="17" t="str">
        <f>F707</f>
        <v>TRAFRECLHDMD</v>
      </c>
      <c r="G708" s="17" t="str">
        <f>G707</f>
        <v>TRAFRECLHDMD</v>
      </c>
      <c r="H708" s="18">
        <v>2025</v>
      </c>
      <c r="I708" s="18"/>
      <c r="J708" s="20" t="e">
        <f>1-(J707*-1)</f>
        <v>#DIV/0!</v>
      </c>
      <c r="K708" s="18"/>
      <c r="L708" s="18"/>
      <c r="N708" s="21"/>
    </row>
    <row r="709" spans="1:14" x14ac:dyDescent="0.25">
      <c r="C709" s="15" t="str">
        <f t="shared" si="70"/>
        <v>*</v>
      </c>
      <c r="D709" s="17" t="str">
        <f>D707</f>
        <v>*ICEV*</v>
      </c>
      <c r="E709" s="17" t="str">
        <f>E707</f>
        <v>TRABAF</v>
      </c>
      <c r="F709" s="17" t="str">
        <f>F707</f>
        <v>TRAFRECLHDMD</v>
      </c>
      <c r="G709" s="17" t="str">
        <f>G707</f>
        <v>TRAFRECLHDMD</v>
      </c>
      <c r="H709" s="18">
        <v>2030</v>
      </c>
      <c r="I709" s="18"/>
      <c r="J709" s="29" t="e">
        <f>IF(J705=0,-N709+1,J705*N709)</f>
        <v>#DIV/0!</v>
      </c>
      <c r="K709" s="18"/>
      <c r="L709" s="18"/>
      <c r="N709" s="21">
        <v>1.2</v>
      </c>
    </row>
    <row r="710" spans="1:14" x14ac:dyDescent="0.25">
      <c r="C710" s="15" t="str">
        <f t="shared" si="70"/>
        <v>*</v>
      </c>
      <c r="D710" s="17" t="s">
        <v>487</v>
      </c>
      <c r="E710" s="17" t="str">
        <f>E709</f>
        <v>TRABAF</v>
      </c>
      <c r="F710" s="17" t="str">
        <f>F709</f>
        <v>TRAFRECLHDMD</v>
      </c>
      <c r="G710" s="17" t="str">
        <f>G709</f>
        <v>TRAFRECLHDMD</v>
      </c>
      <c r="H710" s="18">
        <v>2030</v>
      </c>
      <c r="I710" s="18"/>
      <c r="J710" s="20" t="e">
        <f>1-(J709*-1)</f>
        <v>#DIV/0!</v>
      </c>
      <c r="K710" s="18"/>
      <c r="L710" s="18"/>
      <c r="N710" s="21"/>
    </row>
    <row r="711" spans="1:14" x14ac:dyDescent="0.25">
      <c r="C711" s="15" t="str">
        <f t="shared" si="70"/>
        <v>*</v>
      </c>
      <c r="D711" s="17" t="str">
        <f>D709</f>
        <v>*ICEV*</v>
      </c>
      <c r="E711" s="17" t="str">
        <f>E709</f>
        <v>TRABAF</v>
      </c>
      <c r="F711" s="17" t="str">
        <f>F709</f>
        <v>TRAFRECLHDMD</v>
      </c>
      <c r="G711" s="17" t="str">
        <f>G709</f>
        <v>TRAFRECLHDMD</v>
      </c>
      <c r="H711" s="18">
        <v>2040</v>
      </c>
      <c r="I711" s="18"/>
      <c r="J711" s="29" t="e">
        <f>IF(J705=0,-N711+1,J705*N711)</f>
        <v>#DIV/0!</v>
      </c>
      <c r="K711" s="18"/>
      <c r="L711" s="18"/>
      <c r="N711" s="21">
        <v>1.3</v>
      </c>
    </row>
    <row r="712" spans="1:14" x14ac:dyDescent="0.25">
      <c r="C712" s="15" t="str">
        <f t="shared" si="70"/>
        <v>*</v>
      </c>
      <c r="D712" s="17" t="s">
        <v>487</v>
      </c>
      <c r="E712" s="17" t="str">
        <f>E711</f>
        <v>TRABAF</v>
      </c>
      <c r="F712" s="17" t="str">
        <f>F711</f>
        <v>TRAFRECLHDMD</v>
      </c>
      <c r="G712" s="17" t="str">
        <f>G711</f>
        <v>TRAFRECLHDMD</v>
      </c>
      <c r="H712" s="18">
        <v>2040</v>
      </c>
      <c r="I712" s="18"/>
      <c r="J712" s="20" t="e">
        <f>1-(J711*-1)</f>
        <v>#DIV/0!</v>
      </c>
      <c r="K712" s="18"/>
      <c r="L712" s="18"/>
      <c r="N712" s="21"/>
    </row>
    <row r="713" spans="1:14" x14ac:dyDescent="0.25">
      <c r="C713" s="15" t="str">
        <f t="shared" si="70"/>
        <v>*</v>
      </c>
      <c r="D713" s="17" t="str">
        <f>D711</f>
        <v>*ICEV*</v>
      </c>
      <c r="E713" s="17" t="str">
        <f>E711</f>
        <v>TRABAF</v>
      </c>
      <c r="F713" s="17" t="str">
        <f>F711</f>
        <v>TRAFRECLHDMD</v>
      </c>
      <c r="G713" s="17" t="str">
        <f>G711</f>
        <v>TRAFRECLHDMD</v>
      </c>
      <c r="H713" s="18">
        <v>2050</v>
      </c>
      <c r="I713" s="18"/>
      <c r="J713" s="29" t="e">
        <f>IF(J705=0,-N713+1,J705*N713)</f>
        <v>#DIV/0!</v>
      </c>
      <c r="K713" s="18"/>
      <c r="L713" s="18"/>
      <c r="N713" s="21">
        <v>1.4</v>
      </c>
    </row>
    <row r="714" spans="1:14" x14ac:dyDescent="0.25">
      <c r="C714" s="23" t="str">
        <f t="shared" si="70"/>
        <v>*</v>
      </c>
      <c r="D714" s="25" t="s">
        <v>487</v>
      </c>
      <c r="E714" s="25" t="str">
        <f>E713</f>
        <v>TRABAF</v>
      </c>
      <c r="F714" s="25" t="str">
        <f>F713</f>
        <v>TRAFRECLHDMD</v>
      </c>
      <c r="G714" s="25" t="str">
        <f>G713</f>
        <v>TRAFRECLHDMD</v>
      </c>
      <c r="H714" s="26">
        <v>2050</v>
      </c>
      <c r="I714" s="26"/>
      <c r="J714" s="27" t="e">
        <f>1-(J713*-1)</f>
        <v>#DIV/0!</v>
      </c>
      <c r="K714" s="26"/>
      <c r="L714" s="26"/>
      <c r="N714" s="28"/>
    </row>
    <row r="715" spans="1:14" x14ac:dyDescent="0.25">
      <c r="A715">
        <f>A705+1</f>
        <v>72</v>
      </c>
      <c r="C715" s="15" t="str">
        <f>IF(E715="","",IF(SUMIFS('TRA TECH'!M:M,'TRA TECH'!J:J,D716,'TRA TECH'!I:I,F716,'TRA TECH'!H:H,E716)=0,"*",IF(_xlfn.XLOOKUP($A715,Selected_constraint!$A:$A,Selected_constraint!$D:$D)=1,"*",IF(SUMIFS('TRA TECH'!$M:$M,'TRA TECH'!$H:$H,E715,'TRA TECH'!$I:$I,F715)=0,"*",IF(SUMIFS('TRA RESID'!$P:$P,'TRA RESID'!$I:$I,G715,'TRA RESID'!$J:$J,D715,'TRA RESID'!$H:$H,E715)=0,"*","UC_"&amp;SUBSTITUTE(D715,"*","")&amp;"_"&amp;SUBSTITUTE(D715,"*","")&amp;"_"&amp;RIGHT(E715,3)&amp;"_"&amp;F715)))))</f>
        <v>*</v>
      </c>
      <c r="D715" s="17" t="s">
        <v>485</v>
      </c>
      <c r="E715" s="17" t="str">
        <f>_xlfn.XLOOKUP($A715,Selected_constraint!$A:$A,Selected_constraint!$B:$B)</f>
        <v>TRAH2G</v>
      </c>
      <c r="F715" s="17" t="str">
        <f>_xlfn.XLOOKUP($A715,Selected_constraint!$A:$A,Selected_constraint!$C:$C)</f>
        <v>TRAFRECLHDMD</v>
      </c>
      <c r="G715" s="17" t="str">
        <f>F715</f>
        <v>TRAFRECLHDMD</v>
      </c>
      <c r="H715" s="18">
        <v>2019</v>
      </c>
      <c r="I715" s="18" t="s">
        <v>484</v>
      </c>
      <c r="J715" s="29" t="e">
        <f>-SUMIFS('TRA RESID'!$P:$P,'TRA RESID'!$I:$I,G716,'TRA RESID'!$J:$J,D716,'TRA RESID'!$H:$H,E716)/(SUMIFS('TRA RESID'!$P:$P,'TRA RESID'!$I:$I,G716,'TRA RESID'!$J:$J,D716,'TRA RESID'!$H:$H,E716)+SUMIFS('TRA RESID'!$P:$P,'TRA RESID'!$I:$I,G715,'TRA RESID'!$J:$J,D715,'TRA RESID'!$H:$H,E715))</f>
        <v>#DIV/0!</v>
      </c>
      <c r="K715" s="18">
        <v>0</v>
      </c>
      <c r="L715" s="18">
        <v>5</v>
      </c>
      <c r="N715" s="21">
        <v>1</v>
      </c>
    </row>
    <row r="716" spans="1:14" x14ac:dyDescent="0.25">
      <c r="C716" s="15" t="str">
        <f t="shared" ref="C716:C724" si="71">IF(C715="*",C715,"")</f>
        <v>*</v>
      </c>
      <c r="D716" s="17" t="s">
        <v>487</v>
      </c>
      <c r="E716" s="17" t="str">
        <f>E715</f>
        <v>TRAH2G</v>
      </c>
      <c r="F716" s="17" t="str">
        <f>F715</f>
        <v>TRAFRECLHDMD</v>
      </c>
      <c r="G716" s="17" t="str">
        <f>G715</f>
        <v>TRAFRECLHDMD</v>
      </c>
      <c r="H716" s="18">
        <v>2019</v>
      </c>
      <c r="I716" s="18"/>
      <c r="J716" s="20" t="e">
        <f>1-(J715*-1)</f>
        <v>#DIV/0!</v>
      </c>
      <c r="K716" s="18"/>
      <c r="L716" s="18"/>
      <c r="N716" s="21"/>
    </row>
    <row r="717" spans="1:14" x14ac:dyDescent="0.25">
      <c r="C717" s="15" t="str">
        <f t="shared" si="71"/>
        <v>*</v>
      </c>
      <c r="D717" s="17" t="str">
        <f>D715</f>
        <v>*ICEV*</v>
      </c>
      <c r="E717" s="17" t="str">
        <f>E715</f>
        <v>TRAH2G</v>
      </c>
      <c r="F717" s="17" t="str">
        <f>F715</f>
        <v>TRAFRECLHDMD</v>
      </c>
      <c r="G717" s="17" t="str">
        <f>G715</f>
        <v>TRAFRECLHDMD</v>
      </c>
      <c r="H717" s="18">
        <v>2025</v>
      </c>
      <c r="I717" s="18"/>
      <c r="J717" s="29" t="e">
        <f>IF(J715=0,-N717+1,J715*N717)</f>
        <v>#DIV/0!</v>
      </c>
      <c r="K717" s="18"/>
      <c r="L717" s="18"/>
      <c r="N717" s="21">
        <v>1.1000000000000001</v>
      </c>
    </row>
    <row r="718" spans="1:14" x14ac:dyDescent="0.25">
      <c r="C718" s="15" t="str">
        <f t="shared" si="71"/>
        <v>*</v>
      </c>
      <c r="D718" s="17" t="s">
        <v>487</v>
      </c>
      <c r="E718" s="17" t="str">
        <f>E717</f>
        <v>TRAH2G</v>
      </c>
      <c r="F718" s="17" t="str">
        <f>F717</f>
        <v>TRAFRECLHDMD</v>
      </c>
      <c r="G718" s="17" t="str">
        <f>G717</f>
        <v>TRAFRECLHDMD</v>
      </c>
      <c r="H718" s="18">
        <v>2025</v>
      </c>
      <c r="I718" s="18"/>
      <c r="J718" s="20" t="e">
        <f>1-(J717*-1)</f>
        <v>#DIV/0!</v>
      </c>
      <c r="K718" s="18"/>
      <c r="L718" s="18"/>
      <c r="N718" s="21"/>
    </row>
    <row r="719" spans="1:14" x14ac:dyDescent="0.25">
      <c r="C719" s="15" t="str">
        <f t="shared" si="71"/>
        <v>*</v>
      </c>
      <c r="D719" s="17" t="str">
        <f>D717</f>
        <v>*ICEV*</v>
      </c>
      <c r="E719" s="17" t="str">
        <f>E717</f>
        <v>TRAH2G</v>
      </c>
      <c r="F719" s="17" t="str">
        <f>F717</f>
        <v>TRAFRECLHDMD</v>
      </c>
      <c r="G719" s="17" t="str">
        <f>G717</f>
        <v>TRAFRECLHDMD</v>
      </c>
      <c r="H719" s="18">
        <v>2030</v>
      </c>
      <c r="I719" s="18"/>
      <c r="J719" s="29" t="e">
        <f>IF(J715=0,-N719+1,J715*N719)</f>
        <v>#DIV/0!</v>
      </c>
      <c r="K719" s="18"/>
      <c r="L719" s="18"/>
      <c r="N719" s="21">
        <v>1.2</v>
      </c>
    </row>
    <row r="720" spans="1:14" x14ac:dyDescent="0.25">
      <c r="C720" s="15" t="str">
        <f t="shared" si="71"/>
        <v>*</v>
      </c>
      <c r="D720" s="17" t="s">
        <v>487</v>
      </c>
      <c r="E720" s="17" t="str">
        <f>E719</f>
        <v>TRAH2G</v>
      </c>
      <c r="F720" s="17" t="str">
        <f>F719</f>
        <v>TRAFRECLHDMD</v>
      </c>
      <c r="G720" s="17" t="str">
        <f>G719</f>
        <v>TRAFRECLHDMD</v>
      </c>
      <c r="H720" s="18">
        <v>2030</v>
      </c>
      <c r="I720" s="18"/>
      <c r="J720" s="20" t="e">
        <f>1-(J719*-1)</f>
        <v>#DIV/0!</v>
      </c>
      <c r="K720" s="18"/>
      <c r="L720" s="18"/>
      <c r="N720" s="21"/>
    </row>
    <row r="721" spans="1:14" x14ac:dyDescent="0.25">
      <c r="C721" s="15" t="str">
        <f t="shared" si="71"/>
        <v>*</v>
      </c>
      <c r="D721" s="17" t="str">
        <f>D719</f>
        <v>*ICEV*</v>
      </c>
      <c r="E721" s="17" t="str">
        <f>E719</f>
        <v>TRAH2G</v>
      </c>
      <c r="F721" s="17" t="str">
        <f>F719</f>
        <v>TRAFRECLHDMD</v>
      </c>
      <c r="G721" s="17" t="str">
        <f>G719</f>
        <v>TRAFRECLHDMD</v>
      </c>
      <c r="H721" s="18">
        <v>2040</v>
      </c>
      <c r="I721" s="18"/>
      <c r="J721" s="29" t="e">
        <f>IF(J715=0,-N721+1,J715*N721)</f>
        <v>#DIV/0!</v>
      </c>
      <c r="K721" s="18"/>
      <c r="L721" s="18"/>
      <c r="N721" s="21">
        <v>1.3</v>
      </c>
    </row>
    <row r="722" spans="1:14" x14ac:dyDescent="0.25">
      <c r="C722" s="15" t="str">
        <f t="shared" si="71"/>
        <v>*</v>
      </c>
      <c r="D722" s="17" t="s">
        <v>487</v>
      </c>
      <c r="E722" s="17" t="str">
        <f>E721</f>
        <v>TRAH2G</v>
      </c>
      <c r="F722" s="17" t="str">
        <f>F721</f>
        <v>TRAFRECLHDMD</v>
      </c>
      <c r="G722" s="17" t="str">
        <f>G721</f>
        <v>TRAFRECLHDMD</v>
      </c>
      <c r="H722" s="18">
        <v>2040</v>
      </c>
      <c r="I722" s="18"/>
      <c r="J722" s="20" t="e">
        <f>1-(J721*-1)</f>
        <v>#DIV/0!</v>
      </c>
      <c r="K722" s="18"/>
      <c r="L722" s="18"/>
      <c r="N722" s="21"/>
    </row>
    <row r="723" spans="1:14" x14ac:dyDescent="0.25">
      <c r="C723" s="15" t="str">
        <f t="shared" si="71"/>
        <v>*</v>
      </c>
      <c r="D723" s="17" t="str">
        <f>D721</f>
        <v>*ICEV*</v>
      </c>
      <c r="E723" s="17" t="str">
        <f>E721</f>
        <v>TRAH2G</v>
      </c>
      <c r="F723" s="17" t="str">
        <f>F721</f>
        <v>TRAFRECLHDMD</v>
      </c>
      <c r="G723" s="17" t="str">
        <f>G721</f>
        <v>TRAFRECLHDMD</v>
      </c>
      <c r="H723" s="18">
        <v>2050</v>
      </c>
      <c r="I723" s="18"/>
      <c r="J723" s="29" t="e">
        <f>IF(J715=0,-N723+1,J715*N723)</f>
        <v>#DIV/0!</v>
      </c>
      <c r="K723" s="18"/>
      <c r="L723" s="18"/>
      <c r="N723" s="21">
        <v>1.4</v>
      </c>
    </row>
    <row r="724" spans="1:14" x14ac:dyDescent="0.25">
      <c r="C724" s="23" t="str">
        <f t="shared" si="71"/>
        <v>*</v>
      </c>
      <c r="D724" s="25" t="s">
        <v>487</v>
      </c>
      <c r="E724" s="25" t="str">
        <f>E723</f>
        <v>TRAH2G</v>
      </c>
      <c r="F724" s="25" t="str">
        <f>F723</f>
        <v>TRAFRECLHDMD</v>
      </c>
      <c r="G724" s="25" t="str">
        <f>G723</f>
        <v>TRAFRECLHDMD</v>
      </c>
      <c r="H724" s="26">
        <v>2050</v>
      </c>
      <c r="I724" s="26"/>
      <c r="J724" s="27" t="e">
        <f>1-(J723*-1)</f>
        <v>#DIV/0!</v>
      </c>
      <c r="K724" s="26"/>
      <c r="L724" s="26"/>
      <c r="N724" s="28"/>
    </row>
    <row r="725" spans="1:14" x14ac:dyDescent="0.25">
      <c r="A725">
        <f>A715+1</f>
        <v>73</v>
      </c>
      <c r="C725" s="15" t="str">
        <f>IF(E725="","",IF(SUMIFS('TRA TECH'!M:M,'TRA TECH'!J:J,D726,'TRA TECH'!I:I,F726,'TRA TECH'!H:H,E726)=0,"*",IF(_xlfn.XLOOKUP($A725,Selected_constraint!$A:$A,Selected_constraint!$D:$D)=1,"*",IF(SUMIFS('TRA TECH'!$M:$M,'TRA TECH'!$H:$H,E725,'TRA TECH'!$I:$I,F725)=0,"*",IF(SUMIFS('TRA RESID'!$P:$P,'TRA RESID'!$I:$I,G725,'TRA RESID'!$J:$J,D725,'TRA RESID'!$H:$H,E725)=0,"*","UC_"&amp;SUBSTITUTE(D725,"*","")&amp;"_"&amp;SUBSTITUTE(D725,"*","")&amp;"_"&amp;RIGHT(E725,3)&amp;"_"&amp;F725)))))</f>
        <v>*</v>
      </c>
      <c r="D725" s="17" t="s">
        <v>485</v>
      </c>
      <c r="E725" s="17" t="str">
        <f>_xlfn.XLOOKUP($A725,Selected_constraint!$A:$A,Selected_constraint!$B:$B)</f>
        <v>TRAGSL</v>
      </c>
      <c r="F725" s="17" t="str">
        <f>_xlfn.XLOOKUP($A725,Selected_constraint!$A:$A,Selected_constraint!$C:$C)</f>
        <v>TRAFRECSHDMD</v>
      </c>
      <c r="G725" s="17" t="str">
        <f>F725</f>
        <v>TRAFRECSHDMD</v>
      </c>
      <c r="H725" s="18">
        <v>2019</v>
      </c>
      <c r="I725" s="18" t="s">
        <v>484</v>
      </c>
      <c r="J725" s="29" t="e">
        <f>-SUMIFS('TRA RESID'!$P:$P,'TRA RESID'!$I:$I,G726,'TRA RESID'!$J:$J,D726,'TRA RESID'!$H:$H,E726)/(SUMIFS('TRA RESID'!$P:$P,'TRA RESID'!$I:$I,G726,'TRA RESID'!$J:$J,D726,'TRA RESID'!$H:$H,E726)+SUMIFS('TRA RESID'!$P:$P,'TRA RESID'!$I:$I,G725,'TRA RESID'!$J:$J,D725,'TRA RESID'!$H:$H,E725))</f>
        <v>#DIV/0!</v>
      </c>
      <c r="K725" s="18">
        <v>0</v>
      </c>
      <c r="L725" s="18">
        <v>5</v>
      </c>
      <c r="N725" s="21">
        <v>1</v>
      </c>
    </row>
    <row r="726" spans="1:14" x14ac:dyDescent="0.25">
      <c r="C726" s="15" t="str">
        <f t="shared" ref="C726:C734" si="72">IF(C725="*",C725,"")</f>
        <v>*</v>
      </c>
      <c r="D726" s="17" t="s">
        <v>487</v>
      </c>
      <c r="E726" s="17" t="str">
        <f>E725</f>
        <v>TRAGSL</v>
      </c>
      <c r="F726" s="17" t="str">
        <f>F725</f>
        <v>TRAFRECSHDMD</v>
      </c>
      <c r="G726" s="17" t="str">
        <f>G725</f>
        <v>TRAFRECSHDMD</v>
      </c>
      <c r="H726" s="18">
        <v>2019</v>
      </c>
      <c r="I726" s="18"/>
      <c r="J726" s="20" t="e">
        <f>1-(J725*-1)</f>
        <v>#DIV/0!</v>
      </c>
      <c r="K726" s="18"/>
      <c r="L726" s="18"/>
      <c r="N726" s="21"/>
    </row>
    <row r="727" spans="1:14" x14ac:dyDescent="0.25">
      <c r="C727" s="15" t="str">
        <f t="shared" si="72"/>
        <v>*</v>
      </c>
      <c r="D727" s="17" t="str">
        <f>D725</f>
        <v>*ICEV*</v>
      </c>
      <c r="E727" s="17" t="str">
        <f>E725</f>
        <v>TRAGSL</v>
      </c>
      <c r="F727" s="17" t="str">
        <f>F725</f>
        <v>TRAFRECSHDMD</v>
      </c>
      <c r="G727" s="17" t="str">
        <f>G725</f>
        <v>TRAFRECSHDMD</v>
      </c>
      <c r="H727" s="18">
        <v>2025</v>
      </c>
      <c r="I727" s="18"/>
      <c r="J727" s="29" t="e">
        <f>IF(J725=0,-N727+1,J725*N727)</f>
        <v>#DIV/0!</v>
      </c>
      <c r="K727" s="18"/>
      <c r="L727" s="18"/>
      <c r="N727" s="21">
        <v>1.1000000000000001</v>
      </c>
    </row>
    <row r="728" spans="1:14" x14ac:dyDescent="0.25">
      <c r="C728" s="15" t="str">
        <f t="shared" si="72"/>
        <v>*</v>
      </c>
      <c r="D728" s="17" t="s">
        <v>487</v>
      </c>
      <c r="E728" s="17" t="str">
        <f>E727</f>
        <v>TRAGSL</v>
      </c>
      <c r="F728" s="17" t="str">
        <f>F727</f>
        <v>TRAFRECSHDMD</v>
      </c>
      <c r="G728" s="17" t="str">
        <f>G727</f>
        <v>TRAFRECSHDMD</v>
      </c>
      <c r="H728" s="18">
        <v>2025</v>
      </c>
      <c r="I728" s="18"/>
      <c r="J728" s="20" t="e">
        <f>1-(J727*-1)</f>
        <v>#DIV/0!</v>
      </c>
      <c r="K728" s="18"/>
      <c r="L728" s="18"/>
      <c r="N728" s="21"/>
    </row>
    <row r="729" spans="1:14" x14ac:dyDescent="0.25">
      <c r="C729" s="15" t="str">
        <f t="shared" si="72"/>
        <v>*</v>
      </c>
      <c r="D729" s="17" t="str">
        <f>D727</f>
        <v>*ICEV*</v>
      </c>
      <c r="E729" s="17" t="str">
        <f>E727</f>
        <v>TRAGSL</v>
      </c>
      <c r="F729" s="17" t="str">
        <f>F727</f>
        <v>TRAFRECSHDMD</v>
      </c>
      <c r="G729" s="17" t="str">
        <f>G727</f>
        <v>TRAFRECSHDMD</v>
      </c>
      <c r="H729" s="18">
        <v>2030</v>
      </c>
      <c r="I729" s="18"/>
      <c r="J729" s="29" t="e">
        <f>IF(J725=0,-N729+1,J725*N729)</f>
        <v>#DIV/0!</v>
      </c>
      <c r="K729" s="18"/>
      <c r="L729" s="18"/>
      <c r="N729" s="21">
        <v>1.2</v>
      </c>
    </row>
    <row r="730" spans="1:14" x14ac:dyDescent="0.25">
      <c r="C730" s="15" t="str">
        <f t="shared" si="72"/>
        <v>*</v>
      </c>
      <c r="D730" s="17" t="s">
        <v>487</v>
      </c>
      <c r="E730" s="17" t="str">
        <f>E729</f>
        <v>TRAGSL</v>
      </c>
      <c r="F730" s="17" t="str">
        <f>F729</f>
        <v>TRAFRECSHDMD</v>
      </c>
      <c r="G730" s="17" t="str">
        <f>G729</f>
        <v>TRAFRECSHDMD</v>
      </c>
      <c r="H730" s="18">
        <v>2030</v>
      </c>
      <c r="I730" s="18"/>
      <c r="J730" s="20" t="e">
        <f>1-(J729*-1)</f>
        <v>#DIV/0!</v>
      </c>
      <c r="K730" s="18"/>
      <c r="L730" s="18"/>
      <c r="N730" s="21"/>
    </row>
    <row r="731" spans="1:14" x14ac:dyDescent="0.25">
      <c r="C731" s="15" t="str">
        <f t="shared" si="72"/>
        <v>*</v>
      </c>
      <c r="D731" s="17" t="str">
        <f>D729</f>
        <v>*ICEV*</v>
      </c>
      <c r="E731" s="17" t="str">
        <f>E729</f>
        <v>TRAGSL</v>
      </c>
      <c r="F731" s="17" t="str">
        <f>F729</f>
        <v>TRAFRECSHDMD</v>
      </c>
      <c r="G731" s="17" t="str">
        <f>G729</f>
        <v>TRAFRECSHDMD</v>
      </c>
      <c r="H731" s="18">
        <v>2040</v>
      </c>
      <c r="I731" s="18"/>
      <c r="J731" s="29" t="e">
        <f>IF(J725=0,-N731+1,J725*N731)</f>
        <v>#DIV/0!</v>
      </c>
      <c r="K731" s="18"/>
      <c r="L731" s="18"/>
      <c r="N731" s="21">
        <v>1.3</v>
      </c>
    </row>
    <row r="732" spans="1:14" x14ac:dyDescent="0.25">
      <c r="C732" s="15" t="str">
        <f t="shared" si="72"/>
        <v>*</v>
      </c>
      <c r="D732" s="17" t="s">
        <v>487</v>
      </c>
      <c r="E732" s="17" t="str">
        <f>E731</f>
        <v>TRAGSL</v>
      </c>
      <c r="F732" s="17" t="str">
        <f>F731</f>
        <v>TRAFRECSHDMD</v>
      </c>
      <c r="G732" s="17" t="str">
        <f>G731</f>
        <v>TRAFRECSHDMD</v>
      </c>
      <c r="H732" s="18">
        <v>2040</v>
      </c>
      <c r="I732" s="18"/>
      <c r="J732" s="20" t="e">
        <f>1-(J731*-1)</f>
        <v>#DIV/0!</v>
      </c>
      <c r="K732" s="18"/>
      <c r="L732" s="18"/>
      <c r="N732" s="21"/>
    </row>
    <row r="733" spans="1:14" x14ac:dyDescent="0.25">
      <c r="C733" s="15" t="str">
        <f t="shared" si="72"/>
        <v>*</v>
      </c>
      <c r="D733" s="17" t="str">
        <f>D731</f>
        <v>*ICEV*</v>
      </c>
      <c r="E733" s="17" t="str">
        <f>E731</f>
        <v>TRAGSL</v>
      </c>
      <c r="F733" s="17" t="str">
        <f>F731</f>
        <v>TRAFRECSHDMD</v>
      </c>
      <c r="G733" s="17" t="str">
        <f>G731</f>
        <v>TRAFRECSHDMD</v>
      </c>
      <c r="H733" s="18">
        <v>2050</v>
      </c>
      <c r="I733" s="18"/>
      <c r="J733" s="29" t="e">
        <f>IF(J725=0,-N733+1,J725*N733)</f>
        <v>#DIV/0!</v>
      </c>
      <c r="K733" s="18"/>
      <c r="L733" s="18"/>
      <c r="N733" s="21">
        <v>1.4</v>
      </c>
    </row>
    <row r="734" spans="1:14" x14ac:dyDescent="0.25">
      <c r="C734" s="23" t="str">
        <f t="shared" si="72"/>
        <v>*</v>
      </c>
      <c r="D734" s="25" t="s">
        <v>487</v>
      </c>
      <c r="E734" s="25" t="str">
        <f>E733</f>
        <v>TRAGSL</v>
      </c>
      <c r="F734" s="25" t="str">
        <f>F733</f>
        <v>TRAFRECSHDMD</v>
      </c>
      <c r="G734" s="25" t="str">
        <f>G733</f>
        <v>TRAFRECSHDMD</v>
      </c>
      <c r="H734" s="26">
        <v>2050</v>
      </c>
      <c r="I734" s="26"/>
      <c r="J734" s="27" t="e">
        <f>1-(J733*-1)</f>
        <v>#DIV/0!</v>
      </c>
      <c r="K734" s="26"/>
      <c r="L734" s="26"/>
      <c r="N734" s="28"/>
    </row>
    <row r="735" spans="1:14" x14ac:dyDescent="0.25">
      <c r="A735">
        <f>A725+1</f>
        <v>74</v>
      </c>
      <c r="C735" s="15" t="str">
        <f>IF(E735="","",IF(SUMIFS('TRA TECH'!M:M,'TRA TECH'!J:J,D736,'TRA TECH'!I:I,F736,'TRA TECH'!H:H,E736)=0,"*",IF(_xlfn.XLOOKUP($A735,Selected_constraint!$A:$A,Selected_constraint!$D:$D)=1,"*",IF(SUMIFS('TRA TECH'!$M:$M,'TRA TECH'!$H:$H,E735,'TRA TECH'!$I:$I,F735)=0,"*",IF(SUMIFS('TRA RESID'!$P:$P,'TRA RESID'!$I:$I,G735,'TRA RESID'!$J:$J,D735,'TRA RESID'!$H:$H,E735)=0,"*","UC_"&amp;SUBSTITUTE(D735,"*","")&amp;"_"&amp;SUBSTITUTE(D735,"*","")&amp;"_"&amp;RIGHT(E735,3)&amp;"_"&amp;F735)))))</f>
        <v>*</v>
      </c>
      <c r="D735" s="17" t="s">
        <v>485</v>
      </c>
      <c r="E735" s="17" t="str">
        <f>_xlfn.XLOOKUP($A735,Selected_constraint!$A:$A,Selected_constraint!$B:$B)</f>
        <v>TRAETH</v>
      </c>
      <c r="F735" s="17" t="str">
        <f>_xlfn.XLOOKUP($A735,Selected_constraint!$A:$A,Selected_constraint!$C:$C)</f>
        <v>TRAFRECSHDMD</v>
      </c>
      <c r="G735" s="17" t="str">
        <f>F735</f>
        <v>TRAFRECSHDMD</v>
      </c>
      <c r="H735" s="18">
        <v>2019</v>
      </c>
      <c r="I735" s="18" t="s">
        <v>484</v>
      </c>
      <c r="J735" s="29" t="e">
        <f>-SUMIFS('TRA RESID'!$P:$P,'TRA RESID'!$I:$I,G736,'TRA RESID'!$J:$J,D736,'TRA RESID'!$H:$H,E736)/(SUMIFS('TRA RESID'!$P:$P,'TRA RESID'!$I:$I,G736,'TRA RESID'!$J:$J,D736,'TRA RESID'!$H:$H,E736)+SUMIFS('TRA RESID'!$P:$P,'TRA RESID'!$I:$I,G735,'TRA RESID'!$J:$J,D735,'TRA RESID'!$H:$H,E735))</f>
        <v>#DIV/0!</v>
      </c>
      <c r="K735" s="18">
        <v>0</v>
      </c>
      <c r="L735" s="18">
        <v>5</v>
      </c>
      <c r="N735" s="21">
        <v>1</v>
      </c>
    </row>
    <row r="736" spans="1:14" x14ac:dyDescent="0.25">
      <c r="C736" s="15" t="str">
        <f t="shared" ref="C736:C744" si="73">IF(C735="*",C735,"")</f>
        <v>*</v>
      </c>
      <c r="D736" s="17" t="s">
        <v>487</v>
      </c>
      <c r="E736" s="17" t="str">
        <f>E735</f>
        <v>TRAETH</v>
      </c>
      <c r="F736" s="17" t="str">
        <f>F735</f>
        <v>TRAFRECSHDMD</v>
      </c>
      <c r="G736" s="17" t="str">
        <f>G735</f>
        <v>TRAFRECSHDMD</v>
      </c>
      <c r="H736" s="18">
        <v>2019</v>
      </c>
      <c r="I736" s="18"/>
      <c r="J736" s="20" t="e">
        <f>1-(J735*-1)</f>
        <v>#DIV/0!</v>
      </c>
      <c r="K736" s="18"/>
      <c r="L736" s="18"/>
      <c r="N736" s="21"/>
    </row>
    <row r="737" spans="1:14" x14ac:dyDescent="0.25">
      <c r="C737" s="15" t="str">
        <f t="shared" si="73"/>
        <v>*</v>
      </c>
      <c r="D737" s="17" t="str">
        <f>D735</f>
        <v>*ICEV*</v>
      </c>
      <c r="E737" s="17" t="str">
        <f>E735</f>
        <v>TRAETH</v>
      </c>
      <c r="F737" s="17" t="str">
        <f>F735</f>
        <v>TRAFRECSHDMD</v>
      </c>
      <c r="G737" s="17" t="str">
        <f>G735</f>
        <v>TRAFRECSHDMD</v>
      </c>
      <c r="H737" s="18">
        <v>2025</v>
      </c>
      <c r="I737" s="18"/>
      <c r="J737" s="29" t="e">
        <f>IF(J735=0,-N737+1,J735*N737)</f>
        <v>#DIV/0!</v>
      </c>
      <c r="K737" s="18"/>
      <c r="L737" s="18"/>
      <c r="N737" s="21">
        <v>1.1000000000000001</v>
      </c>
    </row>
    <row r="738" spans="1:14" x14ac:dyDescent="0.25">
      <c r="C738" s="15" t="str">
        <f t="shared" si="73"/>
        <v>*</v>
      </c>
      <c r="D738" s="17" t="s">
        <v>487</v>
      </c>
      <c r="E738" s="17" t="str">
        <f>E737</f>
        <v>TRAETH</v>
      </c>
      <c r="F738" s="17" t="str">
        <f>F737</f>
        <v>TRAFRECSHDMD</v>
      </c>
      <c r="G738" s="17" t="str">
        <f>G737</f>
        <v>TRAFRECSHDMD</v>
      </c>
      <c r="H738" s="18">
        <v>2025</v>
      </c>
      <c r="I738" s="18"/>
      <c r="J738" s="20" t="e">
        <f>1-(J737*-1)</f>
        <v>#DIV/0!</v>
      </c>
      <c r="K738" s="18"/>
      <c r="L738" s="18"/>
      <c r="N738" s="21"/>
    </row>
    <row r="739" spans="1:14" x14ac:dyDescent="0.25">
      <c r="C739" s="15" t="str">
        <f t="shared" si="73"/>
        <v>*</v>
      </c>
      <c r="D739" s="17" t="str">
        <f>D737</f>
        <v>*ICEV*</v>
      </c>
      <c r="E739" s="17" t="str">
        <f>E737</f>
        <v>TRAETH</v>
      </c>
      <c r="F739" s="17" t="str">
        <f>F737</f>
        <v>TRAFRECSHDMD</v>
      </c>
      <c r="G739" s="17" t="str">
        <f>G737</f>
        <v>TRAFRECSHDMD</v>
      </c>
      <c r="H739" s="18">
        <v>2030</v>
      </c>
      <c r="I739" s="18"/>
      <c r="J739" s="29" t="e">
        <f>IF(J735=0,-N739+1,J735*N739)</f>
        <v>#DIV/0!</v>
      </c>
      <c r="K739" s="18"/>
      <c r="L739" s="18"/>
      <c r="N739" s="21">
        <v>1.2</v>
      </c>
    </row>
    <row r="740" spans="1:14" x14ac:dyDescent="0.25">
      <c r="C740" s="15" t="str">
        <f t="shared" si="73"/>
        <v>*</v>
      </c>
      <c r="D740" s="17" t="s">
        <v>487</v>
      </c>
      <c r="E740" s="17" t="str">
        <f>E739</f>
        <v>TRAETH</v>
      </c>
      <c r="F740" s="17" t="str">
        <f>F739</f>
        <v>TRAFRECSHDMD</v>
      </c>
      <c r="G740" s="17" t="str">
        <f>G739</f>
        <v>TRAFRECSHDMD</v>
      </c>
      <c r="H740" s="18">
        <v>2030</v>
      </c>
      <c r="I740" s="18"/>
      <c r="J740" s="20" t="e">
        <f>1-(J739*-1)</f>
        <v>#DIV/0!</v>
      </c>
      <c r="K740" s="18"/>
      <c r="L740" s="18"/>
      <c r="N740" s="21"/>
    </row>
    <row r="741" spans="1:14" x14ac:dyDescent="0.25">
      <c r="C741" s="15" t="str">
        <f t="shared" si="73"/>
        <v>*</v>
      </c>
      <c r="D741" s="17" t="str">
        <f>D739</f>
        <v>*ICEV*</v>
      </c>
      <c r="E741" s="17" t="str">
        <f>E739</f>
        <v>TRAETH</v>
      </c>
      <c r="F741" s="17" t="str">
        <f>F739</f>
        <v>TRAFRECSHDMD</v>
      </c>
      <c r="G741" s="17" t="str">
        <f>G739</f>
        <v>TRAFRECSHDMD</v>
      </c>
      <c r="H741" s="18">
        <v>2040</v>
      </c>
      <c r="I741" s="18"/>
      <c r="J741" s="29" t="e">
        <f>IF(J735=0,-N741+1,J735*N741)</f>
        <v>#DIV/0!</v>
      </c>
      <c r="K741" s="18"/>
      <c r="L741" s="18"/>
      <c r="N741" s="21">
        <v>1.3</v>
      </c>
    </row>
    <row r="742" spans="1:14" x14ac:dyDescent="0.25">
      <c r="C742" s="15" t="str">
        <f t="shared" si="73"/>
        <v>*</v>
      </c>
      <c r="D742" s="17" t="s">
        <v>487</v>
      </c>
      <c r="E742" s="17" t="str">
        <f>E741</f>
        <v>TRAETH</v>
      </c>
      <c r="F742" s="17" t="str">
        <f>F741</f>
        <v>TRAFRECSHDMD</v>
      </c>
      <c r="G742" s="17" t="str">
        <f>G741</f>
        <v>TRAFRECSHDMD</v>
      </c>
      <c r="H742" s="18">
        <v>2040</v>
      </c>
      <c r="I742" s="18"/>
      <c r="J742" s="20" t="e">
        <f>1-(J741*-1)</f>
        <v>#DIV/0!</v>
      </c>
      <c r="K742" s="18"/>
      <c r="L742" s="18"/>
      <c r="N742" s="21"/>
    </row>
    <row r="743" spans="1:14" x14ac:dyDescent="0.25">
      <c r="C743" s="15" t="str">
        <f t="shared" si="73"/>
        <v>*</v>
      </c>
      <c r="D743" s="17" t="str">
        <f>D741</f>
        <v>*ICEV*</v>
      </c>
      <c r="E743" s="17" t="str">
        <f>E741</f>
        <v>TRAETH</v>
      </c>
      <c r="F743" s="17" t="str">
        <f>F741</f>
        <v>TRAFRECSHDMD</v>
      </c>
      <c r="G743" s="17" t="str">
        <f>G741</f>
        <v>TRAFRECSHDMD</v>
      </c>
      <c r="H743" s="18">
        <v>2050</v>
      </c>
      <c r="I743" s="18"/>
      <c r="J743" s="29" t="e">
        <f>IF(J735=0,-N743+1,J735*N743)</f>
        <v>#DIV/0!</v>
      </c>
      <c r="K743" s="18"/>
      <c r="L743" s="18"/>
      <c r="N743" s="21">
        <v>1.4</v>
      </c>
    </row>
    <row r="744" spans="1:14" x14ac:dyDescent="0.25">
      <c r="C744" s="23" t="str">
        <f t="shared" si="73"/>
        <v>*</v>
      </c>
      <c r="D744" s="25" t="s">
        <v>487</v>
      </c>
      <c r="E744" s="25" t="str">
        <f>E743</f>
        <v>TRAETH</v>
      </c>
      <c r="F744" s="25" t="str">
        <f>F743</f>
        <v>TRAFRECSHDMD</v>
      </c>
      <c r="G744" s="25" t="str">
        <f>G743</f>
        <v>TRAFRECSHDMD</v>
      </c>
      <c r="H744" s="26">
        <v>2050</v>
      </c>
      <c r="I744" s="26"/>
      <c r="J744" s="27" t="e">
        <f>1-(J743*-1)</f>
        <v>#DIV/0!</v>
      </c>
      <c r="K744" s="26"/>
      <c r="L744" s="26"/>
      <c r="N744" s="28"/>
    </row>
    <row r="745" spans="1:14" x14ac:dyDescent="0.25">
      <c r="A745">
        <f>A735+1</f>
        <v>75</v>
      </c>
      <c r="C745" s="15" t="str">
        <f>IF(E745="","",IF(SUMIFS('TRA TECH'!M:M,'TRA TECH'!J:J,D746,'TRA TECH'!I:I,F746,'TRA TECH'!H:H,E746)=0,"*",IF(_xlfn.XLOOKUP($A745,Selected_constraint!$A:$A,Selected_constraint!$D:$D)=1,"*",IF(SUMIFS('TRA TECH'!$M:$M,'TRA TECH'!$H:$H,E745,'TRA TECH'!$I:$I,F745)=0,"*",IF(SUMIFS('TRA RESID'!$P:$P,'TRA RESID'!$I:$I,G745,'TRA RESID'!$J:$J,D745,'TRA RESID'!$H:$H,E745)=0,"*","UC_"&amp;SUBSTITUTE(D745,"*","")&amp;"_"&amp;SUBSTITUTE(D745,"*","")&amp;"_"&amp;RIGHT(E745,3)&amp;"_"&amp;F745)))))</f>
        <v>*</v>
      </c>
      <c r="D745" s="17" t="s">
        <v>485</v>
      </c>
      <c r="E745" s="17" t="str">
        <f>_xlfn.XLOOKUP($A745,Selected_constraint!$A:$A,Selected_constraint!$B:$B)</f>
        <v>TRADSL</v>
      </c>
      <c r="F745" s="17" t="str">
        <f>_xlfn.XLOOKUP($A745,Selected_constraint!$A:$A,Selected_constraint!$C:$C)</f>
        <v>TRAFRECSHDMD</v>
      </c>
      <c r="G745" s="17" t="str">
        <f>F745</f>
        <v>TRAFRECSHDMD</v>
      </c>
      <c r="H745" s="18">
        <v>2019</v>
      </c>
      <c r="I745" s="18" t="s">
        <v>484</v>
      </c>
      <c r="J745" s="29" t="e">
        <f>-SUMIFS('TRA RESID'!$P:$P,'TRA RESID'!$I:$I,G746,'TRA RESID'!$J:$J,D746,'TRA RESID'!$H:$H,E746)/(SUMIFS('TRA RESID'!$P:$P,'TRA RESID'!$I:$I,G746,'TRA RESID'!$J:$J,D746,'TRA RESID'!$H:$H,E746)+SUMIFS('TRA RESID'!$P:$P,'TRA RESID'!$I:$I,G745,'TRA RESID'!$J:$J,D745,'TRA RESID'!$H:$H,E745))</f>
        <v>#DIV/0!</v>
      </c>
      <c r="K745" s="18">
        <v>0</v>
      </c>
      <c r="L745" s="18">
        <v>5</v>
      </c>
      <c r="N745" s="21">
        <v>1</v>
      </c>
    </row>
    <row r="746" spans="1:14" x14ac:dyDescent="0.25">
      <c r="C746" s="15" t="str">
        <f t="shared" ref="C746:C754" si="74">IF(C745="*",C745,"")</f>
        <v>*</v>
      </c>
      <c r="D746" s="17" t="s">
        <v>487</v>
      </c>
      <c r="E746" s="17" t="str">
        <f>E745</f>
        <v>TRADSL</v>
      </c>
      <c r="F746" s="17" t="str">
        <f>F745</f>
        <v>TRAFRECSHDMD</v>
      </c>
      <c r="G746" s="17" t="str">
        <f>G745</f>
        <v>TRAFRECSHDMD</v>
      </c>
      <c r="H746" s="18">
        <v>2019</v>
      </c>
      <c r="I746" s="18"/>
      <c r="J746" s="20" t="e">
        <f>1-(J745*-1)</f>
        <v>#DIV/0!</v>
      </c>
      <c r="K746" s="18"/>
      <c r="L746" s="18"/>
      <c r="N746" s="21"/>
    </row>
    <row r="747" spans="1:14" x14ac:dyDescent="0.25">
      <c r="C747" s="15" t="str">
        <f t="shared" si="74"/>
        <v>*</v>
      </c>
      <c r="D747" s="17" t="str">
        <f>D745</f>
        <v>*ICEV*</v>
      </c>
      <c r="E747" s="17" t="str">
        <f>E745</f>
        <v>TRADSL</v>
      </c>
      <c r="F747" s="17" t="str">
        <f>F745</f>
        <v>TRAFRECSHDMD</v>
      </c>
      <c r="G747" s="17" t="str">
        <f>G745</f>
        <v>TRAFRECSHDMD</v>
      </c>
      <c r="H747" s="18">
        <v>2025</v>
      </c>
      <c r="I747" s="18"/>
      <c r="J747" s="29" t="e">
        <f>IF(J745=0,-N747+1,J745*N747)</f>
        <v>#DIV/0!</v>
      </c>
      <c r="K747" s="18"/>
      <c r="L747" s="18"/>
      <c r="N747" s="21">
        <v>1.1000000000000001</v>
      </c>
    </row>
    <row r="748" spans="1:14" x14ac:dyDescent="0.25">
      <c r="C748" s="15" t="str">
        <f t="shared" si="74"/>
        <v>*</v>
      </c>
      <c r="D748" s="17" t="s">
        <v>487</v>
      </c>
      <c r="E748" s="17" t="str">
        <f>E747</f>
        <v>TRADSL</v>
      </c>
      <c r="F748" s="17" t="str">
        <f>F747</f>
        <v>TRAFRECSHDMD</v>
      </c>
      <c r="G748" s="17" t="str">
        <f>G747</f>
        <v>TRAFRECSHDMD</v>
      </c>
      <c r="H748" s="18">
        <v>2025</v>
      </c>
      <c r="I748" s="18"/>
      <c r="J748" s="20" t="e">
        <f>1-(J747*-1)</f>
        <v>#DIV/0!</v>
      </c>
      <c r="K748" s="18"/>
      <c r="L748" s="18"/>
      <c r="N748" s="21"/>
    </row>
    <row r="749" spans="1:14" x14ac:dyDescent="0.25">
      <c r="C749" s="15" t="str">
        <f t="shared" si="74"/>
        <v>*</v>
      </c>
      <c r="D749" s="17" t="str">
        <f>D747</f>
        <v>*ICEV*</v>
      </c>
      <c r="E749" s="17" t="str">
        <f>E747</f>
        <v>TRADSL</v>
      </c>
      <c r="F749" s="17" t="str">
        <f>F747</f>
        <v>TRAFRECSHDMD</v>
      </c>
      <c r="G749" s="17" t="str">
        <f>G747</f>
        <v>TRAFRECSHDMD</v>
      </c>
      <c r="H749" s="18">
        <v>2030</v>
      </c>
      <c r="I749" s="18"/>
      <c r="J749" s="29" t="e">
        <f>IF(J745=0,-N749+1,J745*N749)</f>
        <v>#DIV/0!</v>
      </c>
      <c r="K749" s="18"/>
      <c r="L749" s="18"/>
      <c r="N749" s="21">
        <v>1.2</v>
      </c>
    </row>
    <row r="750" spans="1:14" x14ac:dyDescent="0.25">
      <c r="C750" s="15" t="str">
        <f t="shared" si="74"/>
        <v>*</v>
      </c>
      <c r="D750" s="17" t="s">
        <v>487</v>
      </c>
      <c r="E750" s="17" t="str">
        <f>E749</f>
        <v>TRADSL</v>
      </c>
      <c r="F750" s="17" t="str">
        <f>F749</f>
        <v>TRAFRECSHDMD</v>
      </c>
      <c r="G750" s="17" t="str">
        <f>G749</f>
        <v>TRAFRECSHDMD</v>
      </c>
      <c r="H750" s="18">
        <v>2030</v>
      </c>
      <c r="I750" s="18"/>
      <c r="J750" s="20" t="e">
        <f>1-(J749*-1)</f>
        <v>#DIV/0!</v>
      </c>
      <c r="K750" s="18"/>
      <c r="L750" s="18"/>
      <c r="N750" s="21"/>
    </row>
    <row r="751" spans="1:14" x14ac:dyDescent="0.25">
      <c r="C751" s="15" t="str">
        <f t="shared" si="74"/>
        <v>*</v>
      </c>
      <c r="D751" s="17" t="str">
        <f>D749</f>
        <v>*ICEV*</v>
      </c>
      <c r="E751" s="17" t="str">
        <f>E749</f>
        <v>TRADSL</v>
      </c>
      <c r="F751" s="17" t="str">
        <f>F749</f>
        <v>TRAFRECSHDMD</v>
      </c>
      <c r="G751" s="17" t="str">
        <f>G749</f>
        <v>TRAFRECSHDMD</v>
      </c>
      <c r="H751" s="18">
        <v>2040</v>
      </c>
      <c r="I751" s="18"/>
      <c r="J751" s="29" t="e">
        <f>IF(J745=0,-N751+1,J745*N751)</f>
        <v>#DIV/0!</v>
      </c>
      <c r="K751" s="18"/>
      <c r="L751" s="18"/>
      <c r="N751" s="21">
        <v>1.3</v>
      </c>
    </row>
    <row r="752" spans="1:14" x14ac:dyDescent="0.25">
      <c r="C752" s="15" t="str">
        <f t="shared" si="74"/>
        <v>*</v>
      </c>
      <c r="D752" s="17" t="s">
        <v>487</v>
      </c>
      <c r="E752" s="17" t="str">
        <f>E751</f>
        <v>TRADSL</v>
      </c>
      <c r="F752" s="17" t="str">
        <f>F751</f>
        <v>TRAFRECSHDMD</v>
      </c>
      <c r="G752" s="17" t="str">
        <f>G751</f>
        <v>TRAFRECSHDMD</v>
      </c>
      <c r="H752" s="18">
        <v>2040</v>
      </c>
      <c r="I752" s="18"/>
      <c r="J752" s="20" t="e">
        <f>1-(J751*-1)</f>
        <v>#DIV/0!</v>
      </c>
      <c r="K752" s="18"/>
      <c r="L752" s="18"/>
      <c r="N752" s="21"/>
    </row>
    <row r="753" spans="1:14" x14ac:dyDescent="0.25">
      <c r="C753" s="15" t="str">
        <f t="shared" si="74"/>
        <v>*</v>
      </c>
      <c r="D753" s="17" t="str">
        <f>D751</f>
        <v>*ICEV*</v>
      </c>
      <c r="E753" s="17" t="str">
        <f>E751</f>
        <v>TRADSL</v>
      </c>
      <c r="F753" s="17" t="str">
        <f>F751</f>
        <v>TRAFRECSHDMD</v>
      </c>
      <c r="G753" s="17" t="str">
        <f>G751</f>
        <v>TRAFRECSHDMD</v>
      </c>
      <c r="H753" s="18">
        <v>2050</v>
      </c>
      <c r="I753" s="18"/>
      <c r="J753" s="29" t="e">
        <f>IF(J745=0,-N753+1,J745*N753)</f>
        <v>#DIV/0!</v>
      </c>
      <c r="K753" s="18"/>
      <c r="L753" s="18"/>
      <c r="N753" s="21">
        <v>1.4</v>
      </c>
    </row>
    <row r="754" spans="1:14" x14ac:dyDescent="0.25">
      <c r="C754" s="23" t="str">
        <f t="shared" si="74"/>
        <v>*</v>
      </c>
      <c r="D754" s="25" t="s">
        <v>487</v>
      </c>
      <c r="E754" s="25" t="str">
        <f>E753</f>
        <v>TRADSL</v>
      </c>
      <c r="F754" s="25" t="str">
        <f>F753</f>
        <v>TRAFRECSHDMD</v>
      </c>
      <c r="G754" s="25" t="str">
        <f>G753</f>
        <v>TRAFRECSHDMD</v>
      </c>
      <c r="H754" s="26">
        <v>2050</v>
      </c>
      <c r="I754" s="26"/>
      <c r="J754" s="27" t="e">
        <f>1-(J753*-1)</f>
        <v>#DIV/0!</v>
      </c>
      <c r="K754" s="26"/>
      <c r="L754" s="26"/>
      <c r="N754" s="28"/>
    </row>
    <row r="755" spans="1:14" x14ac:dyDescent="0.25">
      <c r="A755">
        <f>A745+1</f>
        <v>76</v>
      </c>
      <c r="C755" s="15" t="str">
        <f>IF(E755="","",IF(SUMIFS('TRA TECH'!M:M,'TRA TECH'!J:J,D756,'TRA TECH'!I:I,F756,'TRA TECH'!H:H,E756)=0,"*",IF(_xlfn.XLOOKUP($A755,Selected_constraint!$A:$A,Selected_constraint!$D:$D)=1,"*",IF(SUMIFS('TRA TECH'!$M:$M,'TRA TECH'!$H:$H,E755,'TRA TECH'!$I:$I,F755)=0,"*",IF(SUMIFS('TRA RESID'!$P:$P,'TRA RESID'!$I:$I,G755,'TRA RESID'!$J:$J,D755,'TRA RESID'!$H:$H,E755)=0,"*","UC_"&amp;SUBSTITUTE(D755,"*","")&amp;"_"&amp;SUBSTITUTE(D755,"*","")&amp;"_"&amp;RIGHT(E755,3)&amp;"_"&amp;F755)))))</f>
        <v>*</v>
      </c>
      <c r="D755" s="17" t="s">
        <v>485</v>
      </c>
      <c r="E755" s="17" t="str">
        <f>_xlfn.XLOOKUP($A755,Selected_constraint!$A:$A,Selected_constraint!$B:$B)</f>
        <v>TRARDS</v>
      </c>
      <c r="F755" s="17" t="str">
        <f>_xlfn.XLOOKUP($A755,Selected_constraint!$A:$A,Selected_constraint!$C:$C)</f>
        <v>TRAFRECSHDMD</v>
      </c>
      <c r="G755" s="17" t="str">
        <f>F755</f>
        <v>TRAFRECSHDMD</v>
      </c>
      <c r="H755" s="18">
        <v>2019</v>
      </c>
      <c r="I755" s="18" t="s">
        <v>484</v>
      </c>
      <c r="J755" s="29" t="e">
        <f>-SUMIFS('TRA RESID'!$P:$P,'TRA RESID'!$I:$I,G756,'TRA RESID'!$J:$J,D756,'TRA RESID'!$H:$H,E756)/(SUMIFS('TRA RESID'!$P:$P,'TRA RESID'!$I:$I,G756,'TRA RESID'!$J:$J,D756,'TRA RESID'!$H:$H,E756)+SUMIFS('TRA RESID'!$P:$P,'TRA RESID'!$I:$I,G755,'TRA RESID'!$J:$J,D755,'TRA RESID'!$H:$H,E755))</f>
        <v>#DIV/0!</v>
      </c>
      <c r="K755" s="18">
        <v>0</v>
      </c>
      <c r="L755" s="18">
        <v>5</v>
      </c>
      <c r="N755" s="21">
        <v>1</v>
      </c>
    </row>
    <row r="756" spans="1:14" x14ac:dyDescent="0.25">
      <c r="C756" s="15" t="str">
        <f t="shared" ref="C756:C764" si="75">IF(C755="*",C755,"")</f>
        <v>*</v>
      </c>
      <c r="D756" s="17" t="s">
        <v>487</v>
      </c>
      <c r="E756" s="17" t="str">
        <f>E755</f>
        <v>TRARDS</v>
      </c>
      <c r="F756" s="17" t="str">
        <f>F755</f>
        <v>TRAFRECSHDMD</v>
      </c>
      <c r="G756" s="17" t="str">
        <f>G755</f>
        <v>TRAFRECSHDMD</v>
      </c>
      <c r="H756" s="18">
        <v>2019</v>
      </c>
      <c r="I756" s="18"/>
      <c r="J756" s="20" t="e">
        <f>1-(J755*-1)</f>
        <v>#DIV/0!</v>
      </c>
      <c r="K756" s="18"/>
      <c r="L756" s="18"/>
      <c r="N756" s="21"/>
    </row>
    <row r="757" spans="1:14" x14ac:dyDescent="0.25">
      <c r="C757" s="15" t="str">
        <f t="shared" si="75"/>
        <v>*</v>
      </c>
      <c r="D757" s="17" t="str">
        <f>D755</f>
        <v>*ICEV*</v>
      </c>
      <c r="E757" s="17" t="str">
        <f>E755</f>
        <v>TRARDS</v>
      </c>
      <c r="F757" s="17" t="str">
        <f>F755</f>
        <v>TRAFRECSHDMD</v>
      </c>
      <c r="G757" s="17" t="str">
        <f>G755</f>
        <v>TRAFRECSHDMD</v>
      </c>
      <c r="H757" s="18">
        <v>2025</v>
      </c>
      <c r="I757" s="18"/>
      <c r="J757" s="29" t="e">
        <f>IF(J755=0,-N757+1,J755*N757)</f>
        <v>#DIV/0!</v>
      </c>
      <c r="K757" s="18"/>
      <c r="L757" s="18"/>
      <c r="N757" s="21">
        <v>1.1000000000000001</v>
      </c>
    </row>
    <row r="758" spans="1:14" x14ac:dyDescent="0.25">
      <c r="C758" s="15" t="str">
        <f t="shared" si="75"/>
        <v>*</v>
      </c>
      <c r="D758" s="17" t="s">
        <v>487</v>
      </c>
      <c r="E758" s="17" t="str">
        <f>E757</f>
        <v>TRARDS</v>
      </c>
      <c r="F758" s="17" t="str">
        <f>F757</f>
        <v>TRAFRECSHDMD</v>
      </c>
      <c r="G758" s="17" t="str">
        <f>G757</f>
        <v>TRAFRECSHDMD</v>
      </c>
      <c r="H758" s="18">
        <v>2025</v>
      </c>
      <c r="I758" s="18"/>
      <c r="J758" s="20" t="e">
        <f>1-(J757*-1)</f>
        <v>#DIV/0!</v>
      </c>
      <c r="K758" s="18"/>
      <c r="L758" s="18"/>
      <c r="N758" s="21"/>
    </row>
    <row r="759" spans="1:14" x14ac:dyDescent="0.25">
      <c r="C759" s="15" t="str">
        <f t="shared" si="75"/>
        <v>*</v>
      </c>
      <c r="D759" s="17" t="str">
        <f>D757</f>
        <v>*ICEV*</v>
      </c>
      <c r="E759" s="17" t="str">
        <f>E757</f>
        <v>TRARDS</v>
      </c>
      <c r="F759" s="17" t="str">
        <f>F757</f>
        <v>TRAFRECSHDMD</v>
      </c>
      <c r="G759" s="17" t="str">
        <f>G757</f>
        <v>TRAFRECSHDMD</v>
      </c>
      <c r="H759" s="18">
        <v>2030</v>
      </c>
      <c r="I759" s="18"/>
      <c r="J759" s="29" t="e">
        <f>IF(J755=0,-N759+1,J755*N759)</f>
        <v>#DIV/0!</v>
      </c>
      <c r="K759" s="18"/>
      <c r="L759" s="18"/>
      <c r="N759" s="21">
        <v>1.2</v>
      </c>
    </row>
    <row r="760" spans="1:14" x14ac:dyDescent="0.25">
      <c r="C760" s="15" t="str">
        <f t="shared" si="75"/>
        <v>*</v>
      </c>
      <c r="D760" s="17" t="s">
        <v>487</v>
      </c>
      <c r="E760" s="17" t="str">
        <f>E759</f>
        <v>TRARDS</v>
      </c>
      <c r="F760" s="17" t="str">
        <f>F759</f>
        <v>TRAFRECSHDMD</v>
      </c>
      <c r="G760" s="17" t="str">
        <f>G759</f>
        <v>TRAFRECSHDMD</v>
      </c>
      <c r="H760" s="18">
        <v>2030</v>
      </c>
      <c r="I760" s="18"/>
      <c r="J760" s="20" t="e">
        <f>1-(J759*-1)</f>
        <v>#DIV/0!</v>
      </c>
      <c r="K760" s="18"/>
      <c r="L760" s="18"/>
      <c r="N760" s="21"/>
    </row>
    <row r="761" spans="1:14" x14ac:dyDescent="0.25">
      <c r="C761" s="15" t="str">
        <f t="shared" si="75"/>
        <v>*</v>
      </c>
      <c r="D761" s="17" t="str">
        <f>D759</f>
        <v>*ICEV*</v>
      </c>
      <c r="E761" s="17" t="str">
        <f>E759</f>
        <v>TRARDS</v>
      </c>
      <c r="F761" s="17" t="str">
        <f>F759</f>
        <v>TRAFRECSHDMD</v>
      </c>
      <c r="G761" s="17" t="str">
        <f>G759</f>
        <v>TRAFRECSHDMD</v>
      </c>
      <c r="H761" s="18">
        <v>2040</v>
      </c>
      <c r="I761" s="18"/>
      <c r="J761" s="29" t="e">
        <f>IF(J755=0,-N761+1,J755*N761)</f>
        <v>#DIV/0!</v>
      </c>
      <c r="K761" s="18"/>
      <c r="L761" s="18"/>
      <c r="N761" s="21">
        <v>1.3</v>
      </c>
    </row>
    <row r="762" spans="1:14" x14ac:dyDescent="0.25">
      <c r="C762" s="15" t="str">
        <f t="shared" si="75"/>
        <v>*</v>
      </c>
      <c r="D762" s="17" t="s">
        <v>487</v>
      </c>
      <c r="E762" s="17" t="str">
        <f>E761</f>
        <v>TRARDS</v>
      </c>
      <c r="F762" s="17" t="str">
        <f>F761</f>
        <v>TRAFRECSHDMD</v>
      </c>
      <c r="G762" s="17" t="str">
        <f>G761</f>
        <v>TRAFRECSHDMD</v>
      </c>
      <c r="H762" s="18">
        <v>2040</v>
      </c>
      <c r="I762" s="18"/>
      <c r="J762" s="20" t="e">
        <f>1-(J761*-1)</f>
        <v>#DIV/0!</v>
      </c>
      <c r="K762" s="18"/>
      <c r="L762" s="18"/>
      <c r="N762" s="21"/>
    </row>
    <row r="763" spans="1:14" x14ac:dyDescent="0.25">
      <c r="C763" s="15" t="str">
        <f t="shared" si="75"/>
        <v>*</v>
      </c>
      <c r="D763" s="17" t="str">
        <f>D761</f>
        <v>*ICEV*</v>
      </c>
      <c r="E763" s="17" t="str">
        <f>E761</f>
        <v>TRARDS</v>
      </c>
      <c r="F763" s="17" t="str">
        <f>F761</f>
        <v>TRAFRECSHDMD</v>
      </c>
      <c r="G763" s="17" t="str">
        <f>G761</f>
        <v>TRAFRECSHDMD</v>
      </c>
      <c r="H763" s="18">
        <v>2050</v>
      </c>
      <c r="I763" s="18"/>
      <c r="J763" s="29" t="e">
        <f>IF(J755=0,-N763+1,J755*N763)</f>
        <v>#DIV/0!</v>
      </c>
      <c r="K763" s="18"/>
      <c r="L763" s="18"/>
      <c r="N763" s="21">
        <v>1.4</v>
      </c>
    </row>
    <row r="764" spans="1:14" x14ac:dyDescent="0.25">
      <c r="C764" s="23" t="str">
        <f t="shared" si="75"/>
        <v>*</v>
      </c>
      <c r="D764" s="25" t="s">
        <v>487</v>
      </c>
      <c r="E764" s="25" t="str">
        <f>E763</f>
        <v>TRARDS</v>
      </c>
      <c r="F764" s="25" t="str">
        <f>F763</f>
        <v>TRAFRECSHDMD</v>
      </c>
      <c r="G764" s="25" t="str">
        <f>G763</f>
        <v>TRAFRECSHDMD</v>
      </c>
      <c r="H764" s="26">
        <v>2050</v>
      </c>
      <c r="I764" s="26"/>
      <c r="J764" s="27" t="e">
        <f>1-(J763*-1)</f>
        <v>#DIV/0!</v>
      </c>
      <c r="K764" s="26"/>
      <c r="L764" s="26"/>
      <c r="N764" s="28"/>
    </row>
    <row r="765" spans="1:14" x14ac:dyDescent="0.25">
      <c r="A765">
        <f>A755+1</f>
        <v>77</v>
      </c>
      <c r="C765" s="15" t="str">
        <f>IF(E765="","",IF(SUMIFS('TRA TECH'!M:M,'TRA TECH'!J:J,D766,'TRA TECH'!I:I,F766,'TRA TECH'!H:H,E766)=0,"*",IF(_xlfn.XLOOKUP($A765,Selected_constraint!$A:$A,Selected_constraint!$D:$D)=1,"*",IF(SUMIFS('TRA TECH'!$M:$M,'TRA TECH'!$H:$H,E765,'TRA TECH'!$I:$I,F765)=0,"*",IF(SUMIFS('TRA RESID'!$P:$P,'TRA RESID'!$I:$I,G765,'TRA RESID'!$J:$J,D765,'TRA RESID'!$H:$H,E765)=0,"*","UC_"&amp;SUBSTITUTE(D765,"*","")&amp;"_"&amp;SUBSTITUTE(D765,"*","")&amp;"_"&amp;RIGHT(E765,3)&amp;"_"&amp;F765)))))</f>
        <v>*</v>
      </c>
      <c r="D765" s="17" t="s">
        <v>485</v>
      </c>
      <c r="E765" s="17" t="str">
        <f>_xlfn.XLOOKUP($A765,Selected_constraint!$A:$A,Selected_constraint!$B:$B)</f>
        <v>TRABDS</v>
      </c>
      <c r="F765" s="17" t="str">
        <f>_xlfn.XLOOKUP($A765,Selected_constraint!$A:$A,Selected_constraint!$C:$C)</f>
        <v>TRAFRECSHDMD</v>
      </c>
      <c r="G765" s="17" t="str">
        <f>F765</f>
        <v>TRAFRECSHDMD</v>
      </c>
      <c r="H765" s="18">
        <v>2019</v>
      </c>
      <c r="I765" s="18" t="s">
        <v>484</v>
      </c>
      <c r="J765" s="29" t="e">
        <f>-SUMIFS('TRA RESID'!$P:$P,'TRA RESID'!$I:$I,G766,'TRA RESID'!$J:$J,D766,'TRA RESID'!$H:$H,E766)/(SUMIFS('TRA RESID'!$P:$P,'TRA RESID'!$I:$I,G766,'TRA RESID'!$J:$J,D766,'TRA RESID'!$H:$H,E766)+SUMIFS('TRA RESID'!$P:$P,'TRA RESID'!$I:$I,G765,'TRA RESID'!$J:$J,D765,'TRA RESID'!$H:$H,E765))</f>
        <v>#DIV/0!</v>
      </c>
      <c r="K765" s="18">
        <v>0</v>
      </c>
      <c r="L765" s="18">
        <v>5</v>
      </c>
      <c r="N765" s="21">
        <v>1</v>
      </c>
    </row>
    <row r="766" spans="1:14" x14ac:dyDescent="0.25">
      <c r="C766" s="15" t="str">
        <f t="shared" ref="C766:C774" si="76">IF(C765="*",C765,"")</f>
        <v>*</v>
      </c>
      <c r="D766" s="17" t="s">
        <v>487</v>
      </c>
      <c r="E766" s="17" t="str">
        <f>E765</f>
        <v>TRABDS</v>
      </c>
      <c r="F766" s="17" t="str">
        <f>F765</f>
        <v>TRAFRECSHDMD</v>
      </c>
      <c r="G766" s="17" t="str">
        <f>G765</f>
        <v>TRAFRECSHDMD</v>
      </c>
      <c r="H766" s="18">
        <v>2019</v>
      </c>
      <c r="I766" s="18"/>
      <c r="J766" s="20" t="e">
        <f>1-(J765*-1)</f>
        <v>#DIV/0!</v>
      </c>
      <c r="K766" s="18"/>
      <c r="L766" s="18"/>
      <c r="N766" s="21"/>
    </row>
    <row r="767" spans="1:14" x14ac:dyDescent="0.25">
      <c r="C767" s="15" t="str">
        <f t="shared" si="76"/>
        <v>*</v>
      </c>
      <c r="D767" s="17" t="str">
        <f>D765</f>
        <v>*ICEV*</v>
      </c>
      <c r="E767" s="17" t="str">
        <f>E765</f>
        <v>TRABDS</v>
      </c>
      <c r="F767" s="17" t="str">
        <f>F765</f>
        <v>TRAFRECSHDMD</v>
      </c>
      <c r="G767" s="17" t="str">
        <f>G765</f>
        <v>TRAFRECSHDMD</v>
      </c>
      <c r="H767" s="18">
        <v>2025</v>
      </c>
      <c r="I767" s="18"/>
      <c r="J767" s="29" t="e">
        <f>IF(J765=0,-N767+1,J765*N767)</f>
        <v>#DIV/0!</v>
      </c>
      <c r="K767" s="18"/>
      <c r="L767" s="18"/>
      <c r="N767" s="21">
        <v>1.1000000000000001</v>
      </c>
    </row>
    <row r="768" spans="1:14" x14ac:dyDescent="0.25">
      <c r="C768" s="15" t="str">
        <f t="shared" si="76"/>
        <v>*</v>
      </c>
      <c r="D768" s="17" t="s">
        <v>487</v>
      </c>
      <c r="E768" s="17" t="str">
        <f>E767</f>
        <v>TRABDS</v>
      </c>
      <c r="F768" s="17" t="str">
        <f>F767</f>
        <v>TRAFRECSHDMD</v>
      </c>
      <c r="G768" s="17" t="str">
        <f>G767</f>
        <v>TRAFRECSHDMD</v>
      </c>
      <c r="H768" s="18">
        <v>2025</v>
      </c>
      <c r="I768" s="18"/>
      <c r="J768" s="20" t="e">
        <f>1-(J767*-1)</f>
        <v>#DIV/0!</v>
      </c>
      <c r="K768" s="18"/>
      <c r="L768" s="18"/>
      <c r="N768" s="21"/>
    </row>
    <row r="769" spans="1:14" x14ac:dyDescent="0.25">
      <c r="C769" s="15" t="str">
        <f t="shared" si="76"/>
        <v>*</v>
      </c>
      <c r="D769" s="17" t="str">
        <f>D767</f>
        <v>*ICEV*</v>
      </c>
      <c r="E769" s="17" t="str">
        <f>E767</f>
        <v>TRABDS</v>
      </c>
      <c r="F769" s="17" t="str">
        <f>F767</f>
        <v>TRAFRECSHDMD</v>
      </c>
      <c r="G769" s="17" t="str">
        <f>G767</f>
        <v>TRAFRECSHDMD</v>
      </c>
      <c r="H769" s="18">
        <v>2030</v>
      </c>
      <c r="I769" s="18"/>
      <c r="J769" s="29" t="e">
        <f>IF(J765=0,-N769+1,J765*N769)</f>
        <v>#DIV/0!</v>
      </c>
      <c r="K769" s="18"/>
      <c r="L769" s="18"/>
      <c r="N769" s="21">
        <v>1.2</v>
      </c>
    </row>
    <row r="770" spans="1:14" x14ac:dyDescent="0.25">
      <c r="C770" s="15" t="str">
        <f t="shared" si="76"/>
        <v>*</v>
      </c>
      <c r="D770" s="17" t="s">
        <v>487</v>
      </c>
      <c r="E770" s="17" t="str">
        <f>E769</f>
        <v>TRABDS</v>
      </c>
      <c r="F770" s="17" t="str">
        <f>F769</f>
        <v>TRAFRECSHDMD</v>
      </c>
      <c r="G770" s="17" t="str">
        <f>G769</f>
        <v>TRAFRECSHDMD</v>
      </c>
      <c r="H770" s="18">
        <v>2030</v>
      </c>
      <c r="I770" s="18"/>
      <c r="J770" s="20" t="e">
        <f>1-(J769*-1)</f>
        <v>#DIV/0!</v>
      </c>
      <c r="K770" s="18"/>
      <c r="L770" s="18"/>
      <c r="N770" s="21"/>
    </row>
    <row r="771" spans="1:14" x14ac:dyDescent="0.25">
      <c r="C771" s="15" t="str">
        <f t="shared" si="76"/>
        <v>*</v>
      </c>
      <c r="D771" s="17" t="str">
        <f>D769</f>
        <v>*ICEV*</v>
      </c>
      <c r="E771" s="17" t="str">
        <f>E769</f>
        <v>TRABDS</v>
      </c>
      <c r="F771" s="17" t="str">
        <f>F769</f>
        <v>TRAFRECSHDMD</v>
      </c>
      <c r="G771" s="17" t="str">
        <f>G769</f>
        <v>TRAFRECSHDMD</v>
      </c>
      <c r="H771" s="18">
        <v>2040</v>
      </c>
      <c r="I771" s="18"/>
      <c r="J771" s="29" t="e">
        <f>IF(J765=0,-N771+1,J765*N771)</f>
        <v>#DIV/0!</v>
      </c>
      <c r="K771" s="18"/>
      <c r="L771" s="18"/>
      <c r="N771" s="21">
        <v>1.3</v>
      </c>
    </row>
    <row r="772" spans="1:14" x14ac:dyDescent="0.25">
      <c r="C772" s="15" t="str">
        <f t="shared" si="76"/>
        <v>*</v>
      </c>
      <c r="D772" s="17" t="s">
        <v>487</v>
      </c>
      <c r="E772" s="17" t="str">
        <f>E771</f>
        <v>TRABDS</v>
      </c>
      <c r="F772" s="17" t="str">
        <f>F771</f>
        <v>TRAFRECSHDMD</v>
      </c>
      <c r="G772" s="17" t="str">
        <f>G771</f>
        <v>TRAFRECSHDMD</v>
      </c>
      <c r="H772" s="18">
        <v>2040</v>
      </c>
      <c r="I772" s="18"/>
      <c r="J772" s="20" t="e">
        <f>1-(J771*-1)</f>
        <v>#DIV/0!</v>
      </c>
      <c r="K772" s="18"/>
      <c r="L772" s="18"/>
      <c r="N772" s="21"/>
    </row>
    <row r="773" spans="1:14" x14ac:dyDescent="0.25">
      <c r="C773" s="15" t="str">
        <f t="shared" si="76"/>
        <v>*</v>
      </c>
      <c r="D773" s="17" t="str">
        <f>D771</f>
        <v>*ICEV*</v>
      </c>
      <c r="E773" s="17" t="str">
        <f>E771</f>
        <v>TRABDS</v>
      </c>
      <c r="F773" s="17" t="str">
        <f>F771</f>
        <v>TRAFRECSHDMD</v>
      </c>
      <c r="G773" s="17" t="str">
        <f>G771</f>
        <v>TRAFRECSHDMD</v>
      </c>
      <c r="H773" s="18">
        <v>2050</v>
      </c>
      <c r="I773" s="18"/>
      <c r="J773" s="29" t="e">
        <f>IF(J765=0,-N773+1,J765*N773)</f>
        <v>#DIV/0!</v>
      </c>
      <c r="K773" s="18"/>
      <c r="L773" s="18"/>
      <c r="N773" s="21">
        <v>1.4</v>
      </c>
    </row>
    <row r="774" spans="1:14" x14ac:dyDescent="0.25">
      <c r="C774" s="23" t="str">
        <f t="shared" si="76"/>
        <v>*</v>
      </c>
      <c r="D774" s="25" t="s">
        <v>487</v>
      </c>
      <c r="E774" s="25" t="str">
        <f>E773</f>
        <v>TRABDS</v>
      </c>
      <c r="F774" s="25" t="str">
        <f>F773</f>
        <v>TRAFRECSHDMD</v>
      </c>
      <c r="G774" s="25" t="str">
        <f>G773</f>
        <v>TRAFRECSHDMD</v>
      </c>
      <c r="H774" s="26">
        <v>2050</v>
      </c>
      <c r="I774" s="26"/>
      <c r="J774" s="27" t="e">
        <f>1-(J773*-1)</f>
        <v>#DIV/0!</v>
      </c>
      <c r="K774" s="26"/>
      <c r="L774" s="26"/>
      <c r="N774" s="28"/>
    </row>
    <row r="775" spans="1:14" x14ac:dyDescent="0.25">
      <c r="A775">
        <f>A765+1</f>
        <v>78</v>
      </c>
      <c r="C775" s="15" t="str">
        <f>IF(E775="","",IF(SUMIFS('TRA TECH'!M:M,'TRA TECH'!J:J,D776,'TRA TECH'!I:I,F776,'TRA TECH'!H:H,E776)=0,"*",IF(_xlfn.XLOOKUP($A775,Selected_constraint!$A:$A,Selected_constraint!$D:$D)=1,"*",IF(SUMIFS('TRA TECH'!$M:$M,'TRA TECH'!$H:$H,E775,'TRA TECH'!$I:$I,F775)=0,"*",IF(SUMIFS('TRA RESID'!$P:$P,'TRA RESID'!$I:$I,G775,'TRA RESID'!$J:$J,D775,'TRA RESID'!$H:$H,E775)=0,"*","UC_"&amp;SUBSTITUTE(D775,"*","")&amp;"_"&amp;SUBSTITUTE(D775,"*","")&amp;"_"&amp;RIGHT(E775,3)&amp;"_"&amp;F775)))))</f>
        <v>*</v>
      </c>
      <c r="D775" s="17" t="s">
        <v>485</v>
      </c>
      <c r="E775" s="17" t="str">
        <f>_xlfn.XLOOKUP($A775,Selected_constraint!$A:$A,Selected_constraint!$B:$B)</f>
        <v>TRACNG</v>
      </c>
      <c r="F775" s="17" t="str">
        <f>_xlfn.XLOOKUP($A775,Selected_constraint!$A:$A,Selected_constraint!$C:$C)</f>
        <v>TRAFRECSHDMD</v>
      </c>
      <c r="G775" s="17" t="str">
        <f>F775</f>
        <v>TRAFRECSHDMD</v>
      </c>
      <c r="H775" s="18">
        <v>2019</v>
      </c>
      <c r="I775" s="18" t="s">
        <v>484</v>
      </c>
      <c r="J775" s="29" t="e">
        <f>-SUMIFS('TRA RESID'!$P:$P,'TRA RESID'!$I:$I,G776,'TRA RESID'!$J:$J,D776,'TRA RESID'!$H:$H,E776)/(SUMIFS('TRA RESID'!$P:$P,'TRA RESID'!$I:$I,G776,'TRA RESID'!$J:$J,D776,'TRA RESID'!$H:$H,E776)+SUMIFS('TRA RESID'!$P:$P,'TRA RESID'!$I:$I,G775,'TRA RESID'!$J:$J,D775,'TRA RESID'!$H:$H,E775))</f>
        <v>#DIV/0!</v>
      </c>
      <c r="K775" s="18">
        <v>0</v>
      </c>
      <c r="L775" s="18">
        <v>5</v>
      </c>
      <c r="N775" s="21">
        <v>1</v>
      </c>
    </row>
    <row r="776" spans="1:14" x14ac:dyDescent="0.25">
      <c r="C776" s="15" t="str">
        <f t="shared" ref="C776:C784" si="77">IF(C775="*",C775,"")</f>
        <v>*</v>
      </c>
      <c r="D776" s="17" t="s">
        <v>487</v>
      </c>
      <c r="E776" s="17" t="str">
        <f>E775</f>
        <v>TRACNG</v>
      </c>
      <c r="F776" s="17" t="str">
        <f>F775</f>
        <v>TRAFRECSHDMD</v>
      </c>
      <c r="G776" s="17" t="str">
        <f>G775</f>
        <v>TRAFRECSHDMD</v>
      </c>
      <c r="H776" s="18">
        <v>2019</v>
      </c>
      <c r="I776" s="18"/>
      <c r="J776" s="20" t="e">
        <f>1-(J775*-1)</f>
        <v>#DIV/0!</v>
      </c>
      <c r="K776" s="18"/>
      <c r="L776" s="18"/>
      <c r="N776" s="21"/>
    </row>
    <row r="777" spans="1:14" x14ac:dyDescent="0.25">
      <c r="C777" s="15" t="str">
        <f t="shared" si="77"/>
        <v>*</v>
      </c>
      <c r="D777" s="17" t="str">
        <f>D775</f>
        <v>*ICEV*</v>
      </c>
      <c r="E777" s="17" t="str">
        <f>E775</f>
        <v>TRACNG</v>
      </c>
      <c r="F777" s="17" t="str">
        <f>F775</f>
        <v>TRAFRECSHDMD</v>
      </c>
      <c r="G777" s="17" t="str">
        <f>G775</f>
        <v>TRAFRECSHDMD</v>
      </c>
      <c r="H777" s="18">
        <v>2025</v>
      </c>
      <c r="I777" s="18"/>
      <c r="J777" s="29" t="e">
        <f>IF(J775=0,-N777+1,J775*N777)</f>
        <v>#DIV/0!</v>
      </c>
      <c r="K777" s="18"/>
      <c r="L777" s="18"/>
      <c r="N777" s="21">
        <v>1.1000000000000001</v>
      </c>
    </row>
    <row r="778" spans="1:14" x14ac:dyDescent="0.25">
      <c r="C778" s="15" t="str">
        <f t="shared" si="77"/>
        <v>*</v>
      </c>
      <c r="D778" s="17" t="s">
        <v>487</v>
      </c>
      <c r="E778" s="17" t="str">
        <f>E777</f>
        <v>TRACNG</v>
      </c>
      <c r="F778" s="17" t="str">
        <f>F777</f>
        <v>TRAFRECSHDMD</v>
      </c>
      <c r="G778" s="17" t="str">
        <f>G777</f>
        <v>TRAFRECSHDMD</v>
      </c>
      <c r="H778" s="18">
        <v>2025</v>
      </c>
      <c r="I778" s="18"/>
      <c r="J778" s="20" t="e">
        <f>1-(J777*-1)</f>
        <v>#DIV/0!</v>
      </c>
      <c r="K778" s="18"/>
      <c r="L778" s="18"/>
      <c r="N778" s="21"/>
    </row>
    <row r="779" spans="1:14" x14ac:dyDescent="0.25">
      <c r="C779" s="15" t="str">
        <f t="shared" si="77"/>
        <v>*</v>
      </c>
      <c r="D779" s="17" t="str">
        <f>D777</f>
        <v>*ICEV*</v>
      </c>
      <c r="E779" s="17" t="str">
        <f>E777</f>
        <v>TRACNG</v>
      </c>
      <c r="F779" s="17" t="str">
        <f>F777</f>
        <v>TRAFRECSHDMD</v>
      </c>
      <c r="G779" s="17" t="str">
        <f>G777</f>
        <v>TRAFRECSHDMD</v>
      </c>
      <c r="H779" s="18">
        <v>2030</v>
      </c>
      <c r="I779" s="18"/>
      <c r="J779" s="29" t="e">
        <f>IF(J775=0,-N779+1,J775*N779)</f>
        <v>#DIV/0!</v>
      </c>
      <c r="K779" s="18"/>
      <c r="L779" s="18"/>
      <c r="N779" s="21">
        <v>1.2</v>
      </c>
    </row>
    <row r="780" spans="1:14" x14ac:dyDescent="0.25">
      <c r="C780" s="15" t="str">
        <f t="shared" si="77"/>
        <v>*</v>
      </c>
      <c r="D780" s="17" t="s">
        <v>487</v>
      </c>
      <c r="E780" s="17" t="str">
        <f>E779</f>
        <v>TRACNG</v>
      </c>
      <c r="F780" s="17" t="str">
        <f>F779</f>
        <v>TRAFRECSHDMD</v>
      </c>
      <c r="G780" s="17" t="str">
        <f>G779</f>
        <v>TRAFRECSHDMD</v>
      </c>
      <c r="H780" s="18">
        <v>2030</v>
      </c>
      <c r="I780" s="18"/>
      <c r="J780" s="20" t="e">
        <f>1-(J779*-1)</f>
        <v>#DIV/0!</v>
      </c>
      <c r="K780" s="18"/>
      <c r="L780" s="18"/>
      <c r="N780" s="21"/>
    </row>
    <row r="781" spans="1:14" x14ac:dyDescent="0.25">
      <c r="C781" s="15" t="str">
        <f t="shared" si="77"/>
        <v>*</v>
      </c>
      <c r="D781" s="17" t="str">
        <f>D779</f>
        <v>*ICEV*</v>
      </c>
      <c r="E781" s="17" t="str">
        <f>E779</f>
        <v>TRACNG</v>
      </c>
      <c r="F781" s="17" t="str">
        <f>F779</f>
        <v>TRAFRECSHDMD</v>
      </c>
      <c r="G781" s="17" t="str">
        <f>G779</f>
        <v>TRAFRECSHDMD</v>
      </c>
      <c r="H781" s="18">
        <v>2040</v>
      </c>
      <c r="I781" s="18"/>
      <c r="J781" s="29" t="e">
        <f>IF(J775=0,-N781+1,J775*N781)</f>
        <v>#DIV/0!</v>
      </c>
      <c r="K781" s="18"/>
      <c r="L781" s="18"/>
      <c r="N781" s="21">
        <v>1.3</v>
      </c>
    </row>
    <row r="782" spans="1:14" x14ac:dyDescent="0.25">
      <c r="C782" s="15" t="str">
        <f t="shared" si="77"/>
        <v>*</v>
      </c>
      <c r="D782" s="17" t="s">
        <v>487</v>
      </c>
      <c r="E782" s="17" t="str">
        <f>E781</f>
        <v>TRACNG</v>
      </c>
      <c r="F782" s="17" t="str">
        <f>F781</f>
        <v>TRAFRECSHDMD</v>
      </c>
      <c r="G782" s="17" t="str">
        <f>G781</f>
        <v>TRAFRECSHDMD</v>
      </c>
      <c r="H782" s="18">
        <v>2040</v>
      </c>
      <c r="I782" s="18"/>
      <c r="J782" s="20" t="e">
        <f>1-(J781*-1)</f>
        <v>#DIV/0!</v>
      </c>
      <c r="K782" s="18"/>
      <c r="L782" s="18"/>
      <c r="N782" s="21"/>
    </row>
    <row r="783" spans="1:14" x14ac:dyDescent="0.25">
      <c r="C783" s="15" t="str">
        <f t="shared" si="77"/>
        <v>*</v>
      </c>
      <c r="D783" s="17" t="str">
        <f>D781</f>
        <v>*ICEV*</v>
      </c>
      <c r="E783" s="17" t="str">
        <f>E781</f>
        <v>TRACNG</v>
      </c>
      <c r="F783" s="17" t="str">
        <f>F781</f>
        <v>TRAFRECSHDMD</v>
      </c>
      <c r="G783" s="17" t="str">
        <f>G781</f>
        <v>TRAFRECSHDMD</v>
      </c>
      <c r="H783" s="18">
        <v>2050</v>
      </c>
      <c r="I783" s="18"/>
      <c r="J783" s="29" t="e">
        <f>IF(J775=0,-N783+1,J775*N783)</f>
        <v>#DIV/0!</v>
      </c>
      <c r="K783" s="18"/>
      <c r="L783" s="18"/>
      <c r="N783" s="21">
        <v>1.4</v>
      </c>
    </row>
    <row r="784" spans="1:14" x14ac:dyDescent="0.25">
      <c r="C784" s="23" t="str">
        <f t="shared" si="77"/>
        <v>*</v>
      </c>
      <c r="D784" s="25" t="s">
        <v>487</v>
      </c>
      <c r="E784" s="25" t="str">
        <f>E783</f>
        <v>TRACNG</v>
      </c>
      <c r="F784" s="25" t="str">
        <f>F783</f>
        <v>TRAFRECSHDMD</v>
      </c>
      <c r="G784" s="25" t="str">
        <f>G783</f>
        <v>TRAFRECSHDMD</v>
      </c>
      <c r="H784" s="26">
        <v>2050</v>
      </c>
      <c r="I784" s="26"/>
      <c r="J784" s="27" t="e">
        <f>1-(J783*-1)</f>
        <v>#DIV/0!</v>
      </c>
      <c r="K784" s="26"/>
      <c r="L784" s="26"/>
      <c r="N784" s="28"/>
    </row>
    <row r="785" spans="1:14" x14ac:dyDescent="0.25">
      <c r="A785">
        <f>A775+1</f>
        <v>79</v>
      </c>
      <c r="C785" s="15" t="str">
        <f>IF(E785="","",IF(SUMIFS('TRA TECH'!M:M,'TRA TECH'!J:J,D786,'TRA TECH'!I:I,F786,'TRA TECH'!H:H,E786)=0,"*",IF(_xlfn.XLOOKUP($A785,Selected_constraint!$A:$A,Selected_constraint!$D:$D)=1,"*",IF(SUMIFS('TRA TECH'!$M:$M,'TRA TECH'!$H:$H,E785,'TRA TECH'!$I:$I,F785)=0,"*",IF(SUMIFS('TRA RESID'!$P:$P,'TRA RESID'!$I:$I,G785,'TRA RESID'!$J:$J,D785,'TRA RESID'!$H:$H,E785)=0,"*","UC_"&amp;SUBSTITUTE(D785,"*","")&amp;"_"&amp;SUBSTITUTE(D785,"*","")&amp;"_"&amp;RIGHT(E785,3)&amp;"_"&amp;F785)))))</f>
        <v>*</v>
      </c>
      <c r="D785" s="17" t="s">
        <v>485</v>
      </c>
      <c r="E785" s="17" t="str">
        <f>_xlfn.XLOOKUP($A785,Selected_constraint!$A:$A,Selected_constraint!$B:$B)</f>
        <v>TRARNG</v>
      </c>
      <c r="F785" s="17" t="str">
        <f>_xlfn.XLOOKUP($A785,Selected_constraint!$A:$A,Selected_constraint!$C:$C)</f>
        <v>TRAFRECSHDMD</v>
      </c>
      <c r="G785" s="17" t="str">
        <f>F785</f>
        <v>TRAFRECSHDMD</v>
      </c>
      <c r="H785" s="18">
        <v>2019</v>
      </c>
      <c r="I785" s="18" t="s">
        <v>484</v>
      </c>
      <c r="J785" s="29" t="e">
        <f>-SUMIFS('TRA RESID'!$P:$P,'TRA RESID'!$I:$I,G786,'TRA RESID'!$J:$J,D786,'TRA RESID'!$H:$H,E786)/(SUMIFS('TRA RESID'!$P:$P,'TRA RESID'!$I:$I,G786,'TRA RESID'!$J:$J,D786,'TRA RESID'!$H:$H,E786)+SUMIFS('TRA RESID'!$P:$P,'TRA RESID'!$I:$I,G785,'TRA RESID'!$J:$J,D785,'TRA RESID'!$H:$H,E785))</f>
        <v>#DIV/0!</v>
      </c>
      <c r="K785" s="18">
        <v>0</v>
      </c>
      <c r="L785" s="18">
        <v>5</v>
      </c>
      <c r="N785" s="21">
        <v>1</v>
      </c>
    </row>
    <row r="786" spans="1:14" x14ac:dyDescent="0.25">
      <c r="C786" s="15" t="str">
        <f t="shared" ref="C786:C794" si="78">IF(C785="*",C785,"")</f>
        <v>*</v>
      </c>
      <c r="D786" s="17" t="s">
        <v>487</v>
      </c>
      <c r="E786" s="17" t="str">
        <f>E785</f>
        <v>TRARNG</v>
      </c>
      <c r="F786" s="17" t="str">
        <f>F785</f>
        <v>TRAFRECSHDMD</v>
      </c>
      <c r="G786" s="17" t="str">
        <f>G785</f>
        <v>TRAFRECSHDMD</v>
      </c>
      <c r="H786" s="18">
        <v>2019</v>
      </c>
      <c r="I786" s="18"/>
      <c r="J786" s="20" t="e">
        <f>1-(J785*-1)</f>
        <v>#DIV/0!</v>
      </c>
      <c r="K786" s="18"/>
      <c r="L786" s="18"/>
      <c r="N786" s="21"/>
    </row>
    <row r="787" spans="1:14" x14ac:dyDescent="0.25">
      <c r="C787" s="15" t="str">
        <f t="shared" si="78"/>
        <v>*</v>
      </c>
      <c r="D787" s="17" t="str">
        <f>D785</f>
        <v>*ICEV*</v>
      </c>
      <c r="E787" s="17" t="str">
        <f>E785</f>
        <v>TRARNG</v>
      </c>
      <c r="F787" s="17" t="str">
        <f>F785</f>
        <v>TRAFRECSHDMD</v>
      </c>
      <c r="G787" s="17" t="str">
        <f>G785</f>
        <v>TRAFRECSHDMD</v>
      </c>
      <c r="H787" s="18">
        <v>2025</v>
      </c>
      <c r="I787" s="18"/>
      <c r="J787" s="29" t="e">
        <f>IF(J785=0,-N787+1,J785*N787)</f>
        <v>#DIV/0!</v>
      </c>
      <c r="K787" s="18"/>
      <c r="L787" s="18"/>
      <c r="N787" s="21">
        <v>1.1000000000000001</v>
      </c>
    </row>
    <row r="788" spans="1:14" x14ac:dyDescent="0.25">
      <c r="C788" s="15" t="str">
        <f t="shared" si="78"/>
        <v>*</v>
      </c>
      <c r="D788" s="17" t="s">
        <v>487</v>
      </c>
      <c r="E788" s="17" t="str">
        <f>E787</f>
        <v>TRARNG</v>
      </c>
      <c r="F788" s="17" t="str">
        <f>F787</f>
        <v>TRAFRECSHDMD</v>
      </c>
      <c r="G788" s="17" t="str">
        <f>G787</f>
        <v>TRAFRECSHDMD</v>
      </c>
      <c r="H788" s="18">
        <v>2025</v>
      </c>
      <c r="I788" s="18"/>
      <c r="J788" s="20" t="e">
        <f>1-(J787*-1)</f>
        <v>#DIV/0!</v>
      </c>
      <c r="K788" s="18"/>
      <c r="L788" s="18"/>
      <c r="N788" s="21"/>
    </row>
    <row r="789" spans="1:14" x14ac:dyDescent="0.25">
      <c r="C789" s="15" t="str">
        <f t="shared" si="78"/>
        <v>*</v>
      </c>
      <c r="D789" s="17" t="str">
        <f>D787</f>
        <v>*ICEV*</v>
      </c>
      <c r="E789" s="17" t="str">
        <f>E787</f>
        <v>TRARNG</v>
      </c>
      <c r="F789" s="17" t="str">
        <f>F787</f>
        <v>TRAFRECSHDMD</v>
      </c>
      <c r="G789" s="17" t="str">
        <f>G787</f>
        <v>TRAFRECSHDMD</v>
      </c>
      <c r="H789" s="18">
        <v>2030</v>
      </c>
      <c r="I789" s="18"/>
      <c r="J789" s="29" t="e">
        <f>IF(J785=0,-N789+1,J785*N789)</f>
        <v>#DIV/0!</v>
      </c>
      <c r="K789" s="18"/>
      <c r="L789" s="18"/>
      <c r="N789" s="21">
        <v>1.2</v>
      </c>
    </row>
    <row r="790" spans="1:14" x14ac:dyDescent="0.25">
      <c r="C790" s="15" t="str">
        <f t="shared" si="78"/>
        <v>*</v>
      </c>
      <c r="D790" s="17" t="s">
        <v>487</v>
      </c>
      <c r="E790" s="17" t="str">
        <f>E789</f>
        <v>TRARNG</v>
      </c>
      <c r="F790" s="17" t="str">
        <f>F789</f>
        <v>TRAFRECSHDMD</v>
      </c>
      <c r="G790" s="17" t="str">
        <f>G789</f>
        <v>TRAFRECSHDMD</v>
      </c>
      <c r="H790" s="18">
        <v>2030</v>
      </c>
      <c r="I790" s="18"/>
      <c r="J790" s="20" t="e">
        <f>1-(J789*-1)</f>
        <v>#DIV/0!</v>
      </c>
      <c r="K790" s="18"/>
      <c r="L790" s="18"/>
      <c r="N790" s="21"/>
    </row>
    <row r="791" spans="1:14" x14ac:dyDescent="0.25">
      <c r="C791" s="15" t="str">
        <f t="shared" si="78"/>
        <v>*</v>
      </c>
      <c r="D791" s="17" t="str">
        <f>D789</f>
        <v>*ICEV*</v>
      </c>
      <c r="E791" s="17" t="str">
        <f>E789</f>
        <v>TRARNG</v>
      </c>
      <c r="F791" s="17" t="str">
        <f>F789</f>
        <v>TRAFRECSHDMD</v>
      </c>
      <c r="G791" s="17" t="str">
        <f>G789</f>
        <v>TRAFRECSHDMD</v>
      </c>
      <c r="H791" s="18">
        <v>2040</v>
      </c>
      <c r="I791" s="18"/>
      <c r="J791" s="29" t="e">
        <f>IF(J785=0,-N791+1,J785*N791)</f>
        <v>#DIV/0!</v>
      </c>
      <c r="K791" s="18"/>
      <c r="L791" s="18"/>
      <c r="N791" s="21">
        <v>1.3</v>
      </c>
    </row>
    <row r="792" spans="1:14" x14ac:dyDescent="0.25">
      <c r="C792" s="15" t="str">
        <f t="shared" si="78"/>
        <v>*</v>
      </c>
      <c r="D792" s="17" t="s">
        <v>487</v>
      </c>
      <c r="E792" s="17" t="str">
        <f>E791</f>
        <v>TRARNG</v>
      </c>
      <c r="F792" s="17" t="str">
        <f>F791</f>
        <v>TRAFRECSHDMD</v>
      </c>
      <c r="G792" s="17" t="str">
        <f>G791</f>
        <v>TRAFRECSHDMD</v>
      </c>
      <c r="H792" s="18">
        <v>2040</v>
      </c>
      <c r="I792" s="18"/>
      <c r="J792" s="20" t="e">
        <f>1-(J791*-1)</f>
        <v>#DIV/0!</v>
      </c>
      <c r="K792" s="18"/>
      <c r="L792" s="18"/>
      <c r="N792" s="21"/>
    </row>
    <row r="793" spans="1:14" x14ac:dyDescent="0.25">
      <c r="C793" s="15" t="str">
        <f t="shared" si="78"/>
        <v>*</v>
      </c>
      <c r="D793" s="17" t="str">
        <f>D791</f>
        <v>*ICEV*</v>
      </c>
      <c r="E793" s="17" t="str">
        <f>E791</f>
        <v>TRARNG</v>
      </c>
      <c r="F793" s="17" t="str">
        <f>F791</f>
        <v>TRAFRECSHDMD</v>
      </c>
      <c r="G793" s="17" t="str">
        <f>G791</f>
        <v>TRAFRECSHDMD</v>
      </c>
      <c r="H793" s="18">
        <v>2050</v>
      </c>
      <c r="I793" s="18"/>
      <c r="J793" s="29" t="e">
        <f>IF(J785=0,-N793+1,J785*N793)</f>
        <v>#DIV/0!</v>
      </c>
      <c r="K793" s="18"/>
      <c r="L793" s="18"/>
      <c r="N793" s="21">
        <v>1.4</v>
      </c>
    </row>
    <row r="794" spans="1:14" x14ac:dyDescent="0.25">
      <c r="C794" s="23" t="str">
        <f t="shared" si="78"/>
        <v>*</v>
      </c>
      <c r="D794" s="25" t="s">
        <v>487</v>
      </c>
      <c r="E794" s="25" t="str">
        <f>E793</f>
        <v>TRARNG</v>
      </c>
      <c r="F794" s="25" t="str">
        <f>F793</f>
        <v>TRAFRECSHDMD</v>
      </c>
      <c r="G794" s="25" t="str">
        <f>G793</f>
        <v>TRAFRECSHDMD</v>
      </c>
      <c r="H794" s="26">
        <v>2050</v>
      </c>
      <c r="I794" s="26"/>
      <c r="J794" s="27" t="e">
        <f>1-(J793*-1)</f>
        <v>#DIV/0!</v>
      </c>
      <c r="K794" s="26"/>
      <c r="L794" s="26"/>
      <c r="N794" s="28"/>
    </row>
    <row r="795" spans="1:14" x14ac:dyDescent="0.25">
      <c r="A795">
        <f>A785+1</f>
        <v>80</v>
      </c>
      <c r="C795" s="15" t="str">
        <f>IF(E795="","",IF(SUMIFS('TRA TECH'!M:M,'TRA TECH'!J:J,D796,'TRA TECH'!I:I,F796,'TRA TECH'!H:H,E796)=0,"*",IF(_xlfn.XLOOKUP($A795,Selected_constraint!$A:$A,Selected_constraint!$D:$D)=1,"*",IF(SUMIFS('TRA TECH'!$M:$M,'TRA TECH'!$H:$H,E795,'TRA TECH'!$I:$I,F795)=0,"*",IF(SUMIFS('TRA RESID'!$P:$P,'TRA RESID'!$I:$I,G795,'TRA RESID'!$J:$J,D795,'TRA RESID'!$H:$H,E795)=0,"*","UC_"&amp;SUBSTITUTE(D795,"*","")&amp;"_"&amp;SUBSTITUTE(D795,"*","")&amp;"_"&amp;RIGHT(E795,3)&amp;"_"&amp;F795)))))</f>
        <v>*</v>
      </c>
      <c r="D795" s="17" t="s">
        <v>485</v>
      </c>
      <c r="E795" s="17" t="str">
        <f>_xlfn.XLOOKUP($A795,Selected_constraint!$A:$A,Selected_constraint!$B:$B)</f>
        <v>TRABAF</v>
      </c>
      <c r="F795" s="17" t="str">
        <f>_xlfn.XLOOKUP($A795,Selected_constraint!$A:$A,Selected_constraint!$C:$C)</f>
        <v>TRAFRECSHDMD</v>
      </c>
      <c r="G795" s="17" t="str">
        <f>F795</f>
        <v>TRAFRECSHDMD</v>
      </c>
      <c r="H795" s="18">
        <v>2019</v>
      </c>
      <c r="I795" s="18" t="s">
        <v>484</v>
      </c>
      <c r="J795" s="29" t="e">
        <f>-SUMIFS('TRA RESID'!$P:$P,'TRA RESID'!$I:$I,G796,'TRA RESID'!$J:$J,D796,'TRA RESID'!$H:$H,E796)/(SUMIFS('TRA RESID'!$P:$P,'TRA RESID'!$I:$I,G796,'TRA RESID'!$J:$J,D796,'TRA RESID'!$H:$H,E796)+SUMIFS('TRA RESID'!$P:$P,'TRA RESID'!$I:$I,G795,'TRA RESID'!$J:$J,D795,'TRA RESID'!$H:$H,E795))</f>
        <v>#DIV/0!</v>
      </c>
      <c r="K795" s="18">
        <v>0</v>
      </c>
      <c r="L795" s="18">
        <v>5</v>
      </c>
      <c r="N795" s="21">
        <v>1</v>
      </c>
    </row>
    <row r="796" spans="1:14" x14ac:dyDescent="0.25">
      <c r="C796" s="15" t="str">
        <f t="shared" ref="C796:C804" si="79">IF(C795="*",C795,"")</f>
        <v>*</v>
      </c>
      <c r="D796" s="17" t="s">
        <v>487</v>
      </c>
      <c r="E796" s="17" t="str">
        <f>E795</f>
        <v>TRABAF</v>
      </c>
      <c r="F796" s="17" t="str">
        <f>F795</f>
        <v>TRAFRECSHDMD</v>
      </c>
      <c r="G796" s="17" t="str">
        <f>G795</f>
        <v>TRAFRECSHDMD</v>
      </c>
      <c r="H796" s="18">
        <v>2019</v>
      </c>
      <c r="I796" s="18"/>
      <c r="J796" s="20" t="e">
        <f>1-(J795*-1)</f>
        <v>#DIV/0!</v>
      </c>
      <c r="K796" s="18"/>
      <c r="L796" s="18"/>
      <c r="N796" s="21"/>
    </row>
    <row r="797" spans="1:14" x14ac:dyDescent="0.25">
      <c r="C797" s="15" t="str">
        <f t="shared" si="79"/>
        <v>*</v>
      </c>
      <c r="D797" s="17" t="str">
        <f>D795</f>
        <v>*ICEV*</v>
      </c>
      <c r="E797" s="17" t="str">
        <f>E795</f>
        <v>TRABAF</v>
      </c>
      <c r="F797" s="17" t="str">
        <f>F795</f>
        <v>TRAFRECSHDMD</v>
      </c>
      <c r="G797" s="17" t="str">
        <f>G795</f>
        <v>TRAFRECSHDMD</v>
      </c>
      <c r="H797" s="18">
        <v>2025</v>
      </c>
      <c r="I797" s="18"/>
      <c r="J797" s="29" t="e">
        <f>IF(J795=0,-N797+1,J795*N797)</f>
        <v>#DIV/0!</v>
      </c>
      <c r="K797" s="18"/>
      <c r="L797" s="18"/>
      <c r="N797" s="21">
        <v>1.1000000000000001</v>
      </c>
    </row>
    <row r="798" spans="1:14" x14ac:dyDescent="0.25">
      <c r="C798" s="15" t="str">
        <f t="shared" si="79"/>
        <v>*</v>
      </c>
      <c r="D798" s="17" t="s">
        <v>487</v>
      </c>
      <c r="E798" s="17" t="str">
        <f>E797</f>
        <v>TRABAF</v>
      </c>
      <c r="F798" s="17" t="str">
        <f>F797</f>
        <v>TRAFRECSHDMD</v>
      </c>
      <c r="G798" s="17" t="str">
        <f>G797</f>
        <v>TRAFRECSHDMD</v>
      </c>
      <c r="H798" s="18">
        <v>2025</v>
      </c>
      <c r="I798" s="18"/>
      <c r="J798" s="20" t="e">
        <f>1-(J797*-1)</f>
        <v>#DIV/0!</v>
      </c>
      <c r="K798" s="18"/>
      <c r="L798" s="18"/>
      <c r="N798" s="21"/>
    </row>
    <row r="799" spans="1:14" x14ac:dyDescent="0.25">
      <c r="C799" s="15" t="str">
        <f t="shared" si="79"/>
        <v>*</v>
      </c>
      <c r="D799" s="17" t="str">
        <f>D797</f>
        <v>*ICEV*</v>
      </c>
      <c r="E799" s="17" t="str">
        <f>E797</f>
        <v>TRABAF</v>
      </c>
      <c r="F799" s="17" t="str">
        <f>F797</f>
        <v>TRAFRECSHDMD</v>
      </c>
      <c r="G799" s="17" t="str">
        <f>G797</f>
        <v>TRAFRECSHDMD</v>
      </c>
      <c r="H799" s="18">
        <v>2030</v>
      </c>
      <c r="I799" s="18"/>
      <c r="J799" s="29" t="e">
        <f>IF(J795=0,-N799+1,J795*N799)</f>
        <v>#DIV/0!</v>
      </c>
      <c r="K799" s="18"/>
      <c r="L799" s="18"/>
      <c r="N799" s="21">
        <v>1.2</v>
      </c>
    </row>
    <row r="800" spans="1:14" x14ac:dyDescent="0.25">
      <c r="C800" s="15" t="str">
        <f t="shared" si="79"/>
        <v>*</v>
      </c>
      <c r="D800" s="17" t="s">
        <v>487</v>
      </c>
      <c r="E800" s="17" t="str">
        <f>E799</f>
        <v>TRABAF</v>
      </c>
      <c r="F800" s="17" t="str">
        <f>F799</f>
        <v>TRAFRECSHDMD</v>
      </c>
      <c r="G800" s="17" t="str">
        <f>G799</f>
        <v>TRAFRECSHDMD</v>
      </c>
      <c r="H800" s="18">
        <v>2030</v>
      </c>
      <c r="I800" s="18"/>
      <c r="J800" s="20" t="e">
        <f>1-(J799*-1)</f>
        <v>#DIV/0!</v>
      </c>
      <c r="K800" s="18"/>
      <c r="L800" s="18"/>
      <c r="N800" s="21"/>
    </row>
    <row r="801" spans="1:14" x14ac:dyDescent="0.25">
      <c r="C801" s="15" t="str">
        <f t="shared" si="79"/>
        <v>*</v>
      </c>
      <c r="D801" s="17" t="str">
        <f>D799</f>
        <v>*ICEV*</v>
      </c>
      <c r="E801" s="17" t="str">
        <f>E799</f>
        <v>TRABAF</v>
      </c>
      <c r="F801" s="17" t="str">
        <f>F799</f>
        <v>TRAFRECSHDMD</v>
      </c>
      <c r="G801" s="17" t="str">
        <f>G799</f>
        <v>TRAFRECSHDMD</v>
      </c>
      <c r="H801" s="18">
        <v>2040</v>
      </c>
      <c r="I801" s="18"/>
      <c r="J801" s="29" t="e">
        <f>IF(J795=0,-N801+1,J795*N801)</f>
        <v>#DIV/0!</v>
      </c>
      <c r="K801" s="18"/>
      <c r="L801" s="18"/>
      <c r="N801" s="21">
        <v>1.3</v>
      </c>
    </row>
    <row r="802" spans="1:14" x14ac:dyDescent="0.25">
      <c r="C802" s="15" t="str">
        <f t="shared" si="79"/>
        <v>*</v>
      </c>
      <c r="D802" s="17" t="s">
        <v>487</v>
      </c>
      <c r="E802" s="17" t="str">
        <f>E801</f>
        <v>TRABAF</v>
      </c>
      <c r="F802" s="17" t="str">
        <f>F801</f>
        <v>TRAFRECSHDMD</v>
      </c>
      <c r="G802" s="17" t="str">
        <f>G801</f>
        <v>TRAFRECSHDMD</v>
      </c>
      <c r="H802" s="18">
        <v>2040</v>
      </c>
      <c r="I802" s="18"/>
      <c r="J802" s="20" t="e">
        <f>1-(J801*-1)</f>
        <v>#DIV/0!</v>
      </c>
      <c r="K802" s="18"/>
      <c r="L802" s="18"/>
      <c r="N802" s="21"/>
    </row>
    <row r="803" spans="1:14" x14ac:dyDescent="0.25">
      <c r="C803" s="15" t="str">
        <f t="shared" si="79"/>
        <v>*</v>
      </c>
      <c r="D803" s="17" t="str">
        <f>D801</f>
        <v>*ICEV*</v>
      </c>
      <c r="E803" s="17" t="str">
        <f>E801</f>
        <v>TRABAF</v>
      </c>
      <c r="F803" s="17" t="str">
        <f>F801</f>
        <v>TRAFRECSHDMD</v>
      </c>
      <c r="G803" s="17" t="str">
        <f>G801</f>
        <v>TRAFRECSHDMD</v>
      </c>
      <c r="H803" s="18">
        <v>2050</v>
      </c>
      <c r="I803" s="18"/>
      <c r="J803" s="29" t="e">
        <f>IF(J795=0,-N803+1,J795*N803)</f>
        <v>#DIV/0!</v>
      </c>
      <c r="K803" s="18"/>
      <c r="L803" s="18"/>
      <c r="N803" s="21">
        <v>1.4</v>
      </c>
    </row>
    <row r="804" spans="1:14" x14ac:dyDescent="0.25">
      <c r="C804" s="23" t="str">
        <f t="shared" si="79"/>
        <v>*</v>
      </c>
      <c r="D804" s="25" t="s">
        <v>487</v>
      </c>
      <c r="E804" s="25" t="str">
        <f>E803</f>
        <v>TRABAF</v>
      </c>
      <c r="F804" s="25" t="str">
        <f>F803</f>
        <v>TRAFRECSHDMD</v>
      </c>
      <c r="G804" s="25" t="str">
        <f>G803</f>
        <v>TRAFRECSHDMD</v>
      </c>
      <c r="H804" s="26">
        <v>2050</v>
      </c>
      <c r="I804" s="26"/>
      <c r="J804" s="27" t="e">
        <f>1-(J803*-1)</f>
        <v>#DIV/0!</v>
      </c>
      <c r="K804" s="26"/>
      <c r="L804" s="26"/>
      <c r="N804" s="28"/>
    </row>
    <row r="805" spans="1:14" x14ac:dyDescent="0.25">
      <c r="A805">
        <f>A795+1</f>
        <v>81</v>
      </c>
      <c r="C805" s="15" t="str">
        <f>IF(E805="","",IF(SUMIFS('TRA TECH'!M:M,'TRA TECH'!J:J,D806,'TRA TECH'!I:I,F806,'TRA TECH'!H:H,E806)=0,"*",IF(_xlfn.XLOOKUP($A805,Selected_constraint!$A:$A,Selected_constraint!$D:$D)=1,"*",IF(SUMIFS('TRA TECH'!$M:$M,'TRA TECH'!$H:$H,E805,'TRA TECH'!$I:$I,F805)=0,"*",IF(SUMIFS('TRA RESID'!$P:$P,'TRA RESID'!$I:$I,G805,'TRA RESID'!$J:$J,D805,'TRA RESID'!$H:$H,E805)=0,"*","UC_"&amp;SUBSTITUTE(D805,"*","")&amp;"_"&amp;SUBSTITUTE(D805,"*","")&amp;"_"&amp;RIGHT(E805,3)&amp;"_"&amp;F805)))))</f>
        <v>*</v>
      </c>
      <c r="D805" s="17" t="s">
        <v>485</v>
      </c>
      <c r="E805" s="17" t="str">
        <f>_xlfn.XLOOKUP($A805,Selected_constraint!$A:$A,Selected_constraint!$B:$B)</f>
        <v>TRAH2G</v>
      </c>
      <c r="F805" s="17" t="str">
        <f>_xlfn.XLOOKUP($A805,Selected_constraint!$A:$A,Selected_constraint!$C:$C)</f>
        <v>TRAFRECSHDMD</v>
      </c>
      <c r="G805" s="17" t="str">
        <f>F805</f>
        <v>TRAFRECSHDMD</v>
      </c>
      <c r="H805" s="18">
        <v>2019</v>
      </c>
      <c r="I805" s="18" t="s">
        <v>484</v>
      </c>
      <c r="J805" s="29" t="e">
        <f>-SUMIFS('TRA RESID'!$P:$P,'TRA RESID'!$I:$I,G806,'TRA RESID'!$J:$J,D806,'TRA RESID'!$H:$H,E806)/(SUMIFS('TRA RESID'!$P:$P,'TRA RESID'!$I:$I,G806,'TRA RESID'!$J:$J,D806,'TRA RESID'!$H:$H,E806)+SUMIFS('TRA RESID'!$P:$P,'TRA RESID'!$I:$I,G805,'TRA RESID'!$J:$J,D805,'TRA RESID'!$H:$H,E805))</f>
        <v>#DIV/0!</v>
      </c>
      <c r="K805" s="18">
        <v>0</v>
      </c>
      <c r="L805" s="18">
        <v>5</v>
      </c>
      <c r="N805" s="21">
        <v>1</v>
      </c>
    </row>
    <row r="806" spans="1:14" x14ac:dyDescent="0.25">
      <c r="C806" s="15" t="str">
        <f t="shared" ref="C806:C814" si="80">IF(C805="*",C805,"")</f>
        <v>*</v>
      </c>
      <c r="D806" s="17" t="s">
        <v>487</v>
      </c>
      <c r="E806" s="17" t="str">
        <f>E805</f>
        <v>TRAH2G</v>
      </c>
      <c r="F806" s="17" t="str">
        <f>F805</f>
        <v>TRAFRECSHDMD</v>
      </c>
      <c r="G806" s="17" t="str">
        <f>G805</f>
        <v>TRAFRECSHDMD</v>
      </c>
      <c r="H806" s="18">
        <v>2019</v>
      </c>
      <c r="I806" s="18"/>
      <c r="J806" s="20" t="e">
        <f>1-(J805*-1)</f>
        <v>#DIV/0!</v>
      </c>
      <c r="K806" s="18"/>
      <c r="L806" s="18"/>
      <c r="N806" s="21"/>
    </row>
    <row r="807" spans="1:14" x14ac:dyDescent="0.25">
      <c r="C807" s="15" t="str">
        <f t="shared" si="80"/>
        <v>*</v>
      </c>
      <c r="D807" s="17" t="str">
        <f>D805</f>
        <v>*ICEV*</v>
      </c>
      <c r="E807" s="17" t="str">
        <f>E805</f>
        <v>TRAH2G</v>
      </c>
      <c r="F807" s="17" t="str">
        <f>F805</f>
        <v>TRAFRECSHDMD</v>
      </c>
      <c r="G807" s="17" t="str">
        <f>G805</f>
        <v>TRAFRECSHDMD</v>
      </c>
      <c r="H807" s="18">
        <v>2025</v>
      </c>
      <c r="I807" s="18"/>
      <c r="J807" s="29" t="e">
        <f>IF(J805=0,-N807+1,J805*N807)</f>
        <v>#DIV/0!</v>
      </c>
      <c r="K807" s="18"/>
      <c r="L807" s="18"/>
      <c r="N807" s="21">
        <v>1.1000000000000001</v>
      </c>
    </row>
    <row r="808" spans="1:14" x14ac:dyDescent="0.25">
      <c r="C808" s="15" t="str">
        <f t="shared" si="80"/>
        <v>*</v>
      </c>
      <c r="D808" s="17" t="s">
        <v>487</v>
      </c>
      <c r="E808" s="17" t="str">
        <f>E807</f>
        <v>TRAH2G</v>
      </c>
      <c r="F808" s="17" t="str">
        <f>F807</f>
        <v>TRAFRECSHDMD</v>
      </c>
      <c r="G808" s="17" t="str">
        <f>G807</f>
        <v>TRAFRECSHDMD</v>
      </c>
      <c r="H808" s="18">
        <v>2025</v>
      </c>
      <c r="I808" s="18"/>
      <c r="J808" s="20" t="e">
        <f>1-(J807*-1)</f>
        <v>#DIV/0!</v>
      </c>
      <c r="K808" s="18"/>
      <c r="L808" s="18"/>
      <c r="N808" s="21"/>
    </row>
    <row r="809" spans="1:14" x14ac:dyDescent="0.25">
      <c r="C809" s="15" t="str">
        <f t="shared" si="80"/>
        <v>*</v>
      </c>
      <c r="D809" s="17" t="str">
        <f>D807</f>
        <v>*ICEV*</v>
      </c>
      <c r="E809" s="17" t="str">
        <f>E807</f>
        <v>TRAH2G</v>
      </c>
      <c r="F809" s="17" t="str">
        <f>F807</f>
        <v>TRAFRECSHDMD</v>
      </c>
      <c r="G809" s="17" t="str">
        <f>G807</f>
        <v>TRAFRECSHDMD</v>
      </c>
      <c r="H809" s="18">
        <v>2030</v>
      </c>
      <c r="I809" s="18"/>
      <c r="J809" s="29" t="e">
        <f>IF(J805=0,-N809+1,J805*N809)</f>
        <v>#DIV/0!</v>
      </c>
      <c r="K809" s="18"/>
      <c r="L809" s="18"/>
      <c r="N809" s="21">
        <v>1.2</v>
      </c>
    </row>
    <row r="810" spans="1:14" x14ac:dyDescent="0.25">
      <c r="C810" s="15" t="str">
        <f t="shared" si="80"/>
        <v>*</v>
      </c>
      <c r="D810" s="17" t="s">
        <v>487</v>
      </c>
      <c r="E810" s="17" t="str">
        <f>E809</f>
        <v>TRAH2G</v>
      </c>
      <c r="F810" s="17" t="str">
        <f>F809</f>
        <v>TRAFRECSHDMD</v>
      </c>
      <c r="G810" s="17" t="str">
        <f>G809</f>
        <v>TRAFRECSHDMD</v>
      </c>
      <c r="H810" s="18">
        <v>2030</v>
      </c>
      <c r="I810" s="18"/>
      <c r="J810" s="20" t="e">
        <f>1-(J809*-1)</f>
        <v>#DIV/0!</v>
      </c>
      <c r="K810" s="18"/>
      <c r="L810" s="18"/>
      <c r="N810" s="21"/>
    </row>
    <row r="811" spans="1:14" x14ac:dyDescent="0.25">
      <c r="C811" s="15" t="str">
        <f t="shared" si="80"/>
        <v>*</v>
      </c>
      <c r="D811" s="17" t="str">
        <f>D809</f>
        <v>*ICEV*</v>
      </c>
      <c r="E811" s="17" t="str">
        <f>E809</f>
        <v>TRAH2G</v>
      </c>
      <c r="F811" s="17" t="str">
        <f>F809</f>
        <v>TRAFRECSHDMD</v>
      </c>
      <c r="G811" s="17" t="str">
        <f>G809</f>
        <v>TRAFRECSHDMD</v>
      </c>
      <c r="H811" s="18">
        <v>2040</v>
      </c>
      <c r="I811" s="18"/>
      <c r="J811" s="29" t="e">
        <f>IF(J805=0,-N811+1,J805*N811)</f>
        <v>#DIV/0!</v>
      </c>
      <c r="K811" s="18"/>
      <c r="L811" s="18"/>
      <c r="N811" s="21">
        <v>1.3</v>
      </c>
    </row>
    <row r="812" spans="1:14" x14ac:dyDescent="0.25">
      <c r="C812" s="15" t="str">
        <f t="shared" si="80"/>
        <v>*</v>
      </c>
      <c r="D812" s="17" t="s">
        <v>487</v>
      </c>
      <c r="E812" s="17" t="str">
        <f>E811</f>
        <v>TRAH2G</v>
      </c>
      <c r="F812" s="17" t="str">
        <f>F811</f>
        <v>TRAFRECSHDMD</v>
      </c>
      <c r="G812" s="17" t="str">
        <f>G811</f>
        <v>TRAFRECSHDMD</v>
      </c>
      <c r="H812" s="18">
        <v>2040</v>
      </c>
      <c r="I812" s="18"/>
      <c r="J812" s="20" t="e">
        <f>1-(J811*-1)</f>
        <v>#DIV/0!</v>
      </c>
      <c r="K812" s="18"/>
      <c r="L812" s="18"/>
      <c r="N812" s="21"/>
    </row>
    <row r="813" spans="1:14" x14ac:dyDescent="0.25">
      <c r="C813" s="15" t="str">
        <f t="shared" si="80"/>
        <v>*</v>
      </c>
      <c r="D813" s="17" t="str">
        <f>D811</f>
        <v>*ICEV*</v>
      </c>
      <c r="E813" s="17" t="str">
        <f>E811</f>
        <v>TRAH2G</v>
      </c>
      <c r="F813" s="17" t="str">
        <f>F811</f>
        <v>TRAFRECSHDMD</v>
      </c>
      <c r="G813" s="17" t="str">
        <f>G811</f>
        <v>TRAFRECSHDMD</v>
      </c>
      <c r="H813" s="18">
        <v>2050</v>
      </c>
      <c r="I813" s="18"/>
      <c r="J813" s="29" t="e">
        <f>IF(J805=0,-N813+1,J805*N813)</f>
        <v>#DIV/0!</v>
      </c>
      <c r="K813" s="18"/>
      <c r="L813" s="18"/>
      <c r="N813" s="21">
        <v>1.4</v>
      </c>
    </row>
    <row r="814" spans="1:14" x14ac:dyDescent="0.25">
      <c r="C814" s="23" t="str">
        <f t="shared" si="80"/>
        <v>*</v>
      </c>
      <c r="D814" s="25" t="s">
        <v>487</v>
      </c>
      <c r="E814" s="25" t="str">
        <f>E813</f>
        <v>TRAH2G</v>
      </c>
      <c r="F814" s="25" t="str">
        <f>F813</f>
        <v>TRAFRECSHDMD</v>
      </c>
      <c r="G814" s="25" t="str">
        <f>G813</f>
        <v>TRAFRECSHDMD</v>
      </c>
      <c r="H814" s="26">
        <v>2050</v>
      </c>
      <c r="I814" s="26"/>
      <c r="J814" s="27" t="e">
        <f>1-(J813*-1)</f>
        <v>#DIV/0!</v>
      </c>
      <c r="K814" s="26"/>
      <c r="L814" s="26"/>
      <c r="N814" s="28"/>
    </row>
    <row r="815" spans="1:14" x14ac:dyDescent="0.25">
      <c r="A815">
        <f>A805+1</f>
        <v>82</v>
      </c>
      <c r="C815" s="15" t="str">
        <f>IF(E815="","",IF(SUMIFS('TRA TECH'!M:M,'TRA TECH'!J:J,D816,'TRA TECH'!I:I,F816,'TRA TECH'!H:H,E816)=0,"*",IF(_xlfn.XLOOKUP($A815,Selected_constraint!$A:$A,Selected_constraint!$D:$D)=1,"*",IF(SUMIFS('TRA TECH'!$M:$M,'TRA TECH'!$H:$H,E815,'TRA TECH'!$I:$I,F815)=0,"*",IF(SUMIFS('TRA RESID'!$P:$P,'TRA RESID'!$I:$I,G815,'TRA RESID'!$J:$J,D815,'TRA RESID'!$H:$H,E815)=0,"*","UC_"&amp;SUBSTITUTE(D815,"*","")&amp;"_"&amp;SUBSTITUTE(D815,"*","")&amp;"_"&amp;RIGHT(E815,3)&amp;"_"&amp;F815)))))</f>
        <v>*</v>
      </c>
      <c r="D815" s="17" t="s">
        <v>485</v>
      </c>
      <c r="E815" s="17" t="str">
        <f>_xlfn.XLOOKUP($A815,Selected_constraint!$A:$A,Selected_constraint!$B:$B)</f>
        <v>TRAGSL</v>
      </c>
      <c r="F815" s="17" t="str">
        <f>_xlfn.XLOOKUP($A815,Selected_constraint!$A:$A,Selected_constraint!$C:$C)</f>
        <v>TRAPASTBUDMD</v>
      </c>
      <c r="G815" s="17" t="str">
        <f>F815</f>
        <v>TRAPASTBUDMD</v>
      </c>
      <c r="H815" s="18">
        <v>2019</v>
      </c>
      <c r="I815" s="18" t="s">
        <v>484</v>
      </c>
      <c r="J815" s="29" t="e">
        <f>-SUMIFS('TRA RESID'!$P:$P,'TRA RESID'!$I:$I,G816,'TRA RESID'!$J:$J,D816,'TRA RESID'!$H:$H,E816)/(SUMIFS('TRA RESID'!$P:$P,'TRA RESID'!$I:$I,G816,'TRA RESID'!$J:$J,D816,'TRA RESID'!$H:$H,E816)+SUMIFS('TRA RESID'!$P:$P,'TRA RESID'!$I:$I,G815,'TRA RESID'!$J:$J,D815,'TRA RESID'!$H:$H,E815))</f>
        <v>#DIV/0!</v>
      </c>
      <c r="K815" s="18">
        <v>0</v>
      </c>
      <c r="L815" s="18">
        <v>5</v>
      </c>
      <c r="N815" s="21">
        <v>1</v>
      </c>
    </row>
    <row r="816" spans="1:14" x14ac:dyDescent="0.25">
      <c r="C816" s="15" t="str">
        <f t="shared" ref="C816:C824" si="81">IF(C815="*",C815,"")</f>
        <v>*</v>
      </c>
      <c r="D816" s="17" t="s">
        <v>487</v>
      </c>
      <c r="E816" s="17" t="str">
        <f>E815</f>
        <v>TRAGSL</v>
      </c>
      <c r="F816" s="17" t="str">
        <f>F815</f>
        <v>TRAPASTBUDMD</v>
      </c>
      <c r="G816" s="17" t="str">
        <f>G815</f>
        <v>TRAPASTBUDMD</v>
      </c>
      <c r="H816" s="18">
        <v>2019</v>
      </c>
      <c r="I816" s="18"/>
      <c r="J816" s="20" t="e">
        <f>1-(J815*-1)</f>
        <v>#DIV/0!</v>
      </c>
      <c r="K816" s="18"/>
      <c r="L816" s="18"/>
      <c r="N816" s="21"/>
    </row>
    <row r="817" spans="1:14" x14ac:dyDescent="0.25">
      <c r="C817" s="15" t="str">
        <f t="shared" si="81"/>
        <v>*</v>
      </c>
      <c r="D817" s="17" t="str">
        <f>D815</f>
        <v>*ICEV*</v>
      </c>
      <c r="E817" s="17" t="str">
        <f>E815</f>
        <v>TRAGSL</v>
      </c>
      <c r="F817" s="17" t="str">
        <f>F815</f>
        <v>TRAPASTBUDMD</v>
      </c>
      <c r="G817" s="17" t="str">
        <f>G815</f>
        <v>TRAPASTBUDMD</v>
      </c>
      <c r="H817" s="18">
        <v>2025</v>
      </c>
      <c r="I817" s="18"/>
      <c r="J817" s="29" t="e">
        <f>IF(J815=0,-N817+1,J815*N817)</f>
        <v>#DIV/0!</v>
      </c>
      <c r="K817" s="18"/>
      <c r="L817" s="18"/>
      <c r="N817" s="21">
        <v>1.1000000000000001</v>
      </c>
    </row>
    <row r="818" spans="1:14" x14ac:dyDescent="0.25">
      <c r="C818" s="15" t="str">
        <f t="shared" si="81"/>
        <v>*</v>
      </c>
      <c r="D818" s="17" t="s">
        <v>487</v>
      </c>
      <c r="E818" s="17" t="str">
        <f>E817</f>
        <v>TRAGSL</v>
      </c>
      <c r="F818" s="17" t="str">
        <f>F817</f>
        <v>TRAPASTBUDMD</v>
      </c>
      <c r="G818" s="17" t="str">
        <f>G817</f>
        <v>TRAPASTBUDMD</v>
      </c>
      <c r="H818" s="18">
        <v>2025</v>
      </c>
      <c r="I818" s="18"/>
      <c r="J818" s="20" t="e">
        <f>1-(J817*-1)</f>
        <v>#DIV/0!</v>
      </c>
      <c r="K818" s="18"/>
      <c r="L818" s="18"/>
      <c r="N818" s="21"/>
    </row>
    <row r="819" spans="1:14" x14ac:dyDescent="0.25">
      <c r="C819" s="15" t="str">
        <f t="shared" si="81"/>
        <v>*</v>
      </c>
      <c r="D819" s="17" t="str">
        <f>D817</f>
        <v>*ICEV*</v>
      </c>
      <c r="E819" s="17" t="str">
        <f>E817</f>
        <v>TRAGSL</v>
      </c>
      <c r="F819" s="17" t="str">
        <f>F817</f>
        <v>TRAPASTBUDMD</v>
      </c>
      <c r="G819" s="17" t="str">
        <f>G817</f>
        <v>TRAPASTBUDMD</v>
      </c>
      <c r="H819" s="18">
        <v>2030</v>
      </c>
      <c r="I819" s="18"/>
      <c r="J819" s="29" t="e">
        <f>IF(J815=0,-N819+1,J815*N819)</f>
        <v>#DIV/0!</v>
      </c>
      <c r="K819" s="18"/>
      <c r="L819" s="18"/>
      <c r="N819" s="21">
        <v>1.2</v>
      </c>
    </row>
    <row r="820" spans="1:14" x14ac:dyDescent="0.25">
      <c r="C820" s="15" t="str">
        <f t="shared" si="81"/>
        <v>*</v>
      </c>
      <c r="D820" s="17" t="s">
        <v>487</v>
      </c>
      <c r="E820" s="17" t="str">
        <f>E819</f>
        <v>TRAGSL</v>
      </c>
      <c r="F820" s="17" t="str">
        <f>F819</f>
        <v>TRAPASTBUDMD</v>
      </c>
      <c r="G820" s="17" t="str">
        <f>G819</f>
        <v>TRAPASTBUDMD</v>
      </c>
      <c r="H820" s="18">
        <v>2030</v>
      </c>
      <c r="I820" s="18"/>
      <c r="J820" s="20" t="e">
        <f>1-(J819*-1)</f>
        <v>#DIV/0!</v>
      </c>
      <c r="K820" s="18"/>
      <c r="L820" s="18"/>
      <c r="N820" s="21"/>
    </row>
    <row r="821" spans="1:14" x14ac:dyDescent="0.25">
      <c r="C821" s="15" t="str">
        <f t="shared" si="81"/>
        <v>*</v>
      </c>
      <c r="D821" s="17" t="str">
        <f>D819</f>
        <v>*ICEV*</v>
      </c>
      <c r="E821" s="17" t="str">
        <f>E819</f>
        <v>TRAGSL</v>
      </c>
      <c r="F821" s="17" t="str">
        <f>F819</f>
        <v>TRAPASTBUDMD</v>
      </c>
      <c r="G821" s="17" t="str">
        <f>G819</f>
        <v>TRAPASTBUDMD</v>
      </c>
      <c r="H821" s="18">
        <v>2040</v>
      </c>
      <c r="I821" s="18"/>
      <c r="J821" s="29" t="e">
        <f>IF(J815=0,-N821+1,J815*N821)</f>
        <v>#DIV/0!</v>
      </c>
      <c r="K821" s="18"/>
      <c r="L821" s="18"/>
      <c r="N821" s="21">
        <v>1.3</v>
      </c>
    </row>
    <row r="822" spans="1:14" x14ac:dyDescent="0.25">
      <c r="C822" s="15" t="str">
        <f t="shared" si="81"/>
        <v>*</v>
      </c>
      <c r="D822" s="17" t="s">
        <v>487</v>
      </c>
      <c r="E822" s="17" t="str">
        <f>E821</f>
        <v>TRAGSL</v>
      </c>
      <c r="F822" s="17" t="str">
        <f>F821</f>
        <v>TRAPASTBUDMD</v>
      </c>
      <c r="G822" s="17" t="str">
        <f>G821</f>
        <v>TRAPASTBUDMD</v>
      </c>
      <c r="H822" s="18">
        <v>2040</v>
      </c>
      <c r="I822" s="18"/>
      <c r="J822" s="20" t="e">
        <f>1-(J821*-1)</f>
        <v>#DIV/0!</v>
      </c>
      <c r="K822" s="18"/>
      <c r="L822" s="18"/>
      <c r="N822" s="21"/>
    </row>
    <row r="823" spans="1:14" x14ac:dyDescent="0.25">
      <c r="C823" s="15" t="str">
        <f t="shared" si="81"/>
        <v>*</v>
      </c>
      <c r="D823" s="17" t="str">
        <f>D821</f>
        <v>*ICEV*</v>
      </c>
      <c r="E823" s="17" t="str">
        <f>E821</f>
        <v>TRAGSL</v>
      </c>
      <c r="F823" s="17" t="str">
        <f>F821</f>
        <v>TRAPASTBUDMD</v>
      </c>
      <c r="G823" s="17" t="str">
        <f>G821</f>
        <v>TRAPASTBUDMD</v>
      </c>
      <c r="H823" s="18">
        <v>2050</v>
      </c>
      <c r="I823" s="18"/>
      <c r="J823" s="29" t="e">
        <f>IF(J815=0,-N823+1,J815*N823)</f>
        <v>#DIV/0!</v>
      </c>
      <c r="K823" s="18"/>
      <c r="L823" s="18"/>
      <c r="N823" s="21">
        <v>1.4</v>
      </c>
    </row>
    <row r="824" spans="1:14" x14ac:dyDescent="0.25">
      <c r="C824" s="23" t="str">
        <f t="shared" si="81"/>
        <v>*</v>
      </c>
      <c r="D824" s="25" t="s">
        <v>487</v>
      </c>
      <c r="E824" s="25" t="str">
        <f>E823</f>
        <v>TRAGSL</v>
      </c>
      <c r="F824" s="25" t="str">
        <f>F823</f>
        <v>TRAPASTBUDMD</v>
      </c>
      <c r="G824" s="25" t="str">
        <f>G823</f>
        <v>TRAPASTBUDMD</v>
      </c>
      <c r="H824" s="26">
        <v>2050</v>
      </c>
      <c r="I824" s="26"/>
      <c r="J824" s="27" t="e">
        <f>1-(J823*-1)</f>
        <v>#DIV/0!</v>
      </c>
      <c r="K824" s="26"/>
      <c r="L824" s="26"/>
      <c r="N824" s="28"/>
    </row>
    <row r="825" spans="1:14" x14ac:dyDescent="0.25">
      <c r="A825">
        <f>A815+1</f>
        <v>83</v>
      </c>
      <c r="C825" s="15" t="str">
        <f>IF(E825="","",IF(SUMIFS('TRA TECH'!M:M,'TRA TECH'!J:J,D826,'TRA TECH'!I:I,F826,'TRA TECH'!H:H,E826)=0,"*",IF(_xlfn.XLOOKUP($A825,Selected_constraint!$A:$A,Selected_constraint!$D:$D)=1,"*",IF(SUMIFS('TRA TECH'!$M:$M,'TRA TECH'!$H:$H,E825,'TRA TECH'!$I:$I,F825)=0,"*",IF(SUMIFS('TRA RESID'!$P:$P,'TRA RESID'!$I:$I,G825,'TRA RESID'!$J:$J,D825,'TRA RESID'!$H:$H,E825)=0,"*","UC_"&amp;SUBSTITUTE(D825,"*","")&amp;"_"&amp;SUBSTITUTE(D825,"*","")&amp;"_"&amp;RIGHT(E825,3)&amp;"_"&amp;F825)))))</f>
        <v>*</v>
      </c>
      <c r="D825" s="17" t="s">
        <v>485</v>
      </c>
      <c r="E825" s="17" t="str">
        <f>_xlfn.XLOOKUP($A825,Selected_constraint!$A:$A,Selected_constraint!$B:$B)</f>
        <v>TRAETH</v>
      </c>
      <c r="F825" s="17" t="str">
        <f>_xlfn.XLOOKUP($A825,Selected_constraint!$A:$A,Selected_constraint!$C:$C)</f>
        <v>TRAPASTBUDMD</v>
      </c>
      <c r="G825" s="17" t="str">
        <f>F825</f>
        <v>TRAPASTBUDMD</v>
      </c>
      <c r="H825" s="18">
        <v>2019</v>
      </c>
      <c r="I825" s="18" t="s">
        <v>484</v>
      </c>
      <c r="J825" s="29" t="e">
        <f>-SUMIFS('TRA RESID'!$P:$P,'TRA RESID'!$I:$I,G826,'TRA RESID'!$J:$J,D826,'TRA RESID'!$H:$H,E826)/(SUMIFS('TRA RESID'!$P:$P,'TRA RESID'!$I:$I,G826,'TRA RESID'!$J:$J,D826,'TRA RESID'!$H:$H,E826)+SUMIFS('TRA RESID'!$P:$P,'TRA RESID'!$I:$I,G825,'TRA RESID'!$J:$J,D825,'TRA RESID'!$H:$H,E825))</f>
        <v>#DIV/0!</v>
      </c>
      <c r="K825" s="18">
        <v>0</v>
      </c>
      <c r="L825" s="18">
        <v>5</v>
      </c>
      <c r="N825" s="21">
        <v>1</v>
      </c>
    </row>
    <row r="826" spans="1:14" x14ac:dyDescent="0.25">
      <c r="C826" s="15" t="str">
        <f t="shared" ref="C826:C834" si="82">IF(C825="*",C825,"")</f>
        <v>*</v>
      </c>
      <c r="D826" s="17" t="s">
        <v>487</v>
      </c>
      <c r="E826" s="17" t="str">
        <f>E825</f>
        <v>TRAETH</v>
      </c>
      <c r="F826" s="17" t="str">
        <f>F825</f>
        <v>TRAPASTBUDMD</v>
      </c>
      <c r="G826" s="17" t="str">
        <f>G825</f>
        <v>TRAPASTBUDMD</v>
      </c>
      <c r="H826" s="18">
        <v>2019</v>
      </c>
      <c r="I826" s="18"/>
      <c r="J826" s="20" t="e">
        <f>1-(J825*-1)</f>
        <v>#DIV/0!</v>
      </c>
      <c r="K826" s="18"/>
      <c r="L826" s="18"/>
      <c r="N826" s="21"/>
    </row>
    <row r="827" spans="1:14" x14ac:dyDescent="0.25">
      <c r="C827" s="15" t="str">
        <f t="shared" si="82"/>
        <v>*</v>
      </c>
      <c r="D827" s="17" t="str">
        <f>D825</f>
        <v>*ICEV*</v>
      </c>
      <c r="E827" s="17" t="str">
        <f>E825</f>
        <v>TRAETH</v>
      </c>
      <c r="F827" s="17" t="str">
        <f>F825</f>
        <v>TRAPASTBUDMD</v>
      </c>
      <c r="G827" s="17" t="str">
        <f>G825</f>
        <v>TRAPASTBUDMD</v>
      </c>
      <c r="H827" s="18">
        <v>2025</v>
      </c>
      <c r="I827" s="18"/>
      <c r="J827" s="29" t="e">
        <f>IF(J825=0,-N827+1,J825*N827)</f>
        <v>#DIV/0!</v>
      </c>
      <c r="K827" s="18"/>
      <c r="L827" s="18"/>
      <c r="N827" s="21">
        <v>1.1000000000000001</v>
      </c>
    </row>
    <row r="828" spans="1:14" x14ac:dyDescent="0.25">
      <c r="C828" s="15" t="str">
        <f t="shared" si="82"/>
        <v>*</v>
      </c>
      <c r="D828" s="17" t="s">
        <v>487</v>
      </c>
      <c r="E828" s="17" t="str">
        <f>E827</f>
        <v>TRAETH</v>
      </c>
      <c r="F828" s="17" t="str">
        <f>F827</f>
        <v>TRAPASTBUDMD</v>
      </c>
      <c r="G828" s="17" t="str">
        <f>G827</f>
        <v>TRAPASTBUDMD</v>
      </c>
      <c r="H828" s="18">
        <v>2025</v>
      </c>
      <c r="I828" s="18"/>
      <c r="J828" s="20" t="e">
        <f>1-(J827*-1)</f>
        <v>#DIV/0!</v>
      </c>
      <c r="K828" s="18"/>
      <c r="L828" s="18"/>
      <c r="N828" s="21"/>
    </row>
    <row r="829" spans="1:14" x14ac:dyDescent="0.25">
      <c r="C829" s="15" t="str">
        <f t="shared" si="82"/>
        <v>*</v>
      </c>
      <c r="D829" s="17" t="str">
        <f>D827</f>
        <v>*ICEV*</v>
      </c>
      <c r="E829" s="17" t="str">
        <f>E827</f>
        <v>TRAETH</v>
      </c>
      <c r="F829" s="17" t="str">
        <f>F827</f>
        <v>TRAPASTBUDMD</v>
      </c>
      <c r="G829" s="17" t="str">
        <f>G827</f>
        <v>TRAPASTBUDMD</v>
      </c>
      <c r="H829" s="18">
        <v>2030</v>
      </c>
      <c r="I829" s="18"/>
      <c r="J829" s="29" t="e">
        <f>IF(J825=0,-N829+1,J825*N829)</f>
        <v>#DIV/0!</v>
      </c>
      <c r="K829" s="18"/>
      <c r="L829" s="18"/>
      <c r="N829" s="21">
        <v>1.2</v>
      </c>
    </row>
    <row r="830" spans="1:14" x14ac:dyDescent="0.25">
      <c r="C830" s="15" t="str">
        <f t="shared" si="82"/>
        <v>*</v>
      </c>
      <c r="D830" s="17" t="s">
        <v>487</v>
      </c>
      <c r="E830" s="17" t="str">
        <f>E829</f>
        <v>TRAETH</v>
      </c>
      <c r="F830" s="17" t="str">
        <f>F829</f>
        <v>TRAPASTBUDMD</v>
      </c>
      <c r="G830" s="17" t="str">
        <f>G829</f>
        <v>TRAPASTBUDMD</v>
      </c>
      <c r="H830" s="18">
        <v>2030</v>
      </c>
      <c r="I830" s="18"/>
      <c r="J830" s="20" t="e">
        <f>1-(J829*-1)</f>
        <v>#DIV/0!</v>
      </c>
      <c r="K830" s="18"/>
      <c r="L830" s="18"/>
      <c r="N830" s="21"/>
    </row>
    <row r="831" spans="1:14" x14ac:dyDescent="0.25">
      <c r="C831" s="15" t="str">
        <f t="shared" si="82"/>
        <v>*</v>
      </c>
      <c r="D831" s="17" t="str">
        <f>D829</f>
        <v>*ICEV*</v>
      </c>
      <c r="E831" s="17" t="str">
        <f>E829</f>
        <v>TRAETH</v>
      </c>
      <c r="F831" s="17" t="str">
        <f>F829</f>
        <v>TRAPASTBUDMD</v>
      </c>
      <c r="G831" s="17" t="str">
        <f>G829</f>
        <v>TRAPASTBUDMD</v>
      </c>
      <c r="H831" s="18">
        <v>2040</v>
      </c>
      <c r="I831" s="18"/>
      <c r="J831" s="29" t="e">
        <f>IF(J825=0,-N831+1,J825*N831)</f>
        <v>#DIV/0!</v>
      </c>
      <c r="K831" s="18"/>
      <c r="L831" s="18"/>
      <c r="N831" s="21">
        <v>1.3</v>
      </c>
    </row>
    <row r="832" spans="1:14" x14ac:dyDescent="0.25">
      <c r="C832" s="15" t="str">
        <f t="shared" si="82"/>
        <v>*</v>
      </c>
      <c r="D832" s="17" t="s">
        <v>487</v>
      </c>
      <c r="E832" s="17" t="str">
        <f>E831</f>
        <v>TRAETH</v>
      </c>
      <c r="F832" s="17" t="str">
        <f>F831</f>
        <v>TRAPASTBUDMD</v>
      </c>
      <c r="G832" s="17" t="str">
        <f>G831</f>
        <v>TRAPASTBUDMD</v>
      </c>
      <c r="H832" s="18">
        <v>2040</v>
      </c>
      <c r="I832" s="18"/>
      <c r="J832" s="20" t="e">
        <f>1-(J831*-1)</f>
        <v>#DIV/0!</v>
      </c>
      <c r="K832" s="18"/>
      <c r="L832" s="18"/>
      <c r="N832" s="21"/>
    </row>
    <row r="833" spans="1:14" x14ac:dyDescent="0.25">
      <c r="C833" s="15" t="str">
        <f t="shared" si="82"/>
        <v>*</v>
      </c>
      <c r="D833" s="17" t="str">
        <f>D831</f>
        <v>*ICEV*</v>
      </c>
      <c r="E833" s="17" t="str">
        <f>E831</f>
        <v>TRAETH</v>
      </c>
      <c r="F833" s="17" t="str">
        <f>F831</f>
        <v>TRAPASTBUDMD</v>
      </c>
      <c r="G833" s="17" t="str">
        <f>G831</f>
        <v>TRAPASTBUDMD</v>
      </c>
      <c r="H833" s="18">
        <v>2050</v>
      </c>
      <c r="I833" s="18"/>
      <c r="J833" s="29" t="e">
        <f>IF(J825=0,-N833+1,J825*N833)</f>
        <v>#DIV/0!</v>
      </c>
      <c r="K833" s="18"/>
      <c r="L833" s="18"/>
      <c r="N833" s="21">
        <v>1.4</v>
      </c>
    </row>
    <row r="834" spans="1:14" x14ac:dyDescent="0.25">
      <c r="C834" s="23" t="str">
        <f t="shared" si="82"/>
        <v>*</v>
      </c>
      <c r="D834" s="25" t="s">
        <v>487</v>
      </c>
      <c r="E834" s="25" t="str">
        <f>E833</f>
        <v>TRAETH</v>
      </c>
      <c r="F834" s="25" t="str">
        <f>F833</f>
        <v>TRAPASTBUDMD</v>
      </c>
      <c r="G834" s="25" t="str">
        <f>G833</f>
        <v>TRAPASTBUDMD</v>
      </c>
      <c r="H834" s="26">
        <v>2050</v>
      </c>
      <c r="I834" s="26"/>
      <c r="J834" s="27" t="e">
        <f>1-(J833*-1)</f>
        <v>#DIV/0!</v>
      </c>
      <c r="K834" s="26"/>
      <c r="L834" s="26"/>
      <c r="N834" s="28"/>
    </row>
    <row r="835" spans="1:14" x14ac:dyDescent="0.25">
      <c r="A835">
        <f>A825+1</f>
        <v>84</v>
      </c>
      <c r="C835" s="15" t="str">
        <f>IF(E835="","",IF(SUMIFS('TRA TECH'!M:M,'TRA TECH'!J:J,D836,'TRA TECH'!I:I,F836,'TRA TECH'!H:H,E836)=0,"*",IF(_xlfn.XLOOKUP($A835,Selected_constraint!$A:$A,Selected_constraint!$D:$D)=1,"*",IF(SUMIFS('TRA TECH'!$M:$M,'TRA TECH'!$H:$H,E835,'TRA TECH'!$I:$I,F835)=0,"*",IF(SUMIFS('TRA RESID'!$P:$P,'TRA RESID'!$I:$I,G835,'TRA RESID'!$J:$J,D835,'TRA RESID'!$H:$H,E835)=0,"*","UC_"&amp;SUBSTITUTE(D835,"*","")&amp;"_"&amp;SUBSTITUTE(D835,"*","")&amp;"_"&amp;RIGHT(E835,3)&amp;"_"&amp;F835)))))</f>
        <v>UC_ICEV_ICEV_DSL_TRAPASTBUDMD</v>
      </c>
      <c r="D835" s="17" t="s">
        <v>485</v>
      </c>
      <c r="E835" s="17" t="str">
        <f>_xlfn.XLOOKUP($A835,Selected_constraint!$A:$A,Selected_constraint!$B:$B)</f>
        <v>TRADSL</v>
      </c>
      <c r="F835" s="17" t="str">
        <f>_xlfn.XLOOKUP($A835,Selected_constraint!$A:$A,Selected_constraint!$C:$C)</f>
        <v>TRAPASTBUDMD</v>
      </c>
      <c r="G835" s="17" t="str">
        <f>F835</f>
        <v>TRAPASTBUDMD</v>
      </c>
      <c r="H835" s="18">
        <v>2019</v>
      </c>
      <c r="I835" s="18" t="s">
        <v>484</v>
      </c>
      <c r="J835" s="29">
        <f>-SUMIFS('TRA RESID'!$P:$P,'TRA RESID'!$I:$I,G836,'TRA RESID'!$J:$J,D836,'TRA RESID'!$H:$H,E836)/(SUMIFS('TRA RESID'!$P:$P,'TRA RESID'!$I:$I,G836,'TRA RESID'!$J:$J,D836,'TRA RESID'!$H:$H,E836)+SUMIFS('TRA RESID'!$P:$P,'TRA RESID'!$I:$I,G835,'TRA RESID'!$J:$J,D835,'TRA RESID'!$H:$H,E835))</f>
        <v>0</v>
      </c>
      <c r="K835" s="18">
        <v>0</v>
      </c>
      <c r="L835" s="18">
        <v>5</v>
      </c>
      <c r="N835" s="21">
        <v>1</v>
      </c>
    </row>
    <row r="836" spans="1:14" x14ac:dyDescent="0.25">
      <c r="C836" s="15" t="str">
        <f t="shared" ref="C836:C844" si="83">IF(C835="*",C835,"")</f>
        <v/>
      </c>
      <c r="D836" s="17" t="s">
        <v>487</v>
      </c>
      <c r="E836" s="17" t="str">
        <f>E835</f>
        <v>TRADSL</v>
      </c>
      <c r="F836" s="17" t="str">
        <f>F835</f>
        <v>TRAPASTBUDMD</v>
      </c>
      <c r="G836" s="17" t="str">
        <f>G835</f>
        <v>TRAPASTBUDMD</v>
      </c>
      <c r="H836" s="18">
        <v>2019</v>
      </c>
      <c r="I836" s="18"/>
      <c r="J836" s="20">
        <f>1-(J835*-1)</f>
        <v>1</v>
      </c>
      <c r="K836" s="18"/>
      <c r="L836" s="18"/>
      <c r="N836" s="21"/>
    </row>
    <row r="837" spans="1:14" x14ac:dyDescent="0.25">
      <c r="C837" s="15" t="str">
        <f t="shared" si="83"/>
        <v/>
      </c>
      <c r="D837" s="17" t="str">
        <f>D835</f>
        <v>*ICEV*</v>
      </c>
      <c r="E837" s="17" t="str">
        <f>E835</f>
        <v>TRADSL</v>
      </c>
      <c r="F837" s="17" t="str">
        <f>F835</f>
        <v>TRAPASTBUDMD</v>
      </c>
      <c r="G837" s="17" t="str">
        <f>G835</f>
        <v>TRAPASTBUDMD</v>
      </c>
      <c r="H837" s="18">
        <v>2025</v>
      </c>
      <c r="I837" s="18"/>
      <c r="J837" s="29">
        <f>IF(J835=0,-N837+1,J835*N837)</f>
        <v>-0.10000000000000009</v>
      </c>
      <c r="K837" s="18"/>
      <c r="L837" s="18"/>
      <c r="N837" s="21">
        <v>1.1000000000000001</v>
      </c>
    </row>
    <row r="838" spans="1:14" x14ac:dyDescent="0.25">
      <c r="C838" s="15" t="str">
        <f t="shared" si="83"/>
        <v/>
      </c>
      <c r="D838" s="17" t="s">
        <v>487</v>
      </c>
      <c r="E838" s="17" t="str">
        <f>E837</f>
        <v>TRADSL</v>
      </c>
      <c r="F838" s="17" t="str">
        <f>F837</f>
        <v>TRAPASTBUDMD</v>
      </c>
      <c r="G838" s="17" t="str">
        <f>G837</f>
        <v>TRAPASTBUDMD</v>
      </c>
      <c r="H838" s="18">
        <v>2025</v>
      </c>
      <c r="I838" s="18"/>
      <c r="J838" s="20">
        <f>1-(J837*-1)</f>
        <v>0.89999999999999991</v>
      </c>
      <c r="K838" s="18"/>
      <c r="L838" s="18"/>
      <c r="N838" s="21"/>
    </row>
    <row r="839" spans="1:14" x14ac:dyDescent="0.25">
      <c r="C839" s="15" t="str">
        <f t="shared" si="83"/>
        <v/>
      </c>
      <c r="D839" s="17" t="str">
        <f>D837</f>
        <v>*ICEV*</v>
      </c>
      <c r="E839" s="17" t="str">
        <f>E837</f>
        <v>TRADSL</v>
      </c>
      <c r="F839" s="17" t="str">
        <f>F837</f>
        <v>TRAPASTBUDMD</v>
      </c>
      <c r="G839" s="17" t="str">
        <f>G837</f>
        <v>TRAPASTBUDMD</v>
      </c>
      <c r="H839" s="18">
        <v>2030</v>
      </c>
      <c r="I839" s="18"/>
      <c r="J839" s="29">
        <f>IF(J835=0,-N839+1,J835*N839)</f>
        <v>-0.19999999999999996</v>
      </c>
      <c r="K839" s="18"/>
      <c r="L839" s="18"/>
      <c r="N839" s="21">
        <v>1.2</v>
      </c>
    </row>
    <row r="840" spans="1:14" x14ac:dyDescent="0.25">
      <c r="C840" s="15" t="str">
        <f t="shared" si="83"/>
        <v/>
      </c>
      <c r="D840" s="17" t="s">
        <v>487</v>
      </c>
      <c r="E840" s="17" t="str">
        <f>E839</f>
        <v>TRADSL</v>
      </c>
      <c r="F840" s="17" t="str">
        <f>F839</f>
        <v>TRAPASTBUDMD</v>
      </c>
      <c r="G840" s="17" t="str">
        <f>G839</f>
        <v>TRAPASTBUDMD</v>
      </c>
      <c r="H840" s="18">
        <v>2030</v>
      </c>
      <c r="I840" s="18"/>
      <c r="J840" s="20">
        <f>1-(J839*-1)</f>
        <v>0.8</v>
      </c>
      <c r="K840" s="18"/>
      <c r="L840" s="18"/>
      <c r="N840" s="21"/>
    </row>
    <row r="841" spans="1:14" x14ac:dyDescent="0.25">
      <c r="C841" s="15" t="str">
        <f t="shared" si="83"/>
        <v/>
      </c>
      <c r="D841" s="17" t="str">
        <f>D839</f>
        <v>*ICEV*</v>
      </c>
      <c r="E841" s="17" t="str">
        <f>E839</f>
        <v>TRADSL</v>
      </c>
      <c r="F841" s="17" t="str">
        <f>F839</f>
        <v>TRAPASTBUDMD</v>
      </c>
      <c r="G841" s="17" t="str">
        <f>G839</f>
        <v>TRAPASTBUDMD</v>
      </c>
      <c r="H841" s="18">
        <v>2040</v>
      </c>
      <c r="I841" s="18"/>
      <c r="J841" s="29">
        <f>IF(J835=0,-N841+1,J835*N841)</f>
        <v>-0.30000000000000004</v>
      </c>
      <c r="K841" s="18"/>
      <c r="L841" s="18"/>
      <c r="N841" s="21">
        <v>1.3</v>
      </c>
    </row>
    <row r="842" spans="1:14" x14ac:dyDescent="0.25">
      <c r="C842" s="15" t="str">
        <f t="shared" si="83"/>
        <v/>
      </c>
      <c r="D842" s="17" t="s">
        <v>487</v>
      </c>
      <c r="E842" s="17" t="str">
        <f>E841</f>
        <v>TRADSL</v>
      </c>
      <c r="F842" s="17" t="str">
        <f>F841</f>
        <v>TRAPASTBUDMD</v>
      </c>
      <c r="G842" s="17" t="str">
        <f>G841</f>
        <v>TRAPASTBUDMD</v>
      </c>
      <c r="H842" s="18">
        <v>2040</v>
      </c>
      <c r="I842" s="18"/>
      <c r="J842" s="20">
        <f>1-(J841*-1)</f>
        <v>0.7</v>
      </c>
      <c r="K842" s="18"/>
      <c r="L842" s="18"/>
      <c r="N842" s="21"/>
    </row>
    <row r="843" spans="1:14" x14ac:dyDescent="0.25">
      <c r="C843" s="15" t="str">
        <f t="shared" si="83"/>
        <v/>
      </c>
      <c r="D843" s="17" t="str">
        <f>D841</f>
        <v>*ICEV*</v>
      </c>
      <c r="E843" s="17" t="str">
        <f>E841</f>
        <v>TRADSL</v>
      </c>
      <c r="F843" s="17" t="str">
        <f>F841</f>
        <v>TRAPASTBUDMD</v>
      </c>
      <c r="G843" s="17" t="str">
        <f>G841</f>
        <v>TRAPASTBUDMD</v>
      </c>
      <c r="H843" s="18">
        <v>2050</v>
      </c>
      <c r="I843" s="18"/>
      <c r="J843" s="29">
        <f>IF(J835=0,-N843+1,J835*N843)</f>
        <v>-0.39999999999999991</v>
      </c>
      <c r="K843" s="18"/>
      <c r="L843" s="18"/>
      <c r="N843" s="21">
        <v>1.4</v>
      </c>
    </row>
    <row r="844" spans="1:14" x14ac:dyDescent="0.25">
      <c r="C844" s="23" t="str">
        <f t="shared" si="83"/>
        <v/>
      </c>
      <c r="D844" s="25" t="s">
        <v>487</v>
      </c>
      <c r="E844" s="25" t="str">
        <f>E843</f>
        <v>TRADSL</v>
      </c>
      <c r="F844" s="25" t="str">
        <f>F843</f>
        <v>TRAPASTBUDMD</v>
      </c>
      <c r="G844" s="25" t="str">
        <f>G843</f>
        <v>TRAPASTBUDMD</v>
      </c>
      <c r="H844" s="26">
        <v>2050</v>
      </c>
      <c r="I844" s="26"/>
      <c r="J844" s="27">
        <f>1-(J843*-1)</f>
        <v>0.60000000000000009</v>
      </c>
      <c r="K844" s="26"/>
      <c r="L844" s="26"/>
      <c r="N844" s="28"/>
    </row>
    <row r="845" spans="1:14" x14ac:dyDescent="0.25">
      <c r="A845">
        <f>A835+1</f>
        <v>85</v>
      </c>
      <c r="C845" s="15" t="str">
        <f>IF(E845="","",IF(SUMIFS('TRA TECH'!M:M,'TRA TECH'!J:J,D846,'TRA TECH'!I:I,F846,'TRA TECH'!H:H,E846)=0,"*",IF(_xlfn.XLOOKUP($A845,Selected_constraint!$A:$A,Selected_constraint!$D:$D)=1,"*",IF(SUMIFS('TRA TECH'!$M:$M,'TRA TECH'!$H:$H,E845,'TRA TECH'!$I:$I,F845)=0,"*",IF(SUMIFS('TRA RESID'!$P:$P,'TRA RESID'!$I:$I,G845,'TRA RESID'!$J:$J,D845,'TRA RESID'!$H:$H,E845)=0,"*","UC_"&amp;SUBSTITUTE(D845,"*","")&amp;"_"&amp;SUBSTITUTE(D845,"*","")&amp;"_"&amp;RIGHT(E845,3)&amp;"_"&amp;F845)))))</f>
        <v>*</v>
      </c>
      <c r="D845" s="17" t="s">
        <v>485</v>
      </c>
      <c r="E845" s="17" t="str">
        <f>_xlfn.XLOOKUP($A845,Selected_constraint!$A:$A,Selected_constraint!$B:$B)</f>
        <v>TRARDS</v>
      </c>
      <c r="F845" s="17" t="str">
        <f>_xlfn.XLOOKUP($A845,Selected_constraint!$A:$A,Selected_constraint!$C:$C)</f>
        <v>TRAPASTBUDMD</v>
      </c>
      <c r="G845" s="17" t="str">
        <f>F845</f>
        <v>TRAPASTBUDMD</v>
      </c>
      <c r="H845" s="18">
        <v>2019</v>
      </c>
      <c r="I845" s="18" t="s">
        <v>484</v>
      </c>
      <c r="J845" s="29" t="e">
        <f>-SUMIFS('TRA RESID'!$P:$P,'TRA RESID'!$I:$I,G846,'TRA RESID'!$J:$J,D846,'TRA RESID'!$H:$H,E846)/(SUMIFS('TRA RESID'!$P:$P,'TRA RESID'!$I:$I,G846,'TRA RESID'!$J:$J,D846,'TRA RESID'!$H:$H,E846)+SUMIFS('TRA RESID'!$P:$P,'TRA RESID'!$I:$I,G845,'TRA RESID'!$J:$J,D845,'TRA RESID'!$H:$H,E845))</f>
        <v>#DIV/0!</v>
      </c>
      <c r="K845" s="18">
        <v>0</v>
      </c>
      <c r="L845" s="18">
        <v>5</v>
      </c>
      <c r="N845" s="21">
        <v>1</v>
      </c>
    </row>
    <row r="846" spans="1:14" x14ac:dyDescent="0.25">
      <c r="C846" s="15" t="str">
        <f t="shared" ref="C846:C854" si="84">IF(C845="*",C845,"")</f>
        <v>*</v>
      </c>
      <c r="D846" s="17" t="s">
        <v>487</v>
      </c>
      <c r="E846" s="17" t="str">
        <f>E845</f>
        <v>TRARDS</v>
      </c>
      <c r="F846" s="17" t="str">
        <f>F845</f>
        <v>TRAPASTBUDMD</v>
      </c>
      <c r="G846" s="17" t="str">
        <f>G845</f>
        <v>TRAPASTBUDMD</v>
      </c>
      <c r="H846" s="18">
        <v>2019</v>
      </c>
      <c r="I846" s="18"/>
      <c r="J846" s="20" t="e">
        <f>1-(J845*-1)</f>
        <v>#DIV/0!</v>
      </c>
      <c r="K846" s="18"/>
      <c r="L846" s="18"/>
      <c r="N846" s="21"/>
    </row>
    <row r="847" spans="1:14" x14ac:dyDescent="0.25">
      <c r="C847" s="15" t="str">
        <f t="shared" si="84"/>
        <v>*</v>
      </c>
      <c r="D847" s="17" t="str">
        <f>D845</f>
        <v>*ICEV*</v>
      </c>
      <c r="E847" s="17" t="str">
        <f>E845</f>
        <v>TRARDS</v>
      </c>
      <c r="F847" s="17" t="str">
        <f>F845</f>
        <v>TRAPASTBUDMD</v>
      </c>
      <c r="G847" s="17" t="str">
        <f>G845</f>
        <v>TRAPASTBUDMD</v>
      </c>
      <c r="H847" s="18">
        <v>2025</v>
      </c>
      <c r="I847" s="18"/>
      <c r="J847" s="29" t="e">
        <f>IF(J845=0,-N847+1,J845*N847)</f>
        <v>#DIV/0!</v>
      </c>
      <c r="K847" s="18"/>
      <c r="L847" s="18"/>
      <c r="N847" s="21">
        <v>1.1000000000000001</v>
      </c>
    </row>
    <row r="848" spans="1:14" x14ac:dyDescent="0.25">
      <c r="C848" s="15" t="str">
        <f t="shared" si="84"/>
        <v>*</v>
      </c>
      <c r="D848" s="17" t="s">
        <v>487</v>
      </c>
      <c r="E848" s="17" t="str">
        <f>E847</f>
        <v>TRARDS</v>
      </c>
      <c r="F848" s="17" t="str">
        <f>F847</f>
        <v>TRAPASTBUDMD</v>
      </c>
      <c r="G848" s="17" t="str">
        <f>G847</f>
        <v>TRAPASTBUDMD</v>
      </c>
      <c r="H848" s="18">
        <v>2025</v>
      </c>
      <c r="I848" s="18"/>
      <c r="J848" s="20" t="e">
        <f>1-(J847*-1)</f>
        <v>#DIV/0!</v>
      </c>
      <c r="K848" s="18"/>
      <c r="L848" s="18"/>
      <c r="N848" s="21"/>
    </row>
    <row r="849" spans="1:14" x14ac:dyDescent="0.25">
      <c r="C849" s="15" t="str">
        <f t="shared" si="84"/>
        <v>*</v>
      </c>
      <c r="D849" s="17" t="str">
        <f>D847</f>
        <v>*ICEV*</v>
      </c>
      <c r="E849" s="17" t="str">
        <f>E847</f>
        <v>TRARDS</v>
      </c>
      <c r="F849" s="17" t="str">
        <f>F847</f>
        <v>TRAPASTBUDMD</v>
      </c>
      <c r="G849" s="17" t="str">
        <f>G847</f>
        <v>TRAPASTBUDMD</v>
      </c>
      <c r="H849" s="18">
        <v>2030</v>
      </c>
      <c r="I849" s="18"/>
      <c r="J849" s="29" t="e">
        <f>IF(J845=0,-N849+1,J845*N849)</f>
        <v>#DIV/0!</v>
      </c>
      <c r="K849" s="18"/>
      <c r="L849" s="18"/>
      <c r="N849" s="21">
        <v>1.2</v>
      </c>
    </row>
    <row r="850" spans="1:14" x14ac:dyDescent="0.25">
      <c r="C850" s="15" t="str">
        <f t="shared" si="84"/>
        <v>*</v>
      </c>
      <c r="D850" s="17" t="s">
        <v>487</v>
      </c>
      <c r="E850" s="17" t="str">
        <f>E849</f>
        <v>TRARDS</v>
      </c>
      <c r="F850" s="17" t="str">
        <f>F849</f>
        <v>TRAPASTBUDMD</v>
      </c>
      <c r="G850" s="17" t="str">
        <f>G849</f>
        <v>TRAPASTBUDMD</v>
      </c>
      <c r="H850" s="18">
        <v>2030</v>
      </c>
      <c r="I850" s="18"/>
      <c r="J850" s="20" t="e">
        <f>1-(J849*-1)</f>
        <v>#DIV/0!</v>
      </c>
      <c r="K850" s="18"/>
      <c r="L850" s="18"/>
      <c r="N850" s="21"/>
    </row>
    <row r="851" spans="1:14" x14ac:dyDescent="0.25">
      <c r="C851" s="15" t="str">
        <f t="shared" si="84"/>
        <v>*</v>
      </c>
      <c r="D851" s="17" t="str">
        <f>D849</f>
        <v>*ICEV*</v>
      </c>
      <c r="E851" s="17" t="str">
        <f>E849</f>
        <v>TRARDS</v>
      </c>
      <c r="F851" s="17" t="str">
        <f>F849</f>
        <v>TRAPASTBUDMD</v>
      </c>
      <c r="G851" s="17" t="str">
        <f>G849</f>
        <v>TRAPASTBUDMD</v>
      </c>
      <c r="H851" s="18">
        <v>2040</v>
      </c>
      <c r="I851" s="18"/>
      <c r="J851" s="29" t="e">
        <f>IF(J845=0,-N851+1,J845*N851)</f>
        <v>#DIV/0!</v>
      </c>
      <c r="K851" s="18"/>
      <c r="L851" s="18"/>
      <c r="N851" s="21">
        <v>1.3</v>
      </c>
    </row>
    <row r="852" spans="1:14" x14ac:dyDescent="0.25">
      <c r="C852" s="15" t="str">
        <f t="shared" si="84"/>
        <v>*</v>
      </c>
      <c r="D852" s="17" t="s">
        <v>487</v>
      </c>
      <c r="E852" s="17" t="str">
        <f>E851</f>
        <v>TRARDS</v>
      </c>
      <c r="F852" s="17" t="str">
        <f>F851</f>
        <v>TRAPASTBUDMD</v>
      </c>
      <c r="G852" s="17" t="str">
        <f>G851</f>
        <v>TRAPASTBUDMD</v>
      </c>
      <c r="H852" s="18">
        <v>2040</v>
      </c>
      <c r="I852" s="18"/>
      <c r="J852" s="20" t="e">
        <f>1-(J851*-1)</f>
        <v>#DIV/0!</v>
      </c>
      <c r="K852" s="18"/>
      <c r="L852" s="18"/>
      <c r="N852" s="21"/>
    </row>
    <row r="853" spans="1:14" x14ac:dyDescent="0.25">
      <c r="C853" s="15" t="str">
        <f t="shared" si="84"/>
        <v>*</v>
      </c>
      <c r="D853" s="17" t="str">
        <f>D851</f>
        <v>*ICEV*</v>
      </c>
      <c r="E853" s="17" t="str">
        <f>E851</f>
        <v>TRARDS</v>
      </c>
      <c r="F853" s="17" t="str">
        <f>F851</f>
        <v>TRAPASTBUDMD</v>
      </c>
      <c r="G853" s="17" t="str">
        <f>G851</f>
        <v>TRAPASTBUDMD</v>
      </c>
      <c r="H853" s="18">
        <v>2050</v>
      </c>
      <c r="I853" s="18"/>
      <c r="J853" s="29" t="e">
        <f>IF(J845=0,-N853+1,J845*N853)</f>
        <v>#DIV/0!</v>
      </c>
      <c r="K853" s="18"/>
      <c r="L853" s="18"/>
      <c r="N853" s="21">
        <v>1.4</v>
      </c>
    </row>
    <row r="854" spans="1:14" x14ac:dyDescent="0.25">
      <c r="C854" s="23" t="str">
        <f t="shared" si="84"/>
        <v>*</v>
      </c>
      <c r="D854" s="25" t="s">
        <v>487</v>
      </c>
      <c r="E854" s="25" t="str">
        <f>E853</f>
        <v>TRARDS</v>
      </c>
      <c r="F854" s="25" t="str">
        <f>F853</f>
        <v>TRAPASTBUDMD</v>
      </c>
      <c r="G854" s="25" t="str">
        <f>G853</f>
        <v>TRAPASTBUDMD</v>
      </c>
      <c r="H854" s="26">
        <v>2050</v>
      </c>
      <c r="I854" s="26"/>
      <c r="J854" s="27" t="e">
        <f>1-(J853*-1)</f>
        <v>#DIV/0!</v>
      </c>
      <c r="K854" s="26"/>
      <c r="L854" s="26"/>
      <c r="N854" s="28"/>
    </row>
    <row r="855" spans="1:14" x14ac:dyDescent="0.25">
      <c r="A855">
        <f>A845+1</f>
        <v>86</v>
      </c>
      <c r="C855" s="15" t="str">
        <f>IF(E855="","",IF(SUMIFS('TRA TECH'!M:M,'TRA TECH'!J:J,D856,'TRA TECH'!I:I,F856,'TRA TECH'!H:H,E856)=0,"*",IF(_xlfn.XLOOKUP($A855,Selected_constraint!$A:$A,Selected_constraint!$D:$D)=1,"*",IF(SUMIFS('TRA TECH'!$M:$M,'TRA TECH'!$H:$H,E855,'TRA TECH'!$I:$I,F855)=0,"*",IF(SUMIFS('TRA RESID'!$P:$P,'TRA RESID'!$I:$I,G855,'TRA RESID'!$J:$J,D855,'TRA RESID'!$H:$H,E855)=0,"*","UC_"&amp;SUBSTITUTE(D855,"*","")&amp;"_"&amp;SUBSTITUTE(D855,"*","")&amp;"_"&amp;RIGHT(E855,3)&amp;"_"&amp;F855)))))</f>
        <v>*</v>
      </c>
      <c r="D855" s="17" t="s">
        <v>485</v>
      </c>
      <c r="E855" s="17" t="str">
        <f>_xlfn.XLOOKUP($A855,Selected_constraint!$A:$A,Selected_constraint!$B:$B)</f>
        <v>TRABDS</v>
      </c>
      <c r="F855" s="17" t="str">
        <f>_xlfn.XLOOKUP($A855,Selected_constraint!$A:$A,Selected_constraint!$C:$C)</f>
        <v>TRAPASTBUDMD</v>
      </c>
      <c r="G855" s="17" t="str">
        <f>F855</f>
        <v>TRAPASTBUDMD</v>
      </c>
      <c r="H855" s="18">
        <v>2019</v>
      </c>
      <c r="I855" s="18" t="s">
        <v>484</v>
      </c>
      <c r="J855" s="29" t="e">
        <f>-SUMIFS('TRA RESID'!$P:$P,'TRA RESID'!$I:$I,G856,'TRA RESID'!$J:$J,D856,'TRA RESID'!$H:$H,E856)/(SUMIFS('TRA RESID'!$P:$P,'TRA RESID'!$I:$I,G856,'TRA RESID'!$J:$J,D856,'TRA RESID'!$H:$H,E856)+SUMIFS('TRA RESID'!$P:$P,'TRA RESID'!$I:$I,G855,'TRA RESID'!$J:$J,D855,'TRA RESID'!$H:$H,E855))</f>
        <v>#DIV/0!</v>
      </c>
      <c r="K855" s="18">
        <v>0</v>
      </c>
      <c r="L855" s="18">
        <v>5</v>
      </c>
      <c r="N855" s="21">
        <v>1</v>
      </c>
    </row>
    <row r="856" spans="1:14" x14ac:dyDescent="0.25">
      <c r="C856" s="15" t="str">
        <f t="shared" ref="C856:C864" si="85">IF(C855="*",C855,"")</f>
        <v>*</v>
      </c>
      <c r="D856" s="17" t="s">
        <v>487</v>
      </c>
      <c r="E856" s="17" t="str">
        <f>E855</f>
        <v>TRABDS</v>
      </c>
      <c r="F856" s="17" t="str">
        <f>F855</f>
        <v>TRAPASTBUDMD</v>
      </c>
      <c r="G856" s="17" t="str">
        <f>G855</f>
        <v>TRAPASTBUDMD</v>
      </c>
      <c r="H856" s="18">
        <v>2019</v>
      </c>
      <c r="I856" s="18"/>
      <c r="J856" s="20" t="e">
        <f>1-(J855*-1)</f>
        <v>#DIV/0!</v>
      </c>
      <c r="K856" s="18"/>
      <c r="L856" s="18"/>
      <c r="N856" s="21"/>
    </row>
    <row r="857" spans="1:14" x14ac:dyDescent="0.25">
      <c r="C857" s="15" t="str">
        <f t="shared" si="85"/>
        <v>*</v>
      </c>
      <c r="D857" s="17" t="str">
        <f>D855</f>
        <v>*ICEV*</v>
      </c>
      <c r="E857" s="17" t="str">
        <f>E855</f>
        <v>TRABDS</v>
      </c>
      <c r="F857" s="17" t="str">
        <f>F855</f>
        <v>TRAPASTBUDMD</v>
      </c>
      <c r="G857" s="17" t="str">
        <f>G855</f>
        <v>TRAPASTBUDMD</v>
      </c>
      <c r="H857" s="18">
        <v>2025</v>
      </c>
      <c r="I857" s="18"/>
      <c r="J857" s="29" t="e">
        <f>IF(J855=0,-N857+1,J855*N857)</f>
        <v>#DIV/0!</v>
      </c>
      <c r="K857" s="18"/>
      <c r="L857" s="18"/>
      <c r="N857" s="21">
        <v>1.1000000000000001</v>
      </c>
    </row>
    <row r="858" spans="1:14" x14ac:dyDescent="0.25">
      <c r="C858" s="15" t="str">
        <f t="shared" si="85"/>
        <v>*</v>
      </c>
      <c r="D858" s="17" t="s">
        <v>487</v>
      </c>
      <c r="E858" s="17" t="str">
        <f>E857</f>
        <v>TRABDS</v>
      </c>
      <c r="F858" s="17" t="str">
        <f>F857</f>
        <v>TRAPASTBUDMD</v>
      </c>
      <c r="G858" s="17" t="str">
        <f>G857</f>
        <v>TRAPASTBUDMD</v>
      </c>
      <c r="H858" s="18">
        <v>2025</v>
      </c>
      <c r="I858" s="18"/>
      <c r="J858" s="20" t="e">
        <f>1-(J857*-1)</f>
        <v>#DIV/0!</v>
      </c>
      <c r="K858" s="18"/>
      <c r="L858" s="18"/>
      <c r="N858" s="21"/>
    </row>
    <row r="859" spans="1:14" x14ac:dyDescent="0.25">
      <c r="C859" s="15" t="str">
        <f t="shared" si="85"/>
        <v>*</v>
      </c>
      <c r="D859" s="17" t="str">
        <f>D857</f>
        <v>*ICEV*</v>
      </c>
      <c r="E859" s="17" t="str">
        <f>E857</f>
        <v>TRABDS</v>
      </c>
      <c r="F859" s="17" t="str">
        <f>F857</f>
        <v>TRAPASTBUDMD</v>
      </c>
      <c r="G859" s="17" t="str">
        <f>G857</f>
        <v>TRAPASTBUDMD</v>
      </c>
      <c r="H859" s="18">
        <v>2030</v>
      </c>
      <c r="I859" s="18"/>
      <c r="J859" s="29" t="e">
        <f>IF(J855=0,-N859+1,J855*N859)</f>
        <v>#DIV/0!</v>
      </c>
      <c r="K859" s="18"/>
      <c r="L859" s="18"/>
      <c r="N859" s="21">
        <v>1.2</v>
      </c>
    </row>
    <row r="860" spans="1:14" x14ac:dyDescent="0.25">
      <c r="C860" s="15" t="str">
        <f t="shared" si="85"/>
        <v>*</v>
      </c>
      <c r="D860" s="17" t="s">
        <v>487</v>
      </c>
      <c r="E860" s="17" t="str">
        <f>E859</f>
        <v>TRABDS</v>
      </c>
      <c r="F860" s="17" t="str">
        <f>F859</f>
        <v>TRAPASTBUDMD</v>
      </c>
      <c r="G860" s="17" t="str">
        <f>G859</f>
        <v>TRAPASTBUDMD</v>
      </c>
      <c r="H860" s="18">
        <v>2030</v>
      </c>
      <c r="I860" s="18"/>
      <c r="J860" s="20" t="e">
        <f>1-(J859*-1)</f>
        <v>#DIV/0!</v>
      </c>
      <c r="K860" s="18"/>
      <c r="L860" s="18"/>
      <c r="N860" s="21"/>
    </row>
    <row r="861" spans="1:14" x14ac:dyDescent="0.25">
      <c r="C861" s="15" t="str">
        <f t="shared" si="85"/>
        <v>*</v>
      </c>
      <c r="D861" s="17" t="str">
        <f>D859</f>
        <v>*ICEV*</v>
      </c>
      <c r="E861" s="17" t="str">
        <f>E859</f>
        <v>TRABDS</v>
      </c>
      <c r="F861" s="17" t="str">
        <f>F859</f>
        <v>TRAPASTBUDMD</v>
      </c>
      <c r="G861" s="17" t="str">
        <f>G859</f>
        <v>TRAPASTBUDMD</v>
      </c>
      <c r="H861" s="18">
        <v>2040</v>
      </c>
      <c r="I861" s="18"/>
      <c r="J861" s="29" t="e">
        <f>IF(J855=0,-N861+1,J855*N861)</f>
        <v>#DIV/0!</v>
      </c>
      <c r="K861" s="18"/>
      <c r="L861" s="18"/>
      <c r="N861" s="21">
        <v>1.3</v>
      </c>
    </row>
    <row r="862" spans="1:14" x14ac:dyDescent="0.25">
      <c r="C862" s="15" t="str">
        <f t="shared" si="85"/>
        <v>*</v>
      </c>
      <c r="D862" s="17" t="s">
        <v>487</v>
      </c>
      <c r="E862" s="17" t="str">
        <f>E861</f>
        <v>TRABDS</v>
      </c>
      <c r="F862" s="17" t="str">
        <f>F861</f>
        <v>TRAPASTBUDMD</v>
      </c>
      <c r="G862" s="17" t="str">
        <f>G861</f>
        <v>TRAPASTBUDMD</v>
      </c>
      <c r="H862" s="18">
        <v>2040</v>
      </c>
      <c r="I862" s="18"/>
      <c r="J862" s="20" t="e">
        <f>1-(J861*-1)</f>
        <v>#DIV/0!</v>
      </c>
      <c r="K862" s="18"/>
      <c r="L862" s="18"/>
      <c r="N862" s="21"/>
    </row>
    <row r="863" spans="1:14" x14ac:dyDescent="0.25">
      <c r="C863" s="15" t="str">
        <f t="shared" si="85"/>
        <v>*</v>
      </c>
      <c r="D863" s="17" t="str">
        <f>D861</f>
        <v>*ICEV*</v>
      </c>
      <c r="E863" s="17" t="str">
        <f>E861</f>
        <v>TRABDS</v>
      </c>
      <c r="F863" s="17" t="str">
        <f>F861</f>
        <v>TRAPASTBUDMD</v>
      </c>
      <c r="G863" s="17" t="str">
        <f>G861</f>
        <v>TRAPASTBUDMD</v>
      </c>
      <c r="H863" s="18">
        <v>2050</v>
      </c>
      <c r="I863" s="18"/>
      <c r="J863" s="29" t="e">
        <f>IF(J855=0,-N863+1,J855*N863)</f>
        <v>#DIV/0!</v>
      </c>
      <c r="K863" s="18"/>
      <c r="L863" s="18"/>
      <c r="N863" s="21">
        <v>1.4</v>
      </c>
    </row>
    <row r="864" spans="1:14" x14ac:dyDescent="0.25">
      <c r="C864" s="23" t="str">
        <f t="shared" si="85"/>
        <v>*</v>
      </c>
      <c r="D864" s="25" t="s">
        <v>487</v>
      </c>
      <c r="E864" s="25" t="str">
        <f>E863</f>
        <v>TRABDS</v>
      </c>
      <c r="F864" s="25" t="str">
        <f>F863</f>
        <v>TRAPASTBUDMD</v>
      </c>
      <c r="G864" s="25" t="str">
        <f>G863</f>
        <v>TRAPASTBUDMD</v>
      </c>
      <c r="H864" s="26">
        <v>2050</v>
      </c>
      <c r="I864" s="26"/>
      <c r="J864" s="27" t="e">
        <f>1-(J863*-1)</f>
        <v>#DIV/0!</v>
      </c>
      <c r="K864" s="26"/>
      <c r="L864" s="26"/>
      <c r="N864" s="28"/>
    </row>
    <row r="865" spans="1:14" x14ac:dyDescent="0.25">
      <c r="A865">
        <f>A855+1</f>
        <v>87</v>
      </c>
      <c r="C865" s="15" t="str">
        <f>IF(E865="","",IF(SUMIFS('TRA TECH'!M:M,'TRA TECH'!J:J,D866,'TRA TECH'!I:I,F866,'TRA TECH'!H:H,E866)=0,"*",IF(_xlfn.XLOOKUP($A865,Selected_constraint!$A:$A,Selected_constraint!$D:$D)=1,"*",IF(SUMIFS('TRA TECH'!$M:$M,'TRA TECH'!$H:$H,E865,'TRA TECH'!$I:$I,F865)=0,"*",IF(SUMIFS('TRA RESID'!$P:$P,'TRA RESID'!$I:$I,G865,'TRA RESID'!$J:$J,D865,'TRA RESID'!$H:$H,E865)=0,"*","UC_"&amp;SUBSTITUTE(D865,"*","")&amp;"_"&amp;SUBSTITUTE(D865,"*","")&amp;"_"&amp;RIGHT(E865,3)&amp;"_"&amp;F865)))))</f>
        <v>*</v>
      </c>
      <c r="D865" s="17" t="s">
        <v>485</v>
      </c>
      <c r="E865" s="17" t="str">
        <f>_xlfn.XLOOKUP($A865,Selected_constraint!$A:$A,Selected_constraint!$B:$B)</f>
        <v>TRACNG</v>
      </c>
      <c r="F865" s="17" t="str">
        <f>_xlfn.XLOOKUP($A865,Selected_constraint!$A:$A,Selected_constraint!$C:$C)</f>
        <v>TRAPASTBUDMD</v>
      </c>
      <c r="G865" s="17" t="str">
        <f>F865</f>
        <v>TRAPASTBUDMD</v>
      </c>
      <c r="H865" s="18">
        <v>2019</v>
      </c>
      <c r="I865" s="18" t="s">
        <v>484</v>
      </c>
      <c r="J865" s="29">
        <f>-SUMIFS('TRA RESID'!$P:$P,'TRA RESID'!$I:$I,G866,'TRA RESID'!$J:$J,D866,'TRA RESID'!$H:$H,E866)/(SUMIFS('TRA RESID'!$P:$P,'TRA RESID'!$I:$I,G866,'TRA RESID'!$J:$J,D866,'TRA RESID'!$H:$H,E866)+SUMIFS('TRA RESID'!$P:$P,'TRA RESID'!$I:$I,G865,'TRA RESID'!$J:$J,D865,'TRA RESID'!$H:$H,E865))</f>
        <v>0</v>
      </c>
      <c r="K865" s="18">
        <v>0</v>
      </c>
      <c r="L865" s="18">
        <v>5</v>
      </c>
      <c r="N865" s="21">
        <v>1</v>
      </c>
    </row>
    <row r="866" spans="1:14" x14ac:dyDescent="0.25">
      <c r="C866" s="15" t="str">
        <f t="shared" ref="C866:C874" si="86">IF(C865="*",C865,"")</f>
        <v>*</v>
      </c>
      <c r="D866" s="17" t="s">
        <v>487</v>
      </c>
      <c r="E866" s="17" t="str">
        <f>E865</f>
        <v>TRACNG</v>
      </c>
      <c r="F866" s="17" t="str">
        <f>F865</f>
        <v>TRAPASTBUDMD</v>
      </c>
      <c r="G866" s="17" t="str">
        <f>G865</f>
        <v>TRAPASTBUDMD</v>
      </c>
      <c r="H866" s="18">
        <v>2019</v>
      </c>
      <c r="I866" s="18"/>
      <c r="J866" s="20">
        <f>1-(J865*-1)</f>
        <v>1</v>
      </c>
      <c r="K866" s="18"/>
      <c r="L866" s="18"/>
      <c r="N866" s="21"/>
    </row>
    <row r="867" spans="1:14" x14ac:dyDescent="0.25">
      <c r="C867" s="15" t="str">
        <f t="shared" si="86"/>
        <v>*</v>
      </c>
      <c r="D867" s="17" t="str">
        <f>D865</f>
        <v>*ICEV*</v>
      </c>
      <c r="E867" s="17" t="str">
        <f>E865</f>
        <v>TRACNG</v>
      </c>
      <c r="F867" s="17" t="str">
        <f>F865</f>
        <v>TRAPASTBUDMD</v>
      </c>
      <c r="G867" s="17" t="str">
        <f>G865</f>
        <v>TRAPASTBUDMD</v>
      </c>
      <c r="H867" s="18">
        <v>2025</v>
      </c>
      <c r="I867" s="18"/>
      <c r="J867" s="29">
        <f>IF(J865=0,-N867+1,J865*N867)</f>
        <v>-0.10000000000000009</v>
      </c>
      <c r="K867" s="18"/>
      <c r="L867" s="18"/>
      <c r="N867" s="21">
        <v>1.1000000000000001</v>
      </c>
    </row>
    <row r="868" spans="1:14" x14ac:dyDescent="0.25">
      <c r="C868" s="15" t="str">
        <f t="shared" si="86"/>
        <v>*</v>
      </c>
      <c r="D868" s="17" t="s">
        <v>487</v>
      </c>
      <c r="E868" s="17" t="str">
        <f>E867</f>
        <v>TRACNG</v>
      </c>
      <c r="F868" s="17" t="str">
        <f>F867</f>
        <v>TRAPASTBUDMD</v>
      </c>
      <c r="G868" s="17" t="str">
        <f>G867</f>
        <v>TRAPASTBUDMD</v>
      </c>
      <c r="H868" s="18">
        <v>2025</v>
      </c>
      <c r="I868" s="18"/>
      <c r="J868" s="20">
        <f>1-(J867*-1)</f>
        <v>0.89999999999999991</v>
      </c>
      <c r="K868" s="18"/>
      <c r="L868" s="18"/>
      <c r="N868" s="21"/>
    </row>
    <row r="869" spans="1:14" x14ac:dyDescent="0.25">
      <c r="C869" s="15" t="str">
        <f t="shared" si="86"/>
        <v>*</v>
      </c>
      <c r="D869" s="17" t="str">
        <f>D867</f>
        <v>*ICEV*</v>
      </c>
      <c r="E869" s="17" t="str">
        <f>E867</f>
        <v>TRACNG</v>
      </c>
      <c r="F869" s="17" t="str">
        <f>F867</f>
        <v>TRAPASTBUDMD</v>
      </c>
      <c r="G869" s="17" t="str">
        <f>G867</f>
        <v>TRAPASTBUDMD</v>
      </c>
      <c r="H869" s="18">
        <v>2030</v>
      </c>
      <c r="I869" s="18"/>
      <c r="J869" s="29">
        <f>IF(J865=0,-N869+1,J865*N869)</f>
        <v>-0.19999999999999996</v>
      </c>
      <c r="K869" s="18"/>
      <c r="L869" s="18"/>
      <c r="N869" s="21">
        <v>1.2</v>
      </c>
    </row>
    <row r="870" spans="1:14" x14ac:dyDescent="0.25">
      <c r="C870" s="15" t="str">
        <f t="shared" si="86"/>
        <v>*</v>
      </c>
      <c r="D870" s="17" t="s">
        <v>487</v>
      </c>
      <c r="E870" s="17" t="str">
        <f>E869</f>
        <v>TRACNG</v>
      </c>
      <c r="F870" s="17" t="str">
        <f>F869</f>
        <v>TRAPASTBUDMD</v>
      </c>
      <c r="G870" s="17" t="str">
        <f>G869</f>
        <v>TRAPASTBUDMD</v>
      </c>
      <c r="H870" s="18">
        <v>2030</v>
      </c>
      <c r="I870" s="18"/>
      <c r="J870" s="20">
        <f>1-(J869*-1)</f>
        <v>0.8</v>
      </c>
      <c r="K870" s="18"/>
      <c r="L870" s="18"/>
      <c r="N870" s="21"/>
    </row>
    <row r="871" spans="1:14" x14ac:dyDescent="0.25">
      <c r="C871" s="15" t="str">
        <f t="shared" si="86"/>
        <v>*</v>
      </c>
      <c r="D871" s="17" t="str">
        <f>D869</f>
        <v>*ICEV*</v>
      </c>
      <c r="E871" s="17" t="str">
        <f>E869</f>
        <v>TRACNG</v>
      </c>
      <c r="F871" s="17" t="str">
        <f>F869</f>
        <v>TRAPASTBUDMD</v>
      </c>
      <c r="G871" s="17" t="str">
        <f>G869</f>
        <v>TRAPASTBUDMD</v>
      </c>
      <c r="H871" s="18">
        <v>2040</v>
      </c>
      <c r="I871" s="18"/>
      <c r="J871" s="29">
        <f>IF(J865=0,-N871+1,J865*N871)</f>
        <v>-0.30000000000000004</v>
      </c>
      <c r="K871" s="18"/>
      <c r="L871" s="18"/>
      <c r="N871" s="21">
        <v>1.3</v>
      </c>
    </row>
    <row r="872" spans="1:14" x14ac:dyDescent="0.25">
      <c r="C872" s="15" t="str">
        <f t="shared" si="86"/>
        <v>*</v>
      </c>
      <c r="D872" s="17" t="s">
        <v>487</v>
      </c>
      <c r="E872" s="17" t="str">
        <f>E871</f>
        <v>TRACNG</v>
      </c>
      <c r="F872" s="17" t="str">
        <f>F871</f>
        <v>TRAPASTBUDMD</v>
      </c>
      <c r="G872" s="17" t="str">
        <f>G871</f>
        <v>TRAPASTBUDMD</v>
      </c>
      <c r="H872" s="18">
        <v>2040</v>
      </c>
      <c r="I872" s="18"/>
      <c r="J872" s="20">
        <f>1-(J871*-1)</f>
        <v>0.7</v>
      </c>
      <c r="K872" s="18"/>
      <c r="L872" s="18"/>
      <c r="N872" s="21"/>
    </row>
    <row r="873" spans="1:14" x14ac:dyDescent="0.25">
      <c r="C873" s="15" t="str">
        <f t="shared" si="86"/>
        <v>*</v>
      </c>
      <c r="D873" s="17" t="str">
        <f>D871</f>
        <v>*ICEV*</v>
      </c>
      <c r="E873" s="17" t="str">
        <f>E871</f>
        <v>TRACNG</v>
      </c>
      <c r="F873" s="17" t="str">
        <f>F871</f>
        <v>TRAPASTBUDMD</v>
      </c>
      <c r="G873" s="17" t="str">
        <f>G871</f>
        <v>TRAPASTBUDMD</v>
      </c>
      <c r="H873" s="18">
        <v>2050</v>
      </c>
      <c r="I873" s="18"/>
      <c r="J873" s="29">
        <f>IF(J865=0,-N873+1,J865*N873)</f>
        <v>-0.39999999999999991</v>
      </c>
      <c r="K873" s="18"/>
      <c r="L873" s="18"/>
      <c r="N873" s="21">
        <v>1.4</v>
      </c>
    </row>
    <row r="874" spans="1:14" x14ac:dyDescent="0.25">
      <c r="C874" s="23" t="str">
        <f t="shared" si="86"/>
        <v>*</v>
      </c>
      <c r="D874" s="25" t="s">
        <v>487</v>
      </c>
      <c r="E874" s="25" t="str">
        <f>E873</f>
        <v>TRACNG</v>
      </c>
      <c r="F874" s="25" t="str">
        <f>F873</f>
        <v>TRAPASTBUDMD</v>
      </c>
      <c r="G874" s="25" t="str">
        <f>G873</f>
        <v>TRAPASTBUDMD</v>
      </c>
      <c r="H874" s="26">
        <v>2050</v>
      </c>
      <c r="I874" s="26"/>
      <c r="J874" s="27">
        <f>1-(J873*-1)</f>
        <v>0.60000000000000009</v>
      </c>
      <c r="K874" s="26"/>
      <c r="L874" s="26"/>
      <c r="N874" s="28"/>
    </row>
    <row r="875" spans="1:14" x14ac:dyDescent="0.25">
      <c r="A875">
        <f>A865+1</f>
        <v>88</v>
      </c>
      <c r="C875" s="15" t="str">
        <f>IF(E875="","",IF(SUMIFS('TRA TECH'!M:M,'TRA TECH'!J:J,D876,'TRA TECH'!I:I,F876,'TRA TECH'!H:H,E876)=0,"*",IF(_xlfn.XLOOKUP($A875,Selected_constraint!$A:$A,Selected_constraint!$D:$D)=1,"*",IF(SUMIFS('TRA TECH'!$M:$M,'TRA TECH'!$H:$H,E875,'TRA TECH'!$I:$I,F875)=0,"*",IF(SUMIFS('TRA RESID'!$P:$P,'TRA RESID'!$I:$I,G875,'TRA RESID'!$J:$J,D875,'TRA RESID'!$H:$H,E875)=0,"*","UC_"&amp;SUBSTITUTE(D875,"*","")&amp;"_"&amp;SUBSTITUTE(D875,"*","")&amp;"_"&amp;RIGHT(E875,3)&amp;"_"&amp;F875)))))</f>
        <v>*</v>
      </c>
      <c r="D875" s="17" t="s">
        <v>485</v>
      </c>
      <c r="E875" s="17" t="str">
        <f>_xlfn.XLOOKUP($A875,Selected_constraint!$A:$A,Selected_constraint!$B:$B)</f>
        <v>TRARNG</v>
      </c>
      <c r="F875" s="17" t="str">
        <f>_xlfn.XLOOKUP($A875,Selected_constraint!$A:$A,Selected_constraint!$C:$C)</f>
        <v>TRAPASTBUDMD</v>
      </c>
      <c r="G875" s="17" t="str">
        <f>F875</f>
        <v>TRAPASTBUDMD</v>
      </c>
      <c r="H875" s="18">
        <v>2019</v>
      </c>
      <c r="I875" s="18" t="s">
        <v>484</v>
      </c>
      <c r="J875" s="29" t="e">
        <f>-SUMIFS('TRA RESID'!$P:$P,'TRA RESID'!$I:$I,G876,'TRA RESID'!$J:$J,D876,'TRA RESID'!$H:$H,E876)/(SUMIFS('TRA RESID'!$P:$P,'TRA RESID'!$I:$I,G876,'TRA RESID'!$J:$J,D876,'TRA RESID'!$H:$H,E876)+SUMIFS('TRA RESID'!$P:$P,'TRA RESID'!$I:$I,G875,'TRA RESID'!$J:$J,D875,'TRA RESID'!$H:$H,E875))</f>
        <v>#DIV/0!</v>
      </c>
      <c r="K875" s="18">
        <v>0</v>
      </c>
      <c r="L875" s="18">
        <v>5</v>
      </c>
      <c r="N875" s="21">
        <v>1</v>
      </c>
    </row>
    <row r="876" spans="1:14" x14ac:dyDescent="0.25">
      <c r="C876" s="15" t="str">
        <f t="shared" ref="C876:C884" si="87">IF(C875="*",C875,"")</f>
        <v>*</v>
      </c>
      <c r="D876" s="17" t="s">
        <v>487</v>
      </c>
      <c r="E876" s="17" t="str">
        <f>E875</f>
        <v>TRARNG</v>
      </c>
      <c r="F876" s="17" t="str">
        <f>F875</f>
        <v>TRAPASTBUDMD</v>
      </c>
      <c r="G876" s="17" t="str">
        <f>G875</f>
        <v>TRAPASTBUDMD</v>
      </c>
      <c r="H876" s="18">
        <v>2019</v>
      </c>
      <c r="I876" s="18"/>
      <c r="J876" s="20" t="e">
        <f>1-(J875*-1)</f>
        <v>#DIV/0!</v>
      </c>
      <c r="K876" s="18"/>
      <c r="L876" s="18"/>
      <c r="N876" s="21"/>
    </row>
    <row r="877" spans="1:14" x14ac:dyDescent="0.25">
      <c r="C877" s="15" t="str">
        <f t="shared" si="87"/>
        <v>*</v>
      </c>
      <c r="D877" s="17" t="str">
        <f>D875</f>
        <v>*ICEV*</v>
      </c>
      <c r="E877" s="17" t="str">
        <f>E875</f>
        <v>TRARNG</v>
      </c>
      <c r="F877" s="17" t="str">
        <f>F875</f>
        <v>TRAPASTBUDMD</v>
      </c>
      <c r="G877" s="17" t="str">
        <f>G875</f>
        <v>TRAPASTBUDMD</v>
      </c>
      <c r="H877" s="18">
        <v>2025</v>
      </c>
      <c r="I877" s="18"/>
      <c r="J877" s="29" t="e">
        <f>IF(J875=0,-N877+1,J875*N877)</f>
        <v>#DIV/0!</v>
      </c>
      <c r="K877" s="18"/>
      <c r="L877" s="18"/>
      <c r="N877" s="21">
        <v>1.1000000000000001</v>
      </c>
    </row>
    <row r="878" spans="1:14" x14ac:dyDescent="0.25">
      <c r="C878" s="15" t="str">
        <f t="shared" si="87"/>
        <v>*</v>
      </c>
      <c r="D878" s="17" t="s">
        <v>487</v>
      </c>
      <c r="E878" s="17" t="str">
        <f>E877</f>
        <v>TRARNG</v>
      </c>
      <c r="F878" s="17" t="str">
        <f>F877</f>
        <v>TRAPASTBUDMD</v>
      </c>
      <c r="G878" s="17" t="str">
        <f>G877</f>
        <v>TRAPASTBUDMD</v>
      </c>
      <c r="H878" s="18">
        <v>2025</v>
      </c>
      <c r="I878" s="18"/>
      <c r="J878" s="20" t="e">
        <f>1-(J877*-1)</f>
        <v>#DIV/0!</v>
      </c>
      <c r="K878" s="18"/>
      <c r="L878" s="18"/>
      <c r="N878" s="21"/>
    </row>
    <row r="879" spans="1:14" x14ac:dyDescent="0.25">
      <c r="C879" s="15" t="str">
        <f t="shared" si="87"/>
        <v>*</v>
      </c>
      <c r="D879" s="17" t="str">
        <f>D877</f>
        <v>*ICEV*</v>
      </c>
      <c r="E879" s="17" t="str">
        <f>E877</f>
        <v>TRARNG</v>
      </c>
      <c r="F879" s="17" t="str">
        <f>F877</f>
        <v>TRAPASTBUDMD</v>
      </c>
      <c r="G879" s="17" t="str">
        <f>G877</f>
        <v>TRAPASTBUDMD</v>
      </c>
      <c r="H879" s="18">
        <v>2030</v>
      </c>
      <c r="I879" s="18"/>
      <c r="J879" s="29" t="e">
        <f>IF(J875=0,-N879+1,J875*N879)</f>
        <v>#DIV/0!</v>
      </c>
      <c r="K879" s="18"/>
      <c r="L879" s="18"/>
      <c r="N879" s="21">
        <v>1.2</v>
      </c>
    </row>
    <row r="880" spans="1:14" x14ac:dyDescent="0.25">
      <c r="C880" s="15" t="str">
        <f t="shared" si="87"/>
        <v>*</v>
      </c>
      <c r="D880" s="17" t="s">
        <v>487</v>
      </c>
      <c r="E880" s="17" t="str">
        <f>E879</f>
        <v>TRARNG</v>
      </c>
      <c r="F880" s="17" t="str">
        <f>F879</f>
        <v>TRAPASTBUDMD</v>
      </c>
      <c r="G880" s="17" t="str">
        <f>G879</f>
        <v>TRAPASTBUDMD</v>
      </c>
      <c r="H880" s="18">
        <v>2030</v>
      </c>
      <c r="I880" s="18"/>
      <c r="J880" s="20" t="e">
        <f>1-(J879*-1)</f>
        <v>#DIV/0!</v>
      </c>
      <c r="K880" s="18"/>
      <c r="L880" s="18"/>
      <c r="N880" s="21"/>
    </row>
    <row r="881" spans="1:14" x14ac:dyDescent="0.25">
      <c r="C881" s="15" t="str">
        <f t="shared" si="87"/>
        <v>*</v>
      </c>
      <c r="D881" s="17" t="str">
        <f>D879</f>
        <v>*ICEV*</v>
      </c>
      <c r="E881" s="17" t="str">
        <f>E879</f>
        <v>TRARNG</v>
      </c>
      <c r="F881" s="17" t="str">
        <f>F879</f>
        <v>TRAPASTBUDMD</v>
      </c>
      <c r="G881" s="17" t="str">
        <f>G879</f>
        <v>TRAPASTBUDMD</v>
      </c>
      <c r="H881" s="18">
        <v>2040</v>
      </c>
      <c r="I881" s="18"/>
      <c r="J881" s="29" t="e">
        <f>IF(J875=0,-N881+1,J875*N881)</f>
        <v>#DIV/0!</v>
      </c>
      <c r="K881" s="18"/>
      <c r="L881" s="18"/>
      <c r="N881" s="21">
        <v>1.3</v>
      </c>
    </row>
    <row r="882" spans="1:14" x14ac:dyDescent="0.25">
      <c r="C882" s="15" t="str">
        <f t="shared" si="87"/>
        <v>*</v>
      </c>
      <c r="D882" s="17" t="s">
        <v>487</v>
      </c>
      <c r="E882" s="17" t="str">
        <f>E881</f>
        <v>TRARNG</v>
      </c>
      <c r="F882" s="17" t="str">
        <f>F881</f>
        <v>TRAPASTBUDMD</v>
      </c>
      <c r="G882" s="17" t="str">
        <f>G881</f>
        <v>TRAPASTBUDMD</v>
      </c>
      <c r="H882" s="18">
        <v>2040</v>
      </c>
      <c r="I882" s="18"/>
      <c r="J882" s="20" t="e">
        <f>1-(J881*-1)</f>
        <v>#DIV/0!</v>
      </c>
      <c r="K882" s="18"/>
      <c r="L882" s="18"/>
      <c r="N882" s="21"/>
    </row>
    <row r="883" spans="1:14" x14ac:dyDescent="0.25">
      <c r="C883" s="15" t="str">
        <f t="shared" si="87"/>
        <v>*</v>
      </c>
      <c r="D883" s="17" t="str">
        <f>D881</f>
        <v>*ICEV*</v>
      </c>
      <c r="E883" s="17" t="str">
        <f>E881</f>
        <v>TRARNG</v>
      </c>
      <c r="F883" s="17" t="str">
        <f>F881</f>
        <v>TRAPASTBUDMD</v>
      </c>
      <c r="G883" s="17" t="str">
        <f>G881</f>
        <v>TRAPASTBUDMD</v>
      </c>
      <c r="H883" s="18">
        <v>2050</v>
      </c>
      <c r="I883" s="18"/>
      <c r="J883" s="29" t="e">
        <f>IF(J875=0,-N883+1,J875*N883)</f>
        <v>#DIV/0!</v>
      </c>
      <c r="K883" s="18"/>
      <c r="L883" s="18"/>
      <c r="N883" s="21">
        <v>1.4</v>
      </c>
    </row>
    <row r="884" spans="1:14" x14ac:dyDescent="0.25">
      <c r="C884" s="23" t="str">
        <f t="shared" si="87"/>
        <v>*</v>
      </c>
      <c r="D884" s="25" t="s">
        <v>487</v>
      </c>
      <c r="E884" s="25" t="str">
        <f>E883</f>
        <v>TRARNG</v>
      </c>
      <c r="F884" s="25" t="str">
        <f>F883</f>
        <v>TRAPASTBUDMD</v>
      </c>
      <c r="G884" s="25" t="str">
        <f>G883</f>
        <v>TRAPASTBUDMD</v>
      </c>
      <c r="H884" s="26">
        <v>2050</v>
      </c>
      <c r="I884" s="26"/>
      <c r="J884" s="27" t="e">
        <f>1-(J883*-1)</f>
        <v>#DIV/0!</v>
      </c>
      <c r="K884" s="26"/>
      <c r="L884" s="26"/>
      <c r="N884" s="28"/>
    </row>
    <row r="885" spans="1:14" x14ac:dyDescent="0.25">
      <c r="A885">
        <f>A875+1</f>
        <v>89</v>
      </c>
      <c r="C885" s="15" t="str">
        <f>IF(E885="","",IF(SUMIFS('TRA TECH'!M:M,'TRA TECH'!J:J,D886,'TRA TECH'!I:I,F886,'TRA TECH'!H:H,E886)=0,"*",IF(_xlfn.XLOOKUP($A885,Selected_constraint!$A:$A,Selected_constraint!$D:$D)=1,"*",IF(SUMIFS('TRA TECH'!$M:$M,'TRA TECH'!$H:$H,E885,'TRA TECH'!$I:$I,F885)=0,"*",IF(SUMIFS('TRA RESID'!$P:$P,'TRA RESID'!$I:$I,G885,'TRA RESID'!$J:$J,D885,'TRA RESID'!$H:$H,E885)=0,"*","UC_"&amp;SUBSTITUTE(D885,"*","")&amp;"_"&amp;SUBSTITUTE(D885,"*","")&amp;"_"&amp;RIGHT(E885,3)&amp;"_"&amp;F885)))))</f>
        <v>*</v>
      </c>
      <c r="D885" s="17" t="s">
        <v>485</v>
      </c>
      <c r="E885" s="17" t="str">
        <f>_xlfn.XLOOKUP($A885,Selected_constraint!$A:$A,Selected_constraint!$B:$B)</f>
        <v>TRABAF</v>
      </c>
      <c r="F885" s="17" t="str">
        <f>_xlfn.XLOOKUP($A885,Selected_constraint!$A:$A,Selected_constraint!$C:$C)</f>
        <v>TRAPASTBUDMD</v>
      </c>
      <c r="G885" s="17" t="str">
        <f>F885</f>
        <v>TRAPASTBUDMD</v>
      </c>
      <c r="H885" s="18">
        <v>2019</v>
      </c>
      <c r="I885" s="18" t="s">
        <v>484</v>
      </c>
      <c r="J885" s="29" t="e">
        <f>-SUMIFS('TRA RESID'!$P:$P,'TRA RESID'!$I:$I,G886,'TRA RESID'!$J:$J,D886,'TRA RESID'!$H:$H,E886)/(SUMIFS('TRA RESID'!$P:$P,'TRA RESID'!$I:$I,G886,'TRA RESID'!$J:$J,D886,'TRA RESID'!$H:$H,E886)+SUMIFS('TRA RESID'!$P:$P,'TRA RESID'!$I:$I,G885,'TRA RESID'!$J:$J,D885,'TRA RESID'!$H:$H,E885))</f>
        <v>#DIV/0!</v>
      </c>
      <c r="K885" s="18">
        <v>0</v>
      </c>
      <c r="L885" s="18">
        <v>5</v>
      </c>
      <c r="N885" s="21">
        <v>1</v>
      </c>
    </row>
    <row r="886" spans="1:14" x14ac:dyDescent="0.25">
      <c r="C886" s="15" t="str">
        <f t="shared" ref="C886:C894" si="88">IF(C885="*",C885,"")</f>
        <v>*</v>
      </c>
      <c r="D886" s="17" t="s">
        <v>487</v>
      </c>
      <c r="E886" s="17" t="str">
        <f>E885</f>
        <v>TRABAF</v>
      </c>
      <c r="F886" s="17" t="str">
        <f>F885</f>
        <v>TRAPASTBUDMD</v>
      </c>
      <c r="G886" s="17" t="str">
        <f>G885</f>
        <v>TRAPASTBUDMD</v>
      </c>
      <c r="H886" s="18">
        <v>2019</v>
      </c>
      <c r="I886" s="18"/>
      <c r="J886" s="20" t="e">
        <f>1-(J885*-1)</f>
        <v>#DIV/0!</v>
      </c>
      <c r="K886" s="18"/>
      <c r="L886" s="18"/>
      <c r="N886" s="21"/>
    </row>
    <row r="887" spans="1:14" x14ac:dyDescent="0.25">
      <c r="C887" s="15" t="str">
        <f t="shared" si="88"/>
        <v>*</v>
      </c>
      <c r="D887" s="17" t="str">
        <f>D885</f>
        <v>*ICEV*</v>
      </c>
      <c r="E887" s="17" t="str">
        <f>E885</f>
        <v>TRABAF</v>
      </c>
      <c r="F887" s="17" t="str">
        <f>F885</f>
        <v>TRAPASTBUDMD</v>
      </c>
      <c r="G887" s="17" t="str">
        <f>G885</f>
        <v>TRAPASTBUDMD</v>
      </c>
      <c r="H887" s="18">
        <v>2025</v>
      </c>
      <c r="I887" s="18"/>
      <c r="J887" s="29" t="e">
        <f>IF(J885=0,-N887+1,J885*N887)</f>
        <v>#DIV/0!</v>
      </c>
      <c r="K887" s="18"/>
      <c r="L887" s="18"/>
      <c r="N887" s="21">
        <v>1.1000000000000001</v>
      </c>
    </row>
    <row r="888" spans="1:14" x14ac:dyDescent="0.25">
      <c r="C888" s="15" t="str">
        <f t="shared" si="88"/>
        <v>*</v>
      </c>
      <c r="D888" s="17" t="s">
        <v>487</v>
      </c>
      <c r="E888" s="17" t="str">
        <f>E887</f>
        <v>TRABAF</v>
      </c>
      <c r="F888" s="17" t="str">
        <f>F887</f>
        <v>TRAPASTBUDMD</v>
      </c>
      <c r="G888" s="17" t="str">
        <f>G887</f>
        <v>TRAPASTBUDMD</v>
      </c>
      <c r="H888" s="18">
        <v>2025</v>
      </c>
      <c r="I888" s="18"/>
      <c r="J888" s="20" t="e">
        <f>1-(J887*-1)</f>
        <v>#DIV/0!</v>
      </c>
      <c r="K888" s="18"/>
      <c r="L888" s="18"/>
      <c r="N888" s="21"/>
    </row>
    <row r="889" spans="1:14" x14ac:dyDescent="0.25">
      <c r="C889" s="15" t="str">
        <f t="shared" si="88"/>
        <v>*</v>
      </c>
      <c r="D889" s="17" t="str">
        <f>D887</f>
        <v>*ICEV*</v>
      </c>
      <c r="E889" s="17" t="str">
        <f>E887</f>
        <v>TRABAF</v>
      </c>
      <c r="F889" s="17" t="str">
        <f>F887</f>
        <v>TRAPASTBUDMD</v>
      </c>
      <c r="G889" s="17" t="str">
        <f>G887</f>
        <v>TRAPASTBUDMD</v>
      </c>
      <c r="H889" s="18">
        <v>2030</v>
      </c>
      <c r="I889" s="18"/>
      <c r="J889" s="29" t="e">
        <f>IF(J885=0,-N889+1,J885*N889)</f>
        <v>#DIV/0!</v>
      </c>
      <c r="K889" s="18"/>
      <c r="L889" s="18"/>
      <c r="N889" s="21">
        <v>1.2</v>
      </c>
    </row>
    <row r="890" spans="1:14" x14ac:dyDescent="0.25">
      <c r="C890" s="15" t="str">
        <f t="shared" si="88"/>
        <v>*</v>
      </c>
      <c r="D890" s="17" t="s">
        <v>487</v>
      </c>
      <c r="E890" s="17" t="str">
        <f>E889</f>
        <v>TRABAF</v>
      </c>
      <c r="F890" s="17" t="str">
        <f>F889</f>
        <v>TRAPASTBUDMD</v>
      </c>
      <c r="G890" s="17" t="str">
        <f>G889</f>
        <v>TRAPASTBUDMD</v>
      </c>
      <c r="H890" s="18">
        <v>2030</v>
      </c>
      <c r="I890" s="18"/>
      <c r="J890" s="20" t="e">
        <f>1-(J889*-1)</f>
        <v>#DIV/0!</v>
      </c>
      <c r="K890" s="18"/>
      <c r="L890" s="18"/>
      <c r="N890" s="21"/>
    </row>
    <row r="891" spans="1:14" x14ac:dyDescent="0.25">
      <c r="C891" s="15" t="str">
        <f t="shared" si="88"/>
        <v>*</v>
      </c>
      <c r="D891" s="17" t="str">
        <f>D889</f>
        <v>*ICEV*</v>
      </c>
      <c r="E891" s="17" t="str">
        <f>E889</f>
        <v>TRABAF</v>
      </c>
      <c r="F891" s="17" t="str">
        <f>F889</f>
        <v>TRAPASTBUDMD</v>
      </c>
      <c r="G891" s="17" t="str">
        <f>G889</f>
        <v>TRAPASTBUDMD</v>
      </c>
      <c r="H891" s="18">
        <v>2040</v>
      </c>
      <c r="I891" s="18"/>
      <c r="J891" s="29" t="e">
        <f>IF(J885=0,-N891+1,J885*N891)</f>
        <v>#DIV/0!</v>
      </c>
      <c r="K891" s="18"/>
      <c r="L891" s="18"/>
      <c r="N891" s="21">
        <v>1.3</v>
      </c>
    </row>
    <row r="892" spans="1:14" x14ac:dyDescent="0.25">
      <c r="C892" s="15" t="str">
        <f t="shared" si="88"/>
        <v>*</v>
      </c>
      <c r="D892" s="17" t="s">
        <v>487</v>
      </c>
      <c r="E892" s="17" t="str">
        <f>E891</f>
        <v>TRABAF</v>
      </c>
      <c r="F892" s="17" t="str">
        <f>F891</f>
        <v>TRAPASTBUDMD</v>
      </c>
      <c r="G892" s="17" t="str">
        <f>G891</f>
        <v>TRAPASTBUDMD</v>
      </c>
      <c r="H892" s="18">
        <v>2040</v>
      </c>
      <c r="I892" s="18"/>
      <c r="J892" s="20" t="e">
        <f>1-(J891*-1)</f>
        <v>#DIV/0!</v>
      </c>
      <c r="K892" s="18"/>
      <c r="L892" s="18"/>
      <c r="N892" s="21"/>
    </row>
    <row r="893" spans="1:14" x14ac:dyDescent="0.25">
      <c r="C893" s="15" t="str">
        <f t="shared" si="88"/>
        <v>*</v>
      </c>
      <c r="D893" s="17" t="str">
        <f>D891</f>
        <v>*ICEV*</v>
      </c>
      <c r="E893" s="17" t="str">
        <f>E891</f>
        <v>TRABAF</v>
      </c>
      <c r="F893" s="17" t="str">
        <f>F891</f>
        <v>TRAPASTBUDMD</v>
      </c>
      <c r="G893" s="17" t="str">
        <f>G891</f>
        <v>TRAPASTBUDMD</v>
      </c>
      <c r="H893" s="18">
        <v>2050</v>
      </c>
      <c r="I893" s="18"/>
      <c r="J893" s="29" t="e">
        <f>IF(J885=0,-N893+1,J885*N893)</f>
        <v>#DIV/0!</v>
      </c>
      <c r="K893" s="18"/>
      <c r="L893" s="18"/>
      <c r="N893" s="21">
        <v>1.4</v>
      </c>
    </row>
    <row r="894" spans="1:14" x14ac:dyDescent="0.25">
      <c r="C894" s="23" t="str">
        <f t="shared" si="88"/>
        <v>*</v>
      </c>
      <c r="D894" s="25" t="s">
        <v>487</v>
      </c>
      <c r="E894" s="25" t="str">
        <f>E893</f>
        <v>TRABAF</v>
      </c>
      <c r="F894" s="25" t="str">
        <f>F893</f>
        <v>TRAPASTBUDMD</v>
      </c>
      <c r="G894" s="25" t="str">
        <f>G893</f>
        <v>TRAPASTBUDMD</v>
      </c>
      <c r="H894" s="26">
        <v>2050</v>
      </c>
      <c r="I894" s="26"/>
      <c r="J894" s="27" t="e">
        <f>1-(J893*-1)</f>
        <v>#DIV/0!</v>
      </c>
      <c r="K894" s="26"/>
      <c r="L894" s="26"/>
      <c r="N894" s="28"/>
    </row>
    <row r="895" spans="1:14" x14ac:dyDescent="0.25">
      <c r="A895">
        <f>A885+1</f>
        <v>90</v>
      </c>
      <c r="C895" s="15" t="str">
        <f>IF(E895="","",IF(SUMIFS('TRA TECH'!M:M,'TRA TECH'!J:J,D896,'TRA TECH'!I:I,F896,'TRA TECH'!H:H,E896)=0,"*",IF(_xlfn.XLOOKUP($A895,Selected_constraint!$A:$A,Selected_constraint!$D:$D)=1,"*",IF(SUMIFS('TRA TECH'!$M:$M,'TRA TECH'!$H:$H,E895,'TRA TECH'!$I:$I,F895)=0,"*",IF(SUMIFS('TRA RESID'!$P:$P,'TRA RESID'!$I:$I,G895,'TRA RESID'!$J:$J,D895,'TRA RESID'!$H:$H,E895)=0,"*","UC_"&amp;SUBSTITUTE(D895,"*","")&amp;"_"&amp;SUBSTITUTE(D895,"*","")&amp;"_"&amp;RIGHT(E895,3)&amp;"_"&amp;F895)))))</f>
        <v>*</v>
      </c>
      <c r="D895" s="17" t="s">
        <v>485</v>
      </c>
      <c r="E895" s="17" t="str">
        <f>_xlfn.XLOOKUP($A895,Selected_constraint!$A:$A,Selected_constraint!$B:$B)</f>
        <v>TRAH2G</v>
      </c>
      <c r="F895" s="17" t="str">
        <f>_xlfn.XLOOKUP($A895,Selected_constraint!$A:$A,Selected_constraint!$C:$C)</f>
        <v>TRAPASTBUDMD</v>
      </c>
      <c r="G895" s="17" t="str">
        <f>F895</f>
        <v>TRAPASTBUDMD</v>
      </c>
      <c r="H895" s="18">
        <v>2019</v>
      </c>
      <c r="I895" s="18" t="s">
        <v>484</v>
      </c>
      <c r="J895" s="29" t="e">
        <f>-SUMIFS('TRA RESID'!$P:$P,'TRA RESID'!$I:$I,G896,'TRA RESID'!$J:$J,D896,'TRA RESID'!$H:$H,E896)/(SUMIFS('TRA RESID'!$P:$P,'TRA RESID'!$I:$I,G896,'TRA RESID'!$J:$J,D896,'TRA RESID'!$H:$H,E896)+SUMIFS('TRA RESID'!$P:$P,'TRA RESID'!$I:$I,G895,'TRA RESID'!$J:$J,D895,'TRA RESID'!$H:$H,E895))</f>
        <v>#DIV/0!</v>
      </c>
      <c r="K895" s="18">
        <v>0</v>
      </c>
      <c r="L895" s="18">
        <v>5</v>
      </c>
      <c r="N895" s="21">
        <v>1</v>
      </c>
    </row>
    <row r="896" spans="1:14" x14ac:dyDescent="0.25">
      <c r="C896" s="15" t="str">
        <f t="shared" ref="C896:C904" si="89">IF(C895="*",C895,"")</f>
        <v>*</v>
      </c>
      <c r="D896" s="17" t="s">
        <v>487</v>
      </c>
      <c r="E896" s="17" t="str">
        <f>E895</f>
        <v>TRAH2G</v>
      </c>
      <c r="F896" s="17" t="str">
        <f>F895</f>
        <v>TRAPASTBUDMD</v>
      </c>
      <c r="G896" s="17" t="str">
        <f>G895</f>
        <v>TRAPASTBUDMD</v>
      </c>
      <c r="H896" s="18">
        <v>2019</v>
      </c>
      <c r="I896" s="18"/>
      <c r="J896" s="20" t="e">
        <f>1-(J895*-1)</f>
        <v>#DIV/0!</v>
      </c>
      <c r="K896" s="18"/>
      <c r="L896" s="18"/>
      <c r="N896" s="21"/>
    </row>
    <row r="897" spans="1:14" x14ac:dyDescent="0.25">
      <c r="C897" s="15" t="str">
        <f t="shared" si="89"/>
        <v>*</v>
      </c>
      <c r="D897" s="17" t="str">
        <f>D895</f>
        <v>*ICEV*</v>
      </c>
      <c r="E897" s="17" t="str">
        <f>E895</f>
        <v>TRAH2G</v>
      </c>
      <c r="F897" s="17" t="str">
        <f>F895</f>
        <v>TRAPASTBUDMD</v>
      </c>
      <c r="G897" s="17" t="str">
        <f>G895</f>
        <v>TRAPASTBUDMD</v>
      </c>
      <c r="H897" s="18">
        <v>2025</v>
      </c>
      <c r="I897" s="18"/>
      <c r="J897" s="29" t="e">
        <f>IF(J895=0,-N897+1,J895*N897)</f>
        <v>#DIV/0!</v>
      </c>
      <c r="K897" s="18"/>
      <c r="L897" s="18"/>
      <c r="N897" s="21">
        <v>1.1000000000000001</v>
      </c>
    </row>
    <row r="898" spans="1:14" x14ac:dyDescent="0.25">
      <c r="C898" s="15" t="str">
        <f t="shared" si="89"/>
        <v>*</v>
      </c>
      <c r="D898" s="17" t="s">
        <v>487</v>
      </c>
      <c r="E898" s="17" t="str">
        <f>E897</f>
        <v>TRAH2G</v>
      </c>
      <c r="F898" s="17" t="str">
        <f>F897</f>
        <v>TRAPASTBUDMD</v>
      </c>
      <c r="G898" s="17" t="str">
        <f>G897</f>
        <v>TRAPASTBUDMD</v>
      </c>
      <c r="H898" s="18">
        <v>2025</v>
      </c>
      <c r="I898" s="18"/>
      <c r="J898" s="20" t="e">
        <f>1-(J897*-1)</f>
        <v>#DIV/0!</v>
      </c>
      <c r="K898" s="18"/>
      <c r="L898" s="18"/>
      <c r="N898" s="21"/>
    </row>
    <row r="899" spans="1:14" x14ac:dyDescent="0.25">
      <c r="C899" s="15" t="str">
        <f t="shared" si="89"/>
        <v>*</v>
      </c>
      <c r="D899" s="17" t="str">
        <f>D897</f>
        <v>*ICEV*</v>
      </c>
      <c r="E899" s="17" t="str">
        <f>E897</f>
        <v>TRAH2G</v>
      </c>
      <c r="F899" s="17" t="str">
        <f>F897</f>
        <v>TRAPASTBUDMD</v>
      </c>
      <c r="G899" s="17" t="str">
        <f>G897</f>
        <v>TRAPASTBUDMD</v>
      </c>
      <c r="H899" s="18">
        <v>2030</v>
      </c>
      <c r="I899" s="18"/>
      <c r="J899" s="29" t="e">
        <f>IF(J895=0,-N899+1,J895*N899)</f>
        <v>#DIV/0!</v>
      </c>
      <c r="K899" s="18"/>
      <c r="L899" s="18"/>
      <c r="N899" s="21">
        <v>1.2</v>
      </c>
    </row>
    <row r="900" spans="1:14" x14ac:dyDescent="0.25">
      <c r="C900" s="15" t="str">
        <f t="shared" si="89"/>
        <v>*</v>
      </c>
      <c r="D900" s="17" t="s">
        <v>487</v>
      </c>
      <c r="E900" s="17" t="str">
        <f>E899</f>
        <v>TRAH2G</v>
      </c>
      <c r="F900" s="17" t="str">
        <f>F899</f>
        <v>TRAPASTBUDMD</v>
      </c>
      <c r="G900" s="17" t="str">
        <f>G899</f>
        <v>TRAPASTBUDMD</v>
      </c>
      <c r="H900" s="18">
        <v>2030</v>
      </c>
      <c r="I900" s="18"/>
      <c r="J900" s="20" t="e">
        <f>1-(J899*-1)</f>
        <v>#DIV/0!</v>
      </c>
      <c r="K900" s="18"/>
      <c r="L900" s="18"/>
      <c r="N900" s="21"/>
    </row>
    <row r="901" spans="1:14" x14ac:dyDescent="0.25">
      <c r="C901" s="15" t="str">
        <f t="shared" si="89"/>
        <v>*</v>
      </c>
      <c r="D901" s="17" t="str">
        <f>D899</f>
        <v>*ICEV*</v>
      </c>
      <c r="E901" s="17" t="str">
        <f>E899</f>
        <v>TRAH2G</v>
      </c>
      <c r="F901" s="17" t="str">
        <f>F899</f>
        <v>TRAPASTBUDMD</v>
      </c>
      <c r="G901" s="17" t="str">
        <f>G899</f>
        <v>TRAPASTBUDMD</v>
      </c>
      <c r="H901" s="18">
        <v>2040</v>
      </c>
      <c r="I901" s="18"/>
      <c r="J901" s="29" t="e">
        <f>IF(J895=0,-N901+1,J895*N901)</f>
        <v>#DIV/0!</v>
      </c>
      <c r="K901" s="18"/>
      <c r="L901" s="18"/>
      <c r="N901" s="21">
        <v>1.3</v>
      </c>
    </row>
    <row r="902" spans="1:14" x14ac:dyDescent="0.25">
      <c r="C902" s="15" t="str">
        <f t="shared" si="89"/>
        <v>*</v>
      </c>
      <c r="D902" s="17" t="s">
        <v>487</v>
      </c>
      <c r="E902" s="17" t="str">
        <f>E901</f>
        <v>TRAH2G</v>
      </c>
      <c r="F902" s="17" t="str">
        <f>F901</f>
        <v>TRAPASTBUDMD</v>
      </c>
      <c r="G902" s="17" t="str">
        <f>G901</f>
        <v>TRAPASTBUDMD</v>
      </c>
      <c r="H902" s="18">
        <v>2040</v>
      </c>
      <c r="I902" s="18"/>
      <c r="J902" s="20" t="e">
        <f>1-(J901*-1)</f>
        <v>#DIV/0!</v>
      </c>
      <c r="K902" s="18"/>
      <c r="L902" s="18"/>
      <c r="N902" s="21"/>
    </row>
    <row r="903" spans="1:14" x14ac:dyDescent="0.25">
      <c r="C903" s="15" t="str">
        <f t="shared" si="89"/>
        <v>*</v>
      </c>
      <c r="D903" s="17" t="str">
        <f>D901</f>
        <v>*ICEV*</v>
      </c>
      <c r="E903" s="17" t="str">
        <f>E901</f>
        <v>TRAH2G</v>
      </c>
      <c r="F903" s="17" t="str">
        <f>F901</f>
        <v>TRAPASTBUDMD</v>
      </c>
      <c r="G903" s="17" t="str">
        <f>G901</f>
        <v>TRAPASTBUDMD</v>
      </c>
      <c r="H903" s="18">
        <v>2050</v>
      </c>
      <c r="I903" s="18"/>
      <c r="J903" s="29" t="e">
        <f>IF(J895=0,-N903+1,J895*N903)</f>
        <v>#DIV/0!</v>
      </c>
      <c r="K903" s="18"/>
      <c r="L903" s="18"/>
      <c r="N903" s="21">
        <v>1.4</v>
      </c>
    </row>
    <row r="904" spans="1:14" x14ac:dyDescent="0.25">
      <c r="C904" s="23" t="str">
        <f t="shared" si="89"/>
        <v>*</v>
      </c>
      <c r="D904" s="25" t="s">
        <v>487</v>
      </c>
      <c r="E904" s="25" t="str">
        <f>E903</f>
        <v>TRAH2G</v>
      </c>
      <c r="F904" s="25" t="str">
        <f>F903</f>
        <v>TRAPASTBUDMD</v>
      </c>
      <c r="G904" s="25" t="str">
        <f>G903</f>
        <v>TRAPASTBUDMD</v>
      </c>
      <c r="H904" s="26">
        <v>2050</v>
      </c>
      <c r="I904" s="26"/>
      <c r="J904" s="27" t="e">
        <f>1-(J903*-1)</f>
        <v>#DIV/0!</v>
      </c>
      <c r="K904" s="26"/>
      <c r="L904" s="26"/>
      <c r="N904" s="28"/>
    </row>
    <row r="905" spans="1:14" x14ac:dyDescent="0.25">
      <c r="A905">
        <f>A895+1</f>
        <v>91</v>
      </c>
      <c r="C905" s="15" t="str">
        <f>IF(E905="","",IF(SUMIFS('TRA TECH'!M:M,'TRA TECH'!J:J,D906,'TRA TECH'!I:I,F906,'TRA TECH'!H:H,E906)=0,"*",IF(_xlfn.XLOOKUP($A905,Selected_constraint!$A:$A,Selected_constraint!$D:$D)=1,"*",IF(SUMIFS('TRA TECH'!$M:$M,'TRA TECH'!$H:$H,E905,'TRA TECH'!$I:$I,F905)=0,"*",IF(SUMIFS('TRA RESID'!$P:$P,'TRA RESID'!$I:$I,G905,'TRA RESID'!$J:$J,D905,'TRA RESID'!$H:$H,E905)=0,"*","UC_"&amp;SUBSTITUTE(D905,"*","")&amp;"_"&amp;SUBSTITUTE(D905,"*","")&amp;"_"&amp;RIGHT(E905,3)&amp;"_"&amp;F905)))))</f>
        <v>*</v>
      </c>
      <c r="D905" s="17" t="s">
        <v>485</v>
      </c>
      <c r="E905" s="17" t="str">
        <f>_xlfn.XLOOKUP($A905,Selected_constraint!$A:$A,Selected_constraint!$B:$B)</f>
        <v>TRAGSL</v>
      </c>
      <c r="F905" s="17" t="str">
        <f>_xlfn.XLOOKUP($A905,Selected_constraint!$A:$A,Selected_constraint!$C:$C)</f>
        <v>TRAPASSBUDMD</v>
      </c>
      <c r="G905" s="17" t="str">
        <f>F905</f>
        <v>TRAPASSBUDMD</v>
      </c>
      <c r="H905" s="18">
        <v>2019</v>
      </c>
      <c r="I905" s="18" t="s">
        <v>484</v>
      </c>
      <c r="J905" s="29">
        <f>-SUMIFS('TRA RESID'!$P:$P,'TRA RESID'!$I:$I,G906,'TRA RESID'!$J:$J,D906,'TRA RESID'!$H:$H,E906)/(SUMIFS('TRA RESID'!$P:$P,'TRA RESID'!$I:$I,G906,'TRA RESID'!$J:$J,D906,'TRA RESID'!$H:$H,E906)+SUMIFS('TRA RESID'!$P:$P,'TRA RESID'!$I:$I,G905,'TRA RESID'!$J:$J,D905,'TRA RESID'!$H:$H,E905))</f>
        <v>0</v>
      </c>
      <c r="K905" s="18">
        <v>0</v>
      </c>
      <c r="L905" s="18">
        <v>5</v>
      </c>
      <c r="N905" s="21">
        <v>1</v>
      </c>
    </row>
    <row r="906" spans="1:14" x14ac:dyDescent="0.25">
      <c r="C906" s="15" t="str">
        <f t="shared" ref="C906:C914" si="90">IF(C905="*",C905,"")</f>
        <v>*</v>
      </c>
      <c r="D906" s="17" t="s">
        <v>487</v>
      </c>
      <c r="E906" s="17" t="str">
        <f>E905</f>
        <v>TRAGSL</v>
      </c>
      <c r="F906" s="17" t="str">
        <f>F905</f>
        <v>TRAPASSBUDMD</v>
      </c>
      <c r="G906" s="17" t="str">
        <f>G905</f>
        <v>TRAPASSBUDMD</v>
      </c>
      <c r="H906" s="18">
        <v>2019</v>
      </c>
      <c r="I906" s="18"/>
      <c r="J906" s="20">
        <f>1-(J905*-1)</f>
        <v>1</v>
      </c>
      <c r="K906" s="18"/>
      <c r="L906" s="18"/>
      <c r="N906" s="21"/>
    </row>
    <row r="907" spans="1:14" x14ac:dyDescent="0.25">
      <c r="C907" s="15" t="str">
        <f t="shared" si="90"/>
        <v>*</v>
      </c>
      <c r="D907" s="17" t="str">
        <f>D905</f>
        <v>*ICEV*</v>
      </c>
      <c r="E907" s="17" t="str">
        <f>E905</f>
        <v>TRAGSL</v>
      </c>
      <c r="F907" s="17" t="str">
        <f>F905</f>
        <v>TRAPASSBUDMD</v>
      </c>
      <c r="G907" s="17" t="str">
        <f>G905</f>
        <v>TRAPASSBUDMD</v>
      </c>
      <c r="H907" s="18">
        <v>2025</v>
      </c>
      <c r="I907" s="18"/>
      <c r="J907" s="29">
        <f>IF(J905=0,-N907+1,J905*N907)</f>
        <v>-0.10000000000000009</v>
      </c>
      <c r="K907" s="18"/>
      <c r="L907" s="18"/>
      <c r="N907" s="21">
        <v>1.1000000000000001</v>
      </c>
    </row>
    <row r="908" spans="1:14" x14ac:dyDescent="0.25">
      <c r="C908" s="15" t="str">
        <f t="shared" si="90"/>
        <v>*</v>
      </c>
      <c r="D908" s="17" t="s">
        <v>487</v>
      </c>
      <c r="E908" s="17" t="str">
        <f>E907</f>
        <v>TRAGSL</v>
      </c>
      <c r="F908" s="17" t="str">
        <f>F907</f>
        <v>TRAPASSBUDMD</v>
      </c>
      <c r="G908" s="17" t="str">
        <f>G907</f>
        <v>TRAPASSBUDMD</v>
      </c>
      <c r="H908" s="18">
        <v>2025</v>
      </c>
      <c r="I908" s="18"/>
      <c r="J908" s="20">
        <f>1-(J907*-1)</f>
        <v>0.89999999999999991</v>
      </c>
      <c r="K908" s="18"/>
      <c r="L908" s="18"/>
      <c r="N908" s="21"/>
    </row>
    <row r="909" spans="1:14" x14ac:dyDescent="0.25">
      <c r="C909" s="15" t="str">
        <f t="shared" si="90"/>
        <v>*</v>
      </c>
      <c r="D909" s="17" t="str">
        <f>D907</f>
        <v>*ICEV*</v>
      </c>
      <c r="E909" s="17" t="str">
        <f>E907</f>
        <v>TRAGSL</v>
      </c>
      <c r="F909" s="17" t="str">
        <f>F907</f>
        <v>TRAPASSBUDMD</v>
      </c>
      <c r="G909" s="17" t="str">
        <f>G907</f>
        <v>TRAPASSBUDMD</v>
      </c>
      <c r="H909" s="18">
        <v>2030</v>
      </c>
      <c r="I909" s="18"/>
      <c r="J909" s="29">
        <f>IF(J905=0,-N909+1,J905*N909)</f>
        <v>-0.19999999999999996</v>
      </c>
      <c r="K909" s="18"/>
      <c r="L909" s="18"/>
      <c r="N909" s="21">
        <v>1.2</v>
      </c>
    </row>
    <row r="910" spans="1:14" x14ac:dyDescent="0.25">
      <c r="C910" s="15" t="str">
        <f t="shared" si="90"/>
        <v>*</v>
      </c>
      <c r="D910" s="17" t="s">
        <v>487</v>
      </c>
      <c r="E910" s="17" t="str">
        <f>E909</f>
        <v>TRAGSL</v>
      </c>
      <c r="F910" s="17" t="str">
        <f>F909</f>
        <v>TRAPASSBUDMD</v>
      </c>
      <c r="G910" s="17" t="str">
        <f>G909</f>
        <v>TRAPASSBUDMD</v>
      </c>
      <c r="H910" s="18">
        <v>2030</v>
      </c>
      <c r="I910" s="18"/>
      <c r="J910" s="20">
        <f>1-(J909*-1)</f>
        <v>0.8</v>
      </c>
      <c r="K910" s="18"/>
      <c r="L910" s="18"/>
      <c r="N910" s="21"/>
    </row>
    <row r="911" spans="1:14" x14ac:dyDescent="0.25">
      <c r="C911" s="15" t="str">
        <f t="shared" si="90"/>
        <v>*</v>
      </c>
      <c r="D911" s="17" t="str">
        <f>D909</f>
        <v>*ICEV*</v>
      </c>
      <c r="E911" s="17" t="str">
        <f>E909</f>
        <v>TRAGSL</v>
      </c>
      <c r="F911" s="17" t="str">
        <f>F909</f>
        <v>TRAPASSBUDMD</v>
      </c>
      <c r="G911" s="17" t="str">
        <f>G909</f>
        <v>TRAPASSBUDMD</v>
      </c>
      <c r="H911" s="18">
        <v>2040</v>
      </c>
      <c r="I911" s="18"/>
      <c r="J911" s="29">
        <f>IF(J905=0,-N911+1,J905*N911)</f>
        <v>-0.30000000000000004</v>
      </c>
      <c r="K911" s="18"/>
      <c r="L911" s="18"/>
      <c r="N911" s="21">
        <v>1.3</v>
      </c>
    </row>
    <row r="912" spans="1:14" x14ac:dyDescent="0.25">
      <c r="C912" s="15" t="str">
        <f t="shared" si="90"/>
        <v>*</v>
      </c>
      <c r="D912" s="17" t="s">
        <v>487</v>
      </c>
      <c r="E912" s="17" t="str">
        <f>E911</f>
        <v>TRAGSL</v>
      </c>
      <c r="F912" s="17" t="str">
        <f>F911</f>
        <v>TRAPASSBUDMD</v>
      </c>
      <c r="G912" s="17" t="str">
        <f>G911</f>
        <v>TRAPASSBUDMD</v>
      </c>
      <c r="H912" s="18">
        <v>2040</v>
      </c>
      <c r="I912" s="18"/>
      <c r="J912" s="20">
        <f>1-(J911*-1)</f>
        <v>0.7</v>
      </c>
      <c r="K912" s="18"/>
      <c r="L912" s="18"/>
      <c r="N912" s="21"/>
    </row>
    <row r="913" spans="1:14" x14ac:dyDescent="0.25">
      <c r="C913" s="15" t="str">
        <f t="shared" si="90"/>
        <v>*</v>
      </c>
      <c r="D913" s="17" t="str">
        <f>D911</f>
        <v>*ICEV*</v>
      </c>
      <c r="E913" s="17" t="str">
        <f>E911</f>
        <v>TRAGSL</v>
      </c>
      <c r="F913" s="17" t="str">
        <f>F911</f>
        <v>TRAPASSBUDMD</v>
      </c>
      <c r="G913" s="17" t="str">
        <f>G911</f>
        <v>TRAPASSBUDMD</v>
      </c>
      <c r="H913" s="18">
        <v>2050</v>
      </c>
      <c r="I913" s="18"/>
      <c r="J913" s="29">
        <f>IF(J905=0,-N913+1,J905*N913)</f>
        <v>-0.39999999999999991</v>
      </c>
      <c r="K913" s="18"/>
      <c r="L913" s="18"/>
      <c r="N913" s="21">
        <v>1.4</v>
      </c>
    </row>
    <row r="914" spans="1:14" x14ac:dyDescent="0.25">
      <c r="C914" s="23" t="str">
        <f t="shared" si="90"/>
        <v>*</v>
      </c>
      <c r="D914" s="25" t="s">
        <v>487</v>
      </c>
      <c r="E914" s="25" t="str">
        <f>E913</f>
        <v>TRAGSL</v>
      </c>
      <c r="F914" s="25" t="str">
        <f>F913</f>
        <v>TRAPASSBUDMD</v>
      </c>
      <c r="G914" s="25" t="str">
        <f>G913</f>
        <v>TRAPASSBUDMD</v>
      </c>
      <c r="H914" s="26">
        <v>2050</v>
      </c>
      <c r="I914" s="26"/>
      <c r="J914" s="27">
        <f>1-(J913*-1)</f>
        <v>0.60000000000000009</v>
      </c>
      <c r="K914" s="26"/>
      <c r="L914" s="26"/>
      <c r="N914" s="28"/>
    </row>
    <row r="915" spans="1:14" x14ac:dyDescent="0.25">
      <c r="A915">
        <f>A905+1</f>
        <v>92</v>
      </c>
      <c r="C915" s="15" t="str">
        <f>IF(E915="","",IF(SUMIFS('TRA TECH'!M:M,'TRA TECH'!J:J,D916,'TRA TECH'!I:I,F916,'TRA TECH'!H:H,E916)=0,"*",IF(_xlfn.XLOOKUP($A915,Selected_constraint!$A:$A,Selected_constraint!$D:$D)=1,"*",IF(SUMIFS('TRA TECH'!$M:$M,'TRA TECH'!$H:$H,E915,'TRA TECH'!$I:$I,F915)=0,"*",IF(SUMIFS('TRA RESID'!$P:$P,'TRA RESID'!$I:$I,G915,'TRA RESID'!$J:$J,D915,'TRA RESID'!$H:$H,E915)=0,"*","UC_"&amp;SUBSTITUTE(D915,"*","")&amp;"_"&amp;SUBSTITUTE(D915,"*","")&amp;"_"&amp;RIGHT(E915,3)&amp;"_"&amp;F915)))))</f>
        <v>*</v>
      </c>
      <c r="D915" s="17" t="s">
        <v>485</v>
      </c>
      <c r="E915" s="17" t="str">
        <f>_xlfn.XLOOKUP($A915,Selected_constraint!$A:$A,Selected_constraint!$B:$B)</f>
        <v>TRAETH</v>
      </c>
      <c r="F915" s="17" t="str">
        <f>_xlfn.XLOOKUP($A915,Selected_constraint!$A:$A,Selected_constraint!$C:$C)</f>
        <v>TRAPASSBUDMD</v>
      </c>
      <c r="G915" s="17" t="str">
        <f>F915</f>
        <v>TRAPASSBUDMD</v>
      </c>
      <c r="H915" s="18">
        <v>2019</v>
      </c>
      <c r="I915" s="18" t="s">
        <v>484</v>
      </c>
      <c r="J915" s="29" t="e">
        <f>-SUMIFS('TRA RESID'!$P:$P,'TRA RESID'!$I:$I,G916,'TRA RESID'!$J:$J,D916,'TRA RESID'!$H:$H,E916)/(SUMIFS('TRA RESID'!$P:$P,'TRA RESID'!$I:$I,G916,'TRA RESID'!$J:$J,D916,'TRA RESID'!$H:$H,E916)+SUMIFS('TRA RESID'!$P:$P,'TRA RESID'!$I:$I,G915,'TRA RESID'!$J:$J,D915,'TRA RESID'!$H:$H,E915))</f>
        <v>#DIV/0!</v>
      </c>
      <c r="K915" s="18">
        <v>0</v>
      </c>
      <c r="L915" s="18">
        <v>5</v>
      </c>
      <c r="N915" s="21">
        <v>1</v>
      </c>
    </row>
    <row r="916" spans="1:14" x14ac:dyDescent="0.25">
      <c r="C916" s="15" t="str">
        <f t="shared" ref="C916:C924" si="91">IF(C915="*",C915,"")</f>
        <v>*</v>
      </c>
      <c r="D916" s="17" t="s">
        <v>487</v>
      </c>
      <c r="E916" s="17" t="str">
        <f>E915</f>
        <v>TRAETH</v>
      </c>
      <c r="F916" s="17" t="str">
        <f>F915</f>
        <v>TRAPASSBUDMD</v>
      </c>
      <c r="G916" s="17" t="str">
        <f>G915</f>
        <v>TRAPASSBUDMD</v>
      </c>
      <c r="H916" s="18">
        <v>2019</v>
      </c>
      <c r="I916" s="18"/>
      <c r="J916" s="20" t="e">
        <f>1-(J915*-1)</f>
        <v>#DIV/0!</v>
      </c>
      <c r="K916" s="18"/>
      <c r="L916" s="18"/>
      <c r="N916" s="21"/>
    </row>
    <row r="917" spans="1:14" x14ac:dyDescent="0.25">
      <c r="C917" s="15" t="str">
        <f t="shared" si="91"/>
        <v>*</v>
      </c>
      <c r="D917" s="17" t="str">
        <f>D915</f>
        <v>*ICEV*</v>
      </c>
      <c r="E917" s="17" t="str">
        <f>E915</f>
        <v>TRAETH</v>
      </c>
      <c r="F917" s="17" t="str">
        <f>F915</f>
        <v>TRAPASSBUDMD</v>
      </c>
      <c r="G917" s="17" t="str">
        <f>G915</f>
        <v>TRAPASSBUDMD</v>
      </c>
      <c r="H917" s="18">
        <v>2025</v>
      </c>
      <c r="I917" s="18"/>
      <c r="J917" s="29" t="e">
        <f>IF(J915=0,-N917+1,J915*N917)</f>
        <v>#DIV/0!</v>
      </c>
      <c r="K917" s="18"/>
      <c r="L917" s="18"/>
      <c r="N917" s="21">
        <v>1.1000000000000001</v>
      </c>
    </row>
    <row r="918" spans="1:14" x14ac:dyDescent="0.25">
      <c r="C918" s="15" t="str">
        <f t="shared" si="91"/>
        <v>*</v>
      </c>
      <c r="D918" s="17" t="s">
        <v>487</v>
      </c>
      <c r="E918" s="17" t="str">
        <f>E917</f>
        <v>TRAETH</v>
      </c>
      <c r="F918" s="17" t="str">
        <f>F917</f>
        <v>TRAPASSBUDMD</v>
      </c>
      <c r="G918" s="17" t="str">
        <f>G917</f>
        <v>TRAPASSBUDMD</v>
      </c>
      <c r="H918" s="18">
        <v>2025</v>
      </c>
      <c r="I918" s="18"/>
      <c r="J918" s="20" t="e">
        <f>1-(J917*-1)</f>
        <v>#DIV/0!</v>
      </c>
      <c r="K918" s="18"/>
      <c r="L918" s="18"/>
      <c r="N918" s="21"/>
    </row>
    <row r="919" spans="1:14" x14ac:dyDescent="0.25">
      <c r="C919" s="15" t="str">
        <f t="shared" si="91"/>
        <v>*</v>
      </c>
      <c r="D919" s="17" t="str">
        <f>D917</f>
        <v>*ICEV*</v>
      </c>
      <c r="E919" s="17" t="str">
        <f>E917</f>
        <v>TRAETH</v>
      </c>
      <c r="F919" s="17" t="str">
        <f>F917</f>
        <v>TRAPASSBUDMD</v>
      </c>
      <c r="G919" s="17" t="str">
        <f>G917</f>
        <v>TRAPASSBUDMD</v>
      </c>
      <c r="H919" s="18">
        <v>2030</v>
      </c>
      <c r="I919" s="18"/>
      <c r="J919" s="29" t="e">
        <f>IF(J915=0,-N919+1,J915*N919)</f>
        <v>#DIV/0!</v>
      </c>
      <c r="K919" s="18"/>
      <c r="L919" s="18"/>
      <c r="N919" s="21">
        <v>1.2</v>
      </c>
    </row>
    <row r="920" spans="1:14" x14ac:dyDescent="0.25">
      <c r="C920" s="15" t="str">
        <f t="shared" si="91"/>
        <v>*</v>
      </c>
      <c r="D920" s="17" t="s">
        <v>487</v>
      </c>
      <c r="E920" s="17" t="str">
        <f>E919</f>
        <v>TRAETH</v>
      </c>
      <c r="F920" s="17" t="str">
        <f>F919</f>
        <v>TRAPASSBUDMD</v>
      </c>
      <c r="G920" s="17" t="str">
        <f>G919</f>
        <v>TRAPASSBUDMD</v>
      </c>
      <c r="H920" s="18">
        <v>2030</v>
      </c>
      <c r="I920" s="18"/>
      <c r="J920" s="20" t="e">
        <f>1-(J919*-1)</f>
        <v>#DIV/0!</v>
      </c>
      <c r="K920" s="18"/>
      <c r="L920" s="18"/>
      <c r="N920" s="21"/>
    </row>
    <row r="921" spans="1:14" x14ac:dyDescent="0.25">
      <c r="C921" s="15" t="str">
        <f t="shared" si="91"/>
        <v>*</v>
      </c>
      <c r="D921" s="17" t="str">
        <f>D919</f>
        <v>*ICEV*</v>
      </c>
      <c r="E921" s="17" t="str">
        <f>E919</f>
        <v>TRAETH</v>
      </c>
      <c r="F921" s="17" t="str">
        <f>F919</f>
        <v>TRAPASSBUDMD</v>
      </c>
      <c r="G921" s="17" t="str">
        <f>G919</f>
        <v>TRAPASSBUDMD</v>
      </c>
      <c r="H921" s="18">
        <v>2040</v>
      </c>
      <c r="I921" s="18"/>
      <c r="J921" s="29" t="e">
        <f>IF(J915=0,-N921+1,J915*N921)</f>
        <v>#DIV/0!</v>
      </c>
      <c r="K921" s="18"/>
      <c r="L921" s="18"/>
      <c r="N921" s="21">
        <v>1.3</v>
      </c>
    </row>
    <row r="922" spans="1:14" x14ac:dyDescent="0.25">
      <c r="C922" s="15" t="str">
        <f t="shared" si="91"/>
        <v>*</v>
      </c>
      <c r="D922" s="17" t="s">
        <v>487</v>
      </c>
      <c r="E922" s="17" t="str">
        <f>E921</f>
        <v>TRAETH</v>
      </c>
      <c r="F922" s="17" t="str">
        <f>F921</f>
        <v>TRAPASSBUDMD</v>
      </c>
      <c r="G922" s="17" t="str">
        <f>G921</f>
        <v>TRAPASSBUDMD</v>
      </c>
      <c r="H922" s="18">
        <v>2040</v>
      </c>
      <c r="I922" s="18"/>
      <c r="J922" s="20" t="e">
        <f>1-(J921*-1)</f>
        <v>#DIV/0!</v>
      </c>
      <c r="K922" s="18"/>
      <c r="L922" s="18"/>
      <c r="N922" s="21"/>
    </row>
    <row r="923" spans="1:14" x14ac:dyDescent="0.25">
      <c r="C923" s="15" t="str">
        <f t="shared" si="91"/>
        <v>*</v>
      </c>
      <c r="D923" s="17" t="str">
        <f>D921</f>
        <v>*ICEV*</v>
      </c>
      <c r="E923" s="17" t="str">
        <f>E921</f>
        <v>TRAETH</v>
      </c>
      <c r="F923" s="17" t="str">
        <f>F921</f>
        <v>TRAPASSBUDMD</v>
      </c>
      <c r="G923" s="17" t="str">
        <f>G921</f>
        <v>TRAPASSBUDMD</v>
      </c>
      <c r="H923" s="18">
        <v>2050</v>
      </c>
      <c r="I923" s="18"/>
      <c r="J923" s="29" t="e">
        <f>IF(J915=0,-N923+1,J915*N923)</f>
        <v>#DIV/0!</v>
      </c>
      <c r="K923" s="18"/>
      <c r="L923" s="18"/>
      <c r="N923" s="21">
        <v>1.4</v>
      </c>
    </row>
    <row r="924" spans="1:14" x14ac:dyDescent="0.25">
      <c r="C924" s="23" t="str">
        <f t="shared" si="91"/>
        <v>*</v>
      </c>
      <c r="D924" s="25" t="s">
        <v>487</v>
      </c>
      <c r="E924" s="25" t="str">
        <f>E923</f>
        <v>TRAETH</v>
      </c>
      <c r="F924" s="25" t="str">
        <f>F923</f>
        <v>TRAPASSBUDMD</v>
      </c>
      <c r="G924" s="25" t="str">
        <f>G923</f>
        <v>TRAPASSBUDMD</v>
      </c>
      <c r="H924" s="26">
        <v>2050</v>
      </c>
      <c r="I924" s="26"/>
      <c r="J924" s="27" t="e">
        <f>1-(J923*-1)</f>
        <v>#DIV/0!</v>
      </c>
      <c r="K924" s="26"/>
      <c r="L924" s="26"/>
      <c r="N924" s="28"/>
    </row>
    <row r="925" spans="1:14" x14ac:dyDescent="0.25">
      <c r="A925">
        <f>A915+1</f>
        <v>93</v>
      </c>
      <c r="C925" s="15" t="str">
        <f>IF(E925="","",IF(SUMIFS('TRA TECH'!M:M,'TRA TECH'!J:J,D926,'TRA TECH'!I:I,F926,'TRA TECH'!H:H,E926)=0,"*",IF(_xlfn.XLOOKUP($A925,Selected_constraint!$A:$A,Selected_constraint!$D:$D)=1,"*",IF(SUMIFS('TRA TECH'!$M:$M,'TRA TECH'!$H:$H,E925,'TRA TECH'!$I:$I,F925)=0,"*",IF(SUMIFS('TRA RESID'!$P:$P,'TRA RESID'!$I:$I,G925,'TRA RESID'!$J:$J,D925,'TRA RESID'!$H:$H,E925)=0,"*","UC_"&amp;SUBSTITUTE(D925,"*","")&amp;"_"&amp;SUBSTITUTE(D925,"*","")&amp;"_"&amp;RIGHT(E925,3)&amp;"_"&amp;F925)))))</f>
        <v>UC_ICEV_ICEV_DSL_TRAPASSBUDMD</v>
      </c>
      <c r="D925" s="17" t="s">
        <v>485</v>
      </c>
      <c r="E925" s="17" t="str">
        <f>_xlfn.XLOOKUP($A925,Selected_constraint!$A:$A,Selected_constraint!$B:$B)</f>
        <v>TRADSL</v>
      </c>
      <c r="F925" s="17" t="str">
        <f>_xlfn.XLOOKUP($A925,Selected_constraint!$A:$A,Selected_constraint!$C:$C)</f>
        <v>TRAPASSBUDMD</v>
      </c>
      <c r="G925" s="17" t="str">
        <f>F925</f>
        <v>TRAPASSBUDMD</v>
      </c>
      <c r="H925" s="18">
        <v>2019</v>
      </c>
      <c r="I925" s="18" t="s">
        <v>484</v>
      </c>
      <c r="J925" s="29">
        <f>-SUMIFS('TRA RESID'!$P:$P,'TRA RESID'!$I:$I,G926,'TRA RESID'!$J:$J,D926,'TRA RESID'!$H:$H,E926)/(SUMIFS('TRA RESID'!$P:$P,'TRA RESID'!$I:$I,G926,'TRA RESID'!$J:$J,D926,'TRA RESID'!$H:$H,E926)+SUMIFS('TRA RESID'!$P:$P,'TRA RESID'!$I:$I,G925,'TRA RESID'!$J:$J,D925,'TRA RESID'!$H:$H,E925))</f>
        <v>0</v>
      </c>
      <c r="K925" s="18">
        <v>0</v>
      </c>
      <c r="L925" s="18">
        <v>5</v>
      </c>
      <c r="N925" s="21">
        <v>1</v>
      </c>
    </row>
    <row r="926" spans="1:14" x14ac:dyDescent="0.25">
      <c r="C926" s="15" t="str">
        <f t="shared" ref="C926:C934" si="92">IF(C925="*",C925,"")</f>
        <v/>
      </c>
      <c r="D926" s="17" t="s">
        <v>487</v>
      </c>
      <c r="E926" s="17" t="str">
        <f>E925</f>
        <v>TRADSL</v>
      </c>
      <c r="F926" s="17" t="str">
        <f>F925</f>
        <v>TRAPASSBUDMD</v>
      </c>
      <c r="G926" s="17" t="str">
        <f>G925</f>
        <v>TRAPASSBUDMD</v>
      </c>
      <c r="H926" s="18">
        <v>2019</v>
      </c>
      <c r="I926" s="18"/>
      <c r="J926" s="20">
        <f>1-(J925*-1)</f>
        <v>1</v>
      </c>
      <c r="K926" s="18"/>
      <c r="L926" s="18"/>
      <c r="N926" s="21"/>
    </row>
    <row r="927" spans="1:14" x14ac:dyDescent="0.25">
      <c r="C927" s="15" t="str">
        <f t="shared" si="92"/>
        <v/>
      </c>
      <c r="D927" s="17" t="str">
        <f>D925</f>
        <v>*ICEV*</v>
      </c>
      <c r="E927" s="17" t="str">
        <f>E925</f>
        <v>TRADSL</v>
      </c>
      <c r="F927" s="17" t="str">
        <f>F925</f>
        <v>TRAPASSBUDMD</v>
      </c>
      <c r="G927" s="17" t="str">
        <f>G925</f>
        <v>TRAPASSBUDMD</v>
      </c>
      <c r="H927" s="18">
        <v>2025</v>
      </c>
      <c r="I927" s="18"/>
      <c r="J927" s="29">
        <f>IF(J925=0,-N927+1,J925*N927)</f>
        <v>-0.10000000000000009</v>
      </c>
      <c r="K927" s="18"/>
      <c r="L927" s="18"/>
      <c r="N927" s="21">
        <v>1.1000000000000001</v>
      </c>
    </row>
    <row r="928" spans="1:14" x14ac:dyDescent="0.25">
      <c r="C928" s="15" t="str">
        <f t="shared" si="92"/>
        <v/>
      </c>
      <c r="D928" s="17" t="s">
        <v>487</v>
      </c>
      <c r="E928" s="17" t="str">
        <f>E927</f>
        <v>TRADSL</v>
      </c>
      <c r="F928" s="17" t="str">
        <f>F927</f>
        <v>TRAPASSBUDMD</v>
      </c>
      <c r="G928" s="17" t="str">
        <f>G927</f>
        <v>TRAPASSBUDMD</v>
      </c>
      <c r="H928" s="18">
        <v>2025</v>
      </c>
      <c r="I928" s="18"/>
      <c r="J928" s="20">
        <f>1-(J927*-1)</f>
        <v>0.89999999999999991</v>
      </c>
      <c r="K928" s="18"/>
      <c r="L928" s="18"/>
      <c r="N928" s="21"/>
    </row>
    <row r="929" spans="1:14" x14ac:dyDescent="0.25">
      <c r="C929" s="15" t="str">
        <f t="shared" si="92"/>
        <v/>
      </c>
      <c r="D929" s="17" t="str">
        <f>D927</f>
        <v>*ICEV*</v>
      </c>
      <c r="E929" s="17" t="str">
        <f>E927</f>
        <v>TRADSL</v>
      </c>
      <c r="F929" s="17" t="str">
        <f>F927</f>
        <v>TRAPASSBUDMD</v>
      </c>
      <c r="G929" s="17" t="str">
        <f>G927</f>
        <v>TRAPASSBUDMD</v>
      </c>
      <c r="H929" s="18">
        <v>2030</v>
      </c>
      <c r="I929" s="18"/>
      <c r="J929" s="29">
        <f>IF(J925=0,-N929+1,J925*N929)</f>
        <v>-0.19999999999999996</v>
      </c>
      <c r="K929" s="18"/>
      <c r="L929" s="18"/>
      <c r="N929" s="21">
        <v>1.2</v>
      </c>
    </row>
    <row r="930" spans="1:14" x14ac:dyDescent="0.25">
      <c r="C930" s="15" t="str">
        <f t="shared" si="92"/>
        <v/>
      </c>
      <c r="D930" s="17" t="s">
        <v>487</v>
      </c>
      <c r="E930" s="17" t="str">
        <f>E929</f>
        <v>TRADSL</v>
      </c>
      <c r="F930" s="17" t="str">
        <f>F929</f>
        <v>TRAPASSBUDMD</v>
      </c>
      <c r="G930" s="17" t="str">
        <f>G929</f>
        <v>TRAPASSBUDMD</v>
      </c>
      <c r="H930" s="18">
        <v>2030</v>
      </c>
      <c r="I930" s="18"/>
      <c r="J930" s="20">
        <f>1-(J929*-1)</f>
        <v>0.8</v>
      </c>
      <c r="K930" s="18"/>
      <c r="L930" s="18"/>
      <c r="N930" s="21"/>
    </row>
    <row r="931" spans="1:14" x14ac:dyDescent="0.25">
      <c r="C931" s="15" t="str">
        <f t="shared" si="92"/>
        <v/>
      </c>
      <c r="D931" s="17" t="str">
        <f>D929</f>
        <v>*ICEV*</v>
      </c>
      <c r="E931" s="17" t="str">
        <f>E929</f>
        <v>TRADSL</v>
      </c>
      <c r="F931" s="17" t="str">
        <f>F929</f>
        <v>TRAPASSBUDMD</v>
      </c>
      <c r="G931" s="17" t="str">
        <f>G929</f>
        <v>TRAPASSBUDMD</v>
      </c>
      <c r="H931" s="18">
        <v>2040</v>
      </c>
      <c r="I931" s="18"/>
      <c r="J931" s="29">
        <f>IF(J925=0,-N931+1,J925*N931)</f>
        <v>-0.30000000000000004</v>
      </c>
      <c r="K931" s="18"/>
      <c r="L931" s="18"/>
      <c r="N931" s="21">
        <v>1.3</v>
      </c>
    </row>
    <row r="932" spans="1:14" x14ac:dyDescent="0.25">
      <c r="C932" s="15" t="str">
        <f t="shared" si="92"/>
        <v/>
      </c>
      <c r="D932" s="17" t="s">
        <v>487</v>
      </c>
      <c r="E932" s="17" t="str">
        <f>E931</f>
        <v>TRADSL</v>
      </c>
      <c r="F932" s="17" t="str">
        <f>F931</f>
        <v>TRAPASSBUDMD</v>
      </c>
      <c r="G932" s="17" t="str">
        <f>G931</f>
        <v>TRAPASSBUDMD</v>
      </c>
      <c r="H932" s="18">
        <v>2040</v>
      </c>
      <c r="I932" s="18"/>
      <c r="J932" s="20">
        <f>1-(J931*-1)</f>
        <v>0.7</v>
      </c>
      <c r="K932" s="18"/>
      <c r="L932" s="18"/>
      <c r="N932" s="21"/>
    </row>
    <row r="933" spans="1:14" x14ac:dyDescent="0.25">
      <c r="C933" s="15" t="str">
        <f t="shared" si="92"/>
        <v/>
      </c>
      <c r="D933" s="17" t="str">
        <f>D931</f>
        <v>*ICEV*</v>
      </c>
      <c r="E933" s="17" t="str">
        <f>E931</f>
        <v>TRADSL</v>
      </c>
      <c r="F933" s="17" t="str">
        <f>F931</f>
        <v>TRAPASSBUDMD</v>
      </c>
      <c r="G933" s="17" t="str">
        <f>G931</f>
        <v>TRAPASSBUDMD</v>
      </c>
      <c r="H933" s="18">
        <v>2050</v>
      </c>
      <c r="I933" s="18"/>
      <c r="J933" s="29">
        <f>IF(J925=0,-N933+1,J925*N933)</f>
        <v>-0.39999999999999991</v>
      </c>
      <c r="K933" s="18"/>
      <c r="L933" s="18"/>
      <c r="N933" s="21">
        <v>1.4</v>
      </c>
    </row>
    <row r="934" spans="1:14" x14ac:dyDescent="0.25">
      <c r="C934" s="23" t="str">
        <f t="shared" si="92"/>
        <v/>
      </c>
      <c r="D934" s="25" t="s">
        <v>487</v>
      </c>
      <c r="E934" s="25" t="str">
        <f>E933</f>
        <v>TRADSL</v>
      </c>
      <c r="F934" s="25" t="str">
        <f>F933</f>
        <v>TRAPASSBUDMD</v>
      </c>
      <c r="G934" s="25" t="str">
        <f>G933</f>
        <v>TRAPASSBUDMD</v>
      </c>
      <c r="H934" s="26">
        <v>2050</v>
      </c>
      <c r="I934" s="26"/>
      <c r="J934" s="27">
        <f>1-(J933*-1)</f>
        <v>0.60000000000000009</v>
      </c>
      <c r="K934" s="26"/>
      <c r="L934" s="26"/>
      <c r="N934" s="28"/>
    </row>
    <row r="935" spans="1:14" x14ac:dyDescent="0.25">
      <c r="A935">
        <f>A925+1</f>
        <v>94</v>
      </c>
      <c r="C935" s="15" t="str">
        <f>IF(E935="","",IF(SUMIFS('TRA TECH'!M:M,'TRA TECH'!J:J,D936,'TRA TECH'!I:I,F936,'TRA TECH'!H:H,E936)=0,"*",IF(_xlfn.XLOOKUP($A935,Selected_constraint!$A:$A,Selected_constraint!$D:$D)=1,"*",IF(SUMIFS('TRA TECH'!$M:$M,'TRA TECH'!$H:$H,E935,'TRA TECH'!$I:$I,F935)=0,"*",IF(SUMIFS('TRA RESID'!$P:$P,'TRA RESID'!$I:$I,G935,'TRA RESID'!$J:$J,D935,'TRA RESID'!$H:$H,E935)=0,"*","UC_"&amp;SUBSTITUTE(D935,"*","")&amp;"_"&amp;SUBSTITUTE(D935,"*","")&amp;"_"&amp;RIGHT(E935,3)&amp;"_"&amp;F935)))))</f>
        <v>*</v>
      </c>
      <c r="D935" s="17" t="s">
        <v>485</v>
      </c>
      <c r="E935" s="17" t="str">
        <f>_xlfn.XLOOKUP($A935,Selected_constraint!$A:$A,Selected_constraint!$B:$B)</f>
        <v>TRARDS</v>
      </c>
      <c r="F935" s="17" t="str">
        <f>_xlfn.XLOOKUP($A935,Selected_constraint!$A:$A,Selected_constraint!$C:$C)</f>
        <v>TRAPASSBUDMD</v>
      </c>
      <c r="G935" s="17" t="str">
        <f>F935</f>
        <v>TRAPASSBUDMD</v>
      </c>
      <c r="H935" s="18">
        <v>2019</v>
      </c>
      <c r="I935" s="18" t="s">
        <v>484</v>
      </c>
      <c r="J935" s="29" t="e">
        <f>-SUMIFS('TRA RESID'!$P:$P,'TRA RESID'!$I:$I,G936,'TRA RESID'!$J:$J,D936,'TRA RESID'!$H:$H,E936)/(SUMIFS('TRA RESID'!$P:$P,'TRA RESID'!$I:$I,G936,'TRA RESID'!$J:$J,D936,'TRA RESID'!$H:$H,E936)+SUMIFS('TRA RESID'!$P:$P,'TRA RESID'!$I:$I,G935,'TRA RESID'!$J:$J,D935,'TRA RESID'!$H:$H,E935))</f>
        <v>#DIV/0!</v>
      </c>
      <c r="K935" s="18">
        <v>0</v>
      </c>
      <c r="L935" s="18">
        <v>5</v>
      </c>
      <c r="N935" s="21">
        <v>1</v>
      </c>
    </row>
    <row r="936" spans="1:14" x14ac:dyDescent="0.25">
      <c r="C936" s="15" t="str">
        <f t="shared" ref="C936:C944" si="93">IF(C935="*",C935,"")</f>
        <v>*</v>
      </c>
      <c r="D936" s="17" t="s">
        <v>487</v>
      </c>
      <c r="E936" s="17" t="str">
        <f>E935</f>
        <v>TRARDS</v>
      </c>
      <c r="F936" s="17" t="str">
        <f>F935</f>
        <v>TRAPASSBUDMD</v>
      </c>
      <c r="G936" s="17" t="str">
        <f>G935</f>
        <v>TRAPASSBUDMD</v>
      </c>
      <c r="H936" s="18">
        <v>2019</v>
      </c>
      <c r="I936" s="18"/>
      <c r="J936" s="20" t="e">
        <f>1-(J935*-1)</f>
        <v>#DIV/0!</v>
      </c>
      <c r="K936" s="18"/>
      <c r="L936" s="18"/>
      <c r="N936" s="21"/>
    </row>
    <row r="937" spans="1:14" x14ac:dyDescent="0.25">
      <c r="C937" s="15" t="str">
        <f t="shared" si="93"/>
        <v>*</v>
      </c>
      <c r="D937" s="17" t="str">
        <f>D935</f>
        <v>*ICEV*</v>
      </c>
      <c r="E937" s="17" t="str">
        <f>E935</f>
        <v>TRARDS</v>
      </c>
      <c r="F937" s="17" t="str">
        <f>F935</f>
        <v>TRAPASSBUDMD</v>
      </c>
      <c r="G937" s="17" t="str">
        <f>G935</f>
        <v>TRAPASSBUDMD</v>
      </c>
      <c r="H937" s="18">
        <v>2025</v>
      </c>
      <c r="I937" s="18"/>
      <c r="J937" s="29" t="e">
        <f>IF(J935=0,-N937+1,J935*N937)</f>
        <v>#DIV/0!</v>
      </c>
      <c r="K937" s="18"/>
      <c r="L937" s="18"/>
      <c r="N937" s="21">
        <v>1.1000000000000001</v>
      </c>
    </row>
    <row r="938" spans="1:14" x14ac:dyDescent="0.25">
      <c r="C938" s="15" t="str">
        <f t="shared" si="93"/>
        <v>*</v>
      </c>
      <c r="D938" s="17" t="s">
        <v>487</v>
      </c>
      <c r="E938" s="17" t="str">
        <f>E937</f>
        <v>TRARDS</v>
      </c>
      <c r="F938" s="17" t="str">
        <f>F937</f>
        <v>TRAPASSBUDMD</v>
      </c>
      <c r="G938" s="17" t="str">
        <f>G937</f>
        <v>TRAPASSBUDMD</v>
      </c>
      <c r="H938" s="18">
        <v>2025</v>
      </c>
      <c r="I938" s="18"/>
      <c r="J938" s="20" t="e">
        <f>1-(J937*-1)</f>
        <v>#DIV/0!</v>
      </c>
      <c r="K938" s="18"/>
      <c r="L938" s="18"/>
      <c r="N938" s="21"/>
    </row>
    <row r="939" spans="1:14" x14ac:dyDescent="0.25">
      <c r="C939" s="15" t="str">
        <f t="shared" si="93"/>
        <v>*</v>
      </c>
      <c r="D939" s="17" t="str">
        <f>D937</f>
        <v>*ICEV*</v>
      </c>
      <c r="E939" s="17" t="str">
        <f>E937</f>
        <v>TRARDS</v>
      </c>
      <c r="F939" s="17" t="str">
        <f>F937</f>
        <v>TRAPASSBUDMD</v>
      </c>
      <c r="G939" s="17" t="str">
        <f>G937</f>
        <v>TRAPASSBUDMD</v>
      </c>
      <c r="H939" s="18">
        <v>2030</v>
      </c>
      <c r="I939" s="18"/>
      <c r="J939" s="29" t="e">
        <f>IF(J935=0,-N939+1,J935*N939)</f>
        <v>#DIV/0!</v>
      </c>
      <c r="K939" s="18"/>
      <c r="L939" s="18"/>
      <c r="N939" s="21">
        <v>1.2</v>
      </c>
    </row>
    <row r="940" spans="1:14" x14ac:dyDescent="0.25">
      <c r="C940" s="15" t="str">
        <f t="shared" si="93"/>
        <v>*</v>
      </c>
      <c r="D940" s="17" t="s">
        <v>487</v>
      </c>
      <c r="E940" s="17" t="str">
        <f>E939</f>
        <v>TRARDS</v>
      </c>
      <c r="F940" s="17" t="str">
        <f>F939</f>
        <v>TRAPASSBUDMD</v>
      </c>
      <c r="G940" s="17" t="str">
        <f>G939</f>
        <v>TRAPASSBUDMD</v>
      </c>
      <c r="H940" s="18">
        <v>2030</v>
      </c>
      <c r="I940" s="18"/>
      <c r="J940" s="20" t="e">
        <f>1-(J939*-1)</f>
        <v>#DIV/0!</v>
      </c>
      <c r="K940" s="18"/>
      <c r="L940" s="18"/>
      <c r="N940" s="21"/>
    </row>
    <row r="941" spans="1:14" x14ac:dyDescent="0.25">
      <c r="C941" s="15" t="str">
        <f t="shared" si="93"/>
        <v>*</v>
      </c>
      <c r="D941" s="17" t="str">
        <f>D939</f>
        <v>*ICEV*</v>
      </c>
      <c r="E941" s="17" t="str">
        <f>E939</f>
        <v>TRARDS</v>
      </c>
      <c r="F941" s="17" t="str">
        <f>F939</f>
        <v>TRAPASSBUDMD</v>
      </c>
      <c r="G941" s="17" t="str">
        <f>G939</f>
        <v>TRAPASSBUDMD</v>
      </c>
      <c r="H941" s="18">
        <v>2040</v>
      </c>
      <c r="I941" s="18"/>
      <c r="J941" s="29" t="e">
        <f>IF(J935=0,-N941+1,J935*N941)</f>
        <v>#DIV/0!</v>
      </c>
      <c r="K941" s="18"/>
      <c r="L941" s="18"/>
      <c r="N941" s="21">
        <v>1.3</v>
      </c>
    </row>
    <row r="942" spans="1:14" x14ac:dyDescent="0.25">
      <c r="C942" s="15" t="str">
        <f t="shared" si="93"/>
        <v>*</v>
      </c>
      <c r="D942" s="17" t="s">
        <v>487</v>
      </c>
      <c r="E942" s="17" t="str">
        <f>E941</f>
        <v>TRARDS</v>
      </c>
      <c r="F942" s="17" t="str">
        <f>F941</f>
        <v>TRAPASSBUDMD</v>
      </c>
      <c r="G942" s="17" t="str">
        <f>G941</f>
        <v>TRAPASSBUDMD</v>
      </c>
      <c r="H942" s="18">
        <v>2040</v>
      </c>
      <c r="I942" s="18"/>
      <c r="J942" s="20" t="e">
        <f>1-(J941*-1)</f>
        <v>#DIV/0!</v>
      </c>
      <c r="K942" s="18"/>
      <c r="L942" s="18"/>
      <c r="N942" s="21"/>
    </row>
    <row r="943" spans="1:14" x14ac:dyDescent="0.25">
      <c r="C943" s="15" t="str">
        <f t="shared" si="93"/>
        <v>*</v>
      </c>
      <c r="D943" s="17" t="str">
        <f>D941</f>
        <v>*ICEV*</v>
      </c>
      <c r="E943" s="17" t="str">
        <f>E941</f>
        <v>TRARDS</v>
      </c>
      <c r="F943" s="17" t="str">
        <f>F941</f>
        <v>TRAPASSBUDMD</v>
      </c>
      <c r="G943" s="17" t="str">
        <f>G941</f>
        <v>TRAPASSBUDMD</v>
      </c>
      <c r="H943" s="18">
        <v>2050</v>
      </c>
      <c r="I943" s="18"/>
      <c r="J943" s="29" t="e">
        <f>IF(J935=0,-N943+1,J935*N943)</f>
        <v>#DIV/0!</v>
      </c>
      <c r="K943" s="18"/>
      <c r="L943" s="18"/>
      <c r="N943" s="21">
        <v>1.4</v>
      </c>
    </row>
    <row r="944" spans="1:14" x14ac:dyDescent="0.25">
      <c r="C944" s="23" t="str">
        <f t="shared" si="93"/>
        <v>*</v>
      </c>
      <c r="D944" s="25" t="s">
        <v>487</v>
      </c>
      <c r="E944" s="25" t="str">
        <f>E943</f>
        <v>TRARDS</v>
      </c>
      <c r="F944" s="25" t="str">
        <f>F943</f>
        <v>TRAPASSBUDMD</v>
      </c>
      <c r="G944" s="25" t="str">
        <f>G943</f>
        <v>TRAPASSBUDMD</v>
      </c>
      <c r="H944" s="26">
        <v>2050</v>
      </c>
      <c r="I944" s="26"/>
      <c r="J944" s="27" t="e">
        <f>1-(J943*-1)</f>
        <v>#DIV/0!</v>
      </c>
      <c r="K944" s="26"/>
      <c r="L944" s="26"/>
      <c r="N944" s="28"/>
    </row>
    <row r="945" spans="1:14" x14ac:dyDescent="0.25">
      <c r="A945">
        <f>A935+1</f>
        <v>95</v>
      </c>
      <c r="C945" s="15" t="str">
        <f>IF(E945="","",IF(SUMIFS('TRA TECH'!M:M,'TRA TECH'!J:J,D946,'TRA TECH'!I:I,F946,'TRA TECH'!H:H,E946)=0,"*",IF(_xlfn.XLOOKUP($A945,Selected_constraint!$A:$A,Selected_constraint!$D:$D)=1,"*",IF(SUMIFS('TRA TECH'!$M:$M,'TRA TECH'!$H:$H,E945,'TRA TECH'!$I:$I,F945)=0,"*",IF(SUMIFS('TRA RESID'!$P:$P,'TRA RESID'!$I:$I,G945,'TRA RESID'!$J:$J,D945,'TRA RESID'!$H:$H,E945)=0,"*","UC_"&amp;SUBSTITUTE(D945,"*","")&amp;"_"&amp;SUBSTITUTE(D945,"*","")&amp;"_"&amp;RIGHT(E945,3)&amp;"_"&amp;F945)))))</f>
        <v>*</v>
      </c>
      <c r="D945" s="17" t="s">
        <v>485</v>
      </c>
      <c r="E945" s="17" t="str">
        <f>_xlfn.XLOOKUP($A945,Selected_constraint!$A:$A,Selected_constraint!$B:$B)</f>
        <v>TRABDS</v>
      </c>
      <c r="F945" s="17" t="str">
        <f>_xlfn.XLOOKUP($A945,Selected_constraint!$A:$A,Selected_constraint!$C:$C)</f>
        <v>TRAPASSBUDMD</v>
      </c>
      <c r="G945" s="17" t="str">
        <f>F945</f>
        <v>TRAPASSBUDMD</v>
      </c>
      <c r="H945" s="18">
        <v>2019</v>
      </c>
      <c r="I945" s="18" t="s">
        <v>484</v>
      </c>
      <c r="J945" s="29" t="e">
        <f>-SUMIFS('TRA RESID'!$P:$P,'TRA RESID'!$I:$I,G946,'TRA RESID'!$J:$J,D946,'TRA RESID'!$H:$H,E946)/(SUMIFS('TRA RESID'!$P:$P,'TRA RESID'!$I:$I,G946,'TRA RESID'!$J:$J,D946,'TRA RESID'!$H:$H,E946)+SUMIFS('TRA RESID'!$P:$P,'TRA RESID'!$I:$I,G945,'TRA RESID'!$J:$J,D945,'TRA RESID'!$H:$H,E945))</f>
        <v>#DIV/0!</v>
      </c>
      <c r="K945" s="18">
        <v>0</v>
      </c>
      <c r="L945" s="18">
        <v>5</v>
      </c>
      <c r="N945" s="21">
        <v>1</v>
      </c>
    </row>
    <row r="946" spans="1:14" x14ac:dyDescent="0.25">
      <c r="C946" s="15" t="str">
        <f t="shared" ref="C946:C954" si="94">IF(C945="*",C945,"")</f>
        <v>*</v>
      </c>
      <c r="D946" s="17" t="s">
        <v>487</v>
      </c>
      <c r="E946" s="17" t="str">
        <f>E945</f>
        <v>TRABDS</v>
      </c>
      <c r="F946" s="17" t="str">
        <f>F945</f>
        <v>TRAPASSBUDMD</v>
      </c>
      <c r="G946" s="17" t="str">
        <f>G945</f>
        <v>TRAPASSBUDMD</v>
      </c>
      <c r="H946" s="18">
        <v>2019</v>
      </c>
      <c r="I946" s="18"/>
      <c r="J946" s="20" t="e">
        <f>1-(J945*-1)</f>
        <v>#DIV/0!</v>
      </c>
      <c r="K946" s="18"/>
      <c r="L946" s="18"/>
      <c r="N946" s="21"/>
    </row>
    <row r="947" spans="1:14" x14ac:dyDescent="0.25">
      <c r="C947" s="15" t="str">
        <f t="shared" si="94"/>
        <v>*</v>
      </c>
      <c r="D947" s="17" t="str">
        <f>D945</f>
        <v>*ICEV*</v>
      </c>
      <c r="E947" s="17" t="str">
        <f>E945</f>
        <v>TRABDS</v>
      </c>
      <c r="F947" s="17" t="str">
        <f>F945</f>
        <v>TRAPASSBUDMD</v>
      </c>
      <c r="G947" s="17" t="str">
        <f>G945</f>
        <v>TRAPASSBUDMD</v>
      </c>
      <c r="H947" s="18">
        <v>2025</v>
      </c>
      <c r="I947" s="18"/>
      <c r="J947" s="29" t="e">
        <f>IF(J945=0,-N947+1,J945*N947)</f>
        <v>#DIV/0!</v>
      </c>
      <c r="K947" s="18"/>
      <c r="L947" s="18"/>
      <c r="N947" s="21">
        <v>1.1000000000000001</v>
      </c>
    </row>
    <row r="948" spans="1:14" x14ac:dyDescent="0.25">
      <c r="C948" s="15" t="str">
        <f t="shared" si="94"/>
        <v>*</v>
      </c>
      <c r="D948" s="17" t="s">
        <v>487</v>
      </c>
      <c r="E948" s="17" t="str">
        <f>E947</f>
        <v>TRABDS</v>
      </c>
      <c r="F948" s="17" t="str">
        <f>F947</f>
        <v>TRAPASSBUDMD</v>
      </c>
      <c r="G948" s="17" t="str">
        <f>G947</f>
        <v>TRAPASSBUDMD</v>
      </c>
      <c r="H948" s="18">
        <v>2025</v>
      </c>
      <c r="I948" s="18"/>
      <c r="J948" s="20" t="e">
        <f>1-(J947*-1)</f>
        <v>#DIV/0!</v>
      </c>
      <c r="K948" s="18"/>
      <c r="L948" s="18"/>
      <c r="N948" s="21"/>
    </row>
    <row r="949" spans="1:14" x14ac:dyDescent="0.25">
      <c r="C949" s="15" t="str">
        <f t="shared" si="94"/>
        <v>*</v>
      </c>
      <c r="D949" s="17" t="str">
        <f>D947</f>
        <v>*ICEV*</v>
      </c>
      <c r="E949" s="17" t="str">
        <f>E947</f>
        <v>TRABDS</v>
      </c>
      <c r="F949" s="17" t="str">
        <f>F947</f>
        <v>TRAPASSBUDMD</v>
      </c>
      <c r="G949" s="17" t="str">
        <f>G947</f>
        <v>TRAPASSBUDMD</v>
      </c>
      <c r="H949" s="18">
        <v>2030</v>
      </c>
      <c r="I949" s="18"/>
      <c r="J949" s="29" t="e">
        <f>IF(J945=0,-N949+1,J945*N949)</f>
        <v>#DIV/0!</v>
      </c>
      <c r="K949" s="18"/>
      <c r="L949" s="18"/>
      <c r="N949" s="21">
        <v>1.2</v>
      </c>
    </row>
    <row r="950" spans="1:14" x14ac:dyDescent="0.25">
      <c r="C950" s="15" t="str">
        <f t="shared" si="94"/>
        <v>*</v>
      </c>
      <c r="D950" s="17" t="s">
        <v>487</v>
      </c>
      <c r="E950" s="17" t="str">
        <f>E949</f>
        <v>TRABDS</v>
      </c>
      <c r="F950" s="17" t="str">
        <f>F949</f>
        <v>TRAPASSBUDMD</v>
      </c>
      <c r="G950" s="17" t="str">
        <f>G949</f>
        <v>TRAPASSBUDMD</v>
      </c>
      <c r="H950" s="18">
        <v>2030</v>
      </c>
      <c r="I950" s="18"/>
      <c r="J950" s="20" t="e">
        <f>1-(J949*-1)</f>
        <v>#DIV/0!</v>
      </c>
      <c r="K950" s="18"/>
      <c r="L950" s="18"/>
      <c r="N950" s="21"/>
    </row>
    <row r="951" spans="1:14" x14ac:dyDescent="0.25">
      <c r="C951" s="15" t="str">
        <f t="shared" si="94"/>
        <v>*</v>
      </c>
      <c r="D951" s="17" t="str">
        <f>D949</f>
        <v>*ICEV*</v>
      </c>
      <c r="E951" s="17" t="str">
        <f>E949</f>
        <v>TRABDS</v>
      </c>
      <c r="F951" s="17" t="str">
        <f>F949</f>
        <v>TRAPASSBUDMD</v>
      </c>
      <c r="G951" s="17" t="str">
        <f>G949</f>
        <v>TRAPASSBUDMD</v>
      </c>
      <c r="H951" s="18">
        <v>2040</v>
      </c>
      <c r="I951" s="18"/>
      <c r="J951" s="29" t="e">
        <f>IF(J945=0,-N951+1,J945*N951)</f>
        <v>#DIV/0!</v>
      </c>
      <c r="K951" s="18"/>
      <c r="L951" s="18"/>
      <c r="N951" s="21">
        <v>1.3</v>
      </c>
    </row>
    <row r="952" spans="1:14" x14ac:dyDescent="0.25">
      <c r="C952" s="15" t="str">
        <f t="shared" si="94"/>
        <v>*</v>
      </c>
      <c r="D952" s="17" t="s">
        <v>487</v>
      </c>
      <c r="E952" s="17" t="str">
        <f>E951</f>
        <v>TRABDS</v>
      </c>
      <c r="F952" s="17" t="str">
        <f>F951</f>
        <v>TRAPASSBUDMD</v>
      </c>
      <c r="G952" s="17" t="str">
        <f>G951</f>
        <v>TRAPASSBUDMD</v>
      </c>
      <c r="H952" s="18">
        <v>2040</v>
      </c>
      <c r="I952" s="18"/>
      <c r="J952" s="20" t="e">
        <f>1-(J951*-1)</f>
        <v>#DIV/0!</v>
      </c>
      <c r="K952" s="18"/>
      <c r="L952" s="18"/>
      <c r="N952" s="21"/>
    </row>
    <row r="953" spans="1:14" x14ac:dyDescent="0.25">
      <c r="C953" s="15" t="str">
        <f t="shared" si="94"/>
        <v>*</v>
      </c>
      <c r="D953" s="17" t="str">
        <f>D951</f>
        <v>*ICEV*</v>
      </c>
      <c r="E953" s="17" t="str">
        <f>E951</f>
        <v>TRABDS</v>
      </c>
      <c r="F953" s="17" t="str">
        <f>F951</f>
        <v>TRAPASSBUDMD</v>
      </c>
      <c r="G953" s="17" t="str">
        <f>G951</f>
        <v>TRAPASSBUDMD</v>
      </c>
      <c r="H953" s="18">
        <v>2050</v>
      </c>
      <c r="I953" s="18"/>
      <c r="J953" s="29" t="e">
        <f>IF(J945=0,-N953+1,J945*N953)</f>
        <v>#DIV/0!</v>
      </c>
      <c r="K953" s="18"/>
      <c r="L953" s="18"/>
      <c r="N953" s="21">
        <v>1.4</v>
      </c>
    </row>
    <row r="954" spans="1:14" x14ac:dyDescent="0.25">
      <c r="C954" s="23" t="str">
        <f t="shared" si="94"/>
        <v>*</v>
      </c>
      <c r="D954" s="25" t="s">
        <v>487</v>
      </c>
      <c r="E954" s="25" t="str">
        <f>E953</f>
        <v>TRABDS</v>
      </c>
      <c r="F954" s="25" t="str">
        <f>F953</f>
        <v>TRAPASSBUDMD</v>
      </c>
      <c r="G954" s="25" t="str">
        <f>G953</f>
        <v>TRAPASSBUDMD</v>
      </c>
      <c r="H954" s="26">
        <v>2050</v>
      </c>
      <c r="I954" s="26"/>
      <c r="J954" s="27" t="e">
        <f>1-(J953*-1)</f>
        <v>#DIV/0!</v>
      </c>
      <c r="K954" s="26"/>
      <c r="L954" s="26"/>
      <c r="N954" s="28"/>
    </row>
    <row r="955" spans="1:14" x14ac:dyDescent="0.25">
      <c r="A955">
        <f>A945+1</f>
        <v>96</v>
      </c>
      <c r="C955" s="15" t="str">
        <f>IF(E955="","",IF(SUMIFS('TRA TECH'!M:M,'TRA TECH'!J:J,D956,'TRA TECH'!I:I,F956,'TRA TECH'!H:H,E956)=0,"*",IF(_xlfn.XLOOKUP($A955,Selected_constraint!$A:$A,Selected_constraint!$D:$D)=1,"*",IF(SUMIFS('TRA TECH'!$M:$M,'TRA TECH'!$H:$H,E955,'TRA TECH'!$I:$I,F955)=0,"*",IF(SUMIFS('TRA RESID'!$P:$P,'TRA RESID'!$I:$I,G955,'TRA RESID'!$J:$J,D955,'TRA RESID'!$H:$H,E955)=0,"*","UC_"&amp;SUBSTITUTE(D955,"*","")&amp;"_"&amp;SUBSTITUTE(D955,"*","")&amp;"_"&amp;RIGHT(E955,3)&amp;"_"&amp;F955)))))</f>
        <v>*</v>
      </c>
      <c r="D955" s="17" t="s">
        <v>485</v>
      </c>
      <c r="E955" s="17" t="str">
        <f>_xlfn.XLOOKUP($A955,Selected_constraint!$A:$A,Selected_constraint!$B:$B)</f>
        <v>TRACNG</v>
      </c>
      <c r="F955" s="17" t="str">
        <f>_xlfn.XLOOKUP($A955,Selected_constraint!$A:$A,Selected_constraint!$C:$C)</f>
        <v>TRAPASSBUDMD</v>
      </c>
      <c r="G955" s="17" t="str">
        <f>F955</f>
        <v>TRAPASSBUDMD</v>
      </c>
      <c r="H955" s="18">
        <v>2019</v>
      </c>
      <c r="I955" s="18" t="s">
        <v>484</v>
      </c>
      <c r="J955" s="29" t="e">
        <f>-SUMIFS('TRA RESID'!$P:$P,'TRA RESID'!$I:$I,G956,'TRA RESID'!$J:$J,D956,'TRA RESID'!$H:$H,E956)/(SUMIFS('TRA RESID'!$P:$P,'TRA RESID'!$I:$I,G956,'TRA RESID'!$J:$J,D956,'TRA RESID'!$H:$H,E956)+SUMIFS('TRA RESID'!$P:$P,'TRA RESID'!$I:$I,G955,'TRA RESID'!$J:$J,D955,'TRA RESID'!$H:$H,E955))</f>
        <v>#DIV/0!</v>
      </c>
      <c r="K955" s="18">
        <v>0</v>
      </c>
      <c r="L955" s="18">
        <v>5</v>
      </c>
      <c r="N955" s="21">
        <v>1</v>
      </c>
    </row>
    <row r="956" spans="1:14" x14ac:dyDescent="0.25">
      <c r="C956" s="15" t="str">
        <f t="shared" ref="C956:C964" si="95">IF(C955="*",C955,"")</f>
        <v>*</v>
      </c>
      <c r="D956" s="17" t="s">
        <v>487</v>
      </c>
      <c r="E956" s="17" t="str">
        <f>E955</f>
        <v>TRACNG</v>
      </c>
      <c r="F956" s="17" t="str">
        <f>F955</f>
        <v>TRAPASSBUDMD</v>
      </c>
      <c r="G956" s="17" t="str">
        <f>G955</f>
        <v>TRAPASSBUDMD</v>
      </c>
      <c r="H956" s="18">
        <v>2019</v>
      </c>
      <c r="I956" s="18"/>
      <c r="J956" s="20" t="e">
        <f>1-(J955*-1)</f>
        <v>#DIV/0!</v>
      </c>
      <c r="K956" s="18"/>
      <c r="L956" s="18"/>
      <c r="N956" s="21"/>
    </row>
    <row r="957" spans="1:14" x14ac:dyDescent="0.25">
      <c r="C957" s="15" t="str">
        <f t="shared" si="95"/>
        <v>*</v>
      </c>
      <c r="D957" s="17" t="str">
        <f>D955</f>
        <v>*ICEV*</v>
      </c>
      <c r="E957" s="17" t="str">
        <f>E955</f>
        <v>TRACNG</v>
      </c>
      <c r="F957" s="17" t="str">
        <f>F955</f>
        <v>TRAPASSBUDMD</v>
      </c>
      <c r="G957" s="17" t="str">
        <f>G955</f>
        <v>TRAPASSBUDMD</v>
      </c>
      <c r="H957" s="18">
        <v>2025</v>
      </c>
      <c r="I957" s="18"/>
      <c r="J957" s="29" t="e">
        <f>IF(J955=0,-N957+1,J955*N957)</f>
        <v>#DIV/0!</v>
      </c>
      <c r="K957" s="18"/>
      <c r="L957" s="18"/>
      <c r="N957" s="21">
        <v>1.1000000000000001</v>
      </c>
    </row>
    <row r="958" spans="1:14" x14ac:dyDescent="0.25">
      <c r="C958" s="15" t="str">
        <f t="shared" si="95"/>
        <v>*</v>
      </c>
      <c r="D958" s="17" t="s">
        <v>487</v>
      </c>
      <c r="E958" s="17" t="str">
        <f>E957</f>
        <v>TRACNG</v>
      </c>
      <c r="F958" s="17" t="str">
        <f>F957</f>
        <v>TRAPASSBUDMD</v>
      </c>
      <c r="G958" s="17" t="str">
        <f>G957</f>
        <v>TRAPASSBUDMD</v>
      </c>
      <c r="H958" s="18">
        <v>2025</v>
      </c>
      <c r="I958" s="18"/>
      <c r="J958" s="20" t="e">
        <f>1-(J957*-1)</f>
        <v>#DIV/0!</v>
      </c>
      <c r="K958" s="18"/>
      <c r="L958" s="18"/>
      <c r="N958" s="21"/>
    </row>
    <row r="959" spans="1:14" x14ac:dyDescent="0.25">
      <c r="C959" s="15" t="str">
        <f t="shared" si="95"/>
        <v>*</v>
      </c>
      <c r="D959" s="17" t="str">
        <f>D957</f>
        <v>*ICEV*</v>
      </c>
      <c r="E959" s="17" t="str">
        <f>E957</f>
        <v>TRACNG</v>
      </c>
      <c r="F959" s="17" t="str">
        <f>F957</f>
        <v>TRAPASSBUDMD</v>
      </c>
      <c r="G959" s="17" t="str">
        <f>G957</f>
        <v>TRAPASSBUDMD</v>
      </c>
      <c r="H959" s="18">
        <v>2030</v>
      </c>
      <c r="I959" s="18"/>
      <c r="J959" s="29" t="e">
        <f>IF(J955=0,-N959+1,J955*N959)</f>
        <v>#DIV/0!</v>
      </c>
      <c r="K959" s="18"/>
      <c r="L959" s="18"/>
      <c r="N959" s="21">
        <v>1.2</v>
      </c>
    </row>
    <row r="960" spans="1:14" x14ac:dyDescent="0.25">
      <c r="C960" s="15" t="str">
        <f t="shared" si="95"/>
        <v>*</v>
      </c>
      <c r="D960" s="17" t="s">
        <v>487</v>
      </c>
      <c r="E960" s="17" t="str">
        <f>E959</f>
        <v>TRACNG</v>
      </c>
      <c r="F960" s="17" t="str">
        <f>F959</f>
        <v>TRAPASSBUDMD</v>
      </c>
      <c r="G960" s="17" t="str">
        <f>G959</f>
        <v>TRAPASSBUDMD</v>
      </c>
      <c r="H960" s="18">
        <v>2030</v>
      </c>
      <c r="I960" s="18"/>
      <c r="J960" s="20" t="e">
        <f>1-(J959*-1)</f>
        <v>#DIV/0!</v>
      </c>
      <c r="K960" s="18"/>
      <c r="L960" s="18"/>
      <c r="N960" s="21"/>
    </row>
    <row r="961" spans="1:14" x14ac:dyDescent="0.25">
      <c r="C961" s="15" t="str">
        <f t="shared" si="95"/>
        <v>*</v>
      </c>
      <c r="D961" s="17" t="str">
        <f>D959</f>
        <v>*ICEV*</v>
      </c>
      <c r="E961" s="17" t="str">
        <f>E959</f>
        <v>TRACNG</v>
      </c>
      <c r="F961" s="17" t="str">
        <f>F959</f>
        <v>TRAPASSBUDMD</v>
      </c>
      <c r="G961" s="17" t="str">
        <f>G959</f>
        <v>TRAPASSBUDMD</v>
      </c>
      <c r="H961" s="18">
        <v>2040</v>
      </c>
      <c r="I961" s="18"/>
      <c r="J961" s="29" t="e">
        <f>IF(J955=0,-N961+1,J955*N961)</f>
        <v>#DIV/0!</v>
      </c>
      <c r="K961" s="18"/>
      <c r="L961" s="18"/>
      <c r="N961" s="21">
        <v>1.3</v>
      </c>
    </row>
    <row r="962" spans="1:14" x14ac:dyDescent="0.25">
      <c r="C962" s="15" t="str">
        <f t="shared" si="95"/>
        <v>*</v>
      </c>
      <c r="D962" s="17" t="s">
        <v>487</v>
      </c>
      <c r="E962" s="17" t="str">
        <f>E961</f>
        <v>TRACNG</v>
      </c>
      <c r="F962" s="17" t="str">
        <f>F961</f>
        <v>TRAPASSBUDMD</v>
      </c>
      <c r="G962" s="17" t="str">
        <f>G961</f>
        <v>TRAPASSBUDMD</v>
      </c>
      <c r="H962" s="18">
        <v>2040</v>
      </c>
      <c r="I962" s="18"/>
      <c r="J962" s="20" t="e">
        <f>1-(J961*-1)</f>
        <v>#DIV/0!</v>
      </c>
      <c r="K962" s="18"/>
      <c r="L962" s="18"/>
      <c r="N962" s="21"/>
    </row>
    <row r="963" spans="1:14" x14ac:dyDescent="0.25">
      <c r="C963" s="15" t="str">
        <f t="shared" si="95"/>
        <v>*</v>
      </c>
      <c r="D963" s="17" t="str">
        <f>D961</f>
        <v>*ICEV*</v>
      </c>
      <c r="E963" s="17" t="str">
        <f>E961</f>
        <v>TRACNG</v>
      </c>
      <c r="F963" s="17" t="str">
        <f>F961</f>
        <v>TRAPASSBUDMD</v>
      </c>
      <c r="G963" s="17" t="str">
        <f>G961</f>
        <v>TRAPASSBUDMD</v>
      </c>
      <c r="H963" s="18">
        <v>2050</v>
      </c>
      <c r="I963" s="18"/>
      <c r="J963" s="29" t="e">
        <f>IF(J955=0,-N963+1,J955*N963)</f>
        <v>#DIV/0!</v>
      </c>
      <c r="K963" s="18"/>
      <c r="L963" s="18"/>
      <c r="N963" s="21">
        <v>1.4</v>
      </c>
    </row>
    <row r="964" spans="1:14" x14ac:dyDescent="0.25">
      <c r="C964" s="23" t="str">
        <f t="shared" si="95"/>
        <v>*</v>
      </c>
      <c r="D964" s="25" t="s">
        <v>487</v>
      </c>
      <c r="E964" s="25" t="str">
        <f>E963</f>
        <v>TRACNG</v>
      </c>
      <c r="F964" s="25" t="str">
        <f>F963</f>
        <v>TRAPASSBUDMD</v>
      </c>
      <c r="G964" s="25" t="str">
        <f>G963</f>
        <v>TRAPASSBUDMD</v>
      </c>
      <c r="H964" s="26">
        <v>2050</v>
      </c>
      <c r="I964" s="26"/>
      <c r="J964" s="27" t="e">
        <f>1-(J963*-1)</f>
        <v>#DIV/0!</v>
      </c>
      <c r="K964" s="26"/>
      <c r="L964" s="26"/>
      <c r="N964" s="28"/>
    </row>
    <row r="965" spans="1:14" x14ac:dyDescent="0.25">
      <c r="A965">
        <f>A955+1</f>
        <v>97</v>
      </c>
      <c r="C965" s="15" t="str">
        <f>IF(E965="","",IF(SUMIFS('TRA TECH'!M:M,'TRA TECH'!J:J,D966,'TRA TECH'!I:I,F966,'TRA TECH'!H:H,E966)=0,"*",IF(_xlfn.XLOOKUP($A965,Selected_constraint!$A:$A,Selected_constraint!$D:$D)=1,"*",IF(SUMIFS('TRA TECH'!$M:$M,'TRA TECH'!$H:$H,E965,'TRA TECH'!$I:$I,F965)=0,"*",IF(SUMIFS('TRA RESID'!$P:$P,'TRA RESID'!$I:$I,G965,'TRA RESID'!$J:$J,D965,'TRA RESID'!$H:$H,E965)=0,"*","UC_"&amp;SUBSTITUTE(D965,"*","")&amp;"_"&amp;SUBSTITUTE(D965,"*","")&amp;"_"&amp;RIGHT(E965,3)&amp;"_"&amp;F965)))))</f>
        <v>*</v>
      </c>
      <c r="D965" s="17" t="s">
        <v>485</v>
      </c>
      <c r="E965" s="17" t="str">
        <f>_xlfn.XLOOKUP($A965,Selected_constraint!$A:$A,Selected_constraint!$B:$B)</f>
        <v>TRARNG</v>
      </c>
      <c r="F965" s="17" t="str">
        <f>_xlfn.XLOOKUP($A965,Selected_constraint!$A:$A,Selected_constraint!$C:$C)</f>
        <v>TRAPASSBUDMD</v>
      </c>
      <c r="G965" s="17" t="str">
        <f>F965</f>
        <v>TRAPASSBUDMD</v>
      </c>
      <c r="H965" s="18">
        <v>2019</v>
      </c>
      <c r="I965" s="18" t="s">
        <v>484</v>
      </c>
      <c r="J965" s="29" t="e">
        <f>-SUMIFS('TRA RESID'!$P:$P,'TRA RESID'!$I:$I,G966,'TRA RESID'!$J:$J,D966,'TRA RESID'!$H:$H,E966)/(SUMIFS('TRA RESID'!$P:$P,'TRA RESID'!$I:$I,G966,'TRA RESID'!$J:$J,D966,'TRA RESID'!$H:$H,E966)+SUMIFS('TRA RESID'!$P:$P,'TRA RESID'!$I:$I,G965,'TRA RESID'!$J:$J,D965,'TRA RESID'!$H:$H,E965))</f>
        <v>#DIV/0!</v>
      </c>
      <c r="K965" s="18">
        <v>0</v>
      </c>
      <c r="L965" s="18">
        <v>5</v>
      </c>
      <c r="N965" s="21">
        <v>1</v>
      </c>
    </row>
    <row r="966" spans="1:14" x14ac:dyDescent="0.25">
      <c r="C966" s="15" t="str">
        <f t="shared" ref="C966:C974" si="96">IF(C965="*",C965,"")</f>
        <v>*</v>
      </c>
      <c r="D966" s="17" t="s">
        <v>487</v>
      </c>
      <c r="E966" s="17" t="str">
        <f>E965</f>
        <v>TRARNG</v>
      </c>
      <c r="F966" s="17" t="str">
        <f>F965</f>
        <v>TRAPASSBUDMD</v>
      </c>
      <c r="G966" s="17" t="str">
        <f>G965</f>
        <v>TRAPASSBUDMD</v>
      </c>
      <c r="H966" s="18">
        <v>2019</v>
      </c>
      <c r="I966" s="18"/>
      <c r="J966" s="20" t="e">
        <f>1-(J965*-1)</f>
        <v>#DIV/0!</v>
      </c>
      <c r="K966" s="18"/>
      <c r="L966" s="18"/>
      <c r="N966" s="21"/>
    </row>
    <row r="967" spans="1:14" x14ac:dyDescent="0.25">
      <c r="C967" s="15" t="str">
        <f t="shared" si="96"/>
        <v>*</v>
      </c>
      <c r="D967" s="17" t="str">
        <f>D965</f>
        <v>*ICEV*</v>
      </c>
      <c r="E967" s="17" t="str">
        <f>E965</f>
        <v>TRARNG</v>
      </c>
      <c r="F967" s="17" t="str">
        <f>F965</f>
        <v>TRAPASSBUDMD</v>
      </c>
      <c r="G967" s="17" t="str">
        <f>G965</f>
        <v>TRAPASSBUDMD</v>
      </c>
      <c r="H967" s="18">
        <v>2025</v>
      </c>
      <c r="I967" s="18"/>
      <c r="J967" s="29" t="e">
        <f>IF(J965=0,-N967+1,J965*N967)</f>
        <v>#DIV/0!</v>
      </c>
      <c r="K967" s="18"/>
      <c r="L967" s="18"/>
      <c r="N967" s="21">
        <v>1.1000000000000001</v>
      </c>
    </row>
    <row r="968" spans="1:14" x14ac:dyDescent="0.25">
      <c r="C968" s="15" t="str">
        <f t="shared" si="96"/>
        <v>*</v>
      </c>
      <c r="D968" s="17" t="s">
        <v>487</v>
      </c>
      <c r="E968" s="17" t="str">
        <f>E967</f>
        <v>TRARNG</v>
      </c>
      <c r="F968" s="17" t="str">
        <f>F967</f>
        <v>TRAPASSBUDMD</v>
      </c>
      <c r="G968" s="17" t="str">
        <f>G967</f>
        <v>TRAPASSBUDMD</v>
      </c>
      <c r="H968" s="18">
        <v>2025</v>
      </c>
      <c r="I968" s="18"/>
      <c r="J968" s="20" t="e">
        <f>1-(J967*-1)</f>
        <v>#DIV/0!</v>
      </c>
      <c r="K968" s="18"/>
      <c r="L968" s="18"/>
      <c r="N968" s="21"/>
    </row>
    <row r="969" spans="1:14" x14ac:dyDescent="0.25">
      <c r="C969" s="15" t="str">
        <f t="shared" si="96"/>
        <v>*</v>
      </c>
      <c r="D969" s="17" t="str">
        <f>D967</f>
        <v>*ICEV*</v>
      </c>
      <c r="E969" s="17" t="str">
        <f>E967</f>
        <v>TRARNG</v>
      </c>
      <c r="F969" s="17" t="str">
        <f>F967</f>
        <v>TRAPASSBUDMD</v>
      </c>
      <c r="G969" s="17" t="str">
        <f>G967</f>
        <v>TRAPASSBUDMD</v>
      </c>
      <c r="H969" s="18">
        <v>2030</v>
      </c>
      <c r="I969" s="18"/>
      <c r="J969" s="29" t="e">
        <f>IF(J965=0,-N969+1,J965*N969)</f>
        <v>#DIV/0!</v>
      </c>
      <c r="K969" s="18"/>
      <c r="L969" s="18"/>
      <c r="N969" s="21">
        <v>1.2</v>
      </c>
    </row>
    <row r="970" spans="1:14" x14ac:dyDescent="0.25">
      <c r="C970" s="15" t="str">
        <f t="shared" si="96"/>
        <v>*</v>
      </c>
      <c r="D970" s="17" t="s">
        <v>487</v>
      </c>
      <c r="E970" s="17" t="str">
        <f>E969</f>
        <v>TRARNG</v>
      </c>
      <c r="F970" s="17" t="str">
        <f>F969</f>
        <v>TRAPASSBUDMD</v>
      </c>
      <c r="G970" s="17" t="str">
        <f>G969</f>
        <v>TRAPASSBUDMD</v>
      </c>
      <c r="H970" s="18">
        <v>2030</v>
      </c>
      <c r="I970" s="18"/>
      <c r="J970" s="20" t="e">
        <f>1-(J969*-1)</f>
        <v>#DIV/0!</v>
      </c>
      <c r="K970" s="18"/>
      <c r="L970" s="18"/>
      <c r="N970" s="21"/>
    </row>
    <row r="971" spans="1:14" x14ac:dyDescent="0.25">
      <c r="C971" s="15" t="str">
        <f t="shared" si="96"/>
        <v>*</v>
      </c>
      <c r="D971" s="17" t="str">
        <f>D969</f>
        <v>*ICEV*</v>
      </c>
      <c r="E971" s="17" t="str">
        <f>E969</f>
        <v>TRARNG</v>
      </c>
      <c r="F971" s="17" t="str">
        <f>F969</f>
        <v>TRAPASSBUDMD</v>
      </c>
      <c r="G971" s="17" t="str">
        <f>G969</f>
        <v>TRAPASSBUDMD</v>
      </c>
      <c r="H971" s="18">
        <v>2040</v>
      </c>
      <c r="I971" s="18"/>
      <c r="J971" s="29" t="e">
        <f>IF(J965=0,-N971+1,J965*N971)</f>
        <v>#DIV/0!</v>
      </c>
      <c r="K971" s="18"/>
      <c r="L971" s="18"/>
      <c r="N971" s="21">
        <v>1.3</v>
      </c>
    </row>
    <row r="972" spans="1:14" x14ac:dyDescent="0.25">
      <c r="C972" s="15" t="str">
        <f t="shared" si="96"/>
        <v>*</v>
      </c>
      <c r="D972" s="17" t="s">
        <v>487</v>
      </c>
      <c r="E972" s="17" t="str">
        <f>E971</f>
        <v>TRARNG</v>
      </c>
      <c r="F972" s="17" t="str">
        <f>F971</f>
        <v>TRAPASSBUDMD</v>
      </c>
      <c r="G972" s="17" t="str">
        <f>G971</f>
        <v>TRAPASSBUDMD</v>
      </c>
      <c r="H972" s="18">
        <v>2040</v>
      </c>
      <c r="I972" s="18"/>
      <c r="J972" s="20" t="e">
        <f>1-(J971*-1)</f>
        <v>#DIV/0!</v>
      </c>
      <c r="K972" s="18"/>
      <c r="L972" s="18"/>
      <c r="N972" s="21"/>
    </row>
    <row r="973" spans="1:14" x14ac:dyDescent="0.25">
      <c r="C973" s="15" t="str">
        <f t="shared" si="96"/>
        <v>*</v>
      </c>
      <c r="D973" s="17" t="str">
        <f>D971</f>
        <v>*ICEV*</v>
      </c>
      <c r="E973" s="17" t="str">
        <f>E971</f>
        <v>TRARNG</v>
      </c>
      <c r="F973" s="17" t="str">
        <f>F971</f>
        <v>TRAPASSBUDMD</v>
      </c>
      <c r="G973" s="17" t="str">
        <f>G971</f>
        <v>TRAPASSBUDMD</v>
      </c>
      <c r="H973" s="18">
        <v>2050</v>
      </c>
      <c r="I973" s="18"/>
      <c r="J973" s="29" t="e">
        <f>IF(J965=0,-N973+1,J965*N973)</f>
        <v>#DIV/0!</v>
      </c>
      <c r="K973" s="18"/>
      <c r="L973" s="18"/>
      <c r="N973" s="21">
        <v>1.4</v>
      </c>
    </row>
    <row r="974" spans="1:14" x14ac:dyDescent="0.25">
      <c r="C974" s="23" t="str">
        <f t="shared" si="96"/>
        <v>*</v>
      </c>
      <c r="D974" s="25" t="s">
        <v>487</v>
      </c>
      <c r="E974" s="25" t="str">
        <f>E973</f>
        <v>TRARNG</v>
      </c>
      <c r="F974" s="25" t="str">
        <f>F973</f>
        <v>TRAPASSBUDMD</v>
      </c>
      <c r="G974" s="25" t="str">
        <f>G973</f>
        <v>TRAPASSBUDMD</v>
      </c>
      <c r="H974" s="26">
        <v>2050</v>
      </c>
      <c r="I974" s="26"/>
      <c r="J974" s="27" t="e">
        <f>1-(J973*-1)</f>
        <v>#DIV/0!</v>
      </c>
      <c r="K974" s="26"/>
      <c r="L974" s="26"/>
      <c r="N974" s="28"/>
    </row>
    <row r="975" spans="1:14" x14ac:dyDescent="0.25">
      <c r="A975">
        <f>A965+1</f>
        <v>98</v>
      </c>
      <c r="C975" s="15" t="str">
        <f>IF(E975="","",IF(SUMIFS('TRA TECH'!M:M,'TRA TECH'!J:J,D976,'TRA TECH'!I:I,F976,'TRA TECH'!H:H,E976)=0,"*",IF(_xlfn.XLOOKUP($A975,Selected_constraint!$A:$A,Selected_constraint!$D:$D)=1,"*",IF(SUMIFS('TRA TECH'!$M:$M,'TRA TECH'!$H:$H,E975,'TRA TECH'!$I:$I,F975)=0,"*",IF(SUMIFS('TRA RESID'!$P:$P,'TRA RESID'!$I:$I,G975,'TRA RESID'!$J:$J,D975,'TRA RESID'!$H:$H,E975)=0,"*","UC_"&amp;SUBSTITUTE(D975,"*","")&amp;"_"&amp;SUBSTITUTE(D975,"*","")&amp;"_"&amp;RIGHT(E975,3)&amp;"_"&amp;F975)))))</f>
        <v>*</v>
      </c>
      <c r="D975" s="17" t="s">
        <v>485</v>
      </c>
      <c r="E975" s="17" t="str">
        <f>_xlfn.XLOOKUP($A975,Selected_constraint!$A:$A,Selected_constraint!$B:$B)</f>
        <v>TRABAF</v>
      </c>
      <c r="F975" s="17" t="str">
        <f>_xlfn.XLOOKUP($A975,Selected_constraint!$A:$A,Selected_constraint!$C:$C)</f>
        <v>TRAPASSBUDMD</v>
      </c>
      <c r="G975" s="17" t="str">
        <f>F975</f>
        <v>TRAPASSBUDMD</v>
      </c>
      <c r="H975" s="18">
        <v>2019</v>
      </c>
      <c r="I975" s="18" t="s">
        <v>484</v>
      </c>
      <c r="J975" s="29" t="e">
        <f>-SUMIFS('TRA RESID'!$P:$P,'TRA RESID'!$I:$I,G976,'TRA RESID'!$J:$J,D976,'TRA RESID'!$H:$H,E976)/(SUMIFS('TRA RESID'!$P:$P,'TRA RESID'!$I:$I,G976,'TRA RESID'!$J:$J,D976,'TRA RESID'!$H:$H,E976)+SUMIFS('TRA RESID'!$P:$P,'TRA RESID'!$I:$I,G975,'TRA RESID'!$J:$J,D975,'TRA RESID'!$H:$H,E975))</f>
        <v>#DIV/0!</v>
      </c>
      <c r="K975" s="18">
        <v>0</v>
      </c>
      <c r="L975" s="18">
        <v>5</v>
      </c>
      <c r="N975" s="21">
        <v>1</v>
      </c>
    </row>
    <row r="976" spans="1:14" x14ac:dyDescent="0.25">
      <c r="C976" s="15" t="str">
        <f t="shared" ref="C976:C984" si="97">IF(C975="*",C975,"")</f>
        <v>*</v>
      </c>
      <c r="D976" s="17" t="s">
        <v>487</v>
      </c>
      <c r="E976" s="17" t="str">
        <f>E975</f>
        <v>TRABAF</v>
      </c>
      <c r="F976" s="17" t="str">
        <f>F975</f>
        <v>TRAPASSBUDMD</v>
      </c>
      <c r="G976" s="17" t="str">
        <f>G975</f>
        <v>TRAPASSBUDMD</v>
      </c>
      <c r="H976" s="18">
        <v>2019</v>
      </c>
      <c r="I976" s="18"/>
      <c r="J976" s="20" t="e">
        <f>1-(J975*-1)</f>
        <v>#DIV/0!</v>
      </c>
      <c r="K976" s="18"/>
      <c r="L976" s="18"/>
      <c r="N976" s="21"/>
    </row>
    <row r="977" spans="1:14" x14ac:dyDescent="0.25">
      <c r="C977" s="15" t="str">
        <f t="shared" si="97"/>
        <v>*</v>
      </c>
      <c r="D977" s="17" t="str">
        <f>D975</f>
        <v>*ICEV*</v>
      </c>
      <c r="E977" s="17" t="str">
        <f>E975</f>
        <v>TRABAF</v>
      </c>
      <c r="F977" s="17" t="str">
        <f>F975</f>
        <v>TRAPASSBUDMD</v>
      </c>
      <c r="G977" s="17" t="str">
        <f>G975</f>
        <v>TRAPASSBUDMD</v>
      </c>
      <c r="H977" s="18">
        <v>2025</v>
      </c>
      <c r="I977" s="18"/>
      <c r="J977" s="29" t="e">
        <f>IF(J975=0,-N977+1,J975*N977)</f>
        <v>#DIV/0!</v>
      </c>
      <c r="K977" s="18"/>
      <c r="L977" s="18"/>
      <c r="N977" s="21">
        <v>1.1000000000000001</v>
      </c>
    </row>
    <row r="978" spans="1:14" x14ac:dyDescent="0.25">
      <c r="C978" s="15" t="str">
        <f t="shared" si="97"/>
        <v>*</v>
      </c>
      <c r="D978" s="17" t="s">
        <v>487</v>
      </c>
      <c r="E978" s="17" t="str">
        <f>E977</f>
        <v>TRABAF</v>
      </c>
      <c r="F978" s="17" t="str">
        <f>F977</f>
        <v>TRAPASSBUDMD</v>
      </c>
      <c r="G978" s="17" t="str">
        <f>G977</f>
        <v>TRAPASSBUDMD</v>
      </c>
      <c r="H978" s="18">
        <v>2025</v>
      </c>
      <c r="I978" s="18"/>
      <c r="J978" s="20" t="e">
        <f>1-(J977*-1)</f>
        <v>#DIV/0!</v>
      </c>
      <c r="K978" s="18"/>
      <c r="L978" s="18"/>
      <c r="N978" s="21"/>
    </row>
    <row r="979" spans="1:14" x14ac:dyDescent="0.25">
      <c r="C979" s="15" t="str">
        <f t="shared" si="97"/>
        <v>*</v>
      </c>
      <c r="D979" s="17" t="str">
        <f>D977</f>
        <v>*ICEV*</v>
      </c>
      <c r="E979" s="17" t="str">
        <f>E977</f>
        <v>TRABAF</v>
      </c>
      <c r="F979" s="17" t="str">
        <f>F977</f>
        <v>TRAPASSBUDMD</v>
      </c>
      <c r="G979" s="17" t="str">
        <f>G977</f>
        <v>TRAPASSBUDMD</v>
      </c>
      <c r="H979" s="18">
        <v>2030</v>
      </c>
      <c r="I979" s="18"/>
      <c r="J979" s="29" t="e">
        <f>IF(J975=0,-N979+1,J975*N979)</f>
        <v>#DIV/0!</v>
      </c>
      <c r="K979" s="18"/>
      <c r="L979" s="18"/>
      <c r="N979" s="21">
        <v>1.2</v>
      </c>
    </row>
    <row r="980" spans="1:14" x14ac:dyDescent="0.25">
      <c r="C980" s="15" t="str">
        <f t="shared" si="97"/>
        <v>*</v>
      </c>
      <c r="D980" s="17" t="s">
        <v>487</v>
      </c>
      <c r="E980" s="17" t="str">
        <f>E979</f>
        <v>TRABAF</v>
      </c>
      <c r="F980" s="17" t="str">
        <f>F979</f>
        <v>TRAPASSBUDMD</v>
      </c>
      <c r="G980" s="17" t="str">
        <f>G979</f>
        <v>TRAPASSBUDMD</v>
      </c>
      <c r="H980" s="18">
        <v>2030</v>
      </c>
      <c r="I980" s="18"/>
      <c r="J980" s="20" t="e">
        <f>1-(J979*-1)</f>
        <v>#DIV/0!</v>
      </c>
      <c r="K980" s="18"/>
      <c r="L980" s="18"/>
      <c r="N980" s="21"/>
    </row>
    <row r="981" spans="1:14" x14ac:dyDescent="0.25">
      <c r="C981" s="15" t="str">
        <f t="shared" si="97"/>
        <v>*</v>
      </c>
      <c r="D981" s="17" t="str">
        <f>D979</f>
        <v>*ICEV*</v>
      </c>
      <c r="E981" s="17" t="str">
        <f>E979</f>
        <v>TRABAF</v>
      </c>
      <c r="F981" s="17" t="str">
        <f>F979</f>
        <v>TRAPASSBUDMD</v>
      </c>
      <c r="G981" s="17" t="str">
        <f>G979</f>
        <v>TRAPASSBUDMD</v>
      </c>
      <c r="H981" s="18">
        <v>2040</v>
      </c>
      <c r="I981" s="18"/>
      <c r="J981" s="29" t="e">
        <f>IF(J975=0,-N981+1,J975*N981)</f>
        <v>#DIV/0!</v>
      </c>
      <c r="K981" s="18"/>
      <c r="L981" s="18"/>
      <c r="N981" s="21">
        <v>1.3</v>
      </c>
    </row>
    <row r="982" spans="1:14" x14ac:dyDescent="0.25">
      <c r="C982" s="15" t="str">
        <f t="shared" si="97"/>
        <v>*</v>
      </c>
      <c r="D982" s="17" t="s">
        <v>487</v>
      </c>
      <c r="E982" s="17" t="str">
        <f>E981</f>
        <v>TRABAF</v>
      </c>
      <c r="F982" s="17" t="str">
        <f>F981</f>
        <v>TRAPASSBUDMD</v>
      </c>
      <c r="G982" s="17" t="str">
        <f>G981</f>
        <v>TRAPASSBUDMD</v>
      </c>
      <c r="H982" s="18">
        <v>2040</v>
      </c>
      <c r="I982" s="18"/>
      <c r="J982" s="20" t="e">
        <f>1-(J981*-1)</f>
        <v>#DIV/0!</v>
      </c>
      <c r="K982" s="18"/>
      <c r="L982" s="18"/>
      <c r="N982" s="21"/>
    </row>
    <row r="983" spans="1:14" x14ac:dyDescent="0.25">
      <c r="C983" s="15" t="str">
        <f t="shared" si="97"/>
        <v>*</v>
      </c>
      <c r="D983" s="17" t="str">
        <f>D981</f>
        <v>*ICEV*</v>
      </c>
      <c r="E983" s="17" t="str">
        <f>E981</f>
        <v>TRABAF</v>
      </c>
      <c r="F983" s="17" t="str">
        <f>F981</f>
        <v>TRAPASSBUDMD</v>
      </c>
      <c r="G983" s="17" t="str">
        <f>G981</f>
        <v>TRAPASSBUDMD</v>
      </c>
      <c r="H983" s="18">
        <v>2050</v>
      </c>
      <c r="I983" s="18"/>
      <c r="J983" s="29" t="e">
        <f>IF(J975=0,-N983+1,J975*N983)</f>
        <v>#DIV/0!</v>
      </c>
      <c r="K983" s="18"/>
      <c r="L983" s="18"/>
      <c r="N983" s="21">
        <v>1.4</v>
      </c>
    </row>
    <row r="984" spans="1:14" x14ac:dyDescent="0.25">
      <c r="C984" s="23" t="str">
        <f t="shared" si="97"/>
        <v>*</v>
      </c>
      <c r="D984" s="25" t="s">
        <v>487</v>
      </c>
      <c r="E984" s="25" t="str">
        <f>E983</f>
        <v>TRABAF</v>
      </c>
      <c r="F984" s="25" t="str">
        <f>F983</f>
        <v>TRAPASSBUDMD</v>
      </c>
      <c r="G984" s="25" t="str">
        <f>G983</f>
        <v>TRAPASSBUDMD</v>
      </c>
      <c r="H984" s="26">
        <v>2050</v>
      </c>
      <c r="I984" s="26"/>
      <c r="J984" s="27" t="e">
        <f>1-(J983*-1)</f>
        <v>#DIV/0!</v>
      </c>
      <c r="K984" s="26"/>
      <c r="L984" s="26"/>
      <c r="N984" s="28"/>
    </row>
    <row r="985" spans="1:14" x14ac:dyDescent="0.25">
      <c r="A985">
        <f>A975+1</f>
        <v>99</v>
      </c>
      <c r="C985" s="15" t="str">
        <f>IF(E985="","",IF(SUMIFS('TRA TECH'!M:M,'TRA TECH'!J:J,D986,'TRA TECH'!I:I,F986,'TRA TECH'!H:H,E986)=0,"*",IF(_xlfn.XLOOKUP($A985,Selected_constraint!$A:$A,Selected_constraint!$D:$D)=1,"*",IF(SUMIFS('TRA TECH'!$M:$M,'TRA TECH'!$H:$H,E985,'TRA TECH'!$I:$I,F985)=0,"*",IF(SUMIFS('TRA RESID'!$P:$P,'TRA RESID'!$I:$I,G985,'TRA RESID'!$J:$J,D985,'TRA RESID'!$H:$H,E985)=0,"*","UC_"&amp;SUBSTITUTE(D985,"*","")&amp;"_"&amp;SUBSTITUTE(D985,"*","")&amp;"_"&amp;RIGHT(E985,3)&amp;"_"&amp;F985)))))</f>
        <v>*</v>
      </c>
      <c r="D985" s="17" t="s">
        <v>485</v>
      </c>
      <c r="E985" s="17" t="str">
        <f>_xlfn.XLOOKUP($A985,Selected_constraint!$A:$A,Selected_constraint!$B:$B)</f>
        <v>TRAH2G</v>
      </c>
      <c r="F985" s="17" t="str">
        <f>_xlfn.XLOOKUP($A985,Selected_constraint!$A:$A,Selected_constraint!$C:$C)</f>
        <v>TRAPASSBUDMD</v>
      </c>
      <c r="G985" s="17" t="str">
        <f>F985</f>
        <v>TRAPASSBUDMD</v>
      </c>
      <c r="H985" s="18">
        <v>2019</v>
      </c>
      <c r="I985" s="18" t="s">
        <v>484</v>
      </c>
      <c r="J985" s="29" t="e">
        <f>-SUMIFS('TRA RESID'!$P:$P,'TRA RESID'!$I:$I,G986,'TRA RESID'!$J:$J,D986,'TRA RESID'!$H:$H,E986)/(SUMIFS('TRA RESID'!$P:$P,'TRA RESID'!$I:$I,G986,'TRA RESID'!$J:$J,D986,'TRA RESID'!$H:$H,E986)+SUMIFS('TRA RESID'!$P:$P,'TRA RESID'!$I:$I,G985,'TRA RESID'!$J:$J,D985,'TRA RESID'!$H:$H,E985))</f>
        <v>#DIV/0!</v>
      </c>
      <c r="K985" s="18">
        <v>0</v>
      </c>
      <c r="L985" s="18">
        <v>5</v>
      </c>
      <c r="N985" s="21">
        <v>1</v>
      </c>
    </row>
    <row r="986" spans="1:14" x14ac:dyDescent="0.25">
      <c r="C986" s="15" t="str">
        <f t="shared" ref="C986:C994" si="98">IF(C985="*",C985,"")</f>
        <v>*</v>
      </c>
      <c r="D986" s="17" t="s">
        <v>487</v>
      </c>
      <c r="E986" s="17" t="str">
        <f>E985</f>
        <v>TRAH2G</v>
      </c>
      <c r="F986" s="17" t="str">
        <f>F985</f>
        <v>TRAPASSBUDMD</v>
      </c>
      <c r="G986" s="17" t="str">
        <f>G985</f>
        <v>TRAPASSBUDMD</v>
      </c>
      <c r="H986" s="18">
        <v>2019</v>
      </c>
      <c r="I986" s="18"/>
      <c r="J986" s="20" t="e">
        <f>1-(J985*-1)</f>
        <v>#DIV/0!</v>
      </c>
      <c r="K986" s="18"/>
      <c r="L986" s="18"/>
      <c r="N986" s="21"/>
    </row>
    <row r="987" spans="1:14" x14ac:dyDescent="0.25">
      <c r="C987" s="15" t="str">
        <f t="shared" si="98"/>
        <v>*</v>
      </c>
      <c r="D987" s="17" t="str">
        <f>D985</f>
        <v>*ICEV*</v>
      </c>
      <c r="E987" s="17" t="str">
        <f>E985</f>
        <v>TRAH2G</v>
      </c>
      <c r="F987" s="17" t="str">
        <f>F985</f>
        <v>TRAPASSBUDMD</v>
      </c>
      <c r="G987" s="17" t="str">
        <f>G985</f>
        <v>TRAPASSBUDMD</v>
      </c>
      <c r="H987" s="18">
        <v>2025</v>
      </c>
      <c r="I987" s="18"/>
      <c r="J987" s="29" t="e">
        <f>IF(J985=0,-N987+1,J985*N987)</f>
        <v>#DIV/0!</v>
      </c>
      <c r="K987" s="18"/>
      <c r="L987" s="18"/>
      <c r="N987" s="21">
        <v>1.1000000000000001</v>
      </c>
    </row>
    <row r="988" spans="1:14" x14ac:dyDescent="0.25">
      <c r="C988" s="15" t="str">
        <f t="shared" si="98"/>
        <v>*</v>
      </c>
      <c r="D988" s="17" t="s">
        <v>487</v>
      </c>
      <c r="E988" s="17" t="str">
        <f>E987</f>
        <v>TRAH2G</v>
      </c>
      <c r="F988" s="17" t="str">
        <f>F987</f>
        <v>TRAPASSBUDMD</v>
      </c>
      <c r="G988" s="17" t="str">
        <f>G987</f>
        <v>TRAPASSBUDMD</v>
      </c>
      <c r="H988" s="18">
        <v>2025</v>
      </c>
      <c r="I988" s="18"/>
      <c r="J988" s="20" t="e">
        <f>1-(J987*-1)</f>
        <v>#DIV/0!</v>
      </c>
      <c r="K988" s="18"/>
      <c r="L988" s="18"/>
      <c r="N988" s="21"/>
    </row>
    <row r="989" spans="1:14" x14ac:dyDescent="0.25">
      <c r="C989" s="15" t="str">
        <f t="shared" si="98"/>
        <v>*</v>
      </c>
      <c r="D989" s="17" t="str">
        <f>D987</f>
        <v>*ICEV*</v>
      </c>
      <c r="E989" s="17" t="str">
        <f>E987</f>
        <v>TRAH2G</v>
      </c>
      <c r="F989" s="17" t="str">
        <f>F987</f>
        <v>TRAPASSBUDMD</v>
      </c>
      <c r="G989" s="17" t="str">
        <f>G987</f>
        <v>TRAPASSBUDMD</v>
      </c>
      <c r="H989" s="18">
        <v>2030</v>
      </c>
      <c r="I989" s="18"/>
      <c r="J989" s="29" t="e">
        <f>IF(J985=0,-N989+1,J985*N989)</f>
        <v>#DIV/0!</v>
      </c>
      <c r="K989" s="18"/>
      <c r="L989" s="18"/>
      <c r="N989" s="21">
        <v>1.2</v>
      </c>
    </row>
    <row r="990" spans="1:14" x14ac:dyDescent="0.25">
      <c r="C990" s="15" t="str">
        <f t="shared" si="98"/>
        <v>*</v>
      </c>
      <c r="D990" s="17" t="s">
        <v>487</v>
      </c>
      <c r="E990" s="17" t="str">
        <f>E989</f>
        <v>TRAH2G</v>
      </c>
      <c r="F990" s="17" t="str">
        <f>F989</f>
        <v>TRAPASSBUDMD</v>
      </c>
      <c r="G990" s="17" t="str">
        <f>G989</f>
        <v>TRAPASSBUDMD</v>
      </c>
      <c r="H990" s="18">
        <v>2030</v>
      </c>
      <c r="I990" s="18"/>
      <c r="J990" s="20" t="e">
        <f>1-(J989*-1)</f>
        <v>#DIV/0!</v>
      </c>
      <c r="K990" s="18"/>
      <c r="L990" s="18"/>
      <c r="N990" s="21"/>
    </row>
    <row r="991" spans="1:14" x14ac:dyDescent="0.25">
      <c r="C991" s="15" t="str">
        <f t="shared" si="98"/>
        <v>*</v>
      </c>
      <c r="D991" s="17" t="str">
        <f>D989</f>
        <v>*ICEV*</v>
      </c>
      <c r="E991" s="17" t="str">
        <f>E989</f>
        <v>TRAH2G</v>
      </c>
      <c r="F991" s="17" t="str">
        <f>F989</f>
        <v>TRAPASSBUDMD</v>
      </c>
      <c r="G991" s="17" t="str">
        <f>G989</f>
        <v>TRAPASSBUDMD</v>
      </c>
      <c r="H991" s="18">
        <v>2040</v>
      </c>
      <c r="I991" s="18"/>
      <c r="J991" s="29" t="e">
        <f>IF(J985=0,-N991+1,J985*N991)</f>
        <v>#DIV/0!</v>
      </c>
      <c r="K991" s="18"/>
      <c r="L991" s="18"/>
      <c r="N991" s="21">
        <v>1.3</v>
      </c>
    </row>
    <row r="992" spans="1:14" x14ac:dyDescent="0.25">
      <c r="C992" s="15" t="str">
        <f t="shared" si="98"/>
        <v>*</v>
      </c>
      <c r="D992" s="17" t="s">
        <v>487</v>
      </c>
      <c r="E992" s="17" t="str">
        <f>E991</f>
        <v>TRAH2G</v>
      </c>
      <c r="F992" s="17" t="str">
        <f>F991</f>
        <v>TRAPASSBUDMD</v>
      </c>
      <c r="G992" s="17" t="str">
        <f>G991</f>
        <v>TRAPASSBUDMD</v>
      </c>
      <c r="H992" s="18">
        <v>2040</v>
      </c>
      <c r="I992" s="18"/>
      <c r="J992" s="20" t="e">
        <f>1-(J991*-1)</f>
        <v>#DIV/0!</v>
      </c>
      <c r="K992" s="18"/>
      <c r="L992" s="18"/>
      <c r="N992" s="21"/>
    </row>
    <row r="993" spans="1:14" x14ac:dyDescent="0.25">
      <c r="C993" s="15" t="str">
        <f t="shared" si="98"/>
        <v>*</v>
      </c>
      <c r="D993" s="17" t="str">
        <f>D991</f>
        <v>*ICEV*</v>
      </c>
      <c r="E993" s="17" t="str">
        <f>E991</f>
        <v>TRAH2G</v>
      </c>
      <c r="F993" s="17" t="str">
        <f>F991</f>
        <v>TRAPASSBUDMD</v>
      </c>
      <c r="G993" s="17" t="str">
        <f>G991</f>
        <v>TRAPASSBUDMD</v>
      </c>
      <c r="H993" s="18">
        <v>2050</v>
      </c>
      <c r="I993" s="18"/>
      <c r="J993" s="29" t="e">
        <f>IF(J985=0,-N993+1,J985*N993)</f>
        <v>#DIV/0!</v>
      </c>
      <c r="K993" s="18"/>
      <c r="L993" s="18"/>
      <c r="N993" s="21">
        <v>1.4</v>
      </c>
    </row>
    <row r="994" spans="1:14" x14ac:dyDescent="0.25">
      <c r="C994" s="23" t="str">
        <f t="shared" si="98"/>
        <v>*</v>
      </c>
      <c r="D994" s="25" t="s">
        <v>487</v>
      </c>
      <c r="E994" s="25" t="str">
        <f>E993</f>
        <v>TRAH2G</v>
      </c>
      <c r="F994" s="25" t="str">
        <f>F993</f>
        <v>TRAPASSBUDMD</v>
      </c>
      <c r="G994" s="25" t="str">
        <f>G993</f>
        <v>TRAPASSBUDMD</v>
      </c>
      <c r="H994" s="26">
        <v>2050</v>
      </c>
      <c r="I994" s="26"/>
      <c r="J994" s="27" t="e">
        <f>1-(J993*-1)</f>
        <v>#DIV/0!</v>
      </c>
      <c r="K994" s="26"/>
      <c r="L994" s="26"/>
      <c r="N994" s="28"/>
    </row>
    <row r="995" spans="1:14" x14ac:dyDescent="0.25">
      <c r="A995">
        <f>A985+1</f>
        <v>100</v>
      </c>
      <c r="C995" s="15" t="str">
        <f>IF(E995="","",IF(SUMIFS('TRA TECH'!M:M,'TRA TECH'!J:J,D996,'TRA TECH'!I:I,F996,'TRA TECH'!H:H,E996)=0,"*",IF(_xlfn.XLOOKUP($A995,Selected_constraint!$A:$A,Selected_constraint!$D:$D)=1,"*",IF(SUMIFS('TRA TECH'!$M:$M,'TRA TECH'!$H:$H,E995,'TRA TECH'!$I:$I,F995)=0,"*",IF(SUMIFS('TRA RESID'!$P:$P,'TRA RESID'!$I:$I,G995,'TRA RESID'!$J:$J,D995,'TRA RESID'!$H:$H,E995)=0,"*","UC_"&amp;SUBSTITUTE(D995,"*","")&amp;"_"&amp;SUBSTITUTE(D995,"*","")&amp;"_"&amp;RIGHT(E995,3)&amp;"_"&amp;F995)))))</f>
        <v>*</v>
      </c>
      <c r="D995" s="17" t="s">
        <v>485</v>
      </c>
      <c r="E995" s="17" t="str">
        <f>_xlfn.XLOOKUP($A995,Selected_constraint!$A:$A,Selected_constraint!$B:$B)</f>
        <v>TRAGSL</v>
      </c>
      <c r="F995" s="17" t="str">
        <f>_xlfn.XLOOKUP($A995,Selected_constraint!$A:$A,Selected_constraint!$C:$C)</f>
        <v>TRAPASOBUDMD</v>
      </c>
      <c r="G995" s="17" t="str">
        <f>F995</f>
        <v>TRAPASOBUDMD</v>
      </c>
      <c r="H995" s="18">
        <v>2019</v>
      </c>
      <c r="I995" s="18" t="s">
        <v>484</v>
      </c>
      <c r="J995" s="29" t="e">
        <f>-SUMIFS('TRA RESID'!$P:$P,'TRA RESID'!$I:$I,G996,'TRA RESID'!$J:$J,D996,'TRA RESID'!$H:$H,E996)/(SUMIFS('TRA RESID'!$P:$P,'TRA RESID'!$I:$I,G996,'TRA RESID'!$J:$J,D996,'TRA RESID'!$H:$H,E996)+SUMIFS('TRA RESID'!$P:$P,'TRA RESID'!$I:$I,G995,'TRA RESID'!$J:$J,D995,'TRA RESID'!$H:$H,E995))</f>
        <v>#DIV/0!</v>
      </c>
      <c r="K995" s="18">
        <v>0</v>
      </c>
      <c r="L995" s="18">
        <v>5</v>
      </c>
      <c r="N995" s="21">
        <v>1</v>
      </c>
    </row>
    <row r="996" spans="1:14" x14ac:dyDescent="0.25">
      <c r="C996" s="15" t="str">
        <f t="shared" ref="C996:C1004" si="99">IF(C995="*",C995,"")</f>
        <v>*</v>
      </c>
      <c r="D996" s="17" t="s">
        <v>487</v>
      </c>
      <c r="E996" s="17" t="str">
        <f>E995</f>
        <v>TRAGSL</v>
      </c>
      <c r="F996" s="17" t="str">
        <f>F995</f>
        <v>TRAPASOBUDMD</v>
      </c>
      <c r="G996" s="17" t="str">
        <f>G995</f>
        <v>TRAPASOBUDMD</v>
      </c>
      <c r="H996" s="18">
        <v>2019</v>
      </c>
      <c r="I996" s="18"/>
      <c r="J996" s="20" t="e">
        <f>1-(J995*-1)</f>
        <v>#DIV/0!</v>
      </c>
      <c r="K996" s="18"/>
      <c r="L996" s="18"/>
      <c r="N996" s="21"/>
    </row>
    <row r="997" spans="1:14" x14ac:dyDescent="0.25">
      <c r="C997" s="15" t="str">
        <f t="shared" si="99"/>
        <v>*</v>
      </c>
      <c r="D997" s="17" t="str">
        <f>D995</f>
        <v>*ICEV*</v>
      </c>
      <c r="E997" s="17" t="str">
        <f>E995</f>
        <v>TRAGSL</v>
      </c>
      <c r="F997" s="17" t="str">
        <f>F995</f>
        <v>TRAPASOBUDMD</v>
      </c>
      <c r="G997" s="17" t="str">
        <f>G995</f>
        <v>TRAPASOBUDMD</v>
      </c>
      <c r="H997" s="18">
        <v>2025</v>
      </c>
      <c r="I997" s="18"/>
      <c r="J997" s="29" t="e">
        <f>IF(J995=0,-N997+1,J995*N997)</f>
        <v>#DIV/0!</v>
      </c>
      <c r="K997" s="18"/>
      <c r="L997" s="18"/>
      <c r="N997" s="21">
        <v>1.1000000000000001</v>
      </c>
    </row>
    <row r="998" spans="1:14" x14ac:dyDescent="0.25">
      <c r="C998" s="15" t="str">
        <f t="shared" si="99"/>
        <v>*</v>
      </c>
      <c r="D998" s="17" t="s">
        <v>487</v>
      </c>
      <c r="E998" s="17" t="str">
        <f>E997</f>
        <v>TRAGSL</v>
      </c>
      <c r="F998" s="17" t="str">
        <f>F997</f>
        <v>TRAPASOBUDMD</v>
      </c>
      <c r="G998" s="17" t="str">
        <f>G997</f>
        <v>TRAPASOBUDMD</v>
      </c>
      <c r="H998" s="18">
        <v>2025</v>
      </c>
      <c r="I998" s="18"/>
      <c r="J998" s="20" t="e">
        <f>1-(J997*-1)</f>
        <v>#DIV/0!</v>
      </c>
      <c r="K998" s="18"/>
      <c r="L998" s="18"/>
      <c r="N998" s="21"/>
    </row>
    <row r="999" spans="1:14" x14ac:dyDescent="0.25">
      <c r="C999" s="15" t="str">
        <f t="shared" si="99"/>
        <v>*</v>
      </c>
      <c r="D999" s="17" t="str">
        <f>D997</f>
        <v>*ICEV*</v>
      </c>
      <c r="E999" s="17" t="str">
        <f>E997</f>
        <v>TRAGSL</v>
      </c>
      <c r="F999" s="17" t="str">
        <f>F997</f>
        <v>TRAPASOBUDMD</v>
      </c>
      <c r="G999" s="17" t="str">
        <f>G997</f>
        <v>TRAPASOBUDMD</v>
      </c>
      <c r="H999" s="18">
        <v>2030</v>
      </c>
      <c r="I999" s="18"/>
      <c r="J999" s="29" t="e">
        <f>IF(J995=0,-N999+1,J995*N999)</f>
        <v>#DIV/0!</v>
      </c>
      <c r="K999" s="18"/>
      <c r="L999" s="18"/>
      <c r="N999" s="21">
        <v>1.2</v>
      </c>
    </row>
    <row r="1000" spans="1:14" x14ac:dyDescent="0.25">
      <c r="C1000" s="15" t="str">
        <f t="shared" si="99"/>
        <v>*</v>
      </c>
      <c r="D1000" s="17" t="s">
        <v>487</v>
      </c>
      <c r="E1000" s="17" t="str">
        <f>E999</f>
        <v>TRAGSL</v>
      </c>
      <c r="F1000" s="17" t="str">
        <f>F999</f>
        <v>TRAPASOBUDMD</v>
      </c>
      <c r="G1000" s="17" t="str">
        <f>G999</f>
        <v>TRAPASOBUDMD</v>
      </c>
      <c r="H1000" s="18">
        <v>2030</v>
      </c>
      <c r="I1000" s="18"/>
      <c r="J1000" s="20" t="e">
        <f>1-(J999*-1)</f>
        <v>#DIV/0!</v>
      </c>
      <c r="K1000" s="18"/>
      <c r="L1000" s="18"/>
      <c r="N1000" s="21"/>
    </row>
    <row r="1001" spans="1:14" x14ac:dyDescent="0.25">
      <c r="C1001" s="15" t="str">
        <f t="shared" si="99"/>
        <v>*</v>
      </c>
      <c r="D1001" s="17" t="str">
        <f>D999</f>
        <v>*ICEV*</v>
      </c>
      <c r="E1001" s="17" t="str">
        <f>E999</f>
        <v>TRAGSL</v>
      </c>
      <c r="F1001" s="17" t="str">
        <f>F999</f>
        <v>TRAPASOBUDMD</v>
      </c>
      <c r="G1001" s="17" t="str">
        <f>G999</f>
        <v>TRAPASOBUDMD</v>
      </c>
      <c r="H1001" s="18">
        <v>2040</v>
      </c>
      <c r="I1001" s="18"/>
      <c r="J1001" s="29" t="e">
        <f>IF(J995=0,-N1001+1,J995*N1001)</f>
        <v>#DIV/0!</v>
      </c>
      <c r="K1001" s="18"/>
      <c r="L1001" s="18"/>
      <c r="N1001" s="21">
        <v>1.3</v>
      </c>
    </row>
    <row r="1002" spans="1:14" x14ac:dyDescent="0.25">
      <c r="C1002" s="15" t="str">
        <f t="shared" si="99"/>
        <v>*</v>
      </c>
      <c r="D1002" s="17" t="s">
        <v>487</v>
      </c>
      <c r="E1002" s="17" t="str">
        <f>E1001</f>
        <v>TRAGSL</v>
      </c>
      <c r="F1002" s="17" t="str">
        <f>F1001</f>
        <v>TRAPASOBUDMD</v>
      </c>
      <c r="G1002" s="17" t="str">
        <f>G1001</f>
        <v>TRAPASOBUDMD</v>
      </c>
      <c r="H1002" s="18">
        <v>2040</v>
      </c>
      <c r="I1002" s="18"/>
      <c r="J1002" s="20" t="e">
        <f>1-(J1001*-1)</f>
        <v>#DIV/0!</v>
      </c>
      <c r="K1002" s="18"/>
      <c r="L1002" s="18"/>
      <c r="N1002" s="21"/>
    </row>
    <row r="1003" spans="1:14" x14ac:dyDescent="0.25">
      <c r="C1003" s="15" t="str">
        <f t="shared" si="99"/>
        <v>*</v>
      </c>
      <c r="D1003" s="17" t="str">
        <f>D1001</f>
        <v>*ICEV*</v>
      </c>
      <c r="E1003" s="17" t="str">
        <f>E1001</f>
        <v>TRAGSL</v>
      </c>
      <c r="F1003" s="17" t="str">
        <f>F1001</f>
        <v>TRAPASOBUDMD</v>
      </c>
      <c r="G1003" s="17" t="str">
        <f>G1001</f>
        <v>TRAPASOBUDMD</v>
      </c>
      <c r="H1003" s="18">
        <v>2050</v>
      </c>
      <c r="I1003" s="18"/>
      <c r="J1003" s="29" t="e">
        <f>IF(J995=0,-N1003+1,J995*N1003)</f>
        <v>#DIV/0!</v>
      </c>
      <c r="K1003" s="18"/>
      <c r="L1003" s="18"/>
      <c r="N1003" s="21">
        <v>1.4</v>
      </c>
    </row>
    <row r="1004" spans="1:14" x14ac:dyDescent="0.25">
      <c r="C1004" s="23" t="str">
        <f t="shared" si="99"/>
        <v>*</v>
      </c>
      <c r="D1004" s="25" t="s">
        <v>487</v>
      </c>
      <c r="E1004" s="25" t="str">
        <f>E1003</f>
        <v>TRAGSL</v>
      </c>
      <c r="F1004" s="25" t="str">
        <f>F1003</f>
        <v>TRAPASOBUDMD</v>
      </c>
      <c r="G1004" s="25" t="str">
        <f>G1003</f>
        <v>TRAPASOBUDMD</v>
      </c>
      <c r="H1004" s="26">
        <v>2050</v>
      </c>
      <c r="I1004" s="26"/>
      <c r="J1004" s="27" t="e">
        <f>1-(J1003*-1)</f>
        <v>#DIV/0!</v>
      </c>
      <c r="K1004" s="26"/>
      <c r="L1004" s="26"/>
      <c r="N1004" s="28"/>
    </row>
    <row r="1005" spans="1:14" x14ac:dyDescent="0.25">
      <c r="A1005">
        <f>A995+1</f>
        <v>101</v>
      </c>
      <c r="C1005" s="15" t="str">
        <f>IF(E1005="","",IF(SUMIFS('TRA TECH'!M:M,'TRA TECH'!J:J,D1006,'TRA TECH'!I:I,F1006,'TRA TECH'!H:H,E1006)=0,"*",IF(_xlfn.XLOOKUP($A1005,Selected_constraint!$A:$A,Selected_constraint!$D:$D)=1,"*",IF(SUMIFS('TRA TECH'!$M:$M,'TRA TECH'!$H:$H,E1005,'TRA TECH'!$I:$I,F1005)=0,"*",IF(SUMIFS('TRA RESID'!$P:$P,'TRA RESID'!$I:$I,G1005,'TRA RESID'!$J:$J,D1005,'TRA RESID'!$H:$H,E1005)=0,"*","UC_"&amp;SUBSTITUTE(D1005,"*","")&amp;"_"&amp;SUBSTITUTE(D1005,"*","")&amp;"_"&amp;RIGHT(E1005,3)&amp;"_"&amp;F1005)))))</f>
        <v>*</v>
      </c>
      <c r="D1005" s="17" t="s">
        <v>485</v>
      </c>
      <c r="E1005" s="17" t="str">
        <f>_xlfn.XLOOKUP($A1005,Selected_constraint!$A:$A,Selected_constraint!$B:$B)</f>
        <v>TRAETH</v>
      </c>
      <c r="F1005" s="17" t="str">
        <f>_xlfn.XLOOKUP($A1005,Selected_constraint!$A:$A,Selected_constraint!$C:$C)</f>
        <v>TRAPASOBUDMD</v>
      </c>
      <c r="G1005" s="17" t="str">
        <f>F1005</f>
        <v>TRAPASOBUDMD</v>
      </c>
      <c r="H1005" s="18">
        <v>2019</v>
      </c>
      <c r="I1005" s="18" t="s">
        <v>484</v>
      </c>
      <c r="J1005" s="29" t="e">
        <f>-SUMIFS('TRA RESID'!$P:$P,'TRA RESID'!$I:$I,G1006,'TRA RESID'!$J:$J,D1006,'TRA RESID'!$H:$H,E1006)/(SUMIFS('TRA RESID'!$P:$P,'TRA RESID'!$I:$I,G1006,'TRA RESID'!$J:$J,D1006,'TRA RESID'!$H:$H,E1006)+SUMIFS('TRA RESID'!$P:$P,'TRA RESID'!$I:$I,G1005,'TRA RESID'!$J:$J,D1005,'TRA RESID'!$H:$H,E1005))</f>
        <v>#DIV/0!</v>
      </c>
      <c r="K1005" s="18">
        <v>0</v>
      </c>
      <c r="L1005" s="18">
        <v>5</v>
      </c>
      <c r="N1005" s="21">
        <v>1</v>
      </c>
    </row>
    <row r="1006" spans="1:14" x14ac:dyDescent="0.25">
      <c r="C1006" s="15" t="str">
        <f t="shared" ref="C1006:C1014" si="100">IF(C1005="*",C1005,"")</f>
        <v>*</v>
      </c>
      <c r="D1006" s="17" t="s">
        <v>487</v>
      </c>
      <c r="E1006" s="17" t="str">
        <f>E1005</f>
        <v>TRAETH</v>
      </c>
      <c r="F1006" s="17" t="str">
        <f>F1005</f>
        <v>TRAPASOBUDMD</v>
      </c>
      <c r="G1006" s="17" t="str">
        <f>G1005</f>
        <v>TRAPASOBUDMD</v>
      </c>
      <c r="H1006" s="18">
        <v>2019</v>
      </c>
      <c r="I1006" s="18"/>
      <c r="J1006" s="20" t="e">
        <f>1-(J1005*-1)</f>
        <v>#DIV/0!</v>
      </c>
      <c r="K1006" s="18"/>
      <c r="L1006" s="18"/>
      <c r="N1006" s="21"/>
    </row>
    <row r="1007" spans="1:14" x14ac:dyDescent="0.25">
      <c r="C1007" s="15" t="str">
        <f t="shared" si="100"/>
        <v>*</v>
      </c>
      <c r="D1007" s="17" t="str">
        <f>D1005</f>
        <v>*ICEV*</v>
      </c>
      <c r="E1007" s="17" t="str">
        <f>E1005</f>
        <v>TRAETH</v>
      </c>
      <c r="F1007" s="17" t="str">
        <f>F1005</f>
        <v>TRAPASOBUDMD</v>
      </c>
      <c r="G1007" s="17" t="str">
        <f>G1005</f>
        <v>TRAPASOBUDMD</v>
      </c>
      <c r="H1007" s="18">
        <v>2025</v>
      </c>
      <c r="I1007" s="18"/>
      <c r="J1007" s="29" t="e">
        <f>IF(J1005=0,-N1007+1,J1005*N1007)</f>
        <v>#DIV/0!</v>
      </c>
      <c r="K1007" s="18"/>
      <c r="L1007" s="18"/>
      <c r="N1007" s="21">
        <v>1.1000000000000001</v>
      </c>
    </row>
    <row r="1008" spans="1:14" x14ac:dyDescent="0.25">
      <c r="C1008" s="15" t="str">
        <f t="shared" si="100"/>
        <v>*</v>
      </c>
      <c r="D1008" s="17" t="s">
        <v>487</v>
      </c>
      <c r="E1008" s="17" t="str">
        <f>E1007</f>
        <v>TRAETH</v>
      </c>
      <c r="F1008" s="17" t="str">
        <f>F1007</f>
        <v>TRAPASOBUDMD</v>
      </c>
      <c r="G1008" s="17" t="str">
        <f>G1007</f>
        <v>TRAPASOBUDMD</v>
      </c>
      <c r="H1008" s="18">
        <v>2025</v>
      </c>
      <c r="I1008" s="18"/>
      <c r="J1008" s="20" t="e">
        <f>1-(J1007*-1)</f>
        <v>#DIV/0!</v>
      </c>
      <c r="K1008" s="18"/>
      <c r="L1008" s="18"/>
      <c r="N1008" s="21"/>
    </row>
    <row r="1009" spans="1:14" x14ac:dyDescent="0.25">
      <c r="C1009" s="15" t="str">
        <f t="shared" si="100"/>
        <v>*</v>
      </c>
      <c r="D1009" s="17" t="str">
        <f>D1007</f>
        <v>*ICEV*</v>
      </c>
      <c r="E1009" s="17" t="str">
        <f>E1007</f>
        <v>TRAETH</v>
      </c>
      <c r="F1009" s="17" t="str">
        <f>F1007</f>
        <v>TRAPASOBUDMD</v>
      </c>
      <c r="G1009" s="17" t="str">
        <f>G1007</f>
        <v>TRAPASOBUDMD</v>
      </c>
      <c r="H1009" s="18">
        <v>2030</v>
      </c>
      <c r="I1009" s="18"/>
      <c r="J1009" s="29" t="e">
        <f>IF(J1005=0,-N1009+1,J1005*N1009)</f>
        <v>#DIV/0!</v>
      </c>
      <c r="K1009" s="18"/>
      <c r="L1009" s="18"/>
      <c r="N1009" s="21">
        <v>1.2</v>
      </c>
    </row>
    <row r="1010" spans="1:14" x14ac:dyDescent="0.25">
      <c r="C1010" s="15" t="str">
        <f t="shared" si="100"/>
        <v>*</v>
      </c>
      <c r="D1010" s="17" t="s">
        <v>487</v>
      </c>
      <c r="E1010" s="17" t="str">
        <f>E1009</f>
        <v>TRAETH</v>
      </c>
      <c r="F1010" s="17" t="str">
        <f>F1009</f>
        <v>TRAPASOBUDMD</v>
      </c>
      <c r="G1010" s="17" t="str">
        <f>G1009</f>
        <v>TRAPASOBUDMD</v>
      </c>
      <c r="H1010" s="18">
        <v>2030</v>
      </c>
      <c r="I1010" s="18"/>
      <c r="J1010" s="20" t="e">
        <f>1-(J1009*-1)</f>
        <v>#DIV/0!</v>
      </c>
      <c r="K1010" s="18"/>
      <c r="L1010" s="18"/>
      <c r="N1010" s="21"/>
    </row>
    <row r="1011" spans="1:14" x14ac:dyDescent="0.25">
      <c r="C1011" s="15" t="str">
        <f t="shared" si="100"/>
        <v>*</v>
      </c>
      <c r="D1011" s="17" t="str">
        <f>D1009</f>
        <v>*ICEV*</v>
      </c>
      <c r="E1011" s="17" t="str">
        <f>E1009</f>
        <v>TRAETH</v>
      </c>
      <c r="F1011" s="17" t="str">
        <f>F1009</f>
        <v>TRAPASOBUDMD</v>
      </c>
      <c r="G1011" s="17" t="str">
        <f>G1009</f>
        <v>TRAPASOBUDMD</v>
      </c>
      <c r="H1011" s="18">
        <v>2040</v>
      </c>
      <c r="I1011" s="18"/>
      <c r="J1011" s="29" t="e">
        <f>IF(J1005=0,-N1011+1,J1005*N1011)</f>
        <v>#DIV/0!</v>
      </c>
      <c r="K1011" s="18"/>
      <c r="L1011" s="18"/>
      <c r="N1011" s="21">
        <v>1.3</v>
      </c>
    </row>
    <row r="1012" spans="1:14" x14ac:dyDescent="0.25">
      <c r="C1012" s="15" t="str">
        <f t="shared" si="100"/>
        <v>*</v>
      </c>
      <c r="D1012" s="17" t="s">
        <v>487</v>
      </c>
      <c r="E1012" s="17" t="str">
        <f>E1011</f>
        <v>TRAETH</v>
      </c>
      <c r="F1012" s="17" t="str">
        <f>F1011</f>
        <v>TRAPASOBUDMD</v>
      </c>
      <c r="G1012" s="17" t="str">
        <f>G1011</f>
        <v>TRAPASOBUDMD</v>
      </c>
      <c r="H1012" s="18">
        <v>2040</v>
      </c>
      <c r="I1012" s="18"/>
      <c r="J1012" s="20" t="e">
        <f>1-(J1011*-1)</f>
        <v>#DIV/0!</v>
      </c>
      <c r="K1012" s="18"/>
      <c r="L1012" s="18"/>
      <c r="N1012" s="21"/>
    </row>
    <row r="1013" spans="1:14" x14ac:dyDescent="0.25">
      <c r="C1013" s="15" t="str">
        <f t="shared" si="100"/>
        <v>*</v>
      </c>
      <c r="D1013" s="17" t="str">
        <f>D1011</f>
        <v>*ICEV*</v>
      </c>
      <c r="E1013" s="17" t="str">
        <f>E1011</f>
        <v>TRAETH</v>
      </c>
      <c r="F1013" s="17" t="str">
        <f>F1011</f>
        <v>TRAPASOBUDMD</v>
      </c>
      <c r="G1013" s="17" t="str">
        <f>G1011</f>
        <v>TRAPASOBUDMD</v>
      </c>
      <c r="H1013" s="18">
        <v>2050</v>
      </c>
      <c r="I1013" s="18"/>
      <c r="J1013" s="29" t="e">
        <f>IF(J1005=0,-N1013+1,J1005*N1013)</f>
        <v>#DIV/0!</v>
      </c>
      <c r="K1013" s="18"/>
      <c r="L1013" s="18"/>
      <c r="N1013" s="21">
        <v>1.4</v>
      </c>
    </row>
    <row r="1014" spans="1:14" x14ac:dyDescent="0.25">
      <c r="C1014" s="23" t="str">
        <f t="shared" si="100"/>
        <v>*</v>
      </c>
      <c r="D1014" s="25" t="s">
        <v>487</v>
      </c>
      <c r="E1014" s="25" t="str">
        <f>E1013</f>
        <v>TRAETH</v>
      </c>
      <c r="F1014" s="25" t="str">
        <f>F1013</f>
        <v>TRAPASOBUDMD</v>
      </c>
      <c r="G1014" s="25" t="str">
        <f>G1013</f>
        <v>TRAPASOBUDMD</v>
      </c>
      <c r="H1014" s="26">
        <v>2050</v>
      </c>
      <c r="I1014" s="26"/>
      <c r="J1014" s="27" t="e">
        <f>1-(J1013*-1)</f>
        <v>#DIV/0!</v>
      </c>
      <c r="K1014" s="26"/>
      <c r="L1014" s="26"/>
      <c r="N1014" s="28"/>
    </row>
    <row r="1015" spans="1:14" x14ac:dyDescent="0.25">
      <c r="A1015">
        <f>A1005+1</f>
        <v>102</v>
      </c>
      <c r="C1015" s="15" t="str">
        <f>IF(E1015="","",IF(SUMIFS('TRA TECH'!M:M,'TRA TECH'!J:J,D1016,'TRA TECH'!I:I,F1016,'TRA TECH'!H:H,E1016)=0,"*",IF(_xlfn.XLOOKUP($A1015,Selected_constraint!$A:$A,Selected_constraint!$D:$D)=1,"*",IF(SUMIFS('TRA TECH'!$M:$M,'TRA TECH'!$H:$H,E1015,'TRA TECH'!$I:$I,F1015)=0,"*",IF(SUMIFS('TRA RESID'!$P:$P,'TRA RESID'!$I:$I,G1015,'TRA RESID'!$J:$J,D1015,'TRA RESID'!$H:$H,E1015)=0,"*","UC_"&amp;SUBSTITUTE(D1015,"*","")&amp;"_"&amp;SUBSTITUTE(D1015,"*","")&amp;"_"&amp;RIGHT(E1015,3)&amp;"_"&amp;F1015)))))</f>
        <v>*</v>
      </c>
      <c r="D1015" s="17" t="s">
        <v>485</v>
      </c>
      <c r="E1015" s="17" t="str">
        <f>_xlfn.XLOOKUP($A1015,Selected_constraint!$A:$A,Selected_constraint!$B:$B)</f>
        <v>TRADSL</v>
      </c>
      <c r="F1015" s="17" t="str">
        <f>_xlfn.XLOOKUP($A1015,Selected_constraint!$A:$A,Selected_constraint!$C:$C)</f>
        <v>TRAPASOBUDMD</v>
      </c>
      <c r="G1015" s="17" t="str">
        <f>F1015</f>
        <v>TRAPASOBUDMD</v>
      </c>
      <c r="H1015" s="18">
        <v>2019</v>
      </c>
      <c r="I1015" s="18" t="s">
        <v>484</v>
      </c>
      <c r="J1015" s="29" t="e">
        <f>-SUMIFS('TRA RESID'!$P:$P,'TRA RESID'!$I:$I,G1016,'TRA RESID'!$J:$J,D1016,'TRA RESID'!$H:$H,E1016)/(SUMIFS('TRA RESID'!$P:$P,'TRA RESID'!$I:$I,G1016,'TRA RESID'!$J:$J,D1016,'TRA RESID'!$H:$H,E1016)+SUMIFS('TRA RESID'!$P:$P,'TRA RESID'!$I:$I,G1015,'TRA RESID'!$J:$J,D1015,'TRA RESID'!$H:$H,E1015))</f>
        <v>#DIV/0!</v>
      </c>
      <c r="K1015" s="18">
        <v>0</v>
      </c>
      <c r="L1015" s="18">
        <v>5</v>
      </c>
      <c r="N1015" s="21">
        <v>1</v>
      </c>
    </row>
    <row r="1016" spans="1:14" x14ac:dyDescent="0.25">
      <c r="C1016" s="15" t="str">
        <f t="shared" ref="C1016:C1024" si="101">IF(C1015="*",C1015,"")</f>
        <v>*</v>
      </c>
      <c r="D1016" s="17" t="s">
        <v>487</v>
      </c>
      <c r="E1016" s="17" t="str">
        <f>E1015</f>
        <v>TRADSL</v>
      </c>
      <c r="F1016" s="17" t="str">
        <f>F1015</f>
        <v>TRAPASOBUDMD</v>
      </c>
      <c r="G1016" s="17" t="str">
        <f>G1015</f>
        <v>TRAPASOBUDMD</v>
      </c>
      <c r="H1016" s="18">
        <v>2019</v>
      </c>
      <c r="I1016" s="18"/>
      <c r="J1016" s="20" t="e">
        <f>1-(J1015*-1)</f>
        <v>#DIV/0!</v>
      </c>
      <c r="K1016" s="18"/>
      <c r="L1016" s="18"/>
      <c r="N1016" s="21"/>
    </row>
    <row r="1017" spans="1:14" x14ac:dyDescent="0.25">
      <c r="C1017" s="15" t="str">
        <f t="shared" si="101"/>
        <v>*</v>
      </c>
      <c r="D1017" s="17" t="str">
        <f>D1015</f>
        <v>*ICEV*</v>
      </c>
      <c r="E1017" s="17" t="str">
        <f>E1015</f>
        <v>TRADSL</v>
      </c>
      <c r="F1017" s="17" t="str">
        <f>F1015</f>
        <v>TRAPASOBUDMD</v>
      </c>
      <c r="G1017" s="17" t="str">
        <f>G1015</f>
        <v>TRAPASOBUDMD</v>
      </c>
      <c r="H1017" s="18">
        <v>2025</v>
      </c>
      <c r="I1017" s="18"/>
      <c r="J1017" s="29" t="e">
        <f>IF(J1015=0,-N1017+1,J1015*N1017)</f>
        <v>#DIV/0!</v>
      </c>
      <c r="K1017" s="18"/>
      <c r="L1017" s="18"/>
      <c r="N1017" s="21">
        <v>1.1000000000000001</v>
      </c>
    </row>
    <row r="1018" spans="1:14" x14ac:dyDescent="0.25">
      <c r="C1018" s="15" t="str">
        <f t="shared" si="101"/>
        <v>*</v>
      </c>
      <c r="D1018" s="17" t="s">
        <v>487</v>
      </c>
      <c r="E1018" s="17" t="str">
        <f>E1017</f>
        <v>TRADSL</v>
      </c>
      <c r="F1018" s="17" t="str">
        <f>F1017</f>
        <v>TRAPASOBUDMD</v>
      </c>
      <c r="G1018" s="17" t="str">
        <f>G1017</f>
        <v>TRAPASOBUDMD</v>
      </c>
      <c r="H1018" s="18">
        <v>2025</v>
      </c>
      <c r="I1018" s="18"/>
      <c r="J1018" s="20" t="e">
        <f>1-(J1017*-1)</f>
        <v>#DIV/0!</v>
      </c>
      <c r="K1018" s="18"/>
      <c r="L1018" s="18"/>
      <c r="N1018" s="21"/>
    </row>
    <row r="1019" spans="1:14" x14ac:dyDescent="0.25">
      <c r="C1019" s="15" t="str">
        <f t="shared" si="101"/>
        <v>*</v>
      </c>
      <c r="D1019" s="17" t="str">
        <f>D1017</f>
        <v>*ICEV*</v>
      </c>
      <c r="E1019" s="17" t="str">
        <f>E1017</f>
        <v>TRADSL</v>
      </c>
      <c r="F1019" s="17" t="str">
        <f>F1017</f>
        <v>TRAPASOBUDMD</v>
      </c>
      <c r="G1019" s="17" t="str">
        <f>G1017</f>
        <v>TRAPASOBUDMD</v>
      </c>
      <c r="H1019" s="18">
        <v>2030</v>
      </c>
      <c r="I1019" s="18"/>
      <c r="J1019" s="29" t="e">
        <f>IF(J1015=0,-N1019+1,J1015*N1019)</f>
        <v>#DIV/0!</v>
      </c>
      <c r="K1019" s="18"/>
      <c r="L1019" s="18"/>
      <c r="N1019" s="21">
        <v>1.2</v>
      </c>
    </row>
    <row r="1020" spans="1:14" x14ac:dyDescent="0.25">
      <c r="C1020" s="15" t="str">
        <f t="shared" si="101"/>
        <v>*</v>
      </c>
      <c r="D1020" s="17" t="s">
        <v>487</v>
      </c>
      <c r="E1020" s="17" t="str">
        <f>E1019</f>
        <v>TRADSL</v>
      </c>
      <c r="F1020" s="17" t="str">
        <f>F1019</f>
        <v>TRAPASOBUDMD</v>
      </c>
      <c r="G1020" s="17" t="str">
        <f>G1019</f>
        <v>TRAPASOBUDMD</v>
      </c>
      <c r="H1020" s="18">
        <v>2030</v>
      </c>
      <c r="I1020" s="18"/>
      <c r="J1020" s="20" t="e">
        <f>1-(J1019*-1)</f>
        <v>#DIV/0!</v>
      </c>
      <c r="K1020" s="18"/>
      <c r="L1020" s="18"/>
      <c r="N1020" s="21"/>
    </row>
    <row r="1021" spans="1:14" x14ac:dyDescent="0.25">
      <c r="C1021" s="15" t="str">
        <f t="shared" si="101"/>
        <v>*</v>
      </c>
      <c r="D1021" s="17" t="str">
        <f>D1019</f>
        <v>*ICEV*</v>
      </c>
      <c r="E1021" s="17" t="str">
        <f>E1019</f>
        <v>TRADSL</v>
      </c>
      <c r="F1021" s="17" t="str">
        <f>F1019</f>
        <v>TRAPASOBUDMD</v>
      </c>
      <c r="G1021" s="17" t="str">
        <f>G1019</f>
        <v>TRAPASOBUDMD</v>
      </c>
      <c r="H1021" s="18">
        <v>2040</v>
      </c>
      <c r="I1021" s="18"/>
      <c r="J1021" s="29" t="e">
        <f>IF(J1015=0,-N1021+1,J1015*N1021)</f>
        <v>#DIV/0!</v>
      </c>
      <c r="K1021" s="18"/>
      <c r="L1021" s="18"/>
      <c r="N1021" s="21">
        <v>1.3</v>
      </c>
    </row>
    <row r="1022" spans="1:14" x14ac:dyDescent="0.25">
      <c r="C1022" s="15" t="str">
        <f t="shared" si="101"/>
        <v>*</v>
      </c>
      <c r="D1022" s="17" t="s">
        <v>487</v>
      </c>
      <c r="E1022" s="17" t="str">
        <f>E1021</f>
        <v>TRADSL</v>
      </c>
      <c r="F1022" s="17" t="str">
        <f>F1021</f>
        <v>TRAPASOBUDMD</v>
      </c>
      <c r="G1022" s="17" t="str">
        <f>G1021</f>
        <v>TRAPASOBUDMD</v>
      </c>
      <c r="H1022" s="18">
        <v>2040</v>
      </c>
      <c r="I1022" s="18"/>
      <c r="J1022" s="20" t="e">
        <f>1-(J1021*-1)</f>
        <v>#DIV/0!</v>
      </c>
      <c r="K1022" s="18"/>
      <c r="L1022" s="18"/>
      <c r="N1022" s="21"/>
    </row>
    <row r="1023" spans="1:14" x14ac:dyDescent="0.25">
      <c r="C1023" s="15" t="str">
        <f t="shared" si="101"/>
        <v>*</v>
      </c>
      <c r="D1023" s="17" t="str">
        <f>D1021</f>
        <v>*ICEV*</v>
      </c>
      <c r="E1023" s="17" t="str">
        <f>E1021</f>
        <v>TRADSL</v>
      </c>
      <c r="F1023" s="17" t="str">
        <f>F1021</f>
        <v>TRAPASOBUDMD</v>
      </c>
      <c r="G1023" s="17" t="str">
        <f>G1021</f>
        <v>TRAPASOBUDMD</v>
      </c>
      <c r="H1023" s="18">
        <v>2050</v>
      </c>
      <c r="I1023" s="18"/>
      <c r="J1023" s="29" t="e">
        <f>IF(J1015=0,-N1023+1,J1015*N1023)</f>
        <v>#DIV/0!</v>
      </c>
      <c r="K1023" s="18"/>
      <c r="L1023" s="18"/>
      <c r="N1023" s="21">
        <v>1.4</v>
      </c>
    </row>
    <row r="1024" spans="1:14" x14ac:dyDescent="0.25">
      <c r="C1024" s="23" t="str">
        <f t="shared" si="101"/>
        <v>*</v>
      </c>
      <c r="D1024" s="25" t="s">
        <v>487</v>
      </c>
      <c r="E1024" s="25" t="str">
        <f>E1023</f>
        <v>TRADSL</v>
      </c>
      <c r="F1024" s="25" t="str">
        <f>F1023</f>
        <v>TRAPASOBUDMD</v>
      </c>
      <c r="G1024" s="25" t="str">
        <f>G1023</f>
        <v>TRAPASOBUDMD</v>
      </c>
      <c r="H1024" s="26">
        <v>2050</v>
      </c>
      <c r="I1024" s="26"/>
      <c r="J1024" s="27" t="e">
        <f>1-(J1023*-1)</f>
        <v>#DIV/0!</v>
      </c>
      <c r="K1024" s="26"/>
      <c r="L1024" s="26"/>
      <c r="N1024" s="28"/>
    </row>
    <row r="1025" spans="1:14" x14ac:dyDescent="0.25">
      <c r="A1025">
        <f>A1015+1</f>
        <v>103</v>
      </c>
      <c r="C1025" s="15" t="str">
        <f>IF(E1025="","",IF(SUMIFS('TRA TECH'!M:M,'TRA TECH'!J:J,D1026,'TRA TECH'!I:I,F1026,'TRA TECH'!H:H,E1026)=0,"*",IF(_xlfn.XLOOKUP($A1025,Selected_constraint!$A:$A,Selected_constraint!$D:$D)=1,"*",IF(SUMIFS('TRA TECH'!$M:$M,'TRA TECH'!$H:$H,E1025,'TRA TECH'!$I:$I,F1025)=0,"*",IF(SUMIFS('TRA RESID'!$P:$P,'TRA RESID'!$I:$I,G1025,'TRA RESID'!$J:$J,D1025,'TRA RESID'!$H:$H,E1025)=0,"*","UC_"&amp;SUBSTITUTE(D1025,"*","")&amp;"_"&amp;SUBSTITUTE(D1025,"*","")&amp;"_"&amp;RIGHT(E1025,3)&amp;"_"&amp;F1025)))))</f>
        <v>*</v>
      </c>
      <c r="D1025" s="17" t="s">
        <v>485</v>
      </c>
      <c r="E1025" s="17" t="str">
        <f>_xlfn.XLOOKUP($A1025,Selected_constraint!$A:$A,Selected_constraint!$B:$B)</f>
        <v>TRARDS</v>
      </c>
      <c r="F1025" s="17" t="str">
        <f>_xlfn.XLOOKUP($A1025,Selected_constraint!$A:$A,Selected_constraint!$C:$C)</f>
        <v>TRAPASOBUDMD</v>
      </c>
      <c r="G1025" s="17" t="str">
        <f>F1025</f>
        <v>TRAPASOBUDMD</v>
      </c>
      <c r="H1025" s="18">
        <v>2019</v>
      </c>
      <c r="I1025" s="18" t="s">
        <v>484</v>
      </c>
      <c r="J1025" s="29" t="e">
        <f>-SUMIFS('TRA RESID'!$P:$P,'TRA RESID'!$I:$I,G1026,'TRA RESID'!$J:$J,D1026,'TRA RESID'!$H:$H,E1026)/(SUMIFS('TRA RESID'!$P:$P,'TRA RESID'!$I:$I,G1026,'TRA RESID'!$J:$J,D1026,'TRA RESID'!$H:$H,E1026)+SUMIFS('TRA RESID'!$P:$P,'TRA RESID'!$I:$I,G1025,'TRA RESID'!$J:$J,D1025,'TRA RESID'!$H:$H,E1025))</f>
        <v>#DIV/0!</v>
      </c>
      <c r="K1025" s="18">
        <v>0</v>
      </c>
      <c r="L1025" s="18">
        <v>5</v>
      </c>
      <c r="N1025" s="21">
        <v>1</v>
      </c>
    </row>
    <row r="1026" spans="1:14" x14ac:dyDescent="0.25">
      <c r="C1026" s="15" t="str">
        <f t="shared" ref="C1026:C1034" si="102">IF(C1025="*",C1025,"")</f>
        <v>*</v>
      </c>
      <c r="D1026" s="17" t="s">
        <v>487</v>
      </c>
      <c r="E1026" s="17" t="str">
        <f>E1025</f>
        <v>TRARDS</v>
      </c>
      <c r="F1026" s="17" t="str">
        <f>F1025</f>
        <v>TRAPASOBUDMD</v>
      </c>
      <c r="G1026" s="17" t="str">
        <f>G1025</f>
        <v>TRAPASOBUDMD</v>
      </c>
      <c r="H1026" s="18">
        <v>2019</v>
      </c>
      <c r="I1026" s="18"/>
      <c r="J1026" s="20" t="e">
        <f>1-(J1025*-1)</f>
        <v>#DIV/0!</v>
      </c>
      <c r="K1026" s="18"/>
      <c r="L1026" s="18"/>
      <c r="N1026" s="21"/>
    </row>
    <row r="1027" spans="1:14" x14ac:dyDescent="0.25">
      <c r="C1027" s="15" t="str">
        <f t="shared" si="102"/>
        <v>*</v>
      </c>
      <c r="D1027" s="17" t="str">
        <f>D1025</f>
        <v>*ICEV*</v>
      </c>
      <c r="E1027" s="17" t="str">
        <f>E1025</f>
        <v>TRARDS</v>
      </c>
      <c r="F1027" s="17" t="str">
        <f>F1025</f>
        <v>TRAPASOBUDMD</v>
      </c>
      <c r="G1027" s="17" t="str">
        <f>G1025</f>
        <v>TRAPASOBUDMD</v>
      </c>
      <c r="H1027" s="18">
        <v>2025</v>
      </c>
      <c r="I1027" s="18"/>
      <c r="J1027" s="29" t="e">
        <f>IF(J1025=0,-N1027+1,J1025*N1027)</f>
        <v>#DIV/0!</v>
      </c>
      <c r="K1027" s="18"/>
      <c r="L1027" s="18"/>
      <c r="N1027" s="21">
        <v>1.1000000000000001</v>
      </c>
    </row>
    <row r="1028" spans="1:14" x14ac:dyDescent="0.25">
      <c r="C1028" s="15" t="str">
        <f t="shared" si="102"/>
        <v>*</v>
      </c>
      <c r="D1028" s="17" t="s">
        <v>487</v>
      </c>
      <c r="E1028" s="17" t="str">
        <f>E1027</f>
        <v>TRARDS</v>
      </c>
      <c r="F1028" s="17" t="str">
        <f>F1027</f>
        <v>TRAPASOBUDMD</v>
      </c>
      <c r="G1028" s="17" t="str">
        <f>G1027</f>
        <v>TRAPASOBUDMD</v>
      </c>
      <c r="H1028" s="18">
        <v>2025</v>
      </c>
      <c r="I1028" s="18"/>
      <c r="J1028" s="20" t="e">
        <f>1-(J1027*-1)</f>
        <v>#DIV/0!</v>
      </c>
      <c r="K1028" s="18"/>
      <c r="L1028" s="18"/>
      <c r="N1028" s="21"/>
    </row>
    <row r="1029" spans="1:14" x14ac:dyDescent="0.25">
      <c r="C1029" s="15" t="str">
        <f t="shared" si="102"/>
        <v>*</v>
      </c>
      <c r="D1029" s="17" t="str">
        <f>D1027</f>
        <v>*ICEV*</v>
      </c>
      <c r="E1029" s="17" t="str">
        <f>E1027</f>
        <v>TRARDS</v>
      </c>
      <c r="F1029" s="17" t="str">
        <f>F1027</f>
        <v>TRAPASOBUDMD</v>
      </c>
      <c r="G1029" s="17" t="str">
        <f>G1027</f>
        <v>TRAPASOBUDMD</v>
      </c>
      <c r="H1029" s="18">
        <v>2030</v>
      </c>
      <c r="I1029" s="18"/>
      <c r="J1029" s="29" t="e">
        <f>IF(J1025=0,-N1029+1,J1025*N1029)</f>
        <v>#DIV/0!</v>
      </c>
      <c r="K1029" s="18"/>
      <c r="L1029" s="18"/>
      <c r="N1029" s="21">
        <v>1.2</v>
      </c>
    </row>
    <row r="1030" spans="1:14" x14ac:dyDescent="0.25">
      <c r="C1030" s="15" t="str">
        <f t="shared" si="102"/>
        <v>*</v>
      </c>
      <c r="D1030" s="17" t="s">
        <v>487</v>
      </c>
      <c r="E1030" s="17" t="str">
        <f>E1029</f>
        <v>TRARDS</v>
      </c>
      <c r="F1030" s="17" t="str">
        <f>F1029</f>
        <v>TRAPASOBUDMD</v>
      </c>
      <c r="G1030" s="17" t="str">
        <f>G1029</f>
        <v>TRAPASOBUDMD</v>
      </c>
      <c r="H1030" s="18">
        <v>2030</v>
      </c>
      <c r="I1030" s="18"/>
      <c r="J1030" s="20" t="e">
        <f>1-(J1029*-1)</f>
        <v>#DIV/0!</v>
      </c>
      <c r="K1030" s="18"/>
      <c r="L1030" s="18"/>
      <c r="N1030" s="21"/>
    </row>
    <row r="1031" spans="1:14" x14ac:dyDescent="0.25">
      <c r="C1031" s="15" t="str">
        <f t="shared" si="102"/>
        <v>*</v>
      </c>
      <c r="D1031" s="17" t="str">
        <f>D1029</f>
        <v>*ICEV*</v>
      </c>
      <c r="E1031" s="17" t="str">
        <f>E1029</f>
        <v>TRARDS</v>
      </c>
      <c r="F1031" s="17" t="str">
        <f>F1029</f>
        <v>TRAPASOBUDMD</v>
      </c>
      <c r="G1031" s="17" t="str">
        <f>G1029</f>
        <v>TRAPASOBUDMD</v>
      </c>
      <c r="H1031" s="18">
        <v>2040</v>
      </c>
      <c r="I1031" s="18"/>
      <c r="J1031" s="29" t="e">
        <f>IF(J1025=0,-N1031+1,J1025*N1031)</f>
        <v>#DIV/0!</v>
      </c>
      <c r="K1031" s="18"/>
      <c r="L1031" s="18"/>
      <c r="N1031" s="21">
        <v>1.3</v>
      </c>
    </row>
    <row r="1032" spans="1:14" x14ac:dyDescent="0.25">
      <c r="C1032" s="15" t="str">
        <f t="shared" si="102"/>
        <v>*</v>
      </c>
      <c r="D1032" s="17" t="s">
        <v>487</v>
      </c>
      <c r="E1032" s="17" t="str">
        <f>E1031</f>
        <v>TRARDS</v>
      </c>
      <c r="F1032" s="17" t="str">
        <f>F1031</f>
        <v>TRAPASOBUDMD</v>
      </c>
      <c r="G1032" s="17" t="str">
        <f>G1031</f>
        <v>TRAPASOBUDMD</v>
      </c>
      <c r="H1032" s="18">
        <v>2040</v>
      </c>
      <c r="I1032" s="18"/>
      <c r="J1032" s="20" t="e">
        <f>1-(J1031*-1)</f>
        <v>#DIV/0!</v>
      </c>
      <c r="K1032" s="18"/>
      <c r="L1032" s="18"/>
      <c r="N1032" s="21"/>
    </row>
    <row r="1033" spans="1:14" x14ac:dyDescent="0.25">
      <c r="C1033" s="15" t="str">
        <f t="shared" si="102"/>
        <v>*</v>
      </c>
      <c r="D1033" s="17" t="str">
        <f>D1031</f>
        <v>*ICEV*</v>
      </c>
      <c r="E1033" s="17" t="str">
        <f>E1031</f>
        <v>TRARDS</v>
      </c>
      <c r="F1033" s="17" t="str">
        <f>F1031</f>
        <v>TRAPASOBUDMD</v>
      </c>
      <c r="G1033" s="17" t="str">
        <f>G1031</f>
        <v>TRAPASOBUDMD</v>
      </c>
      <c r="H1033" s="18">
        <v>2050</v>
      </c>
      <c r="I1033" s="18"/>
      <c r="J1033" s="29" t="e">
        <f>IF(J1025=0,-N1033+1,J1025*N1033)</f>
        <v>#DIV/0!</v>
      </c>
      <c r="K1033" s="18"/>
      <c r="L1033" s="18"/>
      <c r="N1033" s="21">
        <v>1.4</v>
      </c>
    </row>
    <row r="1034" spans="1:14" x14ac:dyDescent="0.25">
      <c r="C1034" s="23" t="str">
        <f t="shared" si="102"/>
        <v>*</v>
      </c>
      <c r="D1034" s="25" t="s">
        <v>487</v>
      </c>
      <c r="E1034" s="25" t="str">
        <f>E1033</f>
        <v>TRARDS</v>
      </c>
      <c r="F1034" s="25" t="str">
        <f>F1033</f>
        <v>TRAPASOBUDMD</v>
      </c>
      <c r="G1034" s="25" t="str">
        <f>G1033</f>
        <v>TRAPASOBUDMD</v>
      </c>
      <c r="H1034" s="26">
        <v>2050</v>
      </c>
      <c r="I1034" s="26"/>
      <c r="J1034" s="27" t="e">
        <f>1-(J1033*-1)</f>
        <v>#DIV/0!</v>
      </c>
      <c r="K1034" s="26"/>
      <c r="L1034" s="26"/>
      <c r="N1034" s="28"/>
    </row>
    <row r="1035" spans="1:14" x14ac:dyDescent="0.25">
      <c r="A1035">
        <f>A1025+1</f>
        <v>104</v>
      </c>
      <c r="C1035" s="15" t="str">
        <f>IF(E1035="","",IF(SUMIFS('TRA TECH'!M:M,'TRA TECH'!J:J,D1036,'TRA TECH'!I:I,F1036,'TRA TECH'!H:H,E1036)=0,"*",IF(_xlfn.XLOOKUP($A1035,Selected_constraint!$A:$A,Selected_constraint!$D:$D)=1,"*",IF(SUMIFS('TRA TECH'!$M:$M,'TRA TECH'!$H:$H,E1035,'TRA TECH'!$I:$I,F1035)=0,"*",IF(SUMIFS('TRA RESID'!$P:$P,'TRA RESID'!$I:$I,G1035,'TRA RESID'!$J:$J,D1035,'TRA RESID'!$H:$H,E1035)=0,"*","UC_"&amp;SUBSTITUTE(D1035,"*","")&amp;"_"&amp;SUBSTITUTE(D1035,"*","")&amp;"_"&amp;RIGHT(E1035,3)&amp;"_"&amp;F1035)))))</f>
        <v>*</v>
      </c>
      <c r="D1035" s="17" t="s">
        <v>485</v>
      </c>
      <c r="E1035" s="17" t="str">
        <f>_xlfn.XLOOKUP($A1035,Selected_constraint!$A:$A,Selected_constraint!$B:$B)</f>
        <v>TRABDS</v>
      </c>
      <c r="F1035" s="17" t="str">
        <f>_xlfn.XLOOKUP($A1035,Selected_constraint!$A:$A,Selected_constraint!$C:$C)</f>
        <v>TRAPASOBUDMD</v>
      </c>
      <c r="G1035" s="17" t="str">
        <f>F1035</f>
        <v>TRAPASOBUDMD</v>
      </c>
      <c r="H1035" s="18">
        <v>2019</v>
      </c>
      <c r="I1035" s="18" t="s">
        <v>484</v>
      </c>
      <c r="J1035" s="29" t="e">
        <f>-SUMIFS('TRA RESID'!$P:$P,'TRA RESID'!$I:$I,G1036,'TRA RESID'!$J:$J,D1036,'TRA RESID'!$H:$H,E1036)/(SUMIFS('TRA RESID'!$P:$P,'TRA RESID'!$I:$I,G1036,'TRA RESID'!$J:$J,D1036,'TRA RESID'!$H:$H,E1036)+SUMIFS('TRA RESID'!$P:$P,'TRA RESID'!$I:$I,G1035,'TRA RESID'!$J:$J,D1035,'TRA RESID'!$H:$H,E1035))</f>
        <v>#DIV/0!</v>
      </c>
      <c r="K1035" s="18">
        <v>0</v>
      </c>
      <c r="L1035" s="18">
        <v>5</v>
      </c>
      <c r="N1035" s="21">
        <v>1</v>
      </c>
    </row>
    <row r="1036" spans="1:14" x14ac:dyDescent="0.25">
      <c r="C1036" s="15" t="str">
        <f t="shared" ref="C1036:C1044" si="103">IF(C1035="*",C1035,"")</f>
        <v>*</v>
      </c>
      <c r="D1036" s="17" t="s">
        <v>487</v>
      </c>
      <c r="E1036" s="17" t="str">
        <f>E1035</f>
        <v>TRABDS</v>
      </c>
      <c r="F1036" s="17" t="str">
        <f>F1035</f>
        <v>TRAPASOBUDMD</v>
      </c>
      <c r="G1036" s="17" t="str">
        <f>G1035</f>
        <v>TRAPASOBUDMD</v>
      </c>
      <c r="H1036" s="18">
        <v>2019</v>
      </c>
      <c r="I1036" s="18"/>
      <c r="J1036" s="20" t="e">
        <f>1-(J1035*-1)</f>
        <v>#DIV/0!</v>
      </c>
      <c r="K1036" s="18"/>
      <c r="L1036" s="18"/>
      <c r="N1036" s="21"/>
    </row>
    <row r="1037" spans="1:14" x14ac:dyDescent="0.25">
      <c r="C1037" s="15" t="str">
        <f t="shared" si="103"/>
        <v>*</v>
      </c>
      <c r="D1037" s="17" t="str">
        <f>D1035</f>
        <v>*ICEV*</v>
      </c>
      <c r="E1037" s="17" t="str">
        <f>E1035</f>
        <v>TRABDS</v>
      </c>
      <c r="F1037" s="17" t="str">
        <f>F1035</f>
        <v>TRAPASOBUDMD</v>
      </c>
      <c r="G1037" s="17" t="str">
        <f>G1035</f>
        <v>TRAPASOBUDMD</v>
      </c>
      <c r="H1037" s="18">
        <v>2025</v>
      </c>
      <c r="I1037" s="18"/>
      <c r="J1037" s="29" t="e">
        <f>IF(J1035=0,-N1037+1,J1035*N1037)</f>
        <v>#DIV/0!</v>
      </c>
      <c r="K1037" s="18"/>
      <c r="L1037" s="18"/>
      <c r="N1037" s="21">
        <v>1.1000000000000001</v>
      </c>
    </row>
    <row r="1038" spans="1:14" x14ac:dyDescent="0.25">
      <c r="C1038" s="15" t="str">
        <f t="shared" si="103"/>
        <v>*</v>
      </c>
      <c r="D1038" s="17" t="s">
        <v>487</v>
      </c>
      <c r="E1038" s="17" t="str">
        <f>E1037</f>
        <v>TRABDS</v>
      </c>
      <c r="F1038" s="17" t="str">
        <f>F1037</f>
        <v>TRAPASOBUDMD</v>
      </c>
      <c r="G1038" s="17" t="str">
        <f>G1037</f>
        <v>TRAPASOBUDMD</v>
      </c>
      <c r="H1038" s="18">
        <v>2025</v>
      </c>
      <c r="I1038" s="18"/>
      <c r="J1038" s="20" t="e">
        <f>1-(J1037*-1)</f>
        <v>#DIV/0!</v>
      </c>
      <c r="K1038" s="18"/>
      <c r="L1038" s="18"/>
      <c r="N1038" s="21"/>
    </row>
    <row r="1039" spans="1:14" x14ac:dyDescent="0.25">
      <c r="C1039" s="15" t="str">
        <f t="shared" si="103"/>
        <v>*</v>
      </c>
      <c r="D1039" s="17" t="str">
        <f>D1037</f>
        <v>*ICEV*</v>
      </c>
      <c r="E1039" s="17" t="str">
        <f>E1037</f>
        <v>TRABDS</v>
      </c>
      <c r="F1039" s="17" t="str">
        <f>F1037</f>
        <v>TRAPASOBUDMD</v>
      </c>
      <c r="G1039" s="17" t="str">
        <f>G1037</f>
        <v>TRAPASOBUDMD</v>
      </c>
      <c r="H1039" s="18">
        <v>2030</v>
      </c>
      <c r="I1039" s="18"/>
      <c r="J1039" s="29" t="e">
        <f>IF(J1035=0,-N1039+1,J1035*N1039)</f>
        <v>#DIV/0!</v>
      </c>
      <c r="K1039" s="18"/>
      <c r="L1039" s="18"/>
      <c r="N1039" s="21">
        <v>1.2</v>
      </c>
    </row>
    <row r="1040" spans="1:14" x14ac:dyDescent="0.25">
      <c r="C1040" s="15" t="str">
        <f t="shared" si="103"/>
        <v>*</v>
      </c>
      <c r="D1040" s="17" t="s">
        <v>487</v>
      </c>
      <c r="E1040" s="17" t="str">
        <f>E1039</f>
        <v>TRABDS</v>
      </c>
      <c r="F1040" s="17" t="str">
        <f>F1039</f>
        <v>TRAPASOBUDMD</v>
      </c>
      <c r="G1040" s="17" t="str">
        <f>G1039</f>
        <v>TRAPASOBUDMD</v>
      </c>
      <c r="H1040" s="18">
        <v>2030</v>
      </c>
      <c r="I1040" s="18"/>
      <c r="J1040" s="20" t="e">
        <f>1-(J1039*-1)</f>
        <v>#DIV/0!</v>
      </c>
      <c r="K1040" s="18"/>
      <c r="L1040" s="18"/>
      <c r="N1040" s="21"/>
    </row>
    <row r="1041" spans="1:14" x14ac:dyDescent="0.25">
      <c r="C1041" s="15" t="str">
        <f t="shared" si="103"/>
        <v>*</v>
      </c>
      <c r="D1041" s="17" t="str">
        <f>D1039</f>
        <v>*ICEV*</v>
      </c>
      <c r="E1041" s="17" t="str">
        <f>E1039</f>
        <v>TRABDS</v>
      </c>
      <c r="F1041" s="17" t="str">
        <f>F1039</f>
        <v>TRAPASOBUDMD</v>
      </c>
      <c r="G1041" s="17" t="str">
        <f>G1039</f>
        <v>TRAPASOBUDMD</v>
      </c>
      <c r="H1041" s="18">
        <v>2040</v>
      </c>
      <c r="I1041" s="18"/>
      <c r="J1041" s="29" t="e">
        <f>IF(J1035=0,-N1041+1,J1035*N1041)</f>
        <v>#DIV/0!</v>
      </c>
      <c r="K1041" s="18"/>
      <c r="L1041" s="18"/>
      <c r="N1041" s="21">
        <v>1.3</v>
      </c>
    </row>
    <row r="1042" spans="1:14" x14ac:dyDescent="0.25">
      <c r="C1042" s="15" t="str">
        <f t="shared" si="103"/>
        <v>*</v>
      </c>
      <c r="D1042" s="17" t="s">
        <v>487</v>
      </c>
      <c r="E1042" s="17" t="str">
        <f>E1041</f>
        <v>TRABDS</v>
      </c>
      <c r="F1042" s="17" t="str">
        <f>F1041</f>
        <v>TRAPASOBUDMD</v>
      </c>
      <c r="G1042" s="17" t="str">
        <f>G1041</f>
        <v>TRAPASOBUDMD</v>
      </c>
      <c r="H1042" s="18">
        <v>2040</v>
      </c>
      <c r="I1042" s="18"/>
      <c r="J1042" s="20" t="e">
        <f>1-(J1041*-1)</f>
        <v>#DIV/0!</v>
      </c>
      <c r="K1042" s="18"/>
      <c r="L1042" s="18"/>
      <c r="N1042" s="21"/>
    </row>
    <row r="1043" spans="1:14" x14ac:dyDescent="0.25">
      <c r="C1043" s="15" t="str">
        <f t="shared" si="103"/>
        <v>*</v>
      </c>
      <c r="D1043" s="17" t="str">
        <f>D1041</f>
        <v>*ICEV*</v>
      </c>
      <c r="E1043" s="17" t="str">
        <f>E1041</f>
        <v>TRABDS</v>
      </c>
      <c r="F1043" s="17" t="str">
        <f>F1041</f>
        <v>TRAPASOBUDMD</v>
      </c>
      <c r="G1043" s="17" t="str">
        <f>G1041</f>
        <v>TRAPASOBUDMD</v>
      </c>
      <c r="H1043" s="18">
        <v>2050</v>
      </c>
      <c r="I1043" s="18"/>
      <c r="J1043" s="29" t="e">
        <f>IF(J1035=0,-N1043+1,J1035*N1043)</f>
        <v>#DIV/0!</v>
      </c>
      <c r="K1043" s="18"/>
      <c r="L1043" s="18"/>
      <c r="N1043" s="21">
        <v>1.4</v>
      </c>
    </row>
    <row r="1044" spans="1:14" x14ac:dyDescent="0.25">
      <c r="C1044" s="23" t="str">
        <f t="shared" si="103"/>
        <v>*</v>
      </c>
      <c r="D1044" s="25" t="s">
        <v>487</v>
      </c>
      <c r="E1044" s="25" t="str">
        <f>E1043</f>
        <v>TRABDS</v>
      </c>
      <c r="F1044" s="25" t="str">
        <f>F1043</f>
        <v>TRAPASOBUDMD</v>
      </c>
      <c r="G1044" s="25" t="str">
        <f>G1043</f>
        <v>TRAPASOBUDMD</v>
      </c>
      <c r="H1044" s="26">
        <v>2050</v>
      </c>
      <c r="I1044" s="26"/>
      <c r="J1044" s="27" t="e">
        <f>1-(J1043*-1)</f>
        <v>#DIV/0!</v>
      </c>
      <c r="K1044" s="26"/>
      <c r="L1044" s="26"/>
      <c r="N1044" s="28"/>
    </row>
    <row r="1045" spans="1:14" x14ac:dyDescent="0.25">
      <c r="A1045">
        <f>A1035+1</f>
        <v>105</v>
      </c>
      <c r="C1045" s="15" t="str">
        <f>IF(E1045="","",IF(SUMIFS('TRA TECH'!M:M,'TRA TECH'!J:J,D1046,'TRA TECH'!I:I,F1046,'TRA TECH'!H:H,E1046)=0,"*",IF(_xlfn.XLOOKUP($A1045,Selected_constraint!$A:$A,Selected_constraint!$D:$D)=1,"*",IF(SUMIFS('TRA TECH'!$M:$M,'TRA TECH'!$H:$H,E1045,'TRA TECH'!$I:$I,F1045)=0,"*",IF(SUMIFS('TRA RESID'!$P:$P,'TRA RESID'!$I:$I,G1045,'TRA RESID'!$J:$J,D1045,'TRA RESID'!$H:$H,E1045)=0,"*","UC_"&amp;SUBSTITUTE(D1045,"*","")&amp;"_"&amp;SUBSTITUTE(D1045,"*","")&amp;"_"&amp;RIGHT(E1045,3)&amp;"_"&amp;F1045)))))</f>
        <v>*</v>
      </c>
      <c r="D1045" s="17" t="s">
        <v>485</v>
      </c>
      <c r="E1045" s="17" t="str">
        <f>_xlfn.XLOOKUP($A1045,Selected_constraint!$A:$A,Selected_constraint!$B:$B)</f>
        <v>TRACNG</v>
      </c>
      <c r="F1045" s="17" t="str">
        <f>_xlfn.XLOOKUP($A1045,Selected_constraint!$A:$A,Selected_constraint!$C:$C)</f>
        <v>TRAPASOBUDMD</v>
      </c>
      <c r="G1045" s="17" t="str">
        <f>F1045</f>
        <v>TRAPASOBUDMD</v>
      </c>
      <c r="H1045" s="18">
        <v>2019</v>
      </c>
      <c r="I1045" s="18" t="s">
        <v>484</v>
      </c>
      <c r="J1045" s="29" t="e">
        <f>-SUMIFS('TRA RESID'!$P:$P,'TRA RESID'!$I:$I,G1046,'TRA RESID'!$J:$J,D1046,'TRA RESID'!$H:$H,E1046)/(SUMIFS('TRA RESID'!$P:$P,'TRA RESID'!$I:$I,G1046,'TRA RESID'!$J:$J,D1046,'TRA RESID'!$H:$H,E1046)+SUMIFS('TRA RESID'!$P:$P,'TRA RESID'!$I:$I,G1045,'TRA RESID'!$J:$J,D1045,'TRA RESID'!$H:$H,E1045))</f>
        <v>#DIV/0!</v>
      </c>
      <c r="K1045" s="18">
        <v>0</v>
      </c>
      <c r="L1045" s="18">
        <v>5</v>
      </c>
      <c r="N1045" s="21">
        <v>1</v>
      </c>
    </row>
    <row r="1046" spans="1:14" x14ac:dyDescent="0.25">
      <c r="C1046" s="15" t="str">
        <f t="shared" ref="C1046:C1054" si="104">IF(C1045="*",C1045,"")</f>
        <v>*</v>
      </c>
      <c r="D1046" s="17" t="s">
        <v>487</v>
      </c>
      <c r="E1046" s="17" t="str">
        <f>E1045</f>
        <v>TRACNG</v>
      </c>
      <c r="F1046" s="17" t="str">
        <f>F1045</f>
        <v>TRAPASOBUDMD</v>
      </c>
      <c r="G1046" s="17" t="str">
        <f>G1045</f>
        <v>TRAPASOBUDMD</v>
      </c>
      <c r="H1046" s="18">
        <v>2019</v>
      </c>
      <c r="I1046" s="18"/>
      <c r="J1046" s="20" t="e">
        <f>1-(J1045*-1)</f>
        <v>#DIV/0!</v>
      </c>
      <c r="K1046" s="18"/>
      <c r="L1046" s="18"/>
      <c r="N1046" s="21"/>
    </row>
    <row r="1047" spans="1:14" x14ac:dyDescent="0.25">
      <c r="C1047" s="15" t="str">
        <f t="shared" si="104"/>
        <v>*</v>
      </c>
      <c r="D1047" s="17" t="str">
        <f>D1045</f>
        <v>*ICEV*</v>
      </c>
      <c r="E1047" s="17" t="str">
        <f>E1045</f>
        <v>TRACNG</v>
      </c>
      <c r="F1047" s="17" t="str">
        <f>F1045</f>
        <v>TRAPASOBUDMD</v>
      </c>
      <c r="G1047" s="17" t="str">
        <f>G1045</f>
        <v>TRAPASOBUDMD</v>
      </c>
      <c r="H1047" s="18">
        <v>2025</v>
      </c>
      <c r="I1047" s="18"/>
      <c r="J1047" s="29" t="e">
        <f>IF(J1045=0,-N1047+1,J1045*N1047)</f>
        <v>#DIV/0!</v>
      </c>
      <c r="K1047" s="18"/>
      <c r="L1047" s="18"/>
      <c r="N1047" s="21">
        <v>1.1000000000000001</v>
      </c>
    </row>
    <row r="1048" spans="1:14" x14ac:dyDescent="0.25">
      <c r="C1048" s="15" t="str">
        <f t="shared" si="104"/>
        <v>*</v>
      </c>
      <c r="D1048" s="17" t="s">
        <v>487</v>
      </c>
      <c r="E1048" s="17" t="str">
        <f>E1047</f>
        <v>TRACNG</v>
      </c>
      <c r="F1048" s="17" t="str">
        <f>F1047</f>
        <v>TRAPASOBUDMD</v>
      </c>
      <c r="G1048" s="17" t="str">
        <f>G1047</f>
        <v>TRAPASOBUDMD</v>
      </c>
      <c r="H1048" s="18">
        <v>2025</v>
      </c>
      <c r="I1048" s="18"/>
      <c r="J1048" s="20" t="e">
        <f>1-(J1047*-1)</f>
        <v>#DIV/0!</v>
      </c>
      <c r="K1048" s="18"/>
      <c r="L1048" s="18"/>
      <c r="N1048" s="21"/>
    </row>
    <row r="1049" spans="1:14" x14ac:dyDescent="0.25">
      <c r="C1049" s="15" t="str">
        <f t="shared" si="104"/>
        <v>*</v>
      </c>
      <c r="D1049" s="17" t="str">
        <f>D1047</f>
        <v>*ICEV*</v>
      </c>
      <c r="E1049" s="17" t="str">
        <f>E1047</f>
        <v>TRACNG</v>
      </c>
      <c r="F1049" s="17" t="str">
        <f>F1047</f>
        <v>TRAPASOBUDMD</v>
      </c>
      <c r="G1049" s="17" t="str">
        <f>G1047</f>
        <v>TRAPASOBUDMD</v>
      </c>
      <c r="H1049" s="18">
        <v>2030</v>
      </c>
      <c r="I1049" s="18"/>
      <c r="J1049" s="29" t="e">
        <f>IF(J1045=0,-N1049+1,J1045*N1049)</f>
        <v>#DIV/0!</v>
      </c>
      <c r="K1049" s="18"/>
      <c r="L1049" s="18"/>
      <c r="N1049" s="21">
        <v>1.2</v>
      </c>
    </row>
    <row r="1050" spans="1:14" x14ac:dyDescent="0.25">
      <c r="C1050" s="15" t="str">
        <f t="shared" si="104"/>
        <v>*</v>
      </c>
      <c r="D1050" s="17" t="s">
        <v>487</v>
      </c>
      <c r="E1050" s="17" t="str">
        <f>E1049</f>
        <v>TRACNG</v>
      </c>
      <c r="F1050" s="17" t="str">
        <f>F1049</f>
        <v>TRAPASOBUDMD</v>
      </c>
      <c r="G1050" s="17" t="str">
        <f>G1049</f>
        <v>TRAPASOBUDMD</v>
      </c>
      <c r="H1050" s="18">
        <v>2030</v>
      </c>
      <c r="I1050" s="18"/>
      <c r="J1050" s="20" t="e">
        <f>1-(J1049*-1)</f>
        <v>#DIV/0!</v>
      </c>
      <c r="K1050" s="18"/>
      <c r="L1050" s="18"/>
      <c r="N1050" s="21"/>
    </row>
    <row r="1051" spans="1:14" x14ac:dyDescent="0.25">
      <c r="C1051" s="15" t="str">
        <f t="shared" si="104"/>
        <v>*</v>
      </c>
      <c r="D1051" s="17" t="str">
        <f>D1049</f>
        <v>*ICEV*</v>
      </c>
      <c r="E1051" s="17" t="str">
        <f>E1049</f>
        <v>TRACNG</v>
      </c>
      <c r="F1051" s="17" t="str">
        <f>F1049</f>
        <v>TRAPASOBUDMD</v>
      </c>
      <c r="G1051" s="17" t="str">
        <f>G1049</f>
        <v>TRAPASOBUDMD</v>
      </c>
      <c r="H1051" s="18">
        <v>2040</v>
      </c>
      <c r="I1051" s="18"/>
      <c r="J1051" s="29" t="e">
        <f>IF(J1045=0,-N1051+1,J1045*N1051)</f>
        <v>#DIV/0!</v>
      </c>
      <c r="K1051" s="18"/>
      <c r="L1051" s="18"/>
      <c r="N1051" s="21">
        <v>1.3</v>
      </c>
    </row>
    <row r="1052" spans="1:14" x14ac:dyDescent="0.25">
      <c r="C1052" s="15" t="str">
        <f t="shared" si="104"/>
        <v>*</v>
      </c>
      <c r="D1052" s="17" t="s">
        <v>487</v>
      </c>
      <c r="E1052" s="17" t="str">
        <f>E1051</f>
        <v>TRACNG</v>
      </c>
      <c r="F1052" s="17" t="str">
        <f>F1051</f>
        <v>TRAPASOBUDMD</v>
      </c>
      <c r="G1052" s="17" t="str">
        <f>G1051</f>
        <v>TRAPASOBUDMD</v>
      </c>
      <c r="H1052" s="18">
        <v>2040</v>
      </c>
      <c r="I1052" s="18"/>
      <c r="J1052" s="20" t="e">
        <f>1-(J1051*-1)</f>
        <v>#DIV/0!</v>
      </c>
      <c r="K1052" s="18"/>
      <c r="L1052" s="18"/>
      <c r="N1052" s="21"/>
    </row>
    <row r="1053" spans="1:14" x14ac:dyDescent="0.25">
      <c r="C1053" s="15" t="str">
        <f t="shared" si="104"/>
        <v>*</v>
      </c>
      <c r="D1053" s="17" t="str">
        <f>D1051</f>
        <v>*ICEV*</v>
      </c>
      <c r="E1053" s="17" t="str">
        <f>E1051</f>
        <v>TRACNG</v>
      </c>
      <c r="F1053" s="17" t="str">
        <f>F1051</f>
        <v>TRAPASOBUDMD</v>
      </c>
      <c r="G1053" s="17" t="str">
        <f>G1051</f>
        <v>TRAPASOBUDMD</v>
      </c>
      <c r="H1053" s="18">
        <v>2050</v>
      </c>
      <c r="I1053" s="18"/>
      <c r="J1053" s="29" t="e">
        <f>IF(J1045=0,-N1053+1,J1045*N1053)</f>
        <v>#DIV/0!</v>
      </c>
      <c r="K1053" s="18"/>
      <c r="L1053" s="18"/>
      <c r="N1053" s="21">
        <v>1.4</v>
      </c>
    </row>
    <row r="1054" spans="1:14" x14ac:dyDescent="0.25">
      <c r="C1054" s="23" t="str">
        <f t="shared" si="104"/>
        <v>*</v>
      </c>
      <c r="D1054" s="25" t="s">
        <v>487</v>
      </c>
      <c r="E1054" s="25" t="str">
        <f>E1053</f>
        <v>TRACNG</v>
      </c>
      <c r="F1054" s="25" t="str">
        <f>F1053</f>
        <v>TRAPASOBUDMD</v>
      </c>
      <c r="G1054" s="25" t="str">
        <f>G1053</f>
        <v>TRAPASOBUDMD</v>
      </c>
      <c r="H1054" s="26">
        <v>2050</v>
      </c>
      <c r="I1054" s="26"/>
      <c r="J1054" s="27" t="e">
        <f>1-(J1053*-1)</f>
        <v>#DIV/0!</v>
      </c>
      <c r="K1054" s="26"/>
      <c r="L1054" s="26"/>
      <c r="N1054" s="28"/>
    </row>
    <row r="1055" spans="1:14" x14ac:dyDescent="0.25">
      <c r="A1055">
        <f>A1045+1</f>
        <v>106</v>
      </c>
      <c r="C1055" s="15" t="str">
        <f>IF(E1055="","",IF(SUMIFS('TRA TECH'!M:M,'TRA TECH'!J:J,D1056,'TRA TECH'!I:I,F1056,'TRA TECH'!H:H,E1056)=0,"*",IF(_xlfn.XLOOKUP($A1055,Selected_constraint!$A:$A,Selected_constraint!$D:$D)=1,"*",IF(SUMIFS('TRA TECH'!$M:$M,'TRA TECH'!$H:$H,E1055,'TRA TECH'!$I:$I,F1055)=0,"*",IF(SUMIFS('TRA RESID'!$P:$P,'TRA RESID'!$I:$I,G1055,'TRA RESID'!$J:$J,D1055,'TRA RESID'!$H:$H,E1055)=0,"*","UC_"&amp;SUBSTITUTE(D1055,"*","")&amp;"_"&amp;SUBSTITUTE(D1055,"*","")&amp;"_"&amp;RIGHT(E1055,3)&amp;"_"&amp;F1055)))))</f>
        <v>*</v>
      </c>
      <c r="D1055" s="17" t="s">
        <v>485</v>
      </c>
      <c r="E1055" s="17" t="str">
        <f>_xlfn.XLOOKUP($A1055,Selected_constraint!$A:$A,Selected_constraint!$B:$B)</f>
        <v>TRARNG</v>
      </c>
      <c r="F1055" s="17" t="str">
        <f>_xlfn.XLOOKUP($A1055,Selected_constraint!$A:$A,Selected_constraint!$C:$C)</f>
        <v>TRAPASOBUDMD</v>
      </c>
      <c r="G1055" s="17" t="str">
        <f>F1055</f>
        <v>TRAPASOBUDMD</v>
      </c>
      <c r="H1055" s="18">
        <v>2019</v>
      </c>
      <c r="I1055" s="18" t="s">
        <v>484</v>
      </c>
      <c r="J1055" s="29" t="e">
        <f>-SUMIFS('TRA RESID'!$P:$P,'TRA RESID'!$I:$I,G1056,'TRA RESID'!$J:$J,D1056,'TRA RESID'!$H:$H,E1056)/(SUMIFS('TRA RESID'!$P:$P,'TRA RESID'!$I:$I,G1056,'TRA RESID'!$J:$J,D1056,'TRA RESID'!$H:$H,E1056)+SUMIFS('TRA RESID'!$P:$P,'TRA RESID'!$I:$I,G1055,'TRA RESID'!$J:$J,D1055,'TRA RESID'!$H:$H,E1055))</f>
        <v>#DIV/0!</v>
      </c>
      <c r="K1055" s="18">
        <v>0</v>
      </c>
      <c r="L1055" s="18">
        <v>5</v>
      </c>
      <c r="N1055" s="21">
        <v>1</v>
      </c>
    </row>
    <row r="1056" spans="1:14" x14ac:dyDescent="0.25">
      <c r="C1056" s="15" t="str">
        <f t="shared" ref="C1056:C1064" si="105">IF(C1055="*",C1055,"")</f>
        <v>*</v>
      </c>
      <c r="D1056" s="17" t="s">
        <v>487</v>
      </c>
      <c r="E1056" s="17" t="str">
        <f>E1055</f>
        <v>TRARNG</v>
      </c>
      <c r="F1056" s="17" t="str">
        <f>F1055</f>
        <v>TRAPASOBUDMD</v>
      </c>
      <c r="G1056" s="17" t="str">
        <f>G1055</f>
        <v>TRAPASOBUDMD</v>
      </c>
      <c r="H1056" s="18">
        <v>2019</v>
      </c>
      <c r="I1056" s="18"/>
      <c r="J1056" s="20" t="e">
        <f>1-(J1055*-1)</f>
        <v>#DIV/0!</v>
      </c>
      <c r="K1056" s="18"/>
      <c r="L1056" s="18"/>
      <c r="N1056" s="21"/>
    </row>
    <row r="1057" spans="1:14" x14ac:dyDescent="0.25">
      <c r="C1057" s="15" t="str">
        <f t="shared" si="105"/>
        <v>*</v>
      </c>
      <c r="D1057" s="17" t="str">
        <f>D1055</f>
        <v>*ICEV*</v>
      </c>
      <c r="E1057" s="17" t="str">
        <f>E1055</f>
        <v>TRARNG</v>
      </c>
      <c r="F1057" s="17" t="str">
        <f>F1055</f>
        <v>TRAPASOBUDMD</v>
      </c>
      <c r="G1057" s="17" t="str">
        <f>G1055</f>
        <v>TRAPASOBUDMD</v>
      </c>
      <c r="H1057" s="18">
        <v>2025</v>
      </c>
      <c r="I1057" s="18"/>
      <c r="J1057" s="29" t="e">
        <f>IF(J1055=0,-N1057+1,J1055*N1057)</f>
        <v>#DIV/0!</v>
      </c>
      <c r="K1057" s="18"/>
      <c r="L1057" s="18"/>
      <c r="N1057" s="21">
        <v>1.1000000000000001</v>
      </c>
    </row>
    <row r="1058" spans="1:14" x14ac:dyDescent="0.25">
      <c r="C1058" s="15" t="str">
        <f t="shared" si="105"/>
        <v>*</v>
      </c>
      <c r="D1058" s="17" t="s">
        <v>487</v>
      </c>
      <c r="E1058" s="17" t="str">
        <f>E1057</f>
        <v>TRARNG</v>
      </c>
      <c r="F1058" s="17" t="str">
        <f>F1057</f>
        <v>TRAPASOBUDMD</v>
      </c>
      <c r="G1058" s="17" t="str">
        <f>G1057</f>
        <v>TRAPASOBUDMD</v>
      </c>
      <c r="H1058" s="18">
        <v>2025</v>
      </c>
      <c r="I1058" s="18"/>
      <c r="J1058" s="20" t="e">
        <f>1-(J1057*-1)</f>
        <v>#DIV/0!</v>
      </c>
      <c r="K1058" s="18"/>
      <c r="L1058" s="18"/>
      <c r="N1058" s="21"/>
    </row>
    <row r="1059" spans="1:14" x14ac:dyDescent="0.25">
      <c r="C1059" s="15" t="str">
        <f t="shared" si="105"/>
        <v>*</v>
      </c>
      <c r="D1059" s="17" t="str">
        <f>D1057</f>
        <v>*ICEV*</v>
      </c>
      <c r="E1059" s="17" t="str">
        <f>E1057</f>
        <v>TRARNG</v>
      </c>
      <c r="F1059" s="17" t="str">
        <f>F1057</f>
        <v>TRAPASOBUDMD</v>
      </c>
      <c r="G1059" s="17" t="str">
        <f>G1057</f>
        <v>TRAPASOBUDMD</v>
      </c>
      <c r="H1059" s="18">
        <v>2030</v>
      </c>
      <c r="I1059" s="18"/>
      <c r="J1059" s="29" t="e">
        <f>IF(J1055=0,-N1059+1,J1055*N1059)</f>
        <v>#DIV/0!</v>
      </c>
      <c r="K1059" s="18"/>
      <c r="L1059" s="18"/>
      <c r="N1059" s="21">
        <v>1.2</v>
      </c>
    </row>
    <row r="1060" spans="1:14" x14ac:dyDescent="0.25">
      <c r="C1060" s="15" t="str">
        <f t="shared" si="105"/>
        <v>*</v>
      </c>
      <c r="D1060" s="17" t="s">
        <v>487</v>
      </c>
      <c r="E1060" s="17" t="str">
        <f>E1059</f>
        <v>TRARNG</v>
      </c>
      <c r="F1060" s="17" t="str">
        <f>F1059</f>
        <v>TRAPASOBUDMD</v>
      </c>
      <c r="G1060" s="17" t="str">
        <f>G1059</f>
        <v>TRAPASOBUDMD</v>
      </c>
      <c r="H1060" s="18">
        <v>2030</v>
      </c>
      <c r="I1060" s="18"/>
      <c r="J1060" s="20" t="e">
        <f>1-(J1059*-1)</f>
        <v>#DIV/0!</v>
      </c>
      <c r="K1060" s="18"/>
      <c r="L1060" s="18"/>
      <c r="N1060" s="21"/>
    </row>
    <row r="1061" spans="1:14" x14ac:dyDescent="0.25">
      <c r="C1061" s="15" t="str">
        <f t="shared" si="105"/>
        <v>*</v>
      </c>
      <c r="D1061" s="17" t="str">
        <f>D1059</f>
        <v>*ICEV*</v>
      </c>
      <c r="E1061" s="17" t="str">
        <f>E1059</f>
        <v>TRARNG</v>
      </c>
      <c r="F1061" s="17" t="str">
        <f>F1059</f>
        <v>TRAPASOBUDMD</v>
      </c>
      <c r="G1061" s="17" t="str">
        <f>G1059</f>
        <v>TRAPASOBUDMD</v>
      </c>
      <c r="H1061" s="18">
        <v>2040</v>
      </c>
      <c r="I1061" s="18"/>
      <c r="J1061" s="29" t="e">
        <f>IF(J1055=0,-N1061+1,J1055*N1061)</f>
        <v>#DIV/0!</v>
      </c>
      <c r="K1061" s="18"/>
      <c r="L1061" s="18"/>
      <c r="N1061" s="21">
        <v>1.3</v>
      </c>
    </row>
    <row r="1062" spans="1:14" x14ac:dyDescent="0.25">
      <c r="C1062" s="15" t="str">
        <f t="shared" si="105"/>
        <v>*</v>
      </c>
      <c r="D1062" s="17" t="s">
        <v>487</v>
      </c>
      <c r="E1062" s="17" t="str">
        <f>E1061</f>
        <v>TRARNG</v>
      </c>
      <c r="F1062" s="17" t="str">
        <f>F1061</f>
        <v>TRAPASOBUDMD</v>
      </c>
      <c r="G1062" s="17" t="str">
        <f>G1061</f>
        <v>TRAPASOBUDMD</v>
      </c>
      <c r="H1062" s="18">
        <v>2040</v>
      </c>
      <c r="I1062" s="18"/>
      <c r="J1062" s="20" t="e">
        <f>1-(J1061*-1)</f>
        <v>#DIV/0!</v>
      </c>
      <c r="K1062" s="18"/>
      <c r="L1062" s="18"/>
      <c r="N1062" s="21"/>
    </row>
    <row r="1063" spans="1:14" x14ac:dyDescent="0.25">
      <c r="C1063" s="15" t="str">
        <f t="shared" si="105"/>
        <v>*</v>
      </c>
      <c r="D1063" s="17" t="str">
        <f>D1061</f>
        <v>*ICEV*</v>
      </c>
      <c r="E1063" s="17" t="str">
        <f>E1061</f>
        <v>TRARNG</v>
      </c>
      <c r="F1063" s="17" t="str">
        <f>F1061</f>
        <v>TRAPASOBUDMD</v>
      </c>
      <c r="G1063" s="17" t="str">
        <f>G1061</f>
        <v>TRAPASOBUDMD</v>
      </c>
      <c r="H1063" s="18">
        <v>2050</v>
      </c>
      <c r="I1063" s="18"/>
      <c r="J1063" s="29" t="e">
        <f>IF(J1055=0,-N1063+1,J1055*N1063)</f>
        <v>#DIV/0!</v>
      </c>
      <c r="K1063" s="18"/>
      <c r="L1063" s="18"/>
      <c r="N1063" s="21">
        <v>1.4</v>
      </c>
    </row>
    <row r="1064" spans="1:14" x14ac:dyDescent="0.25">
      <c r="C1064" s="23" t="str">
        <f t="shared" si="105"/>
        <v>*</v>
      </c>
      <c r="D1064" s="25" t="s">
        <v>487</v>
      </c>
      <c r="E1064" s="25" t="str">
        <f>E1063</f>
        <v>TRARNG</v>
      </c>
      <c r="F1064" s="25" t="str">
        <f>F1063</f>
        <v>TRAPASOBUDMD</v>
      </c>
      <c r="G1064" s="25" t="str">
        <f>G1063</f>
        <v>TRAPASOBUDMD</v>
      </c>
      <c r="H1064" s="26">
        <v>2050</v>
      </c>
      <c r="I1064" s="26"/>
      <c r="J1064" s="27" t="e">
        <f>1-(J1063*-1)</f>
        <v>#DIV/0!</v>
      </c>
      <c r="K1064" s="26"/>
      <c r="L1064" s="26"/>
      <c r="N1064" s="28"/>
    </row>
    <row r="1065" spans="1:14" x14ac:dyDescent="0.25">
      <c r="A1065">
        <f>A1055+1</f>
        <v>107</v>
      </c>
      <c r="C1065" s="15" t="str">
        <f>IF(E1065="","",IF(SUMIFS('TRA TECH'!M:M,'TRA TECH'!J:J,D1066,'TRA TECH'!I:I,F1066,'TRA TECH'!H:H,E1066)=0,"*",IF(_xlfn.XLOOKUP($A1065,Selected_constraint!$A:$A,Selected_constraint!$D:$D)=1,"*",IF(SUMIFS('TRA TECH'!$M:$M,'TRA TECH'!$H:$H,E1065,'TRA TECH'!$I:$I,F1065)=0,"*",IF(SUMIFS('TRA RESID'!$P:$P,'TRA RESID'!$I:$I,G1065,'TRA RESID'!$J:$J,D1065,'TRA RESID'!$H:$H,E1065)=0,"*","UC_"&amp;SUBSTITUTE(D1065,"*","")&amp;"_"&amp;SUBSTITUTE(D1065,"*","")&amp;"_"&amp;RIGHT(E1065,3)&amp;"_"&amp;F1065)))))</f>
        <v>*</v>
      </c>
      <c r="D1065" s="17" t="s">
        <v>485</v>
      </c>
      <c r="E1065" s="17" t="str">
        <f>_xlfn.XLOOKUP($A1065,Selected_constraint!$A:$A,Selected_constraint!$B:$B)</f>
        <v>TRABAF</v>
      </c>
      <c r="F1065" s="17" t="str">
        <f>_xlfn.XLOOKUP($A1065,Selected_constraint!$A:$A,Selected_constraint!$C:$C)</f>
        <v>TRAPASOBUDMD</v>
      </c>
      <c r="G1065" s="17" t="str">
        <f>F1065</f>
        <v>TRAPASOBUDMD</v>
      </c>
      <c r="H1065" s="18">
        <v>2019</v>
      </c>
      <c r="I1065" s="18" t="s">
        <v>484</v>
      </c>
      <c r="J1065" s="29" t="e">
        <f>-SUMIFS('TRA RESID'!$P:$P,'TRA RESID'!$I:$I,G1066,'TRA RESID'!$J:$J,D1066,'TRA RESID'!$H:$H,E1066)/(SUMIFS('TRA RESID'!$P:$P,'TRA RESID'!$I:$I,G1066,'TRA RESID'!$J:$J,D1066,'TRA RESID'!$H:$H,E1066)+SUMIFS('TRA RESID'!$P:$P,'TRA RESID'!$I:$I,G1065,'TRA RESID'!$J:$J,D1065,'TRA RESID'!$H:$H,E1065))</f>
        <v>#DIV/0!</v>
      </c>
      <c r="K1065" s="18">
        <v>0</v>
      </c>
      <c r="L1065" s="18">
        <v>5</v>
      </c>
      <c r="N1065" s="21">
        <v>1</v>
      </c>
    </row>
    <row r="1066" spans="1:14" x14ac:dyDescent="0.25">
      <c r="C1066" s="15" t="str">
        <f t="shared" ref="C1066:C1074" si="106">IF(C1065="*",C1065,"")</f>
        <v>*</v>
      </c>
      <c r="D1066" s="17" t="s">
        <v>487</v>
      </c>
      <c r="E1066" s="17" t="str">
        <f>E1065</f>
        <v>TRABAF</v>
      </c>
      <c r="F1066" s="17" t="str">
        <f>F1065</f>
        <v>TRAPASOBUDMD</v>
      </c>
      <c r="G1066" s="17" t="str">
        <f>G1065</f>
        <v>TRAPASOBUDMD</v>
      </c>
      <c r="H1066" s="18">
        <v>2019</v>
      </c>
      <c r="I1066" s="18"/>
      <c r="J1066" s="20" t="e">
        <f>1-(J1065*-1)</f>
        <v>#DIV/0!</v>
      </c>
      <c r="K1066" s="18"/>
      <c r="L1066" s="18"/>
      <c r="N1066" s="21"/>
    </row>
    <row r="1067" spans="1:14" x14ac:dyDescent="0.25">
      <c r="C1067" s="15" t="str">
        <f t="shared" si="106"/>
        <v>*</v>
      </c>
      <c r="D1067" s="17" t="str">
        <f>D1065</f>
        <v>*ICEV*</v>
      </c>
      <c r="E1067" s="17" t="str">
        <f>E1065</f>
        <v>TRABAF</v>
      </c>
      <c r="F1067" s="17" t="str">
        <f>F1065</f>
        <v>TRAPASOBUDMD</v>
      </c>
      <c r="G1067" s="17" t="str">
        <f>G1065</f>
        <v>TRAPASOBUDMD</v>
      </c>
      <c r="H1067" s="18">
        <v>2025</v>
      </c>
      <c r="I1067" s="18"/>
      <c r="J1067" s="29" t="e">
        <f>IF(J1065=0,-N1067+1,J1065*N1067)</f>
        <v>#DIV/0!</v>
      </c>
      <c r="K1067" s="18"/>
      <c r="L1067" s="18"/>
      <c r="N1067" s="21">
        <v>1.1000000000000001</v>
      </c>
    </row>
    <row r="1068" spans="1:14" x14ac:dyDescent="0.25">
      <c r="C1068" s="15" t="str">
        <f t="shared" si="106"/>
        <v>*</v>
      </c>
      <c r="D1068" s="17" t="s">
        <v>487</v>
      </c>
      <c r="E1068" s="17" t="str">
        <f>E1067</f>
        <v>TRABAF</v>
      </c>
      <c r="F1068" s="17" t="str">
        <f>F1067</f>
        <v>TRAPASOBUDMD</v>
      </c>
      <c r="G1068" s="17" t="str">
        <f>G1067</f>
        <v>TRAPASOBUDMD</v>
      </c>
      <c r="H1068" s="18">
        <v>2025</v>
      </c>
      <c r="I1068" s="18"/>
      <c r="J1068" s="20" t="e">
        <f>1-(J1067*-1)</f>
        <v>#DIV/0!</v>
      </c>
      <c r="K1068" s="18"/>
      <c r="L1068" s="18"/>
      <c r="N1068" s="21"/>
    </row>
    <row r="1069" spans="1:14" x14ac:dyDescent="0.25">
      <c r="C1069" s="15" t="str">
        <f t="shared" si="106"/>
        <v>*</v>
      </c>
      <c r="D1069" s="17" t="str">
        <f>D1067</f>
        <v>*ICEV*</v>
      </c>
      <c r="E1069" s="17" t="str">
        <f>E1067</f>
        <v>TRABAF</v>
      </c>
      <c r="F1069" s="17" t="str">
        <f>F1067</f>
        <v>TRAPASOBUDMD</v>
      </c>
      <c r="G1069" s="17" t="str">
        <f>G1067</f>
        <v>TRAPASOBUDMD</v>
      </c>
      <c r="H1069" s="18">
        <v>2030</v>
      </c>
      <c r="I1069" s="18"/>
      <c r="J1069" s="29" t="e">
        <f>IF(J1065=0,-N1069+1,J1065*N1069)</f>
        <v>#DIV/0!</v>
      </c>
      <c r="K1069" s="18"/>
      <c r="L1069" s="18"/>
      <c r="N1069" s="21">
        <v>1.2</v>
      </c>
    </row>
    <row r="1070" spans="1:14" x14ac:dyDescent="0.25">
      <c r="C1070" s="15" t="str">
        <f t="shared" si="106"/>
        <v>*</v>
      </c>
      <c r="D1070" s="17" t="s">
        <v>487</v>
      </c>
      <c r="E1070" s="17" t="str">
        <f>E1069</f>
        <v>TRABAF</v>
      </c>
      <c r="F1070" s="17" t="str">
        <f>F1069</f>
        <v>TRAPASOBUDMD</v>
      </c>
      <c r="G1070" s="17" t="str">
        <f>G1069</f>
        <v>TRAPASOBUDMD</v>
      </c>
      <c r="H1070" s="18">
        <v>2030</v>
      </c>
      <c r="I1070" s="18"/>
      <c r="J1070" s="20" t="e">
        <f>1-(J1069*-1)</f>
        <v>#DIV/0!</v>
      </c>
      <c r="K1070" s="18"/>
      <c r="L1070" s="18"/>
      <c r="N1070" s="21"/>
    </row>
    <row r="1071" spans="1:14" x14ac:dyDescent="0.25">
      <c r="C1071" s="15" t="str">
        <f t="shared" si="106"/>
        <v>*</v>
      </c>
      <c r="D1071" s="17" t="str">
        <f>D1069</f>
        <v>*ICEV*</v>
      </c>
      <c r="E1071" s="17" t="str">
        <f>E1069</f>
        <v>TRABAF</v>
      </c>
      <c r="F1071" s="17" t="str">
        <f>F1069</f>
        <v>TRAPASOBUDMD</v>
      </c>
      <c r="G1071" s="17" t="str">
        <f>G1069</f>
        <v>TRAPASOBUDMD</v>
      </c>
      <c r="H1071" s="18">
        <v>2040</v>
      </c>
      <c r="I1071" s="18"/>
      <c r="J1071" s="29" t="e">
        <f>IF(J1065=0,-N1071+1,J1065*N1071)</f>
        <v>#DIV/0!</v>
      </c>
      <c r="K1071" s="18"/>
      <c r="L1071" s="18"/>
      <c r="N1071" s="21">
        <v>1.3</v>
      </c>
    </row>
    <row r="1072" spans="1:14" x14ac:dyDescent="0.25">
      <c r="C1072" s="15" t="str">
        <f t="shared" si="106"/>
        <v>*</v>
      </c>
      <c r="D1072" s="17" t="s">
        <v>487</v>
      </c>
      <c r="E1072" s="17" t="str">
        <f>E1071</f>
        <v>TRABAF</v>
      </c>
      <c r="F1072" s="17" t="str">
        <f>F1071</f>
        <v>TRAPASOBUDMD</v>
      </c>
      <c r="G1072" s="17" t="str">
        <f>G1071</f>
        <v>TRAPASOBUDMD</v>
      </c>
      <c r="H1072" s="18">
        <v>2040</v>
      </c>
      <c r="I1072" s="18"/>
      <c r="J1072" s="20" t="e">
        <f>1-(J1071*-1)</f>
        <v>#DIV/0!</v>
      </c>
      <c r="K1072" s="18"/>
      <c r="L1072" s="18"/>
      <c r="N1072" s="21"/>
    </row>
    <row r="1073" spans="1:14" x14ac:dyDescent="0.25">
      <c r="C1073" s="15" t="str">
        <f t="shared" si="106"/>
        <v>*</v>
      </c>
      <c r="D1073" s="17" t="str">
        <f>D1071</f>
        <v>*ICEV*</v>
      </c>
      <c r="E1073" s="17" t="str">
        <f>E1071</f>
        <v>TRABAF</v>
      </c>
      <c r="F1073" s="17" t="str">
        <f>F1071</f>
        <v>TRAPASOBUDMD</v>
      </c>
      <c r="G1073" s="17" t="str">
        <f>G1071</f>
        <v>TRAPASOBUDMD</v>
      </c>
      <c r="H1073" s="18">
        <v>2050</v>
      </c>
      <c r="I1073" s="18"/>
      <c r="J1073" s="29" t="e">
        <f>IF(J1065=0,-N1073+1,J1065*N1073)</f>
        <v>#DIV/0!</v>
      </c>
      <c r="K1073" s="18"/>
      <c r="L1073" s="18"/>
      <c r="N1073" s="21">
        <v>1.4</v>
      </c>
    </row>
    <row r="1074" spans="1:14" x14ac:dyDescent="0.25">
      <c r="C1074" s="23" t="str">
        <f t="shared" si="106"/>
        <v>*</v>
      </c>
      <c r="D1074" s="25" t="s">
        <v>487</v>
      </c>
      <c r="E1074" s="25" t="str">
        <f>E1073</f>
        <v>TRABAF</v>
      </c>
      <c r="F1074" s="25" t="str">
        <f>F1073</f>
        <v>TRAPASOBUDMD</v>
      </c>
      <c r="G1074" s="25" t="str">
        <f>G1073</f>
        <v>TRAPASOBUDMD</v>
      </c>
      <c r="H1074" s="26">
        <v>2050</v>
      </c>
      <c r="I1074" s="26"/>
      <c r="J1074" s="27" t="e">
        <f>1-(J1073*-1)</f>
        <v>#DIV/0!</v>
      </c>
      <c r="K1074" s="26"/>
      <c r="L1074" s="26"/>
      <c r="N1074" s="28"/>
    </row>
    <row r="1075" spans="1:14" x14ac:dyDescent="0.25">
      <c r="A1075">
        <f>A1065+1</f>
        <v>108</v>
      </c>
      <c r="C1075" s="15" t="str">
        <f>IF(E1075="","",IF(SUMIFS('TRA TECH'!M:M,'TRA TECH'!J:J,D1076,'TRA TECH'!I:I,F1076,'TRA TECH'!H:H,E1076)=0,"*",IF(_xlfn.XLOOKUP($A1075,Selected_constraint!$A:$A,Selected_constraint!$D:$D)=1,"*",IF(SUMIFS('TRA TECH'!$M:$M,'TRA TECH'!$H:$H,E1075,'TRA TECH'!$I:$I,F1075)=0,"*",IF(SUMIFS('TRA RESID'!$P:$P,'TRA RESID'!$I:$I,G1075,'TRA RESID'!$J:$J,D1075,'TRA RESID'!$H:$H,E1075)=0,"*","UC_"&amp;SUBSTITUTE(D1075,"*","")&amp;"_"&amp;SUBSTITUTE(D1075,"*","")&amp;"_"&amp;RIGHT(E1075,3)&amp;"_"&amp;F1075)))))</f>
        <v>*</v>
      </c>
      <c r="D1075" s="17" t="s">
        <v>485</v>
      </c>
      <c r="E1075" s="17" t="str">
        <f>_xlfn.XLOOKUP($A1075,Selected_constraint!$A:$A,Selected_constraint!$B:$B)</f>
        <v>TRAH2G</v>
      </c>
      <c r="F1075" s="17" t="str">
        <f>_xlfn.XLOOKUP($A1075,Selected_constraint!$A:$A,Selected_constraint!$C:$C)</f>
        <v>TRAPASOBUDMD</v>
      </c>
      <c r="G1075" s="17" t="str">
        <f>F1075</f>
        <v>TRAPASOBUDMD</v>
      </c>
      <c r="H1075" s="18">
        <v>2019</v>
      </c>
      <c r="I1075" s="18" t="s">
        <v>484</v>
      </c>
      <c r="J1075" s="29" t="e">
        <f>-SUMIFS('TRA RESID'!$P:$P,'TRA RESID'!$I:$I,G1076,'TRA RESID'!$J:$J,D1076,'TRA RESID'!$H:$H,E1076)/(SUMIFS('TRA RESID'!$P:$P,'TRA RESID'!$I:$I,G1076,'TRA RESID'!$J:$J,D1076,'TRA RESID'!$H:$H,E1076)+SUMIFS('TRA RESID'!$P:$P,'TRA RESID'!$I:$I,G1075,'TRA RESID'!$J:$J,D1075,'TRA RESID'!$H:$H,E1075))</f>
        <v>#DIV/0!</v>
      </c>
      <c r="K1075" s="18">
        <v>0</v>
      </c>
      <c r="L1075" s="18">
        <v>5</v>
      </c>
      <c r="N1075" s="21">
        <v>1</v>
      </c>
    </row>
    <row r="1076" spans="1:14" x14ac:dyDescent="0.25">
      <c r="C1076" s="15" t="str">
        <f t="shared" ref="C1076:C1084" si="107">IF(C1075="*",C1075,"")</f>
        <v>*</v>
      </c>
      <c r="D1076" s="17" t="s">
        <v>487</v>
      </c>
      <c r="E1076" s="17" t="str">
        <f>E1075</f>
        <v>TRAH2G</v>
      </c>
      <c r="F1076" s="17" t="str">
        <f>F1075</f>
        <v>TRAPASOBUDMD</v>
      </c>
      <c r="G1076" s="17" t="str">
        <f>G1075</f>
        <v>TRAPASOBUDMD</v>
      </c>
      <c r="H1076" s="18">
        <v>2019</v>
      </c>
      <c r="I1076" s="18"/>
      <c r="J1076" s="20" t="e">
        <f>1-(J1075*-1)</f>
        <v>#DIV/0!</v>
      </c>
      <c r="K1076" s="18"/>
      <c r="L1076" s="18"/>
      <c r="N1076" s="21"/>
    </row>
    <row r="1077" spans="1:14" x14ac:dyDescent="0.25">
      <c r="C1077" s="15" t="str">
        <f t="shared" si="107"/>
        <v>*</v>
      </c>
      <c r="D1077" s="17" t="str">
        <f>D1075</f>
        <v>*ICEV*</v>
      </c>
      <c r="E1077" s="17" t="str">
        <f>E1075</f>
        <v>TRAH2G</v>
      </c>
      <c r="F1077" s="17" t="str">
        <f>F1075</f>
        <v>TRAPASOBUDMD</v>
      </c>
      <c r="G1077" s="17" t="str">
        <f>G1075</f>
        <v>TRAPASOBUDMD</v>
      </c>
      <c r="H1077" s="18">
        <v>2025</v>
      </c>
      <c r="I1077" s="18"/>
      <c r="J1077" s="29" t="e">
        <f>IF(J1075=0,-N1077+1,J1075*N1077)</f>
        <v>#DIV/0!</v>
      </c>
      <c r="K1077" s="18"/>
      <c r="L1077" s="18"/>
      <c r="N1077" s="21">
        <v>1.1000000000000001</v>
      </c>
    </row>
    <row r="1078" spans="1:14" x14ac:dyDescent="0.25">
      <c r="C1078" s="15" t="str">
        <f t="shared" si="107"/>
        <v>*</v>
      </c>
      <c r="D1078" s="17" t="s">
        <v>487</v>
      </c>
      <c r="E1078" s="17" t="str">
        <f>E1077</f>
        <v>TRAH2G</v>
      </c>
      <c r="F1078" s="17" t="str">
        <f>F1077</f>
        <v>TRAPASOBUDMD</v>
      </c>
      <c r="G1078" s="17" t="str">
        <f>G1077</f>
        <v>TRAPASOBUDMD</v>
      </c>
      <c r="H1078" s="18">
        <v>2025</v>
      </c>
      <c r="I1078" s="18"/>
      <c r="J1078" s="20" t="e">
        <f>1-(J1077*-1)</f>
        <v>#DIV/0!</v>
      </c>
      <c r="K1078" s="18"/>
      <c r="L1078" s="18"/>
      <c r="N1078" s="21"/>
    </row>
    <row r="1079" spans="1:14" x14ac:dyDescent="0.25">
      <c r="C1079" s="15" t="str">
        <f t="shared" si="107"/>
        <v>*</v>
      </c>
      <c r="D1079" s="17" t="str">
        <f>D1077</f>
        <v>*ICEV*</v>
      </c>
      <c r="E1079" s="17" t="str">
        <f>E1077</f>
        <v>TRAH2G</v>
      </c>
      <c r="F1079" s="17" t="str">
        <f>F1077</f>
        <v>TRAPASOBUDMD</v>
      </c>
      <c r="G1079" s="17" t="str">
        <f>G1077</f>
        <v>TRAPASOBUDMD</v>
      </c>
      <c r="H1079" s="18">
        <v>2030</v>
      </c>
      <c r="I1079" s="18"/>
      <c r="J1079" s="29" t="e">
        <f>IF(J1075=0,-N1079+1,J1075*N1079)</f>
        <v>#DIV/0!</v>
      </c>
      <c r="K1079" s="18"/>
      <c r="L1079" s="18"/>
      <c r="N1079" s="21">
        <v>1.2</v>
      </c>
    </row>
    <row r="1080" spans="1:14" x14ac:dyDescent="0.25">
      <c r="C1080" s="15" t="str">
        <f t="shared" si="107"/>
        <v>*</v>
      </c>
      <c r="D1080" s="17" t="s">
        <v>487</v>
      </c>
      <c r="E1080" s="17" t="str">
        <f>E1079</f>
        <v>TRAH2G</v>
      </c>
      <c r="F1080" s="17" t="str">
        <f>F1079</f>
        <v>TRAPASOBUDMD</v>
      </c>
      <c r="G1080" s="17" t="str">
        <f>G1079</f>
        <v>TRAPASOBUDMD</v>
      </c>
      <c r="H1080" s="18">
        <v>2030</v>
      </c>
      <c r="I1080" s="18"/>
      <c r="J1080" s="20" t="e">
        <f>1-(J1079*-1)</f>
        <v>#DIV/0!</v>
      </c>
      <c r="K1080" s="18"/>
      <c r="L1080" s="18"/>
      <c r="N1080" s="21"/>
    </row>
    <row r="1081" spans="1:14" x14ac:dyDescent="0.25">
      <c r="C1081" s="15" t="str">
        <f t="shared" si="107"/>
        <v>*</v>
      </c>
      <c r="D1081" s="17" t="str">
        <f>D1079</f>
        <v>*ICEV*</v>
      </c>
      <c r="E1081" s="17" t="str">
        <f>E1079</f>
        <v>TRAH2G</v>
      </c>
      <c r="F1081" s="17" t="str">
        <f>F1079</f>
        <v>TRAPASOBUDMD</v>
      </c>
      <c r="G1081" s="17" t="str">
        <f>G1079</f>
        <v>TRAPASOBUDMD</v>
      </c>
      <c r="H1081" s="18">
        <v>2040</v>
      </c>
      <c r="I1081" s="18"/>
      <c r="J1081" s="29" t="e">
        <f>IF(J1075=0,-N1081+1,J1075*N1081)</f>
        <v>#DIV/0!</v>
      </c>
      <c r="K1081" s="18"/>
      <c r="L1081" s="18"/>
      <c r="N1081" s="21">
        <v>1.3</v>
      </c>
    </row>
    <row r="1082" spans="1:14" x14ac:dyDescent="0.25">
      <c r="C1082" s="15" t="str">
        <f t="shared" si="107"/>
        <v>*</v>
      </c>
      <c r="D1082" s="17" t="s">
        <v>487</v>
      </c>
      <c r="E1082" s="17" t="str">
        <f>E1081</f>
        <v>TRAH2G</v>
      </c>
      <c r="F1082" s="17" t="str">
        <f>F1081</f>
        <v>TRAPASOBUDMD</v>
      </c>
      <c r="G1082" s="17" t="str">
        <f>G1081</f>
        <v>TRAPASOBUDMD</v>
      </c>
      <c r="H1082" s="18">
        <v>2040</v>
      </c>
      <c r="I1082" s="18"/>
      <c r="J1082" s="20" t="e">
        <f>1-(J1081*-1)</f>
        <v>#DIV/0!</v>
      </c>
      <c r="K1082" s="18"/>
      <c r="L1082" s="18"/>
      <c r="N1082" s="21"/>
    </row>
    <row r="1083" spans="1:14" x14ac:dyDescent="0.25">
      <c r="C1083" s="15" t="str">
        <f t="shared" si="107"/>
        <v>*</v>
      </c>
      <c r="D1083" s="17" t="str">
        <f>D1081</f>
        <v>*ICEV*</v>
      </c>
      <c r="E1083" s="17" t="str">
        <f>E1081</f>
        <v>TRAH2G</v>
      </c>
      <c r="F1083" s="17" t="str">
        <f>F1081</f>
        <v>TRAPASOBUDMD</v>
      </c>
      <c r="G1083" s="17" t="str">
        <f>G1081</f>
        <v>TRAPASOBUDMD</v>
      </c>
      <c r="H1083" s="18">
        <v>2050</v>
      </c>
      <c r="I1083" s="18"/>
      <c r="J1083" s="29" t="e">
        <f>IF(J1075=0,-N1083+1,J1075*N1083)</f>
        <v>#DIV/0!</v>
      </c>
      <c r="K1083" s="18"/>
      <c r="L1083" s="18"/>
      <c r="N1083" s="21">
        <v>1.4</v>
      </c>
    </row>
    <row r="1084" spans="1:14" x14ac:dyDescent="0.25">
      <c r="C1084" s="23" t="str">
        <f t="shared" si="107"/>
        <v>*</v>
      </c>
      <c r="D1084" s="25" t="s">
        <v>487</v>
      </c>
      <c r="E1084" s="25" t="str">
        <f>E1083</f>
        <v>TRAH2G</v>
      </c>
      <c r="F1084" s="25" t="str">
        <f>F1083</f>
        <v>TRAPASOBUDMD</v>
      </c>
      <c r="G1084" s="25" t="str">
        <f>G1083</f>
        <v>TRAPASOBUDMD</v>
      </c>
      <c r="H1084" s="26">
        <v>2050</v>
      </c>
      <c r="I1084" s="26"/>
      <c r="J1084" s="27" t="e">
        <f>1-(J1083*-1)</f>
        <v>#DIV/0!</v>
      </c>
      <c r="K1084" s="26"/>
      <c r="L1084" s="26"/>
      <c r="N1084" s="28"/>
    </row>
    <row r="1085" spans="1:14" x14ac:dyDescent="0.25">
      <c r="A1085">
        <f>A1075+1</f>
        <v>109</v>
      </c>
      <c r="C1085" s="15" t="str">
        <f>IF(E1085="","",IF(SUMIFS('TRA TECH'!M:M,'TRA TECH'!J:J,D1086,'TRA TECH'!I:I,F1086,'TRA TECH'!H:H,E1086)=0,"*",IF(_xlfn.XLOOKUP($A1085,Selected_constraint!$A:$A,Selected_constraint!$D:$D)=1,"*",IF(SUMIFS('TRA TECH'!$M:$M,'TRA TECH'!$H:$H,E1085,'TRA TECH'!$I:$I,F1085)=0,"*",IF(SUMIFS('TRA RESID'!$P:$P,'TRA RESID'!$I:$I,G1085,'TRA RESID'!$J:$J,D1085,'TRA RESID'!$H:$H,E1085)=0,"*","UC_"&amp;SUBSTITUTE(D1085,"*","")&amp;"_"&amp;SUBSTITUTE(D1085,"*","")&amp;"_"&amp;RIGHT(E1085,3)&amp;"_"&amp;F1085)))))</f>
        <v>*</v>
      </c>
      <c r="D1085" s="17" t="s">
        <v>485</v>
      </c>
      <c r="E1085" s="17" t="str">
        <f>_xlfn.XLOOKUP($A1085,Selected_constraint!$A:$A,Selected_constraint!$B:$B)</f>
        <v>TRADSL</v>
      </c>
      <c r="F1085" s="17" t="str">
        <f>_xlfn.XLOOKUP($A1085,Selected_constraint!$A:$A,Selected_constraint!$C:$C)</f>
        <v>TRAPASRAIDMD</v>
      </c>
      <c r="G1085" s="17" t="str">
        <f>F1085</f>
        <v>TRAPASRAIDMD</v>
      </c>
      <c r="H1085" s="18">
        <v>2019</v>
      </c>
      <c r="I1085" s="18" t="s">
        <v>484</v>
      </c>
      <c r="J1085" s="29">
        <f>-SUMIFS('TRA RESID'!$P:$P,'TRA RESID'!$I:$I,G1086,'TRA RESID'!$J:$J,D1086,'TRA RESID'!$H:$H,E1086)/(SUMIFS('TRA RESID'!$P:$P,'TRA RESID'!$I:$I,G1086,'TRA RESID'!$J:$J,D1086,'TRA RESID'!$H:$H,E1086)+SUMIFS('TRA RESID'!$P:$P,'TRA RESID'!$I:$I,G1085,'TRA RESID'!$J:$J,D1085,'TRA RESID'!$H:$H,E1085))</f>
        <v>0</v>
      </c>
      <c r="K1085" s="18">
        <v>0</v>
      </c>
      <c r="L1085" s="18">
        <v>5</v>
      </c>
      <c r="N1085" s="21">
        <v>1</v>
      </c>
    </row>
    <row r="1086" spans="1:14" x14ac:dyDescent="0.25">
      <c r="C1086" s="15" t="str">
        <f t="shared" ref="C1086:C1094" si="108">IF(C1085="*",C1085,"")</f>
        <v>*</v>
      </c>
      <c r="D1086" s="17" t="s">
        <v>487</v>
      </c>
      <c r="E1086" s="17" t="str">
        <f>E1085</f>
        <v>TRADSL</v>
      </c>
      <c r="F1086" s="17" t="str">
        <f>F1085</f>
        <v>TRAPASRAIDMD</v>
      </c>
      <c r="G1086" s="17" t="str">
        <f>G1085</f>
        <v>TRAPASRAIDMD</v>
      </c>
      <c r="H1086" s="18">
        <v>2019</v>
      </c>
      <c r="I1086" s="18"/>
      <c r="J1086" s="20">
        <f>1-(J1085*-1)</f>
        <v>1</v>
      </c>
      <c r="K1086" s="18"/>
      <c r="L1086" s="18"/>
      <c r="N1086" s="21"/>
    </row>
    <row r="1087" spans="1:14" x14ac:dyDescent="0.25">
      <c r="C1087" s="15" t="str">
        <f t="shared" si="108"/>
        <v>*</v>
      </c>
      <c r="D1087" s="17" t="str">
        <f>D1085</f>
        <v>*ICEV*</v>
      </c>
      <c r="E1087" s="17" t="str">
        <f>E1085</f>
        <v>TRADSL</v>
      </c>
      <c r="F1087" s="17" t="str">
        <f>F1085</f>
        <v>TRAPASRAIDMD</v>
      </c>
      <c r="G1087" s="17" t="str">
        <f>G1085</f>
        <v>TRAPASRAIDMD</v>
      </c>
      <c r="H1087" s="18">
        <v>2025</v>
      </c>
      <c r="I1087" s="18"/>
      <c r="J1087" s="29">
        <f>IF(J1085=0,-N1087+1,J1085*N1087)</f>
        <v>-0.10000000000000009</v>
      </c>
      <c r="K1087" s="18"/>
      <c r="L1087" s="18"/>
      <c r="N1087" s="21">
        <v>1.1000000000000001</v>
      </c>
    </row>
    <row r="1088" spans="1:14" x14ac:dyDescent="0.25">
      <c r="C1088" s="15" t="str">
        <f t="shared" si="108"/>
        <v>*</v>
      </c>
      <c r="D1088" s="17" t="s">
        <v>487</v>
      </c>
      <c r="E1088" s="17" t="str">
        <f>E1087</f>
        <v>TRADSL</v>
      </c>
      <c r="F1088" s="17" t="str">
        <f>F1087</f>
        <v>TRAPASRAIDMD</v>
      </c>
      <c r="G1088" s="17" t="str">
        <f>G1087</f>
        <v>TRAPASRAIDMD</v>
      </c>
      <c r="H1088" s="18">
        <v>2025</v>
      </c>
      <c r="I1088" s="18"/>
      <c r="J1088" s="20">
        <f>1-(J1087*-1)</f>
        <v>0.89999999999999991</v>
      </c>
      <c r="K1088" s="18"/>
      <c r="L1088" s="18"/>
      <c r="N1088" s="21"/>
    </row>
    <row r="1089" spans="1:14" x14ac:dyDescent="0.25">
      <c r="C1089" s="15" t="str">
        <f t="shared" si="108"/>
        <v>*</v>
      </c>
      <c r="D1089" s="17" t="str">
        <f>D1087</f>
        <v>*ICEV*</v>
      </c>
      <c r="E1089" s="17" t="str">
        <f>E1087</f>
        <v>TRADSL</v>
      </c>
      <c r="F1089" s="17" t="str">
        <f>F1087</f>
        <v>TRAPASRAIDMD</v>
      </c>
      <c r="G1089" s="17" t="str">
        <f>G1087</f>
        <v>TRAPASRAIDMD</v>
      </c>
      <c r="H1089" s="18">
        <v>2030</v>
      </c>
      <c r="I1089" s="18"/>
      <c r="J1089" s="29">
        <f>IF(J1085=0,-N1089+1,J1085*N1089)</f>
        <v>-0.19999999999999996</v>
      </c>
      <c r="K1089" s="18"/>
      <c r="L1089" s="18"/>
      <c r="N1089" s="21">
        <v>1.2</v>
      </c>
    </row>
    <row r="1090" spans="1:14" x14ac:dyDescent="0.25">
      <c r="C1090" s="15" t="str">
        <f t="shared" si="108"/>
        <v>*</v>
      </c>
      <c r="D1090" s="17" t="s">
        <v>487</v>
      </c>
      <c r="E1090" s="17" t="str">
        <f>E1089</f>
        <v>TRADSL</v>
      </c>
      <c r="F1090" s="17" t="str">
        <f>F1089</f>
        <v>TRAPASRAIDMD</v>
      </c>
      <c r="G1090" s="17" t="str">
        <f>G1089</f>
        <v>TRAPASRAIDMD</v>
      </c>
      <c r="H1090" s="18">
        <v>2030</v>
      </c>
      <c r="I1090" s="18"/>
      <c r="J1090" s="20">
        <f>1-(J1089*-1)</f>
        <v>0.8</v>
      </c>
      <c r="K1090" s="18"/>
      <c r="L1090" s="18"/>
      <c r="N1090" s="21"/>
    </row>
    <row r="1091" spans="1:14" x14ac:dyDescent="0.25">
      <c r="C1091" s="15" t="str">
        <f t="shared" si="108"/>
        <v>*</v>
      </c>
      <c r="D1091" s="17" t="str">
        <f>D1089</f>
        <v>*ICEV*</v>
      </c>
      <c r="E1091" s="17" t="str">
        <f>E1089</f>
        <v>TRADSL</v>
      </c>
      <c r="F1091" s="17" t="str">
        <f>F1089</f>
        <v>TRAPASRAIDMD</v>
      </c>
      <c r="G1091" s="17" t="str">
        <f>G1089</f>
        <v>TRAPASRAIDMD</v>
      </c>
      <c r="H1091" s="18">
        <v>2040</v>
      </c>
      <c r="I1091" s="18"/>
      <c r="J1091" s="29">
        <f>IF(J1085=0,-N1091+1,J1085*N1091)</f>
        <v>-0.30000000000000004</v>
      </c>
      <c r="K1091" s="18"/>
      <c r="L1091" s="18"/>
      <c r="N1091" s="21">
        <v>1.3</v>
      </c>
    </row>
    <row r="1092" spans="1:14" x14ac:dyDescent="0.25">
      <c r="C1092" s="15" t="str">
        <f t="shared" si="108"/>
        <v>*</v>
      </c>
      <c r="D1092" s="17" t="s">
        <v>487</v>
      </c>
      <c r="E1092" s="17" t="str">
        <f>E1091</f>
        <v>TRADSL</v>
      </c>
      <c r="F1092" s="17" t="str">
        <f>F1091</f>
        <v>TRAPASRAIDMD</v>
      </c>
      <c r="G1092" s="17" t="str">
        <f>G1091</f>
        <v>TRAPASRAIDMD</v>
      </c>
      <c r="H1092" s="18">
        <v>2040</v>
      </c>
      <c r="I1092" s="18"/>
      <c r="J1092" s="20">
        <f>1-(J1091*-1)</f>
        <v>0.7</v>
      </c>
      <c r="K1092" s="18"/>
      <c r="L1092" s="18"/>
      <c r="N1092" s="21"/>
    </row>
    <row r="1093" spans="1:14" x14ac:dyDescent="0.25">
      <c r="C1093" s="15" t="str">
        <f t="shared" si="108"/>
        <v>*</v>
      </c>
      <c r="D1093" s="17" t="str">
        <f>D1091</f>
        <v>*ICEV*</v>
      </c>
      <c r="E1093" s="17" t="str">
        <f>E1091</f>
        <v>TRADSL</v>
      </c>
      <c r="F1093" s="17" t="str">
        <f>F1091</f>
        <v>TRAPASRAIDMD</v>
      </c>
      <c r="G1093" s="17" t="str">
        <f>G1091</f>
        <v>TRAPASRAIDMD</v>
      </c>
      <c r="H1093" s="18">
        <v>2050</v>
      </c>
      <c r="I1093" s="18"/>
      <c r="J1093" s="29">
        <f>IF(J1085=0,-N1093+1,J1085*N1093)</f>
        <v>-0.39999999999999991</v>
      </c>
      <c r="K1093" s="18"/>
      <c r="L1093" s="18"/>
      <c r="N1093" s="21">
        <v>1.4</v>
      </c>
    </row>
    <row r="1094" spans="1:14" x14ac:dyDescent="0.25">
      <c r="C1094" s="23" t="str">
        <f t="shared" si="108"/>
        <v>*</v>
      </c>
      <c r="D1094" s="25" t="s">
        <v>487</v>
      </c>
      <c r="E1094" s="25" t="str">
        <f>E1093</f>
        <v>TRADSL</v>
      </c>
      <c r="F1094" s="25" t="str">
        <f>F1093</f>
        <v>TRAPASRAIDMD</v>
      </c>
      <c r="G1094" s="25" t="str">
        <f>G1093</f>
        <v>TRAPASRAIDMD</v>
      </c>
      <c r="H1094" s="26">
        <v>2050</v>
      </c>
      <c r="I1094" s="26"/>
      <c r="J1094" s="27">
        <f>1-(J1093*-1)</f>
        <v>0.60000000000000009</v>
      </c>
      <c r="K1094" s="26"/>
      <c r="L1094" s="26"/>
      <c r="N1094" s="28"/>
    </row>
    <row r="1095" spans="1:14" x14ac:dyDescent="0.25">
      <c r="A1095">
        <f>A1085+1</f>
        <v>110</v>
      </c>
      <c r="C1095" s="15" t="str">
        <f>IF(E1095="","",IF(SUMIFS('TRA TECH'!M:M,'TRA TECH'!J:J,D1096,'TRA TECH'!I:I,F1096,'TRA TECH'!H:H,E1096)=0,"*",IF(_xlfn.XLOOKUP($A1095,Selected_constraint!$A:$A,Selected_constraint!$D:$D)=1,"*",IF(SUMIFS('TRA TECH'!$M:$M,'TRA TECH'!$H:$H,E1095,'TRA TECH'!$I:$I,F1095)=0,"*",IF(SUMIFS('TRA RESID'!$P:$P,'TRA RESID'!$I:$I,G1095,'TRA RESID'!$J:$J,D1095,'TRA RESID'!$H:$H,E1095)=0,"*","UC_"&amp;SUBSTITUTE(D1095,"*","")&amp;"_"&amp;SUBSTITUTE(D1095,"*","")&amp;"_"&amp;RIGHT(E1095,3)&amp;"_"&amp;F1095)))))</f>
        <v>*</v>
      </c>
      <c r="D1095" s="17" t="s">
        <v>485</v>
      </c>
      <c r="E1095" s="17" t="str">
        <f>_xlfn.XLOOKUP($A1095,Selected_constraint!$A:$A,Selected_constraint!$B:$B)</f>
        <v>TRARDS</v>
      </c>
      <c r="F1095" s="17" t="str">
        <f>_xlfn.XLOOKUP($A1095,Selected_constraint!$A:$A,Selected_constraint!$C:$C)</f>
        <v>TRAPASRAIDMD</v>
      </c>
      <c r="G1095" s="17" t="str">
        <f>F1095</f>
        <v>TRAPASRAIDMD</v>
      </c>
      <c r="H1095" s="18">
        <v>2019</v>
      </c>
      <c r="I1095" s="18" t="s">
        <v>484</v>
      </c>
      <c r="J1095" s="29" t="e">
        <f>-SUMIFS('TRA RESID'!$P:$P,'TRA RESID'!$I:$I,G1096,'TRA RESID'!$J:$J,D1096,'TRA RESID'!$H:$H,E1096)/(SUMIFS('TRA RESID'!$P:$P,'TRA RESID'!$I:$I,G1096,'TRA RESID'!$J:$J,D1096,'TRA RESID'!$H:$H,E1096)+SUMIFS('TRA RESID'!$P:$P,'TRA RESID'!$I:$I,G1095,'TRA RESID'!$J:$J,D1095,'TRA RESID'!$H:$H,E1095))</f>
        <v>#DIV/0!</v>
      </c>
      <c r="K1095" s="18">
        <v>0</v>
      </c>
      <c r="L1095" s="18">
        <v>5</v>
      </c>
      <c r="N1095" s="21">
        <v>1</v>
      </c>
    </row>
    <row r="1096" spans="1:14" x14ac:dyDescent="0.25">
      <c r="C1096" s="15" t="str">
        <f t="shared" ref="C1096:C1104" si="109">IF(C1095="*",C1095,"")</f>
        <v>*</v>
      </c>
      <c r="D1096" s="17" t="s">
        <v>487</v>
      </c>
      <c r="E1096" s="17" t="str">
        <f>E1095</f>
        <v>TRARDS</v>
      </c>
      <c r="F1096" s="17" t="str">
        <f>F1095</f>
        <v>TRAPASRAIDMD</v>
      </c>
      <c r="G1096" s="17" t="str">
        <f>G1095</f>
        <v>TRAPASRAIDMD</v>
      </c>
      <c r="H1096" s="18">
        <v>2019</v>
      </c>
      <c r="I1096" s="18"/>
      <c r="J1096" s="20" t="e">
        <f>1-(J1095*-1)</f>
        <v>#DIV/0!</v>
      </c>
      <c r="K1096" s="18"/>
      <c r="L1096" s="18"/>
      <c r="N1096" s="21"/>
    </row>
    <row r="1097" spans="1:14" x14ac:dyDescent="0.25">
      <c r="C1097" s="15" t="str">
        <f t="shared" si="109"/>
        <v>*</v>
      </c>
      <c r="D1097" s="17" t="str">
        <f>D1095</f>
        <v>*ICEV*</v>
      </c>
      <c r="E1097" s="17" t="str">
        <f>E1095</f>
        <v>TRARDS</v>
      </c>
      <c r="F1097" s="17" t="str">
        <f>F1095</f>
        <v>TRAPASRAIDMD</v>
      </c>
      <c r="G1097" s="17" t="str">
        <f>G1095</f>
        <v>TRAPASRAIDMD</v>
      </c>
      <c r="H1097" s="18">
        <v>2025</v>
      </c>
      <c r="I1097" s="18"/>
      <c r="J1097" s="29" t="e">
        <f>IF(J1095=0,-N1097+1,J1095*N1097)</f>
        <v>#DIV/0!</v>
      </c>
      <c r="K1097" s="18"/>
      <c r="L1097" s="18"/>
      <c r="N1097" s="21">
        <v>1.1000000000000001</v>
      </c>
    </row>
    <row r="1098" spans="1:14" x14ac:dyDescent="0.25">
      <c r="C1098" s="15" t="str">
        <f t="shared" si="109"/>
        <v>*</v>
      </c>
      <c r="D1098" s="17" t="s">
        <v>487</v>
      </c>
      <c r="E1098" s="17" t="str">
        <f>E1097</f>
        <v>TRARDS</v>
      </c>
      <c r="F1098" s="17" t="str">
        <f>F1097</f>
        <v>TRAPASRAIDMD</v>
      </c>
      <c r="G1098" s="17" t="str">
        <f>G1097</f>
        <v>TRAPASRAIDMD</v>
      </c>
      <c r="H1098" s="18">
        <v>2025</v>
      </c>
      <c r="I1098" s="18"/>
      <c r="J1098" s="20" t="e">
        <f>1-(J1097*-1)</f>
        <v>#DIV/0!</v>
      </c>
      <c r="K1098" s="18"/>
      <c r="L1098" s="18"/>
      <c r="N1098" s="21"/>
    </row>
    <row r="1099" spans="1:14" x14ac:dyDescent="0.25">
      <c r="C1099" s="15" t="str">
        <f t="shared" si="109"/>
        <v>*</v>
      </c>
      <c r="D1099" s="17" t="str">
        <f>D1097</f>
        <v>*ICEV*</v>
      </c>
      <c r="E1099" s="17" t="str">
        <f>E1097</f>
        <v>TRARDS</v>
      </c>
      <c r="F1099" s="17" t="str">
        <f>F1097</f>
        <v>TRAPASRAIDMD</v>
      </c>
      <c r="G1099" s="17" t="str">
        <f>G1097</f>
        <v>TRAPASRAIDMD</v>
      </c>
      <c r="H1099" s="18">
        <v>2030</v>
      </c>
      <c r="I1099" s="18"/>
      <c r="J1099" s="29" t="e">
        <f>IF(J1095=0,-N1099+1,J1095*N1099)</f>
        <v>#DIV/0!</v>
      </c>
      <c r="K1099" s="18"/>
      <c r="L1099" s="18"/>
      <c r="N1099" s="21">
        <v>1.2</v>
      </c>
    </row>
    <row r="1100" spans="1:14" x14ac:dyDescent="0.25">
      <c r="C1100" s="15" t="str">
        <f t="shared" si="109"/>
        <v>*</v>
      </c>
      <c r="D1100" s="17" t="s">
        <v>487</v>
      </c>
      <c r="E1100" s="17" t="str">
        <f>E1099</f>
        <v>TRARDS</v>
      </c>
      <c r="F1100" s="17" t="str">
        <f>F1099</f>
        <v>TRAPASRAIDMD</v>
      </c>
      <c r="G1100" s="17" t="str">
        <f>G1099</f>
        <v>TRAPASRAIDMD</v>
      </c>
      <c r="H1100" s="18">
        <v>2030</v>
      </c>
      <c r="I1100" s="18"/>
      <c r="J1100" s="20" t="e">
        <f>1-(J1099*-1)</f>
        <v>#DIV/0!</v>
      </c>
      <c r="K1100" s="18"/>
      <c r="L1100" s="18"/>
      <c r="N1100" s="21"/>
    </row>
    <row r="1101" spans="1:14" x14ac:dyDescent="0.25">
      <c r="C1101" s="15" t="str">
        <f t="shared" si="109"/>
        <v>*</v>
      </c>
      <c r="D1101" s="17" t="str">
        <f>D1099</f>
        <v>*ICEV*</v>
      </c>
      <c r="E1101" s="17" t="str">
        <f>E1099</f>
        <v>TRARDS</v>
      </c>
      <c r="F1101" s="17" t="str">
        <f>F1099</f>
        <v>TRAPASRAIDMD</v>
      </c>
      <c r="G1101" s="17" t="str">
        <f>G1099</f>
        <v>TRAPASRAIDMD</v>
      </c>
      <c r="H1101" s="18">
        <v>2040</v>
      </c>
      <c r="I1101" s="18"/>
      <c r="J1101" s="29" t="e">
        <f>IF(J1095=0,-N1101+1,J1095*N1101)</f>
        <v>#DIV/0!</v>
      </c>
      <c r="K1101" s="18"/>
      <c r="L1101" s="18"/>
      <c r="N1101" s="21">
        <v>1.3</v>
      </c>
    </row>
    <row r="1102" spans="1:14" x14ac:dyDescent="0.25">
      <c r="C1102" s="15" t="str">
        <f t="shared" si="109"/>
        <v>*</v>
      </c>
      <c r="D1102" s="17" t="s">
        <v>487</v>
      </c>
      <c r="E1102" s="17" t="str">
        <f>E1101</f>
        <v>TRARDS</v>
      </c>
      <c r="F1102" s="17" t="str">
        <f>F1101</f>
        <v>TRAPASRAIDMD</v>
      </c>
      <c r="G1102" s="17" t="str">
        <f>G1101</f>
        <v>TRAPASRAIDMD</v>
      </c>
      <c r="H1102" s="18">
        <v>2040</v>
      </c>
      <c r="I1102" s="18"/>
      <c r="J1102" s="20" t="e">
        <f>1-(J1101*-1)</f>
        <v>#DIV/0!</v>
      </c>
      <c r="K1102" s="18"/>
      <c r="L1102" s="18"/>
      <c r="N1102" s="21"/>
    </row>
    <row r="1103" spans="1:14" x14ac:dyDescent="0.25">
      <c r="C1103" s="15" t="str">
        <f t="shared" si="109"/>
        <v>*</v>
      </c>
      <c r="D1103" s="17" t="str">
        <f>D1101</f>
        <v>*ICEV*</v>
      </c>
      <c r="E1103" s="17" t="str">
        <f>E1101</f>
        <v>TRARDS</v>
      </c>
      <c r="F1103" s="17" t="str">
        <f>F1101</f>
        <v>TRAPASRAIDMD</v>
      </c>
      <c r="G1103" s="17" t="str">
        <f>G1101</f>
        <v>TRAPASRAIDMD</v>
      </c>
      <c r="H1103" s="18">
        <v>2050</v>
      </c>
      <c r="I1103" s="18"/>
      <c r="J1103" s="29" t="e">
        <f>IF(J1095=0,-N1103+1,J1095*N1103)</f>
        <v>#DIV/0!</v>
      </c>
      <c r="K1103" s="18"/>
      <c r="L1103" s="18"/>
      <c r="N1103" s="21">
        <v>1.4</v>
      </c>
    </row>
    <row r="1104" spans="1:14" x14ac:dyDescent="0.25">
      <c r="C1104" s="23" t="str">
        <f t="shared" si="109"/>
        <v>*</v>
      </c>
      <c r="D1104" s="25" t="s">
        <v>487</v>
      </c>
      <c r="E1104" s="25" t="str">
        <f>E1103</f>
        <v>TRARDS</v>
      </c>
      <c r="F1104" s="25" t="str">
        <f>F1103</f>
        <v>TRAPASRAIDMD</v>
      </c>
      <c r="G1104" s="25" t="str">
        <f>G1103</f>
        <v>TRAPASRAIDMD</v>
      </c>
      <c r="H1104" s="26">
        <v>2050</v>
      </c>
      <c r="I1104" s="26"/>
      <c r="J1104" s="27" t="e">
        <f>1-(J1103*-1)</f>
        <v>#DIV/0!</v>
      </c>
      <c r="K1104" s="26"/>
      <c r="L1104" s="26"/>
      <c r="N1104" s="28"/>
    </row>
    <row r="1105" spans="1:14" x14ac:dyDescent="0.25">
      <c r="A1105">
        <f>A1095+1</f>
        <v>111</v>
      </c>
      <c r="C1105" s="15" t="str">
        <f>IF(E1105="","",IF(SUMIFS('TRA TECH'!M:M,'TRA TECH'!J:J,D1106,'TRA TECH'!I:I,F1106,'TRA TECH'!H:H,E1106)=0,"*",IF(_xlfn.XLOOKUP($A1105,Selected_constraint!$A:$A,Selected_constraint!$D:$D)=1,"*",IF(SUMIFS('TRA TECH'!$M:$M,'TRA TECH'!$H:$H,E1105,'TRA TECH'!$I:$I,F1105)=0,"*",IF(SUMIFS('TRA RESID'!$P:$P,'TRA RESID'!$I:$I,G1105,'TRA RESID'!$J:$J,D1105,'TRA RESID'!$H:$H,E1105)=0,"*","UC_"&amp;SUBSTITUTE(D1105,"*","")&amp;"_"&amp;SUBSTITUTE(D1105,"*","")&amp;"_"&amp;RIGHT(E1105,3)&amp;"_"&amp;F1105)))))</f>
        <v>*</v>
      </c>
      <c r="D1105" s="17" t="s">
        <v>485</v>
      </c>
      <c r="E1105" s="17" t="str">
        <f>_xlfn.XLOOKUP($A1105,Selected_constraint!$A:$A,Selected_constraint!$B:$B)</f>
        <v>TRABDS</v>
      </c>
      <c r="F1105" s="17" t="str">
        <f>_xlfn.XLOOKUP($A1105,Selected_constraint!$A:$A,Selected_constraint!$C:$C)</f>
        <v>TRAPASRAIDMD</v>
      </c>
      <c r="G1105" s="17" t="str">
        <f>F1105</f>
        <v>TRAPASRAIDMD</v>
      </c>
      <c r="H1105" s="18">
        <v>2019</v>
      </c>
      <c r="I1105" s="18" t="s">
        <v>484</v>
      </c>
      <c r="J1105" s="29" t="e">
        <f>-SUMIFS('TRA RESID'!$P:$P,'TRA RESID'!$I:$I,G1106,'TRA RESID'!$J:$J,D1106,'TRA RESID'!$H:$H,E1106)/(SUMIFS('TRA RESID'!$P:$P,'TRA RESID'!$I:$I,G1106,'TRA RESID'!$J:$J,D1106,'TRA RESID'!$H:$H,E1106)+SUMIFS('TRA RESID'!$P:$P,'TRA RESID'!$I:$I,G1105,'TRA RESID'!$J:$J,D1105,'TRA RESID'!$H:$H,E1105))</f>
        <v>#DIV/0!</v>
      </c>
      <c r="K1105" s="18">
        <v>0</v>
      </c>
      <c r="L1105" s="18">
        <v>5</v>
      </c>
      <c r="N1105" s="21">
        <v>1</v>
      </c>
    </row>
    <row r="1106" spans="1:14" x14ac:dyDescent="0.25">
      <c r="C1106" s="15" t="str">
        <f t="shared" ref="C1106:C1114" si="110">IF(C1105="*",C1105,"")</f>
        <v>*</v>
      </c>
      <c r="D1106" s="17" t="s">
        <v>487</v>
      </c>
      <c r="E1106" s="17" t="str">
        <f>E1105</f>
        <v>TRABDS</v>
      </c>
      <c r="F1106" s="17" t="str">
        <f>F1105</f>
        <v>TRAPASRAIDMD</v>
      </c>
      <c r="G1106" s="17" t="str">
        <f>G1105</f>
        <v>TRAPASRAIDMD</v>
      </c>
      <c r="H1106" s="18">
        <v>2019</v>
      </c>
      <c r="I1106" s="18"/>
      <c r="J1106" s="20" t="e">
        <f>1-(J1105*-1)</f>
        <v>#DIV/0!</v>
      </c>
      <c r="K1106" s="18"/>
      <c r="L1106" s="18"/>
      <c r="N1106" s="21"/>
    </row>
    <row r="1107" spans="1:14" x14ac:dyDescent="0.25">
      <c r="C1107" s="15" t="str">
        <f t="shared" si="110"/>
        <v>*</v>
      </c>
      <c r="D1107" s="17" t="str">
        <f>D1105</f>
        <v>*ICEV*</v>
      </c>
      <c r="E1107" s="17" t="str">
        <f>E1105</f>
        <v>TRABDS</v>
      </c>
      <c r="F1107" s="17" t="str">
        <f>F1105</f>
        <v>TRAPASRAIDMD</v>
      </c>
      <c r="G1107" s="17" t="str">
        <f>G1105</f>
        <v>TRAPASRAIDMD</v>
      </c>
      <c r="H1107" s="18">
        <v>2025</v>
      </c>
      <c r="I1107" s="18"/>
      <c r="J1107" s="29" t="e">
        <f>IF(J1105=0,-N1107+1,J1105*N1107)</f>
        <v>#DIV/0!</v>
      </c>
      <c r="K1107" s="18"/>
      <c r="L1107" s="18"/>
      <c r="N1107" s="21">
        <v>1.1000000000000001</v>
      </c>
    </row>
    <row r="1108" spans="1:14" x14ac:dyDescent="0.25">
      <c r="C1108" s="15" t="str">
        <f t="shared" si="110"/>
        <v>*</v>
      </c>
      <c r="D1108" s="17" t="s">
        <v>487</v>
      </c>
      <c r="E1108" s="17" t="str">
        <f>E1107</f>
        <v>TRABDS</v>
      </c>
      <c r="F1108" s="17" t="str">
        <f>F1107</f>
        <v>TRAPASRAIDMD</v>
      </c>
      <c r="G1108" s="17" t="str">
        <f>G1107</f>
        <v>TRAPASRAIDMD</v>
      </c>
      <c r="H1108" s="18">
        <v>2025</v>
      </c>
      <c r="I1108" s="18"/>
      <c r="J1108" s="20" t="e">
        <f>1-(J1107*-1)</f>
        <v>#DIV/0!</v>
      </c>
      <c r="K1108" s="18"/>
      <c r="L1108" s="18"/>
      <c r="N1108" s="21"/>
    </row>
    <row r="1109" spans="1:14" x14ac:dyDescent="0.25">
      <c r="C1109" s="15" t="str">
        <f t="shared" si="110"/>
        <v>*</v>
      </c>
      <c r="D1109" s="17" t="str">
        <f>D1107</f>
        <v>*ICEV*</v>
      </c>
      <c r="E1109" s="17" t="str">
        <f>E1107</f>
        <v>TRABDS</v>
      </c>
      <c r="F1109" s="17" t="str">
        <f>F1107</f>
        <v>TRAPASRAIDMD</v>
      </c>
      <c r="G1109" s="17" t="str">
        <f>G1107</f>
        <v>TRAPASRAIDMD</v>
      </c>
      <c r="H1109" s="18">
        <v>2030</v>
      </c>
      <c r="I1109" s="18"/>
      <c r="J1109" s="29" t="e">
        <f>IF(J1105=0,-N1109+1,J1105*N1109)</f>
        <v>#DIV/0!</v>
      </c>
      <c r="K1109" s="18"/>
      <c r="L1109" s="18"/>
      <c r="N1109" s="21">
        <v>1.2</v>
      </c>
    </row>
    <row r="1110" spans="1:14" x14ac:dyDescent="0.25">
      <c r="C1110" s="15" t="str">
        <f t="shared" si="110"/>
        <v>*</v>
      </c>
      <c r="D1110" s="17" t="s">
        <v>487</v>
      </c>
      <c r="E1110" s="17" t="str">
        <f>E1109</f>
        <v>TRABDS</v>
      </c>
      <c r="F1110" s="17" t="str">
        <f>F1109</f>
        <v>TRAPASRAIDMD</v>
      </c>
      <c r="G1110" s="17" t="str">
        <f>G1109</f>
        <v>TRAPASRAIDMD</v>
      </c>
      <c r="H1110" s="18">
        <v>2030</v>
      </c>
      <c r="I1110" s="18"/>
      <c r="J1110" s="20" t="e">
        <f>1-(J1109*-1)</f>
        <v>#DIV/0!</v>
      </c>
      <c r="K1110" s="18"/>
      <c r="L1110" s="18"/>
      <c r="N1110" s="21"/>
    </row>
    <row r="1111" spans="1:14" x14ac:dyDescent="0.25">
      <c r="C1111" s="15" t="str">
        <f t="shared" si="110"/>
        <v>*</v>
      </c>
      <c r="D1111" s="17" t="str">
        <f>D1109</f>
        <v>*ICEV*</v>
      </c>
      <c r="E1111" s="17" t="str">
        <f>E1109</f>
        <v>TRABDS</v>
      </c>
      <c r="F1111" s="17" t="str">
        <f>F1109</f>
        <v>TRAPASRAIDMD</v>
      </c>
      <c r="G1111" s="17" t="str">
        <f>G1109</f>
        <v>TRAPASRAIDMD</v>
      </c>
      <c r="H1111" s="18">
        <v>2040</v>
      </c>
      <c r="I1111" s="18"/>
      <c r="J1111" s="29" t="e">
        <f>IF(J1105=0,-N1111+1,J1105*N1111)</f>
        <v>#DIV/0!</v>
      </c>
      <c r="K1111" s="18"/>
      <c r="L1111" s="18"/>
      <c r="N1111" s="21">
        <v>1.3</v>
      </c>
    </row>
    <row r="1112" spans="1:14" x14ac:dyDescent="0.25">
      <c r="C1112" s="15" t="str">
        <f t="shared" si="110"/>
        <v>*</v>
      </c>
      <c r="D1112" s="17" t="s">
        <v>487</v>
      </c>
      <c r="E1112" s="17" t="str">
        <f>E1111</f>
        <v>TRABDS</v>
      </c>
      <c r="F1112" s="17" t="str">
        <f>F1111</f>
        <v>TRAPASRAIDMD</v>
      </c>
      <c r="G1112" s="17" t="str">
        <f>G1111</f>
        <v>TRAPASRAIDMD</v>
      </c>
      <c r="H1112" s="18">
        <v>2040</v>
      </c>
      <c r="I1112" s="18"/>
      <c r="J1112" s="20" t="e">
        <f>1-(J1111*-1)</f>
        <v>#DIV/0!</v>
      </c>
      <c r="K1112" s="18"/>
      <c r="L1112" s="18"/>
      <c r="N1112" s="21"/>
    </row>
    <row r="1113" spans="1:14" x14ac:dyDescent="0.25">
      <c r="C1113" s="15" t="str">
        <f t="shared" si="110"/>
        <v>*</v>
      </c>
      <c r="D1113" s="17" t="str">
        <f>D1111</f>
        <v>*ICEV*</v>
      </c>
      <c r="E1113" s="17" t="str">
        <f>E1111</f>
        <v>TRABDS</v>
      </c>
      <c r="F1113" s="17" t="str">
        <f>F1111</f>
        <v>TRAPASRAIDMD</v>
      </c>
      <c r="G1113" s="17" t="str">
        <f>G1111</f>
        <v>TRAPASRAIDMD</v>
      </c>
      <c r="H1113" s="18">
        <v>2050</v>
      </c>
      <c r="I1113" s="18"/>
      <c r="J1113" s="29" t="e">
        <f>IF(J1105=0,-N1113+1,J1105*N1113)</f>
        <v>#DIV/0!</v>
      </c>
      <c r="K1113" s="18"/>
      <c r="L1113" s="18"/>
      <c r="N1113" s="21">
        <v>1.4</v>
      </c>
    </row>
    <row r="1114" spans="1:14" x14ac:dyDescent="0.25">
      <c r="C1114" s="23" t="str">
        <f t="shared" si="110"/>
        <v>*</v>
      </c>
      <c r="D1114" s="25" t="s">
        <v>487</v>
      </c>
      <c r="E1114" s="25" t="str">
        <f>E1113</f>
        <v>TRABDS</v>
      </c>
      <c r="F1114" s="25" t="str">
        <f>F1113</f>
        <v>TRAPASRAIDMD</v>
      </c>
      <c r="G1114" s="25" t="str">
        <f>G1113</f>
        <v>TRAPASRAIDMD</v>
      </c>
      <c r="H1114" s="26">
        <v>2050</v>
      </c>
      <c r="I1114" s="26"/>
      <c r="J1114" s="27" t="e">
        <f>1-(J1113*-1)</f>
        <v>#DIV/0!</v>
      </c>
      <c r="K1114" s="26"/>
      <c r="L1114" s="26"/>
      <c r="N1114" s="28"/>
    </row>
    <row r="1115" spans="1:14" x14ac:dyDescent="0.25">
      <c r="A1115">
        <f>A1105+1</f>
        <v>112</v>
      </c>
      <c r="C1115" s="15" t="str">
        <f>IF(E1115="","",IF(SUMIFS('TRA TECH'!M:M,'TRA TECH'!J:J,D1116,'TRA TECH'!I:I,F1116,'TRA TECH'!H:H,E1116)=0,"*",IF(_xlfn.XLOOKUP($A1115,Selected_constraint!$A:$A,Selected_constraint!$D:$D)=1,"*",IF(SUMIFS('TRA TECH'!$M:$M,'TRA TECH'!$H:$H,E1115,'TRA TECH'!$I:$I,F1115)=0,"*",IF(SUMIFS('TRA RESID'!$P:$P,'TRA RESID'!$I:$I,G1115,'TRA RESID'!$J:$J,D1115,'TRA RESID'!$H:$H,E1115)=0,"*","UC_"&amp;SUBSTITUTE(D1115,"*","")&amp;"_"&amp;SUBSTITUTE(D1115,"*","")&amp;"_"&amp;RIGHT(E1115,3)&amp;"_"&amp;F1115)))))</f>
        <v>*</v>
      </c>
      <c r="D1115" s="17" t="s">
        <v>485</v>
      </c>
      <c r="E1115" s="17" t="str">
        <f>_xlfn.XLOOKUP($A1115,Selected_constraint!$A:$A,Selected_constraint!$B:$B)</f>
        <v>TRACNG</v>
      </c>
      <c r="F1115" s="17" t="str">
        <f>_xlfn.XLOOKUP($A1115,Selected_constraint!$A:$A,Selected_constraint!$C:$C)</f>
        <v>TRAPASRAIDMD</v>
      </c>
      <c r="G1115" s="17" t="str">
        <f>F1115</f>
        <v>TRAPASRAIDMD</v>
      </c>
      <c r="H1115" s="18">
        <v>2019</v>
      </c>
      <c r="I1115" s="18" t="s">
        <v>484</v>
      </c>
      <c r="J1115" s="29" t="e">
        <f>-SUMIFS('TRA RESID'!$P:$P,'TRA RESID'!$I:$I,G1116,'TRA RESID'!$J:$J,D1116,'TRA RESID'!$H:$H,E1116)/(SUMIFS('TRA RESID'!$P:$P,'TRA RESID'!$I:$I,G1116,'TRA RESID'!$J:$J,D1116,'TRA RESID'!$H:$H,E1116)+SUMIFS('TRA RESID'!$P:$P,'TRA RESID'!$I:$I,G1115,'TRA RESID'!$J:$J,D1115,'TRA RESID'!$H:$H,E1115))</f>
        <v>#DIV/0!</v>
      </c>
      <c r="K1115" s="18">
        <v>0</v>
      </c>
      <c r="L1115" s="18">
        <v>5</v>
      </c>
      <c r="N1115" s="21">
        <v>1</v>
      </c>
    </row>
    <row r="1116" spans="1:14" x14ac:dyDescent="0.25">
      <c r="C1116" s="15" t="str">
        <f t="shared" ref="C1116:C1124" si="111">IF(C1115="*",C1115,"")</f>
        <v>*</v>
      </c>
      <c r="D1116" s="17" t="s">
        <v>487</v>
      </c>
      <c r="E1116" s="17" t="str">
        <f>E1115</f>
        <v>TRACNG</v>
      </c>
      <c r="F1116" s="17" t="str">
        <f>F1115</f>
        <v>TRAPASRAIDMD</v>
      </c>
      <c r="G1116" s="17" t="str">
        <f>G1115</f>
        <v>TRAPASRAIDMD</v>
      </c>
      <c r="H1116" s="18">
        <v>2019</v>
      </c>
      <c r="I1116" s="18"/>
      <c r="J1116" s="20" t="e">
        <f>1-(J1115*-1)</f>
        <v>#DIV/0!</v>
      </c>
      <c r="K1116" s="18"/>
      <c r="L1116" s="18"/>
      <c r="N1116" s="21"/>
    </row>
    <row r="1117" spans="1:14" x14ac:dyDescent="0.25">
      <c r="C1117" s="15" t="str">
        <f t="shared" si="111"/>
        <v>*</v>
      </c>
      <c r="D1117" s="17" t="str">
        <f>D1115</f>
        <v>*ICEV*</v>
      </c>
      <c r="E1117" s="17" t="str">
        <f>E1115</f>
        <v>TRACNG</v>
      </c>
      <c r="F1117" s="17" t="str">
        <f>F1115</f>
        <v>TRAPASRAIDMD</v>
      </c>
      <c r="G1117" s="17" t="str">
        <f>G1115</f>
        <v>TRAPASRAIDMD</v>
      </c>
      <c r="H1117" s="18">
        <v>2025</v>
      </c>
      <c r="I1117" s="18"/>
      <c r="J1117" s="29" t="e">
        <f>IF(J1115=0,-N1117+1,J1115*N1117)</f>
        <v>#DIV/0!</v>
      </c>
      <c r="K1117" s="18"/>
      <c r="L1117" s="18"/>
      <c r="N1117" s="21">
        <v>1.1000000000000001</v>
      </c>
    </row>
    <row r="1118" spans="1:14" x14ac:dyDescent="0.25">
      <c r="C1118" s="15" t="str">
        <f t="shared" si="111"/>
        <v>*</v>
      </c>
      <c r="D1118" s="17" t="s">
        <v>487</v>
      </c>
      <c r="E1118" s="17" t="str">
        <f>E1117</f>
        <v>TRACNG</v>
      </c>
      <c r="F1118" s="17" t="str">
        <f>F1117</f>
        <v>TRAPASRAIDMD</v>
      </c>
      <c r="G1118" s="17" t="str">
        <f>G1117</f>
        <v>TRAPASRAIDMD</v>
      </c>
      <c r="H1118" s="18">
        <v>2025</v>
      </c>
      <c r="I1118" s="18"/>
      <c r="J1118" s="20" t="e">
        <f>1-(J1117*-1)</f>
        <v>#DIV/0!</v>
      </c>
      <c r="K1118" s="18"/>
      <c r="L1118" s="18"/>
      <c r="N1118" s="21"/>
    </row>
    <row r="1119" spans="1:14" x14ac:dyDescent="0.25">
      <c r="C1119" s="15" t="str">
        <f t="shared" si="111"/>
        <v>*</v>
      </c>
      <c r="D1119" s="17" t="str">
        <f>D1117</f>
        <v>*ICEV*</v>
      </c>
      <c r="E1119" s="17" t="str">
        <f>E1117</f>
        <v>TRACNG</v>
      </c>
      <c r="F1119" s="17" t="str">
        <f>F1117</f>
        <v>TRAPASRAIDMD</v>
      </c>
      <c r="G1119" s="17" t="str">
        <f>G1117</f>
        <v>TRAPASRAIDMD</v>
      </c>
      <c r="H1119" s="18">
        <v>2030</v>
      </c>
      <c r="I1119" s="18"/>
      <c r="J1119" s="29" t="e">
        <f>IF(J1115=0,-N1119+1,J1115*N1119)</f>
        <v>#DIV/0!</v>
      </c>
      <c r="K1119" s="18"/>
      <c r="L1119" s="18"/>
      <c r="N1119" s="21">
        <v>1.2</v>
      </c>
    </row>
    <row r="1120" spans="1:14" x14ac:dyDescent="0.25">
      <c r="C1120" s="15" t="str">
        <f t="shared" si="111"/>
        <v>*</v>
      </c>
      <c r="D1120" s="17" t="s">
        <v>487</v>
      </c>
      <c r="E1120" s="17" t="str">
        <f>E1119</f>
        <v>TRACNG</v>
      </c>
      <c r="F1120" s="17" t="str">
        <f>F1119</f>
        <v>TRAPASRAIDMD</v>
      </c>
      <c r="G1120" s="17" t="str">
        <f>G1119</f>
        <v>TRAPASRAIDMD</v>
      </c>
      <c r="H1120" s="18">
        <v>2030</v>
      </c>
      <c r="I1120" s="18"/>
      <c r="J1120" s="20" t="e">
        <f>1-(J1119*-1)</f>
        <v>#DIV/0!</v>
      </c>
      <c r="K1120" s="18"/>
      <c r="L1120" s="18"/>
      <c r="N1120" s="21"/>
    </row>
    <row r="1121" spans="1:14" x14ac:dyDescent="0.25">
      <c r="C1121" s="15" t="str">
        <f t="shared" si="111"/>
        <v>*</v>
      </c>
      <c r="D1121" s="17" t="str">
        <f>D1119</f>
        <v>*ICEV*</v>
      </c>
      <c r="E1121" s="17" t="str">
        <f>E1119</f>
        <v>TRACNG</v>
      </c>
      <c r="F1121" s="17" t="str">
        <f>F1119</f>
        <v>TRAPASRAIDMD</v>
      </c>
      <c r="G1121" s="17" t="str">
        <f>G1119</f>
        <v>TRAPASRAIDMD</v>
      </c>
      <c r="H1121" s="18">
        <v>2040</v>
      </c>
      <c r="I1121" s="18"/>
      <c r="J1121" s="29" t="e">
        <f>IF(J1115=0,-N1121+1,J1115*N1121)</f>
        <v>#DIV/0!</v>
      </c>
      <c r="K1121" s="18"/>
      <c r="L1121" s="18"/>
      <c r="N1121" s="21">
        <v>1.3</v>
      </c>
    </row>
    <row r="1122" spans="1:14" x14ac:dyDescent="0.25">
      <c r="C1122" s="15" t="str">
        <f t="shared" si="111"/>
        <v>*</v>
      </c>
      <c r="D1122" s="17" t="s">
        <v>487</v>
      </c>
      <c r="E1122" s="17" t="str">
        <f>E1121</f>
        <v>TRACNG</v>
      </c>
      <c r="F1122" s="17" t="str">
        <f>F1121</f>
        <v>TRAPASRAIDMD</v>
      </c>
      <c r="G1122" s="17" t="str">
        <f>G1121</f>
        <v>TRAPASRAIDMD</v>
      </c>
      <c r="H1122" s="18">
        <v>2040</v>
      </c>
      <c r="I1122" s="18"/>
      <c r="J1122" s="20" t="e">
        <f>1-(J1121*-1)</f>
        <v>#DIV/0!</v>
      </c>
      <c r="K1122" s="18"/>
      <c r="L1122" s="18"/>
      <c r="N1122" s="21"/>
    </row>
    <row r="1123" spans="1:14" x14ac:dyDescent="0.25">
      <c r="C1123" s="15" t="str">
        <f t="shared" si="111"/>
        <v>*</v>
      </c>
      <c r="D1123" s="17" t="str">
        <f>D1121</f>
        <v>*ICEV*</v>
      </c>
      <c r="E1123" s="17" t="str">
        <f>E1121</f>
        <v>TRACNG</v>
      </c>
      <c r="F1123" s="17" t="str">
        <f>F1121</f>
        <v>TRAPASRAIDMD</v>
      </c>
      <c r="G1123" s="17" t="str">
        <f>G1121</f>
        <v>TRAPASRAIDMD</v>
      </c>
      <c r="H1123" s="18">
        <v>2050</v>
      </c>
      <c r="I1123" s="18"/>
      <c r="J1123" s="29" t="e">
        <f>IF(J1115=0,-N1123+1,J1115*N1123)</f>
        <v>#DIV/0!</v>
      </c>
      <c r="K1123" s="18"/>
      <c r="L1123" s="18"/>
      <c r="N1123" s="21">
        <v>1.4</v>
      </c>
    </row>
    <row r="1124" spans="1:14" x14ac:dyDescent="0.25">
      <c r="C1124" s="23" t="str">
        <f t="shared" si="111"/>
        <v>*</v>
      </c>
      <c r="D1124" s="25" t="s">
        <v>487</v>
      </c>
      <c r="E1124" s="25" t="str">
        <f>E1123</f>
        <v>TRACNG</v>
      </c>
      <c r="F1124" s="25" t="str">
        <f>F1123</f>
        <v>TRAPASRAIDMD</v>
      </c>
      <c r="G1124" s="25" t="str">
        <f>G1123</f>
        <v>TRAPASRAIDMD</v>
      </c>
      <c r="H1124" s="26">
        <v>2050</v>
      </c>
      <c r="I1124" s="26"/>
      <c r="J1124" s="27" t="e">
        <f>1-(J1123*-1)</f>
        <v>#DIV/0!</v>
      </c>
      <c r="K1124" s="26"/>
      <c r="L1124" s="26"/>
      <c r="N1124" s="28"/>
    </row>
    <row r="1125" spans="1:14" x14ac:dyDescent="0.25">
      <c r="A1125">
        <f>A1115+1</f>
        <v>113</v>
      </c>
      <c r="C1125" s="15" t="str">
        <f>IF(E1125="","",IF(SUMIFS('TRA TECH'!M:M,'TRA TECH'!J:J,D1126,'TRA TECH'!I:I,F1126,'TRA TECH'!H:H,E1126)=0,"*",IF(_xlfn.XLOOKUP($A1125,Selected_constraint!$A:$A,Selected_constraint!$D:$D)=1,"*",IF(SUMIFS('TRA TECH'!$M:$M,'TRA TECH'!$H:$H,E1125,'TRA TECH'!$I:$I,F1125)=0,"*",IF(SUMIFS('TRA RESID'!$P:$P,'TRA RESID'!$I:$I,G1125,'TRA RESID'!$J:$J,D1125,'TRA RESID'!$H:$H,E1125)=0,"*","UC_"&amp;SUBSTITUTE(D1125,"*","")&amp;"_"&amp;SUBSTITUTE(D1125,"*","")&amp;"_"&amp;RIGHT(E1125,3)&amp;"_"&amp;F1125)))))</f>
        <v>*</v>
      </c>
      <c r="D1125" s="17" t="s">
        <v>485</v>
      </c>
      <c r="E1125" s="17" t="str">
        <f>_xlfn.XLOOKUP($A1125,Selected_constraint!$A:$A,Selected_constraint!$B:$B)</f>
        <v>TRARNG</v>
      </c>
      <c r="F1125" s="17" t="str">
        <f>_xlfn.XLOOKUP($A1125,Selected_constraint!$A:$A,Selected_constraint!$C:$C)</f>
        <v>TRAPASRAIDMD</v>
      </c>
      <c r="G1125" s="17" t="str">
        <f>F1125</f>
        <v>TRAPASRAIDMD</v>
      </c>
      <c r="H1125" s="18">
        <v>2019</v>
      </c>
      <c r="I1125" s="18" t="s">
        <v>484</v>
      </c>
      <c r="J1125" s="29" t="e">
        <f>-SUMIFS('TRA RESID'!$P:$P,'TRA RESID'!$I:$I,G1126,'TRA RESID'!$J:$J,D1126,'TRA RESID'!$H:$H,E1126)/(SUMIFS('TRA RESID'!$P:$P,'TRA RESID'!$I:$I,G1126,'TRA RESID'!$J:$J,D1126,'TRA RESID'!$H:$H,E1126)+SUMIFS('TRA RESID'!$P:$P,'TRA RESID'!$I:$I,G1125,'TRA RESID'!$J:$J,D1125,'TRA RESID'!$H:$H,E1125))</f>
        <v>#DIV/0!</v>
      </c>
      <c r="K1125" s="18">
        <v>0</v>
      </c>
      <c r="L1125" s="18">
        <v>5</v>
      </c>
      <c r="N1125" s="21">
        <v>1</v>
      </c>
    </row>
    <row r="1126" spans="1:14" x14ac:dyDescent="0.25">
      <c r="C1126" s="15" t="str">
        <f t="shared" ref="C1126:C1134" si="112">IF(C1125="*",C1125,"")</f>
        <v>*</v>
      </c>
      <c r="D1126" s="17" t="s">
        <v>487</v>
      </c>
      <c r="E1126" s="17" t="str">
        <f>E1125</f>
        <v>TRARNG</v>
      </c>
      <c r="F1126" s="17" t="str">
        <f>F1125</f>
        <v>TRAPASRAIDMD</v>
      </c>
      <c r="G1126" s="17" t="str">
        <f>G1125</f>
        <v>TRAPASRAIDMD</v>
      </c>
      <c r="H1126" s="18">
        <v>2019</v>
      </c>
      <c r="I1126" s="18"/>
      <c r="J1126" s="20" t="e">
        <f>1-(J1125*-1)</f>
        <v>#DIV/0!</v>
      </c>
      <c r="K1126" s="18"/>
      <c r="L1126" s="18"/>
      <c r="N1126" s="21"/>
    </row>
    <row r="1127" spans="1:14" x14ac:dyDescent="0.25">
      <c r="C1127" s="15" t="str">
        <f t="shared" si="112"/>
        <v>*</v>
      </c>
      <c r="D1127" s="17" t="str">
        <f>D1125</f>
        <v>*ICEV*</v>
      </c>
      <c r="E1127" s="17" t="str">
        <f>E1125</f>
        <v>TRARNG</v>
      </c>
      <c r="F1127" s="17" t="str">
        <f>F1125</f>
        <v>TRAPASRAIDMD</v>
      </c>
      <c r="G1127" s="17" t="str">
        <f>G1125</f>
        <v>TRAPASRAIDMD</v>
      </c>
      <c r="H1127" s="18">
        <v>2025</v>
      </c>
      <c r="I1127" s="18"/>
      <c r="J1127" s="29" t="e">
        <f>IF(J1125=0,-N1127+1,J1125*N1127)</f>
        <v>#DIV/0!</v>
      </c>
      <c r="K1127" s="18"/>
      <c r="L1127" s="18"/>
      <c r="N1127" s="21">
        <v>1.1000000000000001</v>
      </c>
    </row>
    <row r="1128" spans="1:14" x14ac:dyDescent="0.25">
      <c r="C1128" s="15" t="str">
        <f t="shared" si="112"/>
        <v>*</v>
      </c>
      <c r="D1128" s="17" t="s">
        <v>487</v>
      </c>
      <c r="E1128" s="17" t="str">
        <f>E1127</f>
        <v>TRARNG</v>
      </c>
      <c r="F1128" s="17" t="str">
        <f>F1127</f>
        <v>TRAPASRAIDMD</v>
      </c>
      <c r="G1128" s="17" t="str">
        <f>G1127</f>
        <v>TRAPASRAIDMD</v>
      </c>
      <c r="H1128" s="18">
        <v>2025</v>
      </c>
      <c r="I1128" s="18"/>
      <c r="J1128" s="20" t="e">
        <f>1-(J1127*-1)</f>
        <v>#DIV/0!</v>
      </c>
      <c r="K1128" s="18"/>
      <c r="L1128" s="18"/>
      <c r="N1128" s="21"/>
    </row>
    <row r="1129" spans="1:14" x14ac:dyDescent="0.25">
      <c r="C1129" s="15" t="str">
        <f t="shared" si="112"/>
        <v>*</v>
      </c>
      <c r="D1129" s="17" t="str">
        <f>D1127</f>
        <v>*ICEV*</v>
      </c>
      <c r="E1129" s="17" t="str">
        <f>E1127</f>
        <v>TRARNG</v>
      </c>
      <c r="F1129" s="17" t="str">
        <f>F1127</f>
        <v>TRAPASRAIDMD</v>
      </c>
      <c r="G1129" s="17" t="str">
        <f>G1127</f>
        <v>TRAPASRAIDMD</v>
      </c>
      <c r="H1129" s="18">
        <v>2030</v>
      </c>
      <c r="I1129" s="18"/>
      <c r="J1129" s="29" t="e">
        <f>IF(J1125=0,-N1129+1,J1125*N1129)</f>
        <v>#DIV/0!</v>
      </c>
      <c r="K1129" s="18"/>
      <c r="L1129" s="18"/>
      <c r="N1129" s="21">
        <v>1.2</v>
      </c>
    </row>
    <row r="1130" spans="1:14" x14ac:dyDescent="0.25">
      <c r="C1130" s="15" t="str">
        <f t="shared" si="112"/>
        <v>*</v>
      </c>
      <c r="D1130" s="17" t="s">
        <v>487</v>
      </c>
      <c r="E1130" s="17" t="str">
        <f>E1129</f>
        <v>TRARNG</v>
      </c>
      <c r="F1130" s="17" t="str">
        <f>F1129</f>
        <v>TRAPASRAIDMD</v>
      </c>
      <c r="G1130" s="17" t="str">
        <f>G1129</f>
        <v>TRAPASRAIDMD</v>
      </c>
      <c r="H1130" s="18">
        <v>2030</v>
      </c>
      <c r="I1130" s="18"/>
      <c r="J1130" s="20" t="e">
        <f>1-(J1129*-1)</f>
        <v>#DIV/0!</v>
      </c>
      <c r="K1130" s="18"/>
      <c r="L1130" s="18"/>
      <c r="N1130" s="21"/>
    </row>
    <row r="1131" spans="1:14" x14ac:dyDescent="0.25">
      <c r="C1131" s="15" t="str">
        <f t="shared" si="112"/>
        <v>*</v>
      </c>
      <c r="D1131" s="17" t="str">
        <f>D1129</f>
        <v>*ICEV*</v>
      </c>
      <c r="E1131" s="17" t="str">
        <f>E1129</f>
        <v>TRARNG</v>
      </c>
      <c r="F1131" s="17" t="str">
        <f>F1129</f>
        <v>TRAPASRAIDMD</v>
      </c>
      <c r="G1131" s="17" t="str">
        <f>G1129</f>
        <v>TRAPASRAIDMD</v>
      </c>
      <c r="H1131" s="18">
        <v>2040</v>
      </c>
      <c r="I1131" s="18"/>
      <c r="J1131" s="29" t="e">
        <f>IF(J1125=0,-N1131+1,J1125*N1131)</f>
        <v>#DIV/0!</v>
      </c>
      <c r="K1131" s="18"/>
      <c r="L1131" s="18"/>
      <c r="N1131" s="21">
        <v>1.3</v>
      </c>
    </row>
    <row r="1132" spans="1:14" x14ac:dyDescent="0.25">
      <c r="C1132" s="15" t="str">
        <f t="shared" si="112"/>
        <v>*</v>
      </c>
      <c r="D1132" s="17" t="s">
        <v>487</v>
      </c>
      <c r="E1132" s="17" t="str">
        <f>E1131</f>
        <v>TRARNG</v>
      </c>
      <c r="F1132" s="17" t="str">
        <f>F1131</f>
        <v>TRAPASRAIDMD</v>
      </c>
      <c r="G1132" s="17" t="str">
        <f>G1131</f>
        <v>TRAPASRAIDMD</v>
      </c>
      <c r="H1132" s="18">
        <v>2040</v>
      </c>
      <c r="I1132" s="18"/>
      <c r="J1132" s="20" t="e">
        <f>1-(J1131*-1)</f>
        <v>#DIV/0!</v>
      </c>
      <c r="K1132" s="18"/>
      <c r="L1132" s="18"/>
      <c r="N1132" s="21"/>
    </row>
    <row r="1133" spans="1:14" x14ac:dyDescent="0.25">
      <c r="C1133" s="15" t="str">
        <f t="shared" si="112"/>
        <v>*</v>
      </c>
      <c r="D1133" s="17" t="str">
        <f>D1131</f>
        <v>*ICEV*</v>
      </c>
      <c r="E1133" s="17" t="str">
        <f>E1131</f>
        <v>TRARNG</v>
      </c>
      <c r="F1133" s="17" t="str">
        <f>F1131</f>
        <v>TRAPASRAIDMD</v>
      </c>
      <c r="G1133" s="17" t="str">
        <f>G1131</f>
        <v>TRAPASRAIDMD</v>
      </c>
      <c r="H1133" s="18">
        <v>2050</v>
      </c>
      <c r="I1133" s="18"/>
      <c r="J1133" s="29" t="e">
        <f>IF(J1125=0,-N1133+1,J1125*N1133)</f>
        <v>#DIV/0!</v>
      </c>
      <c r="K1133" s="18"/>
      <c r="L1133" s="18"/>
      <c r="N1133" s="21">
        <v>1.4</v>
      </c>
    </row>
    <row r="1134" spans="1:14" x14ac:dyDescent="0.25">
      <c r="C1134" s="23" t="str">
        <f t="shared" si="112"/>
        <v>*</v>
      </c>
      <c r="D1134" s="25" t="s">
        <v>487</v>
      </c>
      <c r="E1134" s="25" t="str">
        <f>E1133</f>
        <v>TRARNG</v>
      </c>
      <c r="F1134" s="25" t="str">
        <f>F1133</f>
        <v>TRAPASRAIDMD</v>
      </c>
      <c r="G1134" s="25" t="str">
        <f>G1133</f>
        <v>TRAPASRAIDMD</v>
      </c>
      <c r="H1134" s="26">
        <v>2050</v>
      </c>
      <c r="I1134" s="26"/>
      <c r="J1134" s="27" t="e">
        <f>1-(J1133*-1)</f>
        <v>#DIV/0!</v>
      </c>
      <c r="K1134" s="26"/>
      <c r="L1134" s="26"/>
      <c r="N1134" s="28"/>
    </row>
    <row r="1135" spans="1:14" x14ac:dyDescent="0.25">
      <c r="A1135">
        <f>A1125+1</f>
        <v>114</v>
      </c>
      <c r="C1135" s="15" t="str">
        <f>IF(E1135="","",IF(SUMIFS('TRA TECH'!M:M,'TRA TECH'!J:J,D1136,'TRA TECH'!I:I,F1136,'TRA TECH'!H:H,E1136)=0,"*",IF(_xlfn.XLOOKUP($A1135,Selected_constraint!$A:$A,Selected_constraint!$D:$D)=1,"*",IF(SUMIFS('TRA TECH'!$M:$M,'TRA TECH'!$H:$H,E1135,'TRA TECH'!$I:$I,F1135)=0,"*",IF(SUMIFS('TRA RESID'!$P:$P,'TRA RESID'!$I:$I,G1135,'TRA RESID'!$J:$J,D1135,'TRA RESID'!$H:$H,E1135)=0,"*","UC_"&amp;SUBSTITUTE(D1135,"*","")&amp;"_"&amp;SUBSTITUTE(D1135,"*","")&amp;"_"&amp;RIGHT(E1135,3)&amp;"_"&amp;F1135)))))</f>
        <v>*</v>
      </c>
      <c r="D1135" s="17" t="s">
        <v>485</v>
      </c>
      <c r="E1135" s="17" t="str">
        <f>_xlfn.XLOOKUP($A1135,Selected_constraint!$A:$A,Selected_constraint!$B:$B)</f>
        <v>TRAELC</v>
      </c>
      <c r="F1135" s="17" t="str">
        <f>_xlfn.XLOOKUP($A1135,Selected_constraint!$A:$A,Selected_constraint!$C:$C)</f>
        <v>TRAPASRAIDMD</v>
      </c>
      <c r="G1135" s="17" t="str">
        <f>F1135</f>
        <v>TRAPASRAIDMD</v>
      </c>
      <c r="H1135" s="18">
        <v>2019</v>
      </c>
      <c r="I1135" s="18" t="s">
        <v>484</v>
      </c>
      <c r="J1135" s="29" t="e">
        <f>-SUMIFS('TRA RESID'!$P:$P,'TRA RESID'!$I:$I,G1136,'TRA RESID'!$J:$J,D1136,'TRA RESID'!$H:$H,E1136)/(SUMIFS('TRA RESID'!$P:$P,'TRA RESID'!$I:$I,G1136,'TRA RESID'!$J:$J,D1136,'TRA RESID'!$H:$H,E1136)+SUMIFS('TRA RESID'!$P:$P,'TRA RESID'!$I:$I,G1135,'TRA RESID'!$J:$J,D1135,'TRA RESID'!$H:$H,E1135))</f>
        <v>#DIV/0!</v>
      </c>
      <c r="K1135" s="18">
        <v>0</v>
      </c>
      <c r="L1135" s="18">
        <v>5</v>
      </c>
      <c r="N1135" s="21">
        <v>1</v>
      </c>
    </row>
    <row r="1136" spans="1:14" x14ac:dyDescent="0.25">
      <c r="C1136" s="15" t="str">
        <f t="shared" ref="C1136:C1144" si="113">IF(C1135="*",C1135,"")</f>
        <v>*</v>
      </c>
      <c r="D1136" s="17" t="s">
        <v>487</v>
      </c>
      <c r="E1136" s="17" t="str">
        <f>E1135</f>
        <v>TRAELC</v>
      </c>
      <c r="F1136" s="17" t="str">
        <f>F1135</f>
        <v>TRAPASRAIDMD</v>
      </c>
      <c r="G1136" s="17" t="str">
        <f>G1135</f>
        <v>TRAPASRAIDMD</v>
      </c>
      <c r="H1136" s="18">
        <v>2019</v>
      </c>
      <c r="I1136" s="18"/>
      <c r="J1136" s="20" t="e">
        <f>1-(J1135*-1)</f>
        <v>#DIV/0!</v>
      </c>
      <c r="K1136" s="18"/>
      <c r="L1136" s="18"/>
      <c r="N1136" s="21"/>
    </row>
    <row r="1137" spans="1:14" x14ac:dyDescent="0.25">
      <c r="C1137" s="15" t="str">
        <f t="shared" si="113"/>
        <v>*</v>
      </c>
      <c r="D1137" s="17" t="str">
        <f>D1135</f>
        <v>*ICEV*</v>
      </c>
      <c r="E1137" s="17" t="str">
        <f>E1135</f>
        <v>TRAELC</v>
      </c>
      <c r="F1137" s="17" t="str">
        <f>F1135</f>
        <v>TRAPASRAIDMD</v>
      </c>
      <c r="G1137" s="17" t="str">
        <f>G1135</f>
        <v>TRAPASRAIDMD</v>
      </c>
      <c r="H1137" s="18">
        <v>2025</v>
      </c>
      <c r="I1137" s="18"/>
      <c r="J1137" s="29" t="e">
        <f>IF(J1135=0,-N1137+1,J1135*N1137)</f>
        <v>#DIV/0!</v>
      </c>
      <c r="K1137" s="18"/>
      <c r="L1137" s="18"/>
      <c r="N1137" s="21">
        <v>1.1000000000000001</v>
      </c>
    </row>
    <row r="1138" spans="1:14" x14ac:dyDescent="0.25">
      <c r="C1138" s="15" t="str">
        <f t="shared" si="113"/>
        <v>*</v>
      </c>
      <c r="D1138" s="17" t="s">
        <v>487</v>
      </c>
      <c r="E1138" s="17" t="str">
        <f>E1137</f>
        <v>TRAELC</v>
      </c>
      <c r="F1138" s="17" t="str">
        <f>F1137</f>
        <v>TRAPASRAIDMD</v>
      </c>
      <c r="G1138" s="17" t="str">
        <f>G1137</f>
        <v>TRAPASRAIDMD</v>
      </c>
      <c r="H1138" s="18">
        <v>2025</v>
      </c>
      <c r="I1138" s="18"/>
      <c r="J1138" s="20" t="e">
        <f>1-(J1137*-1)</f>
        <v>#DIV/0!</v>
      </c>
      <c r="K1138" s="18"/>
      <c r="L1138" s="18"/>
      <c r="N1138" s="21"/>
    </row>
    <row r="1139" spans="1:14" x14ac:dyDescent="0.25">
      <c r="C1139" s="15" t="str">
        <f t="shared" si="113"/>
        <v>*</v>
      </c>
      <c r="D1139" s="17" t="str">
        <f>D1137</f>
        <v>*ICEV*</v>
      </c>
      <c r="E1139" s="17" t="str">
        <f>E1137</f>
        <v>TRAELC</v>
      </c>
      <c r="F1139" s="17" t="str">
        <f>F1137</f>
        <v>TRAPASRAIDMD</v>
      </c>
      <c r="G1139" s="17" t="str">
        <f>G1137</f>
        <v>TRAPASRAIDMD</v>
      </c>
      <c r="H1139" s="18">
        <v>2030</v>
      </c>
      <c r="I1139" s="18"/>
      <c r="J1139" s="29" t="e">
        <f>IF(J1135=0,-N1139+1,J1135*N1139)</f>
        <v>#DIV/0!</v>
      </c>
      <c r="K1139" s="18"/>
      <c r="L1139" s="18"/>
      <c r="N1139" s="21">
        <v>1.2</v>
      </c>
    </row>
    <row r="1140" spans="1:14" x14ac:dyDescent="0.25">
      <c r="C1140" s="15" t="str">
        <f t="shared" si="113"/>
        <v>*</v>
      </c>
      <c r="D1140" s="17" t="s">
        <v>487</v>
      </c>
      <c r="E1140" s="17" t="str">
        <f>E1139</f>
        <v>TRAELC</v>
      </c>
      <c r="F1140" s="17" t="str">
        <f>F1139</f>
        <v>TRAPASRAIDMD</v>
      </c>
      <c r="G1140" s="17" t="str">
        <f>G1139</f>
        <v>TRAPASRAIDMD</v>
      </c>
      <c r="H1140" s="18">
        <v>2030</v>
      </c>
      <c r="I1140" s="18"/>
      <c r="J1140" s="20" t="e">
        <f>1-(J1139*-1)</f>
        <v>#DIV/0!</v>
      </c>
      <c r="K1140" s="18"/>
      <c r="L1140" s="18"/>
      <c r="N1140" s="21"/>
    </row>
    <row r="1141" spans="1:14" x14ac:dyDescent="0.25">
      <c r="C1141" s="15" t="str">
        <f t="shared" si="113"/>
        <v>*</v>
      </c>
      <c r="D1141" s="17" t="str">
        <f>D1139</f>
        <v>*ICEV*</v>
      </c>
      <c r="E1141" s="17" t="str">
        <f>E1139</f>
        <v>TRAELC</v>
      </c>
      <c r="F1141" s="17" t="str">
        <f>F1139</f>
        <v>TRAPASRAIDMD</v>
      </c>
      <c r="G1141" s="17" t="str">
        <f>G1139</f>
        <v>TRAPASRAIDMD</v>
      </c>
      <c r="H1141" s="18">
        <v>2040</v>
      </c>
      <c r="I1141" s="18"/>
      <c r="J1141" s="29" t="e">
        <f>IF(J1135=0,-N1141+1,J1135*N1141)</f>
        <v>#DIV/0!</v>
      </c>
      <c r="K1141" s="18"/>
      <c r="L1141" s="18"/>
      <c r="N1141" s="21">
        <v>1.3</v>
      </c>
    </row>
    <row r="1142" spans="1:14" x14ac:dyDescent="0.25">
      <c r="C1142" s="15" t="str">
        <f t="shared" si="113"/>
        <v>*</v>
      </c>
      <c r="D1142" s="17" t="s">
        <v>487</v>
      </c>
      <c r="E1142" s="17" t="str">
        <f>E1141</f>
        <v>TRAELC</v>
      </c>
      <c r="F1142" s="17" t="str">
        <f>F1141</f>
        <v>TRAPASRAIDMD</v>
      </c>
      <c r="G1142" s="17" t="str">
        <f>G1141</f>
        <v>TRAPASRAIDMD</v>
      </c>
      <c r="H1142" s="18">
        <v>2040</v>
      </c>
      <c r="I1142" s="18"/>
      <c r="J1142" s="20" t="e">
        <f>1-(J1141*-1)</f>
        <v>#DIV/0!</v>
      </c>
      <c r="K1142" s="18"/>
      <c r="L1142" s="18"/>
      <c r="N1142" s="21"/>
    </row>
    <row r="1143" spans="1:14" x14ac:dyDescent="0.25">
      <c r="C1143" s="15" t="str">
        <f t="shared" si="113"/>
        <v>*</v>
      </c>
      <c r="D1143" s="17" t="str">
        <f>D1141</f>
        <v>*ICEV*</v>
      </c>
      <c r="E1143" s="17" t="str">
        <f>E1141</f>
        <v>TRAELC</v>
      </c>
      <c r="F1143" s="17" t="str">
        <f>F1141</f>
        <v>TRAPASRAIDMD</v>
      </c>
      <c r="G1143" s="17" t="str">
        <f>G1141</f>
        <v>TRAPASRAIDMD</v>
      </c>
      <c r="H1143" s="18">
        <v>2050</v>
      </c>
      <c r="I1143" s="18"/>
      <c r="J1143" s="29" t="e">
        <f>IF(J1135=0,-N1143+1,J1135*N1143)</f>
        <v>#DIV/0!</v>
      </c>
      <c r="K1143" s="18"/>
      <c r="L1143" s="18"/>
      <c r="N1143" s="21">
        <v>1.4</v>
      </c>
    </row>
    <row r="1144" spans="1:14" x14ac:dyDescent="0.25">
      <c r="C1144" s="23" t="str">
        <f t="shared" si="113"/>
        <v>*</v>
      </c>
      <c r="D1144" s="25" t="s">
        <v>487</v>
      </c>
      <c r="E1144" s="25" t="str">
        <f>E1143</f>
        <v>TRAELC</v>
      </c>
      <c r="F1144" s="25" t="str">
        <f>F1143</f>
        <v>TRAPASRAIDMD</v>
      </c>
      <c r="G1144" s="25" t="str">
        <f>G1143</f>
        <v>TRAPASRAIDMD</v>
      </c>
      <c r="H1144" s="26">
        <v>2050</v>
      </c>
      <c r="I1144" s="26"/>
      <c r="J1144" s="27" t="e">
        <f>1-(J1143*-1)</f>
        <v>#DIV/0!</v>
      </c>
      <c r="K1144" s="26"/>
      <c r="L1144" s="26"/>
      <c r="N1144" s="28"/>
    </row>
    <row r="1145" spans="1:14" x14ac:dyDescent="0.25">
      <c r="A1145">
        <f>A1135+1</f>
        <v>115</v>
      </c>
      <c r="C1145" s="15" t="str">
        <f>IF(E1145="","",IF(SUMIFS('TRA TECH'!M:M,'TRA TECH'!J:J,D1146,'TRA TECH'!I:I,F1146,'TRA TECH'!H:H,E1146)=0,"*",IF(_xlfn.XLOOKUP($A1145,Selected_constraint!$A:$A,Selected_constraint!$D:$D)=1,"*",IF(SUMIFS('TRA TECH'!$M:$M,'TRA TECH'!$H:$H,E1145,'TRA TECH'!$I:$I,F1145)=0,"*",IF(SUMIFS('TRA RESID'!$P:$P,'TRA RESID'!$I:$I,G1145,'TRA RESID'!$J:$J,D1145,'TRA RESID'!$H:$H,E1145)=0,"*","UC_"&amp;SUBSTITUTE(D1145,"*","")&amp;"_"&amp;SUBSTITUTE(D1145,"*","")&amp;"_"&amp;RIGHT(E1145,3)&amp;"_"&amp;F1145)))))</f>
        <v>*</v>
      </c>
      <c r="D1145" s="17" t="s">
        <v>485</v>
      </c>
      <c r="E1145" s="17" t="str">
        <f>_xlfn.XLOOKUP($A1145,Selected_constraint!$A:$A,Selected_constraint!$B:$B)</f>
        <v>TRAH2G</v>
      </c>
      <c r="F1145" s="17" t="str">
        <f>_xlfn.XLOOKUP($A1145,Selected_constraint!$A:$A,Selected_constraint!$C:$C)</f>
        <v>TRAPASRAIDMD</v>
      </c>
      <c r="G1145" s="17" t="str">
        <f>F1145</f>
        <v>TRAPASRAIDMD</v>
      </c>
      <c r="H1145" s="18">
        <v>2019</v>
      </c>
      <c r="I1145" s="18" t="s">
        <v>484</v>
      </c>
      <c r="J1145" s="29" t="e">
        <f>-SUMIFS('TRA RESID'!$P:$P,'TRA RESID'!$I:$I,G1146,'TRA RESID'!$J:$J,D1146,'TRA RESID'!$H:$H,E1146)/(SUMIFS('TRA RESID'!$P:$P,'TRA RESID'!$I:$I,G1146,'TRA RESID'!$J:$J,D1146,'TRA RESID'!$H:$H,E1146)+SUMIFS('TRA RESID'!$P:$P,'TRA RESID'!$I:$I,G1145,'TRA RESID'!$J:$J,D1145,'TRA RESID'!$H:$H,E1145))</f>
        <v>#DIV/0!</v>
      </c>
      <c r="K1145" s="18">
        <v>0</v>
      </c>
      <c r="L1145" s="18">
        <v>5</v>
      </c>
      <c r="N1145" s="21">
        <v>1</v>
      </c>
    </row>
    <row r="1146" spans="1:14" x14ac:dyDescent="0.25">
      <c r="C1146" s="15" t="str">
        <f t="shared" ref="C1146:C1154" si="114">IF(C1145="*",C1145,"")</f>
        <v>*</v>
      </c>
      <c r="D1146" s="17" t="s">
        <v>487</v>
      </c>
      <c r="E1146" s="17" t="str">
        <f>E1145</f>
        <v>TRAH2G</v>
      </c>
      <c r="F1146" s="17" t="str">
        <f>F1145</f>
        <v>TRAPASRAIDMD</v>
      </c>
      <c r="G1146" s="17" t="str">
        <f>G1145</f>
        <v>TRAPASRAIDMD</v>
      </c>
      <c r="H1146" s="18">
        <v>2019</v>
      </c>
      <c r="I1146" s="18"/>
      <c r="J1146" s="20" t="e">
        <f>1-(J1145*-1)</f>
        <v>#DIV/0!</v>
      </c>
      <c r="K1146" s="18"/>
      <c r="L1146" s="18"/>
      <c r="N1146" s="21"/>
    </row>
    <row r="1147" spans="1:14" x14ac:dyDescent="0.25">
      <c r="C1147" s="15" t="str">
        <f t="shared" si="114"/>
        <v>*</v>
      </c>
      <c r="D1147" s="17" t="str">
        <f>D1145</f>
        <v>*ICEV*</v>
      </c>
      <c r="E1147" s="17" t="str">
        <f>E1145</f>
        <v>TRAH2G</v>
      </c>
      <c r="F1147" s="17" t="str">
        <f>F1145</f>
        <v>TRAPASRAIDMD</v>
      </c>
      <c r="G1147" s="17" t="str">
        <f>G1145</f>
        <v>TRAPASRAIDMD</v>
      </c>
      <c r="H1147" s="18">
        <v>2025</v>
      </c>
      <c r="I1147" s="18"/>
      <c r="J1147" s="29" t="e">
        <f>IF(J1145=0,-N1147+1,J1145*N1147)</f>
        <v>#DIV/0!</v>
      </c>
      <c r="K1147" s="18"/>
      <c r="L1147" s="18"/>
      <c r="N1147" s="21">
        <v>1.1000000000000001</v>
      </c>
    </row>
    <row r="1148" spans="1:14" x14ac:dyDescent="0.25">
      <c r="C1148" s="15" t="str">
        <f t="shared" si="114"/>
        <v>*</v>
      </c>
      <c r="D1148" s="17" t="s">
        <v>487</v>
      </c>
      <c r="E1148" s="17" t="str">
        <f>E1147</f>
        <v>TRAH2G</v>
      </c>
      <c r="F1148" s="17" t="str">
        <f>F1147</f>
        <v>TRAPASRAIDMD</v>
      </c>
      <c r="G1148" s="17" t="str">
        <f>G1147</f>
        <v>TRAPASRAIDMD</v>
      </c>
      <c r="H1148" s="18">
        <v>2025</v>
      </c>
      <c r="I1148" s="18"/>
      <c r="J1148" s="20" t="e">
        <f>1-(J1147*-1)</f>
        <v>#DIV/0!</v>
      </c>
      <c r="K1148" s="18"/>
      <c r="L1148" s="18"/>
      <c r="N1148" s="21"/>
    </row>
    <row r="1149" spans="1:14" x14ac:dyDescent="0.25">
      <c r="C1149" s="15" t="str">
        <f t="shared" si="114"/>
        <v>*</v>
      </c>
      <c r="D1149" s="17" t="str">
        <f>D1147</f>
        <v>*ICEV*</v>
      </c>
      <c r="E1149" s="17" t="str">
        <f>E1147</f>
        <v>TRAH2G</v>
      </c>
      <c r="F1149" s="17" t="str">
        <f>F1147</f>
        <v>TRAPASRAIDMD</v>
      </c>
      <c r="G1149" s="17" t="str">
        <f>G1147</f>
        <v>TRAPASRAIDMD</v>
      </c>
      <c r="H1149" s="18">
        <v>2030</v>
      </c>
      <c r="I1149" s="18"/>
      <c r="J1149" s="29" t="e">
        <f>IF(J1145=0,-N1149+1,J1145*N1149)</f>
        <v>#DIV/0!</v>
      </c>
      <c r="K1149" s="18"/>
      <c r="L1149" s="18"/>
      <c r="N1149" s="21">
        <v>1.2</v>
      </c>
    </row>
    <row r="1150" spans="1:14" x14ac:dyDescent="0.25">
      <c r="C1150" s="15" t="str">
        <f t="shared" si="114"/>
        <v>*</v>
      </c>
      <c r="D1150" s="17" t="s">
        <v>487</v>
      </c>
      <c r="E1150" s="17" t="str">
        <f>E1149</f>
        <v>TRAH2G</v>
      </c>
      <c r="F1150" s="17" t="str">
        <f>F1149</f>
        <v>TRAPASRAIDMD</v>
      </c>
      <c r="G1150" s="17" t="str">
        <f>G1149</f>
        <v>TRAPASRAIDMD</v>
      </c>
      <c r="H1150" s="18">
        <v>2030</v>
      </c>
      <c r="I1150" s="18"/>
      <c r="J1150" s="20" t="e">
        <f>1-(J1149*-1)</f>
        <v>#DIV/0!</v>
      </c>
      <c r="K1150" s="18"/>
      <c r="L1150" s="18"/>
      <c r="N1150" s="21"/>
    </row>
    <row r="1151" spans="1:14" x14ac:dyDescent="0.25">
      <c r="C1151" s="15" t="str">
        <f t="shared" si="114"/>
        <v>*</v>
      </c>
      <c r="D1151" s="17" t="str">
        <f>D1149</f>
        <v>*ICEV*</v>
      </c>
      <c r="E1151" s="17" t="str">
        <f>E1149</f>
        <v>TRAH2G</v>
      </c>
      <c r="F1151" s="17" t="str">
        <f>F1149</f>
        <v>TRAPASRAIDMD</v>
      </c>
      <c r="G1151" s="17" t="str">
        <f>G1149</f>
        <v>TRAPASRAIDMD</v>
      </c>
      <c r="H1151" s="18">
        <v>2040</v>
      </c>
      <c r="I1151" s="18"/>
      <c r="J1151" s="29" t="e">
        <f>IF(J1145=0,-N1151+1,J1145*N1151)</f>
        <v>#DIV/0!</v>
      </c>
      <c r="K1151" s="18"/>
      <c r="L1151" s="18"/>
      <c r="N1151" s="21">
        <v>1.3</v>
      </c>
    </row>
    <row r="1152" spans="1:14" x14ac:dyDescent="0.25">
      <c r="C1152" s="15" t="str">
        <f t="shared" si="114"/>
        <v>*</v>
      </c>
      <c r="D1152" s="17" t="s">
        <v>487</v>
      </c>
      <c r="E1152" s="17" t="str">
        <f>E1151</f>
        <v>TRAH2G</v>
      </c>
      <c r="F1152" s="17" t="str">
        <f>F1151</f>
        <v>TRAPASRAIDMD</v>
      </c>
      <c r="G1152" s="17" t="str">
        <f>G1151</f>
        <v>TRAPASRAIDMD</v>
      </c>
      <c r="H1152" s="18">
        <v>2040</v>
      </c>
      <c r="I1152" s="18"/>
      <c r="J1152" s="20" t="e">
        <f>1-(J1151*-1)</f>
        <v>#DIV/0!</v>
      </c>
      <c r="K1152" s="18"/>
      <c r="L1152" s="18"/>
      <c r="N1152" s="21"/>
    </row>
    <row r="1153" spans="1:14" x14ac:dyDescent="0.25">
      <c r="C1153" s="15" t="str">
        <f t="shared" si="114"/>
        <v>*</v>
      </c>
      <c r="D1153" s="17" t="str">
        <f>D1151</f>
        <v>*ICEV*</v>
      </c>
      <c r="E1153" s="17" t="str">
        <f>E1151</f>
        <v>TRAH2G</v>
      </c>
      <c r="F1153" s="17" t="str">
        <f>F1151</f>
        <v>TRAPASRAIDMD</v>
      </c>
      <c r="G1153" s="17" t="str">
        <f>G1151</f>
        <v>TRAPASRAIDMD</v>
      </c>
      <c r="H1153" s="18">
        <v>2050</v>
      </c>
      <c r="I1153" s="18"/>
      <c r="J1153" s="29" t="e">
        <f>IF(J1145=0,-N1153+1,J1145*N1153)</f>
        <v>#DIV/0!</v>
      </c>
      <c r="K1153" s="18"/>
      <c r="L1153" s="18"/>
      <c r="N1153" s="21">
        <v>1.4</v>
      </c>
    </row>
    <row r="1154" spans="1:14" x14ac:dyDescent="0.25">
      <c r="C1154" s="23" t="str">
        <f t="shared" si="114"/>
        <v>*</v>
      </c>
      <c r="D1154" s="25" t="s">
        <v>487</v>
      </c>
      <c r="E1154" s="25" t="str">
        <f>E1153</f>
        <v>TRAH2G</v>
      </c>
      <c r="F1154" s="25" t="str">
        <f>F1153</f>
        <v>TRAPASRAIDMD</v>
      </c>
      <c r="G1154" s="25" t="str">
        <f>G1153</f>
        <v>TRAPASRAIDMD</v>
      </c>
      <c r="H1154" s="26">
        <v>2050</v>
      </c>
      <c r="I1154" s="26"/>
      <c r="J1154" s="27" t="e">
        <f>1-(J1153*-1)</f>
        <v>#DIV/0!</v>
      </c>
      <c r="K1154" s="26"/>
      <c r="L1154" s="26"/>
      <c r="N1154" s="28"/>
    </row>
    <row r="1155" spans="1:14" x14ac:dyDescent="0.25">
      <c r="A1155">
        <f>A1145+1</f>
        <v>116</v>
      </c>
      <c r="C1155" s="15" t="str">
        <f>IF(E1155="","",IF(SUMIFS('TRA TECH'!M:M,'TRA TECH'!J:J,D1156,'TRA TECH'!I:I,F1156,'TRA TECH'!H:H,E1156)=0,"*",IF(_xlfn.XLOOKUP($A1155,Selected_constraint!$A:$A,Selected_constraint!$D:$D)=1,"*",IF(SUMIFS('TRA TECH'!$M:$M,'TRA TECH'!$H:$H,E1155,'TRA TECH'!$I:$I,F1155)=0,"*",IF(SUMIFS('TRA RESID'!$P:$P,'TRA RESID'!$I:$I,G1155,'TRA RESID'!$J:$J,D1155,'TRA RESID'!$H:$H,E1155)=0,"*","UC_"&amp;SUBSTITUTE(D1155,"*","")&amp;"_"&amp;SUBSTITUTE(D1155,"*","")&amp;"_"&amp;RIGHT(E1155,3)&amp;"_"&amp;F1155)))))</f>
        <v>*</v>
      </c>
      <c r="D1155" s="17" t="s">
        <v>485</v>
      </c>
      <c r="E1155" s="17" t="str">
        <f>_xlfn.XLOOKUP($A1155,Selected_constraint!$A:$A,Selected_constraint!$B:$B)</f>
        <v>TRADSL</v>
      </c>
      <c r="F1155" s="17" t="str">
        <f>_xlfn.XLOOKUP($A1155,Selected_constraint!$A:$A,Selected_constraint!$C:$C)</f>
        <v>TRAPASTRMDMD</v>
      </c>
      <c r="G1155" s="17" t="str">
        <f>F1155</f>
        <v>TRAPASTRMDMD</v>
      </c>
      <c r="H1155" s="18">
        <v>2019</v>
      </c>
      <c r="I1155" s="18" t="s">
        <v>484</v>
      </c>
      <c r="J1155" s="29" t="e">
        <f>-SUMIFS('TRA RESID'!$P:$P,'TRA RESID'!$I:$I,G1156,'TRA RESID'!$J:$J,D1156,'TRA RESID'!$H:$H,E1156)/(SUMIFS('TRA RESID'!$P:$P,'TRA RESID'!$I:$I,G1156,'TRA RESID'!$J:$J,D1156,'TRA RESID'!$H:$H,E1156)+SUMIFS('TRA RESID'!$P:$P,'TRA RESID'!$I:$I,G1155,'TRA RESID'!$J:$J,D1155,'TRA RESID'!$H:$H,E1155))</f>
        <v>#DIV/0!</v>
      </c>
      <c r="K1155" s="18">
        <v>0</v>
      </c>
      <c r="L1155" s="18">
        <v>5</v>
      </c>
      <c r="N1155" s="21">
        <v>1</v>
      </c>
    </row>
    <row r="1156" spans="1:14" x14ac:dyDescent="0.25">
      <c r="C1156" s="15" t="str">
        <f t="shared" ref="C1156:C1164" si="115">IF(C1155="*",C1155,"")</f>
        <v>*</v>
      </c>
      <c r="D1156" s="17" t="s">
        <v>487</v>
      </c>
      <c r="E1156" s="17" t="str">
        <f>E1155</f>
        <v>TRADSL</v>
      </c>
      <c r="F1156" s="17" t="str">
        <f>F1155</f>
        <v>TRAPASTRMDMD</v>
      </c>
      <c r="G1156" s="17" t="str">
        <f>G1155</f>
        <v>TRAPASTRMDMD</v>
      </c>
      <c r="H1156" s="18">
        <v>2019</v>
      </c>
      <c r="I1156" s="18"/>
      <c r="J1156" s="20" t="e">
        <f>1-(J1155*-1)</f>
        <v>#DIV/0!</v>
      </c>
      <c r="K1156" s="18"/>
      <c r="L1156" s="18"/>
      <c r="N1156" s="21"/>
    </row>
    <row r="1157" spans="1:14" x14ac:dyDescent="0.25">
      <c r="C1157" s="15" t="str">
        <f t="shared" si="115"/>
        <v>*</v>
      </c>
      <c r="D1157" s="17" t="str">
        <f>D1155</f>
        <v>*ICEV*</v>
      </c>
      <c r="E1157" s="17" t="str">
        <f>E1155</f>
        <v>TRADSL</v>
      </c>
      <c r="F1157" s="17" t="str">
        <f>F1155</f>
        <v>TRAPASTRMDMD</v>
      </c>
      <c r="G1157" s="17" t="str">
        <f>G1155</f>
        <v>TRAPASTRMDMD</v>
      </c>
      <c r="H1157" s="18">
        <v>2025</v>
      </c>
      <c r="I1157" s="18"/>
      <c r="J1157" s="29" t="e">
        <f>IF(J1155=0,-N1157+1,J1155*N1157)</f>
        <v>#DIV/0!</v>
      </c>
      <c r="K1157" s="18"/>
      <c r="L1157" s="18"/>
      <c r="N1157" s="21">
        <v>1.1000000000000001</v>
      </c>
    </row>
    <row r="1158" spans="1:14" x14ac:dyDescent="0.25">
      <c r="C1158" s="15" t="str">
        <f t="shared" si="115"/>
        <v>*</v>
      </c>
      <c r="D1158" s="17" t="s">
        <v>487</v>
      </c>
      <c r="E1158" s="17" t="str">
        <f>E1157</f>
        <v>TRADSL</v>
      </c>
      <c r="F1158" s="17" t="str">
        <f>F1157</f>
        <v>TRAPASTRMDMD</v>
      </c>
      <c r="G1158" s="17" t="str">
        <f>G1157</f>
        <v>TRAPASTRMDMD</v>
      </c>
      <c r="H1158" s="18">
        <v>2025</v>
      </c>
      <c r="I1158" s="18"/>
      <c r="J1158" s="20" t="e">
        <f>1-(J1157*-1)</f>
        <v>#DIV/0!</v>
      </c>
      <c r="K1158" s="18"/>
      <c r="L1158" s="18"/>
      <c r="N1158" s="21"/>
    </row>
    <row r="1159" spans="1:14" x14ac:dyDescent="0.25">
      <c r="C1159" s="15" t="str">
        <f t="shared" si="115"/>
        <v>*</v>
      </c>
      <c r="D1159" s="17" t="str">
        <f>D1157</f>
        <v>*ICEV*</v>
      </c>
      <c r="E1159" s="17" t="str">
        <f>E1157</f>
        <v>TRADSL</v>
      </c>
      <c r="F1159" s="17" t="str">
        <f>F1157</f>
        <v>TRAPASTRMDMD</v>
      </c>
      <c r="G1159" s="17" t="str">
        <f>G1157</f>
        <v>TRAPASTRMDMD</v>
      </c>
      <c r="H1159" s="18">
        <v>2030</v>
      </c>
      <c r="I1159" s="18"/>
      <c r="J1159" s="29" t="e">
        <f>IF(J1155=0,-N1159+1,J1155*N1159)</f>
        <v>#DIV/0!</v>
      </c>
      <c r="K1159" s="18"/>
      <c r="L1159" s="18"/>
      <c r="N1159" s="21">
        <v>1.2</v>
      </c>
    </row>
    <row r="1160" spans="1:14" x14ac:dyDescent="0.25">
      <c r="C1160" s="15" t="str">
        <f t="shared" si="115"/>
        <v>*</v>
      </c>
      <c r="D1160" s="17" t="s">
        <v>487</v>
      </c>
      <c r="E1160" s="17" t="str">
        <f>E1159</f>
        <v>TRADSL</v>
      </c>
      <c r="F1160" s="17" t="str">
        <f>F1159</f>
        <v>TRAPASTRMDMD</v>
      </c>
      <c r="G1160" s="17" t="str">
        <f>G1159</f>
        <v>TRAPASTRMDMD</v>
      </c>
      <c r="H1160" s="18">
        <v>2030</v>
      </c>
      <c r="I1160" s="18"/>
      <c r="J1160" s="20" t="e">
        <f>1-(J1159*-1)</f>
        <v>#DIV/0!</v>
      </c>
      <c r="K1160" s="18"/>
      <c r="L1160" s="18"/>
      <c r="N1160" s="21"/>
    </row>
    <row r="1161" spans="1:14" x14ac:dyDescent="0.25">
      <c r="C1161" s="15" t="str">
        <f t="shared" si="115"/>
        <v>*</v>
      </c>
      <c r="D1161" s="17" t="str">
        <f>D1159</f>
        <v>*ICEV*</v>
      </c>
      <c r="E1161" s="17" t="str">
        <f>E1159</f>
        <v>TRADSL</v>
      </c>
      <c r="F1161" s="17" t="str">
        <f>F1159</f>
        <v>TRAPASTRMDMD</v>
      </c>
      <c r="G1161" s="17" t="str">
        <f>G1159</f>
        <v>TRAPASTRMDMD</v>
      </c>
      <c r="H1161" s="18">
        <v>2040</v>
      </c>
      <c r="I1161" s="18"/>
      <c r="J1161" s="29" t="e">
        <f>IF(J1155=0,-N1161+1,J1155*N1161)</f>
        <v>#DIV/0!</v>
      </c>
      <c r="K1161" s="18"/>
      <c r="L1161" s="18"/>
      <c r="N1161" s="21">
        <v>1.3</v>
      </c>
    </row>
    <row r="1162" spans="1:14" x14ac:dyDescent="0.25">
      <c r="C1162" s="15" t="str">
        <f t="shared" si="115"/>
        <v>*</v>
      </c>
      <c r="D1162" s="17" t="s">
        <v>487</v>
      </c>
      <c r="E1162" s="17" t="str">
        <f>E1161</f>
        <v>TRADSL</v>
      </c>
      <c r="F1162" s="17" t="str">
        <f>F1161</f>
        <v>TRAPASTRMDMD</v>
      </c>
      <c r="G1162" s="17" t="str">
        <f>G1161</f>
        <v>TRAPASTRMDMD</v>
      </c>
      <c r="H1162" s="18">
        <v>2040</v>
      </c>
      <c r="I1162" s="18"/>
      <c r="J1162" s="20" t="e">
        <f>1-(J1161*-1)</f>
        <v>#DIV/0!</v>
      </c>
      <c r="K1162" s="18"/>
      <c r="L1162" s="18"/>
      <c r="N1162" s="21"/>
    </row>
    <row r="1163" spans="1:14" x14ac:dyDescent="0.25">
      <c r="C1163" s="15" t="str">
        <f t="shared" si="115"/>
        <v>*</v>
      </c>
      <c r="D1163" s="17" t="str">
        <f>D1161</f>
        <v>*ICEV*</v>
      </c>
      <c r="E1163" s="17" t="str">
        <f>E1161</f>
        <v>TRADSL</v>
      </c>
      <c r="F1163" s="17" t="str">
        <f>F1161</f>
        <v>TRAPASTRMDMD</v>
      </c>
      <c r="G1163" s="17" t="str">
        <f>G1161</f>
        <v>TRAPASTRMDMD</v>
      </c>
      <c r="H1163" s="18">
        <v>2050</v>
      </c>
      <c r="I1163" s="18"/>
      <c r="J1163" s="29" t="e">
        <f>IF(J1155=0,-N1163+1,J1155*N1163)</f>
        <v>#DIV/0!</v>
      </c>
      <c r="K1163" s="18"/>
      <c r="L1163" s="18"/>
      <c r="N1163" s="21">
        <v>1.4</v>
      </c>
    </row>
    <row r="1164" spans="1:14" x14ac:dyDescent="0.25">
      <c r="C1164" s="23" t="str">
        <f t="shared" si="115"/>
        <v>*</v>
      </c>
      <c r="D1164" s="25" t="s">
        <v>487</v>
      </c>
      <c r="E1164" s="25" t="str">
        <f>E1163</f>
        <v>TRADSL</v>
      </c>
      <c r="F1164" s="25" t="str">
        <f>F1163</f>
        <v>TRAPASTRMDMD</v>
      </c>
      <c r="G1164" s="25" t="str">
        <f>G1163</f>
        <v>TRAPASTRMDMD</v>
      </c>
      <c r="H1164" s="26">
        <v>2050</v>
      </c>
      <c r="I1164" s="26"/>
      <c r="J1164" s="27" t="e">
        <f>1-(J1163*-1)</f>
        <v>#DIV/0!</v>
      </c>
      <c r="K1164" s="26"/>
      <c r="L1164" s="26"/>
      <c r="N1164" s="28"/>
    </row>
    <row r="1165" spans="1:14" x14ac:dyDescent="0.25">
      <c r="A1165">
        <f>A1155+1</f>
        <v>117</v>
      </c>
      <c r="C1165" s="15" t="str">
        <f>IF(E1165="","",IF(SUMIFS('TRA TECH'!M:M,'TRA TECH'!J:J,D1166,'TRA TECH'!I:I,F1166,'TRA TECH'!H:H,E1166)=0,"*",IF(_xlfn.XLOOKUP($A1165,Selected_constraint!$A:$A,Selected_constraint!$D:$D)=1,"*",IF(SUMIFS('TRA TECH'!$M:$M,'TRA TECH'!$H:$H,E1165,'TRA TECH'!$I:$I,F1165)=0,"*",IF(SUMIFS('TRA RESID'!$P:$P,'TRA RESID'!$I:$I,G1165,'TRA RESID'!$J:$J,D1165,'TRA RESID'!$H:$H,E1165)=0,"*","UC_"&amp;SUBSTITUTE(D1165,"*","")&amp;"_"&amp;SUBSTITUTE(D1165,"*","")&amp;"_"&amp;RIGHT(E1165,3)&amp;"_"&amp;F1165)))))</f>
        <v>*</v>
      </c>
      <c r="D1165" s="17" t="s">
        <v>485</v>
      </c>
      <c r="E1165" s="17" t="str">
        <f>_xlfn.XLOOKUP($A1165,Selected_constraint!$A:$A,Selected_constraint!$B:$B)</f>
        <v>TRARDS</v>
      </c>
      <c r="F1165" s="17" t="str">
        <f>_xlfn.XLOOKUP($A1165,Selected_constraint!$A:$A,Selected_constraint!$C:$C)</f>
        <v>TRAPASTRMDMD</v>
      </c>
      <c r="G1165" s="17" t="str">
        <f>F1165</f>
        <v>TRAPASTRMDMD</v>
      </c>
      <c r="H1165" s="18">
        <v>2019</v>
      </c>
      <c r="I1165" s="18" t="s">
        <v>484</v>
      </c>
      <c r="J1165" s="29" t="e">
        <f>-SUMIFS('TRA RESID'!$P:$P,'TRA RESID'!$I:$I,G1166,'TRA RESID'!$J:$J,D1166,'TRA RESID'!$H:$H,E1166)/(SUMIFS('TRA RESID'!$P:$P,'TRA RESID'!$I:$I,G1166,'TRA RESID'!$J:$J,D1166,'TRA RESID'!$H:$H,E1166)+SUMIFS('TRA RESID'!$P:$P,'TRA RESID'!$I:$I,G1165,'TRA RESID'!$J:$J,D1165,'TRA RESID'!$H:$H,E1165))</f>
        <v>#DIV/0!</v>
      </c>
      <c r="K1165" s="18">
        <v>0</v>
      </c>
      <c r="L1165" s="18">
        <v>5</v>
      </c>
      <c r="N1165" s="21">
        <v>1</v>
      </c>
    </row>
    <row r="1166" spans="1:14" x14ac:dyDescent="0.25">
      <c r="C1166" s="15" t="str">
        <f t="shared" ref="C1166:C1174" si="116">IF(C1165="*",C1165,"")</f>
        <v>*</v>
      </c>
      <c r="D1166" s="17" t="s">
        <v>487</v>
      </c>
      <c r="E1166" s="17" t="str">
        <f>E1165</f>
        <v>TRARDS</v>
      </c>
      <c r="F1166" s="17" t="str">
        <f>F1165</f>
        <v>TRAPASTRMDMD</v>
      </c>
      <c r="G1166" s="17" t="str">
        <f>G1165</f>
        <v>TRAPASTRMDMD</v>
      </c>
      <c r="H1166" s="18">
        <v>2019</v>
      </c>
      <c r="I1166" s="18"/>
      <c r="J1166" s="20" t="e">
        <f>1-(J1165*-1)</f>
        <v>#DIV/0!</v>
      </c>
      <c r="K1166" s="18"/>
      <c r="L1166" s="18"/>
      <c r="N1166" s="21"/>
    </row>
    <row r="1167" spans="1:14" x14ac:dyDescent="0.25">
      <c r="C1167" s="15" t="str">
        <f t="shared" si="116"/>
        <v>*</v>
      </c>
      <c r="D1167" s="17" t="str">
        <f>D1165</f>
        <v>*ICEV*</v>
      </c>
      <c r="E1167" s="17" t="str">
        <f>E1165</f>
        <v>TRARDS</v>
      </c>
      <c r="F1167" s="17" t="str">
        <f>F1165</f>
        <v>TRAPASTRMDMD</v>
      </c>
      <c r="G1167" s="17" t="str">
        <f>G1165</f>
        <v>TRAPASTRMDMD</v>
      </c>
      <c r="H1167" s="18">
        <v>2025</v>
      </c>
      <c r="I1167" s="18"/>
      <c r="J1167" s="29" t="e">
        <f>IF(J1165=0,-N1167+1,J1165*N1167)</f>
        <v>#DIV/0!</v>
      </c>
      <c r="K1167" s="18"/>
      <c r="L1167" s="18"/>
      <c r="N1167" s="21">
        <v>1.1000000000000001</v>
      </c>
    </row>
    <row r="1168" spans="1:14" x14ac:dyDescent="0.25">
      <c r="C1168" s="15" t="str">
        <f t="shared" si="116"/>
        <v>*</v>
      </c>
      <c r="D1168" s="17" t="s">
        <v>487</v>
      </c>
      <c r="E1168" s="17" t="str">
        <f>E1167</f>
        <v>TRARDS</v>
      </c>
      <c r="F1168" s="17" t="str">
        <f>F1167</f>
        <v>TRAPASTRMDMD</v>
      </c>
      <c r="G1168" s="17" t="str">
        <f>G1167</f>
        <v>TRAPASTRMDMD</v>
      </c>
      <c r="H1168" s="18">
        <v>2025</v>
      </c>
      <c r="I1168" s="18"/>
      <c r="J1168" s="20" t="e">
        <f>1-(J1167*-1)</f>
        <v>#DIV/0!</v>
      </c>
      <c r="K1168" s="18"/>
      <c r="L1168" s="18"/>
      <c r="N1168" s="21"/>
    </row>
    <row r="1169" spans="1:14" x14ac:dyDescent="0.25">
      <c r="C1169" s="15" t="str">
        <f t="shared" si="116"/>
        <v>*</v>
      </c>
      <c r="D1169" s="17" t="str">
        <f>D1167</f>
        <v>*ICEV*</v>
      </c>
      <c r="E1169" s="17" t="str">
        <f>E1167</f>
        <v>TRARDS</v>
      </c>
      <c r="F1169" s="17" t="str">
        <f>F1167</f>
        <v>TRAPASTRMDMD</v>
      </c>
      <c r="G1169" s="17" t="str">
        <f>G1167</f>
        <v>TRAPASTRMDMD</v>
      </c>
      <c r="H1169" s="18">
        <v>2030</v>
      </c>
      <c r="I1169" s="18"/>
      <c r="J1169" s="29" t="e">
        <f>IF(J1165=0,-N1169+1,J1165*N1169)</f>
        <v>#DIV/0!</v>
      </c>
      <c r="K1169" s="18"/>
      <c r="L1169" s="18"/>
      <c r="N1169" s="21">
        <v>1.2</v>
      </c>
    </row>
    <row r="1170" spans="1:14" x14ac:dyDescent="0.25">
      <c r="C1170" s="15" t="str">
        <f t="shared" si="116"/>
        <v>*</v>
      </c>
      <c r="D1170" s="17" t="s">
        <v>487</v>
      </c>
      <c r="E1170" s="17" t="str">
        <f>E1169</f>
        <v>TRARDS</v>
      </c>
      <c r="F1170" s="17" t="str">
        <f>F1169</f>
        <v>TRAPASTRMDMD</v>
      </c>
      <c r="G1170" s="17" t="str">
        <f>G1169</f>
        <v>TRAPASTRMDMD</v>
      </c>
      <c r="H1170" s="18">
        <v>2030</v>
      </c>
      <c r="I1170" s="18"/>
      <c r="J1170" s="20" t="e">
        <f>1-(J1169*-1)</f>
        <v>#DIV/0!</v>
      </c>
      <c r="K1170" s="18"/>
      <c r="L1170" s="18"/>
      <c r="N1170" s="21"/>
    </row>
    <row r="1171" spans="1:14" x14ac:dyDescent="0.25">
      <c r="C1171" s="15" t="str">
        <f t="shared" si="116"/>
        <v>*</v>
      </c>
      <c r="D1171" s="17" t="str">
        <f>D1169</f>
        <v>*ICEV*</v>
      </c>
      <c r="E1171" s="17" t="str">
        <f>E1169</f>
        <v>TRARDS</v>
      </c>
      <c r="F1171" s="17" t="str">
        <f>F1169</f>
        <v>TRAPASTRMDMD</v>
      </c>
      <c r="G1171" s="17" t="str">
        <f>G1169</f>
        <v>TRAPASTRMDMD</v>
      </c>
      <c r="H1171" s="18">
        <v>2040</v>
      </c>
      <c r="I1171" s="18"/>
      <c r="J1171" s="29" t="e">
        <f>IF(J1165=0,-N1171+1,J1165*N1171)</f>
        <v>#DIV/0!</v>
      </c>
      <c r="K1171" s="18"/>
      <c r="L1171" s="18"/>
      <c r="N1171" s="21">
        <v>1.3</v>
      </c>
    </row>
    <row r="1172" spans="1:14" x14ac:dyDescent="0.25">
      <c r="C1172" s="15" t="str">
        <f t="shared" si="116"/>
        <v>*</v>
      </c>
      <c r="D1172" s="17" t="s">
        <v>487</v>
      </c>
      <c r="E1172" s="17" t="str">
        <f>E1171</f>
        <v>TRARDS</v>
      </c>
      <c r="F1172" s="17" t="str">
        <f>F1171</f>
        <v>TRAPASTRMDMD</v>
      </c>
      <c r="G1172" s="17" t="str">
        <f>G1171</f>
        <v>TRAPASTRMDMD</v>
      </c>
      <c r="H1172" s="18">
        <v>2040</v>
      </c>
      <c r="I1172" s="18"/>
      <c r="J1172" s="20" t="e">
        <f>1-(J1171*-1)</f>
        <v>#DIV/0!</v>
      </c>
      <c r="K1172" s="18"/>
      <c r="L1172" s="18"/>
      <c r="N1172" s="21"/>
    </row>
    <row r="1173" spans="1:14" x14ac:dyDescent="0.25">
      <c r="C1173" s="15" t="str">
        <f t="shared" si="116"/>
        <v>*</v>
      </c>
      <c r="D1173" s="17" t="str">
        <f>D1171</f>
        <v>*ICEV*</v>
      </c>
      <c r="E1173" s="17" t="str">
        <f>E1171</f>
        <v>TRARDS</v>
      </c>
      <c r="F1173" s="17" t="str">
        <f>F1171</f>
        <v>TRAPASTRMDMD</v>
      </c>
      <c r="G1173" s="17" t="str">
        <f>G1171</f>
        <v>TRAPASTRMDMD</v>
      </c>
      <c r="H1173" s="18">
        <v>2050</v>
      </c>
      <c r="I1173" s="18"/>
      <c r="J1173" s="29" t="e">
        <f>IF(J1165=0,-N1173+1,J1165*N1173)</f>
        <v>#DIV/0!</v>
      </c>
      <c r="K1173" s="18"/>
      <c r="L1173" s="18"/>
      <c r="N1173" s="21">
        <v>1.4</v>
      </c>
    </row>
    <row r="1174" spans="1:14" x14ac:dyDescent="0.25">
      <c r="C1174" s="23" t="str">
        <f t="shared" si="116"/>
        <v>*</v>
      </c>
      <c r="D1174" s="25" t="s">
        <v>487</v>
      </c>
      <c r="E1174" s="25" t="str">
        <f>E1173</f>
        <v>TRARDS</v>
      </c>
      <c r="F1174" s="25" t="str">
        <f>F1173</f>
        <v>TRAPASTRMDMD</v>
      </c>
      <c r="G1174" s="25" t="str">
        <f>G1173</f>
        <v>TRAPASTRMDMD</v>
      </c>
      <c r="H1174" s="26">
        <v>2050</v>
      </c>
      <c r="I1174" s="26"/>
      <c r="J1174" s="27" t="e">
        <f>1-(J1173*-1)</f>
        <v>#DIV/0!</v>
      </c>
      <c r="K1174" s="26"/>
      <c r="L1174" s="26"/>
      <c r="N1174" s="28"/>
    </row>
    <row r="1175" spans="1:14" x14ac:dyDescent="0.25">
      <c r="A1175">
        <f>A1165+1</f>
        <v>118</v>
      </c>
      <c r="C1175" s="15" t="str">
        <f>IF(E1175="","",IF(SUMIFS('TRA TECH'!M:M,'TRA TECH'!J:J,D1176,'TRA TECH'!I:I,F1176,'TRA TECH'!H:H,E1176)=0,"*",IF(_xlfn.XLOOKUP($A1175,Selected_constraint!$A:$A,Selected_constraint!$D:$D)=1,"*",IF(SUMIFS('TRA TECH'!$M:$M,'TRA TECH'!$H:$H,E1175,'TRA TECH'!$I:$I,F1175)=0,"*",IF(SUMIFS('TRA RESID'!$P:$P,'TRA RESID'!$I:$I,G1175,'TRA RESID'!$J:$J,D1175,'TRA RESID'!$H:$H,E1175)=0,"*","UC_"&amp;SUBSTITUTE(D1175,"*","")&amp;"_"&amp;SUBSTITUTE(D1175,"*","")&amp;"_"&amp;RIGHT(E1175,3)&amp;"_"&amp;F1175)))))</f>
        <v>*</v>
      </c>
      <c r="D1175" s="17" t="s">
        <v>485</v>
      </c>
      <c r="E1175" s="17" t="str">
        <f>_xlfn.XLOOKUP($A1175,Selected_constraint!$A:$A,Selected_constraint!$B:$B)</f>
        <v>TRABDS</v>
      </c>
      <c r="F1175" s="17" t="str">
        <f>_xlfn.XLOOKUP($A1175,Selected_constraint!$A:$A,Selected_constraint!$C:$C)</f>
        <v>TRAPASTRMDMD</v>
      </c>
      <c r="G1175" s="17" t="str">
        <f>F1175</f>
        <v>TRAPASTRMDMD</v>
      </c>
      <c r="H1175" s="18">
        <v>2019</v>
      </c>
      <c r="I1175" s="18" t="s">
        <v>484</v>
      </c>
      <c r="J1175" s="29" t="e">
        <f>-SUMIFS('TRA RESID'!$P:$P,'TRA RESID'!$I:$I,G1176,'TRA RESID'!$J:$J,D1176,'TRA RESID'!$H:$H,E1176)/(SUMIFS('TRA RESID'!$P:$P,'TRA RESID'!$I:$I,G1176,'TRA RESID'!$J:$J,D1176,'TRA RESID'!$H:$H,E1176)+SUMIFS('TRA RESID'!$P:$P,'TRA RESID'!$I:$I,G1175,'TRA RESID'!$J:$J,D1175,'TRA RESID'!$H:$H,E1175))</f>
        <v>#DIV/0!</v>
      </c>
      <c r="K1175" s="18">
        <v>0</v>
      </c>
      <c r="L1175" s="18">
        <v>5</v>
      </c>
      <c r="N1175" s="21">
        <v>1</v>
      </c>
    </row>
    <row r="1176" spans="1:14" x14ac:dyDescent="0.25">
      <c r="C1176" s="15" t="str">
        <f t="shared" ref="C1176:C1184" si="117">IF(C1175="*",C1175,"")</f>
        <v>*</v>
      </c>
      <c r="D1176" s="17" t="s">
        <v>487</v>
      </c>
      <c r="E1176" s="17" t="str">
        <f>E1175</f>
        <v>TRABDS</v>
      </c>
      <c r="F1176" s="17" t="str">
        <f>F1175</f>
        <v>TRAPASTRMDMD</v>
      </c>
      <c r="G1176" s="17" t="str">
        <f>G1175</f>
        <v>TRAPASTRMDMD</v>
      </c>
      <c r="H1176" s="18">
        <v>2019</v>
      </c>
      <c r="I1176" s="18"/>
      <c r="J1176" s="20" t="e">
        <f>1-(J1175*-1)</f>
        <v>#DIV/0!</v>
      </c>
      <c r="K1176" s="18"/>
      <c r="L1176" s="18"/>
      <c r="N1176" s="21"/>
    </row>
    <row r="1177" spans="1:14" x14ac:dyDescent="0.25">
      <c r="C1177" s="15" t="str">
        <f t="shared" si="117"/>
        <v>*</v>
      </c>
      <c r="D1177" s="17" t="str">
        <f>D1175</f>
        <v>*ICEV*</v>
      </c>
      <c r="E1177" s="17" t="str">
        <f>E1175</f>
        <v>TRABDS</v>
      </c>
      <c r="F1177" s="17" t="str">
        <f>F1175</f>
        <v>TRAPASTRMDMD</v>
      </c>
      <c r="G1177" s="17" t="str">
        <f>G1175</f>
        <v>TRAPASTRMDMD</v>
      </c>
      <c r="H1177" s="18">
        <v>2025</v>
      </c>
      <c r="I1177" s="18"/>
      <c r="J1177" s="29" t="e">
        <f>IF(J1175=0,-N1177+1,J1175*N1177)</f>
        <v>#DIV/0!</v>
      </c>
      <c r="K1177" s="18"/>
      <c r="L1177" s="18"/>
      <c r="N1177" s="21">
        <v>1.1000000000000001</v>
      </c>
    </row>
    <row r="1178" spans="1:14" x14ac:dyDescent="0.25">
      <c r="C1178" s="15" t="str">
        <f t="shared" si="117"/>
        <v>*</v>
      </c>
      <c r="D1178" s="17" t="s">
        <v>487</v>
      </c>
      <c r="E1178" s="17" t="str">
        <f>E1177</f>
        <v>TRABDS</v>
      </c>
      <c r="F1178" s="17" t="str">
        <f>F1177</f>
        <v>TRAPASTRMDMD</v>
      </c>
      <c r="G1178" s="17" t="str">
        <f>G1177</f>
        <v>TRAPASTRMDMD</v>
      </c>
      <c r="H1178" s="18">
        <v>2025</v>
      </c>
      <c r="I1178" s="18"/>
      <c r="J1178" s="20" t="e">
        <f>1-(J1177*-1)</f>
        <v>#DIV/0!</v>
      </c>
      <c r="K1178" s="18"/>
      <c r="L1178" s="18"/>
      <c r="N1178" s="21"/>
    </row>
    <row r="1179" spans="1:14" x14ac:dyDescent="0.25">
      <c r="C1179" s="15" t="str">
        <f t="shared" si="117"/>
        <v>*</v>
      </c>
      <c r="D1179" s="17" t="str">
        <f>D1177</f>
        <v>*ICEV*</v>
      </c>
      <c r="E1179" s="17" t="str">
        <f>E1177</f>
        <v>TRABDS</v>
      </c>
      <c r="F1179" s="17" t="str">
        <f>F1177</f>
        <v>TRAPASTRMDMD</v>
      </c>
      <c r="G1179" s="17" t="str">
        <f>G1177</f>
        <v>TRAPASTRMDMD</v>
      </c>
      <c r="H1179" s="18">
        <v>2030</v>
      </c>
      <c r="I1179" s="18"/>
      <c r="J1179" s="29" t="e">
        <f>IF(J1175=0,-N1179+1,J1175*N1179)</f>
        <v>#DIV/0!</v>
      </c>
      <c r="K1179" s="18"/>
      <c r="L1179" s="18"/>
      <c r="N1179" s="21">
        <v>1.2</v>
      </c>
    </row>
    <row r="1180" spans="1:14" x14ac:dyDescent="0.25">
      <c r="C1180" s="15" t="str">
        <f t="shared" si="117"/>
        <v>*</v>
      </c>
      <c r="D1180" s="17" t="s">
        <v>487</v>
      </c>
      <c r="E1180" s="17" t="str">
        <f>E1179</f>
        <v>TRABDS</v>
      </c>
      <c r="F1180" s="17" t="str">
        <f>F1179</f>
        <v>TRAPASTRMDMD</v>
      </c>
      <c r="G1180" s="17" t="str">
        <f>G1179</f>
        <v>TRAPASTRMDMD</v>
      </c>
      <c r="H1180" s="18">
        <v>2030</v>
      </c>
      <c r="I1180" s="18"/>
      <c r="J1180" s="20" t="e">
        <f>1-(J1179*-1)</f>
        <v>#DIV/0!</v>
      </c>
      <c r="K1180" s="18"/>
      <c r="L1180" s="18"/>
      <c r="N1180" s="21"/>
    </row>
    <row r="1181" spans="1:14" x14ac:dyDescent="0.25">
      <c r="C1181" s="15" t="str">
        <f t="shared" si="117"/>
        <v>*</v>
      </c>
      <c r="D1181" s="17" t="str">
        <f>D1179</f>
        <v>*ICEV*</v>
      </c>
      <c r="E1181" s="17" t="str">
        <f>E1179</f>
        <v>TRABDS</v>
      </c>
      <c r="F1181" s="17" t="str">
        <f>F1179</f>
        <v>TRAPASTRMDMD</v>
      </c>
      <c r="G1181" s="17" t="str">
        <f>G1179</f>
        <v>TRAPASTRMDMD</v>
      </c>
      <c r="H1181" s="18">
        <v>2040</v>
      </c>
      <c r="I1181" s="18"/>
      <c r="J1181" s="29" t="e">
        <f>IF(J1175=0,-N1181+1,J1175*N1181)</f>
        <v>#DIV/0!</v>
      </c>
      <c r="K1181" s="18"/>
      <c r="L1181" s="18"/>
      <c r="N1181" s="21">
        <v>1.3</v>
      </c>
    </row>
    <row r="1182" spans="1:14" x14ac:dyDescent="0.25">
      <c r="C1182" s="15" t="str">
        <f t="shared" si="117"/>
        <v>*</v>
      </c>
      <c r="D1182" s="17" t="s">
        <v>487</v>
      </c>
      <c r="E1182" s="17" t="str">
        <f>E1181</f>
        <v>TRABDS</v>
      </c>
      <c r="F1182" s="17" t="str">
        <f>F1181</f>
        <v>TRAPASTRMDMD</v>
      </c>
      <c r="G1182" s="17" t="str">
        <f>G1181</f>
        <v>TRAPASTRMDMD</v>
      </c>
      <c r="H1182" s="18">
        <v>2040</v>
      </c>
      <c r="I1182" s="18"/>
      <c r="J1182" s="20" t="e">
        <f>1-(J1181*-1)</f>
        <v>#DIV/0!</v>
      </c>
      <c r="K1182" s="18"/>
      <c r="L1182" s="18"/>
      <c r="N1182" s="21"/>
    </row>
    <row r="1183" spans="1:14" x14ac:dyDescent="0.25">
      <c r="C1183" s="15" t="str">
        <f t="shared" si="117"/>
        <v>*</v>
      </c>
      <c r="D1183" s="17" t="str">
        <f>D1181</f>
        <v>*ICEV*</v>
      </c>
      <c r="E1183" s="17" t="str">
        <f>E1181</f>
        <v>TRABDS</v>
      </c>
      <c r="F1183" s="17" t="str">
        <f>F1181</f>
        <v>TRAPASTRMDMD</v>
      </c>
      <c r="G1183" s="17" t="str">
        <f>G1181</f>
        <v>TRAPASTRMDMD</v>
      </c>
      <c r="H1183" s="18">
        <v>2050</v>
      </c>
      <c r="I1183" s="18"/>
      <c r="J1183" s="29" t="e">
        <f>IF(J1175=0,-N1183+1,J1175*N1183)</f>
        <v>#DIV/0!</v>
      </c>
      <c r="K1183" s="18"/>
      <c r="L1183" s="18"/>
      <c r="N1183" s="21">
        <v>1.4</v>
      </c>
    </row>
    <row r="1184" spans="1:14" x14ac:dyDescent="0.25">
      <c r="C1184" s="23" t="str">
        <f t="shared" si="117"/>
        <v>*</v>
      </c>
      <c r="D1184" s="25" t="s">
        <v>487</v>
      </c>
      <c r="E1184" s="25" t="str">
        <f>E1183</f>
        <v>TRABDS</v>
      </c>
      <c r="F1184" s="25" t="str">
        <f>F1183</f>
        <v>TRAPASTRMDMD</v>
      </c>
      <c r="G1184" s="25" t="str">
        <f>G1183</f>
        <v>TRAPASTRMDMD</v>
      </c>
      <c r="H1184" s="26">
        <v>2050</v>
      </c>
      <c r="I1184" s="26"/>
      <c r="J1184" s="27" t="e">
        <f>1-(J1183*-1)</f>
        <v>#DIV/0!</v>
      </c>
      <c r="K1184" s="26"/>
      <c r="L1184" s="26"/>
      <c r="N1184" s="28"/>
    </row>
    <row r="1185" spans="1:14" x14ac:dyDescent="0.25">
      <c r="A1185">
        <f>A1175+1</f>
        <v>119</v>
      </c>
      <c r="C1185" s="15" t="str">
        <f>IF(E1185="","",IF(SUMIFS('TRA TECH'!M:M,'TRA TECH'!J:J,D1186,'TRA TECH'!I:I,F1186,'TRA TECH'!H:H,E1186)=0,"*",IF(_xlfn.XLOOKUP($A1185,Selected_constraint!$A:$A,Selected_constraint!$D:$D)=1,"*",IF(SUMIFS('TRA TECH'!$M:$M,'TRA TECH'!$H:$H,E1185,'TRA TECH'!$I:$I,F1185)=0,"*",IF(SUMIFS('TRA RESID'!$P:$P,'TRA RESID'!$I:$I,G1185,'TRA RESID'!$J:$J,D1185,'TRA RESID'!$H:$H,E1185)=0,"*","UC_"&amp;SUBSTITUTE(D1185,"*","")&amp;"_"&amp;SUBSTITUTE(D1185,"*","")&amp;"_"&amp;RIGHT(E1185,3)&amp;"_"&amp;F1185)))))</f>
        <v>*</v>
      </c>
      <c r="D1185" s="17" t="s">
        <v>485</v>
      </c>
      <c r="E1185" s="17" t="str">
        <f>_xlfn.XLOOKUP($A1185,Selected_constraint!$A:$A,Selected_constraint!$B:$B)</f>
        <v>TRACNG</v>
      </c>
      <c r="F1185" s="17" t="str">
        <f>_xlfn.XLOOKUP($A1185,Selected_constraint!$A:$A,Selected_constraint!$C:$C)</f>
        <v>TRAPASTRMDMD</v>
      </c>
      <c r="G1185" s="17" t="str">
        <f>F1185</f>
        <v>TRAPASTRMDMD</v>
      </c>
      <c r="H1185" s="18">
        <v>2019</v>
      </c>
      <c r="I1185" s="18" t="s">
        <v>484</v>
      </c>
      <c r="J1185" s="29" t="e">
        <f>-SUMIFS('TRA RESID'!$P:$P,'TRA RESID'!$I:$I,G1186,'TRA RESID'!$J:$J,D1186,'TRA RESID'!$H:$H,E1186)/(SUMIFS('TRA RESID'!$P:$P,'TRA RESID'!$I:$I,G1186,'TRA RESID'!$J:$J,D1186,'TRA RESID'!$H:$H,E1186)+SUMIFS('TRA RESID'!$P:$P,'TRA RESID'!$I:$I,G1185,'TRA RESID'!$J:$J,D1185,'TRA RESID'!$H:$H,E1185))</f>
        <v>#DIV/0!</v>
      </c>
      <c r="K1185" s="18">
        <v>0</v>
      </c>
      <c r="L1185" s="18">
        <v>5</v>
      </c>
      <c r="N1185" s="21">
        <v>1</v>
      </c>
    </row>
    <row r="1186" spans="1:14" x14ac:dyDescent="0.25">
      <c r="C1186" s="15" t="str">
        <f t="shared" ref="C1186:C1194" si="118">IF(C1185="*",C1185,"")</f>
        <v>*</v>
      </c>
      <c r="D1186" s="17" t="s">
        <v>487</v>
      </c>
      <c r="E1186" s="17" t="str">
        <f>E1185</f>
        <v>TRACNG</v>
      </c>
      <c r="F1186" s="17" t="str">
        <f>F1185</f>
        <v>TRAPASTRMDMD</v>
      </c>
      <c r="G1186" s="17" t="str">
        <f>G1185</f>
        <v>TRAPASTRMDMD</v>
      </c>
      <c r="H1186" s="18">
        <v>2019</v>
      </c>
      <c r="I1186" s="18"/>
      <c r="J1186" s="20" t="e">
        <f>1-(J1185*-1)</f>
        <v>#DIV/0!</v>
      </c>
      <c r="K1186" s="18"/>
      <c r="L1186" s="18"/>
      <c r="N1186" s="21"/>
    </row>
    <row r="1187" spans="1:14" x14ac:dyDescent="0.25">
      <c r="C1187" s="15" t="str">
        <f t="shared" si="118"/>
        <v>*</v>
      </c>
      <c r="D1187" s="17" t="str">
        <f>D1185</f>
        <v>*ICEV*</v>
      </c>
      <c r="E1187" s="17" t="str">
        <f>E1185</f>
        <v>TRACNG</v>
      </c>
      <c r="F1187" s="17" t="str">
        <f>F1185</f>
        <v>TRAPASTRMDMD</v>
      </c>
      <c r="G1187" s="17" t="str">
        <f>G1185</f>
        <v>TRAPASTRMDMD</v>
      </c>
      <c r="H1187" s="18">
        <v>2025</v>
      </c>
      <c r="I1187" s="18"/>
      <c r="J1187" s="29" t="e">
        <f>IF(J1185=0,-N1187+1,J1185*N1187)</f>
        <v>#DIV/0!</v>
      </c>
      <c r="K1187" s="18"/>
      <c r="L1187" s="18"/>
      <c r="N1187" s="21">
        <v>1.1000000000000001</v>
      </c>
    </row>
    <row r="1188" spans="1:14" x14ac:dyDescent="0.25">
      <c r="C1188" s="15" t="str">
        <f t="shared" si="118"/>
        <v>*</v>
      </c>
      <c r="D1188" s="17" t="s">
        <v>487</v>
      </c>
      <c r="E1188" s="17" t="str">
        <f>E1187</f>
        <v>TRACNG</v>
      </c>
      <c r="F1188" s="17" t="str">
        <f>F1187</f>
        <v>TRAPASTRMDMD</v>
      </c>
      <c r="G1188" s="17" t="str">
        <f>G1187</f>
        <v>TRAPASTRMDMD</v>
      </c>
      <c r="H1188" s="18">
        <v>2025</v>
      </c>
      <c r="I1188" s="18"/>
      <c r="J1188" s="20" t="e">
        <f>1-(J1187*-1)</f>
        <v>#DIV/0!</v>
      </c>
      <c r="K1188" s="18"/>
      <c r="L1188" s="18"/>
      <c r="N1188" s="21"/>
    </row>
    <row r="1189" spans="1:14" x14ac:dyDescent="0.25">
      <c r="C1189" s="15" t="str">
        <f t="shared" si="118"/>
        <v>*</v>
      </c>
      <c r="D1189" s="17" t="str">
        <f>D1187</f>
        <v>*ICEV*</v>
      </c>
      <c r="E1189" s="17" t="str">
        <f>E1187</f>
        <v>TRACNG</v>
      </c>
      <c r="F1189" s="17" t="str">
        <f>F1187</f>
        <v>TRAPASTRMDMD</v>
      </c>
      <c r="G1189" s="17" t="str">
        <f>G1187</f>
        <v>TRAPASTRMDMD</v>
      </c>
      <c r="H1189" s="18">
        <v>2030</v>
      </c>
      <c r="I1189" s="18"/>
      <c r="J1189" s="29" t="e">
        <f>IF(J1185=0,-N1189+1,J1185*N1189)</f>
        <v>#DIV/0!</v>
      </c>
      <c r="K1189" s="18"/>
      <c r="L1189" s="18"/>
      <c r="N1189" s="21">
        <v>1.2</v>
      </c>
    </row>
    <row r="1190" spans="1:14" x14ac:dyDescent="0.25">
      <c r="C1190" s="15" t="str">
        <f t="shared" si="118"/>
        <v>*</v>
      </c>
      <c r="D1190" s="17" t="s">
        <v>487</v>
      </c>
      <c r="E1190" s="17" t="str">
        <f>E1189</f>
        <v>TRACNG</v>
      </c>
      <c r="F1190" s="17" t="str">
        <f>F1189</f>
        <v>TRAPASTRMDMD</v>
      </c>
      <c r="G1190" s="17" t="str">
        <f>G1189</f>
        <v>TRAPASTRMDMD</v>
      </c>
      <c r="H1190" s="18">
        <v>2030</v>
      </c>
      <c r="I1190" s="18"/>
      <c r="J1190" s="20" t="e">
        <f>1-(J1189*-1)</f>
        <v>#DIV/0!</v>
      </c>
      <c r="K1190" s="18"/>
      <c r="L1190" s="18"/>
      <c r="N1190" s="21"/>
    </row>
    <row r="1191" spans="1:14" x14ac:dyDescent="0.25">
      <c r="C1191" s="15" t="str">
        <f t="shared" si="118"/>
        <v>*</v>
      </c>
      <c r="D1191" s="17" t="str">
        <f>D1189</f>
        <v>*ICEV*</v>
      </c>
      <c r="E1191" s="17" t="str">
        <f>E1189</f>
        <v>TRACNG</v>
      </c>
      <c r="F1191" s="17" t="str">
        <f>F1189</f>
        <v>TRAPASTRMDMD</v>
      </c>
      <c r="G1191" s="17" t="str">
        <f>G1189</f>
        <v>TRAPASTRMDMD</v>
      </c>
      <c r="H1191" s="18">
        <v>2040</v>
      </c>
      <c r="I1191" s="18"/>
      <c r="J1191" s="29" t="e">
        <f>IF(J1185=0,-N1191+1,J1185*N1191)</f>
        <v>#DIV/0!</v>
      </c>
      <c r="K1191" s="18"/>
      <c r="L1191" s="18"/>
      <c r="N1191" s="21">
        <v>1.3</v>
      </c>
    </row>
    <row r="1192" spans="1:14" x14ac:dyDescent="0.25">
      <c r="C1192" s="15" t="str">
        <f t="shared" si="118"/>
        <v>*</v>
      </c>
      <c r="D1192" s="17" t="s">
        <v>487</v>
      </c>
      <c r="E1192" s="17" t="str">
        <f>E1191</f>
        <v>TRACNG</v>
      </c>
      <c r="F1192" s="17" t="str">
        <f>F1191</f>
        <v>TRAPASTRMDMD</v>
      </c>
      <c r="G1192" s="17" t="str">
        <f>G1191</f>
        <v>TRAPASTRMDMD</v>
      </c>
      <c r="H1192" s="18">
        <v>2040</v>
      </c>
      <c r="I1192" s="18"/>
      <c r="J1192" s="20" t="e">
        <f>1-(J1191*-1)</f>
        <v>#DIV/0!</v>
      </c>
      <c r="K1192" s="18"/>
      <c r="L1192" s="18"/>
      <c r="N1192" s="21"/>
    </row>
    <row r="1193" spans="1:14" x14ac:dyDescent="0.25">
      <c r="C1193" s="15" t="str">
        <f t="shared" si="118"/>
        <v>*</v>
      </c>
      <c r="D1193" s="17" t="str">
        <f>D1191</f>
        <v>*ICEV*</v>
      </c>
      <c r="E1193" s="17" t="str">
        <f>E1191</f>
        <v>TRACNG</v>
      </c>
      <c r="F1193" s="17" t="str">
        <f>F1191</f>
        <v>TRAPASTRMDMD</v>
      </c>
      <c r="G1193" s="17" t="str">
        <f>G1191</f>
        <v>TRAPASTRMDMD</v>
      </c>
      <c r="H1193" s="18">
        <v>2050</v>
      </c>
      <c r="I1193" s="18"/>
      <c r="J1193" s="29" t="e">
        <f>IF(J1185=0,-N1193+1,J1185*N1193)</f>
        <v>#DIV/0!</v>
      </c>
      <c r="K1193" s="18"/>
      <c r="L1193" s="18"/>
      <c r="N1193" s="21">
        <v>1.4</v>
      </c>
    </row>
    <row r="1194" spans="1:14" x14ac:dyDescent="0.25">
      <c r="C1194" s="23" t="str">
        <f t="shared" si="118"/>
        <v>*</v>
      </c>
      <c r="D1194" s="25" t="s">
        <v>487</v>
      </c>
      <c r="E1194" s="25" t="str">
        <f>E1193</f>
        <v>TRACNG</v>
      </c>
      <c r="F1194" s="25" t="str">
        <f>F1193</f>
        <v>TRAPASTRMDMD</v>
      </c>
      <c r="G1194" s="25" t="str">
        <f>G1193</f>
        <v>TRAPASTRMDMD</v>
      </c>
      <c r="H1194" s="26">
        <v>2050</v>
      </c>
      <c r="I1194" s="26"/>
      <c r="J1194" s="27" t="e">
        <f>1-(J1193*-1)</f>
        <v>#DIV/0!</v>
      </c>
      <c r="K1194" s="26"/>
      <c r="L1194" s="26"/>
      <c r="N1194" s="28"/>
    </row>
    <row r="1195" spans="1:14" x14ac:dyDescent="0.25">
      <c r="A1195">
        <f>A1185+1</f>
        <v>120</v>
      </c>
      <c r="C1195" s="15" t="str">
        <f>IF(E1195="","",IF(SUMIFS('TRA TECH'!M:M,'TRA TECH'!J:J,D1196,'TRA TECH'!I:I,F1196,'TRA TECH'!H:H,E1196)=0,"*",IF(_xlfn.XLOOKUP($A1195,Selected_constraint!$A:$A,Selected_constraint!$D:$D)=1,"*",IF(SUMIFS('TRA TECH'!$M:$M,'TRA TECH'!$H:$H,E1195,'TRA TECH'!$I:$I,F1195)=0,"*",IF(SUMIFS('TRA RESID'!$P:$P,'TRA RESID'!$I:$I,G1195,'TRA RESID'!$J:$J,D1195,'TRA RESID'!$H:$H,E1195)=0,"*","UC_"&amp;SUBSTITUTE(D1195,"*","")&amp;"_"&amp;SUBSTITUTE(D1195,"*","")&amp;"_"&amp;RIGHT(E1195,3)&amp;"_"&amp;F1195)))))</f>
        <v>*</v>
      </c>
      <c r="D1195" s="17" t="s">
        <v>485</v>
      </c>
      <c r="E1195" s="17" t="str">
        <f>_xlfn.XLOOKUP($A1195,Selected_constraint!$A:$A,Selected_constraint!$B:$B)</f>
        <v>TRARNG</v>
      </c>
      <c r="F1195" s="17" t="str">
        <f>_xlfn.XLOOKUP($A1195,Selected_constraint!$A:$A,Selected_constraint!$C:$C)</f>
        <v>TRAPASTRMDMD</v>
      </c>
      <c r="G1195" s="17" t="str">
        <f>F1195</f>
        <v>TRAPASTRMDMD</v>
      </c>
      <c r="H1195" s="18">
        <v>2019</v>
      </c>
      <c r="I1195" s="18" t="s">
        <v>484</v>
      </c>
      <c r="J1195" s="29" t="e">
        <f>-SUMIFS('TRA RESID'!$P:$P,'TRA RESID'!$I:$I,G1196,'TRA RESID'!$J:$J,D1196,'TRA RESID'!$H:$H,E1196)/(SUMIFS('TRA RESID'!$P:$P,'TRA RESID'!$I:$I,G1196,'TRA RESID'!$J:$J,D1196,'TRA RESID'!$H:$H,E1196)+SUMIFS('TRA RESID'!$P:$P,'TRA RESID'!$I:$I,G1195,'TRA RESID'!$J:$J,D1195,'TRA RESID'!$H:$H,E1195))</f>
        <v>#DIV/0!</v>
      </c>
      <c r="K1195" s="18">
        <v>0</v>
      </c>
      <c r="L1195" s="18">
        <v>5</v>
      </c>
      <c r="N1195" s="21">
        <v>1</v>
      </c>
    </row>
    <row r="1196" spans="1:14" x14ac:dyDescent="0.25">
      <c r="C1196" s="15" t="str">
        <f t="shared" ref="C1196:C1204" si="119">IF(C1195="*",C1195,"")</f>
        <v>*</v>
      </c>
      <c r="D1196" s="17" t="s">
        <v>487</v>
      </c>
      <c r="E1196" s="17" t="str">
        <f>E1195</f>
        <v>TRARNG</v>
      </c>
      <c r="F1196" s="17" t="str">
        <f>F1195</f>
        <v>TRAPASTRMDMD</v>
      </c>
      <c r="G1196" s="17" t="str">
        <f>G1195</f>
        <v>TRAPASTRMDMD</v>
      </c>
      <c r="H1196" s="18">
        <v>2019</v>
      </c>
      <c r="I1196" s="18"/>
      <c r="J1196" s="20" t="e">
        <f>1-(J1195*-1)</f>
        <v>#DIV/0!</v>
      </c>
      <c r="K1196" s="18"/>
      <c r="L1196" s="18"/>
      <c r="N1196" s="21"/>
    </row>
    <row r="1197" spans="1:14" x14ac:dyDescent="0.25">
      <c r="C1197" s="15" t="str">
        <f t="shared" si="119"/>
        <v>*</v>
      </c>
      <c r="D1197" s="17" t="str">
        <f>D1195</f>
        <v>*ICEV*</v>
      </c>
      <c r="E1197" s="17" t="str">
        <f>E1195</f>
        <v>TRARNG</v>
      </c>
      <c r="F1197" s="17" t="str">
        <f>F1195</f>
        <v>TRAPASTRMDMD</v>
      </c>
      <c r="G1197" s="17" t="str">
        <f>G1195</f>
        <v>TRAPASTRMDMD</v>
      </c>
      <c r="H1197" s="18">
        <v>2025</v>
      </c>
      <c r="I1197" s="18"/>
      <c r="J1197" s="29" t="e">
        <f>IF(J1195=0,-N1197+1,J1195*N1197)</f>
        <v>#DIV/0!</v>
      </c>
      <c r="K1197" s="18"/>
      <c r="L1197" s="18"/>
      <c r="N1197" s="21">
        <v>1.1000000000000001</v>
      </c>
    </row>
    <row r="1198" spans="1:14" x14ac:dyDescent="0.25">
      <c r="C1198" s="15" t="str">
        <f t="shared" si="119"/>
        <v>*</v>
      </c>
      <c r="D1198" s="17" t="s">
        <v>487</v>
      </c>
      <c r="E1198" s="17" t="str">
        <f>E1197</f>
        <v>TRARNG</v>
      </c>
      <c r="F1198" s="17" t="str">
        <f>F1197</f>
        <v>TRAPASTRMDMD</v>
      </c>
      <c r="G1198" s="17" t="str">
        <f>G1197</f>
        <v>TRAPASTRMDMD</v>
      </c>
      <c r="H1198" s="18">
        <v>2025</v>
      </c>
      <c r="I1198" s="18"/>
      <c r="J1198" s="20" t="e">
        <f>1-(J1197*-1)</f>
        <v>#DIV/0!</v>
      </c>
      <c r="K1198" s="18"/>
      <c r="L1198" s="18"/>
      <c r="N1198" s="21"/>
    </row>
    <row r="1199" spans="1:14" x14ac:dyDescent="0.25">
      <c r="C1199" s="15" t="str">
        <f t="shared" si="119"/>
        <v>*</v>
      </c>
      <c r="D1199" s="17" t="str">
        <f>D1197</f>
        <v>*ICEV*</v>
      </c>
      <c r="E1199" s="17" t="str">
        <f>E1197</f>
        <v>TRARNG</v>
      </c>
      <c r="F1199" s="17" t="str">
        <f>F1197</f>
        <v>TRAPASTRMDMD</v>
      </c>
      <c r="G1199" s="17" t="str">
        <f>G1197</f>
        <v>TRAPASTRMDMD</v>
      </c>
      <c r="H1199" s="18">
        <v>2030</v>
      </c>
      <c r="I1199" s="18"/>
      <c r="J1199" s="29" t="e">
        <f>IF(J1195=0,-N1199+1,J1195*N1199)</f>
        <v>#DIV/0!</v>
      </c>
      <c r="K1199" s="18"/>
      <c r="L1199" s="18"/>
      <c r="N1199" s="21">
        <v>1.2</v>
      </c>
    </row>
    <row r="1200" spans="1:14" x14ac:dyDescent="0.25">
      <c r="C1200" s="15" t="str">
        <f t="shared" si="119"/>
        <v>*</v>
      </c>
      <c r="D1200" s="17" t="s">
        <v>487</v>
      </c>
      <c r="E1200" s="17" t="str">
        <f>E1199</f>
        <v>TRARNG</v>
      </c>
      <c r="F1200" s="17" t="str">
        <f>F1199</f>
        <v>TRAPASTRMDMD</v>
      </c>
      <c r="G1200" s="17" t="str">
        <f>G1199</f>
        <v>TRAPASTRMDMD</v>
      </c>
      <c r="H1200" s="18">
        <v>2030</v>
      </c>
      <c r="I1200" s="18"/>
      <c r="J1200" s="20" t="e">
        <f>1-(J1199*-1)</f>
        <v>#DIV/0!</v>
      </c>
      <c r="K1200" s="18"/>
      <c r="L1200" s="18"/>
      <c r="N1200" s="21"/>
    </row>
    <row r="1201" spans="1:14" x14ac:dyDescent="0.25">
      <c r="C1201" s="15" t="str">
        <f t="shared" si="119"/>
        <v>*</v>
      </c>
      <c r="D1201" s="17" t="str">
        <f>D1199</f>
        <v>*ICEV*</v>
      </c>
      <c r="E1201" s="17" t="str">
        <f>E1199</f>
        <v>TRARNG</v>
      </c>
      <c r="F1201" s="17" t="str">
        <f>F1199</f>
        <v>TRAPASTRMDMD</v>
      </c>
      <c r="G1201" s="17" t="str">
        <f>G1199</f>
        <v>TRAPASTRMDMD</v>
      </c>
      <c r="H1201" s="18">
        <v>2040</v>
      </c>
      <c r="I1201" s="18"/>
      <c r="J1201" s="29" t="e">
        <f>IF(J1195=0,-N1201+1,J1195*N1201)</f>
        <v>#DIV/0!</v>
      </c>
      <c r="K1201" s="18"/>
      <c r="L1201" s="18"/>
      <c r="N1201" s="21">
        <v>1.3</v>
      </c>
    </row>
    <row r="1202" spans="1:14" x14ac:dyDescent="0.25">
      <c r="C1202" s="15" t="str">
        <f t="shared" si="119"/>
        <v>*</v>
      </c>
      <c r="D1202" s="17" t="s">
        <v>487</v>
      </c>
      <c r="E1202" s="17" t="str">
        <f>E1201</f>
        <v>TRARNG</v>
      </c>
      <c r="F1202" s="17" t="str">
        <f>F1201</f>
        <v>TRAPASTRMDMD</v>
      </c>
      <c r="G1202" s="17" t="str">
        <f>G1201</f>
        <v>TRAPASTRMDMD</v>
      </c>
      <c r="H1202" s="18">
        <v>2040</v>
      </c>
      <c r="I1202" s="18"/>
      <c r="J1202" s="20" t="e">
        <f>1-(J1201*-1)</f>
        <v>#DIV/0!</v>
      </c>
      <c r="K1202" s="18"/>
      <c r="L1202" s="18"/>
      <c r="N1202" s="21"/>
    </row>
    <row r="1203" spans="1:14" x14ac:dyDescent="0.25">
      <c r="C1203" s="15" t="str">
        <f t="shared" si="119"/>
        <v>*</v>
      </c>
      <c r="D1203" s="17" t="str">
        <f>D1201</f>
        <v>*ICEV*</v>
      </c>
      <c r="E1203" s="17" t="str">
        <f>E1201</f>
        <v>TRARNG</v>
      </c>
      <c r="F1203" s="17" t="str">
        <f>F1201</f>
        <v>TRAPASTRMDMD</v>
      </c>
      <c r="G1203" s="17" t="str">
        <f>G1201</f>
        <v>TRAPASTRMDMD</v>
      </c>
      <c r="H1203" s="18">
        <v>2050</v>
      </c>
      <c r="I1203" s="18"/>
      <c r="J1203" s="29" t="e">
        <f>IF(J1195=0,-N1203+1,J1195*N1203)</f>
        <v>#DIV/0!</v>
      </c>
      <c r="K1203" s="18"/>
      <c r="L1203" s="18"/>
      <c r="N1203" s="21">
        <v>1.4</v>
      </c>
    </row>
    <row r="1204" spans="1:14" x14ac:dyDescent="0.25">
      <c r="C1204" s="23" t="str">
        <f t="shared" si="119"/>
        <v>*</v>
      </c>
      <c r="D1204" s="25" t="s">
        <v>487</v>
      </c>
      <c r="E1204" s="25" t="str">
        <f>E1203</f>
        <v>TRARNG</v>
      </c>
      <c r="F1204" s="25" t="str">
        <f>F1203</f>
        <v>TRAPASTRMDMD</v>
      </c>
      <c r="G1204" s="25" t="str">
        <f>G1203</f>
        <v>TRAPASTRMDMD</v>
      </c>
      <c r="H1204" s="26">
        <v>2050</v>
      </c>
      <c r="I1204" s="26"/>
      <c r="J1204" s="27" t="e">
        <f>1-(J1203*-1)</f>
        <v>#DIV/0!</v>
      </c>
      <c r="K1204" s="26"/>
      <c r="L1204" s="26"/>
      <c r="N1204" s="28"/>
    </row>
    <row r="1205" spans="1:14" x14ac:dyDescent="0.25">
      <c r="A1205">
        <f>A1195+1</f>
        <v>121</v>
      </c>
      <c r="C1205" s="15" t="str">
        <f>IF(E1205="","",IF(SUMIFS('TRA TECH'!M:M,'TRA TECH'!J:J,D1206,'TRA TECH'!I:I,F1206,'TRA TECH'!H:H,E1206)=0,"*",IF(_xlfn.XLOOKUP($A1205,Selected_constraint!$A:$A,Selected_constraint!$D:$D)=1,"*",IF(SUMIFS('TRA TECH'!$M:$M,'TRA TECH'!$H:$H,E1205,'TRA TECH'!$I:$I,F1205)=0,"*",IF(SUMIFS('TRA RESID'!$P:$P,'TRA RESID'!$I:$I,G1205,'TRA RESID'!$J:$J,D1205,'TRA RESID'!$H:$H,E1205)=0,"*","UC_"&amp;SUBSTITUTE(D1205,"*","")&amp;"_"&amp;SUBSTITUTE(D1205,"*","")&amp;"_"&amp;RIGHT(E1205,3)&amp;"_"&amp;F1205)))))</f>
        <v>*</v>
      </c>
      <c r="D1205" s="17" t="s">
        <v>485</v>
      </c>
      <c r="E1205" s="17" t="str">
        <f>_xlfn.XLOOKUP($A1205,Selected_constraint!$A:$A,Selected_constraint!$B:$B)</f>
        <v>TRAELC</v>
      </c>
      <c r="F1205" s="17" t="str">
        <f>_xlfn.XLOOKUP($A1205,Selected_constraint!$A:$A,Selected_constraint!$C:$C)</f>
        <v>TRAPASTRMDMD</v>
      </c>
      <c r="G1205" s="17" t="str">
        <f>F1205</f>
        <v>TRAPASTRMDMD</v>
      </c>
      <c r="H1205" s="18">
        <v>2019</v>
      </c>
      <c r="I1205" s="18" t="s">
        <v>484</v>
      </c>
      <c r="J1205" s="29" t="e">
        <f>-SUMIFS('TRA RESID'!$P:$P,'TRA RESID'!$I:$I,G1206,'TRA RESID'!$J:$J,D1206,'TRA RESID'!$H:$H,E1206)/(SUMIFS('TRA RESID'!$P:$P,'TRA RESID'!$I:$I,G1206,'TRA RESID'!$J:$J,D1206,'TRA RESID'!$H:$H,E1206)+SUMIFS('TRA RESID'!$P:$P,'TRA RESID'!$I:$I,G1205,'TRA RESID'!$J:$J,D1205,'TRA RESID'!$H:$H,E1205))</f>
        <v>#DIV/0!</v>
      </c>
      <c r="K1205" s="18">
        <v>0</v>
      </c>
      <c r="L1205" s="18">
        <v>5</v>
      </c>
      <c r="N1205" s="21">
        <v>1</v>
      </c>
    </row>
    <row r="1206" spans="1:14" x14ac:dyDescent="0.25">
      <c r="C1206" s="15" t="str">
        <f t="shared" ref="C1206:C1214" si="120">IF(C1205="*",C1205,"")</f>
        <v>*</v>
      </c>
      <c r="D1206" s="17" t="s">
        <v>487</v>
      </c>
      <c r="E1206" s="17" t="str">
        <f>E1205</f>
        <v>TRAELC</v>
      </c>
      <c r="F1206" s="17" t="str">
        <f>F1205</f>
        <v>TRAPASTRMDMD</v>
      </c>
      <c r="G1206" s="17" t="str">
        <f>G1205</f>
        <v>TRAPASTRMDMD</v>
      </c>
      <c r="H1206" s="18">
        <v>2019</v>
      </c>
      <c r="I1206" s="18"/>
      <c r="J1206" s="20" t="e">
        <f>1-(J1205*-1)</f>
        <v>#DIV/0!</v>
      </c>
      <c r="K1206" s="18"/>
      <c r="L1206" s="18"/>
      <c r="N1206" s="21"/>
    </row>
    <row r="1207" spans="1:14" x14ac:dyDescent="0.25">
      <c r="C1207" s="15" t="str">
        <f t="shared" si="120"/>
        <v>*</v>
      </c>
      <c r="D1207" s="17" t="str">
        <f>D1205</f>
        <v>*ICEV*</v>
      </c>
      <c r="E1207" s="17" t="str">
        <f>E1205</f>
        <v>TRAELC</v>
      </c>
      <c r="F1207" s="17" t="str">
        <f>F1205</f>
        <v>TRAPASTRMDMD</v>
      </c>
      <c r="G1207" s="17" t="str">
        <f>G1205</f>
        <v>TRAPASTRMDMD</v>
      </c>
      <c r="H1207" s="18">
        <v>2025</v>
      </c>
      <c r="I1207" s="18"/>
      <c r="J1207" s="29" t="e">
        <f>IF(J1205=0,-N1207+1,J1205*N1207)</f>
        <v>#DIV/0!</v>
      </c>
      <c r="K1207" s="18"/>
      <c r="L1207" s="18"/>
      <c r="N1207" s="21">
        <v>1.1000000000000001</v>
      </c>
    </row>
    <row r="1208" spans="1:14" x14ac:dyDescent="0.25">
      <c r="C1208" s="15" t="str">
        <f t="shared" si="120"/>
        <v>*</v>
      </c>
      <c r="D1208" s="17" t="s">
        <v>487</v>
      </c>
      <c r="E1208" s="17" t="str">
        <f>E1207</f>
        <v>TRAELC</v>
      </c>
      <c r="F1208" s="17" t="str">
        <f>F1207</f>
        <v>TRAPASTRMDMD</v>
      </c>
      <c r="G1208" s="17" t="str">
        <f>G1207</f>
        <v>TRAPASTRMDMD</v>
      </c>
      <c r="H1208" s="18">
        <v>2025</v>
      </c>
      <c r="I1208" s="18"/>
      <c r="J1208" s="20" t="e">
        <f>1-(J1207*-1)</f>
        <v>#DIV/0!</v>
      </c>
      <c r="K1208" s="18"/>
      <c r="L1208" s="18"/>
      <c r="N1208" s="21"/>
    </row>
    <row r="1209" spans="1:14" x14ac:dyDescent="0.25">
      <c r="C1209" s="15" t="str">
        <f t="shared" si="120"/>
        <v>*</v>
      </c>
      <c r="D1209" s="17" t="str">
        <f>D1207</f>
        <v>*ICEV*</v>
      </c>
      <c r="E1209" s="17" t="str">
        <f>E1207</f>
        <v>TRAELC</v>
      </c>
      <c r="F1209" s="17" t="str">
        <f>F1207</f>
        <v>TRAPASTRMDMD</v>
      </c>
      <c r="G1209" s="17" t="str">
        <f>G1207</f>
        <v>TRAPASTRMDMD</v>
      </c>
      <c r="H1209" s="18">
        <v>2030</v>
      </c>
      <c r="I1209" s="18"/>
      <c r="J1209" s="29" t="e">
        <f>IF(J1205=0,-N1209+1,J1205*N1209)</f>
        <v>#DIV/0!</v>
      </c>
      <c r="K1209" s="18"/>
      <c r="L1209" s="18"/>
      <c r="N1209" s="21">
        <v>1.2</v>
      </c>
    </row>
    <row r="1210" spans="1:14" x14ac:dyDescent="0.25">
      <c r="C1210" s="15" t="str">
        <f t="shared" si="120"/>
        <v>*</v>
      </c>
      <c r="D1210" s="17" t="s">
        <v>487</v>
      </c>
      <c r="E1210" s="17" t="str">
        <f>E1209</f>
        <v>TRAELC</v>
      </c>
      <c r="F1210" s="17" t="str">
        <f>F1209</f>
        <v>TRAPASTRMDMD</v>
      </c>
      <c r="G1210" s="17" t="str">
        <f>G1209</f>
        <v>TRAPASTRMDMD</v>
      </c>
      <c r="H1210" s="18">
        <v>2030</v>
      </c>
      <c r="I1210" s="18"/>
      <c r="J1210" s="20" t="e">
        <f>1-(J1209*-1)</f>
        <v>#DIV/0!</v>
      </c>
      <c r="K1210" s="18"/>
      <c r="L1210" s="18"/>
      <c r="N1210" s="21"/>
    </row>
    <row r="1211" spans="1:14" x14ac:dyDescent="0.25">
      <c r="C1211" s="15" t="str">
        <f t="shared" si="120"/>
        <v>*</v>
      </c>
      <c r="D1211" s="17" t="str">
        <f>D1209</f>
        <v>*ICEV*</v>
      </c>
      <c r="E1211" s="17" t="str">
        <f>E1209</f>
        <v>TRAELC</v>
      </c>
      <c r="F1211" s="17" t="str">
        <f>F1209</f>
        <v>TRAPASTRMDMD</v>
      </c>
      <c r="G1211" s="17" t="str">
        <f>G1209</f>
        <v>TRAPASTRMDMD</v>
      </c>
      <c r="H1211" s="18">
        <v>2040</v>
      </c>
      <c r="I1211" s="18"/>
      <c r="J1211" s="29" t="e">
        <f>IF(J1205=0,-N1211+1,J1205*N1211)</f>
        <v>#DIV/0!</v>
      </c>
      <c r="K1211" s="18"/>
      <c r="L1211" s="18"/>
      <c r="N1211" s="21">
        <v>1.3</v>
      </c>
    </row>
    <row r="1212" spans="1:14" x14ac:dyDescent="0.25">
      <c r="C1212" s="15" t="str">
        <f t="shared" si="120"/>
        <v>*</v>
      </c>
      <c r="D1212" s="17" t="s">
        <v>487</v>
      </c>
      <c r="E1212" s="17" t="str">
        <f>E1211</f>
        <v>TRAELC</v>
      </c>
      <c r="F1212" s="17" t="str">
        <f>F1211</f>
        <v>TRAPASTRMDMD</v>
      </c>
      <c r="G1212" s="17" t="str">
        <f>G1211</f>
        <v>TRAPASTRMDMD</v>
      </c>
      <c r="H1212" s="18">
        <v>2040</v>
      </c>
      <c r="I1212" s="18"/>
      <c r="J1212" s="20" t="e">
        <f>1-(J1211*-1)</f>
        <v>#DIV/0!</v>
      </c>
      <c r="K1212" s="18"/>
      <c r="L1212" s="18"/>
      <c r="N1212" s="21"/>
    </row>
    <row r="1213" spans="1:14" x14ac:dyDescent="0.25">
      <c r="C1213" s="15" t="str">
        <f t="shared" si="120"/>
        <v>*</v>
      </c>
      <c r="D1213" s="17" t="str">
        <f>D1211</f>
        <v>*ICEV*</v>
      </c>
      <c r="E1213" s="17" t="str">
        <f>E1211</f>
        <v>TRAELC</v>
      </c>
      <c r="F1213" s="17" t="str">
        <f>F1211</f>
        <v>TRAPASTRMDMD</v>
      </c>
      <c r="G1213" s="17" t="str">
        <f>G1211</f>
        <v>TRAPASTRMDMD</v>
      </c>
      <c r="H1213" s="18">
        <v>2050</v>
      </c>
      <c r="I1213" s="18"/>
      <c r="J1213" s="29" t="e">
        <f>IF(J1205=0,-N1213+1,J1205*N1213)</f>
        <v>#DIV/0!</v>
      </c>
      <c r="K1213" s="18"/>
      <c r="L1213" s="18"/>
      <c r="N1213" s="21">
        <v>1.4</v>
      </c>
    </row>
    <row r="1214" spans="1:14" x14ac:dyDescent="0.25">
      <c r="C1214" s="23" t="str">
        <f t="shared" si="120"/>
        <v>*</v>
      </c>
      <c r="D1214" s="25" t="s">
        <v>487</v>
      </c>
      <c r="E1214" s="25" t="str">
        <f>E1213</f>
        <v>TRAELC</v>
      </c>
      <c r="F1214" s="25" t="str">
        <f>F1213</f>
        <v>TRAPASTRMDMD</v>
      </c>
      <c r="G1214" s="25" t="str">
        <f>G1213</f>
        <v>TRAPASTRMDMD</v>
      </c>
      <c r="H1214" s="26">
        <v>2050</v>
      </c>
      <c r="I1214" s="26"/>
      <c r="J1214" s="27" t="e">
        <f>1-(J1213*-1)</f>
        <v>#DIV/0!</v>
      </c>
      <c r="K1214" s="26"/>
      <c r="L1214" s="26"/>
      <c r="N1214" s="28"/>
    </row>
    <row r="1215" spans="1:14" x14ac:dyDescent="0.25">
      <c r="A1215">
        <f>A1205+1</f>
        <v>122</v>
      </c>
      <c r="C1215" s="15" t="str">
        <f>IF(E1215="","",IF(SUMIFS('TRA TECH'!M:M,'TRA TECH'!J:J,D1216,'TRA TECH'!I:I,F1216,'TRA TECH'!H:H,E1216)=0,"*",IF(_xlfn.XLOOKUP($A1215,Selected_constraint!$A:$A,Selected_constraint!$D:$D)=1,"*",IF(SUMIFS('TRA TECH'!$M:$M,'TRA TECH'!$H:$H,E1215,'TRA TECH'!$I:$I,F1215)=0,"*",IF(SUMIFS('TRA RESID'!$P:$P,'TRA RESID'!$I:$I,G1215,'TRA RESID'!$J:$J,D1215,'TRA RESID'!$H:$H,E1215)=0,"*","UC_"&amp;SUBSTITUTE(D1215,"*","")&amp;"_"&amp;SUBSTITUTE(D1215,"*","")&amp;"_"&amp;RIGHT(E1215,3)&amp;"_"&amp;F1215)))))</f>
        <v>*</v>
      </c>
      <c r="D1215" s="17" t="s">
        <v>485</v>
      </c>
      <c r="E1215" s="17" t="str">
        <f>_xlfn.XLOOKUP($A1215,Selected_constraint!$A:$A,Selected_constraint!$B:$B)</f>
        <v>TRAELC</v>
      </c>
      <c r="F1215" s="17" t="str">
        <f>_xlfn.XLOOKUP($A1215,Selected_constraint!$A:$A,Selected_constraint!$C:$C)</f>
        <v>TRAPASSUBDMD</v>
      </c>
      <c r="G1215" s="17" t="str">
        <f>F1215</f>
        <v>TRAPASSUBDMD</v>
      </c>
      <c r="H1215" s="18">
        <v>2019</v>
      </c>
      <c r="I1215" s="18" t="s">
        <v>484</v>
      </c>
      <c r="J1215" s="29" t="e">
        <f>-SUMIFS('TRA RESID'!$P:$P,'TRA RESID'!$I:$I,G1216,'TRA RESID'!$J:$J,D1216,'TRA RESID'!$H:$H,E1216)/(SUMIFS('TRA RESID'!$P:$P,'TRA RESID'!$I:$I,G1216,'TRA RESID'!$J:$J,D1216,'TRA RESID'!$H:$H,E1216)+SUMIFS('TRA RESID'!$P:$P,'TRA RESID'!$I:$I,G1215,'TRA RESID'!$J:$J,D1215,'TRA RESID'!$H:$H,E1215))</f>
        <v>#DIV/0!</v>
      </c>
      <c r="K1215" s="18">
        <v>0</v>
      </c>
      <c r="L1215" s="18">
        <v>5</v>
      </c>
      <c r="N1215" s="21">
        <v>1</v>
      </c>
    </row>
    <row r="1216" spans="1:14" x14ac:dyDescent="0.25">
      <c r="C1216" s="15" t="str">
        <f t="shared" ref="C1216:C1224" si="121">IF(C1215="*",C1215,"")</f>
        <v>*</v>
      </c>
      <c r="D1216" s="17" t="s">
        <v>487</v>
      </c>
      <c r="E1216" s="17" t="str">
        <f>E1215</f>
        <v>TRAELC</v>
      </c>
      <c r="F1216" s="17" t="str">
        <f>F1215</f>
        <v>TRAPASSUBDMD</v>
      </c>
      <c r="G1216" s="17" t="str">
        <f>G1215</f>
        <v>TRAPASSUBDMD</v>
      </c>
      <c r="H1216" s="18">
        <v>2019</v>
      </c>
      <c r="I1216" s="18"/>
      <c r="J1216" s="20" t="e">
        <f>1-(J1215*-1)</f>
        <v>#DIV/0!</v>
      </c>
      <c r="K1216" s="18"/>
      <c r="L1216" s="18"/>
      <c r="N1216" s="21"/>
    </row>
    <row r="1217" spans="1:14" x14ac:dyDescent="0.25">
      <c r="C1217" s="15" t="str">
        <f t="shared" si="121"/>
        <v>*</v>
      </c>
      <c r="D1217" s="17" t="str">
        <f>D1215</f>
        <v>*ICEV*</v>
      </c>
      <c r="E1217" s="17" t="str">
        <f>E1215</f>
        <v>TRAELC</v>
      </c>
      <c r="F1217" s="17" t="str">
        <f>F1215</f>
        <v>TRAPASSUBDMD</v>
      </c>
      <c r="G1217" s="17" t="str">
        <f>G1215</f>
        <v>TRAPASSUBDMD</v>
      </c>
      <c r="H1217" s="18">
        <v>2025</v>
      </c>
      <c r="I1217" s="18"/>
      <c r="J1217" s="29" t="e">
        <f>IF(J1215=0,-N1217+1,J1215*N1217)</f>
        <v>#DIV/0!</v>
      </c>
      <c r="K1217" s="18"/>
      <c r="L1217" s="18"/>
      <c r="N1217" s="21">
        <v>1.1000000000000001</v>
      </c>
    </row>
    <row r="1218" spans="1:14" x14ac:dyDescent="0.25">
      <c r="C1218" s="15" t="str">
        <f t="shared" si="121"/>
        <v>*</v>
      </c>
      <c r="D1218" s="17" t="s">
        <v>487</v>
      </c>
      <c r="E1218" s="17" t="str">
        <f>E1217</f>
        <v>TRAELC</v>
      </c>
      <c r="F1218" s="17" t="str">
        <f>F1217</f>
        <v>TRAPASSUBDMD</v>
      </c>
      <c r="G1218" s="17" t="str">
        <f>G1217</f>
        <v>TRAPASSUBDMD</v>
      </c>
      <c r="H1218" s="18">
        <v>2025</v>
      </c>
      <c r="I1218" s="18"/>
      <c r="J1218" s="20" t="e">
        <f>1-(J1217*-1)</f>
        <v>#DIV/0!</v>
      </c>
      <c r="K1218" s="18"/>
      <c r="L1218" s="18"/>
      <c r="N1218" s="21"/>
    </row>
    <row r="1219" spans="1:14" x14ac:dyDescent="0.25">
      <c r="C1219" s="15" t="str">
        <f t="shared" si="121"/>
        <v>*</v>
      </c>
      <c r="D1219" s="17" t="str">
        <f>D1217</f>
        <v>*ICEV*</v>
      </c>
      <c r="E1219" s="17" t="str">
        <f>E1217</f>
        <v>TRAELC</v>
      </c>
      <c r="F1219" s="17" t="str">
        <f>F1217</f>
        <v>TRAPASSUBDMD</v>
      </c>
      <c r="G1219" s="17" t="str">
        <f>G1217</f>
        <v>TRAPASSUBDMD</v>
      </c>
      <c r="H1219" s="18">
        <v>2030</v>
      </c>
      <c r="I1219" s="18"/>
      <c r="J1219" s="29" t="e">
        <f>IF(J1215=0,-N1219+1,J1215*N1219)</f>
        <v>#DIV/0!</v>
      </c>
      <c r="K1219" s="18"/>
      <c r="L1219" s="18"/>
      <c r="N1219" s="21">
        <v>1.2</v>
      </c>
    </row>
    <row r="1220" spans="1:14" x14ac:dyDescent="0.25">
      <c r="C1220" s="15" t="str">
        <f t="shared" si="121"/>
        <v>*</v>
      </c>
      <c r="D1220" s="17" t="s">
        <v>487</v>
      </c>
      <c r="E1220" s="17" t="str">
        <f>E1219</f>
        <v>TRAELC</v>
      </c>
      <c r="F1220" s="17" t="str">
        <f>F1219</f>
        <v>TRAPASSUBDMD</v>
      </c>
      <c r="G1220" s="17" t="str">
        <f>G1219</f>
        <v>TRAPASSUBDMD</v>
      </c>
      <c r="H1220" s="18">
        <v>2030</v>
      </c>
      <c r="I1220" s="18"/>
      <c r="J1220" s="20" t="e">
        <f>1-(J1219*-1)</f>
        <v>#DIV/0!</v>
      </c>
      <c r="K1220" s="18"/>
      <c r="L1220" s="18"/>
      <c r="N1220" s="21"/>
    </row>
    <row r="1221" spans="1:14" x14ac:dyDescent="0.25">
      <c r="C1221" s="15" t="str">
        <f t="shared" si="121"/>
        <v>*</v>
      </c>
      <c r="D1221" s="17" t="str">
        <f>D1219</f>
        <v>*ICEV*</v>
      </c>
      <c r="E1221" s="17" t="str">
        <f>E1219</f>
        <v>TRAELC</v>
      </c>
      <c r="F1221" s="17" t="str">
        <f>F1219</f>
        <v>TRAPASSUBDMD</v>
      </c>
      <c r="G1221" s="17" t="str">
        <f>G1219</f>
        <v>TRAPASSUBDMD</v>
      </c>
      <c r="H1221" s="18">
        <v>2040</v>
      </c>
      <c r="I1221" s="18"/>
      <c r="J1221" s="29" t="e">
        <f>IF(J1215=0,-N1221+1,J1215*N1221)</f>
        <v>#DIV/0!</v>
      </c>
      <c r="K1221" s="18"/>
      <c r="L1221" s="18"/>
      <c r="N1221" s="21">
        <v>1.3</v>
      </c>
    </row>
    <row r="1222" spans="1:14" x14ac:dyDescent="0.25">
      <c r="C1222" s="15" t="str">
        <f t="shared" si="121"/>
        <v>*</v>
      </c>
      <c r="D1222" s="17" t="s">
        <v>487</v>
      </c>
      <c r="E1222" s="17" t="str">
        <f>E1221</f>
        <v>TRAELC</v>
      </c>
      <c r="F1222" s="17" t="str">
        <f>F1221</f>
        <v>TRAPASSUBDMD</v>
      </c>
      <c r="G1222" s="17" t="str">
        <f>G1221</f>
        <v>TRAPASSUBDMD</v>
      </c>
      <c r="H1222" s="18">
        <v>2040</v>
      </c>
      <c r="I1222" s="18"/>
      <c r="J1222" s="20" t="e">
        <f>1-(J1221*-1)</f>
        <v>#DIV/0!</v>
      </c>
      <c r="K1222" s="18"/>
      <c r="L1222" s="18"/>
      <c r="N1222" s="21"/>
    </row>
    <row r="1223" spans="1:14" x14ac:dyDescent="0.25">
      <c r="C1223" s="15" t="str">
        <f t="shared" si="121"/>
        <v>*</v>
      </c>
      <c r="D1223" s="17" t="str">
        <f>D1221</f>
        <v>*ICEV*</v>
      </c>
      <c r="E1223" s="17" t="str">
        <f>E1221</f>
        <v>TRAELC</v>
      </c>
      <c r="F1223" s="17" t="str">
        <f>F1221</f>
        <v>TRAPASSUBDMD</v>
      </c>
      <c r="G1223" s="17" t="str">
        <f>G1221</f>
        <v>TRAPASSUBDMD</v>
      </c>
      <c r="H1223" s="18">
        <v>2050</v>
      </c>
      <c r="I1223" s="18"/>
      <c r="J1223" s="29" t="e">
        <f>IF(J1215=0,-N1223+1,J1215*N1223)</f>
        <v>#DIV/0!</v>
      </c>
      <c r="K1223" s="18"/>
      <c r="L1223" s="18"/>
      <c r="N1223" s="21">
        <v>1.4</v>
      </c>
    </row>
    <row r="1224" spans="1:14" x14ac:dyDescent="0.25">
      <c r="C1224" s="23" t="str">
        <f t="shared" si="121"/>
        <v>*</v>
      </c>
      <c r="D1224" s="25" t="s">
        <v>487</v>
      </c>
      <c r="E1224" s="25" t="str">
        <f>E1223</f>
        <v>TRAELC</v>
      </c>
      <c r="F1224" s="25" t="str">
        <f>F1223</f>
        <v>TRAPASSUBDMD</v>
      </c>
      <c r="G1224" s="25" t="str">
        <f>G1223</f>
        <v>TRAPASSUBDMD</v>
      </c>
      <c r="H1224" s="26">
        <v>2050</v>
      </c>
      <c r="I1224" s="26"/>
      <c r="J1224" s="27" t="e">
        <f>1-(J1223*-1)</f>
        <v>#DIV/0!</v>
      </c>
      <c r="K1224" s="26"/>
      <c r="L1224" s="26"/>
      <c r="N1224" s="28"/>
    </row>
    <row r="1225" spans="1:14" x14ac:dyDescent="0.25">
      <c r="A1225">
        <f>A1215+1</f>
        <v>123</v>
      </c>
      <c r="C1225" s="15" t="str">
        <f>IF(E1225="","",IF(SUMIFS('TRA TECH'!M:M,'TRA TECH'!J:J,D1226,'TRA TECH'!I:I,F1226,'TRA TECH'!H:H,E1226)=0,"*",IF(_xlfn.XLOOKUP($A1225,Selected_constraint!$A:$A,Selected_constraint!$D:$D)=1,"*",IF(SUMIFS('TRA TECH'!$M:$M,'TRA TECH'!$H:$H,E1225,'TRA TECH'!$I:$I,F1225)=0,"*",IF(SUMIFS('TRA RESID'!$P:$P,'TRA RESID'!$I:$I,G1225,'TRA RESID'!$J:$J,D1225,'TRA RESID'!$H:$H,E1225)=0,"*","UC_"&amp;SUBSTITUTE(D1225,"*","")&amp;"_"&amp;SUBSTITUTE(D1225,"*","")&amp;"_"&amp;RIGHT(E1225,3)&amp;"_"&amp;F1225)))))</f>
        <v>*</v>
      </c>
      <c r="D1225" s="17" t="s">
        <v>485</v>
      </c>
      <c r="E1225" s="17" t="str">
        <f>_xlfn.XLOOKUP($A1225,Selected_constraint!$A:$A,Selected_constraint!$B:$B)</f>
        <v>TRAGSL</v>
      </c>
      <c r="F1225" s="17" t="str">
        <f>_xlfn.XLOOKUP($A1225,Selected_constraint!$A:$A,Selected_constraint!$C:$C)</f>
        <v>TRAOTHOFRDMD</v>
      </c>
      <c r="G1225" s="17" t="str">
        <f>F1225</f>
        <v>TRAOTHOFRDMD</v>
      </c>
      <c r="H1225" s="18">
        <v>2019</v>
      </c>
      <c r="I1225" s="18" t="s">
        <v>484</v>
      </c>
      <c r="J1225" s="29" t="e">
        <f>-SUMIFS('TRA RESID'!$P:$P,'TRA RESID'!$I:$I,G1226,'TRA RESID'!$J:$J,D1226,'TRA RESID'!$H:$H,E1226)/(SUMIFS('TRA RESID'!$P:$P,'TRA RESID'!$I:$I,G1226,'TRA RESID'!$J:$J,D1226,'TRA RESID'!$H:$H,E1226)+SUMIFS('TRA RESID'!$P:$P,'TRA RESID'!$I:$I,G1225,'TRA RESID'!$J:$J,D1225,'TRA RESID'!$H:$H,E1225))</f>
        <v>#DIV/0!</v>
      </c>
      <c r="K1225" s="18">
        <v>0</v>
      </c>
      <c r="L1225" s="18">
        <v>5</v>
      </c>
      <c r="N1225" s="21">
        <v>1</v>
      </c>
    </row>
    <row r="1226" spans="1:14" x14ac:dyDescent="0.25">
      <c r="C1226" s="15" t="str">
        <f t="shared" ref="C1226:C1234" si="122">IF(C1225="*",C1225,"")</f>
        <v>*</v>
      </c>
      <c r="D1226" s="17" t="s">
        <v>487</v>
      </c>
      <c r="E1226" s="17" t="str">
        <f>E1225</f>
        <v>TRAGSL</v>
      </c>
      <c r="F1226" s="17" t="str">
        <f>F1225</f>
        <v>TRAOTHOFRDMD</v>
      </c>
      <c r="G1226" s="17" t="str">
        <f>G1225</f>
        <v>TRAOTHOFRDMD</v>
      </c>
      <c r="H1226" s="18">
        <v>2019</v>
      </c>
      <c r="I1226" s="18"/>
      <c r="J1226" s="20" t="e">
        <f>1-(J1225*-1)</f>
        <v>#DIV/0!</v>
      </c>
      <c r="K1226" s="18"/>
      <c r="L1226" s="18"/>
      <c r="N1226" s="21"/>
    </row>
    <row r="1227" spans="1:14" x14ac:dyDescent="0.25">
      <c r="C1227" s="15" t="str">
        <f t="shared" si="122"/>
        <v>*</v>
      </c>
      <c r="D1227" s="17" t="str">
        <f>D1225</f>
        <v>*ICEV*</v>
      </c>
      <c r="E1227" s="17" t="str">
        <f>E1225</f>
        <v>TRAGSL</v>
      </c>
      <c r="F1227" s="17" t="str">
        <f>F1225</f>
        <v>TRAOTHOFRDMD</v>
      </c>
      <c r="G1227" s="17" t="str">
        <f>G1225</f>
        <v>TRAOTHOFRDMD</v>
      </c>
      <c r="H1227" s="18">
        <v>2025</v>
      </c>
      <c r="I1227" s="18"/>
      <c r="J1227" s="29" t="e">
        <f>IF(J1225=0,-N1227+1,J1225*N1227)</f>
        <v>#DIV/0!</v>
      </c>
      <c r="K1227" s="18"/>
      <c r="L1227" s="18"/>
      <c r="N1227" s="21">
        <v>1.1000000000000001</v>
      </c>
    </row>
    <row r="1228" spans="1:14" x14ac:dyDescent="0.25">
      <c r="C1228" s="15" t="str">
        <f t="shared" si="122"/>
        <v>*</v>
      </c>
      <c r="D1228" s="17" t="s">
        <v>487</v>
      </c>
      <c r="E1228" s="17" t="str">
        <f>E1227</f>
        <v>TRAGSL</v>
      </c>
      <c r="F1228" s="17" t="str">
        <f>F1227</f>
        <v>TRAOTHOFRDMD</v>
      </c>
      <c r="G1228" s="17" t="str">
        <f>G1227</f>
        <v>TRAOTHOFRDMD</v>
      </c>
      <c r="H1228" s="18">
        <v>2025</v>
      </c>
      <c r="I1228" s="18"/>
      <c r="J1228" s="20" t="e">
        <f>1-(J1227*-1)</f>
        <v>#DIV/0!</v>
      </c>
      <c r="K1228" s="18"/>
      <c r="L1228" s="18"/>
      <c r="N1228" s="21"/>
    </row>
    <row r="1229" spans="1:14" x14ac:dyDescent="0.25">
      <c r="C1229" s="15" t="str">
        <f t="shared" si="122"/>
        <v>*</v>
      </c>
      <c r="D1229" s="17" t="str">
        <f>D1227</f>
        <v>*ICEV*</v>
      </c>
      <c r="E1229" s="17" t="str">
        <f>E1227</f>
        <v>TRAGSL</v>
      </c>
      <c r="F1229" s="17" t="str">
        <f>F1227</f>
        <v>TRAOTHOFRDMD</v>
      </c>
      <c r="G1229" s="17" t="str">
        <f>G1227</f>
        <v>TRAOTHOFRDMD</v>
      </c>
      <c r="H1229" s="18">
        <v>2030</v>
      </c>
      <c r="I1229" s="18"/>
      <c r="J1229" s="29" t="e">
        <f>IF(J1225=0,-N1229+1,J1225*N1229)</f>
        <v>#DIV/0!</v>
      </c>
      <c r="K1229" s="18"/>
      <c r="L1229" s="18"/>
      <c r="N1229" s="21">
        <v>1.2</v>
      </c>
    </row>
    <row r="1230" spans="1:14" x14ac:dyDescent="0.25">
      <c r="C1230" s="15" t="str">
        <f t="shared" si="122"/>
        <v>*</v>
      </c>
      <c r="D1230" s="17" t="s">
        <v>487</v>
      </c>
      <c r="E1230" s="17" t="str">
        <f>E1229</f>
        <v>TRAGSL</v>
      </c>
      <c r="F1230" s="17" t="str">
        <f>F1229</f>
        <v>TRAOTHOFRDMD</v>
      </c>
      <c r="G1230" s="17" t="str">
        <f>G1229</f>
        <v>TRAOTHOFRDMD</v>
      </c>
      <c r="H1230" s="18">
        <v>2030</v>
      </c>
      <c r="I1230" s="18"/>
      <c r="J1230" s="20" t="e">
        <f>1-(J1229*-1)</f>
        <v>#DIV/0!</v>
      </c>
      <c r="K1230" s="18"/>
      <c r="L1230" s="18"/>
      <c r="N1230" s="21"/>
    </row>
    <row r="1231" spans="1:14" x14ac:dyDescent="0.25">
      <c r="C1231" s="15" t="str">
        <f t="shared" si="122"/>
        <v>*</v>
      </c>
      <c r="D1231" s="17" t="str">
        <f>D1229</f>
        <v>*ICEV*</v>
      </c>
      <c r="E1231" s="17" t="str">
        <f>E1229</f>
        <v>TRAGSL</v>
      </c>
      <c r="F1231" s="17" t="str">
        <f>F1229</f>
        <v>TRAOTHOFRDMD</v>
      </c>
      <c r="G1231" s="17" t="str">
        <f>G1229</f>
        <v>TRAOTHOFRDMD</v>
      </c>
      <c r="H1231" s="18">
        <v>2040</v>
      </c>
      <c r="I1231" s="18"/>
      <c r="J1231" s="29" t="e">
        <f>IF(J1225=0,-N1231+1,J1225*N1231)</f>
        <v>#DIV/0!</v>
      </c>
      <c r="K1231" s="18"/>
      <c r="L1231" s="18"/>
      <c r="N1231" s="21">
        <v>1.3</v>
      </c>
    </row>
    <row r="1232" spans="1:14" x14ac:dyDescent="0.25">
      <c r="C1232" s="15" t="str">
        <f t="shared" si="122"/>
        <v>*</v>
      </c>
      <c r="D1232" s="17" t="s">
        <v>487</v>
      </c>
      <c r="E1232" s="17" t="str">
        <f>E1231</f>
        <v>TRAGSL</v>
      </c>
      <c r="F1232" s="17" t="str">
        <f>F1231</f>
        <v>TRAOTHOFRDMD</v>
      </c>
      <c r="G1232" s="17" t="str">
        <f>G1231</f>
        <v>TRAOTHOFRDMD</v>
      </c>
      <c r="H1232" s="18">
        <v>2040</v>
      </c>
      <c r="I1232" s="18"/>
      <c r="J1232" s="20" t="e">
        <f>1-(J1231*-1)</f>
        <v>#DIV/0!</v>
      </c>
      <c r="K1232" s="18"/>
      <c r="L1232" s="18"/>
      <c r="N1232" s="21"/>
    </row>
    <row r="1233" spans="1:14" x14ac:dyDescent="0.25">
      <c r="C1233" s="15" t="str">
        <f t="shared" si="122"/>
        <v>*</v>
      </c>
      <c r="D1233" s="17" t="str">
        <f>D1231</f>
        <v>*ICEV*</v>
      </c>
      <c r="E1233" s="17" t="str">
        <f>E1231</f>
        <v>TRAGSL</v>
      </c>
      <c r="F1233" s="17" t="str">
        <f>F1231</f>
        <v>TRAOTHOFRDMD</v>
      </c>
      <c r="G1233" s="17" t="str">
        <f>G1231</f>
        <v>TRAOTHOFRDMD</v>
      </c>
      <c r="H1233" s="18">
        <v>2050</v>
      </c>
      <c r="I1233" s="18"/>
      <c r="J1233" s="29" t="e">
        <f>IF(J1225=0,-N1233+1,J1225*N1233)</f>
        <v>#DIV/0!</v>
      </c>
      <c r="K1233" s="18"/>
      <c r="L1233" s="18"/>
      <c r="N1233" s="21">
        <v>1.4</v>
      </c>
    </row>
    <row r="1234" spans="1:14" x14ac:dyDescent="0.25">
      <c r="C1234" s="23" t="str">
        <f t="shared" si="122"/>
        <v>*</v>
      </c>
      <c r="D1234" s="25" t="s">
        <v>487</v>
      </c>
      <c r="E1234" s="25" t="str">
        <f>E1233</f>
        <v>TRAGSL</v>
      </c>
      <c r="F1234" s="25" t="str">
        <f>F1233</f>
        <v>TRAOTHOFRDMD</v>
      </c>
      <c r="G1234" s="25" t="str">
        <f>G1233</f>
        <v>TRAOTHOFRDMD</v>
      </c>
      <c r="H1234" s="26">
        <v>2050</v>
      </c>
      <c r="I1234" s="26"/>
      <c r="J1234" s="27" t="e">
        <f>1-(J1233*-1)</f>
        <v>#DIV/0!</v>
      </c>
      <c r="K1234" s="26"/>
      <c r="L1234" s="26"/>
      <c r="N1234" s="28"/>
    </row>
    <row r="1235" spans="1:14" x14ac:dyDescent="0.25">
      <c r="A1235">
        <f>A1225+1</f>
        <v>124</v>
      </c>
      <c r="C1235" s="15" t="str">
        <f>IF(E1235="","",IF(SUMIFS('TRA TECH'!M:M,'TRA TECH'!J:J,D1236,'TRA TECH'!I:I,F1236,'TRA TECH'!H:H,E1236)=0,"*",IF(_xlfn.XLOOKUP($A1235,Selected_constraint!$A:$A,Selected_constraint!$D:$D)=1,"*",IF(SUMIFS('TRA TECH'!$M:$M,'TRA TECH'!$H:$H,E1235,'TRA TECH'!$I:$I,F1235)=0,"*",IF(SUMIFS('TRA RESID'!$P:$P,'TRA RESID'!$I:$I,G1235,'TRA RESID'!$J:$J,D1235,'TRA RESID'!$H:$H,E1235)=0,"*","UC_"&amp;SUBSTITUTE(D1235,"*","")&amp;"_"&amp;SUBSTITUTE(D1235,"*","")&amp;"_"&amp;RIGHT(E1235,3)&amp;"_"&amp;F1235)))))</f>
        <v>*</v>
      </c>
      <c r="D1235" s="17" t="s">
        <v>485</v>
      </c>
      <c r="E1235" s="17" t="str">
        <f>_xlfn.XLOOKUP($A1235,Selected_constraint!$A:$A,Selected_constraint!$B:$B)</f>
        <v>TRAETH</v>
      </c>
      <c r="F1235" s="17" t="str">
        <f>_xlfn.XLOOKUP($A1235,Selected_constraint!$A:$A,Selected_constraint!$C:$C)</f>
        <v>TRAOTHOFRDMD</v>
      </c>
      <c r="G1235" s="17" t="str">
        <f>F1235</f>
        <v>TRAOTHOFRDMD</v>
      </c>
      <c r="H1235" s="18">
        <v>2019</v>
      </c>
      <c r="I1235" s="18" t="s">
        <v>484</v>
      </c>
      <c r="J1235" s="29" t="e">
        <f>-SUMIFS('TRA RESID'!$P:$P,'TRA RESID'!$I:$I,G1236,'TRA RESID'!$J:$J,D1236,'TRA RESID'!$H:$H,E1236)/(SUMIFS('TRA RESID'!$P:$P,'TRA RESID'!$I:$I,G1236,'TRA RESID'!$J:$J,D1236,'TRA RESID'!$H:$H,E1236)+SUMIFS('TRA RESID'!$P:$P,'TRA RESID'!$I:$I,G1235,'TRA RESID'!$J:$J,D1235,'TRA RESID'!$H:$H,E1235))</f>
        <v>#DIV/0!</v>
      </c>
      <c r="K1235" s="18">
        <v>0</v>
      </c>
      <c r="L1235" s="18">
        <v>5</v>
      </c>
      <c r="N1235" s="21">
        <v>1</v>
      </c>
    </row>
    <row r="1236" spans="1:14" x14ac:dyDescent="0.25">
      <c r="C1236" s="15" t="str">
        <f t="shared" ref="C1236:C1244" si="123">IF(C1235="*",C1235,"")</f>
        <v>*</v>
      </c>
      <c r="D1236" s="17" t="s">
        <v>487</v>
      </c>
      <c r="E1236" s="17" t="str">
        <f>E1235</f>
        <v>TRAETH</v>
      </c>
      <c r="F1236" s="17" t="str">
        <f>F1235</f>
        <v>TRAOTHOFRDMD</v>
      </c>
      <c r="G1236" s="17" t="str">
        <f>G1235</f>
        <v>TRAOTHOFRDMD</v>
      </c>
      <c r="H1236" s="18">
        <v>2019</v>
      </c>
      <c r="I1236" s="18"/>
      <c r="J1236" s="20" t="e">
        <f>1-(J1235*-1)</f>
        <v>#DIV/0!</v>
      </c>
      <c r="K1236" s="18"/>
      <c r="L1236" s="18"/>
      <c r="N1236" s="21"/>
    </row>
    <row r="1237" spans="1:14" x14ac:dyDescent="0.25">
      <c r="C1237" s="15" t="str">
        <f t="shared" si="123"/>
        <v>*</v>
      </c>
      <c r="D1237" s="17" t="str">
        <f>D1235</f>
        <v>*ICEV*</v>
      </c>
      <c r="E1237" s="17" t="str">
        <f>E1235</f>
        <v>TRAETH</v>
      </c>
      <c r="F1237" s="17" t="str">
        <f>F1235</f>
        <v>TRAOTHOFRDMD</v>
      </c>
      <c r="G1237" s="17" t="str">
        <f>G1235</f>
        <v>TRAOTHOFRDMD</v>
      </c>
      <c r="H1237" s="18">
        <v>2025</v>
      </c>
      <c r="I1237" s="18"/>
      <c r="J1237" s="29" t="e">
        <f>IF(J1235=0,-N1237+1,J1235*N1237)</f>
        <v>#DIV/0!</v>
      </c>
      <c r="K1237" s="18"/>
      <c r="L1237" s="18"/>
      <c r="N1237" s="21">
        <v>1.1000000000000001</v>
      </c>
    </row>
    <row r="1238" spans="1:14" x14ac:dyDescent="0.25">
      <c r="C1238" s="15" t="str">
        <f t="shared" si="123"/>
        <v>*</v>
      </c>
      <c r="D1238" s="17" t="s">
        <v>487</v>
      </c>
      <c r="E1238" s="17" t="str">
        <f>E1237</f>
        <v>TRAETH</v>
      </c>
      <c r="F1238" s="17" t="str">
        <f>F1237</f>
        <v>TRAOTHOFRDMD</v>
      </c>
      <c r="G1238" s="17" t="str">
        <f>G1237</f>
        <v>TRAOTHOFRDMD</v>
      </c>
      <c r="H1238" s="18">
        <v>2025</v>
      </c>
      <c r="I1238" s="18"/>
      <c r="J1238" s="20" t="e">
        <f>1-(J1237*-1)</f>
        <v>#DIV/0!</v>
      </c>
      <c r="K1238" s="18"/>
      <c r="L1238" s="18"/>
      <c r="N1238" s="21"/>
    </row>
    <row r="1239" spans="1:14" x14ac:dyDescent="0.25">
      <c r="C1239" s="15" t="str">
        <f t="shared" si="123"/>
        <v>*</v>
      </c>
      <c r="D1239" s="17" t="str">
        <f>D1237</f>
        <v>*ICEV*</v>
      </c>
      <c r="E1239" s="17" t="str">
        <f>E1237</f>
        <v>TRAETH</v>
      </c>
      <c r="F1239" s="17" t="str">
        <f>F1237</f>
        <v>TRAOTHOFRDMD</v>
      </c>
      <c r="G1239" s="17" t="str">
        <f>G1237</f>
        <v>TRAOTHOFRDMD</v>
      </c>
      <c r="H1239" s="18">
        <v>2030</v>
      </c>
      <c r="I1239" s="18"/>
      <c r="J1239" s="29" t="e">
        <f>IF(J1235=0,-N1239+1,J1235*N1239)</f>
        <v>#DIV/0!</v>
      </c>
      <c r="K1239" s="18"/>
      <c r="L1239" s="18"/>
      <c r="N1239" s="21">
        <v>1.2</v>
      </c>
    </row>
    <row r="1240" spans="1:14" x14ac:dyDescent="0.25">
      <c r="C1240" s="15" t="str">
        <f t="shared" si="123"/>
        <v>*</v>
      </c>
      <c r="D1240" s="17" t="s">
        <v>487</v>
      </c>
      <c r="E1240" s="17" t="str">
        <f>E1239</f>
        <v>TRAETH</v>
      </c>
      <c r="F1240" s="17" t="str">
        <f>F1239</f>
        <v>TRAOTHOFRDMD</v>
      </c>
      <c r="G1240" s="17" t="str">
        <f>G1239</f>
        <v>TRAOTHOFRDMD</v>
      </c>
      <c r="H1240" s="18">
        <v>2030</v>
      </c>
      <c r="I1240" s="18"/>
      <c r="J1240" s="20" t="e">
        <f>1-(J1239*-1)</f>
        <v>#DIV/0!</v>
      </c>
      <c r="K1240" s="18"/>
      <c r="L1240" s="18"/>
      <c r="N1240" s="21"/>
    </row>
    <row r="1241" spans="1:14" x14ac:dyDescent="0.25">
      <c r="C1241" s="15" t="str">
        <f t="shared" si="123"/>
        <v>*</v>
      </c>
      <c r="D1241" s="17" t="str">
        <f>D1239</f>
        <v>*ICEV*</v>
      </c>
      <c r="E1241" s="17" t="str">
        <f>E1239</f>
        <v>TRAETH</v>
      </c>
      <c r="F1241" s="17" t="str">
        <f>F1239</f>
        <v>TRAOTHOFRDMD</v>
      </c>
      <c r="G1241" s="17" t="str">
        <f>G1239</f>
        <v>TRAOTHOFRDMD</v>
      </c>
      <c r="H1241" s="18">
        <v>2040</v>
      </c>
      <c r="I1241" s="18"/>
      <c r="J1241" s="29" t="e">
        <f>IF(J1235=0,-N1241+1,J1235*N1241)</f>
        <v>#DIV/0!</v>
      </c>
      <c r="K1241" s="18"/>
      <c r="L1241" s="18"/>
      <c r="N1241" s="21">
        <v>1.3</v>
      </c>
    </row>
    <row r="1242" spans="1:14" x14ac:dyDescent="0.25">
      <c r="C1242" s="15" t="str">
        <f t="shared" si="123"/>
        <v>*</v>
      </c>
      <c r="D1242" s="17" t="s">
        <v>487</v>
      </c>
      <c r="E1242" s="17" t="str">
        <f>E1241</f>
        <v>TRAETH</v>
      </c>
      <c r="F1242" s="17" t="str">
        <f>F1241</f>
        <v>TRAOTHOFRDMD</v>
      </c>
      <c r="G1242" s="17" t="str">
        <f>G1241</f>
        <v>TRAOTHOFRDMD</v>
      </c>
      <c r="H1242" s="18">
        <v>2040</v>
      </c>
      <c r="I1242" s="18"/>
      <c r="J1242" s="20" t="e">
        <f>1-(J1241*-1)</f>
        <v>#DIV/0!</v>
      </c>
      <c r="K1242" s="18"/>
      <c r="L1242" s="18"/>
      <c r="N1242" s="21"/>
    </row>
    <row r="1243" spans="1:14" x14ac:dyDescent="0.25">
      <c r="C1243" s="15" t="str">
        <f t="shared" si="123"/>
        <v>*</v>
      </c>
      <c r="D1243" s="17" t="str">
        <f>D1241</f>
        <v>*ICEV*</v>
      </c>
      <c r="E1243" s="17" t="str">
        <f>E1241</f>
        <v>TRAETH</v>
      </c>
      <c r="F1243" s="17" t="str">
        <f>F1241</f>
        <v>TRAOTHOFRDMD</v>
      </c>
      <c r="G1243" s="17" t="str">
        <f>G1241</f>
        <v>TRAOTHOFRDMD</v>
      </c>
      <c r="H1243" s="18">
        <v>2050</v>
      </c>
      <c r="I1243" s="18"/>
      <c r="J1243" s="29" t="e">
        <f>IF(J1235=0,-N1243+1,J1235*N1243)</f>
        <v>#DIV/0!</v>
      </c>
      <c r="K1243" s="18"/>
      <c r="L1243" s="18"/>
      <c r="N1243" s="21">
        <v>1.4</v>
      </c>
    </row>
    <row r="1244" spans="1:14" x14ac:dyDescent="0.25">
      <c r="C1244" s="23" t="str">
        <f t="shared" si="123"/>
        <v>*</v>
      </c>
      <c r="D1244" s="25" t="s">
        <v>487</v>
      </c>
      <c r="E1244" s="25" t="str">
        <f>E1243</f>
        <v>TRAETH</v>
      </c>
      <c r="F1244" s="25" t="str">
        <f>F1243</f>
        <v>TRAOTHOFRDMD</v>
      </c>
      <c r="G1244" s="25" t="str">
        <f>G1243</f>
        <v>TRAOTHOFRDMD</v>
      </c>
      <c r="H1244" s="26">
        <v>2050</v>
      </c>
      <c r="I1244" s="26"/>
      <c r="J1244" s="27" t="e">
        <f>1-(J1243*-1)</f>
        <v>#DIV/0!</v>
      </c>
      <c r="K1244" s="26"/>
      <c r="L1244" s="26"/>
      <c r="N1244" s="28"/>
    </row>
    <row r="1245" spans="1:14" x14ac:dyDescent="0.25">
      <c r="A1245">
        <f>A1235+1</f>
        <v>125</v>
      </c>
      <c r="C1245" s="15" t="str">
        <f>IF(E1245="","",IF(SUMIFS('TRA TECH'!M:M,'TRA TECH'!J:J,D1246,'TRA TECH'!I:I,F1246,'TRA TECH'!H:H,E1246)=0,"*",IF(_xlfn.XLOOKUP($A1245,Selected_constraint!$A:$A,Selected_constraint!$D:$D)=1,"*",IF(SUMIFS('TRA TECH'!$M:$M,'TRA TECH'!$H:$H,E1245,'TRA TECH'!$I:$I,F1245)=0,"*",IF(SUMIFS('TRA RESID'!$P:$P,'TRA RESID'!$I:$I,G1245,'TRA RESID'!$J:$J,D1245,'TRA RESID'!$H:$H,E1245)=0,"*","UC_"&amp;SUBSTITUTE(D1245,"*","")&amp;"_"&amp;SUBSTITUTE(D1245,"*","")&amp;"_"&amp;RIGHT(E1245,3)&amp;"_"&amp;F1245)))))</f>
        <v>*</v>
      </c>
      <c r="D1245" s="17" t="s">
        <v>485</v>
      </c>
      <c r="E1245" s="17" t="str">
        <f>_xlfn.XLOOKUP($A1245,Selected_constraint!$A:$A,Selected_constraint!$B:$B)</f>
        <v>TRADSL</v>
      </c>
      <c r="F1245" s="17" t="str">
        <f>_xlfn.XLOOKUP($A1245,Selected_constraint!$A:$A,Selected_constraint!$C:$C)</f>
        <v>TRAOTHOFRDMD</v>
      </c>
      <c r="G1245" s="17" t="str">
        <f>F1245</f>
        <v>TRAOTHOFRDMD</v>
      </c>
      <c r="H1245" s="18">
        <v>2019</v>
      </c>
      <c r="I1245" s="18" t="s">
        <v>484</v>
      </c>
      <c r="J1245" s="29" t="e">
        <f>-SUMIFS('TRA RESID'!$P:$P,'TRA RESID'!$I:$I,G1246,'TRA RESID'!$J:$J,D1246,'TRA RESID'!$H:$H,E1246)/(SUMIFS('TRA RESID'!$P:$P,'TRA RESID'!$I:$I,G1246,'TRA RESID'!$J:$J,D1246,'TRA RESID'!$H:$H,E1246)+SUMIFS('TRA RESID'!$P:$P,'TRA RESID'!$I:$I,G1245,'TRA RESID'!$J:$J,D1245,'TRA RESID'!$H:$H,E1245))</f>
        <v>#DIV/0!</v>
      </c>
      <c r="K1245" s="18">
        <v>0</v>
      </c>
      <c r="L1245" s="18">
        <v>5</v>
      </c>
      <c r="N1245" s="21">
        <v>1</v>
      </c>
    </row>
    <row r="1246" spans="1:14" x14ac:dyDescent="0.25">
      <c r="C1246" s="15" t="str">
        <f t="shared" ref="C1246:C1254" si="124">IF(C1245="*",C1245,"")</f>
        <v>*</v>
      </c>
      <c r="D1246" s="17" t="s">
        <v>487</v>
      </c>
      <c r="E1246" s="17" t="str">
        <f>E1245</f>
        <v>TRADSL</v>
      </c>
      <c r="F1246" s="17" t="str">
        <f>F1245</f>
        <v>TRAOTHOFRDMD</v>
      </c>
      <c r="G1246" s="17" t="str">
        <f>G1245</f>
        <v>TRAOTHOFRDMD</v>
      </c>
      <c r="H1246" s="18">
        <v>2019</v>
      </c>
      <c r="I1246" s="18"/>
      <c r="J1246" s="20" t="e">
        <f>1-(J1245*-1)</f>
        <v>#DIV/0!</v>
      </c>
      <c r="K1246" s="18"/>
      <c r="L1246" s="18"/>
      <c r="N1246" s="21"/>
    </row>
    <row r="1247" spans="1:14" x14ac:dyDescent="0.25">
      <c r="C1247" s="15" t="str">
        <f t="shared" si="124"/>
        <v>*</v>
      </c>
      <c r="D1247" s="17" t="str">
        <f>D1245</f>
        <v>*ICEV*</v>
      </c>
      <c r="E1247" s="17" t="str">
        <f>E1245</f>
        <v>TRADSL</v>
      </c>
      <c r="F1247" s="17" t="str">
        <f>F1245</f>
        <v>TRAOTHOFRDMD</v>
      </c>
      <c r="G1247" s="17" t="str">
        <f>G1245</f>
        <v>TRAOTHOFRDMD</v>
      </c>
      <c r="H1247" s="18">
        <v>2025</v>
      </c>
      <c r="I1247" s="18"/>
      <c r="J1247" s="29" t="e">
        <f>IF(J1245=0,-N1247+1,J1245*N1247)</f>
        <v>#DIV/0!</v>
      </c>
      <c r="K1247" s="18"/>
      <c r="L1247" s="18"/>
      <c r="N1247" s="21">
        <v>1.1000000000000001</v>
      </c>
    </row>
    <row r="1248" spans="1:14" x14ac:dyDescent="0.25">
      <c r="C1248" s="15" t="str">
        <f t="shared" si="124"/>
        <v>*</v>
      </c>
      <c r="D1248" s="17" t="s">
        <v>487</v>
      </c>
      <c r="E1248" s="17" t="str">
        <f>E1247</f>
        <v>TRADSL</v>
      </c>
      <c r="F1248" s="17" t="str">
        <f>F1247</f>
        <v>TRAOTHOFRDMD</v>
      </c>
      <c r="G1248" s="17" t="str">
        <f>G1247</f>
        <v>TRAOTHOFRDMD</v>
      </c>
      <c r="H1248" s="18">
        <v>2025</v>
      </c>
      <c r="I1248" s="18"/>
      <c r="J1248" s="20" t="e">
        <f>1-(J1247*-1)</f>
        <v>#DIV/0!</v>
      </c>
      <c r="K1248" s="18"/>
      <c r="L1248" s="18"/>
      <c r="N1248" s="21"/>
    </row>
    <row r="1249" spans="1:14" x14ac:dyDescent="0.25">
      <c r="C1249" s="15" t="str">
        <f t="shared" si="124"/>
        <v>*</v>
      </c>
      <c r="D1249" s="17" t="str">
        <f>D1247</f>
        <v>*ICEV*</v>
      </c>
      <c r="E1249" s="17" t="str">
        <f>E1247</f>
        <v>TRADSL</v>
      </c>
      <c r="F1249" s="17" t="str">
        <f>F1247</f>
        <v>TRAOTHOFRDMD</v>
      </c>
      <c r="G1249" s="17" t="str">
        <f>G1247</f>
        <v>TRAOTHOFRDMD</v>
      </c>
      <c r="H1249" s="18">
        <v>2030</v>
      </c>
      <c r="I1249" s="18"/>
      <c r="J1249" s="29" t="e">
        <f>IF(J1245=0,-N1249+1,J1245*N1249)</f>
        <v>#DIV/0!</v>
      </c>
      <c r="K1249" s="18"/>
      <c r="L1249" s="18"/>
      <c r="N1249" s="21">
        <v>1.2</v>
      </c>
    </row>
    <row r="1250" spans="1:14" x14ac:dyDescent="0.25">
      <c r="C1250" s="15" t="str">
        <f t="shared" si="124"/>
        <v>*</v>
      </c>
      <c r="D1250" s="17" t="s">
        <v>487</v>
      </c>
      <c r="E1250" s="17" t="str">
        <f>E1249</f>
        <v>TRADSL</v>
      </c>
      <c r="F1250" s="17" t="str">
        <f>F1249</f>
        <v>TRAOTHOFRDMD</v>
      </c>
      <c r="G1250" s="17" t="str">
        <f>G1249</f>
        <v>TRAOTHOFRDMD</v>
      </c>
      <c r="H1250" s="18">
        <v>2030</v>
      </c>
      <c r="I1250" s="18"/>
      <c r="J1250" s="20" t="e">
        <f>1-(J1249*-1)</f>
        <v>#DIV/0!</v>
      </c>
      <c r="K1250" s="18"/>
      <c r="L1250" s="18"/>
      <c r="N1250" s="21"/>
    </row>
    <row r="1251" spans="1:14" x14ac:dyDescent="0.25">
      <c r="C1251" s="15" t="str">
        <f t="shared" si="124"/>
        <v>*</v>
      </c>
      <c r="D1251" s="17" t="str">
        <f>D1249</f>
        <v>*ICEV*</v>
      </c>
      <c r="E1251" s="17" t="str">
        <f>E1249</f>
        <v>TRADSL</v>
      </c>
      <c r="F1251" s="17" t="str">
        <f>F1249</f>
        <v>TRAOTHOFRDMD</v>
      </c>
      <c r="G1251" s="17" t="str">
        <f>G1249</f>
        <v>TRAOTHOFRDMD</v>
      </c>
      <c r="H1251" s="18">
        <v>2040</v>
      </c>
      <c r="I1251" s="18"/>
      <c r="J1251" s="29" t="e">
        <f>IF(J1245=0,-N1251+1,J1245*N1251)</f>
        <v>#DIV/0!</v>
      </c>
      <c r="K1251" s="18"/>
      <c r="L1251" s="18"/>
      <c r="N1251" s="21">
        <v>1.3</v>
      </c>
    </row>
    <row r="1252" spans="1:14" x14ac:dyDescent="0.25">
      <c r="C1252" s="15" t="str">
        <f t="shared" si="124"/>
        <v>*</v>
      </c>
      <c r="D1252" s="17" t="s">
        <v>487</v>
      </c>
      <c r="E1252" s="17" t="str">
        <f>E1251</f>
        <v>TRADSL</v>
      </c>
      <c r="F1252" s="17" t="str">
        <f>F1251</f>
        <v>TRAOTHOFRDMD</v>
      </c>
      <c r="G1252" s="17" t="str">
        <f>G1251</f>
        <v>TRAOTHOFRDMD</v>
      </c>
      <c r="H1252" s="18">
        <v>2040</v>
      </c>
      <c r="I1252" s="18"/>
      <c r="J1252" s="20" t="e">
        <f>1-(J1251*-1)</f>
        <v>#DIV/0!</v>
      </c>
      <c r="K1252" s="18"/>
      <c r="L1252" s="18"/>
      <c r="N1252" s="21"/>
    </row>
    <row r="1253" spans="1:14" x14ac:dyDescent="0.25">
      <c r="C1253" s="15" t="str">
        <f t="shared" si="124"/>
        <v>*</v>
      </c>
      <c r="D1253" s="17" t="str">
        <f>D1251</f>
        <v>*ICEV*</v>
      </c>
      <c r="E1253" s="17" t="str">
        <f>E1251</f>
        <v>TRADSL</v>
      </c>
      <c r="F1253" s="17" t="str">
        <f>F1251</f>
        <v>TRAOTHOFRDMD</v>
      </c>
      <c r="G1253" s="17" t="str">
        <f>G1251</f>
        <v>TRAOTHOFRDMD</v>
      </c>
      <c r="H1253" s="18">
        <v>2050</v>
      </c>
      <c r="I1253" s="18"/>
      <c r="J1253" s="29" t="e">
        <f>IF(J1245=0,-N1253+1,J1245*N1253)</f>
        <v>#DIV/0!</v>
      </c>
      <c r="K1253" s="18"/>
      <c r="L1253" s="18"/>
      <c r="N1253" s="21">
        <v>1.4</v>
      </c>
    </row>
    <row r="1254" spans="1:14" x14ac:dyDescent="0.25">
      <c r="C1254" s="23" t="str">
        <f t="shared" si="124"/>
        <v>*</v>
      </c>
      <c r="D1254" s="25" t="s">
        <v>487</v>
      </c>
      <c r="E1254" s="25" t="str">
        <f>E1253</f>
        <v>TRADSL</v>
      </c>
      <c r="F1254" s="25" t="str">
        <f>F1253</f>
        <v>TRAOTHOFRDMD</v>
      </c>
      <c r="G1254" s="25" t="str">
        <f>G1253</f>
        <v>TRAOTHOFRDMD</v>
      </c>
      <c r="H1254" s="26">
        <v>2050</v>
      </c>
      <c r="I1254" s="26"/>
      <c r="J1254" s="27" t="e">
        <f>1-(J1253*-1)</f>
        <v>#DIV/0!</v>
      </c>
      <c r="K1254" s="26"/>
      <c r="L1254" s="26"/>
      <c r="N1254" s="28"/>
    </row>
    <row r="1255" spans="1:14" x14ac:dyDescent="0.25">
      <c r="A1255">
        <f>A1245+1</f>
        <v>126</v>
      </c>
      <c r="C1255" s="15" t="str">
        <f>IF(E1255="","",IF(SUMIFS('TRA TECH'!M:M,'TRA TECH'!J:J,D1256,'TRA TECH'!I:I,F1256,'TRA TECH'!H:H,E1256)=0,"*",IF(_xlfn.XLOOKUP($A1255,Selected_constraint!$A:$A,Selected_constraint!$D:$D)=1,"*",IF(SUMIFS('TRA TECH'!$M:$M,'TRA TECH'!$H:$H,E1255,'TRA TECH'!$I:$I,F1255)=0,"*",IF(SUMIFS('TRA RESID'!$P:$P,'TRA RESID'!$I:$I,G1255,'TRA RESID'!$J:$J,D1255,'TRA RESID'!$H:$H,E1255)=0,"*","UC_"&amp;SUBSTITUTE(D1255,"*","")&amp;"_"&amp;SUBSTITUTE(D1255,"*","")&amp;"_"&amp;RIGHT(E1255,3)&amp;"_"&amp;F1255)))))</f>
        <v>*</v>
      </c>
      <c r="D1255" s="17" t="s">
        <v>485</v>
      </c>
      <c r="E1255" s="17" t="str">
        <f>_xlfn.XLOOKUP($A1255,Selected_constraint!$A:$A,Selected_constraint!$B:$B)</f>
        <v>TRARDS</v>
      </c>
      <c r="F1255" s="17" t="str">
        <f>_xlfn.XLOOKUP($A1255,Selected_constraint!$A:$A,Selected_constraint!$C:$C)</f>
        <v>TRAOTHOFRDMD</v>
      </c>
      <c r="G1255" s="17" t="str">
        <f>F1255</f>
        <v>TRAOTHOFRDMD</v>
      </c>
      <c r="H1255" s="18">
        <v>2019</v>
      </c>
      <c r="I1255" s="18" t="s">
        <v>484</v>
      </c>
      <c r="J1255" s="29" t="e">
        <f>-SUMIFS('TRA RESID'!$P:$P,'TRA RESID'!$I:$I,G1256,'TRA RESID'!$J:$J,D1256,'TRA RESID'!$H:$H,E1256)/(SUMIFS('TRA RESID'!$P:$P,'TRA RESID'!$I:$I,G1256,'TRA RESID'!$J:$J,D1256,'TRA RESID'!$H:$H,E1256)+SUMIFS('TRA RESID'!$P:$P,'TRA RESID'!$I:$I,G1255,'TRA RESID'!$J:$J,D1255,'TRA RESID'!$H:$H,E1255))</f>
        <v>#DIV/0!</v>
      </c>
      <c r="K1255" s="18">
        <v>0</v>
      </c>
      <c r="L1255" s="18">
        <v>5</v>
      </c>
      <c r="N1255" s="21">
        <v>1</v>
      </c>
    </row>
    <row r="1256" spans="1:14" x14ac:dyDescent="0.25">
      <c r="C1256" s="15" t="str">
        <f t="shared" ref="C1256:C1264" si="125">IF(C1255="*",C1255,"")</f>
        <v>*</v>
      </c>
      <c r="D1256" s="17" t="s">
        <v>487</v>
      </c>
      <c r="E1256" s="17" t="str">
        <f>E1255</f>
        <v>TRARDS</v>
      </c>
      <c r="F1256" s="17" t="str">
        <f>F1255</f>
        <v>TRAOTHOFRDMD</v>
      </c>
      <c r="G1256" s="17" t="str">
        <f>G1255</f>
        <v>TRAOTHOFRDMD</v>
      </c>
      <c r="H1256" s="18">
        <v>2019</v>
      </c>
      <c r="I1256" s="18"/>
      <c r="J1256" s="20" t="e">
        <f>1-(J1255*-1)</f>
        <v>#DIV/0!</v>
      </c>
      <c r="K1256" s="18"/>
      <c r="L1256" s="18"/>
      <c r="N1256" s="21"/>
    </row>
    <row r="1257" spans="1:14" x14ac:dyDescent="0.25">
      <c r="C1257" s="15" t="str">
        <f t="shared" si="125"/>
        <v>*</v>
      </c>
      <c r="D1257" s="17" t="str">
        <f>D1255</f>
        <v>*ICEV*</v>
      </c>
      <c r="E1257" s="17" t="str">
        <f>E1255</f>
        <v>TRARDS</v>
      </c>
      <c r="F1257" s="17" t="str">
        <f>F1255</f>
        <v>TRAOTHOFRDMD</v>
      </c>
      <c r="G1257" s="17" t="str">
        <f>G1255</f>
        <v>TRAOTHOFRDMD</v>
      </c>
      <c r="H1257" s="18">
        <v>2025</v>
      </c>
      <c r="I1257" s="18"/>
      <c r="J1257" s="29" t="e">
        <f>IF(J1255=0,-N1257+1,J1255*N1257)</f>
        <v>#DIV/0!</v>
      </c>
      <c r="K1257" s="18"/>
      <c r="L1257" s="18"/>
      <c r="N1257" s="21">
        <v>1.1000000000000001</v>
      </c>
    </row>
    <row r="1258" spans="1:14" x14ac:dyDescent="0.25">
      <c r="C1258" s="15" t="str">
        <f t="shared" si="125"/>
        <v>*</v>
      </c>
      <c r="D1258" s="17" t="s">
        <v>487</v>
      </c>
      <c r="E1258" s="17" t="str">
        <f>E1257</f>
        <v>TRARDS</v>
      </c>
      <c r="F1258" s="17" t="str">
        <f>F1257</f>
        <v>TRAOTHOFRDMD</v>
      </c>
      <c r="G1258" s="17" t="str">
        <f>G1257</f>
        <v>TRAOTHOFRDMD</v>
      </c>
      <c r="H1258" s="18">
        <v>2025</v>
      </c>
      <c r="I1258" s="18"/>
      <c r="J1258" s="20" t="e">
        <f>1-(J1257*-1)</f>
        <v>#DIV/0!</v>
      </c>
      <c r="K1258" s="18"/>
      <c r="L1258" s="18"/>
      <c r="N1258" s="21"/>
    </row>
    <row r="1259" spans="1:14" x14ac:dyDescent="0.25">
      <c r="C1259" s="15" t="str">
        <f t="shared" si="125"/>
        <v>*</v>
      </c>
      <c r="D1259" s="17" t="str">
        <f>D1257</f>
        <v>*ICEV*</v>
      </c>
      <c r="E1259" s="17" t="str">
        <f>E1257</f>
        <v>TRARDS</v>
      </c>
      <c r="F1259" s="17" t="str">
        <f>F1257</f>
        <v>TRAOTHOFRDMD</v>
      </c>
      <c r="G1259" s="17" t="str">
        <f>G1257</f>
        <v>TRAOTHOFRDMD</v>
      </c>
      <c r="H1259" s="18">
        <v>2030</v>
      </c>
      <c r="I1259" s="18"/>
      <c r="J1259" s="29" t="e">
        <f>IF(J1255=0,-N1259+1,J1255*N1259)</f>
        <v>#DIV/0!</v>
      </c>
      <c r="K1259" s="18"/>
      <c r="L1259" s="18"/>
      <c r="N1259" s="21">
        <v>1.2</v>
      </c>
    </row>
    <row r="1260" spans="1:14" x14ac:dyDescent="0.25">
      <c r="C1260" s="15" t="str">
        <f t="shared" si="125"/>
        <v>*</v>
      </c>
      <c r="D1260" s="17" t="s">
        <v>487</v>
      </c>
      <c r="E1260" s="17" t="str">
        <f>E1259</f>
        <v>TRARDS</v>
      </c>
      <c r="F1260" s="17" t="str">
        <f>F1259</f>
        <v>TRAOTHOFRDMD</v>
      </c>
      <c r="G1260" s="17" t="str">
        <f>G1259</f>
        <v>TRAOTHOFRDMD</v>
      </c>
      <c r="H1260" s="18">
        <v>2030</v>
      </c>
      <c r="I1260" s="18"/>
      <c r="J1260" s="20" t="e">
        <f>1-(J1259*-1)</f>
        <v>#DIV/0!</v>
      </c>
      <c r="K1260" s="18"/>
      <c r="L1260" s="18"/>
      <c r="N1260" s="21"/>
    </row>
    <row r="1261" spans="1:14" x14ac:dyDescent="0.25">
      <c r="C1261" s="15" t="str">
        <f t="shared" si="125"/>
        <v>*</v>
      </c>
      <c r="D1261" s="17" t="str">
        <f>D1259</f>
        <v>*ICEV*</v>
      </c>
      <c r="E1261" s="17" t="str">
        <f>E1259</f>
        <v>TRARDS</v>
      </c>
      <c r="F1261" s="17" t="str">
        <f>F1259</f>
        <v>TRAOTHOFRDMD</v>
      </c>
      <c r="G1261" s="17" t="str">
        <f>G1259</f>
        <v>TRAOTHOFRDMD</v>
      </c>
      <c r="H1261" s="18">
        <v>2040</v>
      </c>
      <c r="I1261" s="18"/>
      <c r="J1261" s="29" t="e">
        <f>IF(J1255=0,-N1261+1,J1255*N1261)</f>
        <v>#DIV/0!</v>
      </c>
      <c r="K1261" s="18"/>
      <c r="L1261" s="18"/>
      <c r="N1261" s="21">
        <v>1.3</v>
      </c>
    </row>
    <row r="1262" spans="1:14" x14ac:dyDescent="0.25">
      <c r="C1262" s="15" t="str">
        <f t="shared" si="125"/>
        <v>*</v>
      </c>
      <c r="D1262" s="17" t="s">
        <v>487</v>
      </c>
      <c r="E1262" s="17" t="str">
        <f>E1261</f>
        <v>TRARDS</v>
      </c>
      <c r="F1262" s="17" t="str">
        <f>F1261</f>
        <v>TRAOTHOFRDMD</v>
      </c>
      <c r="G1262" s="17" t="str">
        <f>G1261</f>
        <v>TRAOTHOFRDMD</v>
      </c>
      <c r="H1262" s="18">
        <v>2040</v>
      </c>
      <c r="I1262" s="18"/>
      <c r="J1262" s="20" t="e">
        <f>1-(J1261*-1)</f>
        <v>#DIV/0!</v>
      </c>
      <c r="K1262" s="18"/>
      <c r="L1262" s="18"/>
      <c r="N1262" s="21"/>
    </row>
    <row r="1263" spans="1:14" x14ac:dyDescent="0.25">
      <c r="C1263" s="15" t="str">
        <f t="shared" si="125"/>
        <v>*</v>
      </c>
      <c r="D1263" s="17" t="str">
        <f>D1261</f>
        <v>*ICEV*</v>
      </c>
      <c r="E1263" s="17" t="str">
        <f>E1261</f>
        <v>TRARDS</v>
      </c>
      <c r="F1263" s="17" t="str">
        <f>F1261</f>
        <v>TRAOTHOFRDMD</v>
      </c>
      <c r="G1263" s="17" t="str">
        <f>G1261</f>
        <v>TRAOTHOFRDMD</v>
      </c>
      <c r="H1263" s="18">
        <v>2050</v>
      </c>
      <c r="I1263" s="18"/>
      <c r="J1263" s="29" t="e">
        <f>IF(J1255=0,-N1263+1,J1255*N1263)</f>
        <v>#DIV/0!</v>
      </c>
      <c r="K1263" s="18"/>
      <c r="L1263" s="18"/>
      <c r="N1263" s="21">
        <v>1.4</v>
      </c>
    </row>
    <row r="1264" spans="1:14" x14ac:dyDescent="0.25">
      <c r="C1264" s="23" t="str">
        <f t="shared" si="125"/>
        <v>*</v>
      </c>
      <c r="D1264" s="25" t="s">
        <v>487</v>
      </c>
      <c r="E1264" s="25" t="str">
        <f>E1263</f>
        <v>TRARDS</v>
      </c>
      <c r="F1264" s="25" t="str">
        <f>F1263</f>
        <v>TRAOTHOFRDMD</v>
      </c>
      <c r="G1264" s="25" t="str">
        <f>G1263</f>
        <v>TRAOTHOFRDMD</v>
      </c>
      <c r="H1264" s="26">
        <v>2050</v>
      </c>
      <c r="I1264" s="26"/>
      <c r="J1264" s="27" t="e">
        <f>1-(J1263*-1)</f>
        <v>#DIV/0!</v>
      </c>
      <c r="K1264" s="26"/>
      <c r="L1264" s="26"/>
      <c r="N1264" s="28"/>
    </row>
    <row r="1265" spans="1:14" x14ac:dyDescent="0.25">
      <c r="A1265">
        <f>A1255+1</f>
        <v>127</v>
      </c>
      <c r="C1265" s="15" t="str">
        <f>IF(E1265="","",IF(SUMIFS('TRA TECH'!M:M,'TRA TECH'!J:J,D1266,'TRA TECH'!I:I,F1266,'TRA TECH'!H:H,E1266)=0,"*",IF(_xlfn.XLOOKUP($A1265,Selected_constraint!$A:$A,Selected_constraint!$D:$D)=1,"*",IF(SUMIFS('TRA TECH'!$M:$M,'TRA TECH'!$H:$H,E1265,'TRA TECH'!$I:$I,F1265)=0,"*",IF(SUMIFS('TRA RESID'!$P:$P,'TRA RESID'!$I:$I,G1265,'TRA RESID'!$J:$J,D1265,'TRA RESID'!$H:$H,E1265)=0,"*","UC_"&amp;SUBSTITUTE(D1265,"*","")&amp;"_"&amp;SUBSTITUTE(D1265,"*","")&amp;"_"&amp;RIGHT(E1265,3)&amp;"_"&amp;F1265)))))</f>
        <v>*</v>
      </c>
      <c r="D1265" s="17" t="s">
        <v>485</v>
      </c>
      <c r="E1265" s="17" t="str">
        <f>_xlfn.XLOOKUP($A1265,Selected_constraint!$A:$A,Selected_constraint!$B:$B)</f>
        <v>TRABDS</v>
      </c>
      <c r="F1265" s="17" t="str">
        <f>_xlfn.XLOOKUP($A1265,Selected_constraint!$A:$A,Selected_constraint!$C:$C)</f>
        <v>TRAOTHOFRDMD</v>
      </c>
      <c r="G1265" s="17" t="str">
        <f>F1265</f>
        <v>TRAOTHOFRDMD</v>
      </c>
      <c r="H1265" s="18">
        <v>2019</v>
      </c>
      <c r="I1265" s="18" t="s">
        <v>484</v>
      </c>
      <c r="J1265" s="29" t="e">
        <f>-SUMIFS('TRA RESID'!$P:$P,'TRA RESID'!$I:$I,G1266,'TRA RESID'!$J:$J,D1266,'TRA RESID'!$H:$H,E1266)/(SUMIFS('TRA RESID'!$P:$P,'TRA RESID'!$I:$I,G1266,'TRA RESID'!$J:$J,D1266,'TRA RESID'!$H:$H,E1266)+SUMIFS('TRA RESID'!$P:$P,'TRA RESID'!$I:$I,G1265,'TRA RESID'!$J:$J,D1265,'TRA RESID'!$H:$H,E1265))</f>
        <v>#DIV/0!</v>
      </c>
      <c r="K1265" s="18">
        <v>0</v>
      </c>
      <c r="L1265" s="18">
        <v>5</v>
      </c>
      <c r="N1265" s="21">
        <v>1</v>
      </c>
    </row>
    <row r="1266" spans="1:14" x14ac:dyDescent="0.25">
      <c r="C1266" s="15" t="str">
        <f t="shared" ref="C1266:C1274" si="126">IF(C1265="*",C1265,"")</f>
        <v>*</v>
      </c>
      <c r="D1266" s="17" t="s">
        <v>487</v>
      </c>
      <c r="E1266" s="17" t="str">
        <f>E1265</f>
        <v>TRABDS</v>
      </c>
      <c r="F1266" s="17" t="str">
        <f>F1265</f>
        <v>TRAOTHOFRDMD</v>
      </c>
      <c r="G1266" s="17" t="str">
        <f>G1265</f>
        <v>TRAOTHOFRDMD</v>
      </c>
      <c r="H1266" s="18">
        <v>2019</v>
      </c>
      <c r="I1266" s="18"/>
      <c r="J1266" s="20" t="e">
        <f>1-(J1265*-1)</f>
        <v>#DIV/0!</v>
      </c>
      <c r="K1266" s="18"/>
      <c r="L1266" s="18"/>
      <c r="N1266" s="21"/>
    </row>
    <row r="1267" spans="1:14" x14ac:dyDescent="0.25">
      <c r="C1267" s="15" t="str">
        <f t="shared" si="126"/>
        <v>*</v>
      </c>
      <c r="D1267" s="17" t="str">
        <f>D1265</f>
        <v>*ICEV*</v>
      </c>
      <c r="E1267" s="17" t="str">
        <f>E1265</f>
        <v>TRABDS</v>
      </c>
      <c r="F1267" s="17" t="str">
        <f>F1265</f>
        <v>TRAOTHOFRDMD</v>
      </c>
      <c r="G1267" s="17" t="str">
        <f>G1265</f>
        <v>TRAOTHOFRDMD</v>
      </c>
      <c r="H1267" s="18">
        <v>2025</v>
      </c>
      <c r="I1267" s="18"/>
      <c r="J1267" s="29" t="e">
        <f>IF(J1265=0,-N1267+1,J1265*N1267)</f>
        <v>#DIV/0!</v>
      </c>
      <c r="K1267" s="18"/>
      <c r="L1267" s="18"/>
      <c r="N1267" s="21">
        <v>1.1000000000000001</v>
      </c>
    </row>
    <row r="1268" spans="1:14" x14ac:dyDescent="0.25">
      <c r="C1268" s="15" t="str">
        <f t="shared" si="126"/>
        <v>*</v>
      </c>
      <c r="D1268" s="17" t="s">
        <v>487</v>
      </c>
      <c r="E1268" s="17" t="str">
        <f>E1267</f>
        <v>TRABDS</v>
      </c>
      <c r="F1268" s="17" t="str">
        <f>F1267</f>
        <v>TRAOTHOFRDMD</v>
      </c>
      <c r="G1268" s="17" t="str">
        <f>G1267</f>
        <v>TRAOTHOFRDMD</v>
      </c>
      <c r="H1268" s="18">
        <v>2025</v>
      </c>
      <c r="I1268" s="18"/>
      <c r="J1268" s="20" t="e">
        <f>1-(J1267*-1)</f>
        <v>#DIV/0!</v>
      </c>
      <c r="K1268" s="18"/>
      <c r="L1268" s="18"/>
      <c r="N1268" s="21"/>
    </row>
    <row r="1269" spans="1:14" x14ac:dyDescent="0.25">
      <c r="C1269" s="15" t="str">
        <f t="shared" si="126"/>
        <v>*</v>
      </c>
      <c r="D1269" s="17" t="str">
        <f>D1267</f>
        <v>*ICEV*</v>
      </c>
      <c r="E1269" s="17" t="str">
        <f>E1267</f>
        <v>TRABDS</v>
      </c>
      <c r="F1269" s="17" t="str">
        <f>F1267</f>
        <v>TRAOTHOFRDMD</v>
      </c>
      <c r="G1269" s="17" t="str">
        <f>G1267</f>
        <v>TRAOTHOFRDMD</v>
      </c>
      <c r="H1269" s="18">
        <v>2030</v>
      </c>
      <c r="I1269" s="18"/>
      <c r="J1269" s="29" t="e">
        <f>IF(J1265=0,-N1269+1,J1265*N1269)</f>
        <v>#DIV/0!</v>
      </c>
      <c r="K1269" s="18"/>
      <c r="L1269" s="18"/>
      <c r="N1269" s="21">
        <v>1.2</v>
      </c>
    </row>
    <row r="1270" spans="1:14" x14ac:dyDescent="0.25">
      <c r="C1270" s="15" t="str">
        <f t="shared" si="126"/>
        <v>*</v>
      </c>
      <c r="D1270" s="17" t="s">
        <v>487</v>
      </c>
      <c r="E1270" s="17" t="str">
        <f>E1269</f>
        <v>TRABDS</v>
      </c>
      <c r="F1270" s="17" t="str">
        <f>F1269</f>
        <v>TRAOTHOFRDMD</v>
      </c>
      <c r="G1270" s="17" t="str">
        <f>G1269</f>
        <v>TRAOTHOFRDMD</v>
      </c>
      <c r="H1270" s="18">
        <v>2030</v>
      </c>
      <c r="I1270" s="18"/>
      <c r="J1270" s="20" t="e">
        <f>1-(J1269*-1)</f>
        <v>#DIV/0!</v>
      </c>
      <c r="K1270" s="18"/>
      <c r="L1270" s="18"/>
      <c r="N1270" s="21"/>
    </row>
    <row r="1271" spans="1:14" x14ac:dyDescent="0.25">
      <c r="C1271" s="15" t="str">
        <f t="shared" si="126"/>
        <v>*</v>
      </c>
      <c r="D1271" s="17" t="str">
        <f>D1269</f>
        <v>*ICEV*</v>
      </c>
      <c r="E1271" s="17" t="str">
        <f>E1269</f>
        <v>TRABDS</v>
      </c>
      <c r="F1271" s="17" t="str">
        <f>F1269</f>
        <v>TRAOTHOFRDMD</v>
      </c>
      <c r="G1271" s="17" t="str">
        <f>G1269</f>
        <v>TRAOTHOFRDMD</v>
      </c>
      <c r="H1271" s="18">
        <v>2040</v>
      </c>
      <c r="I1271" s="18"/>
      <c r="J1271" s="29" t="e">
        <f>IF(J1265=0,-N1271+1,J1265*N1271)</f>
        <v>#DIV/0!</v>
      </c>
      <c r="K1271" s="18"/>
      <c r="L1271" s="18"/>
      <c r="N1271" s="21">
        <v>1.3</v>
      </c>
    </row>
    <row r="1272" spans="1:14" x14ac:dyDescent="0.25">
      <c r="C1272" s="15" t="str">
        <f t="shared" si="126"/>
        <v>*</v>
      </c>
      <c r="D1272" s="17" t="s">
        <v>487</v>
      </c>
      <c r="E1272" s="17" t="str">
        <f>E1271</f>
        <v>TRABDS</v>
      </c>
      <c r="F1272" s="17" t="str">
        <f>F1271</f>
        <v>TRAOTHOFRDMD</v>
      </c>
      <c r="G1272" s="17" t="str">
        <f>G1271</f>
        <v>TRAOTHOFRDMD</v>
      </c>
      <c r="H1272" s="18">
        <v>2040</v>
      </c>
      <c r="I1272" s="18"/>
      <c r="J1272" s="20" t="e">
        <f>1-(J1271*-1)</f>
        <v>#DIV/0!</v>
      </c>
      <c r="K1272" s="18"/>
      <c r="L1272" s="18"/>
      <c r="N1272" s="21"/>
    </row>
    <row r="1273" spans="1:14" x14ac:dyDescent="0.25">
      <c r="C1273" s="15" t="str">
        <f t="shared" si="126"/>
        <v>*</v>
      </c>
      <c r="D1273" s="17" t="str">
        <f>D1271</f>
        <v>*ICEV*</v>
      </c>
      <c r="E1273" s="17" t="str">
        <f>E1271</f>
        <v>TRABDS</v>
      </c>
      <c r="F1273" s="17" t="str">
        <f>F1271</f>
        <v>TRAOTHOFRDMD</v>
      </c>
      <c r="G1273" s="17" t="str">
        <f>G1271</f>
        <v>TRAOTHOFRDMD</v>
      </c>
      <c r="H1273" s="18">
        <v>2050</v>
      </c>
      <c r="I1273" s="18"/>
      <c r="J1273" s="29" t="e">
        <f>IF(J1265=0,-N1273+1,J1265*N1273)</f>
        <v>#DIV/0!</v>
      </c>
      <c r="K1273" s="18"/>
      <c r="L1273" s="18"/>
      <c r="N1273" s="21">
        <v>1.4</v>
      </c>
    </row>
    <row r="1274" spans="1:14" x14ac:dyDescent="0.25">
      <c r="C1274" s="23" t="str">
        <f t="shared" si="126"/>
        <v>*</v>
      </c>
      <c r="D1274" s="25" t="s">
        <v>487</v>
      </c>
      <c r="E1274" s="25" t="str">
        <f>E1273</f>
        <v>TRABDS</v>
      </c>
      <c r="F1274" s="25" t="str">
        <f>F1273</f>
        <v>TRAOTHOFRDMD</v>
      </c>
      <c r="G1274" s="25" t="str">
        <f>G1273</f>
        <v>TRAOTHOFRDMD</v>
      </c>
      <c r="H1274" s="26">
        <v>2050</v>
      </c>
      <c r="I1274" s="26"/>
      <c r="J1274" s="27" t="e">
        <f>1-(J1273*-1)</f>
        <v>#DIV/0!</v>
      </c>
      <c r="K1274" s="26"/>
      <c r="L1274" s="26"/>
      <c r="N1274" s="28"/>
    </row>
    <row r="1275" spans="1:14" x14ac:dyDescent="0.25">
      <c r="A1275">
        <f>A1265+1</f>
        <v>128</v>
      </c>
      <c r="C1275" s="15" t="str">
        <f>IF(E1275="","",IF(SUMIFS('TRA TECH'!M:M,'TRA TECH'!J:J,D1276,'TRA TECH'!I:I,F1276,'TRA TECH'!H:H,E1276)=0,"*",IF(_xlfn.XLOOKUP($A1275,Selected_constraint!$A:$A,Selected_constraint!$D:$D)=1,"*",IF(SUMIFS('TRA TECH'!$M:$M,'TRA TECH'!$H:$H,E1275,'TRA TECH'!$I:$I,F1275)=0,"*",IF(SUMIFS('TRA RESID'!$P:$P,'TRA RESID'!$I:$I,G1275,'TRA RESID'!$J:$J,D1275,'TRA RESID'!$H:$H,E1275)=0,"*","UC_"&amp;SUBSTITUTE(D1275,"*","")&amp;"_"&amp;SUBSTITUTE(D1275,"*","")&amp;"_"&amp;RIGHT(E1275,3)&amp;"_"&amp;F1275)))))</f>
        <v>*</v>
      </c>
      <c r="D1275" s="17" t="s">
        <v>485</v>
      </c>
      <c r="E1275" s="17" t="str">
        <f>_xlfn.XLOOKUP($A1275,Selected_constraint!$A:$A,Selected_constraint!$B:$B)</f>
        <v>TRACNG</v>
      </c>
      <c r="F1275" s="17" t="str">
        <f>_xlfn.XLOOKUP($A1275,Selected_constraint!$A:$A,Selected_constraint!$C:$C)</f>
        <v>TRAOTHOFRDMD</v>
      </c>
      <c r="G1275" s="17" t="str">
        <f>F1275</f>
        <v>TRAOTHOFRDMD</v>
      </c>
      <c r="H1275" s="18">
        <v>2019</v>
      </c>
      <c r="I1275" s="18" t="s">
        <v>484</v>
      </c>
      <c r="J1275" s="29" t="e">
        <f>-SUMIFS('TRA RESID'!$P:$P,'TRA RESID'!$I:$I,G1276,'TRA RESID'!$J:$J,D1276,'TRA RESID'!$H:$H,E1276)/(SUMIFS('TRA RESID'!$P:$P,'TRA RESID'!$I:$I,G1276,'TRA RESID'!$J:$J,D1276,'TRA RESID'!$H:$H,E1276)+SUMIFS('TRA RESID'!$P:$P,'TRA RESID'!$I:$I,G1275,'TRA RESID'!$J:$J,D1275,'TRA RESID'!$H:$H,E1275))</f>
        <v>#DIV/0!</v>
      </c>
      <c r="K1275" s="18">
        <v>0</v>
      </c>
      <c r="L1275" s="18">
        <v>5</v>
      </c>
      <c r="N1275" s="21">
        <v>1</v>
      </c>
    </row>
    <row r="1276" spans="1:14" x14ac:dyDescent="0.25">
      <c r="C1276" s="15" t="str">
        <f t="shared" ref="C1276:C1284" si="127">IF(C1275="*",C1275,"")</f>
        <v>*</v>
      </c>
      <c r="D1276" s="17" t="s">
        <v>487</v>
      </c>
      <c r="E1276" s="17" t="str">
        <f>E1275</f>
        <v>TRACNG</v>
      </c>
      <c r="F1276" s="17" t="str">
        <f>F1275</f>
        <v>TRAOTHOFRDMD</v>
      </c>
      <c r="G1276" s="17" t="str">
        <f>G1275</f>
        <v>TRAOTHOFRDMD</v>
      </c>
      <c r="H1276" s="18">
        <v>2019</v>
      </c>
      <c r="I1276" s="18"/>
      <c r="J1276" s="20" t="e">
        <f>1-(J1275*-1)</f>
        <v>#DIV/0!</v>
      </c>
      <c r="K1276" s="18"/>
      <c r="L1276" s="18"/>
      <c r="N1276" s="21"/>
    </row>
    <row r="1277" spans="1:14" x14ac:dyDescent="0.25">
      <c r="C1277" s="15" t="str">
        <f t="shared" si="127"/>
        <v>*</v>
      </c>
      <c r="D1277" s="17" t="str">
        <f>D1275</f>
        <v>*ICEV*</v>
      </c>
      <c r="E1277" s="17" t="str">
        <f>E1275</f>
        <v>TRACNG</v>
      </c>
      <c r="F1277" s="17" t="str">
        <f>F1275</f>
        <v>TRAOTHOFRDMD</v>
      </c>
      <c r="G1277" s="17" t="str">
        <f>G1275</f>
        <v>TRAOTHOFRDMD</v>
      </c>
      <c r="H1277" s="18">
        <v>2025</v>
      </c>
      <c r="I1277" s="18"/>
      <c r="J1277" s="29" t="e">
        <f>IF(J1275=0,-N1277+1,J1275*N1277)</f>
        <v>#DIV/0!</v>
      </c>
      <c r="K1277" s="18"/>
      <c r="L1277" s="18"/>
      <c r="N1277" s="21">
        <v>1.1000000000000001</v>
      </c>
    </row>
    <row r="1278" spans="1:14" x14ac:dyDescent="0.25">
      <c r="C1278" s="15" t="str">
        <f t="shared" si="127"/>
        <v>*</v>
      </c>
      <c r="D1278" s="17" t="s">
        <v>487</v>
      </c>
      <c r="E1278" s="17" t="str">
        <f>E1277</f>
        <v>TRACNG</v>
      </c>
      <c r="F1278" s="17" t="str">
        <f>F1277</f>
        <v>TRAOTHOFRDMD</v>
      </c>
      <c r="G1278" s="17" t="str">
        <f>G1277</f>
        <v>TRAOTHOFRDMD</v>
      </c>
      <c r="H1278" s="18">
        <v>2025</v>
      </c>
      <c r="I1278" s="18"/>
      <c r="J1278" s="20" t="e">
        <f>1-(J1277*-1)</f>
        <v>#DIV/0!</v>
      </c>
      <c r="K1278" s="18"/>
      <c r="L1278" s="18"/>
      <c r="N1278" s="21"/>
    </row>
    <row r="1279" spans="1:14" x14ac:dyDescent="0.25">
      <c r="C1279" s="15" t="str">
        <f t="shared" si="127"/>
        <v>*</v>
      </c>
      <c r="D1279" s="17" t="str">
        <f>D1277</f>
        <v>*ICEV*</v>
      </c>
      <c r="E1279" s="17" t="str">
        <f>E1277</f>
        <v>TRACNG</v>
      </c>
      <c r="F1279" s="17" t="str">
        <f>F1277</f>
        <v>TRAOTHOFRDMD</v>
      </c>
      <c r="G1279" s="17" t="str">
        <f>G1277</f>
        <v>TRAOTHOFRDMD</v>
      </c>
      <c r="H1279" s="18">
        <v>2030</v>
      </c>
      <c r="I1279" s="18"/>
      <c r="J1279" s="29" t="e">
        <f>IF(J1275=0,-N1279+1,J1275*N1279)</f>
        <v>#DIV/0!</v>
      </c>
      <c r="K1279" s="18"/>
      <c r="L1279" s="18"/>
      <c r="N1279" s="21">
        <v>1.2</v>
      </c>
    </row>
    <row r="1280" spans="1:14" x14ac:dyDescent="0.25">
      <c r="C1280" s="15" t="str">
        <f t="shared" si="127"/>
        <v>*</v>
      </c>
      <c r="D1280" s="17" t="s">
        <v>487</v>
      </c>
      <c r="E1280" s="17" t="str">
        <f>E1279</f>
        <v>TRACNG</v>
      </c>
      <c r="F1280" s="17" t="str">
        <f>F1279</f>
        <v>TRAOTHOFRDMD</v>
      </c>
      <c r="G1280" s="17" t="str">
        <f>G1279</f>
        <v>TRAOTHOFRDMD</v>
      </c>
      <c r="H1280" s="18">
        <v>2030</v>
      </c>
      <c r="I1280" s="18"/>
      <c r="J1280" s="20" t="e">
        <f>1-(J1279*-1)</f>
        <v>#DIV/0!</v>
      </c>
      <c r="K1280" s="18"/>
      <c r="L1280" s="18"/>
      <c r="N1280" s="21"/>
    </row>
    <row r="1281" spans="1:14" x14ac:dyDescent="0.25">
      <c r="C1281" s="15" t="str">
        <f t="shared" si="127"/>
        <v>*</v>
      </c>
      <c r="D1281" s="17" t="str">
        <f>D1279</f>
        <v>*ICEV*</v>
      </c>
      <c r="E1281" s="17" t="str">
        <f>E1279</f>
        <v>TRACNG</v>
      </c>
      <c r="F1281" s="17" t="str">
        <f>F1279</f>
        <v>TRAOTHOFRDMD</v>
      </c>
      <c r="G1281" s="17" t="str">
        <f>G1279</f>
        <v>TRAOTHOFRDMD</v>
      </c>
      <c r="H1281" s="18">
        <v>2040</v>
      </c>
      <c r="I1281" s="18"/>
      <c r="J1281" s="29" t="e">
        <f>IF(J1275=0,-N1281+1,J1275*N1281)</f>
        <v>#DIV/0!</v>
      </c>
      <c r="K1281" s="18"/>
      <c r="L1281" s="18"/>
      <c r="N1281" s="21">
        <v>1.3</v>
      </c>
    </row>
    <row r="1282" spans="1:14" x14ac:dyDescent="0.25">
      <c r="C1282" s="15" t="str">
        <f t="shared" si="127"/>
        <v>*</v>
      </c>
      <c r="D1282" s="17" t="s">
        <v>487</v>
      </c>
      <c r="E1282" s="17" t="str">
        <f>E1281</f>
        <v>TRACNG</v>
      </c>
      <c r="F1282" s="17" t="str">
        <f>F1281</f>
        <v>TRAOTHOFRDMD</v>
      </c>
      <c r="G1282" s="17" t="str">
        <f>G1281</f>
        <v>TRAOTHOFRDMD</v>
      </c>
      <c r="H1282" s="18">
        <v>2040</v>
      </c>
      <c r="I1282" s="18"/>
      <c r="J1282" s="20" t="e">
        <f>1-(J1281*-1)</f>
        <v>#DIV/0!</v>
      </c>
      <c r="K1282" s="18"/>
      <c r="L1282" s="18"/>
      <c r="N1282" s="21"/>
    </row>
    <row r="1283" spans="1:14" x14ac:dyDescent="0.25">
      <c r="C1283" s="15" t="str">
        <f t="shared" si="127"/>
        <v>*</v>
      </c>
      <c r="D1283" s="17" t="str">
        <f>D1281</f>
        <v>*ICEV*</v>
      </c>
      <c r="E1283" s="17" t="str">
        <f>E1281</f>
        <v>TRACNG</v>
      </c>
      <c r="F1283" s="17" t="str">
        <f>F1281</f>
        <v>TRAOTHOFRDMD</v>
      </c>
      <c r="G1283" s="17" t="str">
        <f>G1281</f>
        <v>TRAOTHOFRDMD</v>
      </c>
      <c r="H1283" s="18">
        <v>2050</v>
      </c>
      <c r="I1283" s="18"/>
      <c r="J1283" s="29" t="e">
        <f>IF(J1275=0,-N1283+1,J1275*N1283)</f>
        <v>#DIV/0!</v>
      </c>
      <c r="K1283" s="18"/>
      <c r="L1283" s="18"/>
      <c r="N1283" s="21">
        <v>1.4</v>
      </c>
    </row>
    <row r="1284" spans="1:14" x14ac:dyDescent="0.25">
      <c r="C1284" s="23" t="str">
        <f t="shared" si="127"/>
        <v>*</v>
      </c>
      <c r="D1284" s="25" t="s">
        <v>487</v>
      </c>
      <c r="E1284" s="25" t="str">
        <f>E1283</f>
        <v>TRACNG</v>
      </c>
      <c r="F1284" s="25" t="str">
        <f>F1283</f>
        <v>TRAOTHOFRDMD</v>
      </c>
      <c r="G1284" s="25" t="str">
        <f>G1283</f>
        <v>TRAOTHOFRDMD</v>
      </c>
      <c r="H1284" s="26">
        <v>2050</v>
      </c>
      <c r="I1284" s="26"/>
      <c r="J1284" s="27" t="e">
        <f>1-(J1283*-1)</f>
        <v>#DIV/0!</v>
      </c>
      <c r="K1284" s="26"/>
      <c r="L1284" s="26"/>
      <c r="N1284" s="28"/>
    </row>
    <row r="1285" spans="1:14" x14ac:dyDescent="0.25">
      <c r="A1285">
        <f>A1275+1</f>
        <v>129</v>
      </c>
      <c r="C1285" s="15" t="str">
        <f>IF(E1285="","",IF(SUMIFS('TRA TECH'!M:M,'TRA TECH'!J:J,D1286,'TRA TECH'!I:I,F1286,'TRA TECH'!H:H,E1286)=0,"*",IF(_xlfn.XLOOKUP($A1285,Selected_constraint!$A:$A,Selected_constraint!$D:$D)=1,"*",IF(SUMIFS('TRA TECH'!$M:$M,'TRA TECH'!$H:$H,E1285,'TRA TECH'!$I:$I,F1285)=0,"*",IF(SUMIFS('TRA RESID'!$P:$P,'TRA RESID'!$I:$I,G1285,'TRA RESID'!$J:$J,D1285,'TRA RESID'!$H:$H,E1285)=0,"*","UC_"&amp;SUBSTITUTE(D1285,"*","")&amp;"_"&amp;SUBSTITUTE(D1285,"*","")&amp;"_"&amp;RIGHT(E1285,3)&amp;"_"&amp;F1285)))))</f>
        <v>*</v>
      </c>
      <c r="D1285" s="17" t="s">
        <v>485</v>
      </c>
      <c r="E1285" s="17" t="str">
        <f>_xlfn.XLOOKUP($A1285,Selected_constraint!$A:$A,Selected_constraint!$B:$B)</f>
        <v>TRARNG</v>
      </c>
      <c r="F1285" s="17" t="str">
        <f>_xlfn.XLOOKUP($A1285,Selected_constraint!$A:$A,Selected_constraint!$C:$C)</f>
        <v>TRAOTHOFRDMD</v>
      </c>
      <c r="G1285" s="17" t="str">
        <f>F1285</f>
        <v>TRAOTHOFRDMD</v>
      </c>
      <c r="H1285" s="18">
        <v>2019</v>
      </c>
      <c r="I1285" s="18" t="s">
        <v>484</v>
      </c>
      <c r="J1285" s="29" t="e">
        <f>-SUMIFS('TRA RESID'!$P:$P,'TRA RESID'!$I:$I,G1286,'TRA RESID'!$J:$J,D1286,'TRA RESID'!$H:$H,E1286)/(SUMIFS('TRA RESID'!$P:$P,'TRA RESID'!$I:$I,G1286,'TRA RESID'!$J:$J,D1286,'TRA RESID'!$H:$H,E1286)+SUMIFS('TRA RESID'!$P:$P,'TRA RESID'!$I:$I,G1285,'TRA RESID'!$J:$J,D1285,'TRA RESID'!$H:$H,E1285))</f>
        <v>#DIV/0!</v>
      </c>
      <c r="K1285" s="18">
        <v>0</v>
      </c>
      <c r="L1285" s="18">
        <v>5</v>
      </c>
      <c r="N1285" s="21">
        <v>1</v>
      </c>
    </row>
    <row r="1286" spans="1:14" x14ac:dyDescent="0.25">
      <c r="C1286" s="15" t="str">
        <f t="shared" ref="C1286:C1294" si="128">IF(C1285="*",C1285,"")</f>
        <v>*</v>
      </c>
      <c r="D1286" s="17" t="s">
        <v>487</v>
      </c>
      <c r="E1286" s="17" t="str">
        <f>E1285</f>
        <v>TRARNG</v>
      </c>
      <c r="F1286" s="17" t="str">
        <f>F1285</f>
        <v>TRAOTHOFRDMD</v>
      </c>
      <c r="G1286" s="17" t="str">
        <f>G1285</f>
        <v>TRAOTHOFRDMD</v>
      </c>
      <c r="H1286" s="18">
        <v>2019</v>
      </c>
      <c r="I1286" s="18"/>
      <c r="J1286" s="20" t="e">
        <f>1-(J1285*-1)</f>
        <v>#DIV/0!</v>
      </c>
      <c r="K1286" s="18"/>
      <c r="L1286" s="18"/>
      <c r="N1286" s="21"/>
    </row>
    <row r="1287" spans="1:14" x14ac:dyDescent="0.25">
      <c r="C1287" s="15" t="str">
        <f t="shared" si="128"/>
        <v>*</v>
      </c>
      <c r="D1287" s="17" t="str">
        <f>D1285</f>
        <v>*ICEV*</v>
      </c>
      <c r="E1287" s="17" t="str">
        <f>E1285</f>
        <v>TRARNG</v>
      </c>
      <c r="F1287" s="17" t="str">
        <f>F1285</f>
        <v>TRAOTHOFRDMD</v>
      </c>
      <c r="G1287" s="17" t="str">
        <f>G1285</f>
        <v>TRAOTHOFRDMD</v>
      </c>
      <c r="H1287" s="18">
        <v>2025</v>
      </c>
      <c r="I1287" s="18"/>
      <c r="J1287" s="29" t="e">
        <f>IF(J1285=0,-N1287+1,J1285*N1287)</f>
        <v>#DIV/0!</v>
      </c>
      <c r="K1287" s="18"/>
      <c r="L1287" s="18"/>
      <c r="N1287" s="21">
        <v>1.1000000000000001</v>
      </c>
    </row>
    <row r="1288" spans="1:14" x14ac:dyDescent="0.25">
      <c r="C1288" s="15" t="str">
        <f t="shared" si="128"/>
        <v>*</v>
      </c>
      <c r="D1288" s="17" t="s">
        <v>487</v>
      </c>
      <c r="E1288" s="17" t="str">
        <f>E1287</f>
        <v>TRARNG</v>
      </c>
      <c r="F1288" s="17" t="str">
        <f>F1287</f>
        <v>TRAOTHOFRDMD</v>
      </c>
      <c r="G1288" s="17" t="str">
        <f>G1287</f>
        <v>TRAOTHOFRDMD</v>
      </c>
      <c r="H1288" s="18">
        <v>2025</v>
      </c>
      <c r="I1288" s="18"/>
      <c r="J1288" s="20" t="e">
        <f>1-(J1287*-1)</f>
        <v>#DIV/0!</v>
      </c>
      <c r="K1288" s="18"/>
      <c r="L1288" s="18"/>
      <c r="N1288" s="21"/>
    </row>
    <row r="1289" spans="1:14" x14ac:dyDescent="0.25">
      <c r="C1289" s="15" t="str">
        <f t="shared" si="128"/>
        <v>*</v>
      </c>
      <c r="D1289" s="17" t="str">
        <f>D1287</f>
        <v>*ICEV*</v>
      </c>
      <c r="E1289" s="17" t="str">
        <f>E1287</f>
        <v>TRARNG</v>
      </c>
      <c r="F1289" s="17" t="str">
        <f>F1287</f>
        <v>TRAOTHOFRDMD</v>
      </c>
      <c r="G1289" s="17" t="str">
        <f>G1287</f>
        <v>TRAOTHOFRDMD</v>
      </c>
      <c r="H1289" s="18">
        <v>2030</v>
      </c>
      <c r="I1289" s="18"/>
      <c r="J1289" s="29" t="e">
        <f>IF(J1285=0,-N1289+1,J1285*N1289)</f>
        <v>#DIV/0!</v>
      </c>
      <c r="K1289" s="18"/>
      <c r="L1289" s="18"/>
      <c r="N1289" s="21">
        <v>1.2</v>
      </c>
    </row>
    <row r="1290" spans="1:14" x14ac:dyDescent="0.25">
      <c r="C1290" s="15" t="str">
        <f t="shared" si="128"/>
        <v>*</v>
      </c>
      <c r="D1290" s="17" t="s">
        <v>487</v>
      </c>
      <c r="E1290" s="17" t="str">
        <f>E1289</f>
        <v>TRARNG</v>
      </c>
      <c r="F1290" s="17" t="str">
        <f>F1289</f>
        <v>TRAOTHOFRDMD</v>
      </c>
      <c r="G1290" s="17" t="str">
        <f>G1289</f>
        <v>TRAOTHOFRDMD</v>
      </c>
      <c r="H1290" s="18">
        <v>2030</v>
      </c>
      <c r="I1290" s="18"/>
      <c r="J1290" s="20" t="e">
        <f>1-(J1289*-1)</f>
        <v>#DIV/0!</v>
      </c>
      <c r="K1290" s="18"/>
      <c r="L1290" s="18"/>
      <c r="N1290" s="21"/>
    </row>
    <row r="1291" spans="1:14" x14ac:dyDescent="0.25">
      <c r="C1291" s="15" t="str">
        <f t="shared" si="128"/>
        <v>*</v>
      </c>
      <c r="D1291" s="17" t="str">
        <f>D1289</f>
        <v>*ICEV*</v>
      </c>
      <c r="E1291" s="17" t="str">
        <f>E1289</f>
        <v>TRARNG</v>
      </c>
      <c r="F1291" s="17" t="str">
        <f>F1289</f>
        <v>TRAOTHOFRDMD</v>
      </c>
      <c r="G1291" s="17" t="str">
        <f>G1289</f>
        <v>TRAOTHOFRDMD</v>
      </c>
      <c r="H1291" s="18">
        <v>2040</v>
      </c>
      <c r="I1291" s="18"/>
      <c r="J1291" s="29" t="e">
        <f>IF(J1285=0,-N1291+1,J1285*N1291)</f>
        <v>#DIV/0!</v>
      </c>
      <c r="K1291" s="18"/>
      <c r="L1291" s="18"/>
      <c r="N1291" s="21">
        <v>1.3</v>
      </c>
    </row>
    <row r="1292" spans="1:14" x14ac:dyDescent="0.25">
      <c r="C1292" s="15" t="str">
        <f t="shared" si="128"/>
        <v>*</v>
      </c>
      <c r="D1292" s="17" t="s">
        <v>487</v>
      </c>
      <c r="E1292" s="17" t="str">
        <f>E1291</f>
        <v>TRARNG</v>
      </c>
      <c r="F1292" s="17" t="str">
        <f>F1291</f>
        <v>TRAOTHOFRDMD</v>
      </c>
      <c r="G1292" s="17" t="str">
        <f>G1291</f>
        <v>TRAOTHOFRDMD</v>
      </c>
      <c r="H1292" s="18">
        <v>2040</v>
      </c>
      <c r="I1292" s="18"/>
      <c r="J1292" s="20" t="e">
        <f>1-(J1291*-1)</f>
        <v>#DIV/0!</v>
      </c>
      <c r="K1292" s="18"/>
      <c r="L1292" s="18"/>
      <c r="N1292" s="21"/>
    </row>
    <row r="1293" spans="1:14" x14ac:dyDescent="0.25">
      <c r="C1293" s="15" t="str">
        <f t="shared" si="128"/>
        <v>*</v>
      </c>
      <c r="D1293" s="17" t="str">
        <f>D1291</f>
        <v>*ICEV*</v>
      </c>
      <c r="E1293" s="17" t="str">
        <f>E1291</f>
        <v>TRARNG</v>
      </c>
      <c r="F1293" s="17" t="str">
        <f>F1291</f>
        <v>TRAOTHOFRDMD</v>
      </c>
      <c r="G1293" s="17" t="str">
        <f>G1291</f>
        <v>TRAOTHOFRDMD</v>
      </c>
      <c r="H1293" s="18">
        <v>2050</v>
      </c>
      <c r="I1293" s="18"/>
      <c r="J1293" s="29" t="e">
        <f>IF(J1285=0,-N1293+1,J1285*N1293)</f>
        <v>#DIV/0!</v>
      </c>
      <c r="K1293" s="18"/>
      <c r="L1293" s="18"/>
      <c r="N1293" s="21">
        <v>1.4</v>
      </c>
    </row>
    <row r="1294" spans="1:14" x14ac:dyDescent="0.25">
      <c r="C1294" s="23" t="str">
        <f t="shared" si="128"/>
        <v>*</v>
      </c>
      <c r="D1294" s="25" t="s">
        <v>487</v>
      </c>
      <c r="E1294" s="25" t="str">
        <f>E1293</f>
        <v>TRARNG</v>
      </c>
      <c r="F1294" s="25" t="str">
        <f>F1293</f>
        <v>TRAOTHOFRDMD</v>
      </c>
      <c r="G1294" s="25" t="str">
        <f>G1293</f>
        <v>TRAOTHOFRDMD</v>
      </c>
      <c r="H1294" s="26">
        <v>2050</v>
      </c>
      <c r="I1294" s="26"/>
      <c r="J1294" s="27" t="e">
        <f>1-(J1293*-1)</f>
        <v>#DIV/0!</v>
      </c>
      <c r="K1294" s="26"/>
      <c r="L1294" s="26"/>
      <c r="N1294" s="28"/>
    </row>
    <row r="1295" spans="1:14" x14ac:dyDescent="0.25">
      <c r="A1295">
        <f>A1285+1</f>
        <v>130</v>
      </c>
      <c r="C1295" s="15" t="str">
        <f>IF(E1295="","",IF(SUMIFS('TRA TECH'!M:M,'TRA TECH'!J:J,D1296,'TRA TECH'!I:I,F1296,'TRA TECH'!H:H,E1296)=0,"*",IF(_xlfn.XLOOKUP($A1295,Selected_constraint!$A:$A,Selected_constraint!$D:$D)=1,"*",IF(SUMIFS('TRA TECH'!$M:$M,'TRA TECH'!$H:$H,E1295,'TRA TECH'!$I:$I,F1295)=0,"*",IF(SUMIFS('TRA RESID'!$P:$P,'TRA RESID'!$I:$I,G1295,'TRA RESID'!$J:$J,D1295,'TRA RESID'!$H:$H,E1295)=0,"*","UC_"&amp;SUBSTITUTE(D1295,"*","")&amp;"_"&amp;SUBSTITUTE(D1295,"*","")&amp;"_"&amp;RIGHT(E1295,3)&amp;"_"&amp;F1295)))))</f>
        <v>*</v>
      </c>
      <c r="D1295" s="17" t="s">
        <v>485</v>
      </c>
      <c r="E1295" s="17" t="str">
        <f>_xlfn.XLOOKUP($A1295,Selected_constraint!$A:$A,Selected_constraint!$B:$B)</f>
        <v>TRABAF</v>
      </c>
      <c r="F1295" s="17" t="str">
        <f>_xlfn.XLOOKUP($A1295,Selected_constraint!$A:$A,Selected_constraint!$C:$C)</f>
        <v>TRAOTHOFRDMD</v>
      </c>
      <c r="G1295" s="17" t="str">
        <f>F1295</f>
        <v>TRAOTHOFRDMD</v>
      </c>
      <c r="H1295" s="18">
        <v>2019</v>
      </c>
      <c r="I1295" s="18" t="s">
        <v>484</v>
      </c>
      <c r="J1295" s="29" t="e">
        <f>-SUMIFS('TRA RESID'!$P:$P,'TRA RESID'!$I:$I,G1296,'TRA RESID'!$J:$J,D1296,'TRA RESID'!$H:$H,E1296)/(SUMIFS('TRA RESID'!$P:$P,'TRA RESID'!$I:$I,G1296,'TRA RESID'!$J:$J,D1296,'TRA RESID'!$H:$H,E1296)+SUMIFS('TRA RESID'!$P:$P,'TRA RESID'!$I:$I,G1295,'TRA RESID'!$J:$J,D1295,'TRA RESID'!$H:$H,E1295))</f>
        <v>#DIV/0!</v>
      </c>
      <c r="K1295" s="18">
        <v>0</v>
      </c>
      <c r="L1295" s="18">
        <v>5</v>
      </c>
      <c r="N1295" s="21">
        <v>1</v>
      </c>
    </row>
    <row r="1296" spans="1:14" x14ac:dyDescent="0.25">
      <c r="C1296" s="15" t="str">
        <f t="shared" ref="C1296:C1304" si="129">IF(C1295="*",C1295,"")</f>
        <v>*</v>
      </c>
      <c r="D1296" s="17" t="s">
        <v>487</v>
      </c>
      <c r="E1296" s="17" t="str">
        <f>E1295</f>
        <v>TRABAF</v>
      </c>
      <c r="F1296" s="17" t="str">
        <f>F1295</f>
        <v>TRAOTHOFRDMD</v>
      </c>
      <c r="G1296" s="17" t="str">
        <f>G1295</f>
        <v>TRAOTHOFRDMD</v>
      </c>
      <c r="H1296" s="18">
        <v>2019</v>
      </c>
      <c r="I1296" s="18"/>
      <c r="J1296" s="20" t="e">
        <f>1-(J1295*-1)</f>
        <v>#DIV/0!</v>
      </c>
      <c r="K1296" s="18"/>
      <c r="L1296" s="18"/>
      <c r="N1296" s="21"/>
    </row>
    <row r="1297" spans="1:14" x14ac:dyDescent="0.25">
      <c r="C1297" s="15" t="str">
        <f t="shared" si="129"/>
        <v>*</v>
      </c>
      <c r="D1297" s="17" t="str">
        <f>D1295</f>
        <v>*ICEV*</v>
      </c>
      <c r="E1297" s="17" t="str">
        <f>E1295</f>
        <v>TRABAF</v>
      </c>
      <c r="F1297" s="17" t="str">
        <f>F1295</f>
        <v>TRAOTHOFRDMD</v>
      </c>
      <c r="G1297" s="17" t="str">
        <f>G1295</f>
        <v>TRAOTHOFRDMD</v>
      </c>
      <c r="H1297" s="18">
        <v>2025</v>
      </c>
      <c r="I1297" s="18"/>
      <c r="J1297" s="29" t="e">
        <f>IF(J1295=0,-N1297+1,J1295*N1297)</f>
        <v>#DIV/0!</v>
      </c>
      <c r="K1297" s="18"/>
      <c r="L1297" s="18"/>
      <c r="N1297" s="21">
        <v>1.1000000000000001</v>
      </c>
    </row>
    <row r="1298" spans="1:14" x14ac:dyDescent="0.25">
      <c r="C1298" s="15" t="str">
        <f t="shared" si="129"/>
        <v>*</v>
      </c>
      <c r="D1298" s="17" t="s">
        <v>487</v>
      </c>
      <c r="E1298" s="17" t="str">
        <f>E1297</f>
        <v>TRABAF</v>
      </c>
      <c r="F1298" s="17" t="str">
        <f>F1297</f>
        <v>TRAOTHOFRDMD</v>
      </c>
      <c r="G1298" s="17" t="str">
        <f>G1297</f>
        <v>TRAOTHOFRDMD</v>
      </c>
      <c r="H1298" s="18">
        <v>2025</v>
      </c>
      <c r="I1298" s="18"/>
      <c r="J1298" s="20" t="e">
        <f>1-(J1297*-1)</f>
        <v>#DIV/0!</v>
      </c>
      <c r="K1298" s="18"/>
      <c r="L1298" s="18"/>
      <c r="N1298" s="21"/>
    </row>
    <row r="1299" spans="1:14" x14ac:dyDescent="0.25">
      <c r="C1299" s="15" t="str">
        <f t="shared" si="129"/>
        <v>*</v>
      </c>
      <c r="D1299" s="17" t="str">
        <f>D1297</f>
        <v>*ICEV*</v>
      </c>
      <c r="E1299" s="17" t="str">
        <f>E1297</f>
        <v>TRABAF</v>
      </c>
      <c r="F1299" s="17" t="str">
        <f>F1297</f>
        <v>TRAOTHOFRDMD</v>
      </c>
      <c r="G1299" s="17" t="str">
        <f>G1297</f>
        <v>TRAOTHOFRDMD</v>
      </c>
      <c r="H1299" s="18">
        <v>2030</v>
      </c>
      <c r="I1299" s="18"/>
      <c r="J1299" s="29" t="e">
        <f>IF(J1295=0,-N1299+1,J1295*N1299)</f>
        <v>#DIV/0!</v>
      </c>
      <c r="K1299" s="18"/>
      <c r="L1299" s="18"/>
      <c r="N1299" s="21">
        <v>1.2</v>
      </c>
    </row>
    <row r="1300" spans="1:14" x14ac:dyDescent="0.25">
      <c r="C1300" s="15" t="str">
        <f t="shared" si="129"/>
        <v>*</v>
      </c>
      <c r="D1300" s="17" t="s">
        <v>487</v>
      </c>
      <c r="E1300" s="17" t="str">
        <f>E1299</f>
        <v>TRABAF</v>
      </c>
      <c r="F1300" s="17" t="str">
        <f>F1299</f>
        <v>TRAOTHOFRDMD</v>
      </c>
      <c r="G1300" s="17" t="str">
        <f>G1299</f>
        <v>TRAOTHOFRDMD</v>
      </c>
      <c r="H1300" s="18">
        <v>2030</v>
      </c>
      <c r="I1300" s="18"/>
      <c r="J1300" s="20" t="e">
        <f>1-(J1299*-1)</f>
        <v>#DIV/0!</v>
      </c>
      <c r="K1300" s="18"/>
      <c r="L1300" s="18"/>
      <c r="N1300" s="21"/>
    </row>
    <row r="1301" spans="1:14" x14ac:dyDescent="0.25">
      <c r="C1301" s="15" t="str">
        <f t="shared" si="129"/>
        <v>*</v>
      </c>
      <c r="D1301" s="17" t="str">
        <f>D1299</f>
        <v>*ICEV*</v>
      </c>
      <c r="E1301" s="17" t="str">
        <f>E1299</f>
        <v>TRABAF</v>
      </c>
      <c r="F1301" s="17" t="str">
        <f>F1299</f>
        <v>TRAOTHOFRDMD</v>
      </c>
      <c r="G1301" s="17" t="str">
        <f>G1299</f>
        <v>TRAOTHOFRDMD</v>
      </c>
      <c r="H1301" s="18">
        <v>2040</v>
      </c>
      <c r="I1301" s="18"/>
      <c r="J1301" s="29" t="e">
        <f>IF(J1295=0,-N1301+1,J1295*N1301)</f>
        <v>#DIV/0!</v>
      </c>
      <c r="K1301" s="18"/>
      <c r="L1301" s="18"/>
      <c r="N1301" s="21">
        <v>1.3</v>
      </c>
    </row>
    <row r="1302" spans="1:14" x14ac:dyDescent="0.25">
      <c r="C1302" s="15" t="str">
        <f t="shared" si="129"/>
        <v>*</v>
      </c>
      <c r="D1302" s="17" t="s">
        <v>487</v>
      </c>
      <c r="E1302" s="17" t="str">
        <f>E1301</f>
        <v>TRABAF</v>
      </c>
      <c r="F1302" s="17" t="str">
        <f>F1301</f>
        <v>TRAOTHOFRDMD</v>
      </c>
      <c r="G1302" s="17" t="str">
        <f>G1301</f>
        <v>TRAOTHOFRDMD</v>
      </c>
      <c r="H1302" s="18">
        <v>2040</v>
      </c>
      <c r="I1302" s="18"/>
      <c r="J1302" s="20" t="e">
        <f>1-(J1301*-1)</f>
        <v>#DIV/0!</v>
      </c>
      <c r="K1302" s="18"/>
      <c r="L1302" s="18"/>
      <c r="N1302" s="21"/>
    </row>
    <row r="1303" spans="1:14" x14ac:dyDescent="0.25">
      <c r="C1303" s="15" t="str">
        <f t="shared" si="129"/>
        <v>*</v>
      </c>
      <c r="D1303" s="17" t="str">
        <f>D1301</f>
        <v>*ICEV*</v>
      </c>
      <c r="E1303" s="17" t="str">
        <f>E1301</f>
        <v>TRABAF</v>
      </c>
      <c r="F1303" s="17" t="str">
        <f>F1301</f>
        <v>TRAOTHOFRDMD</v>
      </c>
      <c r="G1303" s="17" t="str">
        <f>G1301</f>
        <v>TRAOTHOFRDMD</v>
      </c>
      <c r="H1303" s="18">
        <v>2050</v>
      </c>
      <c r="I1303" s="18"/>
      <c r="J1303" s="29" t="e">
        <f>IF(J1295=0,-N1303+1,J1295*N1303)</f>
        <v>#DIV/0!</v>
      </c>
      <c r="K1303" s="18"/>
      <c r="L1303" s="18"/>
      <c r="N1303" s="21">
        <v>1.4</v>
      </c>
    </row>
    <row r="1304" spans="1:14" x14ac:dyDescent="0.25">
      <c r="C1304" s="23" t="str">
        <f t="shared" si="129"/>
        <v>*</v>
      </c>
      <c r="D1304" s="25" t="s">
        <v>487</v>
      </c>
      <c r="E1304" s="25" t="str">
        <f>E1303</f>
        <v>TRABAF</v>
      </c>
      <c r="F1304" s="25" t="str">
        <f>F1303</f>
        <v>TRAOTHOFRDMD</v>
      </c>
      <c r="G1304" s="25" t="str">
        <f>G1303</f>
        <v>TRAOTHOFRDMD</v>
      </c>
      <c r="H1304" s="26">
        <v>2050</v>
      </c>
      <c r="I1304" s="26"/>
      <c r="J1304" s="27" t="e">
        <f>1-(J1303*-1)</f>
        <v>#DIV/0!</v>
      </c>
      <c r="K1304" s="26"/>
      <c r="L1304" s="26"/>
      <c r="N1304" s="28"/>
    </row>
    <row r="1305" spans="1:14" x14ac:dyDescent="0.25">
      <c r="A1305">
        <f>A1295+1</f>
        <v>131</v>
      </c>
      <c r="C1305" s="15" t="str">
        <f>IF(E1305="","",IF(SUMIFS('TRA TECH'!M:M,'TRA TECH'!J:J,D1306,'TRA TECH'!I:I,F1306,'TRA TECH'!H:H,E1306)=0,"*",IF(_xlfn.XLOOKUP($A1305,Selected_constraint!$A:$A,Selected_constraint!$D:$D)=1,"*",IF(SUMIFS('TRA TECH'!$M:$M,'TRA TECH'!$H:$H,E1305,'TRA TECH'!$I:$I,F1305)=0,"*",IF(SUMIFS('TRA RESID'!$P:$P,'TRA RESID'!$I:$I,G1305,'TRA RESID'!$J:$J,D1305,'TRA RESID'!$H:$H,E1305)=0,"*","UC_"&amp;SUBSTITUTE(D1305,"*","")&amp;"_"&amp;SUBSTITUTE(D1305,"*","")&amp;"_"&amp;RIGHT(E1305,3)&amp;"_"&amp;F1305)))))</f>
        <v>*</v>
      </c>
      <c r="D1305" s="17" t="s">
        <v>485</v>
      </c>
      <c r="E1305" s="17" t="str">
        <f>_xlfn.XLOOKUP($A1305,Selected_constraint!$A:$A,Selected_constraint!$B:$B)</f>
        <v>TRAH2G</v>
      </c>
      <c r="F1305" s="17" t="str">
        <f>_xlfn.XLOOKUP($A1305,Selected_constraint!$A:$A,Selected_constraint!$C:$C)</f>
        <v>TRAOTHOFRDMD</v>
      </c>
      <c r="G1305" s="17" t="str">
        <f>F1305</f>
        <v>TRAOTHOFRDMD</v>
      </c>
      <c r="H1305" s="18">
        <v>2019</v>
      </c>
      <c r="I1305" s="18" t="s">
        <v>484</v>
      </c>
      <c r="J1305" s="29" t="e">
        <f>-SUMIFS('TRA RESID'!$P:$P,'TRA RESID'!$I:$I,G1306,'TRA RESID'!$J:$J,D1306,'TRA RESID'!$H:$H,E1306)/(SUMIFS('TRA RESID'!$P:$P,'TRA RESID'!$I:$I,G1306,'TRA RESID'!$J:$J,D1306,'TRA RESID'!$H:$H,E1306)+SUMIFS('TRA RESID'!$P:$P,'TRA RESID'!$I:$I,G1305,'TRA RESID'!$J:$J,D1305,'TRA RESID'!$H:$H,E1305))</f>
        <v>#DIV/0!</v>
      </c>
      <c r="K1305" s="18">
        <v>0</v>
      </c>
      <c r="L1305" s="18">
        <v>5</v>
      </c>
      <c r="N1305" s="21">
        <v>1</v>
      </c>
    </row>
    <row r="1306" spans="1:14" x14ac:dyDescent="0.25">
      <c r="C1306" s="15" t="str">
        <f t="shared" ref="C1306:C1314" si="130">IF(C1305="*",C1305,"")</f>
        <v>*</v>
      </c>
      <c r="D1306" s="17" t="s">
        <v>487</v>
      </c>
      <c r="E1306" s="17" t="str">
        <f>E1305</f>
        <v>TRAH2G</v>
      </c>
      <c r="F1306" s="17" t="str">
        <f>F1305</f>
        <v>TRAOTHOFRDMD</v>
      </c>
      <c r="G1306" s="17" t="str">
        <f>G1305</f>
        <v>TRAOTHOFRDMD</v>
      </c>
      <c r="H1306" s="18">
        <v>2019</v>
      </c>
      <c r="I1306" s="18"/>
      <c r="J1306" s="20" t="e">
        <f>1-(J1305*-1)</f>
        <v>#DIV/0!</v>
      </c>
      <c r="K1306" s="18"/>
      <c r="L1306" s="18"/>
      <c r="N1306" s="21"/>
    </row>
    <row r="1307" spans="1:14" x14ac:dyDescent="0.25">
      <c r="C1307" s="15" t="str">
        <f t="shared" si="130"/>
        <v>*</v>
      </c>
      <c r="D1307" s="17" t="str">
        <f>D1305</f>
        <v>*ICEV*</v>
      </c>
      <c r="E1307" s="17" t="str">
        <f>E1305</f>
        <v>TRAH2G</v>
      </c>
      <c r="F1307" s="17" t="str">
        <f>F1305</f>
        <v>TRAOTHOFRDMD</v>
      </c>
      <c r="G1307" s="17" t="str">
        <f>G1305</f>
        <v>TRAOTHOFRDMD</v>
      </c>
      <c r="H1307" s="18">
        <v>2025</v>
      </c>
      <c r="I1307" s="18"/>
      <c r="J1307" s="29" t="e">
        <f>IF(J1305=0,-N1307+1,J1305*N1307)</f>
        <v>#DIV/0!</v>
      </c>
      <c r="K1307" s="18"/>
      <c r="L1307" s="18"/>
      <c r="N1307" s="21">
        <v>1.1000000000000001</v>
      </c>
    </row>
    <row r="1308" spans="1:14" x14ac:dyDescent="0.25">
      <c r="C1308" s="15" t="str">
        <f t="shared" si="130"/>
        <v>*</v>
      </c>
      <c r="D1308" s="17" t="s">
        <v>487</v>
      </c>
      <c r="E1308" s="17" t="str">
        <f>E1307</f>
        <v>TRAH2G</v>
      </c>
      <c r="F1308" s="17" t="str">
        <f>F1307</f>
        <v>TRAOTHOFRDMD</v>
      </c>
      <c r="G1308" s="17" t="str">
        <f>G1307</f>
        <v>TRAOTHOFRDMD</v>
      </c>
      <c r="H1308" s="18">
        <v>2025</v>
      </c>
      <c r="I1308" s="18"/>
      <c r="J1308" s="20" t="e">
        <f>1-(J1307*-1)</f>
        <v>#DIV/0!</v>
      </c>
      <c r="K1308" s="18"/>
      <c r="L1308" s="18"/>
      <c r="N1308" s="21"/>
    </row>
    <row r="1309" spans="1:14" x14ac:dyDescent="0.25">
      <c r="C1309" s="15" t="str">
        <f t="shared" si="130"/>
        <v>*</v>
      </c>
      <c r="D1309" s="17" t="str">
        <f>D1307</f>
        <v>*ICEV*</v>
      </c>
      <c r="E1309" s="17" t="str">
        <f>E1307</f>
        <v>TRAH2G</v>
      </c>
      <c r="F1309" s="17" t="str">
        <f>F1307</f>
        <v>TRAOTHOFRDMD</v>
      </c>
      <c r="G1309" s="17" t="str">
        <f>G1307</f>
        <v>TRAOTHOFRDMD</v>
      </c>
      <c r="H1309" s="18">
        <v>2030</v>
      </c>
      <c r="I1309" s="18"/>
      <c r="J1309" s="29" t="e">
        <f>IF(J1305=0,-N1309+1,J1305*N1309)</f>
        <v>#DIV/0!</v>
      </c>
      <c r="K1309" s="18"/>
      <c r="L1309" s="18"/>
      <c r="N1309" s="21">
        <v>1.2</v>
      </c>
    </row>
    <row r="1310" spans="1:14" x14ac:dyDescent="0.25">
      <c r="C1310" s="15" t="str">
        <f t="shared" si="130"/>
        <v>*</v>
      </c>
      <c r="D1310" s="17" t="s">
        <v>487</v>
      </c>
      <c r="E1310" s="17" t="str">
        <f>E1309</f>
        <v>TRAH2G</v>
      </c>
      <c r="F1310" s="17" t="str">
        <f>F1309</f>
        <v>TRAOTHOFRDMD</v>
      </c>
      <c r="G1310" s="17" t="str">
        <f>G1309</f>
        <v>TRAOTHOFRDMD</v>
      </c>
      <c r="H1310" s="18">
        <v>2030</v>
      </c>
      <c r="I1310" s="18"/>
      <c r="J1310" s="20" t="e">
        <f>1-(J1309*-1)</f>
        <v>#DIV/0!</v>
      </c>
      <c r="K1310" s="18"/>
      <c r="L1310" s="18"/>
      <c r="N1310" s="21"/>
    </row>
    <row r="1311" spans="1:14" x14ac:dyDescent="0.25">
      <c r="C1311" s="15" t="str">
        <f t="shared" si="130"/>
        <v>*</v>
      </c>
      <c r="D1311" s="17" t="str">
        <f>D1309</f>
        <v>*ICEV*</v>
      </c>
      <c r="E1311" s="17" t="str">
        <f>E1309</f>
        <v>TRAH2G</v>
      </c>
      <c r="F1311" s="17" t="str">
        <f>F1309</f>
        <v>TRAOTHOFRDMD</v>
      </c>
      <c r="G1311" s="17" t="str">
        <f>G1309</f>
        <v>TRAOTHOFRDMD</v>
      </c>
      <c r="H1311" s="18">
        <v>2040</v>
      </c>
      <c r="I1311" s="18"/>
      <c r="J1311" s="29" t="e">
        <f>IF(J1305=0,-N1311+1,J1305*N1311)</f>
        <v>#DIV/0!</v>
      </c>
      <c r="K1311" s="18"/>
      <c r="L1311" s="18"/>
      <c r="N1311" s="21">
        <v>1.3</v>
      </c>
    </row>
    <row r="1312" spans="1:14" x14ac:dyDescent="0.25">
      <c r="C1312" s="15" t="str">
        <f t="shared" si="130"/>
        <v>*</v>
      </c>
      <c r="D1312" s="17" t="s">
        <v>487</v>
      </c>
      <c r="E1312" s="17" t="str">
        <f>E1311</f>
        <v>TRAH2G</v>
      </c>
      <c r="F1312" s="17" t="str">
        <f>F1311</f>
        <v>TRAOTHOFRDMD</v>
      </c>
      <c r="G1312" s="17" t="str">
        <f>G1311</f>
        <v>TRAOTHOFRDMD</v>
      </c>
      <c r="H1312" s="18">
        <v>2040</v>
      </c>
      <c r="I1312" s="18"/>
      <c r="J1312" s="20" t="e">
        <f>1-(J1311*-1)</f>
        <v>#DIV/0!</v>
      </c>
      <c r="K1312" s="18"/>
      <c r="L1312" s="18"/>
      <c r="N1312" s="21"/>
    </row>
    <row r="1313" spans="1:14" x14ac:dyDescent="0.25">
      <c r="C1313" s="15" t="str">
        <f t="shared" si="130"/>
        <v>*</v>
      </c>
      <c r="D1313" s="17" t="str">
        <f>D1311</f>
        <v>*ICEV*</v>
      </c>
      <c r="E1313" s="17" t="str">
        <f>E1311</f>
        <v>TRAH2G</v>
      </c>
      <c r="F1313" s="17" t="str">
        <f>F1311</f>
        <v>TRAOTHOFRDMD</v>
      </c>
      <c r="G1313" s="17" t="str">
        <f>G1311</f>
        <v>TRAOTHOFRDMD</v>
      </c>
      <c r="H1313" s="18">
        <v>2050</v>
      </c>
      <c r="I1313" s="18"/>
      <c r="J1313" s="29" t="e">
        <f>IF(J1305=0,-N1313+1,J1305*N1313)</f>
        <v>#DIV/0!</v>
      </c>
      <c r="K1313" s="18"/>
      <c r="L1313" s="18"/>
      <c r="N1313" s="21">
        <v>1.4</v>
      </c>
    </row>
    <row r="1314" spans="1:14" x14ac:dyDescent="0.25">
      <c r="C1314" s="23" t="str">
        <f t="shared" si="130"/>
        <v>*</v>
      </c>
      <c r="D1314" s="25" t="s">
        <v>487</v>
      </c>
      <c r="E1314" s="25" t="str">
        <f>E1313</f>
        <v>TRAH2G</v>
      </c>
      <c r="F1314" s="25" t="str">
        <f>F1313</f>
        <v>TRAOTHOFRDMD</v>
      </c>
      <c r="G1314" s="25" t="str">
        <f>G1313</f>
        <v>TRAOTHOFRDMD</v>
      </c>
      <c r="H1314" s="26">
        <v>2050</v>
      </c>
      <c r="I1314" s="26"/>
      <c r="J1314" s="27" t="e">
        <f>1-(J1313*-1)</f>
        <v>#DIV/0!</v>
      </c>
      <c r="K1314" s="26"/>
      <c r="L1314" s="26"/>
      <c r="N1314" s="28"/>
    </row>
    <row r="1315" spans="1:14" x14ac:dyDescent="0.25">
      <c r="A1315">
        <f>A1305+1</f>
        <v>132</v>
      </c>
      <c r="C1315" s="15" t="str">
        <f>IF(E1315="","",IF(SUMIFS('TRA TECH'!M:M,'TRA TECH'!J:J,D1316,'TRA TECH'!I:I,F1316,'TRA TECH'!H:H,E1316)=0,"*",IF(_xlfn.XLOOKUP($A1315,Selected_constraint!$A:$A,Selected_constraint!$D:$D)=1,"*",IF(SUMIFS('TRA TECH'!$M:$M,'TRA TECH'!$H:$H,E1315,'TRA TECH'!$I:$I,F1315)=0,"*",IF(SUMIFS('TRA RESID'!$P:$P,'TRA RESID'!$I:$I,G1315,'TRA RESID'!$J:$J,D1315,'TRA RESID'!$H:$H,E1315)=0,"*","UC_"&amp;SUBSTITUTE(D1315,"*","")&amp;"_"&amp;SUBSTITUTE(D1315,"*","")&amp;"_"&amp;RIGHT(E1315,3)&amp;"_"&amp;F1315)))))</f>
        <v>*</v>
      </c>
      <c r="D1315" s="17" t="s">
        <v>485</v>
      </c>
      <c r="E1315" s="17" t="str">
        <f>_xlfn.XLOOKUP($A1315,Selected_constraint!$A:$A,Selected_constraint!$B:$B)</f>
        <v>TRAGSL</v>
      </c>
      <c r="F1315" s="17" t="str">
        <f>_xlfn.XLOOKUP($A1315,Selected_constraint!$A:$A,Selected_constraint!$C:$C)</f>
        <v>TRAOTHWATDMD</v>
      </c>
      <c r="G1315" s="17" t="str">
        <f>F1315</f>
        <v>TRAOTHWATDMD</v>
      </c>
      <c r="H1315" s="18">
        <v>2019</v>
      </c>
      <c r="I1315" s="18" t="s">
        <v>484</v>
      </c>
      <c r="J1315" s="29" t="e">
        <f>-SUMIFS('TRA RESID'!$P:$P,'TRA RESID'!$I:$I,G1316,'TRA RESID'!$J:$J,D1316,'TRA RESID'!$H:$H,E1316)/(SUMIFS('TRA RESID'!$P:$P,'TRA RESID'!$I:$I,G1316,'TRA RESID'!$J:$J,D1316,'TRA RESID'!$H:$H,E1316)+SUMIFS('TRA RESID'!$P:$P,'TRA RESID'!$I:$I,G1315,'TRA RESID'!$J:$J,D1315,'TRA RESID'!$H:$H,E1315))</f>
        <v>#DIV/0!</v>
      </c>
      <c r="K1315" s="18">
        <v>0</v>
      </c>
      <c r="L1315" s="18">
        <v>5</v>
      </c>
      <c r="N1315" s="21">
        <v>1</v>
      </c>
    </row>
    <row r="1316" spans="1:14" x14ac:dyDescent="0.25">
      <c r="C1316" s="15" t="str">
        <f t="shared" ref="C1316:C1324" si="131">IF(C1315="*",C1315,"")</f>
        <v>*</v>
      </c>
      <c r="D1316" s="17" t="s">
        <v>487</v>
      </c>
      <c r="E1316" s="17" t="str">
        <f>E1315</f>
        <v>TRAGSL</v>
      </c>
      <c r="F1316" s="17" t="str">
        <f>F1315</f>
        <v>TRAOTHWATDMD</v>
      </c>
      <c r="G1316" s="17" t="str">
        <f>G1315</f>
        <v>TRAOTHWATDMD</v>
      </c>
      <c r="H1316" s="18">
        <v>2019</v>
      </c>
      <c r="I1316" s="18"/>
      <c r="J1316" s="20" t="e">
        <f>1-(J1315*-1)</f>
        <v>#DIV/0!</v>
      </c>
      <c r="K1316" s="18"/>
      <c r="L1316" s="18"/>
      <c r="N1316" s="21"/>
    </row>
    <row r="1317" spans="1:14" x14ac:dyDescent="0.25">
      <c r="C1317" s="15" t="str">
        <f t="shared" si="131"/>
        <v>*</v>
      </c>
      <c r="D1317" s="17" t="str">
        <f>D1315</f>
        <v>*ICEV*</v>
      </c>
      <c r="E1317" s="17" t="str">
        <f>E1315</f>
        <v>TRAGSL</v>
      </c>
      <c r="F1317" s="17" t="str">
        <f>F1315</f>
        <v>TRAOTHWATDMD</v>
      </c>
      <c r="G1317" s="17" t="str">
        <f>G1315</f>
        <v>TRAOTHWATDMD</v>
      </c>
      <c r="H1317" s="18">
        <v>2025</v>
      </c>
      <c r="I1317" s="18"/>
      <c r="J1317" s="29" t="e">
        <f>IF(J1315=0,-N1317+1,J1315*N1317)</f>
        <v>#DIV/0!</v>
      </c>
      <c r="K1317" s="18"/>
      <c r="L1317" s="18"/>
      <c r="N1317" s="21">
        <v>1.1000000000000001</v>
      </c>
    </row>
    <row r="1318" spans="1:14" x14ac:dyDescent="0.25">
      <c r="C1318" s="15" t="str">
        <f t="shared" si="131"/>
        <v>*</v>
      </c>
      <c r="D1318" s="17" t="s">
        <v>487</v>
      </c>
      <c r="E1318" s="17" t="str">
        <f>E1317</f>
        <v>TRAGSL</v>
      </c>
      <c r="F1318" s="17" t="str">
        <f>F1317</f>
        <v>TRAOTHWATDMD</v>
      </c>
      <c r="G1318" s="17" t="str">
        <f>G1317</f>
        <v>TRAOTHWATDMD</v>
      </c>
      <c r="H1318" s="18">
        <v>2025</v>
      </c>
      <c r="I1318" s="18"/>
      <c r="J1318" s="20" t="e">
        <f>1-(J1317*-1)</f>
        <v>#DIV/0!</v>
      </c>
      <c r="K1318" s="18"/>
      <c r="L1318" s="18"/>
      <c r="N1318" s="21"/>
    </row>
    <row r="1319" spans="1:14" x14ac:dyDescent="0.25">
      <c r="C1319" s="15" t="str">
        <f t="shared" si="131"/>
        <v>*</v>
      </c>
      <c r="D1319" s="17" t="str">
        <f>D1317</f>
        <v>*ICEV*</v>
      </c>
      <c r="E1319" s="17" t="str">
        <f>E1317</f>
        <v>TRAGSL</v>
      </c>
      <c r="F1319" s="17" t="str">
        <f>F1317</f>
        <v>TRAOTHWATDMD</v>
      </c>
      <c r="G1319" s="17" t="str">
        <f>G1317</f>
        <v>TRAOTHWATDMD</v>
      </c>
      <c r="H1319" s="18">
        <v>2030</v>
      </c>
      <c r="I1319" s="18"/>
      <c r="J1319" s="29" t="e">
        <f>IF(J1315=0,-N1319+1,J1315*N1319)</f>
        <v>#DIV/0!</v>
      </c>
      <c r="K1319" s="18"/>
      <c r="L1319" s="18"/>
      <c r="N1319" s="21">
        <v>1.2</v>
      </c>
    </row>
    <row r="1320" spans="1:14" x14ac:dyDescent="0.25">
      <c r="C1320" s="15" t="str">
        <f t="shared" si="131"/>
        <v>*</v>
      </c>
      <c r="D1320" s="17" t="s">
        <v>487</v>
      </c>
      <c r="E1320" s="17" t="str">
        <f>E1319</f>
        <v>TRAGSL</v>
      </c>
      <c r="F1320" s="17" t="str">
        <f>F1319</f>
        <v>TRAOTHWATDMD</v>
      </c>
      <c r="G1320" s="17" t="str">
        <f>G1319</f>
        <v>TRAOTHWATDMD</v>
      </c>
      <c r="H1320" s="18">
        <v>2030</v>
      </c>
      <c r="I1320" s="18"/>
      <c r="J1320" s="20" t="e">
        <f>1-(J1319*-1)</f>
        <v>#DIV/0!</v>
      </c>
      <c r="K1320" s="18"/>
      <c r="L1320" s="18"/>
      <c r="N1320" s="21"/>
    </row>
    <row r="1321" spans="1:14" x14ac:dyDescent="0.25">
      <c r="C1321" s="15" t="str">
        <f t="shared" si="131"/>
        <v>*</v>
      </c>
      <c r="D1321" s="17" t="str">
        <f>D1319</f>
        <v>*ICEV*</v>
      </c>
      <c r="E1321" s="17" t="str">
        <f>E1319</f>
        <v>TRAGSL</v>
      </c>
      <c r="F1321" s="17" t="str">
        <f>F1319</f>
        <v>TRAOTHWATDMD</v>
      </c>
      <c r="G1321" s="17" t="str">
        <f>G1319</f>
        <v>TRAOTHWATDMD</v>
      </c>
      <c r="H1321" s="18">
        <v>2040</v>
      </c>
      <c r="I1321" s="18"/>
      <c r="J1321" s="29" t="e">
        <f>IF(J1315=0,-N1321+1,J1315*N1321)</f>
        <v>#DIV/0!</v>
      </c>
      <c r="K1321" s="18"/>
      <c r="L1321" s="18"/>
      <c r="N1321" s="21">
        <v>1.3</v>
      </c>
    </row>
    <row r="1322" spans="1:14" x14ac:dyDescent="0.25">
      <c r="C1322" s="15" t="str">
        <f t="shared" si="131"/>
        <v>*</v>
      </c>
      <c r="D1322" s="17" t="s">
        <v>487</v>
      </c>
      <c r="E1322" s="17" t="str">
        <f>E1321</f>
        <v>TRAGSL</v>
      </c>
      <c r="F1322" s="17" t="str">
        <f>F1321</f>
        <v>TRAOTHWATDMD</v>
      </c>
      <c r="G1322" s="17" t="str">
        <f>G1321</f>
        <v>TRAOTHWATDMD</v>
      </c>
      <c r="H1322" s="18">
        <v>2040</v>
      </c>
      <c r="I1322" s="18"/>
      <c r="J1322" s="20" t="e">
        <f>1-(J1321*-1)</f>
        <v>#DIV/0!</v>
      </c>
      <c r="K1322" s="18"/>
      <c r="L1322" s="18"/>
      <c r="N1322" s="21"/>
    </row>
    <row r="1323" spans="1:14" x14ac:dyDescent="0.25">
      <c r="C1323" s="15" t="str">
        <f t="shared" si="131"/>
        <v>*</v>
      </c>
      <c r="D1323" s="17" t="str">
        <f>D1321</f>
        <v>*ICEV*</v>
      </c>
      <c r="E1323" s="17" t="str">
        <f>E1321</f>
        <v>TRAGSL</v>
      </c>
      <c r="F1323" s="17" t="str">
        <f>F1321</f>
        <v>TRAOTHWATDMD</v>
      </c>
      <c r="G1323" s="17" t="str">
        <f>G1321</f>
        <v>TRAOTHWATDMD</v>
      </c>
      <c r="H1323" s="18">
        <v>2050</v>
      </c>
      <c r="I1323" s="18"/>
      <c r="J1323" s="29" t="e">
        <f>IF(J1315=0,-N1323+1,J1315*N1323)</f>
        <v>#DIV/0!</v>
      </c>
      <c r="K1323" s="18"/>
      <c r="L1323" s="18"/>
      <c r="N1323" s="21">
        <v>1.4</v>
      </c>
    </row>
    <row r="1324" spans="1:14" x14ac:dyDescent="0.25">
      <c r="C1324" s="23" t="str">
        <f t="shared" si="131"/>
        <v>*</v>
      </c>
      <c r="D1324" s="25" t="s">
        <v>487</v>
      </c>
      <c r="E1324" s="25" t="str">
        <f>E1323</f>
        <v>TRAGSL</v>
      </c>
      <c r="F1324" s="25" t="str">
        <f>F1323</f>
        <v>TRAOTHWATDMD</v>
      </c>
      <c r="G1324" s="25" t="str">
        <f>G1323</f>
        <v>TRAOTHWATDMD</v>
      </c>
      <c r="H1324" s="26">
        <v>2050</v>
      </c>
      <c r="I1324" s="26"/>
      <c r="J1324" s="27" t="e">
        <f>1-(J1323*-1)</f>
        <v>#DIV/0!</v>
      </c>
      <c r="K1324" s="26"/>
      <c r="L1324" s="26"/>
      <c r="N1324" s="28"/>
    </row>
    <row r="1325" spans="1:14" x14ac:dyDescent="0.25">
      <c r="A1325">
        <f>A1315+1</f>
        <v>133</v>
      </c>
      <c r="C1325" s="15" t="str">
        <f>IF(E1325="","",IF(SUMIFS('TRA TECH'!M:M,'TRA TECH'!J:J,D1326,'TRA TECH'!I:I,F1326,'TRA TECH'!H:H,E1326)=0,"*",IF(_xlfn.XLOOKUP($A1325,Selected_constraint!$A:$A,Selected_constraint!$D:$D)=1,"*",IF(SUMIFS('TRA TECH'!$M:$M,'TRA TECH'!$H:$H,E1325,'TRA TECH'!$I:$I,F1325)=0,"*",IF(SUMIFS('TRA RESID'!$P:$P,'TRA RESID'!$I:$I,G1325,'TRA RESID'!$J:$J,D1325,'TRA RESID'!$H:$H,E1325)=0,"*","UC_"&amp;SUBSTITUTE(D1325,"*","")&amp;"_"&amp;SUBSTITUTE(D1325,"*","")&amp;"_"&amp;RIGHT(E1325,3)&amp;"_"&amp;F1325)))))</f>
        <v>*</v>
      </c>
      <c r="D1325" s="17" t="s">
        <v>485</v>
      </c>
      <c r="E1325" s="17" t="str">
        <f>_xlfn.XLOOKUP($A1325,Selected_constraint!$A:$A,Selected_constraint!$B:$B)</f>
        <v>TRAETH</v>
      </c>
      <c r="F1325" s="17" t="str">
        <f>_xlfn.XLOOKUP($A1325,Selected_constraint!$A:$A,Selected_constraint!$C:$C)</f>
        <v>TRAOTHWATDMD</v>
      </c>
      <c r="G1325" s="17" t="str">
        <f>F1325</f>
        <v>TRAOTHWATDMD</v>
      </c>
      <c r="H1325" s="18">
        <v>2019</v>
      </c>
      <c r="I1325" s="18" t="s">
        <v>484</v>
      </c>
      <c r="J1325" s="29" t="e">
        <f>-SUMIFS('TRA RESID'!$P:$P,'TRA RESID'!$I:$I,G1326,'TRA RESID'!$J:$J,D1326,'TRA RESID'!$H:$H,E1326)/(SUMIFS('TRA RESID'!$P:$P,'TRA RESID'!$I:$I,G1326,'TRA RESID'!$J:$J,D1326,'TRA RESID'!$H:$H,E1326)+SUMIFS('TRA RESID'!$P:$P,'TRA RESID'!$I:$I,G1325,'TRA RESID'!$J:$J,D1325,'TRA RESID'!$H:$H,E1325))</f>
        <v>#DIV/0!</v>
      </c>
      <c r="K1325" s="18">
        <v>0</v>
      </c>
      <c r="L1325" s="18">
        <v>5</v>
      </c>
      <c r="N1325" s="21">
        <v>1</v>
      </c>
    </row>
    <row r="1326" spans="1:14" x14ac:dyDescent="0.25">
      <c r="C1326" s="15" t="str">
        <f t="shared" ref="C1326:C1334" si="132">IF(C1325="*",C1325,"")</f>
        <v>*</v>
      </c>
      <c r="D1326" s="17" t="s">
        <v>487</v>
      </c>
      <c r="E1326" s="17" t="str">
        <f>E1325</f>
        <v>TRAETH</v>
      </c>
      <c r="F1326" s="17" t="str">
        <f>F1325</f>
        <v>TRAOTHWATDMD</v>
      </c>
      <c r="G1326" s="17" t="str">
        <f>G1325</f>
        <v>TRAOTHWATDMD</v>
      </c>
      <c r="H1326" s="18">
        <v>2019</v>
      </c>
      <c r="I1326" s="18"/>
      <c r="J1326" s="20" t="e">
        <f>1-(J1325*-1)</f>
        <v>#DIV/0!</v>
      </c>
      <c r="K1326" s="18"/>
      <c r="L1326" s="18"/>
      <c r="N1326" s="21"/>
    </row>
    <row r="1327" spans="1:14" x14ac:dyDescent="0.25">
      <c r="C1327" s="15" t="str">
        <f t="shared" si="132"/>
        <v>*</v>
      </c>
      <c r="D1327" s="17" t="str">
        <f>D1325</f>
        <v>*ICEV*</v>
      </c>
      <c r="E1327" s="17" t="str">
        <f>E1325</f>
        <v>TRAETH</v>
      </c>
      <c r="F1327" s="17" t="str">
        <f>F1325</f>
        <v>TRAOTHWATDMD</v>
      </c>
      <c r="G1327" s="17" t="str">
        <f>G1325</f>
        <v>TRAOTHWATDMD</v>
      </c>
      <c r="H1327" s="18">
        <v>2025</v>
      </c>
      <c r="I1327" s="18"/>
      <c r="J1327" s="29" t="e">
        <f>IF(J1325=0,-N1327+1,J1325*N1327)</f>
        <v>#DIV/0!</v>
      </c>
      <c r="K1327" s="18"/>
      <c r="L1327" s="18"/>
      <c r="N1327" s="21">
        <v>1.1000000000000001</v>
      </c>
    </row>
    <row r="1328" spans="1:14" x14ac:dyDescent="0.25">
      <c r="C1328" s="15" t="str">
        <f t="shared" si="132"/>
        <v>*</v>
      </c>
      <c r="D1328" s="17" t="s">
        <v>487</v>
      </c>
      <c r="E1328" s="17" t="str">
        <f>E1327</f>
        <v>TRAETH</v>
      </c>
      <c r="F1328" s="17" t="str">
        <f>F1327</f>
        <v>TRAOTHWATDMD</v>
      </c>
      <c r="G1328" s="17" t="str">
        <f>G1327</f>
        <v>TRAOTHWATDMD</v>
      </c>
      <c r="H1328" s="18">
        <v>2025</v>
      </c>
      <c r="I1328" s="18"/>
      <c r="J1328" s="20" t="e">
        <f>1-(J1327*-1)</f>
        <v>#DIV/0!</v>
      </c>
      <c r="K1328" s="18"/>
      <c r="L1328" s="18"/>
      <c r="N1328" s="21"/>
    </row>
    <row r="1329" spans="1:14" x14ac:dyDescent="0.25">
      <c r="C1329" s="15" t="str">
        <f t="shared" si="132"/>
        <v>*</v>
      </c>
      <c r="D1329" s="17" t="str">
        <f>D1327</f>
        <v>*ICEV*</v>
      </c>
      <c r="E1329" s="17" t="str">
        <f>E1327</f>
        <v>TRAETH</v>
      </c>
      <c r="F1329" s="17" t="str">
        <f>F1327</f>
        <v>TRAOTHWATDMD</v>
      </c>
      <c r="G1329" s="17" t="str">
        <f>G1327</f>
        <v>TRAOTHWATDMD</v>
      </c>
      <c r="H1329" s="18">
        <v>2030</v>
      </c>
      <c r="I1329" s="18"/>
      <c r="J1329" s="29" t="e">
        <f>IF(J1325=0,-N1329+1,J1325*N1329)</f>
        <v>#DIV/0!</v>
      </c>
      <c r="K1329" s="18"/>
      <c r="L1329" s="18"/>
      <c r="N1329" s="21">
        <v>1.2</v>
      </c>
    </row>
    <row r="1330" spans="1:14" x14ac:dyDescent="0.25">
      <c r="C1330" s="15" t="str">
        <f t="shared" si="132"/>
        <v>*</v>
      </c>
      <c r="D1330" s="17" t="s">
        <v>487</v>
      </c>
      <c r="E1330" s="17" t="str">
        <f>E1329</f>
        <v>TRAETH</v>
      </c>
      <c r="F1330" s="17" t="str">
        <f>F1329</f>
        <v>TRAOTHWATDMD</v>
      </c>
      <c r="G1330" s="17" t="str">
        <f>G1329</f>
        <v>TRAOTHWATDMD</v>
      </c>
      <c r="H1330" s="18">
        <v>2030</v>
      </c>
      <c r="I1330" s="18"/>
      <c r="J1330" s="20" t="e">
        <f>1-(J1329*-1)</f>
        <v>#DIV/0!</v>
      </c>
      <c r="K1330" s="18"/>
      <c r="L1330" s="18"/>
      <c r="N1330" s="21"/>
    </row>
    <row r="1331" spans="1:14" x14ac:dyDescent="0.25">
      <c r="C1331" s="15" t="str">
        <f t="shared" si="132"/>
        <v>*</v>
      </c>
      <c r="D1331" s="17" t="str">
        <f>D1329</f>
        <v>*ICEV*</v>
      </c>
      <c r="E1331" s="17" t="str">
        <f>E1329</f>
        <v>TRAETH</v>
      </c>
      <c r="F1331" s="17" t="str">
        <f>F1329</f>
        <v>TRAOTHWATDMD</v>
      </c>
      <c r="G1331" s="17" t="str">
        <f>G1329</f>
        <v>TRAOTHWATDMD</v>
      </c>
      <c r="H1331" s="18">
        <v>2040</v>
      </c>
      <c r="I1331" s="18"/>
      <c r="J1331" s="29" t="e">
        <f>IF(J1325=0,-N1331+1,J1325*N1331)</f>
        <v>#DIV/0!</v>
      </c>
      <c r="K1331" s="18"/>
      <c r="L1331" s="18"/>
      <c r="N1331" s="21">
        <v>1.3</v>
      </c>
    </row>
    <row r="1332" spans="1:14" x14ac:dyDescent="0.25">
      <c r="C1332" s="15" t="str">
        <f t="shared" si="132"/>
        <v>*</v>
      </c>
      <c r="D1332" s="17" t="s">
        <v>487</v>
      </c>
      <c r="E1332" s="17" t="str">
        <f>E1331</f>
        <v>TRAETH</v>
      </c>
      <c r="F1332" s="17" t="str">
        <f>F1331</f>
        <v>TRAOTHWATDMD</v>
      </c>
      <c r="G1332" s="17" t="str">
        <f>G1331</f>
        <v>TRAOTHWATDMD</v>
      </c>
      <c r="H1332" s="18">
        <v>2040</v>
      </c>
      <c r="I1332" s="18"/>
      <c r="J1332" s="20" t="e">
        <f>1-(J1331*-1)</f>
        <v>#DIV/0!</v>
      </c>
      <c r="K1332" s="18"/>
      <c r="L1332" s="18"/>
      <c r="N1332" s="21"/>
    </row>
    <row r="1333" spans="1:14" x14ac:dyDescent="0.25">
      <c r="C1333" s="15" t="str">
        <f t="shared" si="132"/>
        <v>*</v>
      </c>
      <c r="D1333" s="17" t="str">
        <f>D1331</f>
        <v>*ICEV*</v>
      </c>
      <c r="E1333" s="17" t="str">
        <f>E1331</f>
        <v>TRAETH</v>
      </c>
      <c r="F1333" s="17" t="str">
        <f>F1331</f>
        <v>TRAOTHWATDMD</v>
      </c>
      <c r="G1333" s="17" t="str">
        <f>G1331</f>
        <v>TRAOTHWATDMD</v>
      </c>
      <c r="H1333" s="18">
        <v>2050</v>
      </c>
      <c r="I1333" s="18"/>
      <c r="J1333" s="29" t="e">
        <f>IF(J1325=0,-N1333+1,J1325*N1333)</f>
        <v>#DIV/0!</v>
      </c>
      <c r="K1333" s="18"/>
      <c r="L1333" s="18"/>
      <c r="N1333" s="21">
        <v>1.4</v>
      </c>
    </row>
    <row r="1334" spans="1:14" x14ac:dyDescent="0.25">
      <c r="C1334" s="23" t="str">
        <f t="shared" si="132"/>
        <v>*</v>
      </c>
      <c r="D1334" s="25" t="s">
        <v>487</v>
      </c>
      <c r="E1334" s="25" t="str">
        <f>E1333</f>
        <v>TRAETH</v>
      </c>
      <c r="F1334" s="25" t="str">
        <f>F1333</f>
        <v>TRAOTHWATDMD</v>
      </c>
      <c r="G1334" s="25" t="str">
        <f>G1333</f>
        <v>TRAOTHWATDMD</v>
      </c>
      <c r="H1334" s="26">
        <v>2050</v>
      </c>
      <c r="I1334" s="26"/>
      <c r="J1334" s="27" t="e">
        <f>1-(J1333*-1)</f>
        <v>#DIV/0!</v>
      </c>
      <c r="K1334" s="26"/>
      <c r="L1334" s="26"/>
      <c r="N1334" s="28"/>
    </row>
    <row r="1335" spans="1:14" x14ac:dyDescent="0.25">
      <c r="A1335">
        <f>A1325+1</f>
        <v>134</v>
      </c>
      <c r="C1335" s="15" t="str">
        <f>IF(E1335="","",IF(SUMIFS('TRA TECH'!M:M,'TRA TECH'!J:J,D1336,'TRA TECH'!I:I,F1336,'TRA TECH'!H:H,E1336)=0,"*",IF(_xlfn.XLOOKUP($A1335,Selected_constraint!$A:$A,Selected_constraint!$D:$D)=1,"*",IF(SUMIFS('TRA TECH'!$M:$M,'TRA TECH'!$H:$H,E1335,'TRA TECH'!$I:$I,F1335)=0,"*",IF(SUMIFS('TRA RESID'!$P:$P,'TRA RESID'!$I:$I,G1335,'TRA RESID'!$J:$J,D1335,'TRA RESID'!$H:$H,E1335)=0,"*","UC_"&amp;SUBSTITUTE(D1335,"*","")&amp;"_"&amp;SUBSTITUTE(D1335,"*","")&amp;"_"&amp;RIGHT(E1335,3)&amp;"_"&amp;F1335)))))</f>
        <v>*</v>
      </c>
      <c r="D1335" s="17" t="s">
        <v>485</v>
      </c>
      <c r="E1335" s="17" t="str">
        <f>_xlfn.XLOOKUP($A1335,Selected_constraint!$A:$A,Selected_constraint!$B:$B)</f>
        <v>TRADSL</v>
      </c>
      <c r="F1335" s="17" t="str">
        <f>_xlfn.XLOOKUP($A1335,Selected_constraint!$A:$A,Selected_constraint!$C:$C)</f>
        <v>TRAOTHWATDMD</v>
      </c>
      <c r="G1335" s="17" t="str">
        <f>F1335</f>
        <v>TRAOTHWATDMD</v>
      </c>
      <c r="H1335" s="18">
        <v>2019</v>
      </c>
      <c r="I1335" s="18" t="s">
        <v>484</v>
      </c>
      <c r="J1335" s="29">
        <f>-SUMIFS('TRA RESID'!$P:$P,'TRA RESID'!$I:$I,G1336,'TRA RESID'!$J:$J,D1336,'TRA RESID'!$H:$H,E1336)/(SUMIFS('TRA RESID'!$P:$P,'TRA RESID'!$I:$I,G1336,'TRA RESID'!$J:$J,D1336,'TRA RESID'!$H:$H,E1336)+SUMIFS('TRA RESID'!$P:$P,'TRA RESID'!$I:$I,G1335,'TRA RESID'!$J:$J,D1335,'TRA RESID'!$H:$H,E1335))</f>
        <v>0</v>
      </c>
      <c r="K1335" s="18">
        <v>0</v>
      </c>
      <c r="L1335" s="18">
        <v>5</v>
      </c>
      <c r="N1335" s="21">
        <v>1</v>
      </c>
    </row>
    <row r="1336" spans="1:14" x14ac:dyDescent="0.25">
      <c r="C1336" s="15" t="str">
        <f t="shared" ref="C1336:C1344" si="133">IF(C1335="*",C1335,"")</f>
        <v>*</v>
      </c>
      <c r="D1336" s="17" t="s">
        <v>487</v>
      </c>
      <c r="E1336" s="17" t="str">
        <f>E1335</f>
        <v>TRADSL</v>
      </c>
      <c r="F1336" s="17" t="str">
        <f>F1335</f>
        <v>TRAOTHWATDMD</v>
      </c>
      <c r="G1336" s="17" t="str">
        <f>G1335</f>
        <v>TRAOTHWATDMD</v>
      </c>
      <c r="H1336" s="18">
        <v>2019</v>
      </c>
      <c r="I1336" s="18"/>
      <c r="J1336" s="20">
        <f>1-(J1335*-1)</f>
        <v>1</v>
      </c>
      <c r="K1336" s="18"/>
      <c r="L1336" s="18"/>
      <c r="N1336" s="21"/>
    </row>
    <row r="1337" spans="1:14" x14ac:dyDescent="0.25">
      <c r="C1337" s="15" t="str">
        <f t="shared" si="133"/>
        <v>*</v>
      </c>
      <c r="D1337" s="17" t="str">
        <f>D1335</f>
        <v>*ICEV*</v>
      </c>
      <c r="E1337" s="17" t="str">
        <f>E1335</f>
        <v>TRADSL</v>
      </c>
      <c r="F1337" s="17" t="str">
        <f>F1335</f>
        <v>TRAOTHWATDMD</v>
      </c>
      <c r="G1337" s="17" t="str">
        <f>G1335</f>
        <v>TRAOTHWATDMD</v>
      </c>
      <c r="H1337" s="18">
        <v>2025</v>
      </c>
      <c r="I1337" s="18"/>
      <c r="J1337" s="29">
        <f>IF(J1335=0,-N1337+1,J1335*N1337)</f>
        <v>-0.10000000000000009</v>
      </c>
      <c r="K1337" s="18"/>
      <c r="L1337" s="18"/>
      <c r="N1337" s="21">
        <v>1.1000000000000001</v>
      </c>
    </row>
    <row r="1338" spans="1:14" x14ac:dyDescent="0.25">
      <c r="C1338" s="15" t="str">
        <f t="shared" si="133"/>
        <v>*</v>
      </c>
      <c r="D1338" s="17" t="s">
        <v>487</v>
      </c>
      <c r="E1338" s="17" t="str">
        <f>E1337</f>
        <v>TRADSL</v>
      </c>
      <c r="F1338" s="17" t="str">
        <f>F1337</f>
        <v>TRAOTHWATDMD</v>
      </c>
      <c r="G1338" s="17" t="str">
        <f>G1337</f>
        <v>TRAOTHWATDMD</v>
      </c>
      <c r="H1338" s="18">
        <v>2025</v>
      </c>
      <c r="I1338" s="18"/>
      <c r="J1338" s="20">
        <f>1-(J1337*-1)</f>
        <v>0.89999999999999991</v>
      </c>
      <c r="K1338" s="18"/>
      <c r="L1338" s="18"/>
      <c r="N1338" s="21"/>
    </row>
    <row r="1339" spans="1:14" x14ac:dyDescent="0.25">
      <c r="C1339" s="15" t="str">
        <f t="shared" si="133"/>
        <v>*</v>
      </c>
      <c r="D1339" s="17" t="str">
        <f>D1337</f>
        <v>*ICEV*</v>
      </c>
      <c r="E1339" s="17" t="str">
        <f>E1337</f>
        <v>TRADSL</v>
      </c>
      <c r="F1339" s="17" t="str">
        <f>F1337</f>
        <v>TRAOTHWATDMD</v>
      </c>
      <c r="G1339" s="17" t="str">
        <f>G1337</f>
        <v>TRAOTHWATDMD</v>
      </c>
      <c r="H1339" s="18">
        <v>2030</v>
      </c>
      <c r="I1339" s="18"/>
      <c r="J1339" s="29">
        <f>IF(J1335=0,-N1339+1,J1335*N1339)</f>
        <v>-0.19999999999999996</v>
      </c>
      <c r="K1339" s="18"/>
      <c r="L1339" s="18"/>
      <c r="N1339" s="21">
        <v>1.2</v>
      </c>
    </row>
    <row r="1340" spans="1:14" x14ac:dyDescent="0.25">
      <c r="C1340" s="15" t="str">
        <f t="shared" si="133"/>
        <v>*</v>
      </c>
      <c r="D1340" s="17" t="s">
        <v>487</v>
      </c>
      <c r="E1340" s="17" t="str">
        <f>E1339</f>
        <v>TRADSL</v>
      </c>
      <c r="F1340" s="17" t="str">
        <f>F1339</f>
        <v>TRAOTHWATDMD</v>
      </c>
      <c r="G1340" s="17" t="str">
        <f>G1339</f>
        <v>TRAOTHWATDMD</v>
      </c>
      <c r="H1340" s="18">
        <v>2030</v>
      </c>
      <c r="I1340" s="18"/>
      <c r="J1340" s="20">
        <f>1-(J1339*-1)</f>
        <v>0.8</v>
      </c>
      <c r="K1340" s="18"/>
      <c r="L1340" s="18"/>
      <c r="N1340" s="21"/>
    </row>
    <row r="1341" spans="1:14" x14ac:dyDescent="0.25">
      <c r="C1341" s="15" t="str">
        <f t="shared" si="133"/>
        <v>*</v>
      </c>
      <c r="D1341" s="17" t="str">
        <f>D1339</f>
        <v>*ICEV*</v>
      </c>
      <c r="E1341" s="17" t="str">
        <f>E1339</f>
        <v>TRADSL</v>
      </c>
      <c r="F1341" s="17" t="str">
        <f>F1339</f>
        <v>TRAOTHWATDMD</v>
      </c>
      <c r="G1341" s="17" t="str">
        <f>G1339</f>
        <v>TRAOTHWATDMD</v>
      </c>
      <c r="H1341" s="18">
        <v>2040</v>
      </c>
      <c r="I1341" s="18"/>
      <c r="J1341" s="29">
        <f>IF(J1335=0,-N1341+1,J1335*N1341)</f>
        <v>-0.30000000000000004</v>
      </c>
      <c r="K1341" s="18"/>
      <c r="L1341" s="18"/>
      <c r="N1341" s="21">
        <v>1.3</v>
      </c>
    </row>
    <row r="1342" spans="1:14" x14ac:dyDescent="0.25">
      <c r="C1342" s="15" t="str">
        <f t="shared" si="133"/>
        <v>*</v>
      </c>
      <c r="D1342" s="17" t="s">
        <v>487</v>
      </c>
      <c r="E1342" s="17" t="str">
        <f>E1341</f>
        <v>TRADSL</v>
      </c>
      <c r="F1342" s="17" t="str">
        <f>F1341</f>
        <v>TRAOTHWATDMD</v>
      </c>
      <c r="G1342" s="17" t="str">
        <f>G1341</f>
        <v>TRAOTHWATDMD</v>
      </c>
      <c r="H1342" s="18">
        <v>2040</v>
      </c>
      <c r="I1342" s="18"/>
      <c r="J1342" s="20">
        <f>1-(J1341*-1)</f>
        <v>0.7</v>
      </c>
      <c r="K1342" s="18"/>
      <c r="L1342" s="18"/>
      <c r="N1342" s="21"/>
    </row>
    <row r="1343" spans="1:14" x14ac:dyDescent="0.25">
      <c r="C1343" s="15" t="str">
        <f t="shared" si="133"/>
        <v>*</v>
      </c>
      <c r="D1343" s="17" t="str">
        <f>D1341</f>
        <v>*ICEV*</v>
      </c>
      <c r="E1343" s="17" t="str">
        <f>E1341</f>
        <v>TRADSL</v>
      </c>
      <c r="F1343" s="17" t="str">
        <f>F1341</f>
        <v>TRAOTHWATDMD</v>
      </c>
      <c r="G1343" s="17" t="str">
        <f>G1341</f>
        <v>TRAOTHWATDMD</v>
      </c>
      <c r="H1343" s="18">
        <v>2050</v>
      </c>
      <c r="I1343" s="18"/>
      <c r="J1343" s="29">
        <f>IF(J1335=0,-N1343+1,J1335*N1343)</f>
        <v>-0.39999999999999991</v>
      </c>
      <c r="K1343" s="18"/>
      <c r="L1343" s="18"/>
      <c r="N1343" s="21">
        <v>1.4</v>
      </c>
    </row>
    <row r="1344" spans="1:14" x14ac:dyDescent="0.25">
      <c r="C1344" s="23" t="str">
        <f t="shared" si="133"/>
        <v>*</v>
      </c>
      <c r="D1344" s="25" t="s">
        <v>487</v>
      </c>
      <c r="E1344" s="25" t="str">
        <f>E1343</f>
        <v>TRADSL</v>
      </c>
      <c r="F1344" s="25" t="str">
        <f>F1343</f>
        <v>TRAOTHWATDMD</v>
      </c>
      <c r="G1344" s="25" t="str">
        <f>G1343</f>
        <v>TRAOTHWATDMD</v>
      </c>
      <c r="H1344" s="26">
        <v>2050</v>
      </c>
      <c r="I1344" s="26"/>
      <c r="J1344" s="27">
        <f>1-(J1343*-1)</f>
        <v>0.60000000000000009</v>
      </c>
      <c r="K1344" s="26"/>
      <c r="L1344" s="26"/>
      <c r="N1344" s="28"/>
    </row>
    <row r="1345" spans="1:14" x14ac:dyDescent="0.25">
      <c r="A1345">
        <f>A1335+1</f>
        <v>135</v>
      </c>
      <c r="C1345" s="15" t="str">
        <f>IF(E1345="","",IF(SUMIFS('TRA TECH'!M:M,'TRA TECH'!J:J,D1346,'TRA TECH'!I:I,F1346,'TRA TECH'!H:H,E1346)=0,"*",IF(_xlfn.XLOOKUP($A1345,Selected_constraint!$A:$A,Selected_constraint!$D:$D)=1,"*",IF(SUMIFS('TRA TECH'!$M:$M,'TRA TECH'!$H:$H,E1345,'TRA TECH'!$I:$I,F1345)=0,"*",IF(SUMIFS('TRA RESID'!$P:$P,'TRA RESID'!$I:$I,G1345,'TRA RESID'!$J:$J,D1345,'TRA RESID'!$H:$H,E1345)=0,"*","UC_"&amp;SUBSTITUTE(D1345,"*","")&amp;"_"&amp;SUBSTITUTE(D1345,"*","")&amp;"_"&amp;RIGHT(E1345,3)&amp;"_"&amp;F1345)))))</f>
        <v>*</v>
      </c>
      <c r="D1345" s="17" t="s">
        <v>485</v>
      </c>
      <c r="E1345" s="17" t="str">
        <f>_xlfn.XLOOKUP($A1345,Selected_constraint!$A:$A,Selected_constraint!$B:$B)</f>
        <v>TRARDS</v>
      </c>
      <c r="F1345" s="17" t="str">
        <f>_xlfn.XLOOKUP($A1345,Selected_constraint!$A:$A,Selected_constraint!$C:$C)</f>
        <v>TRAOTHWATDMD</v>
      </c>
      <c r="G1345" s="17" t="str">
        <f>F1345</f>
        <v>TRAOTHWATDMD</v>
      </c>
      <c r="H1345" s="18">
        <v>2019</v>
      </c>
      <c r="I1345" s="18" t="s">
        <v>484</v>
      </c>
      <c r="J1345" s="29" t="e">
        <f>-SUMIFS('TRA RESID'!$P:$P,'TRA RESID'!$I:$I,G1346,'TRA RESID'!$J:$J,D1346,'TRA RESID'!$H:$H,E1346)/(SUMIFS('TRA RESID'!$P:$P,'TRA RESID'!$I:$I,G1346,'TRA RESID'!$J:$J,D1346,'TRA RESID'!$H:$H,E1346)+SUMIFS('TRA RESID'!$P:$P,'TRA RESID'!$I:$I,G1345,'TRA RESID'!$J:$J,D1345,'TRA RESID'!$H:$H,E1345))</f>
        <v>#DIV/0!</v>
      </c>
      <c r="K1345" s="18">
        <v>0</v>
      </c>
      <c r="L1345" s="18">
        <v>5</v>
      </c>
      <c r="N1345" s="21">
        <v>1</v>
      </c>
    </row>
    <row r="1346" spans="1:14" x14ac:dyDescent="0.25">
      <c r="C1346" s="15" t="str">
        <f t="shared" ref="C1346:C1354" si="134">IF(C1345="*",C1345,"")</f>
        <v>*</v>
      </c>
      <c r="D1346" s="17" t="s">
        <v>487</v>
      </c>
      <c r="E1346" s="17" t="str">
        <f>E1345</f>
        <v>TRARDS</v>
      </c>
      <c r="F1346" s="17" t="str">
        <f>F1345</f>
        <v>TRAOTHWATDMD</v>
      </c>
      <c r="G1346" s="17" t="str">
        <f>G1345</f>
        <v>TRAOTHWATDMD</v>
      </c>
      <c r="H1346" s="18">
        <v>2019</v>
      </c>
      <c r="I1346" s="18"/>
      <c r="J1346" s="20" t="e">
        <f>1-(J1345*-1)</f>
        <v>#DIV/0!</v>
      </c>
      <c r="K1346" s="18"/>
      <c r="L1346" s="18"/>
      <c r="N1346" s="21"/>
    </row>
    <row r="1347" spans="1:14" x14ac:dyDescent="0.25">
      <c r="C1347" s="15" t="str">
        <f t="shared" si="134"/>
        <v>*</v>
      </c>
      <c r="D1347" s="17" t="str">
        <f>D1345</f>
        <v>*ICEV*</v>
      </c>
      <c r="E1347" s="17" t="str">
        <f>E1345</f>
        <v>TRARDS</v>
      </c>
      <c r="F1347" s="17" t="str">
        <f>F1345</f>
        <v>TRAOTHWATDMD</v>
      </c>
      <c r="G1347" s="17" t="str">
        <f>G1345</f>
        <v>TRAOTHWATDMD</v>
      </c>
      <c r="H1347" s="18">
        <v>2025</v>
      </c>
      <c r="I1347" s="18"/>
      <c r="J1347" s="29" t="e">
        <f>IF(J1345=0,-N1347+1,J1345*N1347)</f>
        <v>#DIV/0!</v>
      </c>
      <c r="K1347" s="18"/>
      <c r="L1347" s="18"/>
      <c r="N1347" s="21">
        <v>1.1000000000000001</v>
      </c>
    </row>
    <row r="1348" spans="1:14" x14ac:dyDescent="0.25">
      <c r="C1348" s="15" t="str">
        <f t="shared" si="134"/>
        <v>*</v>
      </c>
      <c r="D1348" s="17" t="s">
        <v>487</v>
      </c>
      <c r="E1348" s="17" t="str">
        <f>E1347</f>
        <v>TRARDS</v>
      </c>
      <c r="F1348" s="17" t="str">
        <f>F1347</f>
        <v>TRAOTHWATDMD</v>
      </c>
      <c r="G1348" s="17" t="str">
        <f>G1347</f>
        <v>TRAOTHWATDMD</v>
      </c>
      <c r="H1348" s="18">
        <v>2025</v>
      </c>
      <c r="I1348" s="18"/>
      <c r="J1348" s="20" t="e">
        <f>1-(J1347*-1)</f>
        <v>#DIV/0!</v>
      </c>
      <c r="K1348" s="18"/>
      <c r="L1348" s="18"/>
      <c r="N1348" s="21"/>
    </row>
    <row r="1349" spans="1:14" x14ac:dyDescent="0.25">
      <c r="C1349" s="15" t="str">
        <f t="shared" si="134"/>
        <v>*</v>
      </c>
      <c r="D1349" s="17" t="str">
        <f>D1347</f>
        <v>*ICEV*</v>
      </c>
      <c r="E1349" s="17" t="str">
        <f>E1347</f>
        <v>TRARDS</v>
      </c>
      <c r="F1349" s="17" t="str">
        <f>F1347</f>
        <v>TRAOTHWATDMD</v>
      </c>
      <c r="G1349" s="17" t="str">
        <f>G1347</f>
        <v>TRAOTHWATDMD</v>
      </c>
      <c r="H1349" s="18">
        <v>2030</v>
      </c>
      <c r="I1349" s="18"/>
      <c r="J1349" s="29" t="e">
        <f>IF(J1345=0,-N1349+1,J1345*N1349)</f>
        <v>#DIV/0!</v>
      </c>
      <c r="K1349" s="18"/>
      <c r="L1349" s="18"/>
      <c r="N1349" s="21">
        <v>1.2</v>
      </c>
    </row>
    <row r="1350" spans="1:14" x14ac:dyDescent="0.25">
      <c r="C1350" s="15" t="str">
        <f t="shared" si="134"/>
        <v>*</v>
      </c>
      <c r="D1350" s="17" t="s">
        <v>487</v>
      </c>
      <c r="E1350" s="17" t="str">
        <f>E1349</f>
        <v>TRARDS</v>
      </c>
      <c r="F1350" s="17" t="str">
        <f>F1349</f>
        <v>TRAOTHWATDMD</v>
      </c>
      <c r="G1350" s="17" t="str">
        <f>G1349</f>
        <v>TRAOTHWATDMD</v>
      </c>
      <c r="H1350" s="18">
        <v>2030</v>
      </c>
      <c r="I1350" s="18"/>
      <c r="J1350" s="20" t="e">
        <f>1-(J1349*-1)</f>
        <v>#DIV/0!</v>
      </c>
      <c r="K1350" s="18"/>
      <c r="L1350" s="18"/>
      <c r="N1350" s="21"/>
    </row>
    <row r="1351" spans="1:14" x14ac:dyDescent="0.25">
      <c r="C1351" s="15" t="str">
        <f t="shared" si="134"/>
        <v>*</v>
      </c>
      <c r="D1351" s="17" t="str">
        <f>D1349</f>
        <v>*ICEV*</v>
      </c>
      <c r="E1351" s="17" t="str">
        <f>E1349</f>
        <v>TRARDS</v>
      </c>
      <c r="F1351" s="17" t="str">
        <f>F1349</f>
        <v>TRAOTHWATDMD</v>
      </c>
      <c r="G1351" s="17" t="str">
        <f>G1349</f>
        <v>TRAOTHWATDMD</v>
      </c>
      <c r="H1351" s="18">
        <v>2040</v>
      </c>
      <c r="I1351" s="18"/>
      <c r="J1351" s="29" t="e">
        <f>IF(J1345=0,-N1351+1,J1345*N1351)</f>
        <v>#DIV/0!</v>
      </c>
      <c r="K1351" s="18"/>
      <c r="L1351" s="18"/>
      <c r="N1351" s="21">
        <v>1.3</v>
      </c>
    </row>
    <row r="1352" spans="1:14" x14ac:dyDescent="0.25">
      <c r="C1352" s="15" t="str">
        <f t="shared" si="134"/>
        <v>*</v>
      </c>
      <c r="D1352" s="17" t="s">
        <v>487</v>
      </c>
      <c r="E1352" s="17" t="str">
        <f>E1351</f>
        <v>TRARDS</v>
      </c>
      <c r="F1352" s="17" t="str">
        <f>F1351</f>
        <v>TRAOTHWATDMD</v>
      </c>
      <c r="G1352" s="17" t="str">
        <f>G1351</f>
        <v>TRAOTHWATDMD</v>
      </c>
      <c r="H1352" s="18">
        <v>2040</v>
      </c>
      <c r="I1352" s="18"/>
      <c r="J1352" s="20" t="e">
        <f>1-(J1351*-1)</f>
        <v>#DIV/0!</v>
      </c>
      <c r="K1352" s="18"/>
      <c r="L1352" s="18"/>
      <c r="N1352" s="21"/>
    </row>
    <row r="1353" spans="1:14" x14ac:dyDescent="0.25">
      <c r="C1353" s="15" t="str">
        <f t="shared" si="134"/>
        <v>*</v>
      </c>
      <c r="D1353" s="17" t="str">
        <f>D1351</f>
        <v>*ICEV*</v>
      </c>
      <c r="E1353" s="17" t="str">
        <f>E1351</f>
        <v>TRARDS</v>
      </c>
      <c r="F1353" s="17" t="str">
        <f>F1351</f>
        <v>TRAOTHWATDMD</v>
      </c>
      <c r="G1353" s="17" t="str">
        <f>G1351</f>
        <v>TRAOTHWATDMD</v>
      </c>
      <c r="H1353" s="18">
        <v>2050</v>
      </c>
      <c r="I1353" s="18"/>
      <c r="J1353" s="29" t="e">
        <f>IF(J1345=0,-N1353+1,J1345*N1353)</f>
        <v>#DIV/0!</v>
      </c>
      <c r="K1353" s="18"/>
      <c r="L1353" s="18"/>
      <c r="N1353" s="21">
        <v>1.4</v>
      </c>
    </row>
    <row r="1354" spans="1:14" x14ac:dyDescent="0.25">
      <c r="C1354" s="23" t="str">
        <f t="shared" si="134"/>
        <v>*</v>
      </c>
      <c r="D1354" s="25" t="s">
        <v>487</v>
      </c>
      <c r="E1354" s="25" t="str">
        <f>E1353</f>
        <v>TRARDS</v>
      </c>
      <c r="F1354" s="25" t="str">
        <f>F1353</f>
        <v>TRAOTHWATDMD</v>
      </c>
      <c r="G1354" s="25" t="str">
        <f>G1353</f>
        <v>TRAOTHWATDMD</v>
      </c>
      <c r="H1354" s="26">
        <v>2050</v>
      </c>
      <c r="I1354" s="26"/>
      <c r="J1354" s="27" t="e">
        <f>1-(J1353*-1)</f>
        <v>#DIV/0!</v>
      </c>
      <c r="K1354" s="26"/>
      <c r="L1354" s="26"/>
      <c r="N1354" s="28"/>
    </row>
    <row r="1355" spans="1:14" x14ac:dyDescent="0.25">
      <c r="A1355">
        <f>A1345+1</f>
        <v>136</v>
      </c>
      <c r="C1355" s="15" t="str">
        <f>IF(E1355="","",IF(SUMIFS('TRA TECH'!M:M,'TRA TECH'!J:J,D1356,'TRA TECH'!I:I,F1356,'TRA TECH'!H:H,E1356)=0,"*",IF(_xlfn.XLOOKUP($A1355,Selected_constraint!$A:$A,Selected_constraint!$D:$D)=1,"*",IF(SUMIFS('TRA TECH'!$M:$M,'TRA TECH'!$H:$H,E1355,'TRA TECH'!$I:$I,F1355)=0,"*",IF(SUMIFS('TRA RESID'!$P:$P,'TRA RESID'!$I:$I,G1355,'TRA RESID'!$J:$J,D1355,'TRA RESID'!$H:$H,E1355)=0,"*","UC_"&amp;SUBSTITUTE(D1355,"*","")&amp;"_"&amp;SUBSTITUTE(D1355,"*","")&amp;"_"&amp;RIGHT(E1355,3)&amp;"_"&amp;F1355)))))</f>
        <v>*</v>
      </c>
      <c r="D1355" s="17" t="s">
        <v>485</v>
      </c>
      <c r="E1355" s="17" t="str">
        <f>_xlfn.XLOOKUP($A1355,Selected_constraint!$A:$A,Selected_constraint!$B:$B)</f>
        <v>TRABDS</v>
      </c>
      <c r="F1355" s="17" t="str">
        <f>_xlfn.XLOOKUP($A1355,Selected_constraint!$A:$A,Selected_constraint!$C:$C)</f>
        <v>TRAOTHWATDMD</v>
      </c>
      <c r="G1355" s="17" t="str">
        <f>F1355</f>
        <v>TRAOTHWATDMD</v>
      </c>
      <c r="H1355" s="18">
        <v>2019</v>
      </c>
      <c r="I1355" s="18" t="s">
        <v>484</v>
      </c>
      <c r="J1355" s="29" t="e">
        <f>-SUMIFS('TRA RESID'!$P:$P,'TRA RESID'!$I:$I,G1356,'TRA RESID'!$J:$J,D1356,'TRA RESID'!$H:$H,E1356)/(SUMIFS('TRA RESID'!$P:$P,'TRA RESID'!$I:$I,G1356,'TRA RESID'!$J:$J,D1356,'TRA RESID'!$H:$H,E1356)+SUMIFS('TRA RESID'!$P:$P,'TRA RESID'!$I:$I,G1355,'TRA RESID'!$J:$J,D1355,'TRA RESID'!$H:$H,E1355))</f>
        <v>#DIV/0!</v>
      </c>
      <c r="K1355" s="18">
        <v>0</v>
      </c>
      <c r="L1355" s="18">
        <v>5</v>
      </c>
      <c r="N1355" s="21">
        <v>1</v>
      </c>
    </row>
    <row r="1356" spans="1:14" x14ac:dyDescent="0.25">
      <c r="C1356" s="15" t="str">
        <f t="shared" ref="C1356:C1364" si="135">IF(C1355="*",C1355,"")</f>
        <v>*</v>
      </c>
      <c r="D1356" s="17" t="s">
        <v>487</v>
      </c>
      <c r="E1356" s="17" t="str">
        <f>E1355</f>
        <v>TRABDS</v>
      </c>
      <c r="F1356" s="17" t="str">
        <f>F1355</f>
        <v>TRAOTHWATDMD</v>
      </c>
      <c r="G1356" s="17" t="str">
        <f>G1355</f>
        <v>TRAOTHWATDMD</v>
      </c>
      <c r="H1356" s="18">
        <v>2019</v>
      </c>
      <c r="I1356" s="18"/>
      <c r="J1356" s="20" t="e">
        <f>1-(J1355*-1)</f>
        <v>#DIV/0!</v>
      </c>
      <c r="K1356" s="18"/>
      <c r="L1356" s="18"/>
      <c r="N1356" s="21"/>
    </row>
    <row r="1357" spans="1:14" x14ac:dyDescent="0.25">
      <c r="C1357" s="15" t="str">
        <f t="shared" si="135"/>
        <v>*</v>
      </c>
      <c r="D1357" s="17" t="str">
        <f>D1355</f>
        <v>*ICEV*</v>
      </c>
      <c r="E1357" s="17" t="str">
        <f>E1355</f>
        <v>TRABDS</v>
      </c>
      <c r="F1357" s="17" t="str">
        <f>F1355</f>
        <v>TRAOTHWATDMD</v>
      </c>
      <c r="G1357" s="17" t="str">
        <f>G1355</f>
        <v>TRAOTHWATDMD</v>
      </c>
      <c r="H1357" s="18">
        <v>2025</v>
      </c>
      <c r="I1357" s="18"/>
      <c r="J1357" s="29" t="e">
        <f>IF(J1355=0,-N1357+1,J1355*N1357)</f>
        <v>#DIV/0!</v>
      </c>
      <c r="K1357" s="18"/>
      <c r="L1357" s="18"/>
      <c r="N1357" s="21">
        <v>1.1000000000000001</v>
      </c>
    </row>
    <row r="1358" spans="1:14" x14ac:dyDescent="0.25">
      <c r="C1358" s="15" t="str">
        <f t="shared" si="135"/>
        <v>*</v>
      </c>
      <c r="D1358" s="17" t="s">
        <v>487</v>
      </c>
      <c r="E1358" s="17" t="str">
        <f>E1357</f>
        <v>TRABDS</v>
      </c>
      <c r="F1358" s="17" t="str">
        <f>F1357</f>
        <v>TRAOTHWATDMD</v>
      </c>
      <c r="G1358" s="17" t="str">
        <f>G1357</f>
        <v>TRAOTHWATDMD</v>
      </c>
      <c r="H1358" s="18">
        <v>2025</v>
      </c>
      <c r="I1358" s="18"/>
      <c r="J1358" s="20" t="e">
        <f>1-(J1357*-1)</f>
        <v>#DIV/0!</v>
      </c>
      <c r="K1358" s="18"/>
      <c r="L1358" s="18"/>
      <c r="N1358" s="21"/>
    </row>
    <row r="1359" spans="1:14" x14ac:dyDescent="0.25">
      <c r="C1359" s="15" t="str">
        <f t="shared" si="135"/>
        <v>*</v>
      </c>
      <c r="D1359" s="17" t="str">
        <f>D1357</f>
        <v>*ICEV*</v>
      </c>
      <c r="E1359" s="17" t="str">
        <f>E1357</f>
        <v>TRABDS</v>
      </c>
      <c r="F1359" s="17" t="str">
        <f>F1357</f>
        <v>TRAOTHWATDMD</v>
      </c>
      <c r="G1359" s="17" t="str">
        <f>G1357</f>
        <v>TRAOTHWATDMD</v>
      </c>
      <c r="H1359" s="18">
        <v>2030</v>
      </c>
      <c r="I1359" s="18"/>
      <c r="J1359" s="29" t="e">
        <f>IF(J1355=0,-N1359+1,J1355*N1359)</f>
        <v>#DIV/0!</v>
      </c>
      <c r="K1359" s="18"/>
      <c r="L1359" s="18"/>
      <c r="N1359" s="21">
        <v>1.2</v>
      </c>
    </row>
    <row r="1360" spans="1:14" x14ac:dyDescent="0.25">
      <c r="C1360" s="15" t="str">
        <f t="shared" si="135"/>
        <v>*</v>
      </c>
      <c r="D1360" s="17" t="s">
        <v>487</v>
      </c>
      <c r="E1360" s="17" t="str">
        <f>E1359</f>
        <v>TRABDS</v>
      </c>
      <c r="F1360" s="17" t="str">
        <f>F1359</f>
        <v>TRAOTHWATDMD</v>
      </c>
      <c r="G1360" s="17" t="str">
        <f>G1359</f>
        <v>TRAOTHWATDMD</v>
      </c>
      <c r="H1360" s="18">
        <v>2030</v>
      </c>
      <c r="I1360" s="18"/>
      <c r="J1360" s="20" t="e">
        <f>1-(J1359*-1)</f>
        <v>#DIV/0!</v>
      </c>
      <c r="K1360" s="18"/>
      <c r="L1360" s="18"/>
      <c r="N1360" s="21"/>
    </row>
    <row r="1361" spans="1:14" x14ac:dyDescent="0.25">
      <c r="C1361" s="15" t="str">
        <f t="shared" si="135"/>
        <v>*</v>
      </c>
      <c r="D1361" s="17" t="str">
        <f>D1359</f>
        <v>*ICEV*</v>
      </c>
      <c r="E1361" s="17" t="str">
        <f>E1359</f>
        <v>TRABDS</v>
      </c>
      <c r="F1361" s="17" t="str">
        <f>F1359</f>
        <v>TRAOTHWATDMD</v>
      </c>
      <c r="G1361" s="17" t="str">
        <f>G1359</f>
        <v>TRAOTHWATDMD</v>
      </c>
      <c r="H1361" s="18">
        <v>2040</v>
      </c>
      <c r="I1361" s="18"/>
      <c r="J1361" s="29" t="e">
        <f>IF(J1355=0,-N1361+1,J1355*N1361)</f>
        <v>#DIV/0!</v>
      </c>
      <c r="K1361" s="18"/>
      <c r="L1361" s="18"/>
      <c r="N1361" s="21">
        <v>1.3</v>
      </c>
    </row>
    <row r="1362" spans="1:14" x14ac:dyDescent="0.25">
      <c r="C1362" s="15" t="str">
        <f t="shared" si="135"/>
        <v>*</v>
      </c>
      <c r="D1362" s="17" t="s">
        <v>487</v>
      </c>
      <c r="E1362" s="17" t="str">
        <f>E1361</f>
        <v>TRABDS</v>
      </c>
      <c r="F1362" s="17" t="str">
        <f>F1361</f>
        <v>TRAOTHWATDMD</v>
      </c>
      <c r="G1362" s="17" t="str">
        <f>G1361</f>
        <v>TRAOTHWATDMD</v>
      </c>
      <c r="H1362" s="18">
        <v>2040</v>
      </c>
      <c r="I1362" s="18"/>
      <c r="J1362" s="20" t="e">
        <f>1-(J1361*-1)</f>
        <v>#DIV/0!</v>
      </c>
      <c r="K1362" s="18"/>
      <c r="L1362" s="18"/>
      <c r="N1362" s="21"/>
    </row>
    <row r="1363" spans="1:14" x14ac:dyDescent="0.25">
      <c r="C1363" s="15" t="str">
        <f t="shared" si="135"/>
        <v>*</v>
      </c>
      <c r="D1363" s="17" t="str">
        <f>D1361</f>
        <v>*ICEV*</v>
      </c>
      <c r="E1363" s="17" t="str">
        <f>E1361</f>
        <v>TRABDS</v>
      </c>
      <c r="F1363" s="17" t="str">
        <f>F1361</f>
        <v>TRAOTHWATDMD</v>
      </c>
      <c r="G1363" s="17" t="str">
        <f>G1361</f>
        <v>TRAOTHWATDMD</v>
      </c>
      <c r="H1363" s="18">
        <v>2050</v>
      </c>
      <c r="I1363" s="18"/>
      <c r="J1363" s="29" t="e">
        <f>IF(J1355=0,-N1363+1,J1355*N1363)</f>
        <v>#DIV/0!</v>
      </c>
      <c r="K1363" s="18"/>
      <c r="L1363" s="18"/>
      <c r="N1363" s="21">
        <v>1.4</v>
      </c>
    </row>
    <row r="1364" spans="1:14" x14ac:dyDescent="0.25">
      <c r="C1364" s="23" t="str">
        <f t="shared" si="135"/>
        <v>*</v>
      </c>
      <c r="D1364" s="25" t="s">
        <v>487</v>
      </c>
      <c r="E1364" s="25" t="str">
        <f>E1363</f>
        <v>TRABDS</v>
      </c>
      <c r="F1364" s="25" t="str">
        <f>F1363</f>
        <v>TRAOTHWATDMD</v>
      </c>
      <c r="G1364" s="25" t="str">
        <f>G1363</f>
        <v>TRAOTHWATDMD</v>
      </c>
      <c r="H1364" s="26">
        <v>2050</v>
      </c>
      <c r="I1364" s="26"/>
      <c r="J1364" s="27" t="e">
        <f>1-(J1363*-1)</f>
        <v>#DIV/0!</v>
      </c>
      <c r="K1364" s="26"/>
      <c r="L1364" s="26"/>
      <c r="N1364" s="28"/>
    </row>
    <row r="1365" spans="1:14" x14ac:dyDescent="0.25">
      <c r="A1365">
        <f>A1355+1</f>
        <v>137</v>
      </c>
      <c r="C1365" s="15" t="str">
        <f>IF(E1365="","",IF(SUMIFS('TRA TECH'!M:M,'TRA TECH'!J:J,D1366,'TRA TECH'!I:I,F1366,'TRA TECH'!H:H,E1366)=0,"*",IF(_xlfn.XLOOKUP($A1365,Selected_constraint!$A:$A,Selected_constraint!$D:$D)=1,"*",IF(SUMIFS('TRA TECH'!$M:$M,'TRA TECH'!$H:$H,E1365,'TRA TECH'!$I:$I,F1365)=0,"*",IF(SUMIFS('TRA RESID'!$P:$P,'TRA RESID'!$I:$I,G1365,'TRA RESID'!$J:$J,D1365,'TRA RESID'!$H:$H,E1365)=0,"*","UC_"&amp;SUBSTITUTE(D1365,"*","")&amp;"_"&amp;SUBSTITUTE(D1365,"*","")&amp;"_"&amp;RIGHT(E1365,3)&amp;"_"&amp;F1365)))))</f>
        <v>*</v>
      </c>
      <c r="D1365" s="17" t="s">
        <v>485</v>
      </c>
      <c r="E1365" s="17" t="str">
        <f>_xlfn.XLOOKUP($A1365,Selected_constraint!$A:$A,Selected_constraint!$B:$B)</f>
        <v>TRAFOI</v>
      </c>
      <c r="F1365" s="17" t="str">
        <f>_xlfn.XLOOKUP($A1365,Selected_constraint!$A:$A,Selected_constraint!$C:$C)</f>
        <v>TRAOTHWATDMD</v>
      </c>
      <c r="G1365" s="17" t="str">
        <f>F1365</f>
        <v>TRAOTHWATDMD</v>
      </c>
      <c r="H1365" s="18">
        <v>2019</v>
      </c>
      <c r="I1365" s="18" t="s">
        <v>484</v>
      </c>
      <c r="J1365" s="29" t="e">
        <f>-SUMIFS('TRA RESID'!$P:$P,'TRA RESID'!$I:$I,G1366,'TRA RESID'!$J:$J,D1366,'TRA RESID'!$H:$H,E1366)/(SUMIFS('TRA RESID'!$P:$P,'TRA RESID'!$I:$I,G1366,'TRA RESID'!$J:$J,D1366,'TRA RESID'!$H:$H,E1366)+SUMIFS('TRA RESID'!$P:$P,'TRA RESID'!$I:$I,G1365,'TRA RESID'!$J:$J,D1365,'TRA RESID'!$H:$H,E1365))</f>
        <v>#DIV/0!</v>
      </c>
      <c r="K1365" s="18">
        <v>0</v>
      </c>
      <c r="L1365" s="18">
        <v>5</v>
      </c>
      <c r="N1365" s="21">
        <v>1</v>
      </c>
    </row>
    <row r="1366" spans="1:14" x14ac:dyDescent="0.25">
      <c r="C1366" s="15" t="str">
        <f t="shared" ref="C1366:C1374" si="136">IF(C1365="*",C1365,"")</f>
        <v>*</v>
      </c>
      <c r="D1366" s="17" t="s">
        <v>487</v>
      </c>
      <c r="E1366" s="17" t="str">
        <f>E1365</f>
        <v>TRAFOI</v>
      </c>
      <c r="F1366" s="17" t="str">
        <f>F1365</f>
        <v>TRAOTHWATDMD</v>
      </c>
      <c r="G1366" s="17" t="str">
        <f>G1365</f>
        <v>TRAOTHWATDMD</v>
      </c>
      <c r="H1366" s="18">
        <v>2019</v>
      </c>
      <c r="I1366" s="18"/>
      <c r="J1366" s="20" t="e">
        <f>1-(J1365*-1)</f>
        <v>#DIV/0!</v>
      </c>
      <c r="K1366" s="18"/>
      <c r="L1366" s="18"/>
      <c r="N1366" s="21"/>
    </row>
    <row r="1367" spans="1:14" x14ac:dyDescent="0.25">
      <c r="C1367" s="15" t="str">
        <f t="shared" si="136"/>
        <v>*</v>
      </c>
      <c r="D1367" s="17" t="str">
        <f>D1365</f>
        <v>*ICEV*</v>
      </c>
      <c r="E1367" s="17" t="str">
        <f>E1365</f>
        <v>TRAFOI</v>
      </c>
      <c r="F1367" s="17" t="str">
        <f>F1365</f>
        <v>TRAOTHWATDMD</v>
      </c>
      <c r="G1367" s="17" t="str">
        <f>G1365</f>
        <v>TRAOTHWATDMD</v>
      </c>
      <c r="H1367" s="18">
        <v>2025</v>
      </c>
      <c r="I1367" s="18"/>
      <c r="J1367" s="29" t="e">
        <f>IF(J1365=0,-N1367+1,J1365*N1367)</f>
        <v>#DIV/0!</v>
      </c>
      <c r="K1367" s="18"/>
      <c r="L1367" s="18"/>
      <c r="N1367" s="21">
        <v>1.1000000000000001</v>
      </c>
    </row>
    <row r="1368" spans="1:14" x14ac:dyDescent="0.25">
      <c r="C1368" s="15" t="str">
        <f t="shared" si="136"/>
        <v>*</v>
      </c>
      <c r="D1368" s="17" t="s">
        <v>487</v>
      </c>
      <c r="E1368" s="17" t="str">
        <f>E1367</f>
        <v>TRAFOI</v>
      </c>
      <c r="F1368" s="17" t="str">
        <f>F1367</f>
        <v>TRAOTHWATDMD</v>
      </c>
      <c r="G1368" s="17" t="str">
        <f>G1367</f>
        <v>TRAOTHWATDMD</v>
      </c>
      <c r="H1368" s="18">
        <v>2025</v>
      </c>
      <c r="I1368" s="18"/>
      <c r="J1368" s="20" t="e">
        <f>1-(J1367*-1)</f>
        <v>#DIV/0!</v>
      </c>
      <c r="K1368" s="18"/>
      <c r="L1368" s="18"/>
      <c r="N1368" s="21"/>
    </row>
    <row r="1369" spans="1:14" x14ac:dyDescent="0.25">
      <c r="C1369" s="15" t="str">
        <f t="shared" si="136"/>
        <v>*</v>
      </c>
      <c r="D1369" s="17" t="str">
        <f>D1367</f>
        <v>*ICEV*</v>
      </c>
      <c r="E1369" s="17" t="str">
        <f>E1367</f>
        <v>TRAFOI</v>
      </c>
      <c r="F1369" s="17" t="str">
        <f>F1367</f>
        <v>TRAOTHWATDMD</v>
      </c>
      <c r="G1369" s="17" t="str">
        <f>G1367</f>
        <v>TRAOTHWATDMD</v>
      </c>
      <c r="H1369" s="18">
        <v>2030</v>
      </c>
      <c r="I1369" s="18"/>
      <c r="J1369" s="29" t="e">
        <f>IF(J1365=0,-N1369+1,J1365*N1369)</f>
        <v>#DIV/0!</v>
      </c>
      <c r="K1369" s="18"/>
      <c r="L1369" s="18"/>
      <c r="N1369" s="21">
        <v>1.2</v>
      </c>
    </row>
    <row r="1370" spans="1:14" x14ac:dyDescent="0.25">
      <c r="C1370" s="15" t="str">
        <f t="shared" si="136"/>
        <v>*</v>
      </c>
      <c r="D1370" s="17" t="s">
        <v>487</v>
      </c>
      <c r="E1370" s="17" t="str">
        <f>E1369</f>
        <v>TRAFOI</v>
      </c>
      <c r="F1370" s="17" t="str">
        <f>F1369</f>
        <v>TRAOTHWATDMD</v>
      </c>
      <c r="G1370" s="17" t="str">
        <f>G1369</f>
        <v>TRAOTHWATDMD</v>
      </c>
      <c r="H1370" s="18">
        <v>2030</v>
      </c>
      <c r="I1370" s="18"/>
      <c r="J1370" s="20" t="e">
        <f>1-(J1369*-1)</f>
        <v>#DIV/0!</v>
      </c>
      <c r="K1370" s="18"/>
      <c r="L1370" s="18"/>
      <c r="N1370" s="21"/>
    </row>
    <row r="1371" spans="1:14" x14ac:dyDescent="0.25">
      <c r="C1371" s="15" t="str">
        <f t="shared" si="136"/>
        <v>*</v>
      </c>
      <c r="D1371" s="17" t="str">
        <f>D1369</f>
        <v>*ICEV*</v>
      </c>
      <c r="E1371" s="17" t="str">
        <f>E1369</f>
        <v>TRAFOI</v>
      </c>
      <c r="F1371" s="17" t="str">
        <f>F1369</f>
        <v>TRAOTHWATDMD</v>
      </c>
      <c r="G1371" s="17" t="str">
        <f>G1369</f>
        <v>TRAOTHWATDMD</v>
      </c>
      <c r="H1371" s="18">
        <v>2040</v>
      </c>
      <c r="I1371" s="18"/>
      <c r="J1371" s="29" t="e">
        <f>IF(J1365=0,-N1371+1,J1365*N1371)</f>
        <v>#DIV/0!</v>
      </c>
      <c r="K1371" s="18"/>
      <c r="L1371" s="18"/>
      <c r="N1371" s="21">
        <v>1.3</v>
      </c>
    </row>
    <row r="1372" spans="1:14" x14ac:dyDescent="0.25">
      <c r="C1372" s="15" t="str">
        <f t="shared" si="136"/>
        <v>*</v>
      </c>
      <c r="D1372" s="17" t="s">
        <v>487</v>
      </c>
      <c r="E1372" s="17" t="str">
        <f>E1371</f>
        <v>TRAFOI</v>
      </c>
      <c r="F1372" s="17" t="str">
        <f>F1371</f>
        <v>TRAOTHWATDMD</v>
      </c>
      <c r="G1372" s="17" t="str">
        <f>G1371</f>
        <v>TRAOTHWATDMD</v>
      </c>
      <c r="H1372" s="18">
        <v>2040</v>
      </c>
      <c r="I1372" s="18"/>
      <c r="J1372" s="20" t="e">
        <f>1-(J1371*-1)</f>
        <v>#DIV/0!</v>
      </c>
      <c r="K1372" s="18"/>
      <c r="L1372" s="18"/>
      <c r="N1372" s="21"/>
    </row>
    <row r="1373" spans="1:14" x14ac:dyDescent="0.25">
      <c r="C1373" s="15" t="str">
        <f t="shared" si="136"/>
        <v>*</v>
      </c>
      <c r="D1373" s="17" t="str">
        <f>D1371</f>
        <v>*ICEV*</v>
      </c>
      <c r="E1373" s="17" t="str">
        <f>E1371</f>
        <v>TRAFOI</v>
      </c>
      <c r="F1373" s="17" t="str">
        <f>F1371</f>
        <v>TRAOTHWATDMD</v>
      </c>
      <c r="G1373" s="17" t="str">
        <f>G1371</f>
        <v>TRAOTHWATDMD</v>
      </c>
      <c r="H1373" s="18">
        <v>2050</v>
      </c>
      <c r="I1373" s="18"/>
      <c r="J1373" s="29" t="e">
        <f>IF(J1365=0,-N1373+1,J1365*N1373)</f>
        <v>#DIV/0!</v>
      </c>
      <c r="K1373" s="18"/>
      <c r="L1373" s="18"/>
      <c r="N1373" s="21">
        <v>1.4</v>
      </c>
    </row>
    <row r="1374" spans="1:14" x14ac:dyDescent="0.25">
      <c r="C1374" s="23" t="str">
        <f t="shared" si="136"/>
        <v>*</v>
      </c>
      <c r="D1374" s="25" t="s">
        <v>487</v>
      </c>
      <c r="E1374" s="25" t="str">
        <f>E1373</f>
        <v>TRAFOI</v>
      </c>
      <c r="F1374" s="25" t="str">
        <f>F1373</f>
        <v>TRAOTHWATDMD</v>
      </c>
      <c r="G1374" s="25" t="str">
        <f>G1373</f>
        <v>TRAOTHWATDMD</v>
      </c>
      <c r="H1374" s="26">
        <v>2050</v>
      </c>
      <c r="I1374" s="26"/>
      <c r="J1374" s="27" t="e">
        <f>1-(J1373*-1)</f>
        <v>#DIV/0!</v>
      </c>
      <c r="K1374" s="26"/>
      <c r="L1374" s="26"/>
      <c r="N1374" s="28"/>
    </row>
    <row r="1375" spans="1:14" x14ac:dyDescent="0.25">
      <c r="A1375">
        <f>A1365+1</f>
        <v>138</v>
      </c>
      <c r="C1375" s="15" t="str">
        <f>IF(E1375="","",IF(SUMIFS('TRA TECH'!M:M,'TRA TECH'!J:J,D1376,'TRA TECH'!I:I,F1376,'TRA TECH'!H:H,E1376)=0,"*",IF(_xlfn.XLOOKUP($A1375,Selected_constraint!$A:$A,Selected_constraint!$D:$D)=1,"*",IF(SUMIFS('TRA TECH'!$M:$M,'TRA TECH'!$H:$H,E1375,'TRA TECH'!$I:$I,F1375)=0,"*",IF(SUMIFS('TRA RESID'!$P:$P,'TRA RESID'!$I:$I,G1375,'TRA RESID'!$J:$J,D1375,'TRA RESID'!$H:$H,E1375)=0,"*","UC_"&amp;SUBSTITUTE(D1375,"*","")&amp;"_"&amp;SUBSTITUTE(D1375,"*","")&amp;"_"&amp;RIGHT(E1375,3)&amp;"_"&amp;F1375)))))</f>
        <v>*</v>
      </c>
      <c r="D1375" s="17" t="s">
        <v>485</v>
      </c>
      <c r="E1375" s="17" t="str">
        <f>_xlfn.XLOOKUP($A1375,Selected_constraint!$A:$A,Selected_constraint!$B:$B)</f>
        <v>TRAAGA</v>
      </c>
      <c r="F1375" s="17" t="str">
        <f>_xlfn.XLOOKUP($A1375,Selected_constraint!$A:$A,Selected_constraint!$C:$C)</f>
        <v>TRAOTHAIRDMD</v>
      </c>
      <c r="G1375" s="17" t="str">
        <f>F1375</f>
        <v>TRAOTHAIRDMD</v>
      </c>
      <c r="H1375" s="18">
        <v>2019</v>
      </c>
      <c r="I1375" s="18" t="s">
        <v>484</v>
      </c>
      <c r="J1375" s="29" t="e">
        <f>-SUMIFS('TRA RESID'!$P:$P,'TRA RESID'!$I:$I,G1376,'TRA RESID'!$J:$J,D1376,'TRA RESID'!$H:$H,E1376)/(SUMIFS('TRA RESID'!$P:$P,'TRA RESID'!$I:$I,G1376,'TRA RESID'!$J:$J,D1376,'TRA RESID'!$H:$H,E1376)+SUMIFS('TRA RESID'!$P:$P,'TRA RESID'!$I:$I,G1375,'TRA RESID'!$J:$J,D1375,'TRA RESID'!$H:$H,E1375))</f>
        <v>#DIV/0!</v>
      </c>
      <c r="K1375" s="18">
        <v>0</v>
      </c>
      <c r="L1375" s="18">
        <v>5</v>
      </c>
      <c r="N1375" s="21">
        <v>1</v>
      </c>
    </row>
    <row r="1376" spans="1:14" x14ac:dyDescent="0.25">
      <c r="C1376" s="15" t="str">
        <f t="shared" ref="C1376:C1384" si="137">IF(C1375="*",C1375,"")</f>
        <v>*</v>
      </c>
      <c r="D1376" s="17" t="s">
        <v>487</v>
      </c>
      <c r="E1376" s="17" t="str">
        <f>E1375</f>
        <v>TRAAGA</v>
      </c>
      <c r="F1376" s="17" t="str">
        <f>F1375</f>
        <v>TRAOTHAIRDMD</v>
      </c>
      <c r="G1376" s="17" t="str">
        <f>G1375</f>
        <v>TRAOTHAIRDMD</v>
      </c>
      <c r="H1376" s="18">
        <v>2019</v>
      </c>
      <c r="I1376" s="18"/>
      <c r="J1376" s="20" t="e">
        <f>1-(J1375*-1)</f>
        <v>#DIV/0!</v>
      </c>
      <c r="K1376" s="18"/>
      <c r="L1376" s="18"/>
      <c r="N1376" s="21"/>
    </row>
    <row r="1377" spans="1:14" x14ac:dyDescent="0.25">
      <c r="C1377" s="15" t="str">
        <f t="shared" si="137"/>
        <v>*</v>
      </c>
      <c r="D1377" s="17" t="str">
        <f>D1375</f>
        <v>*ICEV*</v>
      </c>
      <c r="E1377" s="17" t="str">
        <f>E1375</f>
        <v>TRAAGA</v>
      </c>
      <c r="F1377" s="17" t="str">
        <f>F1375</f>
        <v>TRAOTHAIRDMD</v>
      </c>
      <c r="G1377" s="17" t="str">
        <f>G1375</f>
        <v>TRAOTHAIRDMD</v>
      </c>
      <c r="H1377" s="18">
        <v>2025</v>
      </c>
      <c r="I1377" s="18"/>
      <c r="J1377" s="29" t="e">
        <f>IF(J1375=0,-N1377+1,J1375*N1377)</f>
        <v>#DIV/0!</v>
      </c>
      <c r="K1377" s="18"/>
      <c r="L1377" s="18"/>
      <c r="N1377" s="21">
        <v>1.1000000000000001</v>
      </c>
    </row>
    <row r="1378" spans="1:14" x14ac:dyDescent="0.25">
      <c r="C1378" s="15" t="str">
        <f t="shared" si="137"/>
        <v>*</v>
      </c>
      <c r="D1378" s="17" t="s">
        <v>487</v>
      </c>
      <c r="E1378" s="17" t="str">
        <f>E1377</f>
        <v>TRAAGA</v>
      </c>
      <c r="F1378" s="17" t="str">
        <f>F1377</f>
        <v>TRAOTHAIRDMD</v>
      </c>
      <c r="G1378" s="17" t="str">
        <f>G1377</f>
        <v>TRAOTHAIRDMD</v>
      </c>
      <c r="H1378" s="18">
        <v>2025</v>
      </c>
      <c r="I1378" s="18"/>
      <c r="J1378" s="20" t="e">
        <f>1-(J1377*-1)</f>
        <v>#DIV/0!</v>
      </c>
      <c r="K1378" s="18"/>
      <c r="L1378" s="18"/>
      <c r="N1378" s="21"/>
    </row>
    <row r="1379" spans="1:14" x14ac:dyDescent="0.25">
      <c r="C1379" s="15" t="str">
        <f t="shared" si="137"/>
        <v>*</v>
      </c>
      <c r="D1379" s="17" t="str">
        <f>D1377</f>
        <v>*ICEV*</v>
      </c>
      <c r="E1379" s="17" t="str">
        <f>E1377</f>
        <v>TRAAGA</v>
      </c>
      <c r="F1379" s="17" t="str">
        <f>F1377</f>
        <v>TRAOTHAIRDMD</v>
      </c>
      <c r="G1379" s="17" t="str">
        <f>G1377</f>
        <v>TRAOTHAIRDMD</v>
      </c>
      <c r="H1379" s="18">
        <v>2030</v>
      </c>
      <c r="I1379" s="18"/>
      <c r="J1379" s="29" t="e">
        <f>IF(J1375=0,-N1379+1,J1375*N1379)</f>
        <v>#DIV/0!</v>
      </c>
      <c r="K1379" s="18"/>
      <c r="L1379" s="18"/>
      <c r="N1379" s="21">
        <v>1.2</v>
      </c>
    </row>
    <row r="1380" spans="1:14" x14ac:dyDescent="0.25">
      <c r="C1380" s="15" t="str">
        <f t="shared" si="137"/>
        <v>*</v>
      </c>
      <c r="D1380" s="17" t="s">
        <v>487</v>
      </c>
      <c r="E1380" s="17" t="str">
        <f>E1379</f>
        <v>TRAAGA</v>
      </c>
      <c r="F1380" s="17" t="str">
        <f>F1379</f>
        <v>TRAOTHAIRDMD</v>
      </c>
      <c r="G1380" s="17" t="str">
        <f>G1379</f>
        <v>TRAOTHAIRDMD</v>
      </c>
      <c r="H1380" s="18">
        <v>2030</v>
      </c>
      <c r="I1380" s="18"/>
      <c r="J1380" s="20" t="e">
        <f>1-(J1379*-1)</f>
        <v>#DIV/0!</v>
      </c>
      <c r="K1380" s="18"/>
      <c r="L1380" s="18"/>
      <c r="N1380" s="21"/>
    </row>
    <row r="1381" spans="1:14" x14ac:dyDescent="0.25">
      <c r="C1381" s="15" t="str">
        <f t="shared" si="137"/>
        <v>*</v>
      </c>
      <c r="D1381" s="17" t="str">
        <f>D1379</f>
        <v>*ICEV*</v>
      </c>
      <c r="E1381" s="17" t="str">
        <f>E1379</f>
        <v>TRAAGA</v>
      </c>
      <c r="F1381" s="17" t="str">
        <f>F1379</f>
        <v>TRAOTHAIRDMD</v>
      </c>
      <c r="G1381" s="17" t="str">
        <f>G1379</f>
        <v>TRAOTHAIRDMD</v>
      </c>
      <c r="H1381" s="18">
        <v>2040</v>
      </c>
      <c r="I1381" s="18"/>
      <c r="J1381" s="29" t="e">
        <f>IF(J1375=0,-N1381+1,J1375*N1381)</f>
        <v>#DIV/0!</v>
      </c>
      <c r="K1381" s="18"/>
      <c r="L1381" s="18"/>
      <c r="N1381" s="21">
        <v>1.3</v>
      </c>
    </row>
    <row r="1382" spans="1:14" x14ac:dyDescent="0.25">
      <c r="C1382" s="15" t="str">
        <f t="shared" si="137"/>
        <v>*</v>
      </c>
      <c r="D1382" s="17" t="s">
        <v>487</v>
      </c>
      <c r="E1382" s="17" t="str">
        <f>E1381</f>
        <v>TRAAGA</v>
      </c>
      <c r="F1382" s="17" t="str">
        <f>F1381</f>
        <v>TRAOTHAIRDMD</v>
      </c>
      <c r="G1382" s="17" t="str">
        <f>G1381</f>
        <v>TRAOTHAIRDMD</v>
      </c>
      <c r="H1382" s="18">
        <v>2040</v>
      </c>
      <c r="I1382" s="18"/>
      <c r="J1382" s="20" t="e">
        <f>1-(J1381*-1)</f>
        <v>#DIV/0!</v>
      </c>
      <c r="K1382" s="18"/>
      <c r="L1382" s="18"/>
      <c r="N1382" s="21"/>
    </row>
    <row r="1383" spans="1:14" x14ac:dyDescent="0.25">
      <c r="C1383" s="15" t="str">
        <f t="shared" si="137"/>
        <v>*</v>
      </c>
      <c r="D1383" s="17" t="str">
        <f>D1381</f>
        <v>*ICEV*</v>
      </c>
      <c r="E1383" s="17" t="str">
        <f>E1381</f>
        <v>TRAAGA</v>
      </c>
      <c r="F1383" s="17" t="str">
        <f>F1381</f>
        <v>TRAOTHAIRDMD</v>
      </c>
      <c r="G1383" s="17" t="str">
        <f>G1381</f>
        <v>TRAOTHAIRDMD</v>
      </c>
      <c r="H1383" s="18">
        <v>2050</v>
      </c>
      <c r="I1383" s="18"/>
      <c r="J1383" s="29" t="e">
        <f>IF(J1375=0,-N1383+1,J1375*N1383)</f>
        <v>#DIV/0!</v>
      </c>
      <c r="K1383" s="18"/>
      <c r="L1383" s="18"/>
      <c r="N1383" s="21">
        <v>1.4</v>
      </c>
    </row>
    <row r="1384" spans="1:14" x14ac:dyDescent="0.25">
      <c r="C1384" s="23" t="str">
        <f t="shared" si="137"/>
        <v>*</v>
      </c>
      <c r="D1384" s="25" t="s">
        <v>487</v>
      </c>
      <c r="E1384" s="25" t="str">
        <f>E1383</f>
        <v>TRAAGA</v>
      </c>
      <c r="F1384" s="25" t="str">
        <f>F1383</f>
        <v>TRAOTHAIRDMD</v>
      </c>
      <c r="G1384" s="25" t="str">
        <f>G1383</f>
        <v>TRAOTHAIRDMD</v>
      </c>
      <c r="H1384" s="26">
        <v>2050</v>
      </c>
      <c r="I1384" s="26"/>
      <c r="J1384" s="27" t="e">
        <f>1-(J1383*-1)</f>
        <v>#DIV/0!</v>
      </c>
      <c r="K1384" s="26"/>
      <c r="L1384" s="26"/>
      <c r="N1384" s="28"/>
    </row>
    <row r="1385" spans="1:14" x14ac:dyDescent="0.25">
      <c r="A1385">
        <f>A1375+1</f>
        <v>139</v>
      </c>
      <c r="C1385" s="15" t="str">
        <f>IF(E1385="","",IF(SUMIFS('TRA TECH'!M:M,'TRA TECH'!J:J,D1386,'TRA TECH'!I:I,F1386,'TRA TECH'!H:H,E1386)=0,"*",IF(_xlfn.XLOOKUP($A1385,Selected_constraint!$A:$A,Selected_constraint!$D:$D)=1,"*",IF(SUMIFS('TRA TECH'!$M:$M,'TRA TECH'!$H:$H,E1385,'TRA TECH'!$I:$I,F1385)=0,"*",IF(SUMIFS('TRA RESID'!$P:$P,'TRA RESID'!$I:$I,G1385,'TRA RESID'!$J:$J,D1385,'TRA RESID'!$H:$H,E1385)=0,"*","UC_"&amp;SUBSTITUTE(D1385,"*","")&amp;"_"&amp;SUBSTITUTE(D1385,"*","")&amp;"_"&amp;RIGHT(E1385,3)&amp;"_"&amp;F1385)))))</f>
        <v>*</v>
      </c>
      <c r="D1385" s="17" t="s">
        <v>485</v>
      </c>
      <c r="E1385" s="17" t="str">
        <f>_xlfn.XLOOKUP($A1385,Selected_constraint!$A:$A,Selected_constraint!$B:$B)</f>
        <v>TRAATF</v>
      </c>
      <c r="F1385" s="17" t="str">
        <f>_xlfn.XLOOKUP($A1385,Selected_constraint!$A:$A,Selected_constraint!$C:$C)</f>
        <v>TRAOTHAIRDMD</v>
      </c>
      <c r="G1385" s="17" t="str">
        <f>F1385</f>
        <v>TRAOTHAIRDMD</v>
      </c>
      <c r="H1385" s="18">
        <v>2019</v>
      </c>
      <c r="I1385" s="18" t="s">
        <v>484</v>
      </c>
      <c r="J1385" s="29" t="e">
        <f>-SUMIFS('TRA RESID'!$P:$P,'TRA RESID'!$I:$I,G1386,'TRA RESID'!$J:$J,D1386,'TRA RESID'!$H:$H,E1386)/(SUMIFS('TRA RESID'!$P:$P,'TRA RESID'!$I:$I,G1386,'TRA RESID'!$J:$J,D1386,'TRA RESID'!$H:$H,E1386)+SUMIFS('TRA RESID'!$P:$P,'TRA RESID'!$I:$I,G1385,'TRA RESID'!$J:$J,D1385,'TRA RESID'!$H:$H,E1385))</f>
        <v>#DIV/0!</v>
      </c>
      <c r="K1385" s="18">
        <v>0</v>
      </c>
      <c r="L1385" s="18">
        <v>5</v>
      </c>
      <c r="N1385" s="21">
        <v>1</v>
      </c>
    </row>
    <row r="1386" spans="1:14" x14ac:dyDescent="0.25">
      <c r="C1386" s="15" t="str">
        <f t="shared" ref="C1386:C1394" si="138">IF(C1385="*",C1385,"")</f>
        <v>*</v>
      </c>
      <c r="D1386" s="17" t="s">
        <v>487</v>
      </c>
      <c r="E1386" s="17" t="str">
        <f>E1385</f>
        <v>TRAATF</v>
      </c>
      <c r="F1386" s="17" t="str">
        <f>F1385</f>
        <v>TRAOTHAIRDMD</v>
      </c>
      <c r="G1386" s="17" t="str">
        <f>G1385</f>
        <v>TRAOTHAIRDMD</v>
      </c>
      <c r="H1386" s="18">
        <v>2019</v>
      </c>
      <c r="I1386" s="18"/>
      <c r="J1386" s="20" t="e">
        <f>1-(J1385*-1)</f>
        <v>#DIV/0!</v>
      </c>
      <c r="K1386" s="18"/>
      <c r="L1386" s="18"/>
      <c r="N1386" s="21"/>
    </row>
    <row r="1387" spans="1:14" x14ac:dyDescent="0.25">
      <c r="C1387" s="15" t="str">
        <f t="shared" si="138"/>
        <v>*</v>
      </c>
      <c r="D1387" s="17" t="str">
        <f>D1385</f>
        <v>*ICEV*</v>
      </c>
      <c r="E1387" s="17" t="str">
        <f>E1385</f>
        <v>TRAATF</v>
      </c>
      <c r="F1387" s="17" t="str">
        <f>F1385</f>
        <v>TRAOTHAIRDMD</v>
      </c>
      <c r="G1387" s="17" t="str">
        <f>G1385</f>
        <v>TRAOTHAIRDMD</v>
      </c>
      <c r="H1387" s="18">
        <v>2025</v>
      </c>
      <c r="I1387" s="18"/>
      <c r="J1387" s="29" t="e">
        <f>IF(J1385=0,-N1387+1,J1385*N1387)</f>
        <v>#DIV/0!</v>
      </c>
      <c r="K1387" s="18"/>
      <c r="L1387" s="18"/>
      <c r="N1387" s="21">
        <v>1.1000000000000001</v>
      </c>
    </row>
    <row r="1388" spans="1:14" x14ac:dyDescent="0.25">
      <c r="C1388" s="15" t="str">
        <f t="shared" si="138"/>
        <v>*</v>
      </c>
      <c r="D1388" s="17" t="s">
        <v>487</v>
      </c>
      <c r="E1388" s="17" t="str">
        <f>E1387</f>
        <v>TRAATF</v>
      </c>
      <c r="F1388" s="17" t="str">
        <f>F1387</f>
        <v>TRAOTHAIRDMD</v>
      </c>
      <c r="G1388" s="17" t="str">
        <f>G1387</f>
        <v>TRAOTHAIRDMD</v>
      </c>
      <c r="H1388" s="18">
        <v>2025</v>
      </c>
      <c r="I1388" s="18"/>
      <c r="J1388" s="20" t="e">
        <f>1-(J1387*-1)</f>
        <v>#DIV/0!</v>
      </c>
      <c r="K1388" s="18"/>
      <c r="L1388" s="18"/>
      <c r="N1388" s="21"/>
    </row>
    <row r="1389" spans="1:14" x14ac:dyDescent="0.25">
      <c r="C1389" s="15" t="str">
        <f t="shared" si="138"/>
        <v>*</v>
      </c>
      <c r="D1389" s="17" t="str">
        <f>D1387</f>
        <v>*ICEV*</v>
      </c>
      <c r="E1389" s="17" t="str">
        <f>E1387</f>
        <v>TRAATF</v>
      </c>
      <c r="F1389" s="17" t="str">
        <f>F1387</f>
        <v>TRAOTHAIRDMD</v>
      </c>
      <c r="G1389" s="17" t="str">
        <f>G1387</f>
        <v>TRAOTHAIRDMD</v>
      </c>
      <c r="H1389" s="18">
        <v>2030</v>
      </c>
      <c r="I1389" s="18"/>
      <c r="J1389" s="29" t="e">
        <f>IF(J1385=0,-N1389+1,J1385*N1389)</f>
        <v>#DIV/0!</v>
      </c>
      <c r="K1389" s="18"/>
      <c r="L1389" s="18"/>
      <c r="N1389" s="21">
        <v>1.2</v>
      </c>
    </row>
    <row r="1390" spans="1:14" x14ac:dyDescent="0.25">
      <c r="C1390" s="15" t="str">
        <f t="shared" si="138"/>
        <v>*</v>
      </c>
      <c r="D1390" s="17" t="s">
        <v>487</v>
      </c>
      <c r="E1390" s="17" t="str">
        <f>E1389</f>
        <v>TRAATF</v>
      </c>
      <c r="F1390" s="17" t="str">
        <f>F1389</f>
        <v>TRAOTHAIRDMD</v>
      </c>
      <c r="G1390" s="17" t="str">
        <f>G1389</f>
        <v>TRAOTHAIRDMD</v>
      </c>
      <c r="H1390" s="18">
        <v>2030</v>
      </c>
      <c r="I1390" s="18"/>
      <c r="J1390" s="20" t="e">
        <f>1-(J1389*-1)</f>
        <v>#DIV/0!</v>
      </c>
      <c r="K1390" s="18"/>
      <c r="L1390" s="18"/>
      <c r="N1390" s="21"/>
    </row>
    <row r="1391" spans="1:14" x14ac:dyDescent="0.25">
      <c r="C1391" s="15" t="str">
        <f t="shared" si="138"/>
        <v>*</v>
      </c>
      <c r="D1391" s="17" t="str">
        <f>D1389</f>
        <v>*ICEV*</v>
      </c>
      <c r="E1391" s="17" t="str">
        <f>E1389</f>
        <v>TRAATF</v>
      </c>
      <c r="F1391" s="17" t="str">
        <f>F1389</f>
        <v>TRAOTHAIRDMD</v>
      </c>
      <c r="G1391" s="17" t="str">
        <f>G1389</f>
        <v>TRAOTHAIRDMD</v>
      </c>
      <c r="H1391" s="18">
        <v>2040</v>
      </c>
      <c r="I1391" s="18"/>
      <c r="J1391" s="29" t="e">
        <f>IF(J1385=0,-N1391+1,J1385*N1391)</f>
        <v>#DIV/0!</v>
      </c>
      <c r="K1391" s="18"/>
      <c r="L1391" s="18"/>
      <c r="N1391" s="21">
        <v>1.3</v>
      </c>
    </row>
    <row r="1392" spans="1:14" x14ac:dyDescent="0.25">
      <c r="C1392" s="15" t="str">
        <f t="shared" si="138"/>
        <v>*</v>
      </c>
      <c r="D1392" s="17" t="s">
        <v>487</v>
      </c>
      <c r="E1392" s="17" t="str">
        <f>E1391</f>
        <v>TRAATF</v>
      </c>
      <c r="F1392" s="17" t="str">
        <f>F1391</f>
        <v>TRAOTHAIRDMD</v>
      </c>
      <c r="G1392" s="17" t="str">
        <f>G1391</f>
        <v>TRAOTHAIRDMD</v>
      </c>
      <c r="H1392" s="18">
        <v>2040</v>
      </c>
      <c r="I1392" s="18"/>
      <c r="J1392" s="20" t="e">
        <f>1-(J1391*-1)</f>
        <v>#DIV/0!</v>
      </c>
      <c r="K1392" s="18"/>
      <c r="L1392" s="18"/>
      <c r="N1392" s="21"/>
    </row>
    <row r="1393" spans="1:14" x14ac:dyDescent="0.25">
      <c r="C1393" s="15" t="str">
        <f t="shared" si="138"/>
        <v>*</v>
      </c>
      <c r="D1393" s="17" t="str">
        <f>D1391</f>
        <v>*ICEV*</v>
      </c>
      <c r="E1393" s="17" t="str">
        <f>E1391</f>
        <v>TRAATF</v>
      </c>
      <c r="F1393" s="17" t="str">
        <f>F1391</f>
        <v>TRAOTHAIRDMD</v>
      </c>
      <c r="G1393" s="17" t="str">
        <f>G1391</f>
        <v>TRAOTHAIRDMD</v>
      </c>
      <c r="H1393" s="18">
        <v>2050</v>
      </c>
      <c r="I1393" s="18"/>
      <c r="J1393" s="29" t="e">
        <f>IF(J1385=0,-N1393+1,J1385*N1393)</f>
        <v>#DIV/0!</v>
      </c>
      <c r="K1393" s="18"/>
      <c r="L1393" s="18"/>
      <c r="N1393" s="21">
        <v>1.4</v>
      </c>
    </row>
    <row r="1394" spans="1:14" x14ac:dyDescent="0.25">
      <c r="C1394" s="23" t="str">
        <f t="shared" si="138"/>
        <v>*</v>
      </c>
      <c r="D1394" s="25" t="s">
        <v>487</v>
      </c>
      <c r="E1394" s="25" t="str">
        <f>E1393</f>
        <v>TRAATF</v>
      </c>
      <c r="F1394" s="25" t="str">
        <f>F1393</f>
        <v>TRAOTHAIRDMD</v>
      </c>
      <c r="G1394" s="25" t="str">
        <f>G1393</f>
        <v>TRAOTHAIRDMD</v>
      </c>
      <c r="H1394" s="26">
        <v>2050</v>
      </c>
      <c r="I1394" s="26"/>
      <c r="J1394" s="27" t="e">
        <f>1-(J1393*-1)</f>
        <v>#DIV/0!</v>
      </c>
      <c r="K1394" s="26"/>
      <c r="L1394" s="26"/>
      <c r="N1394" s="28"/>
    </row>
    <row r="1395" spans="1:14" x14ac:dyDescent="0.25">
      <c r="A1395">
        <f>A1385+1</f>
        <v>140</v>
      </c>
      <c r="C1395" s="15" t="str">
        <f>IF(E1395="","",IF(SUMIFS('TRA TECH'!M:M,'TRA TECH'!J:J,D1396,'TRA TECH'!I:I,F1396,'TRA TECH'!H:H,E1396)=0,"*",IF(_xlfn.XLOOKUP($A1395,Selected_constraint!$A:$A,Selected_constraint!$D:$D)=1,"*",IF(SUMIFS('TRA TECH'!$M:$M,'TRA TECH'!$H:$H,E1395,'TRA TECH'!$I:$I,F1395)=0,"*",IF(SUMIFS('TRA RESID'!$P:$P,'TRA RESID'!$I:$I,G1395,'TRA RESID'!$J:$J,D1395,'TRA RESID'!$H:$H,E1395)=0,"*","UC_"&amp;SUBSTITUTE(D1395,"*","")&amp;"_"&amp;SUBSTITUTE(D1395,"*","")&amp;"_"&amp;RIGHT(E1395,3)&amp;"_"&amp;F1395)))))</f>
        <v>*</v>
      </c>
      <c r="D1395" s="17" t="s">
        <v>485</v>
      </c>
      <c r="E1395" s="17" t="str">
        <f>_xlfn.XLOOKUP($A1395,Selected_constraint!$A:$A,Selected_constraint!$B:$B)</f>
        <v>TRASAF</v>
      </c>
      <c r="F1395" s="17" t="str">
        <f>_xlfn.XLOOKUP($A1395,Selected_constraint!$A:$A,Selected_constraint!$C:$C)</f>
        <v>TRAOTHAIRDMD</v>
      </c>
      <c r="G1395" s="17" t="str">
        <f>F1395</f>
        <v>TRAOTHAIRDMD</v>
      </c>
      <c r="H1395" s="18">
        <v>2019</v>
      </c>
      <c r="I1395" s="18" t="s">
        <v>484</v>
      </c>
      <c r="J1395" s="29" t="e">
        <f>-SUMIFS('TRA RESID'!$P:$P,'TRA RESID'!$I:$I,G1396,'TRA RESID'!$J:$J,D1396,'TRA RESID'!$H:$H,E1396)/(SUMIFS('TRA RESID'!$P:$P,'TRA RESID'!$I:$I,G1396,'TRA RESID'!$J:$J,D1396,'TRA RESID'!$H:$H,E1396)+SUMIFS('TRA RESID'!$P:$P,'TRA RESID'!$I:$I,G1395,'TRA RESID'!$J:$J,D1395,'TRA RESID'!$H:$H,E1395))</f>
        <v>#DIV/0!</v>
      </c>
      <c r="K1395" s="18">
        <v>0</v>
      </c>
      <c r="L1395" s="18">
        <v>5</v>
      </c>
      <c r="N1395" s="21">
        <v>1</v>
      </c>
    </row>
    <row r="1396" spans="1:14" x14ac:dyDescent="0.25">
      <c r="C1396" s="15" t="str">
        <f t="shared" ref="C1396:C1404" si="139">IF(C1395="*",C1395,"")</f>
        <v>*</v>
      </c>
      <c r="D1396" s="17" t="s">
        <v>487</v>
      </c>
      <c r="E1396" s="17" t="str">
        <f>E1395</f>
        <v>TRASAF</v>
      </c>
      <c r="F1396" s="17" t="str">
        <f>F1395</f>
        <v>TRAOTHAIRDMD</v>
      </c>
      <c r="G1396" s="17" t="str">
        <f>G1395</f>
        <v>TRAOTHAIRDMD</v>
      </c>
      <c r="H1396" s="18">
        <v>2019</v>
      </c>
      <c r="I1396" s="18"/>
      <c r="J1396" s="20" t="e">
        <f>1-(J1395*-1)</f>
        <v>#DIV/0!</v>
      </c>
      <c r="K1396" s="18"/>
      <c r="L1396" s="18"/>
      <c r="N1396" s="21"/>
    </row>
    <row r="1397" spans="1:14" x14ac:dyDescent="0.25">
      <c r="C1397" s="15" t="str">
        <f t="shared" si="139"/>
        <v>*</v>
      </c>
      <c r="D1397" s="17" t="str">
        <f>D1395</f>
        <v>*ICEV*</v>
      </c>
      <c r="E1397" s="17" t="str">
        <f>E1395</f>
        <v>TRASAF</v>
      </c>
      <c r="F1397" s="17" t="str">
        <f>F1395</f>
        <v>TRAOTHAIRDMD</v>
      </c>
      <c r="G1397" s="17" t="str">
        <f>G1395</f>
        <v>TRAOTHAIRDMD</v>
      </c>
      <c r="H1397" s="18">
        <v>2025</v>
      </c>
      <c r="I1397" s="18"/>
      <c r="J1397" s="29" t="e">
        <f>IF(J1395=0,-N1397+1,J1395*N1397)</f>
        <v>#DIV/0!</v>
      </c>
      <c r="K1397" s="18"/>
      <c r="L1397" s="18"/>
      <c r="N1397" s="21">
        <v>1.1000000000000001</v>
      </c>
    </row>
    <row r="1398" spans="1:14" x14ac:dyDescent="0.25">
      <c r="C1398" s="15" t="str">
        <f t="shared" si="139"/>
        <v>*</v>
      </c>
      <c r="D1398" s="17" t="s">
        <v>487</v>
      </c>
      <c r="E1398" s="17" t="str">
        <f>E1397</f>
        <v>TRASAF</v>
      </c>
      <c r="F1398" s="17" t="str">
        <f>F1397</f>
        <v>TRAOTHAIRDMD</v>
      </c>
      <c r="G1398" s="17" t="str">
        <f>G1397</f>
        <v>TRAOTHAIRDMD</v>
      </c>
      <c r="H1398" s="18">
        <v>2025</v>
      </c>
      <c r="I1398" s="18"/>
      <c r="J1398" s="20" t="e">
        <f>1-(J1397*-1)</f>
        <v>#DIV/0!</v>
      </c>
      <c r="K1398" s="18"/>
      <c r="L1398" s="18"/>
      <c r="N1398" s="21"/>
    </row>
    <row r="1399" spans="1:14" x14ac:dyDescent="0.25">
      <c r="C1399" s="15" t="str">
        <f t="shared" si="139"/>
        <v>*</v>
      </c>
      <c r="D1399" s="17" t="str">
        <f>D1397</f>
        <v>*ICEV*</v>
      </c>
      <c r="E1399" s="17" t="str">
        <f>E1397</f>
        <v>TRASAF</v>
      </c>
      <c r="F1399" s="17" t="str">
        <f>F1397</f>
        <v>TRAOTHAIRDMD</v>
      </c>
      <c r="G1399" s="17" t="str">
        <f>G1397</f>
        <v>TRAOTHAIRDMD</v>
      </c>
      <c r="H1399" s="18">
        <v>2030</v>
      </c>
      <c r="I1399" s="18"/>
      <c r="J1399" s="29" t="e">
        <f>IF(J1395=0,-N1399+1,J1395*N1399)</f>
        <v>#DIV/0!</v>
      </c>
      <c r="K1399" s="18"/>
      <c r="L1399" s="18"/>
      <c r="N1399" s="21">
        <v>1.2</v>
      </c>
    </row>
    <row r="1400" spans="1:14" x14ac:dyDescent="0.25">
      <c r="C1400" s="15" t="str">
        <f t="shared" si="139"/>
        <v>*</v>
      </c>
      <c r="D1400" s="17" t="s">
        <v>487</v>
      </c>
      <c r="E1400" s="17" t="str">
        <f>E1399</f>
        <v>TRASAF</v>
      </c>
      <c r="F1400" s="17" t="str">
        <f>F1399</f>
        <v>TRAOTHAIRDMD</v>
      </c>
      <c r="G1400" s="17" t="str">
        <f>G1399</f>
        <v>TRAOTHAIRDMD</v>
      </c>
      <c r="H1400" s="18">
        <v>2030</v>
      </c>
      <c r="I1400" s="18"/>
      <c r="J1400" s="20" t="e">
        <f>1-(J1399*-1)</f>
        <v>#DIV/0!</v>
      </c>
      <c r="K1400" s="18"/>
      <c r="L1400" s="18"/>
      <c r="N1400" s="21"/>
    </row>
    <row r="1401" spans="1:14" x14ac:dyDescent="0.25">
      <c r="C1401" s="15" t="str">
        <f t="shared" si="139"/>
        <v>*</v>
      </c>
      <c r="D1401" s="17" t="str">
        <f>D1399</f>
        <v>*ICEV*</v>
      </c>
      <c r="E1401" s="17" t="str">
        <f>E1399</f>
        <v>TRASAF</v>
      </c>
      <c r="F1401" s="17" t="str">
        <f>F1399</f>
        <v>TRAOTHAIRDMD</v>
      </c>
      <c r="G1401" s="17" t="str">
        <f>G1399</f>
        <v>TRAOTHAIRDMD</v>
      </c>
      <c r="H1401" s="18">
        <v>2040</v>
      </c>
      <c r="I1401" s="18"/>
      <c r="J1401" s="29" t="e">
        <f>IF(J1395=0,-N1401+1,J1395*N1401)</f>
        <v>#DIV/0!</v>
      </c>
      <c r="K1401" s="18"/>
      <c r="L1401" s="18"/>
      <c r="N1401" s="21">
        <v>1.3</v>
      </c>
    </row>
    <row r="1402" spans="1:14" x14ac:dyDescent="0.25">
      <c r="C1402" s="15" t="str">
        <f t="shared" si="139"/>
        <v>*</v>
      </c>
      <c r="D1402" s="17" t="s">
        <v>487</v>
      </c>
      <c r="E1402" s="17" t="str">
        <f>E1401</f>
        <v>TRASAF</v>
      </c>
      <c r="F1402" s="17" t="str">
        <f>F1401</f>
        <v>TRAOTHAIRDMD</v>
      </c>
      <c r="G1402" s="17" t="str">
        <f>G1401</f>
        <v>TRAOTHAIRDMD</v>
      </c>
      <c r="H1402" s="18">
        <v>2040</v>
      </c>
      <c r="I1402" s="18"/>
      <c r="J1402" s="20" t="e">
        <f>1-(J1401*-1)</f>
        <v>#DIV/0!</v>
      </c>
      <c r="K1402" s="18"/>
      <c r="L1402" s="18"/>
      <c r="N1402" s="21"/>
    </row>
    <row r="1403" spans="1:14" x14ac:dyDescent="0.25">
      <c r="C1403" s="15" t="str">
        <f t="shared" si="139"/>
        <v>*</v>
      </c>
      <c r="D1403" s="17" t="str">
        <f>D1401</f>
        <v>*ICEV*</v>
      </c>
      <c r="E1403" s="17" t="str">
        <f>E1401</f>
        <v>TRASAF</v>
      </c>
      <c r="F1403" s="17" t="str">
        <f>F1401</f>
        <v>TRAOTHAIRDMD</v>
      </c>
      <c r="G1403" s="17" t="str">
        <f>G1401</f>
        <v>TRAOTHAIRDMD</v>
      </c>
      <c r="H1403" s="18">
        <v>2050</v>
      </c>
      <c r="I1403" s="18"/>
      <c r="J1403" s="29" t="e">
        <f>IF(J1395=0,-N1403+1,J1395*N1403)</f>
        <v>#DIV/0!</v>
      </c>
      <c r="K1403" s="18"/>
      <c r="L1403" s="18"/>
      <c r="N1403" s="21">
        <v>1.4</v>
      </c>
    </row>
    <row r="1404" spans="1:14" x14ac:dyDescent="0.25">
      <c r="C1404" s="23" t="str">
        <f t="shared" si="139"/>
        <v>*</v>
      </c>
      <c r="D1404" s="25" t="s">
        <v>487</v>
      </c>
      <c r="E1404" s="25" t="str">
        <f>E1403</f>
        <v>TRASAF</v>
      </c>
      <c r="F1404" s="25" t="str">
        <f>F1403</f>
        <v>TRAOTHAIRDMD</v>
      </c>
      <c r="G1404" s="25" t="str">
        <f>G1403</f>
        <v>TRAOTHAIRDMD</v>
      </c>
      <c r="H1404" s="26">
        <v>2050</v>
      </c>
      <c r="I1404" s="26"/>
      <c r="J1404" s="27" t="e">
        <f>1-(J1403*-1)</f>
        <v>#DIV/0!</v>
      </c>
      <c r="K1404" s="26"/>
      <c r="L1404" s="26"/>
      <c r="N1404" s="28"/>
    </row>
  </sheetData>
  <autoFilter ref="C5:C1404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&gt;&gt; City Data</vt:lpstr>
      <vt:lpstr>City characteristics</vt:lpstr>
      <vt:lpstr>&gt;&gt; GC_NewTech</vt:lpstr>
      <vt:lpstr>TRA TECH</vt:lpstr>
      <vt:lpstr>TRA RESID</vt:lpstr>
      <vt:lpstr>&gt;&gt;&gt; Data </vt:lpstr>
      <vt:lpstr>Selected_constraint</vt:lpstr>
      <vt:lpstr>&gt;&gt; TIMES</vt:lpstr>
      <vt:lpstr>UC</vt:lpstr>
      <vt:lpstr>UC2</vt:lpstr>
      <vt:lpstr>UC3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2025-04-08T18:34:36Z</dcterms:modified>
</cp:coreProperties>
</file>
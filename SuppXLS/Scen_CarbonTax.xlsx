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9A2FCBC9-30A4-4446-AAB3-4CB5B447C9FC}" xr6:coauthVersionLast="47" xr6:coauthVersionMax="47" xr10:uidLastSave="{00000000-0000-0000-0000-000000000000}"/>
  <bookViews>
    <workbookView xWindow="-120" yWindow="-120" windowWidth="25440" windowHeight="15270" firstSheet="2" activeTab="2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Existing" sheetId="4" r:id="rId4"/>
    <sheet name="&gt;&gt; TIMES" sheetId="5" r:id="rId5"/>
    <sheet name="TAX" sheetId="6" r:id="rId6"/>
    <sheet name="&gt;&gt; Parameters" sheetId="7" r:id="rId7"/>
    <sheet name="Data" sheetId="8" r:id="rId8"/>
    <sheet name="Inflation" sheetId="9" r:id="rId9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3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3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3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3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3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3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9" l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69" i="9"/>
  <c r="C68" i="9" s="1"/>
  <c r="B9" i="8"/>
  <c r="B10" i="8" s="1"/>
  <c r="B11" i="8" s="1"/>
  <c r="C8" i="8"/>
  <c r="H11" i="6" s="1"/>
  <c r="C7" i="8"/>
  <c r="H10" i="6" s="1"/>
  <c r="C6" i="8" l="1"/>
  <c r="C67" i="9"/>
  <c r="B12" i="8"/>
  <c r="C11" i="8"/>
  <c r="C10" i="8"/>
  <c r="G10" i="6"/>
  <c r="C9" i="8"/>
  <c r="G11" i="6"/>
  <c r="H13" i="6" l="1"/>
  <c r="G13" i="6"/>
  <c r="H12" i="6"/>
  <c r="G12" i="6"/>
  <c r="C12" i="8"/>
  <c r="B13" i="8"/>
  <c r="H14" i="6"/>
  <c r="G14" i="6"/>
  <c r="C5" i="8"/>
  <c r="C66" i="9"/>
  <c r="G9" i="6"/>
  <c r="H9" i="6"/>
  <c r="C4" i="8" l="1"/>
  <c r="C65" i="9"/>
  <c r="C64" i="9" s="1"/>
  <c r="C63" i="9" s="1"/>
  <c r="C62" i="9" s="1"/>
  <c r="C61" i="9" s="1"/>
  <c r="C60" i="9" s="1"/>
  <c r="C59" i="9" s="1"/>
  <c r="C58" i="9" s="1"/>
  <c r="C57" i="9" s="1"/>
  <c r="C56" i="9" s="1"/>
  <c r="C55" i="9" s="1"/>
  <c r="C54" i="9" s="1"/>
  <c r="C53" i="9" s="1"/>
  <c r="C52" i="9" s="1"/>
  <c r="C51" i="9" s="1"/>
  <c r="C50" i="9" s="1"/>
  <c r="C49" i="9" s="1"/>
  <c r="C48" i="9" s="1"/>
  <c r="C47" i="9" s="1"/>
  <c r="C46" i="9" s="1"/>
  <c r="C45" i="9" s="1"/>
  <c r="C44" i="9" s="1"/>
  <c r="C43" i="9" s="1"/>
  <c r="C42" i="9" s="1"/>
  <c r="C41" i="9" s="1"/>
  <c r="C40" i="9" s="1"/>
  <c r="C39" i="9" s="1"/>
  <c r="C38" i="9" s="1"/>
  <c r="C37" i="9" s="1"/>
  <c r="C36" i="9" s="1"/>
  <c r="C35" i="9" s="1"/>
  <c r="C34" i="9" s="1"/>
  <c r="C33" i="9" s="1"/>
  <c r="C32" i="9" s="1"/>
  <c r="C31" i="9" s="1"/>
  <c r="C30" i="9" s="1"/>
  <c r="C29" i="9" s="1"/>
  <c r="C28" i="9" s="1"/>
  <c r="C27" i="9" s="1"/>
  <c r="C26" i="9" s="1"/>
  <c r="C25" i="9" s="1"/>
  <c r="C24" i="9" s="1"/>
  <c r="C23" i="9" s="1"/>
  <c r="C22" i="9" s="1"/>
  <c r="C21" i="9" s="1"/>
  <c r="C20" i="9" s="1"/>
  <c r="C19" i="9" s="1"/>
  <c r="C18" i="9" s="1"/>
  <c r="C17" i="9" s="1"/>
  <c r="C16" i="9" s="1"/>
  <c r="C15" i="9" s="1"/>
  <c r="C14" i="9" s="1"/>
  <c r="C13" i="9" s="1"/>
  <c r="C12" i="9" s="1"/>
  <c r="C11" i="9" s="1"/>
  <c r="C10" i="9" s="1"/>
  <c r="C9" i="9" s="1"/>
  <c r="C8" i="9" s="1"/>
  <c r="C7" i="9" s="1"/>
  <c r="G15" i="6"/>
  <c r="H15" i="6"/>
  <c r="H8" i="6"/>
  <c r="G8" i="6"/>
  <c r="B14" i="8"/>
  <c r="C13" i="8"/>
  <c r="B15" i="8" l="1"/>
  <c r="C14" i="8"/>
  <c r="H16" i="6"/>
  <c r="G16" i="6"/>
  <c r="H7" i="6"/>
  <c r="G7" i="6"/>
  <c r="H17" i="6" l="1"/>
  <c r="G17" i="6"/>
  <c r="B16" i="8"/>
  <c r="C15" i="8"/>
  <c r="H18" i="6" l="1"/>
  <c r="G18" i="6"/>
  <c r="B17" i="8"/>
  <c r="C16" i="8"/>
  <c r="H19" i="6" l="1"/>
  <c r="G19" i="6"/>
  <c r="B18" i="8"/>
  <c r="C17" i="8"/>
  <c r="H20" i="6" l="1"/>
  <c r="G20" i="6"/>
  <c r="B19" i="8"/>
  <c r="C18" i="8"/>
  <c r="H21" i="6" l="1"/>
  <c r="G21" i="6"/>
  <c r="B20" i="8"/>
  <c r="C19" i="8"/>
  <c r="H22" i="6" l="1"/>
  <c r="G22" i="6"/>
  <c r="B21" i="8"/>
  <c r="C20" i="8"/>
  <c r="H23" i="6" l="1"/>
  <c r="G23" i="6"/>
  <c r="B22" i="8"/>
  <c r="C21" i="8"/>
  <c r="H24" i="6" l="1"/>
  <c r="G24" i="6"/>
  <c r="B23" i="8"/>
  <c r="C22" i="8"/>
  <c r="H25" i="6" l="1"/>
  <c r="G25" i="6"/>
  <c r="B24" i="8"/>
  <c r="C23" i="8"/>
  <c r="H26" i="6" l="1"/>
  <c r="G26" i="6"/>
  <c r="C24" i="8"/>
  <c r="B25" i="8"/>
  <c r="B26" i="8" l="1"/>
  <c r="C25" i="8"/>
  <c r="G27" i="6"/>
  <c r="H27" i="6"/>
  <c r="H28" i="6" l="1"/>
  <c r="G28" i="6"/>
  <c r="B27" i="8"/>
  <c r="C26" i="8"/>
  <c r="H29" i="6" l="1"/>
  <c r="G29" i="6"/>
  <c r="B28" i="8"/>
  <c r="C28" i="8" s="1"/>
  <c r="C27" i="8"/>
  <c r="H31" i="6" l="1"/>
  <c r="G31" i="6"/>
  <c r="H30" i="6"/>
  <c r="G30" i="6"/>
</calcChain>
</file>

<file path=xl/sharedStrings.xml><?xml version="1.0" encoding="utf-8"?>
<sst xmlns="http://schemas.openxmlformats.org/spreadsheetml/2006/main" count="160" uniqueCount="91">
  <si>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</si>
  <si>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</si>
  <si>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</si>
  <si>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</si>
  <si>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</si>
  <si>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</si>
  <si>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</si>
  <si>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</si>
  <si>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</si>
  <si>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</si>
  <si>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</si>
  <si>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</si>
  <si>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</si>
  <si>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</si>
  <si>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</si>
  <si>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</si>
  <si>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</si>
  <si>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</si>
  <si>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</si>
  <si>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</si>
  <si>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</si>
  <si>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</si>
  <si>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</si>
  <si>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</si>
  <si>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</si>
  <si>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</si>
  <si>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</si>
  <si>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</si>
  <si>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</si>
  <si>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</si>
  <si>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</si>
  <si>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</si>
  <si>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</si>
  <si>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</si>
  <si>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</si>
  <si>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</si>
  <si>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</si>
  <si>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</si>
  <si>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</si>
  <si>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</si>
  <si>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</si>
  <si>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</si>
  <si>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</si>
  <si>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</si>
  <si>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</si>
  <si>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</si>
  <si>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</si>
  <si>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</si>
  <si>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</si>
  <si>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</si>
  <si>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</si>
  <si>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</si>
  <si>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</si>
  <si>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</si>
  <si>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</si>
  <si>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</si>
  <si>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</si>
  <si>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</si>
  <si>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</si>
  <si>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</si>
  <si>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</si>
  <si>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</si>
  <si>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</si>
  <si>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</si>
  <si>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</si>
  <si>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</si>
  <si>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</si>
  <si>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</si>
  <si>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</si>
  <si>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</si>
  <si>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</si>
  <si>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~TFM_INS</t>
  </si>
  <si>
    <t>TimeSlice</t>
  </si>
  <si>
    <t>LimType</t>
  </si>
  <si>
    <t>Attribute</t>
  </si>
  <si>
    <t>CITY</t>
  </si>
  <si>
    <t>EGRID</t>
  </si>
  <si>
    <t>Cset_CN</t>
  </si>
  <si>
    <t>*</t>
  </si>
  <si>
    <t>k $/t CO2eq</t>
  </si>
  <si>
    <t>COM_TAXNET</t>
  </si>
  <si>
    <t>CO2e</t>
  </si>
  <si>
    <t>Carbon tax - Durbin proposal</t>
  </si>
  <si>
    <t>US$/t CO eq</t>
  </si>
  <si>
    <t>2023 US$/t CO eq</t>
  </si>
  <si>
    <t>Data Source</t>
  </si>
  <si>
    <t>World Development Indicators</t>
  </si>
  <si>
    <t>Last Updated Date</t>
  </si>
  <si>
    <t>Country Name</t>
  </si>
  <si>
    <t>Inflation (point)</t>
  </si>
  <si>
    <t>Current to 2023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</si>
</sst>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_([$€-2]* #,##0.00_);_([$€-2]* \(#,##0.00\);_([$€-2]* &quot;-&quot;??_)"/>
    <numFmt numFmtId="167" formatCode="&quot;$&quot;#,##0;\-&quot;$&quot;#,##0"/>
    <numFmt numFmtId="168" formatCode="_-* #,##0.00_-;\-* #,##0.00_-;_-* \-??_-;_-@_-"/>
    <numFmt numFmtId="169" formatCode="_-* #,##0.00\ _€_-;\-* #,##0.00\ _€_-;_-* \-??\ _€_-;_-@_-"/>
    <numFmt numFmtId="170" formatCode="_ * #,##0.00_)\ _$_ ;_ * \(#,##0.00&quot;) &quot;_$_ ;_ * \-??_)\ _$_ ;_ @_ "/>
  </numFmts>
  <fonts count="3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40">
    <xf numFmtId="0" fontId="0" fillId="0" borderId="0"/>
    <xf numFmtId="0" fontId="2" fillId="0" borderId="0"/>
    <xf numFmtId="0" fontId="3" fillId="0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11" borderId="0"/>
    <xf numFmtId="0" fontId="4" fillId="11" borderId="0"/>
    <xf numFmtId="0" fontId="4" fillId="11" borderId="0"/>
    <xf numFmtId="0" fontId="4" fillId="12" borderId="0"/>
    <xf numFmtId="0" fontId="4" fillId="12" borderId="0"/>
    <xf numFmtId="0" fontId="4" fillId="12" borderId="0"/>
    <xf numFmtId="0" fontId="4" fillId="7" borderId="0"/>
    <xf numFmtId="0" fontId="4" fillId="7" borderId="0"/>
    <xf numFmtId="0" fontId="4" fillId="7" borderId="0"/>
    <xf numFmtId="0" fontId="4" fillId="10" borderId="0"/>
    <xf numFmtId="0" fontId="4" fillId="10" borderId="0"/>
    <xf numFmtId="0" fontId="4" fillId="10" borderId="0"/>
    <xf numFmtId="0" fontId="4" fillId="13" borderId="0"/>
    <xf numFmtId="0" fontId="4" fillId="13" borderId="0"/>
    <xf numFmtId="0" fontId="4" fillId="13" borderId="0"/>
    <xf numFmtId="0" fontId="5" fillId="14" borderId="0"/>
    <xf numFmtId="0" fontId="5" fillId="14" borderId="0"/>
    <xf numFmtId="0" fontId="5" fillId="14" borderId="0"/>
    <xf numFmtId="0" fontId="5" fillId="11" borderId="0"/>
    <xf numFmtId="0" fontId="5" fillId="11" borderId="0"/>
    <xf numFmtId="0" fontId="5" fillId="11" borderId="0"/>
    <xf numFmtId="0" fontId="5" fillId="12" borderId="0"/>
    <xf numFmtId="0" fontId="5" fillId="12" borderId="0"/>
    <xf numFmtId="0" fontId="5" fillId="12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9" borderId="0"/>
    <xf numFmtId="0" fontId="5" fillId="19" borderId="0"/>
    <xf numFmtId="0" fontId="5" fillId="19" borderId="0"/>
    <xf numFmtId="0" fontId="5" fillId="20" borderId="0"/>
    <xf numFmtId="0" fontId="5" fillId="20" borderId="0"/>
    <xf numFmtId="0" fontId="5" fillId="20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21" borderId="0"/>
    <xf numFmtId="0" fontId="5" fillId="21" borderId="0"/>
    <xf numFmtId="0" fontId="5" fillId="21" borderId="0"/>
    <xf numFmtId="0" fontId="6" fillId="5" borderId="0"/>
    <xf numFmtId="0" fontId="6" fillId="5" borderId="0"/>
    <xf numFmtId="0" fontId="6" fillId="5" borderId="0"/>
    <xf numFmtId="0" fontId="7" fillId="22" borderId="1"/>
    <xf numFmtId="0" fontId="7" fillId="22" borderId="1"/>
    <xf numFmtId="0" fontId="7" fillId="22" borderId="1"/>
    <xf numFmtId="0" fontId="8" fillId="23" borderId="2"/>
    <xf numFmtId="0" fontId="8" fillId="23" borderId="2"/>
    <xf numFmtId="0" fontId="8" fillId="23" borderId="2"/>
    <xf numFmtId="43" fontId="3" fillId="0" borderId="0"/>
    <xf numFmtId="164" fontId="3" fillId="0" borderId="0"/>
    <xf numFmtId="43" fontId="3" fillId="0" borderId="0"/>
    <xf numFmtId="164" fontId="3" fillId="0" borderId="0"/>
    <xf numFmtId="164" fontId="3" fillId="0" borderId="0"/>
    <xf numFmtId="43" fontId="3" fillId="0" borderId="0"/>
    <xf numFmtId="164" fontId="3" fillId="0" borderId="0"/>
    <xf numFmtId="43" fontId="3" fillId="0" borderId="0"/>
    <xf numFmtId="164" fontId="3" fillId="0" borderId="0"/>
    <xf numFmtId="165" fontId="3" fillId="0" borderId="0"/>
    <xf numFmtId="165" fontId="3" fillId="0" borderId="0"/>
    <xf numFmtId="164" fontId="3" fillId="0" borderId="0"/>
    <xf numFmtId="3" fontId="3" fillId="0" borderId="0"/>
    <xf numFmtId="3" fontId="3" fillId="0" borderId="0"/>
    <xf numFmtId="166" fontId="3" fillId="0" borderId="0"/>
    <xf numFmtId="166" fontId="3" fillId="0" borderId="0"/>
    <xf numFmtId="0" fontId="9" fillId="0" borderId="0"/>
    <xf numFmtId="0" fontId="9" fillId="0" borderId="0"/>
    <xf numFmtId="0" fontId="9" fillId="0" borderId="0"/>
    <xf numFmtId="0" fontId="10" fillId="6" borderId="0"/>
    <xf numFmtId="0" fontId="10" fillId="6" borderId="0"/>
    <xf numFmtId="0" fontId="1" fillId="2" borderId="0"/>
    <xf numFmtId="0" fontId="10" fillId="6" borderId="0"/>
    <xf numFmtId="0" fontId="11" fillId="0" borderId="3"/>
    <xf numFmtId="0" fontId="11" fillId="0" borderId="3"/>
    <xf numFmtId="0" fontId="11" fillId="0" borderId="3"/>
    <xf numFmtId="0" fontId="12" fillId="0" borderId="4"/>
    <xf numFmtId="0" fontId="12" fillId="0" borderId="4"/>
    <xf numFmtId="0" fontId="12" fillId="0" borderId="4"/>
    <xf numFmtId="0" fontId="13" fillId="0" borderId="5"/>
    <xf numFmtId="0" fontId="13" fillId="0" borderId="5"/>
    <xf numFmtId="0" fontId="13" fillId="0" borderId="5"/>
    <xf numFmtId="0" fontId="13" fillId="0" borderId="0"/>
    <xf numFmtId="0" fontId="13" fillId="0" borderId="0"/>
    <xf numFmtId="0" fontId="13" fillId="0" borderId="0"/>
    <xf numFmtId="0" fontId="14" fillId="9" borderId="1"/>
    <xf numFmtId="0" fontId="14" fillId="9" borderId="1"/>
    <xf numFmtId="0" fontId="14" fillId="9" borderId="1"/>
    <xf numFmtId="0" fontId="15" fillId="0" borderId="6"/>
    <xf numFmtId="0" fontId="15" fillId="0" borderId="6"/>
    <xf numFmtId="0" fontId="15" fillId="0" borderId="6"/>
    <xf numFmtId="0" fontId="16" fillId="24" borderId="0"/>
    <xf numFmtId="0" fontId="16" fillId="24" borderId="0"/>
    <xf numFmtId="0" fontId="16" fillId="24" borderId="0"/>
    <xf numFmtId="0" fontId="22" fillId="3" borderId="0"/>
    <xf numFmtId="0" fontId="16" fillId="24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1" fillId="0" borderId="0"/>
    <xf numFmtId="0" fontId="3" fillId="25" borderId="7"/>
    <xf numFmtId="0" fontId="3" fillId="25" borderId="7"/>
    <xf numFmtId="0" fontId="4" fillId="25" borderId="7"/>
    <xf numFmtId="0" fontId="3" fillId="25" borderId="7"/>
    <xf numFmtId="0" fontId="3" fillId="25" borderId="7"/>
    <xf numFmtId="0" fontId="17" fillId="22" borderId="8"/>
    <xf numFmtId="0" fontId="17" fillId="22" borderId="8"/>
    <xf numFmtId="0" fontId="17" fillId="22" borderId="8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3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20" fillId="0" borderId="0"/>
    <xf numFmtId="0" fontId="20" fillId="0" borderId="0"/>
    <xf numFmtId="0" fontId="20" fillId="0" borderId="0"/>
    <xf numFmtId="0" fontId="2" fillId="0" borderId="0"/>
    <xf numFmtId="164" fontId="2" fillId="0" borderId="0"/>
    <xf numFmtId="0" fontId="3" fillId="0" borderId="0"/>
    <xf numFmtId="0" fontId="2" fillId="0" borderId="0"/>
    <xf numFmtId="0" fontId="2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2" fillId="0" borderId="0"/>
    <xf numFmtId="3" fontId="3" fillId="0" borderId="0"/>
    <xf numFmtId="167" fontId="3" fillId="0" borderId="0"/>
    <xf numFmtId="14" fontId="3" fillId="0" borderId="0"/>
    <xf numFmtId="2" fontId="3" fillId="0" borderId="0"/>
    <xf numFmtId="0" fontId="25" fillId="0" borderId="0">
      <alignment vertical="top"/>
      <protection locked="0"/>
    </xf>
    <xf numFmtId="164" fontId="3" fillId="0" borderId="0"/>
    <xf numFmtId="0" fontId="26" fillId="3" borderId="0"/>
    <xf numFmtId="0" fontId="3" fillId="0" borderId="0"/>
    <xf numFmtId="0" fontId="4" fillId="26" borderId="0"/>
    <xf numFmtId="0" fontId="4" fillId="27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29" borderId="0"/>
    <xf numFmtId="0" fontId="4" fillId="32" borderId="0"/>
    <xf numFmtId="0" fontId="4" fillId="35" borderId="0"/>
    <xf numFmtId="0" fontId="5" fillId="36" borderId="0"/>
    <xf numFmtId="0" fontId="5" fillId="33" borderId="0"/>
    <xf numFmtId="0" fontId="5" fillId="34" borderId="0"/>
    <xf numFmtId="0" fontId="5" fillId="37" borderId="0"/>
    <xf numFmtId="0" fontId="5" fillId="38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37" borderId="0"/>
    <xf numFmtId="0" fontId="5" fillId="38" borderId="0"/>
    <xf numFmtId="0" fontId="5" fillId="43" borderId="0"/>
    <xf numFmtId="0" fontId="6" fillId="27" borderId="0"/>
    <xf numFmtId="0" fontId="7" fillId="44" borderId="1"/>
    <xf numFmtId="0" fontId="8" fillId="45" borderId="2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5" fontId="3" fillId="0" borderId="0"/>
    <xf numFmtId="164" fontId="3" fillId="0" borderId="0"/>
    <xf numFmtId="164" fontId="3" fillId="0" borderId="0"/>
    <xf numFmtId="164" fontId="3" fillId="0" borderId="0"/>
    <xf numFmtId="168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5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5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5" fontId="3" fillId="0" borderId="0"/>
    <xf numFmtId="164" fontId="3" fillId="0" borderId="0"/>
    <xf numFmtId="164" fontId="3" fillId="0" borderId="0"/>
    <xf numFmtId="169" fontId="3" fillId="0" borderId="0"/>
    <xf numFmtId="164" fontId="3" fillId="0" borderId="0"/>
    <xf numFmtId="164" fontId="3" fillId="0" borderId="0"/>
    <xf numFmtId="169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70" fontId="3" fillId="0" borderId="0"/>
    <xf numFmtId="164" fontId="3" fillId="0" borderId="0"/>
    <xf numFmtId="164" fontId="3" fillId="0" borderId="0"/>
    <xf numFmtId="164" fontId="3" fillId="0" borderId="0"/>
    <xf numFmtId="168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5" fontId="3" fillId="0" borderId="0"/>
    <xf numFmtId="164" fontId="3" fillId="0" borderId="0"/>
    <xf numFmtId="164" fontId="3" fillId="0" borderId="0"/>
    <xf numFmtId="164" fontId="2" fillId="0" borderId="0"/>
    <xf numFmtId="168" fontId="3" fillId="0" borderId="0"/>
    <xf numFmtId="164" fontId="3" fillId="0" borderId="0"/>
    <xf numFmtId="164" fontId="3" fillId="0" borderId="0"/>
    <xf numFmtId="165" fontId="3" fillId="0" borderId="0"/>
    <xf numFmtId="164" fontId="3" fillId="0" borderId="0"/>
    <xf numFmtId="164" fontId="3" fillId="0" borderId="0"/>
    <xf numFmtId="164" fontId="3" fillId="0" borderId="0"/>
    <xf numFmtId="166" fontId="3" fillId="0" borderId="0"/>
    <xf numFmtId="0" fontId="10" fillId="28" borderId="0"/>
    <xf numFmtId="0" fontId="27" fillId="0" borderId="0"/>
    <xf numFmtId="0" fontId="14" fillId="31" borderId="1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168" fontId="3" fillId="0" borderId="0"/>
    <xf numFmtId="0" fontId="4" fillId="0" borderId="0"/>
    <xf numFmtId="0" fontId="2" fillId="0" borderId="0"/>
    <xf numFmtId="0" fontId="4" fillId="0" borderId="0"/>
    <xf numFmtId="0" fontId="28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2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3" fillId="46" borderId="7"/>
    <xf numFmtId="0" fontId="17" fillId="44" borderId="8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2" fillId="0" borderId="0"/>
    <xf numFmtId="4" fontId="3" fillId="0" borderId="0"/>
    <xf numFmtId="0" fontId="3" fillId="0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11" borderId="0"/>
    <xf numFmtId="0" fontId="4" fillId="12" borderId="0"/>
    <xf numFmtId="0" fontId="4" fillId="7" borderId="0"/>
    <xf numFmtId="0" fontId="4" fillId="10" borderId="0"/>
    <xf numFmtId="0" fontId="4" fillId="13" borderId="0"/>
    <xf numFmtId="0" fontId="5" fillId="14" borderId="0"/>
    <xf numFmtId="0" fontId="5" fillId="11" borderId="0"/>
    <xf numFmtId="0" fontId="5" fillId="12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20" borderId="0"/>
    <xf numFmtId="0" fontId="5" fillId="15" borderId="0"/>
    <xf numFmtId="0" fontId="5" fillId="16" borderId="0"/>
    <xf numFmtId="0" fontId="5" fillId="21" borderId="0"/>
    <xf numFmtId="0" fontId="6" fillId="5" borderId="0"/>
    <xf numFmtId="0" fontId="7" fillId="22" borderId="1"/>
    <xf numFmtId="0" fontId="8" fillId="23" borderId="2"/>
    <xf numFmtId="164" fontId="3" fillId="0" borderId="0"/>
    <xf numFmtId="164" fontId="3" fillId="0" borderId="0"/>
    <xf numFmtId="0" fontId="10" fillId="6" borderId="0"/>
    <xf numFmtId="0" fontId="14" fillId="9" borderId="1"/>
    <xf numFmtId="0" fontId="17" fillId="22" borderId="8"/>
    <xf numFmtId="9" fontId="3" fillId="0" borderId="0"/>
    <xf numFmtId="9" fontId="3" fillId="0" borderId="0"/>
    <xf numFmtId="164" fontId="3" fillId="0" borderId="0"/>
    <xf numFmtId="0" fontId="2" fillId="0" borderId="0"/>
    <xf numFmtId="9" fontId="2" fillId="0" borderId="0"/>
    <xf numFmtId="0" fontId="29" fillId="0" borderId="0"/>
    <xf numFmtId="9" fontId="29" fillId="0" borderId="0"/>
    <xf numFmtId="164" fontId="29" fillId="0" borderId="0"/>
    <xf numFmtId="0" fontId="3" fillId="0" borderId="10"/>
    <xf numFmtId="0" fontId="3" fillId="0" borderId="0"/>
    <xf numFmtId="0" fontId="3" fillId="0" borderId="0"/>
    <xf numFmtId="164" fontId="3" fillId="0" borderId="0"/>
    <xf numFmtId="0" fontId="2" fillId="0" borderId="0"/>
    <xf numFmtId="164" fontId="2" fillId="0" borderId="0"/>
    <xf numFmtId="9" fontId="2" fillId="0" borderId="0"/>
    <xf numFmtId="43" fontId="3" fillId="0" borderId="0"/>
    <xf numFmtId="0" fontId="2" fillId="0" borderId="0"/>
    <xf numFmtId="0" fontId="2" fillId="0" borderId="0"/>
    <xf numFmtId="0" fontId="7" fillId="22" borderId="1"/>
    <xf numFmtId="0" fontId="7" fillId="22" borderId="1"/>
    <xf numFmtId="0" fontId="7" fillId="22" borderId="1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14" fillId="9" borderId="1"/>
    <xf numFmtId="0" fontId="14" fillId="9" borderId="1"/>
    <xf numFmtId="0" fontId="14" fillId="9" borderId="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2" borderId="8"/>
    <xf numFmtId="0" fontId="17" fillId="22" borderId="8"/>
    <xf numFmtId="0" fontId="17" fillId="22" borderId="8"/>
    <xf numFmtId="0" fontId="19" fillId="0" borderId="9"/>
    <xf numFmtId="0" fontId="19" fillId="0" borderId="9"/>
    <xf numFmtId="0" fontId="19" fillId="0" borderId="9"/>
    <xf numFmtId="0" fontId="2" fillId="0" borderId="0"/>
    <xf numFmtId="164" fontId="2" fillId="0" borderId="0"/>
    <xf numFmtId="0" fontId="2" fillId="0" borderId="0"/>
    <xf numFmtId="164" fontId="2" fillId="0" borderId="0"/>
    <xf numFmtId="167" fontId="3" fillId="0" borderId="0"/>
    <xf numFmtId="164" fontId="3" fillId="0" borderId="0"/>
    <xf numFmtId="0" fontId="7" fillId="44" borderId="1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14" fillId="31" borderId="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44" borderId="8"/>
    <xf numFmtId="9" fontId="2" fillId="0" borderId="0"/>
    <xf numFmtId="0" fontId="2" fillId="0" borderId="0"/>
    <xf numFmtId="0" fontId="7" fillId="22" borderId="1"/>
    <xf numFmtId="164" fontId="3" fillId="0" borderId="0"/>
    <xf numFmtId="164" fontId="3" fillId="0" borderId="0"/>
    <xf numFmtId="0" fontId="14" fillId="9" borderId="1"/>
    <xf numFmtId="0" fontId="17" fillId="22" borderId="8"/>
    <xf numFmtId="164" fontId="3" fillId="0" borderId="0"/>
    <xf numFmtId="0" fontId="2" fillId="0" borderId="0"/>
    <xf numFmtId="9" fontId="2" fillId="0" borderId="0"/>
    <xf numFmtId="164" fontId="29" fillId="0" borderId="0"/>
    <xf numFmtId="164" fontId="3" fillId="0" borderId="0"/>
    <xf numFmtId="0" fontId="2" fillId="0" borderId="0"/>
    <xf numFmtId="164" fontId="2" fillId="0" borderId="0"/>
    <xf numFmtId="9" fontId="2" fillId="0" borderId="0"/>
    <xf numFmtId="164" fontId="3" fillId="0" borderId="0"/>
    <xf numFmtId="0" fontId="2" fillId="0" borderId="0"/>
    <xf numFmtId="0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9" fontId="2" fillId="0" borderId="0"/>
    <xf numFmtId="164" fontId="29" fillId="0" borderId="0"/>
    <xf numFmtId="164" fontId="3" fillId="0" borderId="0"/>
    <xf numFmtId="0" fontId="2" fillId="0" borderId="0"/>
    <xf numFmtId="164" fontId="2" fillId="0" borderId="0"/>
    <xf numFmtId="9" fontId="2" fillId="0" borderId="0"/>
    <xf numFmtId="0" fontId="2" fillId="0" borderId="0"/>
    <xf numFmtId="0" fontId="2" fillId="0" borderId="0"/>
    <xf numFmtId="0" fontId="7" fillId="22" borderId="1"/>
    <xf numFmtId="0" fontId="7" fillId="22" borderId="1"/>
    <xf numFmtId="0" fontId="7" fillId="22" borderId="1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14" fillId="9" borderId="1"/>
    <xf numFmtId="0" fontId="14" fillId="9" borderId="1"/>
    <xf numFmtId="0" fontId="14" fillId="9" borderId="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7" fontId="3" fillId="0" borderId="0"/>
    <xf numFmtId="164" fontId="3" fillId="0" borderId="0"/>
    <xf numFmtId="0" fontId="7" fillId="44" borderId="1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14" fillId="31" borderId="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7" fillId="22" borderId="1"/>
    <xf numFmtId="164" fontId="3" fillId="0" borderId="0"/>
    <xf numFmtId="164" fontId="3" fillId="0" borderId="0"/>
    <xf numFmtId="0" fontId="14" fillId="9" borderId="1"/>
    <xf numFmtId="164" fontId="3" fillId="0" borderId="0"/>
    <xf numFmtId="0" fontId="2" fillId="0" borderId="0"/>
    <xf numFmtId="9" fontId="2" fillId="0" borderId="0"/>
    <xf numFmtId="164" fontId="29" fillId="0" borderId="0"/>
    <xf numFmtId="164" fontId="3" fillId="0" borderId="0"/>
    <xf numFmtId="0" fontId="2" fillId="0" borderId="0"/>
    <xf numFmtId="164" fontId="2" fillId="0" borderId="0"/>
    <xf numFmtId="9" fontId="2" fillId="0" borderId="0"/>
    <xf numFmtId="164" fontId="3" fillId="0" borderId="0"/>
    <xf numFmtId="0" fontId="2" fillId="0" borderId="0"/>
    <xf numFmtId="0" fontId="2" fillId="0" borderId="0"/>
    <xf numFmtId="164" fontId="3" fillId="0" borderId="0"/>
    <xf numFmtId="0" fontId="2" fillId="0" borderId="0"/>
    <xf numFmtId="0" fontId="2" fillId="0" borderId="0"/>
    <xf numFmtId="43" fontId="3" fillId="0" borderId="0"/>
    <xf numFmtId="43" fontId="3" fillId="0" borderId="0"/>
    <xf numFmtId="43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64" fontId="2" fillId="0" borderId="0"/>
    <xf numFmtId="9" fontId="2" fillId="0" borderId="0"/>
    <xf numFmtId="43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64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64" fontId="2" fillId="0" borderId="0"/>
    <xf numFmtId="9" fontId="2" fillId="0" borderId="0"/>
    <xf numFmtId="0" fontId="2" fillId="0" borderId="0"/>
    <xf numFmtId="0" fontId="2" fillId="0" borderId="0"/>
    <xf numFmtId="0" fontId="7" fillId="22" borderId="1"/>
    <xf numFmtId="0" fontId="7" fillId="22" borderId="1"/>
    <xf numFmtId="0" fontId="7" fillId="22" borderId="1"/>
    <xf numFmtId="0" fontId="14" fillId="9" borderId="1"/>
    <xf numFmtId="0" fontId="14" fillId="9" borderId="1"/>
    <xf numFmtId="0" fontId="14" fillId="9" borderId="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7" fillId="44" borderId="1"/>
    <xf numFmtId="164" fontId="2" fillId="0" borderId="0"/>
    <xf numFmtId="0" fontId="14" fillId="31" borderId="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7" fillId="22" borderId="1"/>
    <xf numFmtId="0" fontId="14" fillId="9" borderId="1"/>
    <xf numFmtId="0" fontId="2" fillId="0" borderId="0"/>
    <xf numFmtId="9" fontId="2" fillId="0" borderId="0"/>
    <xf numFmtId="0" fontId="2" fillId="0" borderId="0"/>
    <xf numFmtId="164" fontId="2" fillId="0" borderId="0"/>
    <xf numFmtId="9" fontId="2" fillId="0" borderId="0"/>
    <xf numFmtId="0" fontId="2" fillId="0" borderId="0"/>
    <xf numFmtId="0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9" fontId="2" fillId="0" borderId="0"/>
    <xf numFmtId="164" fontId="29" fillId="0" borderId="0"/>
    <xf numFmtId="164" fontId="3" fillId="0" borderId="0"/>
    <xf numFmtId="0" fontId="2" fillId="0" borderId="0"/>
    <xf numFmtId="164" fontId="2" fillId="0" borderId="0"/>
    <xf numFmtId="9" fontId="2" fillId="0" borderId="0"/>
    <xf numFmtId="0" fontId="2" fillId="0" borderId="0"/>
    <xf numFmtId="0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9" fontId="2" fillId="0" borderId="0"/>
    <xf numFmtId="164" fontId="29" fillId="0" borderId="0"/>
    <xf numFmtId="164" fontId="3" fillId="0" borderId="0"/>
    <xf numFmtId="0" fontId="2" fillId="0" borderId="0"/>
    <xf numFmtId="164" fontId="2" fillId="0" borderId="0"/>
    <xf numFmtId="9" fontId="2" fillId="0" borderId="0"/>
    <xf numFmtId="164" fontId="3" fillId="0" borderId="0"/>
    <xf numFmtId="0" fontId="2" fillId="0" borderId="0"/>
    <xf numFmtId="0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9" fontId="2" fillId="0" borderId="0"/>
    <xf numFmtId="164" fontId="29" fillId="0" borderId="0"/>
    <xf numFmtId="164" fontId="3" fillId="0" borderId="0"/>
    <xf numFmtId="0" fontId="2" fillId="0" borderId="0"/>
    <xf numFmtId="164" fontId="2" fillId="0" borderId="0"/>
    <xf numFmtId="9" fontId="2" fillId="0" borderId="0"/>
    <xf numFmtId="0" fontId="2" fillId="0" borderId="0"/>
    <xf numFmtId="0" fontId="2" fillId="0" borderId="0"/>
    <xf numFmtId="0" fontId="7" fillId="22" borderId="1"/>
    <xf numFmtId="0" fontId="7" fillId="22" borderId="1"/>
    <xf numFmtId="0" fontId="7" fillId="22" borderId="1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14" fillId="9" borderId="1"/>
    <xf numFmtId="0" fontId="14" fillId="9" borderId="1"/>
    <xf numFmtId="0" fontId="14" fillId="9" borderId="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7" fontId="3" fillId="0" borderId="0"/>
    <xf numFmtId="164" fontId="3" fillId="0" borderId="0"/>
    <xf numFmtId="0" fontId="7" fillId="44" borderId="1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2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14" fillId="31" borderId="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7" fillId="22" borderId="1"/>
    <xf numFmtId="164" fontId="3" fillId="0" borderId="0"/>
    <xf numFmtId="164" fontId="3" fillId="0" borderId="0"/>
    <xf numFmtId="0" fontId="14" fillId="9" borderId="1"/>
    <xf numFmtId="164" fontId="3" fillId="0" borderId="0"/>
    <xf numFmtId="0" fontId="2" fillId="0" borderId="0"/>
    <xf numFmtId="9" fontId="2" fillId="0" borderId="0"/>
    <xf numFmtId="164" fontId="29" fillId="0" borderId="0"/>
    <xf numFmtId="164" fontId="3" fillId="0" borderId="0"/>
    <xf numFmtId="0" fontId="2" fillId="0" borderId="0"/>
    <xf numFmtId="164" fontId="2" fillId="0" borderId="0"/>
    <xf numFmtId="9" fontId="2" fillId="0" borderId="0"/>
    <xf numFmtId="164" fontId="3" fillId="0" borderId="0"/>
    <xf numFmtId="0" fontId="2" fillId="0" borderId="0"/>
    <xf numFmtId="0" fontId="2" fillId="0" borderId="0"/>
    <xf numFmtId="164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0">
    <xf numFmtId="0" fontId="0" fillId="0" borderId="0" xfId="0"/>
    <xf numFmtId="0" fontId="33" fillId="0" borderId="0" xfId="132" applyFont="1"/>
    <xf numFmtId="0" fontId="31" fillId="0" borderId="0" xfId="132" applyFont="1"/>
    <xf numFmtId="0" fontId="30" fillId="47" borderId="11" xfId="132" applyFont="1" applyFill="1" applyBorder="1"/>
    <xf numFmtId="0" fontId="30" fillId="47" borderId="11" xfId="132" applyFont="1" applyFill="1" applyBorder="1" applyAlignment="1">
      <alignment horizontal="center"/>
    </xf>
    <xf numFmtId="0" fontId="31" fillId="47" borderId="11" xfId="132" applyFont="1" applyFill="1" applyBorder="1"/>
    <xf numFmtId="0" fontId="31" fillId="47" borderId="0" xfId="132" applyFont="1" applyFill="1"/>
    <xf numFmtId="43" fontId="31" fillId="47" borderId="0" xfId="84" applyFont="1" applyFill="1"/>
    <xf numFmtId="0" fontId="31" fillId="47" borderId="0" xfId="132" applyFont="1" applyFill="1" applyAlignment="1">
      <alignment horizontal="left"/>
    </xf>
    <xf numFmtId="0" fontId="30" fillId="47" borderId="12" xfId="132" applyFont="1" applyFill="1" applyBorder="1"/>
    <xf numFmtId="0" fontId="30" fillId="47" borderId="12" xfId="132" applyFont="1" applyFill="1" applyBorder="1" applyAlignment="1">
      <alignment horizontal="center"/>
    </xf>
    <xf numFmtId="0" fontId="31" fillId="47" borderId="12" xfId="132" applyFont="1" applyFill="1" applyBorder="1"/>
    <xf numFmtId="14" fontId="0" fillId="0" borderId="0" xfId="0" applyNumberFormat="1"/>
    <xf numFmtId="2" fontId="0" fillId="0" borderId="0" xfId="0" applyNumberFormat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48" borderId="16" xfId="0" applyFill="1" applyBorder="1" applyAlignment="1">
      <alignment horizontal="center"/>
    </xf>
    <xf numFmtId="0" fontId="0" fillId="48" borderId="19" xfId="0" applyFill="1" applyBorder="1" applyAlignment="1">
      <alignment horizontal="center"/>
    </xf>
    <xf numFmtId="0" fontId="34" fillId="49" borderId="0" xfId="0" applyFont="1" applyFill="1"/>
    <xf numFmtId="0" fontId="0" fillId="49" borderId="0" xfId="0" applyFill="1"/>
    <xf numFmtId="0" fontId="32" fillId="49" borderId="0" xfId="0" applyFont="1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32" fillId="0" borderId="14" xfId="0" applyFont="1" applyBorder="1" applyAlignment="1">
      <alignment horizontal="center"/>
    </xf>
    <xf numFmtId="0" fontId="0" fillId="0" borderId="14" xfId="0" applyBorder="1"/>
  </cellXfs>
  <cellStyles count="1440">
    <cellStyle name="20% - Accent1 2" xfId="4" xr:uid="{00000000-0005-0000-0000-000004000000}"/>
    <cellStyle name="20% - Accent1 2 2" xfId="395" xr:uid="{00000000-0005-0000-0000-00008B010000}"/>
    <cellStyle name="20% - Accent1 2 3" xfId="214" xr:uid="{00000000-0005-0000-0000-0000D6000000}"/>
    <cellStyle name="20% - Accent1 3" xfId="5" xr:uid="{00000000-0005-0000-0000-000005000000}"/>
    <cellStyle name="20% - Accent1 4" xfId="3" xr:uid="{00000000-0005-0000-0000-000003000000}"/>
    <cellStyle name="20% - Accent2 2" xfId="7" xr:uid="{00000000-0005-0000-0000-000007000000}"/>
    <cellStyle name="20% - Accent2 2 2" xfId="396" xr:uid="{00000000-0005-0000-0000-00008C010000}"/>
    <cellStyle name="20% - Accent2 2 3" xfId="215" xr:uid="{00000000-0005-0000-0000-0000D7000000}"/>
    <cellStyle name="20% - Accent2 3" xfId="8" xr:uid="{00000000-0005-0000-0000-000008000000}"/>
    <cellStyle name="20% - Accent2 4" xfId="6" xr:uid="{00000000-0005-0000-0000-000006000000}"/>
    <cellStyle name="20% - Accent3 2" xfId="10" xr:uid="{00000000-0005-0000-0000-00000A000000}"/>
    <cellStyle name="20% - Accent3 2 2" xfId="397" xr:uid="{00000000-0005-0000-0000-00008D010000}"/>
    <cellStyle name="20% - Accent3 2 3" xfId="216" xr:uid="{00000000-0005-0000-0000-0000D8000000}"/>
    <cellStyle name="20% - Accent3 3" xfId="11" xr:uid="{00000000-0005-0000-0000-00000B000000}"/>
    <cellStyle name="20% - Accent3 4" xfId="9" xr:uid="{00000000-0005-0000-0000-000009000000}"/>
    <cellStyle name="20% - Accent4 2" xfId="13" xr:uid="{00000000-0005-0000-0000-00000D000000}"/>
    <cellStyle name="20% - Accent4 2 2" xfId="398" xr:uid="{00000000-0005-0000-0000-00008E010000}"/>
    <cellStyle name="20% - Accent4 2 3" xfId="217" xr:uid="{00000000-0005-0000-0000-0000D9000000}"/>
    <cellStyle name="20% - Accent4 3" xfId="14" xr:uid="{00000000-0005-0000-0000-00000E000000}"/>
    <cellStyle name="20% - Accent4 4" xfId="12" xr:uid="{00000000-0005-0000-0000-00000C000000}"/>
    <cellStyle name="20% - Accent5 2" xfId="16" xr:uid="{00000000-0005-0000-0000-000010000000}"/>
    <cellStyle name="20% - Accent5 2 2" xfId="399" xr:uid="{00000000-0005-0000-0000-00008F010000}"/>
    <cellStyle name="20% - Accent5 2 3" xfId="218" xr:uid="{00000000-0005-0000-0000-0000DA000000}"/>
    <cellStyle name="20% - Accent5 3" xfId="17" xr:uid="{00000000-0005-0000-0000-000011000000}"/>
    <cellStyle name="20% - Accent5 4" xfId="15" xr:uid="{00000000-0005-0000-0000-00000F000000}"/>
    <cellStyle name="20% - Accent6 2" xfId="19" xr:uid="{00000000-0005-0000-0000-000013000000}"/>
    <cellStyle name="20% - Accent6 2 2" xfId="400" xr:uid="{00000000-0005-0000-0000-000090010000}"/>
    <cellStyle name="20% - Accent6 2 3" xfId="219" xr:uid="{00000000-0005-0000-0000-0000DB000000}"/>
    <cellStyle name="20% - Accent6 3" xfId="20" xr:uid="{00000000-0005-0000-0000-000014000000}"/>
    <cellStyle name="20% - Accent6 4" xfId="18" xr:uid="{00000000-0005-0000-0000-000012000000}"/>
    <cellStyle name="40% - Accent1 2" xfId="22" xr:uid="{00000000-0005-0000-0000-000016000000}"/>
    <cellStyle name="40% - Accent1 2 2" xfId="401" xr:uid="{00000000-0005-0000-0000-000091010000}"/>
    <cellStyle name="40% - Accent1 2 3" xfId="220" xr:uid="{00000000-0005-0000-0000-0000DC000000}"/>
    <cellStyle name="40% - Accent1 3" xfId="23" xr:uid="{00000000-0005-0000-0000-000017000000}"/>
    <cellStyle name="40% - Accent1 4" xfId="21" xr:uid="{00000000-0005-0000-0000-000015000000}"/>
    <cellStyle name="40% - Accent2 2" xfId="25" xr:uid="{00000000-0005-0000-0000-000019000000}"/>
    <cellStyle name="40% - Accent2 2 2" xfId="402" xr:uid="{00000000-0005-0000-0000-000092010000}"/>
    <cellStyle name="40% - Accent2 2 3" xfId="221" xr:uid="{00000000-0005-0000-0000-0000DD000000}"/>
    <cellStyle name="40% - Accent2 3" xfId="26" xr:uid="{00000000-0005-0000-0000-00001A000000}"/>
    <cellStyle name="40% - Accent2 4" xfId="24" xr:uid="{00000000-0005-0000-0000-000018000000}"/>
    <cellStyle name="40% - Accent3 2" xfId="28" xr:uid="{00000000-0005-0000-0000-00001C000000}"/>
    <cellStyle name="40% - Accent3 2 2" xfId="403" xr:uid="{00000000-0005-0000-0000-000093010000}"/>
    <cellStyle name="40% - Accent3 2 3" xfId="222" xr:uid="{00000000-0005-0000-0000-0000DE000000}"/>
    <cellStyle name="40% - Accent3 3" xfId="29" xr:uid="{00000000-0005-0000-0000-00001D000000}"/>
    <cellStyle name="40% - Accent3 4" xfId="27" xr:uid="{00000000-0005-0000-0000-00001B000000}"/>
    <cellStyle name="40% - Accent4 2" xfId="31" xr:uid="{00000000-0005-0000-0000-00001F000000}"/>
    <cellStyle name="40% - Accent4 2 2" xfId="404" xr:uid="{00000000-0005-0000-0000-000094010000}"/>
    <cellStyle name="40% - Accent4 2 3" xfId="223" xr:uid="{00000000-0005-0000-0000-0000DF000000}"/>
    <cellStyle name="40% - Accent4 3" xfId="32" xr:uid="{00000000-0005-0000-0000-000020000000}"/>
    <cellStyle name="40% - Accent4 4" xfId="30" xr:uid="{00000000-0005-0000-0000-00001E000000}"/>
    <cellStyle name="40% - Accent5 2" xfId="34" xr:uid="{00000000-0005-0000-0000-000022000000}"/>
    <cellStyle name="40% - Accent5 2 2" xfId="405" xr:uid="{00000000-0005-0000-0000-000095010000}"/>
    <cellStyle name="40% - Accent5 2 3" xfId="224" xr:uid="{00000000-0005-0000-0000-0000E0000000}"/>
    <cellStyle name="40% - Accent5 3" xfId="35" xr:uid="{00000000-0005-0000-0000-000023000000}"/>
    <cellStyle name="40% - Accent5 4" xfId="33" xr:uid="{00000000-0005-0000-0000-000021000000}"/>
    <cellStyle name="40% - Accent6 2" xfId="37" xr:uid="{00000000-0005-0000-0000-000025000000}"/>
    <cellStyle name="40% - Accent6 2 2" xfId="406" xr:uid="{00000000-0005-0000-0000-000096010000}"/>
    <cellStyle name="40% - Accent6 2 3" xfId="225" xr:uid="{00000000-0005-0000-0000-0000E1000000}"/>
    <cellStyle name="40% - Accent6 3" xfId="38" xr:uid="{00000000-0005-0000-0000-000026000000}"/>
    <cellStyle name="40% - Accent6 4" xfId="36" xr:uid="{00000000-0005-0000-0000-000024000000}"/>
    <cellStyle name="60% - Accent1 2" xfId="40" xr:uid="{00000000-0005-0000-0000-000028000000}"/>
    <cellStyle name="60% - Accent1 2 2" xfId="407" xr:uid="{00000000-0005-0000-0000-000097010000}"/>
    <cellStyle name="60% - Accent1 2 3" xfId="226" xr:uid="{00000000-0005-0000-0000-0000E2000000}"/>
    <cellStyle name="60% - Accent1 3" xfId="41" xr:uid="{00000000-0005-0000-0000-000029000000}"/>
    <cellStyle name="60% - Accent1 4" xfId="39" xr:uid="{00000000-0005-0000-0000-000027000000}"/>
    <cellStyle name="60% - Accent2 2" xfId="43" xr:uid="{00000000-0005-0000-0000-00002B000000}"/>
    <cellStyle name="60% - Accent2 2 2" xfId="408" xr:uid="{00000000-0005-0000-0000-000098010000}"/>
    <cellStyle name="60% - Accent2 2 3" xfId="227" xr:uid="{00000000-0005-0000-0000-0000E3000000}"/>
    <cellStyle name="60% - Accent2 3" xfId="44" xr:uid="{00000000-0005-0000-0000-00002C000000}"/>
    <cellStyle name="60% - Accent2 4" xfId="42" xr:uid="{00000000-0005-0000-0000-00002A000000}"/>
    <cellStyle name="60% - Accent3 2" xfId="46" xr:uid="{00000000-0005-0000-0000-00002E000000}"/>
    <cellStyle name="60% - Accent3 2 2" xfId="409" xr:uid="{00000000-0005-0000-0000-000099010000}"/>
    <cellStyle name="60% - Accent3 2 3" xfId="228" xr:uid="{00000000-0005-0000-0000-0000E4000000}"/>
    <cellStyle name="60% - Accent3 3" xfId="47" xr:uid="{00000000-0005-0000-0000-00002F000000}"/>
    <cellStyle name="60% - Accent3 4" xfId="45" xr:uid="{00000000-0005-0000-0000-00002D000000}"/>
    <cellStyle name="60% - Accent4 2" xfId="49" xr:uid="{00000000-0005-0000-0000-000031000000}"/>
    <cellStyle name="60% - Accent4 2 2" xfId="410" xr:uid="{00000000-0005-0000-0000-00009A010000}"/>
    <cellStyle name="60% - Accent4 2 3" xfId="229" xr:uid="{00000000-0005-0000-0000-0000E5000000}"/>
    <cellStyle name="60% - Accent4 3" xfId="50" xr:uid="{00000000-0005-0000-0000-000032000000}"/>
    <cellStyle name="60% - Accent4 4" xfId="48" xr:uid="{00000000-0005-0000-0000-000030000000}"/>
    <cellStyle name="60% - Accent5 2" xfId="52" xr:uid="{00000000-0005-0000-0000-000034000000}"/>
    <cellStyle name="60% - Accent5 2 2" xfId="411" xr:uid="{00000000-0005-0000-0000-00009B010000}"/>
    <cellStyle name="60% - Accent5 2 3" xfId="230" xr:uid="{00000000-0005-0000-0000-0000E6000000}"/>
    <cellStyle name="60% - Accent5 3" xfId="53" xr:uid="{00000000-0005-0000-0000-000035000000}"/>
    <cellStyle name="60% - Accent5 4" xfId="51" xr:uid="{00000000-0005-0000-0000-000033000000}"/>
    <cellStyle name="60% - Accent6 2" xfId="55" xr:uid="{00000000-0005-0000-0000-000037000000}"/>
    <cellStyle name="60% - Accent6 2 2" xfId="412" xr:uid="{00000000-0005-0000-0000-00009C010000}"/>
    <cellStyle name="60% - Accent6 2 3" xfId="231" xr:uid="{00000000-0005-0000-0000-0000E7000000}"/>
    <cellStyle name="60% - Accent6 3" xfId="56" xr:uid="{00000000-0005-0000-0000-000038000000}"/>
    <cellStyle name="60% - Accent6 4" xfId="54" xr:uid="{00000000-0005-0000-0000-000036000000}"/>
    <cellStyle name="Accent1 2" xfId="58" xr:uid="{00000000-0005-0000-0000-00003A000000}"/>
    <cellStyle name="Accent1 2 2" xfId="413" xr:uid="{00000000-0005-0000-0000-00009D010000}"/>
    <cellStyle name="Accent1 2 3" xfId="232" xr:uid="{00000000-0005-0000-0000-0000E8000000}"/>
    <cellStyle name="Accent1 3" xfId="59" xr:uid="{00000000-0005-0000-0000-00003B000000}"/>
    <cellStyle name="Accent1 4" xfId="57" xr:uid="{00000000-0005-0000-0000-000039000000}"/>
    <cellStyle name="Accent2 2" xfId="61" xr:uid="{00000000-0005-0000-0000-00003D000000}"/>
    <cellStyle name="Accent2 2 2" xfId="414" xr:uid="{00000000-0005-0000-0000-00009E010000}"/>
    <cellStyle name="Accent2 2 3" xfId="233" xr:uid="{00000000-0005-0000-0000-0000E9000000}"/>
    <cellStyle name="Accent2 3" xfId="62" xr:uid="{00000000-0005-0000-0000-00003E000000}"/>
    <cellStyle name="Accent2 4" xfId="60" xr:uid="{00000000-0005-0000-0000-00003C000000}"/>
    <cellStyle name="Accent3 2" xfId="64" xr:uid="{00000000-0005-0000-0000-000040000000}"/>
    <cellStyle name="Accent3 2 2" xfId="415" xr:uid="{00000000-0005-0000-0000-00009F010000}"/>
    <cellStyle name="Accent3 2 3" xfId="234" xr:uid="{00000000-0005-0000-0000-0000EA000000}"/>
    <cellStyle name="Accent3 3" xfId="65" xr:uid="{00000000-0005-0000-0000-000041000000}"/>
    <cellStyle name="Accent3 4" xfId="63" xr:uid="{00000000-0005-0000-0000-00003F000000}"/>
    <cellStyle name="Accent4 2" xfId="67" xr:uid="{00000000-0005-0000-0000-000043000000}"/>
    <cellStyle name="Accent4 2 2" xfId="416" xr:uid="{00000000-0005-0000-0000-0000A0010000}"/>
    <cellStyle name="Accent4 2 3" xfId="235" xr:uid="{00000000-0005-0000-0000-0000EB000000}"/>
    <cellStyle name="Accent4 3" xfId="68" xr:uid="{00000000-0005-0000-0000-000044000000}"/>
    <cellStyle name="Accent4 4" xfId="66" xr:uid="{00000000-0005-0000-0000-000042000000}"/>
    <cellStyle name="Accent5 2" xfId="70" xr:uid="{00000000-0005-0000-0000-000046000000}"/>
    <cellStyle name="Accent5 2 2" xfId="417" xr:uid="{00000000-0005-0000-0000-0000A1010000}"/>
    <cellStyle name="Accent5 2 3" xfId="236" xr:uid="{00000000-0005-0000-0000-0000EC000000}"/>
    <cellStyle name="Accent5 3" xfId="71" xr:uid="{00000000-0005-0000-0000-000047000000}"/>
    <cellStyle name="Accent5 4" xfId="69" xr:uid="{00000000-0005-0000-0000-000045000000}"/>
    <cellStyle name="Accent6 2" xfId="73" xr:uid="{00000000-0005-0000-0000-000049000000}"/>
    <cellStyle name="Accent6 2 2" xfId="418" xr:uid="{00000000-0005-0000-0000-0000A2010000}"/>
    <cellStyle name="Accent6 2 3" xfId="237" xr:uid="{00000000-0005-0000-0000-0000ED000000}"/>
    <cellStyle name="Accent6 3" xfId="74" xr:uid="{00000000-0005-0000-0000-00004A000000}"/>
    <cellStyle name="Accent6 4" xfId="72" xr:uid="{00000000-0005-0000-0000-000048000000}"/>
    <cellStyle name="Bad 2" xfId="76" xr:uid="{00000000-0005-0000-0000-00004C000000}"/>
    <cellStyle name="Bad 2 2" xfId="419" xr:uid="{00000000-0005-0000-0000-0000A3010000}"/>
    <cellStyle name="Bad 2 3" xfId="238" xr:uid="{00000000-0005-0000-0000-0000EE000000}"/>
    <cellStyle name="Bad 3" xfId="77" xr:uid="{00000000-0005-0000-0000-00004D000000}"/>
    <cellStyle name="Bad 4" xfId="75" xr:uid="{00000000-0005-0000-0000-00004B000000}"/>
    <cellStyle name="Calculation 2" xfId="79" xr:uid="{00000000-0005-0000-0000-00004F000000}"/>
    <cellStyle name="Calculation 2 2" xfId="420" xr:uid="{00000000-0005-0000-0000-0000A4010000}"/>
    <cellStyle name="Calculation 2 2 2" xfId="556" xr:uid="{00000000-0005-0000-0000-00002C020000}"/>
    <cellStyle name="Calculation 2 2 2 2" xfId="785" xr:uid="{00000000-0005-0000-0000-000011030000}"/>
    <cellStyle name="Calculation 2 2 2 2 2" xfId="1372" xr:uid="{00000000-0005-0000-0000-00005C050000}"/>
    <cellStyle name="Calculation 2 2 2 2 3" xfId="933" xr:uid="{00000000-0005-0000-0000-0000A5030000}"/>
    <cellStyle name="Calculation 2 3" xfId="239" xr:uid="{00000000-0005-0000-0000-0000EF000000}"/>
    <cellStyle name="Calculation 2 3 2" xfId="474" xr:uid="{00000000-0005-0000-0000-0000DA010000}"/>
    <cellStyle name="Calculation 2 3 2 2" xfId="704" xr:uid="{00000000-0005-0000-0000-0000C0020000}"/>
    <cellStyle name="Calculation 2 3 2 2 2" xfId="1291" xr:uid="{00000000-0005-0000-0000-00000B050000}"/>
    <cellStyle name="Calculation 2 3 2 2 3" xfId="916" xr:uid="{00000000-0005-0000-0000-000094030000}"/>
    <cellStyle name="Calculation 2 4" xfId="446" xr:uid="{00000000-0005-0000-0000-0000BE010000}"/>
    <cellStyle name="Calculation 2 4 2" xfId="682" xr:uid="{00000000-0005-0000-0000-0000AA020000}"/>
    <cellStyle name="Calculation 2 4 2 2" xfId="1269" xr:uid="{00000000-0005-0000-0000-0000F5040000}"/>
    <cellStyle name="Calculation 2 4 2 3" xfId="902" xr:uid="{00000000-0005-0000-0000-000086030000}"/>
    <cellStyle name="Calculation 3" xfId="80" xr:uid="{00000000-0005-0000-0000-000050000000}"/>
    <cellStyle name="Calculation 3 2" xfId="447" xr:uid="{00000000-0005-0000-0000-0000BF010000}"/>
    <cellStyle name="Calculation 3 2 2" xfId="683" xr:uid="{00000000-0005-0000-0000-0000AB020000}"/>
    <cellStyle name="Calculation 3 2 2 2" xfId="1270" xr:uid="{00000000-0005-0000-0000-0000F6040000}"/>
    <cellStyle name="Calculation 3 2 2 3" xfId="903" xr:uid="{00000000-0005-0000-0000-000087030000}"/>
    <cellStyle name="Calculation 4" xfId="445" xr:uid="{00000000-0005-0000-0000-0000BD010000}"/>
    <cellStyle name="Calculation 4 2" xfId="681" xr:uid="{00000000-0005-0000-0000-0000A9020000}"/>
    <cellStyle name="Calculation 4 2 2" xfId="1268" xr:uid="{00000000-0005-0000-0000-0000F4040000}"/>
    <cellStyle name="Calculation 4 2 3" xfId="901" xr:uid="{00000000-0005-0000-0000-000085030000}"/>
    <cellStyle name="Calculation 5" xfId="78" xr:uid="{00000000-0005-0000-0000-00004E000000}"/>
    <cellStyle name="Check Cell 2" xfId="82" xr:uid="{00000000-0005-0000-0000-000052000000}"/>
    <cellStyle name="Check Cell 2 2" xfId="421" xr:uid="{00000000-0005-0000-0000-0000A5010000}"/>
    <cellStyle name="Check Cell 2 3" xfId="240" xr:uid="{00000000-0005-0000-0000-0000F0000000}"/>
    <cellStyle name="Check Cell 3" xfId="83" xr:uid="{00000000-0005-0000-0000-000053000000}"/>
    <cellStyle name="Check Cell 4" xfId="81" xr:uid="{00000000-0005-0000-0000-000051000000}"/>
    <cellStyle name="Comma 10" xfId="241" xr:uid="{00000000-0005-0000-0000-0000F1000000}"/>
    <cellStyle name="Comma 10 2" xfId="242" xr:uid="{00000000-0005-0000-0000-0000F2000000}"/>
    <cellStyle name="Comma 10 2 2" xfId="476" xr:uid="{00000000-0005-0000-0000-0000DC010000}"/>
    <cellStyle name="Comma 10 2 2 2" xfId="706" xr:uid="{00000000-0005-0000-0000-0000C2020000}"/>
    <cellStyle name="Comma 10 2 2 2 2" xfId="1293" xr:uid="{00000000-0005-0000-0000-00000D050000}"/>
    <cellStyle name="Comma 10 2 2 3" xfId="1068" xr:uid="{00000000-0005-0000-0000-00002C040000}"/>
    <cellStyle name="Comma 10 2 3" xfId="591" xr:uid="{00000000-0005-0000-0000-00004F020000}"/>
    <cellStyle name="Comma 10 2 3 2" xfId="1178" xr:uid="{00000000-0005-0000-0000-00009A040000}"/>
    <cellStyle name="Comma 10 2 4" xfId="960" xr:uid="{00000000-0005-0000-0000-0000C0030000}"/>
    <cellStyle name="Comma 10 3" xfId="475" xr:uid="{00000000-0005-0000-0000-0000DB010000}"/>
    <cellStyle name="Comma 10 3 2" xfId="705" xr:uid="{00000000-0005-0000-0000-0000C1020000}"/>
    <cellStyle name="Comma 10 3 2 2" xfId="1292" xr:uid="{00000000-0005-0000-0000-00000C050000}"/>
    <cellStyle name="Comma 10 3 3" xfId="1067" xr:uid="{00000000-0005-0000-0000-00002B040000}"/>
    <cellStyle name="Comma 10 4" xfId="590" xr:uid="{00000000-0005-0000-0000-00004E020000}"/>
    <cellStyle name="Comma 10 4 2" xfId="1177" xr:uid="{00000000-0005-0000-0000-000099040000}"/>
    <cellStyle name="Comma 10 5" xfId="959" xr:uid="{00000000-0005-0000-0000-0000BF030000}"/>
    <cellStyle name="Comma 11" xfId="243" xr:uid="{00000000-0005-0000-0000-0000F3000000}"/>
    <cellStyle name="Comma 11 2" xfId="244" xr:uid="{00000000-0005-0000-0000-0000F4000000}"/>
    <cellStyle name="Comma 11 2 2" xfId="245" xr:uid="{00000000-0005-0000-0000-0000F5000000}"/>
    <cellStyle name="Comma 11 2 2 2" xfId="479" xr:uid="{00000000-0005-0000-0000-0000DF010000}"/>
    <cellStyle name="Comma 11 2 2 2 2" xfId="709" xr:uid="{00000000-0005-0000-0000-0000C5020000}"/>
    <cellStyle name="Comma 11 2 2 2 2 2" xfId="1296" xr:uid="{00000000-0005-0000-0000-000010050000}"/>
    <cellStyle name="Comma 11 2 2 2 3" xfId="1071" xr:uid="{00000000-0005-0000-0000-00002F040000}"/>
    <cellStyle name="Comma 11 2 2 3" xfId="594" xr:uid="{00000000-0005-0000-0000-000052020000}"/>
    <cellStyle name="Comma 11 2 2 3 2" xfId="1181" xr:uid="{00000000-0005-0000-0000-00009D040000}"/>
    <cellStyle name="Comma 11 2 2 4" xfId="963" xr:uid="{00000000-0005-0000-0000-0000C3030000}"/>
    <cellStyle name="Comma 11 2 3" xfId="478" xr:uid="{00000000-0005-0000-0000-0000DE010000}"/>
    <cellStyle name="Comma 11 2 3 2" xfId="708" xr:uid="{00000000-0005-0000-0000-0000C4020000}"/>
    <cellStyle name="Comma 11 2 3 2 2" xfId="1295" xr:uid="{00000000-0005-0000-0000-00000F050000}"/>
    <cellStyle name="Comma 11 2 3 3" xfId="1070" xr:uid="{00000000-0005-0000-0000-00002E040000}"/>
    <cellStyle name="Comma 11 2 4" xfId="593" xr:uid="{00000000-0005-0000-0000-000051020000}"/>
    <cellStyle name="Comma 11 2 4 2" xfId="1180" xr:uid="{00000000-0005-0000-0000-00009C040000}"/>
    <cellStyle name="Comma 11 2 5" xfId="962" xr:uid="{00000000-0005-0000-0000-0000C2030000}"/>
    <cellStyle name="Comma 11 3" xfId="246" xr:uid="{00000000-0005-0000-0000-0000F6000000}"/>
    <cellStyle name="Comma 11 3 2" xfId="480" xr:uid="{00000000-0005-0000-0000-0000E0010000}"/>
    <cellStyle name="Comma 11 3 2 2" xfId="710" xr:uid="{00000000-0005-0000-0000-0000C6020000}"/>
    <cellStyle name="Comma 11 3 2 2 2" xfId="1297" xr:uid="{00000000-0005-0000-0000-000011050000}"/>
    <cellStyle name="Comma 11 3 2 3" xfId="1072" xr:uid="{00000000-0005-0000-0000-000030040000}"/>
    <cellStyle name="Comma 11 3 3" xfId="595" xr:uid="{00000000-0005-0000-0000-000053020000}"/>
    <cellStyle name="Comma 11 3 3 2" xfId="1182" xr:uid="{00000000-0005-0000-0000-00009E040000}"/>
    <cellStyle name="Comma 11 3 4" xfId="964" xr:uid="{00000000-0005-0000-0000-0000C4030000}"/>
    <cellStyle name="Comma 11 4" xfId="477" xr:uid="{00000000-0005-0000-0000-0000DD010000}"/>
    <cellStyle name="Comma 11 4 2" xfId="707" xr:uid="{00000000-0005-0000-0000-0000C3020000}"/>
    <cellStyle name="Comma 11 4 2 2" xfId="1294" xr:uid="{00000000-0005-0000-0000-00000E050000}"/>
    <cellStyle name="Comma 11 4 3" xfId="1069" xr:uid="{00000000-0005-0000-0000-00002D040000}"/>
    <cellStyle name="Comma 11 5" xfId="592" xr:uid="{00000000-0005-0000-0000-000050020000}"/>
    <cellStyle name="Comma 11 5 2" xfId="1179" xr:uid="{00000000-0005-0000-0000-00009B040000}"/>
    <cellStyle name="Comma 11 6" xfId="961" xr:uid="{00000000-0005-0000-0000-0000C1030000}"/>
    <cellStyle name="Comma 12" xfId="247" xr:uid="{00000000-0005-0000-0000-0000F7000000}"/>
    <cellStyle name="Comma 12 2" xfId="248" xr:uid="{00000000-0005-0000-0000-0000F8000000}"/>
    <cellStyle name="Comma 12 2 2" xfId="482" xr:uid="{00000000-0005-0000-0000-0000E2010000}"/>
    <cellStyle name="Comma 12 2 2 2" xfId="712" xr:uid="{00000000-0005-0000-0000-0000C8020000}"/>
    <cellStyle name="Comma 12 2 2 2 2" xfId="1299" xr:uid="{00000000-0005-0000-0000-000013050000}"/>
    <cellStyle name="Comma 12 2 2 3" xfId="1074" xr:uid="{00000000-0005-0000-0000-000032040000}"/>
    <cellStyle name="Comma 12 2 3" xfId="597" xr:uid="{00000000-0005-0000-0000-000055020000}"/>
    <cellStyle name="Comma 12 2 3 2" xfId="1184" xr:uid="{00000000-0005-0000-0000-0000A0040000}"/>
    <cellStyle name="Comma 12 2 4" xfId="966" xr:uid="{00000000-0005-0000-0000-0000C6030000}"/>
    <cellStyle name="Comma 12 3" xfId="481" xr:uid="{00000000-0005-0000-0000-0000E1010000}"/>
    <cellStyle name="Comma 12 3 2" xfId="711" xr:uid="{00000000-0005-0000-0000-0000C7020000}"/>
    <cellStyle name="Comma 12 3 2 2" xfId="1298" xr:uid="{00000000-0005-0000-0000-000012050000}"/>
    <cellStyle name="Comma 12 3 3" xfId="1073" xr:uid="{00000000-0005-0000-0000-000031040000}"/>
    <cellStyle name="Comma 12 4" xfId="596" xr:uid="{00000000-0005-0000-0000-000054020000}"/>
    <cellStyle name="Comma 12 4 2" xfId="1183" xr:uid="{00000000-0005-0000-0000-00009F040000}"/>
    <cellStyle name="Comma 12 5" xfId="965" xr:uid="{00000000-0005-0000-0000-0000C5030000}"/>
    <cellStyle name="Comma 13" xfId="249" xr:uid="{00000000-0005-0000-0000-0000F9000000}"/>
    <cellStyle name="Comma 13 2" xfId="250" xr:uid="{00000000-0005-0000-0000-0000FA000000}"/>
    <cellStyle name="Comma 13 2 2" xfId="484" xr:uid="{00000000-0005-0000-0000-0000E4010000}"/>
    <cellStyle name="Comma 13 2 2 2" xfId="714" xr:uid="{00000000-0005-0000-0000-0000CA020000}"/>
    <cellStyle name="Comma 13 2 2 2 2" xfId="1301" xr:uid="{00000000-0005-0000-0000-000015050000}"/>
    <cellStyle name="Comma 13 2 2 3" xfId="1076" xr:uid="{00000000-0005-0000-0000-000034040000}"/>
    <cellStyle name="Comma 13 2 3" xfId="599" xr:uid="{00000000-0005-0000-0000-000057020000}"/>
    <cellStyle name="Comma 13 2 3 2" xfId="1186" xr:uid="{00000000-0005-0000-0000-0000A2040000}"/>
    <cellStyle name="Comma 13 2 4" xfId="968" xr:uid="{00000000-0005-0000-0000-0000C8030000}"/>
    <cellStyle name="Comma 13 3" xfId="483" xr:uid="{00000000-0005-0000-0000-0000E3010000}"/>
    <cellStyle name="Comma 13 3 2" xfId="713" xr:uid="{00000000-0005-0000-0000-0000C9020000}"/>
    <cellStyle name="Comma 13 3 2 2" xfId="1300" xr:uid="{00000000-0005-0000-0000-000014050000}"/>
    <cellStyle name="Comma 13 3 3" xfId="1075" xr:uid="{00000000-0005-0000-0000-000033040000}"/>
    <cellStyle name="Comma 13 4" xfId="598" xr:uid="{00000000-0005-0000-0000-000056020000}"/>
    <cellStyle name="Comma 13 4 2" xfId="1185" xr:uid="{00000000-0005-0000-0000-0000A1040000}"/>
    <cellStyle name="Comma 13 5" xfId="967" xr:uid="{00000000-0005-0000-0000-0000C7030000}"/>
    <cellStyle name="Comma 14" xfId="251" xr:uid="{00000000-0005-0000-0000-0000FB000000}"/>
    <cellStyle name="Comma 14 2" xfId="485" xr:uid="{00000000-0005-0000-0000-0000E5010000}"/>
    <cellStyle name="Comma 14 2 2" xfId="715" xr:uid="{00000000-0005-0000-0000-0000CB020000}"/>
    <cellStyle name="Comma 14 2 2 2" xfId="1302" xr:uid="{00000000-0005-0000-0000-000016050000}"/>
    <cellStyle name="Comma 14 2 3" xfId="1077" xr:uid="{00000000-0005-0000-0000-000035040000}"/>
    <cellStyle name="Comma 14 3" xfId="600" xr:uid="{00000000-0005-0000-0000-000058020000}"/>
    <cellStyle name="Comma 14 3 2" xfId="1187" xr:uid="{00000000-0005-0000-0000-0000A3040000}"/>
    <cellStyle name="Comma 14 4" xfId="969" xr:uid="{00000000-0005-0000-0000-0000C9030000}"/>
    <cellStyle name="Comma 15" xfId="252" xr:uid="{00000000-0005-0000-0000-0000FC000000}"/>
    <cellStyle name="Comma 15 2" xfId="486" xr:uid="{00000000-0005-0000-0000-0000E6010000}"/>
    <cellStyle name="Comma 15 2 2" xfId="716" xr:uid="{00000000-0005-0000-0000-0000CC020000}"/>
    <cellStyle name="Comma 15 2 2 2" xfId="1303" xr:uid="{00000000-0005-0000-0000-000017050000}"/>
    <cellStyle name="Comma 15 2 3" xfId="1078" xr:uid="{00000000-0005-0000-0000-000036040000}"/>
    <cellStyle name="Comma 15 3" xfId="601" xr:uid="{00000000-0005-0000-0000-000059020000}"/>
    <cellStyle name="Comma 15 3 2" xfId="1188" xr:uid="{00000000-0005-0000-0000-0000A4040000}"/>
    <cellStyle name="Comma 15 4" xfId="970" xr:uid="{00000000-0005-0000-0000-0000CA030000}"/>
    <cellStyle name="Comma 16" xfId="253" xr:uid="{00000000-0005-0000-0000-0000FD000000}"/>
    <cellStyle name="Comma 16 2" xfId="487" xr:uid="{00000000-0005-0000-0000-0000E7010000}"/>
    <cellStyle name="Comma 16 2 2" xfId="717" xr:uid="{00000000-0005-0000-0000-0000CD020000}"/>
    <cellStyle name="Comma 16 2 2 2" xfId="1304" xr:uid="{00000000-0005-0000-0000-000018050000}"/>
    <cellStyle name="Comma 16 2 3" xfId="1079" xr:uid="{00000000-0005-0000-0000-000037040000}"/>
    <cellStyle name="Comma 16 3" xfId="602" xr:uid="{00000000-0005-0000-0000-00005A020000}"/>
    <cellStyle name="Comma 16 3 2" xfId="1189" xr:uid="{00000000-0005-0000-0000-0000A5040000}"/>
    <cellStyle name="Comma 16 4" xfId="971" xr:uid="{00000000-0005-0000-0000-0000CB030000}"/>
    <cellStyle name="Comma 17" xfId="254" xr:uid="{00000000-0005-0000-0000-0000FE000000}"/>
    <cellStyle name="Comma 17 2" xfId="488" xr:uid="{00000000-0005-0000-0000-0000E8010000}"/>
    <cellStyle name="Comma 17 2 2" xfId="718" xr:uid="{00000000-0005-0000-0000-0000CE020000}"/>
    <cellStyle name="Comma 17 2 2 2" xfId="1305" xr:uid="{00000000-0005-0000-0000-000019050000}"/>
    <cellStyle name="Comma 17 2 3" xfId="1080" xr:uid="{00000000-0005-0000-0000-000038040000}"/>
    <cellStyle name="Comma 17 3" xfId="603" xr:uid="{00000000-0005-0000-0000-00005B020000}"/>
    <cellStyle name="Comma 17 3 2" xfId="1190" xr:uid="{00000000-0005-0000-0000-0000A6040000}"/>
    <cellStyle name="Comma 17 4" xfId="972" xr:uid="{00000000-0005-0000-0000-0000CC030000}"/>
    <cellStyle name="Comma 18" xfId="255" xr:uid="{00000000-0005-0000-0000-0000FF000000}"/>
    <cellStyle name="Comma 18 2" xfId="489" xr:uid="{00000000-0005-0000-0000-0000E9010000}"/>
    <cellStyle name="Comma 18 2 2" xfId="719" xr:uid="{00000000-0005-0000-0000-0000CF020000}"/>
    <cellStyle name="Comma 18 2 2 2" xfId="1306" xr:uid="{00000000-0005-0000-0000-00001A050000}"/>
    <cellStyle name="Comma 18 2 3" xfId="1081" xr:uid="{00000000-0005-0000-0000-000039040000}"/>
    <cellStyle name="Comma 18 3" xfId="604" xr:uid="{00000000-0005-0000-0000-00005C020000}"/>
    <cellStyle name="Comma 18 3 2" xfId="1191" xr:uid="{00000000-0005-0000-0000-0000A7040000}"/>
    <cellStyle name="Comma 18 4" xfId="973" xr:uid="{00000000-0005-0000-0000-0000CD030000}"/>
    <cellStyle name="Comma 19" xfId="422" xr:uid="{00000000-0005-0000-0000-0000A6010000}"/>
    <cellStyle name="Comma 19 2" xfId="557" xr:uid="{00000000-0005-0000-0000-00002D020000}"/>
    <cellStyle name="Comma 19 2 2" xfId="786" xr:uid="{00000000-0005-0000-0000-000012030000}"/>
    <cellStyle name="Comma 19 2 2 2" xfId="1373" xr:uid="{00000000-0005-0000-0000-00005D050000}"/>
    <cellStyle name="Comma 19 2 3" xfId="1146" xr:uid="{00000000-0005-0000-0000-00007A040000}"/>
    <cellStyle name="Comma 19 3" xfId="669" xr:uid="{00000000-0005-0000-0000-00009D020000}"/>
    <cellStyle name="Comma 19 3 2" xfId="1256" xr:uid="{00000000-0005-0000-0000-0000E8040000}"/>
    <cellStyle name="Comma 19 4" xfId="1038" xr:uid="{00000000-0005-0000-0000-00000E040000}"/>
    <cellStyle name="Comma 2" xfId="84" xr:uid="{00000000-0005-0000-0000-000054000000}"/>
    <cellStyle name="Comma 2 2" xfId="85" xr:uid="{00000000-0005-0000-0000-000055000000}"/>
    <cellStyle name="Comma 2 2 2" xfId="256" xr:uid="{00000000-0005-0000-0000-000000010000}"/>
    <cellStyle name="Comma 2 2 2 2" xfId="257" xr:uid="{00000000-0005-0000-0000-000001010000}"/>
    <cellStyle name="Comma 2 2 2 3" xfId="258" xr:uid="{00000000-0005-0000-0000-000002010000}"/>
    <cellStyle name="Comma 2 2 2 3 2" xfId="491" xr:uid="{00000000-0005-0000-0000-0000EB010000}"/>
    <cellStyle name="Comma 2 2 2 3 2 2" xfId="721" xr:uid="{00000000-0005-0000-0000-0000D1020000}"/>
    <cellStyle name="Comma 2 2 2 3 2 2 2" xfId="1308" xr:uid="{00000000-0005-0000-0000-00001C050000}"/>
    <cellStyle name="Comma 2 2 2 3 2 3" xfId="1083" xr:uid="{00000000-0005-0000-0000-00003B040000}"/>
    <cellStyle name="Comma 2 2 2 3 3" xfId="606" xr:uid="{00000000-0005-0000-0000-00005E020000}"/>
    <cellStyle name="Comma 2 2 2 3 3 2" xfId="1193" xr:uid="{00000000-0005-0000-0000-0000A9040000}"/>
    <cellStyle name="Comma 2 2 2 3 4" xfId="975" xr:uid="{00000000-0005-0000-0000-0000CF030000}"/>
    <cellStyle name="Comma 2 2 2 4" xfId="259" xr:uid="{00000000-0005-0000-0000-000003010000}"/>
    <cellStyle name="Comma 2 2 2 4 2" xfId="492" xr:uid="{00000000-0005-0000-0000-0000EC010000}"/>
    <cellStyle name="Comma 2 2 2 4 2 2" xfId="722" xr:uid="{00000000-0005-0000-0000-0000D2020000}"/>
    <cellStyle name="Comma 2 2 2 4 2 2 2" xfId="1309" xr:uid="{00000000-0005-0000-0000-00001D050000}"/>
    <cellStyle name="Comma 2 2 2 4 2 3" xfId="1084" xr:uid="{00000000-0005-0000-0000-00003C040000}"/>
    <cellStyle name="Comma 2 2 2 4 3" xfId="607" xr:uid="{00000000-0005-0000-0000-00005F020000}"/>
    <cellStyle name="Comma 2 2 2 4 3 2" xfId="1194" xr:uid="{00000000-0005-0000-0000-0000AA040000}"/>
    <cellStyle name="Comma 2 2 2 4 4" xfId="976" xr:uid="{00000000-0005-0000-0000-0000D0030000}"/>
    <cellStyle name="Comma 2 2 2 5" xfId="490" xr:uid="{00000000-0005-0000-0000-0000EA010000}"/>
    <cellStyle name="Comma 2 2 2 5 2" xfId="720" xr:uid="{00000000-0005-0000-0000-0000D0020000}"/>
    <cellStyle name="Comma 2 2 2 5 2 2" xfId="1307" xr:uid="{00000000-0005-0000-0000-00001B050000}"/>
    <cellStyle name="Comma 2 2 2 5 3" xfId="1082" xr:uid="{00000000-0005-0000-0000-00003A040000}"/>
    <cellStyle name="Comma 2 2 2 6" xfId="605" xr:uid="{00000000-0005-0000-0000-00005D020000}"/>
    <cellStyle name="Comma 2 2 2 6 2" xfId="1192" xr:uid="{00000000-0005-0000-0000-0000A8040000}"/>
    <cellStyle name="Comma 2 2 2 7" xfId="974" xr:uid="{00000000-0005-0000-0000-0000CE030000}"/>
    <cellStyle name="Comma 2 2 3" xfId="260" xr:uid="{00000000-0005-0000-0000-000004010000}"/>
    <cellStyle name="Comma 2 2 3 2" xfId="261" xr:uid="{00000000-0005-0000-0000-000005010000}"/>
    <cellStyle name="Comma 2 2 3 3" xfId="493" xr:uid="{00000000-0005-0000-0000-0000ED010000}"/>
    <cellStyle name="Comma 2 2 3 3 2" xfId="723" xr:uid="{00000000-0005-0000-0000-0000D3020000}"/>
    <cellStyle name="Comma 2 2 3 3 2 2" xfId="1310" xr:uid="{00000000-0005-0000-0000-00001E050000}"/>
    <cellStyle name="Comma 2 2 3 3 3" xfId="1085" xr:uid="{00000000-0005-0000-0000-00003D040000}"/>
    <cellStyle name="Comma 2 2 3 4" xfId="608" xr:uid="{00000000-0005-0000-0000-000060020000}"/>
    <cellStyle name="Comma 2 2 3 4 2" xfId="1195" xr:uid="{00000000-0005-0000-0000-0000AB040000}"/>
    <cellStyle name="Comma 2 2 3 5" xfId="977" xr:uid="{00000000-0005-0000-0000-0000D1030000}"/>
    <cellStyle name="Comma 2 2 4" xfId="262" xr:uid="{00000000-0005-0000-0000-000006010000}"/>
    <cellStyle name="Comma 2 2 4 2" xfId="494" xr:uid="{00000000-0005-0000-0000-0000EE010000}"/>
    <cellStyle name="Comma 2 2 4 2 2" xfId="724" xr:uid="{00000000-0005-0000-0000-0000D4020000}"/>
    <cellStyle name="Comma 2 2 4 2 2 2" xfId="1311" xr:uid="{00000000-0005-0000-0000-00001F050000}"/>
    <cellStyle name="Comma 2 2 4 2 3" xfId="1086" xr:uid="{00000000-0005-0000-0000-00003E040000}"/>
    <cellStyle name="Comma 2 2 4 3" xfId="609" xr:uid="{00000000-0005-0000-0000-000061020000}"/>
    <cellStyle name="Comma 2 2 4 3 2" xfId="1196" xr:uid="{00000000-0005-0000-0000-0000AC040000}"/>
    <cellStyle name="Comma 2 2 4 4" xfId="978" xr:uid="{00000000-0005-0000-0000-0000D2030000}"/>
    <cellStyle name="Comma 2 2 5" xfId="263" xr:uid="{00000000-0005-0000-0000-000007010000}"/>
    <cellStyle name="Comma 2 2 5 2" xfId="495" xr:uid="{00000000-0005-0000-0000-0000EF010000}"/>
    <cellStyle name="Comma 2 2 5 2 2" xfId="725" xr:uid="{00000000-0005-0000-0000-0000D5020000}"/>
    <cellStyle name="Comma 2 2 5 2 2 2" xfId="1312" xr:uid="{00000000-0005-0000-0000-000020050000}"/>
    <cellStyle name="Comma 2 2 5 2 3" xfId="1087" xr:uid="{00000000-0005-0000-0000-00003F040000}"/>
    <cellStyle name="Comma 2 2 5 3" xfId="610" xr:uid="{00000000-0005-0000-0000-000062020000}"/>
    <cellStyle name="Comma 2 2 5 3 2" xfId="1197" xr:uid="{00000000-0005-0000-0000-0000AD040000}"/>
    <cellStyle name="Comma 2 2 5 4" xfId="979" xr:uid="{00000000-0005-0000-0000-0000D3030000}"/>
    <cellStyle name="Comma 2 2 6" xfId="264" xr:uid="{00000000-0005-0000-0000-000008010000}"/>
    <cellStyle name="Comma 2 2 6 2" xfId="496" xr:uid="{00000000-0005-0000-0000-0000F0010000}"/>
    <cellStyle name="Comma 2 2 6 2 2" xfId="726" xr:uid="{00000000-0005-0000-0000-0000D6020000}"/>
    <cellStyle name="Comma 2 2 6 2 2 2" xfId="1313" xr:uid="{00000000-0005-0000-0000-000021050000}"/>
    <cellStyle name="Comma 2 2 6 2 3" xfId="1088" xr:uid="{00000000-0005-0000-0000-000040040000}"/>
    <cellStyle name="Comma 2 2 6 3" xfId="611" xr:uid="{00000000-0005-0000-0000-000063020000}"/>
    <cellStyle name="Comma 2 2 6 3 2" xfId="1198" xr:uid="{00000000-0005-0000-0000-0000AE040000}"/>
    <cellStyle name="Comma 2 2 6 4" xfId="980" xr:uid="{00000000-0005-0000-0000-0000D4030000}"/>
    <cellStyle name="Comma 2 2 7" xfId="448" xr:uid="{00000000-0005-0000-0000-0000C0010000}"/>
    <cellStyle name="Comma 2 2 7 2" xfId="684" xr:uid="{00000000-0005-0000-0000-0000AC020000}"/>
    <cellStyle name="Comma 2 2 7 2 2" xfId="1271" xr:uid="{00000000-0005-0000-0000-0000F7040000}"/>
    <cellStyle name="Comma 2 2 7 3" xfId="1050" xr:uid="{00000000-0005-0000-0000-00001A040000}"/>
    <cellStyle name="Comma 2 2 8" xfId="573" xr:uid="{00000000-0005-0000-0000-00003D020000}"/>
    <cellStyle name="Comma 2 2 8 2" xfId="1160" xr:uid="{00000000-0005-0000-0000-000088040000}"/>
    <cellStyle name="Comma 2 2 9" xfId="942" xr:uid="{00000000-0005-0000-0000-0000AE030000}"/>
    <cellStyle name="Comma 2 3" xfId="265" xr:uid="{00000000-0005-0000-0000-000009010000}"/>
    <cellStyle name="Comma 2 3 2" xfId="266" xr:uid="{00000000-0005-0000-0000-00000A010000}"/>
    <cellStyle name="Comma 2 3 2 2" xfId="267" xr:uid="{00000000-0005-0000-0000-00000B010000}"/>
    <cellStyle name="Comma 2 3 2 3" xfId="498" xr:uid="{00000000-0005-0000-0000-0000F2010000}"/>
    <cellStyle name="Comma 2 3 2 3 2" xfId="728" xr:uid="{00000000-0005-0000-0000-0000D8020000}"/>
    <cellStyle name="Comma 2 3 2 3 2 2" xfId="1315" xr:uid="{00000000-0005-0000-0000-000023050000}"/>
    <cellStyle name="Comma 2 3 2 3 3" xfId="1090" xr:uid="{00000000-0005-0000-0000-000042040000}"/>
    <cellStyle name="Comma 2 3 2 4" xfId="613" xr:uid="{00000000-0005-0000-0000-000065020000}"/>
    <cellStyle name="Comma 2 3 2 4 2" xfId="1200" xr:uid="{00000000-0005-0000-0000-0000B0040000}"/>
    <cellStyle name="Comma 2 3 2 5" xfId="982" xr:uid="{00000000-0005-0000-0000-0000D6030000}"/>
    <cellStyle name="Comma 2 3 3" xfId="268" xr:uid="{00000000-0005-0000-0000-00000C010000}"/>
    <cellStyle name="Comma 2 3 3 2" xfId="499" xr:uid="{00000000-0005-0000-0000-0000F3010000}"/>
    <cellStyle name="Comma 2 3 3 2 2" xfId="729" xr:uid="{00000000-0005-0000-0000-0000D9020000}"/>
    <cellStyle name="Comma 2 3 3 2 2 2" xfId="1316" xr:uid="{00000000-0005-0000-0000-000024050000}"/>
    <cellStyle name="Comma 2 3 3 2 3" xfId="1091" xr:uid="{00000000-0005-0000-0000-000043040000}"/>
    <cellStyle name="Comma 2 3 3 3" xfId="614" xr:uid="{00000000-0005-0000-0000-000066020000}"/>
    <cellStyle name="Comma 2 3 3 3 2" xfId="1201" xr:uid="{00000000-0005-0000-0000-0000B1040000}"/>
    <cellStyle name="Comma 2 3 3 4" xfId="983" xr:uid="{00000000-0005-0000-0000-0000D7030000}"/>
    <cellStyle name="Comma 2 3 4" xfId="497" xr:uid="{00000000-0005-0000-0000-0000F1010000}"/>
    <cellStyle name="Comma 2 3 4 2" xfId="727" xr:uid="{00000000-0005-0000-0000-0000D7020000}"/>
    <cellStyle name="Comma 2 3 4 2 2" xfId="1314" xr:uid="{00000000-0005-0000-0000-000022050000}"/>
    <cellStyle name="Comma 2 3 4 3" xfId="1089" xr:uid="{00000000-0005-0000-0000-000041040000}"/>
    <cellStyle name="Comma 2 3 5" xfId="612" xr:uid="{00000000-0005-0000-0000-000064020000}"/>
    <cellStyle name="Comma 2 3 5 2" xfId="1199" xr:uid="{00000000-0005-0000-0000-0000AF040000}"/>
    <cellStyle name="Comma 2 3 6" xfId="981" xr:uid="{00000000-0005-0000-0000-0000D5030000}"/>
    <cellStyle name="Comma 2 4" xfId="269" xr:uid="{00000000-0005-0000-0000-00000D010000}"/>
    <cellStyle name="Comma 2 4 2" xfId="270" xr:uid="{00000000-0005-0000-0000-00000E010000}"/>
    <cellStyle name="Comma 2 4 2 2" xfId="501" xr:uid="{00000000-0005-0000-0000-0000F5010000}"/>
    <cellStyle name="Comma 2 4 2 2 2" xfId="731" xr:uid="{00000000-0005-0000-0000-0000DB020000}"/>
    <cellStyle name="Comma 2 4 2 2 2 2" xfId="1318" xr:uid="{00000000-0005-0000-0000-000026050000}"/>
    <cellStyle name="Comma 2 4 2 2 3" xfId="1093" xr:uid="{00000000-0005-0000-0000-000045040000}"/>
    <cellStyle name="Comma 2 4 2 3" xfId="616" xr:uid="{00000000-0005-0000-0000-000068020000}"/>
    <cellStyle name="Comma 2 4 2 3 2" xfId="1203" xr:uid="{00000000-0005-0000-0000-0000B3040000}"/>
    <cellStyle name="Comma 2 4 2 4" xfId="985" xr:uid="{00000000-0005-0000-0000-0000D9030000}"/>
    <cellStyle name="Comma 2 4 3" xfId="500" xr:uid="{00000000-0005-0000-0000-0000F4010000}"/>
    <cellStyle name="Comma 2 4 3 2" xfId="730" xr:uid="{00000000-0005-0000-0000-0000DA020000}"/>
    <cellStyle name="Comma 2 4 3 2 2" xfId="1317" xr:uid="{00000000-0005-0000-0000-000025050000}"/>
    <cellStyle name="Comma 2 4 3 3" xfId="1092" xr:uid="{00000000-0005-0000-0000-000044040000}"/>
    <cellStyle name="Comma 2 4 4" xfId="615" xr:uid="{00000000-0005-0000-0000-000067020000}"/>
    <cellStyle name="Comma 2 4 4 2" xfId="1202" xr:uid="{00000000-0005-0000-0000-0000B2040000}"/>
    <cellStyle name="Comma 2 4 5" xfId="984" xr:uid="{00000000-0005-0000-0000-0000D8030000}"/>
    <cellStyle name="Comma 2 5" xfId="271" xr:uid="{00000000-0005-0000-0000-00000F010000}"/>
    <cellStyle name="Comma 2 5 2" xfId="272" xr:uid="{00000000-0005-0000-0000-000010010000}"/>
    <cellStyle name="Comma 2 5 2 2" xfId="503" xr:uid="{00000000-0005-0000-0000-0000F7010000}"/>
    <cellStyle name="Comma 2 5 2 2 2" xfId="733" xr:uid="{00000000-0005-0000-0000-0000DD020000}"/>
    <cellStyle name="Comma 2 5 2 2 2 2" xfId="1320" xr:uid="{00000000-0005-0000-0000-000028050000}"/>
    <cellStyle name="Comma 2 5 2 2 3" xfId="1095" xr:uid="{00000000-0005-0000-0000-000047040000}"/>
    <cellStyle name="Comma 2 5 2 3" xfId="618" xr:uid="{00000000-0005-0000-0000-00006A020000}"/>
    <cellStyle name="Comma 2 5 2 3 2" xfId="1205" xr:uid="{00000000-0005-0000-0000-0000B5040000}"/>
    <cellStyle name="Comma 2 5 2 4" xfId="987" xr:uid="{00000000-0005-0000-0000-0000DB030000}"/>
    <cellStyle name="Comma 2 5 3" xfId="502" xr:uid="{00000000-0005-0000-0000-0000F6010000}"/>
    <cellStyle name="Comma 2 5 3 2" xfId="732" xr:uid="{00000000-0005-0000-0000-0000DC020000}"/>
    <cellStyle name="Comma 2 5 3 2 2" xfId="1319" xr:uid="{00000000-0005-0000-0000-000027050000}"/>
    <cellStyle name="Comma 2 5 3 3" xfId="1094" xr:uid="{00000000-0005-0000-0000-000046040000}"/>
    <cellStyle name="Comma 2 5 4" xfId="617" xr:uid="{00000000-0005-0000-0000-000069020000}"/>
    <cellStyle name="Comma 2 5 4 2" xfId="1204" xr:uid="{00000000-0005-0000-0000-0000B4040000}"/>
    <cellStyle name="Comma 2 5 5" xfId="986" xr:uid="{00000000-0005-0000-0000-0000DA030000}"/>
    <cellStyle name="Comma 2 6" xfId="273" xr:uid="{00000000-0005-0000-0000-000011010000}"/>
    <cellStyle name="Comma 2 6 2" xfId="274" xr:uid="{00000000-0005-0000-0000-000012010000}"/>
    <cellStyle name="Comma 2 6 2 2" xfId="505" xr:uid="{00000000-0005-0000-0000-0000F9010000}"/>
    <cellStyle name="Comma 2 6 2 2 2" xfId="735" xr:uid="{00000000-0005-0000-0000-0000DF020000}"/>
    <cellStyle name="Comma 2 6 2 2 2 2" xfId="1322" xr:uid="{00000000-0005-0000-0000-00002A050000}"/>
    <cellStyle name="Comma 2 6 2 2 3" xfId="1097" xr:uid="{00000000-0005-0000-0000-000049040000}"/>
    <cellStyle name="Comma 2 6 2 3" xfId="620" xr:uid="{00000000-0005-0000-0000-00006C020000}"/>
    <cellStyle name="Comma 2 6 2 3 2" xfId="1207" xr:uid="{00000000-0005-0000-0000-0000B7040000}"/>
    <cellStyle name="Comma 2 6 2 4" xfId="989" xr:uid="{00000000-0005-0000-0000-0000DD030000}"/>
    <cellStyle name="Comma 2 6 3" xfId="504" xr:uid="{00000000-0005-0000-0000-0000F8010000}"/>
    <cellStyle name="Comma 2 6 3 2" xfId="734" xr:uid="{00000000-0005-0000-0000-0000DE020000}"/>
    <cellStyle name="Comma 2 6 3 2 2" xfId="1321" xr:uid="{00000000-0005-0000-0000-000029050000}"/>
    <cellStyle name="Comma 2 6 3 3" xfId="1096" xr:uid="{00000000-0005-0000-0000-000048040000}"/>
    <cellStyle name="Comma 2 6 4" xfId="619" xr:uid="{00000000-0005-0000-0000-00006B020000}"/>
    <cellStyle name="Comma 2 6 4 2" xfId="1206" xr:uid="{00000000-0005-0000-0000-0000B6040000}"/>
    <cellStyle name="Comma 2 6 5" xfId="988" xr:uid="{00000000-0005-0000-0000-0000DC030000}"/>
    <cellStyle name="Comma 2 7" xfId="275" xr:uid="{00000000-0005-0000-0000-000013010000}"/>
    <cellStyle name="Comma 2 7 2" xfId="506" xr:uid="{00000000-0005-0000-0000-0000FA010000}"/>
    <cellStyle name="Comma 2 7 2 2" xfId="736" xr:uid="{00000000-0005-0000-0000-0000E0020000}"/>
    <cellStyle name="Comma 2 7 2 2 2" xfId="1323" xr:uid="{00000000-0005-0000-0000-00002B050000}"/>
    <cellStyle name="Comma 2 7 2 3" xfId="1098" xr:uid="{00000000-0005-0000-0000-00004A040000}"/>
    <cellStyle name="Comma 2 7 3" xfId="621" xr:uid="{00000000-0005-0000-0000-00006D020000}"/>
    <cellStyle name="Comma 2 7 3 2" xfId="1208" xr:uid="{00000000-0005-0000-0000-0000B8040000}"/>
    <cellStyle name="Comma 2 7 4" xfId="990" xr:uid="{00000000-0005-0000-0000-0000DE030000}"/>
    <cellStyle name="Comma 2 8" xfId="276" xr:uid="{00000000-0005-0000-0000-000014010000}"/>
    <cellStyle name="Comma 2 8 2" xfId="507" xr:uid="{00000000-0005-0000-0000-0000FB010000}"/>
    <cellStyle name="Comma 2 8 2 2" xfId="737" xr:uid="{00000000-0005-0000-0000-0000E1020000}"/>
    <cellStyle name="Comma 2 8 2 2 2" xfId="1324" xr:uid="{00000000-0005-0000-0000-00002C050000}"/>
    <cellStyle name="Comma 2 8 2 3" xfId="1099" xr:uid="{00000000-0005-0000-0000-00004B040000}"/>
    <cellStyle name="Comma 2 8 3" xfId="622" xr:uid="{00000000-0005-0000-0000-00006E020000}"/>
    <cellStyle name="Comma 2 8 3 2" xfId="1209" xr:uid="{00000000-0005-0000-0000-0000B9040000}"/>
    <cellStyle name="Comma 2 8 4" xfId="991" xr:uid="{00000000-0005-0000-0000-0000DF030000}"/>
    <cellStyle name="Comma 2 9" xfId="803" xr:uid="{00000000-0005-0000-0000-000023030000}"/>
    <cellStyle name="Comma 20" xfId="86" xr:uid="{00000000-0005-0000-0000-000056000000}"/>
    <cellStyle name="Comma 20 2" xfId="438" xr:uid="{00000000-0005-0000-0000-0000B6010000}"/>
    <cellStyle name="Comma 20 2 2" xfId="565" xr:uid="{00000000-0005-0000-0000-000035020000}"/>
    <cellStyle name="Comma 20 2 2 2" xfId="793" xr:uid="{00000000-0005-0000-0000-000019030000}"/>
    <cellStyle name="Comma 20 2 2 2 2" xfId="1380" xr:uid="{00000000-0005-0000-0000-000064050000}"/>
    <cellStyle name="Comma 20 2 2 3" xfId="1152" xr:uid="{00000000-0005-0000-0000-000080040000}"/>
    <cellStyle name="Comma 20 2 3" xfId="675" xr:uid="{00000000-0005-0000-0000-0000A3020000}"/>
    <cellStyle name="Comma 20 2 3 2" xfId="1262" xr:uid="{00000000-0005-0000-0000-0000EE040000}"/>
    <cellStyle name="Comma 20 2 4" xfId="1044" xr:uid="{00000000-0005-0000-0000-000014040000}"/>
    <cellStyle name="Comma 20 3" xfId="429" xr:uid="{00000000-0005-0000-0000-0000AD010000}"/>
    <cellStyle name="Comma 20 3 2" xfId="561" xr:uid="{00000000-0005-0000-0000-000031020000}"/>
    <cellStyle name="Comma 20 3 2 2" xfId="789" xr:uid="{00000000-0005-0000-0000-000015030000}"/>
    <cellStyle name="Comma 20 3 2 2 2" xfId="1376" xr:uid="{00000000-0005-0000-0000-000060050000}"/>
    <cellStyle name="Comma 20 3 2 3" xfId="1148" xr:uid="{00000000-0005-0000-0000-00007C040000}"/>
    <cellStyle name="Comma 20 3 3" xfId="671" xr:uid="{00000000-0005-0000-0000-00009F020000}"/>
    <cellStyle name="Comma 20 3 3 2" xfId="1258" xr:uid="{00000000-0005-0000-0000-0000EA040000}"/>
    <cellStyle name="Comma 20 3 4" xfId="1040" xr:uid="{00000000-0005-0000-0000-000010040000}"/>
    <cellStyle name="Comma 21" xfId="434" xr:uid="{00000000-0005-0000-0000-0000B2010000}"/>
    <cellStyle name="Comma 21 2" xfId="564" xr:uid="{00000000-0005-0000-0000-000034020000}"/>
    <cellStyle name="Comma 21 2 2" xfId="792" xr:uid="{00000000-0005-0000-0000-000018030000}"/>
    <cellStyle name="Comma 21 2 2 2" xfId="1379" xr:uid="{00000000-0005-0000-0000-000063050000}"/>
    <cellStyle name="Comma 21 2 3" xfId="1151" xr:uid="{00000000-0005-0000-0000-00007F040000}"/>
    <cellStyle name="Comma 21 3" xfId="674" xr:uid="{00000000-0005-0000-0000-0000A2020000}"/>
    <cellStyle name="Comma 21 3 2" xfId="1261" xr:uid="{00000000-0005-0000-0000-0000ED040000}"/>
    <cellStyle name="Comma 21 4" xfId="1043" xr:uid="{00000000-0005-0000-0000-000013040000}"/>
    <cellStyle name="Comma 22" xfId="174" xr:uid="{00000000-0005-0000-0000-0000AE000000}"/>
    <cellStyle name="Comma 22 2" xfId="469" xr:uid="{00000000-0005-0000-0000-0000D5010000}"/>
    <cellStyle name="Comma 22 2 2" xfId="699" xr:uid="{00000000-0005-0000-0000-0000BB020000}"/>
    <cellStyle name="Comma 22 2 2 2" xfId="1286" xr:uid="{00000000-0005-0000-0000-000006050000}"/>
    <cellStyle name="Comma 22 2 2 3" xfId="913" xr:uid="{00000000-0005-0000-0000-000091030000}"/>
    <cellStyle name="Comma 22 2 3" xfId="1062" xr:uid="{00000000-0005-0000-0000-000026040000}"/>
    <cellStyle name="Comma 22 2 4" xfId="844" xr:uid="{00000000-0005-0000-0000-00004C030000}"/>
    <cellStyle name="Comma 22 3" xfId="585" xr:uid="{00000000-0005-0000-0000-000049020000}"/>
    <cellStyle name="Comma 22 3 2" xfId="1172" xr:uid="{00000000-0005-0000-0000-000094040000}"/>
    <cellStyle name="Comma 22 3 3" xfId="876" xr:uid="{00000000-0005-0000-0000-00006C030000}"/>
    <cellStyle name="Comma 22 4" xfId="954" xr:uid="{00000000-0005-0000-0000-0000BA030000}"/>
    <cellStyle name="Comma 22 5" xfId="812" xr:uid="{00000000-0005-0000-0000-00002C030000}"/>
    <cellStyle name="Comma 23" xfId="440" xr:uid="{00000000-0005-0000-0000-0000B8010000}"/>
    <cellStyle name="Comma 23 2" xfId="567" xr:uid="{00000000-0005-0000-0000-000037020000}"/>
    <cellStyle name="Comma 23 2 2" xfId="795" xr:uid="{00000000-0005-0000-0000-00001B030000}"/>
    <cellStyle name="Comma 23 2 2 2" xfId="1382" xr:uid="{00000000-0005-0000-0000-000066050000}"/>
    <cellStyle name="Comma 23 2 2 3" xfId="938" xr:uid="{00000000-0005-0000-0000-0000AA030000}"/>
    <cellStyle name="Comma 23 2 3" xfId="1154" xr:uid="{00000000-0005-0000-0000-000082040000}"/>
    <cellStyle name="Comma 23 2 4" xfId="865" xr:uid="{00000000-0005-0000-0000-000061030000}"/>
    <cellStyle name="Comma 23 3" xfId="677" xr:uid="{00000000-0005-0000-0000-0000A5020000}"/>
    <cellStyle name="Comma 23 3 2" xfId="1264" xr:uid="{00000000-0005-0000-0000-0000F0040000}"/>
    <cellStyle name="Comma 23 3 3" xfId="897" xr:uid="{00000000-0005-0000-0000-000081030000}"/>
    <cellStyle name="Comma 23 4" xfId="1046" xr:uid="{00000000-0005-0000-0000-000016040000}"/>
    <cellStyle name="Comma 23 5" xfId="833" xr:uid="{00000000-0005-0000-0000-000041030000}"/>
    <cellStyle name="Comma 24" xfId="442" xr:uid="{00000000-0005-0000-0000-0000BA010000}"/>
    <cellStyle name="Comma 24 2" xfId="569" xr:uid="{00000000-0005-0000-0000-000039020000}"/>
    <cellStyle name="Comma 24 2 2" xfId="797" xr:uid="{00000000-0005-0000-0000-00001D030000}"/>
    <cellStyle name="Comma 24 2 2 2" xfId="1384" xr:uid="{00000000-0005-0000-0000-000068050000}"/>
    <cellStyle name="Comma 24 2 3" xfId="1156" xr:uid="{00000000-0005-0000-0000-000084040000}"/>
    <cellStyle name="Comma 24 3" xfId="835" xr:uid="{00000000-0005-0000-0000-000043030000}"/>
    <cellStyle name="Comma 25" xfId="800" xr:uid="{00000000-0005-0000-0000-000020030000}"/>
    <cellStyle name="Comma 25 2" xfId="1387" xr:uid="{00000000-0005-0000-0000-00006B050000}"/>
    <cellStyle name="Comma 26" xfId="1159" xr:uid="{00000000-0005-0000-0000-000087040000}"/>
    <cellStyle name="Comma 27" xfId="572" xr:uid="{00000000-0005-0000-0000-00003C020000}"/>
    <cellStyle name="Comma 3" xfId="87" xr:uid="{00000000-0005-0000-0000-000057000000}"/>
    <cellStyle name="Comma 3 10" xfId="574" xr:uid="{00000000-0005-0000-0000-00003E020000}"/>
    <cellStyle name="Comma 3 10 2" xfId="1161" xr:uid="{00000000-0005-0000-0000-000089040000}"/>
    <cellStyle name="Comma 3 11" xfId="943" xr:uid="{00000000-0005-0000-0000-0000AF030000}"/>
    <cellStyle name="Comma 3 2" xfId="88" xr:uid="{00000000-0005-0000-0000-000058000000}"/>
    <cellStyle name="Comma 3 2 2" xfId="277" xr:uid="{00000000-0005-0000-0000-000015010000}"/>
    <cellStyle name="Comma 3 2 3" xfId="278" xr:uid="{00000000-0005-0000-0000-000016010000}"/>
    <cellStyle name="Comma 3 2 3 2" xfId="508" xr:uid="{00000000-0005-0000-0000-0000FC010000}"/>
    <cellStyle name="Comma 3 2 3 2 2" xfId="738" xr:uid="{00000000-0005-0000-0000-0000E2020000}"/>
    <cellStyle name="Comma 3 2 3 2 2 2" xfId="1325" xr:uid="{00000000-0005-0000-0000-00002D050000}"/>
    <cellStyle name="Comma 3 2 3 2 3" xfId="1100" xr:uid="{00000000-0005-0000-0000-00004C040000}"/>
    <cellStyle name="Comma 3 2 3 3" xfId="623" xr:uid="{00000000-0005-0000-0000-00006F020000}"/>
    <cellStyle name="Comma 3 2 3 3 2" xfId="1210" xr:uid="{00000000-0005-0000-0000-0000BA040000}"/>
    <cellStyle name="Comma 3 2 3 4" xfId="992" xr:uid="{00000000-0005-0000-0000-0000E0030000}"/>
    <cellStyle name="Comma 3 2 4" xfId="279" xr:uid="{00000000-0005-0000-0000-000017010000}"/>
    <cellStyle name="Comma 3 2 4 2" xfId="509" xr:uid="{00000000-0005-0000-0000-0000FD010000}"/>
    <cellStyle name="Comma 3 2 4 2 2" xfId="739" xr:uid="{00000000-0005-0000-0000-0000E3020000}"/>
    <cellStyle name="Comma 3 2 4 2 2 2" xfId="1326" xr:uid="{00000000-0005-0000-0000-00002E050000}"/>
    <cellStyle name="Comma 3 2 4 2 3" xfId="1101" xr:uid="{00000000-0005-0000-0000-00004D040000}"/>
    <cellStyle name="Comma 3 2 4 3" xfId="624" xr:uid="{00000000-0005-0000-0000-000070020000}"/>
    <cellStyle name="Comma 3 2 4 3 2" xfId="1211" xr:uid="{00000000-0005-0000-0000-0000BB040000}"/>
    <cellStyle name="Comma 3 2 4 4" xfId="993" xr:uid="{00000000-0005-0000-0000-0000E1030000}"/>
    <cellStyle name="Comma 3 2 5" xfId="280" xr:uid="{00000000-0005-0000-0000-000018010000}"/>
    <cellStyle name="Comma 3 2 5 2" xfId="510" xr:uid="{00000000-0005-0000-0000-0000FE010000}"/>
    <cellStyle name="Comma 3 2 5 2 2" xfId="740" xr:uid="{00000000-0005-0000-0000-0000E4020000}"/>
    <cellStyle name="Comma 3 2 5 2 2 2" xfId="1327" xr:uid="{00000000-0005-0000-0000-00002F050000}"/>
    <cellStyle name="Comma 3 2 5 2 3" xfId="1102" xr:uid="{00000000-0005-0000-0000-00004E040000}"/>
    <cellStyle name="Comma 3 2 5 3" xfId="625" xr:uid="{00000000-0005-0000-0000-000071020000}"/>
    <cellStyle name="Comma 3 2 5 3 2" xfId="1212" xr:uid="{00000000-0005-0000-0000-0000BC040000}"/>
    <cellStyle name="Comma 3 2 5 4" xfId="994" xr:uid="{00000000-0005-0000-0000-0000E2030000}"/>
    <cellStyle name="Comma 3 2 6" xfId="205" xr:uid="{00000000-0005-0000-0000-0000CD000000}"/>
    <cellStyle name="Comma 3 2 6 2" xfId="471" xr:uid="{00000000-0005-0000-0000-0000D7010000}"/>
    <cellStyle name="Comma 3 2 6 2 2" xfId="701" xr:uid="{00000000-0005-0000-0000-0000BD020000}"/>
    <cellStyle name="Comma 3 2 6 2 2 2" xfId="1288" xr:uid="{00000000-0005-0000-0000-000008050000}"/>
    <cellStyle name="Comma 3 2 6 2 2 3" xfId="915" xr:uid="{00000000-0005-0000-0000-000093030000}"/>
    <cellStyle name="Comma 3 2 6 2 3" xfId="1064" xr:uid="{00000000-0005-0000-0000-000028040000}"/>
    <cellStyle name="Comma 3 2 6 2 4" xfId="846" xr:uid="{00000000-0005-0000-0000-00004E030000}"/>
    <cellStyle name="Comma 3 2 6 3" xfId="587" xr:uid="{00000000-0005-0000-0000-00004B020000}"/>
    <cellStyle name="Comma 3 2 6 3 2" xfId="1174" xr:uid="{00000000-0005-0000-0000-000096040000}"/>
    <cellStyle name="Comma 3 2 6 3 3" xfId="878" xr:uid="{00000000-0005-0000-0000-00006E030000}"/>
    <cellStyle name="Comma 3 2 6 4" xfId="956" xr:uid="{00000000-0005-0000-0000-0000BC030000}"/>
    <cellStyle name="Comma 3 2 6 5" xfId="814" xr:uid="{00000000-0005-0000-0000-00002E030000}"/>
    <cellStyle name="Comma 3 2 7" xfId="450" xr:uid="{00000000-0005-0000-0000-0000C2010000}"/>
    <cellStyle name="Comma 3 2 7 2" xfId="686" xr:uid="{00000000-0005-0000-0000-0000AE020000}"/>
    <cellStyle name="Comma 3 2 7 2 2" xfId="1273" xr:uid="{00000000-0005-0000-0000-0000F9040000}"/>
    <cellStyle name="Comma 3 2 7 3" xfId="1052" xr:uid="{00000000-0005-0000-0000-00001C040000}"/>
    <cellStyle name="Comma 3 2 8" xfId="575" xr:uid="{00000000-0005-0000-0000-00003F020000}"/>
    <cellStyle name="Comma 3 2 8 2" xfId="1162" xr:uid="{00000000-0005-0000-0000-00008A040000}"/>
    <cellStyle name="Comma 3 2 9" xfId="944" xr:uid="{00000000-0005-0000-0000-0000B0030000}"/>
    <cellStyle name="Comma 3 3" xfId="281" xr:uid="{00000000-0005-0000-0000-000019010000}"/>
    <cellStyle name="Comma 3 3 2" xfId="282" xr:uid="{00000000-0005-0000-0000-00001A010000}"/>
    <cellStyle name="Comma 3 3 3" xfId="283" xr:uid="{00000000-0005-0000-0000-00001B010000}"/>
    <cellStyle name="Comma 3 3 3 2" xfId="512" xr:uid="{00000000-0005-0000-0000-000000020000}"/>
    <cellStyle name="Comma 3 3 3 2 2" xfId="742" xr:uid="{00000000-0005-0000-0000-0000E6020000}"/>
    <cellStyle name="Comma 3 3 3 2 2 2" xfId="1329" xr:uid="{00000000-0005-0000-0000-000031050000}"/>
    <cellStyle name="Comma 3 3 3 2 3" xfId="1104" xr:uid="{00000000-0005-0000-0000-000050040000}"/>
    <cellStyle name="Comma 3 3 3 3" xfId="627" xr:uid="{00000000-0005-0000-0000-000073020000}"/>
    <cellStyle name="Comma 3 3 3 3 2" xfId="1214" xr:uid="{00000000-0005-0000-0000-0000BE040000}"/>
    <cellStyle name="Comma 3 3 3 4" xfId="996" xr:uid="{00000000-0005-0000-0000-0000E4030000}"/>
    <cellStyle name="Comma 3 3 4" xfId="511" xr:uid="{00000000-0005-0000-0000-0000FF010000}"/>
    <cellStyle name="Comma 3 3 4 2" xfId="741" xr:uid="{00000000-0005-0000-0000-0000E5020000}"/>
    <cellStyle name="Comma 3 3 4 2 2" xfId="1328" xr:uid="{00000000-0005-0000-0000-000030050000}"/>
    <cellStyle name="Comma 3 3 4 3" xfId="1103" xr:uid="{00000000-0005-0000-0000-00004F040000}"/>
    <cellStyle name="Comma 3 3 5" xfId="626" xr:uid="{00000000-0005-0000-0000-000072020000}"/>
    <cellStyle name="Comma 3 3 5 2" xfId="1213" xr:uid="{00000000-0005-0000-0000-0000BD040000}"/>
    <cellStyle name="Comma 3 3 6" xfId="995" xr:uid="{00000000-0005-0000-0000-0000E3030000}"/>
    <cellStyle name="Comma 3 4" xfId="284" xr:uid="{00000000-0005-0000-0000-00001C010000}"/>
    <cellStyle name="Comma 3 4 2" xfId="285" xr:uid="{00000000-0005-0000-0000-00001D010000}"/>
    <cellStyle name="Comma 3 4 3" xfId="286" xr:uid="{00000000-0005-0000-0000-00001E010000}"/>
    <cellStyle name="Comma 3 4 3 2" xfId="514" xr:uid="{00000000-0005-0000-0000-000002020000}"/>
    <cellStyle name="Comma 3 4 3 2 2" xfId="744" xr:uid="{00000000-0005-0000-0000-0000E8020000}"/>
    <cellStyle name="Comma 3 4 3 2 2 2" xfId="1331" xr:uid="{00000000-0005-0000-0000-000033050000}"/>
    <cellStyle name="Comma 3 4 3 2 3" xfId="1106" xr:uid="{00000000-0005-0000-0000-000052040000}"/>
    <cellStyle name="Comma 3 4 3 3" xfId="629" xr:uid="{00000000-0005-0000-0000-000075020000}"/>
    <cellStyle name="Comma 3 4 3 3 2" xfId="1216" xr:uid="{00000000-0005-0000-0000-0000C0040000}"/>
    <cellStyle name="Comma 3 4 3 4" xfId="998" xr:uid="{00000000-0005-0000-0000-0000E6030000}"/>
    <cellStyle name="Comma 3 4 4" xfId="513" xr:uid="{00000000-0005-0000-0000-000001020000}"/>
    <cellStyle name="Comma 3 4 4 2" xfId="743" xr:uid="{00000000-0005-0000-0000-0000E7020000}"/>
    <cellStyle name="Comma 3 4 4 2 2" xfId="1330" xr:uid="{00000000-0005-0000-0000-000032050000}"/>
    <cellStyle name="Comma 3 4 4 3" xfId="1105" xr:uid="{00000000-0005-0000-0000-000051040000}"/>
    <cellStyle name="Comma 3 4 5" xfId="628" xr:uid="{00000000-0005-0000-0000-000074020000}"/>
    <cellStyle name="Comma 3 4 5 2" xfId="1215" xr:uid="{00000000-0005-0000-0000-0000BF040000}"/>
    <cellStyle name="Comma 3 4 6" xfId="997" xr:uid="{00000000-0005-0000-0000-0000E5030000}"/>
    <cellStyle name="Comma 3 5" xfId="287" xr:uid="{00000000-0005-0000-0000-00001F010000}"/>
    <cellStyle name="Comma 3 5 2" xfId="288" xr:uid="{00000000-0005-0000-0000-000020010000}"/>
    <cellStyle name="Comma 3 5 3" xfId="515" xr:uid="{00000000-0005-0000-0000-000003020000}"/>
    <cellStyle name="Comma 3 5 3 2" xfId="745" xr:uid="{00000000-0005-0000-0000-0000E9020000}"/>
    <cellStyle name="Comma 3 5 3 2 2" xfId="1332" xr:uid="{00000000-0005-0000-0000-000034050000}"/>
    <cellStyle name="Comma 3 5 3 3" xfId="1107" xr:uid="{00000000-0005-0000-0000-000053040000}"/>
    <cellStyle name="Comma 3 5 4" xfId="630" xr:uid="{00000000-0005-0000-0000-000076020000}"/>
    <cellStyle name="Comma 3 5 4 2" xfId="1217" xr:uid="{00000000-0005-0000-0000-0000C1040000}"/>
    <cellStyle name="Comma 3 5 5" xfId="999" xr:uid="{00000000-0005-0000-0000-0000E7030000}"/>
    <cellStyle name="Comma 3 6" xfId="289" xr:uid="{00000000-0005-0000-0000-000021010000}"/>
    <cellStyle name="Comma 3 6 2" xfId="516" xr:uid="{00000000-0005-0000-0000-000004020000}"/>
    <cellStyle name="Comma 3 6 2 2" xfId="746" xr:uid="{00000000-0005-0000-0000-0000EA020000}"/>
    <cellStyle name="Comma 3 6 2 2 2" xfId="1333" xr:uid="{00000000-0005-0000-0000-000035050000}"/>
    <cellStyle name="Comma 3 6 2 3" xfId="1108" xr:uid="{00000000-0005-0000-0000-000054040000}"/>
    <cellStyle name="Comma 3 6 3" xfId="631" xr:uid="{00000000-0005-0000-0000-000077020000}"/>
    <cellStyle name="Comma 3 6 3 2" xfId="1218" xr:uid="{00000000-0005-0000-0000-0000C2040000}"/>
    <cellStyle name="Comma 3 6 4" xfId="1000" xr:uid="{00000000-0005-0000-0000-0000E8030000}"/>
    <cellStyle name="Comma 3 7" xfId="290" xr:uid="{00000000-0005-0000-0000-000022010000}"/>
    <cellStyle name="Comma 3 7 2" xfId="517" xr:uid="{00000000-0005-0000-0000-000005020000}"/>
    <cellStyle name="Comma 3 7 2 2" xfId="747" xr:uid="{00000000-0005-0000-0000-0000EB020000}"/>
    <cellStyle name="Comma 3 7 2 2 2" xfId="1334" xr:uid="{00000000-0005-0000-0000-000036050000}"/>
    <cellStyle name="Comma 3 7 2 3" xfId="1109" xr:uid="{00000000-0005-0000-0000-000055040000}"/>
    <cellStyle name="Comma 3 7 3" xfId="632" xr:uid="{00000000-0005-0000-0000-000078020000}"/>
    <cellStyle name="Comma 3 7 3 2" xfId="1219" xr:uid="{00000000-0005-0000-0000-0000C3040000}"/>
    <cellStyle name="Comma 3 7 4" xfId="1001" xr:uid="{00000000-0005-0000-0000-0000E9030000}"/>
    <cellStyle name="Comma 3 8" xfId="423" xr:uid="{00000000-0005-0000-0000-0000A7010000}"/>
    <cellStyle name="Comma 3 8 2" xfId="558" xr:uid="{00000000-0005-0000-0000-00002E020000}"/>
    <cellStyle name="Comma 3 8 2 2" xfId="787" xr:uid="{00000000-0005-0000-0000-000013030000}"/>
    <cellStyle name="Comma 3 8 2 2 2" xfId="1374" xr:uid="{00000000-0005-0000-0000-00005E050000}"/>
    <cellStyle name="Comma 3 8 2 3" xfId="1147" xr:uid="{00000000-0005-0000-0000-00007B040000}"/>
    <cellStyle name="Comma 3 8 3" xfId="670" xr:uid="{00000000-0005-0000-0000-00009E020000}"/>
    <cellStyle name="Comma 3 8 3 2" xfId="1257" xr:uid="{00000000-0005-0000-0000-0000E9040000}"/>
    <cellStyle name="Comma 3 8 4" xfId="1039" xr:uid="{00000000-0005-0000-0000-00000F040000}"/>
    <cellStyle name="Comma 3 9" xfId="449" xr:uid="{00000000-0005-0000-0000-0000C1010000}"/>
    <cellStyle name="Comma 3 9 2" xfId="685" xr:uid="{00000000-0005-0000-0000-0000AD020000}"/>
    <cellStyle name="Comma 3 9 2 2" xfId="1272" xr:uid="{00000000-0005-0000-0000-0000F8040000}"/>
    <cellStyle name="Comma 3 9 3" xfId="1051" xr:uid="{00000000-0005-0000-0000-00001B040000}"/>
    <cellStyle name="Comma 4" xfId="89" xr:uid="{00000000-0005-0000-0000-000059000000}"/>
    <cellStyle name="Comma 4 2" xfId="90" xr:uid="{00000000-0005-0000-0000-00005A000000}"/>
    <cellStyle name="Comma 4 2 2" xfId="292" xr:uid="{00000000-0005-0000-0000-000024010000}"/>
    <cellStyle name="Comma 4 2 2 2" xfId="519" xr:uid="{00000000-0005-0000-0000-000007020000}"/>
    <cellStyle name="Comma 4 2 2 2 2" xfId="749" xr:uid="{00000000-0005-0000-0000-0000ED020000}"/>
    <cellStyle name="Comma 4 2 2 2 2 2" xfId="1336" xr:uid="{00000000-0005-0000-0000-000038050000}"/>
    <cellStyle name="Comma 4 2 2 2 3" xfId="1111" xr:uid="{00000000-0005-0000-0000-000057040000}"/>
    <cellStyle name="Comma 4 2 2 3" xfId="634" xr:uid="{00000000-0005-0000-0000-00007A020000}"/>
    <cellStyle name="Comma 4 2 2 3 2" xfId="1221" xr:uid="{00000000-0005-0000-0000-0000C5040000}"/>
    <cellStyle name="Comma 4 2 2 4" xfId="1003" xr:uid="{00000000-0005-0000-0000-0000EB030000}"/>
    <cellStyle name="Comma 4 2 3" xfId="291" xr:uid="{00000000-0005-0000-0000-000023010000}"/>
    <cellStyle name="Comma 4 2 3 2" xfId="518" xr:uid="{00000000-0005-0000-0000-000006020000}"/>
    <cellStyle name="Comma 4 2 3 2 2" xfId="748" xr:uid="{00000000-0005-0000-0000-0000EC020000}"/>
    <cellStyle name="Comma 4 2 3 2 2 2" xfId="1335" xr:uid="{00000000-0005-0000-0000-000037050000}"/>
    <cellStyle name="Comma 4 2 3 2 3" xfId="1110" xr:uid="{00000000-0005-0000-0000-000056040000}"/>
    <cellStyle name="Comma 4 2 3 3" xfId="633" xr:uid="{00000000-0005-0000-0000-000079020000}"/>
    <cellStyle name="Comma 4 2 3 3 2" xfId="1220" xr:uid="{00000000-0005-0000-0000-0000C4040000}"/>
    <cellStyle name="Comma 4 2 3 4" xfId="1002" xr:uid="{00000000-0005-0000-0000-0000EA030000}"/>
    <cellStyle name="Comma 4 2 4" xfId="451" xr:uid="{00000000-0005-0000-0000-0000C3010000}"/>
    <cellStyle name="Comma 4 2 4 2" xfId="687" xr:uid="{00000000-0005-0000-0000-0000AF020000}"/>
    <cellStyle name="Comma 4 2 4 2 2" xfId="1274" xr:uid="{00000000-0005-0000-0000-0000FA040000}"/>
    <cellStyle name="Comma 4 2 4 3" xfId="1053" xr:uid="{00000000-0005-0000-0000-00001D040000}"/>
    <cellStyle name="Comma 4 2 5" xfId="576" xr:uid="{00000000-0005-0000-0000-000040020000}"/>
    <cellStyle name="Comma 4 2 5 2" xfId="1163" xr:uid="{00000000-0005-0000-0000-00008B040000}"/>
    <cellStyle name="Comma 4 2 6" xfId="945" xr:uid="{00000000-0005-0000-0000-0000B1030000}"/>
    <cellStyle name="Comma 4 3" xfId="293" xr:uid="{00000000-0005-0000-0000-000025010000}"/>
    <cellStyle name="Comma 4 3 2" xfId="294" xr:uid="{00000000-0005-0000-0000-000026010000}"/>
    <cellStyle name="Comma 4 3 2 2" xfId="521" xr:uid="{00000000-0005-0000-0000-000009020000}"/>
    <cellStyle name="Comma 4 3 2 2 2" xfId="751" xr:uid="{00000000-0005-0000-0000-0000EF020000}"/>
    <cellStyle name="Comma 4 3 2 2 2 2" xfId="1338" xr:uid="{00000000-0005-0000-0000-00003A050000}"/>
    <cellStyle name="Comma 4 3 2 2 3" xfId="1113" xr:uid="{00000000-0005-0000-0000-000059040000}"/>
    <cellStyle name="Comma 4 3 2 3" xfId="636" xr:uid="{00000000-0005-0000-0000-00007C020000}"/>
    <cellStyle name="Comma 4 3 2 3 2" xfId="1223" xr:uid="{00000000-0005-0000-0000-0000C7040000}"/>
    <cellStyle name="Comma 4 3 2 4" xfId="1005" xr:uid="{00000000-0005-0000-0000-0000ED030000}"/>
    <cellStyle name="Comma 4 3 3" xfId="520" xr:uid="{00000000-0005-0000-0000-000008020000}"/>
    <cellStyle name="Comma 4 3 3 2" xfId="750" xr:uid="{00000000-0005-0000-0000-0000EE020000}"/>
    <cellStyle name="Comma 4 3 3 2 2" xfId="1337" xr:uid="{00000000-0005-0000-0000-000039050000}"/>
    <cellStyle name="Comma 4 3 3 3" xfId="1112" xr:uid="{00000000-0005-0000-0000-000058040000}"/>
    <cellStyle name="Comma 4 3 4" xfId="635" xr:uid="{00000000-0005-0000-0000-00007B020000}"/>
    <cellStyle name="Comma 4 3 4 2" xfId="1222" xr:uid="{00000000-0005-0000-0000-0000C6040000}"/>
    <cellStyle name="Comma 4 3 5" xfId="1004" xr:uid="{00000000-0005-0000-0000-0000EC030000}"/>
    <cellStyle name="Comma 4 4" xfId="295" xr:uid="{00000000-0005-0000-0000-000027010000}"/>
    <cellStyle name="Comma 4 4 2" xfId="296" xr:uid="{00000000-0005-0000-0000-000028010000}"/>
    <cellStyle name="Comma 4 4 2 2" xfId="523" xr:uid="{00000000-0005-0000-0000-00000B020000}"/>
    <cellStyle name="Comma 4 4 2 2 2" xfId="753" xr:uid="{00000000-0005-0000-0000-0000F1020000}"/>
    <cellStyle name="Comma 4 4 2 2 2 2" xfId="1340" xr:uid="{00000000-0005-0000-0000-00003C050000}"/>
    <cellStyle name="Comma 4 4 2 2 3" xfId="1115" xr:uid="{00000000-0005-0000-0000-00005B040000}"/>
    <cellStyle name="Comma 4 4 2 3" xfId="638" xr:uid="{00000000-0005-0000-0000-00007E020000}"/>
    <cellStyle name="Comma 4 4 2 3 2" xfId="1225" xr:uid="{00000000-0005-0000-0000-0000C9040000}"/>
    <cellStyle name="Comma 4 4 2 4" xfId="1007" xr:uid="{00000000-0005-0000-0000-0000EF030000}"/>
    <cellStyle name="Comma 4 4 3" xfId="522" xr:uid="{00000000-0005-0000-0000-00000A020000}"/>
    <cellStyle name="Comma 4 4 3 2" xfId="752" xr:uid="{00000000-0005-0000-0000-0000F0020000}"/>
    <cellStyle name="Comma 4 4 3 2 2" xfId="1339" xr:uid="{00000000-0005-0000-0000-00003B050000}"/>
    <cellStyle name="Comma 4 4 3 3" xfId="1114" xr:uid="{00000000-0005-0000-0000-00005A040000}"/>
    <cellStyle name="Comma 4 4 4" xfId="637" xr:uid="{00000000-0005-0000-0000-00007D020000}"/>
    <cellStyle name="Comma 4 4 4 2" xfId="1224" xr:uid="{00000000-0005-0000-0000-0000C8040000}"/>
    <cellStyle name="Comma 4 4 5" xfId="1006" xr:uid="{00000000-0005-0000-0000-0000EE030000}"/>
    <cellStyle name="Comma 4 5" xfId="297" xr:uid="{00000000-0005-0000-0000-000029010000}"/>
    <cellStyle name="Comma 4 5 2" xfId="298" xr:uid="{00000000-0005-0000-0000-00002A010000}"/>
    <cellStyle name="Comma 4 5 3" xfId="524" xr:uid="{00000000-0005-0000-0000-00000C020000}"/>
    <cellStyle name="Comma 4 5 3 2" xfId="754" xr:uid="{00000000-0005-0000-0000-0000F2020000}"/>
    <cellStyle name="Comma 4 5 3 2 2" xfId="1341" xr:uid="{00000000-0005-0000-0000-00003D050000}"/>
    <cellStyle name="Comma 4 5 3 3" xfId="1116" xr:uid="{00000000-0005-0000-0000-00005C040000}"/>
    <cellStyle name="Comma 4 5 4" xfId="639" xr:uid="{00000000-0005-0000-0000-00007F020000}"/>
    <cellStyle name="Comma 4 5 4 2" xfId="1226" xr:uid="{00000000-0005-0000-0000-0000CA040000}"/>
    <cellStyle name="Comma 4 5 5" xfId="1008" xr:uid="{00000000-0005-0000-0000-0000F0030000}"/>
    <cellStyle name="Comma 4 6" xfId="299" xr:uid="{00000000-0005-0000-0000-00002B010000}"/>
    <cellStyle name="Comma 4 6 2" xfId="525" xr:uid="{00000000-0005-0000-0000-00000D020000}"/>
    <cellStyle name="Comma 4 6 2 2" xfId="755" xr:uid="{00000000-0005-0000-0000-0000F3020000}"/>
    <cellStyle name="Comma 4 6 2 2 2" xfId="1342" xr:uid="{00000000-0005-0000-0000-00003E050000}"/>
    <cellStyle name="Comma 4 6 2 3" xfId="1117" xr:uid="{00000000-0005-0000-0000-00005D040000}"/>
    <cellStyle name="Comma 4 6 3" xfId="640" xr:uid="{00000000-0005-0000-0000-000080020000}"/>
    <cellStyle name="Comma 4 6 3 2" xfId="1227" xr:uid="{00000000-0005-0000-0000-0000CB040000}"/>
    <cellStyle name="Comma 4 6 4" xfId="1009" xr:uid="{00000000-0005-0000-0000-0000F1030000}"/>
    <cellStyle name="Comma 4 7" xfId="300" xr:uid="{00000000-0005-0000-0000-00002C010000}"/>
    <cellStyle name="Comma 4 7 2" xfId="526" xr:uid="{00000000-0005-0000-0000-00000E020000}"/>
    <cellStyle name="Comma 4 7 2 2" xfId="756" xr:uid="{00000000-0005-0000-0000-0000F4020000}"/>
    <cellStyle name="Comma 4 7 2 2 2" xfId="1343" xr:uid="{00000000-0005-0000-0000-00003F050000}"/>
    <cellStyle name="Comma 4 7 2 3" xfId="1118" xr:uid="{00000000-0005-0000-0000-00005E040000}"/>
    <cellStyle name="Comma 4 7 3" xfId="641" xr:uid="{00000000-0005-0000-0000-000081020000}"/>
    <cellStyle name="Comma 4 7 3 2" xfId="1228" xr:uid="{00000000-0005-0000-0000-0000CC040000}"/>
    <cellStyle name="Comma 4 7 4" xfId="1010" xr:uid="{00000000-0005-0000-0000-0000F2030000}"/>
    <cellStyle name="Comma 4 8" xfId="804" xr:uid="{00000000-0005-0000-0000-000024030000}"/>
    <cellStyle name="Comma 5" xfId="91" xr:uid="{00000000-0005-0000-0000-00005B000000}"/>
    <cellStyle name="Comma 5 2" xfId="92" xr:uid="{00000000-0005-0000-0000-00005C000000}"/>
    <cellStyle name="Comma 5 2 2" xfId="302" xr:uid="{00000000-0005-0000-0000-00002E010000}"/>
    <cellStyle name="Comma 5 2 3" xfId="452" xr:uid="{00000000-0005-0000-0000-0000C4010000}"/>
    <cellStyle name="Comma 5 2 3 2" xfId="688" xr:uid="{00000000-0005-0000-0000-0000B0020000}"/>
    <cellStyle name="Comma 5 2 3 2 2" xfId="1275" xr:uid="{00000000-0005-0000-0000-0000FB040000}"/>
    <cellStyle name="Comma 5 2 3 3" xfId="1054" xr:uid="{00000000-0005-0000-0000-00001E040000}"/>
    <cellStyle name="Comma 5 2 4" xfId="577" xr:uid="{00000000-0005-0000-0000-000041020000}"/>
    <cellStyle name="Comma 5 2 4 2" xfId="1164" xr:uid="{00000000-0005-0000-0000-00008C040000}"/>
    <cellStyle name="Comma 5 2 5" xfId="946" xr:uid="{00000000-0005-0000-0000-0000B2030000}"/>
    <cellStyle name="Comma 5 3" xfId="303" xr:uid="{00000000-0005-0000-0000-00002F010000}"/>
    <cellStyle name="Comma 5 3 2" xfId="528" xr:uid="{00000000-0005-0000-0000-000010020000}"/>
    <cellStyle name="Comma 5 3 2 2" xfId="758" xr:uid="{00000000-0005-0000-0000-0000F6020000}"/>
    <cellStyle name="Comma 5 3 2 2 2" xfId="1345" xr:uid="{00000000-0005-0000-0000-000041050000}"/>
    <cellStyle name="Comma 5 3 2 3" xfId="1120" xr:uid="{00000000-0005-0000-0000-000060040000}"/>
    <cellStyle name="Comma 5 3 3" xfId="643" xr:uid="{00000000-0005-0000-0000-000083020000}"/>
    <cellStyle name="Comma 5 3 3 2" xfId="1230" xr:uid="{00000000-0005-0000-0000-0000CE040000}"/>
    <cellStyle name="Comma 5 3 4" xfId="1012" xr:uid="{00000000-0005-0000-0000-0000F4030000}"/>
    <cellStyle name="Comma 5 4" xfId="301" xr:uid="{00000000-0005-0000-0000-00002D010000}"/>
    <cellStyle name="Comma 5 4 2" xfId="527" xr:uid="{00000000-0005-0000-0000-00000F020000}"/>
    <cellStyle name="Comma 5 4 2 2" xfId="757" xr:uid="{00000000-0005-0000-0000-0000F5020000}"/>
    <cellStyle name="Comma 5 4 2 2 2" xfId="1344" xr:uid="{00000000-0005-0000-0000-000040050000}"/>
    <cellStyle name="Comma 5 4 2 3" xfId="1119" xr:uid="{00000000-0005-0000-0000-00005F040000}"/>
    <cellStyle name="Comma 5 4 3" xfId="642" xr:uid="{00000000-0005-0000-0000-000082020000}"/>
    <cellStyle name="Comma 5 4 3 2" xfId="1229" xr:uid="{00000000-0005-0000-0000-0000CD040000}"/>
    <cellStyle name="Comma 5 4 4" xfId="1011" xr:uid="{00000000-0005-0000-0000-0000F3030000}"/>
    <cellStyle name="Comma 5 5" xfId="805" xr:uid="{00000000-0005-0000-0000-000025030000}"/>
    <cellStyle name="Comma 6" xfId="93" xr:uid="{00000000-0005-0000-0000-00005D000000}"/>
    <cellStyle name="Comma 6 2" xfId="94" xr:uid="{00000000-0005-0000-0000-00005E000000}"/>
    <cellStyle name="Comma 6 3" xfId="305" xr:uid="{00000000-0005-0000-0000-000031010000}"/>
    <cellStyle name="Comma 6 3 2" xfId="530" xr:uid="{00000000-0005-0000-0000-000012020000}"/>
    <cellStyle name="Comma 6 3 2 2" xfId="760" xr:uid="{00000000-0005-0000-0000-0000F8020000}"/>
    <cellStyle name="Comma 6 3 2 2 2" xfId="1347" xr:uid="{00000000-0005-0000-0000-000043050000}"/>
    <cellStyle name="Comma 6 3 2 3" xfId="1122" xr:uid="{00000000-0005-0000-0000-000062040000}"/>
    <cellStyle name="Comma 6 3 3" xfId="645" xr:uid="{00000000-0005-0000-0000-000085020000}"/>
    <cellStyle name="Comma 6 3 3 2" xfId="1232" xr:uid="{00000000-0005-0000-0000-0000D0040000}"/>
    <cellStyle name="Comma 6 3 4" xfId="1014" xr:uid="{00000000-0005-0000-0000-0000F6030000}"/>
    <cellStyle name="Comma 6 4" xfId="304" xr:uid="{00000000-0005-0000-0000-000030010000}"/>
    <cellStyle name="Comma 6 4 2" xfId="529" xr:uid="{00000000-0005-0000-0000-000011020000}"/>
    <cellStyle name="Comma 6 4 2 2" xfId="759" xr:uid="{00000000-0005-0000-0000-0000F7020000}"/>
    <cellStyle name="Comma 6 4 2 2 2" xfId="1346" xr:uid="{00000000-0005-0000-0000-000042050000}"/>
    <cellStyle name="Comma 6 4 2 3" xfId="1121" xr:uid="{00000000-0005-0000-0000-000061040000}"/>
    <cellStyle name="Comma 6 4 3" xfId="644" xr:uid="{00000000-0005-0000-0000-000084020000}"/>
    <cellStyle name="Comma 6 4 3 2" xfId="1231" xr:uid="{00000000-0005-0000-0000-0000CF040000}"/>
    <cellStyle name="Comma 6 4 4" xfId="1013" xr:uid="{00000000-0005-0000-0000-0000F5030000}"/>
    <cellStyle name="Comma 7" xfId="95" xr:uid="{00000000-0005-0000-0000-00005F000000}"/>
    <cellStyle name="Comma 7 2" xfId="307" xr:uid="{00000000-0005-0000-0000-000033010000}"/>
    <cellStyle name="Comma 7 3" xfId="308" xr:uid="{00000000-0005-0000-0000-000034010000}"/>
    <cellStyle name="Comma 7 3 2" xfId="532" xr:uid="{00000000-0005-0000-0000-000014020000}"/>
    <cellStyle name="Comma 7 3 2 2" xfId="762" xr:uid="{00000000-0005-0000-0000-0000FA020000}"/>
    <cellStyle name="Comma 7 3 2 2 2" xfId="1349" xr:uid="{00000000-0005-0000-0000-000045050000}"/>
    <cellStyle name="Comma 7 3 2 3" xfId="1124" xr:uid="{00000000-0005-0000-0000-000064040000}"/>
    <cellStyle name="Comma 7 3 3" xfId="647" xr:uid="{00000000-0005-0000-0000-000087020000}"/>
    <cellStyle name="Comma 7 3 3 2" xfId="1234" xr:uid="{00000000-0005-0000-0000-0000D2040000}"/>
    <cellStyle name="Comma 7 3 4" xfId="1016" xr:uid="{00000000-0005-0000-0000-0000F8030000}"/>
    <cellStyle name="Comma 7 4" xfId="309" xr:uid="{00000000-0005-0000-0000-000035010000}"/>
    <cellStyle name="Comma 7 4 2" xfId="533" xr:uid="{00000000-0005-0000-0000-000015020000}"/>
    <cellStyle name="Comma 7 4 2 2" xfId="763" xr:uid="{00000000-0005-0000-0000-0000FB020000}"/>
    <cellStyle name="Comma 7 4 2 2 2" xfId="1350" xr:uid="{00000000-0005-0000-0000-000046050000}"/>
    <cellStyle name="Comma 7 4 2 3" xfId="1125" xr:uid="{00000000-0005-0000-0000-000065040000}"/>
    <cellStyle name="Comma 7 4 3" xfId="648" xr:uid="{00000000-0005-0000-0000-000088020000}"/>
    <cellStyle name="Comma 7 4 3 2" xfId="1235" xr:uid="{00000000-0005-0000-0000-0000D3040000}"/>
    <cellStyle name="Comma 7 4 4" xfId="1017" xr:uid="{00000000-0005-0000-0000-0000F9030000}"/>
    <cellStyle name="Comma 7 5" xfId="306" xr:uid="{00000000-0005-0000-0000-000032010000}"/>
    <cellStyle name="Comma 7 5 2" xfId="531" xr:uid="{00000000-0005-0000-0000-000013020000}"/>
    <cellStyle name="Comma 7 5 2 2" xfId="761" xr:uid="{00000000-0005-0000-0000-0000F9020000}"/>
    <cellStyle name="Comma 7 5 2 2 2" xfId="1348" xr:uid="{00000000-0005-0000-0000-000044050000}"/>
    <cellStyle name="Comma 7 5 2 3" xfId="1123" xr:uid="{00000000-0005-0000-0000-000063040000}"/>
    <cellStyle name="Comma 7 5 3" xfId="646" xr:uid="{00000000-0005-0000-0000-000086020000}"/>
    <cellStyle name="Comma 7 5 3 2" xfId="1233" xr:uid="{00000000-0005-0000-0000-0000D1040000}"/>
    <cellStyle name="Comma 7 5 4" xfId="1015" xr:uid="{00000000-0005-0000-0000-0000F7030000}"/>
    <cellStyle name="Comma 7 6" xfId="453" xr:uid="{00000000-0005-0000-0000-0000C5010000}"/>
    <cellStyle name="Comma 7 6 2" xfId="689" xr:uid="{00000000-0005-0000-0000-0000B1020000}"/>
    <cellStyle name="Comma 7 6 2 2" xfId="1276" xr:uid="{00000000-0005-0000-0000-0000FC040000}"/>
    <cellStyle name="Comma 7 6 3" xfId="1055" xr:uid="{00000000-0005-0000-0000-00001F040000}"/>
    <cellStyle name="Comma 7 7" xfId="578" xr:uid="{00000000-0005-0000-0000-000042020000}"/>
    <cellStyle name="Comma 7 7 2" xfId="1165" xr:uid="{00000000-0005-0000-0000-00008D040000}"/>
    <cellStyle name="Comma 7 8" xfId="947" xr:uid="{00000000-0005-0000-0000-0000B3030000}"/>
    <cellStyle name="Comma 8" xfId="310" xr:uid="{00000000-0005-0000-0000-000036010000}"/>
    <cellStyle name="Comma 8 2" xfId="311" xr:uid="{00000000-0005-0000-0000-000037010000}"/>
    <cellStyle name="Comma 8 3" xfId="534" xr:uid="{00000000-0005-0000-0000-000016020000}"/>
    <cellStyle name="Comma 8 3 2" xfId="764" xr:uid="{00000000-0005-0000-0000-0000FC020000}"/>
    <cellStyle name="Comma 8 3 2 2" xfId="1351" xr:uid="{00000000-0005-0000-0000-000047050000}"/>
    <cellStyle name="Comma 8 3 2 3" xfId="917" xr:uid="{00000000-0005-0000-0000-000095030000}"/>
    <cellStyle name="Comma 8 3 3" xfId="1126" xr:uid="{00000000-0005-0000-0000-000066040000}"/>
    <cellStyle name="Comma 8 3 4" xfId="847" xr:uid="{00000000-0005-0000-0000-00004F030000}"/>
    <cellStyle name="Comma 8 4" xfId="649" xr:uid="{00000000-0005-0000-0000-000089020000}"/>
    <cellStyle name="Comma 8 4 2" xfId="1236" xr:uid="{00000000-0005-0000-0000-0000D4040000}"/>
    <cellStyle name="Comma 8 4 3" xfId="879" xr:uid="{00000000-0005-0000-0000-00006F030000}"/>
    <cellStyle name="Comma 8 5" xfId="1018" xr:uid="{00000000-0005-0000-0000-0000FA030000}"/>
    <cellStyle name="Comma 8 6" xfId="815" xr:uid="{00000000-0005-0000-0000-00002F030000}"/>
    <cellStyle name="Comma 9" xfId="312" xr:uid="{00000000-0005-0000-0000-000038010000}"/>
    <cellStyle name="Comma 9 2" xfId="313" xr:uid="{00000000-0005-0000-0000-000039010000}"/>
    <cellStyle name="Comma 9 2 2" xfId="314" xr:uid="{00000000-0005-0000-0000-00003A010000}"/>
    <cellStyle name="Comma 9 2 3" xfId="315" xr:uid="{00000000-0005-0000-0000-00003B010000}"/>
    <cellStyle name="Comma 9 2 3 2" xfId="537" xr:uid="{00000000-0005-0000-0000-000019020000}"/>
    <cellStyle name="Comma 9 2 3 2 2" xfId="767" xr:uid="{00000000-0005-0000-0000-0000FF020000}"/>
    <cellStyle name="Comma 9 2 3 2 2 2" xfId="1354" xr:uid="{00000000-0005-0000-0000-00004A050000}"/>
    <cellStyle name="Comma 9 2 3 2 3" xfId="1129" xr:uid="{00000000-0005-0000-0000-000069040000}"/>
    <cellStyle name="Comma 9 2 3 3" xfId="652" xr:uid="{00000000-0005-0000-0000-00008C020000}"/>
    <cellStyle name="Comma 9 2 3 3 2" xfId="1239" xr:uid="{00000000-0005-0000-0000-0000D7040000}"/>
    <cellStyle name="Comma 9 2 3 4" xfId="1021" xr:uid="{00000000-0005-0000-0000-0000FD030000}"/>
    <cellStyle name="Comma 9 2 4" xfId="316" xr:uid="{00000000-0005-0000-0000-00003C010000}"/>
    <cellStyle name="Comma 9 2 4 2" xfId="538" xr:uid="{00000000-0005-0000-0000-00001A020000}"/>
    <cellStyle name="Comma 9 2 4 2 2" xfId="768" xr:uid="{00000000-0005-0000-0000-000000030000}"/>
    <cellStyle name="Comma 9 2 4 2 2 2" xfId="1355" xr:uid="{00000000-0005-0000-0000-00004B050000}"/>
    <cellStyle name="Comma 9 2 4 2 3" xfId="1130" xr:uid="{00000000-0005-0000-0000-00006A040000}"/>
    <cellStyle name="Comma 9 2 4 3" xfId="653" xr:uid="{00000000-0005-0000-0000-00008D020000}"/>
    <cellStyle name="Comma 9 2 4 3 2" xfId="1240" xr:uid="{00000000-0005-0000-0000-0000D8040000}"/>
    <cellStyle name="Comma 9 2 4 4" xfId="1022" xr:uid="{00000000-0005-0000-0000-0000FE030000}"/>
    <cellStyle name="Comma 9 2 5" xfId="536" xr:uid="{00000000-0005-0000-0000-000018020000}"/>
    <cellStyle name="Comma 9 2 5 2" xfId="766" xr:uid="{00000000-0005-0000-0000-0000FE020000}"/>
    <cellStyle name="Comma 9 2 5 2 2" xfId="1353" xr:uid="{00000000-0005-0000-0000-000049050000}"/>
    <cellStyle name="Comma 9 2 5 3" xfId="1128" xr:uid="{00000000-0005-0000-0000-000068040000}"/>
    <cellStyle name="Comma 9 2 6" xfId="651" xr:uid="{00000000-0005-0000-0000-00008B020000}"/>
    <cellStyle name="Comma 9 2 6 2" xfId="1238" xr:uid="{00000000-0005-0000-0000-0000D6040000}"/>
    <cellStyle name="Comma 9 2 7" xfId="1020" xr:uid="{00000000-0005-0000-0000-0000FC030000}"/>
    <cellStyle name="Comma 9 3" xfId="317" xr:uid="{00000000-0005-0000-0000-00003D010000}"/>
    <cellStyle name="Comma 9 3 2" xfId="539" xr:uid="{00000000-0005-0000-0000-00001B020000}"/>
    <cellStyle name="Comma 9 3 2 2" xfId="769" xr:uid="{00000000-0005-0000-0000-000001030000}"/>
    <cellStyle name="Comma 9 3 2 2 2" xfId="1356" xr:uid="{00000000-0005-0000-0000-00004C050000}"/>
    <cellStyle name="Comma 9 3 2 3" xfId="1131" xr:uid="{00000000-0005-0000-0000-00006B040000}"/>
    <cellStyle name="Comma 9 3 3" xfId="654" xr:uid="{00000000-0005-0000-0000-00008E020000}"/>
    <cellStyle name="Comma 9 3 3 2" xfId="1241" xr:uid="{00000000-0005-0000-0000-0000D9040000}"/>
    <cellStyle name="Comma 9 3 4" xfId="1023" xr:uid="{00000000-0005-0000-0000-0000FF030000}"/>
    <cellStyle name="Comma 9 4" xfId="535" xr:uid="{00000000-0005-0000-0000-000017020000}"/>
    <cellStyle name="Comma 9 4 2" xfId="765" xr:uid="{00000000-0005-0000-0000-0000FD020000}"/>
    <cellStyle name="Comma 9 4 2 2" xfId="1352" xr:uid="{00000000-0005-0000-0000-000048050000}"/>
    <cellStyle name="Comma 9 4 3" xfId="1127" xr:uid="{00000000-0005-0000-0000-000067040000}"/>
    <cellStyle name="Comma 9 5" xfId="650" xr:uid="{00000000-0005-0000-0000-00008A020000}"/>
    <cellStyle name="Comma 9 5 2" xfId="1237" xr:uid="{00000000-0005-0000-0000-0000D5040000}"/>
    <cellStyle name="Comma 9 6" xfId="1019" xr:uid="{00000000-0005-0000-0000-0000FB030000}"/>
    <cellStyle name="Comma0" xfId="96" xr:uid="{00000000-0005-0000-0000-000060000000}"/>
    <cellStyle name="Comma0 2" xfId="97" xr:uid="{00000000-0005-0000-0000-000061000000}"/>
    <cellStyle name="Comma0 3" xfId="206" xr:uid="{00000000-0005-0000-0000-0000CE000000}"/>
    <cellStyle name="Currency0" xfId="207" xr:uid="{00000000-0005-0000-0000-0000CF000000}"/>
    <cellStyle name="Currency0 2" xfId="472" xr:uid="{00000000-0005-0000-0000-0000D8010000}"/>
    <cellStyle name="Currency0 2 2" xfId="702" xr:uid="{00000000-0005-0000-0000-0000BE020000}"/>
    <cellStyle name="Currency0 2 2 2" xfId="1289" xr:uid="{00000000-0005-0000-0000-000009050000}"/>
    <cellStyle name="Currency0 2 3" xfId="1065" xr:uid="{00000000-0005-0000-0000-000029040000}"/>
    <cellStyle name="Currency0 3" xfId="588" xr:uid="{00000000-0005-0000-0000-00004C020000}"/>
    <cellStyle name="Currency0 3 2" xfId="1175" xr:uid="{00000000-0005-0000-0000-000097040000}"/>
    <cellStyle name="Currency0 4" xfId="957" xr:uid="{00000000-0005-0000-0000-0000BD030000}"/>
    <cellStyle name="Date" xfId="208" xr:uid="{00000000-0005-0000-0000-0000D0000000}"/>
    <cellStyle name="Empty_L_border" xfId="435" xr:uid="{00000000-0005-0000-0000-0000B3010000}"/>
    <cellStyle name="Euro" xfId="98" xr:uid="{00000000-0005-0000-0000-000062000000}"/>
    <cellStyle name="Euro 2" xfId="99" xr:uid="{00000000-0005-0000-0000-000063000000}"/>
    <cellStyle name="Euro 2 2" xfId="318" xr:uid="{00000000-0005-0000-0000-00003E010000}"/>
    <cellStyle name="Explanatory Text 2" xfId="101" xr:uid="{00000000-0005-0000-0000-000065000000}"/>
    <cellStyle name="Explanatory Text 3" xfId="102" xr:uid="{00000000-0005-0000-0000-000066000000}"/>
    <cellStyle name="Explanatory Text 4" xfId="100" xr:uid="{00000000-0005-0000-0000-000064000000}"/>
    <cellStyle name="Fixed" xfId="209" xr:uid="{00000000-0005-0000-0000-0000D1000000}"/>
    <cellStyle name="Good 2" xfId="104" xr:uid="{00000000-0005-0000-0000-000068000000}"/>
    <cellStyle name="Good 2 2" xfId="105" xr:uid="{00000000-0005-0000-0000-000069000000}"/>
    <cellStyle name="Good 2 3" xfId="424" xr:uid="{00000000-0005-0000-0000-0000A8010000}"/>
    <cellStyle name="Good 2 4" xfId="319" xr:uid="{00000000-0005-0000-0000-00003F010000}"/>
    <cellStyle name="Good 3" xfId="106" xr:uid="{00000000-0005-0000-0000-00006A000000}"/>
    <cellStyle name="Good 4" xfId="103" xr:uid="{00000000-0005-0000-0000-000067000000}"/>
    <cellStyle name="Heading 1 2" xfId="108" xr:uid="{00000000-0005-0000-0000-00006C000000}"/>
    <cellStyle name="Heading 1 3" xfId="109" xr:uid="{00000000-0005-0000-0000-00006D000000}"/>
    <cellStyle name="Heading 1 4" xfId="107" xr:uid="{00000000-0005-0000-0000-00006B000000}"/>
    <cellStyle name="Heading 2 2" xfId="111" xr:uid="{00000000-0005-0000-0000-00006F000000}"/>
    <cellStyle name="Heading 2 3" xfId="112" xr:uid="{00000000-0005-0000-0000-000070000000}"/>
    <cellStyle name="Heading 2 4" xfId="110" xr:uid="{00000000-0005-0000-0000-00006E000000}"/>
    <cellStyle name="Heading 3 2" xfId="114" xr:uid="{00000000-0005-0000-0000-000072000000}"/>
    <cellStyle name="Heading 3 3" xfId="115" xr:uid="{00000000-0005-0000-0000-000073000000}"/>
    <cellStyle name="Heading 3 4" xfId="113" xr:uid="{00000000-0005-0000-0000-000071000000}"/>
    <cellStyle name="Heading 4 2" xfId="117" xr:uid="{00000000-0005-0000-0000-000075000000}"/>
    <cellStyle name="Heading 4 3" xfId="118" xr:uid="{00000000-0005-0000-0000-000076000000}"/>
    <cellStyle name="Heading 4 4" xfId="116" xr:uid="{00000000-0005-0000-0000-000074000000}"/>
    <cellStyle name="Hyperlink 2" xfId="179" xr:uid="{00000000-0005-0000-0000-0000B3000000}"/>
    <cellStyle name="Hyperlink 2 2" xfId="320" xr:uid="{00000000-0005-0000-0000-000040010000}"/>
    <cellStyle name="Hyperlink 3" xfId="210" xr:uid="{00000000-0005-0000-0000-0000D2000000}"/>
    <cellStyle name="Input 2" xfId="120" xr:uid="{00000000-0005-0000-0000-000078000000}"/>
    <cellStyle name="Input 2 2" xfId="425" xr:uid="{00000000-0005-0000-0000-0000A9010000}"/>
    <cellStyle name="Input 2 2 2" xfId="559" xr:uid="{00000000-0005-0000-0000-00002F020000}"/>
    <cellStyle name="Input 2 2 2 2" xfId="788" xr:uid="{00000000-0005-0000-0000-000014030000}"/>
    <cellStyle name="Input 2 2 2 2 2" xfId="1375" xr:uid="{00000000-0005-0000-0000-00005F050000}"/>
    <cellStyle name="Input 2 2 2 2 3" xfId="934" xr:uid="{00000000-0005-0000-0000-0000A6030000}"/>
    <cellStyle name="Input 2 3" xfId="321" xr:uid="{00000000-0005-0000-0000-000041010000}"/>
    <cellStyle name="Input 2 3 2" xfId="540" xr:uid="{00000000-0005-0000-0000-00001C020000}"/>
    <cellStyle name="Input 2 3 2 2" xfId="770" xr:uid="{00000000-0005-0000-0000-000002030000}"/>
    <cellStyle name="Input 2 3 2 2 2" xfId="1357" xr:uid="{00000000-0005-0000-0000-00004D050000}"/>
    <cellStyle name="Input 2 3 2 2 3" xfId="918" xr:uid="{00000000-0005-0000-0000-000096030000}"/>
    <cellStyle name="Input 2 4" xfId="455" xr:uid="{00000000-0005-0000-0000-0000C7010000}"/>
    <cellStyle name="Input 2 4 2" xfId="691" xr:uid="{00000000-0005-0000-0000-0000B3020000}"/>
    <cellStyle name="Input 2 4 2 2" xfId="1278" xr:uid="{00000000-0005-0000-0000-0000FE040000}"/>
    <cellStyle name="Input 2 4 2 3" xfId="905" xr:uid="{00000000-0005-0000-0000-000089030000}"/>
    <cellStyle name="Input 3" xfId="121" xr:uid="{00000000-0005-0000-0000-000079000000}"/>
    <cellStyle name="Input 3 2" xfId="456" xr:uid="{00000000-0005-0000-0000-0000C8010000}"/>
    <cellStyle name="Input 3 2 2" xfId="692" xr:uid="{00000000-0005-0000-0000-0000B4020000}"/>
    <cellStyle name="Input 3 2 2 2" xfId="1279" xr:uid="{00000000-0005-0000-0000-0000FF040000}"/>
    <cellStyle name="Input 3 2 2 3" xfId="906" xr:uid="{00000000-0005-0000-0000-00008A030000}"/>
    <cellStyle name="Input 4" xfId="454" xr:uid="{00000000-0005-0000-0000-0000C6010000}"/>
    <cellStyle name="Input 4 2" xfId="690" xr:uid="{00000000-0005-0000-0000-0000B2020000}"/>
    <cellStyle name="Input 4 2 2" xfId="1277" xr:uid="{00000000-0005-0000-0000-0000FD040000}"/>
    <cellStyle name="Input 4 2 3" xfId="904" xr:uid="{00000000-0005-0000-0000-000088030000}"/>
    <cellStyle name="Input 5" xfId="119" xr:uid="{00000000-0005-0000-0000-000077000000}"/>
    <cellStyle name="Linked Cell 2" xfId="123" xr:uid="{00000000-0005-0000-0000-00007B000000}"/>
    <cellStyle name="Linked Cell 3" xfId="124" xr:uid="{00000000-0005-0000-0000-00007C000000}"/>
    <cellStyle name="Linked Cell 4" xfId="122" xr:uid="{00000000-0005-0000-0000-00007A000000}"/>
    <cellStyle name="Milliers 10" xfId="322" xr:uid="{00000000-0005-0000-0000-000042010000}"/>
    <cellStyle name="Milliers 11" xfId="323" xr:uid="{00000000-0005-0000-0000-000043010000}"/>
    <cellStyle name="Milliers 12" xfId="324" xr:uid="{00000000-0005-0000-0000-000044010000}"/>
    <cellStyle name="Milliers 13" xfId="325" xr:uid="{00000000-0005-0000-0000-000045010000}"/>
    <cellStyle name="Milliers 14" xfId="326" xr:uid="{00000000-0005-0000-0000-000046010000}"/>
    <cellStyle name="Milliers 15" xfId="327" xr:uid="{00000000-0005-0000-0000-000047010000}"/>
    <cellStyle name="Milliers 16" xfId="328" xr:uid="{00000000-0005-0000-0000-000048010000}"/>
    <cellStyle name="Milliers 17" xfId="329" xr:uid="{00000000-0005-0000-0000-000049010000}"/>
    <cellStyle name="Milliers 18" xfId="330" xr:uid="{00000000-0005-0000-0000-00004A010000}"/>
    <cellStyle name="Milliers 2" xfId="211" xr:uid="{00000000-0005-0000-0000-0000D3000000}"/>
    <cellStyle name="Milliers 2 2" xfId="473" xr:uid="{00000000-0005-0000-0000-0000D9010000}"/>
    <cellStyle name="Milliers 2 2 2" xfId="703" xr:uid="{00000000-0005-0000-0000-0000BF020000}"/>
    <cellStyle name="Milliers 2 2 2 2" xfId="1290" xr:uid="{00000000-0005-0000-0000-00000A050000}"/>
    <cellStyle name="Milliers 2 2 3" xfId="1066" xr:uid="{00000000-0005-0000-0000-00002A040000}"/>
    <cellStyle name="Milliers 2 3" xfId="589" xr:uid="{00000000-0005-0000-0000-00004D020000}"/>
    <cellStyle name="Milliers 2 3 2" xfId="1176" xr:uid="{00000000-0005-0000-0000-000098040000}"/>
    <cellStyle name="Milliers 2 4" xfId="958" xr:uid="{00000000-0005-0000-0000-0000BE030000}"/>
    <cellStyle name="Milliers 3" xfId="331" xr:uid="{00000000-0005-0000-0000-00004B010000}"/>
    <cellStyle name="Milliers 4" xfId="332" xr:uid="{00000000-0005-0000-0000-00004C010000}"/>
    <cellStyle name="Milliers 5" xfId="333" xr:uid="{00000000-0005-0000-0000-00004D010000}"/>
    <cellStyle name="Milliers 6" xfId="334" xr:uid="{00000000-0005-0000-0000-00004E010000}"/>
    <cellStyle name="Milliers 7" xfId="335" xr:uid="{00000000-0005-0000-0000-00004F010000}"/>
    <cellStyle name="Milliers 8" xfId="336" xr:uid="{00000000-0005-0000-0000-000050010000}"/>
    <cellStyle name="Milliers 9" xfId="337" xr:uid="{00000000-0005-0000-0000-000051010000}"/>
    <cellStyle name="Neutral 2" xfId="126" xr:uid="{00000000-0005-0000-0000-00007E000000}"/>
    <cellStyle name="Neutral 2 2" xfId="127" xr:uid="{00000000-0005-0000-0000-00007F000000}"/>
    <cellStyle name="Neutral 2 3" xfId="212" xr:uid="{00000000-0005-0000-0000-0000D4000000}"/>
    <cellStyle name="Neutral 3" xfId="128" xr:uid="{00000000-0005-0000-0000-000080000000}"/>
    <cellStyle name="Neutral 4" xfId="129" xr:uid="{00000000-0005-0000-0000-000081000000}"/>
    <cellStyle name="Neutral 5" xfId="125" xr:uid="{00000000-0005-0000-0000-00007D000000}"/>
    <cellStyle name="Normal" xfId="0" builtinId="0"/>
    <cellStyle name="Normal 10" xfId="130" xr:uid="{00000000-0005-0000-0000-000082000000}"/>
    <cellStyle name="Normal 10 2" xfId="131" xr:uid="{00000000-0005-0000-0000-000083000000}"/>
    <cellStyle name="Normal 10 2 2" xfId="132" xr:uid="{00000000-0005-0000-0000-000084000000}"/>
    <cellStyle name="Normal 10 3" xfId="133" xr:uid="{00000000-0005-0000-0000-000085000000}"/>
    <cellStyle name="Normal 11" xfId="338" xr:uid="{00000000-0005-0000-0000-000052010000}"/>
    <cellStyle name="Normal 12" xfId="339" xr:uid="{00000000-0005-0000-0000-000053010000}"/>
    <cellStyle name="Normal 12 2" xfId="340" xr:uid="{00000000-0005-0000-0000-000054010000}"/>
    <cellStyle name="Normal 12 3" xfId="541" xr:uid="{00000000-0005-0000-0000-00001D020000}"/>
    <cellStyle name="Normal 12 3 2" xfId="771" xr:uid="{00000000-0005-0000-0000-000003030000}"/>
    <cellStyle name="Normal 12 3 2 2" xfId="1358" xr:uid="{00000000-0005-0000-0000-00004E050000}"/>
    <cellStyle name="Normal 12 3 2 3" xfId="919" xr:uid="{00000000-0005-0000-0000-000097030000}"/>
    <cellStyle name="Normal 12 3 3" xfId="1132" xr:uid="{00000000-0005-0000-0000-00006C040000}"/>
    <cellStyle name="Normal 12 3 4" xfId="848" xr:uid="{00000000-0005-0000-0000-000050030000}"/>
    <cellStyle name="Normal 12 4" xfId="655" xr:uid="{00000000-0005-0000-0000-00008F020000}"/>
    <cellStyle name="Normal 12 4 2" xfId="1242" xr:uid="{00000000-0005-0000-0000-0000DA040000}"/>
    <cellStyle name="Normal 12 4 3" xfId="880" xr:uid="{00000000-0005-0000-0000-000070030000}"/>
    <cellStyle name="Normal 12 5" xfId="1024" xr:uid="{00000000-0005-0000-0000-000000040000}"/>
    <cellStyle name="Normal 12 6" xfId="816" xr:uid="{00000000-0005-0000-0000-000030030000}"/>
    <cellStyle name="Normal 13" xfId="134" xr:uid="{00000000-0005-0000-0000-000086000000}"/>
    <cellStyle name="Normal 13 2" xfId="437" xr:uid="{00000000-0005-0000-0000-0000B5010000}"/>
    <cellStyle name="Normal 14" xfId="432" xr:uid="{00000000-0005-0000-0000-0000B0010000}"/>
    <cellStyle name="Normal 15" xfId="173" xr:uid="{00000000-0005-0000-0000-0000AD000000}"/>
    <cellStyle name="Normal 15 2" xfId="468" xr:uid="{00000000-0005-0000-0000-0000D4010000}"/>
    <cellStyle name="Normal 15 2 2" xfId="698" xr:uid="{00000000-0005-0000-0000-0000BA020000}"/>
    <cellStyle name="Normal 15 2 2 2" xfId="1285" xr:uid="{00000000-0005-0000-0000-000005050000}"/>
    <cellStyle name="Normal 15 2 2 3" xfId="912" xr:uid="{00000000-0005-0000-0000-000090030000}"/>
    <cellStyle name="Normal 15 2 3" xfId="1061" xr:uid="{00000000-0005-0000-0000-000025040000}"/>
    <cellStyle name="Normal 15 2 4" xfId="843" xr:uid="{00000000-0005-0000-0000-00004B030000}"/>
    <cellStyle name="Normal 15 3" xfId="584" xr:uid="{00000000-0005-0000-0000-000048020000}"/>
    <cellStyle name="Normal 15 3 2" xfId="1171" xr:uid="{00000000-0005-0000-0000-000093040000}"/>
    <cellStyle name="Normal 15 3 3" xfId="875" xr:uid="{00000000-0005-0000-0000-00006B030000}"/>
    <cellStyle name="Normal 15 4" xfId="953" xr:uid="{00000000-0005-0000-0000-0000B9030000}"/>
    <cellStyle name="Normal 15 5" xfId="811" xr:uid="{00000000-0005-0000-0000-00002B030000}"/>
    <cellStyle name="Normal 16" xfId="439" xr:uid="{00000000-0005-0000-0000-0000B7010000}"/>
    <cellStyle name="Normal 16 2" xfId="566" xr:uid="{00000000-0005-0000-0000-000036020000}"/>
    <cellStyle name="Normal 16 2 2" xfId="794" xr:uid="{00000000-0005-0000-0000-00001A030000}"/>
    <cellStyle name="Normal 16 2 2 2" xfId="1381" xr:uid="{00000000-0005-0000-0000-000065050000}"/>
    <cellStyle name="Normal 16 2 2 3" xfId="937" xr:uid="{00000000-0005-0000-0000-0000A9030000}"/>
    <cellStyle name="Normal 16 2 3" xfId="801" xr:uid="{00000000-0005-0000-0000-000021030000}"/>
    <cellStyle name="Normal 16 2 3 2" xfId="1153" xr:uid="{00000000-0005-0000-0000-000081040000}"/>
    <cellStyle name="Normal 16 2 4" xfId="864" xr:uid="{00000000-0005-0000-0000-000060030000}"/>
    <cellStyle name="Normal 16 3" xfId="676" xr:uid="{00000000-0005-0000-0000-0000A4020000}"/>
    <cellStyle name="Normal 16 3 2" xfId="1263" xr:uid="{00000000-0005-0000-0000-0000EF040000}"/>
    <cellStyle name="Normal 16 3 3" xfId="896" xr:uid="{00000000-0005-0000-0000-000080030000}"/>
    <cellStyle name="Normal 16 4" xfId="1045" xr:uid="{00000000-0005-0000-0000-000015040000}"/>
    <cellStyle name="Normal 16 5" xfId="832" xr:uid="{00000000-0005-0000-0000-000040030000}"/>
    <cellStyle name="Normal 17" xfId="443" xr:uid="{00000000-0005-0000-0000-0000BB010000}"/>
    <cellStyle name="Normal 17 2" xfId="570" xr:uid="{00000000-0005-0000-0000-00003A020000}"/>
    <cellStyle name="Normal 17 2 2" xfId="798" xr:uid="{00000000-0005-0000-0000-00001E030000}"/>
    <cellStyle name="Normal 17 2 2 2" xfId="1385" xr:uid="{00000000-0005-0000-0000-000069050000}"/>
    <cellStyle name="Normal 17 2 2 3" xfId="940" xr:uid="{00000000-0005-0000-0000-0000AC030000}"/>
    <cellStyle name="Normal 17 2 3" xfId="1157" xr:uid="{00000000-0005-0000-0000-000085040000}"/>
    <cellStyle name="Normal 17 2 4" xfId="867" xr:uid="{00000000-0005-0000-0000-000063030000}"/>
    <cellStyle name="Normal 17 3" xfId="679" xr:uid="{00000000-0005-0000-0000-0000A7020000}"/>
    <cellStyle name="Normal 17 3 2" xfId="1266" xr:uid="{00000000-0005-0000-0000-0000F2040000}"/>
    <cellStyle name="Normal 17 3 3" xfId="899" xr:uid="{00000000-0005-0000-0000-000083030000}"/>
    <cellStyle name="Normal 17 4" xfId="1048" xr:uid="{00000000-0005-0000-0000-000018040000}"/>
    <cellStyle name="Normal 17 5" xfId="836" xr:uid="{00000000-0005-0000-0000-000044030000}"/>
    <cellStyle name="Normal 18" xfId="392" xr:uid="{00000000-0005-0000-0000-000088010000}"/>
    <cellStyle name="Normal 18 2" xfId="555" xr:uid="{00000000-0005-0000-0000-00002B020000}"/>
    <cellStyle name="Normal 18 2 2" xfId="784" xr:uid="{00000000-0005-0000-0000-000010030000}"/>
    <cellStyle name="Normal 18 2 2 2" xfId="1371" xr:uid="{00000000-0005-0000-0000-00005B050000}"/>
    <cellStyle name="Normal 18 2 2 3" xfId="932" xr:uid="{00000000-0005-0000-0000-0000A4030000}"/>
    <cellStyle name="Normal 18 2 3" xfId="1145" xr:uid="{00000000-0005-0000-0000-000079040000}"/>
    <cellStyle name="Normal 18 2 4" xfId="861" xr:uid="{00000000-0005-0000-0000-00005D030000}"/>
    <cellStyle name="Normal 18 3" xfId="668" xr:uid="{00000000-0005-0000-0000-00009C020000}"/>
    <cellStyle name="Normal 18 3 2" xfId="1255" xr:uid="{00000000-0005-0000-0000-0000E7040000}"/>
    <cellStyle name="Normal 18 3 3" xfId="893" xr:uid="{00000000-0005-0000-0000-00007D030000}"/>
    <cellStyle name="Normal 18 4" xfId="1037" xr:uid="{00000000-0005-0000-0000-00000D040000}"/>
    <cellStyle name="Normal 18 5" xfId="829" xr:uid="{00000000-0005-0000-0000-00003D030000}"/>
    <cellStyle name="Normal 19" xfId="444" xr:uid="{00000000-0005-0000-0000-0000BC010000}"/>
    <cellStyle name="Normal 19 2" xfId="571" xr:uid="{00000000-0005-0000-0000-00003B020000}"/>
    <cellStyle name="Normal 19 2 2" xfId="799" xr:uid="{00000000-0005-0000-0000-00001F030000}"/>
    <cellStyle name="Normal 19 2 2 2" xfId="1386" xr:uid="{00000000-0005-0000-0000-00006A050000}"/>
    <cellStyle name="Normal 19 2 2 3" xfId="941" xr:uid="{00000000-0005-0000-0000-0000AD030000}"/>
    <cellStyle name="Normal 19 2 3" xfId="1158" xr:uid="{00000000-0005-0000-0000-000086040000}"/>
    <cellStyle name="Normal 19 2 4" xfId="868" xr:uid="{00000000-0005-0000-0000-000064030000}"/>
    <cellStyle name="Normal 19 3" xfId="680" xr:uid="{00000000-0005-0000-0000-0000A8020000}"/>
    <cellStyle name="Normal 19 3 2" xfId="1267" xr:uid="{00000000-0005-0000-0000-0000F3040000}"/>
    <cellStyle name="Normal 19 3 3" xfId="900" xr:uid="{00000000-0005-0000-0000-000084030000}"/>
    <cellStyle name="Normal 19 4" xfId="1049" xr:uid="{00000000-0005-0000-0000-000019040000}"/>
    <cellStyle name="Normal 19 5" xfId="837" xr:uid="{00000000-0005-0000-0000-000045030000}"/>
    <cellStyle name="Normal 2" xfId="1" xr:uid="{00000000-0005-0000-0000-000001000000}"/>
    <cellStyle name="Normal 2 2" xfId="136" xr:uid="{00000000-0005-0000-0000-000088000000}"/>
    <cellStyle name="Normal 2 2 2" xfId="213" xr:uid="{00000000-0005-0000-0000-0000D5000000}"/>
    <cellStyle name="Normal 2 2 2 2" xfId="341" xr:uid="{00000000-0005-0000-0000-000055010000}"/>
    <cellStyle name="Normal 2 2 3" xfId="342" xr:uid="{00000000-0005-0000-0000-000056010000}"/>
    <cellStyle name="Normal 2 2 4" xfId="177" xr:uid="{00000000-0005-0000-0000-0000B1000000}"/>
    <cellStyle name="Normal 2 3" xfId="178" xr:uid="{00000000-0005-0000-0000-0000B2000000}"/>
    <cellStyle name="Normal 2 3 2" xfId="343" xr:uid="{00000000-0005-0000-0000-000057010000}"/>
    <cellStyle name="Normal 2 3 3" xfId="344" xr:uid="{00000000-0005-0000-0000-000058010000}"/>
    <cellStyle name="Normal 2 4" xfId="345" xr:uid="{00000000-0005-0000-0000-000059010000}"/>
    <cellStyle name="Normal 2 5" xfId="393" xr:uid="{00000000-0005-0000-0000-000089010000}"/>
    <cellStyle name="Normal 2 6" xfId="135" xr:uid="{00000000-0005-0000-0000-000087000000}"/>
    <cellStyle name="Normal 2_A4-1" xfId="436" xr:uid="{00000000-0005-0000-0000-0000B4010000}"/>
    <cellStyle name="Normal 20" xfId="802" xr:uid="{00000000-0005-0000-0000-000022030000}"/>
    <cellStyle name="Normal 20 2" xfId="869" xr:uid="{00000000-0005-0000-0000-000065030000}"/>
    <cellStyle name="Normal 21" xfId="1388" xr:uid="{00000000-0005-0000-0000-00006C050000}"/>
    <cellStyle name="Normal 22" xfId="1389" xr:uid="{00000000-0005-0000-0000-00006D050000}"/>
    <cellStyle name="Normal 23" xfId="1390" xr:uid="{00000000-0005-0000-0000-00006E050000}"/>
    <cellStyle name="Normal 24" xfId="1391" xr:uid="{00000000-0005-0000-0000-00006F050000}"/>
    <cellStyle name="Normal 25" xfId="1392" xr:uid="{00000000-0005-0000-0000-000070050000}"/>
    <cellStyle name="Normal 26" xfId="1393" xr:uid="{00000000-0005-0000-0000-000071050000}"/>
    <cellStyle name="Normal 27" xfId="1394" xr:uid="{00000000-0005-0000-0000-000072050000}"/>
    <cellStyle name="Normal 28" xfId="1395" xr:uid="{00000000-0005-0000-0000-000073050000}"/>
    <cellStyle name="Normal 29" xfId="1396" xr:uid="{00000000-0005-0000-0000-000074050000}"/>
    <cellStyle name="Normal 3" xfId="137" xr:uid="{00000000-0005-0000-0000-000089000000}"/>
    <cellStyle name="Normal 3 10" xfId="181" xr:uid="{00000000-0005-0000-0000-0000B5000000}"/>
    <cellStyle name="Normal 3 11" xfId="182" xr:uid="{00000000-0005-0000-0000-0000B6000000}"/>
    <cellStyle name="Normal 3 12" xfId="183" xr:uid="{00000000-0005-0000-0000-0000B7000000}"/>
    <cellStyle name="Normal 3 13" xfId="184" xr:uid="{00000000-0005-0000-0000-0000B8000000}"/>
    <cellStyle name="Normal 3 14" xfId="185" xr:uid="{00000000-0005-0000-0000-0000B9000000}"/>
    <cellStyle name="Normal 3 15" xfId="186" xr:uid="{00000000-0005-0000-0000-0000BA000000}"/>
    <cellStyle name="Normal 3 16" xfId="187" xr:uid="{00000000-0005-0000-0000-0000BB000000}"/>
    <cellStyle name="Normal 3 17" xfId="188" xr:uid="{00000000-0005-0000-0000-0000BC000000}"/>
    <cellStyle name="Normal 3 18" xfId="189" xr:uid="{00000000-0005-0000-0000-0000BD000000}"/>
    <cellStyle name="Normal 3 19" xfId="190" xr:uid="{00000000-0005-0000-0000-0000BE000000}"/>
    <cellStyle name="Normal 3 2" xfId="138" xr:uid="{00000000-0005-0000-0000-00008A000000}"/>
    <cellStyle name="Normal 3 2 2" xfId="191" xr:uid="{00000000-0005-0000-0000-0000BF000000}"/>
    <cellStyle name="Normal 3 2 3" xfId="458" xr:uid="{00000000-0005-0000-0000-0000CA010000}"/>
    <cellStyle name="Normal 3 2 3 2" xfId="694" xr:uid="{00000000-0005-0000-0000-0000B6020000}"/>
    <cellStyle name="Normal 3 2 3 2 2" xfId="1281" xr:uid="{00000000-0005-0000-0000-000001050000}"/>
    <cellStyle name="Normal 3 2 3 2 3" xfId="908" xr:uid="{00000000-0005-0000-0000-00008C030000}"/>
    <cellStyle name="Normal 3 2 3 3" xfId="1057" xr:uid="{00000000-0005-0000-0000-000021040000}"/>
    <cellStyle name="Normal 3 2 3 4" xfId="839" xr:uid="{00000000-0005-0000-0000-000047030000}"/>
    <cellStyle name="Normal 3 2 4" xfId="580" xr:uid="{00000000-0005-0000-0000-000044020000}"/>
    <cellStyle name="Normal 3 2 4 2" xfId="1167" xr:uid="{00000000-0005-0000-0000-00008F040000}"/>
    <cellStyle name="Normal 3 2 4 3" xfId="871" xr:uid="{00000000-0005-0000-0000-000067030000}"/>
    <cellStyle name="Normal 3 2 5" xfId="949" xr:uid="{00000000-0005-0000-0000-0000B5030000}"/>
    <cellStyle name="Normal 3 2 6" xfId="807" xr:uid="{00000000-0005-0000-0000-000027030000}"/>
    <cellStyle name="Normal 3 20" xfId="192" xr:uid="{00000000-0005-0000-0000-0000C0000000}"/>
    <cellStyle name="Normal 3 21" xfId="193" xr:uid="{00000000-0005-0000-0000-0000C1000000}"/>
    <cellStyle name="Normal 3 22" xfId="194" xr:uid="{00000000-0005-0000-0000-0000C2000000}"/>
    <cellStyle name="Normal 3 23" xfId="195" xr:uid="{00000000-0005-0000-0000-0000C3000000}"/>
    <cellStyle name="Normal 3 24" xfId="196" xr:uid="{00000000-0005-0000-0000-0000C4000000}"/>
    <cellStyle name="Normal 3 25" xfId="197" xr:uid="{00000000-0005-0000-0000-0000C5000000}"/>
    <cellStyle name="Normal 3 26" xfId="180" xr:uid="{00000000-0005-0000-0000-0000B4000000}"/>
    <cellStyle name="Normal 3 27" xfId="346" xr:uid="{00000000-0005-0000-0000-00005A010000}"/>
    <cellStyle name="Normal 3 27 2" xfId="347" xr:uid="{00000000-0005-0000-0000-00005B010000}"/>
    <cellStyle name="Normal 3 27 3" xfId="542" xr:uid="{00000000-0005-0000-0000-00001E020000}"/>
    <cellStyle name="Normal 3 27 3 2" xfId="772" xr:uid="{00000000-0005-0000-0000-000004030000}"/>
    <cellStyle name="Normal 3 27 3 2 2" xfId="1359" xr:uid="{00000000-0005-0000-0000-00004F050000}"/>
    <cellStyle name="Normal 3 27 3 2 3" xfId="920" xr:uid="{00000000-0005-0000-0000-000098030000}"/>
    <cellStyle name="Normal 3 27 3 3" xfId="1133" xr:uid="{00000000-0005-0000-0000-00006D040000}"/>
    <cellStyle name="Normal 3 27 3 4" xfId="849" xr:uid="{00000000-0005-0000-0000-000051030000}"/>
    <cellStyle name="Normal 3 27 4" xfId="656" xr:uid="{00000000-0005-0000-0000-000090020000}"/>
    <cellStyle name="Normal 3 27 4 2" xfId="1243" xr:uid="{00000000-0005-0000-0000-0000DB040000}"/>
    <cellStyle name="Normal 3 27 4 3" xfId="881" xr:uid="{00000000-0005-0000-0000-000071030000}"/>
    <cellStyle name="Normal 3 27 5" xfId="1025" xr:uid="{00000000-0005-0000-0000-000001040000}"/>
    <cellStyle name="Normal 3 27 6" xfId="817" xr:uid="{00000000-0005-0000-0000-000031030000}"/>
    <cellStyle name="Normal 3 28" xfId="176" xr:uid="{00000000-0005-0000-0000-0000B0000000}"/>
    <cellStyle name="Normal 3 28 2" xfId="470" xr:uid="{00000000-0005-0000-0000-0000D6010000}"/>
    <cellStyle name="Normal 3 28 2 2" xfId="700" xr:uid="{00000000-0005-0000-0000-0000BC020000}"/>
    <cellStyle name="Normal 3 28 2 2 2" xfId="1287" xr:uid="{00000000-0005-0000-0000-000007050000}"/>
    <cellStyle name="Normal 3 28 2 2 3" xfId="914" xr:uid="{00000000-0005-0000-0000-000092030000}"/>
    <cellStyle name="Normal 3 28 2 3" xfId="1063" xr:uid="{00000000-0005-0000-0000-000027040000}"/>
    <cellStyle name="Normal 3 28 2 4" xfId="845" xr:uid="{00000000-0005-0000-0000-00004D030000}"/>
    <cellStyle name="Normal 3 28 3" xfId="586" xr:uid="{00000000-0005-0000-0000-00004A020000}"/>
    <cellStyle name="Normal 3 28 3 2" xfId="1173" xr:uid="{00000000-0005-0000-0000-000095040000}"/>
    <cellStyle name="Normal 3 28 3 3" xfId="877" xr:uid="{00000000-0005-0000-0000-00006D030000}"/>
    <cellStyle name="Normal 3 28 4" xfId="955" xr:uid="{00000000-0005-0000-0000-0000BB030000}"/>
    <cellStyle name="Normal 3 28 5" xfId="813" xr:uid="{00000000-0005-0000-0000-00002D030000}"/>
    <cellStyle name="Normal 3 29" xfId="457" xr:uid="{00000000-0005-0000-0000-0000C9010000}"/>
    <cellStyle name="Normal 3 29 2" xfId="693" xr:uid="{00000000-0005-0000-0000-0000B5020000}"/>
    <cellStyle name="Normal 3 29 2 2" xfId="1280" xr:uid="{00000000-0005-0000-0000-000000050000}"/>
    <cellStyle name="Normal 3 29 2 3" xfId="907" xr:uid="{00000000-0005-0000-0000-00008B030000}"/>
    <cellStyle name="Normal 3 29 3" xfId="1056" xr:uid="{00000000-0005-0000-0000-000020040000}"/>
    <cellStyle name="Normal 3 29 4" xfId="838" xr:uid="{00000000-0005-0000-0000-000046030000}"/>
    <cellStyle name="Normal 3 3" xfId="198" xr:uid="{00000000-0005-0000-0000-0000C6000000}"/>
    <cellStyle name="Normal 3 30" xfId="579" xr:uid="{00000000-0005-0000-0000-000043020000}"/>
    <cellStyle name="Normal 3 30 2" xfId="1166" xr:uid="{00000000-0005-0000-0000-00008E040000}"/>
    <cellStyle name="Normal 3 30 3" xfId="870" xr:uid="{00000000-0005-0000-0000-000066030000}"/>
    <cellStyle name="Normal 3 31" xfId="948" xr:uid="{00000000-0005-0000-0000-0000B4030000}"/>
    <cellStyle name="Normal 3 32" xfId="806" xr:uid="{00000000-0005-0000-0000-000026030000}"/>
    <cellStyle name="Normal 3 4" xfId="199" xr:uid="{00000000-0005-0000-0000-0000C7000000}"/>
    <cellStyle name="Normal 3 5" xfId="200" xr:uid="{00000000-0005-0000-0000-0000C8000000}"/>
    <cellStyle name="Normal 3 6" xfId="201" xr:uid="{00000000-0005-0000-0000-0000C9000000}"/>
    <cellStyle name="Normal 3 7" xfId="202" xr:uid="{00000000-0005-0000-0000-0000CA000000}"/>
    <cellStyle name="Normal 3 8" xfId="203" xr:uid="{00000000-0005-0000-0000-0000CB000000}"/>
    <cellStyle name="Normal 3 9" xfId="204" xr:uid="{00000000-0005-0000-0000-0000CC000000}"/>
    <cellStyle name="Normal 30" xfId="1397" xr:uid="{00000000-0005-0000-0000-000075050000}"/>
    <cellStyle name="Normal 31" xfId="1398" xr:uid="{00000000-0005-0000-0000-000076050000}"/>
    <cellStyle name="Normal 32" xfId="1399" xr:uid="{00000000-0005-0000-0000-000077050000}"/>
    <cellStyle name="Normal 33" xfId="1400" xr:uid="{00000000-0005-0000-0000-000078050000}"/>
    <cellStyle name="Normal 34" xfId="1401" xr:uid="{00000000-0005-0000-0000-000079050000}"/>
    <cellStyle name="Normal 35" xfId="1402" xr:uid="{00000000-0005-0000-0000-00007A050000}"/>
    <cellStyle name="Normal 36" xfId="1403" xr:uid="{00000000-0005-0000-0000-00007B050000}"/>
    <cellStyle name="Normal 37" xfId="1404" xr:uid="{00000000-0005-0000-0000-00007C050000}"/>
    <cellStyle name="Normal 38" xfId="1405" xr:uid="{00000000-0005-0000-0000-00007D050000}"/>
    <cellStyle name="Normal 39" xfId="1406" xr:uid="{00000000-0005-0000-0000-00007E050000}"/>
    <cellStyle name="Normal 4" xfId="139" xr:uid="{00000000-0005-0000-0000-00008B000000}"/>
    <cellStyle name="Normal 4 2" xfId="140" xr:uid="{00000000-0005-0000-0000-00008C000000}"/>
    <cellStyle name="Normal 4 2 2" xfId="348" xr:uid="{00000000-0005-0000-0000-00005C010000}"/>
    <cellStyle name="Normal 4 2 3" xfId="460" xr:uid="{00000000-0005-0000-0000-0000CC010000}"/>
    <cellStyle name="Normal 4 2 3 2" xfId="696" xr:uid="{00000000-0005-0000-0000-0000B8020000}"/>
    <cellStyle name="Normal 4 2 3 2 2" xfId="1283" xr:uid="{00000000-0005-0000-0000-000003050000}"/>
    <cellStyle name="Normal 4 2 3 2 3" xfId="910" xr:uid="{00000000-0005-0000-0000-00008E030000}"/>
    <cellStyle name="Normal 4 2 3 3" xfId="1059" xr:uid="{00000000-0005-0000-0000-000023040000}"/>
    <cellStyle name="Normal 4 2 3 4" xfId="841" xr:uid="{00000000-0005-0000-0000-000049030000}"/>
    <cellStyle name="Normal 4 2 4" xfId="582" xr:uid="{00000000-0005-0000-0000-000046020000}"/>
    <cellStyle name="Normal 4 2 4 2" xfId="1169" xr:uid="{00000000-0005-0000-0000-000091040000}"/>
    <cellStyle name="Normal 4 2 4 3" xfId="873" xr:uid="{00000000-0005-0000-0000-000069030000}"/>
    <cellStyle name="Normal 4 2 5" xfId="951" xr:uid="{00000000-0005-0000-0000-0000B7030000}"/>
    <cellStyle name="Normal 4 2 6" xfId="809" xr:uid="{00000000-0005-0000-0000-000029030000}"/>
    <cellStyle name="Normal 4 3" xfId="349" xr:uid="{00000000-0005-0000-0000-00005D010000}"/>
    <cellStyle name="Normal 4 4" xfId="430" xr:uid="{00000000-0005-0000-0000-0000AE010000}"/>
    <cellStyle name="Normal 4 4 2" xfId="562" xr:uid="{00000000-0005-0000-0000-000032020000}"/>
    <cellStyle name="Normal 4 4 2 2" xfId="790" xr:uid="{00000000-0005-0000-0000-000016030000}"/>
    <cellStyle name="Normal 4 4 2 2 2" xfId="1377" xr:uid="{00000000-0005-0000-0000-000061050000}"/>
    <cellStyle name="Normal 4 4 2 2 3" xfId="935" xr:uid="{00000000-0005-0000-0000-0000A7030000}"/>
    <cellStyle name="Normal 4 4 2 3" xfId="1149" xr:uid="{00000000-0005-0000-0000-00007D040000}"/>
    <cellStyle name="Normal 4 4 2 4" xfId="862" xr:uid="{00000000-0005-0000-0000-00005E030000}"/>
    <cellStyle name="Normal 4 4 3" xfId="672" xr:uid="{00000000-0005-0000-0000-0000A0020000}"/>
    <cellStyle name="Normal 4 4 3 2" xfId="1259" xr:uid="{00000000-0005-0000-0000-0000EB040000}"/>
    <cellStyle name="Normal 4 4 3 3" xfId="894" xr:uid="{00000000-0005-0000-0000-00007E030000}"/>
    <cellStyle name="Normal 4 4 4" xfId="1041" xr:uid="{00000000-0005-0000-0000-000011040000}"/>
    <cellStyle name="Normal 4 4 5" xfId="830" xr:uid="{00000000-0005-0000-0000-00003E030000}"/>
    <cellStyle name="Normal 4 5" xfId="175" xr:uid="{00000000-0005-0000-0000-0000AF000000}"/>
    <cellStyle name="Normal 4 6" xfId="459" xr:uid="{00000000-0005-0000-0000-0000CB010000}"/>
    <cellStyle name="Normal 4 6 2" xfId="695" xr:uid="{00000000-0005-0000-0000-0000B7020000}"/>
    <cellStyle name="Normal 4 6 2 2" xfId="1282" xr:uid="{00000000-0005-0000-0000-000002050000}"/>
    <cellStyle name="Normal 4 6 2 3" xfId="909" xr:uid="{00000000-0005-0000-0000-00008D030000}"/>
    <cellStyle name="Normal 4 6 3" xfId="1058" xr:uid="{00000000-0005-0000-0000-000022040000}"/>
    <cellStyle name="Normal 4 6 4" xfId="840" xr:uid="{00000000-0005-0000-0000-000048030000}"/>
    <cellStyle name="Normal 4 7" xfId="581" xr:uid="{00000000-0005-0000-0000-000045020000}"/>
    <cellStyle name="Normal 4 7 2" xfId="1168" xr:uid="{00000000-0005-0000-0000-000090040000}"/>
    <cellStyle name="Normal 4 7 3" xfId="872" xr:uid="{00000000-0005-0000-0000-000068030000}"/>
    <cellStyle name="Normal 4 8" xfId="950" xr:uid="{00000000-0005-0000-0000-0000B6030000}"/>
    <cellStyle name="Normal 4 9" xfId="808" xr:uid="{00000000-0005-0000-0000-000028030000}"/>
    <cellStyle name="Normal 40" xfId="1407" xr:uid="{00000000-0005-0000-0000-00007F050000}"/>
    <cellStyle name="Normal 41" xfId="1408" xr:uid="{00000000-0005-0000-0000-000080050000}"/>
    <cellStyle name="Normal 42" xfId="1409" xr:uid="{00000000-0005-0000-0000-000081050000}"/>
    <cellStyle name="Normal 43" xfId="1410" xr:uid="{00000000-0005-0000-0000-000082050000}"/>
    <cellStyle name="Normal 44" xfId="1411" xr:uid="{00000000-0005-0000-0000-000083050000}"/>
    <cellStyle name="Normal 45" xfId="1412" xr:uid="{00000000-0005-0000-0000-000084050000}"/>
    <cellStyle name="Normal 46" xfId="1413" xr:uid="{00000000-0005-0000-0000-000085050000}"/>
    <cellStyle name="Normal 47" xfId="1414" xr:uid="{00000000-0005-0000-0000-000086050000}"/>
    <cellStyle name="Normal 48" xfId="1415" xr:uid="{00000000-0005-0000-0000-000087050000}"/>
    <cellStyle name="Normal 49" xfId="1416" xr:uid="{00000000-0005-0000-0000-000088050000}"/>
    <cellStyle name="Normal 5" xfId="141" xr:uid="{00000000-0005-0000-0000-00008D000000}"/>
    <cellStyle name="Normal 5 2" xfId="350" xr:uid="{00000000-0005-0000-0000-00005E010000}"/>
    <cellStyle name="Normal 5 2 2" xfId="351" xr:uid="{00000000-0005-0000-0000-00005F010000}"/>
    <cellStyle name="Normal 5 2 2 2" xfId="352" xr:uid="{00000000-0005-0000-0000-000060010000}"/>
    <cellStyle name="Normal 5 2 2 3" xfId="544" xr:uid="{00000000-0005-0000-0000-000020020000}"/>
    <cellStyle name="Normal 5 2 2 3 2" xfId="774" xr:uid="{00000000-0005-0000-0000-000006030000}"/>
    <cellStyle name="Normal 5 2 2 3 2 2" xfId="1361" xr:uid="{00000000-0005-0000-0000-000051050000}"/>
    <cellStyle name="Normal 5 2 2 3 2 3" xfId="922" xr:uid="{00000000-0005-0000-0000-00009A030000}"/>
    <cellStyle name="Normal 5 2 2 3 3" xfId="1135" xr:uid="{00000000-0005-0000-0000-00006F040000}"/>
    <cellStyle name="Normal 5 2 2 3 4" xfId="851" xr:uid="{00000000-0005-0000-0000-000053030000}"/>
    <cellStyle name="Normal 5 2 2 4" xfId="658" xr:uid="{00000000-0005-0000-0000-000092020000}"/>
    <cellStyle name="Normal 5 2 2 4 2" xfId="1245" xr:uid="{00000000-0005-0000-0000-0000DD040000}"/>
    <cellStyle name="Normal 5 2 2 4 3" xfId="883" xr:uid="{00000000-0005-0000-0000-000073030000}"/>
    <cellStyle name="Normal 5 2 2 5" xfId="1027" xr:uid="{00000000-0005-0000-0000-000003040000}"/>
    <cellStyle name="Normal 5 2 2 6" xfId="819" xr:uid="{00000000-0005-0000-0000-000033030000}"/>
    <cellStyle name="Normal 5 2 3" xfId="353" xr:uid="{00000000-0005-0000-0000-000061010000}"/>
    <cellStyle name="Normal 5 2 3 2" xfId="545" xr:uid="{00000000-0005-0000-0000-000021020000}"/>
    <cellStyle name="Normal 5 2 3 2 2" xfId="775" xr:uid="{00000000-0005-0000-0000-000007030000}"/>
    <cellStyle name="Normal 5 2 3 2 2 2" xfId="1362" xr:uid="{00000000-0005-0000-0000-000052050000}"/>
    <cellStyle name="Normal 5 2 3 2 2 3" xfId="923" xr:uid="{00000000-0005-0000-0000-00009B030000}"/>
    <cellStyle name="Normal 5 2 3 2 3" xfId="1136" xr:uid="{00000000-0005-0000-0000-000070040000}"/>
    <cellStyle name="Normal 5 2 3 2 4" xfId="852" xr:uid="{00000000-0005-0000-0000-000054030000}"/>
    <cellStyle name="Normal 5 2 3 3" xfId="659" xr:uid="{00000000-0005-0000-0000-000093020000}"/>
    <cellStyle name="Normal 5 2 3 3 2" xfId="1246" xr:uid="{00000000-0005-0000-0000-0000DE040000}"/>
    <cellStyle name="Normal 5 2 3 3 3" xfId="884" xr:uid="{00000000-0005-0000-0000-000074030000}"/>
    <cellStyle name="Normal 5 2 3 4" xfId="1028" xr:uid="{00000000-0005-0000-0000-000004040000}"/>
    <cellStyle name="Normal 5 2 3 5" xfId="820" xr:uid="{00000000-0005-0000-0000-000034030000}"/>
    <cellStyle name="Normal 5 2 4" xfId="543" xr:uid="{00000000-0005-0000-0000-00001F020000}"/>
    <cellStyle name="Normal 5 2 4 2" xfId="773" xr:uid="{00000000-0005-0000-0000-000005030000}"/>
    <cellStyle name="Normal 5 2 4 2 2" xfId="1360" xr:uid="{00000000-0005-0000-0000-000050050000}"/>
    <cellStyle name="Normal 5 2 4 2 3" xfId="921" xr:uid="{00000000-0005-0000-0000-000099030000}"/>
    <cellStyle name="Normal 5 2 4 3" xfId="1134" xr:uid="{00000000-0005-0000-0000-00006E040000}"/>
    <cellStyle name="Normal 5 2 4 4" xfId="850" xr:uid="{00000000-0005-0000-0000-000052030000}"/>
    <cellStyle name="Normal 5 2 5" xfId="657" xr:uid="{00000000-0005-0000-0000-000091020000}"/>
    <cellStyle name="Normal 5 2 5 2" xfId="1244" xr:uid="{00000000-0005-0000-0000-0000DC040000}"/>
    <cellStyle name="Normal 5 2 5 3" xfId="882" xr:uid="{00000000-0005-0000-0000-000072030000}"/>
    <cellStyle name="Normal 5 2 6" xfId="1026" xr:uid="{00000000-0005-0000-0000-000002040000}"/>
    <cellStyle name="Normal 5 2 7" xfId="818" xr:uid="{00000000-0005-0000-0000-000032030000}"/>
    <cellStyle name="Normal 5 3" xfId="354" xr:uid="{00000000-0005-0000-0000-000062010000}"/>
    <cellStyle name="Normal 5 3 2" xfId="355" xr:uid="{00000000-0005-0000-0000-000063010000}"/>
    <cellStyle name="Normal 5 3 2 2" xfId="547" xr:uid="{00000000-0005-0000-0000-000023020000}"/>
    <cellStyle name="Normal 5 3 2 2 2" xfId="777" xr:uid="{00000000-0005-0000-0000-000009030000}"/>
    <cellStyle name="Normal 5 3 2 2 2 2" xfId="1364" xr:uid="{00000000-0005-0000-0000-000054050000}"/>
    <cellStyle name="Normal 5 3 2 2 2 3" xfId="925" xr:uid="{00000000-0005-0000-0000-00009D030000}"/>
    <cellStyle name="Normal 5 3 2 2 3" xfId="1138" xr:uid="{00000000-0005-0000-0000-000072040000}"/>
    <cellStyle name="Normal 5 3 2 2 4" xfId="854" xr:uid="{00000000-0005-0000-0000-000056030000}"/>
    <cellStyle name="Normal 5 3 2 3" xfId="661" xr:uid="{00000000-0005-0000-0000-000095020000}"/>
    <cellStyle name="Normal 5 3 2 3 2" xfId="1248" xr:uid="{00000000-0005-0000-0000-0000E0040000}"/>
    <cellStyle name="Normal 5 3 2 3 3" xfId="886" xr:uid="{00000000-0005-0000-0000-000076030000}"/>
    <cellStyle name="Normal 5 3 2 4" xfId="1030" xr:uid="{00000000-0005-0000-0000-000006040000}"/>
    <cellStyle name="Normal 5 3 2 5" xfId="822" xr:uid="{00000000-0005-0000-0000-000036030000}"/>
    <cellStyle name="Normal 5 3 3" xfId="546" xr:uid="{00000000-0005-0000-0000-000022020000}"/>
    <cellStyle name="Normal 5 3 3 2" xfId="776" xr:uid="{00000000-0005-0000-0000-000008030000}"/>
    <cellStyle name="Normal 5 3 3 2 2" xfId="1363" xr:uid="{00000000-0005-0000-0000-000053050000}"/>
    <cellStyle name="Normal 5 3 3 2 3" xfId="924" xr:uid="{00000000-0005-0000-0000-00009C030000}"/>
    <cellStyle name="Normal 5 3 3 3" xfId="1137" xr:uid="{00000000-0005-0000-0000-000071040000}"/>
    <cellStyle name="Normal 5 3 3 4" xfId="853" xr:uid="{00000000-0005-0000-0000-000055030000}"/>
    <cellStyle name="Normal 5 3 4" xfId="660" xr:uid="{00000000-0005-0000-0000-000094020000}"/>
    <cellStyle name="Normal 5 3 4 2" xfId="1247" xr:uid="{00000000-0005-0000-0000-0000DF040000}"/>
    <cellStyle name="Normal 5 3 4 3" xfId="885" xr:uid="{00000000-0005-0000-0000-000075030000}"/>
    <cellStyle name="Normal 5 3 5" xfId="1029" xr:uid="{00000000-0005-0000-0000-000005040000}"/>
    <cellStyle name="Normal 5 3 6" xfId="821" xr:uid="{00000000-0005-0000-0000-000035030000}"/>
    <cellStyle name="Normal 5 4" xfId="356" xr:uid="{00000000-0005-0000-0000-000064010000}"/>
    <cellStyle name="Normal 5 4 2" xfId="357" xr:uid="{00000000-0005-0000-0000-000065010000}"/>
    <cellStyle name="Normal 5 4 2 2" xfId="549" xr:uid="{00000000-0005-0000-0000-000025020000}"/>
    <cellStyle name="Normal 5 4 2 2 2" xfId="779" xr:uid="{00000000-0005-0000-0000-00000B030000}"/>
    <cellStyle name="Normal 5 4 2 2 2 2" xfId="1366" xr:uid="{00000000-0005-0000-0000-000056050000}"/>
    <cellStyle name="Normal 5 4 2 2 2 3" xfId="927" xr:uid="{00000000-0005-0000-0000-00009F030000}"/>
    <cellStyle name="Normal 5 4 2 2 3" xfId="1140" xr:uid="{00000000-0005-0000-0000-000074040000}"/>
    <cellStyle name="Normal 5 4 2 2 4" xfId="856" xr:uid="{00000000-0005-0000-0000-000058030000}"/>
    <cellStyle name="Normal 5 4 2 3" xfId="663" xr:uid="{00000000-0005-0000-0000-000097020000}"/>
    <cellStyle name="Normal 5 4 2 3 2" xfId="1250" xr:uid="{00000000-0005-0000-0000-0000E2040000}"/>
    <cellStyle name="Normal 5 4 2 3 3" xfId="888" xr:uid="{00000000-0005-0000-0000-000078030000}"/>
    <cellStyle name="Normal 5 4 2 4" xfId="1032" xr:uid="{00000000-0005-0000-0000-000008040000}"/>
    <cellStyle name="Normal 5 4 2 5" xfId="824" xr:uid="{00000000-0005-0000-0000-000038030000}"/>
    <cellStyle name="Normal 5 4 3" xfId="548" xr:uid="{00000000-0005-0000-0000-000024020000}"/>
    <cellStyle name="Normal 5 4 3 2" xfId="778" xr:uid="{00000000-0005-0000-0000-00000A030000}"/>
    <cellStyle name="Normal 5 4 3 2 2" xfId="1365" xr:uid="{00000000-0005-0000-0000-000055050000}"/>
    <cellStyle name="Normal 5 4 3 2 3" xfId="926" xr:uid="{00000000-0005-0000-0000-00009E030000}"/>
    <cellStyle name="Normal 5 4 3 3" xfId="1139" xr:uid="{00000000-0005-0000-0000-000073040000}"/>
    <cellStyle name="Normal 5 4 3 4" xfId="855" xr:uid="{00000000-0005-0000-0000-000057030000}"/>
    <cellStyle name="Normal 5 4 4" xfId="662" xr:uid="{00000000-0005-0000-0000-000096020000}"/>
    <cellStyle name="Normal 5 4 4 2" xfId="1249" xr:uid="{00000000-0005-0000-0000-0000E1040000}"/>
    <cellStyle name="Normal 5 4 4 3" xfId="887" xr:uid="{00000000-0005-0000-0000-000077030000}"/>
    <cellStyle name="Normal 5 4 5" xfId="1031" xr:uid="{00000000-0005-0000-0000-000007040000}"/>
    <cellStyle name="Normal 5 4 6" xfId="823" xr:uid="{00000000-0005-0000-0000-000037030000}"/>
    <cellStyle name="Normal 5 5" xfId="358" xr:uid="{00000000-0005-0000-0000-000066010000}"/>
    <cellStyle name="Normal 5 5 2" xfId="550" xr:uid="{00000000-0005-0000-0000-000026020000}"/>
    <cellStyle name="Normal 5 5 2 2" xfId="780" xr:uid="{00000000-0005-0000-0000-00000C030000}"/>
    <cellStyle name="Normal 5 5 2 2 2" xfId="1367" xr:uid="{00000000-0005-0000-0000-000057050000}"/>
    <cellStyle name="Normal 5 5 2 2 3" xfId="928" xr:uid="{00000000-0005-0000-0000-0000A0030000}"/>
    <cellStyle name="Normal 5 5 2 3" xfId="1141" xr:uid="{00000000-0005-0000-0000-000075040000}"/>
    <cellStyle name="Normal 5 5 2 4" xfId="857" xr:uid="{00000000-0005-0000-0000-000059030000}"/>
    <cellStyle name="Normal 5 5 3" xfId="664" xr:uid="{00000000-0005-0000-0000-000098020000}"/>
    <cellStyle name="Normal 5 5 3 2" xfId="1251" xr:uid="{00000000-0005-0000-0000-0000E3040000}"/>
    <cellStyle name="Normal 5 5 3 3" xfId="889" xr:uid="{00000000-0005-0000-0000-000079030000}"/>
    <cellStyle name="Normal 5 5 4" xfId="1033" xr:uid="{00000000-0005-0000-0000-000009040000}"/>
    <cellStyle name="Normal 5 5 5" xfId="825" xr:uid="{00000000-0005-0000-0000-000039030000}"/>
    <cellStyle name="Normal 5 6" xfId="359" xr:uid="{00000000-0005-0000-0000-000067010000}"/>
    <cellStyle name="Normal 5 6 2" xfId="551" xr:uid="{00000000-0005-0000-0000-000027020000}"/>
    <cellStyle name="Normal 5 6 2 2" xfId="781" xr:uid="{00000000-0005-0000-0000-00000D030000}"/>
    <cellStyle name="Normal 5 6 2 2 2" xfId="1368" xr:uid="{00000000-0005-0000-0000-000058050000}"/>
    <cellStyle name="Normal 5 6 2 2 3" xfId="929" xr:uid="{00000000-0005-0000-0000-0000A1030000}"/>
    <cellStyle name="Normal 5 6 2 3" xfId="1142" xr:uid="{00000000-0005-0000-0000-000076040000}"/>
    <cellStyle name="Normal 5 6 2 4" xfId="858" xr:uid="{00000000-0005-0000-0000-00005A030000}"/>
    <cellStyle name="Normal 5 6 3" xfId="665" xr:uid="{00000000-0005-0000-0000-000099020000}"/>
    <cellStyle name="Normal 5 6 3 2" xfId="1252" xr:uid="{00000000-0005-0000-0000-0000E4040000}"/>
    <cellStyle name="Normal 5 6 3 3" xfId="890" xr:uid="{00000000-0005-0000-0000-00007A030000}"/>
    <cellStyle name="Normal 5 6 4" xfId="1034" xr:uid="{00000000-0005-0000-0000-00000A040000}"/>
    <cellStyle name="Normal 5 6 5" xfId="826" xr:uid="{00000000-0005-0000-0000-00003A030000}"/>
    <cellStyle name="Normal 5 7" xfId="360" xr:uid="{00000000-0005-0000-0000-000068010000}"/>
    <cellStyle name="Normal 5 7 2" xfId="552" xr:uid="{00000000-0005-0000-0000-000028020000}"/>
    <cellStyle name="Normal 5 7 2 2" xfId="782" xr:uid="{00000000-0005-0000-0000-00000E030000}"/>
    <cellStyle name="Normal 5 7 2 2 2" xfId="1369" xr:uid="{00000000-0005-0000-0000-000059050000}"/>
    <cellStyle name="Normal 5 7 2 2 3" xfId="930" xr:uid="{00000000-0005-0000-0000-0000A2030000}"/>
    <cellStyle name="Normal 5 7 2 3" xfId="1143" xr:uid="{00000000-0005-0000-0000-000077040000}"/>
    <cellStyle name="Normal 5 7 2 4" xfId="859" xr:uid="{00000000-0005-0000-0000-00005B030000}"/>
    <cellStyle name="Normal 5 7 3" xfId="666" xr:uid="{00000000-0005-0000-0000-00009A020000}"/>
    <cellStyle name="Normal 5 7 3 2" xfId="1253" xr:uid="{00000000-0005-0000-0000-0000E5040000}"/>
    <cellStyle name="Normal 5 7 3 3" xfId="891" xr:uid="{00000000-0005-0000-0000-00007B030000}"/>
    <cellStyle name="Normal 5 7 4" xfId="1035" xr:uid="{00000000-0005-0000-0000-00000B040000}"/>
    <cellStyle name="Normal 5 7 5" xfId="827" xr:uid="{00000000-0005-0000-0000-00003B030000}"/>
    <cellStyle name="Normal 50" xfId="1417" xr:uid="{00000000-0005-0000-0000-000089050000}"/>
    <cellStyle name="Normal 51" xfId="1418" xr:uid="{00000000-0005-0000-0000-00008A050000}"/>
    <cellStyle name="Normal 52" xfId="1419" xr:uid="{00000000-0005-0000-0000-00008B050000}"/>
    <cellStyle name="Normal 53" xfId="1420" xr:uid="{00000000-0005-0000-0000-00008C050000}"/>
    <cellStyle name="Normal 54" xfId="1421" xr:uid="{00000000-0005-0000-0000-00008D050000}"/>
    <cellStyle name="Normal 55" xfId="1422" xr:uid="{00000000-0005-0000-0000-00008E050000}"/>
    <cellStyle name="Normal 56" xfId="1423" xr:uid="{00000000-0005-0000-0000-00008F050000}"/>
    <cellStyle name="Normal 57" xfId="1424" xr:uid="{00000000-0005-0000-0000-000090050000}"/>
    <cellStyle name="Normal 58" xfId="1425" xr:uid="{00000000-0005-0000-0000-000091050000}"/>
    <cellStyle name="Normal 59" xfId="1426" xr:uid="{00000000-0005-0000-0000-000092050000}"/>
    <cellStyle name="Normal 6" xfId="142" xr:uid="{00000000-0005-0000-0000-00008E000000}"/>
    <cellStyle name="Normal 6 2" xfId="143" xr:uid="{00000000-0005-0000-0000-00008F000000}"/>
    <cellStyle name="Normal 60" xfId="1427" xr:uid="{00000000-0005-0000-0000-000093050000}"/>
    <cellStyle name="Normal 61" xfId="1428" xr:uid="{00000000-0005-0000-0000-000094050000}"/>
    <cellStyle name="Normal 62" xfId="1429" xr:uid="{00000000-0005-0000-0000-000095050000}"/>
    <cellStyle name="Normal 63" xfId="1430" xr:uid="{00000000-0005-0000-0000-000096050000}"/>
    <cellStyle name="Normal 64" xfId="1431" xr:uid="{00000000-0005-0000-0000-000097050000}"/>
    <cellStyle name="Normal 65" xfId="1432" xr:uid="{00000000-0005-0000-0000-000098050000}"/>
    <cellStyle name="Normal 66" xfId="1433" xr:uid="{00000000-0005-0000-0000-000099050000}"/>
    <cellStyle name="Normal 67" xfId="1434" xr:uid="{00000000-0005-0000-0000-00009A050000}"/>
    <cellStyle name="Normal 68" xfId="1435" xr:uid="{00000000-0005-0000-0000-00009B050000}"/>
    <cellStyle name="Normal 69" xfId="1436" xr:uid="{00000000-0005-0000-0000-00009C050000}"/>
    <cellStyle name="Normal 7" xfId="144" xr:uid="{00000000-0005-0000-0000-000090000000}"/>
    <cellStyle name="Normal 7 2" xfId="361" xr:uid="{00000000-0005-0000-0000-000069010000}"/>
    <cellStyle name="Normal 7 3" xfId="394" xr:uid="{00000000-0005-0000-0000-00008A010000}"/>
    <cellStyle name="Normal 7 4" xfId="461" xr:uid="{00000000-0005-0000-0000-0000CD010000}"/>
    <cellStyle name="Normal 7 4 2" xfId="697" xr:uid="{00000000-0005-0000-0000-0000B9020000}"/>
    <cellStyle name="Normal 7 4 2 2" xfId="1284" xr:uid="{00000000-0005-0000-0000-000004050000}"/>
    <cellStyle name="Normal 7 4 2 3" xfId="911" xr:uid="{00000000-0005-0000-0000-00008F030000}"/>
    <cellStyle name="Normal 7 4 3" xfId="1060" xr:uid="{00000000-0005-0000-0000-000024040000}"/>
    <cellStyle name="Normal 7 4 4" xfId="842" xr:uid="{00000000-0005-0000-0000-00004A030000}"/>
    <cellStyle name="Normal 7 5" xfId="583" xr:uid="{00000000-0005-0000-0000-000047020000}"/>
    <cellStyle name="Normal 7 5 2" xfId="1170" xr:uid="{00000000-0005-0000-0000-000092040000}"/>
    <cellStyle name="Normal 7 5 3" xfId="874" xr:uid="{00000000-0005-0000-0000-00006A030000}"/>
    <cellStyle name="Normal 7 6" xfId="952" xr:uid="{00000000-0005-0000-0000-0000B8030000}"/>
    <cellStyle name="Normal 7 7" xfId="810" xr:uid="{00000000-0005-0000-0000-00002A030000}"/>
    <cellStyle name="Normal 70" xfId="1437" xr:uid="{00000000-0005-0000-0000-00009D050000}"/>
    <cellStyle name="Normal 71" xfId="1438" xr:uid="{00000000-0005-0000-0000-00009E050000}"/>
    <cellStyle name="Normal 72" xfId="1439" xr:uid="{00000000-0005-0000-0000-00009F050000}"/>
    <cellStyle name="Normal 73" xfId="2" xr:uid="{00000000-0005-0000-0000-000002000000}"/>
    <cellStyle name="Normal 8" xfId="362" xr:uid="{00000000-0005-0000-0000-00006A010000}"/>
    <cellStyle name="Normal 9" xfId="363" xr:uid="{00000000-0005-0000-0000-00006B010000}"/>
    <cellStyle name="Normale_B2020" xfId="145" xr:uid="{00000000-0005-0000-0000-000091000000}"/>
    <cellStyle name="Note 2" xfId="147" xr:uid="{00000000-0005-0000-0000-000093000000}"/>
    <cellStyle name="Note 2 2" xfId="148" xr:uid="{00000000-0005-0000-0000-000094000000}"/>
    <cellStyle name="Note 2 3" xfId="149" xr:uid="{00000000-0005-0000-0000-000095000000}"/>
    <cellStyle name="Note 2 4" xfId="364" xr:uid="{00000000-0005-0000-0000-00006C010000}"/>
    <cellStyle name="Note 3" xfId="150" xr:uid="{00000000-0005-0000-0000-000096000000}"/>
    <cellStyle name="Note 4" xfId="146" xr:uid="{00000000-0005-0000-0000-000092000000}"/>
    <cellStyle name="Output 2" xfId="152" xr:uid="{00000000-0005-0000-0000-000098000000}"/>
    <cellStyle name="Output 2 2" xfId="426" xr:uid="{00000000-0005-0000-0000-0000AA010000}"/>
    <cellStyle name="Output 2 2 2" xfId="560" xr:uid="{00000000-0005-0000-0000-000030020000}"/>
    <cellStyle name="Output 2 3" xfId="365" xr:uid="{00000000-0005-0000-0000-00006D010000}"/>
    <cellStyle name="Output 2 3 2" xfId="553" xr:uid="{00000000-0005-0000-0000-000029020000}"/>
    <cellStyle name="Output 2 4" xfId="463" xr:uid="{00000000-0005-0000-0000-0000CF010000}"/>
    <cellStyle name="Output 3" xfId="153" xr:uid="{00000000-0005-0000-0000-000099000000}"/>
    <cellStyle name="Output 3 2" xfId="464" xr:uid="{00000000-0005-0000-0000-0000D0010000}"/>
    <cellStyle name="Output 4" xfId="462" xr:uid="{00000000-0005-0000-0000-0000CE010000}"/>
    <cellStyle name="Output 5" xfId="151" xr:uid="{00000000-0005-0000-0000-000097000000}"/>
    <cellStyle name="Percent 10" xfId="366" xr:uid="{00000000-0005-0000-0000-00006E010000}"/>
    <cellStyle name="Percent 11" xfId="367" xr:uid="{00000000-0005-0000-0000-00006F010000}"/>
    <cellStyle name="Percent 12" xfId="427" xr:uid="{00000000-0005-0000-0000-0000AB010000}"/>
    <cellStyle name="Percent 13" xfId="433" xr:uid="{00000000-0005-0000-0000-0000B1010000}"/>
    <cellStyle name="Percent 14" xfId="431" xr:uid="{00000000-0005-0000-0000-0000AF010000}"/>
    <cellStyle name="Percent 14 2" xfId="563" xr:uid="{00000000-0005-0000-0000-000033020000}"/>
    <cellStyle name="Percent 14 2 2" xfId="791" xr:uid="{00000000-0005-0000-0000-000017030000}"/>
    <cellStyle name="Percent 14 2 2 2" xfId="1378" xr:uid="{00000000-0005-0000-0000-000062050000}"/>
    <cellStyle name="Percent 14 2 2 3" xfId="936" xr:uid="{00000000-0005-0000-0000-0000A8030000}"/>
    <cellStyle name="Percent 14 2 3" xfId="1150" xr:uid="{00000000-0005-0000-0000-00007E040000}"/>
    <cellStyle name="Percent 14 2 4" xfId="863" xr:uid="{00000000-0005-0000-0000-00005F030000}"/>
    <cellStyle name="Percent 14 3" xfId="673" xr:uid="{00000000-0005-0000-0000-0000A1020000}"/>
    <cellStyle name="Percent 14 3 2" xfId="1260" xr:uid="{00000000-0005-0000-0000-0000EC040000}"/>
    <cellStyle name="Percent 14 3 3" xfId="895" xr:uid="{00000000-0005-0000-0000-00007F030000}"/>
    <cellStyle name="Percent 14 4" xfId="1042" xr:uid="{00000000-0005-0000-0000-000012040000}"/>
    <cellStyle name="Percent 14 5" xfId="831" xr:uid="{00000000-0005-0000-0000-00003F030000}"/>
    <cellStyle name="Percent 15" xfId="441" xr:uid="{00000000-0005-0000-0000-0000B9010000}"/>
    <cellStyle name="Percent 15 2" xfId="568" xr:uid="{00000000-0005-0000-0000-000038020000}"/>
    <cellStyle name="Percent 15 2 2" xfId="796" xr:uid="{00000000-0005-0000-0000-00001C030000}"/>
    <cellStyle name="Percent 15 2 2 2" xfId="1383" xr:uid="{00000000-0005-0000-0000-000067050000}"/>
    <cellStyle name="Percent 15 2 2 3" xfId="939" xr:uid="{00000000-0005-0000-0000-0000AB030000}"/>
    <cellStyle name="Percent 15 2 3" xfId="1155" xr:uid="{00000000-0005-0000-0000-000083040000}"/>
    <cellStyle name="Percent 15 2 4" xfId="866" xr:uid="{00000000-0005-0000-0000-000062030000}"/>
    <cellStyle name="Percent 15 3" xfId="678" xr:uid="{00000000-0005-0000-0000-0000A6020000}"/>
    <cellStyle name="Percent 15 3 2" xfId="1265" xr:uid="{00000000-0005-0000-0000-0000F1040000}"/>
    <cellStyle name="Percent 15 3 3" xfId="898" xr:uid="{00000000-0005-0000-0000-000082030000}"/>
    <cellStyle name="Percent 15 4" xfId="1047" xr:uid="{00000000-0005-0000-0000-000017040000}"/>
    <cellStyle name="Percent 15 5" xfId="834" xr:uid="{00000000-0005-0000-0000-000042030000}"/>
    <cellStyle name="Percent 2" xfId="154" xr:uid="{00000000-0005-0000-0000-00009A000000}"/>
    <cellStyle name="Percent 2 2" xfId="155" xr:uid="{00000000-0005-0000-0000-00009B000000}"/>
    <cellStyle name="Percent 2 2 2" xfId="368" xr:uid="{00000000-0005-0000-0000-000070010000}"/>
    <cellStyle name="Percent 2 3" xfId="369" xr:uid="{00000000-0005-0000-0000-000071010000}"/>
    <cellStyle name="Percent 2 4" xfId="370" xr:uid="{00000000-0005-0000-0000-000072010000}"/>
    <cellStyle name="Percent 3" xfId="156" xr:uid="{00000000-0005-0000-0000-00009C000000}"/>
    <cellStyle name="Percent 3 2" xfId="157" xr:uid="{00000000-0005-0000-0000-00009D000000}"/>
    <cellStyle name="Percent 3 2 2" xfId="158" xr:uid="{00000000-0005-0000-0000-00009E000000}"/>
    <cellStyle name="Percent 3 2 2 2" xfId="371" xr:uid="{00000000-0005-0000-0000-000073010000}"/>
    <cellStyle name="Percent 3 3" xfId="159" xr:uid="{00000000-0005-0000-0000-00009F000000}"/>
    <cellStyle name="Percent 4" xfId="160" xr:uid="{00000000-0005-0000-0000-0000A0000000}"/>
    <cellStyle name="Percent 4 2" xfId="161" xr:uid="{00000000-0005-0000-0000-0000A1000000}"/>
    <cellStyle name="Percent 4 2 2" xfId="373" xr:uid="{00000000-0005-0000-0000-000075010000}"/>
    <cellStyle name="Percent 4 3" xfId="428" xr:uid="{00000000-0005-0000-0000-0000AC010000}"/>
    <cellStyle name="Percent 4 4" xfId="372" xr:uid="{00000000-0005-0000-0000-000074010000}"/>
    <cellStyle name="Percent 4 4 2" xfId="554" xr:uid="{00000000-0005-0000-0000-00002A020000}"/>
    <cellStyle name="Percent 4 4 2 2" xfId="783" xr:uid="{00000000-0005-0000-0000-00000F030000}"/>
    <cellStyle name="Percent 4 4 2 2 2" xfId="1370" xr:uid="{00000000-0005-0000-0000-00005A050000}"/>
    <cellStyle name="Percent 4 4 2 2 3" xfId="931" xr:uid="{00000000-0005-0000-0000-0000A3030000}"/>
    <cellStyle name="Percent 4 4 2 3" xfId="1144" xr:uid="{00000000-0005-0000-0000-000078040000}"/>
    <cellStyle name="Percent 4 4 2 4" xfId="860" xr:uid="{00000000-0005-0000-0000-00005C030000}"/>
    <cellStyle name="Percent 4 4 3" xfId="667" xr:uid="{00000000-0005-0000-0000-00009B020000}"/>
    <cellStyle name="Percent 4 4 3 2" xfId="1254" xr:uid="{00000000-0005-0000-0000-0000E6040000}"/>
    <cellStyle name="Percent 4 4 3 3" xfId="892" xr:uid="{00000000-0005-0000-0000-00007C030000}"/>
    <cellStyle name="Percent 4 4 4" xfId="1036" xr:uid="{00000000-0005-0000-0000-00000C040000}"/>
    <cellStyle name="Percent 4 4 5" xfId="828" xr:uid="{00000000-0005-0000-0000-00003C030000}"/>
    <cellStyle name="Percent 5" xfId="162" xr:uid="{00000000-0005-0000-0000-0000A2000000}"/>
    <cellStyle name="Percent 5 2" xfId="374" xr:uid="{00000000-0005-0000-0000-000076010000}"/>
    <cellStyle name="Percent 5 2 2" xfId="375" xr:uid="{00000000-0005-0000-0000-000077010000}"/>
    <cellStyle name="Percent 5 2 3" xfId="376" xr:uid="{00000000-0005-0000-0000-000078010000}"/>
    <cellStyle name="Percent 5 2 4" xfId="377" xr:uid="{00000000-0005-0000-0000-000079010000}"/>
    <cellStyle name="Percent 5 3" xfId="378" xr:uid="{00000000-0005-0000-0000-00007A010000}"/>
    <cellStyle name="Percent 6" xfId="379" xr:uid="{00000000-0005-0000-0000-00007B010000}"/>
    <cellStyle name="Percent 6 2" xfId="380" xr:uid="{00000000-0005-0000-0000-00007C010000}"/>
    <cellStyle name="Percent 6 3" xfId="381" xr:uid="{00000000-0005-0000-0000-00007D010000}"/>
    <cellStyle name="Percent 7" xfId="382" xr:uid="{00000000-0005-0000-0000-00007E010000}"/>
    <cellStyle name="Percent 7 2" xfId="383" xr:uid="{00000000-0005-0000-0000-00007F010000}"/>
    <cellStyle name="Percent 7 2 2" xfId="384" xr:uid="{00000000-0005-0000-0000-000080010000}"/>
    <cellStyle name="Percent 7 2 3" xfId="385" xr:uid="{00000000-0005-0000-0000-000081010000}"/>
    <cellStyle name="Percent 7 3" xfId="386" xr:uid="{00000000-0005-0000-0000-000082010000}"/>
    <cellStyle name="Percent 7 4" xfId="387" xr:uid="{00000000-0005-0000-0000-000083010000}"/>
    <cellStyle name="Percent 8" xfId="388" xr:uid="{00000000-0005-0000-0000-000084010000}"/>
    <cellStyle name="Percent 8 2" xfId="389" xr:uid="{00000000-0005-0000-0000-000085010000}"/>
    <cellStyle name="Percent 9" xfId="390" xr:uid="{00000000-0005-0000-0000-000086010000}"/>
    <cellStyle name="Percent 9 2" xfId="391" xr:uid="{00000000-0005-0000-0000-000087010000}"/>
    <cellStyle name="Standard_Sce_D_Extraction" xfId="163" xr:uid="{00000000-0005-0000-0000-0000A3000000}"/>
    <cellStyle name="Title 2" xfId="165" xr:uid="{00000000-0005-0000-0000-0000A5000000}"/>
    <cellStyle name="Title 3" xfId="166" xr:uid="{00000000-0005-0000-0000-0000A6000000}"/>
    <cellStyle name="Title 4" xfId="164" xr:uid="{00000000-0005-0000-0000-0000A4000000}"/>
    <cellStyle name="Total 2" xfId="168" xr:uid="{00000000-0005-0000-0000-0000A8000000}"/>
    <cellStyle name="Total 2 2" xfId="466" xr:uid="{00000000-0005-0000-0000-0000D2010000}"/>
    <cellStyle name="Total 3" xfId="169" xr:uid="{00000000-0005-0000-0000-0000A9000000}"/>
    <cellStyle name="Total 3 2" xfId="467" xr:uid="{00000000-0005-0000-0000-0000D3010000}"/>
    <cellStyle name="Total 4" xfId="465" xr:uid="{00000000-0005-0000-0000-0000D1010000}"/>
    <cellStyle name="Total 5" xfId="167" xr:uid="{00000000-0005-0000-0000-0000A7000000}"/>
    <cellStyle name="Warning Text 2" xfId="171" xr:uid="{00000000-0005-0000-0000-0000AB000000}"/>
    <cellStyle name="Warning Text 3" xfId="172" xr:uid="{00000000-0005-0000-0000-0000AC000000}"/>
    <cellStyle name="Warning Text 4" xfId="170" xr:uid="{00000000-0005-0000-0000-0000A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J34" sqref="J34"/>
    </sheetView>
  </sheetViews>
  <sheetFormatPr defaultColWidth="8.85546875" defaultRowHeight="15"/>
  <cols>
    <col min="1" max="25" width="8.85546875" style="22" customWidth="1"/>
    <col min="26" max="16384" width="8.85546875" style="22"/>
  </cols>
  <sheetData>
    <row r="1" spans="1:3" s="21" customFormat="1" ht="23.45" customHeight="1">
      <c r="A1" s="21" t="s">
        <v>0</v>
      </c>
    </row>
    <row r="2" spans="1:3" s="21" customFormat="1" ht="23.45" customHeight="1"/>
    <row r="3" spans="1:3">
      <c r="B3" s="23" t="s">
        <v>1</v>
      </c>
    </row>
    <row r="4" spans="1:3">
      <c r="B4" s="24"/>
      <c r="C4" s="22" t="s">
        <v>2</v>
      </c>
    </row>
    <row r="6" spans="1:3">
      <c r="B6" s="25"/>
      <c r="C6" s="22" t="s">
        <v>3</v>
      </c>
    </row>
    <row r="8" spans="1:3">
      <c r="B8" s="26"/>
      <c r="C8" s="22" t="s">
        <v>4</v>
      </c>
    </row>
    <row r="10" spans="1:3">
      <c r="B10" s="27"/>
      <c r="C10" s="2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tabSelected="1" workbookViewId="0">
      <selection activeCell="J34" sqref="J34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tabSelected="1" zoomScaleNormal="100" workbookViewId="0">
      <selection activeCell="J34" sqref="J34"/>
    </sheetView>
  </sheetViews>
  <sheetFormatPr defaultColWidth="8.85546875" defaultRowHeight="15"/>
  <cols>
    <col min="1" max="1" width="8.85546875" style="22" customWidth="1"/>
    <col min="2" max="2" width="47.7109375" style="22" customWidth="1"/>
    <col min="3" max="3" width="26.140625" style="22" customWidth="1"/>
    <col min="4" max="4" width="14.42578125" style="22" customWidth="1"/>
    <col min="5" max="13" width="10.85546875" style="22" customWidth="1"/>
    <col min="14" max="38" width="8.85546875" style="22" customWidth="1"/>
    <col min="39" max="16384" width="8.85546875" style="22"/>
  </cols>
  <sheetData>
    <row r="2" spans="2:4" ht="18" customHeight="1" thickBot="1">
      <c r="B2" t="s">
        <v>6</v>
      </c>
    </row>
    <row r="3" spans="2:4" ht="15" customHeight="1" thickTop="1"/>
    <row r="4" spans="2:4" ht="15" customHeight="1" thickBot="1">
      <c r="B4" t="s">
        <v>7</v>
      </c>
      <c r="C4" t="s">
        <v>8</v>
      </c>
    </row>
    <row r="6" spans="2:4">
      <c r="B6" t="s">
        <v>9</v>
      </c>
    </row>
    <row r="7" spans="2:4" ht="15" customHeight="1" thickBot="1">
      <c r="B7" t="s">
        <v>10</v>
      </c>
      <c r="C7" t="s">
        <v>11</v>
      </c>
      <c r="D7" t="s">
        <v>12</v>
      </c>
    </row>
    <row r="8" spans="2:4">
      <c r="B8" t="s">
        <v>13</v>
      </c>
      <c r="C8" t="s">
        <v>14</v>
      </c>
    </row>
    <row r="9" spans="2:4">
      <c r="B9" t="s">
        <v>15</v>
      </c>
      <c r="C9">
        <v>40.5</v>
      </c>
    </row>
    <row r="10" spans="2:4">
      <c r="B10" t="s">
        <v>16</v>
      </c>
      <c r="C10">
        <v>-75</v>
      </c>
    </row>
    <row r="11" spans="2:4">
      <c r="B11" t="s">
        <v>17</v>
      </c>
      <c r="C11" t="s">
        <v>18</v>
      </c>
    </row>
    <row r="12" spans="2:4">
      <c r="B12" t="s">
        <v>19</v>
      </c>
      <c r="C12" t="s">
        <v>14</v>
      </c>
    </row>
    <row r="13" spans="2:4">
      <c r="B13" t="s">
        <v>20</v>
      </c>
      <c r="C13" t="s">
        <v>21</v>
      </c>
    </row>
    <row r="14" spans="2:4">
      <c r="B14" t="s">
        <v>22</v>
      </c>
      <c r="C14" t="s">
        <v>23</v>
      </c>
    </row>
    <row r="15" spans="2:4">
      <c r="B15" t="s">
        <v>24</v>
      </c>
      <c r="C15" t="s">
        <v>25</v>
      </c>
    </row>
    <row r="16" spans="2:4">
      <c r="B16" t="s">
        <v>26</v>
      </c>
      <c r="C16">
        <v>778</v>
      </c>
      <c r="D16" t="s">
        <v>27</v>
      </c>
    </row>
    <row r="17" spans="2:4">
      <c r="B17" t="s">
        <v>28</v>
      </c>
    </row>
    <row r="18" spans="2:4">
      <c r="B18" t="s">
        <v>29</v>
      </c>
    </row>
    <row r="19" spans="2:4" ht="15" customHeight="1" thickBot="1">
      <c r="B19" t="s">
        <v>30</v>
      </c>
      <c r="C19" t="s">
        <v>11</v>
      </c>
      <c r="D19" t="s">
        <v>12</v>
      </c>
    </row>
    <row r="20" spans="2:4">
      <c r="B20" t="s">
        <v>31</v>
      </c>
      <c r="C20">
        <v>2019</v>
      </c>
      <c r="D20" t="s">
        <v>32</v>
      </c>
    </row>
    <row r="21" spans="2:4">
      <c r="B21" t="s">
        <v>33</v>
      </c>
      <c r="C21">
        <v>2050</v>
      </c>
    </row>
    <row r="23" spans="2:4">
      <c r="B23" t="s">
        <v>34</v>
      </c>
    </row>
    <row r="24" spans="2:4" ht="15" customHeight="1" thickBot="1">
      <c r="B24" t="s">
        <v>10</v>
      </c>
      <c r="C24" t="s">
        <v>11</v>
      </c>
      <c r="D24" t="s">
        <v>12</v>
      </c>
    </row>
    <row r="25" spans="2:4">
      <c r="B25" t="s">
        <v>35</v>
      </c>
      <c r="C25">
        <v>8337</v>
      </c>
      <c r="D25" t="s">
        <v>36</v>
      </c>
    </row>
    <row r="26" spans="2:4">
      <c r="B26" t="s">
        <v>37</v>
      </c>
      <c r="C26">
        <v>0.5</v>
      </c>
      <c r="D26" t="s">
        <v>38</v>
      </c>
    </row>
    <row r="27" spans="2:4">
      <c r="B27" t="s">
        <v>39</v>
      </c>
      <c r="C27">
        <v>1206000</v>
      </c>
      <c r="D27" t="s">
        <v>40</v>
      </c>
    </row>
    <row r="28" spans="2:4">
      <c r="B28" t="s">
        <v>41</v>
      </c>
      <c r="C28">
        <v>2</v>
      </c>
      <c r="D28" t="s">
        <v>42</v>
      </c>
    </row>
    <row r="29" spans="2:4">
      <c r="B29" t="s">
        <v>43</v>
      </c>
      <c r="C29">
        <v>5</v>
      </c>
      <c r="D29" t="s">
        <v>42</v>
      </c>
    </row>
    <row r="30" spans="2:4">
      <c r="B30" t="s">
        <v>44</v>
      </c>
      <c r="C30">
        <v>0.42835123053999902</v>
      </c>
    </row>
    <row r="31" spans="2:4">
      <c r="B31" t="s">
        <v>45</v>
      </c>
      <c r="C31">
        <v>0.67251771953144812</v>
      </c>
    </row>
    <row r="32" spans="2:4">
      <c r="B32" t="s">
        <v>46</v>
      </c>
      <c r="C32">
        <v>1.063829787234043</v>
      </c>
    </row>
    <row r="34" spans="2:6">
      <c r="B34" t="s">
        <v>47</v>
      </c>
    </row>
    <row r="35" spans="2:6" ht="15" customHeight="1" thickBot="1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>
      <c r="B39" t="s">
        <v>10</v>
      </c>
      <c r="C39" t="s">
        <v>11</v>
      </c>
      <c r="D39" t="s">
        <v>12</v>
      </c>
    </row>
    <row r="40" spans="2:6">
      <c r="B40" t="s">
        <v>51</v>
      </c>
      <c r="C40">
        <v>0.72727402048447432</v>
      </c>
    </row>
    <row r="41" spans="2:6">
      <c r="B41" t="s">
        <v>52</v>
      </c>
      <c r="C41">
        <v>1.558371501272265</v>
      </c>
    </row>
    <row r="42" spans="2:6">
      <c r="B42" t="s">
        <v>53</v>
      </c>
      <c r="C42">
        <v>762</v>
      </c>
      <c r="D42" t="s">
        <v>54</v>
      </c>
    </row>
    <row r="43" spans="2:6">
      <c r="B43" t="s">
        <v>55</v>
      </c>
      <c r="C43" t="s">
        <v>56</v>
      </c>
    </row>
    <row r="44" spans="2:6">
      <c r="B44" t="s">
        <v>57</v>
      </c>
      <c r="C44">
        <v>1.461785714285714</v>
      </c>
      <c r="D44" t="s">
        <v>49</v>
      </c>
    </row>
    <row r="45" spans="2:6">
      <c r="B45" t="s">
        <v>58</v>
      </c>
      <c r="C45">
        <v>3.13</v>
      </c>
      <c r="D45" t="s">
        <v>49</v>
      </c>
    </row>
    <row r="46" spans="2:6">
      <c r="B46" t="s">
        <v>59</v>
      </c>
      <c r="C46">
        <v>4.37</v>
      </c>
      <c r="D46" t="s">
        <v>49</v>
      </c>
    </row>
    <row r="47" spans="2:6">
      <c r="B47" t="s">
        <v>60</v>
      </c>
    </row>
    <row r="48" spans="2:6">
      <c r="B48" t="s">
        <v>61</v>
      </c>
    </row>
    <row r="49" spans="2:4" ht="15" customHeight="1" thickBot="1">
      <c r="B49" t="s">
        <v>10</v>
      </c>
      <c r="C49" t="s">
        <v>11</v>
      </c>
      <c r="D49" t="s">
        <v>12</v>
      </c>
    </row>
    <row r="50" spans="2:4">
      <c r="B50" t="s">
        <v>62</v>
      </c>
      <c r="C50" t="s">
        <v>63</v>
      </c>
    </row>
    <row r="51" spans="2:4">
      <c r="B51" t="s">
        <v>64</v>
      </c>
      <c r="C51" t="s">
        <v>65</v>
      </c>
    </row>
    <row r="52" spans="2:4">
      <c r="B52" t="s">
        <v>66</v>
      </c>
      <c r="C52" t="s">
        <v>67</v>
      </c>
    </row>
    <row r="53" spans="2:4">
      <c r="B53" t="s">
        <v>68</v>
      </c>
      <c r="C53" t="s">
        <v>69</v>
      </c>
    </row>
    <row r="54" spans="2:4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tabSelected="1" workbookViewId="0">
      <selection activeCell="J34" sqref="J34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"/>
  <sheetViews>
    <sheetView tabSelected="1" workbookViewId="0">
      <selection activeCell="J34" sqref="J34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I31"/>
  <sheetViews>
    <sheetView workbookViewId="0">
      <selection activeCell="I18" sqref="I18"/>
    </sheetView>
  </sheetViews>
  <sheetFormatPr defaultRowHeight="15"/>
  <cols>
    <col min="3" max="3" width="24.28515625" bestFit="1" customWidth="1"/>
    <col min="4" max="4" width="8.7109375" bestFit="1" customWidth="1"/>
    <col min="6" max="6" width="12.5703125" bestFit="1" customWidth="1"/>
    <col min="7" max="8" width="11.28515625" bestFit="1" customWidth="1"/>
    <col min="9" max="9" width="14.140625" bestFit="1" customWidth="1"/>
  </cols>
  <sheetData>
    <row r="4" spans="3:9">
      <c r="C4" s="1" t="s">
        <v>71</v>
      </c>
      <c r="D4" s="2"/>
      <c r="E4" s="2"/>
      <c r="F4" s="2"/>
      <c r="G4" s="2"/>
      <c r="H4" s="2"/>
      <c r="I4" s="2"/>
    </row>
    <row r="5" spans="3:9" ht="15.75" customHeight="1" thickBot="1">
      <c r="C5" s="3" t="s">
        <v>72</v>
      </c>
      <c r="D5" s="3" t="s">
        <v>73</v>
      </c>
      <c r="E5" s="3" t="s">
        <v>74</v>
      </c>
      <c r="F5" s="3" t="s">
        <v>30</v>
      </c>
      <c r="G5" s="4" t="s">
        <v>75</v>
      </c>
      <c r="H5" s="4" t="s">
        <v>76</v>
      </c>
      <c r="I5" s="5" t="s">
        <v>77</v>
      </c>
    </row>
    <row r="6" spans="3:9">
      <c r="C6" s="9" t="s">
        <v>78</v>
      </c>
      <c r="D6" s="9"/>
      <c r="E6" s="9"/>
      <c r="F6" s="9"/>
      <c r="G6" s="10" t="s">
        <v>79</v>
      </c>
      <c r="H6" s="10" t="s">
        <v>79</v>
      </c>
      <c r="I6" s="11"/>
    </row>
    <row r="7" spans="3:9">
      <c r="C7" s="6"/>
      <c r="D7" s="6"/>
      <c r="E7" s="6" t="s">
        <v>80</v>
      </c>
      <c r="F7" s="6">
        <v>2019</v>
      </c>
      <c r="G7" s="7">
        <f>Data!$C4/10^3</f>
        <v>0</v>
      </c>
      <c r="H7" s="7">
        <f>Data!$C4/10^3</f>
        <v>0</v>
      </c>
      <c r="I7" s="8" t="s">
        <v>81</v>
      </c>
    </row>
    <row r="8" spans="3:9">
      <c r="C8" s="6"/>
      <c r="D8" s="6"/>
      <c r="E8" s="6" t="s">
        <v>80</v>
      </c>
      <c r="F8" s="6">
        <v>2020</v>
      </c>
      <c r="G8" s="7">
        <f>Data!$C5/10^3</f>
        <v>0</v>
      </c>
      <c r="H8" s="7">
        <f>Data!$C5/10^3</f>
        <v>0</v>
      </c>
      <c r="I8" s="8" t="s">
        <v>81</v>
      </c>
    </row>
    <row r="9" spans="3:9">
      <c r="C9" s="6"/>
      <c r="D9" s="6"/>
      <c r="E9" s="6" t="s">
        <v>80</v>
      </c>
      <c r="F9" s="6">
        <v>2021</v>
      </c>
      <c r="G9" s="7">
        <f>Data!$C6/10^3</f>
        <v>0</v>
      </c>
      <c r="H9" s="7">
        <f>Data!$C6/10^3</f>
        <v>0</v>
      </c>
      <c r="I9" s="8" t="s">
        <v>81</v>
      </c>
    </row>
    <row r="10" spans="3:9">
      <c r="C10" s="6"/>
      <c r="D10" s="6"/>
      <c r="E10" s="6" t="s">
        <v>80</v>
      </c>
      <c r="F10" s="6">
        <v>2022</v>
      </c>
      <c r="G10" s="7">
        <f>Data!$C7/10^3</f>
        <v>0</v>
      </c>
      <c r="H10" s="7">
        <f>Data!$C7/10^3</f>
        <v>0</v>
      </c>
      <c r="I10" s="8" t="s">
        <v>81</v>
      </c>
    </row>
    <row r="11" spans="3:9">
      <c r="C11" s="6"/>
      <c r="D11" s="6"/>
      <c r="E11" s="6" t="s">
        <v>80</v>
      </c>
      <c r="F11" s="6">
        <v>2023</v>
      </c>
      <c r="G11" s="7">
        <f>Data!$C8/10^3</f>
        <v>2.5000000000000001E-2</v>
      </c>
      <c r="H11" s="7">
        <f>Data!$C8/10^3</f>
        <v>2.5000000000000001E-2</v>
      </c>
      <c r="I11" s="8" t="s">
        <v>81</v>
      </c>
    </row>
    <row r="12" spans="3:9">
      <c r="C12" s="6"/>
      <c r="D12" s="6"/>
      <c r="E12" s="6" t="s">
        <v>80</v>
      </c>
      <c r="F12" s="6">
        <v>2024</v>
      </c>
      <c r="G12" s="7">
        <f>Data!$C9/10^3</f>
        <v>3.3492822966507185E-2</v>
      </c>
      <c r="H12" s="7">
        <f>Data!$C9/10^3</f>
        <v>3.3492822966507185E-2</v>
      </c>
      <c r="I12" s="8" t="s">
        <v>81</v>
      </c>
    </row>
    <row r="13" spans="3:9">
      <c r="C13" s="6"/>
      <c r="D13" s="6"/>
      <c r="E13" s="6" t="s">
        <v>80</v>
      </c>
      <c r="F13" s="6">
        <v>2025</v>
      </c>
      <c r="G13" s="7">
        <f>Data!$C10/10^3</f>
        <v>4.2011903372622249E-2</v>
      </c>
      <c r="H13" s="7">
        <f>Data!$C10/10^3</f>
        <v>4.2011903372622249E-2</v>
      </c>
      <c r="I13" s="8" t="s">
        <v>81</v>
      </c>
    </row>
    <row r="14" spans="3:9">
      <c r="C14" s="6"/>
      <c r="D14" s="6"/>
      <c r="E14" s="6" t="s">
        <v>80</v>
      </c>
      <c r="F14" s="6">
        <v>2026</v>
      </c>
      <c r="G14" s="7">
        <f>Data!$C11/10^3</f>
        <v>5.0095494536460138E-2</v>
      </c>
      <c r="H14" s="7">
        <f>Data!$C11/10^3</f>
        <v>5.0095494536460138E-2</v>
      </c>
      <c r="I14" s="8" t="s">
        <v>81</v>
      </c>
    </row>
    <row r="15" spans="3:9">
      <c r="C15" s="6"/>
      <c r="D15" s="6"/>
      <c r="E15" s="6" t="s">
        <v>80</v>
      </c>
      <c r="F15" s="6">
        <v>2027</v>
      </c>
      <c r="G15" s="7">
        <f>Data!$C12/10^3</f>
        <v>5.7759771971084867E-2</v>
      </c>
      <c r="H15" s="7">
        <f>Data!$C12/10^3</f>
        <v>5.7759771971084867E-2</v>
      </c>
      <c r="I15" s="8" t="s">
        <v>81</v>
      </c>
    </row>
    <row r="16" spans="3:9">
      <c r="C16" s="6"/>
      <c r="D16" s="6"/>
      <c r="E16" s="6" t="s">
        <v>80</v>
      </c>
      <c r="F16" s="6">
        <v>2030</v>
      </c>
      <c r="G16" s="7">
        <f>Data!$C13/10^3</f>
        <v>7.8390624178227702E-2</v>
      </c>
      <c r="H16" s="7">
        <f>Data!$C13/10^3</f>
        <v>7.8390624178227702E-2</v>
      </c>
      <c r="I16" s="8" t="s">
        <v>81</v>
      </c>
    </row>
    <row r="17" spans="3:9">
      <c r="C17" s="6"/>
      <c r="D17" s="6"/>
      <c r="E17" s="6" t="s">
        <v>80</v>
      </c>
      <c r="F17" s="6">
        <v>2032</v>
      </c>
      <c r="G17" s="7">
        <f>Data!$C14/10^3</f>
        <v>9.0321392960292429E-2</v>
      </c>
      <c r="H17" s="7">
        <f>Data!$C14/10^3</f>
        <v>9.0321392960292429E-2</v>
      </c>
      <c r="I17" s="8" t="s">
        <v>81</v>
      </c>
    </row>
    <row r="18" spans="3:9">
      <c r="C18" s="6"/>
      <c r="D18" s="6"/>
      <c r="E18" s="6" t="s">
        <v>80</v>
      </c>
      <c r="F18" s="6">
        <v>2035</v>
      </c>
      <c r="G18" s="7">
        <f>Data!$C15/10^3</f>
        <v>0.10575214680847748</v>
      </c>
      <c r="H18" s="7">
        <f>Data!$C15/10^3</f>
        <v>0.10575214680847748</v>
      </c>
      <c r="I18" s="8" t="s">
        <v>81</v>
      </c>
    </row>
    <row r="19" spans="3:9">
      <c r="C19" s="6"/>
      <c r="D19" s="6"/>
      <c r="E19" s="6" t="s">
        <v>80</v>
      </c>
      <c r="F19" s="6">
        <v>2040</v>
      </c>
      <c r="G19" s="7">
        <f>Data!$C16/10^3</f>
        <v>0.1257003464428543</v>
      </c>
      <c r="H19" s="7">
        <f>Data!$C16/10^3</f>
        <v>0.1257003464428543</v>
      </c>
      <c r="I19" s="8" t="s">
        <v>81</v>
      </c>
    </row>
    <row r="20" spans="3:9">
      <c r="C20" s="6"/>
      <c r="D20" s="6"/>
      <c r="E20" s="6" t="s">
        <v>80</v>
      </c>
      <c r="F20" s="6">
        <v>2045</v>
      </c>
      <c r="G20" s="7">
        <f>Data!$C17/10^3</f>
        <v>0.13958817224918996</v>
      </c>
      <c r="H20" s="7">
        <f>Data!$C17/10^3</f>
        <v>0.13958817224918996</v>
      </c>
      <c r="I20" s="8" t="s">
        <v>81</v>
      </c>
    </row>
    <row r="21" spans="3:9">
      <c r="C21" s="6"/>
      <c r="D21" s="6"/>
      <c r="E21" s="6" t="s">
        <v>80</v>
      </c>
      <c r="F21" s="6">
        <v>2050</v>
      </c>
      <c r="G21" s="7">
        <f>Data!$C18/10^3</f>
        <v>0.14855429934651673</v>
      </c>
      <c r="H21" s="7">
        <f>Data!$C18/10^3</f>
        <v>0.14855429934651673</v>
      </c>
      <c r="I21" s="8" t="s">
        <v>81</v>
      </c>
    </row>
    <row r="22" spans="3:9">
      <c r="C22" s="6"/>
      <c r="D22" s="6"/>
      <c r="E22" s="6" t="s">
        <v>80</v>
      </c>
      <c r="F22" s="6">
        <v>2055</v>
      </c>
      <c r="G22" s="7">
        <f>Data!$C19/10^3</f>
        <v>0.15355465177961033</v>
      </c>
      <c r="H22" s="7">
        <f>Data!$C19/10^3</f>
        <v>0.15355465177961033</v>
      </c>
      <c r="I22" s="8" t="s">
        <v>81</v>
      </c>
    </row>
    <row r="23" spans="3:9">
      <c r="C23" s="6"/>
      <c r="D23" s="6"/>
      <c r="E23" s="6" t="s">
        <v>80</v>
      </c>
      <c r="F23" s="6">
        <v>2060</v>
      </c>
      <c r="G23" s="7">
        <f>Data!$C20/10^3</f>
        <v>0.15538949349660586</v>
      </c>
      <c r="H23" s="7">
        <f>Data!$C20/10^3</f>
        <v>0.15538949349660586</v>
      </c>
      <c r="I23" s="8" t="s">
        <v>81</v>
      </c>
    </row>
    <row r="24" spans="3:9">
      <c r="C24" s="6"/>
      <c r="D24" s="6"/>
      <c r="E24" s="6" t="s">
        <v>80</v>
      </c>
      <c r="F24" s="6">
        <v>2065</v>
      </c>
      <c r="G24" s="7">
        <f>Data!$C21/10^3</f>
        <v>0.15472669160511038</v>
      </c>
      <c r="H24" s="7">
        <f>Data!$C21/10^3</f>
        <v>0.15472669160511038</v>
      </c>
      <c r="I24" s="8" t="s">
        <v>81</v>
      </c>
    </row>
    <row r="25" spans="3:9">
      <c r="C25" s="6"/>
      <c r="D25" s="6"/>
      <c r="E25" s="6" t="s">
        <v>80</v>
      </c>
      <c r="F25" s="6">
        <v>2070</v>
      </c>
      <c r="G25" s="7">
        <f>Data!$C22/10^3</f>
        <v>0.15212167560110584</v>
      </c>
      <c r="H25" s="7">
        <f>Data!$C22/10^3</f>
        <v>0.15212167560110584</v>
      </c>
      <c r="I25" s="8" t="s">
        <v>81</v>
      </c>
    </row>
    <row r="26" spans="3:9">
      <c r="C26" s="6"/>
      <c r="D26" s="6"/>
      <c r="E26" s="6" t="s">
        <v>80</v>
      </c>
      <c r="F26" s="6">
        <v>2075</v>
      </c>
      <c r="G26" s="7">
        <f>Data!$C23/10^3</f>
        <v>0.14803454625054122</v>
      </c>
      <c r="H26" s="7">
        <f>Data!$C23/10^3</f>
        <v>0.14803454625054122</v>
      </c>
      <c r="I26" s="8" t="s">
        <v>81</v>
      </c>
    </row>
    <row r="27" spans="3:9">
      <c r="C27" s="6"/>
      <c r="D27" s="6"/>
      <c r="E27" s="6" t="s">
        <v>80</v>
      </c>
      <c r="F27" s="6">
        <v>2080</v>
      </c>
      <c r="G27" s="7">
        <f>Data!$C24/10^3</f>
        <v>0.14284472698831702</v>
      </c>
      <c r="H27" s="7">
        <f>Data!$C24/10^3</f>
        <v>0.14284472698831702</v>
      </c>
      <c r="I27" s="8" t="s">
        <v>81</v>
      </c>
    </row>
    <row r="28" spans="3:9">
      <c r="C28" s="6"/>
      <c r="D28" s="6"/>
      <c r="E28" s="6" t="s">
        <v>80</v>
      </c>
      <c r="F28" s="6">
        <v>2085</v>
      </c>
      <c r="G28" s="7">
        <f>Data!$C25/10^3</f>
        <v>0.13686349789095381</v>
      </c>
      <c r="H28" s="7">
        <f>Data!$C25/10^3</f>
        <v>0.13686349789095381</v>
      </c>
      <c r="I28" s="8" t="s">
        <v>81</v>
      </c>
    </row>
    <row r="29" spans="3:9">
      <c r="C29" s="6"/>
      <c r="D29" s="6"/>
      <c r="E29" s="6" t="s">
        <v>80</v>
      </c>
      <c r="F29" s="6">
        <v>2090</v>
      </c>
      <c r="G29" s="7">
        <f>Data!$C26/10^3</f>
        <v>0.13034470643809021</v>
      </c>
      <c r="H29" s="7">
        <f>Data!$C26/10^3</f>
        <v>0.13034470643809021</v>
      </c>
      <c r="I29" s="8" t="s">
        <v>81</v>
      </c>
    </row>
    <row r="30" spans="3:9">
      <c r="C30" s="6"/>
      <c r="D30" s="6"/>
      <c r="E30" s="6" t="s">
        <v>80</v>
      </c>
      <c r="F30" s="6">
        <v>2095</v>
      </c>
      <c r="G30" s="7">
        <f>Data!$C27/10^3</f>
        <v>0.12349390949801418</v>
      </c>
      <c r="H30" s="7">
        <f>Data!$C27/10^3</f>
        <v>0.12349390949801418</v>
      </c>
      <c r="I30" s="8" t="s">
        <v>81</v>
      </c>
    </row>
    <row r="31" spans="3:9">
      <c r="C31" s="6"/>
      <c r="D31" s="6"/>
      <c r="E31" s="6" t="s">
        <v>80</v>
      </c>
      <c r="F31" s="6">
        <v>2100</v>
      </c>
      <c r="G31" s="7">
        <f>Data!$C28/10^3</f>
        <v>0.11647616646411788</v>
      </c>
      <c r="H31" s="7">
        <f>Data!$C28/10^3</f>
        <v>0.11647616646411788</v>
      </c>
      <c r="I31" s="8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249977111117893"/>
  </sheetPr>
  <dimension ref="A1"/>
  <sheetViews>
    <sheetView tabSelected="1" workbookViewId="0">
      <selection activeCell="J34" sqref="J34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28"/>
  <sheetViews>
    <sheetView workbookViewId="0">
      <selection activeCell="F23" sqref="F23"/>
    </sheetView>
  </sheetViews>
  <sheetFormatPr defaultRowHeight="15"/>
  <cols>
    <col min="2" max="3" width="16.140625" bestFit="1" customWidth="1"/>
  </cols>
  <sheetData>
    <row r="2" spans="1:3">
      <c r="A2" s="14"/>
      <c r="B2" s="28" t="s">
        <v>82</v>
      </c>
      <c r="C2" s="29"/>
    </row>
    <row r="3" spans="1:3">
      <c r="A3" s="15"/>
      <c r="B3" t="s">
        <v>83</v>
      </c>
      <c r="C3" s="16" t="s">
        <v>84</v>
      </c>
    </row>
    <row r="4" spans="1:3">
      <c r="A4" s="15">
        <v>2019</v>
      </c>
      <c r="B4">
        <v>0</v>
      </c>
      <c r="C4" s="19">
        <f>B4*SUMIFS(Inflation!$C:$C,Inflation!$A:$A,$A4)</f>
        <v>0</v>
      </c>
    </row>
    <row r="5" spans="1:3">
      <c r="A5" s="15">
        <v>2020</v>
      </c>
      <c r="B5">
        <v>0</v>
      </c>
      <c r="C5" s="19">
        <f>B5*SUMIFS(Inflation!$C:$C,Inflation!$A:$A,$A5)</f>
        <v>0</v>
      </c>
    </row>
    <row r="6" spans="1:3">
      <c r="A6" s="15">
        <v>2021</v>
      </c>
      <c r="B6">
        <v>0</v>
      </c>
      <c r="C6" s="19">
        <f>B6*SUMIFS(Inflation!$C:$C,Inflation!$A:$A,$A6)</f>
        <v>0</v>
      </c>
    </row>
    <row r="7" spans="1:3">
      <c r="A7" s="15">
        <v>2022</v>
      </c>
      <c r="B7">
        <v>0</v>
      </c>
      <c r="C7" s="19">
        <f>B7*SUMIFS(Inflation!$C:$C,Inflation!$A:$A,$A7)</f>
        <v>0</v>
      </c>
    </row>
    <row r="8" spans="1:3">
      <c r="A8" s="15">
        <v>2023</v>
      </c>
      <c r="B8">
        <v>25</v>
      </c>
      <c r="C8" s="19">
        <f>B8*SUMIFS(Inflation!$C:$C,Inflation!$A:$A,$A8)</f>
        <v>25</v>
      </c>
    </row>
    <row r="9" spans="1:3">
      <c r="A9" s="15">
        <v>2024</v>
      </c>
      <c r="B9">
        <f t="shared" ref="B9:B28" si="0">B8+10*(A9-A8)</f>
        <v>35</v>
      </c>
      <c r="C9" s="19">
        <f>B9*SUMIFS(Inflation!$C:$C,Inflation!$A:$A,$A9)</f>
        <v>33.492822966507184</v>
      </c>
    </row>
    <row r="10" spans="1:3">
      <c r="A10" s="15">
        <v>2025</v>
      </c>
      <c r="B10">
        <f t="shared" si="0"/>
        <v>45</v>
      </c>
      <c r="C10" s="19">
        <f>B10*SUMIFS(Inflation!$C:$C,Inflation!$A:$A,$A10)</f>
        <v>42.01190337262225</v>
      </c>
    </row>
    <row r="11" spans="1:3">
      <c r="A11" s="15">
        <v>2026</v>
      </c>
      <c r="B11">
        <f t="shared" si="0"/>
        <v>55</v>
      </c>
      <c r="C11" s="19">
        <f>B11*SUMIFS(Inflation!$C:$C,Inflation!$A:$A,$A11)</f>
        <v>50.095494536460137</v>
      </c>
    </row>
    <row r="12" spans="1:3">
      <c r="A12" s="15">
        <v>2027</v>
      </c>
      <c r="B12">
        <f t="shared" si="0"/>
        <v>65</v>
      </c>
      <c r="C12" s="19">
        <f>B12*SUMIFS(Inflation!$C:$C,Inflation!$A:$A,$A12)</f>
        <v>57.759771971084866</v>
      </c>
    </row>
    <row r="13" spans="1:3">
      <c r="A13" s="15">
        <v>2030</v>
      </c>
      <c r="B13">
        <f t="shared" si="0"/>
        <v>95</v>
      </c>
      <c r="C13" s="19">
        <f>B13*SUMIFS(Inflation!$C:$C,Inflation!$A:$A,$A13)</f>
        <v>78.390624178227696</v>
      </c>
    </row>
    <row r="14" spans="1:3">
      <c r="A14" s="15">
        <v>2032</v>
      </c>
      <c r="B14">
        <f t="shared" si="0"/>
        <v>115</v>
      </c>
      <c r="C14" s="19">
        <f>B14*SUMIFS(Inflation!$C:$C,Inflation!$A:$A,$A14)</f>
        <v>90.321392960292428</v>
      </c>
    </row>
    <row r="15" spans="1:3">
      <c r="A15" s="15">
        <v>2035</v>
      </c>
      <c r="B15">
        <f t="shared" si="0"/>
        <v>145</v>
      </c>
      <c r="C15" s="19">
        <f>B15*SUMIFS(Inflation!$C:$C,Inflation!$A:$A,$A15)</f>
        <v>105.75214680847749</v>
      </c>
    </row>
    <row r="16" spans="1:3">
      <c r="A16" s="15">
        <v>2040</v>
      </c>
      <c r="B16">
        <f t="shared" si="0"/>
        <v>195</v>
      </c>
      <c r="C16" s="19">
        <f>B16*SUMIFS(Inflation!$C:$C,Inflation!$A:$A,$A16)</f>
        <v>125.70034644285431</v>
      </c>
    </row>
    <row r="17" spans="1:3">
      <c r="A17" s="15">
        <v>2045</v>
      </c>
      <c r="B17">
        <f t="shared" si="0"/>
        <v>245</v>
      </c>
      <c r="C17" s="19">
        <f>B17*SUMIFS(Inflation!$C:$C,Inflation!$A:$A,$A17)</f>
        <v>139.58817224918997</v>
      </c>
    </row>
    <row r="18" spans="1:3">
      <c r="A18" s="15">
        <v>2050</v>
      </c>
      <c r="B18">
        <f t="shared" si="0"/>
        <v>295</v>
      </c>
      <c r="C18" s="19">
        <f>B18*SUMIFS(Inflation!$C:$C,Inflation!$A:$A,$A18)</f>
        <v>148.55429934651673</v>
      </c>
    </row>
    <row r="19" spans="1:3">
      <c r="A19" s="15">
        <v>2055</v>
      </c>
      <c r="B19">
        <f t="shared" si="0"/>
        <v>345</v>
      </c>
      <c r="C19" s="19">
        <f>B19*SUMIFS(Inflation!$C:$C,Inflation!$A:$A,$A19)</f>
        <v>153.55465177961034</v>
      </c>
    </row>
    <row r="20" spans="1:3">
      <c r="A20" s="15">
        <v>2060</v>
      </c>
      <c r="B20">
        <f t="shared" si="0"/>
        <v>395</v>
      </c>
      <c r="C20" s="19">
        <f>B20*SUMIFS(Inflation!$C:$C,Inflation!$A:$A,$A20)</f>
        <v>155.38949349660587</v>
      </c>
    </row>
    <row r="21" spans="1:3">
      <c r="A21" s="15">
        <v>2065</v>
      </c>
      <c r="B21">
        <f t="shared" si="0"/>
        <v>445</v>
      </c>
      <c r="C21" s="19">
        <f>B21*SUMIFS(Inflation!$C:$C,Inflation!$A:$A,$A21)</f>
        <v>154.72669160511037</v>
      </c>
    </row>
    <row r="22" spans="1:3">
      <c r="A22" s="15">
        <v>2070</v>
      </c>
      <c r="B22">
        <f t="shared" si="0"/>
        <v>495</v>
      </c>
      <c r="C22" s="19">
        <f>B22*SUMIFS(Inflation!$C:$C,Inflation!$A:$A,$A22)</f>
        <v>152.12167560110584</v>
      </c>
    </row>
    <row r="23" spans="1:3">
      <c r="A23" s="15">
        <v>2075</v>
      </c>
      <c r="B23">
        <f t="shared" si="0"/>
        <v>545</v>
      </c>
      <c r="C23" s="19">
        <f>B23*SUMIFS(Inflation!$C:$C,Inflation!$A:$A,$A23)</f>
        <v>148.03454625054121</v>
      </c>
    </row>
    <row r="24" spans="1:3">
      <c r="A24" s="15">
        <v>2080</v>
      </c>
      <c r="B24">
        <f t="shared" si="0"/>
        <v>595</v>
      </c>
      <c r="C24" s="19">
        <f>B24*SUMIFS(Inflation!$C:$C,Inflation!$A:$A,$A24)</f>
        <v>142.84472698831701</v>
      </c>
    </row>
    <row r="25" spans="1:3">
      <c r="A25" s="15">
        <v>2085</v>
      </c>
      <c r="B25">
        <f t="shared" si="0"/>
        <v>645</v>
      </c>
      <c r="C25" s="19">
        <f>B25*SUMIFS(Inflation!$C:$C,Inflation!$A:$A,$A25)</f>
        <v>136.86349789095382</v>
      </c>
    </row>
    <row r="26" spans="1:3">
      <c r="A26" s="15">
        <v>2090</v>
      </c>
      <c r="B26">
        <f t="shared" si="0"/>
        <v>695</v>
      </c>
      <c r="C26" s="19">
        <f>B26*SUMIFS(Inflation!$C:$C,Inflation!$A:$A,$A26)</f>
        <v>130.34470643809021</v>
      </c>
    </row>
    <row r="27" spans="1:3">
      <c r="A27" s="15">
        <v>2095</v>
      </c>
      <c r="B27">
        <f t="shared" si="0"/>
        <v>745</v>
      </c>
      <c r="C27" s="19">
        <f>B27*SUMIFS(Inflation!$C:$C,Inflation!$A:$A,$A27)</f>
        <v>123.49390949801419</v>
      </c>
    </row>
    <row r="28" spans="1:3">
      <c r="A28" s="17">
        <v>2100</v>
      </c>
      <c r="B28" s="18">
        <f t="shared" si="0"/>
        <v>795</v>
      </c>
      <c r="C28" s="20">
        <f>B28*SUMIFS(Inflation!$C:$C,Inflation!$A:$A,$A28)</f>
        <v>116.47616646411788</v>
      </c>
    </row>
  </sheetData>
  <mergeCells count="1"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7"/>
  <sheetViews>
    <sheetView workbookViewId="0">
      <selection activeCell="D7" sqref="D7"/>
    </sheetView>
  </sheetViews>
  <sheetFormatPr defaultRowHeight="15"/>
  <cols>
    <col min="1" max="1" width="17.28515625" bestFit="1" customWidth="1"/>
    <col min="2" max="2" width="28.7109375" bestFit="1" customWidth="1"/>
    <col min="3" max="3" width="18.42578125" bestFit="1" customWidth="1"/>
  </cols>
  <sheetData>
    <row r="1" spans="1:3">
      <c r="A1" t="s">
        <v>85</v>
      </c>
      <c r="B1" t="s">
        <v>86</v>
      </c>
    </row>
    <row r="3" spans="1:3">
      <c r="A3" t="s">
        <v>87</v>
      </c>
      <c r="B3" s="12">
        <v>45379</v>
      </c>
    </row>
    <row r="6" spans="1:3">
      <c r="A6" t="s">
        <v>88</v>
      </c>
      <c r="B6" t="s">
        <v>89</v>
      </c>
      <c r="C6" t="s">
        <v>90</v>
      </c>
    </row>
    <row r="7" spans="1:3">
      <c r="A7">
        <v>1960</v>
      </c>
      <c r="B7" s="13">
        <v>1.45797598627791</v>
      </c>
      <c r="C7" s="13">
        <f t="shared" ref="C7:C38" si="0">C8*(1+B7%)</f>
        <v>10.039619782733004</v>
      </c>
    </row>
    <row r="8" spans="1:3">
      <c r="A8">
        <v>1961</v>
      </c>
      <c r="B8" s="13">
        <v>1.07072414764724</v>
      </c>
      <c r="C8" s="13">
        <f t="shared" si="0"/>
        <v>9.8953479853479962</v>
      </c>
    </row>
    <row r="9" spans="1:3">
      <c r="A9">
        <v>1962</v>
      </c>
      <c r="B9" s="13">
        <v>1.1987733482018601</v>
      </c>
      <c r="C9" s="13">
        <f t="shared" si="0"/>
        <v>9.7905185391692306</v>
      </c>
    </row>
    <row r="10" spans="1:3">
      <c r="A10">
        <v>1963</v>
      </c>
      <c r="B10" s="13">
        <v>1.2396694214875299</v>
      </c>
      <c r="C10" s="13">
        <f t="shared" si="0"/>
        <v>9.6745426997245243</v>
      </c>
    </row>
    <row r="11" spans="1:3">
      <c r="A11">
        <v>1964</v>
      </c>
      <c r="B11" s="13">
        <v>1.2789115646259099</v>
      </c>
      <c r="C11" s="13">
        <f t="shared" si="0"/>
        <v>9.5560789115646401</v>
      </c>
    </row>
    <row r="12" spans="1:3">
      <c r="A12">
        <v>1965</v>
      </c>
      <c r="B12" s="13">
        <v>1.5851692638366199</v>
      </c>
      <c r="C12" s="13">
        <f t="shared" si="0"/>
        <v>9.4354083825900137</v>
      </c>
    </row>
    <row r="13" spans="1:3">
      <c r="A13">
        <v>1966</v>
      </c>
      <c r="B13" s="13">
        <v>3.0150753768844001</v>
      </c>
      <c r="C13" s="13">
        <f t="shared" si="0"/>
        <v>9.288175085956107</v>
      </c>
    </row>
    <row r="14" spans="1:3">
      <c r="A14">
        <v>1967</v>
      </c>
      <c r="B14" s="13">
        <v>2.7727856225930898</v>
      </c>
      <c r="C14" s="13">
        <f t="shared" si="0"/>
        <v>9.016326059050078</v>
      </c>
    </row>
    <row r="15" spans="1:3">
      <c r="A15">
        <v>1968</v>
      </c>
      <c r="B15" s="13">
        <v>4.2717961528853703</v>
      </c>
      <c r="C15" s="13">
        <f t="shared" si="0"/>
        <v>8.7730676992255923</v>
      </c>
    </row>
    <row r="16" spans="1:3">
      <c r="A16">
        <v>1969</v>
      </c>
      <c r="B16" s="13">
        <v>5.4623862002874501</v>
      </c>
      <c r="C16" s="13">
        <f t="shared" si="0"/>
        <v>8.4136535697173045</v>
      </c>
    </row>
    <row r="17" spans="1:3">
      <c r="A17">
        <v>1970</v>
      </c>
      <c r="B17" s="13">
        <v>5.8382553384825098</v>
      </c>
      <c r="C17" s="13">
        <f t="shared" si="0"/>
        <v>7.9778714220808817</v>
      </c>
    </row>
    <row r="18" spans="1:3">
      <c r="A18">
        <v>1971</v>
      </c>
      <c r="B18" s="13">
        <v>4.2927666881305102</v>
      </c>
      <c r="C18" s="13">
        <f t="shared" si="0"/>
        <v>7.5377956643056541</v>
      </c>
    </row>
    <row r="19" spans="1:3">
      <c r="A19">
        <v>1972</v>
      </c>
      <c r="B19" s="13">
        <v>3.2722782465528302</v>
      </c>
      <c r="C19" s="13">
        <f t="shared" si="0"/>
        <v>7.2275344721136126</v>
      </c>
    </row>
    <row r="20" spans="1:3">
      <c r="A20">
        <v>1973</v>
      </c>
      <c r="B20" s="13">
        <v>6.1777600637703802</v>
      </c>
      <c r="C20" s="13">
        <f t="shared" si="0"/>
        <v>6.9985233160621823</v>
      </c>
    </row>
    <row r="21" spans="1:3">
      <c r="A21">
        <v>1974</v>
      </c>
      <c r="B21" s="13">
        <v>11.0548048048048</v>
      </c>
      <c r="C21" s="13">
        <f t="shared" si="0"/>
        <v>6.5913269519519604</v>
      </c>
    </row>
    <row r="22" spans="1:3">
      <c r="A22">
        <v>1975</v>
      </c>
      <c r="B22" s="13">
        <v>9.1431468649653507</v>
      </c>
      <c r="C22" s="13">
        <f t="shared" si="0"/>
        <v>5.9352019604529396</v>
      </c>
    </row>
    <row r="23" spans="1:3">
      <c r="A23">
        <v>1976</v>
      </c>
      <c r="B23" s="13">
        <v>5.7448126354908498</v>
      </c>
      <c r="C23" s="13">
        <f t="shared" si="0"/>
        <v>5.4379978321461815</v>
      </c>
    </row>
    <row r="24" spans="1:3">
      <c r="A24">
        <v>1977</v>
      </c>
      <c r="B24" s="13">
        <v>6.5016839947284</v>
      </c>
      <c r="C24" s="13">
        <f t="shared" si="0"/>
        <v>5.1425669937033307</v>
      </c>
    </row>
    <row r="25" spans="1:3">
      <c r="A25">
        <v>1978</v>
      </c>
      <c r="B25" s="13">
        <v>7.6309638388560597</v>
      </c>
      <c r="C25" s="13">
        <f t="shared" si="0"/>
        <v>4.8286250515605715</v>
      </c>
    </row>
    <row r="26" spans="1:3">
      <c r="A26">
        <v>1979</v>
      </c>
      <c r="B26" s="13">
        <v>11.2544711292795</v>
      </c>
      <c r="C26" s="13">
        <f t="shared" si="0"/>
        <v>4.4862787429739432</v>
      </c>
    </row>
    <row r="27" spans="1:3">
      <c r="A27">
        <v>1980</v>
      </c>
      <c r="B27" s="13">
        <v>13.549201974968399</v>
      </c>
      <c r="C27" s="13">
        <f t="shared" si="0"/>
        <v>4.0324480422551412</v>
      </c>
    </row>
    <row r="28" spans="1:3">
      <c r="A28">
        <v>1981</v>
      </c>
      <c r="B28" s="13">
        <v>10.3347153402771</v>
      </c>
      <c r="C28" s="13">
        <f t="shared" si="0"/>
        <v>3.5512781878855324</v>
      </c>
    </row>
    <row r="29" spans="1:3">
      <c r="A29">
        <v>1982</v>
      </c>
      <c r="B29" s="13">
        <v>6.1314270002749298</v>
      </c>
      <c r="C29" s="13">
        <f t="shared" si="0"/>
        <v>3.2186408211896271</v>
      </c>
    </row>
    <row r="30" spans="1:3">
      <c r="A30">
        <v>1983</v>
      </c>
      <c r="B30" s="13">
        <v>3.21243523316065</v>
      </c>
      <c r="C30" s="13">
        <f t="shared" si="0"/>
        <v>3.0326934369602787</v>
      </c>
    </row>
    <row r="31" spans="1:3">
      <c r="A31">
        <v>1984</v>
      </c>
      <c r="B31" s="13">
        <v>4.3005354752342901</v>
      </c>
      <c r="C31" s="13">
        <f t="shared" si="0"/>
        <v>2.9383023761713534</v>
      </c>
    </row>
    <row r="32" spans="1:3">
      <c r="A32">
        <v>1985</v>
      </c>
      <c r="B32" s="13">
        <v>3.5456441520936499</v>
      </c>
      <c r="C32" s="13">
        <f t="shared" si="0"/>
        <v>2.8171498475854335</v>
      </c>
    </row>
    <row r="33" spans="1:3">
      <c r="A33">
        <v>1986</v>
      </c>
      <c r="B33" s="13">
        <v>1.8980477223427601</v>
      </c>
      <c r="C33" s="13">
        <f t="shared" si="0"/>
        <v>2.7206840718934018</v>
      </c>
    </row>
    <row r="34" spans="1:3">
      <c r="A34">
        <v>1987</v>
      </c>
      <c r="B34" s="13">
        <v>3.6645632175168998</v>
      </c>
      <c r="C34" s="13">
        <f t="shared" si="0"/>
        <v>2.6700060822626033</v>
      </c>
    </row>
    <row r="35" spans="1:3">
      <c r="A35">
        <v>1988</v>
      </c>
      <c r="B35" s="13">
        <v>4.0777411074441297</v>
      </c>
      <c r="C35" s="13">
        <f t="shared" si="0"/>
        <v>2.5756208287495439</v>
      </c>
    </row>
    <row r="36" spans="1:3">
      <c r="A36">
        <v>1989</v>
      </c>
      <c r="B36" s="13">
        <v>4.8270030300894398</v>
      </c>
      <c r="C36" s="13">
        <f t="shared" si="0"/>
        <v>2.4747086181382576</v>
      </c>
    </row>
    <row r="37" spans="1:3">
      <c r="A37">
        <v>1990</v>
      </c>
      <c r="B37" s="13">
        <v>5.3979564399032496</v>
      </c>
      <c r="C37" s="13">
        <f t="shared" si="0"/>
        <v>2.3607549072331291</v>
      </c>
    </row>
    <row r="38" spans="1:3">
      <c r="A38">
        <v>1991</v>
      </c>
      <c r="B38" s="13">
        <v>4.2349639645384904</v>
      </c>
      <c r="C38" s="13">
        <f t="shared" si="0"/>
        <v>2.2398488424006642</v>
      </c>
    </row>
    <row r="39" spans="1:3">
      <c r="A39">
        <v>1992</v>
      </c>
      <c r="B39" s="13">
        <v>3.0288196781496901</v>
      </c>
      <c r="C39" s="13">
        <f t="shared" ref="C39:C70" si="1">C40*(1+B39%)</f>
        <v>2.148845989108489</v>
      </c>
    </row>
    <row r="40" spans="1:3">
      <c r="A40">
        <v>1993</v>
      </c>
      <c r="B40" s="13">
        <v>2.9516569663855901</v>
      </c>
      <c r="C40" s="13">
        <f t="shared" si="1"/>
        <v>2.0856746644494613</v>
      </c>
    </row>
    <row r="41" spans="1:3">
      <c r="A41">
        <v>1994</v>
      </c>
      <c r="B41" s="13">
        <v>2.60744159215453</v>
      </c>
      <c r="C41" s="13">
        <f t="shared" si="1"/>
        <v>2.0258777040669176</v>
      </c>
    </row>
    <row r="42" spans="1:3">
      <c r="A42">
        <v>1995</v>
      </c>
      <c r="B42" s="13">
        <v>2.8054196885366198</v>
      </c>
      <c r="C42" s="13">
        <f t="shared" si="1"/>
        <v>1.9743964693315366</v>
      </c>
    </row>
    <row r="43" spans="1:3">
      <c r="A43">
        <v>1996</v>
      </c>
      <c r="B43" s="13">
        <v>2.9312041999344101</v>
      </c>
      <c r="C43" s="13">
        <f t="shared" si="1"/>
        <v>1.9205178825330866</v>
      </c>
    </row>
    <row r="44" spans="1:3">
      <c r="A44">
        <v>1997</v>
      </c>
      <c r="B44" s="13">
        <v>2.3376899373073501</v>
      </c>
      <c r="C44" s="13">
        <f t="shared" si="1"/>
        <v>1.8658266921687394</v>
      </c>
    </row>
    <row r="45" spans="1:3">
      <c r="A45">
        <v>1998</v>
      </c>
      <c r="B45" s="13">
        <v>1.5522790987436399</v>
      </c>
      <c r="C45" s="13">
        <f t="shared" si="1"/>
        <v>1.8232057937908854</v>
      </c>
    </row>
    <row r="46" spans="1:3">
      <c r="A46">
        <v>1999</v>
      </c>
      <c r="B46" s="13">
        <v>2.1880271969735801</v>
      </c>
      <c r="C46" s="13">
        <f t="shared" si="1"/>
        <v>1.7953371504524325</v>
      </c>
    </row>
    <row r="47" spans="1:3">
      <c r="A47">
        <v>2000</v>
      </c>
      <c r="B47" s="13">
        <v>3.3768572714992899</v>
      </c>
      <c r="C47" s="13">
        <f t="shared" si="1"/>
        <v>1.7568957926859787</v>
      </c>
    </row>
    <row r="48" spans="1:3">
      <c r="A48">
        <v>2001</v>
      </c>
      <c r="B48" s="13">
        <v>2.8261711188540701</v>
      </c>
      <c r="C48" s="13">
        <f t="shared" si="1"/>
        <v>1.699505903987613</v>
      </c>
    </row>
    <row r="49" spans="1:3">
      <c r="A49">
        <v>2002</v>
      </c>
      <c r="B49" s="13">
        <v>1.5860316265060099</v>
      </c>
      <c r="C49" s="13">
        <f t="shared" si="1"/>
        <v>1.652795086596387</v>
      </c>
    </row>
    <row r="50" spans="1:3">
      <c r="A50">
        <v>2003</v>
      </c>
      <c r="B50" s="13">
        <v>2.2700949733611502</v>
      </c>
      <c r="C50" s="13">
        <f t="shared" si="1"/>
        <v>1.6269905026638884</v>
      </c>
    </row>
    <row r="51" spans="1:3">
      <c r="A51">
        <v>2004</v>
      </c>
      <c r="B51" s="13">
        <v>2.6772366930917202</v>
      </c>
      <c r="C51" s="13">
        <f t="shared" si="1"/>
        <v>1.5908761041902617</v>
      </c>
    </row>
    <row r="52" spans="1:3">
      <c r="A52">
        <v>2005</v>
      </c>
      <c r="B52" s="13">
        <v>3.3927468454955001</v>
      </c>
      <c r="C52" s="13">
        <f t="shared" si="1"/>
        <v>1.5493951292685093</v>
      </c>
    </row>
    <row r="53" spans="1:3">
      <c r="A53">
        <v>2006</v>
      </c>
      <c r="B53" s="13">
        <v>3.2259441007040399</v>
      </c>
      <c r="C53" s="13">
        <f t="shared" si="1"/>
        <v>1.4985530189886926</v>
      </c>
    </row>
    <row r="54" spans="1:3">
      <c r="A54">
        <v>2007</v>
      </c>
      <c r="B54" s="13">
        <v>2.8526724815013802</v>
      </c>
      <c r="C54" s="13">
        <f t="shared" si="1"/>
        <v>1.4517213013104056</v>
      </c>
    </row>
    <row r="55" spans="1:3">
      <c r="A55">
        <v>2008</v>
      </c>
      <c r="B55" s="13">
        <v>3.8391002966509999</v>
      </c>
      <c r="C55" s="13">
        <f t="shared" si="1"/>
        <v>1.4114570543332314</v>
      </c>
    </row>
    <row r="56" spans="1:3">
      <c r="A56">
        <v>2009</v>
      </c>
      <c r="B56" s="13">
        <v>-0.355546266299747</v>
      </c>
      <c r="C56" s="13">
        <f t="shared" si="1"/>
        <v>1.3592731931429818</v>
      </c>
    </row>
    <row r="57" spans="1:3">
      <c r="A57">
        <v>2010</v>
      </c>
      <c r="B57" s="13">
        <v>1.6400434423899</v>
      </c>
      <c r="C57" s="13">
        <f t="shared" si="1"/>
        <v>1.3641232825417846</v>
      </c>
    </row>
    <row r="58" spans="1:3">
      <c r="A58">
        <v>2011</v>
      </c>
      <c r="B58" s="13">
        <v>3.1568415686220002</v>
      </c>
      <c r="C58" s="13">
        <f t="shared" si="1"/>
        <v>1.3421120616846023</v>
      </c>
    </row>
    <row r="59" spans="1:3">
      <c r="A59">
        <v>2012</v>
      </c>
      <c r="B59" s="13">
        <v>2.0693372652606699</v>
      </c>
      <c r="C59" s="13">
        <f t="shared" si="1"/>
        <v>1.3010402812612312</v>
      </c>
    </row>
    <row r="60" spans="1:3">
      <c r="A60">
        <v>2013</v>
      </c>
      <c r="B60" s="13">
        <v>1.46483265562717</v>
      </c>
      <c r="C60" s="13">
        <f t="shared" si="1"/>
        <v>1.2746632006437459</v>
      </c>
    </row>
    <row r="61" spans="1:3">
      <c r="A61">
        <v>2014</v>
      </c>
      <c r="B61" s="13">
        <v>1.62222297740817</v>
      </c>
      <c r="C61" s="13">
        <f t="shared" si="1"/>
        <v>1.2562610781313439</v>
      </c>
    </row>
    <row r="62" spans="1:3">
      <c r="A62">
        <v>2015</v>
      </c>
      <c r="B62" s="13">
        <v>0.118627135552451</v>
      </c>
      <c r="C62" s="13">
        <f t="shared" si="1"/>
        <v>1.2362070434245722</v>
      </c>
    </row>
    <row r="63" spans="1:3">
      <c r="A63">
        <v>2016</v>
      </c>
      <c r="B63" s="13">
        <v>1.26158320570536</v>
      </c>
      <c r="C63" s="13">
        <f t="shared" si="1"/>
        <v>1.2347423039978853</v>
      </c>
    </row>
    <row r="64" spans="1:3">
      <c r="A64">
        <v>2017</v>
      </c>
      <c r="B64" s="13">
        <v>2.1301100036596101</v>
      </c>
      <c r="C64" s="13">
        <f t="shared" si="1"/>
        <v>1.2193590746942979</v>
      </c>
    </row>
    <row r="65" spans="1:3">
      <c r="A65">
        <v>2018</v>
      </c>
      <c r="B65" s="13">
        <v>2.44258329692817</v>
      </c>
      <c r="C65" s="13">
        <f t="shared" si="1"/>
        <v>1.1939271138066969</v>
      </c>
    </row>
    <row r="66" spans="1:3">
      <c r="A66">
        <v>2019</v>
      </c>
      <c r="B66" s="13">
        <v>1.8122100752602099</v>
      </c>
      <c r="C66" s="13">
        <f t="shared" si="1"/>
        <v>1.165459787699924</v>
      </c>
    </row>
    <row r="67" spans="1:3">
      <c r="A67">
        <v>2020</v>
      </c>
      <c r="B67" s="13">
        <v>1.23358439630629</v>
      </c>
      <c r="C67" s="13">
        <f t="shared" si="1"/>
        <v>1.1447151445179404</v>
      </c>
    </row>
    <row r="68" spans="1:3">
      <c r="A68">
        <v>2021</v>
      </c>
      <c r="B68" s="13">
        <v>4.6978588636374203</v>
      </c>
      <c r="C68" s="13">
        <f t="shared" si="1"/>
        <v>1.1307661892486616</v>
      </c>
    </row>
    <row r="69" spans="1:3">
      <c r="A69">
        <v>2022</v>
      </c>
      <c r="B69" s="13">
        <v>8.0027998205212096</v>
      </c>
      <c r="C69" s="13">
        <f t="shared" si="1"/>
        <v>1.0800279982052121</v>
      </c>
    </row>
    <row r="70" spans="1:3">
      <c r="A70">
        <v>2023</v>
      </c>
      <c r="B70" s="13">
        <v>4.5</v>
      </c>
      <c r="C70">
        <f>1</f>
        <v>1</v>
      </c>
    </row>
    <row r="71" spans="1:3">
      <c r="A71">
        <v>2024</v>
      </c>
      <c r="B71" s="13">
        <v>2.5</v>
      </c>
      <c r="C71" s="13">
        <f t="shared" ref="C71:C102" si="2">C70/(1+B70%)</f>
        <v>0.95693779904306231</v>
      </c>
    </row>
    <row r="72" spans="1:3">
      <c r="A72">
        <v>2025</v>
      </c>
      <c r="B72" s="13">
        <v>2.5</v>
      </c>
      <c r="C72" s="13">
        <f t="shared" si="2"/>
        <v>0.93359785272493889</v>
      </c>
    </row>
    <row r="73" spans="1:3">
      <c r="A73">
        <v>2026</v>
      </c>
      <c r="B73" s="13">
        <v>2.5</v>
      </c>
      <c r="C73" s="13">
        <f t="shared" si="2"/>
        <v>0.91082717339018437</v>
      </c>
    </row>
    <row r="74" spans="1:3">
      <c r="A74">
        <v>2027</v>
      </c>
      <c r="B74" s="13">
        <v>2.5</v>
      </c>
      <c r="C74" s="13">
        <f t="shared" si="2"/>
        <v>0.8886118764782287</v>
      </c>
    </row>
    <row r="75" spans="1:3">
      <c r="A75">
        <v>2028</v>
      </c>
      <c r="B75" s="13">
        <v>2.5</v>
      </c>
      <c r="C75" s="13">
        <f t="shared" si="2"/>
        <v>0.86693841607632072</v>
      </c>
    </row>
    <row r="76" spans="1:3">
      <c r="A76">
        <v>2029</v>
      </c>
      <c r="B76" s="13">
        <v>2.5</v>
      </c>
      <c r="C76" s="13">
        <f t="shared" si="2"/>
        <v>0.84579357665982513</v>
      </c>
    </row>
    <row r="77" spans="1:3">
      <c r="A77">
        <v>2030</v>
      </c>
      <c r="B77" s="13">
        <v>2.5</v>
      </c>
      <c r="C77" s="13">
        <f t="shared" si="2"/>
        <v>0.82516446503397578</v>
      </c>
    </row>
    <row r="78" spans="1:3">
      <c r="A78">
        <v>2031</v>
      </c>
      <c r="B78" s="13">
        <v>2.5</v>
      </c>
      <c r="C78" s="13">
        <f t="shared" si="2"/>
        <v>0.80503850247217157</v>
      </c>
    </row>
    <row r="79" spans="1:3">
      <c r="A79">
        <v>2032</v>
      </c>
      <c r="B79" s="13">
        <v>2.5</v>
      </c>
      <c r="C79" s="13">
        <f t="shared" si="2"/>
        <v>0.78540341704602112</v>
      </c>
    </row>
    <row r="80" spans="1:3">
      <c r="A80">
        <v>2033</v>
      </c>
      <c r="B80" s="13">
        <v>2.5</v>
      </c>
      <c r="C80" s="13">
        <f t="shared" si="2"/>
        <v>0.76624723614245971</v>
      </c>
    </row>
    <row r="81" spans="1:3">
      <c r="A81">
        <v>2034</v>
      </c>
      <c r="B81" s="13">
        <v>2.5</v>
      </c>
      <c r="C81" s="13">
        <f t="shared" si="2"/>
        <v>0.74755827916337536</v>
      </c>
    </row>
    <row r="82" spans="1:3">
      <c r="A82">
        <v>2035</v>
      </c>
      <c r="B82" s="13">
        <v>2.5</v>
      </c>
      <c r="C82" s="13">
        <f t="shared" si="2"/>
        <v>0.72932515040329304</v>
      </c>
    </row>
    <row r="83" spans="1:3">
      <c r="A83">
        <v>2036</v>
      </c>
      <c r="B83" s="13">
        <v>2.5</v>
      </c>
      <c r="C83" s="13">
        <f t="shared" si="2"/>
        <v>0.71153673210077373</v>
      </c>
    </row>
    <row r="84" spans="1:3">
      <c r="A84">
        <v>2037</v>
      </c>
      <c r="B84" s="13">
        <v>2.5</v>
      </c>
      <c r="C84" s="13">
        <f t="shared" si="2"/>
        <v>0.69418217765929147</v>
      </c>
    </row>
    <row r="85" spans="1:3">
      <c r="A85">
        <v>2038</v>
      </c>
      <c r="B85" s="13">
        <v>2.5</v>
      </c>
      <c r="C85" s="13">
        <f t="shared" si="2"/>
        <v>0.6772509050334552</v>
      </c>
    </row>
    <row r="86" spans="1:3">
      <c r="A86">
        <v>2039</v>
      </c>
      <c r="B86" s="13">
        <v>2.5</v>
      </c>
      <c r="C86" s="13">
        <f t="shared" si="2"/>
        <v>0.66073259027654174</v>
      </c>
    </row>
    <row r="87" spans="1:3">
      <c r="A87">
        <v>2040</v>
      </c>
      <c r="B87" s="13">
        <v>2.5</v>
      </c>
      <c r="C87" s="13">
        <f t="shared" si="2"/>
        <v>0.64461716124540669</v>
      </c>
    </row>
    <row r="88" spans="1:3">
      <c r="A88">
        <v>2041</v>
      </c>
      <c r="B88" s="13">
        <v>2.5</v>
      </c>
      <c r="C88" s="13">
        <f t="shared" si="2"/>
        <v>0.62889479145893346</v>
      </c>
    </row>
    <row r="89" spans="1:3">
      <c r="A89">
        <v>2042</v>
      </c>
      <c r="B89" s="13">
        <v>2.5</v>
      </c>
      <c r="C89" s="13">
        <f t="shared" si="2"/>
        <v>0.61355589410627664</v>
      </c>
    </row>
    <row r="90" spans="1:3">
      <c r="A90">
        <v>2043</v>
      </c>
      <c r="B90" s="13">
        <v>2.5</v>
      </c>
      <c r="C90" s="13">
        <f t="shared" si="2"/>
        <v>0.59859111620124561</v>
      </c>
    </row>
    <row r="91" spans="1:3">
      <c r="A91">
        <v>2044</v>
      </c>
      <c r="B91" s="13">
        <v>2.5</v>
      </c>
      <c r="C91" s="13">
        <f t="shared" si="2"/>
        <v>0.58399133287926408</v>
      </c>
    </row>
    <row r="92" spans="1:3">
      <c r="A92">
        <v>2045</v>
      </c>
      <c r="B92" s="13">
        <v>2.5</v>
      </c>
      <c r="C92" s="13">
        <f t="shared" si="2"/>
        <v>0.56974764183342841</v>
      </c>
    </row>
    <row r="93" spans="1:3">
      <c r="A93">
        <v>2046</v>
      </c>
      <c r="B93" s="13">
        <v>2.5</v>
      </c>
      <c r="C93" s="13">
        <f t="shared" si="2"/>
        <v>0.55585135788627171</v>
      </c>
    </row>
    <row r="94" spans="1:3">
      <c r="A94">
        <v>2047</v>
      </c>
      <c r="B94" s="13">
        <v>2.5</v>
      </c>
      <c r="C94" s="13">
        <f t="shared" si="2"/>
        <v>0.54229400769392366</v>
      </c>
    </row>
    <row r="95" spans="1:3">
      <c r="A95">
        <v>2048</v>
      </c>
      <c r="B95" s="13">
        <v>2.5</v>
      </c>
      <c r="C95" s="13">
        <f t="shared" si="2"/>
        <v>0.52906732457943773</v>
      </c>
    </row>
    <row r="96" spans="1:3">
      <c r="A96">
        <v>2049</v>
      </c>
      <c r="B96" s="13">
        <v>2.5</v>
      </c>
      <c r="C96" s="13">
        <f t="shared" si="2"/>
        <v>0.51616324349213438</v>
      </c>
    </row>
    <row r="97" spans="1:3">
      <c r="A97">
        <v>2050</v>
      </c>
      <c r="B97" s="13">
        <v>2.5</v>
      </c>
      <c r="C97" s="13">
        <f t="shared" si="2"/>
        <v>0.50357389608988723</v>
      </c>
    </row>
    <row r="98" spans="1:3">
      <c r="A98">
        <v>2051</v>
      </c>
      <c r="B98" s="13">
        <v>2.5</v>
      </c>
      <c r="C98" s="13">
        <f t="shared" si="2"/>
        <v>0.49129160594135346</v>
      </c>
    </row>
    <row r="99" spans="1:3">
      <c r="A99">
        <v>2052</v>
      </c>
      <c r="B99" s="13">
        <v>2.5</v>
      </c>
      <c r="C99" s="13">
        <f t="shared" si="2"/>
        <v>0.47930888384522291</v>
      </c>
    </row>
    <row r="100" spans="1:3">
      <c r="A100">
        <v>2053</v>
      </c>
      <c r="B100" s="13">
        <v>2.5</v>
      </c>
      <c r="C100" s="13">
        <f t="shared" si="2"/>
        <v>0.46761842326363212</v>
      </c>
    </row>
    <row r="101" spans="1:3">
      <c r="A101">
        <v>2054</v>
      </c>
      <c r="B101" s="13">
        <v>2.5</v>
      </c>
      <c r="C101" s="13">
        <f t="shared" si="2"/>
        <v>0.45621309586695818</v>
      </c>
    </row>
    <row r="102" spans="1:3">
      <c r="A102">
        <v>2055</v>
      </c>
      <c r="B102" s="13">
        <v>2.5</v>
      </c>
      <c r="C102" s="13">
        <f t="shared" si="2"/>
        <v>0.44508594718727634</v>
      </c>
    </row>
    <row r="103" spans="1:3">
      <c r="A103">
        <v>2056</v>
      </c>
      <c r="B103" s="13">
        <v>2.5</v>
      </c>
      <c r="C103" s="13">
        <f t="shared" ref="C103:C134" si="3">C102/(1+B102%)</f>
        <v>0.43423019237783061</v>
      </c>
    </row>
    <row r="104" spans="1:3">
      <c r="A104">
        <v>2057</v>
      </c>
      <c r="B104" s="13">
        <v>2.5</v>
      </c>
      <c r="C104" s="13">
        <f t="shared" si="3"/>
        <v>0.42363921207593236</v>
      </c>
    </row>
    <row r="105" spans="1:3">
      <c r="A105">
        <v>2058</v>
      </c>
      <c r="B105" s="13">
        <v>2.5</v>
      </c>
      <c r="C105" s="13">
        <f t="shared" si="3"/>
        <v>0.41330654836676334</v>
      </c>
    </row>
    <row r="106" spans="1:3">
      <c r="A106">
        <v>2059</v>
      </c>
      <c r="B106" s="13">
        <v>2.5</v>
      </c>
      <c r="C106" s="13">
        <f t="shared" si="3"/>
        <v>0.40322590084562282</v>
      </c>
    </row>
    <row r="107" spans="1:3">
      <c r="A107">
        <v>2060</v>
      </c>
      <c r="B107" s="13">
        <v>2.5</v>
      </c>
      <c r="C107" s="13">
        <f t="shared" si="3"/>
        <v>0.39339112277621741</v>
      </c>
    </row>
    <row r="108" spans="1:3">
      <c r="A108">
        <v>2061</v>
      </c>
      <c r="B108" s="13">
        <v>2.5</v>
      </c>
      <c r="C108" s="13">
        <f t="shared" si="3"/>
        <v>0.38379621734265118</v>
      </c>
    </row>
    <row r="109" spans="1:3">
      <c r="A109">
        <v>2062</v>
      </c>
      <c r="B109" s="13">
        <v>2.5</v>
      </c>
      <c r="C109" s="13">
        <f t="shared" si="3"/>
        <v>0.37443533399283047</v>
      </c>
    </row>
    <row r="110" spans="1:3">
      <c r="A110">
        <v>2063</v>
      </c>
      <c r="B110" s="13">
        <v>2.5</v>
      </c>
      <c r="C110" s="13">
        <f t="shared" si="3"/>
        <v>0.36530276487105412</v>
      </c>
    </row>
    <row r="111" spans="1:3">
      <c r="A111">
        <v>2064</v>
      </c>
      <c r="B111" s="13">
        <v>2.5</v>
      </c>
      <c r="C111" s="13">
        <f t="shared" si="3"/>
        <v>0.35639294133761379</v>
      </c>
    </row>
    <row r="112" spans="1:3">
      <c r="A112">
        <v>2065</v>
      </c>
      <c r="B112" s="13">
        <v>2.5</v>
      </c>
      <c r="C112" s="13">
        <f t="shared" si="3"/>
        <v>0.34770043057328176</v>
      </c>
    </row>
    <row r="113" spans="1:3">
      <c r="A113">
        <v>2066</v>
      </c>
      <c r="B113" s="13">
        <v>2.5</v>
      </c>
      <c r="C113" s="13">
        <f t="shared" si="3"/>
        <v>0.3392199322666164</v>
      </c>
    </row>
    <row r="114" spans="1:3">
      <c r="A114">
        <v>2067</v>
      </c>
      <c r="B114" s="13">
        <v>2.5</v>
      </c>
      <c r="C114" s="13">
        <f t="shared" si="3"/>
        <v>0.33094627538206478</v>
      </c>
    </row>
    <row r="115" spans="1:3">
      <c r="A115">
        <v>2068</v>
      </c>
      <c r="B115" s="13">
        <v>2.5</v>
      </c>
      <c r="C115" s="13">
        <f t="shared" si="3"/>
        <v>0.32287441500689251</v>
      </c>
    </row>
    <row r="116" spans="1:3">
      <c r="A116">
        <v>2069</v>
      </c>
      <c r="B116" s="13">
        <v>2.5</v>
      </c>
      <c r="C116" s="13">
        <f t="shared" si="3"/>
        <v>0.31499942927501712</v>
      </c>
    </row>
    <row r="117" spans="1:3">
      <c r="A117">
        <v>2070</v>
      </c>
      <c r="B117" s="13">
        <v>2.5</v>
      </c>
      <c r="C117" s="13">
        <f t="shared" si="3"/>
        <v>0.30731651636587037</v>
      </c>
    </row>
    <row r="118" spans="1:3">
      <c r="A118">
        <v>2071</v>
      </c>
      <c r="B118" s="13">
        <v>2.5</v>
      </c>
      <c r="C118" s="13">
        <f t="shared" si="3"/>
        <v>0.29982099157645892</v>
      </c>
    </row>
    <row r="119" spans="1:3">
      <c r="A119">
        <v>2072</v>
      </c>
      <c r="B119" s="13">
        <v>2.5</v>
      </c>
      <c r="C119" s="13">
        <f t="shared" si="3"/>
        <v>0.29250828446483801</v>
      </c>
    </row>
    <row r="120" spans="1:3">
      <c r="A120">
        <v>2073</v>
      </c>
      <c r="B120" s="13">
        <v>2.5</v>
      </c>
      <c r="C120" s="13">
        <f t="shared" si="3"/>
        <v>0.28537393606325662</v>
      </c>
    </row>
    <row r="121" spans="1:3">
      <c r="A121">
        <v>2074</v>
      </c>
      <c r="B121" s="13">
        <v>2.5</v>
      </c>
      <c r="C121" s="13">
        <f t="shared" si="3"/>
        <v>0.27841359615927475</v>
      </c>
    </row>
    <row r="122" spans="1:3">
      <c r="A122">
        <v>2075</v>
      </c>
      <c r="B122" s="13">
        <v>2.5</v>
      </c>
      <c r="C122" s="13">
        <f t="shared" si="3"/>
        <v>0.27162302064319488</v>
      </c>
    </row>
    <row r="123" spans="1:3">
      <c r="A123">
        <v>2076</v>
      </c>
      <c r="B123" s="13">
        <v>2.5</v>
      </c>
      <c r="C123" s="13">
        <f t="shared" si="3"/>
        <v>0.26499806892019012</v>
      </c>
    </row>
    <row r="124" spans="1:3">
      <c r="A124">
        <v>2077</v>
      </c>
      <c r="B124" s="13">
        <v>2.5</v>
      </c>
      <c r="C124" s="13">
        <f t="shared" si="3"/>
        <v>0.25853470138555135</v>
      </c>
    </row>
    <row r="125" spans="1:3">
      <c r="A125">
        <v>2078</v>
      </c>
      <c r="B125" s="13">
        <v>2.5</v>
      </c>
      <c r="C125" s="13">
        <f t="shared" si="3"/>
        <v>0.25222897696151353</v>
      </c>
    </row>
    <row r="126" spans="1:3">
      <c r="A126">
        <v>2079</v>
      </c>
      <c r="B126" s="13">
        <v>2.5</v>
      </c>
      <c r="C126" s="13">
        <f t="shared" si="3"/>
        <v>0.24607705069415955</v>
      </c>
    </row>
    <row r="127" spans="1:3">
      <c r="A127">
        <v>2080</v>
      </c>
      <c r="B127" s="13">
        <v>2.5</v>
      </c>
      <c r="C127" s="13">
        <f t="shared" si="3"/>
        <v>0.24007517140893617</v>
      </c>
    </row>
    <row r="128" spans="1:3">
      <c r="A128">
        <v>2081</v>
      </c>
      <c r="B128" s="13">
        <v>2.5</v>
      </c>
      <c r="C128" s="13">
        <f t="shared" si="3"/>
        <v>0.23421967942335237</v>
      </c>
    </row>
    <row r="129" spans="1:3">
      <c r="A129">
        <v>2082</v>
      </c>
      <c r="B129" s="13">
        <v>2.5</v>
      </c>
      <c r="C129" s="13">
        <f t="shared" si="3"/>
        <v>0.22850700431546575</v>
      </c>
    </row>
    <row r="130" spans="1:3">
      <c r="A130">
        <v>2083</v>
      </c>
      <c r="B130" s="13">
        <v>2.5</v>
      </c>
      <c r="C130" s="13">
        <f t="shared" si="3"/>
        <v>0.22293366274679588</v>
      </c>
    </row>
    <row r="131" spans="1:3">
      <c r="A131">
        <v>2084</v>
      </c>
      <c r="B131" s="13">
        <v>2.5</v>
      </c>
      <c r="C131" s="13">
        <f t="shared" si="3"/>
        <v>0.21749625633833747</v>
      </c>
    </row>
    <row r="132" spans="1:3">
      <c r="A132">
        <v>2085</v>
      </c>
      <c r="B132" s="13">
        <v>2.5</v>
      </c>
      <c r="C132" s="13">
        <f t="shared" si="3"/>
        <v>0.21219146959837804</v>
      </c>
    </row>
    <row r="133" spans="1:3">
      <c r="A133">
        <v>2086</v>
      </c>
      <c r="B133" s="13">
        <v>2.5</v>
      </c>
      <c r="C133" s="13">
        <f t="shared" si="3"/>
        <v>0.20701606790085664</v>
      </c>
    </row>
    <row r="134" spans="1:3">
      <c r="A134">
        <v>2087</v>
      </c>
      <c r="B134" s="13">
        <v>2.5</v>
      </c>
      <c r="C134" s="13">
        <f t="shared" si="3"/>
        <v>0.20196689551303088</v>
      </c>
    </row>
    <row r="135" spans="1:3">
      <c r="A135">
        <v>2088</v>
      </c>
      <c r="B135" s="13">
        <v>2.5</v>
      </c>
      <c r="C135" s="13">
        <f t="shared" ref="C135:C147" si="4">C134/(1+B134%)</f>
        <v>0.19704087367124964</v>
      </c>
    </row>
    <row r="136" spans="1:3">
      <c r="A136">
        <v>2089</v>
      </c>
      <c r="B136" s="13">
        <v>2.5</v>
      </c>
      <c r="C136" s="13">
        <f t="shared" si="4"/>
        <v>0.19223499870365821</v>
      </c>
    </row>
    <row r="137" spans="1:3">
      <c r="A137">
        <v>2090</v>
      </c>
      <c r="B137" s="13">
        <v>2.5</v>
      </c>
      <c r="C137" s="13">
        <f t="shared" si="4"/>
        <v>0.18754634019869096</v>
      </c>
    </row>
    <row r="138" spans="1:3">
      <c r="A138">
        <v>2091</v>
      </c>
      <c r="B138" s="13">
        <v>2.5</v>
      </c>
      <c r="C138" s="13">
        <f t="shared" si="4"/>
        <v>0.1829720392182351</v>
      </c>
    </row>
    <row r="139" spans="1:3">
      <c r="A139">
        <v>2092</v>
      </c>
      <c r="B139" s="13">
        <v>2.5</v>
      </c>
      <c r="C139" s="13">
        <f t="shared" si="4"/>
        <v>0.17850930655437572</v>
      </c>
    </row>
    <row r="140" spans="1:3">
      <c r="A140">
        <v>2093</v>
      </c>
      <c r="B140" s="13">
        <v>2.5</v>
      </c>
      <c r="C140" s="13">
        <f t="shared" si="4"/>
        <v>0.17415542102865925</v>
      </c>
    </row>
    <row r="141" spans="1:3">
      <c r="A141">
        <v>2094</v>
      </c>
      <c r="B141" s="13">
        <v>2.5</v>
      </c>
      <c r="C141" s="13">
        <f t="shared" si="4"/>
        <v>0.16990772783283831</v>
      </c>
    </row>
    <row r="142" spans="1:3">
      <c r="A142">
        <v>2095</v>
      </c>
      <c r="B142" s="13">
        <v>2.5</v>
      </c>
      <c r="C142" s="13">
        <f t="shared" si="4"/>
        <v>0.16576363691008617</v>
      </c>
    </row>
    <row r="143" spans="1:3">
      <c r="A143">
        <v>2096</v>
      </c>
      <c r="B143" s="13">
        <v>2.5</v>
      </c>
      <c r="C143" s="13">
        <f t="shared" si="4"/>
        <v>0.16172062137569385</v>
      </c>
    </row>
    <row r="144" spans="1:3">
      <c r="A144">
        <v>2097</v>
      </c>
      <c r="B144" s="13">
        <v>2.5</v>
      </c>
      <c r="C144" s="13">
        <f t="shared" si="4"/>
        <v>0.15777621597628669</v>
      </c>
    </row>
    <row r="145" spans="1:3">
      <c r="A145">
        <v>2098</v>
      </c>
      <c r="B145" s="13">
        <v>2.5</v>
      </c>
      <c r="C145" s="13">
        <f t="shared" si="4"/>
        <v>0.15392801558662117</v>
      </c>
    </row>
    <row r="146" spans="1:3">
      <c r="A146">
        <v>2099</v>
      </c>
      <c r="B146" s="13">
        <v>2.5</v>
      </c>
      <c r="C146" s="13">
        <f t="shared" si="4"/>
        <v>0.15017367374304505</v>
      </c>
    </row>
    <row r="147" spans="1:3">
      <c r="A147">
        <v>2100</v>
      </c>
      <c r="B147" s="13">
        <v>2.5</v>
      </c>
      <c r="C147" s="13">
        <f t="shared" si="4"/>
        <v>0.14651090121272689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&gt;&gt; City Data</vt:lpstr>
      <vt:lpstr>City characteristics</vt:lpstr>
      <vt:lpstr>&gt;&gt; GC_Existing</vt:lpstr>
      <vt:lpstr>&gt;&gt; TIMES</vt:lpstr>
      <vt:lpstr>TAX</vt:lpstr>
      <vt:lpstr>&gt;&gt; Parameters</vt:lpstr>
      <vt:lpstr>Data</vt:lpstr>
      <vt:lpstr>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2025-04-08T18:32:49Z</dcterms:modified>
</cp:coreProperties>
</file>
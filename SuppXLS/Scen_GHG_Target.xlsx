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4E258BB0-587C-46DD-A636-49A6BE94D539}" xr6:coauthVersionLast="47" xr6:coauthVersionMax="47" xr10:uidLastSave="{00000000-0000-0000-0000-000000000000}"/>
  <bookViews>
    <workbookView xWindow="-120" yWindow="-120" windowWidth="25440" windowHeight="15270" firstSheet="7" activeTab="7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Existing" sheetId="4" r:id="rId4"/>
    <sheet name="&gt;&gt; TIMES" sheetId="5" r:id="rId5"/>
    <sheet name="UC" sheetId="6" r:id="rId6"/>
    <sheet name="&gt;&gt; Parameters" sheetId="7" r:id="rId7"/>
    <sheet name="REF_data" sheetId="8" r:id="rId8"/>
    <sheet name="Pre-processing" sheetId="9" r:id="rId9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9" l="1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F9" i="9" s="1"/>
  <c r="F22" i="9" s="1"/>
  <c r="C9" i="9"/>
  <c r="D9" i="9" s="1"/>
  <c r="D22" i="9" s="1"/>
  <c r="G14" i="6" l="1"/>
  <c r="D23" i="9"/>
  <c r="D20" i="9"/>
  <c r="G12" i="6" s="1"/>
  <c r="D17" i="9"/>
  <c r="G9" i="6" s="1"/>
  <c r="D14" i="9"/>
  <c r="D11" i="9"/>
  <c r="D19" i="9"/>
  <c r="G11" i="6" s="1"/>
  <c r="D10" i="9"/>
  <c r="D16" i="9"/>
  <c r="D21" i="9"/>
  <c r="G13" i="6" s="1"/>
  <c r="D18" i="9"/>
  <c r="G10" i="6" s="1"/>
  <c r="D15" i="9"/>
  <c r="G8" i="6" s="1"/>
  <c r="D12" i="9"/>
  <c r="D13" i="9"/>
  <c r="F23" i="9"/>
  <c r="F20" i="9"/>
  <c r="G36" i="6" s="1"/>
  <c r="F17" i="9"/>
  <c r="G33" i="6" s="1"/>
  <c r="F14" i="9"/>
  <c r="F11" i="9"/>
  <c r="F19" i="9"/>
  <c r="G35" i="6" s="1"/>
  <c r="F16" i="9"/>
  <c r="F13" i="9"/>
  <c r="F10" i="9"/>
  <c r="F21" i="9"/>
  <c r="G37" i="6" s="1"/>
  <c r="F18" i="9"/>
  <c r="G34" i="6" s="1"/>
  <c r="F15" i="9"/>
  <c r="G32" i="6" s="1"/>
  <c r="F12" i="9"/>
  <c r="G38" i="6"/>
  <c r="F24" i="9" l="1"/>
  <c r="G39" i="6"/>
  <c r="G15" i="6"/>
  <c r="D24" i="9"/>
  <c r="D25" i="9" l="1"/>
  <c r="G16" i="6"/>
  <c r="G40" i="6"/>
  <c r="F25" i="9"/>
  <c r="F26" i="9" l="1"/>
  <c r="G41" i="6"/>
  <c r="D26" i="9"/>
  <c r="G17" i="6"/>
  <c r="G18" i="6" l="1"/>
  <c r="D27" i="9"/>
  <c r="G42" i="6"/>
  <c r="F27" i="9"/>
  <c r="G43" i="6" l="1"/>
  <c r="F28" i="9"/>
  <c r="D28" i="9"/>
  <c r="G19" i="6"/>
  <c r="D29" i="9" l="1"/>
  <c r="G20" i="6"/>
  <c r="F29" i="9"/>
  <c r="G44" i="6"/>
  <c r="G45" i="6" l="1"/>
  <c r="F30" i="9"/>
  <c r="D30" i="9"/>
  <c r="G21" i="6"/>
  <c r="G22" i="6" l="1"/>
  <c r="D31" i="9"/>
  <c r="G46" i="6"/>
  <c r="F31" i="9"/>
  <c r="F32" i="9" l="1"/>
  <c r="G47" i="6"/>
  <c r="G23" i="6"/>
  <c r="D32" i="9"/>
</calcChain>
</file>

<file path=xl/sharedStrings.xml><?xml version="1.0" encoding="utf-8"?>
<sst xmlns="http://schemas.openxmlformats.org/spreadsheetml/2006/main" count="176" uniqueCount="95">
  <si>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</si>
  <si>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</si>
  <si>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</si>
  <si>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</si>
  <si>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</si>
  <si>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</si>
  <si>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</si>
  <si>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</si>
  <si>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</si>
  <si>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</si>
  <si>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</si>
  <si>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</si>
  <si>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</si>
  <si>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</si>
  <si>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</si>
  <si>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</si>
  <si>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</si>
  <si>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</si>
  <si>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</si>
  <si>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</si>
  <si>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</si>
  <si>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</si>
  <si>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</si>
  <si>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</si>
  <si>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</si>
  <si>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</si>
  <si>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</si>
  <si>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</si>
  <si>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</si>
  <si>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</si>
  <si>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</si>
  <si>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</si>
  <si>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</si>
  <si>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</si>
  <si>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</si>
  <si>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</si>
  <si>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</si>
  <si>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</si>
  <si>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</si>
  <si>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</si>
  <si>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</si>
  <si>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</si>
  <si>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</si>
  <si>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</si>
  <si>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</si>
  <si>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</si>
  <si>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</si>
  <si>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</si>
  <si>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</si>
  <si>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</si>
  <si>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</si>
  <si>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</si>
  <si>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</si>
  <si>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</si>
  <si>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</si>
  <si>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</si>
  <si>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</si>
  <si>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</si>
  <si>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</si>
  <si>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</si>
  <si>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</si>
  <si>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</si>
  <si>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</si>
  <si>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</si>
  <si>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</si>
  <si>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</si>
  <si>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</si>
  <si>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</si>
  <si>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</si>
  <si>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</si>
  <si>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</si>
  <si>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~UC_Sets: R_S: CITY</t>
  </si>
  <si>
    <t>~UC_T: UC_RHST</t>
  </si>
  <si>
    <t>UC_N</t>
  </si>
  <si>
    <t>Cset_CN</t>
  </si>
  <si>
    <t>UC_COMNET</t>
  </si>
  <si>
    <t>UC_RHST~UP</t>
  </si>
  <si>
    <t>UC_RHST~UP~0</t>
  </si>
  <si>
    <t>UC_GHGCO2_CITY</t>
  </si>
  <si>
    <t>CO2</t>
  </si>
  <si>
    <t>~UC_Sets: R_S: EGRID</t>
  </si>
  <si>
    <t>UC_GHGCO2_EGRID</t>
  </si>
  <si>
    <t>Table = _Emissions_for_GHG_constraint</t>
  </si>
  <si>
    <t>Sum of Pv</t>
  </si>
  <si>
    <t>Period</t>
  </si>
  <si>
    <t>Commodity</t>
  </si>
  <si>
    <t>Region</t>
  </si>
  <si>
    <t>CITY</t>
  </si>
  <si>
    <t>EGRID</t>
  </si>
  <si>
    <t>GrandTotal</t>
  </si>
  <si>
    <t>CO2 Total</t>
  </si>
  <si>
    <t>REF - CO2</t>
  </si>
  <si>
    <t>NZ50 - CO2</t>
  </si>
  <si>
    <t>Target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</si>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</sst>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_-* #,##0_-;\-* #,##0_-;_-* &quot;-&quot;??_-;_-@_-"/>
    <numFmt numFmtId="166" formatCode="_-* #,##0.00_-;\-* #,##0.00_-;_-* &quot;-&quot;??_-;_-@_-"/>
    <numFmt numFmtId="167" formatCode="_(* #,##0.00_);_(* \(#,##0.00\);_(* \-??_);_(@_)"/>
    <numFmt numFmtId="168" formatCode="_([$€-2]* #,##0.00_);_([$€-2]* \(#,##0.00\);_([$€-2]* &quot;-&quot;??_)"/>
    <numFmt numFmtId="169" formatCode="&quot;$&quot;#,##0;\-&quot;$&quot;#,##0"/>
    <numFmt numFmtId="170" formatCode="_-* #,##0.00_-;\-* #,##0.00_-;_-* \-??_-;_-@_-"/>
    <numFmt numFmtId="171" formatCode="_-* #,##0.00\ _€_-;\-* #,##0.00\ _€_-;_-* \-??\ _€_-;_-@_-"/>
    <numFmt numFmtId="172" formatCode="_ * #,##0.00_)\ _$_ ;_ * \(#,##0.00&quot;) &quot;_$_ ;_ * \-??_)\ _$_ ;_ @_ 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.25"/>
      <color rgb="FF000000"/>
      <name val="Microsoft Sans Serif"/>
    </font>
    <font>
      <sz val="11"/>
      <color theme="1"/>
      <name val="Calibri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</borders>
  <cellStyleXfs count="1444">
    <xf numFmtId="0" fontId="0" fillId="0" borderId="0"/>
    <xf numFmtId="43" fontId="5" fillId="0" borderId="0"/>
    <xf numFmtId="0" fontId="5" fillId="0" borderId="0"/>
    <xf numFmtId="0" fontId="9" fillId="0" borderId="0"/>
    <xf numFmtId="0" fontId="10" fillId="7" borderId="0"/>
    <xf numFmtId="0" fontId="10" fillId="7" borderId="0"/>
    <xf numFmtId="0" fontId="10" fillId="7" borderId="0"/>
    <xf numFmtId="0" fontId="10" fillId="8" borderId="0"/>
    <xf numFmtId="0" fontId="10" fillId="8" borderId="0"/>
    <xf numFmtId="0" fontId="10" fillId="8" borderId="0"/>
    <xf numFmtId="0" fontId="10" fillId="9" borderId="0"/>
    <xf numFmtId="0" fontId="10" fillId="9" borderId="0"/>
    <xf numFmtId="0" fontId="10" fillId="9" borderId="0"/>
    <xf numFmtId="0" fontId="10" fillId="10" borderId="0"/>
    <xf numFmtId="0" fontId="10" fillId="10" borderId="0"/>
    <xf numFmtId="0" fontId="10" fillId="10" borderId="0"/>
    <xf numFmtId="0" fontId="10" fillId="11" borderId="0"/>
    <xf numFmtId="0" fontId="10" fillId="11" borderId="0"/>
    <xf numFmtId="0" fontId="10" fillId="11" borderId="0"/>
    <xf numFmtId="0" fontId="10" fillId="12" borderId="0"/>
    <xf numFmtId="0" fontId="10" fillId="12" borderId="0"/>
    <xf numFmtId="0" fontId="10" fillId="12" borderId="0"/>
    <xf numFmtId="0" fontId="10" fillId="13" borderId="0"/>
    <xf numFmtId="0" fontId="10" fillId="13" borderId="0"/>
    <xf numFmtId="0" fontId="10" fillId="13" borderId="0"/>
    <xf numFmtId="0" fontId="10" fillId="14" borderId="0"/>
    <xf numFmtId="0" fontId="10" fillId="14" borderId="0"/>
    <xf numFmtId="0" fontId="10" fillId="14" borderId="0"/>
    <xf numFmtId="0" fontId="10" fillId="15" borderId="0"/>
    <xf numFmtId="0" fontId="10" fillId="15" borderId="0"/>
    <xf numFmtId="0" fontId="10" fillId="15" borderId="0"/>
    <xf numFmtId="0" fontId="10" fillId="10" borderId="0"/>
    <xf numFmtId="0" fontId="10" fillId="10" borderId="0"/>
    <xf numFmtId="0" fontId="10" fillId="10" borderId="0"/>
    <xf numFmtId="0" fontId="10" fillId="13" borderId="0"/>
    <xf numFmtId="0" fontId="10" fillId="13" borderId="0"/>
    <xf numFmtId="0" fontId="10" fillId="13" borderId="0"/>
    <xf numFmtId="0" fontId="10" fillId="16" borderId="0"/>
    <xf numFmtId="0" fontId="10" fillId="16" borderId="0"/>
    <xf numFmtId="0" fontId="10" fillId="16" borderId="0"/>
    <xf numFmtId="0" fontId="11" fillId="17" borderId="0"/>
    <xf numFmtId="0" fontId="11" fillId="17" borderId="0"/>
    <xf numFmtId="0" fontId="11" fillId="17" borderId="0"/>
    <xf numFmtId="0" fontId="11" fillId="14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5" borderId="0"/>
    <xf numFmtId="0" fontId="11" fillId="18" borderId="0"/>
    <xf numFmtId="0" fontId="11" fillId="18" borderId="0"/>
    <xf numFmtId="0" fontId="11" fillId="18" borderId="0"/>
    <xf numFmtId="0" fontId="11" fillId="19" borderId="0"/>
    <xf numFmtId="0" fontId="11" fillId="19" borderId="0"/>
    <xf numFmtId="0" fontId="11" fillId="19" borderId="0"/>
    <xf numFmtId="0" fontId="11" fillId="20" borderId="0"/>
    <xf numFmtId="0" fontId="11" fillId="20" borderId="0"/>
    <xf numFmtId="0" fontId="11" fillId="20" borderId="0"/>
    <xf numFmtId="0" fontId="11" fillId="21" borderId="0"/>
    <xf numFmtId="0" fontId="11" fillId="21" borderId="0"/>
    <xf numFmtId="0" fontId="11" fillId="21" borderId="0"/>
    <xf numFmtId="0" fontId="11" fillId="22" borderId="0"/>
    <xf numFmtId="0" fontId="11" fillId="22" borderId="0"/>
    <xf numFmtId="0" fontId="11" fillId="22" borderId="0"/>
    <xf numFmtId="0" fontId="11" fillId="23" borderId="0"/>
    <xf numFmtId="0" fontId="11" fillId="23" borderId="0"/>
    <xf numFmtId="0" fontId="11" fillId="23" borderId="0"/>
    <xf numFmtId="0" fontId="11" fillId="18" borderId="0"/>
    <xf numFmtId="0" fontId="11" fillId="18" borderId="0"/>
    <xf numFmtId="0" fontId="11" fillId="18" borderId="0"/>
    <xf numFmtId="0" fontId="11" fillId="19" borderId="0"/>
    <xf numFmtId="0" fontId="11" fillId="19" borderId="0"/>
    <xf numFmtId="0" fontId="11" fillId="19" borderId="0"/>
    <xf numFmtId="0" fontId="11" fillId="24" borderId="0"/>
    <xf numFmtId="0" fontId="11" fillId="24" borderId="0"/>
    <xf numFmtId="0" fontId="11" fillId="24" borderId="0"/>
    <xf numFmtId="0" fontId="12" fillId="8" borderId="0"/>
    <xf numFmtId="0" fontId="12" fillId="8" borderId="0"/>
    <xf numFmtId="0" fontId="12" fillId="8" borderId="0"/>
    <xf numFmtId="0" fontId="13" fillId="25" borderId="3"/>
    <xf numFmtId="0" fontId="13" fillId="25" borderId="3"/>
    <xf numFmtId="0" fontId="13" fillId="25" borderId="3"/>
    <xf numFmtId="0" fontId="14" fillId="26" borderId="4"/>
    <xf numFmtId="0" fontId="14" fillId="26" borderId="4"/>
    <xf numFmtId="0" fontId="14" fillId="26" borderId="4"/>
    <xf numFmtId="43" fontId="9" fillId="0" borderId="0"/>
    <xf numFmtId="166" fontId="9" fillId="0" borderId="0"/>
    <xf numFmtId="43" fontId="9" fillId="0" borderId="0"/>
    <xf numFmtId="166" fontId="9" fillId="0" borderId="0"/>
    <xf numFmtId="166" fontId="9" fillId="0" borderId="0"/>
    <xf numFmtId="43" fontId="9" fillId="0" borderId="0"/>
    <xf numFmtId="166" fontId="9" fillId="0" borderId="0"/>
    <xf numFmtId="43" fontId="9" fillId="0" borderId="0"/>
    <xf numFmtId="166" fontId="9" fillId="0" borderId="0"/>
    <xf numFmtId="167" fontId="9" fillId="0" borderId="0"/>
    <xf numFmtId="167" fontId="9" fillId="0" borderId="0"/>
    <xf numFmtId="166" fontId="9" fillId="0" borderId="0"/>
    <xf numFmtId="3" fontId="9" fillId="0" borderId="0"/>
    <xf numFmtId="3" fontId="9" fillId="0" borderId="0"/>
    <xf numFmtId="168" fontId="9" fillId="0" borderId="0"/>
    <xf numFmtId="168" fontId="9" fillId="0" borderId="0"/>
    <xf numFmtId="0" fontId="15" fillId="0" borderId="0"/>
    <xf numFmtId="0" fontId="15" fillId="0" borderId="0"/>
    <xf numFmtId="0" fontId="15" fillId="0" borderId="0"/>
    <xf numFmtId="0" fontId="16" fillId="9" borderId="0"/>
    <xf numFmtId="0" fontId="16" fillId="9" borderId="0"/>
    <xf numFmtId="0" fontId="4" fillId="3" borderId="0"/>
    <xf numFmtId="0" fontId="16" fillId="9" borderId="0"/>
    <xf numFmtId="0" fontId="17" fillId="0" borderId="5"/>
    <xf numFmtId="0" fontId="17" fillId="0" borderId="5"/>
    <xf numFmtId="0" fontId="17" fillId="0" borderId="5"/>
    <xf numFmtId="0" fontId="18" fillId="0" borderId="6"/>
    <xf numFmtId="0" fontId="18" fillId="0" borderId="6"/>
    <xf numFmtId="0" fontId="18" fillId="0" borderId="6"/>
    <xf numFmtId="0" fontId="19" fillId="0" borderId="7"/>
    <xf numFmtId="0" fontId="19" fillId="0" borderId="7"/>
    <xf numFmtId="0" fontId="19" fillId="0" borderId="7"/>
    <xf numFmtId="0" fontId="19" fillId="0" borderId="0"/>
    <xf numFmtId="0" fontId="19" fillId="0" borderId="0"/>
    <xf numFmtId="0" fontId="19" fillId="0" borderId="0"/>
    <xf numFmtId="0" fontId="20" fillId="12" borderId="3"/>
    <xf numFmtId="0" fontId="20" fillId="12" borderId="3"/>
    <xf numFmtId="0" fontId="20" fillId="12" borderId="3"/>
    <xf numFmtId="0" fontId="21" fillId="0" borderId="8"/>
    <xf numFmtId="0" fontId="21" fillId="0" borderId="8"/>
    <xf numFmtId="0" fontId="21" fillId="0" borderId="8"/>
    <xf numFmtId="0" fontId="22" fillId="27" borderId="0"/>
    <xf numFmtId="0" fontId="22" fillId="27" borderId="0"/>
    <xf numFmtId="0" fontId="22" fillId="27" borderId="0"/>
    <xf numFmtId="0" fontId="28" fillId="4" borderId="0"/>
    <xf numFmtId="0" fontId="22" fillId="27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7" fillId="0" borderId="0"/>
    <xf numFmtId="0" fontId="9" fillId="28" borderId="9"/>
    <xf numFmtId="0" fontId="9" fillId="28" borderId="9"/>
    <xf numFmtId="0" fontId="10" fillId="28" borderId="9"/>
    <xf numFmtId="0" fontId="9" fillId="28" borderId="9"/>
    <xf numFmtId="0" fontId="9" fillId="28" borderId="9"/>
    <xf numFmtId="0" fontId="23" fillId="25" borderId="10"/>
    <xf numFmtId="0" fontId="23" fillId="25" borderId="10"/>
    <xf numFmtId="0" fontId="23" fillId="25" borderId="1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5" fillId="0" borderId="11"/>
    <xf numFmtId="0" fontId="25" fillId="0" borderId="11"/>
    <xf numFmtId="0" fontId="25" fillId="0" borderId="11"/>
    <xf numFmtId="0" fontId="26" fillId="0" borderId="0"/>
    <xf numFmtId="0" fontId="26" fillId="0" borderId="0"/>
    <xf numFmtId="0" fontId="26" fillId="0" borderId="0"/>
    <xf numFmtId="0" fontId="5" fillId="0" borderId="0"/>
    <xf numFmtId="166" fontId="5" fillId="0" borderId="0"/>
    <xf numFmtId="0" fontId="9" fillId="0" borderId="0"/>
    <xf numFmtId="0" fontId="5" fillId="0" borderId="0"/>
    <xf numFmtId="0" fontId="29" fillId="0" borderId="0"/>
    <xf numFmtId="0" fontId="9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5" fillId="0" borderId="0"/>
    <xf numFmtId="3" fontId="9" fillId="0" borderId="0"/>
    <xf numFmtId="169" fontId="9" fillId="0" borderId="0"/>
    <xf numFmtId="14" fontId="9" fillId="0" borderId="0"/>
    <xf numFmtId="2" fontId="9" fillId="0" borderId="0"/>
    <xf numFmtId="0" fontId="31" fillId="0" borderId="0">
      <alignment vertical="top"/>
      <protection locked="0"/>
    </xf>
    <xf numFmtId="166" fontId="9" fillId="0" borderId="0"/>
    <xf numFmtId="0" fontId="32" fillId="4" borderId="0"/>
    <xf numFmtId="0" fontId="9" fillId="0" borderId="0"/>
    <xf numFmtId="0" fontId="10" fillId="29" borderId="0"/>
    <xf numFmtId="0" fontId="10" fillId="30" borderId="0"/>
    <xf numFmtId="0" fontId="10" fillId="31" borderId="0"/>
    <xf numFmtId="0" fontId="10" fillId="32" borderId="0"/>
    <xf numFmtId="0" fontId="10" fillId="33" borderId="0"/>
    <xf numFmtId="0" fontId="10" fillId="34" borderId="0"/>
    <xf numFmtId="0" fontId="10" fillId="35" borderId="0"/>
    <xf numFmtId="0" fontId="10" fillId="36" borderId="0"/>
    <xf numFmtId="0" fontId="10" fillId="37" borderId="0"/>
    <xf numFmtId="0" fontId="10" fillId="32" borderId="0"/>
    <xf numFmtId="0" fontId="10" fillId="35" borderId="0"/>
    <xf numFmtId="0" fontId="10" fillId="38" borderId="0"/>
    <xf numFmtId="0" fontId="11" fillId="39" borderId="0"/>
    <xf numFmtId="0" fontId="11" fillId="36" borderId="0"/>
    <xf numFmtId="0" fontId="11" fillId="37" borderId="0"/>
    <xf numFmtId="0" fontId="11" fillId="40" borderId="0"/>
    <xf numFmtId="0" fontId="11" fillId="41" borderId="0"/>
    <xf numFmtId="0" fontId="11" fillId="42" borderId="0"/>
    <xf numFmtId="0" fontId="11" fillId="43" borderId="0"/>
    <xf numFmtId="0" fontId="11" fillId="44" borderId="0"/>
    <xf numFmtId="0" fontId="11" fillId="45" borderId="0"/>
    <xf numFmtId="0" fontId="11" fillId="40" borderId="0"/>
    <xf numFmtId="0" fontId="11" fillId="41" borderId="0"/>
    <xf numFmtId="0" fontId="11" fillId="46" borderId="0"/>
    <xf numFmtId="0" fontId="12" fillId="30" borderId="0"/>
    <xf numFmtId="0" fontId="13" fillId="47" borderId="3"/>
    <xf numFmtId="0" fontId="14" fillId="48" borderId="4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66" fontId="9" fillId="0" borderId="0"/>
    <xf numFmtId="170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71" fontId="9" fillId="0" borderId="0"/>
    <xf numFmtId="166" fontId="9" fillId="0" borderId="0"/>
    <xf numFmtId="166" fontId="9" fillId="0" borderId="0"/>
    <xf numFmtId="171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72" fontId="9" fillId="0" borderId="0"/>
    <xf numFmtId="166" fontId="9" fillId="0" borderId="0"/>
    <xf numFmtId="166" fontId="9" fillId="0" borderId="0"/>
    <xf numFmtId="166" fontId="9" fillId="0" borderId="0"/>
    <xf numFmtId="170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66" fontId="5" fillId="0" borderId="0"/>
    <xf numFmtId="170" fontId="9" fillId="0" borderId="0"/>
    <xf numFmtId="166" fontId="9" fillId="0" borderId="0"/>
    <xf numFmtId="166" fontId="9" fillId="0" borderId="0"/>
    <xf numFmtId="167" fontId="9" fillId="0" borderId="0"/>
    <xf numFmtId="166" fontId="9" fillId="0" borderId="0"/>
    <xf numFmtId="166" fontId="9" fillId="0" borderId="0"/>
    <xf numFmtId="166" fontId="9" fillId="0" borderId="0"/>
    <xf numFmtId="168" fontId="9" fillId="0" borderId="0"/>
    <xf numFmtId="0" fontId="16" fillId="31" borderId="0"/>
    <xf numFmtId="0" fontId="33" fillId="0" borderId="0"/>
    <xf numFmtId="0" fontId="20" fillId="34" borderId="3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0" fontId="10" fillId="0" borderId="0"/>
    <xf numFmtId="0" fontId="5" fillId="0" borderId="0"/>
    <xf numFmtId="0" fontId="10" fillId="0" borderId="0"/>
    <xf numFmtId="0" fontId="34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5" fillId="0" borderId="0"/>
    <xf numFmtId="0" fontId="10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0" fillId="0" borderId="0"/>
    <xf numFmtId="0" fontId="10" fillId="0" borderId="0"/>
    <xf numFmtId="0" fontId="9" fillId="49" borderId="9"/>
    <xf numFmtId="0" fontId="23" fillId="47" borderId="1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5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5" fillId="0" borderId="0"/>
    <xf numFmtId="4" fontId="9" fillId="0" borderId="0"/>
    <xf numFmtId="0" fontId="9" fillId="0" borderId="0"/>
    <xf numFmtId="0" fontId="10" fillId="7" borderId="0"/>
    <xf numFmtId="0" fontId="10" fillId="8" borderId="0"/>
    <xf numFmtId="0" fontId="10" fillId="9" borderId="0"/>
    <xf numFmtId="0" fontId="10" fillId="10" borderId="0"/>
    <xf numFmtId="0" fontId="10" fillId="11" borderId="0"/>
    <xf numFmtId="0" fontId="10" fillId="12" borderId="0"/>
    <xf numFmtId="0" fontId="10" fillId="13" borderId="0"/>
    <xf numFmtId="0" fontId="10" fillId="14" borderId="0"/>
    <xf numFmtId="0" fontId="10" fillId="15" borderId="0"/>
    <xf numFmtId="0" fontId="10" fillId="10" borderId="0"/>
    <xf numFmtId="0" fontId="10" fillId="13" borderId="0"/>
    <xf numFmtId="0" fontId="10" fillId="16" borderId="0"/>
    <xf numFmtId="0" fontId="11" fillId="17" borderId="0"/>
    <xf numFmtId="0" fontId="11" fillId="14" borderId="0"/>
    <xf numFmtId="0" fontId="11" fillId="15" borderId="0"/>
    <xf numFmtId="0" fontId="11" fillId="18" borderId="0"/>
    <xf numFmtId="0" fontId="11" fillId="19" borderId="0"/>
    <xf numFmtId="0" fontId="11" fillId="20" borderId="0"/>
    <xf numFmtId="0" fontId="11" fillId="21" borderId="0"/>
    <xf numFmtId="0" fontId="11" fillId="22" borderId="0"/>
    <xf numFmtId="0" fontId="11" fillId="23" borderId="0"/>
    <xf numFmtId="0" fontId="11" fillId="18" borderId="0"/>
    <xf numFmtId="0" fontId="11" fillId="19" borderId="0"/>
    <xf numFmtId="0" fontId="11" fillId="24" borderId="0"/>
    <xf numFmtId="0" fontId="12" fillId="8" borderId="0"/>
    <xf numFmtId="0" fontId="13" fillId="25" borderId="3"/>
    <xf numFmtId="0" fontId="14" fillId="26" borderId="4"/>
    <xf numFmtId="166" fontId="9" fillId="0" borderId="0"/>
    <xf numFmtId="166" fontId="9" fillId="0" borderId="0"/>
    <xf numFmtId="0" fontId="16" fillId="9" borderId="0"/>
    <xf numFmtId="0" fontId="20" fillId="12" borderId="3"/>
    <xf numFmtId="0" fontId="23" fillId="25" borderId="10"/>
    <xf numFmtId="9" fontId="9" fillId="0" borderId="0"/>
    <xf numFmtId="9" fontId="9" fillId="0" borderId="0"/>
    <xf numFmtId="166" fontId="9" fillId="0" borderId="0"/>
    <xf numFmtId="0" fontId="5" fillId="0" borderId="0"/>
    <xf numFmtId="9" fontId="5" fillId="0" borderId="0"/>
    <xf numFmtId="0" fontId="35" fillId="0" borderId="0"/>
    <xf numFmtId="9" fontId="35" fillId="0" borderId="0"/>
    <xf numFmtId="166" fontId="35" fillId="0" borderId="0"/>
    <xf numFmtId="0" fontId="9" fillId="0" borderId="12"/>
    <xf numFmtId="0" fontId="9" fillId="0" borderId="0"/>
    <xf numFmtId="0" fontId="9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43" fontId="9" fillId="0" borderId="0"/>
    <xf numFmtId="0" fontId="5" fillId="0" borderId="0"/>
    <xf numFmtId="0" fontId="5" fillId="0" borderId="0"/>
    <xf numFmtId="0" fontId="13" fillId="25" borderId="3"/>
    <xf numFmtId="0" fontId="13" fillId="25" borderId="3"/>
    <xf numFmtId="0" fontId="13" fillId="25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12" borderId="3"/>
    <xf numFmtId="0" fontId="20" fillId="12" borderId="3"/>
    <xf numFmtId="0" fontId="20" fillId="12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25" borderId="10"/>
    <xf numFmtId="0" fontId="23" fillId="25" borderId="10"/>
    <xf numFmtId="0" fontId="23" fillId="25" borderId="10"/>
    <xf numFmtId="0" fontId="25" fillId="0" borderId="11"/>
    <xf numFmtId="0" fontId="25" fillId="0" borderId="11"/>
    <xf numFmtId="0" fontId="25" fillId="0" borderId="11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0" fontId="13" fillId="47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34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47" borderId="10"/>
    <xf numFmtId="9" fontId="5" fillId="0" borderId="0"/>
    <xf numFmtId="0" fontId="5" fillId="0" borderId="0"/>
    <xf numFmtId="0" fontId="13" fillId="25" borderId="3"/>
    <xf numFmtId="166" fontId="9" fillId="0" borderId="0"/>
    <xf numFmtId="166" fontId="9" fillId="0" borderId="0"/>
    <xf numFmtId="0" fontId="20" fillId="12" borderId="3"/>
    <xf numFmtId="0" fontId="23" fillId="25" borderId="10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166" fontId="9" fillId="0" borderId="0"/>
    <xf numFmtId="0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0" fontId="13" fillId="25" borderId="3"/>
    <xf numFmtId="0" fontId="13" fillId="25" borderId="3"/>
    <xf numFmtId="0" fontId="13" fillId="25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12" borderId="3"/>
    <xf numFmtId="0" fontId="20" fillId="12" borderId="3"/>
    <xf numFmtId="0" fontId="20" fillId="12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0" fontId="13" fillId="47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34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13" fillId="25" borderId="3"/>
    <xf numFmtId="166" fontId="9" fillId="0" borderId="0"/>
    <xf numFmtId="166" fontId="9" fillId="0" borderId="0"/>
    <xf numFmtId="0" fontId="20" fillId="12" borderId="3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166" fontId="9" fillId="0" borderId="0"/>
    <xf numFmtId="0" fontId="5" fillId="0" borderId="0"/>
    <xf numFmtId="0" fontId="5" fillId="0" borderId="0"/>
    <xf numFmtId="166" fontId="9" fillId="0" borderId="0"/>
    <xf numFmtId="0" fontId="5" fillId="0" borderId="0"/>
    <xf numFmtId="0" fontId="5" fillId="0" borderId="0"/>
    <xf numFmtId="43" fontId="9" fillId="0" borderId="0"/>
    <xf numFmtId="43" fontId="9" fillId="0" borderId="0"/>
    <xf numFmtId="43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5" fillId="0" borderId="0"/>
    <xf numFmtId="9" fontId="5" fillId="0" borderId="0"/>
    <xf numFmtId="43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0" fontId="13" fillId="25" borderId="3"/>
    <xf numFmtId="0" fontId="13" fillId="25" borderId="3"/>
    <xf numFmtId="0" fontId="13" fillId="25" borderId="3"/>
    <xf numFmtId="0" fontId="20" fillId="12" borderId="3"/>
    <xf numFmtId="0" fontId="20" fillId="12" borderId="3"/>
    <xf numFmtId="0" fontId="20" fillId="12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0" fontId="13" fillId="47" borderId="3"/>
    <xf numFmtId="166" fontId="5" fillId="0" borderId="0"/>
    <xf numFmtId="0" fontId="20" fillId="34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13" fillId="25" borderId="3"/>
    <xf numFmtId="0" fontId="20" fillId="12" borderId="3"/>
    <xf numFmtId="0" fontId="5" fillId="0" borderId="0"/>
    <xf numFmtId="9" fontId="5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166" fontId="9" fillId="0" borderId="0"/>
    <xf numFmtId="0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166" fontId="9" fillId="0" borderId="0"/>
    <xf numFmtId="166" fontId="9" fillId="0" borderId="0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0" fontId="5" fillId="0" borderId="0"/>
    <xf numFmtId="0" fontId="5" fillId="0" borderId="0"/>
    <xf numFmtId="0" fontId="13" fillId="25" borderId="3"/>
    <xf numFmtId="0" fontId="13" fillId="25" borderId="3"/>
    <xf numFmtId="0" fontId="13" fillId="25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12" borderId="3"/>
    <xf numFmtId="0" fontId="20" fillId="12" borderId="3"/>
    <xf numFmtId="0" fontId="20" fillId="12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/>
    <xf numFmtId="0" fontId="5" fillId="0" borderId="0"/>
    <xf numFmtId="166" fontId="5" fillId="0" borderId="0"/>
    <xf numFmtId="169" fontId="9" fillId="0" borderId="0"/>
    <xf numFmtId="166" fontId="9" fillId="0" borderId="0"/>
    <xf numFmtId="0" fontId="13" fillId="47" borderId="3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5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0" fontId="20" fillId="34" borderId="3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  <xf numFmtId="0" fontId="13" fillId="25" borderId="3"/>
    <xf numFmtId="166" fontId="9" fillId="0" borderId="0"/>
    <xf numFmtId="166" fontId="9" fillId="0" borderId="0"/>
    <xf numFmtId="0" fontId="20" fillId="12" borderId="3"/>
    <xf numFmtId="166" fontId="9" fillId="0" borderId="0"/>
    <xf numFmtId="0" fontId="5" fillId="0" borderId="0"/>
    <xf numFmtId="9" fontId="5" fillId="0" borderId="0"/>
    <xf numFmtId="166" fontId="35" fillId="0" borderId="0"/>
    <xf numFmtId="166" fontId="9" fillId="0" borderId="0"/>
    <xf numFmtId="0" fontId="5" fillId="0" borderId="0"/>
    <xf numFmtId="166" fontId="5" fillId="0" borderId="0"/>
    <xf numFmtId="9" fontId="5" fillId="0" borderId="0"/>
    <xf numFmtId="166" fontId="9" fillId="0" borderId="0"/>
    <xf numFmtId="0" fontId="5" fillId="0" borderId="0"/>
    <xf numFmtId="0" fontId="5" fillId="0" borderId="0"/>
    <xf numFmtId="166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42" fillId="0" borderId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5" fillId="0" borderId="0" xfId="2"/>
    <xf numFmtId="49" fontId="6" fillId="5" borderId="2" xfId="2" applyNumberFormat="1" applyFont="1" applyFill="1" applyBorder="1" applyAlignment="1">
      <alignment horizontal="left" vertical="center"/>
    </xf>
    <xf numFmtId="49" fontId="7" fillId="6" borderId="2" xfId="2" applyNumberFormat="1" applyFont="1" applyFill="1" applyBorder="1" applyAlignment="1">
      <alignment horizontal="left" vertical="center"/>
    </xf>
    <xf numFmtId="0" fontId="7" fillId="6" borderId="2" xfId="2" applyFont="1" applyFill="1" applyBorder="1" applyAlignment="1">
      <alignment horizontal="right" vertical="center"/>
    </xf>
    <xf numFmtId="0" fontId="8" fillId="0" borderId="0" xfId="3" applyFont="1"/>
    <xf numFmtId="0" fontId="1" fillId="0" borderId="0" xfId="440" applyFont="1"/>
    <xf numFmtId="0" fontId="36" fillId="0" borderId="0" xfId="362" applyFont="1" applyAlignment="1">
      <alignment horizontal="center"/>
    </xf>
    <xf numFmtId="9" fontId="36" fillId="0" borderId="0" xfId="362" applyNumberFormat="1" applyFont="1" applyAlignment="1">
      <alignment horizontal="center"/>
    </xf>
    <xf numFmtId="1" fontId="37" fillId="0" borderId="0" xfId="424" applyNumberFormat="1" applyFont="1" applyAlignment="1">
      <alignment horizontal="left" vertical="center"/>
    </xf>
    <xf numFmtId="0" fontId="37" fillId="0" borderId="0" xfId="362" applyFont="1" applyAlignment="1">
      <alignment horizontal="left"/>
    </xf>
    <xf numFmtId="0" fontId="36" fillId="51" borderId="0" xfId="362" applyFont="1" applyFill="1" applyAlignment="1">
      <alignment horizontal="center"/>
    </xf>
    <xf numFmtId="164" fontId="36" fillId="51" borderId="0" xfId="362" applyNumberFormat="1" applyFont="1" applyFill="1"/>
    <xf numFmtId="165" fontId="37" fillId="50" borderId="0" xfId="441" applyNumberFormat="1" applyFont="1" applyFill="1"/>
    <xf numFmtId="0" fontId="1" fillId="51" borderId="0" xfId="440" applyFont="1" applyFill="1"/>
    <xf numFmtId="0" fontId="36" fillId="0" borderId="0" xfId="362" applyFont="1" applyAlignment="1">
      <alignment horizontal="left"/>
    </xf>
    <xf numFmtId="0" fontId="1" fillId="0" borderId="0" xfId="440" applyFont="1" applyAlignment="1">
      <alignment horizontal="left"/>
    </xf>
    <xf numFmtId="165" fontId="37" fillId="0" borderId="0" xfId="441" applyNumberFormat="1" applyFont="1"/>
    <xf numFmtId="43" fontId="1" fillId="0" borderId="0" xfId="1" applyFont="1"/>
    <xf numFmtId="165" fontId="38" fillId="0" borderId="0" xfId="441" applyNumberFormat="1" applyFont="1"/>
    <xf numFmtId="0" fontId="40" fillId="52" borderId="0" xfId="0" applyFont="1" applyFill="1"/>
    <xf numFmtId="0" fontId="0" fillId="52" borderId="0" xfId="0" applyFill="1"/>
    <xf numFmtId="0" fontId="39" fillId="52" borderId="0" xfId="0" applyFont="1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43" fontId="5" fillId="0" borderId="0" xfId="1"/>
    <xf numFmtId="2" fontId="41" fillId="57" borderId="2" xfId="1442" applyNumberFormat="1" applyFont="1" applyFill="1" applyBorder="1" applyAlignment="1">
      <alignment horizontal="right" vertical="center"/>
    </xf>
    <xf numFmtId="2" fontId="41" fillId="58" borderId="2" xfId="1442" applyNumberFormat="1" applyFont="1" applyFill="1" applyBorder="1" applyAlignment="1">
      <alignment horizontal="right" vertical="center"/>
    </xf>
    <xf numFmtId="2" fontId="41" fillId="59" borderId="2" xfId="1443" applyNumberFormat="1" applyFont="1" applyFill="1" applyBorder="1" applyAlignment="1">
      <alignment horizontal="right" vertical="center"/>
    </xf>
    <xf numFmtId="2" fontId="41" fillId="57" borderId="2" xfId="1443" applyNumberFormat="1" applyFont="1" applyFill="1" applyBorder="1" applyAlignment="1">
      <alignment horizontal="right" vertical="center"/>
    </xf>
    <xf numFmtId="2" fontId="41" fillId="58" borderId="2" xfId="1443" applyNumberFormat="1" applyFont="1" applyFill="1" applyBorder="1" applyAlignment="1">
      <alignment horizontal="right" vertical="center"/>
    </xf>
  </cellXfs>
  <cellStyles count="1444">
    <cellStyle name="20% - Accent1 2" xfId="5" xr:uid="{00000000-0005-0000-0000-000005000000}"/>
    <cellStyle name="20% - Accent1 2 2" xfId="396" xr:uid="{00000000-0005-0000-0000-00008C010000}"/>
    <cellStyle name="20% - Accent1 2 3" xfId="215" xr:uid="{00000000-0005-0000-0000-0000D7000000}"/>
    <cellStyle name="20% - Accent1 3" xfId="6" xr:uid="{00000000-0005-0000-0000-000006000000}"/>
    <cellStyle name="20% - Accent1 4" xfId="4" xr:uid="{00000000-0005-0000-0000-000004000000}"/>
    <cellStyle name="20% - Accent2 2" xfId="8" xr:uid="{00000000-0005-0000-0000-000008000000}"/>
    <cellStyle name="20% - Accent2 2 2" xfId="397" xr:uid="{00000000-0005-0000-0000-00008D010000}"/>
    <cellStyle name="20% - Accent2 2 3" xfId="216" xr:uid="{00000000-0005-0000-0000-0000D8000000}"/>
    <cellStyle name="20% - Accent2 3" xfId="9" xr:uid="{00000000-0005-0000-0000-000009000000}"/>
    <cellStyle name="20% - Accent2 4" xfId="7" xr:uid="{00000000-0005-0000-0000-000007000000}"/>
    <cellStyle name="20% - Accent3 2" xfId="11" xr:uid="{00000000-0005-0000-0000-00000B000000}"/>
    <cellStyle name="20% - Accent3 2 2" xfId="398" xr:uid="{00000000-0005-0000-0000-00008E010000}"/>
    <cellStyle name="20% - Accent3 2 3" xfId="217" xr:uid="{00000000-0005-0000-0000-0000D9000000}"/>
    <cellStyle name="20% - Accent3 3" xfId="12" xr:uid="{00000000-0005-0000-0000-00000C000000}"/>
    <cellStyle name="20% - Accent3 4" xfId="10" xr:uid="{00000000-0005-0000-0000-00000A000000}"/>
    <cellStyle name="20% - Accent4 2" xfId="14" xr:uid="{00000000-0005-0000-0000-00000E000000}"/>
    <cellStyle name="20% - Accent4 2 2" xfId="399" xr:uid="{00000000-0005-0000-0000-00008F010000}"/>
    <cellStyle name="20% - Accent4 2 3" xfId="218" xr:uid="{00000000-0005-0000-0000-0000DA000000}"/>
    <cellStyle name="20% - Accent4 3" xfId="15" xr:uid="{00000000-0005-0000-0000-00000F000000}"/>
    <cellStyle name="20% - Accent4 4" xfId="13" xr:uid="{00000000-0005-0000-0000-00000D000000}"/>
    <cellStyle name="20% - Accent5 2" xfId="17" xr:uid="{00000000-0005-0000-0000-000011000000}"/>
    <cellStyle name="20% - Accent5 2 2" xfId="400" xr:uid="{00000000-0005-0000-0000-000090010000}"/>
    <cellStyle name="20% - Accent5 2 3" xfId="219" xr:uid="{00000000-0005-0000-0000-0000DB000000}"/>
    <cellStyle name="20% - Accent5 3" xfId="18" xr:uid="{00000000-0005-0000-0000-000012000000}"/>
    <cellStyle name="20% - Accent5 4" xfId="16" xr:uid="{00000000-0005-0000-0000-000010000000}"/>
    <cellStyle name="20% - Accent6 2" xfId="20" xr:uid="{00000000-0005-0000-0000-000014000000}"/>
    <cellStyle name="20% - Accent6 2 2" xfId="401" xr:uid="{00000000-0005-0000-0000-000091010000}"/>
    <cellStyle name="20% - Accent6 2 3" xfId="220" xr:uid="{00000000-0005-0000-0000-0000DC000000}"/>
    <cellStyle name="20% - Accent6 3" xfId="21" xr:uid="{00000000-0005-0000-0000-000015000000}"/>
    <cellStyle name="20% - Accent6 4" xfId="19" xr:uid="{00000000-0005-0000-0000-000013000000}"/>
    <cellStyle name="40% - Accent1 2" xfId="23" xr:uid="{00000000-0005-0000-0000-000017000000}"/>
    <cellStyle name="40% - Accent1 2 2" xfId="402" xr:uid="{00000000-0005-0000-0000-000092010000}"/>
    <cellStyle name="40% - Accent1 2 3" xfId="221" xr:uid="{00000000-0005-0000-0000-0000DD000000}"/>
    <cellStyle name="40% - Accent1 3" xfId="24" xr:uid="{00000000-0005-0000-0000-000018000000}"/>
    <cellStyle name="40% - Accent1 4" xfId="22" xr:uid="{00000000-0005-0000-0000-000016000000}"/>
    <cellStyle name="40% - Accent2 2" xfId="26" xr:uid="{00000000-0005-0000-0000-00001A000000}"/>
    <cellStyle name="40% - Accent2 2 2" xfId="403" xr:uid="{00000000-0005-0000-0000-000093010000}"/>
    <cellStyle name="40% - Accent2 2 3" xfId="222" xr:uid="{00000000-0005-0000-0000-0000DE000000}"/>
    <cellStyle name="40% - Accent2 3" xfId="27" xr:uid="{00000000-0005-0000-0000-00001B000000}"/>
    <cellStyle name="40% - Accent2 4" xfId="25" xr:uid="{00000000-0005-0000-0000-000019000000}"/>
    <cellStyle name="40% - Accent3 2" xfId="29" xr:uid="{00000000-0005-0000-0000-00001D000000}"/>
    <cellStyle name="40% - Accent3 2 2" xfId="404" xr:uid="{00000000-0005-0000-0000-000094010000}"/>
    <cellStyle name="40% - Accent3 2 3" xfId="223" xr:uid="{00000000-0005-0000-0000-0000DF000000}"/>
    <cellStyle name="40% - Accent3 3" xfId="30" xr:uid="{00000000-0005-0000-0000-00001E000000}"/>
    <cellStyle name="40% - Accent3 4" xfId="28" xr:uid="{00000000-0005-0000-0000-00001C000000}"/>
    <cellStyle name="40% - Accent4 2" xfId="32" xr:uid="{00000000-0005-0000-0000-000020000000}"/>
    <cellStyle name="40% - Accent4 2 2" xfId="405" xr:uid="{00000000-0005-0000-0000-000095010000}"/>
    <cellStyle name="40% - Accent4 2 3" xfId="224" xr:uid="{00000000-0005-0000-0000-0000E0000000}"/>
    <cellStyle name="40% - Accent4 3" xfId="33" xr:uid="{00000000-0005-0000-0000-000021000000}"/>
    <cellStyle name="40% - Accent4 4" xfId="31" xr:uid="{00000000-0005-0000-0000-00001F000000}"/>
    <cellStyle name="40% - Accent5 2" xfId="35" xr:uid="{00000000-0005-0000-0000-000023000000}"/>
    <cellStyle name="40% - Accent5 2 2" xfId="406" xr:uid="{00000000-0005-0000-0000-000096010000}"/>
    <cellStyle name="40% - Accent5 2 3" xfId="225" xr:uid="{00000000-0005-0000-0000-0000E1000000}"/>
    <cellStyle name="40% - Accent5 3" xfId="36" xr:uid="{00000000-0005-0000-0000-000024000000}"/>
    <cellStyle name="40% - Accent5 4" xfId="34" xr:uid="{00000000-0005-0000-0000-000022000000}"/>
    <cellStyle name="40% - Accent6 2" xfId="38" xr:uid="{00000000-0005-0000-0000-000026000000}"/>
    <cellStyle name="40% - Accent6 2 2" xfId="407" xr:uid="{00000000-0005-0000-0000-000097010000}"/>
    <cellStyle name="40% - Accent6 2 3" xfId="226" xr:uid="{00000000-0005-0000-0000-0000E2000000}"/>
    <cellStyle name="40% - Accent6 3" xfId="39" xr:uid="{00000000-0005-0000-0000-000027000000}"/>
    <cellStyle name="40% - Accent6 4" xfId="37" xr:uid="{00000000-0005-0000-0000-000025000000}"/>
    <cellStyle name="60% - Accent1 2" xfId="41" xr:uid="{00000000-0005-0000-0000-000029000000}"/>
    <cellStyle name="60% - Accent1 2 2" xfId="408" xr:uid="{00000000-0005-0000-0000-000098010000}"/>
    <cellStyle name="60% - Accent1 2 3" xfId="227" xr:uid="{00000000-0005-0000-0000-0000E3000000}"/>
    <cellStyle name="60% - Accent1 3" xfId="42" xr:uid="{00000000-0005-0000-0000-00002A000000}"/>
    <cellStyle name="60% - Accent1 4" xfId="40" xr:uid="{00000000-0005-0000-0000-000028000000}"/>
    <cellStyle name="60% - Accent2 2" xfId="44" xr:uid="{00000000-0005-0000-0000-00002C000000}"/>
    <cellStyle name="60% - Accent2 2 2" xfId="409" xr:uid="{00000000-0005-0000-0000-000099010000}"/>
    <cellStyle name="60% - Accent2 2 3" xfId="228" xr:uid="{00000000-0005-0000-0000-0000E4000000}"/>
    <cellStyle name="60% - Accent2 3" xfId="45" xr:uid="{00000000-0005-0000-0000-00002D000000}"/>
    <cellStyle name="60% - Accent2 4" xfId="43" xr:uid="{00000000-0005-0000-0000-00002B000000}"/>
    <cellStyle name="60% - Accent3 2" xfId="47" xr:uid="{00000000-0005-0000-0000-00002F000000}"/>
    <cellStyle name="60% - Accent3 2 2" xfId="410" xr:uid="{00000000-0005-0000-0000-00009A010000}"/>
    <cellStyle name="60% - Accent3 2 3" xfId="229" xr:uid="{00000000-0005-0000-0000-0000E5000000}"/>
    <cellStyle name="60% - Accent3 3" xfId="48" xr:uid="{00000000-0005-0000-0000-000030000000}"/>
    <cellStyle name="60% - Accent3 4" xfId="46" xr:uid="{00000000-0005-0000-0000-00002E000000}"/>
    <cellStyle name="60% - Accent4 2" xfId="50" xr:uid="{00000000-0005-0000-0000-000032000000}"/>
    <cellStyle name="60% - Accent4 2 2" xfId="411" xr:uid="{00000000-0005-0000-0000-00009B010000}"/>
    <cellStyle name="60% - Accent4 2 3" xfId="230" xr:uid="{00000000-0005-0000-0000-0000E6000000}"/>
    <cellStyle name="60% - Accent4 3" xfId="51" xr:uid="{00000000-0005-0000-0000-000033000000}"/>
    <cellStyle name="60% - Accent4 4" xfId="49" xr:uid="{00000000-0005-0000-0000-000031000000}"/>
    <cellStyle name="60% - Accent5 2" xfId="53" xr:uid="{00000000-0005-0000-0000-000035000000}"/>
    <cellStyle name="60% - Accent5 2 2" xfId="412" xr:uid="{00000000-0005-0000-0000-00009C010000}"/>
    <cellStyle name="60% - Accent5 2 3" xfId="231" xr:uid="{00000000-0005-0000-0000-0000E7000000}"/>
    <cellStyle name="60% - Accent5 3" xfId="54" xr:uid="{00000000-0005-0000-0000-000036000000}"/>
    <cellStyle name="60% - Accent5 4" xfId="52" xr:uid="{00000000-0005-0000-0000-000034000000}"/>
    <cellStyle name="60% - Accent6 2" xfId="56" xr:uid="{00000000-0005-0000-0000-000038000000}"/>
    <cellStyle name="60% - Accent6 2 2" xfId="413" xr:uid="{00000000-0005-0000-0000-00009D010000}"/>
    <cellStyle name="60% - Accent6 2 3" xfId="232" xr:uid="{00000000-0005-0000-0000-0000E8000000}"/>
    <cellStyle name="60% - Accent6 3" xfId="57" xr:uid="{00000000-0005-0000-0000-000039000000}"/>
    <cellStyle name="60% - Accent6 4" xfId="55" xr:uid="{00000000-0005-0000-0000-000037000000}"/>
    <cellStyle name="Accent1 2" xfId="59" xr:uid="{00000000-0005-0000-0000-00003B000000}"/>
    <cellStyle name="Accent1 2 2" xfId="414" xr:uid="{00000000-0005-0000-0000-00009E010000}"/>
    <cellStyle name="Accent1 2 3" xfId="233" xr:uid="{00000000-0005-0000-0000-0000E9000000}"/>
    <cellStyle name="Accent1 3" xfId="60" xr:uid="{00000000-0005-0000-0000-00003C000000}"/>
    <cellStyle name="Accent1 4" xfId="58" xr:uid="{00000000-0005-0000-0000-00003A000000}"/>
    <cellStyle name="Accent2 2" xfId="62" xr:uid="{00000000-0005-0000-0000-00003E000000}"/>
    <cellStyle name="Accent2 2 2" xfId="415" xr:uid="{00000000-0005-0000-0000-00009F010000}"/>
    <cellStyle name="Accent2 2 3" xfId="234" xr:uid="{00000000-0005-0000-0000-0000EA000000}"/>
    <cellStyle name="Accent2 3" xfId="63" xr:uid="{00000000-0005-0000-0000-00003F000000}"/>
    <cellStyle name="Accent2 4" xfId="61" xr:uid="{00000000-0005-0000-0000-00003D000000}"/>
    <cellStyle name="Accent3 2" xfId="65" xr:uid="{00000000-0005-0000-0000-000041000000}"/>
    <cellStyle name="Accent3 2 2" xfId="416" xr:uid="{00000000-0005-0000-0000-0000A0010000}"/>
    <cellStyle name="Accent3 2 3" xfId="235" xr:uid="{00000000-0005-0000-0000-0000EB000000}"/>
    <cellStyle name="Accent3 3" xfId="66" xr:uid="{00000000-0005-0000-0000-000042000000}"/>
    <cellStyle name="Accent3 4" xfId="64" xr:uid="{00000000-0005-0000-0000-000040000000}"/>
    <cellStyle name="Accent4 2" xfId="68" xr:uid="{00000000-0005-0000-0000-000044000000}"/>
    <cellStyle name="Accent4 2 2" xfId="417" xr:uid="{00000000-0005-0000-0000-0000A1010000}"/>
    <cellStyle name="Accent4 2 3" xfId="236" xr:uid="{00000000-0005-0000-0000-0000EC000000}"/>
    <cellStyle name="Accent4 3" xfId="69" xr:uid="{00000000-0005-0000-0000-000045000000}"/>
    <cellStyle name="Accent4 4" xfId="67" xr:uid="{00000000-0005-0000-0000-000043000000}"/>
    <cellStyle name="Accent5 2" xfId="71" xr:uid="{00000000-0005-0000-0000-000047000000}"/>
    <cellStyle name="Accent5 2 2" xfId="418" xr:uid="{00000000-0005-0000-0000-0000A2010000}"/>
    <cellStyle name="Accent5 2 3" xfId="237" xr:uid="{00000000-0005-0000-0000-0000ED000000}"/>
    <cellStyle name="Accent5 3" xfId="72" xr:uid="{00000000-0005-0000-0000-000048000000}"/>
    <cellStyle name="Accent5 4" xfId="70" xr:uid="{00000000-0005-0000-0000-000046000000}"/>
    <cellStyle name="Accent6 2" xfId="74" xr:uid="{00000000-0005-0000-0000-00004A000000}"/>
    <cellStyle name="Accent6 2 2" xfId="419" xr:uid="{00000000-0005-0000-0000-0000A3010000}"/>
    <cellStyle name="Accent6 2 3" xfId="238" xr:uid="{00000000-0005-0000-0000-0000EE000000}"/>
    <cellStyle name="Accent6 3" xfId="75" xr:uid="{00000000-0005-0000-0000-00004B000000}"/>
    <cellStyle name="Accent6 4" xfId="73" xr:uid="{00000000-0005-0000-0000-000049000000}"/>
    <cellStyle name="Bad 2" xfId="77" xr:uid="{00000000-0005-0000-0000-00004D000000}"/>
    <cellStyle name="Bad 2 2" xfId="420" xr:uid="{00000000-0005-0000-0000-0000A4010000}"/>
    <cellStyle name="Bad 2 3" xfId="239" xr:uid="{00000000-0005-0000-0000-0000EF000000}"/>
    <cellStyle name="Bad 3" xfId="78" xr:uid="{00000000-0005-0000-0000-00004E000000}"/>
    <cellStyle name="Bad 4" xfId="76" xr:uid="{00000000-0005-0000-0000-00004C000000}"/>
    <cellStyle name="Calculation 2" xfId="80" xr:uid="{00000000-0005-0000-0000-000050000000}"/>
    <cellStyle name="Calculation 2 2" xfId="421" xr:uid="{00000000-0005-0000-0000-0000A5010000}"/>
    <cellStyle name="Calculation 2 2 2" xfId="557" xr:uid="{00000000-0005-0000-0000-00002D020000}"/>
    <cellStyle name="Calculation 2 2 2 2" xfId="786" xr:uid="{00000000-0005-0000-0000-000012030000}"/>
    <cellStyle name="Calculation 2 2 2 2 2" xfId="1373" xr:uid="{00000000-0005-0000-0000-00005D050000}"/>
    <cellStyle name="Calculation 2 2 2 2 3" xfId="934" xr:uid="{00000000-0005-0000-0000-0000A6030000}"/>
    <cellStyle name="Calculation 2 3" xfId="240" xr:uid="{00000000-0005-0000-0000-0000F0000000}"/>
    <cellStyle name="Calculation 2 3 2" xfId="475" xr:uid="{00000000-0005-0000-0000-0000DB010000}"/>
    <cellStyle name="Calculation 2 3 2 2" xfId="705" xr:uid="{00000000-0005-0000-0000-0000C1020000}"/>
    <cellStyle name="Calculation 2 3 2 2 2" xfId="1292" xr:uid="{00000000-0005-0000-0000-00000C050000}"/>
    <cellStyle name="Calculation 2 3 2 2 3" xfId="917" xr:uid="{00000000-0005-0000-0000-000095030000}"/>
    <cellStyle name="Calculation 2 4" xfId="447" xr:uid="{00000000-0005-0000-0000-0000BF010000}"/>
    <cellStyle name="Calculation 2 4 2" xfId="683" xr:uid="{00000000-0005-0000-0000-0000AB020000}"/>
    <cellStyle name="Calculation 2 4 2 2" xfId="1270" xr:uid="{00000000-0005-0000-0000-0000F6040000}"/>
    <cellStyle name="Calculation 2 4 2 3" xfId="903" xr:uid="{00000000-0005-0000-0000-000087030000}"/>
    <cellStyle name="Calculation 3" xfId="81" xr:uid="{00000000-0005-0000-0000-000051000000}"/>
    <cellStyle name="Calculation 3 2" xfId="448" xr:uid="{00000000-0005-0000-0000-0000C0010000}"/>
    <cellStyle name="Calculation 3 2 2" xfId="684" xr:uid="{00000000-0005-0000-0000-0000AC020000}"/>
    <cellStyle name="Calculation 3 2 2 2" xfId="1271" xr:uid="{00000000-0005-0000-0000-0000F7040000}"/>
    <cellStyle name="Calculation 3 2 2 3" xfId="904" xr:uid="{00000000-0005-0000-0000-000088030000}"/>
    <cellStyle name="Calculation 4" xfId="446" xr:uid="{00000000-0005-0000-0000-0000BE010000}"/>
    <cellStyle name="Calculation 4 2" xfId="682" xr:uid="{00000000-0005-0000-0000-0000AA020000}"/>
    <cellStyle name="Calculation 4 2 2" xfId="1269" xr:uid="{00000000-0005-0000-0000-0000F5040000}"/>
    <cellStyle name="Calculation 4 2 3" xfId="902" xr:uid="{00000000-0005-0000-0000-000086030000}"/>
    <cellStyle name="Calculation 5" xfId="79" xr:uid="{00000000-0005-0000-0000-00004F000000}"/>
    <cellStyle name="Check Cell 2" xfId="83" xr:uid="{00000000-0005-0000-0000-000053000000}"/>
    <cellStyle name="Check Cell 2 2" xfId="422" xr:uid="{00000000-0005-0000-0000-0000A6010000}"/>
    <cellStyle name="Check Cell 2 3" xfId="241" xr:uid="{00000000-0005-0000-0000-0000F1000000}"/>
    <cellStyle name="Check Cell 3" xfId="84" xr:uid="{00000000-0005-0000-0000-000054000000}"/>
    <cellStyle name="Check Cell 4" xfId="82" xr:uid="{00000000-0005-0000-0000-000052000000}"/>
    <cellStyle name="Comma" xfId="1" builtinId="3"/>
    <cellStyle name="Comma 10" xfId="242" xr:uid="{00000000-0005-0000-0000-0000F2000000}"/>
    <cellStyle name="Comma 10 2" xfId="243" xr:uid="{00000000-0005-0000-0000-0000F3000000}"/>
    <cellStyle name="Comma 10 2 2" xfId="477" xr:uid="{00000000-0005-0000-0000-0000DD010000}"/>
    <cellStyle name="Comma 10 2 2 2" xfId="707" xr:uid="{00000000-0005-0000-0000-0000C3020000}"/>
    <cellStyle name="Comma 10 2 2 2 2" xfId="1294" xr:uid="{00000000-0005-0000-0000-00000E050000}"/>
    <cellStyle name="Comma 10 2 2 3" xfId="1069" xr:uid="{00000000-0005-0000-0000-00002D040000}"/>
    <cellStyle name="Comma 10 2 3" xfId="592" xr:uid="{00000000-0005-0000-0000-000050020000}"/>
    <cellStyle name="Comma 10 2 3 2" xfId="1179" xr:uid="{00000000-0005-0000-0000-00009B040000}"/>
    <cellStyle name="Comma 10 2 4" xfId="961" xr:uid="{00000000-0005-0000-0000-0000C1030000}"/>
    <cellStyle name="Comma 10 3" xfId="476" xr:uid="{00000000-0005-0000-0000-0000DC010000}"/>
    <cellStyle name="Comma 10 3 2" xfId="706" xr:uid="{00000000-0005-0000-0000-0000C2020000}"/>
    <cellStyle name="Comma 10 3 2 2" xfId="1293" xr:uid="{00000000-0005-0000-0000-00000D050000}"/>
    <cellStyle name="Comma 10 3 3" xfId="1068" xr:uid="{00000000-0005-0000-0000-00002C040000}"/>
    <cellStyle name="Comma 10 4" xfId="591" xr:uid="{00000000-0005-0000-0000-00004F020000}"/>
    <cellStyle name="Comma 10 4 2" xfId="1178" xr:uid="{00000000-0005-0000-0000-00009A040000}"/>
    <cellStyle name="Comma 10 5" xfId="960" xr:uid="{00000000-0005-0000-0000-0000C0030000}"/>
    <cellStyle name="Comma 11" xfId="244" xr:uid="{00000000-0005-0000-0000-0000F4000000}"/>
    <cellStyle name="Comma 11 2" xfId="245" xr:uid="{00000000-0005-0000-0000-0000F5000000}"/>
    <cellStyle name="Comma 11 2 2" xfId="246" xr:uid="{00000000-0005-0000-0000-0000F6000000}"/>
    <cellStyle name="Comma 11 2 2 2" xfId="480" xr:uid="{00000000-0005-0000-0000-0000E0010000}"/>
    <cellStyle name="Comma 11 2 2 2 2" xfId="710" xr:uid="{00000000-0005-0000-0000-0000C6020000}"/>
    <cellStyle name="Comma 11 2 2 2 2 2" xfId="1297" xr:uid="{00000000-0005-0000-0000-000011050000}"/>
    <cellStyle name="Comma 11 2 2 2 3" xfId="1072" xr:uid="{00000000-0005-0000-0000-000030040000}"/>
    <cellStyle name="Comma 11 2 2 3" xfId="595" xr:uid="{00000000-0005-0000-0000-000053020000}"/>
    <cellStyle name="Comma 11 2 2 3 2" xfId="1182" xr:uid="{00000000-0005-0000-0000-00009E040000}"/>
    <cellStyle name="Comma 11 2 2 4" xfId="964" xr:uid="{00000000-0005-0000-0000-0000C4030000}"/>
    <cellStyle name="Comma 11 2 3" xfId="479" xr:uid="{00000000-0005-0000-0000-0000DF010000}"/>
    <cellStyle name="Comma 11 2 3 2" xfId="709" xr:uid="{00000000-0005-0000-0000-0000C5020000}"/>
    <cellStyle name="Comma 11 2 3 2 2" xfId="1296" xr:uid="{00000000-0005-0000-0000-000010050000}"/>
    <cellStyle name="Comma 11 2 3 3" xfId="1071" xr:uid="{00000000-0005-0000-0000-00002F040000}"/>
    <cellStyle name="Comma 11 2 4" xfId="594" xr:uid="{00000000-0005-0000-0000-000052020000}"/>
    <cellStyle name="Comma 11 2 4 2" xfId="1181" xr:uid="{00000000-0005-0000-0000-00009D040000}"/>
    <cellStyle name="Comma 11 2 5" xfId="963" xr:uid="{00000000-0005-0000-0000-0000C3030000}"/>
    <cellStyle name="Comma 11 3" xfId="247" xr:uid="{00000000-0005-0000-0000-0000F7000000}"/>
    <cellStyle name="Comma 11 3 2" xfId="481" xr:uid="{00000000-0005-0000-0000-0000E1010000}"/>
    <cellStyle name="Comma 11 3 2 2" xfId="711" xr:uid="{00000000-0005-0000-0000-0000C7020000}"/>
    <cellStyle name="Comma 11 3 2 2 2" xfId="1298" xr:uid="{00000000-0005-0000-0000-000012050000}"/>
    <cellStyle name="Comma 11 3 2 3" xfId="1073" xr:uid="{00000000-0005-0000-0000-000031040000}"/>
    <cellStyle name="Comma 11 3 3" xfId="596" xr:uid="{00000000-0005-0000-0000-000054020000}"/>
    <cellStyle name="Comma 11 3 3 2" xfId="1183" xr:uid="{00000000-0005-0000-0000-00009F040000}"/>
    <cellStyle name="Comma 11 3 4" xfId="965" xr:uid="{00000000-0005-0000-0000-0000C5030000}"/>
    <cellStyle name="Comma 11 4" xfId="478" xr:uid="{00000000-0005-0000-0000-0000DE010000}"/>
    <cellStyle name="Comma 11 4 2" xfId="708" xr:uid="{00000000-0005-0000-0000-0000C4020000}"/>
    <cellStyle name="Comma 11 4 2 2" xfId="1295" xr:uid="{00000000-0005-0000-0000-00000F050000}"/>
    <cellStyle name="Comma 11 4 3" xfId="1070" xr:uid="{00000000-0005-0000-0000-00002E040000}"/>
    <cellStyle name="Comma 11 5" xfId="593" xr:uid="{00000000-0005-0000-0000-000051020000}"/>
    <cellStyle name="Comma 11 5 2" xfId="1180" xr:uid="{00000000-0005-0000-0000-00009C040000}"/>
    <cellStyle name="Comma 11 6" xfId="962" xr:uid="{00000000-0005-0000-0000-0000C2030000}"/>
    <cellStyle name="Comma 12" xfId="248" xr:uid="{00000000-0005-0000-0000-0000F8000000}"/>
    <cellStyle name="Comma 12 2" xfId="249" xr:uid="{00000000-0005-0000-0000-0000F9000000}"/>
    <cellStyle name="Comma 12 2 2" xfId="483" xr:uid="{00000000-0005-0000-0000-0000E3010000}"/>
    <cellStyle name="Comma 12 2 2 2" xfId="713" xr:uid="{00000000-0005-0000-0000-0000C9020000}"/>
    <cellStyle name="Comma 12 2 2 2 2" xfId="1300" xr:uid="{00000000-0005-0000-0000-000014050000}"/>
    <cellStyle name="Comma 12 2 2 3" xfId="1075" xr:uid="{00000000-0005-0000-0000-000033040000}"/>
    <cellStyle name="Comma 12 2 3" xfId="598" xr:uid="{00000000-0005-0000-0000-000056020000}"/>
    <cellStyle name="Comma 12 2 3 2" xfId="1185" xr:uid="{00000000-0005-0000-0000-0000A1040000}"/>
    <cellStyle name="Comma 12 2 4" xfId="967" xr:uid="{00000000-0005-0000-0000-0000C7030000}"/>
    <cellStyle name="Comma 12 3" xfId="482" xr:uid="{00000000-0005-0000-0000-0000E2010000}"/>
    <cellStyle name="Comma 12 3 2" xfId="712" xr:uid="{00000000-0005-0000-0000-0000C8020000}"/>
    <cellStyle name="Comma 12 3 2 2" xfId="1299" xr:uid="{00000000-0005-0000-0000-000013050000}"/>
    <cellStyle name="Comma 12 3 3" xfId="1074" xr:uid="{00000000-0005-0000-0000-000032040000}"/>
    <cellStyle name="Comma 12 4" xfId="597" xr:uid="{00000000-0005-0000-0000-000055020000}"/>
    <cellStyle name="Comma 12 4 2" xfId="1184" xr:uid="{00000000-0005-0000-0000-0000A0040000}"/>
    <cellStyle name="Comma 12 5" xfId="966" xr:uid="{00000000-0005-0000-0000-0000C6030000}"/>
    <cellStyle name="Comma 13" xfId="250" xr:uid="{00000000-0005-0000-0000-0000FA000000}"/>
    <cellStyle name="Comma 13 2" xfId="251" xr:uid="{00000000-0005-0000-0000-0000FB000000}"/>
    <cellStyle name="Comma 13 2 2" xfId="485" xr:uid="{00000000-0005-0000-0000-0000E5010000}"/>
    <cellStyle name="Comma 13 2 2 2" xfId="715" xr:uid="{00000000-0005-0000-0000-0000CB020000}"/>
    <cellStyle name="Comma 13 2 2 2 2" xfId="1302" xr:uid="{00000000-0005-0000-0000-000016050000}"/>
    <cellStyle name="Comma 13 2 2 3" xfId="1077" xr:uid="{00000000-0005-0000-0000-000035040000}"/>
    <cellStyle name="Comma 13 2 3" xfId="600" xr:uid="{00000000-0005-0000-0000-000058020000}"/>
    <cellStyle name="Comma 13 2 3 2" xfId="1187" xr:uid="{00000000-0005-0000-0000-0000A3040000}"/>
    <cellStyle name="Comma 13 2 4" xfId="969" xr:uid="{00000000-0005-0000-0000-0000C9030000}"/>
    <cellStyle name="Comma 13 3" xfId="484" xr:uid="{00000000-0005-0000-0000-0000E4010000}"/>
    <cellStyle name="Comma 13 3 2" xfId="714" xr:uid="{00000000-0005-0000-0000-0000CA020000}"/>
    <cellStyle name="Comma 13 3 2 2" xfId="1301" xr:uid="{00000000-0005-0000-0000-000015050000}"/>
    <cellStyle name="Comma 13 3 3" xfId="1076" xr:uid="{00000000-0005-0000-0000-000034040000}"/>
    <cellStyle name="Comma 13 4" xfId="599" xr:uid="{00000000-0005-0000-0000-000057020000}"/>
    <cellStyle name="Comma 13 4 2" xfId="1186" xr:uid="{00000000-0005-0000-0000-0000A2040000}"/>
    <cellStyle name="Comma 13 5" xfId="968" xr:uid="{00000000-0005-0000-0000-0000C8030000}"/>
    <cellStyle name="Comma 14" xfId="252" xr:uid="{00000000-0005-0000-0000-0000FC000000}"/>
    <cellStyle name="Comma 14 2" xfId="486" xr:uid="{00000000-0005-0000-0000-0000E6010000}"/>
    <cellStyle name="Comma 14 2 2" xfId="716" xr:uid="{00000000-0005-0000-0000-0000CC020000}"/>
    <cellStyle name="Comma 14 2 2 2" xfId="1303" xr:uid="{00000000-0005-0000-0000-000017050000}"/>
    <cellStyle name="Comma 14 2 3" xfId="1078" xr:uid="{00000000-0005-0000-0000-000036040000}"/>
    <cellStyle name="Comma 14 3" xfId="601" xr:uid="{00000000-0005-0000-0000-000059020000}"/>
    <cellStyle name="Comma 14 3 2" xfId="1188" xr:uid="{00000000-0005-0000-0000-0000A4040000}"/>
    <cellStyle name="Comma 14 4" xfId="970" xr:uid="{00000000-0005-0000-0000-0000CA030000}"/>
    <cellStyle name="Comma 15" xfId="253" xr:uid="{00000000-0005-0000-0000-0000FD000000}"/>
    <cellStyle name="Comma 15 2" xfId="487" xr:uid="{00000000-0005-0000-0000-0000E7010000}"/>
    <cellStyle name="Comma 15 2 2" xfId="717" xr:uid="{00000000-0005-0000-0000-0000CD020000}"/>
    <cellStyle name="Comma 15 2 2 2" xfId="1304" xr:uid="{00000000-0005-0000-0000-000018050000}"/>
    <cellStyle name="Comma 15 2 3" xfId="1079" xr:uid="{00000000-0005-0000-0000-000037040000}"/>
    <cellStyle name="Comma 15 3" xfId="602" xr:uid="{00000000-0005-0000-0000-00005A020000}"/>
    <cellStyle name="Comma 15 3 2" xfId="1189" xr:uid="{00000000-0005-0000-0000-0000A5040000}"/>
    <cellStyle name="Comma 15 4" xfId="971" xr:uid="{00000000-0005-0000-0000-0000CB030000}"/>
    <cellStyle name="Comma 16" xfId="254" xr:uid="{00000000-0005-0000-0000-0000FE000000}"/>
    <cellStyle name="Comma 16 2" xfId="488" xr:uid="{00000000-0005-0000-0000-0000E8010000}"/>
    <cellStyle name="Comma 16 2 2" xfId="718" xr:uid="{00000000-0005-0000-0000-0000CE020000}"/>
    <cellStyle name="Comma 16 2 2 2" xfId="1305" xr:uid="{00000000-0005-0000-0000-000019050000}"/>
    <cellStyle name="Comma 16 2 3" xfId="1080" xr:uid="{00000000-0005-0000-0000-000038040000}"/>
    <cellStyle name="Comma 16 3" xfId="603" xr:uid="{00000000-0005-0000-0000-00005B020000}"/>
    <cellStyle name="Comma 16 3 2" xfId="1190" xr:uid="{00000000-0005-0000-0000-0000A6040000}"/>
    <cellStyle name="Comma 16 4" xfId="972" xr:uid="{00000000-0005-0000-0000-0000CC030000}"/>
    <cellStyle name="Comma 17" xfId="255" xr:uid="{00000000-0005-0000-0000-0000FF000000}"/>
    <cellStyle name="Comma 17 2" xfId="489" xr:uid="{00000000-0005-0000-0000-0000E9010000}"/>
    <cellStyle name="Comma 17 2 2" xfId="719" xr:uid="{00000000-0005-0000-0000-0000CF020000}"/>
    <cellStyle name="Comma 17 2 2 2" xfId="1306" xr:uid="{00000000-0005-0000-0000-00001A050000}"/>
    <cellStyle name="Comma 17 2 3" xfId="1081" xr:uid="{00000000-0005-0000-0000-000039040000}"/>
    <cellStyle name="Comma 17 3" xfId="604" xr:uid="{00000000-0005-0000-0000-00005C020000}"/>
    <cellStyle name="Comma 17 3 2" xfId="1191" xr:uid="{00000000-0005-0000-0000-0000A7040000}"/>
    <cellStyle name="Comma 17 4" xfId="973" xr:uid="{00000000-0005-0000-0000-0000CD030000}"/>
    <cellStyle name="Comma 18" xfId="256" xr:uid="{00000000-0005-0000-0000-000000010000}"/>
    <cellStyle name="Comma 18 2" xfId="490" xr:uid="{00000000-0005-0000-0000-0000EA010000}"/>
    <cellStyle name="Comma 18 2 2" xfId="720" xr:uid="{00000000-0005-0000-0000-0000D0020000}"/>
    <cellStyle name="Comma 18 2 2 2" xfId="1307" xr:uid="{00000000-0005-0000-0000-00001B050000}"/>
    <cellStyle name="Comma 18 2 3" xfId="1082" xr:uid="{00000000-0005-0000-0000-00003A040000}"/>
    <cellStyle name="Comma 18 3" xfId="605" xr:uid="{00000000-0005-0000-0000-00005D020000}"/>
    <cellStyle name="Comma 18 3 2" xfId="1192" xr:uid="{00000000-0005-0000-0000-0000A8040000}"/>
    <cellStyle name="Comma 18 4" xfId="974" xr:uid="{00000000-0005-0000-0000-0000CE030000}"/>
    <cellStyle name="Comma 19" xfId="423" xr:uid="{00000000-0005-0000-0000-0000A7010000}"/>
    <cellStyle name="Comma 19 2" xfId="558" xr:uid="{00000000-0005-0000-0000-00002E020000}"/>
    <cellStyle name="Comma 19 2 2" xfId="787" xr:uid="{00000000-0005-0000-0000-000013030000}"/>
    <cellStyle name="Comma 19 2 2 2" xfId="1374" xr:uid="{00000000-0005-0000-0000-00005E050000}"/>
    <cellStyle name="Comma 19 2 3" xfId="1147" xr:uid="{00000000-0005-0000-0000-00007B040000}"/>
    <cellStyle name="Comma 19 3" xfId="670" xr:uid="{00000000-0005-0000-0000-00009E020000}"/>
    <cellStyle name="Comma 19 3 2" xfId="1257" xr:uid="{00000000-0005-0000-0000-0000E9040000}"/>
    <cellStyle name="Comma 19 4" xfId="1039" xr:uid="{00000000-0005-0000-0000-00000F040000}"/>
    <cellStyle name="Comma 2" xfId="85" xr:uid="{00000000-0005-0000-0000-000055000000}"/>
    <cellStyle name="Comma 2 2" xfId="86" xr:uid="{00000000-0005-0000-0000-000056000000}"/>
    <cellStyle name="Comma 2 2 2" xfId="257" xr:uid="{00000000-0005-0000-0000-000001010000}"/>
    <cellStyle name="Comma 2 2 2 2" xfId="258" xr:uid="{00000000-0005-0000-0000-000002010000}"/>
    <cellStyle name="Comma 2 2 2 3" xfId="259" xr:uid="{00000000-0005-0000-0000-000003010000}"/>
    <cellStyle name="Comma 2 2 2 3 2" xfId="492" xr:uid="{00000000-0005-0000-0000-0000EC010000}"/>
    <cellStyle name="Comma 2 2 2 3 2 2" xfId="722" xr:uid="{00000000-0005-0000-0000-0000D2020000}"/>
    <cellStyle name="Comma 2 2 2 3 2 2 2" xfId="1309" xr:uid="{00000000-0005-0000-0000-00001D050000}"/>
    <cellStyle name="Comma 2 2 2 3 2 3" xfId="1084" xr:uid="{00000000-0005-0000-0000-00003C040000}"/>
    <cellStyle name="Comma 2 2 2 3 3" xfId="607" xr:uid="{00000000-0005-0000-0000-00005F020000}"/>
    <cellStyle name="Comma 2 2 2 3 3 2" xfId="1194" xr:uid="{00000000-0005-0000-0000-0000AA040000}"/>
    <cellStyle name="Comma 2 2 2 3 4" xfId="976" xr:uid="{00000000-0005-0000-0000-0000D0030000}"/>
    <cellStyle name="Comma 2 2 2 4" xfId="260" xr:uid="{00000000-0005-0000-0000-000004010000}"/>
    <cellStyle name="Comma 2 2 2 4 2" xfId="493" xr:uid="{00000000-0005-0000-0000-0000ED010000}"/>
    <cellStyle name="Comma 2 2 2 4 2 2" xfId="723" xr:uid="{00000000-0005-0000-0000-0000D3020000}"/>
    <cellStyle name="Comma 2 2 2 4 2 2 2" xfId="1310" xr:uid="{00000000-0005-0000-0000-00001E050000}"/>
    <cellStyle name="Comma 2 2 2 4 2 3" xfId="1085" xr:uid="{00000000-0005-0000-0000-00003D040000}"/>
    <cellStyle name="Comma 2 2 2 4 3" xfId="608" xr:uid="{00000000-0005-0000-0000-000060020000}"/>
    <cellStyle name="Comma 2 2 2 4 3 2" xfId="1195" xr:uid="{00000000-0005-0000-0000-0000AB040000}"/>
    <cellStyle name="Comma 2 2 2 4 4" xfId="977" xr:uid="{00000000-0005-0000-0000-0000D1030000}"/>
    <cellStyle name="Comma 2 2 2 5" xfId="491" xr:uid="{00000000-0005-0000-0000-0000EB010000}"/>
    <cellStyle name="Comma 2 2 2 5 2" xfId="721" xr:uid="{00000000-0005-0000-0000-0000D1020000}"/>
    <cellStyle name="Comma 2 2 2 5 2 2" xfId="1308" xr:uid="{00000000-0005-0000-0000-00001C050000}"/>
    <cellStyle name="Comma 2 2 2 5 3" xfId="1083" xr:uid="{00000000-0005-0000-0000-00003B040000}"/>
    <cellStyle name="Comma 2 2 2 6" xfId="606" xr:uid="{00000000-0005-0000-0000-00005E020000}"/>
    <cellStyle name="Comma 2 2 2 6 2" xfId="1193" xr:uid="{00000000-0005-0000-0000-0000A9040000}"/>
    <cellStyle name="Comma 2 2 2 7" xfId="975" xr:uid="{00000000-0005-0000-0000-0000CF030000}"/>
    <cellStyle name="Comma 2 2 3" xfId="261" xr:uid="{00000000-0005-0000-0000-000005010000}"/>
    <cellStyle name="Comma 2 2 3 2" xfId="262" xr:uid="{00000000-0005-0000-0000-000006010000}"/>
    <cellStyle name="Comma 2 2 3 3" xfId="494" xr:uid="{00000000-0005-0000-0000-0000EE010000}"/>
    <cellStyle name="Comma 2 2 3 3 2" xfId="724" xr:uid="{00000000-0005-0000-0000-0000D4020000}"/>
    <cellStyle name="Comma 2 2 3 3 2 2" xfId="1311" xr:uid="{00000000-0005-0000-0000-00001F050000}"/>
    <cellStyle name="Comma 2 2 3 3 3" xfId="1086" xr:uid="{00000000-0005-0000-0000-00003E040000}"/>
    <cellStyle name="Comma 2 2 3 4" xfId="609" xr:uid="{00000000-0005-0000-0000-000061020000}"/>
    <cellStyle name="Comma 2 2 3 4 2" xfId="1196" xr:uid="{00000000-0005-0000-0000-0000AC040000}"/>
    <cellStyle name="Comma 2 2 3 5" xfId="978" xr:uid="{00000000-0005-0000-0000-0000D2030000}"/>
    <cellStyle name="Comma 2 2 4" xfId="263" xr:uid="{00000000-0005-0000-0000-000007010000}"/>
    <cellStyle name="Comma 2 2 4 2" xfId="495" xr:uid="{00000000-0005-0000-0000-0000EF010000}"/>
    <cellStyle name="Comma 2 2 4 2 2" xfId="725" xr:uid="{00000000-0005-0000-0000-0000D5020000}"/>
    <cellStyle name="Comma 2 2 4 2 2 2" xfId="1312" xr:uid="{00000000-0005-0000-0000-000020050000}"/>
    <cellStyle name="Comma 2 2 4 2 3" xfId="1087" xr:uid="{00000000-0005-0000-0000-00003F040000}"/>
    <cellStyle name="Comma 2 2 4 3" xfId="610" xr:uid="{00000000-0005-0000-0000-000062020000}"/>
    <cellStyle name="Comma 2 2 4 3 2" xfId="1197" xr:uid="{00000000-0005-0000-0000-0000AD040000}"/>
    <cellStyle name="Comma 2 2 4 4" xfId="979" xr:uid="{00000000-0005-0000-0000-0000D3030000}"/>
    <cellStyle name="Comma 2 2 5" xfId="264" xr:uid="{00000000-0005-0000-0000-000008010000}"/>
    <cellStyle name="Comma 2 2 5 2" xfId="496" xr:uid="{00000000-0005-0000-0000-0000F0010000}"/>
    <cellStyle name="Comma 2 2 5 2 2" xfId="726" xr:uid="{00000000-0005-0000-0000-0000D6020000}"/>
    <cellStyle name="Comma 2 2 5 2 2 2" xfId="1313" xr:uid="{00000000-0005-0000-0000-000021050000}"/>
    <cellStyle name="Comma 2 2 5 2 3" xfId="1088" xr:uid="{00000000-0005-0000-0000-000040040000}"/>
    <cellStyle name="Comma 2 2 5 3" xfId="611" xr:uid="{00000000-0005-0000-0000-000063020000}"/>
    <cellStyle name="Comma 2 2 5 3 2" xfId="1198" xr:uid="{00000000-0005-0000-0000-0000AE040000}"/>
    <cellStyle name="Comma 2 2 5 4" xfId="980" xr:uid="{00000000-0005-0000-0000-0000D4030000}"/>
    <cellStyle name="Comma 2 2 6" xfId="265" xr:uid="{00000000-0005-0000-0000-000009010000}"/>
    <cellStyle name="Comma 2 2 6 2" xfId="497" xr:uid="{00000000-0005-0000-0000-0000F1010000}"/>
    <cellStyle name="Comma 2 2 6 2 2" xfId="727" xr:uid="{00000000-0005-0000-0000-0000D7020000}"/>
    <cellStyle name="Comma 2 2 6 2 2 2" xfId="1314" xr:uid="{00000000-0005-0000-0000-000022050000}"/>
    <cellStyle name="Comma 2 2 6 2 3" xfId="1089" xr:uid="{00000000-0005-0000-0000-000041040000}"/>
    <cellStyle name="Comma 2 2 6 3" xfId="612" xr:uid="{00000000-0005-0000-0000-000064020000}"/>
    <cellStyle name="Comma 2 2 6 3 2" xfId="1199" xr:uid="{00000000-0005-0000-0000-0000AF040000}"/>
    <cellStyle name="Comma 2 2 6 4" xfId="981" xr:uid="{00000000-0005-0000-0000-0000D5030000}"/>
    <cellStyle name="Comma 2 2 7" xfId="449" xr:uid="{00000000-0005-0000-0000-0000C1010000}"/>
    <cellStyle name="Comma 2 2 7 2" xfId="685" xr:uid="{00000000-0005-0000-0000-0000AD020000}"/>
    <cellStyle name="Comma 2 2 7 2 2" xfId="1272" xr:uid="{00000000-0005-0000-0000-0000F8040000}"/>
    <cellStyle name="Comma 2 2 7 3" xfId="1051" xr:uid="{00000000-0005-0000-0000-00001B040000}"/>
    <cellStyle name="Comma 2 2 8" xfId="574" xr:uid="{00000000-0005-0000-0000-00003E020000}"/>
    <cellStyle name="Comma 2 2 8 2" xfId="1161" xr:uid="{00000000-0005-0000-0000-000089040000}"/>
    <cellStyle name="Comma 2 2 9" xfId="943" xr:uid="{00000000-0005-0000-0000-0000AF030000}"/>
    <cellStyle name="Comma 2 3" xfId="266" xr:uid="{00000000-0005-0000-0000-00000A010000}"/>
    <cellStyle name="Comma 2 3 2" xfId="267" xr:uid="{00000000-0005-0000-0000-00000B010000}"/>
    <cellStyle name="Comma 2 3 2 2" xfId="268" xr:uid="{00000000-0005-0000-0000-00000C010000}"/>
    <cellStyle name="Comma 2 3 2 3" xfId="499" xr:uid="{00000000-0005-0000-0000-0000F3010000}"/>
    <cellStyle name="Comma 2 3 2 3 2" xfId="729" xr:uid="{00000000-0005-0000-0000-0000D9020000}"/>
    <cellStyle name="Comma 2 3 2 3 2 2" xfId="1316" xr:uid="{00000000-0005-0000-0000-000024050000}"/>
    <cellStyle name="Comma 2 3 2 3 3" xfId="1091" xr:uid="{00000000-0005-0000-0000-000043040000}"/>
    <cellStyle name="Comma 2 3 2 4" xfId="614" xr:uid="{00000000-0005-0000-0000-000066020000}"/>
    <cellStyle name="Comma 2 3 2 4 2" xfId="1201" xr:uid="{00000000-0005-0000-0000-0000B1040000}"/>
    <cellStyle name="Comma 2 3 2 5" xfId="983" xr:uid="{00000000-0005-0000-0000-0000D7030000}"/>
    <cellStyle name="Comma 2 3 3" xfId="269" xr:uid="{00000000-0005-0000-0000-00000D010000}"/>
    <cellStyle name="Comma 2 3 3 2" xfId="500" xr:uid="{00000000-0005-0000-0000-0000F4010000}"/>
    <cellStyle name="Comma 2 3 3 2 2" xfId="730" xr:uid="{00000000-0005-0000-0000-0000DA020000}"/>
    <cellStyle name="Comma 2 3 3 2 2 2" xfId="1317" xr:uid="{00000000-0005-0000-0000-000025050000}"/>
    <cellStyle name="Comma 2 3 3 2 3" xfId="1092" xr:uid="{00000000-0005-0000-0000-000044040000}"/>
    <cellStyle name="Comma 2 3 3 3" xfId="615" xr:uid="{00000000-0005-0000-0000-000067020000}"/>
    <cellStyle name="Comma 2 3 3 3 2" xfId="1202" xr:uid="{00000000-0005-0000-0000-0000B2040000}"/>
    <cellStyle name="Comma 2 3 3 4" xfId="984" xr:uid="{00000000-0005-0000-0000-0000D8030000}"/>
    <cellStyle name="Comma 2 3 4" xfId="498" xr:uid="{00000000-0005-0000-0000-0000F2010000}"/>
    <cellStyle name="Comma 2 3 4 2" xfId="728" xr:uid="{00000000-0005-0000-0000-0000D8020000}"/>
    <cellStyle name="Comma 2 3 4 2 2" xfId="1315" xr:uid="{00000000-0005-0000-0000-000023050000}"/>
    <cellStyle name="Comma 2 3 4 3" xfId="1090" xr:uid="{00000000-0005-0000-0000-000042040000}"/>
    <cellStyle name="Comma 2 3 5" xfId="613" xr:uid="{00000000-0005-0000-0000-000065020000}"/>
    <cellStyle name="Comma 2 3 5 2" xfId="1200" xr:uid="{00000000-0005-0000-0000-0000B0040000}"/>
    <cellStyle name="Comma 2 3 6" xfId="982" xr:uid="{00000000-0005-0000-0000-0000D6030000}"/>
    <cellStyle name="Comma 2 4" xfId="270" xr:uid="{00000000-0005-0000-0000-00000E010000}"/>
    <cellStyle name="Comma 2 4 2" xfId="271" xr:uid="{00000000-0005-0000-0000-00000F010000}"/>
    <cellStyle name="Comma 2 4 2 2" xfId="502" xr:uid="{00000000-0005-0000-0000-0000F6010000}"/>
    <cellStyle name="Comma 2 4 2 2 2" xfId="732" xr:uid="{00000000-0005-0000-0000-0000DC020000}"/>
    <cellStyle name="Comma 2 4 2 2 2 2" xfId="1319" xr:uid="{00000000-0005-0000-0000-000027050000}"/>
    <cellStyle name="Comma 2 4 2 2 3" xfId="1094" xr:uid="{00000000-0005-0000-0000-000046040000}"/>
    <cellStyle name="Comma 2 4 2 3" xfId="617" xr:uid="{00000000-0005-0000-0000-000069020000}"/>
    <cellStyle name="Comma 2 4 2 3 2" xfId="1204" xr:uid="{00000000-0005-0000-0000-0000B4040000}"/>
    <cellStyle name="Comma 2 4 2 4" xfId="986" xr:uid="{00000000-0005-0000-0000-0000DA030000}"/>
    <cellStyle name="Comma 2 4 3" xfId="501" xr:uid="{00000000-0005-0000-0000-0000F5010000}"/>
    <cellStyle name="Comma 2 4 3 2" xfId="731" xr:uid="{00000000-0005-0000-0000-0000DB020000}"/>
    <cellStyle name="Comma 2 4 3 2 2" xfId="1318" xr:uid="{00000000-0005-0000-0000-000026050000}"/>
    <cellStyle name="Comma 2 4 3 3" xfId="1093" xr:uid="{00000000-0005-0000-0000-000045040000}"/>
    <cellStyle name="Comma 2 4 4" xfId="616" xr:uid="{00000000-0005-0000-0000-000068020000}"/>
    <cellStyle name="Comma 2 4 4 2" xfId="1203" xr:uid="{00000000-0005-0000-0000-0000B3040000}"/>
    <cellStyle name="Comma 2 4 5" xfId="985" xr:uid="{00000000-0005-0000-0000-0000D9030000}"/>
    <cellStyle name="Comma 2 5" xfId="272" xr:uid="{00000000-0005-0000-0000-000010010000}"/>
    <cellStyle name="Comma 2 5 2" xfId="273" xr:uid="{00000000-0005-0000-0000-000011010000}"/>
    <cellStyle name="Comma 2 5 2 2" xfId="504" xr:uid="{00000000-0005-0000-0000-0000F8010000}"/>
    <cellStyle name="Comma 2 5 2 2 2" xfId="734" xr:uid="{00000000-0005-0000-0000-0000DE020000}"/>
    <cellStyle name="Comma 2 5 2 2 2 2" xfId="1321" xr:uid="{00000000-0005-0000-0000-000029050000}"/>
    <cellStyle name="Comma 2 5 2 2 3" xfId="1096" xr:uid="{00000000-0005-0000-0000-000048040000}"/>
    <cellStyle name="Comma 2 5 2 3" xfId="619" xr:uid="{00000000-0005-0000-0000-00006B020000}"/>
    <cellStyle name="Comma 2 5 2 3 2" xfId="1206" xr:uid="{00000000-0005-0000-0000-0000B6040000}"/>
    <cellStyle name="Comma 2 5 2 4" xfId="988" xr:uid="{00000000-0005-0000-0000-0000DC030000}"/>
    <cellStyle name="Comma 2 5 3" xfId="503" xr:uid="{00000000-0005-0000-0000-0000F7010000}"/>
    <cellStyle name="Comma 2 5 3 2" xfId="733" xr:uid="{00000000-0005-0000-0000-0000DD020000}"/>
    <cellStyle name="Comma 2 5 3 2 2" xfId="1320" xr:uid="{00000000-0005-0000-0000-000028050000}"/>
    <cellStyle name="Comma 2 5 3 3" xfId="1095" xr:uid="{00000000-0005-0000-0000-000047040000}"/>
    <cellStyle name="Comma 2 5 4" xfId="618" xr:uid="{00000000-0005-0000-0000-00006A020000}"/>
    <cellStyle name="Comma 2 5 4 2" xfId="1205" xr:uid="{00000000-0005-0000-0000-0000B5040000}"/>
    <cellStyle name="Comma 2 5 5" xfId="987" xr:uid="{00000000-0005-0000-0000-0000DB030000}"/>
    <cellStyle name="Comma 2 6" xfId="274" xr:uid="{00000000-0005-0000-0000-000012010000}"/>
    <cellStyle name="Comma 2 6 2" xfId="275" xr:uid="{00000000-0005-0000-0000-000013010000}"/>
    <cellStyle name="Comma 2 6 2 2" xfId="506" xr:uid="{00000000-0005-0000-0000-0000FA010000}"/>
    <cellStyle name="Comma 2 6 2 2 2" xfId="736" xr:uid="{00000000-0005-0000-0000-0000E0020000}"/>
    <cellStyle name="Comma 2 6 2 2 2 2" xfId="1323" xr:uid="{00000000-0005-0000-0000-00002B050000}"/>
    <cellStyle name="Comma 2 6 2 2 3" xfId="1098" xr:uid="{00000000-0005-0000-0000-00004A040000}"/>
    <cellStyle name="Comma 2 6 2 3" xfId="621" xr:uid="{00000000-0005-0000-0000-00006D020000}"/>
    <cellStyle name="Comma 2 6 2 3 2" xfId="1208" xr:uid="{00000000-0005-0000-0000-0000B8040000}"/>
    <cellStyle name="Comma 2 6 2 4" xfId="990" xr:uid="{00000000-0005-0000-0000-0000DE030000}"/>
    <cellStyle name="Comma 2 6 3" xfId="505" xr:uid="{00000000-0005-0000-0000-0000F9010000}"/>
    <cellStyle name="Comma 2 6 3 2" xfId="735" xr:uid="{00000000-0005-0000-0000-0000DF020000}"/>
    <cellStyle name="Comma 2 6 3 2 2" xfId="1322" xr:uid="{00000000-0005-0000-0000-00002A050000}"/>
    <cellStyle name="Comma 2 6 3 3" xfId="1097" xr:uid="{00000000-0005-0000-0000-000049040000}"/>
    <cellStyle name="Comma 2 6 4" xfId="620" xr:uid="{00000000-0005-0000-0000-00006C020000}"/>
    <cellStyle name="Comma 2 6 4 2" xfId="1207" xr:uid="{00000000-0005-0000-0000-0000B7040000}"/>
    <cellStyle name="Comma 2 6 5" xfId="989" xr:uid="{00000000-0005-0000-0000-0000DD030000}"/>
    <cellStyle name="Comma 2 7" xfId="276" xr:uid="{00000000-0005-0000-0000-000014010000}"/>
    <cellStyle name="Comma 2 7 2" xfId="507" xr:uid="{00000000-0005-0000-0000-0000FB010000}"/>
    <cellStyle name="Comma 2 7 2 2" xfId="737" xr:uid="{00000000-0005-0000-0000-0000E1020000}"/>
    <cellStyle name="Comma 2 7 2 2 2" xfId="1324" xr:uid="{00000000-0005-0000-0000-00002C050000}"/>
    <cellStyle name="Comma 2 7 2 3" xfId="1099" xr:uid="{00000000-0005-0000-0000-00004B040000}"/>
    <cellStyle name="Comma 2 7 3" xfId="622" xr:uid="{00000000-0005-0000-0000-00006E020000}"/>
    <cellStyle name="Comma 2 7 3 2" xfId="1209" xr:uid="{00000000-0005-0000-0000-0000B9040000}"/>
    <cellStyle name="Comma 2 7 4" xfId="991" xr:uid="{00000000-0005-0000-0000-0000DF030000}"/>
    <cellStyle name="Comma 2 8" xfId="277" xr:uid="{00000000-0005-0000-0000-000015010000}"/>
    <cellStyle name="Comma 2 8 2" xfId="508" xr:uid="{00000000-0005-0000-0000-0000FC010000}"/>
    <cellStyle name="Comma 2 8 2 2" xfId="738" xr:uid="{00000000-0005-0000-0000-0000E2020000}"/>
    <cellStyle name="Comma 2 8 2 2 2" xfId="1325" xr:uid="{00000000-0005-0000-0000-00002D050000}"/>
    <cellStyle name="Comma 2 8 2 3" xfId="1100" xr:uid="{00000000-0005-0000-0000-00004C040000}"/>
    <cellStyle name="Comma 2 8 3" xfId="623" xr:uid="{00000000-0005-0000-0000-00006F020000}"/>
    <cellStyle name="Comma 2 8 3 2" xfId="1210" xr:uid="{00000000-0005-0000-0000-0000BA040000}"/>
    <cellStyle name="Comma 2 8 4" xfId="992" xr:uid="{00000000-0005-0000-0000-0000E0030000}"/>
    <cellStyle name="Comma 2 9" xfId="804" xr:uid="{00000000-0005-0000-0000-000024030000}"/>
    <cellStyle name="Comma 20" xfId="87" xr:uid="{00000000-0005-0000-0000-000057000000}"/>
    <cellStyle name="Comma 20 2" xfId="439" xr:uid="{00000000-0005-0000-0000-0000B7010000}"/>
    <cellStyle name="Comma 20 2 2" xfId="566" xr:uid="{00000000-0005-0000-0000-000036020000}"/>
    <cellStyle name="Comma 20 2 2 2" xfId="794" xr:uid="{00000000-0005-0000-0000-00001A030000}"/>
    <cellStyle name="Comma 20 2 2 2 2" xfId="1381" xr:uid="{00000000-0005-0000-0000-000065050000}"/>
    <cellStyle name="Comma 20 2 2 3" xfId="1153" xr:uid="{00000000-0005-0000-0000-000081040000}"/>
    <cellStyle name="Comma 20 2 3" xfId="676" xr:uid="{00000000-0005-0000-0000-0000A4020000}"/>
    <cellStyle name="Comma 20 2 3 2" xfId="1263" xr:uid="{00000000-0005-0000-0000-0000EF040000}"/>
    <cellStyle name="Comma 20 2 4" xfId="1045" xr:uid="{00000000-0005-0000-0000-000015040000}"/>
    <cellStyle name="Comma 20 3" xfId="430" xr:uid="{00000000-0005-0000-0000-0000AE010000}"/>
    <cellStyle name="Comma 20 3 2" xfId="562" xr:uid="{00000000-0005-0000-0000-000032020000}"/>
    <cellStyle name="Comma 20 3 2 2" xfId="790" xr:uid="{00000000-0005-0000-0000-000016030000}"/>
    <cellStyle name="Comma 20 3 2 2 2" xfId="1377" xr:uid="{00000000-0005-0000-0000-000061050000}"/>
    <cellStyle name="Comma 20 3 2 3" xfId="1149" xr:uid="{00000000-0005-0000-0000-00007D040000}"/>
    <cellStyle name="Comma 20 3 3" xfId="672" xr:uid="{00000000-0005-0000-0000-0000A0020000}"/>
    <cellStyle name="Comma 20 3 3 2" xfId="1259" xr:uid="{00000000-0005-0000-0000-0000EB040000}"/>
    <cellStyle name="Comma 20 3 4" xfId="1041" xr:uid="{00000000-0005-0000-0000-000011040000}"/>
    <cellStyle name="Comma 21" xfId="435" xr:uid="{00000000-0005-0000-0000-0000B3010000}"/>
    <cellStyle name="Comma 21 2" xfId="565" xr:uid="{00000000-0005-0000-0000-000035020000}"/>
    <cellStyle name="Comma 21 2 2" xfId="793" xr:uid="{00000000-0005-0000-0000-000019030000}"/>
    <cellStyle name="Comma 21 2 2 2" xfId="1380" xr:uid="{00000000-0005-0000-0000-000064050000}"/>
    <cellStyle name="Comma 21 2 3" xfId="1152" xr:uid="{00000000-0005-0000-0000-000080040000}"/>
    <cellStyle name="Comma 21 3" xfId="675" xr:uid="{00000000-0005-0000-0000-0000A3020000}"/>
    <cellStyle name="Comma 21 3 2" xfId="1262" xr:uid="{00000000-0005-0000-0000-0000EE040000}"/>
    <cellStyle name="Comma 21 4" xfId="1044" xr:uid="{00000000-0005-0000-0000-000014040000}"/>
    <cellStyle name="Comma 22" xfId="175" xr:uid="{00000000-0005-0000-0000-0000AF000000}"/>
    <cellStyle name="Comma 22 2" xfId="470" xr:uid="{00000000-0005-0000-0000-0000D6010000}"/>
    <cellStyle name="Comma 22 2 2" xfId="700" xr:uid="{00000000-0005-0000-0000-0000BC020000}"/>
    <cellStyle name="Comma 22 2 2 2" xfId="1287" xr:uid="{00000000-0005-0000-0000-000007050000}"/>
    <cellStyle name="Comma 22 2 2 3" xfId="914" xr:uid="{00000000-0005-0000-0000-000092030000}"/>
    <cellStyle name="Comma 22 2 3" xfId="1063" xr:uid="{00000000-0005-0000-0000-000027040000}"/>
    <cellStyle name="Comma 22 2 4" xfId="845" xr:uid="{00000000-0005-0000-0000-00004D030000}"/>
    <cellStyle name="Comma 22 3" xfId="586" xr:uid="{00000000-0005-0000-0000-00004A020000}"/>
    <cellStyle name="Comma 22 3 2" xfId="1173" xr:uid="{00000000-0005-0000-0000-000095040000}"/>
    <cellStyle name="Comma 22 3 3" xfId="877" xr:uid="{00000000-0005-0000-0000-00006D030000}"/>
    <cellStyle name="Comma 22 4" xfId="955" xr:uid="{00000000-0005-0000-0000-0000BB030000}"/>
    <cellStyle name="Comma 22 5" xfId="813" xr:uid="{00000000-0005-0000-0000-00002D030000}"/>
    <cellStyle name="Comma 23" xfId="441" xr:uid="{00000000-0005-0000-0000-0000B9010000}"/>
    <cellStyle name="Comma 23 2" xfId="568" xr:uid="{00000000-0005-0000-0000-000038020000}"/>
    <cellStyle name="Comma 23 2 2" xfId="796" xr:uid="{00000000-0005-0000-0000-00001C030000}"/>
    <cellStyle name="Comma 23 2 2 2" xfId="1383" xr:uid="{00000000-0005-0000-0000-000067050000}"/>
    <cellStyle name="Comma 23 2 2 3" xfId="939" xr:uid="{00000000-0005-0000-0000-0000AB030000}"/>
    <cellStyle name="Comma 23 2 3" xfId="1155" xr:uid="{00000000-0005-0000-0000-000083040000}"/>
    <cellStyle name="Comma 23 2 4" xfId="866" xr:uid="{00000000-0005-0000-0000-000062030000}"/>
    <cellStyle name="Comma 23 3" xfId="678" xr:uid="{00000000-0005-0000-0000-0000A6020000}"/>
    <cellStyle name="Comma 23 3 2" xfId="1265" xr:uid="{00000000-0005-0000-0000-0000F1040000}"/>
    <cellStyle name="Comma 23 3 3" xfId="898" xr:uid="{00000000-0005-0000-0000-000082030000}"/>
    <cellStyle name="Comma 23 4" xfId="1047" xr:uid="{00000000-0005-0000-0000-000017040000}"/>
    <cellStyle name="Comma 23 5" xfId="834" xr:uid="{00000000-0005-0000-0000-000042030000}"/>
    <cellStyle name="Comma 24" xfId="443" xr:uid="{00000000-0005-0000-0000-0000BB010000}"/>
    <cellStyle name="Comma 24 2" xfId="570" xr:uid="{00000000-0005-0000-0000-00003A020000}"/>
    <cellStyle name="Comma 24 2 2" xfId="798" xr:uid="{00000000-0005-0000-0000-00001E030000}"/>
    <cellStyle name="Comma 24 2 2 2" xfId="1385" xr:uid="{00000000-0005-0000-0000-000069050000}"/>
    <cellStyle name="Comma 24 2 3" xfId="1157" xr:uid="{00000000-0005-0000-0000-000085040000}"/>
    <cellStyle name="Comma 24 3" xfId="836" xr:uid="{00000000-0005-0000-0000-000044030000}"/>
    <cellStyle name="Comma 25" xfId="801" xr:uid="{00000000-0005-0000-0000-000021030000}"/>
    <cellStyle name="Comma 25 2" xfId="1388" xr:uid="{00000000-0005-0000-0000-00006C050000}"/>
    <cellStyle name="Comma 26" xfId="1160" xr:uid="{00000000-0005-0000-0000-000088040000}"/>
    <cellStyle name="Comma 27" xfId="573" xr:uid="{00000000-0005-0000-0000-00003D020000}"/>
    <cellStyle name="Comma 3" xfId="88" xr:uid="{00000000-0005-0000-0000-000058000000}"/>
    <cellStyle name="Comma 3 10" xfId="575" xr:uid="{00000000-0005-0000-0000-00003F020000}"/>
    <cellStyle name="Comma 3 10 2" xfId="1162" xr:uid="{00000000-0005-0000-0000-00008A040000}"/>
    <cellStyle name="Comma 3 11" xfId="944" xr:uid="{00000000-0005-0000-0000-0000B0030000}"/>
    <cellStyle name="Comma 3 2" xfId="89" xr:uid="{00000000-0005-0000-0000-000059000000}"/>
    <cellStyle name="Comma 3 2 2" xfId="278" xr:uid="{00000000-0005-0000-0000-000016010000}"/>
    <cellStyle name="Comma 3 2 3" xfId="279" xr:uid="{00000000-0005-0000-0000-000017010000}"/>
    <cellStyle name="Comma 3 2 3 2" xfId="509" xr:uid="{00000000-0005-0000-0000-0000FD010000}"/>
    <cellStyle name="Comma 3 2 3 2 2" xfId="739" xr:uid="{00000000-0005-0000-0000-0000E3020000}"/>
    <cellStyle name="Comma 3 2 3 2 2 2" xfId="1326" xr:uid="{00000000-0005-0000-0000-00002E050000}"/>
    <cellStyle name="Comma 3 2 3 2 3" xfId="1101" xr:uid="{00000000-0005-0000-0000-00004D040000}"/>
    <cellStyle name="Comma 3 2 3 3" xfId="624" xr:uid="{00000000-0005-0000-0000-000070020000}"/>
    <cellStyle name="Comma 3 2 3 3 2" xfId="1211" xr:uid="{00000000-0005-0000-0000-0000BB040000}"/>
    <cellStyle name="Comma 3 2 3 4" xfId="993" xr:uid="{00000000-0005-0000-0000-0000E1030000}"/>
    <cellStyle name="Comma 3 2 4" xfId="280" xr:uid="{00000000-0005-0000-0000-000018010000}"/>
    <cellStyle name="Comma 3 2 4 2" xfId="510" xr:uid="{00000000-0005-0000-0000-0000FE010000}"/>
    <cellStyle name="Comma 3 2 4 2 2" xfId="740" xr:uid="{00000000-0005-0000-0000-0000E4020000}"/>
    <cellStyle name="Comma 3 2 4 2 2 2" xfId="1327" xr:uid="{00000000-0005-0000-0000-00002F050000}"/>
    <cellStyle name="Comma 3 2 4 2 3" xfId="1102" xr:uid="{00000000-0005-0000-0000-00004E040000}"/>
    <cellStyle name="Comma 3 2 4 3" xfId="625" xr:uid="{00000000-0005-0000-0000-000071020000}"/>
    <cellStyle name="Comma 3 2 4 3 2" xfId="1212" xr:uid="{00000000-0005-0000-0000-0000BC040000}"/>
    <cellStyle name="Comma 3 2 4 4" xfId="994" xr:uid="{00000000-0005-0000-0000-0000E2030000}"/>
    <cellStyle name="Comma 3 2 5" xfId="281" xr:uid="{00000000-0005-0000-0000-000019010000}"/>
    <cellStyle name="Comma 3 2 5 2" xfId="511" xr:uid="{00000000-0005-0000-0000-0000FF010000}"/>
    <cellStyle name="Comma 3 2 5 2 2" xfId="741" xr:uid="{00000000-0005-0000-0000-0000E5020000}"/>
    <cellStyle name="Comma 3 2 5 2 2 2" xfId="1328" xr:uid="{00000000-0005-0000-0000-000030050000}"/>
    <cellStyle name="Comma 3 2 5 2 3" xfId="1103" xr:uid="{00000000-0005-0000-0000-00004F040000}"/>
    <cellStyle name="Comma 3 2 5 3" xfId="626" xr:uid="{00000000-0005-0000-0000-000072020000}"/>
    <cellStyle name="Comma 3 2 5 3 2" xfId="1213" xr:uid="{00000000-0005-0000-0000-0000BD040000}"/>
    <cellStyle name="Comma 3 2 5 4" xfId="995" xr:uid="{00000000-0005-0000-0000-0000E3030000}"/>
    <cellStyle name="Comma 3 2 6" xfId="206" xr:uid="{00000000-0005-0000-0000-0000CE000000}"/>
    <cellStyle name="Comma 3 2 6 2" xfId="472" xr:uid="{00000000-0005-0000-0000-0000D8010000}"/>
    <cellStyle name="Comma 3 2 6 2 2" xfId="702" xr:uid="{00000000-0005-0000-0000-0000BE020000}"/>
    <cellStyle name="Comma 3 2 6 2 2 2" xfId="1289" xr:uid="{00000000-0005-0000-0000-000009050000}"/>
    <cellStyle name="Comma 3 2 6 2 2 3" xfId="916" xr:uid="{00000000-0005-0000-0000-000094030000}"/>
    <cellStyle name="Comma 3 2 6 2 3" xfId="1065" xr:uid="{00000000-0005-0000-0000-000029040000}"/>
    <cellStyle name="Comma 3 2 6 2 4" xfId="847" xr:uid="{00000000-0005-0000-0000-00004F030000}"/>
    <cellStyle name="Comma 3 2 6 3" xfId="588" xr:uid="{00000000-0005-0000-0000-00004C020000}"/>
    <cellStyle name="Comma 3 2 6 3 2" xfId="1175" xr:uid="{00000000-0005-0000-0000-000097040000}"/>
    <cellStyle name="Comma 3 2 6 3 3" xfId="879" xr:uid="{00000000-0005-0000-0000-00006F030000}"/>
    <cellStyle name="Comma 3 2 6 4" xfId="957" xr:uid="{00000000-0005-0000-0000-0000BD030000}"/>
    <cellStyle name="Comma 3 2 6 5" xfId="815" xr:uid="{00000000-0005-0000-0000-00002F030000}"/>
    <cellStyle name="Comma 3 2 7" xfId="451" xr:uid="{00000000-0005-0000-0000-0000C3010000}"/>
    <cellStyle name="Comma 3 2 7 2" xfId="687" xr:uid="{00000000-0005-0000-0000-0000AF020000}"/>
    <cellStyle name="Comma 3 2 7 2 2" xfId="1274" xr:uid="{00000000-0005-0000-0000-0000FA040000}"/>
    <cellStyle name="Comma 3 2 7 3" xfId="1053" xr:uid="{00000000-0005-0000-0000-00001D040000}"/>
    <cellStyle name="Comma 3 2 8" xfId="576" xr:uid="{00000000-0005-0000-0000-000040020000}"/>
    <cellStyle name="Comma 3 2 8 2" xfId="1163" xr:uid="{00000000-0005-0000-0000-00008B040000}"/>
    <cellStyle name="Comma 3 2 9" xfId="945" xr:uid="{00000000-0005-0000-0000-0000B1030000}"/>
    <cellStyle name="Comma 3 3" xfId="282" xr:uid="{00000000-0005-0000-0000-00001A010000}"/>
    <cellStyle name="Comma 3 3 2" xfId="283" xr:uid="{00000000-0005-0000-0000-00001B010000}"/>
    <cellStyle name="Comma 3 3 3" xfId="284" xr:uid="{00000000-0005-0000-0000-00001C010000}"/>
    <cellStyle name="Comma 3 3 3 2" xfId="513" xr:uid="{00000000-0005-0000-0000-000001020000}"/>
    <cellStyle name="Comma 3 3 3 2 2" xfId="743" xr:uid="{00000000-0005-0000-0000-0000E7020000}"/>
    <cellStyle name="Comma 3 3 3 2 2 2" xfId="1330" xr:uid="{00000000-0005-0000-0000-000032050000}"/>
    <cellStyle name="Comma 3 3 3 2 3" xfId="1105" xr:uid="{00000000-0005-0000-0000-000051040000}"/>
    <cellStyle name="Comma 3 3 3 3" xfId="628" xr:uid="{00000000-0005-0000-0000-000074020000}"/>
    <cellStyle name="Comma 3 3 3 3 2" xfId="1215" xr:uid="{00000000-0005-0000-0000-0000BF040000}"/>
    <cellStyle name="Comma 3 3 3 4" xfId="997" xr:uid="{00000000-0005-0000-0000-0000E5030000}"/>
    <cellStyle name="Comma 3 3 4" xfId="512" xr:uid="{00000000-0005-0000-0000-000000020000}"/>
    <cellStyle name="Comma 3 3 4 2" xfId="742" xr:uid="{00000000-0005-0000-0000-0000E6020000}"/>
    <cellStyle name="Comma 3 3 4 2 2" xfId="1329" xr:uid="{00000000-0005-0000-0000-000031050000}"/>
    <cellStyle name="Comma 3 3 4 3" xfId="1104" xr:uid="{00000000-0005-0000-0000-000050040000}"/>
    <cellStyle name="Comma 3 3 5" xfId="627" xr:uid="{00000000-0005-0000-0000-000073020000}"/>
    <cellStyle name="Comma 3 3 5 2" xfId="1214" xr:uid="{00000000-0005-0000-0000-0000BE040000}"/>
    <cellStyle name="Comma 3 3 6" xfId="996" xr:uid="{00000000-0005-0000-0000-0000E4030000}"/>
    <cellStyle name="Comma 3 4" xfId="285" xr:uid="{00000000-0005-0000-0000-00001D010000}"/>
    <cellStyle name="Comma 3 4 2" xfId="286" xr:uid="{00000000-0005-0000-0000-00001E010000}"/>
    <cellStyle name="Comma 3 4 3" xfId="287" xr:uid="{00000000-0005-0000-0000-00001F010000}"/>
    <cellStyle name="Comma 3 4 3 2" xfId="515" xr:uid="{00000000-0005-0000-0000-000003020000}"/>
    <cellStyle name="Comma 3 4 3 2 2" xfId="745" xr:uid="{00000000-0005-0000-0000-0000E9020000}"/>
    <cellStyle name="Comma 3 4 3 2 2 2" xfId="1332" xr:uid="{00000000-0005-0000-0000-000034050000}"/>
    <cellStyle name="Comma 3 4 3 2 3" xfId="1107" xr:uid="{00000000-0005-0000-0000-000053040000}"/>
    <cellStyle name="Comma 3 4 3 3" xfId="630" xr:uid="{00000000-0005-0000-0000-000076020000}"/>
    <cellStyle name="Comma 3 4 3 3 2" xfId="1217" xr:uid="{00000000-0005-0000-0000-0000C1040000}"/>
    <cellStyle name="Comma 3 4 3 4" xfId="999" xr:uid="{00000000-0005-0000-0000-0000E7030000}"/>
    <cellStyle name="Comma 3 4 4" xfId="514" xr:uid="{00000000-0005-0000-0000-000002020000}"/>
    <cellStyle name="Comma 3 4 4 2" xfId="744" xr:uid="{00000000-0005-0000-0000-0000E8020000}"/>
    <cellStyle name="Comma 3 4 4 2 2" xfId="1331" xr:uid="{00000000-0005-0000-0000-000033050000}"/>
    <cellStyle name="Comma 3 4 4 3" xfId="1106" xr:uid="{00000000-0005-0000-0000-000052040000}"/>
    <cellStyle name="Comma 3 4 5" xfId="629" xr:uid="{00000000-0005-0000-0000-000075020000}"/>
    <cellStyle name="Comma 3 4 5 2" xfId="1216" xr:uid="{00000000-0005-0000-0000-0000C0040000}"/>
    <cellStyle name="Comma 3 4 6" xfId="998" xr:uid="{00000000-0005-0000-0000-0000E6030000}"/>
    <cellStyle name="Comma 3 5" xfId="288" xr:uid="{00000000-0005-0000-0000-000020010000}"/>
    <cellStyle name="Comma 3 5 2" xfId="289" xr:uid="{00000000-0005-0000-0000-000021010000}"/>
    <cellStyle name="Comma 3 5 3" xfId="516" xr:uid="{00000000-0005-0000-0000-000004020000}"/>
    <cellStyle name="Comma 3 5 3 2" xfId="746" xr:uid="{00000000-0005-0000-0000-0000EA020000}"/>
    <cellStyle name="Comma 3 5 3 2 2" xfId="1333" xr:uid="{00000000-0005-0000-0000-000035050000}"/>
    <cellStyle name="Comma 3 5 3 3" xfId="1108" xr:uid="{00000000-0005-0000-0000-000054040000}"/>
    <cellStyle name="Comma 3 5 4" xfId="631" xr:uid="{00000000-0005-0000-0000-000077020000}"/>
    <cellStyle name="Comma 3 5 4 2" xfId="1218" xr:uid="{00000000-0005-0000-0000-0000C2040000}"/>
    <cellStyle name="Comma 3 5 5" xfId="1000" xr:uid="{00000000-0005-0000-0000-0000E8030000}"/>
    <cellStyle name="Comma 3 6" xfId="290" xr:uid="{00000000-0005-0000-0000-000022010000}"/>
    <cellStyle name="Comma 3 6 2" xfId="517" xr:uid="{00000000-0005-0000-0000-000005020000}"/>
    <cellStyle name="Comma 3 6 2 2" xfId="747" xr:uid="{00000000-0005-0000-0000-0000EB020000}"/>
    <cellStyle name="Comma 3 6 2 2 2" xfId="1334" xr:uid="{00000000-0005-0000-0000-000036050000}"/>
    <cellStyle name="Comma 3 6 2 3" xfId="1109" xr:uid="{00000000-0005-0000-0000-000055040000}"/>
    <cellStyle name="Comma 3 6 3" xfId="632" xr:uid="{00000000-0005-0000-0000-000078020000}"/>
    <cellStyle name="Comma 3 6 3 2" xfId="1219" xr:uid="{00000000-0005-0000-0000-0000C3040000}"/>
    <cellStyle name="Comma 3 6 4" xfId="1001" xr:uid="{00000000-0005-0000-0000-0000E9030000}"/>
    <cellStyle name="Comma 3 7" xfId="291" xr:uid="{00000000-0005-0000-0000-000023010000}"/>
    <cellStyle name="Comma 3 7 2" xfId="518" xr:uid="{00000000-0005-0000-0000-000006020000}"/>
    <cellStyle name="Comma 3 7 2 2" xfId="748" xr:uid="{00000000-0005-0000-0000-0000EC020000}"/>
    <cellStyle name="Comma 3 7 2 2 2" xfId="1335" xr:uid="{00000000-0005-0000-0000-000037050000}"/>
    <cellStyle name="Comma 3 7 2 3" xfId="1110" xr:uid="{00000000-0005-0000-0000-000056040000}"/>
    <cellStyle name="Comma 3 7 3" xfId="633" xr:uid="{00000000-0005-0000-0000-000079020000}"/>
    <cellStyle name="Comma 3 7 3 2" xfId="1220" xr:uid="{00000000-0005-0000-0000-0000C4040000}"/>
    <cellStyle name="Comma 3 7 4" xfId="1002" xr:uid="{00000000-0005-0000-0000-0000EA030000}"/>
    <cellStyle name="Comma 3 8" xfId="424" xr:uid="{00000000-0005-0000-0000-0000A8010000}"/>
    <cellStyle name="Comma 3 8 2" xfId="559" xr:uid="{00000000-0005-0000-0000-00002F020000}"/>
    <cellStyle name="Comma 3 8 2 2" xfId="788" xr:uid="{00000000-0005-0000-0000-000014030000}"/>
    <cellStyle name="Comma 3 8 2 2 2" xfId="1375" xr:uid="{00000000-0005-0000-0000-00005F050000}"/>
    <cellStyle name="Comma 3 8 2 3" xfId="1148" xr:uid="{00000000-0005-0000-0000-00007C040000}"/>
    <cellStyle name="Comma 3 8 3" xfId="671" xr:uid="{00000000-0005-0000-0000-00009F020000}"/>
    <cellStyle name="Comma 3 8 3 2" xfId="1258" xr:uid="{00000000-0005-0000-0000-0000EA040000}"/>
    <cellStyle name="Comma 3 8 4" xfId="1040" xr:uid="{00000000-0005-0000-0000-000010040000}"/>
    <cellStyle name="Comma 3 9" xfId="450" xr:uid="{00000000-0005-0000-0000-0000C2010000}"/>
    <cellStyle name="Comma 3 9 2" xfId="686" xr:uid="{00000000-0005-0000-0000-0000AE020000}"/>
    <cellStyle name="Comma 3 9 2 2" xfId="1273" xr:uid="{00000000-0005-0000-0000-0000F9040000}"/>
    <cellStyle name="Comma 3 9 3" xfId="1052" xr:uid="{00000000-0005-0000-0000-00001C040000}"/>
    <cellStyle name="Comma 4" xfId="90" xr:uid="{00000000-0005-0000-0000-00005A000000}"/>
    <cellStyle name="Comma 4 2" xfId="91" xr:uid="{00000000-0005-0000-0000-00005B000000}"/>
    <cellStyle name="Comma 4 2 2" xfId="293" xr:uid="{00000000-0005-0000-0000-000025010000}"/>
    <cellStyle name="Comma 4 2 2 2" xfId="520" xr:uid="{00000000-0005-0000-0000-000008020000}"/>
    <cellStyle name="Comma 4 2 2 2 2" xfId="750" xr:uid="{00000000-0005-0000-0000-0000EE020000}"/>
    <cellStyle name="Comma 4 2 2 2 2 2" xfId="1337" xr:uid="{00000000-0005-0000-0000-000039050000}"/>
    <cellStyle name="Comma 4 2 2 2 3" xfId="1112" xr:uid="{00000000-0005-0000-0000-000058040000}"/>
    <cellStyle name="Comma 4 2 2 3" xfId="635" xr:uid="{00000000-0005-0000-0000-00007B020000}"/>
    <cellStyle name="Comma 4 2 2 3 2" xfId="1222" xr:uid="{00000000-0005-0000-0000-0000C6040000}"/>
    <cellStyle name="Comma 4 2 2 4" xfId="1004" xr:uid="{00000000-0005-0000-0000-0000EC030000}"/>
    <cellStyle name="Comma 4 2 3" xfId="292" xr:uid="{00000000-0005-0000-0000-000024010000}"/>
    <cellStyle name="Comma 4 2 3 2" xfId="519" xr:uid="{00000000-0005-0000-0000-000007020000}"/>
    <cellStyle name="Comma 4 2 3 2 2" xfId="749" xr:uid="{00000000-0005-0000-0000-0000ED020000}"/>
    <cellStyle name="Comma 4 2 3 2 2 2" xfId="1336" xr:uid="{00000000-0005-0000-0000-000038050000}"/>
    <cellStyle name="Comma 4 2 3 2 3" xfId="1111" xr:uid="{00000000-0005-0000-0000-000057040000}"/>
    <cellStyle name="Comma 4 2 3 3" xfId="634" xr:uid="{00000000-0005-0000-0000-00007A020000}"/>
    <cellStyle name="Comma 4 2 3 3 2" xfId="1221" xr:uid="{00000000-0005-0000-0000-0000C5040000}"/>
    <cellStyle name="Comma 4 2 3 4" xfId="1003" xr:uid="{00000000-0005-0000-0000-0000EB030000}"/>
    <cellStyle name="Comma 4 2 4" xfId="452" xr:uid="{00000000-0005-0000-0000-0000C4010000}"/>
    <cellStyle name="Comma 4 2 4 2" xfId="688" xr:uid="{00000000-0005-0000-0000-0000B0020000}"/>
    <cellStyle name="Comma 4 2 4 2 2" xfId="1275" xr:uid="{00000000-0005-0000-0000-0000FB040000}"/>
    <cellStyle name="Comma 4 2 4 3" xfId="1054" xr:uid="{00000000-0005-0000-0000-00001E040000}"/>
    <cellStyle name="Comma 4 2 5" xfId="577" xr:uid="{00000000-0005-0000-0000-000041020000}"/>
    <cellStyle name="Comma 4 2 5 2" xfId="1164" xr:uid="{00000000-0005-0000-0000-00008C040000}"/>
    <cellStyle name="Comma 4 2 6" xfId="946" xr:uid="{00000000-0005-0000-0000-0000B2030000}"/>
    <cellStyle name="Comma 4 3" xfId="294" xr:uid="{00000000-0005-0000-0000-000026010000}"/>
    <cellStyle name="Comma 4 3 2" xfId="295" xr:uid="{00000000-0005-0000-0000-000027010000}"/>
    <cellStyle name="Comma 4 3 2 2" xfId="522" xr:uid="{00000000-0005-0000-0000-00000A020000}"/>
    <cellStyle name="Comma 4 3 2 2 2" xfId="752" xr:uid="{00000000-0005-0000-0000-0000F0020000}"/>
    <cellStyle name="Comma 4 3 2 2 2 2" xfId="1339" xr:uid="{00000000-0005-0000-0000-00003B050000}"/>
    <cellStyle name="Comma 4 3 2 2 3" xfId="1114" xr:uid="{00000000-0005-0000-0000-00005A040000}"/>
    <cellStyle name="Comma 4 3 2 3" xfId="637" xr:uid="{00000000-0005-0000-0000-00007D020000}"/>
    <cellStyle name="Comma 4 3 2 3 2" xfId="1224" xr:uid="{00000000-0005-0000-0000-0000C8040000}"/>
    <cellStyle name="Comma 4 3 2 4" xfId="1006" xr:uid="{00000000-0005-0000-0000-0000EE030000}"/>
    <cellStyle name="Comma 4 3 3" xfId="521" xr:uid="{00000000-0005-0000-0000-000009020000}"/>
    <cellStyle name="Comma 4 3 3 2" xfId="751" xr:uid="{00000000-0005-0000-0000-0000EF020000}"/>
    <cellStyle name="Comma 4 3 3 2 2" xfId="1338" xr:uid="{00000000-0005-0000-0000-00003A050000}"/>
    <cellStyle name="Comma 4 3 3 3" xfId="1113" xr:uid="{00000000-0005-0000-0000-000059040000}"/>
    <cellStyle name="Comma 4 3 4" xfId="636" xr:uid="{00000000-0005-0000-0000-00007C020000}"/>
    <cellStyle name="Comma 4 3 4 2" xfId="1223" xr:uid="{00000000-0005-0000-0000-0000C7040000}"/>
    <cellStyle name="Comma 4 3 5" xfId="1005" xr:uid="{00000000-0005-0000-0000-0000ED030000}"/>
    <cellStyle name="Comma 4 4" xfId="296" xr:uid="{00000000-0005-0000-0000-000028010000}"/>
    <cellStyle name="Comma 4 4 2" xfId="297" xr:uid="{00000000-0005-0000-0000-000029010000}"/>
    <cellStyle name="Comma 4 4 2 2" xfId="524" xr:uid="{00000000-0005-0000-0000-00000C020000}"/>
    <cellStyle name="Comma 4 4 2 2 2" xfId="754" xr:uid="{00000000-0005-0000-0000-0000F2020000}"/>
    <cellStyle name="Comma 4 4 2 2 2 2" xfId="1341" xr:uid="{00000000-0005-0000-0000-00003D050000}"/>
    <cellStyle name="Comma 4 4 2 2 3" xfId="1116" xr:uid="{00000000-0005-0000-0000-00005C040000}"/>
    <cellStyle name="Comma 4 4 2 3" xfId="639" xr:uid="{00000000-0005-0000-0000-00007F020000}"/>
    <cellStyle name="Comma 4 4 2 3 2" xfId="1226" xr:uid="{00000000-0005-0000-0000-0000CA040000}"/>
    <cellStyle name="Comma 4 4 2 4" xfId="1008" xr:uid="{00000000-0005-0000-0000-0000F0030000}"/>
    <cellStyle name="Comma 4 4 3" xfId="523" xr:uid="{00000000-0005-0000-0000-00000B020000}"/>
    <cellStyle name="Comma 4 4 3 2" xfId="753" xr:uid="{00000000-0005-0000-0000-0000F1020000}"/>
    <cellStyle name="Comma 4 4 3 2 2" xfId="1340" xr:uid="{00000000-0005-0000-0000-00003C050000}"/>
    <cellStyle name="Comma 4 4 3 3" xfId="1115" xr:uid="{00000000-0005-0000-0000-00005B040000}"/>
    <cellStyle name="Comma 4 4 4" xfId="638" xr:uid="{00000000-0005-0000-0000-00007E020000}"/>
    <cellStyle name="Comma 4 4 4 2" xfId="1225" xr:uid="{00000000-0005-0000-0000-0000C9040000}"/>
    <cellStyle name="Comma 4 4 5" xfId="1007" xr:uid="{00000000-0005-0000-0000-0000EF030000}"/>
    <cellStyle name="Comma 4 5" xfId="298" xr:uid="{00000000-0005-0000-0000-00002A010000}"/>
    <cellStyle name="Comma 4 5 2" xfId="299" xr:uid="{00000000-0005-0000-0000-00002B010000}"/>
    <cellStyle name="Comma 4 5 3" xfId="525" xr:uid="{00000000-0005-0000-0000-00000D020000}"/>
    <cellStyle name="Comma 4 5 3 2" xfId="755" xr:uid="{00000000-0005-0000-0000-0000F3020000}"/>
    <cellStyle name="Comma 4 5 3 2 2" xfId="1342" xr:uid="{00000000-0005-0000-0000-00003E050000}"/>
    <cellStyle name="Comma 4 5 3 3" xfId="1117" xr:uid="{00000000-0005-0000-0000-00005D040000}"/>
    <cellStyle name="Comma 4 5 4" xfId="640" xr:uid="{00000000-0005-0000-0000-000080020000}"/>
    <cellStyle name="Comma 4 5 4 2" xfId="1227" xr:uid="{00000000-0005-0000-0000-0000CB040000}"/>
    <cellStyle name="Comma 4 5 5" xfId="1009" xr:uid="{00000000-0005-0000-0000-0000F1030000}"/>
    <cellStyle name="Comma 4 6" xfId="300" xr:uid="{00000000-0005-0000-0000-00002C010000}"/>
    <cellStyle name="Comma 4 6 2" xfId="526" xr:uid="{00000000-0005-0000-0000-00000E020000}"/>
    <cellStyle name="Comma 4 6 2 2" xfId="756" xr:uid="{00000000-0005-0000-0000-0000F4020000}"/>
    <cellStyle name="Comma 4 6 2 2 2" xfId="1343" xr:uid="{00000000-0005-0000-0000-00003F050000}"/>
    <cellStyle name="Comma 4 6 2 3" xfId="1118" xr:uid="{00000000-0005-0000-0000-00005E040000}"/>
    <cellStyle name="Comma 4 6 3" xfId="641" xr:uid="{00000000-0005-0000-0000-000081020000}"/>
    <cellStyle name="Comma 4 6 3 2" xfId="1228" xr:uid="{00000000-0005-0000-0000-0000CC040000}"/>
    <cellStyle name="Comma 4 6 4" xfId="1010" xr:uid="{00000000-0005-0000-0000-0000F2030000}"/>
    <cellStyle name="Comma 4 7" xfId="301" xr:uid="{00000000-0005-0000-0000-00002D010000}"/>
    <cellStyle name="Comma 4 7 2" xfId="527" xr:uid="{00000000-0005-0000-0000-00000F020000}"/>
    <cellStyle name="Comma 4 7 2 2" xfId="757" xr:uid="{00000000-0005-0000-0000-0000F5020000}"/>
    <cellStyle name="Comma 4 7 2 2 2" xfId="1344" xr:uid="{00000000-0005-0000-0000-000040050000}"/>
    <cellStyle name="Comma 4 7 2 3" xfId="1119" xr:uid="{00000000-0005-0000-0000-00005F040000}"/>
    <cellStyle name="Comma 4 7 3" xfId="642" xr:uid="{00000000-0005-0000-0000-000082020000}"/>
    <cellStyle name="Comma 4 7 3 2" xfId="1229" xr:uid="{00000000-0005-0000-0000-0000CD040000}"/>
    <cellStyle name="Comma 4 7 4" xfId="1011" xr:uid="{00000000-0005-0000-0000-0000F3030000}"/>
    <cellStyle name="Comma 4 8" xfId="805" xr:uid="{00000000-0005-0000-0000-000025030000}"/>
    <cellStyle name="Comma 5" xfId="92" xr:uid="{00000000-0005-0000-0000-00005C000000}"/>
    <cellStyle name="Comma 5 2" xfId="93" xr:uid="{00000000-0005-0000-0000-00005D000000}"/>
    <cellStyle name="Comma 5 2 2" xfId="303" xr:uid="{00000000-0005-0000-0000-00002F010000}"/>
    <cellStyle name="Comma 5 2 3" xfId="453" xr:uid="{00000000-0005-0000-0000-0000C5010000}"/>
    <cellStyle name="Comma 5 2 3 2" xfId="689" xr:uid="{00000000-0005-0000-0000-0000B1020000}"/>
    <cellStyle name="Comma 5 2 3 2 2" xfId="1276" xr:uid="{00000000-0005-0000-0000-0000FC040000}"/>
    <cellStyle name="Comma 5 2 3 3" xfId="1055" xr:uid="{00000000-0005-0000-0000-00001F040000}"/>
    <cellStyle name="Comma 5 2 4" xfId="578" xr:uid="{00000000-0005-0000-0000-000042020000}"/>
    <cellStyle name="Comma 5 2 4 2" xfId="1165" xr:uid="{00000000-0005-0000-0000-00008D040000}"/>
    <cellStyle name="Comma 5 2 5" xfId="947" xr:uid="{00000000-0005-0000-0000-0000B3030000}"/>
    <cellStyle name="Comma 5 3" xfId="304" xr:uid="{00000000-0005-0000-0000-000030010000}"/>
    <cellStyle name="Comma 5 3 2" xfId="529" xr:uid="{00000000-0005-0000-0000-000011020000}"/>
    <cellStyle name="Comma 5 3 2 2" xfId="759" xr:uid="{00000000-0005-0000-0000-0000F7020000}"/>
    <cellStyle name="Comma 5 3 2 2 2" xfId="1346" xr:uid="{00000000-0005-0000-0000-000042050000}"/>
    <cellStyle name="Comma 5 3 2 3" xfId="1121" xr:uid="{00000000-0005-0000-0000-000061040000}"/>
    <cellStyle name="Comma 5 3 3" xfId="644" xr:uid="{00000000-0005-0000-0000-000084020000}"/>
    <cellStyle name="Comma 5 3 3 2" xfId="1231" xr:uid="{00000000-0005-0000-0000-0000CF040000}"/>
    <cellStyle name="Comma 5 3 4" xfId="1013" xr:uid="{00000000-0005-0000-0000-0000F5030000}"/>
    <cellStyle name="Comma 5 4" xfId="302" xr:uid="{00000000-0005-0000-0000-00002E010000}"/>
    <cellStyle name="Comma 5 4 2" xfId="528" xr:uid="{00000000-0005-0000-0000-000010020000}"/>
    <cellStyle name="Comma 5 4 2 2" xfId="758" xr:uid="{00000000-0005-0000-0000-0000F6020000}"/>
    <cellStyle name="Comma 5 4 2 2 2" xfId="1345" xr:uid="{00000000-0005-0000-0000-000041050000}"/>
    <cellStyle name="Comma 5 4 2 3" xfId="1120" xr:uid="{00000000-0005-0000-0000-000060040000}"/>
    <cellStyle name="Comma 5 4 3" xfId="643" xr:uid="{00000000-0005-0000-0000-000083020000}"/>
    <cellStyle name="Comma 5 4 3 2" xfId="1230" xr:uid="{00000000-0005-0000-0000-0000CE040000}"/>
    <cellStyle name="Comma 5 4 4" xfId="1012" xr:uid="{00000000-0005-0000-0000-0000F4030000}"/>
    <cellStyle name="Comma 5 5" xfId="806" xr:uid="{00000000-0005-0000-0000-000026030000}"/>
    <cellStyle name="Comma 6" xfId="94" xr:uid="{00000000-0005-0000-0000-00005E000000}"/>
    <cellStyle name="Comma 6 2" xfId="95" xr:uid="{00000000-0005-0000-0000-00005F000000}"/>
    <cellStyle name="Comma 6 3" xfId="306" xr:uid="{00000000-0005-0000-0000-000032010000}"/>
    <cellStyle name="Comma 6 3 2" xfId="531" xr:uid="{00000000-0005-0000-0000-000013020000}"/>
    <cellStyle name="Comma 6 3 2 2" xfId="761" xr:uid="{00000000-0005-0000-0000-0000F9020000}"/>
    <cellStyle name="Comma 6 3 2 2 2" xfId="1348" xr:uid="{00000000-0005-0000-0000-000044050000}"/>
    <cellStyle name="Comma 6 3 2 3" xfId="1123" xr:uid="{00000000-0005-0000-0000-000063040000}"/>
    <cellStyle name="Comma 6 3 3" xfId="646" xr:uid="{00000000-0005-0000-0000-000086020000}"/>
    <cellStyle name="Comma 6 3 3 2" xfId="1233" xr:uid="{00000000-0005-0000-0000-0000D1040000}"/>
    <cellStyle name="Comma 6 3 4" xfId="1015" xr:uid="{00000000-0005-0000-0000-0000F7030000}"/>
    <cellStyle name="Comma 6 4" xfId="305" xr:uid="{00000000-0005-0000-0000-000031010000}"/>
    <cellStyle name="Comma 6 4 2" xfId="530" xr:uid="{00000000-0005-0000-0000-000012020000}"/>
    <cellStyle name="Comma 6 4 2 2" xfId="760" xr:uid="{00000000-0005-0000-0000-0000F8020000}"/>
    <cellStyle name="Comma 6 4 2 2 2" xfId="1347" xr:uid="{00000000-0005-0000-0000-000043050000}"/>
    <cellStyle name="Comma 6 4 2 3" xfId="1122" xr:uid="{00000000-0005-0000-0000-000062040000}"/>
    <cellStyle name="Comma 6 4 3" xfId="645" xr:uid="{00000000-0005-0000-0000-000085020000}"/>
    <cellStyle name="Comma 6 4 3 2" xfId="1232" xr:uid="{00000000-0005-0000-0000-0000D0040000}"/>
    <cellStyle name="Comma 6 4 4" xfId="1014" xr:uid="{00000000-0005-0000-0000-0000F6030000}"/>
    <cellStyle name="Comma 7" xfId="96" xr:uid="{00000000-0005-0000-0000-000060000000}"/>
    <cellStyle name="Comma 7 2" xfId="308" xr:uid="{00000000-0005-0000-0000-000034010000}"/>
    <cellStyle name="Comma 7 3" xfId="309" xr:uid="{00000000-0005-0000-0000-000035010000}"/>
    <cellStyle name="Comma 7 3 2" xfId="533" xr:uid="{00000000-0005-0000-0000-000015020000}"/>
    <cellStyle name="Comma 7 3 2 2" xfId="763" xr:uid="{00000000-0005-0000-0000-0000FB020000}"/>
    <cellStyle name="Comma 7 3 2 2 2" xfId="1350" xr:uid="{00000000-0005-0000-0000-000046050000}"/>
    <cellStyle name="Comma 7 3 2 3" xfId="1125" xr:uid="{00000000-0005-0000-0000-000065040000}"/>
    <cellStyle name="Comma 7 3 3" xfId="648" xr:uid="{00000000-0005-0000-0000-000088020000}"/>
    <cellStyle name="Comma 7 3 3 2" xfId="1235" xr:uid="{00000000-0005-0000-0000-0000D3040000}"/>
    <cellStyle name="Comma 7 3 4" xfId="1017" xr:uid="{00000000-0005-0000-0000-0000F9030000}"/>
    <cellStyle name="Comma 7 4" xfId="310" xr:uid="{00000000-0005-0000-0000-000036010000}"/>
    <cellStyle name="Comma 7 4 2" xfId="534" xr:uid="{00000000-0005-0000-0000-000016020000}"/>
    <cellStyle name="Comma 7 4 2 2" xfId="764" xr:uid="{00000000-0005-0000-0000-0000FC020000}"/>
    <cellStyle name="Comma 7 4 2 2 2" xfId="1351" xr:uid="{00000000-0005-0000-0000-000047050000}"/>
    <cellStyle name="Comma 7 4 2 3" xfId="1126" xr:uid="{00000000-0005-0000-0000-000066040000}"/>
    <cellStyle name="Comma 7 4 3" xfId="649" xr:uid="{00000000-0005-0000-0000-000089020000}"/>
    <cellStyle name="Comma 7 4 3 2" xfId="1236" xr:uid="{00000000-0005-0000-0000-0000D4040000}"/>
    <cellStyle name="Comma 7 4 4" xfId="1018" xr:uid="{00000000-0005-0000-0000-0000FA030000}"/>
    <cellStyle name="Comma 7 5" xfId="307" xr:uid="{00000000-0005-0000-0000-000033010000}"/>
    <cellStyle name="Comma 7 5 2" xfId="532" xr:uid="{00000000-0005-0000-0000-000014020000}"/>
    <cellStyle name="Comma 7 5 2 2" xfId="762" xr:uid="{00000000-0005-0000-0000-0000FA020000}"/>
    <cellStyle name="Comma 7 5 2 2 2" xfId="1349" xr:uid="{00000000-0005-0000-0000-000045050000}"/>
    <cellStyle name="Comma 7 5 2 3" xfId="1124" xr:uid="{00000000-0005-0000-0000-000064040000}"/>
    <cellStyle name="Comma 7 5 3" xfId="647" xr:uid="{00000000-0005-0000-0000-000087020000}"/>
    <cellStyle name="Comma 7 5 3 2" xfId="1234" xr:uid="{00000000-0005-0000-0000-0000D2040000}"/>
    <cellStyle name="Comma 7 5 4" xfId="1016" xr:uid="{00000000-0005-0000-0000-0000F8030000}"/>
    <cellStyle name="Comma 7 6" xfId="454" xr:uid="{00000000-0005-0000-0000-0000C6010000}"/>
    <cellStyle name="Comma 7 6 2" xfId="690" xr:uid="{00000000-0005-0000-0000-0000B2020000}"/>
    <cellStyle name="Comma 7 6 2 2" xfId="1277" xr:uid="{00000000-0005-0000-0000-0000FD040000}"/>
    <cellStyle name="Comma 7 6 3" xfId="1056" xr:uid="{00000000-0005-0000-0000-000020040000}"/>
    <cellStyle name="Comma 7 7" xfId="579" xr:uid="{00000000-0005-0000-0000-000043020000}"/>
    <cellStyle name="Comma 7 7 2" xfId="1166" xr:uid="{00000000-0005-0000-0000-00008E040000}"/>
    <cellStyle name="Comma 7 8" xfId="948" xr:uid="{00000000-0005-0000-0000-0000B4030000}"/>
    <cellStyle name="Comma 8" xfId="311" xr:uid="{00000000-0005-0000-0000-000037010000}"/>
    <cellStyle name="Comma 8 2" xfId="312" xr:uid="{00000000-0005-0000-0000-000038010000}"/>
    <cellStyle name="Comma 8 3" xfId="535" xr:uid="{00000000-0005-0000-0000-000017020000}"/>
    <cellStyle name="Comma 8 3 2" xfId="765" xr:uid="{00000000-0005-0000-0000-0000FD020000}"/>
    <cellStyle name="Comma 8 3 2 2" xfId="1352" xr:uid="{00000000-0005-0000-0000-000048050000}"/>
    <cellStyle name="Comma 8 3 2 3" xfId="918" xr:uid="{00000000-0005-0000-0000-000096030000}"/>
    <cellStyle name="Comma 8 3 3" xfId="1127" xr:uid="{00000000-0005-0000-0000-000067040000}"/>
    <cellStyle name="Comma 8 3 4" xfId="848" xr:uid="{00000000-0005-0000-0000-000050030000}"/>
    <cellStyle name="Comma 8 4" xfId="650" xr:uid="{00000000-0005-0000-0000-00008A020000}"/>
    <cellStyle name="Comma 8 4 2" xfId="1237" xr:uid="{00000000-0005-0000-0000-0000D5040000}"/>
    <cellStyle name="Comma 8 4 3" xfId="880" xr:uid="{00000000-0005-0000-0000-000070030000}"/>
    <cellStyle name="Comma 8 5" xfId="1019" xr:uid="{00000000-0005-0000-0000-0000FB030000}"/>
    <cellStyle name="Comma 8 6" xfId="816" xr:uid="{00000000-0005-0000-0000-000030030000}"/>
    <cellStyle name="Comma 9" xfId="313" xr:uid="{00000000-0005-0000-0000-000039010000}"/>
    <cellStyle name="Comma 9 2" xfId="314" xr:uid="{00000000-0005-0000-0000-00003A010000}"/>
    <cellStyle name="Comma 9 2 2" xfId="315" xr:uid="{00000000-0005-0000-0000-00003B010000}"/>
    <cellStyle name="Comma 9 2 3" xfId="316" xr:uid="{00000000-0005-0000-0000-00003C010000}"/>
    <cellStyle name="Comma 9 2 3 2" xfId="538" xr:uid="{00000000-0005-0000-0000-00001A020000}"/>
    <cellStyle name="Comma 9 2 3 2 2" xfId="768" xr:uid="{00000000-0005-0000-0000-000000030000}"/>
    <cellStyle name="Comma 9 2 3 2 2 2" xfId="1355" xr:uid="{00000000-0005-0000-0000-00004B050000}"/>
    <cellStyle name="Comma 9 2 3 2 3" xfId="1130" xr:uid="{00000000-0005-0000-0000-00006A040000}"/>
    <cellStyle name="Comma 9 2 3 3" xfId="653" xr:uid="{00000000-0005-0000-0000-00008D020000}"/>
    <cellStyle name="Comma 9 2 3 3 2" xfId="1240" xr:uid="{00000000-0005-0000-0000-0000D8040000}"/>
    <cellStyle name="Comma 9 2 3 4" xfId="1022" xr:uid="{00000000-0005-0000-0000-0000FE030000}"/>
    <cellStyle name="Comma 9 2 4" xfId="317" xr:uid="{00000000-0005-0000-0000-00003D010000}"/>
    <cellStyle name="Comma 9 2 4 2" xfId="539" xr:uid="{00000000-0005-0000-0000-00001B020000}"/>
    <cellStyle name="Comma 9 2 4 2 2" xfId="769" xr:uid="{00000000-0005-0000-0000-000001030000}"/>
    <cellStyle name="Comma 9 2 4 2 2 2" xfId="1356" xr:uid="{00000000-0005-0000-0000-00004C050000}"/>
    <cellStyle name="Comma 9 2 4 2 3" xfId="1131" xr:uid="{00000000-0005-0000-0000-00006B040000}"/>
    <cellStyle name="Comma 9 2 4 3" xfId="654" xr:uid="{00000000-0005-0000-0000-00008E020000}"/>
    <cellStyle name="Comma 9 2 4 3 2" xfId="1241" xr:uid="{00000000-0005-0000-0000-0000D9040000}"/>
    <cellStyle name="Comma 9 2 4 4" xfId="1023" xr:uid="{00000000-0005-0000-0000-0000FF030000}"/>
    <cellStyle name="Comma 9 2 5" xfId="537" xr:uid="{00000000-0005-0000-0000-000019020000}"/>
    <cellStyle name="Comma 9 2 5 2" xfId="767" xr:uid="{00000000-0005-0000-0000-0000FF020000}"/>
    <cellStyle name="Comma 9 2 5 2 2" xfId="1354" xr:uid="{00000000-0005-0000-0000-00004A050000}"/>
    <cellStyle name="Comma 9 2 5 3" xfId="1129" xr:uid="{00000000-0005-0000-0000-000069040000}"/>
    <cellStyle name="Comma 9 2 6" xfId="652" xr:uid="{00000000-0005-0000-0000-00008C020000}"/>
    <cellStyle name="Comma 9 2 6 2" xfId="1239" xr:uid="{00000000-0005-0000-0000-0000D7040000}"/>
    <cellStyle name="Comma 9 2 7" xfId="1021" xr:uid="{00000000-0005-0000-0000-0000FD030000}"/>
    <cellStyle name="Comma 9 3" xfId="318" xr:uid="{00000000-0005-0000-0000-00003E010000}"/>
    <cellStyle name="Comma 9 3 2" xfId="540" xr:uid="{00000000-0005-0000-0000-00001C020000}"/>
    <cellStyle name="Comma 9 3 2 2" xfId="770" xr:uid="{00000000-0005-0000-0000-000002030000}"/>
    <cellStyle name="Comma 9 3 2 2 2" xfId="1357" xr:uid="{00000000-0005-0000-0000-00004D050000}"/>
    <cellStyle name="Comma 9 3 2 3" xfId="1132" xr:uid="{00000000-0005-0000-0000-00006C040000}"/>
    <cellStyle name="Comma 9 3 3" xfId="655" xr:uid="{00000000-0005-0000-0000-00008F020000}"/>
    <cellStyle name="Comma 9 3 3 2" xfId="1242" xr:uid="{00000000-0005-0000-0000-0000DA040000}"/>
    <cellStyle name="Comma 9 3 4" xfId="1024" xr:uid="{00000000-0005-0000-0000-000000040000}"/>
    <cellStyle name="Comma 9 4" xfId="536" xr:uid="{00000000-0005-0000-0000-000018020000}"/>
    <cellStyle name="Comma 9 4 2" xfId="766" xr:uid="{00000000-0005-0000-0000-0000FE020000}"/>
    <cellStyle name="Comma 9 4 2 2" xfId="1353" xr:uid="{00000000-0005-0000-0000-000049050000}"/>
    <cellStyle name="Comma 9 4 3" xfId="1128" xr:uid="{00000000-0005-0000-0000-000068040000}"/>
    <cellStyle name="Comma 9 5" xfId="651" xr:uid="{00000000-0005-0000-0000-00008B020000}"/>
    <cellStyle name="Comma 9 5 2" xfId="1238" xr:uid="{00000000-0005-0000-0000-0000D6040000}"/>
    <cellStyle name="Comma 9 6" xfId="1020" xr:uid="{00000000-0005-0000-0000-0000FC030000}"/>
    <cellStyle name="Comma0" xfId="97" xr:uid="{00000000-0005-0000-0000-000061000000}"/>
    <cellStyle name="Comma0 2" xfId="98" xr:uid="{00000000-0005-0000-0000-000062000000}"/>
    <cellStyle name="Comma0 3" xfId="207" xr:uid="{00000000-0005-0000-0000-0000CF000000}"/>
    <cellStyle name="Currency0" xfId="208" xr:uid="{00000000-0005-0000-0000-0000D0000000}"/>
    <cellStyle name="Currency0 2" xfId="473" xr:uid="{00000000-0005-0000-0000-0000D9010000}"/>
    <cellStyle name="Currency0 2 2" xfId="703" xr:uid="{00000000-0005-0000-0000-0000BF020000}"/>
    <cellStyle name="Currency0 2 2 2" xfId="1290" xr:uid="{00000000-0005-0000-0000-00000A050000}"/>
    <cellStyle name="Currency0 2 3" xfId="1066" xr:uid="{00000000-0005-0000-0000-00002A040000}"/>
    <cellStyle name="Currency0 3" xfId="589" xr:uid="{00000000-0005-0000-0000-00004D020000}"/>
    <cellStyle name="Currency0 3 2" xfId="1176" xr:uid="{00000000-0005-0000-0000-000098040000}"/>
    <cellStyle name="Currency0 4" xfId="958" xr:uid="{00000000-0005-0000-0000-0000BE030000}"/>
    <cellStyle name="Date" xfId="209" xr:uid="{00000000-0005-0000-0000-0000D1000000}"/>
    <cellStyle name="Empty_L_border" xfId="436" xr:uid="{00000000-0005-0000-0000-0000B4010000}"/>
    <cellStyle name="Euro" xfId="99" xr:uid="{00000000-0005-0000-0000-000063000000}"/>
    <cellStyle name="Euro 2" xfId="100" xr:uid="{00000000-0005-0000-0000-000064000000}"/>
    <cellStyle name="Euro 2 2" xfId="319" xr:uid="{00000000-0005-0000-0000-00003F010000}"/>
    <cellStyle name="Explanatory Text 2" xfId="102" xr:uid="{00000000-0005-0000-0000-000066000000}"/>
    <cellStyle name="Explanatory Text 3" xfId="103" xr:uid="{00000000-0005-0000-0000-000067000000}"/>
    <cellStyle name="Explanatory Text 4" xfId="101" xr:uid="{00000000-0005-0000-0000-000065000000}"/>
    <cellStyle name="Fixed" xfId="210" xr:uid="{00000000-0005-0000-0000-0000D2000000}"/>
    <cellStyle name="Good 2" xfId="105" xr:uid="{00000000-0005-0000-0000-000069000000}"/>
    <cellStyle name="Good 2 2" xfId="106" xr:uid="{00000000-0005-0000-0000-00006A000000}"/>
    <cellStyle name="Good 2 3" xfId="425" xr:uid="{00000000-0005-0000-0000-0000A9010000}"/>
    <cellStyle name="Good 2 4" xfId="320" xr:uid="{00000000-0005-0000-0000-000040010000}"/>
    <cellStyle name="Good 3" xfId="107" xr:uid="{00000000-0005-0000-0000-00006B000000}"/>
    <cellStyle name="Good 4" xfId="104" xr:uid="{00000000-0005-0000-0000-000068000000}"/>
    <cellStyle name="Heading 1 2" xfId="109" xr:uid="{00000000-0005-0000-0000-00006D000000}"/>
    <cellStyle name="Heading 1 3" xfId="110" xr:uid="{00000000-0005-0000-0000-00006E000000}"/>
    <cellStyle name="Heading 1 4" xfId="108" xr:uid="{00000000-0005-0000-0000-00006C000000}"/>
    <cellStyle name="Heading 2 2" xfId="112" xr:uid="{00000000-0005-0000-0000-000070000000}"/>
    <cellStyle name="Heading 2 3" xfId="113" xr:uid="{00000000-0005-0000-0000-000071000000}"/>
    <cellStyle name="Heading 2 4" xfId="111" xr:uid="{00000000-0005-0000-0000-00006F000000}"/>
    <cellStyle name="Heading 3 2" xfId="115" xr:uid="{00000000-0005-0000-0000-000073000000}"/>
    <cellStyle name="Heading 3 3" xfId="116" xr:uid="{00000000-0005-0000-0000-000074000000}"/>
    <cellStyle name="Heading 3 4" xfId="114" xr:uid="{00000000-0005-0000-0000-000072000000}"/>
    <cellStyle name="Heading 4 2" xfId="118" xr:uid="{00000000-0005-0000-0000-000076000000}"/>
    <cellStyle name="Heading 4 3" xfId="119" xr:uid="{00000000-0005-0000-0000-000077000000}"/>
    <cellStyle name="Heading 4 4" xfId="117" xr:uid="{00000000-0005-0000-0000-000075000000}"/>
    <cellStyle name="Hyperlink 2" xfId="180" xr:uid="{00000000-0005-0000-0000-0000B4000000}"/>
    <cellStyle name="Hyperlink 2 2" xfId="321" xr:uid="{00000000-0005-0000-0000-000041010000}"/>
    <cellStyle name="Hyperlink 3" xfId="211" xr:uid="{00000000-0005-0000-0000-0000D3000000}"/>
    <cellStyle name="Input 2" xfId="121" xr:uid="{00000000-0005-0000-0000-000079000000}"/>
    <cellStyle name="Input 2 2" xfId="426" xr:uid="{00000000-0005-0000-0000-0000AA010000}"/>
    <cellStyle name="Input 2 2 2" xfId="560" xr:uid="{00000000-0005-0000-0000-000030020000}"/>
    <cellStyle name="Input 2 2 2 2" xfId="789" xr:uid="{00000000-0005-0000-0000-000015030000}"/>
    <cellStyle name="Input 2 2 2 2 2" xfId="1376" xr:uid="{00000000-0005-0000-0000-000060050000}"/>
    <cellStyle name="Input 2 2 2 2 3" xfId="935" xr:uid="{00000000-0005-0000-0000-0000A7030000}"/>
    <cellStyle name="Input 2 3" xfId="322" xr:uid="{00000000-0005-0000-0000-000042010000}"/>
    <cellStyle name="Input 2 3 2" xfId="541" xr:uid="{00000000-0005-0000-0000-00001D020000}"/>
    <cellStyle name="Input 2 3 2 2" xfId="771" xr:uid="{00000000-0005-0000-0000-000003030000}"/>
    <cellStyle name="Input 2 3 2 2 2" xfId="1358" xr:uid="{00000000-0005-0000-0000-00004E050000}"/>
    <cellStyle name="Input 2 3 2 2 3" xfId="919" xr:uid="{00000000-0005-0000-0000-000097030000}"/>
    <cellStyle name="Input 2 4" xfId="456" xr:uid="{00000000-0005-0000-0000-0000C8010000}"/>
    <cellStyle name="Input 2 4 2" xfId="692" xr:uid="{00000000-0005-0000-0000-0000B4020000}"/>
    <cellStyle name="Input 2 4 2 2" xfId="1279" xr:uid="{00000000-0005-0000-0000-0000FF040000}"/>
    <cellStyle name="Input 2 4 2 3" xfId="906" xr:uid="{00000000-0005-0000-0000-00008A030000}"/>
    <cellStyle name="Input 3" xfId="122" xr:uid="{00000000-0005-0000-0000-00007A000000}"/>
    <cellStyle name="Input 3 2" xfId="457" xr:uid="{00000000-0005-0000-0000-0000C9010000}"/>
    <cellStyle name="Input 3 2 2" xfId="693" xr:uid="{00000000-0005-0000-0000-0000B5020000}"/>
    <cellStyle name="Input 3 2 2 2" xfId="1280" xr:uid="{00000000-0005-0000-0000-000000050000}"/>
    <cellStyle name="Input 3 2 2 3" xfId="907" xr:uid="{00000000-0005-0000-0000-00008B030000}"/>
    <cellStyle name="Input 4" xfId="455" xr:uid="{00000000-0005-0000-0000-0000C7010000}"/>
    <cellStyle name="Input 4 2" xfId="691" xr:uid="{00000000-0005-0000-0000-0000B3020000}"/>
    <cellStyle name="Input 4 2 2" xfId="1278" xr:uid="{00000000-0005-0000-0000-0000FE040000}"/>
    <cellStyle name="Input 4 2 3" xfId="905" xr:uid="{00000000-0005-0000-0000-000089030000}"/>
    <cellStyle name="Input 5" xfId="120" xr:uid="{00000000-0005-0000-0000-000078000000}"/>
    <cellStyle name="Linked Cell 2" xfId="124" xr:uid="{00000000-0005-0000-0000-00007C000000}"/>
    <cellStyle name="Linked Cell 3" xfId="125" xr:uid="{00000000-0005-0000-0000-00007D000000}"/>
    <cellStyle name="Linked Cell 4" xfId="123" xr:uid="{00000000-0005-0000-0000-00007B000000}"/>
    <cellStyle name="Milliers 10" xfId="323" xr:uid="{00000000-0005-0000-0000-000043010000}"/>
    <cellStyle name="Milliers 11" xfId="324" xr:uid="{00000000-0005-0000-0000-000044010000}"/>
    <cellStyle name="Milliers 12" xfId="325" xr:uid="{00000000-0005-0000-0000-000045010000}"/>
    <cellStyle name="Milliers 13" xfId="326" xr:uid="{00000000-0005-0000-0000-000046010000}"/>
    <cellStyle name="Milliers 14" xfId="327" xr:uid="{00000000-0005-0000-0000-000047010000}"/>
    <cellStyle name="Milliers 15" xfId="328" xr:uid="{00000000-0005-0000-0000-000048010000}"/>
    <cellStyle name="Milliers 16" xfId="329" xr:uid="{00000000-0005-0000-0000-000049010000}"/>
    <cellStyle name="Milliers 17" xfId="330" xr:uid="{00000000-0005-0000-0000-00004A010000}"/>
    <cellStyle name="Milliers 18" xfId="331" xr:uid="{00000000-0005-0000-0000-00004B010000}"/>
    <cellStyle name="Milliers 2" xfId="212" xr:uid="{00000000-0005-0000-0000-0000D4000000}"/>
    <cellStyle name="Milliers 2 2" xfId="474" xr:uid="{00000000-0005-0000-0000-0000DA010000}"/>
    <cellStyle name="Milliers 2 2 2" xfId="704" xr:uid="{00000000-0005-0000-0000-0000C0020000}"/>
    <cellStyle name="Milliers 2 2 2 2" xfId="1291" xr:uid="{00000000-0005-0000-0000-00000B050000}"/>
    <cellStyle name="Milliers 2 2 3" xfId="1067" xr:uid="{00000000-0005-0000-0000-00002B040000}"/>
    <cellStyle name="Milliers 2 3" xfId="590" xr:uid="{00000000-0005-0000-0000-00004E020000}"/>
    <cellStyle name="Milliers 2 3 2" xfId="1177" xr:uid="{00000000-0005-0000-0000-000099040000}"/>
    <cellStyle name="Milliers 2 4" xfId="959" xr:uid="{00000000-0005-0000-0000-0000BF030000}"/>
    <cellStyle name="Milliers 3" xfId="332" xr:uid="{00000000-0005-0000-0000-00004C010000}"/>
    <cellStyle name="Milliers 4" xfId="333" xr:uid="{00000000-0005-0000-0000-00004D010000}"/>
    <cellStyle name="Milliers 5" xfId="334" xr:uid="{00000000-0005-0000-0000-00004E010000}"/>
    <cellStyle name="Milliers 6" xfId="335" xr:uid="{00000000-0005-0000-0000-00004F010000}"/>
    <cellStyle name="Milliers 7" xfId="336" xr:uid="{00000000-0005-0000-0000-000050010000}"/>
    <cellStyle name="Milliers 8" xfId="337" xr:uid="{00000000-0005-0000-0000-000051010000}"/>
    <cellStyle name="Milliers 9" xfId="338" xr:uid="{00000000-0005-0000-0000-000052010000}"/>
    <cellStyle name="Neutral 2" xfId="127" xr:uid="{00000000-0005-0000-0000-00007F000000}"/>
    <cellStyle name="Neutral 2 2" xfId="128" xr:uid="{00000000-0005-0000-0000-000080000000}"/>
    <cellStyle name="Neutral 2 3" xfId="213" xr:uid="{00000000-0005-0000-0000-0000D5000000}"/>
    <cellStyle name="Neutral 3" xfId="129" xr:uid="{00000000-0005-0000-0000-000081000000}"/>
    <cellStyle name="Neutral 4" xfId="130" xr:uid="{00000000-0005-0000-0000-000082000000}"/>
    <cellStyle name="Neutral 5" xfId="126" xr:uid="{00000000-0005-0000-0000-00007E000000}"/>
    <cellStyle name="Normal" xfId="0" builtinId="0"/>
    <cellStyle name="Normal 10" xfId="131" xr:uid="{00000000-0005-0000-0000-000083000000}"/>
    <cellStyle name="Normal 10 2" xfId="132" xr:uid="{00000000-0005-0000-0000-000084000000}"/>
    <cellStyle name="Normal 10 2 2" xfId="133" xr:uid="{00000000-0005-0000-0000-000085000000}"/>
    <cellStyle name="Normal 10 3" xfId="134" xr:uid="{00000000-0005-0000-0000-000086000000}"/>
    <cellStyle name="Normal 11" xfId="339" xr:uid="{00000000-0005-0000-0000-000053010000}"/>
    <cellStyle name="Normal 12" xfId="340" xr:uid="{00000000-0005-0000-0000-000054010000}"/>
    <cellStyle name="Normal 12 2" xfId="341" xr:uid="{00000000-0005-0000-0000-000055010000}"/>
    <cellStyle name="Normal 12 3" xfId="542" xr:uid="{00000000-0005-0000-0000-00001E020000}"/>
    <cellStyle name="Normal 12 3 2" xfId="772" xr:uid="{00000000-0005-0000-0000-000004030000}"/>
    <cellStyle name="Normal 12 3 2 2" xfId="1359" xr:uid="{00000000-0005-0000-0000-00004F050000}"/>
    <cellStyle name="Normal 12 3 2 3" xfId="920" xr:uid="{00000000-0005-0000-0000-000098030000}"/>
    <cellStyle name="Normal 12 3 3" xfId="1133" xr:uid="{00000000-0005-0000-0000-00006D040000}"/>
    <cellStyle name="Normal 12 3 4" xfId="849" xr:uid="{00000000-0005-0000-0000-000051030000}"/>
    <cellStyle name="Normal 12 4" xfId="656" xr:uid="{00000000-0005-0000-0000-000090020000}"/>
    <cellStyle name="Normal 12 4 2" xfId="1243" xr:uid="{00000000-0005-0000-0000-0000DB040000}"/>
    <cellStyle name="Normal 12 4 3" xfId="881" xr:uid="{00000000-0005-0000-0000-000071030000}"/>
    <cellStyle name="Normal 12 5" xfId="1025" xr:uid="{00000000-0005-0000-0000-000001040000}"/>
    <cellStyle name="Normal 12 6" xfId="817" xr:uid="{00000000-0005-0000-0000-000031030000}"/>
    <cellStyle name="Normal 13" xfId="135" xr:uid="{00000000-0005-0000-0000-000087000000}"/>
    <cellStyle name="Normal 13 2" xfId="438" xr:uid="{00000000-0005-0000-0000-0000B6010000}"/>
    <cellStyle name="Normal 14" xfId="433" xr:uid="{00000000-0005-0000-0000-0000B1010000}"/>
    <cellStyle name="Normal 15" xfId="174" xr:uid="{00000000-0005-0000-0000-0000AE000000}"/>
    <cellStyle name="Normal 15 2" xfId="469" xr:uid="{00000000-0005-0000-0000-0000D5010000}"/>
    <cellStyle name="Normal 15 2 2" xfId="699" xr:uid="{00000000-0005-0000-0000-0000BB020000}"/>
    <cellStyle name="Normal 15 2 2 2" xfId="1286" xr:uid="{00000000-0005-0000-0000-000006050000}"/>
    <cellStyle name="Normal 15 2 2 3" xfId="913" xr:uid="{00000000-0005-0000-0000-000091030000}"/>
    <cellStyle name="Normal 15 2 3" xfId="1062" xr:uid="{00000000-0005-0000-0000-000026040000}"/>
    <cellStyle name="Normal 15 2 4" xfId="844" xr:uid="{00000000-0005-0000-0000-00004C030000}"/>
    <cellStyle name="Normal 15 3" xfId="585" xr:uid="{00000000-0005-0000-0000-000049020000}"/>
    <cellStyle name="Normal 15 3 2" xfId="1172" xr:uid="{00000000-0005-0000-0000-000094040000}"/>
    <cellStyle name="Normal 15 3 3" xfId="876" xr:uid="{00000000-0005-0000-0000-00006C030000}"/>
    <cellStyle name="Normal 15 4" xfId="954" xr:uid="{00000000-0005-0000-0000-0000BA030000}"/>
    <cellStyle name="Normal 15 5" xfId="812" xr:uid="{00000000-0005-0000-0000-00002C030000}"/>
    <cellStyle name="Normal 16" xfId="440" xr:uid="{00000000-0005-0000-0000-0000B8010000}"/>
    <cellStyle name="Normal 16 2" xfId="567" xr:uid="{00000000-0005-0000-0000-000037020000}"/>
    <cellStyle name="Normal 16 2 2" xfId="795" xr:uid="{00000000-0005-0000-0000-00001B030000}"/>
    <cellStyle name="Normal 16 2 2 2" xfId="1382" xr:uid="{00000000-0005-0000-0000-000066050000}"/>
    <cellStyle name="Normal 16 2 2 3" xfId="938" xr:uid="{00000000-0005-0000-0000-0000AA030000}"/>
    <cellStyle name="Normal 16 2 3" xfId="802" xr:uid="{00000000-0005-0000-0000-000022030000}"/>
    <cellStyle name="Normal 16 2 3 2" xfId="1154" xr:uid="{00000000-0005-0000-0000-000082040000}"/>
    <cellStyle name="Normal 16 2 4" xfId="865" xr:uid="{00000000-0005-0000-0000-000061030000}"/>
    <cellStyle name="Normal 16 3" xfId="677" xr:uid="{00000000-0005-0000-0000-0000A5020000}"/>
    <cellStyle name="Normal 16 3 2" xfId="1264" xr:uid="{00000000-0005-0000-0000-0000F0040000}"/>
    <cellStyle name="Normal 16 3 3" xfId="897" xr:uid="{00000000-0005-0000-0000-000081030000}"/>
    <cellStyle name="Normal 16 4" xfId="1046" xr:uid="{00000000-0005-0000-0000-000016040000}"/>
    <cellStyle name="Normal 16 5" xfId="833" xr:uid="{00000000-0005-0000-0000-000041030000}"/>
    <cellStyle name="Normal 17" xfId="444" xr:uid="{00000000-0005-0000-0000-0000BC010000}"/>
    <cellStyle name="Normal 17 2" xfId="571" xr:uid="{00000000-0005-0000-0000-00003B020000}"/>
    <cellStyle name="Normal 17 2 2" xfId="799" xr:uid="{00000000-0005-0000-0000-00001F030000}"/>
    <cellStyle name="Normal 17 2 2 2" xfId="1386" xr:uid="{00000000-0005-0000-0000-00006A050000}"/>
    <cellStyle name="Normal 17 2 2 3" xfId="941" xr:uid="{00000000-0005-0000-0000-0000AD030000}"/>
    <cellStyle name="Normal 17 2 3" xfId="1158" xr:uid="{00000000-0005-0000-0000-000086040000}"/>
    <cellStyle name="Normal 17 2 4" xfId="868" xr:uid="{00000000-0005-0000-0000-000064030000}"/>
    <cellStyle name="Normal 17 3" xfId="680" xr:uid="{00000000-0005-0000-0000-0000A8020000}"/>
    <cellStyle name="Normal 17 3 2" xfId="1267" xr:uid="{00000000-0005-0000-0000-0000F3040000}"/>
    <cellStyle name="Normal 17 3 3" xfId="900" xr:uid="{00000000-0005-0000-0000-000084030000}"/>
    <cellStyle name="Normal 17 4" xfId="1049" xr:uid="{00000000-0005-0000-0000-000019040000}"/>
    <cellStyle name="Normal 17 5" xfId="837" xr:uid="{00000000-0005-0000-0000-000045030000}"/>
    <cellStyle name="Normal 18" xfId="393" xr:uid="{00000000-0005-0000-0000-000089010000}"/>
    <cellStyle name="Normal 18 2" xfId="556" xr:uid="{00000000-0005-0000-0000-00002C020000}"/>
    <cellStyle name="Normal 18 2 2" xfId="785" xr:uid="{00000000-0005-0000-0000-000011030000}"/>
    <cellStyle name="Normal 18 2 2 2" xfId="1372" xr:uid="{00000000-0005-0000-0000-00005C050000}"/>
    <cellStyle name="Normal 18 2 2 3" xfId="933" xr:uid="{00000000-0005-0000-0000-0000A5030000}"/>
    <cellStyle name="Normal 18 2 3" xfId="1146" xr:uid="{00000000-0005-0000-0000-00007A040000}"/>
    <cellStyle name="Normal 18 2 4" xfId="862" xr:uid="{00000000-0005-0000-0000-00005E030000}"/>
    <cellStyle name="Normal 18 3" xfId="669" xr:uid="{00000000-0005-0000-0000-00009D020000}"/>
    <cellStyle name="Normal 18 3 2" xfId="1256" xr:uid="{00000000-0005-0000-0000-0000E8040000}"/>
    <cellStyle name="Normal 18 3 3" xfId="894" xr:uid="{00000000-0005-0000-0000-00007E030000}"/>
    <cellStyle name="Normal 18 4" xfId="1038" xr:uid="{00000000-0005-0000-0000-00000E040000}"/>
    <cellStyle name="Normal 18 5" xfId="830" xr:uid="{00000000-0005-0000-0000-00003E030000}"/>
    <cellStyle name="Normal 19" xfId="445" xr:uid="{00000000-0005-0000-0000-0000BD010000}"/>
    <cellStyle name="Normal 19 2" xfId="572" xr:uid="{00000000-0005-0000-0000-00003C020000}"/>
    <cellStyle name="Normal 19 2 2" xfId="800" xr:uid="{00000000-0005-0000-0000-000020030000}"/>
    <cellStyle name="Normal 19 2 2 2" xfId="1387" xr:uid="{00000000-0005-0000-0000-00006B050000}"/>
    <cellStyle name="Normal 19 2 2 3" xfId="942" xr:uid="{00000000-0005-0000-0000-0000AE030000}"/>
    <cellStyle name="Normal 19 2 3" xfId="1159" xr:uid="{00000000-0005-0000-0000-000087040000}"/>
    <cellStyle name="Normal 19 2 4" xfId="869" xr:uid="{00000000-0005-0000-0000-000065030000}"/>
    <cellStyle name="Normal 19 3" xfId="681" xr:uid="{00000000-0005-0000-0000-0000A9020000}"/>
    <cellStyle name="Normal 19 3 2" xfId="1268" xr:uid="{00000000-0005-0000-0000-0000F4040000}"/>
    <cellStyle name="Normal 19 3 3" xfId="901" xr:uid="{00000000-0005-0000-0000-000085030000}"/>
    <cellStyle name="Normal 19 4" xfId="1050" xr:uid="{00000000-0005-0000-0000-00001A040000}"/>
    <cellStyle name="Normal 19 5" xfId="838" xr:uid="{00000000-0005-0000-0000-000046030000}"/>
    <cellStyle name="Normal 2" xfId="2" xr:uid="{00000000-0005-0000-0000-000002000000}"/>
    <cellStyle name="Normal 2 2" xfId="137" xr:uid="{00000000-0005-0000-0000-000089000000}"/>
    <cellStyle name="Normal 2 2 2" xfId="214" xr:uid="{00000000-0005-0000-0000-0000D6000000}"/>
    <cellStyle name="Normal 2 2 2 2" xfId="342" xr:uid="{00000000-0005-0000-0000-000056010000}"/>
    <cellStyle name="Normal 2 2 3" xfId="343" xr:uid="{00000000-0005-0000-0000-000057010000}"/>
    <cellStyle name="Normal 2 2 4" xfId="178" xr:uid="{00000000-0005-0000-0000-0000B2000000}"/>
    <cellStyle name="Normal 2 3" xfId="179" xr:uid="{00000000-0005-0000-0000-0000B3000000}"/>
    <cellStyle name="Normal 2 3 2" xfId="344" xr:uid="{00000000-0005-0000-0000-000058010000}"/>
    <cellStyle name="Normal 2 3 3" xfId="345" xr:uid="{00000000-0005-0000-0000-000059010000}"/>
    <cellStyle name="Normal 2 4" xfId="346" xr:uid="{00000000-0005-0000-0000-00005A010000}"/>
    <cellStyle name="Normal 2 5" xfId="394" xr:uid="{00000000-0005-0000-0000-00008A010000}"/>
    <cellStyle name="Normal 2 6" xfId="136" xr:uid="{00000000-0005-0000-0000-000088000000}"/>
    <cellStyle name="Normal 2_A4-1" xfId="437" xr:uid="{00000000-0005-0000-0000-0000B5010000}"/>
    <cellStyle name="Normal 20" xfId="803" xr:uid="{00000000-0005-0000-0000-000023030000}"/>
    <cellStyle name="Normal 20 2" xfId="870" xr:uid="{00000000-0005-0000-0000-000066030000}"/>
    <cellStyle name="Normal 21" xfId="1389" xr:uid="{00000000-0005-0000-0000-00006D050000}"/>
    <cellStyle name="Normal 22" xfId="1390" xr:uid="{00000000-0005-0000-0000-00006E050000}"/>
    <cellStyle name="Normal 23" xfId="1391" xr:uid="{00000000-0005-0000-0000-00006F050000}"/>
    <cellStyle name="Normal 24" xfId="1392" xr:uid="{00000000-0005-0000-0000-000070050000}"/>
    <cellStyle name="Normal 25" xfId="1393" xr:uid="{00000000-0005-0000-0000-000071050000}"/>
    <cellStyle name="Normal 26" xfId="1394" xr:uid="{00000000-0005-0000-0000-000072050000}"/>
    <cellStyle name="Normal 27" xfId="1395" xr:uid="{00000000-0005-0000-0000-000073050000}"/>
    <cellStyle name="Normal 28" xfId="1396" xr:uid="{00000000-0005-0000-0000-000074050000}"/>
    <cellStyle name="Normal 29" xfId="1397" xr:uid="{00000000-0005-0000-0000-000075050000}"/>
    <cellStyle name="Normal 3" xfId="138" xr:uid="{00000000-0005-0000-0000-00008A000000}"/>
    <cellStyle name="Normal 3 10" xfId="182" xr:uid="{00000000-0005-0000-0000-0000B6000000}"/>
    <cellStyle name="Normal 3 11" xfId="183" xr:uid="{00000000-0005-0000-0000-0000B7000000}"/>
    <cellStyle name="Normal 3 12" xfId="184" xr:uid="{00000000-0005-0000-0000-0000B8000000}"/>
    <cellStyle name="Normal 3 13" xfId="185" xr:uid="{00000000-0005-0000-0000-0000B9000000}"/>
    <cellStyle name="Normal 3 14" xfId="186" xr:uid="{00000000-0005-0000-0000-0000BA000000}"/>
    <cellStyle name="Normal 3 15" xfId="187" xr:uid="{00000000-0005-0000-0000-0000BB000000}"/>
    <cellStyle name="Normal 3 16" xfId="188" xr:uid="{00000000-0005-0000-0000-0000BC000000}"/>
    <cellStyle name="Normal 3 17" xfId="189" xr:uid="{00000000-0005-0000-0000-0000BD000000}"/>
    <cellStyle name="Normal 3 18" xfId="190" xr:uid="{00000000-0005-0000-0000-0000BE000000}"/>
    <cellStyle name="Normal 3 19" xfId="191" xr:uid="{00000000-0005-0000-0000-0000BF000000}"/>
    <cellStyle name="Normal 3 2" xfId="139" xr:uid="{00000000-0005-0000-0000-00008B000000}"/>
    <cellStyle name="Normal 3 2 2" xfId="192" xr:uid="{00000000-0005-0000-0000-0000C0000000}"/>
    <cellStyle name="Normal 3 2 3" xfId="459" xr:uid="{00000000-0005-0000-0000-0000CB010000}"/>
    <cellStyle name="Normal 3 2 3 2" xfId="695" xr:uid="{00000000-0005-0000-0000-0000B7020000}"/>
    <cellStyle name="Normal 3 2 3 2 2" xfId="1282" xr:uid="{00000000-0005-0000-0000-000002050000}"/>
    <cellStyle name="Normal 3 2 3 2 3" xfId="909" xr:uid="{00000000-0005-0000-0000-00008D030000}"/>
    <cellStyle name="Normal 3 2 3 3" xfId="1058" xr:uid="{00000000-0005-0000-0000-000022040000}"/>
    <cellStyle name="Normal 3 2 3 4" xfId="840" xr:uid="{00000000-0005-0000-0000-000048030000}"/>
    <cellStyle name="Normal 3 2 4" xfId="581" xr:uid="{00000000-0005-0000-0000-000045020000}"/>
    <cellStyle name="Normal 3 2 4 2" xfId="1168" xr:uid="{00000000-0005-0000-0000-000090040000}"/>
    <cellStyle name="Normal 3 2 4 3" xfId="872" xr:uid="{00000000-0005-0000-0000-000068030000}"/>
    <cellStyle name="Normal 3 2 5" xfId="950" xr:uid="{00000000-0005-0000-0000-0000B6030000}"/>
    <cellStyle name="Normal 3 2 6" xfId="808" xr:uid="{00000000-0005-0000-0000-000028030000}"/>
    <cellStyle name="Normal 3 20" xfId="193" xr:uid="{00000000-0005-0000-0000-0000C1000000}"/>
    <cellStyle name="Normal 3 21" xfId="194" xr:uid="{00000000-0005-0000-0000-0000C2000000}"/>
    <cellStyle name="Normal 3 22" xfId="195" xr:uid="{00000000-0005-0000-0000-0000C3000000}"/>
    <cellStyle name="Normal 3 23" xfId="196" xr:uid="{00000000-0005-0000-0000-0000C4000000}"/>
    <cellStyle name="Normal 3 24" xfId="197" xr:uid="{00000000-0005-0000-0000-0000C5000000}"/>
    <cellStyle name="Normal 3 25" xfId="198" xr:uid="{00000000-0005-0000-0000-0000C6000000}"/>
    <cellStyle name="Normal 3 26" xfId="181" xr:uid="{00000000-0005-0000-0000-0000B5000000}"/>
    <cellStyle name="Normal 3 27" xfId="347" xr:uid="{00000000-0005-0000-0000-00005B010000}"/>
    <cellStyle name="Normal 3 27 2" xfId="348" xr:uid="{00000000-0005-0000-0000-00005C010000}"/>
    <cellStyle name="Normal 3 27 3" xfId="543" xr:uid="{00000000-0005-0000-0000-00001F020000}"/>
    <cellStyle name="Normal 3 27 3 2" xfId="773" xr:uid="{00000000-0005-0000-0000-000005030000}"/>
    <cellStyle name="Normal 3 27 3 2 2" xfId="1360" xr:uid="{00000000-0005-0000-0000-000050050000}"/>
    <cellStyle name="Normal 3 27 3 2 3" xfId="921" xr:uid="{00000000-0005-0000-0000-000099030000}"/>
    <cellStyle name="Normal 3 27 3 3" xfId="1134" xr:uid="{00000000-0005-0000-0000-00006E040000}"/>
    <cellStyle name="Normal 3 27 3 4" xfId="850" xr:uid="{00000000-0005-0000-0000-000052030000}"/>
    <cellStyle name="Normal 3 27 4" xfId="657" xr:uid="{00000000-0005-0000-0000-000091020000}"/>
    <cellStyle name="Normal 3 27 4 2" xfId="1244" xr:uid="{00000000-0005-0000-0000-0000DC040000}"/>
    <cellStyle name="Normal 3 27 4 3" xfId="882" xr:uid="{00000000-0005-0000-0000-000072030000}"/>
    <cellStyle name="Normal 3 27 5" xfId="1026" xr:uid="{00000000-0005-0000-0000-000002040000}"/>
    <cellStyle name="Normal 3 27 6" xfId="818" xr:uid="{00000000-0005-0000-0000-000032030000}"/>
    <cellStyle name="Normal 3 28" xfId="177" xr:uid="{00000000-0005-0000-0000-0000B1000000}"/>
    <cellStyle name="Normal 3 28 2" xfId="471" xr:uid="{00000000-0005-0000-0000-0000D7010000}"/>
    <cellStyle name="Normal 3 28 2 2" xfId="701" xr:uid="{00000000-0005-0000-0000-0000BD020000}"/>
    <cellStyle name="Normal 3 28 2 2 2" xfId="1288" xr:uid="{00000000-0005-0000-0000-000008050000}"/>
    <cellStyle name="Normal 3 28 2 2 3" xfId="915" xr:uid="{00000000-0005-0000-0000-000093030000}"/>
    <cellStyle name="Normal 3 28 2 3" xfId="1064" xr:uid="{00000000-0005-0000-0000-000028040000}"/>
    <cellStyle name="Normal 3 28 2 4" xfId="846" xr:uid="{00000000-0005-0000-0000-00004E030000}"/>
    <cellStyle name="Normal 3 28 3" xfId="587" xr:uid="{00000000-0005-0000-0000-00004B020000}"/>
    <cellStyle name="Normal 3 28 3 2" xfId="1174" xr:uid="{00000000-0005-0000-0000-000096040000}"/>
    <cellStyle name="Normal 3 28 3 3" xfId="878" xr:uid="{00000000-0005-0000-0000-00006E030000}"/>
    <cellStyle name="Normal 3 28 4" xfId="956" xr:uid="{00000000-0005-0000-0000-0000BC030000}"/>
    <cellStyle name="Normal 3 28 5" xfId="814" xr:uid="{00000000-0005-0000-0000-00002E030000}"/>
    <cellStyle name="Normal 3 29" xfId="458" xr:uid="{00000000-0005-0000-0000-0000CA010000}"/>
    <cellStyle name="Normal 3 29 2" xfId="694" xr:uid="{00000000-0005-0000-0000-0000B6020000}"/>
    <cellStyle name="Normal 3 29 2 2" xfId="1281" xr:uid="{00000000-0005-0000-0000-000001050000}"/>
    <cellStyle name="Normal 3 29 2 3" xfId="908" xr:uid="{00000000-0005-0000-0000-00008C030000}"/>
    <cellStyle name="Normal 3 29 3" xfId="1057" xr:uid="{00000000-0005-0000-0000-000021040000}"/>
    <cellStyle name="Normal 3 29 4" xfId="839" xr:uid="{00000000-0005-0000-0000-000047030000}"/>
    <cellStyle name="Normal 3 3" xfId="199" xr:uid="{00000000-0005-0000-0000-0000C7000000}"/>
    <cellStyle name="Normal 3 30" xfId="580" xr:uid="{00000000-0005-0000-0000-000044020000}"/>
    <cellStyle name="Normal 3 30 2" xfId="1167" xr:uid="{00000000-0005-0000-0000-00008F040000}"/>
    <cellStyle name="Normal 3 30 3" xfId="871" xr:uid="{00000000-0005-0000-0000-000067030000}"/>
    <cellStyle name="Normal 3 31" xfId="949" xr:uid="{00000000-0005-0000-0000-0000B5030000}"/>
    <cellStyle name="Normal 3 32" xfId="807" xr:uid="{00000000-0005-0000-0000-000027030000}"/>
    <cellStyle name="Normal 3 4" xfId="200" xr:uid="{00000000-0005-0000-0000-0000C8000000}"/>
    <cellStyle name="Normal 3 5" xfId="201" xr:uid="{00000000-0005-0000-0000-0000C9000000}"/>
    <cellStyle name="Normal 3 6" xfId="202" xr:uid="{00000000-0005-0000-0000-0000CA000000}"/>
    <cellStyle name="Normal 3 7" xfId="203" xr:uid="{00000000-0005-0000-0000-0000CB000000}"/>
    <cellStyle name="Normal 3 8" xfId="204" xr:uid="{00000000-0005-0000-0000-0000CC000000}"/>
    <cellStyle name="Normal 3 9" xfId="205" xr:uid="{00000000-0005-0000-0000-0000CD000000}"/>
    <cellStyle name="Normal 30" xfId="1398" xr:uid="{00000000-0005-0000-0000-000076050000}"/>
    <cellStyle name="Normal 31" xfId="1399" xr:uid="{00000000-0005-0000-0000-000077050000}"/>
    <cellStyle name="Normal 32" xfId="1400" xr:uid="{00000000-0005-0000-0000-000078050000}"/>
    <cellStyle name="Normal 33" xfId="1401" xr:uid="{00000000-0005-0000-0000-000079050000}"/>
    <cellStyle name="Normal 34" xfId="1402" xr:uid="{00000000-0005-0000-0000-00007A050000}"/>
    <cellStyle name="Normal 35" xfId="1403" xr:uid="{00000000-0005-0000-0000-00007B050000}"/>
    <cellStyle name="Normal 36" xfId="1404" xr:uid="{00000000-0005-0000-0000-00007C050000}"/>
    <cellStyle name="Normal 37" xfId="1405" xr:uid="{00000000-0005-0000-0000-00007D050000}"/>
    <cellStyle name="Normal 38" xfId="1406" xr:uid="{00000000-0005-0000-0000-00007E050000}"/>
    <cellStyle name="Normal 39" xfId="1407" xr:uid="{00000000-0005-0000-0000-00007F050000}"/>
    <cellStyle name="Normal 4" xfId="140" xr:uid="{00000000-0005-0000-0000-00008C000000}"/>
    <cellStyle name="Normal 4 2" xfId="141" xr:uid="{00000000-0005-0000-0000-00008D000000}"/>
    <cellStyle name="Normal 4 2 2" xfId="349" xr:uid="{00000000-0005-0000-0000-00005D010000}"/>
    <cellStyle name="Normal 4 2 3" xfId="461" xr:uid="{00000000-0005-0000-0000-0000CD010000}"/>
    <cellStyle name="Normal 4 2 3 2" xfId="697" xr:uid="{00000000-0005-0000-0000-0000B9020000}"/>
    <cellStyle name="Normal 4 2 3 2 2" xfId="1284" xr:uid="{00000000-0005-0000-0000-000004050000}"/>
    <cellStyle name="Normal 4 2 3 2 3" xfId="911" xr:uid="{00000000-0005-0000-0000-00008F030000}"/>
    <cellStyle name="Normal 4 2 3 3" xfId="1060" xr:uid="{00000000-0005-0000-0000-000024040000}"/>
    <cellStyle name="Normal 4 2 3 4" xfId="842" xr:uid="{00000000-0005-0000-0000-00004A030000}"/>
    <cellStyle name="Normal 4 2 4" xfId="583" xr:uid="{00000000-0005-0000-0000-000047020000}"/>
    <cellStyle name="Normal 4 2 4 2" xfId="1170" xr:uid="{00000000-0005-0000-0000-000092040000}"/>
    <cellStyle name="Normal 4 2 4 3" xfId="874" xr:uid="{00000000-0005-0000-0000-00006A030000}"/>
    <cellStyle name="Normal 4 2 5" xfId="952" xr:uid="{00000000-0005-0000-0000-0000B8030000}"/>
    <cellStyle name="Normal 4 2 6" xfId="810" xr:uid="{00000000-0005-0000-0000-00002A030000}"/>
    <cellStyle name="Normal 4 3" xfId="350" xr:uid="{00000000-0005-0000-0000-00005E010000}"/>
    <cellStyle name="Normal 4 4" xfId="431" xr:uid="{00000000-0005-0000-0000-0000AF010000}"/>
    <cellStyle name="Normal 4 4 2" xfId="563" xr:uid="{00000000-0005-0000-0000-000033020000}"/>
    <cellStyle name="Normal 4 4 2 2" xfId="791" xr:uid="{00000000-0005-0000-0000-000017030000}"/>
    <cellStyle name="Normal 4 4 2 2 2" xfId="1378" xr:uid="{00000000-0005-0000-0000-000062050000}"/>
    <cellStyle name="Normal 4 4 2 2 3" xfId="936" xr:uid="{00000000-0005-0000-0000-0000A8030000}"/>
    <cellStyle name="Normal 4 4 2 3" xfId="1150" xr:uid="{00000000-0005-0000-0000-00007E040000}"/>
    <cellStyle name="Normal 4 4 2 4" xfId="863" xr:uid="{00000000-0005-0000-0000-00005F030000}"/>
    <cellStyle name="Normal 4 4 3" xfId="673" xr:uid="{00000000-0005-0000-0000-0000A1020000}"/>
    <cellStyle name="Normal 4 4 3 2" xfId="1260" xr:uid="{00000000-0005-0000-0000-0000EC040000}"/>
    <cellStyle name="Normal 4 4 3 3" xfId="895" xr:uid="{00000000-0005-0000-0000-00007F030000}"/>
    <cellStyle name="Normal 4 4 4" xfId="1042" xr:uid="{00000000-0005-0000-0000-000012040000}"/>
    <cellStyle name="Normal 4 4 5" xfId="831" xr:uid="{00000000-0005-0000-0000-00003F030000}"/>
    <cellStyle name="Normal 4 5" xfId="176" xr:uid="{00000000-0005-0000-0000-0000B0000000}"/>
    <cellStyle name="Normal 4 6" xfId="460" xr:uid="{00000000-0005-0000-0000-0000CC010000}"/>
    <cellStyle name="Normal 4 6 2" xfId="696" xr:uid="{00000000-0005-0000-0000-0000B8020000}"/>
    <cellStyle name="Normal 4 6 2 2" xfId="1283" xr:uid="{00000000-0005-0000-0000-000003050000}"/>
    <cellStyle name="Normal 4 6 2 3" xfId="910" xr:uid="{00000000-0005-0000-0000-00008E030000}"/>
    <cellStyle name="Normal 4 6 3" xfId="1059" xr:uid="{00000000-0005-0000-0000-000023040000}"/>
    <cellStyle name="Normal 4 6 4" xfId="841" xr:uid="{00000000-0005-0000-0000-000049030000}"/>
    <cellStyle name="Normal 4 7" xfId="582" xr:uid="{00000000-0005-0000-0000-000046020000}"/>
    <cellStyle name="Normal 4 7 2" xfId="1169" xr:uid="{00000000-0005-0000-0000-000091040000}"/>
    <cellStyle name="Normal 4 7 3" xfId="873" xr:uid="{00000000-0005-0000-0000-000069030000}"/>
    <cellStyle name="Normal 4 8" xfId="951" xr:uid="{00000000-0005-0000-0000-0000B7030000}"/>
    <cellStyle name="Normal 4 9" xfId="809" xr:uid="{00000000-0005-0000-0000-000029030000}"/>
    <cellStyle name="Normal 40" xfId="1408" xr:uid="{00000000-0005-0000-0000-000080050000}"/>
    <cellStyle name="Normal 41" xfId="1409" xr:uid="{00000000-0005-0000-0000-000081050000}"/>
    <cellStyle name="Normal 42" xfId="1410" xr:uid="{00000000-0005-0000-0000-000082050000}"/>
    <cellStyle name="Normal 43" xfId="1411" xr:uid="{00000000-0005-0000-0000-000083050000}"/>
    <cellStyle name="Normal 44" xfId="1412" xr:uid="{00000000-0005-0000-0000-000084050000}"/>
    <cellStyle name="Normal 45" xfId="1413" xr:uid="{00000000-0005-0000-0000-000085050000}"/>
    <cellStyle name="Normal 46" xfId="1414" xr:uid="{00000000-0005-0000-0000-000086050000}"/>
    <cellStyle name="Normal 47" xfId="1415" xr:uid="{00000000-0005-0000-0000-000087050000}"/>
    <cellStyle name="Normal 48" xfId="1416" xr:uid="{00000000-0005-0000-0000-000088050000}"/>
    <cellStyle name="Normal 49" xfId="1417" xr:uid="{00000000-0005-0000-0000-000089050000}"/>
    <cellStyle name="Normal 5" xfId="142" xr:uid="{00000000-0005-0000-0000-00008E000000}"/>
    <cellStyle name="Normal 5 2" xfId="351" xr:uid="{00000000-0005-0000-0000-00005F010000}"/>
    <cellStyle name="Normal 5 2 2" xfId="352" xr:uid="{00000000-0005-0000-0000-000060010000}"/>
    <cellStyle name="Normal 5 2 2 2" xfId="353" xr:uid="{00000000-0005-0000-0000-000061010000}"/>
    <cellStyle name="Normal 5 2 2 3" xfId="545" xr:uid="{00000000-0005-0000-0000-000021020000}"/>
    <cellStyle name="Normal 5 2 2 3 2" xfId="775" xr:uid="{00000000-0005-0000-0000-000007030000}"/>
    <cellStyle name="Normal 5 2 2 3 2 2" xfId="1362" xr:uid="{00000000-0005-0000-0000-000052050000}"/>
    <cellStyle name="Normal 5 2 2 3 2 3" xfId="923" xr:uid="{00000000-0005-0000-0000-00009B030000}"/>
    <cellStyle name="Normal 5 2 2 3 3" xfId="1136" xr:uid="{00000000-0005-0000-0000-000070040000}"/>
    <cellStyle name="Normal 5 2 2 3 4" xfId="852" xr:uid="{00000000-0005-0000-0000-000054030000}"/>
    <cellStyle name="Normal 5 2 2 4" xfId="659" xr:uid="{00000000-0005-0000-0000-000093020000}"/>
    <cellStyle name="Normal 5 2 2 4 2" xfId="1246" xr:uid="{00000000-0005-0000-0000-0000DE040000}"/>
    <cellStyle name="Normal 5 2 2 4 3" xfId="884" xr:uid="{00000000-0005-0000-0000-000074030000}"/>
    <cellStyle name="Normal 5 2 2 5" xfId="1028" xr:uid="{00000000-0005-0000-0000-000004040000}"/>
    <cellStyle name="Normal 5 2 2 6" xfId="820" xr:uid="{00000000-0005-0000-0000-000034030000}"/>
    <cellStyle name="Normal 5 2 3" xfId="354" xr:uid="{00000000-0005-0000-0000-000062010000}"/>
    <cellStyle name="Normal 5 2 3 2" xfId="546" xr:uid="{00000000-0005-0000-0000-000022020000}"/>
    <cellStyle name="Normal 5 2 3 2 2" xfId="776" xr:uid="{00000000-0005-0000-0000-000008030000}"/>
    <cellStyle name="Normal 5 2 3 2 2 2" xfId="1363" xr:uid="{00000000-0005-0000-0000-000053050000}"/>
    <cellStyle name="Normal 5 2 3 2 2 3" xfId="924" xr:uid="{00000000-0005-0000-0000-00009C030000}"/>
    <cellStyle name="Normal 5 2 3 2 3" xfId="1137" xr:uid="{00000000-0005-0000-0000-000071040000}"/>
    <cellStyle name="Normal 5 2 3 2 4" xfId="853" xr:uid="{00000000-0005-0000-0000-000055030000}"/>
    <cellStyle name="Normal 5 2 3 3" xfId="660" xr:uid="{00000000-0005-0000-0000-000094020000}"/>
    <cellStyle name="Normal 5 2 3 3 2" xfId="1247" xr:uid="{00000000-0005-0000-0000-0000DF040000}"/>
    <cellStyle name="Normal 5 2 3 3 3" xfId="885" xr:uid="{00000000-0005-0000-0000-000075030000}"/>
    <cellStyle name="Normal 5 2 3 4" xfId="1029" xr:uid="{00000000-0005-0000-0000-000005040000}"/>
    <cellStyle name="Normal 5 2 3 5" xfId="821" xr:uid="{00000000-0005-0000-0000-000035030000}"/>
    <cellStyle name="Normal 5 2 4" xfId="544" xr:uid="{00000000-0005-0000-0000-000020020000}"/>
    <cellStyle name="Normal 5 2 4 2" xfId="774" xr:uid="{00000000-0005-0000-0000-000006030000}"/>
    <cellStyle name="Normal 5 2 4 2 2" xfId="1361" xr:uid="{00000000-0005-0000-0000-000051050000}"/>
    <cellStyle name="Normal 5 2 4 2 3" xfId="922" xr:uid="{00000000-0005-0000-0000-00009A030000}"/>
    <cellStyle name="Normal 5 2 4 3" xfId="1135" xr:uid="{00000000-0005-0000-0000-00006F040000}"/>
    <cellStyle name="Normal 5 2 4 4" xfId="851" xr:uid="{00000000-0005-0000-0000-000053030000}"/>
    <cellStyle name="Normal 5 2 5" xfId="658" xr:uid="{00000000-0005-0000-0000-000092020000}"/>
    <cellStyle name="Normal 5 2 5 2" xfId="1245" xr:uid="{00000000-0005-0000-0000-0000DD040000}"/>
    <cellStyle name="Normal 5 2 5 3" xfId="883" xr:uid="{00000000-0005-0000-0000-000073030000}"/>
    <cellStyle name="Normal 5 2 6" xfId="1027" xr:uid="{00000000-0005-0000-0000-000003040000}"/>
    <cellStyle name="Normal 5 2 7" xfId="819" xr:uid="{00000000-0005-0000-0000-000033030000}"/>
    <cellStyle name="Normal 5 3" xfId="355" xr:uid="{00000000-0005-0000-0000-000063010000}"/>
    <cellStyle name="Normal 5 3 2" xfId="356" xr:uid="{00000000-0005-0000-0000-000064010000}"/>
    <cellStyle name="Normal 5 3 2 2" xfId="548" xr:uid="{00000000-0005-0000-0000-000024020000}"/>
    <cellStyle name="Normal 5 3 2 2 2" xfId="778" xr:uid="{00000000-0005-0000-0000-00000A030000}"/>
    <cellStyle name="Normal 5 3 2 2 2 2" xfId="1365" xr:uid="{00000000-0005-0000-0000-000055050000}"/>
    <cellStyle name="Normal 5 3 2 2 2 3" xfId="926" xr:uid="{00000000-0005-0000-0000-00009E030000}"/>
    <cellStyle name="Normal 5 3 2 2 3" xfId="1139" xr:uid="{00000000-0005-0000-0000-000073040000}"/>
    <cellStyle name="Normal 5 3 2 2 4" xfId="855" xr:uid="{00000000-0005-0000-0000-000057030000}"/>
    <cellStyle name="Normal 5 3 2 3" xfId="662" xr:uid="{00000000-0005-0000-0000-000096020000}"/>
    <cellStyle name="Normal 5 3 2 3 2" xfId="1249" xr:uid="{00000000-0005-0000-0000-0000E1040000}"/>
    <cellStyle name="Normal 5 3 2 3 3" xfId="887" xr:uid="{00000000-0005-0000-0000-000077030000}"/>
    <cellStyle name="Normal 5 3 2 4" xfId="1031" xr:uid="{00000000-0005-0000-0000-000007040000}"/>
    <cellStyle name="Normal 5 3 2 5" xfId="823" xr:uid="{00000000-0005-0000-0000-000037030000}"/>
    <cellStyle name="Normal 5 3 3" xfId="547" xr:uid="{00000000-0005-0000-0000-000023020000}"/>
    <cellStyle name="Normal 5 3 3 2" xfId="777" xr:uid="{00000000-0005-0000-0000-000009030000}"/>
    <cellStyle name="Normal 5 3 3 2 2" xfId="1364" xr:uid="{00000000-0005-0000-0000-000054050000}"/>
    <cellStyle name="Normal 5 3 3 2 3" xfId="925" xr:uid="{00000000-0005-0000-0000-00009D030000}"/>
    <cellStyle name="Normal 5 3 3 3" xfId="1138" xr:uid="{00000000-0005-0000-0000-000072040000}"/>
    <cellStyle name="Normal 5 3 3 4" xfId="854" xr:uid="{00000000-0005-0000-0000-000056030000}"/>
    <cellStyle name="Normal 5 3 4" xfId="661" xr:uid="{00000000-0005-0000-0000-000095020000}"/>
    <cellStyle name="Normal 5 3 4 2" xfId="1248" xr:uid="{00000000-0005-0000-0000-0000E0040000}"/>
    <cellStyle name="Normal 5 3 4 3" xfId="886" xr:uid="{00000000-0005-0000-0000-000076030000}"/>
    <cellStyle name="Normal 5 3 5" xfId="1030" xr:uid="{00000000-0005-0000-0000-000006040000}"/>
    <cellStyle name="Normal 5 3 6" xfId="822" xr:uid="{00000000-0005-0000-0000-000036030000}"/>
    <cellStyle name="Normal 5 4" xfId="357" xr:uid="{00000000-0005-0000-0000-000065010000}"/>
    <cellStyle name="Normal 5 4 2" xfId="358" xr:uid="{00000000-0005-0000-0000-000066010000}"/>
    <cellStyle name="Normal 5 4 2 2" xfId="550" xr:uid="{00000000-0005-0000-0000-000026020000}"/>
    <cellStyle name="Normal 5 4 2 2 2" xfId="780" xr:uid="{00000000-0005-0000-0000-00000C030000}"/>
    <cellStyle name="Normal 5 4 2 2 2 2" xfId="1367" xr:uid="{00000000-0005-0000-0000-000057050000}"/>
    <cellStyle name="Normal 5 4 2 2 2 3" xfId="928" xr:uid="{00000000-0005-0000-0000-0000A0030000}"/>
    <cellStyle name="Normal 5 4 2 2 3" xfId="1141" xr:uid="{00000000-0005-0000-0000-000075040000}"/>
    <cellStyle name="Normal 5 4 2 2 4" xfId="857" xr:uid="{00000000-0005-0000-0000-000059030000}"/>
    <cellStyle name="Normal 5 4 2 3" xfId="664" xr:uid="{00000000-0005-0000-0000-000098020000}"/>
    <cellStyle name="Normal 5 4 2 3 2" xfId="1251" xr:uid="{00000000-0005-0000-0000-0000E3040000}"/>
    <cellStyle name="Normal 5 4 2 3 3" xfId="889" xr:uid="{00000000-0005-0000-0000-000079030000}"/>
    <cellStyle name="Normal 5 4 2 4" xfId="1033" xr:uid="{00000000-0005-0000-0000-000009040000}"/>
    <cellStyle name="Normal 5 4 2 5" xfId="825" xr:uid="{00000000-0005-0000-0000-000039030000}"/>
    <cellStyle name="Normal 5 4 3" xfId="549" xr:uid="{00000000-0005-0000-0000-000025020000}"/>
    <cellStyle name="Normal 5 4 3 2" xfId="779" xr:uid="{00000000-0005-0000-0000-00000B030000}"/>
    <cellStyle name="Normal 5 4 3 2 2" xfId="1366" xr:uid="{00000000-0005-0000-0000-000056050000}"/>
    <cellStyle name="Normal 5 4 3 2 3" xfId="927" xr:uid="{00000000-0005-0000-0000-00009F030000}"/>
    <cellStyle name="Normal 5 4 3 3" xfId="1140" xr:uid="{00000000-0005-0000-0000-000074040000}"/>
    <cellStyle name="Normal 5 4 3 4" xfId="856" xr:uid="{00000000-0005-0000-0000-000058030000}"/>
    <cellStyle name="Normal 5 4 4" xfId="663" xr:uid="{00000000-0005-0000-0000-000097020000}"/>
    <cellStyle name="Normal 5 4 4 2" xfId="1250" xr:uid="{00000000-0005-0000-0000-0000E2040000}"/>
    <cellStyle name="Normal 5 4 4 3" xfId="888" xr:uid="{00000000-0005-0000-0000-000078030000}"/>
    <cellStyle name="Normal 5 4 5" xfId="1032" xr:uid="{00000000-0005-0000-0000-000008040000}"/>
    <cellStyle name="Normal 5 4 6" xfId="824" xr:uid="{00000000-0005-0000-0000-000038030000}"/>
    <cellStyle name="Normal 5 5" xfId="359" xr:uid="{00000000-0005-0000-0000-000067010000}"/>
    <cellStyle name="Normal 5 5 2" xfId="551" xr:uid="{00000000-0005-0000-0000-000027020000}"/>
    <cellStyle name="Normal 5 5 2 2" xfId="781" xr:uid="{00000000-0005-0000-0000-00000D030000}"/>
    <cellStyle name="Normal 5 5 2 2 2" xfId="1368" xr:uid="{00000000-0005-0000-0000-000058050000}"/>
    <cellStyle name="Normal 5 5 2 2 3" xfId="929" xr:uid="{00000000-0005-0000-0000-0000A1030000}"/>
    <cellStyle name="Normal 5 5 2 3" xfId="1142" xr:uid="{00000000-0005-0000-0000-000076040000}"/>
    <cellStyle name="Normal 5 5 2 4" xfId="858" xr:uid="{00000000-0005-0000-0000-00005A030000}"/>
    <cellStyle name="Normal 5 5 3" xfId="665" xr:uid="{00000000-0005-0000-0000-000099020000}"/>
    <cellStyle name="Normal 5 5 3 2" xfId="1252" xr:uid="{00000000-0005-0000-0000-0000E4040000}"/>
    <cellStyle name="Normal 5 5 3 3" xfId="890" xr:uid="{00000000-0005-0000-0000-00007A030000}"/>
    <cellStyle name="Normal 5 5 4" xfId="1034" xr:uid="{00000000-0005-0000-0000-00000A040000}"/>
    <cellStyle name="Normal 5 5 5" xfId="826" xr:uid="{00000000-0005-0000-0000-00003A030000}"/>
    <cellStyle name="Normal 5 6" xfId="360" xr:uid="{00000000-0005-0000-0000-000068010000}"/>
    <cellStyle name="Normal 5 6 2" xfId="552" xr:uid="{00000000-0005-0000-0000-000028020000}"/>
    <cellStyle name="Normal 5 6 2 2" xfId="782" xr:uid="{00000000-0005-0000-0000-00000E030000}"/>
    <cellStyle name="Normal 5 6 2 2 2" xfId="1369" xr:uid="{00000000-0005-0000-0000-000059050000}"/>
    <cellStyle name="Normal 5 6 2 2 3" xfId="930" xr:uid="{00000000-0005-0000-0000-0000A2030000}"/>
    <cellStyle name="Normal 5 6 2 3" xfId="1143" xr:uid="{00000000-0005-0000-0000-000077040000}"/>
    <cellStyle name="Normal 5 6 2 4" xfId="859" xr:uid="{00000000-0005-0000-0000-00005B030000}"/>
    <cellStyle name="Normal 5 6 3" xfId="666" xr:uid="{00000000-0005-0000-0000-00009A020000}"/>
    <cellStyle name="Normal 5 6 3 2" xfId="1253" xr:uid="{00000000-0005-0000-0000-0000E5040000}"/>
    <cellStyle name="Normal 5 6 3 3" xfId="891" xr:uid="{00000000-0005-0000-0000-00007B030000}"/>
    <cellStyle name="Normal 5 6 4" xfId="1035" xr:uid="{00000000-0005-0000-0000-00000B040000}"/>
    <cellStyle name="Normal 5 6 5" xfId="827" xr:uid="{00000000-0005-0000-0000-00003B030000}"/>
    <cellStyle name="Normal 5 7" xfId="361" xr:uid="{00000000-0005-0000-0000-000069010000}"/>
    <cellStyle name="Normal 5 7 2" xfId="553" xr:uid="{00000000-0005-0000-0000-000029020000}"/>
    <cellStyle name="Normal 5 7 2 2" xfId="783" xr:uid="{00000000-0005-0000-0000-00000F030000}"/>
    <cellStyle name="Normal 5 7 2 2 2" xfId="1370" xr:uid="{00000000-0005-0000-0000-00005A050000}"/>
    <cellStyle name="Normal 5 7 2 2 3" xfId="931" xr:uid="{00000000-0005-0000-0000-0000A3030000}"/>
    <cellStyle name="Normal 5 7 2 3" xfId="1144" xr:uid="{00000000-0005-0000-0000-000078040000}"/>
    <cellStyle name="Normal 5 7 2 4" xfId="860" xr:uid="{00000000-0005-0000-0000-00005C030000}"/>
    <cellStyle name="Normal 5 7 3" xfId="667" xr:uid="{00000000-0005-0000-0000-00009B020000}"/>
    <cellStyle name="Normal 5 7 3 2" xfId="1254" xr:uid="{00000000-0005-0000-0000-0000E6040000}"/>
    <cellStyle name="Normal 5 7 3 3" xfId="892" xr:uid="{00000000-0005-0000-0000-00007C030000}"/>
    <cellStyle name="Normal 5 7 4" xfId="1036" xr:uid="{00000000-0005-0000-0000-00000C040000}"/>
    <cellStyle name="Normal 5 7 5" xfId="828" xr:uid="{00000000-0005-0000-0000-00003C030000}"/>
    <cellStyle name="Normal 50" xfId="1418" xr:uid="{00000000-0005-0000-0000-00008A050000}"/>
    <cellStyle name="Normal 51" xfId="1419" xr:uid="{00000000-0005-0000-0000-00008B050000}"/>
    <cellStyle name="Normal 52" xfId="1420" xr:uid="{00000000-0005-0000-0000-00008C050000}"/>
    <cellStyle name="Normal 53" xfId="1421" xr:uid="{00000000-0005-0000-0000-00008D050000}"/>
    <cellStyle name="Normal 54" xfId="1422" xr:uid="{00000000-0005-0000-0000-00008E050000}"/>
    <cellStyle name="Normal 55" xfId="1423" xr:uid="{00000000-0005-0000-0000-00008F050000}"/>
    <cellStyle name="Normal 56" xfId="1424" xr:uid="{00000000-0005-0000-0000-000090050000}"/>
    <cellStyle name="Normal 57" xfId="1425" xr:uid="{00000000-0005-0000-0000-000091050000}"/>
    <cellStyle name="Normal 58" xfId="1426" xr:uid="{00000000-0005-0000-0000-000092050000}"/>
    <cellStyle name="Normal 59" xfId="1427" xr:uid="{00000000-0005-0000-0000-000093050000}"/>
    <cellStyle name="Normal 6" xfId="143" xr:uid="{00000000-0005-0000-0000-00008F000000}"/>
    <cellStyle name="Normal 6 2" xfId="144" xr:uid="{00000000-0005-0000-0000-000090000000}"/>
    <cellStyle name="Normal 60" xfId="1428" xr:uid="{00000000-0005-0000-0000-000094050000}"/>
    <cellStyle name="Normal 61" xfId="1429" xr:uid="{00000000-0005-0000-0000-000095050000}"/>
    <cellStyle name="Normal 62" xfId="1430" xr:uid="{00000000-0005-0000-0000-000096050000}"/>
    <cellStyle name="Normal 63" xfId="1431" xr:uid="{00000000-0005-0000-0000-000097050000}"/>
    <cellStyle name="Normal 64" xfId="1432" xr:uid="{00000000-0005-0000-0000-000098050000}"/>
    <cellStyle name="Normal 65" xfId="1433" xr:uid="{00000000-0005-0000-0000-000099050000}"/>
    <cellStyle name="Normal 66" xfId="1434" xr:uid="{00000000-0005-0000-0000-00009A050000}"/>
    <cellStyle name="Normal 67" xfId="1435" xr:uid="{00000000-0005-0000-0000-00009B050000}"/>
    <cellStyle name="Normal 68" xfId="1436" xr:uid="{00000000-0005-0000-0000-00009C050000}"/>
    <cellStyle name="Normal 69" xfId="1437" xr:uid="{00000000-0005-0000-0000-00009D050000}"/>
    <cellStyle name="Normal 7" xfId="145" xr:uid="{00000000-0005-0000-0000-000091000000}"/>
    <cellStyle name="Normal 7 2" xfId="362" xr:uid="{00000000-0005-0000-0000-00006A010000}"/>
    <cellStyle name="Normal 7 3" xfId="395" xr:uid="{00000000-0005-0000-0000-00008B010000}"/>
    <cellStyle name="Normal 7 4" xfId="462" xr:uid="{00000000-0005-0000-0000-0000CE010000}"/>
    <cellStyle name="Normal 7 4 2" xfId="698" xr:uid="{00000000-0005-0000-0000-0000BA020000}"/>
    <cellStyle name="Normal 7 4 2 2" xfId="1285" xr:uid="{00000000-0005-0000-0000-000005050000}"/>
    <cellStyle name="Normal 7 4 2 3" xfId="912" xr:uid="{00000000-0005-0000-0000-000090030000}"/>
    <cellStyle name="Normal 7 4 3" xfId="1061" xr:uid="{00000000-0005-0000-0000-000025040000}"/>
    <cellStyle name="Normal 7 4 4" xfId="843" xr:uid="{00000000-0005-0000-0000-00004B030000}"/>
    <cellStyle name="Normal 7 5" xfId="584" xr:uid="{00000000-0005-0000-0000-000048020000}"/>
    <cellStyle name="Normal 7 5 2" xfId="1171" xr:uid="{00000000-0005-0000-0000-000093040000}"/>
    <cellStyle name="Normal 7 5 3" xfId="875" xr:uid="{00000000-0005-0000-0000-00006B030000}"/>
    <cellStyle name="Normal 7 6" xfId="953" xr:uid="{00000000-0005-0000-0000-0000B9030000}"/>
    <cellStyle name="Normal 7 7" xfId="811" xr:uid="{00000000-0005-0000-0000-00002B030000}"/>
    <cellStyle name="Normal 70" xfId="1438" xr:uid="{00000000-0005-0000-0000-00009E050000}"/>
    <cellStyle name="Normal 71" xfId="1439" xr:uid="{00000000-0005-0000-0000-00009F050000}"/>
    <cellStyle name="Normal 72" xfId="1440" xr:uid="{00000000-0005-0000-0000-0000A0050000}"/>
    <cellStyle name="Normal 73" xfId="3" xr:uid="{00000000-0005-0000-0000-000003000000}"/>
    <cellStyle name="Normal 74" xfId="1441" xr:uid="{00000000-0005-0000-0000-0000A1050000}"/>
    <cellStyle name="Normal 75" xfId="1442" xr:uid="{00000000-0005-0000-0000-0000A2050000}"/>
    <cellStyle name="Normal 76" xfId="1443" xr:uid="{00000000-0005-0000-0000-0000A3050000}"/>
    <cellStyle name="Normal 8" xfId="363" xr:uid="{00000000-0005-0000-0000-00006B010000}"/>
    <cellStyle name="Normal 9" xfId="364" xr:uid="{00000000-0005-0000-0000-00006C010000}"/>
    <cellStyle name="Normale_B2020" xfId="146" xr:uid="{00000000-0005-0000-0000-000092000000}"/>
    <cellStyle name="Note 2" xfId="148" xr:uid="{00000000-0005-0000-0000-000094000000}"/>
    <cellStyle name="Note 2 2" xfId="149" xr:uid="{00000000-0005-0000-0000-000095000000}"/>
    <cellStyle name="Note 2 3" xfId="150" xr:uid="{00000000-0005-0000-0000-000096000000}"/>
    <cellStyle name="Note 2 4" xfId="365" xr:uid="{00000000-0005-0000-0000-00006D010000}"/>
    <cellStyle name="Note 3" xfId="151" xr:uid="{00000000-0005-0000-0000-000097000000}"/>
    <cellStyle name="Note 4" xfId="147" xr:uid="{00000000-0005-0000-0000-000093000000}"/>
    <cellStyle name="Output 2" xfId="153" xr:uid="{00000000-0005-0000-0000-000099000000}"/>
    <cellStyle name="Output 2 2" xfId="427" xr:uid="{00000000-0005-0000-0000-0000AB010000}"/>
    <cellStyle name="Output 2 2 2" xfId="561" xr:uid="{00000000-0005-0000-0000-000031020000}"/>
    <cellStyle name="Output 2 3" xfId="366" xr:uid="{00000000-0005-0000-0000-00006E010000}"/>
    <cellStyle name="Output 2 3 2" xfId="554" xr:uid="{00000000-0005-0000-0000-00002A020000}"/>
    <cellStyle name="Output 2 4" xfId="464" xr:uid="{00000000-0005-0000-0000-0000D0010000}"/>
    <cellStyle name="Output 3" xfId="154" xr:uid="{00000000-0005-0000-0000-00009A000000}"/>
    <cellStyle name="Output 3 2" xfId="465" xr:uid="{00000000-0005-0000-0000-0000D1010000}"/>
    <cellStyle name="Output 4" xfId="463" xr:uid="{00000000-0005-0000-0000-0000CF010000}"/>
    <cellStyle name="Output 5" xfId="152" xr:uid="{00000000-0005-0000-0000-000098000000}"/>
    <cellStyle name="Percent 10" xfId="367" xr:uid="{00000000-0005-0000-0000-00006F010000}"/>
    <cellStyle name="Percent 11" xfId="368" xr:uid="{00000000-0005-0000-0000-000070010000}"/>
    <cellStyle name="Percent 12" xfId="428" xr:uid="{00000000-0005-0000-0000-0000AC010000}"/>
    <cellStyle name="Percent 13" xfId="434" xr:uid="{00000000-0005-0000-0000-0000B2010000}"/>
    <cellStyle name="Percent 14" xfId="432" xr:uid="{00000000-0005-0000-0000-0000B0010000}"/>
    <cellStyle name="Percent 14 2" xfId="564" xr:uid="{00000000-0005-0000-0000-000034020000}"/>
    <cellStyle name="Percent 14 2 2" xfId="792" xr:uid="{00000000-0005-0000-0000-000018030000}"/>
    <cellStyle name="Percent 14 2 2 2" xfId="1379" xr:uid="{00000000-0005-0000-0000-000063050000}"/>
    <cellStyle name="Percent 14 2 2 3" xfId="937" xr:uid="{00000000-0005-0000-0000-0000A9030000}"/>
    <cellStyle name="Percent 14 2 3" xfId="1151" xr:uid="{00000000-0005-0000-0000-00007F040000}"/>
    <cellStyle name="Percent 14 2 4" xfId="864" xr:uid="{00000000-0005-0000-0000-000060030000}"/>
    <cellStyle name="Percent 14 3" xfId="674" xr:uid="{00000000-0005-0000-0000-0000A2020000}"/>
    <cellStyle name="Percent 14 3 2" xfId="1261" xr:uid="{00000000-0005-0000-0000-0000ED040000}"/>
    <cellStyle name="Percent 14 3 3" xfId="896" xr:uid="{00000000-0005-0000-0000-000080030000}"/>
    <cellStyle name="Percent 14 4" xfId="1043" xr:uid="{00000000-0005-0000-0000-000013040000}"/>
    <cellStyle name="Percent 14 5" xfId="832" xr:uid="{00000000-0005-0000-0000-000040030000}"/>
    <cellStyle name="Percent 15" xfId="442" xr:uid="{00000000-0005-0000-0000-0000BA010000}"/>
    <cellStyle name="Percent 15 2" xfId="569" xr:uid="{00000000-0005-0000-0000-000039020000}"/>
    <cellStyle name="Percent 15 2 2" xfId="797" xr:uid="{00000000-0005-0000-0000-00001D030000}"/>
    <cellStyle name="Percent 15 2 2 2" xfId="1384" xr:uid="{00000000-0005-0000-0000-000068050000}"/>
    <cellStyle name="Percent 15 2 2 3" xfId="940" xr:uid="{00000000-0005-0000-0000-0000AC030000}"/>
    <cellStyle name="Percent 15 2 3" xfId="1156" xr:uid="{00000000-0005-0000-0000-000084040000}"/>
    <cellStyle name="Percent 15 2 4" xfId="867" xr:uid="{00000000-0005-0000-0000-000063030000}"/>
    <cellStyle name="Percent 15 3" xfId="679" xr:uid="{00000000-0005-0000-0000-0000A7020000}"/>
    <cellStyle name="Percent 15 3 2" xfId="1266" xr:uid="{00000000-0005-0000-0000-0000F2040000}"/>
    <cellStyle name="Percent 15 3 3" xfId="899" xr:uid="{00000000-0005-0000-0000-000083030000}"/>
    <cellStyle name="Percent 15 4" xfId="1048" xr:uid="{00000000-0005-0000-0000-000018040000}"/>
    <cellStyle name="Percent 15 5" xfId="835" xr:uid="{00000000-0005-0000-0000-000043030000}"/>
    <cellStyle name="Percent 2" xfId="155" xr:uid="{00000000-0005-0000-0000-00009B000000}"/>
    <cellStyle name="Percent 2 2" xfId="156" xr:uid="{00000000-0005-0000-0000-00009C000000}"/>
    <cellStyle name="Percent 2 2 2" xfId="369" xr:uid="{00000000-0005-0000-0000-000071010000}"/>
    <cellStyle name="Percent 2 3" xfId="370" xr:uid="{00000000-0005-0000-0000-000072010000}"/>
    <cellStyle name="Percent 2 4" xfId="371" xr:uid="{00000000-0005-0000-0000-000073010000}"/>
    <cellStyle name="Percent 3" xfId="157" xr:uid="{00000000-0005-0000-0000-00009D000000}"/>
    <cellStyle name="Percent 3 2" xfId="158" xr:uid="{00000000-0005-0000-0000-00009E000000}"/>
    <cellStyle name="Percent 3 2 2" xfId="159" xr:uid="{00000000-0005-0000-0000-00009F000000}"/>
    <cellStyle name="Percent 3 2 2 2" xfId="372" xr:uid="{00000000-0005-0000-0000-000074010000}"/>
    <cellStyle name="Percent 3 3" xfId="160" xr:uid="{00000000-0005-0000-0000-0000A0000000}"/>
    <cellStyle name="Percent 4" xfId="161" xr:uid="{00000000-0005-0000-0000-0000A1000000}"/>
    <cellStyle name="Percent 4 2" xfId="162" xr:uid="{00000000-0005-0000-0000-0000A2000000}"/>
    <cellStyle name="Percent 4 2 2" xfId="374" xr:uid="{00000000-0005-0000-0000-000076010000}"/>
    <cellStyle name="Percent 4 3" xfId="429" xr:uid="{00000000-0005-0000-0000-0000AD010000}"/>
    <cellStyle name="Percent 4 4" xfId="373" xr:uid="{00000000-0005-0000-0000-000075010000}"/>
    <cellStyle name="Percent 4 4 2" xfId="555" xr:uid="{00000000-0005-0000-0000-00002B020000}"/>
    <cellStyle name="Percent 4 4 2 2" xfId="784" xr:uid="{00000000-0005-0000-0000-000010030000}"/>
    <cellStyle name="Percent 4 4 2 2 2" xfId="1371" xr:uid="{00000000-0005-0000-0000-00005B050000}"/>
    <cellStyle name="Percent 4 4 2 2 3" xfId="932" xr:uid="{00000000-0005-0000-0000-0000A4030000}"/>
    <cellStyle name="Percent 4 4 2 3" xfId="1145" xr:uid="{00000000-0005-0000-0000-000079040000}"/>
    <cellStyle name="Percent 4 4 2 4" xfId="861" xr:uid="{00000000-0005-0000-0000-00005D030000}"/>
    <cellStyle name="Percent 4 4 3" xfId="668" xr:uid="{00000000-0005-0000-0000-00009C020000}"/>
    <cellStyle name="Percent 4 4 3 2" xfId="1255" xr:uid="{00000000-0005-0000-0000-0000E7040000}"/>
    <cellStyle name="Percent 4 4 3 3" xfId="893" xr:uid="{00000000-0005-0000-0000-00007D030000}"/>
    <cellStyle name="Percent 4 4 4" xfId="1037" xr:uid="{00000000-0005-0000-0000-00000D040000}"/>
    <cellStyle name="Percent 4 4 5" xfId="829" xr:uid="{00000000-0005-0000-0000-00003D030000}"/>
    <cellStyle name="Percent 5" xfId="163" xr:uid="{00000000-0005-0000-0000-0000A3000000}"/>
    <cellStyle name="Percent 5 2" xfId="375" xr:uid="{00000000-0005-0000-0000-000077010000}"/>
    <cellStyle name="Percent 5 2 2" xfId="376" xr:uid="{00000000-0005-0000-0000-000078010000}"/>
    <cellStyle name="Percent 5 2 3" xfId="377" xr:uid="{00000000-0005-0000-0000-000079010000}"/>
    <cellStyle name="Percent 5 2 4" xfId="378" xr:uid="{00000000-0005-0000-0000-00007A010000}"/>
    <cellStyle name="Percent 5 3" xfId="379" xr:uid="{00000000-0005-0000-0000-00007B010000}"/>
    <cellStyle name="Percent 6" xfId="380" xr:uid="{00000000-0005-0000-0000-00007C010000}"/>
    <cellStyle name="Percent 6 2" xfId="381" xr:uid="{00000000-0005-0000-0000-00007D010000}"/>
    <cellStyle name="Percent 6 3" xfId="382" xr:uid="{00000000-0005-0000-0000-00007E010000}"/>
    <cellStyle name="Percent 7" xfId="383" xr:uid="{00000000-0005-0000-0000-00007F010000}"/>
    <cellStyle name="Percent 7 2" xfId="384" xr:uid="{00000000-0005-0000-0000-000080010000}"/>
    <cellStyle name="Percent 7 2 2" xfId="385" xr:uid="{00000000-0005-0000-0000-000081010000}"/>
    <cellStyle name="Percent 7 2 3" xfId="386" xr:uid="{00000000-0005-0000-0000-000082010000}"/>
    <cellStyle name="Percent 7 3" xfId="387" xr:uid="{00000000-0005-0000-0000-000083010000}"/>
    <cellStyle name="Percent 7 4" xfId="388" xr:uid="{00000000-0005-0000-0000-000084010000}"/>
    <cellStyle name="Percent 8" xfId="389" xr:uid="{00000000-0005-0000-0000-000085010000}"/>
    <cellStyle name="Percent 8 2" xfId="390" xr:uid="{00000000-0005-0000-0000-000086010000}"/>
    <cellStyle name="Percent 9" xfId="391" xr:uid="{00000000-0005-0000-0000-000087010000}"/>
    <cellStyle name="Percent 9 2" xfId="392" xr:uid="{00000000-0005-0000-0000-000088010000}"/>
    <cellStyle name="Standard_Sce_D_Extraction" xfId="164" xr:uid="{00000000-0005-0000-0000-0000A4000000}"/>
    <cellStyle name="Title 2" xfId="166" xr:uid="{00000000-0005-0000-0000-0000A6000000}"/>
    <cellStyle name="Title 3" xfId="167" xr:uid="{00000000-0005-0000-0000-0000A7000000}"/>
    <cellStyle name="Title 4" xfId="165" xr:uid="{00000000-0005-0000-0000-0000A5000000}"/>
    <cellStyle name="Total 2" xfId="169" xr:uid="{00000000-0005-0000-0000-0000A9000000}"/>
    <cellStyle name="Total 2 2" xfId="467" xr:uid="{00000000-0005-0000-0000-0000D3010000}"/>
    <cellStyle name="Total 3" xfId="170" xr:uid="{00000000-0005-0000-0000-0000AA000000}"/>
    <cellStyle name="Total 3 2" xfId="468" xr:uid="{00000000-0005-0000-0000-0000D4010000}"/>
    <cellStyle name="Total 4" xfId="466" xr:uid="{00000000-0005-0000-0000-0000D2010000}"/>
    <cellStyle name="Total 5" xfId="168" xr:uid="{00000000-0005-0000-0000-0000A8000000}"/>
    <cellStyle name="Warning Text 2" xfId="172" xr:uid="{00000000-0005-0000-0000-0000AC000000}"/>
    <cellStyle name="Warning Text 3" xfId="173" xr:uid="{00000000-0005-0000-0000-0000AD000000}"/>
    <cellStyle name="Warning Text 4" xfId="171" xr:uid="{00000000-0005-0000-0000-0000A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J27" sqref="J27"/>
    </sheetView>
  </sheetViews>
  <sheetFormatPr defaultColWidth="8.85546875" defaultRowHeight="15"/>
  <cols>
    <col min="1" max="23" width="8.85546875" style="23" customWidth="1"/>
    <col min="24" max="16384" width="8.85546875" style="23"/>
  </cols>
  <sheetData>
    <row r="1" spans="1:3" s="22" customFormat="1" ht="23.45" customHeight="1">
      <c r="A1" s="22" t="s">
        <v>0</v>
      </c>
    </row>
    <row r="2" spans="1:3" s="22" customFormat="1" ht="23.45" customHeight="1"/>
    <row r="3" spans="1:3">
      <c r="B3" s="24" t="s">
        <v>1</v>
      </c>
    </row>
    <row r="4" spans="1:3">
      <c r="B4" s="25"/>
      <c r="C4" s="23" t="s">
        <v>2</v>
      </c>
    </row>
    <row r="6" spans="1:3">
      <c r="B6" s="26"/>
      <c r="C6" s="23" t="s">
        <v>3</v>
      </c>
    </row>
    <row r="8" spans="1:3">
      <c r="B8" s="27"/>
      <c r="C8" s="23" t="s">
        <v>4</v>
      </c>
    </row>
    <row r="10" spans="1:3">
      <c r="B10" s="28"/>
      <c r="C10" s="2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J27" sqref="J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J27" sqref="J27"/>
    </sheetView>
  </sheetViews>
  <sheetFormatPr defaultColWidth="8.85546875" defaultRowHeight="15"/>
  <cols>
    <col min="1" max="1" width="8.85546875" style="23" customWidth="1"/>
    <col min="2" max="2" width="47.7109375" style="23" customWidth="1"/>
    <col min="3" max="3" width="26.140625" style="23" customWidth="1"/>
    <col min="4" max="4" width="14.42578125" style="23" customWidth="1"/>
    <col min="5" max="13" width="10.85546875" style="23" customWidth="1"/>
    <col min="14" max="36" width="8.85546875" style="23" customWidth="1"/>
    <col min="37" max="16384" width="8.85546875" style="23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27" sqref="J27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"/>
  <sheetViews>
    <sheetView workbookViewId="0">
      <selection activeCell="J27" sqref="J27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H47"/>
  <sheetViews>
    <sheetView topLeftCell="A4" workbookViewId="0">
      <selection activeCell="J39" sqref="J39"/>
    </sheetView>
  </sheetViews>
  <sheetFormatPr defaultRowHeight="15"/>
  <cols>
    <col min="3" max="3" width="24.28515625" bestFit="1" customWidth="1"/>
    <col min="4" max="4" width="8.7109375" bestFit="1" customWidth="1"/>
    <col min="6" max="6" width="12.5703125" bestFit="1" customWidth="1"/>
    <col min="7" max="7" width="14.85546875" bestFit="1" customWidth="1"/>
    <col min="8" max="8" width="15.5703125" bestFit="1" customWidth="1"/>
  </cols>
  <sheetData>
    <row r="4" spans="3:8">
      <c r="C4" s="1" t="s">
        <v>71</v>
      </c>
    </row>
    <row r="6" spans="3:8">
      <c r="E6" s="1" t="s">
        <v>72</v>
      </c>
    </row>
    <row r="7" spans="3:8">
      <c r="C7" s="2" t="s">
        <v>73</v>
      </c>
      <c r="D7" s="2" t="s">
        <v>74</v>
      </c>
      <c r="E7" s="2" t="s">
        <v>30</v>
      </c>
      <c r="F7" s="2" t="s">
        <v>75</v>
      </c>
      <c r="G7" s="2" t="s">
        <v>76</v>
      </c>
      <c r="H7" s="2" t="s">
        <v>77</v>
      </c>
    </row>
    <row r="8" spans="3:8">
      <c r="C8" t="s">
        <v>78</v>
      </c>
      <c r="D8" t="s">
        <v>79</v>
      </c>
      <c r="E8">
        <v>2025</v>
      </c>
      <c r="F8">
        <v>1</v>
      </c>
      <c r="G8" s="29">
        <f>'Pre-processing'!$D$15</f>
        <v>13916464.396674622</v>
      </c>
      <c r="H8">
        <v>15</v>
      </c>
    </row>
    <row r="9" spans="3:8">
      <c r="D9" t="s">
        <v>79</v>
      </c>
      <c r="E9">
        <v>2030</v>
      </c>
      <c r="F9">
        <v>1</v>
      </c>
      <c r="G9" s="29">
        <f>'Pre-processing'!$D$17</f>
        <v>11303689.46054006</v>
      </c>
    </row>
    <row r="10" spans="3:8">
      <c r="D10" t="s">
        <v>79</v>
      </c>
      <c r="E10">
        <v>2035</v>
      </c>
      <c r="F10">
        <v>1</v>
      </c>
      <c r="G10" s="29">
        <f>'Pre-processing'!$D$18</f>
        <v>10258579.486086234</v>
      </c>
    </row>
    <row r="11" spans="3:8">
      <c r="D11" t="s">
        <v>79</v>
      </c>
      <c r="E11">
        <v>2040</v>
      </c>
      <c r="F11">
        <v>1</v>
      </c>
      <c r="G11" s="29">
        <f>'Pre-processing'!$D$19</f>
        <v>8690914.5244054943</v>
      </c>
    </row>
    <row r="12" spans="3:8">
      <c r="D12" t="s">
        <v>79</v>
      </c>
      <c r="E12">
        <v>2045</v>
      </c>
      <c r="F12">
        <v>1</v>
      </c>
      <c r="G12" s="29">
        <f>'Pre-processing'!$D$20</f>
        <v>6078139.5882709324</v>
      </c>
    </row>
    <row r="13" spans="3:8">
      <c r="D13" t="s">
        <v>79</v>
      </c>
      <c r="E13">
        <v>2050</v>
      </c>
      <c r="F13">
        <v>1</v>
      </c>
      <c r="G13" s="29">
        <f>'Pre-processing'!$D$21</f>
        <v>3465364.6521363687</v>
      </c>
    </row>
    <row r="14" spans="3:8">
      <c r="D14" t="s">
        <v>79</v>
      </c>
      <c r="E14">
        <v>2055</v>
      </c>
      <c r="F14">
        <v>1</v>
      </c>
      <c r="G14" s="29">
        <f>'Pre-processing'!$D$22</f>
        <v>852589.71600180573</v>
      </c>
    </row>
    <row r="15" spans="3:8">
      <c r="D15" t="s">
        <v>79</v>
      </c>
      <c r="E15">
        <v>2060</v>
      </c>
      <c r="F15">
        <v>1</v>
      </c>
      <c r="G15" s="29">
        <f>'Pre-processing'!$D$23</f>
        <v>852589.71600180573</v>
      </c>
    </row>
    <row r="16" spans="3:8">
      <c r="D16" t="s">
        <v>79</v>
      </c>
      <c r="E16">
        <v>2065</v>
      </c>
      <c r="F16">
        <v>1</v>
      </c>
      <c r="G16" s="29">
        <f>'Pre-processing'!$D$24</f>
        <v>852589.71600180573</v>
      </c>
    </row>
    <row r="17" spans="3:8">
      <c r="D17" t="s">
        <v>79</v>
      </c>
      <c r="E17">
        <v>2070</v>
      </c>
      <c r="F17">
        <v>1</v>
      </c>
      <c r="G17" s="29">
        <f>'Pre-processing'!$D$25</f>
        <v>852589.71600180573</v>
      </c>
    </row>
    <row r="18" spans="3:8">
      <c r="D18" t="s">
        <v>79</v>
      </c>
      <c r="E18">
        <v>2075</v>
      </c>
      <c r="F18">
        <v>1</v>
      </c>
      <c r="G18" s="29">
        <f>'Pre-processing'!$D$26</f>
        <v>852589.71600180573</v>
      </c>
    </row>
    <row r="19" spans="3:8">
      <c r="D19" t="s">
        <v>79</v>
      </c>
      <c r="E19">
        <v>2080</v>
      </c>
      <c r="F19">
        <v>1</v>
      </c>
      <c r="G19" s="29">
        <f>'Pre-processing'!$D$27</f>
        <v>852589.71600180573</v>
      </c>
    </row>
    <row r="20" spans="3:8">
      <c r="D20" t="s">
        <v>79</v>
      </c>
      <c r="E20">
        <v>2085</v>
      </c>
      <c r="F20">
        <v>1</v>
      </c>
      <c r="G20" s="29">
        <f>'Pre-processing'!$D$28</f>
        <v>852589.71600180573</v>
      </c>
    </row>
    <row r="21" spans="3:8">
      <c r="D21" t="s">
        <v>79</v>
      </c>
      <c r="E21">
        <v>2090</v>
      </c>
      <c r="F21">
        <v>1</v>
      </c>
      <c r="G21" s="29">
        <f>'Pre-processing'!$D$29</f>
        <v>852589.71600180573</v>
      </c>
    </row>
    <row r="22" spans="3:8">
      <c r="D22" t="s">
        <v>79</v>
      </c>
      <c r="E22">
        <v>2095</v>
      </c>
      <c r="F22">
        <v>1</v>
      </c>
      <c r="G22" s="29">
        <f>'Pre-processing'!$D$30</f>
        <v>852589.71600180573</v>
      </c>
    </row>
    <row r="23" spans="3:8">
      <c r="D23" t="s">
        <v>79</v>
      </c>
      <c r="E23">
        <v>2100</v>
      </c>
      <c r="F23">
        <v>1</v>
      </c>
      <c r="G23" s="29">
        <f>'Pre-processing'!$D$31</f>
        <v>852589.71600180573</v>
      </c>
    </row>
    <row r="28" spans="3:8">
      <c r="C28" s="1" t="s">
        <v>80</v>
      </c>
    </row>
    <row r="30" spans="3:8">
      <c r="E30" s="1" t="s">
        <v>72</v>
      </c>
    </row>
    <row r="31" spans="3:8">
      <c r="C31" s="2" t="s">
        <v>73</v>
      </c>
      <c r="D31" s="2" t="s">
        <v>74</v>
      </c>
      <c r="E31" s="2" t="s">
        <v>30</v>
      </c>
      <c r="F31" s="2" t="s">
        <v>75</v>
      </c>
      <c r="G31" s="2" t="s">
        <v>76</v>
      </c>
      <c r="H31" s="2" t="s">
        <v>77</v>
      </c>
    </row>
    <row r="32" spans="3:8">
      <c r="C32" t="s">
        <v>81</v>
      </c>
      <c r="D32" t="s">
        <v>79</v>
      </c>
      <c r="E32">
        <v>2025</v>
      </c>
      <c r="F32">
        <v>1</v>
      </c>
      <c r="G32" s="29">
        <f>'Pre-processing'!$F$15</f>
        <v>114384411.12965988</v>
      </c>
      <c r="H32">
        <v>15</v>
      </c>
    </row>
    <row r="33" spans="4:7">
      <c r="D33" t="s">
        <v>79</v>
      </c>
      <c r="E33">
        <v>2030</v>
      </c>
      <c r="F33">
        <v>1</v>
      </c>
      <c r="G33" s="29">
        <f>'Pre-processing'!$F$17</f>
        <v>92909077.024288952</v>
      </c>
    </row>
    <row r="34" spans="4:7">
      <c r="D34" t="s">
        <v>79</v>
      </c>
      <c r="E34">
        <v>2035</v>
      </c>
      <c r="F34">
        <v>1</v>
      </c>
      <c r="G34" s="29">
        <f>'Pre-processing'!$F$18</f>
        <v>84318943.382140577</v>
      </c>
    </row>
    <row r="35" spans="4:7">
      <c r="D35" t="s">
        <v>79</v>
      </c>
      <c r="E35">
        <v>2040</v>
      </c>
      <c r="F35">
        <v>1</v>
      </c>
      <c r="G35" s="29">
        <f>'Pre-processing'!$F$19</f>
        <v>71433742.918918028</v>
      </c>
    </row>
    <row r="36" spans="4:7">
      <c r="D36" t="s">
        <v>79</v>
      </c>
      <c r="E36">
        <v>2045</v>
      </c>
      <c r="F36">
        <v>1</v>
      </c>
      <c r="G36" s="29">
        <f>'Pre-processing'!$F$20</f>
        <v>49958408.813547105</v>
      </c>
    </row>
    <row r="37" spans="4:7">
      <c r="D37" t="s">
        <v>79</v>
      </c>
      <c r="E37">
        <v>2050</v>
      </c>
      <c r="F37">
        <v>1</v>
      </c>
      <c r="G37" s="29">
        <f>'Pre-processing'!$F$21</f>
        <v>28483074.708176181</v>
      </c>
    </row>
    <row r="38" spans="4:7">
      <c r="D38" t="s">
        <v>79</v>
      </c>
      <c r="E38">
        <v>2055</v>
      </c>
      <c r="F38">
        <v>1</v>
      </c>
      <c r="G38" s="29">
        <f>'Pre-processing'!$F$22</f>
        <v>7007740.6028052559</v>
      </c>
    </row>
    <row r="39" spans="4:7">
      <c r="D39" t="s">
        <v>79</v>
      </c>
      <c r="E39">
        <v>2060</v>
      </c>
      <c r="F39">
        <v>1</v>
      </c>
      <c r="G39" s="29">
        <f>'Pre-processing'!$F$23</f>
        <v>7007740.6028052559</v>
      </c>
    </row>
    <row r="40" spans="4:7">
      <c r="D40" t="s">
        <v>79</v>
      </c>
      <c r="E40">
        <v>2065</v>
      </c>
      <c r="F40">
        <v>1</v>
      </c>
      <c r="G40" s="29">
        <f>'Pre-processing'!$F$24</f>
        <v>7007740.6028052559</v>
      </c>
    </row>
    <row r="41" spans="4:7">
      <c r="D41" t="s">
        <v>79</v>
      </c>
      <c r="E41">
        <v>2070</v>
      </c>
      <c r="F41">
        <v>1</v>
      </c>
      <c r="G41" s="29">
        <f>'Pre-processing'!$F$25</f>
        <v>7007740.6028052559</v>
      </c>
    </row>
    <row r="42" spans="4:7">
      <c r="D42" t="s">
        <v>79</v>
      </c>
      <c r="E42">
        <v>2075</v>
      </c>
      <c r="F42">
        <v>1</v>
      </c>
      <c r="G42" s="29">
        <f>'Pre-processing'!$F$26</f>
        <v>7007740.6028052559</v>
      </c>
    </row>
    <row r="43" spans="4:7">
      <c r="D43" t="s">
        <v>79</v>
      </c>
      <c r="E43">
        <v>2080</v>
      </c>
      <c r="F43">
        <v>1</v>
      </c>
      <c r="G43" s="29">
        <f>'Pre-processing'!$F$27</f>
        <v>7007740.6028052559</v>
      </c>
    </row>
    <row r="44" spans="4:7">
      <c r="D44" t="s">
        <v>79</v>
      </c>
      <c r="E44">
        <v>2085</v>
      </c>
      <c r="F44">
        <v>1</v>
      </c>
      <c r="G44" s="29">
        <f>'Pre-processing'!$F$28</f>
        <v>7007740.6028052559</v>
      </c>
    </row>
    <row r="45" spans="4:7">
      <c r="D45" t="s">
        <v>79</v>
      </c>
      <c r="E45">
        <v>2090</v>
      </c>
      <c r="F45">
        <v>1</v>
      </c>
      <c r="G45" s="29">
        <f>'Pre-processing'!$F$29</f>
        <v>7007740.6028052559</v>
      </c>
    </row>
    <row r="46" spans="4:7">
      <c r="D46" t="s">
        <v>79</v>
      </c>
      <c r="E46">
        <v>2095</v>
      </c>
      <c r="F46">
        <v>1</v>
      </c>
      <c r="G46" s="29">
        <f>'Pre-processing'!$F$30</f>
        <v>7007740.6028052559</v>
      </c>
    </row>
    <row r="47" spans="4:7">
      <c r="D47" t="s">
        <v>79</v>
      </c>
      <c r="E47">
        <v>2100</v>
      </c>
      <c r="F47">
        <v>1</v>
      </c>
      <c r="G47" s="29">
        <f>'Pre-processing'!$F$31</f>
        <v>7007740.6028052559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</sheetPr>
  <dimension ref="A1"/>
  <sheetViews>
    <sheetView workbookViewId="0">
      <selection activeCell="J27" sqref="J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"/>
  <sheetViews>
    <sheetView tabSelected="1" workbookViewId="0">
      <selection activeCell="D11" sqref="D11"/>
    </sheetView>
  </sheetViews>
  <sheetFormatPr defaultRowHeight="1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82</v>
      </c>
    </row>
    <row r="4" spans="1:26">
      <c r="A4" s="4" t="s">
        <v>83</v>
      </c>
      <c r="B4" s="3"/>
      <c r="C4" s="4" t="s">
        <v>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85</v>
      </c>
      <c r="B5" s="4" t="s">
        <v>86</v>
      </c>
      <c r="C5" s="6">
        <v>2019</v>
      </c>
      <c r="D5" s="6">
        <v>2020</v>
      </c>
      <c r="E5" s="6">
        <v>2021</v>
      </c>
      <c r="F5" s="6">
        <v>2022</v>
      </c>
      <c r="G5" s="6">
        <v>2023</v>
      </c>
      <c r="H5" s="6">
        <v>2024</v>
      </c>
      <c r="I5" s="6">
        <v>2025</v>
      </c>
      <c r="J5" s="6">
        <v>2027</v>
      </c>
      <c r="K5" s="6">
        <v>2030</v>
      </c>
      <c r="L5" s="6">
        <v>2032</v>
      </c>
      <c r="M5" s="6">
        <v>2035</v>
      </c>
      <c r="N5" s="6">
        <v>2040</v>
      </c>
      <c r="O5" s="6">
        <v>2045</v>
      </c>
      <c r="P5" s="6">
        <v>2050</v>
      </c>
      <c r="Q5" s="6">
        <v>2055</v>
      </c>
      <c r="R5" s="6">
        <v>2060</v>
      </c>
      <c r="S5" s="6">
        <v>2065</v>
      </c>
      <c r="T5" s="6">
        <v>2070</v>
      </c>
      <c r="U5" s="6">
        <v>2075</v>
      </c>
      <c r="V5" s="6">
        <v>2080</v>
      </c>
      <c r="W5" s="6">
        <v>2085</v>
      </c>
      <c r="X5" s="6">
        <v>2090</v>
      </c>
      <c r="Y5" s="6">
        <v>2095</v>
      </c>
      <c r="Z5" s="6">
        <v>2100</v>
      </c>
    </row>
    <row r="6" spans="1:26">
      <c r="A6" s="5" t="s">
        <v>79</v>
      </c>
      <c r="B6" s="5" t="s">
        <v>87</v>
      </c>
      <c r="C6" s="32">
        <v>17051794.320036098</v>
      </c>
      <c r="D6" s="32">
        <v>17411912.7284825</v>
      </c>
      <c r="E6" s="32">
        <v>17042314.412893798</v>
      </c>
      <c r="F6" s="32">
        <v>16738950.979414601</v>
      </c>
      <c r="G6" s="32">
        <v>16467806.509803399</v>
      </c>
      <c r="H6" s="32">
        <v>16169641.1764255</v>
      </c>
      <c r="I6" s="32">
        <v>15909010.450488999</v>
      </c>
      <c r="J6" s="32">
        <v>15481949.447609801</v>
      </c>
      <c r="K6" s="32">
        <v>14551152.062022099</v>
      </c>
      <c r="L6" s="32">
        <v>14083056.1381485</v>
      </c>
      <c r="M6" s="32">
        <v>13838793.024543701</v>
      </c>
      <c r="N6" s="32">
        <v>13330953.1466696</v>
      </c>
      <c r="O6" s="32">
        <v>13335442.4330044</v>
      </c>
      <c r="P6" s="32">
        <v>13363578.259632001</v>
      </c>
      <c r="Q6" s="32">
        <v>13122307.857685</v>
      </c>
      <c r="R6" s="32">
        <v>13186983.711572399</v>
      </c>
      <c r="S6" s="32">
        <v>13434598.9708813</v>
      </c>
      <c r="T6" s="32">
        <v>13688958.0206508</v>
      </c>
      <c r="U6" s="32">
        <v>13945372.9130203</v>
      </c>
      <c r="V6" s="32">
        <v>14203176.4878932</v>
      </c>
      <c r="W6" s="32">
        <v>14462560.8652943</v>
      </c>
      <c r="X6" s="32">
        <v>14723407.0002004</v>
      </c>
      <c r="Y6" s="32">
        <v>14988271.0230789</v>
      </c>
      <c r="Z6" s="32">
        <v>15256424.2147331</v>
      </c>
    </row>
    <row r="7" spans="1:26">
      <c r="A7" s="5" t="s">
        <v>79</v>
      </c>
      <c r="B7" s="5" t="s">
        <v>88</v>
      </c>
      <c r="C7" s="33">
        <v>140154812.05610499</v>
      </c>
      <c r="D7" s="33">
        <v>116791046.108998</v>
      </c>
      <c r="E7" s="33">
        <v>112077016.343172</v>
      </c>
      <c r="F7" s="33">
        <v>107318707.19919799</v>
      </c>
      <c r="G7" s="33">
        <v>102689163.055683</v>
      </c>
      <c r="H7" s="33">
        <v>98021451.440976396</v>
      </c>
      <c r="I7" s="33">
        <v>93480478.671731204</v>
      </c>
      <c r="J7" s="33">
        <v>86474337.627169803</v>
      </c>
      <c r="K7" s="33">
        <v>75821479.754730001</v>
      </c>
      <c r="L7" s="33">
        <v>71157763.993582502</v>
      </c>
      <c r="M7" s="33">
        <v>63660712.455233797</v>
      </c>
      <c r="N7" s="33">
        <v>65309850.055936299</v>
      </c>
      <c r="O7" s="33">
        <v>63123238.426998101</v>
      </c>
      <c r="P7" s="33">
        <v>59738128.290830702</v>
      </c>
      <c r="Q7" s="33">
        <v>61105984.711081602</v>
      </c>
      <c r="R7" s="33">
        <v>45114583.242229298</v>
      </c>
      <c r="S7" s="33">
        <v>24614500.1746393</v>
      </c>
      <c r="T7" s="33">
        <v>8473768.1908869799</v>
      </c>
      <c r="U7" s="33">
        <v>8542059.3846182991</v>
      </c>
      <c r="V7" s="33">
        <v>8555461.2272646893</v>
      </c>
      <c r="W7" s="33">
        <v>8565567.2929799892</v>
      </c>
      <c r="X7" s="33">
        <v>8677311.3460372202</v>
      </c>
      <c r="Y7" s="33">
        <v>8714429.1983445492</v>
      </c>
      <c r="Z7" s="33">
        <v>8727202.7895567808</v>
      </c>
    </row>
    <row r="8" spans="1:26">
      <c r="A8" s="5" t="s">
        <v>89</v>
      </c>
      <c r="B8" s="5" t="s">
        <v>89</v>
      </c>
      <c r="C8" s="34">
        <v>157206606.37614101</v>
      </c>
      <c r="D8" s="34">
        <v>134202958.83748101</v>
      </c>
      <c r="E8" s="34">
        <v>129119330.75606599</v>
      </c>
      <c r="F8" s="34">
        <v>124057658.17861301</v>
      </c>
      <c r="G8" s="34">
        <v>119156969.565486</v>
      </c>
      <c r="H8" s="34">
        <v>114191092.617402</v>
      </c>
      <c r="I8" s="34">
        <v>109389489.12221999</v>
      </c>
      <c r="J8" s="34">
        <v>101956287.07478</v>
      </c>
      <c r="K8" s="34">
        <v>90372631.816752106</v>
      </c>
      <c r="L8" s="34">
        <v>85240820.131731004</v>
      </c>
      <c r="M8" s="34">
        <v>77499505.4797775</v>
      </c>
      <c r="N8" s="34">
        <v>78640803.202605903</v>
      </c>
      <c r="O8" s="34">
        <v>76458680.860002503</v>
      </c>
      <c r="P8" s="34">
        <v>73101706.550462693</v>
      </c>
      <c r="Q8" s="34">
        <v>74228292.568766594</v>
      </c>
      <c r="R8" s="34">
        <v>58301566.953801699</v>
      </c>
      <c r="S8" s="34">
        <v>38049099.145520598</v>
      </c>
      <c r="T8" s="34">
        <v>22162726.211537801</v>
      </c>
      <c r="U8" s="34">
        <v>22487432.297638599</v>
      </c>
      <c r="V8" s="34">
        <v>22758637.7151579</v>
      </c>
      <c r="W8" s="34">
        <v>23028128.1582743</v>
      </c>
      <c r="X8" s="34">
        <v>23400718.3462376</v>
      </c>
      <c r="Y8" s="34">
        <v>23702700.221423399</v>
      </c>
      <c r="Z8" s="34">
        <v>23983627.004289899</v>
      </c>
    </row>
    <row r="15" spans="1:26">
      <c r="A15" t="s">
        <v>14</v>
      </c>
    </row>
    <row r="16" spans="1:26">
      <c r="A16" s="4" t="s">
        <v>83</v>
      </c>
      <c r="B16" s="3"/>
      <c r="C16" s="4" t="s">
        <v>84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 t="s">
        <v>85</v>
      </c>
      <c r="B17" s="4" t="s">
        <v>86</v>
      </c>
      <c r="C17" s="6">
        <v>2019</v>
      </c>
      <c r="D17" s="6">
        <v>2020</v>
      </c>
      <c r="E17" s="6">
        <v>2021</v>
      </c>
      <c r="F17" s="6">
        <v>2022</v>
      </c>
      <c r="G17" s="6">
        <v>2023</v>
      </c>
      <c r="H17" s="6">
        <v>2024</v>
      </c>
      <c r="I17" s="6">
        <v>2025</v>
      </c>
      <c r="J17" s="6">
        <v>2027</v>
      </c>
      <c r="K17" s="6">
        <v>2030</v>
      </c>
      <c r="L17" s="6">
        <v>2032</v>
      </c>
      <c r="M17" s="6">
        <v>2035</v>
      </c>
      <c r="N17" s="6">
        <v>2040</v>
      </c>
      <c r="O17" s="6">
        <v>2045</v>
      </c>
      <c r="P17" s="6">
        <v>2050</v>
      </c>
      <c r="Q17" s="6">
        <v>2055</v>
      </c>
      <c r="R17" s="6">
        <v>2060</v>
      </c>
      <c r="S17" s="6">
        <v>2065</v>
      </c>
      <c r="T17" s="6">
        <v>2070</v>
      </c>
      <c r="U17" s="6">
        <v>2075</v>
      </c>
      <c r="V17" s="6">
        <v>2080</v>
      </c>
      <c r="W17" s="6">
        <v>2085</v>
      </c>
      <c r="X17" s="6">
        <v>2090</v>
      </c>
      <c r="Y17" s="6">
        <v>2095</v>
      </c>
      <c r="Z17" s="6">
        <v>2100</v>
      </c>
    </row>
    <row r="18" spans="1:26">
      <c r="A18" s="5" t="s">
        <v>79</v>
      </c>
      <c r="B18" s="5" t="s">
        <v>88</v>
      </c>
      <c r="C18" s="30">
        <v>38627278.527364902</v>
      </c>
      <c r="D18" s="30">
        <v>41546699.268929496</v>
      </c>
      <c r="E18" s="30">
        <v>40934895.238130003</v>
      </c>
      <c r="F18" s="30">
        <v>40417389.3913491</v>
      </c>
      <c r="G18" s="30">
        <v>39925913.773449302</v>
      </c>
      <c r="H18" s="30">
        <v>39497229.982994698</v>
      </c>
      <c r="I18" s="30">
        <v>39117290.857658602</v>
      </c>
      <c r="J18" s="30">
        <v>38194831.990701698</v>
      </c>
      <c r="K18" s="30">
        <v>36194519.955869101</v>
      </c>
      <c r="L18" s="30">
        <v>35380258.747071803</v>
      </c>
      <c r="M18" s="30">
        <v>34993775.151930302</v>
      </c>
      <c r="N18" s="30">
        <v>32349668.992587201</v>
      </c>
      <c r="O18" s="30">
        <v>28704114.045150299</v>
      </c>
      <c r="P18" s="30">
        <v>27324792.102229599</v>
      </c>
      <c r="Q18" s="30">
        <v>27456073.5543193</v>
      </c>
      <c r="R18" s="30">
        <v>27959420.423287898</v>
      </c>
      <c r="S18" s="30">
        <v>28476330.7183697</v>
      </c>
      <c r="T18" s="30">
        <v>28999489.6797974</v>
      </c>
      <c r="U18" s="30">
        <v>29491503.609430399</v>
      </c>
      <c r="V18" s="30">
        <v>30050873.6412163</v>
      </c>
      <c r="W18" s="30">
        <v>30579353.654169399</v>
      </c>
      <c r="X18" s="30">
        <v>31103124.012364</v>
      </c>
      <c r="Y18" s="30">
        <v>31641981.296218202</v>
      </c>
      <c r="Z18" s="30">
        <v>32176545.106593899</v>
      </c>
    </row>
    <row r="19" spans="1:26">
      <c r="A19" s="5" t="s">
        <v>79</v>
      </c>
      <c r="B19" s="5" t="s">
        <v>87</v>
      </c>
      <c r="C19" s="30">
        <v>11434915.3186293</v>
      </c>
      <c r="D19" s="30">
        <v>7535855.8218425103</v>
      </c>
      <c r="E19" s="30">
        <v>8027883.4263306996</v>
      </c>
      <c r="F19" s="30">
        <v>7560538.3043080801</v>
      </c>
      <c r="G19" s="30">
        <v>7013467.8184290798</v>
      </c>
      <c r="H19" s="30">
        <v>6513435.7083001398</v>
      </c>
      <c r="I19" s="30">
        <v>6440342.5133912303</v>
      </c>
      <c r="J19" s="30">
        <v>5858894.4792744704</v>
      </c>
      <c r="K19" s="30">
        <v>5633947.99801974</v>
      </c>
      <c r="L19" s="30">
        <v>5461669.42494231</v>
      </c>
      <c r="M19" s="30">
        <v>3888295.2080423399</v>
      </c>
      <c r="N19" s="30">
        <v>6056346.1380958697</v>
      </c>
      <c r="O19" s="30">
        <v>9277221.7270672992</v>
      </c>
      <c r="P19" s="30">
        <v>8062246.9776605899</v>
      </c>
      <c r="Q19" s="30">
        <v>7179450.8965139603</v>
      </c>
      <c r="R19" s="30">
        <v>7322101.2752364902</v>
      </c>
      <c r="S19" s="30">
        <v>7395879.4503630605</v>
      </c>
      <c r="T19" s="30">
        <v>7710440.36248245</v>
      </c>
      <c r="U19" s="30">
        <v>7766026.3577024601</v>
      </c>
      <c r="V19" s="30">
        <v>8082155.3856127802</v>
      </c>
      <c r="W19" s="30">
        <v>8407882.6410718393</v>
      </c>
      <c r="X19" s="30">
        <v>8737543.7895360403</v>
      </c>
      <c r="Y19" s="30">
        <v>9070452.0942983609</v>
      </c>
      <c r="Z19" s="30">
        <v>9414203.5558064003</v>
      </c>
    </row>
    <row r="20" spans="1:26">
      <c r="A20" s="5" t="s">
        <v>79</v>
      </c>
      <c r="B20" s="5" t="s">
        <v>90</v>
      </c>
      <c r="C20" s="31">
        <v>50062193.845994197</v>
      </c>
      <c r="D20" s="31">
        <v>49082555.090772003</v>
      </c>
      <c r="E20" s="31">
        <v>48962778.664460696</v>
      </c>
      <c r="F20" s="31">
        <v>47977927.695657201</v>
      </c>
      <c r="G20" s="31">
        <v>46939381.591878399</v>
      </c>
      <c r="H20" s="31">
        <v>46010665.691294797</v>
      </c>
      <c r="I20" s="31">
        <v>45557633.371049799</v>
      </c>
      <c r="J20" s="31">
        <v>44053726.469976202</v>
      </c>
      <c r="K20" s="31">
        <v>41828467.953888804</v>
      </c>
      <c r="L20" s="31">
        <v>40841928.172014102</v>
      </c>
      <c r="M20" s="31">
        <v>38882070.359972604</v>
      </c>
      <c r="N20" s="31">
        <v>38406015.130683102</v>
      </c>
      <c r="O20" s="31">
        <v>37981335.772217602</v>
      </c>
      <c r="P20" s="31">
        <v>35387039.079890199</v>
      </c>
      <c r="Q20" s="31">
        <v>34635524.450833298</v>
      </c>
      <c r="R20" s="31">
        <v>35281521.698524401</v>
      </c>
      <c r="S20" s="31">
        <v>35872210.1687328</v>
      </c>
      <c r="T20" s="31">
        <v>36709930.042279802</v>
      </c>
      <c r="U20" s="31">
        <v>37257529.967132904</v>
      </c>
      <c r="V20" s="31">
        <v>38133029.026829101</v>
      </c>
      <c r="W20" s="31">
        <v>38987236.295241199</v>
      </c>
      <c r="X20" s="31">
        <v>39840667.801899999</v>
      </c>
      <c r="Y20" s="31">
        <v>40712433.390516602</v>
      </c>
      <c r="Z20" s="31">
        <v>41590748.662400298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workbookViewId="0">
      <selection activeCell="F22" sqref="F22"/>
    </sheetView>
  </sheetViews>
  <sheetFormatPr defaultRowHeight="15"/>
  <cols>
    <col min="3" max="3" width="15.28515625" bestFit="1" customWidth="1"/>
    <col min="4" max="4" width="13.85546875" bestFit="1" customWidth="1"/>
    <col min="5" max="5" width="15.28515625" bestFit="1" customWidth="1"/>
    <col min="6" max="6" width="12.5703125" bestFit="1" customWidth="1"/>
  </cols>
  <sheetData>
    <row r="1" spans="1:6">
      <c r="A1" s="7"/>
      <c r="B1" s="9"/>
      <c r="C1" s="9" t="s">
        <v>91</v>
      </c>
      <c r="D1" s="10" t="s">
        <v>92</v>
      </c>
      <c r="E1" s="9" t="s">
        <v>91</v>
      </c>
      <c r="F1" s="10" t="s">
        <v>92</v>
      </c>
    </row>
    <row r="2" spans="1:6">
      <c r="A2" s="7"/>
      <c r="B2" s="9"/>
      <c r="C2" s="9" t="s">
        <v>87</v>
      </c>
      <c r="D2" s="9" t="s">
        <v>87</v>
      </c>
      <c r="E2" s="9" t="s">
        <v>88</v>
      </c>
      <c r="F2" s="9" t="s">
        <v>88</v>
      </c>
    </row>
    <row r="3" spans="1:6">
      <c r="A3" s="8" t="s">
        <v>93</v>
      </c>
      <c r="B3" s="17">
        <v>2030</v>
      </c>
      <c r="C3" s="13"/>
      <c r="D3" s="14"/>
      <c r="E3" s="13"/>
      <c r="F3" s="14"/>
    </row>
    <row r="4" spans="1:6">
      <c r="A4" s="8" t="s">
        <v>93</v>
      </c>
      <c r="B4" s="17">
        <v>2040</v>
      </c>
      <c r="C4" s="13"/>
      <c r="D4" s="14"/>
      <c r="E4" s="13"/>
      <c r="F4" s="14"/>
    </row>
    <row r="5" spans="1:6">
      <c r="A5" s="8" t="s">
        <v>93</v>
      </c>
      <c r="B5" s="17">
        <v>2050</v>
      </c>
      <c r="C5" s="13"/>
      <c r="D5" s="14">
        <v>0.95</v>
      </c>
      <c r="E5" s="13"/>
      <c r="F5" s="14">
        <v>0.95</v>
      </c>
    </row>
    <row r="6" spans="1:6">
      <c r="A6" s="8" t="s">
        <v>93</v>
      </c>
      <c r="B6" s="17">
        <v>2060</v>
      </c>
      <c r="C6" s="13"/>
      <c r="D6" s="16"/>
      <c r="E6" s="13"/>
      <c r="F6" s="16"/>
    </row>
    <row r="7" spans="1:6">
      <c r="A7" s="8" t="s">
        <v>94</v>
      </c>
      <c r="B7" s="11">
        <v>1990</v>
      </c>
      <c r="C7" s="15"/>
      <c r="D7" s="15"/>
      <c r="E7" s="15"/>
      <c r="F7" s="15"/>
    </row>
    <row r="8" spans="1:6">
      <c r="A8" s="8" t="s">
        <v>94</v>
      </c>
      <c r="B8" s="11">
        <v>2005</v>
      </c>
      <c r="C8" s="15"/>
      <c r="D8" s="15"/>
      <c r="E8" s="15"/>
      <c r="F8" s="15"/>
    </row>
    <row r="9" spans="1:6">
      <c r="A9" s="7"/>
      <c r="B9" s="11">
        <v>2019</v>
      </c>
      <c r="C9" s="20">
        <f>REF_data!$C6</f>
        <v>17051794.320036098</v>
      </c>
      <c r="D9" s="19">
        <f>C9</f>
        <v>17051794.320036098</v>
      </c>
      <c r="E9" s="20">
        <f>REF_data!$C7</f>
        <v>140154812.05610499</v>
      </c>
      <c r="F9" s="19">
        <f>E9</f>
        <v>140154812.05610499</v>
      </c>
    </row>
    <row r="10" spans="1:6">
      <c r="A10" s="7"/>
      <c r="B10" s="11">
        <v>2020</v>
      </c>
      <c r="C10" s="20">
        <f>REF_data!$D6</f>
        <v>17411912.7284825</v>
      </c>
      <c r="D10" s="21">
        <f t="shared" ref="D10:D21" si="0">(D$22-D$9)/($B$22-$B$9)*($B10-$B$9)+D$9</f>
        <v>16529239.332809186</v>
      </c>
      <c r="E10" s="20">
        <f>REF_data!$D7</f>
        <v>116791046.108998</v>
      </c>
      <c r="F10" s="21">
        <f t="shared" ref="F10:F21" si="1">(F$22-F$9)/($B$22-$B$9)*($B10-$B$9)+F$9</f>
        <v>135859745.2350308</v>
      </c>
    </row>
    <row r="11" spans="1:6">
      <c r="A11" s="7"/>
      <c r="B11" s="18">
        <v>2021</v>
      </c>
      <c r="C11" s="20">
        <f>REF_data!$E6</f>
        <v>17042314.412893798</v>
      </c>
      <c r="D11" s="21">
        <f t="shared" si="0"/>
        <v>16006684.345582273</v>
      </c>
      <c r="E11" s="20">
        <f>REF_data!$E7</f>
        <v>112077016.343172</v>
      </c>
      <c r="F11" s="21">
        <f t="shared" si="1"/>
        <v>131564678.41395661</v>
      </c>
    </row>
    <row r="12" spans="1:6">
      <c r="A12" s="7"/>
      <c r="B12" s="18">
        <v>2022</v>
      </c>
      <c r="C12" s="20">
        <f>REF_data!$F6</f>
        <v>16738950.979414601</v>
      </c>
      <c r="D12" s="21">
        <f t="shared" si="0"/>
        <v>15484129.35835536</v>
      </c>
      <c r="E12" s="20">
        <f>REF_data!$F7</f>
        <v>107318707.19919799</v>
      </c>
      <c r="F12" s="21">
        <f t="shared" si="1"/>
        <v>127269611.59288242</v>
      </c>
    </row>
    <row r="13" spans="1:6">
      <c r="A13" s="7"/>
      <c r="B13" s="18">
        <v>2023</v>
      </c>
      <c r="C13" s="20">
        <f>REF_data!$G6</f>
        <v>16467806.509803399</v>
      </c>
      <c r="D13" s="21">
        <f t="shared" si="0"/>
        <v>14961574.371128447</v>
      </c>
      <c r="E13" s="20">
        <f>REF_data!$G7</f>
        <v>102689163.055683</v>
      </c>
      <c r="F13" s="21">
        <f t="shared" si="1"/>
        <v>122974544.77180825</v>
      </c>
    </row>
    <row r="14" spans="1:6">
      <c r="A14" s="7"/>
      <c r="B14" s="18">
        <v>2024</v>
      </c>
      <c r="C14" s="20">
        <f>REF_data!$H6</f>
        <v>16169641.1764255</v>
      </c>
      <c r="D14" s="21">
        <f t="shared" si="0"/>
        <v>14439019.383901535</v>
      </c>
      <c r="E14" s="20">
        <f>REF_data!$H7</f>
        <v>98021451.440976396</v>
      </c>
      <c r="F14" s="21">
        <f t="shared" si="1"/>
        <v>118679477.95073406</v>
      </c>
    </row>
    <row r="15" spans="1:6">
      <c r="A15" s="7"/>
      <c r="B15" s="12">
        <v>2025</v>
      </c>
      <c r="C15" s="20">
        <f>REF_data!$I6</f>
        <v>15909010.450488999</v>
      </c>
      <c r="D15" s="21">
        <f t="shared" si="0"/>
        <v>13916464.396674622</v>
      </c>
      <c r="E15" s="20">
        <f>REF_data!$I7</f>
        <v>93480478.671731204</v>
      </c>
      <c r="F15" s="21">
        <f t="shared" si="1"/>
        <v>114384411.12965988</v>
      </c>
    </row>
    <row r="16" spans="1:6">
      <c r="A16" s="7"/>
      <c r="B16" s="12">
        <v>2027</v>
      </c>
      <c r="C16" s="20">
        <f>REF_data!$J6</f>
        <v>15481949.447609801</v>
      </c>
      <c r="D16" s="21">
        <f t="shared" si="0"/>
        <v>12871354.422220796</v>
      </c>
      <c r="E16" s="20">
        <f>REF_data!$J7</f>
        <v>86474337.627169803</v>
      </c>
      <c r="F16" s="21">
        <f t="shared" si="1"/>
        <v>105794277.48751152</v>
      </c>
    </row>
    <row r="17" spans="1:6">
      <c r="A17" s="7"/>
      <c r="B17" s="12">
        <v>2030</v>
      </c>
      <c r="C17" s="20">
        <f>REF_data!$K6</f>
        <v>14551152.062022099</v>
      </c>
      <c r="D17" s="21">
        <f t="shared" si="0"/>
        <v>11303689.46054006</v>
      </c>
      <c r="E17" s="20">
        <f>REF_data!$K7</f>
        <v>75821479.754730001</v>
      </c>
      <c r="F17" s="21">
        <f t="shared" si="1"/>
        <v>92909077.024288952</v>
      </c>
    </row>
    <row r="18" spans="1:6">
      <c r="A18" s="7"/>
      <c r="B18" s="12">
        <v>2032</v>
      </c>
      <c r="C18" s="20">
        <f>REF_data!$L6</f>
        <v>14083056.1381485</v>
      </c>
      <c r="D18" s="21">
        <f t="shared" si="0"/>
        <v>10258579.486086234</v>
      </c>
      <c r="E18" s="20">
        <f>REF_data!$L7</f>
        <v>71157763.993582502</v>
      </c>
      <c r="F18" s="21">
        <f t="shared" si="1"/>
        <v>84318943.382140577</v>
      </c>
    </row>
    <row r="19" spans="1:6">
      <c r="A19" s="7"/>
      <c r="B19" s="12">
        <v>2035</v>
      </c>
      <c r="C19" s="20">
        <f>REF_data!$M6</f>
        <v>13838793.024543701</v>
      </c>
      <c r="D19" s="21">
        <f t="shared" si="0"/>
        <v>8690914.5244054943</v>
      </c>
      <c r="E19" s="20">
        <f>REF_data!$M7</f>
        <v>63660712.455233797</v>
      </c>
      <c r="F19" s="21">
        <f t="shared" si="1"/>
        <v>71433742.918918028</v>
      </c>
    </row>
    <row r="20" spans="1:6">
      <c r="A20" s="7"/>
      <c r="B20" s="12">
        <v>2040</v>
      </c>
      <c r="C20" s="20">
        <f>REF_data!$N6</f>
        <v>13330953.1466696</v>
      </c>
      <c r="D20" s="21">
        <f t="shared" si="0"/>
        <v>6078139.5882709324</v>
      </c>
      <c r="E20" s="20">
        <f>REF_data!$N7</f>
        <v>65309850.055936299</v>
      </c>
      <c r="F20" s="21">
        <f t="shared" si="1"/>
        <v>49958408.813547105</v>
      </c>
    </row>
    <row r="21" spans="1:6">
      <c r="A21" s="7"/>
      <c r="B21" s="12">
        <v>2045</v>
      </c>
      <c r="C21" s="20">
        <f>REF_data!$O6</f>
        <v>13335442.4330044</v>
      </c>
      <c r="D21" s="21">
        <f t="shared" si="0"/>
        <v>3465364.6521363687</v>
      </c>
      <c r="E21" s="20">
        <f>REF_data!$O7</f>
        <v>63123238.426998101</v>
      </c>
      <c r="F21" s="21">
        <f t="shared" si="1"/>
        <v>28483074.708176181</v>
      </c>
    </row>
    <row r="22" spans="1:6">
      <c r="A22" s="7"/>
      <c r="B22" s="12">
        <v>2050</v>
      </c>
      <c r="C22" s="20">
        <f>REF_data!$P6</f>
        <v>13363578.259632001</v>
      </c>
      <c r="D22" s="19">
        <f>D9*(1-D5)</f>
        <v>852589.71600180573</v>
      </c>
      <c r="E22" s="20">
        <f>REF_data!$P7</f>
        <v>59738128.290830702</v>
      </c>
      <c r="F22" s="19">
        <f>F9*(1-F5)</f>
        <v>7007740.6028052559</v>
      </c>
    </row>
    <row r="23" spans="1:6">
      <c r="A23" s="7"/>
      <c r="B23" s="12">
        <v>2055</v>
      </c>
      <c r="C23" s="20">
        <f>REF_data!$Q6</f>
        <v>13122307.857685</v>
      </c>
      <c r="D23" s="21">
        <f t="shared" ref="D23:D32" si="2">D22</f>
        <v>852589.71600180573</v>
      </c>
      <c r="E23" s="20">
        <f>REF_data!$Q7</f>
        <v>61105984.711081602</v>
      </c>
      <c r="F23" s="21">
        <f t="shared" ref="F23:F32" si="3">F22</f>
        <v>7007740.6028052559</v>
      </c>
    </row>
    <row r="24" spans="1:6">
      <c r="A24" s="7"/>
      <c r="B24" s="12">
        <v>2060</v>
      </c>
      <c r="C24" s="20">
        <f>REF_data!$R6</f>
        <v>13186983.711572399</v>
      </c>
      <c r="D24" s="21">
        <f t="shared" si="2"/>
        <v>852589.71600180573</v>
      </c>
      <c r="E24" s="20">
        <f>REF_data!$R7</f>
        <v>45114583.242229298</v>
      </c>
      <c r="F24" s="21">
        <f t="shared" si="3"/>
        <v>7007740.6028052559</v>
      </c>
    </row>
    <row r="25" spans="1:6">
      <c r="B25" s="12">
        <v>2065</v>
      </c>
      <c r="C25" s="20">
        <f>REF_data!$S6</f>
        <v>13434598.9708813</v>
      </c>
      <c r="D25" s="21">
        <f t="shared" si="2"/>
        <v>852589.71600180573</v>
      </c>
      <c r="E25" s="20">
        <f>REF_data!$S7</f>
        <v>24614500.1746393</v>
      </c>
      <c r="F25" s="21">
        <f t="shared" si="3"/>
        <v>7007740.6028052559</v>
      </c>
    </row>
    <row r="26" spans="1:6">
      <c r="B26" s="12">
        <v>2070</v>
      </c>
      <c r="C26" s="20">
        <f>REF_data!$T6</f>
        <v>13688958.0206508</v>
      </c>
      <c r="D26" s="21">
        <f t="shared" si="2"/>
        <v>852589.71600180573</v>
      </c>
      <c r="E26" s="20">
        <f>REF_data!$T7</f>
        <v>8473768.1908869799</v>
      </c>
      <c r="F26" s="21">
        <f t="shared" si="3"/>
        <v>7007740.6028052559</v>
      </c>
    </row>
    <row r="27" spans="1:6">
      <c r="B27" s="12">
        <v>2075</v>
      </c>
      <c r="C27" s="20">
        <f>REF_data!$U6</f>
        <v>13945372.9130203</v>
      </c>
      <c r="D27" s="21">
        <f t="shared" si="2"/>
        <v>852589.71600180573</v>
      </c>
      <c r="E27" s="20">
        <f>REF_data!$U7</f>
        <v>8542059.3846182991</v>
      </c>
      <c r="F27" s="21">
        <f t="shared" si="3"/>
        <v>7007740.6028052559</v>
      </c>
    </row>
    <row r="28" spans="1:6">
      <c r="B28" s="12">
        <v>2080</v>
      </c>
      <c r="C28" s="20">
        <f>REF_data!$V6</f>
        <v>14203176.4878932</v>
      </c>
      <c r="D28" s="21">
        <f t="shared" si="2"/>
        <v>852589.71600180573</v>
      </c>
      <c r="E28" s="20">
        <f>REF_data!$V7</f>
        <v>8555461.2272646893</v>
      </c>
      <c r="F28" s="21">
        <f t="shared" si="3"/>
        <v>7007740.6028052559</v>
      </c>
    </row>
    <row r="29" spans="1:6">
      <c r="B29" s="12">
        <v>2085</v>
      </c>
      <c r="C29" s="20">
        <f>REF_data!$W6</f>
        <v>14462560.8652943</v>
      </c>
      <c r="D29" s="21">
        <f t="shared" si="2"/>
        <v>852589.71600180573</v>
      </c>
      <c r="E29" s="20">
        <f>REF_data!$W7</f>
        <v>8565567.2929799892</v>
      </c>
      <c r="F29" s="21">
        <f t="shared" si="3"/>
        <v>7007740.6028052559</v>
      </c>
    </row>
    <row r="30" spans="1:6">
      <c r="B30" s="12">
        <v>2090</v>
      </c>
      <c r="C30" s="20">
        <f>REF_data!$X6</f>
        <v>14723407.0002004</v>
      </c>
      <c r="D30" s="21">
        <f t="shared" si="2"/>
        <v>852589.71600180573</v>
      </c>
      <c r="E30" s="20">
        <f>REF_data!$X7</f>
        <v>8677311.3460372202</v>
      </c>
      <c r="F30" s="21">
        <f t="shared" si="3"/>
        <v>7007740.6028052559</v>
      </c>
    </row>
    <row r="31" spans="1:6">
      <c r="B31" s="12">
        <v>2095</v>
      </c>
      <c r="C31" s="20">
        <f>REF_data!$Y6</f>
        <v>14988271.0230789</v>
      </c>
      <c r="D31" s="21">
        <f t="shared" si="2"/>
        <v>852589.71600180573</v>
      </c>
      <c r="E31" s="20">
        <f>REF_data!$Y7</f>
        <v>8714429.1983445492</v>
      </c>
      <c r="F31" s="21">
        <f t="shared" si="3"/>
        <v>7007740.6028052559</v>
      </c>
    </row>
    <row r="32" spans="1:6">
      <c r="B32" s="12">
        <v>2100</v>
      </c>
      <c r="C32" s="20">
        <f>REF_data!$Z6</f>
        <v>15256424.2147331</v>
      </c>
      <c r="D32" s="21">
        <f t="shared" si="2"/>
        <v>852589.71600180573</v>
      </c>
      <c r="E32" s="20">
        <f>REF_data!$Z7</f>
        <v>8727202.7895567808</v>
      </c>
      <c r="F32" s="21">
        <f t="shared" si="3"/>
        <v>7007740.6028052559</v>
      </c>
    </row>
    <row r="33" spans="2:2">
      <c r="B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&gt;&gt; City Data</vt:lpstr>
      <vt:lpstr>City characteristics</vt:lpstr>
      <vt:lpstr>&gt;&gt; GC_Existing</vt:lpstr>
      <vt:lpstr>&gt;&gt; TIMES</vt:lpstr>
      <vt:lpstr>UC</vt:lpstr>
      <vt:lpstr>&gt;&gt; Parameters</vt:lpstr>
      <vt:lpstr>REF_data</vt:lpstr>
      <vt:lpstr>Pre-processing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2025-04-08T18:33:06Z</dcterms:modified>
</cp:coreProperties>
</file>
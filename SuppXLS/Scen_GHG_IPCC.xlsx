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Veda\Veda_models\COMET_Generative_NYC\SuppXLS\"/>
    </mc:Choice>
  </mc:AlternateContent>
  <xr:revisionPtr revIDLastSave="0" documentId="13_ncr:1_{8030254B-4218-4125-8CBC-AEAF1FE45F35}" xr6:coauthVersionLast="47" xr6:coauthVersionMax="47" xr10:uidLastSave="{00000000-0000-0000-0000-000000000000}"/>
  <bookViews>
    <workbookView xWindow="-120" yWindow="-120" windowWidth="25440" windowHeight="15270" firstSheet="5" activeTab="8" xr2:uid="{00000000-000D-0000-FFFF-FFFF00000000}"/>
  </bookViews>
  <sheets>
    <sheet name="ReadMe" sheetId="1" r:id="rId1"/>
    <sheet name="&gt;&gt; City Data" sheetId="2" r:id="rId2"/>
    <sheet name="City characteristics" sheetId="3" r:id="rId3"/>
    <sheet name="&gt;&gt; GC RESID" sheetId="4" r:id="rId4"/>
    <sheet name="ELC RESID" sheetId="5" r:id="rId5"/>
    <sheet name="&gt;&gt; GC TECH" sheetId="6" r:id="rId6"/>
    <sheet name="ENE TECH" sheetId="7" r:id="rId7"/>
    <sheet name="&gt;&gt; TIMES" sheetId="8" r:id="rId8"/>
    <sheet name="GHG_IPCC" sheetId="9" r:id="rId9"/>
    <sheet name="GHG_IMP" sheetId="10" r:id="rId10"/>
    <sheet name="&gt;&gt; Parameters" sheetId="11" r:id="rId11"/>
    <sheet name="Parameters" sheetId="12" r:id="rId12"/>
    <sheet name="Emission Factors Hub" sheetId="13" r:id="rId13"/>
    <sheet name="Mapping" sheetId="14" r:id="rId14"/>
  </sheets>
  <definedNames>
    <definedName name="_Fill" localSheetId="2" hidden="1">#REF!</definedName>
    <definedName name="_Fill" localSheetId="12" hidden="1">#REF!</definedName>
    <definedName name="_Fill" localSheetId="6" hidden="1">#REF!</definedName>
    <definedName name="_Fill" localSheetId="11" hidden="1">#REF!</definedName>
    <definedName name="_Fill" hidden="1">#REF!</definedName>
    <definedName name="_Order1" hidden="1">0</definedName>
    <definedName name="_Order2" hidden="1">0</definedName>
    <definedName name="_Sort" localSheetId="2" hidden="1">#REF!</definedName>
    <definedName name="_Sort" hidden="1">#REF!</definedName>
    <definedName name="anscount" hidden="1">1</definedName>
    <definedName name="CBWorkbookPriority" hidden="1">-1587101571</definedName>
    <definedName name="sencount" hidden="1">2</definedName>
    <definedName name="wrn.com_msw." localSheetId="7" hidden="1">{"com_msw",#N/A,FALSE,"Common"}</definedName>
    <definedName name="wrn.com_msw." localSheetId="2" hidden="1">{"com_msw",#N/A,FALSE,"Common"}</definedName>
    <definedName name="wrn.com_msw." localSheetId="12" hidden="1">{"com_msw",#N/A,FALSE,"Common"}</definedName>
    <definedName name="wrn.com_msw." localSheetId="6" hidden="1">{"com_msw",#N/A,FALSE,"Common"}</definedName>
    <definedName name="wrn.com_msw." localSheetId="11" hidden="1">{"com_msw",#N/A,FALSE,"Common"}</definedName>
    <definedName name="wrn.com_msw." hidden="1">{"com_msw",#N/A,FALSE,"Common"}</definedName>
    <definedName name="wrn.msw_1." localSheetId="7" hidden="1">{"msw_1",#N/A,FALSE,"Common"}</definedName>
    <definedName name="wrn.msw_1." localSheetId="2" hidden="1">{"msw_1",#N/A,FALSE,"Common"}</definedName>
    <definedName name="wrn.msw_1." localSheetId="12" hidden="1">{"msw_1",#N/A,FALSE,"Common"}</definedName>
    <definedName name="wrn.msw_1." localSheetId="6" hidden="1">{"msw_1",#N/A,FALSE,"Common"}</definedName>
    <definedName name="wrn.msw_1." localSheetId="11" hidden="1">{"msw_1",#N/A,FALSE,"Common"}</definedName>
    <definedName name="wrn.msw_1." hidden="1">{"msw_1",#N/A,FALSE,"Common"}</definedName>
    <definedName name="wrn.msw_2." localSheetId="7" hidden="1">{"msw_2",#N/A,FALSE,"Common"}</definedName>
    <definedName name="wrn.msw_2." localSheetId="2" hidden="1">{"msw_2",#N/A,FALSE,"Common"}</definedName>
    <definedName name="wrn.msw_2." localSheetId="12" hidden="1">{"msw_2",#N/A,FALSE,"Common"}</definedName>
    <definedName name="wrn.msw_2." localSheetId="6" hidden="1">{"msw_2",#N/A,FALSE,"Common"}</definedName>
    <definedName name="wrn.msw_2." localSheetId="11" hidden="1">{"msw_2",#N/A,FALSE,"Common"}</definedName>
    <definedName name="wrn.msw_2." hidden="1">{"msw_2",#N/A,FALSE,"Common"}</definedName>
    <definedName name="wrn.NATIONAL._.GRID." localSheetId="7" hidden="1">{"NATIONAL GRID",#N/A,FALSE,"Sheet1"}</definedName>
    <definedName name="wrn.NATIONAL._.GRID." localSheetId="2" hidden="1">{"NATIONAL GRID",#N/A,FALSE,"Sheet1"}</definedName>
    <definedName name="wrn.NATIONAL._.GRID." localSheetId="12" hidden="1">{"NATIONAL GRID",#N/A,FALSE,"Sheet1"}</definedName>
    <definedName name="wrn.NATIONAL._.GRID." localSheetId="6" hidden="1">{"NATIONAL GRID",#N/A,FALSE,"Sheet1"}</definedName>
    <definedName name="wrn.NATIONAL._.GRID." localSheetId="11" hidden="1">{"NATIONAL GRID",#N/A,FALSE,"Sheet1"}</definedName>
    <definedName name="wrn.NATIONAL._.GRID." hidden="1">{"NATIONAL GRID",#N/A,FALSE,"Sheet1"}</definedName>
    <definedName name="wrn.regional._.grid." localSheetId="7" hidden="1">{"regional grid",#N/A,FALSE,"Sheet1"}</definedName>
    <definedName name="wrn.regional._.grid." localSheetId="2" hidden="1">{"regional grid",#N/A,FALSE,"Sheet1"}</definedName>
    <definedName name="wrn.regional._.grid." localSheetId="12" hidden="1">{"regional grid",#N/A,FALSE,"Sheet1"}</definedName>
    <definedName name="wrn.regional._.grid." localSheetId="6" hidden="1">{"regional grid",#N/A,FALSE,"Sheet1"}</definedName>
    <definedName name="wrn.regional._.grid." localSheetId="11" hidden="1">{"regional grid",#N/A,FALSE,"Sheet1"}</definedName>
    <definedName name="wrn.regional._.grid." hidden="1">{"regional grid",#N/A,FALSE,"Sheet1"}</definedName>
    <definedName name="wrn.res_mf_msw." localSheetId="7" hidden="1">{"res_mf_mssw",#N/A,FALSE,"Common"}</definedName>
    <definedName name="wrn.res_mf_msw." localSheetId="2" hidden="1">{"res_mf_mssw",#N/A,FALSE,"Common"}</definedName>
    <definedName name="wrn.res_mf_msw." localSheetId="12" hidden="1">{"res_mf_mssw",#N/A,FALSE,"Common"}</definedName>
    <definedName name="wrn.res_mf_msw." localSheetId="6" hidden="1">{"res_mf_mssw",#N/A,FALSE,"Common"}</definedName>
    <definedName name="wrn.res_mf_msw." localSheetId="11" hidden="1">{"res_mf_mssw",#N/A,FALSE,"Common"}</definedName>
    <definedName name="wrn.res_mf_msw." hidden="1">{"res_mf_mssw",#N/A,FALSE,"Common"}</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12" l="1"/>
  <c r="AX6" i="10"/>
  <c r="AU6" i="10"/>
  <c r="AS6" i="10"/>
  <c r="AK6" i="10"/>
  <c r="AH6" i="10"/>
  <c r="AF6" i="10"/>
  <c r="Z6" i="10"/>
  <c r="X6" i="10"/>
  <c r="U6" i="10"/>
  <c r="Y6" i="10" s="1"/>
  <c r="S6" i="10"/>
  <c r="M6" i="10"/>
  <c r="L6" i="10"/>
  <c r="K6" i="10"/>
  <c r="H6" i="10"/>
  <c r="F6" i="10"/>
  <c r="AZ89" i="9"/>
  <c r="AX89" i="9"/>
  <c r="AV89" i="9"/>
  <c r="AT89" i="9"/>
  <c r="AS89" i="9"/>
  <c r="AM89" i="9"/>
  <c r="AL89" i="9"/>
  <c r="AK89" i="9"/>
  <c r="AI89" i="9"/>
  <c r="AG89" i="9"/>
  <c r="AF89" i="9"/>
  <c r="Z89" i="9"/>
  <c r="X89" i="9"/>
  <c r="V89" i="9"/>
  <c r="T89" i="9"/>
  <c r="Y89" i="9" s="1"/>
  <c r="S89" i="9"/>
  <c r="M89" i="9"/>
  <c r="L89" i="9"/>
  <c r="AY89" i="9" s="1"/>
  <c r="K89" i="9"/>
  <c r="I89" i="9"/>
  <c r="G89" i="9"/>
  <c r="F89" i="9"/>
  <c r="AX88" i="9"/>
  <c r="AV88" i="9"/>
  <c r="AT88" i="9"/>
  <c r="AS88" i="9"/>
  <c r="AM88" i="9"/>
  <c r="AL88" i="9"/>
  <c r="AK88" i="9"/>
  <c r="AI88" i="9"/>
  <c r="AG88" i="9"/>
  <c r="AF88" i="9"/>
  <c r="Z88" i="9"/>
  <c r="X88" i="9"/>
  <c r="V88" i="9"/>
  <c r="T88" i="9"/>
  <c r="Y88" i="9" s="1"/>
  <c r="S88" i="9"/>
  <c r="M88" i="9"/>
  <c r="AZ88" i="9" s="1"/>
  <c r="L88" i="9"/>
  <c r="AY88" i="9" s="1"/>
  <c r="K88" i="9"/>
  <c r="I88" i="9"/>
  <c r="G88" i="9"/>
  <c r="F88" i="9"/>
  <c r="AX87" i="9"/>
  <c r="AV87" i="9"/>
  <c r="AT87" i="9"/>
  <c r="AS87" i="9"/>
  <c r="AM87" i="9"/>
  <c r="AL87" i="9"/>
  <c r="AK87" i="9"/>
  <c r="AI87" i="9"/>
  <c r="AG87" i="9"/>
  <c r="AF87" i="9"/>
  <c r="Z87" i="9"/>
  <c r="X87" i="9"/>
  <c r="V87" i="9"/>
  <c r="T87" i="9"/>
  <c r="Y87" i="9" s="1"/>
  <c r="S87" i="9"/>
  <c r="M87" i="9"/>
  <c r="AZ87" i="9" s="1"/>
  <c r="L87" i="9"/>
  <c r="K87" i="9"/>
  <c r="I87" i="9"/>
  <c r="G87" i="9"/>
  <c r="F87" i="9"/>
  <c r="AZ86" i="9"/>
  <c r="AX86" i="9"/>
  <c r="AV86" i="9"/>
  <c r="AT86" i="9"/>
  <c r="AS86" i="9"/>
  <c r="AM86" i="9"/>
  <c r="AL86" i="9"/>
  <c r="AK86" i="9"/>
  <c r="AI86" i="9"/>
  <c r="AG86" i="9"/>
  <c r="AF86" i="9"/>
  <c r="Z86" i="9"/>
  <c r="X86" i="9"/>
  <c r="V86" i="9"/>
  <c r="T86" i="9"/>
  <c r="Y86" i="9" s="1"/>
  <c r="S86" i="9"/>
  <c r="M86" i="9"/>
  <c r="L86" i="9"/>
  <c r="K86" i="9"/>
  <c r="I86" i="9"/>
  <c r="G86" i="9"/>
  <c r="F86" i="9"/>
  <c r="AX85" i="9"/>
  <c r="AV85" i="9"/>
  <c r="AT85" i="9"/>
  <c r="AS85" i="9"/>
  <c r="AM85" i="9"/>
  <c r="AL85" i="9"/>
  <c r="AK85" i="9"/>
  <c r="AI85" i="9"/>
  <c r="AG85" i="9"/>
  <c r="AF85" i="9"/>
  <c r="Z85" i="9"/>
  <c r="AZ85" i="9" s="1"/>
  <c r="X85" i="9"/>
  <c r="V85" i="9"/>
  <c r="T85" i="9"/>
  <c r="Y85" i="9" s="1"/>
  <c r="S85" i="9"/>
  <c r="M85" i="9"/>
  <c r="L85" i="9"/>
  <c r="K85" i="9"/>
  <c r="I85" i="9"/>
  <c r="G85" i="9"/>
  <c r="F85" i="9"/>
  <c r="AX84" i="9"/>
  <c r="AV84" i="9"/>
  <c r="AT84" i="9"/>
  <c r="AS84" i="9"/>
  <c r="AM84" i="9"/>
  <c r="AL84" i="9"/>
  <c r="AK84" i="9"/>
  <c r="AI84" i="9"/>
  <c r="AG84" i="9"/>
  <c r="AF84" i="9"/>
  <c r="Z84" i="9"/>
  <c r="X84" i="9"/>
  <c r="V84" i="9"/>
  <c r="T84" i="9"/>
  <c r="Y84" i="9" s="1"/>
  <c r="S84" i="9"/>
  <c r="M84" i="9"/>
  <c r="AZ84" i="9" s="1"/>
  <c r="L84" i="9"/>
  <c r="K84" i="9"/>
  <c r="I84" i="9"/>
  <c r="G84" i="9"/>
  <c r="F84" i="9"/>
  <c r="AX83" i="9"/>
  <c r="AV83" i="9"/>
  <c r="AT83" i="9"/>
  <c r="AS83" i="9"/>
  <c r="AM83" i="9"/>
  <c r="AL83" i="9"/>
  <c r="AK83" i="9"/>
  <c r="AI83" i="9"/>
  <c r="AG83" i="9"/>
  <c r="AF83" i="9"/>
  <c r="Z83" i="9"/>
  <c r="X83" i="9"/>
  <c r="V83" i="9"/>
  <c r="T83" i="9"/>
  <c r="Y83" i="9" s="1"/>
  <c r="S83" i="9"/>
  <c r="M83" i="9"/>
  <c r="AZ83" i="9" s="1"/>
  <c r="L83" i="9"/>
  <c r="K83" i="9"/>
  <c r="I83" i="9"/>
  <c r="G83" i="9"/>
  <c r="F83" i="9"/>
  <c r="AX82" i="9"/>
  <c r="AV82" i="9"/>
  <c r="AT82" i="9"/>
  <c r="AS82" i="9"/>
  <c r="AM82" i="9"/>
  <c r="AL82" i="9"/>
  <c r="AK82" i="9"/>
  <c r="AI82" i="9"/>
  <c r="AG82" i="9"/>
  <c r="AF82" i="9"/>
  <c r="Z82" i="9"/>
  <c r="X82" i="9"/>
  <c r="V82" i="9"/>
  <c r="T82" i="9"/>
  <c r="Y82" i="9" s="1"/>
  <c r="S82" i="9"/>
  <c r="M82" i="9"/>
  <c r="AZ82" i="9" s="1"/>
  <c r="L82" i="9"/>
  <c r="K82" i="9"/>
  <c r="I82" i="9"/>
  <c r="G82" i="9"/>
  <c r="F82" i="9"/>
  <c r="AX81" i="9"/>
  <c r="AV81" i="9"/>
  <c r="AT81" i="9"/>
  <c r="AS81" i="9"/>
  <c r="AM81" i="9"/>
  <c r="AL81" i="9"/>
  <c r="AK81" i="9"/>
  <c r="AI81" i="9"/>
  <c r="AG81" i="9"/>
  <c r="AF81" i="9"/>
  <c r="Z81" i="9"/>
  <c r="X81" i="9"/>
  <c r="V81" i="9"/>
  <c r="T81" i="9"/>
  <c r="Y81" i="9" s="1"/>
  <c r="S81" i="9"/>
  <c r="M81" i="9"/>
  <c r="L81" i="9"/>
  <c r="AY81" i="9" s="1"/>
  <c r="K81" i="9"/>
  <c r="I81" i="9"/>
  <c r="G81" i="9"/>
  <c r="F81" i="9"/>
  <c r="AX80" i="9"/>
  <c r="AV80" i="9"/>
  <c r="AT80" i="9"/>
  <c r="AS80" i="9"/>
  <c r="AM80" i="9"/>
  <c r="AL80" i="9"/>
  <c r="AK80" i="9"/>
  <c r="AI80" i="9"/>
  <c r="AG80" i="9"/>
  <c r="AF80" i="9"/>
  <c r="Z80" i="9"/>
  <c r="X80" i="9"/>
  <c r="V80" i="9"/>
  <c r="T80" i="9"/>
  <c r="Y80" i="9" s="1"/>
  <c r="S80" i="9"/>
  <c r="M80" i="9"/>
  <c r="AZ80" i="9" s="1"/>
  <c r="L80" i="9"/>
  <c r="K80" i="9"/>
  <c r="I80" i="9"/>
  <c r="G80" i="9"/>
  <c r="F80" i="9"/>
  <c r="AX79" i="9"/>
  <c r="AV79" i="9"/>
  <c r="AT79" i="9"/>
  <c r="AS79" i="9"/>
  <c r="AM79" i="9"/>
  <c r="AL79" i="9"/>
  <c r="AK79" i="9"/>
  <c r="AI79" i="9"/>
  <c r="AG79" i="9"/>
  <c r="AF79" i="9"/>
  <c r="Z79" i="9"/>
  <c r="AZ79" i="9" s="1"/>
  <c r="X79" i="9"/>
  <c r="V79" i="9"/>
  <c r="T79" i="9"/>
  <c r="Y79" i="9" s="1"/>
  <c r="S79" i="9"/>
  <c r="M79" i="9"/>
  <c r="L79" i="9"/>
  <c r="K79" i="9"/>
  <c r="I79" i="9"/>
  <c r="G79" i="9"/>
  <c r="F79" i="9"/>
  <c r="AX78" i="9"/>
  <c r="AV78" i="9"/>
  <c r="AT78" i="9"/>
  <c r="AS78" i="9"/>
  <c r="AM78" i="9"/>
  <c r="AL78" i="9"/>
  <c r="AK78" i="9"/>
  <c r="AI78" i="9"/>
  <c r="AG78" i="9"/>
  <c r="AF78" i="9"/>
  <c r="Z78" i="9"/>
  <c r="AZ78" i="9" s="1"/>
  <c r="X78" i="9"/>
  <c r="V78" i="9"/>
  <c r="T78" i="9"/>
  <c r="Y78" i="9" s="1"/>
  <c r="S78" i="9"/>
  <c r="M78" i="9"/>
  <c r="L78" i="9"/>
  <c r="K78" i="9"/>
  <c r="I78" i="9"/>
  <c r="G78" i="9"/>
  <c r="F78" i="9"/>
  <c r="AZ77" i="9"/>
  <c r="AV77" i="9"/>
  <c r="AT77" i="9"/>
  <c r="AX77" i="9" s="1"/>
  <c r="AS77" i="9"/>
  <c r="AM77" i="9"/>
  <c r="AL77" i="9"/>
  <c r="AK77" i="9"/>
  <c r="AI77" i="9"/>
  <c r="AG77" i="9"/>
  <c r="AF77" i="9"/>
  <c r="Z77" i="9"/>
  <c r="X77" i="9"/>
  <c r="V77" i="9"/>
  <c r="T77" i="9"/>
  <c r="Y77" i="9" s="1"/>
  <c r="S77" i="9"/>
  <c r="M77" i="9"/>
  <c r="L77" i="9"/>
  <c r="AY77" i="9" s="1"/>
  <c r="K77" i="9"/>
  <c r="I77" i="9"/>
  <c r="G77" i="9"/>
  <c r="F77" i="9"/>
  <c r="AV76" i="9"/>
  <c r="AT76" i="9"/>
  <c r="AX76" i="9" s="1"/>
  <c r="AS76" i="9"/>
  <c r="AL76" i="9"/>
  <c r="AM76" i="9" s="1"/>
  <c r="AK76" i="9"/>
  <c r="AI76" i="9"/>
  <c r="AG76" i="9"/>
  <c r="AF76" i="9"/>
  <c r="V76" i="9"/>
  <c r="T76" i="9"/>
  <c r="Y76" i="9" s="1"/>
  <c r="Z76" i="9" s="1"/>
  <c r="S76" i="9"/>
  <c r="L76" i="9"/>
  <c r="AY76" i="9" s="1"/>
  <c r="K76" i="9"/>
  <c r="I76" i="9"/>
  <c r="G76" i="9"/>
  <c r="F76" i="9"/>
  <c r="AX75" i="9"/>
  <c r="AV75" i="9"/>
  <c r="AT75" i="9"/>
  <c r="AS75" i="9"/>
  <c r="AM75" i="9"/>
  <c r="AL75" i="9"/>
  <c r="AK75" i="9"/>
  <c r="AI75" i="9"/>
  <c r="AG75" i="9"/>
  <c r="AF75" i="9"/>
  <c r="V75" i="9"/>
  <c r="T75" i="9"/>
  <c r="S75" i="9"/>
  <c r="L75" i="9"/>
  <c r="K75" i="9"/>
  <c r="I75" i="9"/>
  <c r="G75" i="9"/>
  <c r="F75" i="9"/>
  <c r="AX74" i="9"/>
  <c r="AV74" i="9"/>
  <c r="AT74" i="9"/>
  <c r="AS74" i="9"/>
  <c r="AL74" i="9"/>
  <c r="AM74" i="9" s="1"/>
  <c r="AK74" i="9"/>
  <c r="AI74" i="9"/>
  <c r="AG74" i="9"/>
  <c r="AF74" i="9"/>
  <c r="Z74" i="9"/>
  <c r="AZ74" i="9" s="1"/>
  <c r="X74" i="9"/>
  <c r="V74" i="9"/>
  <c r="T74" i="9"/>
  <c r="Y74" i="9" s="1"/>
  <c r="S74" i="9"/>
  <c r="M74" i="9"/>
  <c r="L74" i="9"/>
  <c r="K74" i="9"/>
  <c r="I74" i="9"/>
  <c r="G74" i="9"/>
  <c r="F74" i="9"/>
  <c r="AX73" i="9"/>
  <c r="AV73" i="9"/>
  <c r="AT73" i="9"/>
  <c r="AS73" i="9"/>
  <c r="AL73" i="9"/>
  <c r="AM73" i="9" s="1"/>
  <c r="AK73" i="9"/>
  <c r="AI73" i="9"/>
  <c r="AG73" i="9"/>
  <c r="AF73" i="9"/>
  <c r="V73" i="9"/>
  <c r="T73" i="9"/>
  <c r="S73" i="9"/>
  <c r="M73" i="9"/>
  <c r="L73" i="9"/>
  <c r="K73" i="9"/>
  <c r="I73" i="9"/>
  <c r="G73" i="9"/>
  <c r="F73" i="9"/>
  <c r="AV72" i="9"/>
  <c r="AT72" i="9"/>
  <c r="AX72" i="9" s="1"/>
  <c r="AS72" i="9"/>
  <c r="AL72" i="9"/>
  <c r="AM72" i="9" s="1"/>
  <c r="AK72" i="9"/>
  <c r="AI72" i="9"/>
  <c r="AG72" i="9"/>
  <c r="AF72" i="9"/>
  <c r="V72" i="9"/>
  <c r="T72" i="9"/>
  <c r="Y72" i="9" s="1"/>
  <c r="Z72" i="9" s="1"/>
  <c r="S72" i="9"/>
  <c r="M72" i="9"/>
  <c r="AZ72" i="9" s="1"/>
  <c r="L72" i="9"/>
  <c r="K72" i="9"/>
  <c r="I72" i="9"/>
  <c r="G72" i="9"/>
  <c r="F72" i="9"/>
  <c r="AV71" i="9"/>
  <c r="AT71" i="9"/>
  <c r="AX71" i="9" s="1"/>
  <c r="AS71" i="9"/>
  <c r="AL71" i="9"/>
  <c r="AM71" i="9" s="1"/>
  <c r="AI71" i="9"/>
  <c r="AG71" i="9"/>
  <c r="AK71" i="9" s="1"/>
  <c r="AF71" i="9"/>
  <c r="X71" i="9"/>
  <c r="V71" i="9"/>
  <c r="T71" i="9"/>
  <c r="Y71" i="9" s="1"/>
  <c r="Z71" i="9" s="1"/>
  <c r="S71" i="9"/>
  <c r="I71" i="9"/>
  <c r="G71" i="9"/>
  <c r="F71" i="9"/>
  <c r="AX70" i="9"/>
  <c r="AV70" i="9"/>
  <c r="AT70" i="9"/>
  <c r="AS70" i="9"/>
  <c r="AM70" i="9"/>
  <c r="AL70" i="9"/>
  <c r="AK70" i="9"/>
  <c r="AI70" i="9"/>
  <c r="AG70" i="9"/>
  <c r="AF70" i="9"/>
  <c r="V70" i="9"/>
  <c r="T70" i="9"/>
  <c r="Y70" i="9" s="1"/>
  <c r="Z70" i="9" s="1"/>
  <c r="AZ70" i="9" s="1"/>
  <c r="S70" i="9"/>
  <c r="L70" i="9"/>
  <c r="K70" i="9"/>
  <c r="I70" i="9"/>
  <c r="M70" i="9" s="1"/>
  <c r="G70" i="9"/>
  <c r="F70" i="9"/>
  <c r="AX69" i="9"/>
  <c r="AV69" i="9"/>
  <c r="AT69" i="9"/>
  <c r="AS69" i="9"/>
  <c r="AI69" i="9"/>
  <c r="AG69" i="9"/>
  <c r="AF69" i="9"/>
  <c r="X69" i="9"/>
  <c r="V69" i="9"/>
  <c r="Z69" i="9" s="1"/>
  <c r="T69" i="9"/>
  <c r="Y69" i="9" s="1"/>
  <c r="S69" i="9"/>
  <c r="L69" i="9"/>
  <c r="I69" i="9"/>
  <c r="G69" i="9"/>
  <c r="K69" i="9" s="1"/>
  <c r="F69" i="9"/>
  <c r="AV68" i="9"/>
  <c r="AT68" i="9"/>
  <c r="AX68" i="9" s="1"/>
  <c r="AS68" i="9"/>
  <c r="AL68" i="9"/>
  <c r="AM68" i="9" s="1"/>
  <c r="AK68" i="9"/>
  <c r="AI68" i="9"/>
  <c r="AG68" i="9"/>
  <c r="AF68" i="9"/>
  <c r="X68" i="9"/>
  <c r="V68" i="9"/>
  <c r="T68" i="9"/>
  <c r="Y68" i="9" s="1"/>
  <c r="Z68" i="9" s="1"/>
  <c r="S68" i="9"/>
  <c r="L68" i="9"/>
  <c r="AY68" i="9" s="1"/>
  <c r="K68" i="9"/>
  <c r="I68" i="9"/>
  <c r="G68" i="9"/>
  <c r="F68" i="9"/>
  <c r="AX67" i="9"/>
  <c r="AV67" i="9"/>
  <c r="AT67" i="9"/>
  <c r="AS67" i="9"/>
  <c r="AL67" i="9"/>
  <c r="AK67" i="9"/>
  <c r="AI67" i="9"/>
  <c r="AM67" i="9" s="1"/>
  <c r="AG67" i="9"/>
  <c r="AF67" i="9"/>
  <c r="V67" i="9"/>
  <c r="Z67" i="9" s="1"/>
  <c r="T67" i="9"/>
  <c r="Y67" i="9" s="1"/>
  <c r="S67" i="9"/>
  <c r="I67" i="9"/>
  <c r="G67" i="9"/>
  <c r="L67" i="9" s="1"/>
  <c r="AY67" i="9" s="1"/>
  <c r="F67" i="9"/>
  <c r="AS66" i="9"/>
  <c r="AI66" i="9"/>
  <c r="AF66" i="9"/>
  <c r="S66" i="9"/>
  <c r="F66" i="9"/>
  <c r="AX65" i="9"/>
  <c r="AS65" i="9"/>
  <c r="AF65" i="9"/>
  <c r="V65" i="9"/>
  <c r="Z65" i="9" s="1"/>
  <c r="S65" i="9"/>
  <c r="F65" i="9"/>
  <c r="AX64" i="9"/>
  <c r="AV64" i="9"/>
  <c r="AV65" i="9" s="1"/>
  <c r="AV66" i="9" s="1"/>
  <c r="AT64" i="9"/>
  <c r="AT65" i="9" s="1"/>
  <c r="AT66" i="9" s="1"/>
  <c r="AX66" i="9" s="1"/>
  <c r="AS64" i="9"/>
  <c r="AI64" i="9"/>
  <c r="AI65" i="9" s="1"/>
  <c r="AF64" i="9"/>
  <c r="V64" i="9"/>
  <c r="Z64" i="9" s="1"/>
  <c r="T64" i="9"/>
  <c r="X64" i="9" s="1"/>
  <c r="S64" i="9"/>
  <c r="K64" i="9"/>
  <c r="F64" i="9"/>
  <c r="AV63" i="9"/>
  <c r="AT63" i="9"/>
  <c r="AX63" i="9" s="1"/>
  <c r="AS63" i="9"/>
  <c r="AI63" i="9"/>
  <c r="AG63" i="9"/>
  <c r="AG64" i="9" s="1"/>
  <c r="AF63" i="9"/>
  <c r="X63" i="9"/>
  <c r="V63" i="9"/>
  <c r="T63" i="9"/>
  <c r="Y63" i="9" s="1"/>
  <c r="Y64" i="9" s="1"/>
  <c r="Y65" i="9" s="1"/>
  <c r="Y66" i="9" s="1"/>
  <c r="S63" i="9"/>
  <c r="K63" i="9"/>
  <c r="I63" i="9"/>
  <c r="G63" i="9"/>
  <c r="G64" i="9" s="1"/>
  <c r="G65" i="9" s="1"/>
  <c r="K65" i="9" s="1"/>
  <c r="F63" i="9"/>
  <c r="AV62" i="9"/>
  <c r="AT62" i="9"/>
  <c r="AX62" i="9" s="1"/>
  <c r="AS62" i="9"/>
  <c r="AI62" i="9"/>
  <c r="AG62" i="9"/>
  <c r="AF62" i="9"/>
  <c r="Z62" i="9"/>
  <c r="X62" i="9"/>
  <c r="V62" i="9"/>
  <c r="T62" i="9"/>
  <c r="Y62" i="9" s="1"/>
  <c r="S62" i="9"/>
  <c r="I62" i="9"/>
  <c r="G62" i="9"/>
  <c r="F62" i="9"/>
  <c r="AX61" i="9"/>
  <c r="AS61" i="9"/>
  <c r="AF61" i="9"/>
  <c r="V61" i="9"/>
  <c r="S61" i="9"/>
  <c r="K61" i="9"/>
  <c r="F61" i="9"/>
  <c r="AX60" i="9"/>
  <c r="AV60" i="9"/>
  <c r="AV61" i="9" s="1"/>
  <c r="AT60" i="9"/>
  <c r="AT61" i="9" s="1"/>
  <c r="AS60" i="9"/>
  <c r="AL60" i="9"/>
  <c r="AL61" i="9" s="1"/>
  <c r="AG60" i="9"/>
  <c r="AG61" i="9" s="1"/>
  <c r="AK61" i="9" s="1"/>
  <c r="AF60" i="9"/>
  <c r="S60" i="9"/>
  <c r="I60" i="9"/>
  <c r="I61" i="9" s="1"/>
  <c r="G60" i="9"/>
  <c r="G61" i="9" s="1"/>
  <c r="F60" i="9"/>
  <c r="AT59" i="9"/>
  <c r="AX59" i="9" s="1"/>
  <c r="AS59" i="9"/>
  <c r="AL59" i="9"/>
  <c r="AI59" i="9"/>
  <c r="AI60" i="9" s="1"/>
  <c r="AG59" i="9"/>
  <c r="AK59" i="9" s="1"/>
  <c r="AF59" i="9"/>
  <c r="V59" i="9"/>
  <c r="V60" i="9" s="1"/>
  <c r="S59" i="9"/>
  <c r="G59" i="9"/>
  <c r="K59" i="9" s="1"/>
  <c r="F59" i="9"/>
  <c r="AX58" i="9"/>
  <c r="AV58" i="9"/>
  <c r="AV59" i="9" s="1"/>
  <c r="AT58" i="9"/>
  <c r="AS58" i="9"/>
  <c r="AL58" i="9"/>
  <c r="AK58" i="9"/>
  <c r="AI58" i="9"/>
  <c r="AM58" i="9" s="1"/>
  <c r="AG58" i="9"/>
  <c r="AF58" i="9"/>
  <c r="V58" i="9"/>
  <c r="T58" i="9"/>
  <c r="X58" i="9" s="1"/>
  <c r="S58" i="9"/>
  <c r="M58" i="9"/>
  <c r="I58" i="9"/>
  <c r="I59" i="9" s="1"/>
  <c r="G58" i="9"/>
  <c r="L58" i="9" s="1"/>
  <c r="F58" i="9"/>
  <c r="AX57" i="9"/>
  <c r="AV57" i="9"/>
  <c r="AT57" i="9"/>
  <c r="AS57" i="9"/>
  <c r="AL57" i="9"/>
  <c r="AI57" i="9"/>
  <c r="AM57" i="9" s="1"/>
  <c r="AG57" i="9"/>
  <c r="AK57" i="9" s="1"/>
  <c r="AF57" i="9"/>
  <c r="X57" i="9"/>
  <c r="V57" i="9"/>
  <c r="Z57" i="9" s="1"/>
  <c r="T57" i="9"/>
  <c r="Y57" i="9" s="1"/>
  <c r="S57" i="9"/>
  <c r="M57" i="9"/>
  <c r="AZ57" i="9" s="1"/>
  <c r="L57" i="9"/>
  <c r="K57" i="9"/>
  <c r="I57" i="9"/>
  <c r="G57" i="9"/>
  <c r="F57" i="9"/>
  <c r="AV56" i="9"/>
  <c r="AT56" i="9"/>
  <c r="AX56" i="9" s="1"/>
  <c r="AS56" i="9"/>
  <c r="AM56" i="9"/>
  <c r="AL56" i="9"/>
  <c r="AK56" i="9"/>
  <c r="AI56" i="9"/>
  <c r="AG56" i="9"/>
  <c r="AF56" i="9"/>
  <c r="V56" i="9"/>
  <c r="T56" i="9"/>
  <c r="Y56" i="9" s="1"/>
  <c r="Z56" i="9" s="1"/>
  <c r="S56" i="9"/>
  <c r="L56" i="9"/>
  <c r="AY56" i="9" s="1"/>
  <c r="K56" i="9"/>
  <c r="I56" i="9"/>
  <c r="M56" i="9" s="1"/>
  <c r="AZ56" i="9" s="1"/>
  <c r="G56" i="9"/>
  <c r="F56" i="9"/>
  <c r="AX55" i="9"/>
  <c r="AV55" i="9"/>
  <c r="AT55" i="9"/>
  <c r="AS55" i="9"/>
  <c r="AM55" i="9"/>
  <c r="AZ55" i="9" s="1"/>
  <c r="AK55" i="9"/>
  <c r="AI55" i="9"/>
  <c r="AG55" i="9"/>
  <c r="AL55" i="9" s="1"/>
  <c r="AF55" i="9"/>
  <c r="Z55" i="9"/>
  <c r="X55" i="9"/>
  <c r="V55" i="9"/>
  <c r="T55" i="9"/>
  <c r="Y55" i="9" s="1"/>
  <c r="S55" i="9"/>
  <c r="I55" i="9"/>
  <c r="M55" i="9" s="1"/>
  <c r="G55" i="9"/>
  <c r="L55" i="9" s="1"/>
  <c r="F55" i="9"/>
  <c r="AX54" i="9"/>
  <c r="AV54" i="9"/>
  <c r="AT54" i="9"/>
  <c r="AS54" i="9"/>
  <c r="AI54" i="9"/>
  <c r="AM54" i="9" s="1"/>
  <c r="AG54" i="9"/>
  <c r="AF54" i="9"/>
  <c r="X54" i="9"/>
  <c r="V54" i="9"/>
  <c r="Z54" i="9" s="1"/>
  <c r="AZ54" i="9" s="1"/>
  <c r="T54" i="9"/>
  <c r="Y54" i="9" s="1"/>
  <c r="S54" i="9"/>
  <c r="K54" i="9"/>
  <c r="I54" i="9"/>
  <c r="M54" i="9" s="1"/>
  <c r="G54" i="9"/>
  <c r="L54" i="9" s="1"/>
  <c r="F54" i="9"/>
  <c r="AV53" i="9"/>
  <c r="AT53" i="9"/>
  <c r="AX53" i="9" s="1"/>
  <c r="AS53" i="9"/>
  <c r="AM53" i="9"/>
  <c r="AL53" i="9"/>
  <c r="AI53" i="9"/>
  <c r="AG53" i="9"/>
  <c r="AK53" i="9" s="1"/>
  <c r="AF53" i="9"/>
  <c r="X53" i="9"/>
  <c r="V53" i="9"/>
  <c r="Z53" i="9" s="1"/>
  <c r="T53" i="9"/>
  <c r="Y53" i="9" s="1"/>
  <c r="S53" i="9"/>
  <c r="M53" i="9"/>
  <c r="AZ53" i="9" s="1"/>
  <c r="L53" i="9"/>
  <c r="AY53" i="9" s="1"/>
  <c r="K53" i="9"/>
  <c r="I53" i="9"/>
  <c r="G53" i="9"/>
  <c r="F53" i="9"/>
  <c r="AV52" i="9"/>
  <c r="AT52" i="9"/>
  <c r="AX52" i="9" s="1"/>
  <c r="AS52" i="9"/>
  <c r="AM52" i="9"/>
  <c r="AL52" i="9"/>
  <c r="AK52" i="9"/>
  <c r="AI52" i="9"/>
  <c r="AG52" i="9"/>
  <c r="AF52" i="9"/>
  <c r="Z52" i="9"/>
  <c r="V52" i="9"/>
  <c r="T52" i="9"/>
  <c r="S52" i="9"/>
  <c r="M52" i="9"/>
  <c r="L52" i="9"/>
  <c r="K52" i="9"/>
  <c r="I52" i="9"/>
  <c r="G52" i="9"/>
  <c r="F52" i="9"/>
  <c r="AX51" i="9"/>
  <c r="AV51" i="9"/>
  <c r="AT51" i="9"/>
  <c r="AS51" i="9"/>
  <c r="AM51" i="9"/>
  <c r="AK51" i="9"/>
  <c r="AI51" i="9"/>
  <c r="AG51" i="9"/>
  <c r="AL51" i="9" s="1"/>
  <c r="AF51" i="9"/>
  <c r="V51" i="9"/>
  <c r="Z51" i="9" s="1"/>
  <c r="T51" i="9"/>
  <c r="Y51" i="9" s="1"/>
  <c r="S51" i="9"/>
  <c r="L51" i="9"/>
  <c r="K51" i="9"/>
  <c r="I51" i="9"/>
  <c r="M51" i="9" s="1"/>
  <c r="AZ51" i="9" s="1"/>
  <c r="G51" i="9"/>
  <c r="F51" i="9"/>
  <c r="AV50" i="9"/>
  <c r="AT50" i="9"/>
  <c r="AX50" i="9" s="1"/>
  <c r="AS50" i="9"/>
  <c r="AI50" i="9"/>
  <c r="AM50" i="9" s="1"/>
  <c r="AG50" i="9"/>
  <c r="AF50" i="9"/>
  <c r="Z50" i="9"/>
  <c r="X50" i="9"/>
  <c r="V50" i="9"/>
  <c r="T50" i="9"/>
  <c r="Y50" i="9" s="1"/>
  <c r="S50" i="9"/>
  <c r="I50" i="9"/>
  <c r="M50" i="9" s="1"/>
  <c r="G50" i="9"/>
  <c r="K50" i="9" s="1"/>
  <c r="F50" i="9"/>
  <c r="AX49" i="9"/>
  <c r="AV49" i="9"/>
  <c r="AT49" i="9"/>
  <c r="AS49" i="9"/>
  <c r="AM49" i="9"/>
  <c r="AK49" i="9"/>
  <c r="AI49" i="9"/>
  <c r="AG49" i="9"/>
  <c r="AL49" i="9" s="1"/>
  <c r="AF49" i="9"/>
  <c r="X49" i="9"/>
  <c r="V49" i="9"/>
  <c r="Z49" i="9" s="1"/>
  <c r="AZ49" i="9" s="1"/>
  <c r="T49" i="9"/>
  <c r="Y49" i="9" s="1"/>
  <c r="S49" i="9"/>
  <c r="L49" i="9"/>
  <c r="AY49" i="9" s="1"/>
  <c r="I49" i="9"/>
  <c r="M49" i="9" s="1"/>
  <c r="G49" i="9"/>
  <c r="K49" i="9" s="1"/>
  <c r="F49" i="9"/>
  <c r="AV48" i="9"/>
  <c r="AT48" i="9"/>
  <c r="AX48" i="9" s="1"/>
  <c r="AS48" i="9"/>
  <c r="AL48" i="9"/>
  <c r="AK48" i="9"/>
  <c r="AI48" i="9"/>
  <c r="AM48" i="9" s="1"/>
  <c r="AG48" i="9"/>
  <c r="AF48" i="9"/>
  <c r="V48" i="9"/>
  <c r="Z48" i="9" s="1"/>
  <c r="T48" i="9"/>
  <c r="S48" i="9"/>
  <c r="K48" i="9"/>
  <c r="I48" i="9"/>
  <c r="M48" i="9" s="1"/>
  <c r="AZ48" i="9" s="1"/>
  <c r="G48" i="9"/>
  <c r="L48" i="9" s="1"/>
  <c r="F48" i="9"/>
  <c r="AX47" i="9"/>
  <c r="AV47" i="9"/>
  <c r="AT47" i="9"/>
  <c r="AS47" i="9"/>
  <c r="AL47" i="9"/>
  <c r="AI47" i="9"/>
  <c r="AM47" i="9" s="1"/>
  <c r="AG47" i="9"/>
  <c r="AK47" i="9" s="1"/>
  <c r="AF47" i="9"/>
  <c r="Y47" i="9"/>
  <c r="V47" i="9"/>
  <c r="Z47" i="9" s="1"/>
  <c r="T47" i="9"/>
  <c r="X47" i="9" s="1"/>
  <c r="S47" i="9"/>
  <c r="M47" i="9"/>
  <c r="L47" i="9"/>
  <c r="AY47" i="9" s="1"/>
  <c r="I47" i="9"/>
  <c r="G47" i="9"/>
  <c r="K47" i="9" s="1"/>
  <c r="F47" i="9"/>
  <c r="AV46" i="9"/>
  <c r="AT46" i="9"/>
  <c r="AX46" i="9" s="1"/>
  <c r="AS46" i="9"/>
  <c r="AI46" i="9"/>
  <c r="AM46" i="9" s="1"/>
  <c r="AG46" i="9"/>
  <c r="AK46" i="9" s="1"/>
  <c r="AF46" i="9"/>
  <c r="Z46" i="9"/>
  <c r="AZ46" i="9" s="1"/>
  <c r="Y46" i="9"/>
  <c r="X46" i="9"/>
  <c r="V46" i="9"/>
  <c r="T46" i="9"/>
  <c r="S46" i="9"/>
  <c r="I46" i="9"/>
  <c r="M46" i="9" s="1"/>
  <c r="G46" i="9"/>
  <c r="F46" i="9"/>
  <c r="AX45" i="9"/>
  <c r="AV45" i="9"/>
  <c r="AT45" i="9"/>
  <c r="AS45" i="9"/>
  <c r="AM45" i="9"/>
  <c r="AI45" i="9"/>
  <c r="AG45" i="9"/>
  <c r="AF45" i="9"/>
  <c r="Y45" i="9"/>
  <c r="X45" i="9"/>
  <c r="V45" i="9"/>
  <c r="Z45" i="9" s="1"/>
  <c r="T45" i="9"/>
  <c r="S45" i="9"/>
  <c r="L45" i="9"/>
  <c r="I45" i="9"/>
  <c r="M45" i="9" s="1"/>
  <c r="AZ45" i="9" s="1"/>
  <c r="G45" i="9"/>
  <c r="K45" i="9" s="1"/>
  <c r="F45" i="9"/>
  <c r="AX44" i="9"/>
  <c r="AV44" i="9"/>
  <c r="AT44" i="9"/>
  <c r="AS44" i="9"/>
  <c r="AI44" i="9"/>
  <c r="AM44" i="9" s="1"/>
  <c r="AG44" i="9"/>
  <c r="AK44" i="9" s="1"/>
  <c r="AF44" i="9"/>
  <c r="Z44" i="9"/>
  <c r="X44" i="9"/>
  <c r="V44" i="9"/>
  <c r="T44" i="9"/>
  <c r="Y44" i="9" s="1"/>
  <c r="S44" i="9"/>
  <c r="M44" i="9"/>
  <c r="L44" i="9"/>
  <c r="I44" i="9"/>
  <c r="G44" i="9"/>
  <c r="K44" i="9" s="1"/>
  <c r="F44" i="9"/>
  <c r="AX43" i="9"/>
  <c r="AV43" i="9"/>
  <c r="AT43" i="9"/>
  <c r="AS43" i="9"/>
  <c r="AM43" i="9"/>
  <c r="AL43" i="9"/>
  <c r="AI43" i="9"/>
  <c r="AG43" i="9"/>
  <c r="AK43" i="9" s="1"/>
  <c r="AF43" i="9"/>
  <c r="X43" i="9"/>
  <c r="V43" i="9"/>
  <c r="Z43" i="9" s="1"/>
  <c r="T43" i="9"/>
  <c r="Y43" i="9" s="1"/>
  <c r="AY43" i="9" s="1"/>
  <c r="S43" i="9"/>
  <c r="M43" i="9"/>
  <c r="L43" i="9"/>
  <c r="I43" i="9"/>
  <c r="G43" i="9"/>
  <c r="K43" i="9" s="1"/>
  <c r="F43" i="9"/>
  <c r="AV42" i="9"/>
  <c r="AT42" i="9"/>
  <c r="AX42" i="9" s="1"/>
  <c r="AS42" i="9"/>
  <c r="AL42" i="9"/>
  <c r="AI42" i="9"/>
  <c r="AM42" i="9" s="1"/>
  <c r="AG42" i="9"/>
  <c r="AK42" i="9" s="1"/>
  <c r="AF42" i="9"/>
  <c r="V42" i="9"/>
  <c r="Z42" i="9" s="1"/>
  <c r="T42" i="9"/>
  <c r="X42" i="9" s="1"/>
  <c r="S42" i="9"/>
  <c r="M42" i="9"/>
  <c r="L42" i="9"/>
  <c r="I42" i="9"/>
  <c r="G42" i="9"/>
  <c r="K42" i="9" s="1"/>
  <c r="F42" i="9"/>
  <c r="AX41" i="9"/>
  <c r="AV41" i="9"/>
  <c r="AT41" i="9"/>
  <c r="AS41" i="9"/>
  <c r="AI41" i="9"/>
  <c r="AM41" i="9" s="1"/>
  <c r="AZ41" i="9" s="1"/>
  <c r="AG41" i="9"/>
  <c r="AK41" i="9" s="1"/>
  <c r="AF41" i="9"/>
  <c r="Y41" i="9"/>
  <c r="V41" i="9"/>
  <c r="Z41" i="9" s="1"/>
  <c r="T41" i="9"/>
  <c r="X41" i="9" s="1"/>
  <c r="S41" i="9"/>
  <c r="M41" i="9"/>
  <c r="I41" i="9"/>
  <c r="G41" i="9"/>
  <c r="K41" i="9" s="1"/>
  <c r="F41" i="9"/>
  <c r="AV40" i="9"/>
  <c r="AT40" i="9"/>
  <c r="AX40" i="9" s="1"/>
  <c r="AS40" i="9"/>
  <c r="AL40" i="9"/>
  <c r="AI40" i="9"/>
  <c r="AM40" i="9" s="1"/>
  <c r="AG40" i="9"/>
  <c r="AK40" i="9" s="1"/>
  <c r="AF40" i="9"/>
  <c r="Y40" i="9"/>
  <c r="X40" i="9"/>
  <c r="V40" i="9"/>
  <c r="Z40" i="9" s="1"/>
  <c r="AZ40" i="9" s="1"/>
  <c r="T40" i="9"/>
  <c r="S40" i="9"/>
  <c r="I40" i="9"/>
  <c r="M40" i="9" s="1"/>
  <c r="G40" i="9"/>
  <c r="F40" i="9"/>
  <c r="AV39" i="9"/>
  <c r="AT39" i="9"/>
  <c r="AX39" i="9" s="1"/>
  <c r="AS39" i="9"/>
  <c r="AM39" i="9"/>
  <c r="AI39" i="9"/>
  <c r="AG39" i="9"/>
  <c r="AF39" i="9"/>
  <c r="Z39" i="9"/>
  <c r="AZ39" i="9" s="1"/>
  <c r="Y39" i="9"/>
  <c r="X39" i="9"/>
  <c r="V39" i="9"/>
  <c r="T39" i="9"/>
  <c r="S39" i="9"/>
  <c r="L39" i="9"/>
  <c r="I39" i="9"/>
  <c r="M39" i="9" s="1"/>
  <c r="G39" i="9"/>
  <c r="K39" i="9" s="1"/>
  <c r="F39" i="9"/>
  <c r="AX38" i="9"/>
  <c r="AV38" i="9"/>
  <c r="AT38" i="9"/>
  <c r="AS38" i="9"/>
  <c r="AM38" i="9"/>
  <c r="AI38" i="9"/>
  <c r="AG38" i="9"/>
  <c r="AK38" i="9" s="1"/>
  <c r="AF38" i="9"/>
  <c r="Z38" i="9"/>
  <c r="AZ38" i="9" s="1"/>
  <c r="Y38" i="9"/>
  <c r="X38" i="9"/>
  <c r="V38" i="9"/>
  <c r="T38" i="9"/>
  <c r="S38" i="9"/>
  <c r="M38" i="9"/>
  <c r="L38" i="9"/>
  <c r="I38" i="9"/>
  <c r="G38" i="9"/>
  <c r="K38" i="9" s="1"/>
  <c r="F38" i="9"/>
  <c r="AX37" i="9"/>
  <c r="AV37" i="9"/>
  <c r="AT37" i="9"/>
  <c r="AS37" i="9"/>
  <c r="AM37" i="9"/>
  <c r="AL37" i="9"/>
  <c r="AI37" i="9"/>
  <c r="AG37" i="9"/>
  <c r="AK37" i="9" s="1"/>
  <c r="AF37" i="9"/>
  <c r="X37" i="9"/>
  <c r="V37" i="9"/>
  <c r="Z37" i="9" s="1"/>
  <c r="T37" i="9"/>
  <c r="Y37" i="9" s="1"/>
  <c r="S37" i="9"/>
  <c r="M37" i="9"/>
  <c r="AZ37" i="9" s="1"/>
  <c r="L37" i="9"/>
  <c r="AY37" i="9" s="1"/>
  <c r="I37" i="9"/>
  <c r="G37" i="9"/>
  <c r="K37" i="9" s="1"/>
  <c r="F37" i="9"/>
  <c r="AV36" i="9"/>
  <c r="AT36" i="9"/>
  <c r="AX36" i="9" s="1"/>
  <c r="AS36" i="9"/>
  <c r="AL36" i="9"/>
  <c r="AI36" i="9"/>
  <c r="AM36" i="9" s="1"/>
  <c r="AG36" i="9"/>
  <c r="AK36" i="9" s="1"/>
  <c r="AF36" i="9"/>
  <c r="V36" i="9"/>
  <c r="Z36" i="9" s="1"/>
  <c r="T36" i="9"/>
  <c r="X36" i="9" s="1"/>
  <c r="S36" i="9"/>
  <c r="M36" i="9"/>
  <c r="AZ36" i="9" s="1"/>
  <c r="I36" i="9"/>
  <c r="G36" i="9"/>
  <c r="K36" i="9" s="1"/>
  <c r="F36" i="9"/>
  <c r="AZ35" i="9"/>
  <c r="AX35" i="9"/>
  <c r="AV35" i="9"/>
  <c r="AT35" i="9"/>
  <c r="AS35" i="9"/>
  <c r="AM35" i="9"/>
  <c r="AI35" i="9"/>
  <c r="AG35" i="9"/>
  <c r="AK35" i="9" s="1"/>
  <c r="AF35" i="9"/>
  <c r="Y35" i="9"/>
  <c r="V35" i="9"/>
  <c r="Z35" i="9" s="1"/>
  <c r="T35" i="9"/>
  <c r="X35" i="9" s="1"/>
  <c r="S35" i="9"/>
  <c r="M35" i="9"/>
  <c r="I35" i="9"/>
  <c r="G35" i="9"/>
  <c r="K35" i="9" s="1"/>
  <c r="F35" i="9"/>
  <c r="AV34" i="9"/>
  <c r="AT34" i="9"/>
  <c r="AX34" i="9" s="1"/>
  <c r="AS34" i="9"/>
  <c r="AL34" i="9"/>
  <c r="AI34" i="9"/>
  <c r="AM34" i="9" s="1"/>
  <c r="AG34" i="9"/>
  <c r="AK34" i="9" s="1"/>
  <c r="AF34" i="9"/>
  <c r="Z34" i="9"/>
  <c r="Y34" i="9"/>
  <c r="X34" i="9"/>
  <c r="V34" i="9"/>
  <c r="T34" i="9"/>
  <c r="S34" i="9"/>
  <c r="I34" i="9"/>
  <c r="M34" i="9" s="1"/>
  <c r="AZ34" i="9" s="1"/>
  <c r="G34" i="9"/>
  <c r="F34" i="9"/>
  <c r="AV33" i="9"/>
  <c r="AT33" i="9"/>
  <c r="AX33" i="9" s="1"/>
  <c r="AS33" i="9"/>
  <c r="AM33" i="9"/>
  <c r="AI33" i="9"/>
  <c r="AG33" i="9"/>
  <c r="AF33" i="9"/>
  <c r="Y33" i="9"/>
  <c r="X33" i="9"/>
  <c r="V33" i="9"/>
  <c r="Z33" i="9" s="1"/>
  <c r="AZ33" i="9" s="1"/>
  <c r="T33" i="9"/>
  <c r="S33" i="9"/>
  <c r="L33" i="9"/>
  <c r="I33" i="9"/>
  <c r="M33" i="9" s="1"/>
  <c r="G33" i="9"/>
  <c r="K33" i="9" s="1"/>
  <c r="F33" i="9"/>
  <c r="AV32" i="9"/>
  <c r="AT32" i="9"/>
  <c r="AX32" i="9" s="1"/>
  <c r="AS32" i="9"/>
  <c r="AM32" i="9"/>
  <c r="AI32" i="9"/>
  <c r="AG32" i="9"/>
  <c r="AK32" i="9" s="1"/>
  <c r="AF32" i="9"/>
  <c r="Y32" i="9"/>
  <c r="V32" i="9"/>
  <c r="Z32" i="9" s="1"/>
  <c r="AZ32" i="9" s="1"/>
  <c r="T32" i="9"/>
  <c r="X32" i="9" s="1"/>
  <c r="S32" i="9"/>
  <c r="M32" i="9"/>
  <c r="L32" i="9"/>
  <c r="I32" i="9"/>
  <c r="G32" i="9"/>
  <c r="K32" i="9" s="1"/>
  <c r="F32" i="9"/>
  <c r="AX31" i="9"/>
  <c r="AV31" i="9"/>
  <c r="AT31" i="9"/>
  <c r="AS31" i="9"/>
  <c r="AL31" i="9"/>
  <c r="AI31" i="9"/>
  <c r="AM31" i="9" s="1"/>
  <c r="AG31" i="9"/>
  <c r="AK31" i="9" s="1"/>
  <c r="AF31" i="9"/>
  <c r="X31" i="9"/>
  <c r="V31" i="9"/>
  <c r="Z31" i="9" s="1"/>
  <c r="T31" i="9"/>
  <c r="Y31" i="9" s="1"/>
  <c r="S31" i="9"/>
  <c r="M31" i="9"/>
  <c r="I31" i="9"/>
  <c r="G31" i="9"/>
  <c r="K31" i="9" s="1"/>
  <c r="F31" i="9"/>
  <c r="AZ30" i="9"/>
  <c r="AV30" i="9"/>
  <c r="AT30" i="9"/>
  <c r="AX30" i="9" s="1"/>
  <c r="AS30" i="9"/>
  <c r="AM30" i="9"/>
  <c r="AL30" i="9"/>
  <c r="AI30" i="9"/>
  <c r="AG30" i="9"/>
  <c r="AK30" i="9" s="1"/>
  <c r="AF30" i="9"/>
  <c r="V30" i="9"/>
  <c r="Z30" i="9" s="1"/>
  <c r="T30" i="9"/>
  <c r="X30" i="9" s="1"/>
  <c r="S30" i="9"/>
  <c r="M30" i="9"/>
  <c r="I30" i="9"/>
  <c r="G30" i="9"/>
  <c r="K30" i="9" s="1"/>
  <c r="F30" i="9"/>
  <c r="AX29" i="9"/>
  <c r="AV29" i="9"/>
  <c r="AT29" i="9"/>
  <c r="AS29" i="9"/>
  <c r="AM29" i="9"/>
  <c r="AL29" i="9"/>
  <c r="AI29" i="9"/>
  <c r="AG29" i="9"/>
  <c r="AK29" i="9" s="1"/>
  <c r="AF29" i="9"/>
  <c r="Y29" i="9"/>
  <c r="V29" i="9"/>
  <c r="Z29" i="9" s="1"/>
  <c r="T29" i="9"/>
  <c r="X29" i="9" s="1"/>
  <c r="S29" i="9"/>
  <c r="I29" i="9"/>
  <c r="M29" i="9" s="1"/>
  <c r="AZ29" i="9" s="1"/>
  <c r="G29" i="9"/>
  <c r="K29" i="9" s="1"/>
  <c r="F29" i="9"/>
  <c r="AV28" i="9"/>
  <c r="AT28" i="9"/>
  <c r="AX28" i="9" s="1"/>
  <c r="AS28" i="9"/>
  <c r="AL28" i="9"/>
  <c r="AI28" i="9"/>
  <c r="AM28" i="9" s="1"/>
  <c r="AG28" i="9"/>
  <c r="AK28" i="9" s="1"/>
  <c r="AF28" i="9"/>
  <c r="Y28" i="9"/>
  <c r="X28" i="9"/>
  <c r="V28" i="9"/>
  <c r="Z28" i="9" s="1"/>
  <c r="T28" i="9"/>
  <c r="S28" i="9"/>
  <c r="I28" i="9"/>
  <c r="M28" i="9" s="1"/>
  <c r="G28" i="9"/>
  <c r="F28" i="9"/>
  <c r="AV27" i="9"/>
  <c r="AT27" i="9"/>
  <c r="AX27" i="9" s="1"/>
  <c r="AS27" i="9"/>
  <c r="AM27" i="9"/>
  <c r="AI27" i="9"/>
  <c r="AG27" i="9"/>
  <c r="AF27" i="9"/>
  <c r="Z27" i="9"/>
  <c r="Y27" i="9"/>
  <c r="X27" i="9"/>
  <c r="V27" i="9"/>
  <c r="T27" i="9"/>
  <c r="S27" i="9"/>
  <c r="L27" i="9"/>
  <c r="I27" i="9"/>
  <c r="M27" i="9" s="1"/>
  <c r="AZ27" i="9" s="1"/>
  <c r="G27" i="9"/>
  <c r="K27" i="9" s="1"/>
  <c r="F27" i="9"/>
  <c r="AV26" i="9"/>
  <c r="AT26" i="9"/>
  <c r="AX26" i="9" s="1"/>
  <c r="AS26" i="9"/>
  <c r="AM26" i="9"/>
  <c r="AI26" i="9"/>
  <c r="AG26" i="9"/>
  <c r="AK26" i="9" s="1"/>
  <c r="AF26" i="9"/>
  <c r="Y26" i="9"/>
  <c r="X26" i="9"/>
  <c r="V26" i="9"/>
  <c r="Z26" i="9" s="1"/>
  <c r="AZ26" i="9" s="1"/>
  <c r="T26" i="9"/>
  <c r="S26" i="9"/>
  <c r="M26" i="9"/>
  <c r="I26" i="9"/>
  <c r="G26" i="9"/>
  <c r="K26" i="9" s="1"/>
  <c r="F26" i="9"/>
  <c r="AX25" i="9"/>
  <c r="AV25" i="9"/>
  <c r="AT25" i="9"/>
  <c r="AS25" i="9"/>
  <c r="AL25" i="9"/>
  <c r="AI25" i="9"/>
  <c r="AM25" i="9" s="1"/>
  <c r="AG25" i="9"/>
  <c r="AK25" i="9" s="1"/>
  <c r="AF25" i="9"/>
  <c r="V25" i="9"/>
  <c r="Z25" i="9" s="1"/>
  <c r="T25" i="9"/>
  <c r="Y25" i="9" s="1"/>
  <c r="AY25" i="9" s="1"/>
  <c r="S25" i="9"/>
  <c r="M25" i="9"/>
  <c r="L25" i="9"/>
  <c r="I25" i="9"/>
  <c r="G25" i="9"/>
  <c r="K25" i="9" s="1"/>
  <c r="F25" i="9"/>
  <c r="AV24" i="9"/>
  <c r="AT24" i="9"/>
  <c r="AX24" i="9" s="1"/>
  <c r="AS24" i="9"/>
  <c r="AM24" i="9"/>
  <c r="AL24" i="9"/>
  <c r="AI24" i="9"/>
  <c r="AG24" i="9"/>
  <c r="AK24" i="9" s="1"/>
  <c r="AF24" i="9"/>
  <c r="Y24" i="9"/>
  <c r="V24" i="9"/>
  <c r="Z24" i="9" s="1"/>
  <c r="T24" i="9"/>
  <c r="X24" i="9" s="1"/>
  <c r="S24" i="9"/>
  <c r="I24" i="9"/>
  <c r="M24" i="9" s="1"/>
  <c r="AZ24" i="9" s="1"/>
  <c r="G24" i="9"/>
  <c r="K24" i="9" s="1"/>
  <c r="F24" i="9"/>
  <c r="AX23" i="9"/>
  <c r="AV23" i="9"/>
  <c r="AT23" i="9"/>
  <c r="AS23" i="9"/>
  <c r="AM23" i="9"/>
  <c r="AI23" i="9"/>
  <c r="AG23" i="9"/>
  <c r="AK23" i="9" s="1"/>
  <c r="AF23" i="9"/>
  <c r="Y23" i="9"/>
  <c r="V23" i="9"/>
  <c r="Z23" i="9" s="1"/>
  <c r="AZ23" i="9" s="1"/>
  <c r="T23" i="9"/>
  <c r="X23" i="9" s="1"/>
  <c r="S23" i="9"/>
  <c r="M23" i="9"/>
  <c r="L23" i="9"/>
  <c r="I23" i="9"/>
  <c r="G23" i="9"/>
  <c r="K23" i="9" s="1"/>
  <c r="F23" i="9"/>
  <c r="AV22" i="9"/>
  <c r="AT22" i="9"/>
  <c r="AX22" i="9" s="1"/>
  <c r="AS22" i="9"/>
  <c r="AL22" i="9"/>
  <c r="AI22" i="9"/>
  <c r="AM22" i="9" s="1"/>
  <c r="AG22" i="9"/>
  <c r="AK22" i="9" s="1"/>
  <c r="AF22" i="9"/>
  <c r="Z22" i="9"/>
  <c r="Y22" i="9"/>
  <c r="X22" i="9"/>
  <c r="V22" i="9"/>
  <c r="T22" i="9"/>
  <c r="S22" i="9"/>
  <c r="I22" i="9"/>
  <c r="M22" i="9" s="1"/>
  <c r="AZ22" i="9" s="1"/>
  <c r="G22" i="9"/>
  <c r="F22" i="9"/>
  <c r="AX21" i="9"/>
  <c r="AV21" i="9"/>
  <c r="AT21" i="9"/>
  <c r="AS21" i="9"/>
  <c r="AM21" i="9"/>
  <c r="AI21" i="9"/>
  <c r="AG21" i="9"/>
  <c r="AF21" i="9"/>
  <c r="Z21" i="9"/>
  <c r="AZ21" i="9" s="1"/>
  <c r="Y21" i="9"/>
  <c r="X21" i="9"/>
  <c r="V21" i="9"/>
  <c r="T21" i="9"/>
  <c r="S21" i="9"/>
  <c r="L21" i="9"/>
  <c r="I21" i="9"/>
  <c r="M21" i="9" s="1"/>
  <c r="G21" i="9"/>
  <c r="K21" i="9" s="1"/>
  <c r="F21" i="9"/>
  <c r="AX20" i="9"/>
  <c r="AV20" i="9"/>
  <c r="AT20" i="9"/>
  <c r="AS20" i="9"/>
  <c r="AM20" i="9"/>
  <c r="AI20" i="9"/>
  <c r="AG20" i="9"/>
  <c r="AK20" i="9" s="1"/>
  <c r="AF20" i="9"/>
  <c r="V20" i="9"/>
  <c r="Z20" i="9" s="1"/>
  <c r="T20" i="9"/>
  <c r="Y20" i="9" s="1"/>
  <c r="S20" i="9"/>
  <c r="L20" i="9"/>
  <c r="I20" i="9"/>
  <c r="M20" i="9" s="1"/>
  <c r="G20" i="9"/>
  <c r="K20" i="9" s="1"/>
  <c r="F20" i="9"/>
  <c r="AV19" i="9"/>
  <c r="AT19" i="9"/>
  <c r="AX19" i="9" s="1"/>
  <c r="AS19" i="9"/>
  <c r="AL19" i="9"/>
  <c r="AY19" i="9" s="1"/>
  <c r="AI19" i="9"/>
  <c r="AM19" i="9" s="1"/>
  <c r="AG19" i="9"/>
  <c r="AK19" i="9" s="1"/>
  <c r="AF19" i="9"/>
  <c r="Z19" i="9"/>
  <c r="Y19" i="9"/>
  <c r="X19" i="9"/>
  <c r="V19" i="9"/>
  <c r="T19" i="9"/>
  <c r="S19" i="9"/>
  <c r="L19" i="9"/>
  <c r="I19" i="9"/>
  <c r="M19" i="9" s="1"/>
  <c r="AZ19" i="9" s="1"/>
  <c r="G19" i="9"/>
  <c r="K19" i="9" s="1"/>
  <c r="F19" i="9"/>
  <c r="AX18" i="9"/>
  <c r="AV18" i="9"/>
  <c r="AT18" i="9"/>
  <c r="AS18" i="9"/>
  <c r="AL18" i="9"/>
  <c r="AI18" i="9"/>
  <c r="AM18" i="9" s="1"/>
  <c r="AG18" i="9"/>
  <c r="AK18" i="9" s="1"/>
  <c r="AF18" i="9"/>
  <c r="Z18" i="9"/>
  <c r="AZ18" i="9" s="1"/>
  <c r="V18" i="9"/>
  <c r="T18" i="9"/>
  <c r="Y18" i="9" s="1"/>
  <c r="S18" i="9"/>
  <c r="L18" i="9"/>
  <c r="I18" i="9"/>
  <c r="M18" i="9" s="1"/>
  <c r="G18" i="9"/>
  <c r="K18" i="9" s="1"/>
  <c r="F18" i="9"/>
  <c r="AX17" i="9"/>
  <c r="AV17" i="9"/>
  <c r="AT17" i="9"/>
  <c r="AS17" i="9"/>
  <c r="AL17" i="9"/>
  <c r="AI17" i="9"/>
  <c r="AM17" i="9" s="1"/>
  <c r="AG17" i="9"/>
  <c r="AK17" i="9" s="1"/>
  <c r="AF17" i="9"/>
  <c r="V17" i="9"/>
  <c r="Z17" i="9" s="1"/>
  <c r="T17" i="9"/>
  <c r="Y17" i="9" s="1"/>
  <c r="AY17" i="9" s="1"/>
  <c r="S17" i="9"/>
  <c r="L17" i="9"/>
  <c r="I17" i="9"/>
  <c r="M17" i="9" s="1"/>
  <c r="G17" i="9"/>
  <c r="K17" i="9" s="1"/>
  <c r="F17" i="9"/>
  <c r="AV16" i="9"/>
  <c r="AT16" i="9"/>
  <c r="AX16" i="9" s="1"/>
  <c r="AS16" i="9"/>
  <c r="AL16" i="9"/>
  <c r="AY16" i="9" s="1"/>
  <c r="AI16" i="9"/>
  <c r="AM16" i="9" s="1"/>
  <c r="AG16" i="9"/>
  <c r="AK16" i="9" s="1"/>
  <c r="AF16" i="9"/>
  <c r="Z16" i="9"/>
  <c r="Y16" i="9"/>
  <c r="X16" i="9"/>
  <c r="V16" i="9"/>
  <c r="T16" i="9"/>
  <c r="S16" i="9"/>
  <c r="L16" i="9"/>
  <c r="I16" i="9"/>
  <c r="M16" i="9" s="1"/>
  <c r="AZ16" i="9" s="1"/>
  <c r="G16" i="9"/>
  <c r="K16" i="9" s="1"/>
  <c r="F16" i="9"/>
  <c r="AX15" i="9"/>
  <c r="AV15" i="9"/>
  <c r="AT15" i="9"/>
  <c r="AS15" i="9"/>
  <c r="AL15" i="9"/>
  <c r="AI15" i="9"/>
  <c r="AM15" i="9" s="1"/>
  <c r="AG15" i="9"/>
  <c r="AK15" i="9" s="1"/>
  <c r="AF15" i="9"/>
  <c r="Z15" i="9"/>
  <c r="AZ15" i="9" s="1"/>
  <c r="V15" i="9"/>
  <c r="T15" i="9"/>
  <c r="Y15" i="9" s="1"/>
  <c r="S15" i="9"/>
  <c r="L15" i="9"/>
  <c r="I15" i="9"/>
  <c r="M15" i="9" s="1"/>
  <c r="G15" i="9"/>
  <c r="K15" i="9" s="1"/>
  <c r="F15" i="9"/>
  <c r="AX14" i="9"/>
  <c r="AV14" i="9"/>
  <c r="AT14" i="9"/>
  <c r="AS14" i="9"/>
  <c r="AL14" i="9"/>
  <c r="AI14" i="9"/>
  <c r="AM14" i="9" s="1"/>
  <c r="AG14" i="9"/>
  <c r="AK14" i="9" s="1"/>
  <c r="AF14" i="9"/>
  <c r="V14" i="9"/>
  <c r="Z14" i="9" s="1"/>
  <c r="T14" i="9"/>
  <c r="Y14" i="9" s="1"/>
  <c r="S14" i="9"/>
  <c r="L14" i="9"/>
  <c r="I14" i="9"/>
  <c r="M14" i="9" s="1"/>
  <c r="G14" i="9"/>
  <c r="K14" i="9" s="1"/>
  <c r="F14" i="9"/>
  <c r="AX13" i="9"/>
  <c r="AV13" i="9"/>
  <c r="AT13" i="9"/>
  <c r="AS13" i="9"/>
  <c r="AL13" i="9"/>
  <c r="AI13" i="9"/>
  <c r="AM13" i="9" s="1"/>
  <c r="AG13" i="9"/>
  <c r="AK13" i="9" s="1"/>
  <c r="AF13" i="9"/>
  <c r="Z13" i="9"/>
  <c r="X13" i="9"/>
  <c r="V13" i="9"/>
  <c r="T13" i="9"/>
  <c r="Y13" i="9" s="1"/>
  <c r="AY13" i="9" s="1"/>
  <c r="S13" i="9"/>
  <c r="L13" i="9"/>
  <c r="I13" i="9"/>
  <c r="M13" i="9" s="1"/>
  <c r="AZ13" i="9" s="1"/>
  <c r="G13" i="9"/>
  <c r="K13" i="9" s="1"/>
  <c r="F13" i="9"/>
  <c r="AZ12" i="9"/>
  <c r="AX12" i="9"/>
  <c r="AV12" i="9"/>
  <c r="AT12" i="9"/>
  <c r="AS12" i="9"/>
  <c r="AL12" i="9"/>
  <c r="AI12" i="9"/>
  <c r="AM12" i="9" s="1"/>
  <c r="AG12" i="9"/>
  <c r="AK12" i="9" s="1"/>
  <c r="AF12" i="9"/>
  <c r="Z12" i="9"/>
  <c r="V12" i="9"/>
  <c r="T12" i="9"/>
  <c r="X12" i="9" s="1"/>
  <c r="S12" i="9"/>
  <c r="L12" i="9"/>
  <c r="I12" i="9"/>
  <c r="M12" i="9" s="1"/>
  <c r="G12" i="9"/>
  <c r="K12" i="9" s="1"/>
  <c r="F12" i="9"/>
  <c r="AV11" i="9"/>
  <c r="AT11" i="9"/>
  <c r="AX11" i="9" s="1"/>
  <c r="AS11" i="9"/>
  <c r="AL11" i="9"/>
  <c r="AI11" i="9"/>
  <c r="AM11" i="9" s="1"/>
  <c r="AG11" i="9"/>
  <c r="AK11" i="9" s="1"/>
  <c r="AF11" i="9"/>
  <c r="V11" i="9"/>
  <c r="Z11" i="9" s="1"/>
  <c r="T11" i="9"/>
  <c r="Y11" i="9" s="1"/>
  <c r="S11" i="9"/>
  <c r="L11" i="9"/>
  <c r="I11" i="9"/>
  <c r="M11" i="9" s="1"/>
  <c r="G11" i="9"/>
  <c r="K11" i="9" s="1"/>
  <c r="F11" i="9"/>
  <c r="AZ10" i="9"/>
  <c r="AX10" i="9"/>
  <c r="AV10" i="9"/>
  <c r="AT10" i="9"/>
  <c r="AS10" i="9"/>
  <c r="AL10" i="9"/>
  <c r="AI10" i="9"/>
  <c r="AM10" i="9" s="1"/>
  <c r="AG10" i="9"/>
  <c r="AK10" i="9" s="1"/>
  <c r="AF10" i="9"/>
  <c r="Z10" i="9"/>
  <c r="X10" i="9"/>
  <c r="V10" i="9"/>
  <c r="T10" i="9"/>
  <c r="Y10" i="9" s="1"/>
  <c r="AY10" i="9" s="1"/>
  <c r="S10" i="9"/>
  <c r="L10" i="9"/>
  <c r="I10" i="9"/>
  <c r="M10" i="9" s="1"/>
  <c r="G10" i="9"/>
  <c r="K10" i="9" s="1"/>
  <c r="F10" i="9"/>
  <c r="AZ9" i="9"/>
  <c r="AV9" i="9"/>
  <c r="AT9" i="9"/>
  <c r="AX9" i="9" s="1"/>
  <c r="AS9" i="9"/>
  <c r="AL9" i="9"/>
  <c r="AI9" i="9"/>
  <c r="AM9" i="9" s="1"/>
  <c r="AG9" i="9"/>
  <c r="AK9" i="9" s="1"/>
  <c r="AF9" i="9"/>
  <c r="Z9" i="9"/>
  <c r="V9" i="9"/>
  <c r="T9" i="9"/>
  <c r="X9" i="9" s="1"/>
  <c r="S9" i="9"/>
  <c r="L9" i="9"/>
  <c r="I9" i="9"/>
  <c r="M9" i="9" s="1"/>
  <c r="G9" i="9"/>
  <c r="K9" i="9" s="1"/>
  <c r="F9" i="9"/>
  <c r="AV8" i="9"/>
  <c r="AT8" i="9"/>
  <c r="AX8" i="9" s="1"/>
  <c r="AS8" i="9"/>
  <c r="AL8" i="9"/>
  <c r="AI8" i="9"/>
  <c r="AM8" i="9" s="1"/>
  <c r="AG8" i="9"/>
  <c r="AK8" i="9" s="1"/>
  <c r="AF8" i="9"/>
  <c r="V8" i="9"/>
  <c r="Z8" i="9" s="1"/>
  <c r="T8" i="9"/>
  <c r="Y8" i="9" s="1"/>
  <c r="S8" i="9"/>
  <c r="L8" i="9"/>
  <c r="I8" i="9"/>
  <c r="M8" i="9" s="1"/>
  <c r="G8" i="9"/>
  <c r="K8" i="9" s="1"/>
  <c r="F8" i="9"/>
  <c r="AZ7" i="9"/>
  <c r="AX7" i="9"/>
  <c r="AV7" i="9"/>
  <c r="AT7" i="9"/>
  <c r="AS7" i="9"/>
  <c r="AL7" i="9"/>
  <c r="AI7" i="9"/>
  <c r="AM7" i="9" s="1"/>
  <c r="AG7" i="9"/>
  <c r="AK7" i="9" s="1"/>
  <c r="AF7" i="9"/>
  <c r="Z7" i="9"/>
  <c r="X7" i="9"/>
  <c r="V7" i="9"/>
  <c r="T7" i="9"/>
  <c r="Y7" i="9" s="1"/>
  <c r="AY7" i="9" s="1"/>
  <c r="S7" i="9"/>
  <c r="L7" i="9"/>
  <c r="I7" i="9"/>
  <c r="M7" i="9" s="1"/>
  <c r="G7" i="9"/>
  <c r="K7" i="9" s="1"/>
  <c r="F7" i="9"/>
  <c r="AZ6" i="9"/>
  <c r="AV6" i="9"/>
  <c r="AT6" i="9"/>
  <c r="AX6" i="9" s="1"/>
  <c r="AS6" i="9"/>
  <c r="AL6" i="9"/>
  <c r="AI6" i="9"/>
  <c r="AM6" i="9" s="1"/>
  <c r="AG6" i="9"/>
  <c r="AK6" i="9" s="1"/>
  <c r="AF6" i="9"/>
  <c r="Z6" i="9"/>
  <c r="V6" i="9"/>
  <c r="T6" i="9"/>
  <c r="X6" i="9" s="1"/>
  <c r="S6" i="9"/>
  <c r="L6" i="9"/>
  <c r="I6" i="9"/>
  <c r="M6" i="9" s="1"/>
  <c r="G6" i="9"/>
  <c r="K6" i="9" s="1"/>
  <c r="F6" i="9"/>
  <c r="AZ28" i="9" l="1"/>
  <c r="AZ42" i="9"/>
  <c r="AZ8" i="9"/>
  <c r="AZ11" i="9"/>
  <c r="AZ14" i="9"/>
  <c r="AZ17" i="9"/>
  <c r="AZ20" i="9"/>
  <c r="AZ44" i="9"/>
  <c r="AZ50" i="9"/>
  <c r="AY14" i="9"/>
  <c r="AY8" i="9"/>
  <c r="AY11" i="9"/>
  <c r="AY15" i="9"/>
  <c r="AY18" i="9"/>
  <c r="AY55" i="9"/>
  <c r="M67" i="9"/>
  <c r="AZ67" i="9" s="1"/>
  <c r="AL23" i="9"/>
  <c r="AZ31" i="9"/>
  <c r="L36" i="9"/>
  <c r="L41" i="9"/>
  <c r="AY41" i="9" s="1"/>
  <c r="Y42" i="9"/>
  <c r="AY42" i="9" s="1"/>
  <c r="X51" i="9"/>
  <c r="AL54" i="9"/>
  <c r="AK54" i="9"/>
  <c r="V66" i="9"/>
  <c r="Z66" i="9" s="1"/>
  <c r="K67" i="9"/>
  <c r="X70" i="9"/>
  <c r="AK45" i="9"/>
  <c r="AL45" i="9"/>
  <c r="AY45" i="9" s="1"/>
  <c r="L71" i="9"/>
  <c r="K71" i="9"/>
  <c r="K28" i="9"/>
  <c r="L28" i="9"/>
  <c r="AY28" i="9" s="1"/>
  <c r="AL35" i="9"/>
  <c r="AZ43" i="9"/>
  <c r="L50" i="9"/>
  <c r="AY57" i="9"/>
  <c r="L63" i="9"/>
  <c r="M69" i="9"/>
  <c r="Y73" i="9"/>
  <c r="Z73" i="9" s="1"/>
  <c r="AZ73" i="9" s="1"/>
  <c r="X73" i="9"/>
  <c r="AY52" i="9"/>
  <c r="AK27" i="9"/>
  <c r="AL27" i="9"/>
  <c r="AY27" i="9" s="1"/>
  <c r="K40" i="9"/>
  <c r="L40" i="9"/>
  <c r="AY40" i="9" s="1"/>
  <c r="Y48" i="9"/>
  <c r="AY48" i="9" s="1"/>
  <c r="X48" i="9"/>
  <c r="AZ52" i="9"/>
  <c r="AL62" i="9"/>
  <c r="AK62" i="9"/>
  <c r="X15" i="9"/>
  <c r="X18" i="9"/>
  <c r="AZ25" i="9"/>
  <c r="K60" i="9"/>
  <c r="AM62" i="9"/>
  <c r="I64" i="9"/>
  <c r="L30" i="9"/>
  <c r="AY30" i="9" s="1"/>
  <c r="L35" i="9"/>
  <c r="AY35" i="9" s="1"/>
  <c r="Y36" i="9"/>
  <c r="Y6" i="9"/>
  <c r="AY6" i="9" s="1"/>
  <c r="Y9" i="9"/>
  <c r="AY9" i="9" s="1"/>
  <c r="Y12" i="9"/>
  <c r="AY12" i="9" s="1"/>
  <c r="AK39" i="9"/>
  <c r="AL39" i="9"/>
  <c r="AY39" i="9" s="1"/>
  <c r="Y52" i="9"/>
  <c r="X52" i="9"/>
  <c r="L66" i="9"/>
  <c r="L60" i="9"/>
  <c r="L61" i="9"/>
  <c r="L59" i="9"/>
  <c r="M59" i="9"/>
  <c r="AY51" i="9"/>
  <c r="AM60" i="9"/>
  <c r="AI61" i="9"/>
  <c r="AM61" i="9" s="1"/>
  <c r="L62" i="9"/>
  <c r="K62" i="9"/>
  <c r="AK64" i="9"/>
  <c r="AG65" i="9"/>
  <c r="X8" i="9"/>
  <c r="X11" i="9"/>
  <c r="X14" i="9"/>
  <c r="X17" i="9"/>
  <c r="X20" i="9"/>
  <c r="AK21" i="9"/>
  <c r="AL21" i="9"/>
  <c r="AY21" i="9" s="1"/>
  <c r="X25" i="9"/>
  <c r="K34" i="9"/>
  <c r="L34" i="9"/>
  <c r="AY34" i="9" s="1"/>
  <c r="AL41" i="9"/>
  <c r="AL50" i="9"/>
  <c r="AK50" i="9"/>
  <c r="M62" i="9"/>
  <c r="L65" i="9"/>
  <c r="G66" i="9"/>
  <c r="K66" i="9" s="1"/>
  <c r="M68" i="9"/>
  <c r="AZ68" i="9" s="1"/>
  <c r="AL69" i="9"/>
  <c r="AM69" i="9" s="1"/>
  <c r="AK69" i="9"/>
  <c r="AY23" i="9"/>
  <c r="K22" i="9"/>
  <c r="L22" i="9"/>
  <c r="AY22" i="9" s="1"/>
  <c r="AZ47" i="9"/>
  <c r="L24" i="9"/>
  <c r="AY24" i="9" s="1"/>
  <c r="L29" i="9"/>
  <c r="AY29" i="9" s="1"/>
  <c r="Y30" i="9"/>
  <c r="AL46" i="9"/>
  <c r="K55" i="9"/>
  <c r="Y58" i="9"/>
  <c r="T59" i="9"/>
  <c r="AM59" i="9"/>
  <c r="AK63" i="9"/>
  <c r="L26" i="9"/>
  <c r="AY26" i="9" s="1"/>
  <c r="L31" i="9"/>
  <c r="AY31" i="9" s="1"/>
  <c r="AK33" i="9"/>
  <c r="AL33" i="9"/>
  <c r="AY33" i="9" s="1"/>
  <c r="K46" i="9"/>
  <c r="L46" i="9"/>
  <c r="AK60" i="9"/>
  <c r="AL63" i="9"/>
  <c r="T65" i="9"/>
  <c r="X76" i="9"/>
  <c r="M75" i="9"/>
  <c r="AY54" i="9"/>
  <c r="AY70" i="9"/>
  <c r="X72" i="9"/>
  <c r="AY83" i="9"/>
  <c r="X56" i="9"/>
  <c r="K58" i="9"/>
  <c r="X67" i="9"/>
  <c r="AY74" i="9"/>
  <c r="Y75" i="9"/>
  <c r="Z75" i="9" s="1"/>
  <c r="X75" i="9"/>
  <c r="AL20" i="9"/>
  <c r="AY20" i="9" s="1"/>
  <c r="AL26" i="9"/>
  <c r="AL32" i="9"/>
  <c r="AY32" i="9" s="1"/>
  <c r="AL38" i="9"/>
  <c r="AY38" i="9" s="1"/>
  <c r="AL44" i="9"/>
  <c r="AY44" i="9" s="1"/>
  <c r="Z63" i="9"/>
  <c r="AY82" i="9"/>
  <c r="AY73" i="9"/>
  <c r="AY87" i="9"/>
  <c r="M76" i="9"/>
  <c r="AZ76" i="9" s="1"/>
  <c r="AZ81" i="9"/>
  <c r="AY72" i="9"/>
  <c r="AY78" i="9"/>
  <c r="AY84" i="9"/>
  <c r="AM6" i="10"/>
  <c r="AZ6" i="10" s="1"/>
  <c r="AL6" i="10"/>
  <c r="AY80" i="9"/>
  <c r="AY86" i="9"/>
  <c r="AY79" i="9"/>
  <c r="AY85" i="9"/>
  <c r="AY6" i="10"/>
  <c r="X59" i="9" l="1"/>
  <c r="T60" i="9"/>
  <c r="Y59" i="9"/>
  <c r="Z58" i="9"/>
  <c r="AZ58" i="9" s="1"/>
  <c r="AL64" i="9"/>
  <c r="AM63" i="9"/>
  <c r="AY75" i="9"/>
  <c r="AY71" i="9"/>
  <c r="M71" i="9"/>
  <c r="AZ71" i="9" s="1"/>
  <c r="AY59" i="9"/>
  <c r="AY36" i="9"/>
  <c r="AY69" i="9"/>
  <c r="AY46" i="9"/>
  <c r="AZ62" i="9"/>
  <c r="M61" i="9"/>
  <c r="M60" i="9"/>
  <c r="AZ69" i="9"/>
  <c r="AK65" i="9"/>
  <c r="AG66" i="9"/>
  <c r="AK66" i="9" s="1"/>
  <c r="I65" i="9"/>
  <c r="M64" i="9"/>
  <c r="AY63" i="9"/>
  <c r="L64" i="9"/>
  <c r="T66" i="9"/>
  <c r="X66" i="9" s="1"/>
  <c r="X65" i="9"/>
  <c r="AY58" i="9"/>
  <c r="AY50" i="9"/>
  <c r="AY62" i="9"/>
  <c r="M63" i="9"/>
  <c r="AZ63" i="9" s="1"/>
  <c r="AZ75" i="9"/>
  <c r="AL65" i="9" l="1"/>
  <c r="AM64" i="9"/>
  <c r="AY64" i="9"/>
  <c r="Y60" i="9"/>
  <c r="Z59" i="9"/>
  <c r="AZ59" i="9" s="1"/>
  <c r="AZ64" i="9"/>
  <c r="X60" i="9"/>
  <c r="T61" i="9"/>
  <c r="X61" i="9" s="1"/>
  <c r="M65" i="9"/>
  <c r="I66" i="9"/>
  <c r="M66" i="9" s="1"/>
  <c r="Y61" i="9" l="1"/>
  <c r="Z60" i="9"/>
  <c r="AZ60" i="9" s="1"/>
  <c r="AY60" i="9"/>
  <c r="AL66" i="9"/>
  <c r="AM65" i="9"/>
  <c r="AZ65" i="9" s="1"/>
  <c r="AY65" i="9"/>
  <c r="AM66" i="9" l="1"/>
  <c r="AZ66" i="9" s="1"/>
  <c r="AY66" i="9"/>
  <c r="Z61" i="9"/>
  <c r="AZ61" i="9" s="1"/>
  <c r="AY61" i="9"/>
</calcChain>
</file>

<file path=xl/sharedStrings.xml><?xml version="1.0" encoding="utf-8"?>
<sst xmlns="http://schemas.openxmlformats.org/spreadsheetml/2006/main" count="2305" uniqueCount="874">
  <si>
    <t>Generic Comet (GC) TIMES Supply</t>
  </si>
  <si>
    <t>Sheet color</t>
  </si>
  <si>
    <t>Raw Data and Parameters</t>
  </si>
  <si>
    <t>City Specific Data</t>
  </si>
  <si>
    <t>Post processing for TIMES</t>
  </si>
  <si>
    <t>Table formatted for TIMES</t>
  </si>
  <si>
    <t>City Basic Data</t>
  </si>
  <si>
    <t>Calibration methodology</t>
  </si>
  <si>
    <t>GHG Inventory</t>
  </si>
  <si>
    <t>A. City Characteristics</t>
  </si>
  <si>
    <t>Data Item</t>
  </si>
  <si>
    <t>Value</t>
  </si>
  <si>
    <t>Units</t>
  </si>
  <si>
    <t>City Name</t>
  </si>
  <si>
    <t>New York</t>
  </si>
  <si>
    <t>Latitude</t>
  </si>
  <si>
    <t>Longitude</t>
  </si>
  <si>
    <t>County</t>
  </si>
  <si>
    <t>New York County</t>
  </si>
  <si>
    <t>State</t>
  </si>
  <si>
    <t>Census Division</t>
  </si>
  <si>
    <t>Middle Atlantic</t>
  </si>
  <si>
    <t>Climate Division</t>
  </si>
  <si>
    <t>Northeast</t>
  </si>
  <si>
    <t>Egrid Region</t>
  </si>
  <si>
    <t>NPCC NYC/Westchester</t>
  </si>
  <si>
    <t>Area of city (excluding water, natural and agricultural areas)</t>
  </si>
  <si>
    <t>square kilometers</t>
  </si>
  <si>
    <t>* Division and Region Map can be found in the Maps sheet.</t>
  </si>
  <si>
    <t>B. Planning Base Year and Target Years</t>
  </si>
  <si>
    <t>Year</t>
  </si>
  <si>
    <t>Base Year</t>
  </si>
  <si>
    <t>Acceptable range [2018,2021]</t>
  </si>
  <si>
    <t>End Year</t>
  </si>
  <si>
    <t>C. City Population and GDP</t>
  </si>
  <si>
    <t>Population in Base Year</t>
  </si>
  <si>
    <t>Thousand of people</t>
  </si>
  <si>
    <t>Annual population growth (Base Year - End Year)</t>
  </si>
  <si>
    <t>% people</t>
  </si>
  <si>
    <t>GDP in Base Year</t>
  </si>
  <si>
    <t>Million US$</t>
  </si>
  <si>
    <t>Annual GDP growth rate</t>
  </si>
  <si>
    <t>% US$</t>
  </si>
  <si>
    <t>Share of manufacturing GDP</t>
  </si>
  <si>
    <t>Share of State population</t>
  </si>
  <si>
    <t>Share of State GDP</t>
  </si>
  <si>
    <t>Adjustment from state manufacturing GDP</t>
  </si>
  <si>
    <t>D. Climate Data</t>
  </si>
  <si>
    <t>Heating degree days (HDD)</t>
  </si>
  <si>
    <t>F</t>
  </si>
  <si>
    <t>Cooling degree days (CDD)</t>
  </si>
  <si>
    <t>Correction from State HDD</t>
  </si>
  <si>
    <t>Correction from State CDD</t>
  </si>
  <si>
    <t>Annual precipitation</t>
  </si>
  <si>
    <t>mm / year</t>
  </si>
  <si>
    <t>Climate change scenario</t>
  </si>
  <si>
    <t>RCP4.5</t>
  </si>
  <si>
    <t>Average temperature increase in 1980-2020</t>
  </si>
  <si>
    <t>Forecasted average temperature increase in 2035-2065</t>
  </si>
  <si>
    <t>Forecasted average temperature increase in 2070-2100</t>
  </si>
  <si>
    <t>*Climate change scenario description can be found in the Lists sheet.</t>
  </si>
  <si>
    <t>E. Energy scenario</t>
  </si>
  <si>
    <t>AEO energy scenario</t>
  </si>
  <si>
    <t>lowmachighZTC</t>
  </si>
  <si>
    <t>Electricity technology scenario</t>
  </si>
  <si>
    <t>Moderate</t>
  </si>
  <si>
    <t>Transport technology scenario</t>
  </si>
  <si>
    <t>Mid</t>
  </si>
  <si>
    <t>District energy</t>
  </si>
  <si>
    <t>Yes</t>
  </si>
  <si>
    <t>* Energy scenario description can be foundin the Lists sheet.</t>
  </si>
  <si>
    <t>Sector</t>
  </si>
  <si>
    <t>Sub-sector</t>
  </si>
  <si>
    <t>Archetype</t>
  </si>
  <si>
    <t xml:space="preserve">Vintage </t>
  </si>
  <si>
    <t>End Use</t>
  </si>
  <si>
    <t>Technology</t>
  </si>
  <si>
    <t>Energy</t>
  </si>
  <si>
    <t>Technology Label</t>
  </si>
  <si>
    <t>Generation (TJ)</t>
  </si>
  <si>
    <t>Fuel Input (MWh)</t>
  </si>
  <si>
    <t>Capacity Factor (%)</t>
  </si>
  <si>
    <t>Efficiency (%)</t>
  </si>
  <si>
    <t>Fixed OM 2023 US$ / kW . Yr</t>
  </si>
  <si>
    <t>Variable OM 2023 US$ / GJ</t>
  </si>
  <si>
    <t>Capacity base year (MW)</t>
  </si>
  <si>
    <t>Capacity  2020 (MW)</t>
  </si>
  <si>
    <t>Capacity  2025 (MW)</t>
  </si>
  <si>
    <t>Capacity  2030 (MW)</t>
  </si>
  <si>
    <t>Capacity  2035 (MW)</t>
  </si>
  <si>
    <t>Capacity  2040 (MW)</t>
  </si>
  <si>
    <t>Capacity  2045 (MW)</t>
  </si>
  <si>
    <t>Capacity  2050 (MW)</t>
  </si>
  <si>
    <t>Capacity  2055 (MW)</t>
  </si>
  <si>
    <t>Capacity  2060 (MW)</t>
  </si>
  <si>
    <t>Capacity  2065 (MW)</t>
  </si>
  <si>
    <t>Capacity  2070 (MW)</t>
  </si>
  <si>
    <t>Capacity  2075 (MW)</t>
  </si>
  <si>
    <t>Capacity  2080 (MW)</t>
  </si>
  <si>
    <t>Capacity  2085 (MW)</t>
  </si>
  <si>
    <t>Capacity  2090 (MW)</t>
  </si>
  <si>
    <t>Capacity  2095 (MW)</t>
  </si>
  <si>
    <t>Capacity  2100 (MW)</t>
  </si>
  <si>
    <t xml:space="preserve">Average CO2 emission factor ( t CO2 / TJ) </t>
  </si>
  <si>
    <t xml:space="preserve">Average CH4 emission factor ( t CH4 / TJ) </t>
  </si>
  <si>
    <t xml:space="preserve">Average N2O emission factor ( t N2O / TJ) </t>
  </si>
  <si>
    <t>Electricity</t>
  </si>
  <si>
    <t>Grid</t>
  </si>
  <si>
    <t>Dispatchable</t>
  </si>
  <si>
    <t>Combustion turbine</t>
  </si>
  <si>
    <t>Natural gas</t>
  </si>
  <si>
    <t>ELCNGAGRDCTU19</t>
  </si>
  <si>
    <t>Steam turbine</t>
  </si>
  <si>
    <t>ELCNGAGRDSTU19</t>
  </si>
  <si>
    <t>Combined cycle combustion turbine</t>
  </si>
  <si>
    <t>ELCNGAGRDCCC19</t>
  </si>
  <si>
    <t>Combined cycle steam turbine</t>
  </si>
  <si>
    <t>ELCNGAGRDCCS19</t>
  </si>
  <si>
    <t>Combined cycle - single shaft</t>
  </si>
  <si>
    <t>ELCNGAGRDACC19</t>
  </si>
  <si>
    <t>Other turbine</t>
  </si>
  <si>
    <t>ELCNGAGRDOTT19</t>
  </si>
  <si>
    <t>Internal combustion engine</t>
  </si>
  <si>
    <t>ELCNGAGRDICE19</t>
  </si>
  <si>
    <t>Fuel cell</t>
  </si>
  <si>
    <t>ELCNGAGRDFCE19</t>
  </si>
  <si>
    <t>RNG</t>
  </si>
  <si>
    <t>ELCRNGGRDCTU19</t>
  </si>
  <si>
    <t>ELCRNGGRDSTU19</t>
  </si>
  <si>
    <t>ELCRNGGRDCCC19</t>
  </si>
  <si>
    <t>ELCRNGGRDCCS19</t>
  </si>
  <si>
    <t>ELCRNGGRDICE19</t>
  </si>
  <si>
    <t>ELCRNGGRDFCE19</t>
  </si>
  <si>
    <t>Fuel oil</t>
  </si>
  <si>
    <t>ELCFOIGRDCTU19</t>
  </si>
  <si>
    <t>ELCFOIGRDSTU19</t>
  </si>
  <si>
    <t>ELCFOIGRDCCC19</t>
  </si>
  <si>
    <t>ELCFOIGRDCCS19</t>
  </si>
  <si>
    <t>ELCFOIGRDOTT19</t>
  </si>
  <si>
    <t>ELCFOIGRDICE19</t>
  </si>
  <si>
    <t>Coal</t>
  </si>
  <si>
    <t>ELCCOAGRDSTU19</t>
  </si>
  <si>
    <t>ELCCOAGRDOTT19</t>
  </si>
  <si>
    <t>Biomass</t>
  </si>
  <si>
    <t>ELCBIOGRDSTU19</t>
  </si>
  <si>
    <t>ELCBIOGRDOTT19</t>
  </si>
  <si>
    <t>Other bioenergy</t>
  </si>
  <si>
    <t>ELCOTBGRDICE19</t>
  </si>
  <si>
    <t>Waste</t>
  </si>
  <si>
    <t>ELCWASGRDSTU19</t>
  </si>
  <si>
    <t>Waste heat</t>
  </si>
  <si>
    <t>ELCHETGRDSTU19</t>
  </si>
  <si>
    <t>ELCHETGRDOTT19</t>
  </si>
  <si>
    <t>Steam</t>
  </si>
  <si>
    <t>ELCSTMGRDSTU19</t>
  </si>
  <si>
    <t>Uranium</t>
  </si>
  <si>
    <t>ELCURNGRDSTU19</t>
  </si>
  <si>
    <t>Storage</t>
  </si>
  <si>
    <t>Compressed air energy storage</t>
  </si>
  <si>
    <t>ELCSTGGRDCES19</t>
  </si>
  <si>
    <t>Flywheel energy storage</t>
  </si>
  <si>
    <t>ELCSTGGRDFES19</t>
  </si>
  <si>
    <t>Battery energy storage</t>
  </si>
  <si>
    <t>ELCSTGGRDBES19</t>
  </si>
  <si>
    <t>Baseload</t>
  </si>
  <si>
    <t>Geothermal</t>
  </si>
  <si>
    <t>ELCGEOGRDSTU19</t>
  </si>
  <si>
    <t>Binary cycle turbine</t>
  </si>
  <si>
    <t>ELCGEOGRDBCT19</t>
  </si>
  <si>
    <t>Non Dispatchable</t>
  </si>
  <si>
    <t xml:space="preserve">Wind turbine - onshore </t>
  </si>
  <si>
    <t>Wind</t>
  </si>
  <si>
    <t>ELCWNDGRDWON19</t>
  </si>
  <si>
    <t>Wind turbine - offshore</t>
  </si>
  <si>
    <t>ELCWNDGRDWOF19</t>
  </si>
  <si>
    <t>Hydraulic turbine - reversible</t>
  </si>
  <si>
    <t>ELCSTGGRDHES19</t>
  </si>
  <si>
    <t>Partly Dispatchable</t>
  </si>
  <si>
    <t>Hydroelectric tubine</t>
  </si>
  <si>
    <t>Hydro</t>
  </si>
  <si>
    <t>ELCHYDGRDHTU19</t>
  </si>
  <si>
    <t>Photovoltaic</t>
  </si>
  <si>
    <t>Solar</t>
  </si>
  <si>
    <t>ELCSOLGRDUPV19</t>
  </si>
  <si>
    <t>Concentrated solar power energy storage</t>
  </si>
  <si>
    <t>ELCSOLGRDCSP19</t>
  </si>
  <si>
    <t>ELCSOLGRDSTU19</t>
  </si>
  <si>
    <t>ELCSOLGRDOTT19</t>
  </si>
  <si>
    <t>Decentralized</t>
  </si>
  <si>
    <t>Commercial Solar (Photovoltaic)</t>
  </si>
  <si>
    <t>ELCSOLDCECPV19</t>
  </si>
  <si>
    <t>Residential Solar (Photovoltaic)</t>
  </si>
  <si>
    <t>ELCSOLDCERPV19</t>
  </si>
  <si>
    <t>Municipal Solar (Photovoltaic)</t>
  </si>
  <si>
    <t>ELCSOLDCEMPV19</t>
  </si>
  <si>
    <t>Industrial Solar (Photovoltaic)</t>
  </si>
  <si>
    <t>ELCSOLDCEIPV19</t>
  </si>
  <si>
    <t>Electricty</t>
  </si>
  <si>
    <t>Transmission</t>
  </si>
  <si>
    <t>EGRID to CITY</t>
  </si>
  <si>
    <t>TU_CELC_EGRID_CITY_V01</t>
  </si>
  <si>
    <t>Import</t>
  </si>
  <si>
    <t>Import to EGRID</t>
  </si>
  <si>
    <t>IMPELCEGRID</t>
  </si>
  <si>
    <t>2023 Dollar / GJ</t>
  </si>
  <si>
    <t>GHGI Sector</t>
  </si>
  <si>
    <t>GHGI Energy</t>
  </si>
  <si>
    <t>AEO Sector</t>
  </si>
  <si>
    <t>AEO Energy</t>
  </si>
  <si>
    <t>Description</t>
  </si>
  <si>
    <t>Multiplicateur</t>
  </si>
  <si>
    <t>Commodity Label</t>
  </si>
  <si>
    <t>Residential</t>
  </si>
  <si>
    <t>LPG</t>
  </si>
  <si>
    <t>Propane</t>
  </si>
  <si>
    <t>Hydrocarbon gas liquids price in the residential sector</t>
  </si>
  <si>
    <t>RESLPG</t>
  </si>
  <si>
    <t>Distillate Fuel Oil</t>
  </si>
  <si>
    <t>Distillate fuel oil price in the residential sector</t>
  </si>
  <si>
    <t>RESFOI</t>
  </si>
  <si>
    <t>Kerosene</t>
  </si>
  <si>
    <t>Kerosene price in the residential sector</t>
  </si>
  <si>
    <t>RESKER</t>
  </si>
  <si>
    <t>Natural Gas</t>
  </si>
  <si>
    <t>Natural gas price in the residential sector (including supplemental gaseous fuels)</t>
  </si>
  <si>
    <t>RESNGA</t>
  </si>
  <si>
    <t>RESRNG</t>
  </si>
  <si>
    <t>Electricity price in the residential sector</t>
  </si>
  <si>
    <t>RESELC</t>
  </si>
  <si>
    <t>Hydrogen</t>
  </si>
  <si>
    <t>RESH2G</t>
  </si>
  <si>
    <t>RESSTM</t>
  </si>
  <si>
    <t>RESSOL</t>
  </si>
  <si>
    <t>RESWND</t>
  </si>
  <si>
    <t>Commercial</t>
  </si>
  <si>
    <t>Hydrocarbon gas liquids price in the commercial sector</t>
  </si>
  <si>
    <t>COMLPG</t>
  </si>
  <si>
    <t>Diesel</t>
  </si>
  <si>
    <t>Distillate fuel oil price in the commercial sector</t>
  </si>
  <si>
    <t>COMDSL</t>
  </si>
  <si>
    <t>Residual Fuel Oil</t>
  </si>
  <si>
    <t>COMFOI</t>
  </si>
  <si>
    <t>Kerosene price in the commercial sector</t>
  </si>
  <si>
    <t>COMKER</t>
  </si>
  <si>
    <t>Gasoline</t>
  </si>
  <si>
    <t>Motor gasoline price in the commercial sector</t>
  </si>
  <si>
    <t>COMGSL</t>
  </si>
  <si>
    <t>Natural gas price in the commercial sector (including supplemental gaseous fuels)</t>
  </si>
  <si>
    <t>COMNGA</t>
  </si>
  <si>
    <t>COMRNG</t>
  </si>
  <si>
    <t>Electricity price in the commercial sector</t>
  </si>
  <si>
    <t>COMELC</t>
  </si>
  <si>
    <t>COMH2G</t>
  </si>
  <si>
    <t>COMSTM</t>
  </si>
  <si>
    <t>COMSOL</t>
  </si>
  <si>
    <t>COMWND</t>
  </si>
  <si>
    <t>Industrial</t>
  </si>
  <si>
    <t>Hydrocarbon gas liquids price in the industrial sector</t>
  </si>
  <si>
    <t>INDLPG</t>
  </si>
  <si>
    <t>Distillate fuel oil price in the industrial sector</t>
  </si>
  <si>
    <t>INDDSL</t>
  </si>
  <si>
    <t>Residual fuel oil price in the industrial sector</t>
  </si>
  <si>
    <t>INDFOI</t>
  </si>
  <si>
    <t>Kerosene price in the industrial sector</t>
  </si>
  <si>
    <t>INDKER</t>
  </si>
  <si>
    <t>Motor gasoline price in the industrial sector</t>
  </si>
  <si>
    <t>INDGSL</t>
  </si>
  <si>
    <t>Natural gas price in the industrial sector (including supplemental gaseous fuels)</t>
  </si>
  <si>
    <t>INDNGA</t>
  </si>
  <si>
    <t>INDRNG</t>
  </si>
  <si>
    <t>Petcoke</t>
  </si>
  <si>
    <t>Metallurgical Coal</t>
  </si>
  <si>
    <t>Coal price in the industrial sector</t>
  </si>
  <si>
    <t>INDPCK</t>
  </si>
  <si>
    <t>Other Industrial Coal</t>
  </si>
  <si>
    <t>INDCOA</t>
  </si>
  <si>
    <t>Electricity price in the industrial sector</t>
  </si>
  <si>
    <t>INDELC</t>
  </si>
  <si>
    <t>INDH2G</t>
  </si>
  <si>
    <t>INDSTM</t>
  </si>
  <si>
    <t>INDSOL</t>
  </si>
  <si>
    <t>INDWND</t>
  </si>
  <si>
    <t>Transportation</t>
  </si>
  <si>
    <t>Hydrocarbon gas liquids price in the transportation sector</t>
  </si>
  <si>
    <t>TRALPG</t>
  </si>
  <si>
    <t>Ethanol</t>
  </si>
  <si>
    <t>E85</t>
  </si>
  <si>
    <t>Motor gasoline price in the transportation sector</t>
  </si>
  <si>
    <t>TRAETH</t>
  </si>
  <si>
    <t>Motor Gasoline</t>
  </si>
  <si>
    <t>TRAGSL</t>
  </si>
  <si>
    <t>Aviation gasoline</t>
  </si>
  <si>
    <t>Jet Fuel</t>
  </si>
  <si>
    <t>Aviation gasoline price in the transportation sector</t>
  </si>
  <si>
    <t>TRAAGA</t>
  </si>
  <si>
    <t>Aviation turbo-fuel</t>
  </si>
  <si>
    <t>Jet fuel price in the transportation sector</t>
  </si>
  <si>
    <t>TRAATF</t>
  </si>
  <si>
    <t>Sustainable aviation fuel</t>
  </si>
  <si>
    <t>TRASAF</t>
  </si>
  <si>
    <t>Diesel Fuel (distillate fuel oil)</t>
  </si>
  <si>
    <t>Distillate fuel oil price in the transportation sector</t>
  </si>
  <si>
    <t>TRADSL</t>
  </si>
  <si>
    <t>Renewable diesel</t>
  </si>
  <si>
    <t>TRARDS</t>
  </si>
  <si>
    <t>Bio diesel</t>
  </si>
  <si>
    <t>TRABDS</t>
  </si>
  <si>
    <t>Residual fuel oil average price, all end-use sectors</t>
  </si>
  <si>
    <t>TRAFOI</t>
  </si>
  <si>
    <t>Compressed Natural gas</t>
  </si>
  <si>
    <t>Natural gas price in the transportation sector</t>
  </si>
  <si>
    <t>TRACNG</t>
  </si>
  <si>
    <t>TRARNG</t>
  </si>
  <si>
    <t>Electricity price in the transportation sector</t>
  </si>
  <si>
    <t>TRAELC</t>
  </si>
  <si>
    <t>TRAH2G</t>
  </si>
  <si>
    <t>Electric Power</t>
  </si>
  <si>
    <t>Distillate fuel oil price in the electric power sector</t>
  </si>
  <si>
    <t>ELCDSL</t>
  </si>
  <si>
    <t>Residual fuel oil price in the electric power sector</t>
  </si>
  <si>
    <t>ELCFOI</t>
  </si>
  <si>
    <t>Natural gas price in the electric power sector (including supplemental gaseous fuels)</t>
  </si>
  <si>
    <t>ELCNGA</t>
  </si>
  <si>
    <t>ELCRNG</t>
  </si>
  <si>
    <t>Steam Coal</t>
  </si>
  <si>
    <t>Coal price in the electric power sector</t>
  </si>
  <si>
    <t>ELCCOA</t>
  </si>
  <si>
    <t>Nuclear fuel price in the electric power sector</t>
  </si>
  <si>
    <t>ELCURN</t>
  </si>
  <si>
    <t>ELCBIO</t>
  </si>
  <si>
    <t>ELCOTB</t>
  </si>
  <si>
    <t>ELCWAS</t>
  </si>
  <si>
    <t>ELCHET</t>
  </si>
  <si>
    <t>ELCSTM</t>
  </si>
  <si>
    <t>ELCGEO</t>
  </si>
  <si>
    <t>ELCWND</t>
  </si>
  <si>
    <t>ELCHYD</t>
  </si>
  <si>
    <t>ELCSOL</t>
  </si>
  <si>
    <t>WASLPG</t>
  </si>
  <si>
    <t>WASDSL</t>
  </si>
  <si>
    <t>WASFOI</t>
  </si>
  <si>
    <t>WASKER</t>
  </si>
  <si>
    <t>WASGSL</t>
  </si>
  <si>
    <t>WASNGA</t>
  </si>
  <si>
    <t>WASRNG</t>
  </si>
  <si>
    <t>WASPCK</t>
  </si>
  <si>
    <t>WASCOA</t>
  </si>
  <si>
    <t>WASELC</t>
  </si>
  <si>
    <t>WASH2G</t>
  </si>
  <si>
    <t>WASSOL</t>
  </si>
  <si>
    <t>WASWND</t>
  </si>
  <si>
    <t>CO2</t>
  </si>
  <si>
    <t>CH4</t>
  </si>
  <si>
    <t>N2O</t>
  </si>
  <si>
    <t>CO2e</t>
  </si>
  <si>
    <t>~TFM_INS</t>
  </si>
  <si>
    <t>TimeSlice</t>
  </si>
  <si>
    <t>LimType</t>
  </si>
  <si>
    <t>Attribute</t>
  </si>
  <si>
    <t>Other_Indexes</t>
  </si>
  <si>
    <t>Pset_PN</t>
  </si>
  <si>
    <t>PSET_CI</t>
  </si>
  <si>
    <t>Pset_PD</t>
  </si>
  <si>
    <t>Cset_CN</t>
  </si>
  <si>
    <t>CITY</t>
  </si>
  <si>
    <t>EGRID</t>
  </si>
  <si>
    <t>FLO_EMIS</t>
  </si>
  <si>
    <t>E*,-E*CCS*</t>
  </si>
  <si>
    <t>E*90*CCS*</t>
  </si>
  <si>
    <t>E*95*CCS*</t>
  </si>
  <si>
    <t>E*97*CCS*</t>
  </si>
  <si>
    <t>E*99*CCS*</t>
  </si>
  <si>
    <t>ACT</t>
  </si>
  <si>
    <t>Million Btu to MJ</t>
  </si>
  <si>
    <t>HHV</t>
  </si>
  <si>
    <t>Square foot to square meter</t>
  </si>
  <si>
    <t>Fuel</t>
  </si>
  <si>
    <t>[MJ/l]</t>
  </si>
  <si>
    <t>PV pannel yield</t>
  </si>
  <si>
    <t>pound to kg</t>
  </si>
  <si>
    <t>CNG</t>
  </si>
  <si>
    <t>billion gallon to cubic meter</t>
  </si>
  <si>
    <t>miles to kilometer</t>
  </si>
  <si>
    <t>US ton to metric tonnes</t>
  </si>
  <si>
    <t>MJ to kwh</t>
  </si>
  <si>
    <t>Emission Factors for Greenhouse Gas Inventories</t>
  </si>
  <si>
    <t>Last Modified: 1 April 2022</t>
  </si>
  <si>
    <t>Red text indicates an update from the 2021 version of this document.</t>
  </si>
  <si>
    <t xml:space="preserve">Typically, greenhouse gas emissions are reported in units of carbon dioxide equivalent (CO2e).  Gases are converted to CO2e by multiplying by their global warming potential (GWP).  The emission factors listed in this document have not been converted to CO2e.  To do so, multiply the emissions by the corresponding GWP listed in the table below.  </t>
  </si>
  <si>
    <t>Gas</t>
  </si>
  <si>
    <t>100-Year GWP</t>
  </si>
  <si>
    <t xml:space="preserve">Source: Intergovernmental Panel on Climate Change (IPCC), Fourth Assessment
Report (AR4), 2007. See the source note to Table 11 for further explanation. </t>
  </si>
  <si>
    <t>Table 1</t>
  </si>
  <si>
    <t xml:space="preserve">   Stationary Combustion</t>
  </si>
  <si>
    <t>*Fuel Type</t>
  </si>
  <si>
    <t>Heat Content (HHV)</t>
  </si>
  <si>
    <t>CO2 Factor</t>
  </si>
  <si>
    <t>CH4 Factor</t>
  </si>
  <si>
    <t>N2O Factor</t>
  </si>
  <si>
    <t>*</t>
  </si>
  <si>
    <t>mmBtu per short ton</t>
  </si>
  <si>
    <t>kg CO2 per mmBtu</t>
  </si>
  <si>
    <t>g CH4 per mmBtu</t>
  </si>
  <si>
    <t>g N2O per mmBtu</t>
  </si>
  <si>
    <t>kg CO2 per short ton</t>
  </si>
  <si>
    <t>g CH4 per short ton</t>
  </si>
  <si>
    <t>g N2O per short ton</t>
  </si>
  <si>
    <t>*Coal and Coke</t>
  </si>
  <si>
    <t>Anthracite Coal</t>
  </si>
  <si>
    <t>Bituminous Coal</t>
  </si>
  <si>
    <t>Sub-bituminous Coal</t>
  </si>
  <si>
    <t>Lignite Coal</t>
  </si>
  <si>
    <t>Mixed (Commercial Sector)</t>
  </si>
  <si>
    <t>Mixed (Electric Power Sector)</t>
  </si>
  <si>
    <t>Mixed (Industrial Coking)</t>
  </si>
  <si>
    <t>Mixed (Industrial Sector)</t>
  </si>
  <si>
    <t>Coal Coke</t>
  </si>
  <si>
    <t>*Other Fuels - Solid</t>
  </si>
  <si>
    <t>Municipal Solid Waste</t>
  </si>
  <si>
    <t>Petroleum Coke (Solid)</t>
  </si>
  <si>
    <t>Plastics</t>
  </si>
  <si>
    <t>Tires</t>
  </si>
  <si>
    <t>*Biomass Fuels - Solid</t>
  </si>
  <si>
    <t>Agricultural Byproducts</t>
  </si>
  <si>
    <t>Peat</t>
  </si>
  <si>
    <t>Solid Byproducts</t>
  </si>
  <si>
    <t>Wood and Wood Residuals</t>
  </si>
  <si>
    <t>mmBtu per scf</t>
  </si>
  <si>
    <t>kg CO2 per scf</t>
  </si>
  <si>
    <t>g CH4 per scf</t>
  </si>
  <si>
    <t>g N2O per scf</t>
  </si>
  <si>
    <t>*Natural Gas</t>
  </si>
  <si>
    <t>*Other Fuels - Gaseous</t>
  </si>
  <si>
    <t>Blast Furnace Gas</t>
  </si>
  <si>
    <t>Coke Oven Gas</t>
  </si>
  <si>
    <t>Fuel Gas</t>
  </si>
  <si>
    <t>Propane Gas</t>
  </si>
  <si>
    <t>*Biomass Fuels - Gaseous</t>
  </si>
  <si>
    <t>Landfill Gas</t>
  </si>
  <si>
    <t>Other Biomass Gases</t>
  </si>
  <si>
    <t>mmBtu per gallon</t>
  </si>
  <si>
    <t>kg CO2 per gallon</t>
  </si>
  <si>
    <t>g CH4 per gallon</t>
  </si>
  <si>
    <t>g N2O per gallon</t>
  </si>
  <si>
    <t>*Petroleum Products</t>
  </si>
  <si>
    <t>Asphalt and Road Oil</t>
  </si>
  <si>
    <t>Aviation Gasoline</t>
  </si>
  <si>
    <t>Butane</t>
  </si>
  <si>
    <t>Butylene</t>
  </si>
  <si>
    <t>Crude Oil</t>
  </si>
  <si>
    <t>Distillate Fuel Oil No. 1</t>
  </si>
  <si>
    <t>Distillate Fuel Oil No. 2</t>
  </si>
  <si>
    <t>Distillate Fuel Oil No. 4</t>
  </si>
  <si>
    <t>Ethane</t>
  </si>
  <si>
    <t>Ethylene</t>
  </si>
  <si>
    <t>Heavy Gas Oils</t>
  </si>
  <si>
    <t>Isobutane</t>
  </si>
  <si>
    <t>Isobutylene</t>
  </si>
  <si>
    <t>Kerosene-Type Jet Fuel</t>
  </si>
  <si>
    <t>Liquefied Petroleum Gases (LPG)</t>
  </si>
  <si>
    <t>Lubricants</t>
  </si>
  <si>
    <t>Naphtha (&lt;401 deg F)</t>
  </si>
  <si>
    <t>Natural Gasoline</t>
  </si>
  <si>
    <t>Other Oil (&gt;401 deg F)</t>
  </si>
  <si>
    <t>Pentanes Plus</t>
  </si>
  <si>
    <t>Petrochemical Feedstocks</t>
  </si>
  <si>
    <t>Propylene</t>
  </si>
  <si>
    <t>Residual Fuel Oil No. 5</t>
  </si>
  <si>
    <t>Residual Fuel Oil No. 6</t>
  </si>
  <si>
    <t>Special Naphtha</t>
  </si>
  <si>
    <t>Unfinished Oils</t>
  </si>
  <si>
    <t>Used Oil</t>
  </si>
  <si>
    <t>*Biomass Fuels - Liquid</t>
  </si>
  <si>
    <t>Biodiesel (100%)</t>
  </si>
  <si>
    <t>Ethanol (100%)</t>
  </si>
  <si>
    <t>Rendered Animal Fat</t>
  </si>
  <si>
    <t>Vegetable Oil</t>
  </si>
  <si>
    <t>*Biomass Fuels - 
Kraft Pulping Liquor, by Wood Furnish</t>
  </si>
  <si>
    <t>North American Softwood</t>
  </si>
  <si>
    <t>North American Hardwood</t>
  </si>
  <si>
    <t>Bagasse</t>
  </si>
  <si>
    <t>Bamboo</t>
  </si>
  <si>
    <t>Straw</t>
  </si>
  <si>
    <t>Source:</t>
  </si>
  <si>
    <t xml:space="preserve">Federal Register EPA; 40 CFR Part 98; e-CFR, (see link below). Table C-1, Table C-2 (as amended at 81 FR 89252, Dec. 9, 2016), Table AA-1 (78 FR 71965, Nov. 29, 2013).  </t>
  </si>
  <si>
    <t>https://www.ecfr.gov/cgi-bin/text-idx?SID=ae265d7d6f98ec86fcd8640b9793a3f6&amp;mc=true&amp;node=pt40.23.98&amp;rgn=div5#ap40.23.98_19.1</t>
  </si>
  <si>
    <t>Note: Emission factors are per unit of heat content using higher heating values (HHV). If heat content is available from the fuel supplier, it is preferable to use that value. If not, default heat contents are provided.</t>
  </si>
  <si>
    <t>Table 2</t>
  </si>
  <si>
    <t xml:space="preserve">   Mobile Combustion CO2</t>
  </si>
  <si>
    <t>Fuel Type</t>
  </si>
  <si>
    <t>kg CO2 per unit</t>
  </si>
  <si>
    <t>Unit</t>
  </si>
  <si>
    <t>gallon</t>
  </si>
  <si>
    <t>Compressed Natural Gas (CNG)</t>
  </si>
  <si>
    <t>scf</t>
  </si>
  <si>
    <t>Diesel Fuel</t>
  </si>
  <si>
    <t>Liquefied Natural Gas (LNG)</t>
  </si>
  <si>
    <t xml:space="preserve">Federal Register EPA; 40 CFR Part 98; e-CFR, (see link below). Table C-1 (as amended at 81 FR 89252, Dec. 9, 2016).  </t>
  </si>
  <si>
    <t>LNG:  The factor was developed based on the CO2 factor for Natural Gas factor and LNG fuel density from GREET1_2021.xlsx Model, Argonne National Laboratory (Fuel_Specs worksheet).</t>
  </si>
  <si>
    <t>Table 3</t>
  </si>
  <si>
    <t xml:space="preserve">   Mobile Combustion CH4 and N2O for On-Road Gasoline Vehicles</t>
  </si>
  <si>
    <t>Vehicle Type</t>
  </si>
  <si>
    <t>CH4 Factor 
(g / mile)</t>
  </si>
  <si>
    <t>N2O Factor 
(g / mile)</t>
  </si>
  <si>
    <t>Gasoline Passenger Cars</t>
  </si>
  <si>
    <t xml:space="preserve"> 1973-1974  </t>
  </si>
  <si>
    <t xml:space="preserve"> 1975 </t>
  </si>
  <si>
    <t xml:space="preserve"> 1976-1977 </t>
  </si>
  <si>
    <t xml:space="preserve"> 1978-1979 </t>
  </si>
  <si>
    <t xml:space="preserve"> 1980 </t>
  </si>
  <si>
    <t xml:space="preserve"> 1981 </t>
  </si>
  <si>
    <t xml:space="preserve"> 1982 </t>
  </si>
  <si>
    <t xml:space="preserve"> 1983 </t>
  </si>
  <si>
    <t xml:space="preserve"> 1984-1993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</si>
  <si>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</si>
  <si>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</si>
  <si>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</si>
  <si>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</si>
  <si>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</si>
  <si>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</si>
  <si>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</si>
  <si>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</si>
  <si>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</si>
  <si>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 xml:space="preserve"> 2003 </t>
  </si>
  <si>
    <t xml:space="preserve"> 2004 </t>
  </si>
  <si>
    <t xml:space="preserve"> 2005 </t>
  </si>
  <si>
    <t xml:space="preserve"> 2006 </t>
  </si>
  <si>
    <t xml:space="preserve"> 2007 </t>
  </si>
  <si>
    <t xml:space="preserve"> 2008 </t>
  </si>
  <si>
    <t xml:space="preserve"> 2009</t>
  </si>
  <si>
    <t xml:space="preserve"> 2010</t>
  </si>
  <si>
    <t xml:space="preserve"> 2011</t>
  </si>
  <si>
    <t xml:space="preserve"> 2012</t>
  </si>
  <si>
    <t xml:space="preserve"> 2013</t>
  </si>
  <si>
    <t xml:space="preserve"> 2014</t>
  </si>
  <si>
    <t xml:space="preserve"> 2015</t>
  </si>
  <si>
    <t xml:space="preserve"> 2016</t>
  </si>
  <si>
    <t xml:space="preserve"> 2017</t>
  </si>
  <si>
    <t xml:space="preserve"> 2018</t>
  </si>
  <si>
    <t xml:space="preserve"> 2019</t>
  </si>
  <si>
    <t>Gasoline Light-Duty Trucks</t>
  </si>
  <si>
    <t xml:space="preserve"> 1973-1974 </t>
  </si>
  <si>
    <t>(Vans, Pickup Trucks, SUVs)</t>
  </si>
  <si>
    <t xml:space="preserve"> 1976 </t>
  </si>
  <si>
    <t xml:space="preserve"> 1977-1978 </t>
  </si>
  <si>
    <t xml:space="preserve"> 1979-1980 </t>
  </si>
  <si>
    <t xml:space="preserve"> 1984 </t>
  </si>
  <si>
    <t xml:space="preserve"> 1985 </t>
  </si>
  <si>
    <t xml:space="preserve"> 1986 </t>
  </si>
  <si>
    <t xml:space="preserve"> 1987-1993 </t>
  </si>
  <si>
    <t xml:space="preserve"> 1994 </t>
  </si>
  <si>
    <t xml:space="preserve"> 1995 </t>
  </si>
  <si>
    <t xml:space="preserve"> 1996 </t>
  </si>
  <si>
    <t xml:space="preserve"> 1997 </t>
  </si>
  <si>
    <t xml:space="preserve"> 1998 </t>
  </si>
  <si>
    <t xml:space="preserve"> 1999 </t>
  </si>
  <si>
    <t xml:space="preserve"> 2000 </t>
  </si>
  <si>
    <t xml:space="preserve"> 2001 </t>
  </si>
  <si>
    <t xml:space="preserve"> 2002 </t>
  </si>
  <si>
    <t>Gasoline Heavy-Duty Vehicles</t>
  </si>
  <si>
    <t xml:space="preserve"> ≤1980</t>
  </si>
  <si>
    <t xml:space="preserve"> 1981-1984 </t>
  </si>
  <si>
    <t xml:space="preserve"> 1985-1986 </t>
  </si>
  <si>
    <t xml:space="preserve"> 1987 </t>
  </si>
  <si>
    <t xml:space="preserve"> 1988-1989 </t>
  </si>
  <si>
    <t xml:space="preserve"> 1990-1995 </t>
  </si>
  <si>
    <t>Gasoline Motorcycles</t>
  </si>
  <si>
    <t xml:space="preserve"> 1960-1995 </t>
  </si>
  <si>
    <t xml:space="preserve"> 1996-2019</t>
  </si>
  <si>
    <t>Source: EPA (2021) Inventory of U.S. Greenhouse Gas Emissions and Sinks: 1990-2019 (Annexes). All values are calculated from Tables A-90 through A-94.</t>
  </si>
  <si>
    <t>Table 4</t>
  </si>
  <si>
    <t xml:space="preserve">    Mobile Combustion CH4 and N2O for On-Road Diesel and Alternative Fuel Vehicles</t>
  </si>
  <si>
    <t>Vehicle Year</t>
  </si>
  <si>
    <t>Passenger Cars</t>
  </si>
  <si>
    <t>1960-1982</t>
  </si>
  <si>
    <t>1983-2006</t>
  </si>
  <si>
    <t>2007-2019</t>
  </si>
  <si>
    <t>Light-Duty Trucks</t>
  </si>
  <si>
    <t>Medium- and Heavy-Duty Vehicles</t>
  </si>
  <si>
    <t>1960-2006</t>
  </si>
  <si>
    <t>Light-Duty Cars</t>
  </si>
  <si>
    <t>Methanol</t>
  </si>
  <si>
    <t>Biodiesel</t>
  </si>
  <si>
    <t>LNG</t>
  </si>
  <si>
    <t>Medium-Duty Trucks</t>
  </si>
  <si>
    <t>Heavy-Duty Trucks</t>
  </si>
  <si>
    <t>Buses</t>
  </si>
  <si>
    <t>Source: EPA (2021) Inventory of U.S. Greenhouse Gas Emissions and Sinks: 1990-2019 (Annexes). All values are calculated from Tables A-93 through A-96.</t>
  </si>
  <si>
    <t>Table 5</t>
  </si>
  <si>
    <t xml:space="preserve">    Mobile Combustion CH4 and N2O for Non-Road Vehicles</t>
  </si>
  <si>
    <t xml:space="preserve">CH4 Factor 
(g / gallon) </t>
  </si>
  <si>
    <t xml:space="preserve">N2O Factor 
(g / gallon) </t>
  </si>
  <si>
    <t>Ships and Boats</t>
  </si>
  <si>
    <t>Gasoline (2 stroke)</t>
  </si>
  <si>
    <t>Gasoline (4 stroke)</t>
  </si>
  <si>
    <t>Locomotives</t>
  </si>
  <si>
    <t>Aircraft</t>
  </si>
  <si>
    <t>Agricultural EquipmentA</t>
  </si>
  <si>
    <t>Agricultural Offroad Trucks</t>
  </si>
  <si>
    <t>Construction/Mining EquipmentB</t>
  </si>
  <si>
    <t>Construction/Mining Offroad Trucks</t>
  </si>
  <si>
    <t>Lawn and Garden Equipment</t>
  </si>
  <si>
    <t>Airport Equipment</t>
  </si>
  <si>
    <t>Industrial/Commercial Equipment</t>
  </si>
  <si>
    <t>Logging Equipment</t>
  </si>
  <si>
    <t>Railroad Equipment</t>
  </si>
  <si>
    <t>Recreational Equipment</t>
  </si>
  <si>
    <t>Source: EPA (2021) Inventory of U.S. Greenhouse Gas Emissions and Sinks: 1990-2019 (Annexes). All values are calculated from Tables A-97 through A-98.</t>
  </si>
  <si>
    <t xml:space="preserve">Notes: 
CH4 and N2O Emission Factors: Updates due to a methodology change. 
A Includes equipment, such as tractors and combines, as well as fuel consumption from trucks that are used off-road in agriculture.   
B Includes equipment, such as cranes, dumpers, and excavators, as well as fuel consumption from trucks that are used off-road in construction. </t>
  </si>
  <si>
    <t>Table 6</t>
  </si>
  <si>
    <t xml:space="preserve">   Electricity</t>
  </si>
  <si>
    <t>Total Output Emission Factors</t>
  </si>
  <si>
    <t>Non-Baseload Emission Factors</t>
  </si>
  <si>
    <t>eGRID Subregion</t>
  </si>
  <si>
    <t>(lb / MWh)</t>
  </si>
  <si>
    <t>AKGD (ASCC Alaska Grid)</t>
  </si>
  <si>
    <t>AKMS (ASCC Miscellaneous)</t>
  </si>
  <si>
    <t>AZNM (WECC Southwest)</t>
  </si>
  <si>
    <t>CAMX (WECC California)</t>
  </si>
  <si>
    <t>ERCT (ERCOT All)</t>
  </si>
  <si>
    <t>FRCC (FRCC All)</t>
  </si>
  <si>
    <t>HIMS (HICC Miscellaneous)</t>
  </si>
  <si>
    <t>HIOA (HICC Oahu)</t>
  </si>
  <si>
    <t>MROE (MRO East)</t>
  </si>
  <si>
    <t>MROW (MRO West)</t>
  </si>
  <si>
    <t>NEWE (NPCC New England)</t>
  </si>
  <si>
    <t>NWPP (WECC Northwest)</t>
  </si>
  <si>
    <t>NYCW (NPCC NYC/Westchester)</t>
  </si>
  <si>
    <t>NYLI (NPCC Long Island)</t>
  </si>
  <si>
    <t>NYUP (NPCC Upstate NY)</t>
  </si>
  <si>
    <t>PRMS (Puerto Rico Miscellaneous)</t>
  </si>
  <si>
    <t>RFCE (RFC East)</t>
  </si>
  <si>
    <t>RFCM (RFC Michigan)</t>
  </si>
  <si>
    <t>RFCW (RFC West)</t>
  </si>
  <si>
    <t>RMPA (WECC Rockies)</t>
  </si>
  <si>
    <t>SPNO (SPP North)</t>
  </si>
  <si>
    <t>SPSO (SPP South)</t>
  </si>
  <si>
    <t>SRMV (SERC Mississippi Valley)</t>
  </si>
  <si>
    <t>SRMW (SERC Midwest)</t>
  </si>
  <si>
    <t>SRSO (SERC South)</t>
  </si>
  <si>
    <t>SRTV (SERC Tennessee Valley)</t>
  </si>
  <si>
    <t>SRVC (SERC Virginia/Carolina)</t>
  </si>
  <si>
    <t>US Average</t>
  </si>
  <si>
    <t>Source: EPA eGRID2020, February 2022</t>
  </si>
  <si>
    <t>Note: Total output emission factors can be used as default factors for estimating GHG emissions from electricity use when developing a carbon footprint or emissions inventory. Annual non-baseload output emission factors should not be used for those purposes, but can be used to estimate GHG emissions reductions from reductions in electricity use.</t>
  </si>
  <si>
    <t>Table 7</t>
  </si>
  <si>
    <t>Steam and Heat</t>
  </si>
  <si>
    <t>CO2 Factor 
(kg / mmBtu)</t>
  </si>
  <si>
    <t xml:space="preserve">CH4 Factor 
(g / mmBtu) </t>
  </si>
  <si>
    <t xml:space="preserve">N2O Factor 
(g / mmBtu) </t>
  </si>
  <si>
    <t xml:space="preserve">Note: Emission factors are per mmBtu of steam or heat purchased. These factors assume natural gas fuel is used to generate steam or heat at 80 percent thermal efficiency.  </t>
  </si>
  <si>
    <t>Scope 3 Emission Factors</t>
  </si>
  <si>
    <t>Scope 3 emission factors provided below are aligned with the Greenhouse Gas Protocol Technical Guidance for Calculating Scope 3 Emissions, version 1.0 (Scope 3 Calculation Guidance). Where applicable, the specific calculation method is referenced. Refer to the Scope 3 Calculation Guidance for more information (http://www.ghgprotocol.org/scope-3-technical-calculation-guidance).</t>
  </si>
  <si>
    <t>Table 8</t>
  </si>
  <si>
    <t xml:space="preserve">   Scope 3 Category 4: Upstream Transportation and Distribution and Category 9: Downstream Transportation and Distribution</t>
  </si>
  <si>
    <t xml:space="preserve">These factors are intended for use in the distance-based method defined in the Scope 3 Calculation Guidance. If fuel data are available, then the fuel-based method should be used, with factors from Tables 2 through 5. </t>
  </si>
  <si>
    <t>CO2 Factor 
(kg / unit)</t>
  </si>
  <si>
    <t>CH4 Factor 
(g / unit)</t>
  </si>
  <si>
    <t>N2O Factor 
(g / unit)</t>
  </si>
  <si>
    <t>Medium- and Heavy-Duty Truck</t>
  </si>
  <si>
    <t>vehicle-mile</t>
  </si>
  <si>
    <t>Passenger Car A</t>
  </si>
  <si>
    <t>Light-Duty Truck B</t>
  </si>
  <si>
    <t>ton-mile</t>
  </si>
  <si>
    <t>Rail</t>
  </si>
  <si>
    <t>Waterborne Craft</t>
  </si>
  <si>
    <t>AircraftC</t>
  </si>
  <si>
    <t>Source: 
CO2, CH4, and N2O emissions data for road vehicles are from Table 2-13 of the EPA (2021) Inventory of U.S. Greenhouse Gas Emissions and Sinks: 1990-2019.
Vehicle-miles and passenger-miles data for road vehicles are from Table VM-1 of the Federal Highway Administration Highway Statistics 2019.  
CO2e emissions data for non-road vehicles are based on Table A-107 of the EPA (2021) Inventory of U.S. Greenhouse Gas Emissions and Sinks: 1990-2019, which are distributed into CO2, CH4, and N2O emissions based on fuel/vehicle emission factors.
Freight ton-mile data are from Table 1-50 of the Bureau of Transportation Statistics, National Transportation Statistics for 2021 (Data based on 2019 for rail, waterborne craft and aircraft;  medium- and heavy-duty truck based on 2018, due to data availability).</t>
  </si>
  <si>
    <t>Notes: 
Vehicle-mile factors are appropriate to use when the entire vehicle is dedicated to transporting the reporting company's product.  Ton-mile factors are appropriate when the vehicle is shared with products from other companies.  
A Passenger car: includes passenger cars, minivans, SUVs, and small pickup trucks (vehicles with wheelbase less than 121 inches).  
B Light-duty truck: includes full-size pickup trucks, full-size vans, and extended-length SUVs (vehicles with wheelbase greater than 121 inches).
C Medium- and Heavy-Duty Truck: includes Combination Trucks and single frame trucks that have 2-Axles and at least 6 tires or a gross vehicle weight rating exceeding 10,000 lbs.</t>
  </si>
  <si>
    <t>Table 9</t>
  </si>
  <si>
    <t>Scope 3 Category 5: Waste Generated in Operations and Category 12: End-of-Life Treatment of Sold Products</t>
  </si>
  <si>
    <t>These factors are intended for use in the waste-type-specific method or the average-data method defined in the Scope 3 Calculation Guidance for category 5 and category 12. Choose the appropriate material and disposal method from the table below. For the average-data method, use one of the mixed material types, such as mixed MSW.</t>
  </si>
  <si>
    <t>Metric Tons CO2e / Short Ton Material</t>
  </si>
  <si>
    <t>Material</t>
  </si>
  <si>
    <t>RecycledA</t>
  </si>
  <si>
    <t>LandfilledB</t>
  </si>
  <si>
    <t>CombustedC</t>
  </si>
  <si>
    <t>CompostedD</t>
  </si>
  <si>
    <t>Anaerobically Digested (Dry Digestate with Curing)</t>
  </si>
  <si>
    <t>Anaerobically Digested (Wet  Digestate with Curing)</t>
  </si>
  <si>
    <t>Aluminum Cans</t>
  </si>
  <si>
    <t>NA</t>
  </si>
  <si>
    <t>Aluminum Ingot</t>
  </si>
  <si>
    <t>Steel Cans</t>
  </si>
  <si>
    <t>Copper Wire</t>
  </si>
  <si>
    <t>Glass</t>
  </si>
  <si>
    <t>HDPE</t>
  </si>
  <si>
    <t>LDPE</t>
  </si>
  <si>
    <t>PET</t>
  </si>
  <si>
    <t>LLDPE</t>
  </si>
  <si>
    <t>PP</t>
  </si>
  <si>
    <t>PS</t>
  </si>
  <si>
    <t>PVC</t>
  </si>
  <si>
    <t>PLA</t>
  </si>
  <si>
    <t>Corrugated Containers</t>
  </si>
  <si>
    <t>Magazines/Third-class mail</t>
  </si>
  <si>
    <t>Newspaper</t>
  </si>
  <si>
    <t>Office Paper</t>
  </si>
  <si>
    <t>Phonebooks</t>
  </si>
  <si>
    <t>Textbooks</t>
  </si>
  <si>
    <t>Dimensional Lumber</t>
  </si>
  <si>
    <t>Medium-density Fiberboard</t>
  </si>
  <si>
    <t>Food Waste (non-meat)</t>
  </si>
  <si>
    <t>Food Waste (meat only)</t>
  </si>
  <si>
    <t>Beef</t>
  </si>
  <si>
    <t>Poultry</t>
  </si>
  <si>
    <t>Grains</t>
  </si>
  <si>
    <t>Bread</t>
  </si>
  <si>
    <t>Fruits and Vegetables</t>
  </si>
  <si>
    <t>Dairy Products</t>
  </si>
  <si>
    <t>Yard Trimmings</t>
  </si>
  <si>
    <t>Grass</t>
  </si>
  <si>
    <t>Leaves</t>
  </si>
  <si>
    <t>Branches</t>
  </si>
  <si>
    <t>Mixed Paper (general)</t>
  </si>
  <si>
    <t>Mixed Paper (primarily residential)</t>
  </si>
  <si>
    <t>Mixed Paper (primarily from offices)</t>
  </si>
  <si>
    <t>Mixed Metals</t>
  </si>
  <si>
    <t>Mixed Plastics</t>
  </si>
  <si>
    <t>Mixed Recyclables</t>
  </si>
  <si>
    <t>Food Waste</t>
  </si>
  <si>
    <t>Mixed Organics</t>
  </si>
  <si>
    <t>Mixed MSW</t>
  </si>
  <si>
    <t>Carpet</t>
  </si>
  <si>
    <t>Desktop CPUs</t>
  </si>
  <si>
    <t>Portable Electronic Devices</t>
  </si>
  <si>
    <t>Flat-panel Displays</t>
  </si>
  <si>
    <t>CRT Displays</t>
  </si>
  <si>
    <t>Electronic Peripherals</t>
  </si>
  <si>
    <t>Hard-copy Devices</t>
  </si>
  <si>
    <t>Mixed Electronics</t>
  </si>
  <si>
    <t>Clay Bricks</t>
  </si>
  <si>
    <t>Concrete</t>
  </si>
  <si>
    <t>Fly Ash</t>
  </si>
  <si>
    <t>Asphalt Concrete</t>
  </si>
  <si>
    <t>Asphalt Shingles</t>
  </si>
  <si>
    <t>Drywall</t>
  </si>
  <si>
    <t>Fiberglass Insulation</t>
  </si>
  <si>
    <t>Vinyl Flooring</t>
  </si>
  <si>
    <t>Wood Flooring</t>
  </si>
  <si>
    <t xml:space="preserve">Source: EPA, Office of Resource Conservation and Recovery (February 2016) Documentation for Greenhouse Gas Emission and Energy Factors used in the Waste Reduction Model (WARM). Factors from tables provided in the Management Practices Chapters and Background Chapters. WARM Version 15, November 2020 Update. Additional data provided  by EPA, WARM-15 Background Data. </t>
  </si>
  <si>
    <t xml:space="preserve">Notes: These factors do not include any avoided emissions impact from any of the disposal methods. All the factors presented here include transportation emissions, which are optional in the Scope 3 Calculation Guidance, with an assumed average distance traveled to the processing facility. AR4 GWPs are used to convert all waste emission factors into CO2e.   
A Recycling emissions include transport to recycling facility and sorting of recycled materials at material recovery facility.  
B Landfilling emissions include transport to landfill, equipment use at landfill and fugitive landfill CH4 emissions.  Landfill CH4 is based on typical landfill gas collection practices and average landfill moisture conditions.
C Combustion emissions include transport to combustion facility and combustion-related non-biogenic CO2 and N2O  
D Composting emissions include transport to composting facility, equipment use at composting facility and CH4 and N2O emissions during composting. </t>
  </si>
  <si>
    <t>Table 10</t>
  </si>
  <si>
    <t xml:space="preserve">Scope 3 Category 6: Business Travel and Category 7: Employee Commuting </t>
  </si>
  <si>
    <t xml:space="preserve">These factors are intended for use in the distance-based method defined in the Scope 3 Calculation Guidance.  If fuel data are available, then the fuel-based method should be used, with factors from Tables 2 through 5. </t>
  </si>
  <si>
    <t>Motorcycle</t>
  </si>
  <si>
    <t>Intercity Rail - Northeast Corridor C</t>
  </si>
  <si>
    <t>passenger-mile</t>
  </si>
  <si>
    <t>Intercity Rail - Other Routes C</t>
  </si>
  <si>
    <t>Intercity Rail - National Average C</t>
  </si>
  <si>
    <t>Commuter Rail D</t>
  </si>
  <si>
    <t>Transit Rail (i.e. Subway, Tram) E</t>
  </si>
  <si>
    <t>Bus</t>
  </si>
  <si>
    <t xml:space="preserve">Air Travel - Short Haul (&lt; 300 miles) </t>
  </si>
  <si>
    <t xml:space="preserve">Air Travel - Medium Haul (&gt;= 300 miles, 
&lt; 2300 miles) </t>
  </si>
  <si>
    <t xml:space="preserve">Air Travel - Long Haul (&gt;= 2300 miles) </t>
  </si>
  <si>
    <t>Source: 
CO2, CH4, and N2O emissions data for highway vehicles are from Table 2-13 of the EPA (2021) Inventory of U.S. Greenhouse Gas Emissions and Sinks: 1990–2019.  
Vehicle-miles and passenger-miles data for highway vehicles are from Table VM-1 of the Federal Highway Administration Highway Statistics 2019.
Fuel consumption data and passenger-miles data for rail are from Tables A.14 to A.16 and C.9 to C.11 of the Transportation Energy Data Book: Edition 39. Fuel consumption was converted to emissions by using fuel and electricity emission factors presented in the tables above. 
Intercity Rail factors from communication with Amtrak (Laura Fotiou), March 2020.  These are based on 2019 values. 
Air Travel factors from 2021 Guidelines to Defra / DECC's GHG Conversion Factors for Company Reporting.  Version 1.0 June 2021.</t>
  </si>
  <si>
    <t xml:space="preserve">Notes: 
A Passenger car: includes passenger cars, minivans, SUVs, and small pickup trucks (vehicles with wheelbase less than 121 inches).  
B Light-duty truck: includes full-size pickup trucks, full-size vans, and extended-length SUVs (vehicles with wheelbase greater than 121 inches). 
C Intercity rail: Amtrak long-distance rail between major cities. Northeast Corridor extends from Boston to Washington D.C. Other Routes are all routes outside the Northeast Corridor.
D Commuter rail: rail service between a central city and adjacent suburbs (also called regional rail or suburban rail).  
E Transit rail: rail typically within an urban center, such as subways, elevated railways, metropolitan railways (metro), streetcars, trolley cars, and tramways. </t>
  </si>
  <si>
    <t>Global Warming Potentials</t>
  </si>
  <si>
    <t>Table 11</t>
  </si>
  <si>
    <t xml:space="preserve">   Global Warming Potentials (GWPs)</t>
  </si>
  <si>
    <t xml:space="preserve">CO2 </t>
  </si>
  <si>
    <t>HFC-23</t>
  </si>
  <si>
    <t>HFC-32</t>
  </si>
  <si>
    <t>HFC-41</t>
  </si>
  <si>
    <t>HFC-125</t>
  </si>
  <si>
    <t>HFC-134</t>
  </si>
  <si>
    <t>HFC-134a</t>
  </si>
  <si>
    <t>HFC-143</t>
  </si>
  <si>
    <t>HFC-143a</t>
  </si>
  <si>
    <t>HFC-152</t>
  </si>
  <si>
    <t>HFC-152a</t>
  </si>
  <si>
    <t>HFC-161</t>
  </si>
  <si>
    <t>HFC-227ea</t>
  </si>
  <si>
    <t>HFC-236cb</t>
  </si>
  <si>
    <t>HFC-236ea</t>
  </si>
  <si>
    <t>HFC-236fa</t>
  </si>
  <si>
    <t>HFC-245ca</t>
  </si>
  <si>
    <t>HFC-245fa</t>
  </si>
  <si>
    <t>HFC-365mfc</t>
  </si>
  <si>
    <t>HFC-43-10mee</t>
  </si>
  <si>
    <t xml:space="preserve">SF6 </t>
  </si>
  <si>
    <t>NF3</t>
  </si>
  <si>
    <t xml:space="preserve">CF4 </t>
  </si>
  <si>
    <t xml:space="preserve">C2F6 </t>
  </si>
  <si>
    <t>C3F8</t>
  </si>
  <si>
    <t>c-C4F8</t>
  </si>
  <si>
    <t xml:space="preserve">C4F10 </t>
  </si>
  <si>
    <t>C5F12</t>
  </si>
  <si>
    <t>C6F14</t>
  </si>
  <si>
    <t>C10F18</t>
  </si>
  <si>
    <t>&gt;7,500</t>
  </si>
  <si>
    <t>Source: 
100-year GWPs from IPCC Fourth Assessment Report (AR4), 2007.  IPCC AR4 was published in 2007 and is among the most current and comprehensive peer-reviewed assessments of climate change. AR4 provides revised GWPs of several GHGs relative to the values provided in previous assessment reports, following advances in scientific knowledge on the radiative efficiencies and atmospheric lifetimes of these GHGs and of CO2. Because the GWPs provided in AR4 reflect an improved scientific understanding of the radiative effects of these gases in the atmosphere, the values provided are more appropriate for supporting the overall goal of organizational GHG reporting than the Second Assessment Report (SAR) GWP values previously used in the Emission Factors Hub. 
While EPA recognizes that Fifth Assessment Report (AR5) GWPs have been published, in an effort to ensure consistency and comparability of GHG data between EPA’s voluntary and non-voluntary GHG reporting programs (e.g. GHG Reporting Program and National Inventory), EPA recommends the use of AR4 GWPs. The United States and other developed countries to the UNFCCC have agreed to submit annual inventories in 2015 and future years to the UNFCCC using GWP values from AR4, which will replace the current use of SAR GWP values.  Utilizing AR4 GWPs improves EPA’s ability to analyze corporate, national, and sub-national GHG data consistently, enhances communication of GHG information between programs, and gives outside stakeholders a consistent, predictable set of GWPs to avoid confusion and additional burden.</t>
  </si>
  <si>
    <t>Table 12</t>
  </si>
  <si>
    <t>Global Warming Potentials (GWPs) for Blended Refrigerants</t>
  </si>
  <si>
    <t>ASHRAE #</t>
  </si>
  <si>
    <t>100-year GWP</t>
  </si>
  <si>
    <t>Blend Composition</t>
  </si>
  <si>
    <t>R-401A</t>
  </si>
  <si>
    <t>53% HCFC-22 , 34% HCFC-124 , 13% HFC-152a</t>
  </si>
  <si>
    <t>R-401B</t>
  </si>
  <si>
    <t>61% HCFC-22 , 28% HCFC-124 , 11% HFC-152a</t>
  </si>
  <si>
    <t>R-401C</t>
  </si>
  <si>
    <t>33% HCFC-22 , 52% HCFC-124 , 15% HFC-152a</t>
  </si>
  <si>
    <t>R-402A</t>
  </si>
  <si>
    <t>38% HCFC-22 , 6% HFC-125 , 2% propane</t>
  </si>
  <si>
    <t>R-402B</t>
  </si>
  <si>
    <t>6% HCFC-22 , 38% HFC-125 , 2% propane</t>
  </si>
  <si>
    <t>R-403B</t>
  </si>
  <si>
    <t>56% HCFC-22 , 39% PFC-218 , 5% propane</t>
  </si>
  <si>
    <t>R-404A</t>
  </si>
  <si>
    <t>44% HFC-125 , 4% HFC-134a , 52% HFC 143a</t>
  </si>
  <si>
    <t>R-406A</t>
  </si>
  <si>
    <t>55% HCFC-22 , 41% HCFC-142b , 4% isobutane</t>
  </si>
  <si>
    <t>R-407A</t>
  </si>
  <si>
    <t>20% HFC-32 , 40% HFC-125 , 40% HFC-134a</t>
  </si>
  <si>
    <t>R-407B</t>
  </si>
  <si>
    <t>10% HFC-32 , 70% HFC-125 , 20% HFC-134a</t>
  </si>
  <si>
    <t>R-407C</t>
  </si>
  <si>
    <t>23% HFC-32 , 25% HFC-125 , 52% HFC-134a</t>
  </si>
  <si>
    <t>R-407D</t>
  </si>
  <si>
    <t>15% HFC-32 , 15% HFC-125 , 70% HFC-134a</t>
  </si>
  <si>
    <t>R-407E</t>
  </si>
  <si>
    <t>25% HFC-32 , 15% HFC-125 , 60% HFC-134a</t>
  </si>
  <si>
    <t>R-408A</t>
  </si>
  <si>
    <t>47% HCFC-22 , 7% HFC-125 , 46% HFC 143a</t>
  </si>
  <si>
    <t>R-409A</t>
  </si>
  <si>
    <t>60% HCFC-22 , 25% HCFC-124 , 15% HCFC-142b</t>
  </si>
  <si>
    <t>R-410A</t>
  </si>
  <si>
    <t>50% HFC-32 , 50% HFC-125</t>
  </si>
  <si>
    <t>R-410B</t>
  </si>
  <si>
    <t xml:space="preserve">45% HFC-32 , 55% HFC-125 </t>
  </si>
  <si>
    <t>R-411A</t>
  </si>
  <si>
    <t>87.5% HCFC-22 , 11 HFC-152a , 1.5% propylene</t>
  </si>
  <si>
    <t>R-411B</t>
  </si>
  <si>
    <t>94% HCFC-22 , 3% HFC-152a , 3% propylene</t>
  </si>
  <si>
    <t>R-413A</t>
  </si>
  <si>
    <t>88% HFC-134a , 9% PFC-218 , 3% isobutane</t>
  </si>
  <si>
    <t>R-414A</t>
  </si>
  <si>
    <t>51% HCFC-22 , 28.5% HCFC-124 , 16.5% HCFC-142b</t>
  </si>
  <si>
    <t>R-414B</t>
  </si>
  <si>
    <t>5% HCFC-22 , 39% HCFC-124 , 9.5% HCFC-142b</t>
  </si>
  <si>
    <t>R-417A</t>
  </si>
  <si>
    <t>46.6% HFC-125 , 5% HFC-134a , 3.4% butane</t>
  </si>
  <si>
    <t>R-422A</t>
  </si>
  <si>
    <t>85.1% HFC-125 , 11.5% HFC-134a , 3.4% isobutane</t>
  </si>
  <si>
    <t>R-422D</t>
  </si>
  <si>
    <t>65.1% HFC-125 , 31.5% HFC-134a , 3.4% isobutane</t>
  </si>
  <si>
    <t>R-423A</t>
  </si>
  <si>
    <t xml:space="preserve">47.5% HFC-227ea , 52.5% HFC-134a ,  </t>
  </si>
  <si>
    <t>R-424A</t>
  </si>
  <si>
    <t>50.5% HFC-125, 47% HFC-134a, 2.5% butane/pentane</t>
  </si>
  <si>
    <t>R-426A</t>
  </si>
  <si>
    <t>5.1% HFC-125, 93% HFC-134a, 1.9% butane/pentane</t>
  </si>
  <si>
    <t>R-428A</t>
  </si>
  <si>
    <t>77.5% HFC-125 , 2% HFC-143a , 1.9% isobutane</t>
  </si>
  <si>
    <t>R-434A</t>
  </si>
  <si>
    <t>63.2% HFC-125, 16% HFC-134a, 18% HFC-143a, 2.8% isobutane</t>
  </si>
  <si>
    <t>R-500</t>
  </si>
  <si>
    <t>73.8% CFC-12 , 26.2% HFC-152a , 48.8% HCFC-22</t>
  </si>
  <si>
    <t>R-502</t>
  </si>
  <si>
    <t xml:space="preserve">48.8% HCFC-22 , 51.2% CFC-115 </t>
  </si>
  <si>
    <t>R-504</t>
  </si>
  <si>
    <t>48.2% HFC-32 , 51.8% CFC-115</t>
  </si>
  <si>
    <t>R-507</t>
  </si>
  <si>
    <t>5% HFC-125 , 5% HFC143a</t>
  </si>
  <si>
    <t>R-508A</t>
  </si>
  <si>
    <t>39% HFC-23 , 61% PFC-116</t>
  </si>
  <si>
    <t>R-508B</t>
  </si>
  <si>
    <t>46% HFC-23 , 54% PFC-116</t>
  </si>
  <si>
    <t>Source: 
100-year GWPs from IPCC Fourth Assessment Report (AR4), 2007.  See the source note to Table 11 for further explanation. GWPs of blended refrigerants are based on their HFC and PFC constituents, which are based on data from http://www.epa.gov/ozone/snap/refrigerants/refblend.html.</t>
  </si>
  <si>
    <t>GHG Inventory Energy Classification</t>
  </si>
  <si>
    <t>EPA EF Hub correspondance</t>
  </si>
  <si>
    <t>Wood biomass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</si>
</sst>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43" formatCode="_(* #,##0.00_);_(* \(#,##0.00\);_(* &quot;-&quot;??_);_(@_)"/>
    <numFmt numFmtId="164" formatCode="_(* #,##0_);_(* \(#,##0\);_(* &quot;-&quot;??_);_(@_)"/>
    <numFmt numFmtId="165" formatCode="_(* #,##0.0_);_(* \(#,##0.0\);_(* &quot;-&quot;??_);_(@_)"/>
    <numFmt numFmtId="166" formatCode="_(* #,##0.000_);_(* \(#,##0.000\);_(* &quot;-&quot;??_);_(@_)"/>
    <numFmt numFmtId="167" formatCode="0.0E+00"/>
    <numFmt numFmtId="168" formatCode="_(* #,##0.000000_);_(* \(#,##0.000000\);_(* &quot;-&quot;??_);_(@_)"/>
    <numFmt numFmtId="169" formatCode="_(* #,##0.00000_);_(* \(#,##0.00000\);_(* &quot;-&quot;??_);_(@_)"/>
    <numFmt numFmtId="170" formatCode="_(* #,##0.0000_);_(* \(#,##0.0000\);_(* &quot;-&quot;??_);_(@_)"/>
    <numFmt numFmtId="171" formatCode="0.000"/>
    <numFmt numFmtId="172" formatCode="0.0000"/>
    <numFmt numFmtId="173" formatCode="General_)"/>
    <numFmt numFmtId="174" formatCode="_(* #,##0_);_(* \(#,##0\);_(@_)"/>
    <numFmt numFmtId="175" formatCode="_-* #,##0.00_-;\-* #,##0.00_-;_-* &quot;-&quot;??_-;_-@_-"/>
    <numFmt numFmtId="176" formatCode="[$-409]mmm\-yy;@"/>
  </numFmts>
  <fonts count="42">
    <font>
      <sz val="11"/>
      <color theme="1"/>
      <name val="Calibri"/>
      <family val="2"/>
      <scheme val="minor"/>
    </font>
    <font>
      <sz val="11"/>
      <color theme="1"/>
      <name val="Calibri"/>
      <family val="2"/>
      <scheme val="minor"/>
    </font>
    <font>
      <b/>
      <sz val="11"/>
      <color theme="1"/>
      <name val="Calibri"/>
      <family val="2"/>
      <scheme val="minor"/>
    </font>
    <font>
      <b/>
      <sz val="18"/>
      <color theme="1"/>
      <name val="Calibri"/>
      <family val="2"/>
      <scheme val="minor"/>
    </font>
    <font>
      <b/>
      <sz val="10"/>
      <name val="Arial"/>
      <family val="2"/>
    </font>
    <font>
      <b/>
      <sz val="11"/>
      <color rgb="FF0070C0"/>
      <name val="Calibri"/>
      <family val="2"/>
      <scheme val="minor"/>
    </font>
    <font>
      <sz val="10"/>
      <name val="Verdana"/>
      <family val="2"/>
    </font>
    <font>
      <sz val="10"/>
      <name val="Arial"/>
      <family val="2"/>
    </font>
    <font>
      <b/>
      <sz val="16"/>
      <name val="Arial"/>
      <family val="2"/>
    </font>
    <font>
      <b/>
      <sz val="14"/>
      <color rgb="FFFF0000"/>
      <name val="Arial"/>
      <family val="2"/>
    </font>
    <font>
      <sz val="9"/>
      <name val="Arial"/>
      <family val="2"/>
    </font>
    <font>
      <sz val="10"/>
      <color rgb="FFFF0000"/>
      <name val="Arial"/>
      <family val="2"/>
    </font>
    <font>
      <b/>
      <sz val="9"/>
      <name val="Arial"/>
      <family val="2"/>
    </font>
    <font>
      <b/>
      <sz val="12"/>
      <name val="Arial"/>
      <family val="2"/>
    </font>
    <font>
      <b/>
      <sz val="10"/>
      <color theme="5"/>
      <name val="Arial"/>
      <family val="2"/>
    </font>
    <font>
      <b/>
      <sz val="10"/>
      <color theme="6" tint="-0.499984740745262"/>
      <name val="Arial"/>
      <family val="2"/>
    </font>
    <font>
      <sz val="9"/>
      <color indexed="10"/>
      <name val="Arial"/>
      <family val="2"/>
    </font>
    <font>
      <u/>
      <sz val="10"/>
      <color indexed="12"/>
      <name val="Verdana"/>
      <family val="2"/>
    </font>
    <font>
      <u/>
      <sz val="10"/>
      <name val="Arial"/>
      <family val="2"/>
    </font>
    <font>
      <u/>
      <sz val="9"/>
      <color indexed="12"/>
      <name val="Arial"/>
      <family val="2"/>
    </font>
    <font>
      <sz val="10"/>
      <color rgb="FF00B050"/>
      <name val="Arial"/>
      <family val="2"/>
    </font>
    <font>
      <i/>
      <sz val="8"/>
      <name val="Arial"/>
      <family val="2"/>
    </font>
    <font>
      <sz val="4"/>
      <name val="Arial"/>
      <family val="2"/>
    </font>
    <font>
      <sz val="10"/>
      <color rgb="FF000000"/>
      <name val="Arial"/>
      <family val="2"/>
    </font>
    <font>
      <b/>
      <sz val="10"/>
      <color rgb="FFFF0000"/>
      <name val="Arial"/>
      <family val="2"/>
    </font>
    <font>
      <sz val="8"/>
      <name val="Arial"/>
      <family val="2"/>
    </font>
    <font>
      <sz val="11"/>
      <color theme="0"/>
      <name val="Calibri"/>
      <family val="2"/>
      <scheme val="minor"/>
    </font>
    <font>
      <b/>
      <sz val="12"/>
      <color theme="4"/>
      <name val="Calibri"/>
      <family val="2"/>
      <scheme val="minor"/>
    </font>
    <font>
      <b/>
      <sz val="9"/>
      <color theme="1"/>
      <name val="Calibri"/>
      <family val="2"/>
      <scheme val="minor"/>
    </font>
    <font>
      <sz val="9"/>
      <color theme="1"/>
      <name val="Calibri"/>
      <family val="2"/>
      <scheme val="minor"/>
    </font>
    <font>
      <u/>
      <sz val="11"/>
      <color theme="6"/>
      <name val="Calibri"/>
      <family val="2"/>
    </font>
    <font>
      <u/>
      <sz val="10"/>
      <color theme="4"/>
      <name val="Calibri"/>
      <family val="2"/>
      <scheme val="minor"/>
    </font>
    <font>
      <sz val="11"/>
      <color rgb="FF9C6500"/>
      <name val="Calibri"/>
      <family val="2"/>
      <scheme val="minor"/>
    </font>
    <font>
      <b/>
      <sz val="18"/>
      <color theme="3"/>
      <name val="Calibri Light"/>
      <family val="2"/>
      <scheme val="major"/>
    </font>
    <font>
      <sz val="10"/>
      <name val="Geneva"/>
    </font>
    <font>
      <b/>
      <sz val="12"/>
      <color indexed="30"/>
      <name val="Calibri"/>
      <family val="2"/>
    </font>
    <font>
      <sz val="9"/>
      <color indexed="8"/>
      <name val="Calibri"/>
      <family val="2"/>
    </font>
    <font>
      <b/>
      <sz val="9"/>
      <color indexed="8"/>
      <name val="Calibri"/>
      <family val="2"/>
    </font>
    <font>
      <sz val="12"/>
      <color theme="1"/>
      <name val="Calibri"/>
      <family val="2"/>
      <scheme val="minor"/>
    </font>
    <font>
      <sz val="10"/>
      <name val="Arial"/>
    </font>
    <font>
      <sz val="10"/>
      <name val="Courier"/>
      <family val="3"/>
    </font>
    <font>
      <sz val="11"/>
      <name val="Calibri"/>
      <family val="2"/>
    </font>
  </fonts>
  <fills count="26">
    <fill>
      <patternFill patternType="none"/>
    </fill>
    <fill>
      <patternFill patternType="gray125"/>
    </fill>
    <fill>
      <patternFill patternType="solid">
        <fgColor theme="0"/>
        <bgColor indexed="64"/>
      </patternFill>
    </fill>
    <fill>
      <patternFill patternType="solid">
        <fgColor theme="0" tint="-0.499984740745262"/>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theme="8"/>
        <bgColor indexed="64"/>
      </patternFill>
    </fill>
    <fill>
      <patternFill patternType="solid">
        <fgColor rgb="FFFFFFCC"/>
        <bgColor indexed="64"/>
      </patternFill>
    </fill>
    <fill>
      <patternFill patternType="solid">
        <fgColor indexed="9"/>
        <bgColor indexed="64"/>
      </patternFill>
    </fill>
    <fill>
      <patternFill patternType="solid">
        <fgColor indexed="51"/>
        <bgColor indexed="64"/>
      </patternFill>
    </fill>
    <fill>
      <patternFill patternType="solid">
        <fgColor theme="0" tint="-0.249977111117893"/>
        <bgColor indexed="64"/>
      </patternFill>
    </fill>
    <fill>
      <patternFill patternType="solid">
        <fgColor indexed="45"/>
        <bgColor indexed="64"/>
      </patternFill>
    </fill>
    <fill>
      <patternFill patternType="solid">
        <fgColor indexed="43"/>
        <bgColor indexed="64"/>
      </patternFill>
    </fill>
    <fill>
      <patternFill patternType="solid">
        <fgColor indexed="44"/>
        <bgColor indexed="64"/>
      </patternFill>
    </fill>
    <fill>
      <patternFill patternType="solid">
        <fgColor indexed="22"/>
        <bgColor indexed="64"/>
      </patternFill>
    </fill>
    <fill>
      <patternFill patternType="solid">
        <fgColor indexed="41"/>
        <bgColor indexed="64"/>
      </patternFill>
    </fill>
    <fill>
      <patternFill patternType="solid">
        <fgColor rgb="FFFFFF99"/>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rgb="FFFFEB9C"/>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s>
  <borders count="82">
    <border>
      <left/>
      <right/>
      <top/>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right style="medium">
        <color auto="1"/>
      </right>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medium">
        <color auto="1"/>
      </bottom>
      <diagonal/>
    </border>
    <border>
      <left style="thin">
        <color auto="1"/>
      </left>
      <right style="thin">
        <color auto="1"/>
      </right>
      <top style="thin">
        <color auto="1"/>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style="medium">
        <color auto="1"/>
      </bottom>
      <diagonal/>
    </border>
    <border>
      <left style="medium">
        <color auto="1"/>
      </left>
      <right style="thin">
        <color auto="1"/>
      </right>
      <top/>
      <bottom style="medium">
        <color auto="1"/>
      </bottom>
      <diagonal/>
    </border>
    <border>
      <left style="medium">
        <color auto="1"/>
      </left>
      <right/>
      <top style="medium">
        <color auto="1"/>
      </top>
      <bottom style="medium">
        <color auto="1"/>
      </bottom>
      <diagonal/>
    </border>
    <border>
      <left style="thin">
        <color indexed="64"/>
      </left>
      <right style="thin">
        <color auto="1"/>
      </right>
      <top/>
      <bottom/>
      <diagonal/>
    </border>
    <border>
      <left style="medium">
        <color indexed="64"/>
      </left>
      <right/>
      <top/>
      <bottom style="thin">
        <color auto="1"/>
      </bottom>
      <diagonal/>
    </border>
    <border>
      <left style="thin">
        <color auto="1"/>
      </left>
      <right style="thin">
        <color auto="1"/>
      </right>
      <top/>
      <bottom style="medium">
        <color auto="1"/>
      </bottom>
      <diagonal/>
    </border>
    <border>
      <left/>
      <right style="thin">
        <color auto="1"/>
      </right>
      <top style="thin">
        <color auto="1"/>
      </top>
      <bottom/>
      <diagonal/>
    </border>
    <border>
      <left/>
      <right style="thin">
        <color auto="1"/>
      </right>
      <top/>
      <bottom/>
      <diagonal/>
    </border>
    <border>
      <left/>
      <right style="thin">
        <color auto="1"/>
      </right>
      <top style="thin">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bottom/>
      <diagonal/>
    </border>
    <border>
      <left style="thin">
        <color auto="1"/>
      </left>
      <right/>
      <top style="thin">
        <color auto="1"/>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right/>
      <top style="medium">
        <color auto="1"/>
      </top>
      <bottom/>
      <diagonal/>
    </border>
    <border>
      <left/>
      <right style="thin">
        <color auto="1"/>
      </right>
      <top style="medium">
        <color auto="1"/>
      </top>
      <bottom style="medium">
        <color auto="1"/>
      </bottom>
      <diagonal/>
    </border>
    <border>
      <left/>
      <right/>
      <top style="thin">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thin">
        <color auto="1"/>
      </top>
      <bottom style="thin">
        <color auto="1"/>
      </bottom>
      <diagonal/>
    </border>
    <border>
      <left style="thin">
        <color auto="1"/>
      </left>
      <right/>
      <top style="medium">
        <color auto="1"/>
      </top>
      <bottom/>
      <diagonal/>
    </border>
    <border>
      <left/>
      <right style="thin">
        <color auto="1"/>
      </right>
      <top style="medium">
        <color auto="1"/>
      </top>
      <bottom style="thin">
        <color auto="1"/>
      </bottom>
      <diagonal/>
    </border>
    <border>
      <left/>
      <right style="medium">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style="thin">
        <color auto="1"/>
      </bottom>
      <diagonal/>
    </border>
    <border>
      <left/>
      <right/>
      <top style="thin">
        <color auto="1"/>
      </top>
      <bottom style="medium">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
      <left style="medium">
        <color auto="1"/>
      </left>
      <right/>
      <top/>
      <bottom style="thin">
        <color auto="1"/>
      </bottom>
      <diagonal/>
    </border>
    <border>
      <left style="thin">
        <color auto="1"/>
      </left>
      <right style="thin">
        <color auto="1"/>
      </right>
      <top style="medium">
        <color auto="1"/>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medium">
        <color indexed="64"/>
      </left>
      <right/>
      <top style="thin">
        <color auto="1"/>
      </top>
      <bottom style="thin">
        <color auto="1"/>
      </bottom>
      <diagonal/>
    </border>
    <border>
      <left style="medium">
        <color indexed="64"/>
      </left>
      <right/>
      <top/>
      <bottom/>
      <diagonal/>
    </border>
    <border>
      <left style="thin">
        <color auto="1"/>
      </left>
      <right style="thin">
        <color auto="1"/>
      </right>
      <top style="thin">
        <color auto="1"/>
      </top>
      <bottom style="thin">
        <color indexed="64"/>
      </bottom>
      <diagonal/>
    </border>
    <border>
      <left/>
      <right/>
      <top/>
      <bottom style="thick">
        <color theme="4"/>
      </bottom>
      <diagonal/>
    </border>
    <border>
      <left style="thick">
        <color theme="0"/>
      </left>
      <right style="thick">
        <color theme="0"/>
      </right>
      <top/>
      <bottom style="thin">
        <color theme="0" tint="-0.24994659260841701"/>
      </bottom>
      <diagonal/>
    </border>
    <border>
      <left/>
      <right/>
      <top/>
      <bottom style="dashed">
        <color theme="0" tint="-0.24994659260841701"/>
      </bottom>
      <diagonal/>
    </border>
    <border>
      <left/>
      <right/>
      <top/>
      <bottom style="thin">
        <color theme="0" tint="-0.249977111117893"/>
      </bottom>
      <diagonal/>
    </border>
    <border>
      <left/>
      <right/>
      <top style="medium">
        <color theme="4"/>
      </top>
      <bottom/>
      <diagonal/>
    </border>
    <border>
      <left/>
      <right/>
      <top style="thin">
        <color theme="4"/>
      </top>
      <bottom style="dashed">
        <color theme="0" tint="-0.24994659260841701"/>
      </bottom>
      <diagonal/>
    </border>
    <border>
      <left/>
      <right/>
      <top style="thin">
        <color theme="4"/>
      </top>
      <bottom style="thin">
        <color theme="0" tint="-0.24994659260841701"/>
      </bottom>
      <diagonal/>
    </border>
    <border>
      <left/>
      <right/>
      <top/>
      <bottom style="thick">
        <color rgb="FF0096D7"/>
      </bottom>
      <diagonal/>
    </border>
    <border>
      <left/>
      <right/>
      <top/>
      <bottom style="thin">
        <color rgb="FFBFBFBF"/>
      </bottom>
      <diagonal/>
    </border>
    <border>
      <left/>
      <right/>
      <top/>
      <bottom style="dashed">
        <color rgb="FFBFBFBF"/>
      </bottom>
      <diagonal/>
    </border>
  </borders>
  <cellStyleXfs count="95">
    <xf numFmtId="0" fontId="0" fillId="0" borderId="0"/>
    <xf numFmtId="43" fontId="1" fillId="0" borderId="0"/>
    <xf numFmtId="0" fontId="6" fillId="0" borderId="0"/>
    <xf numFmtId="43" fontId="6" fillId="0" borderId="0"/>
    <xf numFmtId="0" fontId="17" fillId="0" borderId="0">
      <alignment vertical="top"/>
      <protection locked="0"/>
    </xf>
    <xf numFmtId="9" fontId="6" fillId="0" borderId="0"/>
    <xf numFmtId="0" fontId="7" fillId="0" borderId="0"/>
    <xf numFmtId="0" fontId="7" fillId="0" borderId="0"/>
    <xf numFmtId="0" fontId="7" fillId="0" borderId="0"/>
    <xf numFmtId="43" fontId="7" fillId="0" borderId="0"/>
    <xf numFmtId="175" fontId="7" fillId="0" borderId="0"/>
    <xf numFmtId="9" fontId="1" fillId="0" borderId="0"/>
    <xf numFmtId="0" fontId="1" fillId="0" borderId="0"/>
    <xf numFmtId="9" fontId="7" fillId="0" borderId="0"/>
    <xf numFmtId="43" fontId="7" fillId="0" borderId="0"/>
    <xf numFmtId="0" fontId="27" fillId="0" borderId="0">
      <alignment horizontal="left"/>
    </xf>
    <xf numFmtId="0" fontId="28" fillId="0" borderId="73">
      <alignment horizontal="left" wrapText="1"/>
    </xf>
    <xf numFmtId="0" fontId="28" fillId="0" borderId="72">
      <alignment wrapText="1"/>
    </xf>
    <xf numFmtId="0" fontId="29" fillId="0" borderId="74">
      <alignment wrapText="1"/>
    </xf>
    <xf numFmtId="0" fontId="28" fillId="0" borderId="75">
      <alignment wrapText="1"/>
    </xf>
    <xf numFmtId="0" fontId="29" fillId="0" borderId="76">
      <alignment vertical="top" wrapText="1"/>
    </xf>
    <xf numFmtId="0" fontId="26" fillId="20" borderId="0"/>
    <xf numFmtId="0" fontId="26" fillId="21" borderId="0"/>
    <xf numFmtId="0" fontId="26" fillId="22" borderId="0"/>
    <xf numFmtId="0" fontId="26" fillId="23" borderId="0"/>
    <xf numFmtId="0" fontId="26" fillId="24" borderId="0"/>
    <xf numFmtId="0" fontId="26" fillId="25" borderId="0"/>
    <xf numFmtId="0" fontId="30" fillId="0" borderId="0">
      <alignment vertical="top"/>
      <protection locked="0"/>
    </xf>
    <xf numFmtId="0" fontId="29" fillId="0" borderId="0"/>
    <xf numFmtId="0" fontId="29" fillId="0" borderId="0">
      <alignment vertical="top" wrapText="1"/>
    </xf>
    <xf numFmtId="0" fontId="31" fillId="0" borderId="0">
      <alignment vertical="top"/>
      <protection locked="0"/>
    </xf>
    <xf numFmtId="0" fontId="32" fillId="19" borderId="0"/>
    <xf numFmtId="0" fontId="7" fillId="0" borderId="0"/>
    <xf numFmtId="0" fontId="29" fillId="0" borderId="77">
      <alignment wrapText="1"/>
    </xf>
    <xf numFmtId="0" fontId="28" fillId="0" borderId="78">
      <alignment wrapText="1"/>
    </xf>
    <xf numFmtId="0" fontId="33" fillId="0" borderId="0"/>
    <xf numFmtId="0" fontId="34" fillId="0" borderId="0"/>
    <xf numFmtId="43" fontId="34" fillId="0" borderId="0"/>
    <xf numFmtId="0" fontId="6" fillId="0" borderId="0"/>
    <xf numFmtId="0" fontId="7" fillId="0" borderId="0"/>
    <xf numFmtId="0" fontId="7" fillId="0" borderId="0"/>
    <xf numFmtId="0" fontId="6" fillId="0" borderId="0"/>
    <xf numFmtId="0" fontId="7" fillId="0" borderId="0"/>
    <xf numFmtId="176" fontId="7" fillId="0" borderId="0"/>
    <xf numFmtId="43" fontId="7" fillId="0" borderId="0"/>
    <xf numFmtId="9" fontId="7" fillId="0" borderId="0"/>
    <xf numFmtId="0" fontId="7" fillId="0" borderId="0"/>
    <xf numFmtId="43" fontId="1" fillId="0" borderId="0"/>
    <xf numFmtId="0" fontId="35" fillId="0" borderId="0">
      <alignment horizontal="left"/>
    </xf>
    <xf numFmtId="0" fontId="36" fillId="0" borderId="0"/>
    <xf numFmtId="0" fontId="37" fillId="0" borderId="79">
      <alignment wrapText="1"/>
    </xf>
    <xf numFmtId="0" fontId="37" fillId="0" borderId="80">
      <alignment wrapText="1"/>
    </xf>
    <xf numFmtId="0" fontId="36" fillId="0" borderId="81">
      <alignment wrapText="1"/>
    </xf>
    <xf numFmtId="0" fontId="38" fillId="0" borderId="0"/>
    <xf numFmtId="0" fontId="7" fillId="0" borderId="0"/>
    <xf numFmtId="0" fontId="1" fillId="0" borderId="0"/>
    <xf numFmtId="43" fontId="1" fillId="0" borderId="0"/>
    <xf numFmtId="9" fontId="1" fillId="0" borderId="0"/>
    <xf numFmtId="0" fontId="39" fillId="0" borderId="0"/>
    <xf numFmtId="43" fontId="7" fillId="0" borderId="0"/>
    <xf numFmtId="0" fontId="27" fillId="0" borderId="0">
      <alignment horizontal="left"/>
    </xf>
    <xf numFmtId="0" fontId="28" fillId="0" borderId="73">
      <alignment horizontal="left" wrapText="1"/>
    </xf>
    <xf numFmtId="0" fontId="28" fillId="0" borderId="72">
      <alignment wrapText="1"/>
    </xf>
    <xf numFmtId="0" fontId="29" fillId="0" borderId="74">
      <alignment wrapText="1"/>
    </xf>
    <xf numFmtId="0" fontId="28" fillId="0" borderId="75">
      <alignment wrapText="1"/>
    </xf>
    <xf numFmtId="0" fontId="29" fillId="0" borderId="76">
      <alignment vertical="top" wrapText="1"/>
    </xf>
    <xf numFmtId="0" fontId="26" fillId="20" borderId="0"/>
    <xf numFmtId="0" fontId="26" fillId="21" borderId="0"/>
    <xf numFmtId="0" fontId="26" fillId="22" borderId="0"/>
    <xf numFmtId="0" fontId="26" fillId="23" borderId="0"/>
    <xf numFmtId="0" fontId="26" fillId="24" borderId="0"/>
    <xf numFmtId="0" fontId="26" fillId="25" borderId="0"/>
    <xf numFmtId="0" fontId="30" fillId="0" borderId="0">
      <alignment vertical="top"/>
      <protection locked="0"/>
    </xf>
    <xf numFmtId="0" fontId="29" fillId="0" borderId="0"/>
    <xf numFmtId="0" fontId="29" fillId="0" borderId="0">
      <alignment vertical="top" wrapText="1"/>
    </xf>
    <xf numFmtId="0" fontId="31" fillId="0" borderId="0">
      <alignment vertical="top"/>
      <protection locked="0"/>
    </xf>
    <xf numFmtId="0" fontId="32" fillId="19" borderId="0"/>
    <xf numFmtId="0" fontId="29" fillId="0" borderId="77">
      <alignment wrapText="1"/>
    </xf>
    <xf numFmtId="0" fontId="28" fillId="0" borderId="78">
      <alignment wrapText="1"/>
    </xf>
    <xf numFmtId="0" fontId="33" fillId="0" borderId="0"/>
    <xf numFmtId="43" fontId="34" fillId="0" borderId="0"/>
    <xf numFmtId="43" fontId="6" fillId="0" borderId="0"/>
    <xf numFmtId="0" fontId="17" fillId="0" borderId="0">
      <alignment vertical="top"/>
      <protection locked="0"/>
    </xf>
    <xf numFmtId="9" fontId="6" fillId="0" borderId="0"/>
    <xf numFmtId="43" fontId="7" fillId="0" borderId="0"/>
    <xf numFmtId="9" fontId="7" fillId="0" borderId="0"/>
    <xf numFmtId="0" fontId="35" fillId="0" borderId="0">
      <alignment horizontal="left"/>
    </xf>
    <xf numFmtId="0" fontId="36" fillId="0" borderId="0"/>
    <xf numFmtId="0" fontId="37" fillId="0" borderId="79">
      <alignment wrapText="1"/>
    </xf>
    <xf numFmtId="0" fontId="37" fillId="0" borderId="80">
      <alignment wrapText="1"/>
    </xf>
    <xf numFmtId="0" fontId="36" fillId="0" borderId="81">
      <alignment wrapText="1"/>
    </xf>
    <xf numFmtId="9" fontId="7" fillId="0" borderId="0"/>
    <xf numFmtId="43" fontId="7" fillId="0" borderId="0"/>
    <xf numFmtId="0" fontId="40" fillId="0" borderId="0"/>
    <xf numFmtId="0" fontId="41" fillId="0" borderId="0"/>
  </cellStyleXfs>
  <cellXfs count="375">
    <xf numFmtId="0" fontId="0" fillId="0" borderId="0" xfId="0"/>
    <xf numFmtId="0" fontId="3" fillId="2" borderId="0" xfId="0" applyFont="1" applyFill="1"/>
    <xf numFmtId="0" fontId="0" fillId="2" borderId="0" xfId="0" applyFill="1"/>
    <xf numFmtId="0" fontId="2" fillId="2" borderId="0" xfId="0" applyFont="1" applyFill="1"/>
    <xf numFmtId="0" fontId="0" fillId="3" borderId="0" xfId="0" applyFill="1"/>
    <xf numFmtId="0" fontId="0" fillId="4" borderId="0" xfId="0" applyFill="1"/>
    <xf numFmtId="0" fontId="0" fillId="5" borderId="0" xfId="0" applyFill="1"/>
    <xf numFmtId="0" fontId="0" fillId="6" borderId="0" xfId="0" applyFill="1"/>
    <xf numFmtId="0" fontId="4" fillId="7" borderId="4" xfId="0" applyFont="1" applyFill="1" applyBorder="1"/>
    <xf numFmtId="0" fontId="5" fillId="0" borderId="0" xfId="0" applyFont="1"/>
    <xf numFmtId="0" fontId="7" fillId="8" borderId="0" xfId="2" applyFont="1" applyFill="1"/>
    <xf numFmtId="0" fontId="7" fillId="8" borderId="0" xfId="2" applyFont="1" applyFill="1" applyAlignment="1">
      <alignment horizontal="center"/>
    </xf>
    <xf numFmtId="0" fontId="7" fillId="2" borderId="0" xfId="2" applyFont="1" applyFill="1" applyAlignment="1">
      <alignment horizontal="center" vertical="center"/>
    </xf>
    <xf numFmtId="0" fontId="7" fillId="0" borderId="0" xfId="2" applyFont="1" applyAlignment="1">
      <alignment horizontal="center" vertical="center"/>
    </xf>
    <xf numFmtId="0" fontId="9" fillId="8" borderId="0" xfId="2" applyFont="1" applyFill="1" applyAlignment="1">
      <alignment vertical="center"/>
    </xf>
    <xf numFmtId="0" fontId="10" fillId="8" borderId="0" xfId="2" applyFont="1" applyFill="1" applyAlignment="1">
      <alignment horizontal="center" vertical="center"/>
    </xf>
    <xf numFmtId="0" fontId="11" fillId="8" borderId="0" xfId="2" applyFont="1" applyFill="1"/>
    <xf numFmtId="0" fontId="4" fillId="10" borderId="7" xfId="2" applyFont="1" applyFill="1" applyBorder="1" applyAlignment="1">
      <alignment horizontal="center" vertical="center"/>
    </xf>
    <xf numFmtId="0" fontId="4" fillId="10" borderId="8" xfId="2" applyFont="1" applyFill="1" applyBorder="1" applyAlignment="1">
      <alignment horizontal="center" vertical="center"/>
    </xf>
    <xf numFmtId="0" fontId="7" fillId="8" borderId="9" xfId="2" applyFont="1" applyFill="1" applyBorder="1" applyAlignment="1">
      <alignment horizontal="center" vertical="center"/>
    </xf>
    <xf numFmtId="164" fontId="7" fillId="8" borderId="10" xfId="2" applyNumberFormat="1" applyFont="1" applyFill="1" applyBorder="1" applyAlignment="1">
      <alignment horizontal="center" vertical="center"/>
    </xf>
    <xf numFmtId="0" fontId="10" fillId="8" borderId="0" xfId="2" applyFont="1" applyFill="1"/>
    <xf numFmtId="0" fontId="7" fillId="8" borderId="11" xfId="2" applyFont="1" applyFill="1" applyBorder="1" applyAlignment="1">
      <alignment horizontal="center" vertical="center"/>
    </xf>
    <xf numFmtId="164" fontId="7" fillId="8" borderId="12" xfId="2" applyNumberFormat="1" applyFont="1" applyFill="1" applyBorder="1" applyAlignment="1">
      <alignment horizontal="center" vertical="center"/>
    </xf>
    <xf numFmtId="0" fontId="10" fillId="8" borderId="0" xfId="2" applyFont="1" applyFill="1" applyAlignment="1">
      <alignment horizontal="center"/>
    </xf>
    <xf numFmtId="0" fontId="7" fillId="8" borderId="0" xfId="2" applyFont="1" applyFill="1" applyAlignment="1">
      <alignment vertical="center"/>
    </xf>
    <xf numFmtId="0" fontId="13" fillId="11" borderId="2" xfId="2" applyFont="1" applyFill="1" applyBorder="1" applyAlignment="1">
      <alignment horizontal="center" vertical="center"/>
    </xf>
    <xf numFmtId="0" fontId="13" fillId="12" borderId="5" xfId="2" applyFont="1" applyFill="1" applyBorder="1" applyAlignment="1">
      <alignment vertical="center"/>
    </xf>
    <xf numFmtId="0" fontId="13" fillId="12" borderId="4" xfId="2" applyFont="1" applyFill="1" applyBorder="1" applyAlignment="1">
      <alignment vertical="center"/>
    </xf>
    <xf numFmtId="0" fontId="7" fillId="12" borderId="4" xfId="2" applyFont="1" applyFill="1" applyBorder="1" applyAlignment="1">
      <alignment vertical="center"/>
    </xf>
    <xf numFmtId="0" fontId="7" fillId="12" borderId="6" xfId="2" applyFont="1" applyFill="1" applyBorder="1" applyAlignment="1">
      <alignment vertical="center"/>
    </xf>
    <xf numFmtId="0" fontId="10" fillId="8" borderId="0" xfId="2" applyFont="1" applyFill="1" applyAlignment="1">
      <alignment vertical="center"/>
    </xf>
    <xf numFmtId="165" fontId="10" fillId="8" borderId="0" xfId="2" applyNumberFormat="1" applyFont="1" applyFill="1"/>
    <xf numFmtId="0" fontId="4" fillId="13" borderId="9" xfId="2" applyFont="1" applyFill="1" applyBorder="1" applyAlignment="1">
      <alignment horizontal="center" vertical="center"/>
    </xf>
    <xf numFmtId="0" fontId="4" fillId="13" borderId="13" xfId="2" applyFont="1" applyFill="1" applyBorder="1" applyAlignment="1">
      <alignment horizontal="center" vertical="center" wrapText="1"/>
    </xf>
    <xf numFmtId="0" fontId="4" fillId="13" borderId="10" xfId="2" applyFont="1" applyFill="1" applyBorder="1" applyAlignment="1">
      <alignment horizontal="center" vertical="center" wrapText="1"/>
    </xf>
    <xf numFmtId="0" fontId="14" fillId="8" borderId="0" xfId="2" applyFont="1" applyFill="1"/>
    <xf numFmtId="0" fontId="15" fillId="8" borderId="0" xfId="2" applyFont="1" applyFill="1" applyAlignment="1">
      <alignment horizontal="center" vertical="center" wrapText="1"/>
    </xf>
    <xf numFmtId="0" fontId="7" fillId="8" borderId="0" xfId="2" applyFont="1" applyFill="1" applyAlignment="1">
      <alignment horizontal="center" vertical="center" wrapText="1"/>
    </xf>
    <xf numFmtId="0" fontId="4" fillId="14" borderId="14" xfId="2" applyFont="1" applyFill="1" applyBorder="1" applyAlignment="1">
      <alignment horizontal="center" vertical="center" wrapText="1"/>
    </xf>
    <xf numFmtId="0" fontId="12" fillId="15" borderId="2" xfId="2" applyFont="1" applyFill="1" applyBorder="1" applyAlignment="1">
      <alignment horizontal="center" vertical="top" wrapText="1"/>
    </xf>
    <xf numFmtId="0" fontId="12" fillId="15" borderId="15" xfId="2" applyFont="1" applyFill="1" applyBorder="1" applyAlignment="1">
      <alignment horizontal="center" vertical="top" wrapText="1"/>
    </xf>
    <xf numFmtId="0" fontId="7" fillId="0" borderId="0" xfId="2" applyFont="1" applyAlignment="1">
      <alignment horizontal="center" vertical="center" wrapText="1"/>
    </xf>
    <xf numFmtId="0" fontId="4" fillId="13" borderId="16" xfId="2" applyFont="1" applyFill="1" applyBorder="1" applyAlignment="1">
      <alignment horizontal="center"/>
    </xf>
    <xf numFmtId="0" fontId="4" fillId="14" borderId="0" xfId="2" applyFont="1" applyFill="1" applyAlignment="1">
      <alignment horizontal="center" vertical="center" wrapText="1"/>
    </xf>
    <xf numFmtId="0" fontId="4" fillId="14" borderId="17" xfId="2" applyFont="1" applyFill="1" applyBorder="1" applyAlignment="1">
      <alignment horizontal="center" vertical="center" wrapText="1"/>
    </xf>
    <xf numFmtId="0" fontId="7" fillId="0" borderId="18" xfId="2" applyFont="1" applyBorder="1"/>
    <xf numFmtId="43" fontId="7" fillId="0" borderId="2" xfId="3" applyFont="1" applyBorder="1"/>
    <xf numFmtId="164" fontId="7" fillId="0" borderId="2" xfId="3" applyNumberFormat="1" applyFont="1" applyBorder="1"/>
    <xf numFmtId="165" fontId="7" fillId="0" borderId="2" xfId="3" applyNumberFormat="1" applyFont="1" applyBorder="1"/>
    <xf numFmtId="164" fontId="7" fillId="0" borderId="15" xfId="3" applyNumberFormat="1" applyFont="1" applyBorder="1"/>
    <xf numFmtId="166" fontId="7" fillId="8" borderId="0" xfId="2" applyNumberFormat="1" applyFont="1" applyFill="1"/>
    <xf numFmtId="167" fontId="7" fillId="8" borderId="0" xfId="2" applyNumberFormat="1" applyFont="1" applyFill="1"/>
    <xf numFmtId="0" fontId="4" fillId="13" borderId="19" xfId="2" applyFont="1" applyFill="1" applyBorder="1" applyAlignment="1">
      <alignment horizontal="center"/>
    </xf>
    <xf numFmtId="166" fontId="4" fillId="14" borderId="0" xfId="3" applyNumberFormat="1" applyFont="1" applyFill="1"/>
    <xf numFmtId="164" fontId="4" fillId="14" borderId="0" xfId="3" applyNumberFormat="1" applyFont="1" applyFill="1"/>
    <xf numFmtId="165" fontId="4" fillId="14" borderId="0" xfId="3" applyNumberFormat="1" applyFont="1" applyFill="1"/>
    <xf numFmtId="164" fontId="4" fillId="14" borderId="17" xfId="3" applyNumberFormat="1" applyFont="1" applyFill="1" applyBorder="1"/>
    <xf numFmtId="166" fontId="11" fillId="8" borderId="0" xfId="2" applyNumberFormat="1" applyFont="1" applyFill="1"/>
    <xf numFmtId="164" fontId="4" fillId="14" borderId="0" xfId="2" applyNumberFormat="1" applyFont="1" applyFill="1"/>
    <xf numFmtId="164" fontId="4" fillId="14" borderId="17" xfId="2" applyNumberFormat="1" applyFont="1" applyFill="1" applyBorder="1"/>
    <xf numFmtId="0" fontId="12" fillId="15" borderId="2" xfId="2" applyFont="1" applyFill="1" applyBorder="1" applyAlignment="1">
      <alignment horizontal="center" vertical="center" wrapText="1"/>
    </xf>
    <xf numFmtId="0" fontId="12" fillId="15" borderId="15" xfId="2" applyFont="1" applyFill="1" applyBorder="1" applyAlignment="1">
      <alignment horizontal="center" vertical="center" wrapText="1"/>
    </xf>
    <xf numFmtId="0" fontId="4" fillId="13" borderId="16" xfId="2" applyFont="1" applyFill="1" applyBorder="1" applyAlignment="1">
      <alignment horizontal="center" vertical="center" wrapText="1"/>
    </xf>
    <xf numFmtId="166" fontId="10" fillId="14" borderId="0" xfId="3" applyNumberFormat="1" applyFont="1" applyFill="1"/>
    <xf numFmtId="166" fontId="16" fillId="14" borderId="0" xfId="3" applyNumberFormat="1" applyFont="1" applyFill="1"/>
    <xf numFmtId="165" fontId="7" fillId="14" borderId="0" xfId="3" applyNumberFormat="1" applyFont="1" applyFill="1"/>
    <xf numFmtId="0" fontId="7" fillId="14" borderId="0" xfId="2" applyFont="1" applyFill="1"/>
    <xf numFmtId="0" fontId="7" fillId="14" borderId="17" xfId="2" applyFont="1" applyFill="1" applyBorder="1"/>
    <xf numFmtId="43" fontId="10" fillId="8" borderId="0" xfId="2" applyNumberFormat="1" applyFont="1" applyFill="1" applyAlignment="1">
      <alignment horizontal="center"/>
    </xf>
    <xf numFmtId="168" fontId="7" fillId="0" borderId="2" xfId="3" applyNumberFormat="1" applyFont="1" applyBorder="1"/>
    <xf numFmtId="169" fontId="7" fillId="0" borderId="2" xfId="3" applyNumberFormat="1" applyFont="1" applyBorder="1"/>
    <xf numFmtId="169" fontId="7" fillId="0" borderId="15" xfId="3" applyNumberFormat="1" applyFont="1" applyBorder="1"/>
    <xf numFmtId="43" fontId="7" fillId="8" borderId="0" xfId="2" applyNumberFormat="1" applyFont="1" applyFill="1"/>
    <xf numFmtId="43" fontId="4" fillId="13" borderId="19" xfId="3" applyFont="1" applyFill="1" applyBorder="1" applyAlignment="1">
      <alignment horizontal="center"/>
    </xf>
    <xf numFmtId="168" fontId="7" fillId="14" borderId="0" xfId="3" applyNumberFormat="1" applyFont="1" applyFill="1"/>
    <xf numFmtId="169" fontId="4" fillId="14" borderId="0" xfId="3" applyNumberFormat="1" applyFont="1" applyFill="1"/>
    <xf numFmtId="168" fontId="4" fillId="14" borderId="0" xfId="3" applyNumberFormat="1" applyFont="1" applyFill="1"/>
    <xf numFmtId="168" fontId="4" fillId="14" borderId="17" xfId="3" applyNumberFormat="1" applyFont="1" applyFill="1" applyBorder="1"/>
    <xf numFmtId="166" fontId="7" fillId="0" borderId="2" xfId="3" applyNumberFormat="1" applyFont="1" applyBorder="1"/>
    <xf numFmtId="168" fontId="7" fillId="0" borderId="15" xfId="3" applyNumberFormat="1" applyFont="1" applyBorder="1"/>
    <xf numFmtId="43" fontId="7" fillId="0" borderId="2" xfId="3" applyFont="1" applyBorder="1" applyAlignment="1">
      <alignment horizontal="center"/>
    </xf>
    <xf numFmtId="166" fontId="7" fillId="14" borderId="0" xfId="3" applyNumberFormat="1" applyFont="1" applyFill="1"/>
    <xf numFmtId="43" fontId="10" fillId="8" borderId="0" xfId="2" applyNumberFormat="1" applyFont="1" applyFill="1" applyAlignment="1">
      <alignment horizontal="center" vertical="center"/>
    </xf>
    <xf numFmtId="0" fontId="7" fillId="0" borderId="18" xfId="2" applyFont="1" applyBorder="1" applyAlignment="1">
      <alignment vertical="center"/>
    </xf>
    <xf numFmtId="168" fontId="7" fillId="0" borderId="2" xfId="3" applyNumberFormat="1" applyFont="1" applyBorder="1" applyAlignment="1">
      <alignment vertical="center"/>
    </xf>
    <xf numFmtId="43" fontId="7" fillId="0" borderId="2" xfId="3" applyFont="1" applyBorder="1" applyAlignment="1">
      <alignment vertical="center"/>
    </xf>
    <xf numFmtId="165" fontId="7" fillId="0" borderId="2" xfId="3" applyNumberFormat="1" applyFont="1" applyBorder="1" applyAlignment="1">
      <alignment vertical="center"/>
    </xf>
    <xf numFmtId="0" fontId="7" fillId="8" borderId="0" xfId="2" applyFont="1" applyFill="1" applyAlignment="1">
      <alignment horizontal="center" vertical="center"/>
    </xf>
    <xf numFmtId="43" fontId="4" fillId="13" borderId="16" xfId="2" applyNumberFormat="1" applyFont="1" applyFill="1" applyBorder="1" applyAlignment="1">
      <alignment horizontal="center" vertical="center"/>
    </xf>
    <xf numFmtId="0" fontId="7" fillId="14" borderId="0" xfId="2" applyFont="1" applyFill="1" applyAlignment="1">
      <alignment vertical="center"/>
    </xf>
    <xf numFmtId="0" fontId="7" fillId="14" borderId="17" xfId="2" applyFont="1" applyFill="1" applyBorder="1" applyAlignment="1">
      <alignment vertical="center"/>
    </xf>
    <xf numFmtId="43" fontId="7" fillId="0" borderId="15" xfId="3" applyFont="1" applyBorder="1"/>
    <xf numFmtId="0" fontId="18" fillId="8" borderId="0" xfId="4" applyFont="1" applyFill="1" applyAlignment="1" applyProtection="1"/>
    <xf numFmtId="43" fontId="7" fillId="14" borderId="0" xfId="2" applyNumberFormat="1" applyFont="1" applyFill="1" applyAlignment="1">
      <alignment vertical="center"/>
    </xf>
    <xf numFmtId="43" fontId="10" fillId="14" borderId="0" xfId="3" applyFont="1" applyFill="1" applyAlignment="1">
      <alignment vertical="center"/>
    </xf>
    <xf numFmtId="43" fontId="10" fillId="14" borderId="17" xfId="3" applyFont="1" applyFill="1" applyBorder="1" applyAlignment="1">
      <alignment vertical="center"/>
    </xf>
    <xf numFmtId="43" fontId="4" fillId="13" borderId="16" xfId="2" applyNumberFormat="1" applyFont="1" applyFill="1" applyBorder="1" applyAlignment="1">
      <alignment horizontal="center" vertical="center" wrapText="1"/>
    </xf>
    <xf numFmtId="0" fontId="7" fillId="0" borderId="11" xfId="2" applyFont="1" applyBorder="1"/>
    <xf numFmtId="43" fontId="10" fillId="14" borderId="20" xfId="3" applyFont="1" applyFill="1" applyBorder="1" applyAlignment="1">
      <alignment vertical="center"/>
    </xf>
    <xf numFmtId="165" fontId="7" fillId="0" borderId="21" xfId="3" applyNumberFormat="1" applyFont="1" applyBorder="1"/>
    <xf numFmtId="43" fontId="7" fillId="0" borderId="21" xfId="3" applyFont="1" applyBorder="1"/>
    <xf numFmtId="43" fontId="10" fillId="14" borderId="22" xfId="3" applyFont="1" applyFill="1" applyBorder="1" applyAlignment="1">
      <alignment vertical="center"/>
    </xf>
    <xf numFmtId="0" fontId="12" fillId="8" borderId="0" xfId="2" applyFont="1" applyFill="1" applyAlignment="1">
      <alignment vertical="center"/>
    </xf>
    <xf numFmtId="43" fontId="7" fillId="8" borderId="0" xfId="2" applyNumberFormat="1" applyFont="1" applyFill="1" applyAlignment="1">
      <alignment vertical="center"/>
    </xf>
    <xf numFmtId="0" fontId="19" fillId="8" borderId="0" xfId="4" applyFont="1" applyFill="1" applyAlignment="1" applyProtection="1"/>
    <xf numFmtId="170" fontId="10" fillId="8" borderId="0" xfId="2" applyNumberFormat="1" applyFont="1" applyFill="1"/>
    <xf numFmtId="169" fontId="10" fillId="8" borderId="0" xfId="2" applyNumberFormat="1" applyFont="1" applyFill="1"/>
    <xf numFmtId="10" fontId="10" fillId="8" borderId="0" xfId="5" applyNumberFormat="1" applyFont="1" applyFill="1"/>
    <xf numFmtId="0" fontId="7" fillId="2" borderId="0" xfId="2" applyFont="1" applyFill="1"/>
    <xf numFmtId="0" fontId="4" fillId="10" borderId="23" xfId="2" applyFont="1" applyFill="1" applyBorder="1" applyAlignment="1">
      <alignment horizontal="center" vertical="top"/>
    </xf>
    <xf numFmtId="0" fontId="4" fillId="10" borderId="24" xfId="2" applyFont="1" applyFill="1" applyBorder="1" applyAlignment="1">
      <alignment horizontal="center" vertical="top" wrapText="1"/>
    </xf>
    <xf numFmtId="0" fontId="4" fillId="10" borderId="25" xfId="2" applyFont="1" applyFill="1" applyBorder="1" applyAlignment="1">
      <alignment horizontal="center" vertical="top" wrapText="1"/>
    </xf>
    <xf numFmtId="43" fontId="7" fillId="2" borderId="0" xfId="3" applyFont="1" applyFill="1"/>
    <xf numFmtId="11" fontId="7" fillId="2" borderId="0" xfId="2" applyNumberFormat="1" applyFont="1" applyFill="1"/>
    <xf numFmtId="0" fontId="7" fillId="8" borderId="26" xfId="2" applyFont="1" applyFill="1" applyBorder="1" applyAlignment="1">
      <alignment vertical="center"/>
    </xf>
    <xf numFmtId="43" fontId="7" fillId="0" borderId="3" xfId="3" applyFont="1" applyBorder="1" applyAlignment="1">
      <alignment vertical="center"/>
    </xf>
    <xf numFmtId="0" fontId="7" fillId="8" borderId="27" xfId="2" applyFont="1" applyFill="1" applyBorder="1" applyAlignment="1">
      <alignment horizontal="center"/>
    </xf>
    <xf numFmtId="0" fontId="4" fillId="8" borderId="0" xfId="2" applyFont="1" applyFill="1"/>
    <xf numFmtId="0" fontId="7" fillId="8" borderId="18" xfId="2" applyFont="1" applyFill="1" applyBorder="1" applyAlignment="1">
      <alignment vertical="center"/>
    </xf>
    <xf numFmtId="0" fontId="7" fillId="0" borderId="15" xfId="2" applyFont="1" applyBorder="1" applyAlignment="1">
      <alignment horizontal="center"/>
    </xf>
    <xf numFmtId="169" fontId="7" fillId="2" borderId="2" xfId="3" applyNumberFormat="1" applyFont="1" applyFill="1" applyBorder="1" applyAlignment="1">
      <alignment vertical="center"/>
    </xf>
    <xf numFmtId="0" fontId="7" fillId="8" borderId="15" xfId="2" applyFont="1" applyFill="1" applyBorder="1" applyAlignment="1">
      <alignment horizontal="center"/>
    </xf>
    <xf numFmtId="169" fontId="7" fillId="8" borderId="0" xfId="3" applyNumberFormat="1" applyFont="1" applyFill="1"/>
    <xf numFmtId="43" fontId="18" fillId="2" borderId="0" xfId="4" applyNumberFormat="1" applyFont="1" applyFill="1" applyAlignment="1" applyProtection="1"/>
    <xf numFmtId="0" fontId="7" fillId="8" borderId="11" xfId="2" applyFont="1" applyFill="1" applyBorder="1" applyAlignment="1">
      <alignment vertical="center"/>
    </xf>
    <xf numFmtId="43" fontId="7" fillId="0" borderId="21" xfId="3" applyFont="1" applyBorder="1" applyAlignment="1">
      <alignment vertical="center"/>
    </xf>
    <xf numFmtId="0" fontId="7" fillId="8" borderId="12" xfId="2" applyFont="1" applyFill="1" applyBorder="1" applyAlignment="1">
      <alignment horizontal="center"/>
    </xf>
    <xf numFmtId="0" fontId="7" fillId="2" borderId="0" xfId="2" applyFont="1" applyFill="1" applyAlignment="1">
      <alignment vertical="center"/>
    </xf>
    <xf numFmtId="0" fontId="10" fillId="8" borderId="0" xfId="2" applyFont="1" applyFill="1" applyAlignment="1">
      <alignment wrapText="1"/>
    </xf>
    <xf numFmtId="0" fontId="10" fillId="0" borderId="0" xfId="2" applyFont="1"/>
    <xf numFmtId="0" fontId="13" fillId="11" borderId="2" xfId="2" applyFont="1" applyFill="1" applyBorder="1" applyAlignment="1">
      <alignment horizontal="center"/>
    </xf>
    <xf numFmtId="0" fontId="13" fillId="16" borderId="5" xfId="2" applyFont="1" applyFill="1" applyBorder="1"/>
    <xf numFmtId="0" fontId="7" fillId="16" borderId="4" xfId="2" applyFont="1" applyFill="1" applyBorder="1"/>
    <xf numFmtId="0" fontId="7" fillId="12" borderId="4" xfId="2" applyFont="1" applyFill="1" applyBorder="1"/>
    <xf numFmtId="0" fontId="7" fillId="12" borderId="6" xfId="2" applyFont="1" applyFill="1" applyBorder="1"/>
    <xf numFmtId="0" fontId="4" fillId="14" borderId="23" xfId="2" applyFont="1" applyFill="1" applyBorder="1" applyAlignment="1">
      <alignment horizontal="center" vertical="center"/>
    </xf>
    <xf numFmtId="0" fontId="4" fillId="14" borderId="24" xfId="2" applyFont="1" applyFill="1" applyBorder="1" applyAlignment="1">
      <alignment horizontal="center" vertical="center"/>
    </xf>
    <xf numFmtId="0" fontId="4" fillId="14" borderId="24" xfId="2" applyFont="1" applyFill="1" applyBorder="1" applyAlignment="1">
      <alignment horizontal="center" vertical="center" wrapText="1"/>
    </xf>
    <xf numFmtId="0" fontId="4" fillId="14" borderId="25" xfId="2" applyFont="1" applyFill="1" applyBorder="1" applyAlignment="1">
      <alignment horizontal="center" vertical="center" wrapText="1"/>
    </xf>
    <xf numFmtId="170" fontId="11" fillId="8" borderId="0" xfId="2" applyNumberFormat="1" applyFont="1" applyFill="1"/>
    <xf numFmtId="0" fontId="7" fillId="8" borderId="28" xfId="2" applyFont="1" applyFill="1" applyBorder="1"/>
    <xf numFmtId="0" fontId="7" fillId="8" borderId="13" xfId="2" applyFont="1" applyFill="1" applyBorder="1" applyAlignment="1">
      <alignment horizontal="left"/>
    </xf>
    <xf numFmtId="170" fontId="7" fillId="0" borderId="13" xfId="3" applyNumberFormat="1" applyFont="1" applyBorder="1"/>
    <xf numFmtId="170" fontId="7" fillId="0" borderId="10" xfId="3" applyNumberFormat="1" applyFont="1" applyBorder="1"/>
    <xf numFmtId="170" fontId="7" fillId="8" borderId="0" xfId="2" applyNumberFormat="1" applyFont="1" applyFill="1"/>
    <xf numFmtId="0" fontId="7" fillId="8" borderId="14" xfId="2" applyFont="1" applyFill="1" applyBorder="1"/>
    <xf numFmtId="0" fontId="7" fillId="8" borderId="3" xfId="2" applyFont="1" applyFill="1" applyBorder="1" applyAlignment="1">
      <alignment horizontal="left"/>
    </xf>
    <xf numFmtId="170" fontId="7" fillId="0" borderId="3" xfId="3" applyNumberFormat="1" applyFont="1" applyBorder="1"/>
    <xf numFmtId="170" fontId="7" fillId="0" borderId="27" xfId="3" applyNumberFormat="1" applyFont="1" applyBorder="1"/>
    <xf numFmtId="0" fontId="7" fillId="8" borderId="2" xfId="2" applyFont="1" applyFill="1" applyBorder="1" applyAlignment="1">
      <alignment horizontal="left"/>
    </xf>
    <xf numFmtId="170" fontId="7" fillId="0" borderId="2" xfId="3" applyNumberFormat="1" applyFont="1" applyBorder="1"/>
    <xf numFmtId="170" fontId="7" fillId="0" borderId="15" xfId="3" applyNumberFormat="1" applyFont="1" applyBorder="1"/>
    <xf numFmtId="170" fontId="7" fillId="0" borderId="29" xfId="3" applyNumberFormat="1" applyFont="1" applyBorder="1"/>
    <xf numFmtId="170" fontId="7" fillId="0" borderId="30" xfId="3" applyNumberFormat="1" applyFont="1" applyBorder="1"/>
    <xf numFmtId="0" fontId="7" fillId="8" borderId="31" xfId="2" applyFont="1" applyFill="1" applyBorder="1"/>
    <xf numFmtId="0" fontId="7" fillId="8" borderId="2" xfId="2" quotePrefix="1" applyFont="1" applyFill="1" applyBorder="1" applyAlignment="1">
      <alignment horizontal="left"/>
    </xf>
    <xf numFmtId="170" fontId="7" fillId="0" borderId="21" xfId="3" applyNumberFormat="1" applyFont="1" applyBorder="1"/>
    <xf numFmtId="170" fontId="7" fillId="0" borderId="12" xfId="3" applyNumberFormat="1" applyFont="1" applyBorder="1"/>
    <xf numFmtId="170" fontId="7" fillId="8" borderId="13" xfId="3" applyNumberFormat="1" applyFont="1" applyFill="1" applyBorder="1" applyAlignment="1">
      <alignment horizontal="right"/>
    </xf>
    <xf numFmtId="170" fontId="7" fillId="8" borderId="10" xfId="3" applyNumberFormat="1" applyFont="1" applyFill="1" applyBorder="1" applyAlignment="1">
      <alignment horizontal="right"/>
    </xf>
    <xf numFmtId="0" fontId="7" fillId="8" borderId="21" xfId="2" applyFont="1" applyFill="1" applyBorder="1" applyAlignment="1">
      <alignment horizontal="left"/>
    </xf>
    <xf numFmtId="170" fontId="7" fillId="8" borderId="21" xfId="3" applyNumberFormat="1" applyFont="1" applyFill="1" applyBorder="1" applyAlignment="1">
      <alignment horizontal="right"/>
    </xf>
    <xf numFmtId="170" fontId="7" fillId="8" borderId="12" xfId="3" applyNumberFormat="1" applyFont="1" applyFill="1" applyBorder="1" applyAlignment="1">
      <alignment horizontal="right"/>
    </xf>
    <xf numFmtId="0" fontId="4" fillId="14" borderId="33" xfId="2" applyFont="1" applyFill="1" applyBorder="1" applyAlignment="1">
      <alignment horizontal="center" vertical="center" wrapText="1"/>
    </xf>
    <xf numFmtId="0" fontId="7" fillId="8" borderId="0" xfId="2" applyFont="1" applyFill="1" applyAlignment="1">
      <alignment horizontal="left"/>
    </xf>
    <xf numFmtId="0" fontId="20" fillId="8" borderId="0" xfId="2" applyFont="1" applyFill="1"/>
    <xf numFmtId="0" fontId="7" fillId="8" borderId="17" xfId="2" applyFont="1" applyFill="1" applyBorder="1"/>
    <xf numFmtId="170" fontId="7" fillId="0" borderId="2" xfId="3" applyNumberFormat="1" applyFont="1" applyBorder="1" applyAlignment="1">
      <alignment horizontal="right"/>
    </xf>
    <xf numFmtId="170" fontId="7" fillId="0" borderId="15" xfId="3" applyNumberFormat="1" applyFont="1" applyBorder="1" applyAlignment="1">
      <alignment horizontal="right"/>
    </xf>
    <xf numFmtId="0" fontId="11" fillId="8" borderId="2" xfId="2" applyFont="1" applyFill="1" applyBorder="1" applyAlignment="1">
      <alignment horizontal="left"/>
    </xf>
    <xf numFmtId="170" fontId="11" fillId="0" borderId="2" xfId="3" applyNumberFormat="1" applyFont="1" applyBorder="1" applyAlignment="1">
      <alignment horizontal="right"/>
    </xf>
    <xf numFmtId="170" fontId="11" fillId="0" borderId="15" xfId="3" applyNumberFormat="1" applyFont="1" applyBorder="1" applyAlignment="1">
      <alignment horizontal="right"/>
    </xf>
    <xf numFmtId="0" fontId="7" fillId="8" borderId="6" xfId="2" applyFont="1" applyFill="1" applyBorder="1"/>
    <xf numFmtId="0" fontId="7" fillId="14" borderId="2" xfId="2" applyFont="1" applyFill="1" applyBorder="1"/>
    <xf numFmtId="170" fontId="11" fillId="0" borderId="15" xfId="3" applyNumberFormat="1" applyFont="1" applyBorder="1"/>
    <xf numFmtId="170" fontId="11" fillId="0" borderId="2" xfId="3" applyNumberFormat="1" applyFont="1" applyBorder="1"/>
    <xf numFmtId="0" fontId="7" fillId="8" borderId="2" xfId="2" applyFont="1" applyFill="1" applyBorder="1"/>
    <xf numFmtId="0" fontId="7" fillId="8" borderId="36" xfId="2" applyFont="1" applyFill="1" applyBorder="1"/>
    <xf numFmtId="0" fontId="7" fillId="14" borderId="36" xfId="2" applyFont="1" applyFill="1" applyBorder="1"/>
    <xf numFmtId="0" fontId="4" fillId="12" borderId="4" xfId="2" applyFont="1" applyFill="1" applyBorder="1"/>
    <xf numFmtId="0" fontId="4" fillId="14" borderId="23" xfId="2" applyFont="1" applyFill="1" applyBorder="1" applyAlignment="1">
      <alignment horizontal="center" vertical="center" wrapText="1"/>
    </xf>
    <xf numFmtId="43" fontId="11" fillId="0" borderId="3" xfId="2" applyNumberFormat="1" applyFont="1" applyBorder="1"/>
    <xf numFmtId="43" fontId="11" fillId="0" borderId="27" xfId="2" applyNumberFormat="1" applyFont="1" applyBorder="1"/>
    <xf numFmtId="43" fontId="11" fillId="8" borderId="0" xfId="2" applyNumberFormat="1" applyFont="1" applyFill="1"/>
    <xf numFmtId="43" fontId="11" fillId="0" borderId="2" xfId="2" applyNumberFormat="1" applyFont="1" applyBorder="1"/>
    <xf numFmtId="43" fontId="11" fillId="0" borderId="15" xfId="2" applyNumberFormat="1" applyFont="1" applyBorder="1"/>
    <xf numFmtId="0" fontId="7" fillId="8" borderId="18" xfId="2" applyFont="1" applyFill="1" applyBorder="1"/>
    <xf numFmtId="43" fontId="7" fillId="0" borderId="2" xfId="2" applyNumberFormat="1" applyFont="1" applyBorder="1"/>
    <xf numFmtId="43" fontId="7" fillId="0" borderId="15" xfId="2" applyNumberFormat="1" applyFont="1" applyBorder="1"/>
    <xf numFmtId="0" fontId="7" fillId="8" borderId="37" xfId="2" applyFont="1" applyFill="1" applyBorder="1"/>
    <xf numFmtId="0" fontId="7" fillId="8" borderId="38" xfId="2" applyFont="1" applyFill="1" applyBorder="1"/>
    <xf numFmtId="0" fontId="7" fillId="8" borderId="39" xfId="2" applyFont="1" applyFill="1" applyBorder="1"/>
    <xf numFmtId="43" fontId="11" fillId="0" borderId="21" xfId="2" applyNumberFormat="1" applyFont="1" applyBorder="1"/>
    <xf numFmtId="43" fontId="11" fillId="0" borderId="12" xfId="2" applyNumberFormat="1" applyFont="1" applyBorder="1"/>
    <xf numFmtId="0" fontId="4" fillId="10" borderId="40" xfId="2" applyFont="1" applyFill="1" applyBorder="1"/>
    <xf numFmtId="0" fontId="4" fillId="14" borderId="44" xfId="2" applyFont="1" applyFill="1" applyBorder="1" applyAlignment="1">
      <alignment horizontal="center"/>
    </xf>
    <xf numFmtId="0" fontId="4" fillId="14" borderId="16" xfId="2" applyFont="1" applyFill="1" applyBorder="1" applyAlignment="1">
      <alignment horizontal="center" vertical="center" wrapText="1"/>
    </xf>
    <xf numFmtId="0" fontId="4" fillId="14" borderId="45" xfId="2" applyFont="1" applyFill="1" applyBorder="1" applyAlignment="1">
      <alignment horizontal="center" vertical="center" wrapText="1"/>
    </xf>
    <xf numFmtId="0" fontId="4" fillId="14" borderId="30" xfId="2" applyFont="1" applyFill="1" applyBorder="1" applyAlignment="1">
      <alignment horizontal="center" vertical="center" wrapText="1"/>
    </xf>
    <xf numFmtId="0" fontId="4" fillId="14" borderId="46" xfId="2" applyFont="1" applyFill="1" applyBorder="1" applyAlignment="1">
      <alignment horizontal="center" wrapText="1"/>
    </xf>
    <xf numFmtId="0" fontId="4" fillId="14" borderId="32" xfId="2" applyFont="1" applyFill="1" applyBorder="1" applyAlignment="1">
      <alignment horizontal="center" vertical="center" wrapText="1"/>
    </xf>
    <xf numFmtId="0" fontId="4" fillId="14" borderId="36" xfId="2" applyFont="1" applyFill="1" applyBorder="1" applyAlignment="1">
      <alignment horizontal="center" vertical="center" wrapText="1"/>
    </xf>
    <xf numFmtId="0" fontId="4" fillId="14" borderId="47" xfId="2" applyFont="1" applyFill="1" applyBorder="1" applyAlignment="1">
      <alignment horizontal="center" vertical="center" wrapText="1"/>
    </xf>
    <xf numFmtId="0" fontId="7" fillId="8" borderId="48" xfId="2" applyFont="1" applyFill="1" applyBorder="1"/>
    <xf numFmtId="165" fontId="11" fillId="0" borderId="9" xfId="3" applyNumberFormat="1" applyFont="1" applyBorder="1"/>
    <xf numFmtId="166" fontId="11" fillId="0" borderId="13" xfId="3" applyNumberFormat="1" applyFont="1" applyBorder="1"/>
    <xf numFmtId="166" fontId="11" fillId="0" borderId="42" xfId="3" applyNumberFormat="1" applyFont="1" applyBorder="1"/>
    <xf numFmtId="166" fontId="11" fillId="0" borderId="10" xfId="3" applyNumberFormat="1" applyFont="1" applyBorder="1"/>
    <xf numFmtId="0" fontId="7" fillId="8" borderId="49" xfId="2" applyFont="1" applyFill="1" applyBorder="1"/>
    <xf numFmtId="165" fontId="11" fillId="0" borderId="18" xfId="3" applyNumberFormat="1" applyFont="1" applyBorder="1"/>
    <xf numFmtId="166" fontId="11" fillId="0" borderId="2" xfId="3" applyNumberFormat="1" applyFont="1" applyBorder="1"/>
    <xf numFmtId="166" fontId="11" fillId="0" borderId="4" xfId="3" applyNumberFormat="1" applyFont="1" applyBorder="1"/>
    <xf numFmtId="166" fontId="11" fillId="0" borderId="15" xfId="3" applyNumberFormat="1" applyFont="1" applyBorder="1"/>
    <xf numFmtId="0" fontId="7" fillId="8" borderId="50" xfId="2" applyFont="1" applyFill="1" applyBorder="1"/>
    <xf numFmtId="165" fontId="11" fillId="0" borderId="11" xfId="3" applyNumberFormat="1" applyFont="1" applyBorder="1"/>
    <xf numFmtId="166" fontId="11" fillId="0" borderId="21" xfId="3" applyNumberFormat="1" applyFont="1" applyBorder="1"/>
    <xf numFmtId="166" fontId="11" fillId="0" borderId="1" xfId="3" applyNumberFormat="1" applyFont="1" applyBorder="1"/>
    <xf numFmtId="166" fontId="11" fillId="0" borderId="12" xfId="3" applyNumberFormat="1" applyFont="1" applyBorder="1"/>
    <xf numFmtId="169" fontId="7" fillId="8" borderId="0" xfId="2" applyNumberFormat="1" applyFont="1" applyFill="1"/>
    <xf numFmtId="0" fontId="21" fillId="8" borderId="0" xfId="2" applyFont="1" applyFill="1"/>
    <xf numFmtId="0" fontId="22" fillId="0" borderId="0" xfId="2" applyFont="1"/>
    <xf numFmtId="0" fontId="13" fillId="12" borderId="4" xfId="2" applyFont="1" applyFill="1" applyBorder="1"/>
    <xf numFmtId="0" fontId="13" fillId="16" borderId="4" xfId="2" applyFont="1" applyFill="1" applyBorder="1"/>
    <xf numFmtId="0" fontId="4" fillId="14" borderId="52" xfId="2" applyFont="1" applyFill="1" applyBorder="1" applyAlignment="1">
      <alignment horizontal="center" vertical="center" wrapText="1"/>
    </xf>
    <xf numFmtId="0" fontId="7" fillId="0" borderId="32" xfId="2" applyFont="1" applyBorder="1"/>
    <xf numFmtId="43" fontId="7" fillId="2" borderId="21" xfId="3" applyFont="1" applyFill="1" applyBorder="1" applyAlignment="1">
      <alignment vertical="center"/>
    </xf>
    <xf numFmtId="166" fontId="7" fillId="2" borderId="21" xfId="3" applyNumberFormat="1" applyFont="1" applyFill="1" applyBorder="1" applyAlignment="1">
      <alignment vertical="center"/>
    </xf>
    <xf numFmtId="166" fontId="7" fillId="2" borderId="12" xfId="3" applyNumberFormat="1" applyFont="1" applyFill="1" applyBorder="1" applyAlignment="1">
      <alignment vertical="center"/>
    </xf>
    <xf numFmtId="0" fontId="13" fillId="8" borderId="0" xfId="2" applyFont="1" applyFill="1" applyAlignment="1">
      <alignment horizontal="center"/>
    </xf>
    <xf numFmtId="0" fontId="7" fillId="8" borderId="9" xfId="2" applyFont="1" applyFill="1" applyBorder="1"/>
    <xf numFmtId="171" fontId="11" fillId="0" borderId="13" xfId="2" applyNumberFormat="1" applyFont="1" applyBorder="1"/>
    <xf numFmtId="171" fontId="23" fillId="0" borderId="13" xfId="2" applyNumberFormat="1" applyFont="1" applyBorder="1"/>
    <xf numFmtId="0" fontId="7" fillId="8" borderId="10" xfId="2" applyFont="1" applyFill="1" applyBorder="1"/>
    <xf numFmtId="0" fontId="7" fillId="8" borderId="26" xfId="2" applyFont="1" applyFill="1" applyBorder="1"/>
    <xf numFmtId="171" fontId="11" fillId="0" borderId="2" xfId="2" applyNumberFormat="1" applyFont="1" applyBorder="1"/>
    <xf numFmtId="0" fontId="7" fillId="8" borderId="27" xfId="2" applyFont="1" applyFill="1" applyBorder="1"/>
    <xf numFmtId="0" fontId="7" fillId="8" borderId="11" xfId="2" applyFont="1" applyFill="1" applyBorder="1"/>
    <xf numFmtId="171" fontId="11" fillId="0" borderId="21" xfId="2" applyNumberFormat="1" applyFont="1" applyBorder="1"/>
    <xf numFmtId="171" fontId="23" fillId="0" borderId="21" xfId="2" applyNumberFormat="1" applyFont="1" applyBorder="1"/>
    <xf numFmtId="0" fontId="7" fillId="8" borderId="12" xfId="2" applyFont="1" applyFill="1" applyBorder="1"/>
    <xf numFmtId="171" fontId="7" fillId="0" borderId="13" xfId="2" applyNumberFormat="1" applyFont="1" applyBorder="1"/>
    <xf numFmtId="172" fontId="7" fillId="0" borderId="13" xfId="2" applyNumberFormat="1" applyFont="1" applyBorder="1"/>
    <xf numFmtId="171" fontId="7" fillId="0" borderId="2" xfId="2" applyNumberFormat="1" applyFont="1" applyBorder="1"/>
    <xf numFmtId="172" fontId="7" fillId="0" borderId="2" xfId="2" applyNumberFormat="1" applyFont="1" applyBorder="1"/>
    <xf numFmtId="172" fontId="11" fillId="0" borderId="2" xfId="2" applyNumberFormat="1" applyFont="1" applyBorder="1"/>
    <xf numFmtId="0" fontId="7" fillId="8" borderId="15" xfId="2" applyFont="1" applyFill="1" applyBorder="1"/>
    <xf numFmtId="172" fontId="11" fillId="0" borderId="21" xfId="2" applyNumberFormat="1" applyFont="1" applyBorder="1"/>
    <xf numFmtId="0" fontId="13" fillId="12" borderId="5" xfId="2" applyFont="1" applyFill="1" applyBorder="1"/>
    <xf numFmtId="0" fontId="24" fillId="8" borderId="0" xfId="2" applyFont="1" applyFill="1" applyAlignment="1">
      <alignment vertical="center"/>
    </xf>
    <xf numFmtId="0" fontId="7" fillId="0" borderId="0" xfId="2" applyFont="1" applyAlignment="1">
      <alignment horizontal="center"/>
    </xf>
    <xf numFmtId="2" fontId="7" fillId="8" borderId="0" xfId="2" applyNumberFormat="1" applyFont="1" applyFill="1" applyAlignment="1">
      <alignment vertical="center"/>
    </xf>
    <xf numFmtId="2" fontId="4" fillId="18" borderId="23" xfId="2" applyNumberFormat="1" applyFont="1" applyFill="1" applyBorder="1" applyAlignment="1">
      <alignment horizontal="center" vertical="center" wrapText="1"/>
    </xf>
    <xf numFmtId="2" fontId="4" fillId="18" borderId="24" xfId="2" applyNumberFormat="1" applyFont="1" applyFill="1" applyBorder="1" applyAlignment="1">
      <alignment horizontal="center" vertical="center" wrapText="1"/>
    </xf>
    <xf numFmtId="2" fontId="4" fillId="18" borderId="25" xfId="2" applyNumberFormat="1" applyFont="1" applyFill="1" applyBorder="1" applyAlignment="1">
      <alignment horizontal="center" vertical="center" wrapText="1"/>
    </xf>
    <xf numFmtId="43" fontId="7" fillId="0" borderId="0" xfId="2" applyNumberFormat="1" applyFont="1"/>
    <xf numFmtId="173" fontId="7" fillId="0" borderId="9" xfId="2" applyNumberFormat="1" applyFont="1" applyBorder="1"/>
    <xf numFmtId="43" fontId="7" fillId="0" borderId="13" xfId="3" applyFont="1" applyBorder="1" applyAlignment="1">
      <alignment horizontal="right"/>
    </xf>
    <xf numFmtId="0" fontId="7" fillId="0" borderId="13" xfId="2" applyFont="1" applyBorder="1" applyAlignment="1">
      <alignment horizontal="right"/>
    </xf>
    <xf numFmtId="0" fontId="7" fillId="0" borderId="10" xfId="2" applyFont="1" applyBorder="1" applyAlignment="1">
      <alignment horizontal="right"/>
    </xf>
    <xf numFmtId="43" fontId="11" fillId="0" borderId="0" xfId="2" applyNumberFormat="1" applyFont="1"/>
    <xf numFmtId="173" fontId="7" fillId="0" borderId="18" xfId="2" applyNumberFormat="1" applyFont="1" applyBorder="1"/>
    <xf numFmtId="43" fontId="7" fillId="0" borderId="2" xfId="3" applyFont="1" applyBorder="1" applyAlignment="1">
      <alignment horizontal="right"/>
    </xf>
    <xf numFmtId="0" fontId="7" fillId="0" borderId="2" xfId="2" applyFont="1" applyBorder="1" applyAlignment="1">
      <alignment horizontal="right"/>
    </xf>
    <xf numFmtId="0" fontId="7" fillId="0" borderId="15" xfId="2" applyFont="1" applyBorder="1" applyAlignment="1">
      <alignment horizontal="right"/>
    </xf>
    <xf numFmtId="2" fontId="7" fillId="0" borderId="2" xfId="2" applyNumberFormat="1" applyFont="1" applyBorder="1" applyAlignment="1">
      <alignment horizontal="right"/>
    </xf>
    <xf numFmtId="2" fontId="7" fillId="0" borderId="15" xfId="2" applyNumberFormat="1" applyFont="1" applyBorder="1" applyAlignment="1">
      <alignment horizontal="right"/>
    </xf>
    <xf numFmtId="166" fontId="7" fillId="0" borderId="2" xfId="3" applyNumberFormat="1" applyFont="1" applyBorder="1" applyAlignment="1">
      <alignment horizontal="right"/>
    </xf>
    <xf numFmtId="173" fontId="7" fillId="0" borderId="11" xfId="2" applyNumberFormat="1" applyFont="1" applyBorder="1"/>
    <xf numFmtId="43" fontId="7" fillId="0" borderId="21" xfId="3" applyFont="1" applyBorder="1" applyAlignment="1">
      <alignment horizontal="right"/>
    </xf>
    <xf numFmtId="0" fontId="7" fillId="0" borderId="21" xfId="2" applyFont="1" applyBorder="1" applyAlignment="1">
      <alignment horizontal="right"/>
    </xf>
    <xf numFmtId="0" fontId="7" fillId="0" borderId="12" xfId="2" applyFont="1" applyBorder="1" applyAlignment="1">
      <alignment horizontal="right"/>
    </xf>
    <xf numFmtId="0" fontId="13" fillId="8" borderId="0" xfId="2" applyFont="1" applyFill="1" applyAlignment="1">
      <alignment horizontal="center" vertical="center"/>
    </xf>
    <xf numFmtId="0" fontId="7" fillId="0" borderId="9" xfId="2" applyFont="1" applyBorder="1"/>
    <xf numFmtId="0" fontId="7" fillId="0" borderId="10" xfId="2" applyFont="1" applyBorder="1"/>
    <xf numFmtId="0" fontId="7" fillId="0" borderId="15" xfId="2" applyFont="1" applyBorder="1"/>
    <xf numFmtId="166" fontId="7" fillId="0" borderId="21" xfId="3" applyNumberFormat="1" applyFont="1" applyBorder="1"/>
    <xf numFmtId="0" fontId="7" fillId="0" borderId="12" xfId="2" applyFont="1" applyBorder="1"/>
    <xf numFmtId="0" fontId="23" fillId="0" borderId="26" xfId="2" applyFont="1" applyBorder="1"/>
    <xf numFmtId="166" fontId="7" fillId="0" borderId="34" xfId="3" applyNumberFormat="1" applyFont="1" applyBorder="1"/>
    <xf numFmtId="170" fontId="7" fillId="0" borderId="34" xfId="3" applyNumberFormat="1" applyFont="1" applyBorder="1"/>
    <xf numFmtId="0" fontId="7" fillId="0" borderId="27" xfId="2" applyFont="1" applyBorder="1"/>
    <xf numFmtId="172" fontId="7" fillId="8" borderId="0" xfId="2" applyNumberFormat="1" applyFont="1" applyFill="1"/>
    <xf numFmtId="0" fontId="23" fillId="0" borderId="35" xfId="2" applyFont="1" applyBorder="1"/>
    <xf numFmtId="0" fontId="23" fillId="0" borderId="56" xfId="2" applyFont="1" applyBorder="1"/>
    <xf numFmtId="166" fontId="11" fillId="0" borderId="29" xfId="3" applyNumberFormat="1" applyFont="1" applyBorder="1"/>
    <xf numFmtId="170" fontId="11" fillId="0" borderId="29" xfId="3" applyNumberFormat="1" applyFont="1" applyBorder="1"/>
    <xf numFmtId="0" fontId="7" fillId="0" borderId="56" xfId="2" applyFont="1" applyBorder="1"/>
    <xf numFmtId="170" fontId="11" fillId="0" borderId="6" xfId="3" applyNumberFormat="1" applyFont="1" applyBorder="1"/>
    <xf numFmtId="166" fontId="11" fillId="0" borderId="3" xfId="3" applyNumberFormat="1" applyFont="1" applyBorder="1"/>
    <xf numFmtId="0" fontId="7" fillId="0" borderId="18" xfId="2" applyFont="1" applyBorder="1" applyAlignment="1">
      <alignment wrapText="1"/>
    </xf>
    <xf numFmtId="170" fontId="7" fillId="0" borderId="36" xfId="3" applyNumberFormat="1" applyFont="1" applyBorder="1"/>
    <xf numFmtId="170" fontId="11" fillId="0" borderId="21" xfId="3" applyNumberFormat="1" applyFont="1" applyBorder="1"/>
    <xf numFmtId="0" fontId="4" fillId="14" borderId="28" xfId="2" applyFont="1" applyFill="1" applyBorder="1" applyAlignment="1">
      <alignment horizontal="center" vertical="top" wrapText="1"/>
    </xf>
    <xf numFmtId="0" fontId="4" fillId="14" borderId="8" xfId="2" applyFont="1" applyFill="1" applyBorder="1" applyAlignment="1">
      <alignment horizontal="center" vertical="top" wrapText="1"/>
    </xf>
    <xf numFmtId="3" fontId="7" fillId="8" borderId="0" xfId="2" applyNumberFormat="1" applyFont="1" applyFill="1"/>
    <xf numFmtId="0" fontId="7" fillId="8" borderId="41" xfId="2" applyFont="1" applyFill="1" applyBorder="1"/>
    <xf numFmtId="164" fontId="7" fillId="8" borderId="10" xfId="3" applyNumberFormat="1" applyFont="1" applyFill="1" applyBorder="1"/>
    <xf numFmtId="0" fontId="7" fillId="8" borderId="56" xfId="2" applyFont="1" applyFill="1" applyBorder="1"/>
    <xf numFmtId="164" fontId="7" fillId="8" borderId="15" xfId="3" applyNumberFormat="1" applyFont="1" applyFill="1" applyBorder="1"/>
    <xf numFmtId="164" fontId="7" fillId="2" borderId="15" xfId="3" applyNumberFormat="1" applyFont="1" applyFill="1" applyBorder="1"/>
    <xf numFmtId="164" fontId="7" fillId="8" borderId="12" xfId="3" applyNumberFormat="1" applyFont="1" applyFill="1" applyBorder="1" applyAlignment="1">
      <alignment horizontal="right"/>
    </xf>
    <xf numFmtId="0" fontId="4" fillId="8" borderId="0" xfId="2" applyFont="1" applyFill="1" applyAlignment="1">
      <alignment horizontal="left"/>
    </xf>
    <xf numFmtId="0" fontId="4" fillId="14" borderId="7" xfId="2" applyFont="1" applyFill="1" applyBorder="1" applyAlignment="1">
      <alignment horizontal="center" vertical="top" wrapText="1"/>
    </xf>
    <xf numFmtId="0" fontId="4" fillId="14" borderId="57" xfId="2" applyFont="1" applyFill="1" applyBorder="1" applyAlignment="1">
      <alignment horizontal="center" vertical="top" wrapText="1"/>
    </xf>
    <xf numFmtId="174" fontId="7" fillId="8" borderId="58" xfId="3" applyNumberFormat="1" applyFont="1" applyFill="1" applyBorder="1"/>
    <xf numFmtId="165" fontId="7" fillId="8" borderId="0" xfId="2" applyNumberFormat="1" applyFont="1" applyFill="1"/>
    <xf numFmtId="174" fontId="7" fillId="8" borderId="6" xfId="3" applyNumberFormat="1" applyFont="1" applyFill="1" applyBorder="1"/>
    <xf numFmtId="174" fontId="7" fillId="2" borderId="6" xfId="3" applyNumberFormat="1" applyFont="1" applyFill="1" applyBorder="1"/>
    <xf numFmtId="0" fontId="7" fillId="8" borderId="18" xfId="2" applyFont="1" applyFill="1" applyBorder="1" applyAlignment="1">
      <alignment horizontal="left"/>
    </xf>
    <xf numFmtId="174" fontId="7" fillId="8" borderId="39" xfId="3" applyNumberFormat="1" applyFont="1" applyFill="1" applyBorder="1"/>
    <xf numFmtId="3" fontId="0" fillId="0" borderId="0" xfId="0" applyNumberFormat="1"/>
    <xf numFmtId="9" fontId="0" fillId="0" borderId="0" xfId="0" applyNumberFormat="1"/>
    <xf numFmtId="43" fontId="0" fillId="0" borderId="0" xfId="1" applyFont="1"/>
    <xf numFmtId="43" fontId="4" fillId="7" borderId="4" xfId="1" applyFont="1" applyFill="1" applyBorder="1"/>
    <xf numFmtId="0" fontId="10" fillId="2" borderId="0" xfId="2" applyFont="1" applyFill="1" applyAlignment="1">
      <alignment horizontal="left" vertical="top" wrapText="1"/>
    </xf>
    <xf numFmtId="0" fontId="7" fillId="0" borderId="0" xfId="2" applyFont="1"/>
    <xf numFmtId="0" fontId="7" fillId="0" borderId="0" xfId="2" applyFont="1" applyAlignment="1">
      <alignment vertical="center"/>
    </xf>
    <xf numFmtId="0" fontId="6" fillId="0" borderId="0" xfId="2"/>
    <xf numFmtId="0" fontId="7" fillId="8" borderId="0" xfId="2" applyFont="1" applyFill="1" applyAlignment="1">
      <alignment horizontal="left" wrapText="1"/>
    </xf>
    <xf numFmtId="0" fontId="4" fillId="14" borderId="25" xfId="2" applyFont="1" applyFill="1" applyBorder="1" applyAlignment="1">
      <alignment horizontal="center" vertical="top" wrapText="1"/>
    </xf>
    <xf numFmtId="0" fontId="0" fillId="0" borderId="54" xfId="0" applyBorder="1"/>
    <xf numFmtId="0" fontId="0" fillId="0" borderId="55" xfId="0" applyBorder="1"/>
    <xf numFmtId="0" fontId="7" fillId="8" borderId="11" xfId="2" applyFont="1" applyFill="1" applyBorder="1" applyAlignment="1">
      <alignment horizontal="left" vertical="center"/>
    </xf>
    <xf numFmtId="0" fontId="0" fillId="0" borderId="19" xfId="0" applyBorder="1"/>
    <xf numFmtId="0" fontId="0" fillId="0" borderId="32" xfId="0" applyBorder="1"/>
    <xf numFmtId="0" fontId="7" fillId="8" borderId="15" xfId="2" applyFont="1" applyFill="1" applyBorder="1" applyAlignment="1">
      <alignment horizontal="left"/>
    </xf>
    <xf numFmtId="0" fontId="0" fillId="0" borderId="61" xfId="0" applyBorder="1"/>
    <xf numFmtId="0" fontId="0" fillId="0" borderId="59" xfId="0" applyBorder="1"/>
    <xf numFmtId="0" fontId="7" fillId="8" borderId="18" xfId="2" applyFont="1" applyFill="1" applyBorder="1" applyAlignment="1">
      <alignment horizontal="left" vertical="center"/>
    </xf>
    <xf numFmtId="0" fontId="0" fillId="0" borderId="26" xfId="0" applyBorder="1"/>
    <xf numFmtId="0" fontId="10" fillId="2" borderId="0" xfId="2" applyFont="1" applyFill="1" applyAlignment="1">
      <alignment horizontal="left" vertical="top" wrapText="1"/>
    </xf>
    <xf numFmtId="0" fontId="7" fillId="0" borderId="0" xfId="2" applyFont="1"/>
    <xf numFmtId="0" fontId="10" fillId="8" borderId="0" xfId="2" applyFont="1" applyFill="1" applyAlignment="1">
      <alignment horizontal="left" wrapText="1"/>
    </xf>
    <xf numFmtId="0" fontId="13" fillId="16" borderId="5" xfId="2" applyFont="1" applyFill="1" applyBorder="1" applyAlignment="1">
      <alignment horizontal="left" wrapText="1"/>
    </xf>
    <xf numFmtId="0" fontId="7" fillId="8" borderId="69" xfId="2" applyFont="1" applyFill="1" applyBorder="1" applyAlignment="1">
      <alignment horizontal="left" vertical="center"/>
    </xf>
    <xf numFmtId="0" fontId="0" fillId="0" borderId="70" xfId="0" applyBorder="1"/>
    <xf numFmtId="0" fontId="0" fillId="0" borderId="35" xfId="0" applyBorder="1"/>
    <xf numFmtId="0" fontId="10" fillId="0" borderId="0" xfId="2" applyFont="1" applyAlignment="1">
      <alignment horizontal="left" vertical="top" wrapText="1"/>
    </xf>
    <xf numFmtId="0" fontId="7" fillId="8" borderId="12" xfId="2" applyFont="1" applyFill="1" applyBorder="1" applyAlignment="1">
      <alignment horizontal="left"/>
    </xf>
    <xf numFmtId="0" fontId="0" fillId="0" borderId="62" xfId="0" applyBorder="1"/>
    <xf numFmtId="0" fontId="0" fillId="0" borderId="60" xfId="0" applyBorder="1"/>
    <xf numFmtId="0" fontId="25" fillId="8" borderId="0" xfId="2" applyFont="1" applyFill="1" applyAlignment="1">
      <alignment horizontal="left" wrapText="1"/>
    </xf>
    <xf numFmtId="0" fontId="13" fillId="17" borderId="64" xfId="2" applyFont="1" applyFill="1" applyBorder="1" applyAlignment="1">
      <alignment horizontal="center"/>
    </xf>
    <xf numFmtId="0" fontId="0" fillId="0" borderId="6" xfId="0" applyBorder="1"/>
    <xf numFmtId="0" fontId="7" fillId="8" borderId="66" xfId="2" applyFont="1" applyFill="1" applyBorder="1" applyAlignment="1">
      <alignment horizontal="left" vertical="center"/>
    </xf>
    <xf numFmtId="0" fontId="0" fillId="0" borderId="67" xfId="0" applyBorder="1"/>
    <xf numFmtId="0" fontId="0" fillId="0" borderId="68" xfId="0" applyBorder="1"/>
    <xf numFmtId="0" fontId="7" fillId="8" borderId="9" xfId="2" applyFont="1" applyFill="1" applyBorder="1" applyAlignment="1">
      <alignment horizontal="left" vertical="center"/>
    </xf>
    <xf numFmtId="0" fontId="7" fillId="0" borderId="53" xfId="2" applyFont="1" applyBorder="1" applyAlignment="1">
      <alignment horizontal="left" wrapText="1"/>
    </xf>
    <xf numFmtId="0" fontId="0" fillId="0" borderId="53" xfId="0" applyBorder="1"/>
    <xf numFmtId="0" fontId="10" fillId="8" borderId="0" xfId="2" applyFont="1" applyFill="1" applyAlignment="1">
      <alignment horizontal="left" vertical="top" wrapText="1"/>
    </xf>
    <xf numFmtId="0" fontId="7" fillId="8" borderId="10" xfId="2" applyFont="1" applyFill="1" applyBorder="1" applyAlignment="1">
      <alignment horizontal="left"/>
    </xf>
    <xf numFmtId="0" fontId="0" fillId="0" borderId="42" xfId="0" applyBorder="1"/>
    <xf numFmtId="0" fontId="0" fillId="0" borderId="43" xfId="0" applyBorder="1"/>
    <xf numFmtId="2" fontId="4" fillId="18" borderId="63" xfId="2" applyNumberFormat="1" applyFont="1" applyFill="1" applyBorder="1" applyAlignment="1">
      <alignment horizontal="center" vertical="center"/>
    </xf>
    <xf numFmtId="0" fontId="7" fillId="8" borderId="0" xfId="2" applyFont="1" applyFill="1" applyAlignment="1">
      <alignment horizontal="left" vertical="center" wrapText="1"/>
    </xf>
    <xf numFmtId="0" fontId="7" fillId="0" borderId="0" xfId="2" applyFont="1" applyAlignment="1">
      <alignment vertical="center"/>
    </xf>
    <xf numFmtId="0" fontId="7" fillId="8" borderId="71" xfId="2" applyFont="1" applyFill="1" applyBorder="1" applyAlignment="1">
      <alignment horizontal="left" vertical="center"/>
    </xf>
    <xf numFmtId="0" fontId="10" fillId="0" borderId="0" xfId="2" applyFont="1" applyAlignment="1">
      <alignment horizontal="left" vertical="center" wrapText="1"/>
    </xf>
    <xf numFmtId="0" fontId="7" fillId="2" borderId="15" xfId="2" applyFont="1" applyFill="1" applyBorder="1" applyAlignment="1">
      <alignment horizontal="left"/>
    </xf>
    <xf numFmtId="0" fontId="4" fillId="10" borderId="48" xfId="2" applyFont="1" applyFill="1" applyBorder="1" applyAlignment="1">
      <alignment horizontal="center"/>
    </xf>
    <xf numFmtId="0" fontId="10" fillId="0" borderId="0" xfId="2" applyFont="1" applyAlignment="1">
      <alignment horizontal="left" wrapText="1"/>
    </xf>
    <xf numFmtId="0" fontId="8" fillId="9" borderId="64" xfId="2" applyFont="1" applyFill="1" applyBorder="1" applyAlignment="1">
      <alignment horizontal="center" vertical="center"/>
    </xf>
    <xf numFmtId="0" fontId="7" fillId="8" borderId="23" xfId="2" applyFont="1" applyFill="1" applyBorder="1" applyAlignment="1">
      <alignment horizontal="left" vertical="center"/>
    </xf>
    <xf numFmtId="0" fontId="12" fillId="0" borderId="0" xfId="2" applyFont="1" applyAlignment="1">
      <alignment horizontal="left" vertical="top" wrapText="1"/>
    </xf>
    <xf numFmtId="0" fontId="6" fillId="0" borderId="0" xfId="2"/>
    <xf numFmtId="0" fontId="7" fillId="8" borderId="41" xfId="2" applyFont="1" applyFill="1" applyBorder="1" applyAlignment="1">
      <alignment horizontal="left" vertical="center"/>
    </xf>
    <xf numFmtId="0" fontId="0" fillId="0" borderId="14" xfId="0" applyBorder="1"/>
    <xf numFmtId="0" fontId="0" fillId="0" borderId="65" xfId="0" applyBorder="1"/>
    <xf numFmtId="0" fontId="7" fillId="8" borderId="53" xfId="2" applyFont="1" applyFill="1" applyBorder="1" applyAlignment="1">
      <alignment horizontal="left" vertical="center" wrapText="1"/>
    </xf>
    <xf numFmtId="0" fontId="7" fillId="8" borderId="0" xfId="2" applyFont="1" applyFill="1" applyAlignment="1">
      <alignment horizontal="left" wrapText="1"/>
    </xf>
    <xf numFmtId="0" fontId="10" fillId="0" borderId="51" xfId="2" applyFont="1" applyBorder="1" applyAlignment="1">
      <alignment horizontal="left" vertical="top" wrapText="1"/>
    </xf>
    <xf numFmtId="0" fontId="0" fillId="0" borderId="51" xfId="0" applyBorder="1"/>
    <xf numFmtId="0" fontId="7" fillId="0" borderId="53" xfId="2" applyFont="1" applyBorder="1" applyAlignment="1">
      <alignment horizontal="left" vertical="center" wrapText="1"/>
    </xf>
  </cellXfs>
  <cellStyles count="95">
    <cellStyle name="60% - Accent1 2" xfId="21" xr:uid="{00000000-0005-0000-0000-000015000000}"/>
    <cellStyle name="60% - Accent1 2 2" xfId="66" xr:uid="{00000000-0005-0000-0000-000042000000}"/>
    <cellStyle name="60% - Accent2 2" xfId="22" xr:uid="{00000000-0005-0000-0000-000016000000}"/>
    <cellStyle name="60% - Accent2 2 2" xfId="67" xr:uid="{00000000-0005-0000-0000-000043000000}"/>
    <cellStyle name="60% - Accent3 2" xfId="23" xr:uid="{00000000-0005-0000-0000-000017000000}"/>
    <cellStyle name="60% - Accent3 2 2" xfId="68" xr:uid="{00000000-0005-0000-0000-000044000000}"/>
    <cellStyle name="60% - Accent4 2" xfId="24" xr:uid="{00000000-0005-0000-0000-000018000000}"/>
    <cellStyle name="60% - Accent4 2 2" xfId="69" xr:uid="{00000000-0005-0000-0000-000045000000}"/>
    <cellStyle name="60% - Accent5 2" xfId="25" xr:uid="{00000000-0005-0000-0000-000019000000}"/>
    <cellStyle name="60% - Accent5 2 2" xfId="70" xr:uid="{00000000-0005-0000-0000-000046000000}"/>
    <cellStyle name="60% - Accent6 2" xfId="26" xr:uid="{00000000-0005-0000-0000-00001A000000}"/>
    <cellStyle name="60% - Accent6 2 2" xfId="71" xr:uid="{00000000-0005-0000-0000-000047000000}"/>
    <cellStyle name="Body: normal cell" xfId="18" xr:uid="{00000000-0005-0000-0000-000012000000}"/>
    <cellStyle name="Body: normal cell 2" xfId="52" xr:uid="{00000000-0005-0000-0000-000034000000}"/>
    <cellStyle name="Body: normal cell 2 2" xfId="90" xr:uid="{00000000-0005-0000-0000-00005A000000}"/>
    <cellStyle name="Body: normal cell 3" xfId="63" xr:uid="{00000000-0005-0000-0000-00003F000000}"/>
    <cellStyle name="Comma" xfId="1" builtinId="3"/>
    <cellStyle name="Comma 10" xfId="14" xr:uid="{00000000-0005-0000-0000-00000E000000}"/>
    <cellStyle name="Comma 10 2" xfId="92" xr:uid="{00000000-0005-0000-0000-00005C000000}"/>
    <cellStyle name="Comma 2" xfId="9" xr:uid="{00000000-0005-0000-0000-000009000000}"/>
    <cellStyle name="Comma 2 2" xfId="10" xr:uid="{00000000-0005-0000-0000-00000A000000}"/>
    <cellStyle name="Comma 2 3" xfId="37" xr:uid="{00000000-0005-0000-0000-000025000000}"/>
    <cellStyle name="Comma 2 4" xfId="80" xr:uid="{00000000-0005-0000-0000-000050000000}"/>
    <cellStyle name="Comma 3" xfId="3" xr:uid="{00000000-0005-0000-0000-000003000000}"/>
    <cellStyle name="Comma 3 2" xfId="81" xr:uid="{00000000-0005-0000-0000-000051000000}"/>
    <cellStyle name="Comma 4" xfId="44" xr:uid="{00000000-0005-0000-0000-00002C000000}"/>
    <cellStyle name="Comma 4 2" xfId="84" xr:uid="{00000000-0005-0000-0000-000054000000}"/>
    <cellStyle name="Comma 5" xfId="56" xr:uid="{00000000-0005-0000-0000-000038000000}"/>
    <cellStyle name="Comma 56" xfId="59" xr:uid="{00000000-0005-0000-0000-00003B000000}"/>
    <cellStyle name="Comma 6" xfId="47" xr:uid="{00000000-0005-0000-0000-00002F000000}"/>
    <cellStyle name="Followed Hyperlink 2" xfId="27" xr:uid="{00000000-0005-0000-0000-00001B000000}"/>
    <cellStyle name="Followed Hyperlink 2 2" xfId="72" xr:uid="{00000000-0005-0000-0000-000048000000}"/>
    <cellStyle name="Font: Calibri, 9pt regular" xfId="28" xr:uid="{00000000-0005-0000-0000-00001C000000}"/>
    <cellStyle name="Font: Calibri, 9pt regular 2" xfId="49" xr:uid="{00000000-0005-0000-0000-000031000000}"/>
    <cellStyle name="Font: Calibri, 9pt regular 2 2" xfId="87" xr:uid="{00000000-0005-0000-0000-000057000000}"/>
    <cellStyle name="Font: Calibri, 9pt regular 3" xfId="73" xr:uid="{00000000-0005-0000-0000-000049000000}"/>
    <cellStyle name="Footnotes: all except top row" xfId="29" xr:uid="{00000000-0005-0000-0000-00001D000000}"/>
    <cellStyle name="Footnotes: all except top row 2" xfId="74" xr:uid="{00000000-0005-0000-0000-00004A000000}"/>
    <cellStyle name="Footnotes: top row" xfId="20" xr:uid="{00000000-0005-0000-0000-000014000000}"/>
    <cellStyle name="Footnotes: top row 2" xfId="65" xr:uid="{00000000-0005-0000-0000-000041000000}"/>
    <cellStyle name="Header: bottom row" xfId="17" xr:uid="{00000000-0005-0000-0000-000011000000}"/>
    <cellStyle name="Header: bottom row 2" xfId="50" xr:uid="{00000000-0005-0000-0000-000032000000}"/>
    <cellStyle name="Header: bottom row 2 2" xfId="88" xr:uid="{00000000-0005-0000-0000-000058000000}"/>
    <cellStyle name="Header: bottom row 3" xfId="62" xr:uid="{00000000-0005-0000-0000-00003E000000}"/>
    <cellStyle name="Header: top rows" xfId="16" xr:uid="{00000000-0005-0000-0000-000010000000}"/>
    <cellStyle name="Header: top rows 2" xfId="61" xr:uid="{00000000-0005-0000-0000-00003D000000}"/>
    <cellStyle name="Hyperlink 2" xfId="30" xr:uid="{00000000-0005-0000-0000-00001E000000}"/>
    <cellStyle name="Hyperlink 2 2" xfId="75" xr:uid="{00000000-0005-0000-0000-00004B000000}"/>
    <cellStyle name="Hyperlink 3" xfId="4" xr:uid="{00000000-0005-0000-0000-000004000000}"/>
    <cellStyle name="Hyperlink 3 2" xfId="82" xr:uid="{00000000-0005-0000-0000-000052000000}"/>
    <cellStyle name="Neutral 2" xfId="31" xr:uid="{00000000-0005-0000-0000-00001F000000}"/>
    <cellStyle name="Neutral 2 2" xfId="76" xr:uid="{00000000-0005-0000-0000-00004C000000}"/>
    <cellStyle name="Normal" xfId="0" builtinId="0"/>
    <cellStyle name="Normal 10" xfId="6" xr:uid="{00000000-0005-0000-0000-000006000000}"/>
    <cellStyle name="Normal 10 2" xfId="7" xr:uid="{00000000-0005-0000-0000-000007000000}"/>
    <cellStyle name="Normal 10 2 2 3" xfId="12" xr:uid="{00000000-0005-0000-0000-00000C000000}"/>
    <cellStyle name="Normal 10 3" xfId="40" xr:uid="{00000000-0005-0000-0000-000028000000}"/>
    <cellStyle name="Normal 128" xfId="2" xr:uid="{00000000-0005-0000-0000-000002000000}"/>
    <cellStyle name="Normal 153" xfId="39" xr:uid="{00000000-0005-0000-0000-000027000000}"/>
    <cellStyle name="Normal 2" xfId="32" xr:uid="{00000000-0005-0000-0000-000020000000}"/>
    <cellStyle name="Normal 2 2 2 3" xfId="42" xr:uid="{00000000-0005-0000-0000-00002A000000}"/>
    <cellStyle name="Normal 2 2 3" xfId="94" xr:uid="{00000000-0005-0000-0000-00005E000000}"/>
    <cellStyle name="Normal 2 3" xfId="93" xr:uid="{00000000-0005-0000-0000-00005D000000}"/>
    <cellStyle name="Normal 3" xfId="36" xr:uid="{00000000-0005-0000-0000-000024000000}"/>
    <cellStyle name="Normal 3 2" xfId="41" xr:uid="{00000000-0005-0000-0000-000029000000}"/>
    <cellStyle name="Normal 4" xfId="8" xr:uid="{00000000-0005-0000-0000-000008000000}"/>
    <cellStyle name="Normal 4 2" xfId="46" xr:uid="{00000000-0005-0000-0000-00002E000000}"/>
    <cellStyle name="Normal 4 3" xfId="38" xr:uid="{00000000-0005-0000-0000-000026000000}"/>
    <cellStyle name="Normal 5" xfId="53" xr:uid="{00000000-0005-0000-0000-000035000000}"/>
    <cellStyle name="Normal 6" xfId="54" xr:uid="{00000000-0005-0000-0000-000036000000}"/>
    <cellStyle name="Normal 8" xfId="43" xr:uid="{00000000-0005-0000-0000-00002B000000}"/>
    <cellStyle name="Normal 85" xfId="58" xr:uid="{00000000-0005-0000-0000-00003A000000}"/>
    <cellStyle name="Normal 9" xfId="55" xr:uid="{00000000-0005-0000-0000-000037000000}"/>
    <cellStyle name="Parent row" xfId="19" xr:uid="{00000000-0005-0000-0000-000013000000}"/>
    <cellStyle name="Parent row 2" xfId="51" xr:uid="{00000000-0005-0000-0000-000033000000}"/>
    <cellStyle name="Parent row 2 2" xfId="89" xr:uid="{00000000-0005-0000-0000-000059000000}"/>
    <cellStyle name="Parent row 3" xfId="64" xr:uid="{00000000-0005-0000-0000-000040000000}"/>
    <cellStyle name="Percent 10" xfId="13" xr:uid="{00000000-0005-0000-0000-00000D000000}"/>
    <cellStyle name="Percent 10 2" xfId="91" xr:uid="{00000000-0005-0000-0000-00005B000000}"/>
    <cellStyle name="Percent 2" xfId="5" xr:uid="{00000000-0005-0000-0000-000005000000}"/>
    <cellStyle name="Percent 2 2" xfId="83" xr:uid="{00000000-0005-0000-0000-000053000000}"/>
    <cellStyle name="Percent 3" xfId="45" xr:uid="{00000000-0005-0000-0000-00002D000000}"/>
    <cellStyle name="Percent 3 2" xfId="85" xr:uid="{00000000-0005-0000-0000-000055000000}"/>
    <cellStyle name="Percent 4" xfId="57" xr:uid="{00000000-0005-0000-0000-000039000000}"/>
    <cellStyle name="Percent 5" xfId="11" xr:uid="{00000000-0005-0000-0000-00000B000000}"/>
    <cellStyle name="Section Break" xfId="33" xr:uid="{00000000-0005-0000-0000-000021000000}"/>
    <cellStyle name="Section Break 2" xfId="77" xr:uid="{00000000-0005-0000-0000-00004D000000}"/>
    <cellStyle name="Section Break: parent row" xfId="34" xr:uid="{00000000-0005-0000-0000-000022000000}"/>
    <cellStyle name="Section Break: parent row 2" xfId="78" xr:uid="{00000000-0005-0000-0000-00004E000000}"/>
    <cellStyle name="Table title" xfId="15" xr:uid="{00000000-0005-0000-0000-00000F000000}"/>
    <cellStyle name="Table title 2" xfId="48" xr:uid="{00000000-0005-0000-0000-000030000000}"/>
    <cellStyle name="Table title 2 2" xfId="86" xr:uid="{00000000-0005-0000-0000-000056000000}"/>
    <cellStyle name="Table title 3" xfId="60" xr:uid="{00000000-0005-0000-0000-00003C000000}"/>
    <cellStyle name="Title 2" xfId="35" xr:uid="{00000000-0005-0000-0000-000023000000}"/>
    <cellStyle name="Title 2 2" xfId="79" xr:uid="{00000000-0005-0000-0000-00004F000000}"/>
  </cellStyles>
  <dxfs count="2">
    <dxf>
      <border>
        <left/>
        <right/>
        <top/>
        <bottom style="thick">
          <color theme="4"/>
        </bottom>
        <vertical/>
        <horizontal/>
      </border>
    </dxf>
    <dxf>
      <border>
        <left/>
        <right/>
        <top/>
        <bottom/>
        <vertical/>
        <horizontal style="dotted">
          <color theme="0" tint="-0.24994659260841701"/>
        </horizontal>
      </border>
    </dxf>
  </dxfs>
  <tableStyles count="1" defaultTableStyle="TableStyleMedium2" defaultPivotStyle="PivotStyleLight16">
    <tableStyle name="Table Style 1" pivot="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1436157</xdr:colOff>
      <xdr:row>0</xdr:row>
      <xdr:rowOff>22225</xdr:rowOff>
    </xdr:from>
    <xdr:to>
      <xdr:col>7</xdr:col>
      <xdr:colOff>45092</xdr:colOff>
      <xdr:row>0</xdr:row>
      <xdr:rowOff>931598</xdr:rowOff>
    </xdr:to>
    <xdr:pic>
      <xdr:nvPicPr>
        <xdr:cNvPr id="2" name="Picture 1">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stretch>
          <a:fillRect/>
        </a:stretch>
      </xdr:blipFill>
      <xdr:spPr>
        <a:xfrm>
          <a:off x="4712757" y="22225"/>
          <a:ext cx="3508595" cy="909373"/>
        </a:xfrm>
        <a:prstGeom prst="rect">
          <a:avLst/>
        </a:prstGeom>
        <a:ln w="3175">
          <a:noFill/>
          <a:prstDash val="solid"/>
        </a:ln>
      </xdr:spPr>
    </xdr:pic>
    <xdr:clientData/>
  </xdr:twoCellAnchor>
  <xdr:twoCellAnchor editAs="oneCell">
    <xdr:from>
      <xdr:col>2</xdr:col>
      <xdr:colOff>1765086</xdr:colOff>
      <xdr:row>342</xdr:row>
      <xdr:rowOff>87312</xdr:rowOff>
    </xdr:from>
    <xdr:to>
      <xdr:col>8</xdr:col>
      <xdr:colOff>160540</xdr:colOff>
      <xdr:row>373</xdr:row>
      <xdr:rowOff>103001</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2"/>
        <a:stretch>
          <a:fillRect/>
        </a:stretch>
      </xdr:blipFill>
      <xdr:spPr>
        <a:xfrm>
          <a:off x="3014766" y="61230192"/>
          <a:ext cx="6823174" cy="5212529"/>
        </a:xfrm>
        <a:prstGeom prst="rect">
          <a:avLst/>
        </a:prstGeom>
        <a:ln>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ecfr.gov/cgi-bin/text-idx?SID=ae265d7d6f98ec86fcd8640b9793a3f6&amp;mc=true&amp;node=pt40.23.98&amp;rgn=div5" TargetMode="External"/><Relationship Id="rId1" Type="http://schemas.openxmlformats.org/officeDocument/2006/relationships/hyperlink" Target="https://www.ecfr.gov/cgi-bin/text-idx?SID=ae265d7d6f98ec86fcd8640b9793a3f6&amp;mc=true&amp;node=pt40.23.98&amp;rgn=div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workbookViewId="0">
      <selection activeCell="E23" sqref="E23"/>
    </sheetView>
  </sheetViews>
  <sheetFormatPr defaultColWidth="8.85546875" defaultRowHeight="15"/>
  <cols>
    <col min="1" max="20" width="8.85546875" style="2" customWidth="1"/>
    <col min="21" max="16384" width="8.85546875" style="2"/>
  </cols>
  <sheetData>
    <row r="1" spans="1:3" s="1" customFormat="1" ht="23.45" customHeight="1">
      <c r="A1" s="1" t="s">
        <v>0</v>
      </c>
    </row>
    <row r="2" spans="1:3" s="1" customFormat="1" ht="23.45" customHeight="1"/>
    <row r="3" spans="1:3">
      <c r="B3" s="3" t="s">
        <v>1</v>
      </c>
    </row>
    <row r="4" spans="1:3">
      <c r="B4" s="4"/>
      <c r="C4" s="2" t="s">
        <v>2</v>
      </c>
    </row>
    <row r="6" spans="1:3">
      <c r="B6" s="5"/>
      <c r="C6" s="2" t="s">
        <v>3</v>
      </c>
    </row>
    <row r="8" spans="1:3">
      <c r="B8" s="6"/>
      <c r="C8" s="2" t="s">
        <v>4</v>
      </c>
    </row>
    <row r="10" spans="1:3">
      <c r="B10" s="7"/>
      <c r="C10" s="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39997558519241921"/>
  </sheetPr>
  <dimension ref="A1"/>
  <sheetViews>
    <sheetView workbookViewId="0">
      <selection activeCell="E23" sqref="E23"/>
    </sheetView>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F54"/>
  <sheetViews>
    <sheetView zoomScaleNormal="100" workbookViewId="0">
      <selection activeCell="E23" sqref="E23"/>
    </sheetView>
  </sheetViews>
  <sheetFormatPr defaultColWidth="8.85546875" defaultRowHeight="15"/>
  <cols>
    <col min="1" max="1" width="8.85546875" style="2" customWidth="1"/>
    <col min="2" max="2" width="47.7109375" style="2" customWidth="1"/>
    <col min="3" max="3" width="26.140625" style="2" customWidth="1"/>
    <col min="4" max="4" width="14.42578125" style="2" customWidth="1"/>
    <col min="5" max="13" width="10.85546875" style="2" customWidth="1"/>
    <col min="14" max="33" width="8.85546875" style="2" customWidth="1"/>
    <col min="34" max="16384" width="8.85546875" style="2"/>
  </cols>
  <sheetData>
    <row r="2" spans="2:4" ht="18" customHeight="1" thickBot="1">
      <c r="B2" t="s">
        <v>6</v>
      </c>
    </row>
    <row r="3" spans="2:4" ht="15" customHeight="1" thickTop="1"/>
    <row r="4" spans="2:4" ht="15" customHeight="1" thickBot="1">
      <c r="B4" t="s">
        <v>7</v>
      </c>
      <c r="C4" t="s">
        <v>8</v>
      </c>
    </row>
    <row r="6" spans="2:4">
      <c r="B6" t="s">
        <v>9</v>
      </c>
    </row>
    <row r="7" spans="2:4" ht="15" customHeight="1" thickBot="1">
      <c r="B7" t="s">
        <v>10</v>
      </c>
      <c r="C7" t="s">
        <v>11</v>
      </c>
      <c r="D7" t="s">
        <v>12</v>
      </c>
    </row>
    <row r="8" spans="2:4">
      <c r="B8" t="s">
        <v>13</v>
      </c>
      <c r="C8" t="s">
        <v>14</v>
      </c>
    </row>
    <row r="9" spans="2:4">
      <c r="B9" t="s">
        <v>15</v>
      </c>
      <c r="C9">
        <v>40.5</v>
      </c>
    </row>
    <row r="10" spans="2:4">
      <c r="B10" t="s">
        <v>16</v>
      </c>
      <c r="C10">
        <v>-75</v>
      </c>
    </row>
    <row r="11" spans="2:4">
      <c r="B11" t="s">
        <v>17</v>
      </c>
      <c r="C11" t="s">
        <v>18</v>
      </c>
    </row>
    <row r="12" spans="2:4">
      <c r="B12" t="s">
        <v>19</v>
      </c>
      <c r="C12" t="s">
        <v>14</v>
      </c>
    </row>
    <row r="13" spans="2:4">
      <c r="B13" t="s">
        <v>20</v>
      </c>
      <c r="C13" t="s">
        <v>21</v>
      </c>
    </row>
    <row r="14" spans="2:4">
      <c r="B14" t="s">
        <v>22</v>
      </c>
      <c r="C14" t="s">
        <v>23</v>
      </c>
    </row>
    <row r="15" spans="2:4">
      <c r="B15" t="s">
        <v>24</v>
      </c>
      <c r="C15" t="s">
        <v>25</v>
      </c>
    </row>
    <row r="16" spans="2:4">
      <c r="B16" t="s">
        <v>26</v>
      </c>
      <c r="C16">
        <v>778</v>
      </c>
      <c r="D16" t="s">
        <v>27</v>
      </c>
    </row>
    <row r="17" spans="2:4">
      <c r="B17" t="s">
        <v>28</v>
      </c>
    </row>
    <row r="18" spans="2:4">
      <c r="B18" t="s">
        <v>29</v>
      </c>
    </row>
    <row r="19" spans="2:4" ht="15" customHeight="1" thickBot="1">
      <c r="B19" t="s">
        <v>30</v>
      </c>
      <c r="C19" t="s">
        <v>11</v>
      </c>
      <c r="D19" t="s">
        <v>12</v>
      </c>
    </row>
    <row r="20" spans="2:4">
      <c r="B20" t="s">
        <v>31</v>
      </c>
      <c r="C20">
        <v>2019</v>
      </c>
      <c r="D20" t="s">
        <v>32</v>
      </c>
    </row>
    <row r="21" spans="2:4">
      <c r="B21" t="s">
        <v>33</v>
      </c>
      <c r="C21">
        <v>2050</v>
      </c>
    </row>
    <row r="23" spans="2:4">
      <c r="B23" t="s">
        <v>34</v>
      </c>
    </row>
    <row r="24" spans="2:4" ht="15" customHeight="1" thickBot="1">
      <c r="B24" t="s">
        <v>10</v>
      </c>
      <c r="C24" t="s">
        <v>11</v>
      </c>
      <c r="D24" t="s">
        <v>12</v>
      </c>
    </row>
    <row r="25" spans="2:4">
      <c r="B25" t="s">
        <v>35</v>
      </c>
      <c r="C25">
        <v>8337</v>
      </c>
      <c r="D25" t="s">
        <v>36</v>
      </c>
    </row>
    <row r="26" spans="2:4">
      <c r="B26" t="s">
        <v>37</v>
      </c>
      <c r="C26">
        <v>0.5</v>
      </c>
      <c r="D26" t="s">
        <v>38</v>
      </c>
    </row>
    <row r="27" spans="2:4">
      <c r="B27" t="s">
        <v>39</v>
      </c>
      <c r="C27">
        <v>1206000</v>
      </c>
      <c r="D27" t="s">
        <v>40</v>
      </c>
    </row>
    <row r="28" spans="2:4">
      <c r="B28" t="s">
        <v>41</v>
      </c>
      <c r="C28">
        <v>2</v>
      </c>
      <c r="D28" t="s">
        <v>42</v>
      </c>
    </row>
    <row r="29" spans="2:4">
      <c r="B29" t="s">
        <v>43</v>
      </c>
      <c r="C29">
        <v>5</v>
      </c>
      <c r="D29" t="s">
        <v>42</v>
      </c>
    </row>
    <row r="30" spans="2:4">
      <c r="B30" t="s">
        <v>44</v>
      </c>
      <c r="C30">
        <v>0.42835123053999902</v>
      </c>
    </row>
    <row r="31" spans="2:4">
      <c r="B31" t="s">
        <v>45</v>
      </c>
      <c r="C31">
        <v>0.67251771953144812</v>
      </c>
    </row>
    <row r="32" spans="2:4">
      <c r="B32" t="s">
        <v>46</v>
      </c>
      <c r="C32">
        <v>1.063829787234043</v>
      </c>
    </row>
    <row r="34" spans="2:6">
      <c r="B34" t="s">
        <v>47</v>
      </c>
    </row>
    <row r="35" spans="2:6" ht="15" customHeight="1" thickBot="1">
      <c r="B35" t="s">
        <v>10</v>
      </c>
      <c r="C35">
        <v>2000</v>
      </c>
      <c r="D35">
        <v>2050</v>
      </c>
      <c r="E35">
        <v>2100</v>
      </c>
      <c r="F35" t="s">
        <v>12</v>
      </c>
    </row>
    <row r="36" spans="2:6">
      <c r="B36" t="s">
        <v>48</v>
      </c>
      <c r="C36">
        <v>4473.4625000000005</v>
      </c>
      <c r="D36">
        <v>4066.4182142857139</v>
      </c>
      <c r="E36">
        <v>3763.8582142857172</v>
      </c>
      <c r="F36" t="s">
        <v>49</v>
      </c>
    </row>
    <row r="37" spans="2:6">
      <c r="B37" t="s">
        <v>50</v>
      </c>
      <c r="C37">
        <v>1020.733333333334</v>
      </c>
      <c r="D37">
        <v>1224.255476190476</v>
      </c>
      <c r="E37">
        <v>1375.5354761904771</v>
      </c>
      <c r="F37" t="s">
        <v>49</v>
      </c>
    </row>
    <row r="39" spans="2:6" ht="15" customHeight="1" thickBot="1">
      <c r="B39" t="s">
        <v>10</v>
      </c>
      <c r="C39" t="s">
        <v>11</v>
      </c>
      <c r="D39" t="s">
        <v>12</v>
      </c>
    </row>
    <row r="40" spans="2:6">
      <c r="B40" t="s">
        <v>51</v>
      </c>
      <c r="C40">
        <v>0.72727402048447432</v>
      </c>
    </row>
    <row r="41" spans="2:6">
      <c r="B41" t="s">
        <v>52</v>
      </c>
      <c r="C41">
        <v>1.558371501272265</v>
      </c>
    </row>
    <row r="42" spans="2:6">
      <c r="B42" t="s">
        <v>53</v>
      </c>
      <c r="C42">
        <v>762</v>
      </c>
      <c r="D42" t="s">
        <v>54</v>
      </c>
    </row>
    <row r="43" spans="2:6">
      <c r="B43" t="s">
        <v>55</v>
      </c>
      <c r="C43" t="s">
        <v>56</v>
      </c>
    </row>
    <row r="44" spans="2:6">
      <c r="B44" t="s">
        <v>57</v>
      </c>
      <c r="C44">
        <v>1.461785714285714</v>
      </c>
      <c r="D44" t="s">
        <v>49</v>
      </c>
    </row>
    <row r="45" spans="2:6">
      <c r="B45" t="s">
        <v>58</v>
      </c>
      <c r="C45">
        <v>3.13</v>
      </c>
      <c r="D45" t="s">
        <v>49</v>
      </c>
    </row>
    <row r="46" spans="2:6">
      <c r="B46" t="s">
        <v>59</v>
      </c>
      <c r="C46">
        <v>4.37</v>
      </c>
      <c r="D46" t="s">
        <v>49</v>
      </c>
    </row>
    <row r="47" spans="2:6">
      <c r="B47" t="s">
        <v>60</v>
      </c>
    </row>
    <row r="48" spans="2:6">
      <c r="B48" t="s">
        <v>61</v>
      </c>
    </row>
    <row r="49" spans="2:4" ht="15" customHeight="1" thickBot="1">
      <c r="B49" t="s">
        <v>10</v>
      </c>
      <c r="C49" t="s">
        <v>11</v>
      </c>
      <c r="D49" t="s">
        <v>12</v>
      </c>
    </row>
    <row r="50" spans="2:4">
      <c r="B50" t="s">
        <v>62</v>
      </c>
      <c r="C50" t="s">
        <v>63</v>
      </c>
    </row>
    <row r="51" spans="2:4">
      <c r="B51" t="s">
        <v>64</v>
      </c>
      <c r="C51" t="s">
        <v>65</v>
      </c>
    </row>
    <row r="52" spans="2:4">
      <c r="B52" t="s">
        <v>66</v>
      </c>
      <c r="C52" t="s">
        <v>67</v>
      </c>
    </row>
    <row r="53" spans="2:4">
      <c r="B53" t="s">
        <v>68</v>
      </c>
      <c r="C53" t="s">
        <v>69</v>
      </c>
    </row>
    <row r="54" spans="2:4">
      <c r="B54" t="s">
        <v>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39997558519241921"/>
  </sheetPr>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R51"/>
  <sheetViews>
    <sheetView topLeftCell="Z1" workbookViewId="0">
      <selection activeCell="AO1" sqref="AO1:AO1048576"/>
    </sheetView>
  </sheetViews>
  <sheetFormatPr defaultRowHeight="15"/>
  <cols>
    <col min="1" max="1" width="9.7109375" bestFit="1" customWidth="1"/>
    <col min="2" max="2" width="13.42578125" bestFit="1" customWidth="1"/>
    <col min="3" max="3" width="10.140625" bestFit="1" customWidth="1"/>
    <col min="4" max="4" width="8.28515625" bestFit="1" customWidth="1"/>
    <col min="5" max="5" width="18.28515625" bestFit="1" customWidth="1"/>
    <col min="6" max="6" width="38.42578125" bestFit="1" customWidth="1"/>
    <col min="7" max="7" width="15.7109375" bestFit="1" customWidth="1"/>
    <col min="8" max="8" width="24.140625" bestFit="1" customWidth="1"/>
    <col min="9" max="9" width="14.7109375" bestFit="1" customWidth="1"/>
    <col min="10" max="10" width="16.7109375" bestFit="1" customWidth="1"/>
    <col min="11" max="11" width="18" bestFit="1" customWidth="1"/>
    <col min="12" max="12" width="13.140625" bestFit="1" customWidth="1"/>
    <col min="13" max="13" width="25.85546875" bestFit="1" customWidth="1"/>
    <col min="14" max="14" width="24.28515625" bestFit="1" customWidth="1"/>
    <col min="15" max="15" width="23.140625" bestFit="1" customWidth="1"/>
    <col min="16" max="32" width="19" bestFit="1" customWidth="1"/>
    <col min="33" max="36" width="38.140625" bestFit="1" customWidth="1"/>
    <col min="37" max="40" width="37.7109375" bestFit="1" customWidth="1"/>
    <col min="41" max="44" width="38.7109375" bestFit="1" customWidth="1"/>
  </cols>
  <sheetData>
    <row r="1" spans="1:44">
      <c r="O1">
        <v>2019</v>
      </c>
      <c r="P1">
        <v>2020</v>
      </c>
      <c r="Q1">
        <v>2025</v>
      </c>
      <c r="R1">
        <v>2030</v>
      </c>
      <c r="S1">
        <v>2035</v>
      </c>
      <c r="T1">
        <v>2040</v>
      </c>
      <c r="U1">
        <v>2045</v>
      </c>
      <c r="V1">
        <v>2050</v>
      </c>
      <c r="W1">
        <v>2055</v>
      </c>
      <c r="X1">
        <v>2060</v>
      </c>
      <c r="Y1">
        <v>2065</v>
      </c>
      <c r="Z1">
        <v>2070</v>
      </c>
      <c r="AA1">
        <v>2075</v>
      </c>
      <c r="AB1">
        <v>2080</v>
      </c>
      <c r="AC1">
        <v>2085</v>
      </c>
      <c r="AD1">
        <v>2090</v>
      </c>
      <c r="AE1">
        <v>2095</v>
      </c>
      <c r="AF1">
        <v>2100</v>
      </c>
      <c r="AG1">
        <v>2019</v>
      </c>
      <c r="AH1">
        <v>2030</v>
      </c>
      <c r="AI1">
        <v>2050</v>
      </c>
      <c r="AJ1">
        <v>2100</v>
      </c>
      <c r="AK1">
        <v>2019</v>
      </c>
      <c r="AL1">
        <v>2030</v>
      </c>
      <c r="AM1">
        <v>2050</v>
      </c>
      <c r="AN1">
        <v>2100</v>
      </c>
      <c r="AO1">
        <v>2019</v>
      </c>
      <c r="AP1">
        <v>2030</v>
      </c>
      <c r="AQ1">
        <v>2050</v>
      </c>
      <c r="AR1">
        <v>2100</v>
      </c>
    </row>
    <row r="2" spans="1:44">
      <c r="A2" t="s">
        <v>71</v>
      </c>
      <c r="B2" t="s">
        <v>72</v>
      </c>
      <c r="C2" t="s">
        <v>73</v>
      </c>
      <c r="D2" t="s">
        <v>74</v>
      </c>
      <c r="E2" t="s">
        <v>75</v>
      </c>
      <c r="F2" t="s">
        <v>76</v>
      </c>
      <c r="G2" t="s">
        <v>77</v>
      </c>
      <c r="H2" t="s">
        <v>78</v>
      </c>
      <c r="I2" t="s">
        <v>79</v>
      </c>
      <c r="J2" t="s">
        <v>80</v>
      </c>
      <c r="K2" t="s">
        <v>81</v>
      </c>
      <c r="L2" t="s">
        <v>82</v>
      </c>
      <c r="M2" t="s">
        <v>83</v>
      </c>
      <c r="N2" t="s">
        <v>84</v>
      </c>
      <c r="O2" t="s">
        <v>85</v>
      </c>
      <c r="P2" t="s">
        <v>86</v>
      </c>
      <c r="Q2" t="s">
        <v>87</v>
      </c>
      <c r="R2" t="s">
        <v>88</v>
      </c>
      <c r="S2" t="s">
        <v>89</v>
      </c>
      <c r="T2" t="s">
        <v>90</v>
      </c>
      <c r="U2" t="s">
        <v>91</v>
      </c>
      <c r="V2" t="s">
        <v>92</v>
      </c>
      <c r="W2" t="s">
        <v>93</v>
      </c>
      <c r="X2" t="s">
        <v>94</v>
      </c>
      <c r="Y2" t="s">
        <v>95</v>
      </c>
      <c r="Z2" t="s">
        <v>96</v>
      </c>
      <c r="AA2" t="s">
        <v>97</v>
      </c>
      <c r="AB2" t="s">
        <v>98</v>
      </c>
      <c r="AC2" t="s">
        <v>99</v>
      </c>
      <c r="AD2" t="s">
        <v>100</v>
      </c>
      <c r="AE2" t="s">
        <v>101</v>
      </c>
      <c r="AF2" t="s">
        <v>102</v>
      </c>
      <c r="AG2" t="s">
        <v>103</v>
      </c>
      <c r="AH2" t="s">
        <v>103</v>
      </c>
      <c r="AI2" t="s">
        <v>103</v>
      </c>
      <c r="AJ2" t="s">
        <v>103</v>
      </c>
      <c r="AK2" t="s">
        <v>104</v>
      </c>
      <c r="AL2" t="s">
        <v>104</v>
      </c>
      <c r="AM2" t="s">
        <v>104</v>
      </c>
      <c r="AN2" t="s">
        <v>104</v>
      </c>
      <c r="AO2" t="s">
        <v>105</v>
      </c>
      <c r="AP2" t="s">
        <v>105</v>
      </c>
      <c r="AQ2" t="s">
        <v>105</v>
      </c>
      <c r="AR2" t="s">
        <v>105</v>
      </c>
    </row>
    <row r="3" spans="1:44">
      <c r="A3" t="s">
        <v>106</v>
      </c>
      <c r="B3" t="s">
        <v>107</v>
      </c>
      <c r="D3">
        <v>2019</v>
      </c>
      <c r="E3" t="s">
        <v>108</v>
      </c>
      <c r="F3" t="s">
        <v>109</v>
      </c>
      <c r="G3" t="s">
        <v>110</v>
      </c>
      <c r="H3" t="s">
        <v>111</v>
      </c>
      <c r="I3">
        <v>12173.113897200001</v>
      </c>
      <c r="J3">
        <v>34569.70851479932</v>
      </c>
      <c r="K3">
        <v>0.13746195273490469</v>
      </c>
      <c r="L3">
        <v>0.35213238468553132</v>
      </c>
      <c r="M3">
        <v>27.138388541967881</v>
      </c>
      <c r="N3">
        <v>2.0228150718781621</v>
      </c>
      <c r="O3">
        <v>2808.1</v>
      </c>
      <c r="P3">
        <v>1517.2</v>
      </c>
      <c r="Q3">
        <v>1517.2</v>
      </c>
      <c r="R3">
        <v>1517.2</v>
      </c>
      <c r="S3">
        <v>1517.2</v>
      </c>
      <c r="T3">
        <v>681.9</v>
      </c>
      <c r="U3">
        <v>677.3</v>
      </c>
      <c r="V3">
        <v>139.5</v>
      </c>
      <c r="W3">
        <v>0</v>
      </c>
      <c r="X3">
        <v>0</v>
      </c>
      <c r="Y3">
        <v>0</v>
      </c>
      <c r="Z3">
        <v>0</v>
      </c>
      <c r="AA3">
        <v>0</v>
      </c>
      <c r="AB3">
        <v>0</v>
      </c>
      <c r="AC3">
        <v>0</v>
      </c>
      <c r="AD3">
        <v>0</v>
      </c>
      <c r="AE3">
        <v>0</v>
      </c>
      <c r="AF3">
        <v>0</v>
      </c>
    </row>
    <row r="4" spans="1:44">
      <c r="A4" t="s">
        <v>106</v>
      </c>
      <c r="B4" t="s">
        <v>107</v>
      </c>
      <c r="D4">
        <v>2019</v>
      </c>
      <c r="E4" t="s">
        <v>108</v>
      </c>
      <c r="F4" t="s">
        <v>112</v>
      </c>
      <c r="G4" t="s">
        <v>110</v>
      </c>
      <c r="H4" t="s">
        <v>113</v>
      </c>
      <c r="I4">
        <v>10774.678320000001</v>
      </c>
      <c r="J4">
        <v>29246.46661362657</v>
      </c>
      <c r="K4">
        <v>8.4997091379749257E-2</v>
      </c>
      <c r="L4">
        <v>0.36840957447419792</v>
      </c>
      <c r="M4">
        <v>27.138388541967881</v>
      </c>
      <c r="N4">
        <v>2.0228150718781621</v>
      </c>
      <c r="O4">
        <v>4019.7</v>
      </c>
      <c r="P4">
        <v>16</v>
      </c>
      <c r="Q4">
        <v>16</v>
      </c>
      <c r="R4">
        <v>16</v>
      </c>
      <c r="S4">
        <v>16</v>
      </c>
      <c r="T4">
        <v>16</v>
      </c>
      <c r="U4">
        <v>16</v>
      </c>
      <c r="V4">
        <v>0</v>
      </c>
      <c r="W4">
        <v>0</v>
      </c>
      <c r="X4">
        <v>0</v>
      </c>
      <c r="Y4">
        <v>0</v>
      </c>
      <c r="Z4">
        <v>0</v>
      </c>
      <c r="AA4">
        <v>0</v>
      </c>
      <c r="AB4">
        <v>0</v>
      </c>
      <c r="AC4">
        <v>0</v>
      </c>
      <c r="AD4">
        <v>0</v>
      </c>
      <c r="AE4">
        <v>0</v>
      </c>
      <c r="AF4">
        <v>0</v>
      </c>
    </row>
    <row r="5" spans="1:44">
      <c r="A5" t="s">
        <v>106</v>
      </c>
      <c r="B5" t="s">
        <v>107</v>
      </c>
      <c r="D5">
        <v>2019</v>
      </c>
      <c r="E5" t="s">
        <v>108</v>
      </c>
      <c r="F5" t="s">
        <v>114</v>
      </c>
      <c r="G5" t="s">
        <v>110</v>
      </c>
      <c r="H5" t="s">
        <v>115</v>
      </c>
      <c r="I5">
        <v>46780.595999999998</v>
      </c>
      <c r="J5">
        <v>91771.956906132036</v>
      </c>
      <c r="K5">
        <v>0.64588451606066521</v>
      </c>
      <c r="L5">
        <v>0.50974826708608845</v>
      </c>
      <c r="M5">
        <v>35.166828485633367</v>
      </c>
      <c r="N5">
        <v>0.61563936970204913</v>
      </c>
      <c r="O5">
        <v>2296.6999999999998</v>
      </c>
      <c r="P5">
        <v>2296.6999999999998</v>
      </c>
      <c r="Q5">
        <v>2296.6999999999998</v>
      </c>
      <c r="R5">
        <v>1726.5</v>
      </c>
      <c r="S5">
        <v>1484.5</v>
      </c>
      <c r="T5">
        <v>751</v>
      </c>
      <c r="U5">
        <v>400</v>
      </c>
      <c r="V5">
        <v>0</v>
      </c>
      <c r="W5">
        <v>0</v>
      </c>
      <c r="X5">
        <v>0</v>
      </c>
      <c r="Y5">
        <v>0</v>
      </c>
      <c r="Z5">
        <v>0</v>
      </c>
      <c r="AA5">
        <v>0</v>
      </c>
      <c r="AB5">
        <v>0</v>
      </c>
      <c r="AC5">
        <v>0</v>
      </c>
      <c r="AD5">
        <v>0</v>
      </c>
      <c r="AE5">
        <v>0</v>
      </c>
      <c r="AF5">
        <v>0</v>
      </c>
    </row>
    <row r="6" spans="1:44">
      <c r="A6" t="s">
        <v>106</v>
      </c>
      <c r="B6" t="s">
        <v>107</v>
      </c>
      <c r="D6">
        <v>2019</v>
      </c>
      <c r="E6" t="s">
        <v>108</v>
      </c>
      <c r="F6" t="s">
        <v>116</v>
      </c>
      <c r="G6" t="s">
        <v>110</v>
      </c>
      <c r="H6" t="s">
        <v>117</v>
      </c>
      <c r="I6">
        <v>17753.903999999999</v>
      </c>
      <c r="J6">
        <v>34991.140527096919</v>
      </c>
      <c r="K6">
        <v>0.47892182283260398</v>
      </c>
      <c r="L6">
        <v>0.50738283269879381</v>
      </c>
      <c r="M6">
        <v>35.166828485633367</v>
      </c>
      <c r="N6">
        <v>0.61563936970204913</v>
      </c>
      <c r="O6">
        <v>1175.5</v>
      </c>
      <c r="P6">
        <v>1173.0999999999999</v>
      </c>
      <c r="Q6">
        <v>1173.0999999999999</v>
      </c>
      <c r="R6">
        <v>860.5</v>
      </c>
      <c r="S6">
        <v>780.5</v>
      </c>
      <c r="T6">
        <v>505</v>
      </c>
      <c r="U6">
        <v>250</v>
      </c>
      <c r="V6">
        <v>0</v>
      </c>
      <c r="W6">
        <v>0</v>
      </c>
      <c r="X6">
        <v>0</v>
      </c>
      <c r="Y6">
        <v>0</v>
      </c>
      <c r="Z6">
        <v>0</v>
      </c>
      <c r="AA6">
        <v>0</v>
      </c>
      <c r="AB6">
        <v>0</v>
      </c>
      <c r="AC6">
        <v>0</v>
      </c>
      <c r="AD6">
        <v>0</v>
      </c>
      <c r="AE6">
        <v>0</v>
      </c>
      <c r="AF6">
        <v>0</v>
      </c>
    </row>
    <row r="7" spans="1:44">
      <c r="A7" t="s">
        <v>106</v>
      </c>
      <c r="B7" t="s">
        <v>107</v>
      </c>
      <c r="D7">
        <v>2019</v>
      </c>
      <c r="E7" t="s">
        <v>108</v>
      </c>
      <c r="F7" t="s">
        <v>118</v>
      </c>
      <c r="G7" t="s">
        <v>110</v>
      </c>
      <c r="H7" t="s">
        <v>119</v>
      </c>
      <c r="I7">
        <v>0</v>
      </c>
      <c r="J7">
        <v>0</v>
      </c>
      <c r="M7">
        <v>34.82759862885878</v>
      </c>
      <c r="N7">
        <v>0.61563936970204913</v>
      </c>
      <c r="O7">
        <v>0</v>
      </c>
      <c r="P7">
        <v>0</v>
      </c>
      <c r="Q7">
        <v>0</v>
      </c>
      <c r="R7">
        <v>0</v>
      </c>
      <c r="S7">
        <v>0</v>
      </c>
      <c r="T7">
        <v>0</v>
      </c>
      <c r="U7">
        <v>0</v>
      </c>
      <c r="V7">
        <v>0</v>
      </c>
      <c r="W7">
        <v>0</v>
      </c>
      <c r="X7">
        <v>0</v>
      </c>
      <c r="Y7">
        <v>0</v>
      </c>
      <c r="Z7">
        <v>0</v>
      </c>
      <c r="AA7">
        <v>0</v>
      </c>
      <c r="AB7">
        <v>0</v>
      </c>
      <c r="AC7">
        <v>0</v>
      </c>
      <c r="AD7">
        <v>0</v>
      </c>
      <c r="AE7">
        <v>0</v>
      </c>
      <c r="AF7">
        <v>0</v>
      </c>
    </row>
    <row r="8" spans="1:44">
      <c r="A8" t="s">
        <v>106</v>
      </c>
      <c r="B8" t="s">
        <v>107</v>
      </c>
      <c r="D8">
        <v>2019</v>
      </c>
      <c r="E8" t="s">
        <v>108</v>
      </c>
      <c r="F8" t="s">
        <v>120</v>
      </c>
      <c r="G8" t="s">
        <v>110</v>
      </c>
      <c r="H8" t="s">
        <v>121</v>
      </c>
      <c r="I8">
        <v>0</v>
      </c>
      <c r="J8">
        <v>0</v>
      </c>
      <c r="M8">
        <v>34.82759862885878</v>
      </c>
      <c r="N8">
        <v>0.61563936970204913</v>
      </c>
      <c r="O8">
        <v>0</v>
      </c>
      <c r="P8">
        <v>0</v>
      </c>
      <c r="Q8">
        <v>0</v>
      </c>
      <c r="R8">
        <v>0</v>
      </c>
      <c r="S8">
        <v>0</v>
      </c>
      <c r="T8">
        <v>0</v>
      </c>
      <c r="U8">
        <v>0</v>
      </c>
      <c r="V8">
        <v>0</v>
      </c>
      <c r="W8">
        <v>0</v>
      </c>
      <c r="X8">
        <v>0</v>
      </c>
      <c r="Y8">
        <v>0</v>
      </c>
      <c r="Z8">
        <v>0</v>
      </c>
      <c r="AA8">
        <v>0</v>
      </c>
      <c r="AB8">
        <v>0</v>
      </c>
      <c r="AC8">
        <v>0</v>
      </c>
      <c r="AD8">
        <v>0</v>
      </c>
      <c r="AE8">
        <v>0</v>
      </c>
      <c r="AF8">
        <v>0</v>
      </c>
    </row>
    <row r="9" spans="1:44">
      <c r="A9" t="s">
        <v>106</v>
      </c>
      <c r="B9" t="s">
        <v>107</v>
      </c>
      <c r="D9">
        <v>2019</v>
      </c>
      <c r="E9" t="s">
        <v>108</v>
      </c>
      <c r="F9" t="s">
        <v>122</v>
      </c>
      <c r="G9" t="s">
        <v>110</v>
      </c>
      <c r="H9" t="s">
        <v>123</v>
      </c>
      <c r="I9">
        <v>234.730818</v>
      </c>
      <c r="J9">
        <v>538.07159911454107</v>
      </c>
      <c r="K9">
        <v>0.23406495003015421</v>
      </c>
      <c r="L9">
        <v>0.43624457857704552</v>
      </c>
      <c r="M9">
        <v>27.138388541967881</v>
      </c>
      <c r="N9">
        <v>2.0228150718781621</v>
      </c>
      <c r="O9">
        <v>31.800000000000011</v>
      </c>
      <c r="P9">
        <v>31.8</v>
      </c>
      <c r="Q9">
        <v>31.8</v>
      </c>
      <c r="R9">
        <v>23.400000000000009</v>
      </c>
      <c r="S9">
        <v>22.5</v>
      </c>
      <c r="T9">
        <v>22.3</v>
      </c>
      <c r="U9">
        <v>2.4</v>
      </c>
      <c r="V9">
        <v>0</v>
      </c>
      <c r="W9">
        <v>0</v>
      </c>
      <c r="X9">
        <v>0</v>
      </c>
      <c r="Y9">
        <v>0</v>
      </c>
      <c r="Z9">
        <v>0</v>
      </c>
      <c r="AA9">
        <v>0</v>
      </c>
      <c r="AB9">
        <v>0</v>
      </c>
      <c r="AC9">
        <v>0</v>
      </c>
      <c r="AD9">
        <v>0</v>
      </c>
      <c r="AE9">
        <v>0</v>
      </c>
      <c r="AF9">
        <v>0</v>
      </c>
    </row>
    <row r="10" spans="1:44">
      <c r="A10" t="s">
        <v>106</v>
      </c>
      <c r="B10" t="s">
        <v>107</v>
      </c>
      <c r="D10">
        <v>2019</v>
      </c>
      <c r="E10" t="s">
        <v>108</v>
      </c>
      <c r="F10" t="s">
        <v>124</v>
      </c>
      <c r="G10" t="s">
        <v>110</v>
      </c>
      <c r="H10" t="s">
        <v>125</v>
      </c>
      <c r="I10">
        <v>192.024</v>
      </c>
      <c r="J10">
        <v>392.50609754039999</v>
      </c>
      <c r="K10">
        <v>0.92258198422581983</v>
      </c>
      <c r="L10">
        <v>0.48922552083470572</v>
      </c>
      <c r="M10">
        <v>34.82759862885878</v>
      </c>
      <c r="N10">
        <v>0.61563936970204913</v>
      </c>
      <c r="O10">
        <v>6.6</v>
      </c>
      <c r="P10">
        <v>6.6</v>
      </c>
      <c r="Q10">
        <v>6.6</v>
      </c>
      <c r="R10">
        <v>6.6</v>
      </c>
      <c r="S10">
        <v>6.6</v>
      </c>
      <c r="T10">
        <v>6.6</v>
      </c>
      <c r="U10">
        <v>6.6</v>
      </c>
      <c r="V10">
        <v>6.6</v>
      </c>
      <c r="W10">
        <v>0</v>
      </c>
      <c r="X10">
        <v>0</v>
      </c>
      <c r="Y10">
        <v>0</v>
      </c>
      <c r="Z10">
        <v>0</v>
      </c>
      <c r="AA10">
        <v>0</v>
      </c>
      <c r="AB10">
        <v>0</v>
      </c>
      <c r="AC10">
        <v>0</v>
      </c>
      <c r="AD10">
        <v>0</v>
      </c>
      <c r="AE10">
        <v>0</v>
      </c>
      <c r="AF10">
        <v>0</v>
      </c>
    </row>
    <row r="11" spans="1:44">
      <c r="A11" t="s">
        <v>106</v>
      </c>
      <c r="B11" t="s">
        <v>107</v>
      </c>
      <c r="D11">
        <v>2019</v>
      </c>
      <c r="E11" t="s">
        <v>108</v>
      </c>
      <c r="F11" t="s">
        <v>109</v>
      </c>
      <c r="G11" t="s">
        <v>126</v>
      </c>
      <c r="H11" t="s">
        <v>127</v>
      </c>
      <c r="I11">
        <v>0</v>
      </c>
      <c r="J11">
        <v>0</v>
      </c>
      <c r="M11">
        <v>27.138388541967881</v>
      </c>
      <c r="N11">
        <v>2.0228150718781621</v>
      </c>
      <c r="O11">
        <v>0</v>
      </c>
      <c r="P11">
        <v>0</v>
      </c>
      <c r="Q11">
        <v>0</v>
      </c>
      <c r="R11">
        <v>0</v>
      </c>
      <c r="S11">
        <v>0</v>
      </c>
      <c r="T11">
        <v>0</v>
      </c>
      <c r="U11">
        <v>0</v>
      </c>
      <c r="V11">
        <v>0</v>
      </c>
      <c r="W11">
        <v>0</v>
      </c>
      <c r="X11">
        <v>0</v>
      </c>
      <c r="Y11">
        <v>0</v>
      </c>
      <c r="Z11">
        <v>0</v>
      </c>
      <c r="AA11">
        <v>0</v>
      </c>
      <c r="AB11">
        <v>0</v>
      </c>
      <c r="AC11">
        <v>0</v>
      </c>
      <c r="AD11">
        <v>0</v>
      </c>
      <c r="AE11">
        <v>0</v>
      </c>
      <c r="AF11">
        <v>0</v>
      </c>
    </row>
    <row r="12" spans="1:44">
      <c r="A12" t="s">
        <v>106</v>
      </c>
      <c r="B12" t="s">
        <v>107</v>
      </c>
      <c r="D12">
        <v>2019</v>
      </c>
      <c r="E12" t="s">
        <v>108</v>
      </c>
      <c r="F12" t="s">
        <v>112</v>
      </c>
      <c r="G12" t="s">
        <v>126</v>
      </c>
      <c r="H12" t="s">
        <v>128</v>
      </c>
      <c r="I12">
        <v>0</v>
      </c>
      <c r="J12">
        <v>0</v>
      </c>
      <c r="M12">
        <v>27.138388541967881</v>
      </c>
      <c r="N12">
        <v>2.0228150718781621</v>
      </c>
      <c r="O12">
        <v>0</v>
      </c>
      <c r="P12">
        <v>0</v>
      </c>
      <c r="Q12">
        <v>0</v>
      </c>
      <c r="R12">
        <v>0</v>
      </c>
      <c r="S12">
        <v>0</v>
      </c>
      <c r="T12">
        <v>0</v>
      </c>
      <c r="U12">
        <v>0</v>
      </c>
      <c r="V12">
        <v>0</v>
      </c>
      <c r="W12">
        <v>0</v>
      </c>
      <c r="X12">
        <v>0</v>
      </c>
      <c r="Y12">
        <v>0</v>
      </c>
      <c r="Z12">
        <v>0</v>
      </c>
      <c r="AA12">
        <v>0</v>
      </c>
      <c r="AB12">
        <v>0</v>
      </c>
      <c r="AC12">
        <v>0</v>
      </c>
      <c r="AD12">
        <v>0</v>
      </c>
      <c r="AE12">
        <v>0</v>
      </c>
      <c r="AF12">
        <v>0</v>
      </c>
    </row>
    <row r="13" spans="1:44">
      <c r="A13" t="s">
        <v>106</v>
      </c>
      <c r="B13" t="s">
        <v>107</v>
      </c>
      <c r="D13">
        <v>2019</v>
      </c>
      <c r="E13" t="s">
        <v>108</v>
      </c>
      <c r="F13" t="s">
        <v>114</v>
      </c>
      <c r="G13" t="s">
        <v>126</v>
      </c>
      <c r="H13" t="s">
        <v>129</v>
      </c>
      <c r="I13">
        <v>0</v>
      </c>
      <c r="J13">
        <v>0</v>
      </c>
      <c r="M13">
        <v>35.166828485633367</v>
      </c>
      <c r="N13">
        <v>0.61563936970204913</v>
      </c>
      <c r="O13">
        <v>0</v>
      </c>
      <c r="P13">
        <v>0</v>
      </c>
      <c r="Q13">
        <v>0</v>
      </c>
      <c r="R13">
        <v>0</v>
      </c>
      <c r="S13">
        <v>0</v>
      </c>
      <c r="T13">
        <v>0</v>
      </c>
      <c r="U13">
        <v>0</v>
      </c>
      <c r="V13">
        <v>0</v>
      </c>
      <c r="W13">
        <v>0</v>
      </c>
      <c r="X13">
        <v>0</v>
      </c>
      <c r="Y13">
        <v>0</v>
      </c>
      <c r="Z13">
        <v>0</v>
      </c>
      <c r="AA13">
        <v>0</v>
      </c>
      <c r="AB13">
        <v>0</v>
      </c>
      <c r="AC13">
        <v>0</v>
      </c>
      <c r="AD13">
        <v>0</v>
      </c>
      <c r="AE13">
        <v>0</v>
      </c>
      <c r="AF13">
        <v>0</v>
      </c>
    </row>
    <row r="14" spans="1:44">
      <c r="A14" t="s">
        <v>106</v>
      </c>
      <c r="B14" t="s">
        <v>107</v>
      </c>
      <c r="D14">
        <v>2019</v>
      </c>
      <c r="E14" t="s">
        <v>108</v>
      </c>
      <c r="F14" t="s">
        <v>116</v>
      </c>
      <c r="G14" t="s">
        <v>126</v>
      </c>
      <c r="H14" t="s">
        <v>130</v>
      </c>
      <c r="I14">
        <v>0</v>
      </c>
      <c r="J14">
        <v>0</v>
      </c>
      <c r="M14">
        <v>35.166828485633367</v>
      </c>
      <c r="N14">
        <v>0.61563936970204913</v>
      </c>
      <c r="O14">
        <v>0</v>
      </c>
      <c r="P14">
        <v>0</v>
      </c>
      <c r="Q14">
        <v>0</v>
      </c>
      <c r="R14">
        <v>0</v>
      </c>
      <c r="S14">
        <v>0</v>
      </c>
      <c r="T14">
        <v>0</v>
      </c>
      <c r="U14">
        <v>0</v>
      </c>
      <c r="V14">
        <v>0</v>
      </c>
      <c r="W14">
        <v>0</v>
      </c>
      <c r="X14">
        <v>0</v>
      </c>
      <c r="Y14">
        <v>0</v>
      </c>
      <c r="Z14">
        <v>0</v>
      </c>
      <c r="AA14">
        <v>0</v>
      </c>
      <c r="AB14">
        <v>0</v>
      </c>
      <c r="AC14">
        <v>0</v>
      </c>
      <c r="AD14">
        <v>0</v>
      </c>
      <c r="AE14">
        <v>0</v>
      </c>
      <c r="AF14">
        <v>0</v>
      </c>
    </row>
    <row r="15" spans="1:44">
      <c r="A15" t="s">
        <v>106</v>
      </c>
      <c r="B15" t="s">
        <v>107</v>
      </c>
      <c r="D15">
        <v>2019</v>
      </c>
      <c r="E15" t="s">
        <v>108</v>
      </c>
      <c r="F15" t="s">
        <v>122</v>
      </c>
      <c r="G15" t="s">
        <v>126</v>
      </c>
      <c r="H15" t="s">
        <v>131</v>
      </c>
      <c r="I15">
        <v>0</v>
      </c>
      <c r="J15">
        <v>0</v>
      </c>
      <c r="M15">
        <v>27.138388541967881</v>
      </c>
      <c r="N15">
        <v>2.0228150718781621</v>
      </c>
      <c r="O15">
        <v>0</v>
      </c>
      <c r="P15">
        <v>0</v>
      </c>
      <c r="Q15">
        <v>0</v>
      </c>
      <c r="R15">
        <v>0</v>
      </c>
      <c r="S15">
        <v>0</v>
      </c>
      <c r="T15">
        <v>0</v>
      </c>
      <c r="U15">
        <v>0</v>
      </c>
      <c r="V15">
        <v>0</v>
      </c>
      <c r="W15">
        <v>0</v>
      </c>
      <c r="X15">
        <v>0</v>
      </c>
      <c r="Y15">
        <v>0</v>
      </c>
      <c r="Z15">
        <v>0</v>
      </c>
      <c r="AA15">
        <v>0</v>
      </c>
      <c r="AB15">
        <v>0</v>
      </c>
      <c r="AC15">
        <v>0</v>
      </c>
      <c r="AD15">
        <v>0</v>
      </c>
      <c r="AE15">
        <v>0</v>
      </c>
      <c r="AF15">
        <v>0</v>
      </c>
    </row>
    <row r="16" spans="1:44">
      <c r="A16" t="s">
        <v>106</v>
      </c>
      <c r="B16" t="s">
        <v>107</v>
      </c>
      <c r="D16">
        <v>2019</v>
      </c>
      <c r="E16" t="s">
        <v>108</v>
      </c>
      <c r="F16" t="s">
        <v>124</v>
      </c>
      <c r="G16" t="s">
        <v>126</v>
      </c>
      <c r="H16" t="s">
        <v>132</v>
      </c>
      <c r="I16">
        <v>0</v>
      </c>
      <c r="J16">
        <v>0</v>
      </c>
      <c r="M16">
        <v>34.82759862885878</v>
      </c>
      <c r="N16">
        <v>0.61563936970204913</v>
      </c>
      <c r="O16">
        <v>0</v>
      </c>
      <c r="P16">
        <v>0</v>
      </c>
      <c r="Q16">
        <v>0</v>
      </c>
      <c r="R16">
        <v>0</v>
      </c>
      <c r="S16">
        <v>0</v>
      </c>
      <c r="T16">
        <v>0</v>
      </c>
      <c r="U16">
        <v>0</v>
      </c>
      <c r="V16">
        <v>0</v>
      </c>
      <c r="W16">
        <v>0</v>
      </c>
      <c r="X16">
        <v>0</v>
      </c>
      <c r="Y16">
        <v>0</v>
      </c>
      <c r="Z16">
        <v>0</v>
      </c>
      <c r="AA16">
        <v>0</v>
      </c>
      <c r="AB16">
        <v>0</v>
      </c>
      <c r="AC16">
        <v>0</v>
      </c>
      <c r="AD16">
        <v>0</v>
      </c>
      <c r="AE16">
        <v>0</v>
      </c>
      <c r="AF16">
        <v>0</v>
      </c>
    </row>
    <row r="17" spans="1:32">
      <c r="A17" t="s">
        <v>106</v>
      </c>
      <c r="B17" t="s">
        <v>107</v>
      </c>
      <c r="D17">
        <v>2019</v>
      </c>
      <c r="E17" t="s">
        <v>108</v>
      </c>
      <c r="F17" t="s">
        <v>109</v>
      </c>
      <c r="G17" t="s">
        <v>133</v>
      </c>
      <c r="H17" t="s">
        <v>134</v>
      </c>
      <c r="I17">
        <v>16.135200000000001</v>
      </c>
      <c r="J17">
        <v>99.921256178847159</v>
      </c>
      <c r="K17">
        <v>1.313254198194143E-3</v>
      </c>
      <c r="L17">
        <v>0.16147915485689959</v>
      </c>
      <c r="M17">
        <v>27.138388541967881</v>
      </c>
      <c r="N17">
        <v>2.0228150718781621</v>
      </c>
      <c r="O17">
        <v>389.6</v>
      </c>
      <c r="P17">
        <v>0</v>
      </c>
      <c r="Q17">
        <v>0</v>
      </c>
      <c r="R17">
        <v>0</v>
      </c>
      <c r="S17">
        <v>0</v>
      </c>
      <c r="T17">
        <v>0</v>
      </c>
      <c r="U17">
        <v>0</v>
      </c>
      <c r="V17">
        <v>0</v>
      </c>
      <c r="W17">
        <v>0</v>
      </c>
      <c r="X17">
        <v>0</v>
      </c>
      <c r="Y17">
        <v>0</v>
      </c>
      <c r="Z17">
        <v>0</v>
      </c>
      <c r="AA17">
        <v>0</v>
      </c>
      <c r="AB17">
        <v>0</v>
      </c>
      <c r="AC17">
        <v>0</v>
      </c>
      <c r="AD17">
        <v>0</v>
      </c>
      <c r="AE17">
        <v>0</v>
      </c>
      <c r="AF17">
        <v>0</v>
      </c>
    </row>
    <row r="18" spans="1:32">
      <c r="A18" t="s">
        <v>106</v>
      </c>
      <c r="B18" t="s">
        <v>107</v>
      </c>
      <c r="D18">
        <v>2019</v>
      </c>
      <c r="E18" t="s">
        <v>108</v>
      </c>
      <c r="F18" t="s">
        <v>112</v>
      </c>
      <c r="G18" t="s">
        <v>133</v>
      </c>
      <c r="H18" t="s">
        <v>135</v>
      </c>
      <c r="I18">
        <v>0</v>
      </c>
      <c r="J18">
        <v>0</v>
      </c>
      <c r="M18">
        <v>27.138388541967881</v>
      </c>
      <c r="N18">
        <v>2.0228150718781621</v>
      </c>
      <c r="O18">
        <v>0</v>
      </c>
      <c r="P18">
        <v>0</v>
      </c>
      <c r="Q18">
        <v>0</v>
      </c>
      <c r="R18">
        <v>0</v>
      </c>
      <c r="S18">
        <v>0</v>
      </c>
      <c r="T18">
        <v>0</v>
      </c>
      <c r="U18">
        <v>0</v>
      </c>
      <c r="V18">
        <v>0</v>
      </c>
      <c r="W18">
        <v>0</v>
      </c>
      <c r="X18">
        <v>0</v>
      </c>
      <c r="Y18">
        <v>0</v>
      </c>
      <c r="Z18">
        <v>0</v>
      </c>
      <c r="AA18">
        <v>0</v>
      </c>
      <c r="AB18">
        <v>0</v>
      </c>
      <c r="AC18">
        <v>0</v>
      </c>
      <c r="AD18">
        <v>0</v>
      </c>
      <c r="AE18">
        <v>0</v>
      </c>
      <c r="AF18">
        <v>0</v>
      </c>
    </row>
    <row r="19" spans="1:32">
      <c r="A19" t="s">
        <v>106</v>
      </c>
      <c r="B19" t="s">
        <v>107</v>
      </c>
      <c r="D19">
        <v>2019</v>
      </c>
      <c r="E19" t="s">
        <v>108</v>
      </c>
      <c r="F19" t="s">
        <v>114</v>
      </c>
      <c r="G19" t="s">
        <v>133</v>
      </c>
      <c r="H19" t="s">
        <v>136</v>
      </c>
      <c r="I19">
        <v>0</v>
      </c>
      <c r="J19">
        <v>0</v>
      </c>
      <c r="M19">
        <v>35.166828485633367</v>
      </c>
      <c r="N19">
        <v>0.61563936970204913</v>
      </c>
      <c r="O19">
        <v>0</v>
      </c>
      <c r="P19">
        <v>0</v>
      </c>
      <c r="Q19">
        <v>0</v>
      </c>
      <c r="R19">
        <v>0</v>
      </c>
      <c r="S19">
        <v>0</v>
      </c>
      <c r="T19">
        <v>0</v>
      </c>
      <c r="U19">
        <v>0</v>
      </c>
      <c r="V19">
        <v>0</v>
      </c>
      <c r="W19">
        <v>0</v>
      </c>
      <c r="X19">
        <v>0</v>
      </c>
      <c r="Y19">
        <v>0</v>
      </c>
      <c r="Z19">
        <v>0</v>
      </c>
      <c r="AA19">
        <v>0</v>
      </c>
      <c r="AB19">
        <v>0</v>
      </c>
      <c r="AC19">
        <v>0</v>
      </c>
      <c r="AD19">
        <v>0</v>
      </c>
      <c r="AE19">
        <v>0</v>
      </c>
      <c r="AF19">
        <v>0</v>
      </c>
    </row>
    <row r="20" spans="1:32">
      <c r="A20" t="s">
        <v>106</v>
      </c>
      <c r="B20" t="s">
        <v>107</v>
      </c>
      <c r="D20">
        <v>2019</v>
      </c>
      <c r="E20" t="s">
        <v>108</v>
      </c>
      <c r="F20" t="s">
        <v>116</v>
      </c>
      <c r="G20" t="s">
        <v>133</v>
      </c>
      <c r="H20" t="s">
        <v>137</v>
      </c>
      <c r="I20">
        <v>0</v>
      </c>
      <c r="J20">
        <v>0</v>
      </c>
      <c r="M20">
        <v>35.166828485633367</v>
      </c>
      <c r="N20">
        <v>0.61563936970204913</v>
      </c>
      <c r="O20">
        <v>0</v>
      </c>
      <c r="P20">
        <v>0</v>
      </c>
      <c r="Q20">
        <v>0</v>
      </c>
      <c r="R20">
        <v>0</v>
      </c>
      <c r="S20">
        <v>0</v>
      </c>
      <c r="T20">
        <v>0</v>
      </c>
      <c r="U20">
        <v>0</v>
      </c>
      <c r="V20">
        <v>0</v>
      </c>
      <c r="W20">
        <v>0</v>
      </c>
      <c r="X20">
        <v>0</v>
      </c>
      <c r="Y20">
        <v>0</v>
      </c>
      <c r="Z20">
        <v>0</v>
      </c>
      <c r="AA20">
        <v>0</v>
      </c>
      <c r="AB20">
        <v>0</v>
      </c>
      <c r="AC20">
        <v>0</v>
      </c>
      <c r="AD20">
        <v>0</v>
      </c>
      <c r="AE20">
        <v>0</v>
      </c>
      <c r="AF20">
        <v>0</v>
      </c>
    </row>
    <row r="21" spans="1:32">
      <c r="A21" t="s">
        <v>106</v>
      </c>
      <c r="B21" t="s">
        <v>107</v>
      </c>
      <c r="D21">
        <v>2019</v>
      </c>
      <c r="E21" t="s">
        <v>108</v>
      </c>
      <c r="F21" t="s">
        <v>120</v>
      </c>
      <c r="G21" t="s">
        <v>133</v>
      </c>
      <c r="H21" t="s">
        <v>138</v>
      </c>
      <c r="I21">
        <v>0</v>
      </c>
      <c r="J21">
        <v>0</v>
      </c>
      <c r="M21">
        <v>35.166828485633367</v>
      </c>
      <c r="N21">
        <v>0.61563936970204913</v>
      </c>
      <c r="O21">
        <v>0</v>
      </c>
      <c r="P21">
        <v>0</v>
      </c>
      <c r="Q21">
        <v>0</v>
      </c>
      <c r="R21">
        <v>0</v>
      </c>
      <c r="S21">
        <v>0</v>
      </c>
      <c r="T21">
        <v>0</v>
      </c>
      <c r="U21">
        <v>0</v>
      </c>
      <c r="V21">
        <v>0</v>
      </c>
      <c r="W21">
        <v>0</v>
      </c>
      <c r="X21">
        <v>0</v>
      </c>
      <c r="Y21">
        <v>0</v>
      </c>
      <c r="Z21">
        <v>0</v>
      </c>
      <c r="AA21">
        <v>0</v>
      </c>
      <c r="AB21">
        <v>0</v>
      </c>
      <c r="AC21">
        <v>0</v>
      </c>
      <c r="AD21">
        <v>0</v>
      </c>
      <c r="AE21">
        <v>0</v>
      </c>
      <c r="AF21">
        <v>0</v>
      </c>
    </row>
    <row r="22" spans="1:32">
      <c r="A22" t="s">
        <v>106</v>
      </c>
      <c r="B22" t="s">
        <v>107</v>
      </c>
      <c r="D22">
        <v>2019</v>
      </c>
      <c r="E22" t="s">
        <v>108</v>
      </c>
      <c r="F22" t="s">
        <v>122</v>
      </c>
      <c r="G22" t="s">
        <v>133</v>
      </c>
      <c r="H22" t="s">
        <v>139</v>
      </c>
      <c r="I22">
        <v>8.6313023999999992</v>
      </c>
      <c r="J22">
        <v>31.086117837003719</v>
      </c>
      <c r="K22">
        <v>1.2700547733316379E-3</v>
      </c>
      <c r="L22">
        <v>0.27765777783051537</v>
      </c>
      <c r="M22">
        <v>34.82759862885878</v>
      </c>
      <c r="N22">
        <v>0.61563936970204913</v>
      </c>
      <c r="O22">
        <v>215.5</v>
      </c>
      <c r="P22">
        <v>186.1</v>
      </c>
      <c r="Q22">
        <v>178.8</v>
      </c>
      <c r="R22">
        <v>172</v>
      </c>
      <c r="S22">
        <v>141.69999999999999</v>
      </c>
      <c r="T22">
        <v>105</v>
      </c>
      <c r="U22">
        <v>55.600000000000023</v>
      </c>
      <c r="V22">
        <v>13</v>
      </c>
      <c r="W22">
        <v>0</v>
      </c>
      <c r="X22">
        <v>0</v>
      </c>
      <c r="Y22">
        <v>0</v>
      </c>
      <c r="Z22">
        <v>0</v>
      </c>
      <c r="AA22">
        <v>0</v>
      </c>
      <c r="AB22">
        <v>0</v>
      </c>
      <c r="AC22">
        <v>0</v>
      </c>
      <c r="AD22">
        <v>0</v>
      </c>
      <c r="AE22">
        <v>0</v>
      </c>
      <c r="AF22">
        <v>0</v>
      </c>
    </row>
    <row r="23" spans="1:32">
      <c r="A23" t="s">
        <v>106</v>
      </c>
      <c r="B23" t="s">
        <v>107</v>
      </c>
      <c r="D23">
        <v>2019</v>
      </c>
      <c r="E23" t="s">
        <v>108</v>
      </c>
      <c r="F23" t="s">
        <v>112</v>
      </c>
      <c r="G23" t="s">
        <v>140</v>
      </c>
      <c r="H23" t="s">
        <v>141</v>
      </c>
      <c r="I23">
        <v>0</v>
      </c>
      <c r="J23">
        <v>0</v>
      </c>
      <c r="M23">
        <v>87.747456285696146</v>
      </c>
      <c r="N23">
        <v>2.6573005447343552</v>
      </c>
      <c r="O23">
        <v>0</v>
      </c>
      <c r="P23">
        <v>0</v>
      </c>
      <c r="Q23">
        <v>0</v>
      </c>
      <c r="R23">
        <v>0</v>
      </c>
      <c r="S23">
        <v>0</v>
      </c>
      <c r="T23">
        <v>0</v>
      </c>
      <c r="U23">
        <v>0</v>
      </c>
      <c r="V23">
        <v>0</v>
      </c>
      <c r="W23">
        <v>0</v>
      </c>
      <c r="X23">
        <v>0</v>
      </c>
      <c r="Y23">
        <v>0</v>
      </c>
      <c r="Z23">
        <v>0</v>
      </c>
      <c r="AA23">
        <v>0</v>
      </c>
      <c r="AB23">
        <v>0</v>
      </c>
      <c r="AC23">
        <v>0</v>
      </c>
      <c r="AD23">
        <v>0</v>
      </c>
      <c r="AE23">
        <v>0</v>
      </c>
      <c r="AF23">
        <v>0</v>
      </c>
    </row>
    <row r="24" spans="1:32">
      <c r="A24" t="s">
        <v>106</v>
      </c>
      <c r="B24" t="s">
        <v>107</v>
      </c>
      <c r="D24">
        <v>2019</v>
      </c>
      <c r="E24" t="s">
        <v>108</v>
      </c>
      <c r="F24" t="s">
        <v>120</v>
      </c>
      <c r="G24" t="s">
        <v>140</v>
      </c>
      <c r="H24" t="s">
        <v>142</v>
      </c>
      <c r="I24">
        <v>0</v>
      </c>
      <c r="J24">
        <v>0</v>
      </c>
      <c r="M24">
        <v>169.72800500622409</v>
      </c>
      <c r="N24">
        <v>4.639282393111869</v>
      </c>
      <c r="O24">
        <v>0</v>
      </c>
      <c r="P24">
        <v>0</v>
      </c>
      <c r="Q24">
        <v>0</v>
      </c>
      <c r="R24">
        <v>0</v>
      </c>
      <c r="S24">
        <v>0</v>
      </c>
      <c r="T24">
        <v>0</v>
      </c>
      <c r="U24">
        <v>0</v>
      </c>
      <c r="V24">
        <v>0</v>
      </c>
      <c r="W24">
        <v>0</v>
      </c>
      <c r="X24">
        <v>0</v>
      </c>
      <c r="Y24">
        <v>0</v>
      </c>
      <c r="Z24">
        <v>0</v>
      </c>
      <c r="AA24">
        <v>0</v>
      </c>
      <c r="AB24">
        <v>0</v>
      </c>
      <c r="AC24">
        <v>0</v>
      </c>
      <c r="AD24">
        <v>0</v>
      </c>
      <c r="AE24">
        <v>0</v>
      </c>
      <c r="AF24">
        <v>0</v>
      </c>
    </row>
    <row r="25" spans="1:32">
      <c r="A25" t="s">
        <v>106</v>
      </c>
      <c r="B25" t="s">
        <v>107</v>
      </c>
      <c r="D25">
        <v>2019</v>
      </c>
      <c r="E25" t="s">
        <v>108</v>
      </c>
      <c r="F25" t="s">
        <v>112</v>
      </c>
      <c r="G25" t="s">
        <v>143</v>
      </c>
      <c r="H25" t="s">
        <v>144</v>
      </c>
      <c r="I25">
        <v>0</v>
      </c>
      <c r="J25">
        <v>0</v>
      </c>
      <c r="M25">
        <v>177.77906027367459</v>
      </c>
      <c r="N25">
        <v>1.5830726649481259</v>
      </c>
      <c r="O25">
        <v>0</v>
      </c>
      <c r="P25">
        <v>0</v>
      </c>
      <c r="Q25">
        <v>0</v>
      </c>
      <c r="R25">
        <v>0</v>
      </c>
      <c r="S25">
        <v>0</v>
      </c>
      <c r="T25">
        <v>0</v>
      </c>
      <c r="U25">
        <v>0</v>
      </c>
      <c r="V25">
        <v>0</v>
      </c>
      <c r="W25">
        <v>0</v>
      </c>
      <c r="X25">
        <v>0</v>
      </c>
      <c r="Y25">
        <v>0</v>
      </c>
      <c r="Z25">
        <v>0</v>
      </c>
      <c r="AA25">
        <v>0</v>
      </c>
      <c r="AB25">
        <v>0</v>
      </c>
      <c r="AC25">
        <v>0</v>
      </c>
      <c r="AD25">
        <v>0</v>
      </c>
      <c r="AE25">
        <v>0</v>
      </c>
      <c r="AF25">
        <v>0</v>
      </c>
    </row>
    <row r="26" spans="1:32">
      <c r="A26" t="s">
        <v>106</v>
      </c>
      <c r="B26" t="s">
        <v>107</v>
      </c>
      <c r="D26">
        <v>2019</v>
      </c>
      <c r="E26" t="s">
        <v>108</v>
      </c>
      <c r="F26" t="s">
        <v>120</v>
      </c>
      <c r="G26" t="s">
        <v>143</v>
      </c>
      <c r="H26" t="s">
        <v>145</v>
      </c>
      <c r="I26">
        <v>0</v>
      </c>
      <c r="J26">
        <v>0</v>
      </c>
      <c r="M26">
        <v>177.77906027367459</v>
      </c>
      <c r="N26">
        <v>1.5830726649481259</v>
      </c>
      <c r="O26">
        <v>0</v>
      </c>
      <c r="P26">
        <v>0</v>
      </c>
      <c r="Q26">
        <v>0</v>
      </c>
      <c r="R26">
        <v>0</v>
      </c>
      <c r="S26">
        <v>0</v>
      </c>
      <c r="T26">
        <v>0</v>
      </c>
      <c r="U26">
        <v>0</v>
      </c>
      <c r="V26">
        <v>0</v>
      </c>
      <c r="W26">
        <v>0</v>
      </c>
      <c r="X26">
        <v>0</v>
      </c>
      <c r="Y26">
        <v>0</v>
      </c>
      <c r="Z26">
        <v>0</v>
      </c>
      <c r="AA26">
        <v>0</v>
      </c>
      <c r="AB26">
        <v>0</v>
      </c>
      <c r="AC26">
        <v>0</v>
      </c>
      <c r="AD26">
        <v>0</v>
      </c>
      <c r="AE26">
        <v>0</v>
      </c>
      <c r="AF26">
        <v>0</v>
      </c>
    </row>
    <row r="27" spans="1:32">
      <c r="A27" t="s">
        <v>106</v>
      </c>
      <c r="B27" t="s">
        <v>107</v>
      </c>
      <c r="D27">
        <v>2019</v>
      </c>
      <c r="E27" t="s">
        <v>108</v>
      </c>
      <c r="F27" t="s">
        <v>122</v>
      </c>
      <c r="G27" t="s">
        <v>146</v>
      </c>
      <c r="H27" t="s">
        <v>147</v>
      </c>
      <c r="I27">
        <v>0</v>
      </c>
      <c r="J27">
        <v>0</v>
      </c>
      <c r="M27">
        <v>177.77906027367459</v>
      </c>
      <c r="N27">
        <v>1.5830726649481259</v>
      </c>
      <c r="O27">
        <v>0</v>
      </c>
      <c r="P27">
        <v>0</v>
      </c>
      <c r="Q27">
        <v>0</v>
      </c>
      <c r="R27">
        <v>0</v>
      </c>
      <c r="S27">
        <v>0</v>
      </c>
      <c r="T27">
        <v>0</v>
      </c>
      <c r="U27">
        <v>0</v>
      </c>
      <c r="V27">
        <v>0</v>
      </c>
      <c r="W27">
        <v>0</v>
      </c>
      <c r="X27">
        <v>0</v>
      </c>
      <c r="Y27">
        <v>0</v>
      </c>
      <c r="Z27">
        <v>0</v>
      </c>
      <c r="AA27">
        <v>0</v>
      </c>
      <c r="AB27">
        <v>0</v>
      </c>
      <c r="AC27">
        <v>0</v>
      </c>
      <c r="AD27">
        <v>0</v>
      </c>
      <c r="AE27">
        <v>0</v>
      </c>
      <c r="AF27">
        <v>0</v>
      </c>
    </row>
    <row r="28" spans="1:32">
      <c r="A28" t="s">
        <v>106</v>
      </c>
      <c r="B28" t="s">
        <v>107</v>
      </c>
      <c r="D28">
        <v>2019</v>
      </c>
      <c r="E28" t="s">
        <v>108</v>
      </c>
      <c r="F28" t="s">
        <v>112</v>
      </c>
      <c r="G28" t="s">
        <v>148</v>
      </c>
      <c r="H28" t="s">
        <v>149</v>
      </c>
      <c r="I28">
        <v>1357.2108000000001</v>
      </c>
      <c r="J28">
        <v>7369.6160186947618</v>
      </c>
      <c r="K28">
        <v>0.72088563058825328</v>
      </c>
      <c r="L28">
        <v>0.1841630278371513</v>
      </c>
      <c r="M28">
        <v>177.77906027367459</v>
      </c>
      <c r="N28">
        <v>1.5830726649481259</v>
      </c>
      <c r="O28">
        <v>59.7</v>
      </c>
      <c r="P28">
        <v>59.7</v>
      </c>
      <c r="Q28">
        <v>59.7</v>
      </c>
      <c r="R28">
        <v>59.7</v>
      </c>
      <c r="S28">
        <v>0</v>
      </c>
      <c r="T28">
        <v>0</v>
      </c>
      <c r="U28">
        <v>0</v>
      </c>
      <c r="V28">
        <v>0</v>
      </c>
      <c r="W28">
        <v>0</v>
      </c>
      <c r="X28">
        <v>0</v>
      </c>
      <c r="Y28">
        <v>0</v>
      </c>
      <c r="Z28">
        <v>0</v>
      </c>
      <c r="AA28">
        <v>0</v>
      </c>
      <c r="AB28">
        <v>0</v>
      </c>
      <c r="AC28">
        <v>0</v>
      </c>
      <c r="AD28">
        <v>0</v>
      </c>
      <c r="AE28">
        <v>0</v>
      </c>
      <c r="AF28">
        <v>0</v>
      </c>
    </row>
    <row r="29" spans="1:32">
      <c r="A29" t="s">
        <v>106</v>
      </c>
      <c r="B29" t="s">
        <v>107</v>
      </c>
      <c r="D29">
        <v>2019</v>
      </c>
      <c r="E29" t="s">
        <v>108</v>
      </c>
      <c r="F29" t="s">
        <v>112</v>
      </c>
      <c r="G29" t="s">
        <v>150</v>
      </c>
      <c r="H29" t="s">
        <v>151</v>
      </c>
      <c r="I29">
        <v>0</v>
      </c>
      <c r="J29">
        <v>0</v>
      </c>
      <c r="M29">
        <v>177.77906027367459</v>
      </c>
      <c r="N29">
        <v>1.5830726649481259</v>
      </c>
      <c r="O29">
        <v>0</v>
      </c>
      <c r="P29">
        <v>0</v>
      </c>
      <c r="Q29">
        <v>0</v>
      </c>
      <c r="R29">
        <v>0</v>
      </c>
      <c r="S29">
        <v>0</v>
      </c>
      <c r="T29">
        <v>0</v>
      </c>
      <c r="U29">
        <v>0</v>
      </c>
      <c r="V29">
        <v>0</v>
      </c>
      <c r="W29">
        <v>0</v>
      </c>
      <c r="X29">
        <v>0</v>
      </c>
      <c r="Y29">
        <v>0</v>
      </c>
      <c r="Z29">
        <v>0</v>
      </c>
      <c r="AA29">
        <v>0</v>
      </c>
      <c r="AB29">
        <v>0</v>
      </c>
      <c r="AC29">
        <v>0</v>
      </c>
      <c r="AD29">
        <v>0</v>
      </c>
      <c r="AE29">
        <v>0</v>
      </c>
      <c r="AF29">
        <v>0</v>
      </c>
    </row>
    <row r="30" spans="1:32">
      <c r="A30" t="s">
        <v>106</v>
      </c>
      <c r="B30" t="s">
        <v>107</v>
      </c>
      <c r="D30">
        <v>2019</v>
      </c>
      <c r="E30" t="s">
        <v>108</v>
      </c>
      <c r="F30" t="s">
        <v>120</v>
      </c>
      <c r="G30" t="s">
        <v>150</v>
      </c>
      <c r="H30" t="s">
        <v>152</v>
      </c>
      <c r="I30">
        <v>0</v>
      </c>
      <c r="J30">
        <v>0</v>
      </c>
      <c r="M30">
        <v>177.77906027367459</v>
      </c>
      <c r="N30">
        <v>1.5830726649481259</v>
      </c>
      <c r="O30">
        <v>0</v>
      </c>
      <c r="P30">
        <v>0</v>
      </c>
      <c r="Q30">
        <v>0</v>
      </c>
      <c r="R30">
        <v>0</v>
      </c>
      <c r="S30">
        <v>0</v>
      </c>
      <c r="T30">
        <v>0</v>
      </c>
      <c r="U30">
        <v>0</v>
      </c>
      <c r="V30">
        <v>0</v>
      </c>
      <c r="W30">
        <v>0</v>
      </c>
      <c r="X30">
        <v>0</v>
      </c>
      <c r="Y30">
        <v>0</v>
      </c>
      <c r="Z30">
        <v>0</v>
      </c>
      <c r="AA30">
        <v>0</v>
      </c>
      <c r="AB30">
        <v>0</v>
      </c>
      <c r="AC30">
        <v>0</v>
      </c>
      <c r="AD30">
        <v>0</v>
      </c>
      <c r="AE30">
        <v>0</v>
      </c>
      <c r="AF30">
        <v>0</v>
      </c>
    </row>
    <row r="31" spans="1:32">
      <c r="A31" t="s">
        <v>106</v>
      </c>
      <c r="B31" t="s">
        <v>107</v>
      </c>
      <c r="D31">
        <v>2019</v>
      </c>
      <c r="E31" t="s">
        <v>108</v>
      </c>
      <c r="F31" t="s">
        <v>112</v>
      </c>
      <c r="G31" t="s">
        <v>153</v>
      </c>
      <c r="H31" t="s">
        <v>154</v>
      </c>
      <c r="I31">
        <v>0</v>
      </c>
      <c r="J31">
        <v>0</v>
      </c>
      <c r="M31">
        <v>177.77906027367459</v>
      </c>
      <c r="N31">
        <v>1.5830726649481259</v>
      </c>
      <c r="O31">
        <v>0</v>
      </c>
      <c r="P31">
        <v>0</v>
      </c>
      <c r="Q31">
        <v>0</v>
      </c>
      <c r="R31">
        <v>0</v>
      </c>
      <c r="S31">
        <v>0</v>
      </c>
      <c r="T31">
        <v>0</v>
      </c>
      <c r="U31">
        <v>0</v>
      </c>
      <c r="V31">
        <v>0</v>
      </c>
      <c r="W31">
        <v>0</v>
      </c>
      <c r="X31">
        <v>0</v>
      </c>
      <c r="Y31">
        <v>0</v>
      </c>
      <c r="Z31">
        <v>0</v>
      </c>
      <c r="AA31">
        <v>0</v>
      </c>
      <c r="AB31">
        <v>0</v>
      </c>
      <c r="AC31">
        <v>0</v>
      </c>
      <c r="AD31">
        <v>0</v>
      </c>
      <c r="AE31">
        <v>0</v>
      </c>
      <c r="AF31">
        <v>0</v>
      </c>
    </row>
    <row r="32" spans="1:32">
      <c r="A32" t="s">
        <v>106</v>
      </c>
      <c r="B32" t="s">
        <v>107</v>
      </c>
      <c r="D32">
        <v>2019</v>
      </c>
      <c r="E32" t="s">
        <v>108</v>
      </c>
      <c r="F32" t="s">
        <v>112</v>
      </c>
      <c r="G32" t="s">
        <v>155</v>
      </c>
      <c r="H32" t="s">
        <v>156</v>
      </c>
      <c r="I32">
        <v>60101.434800000003</v>
      </c>
      <c r="J32">
        <v>182125.56</v>
      </c>
      <c r="K32">
        <v>0.82466637621540018</v>
      </c>
      <c r="L32">
        <v>0.33</v>
      </c>
      <c r="M32">
        <v>172.01215270850639</v>
      </c>
      <c r="N32">
        <v>0.7758312465122762</v>
      </c>
      <c r="O32">
        <v>2311</v>
      </c>
      <c r="P32">
        <v>2311</v>
      </c>
      <c r="Q32">
        <v>0</v>
      </c>
      <c r="R32">
        <v>0</v>
      </c>
      <c r="S32">
        <v>0</v>
      </c>
      <c r="T32">
        <v>0</v>
      </c>
      <c r="U32">
        <v>0</v>
      </c>
      <c r="V32">
        <v>0</v>
      </c>
      <c r="W32">
        <v>0</v>
      </c>
      <c r="X32">
        <v>0</v>
      </c>
      <c r="Y32">
        <v>0</v>
      </c>
      <c r="Z32">
        <v>0</v>
      </c>
      <c r="AA32">
        <v>0</v>
      </c>
      <c r="AB32">
        <v>0</v>
      </c>
      <c r="AC32">
        <v>0</v>
      </c>
      <c r="AD32">
        <v>0</v>
      </c>
      <c r="AE32">
        <v>0</v>
      </c>
      <c r="AF32">
        <v>0</v>
      </c>
    </row>
    <row r="33" spans="1:32">
      <c r="A33" t="s">
        <v>106</v>
      </c>
      <c r="B33" t="s">
        <v>107</v>
      </c>
      <c r="D33">
        <v>2019</v>
      </c>
      <c r="E33" t="s">
        <v>157</v>
      </c>
      <c r="F33" t="s">
        <v>158</v>
      </c>
      <c r="G33" t="s">
        <v>157</v>
      </c>
      <c r="H33" t="s">
        <v>159</v>
      </c>
      <c r="I33">
        <v>0</v>
      </c>
      <c r="J33">
        <v>0</v>
      </c>
      <c r="M33">
        <v>44.870272385432912</v>
      </c>
      <c r="N33">
        <v>0</v>
      </c>
      <c r="O33">
        <v>0</v>
      </c>
      <c r="P33">
        <v>0</v>
      </c>
      <c r="Q33">
        <v>0</v>
      </c>
      <c r="R33">
        <v>0</v>
      </c>
      <c r="S33">
        <v>0</v>
      </c>
      <c r="T33">
        <v>0</v>
      </c>
      <c r="U33">
        <v>0</v>
      </c>
      <c r="V33">
        <v>0</v>
      </c>
      <c r="W33">
        <v>0</v>
      </c>
      <c r="X33">
        <v>0</v>
      </c>
      <c r="Y33">
        <v>0</v>
      </c>
      <c r="Z33">
        <v>0</v>
      </c>
      <c r="AA33">
        <v>0</v>
      </c>
      <c r="AB33">
        <v>0</v>
      </c>
      <c r="AC33">
        <v>0</v>
      </c>
      <c r="AD33">
        <v>0</v>
      </c>
      <c r="AE33">
        <v>0</v>
      </c>
      <c r="AF33">
        <v>0</v>
      </c>
    </row>
    <row r="34" spans="1:32">
      <c r="A34" t="s">
        <v>106</v>
      </c>
      <c r="B34" t="s">
        <v>107</v>
      </c>
      <c r="D34">
        <v>2019</v>
      </c>
      <c r="E34" t="s">
        <v>157</v>
      </c>
      <c r="F34" t="s">
        <v>160</v>
      </c>
      <c r="G34" t="s">
        <v>157</v>
      </c>
      <c r="H34" t="s">
        <v>161</v>
      </c>
      <c r="I34">
        <v>0</v>
      </c>
      <c r="J34">
        <v>0</v>
      </c>
      <c r="M34">
        <v>44.870272385432912</v>
      </c>
      <c r="N34">
        <v>0</v>
      </c>
      <c r="O34">
        <v>0</v>
      </c>
      <c r="P34">
        <v>0</v>
      </c>
      <c r="Q34">
        <v>0</v>
      </c>
      <c r="R34">
        <v>0</v>
      </c>
      <c r="S34">
        <v>0</v>
      </c>
      <c r="T34">
        <v>0</v>
      </c>
      <c r="U34">
        <v>0</v>
      </c>
      <c r="V34">
        <v>0</v>
      </c>
      <c r="W34">
        <v>0</v>
      </c>
      <c r="X34">
        <v>0</v>
      </c>
      <c r="Y34">
        <v>0</v>
      </c>
      <c r="Z34">
        <v>0</v>
      </c>
      <c r="AA34">
        <v>0</v>
      </c>
      <c r="AB34">
        <v>0</v>
      </c>
      <c r="AC34">
        <v>0</v>
      </c>
      <c r="AD34">
        <v>0</v>
      </c>
      <c r="AE34">
        <v>0</v>
      </c>
      <c r="AF34">
        <v>0</v>
      </c>
    </row>
    <row r="35" spans="1:32">
      <c r="A35" t="s">
        <v>106</v>
      </c>
      <c r="B35" t="s">
        <v>107</v>
      </c>
      <c r="D35">
        <v>2019</v>
      </c>
      <c r="E35" t="s">
        <v>157</v>
      </c>
      <c r="F35" t="s">
        <v>162</v>
      </c>
      <c r="G35" t="s">
        <v>157</v>
      </c>
      <c r="H35" t="s">
        <v>163</v>
      </c>
      <c r="I35">
        <v>0</v>
      </c>
      <c r="J35">
        <v>0</v>
      </c>
      <c r="L35">
        <v>0.8</v>
      </c>
      <c r="M35">
        <v>44.870272385432912</v>
      </c>
      <c r="N35">
        <v>0</v>
      </c>
      <c r="O35">
        <v>0</v>
      </c>
      <c r="P35">
        <v>0</v>
      </c>
      <c r="Q35">
        <v>0</v>
      </c>
      <c r="R35">
        <v>0</v>
      </c>
      <c r="S35">
        <v>0</v>
      </c>
      <c r="T35">
        <v>0</v>
      </c>
      <c r="U35">
        <v>0</v>
      </c>
      <c r="V35">
        <v>0</v>
      </c>
      <c r="W35">
        <v>0</v>
      </c>
      <c r="X35">
        <v>0</v>
      </c>
      <c r="Y35">
        <v>0</v>
      </c>
      <c r="Z35">
        <v>0</v>
      </c>
      <c r="AA35">
        <v>0</v>
      </c>
      <c r="AB35">
        <v>0</v>
      </c>
      <c r="AC35">
        <v>0</v>
      </c>
      <c r="AD35">
        <v>0</v>
      </c>
      <c r="AE35">
        <v>0</v>
      </c>
      <c r="AF35">
        <v>0</v>
      </c>
    </row>
    <row r="36" spans="1:32">
      <c r="A36" t="s">
        <v>106</v>
      </c>
      <c r="B36" t="s">
        <v>107</v>
      </c>
      <c r="D36">
        <v>2019</v>
      </c>
      <c r="E36" t="s">
        <v>164</v>
      </c>
      <c r="F36" t="s">
        <v>112</v>
      </c>
      <c r="G36" t="s">
        <v>165</v>
      </c>
      <c r="H36" t="s">
        <v>166</v>
      </c>
      <c r="I36">
        <v>0</v>
      </c>
      <c r="J36">
        <v>0</v>
      </c>
      <c r="L36">
        <v>1</v>
      </c>
      <c r="M36">
        <v>170.8099129312339</v>
      </c>
      <c r="N36">
        <v>0</v>
      </c>
      <c r="O36">
        <v>0</v>
      </c>
      <c r="P36">
        <v>0</v>
      </c>
      <c r="Q36">
        <v>0</v>
      </c>
      <c r="R36">
        <v>0</v>
      </c>
      <c r="S36">
        <v>0</v>
      </c>
      <c r="T36">
        <v>0</v>
      </c>
      <c r="U36">
        <v>0</v>
      </c>
      <c r="V36">
        <v>0</v>
      </c>
      <c r="W36">
        <v>0</v>
      </c>
      <c r="X36">
        <v>0</v>
      </c>
      <c r="Y36">
        <v>0</v>
      </c>
      <c r="Z36">
        <v>0</v>
      </c>
      <c r="AA36">
        <v>0</v>
      </c>
      <c r="AB36">
        <v>0</v>
      </c>
      <c r="AC36">
        <v>0</v>
      </c>
      <c r="AD36">
        <v>0</v>
      </c>
      <c r="AE36">
        <v>0</v>
      </c>
      <c r="AF36">
        <v>0</v>
      </c>
    </row>
    <row r="37" spans="1:32">
      <c r="A37" t="s">
        <v>106</v>
      </c>
      <c r="B37" t="s">
        <v>107</v>
      </c>
      <c r="D37">
        <v>2019</v>
      </c>
      <c r="E37" t="s">
        <v>164</v>
      </c>
      <c r="F37" t="s">
        <v>167</v>
      </c>
      <c r="G37" t="s">
        <v>165</v>
      </c>
      <c r="H37" t="s">
        <v>168</v>
      </c>
      <c r="I37">
        <v>0</v>
      </c>
      <c r="J37">
        <v>0</v>
      </c>
      <c r="L37">
        <v>1</v>
      </c>
      <c r="M37">
        <v>128.4796870790527</v>
      </c>
      <c r="N37">
        <v>0</v>
      </c>
      <c r="O37">
        <v>0</v>
      </c>
      <c r="P37">
        <v>0</v>
      </c>
      <c r="Q37">
        <v>0</v>
      </c>
      <c r="R37">
        <v>0</v>
      </c>
      <c r="S37">
        <v>0</v>
      </c>
      <c r="T37">
        <v>0</v>
      </c>
      <c r="U37">
        <v>0</v>
      </c>
      <c r="V37">
        <v>0</v>
      </c>
      <c r="W37">
        <v>0</v>
      </c>
      <c r="X37">
        <v>0</v>
      </c>
      <c r="Y37">
        <v>0</v>
      </c>
      <c r="Z37">
        <v>0</v>
      </c>
      <c r="AA37">
        <v>0</v>
      </c>
      <c r="AB37">
        <v>0</v>
      </c>
      <c r="AC37">
        <v>0</v>
      </c>
      <c r="AD37">
        <v>0</v>
      </c>
      <c r="AE37">
        <v>0</v>
      </c>
      <c r="AF37">
        <v>0</v>
      </c>
    </row>
    <row r="38" spans="1:32">
      <c r="A38" t="s">
        <v>106</v>
      </c>
      <c r="B38" t="s">
        <v>107</v>
      </c>
      <c r="D38">
        <v>2019</v>
      </c>
      <c r="E38" t="s">
        <v>169</v>
      </c>
      <c r="F38" t="s">
        <v>170</v>
      </c>
      <c r="G38" t="s">
        <v>171</v>
      </c>
      <c r="H38" t="s">
        <v>172</v>
      </c>
      <c r="I38">
        <v>0</v>
      </c>
      <c r="J38">
        <v>0</v>
      </c>
      <c r="L38">
        <v>1</v>
      </c>
      <c r="M38">
        <v>34.974598233461101</v>
      </c>
      <c r="N38">
        <v>0</v>
      </c>
      <c r="O38">
        <v>0</v>
      </c>
      <c r="P38">
        <v>0</v>
      </c>
      <c r="Q38">
        <v>0</v>
      </c>
      <c r="R38">
        <v>0</v>
      </c>
      <c r="S38">
        <v>0</v>
      </c>
      <c r="T38">
        <v>0</v>
      </c>
      <c r="U38">
        <v>0</v>
      </c>
      <c r="V38">
        <v>0</v>
      </c>
      <c r="W38">
        <v>0</v>
      </c>
      <c r="X38">
        <v>0</v>
      </c>
      <c r="Y38">
        <v>0</v>
      </c>
      <c r="Z38">
        <v>0</v>
      </c>
      <c r="AA38">
        <v>0</v>
      </c>
      <c r="AB38">
        <v>0</v>
      </c>
      <c r="AC38">
        <v>0</v>
      </c>
      <c r="AD38">
        <v>0</v>
      </c>
      <c r="AE38">
        <v>0</v>
      </c>
      <c r="AF38">
        <v>0</v>
      </c>
    </row>
    <row r="39" spans="1:32">
      <c r="A39" t="s">
        <v>106</v>
      </c>
      <c r="B39" t="s">
        <v>107</v>
      </c>
      <c r="D39">
        <v>2019</v>
      </c>
      <c r="E39" t="s">
        <v>169</v>
      </c>
      <c r="F39" t="s">
        <v>173</v>
      </c>
      <c r="G39" t="s">
        <v>171</v>
      </c>
      <c r="H39" t="s">
        <v>174</v>
      </c>
      <c r="I39">
        <v>0</v>
      </c>
      <c r="J39">
        <v>0</v>
      </c>
      <c r="L39">
        <v>1</v>
      </c>
      <c r="M39">
        <v>112.5589589754599</v>
      </c>
      <c r="N39">
        <v>0</v>
      </c>
      <c r="O39">
        <v>0</v>
      </c>
      <c r="P39">
        <v>0</v>
      </c>
      <c r="Q39">
        <v>0</v>
      </c>
      <c r="R39">
        <v>0</v>
      </c>
      <c r="S39">
        <v>0</v>
      </c>
      <c r="T39">
        <v>0</v>
      </c>
      <c r="U39">
        <v>0</v>
      </c>
      <c r="V39">
        <v>0</v>
      </c>
      <c r="W39">
        <v>0</v>
      </c>
      <c r="X39">
        <v>0</v>
      </c>
      <c r="Y39">
        <v>0</v>
      </c>
      <c r="Z39">
        <v>0</v>
      </c>
      <c r="AA39">
        <v>0</v>
      </c>
      <c r="AB39">
        <v>0</v>
      </c>
      <c r="AC39">
        <v>0</v>
      </c>
      <c r="AD39">
        <v>0</v>
      </c>
      <c r="AE39">
        <v>0</v>
      </c>
      <c r="AF39">
        <v>0</v>
      </c>
    </row>
    <row r="40" spans="1:32">
      <c r="A40" t="s">
        <v>106</v>
      </c>
      <c r="B40" t="s">
        <v>107</v>
      </c>
      <c r="D40">
        <v>2019</v>
      </c>
      <c r="E40" t="s">
        <v>157</v>
      </c>
      <c r="F40" t="s">
        <v>175</v>
      </c>
      <c r="G40" t="s">
        <v>157</v>
      </c>
      <c r="H40" t="s">
        <v>176</v>
      </c>
      <c r="I40">
        <v>0</v>
      </c>
      <c r="J40">
        <v>0</v>
      </c>
      <c r="L40">
        <v>0.7</v>
      </c>
      <c r="M40">
        <v>21.100097091380011</v>
      </c>
      <c r="N40">
        <v>0.16961492838729941</v>
      </c>
      <c r="O40">
        <v>0</v>
      </c>
      <c r="P40">
        <v>0</v>
      </c>
      <c r="Q40">
        <v>0</v>
      </c>
      <c r="R40">
        <v>0</v>
      </c>
      <c r="S40">
        <v>0</v>
      </c>
      <c r="T40">
        <v>0</v>
      </c>
      <c r="U40">
        <v>0</v>
      </c>
      <c r="V40">
        <v>0</v>
      </c>
      <c r="W40">
        <v>0</v>
      </c>
      <c r="X40">
        <v>0</v>
      </c>
      <c r="Y40">
        <v>0</v>
      </c>
      <c r="Z40">
        <v>0</v>
      </c>
      <c r="AA40">
        <v>0</v>
      </c>
      <c r="AB40">
        <v>0</v>
      </c>
      <c r="AC40">
        <v>0</v>
      </c>
      <c r="AD40">
        <v>0</v>
      </c>
      <c r="AE40">
        <v>0</v>
      </c>
      <c r="AF40">
        <v>0</v>
      </c>
    </row>
    <row r="41" spans="1:32">
      <c r="A41" t="s">
        <v>106</v>
      </c>
      <c r="B41" t="s">
        <v>107</v>
      </c>
      <c r="D41">
        <v>2019</v>
      </c>
      <c r="E41" t="s">
        <v>177</v>
      </c>
      <c r="F41" t="s">
        <v>178</v>
      </c>
      <c r="G41" t="s">
        <v>179</v>
      </c>
      <c r="H41" t="s">
        <v>180</v>
      </c>
      <c r="I41">
        <v>0</v>
      </c>
      <c r="J41">
        <v>0</v>
      </c>
      <c r="M41">
        <v>122.2349283806013</v>
      </c>
      <c r="N41">
        <v>0</v>
      </c>
      <c r="O41">
        <v>0</v>
      </c>
      <c r="P41">
        <v>0</v>
      </c>
      <c r="Q41">
        <v>0</v>
      </c>
      <c r="R41">
        <v>0</v>
      </c>
      <c r="S41">
        <v>0</v>
      </c>
      <c r="T41">
        <v>0</v>
      </c>
      <c r="U41">
        <v>0</v>
      </c>
      <c r="V41">
        <v>0</v>
      </c>
      <c r="W41">
        <v>0</v>
      </c>
      <c r="X41">
        <v>0</v>
      </c>
      <c r="Y41">
        <v>0</v>
      </c>
      <c r="Z41">
        <v>0</v>
      </c>
      <c r="AA41">
        <v>0</v>
      </c>
      <c r="AB41">
        <v>0</v>
      </c>
      <c r="AC41">
        <v>0</v>
      </c>
      <c r="AD41">
        <v>0</v>
      </c>
      <c r="AE41">
        <v>0</v>
      </c>
      <c r="AF41">
        <v>0</v>
      </c>
    </row>
    <row r="42" spans="1:32">
      <c r="A42" t="s">
        <v>106</v>
      </c>
      <c r="B42" t="s">
        <v>107</v>
      </c>
      <c r="D42">
        <v>2019</v>
      </c>
      <c r="E42" t="s">
        <v>169</v>
      </c>
      <c r="F42" t="s">
        <v>181</v>
      </c>
      <c r="G42" t="s">
        <v>182</v>
      </c>
      <c r="H42" t="s">
        <v>183</v>
      </c>
      <c r="I42">
        <v>29.980799999999999</v>
      </c>
      <c r="J42">
        <v>78.242941836</v>
      </c>
      <c r="K42">
        <v>0.1558499887716146</v>
      </c>
      <c r="L42">
        <v>0.38317577658111102</v>
      </c>
      <c r="M42">
        <v>25.474928501147339</v>
      </c>
      <c r="N42">
        <v>0</v>
      </c>
      <c r="O42">
        <v>6.1000000000000014</v>
      </c>
      <c r="P42">
        <v>6.1</v>
      </c>
      <c r="Q42">
        <v>6.1</v>
      </c>
      <c r="R42">
        <v>6.1</v>
      </c>
      <c r="S42">
        <v>6.1</v>
      </c>
      <c r="T42">
        <v>6.1</v>
      </c>
      <c r="U42">
        <v>6.1</v>
      </c>
      <c r="V42">
        <v>3.5</v>
      </c>
      <c r="W42">
        <v>0</v>
      </c>
      <c r="X42">
        <v>0</v>
      </c>
      <c r="Y42">
        <v>0</v>
      </c>
      <c r="Z42">
        <v>0</v>
      </c>
      <c r="AA42">
        <v>0</v>
      </c>
      <c r="AB42">
        <v>0</v>
      </c>
      <c r="AC42">
        <v>0</v>
      </c>
      <c r="AD42">
        <v>0</v>
      </c>
      <c r="AE42">
        <v>0</v>
      </c>
      <c r="AF42">
        <v>0</v>
      </c>
    </row>
    <row r="43" spans="1:32">
      <c r="A43" t="s">
        <v>106</v>
      </c>
      <c r="B43" t="s">
        <v>107</v>
      </c>
      <c r="D43">
        <v>2019</v>
      </c>
      <c r="E43" t="s">
        <v>169</v>
      </c>
      <c r="F43" t="s">
        <v>184</v>
      </c>
      <c r="G43" t="s">
        <v>182</v>
      </c>
      <c r="H43" t="s">
        <v>185</v>
      </c>
      <c r="I43">
        <v>0</v>
      </c>
      <c r="J43">
        <v>0</v>
      </c>
      <c r="L43">
        <v>1</v>
      </c>
      <c r="M43">
        <v>78.13820520946102</v>
      </c>
      <c r="N43">
        <v>1.151025750139367</v>
      </c>
      <c r="O43">
        <v>0</v>
      </c>
      <c r="P43">
        <v>0</v>
      </c>
      <c r="Q43">
        <v>0</v>
      </c>
      <c r="R43">
        <v>0</v>
      </c>
      <c r="S43">
        <v>0</v>
      </c>
      <c r="T43">
        <v>0</v>
      </c>
      <c r="U43">
        <v>0</v>
      </c>
      <c r="V43">
        <v>0</v>
      </c>
      <c r="W43">
        <v>0</v>
      </c>
      <c r="X43">
        <v>0</v>
      </c>
      <c r="Y43">
        <v>0</v>
      </c>
      <c r="Z43">
        <v>0</v>
      </c>
      <c r="AA43">
        <v>0</v>
      </c>
      <c r="AB43">
        <v>0</v>
      </c>
      <c r="AC43">
        <v>0</v>
      </c>
      <c r="AD43">
        <v>0</v>
      </c>
      <c r="AE43">
        <v>0</v>
      </c>
      <c r="AF43">
        <v>0</v>
      </c>
    </row>
    <row r="44" spans="1:32">
      <c r="A44" t="s">
        <v>106</v>
      </c>
      <c r="B44" t="s">
        <v>107</v>
      </c>
      <c r="D44">
        <v>2019</v>
      </c>
      <c r="E44" t="s">
        <v>169</v>
      </c>
      <c r="F44" t="s">
        <v>112</v>
      </c>
      <c r="G44" t="s">
        <v>182</v>
      </c>
      <c r="H44" t="s">
        <v>186</v>
      </c>
      <c r="I44">
        <v>0</v>
      </c>
      <c r="J44">
        <v>0</v>
      </c>
      <c r="L44">
        <v>1</v>
      </c>
      <c r="M44">
        <v>78.13820520946102</v>
      </c>
      <c r="N44">
        <v>1.151025750139367</v>
      </c>
      <c r="O44">
        <v>0</v>
      </c>
      <c r="P44">
        <v>0</v>
      </c>
      <c r="Q44">
        <v>0</v>
      </c>
      <c r="R44">
        <v>0</v>
      </c>
      <c r="S44">
        <v>0</v>
      </c>
      <c r="T44">
        <v>0</v>
      </c>
      <c r="U44">
        <v>0</v>
      </c>
      <c r="V44">
        <v>0</v>
      </c>
      <c r="W44">
        <v>0</v>
      </c>
      <c r="X44">
        <v>0</v>
      </c>
      <c r="Y44">
        <v>0</v>
      </c>
      <c r="Z44">
        <v>0</v>
      </c>
      <c r="AA44">
        <v>0</v>
      </c>
      <c r="AB44">
        <v>0</v>
      </c>
      <c r="AC44">
        <v>0</v>
      </c>
      <c r="AD44">
        <v>0</v>
      </c>
      <c r="AE44">
        <v>0</v>
      </c>
      <c r="AF44">
        <v>0</v>
      </c>
    </row>
    <row r="45" spans="1:32">
      <c r="A45" t="s">
        <v>106</v>
      </c>
      <c r="B45" t="s">
        <v>107</v>
      </c>
      <c r="D45">
        <v>2019</v>
      </c>
      <c r="E45" t="s">
        <v>169</v>
      </c>
      <c r="F45" t="s">
        <v>120</v>
      </c>
      <c r="G45" t="s">
        <v>182</v>
      </c>
      <c r="H45" t="s">
        <v>187</v>
      </c>
      <c r="I45">
        <v>0</v>
      </c>
      <c r="J45">
        <v>0</v>
      </c>
      <c r="L45">
        <v>1</v>
      </c>
      <c r="M45">
        <v>78.13820520946102</v>
      </c>
      <c r="N45">
        <v>1.151025750139367</v>
      </c>
      <c r="O45">
        <v>0</v>
      </c>
      <c r="P45">
        <v>0</v>
      </c>
      <c r="Q45">
        <v>0</v>
      </c>
      <c r="R45">
        <v>0</v>
      </c>
      <c r="S45">
        <v>0</v>
      </c>
      <c r="T45">
        <v>0</v>
      </c>
      <c r="U45">
        <v>0</v>
      </c>
      <c r="V45">
        <v>0</v>
      </c>
      <c r="W45">
        <v>0</v>
      </c>
      <c r="X45">
        <v>0</v>
      </c>
      <c r="Y45">
        <v>0</v>
      </c>
      <c r="Z45">
        <v>0</v>
      </c>
      <c r="AA45">
        <v>0</v>
      </c>
      <c r="AB45">
        <v>0</v>
      </c>
      <c r="AC45">
        <v>0</v>
      </c>
      <c r="AD45">
        <v>0</v>
      </c>
      <c r="AE45">
        <v>0</v>
      </c>
      <c r="AF45">
        <v>0</v>
      </c>
    </row>
    <row r="46" spans="1:32">
      <c r="A46" t="s">
        <v>106</v>
      </c>
      <c r="B46" t="s">
        <v>188</v>
      </c>
      <c r="D46">
        <v>2019</v>
      </c>
      <c r="E46" t="s">
        <v>169</v>
      </c>
      <c r="F46" t="s">
        <v>189</v>
      </c>
      <c r="G46" t="s">
        <v>182</v>
      </c>
      <c r="H46" t="s">
        <v>190</v>
      </c>
      <c r="I46">
        <v>2334.3680876516091</v>
      </c>
      <c r="J46">
        <v>2334.3680876516091</v>
      </c>
      <c r="K46">
        <v>0.1558499887716146</v>
      </c>
      <c r="L46">
        <v>1</v>
      </c>
      <c r="M46">
        <v>20.242248163120561</v>
      </c>
      <c r="N46">
        <v>0</v>
      </c>
      <c r="O46">
        <v>474.95881813276537</v>
      </c>
      <c r="P46">
        <v>474.95881813276537</v>
      </c>
      <c r="Q46">
        <v>474.95881813276537</v>
      </c>
      <c r="R46">
        <v>474.95881813276537</v>
      </c>
      <c r="S46">
        <v>474.95881813276537</v>
      </c>
      <c r="T46">
        <v>474.95881813276537</v>
      </c>
      <c r="U46">
        <v>474.95881813276537</v>
      </c>
      <c r="V46">
        <v>474.95881813276537</v>
      </c>
      <c r="W46">
        <v>474.95881813276537</v>
      </c>
      <c r="X46">
        <v>474.95881813276537</v>
      </c>
      <c r="Y46">
        <v>474.95881813276537</v>
      </c>
      <c r="Z46">
        <v>474.95881813276537</v>
      </c>
      <c r="AA46">
        <v>474.95881813276537</v>
      </c>
      <c r="AB46">
        <v>474.95881813276537</v>
      </c>
      <c r="AC46">
        <v>474.95881813276537</v>
      </c>
      <c r="AD46">
        <v>474.95881813276537</v>
      </c>
      <c r="AE46">
        <v>474.95881813276537</v>
      </c>
      <c r="AF46">
        <v>474.95881813276537</v>
      </c>
    </row>
    <row r="47" spans="1:32">
      <c r="A47" t="s">
        <v>106</v>
      </c>
      <c r="B47" t="s">
        <v>188</v>
      </c>
      <c r="D47">
        <v>2019</v>
      </c>
      <c r="E47" t="s">
        <v>169</v>
      </c>
      <c r="F47" t="s">
        <v>191</v>
      </c>
      <c r="G47" t="s">
        <v>182</v>
      </c>
      <c r="H47" t="s">
        <v>192</v>
      </c>
      <c r="I47">
        <v>3448.5131018862198</v>
      </c>
      <c r="J47">
        <v>3448.5131018862198</v>
      </c>
      <c r="K47">
        <v>0.1558499887716146</v>
      </c>
      <c r="L47">
        <v>1</v>
      </c>
      <c r="M47">
        <v>34.293446157052813</v>
      </c>
      <c r="N47">
        <v>0</v>
      </c>
      <c r="O47">
        <v>701.64671794968604</v>
      </c>
      <c r="P47">
        <v>701.64671794968604</v>
      </c>
      <c r="Q47">
        <v>701.64671794968604</v>
      </c>
      <c r="R47">
        <v>701.64671794968604</v>
      </c>
      <c r="S47">
        <v>701.64671794968604</v>
      </c>
      <c r="T47">
        <v>701.64671794968604</v>
      </c>
      <c r="U47">
        <v>701.64671794968604</v>
      </c>
      <c r="V47">
        <v>701.64671794968604</v>
      </c>
      <c r="W47">
        <v>701.64671794968604</v>
      </c>
      <c r="X47">
        <v>701.64671794968604</v>
      </c>
      <c r="Y47">
        <v>701.64671794968604</v>
      </c>
      <c r="Z47">
        <v>701.64671794968604</v>
      </c>
      <c r="AA47">
        <v>701.64671794968604</v>
      </c>
      <c r="AB47">
        <v>701.64671794968604</v>
      </c>
      <c r="AC47">
        <v>701.64671794968604</v>
      </c>
      <c r="AD47">
        <v>701.64671794968604</v>
      </c>
      <c r="AE47">
        <v>701.64671794968604</v>
      </c>
      <c r="AF47">
        <v>701.64671794968604</v>
      </c>
    </row>
    <row r="48" spans="1:32">
      <c r="A48" t="s">
        <v>106</v>
      </c>
      <c r="B48" t="s">
        <v>188</v>
      </c>
      <c r="D48">
        <v>2019</v>
      </c>
      <c r="E48" t="s">
        <v>169</v>
      </c>
      <c r="F48" t="s">
        <v>193</v>
      </c>
      <c r="G48" t="s">
        <v>182</v>
      </c>
      <c r="H48" t="s">
        <v>194</v>
      </c>
      <c r="I48">
        <v>0</v>
      </c>
      <c r="J48">
        <v>0</v>
      </c>
      <c r="K48">
        <v>0.1558499887716146</v>
      </c>
      <c r="L48">
        <v>1</v>
      </c>
      <c r="M48">
        <v>20.242248163120561</v>
      </c>
      <c r="N48">
        <v>0</v>
      </c>
      <c r="O48">
        <v>0</v>
      </c>
      <c r="P48">
        <v>0</v>
      </c>
      <c r="Q48">
        <v>0</v>
      </c>
      <c r="R48">
        <v>0</v>
      </c>
      <c r="S48">
        <v>0</v>
      </c>
      <c r="T48">
        <v>0</v>
      </c>
      <c r="U48">
        <v>0</v>
      </c>
      <c r="V48">
        <v>0</v>
      </c>
      <c r="W48">
        <v>0</v>
      </c>
      <c r="X48">
        <v>0</v>
      </c>
      <c r="Y48">
        <v>0</v>
      </c>
      <c r="Z48">
        <v>0</v>
      </c>
      <c r="AA48">
        <v>0</v>
      </c>
      <c r="AB48">
        <v>0</v>
      </c>
      <c r="AC48">
        <v>0</v>
      </c>
      <c r="AD48">
        <v>0</v>
      </c>
      <c r="AE48">
        <v>0</v>
      </c>
      <c r="AF48">
        <v>0</v>
      </c>
    </row>
    <row r="49" spans="1:44">
      <c r="A49" t="s">
        <v>106</v>
      </c>
      <c r="B49" t="s">
        <v>188</v>
      </c>
      <c r="D49">
        <v>2019</v>
      </c>
      <c r="E49" t="s">
        <v>169</v>
      </c>
      <c r="F49" t="s">
        <v>195</v>
      </c>
      <c r="G49" t="s">
        <v>182</v>
      </c>
      <c r="H49" t="s">
        <v>196</v>
      </c>
      <c r="I49">
        <v>67.681706472196069</v>
      </c>
      <c r="J49">
        <v>67.681706472196069</v>
      </c>
      <c r="K49">
        <v>0.1558499887716146</v>
      </c>
      <c r="L49">
        <v>1</v>
      </c>
      <c r="M49">
        <v>20.242248163120561</v>
      </c>
      <c r="N49">
        <v>0</v>
      </c>
      <c r="O49">
        <v>13.77076026925219</v>
      </c>
      <c r="P49">
        <v>13.77076026925219</v>
      </c>
      <c r="Q49">
        <v>13.77076026925219</v>
      </c>
      <c r="R49">
        <v>13.77076026925219</v>
      </c>
      <c r="S49">
        <v>13.77076026925219</v>
      </c>
      <c r="T49">
        <v>13.77076026925219</v>
      </c>
      <c r="U49">
        <v>13.77076026925219</v>
      </c>
      <c r="V49">
        <v>13.77076026925219</v>
      </c>
      <c r="W49">
        <v>13.77076026925219</v>
      </c>
      <c r="X49">
        <v>13.77076026925219</v>
      </c>
      <c r="Y49">
        <v>13.77076026925219</v>
      </c>
      <c r="Z49">
        <v>13.77076026925219</v>
      </c>
      <c r="AA49">
        <v>13.77076026925219</v>
      </c>
      <c r="AB49">
        <v>13.77076026925219</v>
      </c>
      <c r="AC49">
        <v>13.77076026925219</v>
      </c>
      <c r="AD49">
        <v>13.77076026925219</v>
      </c>
      <c r="AE49">
        <v>13.77076026925219</v>
      </c>
      <c r="AF49">
        <v>13.77076026925219</v>
      </c>
    </row>
    <row r="50" spans="1:44">
      <c r="A50" t="s">
        <v>197</v>
      </c>
      <c r="B50" t="s">
        <v>107</v>
      </c>
      <c r="D50">
        <v>2019</v>
      </c>
      <c r="E50" t="s">
        <v>198</v>
      </c>
      <c r="F50" t="s">
        <v>199</v>
      </c>
      <c r="G50" t="s">
        <v>106</v>
      </c>
      <c r="H50" t="s">
        <v>200</v>
      </c>
      <c r="I50">
        <v>183214.53185075961</v>
      </c>
      <c r="L50">
        <v>1</v>
      </c>
      <c r="O50">
        <v>17429.084080171189</v>
      </c>
    </row>
    <row r="51" spans="1:44">
      <c r="A51" t="s">
        <v>197</v>
      </c>
      <c r="B51" t="s">
        <v>107</v>
      </c>
      <c r="D51">
        <v>2019</v>
      </c>
      <c r="E51" t="s">
        <v>201</v>
      </c>
      <c r="F51" t="s">
        <v>202</v>
      </c>
      <c r="G51" t="s">
        <v>106</v>
      </c>
      <c r="H51" t="s">
        <v>203</v>
      </c>
      <c r="I51">
        <v>43034.141007505437</v>
      </c>
      <c r="K51">
        <v>1</v>
      </c>
      <c r="L51">
        <v>1</v>
      </c>
      <c r="O51">
        <v>1364.6036595479909</v>
      </c>
      <c r="P51">
        <v>1364.6036595479909</v>
      </c>
      <c r="Q51">
        <v>1364.6036595479909</v>
      </c>
      <c r="R51">
        <v>1364.6036595479909</v>
      </c>
      <c r="S51">
        <v>1364.6036595479909</v>
      </c>
      <c r="T51">
        <v>1364.6036595479909</v>
      </c>
      <c r="U51">
        <v>1364.6036595479909</v>
      </c>
      <c r="V51">
        <v>1364.6036595479909</v>
      </c>
      <c r="W51">
        <v>1364.6036595479909</v>
      </c>
      <c r="X51">
        <v>1364.6036595479909</v>
      </c>
      <c r="Y51">
        <v>1364.6036595479909</v>
      </c>
      <c r="Z51">
        <v>1364.6036595479909</v>
      </c>
      <c r="AA51">
        <v>1364.6036595479909</v>
      </c>
      <c r="AB51">
        <v>1364.6036595479909</v>
      </c>
      <c r="AC51">
        <v>1364.6036595479909</v>
      </c>
      <c r="AD51">
        <v>1364.6036595479909</v>
      </c>
      <c r="AE51">
        <v>1364.6036595479909</v>
      </c>
      <c r="AF51">
        <v>1364.6036595479909</v>
      </c>
      <c r="AG51">
        <v>67.865561350034497</v>
      </c>
      <c r="AH51">
        <v>67.865561350034497</v>
      </c>
      <c r="AI51">
        <v>67.865561350034497</v>
      </c>
      <c r="AJ51">
        <v>67.865561350034497</v>
      </c>
      <c r="AK51">
        <v>2.6429913923359119E-3</v>
      </c>
      <c r="AL51">
        <v>2.6429913923359119E-3</v>
      </c>
      <c r="AM51">
        <v>2.6429913923359119E-3</v>
      </c>
      <c r="AN51">
        <v>2.6429913923359119E-3</v>
      </c>
      <c r="AO51">
        <v>3.0952951661773282E-4</v>
      </c>
      <c r="AP51">
        <v>3.0952951661773282E-4</v>
      </c>
      <c r="AQ51">
        <v>3.0952951661773282E-4</v>
      </c>
      <c r="AR51">
        <v>3.0952951661773282E-4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39997558519241921"/>
  </sheetPr>
  <dimension ref="A1"/>
  <sheetViews>
    <sheetView workbookViewId="0">
      <selection activeCell="E15" sqref="E14:E15"/>
    </sheetView>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C80"/>
  <sheetViews>
    <sheetView topLeftCell="A10" zoomScale="70" zoomScaleNormal="70" workbookViewId="0">
      <selection activeCell="B49" sqref="B49"/>
    </sheetView>
  </sheetViews>
  <sheetFormatPr defaultRowHeight="15"/>
  <cols>
    <col min="1" max="1" width="13.7109375" bestFit="1" customWidth="1"/>
    <col min="2" max="2" width="22.7109375" bestFit="1" customWidth="1"/>
    <col min="3" max="3" width="13.7109375" bestFit="1" customWidth="1"/>
    <col min="4" max="4" width="27.140625" bestFit="1" customWidth="1"/>
    <col min="5" max="5" width="75.5703125" bestFit="1" customWidth="1"/>
    <col min="6" max="6" width="10.7109375" customWidth="1"/>
    <col min="7" max="7" width="27.42578125" customWidth="1"/>
  </cols>
  <sheetData>
    <row r="1" spans="1:29">
      <c r="H1" t="s">
        <v>204</v>
      </c>
    </row>
    <row r="2" spans="1:29">
      <c r="A2" t="s">
        <v>205</v>
      </c>
      <c r="B2" t="s">
        <v>206</v>
      </c>
      <c r="C2" t="s">
        <v>207</v>
      </c>
      <c r="D2" t="s">
        <v>208</v>
      </c>
      <c r="E2" t="s">
        <v>209</v>
      </c>
      <c r="F2" t="s">
        <v>210</v>
      </c>
      <c r="G2" t="s">
        <v>211</v>
      </c>
      <c r="H2">
        <v>2019</v>
      </c>
      <c r="I2">
        <v>2020</v>
      </c>
      <c r="J2">
        <v>2021</v>
      </c>
      <c r="K2">
        <v>2022</v>
      </c>
      <c r="L2">
        <v>2023</v>
      </c>
      <c r="M2">
        <v>2024</v>
      </c>
      <c r="N2">
        <v>2025</v>
      </c>
      <c r="O2">
        <v>2030</v>
      </c>
      <c r="P2">
        <v>2035</v>
      </c>
      <c r="Q2">
        <v>2040</v>
      </c>
      <c r="R2">
        <v>2045</v>
      </c>
      <c r="S2">
        <v>2050</v>
      </c>
      <c r="T2">
        <v>2055</v>
      </c>
      <c r="U2">
        <v>2060</v>
      </c>
      <c r="V2">
        <v>2065</v>
      </c>
      <c r="W2">
        <v>2070</v>
      </c>
      <c r="X2">
        <v>2075</v>
      </c>
      <c r="Y2">
        <v>2080</v>
      </c>
      <c r="Z2">
        <v>2085</v>
      </c>
      <c r="AA2">
        <v>2090</v>
      </c>
      <c r="AB2">
        <v>2095</v>
      </c>
      <c r="AC2">
        <v>2100</v>
      </c>
    </row>
    <row r="3" spans="1:29">
      <c r="A3" t="s">
        <v>212</v>
      </c>
      <c r="B3" t="s">
        <v>213</v>
      </c>
      <c r="C3" t="s">
        <v>212</v>
      </c>
      <c r="D3" t="s">
        <v>214</v>
      </c>
      <c r="E3" t="s">
        <v>215</v>
      </c>
      <c r="F3">
        <v>1</v>
      </c>
      <c r="G3" t="s">
        <v>216</v>
      </c>
      <c r="H3">
        <v>33.139282276855504</v>
      </c>
      <c r="I3">
        <v>28.40479248892813</v>
      </c>
      <c r="J3">
        <v>34.017648304355177</v>
      </c>
      <c r="K3">
        <v>36.740012601801659</v>
      </c>
      <c r="L3">
        <v>38.524661886623818</v>
      </c>
      <c r="M3">
        <v>38.534249602272091</v>
      </c>
      <c r="N3">
        <v>37.487506441701733</v>
      </c>
      <c r="O3">
        <v>36.540775308490318</v>
      </c>
      <c r="P3">
        <v>42.127352323597187</v>
      </c>
      <c r="Q3">
        <v>46.993145681004549</v>
      </c>
      <c r="R3">
        <v>51.097312431038382</v>
      </c>
      <c r="S3">
        <v>54.209147219371808</v>
      </c>
      <c r="T3">
        <v>54.209147219371808</v>
      </c>
      <c r="U3">
        <v>54.209147219371808</v>
      </c>
      <c r="V3">
        <v>54.209147219371808</v>
      </c>
      <c r="W3">
        <v>54.209147219371808</v>
      </c>
      <c r="X3">
        <v>54.209147219371808</v>
      </c>
      <c r="Y3">
        <v>54.209147219371808</v>
      </c>
      <c r="Z3">
        <v>54.209147219371808</v>
      </c>
      <c r="AA3">
        <v>54.209147219371808</v>
      </c>
      <c r="AB3">
        <v>54.209147219371808</v>
      </c>
      <c r="AC3">
        <v>54.209147219371808</v>
      </c>
    </row>
    <row r="4" spans="1:29">
      <c r="A4" t="s">
        <v>212</v>
      </c>
      <c r="B4" t="s">
        <v>133</v>
      </c>
      <c r="C4" t="s">
        <v>212</v>
      </c>
      <c r="D4" t="s">
        <v>217</v>
      </c>
      <c r="E4" t="s">
        <v>218</v>
      </c>
      <c r="F4">
        <v>1</v>
      </c>
      <c r="G4" t="s">
        <v>219</v>
      </c>
      <c r="H4">
        <v>21.264372794315619</v>
      </c>
      <c r="I4">
        <v>17.088444679167988</v>
      </c>
      <c r="J4">
        <v>19.92401014423324</v>
      </c>
      <c r="K4">
        <v>21.518488792296559</v>
      </c>
      <c r="L4">
        <v>19.660522844879619</v>
      </c>
      <c r="M4">
        <v>18.790160036417891</v>
      </c>
      <c r="N4">
        <v>17.783448590788041</v>
      </c>
      <c r="O4">
        <v>17.917993422413289</v>
      </c>
      <c r="P4">
        <v>19.239677901023619</v>
      </c>
      <c r="Q4">
        <v>20.738887936986789</v>
      </c>
      <c r="R4">
        <v>22.093131907098801</v>
      </c>
      <c r="S4">
        <v>23.25884687222862</v>
      </c>
      <c r="T4">
        <v>23.25884687222862</v>
      </c>
      <c r="U4">
        <v>23.25884687222862</v>
      </c>
      <c r="V4">
        <v>23.25884687222862</v>
      </c>
      <c r="W4">
        <v>23.25884687222862</v>
      </c>
      <c r="X4">
        <v>23.25884687222862</v>
      </c>
      <c r="Y4">
        <v>23.25884687222862</v>
      </c>
      <c r="Z4">
        <v>23.25884687222862</v>
      </c>
      <c r="AA4">
        <v>23.25884687222862</v>
      </c>
      <c r="AB4">
        <v>23.25884687222862</v>
      </c>
      <c r="AC4">
        <v>23.25884687222862</v>
      </c>
    </row>
    <row r="5" spans="1:29">
      <c r="A5" t="s">
        <v>212</v>
      </c>
      <c r="B5" t="s">
        <v>220</v>
      </c>
      <c r="C5" t="s">
        <v>212</v>
      </c>
      <c r="D5" t="s">
        <v>217</v>
      </c>
      <c r="E5" t="s">
        <v>221</v>
      </c>
      <c r="F5">
        <v>1</v>
      </c>
      <c r="G5" t="s">
        <v>222</v>
      </c>
      <c r="H5">
        <v>24.732951005959819</v>
      </c>
      <c r="I5">
        <v>15.77561813556207</v>
      </c>
      <c r="J5">
        <v>24.57544661685143</v>
      </c>
      <c r="K5">
        <v>26.542170414597098</v>
      </c>
      <c r="L5">
        <v>24.250445875905839</v>
      </c>
      <c r="M5">
        <v>23.17688916810447</v>
      </c>
      <c r="N5">
        <v>21.93515202726034</v>
      </c>
      <c r="O5">
        <v>22.101107540394661</v>
      </c>
      <c r="P5">
        <v>23.73135095591563</v>
      </c>
      <c r="Q5">
        <v>25.58056484104932</v>
      </c>
      <c r="R5">
        <v>27.2509690494769</v>
      </c>
      <c r="S5">
        <v>28.688830488445522</v>
      </c>
      <c r="T5">
        <v>28.688830488445522</v>
      </c>
      <c r="U5">
        <v>28.688830488445522</v>
      </c>
      <c r="V5">
        <v>28.688830488445522</v>
      </c>
      <c r="W5">
        <v>28.688830488445522</v>
      </c>
      <c r="X5">
        <v>28.688830488445522</v>
      </c>
      <c r="Y5">
        <v>28.688830488445522</v>
      </c>
      <c r="Z5">
        <v>28.688830488445522</v>
      </c>
      <c r="AA5">
        <v>28.688830488445522</v>
      </c>
      <c r="AB5">
        <v>28.688830488445522</v>
      </c>
      <c r="AC5">
        <v>28.688830488445522</v>
      </c>
    </row>
    <row r="6" spans="1:29">
      <c r="A6" t="s">
        <v>212</v>
      </c>
      <c r="B6" t="s">
        <v>110</v>
      </c>
      <c r="C6" t="s">
        <v>212</v>
      </c>
      <c r="D6" t="s">
        <v>223</v>
      </c>
      <c r="E6" t="s">
        <v>224</v>
      </c>
      <c r="F6">
        <v>1</v>
      </c>
      <c r="G6" t="s">
        <v>225</v>
      </c>
      <c r="H6">
        <v>13.49873431410581</v>
      </c>
      <c r="I6">
        <v>13.43206000813332</v>
      </c>
      <c r="J6">
        <v>14.307990071302511</v>
      </c>
      <c r="K6">
        <v>15.4530298750489</v>
      </c>
      <c r="L6">
        <v>14.920711521748281</v>
      </c>
      <c r="M6">
        <v>13.391340093019449</v>
      </c>
      <c r="N6">
        <v>12.766540415977071</v>
      </c>
      <c r="O6">
        <v>12.38627375993603</v>
      </c>
      <c r="P6">
        <v>13.885006516207509</v>
      </c>
      <c r="Q6">
        <v>15.19974820513929</v>
      </c>
      <c r="R6">
        <v>16.020235201885939</v>
      </c>
      <c r="S6">
        <v>16.837250221437461</v>
      </c>
      <c r="T6">
        <v>16.837250221437461</v>
      </c>
      <c r="U6">
        <v>16.837250221437461</v>
      </c>
      <c r="V6">
        <v>16.837250221437461</v>
      </c>
      <c r="W6">
        <v>16.837250221437461</v>
      </c>
      <c r="X6">
        <v>16.837250221437461</v>
      </c>
      <c r="Y6">
        <v>16.837250221437461</v>
      </c>
      <c r="Z6">
        <v>16.837250221437461</v>
      </c>
      <c r="AA6">
        <v>16.837250221437461</v>
      </c>
      <c r="AB6">
        <v>16.837250221437461</v>
      </c>
      <c r="AC6">
        <v>16.837250221437461</v>
      </c>
    </row>
    <row r="7" spans="1:29">
      <c r="A7" t="s">
        <v>212</v>
      </c>
      <c r="B7" t="s">
        <v>126</v>
      </c>
      <c r="C7" t="s">
        <v>212</v>
      </c>
      <c r="D7" t="s">
        <v>223</v>
      </c>
      <c r="E7" t="s">
        <v>224</v>
      </c>
      <c r="F7">
        <v>2</v>
      </c>
      <c r="G7" t="s">
        <v>226</v>
      </c>
      <c r="H7">
        <v>26.997468628211621</v>
      </c>
      <c r="I7">
        <v>26.864120016266639</v>
      </c>
      <c r="J7">
        <v>28.615980142605029</v>
      </c>
      <c r="K7">
        <v>30.90605975009781</v>
      </c>
      <c r="L7">
        <v>29.841423043496551</v>
      </c>
      <c r="M7">
        <v>26.78268018603891</v>
      </c>
      <c r="N7">
        <v>25.533080831954141</v>
      </c>
      <c r="O7">
        <v>24.772547519872059</v>
      </c>
      <c r="P7">
        <v>27.770013032415029</v>
      </c>
      <c r="Q7">
        <v>30.39949641027858</v>
      </c>
      <c r="R7">
        <v>32.040470403771877</v>
      </c>
      <c r="S7">
        <v>33.67450044287493</v>
      </c>
      <c r="T7">
        <v>33.67450044287493</v>
      </c>
      <c r="U7">
        <v>33.67450044287493</v>
      </c>
      <c r="V7">
        <v>33.67450044287493</v>
      </c>
      <c r="W7">
        <v>33.67450044287493</v>
      </c>
      <c r="X7">
        <v>33.67450044287493</v>
      </c>
      <c r="Y7">
        <v>33.67450044287493</v>
      </c>
      <c r="Z7">
        <v>33.67450044287493</v>
      </c>
      <c r="AA7">
        <v>33.67450044287493</v>
      </c>
      <c r="AB7">
        <v>33.67450044287493</v>
      </c>
      <c r="AC7">
        <v>33.67450044287493</v>
      </c>
    </row>
    <row r="8" spans="1:29">
      <c r="A8" t="s">
        <v>212</v>
      </c>
      <c r="B8" t="s">
        <v>106</v>
      </c>
      <c r="C8" t="s">
        <v>212</v>
      </c>
      <c r="D8" t="s">
        <v>106</v>
      </c>
      <c r="E8" t="s">
        <v>227</v>
      </c>
      <c r="F8">
        <v>1</v>
      </c>
      <c r="G8" t="s">
        <v>228</v>
      </c>
      <c r="H8">
        <v>58.082115403902087</v>
      </c>
      <c r="I8">
        <v>58.393656675099763</v>
      </c>
      <c r="J8">
        <v>61.197470642050448</v>
      </c>
      <c r="K8">
        <v>66.094981712755981</v>
      </c>
      <c r="L8">
        <v>62.991998954101867</v>
      </c>
      <c r="M8">
        <v>60.939902156625031</v>
      </c>
      <c r="N8">
        <v>59.863654696229297</v>
      </c>
      <c r="O8">
        <v>61.403023606778852</v>
      </c>
      <c r="P8">
        <v>67.073535727688906</v>
      </c>
      <c r="Q8">
        <v>72.818505257102203</v>
      </c>
      <c r="R8">
        <v>77.936329848254502</v>
      </c>
      <c r="S8">
        <v>81.38354206437991</v>
      </c>
      <c r="T8">
        <v>81.38354206437991</v>
      </c>
      <c r="U8">
        <v>81.38354206437991</v>
      </c>
      <c r="V8">
        <v>81.38354206437991</v>
      </c>
      <c r="W8">
        <v>81.38354206437991</v>
      </c>
      <c r="X8">
        <v>81.38354206437991</v>
      </c>
      <c r="Y8">
        <v>81.38354206437991</v>
      </c>
      <c r="Z8">
        <v>81.38354206437991</v>
      </c>
      <c r="AA8">
        <v>81.38354206437991</v>
      </c>
      <c r="AB8">
        <v>81.38354206437991</v>
      </c>
      <c r="AC8">
        <v>81.38354206437991</v>
      </c>
    </row>
    <row r="9" spans="1:29">
      <c r="A9" t="s">
        <v>212</v>
      </c>
      <c r="B9" t="s">
        <v>229</v>
      </c>
      <c r="C9" t="s">
        <v>212</v>
      </c>
      <c r="D9" t="s">
        <v>106</v>
      </c>
      <c r="E9" t="s">
        <v>227</v>
      </c>
      <c r="F9">
        <v>2</v>
      </c>
      <c r="G9" t="s">
        <v>230</v>
      </c>
      <c r="H9">
        <v>116.1642308078042</v>
      </c>
      <c r="I9">
        <v>116.7873133501995</v>
      </c>
      <c r="J9">
        <v>122.3949412841009</v>
      </c>
      <c r="K9">
        <v>132.18996342551199</v>
      </c>
      <c r="L9">
        <v>125.9839979082037</v>
      </c>
      <c r="M9">
        <v>121.8798043132501</v>
      </c>
      <c r="N9">
        <v>119.72730939245859</v>
      </c>
      <c r="O9">
        <v>122.8060472135577</v>
      </c>
      <c r="P9">
        <v>134.14707145537781</v>
      </c>
      <c r="Q9">
        <v>145.63701051420441</v>
      </c>
      <c r="R9">
        <v>155.872659696509</v>
      </c>
      <c r="S9">
        <v>162.76708412875979</v>
      </c>
      <c r="T9">
        <v>162.76708412875979</v>
      </c>
      <c r="U9">
        <v>162.76708412875979</v>
      </c>
      <c r="V9">
        <v>162.76708412875979</v>
      </c>
      <c r="W9">
        <v>162.76708412875979</v>
      </c>
      <c r="X9">
        <v>162.76708412875979</v>
      </c>
      <c r="Y9">
        <v>162.76708412875979</v>
      </c>
      <c r="Z9">
        <v>162.76708412875979</v>
      </c>
      <c r="AA9">
        <v>162.76708412875979</v>
      </c>
      <c r="AB9">
        <v>162.76708412875979</v>
      </c>
      <c r="AC9">
        <v>162.76708412875979</v>
      </c>
    </row>
    <row r="10" spans="1:29">
      <c r="A10" t="s">
        <v>212</v>
      </c>
      <c r="B10" t="s">
        <v>153</v>
      </c>
      <c r="C10" t="s">
        <v>212</v>
      </c>
      <c r="D10" t="s">
        <v>106</v>
      </c>
      <c r="E10" t="s">
        <v>227</v>
      </c>
      <c r="F10">
        <v>2</v>
      </c>
      <c r="G10" t="s">
        <v>231</v>
      </c>
      <c r="H10">
        <v>116.1642308078042</v>
      </c>
      <c r="I10">
        <v>116.7873133501995</v>
      </c>
      <c r="J10">
        <v>122.3949412841009</v>
      </c>
      <c r="K10">
        <v>132.18996342551199</v>
      </c>
      <c r="L10">
        <v>125.9839979082037</v>
      </c>
      <c r="M10">
        <v>121.8798043132501</v>
      </c>
      <c r="N10">
        <v>119.72730939245859</v>
      </c>
      <c r="O10">
        <v>122.8060472135577</v>
      </c>
      <c r="P10">
        <v>134.14707145537781</v>
      </c>
      <c r="Q10">
        <v>145.63701051420441</v>
      </c>
      <c r="R10">
        <v>155.872659696509</v>
      </c>
      <c r="S10">
        <v>162.76708412875979</v>
      </c>
      <c r="T10">
        <v>162.76708412875979</v>
      </c>
      <c r="U10">
        <v>162.76708412875979</v>
      </c>
      <c r="V10">
        <v>162.76708412875979</v>
      </c>
      <c r="W10">
        <v>162.76708412875979</v>
      </c>
      <c r="X10">
        <v>162.76708412875979</v>
      </c>
      <c r="Y10">
        <v>162.76708412875979</v>
      </c>
      <c r="Z10">
        <v>162.76708412875979</v>
      </c>
      <c r="AA10">
        <v>162.76708412875979</v>
      </c>
      <c r="AB10">
        <v>162.76708412875979</v>
      </c>
      <c r="AC10">
        <v>162.76708412875979</v>
      </c>
    </row>
    <row r="11" spans="1:29">
      <c r="A11" t="s">
        <v>212</v>
      </c>
      <c r="B11" t="s">
        <v>182</v>
      </c>
      <c r="C11" t="s">
        <v>212</v>
      </c>
      <c r="D11" t="s">
        <v>182</v>
      </c>
      <c r="F11">
        <v>1</v>
      </c>
      <c r="G11" t="s">
        <v>232</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row>
    <row r="12" spans="1:29">
      <c r="A12" t="s">
        <v>212</v>
      </c>
      <c r="B12" t="s">
        <v>171</v>
      </c>
      <c r="C12" t="s">
        <v>212</v>
      </c>
      <c r="D12" t="s">
        <v>171</v>
      </c>
      <c r="F12">
        <v>1</v>
      </c>
      <c r="G12" t="s">
        <v>233</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row>
    <row r="13" spans="1:29">
      <c r="A13" t="s">
        <v>234</v>
      </c>
      <c r="B13" t="s">
        <v>213</v>
      </c>
      <c r="C13" t="s">
        <v>234</v>
      </c>
      <c r="D13" t="s">
        <v>214</v>
      </c>
      <c r="E13" t="s">
        <v>235</v>
      </c>
      <c r="F13">
        <v>1</v>
      </c>
      <c r="G13" t="s">
        <v>236</v>
      </c>
      <c r="H13">
        <v>15.79639121863446</v>
      </c>
      <c r="I13">
        <v>14.36514333664662</v>
      </c>
      <c r="J13">
        <v>21.949635704889548</v>
      </c>
      <c r="K13">
        <v>23.706221111685512</v>
      </c>
      <c r="L13">
        <v>22.14642762839463</v>
      </c>
      <c r="M13">
        <v>20.587192823846621</v>
      </c>
      <c r="N13">
        <v>19.055313572750379</v>
      </c>
      <c r="O13">
        <v>19.150875922566179</v>
      </c>
      <c r="P13">
        <v>22.286657940317731</v>
      </c>
      <c r="Q13">
        <v>24.661889508996332</v>
      </c>
      <c r="R13">
        <v>26.631887048857159</v>
      </c>
      <c r="S13">
        <v>28.104430872191578</v>
      </c>
      <c r="T13">
        <v>28.104430872191578</v>
      </c>
      <c r="U13">
        <v>28.104430872191578</v>
      </c>
      <c r="V13">
        <v>28.104430872191578</v>
      </c>
      <c r="W13">
        <v>28.104430872191578</v>
      </c>
      <c r="X13">
        <v>28.104430872191578</v>
      </c>
      <c r="Y13">
        <v>28.104430872191578</v>
      </c>
      <c r="Z13">
        <v>28.104430872191578</v>
      </c>
      <c r="AA13">
        <v>28.104430872191578</v>
      </c>
      <c r="AB13">
        <v>28.104430872191578</v>
      </c>
      <c r="AC13">
        <v>28.104430872191578</v>
      </c>
    </row>
    <row r="14" spans="1:29">
      <c r="A14" t="s">
        <v>234</v>
      </c>
      <c r="B14" t="s">
        <v>237</v>
      </c>
      <c r="C14" t="s">
        <v>234</v>
      </c>
      <c r="D14" t="s">
        <v>217</v>
      </c>
      <c r="E14" t="s">
        <v>238</v>
      </c>
      <c r="F14">
        <v>1</v>
      </c>
      <c r="G14" t="s">
        <v>239</v>
      </c>
      <c r="H14">
        <v>17.387076767923521</v>
      </c>
      <c r="I14">
        <v>11.511644320379199</v>
      </c>
      <c r="J14">
        <v>18.252065237024851</v>
      </c>
      <c r="K14">
        <v>19.712741481054891</v>
      </c>
      <c r="L14">
        <v>18.085099364693491</v>
      </c>
      <c r="M14">
        <v>16.65661177013072</v>
      </c>
      <c r="N14">
        <v>15.093245859978</v>
      </c>
      <c r="O14">
        <v>13.112383648677341</v>
      </c>
      <c r="P14">
        <v>14.11566755777924</v>
      </c>
      <c r="Q14">
        <v>15.252309763223661</v>
      </c>
      <c r="R14">
        <v>16.270150774064241</v>
      </c>
      <c r="S14">
        <v>17.126832834285931</v>
      </c>
      <c r="T14">
        <v>17.126832834285931</v>
      </c>
      <c r="U14">
        <v>17.126832834285931</v>
      </c>
      <c r="V14">
        <v>17.126832834285931</v>
      </c>
      <c r="W14">
        <v>17.126832834285931</v>
      </c>
      <c r="X14">
        <v>17.126832834285931</v>
      </c>
      <c r="Y14">
        <v>17.126832834285931</v>
      </c>
      <c r="Z14">
        <v>17.126832834285931</v>
      </c>
      <c r="AA14">
        <v>17.126832834285931</v>
      </c>
      <c r="AB14">
        <v>17.126832834285931</v>
      </c>
      <c r="AC14">
        <v>17.126832834285931</v>
      </c>
    </row>
    <row r="15" spans="1:29">
      <c r="A15" t="s">
        <v>234</v>
      </c>
      <c r="B15" t="s">
        <v>133</v>
      </c>
      <c r="C15" t="s">
        <v>234</v>
      </c>
      <c r="D15" t="s">
        <v>240</v>
      </c>
      <c r="E15" t="s">
        <v>238</v>
      </c>
      <c r="F15">
        <v>1</v>
      </c>
      <c r="G15" t="s">
        <v>241</v>
      </c>
      <c r="H15">
        <v>17.387076767923521</v>
      </c>
      <c r="I15">
        <v>11.511644320379199</v>
      </c>
      <c r="J15">
        <v>18.252065237024851</v>
      </c>
      <c r="K15">
        <v>19.712741481054891</v>
      </c>
      <c r="L15">
        <v>12.04250115734091</v>
      </c>
      <c r="M15">
        <v>14.29515236731695</v>
      </c>
      <c r="N15">
        <v>14.50162642406179</v>
      </c>
      <c r="O15">
        <v>22.312093912701702</v>
      </c>
      <c r="P15">
        <v>24.510554488279571</v>
      </c>
      <c r="Q15">
        <v>26.868519097484011</v>
      </c>
      <c r="R15">
        <v>29.144687341305261</v>
      </c>
      <c r="S15">
        <v>31.154017009889959</v>
      </c>
      <c r="T15">
        <v>31.154017009889959</v>
      </c>
      <c r="U15">
        <v>31.154017009889959</v>
      </c>
      <c r="V15">
        <v>31.154017009889959</v>
      </c>
      <c r="W15">
        <v>31.154017009889959</v>
      </c>
      <c r="X15">
        <v>31.154017009889959</v>
      </c>
      <c r="Y15">
        <v>31.154017009889959</v>
      </c>
      <c r="Z15">
        <v>31.154017009889959</v>
      </c>
      <c r="AA15">
        <v>31.154017009889959</v>
      </c>
      <c r="AB15">
        <v>31.154017009889959</v>
      </c>
      <c r="AC15">
        <v>31.154017009889959</v>
      </c>
    </row>
    <row r="16" spans="1:29">
      <c r="A16" t="s">
        <v>234</v>
      </c>
      <c r="B16" t="s">
        <v>220</v>
      </c>
      <c r="C16" t="s">
        <v>234</v>
      </c>
      <c r="D16" t="s">
        <v>217</v>
      </c>
      <c r="E16" t="s">
        <v>242</v>
      </c>
      <c r="F16">
        <v>1</v>
      </c>
      <c r="G16" t="s">
        <v>243</v>
      </c>
      <c r="H16">
        <v>24.732951005959819</v>
      </c>
      <c r="I16">
        <v>15.77561813556207</v>
      </c>
      <c r="J16">
        <v>24.57544661685143</v>
      </c>
      <c r="K16">
        <v>26.542170414597098</v>
      </c>
      <c r="L16">
        <v>24.350635844534441</v>
      </c>
      <c r="M16">
        <v>22.427252371643998</v>
      </c>
      <c r="N16">
        <v>20.322262335249292</v>
      </c>
      <c r="O16">
        <v>17.6551354705914</v>
      </c>
      <c r="P16">
        <v>19.006004527297581</v>
      </c>
      <c r="Q16">
        <v>20.536433521474951</v>
      </c>
      <c r="R16">
        <v>21.90690295063375</v>
      </c>
      <c r="S16">
        <v>23.060380322382638</v>
      </c>
      <c r="T16">
        <v>23.060380322382638</v>
      </c>
      <c r="U16">
        <v>23.060380322382638</v>
      </c>
      <c r="V16">
        <v>23.060380322382638</v>
      </c>
      <c r="W16">
        <v>23.060380322382638</v>
      </c>
      <c r="X16">
        <v>23.060380322382638</v>
      </c>
      <c r="Y16">
        <v>23.060380322382638</v>
      </c>
      <c r="Z16">
        <v>23.060380322382638</v>
      </c>
      <c r="AA16">
        <v>23.060380322382638</v>
      </c>
      <c r="AB16">
        <v>23.060380322382638</v>
      </c>
      <c r="AC16">
        <v>23.060380322382638</v>
      </c>
    </row>
    <row r="17" spans="1:29">
      <c r="A17" t="s">
        <v>234</v>
      </c>
      <c r="B17" t="s">
        <v>244</v>
      </c>
      <c r="C17" t="s">
        <v>234</v>
      </c>
      <c r="D17" t="s">
        <v>217</v>
      </c>
      <c r="E17" t="s">
        <v>245</v>
      </c>
      <c r="F17">
        <v>1</v>
      </c>
      <c r="G17" t="s">
        <v>246</v>
      </c>
      <c r="H17">
        <v>23.164358311522001</v>
      </c>
      <c r="I17">
        <v>19.37775377586923</v>
      </c>
      <c r="J17">
        <v>25.58290059940007</v>
      </c>
      <c r="K17">
        <v>27.630248922652981</v>
      </c>
      <c r="L17">
        <v>25.34887385996673</v>
      </c>
      <c r="M17">
        <v>23.346642569173241</v>
      </c>
      <c r="N17">
        <v>21.155359875377261</v>
      </c>
      <c r="O17">
        <v>18.37889593035397</v>
      </c>
      <c r="P17">
        <v>19.78514295972932</v>
      </c>
      <c r="Q17">
        <v>21.378310866009901</v>
      </c>
      <c r="R17">
        <v>22.804961771985511</v>
      </c>
      <c r="S17">
        <v>24.005725176418391</v>
      </c>
      <c r="T17">
        <v>24.005725176418391</v>
      </c>
      <c r="U17">
        <v>24.005725176418391</v>
      </c>
      <c r="V17">
        <v>24.005725176418391</v>
      </c>
      <c r="W17">
        <v>24.005725176418391</v>
      </c>
      <c r="X17">
        <v>24.005725176418391</v>
      </c>
      <c r="Y17">
        <v>24.005725176418391</v>
      </c>
      <c r="Z17">
        <v>24.005725176418391</v>
      </c>
      <c r="AA17">
        <v>24.005725176418391</v>
      </c>
      <c r="AB17">
        <v>24.005725176418391</v>
      </c>
      <c r="AC17">
        <v>24.005725176418391</v>
      </c>
    </row>
    <row r="18" spans="1:29">
      <c r="A18" t="s">
        <v>234</v>
      </c>
      <c r="B18" t="s">
        <v>110</v>
      </c>
      <c r="C18" t="s">
        <v>234</v>
      </c>
      <c r="D18" t="s">
        <v>223</v>
      </c>
      <c r="E18" t="s">
        <v>247</v>
      </c>
      <c r="F18">
        <v>1</v>
      </c>
      <c r="G18" t="s">
        <v>248</v>
      </c>
      <c r="H18">
        <v>7.710406343081714</v>
      </c>
      <c r="I18">
        <v>7.2259708929053224</v>
      </c>
      <c r="J18">
        <v>8.2096781982155242</v>
      </c>
      <c r="K18">
        <v>8.8666823103276844</v>
      </c>
      <c r="L18">
        <v>8.1872197266335256</v>
      </c>
      <c r="M18">
        <v>7.2553840421977354</v>
      </c>
      <c r="N18">
        <v>6.9579136242710602</v>
      </c>
      <c r="O18">
        <v>6.9767662127651624</v>
      </c>
      <c r="P18">
        <v>7.8550131792602134</v>
      </c>
      <c r="Q18">
        <v>8.6079722000311651</v>
      </c>
      <c r="R18">
        <v>9.0230732066085029</v>
      </c>
      <c r="S18">
        <v>9.4628453203511178</v>
      </c>
      <c r="T18">
        <v>9.4628453203511178</v>
      </c>
      <c r="U18">
        <v>9.4628453203511178</v>
      </c>
      <c r="V18">
        <v>9.4628453203511178</v>
      </c>
      <c r="W18">
        <v>9.4628453203511178</v>
      </c>
      <c r="X18">
        <v>9.4628453203511178</v>
      </c>
      <c r="Y18">
        <v>9.4628453203511178</v>
      </c>
      <c r="Z18">
        <v>9.4628453203511178</v>
      </c>
      <c r="AA18">
        <v>9.4628453203511178</v>
      </c>
      <c r="AB18">
        <v>9.4628453203511178</v>
      </c>
      <c r="AC18">
        <v>9.4628453203511178</v>
      </c>
    </row>
    <row r="19" spans="1:29">
      <c r="A19" t="s">
        <v>234</v>
      </c>
      <c r="B19" t="s">
        <v>126</v>
      </c>
      <c r="C19" t="s">
        <v>212</v>
      </c>
      <c r="D19" t="s">
        <v>223</v>
      </c>
      <c r="E19" t="s">
        <v>247</v>
      </c>
      <c r="F19">
        <v>2</v>
      </c>
      <c r="G19" t="s">
        <v>249</v>
      </c>
      <c r="H19">
        <v>15.42081268616343</v>
      </c>
      <c r="I19">
        <v>14.451941785810639</v>
      </c>
      <c r="J19">
        <v>16.419356396431048</v>
      </c>
      <c r="K19">
        <v>17.733364620655369</v>
      </c>
      <c r="L19">
        <v>17.122494420463191</v>
      </c>
      <c r="M19">
        <v>15.367440466296481</v>
      </c>
      <c r="N19">
        <v>14.65044188560065</v>
      </c>
      <c r="O19">
        <v>14.21406097394906</v>
      </c>
      <c r="P19">
        <v>15.93395504331829</v>
      </c>
      <c r="Q19">
        <v>17.44270730357557</v>
      </c>
      <c r="R19">
        <v>18.38426990957997</v>
      </c>
      <c r="S19">
        <v>19.32184819418891</v>
      </c>
      <c r="T19">
        <v>19.32184819418891</v>
      </c>
      <c r="U19">
        <v>19.32184819418891</v>
      </c>
      <c r="V19">
        <v>19.32184819418891</v>
      </c>
      <c r="W19">
        <v>19.32184819418891</v>
      </c>
      <c r="X19">
        <v>19.32184819418891</v>
      </c>
      <c r="Y19">
        <v>19.32184819418891</v>
      </c>
      <c r="Z19">
        <v>19.32184819418891</v>
      </c>
      <c r="AA19">
        <v>19.32184819418891</v>
      </c>
      <c r="AB19">
        <v>19.32184819418891</v>
      </c>
      <c r="AC19">
        <v>19.32184819418891</v>
      </c>
    </row>
    <row r="20" spans="1:29">
      <c r="A20" t="s">
        <v>234</v>
      </c>
      <c r="B20" t="s">
        <v>106</v>
      </c>
      <c r="C20" t="s">
        <v>234</v>
      </c>
      <c r="D20" t="s">
        <v>106</v>
      </c>
      <c r="E20" t="s">
        <v>250</v>
      </c>
      <c r="F20">
        <v>1</v>
      </c>
      <c r="G20" t="s">
        <v>251</v>
      </c>
      <c r="H20">
        <v>45.511280993548233</v>
      </c>
      <c r="I20">
        <v>46.296122822863381</v>
      </c>
      <c r="J20">
        <v>50.490592678581379</v>
      </c>
      <c r="K20">
        <v>54.531253738842977</v>
      </c>
      <c r="L20">
        <v>52.397516436150347</v>
      </c>
      <c r="M20">
        <v>49.460662508247033</v>
      </c>
      <c r="N20">
        <v>48.055492270862331</v>
      </c>
      <c r="O20">
        <v>48.075179321206747</v>
      </c>
      <c r="P20">
        <v>51.45895811412948</v>
      </c>
      <c r="Q20">
        <v>55.269324676896836</v>
      </c>
      <c r="R20">
        <v>58.192769146051639</v>
      </c>
      <c r="S20">
        <v>60.029189217168721</v>
      </c>
      <c r="T20">
        <v>60.029189217168721</v>
      </c>
      <c r="U20">
        <v>60.029189217168721</v>
      </c>
      <c r="V20">
        <v>60.029189217168721</v>
      </c>
      <c r="W20">
        <v>60.029189217168721</v>
      </c>
      <c r="X20">
        <v>60.029189217168721</v>
      </c>
      <c r="Y20">
        <v>60.029189217168721</v>
      </c>
      <c r="Z20">
        <v>60.029189217168721</v>
      </c>
      <c r="AA20">
        <v>60.029189217168721</v>
      </c>
      <c r="AB20">
        <v>60.029189217168721</v>
      </c>
      <c r="AC20">
        <v>60.029189217168721</v>
      </c>
    </row>
    <row r="21" spans="1:29">
      <c r="A21" t="s">
        <v>234</v>
      </c>
      <c r="B21" t="s">
        <v>229</v>
      </c>
      <c r="C21" t="s">
        <v>234</v>
      </c>
      <c r="D21" t="s">
        <v>106</v>
      </c>
      <c r="E21" t="s">
        <v>250</v>
      </c>
      <c r="F21">
        <v>2</v>
      </c>
      <c r="G21" t="s">
        <v>252</v>
      </c>
      <c r="H21">
        <v>91.022561987096466</v>
      </c>
      <c r="I21">
        <v>92.592245645726763</v>
      </c>
      <c r="J21">
        <v>100.9811853571628</v>
      </c>
      <c r="K21">
        <v>109.062507477686</v>
      </c>
      <c r="L21">
        <v>104.79503287230069</v>
      </c>
      <c r="M21">
        <v>98.921325016494066</v>
      </c>
      <c r="N21">
        <v>96.110984541724662</v>
      </c>
      <c r="O21">
        <v>96.150358642413494</v>
      </c>
      <c r="P21">
        <v>102.917916228259</v>
      </c>
      <c r="Q21">
        <v>110.5386493537937</v>
      </c>
      <c r="R21">
        <v>116.38553829210331</v>
      </c>
      <c r="S21">
        <v>120.0583784343374</v>
      </c>
      <c r="T21">
        <v>120.0583784343374</v>
      </c>
      <c r="U21">
        <v>120.0583784343374</v>
      </c>
      <c r="V21">
        <v>120.0583784343374</v>
      </c>
      <c r="W21">
        <v>120.0583784343374</v>
      </c>
      <c r="X21">
        <v>120.0583784343374</v>
      </c>
      <c r="Y21">
        <v>120.0583784343374</v>
      </c>
      <c r="Z21">
        <v>120.0583784343374</v>
      </c>
      <c r="AA21">
        <v>120.0583784343374</v>
      </c>
      <c r="AB21">
        <v>120.0583784343374</v>
      </c>
      <c r="AC21">
        <v>120.0583784343374</v>
      </c>
    </row>
    <row r="22" spans="1:29">
      <c r="A22" t="s">
        <v>234</v>
      </c>
      <c r="B22" t="s">
        <v>153</v>
      </c>
      <c r="C22" t="s">
        <v>234</v>
      </c>
      <c r="D22" t="s">
        <v>106</v>
      </c>
      <c r="E22" t="s">
        <v>250</v>
      </c>
      <c r="F22">
        <v>2</v>
      </c>
      <c r="G22" t="s">
        <v>253</v>
      </c>
      <c r="H22">
        <v>91.022561987096466</v>
      </c>
      <c r="I22">
        <v>92.592245645726763</v>
      </c>
      <c r="J22">
        <v>100.9811853571628</v>
      </c>
      <c r="K22">
        <v>109.062507477686</v>
      </c>
      <c r="L22">
        <v>104.79503287230069</v>
      </c>
      <c r="M22">
        <v>98.921325016494066</v>
      </c>
      <c r="N22">
        <v>96.110984541724662</v>
      </c>
      <c r="O22">
        <v>96.150358642413494</v>
      </c>
      <c r="P22">
        <v>102.917916228259</v>
      </c>
      <c r="Q22">
        <v>110.5386493537937</v>
      </c>
      <c r="R22">
        <v>116.38553829210331</v>
      </c>
      <c r="S22">
        <v>120.0583784343374</v>
      </c>
      <c r="T22">
        <v>120.0583784343374</v>
      </c>
      <c r="U22">
        <v>120.0583784343374</v>
      </c>
      <c r="V22">
        <v>120.0583784343374</v>
      </c>
      <c r="W22">
        <v>120.0583784343374</v>
      </c>
      <c r="X22">
        <v>120.0583784343374</v>
      </c>
      <c r="Y22">
        <v>120.0583784343374</v>
      </c>
      <c r="Z22">
        <v>120.0583784343374</v>
      </c>
      <c r="AA22">
        <v>120.0583784343374</v>
      </c>
      <c r="AB22">
        <v>120.0583784343374</v>
      </c>
      <c r="AC22">
        <v>120.0583784343374</v>
      </c>
    </row>
    <row r="23" spans="1:29">
      <c r="A23" t="s">
        <v>234</v>
      </c>
      <c r="B23" t="s">
        <v>182</v>
      </c>
      <c r="C23" t="s">
        <v>234</v>
      </c>
      <c r="D23" t="s">
        <v>182</v>
      </c>
      <c r="F23">
        <v>1</v>
      </c>
      <c r="G23" t="s">
        <v>254</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row>
    <row r="24" spans="1:29">
      <c r="A24" t="s">
        <v>234</v>
      </c>
      <c r="B24" t="s">
        <v>171</v>
      </c>
      <c r="C24" t="s">
        <v>234</v>
      </c>
      <c r="D24" t="s">
        <v>171</v>
      </c>
      <c r="F24">
        <v>1</v>
      </c>
      <c r="G24" t="s">
        <v>255</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row>
    <row r="25" spans="1:29">
      <c r="A25" t="s">
        <v>256</v>
      </c>
      <c r="B25" t="s">
        <v>213</v>
      </c>
      <c r="C25" t="s">
        <v>256</v>
      </c>
      <c r="D25" t="s">
        <v>214</v>
      </c>
      <c r="E25" t="s">
        <v>257</v>
      </c>
      <c r="F25">
        <v>1</v>
      </c>
      <c r="G25" t="s">
        <v>258</v>
      </c>
      <c r="H25">
        <v>15.144652000522971</v>
      </c>
      <c r="I25">
        <v>13.529708263442849</v>
      </c>
      <c r="J25">
        <v>22.453362696163861</v>
      </c>
      <c r="K25">
        <v>24.250260365713441</v>
      </c>
      <c r="L25">
        <v>21.481797480850251</v>
      </c>
      <c r="M25">
        <v>19.26532088002514</v>
      </c>
      <c r="N25">
        <v>17.113109475962059</v>
      </c>
      <c r="O25">
        <v>16.99591592028381</v>
      </c>
      <c r="P25">
        <v>20.560587519532969</v>
      </c>
      <c r="Q25">
        <v>23.160107164160792</v>
      </c>
      <c r="R25">
        <v>25.22769456365122</v>
      </c>
      <c r="S25">
        <v>26.66727181846386</v>
      </c>
      <c r="T25">
        <v>26.66727181846386</v>
      </c>
      <c r="U25">
        <v>26.66727181846386</v>
      </c>
      <c r="V25">
        <v>26.66727181846386</v>
      </c>
      <c r="W25">
        <v>26.66727181846386</v>
      </c>
      <c r="X25">
        <v>26.66727181846386</v>
      </c>
      <c r="Y25">
        <v>26.66727181846386</v>
      </c>
      <c r="Z25">
        <v>26.66727181846386</v>
      </c>
      <c r="AA25">
        <v>26.66727181846386</v>
      </c>
      <c r="AB25">
        <v>26.66727181846386</v>
      </c>
      <c r="AC25">
        <v>26.66727181846386</v>
      </c>
    </row>
    <row r="26" spans="1:29">
      <c r="A26" t="s">
        <v>256</v>
      </c>
      <c r="B26" t="s">
        <v>237</v>
      </c>
      <c r="C26" t="s">
        <v>256</v>
      </c>
      <c r="D26" t="s">
        <v>217</v>
      </c>
      <c r="E26" t="s">
        <v>259</v>
      </c>
      <c r="F26">
        <v>1</v>
      </c>
      <c r="G26" t="s">
        <v>260</v>
      </c>
      <c r="H26">
        <v>16.205109033382339</v>
      </c>
      <c r="I26">
        <v>11.359747034342149</v>
      </c>
      <c r="J26">
        <v>15.42262000944144</v>
      </c>
      <c r="K26">
        <v>16.65686141587668</v>
      </c>
      <c r="L26">
        <v>15.2313309053818</v>
      </c>
      <c r="M26">
        <v>14.040167994286531</v>
      </c>
      <c r="N26">
        <v>12.70019889809025</v>
      </c>
      <c r="O26">
        <v>10.98037822826509</v>
      </c>
      <c r="P26">
        <v>11.82978757998092</v>
      </c>
      <c r="Q26">
        <v>12.81316817689917</v>
      </c>
      <c r="R26">
        <v>13.701334009009029</v>
      </c>
      <c r="S26">
        <v>14.4582687931834</v>
      </c>
      <c r="T26">
        <v>14.4582687931834</v>
      </c>
      <c r="U26">
        <v>14.4582687931834</v>
      </c>
      <c r="V26">
        <v>14.4582687931834</v>
      </c>
      <c r="W26">
        <v>14.4582687931834</v>
      </c>
      <c r="X26">
        <v>14.4582687931834</v>
      </c>
      <c r="Y26">
        <v>14.4582687931834</v>
      </c>
      <c r="Z26">
        <v>14.4582687931834</v>
      </c>
      <c r="AA26">
        <v>14.4582687931834</v>
      </c>
      <c r="AB26">
        <v>14.4582687931834</v>
      </c>
      <c r="AC26">
        <v>14.4582687931834</v>
      </c>
    </row>
    <row r="27" spans="1:29">
      <c r="A27" t="s">
        <v>256</v>
      </c>
      <c r="B27" t="s">
        <v>133</v>
      </c>
      <c r="C27" t="s">
        <v>256</v>
      </c>
      <c r="D27" t="s">
        <v>240</v>
      </c>
      <c r="E27" t="s">
        <v>261</v>
      </c>
      <c r="F27">
        <v>1</v>
      </c>
      <c r="G27" t="s">
        <v>262</v>
      </c>
      <c r="H27">
        <v>10.803406022254901</v>
      </c>
      <c r="I27">
        <v>8.3760503443286929</v>
      </c>
      <c r="J27">
        <v>12.31451729732329</v>
      </c>
      <c r="K27">
        <v>13.300023465491529</v>
      </c>
      <c r="L27">
        <v>8.3058520131779208</v>
      </c>
      <c r="M27">
        <v>9.8242711554048068</v>
      </c>
      <c r="N27">
        <v>10.264384467441991</v>
      </c>
      <c r="O27">
        <v>15.911877844428449</v>
      </c>
      <c r="P27">
        <v>17.519001292651261</v>
      </c>
      <c r="Q27">
        <v>19.207624262464829</v>
      </c>
      <c r="R27">
        <v>20.805142293316191</v>
      </c>
      <c r="S27">
        <v>22.199438305906511</v>
      </c>
      <c r="T27">
        <v>22.199438305906511</v>
      </c>
      <c r="U27">
        <v>22.199438305906511</v>
      </c>
      <c r="V27">
        <v>22.199438305906511</v>
      </c>
      <c r="W27">
        <v>22.199438305906511</v>
      </c>
      <c r="X27">
        <v>22.199438305906511</v>
      </c>
      <c r="Y27">
        <v>22.199438305906511</v>
      </c>
      <c r="Z27">
        <v>22.199438305906511</v>
      </c>
      <c r="AA27">
        <v>22.199438305906511</v>
      </c>
      <c r="AB27">
        <v>22.199438305906511</v>
      </c>
      <c r="AC27">
        <v>22.199438305906511</v>
      </c>
    </row>
    <row r="28" spans="1:29">
      <c r="A28" t="s">
        <v>256</v>
      </c>
      <c r="B28" t="s">
        <v>220</v>
      </c>
      <c r="C28" t="s">
        <v>256</v>
      </c>
      <c r="D28" t="s">
        <v>217</v>
      </c>
      <c r="E28" t="s">
        <v>263</v>
      </c>
      <c r="F28">
        <v>1</v>
      </c>
      <c r="G28" t="s">
        <v>264</v>
      </c>
      <c r="H28">
        <v>18.734740913848981</v>
      </c>
      <c r="I28">
        <v>13.594807100315871</v>
      </c>
      <c r="J28">
        <v>17.801926223545671</v>
      </c>
      <c r="K28">
        <v>19.226578743412901</v>
      </c>
      <c r="L28">
        <v>17.581126222264881</v>
      </c>
      <c r="M28">
        <v>16.206198080965891</v>
      </c>
      <c r="N28">
        <v>14.65950685874073</v>
      </c>
      <c r="O28">
        <v>12.674362916711811</v>
      </c>
      <c r="P28">
        <v>13.65481387793489</v>
      </c>
      <c r="Q28">
        <v>14.789904337616059</v>
      </c>
      <c r="R28">
        <v>15.815090888786649</v>
      </c>
      <c r="S28">
        <v>16.688800879414611</v>
      </c>
      <c r="T28">
        <v>16.688800879414611</v>
      </c>
      <c r="U28">
        <v>16.688800879414611</v>
      </c>
      <c r="V28">
        <v>16.688800879414611</v>
      </c>
      <c r="W28">
        <v>16.688800879414611</v>
      </c>
      <c r="X28">
        <v>16.688800879414611</v>
      </c>
      <c r="Y28">
        <v>16.688800879414611</v>
      </c>
      <c r="Z28">
        <v>16.688800879414611</v>
      </c>
      <c r="AA28">
        <v>16.688800879414611</v>
      </c>
      <c r="AB28">
        <v>16.688800879414611</v>
      </c>
      <c r="AC28">
        <v>16.688800879414611</v>
      </c>
    </row>
    <row r="29" spans="1:29">
      <c r="A29" t="s">
        <v>256</v>
      </c>
      <c r="B29" t="s">
        <v>244</v>
      </c>
      <c r="C29" t="s">
        <v>256</v>
      </c>
      <c r="D29" t="s">
        <v>217</v>
      </c>
      <c r="E29" t="s">
        <v>265</v>
      </c>
      <c r="F29">
        <v>1</v>
      </c>
      <c r="G29" t="s">
        <v>266</v>
      </c>
      <c r="H29">
        <v>23.164358311522001</v>
      </c>
      <c r="I29">
        <v>19.37775377586923</v>
      </c>
      <c r="J29">
        <v>25.58290059940007</v>
      </c>
      <c r="K29">
        <v>27.630248922652981</v>
      </c>
      <c r="L29">
        <v>25.265591988287941</v>
      </c>
      <c r="M29">
        <v>23.289701877944371</v>
      </c>
      <c r="N29">
        <v>21.066973432759848</v>
      </c>
      <c r="O29">
        <v>18.214150681632209</v>
      </c>
      <c r="P29">
        <v>19.62314312259517</v>
      </c>
      <c r="Q29">
        <v>21.254365836176721</v>
      </c>
      <c r="R29">
        <v>22.727647171302682</v>
      </c>
      <c r="S29">
        <v>23.983243647900469</v>
      </c>
      <c r="T29">
        <v>23.983243647900469</v>
      </c>
      <c r="U29">
        <v>23.983243647900469</v>
      </c>
      <c r="V29">
        <v>23.983243647900469</v>
      </c>
      <c r="W29">
        <v>23.983243647900469</v>
      </c>
      <c r="X29">
        <v>23.983243647900469</v>
      </c>
      <c r="Y29">
        <v>23.983243647900469</v>
      </c>
      <c r="Z29">
        <v>23.983243647900469</v>
      </c>
      <c r="AA29">
        <v>23.983243647900469</v>
      </c>
      <c r="AB29">
        <v>23.983243647900469</v>
      </c>
      <c r="AC29">
        <v>23.983243647900469</v>
      </c>
    </row>
    <row r="30" spans="1:29">
      <c r="A30" t="s">
        <v>256</v>
      </c>
      <c r="B30" t="s">
        <v>110</v>
      </c>
      <c r="C30" t="s">
        <v>256</v>
      </c>
      <c r="D30" t="s">
        <v>223</v>
      </c>
      <c r="E30" t="s">
        <v>267</v>
      </c>
      <c r="F30">
        <v>1</v>
      </c>
      <c r="G30" t="s">
        <v>268</v>
      </c>
      <c r="H30">
        <v>8.2406348595114025</v>
      </c>
      <c r="I30">
        <v>7.3453187605058599</v>
      </c>
      <c r="J30">
        <v>8.7026875939308148</v>
      </c>
      <c r="K30">
        <v>9.3991462610784318</v>
      </c>
      <c r="L30">
        <v>7.840660833120296</v>
      </c>
      <c r="M30">
        <v>6.3176618215180902</v>
      </c>
      <c r="N30">
        <v>5.7092574658049546</v>
      </c>
      <c r="O30">
        <v>5.4161205246663062</v>
      </c>
      <c r="P30">
        <v>6.5134169753070124</v>
      </c>
      <c r="Q30">
        <v>7.3212057953494627</v>
      </c>
      <c r="R30">
        <v>7.4682076067627428</v>
      </c>
      <c r="S30">
        <v>7.6916072679536196</v>
      </c>
      <c r="T30">
        <v>7.6916072679536196</v>
      </c>
      <c r="U30">
        <v>7.6916072679536196</v>
      </c>
      <c r="V30">
        <v>7.6916072679536196</v>
      </c>
      <c r="W30">
        <v>7.6916072679536196</v>
      </c>
      <c r="X30">
        <v>7.6916072679536196</v>
      </c>
      <c r="Y30">
        <v>7.6916072679536196</v>
      </c>
      <c r="Z30">
        <v>7.6916072679536196</v>
      </c>
      <c r="AA30">
        <v>7.6916072679536196</v>
      </c>
      <c r="AB30">
        <v>7.6916072679536196</v>
      </c>
      <c r="AC30">
        <v>7.6916072679536196</v>
      </c>
    </row>
    <row r="31" spans="1:29">
      <c r="A31" t="s">
        <v>256</v>
      </c>
      <c r="B31" t="s">
        <v>126</v>
      </c>
      <c r="C31" t="s">
        <v>256</v>
      </c>
      <c r="D31" t="s">
        <v>223</v>
      </c>
      <c r="E31" t="s">
        <v>267</v>
      </c>
      <c r="F31">
        <v>2</v>
      </c>
      <c r="G31" t="s">
        <v>269</v>
      </c>
      <c r="H31">
        <v>16.481269719022809</v>
      </c>
      <c r="I31">
        <v>14.69063752101172</v>
      </c>
      <c r="J31">
        <v>17.40537518786163</v>
      </c>
      <c r="K31">
        <v>18.79829252215686</v>
      </c>
      <c r="L31">
        <v>15.68132166624059</v>
      </c>
      <c r="M31">
        <v>12.63532364303618</v>
      </c>
      <c r="N31">
        <v>11.418514931609909</v>
      </c>
      <c r="O31">
        <v>10.832241049332611</v>
      </c>
      <c r="P31">
        <v>13.026833950614019</v>
      </c>
      <c r="Q31">
        <v>14.642411590698931</v>
      </c>
      <c r="R31">
        <v>14.936415213525491</v>
      </c>
      <c r="S31">
        <v>15.383214535907239</v>
      </c>
      <c r="T31">
        <v>15.383214535907239</v>
      </c>
      <c r="U31">
        <v>15.383214535907239</v>
      </c>
      <c r="V31">
        <v>15.383214535907239</v>
      </c>
      <c r="W31">
        <v>15.383214535907239</v>
      </c>
      <c r="X31">
        <v>15.383214535907239</v>
      </c>
      <c r="Y31">
        <v>15.383214535907239</v>
      </c>
      <c r="Z31">
        <v>15.383214535907239</v>
      </c>
      <c r="AA31">
        <v>15.383214535907239</v>
      </c>
      <c r="AB31">
        <v>15.383214535907239</v>
      </c>
      <c r="AC31">
        <v>15.383214535907239</v>
      </c>
    </row>
    <row r="32" spans="1:29">
      <c r="A32" t="s">
        <v>256</v>
      </c>
      <c r="B32" t="s">
        <v>270</v>
      </c>
      <c r="C32" t="s">
        <v>256</v>
      </c>
      <c r="D32" t="s">
        <v>271</v>
      </c>
      <c r="E32" t="s">
        <v>272</v>
      </c>
      <c r="F32">
        <v>1</v>
      </c>
      <c r="G32" t="s">
        <v>273</v>
      </c>
      <c r="H32">
        <v>3.7778781795615268</v>
      </c>
      <c r="I32">
        <v>3.981878855399779</v>
      </c>
      <c r="J32">
        <v>3.6011121078334409</v>
      </c>
      <c r="K32">
        <v>3.8893019011359029</v>
      </c>
      <c r="L32">
        <v>3.8487693381516159</v>
      </c>
      <c r="M32">
        <v>3.941073016684963</v>
      </c>
      <c r="N32">
        <v>4.0063416861398338</v>
      </c>
      <c r="O32">
        <v>4.4118734515392664</v>
      </c>
      <c r="P32">
        <v>4.9805161569166128</v>
      </c>
      <c r="Q32">
        <v>5.5737404371809172</v>
      </c>
      <c r="R32">
        <v>6.1313001281072026</v>
      </c>
      <c r="S32">
        <v>6.6964863768406717</v>
      </c>
      <c r="T32">
        <v>6.6964863768406717</v>
      </c>
      <c r="U32">
        <v>6.6964863768406717</v>
      </c>
      <c r="V32">
        <v>6.6964863768406717</v>
      </c>
      <c r="W32">
        <v>6.6964863768406717</v>
      </c>
      <c r="X32">
        <v>6.6964863768406717</v>
      </c>
      <c r="Y32">
        <v>6.6964863768406717</v>
      </c>
      <c r="Z32">
        <v>6.6964863768406717</v>
      </c>
      <c r="AA32">
        <v>6.6964863768406717</v>
      </c>
      <c r="AB32">
        <v>6.6964863768406717</v>
      </c>
      <c r="AC32">
        <v>6.6964863768406717</v>
      </c>
    </row>
    <row r="33" spans="1:29">
      <c r="A33" t="s">
        <v>256</v>
      </c>
      <c r="B33" t="s">
        <v>140</v>
      </c>
      <c r="C33" t="s">
        <v>256</v>
      </c>
      <c r="D33" t="s">
        <v>274</v>
      </c>
      <c r="E33" t="s">
        <v>272</v>
      </c>
      <c r="F33">
        <v>1</v>
      </c>
      <c r="G33" t="s">
        <v>275</v>
      </c>
      <c r="H33">
        <v>3.7778781795615268</v>
      </c>
      <c r="I33">
        <v>3.981878855399779</v>
      </c>
      <c r="J33">
        <v>3.6011121078334409</v>
      </c>
      <c r="K33">
        <v>3.8893019011359029</v>
      </c>
      <c r="L33">
        <v>3.7264742863010918</v>
      </c>
      <c r="M33">
        <v>3.6977751293713381</v>
      </c>
      <c r="N33">
        <v>3.7934472796869061</v>
      </c>
      <c r="O33">
        <v>3.9236988583037791</v>
      </c>
      <c r="P33">
        <v>4.1425814000956578</v>
      </c>
      <c r="Q33">
        <v>4.4356798747533732</v>
      </c>
      <c r="R33">
        <v>4.6979638189573594</v>
      </c>
      <c r="S33">
        <v>4.9689665163366881</v>
      </c>
      <c r="T33">
        <v>4.9689665163366881</v>
      </c>
      <c r="U33">
        <v>4.9689665163366881</v>
      </c>
      <c r="V33">
        <v>4.9689665163366881</v>
      </c>
      <c r="W33">
        <v>4.9689665163366881</v>
      </c>
      <c r="X33">
        <v>4.9689665163366881</v>
      </c>
      <c r="Y33">
        <v>4.9689665163366881</v>
      </c>
      <c r="Z33">
        <v>4.9689665163366881</v>
      </c>
      <c r="AA33">
        <v>4.9689665163366881</v>
      </c>
      <c r="AB33">
        <v>4.9689665163366881</v>
      </c>
      <c r="AC33">
        <v>4.9689665163366881</v>
      </c>
    </row>
    <row r="34" spans="1:29">
      <c r="A34" t="s">
        <v>256</v>
      </c>
      <c r="B34" t="s">
        <v>106</v>
      </c>
      <c r="C34" t="s">
        <v>256</v>
      </c>
      <c r="D34" t="s">
        <v>106</v>
      </c>
      <c r="E34" t="s">
        <v>276</v>
      </c>
      <c r="F34">
        <v>1</v>
      </c>
      <c r="G34" t="s">
        <v>277</v>
      </c>
      <c r="H34">
        <v>18.17137311514243</v>
      </c>
      <c r="I34">
        <v>17.630934986443169</v>
      </c>
      <c r="J34">
        <v>19.92401014423324</v>
      </c>
      <c r="K34">
        <v>21.518488792296559</v>
      </c>
      <c r="L34">
        <v>20.69531158607089</v>
      </c>
      <c r="M34">
        <v>18.77872943239614</v>
      </c>
      <c r="N34">
        <v>18.127858728487311</v>
      </c>
      <c r="O34">
        <v>17.722945350877559</v>
      </c>
      <c r="P34">
        <v>19.06314713208441</v>
      </c>
      <c r="Q34">
        <v>20.732892691250431</v>
      </c>
      <c r="R34">
        <v>21.803489149356121</v>
      </c>
      <c r="S34">
        <v>22.407177575713739</v>
      </c>
      <c r="T34">
        <v>22.407177575713739</v>
      </c>
      <c r="U34">
        <v>22.407177575713739</v>
      </c>
      <c r="V34">
        <v>22.407177575713739</v>
      </c>
      <c r="W34">
        <v>22.407177575713739</v>
      </c>
      <c r="X34">
        <v>22.407177575713739</v>
      </c>
      <c r="Y34">
        <v>22.407177575713739</v>
      </c>
      <c r="Z34">
        <v>22.407177575713739</v>
      </c>
      <c r="AA34">
        <v>22.407177575713739</v>
      </c>
      <c r="AB34">
        <v>22.407177575713739</v>
      </c>
      <c r="AC34">
        <v>22.407177575713739</v>
      </c>
    </row>
    <row r="35" spans="1:29">
      <c r="A35" t="s">
        <v>256</v>
      </c>
      <c r="B35" t="s">
        <v>229</v>
      </c>
      <c r="C35" t="s">
        <v>256</v>
      </c>
      <c r="D35" t="s">
        <v>106</v>
      </c>
      <c r="E35" t="s">
        <v>276</v>
      </c>
      <c r="F35">
        <v>2</v>
      </c>
      <c r="G35" t="s">
        <v>278</v>
      </c>
      <c r="H35">
        <v>36.342746230284867</v>
      </c>
      <c r="I35">
        <v>35.261869972886331</v>
      </c>
      <c r="J35">
        <v>39.848020288466472</v>
      </c>
      <c r="K35">
        <v>43.036977584593117</v>
      </c>
      <c r="L35">
        <v>41.390623172141773</v>
      </c>
      <c r="M35">
        <v>37.557458864792267</v>
      </c>
      <c r="N35">
        <v>36.255717456974629</v>
      </c>
      <c r="O35">
        <v>35.445890701755118</v>
      </c>
      <c r="P35">
        <v>38.126294264168827</v>
      </c>
      <c r="Q35">
        <v>41.465785382500847</v>
      </c>
      <c r="R35">
        <v>43.606978298712249</v>
      </c>
      <c r="S35">
        <v>44.814355151427478</v>
      </c>
      <c r="T35">
        <v>44.814355151427478</v>
      </c>
      <c r="U35">
        <v>44.814355151427478</v>
      </c>
      <c r="V35">
        <v>44.814355151427478</v>
      </c>
      <c r="W35">
        <v>44.814355151427478</v>
      </c>
      <c r="X35">
        <v>44.814355151427478</v>
      </c>
      <c r="Y35">
        <v>44.814355151427478</v>
      </c>
      <c r="Z35">
        <v>44.814355151427478</v>
      </c>
      <c r="AA35">
        <v>44.814355151427478</v>
      </c>
      <c r="AB35">
        <v>44.814355151427478</v>
      </c>
      <c r="AC35">
        <v>44.814355151427478</v>
      </c>
    </row>
    <row r="36" spans="1:29">
      <c r="A36" t="s">
        <v>256</v>
      </c>
      <c r="B36" t="s">
        <v>153</v>
      </c>
      <c r="C36" t="s">
        <v>256</v>
      </c>
      <c r="D36" t="s">
        <v>106</v>
      </c>
      <c r="E36" t="s">
        <v>276</v>
      </c>
      <c r="F36">
        <v>2</v>
      </c>
      <c r="G36" t="s">
        <v>279</v>
      </c>
      <c r="H36">
        <v>36.342746230284867</v>
      </c>
      <c r="I36">
        <v>35.261869972886331</v>
      </c>
      <c r="J36">
        <v>39.848020288466472</v>
      </c>
      <c r="K36">
        <v>43.036977584593117</v>
      </c>
      <c r="L36">
        <v>41.390623172141773</v>
      </c>
      <c r="M36">
        <v>37.557458864792267</v>
      </c>
      <c r="N36">
        <v>36.255717456974629</v>
      </c>
      <c r="O36">
        <v>35.445890701755118</v>
      </c>
      <c r="P36">
        <v>38.126294264168827</v>
      </c>
      <c r="Q36">
        <v>41.465785382500847</v>
      </c>
      <c r="R36">
        <v>43.606978298712249</v>
      </c>
      <c r="S36">
        <v>44.814355151427478</v>
      </c>
      <c r="T36">
        <v>44.814355151427478</v>
      </c>
      <c r="U36">
        <v>44.814355151427478</v>
      </c>
      <c r="V36">
        <v>44.814355151427478</v>
      </c>
      <c r="W36">
        <v>44.814355151427478</v>
      </c>
      <c r="X36">
        <v>44.814355151427478</v>
      </c>
      <c r="Y36">
        <v>44.814355151427478</v>
      </c>
      <c r="Z36">
        <v>44.814355151427478</v>
      </c>
      <c r="AA36">
        <v>44.814355151427478</v>
      </c>
      <c r="AB36">
        <v>44.814355151427478</v>
      </c>
      <c r="AC36">
        <v>44.814355151427478</v>
      </c>
    </row>
    <row r="37" spans="1:29">
      <c r="A37" t="s">
        <v>256</v>
      </c>
      <c r="B37" t="s">
        <v>182</v>
      </c>
      <c r="C37" t="s">
        <v>256</v>
      </c>
      <c r="D37" t="s">
        <v>182</v>
      </c>
      <c r="F37">
        <v>1</v>
      </c>
      <c r="G37" t="s">
        <v>280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row>
    <row r="38" spans="1:29">
      <c r="A38" t="s">
        <v>256</v>
      </c>
      <c r="B38" t="s">
        <v>171</v>
      </c>
      <c r="C38" t="s">
        <v>256</v>
      </c>
      <c r="D38" t="s">
        <v>171</v>
      </c>
      <c r="F38">
        <v>1</v>
      </c>
      <c r="G38" t="s">
        <v>281</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row>
    <row r="39" spans="1:29">
      <c r="A39" t="s">
        <v>282</v>
      </c>
      <c r="B39" t="s">
        <v>213</v>
      </c>
      <c r="C39" t="s">
        <v>282</v>
      </c>
      <c r="D39" t="s">
        <v>214</v>
      </c>
      <c r="E39" t="s">
        <v>283</v>
      </c>
      <c r="F39">
        <v>1</v>
      </c>
      <c r="G39" t="s">
        <v>284</v>
      </c>
      <c r="H39">
        <v>16.47022329159719</v>
      </c>
      <c r="I39">
        <v>15.02698151152233</v>
      </c>
      <c r="J39">
        <v>22.646279416226371</v>
      </c>
      <c r="K39">
        <v>24.458615824702871</v>
      </c>
      <c r="L39">
        <v>22.34230147272098</v>
      </c>
      <c r="M39">
        <v>20.79455144777744</v>
      </c>
      <c r="N39">
        <v>19.36533502655481</v>
      </c>
      <c r="O39">
        <v>19.716729474548561</v>
      </c>
      <c r="P39">
        <v>22.74877505478446</v>
      </c>
      <c r="Q39">
        <v>25.076456571274171</v>
      </c>
      <c r="R39">
        <v>27.010912210636111</v>
      </c>
      <c r="S39">
        <v>28.480686838419999</v>
      </c>
      <c r="T39">
        <v>28.480686838419999</v>
      </c>
      <c r="U39">
        <v>28.480686838419999</v>
      </c>
      <c r="V39">
        <v>28.480686838419999</v>
      </c>
      <c r="W39">
        <v>28.480686838419999</v>
      </c>
      <c r="X39">
        <v>28.480686838419999</v>
      </c>
      <c r="Y39">
        <v>28.480686838419999</v>
      </c>
      <c r="Z39">
        <v>28.480686838419999</v>
      </c>
      <c r="AA39">
        <v>28.480686838419999</v>
      </c>
      <c r="AB39">
        <v>28.480686838419999</v>
      </c>
      <c r="AC39">
        <v>28.480686838419999</v>
      </c>
    </row>
    <row r="40" spans="1:29">
      <c r="A40" t="s">
        <v>282</v>
      </c>
      <c r="B40" t="s">
        <v>285</v>
      </c>
      <c r="C40" t="s">
        <v>282</v>
      </c>
      <c r="D40" t="s">
        <v>286</v>
      </c>
      <c r="E40" t="s">
        <v>287</v>
      </c>
      <c r="F40">
        <v>1.2</v>
      </c>
      <c r="G40" t="s">
        <v>288</v>
      </c>
      <c r="H40">
        <v>27.79722997382639</v>
      </c>
      <c r="I40">
        <v>23.253304531043071</v>
      </c>
      <c r="J40">
        <v>30.699480719280089</v>
      </c>
      <c r="K40">
        <v>33.156298707183574</v>
      </c>
      <c r="L40">
        <v>28.73723990205734</v>
      </c>
      <c r="M40">
        <v>27.204245230828001</v>
      </c>
      <c r="N40">
        <v>25.274519432788111</v>
      </c>
      <c r="O40">
        <v>26.267091278892298</v>
      </c>
      <c r="P40">
        <v>28.182933385616671</v>
      </c>
      <c r="Q40">
        <v>30.271527208961679</v>
      </c>
      <c r="R40">
        <v>32.405294035547499</v>
      </c>
      <c r="S40">
        <v>34.480395104286288</v>
      </c>
      <c r="T40">
        <v>34.480395104286288</v>
      </c>
      <c r="U40">
        <v>34.480395104286288</v>
      </c>
      <c r="V40">
        <v>34.480395104286288</v>
      </c>
      <c r="W40">
        <v>34.480395104286288</v>
      </c>
      <c r="X40">
        <v>34.480395104286288</v>
      </c>
      <c r="Y40">
        <v>34.480395104286288</v>
      </c>
      <c r="Z40">
        <v>34.480395104286288</v>
      </c>
      <c r="AA40">
        <v>34.480395104286288</v>
      </c>
      <c r="AB40">
        <v>34.480395104286288</v>
      </c>
      <c r="AC40">
        <v>34.480395104286288</v>
      </c>
    </row>
    <row r="41" spans="1:29">
      <c r="A41" t="s">
        <v>282</v>
      </c>
      <c r="B41" t="s">
        <v>244</v>
      </c>
      <c r="C41" t="s">
        <v>282</v>
      </c>
      <c r="D41" t="s">
        <v>289</v>
      </c>
      <c r="E41" t="s">
        <v>287</v>
      </c>
      <c r="F41">
        <v>1</v>
      </c>
      <c r="G41" t="s">
        <v>290</v>
      </c>
      <c r="H41">
        <v>23.164358311522001</v>
      </c>
      <c r="I41">
        <v>19.37775377586923</v>
      </c>
      <c r="J41">
        <v>25.58290059940007</v>
      </c>
      <c r="K41">
        <v>27.630248922652981</v>
      </c>
      <c r="L41">
        <v>23.76309310822241</v>
      </c>
      <c r="M41">
        <v>21.27566031001415</v>
      </c>
      <c r="N41">
        <v>19.76974639387754</v>
      </c>
      <c r="O41">
        <v>20.49712934263755</v>
      </c>
      <c r="P41">
        <v>21.902318158060631</v>
      </c>
      <c r="Q41">
        <v>23.43746556384226</v>
      </c>
      <c r="R41">
        <v>25.029331458002272</v>
      </c>
      <c r="S41">
        <v>26.57519981598459</v>
      </c>
      <c r="T41">
        <v>26.57519981598459</v>
      </c>
      <c r="U41">
        <v>26.57519981598459</v>
      </c>
      <c r="V41">
        <v>26.57519981598459</v>
      </c>
      <c r="W41">
        <v>26.57519981598459</v>
      </c>
      <c r="X41">
        <v>26.57519981598459</v>
      </c>
      <c r="Y41">
        <v>26.57519981598459</v>
      </c>
      <c r="Z41">
        <v>26.57519981598459</v>
      </c>
      <c r="AA41">
        <v>26.57519981598459</v>
      </c>
      <c r="AB41">
        <v>26.57519981598459</v>
      </c>
      <c r="AC41">
        <v>26.57519981598459</v>
      </c>
    </row>
    <row r="42" spans="1:29">
      <c r="A42" t="s">
        <v>282</v>
      </c>
      <c r="B42" t="s">
        <v>291</v>
      </c>
      <c r="C42" t="s">
        <v>282</v>
      </c>
      <c r="D42" t="s">
        <v>292</v>
      </c>
      <c r="E42" t="s">
        <v>293</v>
      </c>
      <c r="F42">
        <v>1</v>
      </c>
      <c r="G42" t="s">
        <v>294</v>
      </c>
      <c r="H42">
        <v>28.245714927306508</v>
      </c>
      <c r="I42">
        <v>24.238466929054791</v>
      </c>
      <c r="J42">
        <v>30.930980783355089</v>
      </c>
      <c r="K42">
        <v>33.406325257970877</v>
      </c>
      <c r="L42">
        <v>27.656474405767629</v>
      </c>
      <c r="M42">
        <v>26.288206786429939</v>
      </c>
      <c r="N42">
        <v>24.365965634928131</v>
      </c>
      <c r="O42">
        <v>24.858630773525739</v>
      </c>
      <c r="P42">
        <v>27.383243323269561</v>
      </c>
      <c r="Q42">
        <v>30.022251577673181</v>
      </c>
      <c r="R42">
        <v>32.429150111494117</v>
      </c>
      <c r="S42">
        <v>34.425779160811928</v>
      </c>
      <c r="T42">
        <v>34.425779160811928</v>
      </c>
      <c r="U42">
        <v>34.425779160811928</v>
      </c>
      <c r="V42">
        <v>34.425779160811928</v>
      </c>
      <c r="W42">
        <v>34.425779160811928</v>
      </c>
      <c r="X42">
        <v>34.425779160811928</v>
      </c>
      <c r="Y42">
        <v>34.425779160811928</v>
      </c>
      <c r="Z42">
        <v>34.425779160811928</v>
      </c>
      <c r="AA42">
        <v>34.425779160811928</v>
      </c>
      <c r="AB42">
        <v>34.425779160811928</v>
      </c>
      <c r="AC42">
        <v>34.425779160811928</v>
      </c>
    </row>
    <row r="43" spans="1:29">
      <c r="A43" t="s">
        <v>282</v>
      </c>
      <c r="B43" t="s">
        <v>295</v>
      </c>
      <c r="C43" t="s">
        <v>282</v>
      </c>
      <c r="D43" t="s">
        <v>292</v>
      </c>
      <c r="E43" t="s">
        <v>296</v>
      </c>
      <c r="F43">
        <v>1</v>
      </c>
      <c r="G43" t="s">
        <v>297</v>
      </c>
      <c r="H43">
        <v>16.31557330763853</v>
      </c>
      <c r="I43">
        <v>10.8932053700855</v>
      </c>
      <c r="J43">
        <v>15.754865471771311</v>
      </c>
      <c r="K43">
        <v>17.015695817469581</v>
      </c>
      <c r="L43">
        <v>14.086977607927381</v>
      </c>
      <c r="M43">
        <v>13.39004295774498</v>
      </c>
      <c r="N43">
        <v>12.41093883691766</v>
      </c>
      <c r="O43">
        <v>12.66188053952974</v>
      </c>
      <c r="P43">
        <v>13.94780585072982</v>
      </c>
      <c r="Q43">
        <v>15.29199924434497</v>
      </c>
      <c r="R43">
        <v>16.517966273006358</v>
      </c>
      <c r="S43">
        <v>17.534960279415639</v>
      </c>
      <c r="T43">
        <v>17.534960279415639</v>
      </c>
      <c r="U43">
        <v>17.534960279415639</v>
      </c>
      <c r="V43">
        <v>17.534960279415639</v>
      </c>
      <c r="W43">
        <v>17.534960279415639</v>
      </c>
      <c r="X43">
        <v>17.534960279415639</v>
      </c>
      <c r="Y43">
        <v>17.534960279415639</v>
      </c>
      <c r="Z43">
        <v>17.534960279415639</v>
      </c>
      <c r="AA43">
        <v>17.534960279415639</v>
      </c>
      <c r="AB43">
        <v>17.534960279415639</v>
      </c>
      <c r="AC43">
        <v>17.534960279415639</v>
      </c>
    </row>
    <row r="44" spans="1:29">
      <c r="A44" t="s">
        <v>282</v>
      </c>
      <c r="B44" t="s">
        <v>298</v>
      </c>
      <c r="C44" t="s">
        <v>282</v>
      </c>
      <c r="D44" t="s">
        <v>292</v>
      </c>
      <c r="E44" t="s">
        <v>296</v>
      </c>
      <c r="F44">
        <v>2</v>
      </c>
      <c r="G44" t="s">
        <v>299</v>
      </c>
      <c r="H44">
        <v>32.631146615277054</v>
      </c>
      <c r="I44">
        <v>21.786410740171</v>
      </c>
      <c r="J44">
        <v>31.509730943542611</v>
      </c>
      <c r="K44">
        <v>34.031391634939148</v>
      </c>
      <c r="L44">
        <v>28.17395521585475</v>
      </c>
      <c r="M44">
        <v>26.780085915489959</v>
      </c>
      <c r="N44">
        <v>24.821877673835321</v>
      </c>
      <c r="O44">
        <v>25.32376107905948</v>
      </c>
      <c r="P44">
        <v>27.895611701459629</v>
      </c>
      <c r="Q44">
        <v>30.583998488689939</v>
      </c>
      <c r="R44">
        <v>33.035932546012717</v>
      </c>
      <c r="S44">
        <v>35.069920558831278</v>
      </c>
      <c r="T44">
        <v>35.069920558831278</v>
      </c>
      <c r="U44">
        <v>35.069920558831278</v>
      </c>
      <c r="V44">
        <v>35.069920558831278</v>
      </c>
      <c r="W44">
        <v>35.069920558831278</v>
      </c>
      <c r="X44">
        <v>35.069920558831278</v>
      </c>
      <c r="Y44">
        <v>35.069920558831278</v>
      </c>
      <c r="Z44">
        <v>35.069920558831278</v>
      </c>
      <c r="AA44">
        <v>35.069920558831278</v>
      </c>
      <c r="AB44">
        <v>35.069920558831278</v>
      </c>
      <c r="AC44">
        <v>35.069920558831278</v>
      </c>
    </row>
    <row r="45" spans="1:29">
      <c r="A45" t="s">
        <v>282</v>
      </c>
      <c r="B45" t="s">
        <v>237</v>
      </c>
      <c r="C45" t="s">
        <v>282</v>
      </c>
      <c r="D45" t="s">
        <v>300</v>
      </c>
      <c r="E45" t="s">
        <v>301</v>
      </c>
      <c r="F45">
        <v>1</v>
      </c>
      <c r="G45" t="s">
        <v>302</v>
      </c>
      <c r="H45">
        <v>25.95910445020348</v>
      </c>
      <c r="I45">
        <v>21.916608413917039</v>
      </c>
      <c r="J45">
        <v>26.429590648563291</v>
      </c>
      <c r="K45">
        <v>28.544697881551009</v>
      </c>
      <c r="L45">
        <v>24.782376714480058</v>
      </c>
      <c r="M45">
        <v>23.473326202769229</v>
      </c>
      <c r="N45">
        <v>21.876167254065479</v>
      </c>
      <c r="O45">
        <v>20.909112888124149</v>
      </c>
      <c r="P45">
        <v>22.487512660927742</v>
      </c>
      <c r="Q45">
        <v>24.30901543138382</v>
      </c>
      <c r="R45">
        <v>25.921917191077501</v>
      </c>
      <c r="S45">
        <v>27.339011166099109</v>
      </c>
      <c r="T45">
        <v>27.339011166099109</v>
      </c>
      <c r="U45">
        <v>27.339011166099109</v>
      </c>
      <c r="V45">
        <v>27.339011166099109</v>
      </c>
      <c r="W45">
        <v>27.339011166099109</v>
      </c>
      <c r="X45">
        <v>27.339011166099109</v>
      </c>
      <c r="Y45">
        <v>27.339011166099109</v>
      </c>
      <c r="Z45">
        <v>27.339011166099109</v>
      </c>
      <c r="AA45">
        <v>27.339011166099109</v>
      </c>
      <c r="AB45">
        <v>27.339011166099109</v>
      </c>
      <c r="AC45">
        <v>27.339011166099109</v>
      </c>
    </row>
    <row r="46" spans="1:29">
      <c r="A46" t="s">
        <v>282</v>
      </c>
      <c r="B46" t="s">
        <v>303</v>
      </c>
      <c r="C46" t="s">
        <v>282</v>
      </c>
      <c r="D46" t="s">
        <v>300</v>
      </c>
      <c r="E46" t="s">
        <v>301</v>
      </c>
      <c r="F46">
        <v>1.5</v>
      </c>
      <c r="G46" t="s">
        <v>304</v>
      </c>
      <c r="H46">
        <v>38.938656675305218</v>
      </c>
      <c r="I46">
        <v>32.874912620875563</v>
      </c>
      <c r="J46">
        <v>39.644385972844937</v>
      </c>
      <c r="K46">
        <v>42.81704682232651</v>
      </c>
      <c r="L46">
        <v>37.173565071720091</v>
      </c>
      <c r="M46">
        <v>35.209989304153851</v>
      </c>
      <c r="N46">
        <v>32.814250881098218</v>
      </c>
      <c r="O46">
        <v>31.36366933218622</v>
      </c>
      <c r="P46">
        <v>33.731268991391609</v>
      </c>
      <c r="Q46">
        <v>36.463523147075719</v>
      </c>
      <c r="R46">
        <v>38.882875786616253</v>
      </c>
      <c r="S46">
        <v>41.008516749148662</v>
      </c>
      <c r="T46">
        <v>41.008516749148662</v>
      </c>
      <c r="U46">
        <v>41.008516749148662</v>
      </c>
      <c r="V46">
        <v>41.008516749148662</v>
      </c>
      <c r="W46">
        <v>41.008516749148662</v>
      </c>
      <c r="X46">
        <v>41.008516749148662</v>
      </c>
      <c r="Y46">
        <v>41.008516749148662</v>
      </c>
      <c r="Z46">
        <v>41.008516749148662</v>
      </c>
      <c r="AA46">
        <v>41.008516749148662</v>
      </c>
      <c r="AB46">
        <v>41.008516749148662</v>
      </c>
      <c r="AC46">
        <v>41.008516749148662</v>
      </c>
    </row>
    <row r="47" spans="1:29">
      <c r="A47" t="s">
        <v>282</v>
      </c>
      <c r="B47" t="s">
        <v>305</v>
      </c>
      <c r="C47" t="s">
        <v>282</v>
      </c>
      <c r="D47" t="s">
        <v>300</v>
      </c>
      <c r="E47" t="s">
        <v>301</v>
      </c>
      <c r="F47">
        <v>1.5</v>
      </c>
      <c r="G47" t="s">
        <v>306</v>
      </c>
      <c r="H47">
        <v>38.938656675305218</v>
      </c>
      <c r="I47">
        <v>32.874912620875563</v>
      </c>
      <c r="J47">
        <v>39.644385972844937</v>
      </c>
      <c r="K47">
        <v>42.81704682232651</v>
      </c>
      <c r="L47">
        <v>37.173565071720091</v>
      </c>
      <c r="M47">
        <v>35.209989304153851</v>
      </c>
      <c r="N47">
        <v>32.814250881098218</v>
      </c>
      <c r="O47">
        <v>31.36366933218622</v>
      </c>
      <c r="P47">
        <v>33.731268991391609</v>
      </c>
      <c r="Q47">
        <v>36.463523147075719</v>
      </c>
      <c r="R47">
        <v>38.882875786616253</v>
      </c>
      <c r="S47">
        <v>41.008516749148662</v>
      </c>
      <c r="T47">
        <v>41.008516749148662</v>
      </c>
      <c r="U47">
        <v>41.008516749148662</v>
      </c>
      <c r="V47">
        <v>41.008516749148662</v>
      </c>
      <c r="W47">
        <v>41.008516749148662</v>
      </c>
      <c r="X47">
        <v>41.008516749148662</v>
      </c>
      <c r="Y47">
        <v>41.008516749148662</v>
      </c>
      <c r="Z47">
        <v>41.008516749148662</v>
      </c>
      <c r="AA47">
        <v>41.008516749148662</v>
      </c>
      <c r="AB47">
        <v>41.008516749148662</v>
      </c>
      <c r="AC47">
        <v>41.008516749148662</v>
      </c>
    </row>
    <row r="48" spans="1:29">
      <c r="A48" t="s">
        <v>282</v>
      </c>
      <c r="B48" t="s">
        <v>133</v>
      </c>
      <c r="C48" t="s">
        <v>282</v>
      </c>
      <c r="D48" t="s">
        <v>300</v>
      </c>
      <c r="E48" t="s">
        <v>307</v>
      </c>
      <c r="F48">
        <v>1</v>
      </c>
      <c r="G48" t="s">
        <v>308</v>
      </c>
      <c r="H48">
        <v>10.99119528849041</v>
      </c>
      <c r="I48">
        <v>7.9746075169450634</v>
      </c>
      <c r="J48">
        <v>11.85366068828508</v>
      </c>
      <c r="K48">
        <v>12.80228542457235</v>
      </c>
      <c r="L48">
        <v>11.11488590681871</v>
      </c>
      <c r="M48">
        <v>10.527777283156031</v>
      </c>
      <c r="N48">
        <v>9.8114521423343177</v>
      </c>
      <c r="O48">
        <v>9.3777286513646807</v>
      </c>
      <c r="P48">
        <v>10.085640309402301</v>
      </c>
      <c r="Q48">
        <v>10.90258356330515</v>
      </c>
      <c r="R48">
        <v>11.6259693484719</v>
      </c>
      <c r="S48">
        <v>12.26153542161623</v>
      </c>
      <c r="T48">
        <v>12.26153542161623</v>
      </c>
      <c r="U48">
        <v>12.26153542161623</v>
      </c>
      <c r="V48">
        <v>12.26153542161623</v>
      </c>
      <c r="W48">
        <v>12.26153542161623</v>
      </c>
      <c r="X48">
        <v>12.26153542161623</v>
      </c>
      <c r="Y48">
        <v>12.26153542161623</v>
      </c>
      <c r="Z48">
        <v>12.26153542161623</v>
      </c>
      <c r="AA48">
        <v>12.26153542161623</v>
      </c>
      <c r="AB48">
        <v>12.26153542161623</v>
      </c>
      <c r="AC48">
        <v>12.26153542161623</v>
      </c>
    </row>
    <row r="49" spans="1:29">
      <c r="A49" t="s">
        <v>282</v>
      </c>
      <c r="B49" t="s">
        <v>309</v>
      </c>
      <c r="C49" t="s">
        <v>282</v>
      </c>
      <c r="D49" t="s">
        <v>223</v>
      </c>
      <c r="E49" t="s">
        <v>310</v>
      </c>
      <c r="F49">
        <v>1</v>
      </c>
      <c r="G49" t="s">
        <v>311</v>
      </c>
      <c r="H49">
        <v>11.12375241759783</v>
      </c>
      <c r="I49">
        <v>10.665359441029929</v>
      </c>
      <c r="J49">
        <v>12.796809097479549</v>
      </c>
      <c r="K49">
        <v>13.820912112965081</v>
      </c>
      <c r="L49">
        <v>12.488279997598211</v>
      </c>
      <c r="M49">
        <v>11.26766895065759</v>
      </c>
      <c r="N49">
        <v>10.947508552659921</v>
      </c>
      <c r="O49">
        <v>10.49011334493275</v>
      </c>
      <c r="P49">
        <v>11.02997224181253</v>
      </c>
      <c r="Q49">
        <v>11.220342208926949</v>
      </c>
      <c r="R49">
        <v>11.03273536325935</v>
      </c>
      <c r="S49">
        <v>11.0016349699681</v>
      </c>
      <c r="T49">
        <v>11.0016349699681</v>
      </c>
      <c r="U49">
        <v>11.0016349699681</v>
      </c>
      <c r="V49">
        <v>11.0016349699681</v>
      </c>
      <c r="W49">
        <v>11.0016349699681</v>
      </c>
      <c r="X49">
        <v>11.0016349699681</v>
      </c>
      <c r="Y49">
        <v>11.0016349699681</v>
      </c>
      <c r="Z49">
        <v>11.0016349699681</v>
      </c>
      <c r="AA49">
        <v>11.0016349699681</v>
      </c>
      <c r="AB49">
        <v>11.0016349699681</v>
      </c>
      <c r="AC49">
        <v>11.0016349699681</v>
      </c>
    </row>
    <row r="50" spans="1:29">
      <c r="A50" t="s">
        <v>282</v>
      </c>
      <c r="B50" t="s">
        <v>126</v>
      </c>
      <c r="C50" t="s">
        <v>212</v>
      </c>
      <c r="D50" t="s">
        <v>223</v>
      </c>
      <c r="E50" t="s">
        <v>310</v>
      </c>
      <c r="F50">
        <v>2</v>
      </c>
      <c r="G50" t="s">
        <v>312</v>
      </c>
      <c r="H50">
        <v>22.24750483519567</v>
      </c>
      <c r="I50">
        <v>21.330718882059859</v>
      </c>
      <c r="J50">
        <v>25.593618194959099</v>
      </c>
      <c r="K50">
        <v>27.641824225930169</v>
      </c>
      <c r="L50">
        <v>26.689632295082308</v>
      </c>
      <c r="M50">
        <v>23.953947672007828</v>
      </c>
      <c r="N50">
        <v>22.836328474421911</v>
      </c>
      <c r="O50">
        <v>22.156121152604669</v>
      </c>
      <c r="P50">
        <v>24.837000420002649</v>
      </c>
      <c r="Q50">
        <v>27.188763081552519</v>
      </c>
      <c r="R50">
        <v>28.65642072067687</v>
      </c>
      <c r="S50">
        <v>30.117867811829701</v>
      </c>
      <c r="T50">
        <v>30.117867811829701</v>
      </c>
      <c r="U50">
        <v>30.117867811829701</v>
      </c>
      <c r="V50">
        <v>30.117867811829701</v>
      </c>
      <c r="W50">
        <v>30.117867811829701</v>
      </c>
      <c r="X50">
        <v>30.117867811829701</v>
      </c>
      <c r="Y50">
        <v>30.117867811829701</v>
      </c>
      <c r="Z50">
        <v>30.117867811829701</v>
      </c>
      <c r="AA50">
        <v>30.117867811829701</v>
      </c>
      <c r="AB50">
        <v>30.117867811829701</v>
      </c>
      <c r="AC50">
        <v>30.117867811829701</v>
      </c>
    </row>
    <row r="51" spans="1:29">
      <c r="A51" t="s">
        <v>282</v>
      </c>
      <c r="B51" t="s">
        <v>106</v>
      </c>
      <c r="C51" t="s">
        <v>282</v>
      </c>
      <c r="D51" t="s">
        <v>106</v>
      </c>
      <c r="E51" t="s">
        <v>313</v>
      </c>
      <c r="F51">
        <v>1</v>
      </c>
      <c r="G51" t="s">
        <v>314</v>
      </c>
      <c r="H51">
        <v>39.767138732226613</v>
      </c>
      <c r="I51">
        <v>38.592760459555898</v>
      </c>
      <c r="J51">
        <v>39.79443231067134</v>
      </c>
      <c r="K51">
        <v>42.979101068207179</v>
      </c>
      <c r="L51">
        <v>43.520645043757092</v>
      </c>
      <c r="M51">
        <v>41.560671289863201</v>
      </c>
      <c r="N51">
        <v>39.823770525855842</v>
      </c>
      <c r="O51">
        <v>41.592041108522722</v>
      </c>
      <c r="P51">
        <v>44.764571864671588</v>
      </c>
      <c r="Q51">
        <v>47.702010731512658</v>
      </c>
      <c r="R51">
        <v>50.325799195144228</v>
      </c>
      <c r="S51">
        <v>51.889591647961851</v>
      </c>
      <c r="T51">
        <v>51.889591647961851</v>
      </c>
      <c r="U51">
        <v>51.889591647961851</v>
      </c>
      <c r="V51">
        <v>51.889591647961851</v>
      </c>
      <c r="W51">
        <v>51.889591647961851</v>
      </c>
      <c r="X51">
        <v>51.889591647961851</v>
      </c>
      <c r="Y51">
        <v>51.889591647961851</v>
      </c>
      <c r="Z51">
        <v>51.889591647961851</v>
      </c>
      <c r="AA51">
        <v>51.889591647961851</v>
      </c>
      <c r="AB51">
        <v>51.889591647961851</v>
      </c>
      <c r="AC51">
        <v>51.889591647961851</v>
      </c>
    </row>
    <row r="52" spans="1:29">
      <c r="A52" t="s">
        <v>282</v>
      </c>
      <c r="B52" t="s">
        <v>229</v>
      </c>
      <c r="C52" t="s">
        <v>282</v>
      </c>
      <c r="D52" t="s">
        <v>106</v>
      </c>
      <c r="E52" t="s">
        <v>313</v>
      </c>
      <c r="F52">
        <v>2</v>
      </c>
      <c r="G52" t="s">
        <v>315</v>
      </c>
      <c r="H52">
        <v>79.534277464453211</v>
      </c>
      <c r="I52">
        <v>77.185520919111795</v>
      </c>
      <c r="J52">
        <v>79.58886462134268</v>
      </c>
      <c r="K52">
        <v>85.958202136414357</v>
      </c>
      <c r="L52">
        <v>87.041290087514184</v>
      </c>
      <c r="M52">
        <v>83.121342579726402</v>
      </c>
      <c r="N52">
        <v>79.647541051711684</v>
      </c>
      <c r="O52">
        <v>83.184082217045443</v>
      </c>
      <c r="P52">
        <v>89.52914372934319</v>
      </c>
      <c r="Q52">
        <v>95.404021463025316</v>
      </c>
      <c r="R52">
        <v>100.6515983902885</v>
      </c>
      <c r="S52">
        <v>103.7791832959237</v>
      </c>
      <c r="T52">
        <v>103.7791832959237</v>
      </c>
      <c r="U52">
        <v>103.7791832959237</v>
      </c>
      <c r="V52">
        <v>103.7791832959237</v>
      </c>
      <c r="W52">
        <v>103.7791832959237</v>
      </c>
      <c r="X52">
        <v>103.7791832959237</v>
      </c>
      <c r="Y52">
        <v>103.7791832959237</v>
      </c>
      <c r="Z52">
        <v>103.7791832959237</v>
      </c>
      <c r="AA52">
        <v>103.7791832959237</v>
      </c>
      <c r="AB52">
        <v>103.7791832959237</v>
      </c>
      <c r="AC52">
        <v>103.7791832959237</v>
      </c>
    </row>
    <row r="53" spans="1:29">
      <c r="A53" t="s">
        <v>106</v>
      </c>
      <c r="B53" t="s">
        <v>237</v>
      </c>
      <c r="C53" t="s">
        <v>316</v>
      </c>
      <c r="D53" t="s">
        <v>217</v>
      </c>
      <c r="E53" t="s">
        <v>317</v>
      </c>
      <c r="F53">
        <v>1</v>
      </c>
      <c r="G53" t="s">
        <v>318</v>
      </c>
      <c r="H53">
        <v>15.531276960419611</v>
      </c>
      <c r="I53">
        <v>10.29646603208281</v>
      </c>
      <c r="J53">
        <v>16.140698911896319</v>
      </c>
      <c r="K53">
        <v>17.432406735448431</v>
      </c>
      <c r="L53">
        <v>15.96578593638675</v>
      </c>
      <c r="M53">
        <v>14.784620224476219</v>
      </c>
      <c r="N53">
        <v>13.4034213768775</v>
      </c>
      <c r="O53">
        <v>11.61348371129057</v>
      </c>
      <c r="P53">
        <v>12.53539259626851</v>
      </c>
      <c r="Q53">
        <v>13.486530091701299</v>
      </c>
      <c r="R53">
        <v>14.364992491667969</v>
      </c>
      <c r="S53">
        <v>15.18196376371692</v>
      </c>
      <c r="T53">
        <v>15.18196376371692</v>
      </c>
      <c r="U53">
        <v>15.18196376371692</v>
      </c>
      <c r="V53">
        <v>15.18196376371692</v>
      </c>
      <c r="W53">
        <v>15.18196376371692</v>
      </c>
      <c r="X53">
        <v>15.18196376371692</v>
      </c>
      <c r="Y53">
        <v>15.18196376371692</v>
      </c>
      <c r="Z53">
        <v>15.18196376371692</v>
      </c>
      <c r="AA53">
        <v>15.18196376371692</v>
      </c>
      <c r="AB53">
        <v>15.18196376371692</v>
      </c>
      <c r="AC53">
        <v>15.18196376371692</v>
      </c>
    </row>
    <row r="54" spans="1:29">
      <c r="A54" t="s">
        <v>106</v>
      </c>
      <c r="B54" t="s">
        <v>133</v>
      </c>
      <c r="C54" t="s">
        <v>316</v>
      </c>
      <c r="D54" t="s">
        <v>240</v>
      </c>
      <c r="E54" t="s">
        <v>319</v>
      </c>
      <c r="F54">
        <v>1</v>
      </c>
      <c r="G54" t="s">
        <v>320</v>
      </c>
      <c r="H54">
        <v>12.99059865252736</v>
      </c>
      <c r="I54">
        <v>9.4067819281515224</v>
      </c>
      <c r="J54">
        <v>13.922156631177501</v>
      </c>
      <c r="K54">
        <v>15.03631895707005</v>
      </c>
      <c r="L54">
        <v>12.597648645914131</v>
      </c>
      <c r="M54">
        <v>12.325662601088309</v>
      </c>
      <c r="N54">
        <v>11.625465996462189</v>
      </c>
      <c r="O54">
        <v>12.30909849289373</v>
      </c>
      <c r="P54">
        <v>13.374947045204751</v>
      </c>
      <c r="Q54">
        <v>14.42355508465856</v>
      </c>
      <c r="R54">
        <v>14.66087589269757</v>
      </c>
      <c r="S54">
        <v>15.65346823164624</v>
      </c>
      <c r="T54">
        <v>15.65346823164624</v>
      </c>
      <c r="U54">
        <v>15.65346823164624</v>
      </c>
      <c r="V54">
        <v>15.65346823164624</v>
      </c>
      <c r="W54">
        <v>15.65346823164624</v>
      </c>
      <c r="X54">
        <v>15.65346823164624</v>
      </c>
      <c r="Y54">
        <v>15.65346823164624</v>
      </c>
      <c r="Z54">
        <v>15.65346823164624</v>
      </c>
      <c r="AA54">
        <v>15.65346823164624</v>
      </c>
      <c r="AB54">
        <v>15.65346823164624</v>
      </c>
      <c r="AC54">
        <v>15.65346823164624</v>
      </c>
    </row>
    <row r="55" spans="1:29">
      <c r="A55" t="s">
        <v>106</v>
      </c>
      <c r="B55" t="s">
        <v>110</v>
      </c>
      <c r="C55" t="s">
        <v>316</v>
      </c>
      <c r="D55" t="s">
        <v>223</v>
      </c>
      <c r="E55" t="s">
        <v>321</v>
      </c>
      <c r="F55">
        <v>1</v>
      </c>
      <c r="G55" t="s">
        <v>322</v>
      </c>
      <c r="H55">
        <v>3.2697425179830768</v>
      </c>
      <c r="I55">
        <v>2.3001589028467402</v>
      </c>
      <c r="J55">
        <v>4.2548854369341553</v>
      </c>
      <c r="K55">
        <v>4.5953954010445051</v>
      </c>
      <c r="L55">
        <v>3.5948003283883661</v>
      </c>
      <c r="M55">
        <v>2.7934790058476091</v>
      </c>
      <c r="N55">
        <v>2.45813383495071</v>
      </c>
      <c r="O55">
        <v>2.2074105592583528</v>
      </c>
      <c r="P55">
        <v>2.670910209603381</v>
      </c>
      <c r="Q55">
        <v>3.1189180446038129</v>
      </c>
      <c r="R55">
        <v>3.1323627485479322</v>
      </c>
      <c r="S55">
        <v>3.2623374518863151</v>
      </c>
      <c r="T55">
        <v>3.2623374518863151</v>
      </c>
      <c r="U55">
        <v>3.2623374518863151</v>
      </c>
      <c r="V55">
        <v>3.2623374518863151</v>
      </c>
      <c r="W55">
        <v>3.2623374518863151</v>
      </c>
      <c r="X55">
        <v>3.2623374518863151</v>
      </c>
      <c r="Y55">
        <v>3.2623374518863151</v>
      </c>
      <c r="Z55">
        <v>3.2623374518863151</v>
      </c>
      <c r="AA55">
        <v>3.2623374518863151</v>
      </c>
      <c r="AB55">
        <v>3.2623374518863151</v>
      </c>
      <c r="AC55">
        <v>3.2623374518863151</v>
      </c>
    </row>
    <row r="56" spans="1:29">
      <c r="A56" t="s">
        <v>106</v>
      </c>
      <c r="B56" t="s">
        <v>126</v>
      </c>
      <c r="C56" t="s">
        <v>316</v>
      </c>
      <c r="D56" t="s">
        <v>223</v>
      </c>
      <c r="E56" t="s">
        <v>321</v>
      </c>
      <c r="F56">
        <v>2</v>
      </c>
      <c r="G56" t="s">
        <v>323</v>
      </c>
      <c r="H56">
        <v>6.5394850359661536</v>
      </c>
      <c r="I56">
        <v>4.6003178056934786</v>
      </c>
      <c r="J56">
        <v>8.5097708738683107</v>
      </c>
      <c r="K56">
        <v>9.1907908020890101</v>
      </c>
      <c r="L56">
        <v>7.1896006567767312</v>
      </c>
      <c r="M56">
        <v>5.5869580116952173</v>
      </c>
      <c r="N56">
        <v>4.9162676699014201</v>
      </c>
      <c r="O56">
        <v>4.4148211185167057</v>
      </c>
      <c r="P56">
        <v>5.3418204192067611</v>
      </c>
      <c r="Q56">
        <v>6.237836089207625</v>
      </c>
      <c r="R56">
        <v>6.2647254970958626</v>
      </c>
      <c r="S56">
        <v>6.5246749037726302</v>
      </c>
      <c r="T56">
        <v>6.5246749037726302</v>
      </c>
      <c r="U56">
        <v>6.5246749037726302</v>
      </c>
      <c r="V56">
        <v>6.5246749037726302</v>
      </c>
      <c r="W56">
        <v>6.5246749037726302</v>
      </c>
      <c r="X56">
        <v>6.5246749037726302</v>
      </c>
      <c r="Y56">
        <v>6.5246749037726302</v>
      </c>
      <c r="Z56">
        <v>6.5246749037726302</v>
      </c>
      <c r="AA56">
        <v>6.5246749037726302</v>
      </c>
      <c r="AB56">
        <v>6.5246749037726302</v>
      </c>
      <c r="AC56">
        <v>6.5246749037726302</v>
      </c>
    </row>
    <row r="57" spans="1:29">
      <c r="A57" t="s">
        <v>106</v>
      </c>
      <c r="B57" t="s">
        <v>140</v>
      </c>
      <c r="C57" t="s">
        <v>316</v>
      </c>
      <c r="D57" t="s">
        <v>324</v>
      </c>
      <c r="E57" t="s">
        <v>325</v>
      </c>
      <c r="F57">
        <v>1</v>
      </c>
      <c r="G57" t="s">
        <v>326</v>
      </c>
      <c r="H57">
        <v>2.5185854530410179</v>
      </c>
      <c r="I57">
        <v>2.267609484410229</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29">
      <c r="A58" t="s">
        <v>106</v>
      </c>
      <c r="B58" t="s">
        <v>155</v>
      </c>
      <c r="C58" t="s">
        <v>316</v>
      </c>
      <c r="D58" t="s">
        <v>155</v>
      </c>
      <c r="E58" t="s">
        <v>327</v>
      </c>
      <c r="F58">
        <v>1</v>
      </c>
      <c r="G58" t="s">
        <v>328</v>
      </c>
      <c r="H58">
        <v>0.74011063751643957</v>
      </c>
      <c r="I58">
        <v>0.69438759331222322</v>
      </c>
      <c r="J58">
        <v>0.68592611577779838</v>
      </c>
      <c r="K58">
        <v>0.74081940974017213</v>
      </c>
      <c r="L58">
        <v>0.72661508306929301</v>
      </c>
      <c r="M58">
        <v>0.72165822382837186</v>
      </c>
      <c r="N58">
        <v>0.72826210686187742</v>
      </c>
      <c r="O58">
        <v>0.76817224765170378</v>
      </c>
      <c r="P58">
        <v>0.81843287665180864</v>
      </c>
      <c r="Q58">
        <v>0.86958934774034158</v>
      </c>
      <c r="R58">
        <v>0.91907449131387198</v>
      </c>
      <c r="S58">
        <v>0.96468476379297519</v>
      </c>
      <c r="T58">
        <v>0.96468476379297519</v>
      </c>
      <c r="U58">
        <v>0.96468476379297519</v>
      </c>
      <c r="V58">
        <v>0.96468476379297519</v>
      </c>
      <c r="W58">
        <v>0.96468476379297519</v>
      </c>
      <c r="X58">
        <v>0.96468476379297519</v>
      </c>
      <c r="Y58">
        <v>0.96468476379297519</v>
      </c>
      <c r="Z58">
        <v>0.96468476379297519</v>
      </c>
      <c r="AA58">
        <v>0.96468476379297519</v>
      </c>
      <c r="AB58">
        <v>0.96468476379297519</v>
      </c>
      <c r="AC58">
        <v>0.96468476379297519</v>
      </c>
    </row>
    <row r="59" spans="1:29">
      <c r="A59" t="s">
        <v>106</v>
      </c>
      <c r="B59" t="s">
        <v>143</v>
      </c>
      <c r="C59" t="s">
        <v>316</v>
      </c>
      <c r="D59" t="s">
        <v>324</v>
      </c>
      <c r="E59" t="s">
        <v>325</v>
      </c>
      <c r="F59">
        <v>2</v>
      </c>
      <c r="G59" t="s">
        <v>329</v>
      </c>
      <c r="H59">
        <v>5.0371709060820358</v>
      </c>
      <c r="I59">
        <v>4.5352189688204572</v>
      </c>
      <c r="J59">
        <v>0</v>
      </c>
      <c r="K59">
        <v>0</v>
      </c>
      <c r="L59">
        <v>0</v>
      </c>
      <c r="M59">
        <v>0</v>
      </c>
      <c r="N59">
        <v>0</v>
      </c>
      <c r="O59">
        <v>0</v>
      </c>
      <c r="P59">
        <v>0</v>
      </c>
      <c r="Q59">
        <v>0</v>
      </c>
      <c r="R59">
        <v>0</v>
      </c>
      <c r="S59">
        <v>0</v>
      </c>
      <c r="T59">
        <v>0</v>
      </c>
      <c r="U59">
        <v>0</v>
      </c>
      <c r="V59">
        <v>0</v>
      </c>
      <c r="W59">
        <v>0</v>
      </c>
      <c r="X59">
        <v>0</v>
      </c>
      <c r="Y59">
        <v>0</v>
      </c>
      <c r="Z59">
        <v>0</v>
      </c>
      <c r="AA59">
        <v>0</v>
      </c>
      <c r="AB59">
        <v>0</v>
      </c>
      <c r="AC59">
        <v>0</v>
      </c>
    </row>
    <row r="60" spans="1:29">
      <c r="A60" t="s">
        <v>106</v>
      </c>
      <c r="B60" t="s">
        <v>146</v>
      </c>
      <c r="C60" t="s">
        <v>316</v>
      </c>
      <c r="D60" t="s">
        <v>324</v>
      </c>
      <c r="E60" t="s">
        <v>325</v>
      </c>
      <c r="F60">
        <v>2</v>
      </c>
      <c r="G60" t="s">
        <v>330</v>
      </c>
      <c r="H60">
        <v>5.0371709060820358</v>
      </c>
      <c r="I60">
        <v>4.5352189688204572</v>
      </c>
      <c r="J60">
        <v>0</v>
      </c>
      <c r="K60">
        <v>0</v>
      </c>
      <c r="L60">
        <v>0</v>
      </c>
      <c r="M60">
        <v>0</v>
      </c>
      <c r="N60">
        <v>0</v>
      </c>
      <c r="O60">
        <v>0</v>
      </c>
      <c r="P60">
        <v>0</v>
      </c>
      <c r="Q60">
        <v>0</v>
      </c>
      <c r="R60">
        <v>0</v>
      </c>
      <c r="S60">
        <v>0</v>
      </c>
      <c r="T60">
        <v>0</v>
      </c>
      <c r="U60">
        <v>0</v>
      </c>
      <c r="V60">
        <v>0</v>
      </c>
      <c r="W60">
        <v>0</v>
      </c>
      <c r="X60">
        <v>0</v>
      </c>
      <c r="Y60">
        <v>0</v>
      </c>
      <c r="Z60">
        <v>0</v>
      </c>
      <c r="AA60">
        <v>0</v>
      </c>
      <c r="AB60">
        <v>0</v>
      </c>
      <c r="AC60">
        <v>0</v>
      </c>
    </row>
    <row r="61" spans="1:29">
      <c r="A61" t="s">
        <v>106</v>
      </c>
      <c r="B61" t="s">
        <v>148</v>
      </c>
      <c r="C61" t="s">
        <v>316</v>
      </c>
      <c r="D61" t="s">
        <v>324</v>
      </c>
      <c r="E61" t="s">
        <v>325</v>
      </c>
      <c r="F61">
        <v>1</v>
      </c>
      <c r="G61" t="s">
        <v>331</v>
      </c>
      <c r="H61">
        <v>2.5185854530410179</v>
      </c>
      <c r="I61">
        <v>2.267609484410229</v>
      </c>
      <c r="J61">
        <v>0</v>
      </c>
      <c r="K61">
        <v>0</v>
      </c>
      <c r="L61">
        <v>0</v>
      </c>
      <c r="M61">
        <v>0</v>
      </c>
      <c r="N61">
        <v>0</v>
      </c>
      <c r="O61">
        <v>0</v>
      </c>
      <c r="P61">
        <v>0</v>
      </c>
      <c r="Q61">
        <v>0</v>
      </c>
      <c r="R61">
        <v>0</v>
      </c>
      <c r="S61">
        <v>0</v>
      </c>
      <c r="T61">
        <v>0</v>
      </c>
      <c r="U61">
        <v>0</v>
      </c>
      <c r="V61">
        <v>0</v>
      </c>
      <c r="W61">
        <v>0</v>
      </c>
      <c r="X61">
        <v>0</v>
      </c>
      <c r="Y61">
        <v>0</v>
      </c>
      <c r="Z61">
        <v>0</v>
      </c>
      <c r="AA61">
        <v>0</v>
      </c>
      <c r="AB61">
        <v>0</v>
      </c>
      <c r="AC61">
        <v>0</v>
      </c>
    </row>
    <row r="62" spans="1:29">
      <c r="A62" t="s">
        <v>106</v>
      </c>
      <c r="B62" t="s">
        <v>150</v>
      </c>
      <c r="C62" t="s">
        <v>316</v>
      </c>
      <c r="D62" t="s">
        <v>324</v>
      </c>
      <c r="E62" t="s">
        <v>325</v>
      </c>
      <c r="F62">
        <v>1</v>
      </c>
      <c r="G62" t="s">
        <v>332</v>
      </c>
      <c r="H62">
        <v>2.5185854530410179</v>
      </c>
      <c r="I62">
        <v>2.267609484410229</v>
      </c>
      <c r="J62">
        <v>0</v>
      </c>
      <c r="K62">
        <v>0</v>
      </c>
      <c r="L62">
        <v>0</v>
      </c>
      <c r="M62">
        <v>0</v>
      </c>
      <c r="N62">
        <v>0</v>
      </c>
      <c r="O62">
        <v>0</v>
      </c>
      <c r="P62">
        <v>0</v>
      </c>
      <c r="Q62">
        <v>0</v>
      </c>
      <c r="R62">
        <v>0</v>
      </c>
      <c r="S62">
        <v>0</v>
      </c>
      <c r="T62">
        <v>0</v>
      </c>
      <c r="U62">
        <v>0</v>
      </c>
      <c r="V62">
        <v>0</v>
      </c>
      <c r="W62">
        <v>0</v>
      </c>
      <c r="X62">
        <v>0</v>
      </c>
      <c r="Y62">
        <v>0</v>
      </c>
      <c r="Z62">
        <v>0</v>
      </c>
      <c r="AA62">
        <v>0</v>
      </c>
      <c r="AB62">
        <v>0</v>
      </c>
      <c r="AC62">
        <v>0</v>
      </c>
    </row>
    <row r="63" spans="1:29">
      <c r="A63" t="s">
        <v>106</v>
      </c>
      <c r="B63" t="s">
        <v>153</v>
      </c>
      <c r="C63" t="s">
        <v>316</v>
      </c>
      <c r="D63" t="s">
        <v>324</v>
      </c>
      <c r="E63" t="s">
        <v>325</v>
      </c>
      <c r="F63">
        <v>1</v>
      </c>
      <c r="G63" t="s">
        <v>333</v>
      </c>
      <c r="H63">
        <v>2.5185854530410179</v>
      </c>
      <c r="I63">
        <v>2.267609484410229</v>
      </c>
      <c r="J63">
        <v>0</v>
      </c>
      <c r="K63">
        <v>0</v>
      </c>
      <c r="L63">
        <v>0</v>
      </c>
      <c r="M63">
        <v>0</v>
      </c>
      <c r="N63">
        <v>0</v>
      </c>
      <c r="O63">
        <v>0</v>
      </c>
      <c r="P63">
        <v>0</v>
      </c>
      <c r="Q63">
        <v>0</v>
      </c>
      <c r="R63">
        <v>0</v>
      </c>
      <c r="S63">
        <v>0</v>
      </c>
      <c r="T63">
        <v>0</v>
      </c>
      <c r="U63">
        <v>0</v>
      </c>
      <c r="V63">
        <v>0</v>
      </c>
      <c r="W63">
        <v>0</v>
      </c>
      <c r="X63">
        <v>0</v>
      </c>
      <c r="Y63">
        <v>0</v>
      </c>
      <c r="Z63">
        <v>0</v>
      </c>
      <c r="AA63">
        <v>0</v>
      </c>
      <c r="AB63">
        <v>0</v>
      </c>
      <c r="AC63">
        <v>0</v>
      </c>
    </row>
    <row r="64" spans="1:29">
      <c r="A64" t="s">
        <v>106</v>
      </c>
      <c r="B64" t="s">
        <v>165</v>
      </c>
      <c r="C64" t="s">
        <v>316</v>
      </c>
      <c r="D64" t="s">
        <v>165</v>
      </c>
      <c r="F64">
        <v>1</v>
      </c>
      <c r="G64" t="s">
        <v>334</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row>
    <row r="65" spans="1:29">
      <c r="A65" t="s">
        <v>106</v>
      </c>
      <c r="B65" t="s">
        <v>171</v>
      </c>
      <c r="C65" t="s">
        <v>316</v>
      </c>
      <c r="D65" t="s">
        <v>171</v>
      </c>
      <c r="F65">
        <v>1</v>
      </c>
      <c r="G65" t="s">
        <v>335</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row>
    <row r="66" spans="1:29">
      <c r="A66" t="s">
        <v>106</v>
      </c>
      <c r="B66" t="s">
        <v>179</v>
      </c>
      <c r="C66" t="s">
        <v>316</v>
      </c>
      <c r="D66" t="s">
        <v>179</v>
      </c>
      <c r="F66">
        <v>1</v>
      </c>
      <c r="G66" t="s">
        <v>336</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row>
    <row r="67" spans="1:29">
      <c r="A67" t="s">
        <v>106</v>
      </c>
      <c r="B67" t="s">
        <v>182</v>
      </c>
      <c r="C67" t="s">
        <v>316</v>
      </c>
      <c r="D67" t="s">
        <v>182</v>
      </c>
      <c r="F67">
        <v>2</v>
      </c>
      <c r="G67" t="s">
        <v>337</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row>
    <row r="68" spans="1:29">
      <c r="A68" t="s">
        <v>148</v>
      </c>
      <c r="B68" t="s">
        <v>213</v>
      </c>
      <c r="C68" t="s">
        <v>256</v>
      </c>
      <c r="D68" t="s">
        <v>214</v>
      </c>
      <c r="E68" t="s">
        <v>257</v>
      </c>
      <c r="F68">
        <v>1</v>
      </c>
      <c r="G68" t="s">
        <v>338</v>
      </c>
      <c r="H68">
        <v>15.144652000522971</v>
      </c>
      <c r="I68">
        <v>13.529708263442849</v>
      </c>
      <c r="J68">
        <v>22.453362696163861</v>
      </c>
      <c r="K68">
        <v>24.250260365713441</v>
      </c>
      <c r="L68">
        <v>21.481797480850251</v>
      </c>
      <c r="M68">
        <v>19.26532088002514</v>
      </c>
      <c r="N68">
        <v>17.113109475962059</v>
      </c>
      <c r="O68">
        <v>16.99591592028381</v>
      </c>
      <c r="P68">
        <v>20.560587519532969</v>
      </c>
      <c r="Q68">
        <v>23.160107164160792</v>
      </c>
      <c r="R68">
        <v>25.22769456365122</v>
      </c>
      <c r="S68">
        <v>26.66727181846386</v>
      </c>
      <c r="T68">
        <v>26.66727181846386</v>
      </c>
      <c r="U68">
        <v>26.66727181846386</v>
      </c>
      <c r="V68">
        <v>26.66727181846386</v>
      </c>
      <c r="W68">
        <v>26.66727181846386</v>
      </c>
      <c r="X68">
        <v>26.66727181846386</v>
      </c>
      <c r="Y68">
        <v>26.66727181846386</v>
      </c>
      <c r="Z68">
        <v>26.66727181846386</v>
      </c>
      <c r="AA68">
        <v>26.66727181846386</v>
      </c>
      <c r="AB68">
        <v>26.66727181846386</v>
      </c>
      <c r="AC68">
        <v>26.66727181846386</v>
      </c>
    </row>
    <row r="69" spans="1:29">
      <c r="A69" t="s">
        <v>148</v>
      </c>
      <c r="B69" t="s">
        <v>237</v>
      </c>
      <c r="C69" t="s">
        <v>256</v>
      </c>
      <c r="D69" t="s">
        <v>217</v>
      </c>
      <c r="E69" t="s">
        <v>259</v>
      </c>
      <c r="F69">
        <v>1</v>
      </c>
      <c r="G69" t="s">
        <v>339</v>
      </c>
      <c r="H69">
        <v>16.205109033382339</v>
      </c>
      <c r="I69">
        <v>11.359747034342149</v>
      </c>
      <c r="J69">
        <v>15.42262000944144</v>
      </c>
      <c r="K69">
        <v>16.65686141587668</v>
      </c>
      <c r="L69">
        <v>15.2313309053818</v>
      </c>
      <c r="M69">
        <v>14.040167994286531</v>
      </c>
      <c r="N69">
        <v>12.70019889809025</v>
      </c>
      <c r="O69">
        <v>10.98037822826509</v>
      </c>
      <c r="P69">
        <v>11.82978757998092</v>
      </c>
      <c r="Q69">
        <v>12.81316817689917</v>
      </c>
      <c r="R69">
        <v>13.701334009009029</v>
      </c>
      <c r="S69">
        <v>14.4582687931834</v>
      </c>
      <c r="T69">
        <v>14.4582687931834</v>
      </c>
      <c r="U69">
        <v>14.4582687931834</v>
      </c>
      <c r="V69">
        <v>14.4582687931834</v>
      </c>
      <c r="W69">
        <v>14.4582687931834</v>
      </c>
      <c r="X69">
        <v>14.4582687931834</v>
      </c>
      <c r="Y69">
        <v>14.4582687931834</v>
      </c>
      <c r="Z69">
        <v>14.4582687931834</v>
      </c>
      <c r="AA69">
        <v>14.4582687931834</v>
      </c>
      <c r="AB69">
        <v>14.4582687931834</v>
      </c>
      <c r="AC69">
        <v>14.4582687931834</v>
      </c>
    </row>
    <row r="70" spans="1:29">
      <c r="A70" t="s">
        <v>148</v>
      </c>
      <c r="B70" t="s">
        <v>133</v>
      </c>
      <c r="C70" t="s">
        <v>256</v>
      </c>
      <c r="D70" t="s">
        <v>240</v>
      </c>
      <c r="E70" t="s">
        <v>261</v>
      </c>
      <c r="F70">
        <v>1</v>
      </c>
      <c r="G70" t="s">
        <v>340</v>
      </c>
      <c r="H70">
        <v>10.803406022254901</v>
      </c>
      <c r="I70">
        <v>8.3760503443286929</v>
      </c>
      <c r="J70">
        <v>12.31451729732329</v>
      </c>
      <c r="K70">
        <v>13.300023465491529</v>
      </c>
      <c r="L70">
        <v>8.3058520131779208</v>
      </c>
      <c r="M70">
        <v>9.8242711554048068</v>
      </c>
      <c r="N70">
        <v>10.264384467441991</v>
      </c>
      <c r="O70">
        <v>15.911877844428449</v>
      </c>
      <c r="P70">
        <v>17.519001292651261</v>
      </c>
      <c r="Q70">
        <v>19.207624262464829</v>
      </c>
      <c r="R70">
        <v>20.805142293316191</v>
      </c>
      <c r="S70">
        <v>22.199438305906511</v>
      </c>
      <c r="T70">
        <v>22.199438305906511</v>
      </c>
      <c r="U70">
        <v>22.199438305906511</v>
      </c>
      <c r="V70">
        <v>22.199438305906511</v>
      </c>
      <c r="W70">
        <v>22.199438305906511</v>
      </c>
      <c r="X70">
        <v>22.199438305906511</v>
      </c>
      <c r="Y70">
        <v>22.199438305906511</v>
      </c>
      <c r="Z70">
        <v>22.199438305906511</v>
      </c>
      <c r="AA70">
        <v>22.199438305906511</v>
      </c>
      <c r="AB70">
        <v>22.199438305906511</v>
      </c>
      <c r="AC70">
        <v>22.199438305906511</v>
      </c>
    </row>
    <row r="71" spans="1:29">
      <c r="A71" t="s">
        <v>148</v>
      </c>
      <c r="B71" t="s">
        <v>220</v>
      </c>
      <c r="C71" t="s">
        <v>256</v>
      </c>
      <c r="D71" t="s">
        <v>217</v>
      </c>
      <c r="E71" t="s">
        <v>263</v>
      </c>
      <c r="F71">
        <v>1</v>
      </c>
      <c r="G71" t="s">
        <v>341</v>
      </c>
      <c r="H71">
        <v>18.734740913848981</v>
      </c>
      <c r="I71">
        <v>13.594807100315871</v>
      </c>
      <c r="J71">
        <v>17.801926223545671</v>
      </c>
      <c r="K71">
        <v>19.226578743412901</v>
      </c>
      <c r="L71">
        <v>17.581126222264881</v>
      </c>
      <c r="M71">
        <v>16.206198080965891</v>
      </c>
      <c r="N71">
        <v>14.65950685874073</v>
      </c>
      <c r="O71">
        <v>12.674362916711811</v>
      </c>
      <c r="P71">
        <v>13.65481387793489</v>
      </c>
      <c r="Q71">
        <v>14.789904337616059</v>
      </c>
      <c r="R71">
        <v>15.815090888786649</v>
      </c>
      <c r="S71">
        <v>16.688800879414611</v>
      </c>
      <c r="T71">
        <v>16.688800879414611</v>
      </c>
      <c r="U71">
        <v>16.688800879414611</v>
      </c>
      <c r="V71">
        <v>16.688800879414611</v>
      </c>
      <c r="W71">
        <v>16.688800879414611</v>
      </c>
      <c r="X71">
        <v>16.688800879414611</v>
      </c>
      <c r="Y71">
        <v>16.688800879414611</v>
      </c>
      <c r="Z71">
        <v>16.688800879414611</v>
      </c>
      <c r="AA71">
        <v>16.688800879414611</v>
      </c>
      <c r="AB71">
        <v>16.688800879414611</v>
      </c>
      <c r="AC71">
        <v>16.688800879414611</v>
      </c>
    </row>
    <row r="72" spans="1:29">
      <c r="A72" t="s">
        <v>148</v>
      </c>
      <c r="B72" t="s">
        <v>244</v>
      </c>
      <c r="C72" t="s">
        <v>256</v>
      </c>
      <c r="D72" t="s">
        <v>217</v>
      </c>
      <c r="E72" t="s">
        <v>265</v>
      </c>
      <c r="F72">
        <v>1</v>
      </c>
      <c r="G72" t="s">
        <v>342</v>
      </c>
      <c r="H72">
        <v>23.164358311522001</v>
      </c>
      <c r="I72">
        <v>19.37775377586923</v>
      </c>
      <c r="J72">
        <v>25.58290059940007</v>
      </c>
      <c r="K72">
        <v>27.630248922652981</v>
      </c>
      <c r="L72">
        <v>25.265591988287941</v>
      </c>
      <c r="M72">
        <v>23.289701877944371</v>
      </c>
      <c r="N72">
        <v>21.066973432759848</v>
      </c>
      <c r="O72">
        <v>18.214150681632209</v>
      </c>
      <c r="P72">
        <v>19.62314312259517</v>
      </c>
      <c r="Q72">
        <v>21.254365836176721</v>
      </c>
      <c r="R72">
        <v>22.727647171302682</v>
      </c>
      <c r="S72">
        <v>23.983243647900469</v>
      </c>
      <c r="T72">
        <v>23.983243647900469</v>
      </c>
      <c r="U72">
        <v>23.983243647900469</v>
      </c>
      <c r="V72">
        <v>23.983243647900469</v>
      </c>
      <c r="W72">
        <v>23.983243647900469</v>
      </c>
      <c r="X72">
        <v>23.983243647900469</v>
      </c>
      <c r="Y72">
        <v>23.983243647900469</v>
      </c>
      <c r="Z72">
        <v>23.983243647900469</v>
      </c>
      <c r="AA72">
        <v>23.983243647900469</v>
      </c>
      <c r="AB72">
        <v>23.983243647900469</v>
      </c>
      <c r="AC72">
        <v>23.983243647900469</v>
      </c>
    </row>
    <row r="73" spans="1:29">
      <c r="A73" t="s">
        <v>148</v>
      </c>
      <c r="B73" t="s">
        <v>110</v>
      </c>
      <c r="C73" t="s">
        <v>256</v>
      </c>
      <c r="D73" t="s">
        <v>223</v>
      </c>
      <c r="E73" t="s">
        <v>267</v>
      </c>
      <c r="F73">
        <v>1</v>
      </c>
      <c r="G73" t="s">
        <v>343</v>
      </c>
      <c r="H73">
        <v>8.2406348595114025</v>
      </c>
      <c r="I73">
        <v>7.3453187605058599</v>
      </c>
      <c r="J73">
        <v>8.7026875939308148</v>
      </c>
      <c r="K73">
        <v>9.3991462610784318</v>
      </c>
      <c r="L73">
        <v>7.840660833120296</v>
      </c>
      <c r="M73">
        <v>6.3176618215180902</v>
      </c>
      <c r="N73">
        <v>5.7092574658049546</v>
      </c>
      <c r="O73">
        <v>5.4161205246663062</v>
      </c>
      <c r="P73">
        <v>6.5134169753070124</v>
      </c>
      <c r="Q73">
        <v>7.3212057953494627</v>
      </c>
      <c r="R73">
        <v>7.4682076067627428</v>
      </c>
      <c r="S73">
        <v>7.6916072679536196</v>
      </c>
      <c r="T73">
        <v>7.6916072679536196</v>
      </c>
      <c r="U73">
        <v>7.6916072679536196</v>
      </c>
      <c r="V73">
        <v>7.6916072679536196</v>
      </c>
      <c r="W73">
        <v>7.6916072679536196</v>
      </c>
      <c r="X73">
        <v>7.6916072679536196</v>
      </c>
      <c r="Y73">
        <v>7.6916072679536196</v>
      </c>
      <c r="Z73">
        <v>7.6916072679536196</v>
      </c>
      <c r="AA73">
        <v>7.6916072679536196</v>
      </c>
      <c r="AB73">
        <v>7.6916072679536196</v>
      </c>
      <c r="AC73">
        <v>7.6916072679536196</v>
      </c>
    </row>
    <row r="74" spans="1:29">
      <c r="A74" t="s">
        <v>148</v>
      </c>
      <c r="B74" t="s">
        <v>126</v>
      </c>
      <c r="C74" t="s">
        <v>256</v>
      </c>
      <c r="D74" t="s">
        <v>223</v>
      </c>
      <c r="E74" t="s">
        <v>267</v>
      </c>
      <c r="F74">
        <v>2</v>
      </c>
      <c r="G74" t="s">
        <v>344</v>
      </c>
      <c r="H74">
        <v>16.481269719022809</v>
      </c>
      <c r="I74">
        <v>14.69063752101172</v>
      </c>
      <c r="J74">
        <v>17.40537518786163</v>
      </c>
      <c r="K74">
        <v>18.79829252215686</v>
      </c>
      <c r="L74">
        <v>15.68132166624059</v>
      </c>
      <c r="M74">
        <v>12.63532364303618</v>
      </c>
      <c r="N74">
        <v>11.418514931609909</v>
      </c>
      <c r="O74">
        <v>10.832241049332611</v>
      </c>
      <c r="P74">
        <v>13.026833950614019</v>
      </c>
      <c r="Q74">
        <v>14.642411590698931</v>
      </c>
      <c r="R74">
        <v>14.936415213525491</v>
      </c>
      <c r="S74">
        <v>15.383214535907239</v>
      </c>
      <c r="T74">
        <v>15.383214535907239</v>
      </c>
      <c r="U74">
        <v>15.383214535907239</v>
      </c>
      <c r="V74">
        <v>15.383214535907239</v>
      </c>
      <c r="W74">
        <v>15.383214535907239</v>
      </c>
      <c r="X74">
        <v>15.383214535907239</v>
      </c>
      <c r="Y74">
        <v>15.383214535907239</v>
      </c>
      <c r="Z74">
        <v>15.383214535907239</v>
      </c>
      <c r="AA74">
        <v>15.383214535907239</v>
      </c>
      <c r="AB74">
        <v>15.383214535907239</v>
      </c>
      <c r="AC74">
        <v>15.383214535907239</v>
      </c>
    </row>
    <row r="75" spans="1:29">
      <c r="A75" t="s">
        <v>148</v>
      </c>
      <c r="B75" t="s">
        <v>270</v>
      </c>
      <c r="C75" t="s">
        <v>256</v>
      </c>
      <c r="D75" t="s">
        <v>271</v>
      </c>
      <c r="E75" t="s">
        <v>272</v>
      </c>
      <c r="F75">
        <v>1</v>
      </c>
      <c r="G75" t="s">
        <v>345</v>
      </c>
      <c r="H75">
        <v>3.7778781795615268</v>
      </c>
      <c r="I75">
        <v>3.981878855399779</v>
      </c>
      <c r="J75">
        <v>3.6011121078334409</v>
      </c>
      <c r="K75">
        <v>3.8893019011359029</v>
      </c>
      <c r="L75">
        <v>3.8487693381516159</v>
      </c>
      <c r="M75">
        <v>3.941073016684963</v>
      </c>
      <c r="N75">
        <v>4.0063416861398338</v>
      </c>
      <c r="O75">
        <v>4.4118734515392664</v>
      </c>
      <c r="P75">
        <v>4.9805161569166128</v>
      </c>
      <c r="Q75">
        <v>5.5737404371809172</v>
      </c>
      <c r="R75">
        <v>6.1313001281072026</v>
      </c>
      <c r="S75">
        <v>6.6964863768406717</v>
      </c>
      <c r="T75">
        <v>6.6964863768406717</v>
      </c>
      <c r="U75">
        <v>6.6964863768406717</v>
      </c>
      <c r="V75">
        <v>6.6964863768406717</v>
      </c>
      <c r="W75">
        <v>6.6964863768406717</v>
      </c>
      <c r="X75">
        <v>6.6964863768406717</v>
      </c>
      <c r="Y75">
        <v>6.6964863768406717</v>
      </c>
      <c r="Z75">
        <v>6.6964863768406717</v>
      </c>
      <c r="AA75">
        <v>6.6964863768406717</v>
      </c>
      <c r="AB75">
        <v>6.6964863768406717</v>
      </c>
      <c r="AC75">
        <v>6.6964863768406717</v>
      </c>
    </row>
    <row r="76" spans="1:29">
      <c r="A76" t="s">
        <v>148</v>
      </c>
      <c r="B76" t="s">
        <v>140</v>
      </c>
      <c r="C76" t="s">
        <v>256</v>
      </c>
      <c r="D76" t="s">
        <v>274</v>
      </c>
      <c r="E76" t="s">
        <v>272</v>
      </c>
      <c r="F76">
        <v>1</v>
      </c>
      <c r="G76" t="s">
        <v>346</v>
      </c>
      <c r="H76">
        <v>3.7778781795615268</v>
      </c>
      <c r="I76">
        <v>3.981878855399779</v>
      </c>
      <c r="J76">
        <v>3.6011121078334409</v>
      </c>
      <c r="K76">
        <v>3.8893019011359029</v>
      </c>
      <c r="L76">
        <v>3.7264742863010918</v>
      </c>
      <c r="M76">
        <v>3.6977751293713381</v>
      </c>
      <c r="N76">
        <v>3.7934472796869061</v>
      </c>
      <c r="O76">
        <v>3.9236988583037791</v>
      </c>
      <c r="P76">
        <v>4.1425814000956578</v>
      </c>
      <c r="Q76">
        <v>4.4356798747533732</v>
      </c>
      <c r="R76">
        <v>4.6979638189573594</v>
      </c>
      <c r="S76">
        <v>4.9689665163366881</v>
      </c>
      <c r="T76">
        <v>4.9689665163366881</v>
      </c>
      <c r="U76">
        <v>4.9689665163366881</v>
      </c>
      <c r="V76">
        <v>4.9689665163366881</v>
      </c>
      <c r="W76">
        <v>4.9689665163366881</v>
      </c>
      <c r="X76">
        <v>4.9689665163366881</v>
      </c>
      <c r="Y76">
        <v>4.9689665163366881</v>
      </c>
      <c r="Z76">
        <v>4.9689665163366881</v>
      </c>
      <c r="AA76">
        <v>4.9689665163366881</v>
      </c>
      <c r="AB76">
        <v>4.9689665163366881</v>
      </c>
      <c r="AC76">
        <v>4.9689665163366881</v>
      </c>
    </row>
    <row r="77" spans="1:29">
      <c r="A77" t="s">
        <v>148</v>
      </c>
      <c r="B77" t="s">
        <v>106</v>
      </c>
      <c r="C77" t="s">
        <v>256</v>
      </c>
      <c r="D77" t="s">
        <v>106</v>
      </c>
      <c r="E77" t="s">
        <v>276</v>
      </c>
      <c r="F77">
        <v>1</v>
      </c>
      <c r="G77" t="s">
        <v>347</v>
      </c>
      <c r="H77">
        <v>18.17137311514243</v>
      </c>
      <c r="I77">
        <v>17.630934986443169</v>
      </c>
      <c r="J77">
        <v>19.92401014423324</v>
      </c>
      <c r="K77">
        <v>21.518488792296559</v>
      </c>
      <c r="L77">
        <v>20.69531158607089</v>
      </c>
      <c r="M77">
        <v>18.77872943239614</v>
      </c>
      <c r="N77">
        <v>18.127858728487311</v>
      </c>
      <c r="O77">
        <v>17.722945350877559</v>
      </c>
      <c r="P77">
        <v>19.06314713208441</v>
      </c>
      <c r="Q77">
        <v>20.732892691250431</v>
      </c>
      <c r="R77">
        <v>21.803489149356121</v>
      </c>
      <c r="S77">
        <v>22.407177575713739</v>
      </c>
      <c r="T77">
        <v>22.407177575713739</v>
      </c>
      <c r="U77">
        <v>22.407177575713739</v>
      </c>
      <c r="V77">
        <v>22.407177575713739</v>
      </c>
      <c r="W77">
        <v>22.407177575713739</v>
      </c>
      <c r="X77">
        <v>22.407177575713739</v>
      </c>
      <c r="Y77">
        <v>22.407177575713739</v>
      </c>
      <c r="Z77">
        <v>22.407177575713739</v>
      </c>
      <c r="AA77">
        <v>22.407177575713739</v>
      </c>
      <c r="AB77">
        <v>22.407177575713739</v>
      </c>
      <c r="AC77">
        <v>22.407177575713739</v>
      </c>
    </row>
    <row r="78" spans="1:29">
      <c r="A78" t="s">
        <v>148</v>
      </c>
      <c r="B78" t="s">
        <v>229</v>
      </c>
      <c r="C78" t="s">
        <v>256</v>
      </c>
      <c r="D78" t="s">
        <v>106</v>
      </c>
      <c r="E78" t="s">
        <v>276</v>
      </c>
      <c r="F78">
        <v>2</v>
      </c>
      <c r="G78" t="s">
        <v>348</v>
      </c>
      <c r="H78">
        <v>36.342746230284867</v>
      </c>
      <c r="I78">
        <v>35.261869972886331</v>
      </c>
      <c r="J78">
        <v>39.848020288466472</v>
      </c>
      <c r="K78">
        <v>43.036977584593117</v>
      </c>
      <c r="L78">
        <v>41.390623172141773</v>
      </c>
      <c r="M78">
        <v>37.557458864792267</v>
      </c>
      <c r="N78">
        <v>36.255717456974629</v>
      </c>
      <c r="O78">
        <v>35.445890701755118</v>
      </c>
      <c r="P78">
        <v>38.126294264168827</v>
      </c>
      <c r="Q78">
        <v>41.465785382500847</v>
      </c>
      <c r="R78">
        <v>43.606978298712249</v>
      </c>
      <c r="S78">
        <v>44.814355151427478</v>
      </c>
      <c r="T78">
        <v>44.814355151427478</v>
      </c>
      <c r="U78">
        <v>44.814355151427478</v>
      </c>
      <c r="V78">
        <v>44.814355151427478</v>
      </c>
      <c r="W78">
        <v>44.814355151427478</v>
      </c>
      <c r="X78">
        <v>44.814355151427478</v>
      </c>
      <c r="Y78">
        <v>44.814355151427478</v>
      </c>
      <c r="Z78">
        <v>44.814355151427478</v>
      </c>
      <c r="AA78">
        <v>44.814355151427478</v>
      </c>
      <c r="AB78">
        <v>44.814355151427478</v>
      </c>
      <c r="AC78">
        <v>44.814355151427478</v>
      </c>
    </row>
    <row r="79" spans="1:29">
      <c r="A79" t="s">
        <v>148</v>
      </c>
      <c r="B79" t="s">
        <v>182</v>
      </c>
      <c r="C79" t="s">
        <v>256</v>
      </c>
      <c r="D79" t="s">
        <v>182</v>
      </c>
      <c r="F79">
        <v>1</v>
      </c>
      <c r="G79" t="s">
        <v>349</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row>
    <row r="80" spans="1:29">
      <c r="A80" t="s">
        <v>148</v>
      </c>
      <c r="B80" t="s">
        <v>171</v>
      </c>
      <c r="C80" t="s">
        <v>256</v>
      </c>
      <c r="D80" t="s">
        <v>171</v>
      </c>
      <c r="F80">
        <v>1</v>
      </c>
      <c r="G80" t="s">
        <v>350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8"/>
  </sheetPr>
  <dimension ref="A1"/>
  <sheetViews>
    <sheetView workbookViewId="0">
      <selection activeCell="B42" sqref="B42"/>
    </sheetView>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AZ89"/>
  <sheetViews>
    <sheetView tabSelected="1" topLeftCell="X13" zoomScale="85" zoomScaleNormal="85" workbookViewId="0">
      <selection activeCell="AY43" sqref="AY43"/>
    </sheetView>
  </sheetViews>
  <sheetFormatPr defaultRowHeight="15"/>
  <cols>
    <col min="5" max="5" width="9.7109375" bestFit="1" customWidth="1"/>
    <col min="7" max="7" width="13.7109375" bestFit="1" customWidth="1"/>
    <col min="8" max="8" width="10.5703125" bestFit="1" customWidth="1"/>
    <col min="9" max="9" width="8.5703125" bestFit="1" customWidth="1"/>
    <col min="12" max="12" width="9.5703125" style="313" bestFit="1" customWidth="1"/>
    <col min="13" max="13" width="8.85546875" style="313" customWidth="1"/>
    <col min="20" max="20" width="13.7109375" bestFit="1" customWidth="1"/>
    <col min="22" max="22" width="8.5703125" bestFit="1" customWidth="1"/>
    <col min="25" max="25" width="9.28515625" style="313" customWidth="1"/>
    <col min="26" max="26" width="8.85546875" style="313" customWidth="1"/>
    <col min="33" max="33" width="13.7109375" bestFit="1" customWidth="1"/>
    <col min="35" max="35" width="8.5703125" bestFit="1" customWidth="1"/>
    <col min="38" max="38" width="9.5703125" style="313" bestFit="1" customWidth="1"/>
    <col min="39" max="39" width="8.85546875" style="313" customWidth="1"/>
    <col min="46" max="46" width="13.7109375" bestFit="1" customWidth="1"/>
    <col min="48" max="48" width="8.5703125" bestFit="1" customWidth="1"/>
    <col min="51" max="51" width="9.5703125" style="313" bestFit="1" customWidth="1"/>
    <col min="52" max="52" width="8.85546875" style="313" customWidth="1"/>
  </cols>
  <sheetData>
    <row r="2" spans="3:52">
      <c r="K2" t="s">
        <v>351</v>
      </c>
      <c r="X2" t="s">
        <v>352</v>
      </c>
      <c r="AK2" t="s">
        <v>353</v>
      </c>
      <c r="AX2" t="s">
        <v>354</v>
      </c>
    </row>
    <row r="4" spans="3:52">
      <c r="C4" s="9" t="s">
        <v>355</v>
      </c>
      <c r="P4" s="9" t="s">
        <v>355</v>
      </c>
      <c r="AC4" s="9" t="s">
        <v>355</v>
      </c>
      <c r="AP4" s="9" t="s">
        <v>355</v>
      </c>
    </row>
    <row r="5" spans="3:52">
      <c r="C5" s="8" t="s">
        <v>356</v>
      </c>
      <c r="D5" s="8" t="s">
        <v>357</v>
      </c>
      <c r="E5" s="8" t="s">
        <v>358</v>
      </c>
      <c r="F5" s="8" t="s">
        <v>30</v>
      </c>
      <c r="G5" s="8" t="s">
        <v>359</v>
      </c>
      <c r="H5" s="8" t="s">
        <v>360</v>
      </c>
      <c r="I5" s="8" t="s">
        <v>361</v>
      </c>
      <c r="J5" s="8" t="s">
        <v>362</v>
      </c>
      <c r="K5" s="8" t="s">
        <v>363</v>
      </c>
      <c r="L5" s="314" t="s">
        <v>364</v>
      </c>
      <c r="M5" s="314" t="s">
        <v>365</v>
      </c>
      <c r="P5" s="8" t="s">
        <v>356</v>
      </c>
      <c r="Q5" s="8" t="s">
        <v>357</v>
      </c>
      <c r="R5" s="8" t="s">
        <v>358</v>
      </c>
      <c r="S5" s="8" t="s">
        <v>30</v>
      </c>
      <c r="T5" s="8" t="s">
        <v>359</v>
      </c>
      <c r="U5" s="8" t="s">
        <v>360</v>
      </c>
      <c r="V5" s="8" t="s">
        <v>361</v>
      </c>
      <c r="W5" s="8" t="s">
        <v>362</v>
      </c>
      <c r="X5" s="8" t="s">
        <v>363</v>
      </c>
      <c r="Y5" s="314" t="s">
        <v>364</v>
      </c>
      <c r="Z5" s="314" t="s">
        <v>365</v>
      </c>
      <c r="AC5" s="8" t="s">
        <v>356</v>
      </c>
      <c r="AD5" s="8" t="s">
        <v>357</v>
      </c>
      <c r="AE5" s="8" t="s">
        <v>358</v>
      </c>
      <c r="AF5" s="8" t="s">
        <v>30</v>
      </c>
      <c r="AG5" s="8" t="s">
        <v>359</v>
      </c>
      <c r="AH5" s="8" t="s">
        <v>360</v>
      </c>
      <c r="AI5" s="8" t="s">
        <v>361</v>
      </c>
      <c r="AJ5" s="8" t="s">
        <v>362</v>
      </c>
      <c r="AK5" s="8" t="s">
        <v>363</v>
      </c>
      <c r="AL5" s="314" t="s">
        <v>364</v>
      </c>
      <c r="AM5" s="314" t="s">
        <v>365</v>
      </c>
      <c r="AP5" s="8" t="s">
        <v>356</v>
      </c>
      <c r="AQ5" s="8" t="s">
        <v>357</v>
      </c>
      <c r="AR5" s="8" t="s">
        <v>358</v>
      </c>
      <c r="AS5" s="8" t="s">
        <v>30</v>
      </c>
      <c r="AT5" s="8" t="s">
        <v>359</v>
      </c>
      <c r="AU5" s="8" t="s">
        <v>360</v>
      </c>
      <c r="AV5" s="8" t="s">
        <v>361</v>
      </c>
      <c r="AW5" s="8" t="s">
        <v>362</v>
      </c>
      <c r="AX5" s="8" t="s">
        <v>363</v>
      </c>
      <c r="AY5" s="314" t="s">
        <v>364</v>
      </c>
      <c r="AZ5" s="314" t="s">
        <v>365</v>
      </c>
    </row>
    <row r="6" spans="3:52">
      <c r="E6" t="s">
        <v>366</v>
      </c>
      <c r="F6">
        <f>'City characteristics'!$C$20</f>
        <v>2019</v>
      </c>
      <c r="G6" t="str">
        <f>'ENE TECH'!$G3</f>
        <v>RESLPG</v>
      </c>
      <c r="I6" t="str">
        <f>'ENE TECH'!$G3</f>
        <v>RESLPG</v>
      </c>
      <c r="K6" t="str">
        <f t="shared" ref="K6:K37" si="0">LEFT(G6,3)&amp;K$2</f>
        <v>RESCO2</v>
      </c>
      <c r="L6" s="313">
        <f>_xlfn.IFNA(_xlfn.XLOOKUP(_xlfn.XLOOKUP(_xlfn.XLOOKUP(G6,'ENE TECH'!$G:$G,'ENE TECH'!$B:$B),Mapping!$B:$B,Mapping!$C:$C),'Emission Factors Hub'!$C:$C,'Emission Factors Hub'!$E:$E)/Parameters!$C$2*10^3,0)</f>
        <v>58.489794639781394</v>
      </c>
      <c r="M6" s="313" t="str">
        <f t="shared" ref="M6:M37" si="1">IF(LEFT(I6,3)="ELC",L6,"")</f>
        <v/>
      </c>
      <c r="R6" t="s">
        <v>366</v>
      </c>
      <c r="S6">
        <f>'City characteristics'!$C$20</f>
        <v>2019</v>
      </c>
      <c r="T6" t="str">
        <f>'ENE TECH'!$G3</f>
        <v>RESLPG</v>
      </c>
      <c r="V6" t="str">
        <f>'ENE TECH'!$G3</f>
        <v>RESLPG</v>
      </c>
      <c r="X6" t="str">
        <f t="shared" ref="X6:X37" si="2">LEFT(T6,3)&amp;X$2</f>
        <v>RESCH4</v>
      </c>
      <c r="Y6" s="313">
        <f>_xlfn.IFNA(_xlfn.XLOOKUP(_xlfn.XLOOKUP(_xlfn.XLOOKUP(T6,'ENE TECH'!$G:$G,'ENE TECH'!$B:$B),Mapping!$B:$B,Mapping!$C:$C),'Emission Factors Hub'!$C:$C,'Emission Factors Hub'!$F:$F)/Parameters!$C$2,0)</f>
        <v>2.8434513680010401E-3</v>
      </c>
      <c r="Z6" s="313" t="str">
        <f t="shared" ref="Z6:Z37" si="3">IF(LEFT(V6,3)="ELC",Y6,"")</f>
        <v/>
      </c>
      <c r="AE6" t="s">
        <v>366</v>
      </c>
      <c r="AF6">
        <f>'City characteristics'!$C$20</f>
        <v>2019</v>
      </c>
      <c r="AG6" t="str">
        <f>'ENE TECH'!$G3</f>
        <v>RESLPG</v>
      </c>
      <c r="AI6" t="str">
        <f>'ENE TECH'!$G3</f>
        <v>RESLPG</v>
      </c>
      <c r="AK6" t="str">
        <f t="shared" ref="AK6:AK37" si="4">LEFT(AG6,3)&amp;AK$2</f>
        <v>RESN2O</v>
      </c>
      <c r="AL6" s="313">
        <f>_xlfn.IFNA(_xlfn.XLOOKUP(_xlfn.XLOOKUP(_xlfn.XLOOKUP(AG6,'ENE TECH'!$G:$G,'ENE TECH'!$B:$B),Mapping!$B:$B,Mapping!$C:$C),'Emission Factors Hub'!$C:$C,'Emission Factors Hub'!$G:$G)/Parameters!$C$2,0)</f>
        <v>5.6869027360020798E-4</v>
      </c>
      <c r="AM6" s="313" t="str">
        <f t="shared" ref="AM6:AM37" si="5">IF(LEFT(AI6,3)="ELC",AL6,"")</f>
        <v/>
      </c>
      <c r="AR6" t="s">
        <v>366</v>
      </c>
      <c r="AS6">
        <f>'City characteristics'!$C$20</f>
        <v>2019</v>
      </c>
      <c r="AT6" t="str">
        <f>'ENE TECH'!$G3</f>
        <v>RESLPG</v>
      </c>
      <c r="AV6" t="str">
        <f>'ENE TECH'!$G3</f>
        <v>RESLPG</v>
      </c>
      <c r="AX6" t="str">
        <f t="shared" ref="AX6:AX37" si="6">LEFT(AT6,3)&amp;AX$2</f>
        <v>RESCO2e</v>
      </c>
      <c r="AY6" s="313">
        <f>L6+Y6*'Emission Factors Hub'!$E$8+AL6*'Emission Factors Hub'!$E$9</f>
        <v>58.730350625514284</v>
      </c>
      <c r="AZ6" s="313" t="str">
        <f>IFERROR(M6+Z6*'Emission Factors Hub'!$E$8+AM6*'Emission Factors Hub'!$E$9,"")</f>
        <v/>
      </c>
    </row>
    <row r="7" spans="3:52">
      <c r="E7" t="s">
        <v>366</v>
      </c>
      <c r="F7">
        <f>'City characteristics'!$C$20</f>
        <v>2019</v>
      </c>
      <c r="G7" t="str">
        <f>'ENE TECH'!$G4</f>
        <v>RESFOI</v>
      </c>
      <c r="I7" t="str">
        <f>'ENE TECH'!$G4</f>
        <v>RESFOI</v>
      </c>
      <c r="K7" t="str">
        <f t="shared" si="0"/>
        <v>RESCO2</v>
      </c>
      <c r="L7" s="313">
        <f>_xlfn.IFNA(_xlfn.XLOOKUP(_xlfn.XLOOKUP(_xlfn.XLOOKUP(G7,'ENE TECH'!$G:$G,'ENE TECH'!$B:$B),Mapping!$B:$B,Mapping!$C:$C),'Emission Factors Hub'!$C:$C,'Emission Factors Hub'!$E:$E)/Parameters!$C$2*10^3,0)</f>
        <v>71.181065912292695</v>
      </c>
      <c r="M7" s="313" t="str">
        <f t="shared" si="1"/>
        <v/>
      </c>
      <c r="R7" t="s">
        <v>366</v>
      </c>
      <c r="S7">
        <f>'City characteristics'!$C$20</f>
        <v>2019</v>
      </c>
      <c r="T7" t="str">
        <f>'ENE TECH'!$G4</f>
        <v>RESFOI</v>
      </c>
      <c r="V7" t="str">
        <f>'ENE TECH'!$G4</f>
        <v>RESFOI</v>
      </c>
      <c r="X7" t="str">
        <f t="shared" si="2"/>
        <v>RESCH4</v>
      </c>
      <c r="Y7" s="313">
        <f>_xlfn.IFNA(_xlfn.XLOOKUP(_xlfn.XLOOKUP(_xlfn.XLOOKUP(T7,'ENE TECH'!$G:$G,'ENE TECH'!$B:$B),Mapping!$B:$B,Mapping!$C:$C),'Emission Factors Hub'!$C:$C,'Emission Factors Hub'!$F:$F)/Parameters!$C$2,0)</f>
        <v>2.8434513680010401E-3</v>
      </c>
      <c r="Z7" s="313" t="str">
        <f t="shared" si="3"/>
        <v/>
      </c>
      <c r="AE7" t="s">
        <v>366</v>
      </c>
      <c r="AF7">
        <f>'City characteristics'!$C$20</f>
        <v>2019</v>
      </c>
      <c r="AG7" t="str">
        <f>'ENE TECH'!$G4</f>
        <v>RESFOI</v>
      </c>
      <c r="AI7" t="str">
        <f>'ENE TECH'!$G4</f>
        <v>RESFOI</v>
      </c>
      <c r="AK7" t="str">
        <f t="shared" si="4"/>
        <v>RESN2O</v>
      </c>
      <c r="AL7" s="313">
        <f>_xlfn.IFNA(_xlfn.XLOOKUP(_xlfn.XLOOKUP(_xlfn.XLOOKUP(AG7,'ENE TECH'!$G:$G,'ENE TECH'!$B:$B),Mapping!$B:$B,Mapping!$C:$C),'Emission Factors Hub'!$C:$C,'Emission Factors Hub'!$G:$G)/Parameters!$C$2,0)</f>
        <v>5.6869027360020798E-4</v>
      </c>
      <c r="AM7" s="313" t="str">
        <f t="shared" si="5"/>
        <v/>
      </c>
      <c r="AR7" t="s">
        <v>366</v>
      </c>
      <c r="AS7">
        <f>'City characteristics'!$C$20</f>
        <v>2019</v>
      </c>
      <c r="AT7" t="str">
        <f>'ENE TECH'!$G4</f>
        <v>RESFOI</v>
      </c>
      <c r="AV7" t="str">
        <f>'ENE TECH'!$G4</f>
        <v>RESFOI</v>
      </c>
      <c r="AX7" t="str">
        <f t="shared" si="6"/>
        <v>RESCO2e</v>
      </c>
      <c r="AY7" s="313">
        <f>L7+Y7*'Emission Factors Hub'!$E$8+AL7*'Emission Factors Hub'!$E$9</f>
        <v>71.421621898025577</v>
      </c>
      <c r="AZ7" s="313" t="str">
        <f>IFERROR(M7+Z7*'Emission Factors Hub'!$E$8+AM7*'Emission Factors Hub'!$E$9,"")</f>
        <v/>
      </c>
    </row>
    <row r="8" spans="3:52">
      <c r="E8" t="s">
        <v>366</v>
      </c>
      <c r="F8">
        <f>'City characteristics'!$C$20</f>
        <v>2019</v>
      </c>
      <c r="G8" t="str">
        <f>'ENE TECH'!$G5</f>
        <v>RESKER</v>
      </c>
      <c r="I8" t="str">
        <f>'ENE TECH'!$G5</f>
        <v>RESKER</v>
      </c>
      <c r="K8" t="str">
        <f t="shared" si="0"/>
        <v>RESCO2</v>
      </c>
      <c r="L8" s="313">
        <f>_xlfn.IFNA(_xlfn.XLOOKUP(_xlfn.XLOOKUP(_xlfn.XLOOKUP(G8,'ENE TECH'!$G:$G,'ENE TECH'!$B:$B),Mapping!$B:$B,Mapping!$C:$C),'Emission Factors Hub'!$C:$C,'Emission Factors Hub'!$E:$E)/Parameters!$C$2*10^3,0)</f>
        <v>71.275847624559404</v>
      </c>
      <c r="M8" s="313" t="str">
        <f t="shared" si="1"/>
        <v/>
      </c>
      <c r="R8" t="s">
        <v>366</v>
      </c>
      <c r="S8">
        <f>'City characteristics'!$C$20</f>
        <v>2019</v>
      </c>
      <c r="T8" t="str">
        <f>'ENE TECH'!$G5</f>
        <v>RESKER</v>
      </c>
      <c r="V8" t="str">
        <f>'ENE TECH'!$G5</f>
        <v>RESKER</v>
      </c>
      <c r="X8" t="str">
        <f t="shared" si="2"/>
        <v>RESCH4</v>
      </c>
      <c r="Y8" s="313">
        <f>_xlfn.IFNA(_xlfn.XLOOKUP(_xlfn.XLOOKUP(_xlfn.XLOOKUP(T8,'ENE TECH'!$G:$G,'ENE TECH'!$B:$B),Mapping!$B:$B,Mapping!$C:$C),'Emission Factors Hub'!$C:$C,'Emission Factors Hub'!$F:$F)/Parameters!$C$2,0)</f>
        <v>2.8434513680010401E-3</v>
      </c>
      <c r="Z8" s="313" t="str">
        <f t="shared" si="3"/>
        <v/>
      </c>
      <c r="AE8" t="s">
        <v>366</v>
      </c>
      <c r="AF8">
        <f>'City characteristics'!$C$20</f>
        <v>2019</v>
      </c>
      <c r="AG8" t="str">
        <f>'ENE TECH'!$G5</f>
        <v>RESKER</v>
      </c>
      <c r="AI8" t="str">
        <f>'ENE TECH'!$G5</f>
        <v>RESKER</v>
      </c>
      <c r="AK8" t="str">
        <f t="shared" si="4"/>
        <v>RESN2O</v>
      </c>
      <c r="AL8" s="313">
        <f>_xlfn.IFNA(_xlfn.XLOOKUP(_xlfn.XLOOKUP(_xlfn.XLOOKUP(AG8,'ENE TECH'!$G:$G,'ENE TECH'!$B:$B),Mapping!$B:$B,Mapping!$C:$C),'Emission Factors Hub'!$C:$C,'Emission Factors Hub'!$G:$G)/Parameters!$C$2,0)</f>
        <v>5.6869027360020798E-4</v>
      </c>
      <c r="AM8" s="313" t="str">
        <f t="shared" si="5"/>
        <v/>
      </c>
      <c r="AR8" t="s">
        <v>366</v>
      </c>
      <c r="AS8">
        <f>'City characteristics'!$C$20</f>
        <v>2019</v>
      </c>
      <c r="AT8" t="str">
        <f>'ENE TECH'!$G5</f>
        <v>RESKER</v>
      </c>
      <c r="AV8" t="str">
        <f>'ENE TECH'!$G5</f>
        <v>RESKER</v>
      </c>
      <c r="AX8" t="str">
        <f t="shared" si="6"/>
        <v>RESCO2e</v>
      </c>
      <c r="AY8" s="313">
        <f>L8+Y8*'Emission Factors Hub'!$E$8+AL8*'Emission Factors Hub'!$E$9</f>
        <v>71.516403610292286</v>
      </c>
      <c r="AZ8" s="313" t="str">
        <f>IFERROR(M8+Z8*'Emission Factors Hub'!$E$8+AM8*'Emission Factors Hub'!$E$9,"")</f>
        <v/>
      </c>
    </row>
    <row r="9" spans="3:52">
      <c r="E9" t="s">
        <v>366</v>
      </c>
      <c r="F9">
        <f>'City characteristics'!$C$20</f>
        <v>2019</v>
      </c>
      <c r="G9" t="str">
        <f>'ENE TECH'!$G6</f>
        <v>RESNGA</v>
      </c>
      <c r="I9" t="str">
        <f>'ENE TECH'!$G6</f>
        <v>RESNGA</v>
      </c>
      <c r="K9" t="str">
        <f t="shared" si="0"/>
        <v>RESCO2</v>
      </c>
      <c r="L9" s="313">
        <f>_xlfn.IFNA(_xlfn.XLOOKUP(_xlfn.XLOOKUP(_xlfn.XLOOKUP(G9,'ENE TECH'!$G:$G,'ENE TECH'!$B:$B),Mapping!$B:$B,Mapping!$C:$C),'Emission Factors Hub'!$C:$C,'Emission Factors Hub'!$E:$E)/Parameters!$C$2*10^3,0)</f>
        <v>50.29117652871173</v>
      </c>
      <c r="M9" s="313" t="str">
        <f t="shared" si="1"/>
        <v/>
      </c>
      <c r="R9" t="s">
        <v>366</v>
      </c>
      <c r="S9">
        <f>'City characteristics'!$C$20</f>
        <v>2019</v>
      </c>
      <c r="T9" t="str">
        <f>'ENE TECH'!$G6</f>
        <v>RESNGA</v>
      </c>
      <c r="V9" t="str">
        <f>'ENE TECH'!$G6</f>
        <v>RESNGA</v>
      </c>
      <c r="X9" t="str">
        <f t="shared" si="2"/>
        <v>RESCH4</v>
      </c>
      <c r="Y9" s="313">
        <f>_xlfn.IFNA(_xlfn.XLOOKUP(_xlfn.XLOOKUP(_xlfn.XLOOKUP(T9,'ENE TECH'!$G:$G,'ENE TECH'!$B:$B),Mapping!$B:$B,Mapping!$C:$C),'Emission Factors Hub'!$C:$C,'Emission Factors Hub'!$F:$F)/Parameters!$C$2,0)</f>
        <v>9.4781712266701337E-4</v>
      </c>
      <c r="Z9" s="313" t="str">
        <f t="shared" si="3"/>
        <v/>
      </c>
      <c r="AE9" t="s">
        <v>366</v>
      </c>
      <c r="AF9">
        <f>'City characteristics'!$C$20</f>
        <v>2019</v>
      </c>
      <c r="AG9" t="str">
        <f>'ENE TECH'!$G6</f>
        <v>RESNGA</v>
      </c>
      <c r="AI9" t="str">
        <f>'ENE TECH'!$G6</f>
        <v>RESNGA</v>
      </c>
      <c r="AK9" t="str">
        <f t="shared" si="4"/>
        <v>RESN2O</v>
      </c>
      <c r="AL9" s="313">
        <f>_xlfn.IFNA(_xlfn.XLOOKUP(_xlfn.XLOOKUP(_xlfn.XLOOKUP(AG9,'ENE TECH'!$G:$G,'ENE TECH'!$B:$B),Mapping!$B:$B,Mapping!$C:$C),'Emission Factors Hub'!$C:$C,'Emission Factors Hub'!$G:$G)/Parameters!$C$2,0)</f>
        <v>9.4781712266701334E-5</v>
      </c>
      <c r="AM9" s="313" t="str">
        <f t="shared" si="5"/>
        <v/>
      </c>
      <c r="AR9" t="s">
        <v>366</v>
      </c>
      <c r="AS9">
        <f>'City characteristics'!$C$20</f>
        <v>2019</v>
      </c>
      <c r="AT9" t="str">
        <f>'ENE TECH'!$G6</f>
        <v>RESNGA</v>
      </c>
      <c r="AV9" t="str">
        <f>'ENE TECH'!$G6</f>
        <v>RESNGA</v>
      </c>
      <c r="AX9" t="str">
        <f t="shared" si="6"/>
        <v>RESCO2e</v>
      </c>
      <c r="AY9" s="313">
        <f>L9+Y9*'Emission Factors Hub'!$E$8+AL9*'Emission Factors Hub'!$E$9</f>
        <v>50.343116907033881</v>
      </c>
      <c r="AZ9" s="313" t="str">
        <f>IFERROR(M9+Z9*'Emission Factors Hub'!$E$8+AM9*'Emission Factors Hub'!$E$9,"")</f>
        <v/>
      </c>
    </row>
    <row r="10" spans="3:52">
      <c r="E10" t="s">
        <v>366</v>
      </c>
      <c r="F10">
        <f>'City characteristics'!$C$20</f>
        <v>2019</v>
      </c>
      <c r="G10" t="str">
        <f>'ENE TECH'!$G7</f>
        <v>RESRNG</v>
      </c>
      <c r="I10" t="str">
        <f>'ENE TECH'!$G7</f>
        <v>RESRNG</v>
      </c>
      <c r="K10" t="str">
        <f t="shared" si="0"/>
        <v>RESCO2</v>
      </c>
      <c r="L10" s="313">
        <f>_xlfn.IFNA(_xlfn.XLOOKUP(_xlfn.XLOOKUP(_xlfn.XLOOKUP(G10,'ENE TECH'!$G:$G,'ENE TECH'!$B:$B),Mapping!$B:$B,Mapping!$C:$C),'Emission Factors Hub'!$C:$C,'Emission Factors Hub'!$E:$E)/Parameters!$C$2*10^3,0)</f>
        <v>49.352837577271387</v>
      </c>
      <c r="M10" s="313" t="str">
        <f t="shared" si="1"/>
        <v/>
      </c>
      <c r="R10" t="s">
        <v>366</v>
      </c>
      <c r="S10">
        <f>'City characteristics'!$C$20</f>
        <v>2019</v>
      </c>
      <c r="T10" t="str">
        <f>'ENE TECH'!$G7</f>
        <v>RESRNG</v>
      </c>
      <c r="V10" t="str">
        <f>'ENE TECH'!$G7</f>
        <v>RESRNG</v>
      </c>
      <c r="X10" t="str">
        <f t="shared" si="2"/>
        <v>RESCH4</v>
      </c>
      <c r="Y10" s="313">
        <f>_xlfn.IFNA(_xlfn.XLOOKUP(_xlfn.XLOOKUP(_xlfn.XLOOKUP(T10,'ENE TECH'!$G:$G,'ENE TECH'!$B:$B),Mapping!$B:$B,Mapping!$C:$C),'Emission Factors Hub'!$C:$C,'Emission Factors Hub'!$F:$F)/Parameters!$C$2,0)</f>
        <v>3.0330147925344427E-3</v>
      </c>
      <c r="Z10" s="313" t="str">
        <f t="shared" si="3"/>
        <v/>
      </c>
      <c r="AE10" t="s">
        <v>366</v>
      </c>
      <c r="AF10">
        <f>'City characteristics'!$C$20</f>
        <v>2019</v>
      </c>
      <c r="AG10" t="str">
        <f>'ENE TECH'!$G7</f>
        <v>RESRNG</v>
      </c>
      <c r="AI10" t="str">
        <f>'ENE TECH'!$G7</f>
        <v>RESRNG</v>
      </c>
      <c r="AK10" t="str">
        <f t="shared" si="4"/>
        <v>RESN2O</v>
      </c>
      <c r="AL10" s="313">
        <f>_xlfn.IFNA(_xlfn.XLOOKUP(_xlfn.XLOOKUP(_xlfn.XLOOKUP(AG10,'ENE TECH'!$G:$G,'ENE TECH'!$B:$B),Mapping!$B:$B,Mapping!$C:$C),'Emission Factors Hub'!$C:$C,'Emission Factors Hub'!$G:$G)/Parameters!$C$2,0)</f>
        <v>5.9712478728021843E-4</v>
      </c>
      <c r="AM10" s="313" t="str">
        <f t="shared" si="5"/>
        <v/>
      </c>
      <c r="AR10" t="s">
        <v>366</v>
      </c>
      <c r="AS10">
        <f>'City characteristics'!$C$20</f>
        <v>2019</v>
      </c>
      <c r="AT10" t="str">
        <f>'ENE TECH'!$G7</f>
        <v>RESRNG</v>
      </c>
      <c r="AV10" t="str">
        <f>'ENE TECH'!$G7</f>
        <v>RESRNG</v>
      </c>
      <c r="AX10" t="str">
        <f t="shared" si="6"/>
        <v>RESCO2e</v>
      </c>
      <c r="AY10" s="313">
        <f>L10+Y10*'Emission Factors Hub'!$E$8+AL10*'Emission Factors Hub'!$E$9</f>
        <v>49.60660613369425</v>
      </c>
      <c r="AZ10" s="313" t="str">
        <f>IFERROR(M10+Z10*'Emission Factors Hub'!$E$8+AM10*'Emission Factors Hub'!$E$9,"")</f>
        <v/>
      </c>
    </row>
    <row r="11" spans="3:52">
      <c r="E11" t="s">
        <v>366</v>
      </c>
      <c r="F11">
        <f>'City characteristics'!$C$20</f>
        <v>2019</v>
      </c>
      <c r="G11" t="str">
        <f>'ENE TECH'!$G8</f>
        <v>RESELC</v>
      </c>
      <c r="I11" t="str">
        <f>'ENE TECH'!$G8</f>
        <v>RESELC</v>
      </c>
      <c r="K11" t="str">
        <f t="shared" si="0"/>
        <v>RESCO2</v>
      </c>
      <c r="L11" s="313">
        <f>_xlfn.IFNA(_xlfn.XLOOKUP(_xlfn.XLOOKUP(_xlfn.XLOOKUP(G11,'ENE TECH'!$G:$G,'ENE TECH'!$B:$B),Mapping!$B:$B,Mapping!$C:$C),'Emission Factors Hub'!$C:$C,'Emission Factors Hub'!$E:$E)/Parameters!$C$2*10^3,0)</f>
        <v>0</v>
      </c>
      <c r="M11" s="313" t="str">
        <f t="shared" si="1"/>
        <v/>
      </c>
      <c r="R11" t="s">
        <v>366</v>
      </c>
      <c r="S11">
        <f>'City characteristics'!$C$20</f>
        <v>2019</v>
      </c>
      <c r="T11" t="str">
        <f>'ENE TECH'!$G8</f>
        <v>RESELC</v>
      </c>
      <c r="V11" t="str">
        <f>'ENE TECH'!$G8</f>
        <v>RESELC</v>
      </c>
      <c r="X11" t="str">
        <f t="shared" si="2"/>
        <v>RESCH4</v>
      </c>
      <c r="Y11" s="313">
        <f>_xlfn.IFNA(_xlfn.XLOOKUP(_xlfn.XLOOKUP(_xlfn.XLOOKUP(T11,'ENE TECH'!$G:$G,'ENE TECH'!$B:$B),Mapping!$B:$B,Mapping!$C:$C),'Emission Factors Hub'!$C:$C,'Emission Factors Hub'!$F:$F)/Parameters!$C$2,0)</f>
        <v>0</v>
      </c>
      <c r="Z11" s="313" t="str">
        <f t="shared" si="3"/>
        <v/>
      </c>
      <c r="AE11" t="s">
        <v>366</v>
      </c>
      <c r="AF11">
        <f>'City characteristics'!$C$20</f>
        <v>2019</v>
      </c>
      <c r="AG11" t="str">
        <f>'ENE TECH'!$G8</f>
        <v>RESELC</v>
      </c>
      <c r="AI11" t="str">
        <f>'ENE TECH'!$G8</f>
        <v>RESELC</v>
      </c>
      <c r="AK11" t="str">
        <f t="shared" si="4"/>
        <v>RESN2O</v>
      </c>
      <c r="AL11" s="313">
        <f>_xlfn.IFNA(_xlfn.XLOOKUP(_xlfn.XLOOKUP(_xlfn.XLOOKUP(AG11,'ENE TECH'!$G:$G,'ENE TECH'!$B:$B),Mapping!$B:$B,Mapping!$C:$C),'Emission Factors Hub'!$C:$C,'Emission Factors Hub'!$G:$G)/Parameters!$C$2,0)</f>
        <v>0</v>
      </c>
      <c r="AM11" s="313" t="str">
        <f t="shared" si="5"/>
        <v/>
      </c>
      <c r="AR11" t="s">
        <v>366</v>
      </c>
      <c r="AS11">
        <f>'City characteristics'!$C$20</f>
        <v>2019</v>
      </c>
      <c r="AT11" t="str">
        <f>'ENE TECH'!$G8</f>
        <v>RESELC</v>
      </c>
      <c r="AV11" t="str">
        <f>'ENE TECH'!$G8</f>
        <v>RESELC</v>
      </c>
      <c r="AX11" t="str">
        <f t="shared" si="6"/>
        <v>RESCO2e</v>
      </c>
      <c r="AY11" s="313">
        <f>L11+Y11*'Emission Factors Hub'!$E$8+AL11*'Emission Factors Hub'!$E$9</f>
        <v>0</v>
      </c>
      <c r="AZ11" s="313" t="str">
        <f>IFERROR(M11+Z11*'Emission Factors Hub'!$E$8+AM11*'Emission Factors Hub'!$E$9,"")</f>
        <v/>
      </c>
    </row>
    <row r="12" spans="3:52">
      <c r="E12" t="s">
        <v>366</v>
      </c>
      <c r="F12">
        <f>'City characteristics'!$C$20</f>
        <v>2019</v>
      </c>
      <c r="G12" t="str">
        <f>'ENE TECH'!$G9</f>
        <v>RESH2G</v>
      </c>
      <c r="I12" t="str">
        <f>'ENE TECH'!$G9</f>
        <v>RESH2G</v>
      </c>
      <c r="K12" t="str">
        <f t="shared" si="0"/>
        <v>RESCO2</v>
      </c>
      <c r="L12" s="313">
        <f>_xlfn.IFNA(_xlfn.XLOOKUP(_xlfn.XLOOKUP(_xlfn.XLOOKUP(G12,'ENE TECH'!$G:$G,'ENE TECH'!$B:$B),Mapping!$B:$B,Mapping!$C:$C),'Emission Factors Hub'!$C:$C,'Emission Factors Hub'!$E:$E)/Parameters!$C$2*10^3,0)</f>
        <v>0</v>
      </c>
      <c r="M12" s="313" t="str">
        <f t="shared" si="1"/>
        <v/>
      </c>
      <c r="R12" t="s">
        <v>366</v>
      </c>
      <c r="S12">
        <f>'City characteristics'!$C$20</f>
        <v>2019</v>
      </c>
      <c r="T12" t="str">
        <f>'ENE TECH'!$G9</f>
        <v>RESH2G</v>
      </c>
      <c r="V12" t="str">
        <f>'ENE TECH'!$G9</f>
        <v>RESH2G</v>
      </c>
      <c r="X12" t="str">
        <f t="shared" si="2"/>
        <v>RESCH4</v>
      </c>
      <c r="Y12" s="313">
        <f>_xlfn.IFNA(_xlfn.XLOOKUP(_xlfn.XLOOKUP(_xlfn.XLOOKUP(T12,'ENE TECH'!$G:$G,'ENE TECH'!$B:$B),Mapping!$B:$B,Mapping!$C:$C),'Emission Factors Hub'!$C:$C,'Emission Factors Hub'!$F:$F)/Parameters!$C$2,0)</f>
        <v>0</v>
      </c>
      <c r="Z12" s="313" t="str">
        <f t="shared" si="3"/>
        <v/>
      </c>
      <c r="AE12" t="s">
        <v>366</v>
      </c>
      <c r="AF12">
        <f>'City characteristics'!$C$20</f>
        <v>2019</v>
      </c>
      <c r="AG12" t="str">
        <f>'ENE TECH'!$G9</f>
        <v>RESH2G</v>
      </c>
      <c r="AI12" t="str">
        <f>'ENE TECH'!$G9</f>
        <v>RESH2G</v>
      </c>
      <c r="AK12" t="str">
        <f t="shared" si="4"/>
        <v>RESN2O</v>
      </c>
      <c r="AL12" s="313">
        <f>_xlfn.IFNA(_xlfn.XLOOKUP(_xlfn.XLOOKUP(_xlfn.XLOOKUP(AG12,'ENE TECH'!$G:$G,'ENE TECH'!$B:$B),Mapping!$B:$B,Mapping!$C:$C),'Emission Factors Hub'!$C:$C,'Emission Factors Hub'!$G:$G)/Parameters!$C$2,0)</f>
        <v>0</v>
      </c>
      <c r="AM12" s="313" t="str">
        <f t="shared" si="5"/>
        <v/>
      </c>
      <c r="AR12" t="s">
        <v>366</v>
      </c>
      <c r="AS12">
        <f>'City characteristics'!$C$20</f>
        <v>2019</v>
      </c>
      <c r="AT12" t="str">
        <f>'ENE TECH'!$G9</f>
        <v>RESH2G</v>
      </c>
      <c r="AV12" t="str">
        <f>'ENE TECH'!$G9</f>
        <v>RESH2G</v>
      </c>
      <c r="AX12" t="str">
        <f t="shared" si="6"/>
        <v>RESCO2e</v>
      </c>
      <c r="AY12" s="313">
        <f>L12+Y12*'Emission Factors Hub'!$E$8+AL12*'Emission Factors Hub'!$E$9</f>
        <v>0</v>
      </c>
      <c r="AZ12" s="313" t="str">
        <f>IFERROR(M12+Z12*'Emission Factors Hub'!$E$8+AM12*'Emission Factors Hub'!$E$9,"")</f>
        <v/>
      </c>
    </row>
    <row r="13" spans="3:52">
      <c r="E13" t="s">
        <v>366</v>
      </c>
      <c r="F13">
        <f>'City characteristics'!$C$20</f>
        <v>2019</v>
      </c>
      <c r="G13" t="str">
        <f>'ENE TECH'!$G10</f>
        <v>RESSTM</v>
      </c>
      <c r="I13" t="str">
        <f>'ENE TECH'!$G10</f>
        <v>RESSTM</v>
      </c>
      <c r="K13" t="str">
        <f t="shared" si="0"/>
        <v>RESCO2</v>
      </c>
      <c r="L13" s="313">
        <f>_xlfn.IFNA(_xlfn.XLOOKUP(_xlfn.XLOOKUP(_xlfn.XLOOKUP(G13,'ENE TECH'!$G:$G,'ENE TECH'!$B:$B),Mapping!$B:$B,Mapping!$C:$C),'Emission Factors Hub'!$C:$C,'Emission Factors Hub'!$E:$E)/Parameters!$C$2*10^3,0)</f>
        <v>0</v>
      </c>
      <c r="M13" s="313" t="str">
        <f t="shared" si="1"/>
        <v/>
      </c>
      <c r="R13" t="s">
        <v>366</v>
      </c>
      <c r="S13">
        <f>'City characteristics'!$C$20</f>
        <v>2019</v>
      </c>
      <c r="T13" t="str">
        <f>'ENE TECH'!$G10</f>
        <v>RESSTM</v>
      </c>
      <c r="V13" t="str">
        <f>'ENE TECH'!$G10</f>
        <v>RESSTM</v>
      </c>
      <c r="X13" t="str">
        <f t="shared" si="2"/>
        <v>RESCH4</v>
      </c>
      <c r="Y13" s="313">
        <f>_xlfn.IFNA(_xlfn.XLOOKUP(_xlfn.XLOOKUP(_xlfn.XLOOKUP(T13,'ENE TECH'!$G:$G,'ENE TECH'!$B:$B),Mapping!$B:$B,Mapping!$C:$C),'Emission Factors Hub'!$C:$C,'Emission Factors Hub'!$F:$F)/Parameters!$C$2,0)</f>
        <v>0</v>
      </c>
      <c r="Z13" s="313" t="str">
        <f t="shared" si="3"/>
        <v/>
      </c>
      <c r="AE13" t="s">
        <v>366</v>
      </c>
      <c r="AF13">
        <f>'City characteristics'!$C$20</f>
        <v>2019</v>
      </c>
      <c r="AG13" t="str">
        <f>'ENE TECH'!$G10</f>
        <v>RESSTM</v>
      </c>
      <c r="AI13" t="str">
        <f>'ENE TECH'!$G10</f>
        <v>RESSTM</v>
      </c>
      <c r="AK13" t="str">
        <f t="shared" si="4"/>
        <v>RESN2O</v>
      </c>
      <c r="AL13" s="313">
        <f>_xlfn.IFNA(_xlfn.XLOOKUP(_xlfn.XLOOKUP(_xlfn.XLOOKUP(AG13,'ENE TECH'!$G:$G,'ENE TECH'!$B:$B),Mapping!$B:$B,Mapping!$C:$C),'Emission Factors Hub'!$C:$C,'Emission Factors Hub'!$G:$G)/Parameters!$C$2,0)</f>
        <v>0</v>
      </c>
      <c r="AM13" s="313" t="str">
        <f t="shared" si="5"/>
        <v/>
      </c>
      <c r="AR13" t="s">
        <v>366</v>
      </c>
      <c r="AS13">
        <f>'City characteristics'!$C$20</f>
        <v>2019</v>
      </c>
      <c r="AT13" t="str">
        <f>'ENE TECH'!$G10</f>
        <v>RESSTM</v>
      </c>
      <c r="AV13" t="str">
        <f>'ENE TECH'!$G10</f>
        <v>RESSTM</v>
      </c>
      <c r="AX13" t="str">
        <f t="shared" si="6"/>
        <v>RESCO2e</v>
      </c>
      <c r="AY13" s="313">
        <f>L13+Y13*'Emission Factors Hub'!$E$8+AL13*'Emission Factors Hub'!$E$9</f>
        <v>0</v>
      </c>
      <c r="AZ13" s="313" t="str">
        <f>IFERROR(M13+Z13*'Emission Factors Hub'!$E$8+AM13*'Emission Factors Hub'!$E$9,"")</f>
        <v/>
      </c>
    </row>
    <row r="14" spans="3:52">
      <c r="E14" t="s">
        <v>366</v>
      </c>
      <c r="F14">
        <f>'City characteristics'!$C$20</f>
        <v>2019</v>
      </c>
      <c r="G14" t="str">
        <f>'ENE TECH'!$G11</f>
        <v>RESSOL</v>
      </c>
      <c r="I14" t="str">
        <f>'ENE TECH'!$G11</f>
        <v>RESSOL</v>
      </c>
      <c r="K14" t="str">
        <f t="shared" si="0"/>
        <v>RESCO2</v>
      </c>
      <c r="L14" s="313">
        <f>_xlfn.IFNA(_xlfn.XLOOKUP(_xlfn.XLOOKUP(_xlfn.XLOOKUP(G14,'ENE TECH'!$G:$G,'ENE TECH'!$B:$B),Mapping!$B:$B,Mapping!$C:$C),'Emission Factors Hub'!$C:$C,'Emission Factors Hub'!$E:$E)/Parameters!$C$2*10^3,0)</f>
        <v>0</v>
      </c>
      <c r="M14" s="313" t="str">
        <f t="shared" si="1"/>
        <v/>
      </c>
      <c r="R14" t="s">
        <v>366</v>
      </c>
      <c r="S14">
        <f>'City characteristics'!$C$20</f>
        <v>2019</v>
      </c>
      <c r="T14" t="str">
        <f>'ENE TECH'!$G11</f>
        <v>RESSOL</v>
      </c>
      <c r="V14" t="str">
        <f>'ENE TECH'!$G11</f>
        <v>RESSOL</v>
      </c>
      <c r="X14" t="str">
        <f t="shared" si="2"/>
        <v>RESCH4</v>
      </c>
      <c r="Y14" s="313">
        <f>_xlfn.IFNA(_xlfn.XLOOKUP(_xlfn.XLOOKUP(_xlfn.XLOOKUP(T14,'ENE TECH'!$G:$G,'ENE TECH'!$B:$B),Mapping!$B:$B,Mapping!$C:$C),'Emission Factors Hub'!$C:$C,'Emission Factors Hub'!$F:$F)/Parameters!$C$2,0)</f>
        <v>0</v>
      </c>
      <c r="Z14" s="313" t="str">
        <f t="shared" si="3"/>
        <v/>
      </c>
      <c r="AE14" t="s">
        <v>366</v>
      </c>
      <c r="AF14">
        <f>'City characteristics'!$C$20</f>
        <v>2019</v>
      </c>
      <c r="AG14" t="str">
        <f>'ENE TECH'!$G11</f>
        <v>RESSOL</v>
      </c>
      <c r="AI14" t="str">
        <f>'ENE TECH'!$G11</f>
        <v>RESSOL</v>
      </c>
      <c r="AK14" t="str">
        <f t="shared" si="4"/>
        <v>RESN2O</v>
      </c>
      <c r="AL14" s="313">
        <f>_xlfn.IFNA(_xlfn.XLOOKUP(_xlfn.XLOOKUP(_xlfn.XLOOKUP(AG14,'ENE TECH'!$G:$G,'ENE TECH'!$B:$B),Mapping!$B:$B,Mapping!$C:$C),'Emission Factors Hub'!$C:$C,'Emission Factors Hub'!$G:$G)/Parameters!$C$2,0)</f>
        <v>0</v>
      </c>
      <c r="AM14" s="313" t="str">
        <f t="shared" si="5"/>
        <v/>
      </c>
      <c r="AR14" t="s">
        <v>366</v>
      </c>
      <c r="AS14">
        <f>'City characteristics'!$C$20</f>
        <v>2019</v>
      </c>
      <c r="AT14" t="str">
        <f>'ENE TECH'!$G11</f>
        <v>RESSOL</v>
      </c>
      <c r="AV14" t="str">
        <f>'ENE TECH'!$G11</f>
        <v>RESSOL</v>
      </c>
      <c r="AX14" t="str">
        <f t="shared" si="6"/>
        <v>RESCO2e</v>
      </c>
      <c r="AY14" s="313">
        <f>L14+Y14*'Emission Factors Hub'!$E$8+AL14*'Emission Factors Hub'!$E$9</f>
        <v>0</v>
      </c>
      <c r="AZ14" s="313" t="str">
        <f>IFERROR(M14+Z14*'Emission Factors Hub'!$E$8+AM14*'Emission Factors Hub'!$E$9,"")</f>
        <v/>
      </c>
    </row>
    <row r="15" spans="3:52">
      <c r="E15" t="s">
        <v>366</v>
      </c>
      <c r="F15">
        <f>'City characteristics'!$C$20</f>
        <v>2019</v>
      </c>
      <c r="G15" t="str">
        <f>'ENE TECH'!$G12</f>
        <v>RESWND</v>
      </c>
      <c r="I15" t="str">
        <f>'ENE TECH'!$G12</f>
        <v>RESWND</v>
      </c>
      <c r="K15" t="str">
        <f t="shared" si="0"/>
        <v>RESCO2</v>
      </c>
      <c r="L15" s="313">
        <f>_xlfn.IFNA(_xlfn.XLOOKUP(_xlfn.XLOOKUP(_xlfn.XLOOKUP(G15,'ENE TECH'!$G:$G,'ENE TECH'!$B:$B),Mapping!$B:$B,Mapping!$C:$C),'Emission Factors Hub'!$C:$C,'Emission Factors Hub'!$E:$E)/Parameters!$C$2*10^3,0)</f>
        <v>0</v>
      </c>
      <c r="M15" s="313" t="str">
        <f t="shared" si="1"/>
        <v/>
      </c>
      <c r="R15" t="s">
        <v>366</v>
      </c>
      <c r="S15">
        <f>'City characteristics'!$C$20</f>
        <v>2019</v>
      </c>
      <c r="T15" t="str">
        <f>'ENE TECH'!$G12</f>
        <v>RESWND</v>
      </c>
      <c r="V15" t="str">
        <f>'ENE TECH'!$G12</f>
        <v>RESWND</v>
      </c>
      <c r="X15" t="str">
        <f t="shared" si="2"/>
        <v>RESCH4</v>
      </c>
      <c r="Y15" s="313">
        <f>_xlfn.IFNA(_xlfn.XLOOKUP(_xlfn.XLOOKUP(_xlfn.XLOOKUP(T15,'ENE TECH'!$G:$G,'ENE TECH'!$B:$B),Mapping!$B:$B,Mapping!$C:$C),'Emission Factors Hub'!$C:$C,'Emission Factors Hub'!$F:$F)/Parameters!$C$2,0)</f>
        <v>0</v>
      </c>
      <c r="Z15" s="313" t="str">
        <f t="shared" si="3"/>
        <v/>
      </c>
      <c r="AE15" t="s">
        <v>366</v>
      </c>
      <c r="AF15">
        <f>'City characteristics'!$C$20</f>
        <v>2019</v>
      </c>
      <c r="AG15" t="str">
        <f>'ENE TECH'!$G12</f>
        <v>RESWND</v>
      </c>
      <c r="AI15" t="str">
        <f>'ENE TECH'!$G12</f>
        <v>RESWND</v>
      </c>
      <c r="AK15" t="str">
        <f t="shared" si="4"/>
        <v>RESN2O</v>
      </c>
      <c r="AL15" s="313">
        <f>_xlfn.IFNA(_xlfn.XLOOKUP(_xlfn.XLOOKUP(_xlfn.XLOOKUP(AG15,'ENE TECH'!$G:$G,'ENE TECH'!$B:$B),Mapping!$B:$B,Mapping!$C:$C),'Emission Factors Hub'!$C:$C,'Emission Factors Hub'!$G:$G)/Parameters!$C$2,0)</f>
        <v>0</v>
      </c>
      <c r="AM15" s="313" t="str">
        <f t="shared" si="5"/>
        <v/>
      </c>
      <c r="AR15" t="s">
        <v>366</v>
      </c>
      <c r="AS15">
        <f>'City characteristics'!$C$20</f>
        <v>2019</v>
      </c>
      <c r="AT15" t="str">
        <f>'ENE TECH'!$G12</f>
        <v>RESWND</v>
      </c>
      <c r="AV15" t="str">
        <f>'ENE TECH'!$G12</f>
        <v>RESWND</v>
      </c>
      <c r="AX15" t="str">
        <f t="shared" si="6"/>
        <v>RESCO2e</v>
      </c>
      <c r="AY15" s="313">
        <f>L15+Y15*'Emission Factors Hub'!$E$8+AL15*'Emission Factors Hub'!$E$9</f>
        <v>0</v>
      </c>
      <c r="AZ15" s="313" t="str">
        <f>IFERROR(M15+Z15*'Emission Factors Hub'!$E$8+AM15*'Emission Factors Hub'!$E$9,"")</f>
        <v/>
      </c>
    </row>
    <row r="16" spans="3:52">
      <c r="E16" t="s">
        <v>366</v>
      </c>
      <c r="F16">
        <f>'City characteristics'!$C$20</f>
        <v>2019</v>
      </c>
      <c r="G16" t="str">
        <f>'ENE TECH'!$G13</f>
        <v>COMLPG</v>
      </c>
      <c r="I16" t="str">
        <f>'ENE TECH'!$G13</f>
        <v>COMLPG</v>
      </c>
      <c r="K16" t="str">
        <f t="shared" si="0"/>
        <v>COMCO2</v>
      </c>
      <c r="L16" s="313">
        <f>_xlfn.IFNA(_xlfn.XLOOKUP(_xlfn.XLOOKUP(_xlfn.XLOOKUP(G16,'ENE TECH'!$G:$G,'ENE TECH'!$B:$B),Mapping!$B:$B,Mapping!$C:$C),'Emission Factors Hub'!$C:$C,'Emission Factors Hub'!$E:$E)/Parameters!$C$2*10^3,0)</f>
        <v>58.489794639781394</v>
      </c>
      <c r="M16" s="313" t="str">
        <f t="shared" si="1"/>
        <v/>
      </c>
      <c r="R16" t="s">
        <v>366</v>
      </c>
      <c r="S16">
        <f>'City characteristics'!$C$20</f>
        <v>2019</v>
      </c>
      <c r="T16" t="str">
        <f>'ENE TECH'!$G13</f>
        <v>COMLPG</v>
      </c>
      <c r="V16" t="str">
        <f>'ENE TECH'!$G13</f>
        <v>COMLPG</v>
      </c>
      <c r="X16" t="str">
        <f t="shared" si="2"/>
        <v>COMCH4</v>
      </c>
      <c r="Y16" s="313">
        <f>_xlfn.IFNA(_xlfn.XLOOKUP(_xlfn.XLOOKUP(_xlfn.XLOOKUP(T16,'ENE TECH'!$G:$G,'ENE TECH'!$B:$B),Mapping!$B:$B,Mapping!$C:$C),'Emission Factors Hub'!$C:$C,'Emission Factors Hub'!$F:$F)/Parameters!$C$2,0)</f>
        <v>2.8434513680010401E-3</v>
      </c>
      <c r="Z16" s="313" t="str">
        <f t="shared" si="3"/>
        <v/>
      </c>
      <c r="AE16" t="s">
        <v>366</v>
      </c>
      <c r="AF16">
        <f>'City characteristics'!$C$20</f>
        <v>2019</v>
      </c>
      <c r="AG16" t="str">
        <f>'ENE TECH'!$G13</f>
        <v>COMLPG</v>
      </c>
      <c r="AI16" t="str">
        <f>'ENE TECH'!$G13</f>
        <v>COMLPG</v>
      </c>
      <c r="AK16" t="str">
        <f t="shared" si="4"/>
        <v>COMN2O</v>
      </c>
      <c r="AL16" s="313">
        <f>_xlfn.IFNA(_xlfn.XLOOKUP(_xlfn.XLOOKUP(_xlfn.XLOOKUP(AG16,'ENE TECH'!$G:$G,'ENE TECH'!$B:$B),Mapping!$B:$B,Mapping!$C:$C),'Emission Factors Hub'!$C:$C,'Emission Factors Hub'!$G:$G)/Parameters!$C$2,0)</f>
        <v>5.6869027360020798E-4</v>
      </c>
      <c r="AM16" s="313" t="str">
        <f t="shared" si="5"/>
        <v/>
      </c>
      <c r="AR16" t="s">
        <v>366</v>
      </c>
      <c r="AS16">
        <f>'City characteristics'!$C$20</f>
        <v>2019</v>
      </c>
      <c r="AT16" t="str">
        <f>'ENE TECH'!$G13</f>
        <v>COMLPG</v>
      </c>
      <c r="AV16" t="str">
        <f>'ENE TECH'!$G13</f>
        <v>COMLPG</v>
      </c>
      <c r="AX16" t="str">
        <f t="shared" si="6"/>
        <v>COMCO2e</v>
      </c>
      <c r="AY16" s="313">
        <f>L16+Y16*'Emission Factors Hub'!$E$8+AL16*'Emission Factors Hub'!$E$9</f>
        <v>58.730350625514284</v>
      </c>
      <c r="AZ16" s="313" t="str">
        <f>IFERROR(M16+Z16*'Emission Factors Hub'!$E$8+AM16*'Emission Factors Hub'!$E$9,"")</f>
        <v/>
      </c>
    </row>
    <row r="17" spans="5:52">
      <c r="E17" t="s">
        <v>366</v>
      </c>
      <c r="F17">
        <f>'City characteristics'!$C$20</f>
        <v>2019</v>
      </c>
      <c r="G17" t="str">
        <f>'ENE TECH'!$G14</f>
        <v>COMDSL</v>
      </c>
      <c r="I17" t="str">
        <f>'ENE TECH'!$G14</f>
        <v>COMDSL</v>
      </c>
      <c r="K17" t="str">
        <f t="shared" si="0"/>
        <v>COMCO2</v>
      </c>
      <c r="L17" s="313">
        <f>_xlfn.IFNA(_xlfn.XLOOKUP(_xlfn.XLOOKUP(_xlfn.XLOOKUP(G17,'ENE TECH'!$G:$G,'ENE TECH'!$B:$B),Mapping!$B:$B,Mapping!$C:$C),'Emission Factors Hub'!$C:$C,'Emission Factors Hub'!$E:$E)/Parameters!$C$2*10^3,0)</f>
        <v>70.100554392452295</v>
      </c>
      <c r="M17" s="313" t="str">
        <f t="shared" si="1"/>
        <v/>
      </c>
      <c r="R17" t="s">
        <v>366</v>
      </c>
      <c r="S17">
        <f>'City characteristics'!$C$20</f>
        <v>2019</v>
      </c>
      <c r="T17" t="str">
        <f>'ENE TECH'!$G14</f>
        <v>COMDSL</v>
      </c>
      <c r="V17" t="str">
        <f>'ENE TECH'!$G14</f>
        <v>COMDSL</v>
      </c>
      <c r="X17" t="str">
        <f t="shared" si="2"/>
        <v>COMCH4</v>
      </c>
      <c r="Y17" s="313">
        <f>_xlfn.IFNA(_xlfn.XLOOKUP(_xlfn.XLOOKUP(_xlfn.XLOOKUP(T17,'ENE TECH'!$G:$G,'ENE TECH'!$B:$B),Mapping!$B:$B,Mapping!$C:$C),'Emission Factors Hub'!$C:$C,'Emission Factors Hub'!$F:$F)/Parameters!$C$2,0)</f>
        <v>2.8434513680010401E-3</v>
      </c>
      <c r="Z17" s="313" t="str">
        <f t="shared" si="3"/>
        <v/>
      </c>
      <c r="AE17" t="s">
        <v>366</v>
      </c>
      <c r="AF17">
        <f>'City characteristics'!$C$20</f>
        <v>2019</v>
      </c>
      <c r="AG17" t="str">
        <f>'ENE TECH'!$G14</f>
        <v>COMDSL</v>
      </c>
      <c r="AI17" t="str">
        <f>'ENE TECH'!$G14</f>
        <v>COMDSL</v>
      </c>
      <c r="AK17" t="str">
        <f t="shared" si="4"/>
        <v>COMN2O</v>
      </c>
      <c r="AL17" s="313">
        <f>_xlfn.IFNA(_xlfn.XLOOKUP(_xlfn.XLOOKUP(_xlfn.XLOOKUP(AG17,'ENE TECH'!$G:$G,'ENE TECH'!$B:$B),Mapping!$B:$B,Mapping!$C:$C),'Emission Factors Hub'!$C:$C,'Emission Factors Hub'!$G:$G)/Parameters!$C$2,0)</f>
        <v>5.6869027360020798E-4</v>
      </c>
      <c r="AM17" s="313" t="str">
        <f t="shared" si="5"/>
        <v/>
      </c>
      <c r="AR17" t="s">
        <v>366</v>
      </c>
      <c r="AS17">
        <f>'City characteristics'!$C$20</f>
        <v>2019</v>
      </c>
      <c r="AT17" t="str">
        <f>'ENE TECH'!$G14</f>
        <v>COMDSL</v>
      </c>
      <c r="AV17" t="str">
        <f>'ENE TECH'!$G14</f>
        <v>COMDSL</v>
      </c>
      <c r="AX17" t="str">
        <f t="shared" si="6"/>
        <v>COMCO2e</v>
      </c>
      <c r="AY17" s="313">
        <f>L17+Y17*'Emission Factors Hub'!$E$8+AL17*'Emission Factors Hub'!$E$9</f>
        <v>70.341110378185178</v>
      </c>
      <c r="AZ17" s="313" t="str">
        <f>IFERROR(M17+Z17*'Emission Factors Hub'!$E$8+AM17*'Emission Factors Hub'!$E$9,"")</f>
        <v/>
      </c>
    </row>
    <row r="18" spans="5:52">
      <c r="E18" t="s">
        <v>366</v>
      </c>
      <c r="F18">
        <f>'City characteristics'!$C$20</f>
        <v>2019</v>
      </c>
      <c r="G18" t="str">
        <f>'ENE TECH'!$G15</f>
        <v>COMFOI</v>
      </c>
      <c r="I18" t="str">
        <f>'ENE TECH'!$G15</f>
        <v>COMFOI</v>
      </c>
      <c r="K18" t="str">
        <f t="shared" si="0"/>
        <v>COMCO2</v>
      </c>
      <c r="L18" s="313">
        <f>_xlfn.IFNA(_xlfn.XLOOKUP(_xlfn.XLOOKUP(_xlfn.XLOOKUP(G18,'ENE TECH'!$G:$G,'ENE TECH'!$B:$B),Mapping!$B:$B,Mapping!$C:$C),'Emission Factors Hub'!$C:$C,'Emission Factors Hub'!$E:$E)/Parameters!$C$2*10^3,0)</f>
        <v>71.181065912292695</v>
      </c>
      <c r="M18" s="313" t="str">
        <f t="shared" si="1"/>
        <v/>
      </c>
      <c r="R18" t="s">
        <v>366</v>
      </c>
      <c r="S18">
        <f>'City characteristics'!$C$20</f>
        <v>2019</v>
      </c>
      <c r="T18" t="str">
        <f>'ENE TECH'!$G15</f>
        <v>COMFOI</v>
      </c>
      <c r="V18" t="str">
        <f>'ENE TECH'!$G15</f>
        <v>COMFOI</v>
      </c>
      <c r="X18" t="str">
        <f t="shared" si="2"/>
        <v>COMCH4</v>
      </c>
      <c r="Y18" s="313">
        <f>_xlfn.IFNA(_xlfn.XLOOKUP(_xlfn.XLOOKUP(_xlfn.XLOOKUP(T18,'ENE TECH'!$G:$G,'ENE TECH'!$B:$B),Mapping!$B:$B,Mapping!$C:$C),'Emission Factors Hub'!$C:$C,'Emission Factors Hub'!$F:$F)/Parameters!$C$2,0)</f>
        <v>2.8434513680010401E-3</v>
      </c>
      <c r="Z18" s="313" t="str">
        <f t="shared" si="3"/>
        <v/>
      </c>
      <c r="AE18" t="s">
        <v>366</v>
      </c>
      <c r="AF18">
        <f>'City characteristics'!$C$20</f>
        <v>2019</v>
      </c>
      <c r="AG18" t="str">
        <f>'ENE TECH'!$G15</f>
        <v>COMFOI</v>
      </c>
      <c r="AI18" t="str">
        <f>'ENE TECH'!$G15</f>
        <v>COMFOI</v>
      </c>
      <c r="AK18" t="str">
        <f t="shared" si="4"/>
        <v>COMN2O</v>
      </c>
      <c r="AL18" s="313">
        <f>_xlfn.IFNA(_xlfn.XLOOKUP(_xlfn.XLOOKUP(_xlfn.XLOOKUP(AG18,'ENE TECH'!$G:$G,'ENE TECH'!$B:$B),Mapping!$B:$B,Mapping!$C:$C),'Emission Factors Hub'!$C:$C,'Emission Factors Hub'!$G:$G)/Parameters!$C$2,0)</f>
        <v>5.6869027360020798E-4</v>
      </c>
      <c r="AM18" s="313" t="str">
        <f t="shared" si="5"/>
        <v/>
      </c>
      <c r="AR18" t="s">
        <v>366</v>
      </c>
      <c r="AS18">
        <f>'City characteristics'!$C$20</f>
        <v>2019</v>
      </c>
      <c r="AT18" t="str">
        <f>'ENE TECH'!$G15</f>
        <v>COMFOI</v>
      </c>
      <c r="AV18" t="str">
        <f>'ENE TECH'!$G15</f>
        <v>COMFOI</v>
      </c>
      <c r="AX18" t="str">
        <f t="shared" si="6"/>
        <v>COMCO2e</v>
      </c>
      <c r="AY18" s="313">
        <f>L18+Y18*'Emission Factors Hub'!$E$8+AL18*'Emission Factors Hub'!$E$9</f>
        <v>71.421621898025577</v>
      </c>
      <c r="AZ18" s="313" t="str">
        <f>IFERROR(M18+Z18*'Emission Factors Hub'!$E$8+AM18*'Emission Factors Hub'!$E$9,"")</f>
        <v/>
      </c>
    </row>
    <row r="19" spans="5:52">
      <c r="E19" t="s">
        <v>366</v>
      </c>
      <c r="F19">
        <f>'City characteristics'!$C$20</f>
        <v>2019</v>
      </c>
      <c r="G19" t="str">
        <f>'ENE TECH'!$G16</f>
        <v>COMKER</v>
      </c>
      <c r="I19" t="str">
        <f>'ENE TECH'!$G16</f>
        <v>COMKER</v>
      </c>
      <c r="K19" t="str">
        <f t="shared" si="0"/>
        <v>COMCO2</v>
      </c>
      <c r="L19" s="313">
        <f>_xlfn.IFNA(_xlfn.XLOOKUP(_xlfn.XLOOKUP(_xlfn.XLOOKUP(G19,'ENE TECH'!$G:$G,'ENE TECH'!$B:$B),Mapping!$B:$B,Mapping!$C:$C),'Emission Factors Hub'!$C:$C,'Emission Factors Hub'!$E:$E)/Parameters!$C$2*10^3,0)</f>
        <v>71.275847624559404</v>
      </c>
      <c r="M19" s="313" t="str">
        <f t="shared" si="1"/>
        <v/>
      </c>
      <c r="R19" t="s">
        <v>366</v>
      </c>
      <c r="S19">
        <f>'City characteristics'!$C$20</f>
        <v>2019</v>
      </c>
      <c r="T19" t="str">
        <f>'ENE TECH'!$G16</f>
        <v>COMKER</v>
      </c>
      <c r="V19" t="str">
        <f>'ENE TECH'!$G16</f>
        <v>COMKER</v>
      </c>
      <c r="X19" t="str">
        <f t="shared" si="2"/>
        <v>COMCH4</v>
      </c>
      <c r="Y19" s="313">
        <f>_xlfn.IFNA(_xlfn.XLOOKUP(_xlfn.XLOOKUP(_xlfn.XLOOKUP(T19,'ENE TECH'!$G:$G,'ENE TECH'!$B:$B),Mapping!$B:$B,Mapping!$C:$C),'Emission Factors Hub'!$C:$C,'Emission Factors Hub'!$F:$F)/Parameters!$C$2,0)</f>
        <v>2.8434513680010401E-3</v>
      </c>
      <c r="Z19" s="313" t="str">
        <f t="shared" si="3"/>
        <v/>
      </c>
      <c r="AE19" t="s">
        <v>366</v>
      </c>
      <c r="AF19">
        <f>'City characteristics'!$C$20</f>
        <v>2019</v>
      </c>
      <c r="AG19" t="str">
        <f>'ENE TECH'!$G16</f>
        <v>COMKER</v>
      </c>
      <c r="AI19" t="str">
        <f>'ENE TECH'!$G16</f>
        <v>COMKER</v>
      </c>
      <c r="AK19" t="str">
        <f t="shared" si="4"/>
        <v>COMN2O</v>
      </c>
      <c r="AL19" s="313">
        <f>_xlfn.IFNA(_xlfn.XLOOKUP(_xlfn.XLOOKUP(_xlfn.XLOOKUP(AG19,'ENE TECH'!$G:$G,'ENE TECH'!$B:$B),Mapping!$B:$B,Mapping!$C:$C),'Emission Factors Hub'!$C:$C,'Emission Factors Hub'!$G:$G)/Parameters!$C$2,0)</f>
        <v>5.6869027360020798E-4</v>
      </c>
      <c r="AM19" s="313" t="str">
        <f t="shared" si="5"/>
        <v/>
      </c>
      <c r="AR19" t="s">
        <v>366</v>
      </c>
      <c r="AS19">
        <f>'City characteristics'!$C$20</f>
        <v>2019</v>
      </c>
      <c r="AT19" t="str">
        <f>'ENE TECH'!$G16</f>
        <v>COMKER</v>
      </c>
      <c r="AV19" t="str">
        <f>'ENE TECH'!$G16</f>
        <v>COMKER</v>
      </c>
      <c r="AX19" t="str">
        <f t="shared" si="6"/>
        <v>COMCO2e</v>
      </c>
      <c r="AY19" s="313">
        <f>L19+Y19*'Emission Factors Hub'!$E$8+AL19*'Emission Factors Hub'!$E$9</f>
        <v>71.516403610292286</v>
      </c>
      <c r="AZ19" s="313" t="str">
        <f>IFERROR(M19+Z19*'Emission Factors Hub'!$E$8+AM19*'Emission Factors Hub'!$E$9,"")</f>
        <v/>
      </c>
    </row>
    <row r="20" spans="5:52">
      <c r="E20" t="s">
        <v>366</v>
      </c>
      <c r="F20">
        <f>'City characteristics'!$C$20</f>
        <v>2019</v>
      </c>
      <c r="G20" t="str">
        <f>'ENE TECH'!$G17</f>
        <v>COMGSL</v>
      </c>
      <c r="I20" t="str">
        <f>'ENE TECH'!$G17</f>
        <v>COMGSL</v>
      </c>
      <c r="K20" t="str">
        <f t="shared" si="0"/>
        <v>COMCO2</v>
      </c>
      <c r="L20" s="313">
        <f>_xlfn.IFNA(_xlfn.XLOOKUP(_xlfn.XLOOKUP(_xlfn.XLOOKUP(G20,'ENE TECH'!$G:$G,'ENE TECH'!$B:$B),Mapping!$B:$B,Mapping!$C:$C),'Emission Factors Hub'!$C:$C,'Emission Factors Hub'!$E:$E)/Parameters!$C$2*10^3,0)</f>
        <v>66.555718353677676</v>
      </c>
      <c r="M20" s="313" t="str">
        <f t="shared" si="1"/>
        <v/>
      </c>
      <c r="R20" t="s">
        <v>366</v>
      </c>
      <c r="S20">
        <f>'City characteristics'!$C$20</f>
        <v>2019</v>
      </c>
      <c r="T20" t="str">
        <f>'ENE TECH'!$G17</f>
        <v>COMGSL</v>
      </c>
      <c r="V20" t="str">
        <f>'ENE TECH'!$G17</f>
        <v>COMGSL</v>
      </c>
      <c r="X20" t="str">
        <f t="shared" si="2"/>
        <v>COMCH4</v>
      </c>
      <c r="Y20" s="313">
        <f>_xlfn.IFNA(_xlfn.XLOOKUP(_xlfn.XLOOKUP(_xlfn.XLOOKUP(T20,'ENE TECH'!$G:$G,'ENE TECH'!$B:$B),Mapping!$B:$B,Mapping!$C:$C),'Emission Factors Hub'!$C:$C,'Emission Factors Hub'!$F:$F)/Parameters!$C$2,0)</f>
        <v>2.8434513680010401E-3</v>
      </c>
      <c r="Z20" s="313" t="str">
        <f t="shared" si="3"/>
        <v/>
      </c>
      <c r="AE20" t="s">
        <v>366</v>
      </c>
      <c r="AF20">
        <f>'City characteristics'!$C$20</f>
        <v>2019</v>
      </c>
      <c r="AG20" t="str">
        <f>'ENE TECH'!$G17</f>
        <v>COMGSL</v>
      </c>
      <c r="AI20" t="str">
        <f>'ENE TECH'!$G17</f>
        <v>COMGSL</v>
      </c>
      <c r="AK20" t="str">
        <f t="shared" si="4"/>
        <v>COMN2O</v>
      </c>
      <c r="AL20" s="313">
        <f>_xlfn.IFNA(_xlfn.XLOOKUP(_xlfn.XLOOKUP(_xlfn.XLOOKUP(AG20,'ENE TECH'!$G:$G,'ENE TECH'!$B:$B),Mapping!$B:$B,Mapping!$C:$C),'Emission Factors Hub'!$C:$C,'Emission Factors Hub'!$G:$G)/Parameters!$C$2,0)</f>
        <v>5.6869027360020798E-4</v>
      </c>
      <c r="AM20" s="313" t="str">
        <f t="shared" si="5"/>
        <v/>
      </c>
      <c r="AR20" t="s">
        <v>366</v>
      </c>
      <c r="AS20">
        <f>'City characteristics'!$C$20</f>
        <v>2019</v>
      </c>
      <c r="AT20" t="str">
        <f>'ENE TECH'!$G17</f>
        <v>COMGSL</v>
      </c>
      <c r="AV20" t="str">
        <f>'ENE TECH'!$G17</f>
        <v>COMGSL</v>
      </c>
      <c r="AX20" t="str">
        <f t="shared" si="6"/>
        <v>COMCO2e</v>
      </c>
      <c r="AY20" s="313">
        <f>L20+Y20*'Emission Factors Hub'!$E$8+AL20*'Emission Factors Hub'!$E$9</f>
        <v>66.796274339410559</v>
      </c>
      <c r="AZ20" s="313" t="str">
        <f>IFERROR(M20+Z20*'Emission Factors Hub'!$E$8+AM20*'Emission Factors Hub'!$E$9,"")</f>
        <v/>
      </c>
    </row>
    <row r="21" spans="5:52">
      <c r="E21" t="s">
        <v>366</v>
      </c>
      <c r="F21">
        <f>'City characteristics'!$C$20</f>
        <v>2019</v>
      </c>
      <c r="G21" t="str">
        <f>'ENE TECH'!$G18</f>
        <v>COMNGA</v>
      </c>
      <c r="I21" t="str">
        <f>'ENE TECH'!$G18</f>
        <v>COMNGA</v>
      </c>
      <c r="K21" t="str">
        <f t="shared" si="0"/>
        <v>COMCO2</v>
      </c>
      <c r="L21" s="313">
        <f>_xlfn.IFNA(_xlfn.XLOOKUP(_xlfn.XLOOKUP(_xlfn.XLOOKUP(G21,'ENE TECH'!$G:$G,'ENE TECH'!$B:$B),Mapping!$B:$B,Mapping!$C:$C),'Emission Factors Hub'!$C:$C,'Emission Factors Hub'!$E:$E)/Parameters!$C$2*10^3,0)</f>
        <v>50.29117652871173</v>
      </c>
      <c r="M21" s="313" t="str">
        <f t="shared" si="1"/>
        <v/>
      </c>
      <c r="R21" t="s">
        <v>366</v>
      </c>
      <c r="S21">
        <f>'City characteristics'!$C$20</f>
        <v>2019</v>
      </c>
      <c r="T21" t="str">
        <f>'ENE TECH'!$G18</f>
        <v>COMNGA</v>
      </c>
      <c r="V21" t="str">
        <f>'ENE TECH'!$G18</f>
        <v>COMNGA</v>
      </c>
      <c r="X21" t="str">
        <f t="shared" si="2"/>
        <v>COMCH4</v>
      </c>
      <c r="Y21" s="313">
        <f>_xlfn.IFNA(_xlfn.XLOOKUP(_xlfn.XLOOKUP(_xlfn.XLOOKUP(T21,'ENE TECH'!$G:$G,'ENE TECH'!$B:$B),Mapping!$B:$B,Mapping!$C:$C),'Emission Factors Hub'!$C:$C,'Emission Factors Hub'!$F:$F)/Parameters!$C$2,0)</f>
        <v>9.4781712266701337E-4</v>
      </c>
      <c r="Z21" s="313" t="str">
        <f t="shared" si="3"/>
        <v/>
      </c>
      <c r="AE21" t="s">
        <v>366</v>
      </c>
      <c r="AF21">
        <f>'City characteristics'!$C$20</f>
        <v>2019</v>
      </c>
      <c r="AG21" t="str">
        <f>'ENE TECH'!$G18</f>
        <v>COMNGA</v>
      </c>
      <c r="AI21" t="str">
        <f>'ENE TECH'!$G18</f>
        <v>COMNGA</v>
      </c>
      <c r="AK21" t="str">
        <f t="shared" si="4"/>
        <v>COMN2O</v>
      </c>
      <c r="AL21" s="313">
        <f>_xlfn.IFNA(_xlfn.XLOOKUP(_xlfn.XLOOKUP(_xlfn.XLOOKUP(AG21,'ENE TECH'!$G:$G,'ENE TECH'!$B:$B),Mapping!$B:$B,Mapping!$C:$C),'Emission Factors Hub'!$C:$C,'Emission Factors Hub'!$G:$G)/Parameters!$C$2,0)</f>
        <v>9.4781712266701334E-5</v>
      </c>
      <c r="AM21" s="313" t="str">
        <f t="shared" si="5"/>
        <v/>
      </c>
      <c r="AR21" t="s">
        <v>366</v>
      </c>
      <c r="AS21">
        <f>'City characteristics'!$C$20</f>
        <v>2019</v>
      </c>
      <c r="AT21" t="str">
        <f>'ENE TECH'!$G18</f>
        <v>COMNGA</v>
      </c>
      <c r="AV21" t="str">
        <f>'ENE TECH'!$G18</f>
        <v>COMNGA</v>
      </c>
      <c r="AX21" t="str">
        <f t="shared" si="6"/>
        <v>COMCO2e</v>
      </c>
      <c r="AY21" s="313">
        <f>L21+Y21*'Emission Factors Hub'!$E$8+AL21*'Emission Factors Hub'!$E$9</f>
        <v>50.343116907033881</v>
      </c>
      <c r="AZ21" s="313" t="str">
        <f>IFERROR(M21+Z21*'Emission Factors Hub'!$E$8+AM21*'Emission Factors Hub'!$E$9,"")</f>
        <v/>
      </c>
    </row>
    <row r="22" spans="5:52">
      <c r="E22" t="s">
        <v>366</v>
      </c>
      <c r="F22">
        <f>'City characteristics'!$C$20</f>
        <v>2019</v>
      </c>
      <c r="G22" t="str">
        <f>'ENE TECH'!$G19</f>
        <v>COMRNG</v>
      </c>
      <c r="I22" t="str">
        <f>'ENE TECH'!$G19</f>
        <v>COMRNG</v>
      </c>
      <c r="K22" t="str">
        <f t="shared" si="0"/>
        <v>COMCO2</v>
      </c>
      <c r="L22" s="313">
        <f>_xlfn.IFNA(_xlfn.XLOOKUP(_xlfn.XLOOKUP(_xlfn.XLOOKUP(G22,'ENE TECH'!$G:$G,'ENE TECH'!$B:$B),Mapping!$B:$B,Mapping!$C:$C),'Emission Factors Hub'!$C:$C,'Emission Factors Hub'!$E:$E)/Parameters!$C$2*10^3,0)</f>
        <v>49.352837577271387</v>
      </c>
      <c r="M22" s="313" t="str">
        <f t="shared" si="1"/>
        <v/>
      </c>
      <c r="R22" t="s">
        <v>366</v>
      </c>
      <c r="S22">
        <f>'City characteristics'!$C$20</f>
        <v>2019</v>
      </c>
      <c r="T22" t="str">
        <f>'ENE TECH'!$G19</f>
        <v>COMRNG</v>
      </c>
      <c r="V22" t="str">
        <f>'ENE TECH'!$G19</f>
        <v>COMRNG</v>
      </c>
      <c r="X22" t="str">
        <f t="shared" si="2"/>
        <v>COMCH4</v>
      </c>
      <c r="Y22" s="313">
        <f>_xlfn.IFNA(_xlfn.XLOOKUP(_xlfn.XLOOKUP(_xlfn.XLOOKUP(T22,'ENE TECH'!$G:$G,'ENE TECH'!$B:$B),Mapping!$B:$B,Mapping!$C:$C),'Emission Factors Hub'!$C:$C,'Emission Factors Hub'!$F:$F)/Parameters!$C$2,0)</f>
        <v>3.0330147925344427E-3</v>
      </c>
      <c r="Z22" s="313" t="str">
        <f t="shared" si="3"/>
        <v/>
      </c>
      <c r="AE22" t="s">
        <v>366</v>
      </c>
      <c r="AF22">
        <f>'City characteristics'!$C$20</f>
        <v>2019</v>
      </c>
      <c r="AG22" t="str">
        <f>'ENE TECH'!$G19</f>
        <v>COMRNG</v>
      </c>
      <c r="AI22" t="str">
        <f>'ENE TECH'!$G19</f>
        <v>COMRNG</v>
      </c>
      <c r="AK22" t="str">
        <f t="shared" si="4"/>
        <v>COMN2O</v>
      </c>
      <c r="AL22" s="313">
        <f>_xlfn.IFNA(_xlfn.XLOOKUP(_xlfn.XLOOKUP(_xlfn.XLOOKUP(AG22,'ENE TECH'!$G:$G,'ENE TECH'!$B:$B),Mapping!$B:$B,Mapping!$C:$C),'Emission Factors Hub'!$C:$C,'Emission Factors Hub'!$G:$G)/Parameters!$C$2,0)</f>
        <v>5.9712478728021843E-4</v>
      </c>
      <c r="AM22" s="313" t="str">
        <f t="shared" si="5"/>
        <v/>
      </c>
      <c r="AR22" t="s">
        <v>366</v>
      </c>
      <c r="AS22">
        <f>'City characteristics'!$C$20</f>
        <v>2019</v>
      </c>
      <c r="AT22" t="str">
        <f>'ENE TECH'!$G19</f>
        <v>COMRNG</v>
      </c>
      <c r="AV22" t="str">
        <f>'ENE TECH'!$G19</f>
        <v>COMRNG</v>
      </c>
      <c r="AX22" t="str">
        <f t="shared" si="6"/>
        <v>COMCO2e</v>
      </c>
      <c r="AY22" s="313">
        <f>L22+Y22*'Emission Factors Hub'!$E$8+AL22*'Emission Factors Hub'!$E$9</f>
        <v>49.60660613369425</v>
      </c>
      <c r="AZ22" s="313" t="str">
        <f>IFERROR(M22+Z22*'Emission Factors Hub'!$E$8+AM22*'Emission Factors Hub'!$E$9,"")</f>
        <v/>
      </c>
    </row>
    <row r="23" spans="5:52">
      <c r="E23" t="s">
        <v>366</v>
      </c>
      <c r="F23">
        <f>'City characteristics'!$C$20</f>
        <v>2019</v>
      </c>
      <c r="G23" t="str">
        <f>'ENE TECH'!$G20</f>
        <v>COMELC</v>
      </c>
      <c r="I23" t="str">
        <f>'ENE TECH'!$G20</f>
        <v>COMELC</v>
      </c>
      <c r="K23" t="str">
        <f t="shared" si="0"/>
        <v>COMCO2</v>
      </c>
      <c r="L23" s="313">
        <f>_xlfn.IFNA(_xlfn.XLOOKUP(_xlfn.XLOOKUP(_xlfn.XLOOKUP(G23,'ENE TECH'!$G:$G,'ENE TECH'!$B:$B),Mapping!$B:$B,Mapping!$C:$C),'Emission Factors Hub'!$C:$C,'Emission Factors Hub'!$E:$E)/Parameters!$C$2*10^3,0)</f>
        <v>0</v>
      </c>
      <c r="M23" s="313" t="str">
        <f t="shared" si="1"/>
        <v/>
      </c>
      <c r="R23" t="s">
        <v>366</v>
      </c>
      <c r="S23">
        <f>'City characteristics'!$C$20</f>
        <v>2019</v>
      </c>
      <c r="T23" t="str">
        <f>'ENE TECH'!$G20</f>
        <v>COMELC</v>
      </c>
      <c r="V23" t="str">
        <f>'ENE TECH'!$G20</f>
        <v>COMELC</v>
      </c>
      <c r="X23" t="str">
        <f t="shared" si="2"/>
        <v>COMCH4</v>
      </c>
      <c r="Y23" s="313">
        <f>_xlfn.IFNA(_xlfn.XLOOKUP(_xlfn.XLOOKUP(_xlfn.XLOOKUP(T23,'ENE TECH'!$G:$G,'ENE TECH'!$B:$B),Mapping!$B:$B,Mapping!$C:$C),'Emission Factors Hub'!$C:$C,'Emission Factors Hub'!$F:$F)/Parameters!$C$2,0)</f>
        <v>0</v>
      </c>
      <c r="Z23" s="313" t="str">
        <f t="shared" si="3"/>
        <v/>
      </c>
      <c r="AE23" t="s">
        <v>366</v>
      </c>
      <c r="AF23">
        <f>'City characteristics'!$C$20</f>
        <v>2019</v>
      </c>
      <c r="AG23" t="str">
        <f>'ENE TECH'!$G20</f>
        <v>COMELC</v>
      </c>
      <c r="AI23" t="str">
        <f>'ENE TECH'!$G20</f>
        <v>COMELC</v>
      </c>
      <c r="AK23" t="str">
        <f t="shared" si="4"/>
        <v>COMN2O</v>
      </c>
      <c r="AL23" s="313">
        <f>_xlfn.IFNA(_xlfn.XLOOKUP(_xlfn.XLOOKUP(_xlfn.XLOOKUP(AG23,'ENE TECH'!$G:$G,'ENE TECH'!$B:$B),Mapping!$B:$B,Mapping!$C:$C),'Emission Factors Hub'!$C:$C,'Emission Factors Hub'!$G:$G)/Parameters!$C$2,0)</f>
        <v>0</v>
      </c>
      <c r="AM23" s="313" t="str">
        <f t="shared" si="5"/>
        <v/>
      </c>
      <c r="AR23" t="s">
        <v>366</v>
      </c>
      <c r="AS23">
        <f>'City characteristics'!$C$20</f>
        <v>2019</v>
      </c>
      <c r="AT23" t="str">
        <f>'ENE TECH'!$G20</f>
        <v>COMELC</v>
      </c>
      <c r="AV23" t="str">
        <f>'ENE TECH'!$G20</f>
        <v>COMELC</v>
      </c>
      <c r="AX23" t="str">
        <f t="shared" si="6"/>
        <v>COMCO2e</v>
      </c>
      <c r="AY23" s="313">
        <f>L23+Y23*'Emission Factors Hub'!$E$8+AL23*'Emission Factors Hub'!$E$9</f>
        <v>0</v>
      </c>
      <c r="AZ23" s="313" t="str">
        <f>IFERROR(M23+Z23*'Emission Factors Hub'!$E$8+AM23*'Emission Factors Hub'!$E$9,"")</f>
        <v/>
      </c>
    </row>
    <row r="24" spans="5:52">
      <c r="E24" t="s">
        <v>366</v>
      </c>
      <c r="F24">
        <f>'City characteristics'!$C$20</f>
        <v>2019</v>
      </c>
      <c r="G24" t="str">
        <f>'ENE TECH'!$G21</f>
        <v>COMH2G</v>
      </c>
      <c r="I24" t="str">
        <f>'ENE TECH'!$G21</f>
        <v>COMH2G</v>
      </c>
      <c r="K24" t="str">
        <f t="shared" si="0"/>
        <v>COMCO2</v>
      </c>
      <c r="L24" s="313">
        <f>_xlfn.IFNA(_xlfn.XLOOKUP(_xlfn.XLOOKUP(_xlfn.XLOOKUP(G24,'ENE TECH'!$G:$G,'ENE TECH'!$B:$B),Mapping!$B:$B,Mapping!$C:$C),'Emission Factors Hub'!$C:$C,'Emission Factors Hub'!$E:$E)/Parameters!$C$2*10^3,0)</f>
        <v>0</v>
      </c>
      <c r="M24" s="313" t="str">
        <f t="shared" si="1"/>
        <v/>
      </c>
      <c r="R24" t="s">
        <v>366</v>
      </c>
      <c r="S24">
        <f>'City characteristics'!$C$20</f>
        <v>2019</v>
      </c>
      <c r="T24" t="str">
        <f>'ENE TECH'!$G21</f>
        <v>COMH2G</v>
      </c>
      <c r="V24" t="str">
        <f>'ENE TECH'!$G21</f>
        <v>COMH2G</v>
      </c>
      <c r="X24" t="str">
        <f t="shared" si="2"/>
        <v>COMCH4</v>
      </c>
      <c r="Y24" s="313">
        <f>_xlfn.IFNA(_xlfn.XLOOKUP(_xlfn.XLOOKUP(_xlfn.XLOOKUP(T24,'ENE TECH'!$G:$G,'ENE TECH'!$B:$B),Mapping!$B:$B,Mapping!$C:$C),'Emission Factors Hub'!$C:$C,'Emission Factors Hub'!$F:$F)/Parameters!$C$2,0)</f>
        <v>0</v>
      </c>
      <c r="Z24" s="313" t="str">
        <f t="shared" si="3"/>
        <v/>
      </c>
      <c r="AE24" t="s">
        <v>366</v>
      </c>
      <c r="AF24">
        <f>'City characteristics'!$C$20</f>
        <v>2019</v>
      </c>
      <c r="AG24" t="str">
        <f>'ENE TECH'!$G21</f>
        <v>COMH2G</v>
      </c>
      <c r="AI24" t="str">
        <f>'ENE TECH'!$G21</f>
        <v>COMH2G</v>
      </c>
      <c r="AK24" t="str">
        <f t="shared" si="4"/>
        <v>COMN2O</v>
      </c>
      <c r="AL24" s="313">
        <f>_xlfn.IFNA(_xlfn.XLOOKUP(_xlfn.XLOOKUP(_xlfn.XLOOKUP(AG24,'ENE TECH'!$G:$G,'ENE TECH'!$B:$B),Mapping!$B:$B,Mapping!$C:$C),'Emission Factors Hub'!$C:$C,'Emission Factors Hub'!$G:$G)/Parameters!$C$2,0)</f>
        <v>0</v>
      </c>
      <c r="AM24" s="313" t="str">
        <f t="shared" si="5"/>
        <v/>
      </c>
      <c r="AR24" t="s">
        <v>366</v>
      </c>
      <c r="AS24">
        <f>'City characteristics'!$C$20</f>
        <v>2019</v>
      </c>
      <c r="AT24" t="str">
        <f>'ENE TECH'!$G21</f>
        <v>COMH2G</v>
      </c>
      <c r="AV24" t="str">
        <f>'ENE TECH'!$G21</f>
        <v>COMH2G</v>
      </c>
      <c r="AX24" t="str">
        <f t="shared" si="6"/>
        <v>COMCO2e</v>
      </c>
      <c r="AY24" s="313">
        <f>L24+Y24*'Emission Factors Hub'!$E$8+AL24*'Emission Factors Hub'!$E$9</f>
        <v>0</v>
      </c>
      <c r="AZ24" s="313" t="str">
        <f>IFERROR(M24+Z24*'Emission Factors Hub'!$E$8+AM24*'Emission Factors Hub'!$E$9,"")</f>
        <v/>
      </c>
    </row>
    <row r="25" spans="5:52">
      <c r="E25" t="s">
        <v>366</v>
      </c>
      <c r="F25">
        <f>'City characteristics'!$C$20</f>
        <v>2019</v>
      </c>
      <c r="G25" t="str">
        <f>'ENE TECH'!$G22</f>
        <v>COMSTM</v>
      </c>
      <c r="I25" t="str">
        <f>'ENE TECH'!$G22</f>
        <v>COMSTM</v>
      </c>
      <c r="K25" t="str">
        <f t="shared" si="0"/>
        <v>COMCO2</v>
      </c>
      <c r="L25" s="313">
        <f>_xlfn.IFNA(_xlfn.XLOOKUP(_xlfn.XLOOKUP(_xlfn.XLOOKUP(G25,'ENE TECH'!$G:$G,'ENE TECH'!$B:$B),Mapping!$B:$B,Mapping!$C:$C),'Emission Factors Hub'!$C:$C,'Emission Factors Hub'!$E:$E)/Parameters!$C$2*10^3,0)</f>
        <v>0</v>
      </c>
      <c r="M25" s="313" t="str">
        <f t="shared" si="1"/>
        <v/>
      </c>
      <c r="R25" t="s">
        <v>366</v>
      </c>
      <c r="S25">
        <f>'City characteristics'!$C$20</f>
        <v>2019</v>
      </c>
      <c r="T25" t="str">
        <f>'ENE TECH'!$G22</f>
        <v>COMSTM</v>
      </c>
      <c r="V25" t="str">
        <f>'ENE TECH'!$G22</f>
        <v>COMSTM</v>
      </c>
      <c r="X25" t="str">
        <f t="shared" si="2"/>
        <v>COMCH4</v>
      </c>
      <c r="Y25" s="313">
        <f>_xlfn.IFNA(_xlfn.XLOOKUP(_xlfn.XLOOKUP(_xlfn.XLOOKUP(T25,'ENE TECH'!$G:$G,'ENE TECH'!$B:$B),Mapping!$B:$B,Mapping!$C:$C),'Emission Factors Hub'!$C:$C,'Emission Factors Hub'!$F:$F)/Parameters!$C$2,0)</f>
        <v>0</v>
      </c>
      <c r="Z25" s="313" t="str">
        <f t="shared" si="3"/>
        <v/>
      </c>
      <c r="AE25" t="s">
        <v>366</v>
      </c>
      <c r="AF25">
        <f>'City characteristics'!$C$20</f>
        <v>2019</v>
      </c>
      <c r="AG25" t="str">
        <f>'ENE TECH'!$G22</f>
        <v>COMSTM</v>
      </c>
      <c r="AI25" t="str">
        <f>'ENE TECH'!$G22</f>
        <v>COMSTM</v>
      </c>
      <c r="AK25" t="str">
        <f t="shared" si="4"/>
        <v>COMN2O</v>
      </c>
      <c r="AL25" s="313">
        <f>_xlfn.IFNA(_xlfn.XLOOKUP(_xlfn.XLOOKUP(_xlfn.XLOOKUP(AG25,'ENE TECH'!$G:$G,'ENE TECH'!$B:$B),Mapping!$B:$B,Mapping!$C:$C),'Emission Factors Hub'!$C:$C,'Emission Factors Hub'!$G:$G)/Parameters!$C$2,0)</f>
        <v>0</v>
      </c>
      <c r="AM25" s="313" t="str">
        <f t="shared" si="5"/>
        <v/>
      </c>
      <c r="AR25" t="s">
        <v>366</v>
      </c>
      <c r="AS25">
        <f>'City characteristics'!$C$20</f>
        <v>2019</v>
      </c>
      <c r="AT25" t="str">
        <f>'ENE TECH'!$G22</f>
        <v>COMSTM</v>
      </c>
      <c r="AV25" t="str">
        <f>'ENE TECH'!$G22</f>
        <v>COMSTM</v>
      </c>
      <c r="AX25" t="str">
        <f t="shared" si="6"/>
        <v>COMCO2e</v>
      </c>
      <c r="AY25" s="313">
        <f>L25+Y25*'Emission Factors Hub'!$E$8+AL25*'Emission Factors Hub'!$E$9</f>
        <v>0</v>
      </c>
      <c r="AZ25" s="313" t="str">
        <f>IFERROR(M25+Z25*'Emission Factors Hub'!$E$8+AM25*'Emission Factors Hub'!$E$9,"")</f>
        <v/>
      </c>
    </row>
    <row r="26" spans="5:52">
      <c r="E26" t="s">
        <v>366</v>
      </c>
      <c r="F26">
        <f>'City characteristics'!$C$20</f>
        <v>2019</v>
      </c>
      <c r="G26" t="str">
        <f>'ENE TECH'!$G23</f>
        <v>COMSOL</v>
      </c>
      <c r="I26" t="str">
        <f>'ENE TECH'!$G23</f>
        <v>COMSOL</v>
      </c>
      <c r="K26" t="str">
        <f t="shared" si="0"/>
        <v>COMCO2</v>
      </c>
      <c r="L26" s="313">
        <f>_xlfn.IFNA(_xlfn.XLOOKUP(_xlfn.XLOOKUP(_xlfn.XLOOKUP(G26,'ENE TECH'!$G:$G,'ENE TECH'!$B:$B),Mapping!$B:$B,Mapping!$C:$C),'Emission Factors Hub'!$C:$C,'Emission Factors Hub'!$E:$E)/Parameters!$C$2*10^3,0)</f>
        <v>0</v>
      </c>
      <c r="M26" s="313" t="str">
        <f t="shared" si="1"/>
        <v/>
      </c>
      <c r="R26" t="s">
        <v>366</v>
      </c>
      <c r="S26">
        <f>'City characteristics'!$C$20</f>
        <v>2019</v>
      </c>
      <c r="T26" t="str">
        <f>'ENE TECH'!$G23</f>
        <v>COMSOL</v>
      </c>
      <c r="V26" t="str">
        <f>'ENE TECH'!$G23</f>
        <v>COMSOL</v>
      </c>
      <c r="X26" t="str">
        <f t="shared" si="2"/>
        <v>COMCH4</v>
      </c>
      <c r="Y26" s="313">
        <f>_xlfn.IFNA(_xlfn.XLOOKUP(_xlfn.XLOOKUP(_xlfn.XLOOKUP(T26,'ENE TECH'!$G:$G,'ENE TECH'!$B:$B),Mapping!$B:$B,Mapping!$C:$C),'Emission Factors Hub'!$C:$C,'Emission Factors Hub'!$F:$F)/Parameters!$C$2,0)</f>
        <v>0</v>
      </c>
      <c r="Z26" s="313" t="str">
        <f t="shared" si="3"/>
        <v/>
      </c>
      <c r="AE26" t="s">
        <v>366</v>
      </c>
      <c r="AF26">
        <f>'City characteristics'!$C$20</f>
        <v>2019</v>
      </c>
      <c r="AG26" t="str">
        <f>'ENE TECH'!$G23</f>
        <v>COMSOL</v>
      </c>
      <c r="AI26" t="str">
        <f>'ENE TECH'!$G23</f>
        <v>COMSOL</v>
      </c>
      <c r="AK26" t="str">
        <f t="shared" si="4"/>
        <v>COMN2O</v>
      </c>
      <c r="AL26" s="313">
        <f>_xlfn.IFNA(_xlfn.XLOOKUP(_xlfn.XLOOKUP(_xlfn.XLOOKUP(AG26,'ENE TECH'!$G:$G,'ENE TECH'!$B:$B),Mapping!$B:$B,Mapping!$C:$C),'Emission Factors Hub'!$C:$C,'Emission Factors Hub'!$G:$G)/Parameters!$C$2,0)</f>
        <v>0</v>
      </c>
      <c r="AM26" s="313" t="str">
        <f t="shared" si="5"/>
        <v/>
      </c>
      <c r="AR26" t="s">
        <v>366</v>
      </c>
      <c r="AS26">
        <f>'City characteristics'!$C$20</f>
        <v>2019</v>
      </c>
      <c r="AT26" t="str">
        <f>'ENE TECH'!$G23</f>
        <v>COMSOL</v>
      </c>
      <c r="AV26" t="str">
        <f>'ENE TECH'!$G23</f>
        <v>COMSOL</v>
      </c>
      <c r="AX26" t="str">
        <f t="shared" si="6"/>
        <v>COMCO2e</v>
      </c>
      <c r="AY26" s="313">
        <f>L26+Y26*'Emission Factors Hub'!$E$8+AL26*'Emission Factors Hub'!$E$9</f>
        <v>0</v>
      </c>
      <c r="AZ26" s="313" t="str">
        <f>IFERROR(M26+Z26*'Emission Factors Hub'!$E$8+AM26*'Emission Factors Hub'!$E$9,"")</f>
        <v/>
      </c>
    </row>
    <row r="27" spans="5:52">
      <c r="E27" t="s">
        <v>366</v>
      </c>
      <c r="F27">
        <f>'City characteristics'!$C$20</f>
        <v>2019</v>
      </c>
      <c r="G27" t="str">
        <f>'ENE TECH'!$G24</f>
        <v>COMWND</v>
      </c>
      <c r="I27" t="str">
        <f>'ENE TECH'!$G24</f>
        <v>COMWND</v>
      </c>
      <c r="K27" t="str">
        <f t="shared" si="0"/>
        <v>COMCO2</v>
      </c>
      <c r="L27" s="313">
        <f>_xlfn.IFNA(_xlfn.XLOOKUP(_xlfn.XLOOKUP(_xlfn.XLOOKUP(G27,'ENE TECH'!$G:$G,'ENE TECH'!$B:$B),Mapping!$B:$B,Mapping!$C:$C),'Emission Factors Hub'!$C:$C,'Emission Factors Hub'!$E:$E)/Parameters!$C$2*10^3,0)</f>
        <v>0</v>
      </c>
      <c r="M27" s="313" t="str">
        <f t="shared" si="1"/>
        <v/>
      </c>
      <c r="R27" t="s">
        <v>366</v>
      </c>
      <c r="S27">
        <f>'City characteristics'!$C$20</f>
        <v>2019</v>
      </c>
      <c r="T27" t="str">
        <f>'ENE TECH'!$G24</f>
        <v>COMWND</v>
      </c>
      <c r="V27" t="str">
        <f>'ENE TECH'!$G24</f>
        <v>COMWND</v>
      </c>
      <c r="X27" t="str">
        <f t="shared" si="2"/>
        <v>COMCH4</v>
      </c>
      <c r="Y27" s="313">
        <f>_xlfn.IFNA(_xlfn.XLOOKUP(_xlfn.XLOOKUP(_xlfn.XLOOKUP(T27,'ENE TECH'!$G:$G,'ENE TECH'!$B:$B),Mapping!$B:$B,Mapping!$C:$C),'Emission Factors Hub'!$C:$C,'Emission Factors Hub'!$F:$F)/Parameters!$C$2,0)</f>
        <v>0</v>
      </c>
      <c r="Z27" s="313" t="str">
        <f t="shared" si="3"/>
        <v/>
      </c>
      <c r="AE27" t="s">
        <v>366</v>
      </c>
      <c r="AF27">
        <f>'City characteristics'!$C$20</f>
        <v>2019</v>
      </c>
      <c r="AG27" t="str">
        <f>'ENE TECH'!$G24</f>
        <v>COMWND</v>
      </c>
      <c r="AI27" t="str">
        <f>'ENE TECH'!$G24</f>
        <v>COMWND</v>
      </c>
      <c r="AK27" t="str">
        <f t="shared" si="4"/>
        <v>COMN2O</v>
      </c>
      <c r="AL27" s="313">
        <f>_xlfn.IFNA(_xlfn.XLOOKUP(_xlfn.XLOOKUP(_xlfn.XLOOKUP(AG27,'ENE TECH'!$G:$G,'ENE TECH'!$B:$B),Mapping!$B:$B,Mapping!$C:$C),'Emission Factors Hub'!$C:$C,'Emission Factors Hub'!$G:$G)/Parameters!$C$2,0)</f>
        <v>0</v>
      </c>
      <c r="AM27" s="313" t="str">
        <f t="shared" si="5"/>
        <v/>
      </c>
      <c r="AR27" t="s">
        <v>366</v>
      </c>
      <c r="AS27">
        <f>'City characteristics'!$C$20</f>
        <v>2019</v>
      </c>
      <c r="AT27" t="str">
        <f>'ENE TECH'!$G24</f>
        <v>COMWND</v>
      </c>
      <c r="AV27" t="str">
        <f>'ENE TECH'!$G24</f>
        <v>COMWND</v>
      </c>
      <c r="AX27" t="str">
        <f t="shared" si="6"/>
        <v>COMCO2e</v>
      </c>
      <c r="AY27" s="313">
        <f>L27+Y27*'Emission Factors Hub'!$E$8+AL27*'Emission Factors Hub'!$E$9</f>
        <v>0</v>
      </c>
      <c r="AZ27" s="313" t="str">
        <f>IFERROR(M27+Z27*'Emission Factors Hub'!$E$8+AM27*'Emission Factors Hub'!$E$9,"")</f>
        <v/>
      </c>
    </row>
    <row r="28" spans="5:52">
      <c r="E28" t="s">
        <v>366</v>
      </c>
      <c r="F28">
        <f>'City characteristics'!$C$20</f>
        <v>2019</v>
      </c>
      <c r="G28" t="str">
        <f>'ENE TECH'!$G25</f>
        <v>INDLPG</v>
      </c>
      <c r="I28" t="str">
        <f>'ENE TECH'!$G25</f>
        <v>INDLPG</v>
      </c>
      <c r="K28" t="str">
        <f t="shared" si="0"/>
        <v>INDCO2</v>
      </c>
      <c r="L28" s="313">
        <f>_xlfn.IFNA(_xlfn.XLOOKUP(_xlfn.XLOOKUP(_xlfn.XLOOKUP(G28,'ENE TECH'!$G:$G,'ENE TECH'!$B:$B),Mapping!$B:$B,Mapping!$C:$C),'Emission Factors Hub'!$C:$C,'Emission Factors Hub'!$E:$E)/Parameters!$C$2*10^3,0)</f>
        <v>58.489794639781394</v>
      </c>
      <c r="M28" s="313" t="str">
        <f t="shared" si="1"/>
        <v/>
      </c>
      <c r="R28" t="s">
        <v>366</v>
      </c>
      <c r="S28">
        <f>'City characteristics'!$C$20</f>
        <v>2019</v>
      </c>
      <c r="T28" t="str">
        <f>'ENE TECH'!$G25</f>
        <v>INDLPG</v>
      </c>
      <c r="V28" t="str">
        <f>'ENE TECH'!$G25</f>
        <v>INDLPG</v>
      </c>
      <c r="X28" t="str">
        <f t="shared" si="2"/>
        <v>INDCH4</v>
      </c>
      <c r="Y28" s="313">
        <f>_xlfn.IFNA(_xlfn.XLOOKUP(_xlfn.XLOOKUP(_xlfn.XLOOKUP(T28,'ENE TECH'!$G:$G,'ENE TECH'!$B:$B),Mapping!$B:$B,Mapping!$C:$C),'Emission Factors Hub'!$C:$C,'Emission Factors Hub'!$F:$F)/Parameters!$C$2,0)</f>
        <v>2.8434513680010401E-3</v>
      </c>
      <c r="Z28" s="313" t="str">
        <f t="shared" si="3"/>
        <v/>
      </c>
      <c r="AE28" t="s">
        <v>366</v>
      </c>
      <c r="AF28">
        <f>'City characteristics'!$C$20</f>
        <v>2019</v>
      </c>
      <c r="AG28" t="str">
        <f>'ENE TECH'!$G25</f>
        <v>INDLPG</v>
      </c>
      <c r="AI28" t="str">
        <f>'ENE TECH'!$G25</f>
        <v>INDLPG</v>
      </c>
      <c r="AK28" t="str">
        <f t="shared" si="4"/>
        <v>INDN2O</v>
      </c>
      <c r="AL28" s="313">
        <f>_xlfn.IFNA(_xlfn.XLOOKUP(_xlfn.XLOOKUP(_xlfn.XLOOKUP(AG28,'ENE TECH'!$G:$G,'ENE TECH'!$B:$B),Mapping!$B:$B,Mapping!$C:$C),'Emission Factors Hub'!$C:$C,'Emission Factors Hub'!$G:$G)/Parameters!$C$2,0)</f>
        <v>5.6869027360020798E-4</v>
      </c>
      <c r="AM28" s="313" t="str">
        <f t="shared" si="5"/>
        <v/>
      </c>
      <c r="AR28" t="s">
        <v>366</v>
      </c>
      <c r="AS28">
        <f>'City characteristics'!$C$20</f>
        <v>2019</v>
      </c>
      <c r="AT28" t="str">
        <f>'ENE TECH'!$G25</f>
        <v>INDLPG</v>
      </c>
      <c r="AV28" t="str">
        <f>'ENE TECH'!$G25</f>
        <v>INDLPG</v>
      </c>
      <c r="AX28" t="str">
        <f t="shared" si="6"/>
        <v>INDCO2e</v>
      </c>
      <c r="AY28" s="313">
        <f>L28+Y28*'Emission Factors Hub'!$E$8+AL28*'Emission Factors Hub'!$E$9</f>
        <v>58.730350625514284</v>
      </c>
      <c r="AZ28" s="313" t="str">
        <f>IFERROR(M28+Z28*'Emission Factors Hub'!$E$8+AM28*'Emission Factors Hub'!$E$9,"")</f>
        <v/>
      </c>
    </row>
    <row r="29" spans="5:52">
      <c r="E29" t="s">
        <v>366</v>
      </c>
      <c r="F29">
        <f>'City characteristics'!$C$20</f>
        <v>2019</v>
      </c>
      <c r="G29" t="str">
        <f>'ENE TECH'!$G26</f>
        <v>INDDSL</v>
      </c>
      <c r="I29" t="str">
        <f>'ENE TECH'!$G26</f>
        <v>INDDSL</v>
      </c>
      <c r="K29" t="str">
        <f t="shared" si="0"/>
        <v>INDCO2</v>
      </c>
      <c r="L29" s="313">
        <f>_xlfn.IFNA(_xlfn.XLOOKUP(_xlfn.XLOOKUP(_xlfn.XLOOKUP(G29,'ENE TECH'!$G:$G,'ENE TECH'!$B:$B),Mapping!$B:$B,Mapping!$C:$C),'Emission Factors Hub'!$C:$C,'Emission Factors Hub'!$E:$E)/Parameters!$C$2*10^3,0)</f>
        <v>70.100554392452295</v>
      </c>
      <c r="M29" s="313" t="str">
        <f t="shared" si="1"/>
        <v/>
      </c>
      <c r="R29" t="s">
        <v>366</v>
      </c>
      <c r="S29">
        <f>'City characteristics'!$C$20</f>
        <v>2019</v>
      </c>
      <c r="T29" t="str">
        <f>'ENE TECH'!$G26</f>
        <v>INDDSL</v>
      </c>
      <c r="V29" t="str">
        <f>'ENE TECH'!$G26</f>
        <v>INDDSL</v>
      </c>
      <c r="X29" t="str">
        <f t="shared" si="2"/>
        <v>INDCH4</v>
      </c>
      <c r="Y29" s="313">
        <f>_xlfn.IFNA(_xlfn.XLOOKUP(_xlfn.XLOOKUP(_xlfn.XLOOKUP(T29,'ENE TECH'!$G:$G,'ENE TECH'!$B:$B),Mapping!$B:$B,Mapping!$C:$C),'Emission Factors Hub'!$C:$C,'Emission Factors Hub'!$F:$F)/Parameters!$C$2,0)</f>
        <v>2.8434513680010401E-3</v>
      </c>
      <c r="Z29" s="313" t="str">
        <f t="shared" si="3"/>
        <v/>
      </c>
      <c r="AE29" t="s">
        <v>366</v>
      </c>
      <c r="AF29">
        <f>'City characteristics'!$C$20</f>
        <v>2019</v>
      </c>
      <c r="AG29" t="str">
        <f>'ENE TECH'!$G26</f>
        <v>INDDSL</v>
      </c>
      <c r="AI29" t="str">
        <f>'ENE TECH'!$G26</f>
        <v>INDDSL</v>
      </c>
      <c r="AK29" t="str">
        <f t="shared" si="4"/>
        <v>INDN2O</v>
      </c>
      <c r="AL29" s="313">
        <f>_xlfn.IFNA(_xlfn.XLOOKUP(_xlfn.XLOOKUP(_xlfn.XLOOKUP(AG29,'ENE TECH'!$G:$G,'ENE TECH'!$B:$B),Mapping!$B:$B,Mapping!$C:$C),'Emission Factors Hub'!$C:$C,'Emission Factors Hub'!$G:$G)/Parameters!$C$2,0)</f>
        <v>5.6869027360020798E-4</v>
      </c>
      <c r="AM29" s="313" t="str">
        <f t="shared" si="5"/>
        <v/>
      </c>
      <c r="AR29" t="s">
        <v>366</v>
      </c>
      <c r="AS29">
        <f>'City characteristics'!$C$20</f>
        <v>2019</v>
      </c>
      <c r="AT29" t="str">
        <f>'ENE TECH'!$G26</f>
        <v>INDDSL</v>
      </c>
      <c r="AV29" t="str">
        <f>'ENE TECH'!$G26</f>
        <v>INDDSL</v>
      </c>
      <c r="AX29" t="str">
        <f t="shared" si="6"/>
        <v>INDCO2e</v>
      </c>
      <c r="AY29" s="313">
        <f>L29+Y29*'Emission Factors Hub'!$E$8+AL29*'Emission Factors Hub'!$E$9</f>
        <v>70.341110378185178</v>
      </c>
      <c r="AZ29" s="313" t="str">
        <f>IFERROR(M29+Z29*'Emission Factors Hub'!$E$8+AM29*'Emission Factors Hub'!$E$9,"")</f>
        <v/>
      </c>
    </row>
    <row r="30" spans="5:52">
      <c r="E30" t="s">
        <v>366</v>
      </c>
      <c r="F30">
        <f>'City characteristics'!$C$20</f>
        <v>2019</v>
      </c>
      <c r="G30" t="str">
        <f>'ENE TECH'!$G27</f>
        <v>INDFOI</v>
      </c>
      <c r="I30" t="str">
        <f>'ENE TECH'!$G27</f>
        <v>INDFOI</v>
      </c>
      <c r="K30" t="str">
        <f t="shared" si="0"/>
        <v>INDCO2</v>
      </c>
      <c r="L30" s="313">
        <f>_xlfn.IFNA(_xlfn.XLOOKUP(_xlfn.XLOOKUP(_xlfn.XLOOKUP(G30,'ENE TECH'!$G:$G,'ENE TECH'!$B:$B),Mapping!$B:$B,Mapping!$C:$C),'Emission Factors Hub'!$C:$C,'Emission Factors Hub'!$E:$E)/Parameters!$C$2*10^3,0)</f>
        <v>71.181065912292695</v>
      </c>
      <c r="M30" s="313" t="str">
        <f t="shared" si="1"/>
        <v/>
      </c>
      <c r="R30" t="s">
        <v>366</v>
      </c>
      <c r="S30">
        <f>'City characteristics'!$C$20</f>
        <v>2019</v>
      </c>
      <c r="T30" t="str">
        <f>'ENE TECH'!$G27</f>
        <v>INDFOI</v>
      </c>
      <c r="V30" t="str">
        <f>'ENE TECH'!$G27</f>
        <v>INDFOI</v>
      </c>
      <c r="X30" t="str">
        <f t="shared" si="2"/>
        <v>INDCH4</v>
      </c>
      <c r="Y30" s="313">
        <f>_xlfn.IFNA(_xlfn.XLOOKUP(_xlfn.XLOOKUP(_xlfn.XLOOKUP(T30,'ENE TECH'!$G:$G,'ENE TECH'!$B:$B),Mapping!$B:$B,Mapping!$C:$C),'Emission Factors Hub'!$C:$C,'Emission Factors Hub'!$F:$F)/Parameters!$C$2,0)</f>
        <v>2.8434513680010401E-3</v>
      </c>
      <c r="Z30" s="313" t="str">
        <f t="shared" si="3"/>
        <v/>
      </c>
      <c r="AE30" t="s">
        <v>366</v>
      </c>
      <c r="AF30">
        <f>'City characteristics'!$C$20</f>
        <v>2019</v>
      </c>
      <c r="AG30" t="str">
        <f>'ENE TECH'!$G27</f>
        <v>INDFOI</v>
      </c>
      <c r="AI30" t="str">
        <f>'ENE TECH'!$G27</f>
        <v>INDFOI</v>
      </c>
      <c r="AK30" t="str">
        <f t="shared" si="4"/>
        <v>INDN2O</v>
      </c>
      <c r="AL30" s="313">
        <f>_xlfn.IFNA(_xlfn.XLOOKUP(_xlfn.XLOOKUP(_xlfn.XLOOKUP(AG30,'ENE TECH'!$G:$G,'ENE TECH'!$B:$B),Mapping!$B:$B,Mapping!$C:$C),'Emission Factors Hub'!$C:$C,'Emission Factors Hub'!$G:$G)/Parameters!$C$2,0)</f>
        <v>5.6869027360020798E-4</v>
      </c>
      <c r="AM30" s="313" t="str">
        <f t="shared" si="5"/>
        <v/>
      </c>
      <c r="AR30" t="s">
        <v>366</v>
      </c>
      <c r="AS30">
        <f>'City characteristics'!$C$20</f>
        <v>2019</v>
      </c>
      <c r="AT30" t="str">
        <f>'ENE TECH'!$G27</f>
        <v>INDFOI</v>
      </c>
      <c r="AV30" t="str">
        <f>'ENE TECH'!$G27</f>
        <v>INDFOI</v>
      </c>
      <c r="AX30" t="str">
        <f t="shared" si="6"/>
        <v>INDCO2e</v>
      </c>
      <c r="AY30" s="313">
        <f>L30+Y30*'Emission Factors Hub'!$E$8+AL30*'Emission Factors Hub'!$E$9</f>
        <v>71.421621898025577</v>
      </c>
      <c r="AZ30" s="313" t="str">
        <f>IFERROR(M30+Z30*'Emission Factors Hub'!$E$8+AM30*'Emission Factors Hub'!$E$9,"")</f>
        <v/>
      </c>
    </row>
    <row r="31" spans="5:52">
      <c r="E31" t="s">
        <v>366</v>
      </c>
      <c r="F31">
        <f>'City characteristics'!$C$20</f>
        <v>2019</v>
      </c>
      <c r="G31" t="str">
        <f>'ENE TECH'!$G28</f>
        <v>INDKER</v>
      </c>
      <c r="I31" t="str">
        <f>'ENE TECH'!$G28</f>
        <v>INDKER</v>
      </c>
      <c r="K31" t="str">
        <f t="shared" si="0"/>
        <v>INDCO2</v>
      </c>
      <c r="L31" s="313">
        <f>_xlfn.IFNA(_xlfn.XLOOKUP(_xlfn.XLOOKUP(_xlfn.XLOOKUP(G31,'ENE TECH'!$G:$G,'ENE TECH'!$B:$B),Mapping!$B:$B,Mapping!$C:$C),'Emission Factors Hub'!$C:$C,'Emission Factors Hub'!$E:$E)/Parameters!$C$2*10^3,0)</f>
        <v>71.275847624559404</v>
      </c>
      <c r="M31" s="313" t="str">
        <f t="shared" si="1"/>
        <v/>
      </c>
      <c r="R31" t="s">
        <v>366</v>
      </c>
      <c r="S31">
        <f>'City characteristics'!$C$20</f>
        <v>2019</v>
      </c>
      <c r="T31" t="str">
        <f>'ENE TECH'!$G28</f>
        <v>INDKER</v>
      </c>
      <c r="V31" t="str">
        <f>'ENE TECH'!$G28</f>
        <v>INDKER</v>
      </c>
      <c r="X31" t="str">
        <f t="shared" si="2"/>
        <v>INDCH4</v>
      </c>
      <c r="Y31" s="313">
        <f>_xlfn.IFNA(_xlfn.XLOOKUP(_xlfn.XLOOKUP(_xlfn.XLOOKUP(T31,'ENE TECH'!$G:$G,'ENE TECH'!$B:$B),Mapping!$B:$B,Mapping!$C:$C),'Emission Factors Hub'!$C:$C,'Emission Factors Hub'!$F:$F)/Parameters!$C$2,0)</f>
        <v>2.8434513680010401E-3</v>
      </c>
      <c r="Z31" s="313" t="str">
        <f t="shared" si="3"/>
        <v/>
      </c>
      <c r="AE31" t="s">
        <v>366</v>
      </c>
      <c r="AF31">
        <f>'City characteristics'!$C$20</f>
        <v>2019</v>
      </c>
      <c r="AG31" t="str">
        <f>'ENE TECH'!$G28</f>
        <v>INDKER</v>
      </c>
      <c r="AI31" t="str">
        <f>'ENE TECH'!$G28</f>
        <v>INDKER</v>
      </c>
      <c r="AK31" t="str">
        <f t="shared" si="4"/>
        <v>INDN2O</v>
      </c>
      <c r="AL31" s="313">
        <f>_xlfn.IFNA(_xlfn.XLOOKUP(_xlfn.XLOOKUP(_xlfn.XLOOKUP(AG31,'ENE TECH'!$G:$G,'ENE TECH'!$B:$B),Mapping!$B:$B,Mapping!$C:$C),'Emission Factors Hub'!$C:$C,'Emission Factors Hub'!$G:$G)/Parameters!$C$2,0)</f>
        <v>5.6869027360020798E-4</v>
      </c>
      <c r="AM31" s="313" t="str">
        <f t="shared" si="5"/>
        <v/>
      </c>
      <c r="AR31" t="s">
        <v>366</v>
      </c>
      <c r="AS31">
        <f>'City characteristics'!$C$20</f>
        <v>2019</v>
      </c>
      <c r="AT31" t="str">
        <f>'ENE TECH'!$G28</f>
        <v>INDKER</v>
      </c>
      <c r="AV31" t="str">
        <f>'ENE TECH'!$G28</f>
        <v>INDKER</v>
      </c>
      <c r="AX31" t="str">
        <f t="shared" si="6"/>
        <v>INDCO2e</v>
      </c>
      <c r="AY31" s="313">
        <f>L31+Y31*'Emission Factors Hub'!$E$8+AL31*'Emission Factors Hub'!$E$9</f>
        <v>71.516403610292286</v>
      </c>
      <c r="AZ31" s="313" t="str">
        <f>IFERROR(M31+Z31*'Emission Factors Hub'!$E$8+AM31*'Emission Factors Hub'!$E$9,"")</f>
        <v/>
      </c>
    </row>
    <row r="32" spans="5:52">
      <c r="E32" t="s">
        <v>366</v>
      </c>
      <c r="F32">
        <f>'City characteristics'!$C$20</f>
        <v>2019</v>
      </c>
      <c r="G32" t="str">
        <f>'ENE TECH'!$G29</f>
        <v>INDGSL</v>
      </c>
      <c r="I32" t="str">
        <f>'ENE TECH'!$G29</f>
        <v>INDGSL</v>
      </c>
      <c r="K32" t="str">
        <f t="shared" si="0"/>
        <v>INDCO2</v>
      </c>
      <c r="L32" s="313">
        <f>_xlfn.IFNA(_xlfn.XLOOKUP(_xlfn.XLOOKUP(_xlfn.XLOOKUP(G32,'ENE TECH'!$G:$G,'ENE TECH'!$B:$B),Mapping!$B:$B,Mapping!$C:$C),'Emission Factors Hub'!$C:$C,'Emission Factors Hub'!$E:$E)/Parameters!$C$2*10^3,0)</f>
        <v>66.555718353677676</v>
      </c>
      <c r="M32" s="313" t="str">
        <f t="shared" si="1"/>
        <v/>
      </c>
      <c r="R32" t="s">
        <v>366</v>
      </c>
      <c r="S32">
        <f>'City characteristics'!$C$20</f>
        <v>2019</v>
      </c>
      <c r="T32" t="str">
        <f>'ENE TECH'!$G29</f>
        <v>INDGSL</v>
      </c>
      <c r="V32" t="str">
        <f>'ENE TECH'!$G29</f>
        <v>INDGSL</v>
      </c>
      <c r="X32" t="str">
        <f t="shared" si="2"/>
        <v>INDCH4</v>
      </c>
      <c r="Y32" s="313">
        <f>_xlfn.IFNA(_xlfn.XLOOKUP(_xlfn.XLOOKUP(_xlfn.XLOOKUP(T32,'ENE TECH'!$G:$G,'ENE TECH'!$B:$B),Mapping!$B:$B,Mapping!$C:$C),'Emission Factors Hub'!$C:$C,'Emission Factors Hub'!$F:$F)/Parameters!$C$2,0)</f>
        <v>2.8434513680010401E-3</v>
      </c>
      <c r="Z32" s="313" t="str">
        <f t="shared" si="3"/>
        <v/>
      </c>
      <c r="AE32" t="s">
        <v>366</v>
      </c>
      <c r="AF32">
        <f>'City characteristics'!$C$20</f>
        <v>2019</v>
      </c>
      <c r="AG32" t="str">
        <f>'ENE TECH'!$G29</f>
        <v>INDGSL</v>
      </c>
      <c r="AI32" t="str">
        <f>'ENE TECH'!$G29</f>
        <v>INDGSL</v>
      </c>
      <c r="AK32" t="str">
        <f t="shared" si="4"/>
        <v>INDN2O</v>
      </c>
      <c r="AL32" s="313">
        <f>_xlfn.IFNA(_xlfn.XLOOKUP(_xlfn.XLOOKUP(_xlfn.XLOOKUP(AG32,'ENE TECH'!$G:$G,'ENE TECH'!$B:$B),Mapping!$B:$B,Mapping!$C:$C),'Emission Factors Hub'!$C:$C,'Emission Factors Hub'!$G:$G)/Parameters!$C$2,0)</f>
        <v>5.6869027360020798E-4</v>
      </c>
      <c r="AM32" s="313" t="str">
        <f t="shared" si="5"/>
        <v/>
      </c>
      <c r="AR32" t="s">
        <v>366</v>
      </c>
      <c r="AS32">
        <f>'City characteristics'!$C$20</f>
        <v>2019</v>
      </c>
      <c r="AT32" t="str">
        <f>'ENE TECH'!$G29</f>
        <v>INDGSL</v>
      </c>
      <c r="AV32" t="str">
        <f>'ENE TECH'!$G29</f>
        <v>INDGSL</v>
      </c>
      <c r="AX32" t="str">
        <f t="shared" si="6"/>
        <v>INDCO2e</v>
      </c>
      <c r="AY32" s="313">
        <f>L32+Y32*'Emission Factors Hub'!$E$8+AL32*'Emission Factors Hub'!$E$9</f>
        <v>66.796274339410559</v>
      </c>
      <c r="AZ32" s="313" t="str">
        <f>IFERROR(M32+Z32*'Emission Factors Hub'!$E$8+AM32*'Emission Factors Hub'!$E$9,"")</f>
        <v/>
      </c>
    </row>
    <row r="33" spans="5:52">
      <c r="E33" t="s">
        <v>366</v>
      </c>
      <c r="F33">
        <f>'City characteristics'!$C$20</f>
        <v>2019</v>
      </c>
      <c r="G33" t="str">
        <f>'ENE TECH'!$G30</f>
        <v>INDNGA</v>
      </c>
      <c r="I33" t="str">
        <f>'ENE TECH'!$G30</f>
        <v>INDNGA</v>
      </c>
      <c r="K33" t="str">
        <f t="shared" si="0"/>
        <v>INDCO2</v>
      </c>
      <c r="L33" s="313">
        <f>_xlfn.IFNA(_xlfn.XLOOKUP(_xlfn.XLOOKUP(_xlfn.XLOOKUP(G33,'ENE TECH'!$G:$G,'ENE TECH'!$B:$B),Mapping!$B:$B,Mapping!$C:$C),'Emission Factors Hub'!$C:$C,'Emission Factors Hub'!$E:$E)/Parameters!$C$2*10^3,0)</f>
        <v>50.29117652871173</v>
      </c>
      <c r="M33" s="313" t="str">
        <f t="shared" si="1"/>
        <v/>
      </c>
      <c r="R33" t="s">
        <v>366</v>
      </c>
      <c r="S33">
        <f>'City characteristics'!$C$20</f>
        <v>2019</v>
      </c>
      <c r="T33" t="str">
        <f>'ENE TECH'!$G30</f>
        <v>INDNGA</v>
      </c>
      <c r="V33" t="str">
        <f>'ENE TECH'!$G30</f>
        <v>INDNGA</v>
      </c>
      <c r="X33" t="str">
        <f t="shared" si="2"/>
        <v>INDCH4</v>
      </c>
      <c r="Y33" s="313">
        <f>_xlfn.IFNA(_xlfn.XLOOKUP(_xlfn.XLOOKUP(_xlfn.XLOOKUP(T33,'ENE TECH'!$G:$G,'ENE TECH'!$B:$B),Mapping!$B:$B,Mapping!$C:$C),'Emission Factors Hub'!$C:$C,'Emission Factors Hub'!$F:$F)/Parameters!$C$2,0)</f>
        <v>9.4781712266701337E-4</v>
      </c>
      <c r="Z33" s="313" t="str">
        <f t="shared" si="3"/>
        <v/>
      </c>
      <c r="AE33" t="s">
        <v>366</v>
      </c>
      <c r="AF33">
        <f>'City characteristics'!$C$20</f>
        <v>2019</v>
      </c>
      <c r="AG33" t="str">
        <f>'ENE TECH'!$G30</f>
        <v>INDNGA</v>
      </c>
      <c r="AI33" t="str">
        <f>'ENE TECH'!$G30</f>
        <v>INDNGA</v>
      </c>
      <c r="AK33" t="str">
        <f t="shared" si="4"/>
        <v>INDN2O</v>
      </c>
      <c r="AL33" s="313">
        <f>_xlfn.IFNA(_xlfn.XLOOKUP(_xlfn.XLOOKUP(_xlfn.XLOOKUP(AG33,'ENE TECH'!$G:$G,'ENE TECH'!$B:$B),Mapping!$B:$B,Mapping!$C:$C),'Emission Factors Hub'!$C:$C,'Emission Factors Hub'!$G:$G)/Parameters!$C$2,0)</f>
        <v>9.4781712266701334E-5</v>
      </c>
      <c r="AM33" s="313" t="str">
        <f t="shared" si="5"/>
        <v/>
      </c>
      <c r="AR33" t="s">
        <v>366</v>
      </c>
      <c r="AS33">
        <f>'City characteristics'!$C$20</f>
        <v>2019</v>
      </c>
      <c r="AT33" t="str">
        <f>'ENE TECH'!$G30</f>
        <v>INDNGA</v>
      </c>
      <c r="AV33" t="str">
        <f>'ENE TECH'!$G30</f>
        <v>INDNGA</v>
      </c>
      <c r="AX33" t="str">
        <f t="shared" si="6"/>
        <v>INDCO2e</v>
      </c>
      <c r="AY33" s="313">
        <f>L33+Y33*'Emission Factors Hub'!$E$8+AL33*'Emission Factors Hub'!$E$9</f>
        <v>50.343116907033881</v>
      </c>
      <c r="AZ33" s="313" t="str">
        <f>IFERROR(M33+Z33*'Emission Factors Hub'!$E$8+AM33*'Emission Factors Hub'!$E$9,"")</f>
        <v/>
      </c>
    </row>
    <row r="34" spans="5:52">
      <c r="E34" t="s">
        <v>366</v>
      </c>
      <c r="F34">
        <f>'City characteristics'!$C$20</f>
        <v>2019</v>
      </c>
      <c r="G34" t="str">
        <f>'ENE TECH'!$G31</f>
        <v>INDRNG</v>
      </c>
      <c r="I34" t="str">
        <f>'ENE TECH'!$G31</f>
        <v>INDRNG</v>
      </c>
      <c r="K34" t="str">
        <f t="shared" si="0"/>
        <v>INDCO2</v>
      </c>
      <c r="L34" s="313">
        <f>_xlfn.IFNA(_xlfn.XLOOKUP(_xlfn.XLOOKUP(_xlfn.XLOOKUP(G34,'ENE TECH'!$G:$G,'ENE TECH'!$B:$B),Mapping!$B:$B,Mapping!$C:$C),'Emission Factors Hub'!$C:$C,'Emission Factors Hub'!$E:$E)/Parameters!$C$2*10^3,0)</f>
        <v>49.352837577271387</v>
      </c>
      <c r="M34" s="313" t="str">
        <f t="shared" si="1"/>
        <v/>
      </c>
      <c r="R34" t="s">
        <v>366</v>
      </c>
      <c r="S34">
        <f>'City characteristics'!$C$20</f>
        <v>2019</v>
      </c>
      <c r="T34" t="str">
        <f>'ENE TECH'!$G31</f>
        <v>INDRNG</v>
      </c>
      <c r="V34" t="str">
        <f>'ENE TECH'!$G31</f>
        <v>INDRNG</v>
      </c>
      <c r="X34" t="str">
        <f t="shared" si="2"/>
        <v>INDCH4</v>
      </c>
      <c r="Y34" s="313">
        <f>_xlfn.IFNA(_xlfn.XLOOKUP(_xlfn.XLOOKUP(_xlfn.XLOOKUP(T34,'ENE TECH'!$G:$G,'ENE TECH'!$B:$B),Mapping!$B:$B,Mapping!$C:$C),'Emission Factors Hub'!$C:$C,'Emission Factors Hub'!$F:$F)/Parameters!$C$2,0)</f>
        <v>3.0330147925344427E-3</v>
      </c>
      <c r="Z34" s="313" t="str">
        <f t="shared" si="3"/>
        <v/>
      </c>
      <c r="AE34" t="s">
        <v>366</v>
      </c>
      <c r="AF34">
        <f>'City characteristics'!$C$20</f>
        <v>2019</v>
      </c>
      <c r="AG34" t="str">
        <f>'ENE TECH'!$G31</f>
        <v>INDRNG</v>
      </c>
      <c r="AI34" t="str">
        <f>'ENE TECH'!$G31</f>
        <v>INDRNG</v>
      </c>
      <c r="AK34" t="str">
        <f t="shared" si="4"/>
        <v>INDN2O</v>
      </c>
      <c r="AL34" s="313">
        <f>_xlfn.IFNA(_xlfn.XLOOKUP(_xlfn.XLOOKUP(_xlfn.XLOOKUP(AG34,'ENE TECH'!$G:$G,'ENE TECH'!$B:$B),Mapping!$B:$B,Mapping!$C:$C),'Emission Factors Hub'!$C:$C,'Emission Factors Hub'!$G:$G)/Parameters!$C$2,0)</f>
        <v>5.9712478728021843E-4</v>
      </c>
      <c r="AM34" s="313" t="str">
        <f t="shared" si="5"/>
        <v/>
      </c>
      <c r="AR34" t="s">
        <v>366</v>
      </c>
      <c r="AS34">
        <f>'City characteristics'!$C$20</f>
        <v>2019</v>
      </c>
      <c r="AT34" t="str">
        <f>'ENE TECH'!$G31</f>
        <v>INDRNG</v>
      </c>
      <c r="AV34" t="str">
        <f>'ENE TECH'!$G31</f>
        <v>INDRNG</v>
      </c>
      <c r="AX34" t="str">
        <f t="shared" si="6"/>
        <v>INDCO2e</v>
      </c>
      <c r="AY34" s="313">
        <f>L34+Y34*'Emission Factors Hub'!$E$8+AL34*'Emission Factors Hub'!$E$9</f>
        <v>49.60660613369425</v>
      </c>
      <c r="AZ34" s="313" t="str">
        <f>IFERROR(M34+Z34*'Emission Factors Hub'!$E$8+AM34*'Emission Factors Hub'!$E$9,"")</f>
        <v/>
      </c>
    </row>
    <row r="35" spans="5:52">
      <c r="E35" t="s">
        <v>366</v>
      </c>
      <c r="F35">
        <f>'City characteristics'!$C$20</f>
        <v>2019</v>
      </c>
      <c r="G35" t="str">
        <f>'ENE TECH'!$G32</f>
        <v>INDPCK</v>
      </c>
      <c r="I35" t="str">
        <f>'ENE TECH'!$G32</f>
        <v>INDPCK</v>
      </c>
      <c r="K35" t="str">
        <f t="shared" si="0"/>
        <v>INDCO2</v>
      </c>
      <c r="L35" s="313">
        <f>_xlfn.IFNA(_xlfn.XLOOKUP(_xlfn.XLOOKUP(_xlfn.XLOOKUP(G35,'ENE TECH'!$G:$G,'ENE TECH'!$B:$B),Mapping!$B:$B,Mapping!$C:$C),'Emission Factors Hub'!$C:$C,'Emission Factors Hub'!$E:$E)/Parameters!$C$2*10^3,0)</f>
        <v>97.065951532328825</v>
      </c>
      <c r="M35" s="313" t="str">
        <f t="shared" si="1"/>
        <v/>
      </c>
      <c r="R35" t="s">
        <v>366</v>
      </c>
      <c r="S35">
        <f>'City characteristics'!$C$20</f>
        <v>2019</v>
      </c>
      <c r="T35" t="str">
        <f>'ENE TECH'!$G32</f>
        <v>INDPCK</v>
      </c>
      <c r="V35" t="str">
        <f>'ENE TECH'!$G32</f>
        <v>INDPCK</v>
      </c>
      <c r="X35" t="str">
        <f t="shared" si="2"/>
        <v>INDCH4</v>
      </c>
      <c r="Y35" s="313">
        <f>_xlfn.IFNA(_xlfn.XLOOKUP(_xlfn.XLOOKUP(_xlfn.XLOOKUP(T35,'ENE TECH'!$G:$G,'ENE TECH'!$B:$B),Mapping!$B:$B,Mapping!$C:$C),'Emission Factors Hub'!$C:$C,'Emission Factors Hub'!$F:$F)/Parameters!$C$2,0)</f>
        <v>3.0330147925344428E-2</v>
      </c>
      <c r="Z35" s="313" t="str">
        <f t="shared" si="3"/>
        <v/>
      </c>
      <c r="AE35" t="s">
        <v>366</v>
      </c>
      <c r="AF35">
        <f>'City characteristics'!$C$20</f>
        <v>2019</v>
      </c>
      <c r="AG35" t="str">
        <f>'ENE TECH'!$G32</f>
        <v>INDPCK</v>
      </c>
      <c r="AI35" t="str">
        <f>'ENE TECH'!$G32</f>
        <v>INDPCK</v>
      </c>
      <c r="AK35" t="str">
        <f t="shared" si="4"/>
        <v>INDN2O</v>
      </c>
      <c r="AL35" s="313">
        <f>_xlfn.IFNA(_xlfn.XLOOKUP(_xlfn.XLOOKUP(_xlfn.XLOOKUP(AG35,'ENE TECH'!$G:$G,'ENE TECH'!$B:$B),Mapping!$B:$B,Mapping!$C:$C),'Emission Factors Hub'!$C:$C,'Emission Factors Hub'!$G:$G)/Parameters!$C$2,0)</f>
        <v>3.9808319152014561E-3</v>
      </c>
      <c r="AM35" s="313" t="str">
        <f t="shared" si="5"/>
        <v/>
      </c>
      <c r="AR35" t="s">
        <v>366</v>
      </c>
      <c r="AS35">
        <f>'City characteristics'!$C$20</f>
        <v>2019</v>
      </c>
      <c r="AT35" t="str">
        <f>'ENE TECH'!$G32</f>
        <v>INDPCK</v>
      </c>
      <c r="AV35" t="str">
        <f>'ENE TECH'!$G32</f>
        <v>INDPCK</v>
      </c>
      <c r="AX35" t="str">
        <f t="shared" si="6"/>
        <v>INDCO2e</v>
      </c>
      <c r="AY35" s="313">
        <f>L35+Y35*'Emission Factors Hub'!$E$8+AL35*'Emission Factors Hub'!$E$9</f>
        <v>99.01049314119247</v>
      </c>
      <c r="AZ35" s="313" t="str">
        <f>IFERROR(M35+Z35*'Emission Factors Hub'!$E$8+AM35*'Emission Factors Hub'!$E$9,"")</f>
        <v/>
      </c>
    </row>
    <row r="36" spans="5:52">
      <c r="E36" t="s">
        <v>366</v>
      </c>
      <c r="F36">
        <f>'City characteristics'!$C$20</f>
        <v>2019</v>
      </c>
      <c r="G36" t="str">
        <f>'ENE TECH'!$G33</f>
        <v>INDCOA</v>
      </c>
      <c r="I36" t="str">
        <f>'ENE TECH'!$G33</f>
        <v>INDCOA</v>
      </c>
      <c r="K36" t="str">
        <f t="shared" si="0"/>
        <v>INDCO2</v>
      </c>
      <c r="L36" s="313">
        <f>_xlfn.IFNA(_xlfn.XLOOKUP(_xlfn.XLOOKUP(_xlfn.XLOOKUP(G36,'ENE TECH'!$G:$G,'ENE TECH'!$B:$B),Mapping!$B:$B,Mapping!$C:$C),'Emission Factors Hub'!$C:$C,'Emission Factors Hub'!$E:$E)/Parameters!$C$2*10^3,0)</f>
        <v>88.412381202378995</v>
      </c>
      <c r="M36" s="313" t="str">
        <f t="shared" si="1"/>
        <v/>
      </c>
      <c r="R36" t="s">
        <v>366</v>
      </c>
      <c r="S36">
        <f>'City characteristics'!$C$20</f>
        <v>2019</v>
      </c>
      <c r="T36" t="str">
        <f>'ENE TECH'!$G33</f>
        <v>INDCOA</v>
      </c>
      <c r="V36" t="str">
        <f>'ENE TECH'!$G33</f>
        <v>INDCOA</v>
      </c>
      <c r="X36" t="str">
        <f t="shared" si="2"/>
        <v>INDCH4</v>
      </c>
      <c r="Y36" s="313">
        <f>_xlfn.IFNA(_xlfn.XLOOKUP(_xlfn.XLOOKUP(_xlfn.XLOOKUP(T36,'ENE TECH'!$G:$G,'ENE TECH'!$B:$B),Mapping!$B:$B,Mapping!$C:$C),'Emission Factors Hub'!$C:$C,'Emission Factors Hub'!$F:$F)/Parameters!$C$2,0)</f>
        <v>1.0425988349337147E-2</v>
      </c>
      <c r="Z36" s="313" t="str">
        <f t="shared" si="3"/>
        <v/>
      </c>
      <c r="AE36" t="s">
        <v>366</v>
      </c>
      <c r="AF36">
        <f>'City characteristics'!$C$20</f>
        <v>2019</v>
      </c>
      <c r="AG36" t="str">
        <f>'ENE TECH'!$G33</f>
        <v>INDCOA</v>
      </c>
      <c r="AI36" t="str">
        <f>'ENE TECH'!$G33</f>
        <v>INDCOA</v>
      </c>
      <c r="AK36" t="str">
        <f t="shared" si="4"/>
        <v>INDN2O</v>
      </c>
      <c r="AL36" s="313">
        <f>_xlfn.IFNA(_xlfn.XLOOKUP(_xlfn.XLOOKUP(_xlfn.XLOOKUP(AG36,'ENE TECH'!$G:$G,'ENE TECH'!$B:$B),Mapping!$B:$B,Mapping!$C:$C),'Emission Factors Hub'!$C:$C,'Emission Factors Hub'!$G:$G)/Parameters!$C$2,0)</f>
        <v>1.5165073962672213E-3</v>
      </c>
      <c r="AM36" s="313" t="str">
        <f t="shared" si="5"/>
        <v/>
      </c>
      <c r="AR36" t="s">
        <v>366</v>
      </c>
      <c r="AS36">
        <f>'City characteristics'!$C$20</f>
        <v>2019</v>
      </c>
      <c r="AT36" t="str">
        <f>'ENE TECH'!$G33</f>
        <v>INDCOA</v>
      </c>
      <c r="AV36" t="str">
        <f>'ENE TECH'!$G33</f>
        <v>INDCOA</v>
      </c>
      <c r="AX36" t="str">
        <f t="shared" si="6"/>
        <v>INDCO2e</v>
      </c>
      <c r="AY36" s="313">
        <f>L36+Y36*'Emission Factors Hub'!$E$8+AL36*'Emission Factors Hub'!$E$9</f>
        <v>89.124950115200051</v>
      </c>
      <c r="AZ36" s="313" t="str">
        <f>IFERROR(M36+Z36*'Emission Factors Hub'!$E$8+AM36*'Emission Factors Hub'!$E$9,"")</f>
        <v/>
      </c>
    </row>
    <row r="37" spans="5:52">
      <c r="E37" t="s">
        <v>366</v>
      </c>
      <c r="F37">
        <f>'City characteristics'!$C$20</f>
        <v>2019</v>
      </c>
      <c r="G37" t="str">
        <f>'ENE TECH'!$G34</f>
        <v>INDELC</v>
      </c>
      <c r="I37" t="str">
        <f>'ENE TECH'!$G34</f>
        <v>INDELC</v>
      </c>
      <c r="K37" t="str">
        <f t="shared" si="0"/>
        <v>INDCO2</v>
      </c>
      <c r="L37" s="313">
        <f>_xlfn.IFNA(_xlfn.XLOOKUP(_xlfn.XLOOKUP(_xlfn.XLOOKUP(G37,'ENE TECH'!$G:$G,'ENE TECH'!$B:$B),Mapping!$B:$B,Mapping!$C:$C),'Emission Factors Hub'!$C:$C,'Emission Factors Hub'!$E:$E)/Parameters!$C$2*10^3,0)</f>
        <v>0</v>
      </c>
      <c r="M37" s="313" t="str">
        <f t="shared" si="1"/>
        <v/>
      </c>
      <c r="R37" t="s">
        <v>366</v>
      </c>
      <c r="S37">
        <f>'City characteristics'!$C$20</f>
        <v>2019</v>
      </c>
      <c r="T37" t="str">
        <f>'ENE TECH'!$G34</f>
        <v>INDELC</v>
      </c>
      <c r="V37" t="str">
        <f>'ENE TECH'!$G34</f>
        <v>INDELC</v>
      </c>
      <c r="X37" t="str">
        <f t="shared" si="2"/>
        <v>INDCH4</v>
      </c>
      <c r="Y37" s="313">
        <f>_xlfn.IFNA(_xlfn.XLOOKUP(_xlfn.XLOOKUP(_xlfn.XLOOKUP(T37,'ENE TECH'!$G:$G,'ENE TECH'!$B:$B),Mapping!$B:$B,Mapping!$C:$C),'Emission Factors Hub'!$C:$C,'Emission Factors Hub'!$F:$F)/Parameters!$C$2,0)</f>
        <v>0</v>
      </c>
      <c r="Z37" s="313" t="str">
        <f t="shared" si="3"/>
        <v/>
      </c>
      <c r="AE37" t="s">
        <v>366</v>
      </c>
      <c r="AF37">
        <f>'City characteristics'!$C$20</f>
        <v>2019</v>
      </c>
      <c r="AG37" t="str">
        <f>'ENE TECH'!$G34</f>
        <v>INDELC</v>
      </c>
      <c r="AI37" t="str">
        <f>'ENE TECH'!$G34</f>
        <v>INDELC</v>
      </c>
      <c r="AK37" t="str">
        <f t="shared" si="4"/>
        <v>INDN2O</v>
      </c>
      <c r="AL37" s="313">
        <f>_xlfn.IFNA(_xlfn.XLOOKUP(_xlfn.XLOOKUP(_xlfn.XLOOKUP(AG37,'ENE TECH'!$G:$G,'ENE TECH'!$B:$B),Mapping!$B:$B,Mapping!$C:$C),'Emission Factors Hub'!$C:$C,'Emission Factors Hub'!$G:$G)/Parameters!$C$2,0)</f>
        <v>0</v>
      </c>
      <c r="AM37" s="313" t="str">
        <f t="shared" si="5"/>
        <v/>
      </c>
      <c r="AR37" t="s">
        <v>366</v>
      </c>
      <c r="AS37">
        <f>'City characteristics'!$C$20</f>
        <v>2019</v>
      </c>
      <c r="AT37" t="str">
        <f>'ENE TECH'!$G34</f>
        <v>INDELC</v>
      </c>
      <c r="AV37" t="str">
        <f>'ENE TECH'!$G34</f>
        <v>INDELC</v>
      </c>
      <c r="AX37" t="str">
        <f t="shared" si="6"/>
        <v>INDCO2e</v>
      </c>
      <c r="AY37" s="313">
        <f>L37+Y37*'Emission Factors Hub'!$E$8+AL37*'Emission Factors Hub'!$E$9</f>
        <v>0</v>
      </c>
      <c r="AZ37" s="313" t="str">
        <f>IFERROR(M37+Z37*'Emission Factors Hub'!$E$8+AM37*'Emission Factors Hub'!$E$9,"")</f>
        <v/>
      </c>
    </row>
    <row r="38" spans="5:52">
      <c r="E38" t="s">
        <v>366</v>
      </c>
      <c r="F38">
        <f>'City characteristics'!$C$20</f>
        <v>2019</v>
      </c>
      <c r="G38" t="str">
        <f>'ENE TECH'!$G35</f>
        <v>INDH2G</v>
      </c>
      <c r="I38" t="str">
        <f>'ENE TECH'!$G35</f>
        <v>INDH2G</v>
      </c>
      <c r="K38" t="str">
        <f t="shared" ref="K38:K69" si="7">LEFT(G38,3)&amp;K$2</f>
        <v>INDCO2</v>
      </c>
      <c r="L38" s="313">
        <f>_xlfn.IFNA(_xlfn.XLOOKUP(_xlfn.XLOOKUP(_xlfn.XLOOKUP(G38,'ENE TECH'!$G:$G,'ENE TECH'!$B:$B),Mapping!$B:$B,Mapping!$C:$C),'Emission Factors Hub'!$C:$C,'Emission Factors Hub'!$E:$E)/Parameters!$C$2*10^3,0)</f>
        <v>0</v>
      </c>
      <c r="M38" s="313" t="str">
        <f t="shared" ref="M38:M69" si="8">IF(LEFT(I38,3)="ELC",L38,"")</f>
        <v/>
      </c>
      <c r="R38" t="s">
        <v>366</v>
      </c>
      <c r="S38">
        <f>'City characteristics'!$C$20</f>
        <v>2019</v>
      </c>
      <c r="T38" t="str">
        <f>'ENE TECH'!$G35</f>
        <v>INDH2G</v>
      </c>
      <c r="V38" t="str">
        <f>'ENE TECH'!$G35</f>
        <v>INDH2G</v>
      </c>
      <c r="X38" t="str">
        <f t="shared" ref="X38:X69" si="9">LEFT(T38,3)&amp;X$2</f>
        <v>INDCH4</v>
      </c>
      <c r="Y38" s="313">
        <f>_xlfn.IFNA(_xlfn.XLOOKUP(_xlfn.XLOOKUP(_xlfn.XLOOKUP(T38,'ENE TECH'!$G:$G,'ENE TECH'!$B:$B),Mapping!$B:$B,Mapping!$C:$C),'Emission Factors Hub'!$C:$C,'Emission Factors Hub'!$F:$F)/Parameters!$C$2,0)</f>
        <v>0</v>
      </c>
      <c r="Z38" s="313" t="str">
        <f t="shared" ref="Z38:Z69" si="10">IF(LEFT(V38,3)="ELC",Y38,"")</f>
        <v/>
      </c>
      <c r="AE38" t="s">
        <v>366</v>
      </c>
      <c r="AF38">
        <f>'City characteristics'!$C$20</f>
        <v>2019</v>
      </c>
      <c r="AG38" t="str">
        <f>'ENE TECH'!$G35</f>
        <v>INDH2G</v>
      </c>
      <c r="AI38" t="str">
        <f>'ENE TECH'!$G35</f>
        <v>INDH2G</v>
      </c>
      <c r="AK38" t="str">
        <f t="shared" ref="AK38:AK69" si="11">LEFT(AG38,3)&amp;AK$2</f>
        <v>INDN2O</v>
      </c>
      <c r="AL38" s="313">
        <f>_xlfn.IFNA(_xlfn.XLOOKUP(_xlfn.XLOOKUP(_xlfn.XLOOKUP(AG38,'ENE TECH'!$G:$G,'ENE TECH'!$B:$B),Mapping!$B:$B,Mapping!$C:$C),'Emission Factors Hub'!$C:$C,'Emission Factors Hub'!$G:$G)/Parameters!$C$2,0)</f>
        <v>0</v>
      </c>
      <c r="AM38" s="313" t="str">
        <f t="shared" ref="AM38:AM69" si="12">IF(LEFT(AI38,3)="ELC",AL38,"")</f>
        <v/>
      </c>
      <c r="AR38" t="s">
        <v>366</v>
      </c>
      <c r="AS38">
        <f>'City characteristics'!$C$20</f>
        <v>2019</v>
      </c>
      <c r="AT38" t="str">
        <f>'ENE TECH'!$G35</f>
        <v>INDH2G</v>
      </c>
      <c r="AV38" t="str">
        <f>'ENE TECH'!$G35</f>
        <v>INDH2G</v>
      </c>
      <c r="AX38" t="str">
        <f t="shared" ref="AX38:AX69" si="13">LEFT(AT38,3)&amp;AX$2</f>
        <v>INDCO2e</v>
      </c>
      <c r="AY38" s="313">
        <f>L38+Y38*'Emission Factors Hub'!$E$8+AL38*'Emission Factors Hub'!$E$9</f>
        <v>0</v>
      </c>
      <c r="AZ38" s="313" t="str">
        <f>IFERROR(M38+Z38*'Emission Factors Hub'!$E$8+AM38*'Emission Factors Hub'!$E$9,"")</f>
        <v/>
      </c>
    </row>
    <row r="39" spans="5:52">
      <c r="E39" t="s">
        <v>366</v>
      </c>
      <c r="F39">
        <f>'City characteristics'!$C$20</f>
        <v>2019</v>
      </c>
      <c r="G39" t="str">
        <f>'ENE TECH'!$G36</f>
        <v>INDSTM</v>
      </c>
      <c r="I39" t="str">
        <f>'ENE TECH'!$G36</f>
        <v>INDSTM</v>
      </c>
      <c r="K39" t="str">
        <f t="shared" si="7"/>
        <v>INDCO2</v>
      </c>
      <c r="L39" s="313">
        <f>_xlfn.IFNA(_xlfn.XLOOKUP(_xlfn.XLOOKUP(_xlfn.XLOOKUP(G39,'ENE TECH'!$G:$G,'ENE TECH'!$B:$B),Mapping!$B:$B,Mapping!$C:$C),'Emission Factors Hub'!$C:$C,'Emission Factors Hub'!$E:$E)/Parameters!$C$2*10^3,0)</f>
        <v>0</v>
      </c>
      <c r="M39" s="313" t="str">
        <f t="shared" si="8"/>
        <v/>
      </c>
      <c r="R39" t="s">
        <v>366</v>
      </c>
      <c r="S39">
        <f>'City characteristics'!$C$20</f>
        <v>2019</v>
      </c>
      <c r="T39" t="str">
        <f>'ENE TECH'!$G36</f>
        <v>INDSTM</v>
      </c>
      <c r="V39" t="str">
        <f>'ENE TECH'!$G36</f>
        <v>INDSTM</v>
      </c>
      <c r="X39" t="str">
        <f t="shared" si="9"/>
        <v>INDCH4</v>
      </c>
      <c r="Y39" s="313">
        <f>_xlfn.IFNA(_xlfn.XLOOKUP(_xlfn.XLOOKUP(_xlfn.XLOOKUP(T39,'ENE TECH'!$G:$G,'ENE TECH'!$B:$B),Mapping!$B:$B,Mapping!$C:$C),'Emission Factors Hub'!$C:$C,'Emission Factors Hub'!$F:$F)/Parameters!$C$2,0)</f>
        <v>0</v>
      </c>
      <c r="Z39" s="313" t="str">
        <f t="shared" si="10"/>
        <v/>
      </c>
      <c r="AE39" t="s">
        <v>366</v>
      </c>
      <c r="AF39">
        <f>'City characteristics'!$C$20</f>
        <v>2019</v>
      </c>
      <c r="AG39" t="str">
        <f>'ENE TECH'!$G36</f>
        <v>INDSTM</v>
      </c>
      <c r="AI39" t="str">
        <f>'ENE TECH'!$G36</f>
        <v>INDSTM</v>
      </c>
      <c r="AK39" t="str">
        <f t="shared" si="11"/>
        <v>INDN2O</v>
      </c>
      <c r="AL39" s="313">
        <f>_xlfn.IFNA(_xlfn.XLOOKUP(_xlfn.XLOOKUP(_xlfn.XLOOKUP(AG39,'ENE TECH'!$G:$G,'ENE TECH'!$B:$B),Mapping!$B:$B,Mapping!$C:$C),'Emission Factors Hub'!$C:$C,'Emission Factors Hub'!$G:$G)/Parameters!$C$2,0)</f>
        <v>0</v>
      </c>
      <c r="AM39" s="313" t="str">
        <f t="shared" si="12"/>
        <v/>
      </c>
      <c r="AR39" t="s">
        <v>366</v>
      </c>
      <c r="AS39">
        <f>'City characteristics'!$C$20</f>
        <v>2019</v>
      </c>
      <c r="AT39" t="str">
        <f>'ENE TECH'!$G36</f>
        <v>INDSTM</v>
      </c>
      <c r="AV39" t="str">
        <f>'ENE TECH'!$G36</f>
        <v>INDSTM</v>
      </c>
      <c r="AX39" t="str">
        <f t="shared" si="13"/>
        <v>INDCO2e</v>
      </c>
      <c r="AY39" s="313">
        <f>L39+Y39*'Emission Factors Hub'!$E$8+AL39*'Emission Factors Hub'!$E$9</f>
        <v>0</v>
      </c>
      <c r="AZ39" s="313" t="str">
        <f>IFERROR(M39+Z39*'Emission Factors Hub'!$E$8+AM39*'Emission Factors Hub'!$E$9,"")</f>
        <v/>
      </c>
    </row>
    <row r="40" spans="5:52">
      <c r="E40" t="s">
        <v>366</v>
      </c>
      <c r="F40">
        <f>'City characteristics'!$C$20</f>
        <v>2019</v>
      </c>
      <c r="G40" t="str">
        <f>'ENE TECH'!$G37</f>
        <v>INDSOL</v>
      </c>
      <c r="I40" t="str">
        <f>'ENE TECH'!$G37</f>
        <v>INDSOL</v>
      </c>
      <c r="K40" t="str">
        <f t="shared" si="7"/>
        <v>INDCO2</v>
      </c>
      <c r="L40" s="313">
        <f>_xlfn.IFNA(_xlfn.XLOOKUP(_xlfn.XLOOKUP(_xlfn.XLOOKUP(G40,'ENE TECH'!$G:$G,'ENE TECH'!$B:$B),Mapping!$B:$B,Mapping!$C:$C),'Emission Factors Hub'!$C:$C,'Emission Factors Hub'!$E:$E)/Parameters!$C$2*10^3,0)</f>
        <v>0</v>
      </c>
      <c r="M40" s="313" t="str">
        <f t="shared" si="8"/>
        <v/>
      </c>
      <c r="R40" t="s">
        <v>366</v>
      </c>
      <c r="S40">
        <f>'City characteristics'!$C$20</f>
        <v>2019</v>
      </c>
      <c r="T40" t="str">
        <f>'ENE TECH'!$G37</f>
        <v>INDSOL</v>
      </c>
      <c r="V40" t="str">
        <f>'ENE TECH'!$G37</f>
        <v>INDSOL</v>
      </c>
      <c r="X40" t="str">
        <f t="shared" si="9"/>
        <v>INDCH4</v>
      </c>
      <c r="Y40" s="313">
        <f>_xlfn.IFNA(_xlfn.XLOOKUP(_xlfn.XLOOKUP(_xlfn.XLOOKUP(T40,'ENE TECH'!$G:$G,'ENE TECH'!$B:$B),Mapping!$B:$B,Mapping!$C:$C),'Emission Factors Hub'!$C:$C,'Emission Factors Hub'!$F:$F)/Parameters!$C$2,0)</f>
        <v>0</v>
      </c>
      <c r="Z40" s="313" t="str">
        <f t="shared" si="10"/>
        <v/>
      </c>
      <c r="AE40" t="s">
        <v>366</v>
      </c>
      <c r="AF40">
        <f>'City characteristics'!$C$20</f>
        <v>2019</v>
      </c>
      <c r="AG40" t="str">
        <f>'ENE TECH'!$G37</f>
        <v>INDSOL</v>
      </c>
      <c r="AI40" t="str">
        <f>'ENE TECH'!$G37</f>
        <v>INDSOL</v>
      </c>
      <c r="AK40" t="str">
        <f t="shared" si="11"/>
        <v>INDN2O</v>
      </c>
      <c r="AL40" s="313">
        <f>_xlfn.IFNA(_xlfn.XLOOKUP(_xlfn.XLOOKUP(_xlfn.XLOOKUP(AG40,'ENE TECH'!$G:$G,'ENE TECH'!$B:$B),Mapping!$B:$B,Mapping!$C:$C),'Emission Factors Hub'!$C:$C,'Emission Factors Hub'!$G:$G)/Parameters!$C$2,0)</f>
        <v>0</v>
      </c>
      <c r="AM40" s="313" t="str">
        <f t="shared" si="12"/>
        <v/>
      </c>
      <c r="AR40" t="s">
        <v>366</v>
      </c>
      <c r="AS40">
        <f>'City characteristics'!$C$20</f>
        <v>2019</v>
      </c>
      <c r="AT40" t="str">
        <f>'ENE TECH'!$G37</f>
        <v>INDSOL</v>
      </c>
      <c r="AV40" t="str">
        <f>'ENE TECH'!$G37</f>
        <v>INDSOL</v>
      </c>
      <c r="AX40" t="str">
        <f t="shared" si="13"/>
        <v>INDCO2e</v>
      </c>
      <c r="AY40" s="313">
        <f>L40+Y40*'Emission Factors Hub'!$E$8+AL40*'Emission Factors Hub'!$E$9</f>
        <v>0</v>
      </c>
      <c r="AZ40" s="313" t="str">
        <f>IFERROR(M40+Z40*'Emission Factors Hub'!$E$8+AM40*'Emission Factors Hub'!$E$9,"")</f>
        <v/>
      </c>
    </row>
    <row r="41" spans="5:52">
      <c r="E41" t="s">
        <v>366</v>
      </c>
      <c r="F41">
        <f>'City characteristics'!$C$20</f>
        <v>2019</v>
      </c>
      <c r="G41" t="str">
        <f>'ENE TECH'!$G38</f>
        <v>INDWND</v>
      </c>
      <c r="I41" t="str">
        <f>'ENE TECH'!$G38</f>
        <v>INDWND</v>
      </c>
      <c r="K41" t="str">
        <f t="shared" si="7"/>
        <v>INDCO2</v>
      </c>
      <c r="L41" s="313">
        <f>_xlfn.IFNA(_xlfn.XLOOKUP(_xlfn.XLOOKUP(_xlfn.XLOOKUP(G41,'ENE TECH'!$G:$G,'ENE TECH'!$B:$B),Mapping!$B:$B,Mapping!$C:$C),'Emission Factors Hub'!$C:$C,'Emission Factors Hub'!$E:$E)/Parameters!$C$2*10^3,0)</f>
        <v>0</v>
      </c>
      <c r="M41" s="313" t="str">
        <f t="shared" si="8"/>
        <v/>
      </c>
      <c r="R41" t="s">
        <v>366</v>
      </c>
      <c r="S41">
        <f>'City characteristics'!$C$20</f>
        <v>2019</v>
      </c>
      <c r="T41" t="str">
        <f>'ENE TECH'!$G38</f>
        <v>INDWND</v>
      </c>
      <c r="V41" t="str">
        <f>'ENE TECH'!$G38</f>
        <v>INDWND</v>
      </c>
      <c r="X41" t="str">
        <f t="shared" si="9"/>
        <v>INDCH4</v>
      </c>
      <c r="Y41" s="313">
        <f>_xlfn.IFNA(_xlfn.XLOOKUP(_xlfn.XLOOKUP(_xlfn.XLOOKUP(T41,'ENE TECH'!$G:$G,'ENE TECH'!$B:$B),Mapping!$B:$B,Mapping!$C:$C),'Emission Factors Hub'!$C:$C,'Emission Factors Hub'!$F:$F)/Parameters!$C$2,0)</f>
        <v>0</v>
      </c>
      <c r="Z41" s="313" t="str">
        <f t="shared" si="10"/>
        <v/>
      </c>
      <c r="AE41" t="s">
        <v>366</v>
      </c>
      <c r="AF41">
        <f>'City characteristics'!$C$20</f>
        <v>2019</v>
      </c>
      <c r="AG41" t="str">
        <f>'ENE TECH'!$G38</f>
        <v>INDWND</v>
      </c>
      <c r="AI41" t="str">
        <f>'ENE TECH'!$G38</f>
        <v>INDWND</v>
      </c>
      <c r="AK41" t="str">
        <f t="shared" si="11"/>
        <v>INDN2O</v>
      </c>
      <c r="AL41" s="313">
        <f>_xlfn.IFNA(_xlfn.XLOOKUP(_xlfn.XLOOKUP(_xlfn.XLOOKUP(AG41,'ENE TECH'!$G:$G,'ENE TECH'!$B:$B),Mapping!$B:$B,Mapping!$C:$C),'Emission Factors Hub'!$C:$C,'Emission Factors Hub'!$G:$G)/Parameters!$C$2,0)</f>
        <v>0</v>
      </c>
      <c r="AM41" s="313" t="str">
        <f t="shared" si="12"/>
        <v/>
      </c>
      <c r="AR41" t="s">
        <v>366</v>
      </c>
      <c r="AS41">
        <f>'City characteristics'!$C$20</f>
        <v>2019</v>
      </c>
      <c r="AT41" t="str">
        <f>'ENE TECH'!$G38</f>
        <v>INDWND</v>
      </c>
      <c r="AV41" t="str">
        <f>'ENE TECH'!$G38</f>
        <v>INDWND</v>
      </c>
      <c r="AX41" t="str">
        <f t="shared" si="13"/>
        <v>INDCO2e</v>
      </c>
      <c r="AY41" s="313">
        <f>L41+Y41*'Emission Factors Hub'!$E$8+AL41*'Emission Factors Hub'!$E$9</f>
        <v>0</v>
      </c>
      <c r="AZ41" s="313" t="str">
        <f>IFERROR(M41+Z41*'Emission Factors Hub'!$E$8+AM41*'Emission Factors Hub'!$E$9,"")</f>
        <v/>
      </c>
    </row>
    <row r="42" spans="5:52">
      <c r="E42" t="s">
        <v>366</v>
      </c>
      <c r="F42">
        <f>'City characteristics'!$C$20</f>
        <v>2019</v>
      </c>
      <c r="G42" t="str">
        <f>'ENE TECH'!$G39</f>
        <v>TRALPG</v>
      </c>
      <c r="I42" t="str">
        <f>'ENE TECH'!$G39</f>
        <v>TRALPG</v>
      </c>
      <c r="K42" t="str">
        <f t="shared" si="7"/>
        <v>TRACO2</v>
      </c>
      <c r="L42" s="313">
        <f>_xlfn.IFNA(_xlfn.XLOOKUP(_xlfn.XLOOKUP(_xlfn.XLOOKUP(G42,'ENE TECH'!$G:$G,'ENE TECH'!$B:$B),Mapping!$B:$B,Mapping!$C:$C),'Emission Factors Hub'!$C:$C,'Emission Factors Hub'!$E:$E)/Parameters!$C$2*10^3,0)</f>
        <v>58.489794639781394</v>
      </c>
      <c r="M42" s="313" t="str">
        <f t="shared" si="8"/>
        <v/>
      </c>
      <c r="R42" t="s">
        <v>366</v>
      </c>
      <c r="S42">
        <f>'City characteristics'!$C$20</f>
        <v>2019</v>
      </c>
      <c r="T42" t="str">
        <f>'ENE TECH'!$G39</f>
        <v>TRALPG</v>
      </c>
      <c r="V42" t="str">
        <f>'ENE TECH'!$G39</f>
        <v>TRALPG</v>
      </c>
      <c r="X42" t="str">
        <f t="shared" si="9"/>
        <v>TRACH4</v>
      </c>
      <c r="Y42" s="313">
        <f>_xlfn.IFNA(_xlfn.XLOOKUP(_xlfn.XLOOKUP(_xlfn.XLOOKUP(T42,'ENE TECH'!$G:$G,'ENE TECH'!$B:$B),Mapping!$B:$B,Mapping!$C:$C),'Emission Factors Hub'!$C:$C,'Emission Factors Hub'!$F:$F)/Parameters!$C$2,0)</f>
        <v>2.8434513680010401E-3</v>
      </c>
      <c r="Z42" s="313" t="str">
        <f t="shared" si="10"/>
        <v/>
      </c>
      <c r="AE42" t="s">
        <v>366</v>
      </c>
      <c r="AF42">
        <f>'City characteristics'!$C$20</f>
        <v>2019</v>
      </c>
      <c r="AG42" t="str">
        <f>'ENE TECH'!$G39</f>
        <v>TRALPG</v>
      </c>
      <c r="AI42" t="str">
        <f>'ENE TECH'!$G39</f>
        <v>TRALPG</v>
      </c>
      <c r="AK42" t="str">
        <f t="shared" si="11"/>
        <v>TRAN2O</v>
      </c>
      <c r="AL42" s="313">
        <f>_xlfn.IFNA(_xlfn.XLOOKUP(_xlfn.XLOOKUP(_xlfn.XLOOKUP(AG42,'ENE TECH'!$G:$G,'ENE TECH'!$B:$B),Mapping!$B:$B,Mapping!$C:$C),'Emission Factors Hub'!$C:$C,'Emission Factors Hub'!$G:$G)/Parameters!$C$2,0)</f>
        <v>5.6869027360020798E-4</v>
      </c>
      <c r="AM42" s="313" t="str">
        <f t="shared" si="12"/>
        <v/>
      </c>
      <c r="AR42" t="s">
        <v>366</v>
      </c>
      <c r="AS42">
        <f>'City characteristics'!$C$20</f>
        <v>2019</v>
      </c>
      <c r="AT42" t="str">
        <f>'ENE TECH'!$G39</f>
        <v>TRALPG</v>
      </c>
      <c r="AV42" t="str">
        <f>'ENE TECH'!$G39</f>
        <v>TRALPG</v>
      </c>
      <c r="AX42" t="str">
        <f t="shared" si="13"/>
        <v>TRACO2e</v>
      </c>
      <c r="AY42" s="313">
        <f>L42+Y42*'Emission Factors Hub'!$E$8+AL42*'Emission Factors Hub'!$E$9</f>
        <v>58.730350625514284</v>
      </c>
      <c r="AZ42" s="313" t="str">
        <f>IFERROR(M42+Z42*'Emission Factors Hub'!$E$8+AM42*'Emission Factors Hub'!$E$9,"")</f>
        <v/>
      </c>
    </row>
    <row r="43" spans="5:52">
      <c r="E43" t="s">
        <v>366</v>
      </c>
      <c r="F43">
        <f>'City characteristics'!$C$20</f>
        <v>2019</v>
      </c>
      <c r="G43" t="str">
        <f>'ENE TECH'!$G40</f>
        <v>TRAETH</v>
      </c>
      <c r="I43" t="str">
        <f>'ENE TECH'!$G40</f>
        <v>TRAETH</v>
      </c>
      <c r="K43" t="str">
        <f t="shared" si="7"/>
        <v>TRACO2</v>
      </c>
      <c r="L43" s="313">
        <f>_xlfn.IFNA(_xlfn.XLOOKUP(_xlfn.XLOOKUP(_xlfn.XLOOKUP(G43,'ENE TECH'!$G:$G,'ENE TECH'!$B:$B),Mapping!$B:$B,Mapping!$C:$C),'Emission Factors Hub'!$C:$C,'Emission Factors Hub'!$E:$E)/Parameters!$C$2*10^3,0)</f>
        <v>64.868603875330393</v>
      </c>
      <c r="M43" s="313" t="str">
        <f t="shared" si="8"/>
        <v/>
      </c>
      <c r="R43" t="s">
        <v>366</v>
      </c>
      <c r="S43">
        <f>'City characteristics'!$C$20</f>
        <v>2019</v>
      </c>
      <c r="T43" t="str">
        <f>'ENE TECH'!$G40</f>
        <v>TRAETH</v>
      </c>
      <c r="V43" t="str">
        <f>'ENE TECH'!$G40</f>
        <v>TRAETH</v>
      </c>
      <c r="X43" t="str">
        <f t="shared" si="9"/>
        <v>TRACH4</v>
      </c>
      <c r="Y43" s="313">
        <f>_xlfn.IFNA(_xlfn.XLOOKUP(_xlfn.XLOOKUP(_xlfn.XLOOKUP(T43,'ENE TECH'!$G:$G,'ENE TECH'!$B:$B),Mapping!$B:$B,Mapping!$C:$C),'Emission Factors Hub'!$C:$C,'Emission Factors Hub'!$F:$F)/Parameters!$C$2,0)</f>
        <v>1.0425988349337147E-3</v>
      </c>
      <c r="Z43" s="313" t="str">
        <f t="shared" si="10"/>
        <v/>
      </c>
      <c r="AE43" t="s">
        <v>366</v>
      </c>
      <c r="AF43">
        <f>'City characteristics'!$C$20</f>
        <v>2019</v>
      </c>
      <c r="AG43" t="str">
        <f>'ENE TECH'!$G40</f>
        <v>TRAETH</v>
      </c>
      <c r="AI43" t="str">
        <f>'ENE TECH'!$G40</f>
        <v>TRAETH</v>
      </c>
      <c r="AK43" t="str">
        <f t="shared" si="11"/>
        <v>TRAN2O</v>
      </c>
      <c r="AL43" s="313">
        <f>_xlfn.IFNA(_xlfn.XLOOKUP(_xlfn.XLOOKUP(_xlfn.XLOOKUP(AG43,'ENE TECH'!$G:$G,'ENE TECH'!$B:$B),Mapping!$B:$B,Mapping!$C:$C),'Emission Factors Hub'!$C:$C,'Emission Factors Hub'!$G:$G)/Parameters!$C$2,0)</f>
        <v>1.0425988349337147E-4</v>
      </c>
      <c r="AM43" s="313" t="str">
        <f t="shared" si="12"/>
        <v/>
      </c>
      <c r="AR43" t="s">
        <v>366</v>
      </c>
      <c r="AS43">
        <f>'City characteristics'!$C$20</f>
        <v>2019</v>
      </c>
      <c r="AT43" t="str">
        <f>'ENE TECH'!$G40</f>
        <v>TRAETH</v>
      </c>
      <c r="AV43" t="str">
        <f>'ENE TECH'!$G40</f>
        <v>TRAETH</v>
      </c>
      <c r="AX43" t="str">
        <f t="shared" si="13"/>
        <v>TRACO2e</v>
      </c>
      <c r="AY43" s="313">
        <f>L43+Y43*'Emission Factors Hub'!$E$8+AL43*'Emission Factors Hub'!$E$9</f>
        <v>64.925738291484762</v>
      </c>
      <c r="AZ43" s="313" t="str">
        <f>IFERROR(M43+Z43*'Emission Factors Hub'!$E$8+AM43*'Emission Factors Hub'!$E$9,"")</f>
        <v/>
      </c>
    </row>
    <row r="44" spans="5:52">
      <c r="E44" t="s">
        <v>366</v>
      </c>
      <c r="F44">
        <f>'City characteristics'!$C$20</f>
        <v>2019</v>
      </c>
      <c r="G44" t="str">
        <f>'ENE TECH'!$G41</f>
        <v>TRAGSL</v>
      </c>
      <c r="I44" t="str">
        <f>'ENE TECH'!$G41</f>
        <v>TRAGSL</v>
      </c>
      <c r="K44" t="str">
        <f t="shared" si="7"/>
        <v>TRACO2</v>
      </c>
      <c r="L44" s="313">
        <f>_xlfn.IFNA(_xlfn.XLOOKUP(_xlfn.XLOOKUP(_xlfn.XLOOKUP(G44,'ENE TECH'!$G:$G,'ENE TECH'!$B:$B),Mapping!$B:$B,Mapping!$C:$C),'Emission Factors Hub'!$C:$C,'Emission Factors Hub'!$E:$E)/Parameters!$C$2*10^3,0)</f>
        <v>66.555718353677676</v>
      </c>
      <c r="M44" s="313" t="str">
        <f t="shared" si="8"/>
        <v/>
      </c>
      <c r="R44" t="s">
        <v>366</v>
      </c>
      <c r="S44">
        <f>'City characteristics'!$C$20</f>
        <v>2019</v>
      </c>
      <c r="T44" t="str">
        <f>'ENE TECH'!$G41</f>
        <v>TRAGSL</v>
      </c>
      <c r="V44" t="str">
        <f>'ENE TECH'!$G41</f>
        <v>TRAGSL</v>
      </c>
      <c r="X44" t="str">
        <f t="shared" si="9"/>
        <v>TRACH4</v>
      </c>
      <c r="Y44" s="313">
        <f>_xlfn.IFNA(_xlfn.XLOOKUP(_xlfn.XLOOKUP(_xlfn.XLOOKUP(T44,'ENE TECH'!$G:$G,'ENE TECH'!$B:$B),Mapping!$B:$B,Mapping!$C:$C),'Emission Factors Hub'!$C:$C,'Emission Factors Hub'!$F:$F)/Parameters!$C$2,0)</f>
        <v>2.8434513680010401E-3</v>
      </c>
      <c r="Z44" s="313" t="str">
        <f t="shared" si="10"/>
        <v/>
      </c>
      <c r="AE44" t="s">
        <v>366</v>
      </c>
      <c r="AF44">
        <f>'City characteristics'!$C$20</f>
        <v>2019</v>
      </c>
      <c r="AG44" t="str">
        <f>'ENE TECH'!$G41</f>
        <v>TRAGSL</v>
      </c>
      <c r="AI44" t="str">
        <f>'ENE TECH'!$G41</f>
        <v>TRAGSL</v>
      </c>
      <c r="AK44" t="str">
        <f t="shared" si="11"/>
        <v>TRAN2O</v>
      </c>
      <c r="AL44" s="313">
        <f>_xlfn.IFNA(_xlfn.XLOOKUP(_xlfn.XLOOKUP(_xlfn.XLOOKUP(AG44,'ENE TECH'!$G:$G,'ENE TECH'!$B:$B),Mapping!$B:$B,Mapping!$C:$C),'Emission Factors Hub'!$C:$C,'Emission Factors Hub'!$G:$G)/Parameters!$C$2,0)</f>
        <v>5.6869027360020798E-4</v>
      </c>
      <c r="AM44" s="313" t="str">
        <f t="shared" si="12"/>
        <v/>
      </c>
      <c r="AR44" t="s">
        <v>366</v>
      </c>
      <c r="AS44">
        <f>'City characteristics'!$C$20</f>
        <v>2019</v>
      </c>
      <c r="AT44" t="str">
        <f>'ENE TECH'!$G41</f>
        <v>TRAGSL</v>
      </c>
      <c r="AV44" t="str">
        <f>'ENE TECH'!$G41</f>
        <v>TRAGSL</v>
      </c>
      <c r="AX44" t="str">
        <f t="shared" si="13"/>
        <v>TRACO2e</v>
      </c>
      <c r="AY44" s="313">
        <f>L44+Y44*'Emission Factors Hub'!$E$8+AL44*'Emission Factors Hub'!$E$9</f>
        <v>66.796274339410559</v>
      </c>
      <c r="AZ44" s="313" t="str">
        <f>IFERROR(M44+Z44*'Emission Factors Hub'!$E$8+AM44*'Emission Factors Hub'!$E$9,"")</f>
        <v/>
      </c>
    </row>
    <row r="45" spans="5:52">
      <c r="E45" t="s">
        <v>366</v>
      </c>
      <c r="F45">
        <f>'City characteristics'!$C$20</f>
        <v>2019</v>
      </c>
      <c r="G45" t="str">
        <f>'ENE TECH'!$G42</f>
        <v>TRAAGA</v>
      </c>
      <c r="I45" t="str">
        <f>'ENE TECH'!$G42</f>
        <v>TRAAGA</v>
      </c>
      <c r="K45" t="str">
        <f t="shared" si="7"/>
        <v>TRACO2</v>
      </c>
      <c r="L45" s="313">
        <f>_xlfn.IFNA(_xlfn.XLOOKUP(_xlfn.XLOOKUP(_xlfn.XLOOKUP(G45,'ENE TECH'!$G:$G,'ENE TECH'!$B:$B),Mapping!$B:$B,Mapping!$C:$C),'Emission Factors Hub'!$C:$C,'Emission Factors Hub'!$E:$E)/Parameters!$C$2*10^3,0)</f>
        <v>65.636335744690669</v>
      </c>
      <c r="M45" s="313" t="str">
        <f t="shared" si="8"/>
        <v/>
      </c>
      <c r="R45" t="s">
        <v>366</v>
      </c>
      <c r="S45">
        <f>'City characteristics'!$C$20</f>
        <v>2019</v>
      </c>
      <c r="T45" t="str">
        <f>'ENE TECH'!$G42</f>
        <v>TRAAGA</v>
      </c>
      <c r="V45" t="str">
        <f>'ENE TECH'!$G42</f>
        <v>TRAAGA</v>
      </c>
      <c r="X45" t="str">
        <f t="shared" si="9"/>
        <v>TRACH4</v>
      </c>
      <c r="Y45" s="313">
        <f>_xlfn.IFNA(_xlfn.XLOOKUP(_xlfn.XLOOKUP(_xlfn.XLOOKUP(T45,'ENE TECH'!$G:$G,'ENE TECH'!$B:$B),Mapping!$B:$B,Mapping!$C:$C),'Emission Factors Hub'!$C:$C,'Emission Factors Hub'!$F:$F)/Parameters!$C$2,0)</f>
        <v>2.8434513680010401E-3</v>
      </c>
      <c r="Z45" s="313" t="str">
        <f t="shared" si="10"/>
        <v/>
      </c>
      <c r="AE45" t="s">
        <v>366</v>
      </c>
      <c r="AF45">
        <f>'City characteristics'!$C$20</f>
        <v>2019</v>
      </c>
      <c r="AG45" t="str">
        <f>'ENE TECH'!$G42</f>
        <v>TRAAGA</v>
      </c>
      <c r="AI45" t="str">
        <f>'ENE TECH'!$G42</f>
        <v>TRAAGA</v>
      </c>
      <c r="AK45" t="str">
        <f t="shared" si="11"/>
        <v>TRAN2O</v>
      </c>
      <c r="AL45" s="313">
        <f>_xlfn.IFNA(_xlfn.XLOOKUP(_xlfn.XLOOKUP(_xlfn.XLOOKUP(AG45,'ENE TECH'!$G:$G,'ENE TECH'!$B:$B),Mapping!$B:$B,Mapping!$C:$C),'Emission Factors Hub'!$C:$C,'Emission Factors Hub'!$G:$G)/Parameters!$C$2,0)</f>
        <v>5.6869027360020798E-4</v>
      </c>
      <c r="AM45" s="313" t="str">
        <f t="shared" si="12"/>
        <v/>
      </c>
      <c r="AR45" t="s">
        <v>366</v>
      </c>
      <c r="AS45">
        <f>'City characteristics'!$C$20</f>
        <v>2019</v>
      </c>
      <c r="AT45" t="str">
        <f>'ENE TECH'!$G42</f>
        <v>TRAAGA</v>
      </c>
      <c r="AV45" t="str">
        <f>'ENE TECH'!$G42</f>
        <v>TRAAGA</v>
      </c>
      <c r="AX45" t="str">
        <f t="shared" si="13"/>
        <v>TRACO2e</v>
      </c>
      <c r="AY45" s="313">
        <f>L45+Y45*'Emission Factors Hub'!$E$8+AL45*'Emission Factors Hub'!$E$9</f>
        <v>65.876891730423552</v>
      </c>
      <c r="AZ45" s="313" t="str">
        <f>IFERROR(M45+Z45*'Emission Factors Hub'!$E$8+AM45*'Emission Factors Hub'!$E$9,"")</f>
        <v/>
      </c>
    </row>
    <row r="46" spans="5:52">
      <c r="E46" t="s">
        <v>366</v>
      </c>
      <c r="F46">
        <f>'City characteristics'!$C$20</f>
        <v>2019</v>
      </c>
      <c r="G46" t="str">
        <f>'ENE TECH'!$G43</f>
        <v>TRAATF</v>
      </c>
      <c r="I46" t="str">
        <f>'ENE TECH'!$G43</f>
        <v>TRAATF</v>
      </c>
      <c r="K46" t="str">
        <f t="shared" si="7"/>
        <v>TRACO2</v>
      </c>
      <c r="L46" s="313">
        <f>_xlfn.IFNA(_xlfn.XLOOKUP(_xlfn.XLOOKUP(_xlfn.XLOOKUP(G46,'ENE TECH'!$G:$G,'ENE TECH'!$B:$B),Mapping!$B:$B,Mapping!$C:$C),'Emission Factors Hub'!$C:$C,'Emission Factors Hub'!$E:$E)/Parameters!$C$2*10^3,0)</f>
        <v>68.451352599011713</v>
      </c>
      <c r="M46" s="313" t="str">
        <f t="shared" si="8"/>
        <v/>
      </c>
      <c r="R46" t="s">
        <v>366</v>
      </c>
      <c r="S46">
        <f>'City characteristics'!$C$20</f>
        <v>2019</v>
      </c>
      <c r="T46" t="str">
        <f>'ENE TECH'!$G43</f>
        <v>TRAATF</v>
      </c>
      <c r="V46" t="str">
        <f>'ENE TECH'!$G43</f>
        <v>TRAATF</v>
      </c>
      <c r="X46" t="str">
        <f t="shared" si="9"/>
        <v>TRACH4</v>
      </c>
      <c r="Y46" s="313">
        <f>_xlfn.IFNA(_xlfn.XLOOKUP(_xlfn.XLOOKUP(_xlfn.XLOOKUP(T46,'ENE TECH'!$G:$G,'ENE TECH'!$B:$B),Mapping!$B:$B,Mapping!$C:$C),'Emission Factors Hub'!$C:$C,'Emission Factors Hub'!$F:$F)/Parameters!$C$2,0)</f>
        <v>2.8434513680010401E-3</v>
      </c>
      <c r="Z46" s="313" t="str">
        <f t="shared" si="10"/>
        <v/>
      </c>
      <c r="AE46" t="s">
        <v>366</v>
      </c>
      <c r="AF46">
        <f>'City characteristics'!$C$20</f>
        <v>2019</v>
      </c>
      <c r="AG46" t="str">
        <f>'ENE TECH'!$G43</f>
        <v>TRAATF</v>
      </c>
      <c r="AI46" t="str">
        <f>'ENE TECH'!$G43</f>
        <v>TRAATF</v>
      </c>
      <c r="AK46" t="str">
        <f t="shared" si="11"/>
        <v>TRAN2O</v>
      </c>
      <c r="AL46" s="313">
        <f>_xlfn.IFNA(_xlfn.XLOOKUP(_xlfn.XLOOKUP(_xlfn.XLOOKUP(AG46,'ENE TECH'!$G:$G,'ENE TECH'!$B:$B),Mapping!$B:$B,Mapping!$C:$C),'Emission Factors Hub'!$C:$C,'Emission Factors Hub'!$G:$G)/Parameters!$C$2,0)</f>
        <v>5.6869027360020798E-4</v>
      </c>
      <c r="AM46" s="313" t="str">
        <f t="shared" si="12"/>
        <v/>
      </c>
      <c r="AR46" t="s">
        <v>366</v>
      </c>
      <c r="AS46">
        <f>'City characteristics'!$C$20</f>
        <v>2019</v>
      </c>
      <c r="AT46" t="str">
        <f>'ENE TECH'!$G43</f>
        <v>TRAATF</v>
      </c>
      <c r="AV46" t="str">
        <f>'ENE TECH'!$G43</f>
        <v>TRAATF</v>
      </c>
      <c r="AX46" t="str">
        <f t="shared" si="13"/>
        <v>TRACO2e</v>
      </c>
      <c r="AY46" s="313">
        <f>L46+Y46*'Emission Factors Hub'!$E$8+AL46*'Emission Factors Hub'!$E$9</f>
        <v>68.691908584744596</v>
      </c>
      <c r="AZ46" s="313" t="str">
        <f>IFERROR(M46+Z46*'Emission Factors Hub'!$E$8+AM46*'Emission Factors Hub'!$E$9,"")</f>
        <v/>
      </c>
    </row>
    <row r="47" spans="5:52">
      <c r="E47" t="s">
        <v>366</v>
      </c>
      <c r="F47">
        <f>'City characteristics'!$C$20</f>
        <v>2019</v>
      </c>
      <c r="G47" t="str">
        <f>'ENE TECH'!$G44</f>
        <v>TRASAF</v>
      </c>
      <c r="I47" t="str">
        <f>'ENE TECH'!$G44</f>
        <v>TRASAF</v>
      </c>
      <c r="K47" t="str">
        <f t="shared" si="7"/>
        <v>TRACO2</v>
      </c>
      <c r="L47" s="313">
        <f>_xlfn.IFNA(_xlfn.XLOOKUP(_xlfn.XLOOKUP(_xlfn.XLOOKUP(G47,'ENE TECH'!$G:$G,'ENE TECH'!$B:$B),Mapping!$B:$B,Mapping!$C:$C),'Emission Factors Hub'!$C:$C,'Emission Factors Hub'!$E:$E)/Parameters!$C$2*10^3,0)</f>
        <v>69.986816337732265</v>
      </c>
      <c r="M47" s="313" t="str">
        <f t="shared" si="8"/>
        <v/>
      </c>
      <c r="R47" t="s">
        <v>366</v>
      </c>
      <c r="S47">
        <f>'City characteristics'!$C$20</f>
        <v>2019</v>
      </c>
      <c r="T47" t="str">
        <f>'ENE TECH'!$G44</f>
        <v>TRASAF</v>
      </c>
      <c r="V47" t="str">
        <f>'ENE TECH'!$G44</f>
        <v>TRASAF</v>
      </c>
      <c r="X47" t="str">
        <f t="shared" si="9"/>
        <v>TRACH4</v>
      </c>
      <c r="Y47" s="313">
        <f>_xlfn.IFNA(_xlfn.XLOOKUP(_xlfn.XLOOKUP(_xlfn.XLOOKUP(T47,'ENE TECH'!$G:$G,'ENE TECH'!$B:$B),Mapping!$B:$B,Mapping!$C:$C),'Emission Factors Hub'!$C:$C,'Emission Factors Hub'!$F:$F)/Parameters!$C$2,0)</f>
        <v>1.0425988349337147E-3</v>
      </c>
      <c r="Z47" s="313" t="str">
        <f t="shared" si="10"/>
        <v/>
      </c>
      <c r="AE47" t="s">
        <v>366</v>
      </c>
      <c r="AF47">
        <f>'City characteristics'!$C$20</f>
        <v>2019</v>
      </c>
      <c r="AG47" t="str">
        <f>'ENE TECH'!$G44</f>
        <v>TRASAF</v>
      </c>
      <c r="AI47" t="str">
        <f>'ENE TECH'!$G44</f>
        <v>TRASAF</v>
      </c>
      <c r="AK47" t="str">
        <f t="shared" si="11"/>
        <v>TRAN2O</v>
      </c>
      <c r="AL47" s="313">
        <f>_xlfn.IFNA(_xlfn.XLOOKUP(_xlfn.XLOOKUP(_xlfn.XLOOKUP(AG47,'ENE TECH'!$G:$G,'ENE TECH'!$B:$B),Mapping!$B:$B,Mapping!$C:$C),'Emission Factors Hub'!$C:$C,'Emission Factors Hub'!$G:$G)/Parameters!$C$2,0)</f>
        <v>1.0425988349337147E-4</v>
      </c>
      <c r="AM47" s="313" t="str">
        <f t="shared" si="12"/>
        <v/>
      </c>
      <c r="AR47" t="s">
        <v>366</v>
      </c>
      <c r="AS47">
        <f>'City characteristics'!$C$20</f>
        <v>2019</v>
      </c>
      <c r="AT47" t="str">
        <f>'ENE TECH'!$G44</f>
        <v>TRASAF</v>
      </c>
      <c r="AV47" t="str">
        <f>'ENE TECH'!$G44</f>
        <v>TRASAF</v>
      </c>
      <c r="AX47" t="str">
        <f t="shared" si="13"/>
        <v>TRACO2e</v>
      </c>
      <c r="AY47" s="313">
        <f>L47+Y47*'Emission Factors Hub'!$E$8+AL47*'Emission Factors Hub'!$E$9</f>
        <v>70.043950753886634</v>
      </c>
      <c r="AZ47" s="313" t="str">
        <f>IFERROR(M47+Z47*'Emission Factors Hub'!$E$8+AM47*'Emission Factors Hub'!$E$9,"")</f>
        <v/>
      </c>
    </row>
    <row r="48" spans="5:52">
      <c r="E48" t="s">
        <v>366</v>
      </c>
      <c r="F48">
        <f>'City characteristics'!$C$20</f>
        <v>2019</v>
      </c>
      <c r="G48" t="str">
        <f>'ENE TECH'!$G45</f>
        <v>TRADSL</v>
      </c>
      <c r="I48" t="str">
        <f>'ENE TECH'!$G45</f>
        <v>TRADSL</v>
      </c>
      <c r="K48" t="str">
        <f t="shared" si="7"/>
        <v>TRACO2</v>
      </c>
      <c r="L48" s="313">
        <f>_xlfn.IFNA(_xlfn.XLOOKUP(_xlfn.XLOOKUP(_xlfn.XLOOKUP(G48,'ENE TECH'!$G:$G,'ENE TECH'!$B:$B),Mapping!$B:$B,Mapping!$C:$C),'Emission Factors Hub'!$C:$C,'Emission Factors Hub'!$E:$E)/Parameters!$C$2*10^3,0)</f>
        <v>70.100554392452295</v>
      </c>
      <c r="M48" s="313" t="str">
        <f t="shared" si="8"/>
        <v/>
      </c>
      <c r="R48" t="s">
        <v>366</v>
      </c>
      <c r="S48">
        <f>'City characteristics'!$C$20</f>
        <v>2019</v>
      </c>
      <c r="T48" t="str">
        <f>'ENE TECH'!$G45</f>
        <v>TRADSL</v>
      </c>
      <c r="V48" t="str">
        <f>'ENE TECH'!$G45</f>
        <v>TRADSL</v>
      </c>
      <c r="X48" t="str">
        <f t="shared" si="9"/>
        <v>TRACH4</v>
      </c>
      <c r="Y48" s="313">
        <f>_xlfn.IFNA(_xlfn.XLOOKUP(_xlfn.XLOOKUP(_xlfn.XLOOKUP(T48,'ENE TECH'!$G:$G,'ENE TECH'!$B:$B),Mapping!$B:$B,Mapping!$C:$C),'Emission Factors Hub'!$C:$C,'Emission Factors Hub'!$F:$F)/Parameters!$C$2,0)</f>
        <v>2.8434513680010401E-3</v>
      </c>
      <c r="Z48" s="313" t="str">
        <f t="shared" si="10"/>
        <v/>
      </c>
      <c r="AE48" t="s">
        <v>366</v>
      </c>
      <c r="AF48">
        <f>'City characteristics'!$C$20</f>
        <v>2019</v>
      </c>
      <c r="AG48" t="str">
        <f>'ENE TECH'!$G45</f>
        <v>TRADSL</v>
      </c>
      <c r="AI48" t="str">
        <f>'ENE TECH'!$G45</f>
        <v>TRADSL</v>
      </c>
      <c r="AK48" t="str">
        <f t="shared" si="11"/>
        <v>TRAN2O</v>
      </c>
      <c r="AL48" s="313">
        <f>_xlfn.IFNA(_xlfn.XLOOKUP(_xlfn.XLOOKUP(_xlfn.XLOOKUP(AG48,'ENE TECH'!$G:$G,'ENE TECH'!$B:$B),Mapping!$B:$B,Mapping!$C:$C),'Emission Factors Hub'!$C:$C,'Emission Factors Hub'!$G:$G)/Parameters!$C$2,0)</f>
        <v>5.6869027360020798E-4</v>
      </c>
      <c r="AM48" s="313" t="str">
        <f t="shared" si="12"/>
        <v/>
      </c>
      <c r="AR48" t="s">
        <v>366</v>
      </c>
      <c r="AS48">
        <f>'City characteristics'!$C$20</f>
        <v>2019</v>
      </c>
      <c r="AT48" t="str">
        <f>'ENE TECH'!$G45</f>
        <v>TRADSL</v>
      </c>
      <c r="AV48" t="str">
        <f>'ENE TECH'!$G45</f>
        <v>TRADSL</v>
      </c>
      <c r="AX48" t="str">
        <f t="shared" si="13"/>
        <v>TRACO2e</v>
      </c>
      <c r="AY48" s="313">
        <f>L48+Y48*'Emission Factors Hub'!$E$8+AL48*'Emission Factors Hub'!$E$9</f>
        <v>70.341110378185178</v>
      </c>
      <c r="AZ48" s="313" t="str">
        <f>IFERROR(M48+Z48*'Emission Factors Hub'!$E$8+AM48*'Emission Factors Hub'!$E$9,"")</f>
        <v/>
      </c>
    </row>
    <row r="49" spans="1:52">
      <c r="E49" t="s">
        <v>366</v>
      </c>
      <c r="F49">
        <f>'City characteristics'!$C$20</f>
        <v>2019</v>
      </c>
      <c r="G49" t="str">
        <f>'ENE TECH'!$G46</f>
        <v>TRARDS</v>
      </c>
      <c r="I49" t="str">
        <f>'ENE TECH'!$G46</f>
        <v>TRARDS</v>
      </c>
      <c r="K49" t="str">
        <f t="shared" si="7"/>
        <v>TRACO2</v>
      </c>
      <c r="L49" s="313">
        <f>_xlfn.IFNA(_xlfn.XLOOKUP(_xlfn.XLOOKUP(_xlfn.XLOOKUP(G49,'ENE TECH'!$G:$G,'ENE TECH'!$B:$B),Mapping!$B:$B,Mapping!$C:$C),'Emission Factors Hub'!$C:$C,'Emission Factors Hub'!$E:$E)/Parameters!$C$2*10^3,0)</f>
        <v>69.986816337732265</v>
      </c>
      <c r="M49" s="313" t="str">
        <f t="shared" si="8"/>
        <v/>
      </c>
      <c r="R49" t="s">
        <v>366</v>
      </c>
      <c r="S49">
        <f>'City characteristics'!$C$20</f>
        <v>2019</v>
      </c>
      <c r="T49" t="str">
        <f>'ENE TECH'!$G46</f>
        <v>TRARDS</v>
      </c>
      <c r="V49" t="str">
        <f>'ENE TECH'!$G46</f>
        <v>TRARDS</v>
      </c>
      <c r="X49" t="str">
        <f t="shared" si="9"/>
        <v>TRACH4</v>
      </c>
      <c r="Y49" s="313">
        <f>_xlfn.IFNA(_xlfn.XLOOKUP(_xlfn.XLOOKUP(_xlfn.XLOOKUP(T49,'ENE TECH'!$G:$G,'ENE TECH'!$B:$B),Mapping!$B:$B,Mapping!$C:$C),'Emission Factors Hub'!$C:$C,'Emission Factors Hub'!$F:$F)/Parameters!$C$2,0)</f>
        <v>1.0425988349337147E-3</v>
      </c>
      <c r="Z49" s="313" t="str">
        <f t="shared" si="10"/>
        <v/>
      </c>
      <c r="AE49" t="s">
        <v>366</v>
      </c>
      <c r="AF49">
        <f>'City characteristics'!$C$20</f>
        <v>2019</v>
      </c>
      <c r="AG49" t="str">
        <f>'ENE TECH'!$G46</f>
        <v>TRARDS</v>
      </c>
      <c r="AI49" t="str">
        <f>'ENE TECH'!$G46</f>
        <v>TRARDS</v>
      </c>
      <c r="AK49" t="str">
        <f t="shared" si="11"/>
        <v>TRAN2O</v>
      </c>
      <c r="AL49" s="313">
        <f>_xlfn.IFNA(_xlfn.XLOOKUP(_xlfn.XLOOKUP(_xlfn.XLOOKUP(AG49,'ENE TECH'!$G:$G,'ENE TECH'!$B:$B),Mapping!$B:$B,Mapping!$C:$C),'Emission Factors Hub'!$C:$C,'Emission Factors Hub'!$G:$G)/Parameters!$C$2,0)</f>
        <v>1.0425988349337147E-4</v>
      </c>
      <c r="AM49" s="313" t="str">
        <f t="shared" si="12"/>
        <v/>
      </c>
      <c r="AR49" t="s">
        <v>366</v>
      </c>
      <c r="AS49">
        <f>'City characteristics'!$C$20</f>
        <v>2019</v>
      </c>
      <c r="AT49" t="str">
        <f>'ENE TECH'!$G46</f>
        <v>TRARDS</v>
      </c>
      <c r="AV49" t="str">
        <f>'ENE TECH'!$G46</f>
        <v>TRARDS</v>
      </c>
      <c r="AX49" t="str">
        <f t="shared" si="13"/>
        <v>TRACO2e</v>
      </c>
      <c r="AY49" s="313">
        <f>L49+Y49*'Emission Factors Hub'!$E$8+AL49*'Emission Factors Hub'!$E$9</f>
        <v>70.043950753886634</v>
      </c>
      <c r="AZ49" s="313" t="str">
        <f>IFERROR(M49+Z49*'Emission Factors Hub'!$E$8+AM49*'Emission Factors Hub'!$E$9,"")</f>
        <v/>
      </c>
    </row>
    <row r="50" spans="1:52">
      <c r="E50" t="s">
        <v>366</v>
      </c>
      <c r="F50">
        <f>'City characteristics'!$C$20</f>
        <v>2019</v>
      </c>
      <c r="G50" t="str">
        <f>'ENE TECH'!$G47</f>
        <v>TRABDS</v>
      </c>
      <c r="I50" t="str">
        <f>'ENE TECH'!$G47</f>
        <v>TRABDS</v>
      </c>
      <c r="K50" t="str">
        <f t="shared" si="7"/>
        <v>TRACO2</v>
      </c>
      <c r="L50" s="313">
        <f>_xlfn.IFNA(_xlfn.XLOOKUP(_xlfn.XLOOKUP(_xlfn.XLOOKUP(G50,'ENE TECH'!$G:$G,'ENE TECH'!$B:$B),Mapping!$B:$B,Mapping!$C:$C),'Emission Factors Hub'!$C:$C,'Emission Factors Hub'!$E:$E)/Parameters!$C$2*10^3,0)</f>
        <v>69.986816337732265</v>
      </c>
      <c r="M50" s="313" t="str">
        <f t="shared" si="8"/>
        <v/>
      </c>
      <c r="R50" t="s">
        <v>366</v>
      </c>
      <c r="S50">
        <f>'City characteristics'!$C$20</f>
        <v>2019</v>
      </c>
      <c r="T50" t="str">
        <f>'ENE TECH'!$G47</f>
        <v>TRABDS</v>
      </c>
      <c r="V50" t="str">
        <f>'ENE TECH'!$G47</f>
        <v>TRABDS</v>
      </c>
      <c r="X50" t="str">
        <f t="shared" si="9"/>
        <v>TRACH4</v>
      </c>
      <c r="Y50" s="313">
        <f>_xlfn.IFNA(_xlfn.XLOOKUP(_xlfn.XLOOKUP(_xlfn.XLOOKUP(T50,'ENE TECH'!$G:$G,'ENE TECH'!$B:$B),Mapping!$B:$B,Mapping!$C:$C),'Emission Factors Hub'!$C:$C,'Emission Factors Hub'!$F:$F)/Parameters!$C$2,0)</f>
        <v>1.0425988349337147E-3</v>
      </c>
      <c r="Z50" s="313" t="str">
        <f t="shared" si="10"/>
        <v/>
      </c>
      <c r="AE50" t="s">
        <v>366</v>
      </c>
      <c r="AF50">
        <f>'City characteristics'!$C$20</f>
        <v>2019</v>
      </c>
      <c r="AG50" t="str">
        <f>'ENE TECH'!$G47</f>
        <v>TRABDS</v>
      </c>
      <c r="AI50" t="str">
        <f>'ENE TECH'!$G47</f>
        <v>TRABDS</v>
      </c>
      <c r="AK50" t="str">
        <f t="shared" si="11"/>
        <v>TRAN2O</v>
      </c>
      <c r="AL50" s="313">
        <f>_xlfn.IFNA(_xlfn.XLOOKUP(_xlfn.XLOOKUP(_xlfn.XLOOKUP(AG50,'ENE TECH'!$G:$G,'ENE TECH'!$B:$B),Mapping!$B:$B,Mapping!$C:$C),'Emission Factors Hub'!$C:$C,'Emission Factors Hub'!$G:$G)/Parameters!$C$2,0)</f>
        <v>1.0425988349337147E-4</v>
      </c>
      <c r="AM50" s="313" t="str">
        <f t="shared" si="12"/>
        <v/>
      </c>
      <c r="AR50" t="s">
        <v>366</v>
      </c>
      <c r="AS50">
        <f>'City characteristics'!$C$20</f>
        <v>2019</v>
      </c>
      <c r="AT50" t="str">
        <f>'ENE TECH'!$G47</f>
        <v>TRABDS</v>
      </c>
      <c r="AV50" t="str">
        <f>'ENE TECH'!$G47</f>
        <v>TRABDS</v>
      </c>
      <c r="AX50" t="str">
        <f t="shared" si="13"/>
        <v>TRACO2e</v>
      </c>
      <c r="AY50" s="313">
        <f>L50+Y50*'Emission Factors Hub'!$E$8+AL50*'Emission Factors Hub'!$E$9</f>
        <v>70.043950753886634</v>
      </c>
      <c r="AZ50" s="313" t="str">
        <f>IFERROR(M50+Z50*'Emission Factors Hub'!$E$8+AM50*'Emission Factors Hub'!$E$9,"")</f>
        <v/>
      </c>
    </row>
    <row r="51" spans="1:52">
      <c r="E51" t="s">
        <v>366</v>
      </c>
      <c r="F51">
        <f>'City characteristics'!$C$20</f>
        <v>2019</v>
      </c>
      <c r="G51" t="str">
        <f>'ENE TECH'!$G48</f>
        <v>TRAFOI</v>
      </c>
      <c r="I51" t="str">
        <f>'ENE TECH'!$G48</f>
        <v>TRAFOI</v>
      </c>
      <c r="K51" t="str">
        <f t="shared" si="7"/>
        <v>TRACO2</v>
      </c>
      <c r="L51" s="313">
        <f>_xlfn.IFNA(_xlfn.XLOOKUP(_xlfn.XLOOKUP(_xlfn.XLOOKUP(G51,'ENE TECH'!$G:$G,'ENE TECH'!$B:$B),Mapping!$B:$B,Mapping!$C:$C),'Emission Factors Hub'!$C:$C,'Emission Factors Hub'!$E:$E)/Parameters!$C$2*10^3,0)</f>
        <v>71.181065912292695</v>
      </c>
      <c r="M51" s="313" t="str">
        <f t="shared" si="8"/>
        <v/>
      </c>
      <c r="R51" t="s">
        <v>366</v>
      </c>
      <c r="S51">
        <f>'City characteristics'!$C$20</f>
        <v>2019</v>
      </c>
      <c r="T51" t="str">
        <f>'ENE TECH'!$G48</f>
        <v>TRAFOI</v>
      </c>
      <c r="V51" t="str">
        <f>'ENE TECH'!$G48</f>
        <v>TRAFOI</v>
      </c>
      <c r="X51" t="str">
        <f t="shared" si="9"/>
        <v>TRACH4</v>
      </c>
      <c r="Y51" s="313">
        <f>_xlfn.IFNA(_xlfn.XLOOKUP(_xlfn.XLOOKUP(_xlfn.XLOOKUP(T51,'ENE TECH'!$G:$G,'ENE TECH'!$B:$B),Mapping!$B:$B,Mapping!$C:$C),'Emission Factors Hub'!$C:$C,'Emission Factors Hub'!$F:$F)/Parameters!$C$2,0)</f>
        <v>2.8434513680010401E-3</v>
      </c>
      <c r="Z51" s="313" t="str">
        <f t="shared" si="10"/>
        <v/>
      </c>
      <c r="AE51" t="s">
        <v>366</v>
      </c>
      <c r="AF51">
        <f>'City characteristics'!$C$20</f>
        <v>2019</v>
      </c>
      <c r="AG51" t="str">
        <f>'ENE TECH'!$G48</f>
        <v>TRAFOI</v>
      </c>
      <c r="AI51" t="str">
        <f>'ENE TECH'!$G48</f>
        <v>TRAFOI</v>
      </c>
      <c r="AK51" t="str">
        <f t="shared" si="11"/>
        <v>TRAN2O</v>
      </c>
      <c r="AL51" s="313">
        <f>_xlfn.IFNA(_xlfn.XLOOKUP(_xlfn.XLOOKUP(_xlfn.XLOOKUP(AG51,'ENE TECH'!$G:$G,'ENE TECH'!$B:$B),Mapping!$B:$B,Mapping!$C:$C),'Emission Factors Hub'!$C:$C,'Emission Factors Hub'!$G:$G)/Parameters!$C$2,0)</f>
        <v>5.6869027360020798E-4</v>
      </c>
      <c r="AM51" s="313" t="str">
        <f t="shared" si="12"/>
        <v/>
      </c>
      <c r="AR51" t="s">
        <v>366</v>
      </c>
      <c r="AS51">
        <f>'City characteristics'!$C$20</f>
        <v>2019</v>
      </c>
      <c r="AT51" t="str">
        <f>'ENE TECH'!$G48</f>
        <v>TRAFOI</v>
      </c>
      <c r="AV51" t="str">
        <f>'ENE TECH'!$G48</f>
        <v>TRAFOI</v>
      </c>
      <c r="AX51" t="str">
        <f t="shared" si="13"/>
        <v>TRACO2e</v>
      </c>
      <c r="AY51" s="313">
        <f>L51+Y51*'Emission Factors Hub'!$E$8+AL51*'Emission Factors Hub'!$E$9</f>
        <v>71.421621898025577</v>
      </c>
      <c r="AZ51" s="313" t="str">
        <f>IFERROR(M51+Z51*'Emission Factors Hub'!$E$8+AM51*'Emission Factors Hub'!$E$9,"")</f>
        <v/>
      </c>
    </row>
    <row r="52" spans="1:52">
      <c r="E52" t="s">
        <v>366</v>
      </c>
      <c r="F52">
        <f>'City characteristics'!$C$20</f>
        <v>2019</v>
      </c>
      <c r="G52" t="str">
        <f>'ENE TECH'!$G49</f>
        <v>TRACNG</v>
      </c>
      <c r="I52" t="str">
        <f>'ENE TECH'!$G49</f>
        <v>TRACNG</v>
      </c>
      <c r="K52" t="str">
        <f t="shared" si="7"/>
        <v>TRACO2</v>
      </c>
      <c r="L52" s="313">
        <f>_xlfn.IFNA(_xlfn.XLOOKUP(_xlfn.XLOOKUP(_xlfn.XLOOKUP(G52,'ENE TECH'!$G:$G,'ENE TECH'!$B:$B),Mapping!$B:$B,Mapping!$C:$C),'Emission Factors Hub'!$C:$C,'Emission Factors Hub'!$E:$E)/Parameters!$C$2*10^3,0)</f>
        <v>50.29117652871173</v>
      </c>
      <c r="M52" s="313" t="str">
        <f t="shared" si="8"/>
        <v/>
      </c>
      <c r="R52" t="s">
        <v>366</v>
      </c>
      <c r="S52">
        <f>'City characteristics'!$C$20</f>
        <v>2019</v>
      </c>
      <c r="T52" t="str">
        <f>'ENE TECH'!$G49</f>
        <v>TRACNG</v>
      </c>
      <c r="V52" t="str">
        <f>'ENE TECH'!$G49</f>
        <v>TRACNG</v>
      </c>
      <c r="X52" t="str">
        <f t="shared" si="9"/>
        <v>TRACH4</v>
      </c>
      <c r="Y52" s="313">
        <f>_xlfn.IFNA(_xlfn.XLOOKUP(_xlfn.XLOOKUP(_xlfn.XLOOKUP(T52,'ENE TECH'!$G:$G,'ENE TECH'!$B:$B),Mapping!$B:$B,Mapping!$C:$C),'Emission Factors Hub'!$C:$C,'Emission Factors Hub'!$F:$F)/Parameters!$C$2,0)</f>
        <v>9.4781712266701337E-4</v>
      </c>
      <c r="Z52" s="313" t="str">
        <f t="shared" si="10"/>
        <v/>
      </c>
      <c r="AE52" t="s">
        <v>366</v>
      </c>
      <c r="AF52">
        <f>'City characteristics'!$C$20</f>
        <v>2019</v>
      </c>
      <c r="AG52" t="str">
        <f>'ENE TECH'!$G49</f>
        <v>TRACNG</v>
      </c>
      <c r="AI52" t="str">
        <f>'ENE TECH'!$G49</f>
        <v>TRACNG</v>
      </c>
      <c r="AK52" t="str">
        <f t="shared" si="11"/>
        <v>TRAN2O</v>
      </c>
      <c r="AL52" s="313">
        <f>_xlfn.IFNA(_xlfn.XLOOKUP(_xlfn.XLOOKUP(_xlfn.XLOOKUP(AG52,'ENE TECH'!$G:$G,'ENE TECH'!$B:$B),Mapping!$B:$B,Mapping!$C:$C),'Emission Factors Hub'!$C:$C,'Emission Factors Hub'!$G:$G)/Parameters!$C$2,0)</f>
        <v>9.4781712266701334E-5</v>
      </c>
      <c r="AM52" s="313" t="str">
        <f t="shared" si="12"/>
        <v/>
      </c>
      <c r="AR52" t="s">
        <v>366</v>
      </c>
      <c r="AS52">
        <f>'City characteristics'!$C$20</f>
        <v>2019</v>
      </c>
      <c r="AT52" t="str">
        <f>'ENE TECH'!$G49</f>
        <v>TRACNG</v>
      </c>
      <c r="AV52" t="str">
        <f>'ENE TECH'!$G49</f>
        <v>TRACNG</v>
      </c>
      <c r="AX52" t="str">
        <f t="shared" si="13"/>
        <v>TRACO2e</v>
      </c>
      <c r="AY52" s="313">
        <f>L52+Y52*'Emission Factors Hub'!$E$8+AL52*'Emission Factors Hub'!$E$9</f>
        <v>50.343116907033881</v>
      </c>
      <c r="AZ52" s="313" t="str">
        <f>IFERROR(M52+Z52*'Emission Factors Hub'!$E$8+AM52*'Emission Factors Hub'!$E$9,"")</f>
        <v/>
      </c>
    </row>
    <row r="53" spans="1:52">
      <c r="E53" t="s">
        <v>366</v>
      </c>
      <c r="F53">
        <f>'City characteristics'!$C$20</f>
        <v>2019</v>
      </c>
      <c r="G53" t="str">
        <f>'ENE TECH'!$G50</f>
        <v>TRARNG</v>
      </c>
      <c r="I53" t="str">
        <f>'ENE TECH'!$G50</f>
        <v>TRARNG</v>
      </c>
      <c r="K53" t="str">
        <f t="shared" si="7"/>
        <v>TRACO2</v>
      </c>
      <c r="L53" s="313">
        <f>_xlfn.IFNA(_xlfn.XLOOKUP(_xlfn.XLOOKUP(_xlfn.XLOOKUP(G53,'ENE TECH'!$G:$G,'ENE TECH'!$B:$B),Mapping!$B:$B,Mapping!$C:$C),'Emission Factors Hub'!$C:$C,'Emission Factors Hub'!$E:$E)/Parameters!$C$2*10^3,0)</f>
        <v>49.352837577271387</v>
      </c>
      <c r="M53" s="313" t="str">
        <f t="shared" si="8"/>
        <v/>
      </c>
      <c r="R53" t="s">
        <v>366</v>
      </c>
      <c r="S53">
        <f>'City characteristics'!$C$20</f>
        <v>2019</v>
      </c>
      <c r="T53" t="str">
        <f>'ENE TECH'!$G50</f>
        <v>TRARNG</v>
      </c>
      <c r="V53" t="str">
        <f>'ENE TECH'!$G50</f>
        <v>TRARNG</v>
      </c>
      <c r="X53" t="str">
        <f t="shared" si="9"/>
        <v>TRACH4</v>
      </c>
      <c r="Y53" s="313">
        <f>_xlfn.IFNA(_xlfn.XLOOKUP(_xlfn.XLOOKUP(_xlfn.XLOOKUP(T53,'ENE TECH'!$G:$G,'ENE TECH'!$B:$B),Mapping!$B:$B,Mapping!$C:$C),'Emission Factors Hub'!$C:$C,'Emission Factors Hub'!$F:$F)/Parameters!$C$2,0)</f>
        <v>3.0330147925344427E-3</v>
      </c>
      <c r="Z53" s="313" t="str">
        <f t="shared" si="10"/>
        <v/>
      </c>
      <c r="AE53" t="s">
        <v>366</v>
      </c>
      <c r="AF53">
        <f>'City characteristics'!$C$20</f>
        <v>2019</v>
      </c>
      <c r="AG53" t="str">
        <f>'ENE TECH'!$G50</f>
        <v>TRARNG</v>
      </c>
      <c r="AI53" t="str">
        <f>'ENE TECH'!$G50</f>
        <v>TRARNG</v>
      </c>
      <c r="AK53" t="str">
        <f t="shared" si="11"/>
        <v>TRAN2O</v>
      </c>
      <c r="AL53" s="313">
        <f>_xlfn.IFNA(_xlfn.XLOOKUP(_xlfn.XLOOKUP(_xlfn.XLOOKUP(AG53,'ENE TECH'!$G:$G,'ENE TECH'!$B:$B),Mapping!$B:$B,Mapping!$C:$C),'Emission Factors Hub'!$C:$C,'Emission Factors Hub'!$G:$G)/Parameters!$C$2,0)</f>
        <v>5.9712478728021843E-4</v>
      </c>
      <c r="AM53" s="313" t="str">
        <f t="shared" si="12"/>
        <v/>
      </c>
      <c r="AR53" t="s">
        <v>366</v>
      </c>
      <c r="AS53">
        <f>'City characteristics'!$C$20</f>
        <v>2019</v>
      </c>
      <c r="AT53" t="str">
        <f>'ENE TECH'!$G50</f>
        <v>TRARNG</v>
      </c>
      <c r="AV53" t="str">
        <f>'ENE TECH'!$G50</f>
        <v>TRARNG</v>
      </c>
      <c r="AX53" t="str">
        <f t="shared" si="13"/>
        <v>TRACO2e</v>
      </c>
      <c r="AY53" s="313">
        <f>L53+Y53*'Emission Factors Hub'!$E$8+AL53*'Emission Factors Hub'!$E$9</f>
        <v>49.60660613369425</v>
      </c>
      <c r="AZ53" s="313" t="str">
        <f>IFERROR(M53+Z53*'Emission Factors Hub'!$E$8+AM53*'Emission Factors Hub'!$E$9,"")</f>
        <v/>
      </c>
    </row>
    <row r="54" spans="1:52">
      <c r="E54" t="s">
        <v>366</v>
      </c>
      <c r="F54">
        <f>'City characteristics'!$C$20</f>
        <v>2019</v>
      </c>
      <c r="G54" t="str">
        <f>'ENE TECH'!$G51</f>
        <v>TRAELC</v>
      </c>
      <c r="I54" t="str">
        <f>'ENE TECH'!$G51</f>
        <v>TRAELC</v>
      </c>
      <c r="K54" t="str">
        <f t="shared" si="7"/>
        <v>TRACO2</v>
      </c>
      <c r="L54" s="313">
        <f>_xlfn.IFNA(_xlfn.XLOOKUP(_xlfn.XLOOKUP(_xlfn.XLOOKUP(G54,'ENE TECH'!$G:$G,'ENE TECH'!$B:$B),Mapping!$B:$B,Mapping!$C:$C),'Emission Factors Hub'!$C:$C,'Emission Factors Hub'!$E:$E)/Parameters!$C$2*10^3,0)</f>
        <v>0</v>
      </c>
      <c r="M54" s="313" t="str">
        <f t="shared" si="8"/>
        <v/>
      </c>
      <c r="R54" t="s">
        <v>366</v>
      </c>
      <c r="S54">
        <f>'City characteristics'!$C$20</f>
        <v>2019</v>
      </c>
      <c r="T54" t="str">
        <f>'ENE TECH'!$G51</f>
        <v>TRAELC</v>
      </c>
      <c r="V54" t="str">
        <f>'ENE TECH'!$G51</f>
        <v>TRAELC</v>
      </c>
      <c r="X54" t="str">
        <f t="shared" si="9"/>
        <v>TRACH4</v>
      </c>
      <c r="Y54" s="313">
        <f>_xlfn.IFNA(_xlfn.XLOOKUP(_xlfn.XLOOKUP(_xlfn.XLOOKUP(T54,'ENE TECH'!$G:$G,'ENE TECH'!$B:$B),Mapping!$B:$B,Mapping!$C:$C),'Emission Factors Hub'!$C:$C,'Emission Factors Hub'!$F:$F)/Parameters!$C$2,0)</f>
        <v>0</v>
      </c>
      <c r="Z54" s="313" t="str">
        <f t="shared" si="10"/>
        <v/>
      </c>
      <c r="AE54" t="s">
        <v>366</v>
      </c>
      <c r="AF54">
        <f>'City characteristics'!$C$20</f>
        <v>2019</v>
      </c>
      <c r="AG54" t="str">
        <f>'ENE TECH'!$G51</f>
        <v>TRAELC</v>
      </c>
      <c r="AI54" t="str">
        <f>'ENE TECH'!$G51</f>
        <v>TRAELC</v>
      </c>
      <c r="AK54" t="str">
        <f t="shared" si="11"/>
        <v>TRAN2O</v>
      </c>
      <c r="AL54" s="313">
        <f>_xlfn.IFNA(_xlfn.XLOOKUP(_xlfn.XLOOKUP(_xlfn.XLOOKUP(AG54,'ENE TECH'!$G:$G,'ENE TECH'!$B:$B),Mapping!$B:$B,Mapping!$C:$C),'Emission Factors Hub'!$C:$C,'Emission Factors Hub'!$G:$G)/Parameters!$C$2,0)</f>
        <v>0</v>
      </c>
      <c r="AM54" s="313" t="str">
        <f t="shared" si="12"/>
        <v/>
      </c>
      <c r="AR54" t="s">
        <v>366</v>
      </c>
      <c r="AS54">
        <f>'City characteristics'!$C$20</f>
        <v>2019</v>
      </c>
      <c r="AT54" t="str">
        <f>'ENE TECH'!$G51</f>
        <v>TRAELC</v>
      </c>
      <c r="AV54" t="str">
        <f>'ENE TECH'!$G51</f>
        <v>TRAELC</v>
      </c>
      <c r="AX54" t="str">
        <f t="shared" si="13"/>
        <v>TRACO2e</v>
      </c>
      <c r="AY54" s="313">
        <f>L54+Y54*'Emission Factors Hub'!$E$8+AL54*'Emission Factors Hub'!$E$9</f>
        <v>0</v>
      </c>
      <c r="AZ54" s="313" t="str">
        <f>IFERROR(M54+Z54*'Emission Factors Hub'!$E$8+AM54*'Emission Factors Hub'!$E$9,"")</f>
        <v/>
      </c>
    </row>
    <row r="55" spans="1:52">
      <c r="E55" t="s">
        <v>366</v>
      </c>
      <c r="F55">
        <f>'City characteristics'!$C$20</f>
        <v>2019</v>
      </c>
      <c r="G55" t="str">
        <f>'ENE TECH'!$G52</f>
        <v>TRAH2G</v>
      </c>
      <c r="I55" t="str">
        <f>'ENE TECH'!$G52</f>
        <v>TRAH2G</v>
      </c>
      <c r="K55" t="str">
        <f t="shared" si="7"/>
        <v>TRACO2</v>
      </c>
      <c r="L55" s="313">
        <f>_xlfn.IFNA(_xlfn.XLOOKUP(_xlfn.XLOOKUP(_xlfn.XLOOKUP(G55,'ENE TECH'!$G:$G,'ENE TECH'!$B:$B),Mapping!$B:$B,Mapping!$C:$C),'Emission Factors Hub'!$C:$C,'Emission Factors Hub'!$E:$E)/Parameters!$C$2*10^3,0)</f>
        <v>0</v>
      </c>
      <c r="M55" s="313" t="str">
        <f t="shared" si="8"/>
        <v/>
      </c>
      <c r="R55" t="s">
        <v>366</v>
      </c>
      <c r="S55">
        <f>'City characteristics'!$C$20</f>
        <v>2019</v>
      </c>
      <c r="T55" t="str">
        <f>'ENE TECH'!$G52</f>
        <v>TRAH2G</v>
      </c>
      <c r="V55" t="str">
        <f>'ENE TECH'!$G52</f>
        <v>TRAH2G</v>
      </c>
      <c r="X55" t="str">
        <f t="shared" si="9"/>
        <v>TRACH4</v>
      </c>
      <c r="Y55" s="313">
        <f>_xlfn.IFNA(_xlfn.XLOOKUP(_xlfn.XLOOKUP(_xlfn.XLOOKUP(T55,'ENE TECH'!$G:$G,'ENE TECH'!$B:$B),Mapping!$B:$B,Mapping!$C:$C),'Emission Factors Hub'!$C:$C,'Emission Factors Hub'!$F:$F)/Parameters!$C$2,0)</f>
        <v>0</v>
      </c>
      <c r="Z55" s="313" t="str">
        <f t="shared" si="10"/>
        <v/>
      </c>
      <c r="AE55" t="s">
        <v>366</v>
      </c>
      <c r="AF55">
        <f>'City characteristics'!$C$20</f>
        <v>2019</v>
      </c>
      <c r="AG55" t="str">
        <f>'ENE TECH'!$G52</f>
        <v>TRAH2G</v>
      </c>
      <c r="AI55" t="str">
        <f>'ENE TECH'!$G52</f>
        <v>TRAH2G</v>
      </c>
      <c r="AK55" t="str">
        <f t="shared" si="11"/>
        <v>TRAN2O</v>
      </c>
      <c r="AL55" s="313">
        <f>_xlfn.IFNA(_xlfn.XLOOKUP(_xlfn.XLOOKUP(_xlfn.XLOOKUP(AG55,'ENE TECH'!$G:$G,'ENE TECH'!$B:$B),Mapping!$B:$B,Mapping!$C:$C),'Emission Factors Hub'!$C:$C,'Emission Factors Hub'!$G:$G)/Parameters!$C$2,0)</f>
        <v>0</v>
      </c>
      <c r="AM55" s="313" t="str">
        <f t="shared" si="12"/>
        <v/>
      </c>
      <c r="AR55" t="s">
        <v>366</v>
      </c>
      <c r="AS55">
        <f>'City characteristics'!$C$20</f>
        <v>2019</v>
      </c>
      <c r="AT55" t="str">
        <f>'ENE TECH'!$G52</f>
        <v>TRAH2G</v>
      </c>
      <c r="AV55" t="str">
        <f>'ENE TECH'!$G52</f>
        <v>TRAH2G</v>
      </c>
      <c r="AX55" t="str">
        <f t="shared" si="13"/>
        <v>TRACO2e</v>
      </c>
      <c r="AY55" s="313">
        <f>L55+Y55*'Emission Factors Hub'!$E$8+AL55*'Emission Factors Hub'!$E$9</f>
        <v>0</v>
      </c>
      <c r="AZ55" s="313" t="str">
        <f>IFERROR(M55+Z55*'Emission Factors Hub'!$E$8+AM55*'Emission Factors Hub'!$E$9,"")</f>
        <v/>
      </c>
    </row>
    <row r="56" spans="1:52">
      <c r="E56" t="s">
        <v>366</v>
      </c>
      <c r="F56">
        <f>'City characteristics'!$C$20</f>
        <v>2019</v>
      </c>
      <c r="G56" t="str">
        <f>'ENE TECH'!$G53</f>
        <v>ELCDSL</v>
      </c>
      <c r="I56" t="str">
        <f>'ENE TECH'!$G53</f>
        <v>ELCDSL</v>
      </c>
      <c r="K56" t="str">
        <f t="shared" si="7"/>
        <v>ELCCO2</v>
      </c>
      <c r="L56" s="313">
        <f>_xlfn.IFNA(_xlfn.XLOOKUP(_xlfn.XLOOKUP(_xlfn.XLOOKUP(G56,'ENE TECH'!$G:$G,'ENE TECH'!$B:$B),Mapping!$B:$B,Mapping!$C:$C),'Emission Factors Hub'!$C:$C,'Emission Factors Hub'!$E:$E)/Parameters!$C$2*10^3,0)</f>
        <v>70.100554392452295</v>
      </c>
      <c r="M56" s="313">
        <f t="shared" si="8"/>
        <v>70.100554392452295</v>
      </c>
      <c r="R56" t="s">
        <v>366</v>
      </c>
      <c r="S56">
        <f>'City characteristics'!$C$20</f>
        <v>2019</v>
      </c>
      <c r="T56" t="str">
        <f>'ENE TECH'!$G53</f>
        <v>ELCDSL</v>
      </c>
      <c r="V56" t="str">
        <f>'ENE TECH'!$G53</f>
        <v>ELCDSL</v>
      </c>
      <c r="X56" t="str">
        <f t="shared" si="9"/>
        <v>ELCCH4</v>
      </c>
      <c r="Y56" s="313">
        <f>_xlfn.IFNA(_xlfn.XLOOKUP(_xlfn.XLOOKUP(_xlfn.XLOOKUP(T56,'ENE TECH'!$G:$G,'ENE TECH'!$B:$B),Mapping!$B:$B,Mapping!$C:$C),'Emission Factors Hub'!$C:$C,'Emission Factors Hub'!$F:$F)/Parameters!$C$2,0)</f>
        <v>2.8434513680010401E-3</v>
      </c>
      <c r="Z56" s="313">
        <f t="shared" si="10"/>
        <v>2.8434513680010401E-3</v>
      </c>
      <c r="AE56" t="s">
        <v>366</v>
      </c>
      <c r="AF56">
        <f>'City characteristics'!$C$20</f>
        <v>2019</v>
      </c>
      <c r="AG56" t="str">
        <f>'ENE TECH'!$G53</f>
        <v>ELCDSL</v>
      </c>
      <c r="AI56" t="str">
        <f>'ENE TECH'!$G53</f>
        <v>ELCDSL</v>
      </c>
      <c r="AK56" t="str">
        <f t="shared" si="11"/>
        <v>ELCN2O</v>
      </c>
      <c r="AL56" s="313">
        <f>_xlfn.IFNA(_xlfn.XLOOKUP(_xlfn.XLOOKUP(_xlfn.XLOOKUP(AG56,'ENE TECH'!$G:$G,'ENE TECH'!$B:$B),Mapping!$B:$B,Mapping!$C:$C),'Emission Factors Hub'!$C:$C,'Emission Factors Hub'!$G:$G)/Parameters!$C$2,0)</f>
        <v>5.6869027360020798E-4</v>
      </c>
      <c r="AM56" s="313">
        <f t="shared" si="12"/>
        <v>5.6869027360020798E-4</v>
      </c>
      <c r="AR56" t="s">
        <v>366</v>
      </c>
      <c r="AS56">
        <f>'City characteristics'!$C$20</f>
        <v>2019</v>
      </c>
      <c r="AT56" t="str">
        <f>'ENE TECH'!$G53</f>
        <v>ELCDSL</v>
      </c>
      <c r="AV56" t="str">
        <f>'ENE TECH'!$G53</f>
        <v>ELCDSL</v>
      </c>
      <c r="AX56" t="str">
        <f t="shared" si="13"/>
        <v>ELCCO2e</v>
      </c>
      <c r="AY56" s="313">
        <f>L56+Y56*'Emission Factors Hub'!$E$8+AL56*'Emission Factors Hub'!$E$9</f>
        <v>70.341110378185178</v>
      </c>
      <c r="AZ56" s="313">
        <f>IFERROR(M56+Z56*'Emission Factors Hub'!$E$8+AM56*'Emission Factors Hub'!$E$9,"")</f>
        <v>70.341110378185178</v>
      </c>
    </row>
    <row r="57" spans="1:52">
      <c r="E57" t="s">
        <v>366</v>
      </c>
      <c r="F57">
        <f>'City characteristics'!$C$20</f>
        <v>2019</v>
      </c>
      <c r="G57" t="str">
        <f>'ENE TECH'!$G54</f>
        <v>ELCFOI</v>
      </c>
      <c r="I57" t="str">
        <f>'ENE TECH'!$G54</f>
        <v>ELCFOI</v>
      </c>
      <c r="K57" t="str">
        <f t="shared" si="7"/>
        <v>ELCCO2</v>
      </c>
      <c r="L57" s="313">
        <f>_xlfn.IFNA(_xlfn.XLOOKUP(_xlfn.XLOOKUP(_xlfn.XLOOKUP(G57,'ENE TECH'!$G:$G,'ENE TECH'!$B:$B),Mapping!$B:$B,Mapping!$C:$C),'Emission Factors Hub'!$C:$C,'Emission Factors Hub'!$E:$E)/Parameters!$C$2*10^3,0)</f>
        <v>71.181065912292695</v>
      </c>
      <c r="M57" s="313">
        <f t="shared" si="8"/>
        <v>71.181065912292695</v>
      </c>
      <c r="R57" t="s">
        <v>366</v>
      </c>
      <c r="S57">
        <f>'City characteristics'!$C$20</f>
        <v>2019</v>
      </c>
      <c r="T57" t="str">
        <f>'ENE TECH'!$G54</f>
        <v>ELCFOI</v>
      </c>
      <c r="V57" t="str">
        <f>'ENE TECH'!$G54</f>
        <v>ELCFOI</v>
      </c>
      <c r="X57" t="str">
        <f t="shared" si="9"/>
        <v>ELCCH4</v>
      </c>
      <c r="Y57" s="313">
        <f>_xlfn.IFNA(_xlfn.XLOOKUP(_xlfn.XLOOKUP(_xlfn.XLOOKUP(T57,'ENE TECH'!$G:$G,'ENE TECH'!$B:$B),Mapping!$B:$B,Mapping!$C:$C),'Emission Factors Hub'!$C:$C,'Emission Factors Hub'!$F:$F)/Parameters!$C$2,0)</f>
        <v>2.8434513680010401E-3</v>
      </c>
      <c r="Z57" s="313">
        <f t="shared" si="10"/>
        <v>2.8434513680010401E-3</v>
      </c>
      <c r="AE57" t="s">
        <v>366</v>
      </c>
      <c r="AF57">
        <f>'City characteristics'!$C$20</f>
        <v>2019</v>
      </c>
      <c r="AG57" t="str">
        <f>'ENE TECH'!$G54</f>
        <v>ELCFOI</v>
      </c>
      <c r="AI57" t="str">
        <f>'ENE TECH'!$G54</f>
        <v>ELCFOI</v>
      </c>
      <c r="AK57" t="str">
        <f t="shared" si="11"/>
        <v>ELCN2O</v>
      </c>
      <c r="AL57" s="313">
        <f>_xlfn.IFNA(_xlfn.XLOOKUP(_xlfn.XLOOKUP(_xlfn.XLOOKUP(AG57,'ENE TECH'!$G:$G,'ENE TECH'!$B:$B),Mapping!$B:$B,Mapping!$C:$C),'Emission Factors Hub'!$C:$C,'Emission Factors Hub'!$G:$G)/Parameters!$C$2,0)</f>
        <v>5.6869027360020798E-4</v>
      </c>
      <c r="AM57" s="313">
        <f t="shared" si="12"/>
        <v>5.6869027360020798E-4</v>
      </c>
      <c r="AR57" t="s">
        <v>366</v>
      </c>
      <c r="AS57">
        <f>'City characteristics'!$C$20</f>
        <v>2019</v>
      </c>
      <c r="AT57" t="str">
        <f>'ENE TECH'!$G54</f>
        <v>ELCFOI</v>
      </c>
      <c r="AV57" t="str">
        <f>'ENE TECH'!$G54</f>
        <v>ELCFOI</v>
      </c>
      <c r="AX57" t="str">
        <f t="shared" si="13"/>
        <v>ELCCO2e</v>
      </c>
      <c r="AY57" s="313">
        <f>L57+Y57*'Emission Factors Hub'!$E$8+AL57*'Emission Factors Hub'!$E$9</f>
        <v>71.421621898025577</v>
      </c>
      <c r="AZ57" s="313">
        <f>IFERROR(M57+Z57*'Emission Factors Hub'!$E$8+AM57*'Emission Factors Hub'!$E$9,"")</f>
        <v>71.421621898025577</v>
      </c>
    </row>
    <row r="58" spans="1:52">
      <c r="E58" t="s">
        <v>366</v>
      </c>
      <c r="F58">
        <f>'City characteristics'!$C$20</f>
        <v>2019</v>
      </c>
      <c r="G58" t="str">
        <f>'ENE TECH'!$G55</f>
        <v>ELCNGA</v>
      </c>
      <c r="H58" t="s">
        <v>367</v>
      </c>
      <c r="I58" t="str">
        <f>'ENE TECH'!$G55</f>
        <v>ELCNGA</v>
      </c>
      <c r="K58" t="str">
        <f t="shared" si="7"/>
        <v>ELCCO2</v>
      </c>
      <c r="L58" s="313">
        <f>_xlfn.IFNA(_xlfn.XLOOKUP(_xlfn.XLOOKUP(_xlfn.XLOOKUP(G58,'ENE TECH'!$G:$G,'ENE TECH'!$B:$B),Mapping!$B:$B,Mapping!$C:$C),'Emission Factors Hub'!$C:$C,'Emission Factors Hub'!$E:$E)/Parameters!$C$2*10^3,0)</f>
        <v>50.29117652871173</v>
      </c>
      <c r="M58" s="313">
        <f t="shared" si="8"/>
        <v>50.29117652871173</v>
      </c>
      <c r="R58" t="s">
        <v>366</v>
      </c>
      <c r="S58">
        <f>'City characteristics'!$C$20</f>
        <v>2019</v>
      </c>
      <c r="T58" t="str">
        <f>'ENE TECH'!$G55</f>
        <v>ELCNGA</v>
      </c>
      <c r="U58" t="s">
        <v>367</v>
      </c>
      <c r="V58" t="str">
        <f>'ENE TECH'!$G55</f>
        <v>ELCNGA</v>
      </c>
      <c r="X58" t="str">
        <f t="shared" si="9"/>
        <v>ELCCH4</v>
      </c>
      <c r="Y58" s="313">
        <f>_xlfn.IFNA(_xlfn.XLOOKUP(_xlfn.XLOOKUP(_xlfn.XLOOKUP(T58,'ENE TECH'!$G:$G,'ENE TECH'!$B:$B),Mapping!$B:$B,Mapping!$C:$C),'Emission Factors Hub'!$C:$C,'Emission Factors Hub'!$F:$F)/Parameters!$C$2,0)</f>
        <v>9.4781712266701337E-4</v>
      </c>
      <c r="Z58" s="313">
        <f t="shared" si="10"/>
        <v>9.4781712266701337E-4</v>
      </c>
      <c r="AE58" t="s">
        <v>366</v>
      </c>
      <c r="AF58">
        <f>'City characteristics'!$C$20</f>
        <v>2019</v>
      </c>
      <c r="AG58" t="str">
        <f>'ENE TECH'!$G55</f>
        <v>ELCNGA</v>
      </c>
      <c r="AH58" t="s">
        <v>367</v>
      </c>
      <c r="AI58" t="str">
        <f>'ENE TECH'!$G55</f>
        <v>ELCNGA</v>
      </c>
      <c r="AK58" t="str">
        <f t="shared" si="11"/>
        <v>ELCN2O</v>
      </c>
      <c r="AL58" s="313">
        <f>_xlfn.IFNA(_xlfn.XLOOKUP(_xlfn.XLOOKUP(_xlfn.XLOOKUP(AG58,'ENE TECH'!$G:$G,'ENE TECH'!$B:$B),Mapping!$B:$B,Mapping!$C:$C),'Emission Factors Hub'!$C:$C,'Emission Factors Hub'!$G:$G)/Parameters!$C$2,0)</f>
        <v>9.4781712266701334E-5</v>
      </c>
      <c r="AM58" s="313">
        <f t="shared" si="12"/>
        <v>9.4781712266701334E-5</v>
      </c>
      <c r="AR58" t="s">
        <v>366</v>
      </c>
      <c r="AS58">
        <f>'City characteristics'!$C$20</f>
        <v>2019</v>
      </c>
      <c r="AT58" t="str">
        <f>'ENE TECH'!$G55</f>
        <v>ELCNGA</v>
      </c>
      <c r="AU58" t="s">
        <v>367</v>
      </c>
      <c r="AV58" t="str">
        <f>'ENE TECH'!$G55</f>
        <v>ELCNGA</v>
      </c>
      <c r="AX58" t="str">
        <f t="shared" si="13"/>
        <v>ELCCO2e</v>
      </c>
      <c r="AY58" s="313">
        <f>L58+Y58*'Emission Factors Hub'!$E$8+AL58*'Emission Factors Hub'!$E$9</f>
        <v>50.343116907033881</v>
      </c>
      <c r="AZ58" s="313">
        <f>IFERROR(M58+Z58*'Emission Factors Hub'!$E$8+AM58*'Emission Factors Hub'!$E$9,"")</f>
        <v>50.343116907033881</v>
      </c>
    </row>
    <row r="59" spans="1:52">
      <c r="A59" s="312">
        <v>0.9</v>
      </c>
      <c r="B59" s="312"/>
      <c r="E59" t="s">
        <v>366</v>
      </c>
      <c r="F59">
        <f>'City characteristics'!$C$20</f>
        <v>2019</v>
      </c>
      <c r="G59" t="str">
        <f>G58</f>
        <v>ELCNGA</v>
      </c>
      <c r="H59" t="s">
        <v>368</v>
      </c>
      <c r="I59" t="str">
        <f>I58</f>
        <v>ELCNGA</v>
      </c>
      <c r="K59" t="str">
        <f t="shared" si="7"/>
        <v>ELCCO2</v>
      </c>
      <c r="L59" s="313">
        <f>$L$58*(1-A59)</f>
        <v>5.0291176528711716</v>
      </c>
      <c r="M59" s="313">
        <f t="shared" si="8"/>
        <v>5.0291176528711716</v>
      </c>
      <c r="R59" t="s">
        <v>366</v>
      </c>
      <c r="S59">
        <f>'City characteristics'!$C$20</f>
        <v>2019</v>
      </c>
      <c r="T59" t="str">
        <f>T58</f>
        <v>ELCNGA</v>
      </c>
      <c r="U59" t="s">
        <v>368</v>
      </c>
      <c r="V59" t="str">
        <f>V58</f>
        <v>ELCNGA</v>
      </c>
      <c r="X59" t="str">
        <f t="shared" si="9"/>
        <v>ELCCH4</v>
      </c>
      <c r="Y59" s="313">
        <f>Y58</f>
        <v>9.4781712266701337E-4</v>
      </c>
      <c r="Z59" s="313">
        <f t="shared" si="10"/>
        <v>9.4781712266701337E-4</v>
      </c>
      <c r="AE59" t="s">
        <v>366</v>
      </c>
      <c r="AF59">
        <f>'City characteristics'!$C$20</f>
        <v>2019</v>
      </c>
      <c r="AG59" t="str">
        <f>AG58</f>
        <v>ELCNGA</v>
      </c>
      <c r="AH59" t="s">
        <v>368</v>
      </c>
      <c r="AI59" t="str">
        <f>AI58</f>
        <v>ELCNGA</v>
      </c>
      <c r="AK59" t="str">
        <f t="shared" si="11"/>
        <v>ELCN2O</v>
      </c>
      <c r="AL59" s="313">
        <f>AL58</f>
        <v>9.4781712266701334E-5</v>
      </c>
      <c r="AM59" s="313">
        <f t="shared" si="12"/>
        <v>9.4781712266701334E-5</v>
      </c>
      <c r="AR59" t="s">
        <v>366</v>
      </c>
      <c r="AS59">
        <f>'City characteristics'!$C$20</f>
        <v>2019</v>
      </c>
      <c r="AT59" t="str">
        <f>AT58</f>
        <v>ELCNGA</v>
      </c>
      <c r="AU59" t="s">
        <v>368</v>
      </c>
      <c r="AV59" t="str">
        <f>AV58</f>
        <v>ELCNGA</v>
      </c>
      <c r="AX59" t="str">
        <f t="shared" si="13"/>
        <v>ELCCO2e</v>
      </c>
      <c r="AY59" s="313">
        <f>L59+Y59*'Emission Factors Hub'!$E$8+AL59*'Emission Factors Hub'!$E$9</f>
        <v>5.081058031193324</v>
      </c>
      <c r="AZ59" s="313">
        <f>IFERROR(M59+Z59*'Emission Factors Hub'!$E$8+AM59*'Emission Factors Hub'!$E$9,"")</f>
        <v>5.081058031193324</v>
      </c>
    </row>
    <row r="60" spans="1:52">
      <c r="A60" s="312">
        <v>0.95</v>
      </c>
      <c r="B60" s="312"/>
      <c r="E60" t="s">
        <v>366</v>
      </c>
      <c r="F60">
        <f>'City characteristics'!$C$20</f>
        <v>2019</v>
      </c>
      <c r="G60" t="str">
        <f>G59</f>
        <v>ELCNGA</v>
      </c>
      <c r="H60" t="s">
        <v>369</v>
      </c>
      <c r="I60" t="str">
        <f>I59</f>
        <v>ELCNGA</v>
      </c>
      <c r="K60" t="str">
        <f t="shared" si="7"/>
        <v>ELCCO2</v>
      </c>
      <c r="L60" s="313">
        <f>$L$58*(1-A60)</f>
        <v>2.5145588264355889</v>
      </c>
      <c r="M60" s="313">
        <f t="shared" si="8"/>
        <v>2.5145588264355889</v>
      </c>
      <c r="R60" t="s">
        <v>366</v>
      </c>
      <c r="S60">
        <f>'City characteristics'!$C$20</f>
        <v>2019</v>
      </c>
      <c r="T60" t="str">
        <f>T59</f>
        <v>ELCNGA</v>
      </c>
      <c r="U60" t="s">
        <v>369</v>
      </c>
      <c r="V60" t="str">
        <f>V59</f>
        <v>ELCNGA</v>
      </c>
      <c r="X60" t="str">
        <f t="shared" si="9"/>
        <v>ELCCH4</v>
      </c>
      <c r="Y60" s="313">
        <f>Y59</f>
        <v>9.4781712266701337E-4</v>
      </c>
      <c r="Z60" s="313">
        <f t="shared" si="10"/>
        <v>9.4781712266701337E-4</v>
      </c>
      <c r="AE60" t="s">
        <v>366</v>
      </c>
      <c r="AF60">
        <f>'City characteristics'!$C$20</f>
        <v>2019</v>
      </c>
      <c r="AG60" t="str">
        <f>AG59</f>
        <v>ELCNGA</v>
      </c>
      <c r="AH60" t="s">
        <v>369</v>
      </c>
      <c r="AI60" t="str">
        <f>AI59</f>
        <v>ELCNGA</v>
      </c>
      <c r="AK60" t="str">
        <f t="shared" si="11"/>
        <v>ELCN2O</v>
      </c>
      <c r="AL60" s="313">
        <f>AL59</f>
        <v>9.4781712266701334E-5</v>
      </c>
      <c r="AM60" s="313">
        <f t="shared" si="12"/>
        <v>9.4781712266701334E-5</v>
      </c>
      <c r="AR60" t="s">
        <v>366</v>
      </c>
      <c r="AS60">
        <f>'City characteristics'!$C$20</f>
        <v>2019</v>
      </c>
      <c r="AT60" t="str">
        <f>AT59</f>
        <v>ELCNGA</v>
      </c>
      <c r="AU60" t="s">
        <v>369</v>
      </c>
      <c r="AV60" t="str">
        <f>AV59</f>
        <v>ELCNGA</v>
      </c>
      <c r="AX60" t="str">
        <f t="shared" si="13"/>
        <v>ELCCO2e</v>
      </c>
      <c r="AY60" s="313">
        <f>L60+Y60*'Emission Factors Hub'!$E$8+AL60*'Emission Factors Hub'!$E$9</f>
        <v>2.5664992047577413</v>
      </c>
      <c r="AZ60" s="313">
        <f>IFERROR(M60+Z60*'Emission Factors Hub'!$E$8+AM60*'Emission Factors Hub'!$E$9,"")</f>
        <v>2.5664992047577413</v>
      </c>
    </row>
    <row r="61" spans="1:52">
      <c r="A61" s="312">
        <v>0.97</v>
      </c>
      <c r="B61" s="312"/>
      <c r="E61" t="s">
        <v>366</v>
      </c>
      <c r="F61">
        <f>'City characteristics'!$C$20</f>
        <v>2019</v>
      </c>
      <c r="G61" t="str">
        <f>G60</f>
        <v>ELCNGA</v>
      </c>
      <c r="H61" t="s">
        <v>370</v>
      </c>
      <c r="I61" t="str">
        <f>I60</f>
        <v>ELCNGA</v>
      </c>
      <c r="K61" t="str">
        <f t="shared" si="7"/>
        <v>ELCCO2</v>
      </c>
      <c r="L61" s="313">
        <f>$L$58*(1-A61)</f>
        <v>1.5087352958613534</v>
      </c>
      <c r="M61" s="313">
        <f t="shared" si="8"/>
        <v>1.5087352958613534</v>
      </c>
      <c r="R61" t="s">
        <v>366</v>
      </c>
      <c r="S61">
        <f>'City characteristics'!$C$20</f>
        <v>2019</v>
      </c>
      <c r="T61" t="str">
        <f>T60</f>
        <v>ELCNGA</v>
      </c>
      <c r="U61" t="s">
        <v>370</v>
      </c>
      <c r="V61" t="str">
        <f>V60</f>
        <v>ELCNGA</v>
      </c>
      <c r="X61" t="str">
        <f t="shared" si="9"/>
        <v>ELCCH4</v>
      </c>
      <c r="Y61" s="313">
        <f>Y60</f>
        <v>9.4781712266701337E-4</v>
      </c>
      <c r="Z61" s="313">
        <f t="shared" si="10"/>
        <v>9.4781712266701337E-4</v>
      </c>
      <c r="AE61" t="s">
        <v>366</v>
      </c>
      <c r="AF61">
        <f>'City characteristics'!$C$20</f>
        <v>2019</v>
      </c>
      <c r="AG61" t="str">
        <f>AG60</f>
        <v>ELCNGA</v>
      </c>
      <c r="AH61" t="s">
        <v>370</v>
      </c>
      <c r="AI61" t="str">
        <f>AI60</f>
        <v>ELCNGA</v>
      </c>
      <c r="AK61" t="str">
        <f t="shared" si="11"/>
        <v>ELCN2O</v>
      </c>
      <c r="AL61" s="313">
        <f>AL60</f>
        <v>9.4781712266701334E-5</v>
      </c>
      <c r="AM61" s="313">
        <f t="shared" si="12"/>
        <v>9.4781712266701334E-5</v>
      </c>
      <c r="AR61" t="s">
        <v>366</v>
      </c>
      <c r="AS61">
        <f>'City characteristics'!$C$20</f>
        <v>2019</v>
      </c>
      <c r="AT61" t="str">
        <f>AT60</f>
        <v>ELCNGA</v>
      </c>
      <c r="AU61" t="s">
        <v>370</v>
      </c>
      <c r="AV61" t="str">
        <f>AV60</f>
        <v>ELCNGA</v>
      </c>
      <c r="AX61" t="str">
        <f t="shared" si="13"/>
        <v>ELCCO2e</v>
      </c>
      <c r="AY61" s="313">
        <f>L61+Y61*'Emission Factors Hub'!$E$8+AL61*'Emission Factors Hub'!$E$9</f>
        <v>1.5606756741835055</v>
      </c>
      <c r="AZ61" s="313">
        <f>IFERROR(M61+Z61*'Emission Factors Hub'!$E$8+AM61*'Emission Factors Hub'!$E$9,"")</f>
        <v>1.5606756741835055</v>
      </c>
    </row>
    <row r="62" spans="1:52">
      <c r="E62" t="s">
        <v>366</v>
      </c>
      <c r="F62">
        <f>'City characteristics'!$C$20</f>
        <v>2019</v>
      </c>
      <c r="G62" t="str">
        <f>'ENE TECH'!$G56</f>
        <v>ELCRNG</v>
      </c>
      <c r="I62" t="str">
        <f>'ENE TECH'!$G56</f>
        <v>ELCRNG</v>
      </c>
      <c r="K62" t="str">
        <f t="shared" si="7"/>
        <v>ELCCO2</v>
      </c>
      <c r="L62" s="313">
        <f>_xlfn.IFNA(_xlfn.XLOOKUP(_xlfn.XLOOKUP(_xlfn.XLOOKUP(G62,'ENE TECH'!$G:$G,'ENE TECH'!$B:$B),Mapping!$B:$B,Mapping!$C:$C),'Emission Factors Hub'!$C:$C,'Emission Factors Hub'!$E:$E)/Parameters!$C$2*10^3,0)</f>
        <v>49.352837577271387</v>
      </c>
      <c r="M62" s="313">
        <f t="shared" si="8"/>
        <v>49.352837577271387</v>
      </c>
      <c r="R62" t="s">
        <v>366</v>
      </c>
      <c r="S62">
        <f>'City characteristics'!$C$20</f>
        <v>2019</v>
      </c>
      <c r="T62" t="str">
        <f>'ENE TECH'!$G56</f>
        <v>ELCRNG</v>
      </c>
      <c r="V62" t="str">
        <f>'ENE TECH'!$G56</f>
        <v>ELCRNG</v>
      </c>
      <c r="X62" t="str">
        <f t="shared" si="9"/>
        <v>ELCCH4</v>
      </c>
      <c r="Y62" s="313">
        <f>_xlfn.IFNA(_xlfn.XLOOKUP(_xlfn.XLOOKUP(_xlfn.XLOOKUP(T62,'ENE TECH'!$G:$G,'ENE TECH'!$B:$B),Mapping!$B:$B,Mapping!$C:$C),'Emission Factors Hub'!$C:$C,'Emission Factors Hub'!$F:$F)/Parameters!$C$2,0)</f>
        <v>3.0330147925344427E-3</v>
      </c>
      <c r="Z62" s="313">
        <f t="shared" si="10"/>
        <v>3.0330147925344427E-3</v>
      </c>
      <c r="AE62" t="s">
        <v>366</v>
      </c>
      <c r="AF62">
        <f>'City characteristics'!$C$20</f>
        <v>2019</v>
      </c>
      <c r="AG62" t="str">
        <f>'ENE TECH'!$G56</f>
        <v>ELCRNG</v>
      </c>
      <c r="AI62" t="str">
        <f>'ENE TECH'!$G56</f>
        <v>ELCRNG</v>
      </c>
      <c r="AK62" t="str">
        <f t="shared" si="11"/>
        <v>ELCN2O</v>
      </c>
      <c r="AL62" s="313">
        <f>_xlfn.IFNA(_xlfn.XLOOKUP(_xlfn.XLOOKUP(_xlfn.XLOOKUP(AG62,'ENE TECH'!$G:$G,'ENE TECH'!$B:$B),Mapping!$B:$B,Mapping!$C:$C),'Emission Factors Hub'!$C:$C,'Emission Factors Hub'!$G:$G)/Parameters!$C$2,0)</f>
        <v>5.9712478728021843E-4</v>
      </c>
      <c r="AM62" s="313">
        <f t="shared" si="12"/>
        <v>5.9712478728021843E-4</v>
      </c>
      <c r="AR62" t="s">
        <v>366</v>
      </c>
      <c r="AS62">
        <f>'City characteristics'!$C$20</f>
        <v>2019</v>
      </c>
      <c r="AT62" t="str">
        <f>'ENE TECH'!$G56</f>
        <v>ELCRNG</v>
      </c>
      <c r="AV62" t="str">
        <f>'ENE TECH'!$G56</f>
        <v>ELCRNG</v>
      </c>
      <c r="AX62" t="str">
        <f t="shared" si="13"/>
        <v>ELCCO2e</v>
      </c>
      <c r="AY62" s="313">
        <f>L62+Y62*'Emission Factors Hub'!$E$8+AL62*'Emission Factors Hub'!$E$9</f>
        <v>49.60660613369425</v>
      </c>
      <c r="AZ62" s="313">
        <f>IFERROR(M62+Z62*'Emission Factors Hub'!$E$8+AM62*'Emission Factors Hub'!$E$9,"")</f>
        <v>49.60660613369425</v>
      </c>
    </row>
    <row r="63" spans="1:52">
      <c r="E63" t="s">
        <v>366</v>
      </c>
      <c r="F63">
        <f>'City characteristics'!$C$20</f>
        <v>2019</v>
      </c>
      <c r="G63" t="str">
        <f>'ENE TECH'!$G57</f>
        <v>ELCCOA</v>
      </c>
      <c r="H63" t="s">
        <v>367</v>
      </c>
      <c r="I63" t="str">
        <f>'ENE TECH'!$G57</f>
        <v>ELCCOA</v>
      </c>
      <c r="K63" t="str">
        <f t="shared" si="7"/>
        <v>ELCCO2</v>
      </c>
      <c r="L63" s="313">
        <f>_xlfn.IFNA(_xlfn.XLOOKUP(_xlfn.XLOOKUP(_xlfn.XLOOKUP(G63,'ENE TECH'!$G:$G,'ENE TECH'!$B:$B),Mapping!$B:$B,Mapping!$C:$C),'Emission Factors Hub'!$C:$C,'Emission Factors Hub'!$E:$E)/Parameters!$C$2*10^3,0)</f>
        <v>88.412381202378995</v>
      </c>
      <c r="M63" s="313">
        <f t="shared" si="8"/>
        <v>88.412381202378995</v>
      </c>
      <c r="R63" t="s">
        <v>366</v>
      </c>
      <c r="S63">
        <f>'City characteristics'!$C$20</f>
        <v>2019</v>
      </c>
      <c r="T63" t="str">
        <f>'ENE TECH'!$G57</f>
        <v>ELCCOA</v>
      </c>
      <c r="U63" t="s">
        <v>367</v>
      </c>
      <c r="V63" t="str">
        <f>'ENE TECH'!$G57</f>
        <v>ELCCOA</v>
      </c>
      <c r="X63" t="str">
        <f t="shared" si="9"/>
        <v>ELCCH4</v>
      </c>
      <c r="Y63" s="313">
        <f>_xlfn.IFNA(_xlfn.XLOOKUP(_xlfn.XLOOKUP(_xlfn.XLOOKUP(T63,'ENE TECH'!$G:$G,'ENE TECH'!$B:$B),Mapping!$B:$B,Mapping!$C:$C),'Emission Factors Hub'!$C:$C,'Emission Factors Hub'!$F:$F)/Parameters!$C$2,0)</f>
        <v>1.0425988349337147E-2</v>
      </c>
      <c r="Z63" s="313">
        <f t="shared" si="10"/>
        <v>1.0425988349337147E-2</v>
      </c>
      <c r="AE63" t="s">
        <v>366</v>
      </c>
      <c r="AF63">
        <f>'City characteristics'!$C$20</f>
        <v>2019</v>
      </c>
      <c r="AG63" t="str">
        <f>'ENE TECH'!$G57</f>
        <v>ELCCOA</v>
      </c>
      <c r="AH63" t="s">
        <v>367</v>
      </c>
      <c r="AI63" t="str">
        <f>'ENE TECH'!$G57</f>
        <v>ELCCOA</v>
      </c>
      <c r="AK63" t="str">
        <f t="shared" si="11"/>
        <v>ELCN2O</v>
      </c>
      <c r="AL63" s="313">
        <f>_xlfn.IFNA(_xlfn.XLOOKUP(_xlfn.XLOOKUP(_xlfn.XLOOKUP(AG63,'ENE TECH'!$G:$G,'ENE TECH'!$B:$B),Mapping!$B:$B,Mapping!$C:$C),'Emission Factors Hub'!$C:$C,'Emission Factors Hub'!$G:$G)/Parameters!$C$2,0)</f>
        <v>1.5165073962672213E-3</v>
      </c>
      <c r="AM63" s="313">
        <f t="shared" si="12"/>
        <v>1.5165073962672213E-3</v>
      </c>
      <c r="AR63" t="s">
        <v>366</v>
      </c>
      <c r="AS63">
        <f>'City characteristics'!$C$20</f>
        <v>2019</v>
      </c>
      <c r="AT63" t="str">
        <f>'ENE TECH'!$G57</f>
        <v>ELCCOA</v>
      </c>
      <c r="AU63" t="s">
        <v>367</v>
      </c>
      <c r="AV63" t="str">
        <f>'ENE TECH'!$G57</f>
        <v>ELCCOA</v>
      </c>
      <c r="AX63" t="str">
        <f t="shared" si="13"/>
        <v>ELCCO2e</v>
      </c>
      <c r="AY63" s="313">
        <f>L63+Y63*'Emission Factors Hub'!$E$8+AL63*'Emission Factors Hub'!$E$9</f>
        <v>89.124950115200051</v>
      </c>
      <c r="AZ63" s="313">
        <f>IFERROR(M63+Z63*'Emission Factors Hub'!$E$8+AM63*'Emission Factors Hub'!$E$9,"")</f>
        <v>89.124950115200051</v>
      </c>
    </row>
    <row r="64" spans="1:52">
      <c r="A64" s="312">
        <v>0.9</v>
      </c>
      <c r="B64" s="312"/>
      <c r="E64" t="s">
        <v>366</v>
      </c>
      <c r="F64">
        <f>'City characteristics'!$C$20</f>
        <v>2019</v>
      </c>
      <c r="G64" t="str">
        <f>G63</f>
        <v>ELCCOA</v>
      </c>
      <c r="H64" t="s">
        <v>368</v>
      </c>
      <c r="I64" t="str">
        <f>I63</f>
        <v>ELCCOA</v>
      </c>
      <c r="K64" t="str">
        <f t="shared" si="7"/>
        <v>ELCCO2</v>
      </c>
      <c r="L64" s="313">
        <f>$L$63*(1-A64)</f>
        <v>8.8412381202378967</v>
      </c>
      <c r="M64" s="313">
        <f t="shared" si="8"/>
        <v>8.8412381202378967</v>
      </c>
      <c r="R64" t="s">
        <v>366</v>
      </c>
      <c r="S64">
        <f>'City characteristics'!$C$20</f>
        <v>2019</v>
      </c>
      <c r="T64" t="str">
        <f>T63</f>
        <v>ELCCOA</v>
      </c>
      <c r="U64" t="s">
        <v>368</v>
      </c>
      <c r="V64" t="str">
        <f>V63</f>
        <v>ELCCOA</v>
      </c>
      <c r="X64" t="str">
        <f t="shared" si="9"/>
        <v>ELCCH4</v>
      </c>
      <c r="Y64" s="313">
        <f>Y63</f>
        <v>1.0425988349337147E-2</v>
      </c>
      <c r="Z64" s="313">
        <f t="shared" si="10"/>
        <v>1.0425988349337147E-2</v>
      </c>
      <c r="AE64" t="s">
        <v>366</v>
      </c>
      <c r="AF64">
        <f>'City characteristics'!$C$20</f>
        <v>2019</v>
      </c>
      <c r="AG64" t="str">
        <f>AG63</f>
        <v>ELCCOA</v>
      </c>
      <c r="AH64" t="s">
        <v>368</v>
      </c>
      <c r="AI64" t="str">
        <f>AI63</f>
        <v>ELCCOA</v>
      </c>
      <c r="AK64" t="str">
        <f t="shared" si="11"/>
        <v>ELCN2O</v>
      </c>
      <c r="AL64" s="313">
        <f>AL63</f>
        <v>1.5165073962672213E-3</v>
      </c>
      <c r="AM64" s="313">
        <f t="shared" si="12"/>
        <v>1.5165073962672213E-3</v>
      </c>
      <c r="AR64" t="s">
        <v>366</v>
      </c>
      <c r="AS64">
        <f>'City characteristics'!$C$20</f>
        <v>2019</v>
      </c>
      <c r="AT64" t="str">
        <f>AT63</f>
        <v>ELCCOA</v>
      </c>
      <c r="AU64" t="s">
        <v>368</v>
      </c>
      <c r="AV64" t="str">
        <f>AV63</f>
        <v>ELCCOA</v>
      </c>
      <c r="AX64" t="str">
        <f t="shared" si="13"/>
        <v>ELCCO2e</v>
      </c>
      <c r="AY64" s="313">
        <f>L64+Y64*'Emission Factors Hub'!$E$8+AL64*'Emission Factors Hub'!$E$9</f>
        <v>9.5538070330589573</v>
      </c>
      <c r="AZ64" s="313">
        <f>IFERROR(M64+Z64*'Emission Factors Hub'!$E$8+AM64*'Emission Factors Hub'!$E$9,"")</f>
        <v>9.5538070330589573</v>
      </c>
    </row>
    <row r="65" spans="1:52">
      <c r="A65" s="312">
        <v>0.95</v>
      </c>
      <c r="B65" s="312"/>
      <c r="E65" t="s">
        <v>366</v>
      </c>
      <c r="F65">
        <f>'City characteristics'!$C$20</f>
        <v>2019</v>
      </c>
      <c r="G65" t="str">
        <f>G64</f>
        <v>ELCCOA</v>
      </c>
      <c r="H65" t="s">
        <v>369</v>
      </c>
      <c r="I65" t="str">
        <f>I64</f>
        <v>ELCCOA</v>
      </c>
      <c r="K65" t="str">
        <f t="shared" si="7"/>
        <v>ELCCO2</v>
      </c>
      <c r="L65" s="313">
        <f>$L$58*(1-A65)</f>
        <v>2.5145588264355889</v>
      </c>
      <c r="M65" s="313">
        <f t="shared" si="8"/>
        <v>2.5145588264355889</v>
      </c>
      <c r="R65" t="s">
        <v>366</v>
      </c>
      <c r="S65">
        <f>'City characteristics'!$C$20</f>
        <v>2019</v>
      </c>
      <c r="T65" t="str">
        <f>T64</f>
        <v>ELCCOA</v>
      </c>
      <c r="U65" t="s">
        <v>369</v>
      </c>
      <c r="V65" t="str">
        <f>V64</f>
        <v>ELCCOA</v>
      </c>
      <c r="X65" t="str">
        <f t="shared" si="9"/>
        <v>ELCCH4</v>
      </c>
      <c r="Y65" s="313">
        <f>Y64</f>
        <v>1.0425988349337147E-2</v>
      </c>
      <c r="Z65" s="313">
        <f t="shared" si="10"/>
        <v>1.0425988349337147E-2</v>
      </c>
      <c r="AE65" t="s">
        <v>366</v>
      </c>
      <c r="AF65">
        <f>'City characteristics'!$C$20</f>
        <v>2019</v>
      </c>
      <c r="AG65" t="str">
        <f>AG64</f>
        <v>ELCCOA</v>
      </c>
      <c r="AH65" t="s">
        <v>369</v>
      </c>
      <c r="AI65" t="str">
        <f>AI64</f>
        <v>ELCCOA</v>
      </c>
      <c r="AK65" t="str">
        <f t="shared" si="11"/>
        <v>ELCN2O</v>
      </c>
      <c r="AL65" s="313">
        <f>AL64</f>
        <v>1.5165073962672213E-3</v>
      </c>
      <c r="AM65" s="313">
        <f t="shared" si="12"/>
        <v>1.5165073962672213E-3</v>
      </c>
      <c r="AR65" t="s">
        <v>366</v>
      </c>
      <c r="AS65">
        <f>'City characteristics'!$C$20</f>
        <v>2019</v>
      </c>
      <c r="AT65" t="str">
        <f>AT64</f>
        <v>ELCCOA</v>
      </c>
      <c r="AU65" t="s">
        <v>369</v>
      </c>
      <c r="AV65" t="str">
        <f>AV64</f>
        <v>ELCCOA</v>
      </c>
      <c r="AX65" t="str">
        <f t="shared" si="13"/>
        <v>ELCCO2e</v>
      </c>
      <c r="AY65" s="313">
        <f>L65+Y65*'Emission Factors Hub'!$E$8+AL65*'Emission Factors Hub'!$E$9</f>
        <v>3.2271277392566495</v>
      </c>
      <c r="AZ65" s="313">
        <f>IFERROR(M65+Z65*'Emission Factors Hub'!$E$8+AM65*'Emission Factors Hub'!$E$9,"")</f>
        <v>3.2271277392566495</v>
      </c>
    </row>
    <row r="66" spans="1:52">
      <c r="A66" s="312">
        <v>0.99</v>
      </c>
      <c r="B66" s="312"/>
      <c r="E66" t="s">
        <v>366</v>
      </c>
      <c r="F66">
        <f>'City characteristics'!$C$20</f>
        <v>2019</v>
      </c>
      <c r="G66" t="str">
        <f>G65</f>
        <v>ELCCOA</v>
      </c>
      <c r="H66" t="s">
        <v>371</v>
      </c>
      <c r="I66" t="str">
        <f>I65</f>
        <v>ELCCOA</v>
      </c>
      <c r="K66" t="str">
        <f t="shared" si="7"/>
        <v>ELCCO2</v>
      </c>
      <c r="L66" s="313">
        <f>$L$58*(1-A66)</f>
        <v>0.50291176528711778</v>
      </c>
      <c r="M66" s="313">
        <f t="shared" si="8"/>
        <v>0.50291176528711778</v>
      </c>
      <c r="R66" t="s">
        <v>366</v>
      </c>
      <c r="S66">
        <f>'City characteristics'!$C$20</f>
        <v>2019</v>
      </c>
      <c r="T66" t="str">
        <f>T65</f>
        <v>ELCCOA</v>
      </c>
      <c r="U66" t="s">
        <v>371</v>
      </c>
      <c r="V66" t="str">
        <f>V65</f>
        <v>ELCCOA</v>
      </c>
      <c r="X66" t="str">
        <f t="shared" si="9"/>
        <v>ELCCH4</v>
      </c>
      <c r="Y66" s="313">
        <f>Y65</f>
        <v>1.0425988349337147E-2</v>
      </c>
      <c r="Z66" s="313">
        <f t="shared" si="10"/>
        <v>1.0425988349337147E-2</v>
      </c>
      <c r="AE66" t="s">
        <v>366</v>
      </c>
      <c r="AF66">
        <f>'City characteristics'!$C$20</f>
        <v>2019</v>
      </c>
      <c r="AG66" t="str">
        <f>AG65</f>
        <v>ELCCOA</v>
      </c>
      <c r="AH66" t="s">
        <v>371</v>
      </c>
      <c r="AI66" t="str">
        <f>AI65</f>
        <v>ELCCOA</v>
      </c>
      <c r="AK66" t="str">
        <f t="shared" si="11"/>
        <v>ELCN2O</v>
      </c>
      <c r="AL66" s="313">
        <f>AL65</f>
        <v>1.5165073962672213E-3</v>
      </c>
      <c r="AM66" s="313">
        <f t="shared" si="12"/>
        <v>1.5165073962672213E-3</v>
      </c>
      <c r="AR66" t="s">
        <v>366</v>
      </c>
      <c r="AS66">
        <f>'City characteristics'!$C$20</f>
        <v>2019</v>
      </c>
      <c r="AT66" t="str">
        <f>AT65</f>
        <v>ELCCOA</v>
      </c>
      <c r="AU66" t="s">
        <v>371</v>
      </c>
      <c r="AV66" t="str">
        <f>AV65</f>
        <v>ELCCOA</v>
      </c>
      <c r="AX66" t="str">
        <f t="shared" si="13"/>
        <v>ELCCO2e</v>
      </c>
      <c r="AY66" s="313">
        <f>L66+Y66*'Emission Factors Hub'!$E$8+AL66*'Emission Factors Hub'!$E$9</f>
        <v>1.2154806781081784</v>
      </c>
      <c r="AZ66" s="313">
        <f>IFERROR(M66+Z66*'Emission Factors Hub'!$E$8+AM66*'Emission Factors Hub'!$E$9,"")</f>
        <v>1.2154806781081784</v>
      </c>
    </row>
    <row r="67" spans="1:52">
      <c r="E67" t="s">
        <v>366</v>
      </c>
      <c r="F67">
        <f>'City characteristics'!$C$20</f>
        <v>2019</v>
      </c>
      <c r="G67" t="str">
        <f>'ENE TECH'!$G58</f>
        <v>ELCURN</v>
      </c>
      <c r="I67" t="str">
        <f>'ENE TECH'!$G58</f>
        <v>ELCURN</v>
      </c>
      <c r="K67" t="str">
        <f t="shared" si="7"/>
        <v>ELCCO2</v>
      </c>
      <c r="L67" s="313">
        <f>_xlfn.IFNA(_xlfn.XLOOKUP(_xlfn.XLOOKUP(_xlfn.XLOOKUP(G67,'ENE TECH'!$G:$G,'ENE TECH'!$B:$B),Mapping!$B:$B,Mapping!$C:$C),'Emission Factors Hub'!$C:$C,'Emission Factors Hub'!$E:$E)/Parameters!$C$2*10^3,0)</f>
        <v>0</v>
      </c>
      <c r="M67" s="313">
        <f t="shared" si="8"/>
        <v>0</v>
      </c>
      <c r="R67" t="s">
        <v>366</v>
      </c>
      <c r="S67">
        <f>'City characteristics'!$C$20</f>
        <v>2019</v>
      </c>
      <c r="T67" t="str">
        <f>'ENE TECH'!$G58</f>
        <v>ELCURN</v>
      </c>
      <c r="V67" t="str">
        <f>'ENE TECH'!$G58</f>
        <v>ELCURN</v>
      </c>
      <c r="X67" t="str">
        <f t="shared" si="9"/>
        <v>ELCCH4</v>
      </c>
      <c r="Y67" s="313">
        <f>_xlfn.IFNA(_xlfn.XLOOKUP(_xlfn.XLOOKUP(_xlfn.XLOOKUP(T67,'ENE TECH'!$G:$G,'ENE TECH'!$B:$B),Mapping!$B:$B,Mapping!$C:$C),'Emission Factors Hub'!$C:$C,'Emission Factors Hub'!$F:$F)/Parameters!$C$2,0)</f>
        <v>0</v>
      </c>
      <c r="Z67" s="313">
        <f t="shared" si="10"/>
        <v>0</v>
      </c>
      <c r="AE67" t="s">
        <v>366</v>
      </c>
      <c r="AF67">
        <f>'City characteristics'!$C$20</f>
        <v>2019</v>
      </c>
      <c r="AG67" t="str">
        <f>'ENE TECH'!$G58</f>
        <v>ELCURN</v>
      </c>
      <c r="AI67" t="str">
        <f>'ENE TECH'!$G58</f>
        <v>ELCURN</v>
      </c>
      <c r="AK67" t="str">
        <f t="shared" si="11"/>
        <v>ELCN2O</v>
      </c>
      <c r="AL67" s="313">
        <f>_xlfn.IFNA(_xlfn.XLOOKUP(_xlfn.XLOOKUP(_xlfn.XLOOKUP(AG67,'ENE TECH'!$G:$G,'ENE TECH'!$B:$B),Mapping!$B:$B,Mapping!$C:$C),'Emission Factors Hub'!$C:$C,'Emission Factors Hub'!$G:$G)/Parameters!$C$2,0)</f>
        <v>0</v>
      </c>
      <c r="AM67" s="313">
        <f t="shared" si="12"/>
        <v>0</v>
      </c>
      <c r="AR67" t="s">
        <v>366</v>
      </c>
      <c r="AS67">
        <f>'City characteristics'!$C$20</f>
        <v>2019</v>
      </c>
      <c r="AT67" t="str">
        <f>'ENE TECH'!$G58</f>
        <v>ELCURN</v>
      </c>
      <c r="AV67" t="str">
        <f>'ENE TECH'!$G58</f>
        <v>ELCURN</v>
      </c>
      <c r="AX67" t="str">
        <f t="shared" si="13"/>
        <v>ELCCO2e</v>
      </c>
      <c r="AY67" s="313">
        <f>L67+Y67*'Emission Factors Hub'!$E$8+AL67*'Emission Factors Hub'!$E$9</f>
        <v>0</v>
      </c>
      <c r="AZ67" s="313">
        <f>IFERROR(M67+Z67*'Emission Factors Hub'!$E$8+AM67*'Emission Factors Hub'!$E$9,"")</f>
        <v>0</v>
      </c>
    </row>
    <row r="68" spans="1:52">
      <c r="E68" t="s">
        <v>366</v>
      </c>
      <c r="F68">
        <f>'City characteristics'!$C$20</f>
        <v>2019</v>
      </c>
      <c r="G68" t="str">
        <f>'ENE TECH'!$G59</f>
        <v>ELCBIO</v>
      </c>
      <c r="I68" t="str">
        <f>'ENE TECH'!$G59</f>
        <v>ELCBIO</v>
      </c>
      <c r="K68" t="str">
        <f t="shared" si="7"/>
        <v>ELCCO2</v>
      </c>
      <c r="L68" s="313">
        <f>_xlfn.IFNA(_xlfn.XLOOKUP(_xlfn.XLOOKUP(_xlfn.XLOOKUP(G68,'ENE TECH'!$G:$G,'ENE TECH'!$B:$B),Mapping!$B:$B,Mapping!$C:$C),'Emission Factors Hub'!$C:$C,'Emission Factors Hub'!$E:$E)/Parameters!$C$2*10^3,0)</f>
        <v>0</v>
      </c>
      <c r="M68" s="313">
        <f t="shared" si="8"/>
        <v>0</v>
      </c>
      <c r="R68" t="s">
        <v>366</v>
      </c>
      <c r="S68">
        <f>'City characteristics'!$C$20</f>
        <v>2019</v>
      </c>
      <c r="T68" t="str">
        <f>'ENE TECH'!$G59</f>
        <v>ELCBIO</v>
      </c>
      <c r="V68" t="str">
        <f>'ENE TECH'!$G59</f>
        <v>ELCBIO</v>
      </c>
      <c r="X68" t="str">
        <f t="shared" si="9"/>
        <v>ELCCH4</v>
      </c>
      <c r="Y68" s="313">
        <f>_xlfn.IFNA(_xlfn.XLOOKUP(_xlfn.XLOOKUP(_xlfn.XLOOKUP(T68,'ENE TECH'!$G:$G,'ENE TECH'!$B:$B),Mapping!$B:$B,Mapping!$C:$C),'Emission Factors Hub'!$C:$C,'Emission Factors Hub'!$F:$F)/Parameters!$C$2,0)</f>
        <v>0</v>
      </c>
      <c r="Z68" s="313">
        <f t="shared" si="10"/>
        <v>0</v>
      </c>
      <c r="AE68" t="s">
        <v>366</v>
      </c>
      <c r="AF68">
        <f>'City characteristics'!$C$20</f>
        <v>2019</v>
      </c>
      <c r="AG68" t="str">
        <f>'ENE TECH'!$G59</f>
        <v>ELCBIO</v>
      </c>
      <c r="AI68" t="str">
        <f>'ENE TECH'!$G59</f>
        <v>ELCBIO</v>
      </c>
      <c r="AK68" t="str">
        <f t="shared" si="11"/>
        <v>ELCN2O</v>
      </c>
      <c r="AL68" s="313">
        <f>_xlfn.IFNA(_xlfn.XLOOKUP(_xlfn.XLOOKUP(_xlfn.XLOOKUP(AG68,'ENE TECH'!$G:$G,'ENE TECH'!$B:$B),Mapping!$B:$B,Mapping!$C:$C),'Emission Factors Hub'!$C:$C,'Emission Factors Hub'!$G:$G)/Parameters!$C$2,0)</f>
        <v>0</v>
      </c>
      <c r="AM68" s="313">
        <f t="shared" si="12"/>
        <v>0</v>
      </c>
      <c r="AR68" t="s">
        <v>366</v>
      </c>
      <c r="AS68">
        <f>'City characteristics'!$C$20</f>
        <v>2019</v>
      </c>
      <c r="AT68" t="str">
        <f>'ENE TECH'!$G59</f>
        <v>ELCBIO</v>
      </c>
      <c r="AV68" t="str">
        <f>'ENE TECH'!$G59</f>
        <v>ELCBIO</v>
      </c>
      <c r="AX68" t="str">
        <f t="shared" si="13"/>
        <v>ELCCO2e</v>
      </c>
      <c r="AY68" s="313">
        <f>L68+Y68*'Emission Factors Hub'!$E$8+AL68*'Emission Factors Hub'!$E$9</f>
        <v>0</v>
      </c>
      <c r="AZ68" s="313">
        <f>IFERROR(M68+Z68*'Emission Factors Hub'!$E$8+AM68*'Emission Factors Hub'!$E$9,"")</f>
        <v>0</v>
      </c>
    </row>
    <row r="69" spans="1:52">
      <c r="E69" t="s">
        <v>366</v>
      </c>
      <c r="F69">
        <f>'City characteristics'!$C$20</f>
        <v>2019</v>
      </c>
      <c r="G69" t="str">
        <f>'ENE TECH'!$G60</f>
        <v>ELCOTB</v>
      </c>
      <c r="I69" t="str">
        <f>'ENE TECH'!$G60</f>
        <v>ELCOTB</v>
      </c>
      <c r="K69" t="str">
        <f t="shared" si="7"/>
        <v>ELCCO2</v>
      </c>
      <c r="L69" s="313">
        <f>_xlfn.IFNA(_xlfn.XLOOKUP(_xlfn.XLOOKUP(_xlfn.XLOOKUP(G69,'ENE TECH'!$G:$G,'ENE TECH'!$B:$B),Mapping!$B:$B,Mapping!$C:$C),'Emission Factors Hub'!$C:$C,'Emission Factors Hub'!$E:$E)/Parameters!$C$2*10^3,0)</f>
        <v>0</v>
      </c>
      <c r="M69" s="313">
        <f t="shared" si="8"/>
        <v>0</v>
      </c>
      <c r="R69" t="s">
        <v>366</v>
      </c>
      <c r="S69">
        <f>'City characteristics'!$C$20</f>
        <v>2019</v>
      </c>
      <c r="T69" t="str">
        <f>'ENE TECH'!$G60</f>
        <v>ELCOTB</v>
      </c>
      <c r="V69" t="str">
        <f>'ENE TECH'!$G60</f>
        <v>ELCOTB</v>
      </c>
      <c r="X69" t="str">
        <f t="shared" si="9"/>
        <v>ELCCH4</v>
      </c>
      <c r="Y69" s="313">
        <f>_xlfn.IFNA(_xlfn.XLOOKUP(_xlfn.XLOOKUP(_xlfn.XLOOKUP(T69,'ENE TECH'!$G:$G,'ENE TECH'!$B:$B),Mapping!$B:$B,Mapping!$C:$C),'Emission Factors Hub'!$C:$C,'Emission Factors Hub'!$F:$F)/Parameters!$C$2,0)</f>
        <v>0</v>
      </c>
      <c r="Z69" s="313">
        <f t="shared" si="10"/>
        <v>0</v>
      </c>
      <c r="AE69" t="s">
        <v>366</v>
      </c>
      <c r="AF69">
        <f>'City characteristics'!$C$20</f>
        <v>2019</v>
      </c>
      <c r="AG69" t="str">
        <f>'ENE TECH'!$G60</f>
        <v>ELCOTB</v>
      </c>
      <c r="AI69" t="str">
        <f>'ENE TECH'!$G60</f>
        <v>ELCOTB</v>
      </c>
      <c r="AK69" t="str">
        <f t="shared" si="11"/>
        <v>ELCN2O</v>
      </c>
      <c r="AL69" s="313">
        <f>_xlfn.IFNA(_xlfn.XLOOKUP(_xlfn.XLOOKUP(_xlfn.XLOOKUP(AG69,'ENE TECH'!$G:$G,'ENE TECH'!$B:$B),Mapping!$B:$B,Mapping!$C:$C),'Emission Factors Hub'!$C:$C,'Emission Factors Hub'!$G:$G)/Parameters!$C$2,0)</f>
        <v>0</v>
      </c>
      <c r="AM69" s="313">
        <f t="shared" si="12"/>
        <v>0</v>
      </c>
      <c r="AR69" t="s">
        <v>366</v>
      </c>
      <c r="AS69">
        <f>'City characteristics'!$C$20</f>
        <v>2019</v>
      </c>
      <c r="AT69" t="str">
        <f>'ENE TECH'!$G60</f>
        <v>ELCOTB</v>
      </c>
      <c r="AV69" t="str">
        <f>'ENE TECH'!$G60</f>
        <v>ELCOTB</v>
      </c>
      <c r="AX69" t="str">
        <f t="shared" si="13"/>
        <v>ELCCO2e</v>
      </c>
      <c r="AY69" s="313">
        <f>L69+Y69*'Emission Factors Hub'!$E$8+AL69*'Emission Factors Hub'!$E$9</f>
        <v>0</v>
      </c>
      <c r="AZ69" s="313">
        <f>IFERROR(M69+Z69*'Emission Factors Hub'!$E$8+AM69*'Emission Factors Hub'!$E$9,"")</f>
        <v>0</v>
      </c>
    </row>
    <row r="70" spans="1:52">
      <c r="E70" t="s">
        <v>366</v>
      </c>
      <c r="F70">
        <f>'City characteristics'!$C$20</f>
        <v>2019</v>
      </c>
      <c r="G70" t="str">
        <f>'ENE TECH'!$G61</f>
        <v>ELCWAS</v>
      </c>
      <c r="I70" t="str">
        <f>'ENE TECH'!$G61</f>
        <v>ELCWAS</v>
      </c>
      <c r="K70" t="str">
        <f t="shared" ref="K70:K89" si="14">LEFT(G70,3)&amp;K$2</f>
        <v>ELCCO2</v>
      </c>
      <c r="L70" s="313">
        <f>_xlfn.IFNA(_xlfn.XLOOKUP(_xlfn.XLOOKUP(_xlfn.XLOOKUP(G70,'ENE TECH'!$G:$G,'ENE TECH'!$B:$B),Mapping!$B:$B,Mapping!$C:$C),'Emission Factors Hub'!$C:$C,'Emission Factors Hub'!$E:$E)/Parameters!$C$2*10^3,0)</f>
        <v>85.967013025898112</v>
      </c>
      <c r="M70" s="313">
        <f t="shared" ref="M70:M101" si="15">IF(LEFT(I70,3)="ELC",L70,"")</f>
        <v>85.967013025898112</v>
      </c>
      <c r="R70" t="s">
        <v>366</v>
      </c>
      <c r="S70">
        <f>'City characteristics'!$C$20</f>
        <v>2019</v>
      </c>
      <c r="T70" t="str">
        <f>'ENE TECH'!$G61</f>
        <v>ELCWAS</v>
      </c>
      <c r="V70" t="str">
        <f>'ENE TECH'!$G61</f>
        <v>ELCWAS</v>
      </c>
      <c r="X70" t="str">
        <f t="shared" ref="X70:X89" si="16">LEFT(T70,3)&amp;X$2</f>
        <v>ELCCH4</v>
      </c>
      <c r="Y70" s="313">
        <f>_xlfn.IFNA(_xlfn.XLOOKUP(_xlfn.XLOOKUP(_xlfn.XLOOKUP(T70,'ENE TECH'!$G:$G,'ENE TECH'!$B:$B),Mapping!$B:$B,Mapping!$C:$C),'Emission Factors Hub'!$C:$C,'Emission Factors Hub'!$F:$F)/Parameters!$C$2,0)</f>
        <v>3.0330147925344428E-2</v>
      </c>
      <c r="Z70" s="313">
        <f t="shared" ref="Z70:Z101" si="17">IF(LEFT(V70,3)="ELC",Y70,"")</f>
        <v>3.0330147925344428E-2</v>
      </c>
      <c r="AE70" t="s">
        <v>366</v>
      </c>
      <c r="AF70">
        <f>'City characteristics'!$C$20</f>
        <v>2019</v>
      </c>
      <c r="AG70" t="str">
        <f>'ENE TECH'!$G61</f>
        <v>ELCWAS</v>
      </c>
      <c r="AI70" t="str">
        <f>'ENE TECH'!$G61</f>
        <v>ELCWAS</v>
      </c>
      <c r="AK70" t="str">
        <f t="shared" ref="AK70:AK89" si="18">LEFT(AG70,3)&amp;AK$2</f>
        <v>ELCN2O</v>
      </c>
      <c r="AL70" s="313">
        <f>_xlfn.IFNA(_xlfn.XLOOKUP(_xlfn.XLOOKUP(_xlfn.XLOOKUP(AG70,'ENE TECH'!$G:$G,'ENE TECH'!$B:$B),Mapping!$B:$B,Mapping!$C:$C),'Emission Factors Hub'!$C:$C,'Emission Factors Hub'!$G:$G)/Parameters!$C$2,0)</f>
        <v>3.9808319152014561E-3</v>
      </c>
      <c r="AM70" s="313">
        <f t="shared" ref="AM70:AM101" si="19">IF(LEFT(AI70,3)="ELC",AL70,"")</f>
        <v>3.9808319152014561E-3</v>
      </c>
      <c r="AR70" t="s">
        <v>366</v>
      </c>
      <c r="AS70">
        <f>'City characteristics'!$C$20</f>
        <v>2019</v>
      </c>
      <c r="AT70" t="str">
        <f>'ENE TECH'!$G61</f>
        <v>ELCWAS</v>
      </c>
      <c r="AV70" t="str">
        <f>'ENE TECH'!$G61</f>
        <v>ELCWAS</v>
      </c>
      <c r="AX70" t="str">
        <f t="shared" ref="AX70:AX89" si="20">LEFT(AT70,3)&amp;AX$2</f>
        <v>ELCCO2e</v>
      </c>
      <c r="AY70" s="313">
        <f>L70+Y70*'Emission Factors Hub'!$E$8+AL70*'Emission Factors Hub'!$E$9</f>
        <v>87.911554634761757</v>
      </c>
      <c r="AZ70" s="313">
        <f>IFERROR(M70+Z70*'Emission Factors Hub'!$E$8+AM70*'Emission Factors Hub'!$E$9,"")</f>
        <v>87.911554634761757</v>
      </c>
    </row>
    <row r="71" spans="1:52">
      <c r="E71" t="s">
        <v>366</v>
      </c>
      <c r="F71">
        <f>'City characteristics'!$C$20</f>
        <v>2019</v>
      </c>
      <c r="G71" t="str">
        <f>'ENE TECH'!$G62</f>
        <v>ELCHET</v>
      </c>
      <c r="I71" t="str">
        <f>'ENE TECH'!$G62</f>
        <v>ELCHET</v>
      </c>
      <c r="K71" t="str">
        <f t="shared" si="14"/>
        <v>ELCCO2</v>
      </c>
      <c r="L71" s="313">
        <f>_xlfn.IFNA(_xlfn.XLOOKUP(_xlfn.XLOOKUP(_xlfn.XLOOKUP(G71,'ENE TECH'!$G:$G,'ENE TECH'!$B:$B),Mapping!$B:$B,Mapping!$C:$C),'Emission Factors Hub'!$C:$C,'Emission Factors Hub'!$E:$E)/Parameters!$C$2*10^3,0)</f>
        <v>0</v>
      </c>
      <c r="M71" s="313">
        <f t="shared" si="15"/>
        <v>0</v>
      </c>
      <c r="R71" t="s">
        <v>366</v>
      </c>
      <c r="S71">
        <f>'City characteristics'!$C$20</f>
        <v>2019</v>
      </c>
      <c r="T71" t="str">
        <f>'ENE TECH'!$G62</f>
        <v>ELCHET</v>
      </c>
      <c r="V71" t="str">
        <f>'ENE TECH'!$G62</f>
        <v>ELCHET</v>
      </c>
      <c r="X71" t="str">
        <f t="shared" si="16"/>
        <v>ELCCH4</v>
      </c>
      <c r="Y71" s="313">
        <f>_xlfn.IFNA(_xlfn.XLOOKUP(_xlfn.XLOOKUP(_xlfn.XLOOKUP(T71,'ENE TECH'!$G:$G,'ENE TECH'!$B:$B),Mapping!$B:$B,Mapping!$C:$C),'Emission Factors Hub'!$C:$C,'Emission Factors Hub'!$F:$F)/Parameters!$C$2,0)</f>
        <v>0</v>
      </c>
      <c r="Z71" s="313">
        <f t="shared" si="17"/>
        <v>0</v>
      </c>
      <c r="AE71" t="s">
        <v>366</v>
      </c>
      <c r="AF71">
        <f>'City characteristics'!$C$20</f>
        <v>2019</v>
      </c>
      <c r="AG71" t="str">
        <f>'ENE TECH'!$G62</f>
        <v>ELCHET</v>
      </c>
      <c r="AI71" t="str">
        <f>'ENE TECH'!$G62</f>
        <v>ELCHET</v>
      </c>
      <c r="AK71" t="str">
        <f t="shared" si="18"/>
        <v>ELCN2O</v>
      </c>
      <c r="AL71" s="313">
        <f>_xlfn.IFNA(_xlfn.XLOOKUP(_xlfn.XLOOKUP(_xlfn.XLOOKUP(AG71,'ENE TECH'!$G:$G,'ENE TECH'!$B:$B),Mapping!$B:$B,Mapping!$C:$C),'Emission Factors Hub'!$C:$C,'Emission Factors Hub'!$G:$G)/Parameters!$C$2,0)</f>
        <v>0</v>
      </c>
      <c r="AM71" s="313">
        <f t="shared" si="19"/>
        <v>0</v>
      </c>
      <c r="AR71" t="s">
        <v>366</v>
      </c>
      <c r="AS71">
        <f>'City characteristics'!$C$20</f>
        <v>2019</v>
      </c>
      <c r="AT71" t="str">
        <f>'ENE TECH'!$G62</f>
        <v>ELCHET</v>
      </c>
      <c r="AV71" t="str">
        <f>'ENE TECH'!$G62</f>
        <v>ELCHET</v>
      </c>
      <c r="AX71" t="str">
        <f t="shared" si="20"/>
        <v>ELCCO2e</v>
      </c>
      <c r="AY71" s="313">
        <f>L71+Y71*'Emission Factors Hub'!$E$8+AL71*'Emission Factors Hub'!$E$9</f>
        <v>0</v>
      </c>
      <c r="AZ71" s="313">
        <f>IFERROR(M71+Z71*'Emission Factors Hub'!$E$8+AM71*'Emission Factors Hub'!$E$9,"")</f>
        <v>0</v>
      </c>
    </row>
    <row r="72" spans="1:52">
      <c r="E72" t="s">
        <v>366</v>
      </c>
      <c r="F72">
        <f>'City characteristics'!$C$20</f>
        <v>2019</v>
      </c>
      <c r="G72" t="str">
        <f>'ENE TECH'!$G63</f>
        <v>ELCSTM</v>
      </c>
      <c r="I72" t="str">
        <f>'ENE TECH'!$G63</f>
        <v>ELCSTM</v>
      </c>
      <c r="K72" t="str">
        <f t="shared" si="14"/>
        <v>ELCCO2</v>
      </c>
      <c r="L72" s="313">
        <f>_xlfn.IFNA(_xlfn.XLOOKUP(_xlfn.XLOOKUP(_xlfn.XLOOKUP(G72,'ENE TECH'!$G:$G,'ENE TECH'!$B:$B),Mapping!$B:$B,Mapping!$C:$C),'Emission Factors Hub'!$C:$C,'Emission Factors Hub'!$E:$E)/Parameters!$C$2*10^3,0)</f>
        <v>0</v>
      </c>
      <c r="M72" s="313">
        <f t="shared" si="15"/>
        <v>0</v>
      </c>
      <c r="R72" t="s">
        <v>366</v>
      </c>
      <c r="S72">
        <f>'City characteristics'!$C$20</f>
        <v>2019</v>
      </c>
      <c r="T72" t="str">
        <f>'ENE TECH'!$G63</f>
        <v>ELCSTM</v>
      </c>
      <c r="V72" t="str">
        <f>'ENE TECH'!$G63</f>
        <v>ELCSTM</v>
      </c>
      <c r="X72" t="str">
        <f t="shared" si="16"/>
        <v>ELCCH4</v>
      </c>
      <c r="Y72" s="313">
        <f>_xlfn.IFNA(_xlfn.XLOOKUP(_xlfn.XLOOKUP(_xlfn.XLOOKUP(T72,'ENE TECH'!$G:$G,'ENE TECH'!$B:$B),Mapping!$B:$B,Mapping!$C:$C),'Emission Factors Hub'!$C:$C,'Emission Factors Hub'!$F:$F)/Parameters!$C$2,0)</f>
        <v>0</v>
      </c>
      <c r="Z72" s="313">
        <f t="shared" si="17"/>
        <v>0</v>
      </c>
      <c r="AE72" t="s">
        <v>366</v>
      </c>
      <c r="AF72">
        <f>'City characteristics'!$C$20</f>
        <v>2019</v>
      </c>
      <c r="AG72" t="str">
        <f>'ENE TECH'!$G63</f>
        <v>ELCSTM</v>
      </c>
      <c r="AI72" t="str">
        <f>'ENE TECH'!$G63</f>
        <v>ELCSTM</v>
      </c>
      <c r="AK72" t="str">
        <f t="shared" si="18"/>
        <v>ELCN2O</v>
      </c>
      <c r="AL72" s="313">
        <f>_xlfn.IFNA(_xlfn.XLOOKUP(_xlfn.XLOOKUP(_xlfn.XLOOKUP(AG72,'ENE TECH'!$G:$G,'ENE TECH'!$B:$B),Mapping!$B:$B,Mapping!$C:$C),'Emission Factors Hub'!$C:$C,'Emission Factors Hub'!$G:$G)/Parameters!$C$2,0)</f>
        <v>0</v>
      </c>
      <c r="AM72" s="313">
        <f t="shared" si="19"/>
        <v>0</v>
      </c>
      <c r="AR72" t="s">
        <v>366</v>
      </c>
      <c r="AS72">
        <f>'City characteristics'!$C$20</f>
        <v>2019</v>
      </c>
      <c r="AT72" t="str">
        <f>'ENE TECH'!$G63</f>
        <v>ELCSTM</v>
      </c>
      <c r="AV72" t="str">
        <f>'ENE TECH'!$G63</f>
        <v>ELCSTM</v>
      </c>
      <c r="AX72" t="str">
        <f t="shared" si="20"/>
        <v>ELCCO2e</v>
      </c>
      <c r="AY72" s="313">
        <f>L72+Y72*'Emission Factors Hub'!$E$8+AL72*'Emission Factors Hub'!$E$9</f>
        <v>0</v>
      </c>
      <c r="AZ72" s="313">
        <f>IFERROR(M72+Z72*'Emission Factors Hub'!$E$8+AM72*'Emission Factors Hub'!$E$9,"")</f>
        <v>0</v>
      </c>
    </row>
    <row r="73" spans="1:52">
      <c r="E73" t="s">
        <v>366</v>
      </c>
      <c r="F73">
        <f>'City characteristics'!$C$20</f>
        <v>2019</v>
      </c>
      <c r="G73" t="str">
        <f>'ENE TECH'!$G64</f>
        <v>ELCGEO</v>
      </c>
      <c r="I73" t="str">
        <f>'ENE TECH'!$G64</f>
        <v>ELCGEO</v>
      </c>
      <c r="K73" t="str">
        <f t="shared" si="14"/>
        <v>ELCCO2</v>
      </c>
      <c r="L73" s="313">
        <f>_xlfn.IFNA(_xlfn.XLOOKUP(_xlfn.XLOOKUP(_xlfn.XLOOKUP(G73,'ENE TECH'!$G:$G,'ENE TECH'!$B:$B),Mapping!$B:$B,Mapping!$C:$C),'Emission Factors Hub'!$C:$C,'Emission Factors Hub'!$E:$E)/Parameters!$C$2*10^3,0)</f>
        <v>0</v>
      </c>
      <c r="M73" s="313">
        <f t="shared" si="15"/>
        <v>0</v>
      </c>
      <c r="R73" t="s">
        <v>366</v>
      </c>
      <c r="S73">
        <f>'City characteristics'!$C$20</f>
        <v>2019</v>
      </c>
      <c r="T73" t="str">
        <f>'ENE TECH'!$G64</f>
        <v>ELCGEO</v>
      </c>
      <c r="V73" t="str">
        <f>'ENE TECH'!$G64</f>
        <v>ELCGEO</v>
      </c>
      <c r="X73" t="str">
        <f t="shared" si="16"/>
        <v>ELCCH4</v>
      </c>
      <c r="Y73" s="313">
        <f>_xlfn.IFNA(_xlfn.XLOOKUP(_xlfn.XLOOKUP(_xlfn.XLOOKUP(T73,'ENE TECH'!$G:$G,'ENE TECH'!$B:$B),Mapping!$B:$B,Mapping!$C:$C),'Emission Factors Hub'!$C:$C,'Emission Factors Hub'!$F:$F)/Parameters!$C$2,0)</f>
        <v>0</v>
      </c>
      <c r="Z73" s="313">
        <f t="shared" si="17"/>
        <v>0</v>
      </c>
      <c r="AE73" t="s">
        <v>366</v>
      </c>
      <c r="AF73">
        <f>'City characteristics'!$C$20</f>
        <v>2019</v>
      </c>
      <c r="AG73" t="str">
        <f>'ENE TECH'!$G64</f>
        <v>ELCGEO</v>
      </c>
      <c r="AI73" t="str">
        <f>'ENE TECH'!$G64</f>
        <v>ELCGEO</v>
      </c>
      <c r="AK73" t="str">
        <f t="shared" si="18"/>
        <v>ELCN2O</v>
      </c>
      <c r="AL73" s="313">
        <f>_xlfn.IFNA(_xlfn.XLOOKUP(_xlfn.XLOOKUP(_xlfn.XLOOKUP(AG73,'ENE TECH'!$G:$G,'ENE TECH'!$B:$B),Mapping!$B:$B,Mapping!$C:$C),'Emission Factors Hub'!$C:$C,'Emission Factors Hub'!$G:$G)/Parameters!$C$2,0)</f>
        <v>0</v>
      </c>
      <c r="AM73" s="313">
        <f t="shared" si="19"/>
        <v>0</v>
      </c>
      <c r="AR73" t="s">
        <v>366</v>
      </c>
      <c r="AS73">
        <f>'City characteristics'!$C$20</f>
        <v>2019</v>
      </c>
      <c r="AT73" t="str">
        <f>'ENE TECH'!$G64</f>
        <v>ELCGEO</v>
      </c>
      <c r="AV73" t="str">
        <f>'ENE TECH'!$G64</f>
        <v>ELCGEO</v>
      </c>
      <c r="AX73" t="str">
        <f t="shared" si="20"/>
        <v>ELCCO2e</v>
      </c>
      <c r="AY73" s="313">
        <f>L73+Y73*'Emission Factors Hub'!$E$8+AL73*'Emission Factors Hub'!$E$9</f>
        <v>0</v>
      </c>
      <c r="AZ73" s="313">
        <f>IFERROR(M73+Z73*'Emission Factors Hub'!$E$8+AM73*'Emission Factors Hub'!$E$9,"")</f>
        <v>0</v>
      </c>
    </row>
    <row r="74" spans="1:52">
      <c r="E74" t="s">
        <v>366</v>
      </c>
      <c r="F74">
        <f>'City characteristics'!$C$20</f>
        <v>2019</v>
      </c>
      <c r="G74" t="str">
        <f>'ENE TECH'!$G65</f>
        <v>ELCWND</v>
      </c>
      <c r="I74" t="str">
        <f>'ENE TECH'!$G65</f>
        <v>ELCWND</v>
      </c>
      <c r="K74" t="str">
        <f t="shared" si="14"/>
        <v>ELCCO2</v>
      </c>
      <c r="L74" s="313">
        <f>_xlfn.IFNA(_xlfn.XLOOKUP(_xlfn.XLOOKUP(_xlfn.XLOOKUP(G74,'ENE TECH'!$G:$G,'ENE TECH'!$B:$B),Mapping!$B:$B,Mapping!$C:$C),'Emission Factors Hub'!$C:$C,'Emission Factors Hub'!$E:$E)/Parameters!$C$2*10^3,0)</f>
        <v>0</v>
      </c>
      <c r="M74" s="313">
        <f t="shared" si="15"/>
        <v>0</v>
      </c>
      <c r="R74" t="s">
        <v>366</v>
      </c>
      <c r="S74">
        <f>'City characteristics'!$C$20</f>
        <v>2019</v>
      </c>
      <c r="T74" t="str">
        <f>'ENE TECH'!$G65</f>
        <v>ELCWND</v>
      </c>
      <c r="V74" t="str">
        <f>'ENE TECH'!$G65</f>
        <v>ELCWND</v>
      </c>
      <c r="X74" t="str">
        <f t="shared" si="16"/>
        <v>ELCCH4</v>
      </c>
      <c r="Y74" s="313">
        <f>_xlfn.IFNA(_xlfn.XLOOKUP(_xlfn.XLOOKUP(_xlfn.XLOOKUP(T74,'ENE TECH'!$G:$G,'ENE TECH'!$B:$B),Mapping!$B:$B,Mapping!$C:$C),'Emission Factors Hub'!$C:$C,'Emission Factors Hub'!$F:$F)/Parameters!$C$2,0)</f>
        <v>0</v>
      </c>
      <c r="Z74" s="313">
        <f t="shared" si="17"/>
        <v>0</v>
      </c>
      <c r="AE74" t="s">
        <v>366</v>
      </c>
      <c r="AF74">
        <f>'City characteristics'!$C$20</f>
        <v>2019</v>
      </c>
      <c r="AG74" t="str">
        <f>'ENE TECH'!$G65</f>
        <v>ELCWND</v>
      </c>
      <c r="AI74" t="str">
        <f>'ENE TECH'!$G65</f>
        <v>ELCWND</v>
      </c>
      <c r="AK74" t="str">
        <f t="shared" si="18"/>
        <v>ELCN2O</v>
      </c>
      <c r="AL74" s="313">
        <f>_xlfn.IFNA(_xlfn.XLOOKUP(_xlfn.XLOOKUP(_xlfn.XLOOKUP(AG74,'ENE TECH'!$G:$G,'ENE TECH'!$B:$B),Mapping!$B:$B,Mapping!$C:$C),'Emission Factors Hub'!$C:$C,'Emission Factors Hub'!$G:$G)/Parameters!$C$2,0)</f>
        <v>0</v>
      </c>
      <c r="AM74" s="313">
        <f t="shared" si="19"/>
        <v>0</v>
      </c>
      <c r="AR74" t="s">
        <v>366</v>
      </c>
      <c r="AS74">
        <f>'City characteristics'!$C$20</f>
        <v>2019</v>
      </c>
      <c r="AT74" t="str">
        <f>'ENE TECH'!$G65</f>
        <v>ELCWND</v>
      </c>
      <c r="AV74" t="str">
        <f>'ENE TECH'!$G65</f>
        <v>ELCWND</v>
      </c>
      <c r="AX74" t="str">
        <f t="shared" si="20"/>
        <v>ELCCO2e</v>
      </c>
      <c r="AY74" s="313">
        <f>L74+Y74*'Emission Factors Hub'!$E$8+AL74*'Emission Factors Hub'!$E$9</f>
        <v>0</v>
      </c>
      <c r="AZ74" s="313">
        <f>IFERROR(M74+Z74*'Emission Factors Hub'!$E$8+AM74*'Emission Factors Hub'!$E$9,"")</f>
        <v>0</v>
      </c>
    </row>
    <row r="75" spans="1:52">
      <c r="E75" t="s">
        <v>366</v>
      </c>
      <c r="F75">
        <f>'City characteristics'!$C$20</f>
        <v>2019</v>
      </c>
      <c r="G75" t="str">
        <f>'ENE TECH'!$G66</f>
        <v>ELCHYD</v>
      </c>
      <c r="I75" t="str">
        <f>'ENE TECH'!$G66</f>
        <v>ELCHYD</v>
      </c>
      <c r="K75" t="str">
        <f t="shared" si="14"/>
        <v>ELCCO2</v>
      </c>
      <c r="L75" s="313">
        <f>_xlfn.IFNA(_xlfn.XLOOKUP(_xlfn.XLOOKUP(_xlfn.XLOOKUP(G75,'ENE TECH'!$G:$G,'ENE TECH'!$B:$B),Mapping!$B:$B,Mapping!$C:$C),'Emission Factors Hub'!$C:$C,'Emission Factors Hub'!$E:$E)/Parameters!$C$2*10^3,0)</f>
        <v>0</v>
      </c>
      <c r="M75" s="313">
        <f t="shared" si="15"/>
        <v>0</v>
      </c>
      <c r="R75" t="s">
        <v>366</v>
      </c>
      <c r="S75">
        <f>'City characteristics'!$C$20</f>
        <v>2019</v>
      </c>
      <c r="T75" t="str">
        <f>'ENE TECH'!$G66</f>
        <v>ELCHYD</v>
      </c>
      <c r="V75" t="str">
        <f>'ENE TECH'!$G66</f>
        <v>ELCHYD</v>
      </c>
      <c r="X75" t="str">
        <f t="shared" si="16"/>
        <v>ELCCH4</v>
      </c>
      <c r="Y75" s="313">
        <f>_xlfn.IFNA(_xlfn.XLOOKUP(_xlfn.XLOOKUP(_xlfn.XLOOKUP(T75,'ENE TECH'!$G:$G,'ENE TECH'!$B:$B),Mapping!$B:$B,Mapping!$C:$C),'Emission Factors Hub'!$C:$C,'Emission Factors Hub'!$F:$F)/Parameters!$C$2,0)</f>
        <v>0</v>
      </c>
      <c r="Z75" s="313">
        <f t="shared" si="17"/>
        <v>0</v>
      </c>
      <c r="AE75" t="s">
        <v>366</v>
      </c>
      <c r="AF75">
        <f>'City characteristics'!$C$20</f>
        <v>2019</v>
      </c>
      <c r="AG75" t="str">
        <f>'ENE TECH'!$G66</f>
        <v>ELCHYD</v>
      </c>
      <c r="AI75" t="str">
        <f>'ENE TECH'!$G66</f>
        <v>ELCHYD</v>
      </c>
      <c r="AK75" t="str">
        <f t="shared" si="18"/>
        <v>ELCN2O</v>
      </c>
      <c r="AL75" s="313">
        <f>_xlfn.IFNA(_xlfn.XLOOKUP(_xlfn.XLOOKUP(_xlfn.XLOOKUP(AG75,'ENE TECH'!$G:$G,'ENE TECH'!$B:$B),Mapping!$B:$B,Mapping!$C:$C),'Emission Factors Hub'!$C:$C,'Emission Factors Hub'!$G:$G)/Parameters!$C$2,0)</f>
        <v>0</v>
      </c>
      <c r="AM75" s="313">
        <f t="shared" si="19"/>
        <v>0</v>
      </c>
      <c r="AR75" t="s">
        <v>366</v>
      </c>
      <c r="AS75">
        <f>'City characteristics'!$C$20</f>
        <v>2019</v>
      </c>
      <c r="AT75" t="str">
        <f>'ENE TECH'!$G66</f>
        <v>ELCHYD</v>
      </c>
      <c r="AV75" t="str">
        <f>'ENE TECH'!$G66</f>
        <v>ELCHYD</v>
      </c>
      <c r="AX75" t="str">
        <f t="shared" si="20"/>
        <v>ELCCO2e</v>
      </c>
      <c r="AY75" s="313">
        <f>L75+Y75*'Emission Factors Hub'!$E$8+AL75*'Emission Factors Hub'!$E$9</f>
        <v>0</v>
      </c>
      <c r="AZ75" s="313">
        <f>IFERROR(M75+Z75*'Emission Factors Hub'!$E$8+AM75*'Emission Factors Hub'!$E$9,"")</f>
        <v>0</v>
      </c>
    </row>
    <row r="76" spans="1:52">
      <c r="E76" t="s">
        <v>366</v>
      </c>
      <c r="F76">
        <f>'City characteristics'!$C$20</f>
        <v>2019</v>
      </c>
      <c r="G76" t="str">
        <f>'ENE TECH'!$G67</f>
        <v>ELCSOL</v>
      </c>
      <c r="I76" t="str">
        <f>'ENE TECH'!$G67</f>
        <v>ELCSOL</v>
      </c>
      <c r="K76" t="str">
        <f t="shared" si="14"/>
        <v>ELCCO2</v>
      </c>
      <c r="L76" s="313">
        <f>_xlfn.IFNA(_xlfn.XLOOKUP(_xlfn.XLOOKUP(_xlfn.XLOOKUP(G76,'ENE TECH'!$G:$G,'ENE TECH'!$B:$B),Mapping!$B:$B,Mapping!$C:$C),'Emission Factors Hub'!$C:$C,'Emission Factors Hub'!$E:$E)/Parameters!$C$2*10^3,0)</f>
        <v>0</v>
      </c>
      <c r="M76" s="313">
        <f t="shared" si="15"/>
        <v>0</v>
      </c>
      <c r="R76" t="s">
        <v>366</v>
      </c>
      <c r="S76">
        <f>'City characteristics'!$C$20</f>
        <v>2019</v>
      </c>
      <c r="T76" t="str">
        <f>'ENE TECH'!$G67</f>
        <v>ELCSOL</v>
      </c>
      <c r="V76" t="str">
        <f>'ENE TECH'!$G67</f>
        <v>ELCSOL</v>
      </c>
      <c r="X76" t="str">
        <f t="shared" si="16"/>
        <v>ELCCH4</v>
      </c>
      <c r="Y76" s="313">
        <f>_xlfn.IFNA(_xlfn.XLOOKUP(_xlfn.XLOOKUP(_xlfn.XLOOKUP(T76,'ENE TECH'!$G:$G,'ENE TECH'!$B:$B),Mapping!$B:$B,Mapping!$C:$C),'Emission Factors Hub'!$C:$C,'Emission Factors Hub'!$F:$F)/Parameters!$C$2,0)</f>
        <v>0</v>
      </c>
      <c r="Z76" s="313">
        <f t="shared" si="17"/>
        <v>0</v>
      </c>
      <c r="AE76" t="s">
        <v>366</v>
      </c>
      <c r="AF76">
        <f>'City characteristics'!$C$20</f>
        <v>2019</v>
      </c>
      <c r="AG76" t="str">
        <f>'ENE TECH'!$G67</f>
        <v>ELCSOL</v>
      </c>
      <c r="AI76" t="str">
        <f>'ENE TECH'!$G67</f>
        <v>ELCSOL</v>
      </c>
      <c r="AK76" t="str">
        <f t="shared" si="18"/>
        <v>ELCN2O</v>
      </c>
      <c r="AL76" s="313">
        <f>_xlfn.IFNA(_xlfn.XLOOKUP(_xlfn.XLOOKUP(_xlfn.XLOOKUP(AG76,'ENE TECH'!$G:$G,'ENE TECH'!$B:$B),Mapping!$B:$B,Mapping!$C:$C),'Emission Factors Hub'!$C:$C,'Emission Factors Hub'!$G:$G)/Parameters!$C$2,0)</f>
        <v>0</v>
      </c>
      <c r="AM76" s="313">
        <f t="shared" si="19"/>
        <v>0</v>
      </c>
      <c r="AR76" t="s">
        <v>366</v>
      </c>
      <c r="AS76">
        <f>'City characteristics'!$C$20</f>
        <v>2019</v>
      </c>
      <c r="AT76" t="str">
        <f>'ENE TECH'!$G67</f>
        <v>ELCSOL</v>
      </c>
      <c r="AV76" t="str">
        <f>'ENE TECH'!$G67</f>
        <v>ELCSOL</v>
      </c>
      <c r="AX76" t="str">
        <f t="shared" si="20"/>
        <v>ELCCO2e</v>
      </c>
      <c r="AY76" s="313">
        <f>L76+Y76*'Emission Factors Hub'!$E$8+AL76*'Emission Factors Hub'!$E$9</f>
        <v>0</v>
      </c>
      <c r="AZ76" s="313">
        <f>IFERROR(M76+Z76*'Emission Factors Hub'!$E$8+AM76*'Emission Factors Hub'!$E$9,"")</f>
        <v>0</v>
      </c>
    </row>
    <row r="77" spans="1:52">
      <c r="E77" t="s">
        <v>366</v>
      </c>
      <c r="F77">
        <f>'City characteristics'!$C$20</f>
        <v>2019</v>
      </c>
      <c r="G77" t="str">
        <f>'ENE TECH'!$G68</f>
        <v>WASLPG</v>
      </c>
      <c r="I77" t="str">
        <f>'ENE TECH'!$G68</f>
        <v>WASLPG</v>
      </c>
      <c r="K77" t="str">
        <f t="shared" si="14"/>
        <v>WASCO2</v>
      </c>
      <c r="L77" s="313">
        <f>_xlfn.IFNA(_xlfn.XLOOKUP(_xlfn.XLOOKUP(_xlfn.XLOOKUP(G77,'ENE TECH'!$G:$G,'ENE TECH'!$B:$B),Mapping!$B:$B,Mapping!$C:$C),'Emission Factors Hub'!$C:$C,'Emission Factors Hub'!$E:$E)/Parameters!$C$2*10^3,0)</f>
        <v>58.489794639781394</v>
      </c>
      <c r="M77" s="313" t="str">
        <f t="shared" si="15"/>
        <v/>
      </c>
      <c r="R77" t="s">
        <v>366</v>
      </c>
      <c r="S77">
        <f>'City characteristics'!$C$20</f>
        <v>2019</v>
      </c>
      <c r="T77" t="str">
        <f>'ENE TECH'!$G68</f>
        <v>WASLPG</v>
      </c>
      <c r="V77" t="str">
        <f>'ENE TECH'!$G68</f>
        <v>WASLPG</v>
      </c>
      <c r="X77" t="str">
        <f t="shared" si="16"/>
        <v>WASCH4</v>
      </c>
      <c r="Y77" s="313">
        <f>_xlfn.IFNA(_xlfn.XLOOKUP(_xlfn.XLOOKUP(_xlfn.XLOOKUP(T77,'ENE TECH'!$G:$G,'ENE TECH'!$B:$B),Mapping!$B:$B,Mapping!$C:$C),'Emission Factors Hub'!$C:$C,'Emission Factors Hub'!$F:$F)/Parameters!$C$2,0)</f>
        <v>2.8434513680010401E-3</v>
      </c>
      <c r="Z77" s="313" t="str">
        <f t="shared" si="17"/>
        <v/>
      </c>
      <c r="AE77" t="s">
        <v>366</v>
      </c>
      <c r="AF77">
        <f>'City characteristics'!$C$20</f>
        <v>2019</v>
      </c>
      <c r="AG77" t="str">
        <f>'ENE TECH'!$G68</f>
        <v>WASLPG</v>
      </c>
      <c r="AI77" t="str">
        <f>'ENE TECH'!$G68</f>
        <v>WASLPG</v>
      </c>
      <c r="AK77" t="str">
        <f t="shared" si="18"/>
        <v>WASN2O</v>
      </c>
      <c r="AL77" s="313">
        <f>_xlfn.IFNA(_xlfn.XLOOKUP(_xlfn.XLOOKUP(_xlfn.XLOOKUP(AG77,'ENE TECH'!$G:$G,'ENE TECH'!$B:$B),Mapping!$B:$B,Mapping!$C:$C),'Emission Factors Hub'!$C:$C,'Emission Factors Hub'!$G:$G)/Parameters!$C$2,0)</f>
        <v>5.6869027360020798E-4</v>
      </c>
      <c r="AM77" s="313" t="str">
        <f t="shared" si="19"/>
        <v/>
      </c>
      <c r="AR77" t="s">
        <v>366</v>
      </c>
      <c r="AS77">
        <f>'City characteristics'!$C$20</f>
        <v>2019</v>
      </c>
      <c r="AT77" t="str">
        <f>'ENE TECH'!$G68</f>
        <v>WASLPG</v>
      </c>
      <c r="AV77" t="str">
        <f>'ENE TECH'!$G68</f>
        <v>WASLPG</v>
      </c>
      <c r="AX77" t="str">
        <f t="shared" si="20"/>
        <v>WASCO2e</v>
      </c>
      <c r="AY77" s="313">
        <f>L77+Y77*'Emission Factors Hub'!$E$8+AL77*'Emission Factors Hub'!$E$9</f>
        <v>58.730350625514284</v>
      </c>
      <c r="AZ77" s="313" t="str">
        <f>IFERROR(M77+Z77*'Emission Factors Hub'!$E$8+AM77*'Emission Factors Hub'!$E$9,"")</f>
        <v/>
      </c>
    </row>
    <row r="78" spans="1:52">
      <c r="E78" t="s">
        <v>366</v>
      </c>
      <c r="F78">
        <f>'City characteristics'!$C$20</f>
        <v>2019</v>
      </c>
      <c r="G78" t="str">
        <f>'ENE TECH'!$G69</f>
        <v>WASDSL</v>
      </c>
      <c r="I78" t="str">
        <f>'ENE TECH'!$G69</f>
        <v>WASDSL</v>
      </c>
      <c r="K78" t="str">
        <f t="shared" si="14"/>
        <v>WASCO2</v>
      </c>
      <c r="L78" s="313">
        <f>_xlfn.IFNA(_xlfn.XLOOKUP(_xlfn.XLOOKUP(_xlfn.XLOOKUP(G78,'ENE TECH'!$G:$G,'ENE TECH'!$B:$B),Mapping!$B:$B,Mapping!$C:$C),'Emission Factors Hub'!$C:$C,'Emission Factors Hub'!$E:$E)/Parameters!$C$2*10^3,0)</f>
        <v>70.100554392452295</v>
      </c>
      <c r="M78" s="313" t="str">
        <f t="shared" si="15"/>
        <v/>
      </c>
      <c r="R78" t="s">
        <v>366</v>
      </c>
      <c r="S78">
        <f>'City characteristics'!$C$20</f>
        <v>2019</v>
      </c>
      <c r="T78" t="str">
        <f>'ENE TECH'!$G69</f>
        <v>WASDSL</v>
      </c>
      <c r="V78" t="str">
        <f>'ENE TECH'!$G69</f>
        <v>WASDSL</v>
      </c>
      <c r="X78" t="str">
        <f t="shared" si="16"/>
        <v>WASCH4</v>
      </c>
      <c r="Y78" s="313">
        <f>_xlfn.IFNA(_xlfn.XLOOKUP(_xlfn.XLOOKUP(_xlfn.XLOOKUP(T78,'ENE TECH'!$G:$G,'ENE TECH'!$B:$B),Mapping!$B:$B,Mapping!$C:$C),'Emission Factors Hub'!$C:$C,'Emission Factors Hub'!$F:$F)/Parameters!$C$2,0)</f>
        <v>2.8434513680010401E-3</v>
      </c>
      <c r="Z78" s="313" t="str">
        <f t="shared" si="17"/>
        <v/>
      </c>
      <c r="AE78" t="s">
        <v>366</v>
      </c>
      <c r="AF78">
        <f>'City characteristics'!$C$20</f>
        <v>2019</v>
      </c>
      <c r="AG78" t="str">
        <f>'ENE TECH'!$G69</f>
        <v>WASDSL</v>
      </c>
      <c r="AI78" t="str">
        <f>'ENE TECH'!$G69</f>
        <v>WASDSL</v>
      </c>
      <c r="AK78" t="str">
        <f t="shared" si="18"/>
        <v>WASN2O</v>
      </c>
      <c r="AL78" s="313">
        <f>_xlfn.IFNA(_xlfn.XLOOKUP(_xlfn.XLOOKUP(_xlfn.XLOOKUP(AG78,'ENE TECH'!$G:$G,'ENE TECH'!$B:$B),Mapping!$B:$B,Mapping!$C:$C),'Emission Factors Hub'!$C:$C,'Emission Factors Hub'!$G:$G)/Parameters!$C$2,0)</f>
        <v>5.6869027360020798E-4</v>
      </c>
      <c r="AM78" s="313" t="str">
        <f t="shared" si="19"/>
        <v/>
      </c>
      <c r="AR78" t="s">
        <v>366</v>
      </c>
      <c r="AS78">
        <f>'City characteristics'!$C$20</f>
        <v>2019</v>
      </c>
      <c r="AT78" t="str">
        <f>'ENE TECH'!$G69</f>
        <v>WASDSL</v>
      </c>
      <c r="AV78" t="str">
        <f>'ENE TECH'!$G69</f>
        <v>WASDSL</v>
      </c>
      <c r="AX78" t="str">
        <f t="shared" si="20"/>
        <v>WASCO2e</v>
      </c>
      <c r="AY78" s="313">
        <f>L78+Y78*'Emission Factors Hub'!$E$8+AL78*'Emission Factors Hub'!$E$9</f>
        <v>70.341110378185178</v>
      </c>
      <c r="AZ78" s="313" t="str">
        <f>IFERROR(M78+Z78*'Emission Factors Hub'!$E$8+AM78*'Emission Factors Hub'!$E$9,"")</f>
        <v/>
      </c>
    </row>
    <row r="79" spans="1:52">
      <c r="E79" t="s">
        <v>366</v>
      </c>
      <c r="F79">
        <f>'City characteristics'!$C$20</f>
        <v>2019</v>
      </c>
      <c r="G79" t="str">
        <f>'ENE TECH'!$G70</f>
        <v>WASFOI</v>
      </c>
      <c r="I79" t="str">
        <f>'ENE TECH'!$G70</f>
        <v>WASFOI</v>
      </c>
      <c r="K79" t="str">
        <f t="shared" si="14"/>
        <v>WASCO2</v>
      </c>
      <c r="L79" s="313">
        <f>_xlfn.IFNA(_xlfn.XLOOKUP(_xlfn.XLOOKUP(_xlfn.XLOOKUP(G79,'ENE TECH'!$G:$G,'ENE TECH'!$B:$B),Mapping!$B:$B,Mapping!$C:$C),'Emission Factors Hub'!$C:$C,'Emission Factors Hub'!$E:$E)/Parameters!$C$2*10^3,0)</f>
        <v>71.181065912292695</v>
      </c>
      <c r="M79" s="313" t="str">
        <f t="shared" si="15"/>
        <v/>
      </c>
      <c r="R79" t="s">
        <v>366</v>
      </c>
      <c r="S79">
        <f>'City characteristics'!$C$20</f>
        <v>2019</v>
      </c>
      <c r="T79" t="str">
        <f>'ENE TECH'!$G70</f>
        <v>WASFOI</v>
      </c>
      <c r="V79" t="str">
        <f>'ENE TECH'!$G70</f>
        <v>WASFOI</v>
      </c>
      <c r="X79" t="str">
        <f t="shared" si="16"/>
        <v>WASCH4</v>
      </c>
      <c r="Y79" s="313">
        <f>_xlfn.IFNA(_xlfn.XLOOKUP(_xlfn.XLOOKUP(_xlfn.XLOOKUP(T79,'ENE TECH'!$G:$G,'ENE TECH'!$B:$B),Mapping!$B:$B,Mapping!$C:$C),'Emission Factors Hub'!$C:$C,'Emission Factors Hub'!$F:$F)/Parameters!$C$2,0)</f>
        <v>2.8434513680010401E-3</v>
      </c>
      <c r="Z79" s="313" t="str">
        <f t="shared" si="17"/>
        <v/>
      </c>
      <c r="AE79" t="s">
        <v>366</v>
      </c>
      <c r="AF79">
        <f>'City characteristics'!$C$20</f>
        <v>2019</v>
      </c>
      <c r="AG79" t="str">
        <f>'ENE TECH'!$G70</f>
        <v>WASFOI</v>
      </c>
      <c r="AI79" t="str">
        <f>'ENE TECH'!$G70</f>
        <v>WASFOI</v>
      </c>
      <c r="AK79" t="str">
        <f t="shared" si="18"/>
        <v>WASN2O</v>
      </c>
      <c r="AL79" s="313">
        <f>_xlfn.IFNA(_xlfn.XLOOKUP(_xlfn.XLOOKUP(_xlfn.XLOOKUP(AG79,'ENE TECH'!$G:$G,'ENE TECH'!$B:$B),Mapping!$B:$B,Mapping!$C:$C),'Emission Factors Hub'!$C:$C,'Emission Factors Hub'!$G:$G)/Parameters!$C$2,0)</f>
        <v>5.6869027360020798E-4</v>
      </c>
      <c r="AM79" s="313" t="str">
        <f t="shared" si="19"/>
        <v/>
      </c>
      <c r="AR79" t="s">
        <v>366</v>
      </c>
      <c r="AS79">
        <f>'City characteristics'!$C$20</f>
        <v>2019</v>
      </c>
      <c r="AT79" t="str">
        <f>'ENE TECH'!$G70</f>
        <v>WASFOI</v>
      </c>
      <c r="AV79" t="str">
        <f>'ENE TECH'!$G70</f>
        <v>WASFOI</v>
      </c>
      <c r="AX79" t="str">
        <f t="shared" si="20"/>
        <v>WASCO2e</v>
      </c>
      <c r="AY79" s="313">
        <f>L79+Y79*'Emission Factors Hub'!$E$8+AL79*'Emission Factors Hub'!$E$9</f>
        <v>71.421621898025577</v>
      </c>
      <c r="AZ79" s="313" t="str">
        <f>IFERROR(M79+Z79*'Emission Factors Hub'!$E$8+AM79*'Emission Factors Hub'!$E$9,"")</f>
        <v/>
      </c>
    </row>
    <row r="80" spans="1:52">
      <c r="E80" t="s">
        <v>366</v>
      </c>
      <c r="F80">
        <f>'City characteristics'!$C$20</f>
        <v>2019</v>
      </c>
      <c r="G80" t="str">
        <f>'ENE TECH'!$G71</f>
        <v>WASKER</v>
      </c>
      <c r="I80" t="str">
        <f>'ENE TECH'!$G71</f>
        <v>WASKER</v>
      </c>
      <c r="K80" t="str">
        <f t="shared" si="14"/>
        <v>WASCO2</v>
      </c>
      <c r="L80" s="313">
        <f>_xlfn.IFNA(_xlfn.XLOOKUP(_xlfn.XLOOKUP(_xlfn.XLOOKUP(G80,'ENE TECH'!$G:$G,'ENE TECH'!$B:$B),Mapping!$B:$B,Mapping!$C:$C),'Emission Factors Hub'!$C:$C,'Emission Factors Hub'!$E:$E)/Parameters!$C$2*10^3,0)</f>
        <v>71.275847624559404</v>
      </c>
      <c r="M80" s="313" t="str">
        <f t="shared" si="15"/>
        <v/>
      </c>
      <c r="R80" t="s">
        <v>366</v>
      </c>
      <c r="S80">
        <f>'City characteristics'!$C$20</f>
        <v>2019</v>
      </c>
      <c r="T80" t="str">
        <f>'ENE TECH'!$G71</f>
        <v>WASKER</v>
      </c>
      <c r="V80" t="str">
        <f>'ENE TECH'!$G71</f>
        <v>WASKER</v>
      </c>
      <c r="X80" t="str">
        <f t="shared" si="16"/>
        <v>WASCH4</v>
      </c>
      <c r="Y80" s="313">
        <f>_xlfn.IFNA(_xlfn.XLOOKUP(_xlfn.XLOOKUP(_xlfn.XLOOKUP(T80,'ENE TECH'!$G:$G,'ENE TECH'!$B:$B),Mapping!$B:$B,Mapping!$C:$C),'Emission Factors Hub'!$C:$C,'Emission Factors Hub'!$F:$F)/Parameters!$C$2,0)</f>
        <v>2.8434513680010401E-3</v>
      </c>
      <c r="Z80" s="313" t="str">
        <f t="shared" si="17"/>
        <v/>
      </c>
      <c r="AE80" t="s">
        <v>366</v>
      </c>
      <c r="AF80">
        <f>'City characteristics'!$C$20</f>
        <v>2019</v>
      </c>
      <c r="AG80" t="str">
        <f>'ENE TECH'!$G71</f>
        <v>WASKER</v>
      </c>
      <c r="AI80" t="str">
        <f>'ENE TECH'!$G71</f>
        <v>WASKER</v>
      </c>
      <c r="AK80" t="str">
        <f t="shared" si="18"/>
        <v>WASN2O</v>
      </c>
      <c r="AL80" s="313">
        <f>_xlfn.IFNA(_xlfn.XLOOKUP(_xlfn.XLOOKUP(_xlfn.XLOOKUP(AG80,'ENE TECH'!$G:$G,'ENE TECH'!$B:$B),Mapping!$B:$B,Mapping!$C:$C),'Emission Factors Hub'!$C:$C,'Emission Factors Hub'!$G:$G)/Parameters!$C$2,0)</f>
        <v>5.6869027360020798E-4</v>
      </c>
      <c r="AM80" s="313" t="str">
        <f t="shared" si="19"/>
        <v/>
      </c>
      <c r="AR80" t="s">
        <v>366</v>
      </c>
      <c r="AS80">
        <f>'City characteristics'!$C$20</f>
        <v>2019</v>
      </c>
      <c r="AT80" t="str">
        <f>'ENE TECH'!$G71</f>
        <v>WASKER</v>
      </c>
      <c r="AV80" t="str">
        <f>'ENE TECH'!$G71</f>
        <v>WASKER</v>
      </c>
      <c r="AX80" t="str">
        <f t="shared" si="20"/>
        <v>WASCO2e</v>
      </c>
      <c r="AY80" s="313">
        <f>L80+Y80*'Emission Factors Hub'!$E$8+AL80*'Emission Factors Hub'!$E$9</f>
        <v>71.516403610292286</v>
      </c>
      <c r="AZ80" s="313" t="str">
        <f>IFERROR(M80+Z80*'Emission Factors Hub'!$E$8+AM80*'Emission Factors Hub'!$E$9,"")</f>
        <v/>
      </c>
    </row>
    <row r="81" spans="5:52">
      <c r="E81" t="s">
        <v>366</v>
      </c>
      <c r="F81">
        <f>'City characteristics'!$C$20</f>
        <v>2019</v>
      </c>
      <c r="G81" t="str">
        <f>'ENE TECH'!$G72</f>
        <v>WASGSL</v>
      </c>
      <c r="I81" t="str">
        <f>'ENE TECH'!$G72</f>
        <v>WASGSL</v>
      </c>
      <c r="K81" t="str">
        <f t="shared" si="14"/>
        <v>WASCO2</v>
      </c>
      <c r="L81" s="313">
        <f>_xlfn.IFNA(_xlfn.XLOOKUP(_xlfn.XLOOKUP(_xlfn.XLOOKUP(G81,'ENE TECH'!$G:$G,'ENE TECH'!$B:$B),Mapping!$B:$B,Mapping!$C:$C),'Emission Factors Hub'!$C:$C,'Emission Factors Hub'!$E:$E)/Parameters!$C$2*10^3,0)</f>
        <v>66.555718353677676</v>
      </c>
      <c r="M81" s="313" t="str">
        <f t="shared" si="15"/>
        <v/>
      </c>
      <c r="R81" t="s">
        <v>366</v>
      </c>
      <c r="S81">
        <f>'City characteristics'!$C$20</f>
        <v>2019</v>
      </c>
      <c r="T81" t="str">
        <f>'ENE TECH'!$G72</f>
        <v>WASGSL</v>
      </c>
      <c r="V81" t="str">
        <f>'ENE TECH'!$G72</f>
        <v>WASGSL</v>
      </c>
      <c r="X81" t="str">
        <f t="shared" si="16"/>
        <v>WASCH4</v>
      </c>
      <c r="Y81" s="313">
        <f>_xlfn.IFNA(_xlfn.XLOOKUP(_xlfn.XLOOKUP(_xlfn.XLOOKUP(T81,'ENE TECH'!$G:$G,'ENE TECH'!$B:$B),Mapping!$B:$B,Mapping!$C:$C),'Emission Factors Hub'!$C:$C,'Emission Factors Hub'!$F:$F)/Parameters!$C$2,0)</f>
        <v>2.8434513680010401E-3</v>
      </c>
      <c r="Z81" s="313" t="str">
        <f t="shared" si="17"/>
        <v/>
      </c>
      <c r="AE81" t="s">
        <v>366</v>
      </c>
      <c r="AF81">
        <f>'City characteristics'!$C$20</f>
        <v>2019</v>
      </c>
      <c r="AG81" t="str">
        <f>'ENE TECH'!$G72</f>
        <v>WASGSL</v>
      </c>
      <c r="AI81" t="str">
        <f>'ENE TECH'!$G72</f>
        <v>WASGSL</v>
      </c>
      <c r="AK81" t="str">
        <f t="shared" si="18"/>
        <v>WASN2O</v>
      </c>
      <c r="AL81" s="313">
        <f>_xlfn.IFNA(_xlfn.XLOOKUP(_xlfn.XLOOKUP(_xlfn.XLOOKUP(AG81,'ENE TECH'!$G:$G,'ENE TECH'!$B:$B),Mapping!$B:$B,Mapping!$C:$C),'Emission Factors Hub'!$C:$C,'Emission Factors Hub'!$G:$G)/Parameters!$C$2,0)</f>
        <v>5.6869027360020798E-4</v>
      </c>
      <c r="AM81" s="313" t="str">
        <f t="shared" si="19"/>
        <v/>
      </c>
      <c r="AR81" t="s">
        <v>366</v>
      </c>
      <c r="AS81">
        <f>'City characteristics'!$C$20</f>
        <v>2019</v>
      </c>
      <c r="AT81" t="str">
        <f>'ENE TECH'!$G72</f>
        <v>WASGSL</v>
      </c>
      <c r="AV81" t="str">
        <f>'ENE TECH'!$G72</f>
        <v>WASGSL</v>
      </c>
      <c r="AX81" t="str">
        <f t="shared" si="20"/>
        <v>WASCO2e</v>
      </c>
      <c r="AY81" s="313">
        <f>L81+Y81*'Emission Factors Hub'!$E$8+AL81*'Emission Factors Hub'!$E$9</f>
        <v>66.796274339410559</v>
      </c>
      <c r="AZ81" s="313" t="str">
        <f>IFERROR(M81+Z81*'Emission Factors Hub'!$E$8+AM81*'Emission Factors Hub'!$E$9,"")</f>
        <v/>
      </c>
    </row>
    <row r="82" spans="5:52">
      <c r="E82" t="s">
        <v>366</v>
      </c>
      <c r="F82">
        <f>'City characteristics'!$C$20</f>
        <v>2019</v>
      </c>
      <c r="G82" t="str">
        <f>'ENE TECH'!$G73</f>
        <v>WASNGA</v>
      </c>
      <c r="I82" t="str">
        <f>'ENE TECH'!$G73</f>
        <v>WASNGA</v>
      </c>
      <c r="K82" t="str">
        <f t="shared" si="14"/>
        <v>WASCO2</v>
      </c>
      <c r="L82" s="313">
        <f>_xlfn.IFNA(_xlfn.XLOOKUP(_xlfn.XLOOKUP(_xlfn.XLOOKUP(G82,'ENE TECH'!$G:$G,'ENE TECH'!$B:$B),Mapping!$B:$B,Mapping!$C:$C),'Emission Factors Hub'!$C:$C,'Emission Factors Hub'!$E:$E)/Parameters!$C$2*10^3,0)</f>
        <v>50.29117652871173</v>
      </c>
      <c r="M82" s="313" t="str">
        <f t="shared" si="15"/>
        <v/>
      </c>
      <c r="R82" t="s">
        <v>366</v>
      </c>
      <c r="S82">
        <f>'City characteristics'!$C$20</f>
        <v>2019</v>
      </c>
      <c r="T82" t="str">
        <f>'ENE TECH'!$G73</f>
        <v>WASNGA</v>
      </c>
      <c r="V82" t="str">
        <f>'ENE TECH'!$G73</f>
        <v>WASNGA</v>
      </c>
      <c r="X82" t="str">
        <f t="shared" si="16"/>
        <v>WASCH4</v>
      </c>
      <c r="Y82" s="313">
        <f>_xlfn.IFNA(_xlfn.XLOOKUP(_xlfn.XLOOKUP(_xlfn.XLOOKUP(T82,'ENE TECH'!$G:$G,'ENE TECH'!$B:$B),Mapping!$B:$B,Mapping!$C:$C),'Emission Factors Hub'!$C:$C,'Emission Factors Hub'!$F:$F)/Parameters!$C$2,0)</f>
        <v>9.4781712266701337E-4</v>
      </c>
      <c r="Z82" s="313" t="str">
        <f t="shared" si="17"/>
        <v/>
      </c>
      <c r="AE82" t="s">
        <v>366</v>
      </c>
      <c r="AF82">
        <f>'City characteristics'!$C$20</f>
        <v>2019</v>
      </c>
      <c r="AG82" t="str">
        <f>'ENE TECH'!$G73</f>
        <v>WASNGA</v>
      </c>
      <c r="AI82" t="str">
        <f>'ENE TECH'!$G73</f>
        <v>WASNGA</v>
      </c>
      <c r="AK82" t="str">
        <f t="shared" si="18"/>
        <v>WASN2O</v>
      </c>
      <c r="AL82" s="313">
        <f>_xlfn.IFNA(_xlfn.XLOOKUP(_xlfn.XLOOKUP(_xlfn.XLOOKUP(AG82,'ENE TECH'!$G:$G,'ENE TECH'!$B:$B),Mapping!$B:$B,Mapping!$C:$C),'Emission Factors Hub'!$C:$C,'Emission Factors Hub'!$G:$G)/Parameters!$C$2,0)</f>
        <v>9.4781712266701334E-5</v>
      </c>
      <c r="AM82" s="313" t="str">
        <f t="shared" si="19"/>
        <v/>
      </c>
      <c r="AR82" t="s">
        <v>366</v>
      </c>
      <c r="AS82">
        <f>'City characteristics'!$C$20</f>
        <v>2019</v>
      </c>
      <c r="AT82" t="str">
        <f>'ENE TECH'!$G73</f>
        <v>WASNGA</v>
      </c>
      <c r="AV82" t="str">
        <f>'ENE TECH'!$G73</f>
        <v>WASNGA</v>
      </c>
      <c r="AX82" t="str">
        <f t="shared" si="20"/>
        <v>WASCO2e</v>
      </c>
      <c r="AY82" s="313">
        <f>L82+Y82*'Emission Factors Hub'!$E$8+AL82*'Emission Factors Hub'!$E$9</f>
        <v>50.343116907033881</v>
      </c>
      <c r="AZ82" s="313" t="str">
        <f>IFERROR(M82+Z82*'Emission Factors Hub'!$E$8+AM82*'Emission Factors Hub'!$E$9,"")</f>
        <v/>
      </c>
    </row>
    <row r="83" spans="5:52">
      <c r="E83" t="s">
        <v>366</v>
      </c>
      <c r="F83">
        <f>'City characteristics'!$C$20</f>
        <v>2019</v>
      </c>
      <c r="G83" t="str">
        <f>'ENE TECH'!$G74</f>
        <v>WASRNG</v>
      </c>
      <c r="I83" t="str">
        <f>'ENE TECH'!$G74</f>
        <v>WASRNG</v>
      </c>
      <c r="K83" t="str">
        <f t="shared" si="14"/>
        <v>WASCO2</v>
      </c>
      <c r="L83" s="313">
        <f>_xlfn.IFNA(_xlfn.XLOOKUP(_xlfn.XLOOKUP(_xlfn.XLOOKUP(G83,'ENE TECH'!$G:$G,'ENE TECH'!$B:$B),Mapping!$B:$B,Mapping!$C:$C),'Emission Factors Hub'!$C:$C,'Emission Factors Hub'!$E:$E)/Parameters!$C$2*10^3,0)</f>
        <v>49.352837577271387</v>
      </c>
      <c r="M83" s="313" t="str">
        <f t="shared" si="15"/>
        <v/>
      </c>
      <c r="R83" t="s">
        <v>366</v>
      </c>
      <c r="S83">
        <f>'City characteristics'!$C$20</f>
        <v>2019</v>
      </c>
      <c r="T83" t="str">
        <f>'ENE TECH'!$G74</f>
        <v>WASRNG</v>
      </c>
      <c r="V83" t="str">
        <f>'ENE TECH'!$G74</f>
        <v>WASRNG</v>
      </c>
      <c r="X83" t="str">
        <f t="shared" si="16"/>
        <v>WASCH4</v>
      </c>
      <c r="Y83" s="313">
        <f>_xlfn.IFNA(_xlfn.XLOOKUP(_xlfn.XLOOKUP(_xlfn.XLOOKUP(T83,'ENE TECH'!$G:$G,'ENE TECH'!$B:$B),Mapping!$B:$B,Mapping!$C:$C),'Emission Factors Hub'!$C:$C,'Emission Factors Hub'!$F:$F)/Parameters!$C$2,0)</f>
        <v>3.0330147925344427E-3</v>
      </c>
      <c r="Z83" s="313" t="str">
        <f t="shared" si="17"/>
        <v/>
      </c>
      <c r="AE83" t="s">
        <v>366</v>
      </c>
      <c r="AF83">
        <f>'City characteristics'!$C$20</f>
        <v>2019</v>
      </c>
      <c r="AG83" t="str">
        <f>'ENE TECH'!$G74</f>
        <v>WASRNG</v>
      </c>
      <c r="AI83" t="str">
        <f>'ENE TECH'!$G74</f>
        <v>WASRNG</v>
      </c>
      <c r="AK83" t="str">
        <f t="shared" si="18"/>
        <v>WASN2O</v>
      </c>
      <c r="AL83" s="313">
        <f>_xlfn.IFNA(_xlfn.XLOOKUP(_xlfn.XLOOKUP(_xlfn.XLOOKUP(AG83,'ENE TECH'!$G:$G,'ENE TECH'!$B:$B),Mapping!$B:$B,Mapping!$C:$C),'Emission Factors Hub'!$C:$C,'Emission Factors Hub'!$G:$G)/Parameters!$C$2,0)</f>
        <v>5.9712478728021843E-4</v>
      </c>
      <c r="AM83" s="313" t="str">
        <f t="shared" si="19"/>
        <v/>
      </c>
      <c r="AR83" t="s">
        <v>366</v>
      </c>
      <c r="AS83">
        <f>'City characteristics'!$C$20</f>
        <v>2019</v>
      </c>
      <c r="AT83" t="str">
        <f>'ENE TECH'!$G74</f>
        <v>WASRNG</v>
      </c>
      <c r="AV83" t="str">
        <f>'ENE TECH'!$G74</f>
        <v>WASRNG</v>
      </c>
      <c r="AX83" t="str">
        <f t="shared" si="20"/>
        <v>WASCO2e</v>
      </c>
      <c r="AY83" s="313">
        <f>L83+Y83*'Emission Factors Hub'!$E$8+AL83*'Emission Factors Hub'!$E$9</f>
        <v>49.60660613369425</v>
      </c>
      <c r="AZ83" s="313" t="str">
        <f>IFERROR(M83+Z83*'Emission Factors Hub'!$E$8+AM83*'Emission Factors Hub'!$E$9,"")</f>
        <v/>
      </c>
    </row>
    <row r="84" spans="5:52">
      <c r="E84" t="s">
        <v>366</v>
      </c>
      <c r="F84">
        <f>'City characteristics'!$C$20</f>
        <v>2019</v>
      </c>
      <c r="G84" t="str">
        <f>'ENE TECH'!$G75</f>
        <v>WASPCK</v>
      </c>
      <c r="I84" t="str">
        <f>'ENE TECH'!$G75</f>
        <v>WASPCK</v>
      </c>
      <c r="K84" t="str">
        <f t="shared" si="14"/>
        <v>WASCO2</v>
      </c>
      <c r="L84" s="313">
        <f>_xlfn.IFNA(_xlfn.XLOOKUP(_xlfn.XLOOKUP(_xlfn.XLOOKUP(G84,'ENE TECH'!$G:$G,'ENE TECH'!$B:$B),Mapping!$B:$B,Mapping!$C:$C),'Emission Factors Hub'!$C:$C,'Emission Factors Hub'!$E:$E)/Parameters!$C$2*10^3,0)</f>
        <v>97.065951532328825</v>
      </c>
      <c r="M84" s="313" t="str">
        <f t="shared" si="15"/>
        <v/>
      </c>
      <c r="R84" t="s">
        <v>366</v>
      </c>
      <c r="S84">
        <f>'City characteristics'!$C$20</f>
        <v>2019</v>
      </c>
      <c r="T84" t="str">
        <f>'ENE TECH'!$G75</f>
        <v>WASPCK</v>
      </c>
      <c r="V84" t="str">
        <f>'ENE TECH'!$G75</f>
        <v>WASPCK</v>
      </c>
      <c r="X84" t="str">
        <f t="shared" si="16"/>
        <v>WASCH4</v>
      </c>
      <c r="Y84" s="313">
        <f>_xlfn.IFNA(_xlfn.XLOOKUP(_xlfn.XLOOKUP(_xlfn.XLOOKUP(T84,'ENE TECH'!$G:$G,'ENE TECH'!$B:$B),Mapping!$B:$B,Mapping!$C:$C),'Emission Factors Hub'!$C:$C,'Emission Factors Hub'!$F:$F)/Parameters!$C$2,0)</f>
        <v>3.0330147925344428E-2</v>
      </c>
      <c r="Z84" s="313" t="str">
        <f t="shared" si="17"/>
        <v/>
      </c>
      <c r="AE84" t="s">
        <v>366</v>
      </c>
      <c r="AF84">
        <f>'City characteristics'!$C$20</f>
        <v>2019</v>
      </c>
      <c r="AG84" t="str">
        <f>'ENE TECH'!$G75</f>
        <v>WASPCK</v>
      </c>
      <c r="AI84" t="str">
        <f>'ENE TECH'!$G75</f>
        <v>WASPCK</v>
      </c>
      <c r="AK84" t="str">
        <f t="shared" si="18"/>
        <v>WASN2O</v>
      </c>
      <c r="AL84" s="313">
        <f>_xlfn.IFNA(_xlfn.XLOOKUP(_xlfn.XLOOKUP(_xlfn.XLOOKUP(AG84,'ENE TECH'!$G:$G,'ENE TECH'!$B:$B),Mapping!$B:$B,Mapping!$C:$C),'Emission Factors Hub'!$C:$C,'Emission Factors Hub'!$G:$G)/Parameters!$C$2,0)</f>
        <v>3.9808319152014561E-3</v>
      </c>
      <c r="AM84" s="313" t="str">
        <f t="shared" si="19"/>
        <v/>
      </c>
      <c r="AR84" t="s">
        <v>366</v>
      </c>
      <c r="AS84">
        <f>'City characteristics'!$C$20</f>
        <v>2019</v>
      </c>
      <c r="AT84" t="str">
        <f>'ENE TECH'!$G75</f>
        <v>WASPCK</v>
      </c>
      <c r="AV84" t="str">
        <f>'ENE TECH'!$G75</f>
        <v>WASPCK</v>
      </c>
      <c r="AX84" t="str">
        <f t="shared" si="20"/>
        <v>WASCO2e</v>
      </c>
      <c r="AY84" s="313">
        <f>L84+Y84*'Emission Factors Hub'!$E$8+AL84*'Emission Factors Hub'!$E$9</f>
        <v>99.01049314119247</v>
      </c>
      <c r="AZ84" s="313" t="str">
        <f>IFERROR(M84+Z84*'Emission Factors Hub'!$E$8+AM84*'Emission Factors Hub'!$E$9,"")</f>
        <v/>
      </c>
    </row>
    <row r="85" spans="5:52">
      <c r="E85" t="s">
        <v>366</v>
      </c>
      <c r="F85">
        <f>'City characteristics'!$C$20</f>
        <v>2019</v>
      </c>
      <c r="G85" t="str">
        <f>'ENE TECH'!$G76</f>
        <v>WASCOA</v>
      </c>
      <c r="I85" t="str">
        <f>'ENE TECH'!$G76</f>
        <v>WASCOA</v>
      </c>
      <c r="K85" t="str">
        <f t="shared" si="14"/>
        <v>WASCO2</v>
      </c>
      <c r="L85" s="313">
        <f>_xlfn.IFNA(_xlfn.XLOOKUP(_xlfn.XLOOKUP(_xlfn.XLOOKUP(G85,'ENE TECH'!$G:$G,'ENE TECH'!$B:$B),Mapping!$B:$B,Mapping!$C:$C),'Emission Factors Hub'!$C:$C,'Emission Factors Hub'!$E:$E)/Parameters!$C$2*10^3,0)</f>
        <v>88.412381202378995</v>
      </c>
      <c r="M85" s="313" t="str">
        <f t="shared" si="15"/>
        <v/>
      </c>
      <c r="R85" t="s">
        <v>366</v>
      </c>
      <c r="S85">
        <f>'City characteristics'!$C$20</f>
        <v>2019</v>
      </c>
      <c r="T85" t="str">
        <f>'ENE TECH'!$G76</f>
        <v>WASCOA</v>
      </c>
      <c r="V85" t="str">
        <f>'ENE TECH'!$G76</f>
        <v>WASCOA</v>
      </c>
      <c r="X85" t="str">
        <f t="shared" si="16"/>
        <v>WASCH4</v>
      </c>
      <c r="Y85" s="313">
        <f>_xlfn.IFNA(_xlfn.XLOOKUP(_xlfn.XLOOKUP(_xlfn.XLOOKUP(T85,'ENE TECH'!$G:$G,'ENE TECH'!$B:$B),Mapping!$B:$B,Mapping!$C:$C),'Emission Factors Hub'!$C:$C,'Emission Factors Hub'!$F:$F)/Parameters!$C$2,0)</f>
        <v>1.0425988349337147E-2</v>
      </c>
      <c r="Z85" s="313" t="str">
        <f t="shared" si="17"/>
        <v/>
      </c>
      <c r="AE85" t="s">
        <v>366</v>
      </c>
      <c r="AF85">
        <f>'City characteristics'!$C$20</f>
        <v>2019</v>
      </c>
      <c r="AG85" t="str">
        <f>'ENE TECH'!$G76</f>
        <v>WASCOA</v>
      </c>
      <c r="AI85" t="str">
        <f>'ENE TECH'!$G76</f>
        <v>WASCOA</v>
      </c>
      <c r="AK85" t="str">
        <f t="shared" si="18"/>
        <v>WASN2O</v>
      </c>
      <c r="AL85" s="313">
        <f>_xlfn.IFNA(_xlfn.XLOOKUP(_xlfn.XLOOKUP(_xlfn.XLOOKUP(AG85,'ENE TECH'!$G:$G,'ENE TECH'!$B:$B),Mapping!$B:$B,Mapping!$C:$C),'Emission Factors Hub'!$C:$C,'Emission Factors Hub'!$G:$G)/Parameters!$C$2,0)</f>
        <v>1.5165073962672213E-3</v>
      </c>
      <c r="AM85" s="313" t="str">
        <f t="shared" si="19"/>
        <v/>
      </c>
      <c r="AR85" t="s">
        <v>366</v>
      </c>
      <c r="AS85">
        <f>'City characteristics'!$C$20</f>
        <v>2019</v>
      </c>
      <c r="AT85" t="str">
        <f>'ENE TECH'!$G76</f>
        <v>WASCOA</v>
      </c>
      <c r="AV85" t="str">
        <f>'ENE TECH'!$G76</f>
        <v>WASCOA</v>
      </c>
      <c r="AX85" t="str">
        <f t="shared" si="20"/>
        <v>WASCO2e</v>
      </c>
      <c r="AY85" s="313">
        <f>L85+Y85*'Emission Factors Hub'!$E$8+AL85*'Emission Factors Hub'!$E$9</f>
        <v>89.124950115200051</v>
      </c>
      <c r="AZ85" s="313" t="str">
        <f>IFERROR(M85+Z85*'Emission Factors Hub'!$E$8+AM85*'Emission Factors Hub'!$E$9,"")</f>
        <v/>
      </c>
    </row>
    <row r="86" spans="5:52">
      <c r="E86" t="s">
        <v>366</v>
      </c>
      <c r="F86">
        <f>'City characteristics'!$C$20</f>
        <v>2019</v>
      </c>
      <c r="G86" t="str">
        <f>'ENE TECH'!$G77</f>
        <v>WASELC</v>
      </c>
      <c r="I86" t="str">
        <f>'ENE TECH'!$G77</f>
        <v>WASELC</v>
      </c>
      <c r="K86" t="str">
        <f t="shared" si="14"/>
        <v>WASCO2</v>
      </c>
      <c r="L86" s="313">
        <f>_xlfn.IFNA(_xlfn.XLOOKUP(_xlfn.XLOOKUP(_xlfn.XLOOKUP(G86,'ENE TECH'!$G:$G,'ENE TECH'!$B:$B),Mapping!$B:$B,Mapping!$C:$C),'Emission Factors Hub'!$C:$C,'Emission Factors Hub'!$E:$E)/Parameters!$C$2*10^3,0)</f>
        <v>0</v>
      </c>
      <c r="M86" s="313" t="str">
        <f t="shared" si="15"/>
        <v/>
      </c>
      <c r="R86" t="s">
        <v>366</v>
      </c>
      <c r="S86">
        <f>'City characteristics'!$C$20</f>
        <v>2019</v>
      </c>
      <c r="T86" t="str">
        <f>'ENE TECH'!$G77</f>
        <v>WASELC</v>
      </c>
      <c r="V86" t="str">
        <f>'ENE TECH'!$G77</f>
        <v>WASELC</v>
      </c>
      <c r="X86" t="str">
        <f t="shared" si="16"/>
        <v>WASCH4</v>
      </c>
      <c r="Y86" s="313">
        <f>_xlfn.IFNA(_xlfn.XLOOKUP(_xlfn.XLOOKUP(_xlfn.XLOOKUP(T86,'ENE TECH'!$G:$G,'ENE TECH'!$B:$B),Mapping!$B:$B,Mapping!$C:$C),'Emission Factors Hub'!$C:$C,'Emission Factors Hub'!$F:$F)/Parameters!$C$2,0)</f>
        <v>0</v>
      </c>
      <c r="Z86" s="313" t="str">
        <f t="shared" si="17"/>
        <v/>
      </c>
      <c r="AE86" t="s">
        <v>366</v>
      </c>
      <c r="AF86">
        <f>'City characteristics'!$C$20</f>
        <v>2019</v>
      </c>
      <c r="AG86" t="str">
        <f>'ENE TECH'!$G77</f>
        <v>WASELC</v>
      </c>
      <c r="AI86" t="str">
        <f>'ENE TECH'!$G77</f>
        <v>WASELC</v>
      </c>
      <c r="AK86" t="str">
        <f t="shared" si="18"/>
        <v>WASN2O</v>
      </c>
      <c r="AL86" s="313">
        <f>_xlfn.IFNA(_xlfn.XLOOKUP(_xlfn.XLOOKUP(_xlfn.XLOOKUP(AG86,'ENE TECH'!$G:$G,'ENE TECH'!$B:$B),Mapping!$B:$B,Mapping!$C:$C),'Emission Factors Hub'!$C:$C,'Emission Factors Hub'!$G:$G)/Parameters!$C$2,0)</f>
        <v>0</v>
      </c>
      <c r="AM86" s="313" t="str">
        <f t="shared" si="19"/>
        <v/>
      </c>
      <c r="AR86" t="s">
        <v>366</v>
      </c>
      <c r="AS86">
        <f>'City characteristics'!$C$20</f>
        <v>2019</v>
      </c>
      <c r="AT86" t="str">
        <f>'ENE TECH'!$G77</f>
        <v>WASELC</v>
      </c>
      <c r="AV86" t="str">
        <f>'ENE TECH'!$G77</f>
        <v>WASELC</v>
      </c>
      <c r="AX86" t="str">
        <f t="shared" si="20"/>
        <v>WASCO2e</v>
      </c>
      <c r="AY86" s="313">
        <f>L86+Y86*'Emission Factors Hub'!$E$8+AL86*'Emission Factors Hub'!$E$9</f>
        <v>0</v>
      </c>
      <c r="AZ86" s="313" t="str">
        <f>IFERROR(M86+Z86*'Emission Factors Hub'!$E$8+AM86*'Emission Factors Hub'!$E$9,"")</f>
        <v/>
      </c>
    </row>
    <row r="87" spans="5:52">
      <c r="E87" t="s">
        <v>366</v>
      </c>
      <c r="F87">
        <f>'City characteristics'!$C$20</f>
        <v>2019</v>
      </c>
      <c r="G87" t="str">
        <f>'ENE TECH'!$G78</f>
        <v>WASH2G</v>
      </c>
      <c r="I87" t="str">
        <f>'ENE TECH'!$G78</f>
        <v>WASH2G</v>
      </c>
      <c r="K87" t="str">
        <f t="shared" si="14"/>
        <v>WASCO2</v>
      </c>
      <c r="L87" s="313">
        <f>_xlfn.IFNA(_xlfn.XLOOKUP(_xlfn.XLOOKUP(_xlfn.XLOOKUP(G87,'ENE TECH'!$G:$G,'ENE TECH'!$B:$B),Mapping!$B:$B,Mapping!$C:$C),'Emission Factors Hub'!$C:$C,'Emission Factors Hub'!$E:$E)/Parameters!$C$2*10^3,0)</f>
        <v>0</v>
      </c>
      <c r="M87" s="313" t="str">
        <f t="shared" si="15"/>
        <v/>
      </c>
      <c r="R87" t="s">
        <v>366</v>
      </c>
      <c r="S87">
        <f>'City characteristics'!$C$20</f>
        <v>2019</v>
      </c>
      <c r="T87" t="str">
        <f>'ENE TECH'!$G78</f>
        <v>WASH2G</v>
      </c>
      <c r="V87" t="str">
        <f>'ENE TECH'!$G78</f>
        <v>WASH2G</v>
      </c>
      <c r="X87" t="str">
        <f t="shared" si="16"/>
        <v>WASCH4</v>
      </c>
      <c r="Y87" s="313">
        <f>_xlfn.IFNA(_xlfn.XLOOKUP(_xlfn.XLOOKUP(_xlfn.XLOOKUP(T87,'ENE TECH'!$G:$G,'ENE TECH'!$B:$B),Mapping!$B:$B,Mapping!$C:$C),'Emission Factors Hub'!$C:$C,'Emission Factors Hub'!$F:$F)/Parameters!$C$2,0)</f>
        <v>0</v>
      </c>
      <c r="Z87" s="313" t="str">
        <f t="shared" si="17"/>
        <v/>
      </c>
      <c r="AE87" t="s">
        <v>366</v>
      </c>
      <c r="AF87">
        <f>'City characteristics'!$C$20</f>
        <v>2019</v>
      </c>
      <c r="AG87" t="str">
        <f>'ENE TECH'!$G78</f>
        <v>WASH2G</v>
      </c>
      <c r="AI87" t="str">
        <f>'ENE TECH'!$G78</f>
        <v>WASH2G</v>
      </c>
      <c r="AK87" t="str">
        <f t="shared" si="18"/>
        <v>WASN2O</v>
      </c>
      <c r="AL87" s="313">
        <f>_xlfn.IFNA(_xlfn.XLOOKUP(_xlfn.XLOOKUP(_xlfn.XLOOKUP(AG87,'ENE TECH'!$G:$G,'ENE TECH'!$B:$B),Mapping!$B:$B,Mapping!$C:$C),'Emission Factors Hub'!$C:$C,'Emission Factors Hub'!$G:$G)/Parameters!$C$2,0)</f>
        <v>0</v>
      </c>
      <c r="AM87" s="313" t="str">
        <f t="shared" si="19"/>
        <v/>
      </c>
      <c r="AR87" t="s">
        <v>366</v>
      </c>
      <c r="AS87">
        <f>'City characteristics'!$C$20</f>
        <v>2019</v>
      </c>
      <c r="AT87" t="str">
        <f>'ENE TECH'!$G78</f>
        <v>WASH2G</v>
      </c>
      <c r="AV87" t="str">
        <f>'ENE TECH'!$G78</f>
        <v>WASH2G</v>
      </c>
      <c r="AX87" t="str">
        <f t="shared" si="20"/>
        <v>WASCO2e</v>
      </c>
      <c r="AY87" s="313">
        <f>L87+Y87*'Emission Factors Hub'!$E$8+AL87*'Emission Factors Hub'!$E$9</f>
        <v>0</v>
      </c>
      <c r="AZ87" s="313" t="str">
        <f>IFERROR(M87+Z87*'Emission Factors Hub'!$E$8+AM87*'Emission Factors Hub'!$E$9,"")</f>
        <v/>
      </c>
    </row>
    <row r="88" spans="5:52">
      <c r="E88" t="s">
        <v>366</v>
      </c>
      <c r="F88">
        <f>'City characteristics'!$C$20</f>
        <v>2019</v>
      </c>
      <c r="G88" t="str">
        <f>'ENE TECH'!$G79</f>
        <v>WASSOL</v>
      </c>
      <c r="I88" t="str">
        <f>'ENE TECH'!$G79</f>
        <v>WASSOL</v>
      </c>
      <c r="K88" t="str">
        <f t="shared" si="14"/>
        <v>WASCO2</v>
      </c>
      <c r="L88" s="313">
        <f>_xlfn.IFNA(_xlfn.XLOOKUP(_xlfn.XLOOKUP(_xlfn.XLOOKUP(G88,'ENE TECH'!$G:$G,'ENE TECH'!$B:$B),Mapping!$B:$B,Mapping!$C:$C),'Emission Factors Hub'!$C:$C,'Emission Factors Hub'!$E:$E)/Parameters!$C$2*10^3,0)</f>
        <v>0</v>
      </c>
      <c r="M88" s="313" t="str">
        <f t="shared" si="15"/>
        <v/>
      </c>
      <c r="R88" t="s">
        <v>366</v>
      </c>
      <c r="S88">
        <f>'City characteristics'!$C$20</f>
        <v>2019</v>
      </c>
      <c r="T88" t="str">
        <f>'ENE TECH'!$G79</f>
        <v>WASSOL</v>
      </c>
      <c r="V88" t="str">
        <f>'ENE TECH'!$G79</f>
        <v>WASSOL</v>
      </c>
      <c r="X88" t="str">
        <f t="shared" si="16"/>
        <v>WASCH4</v>
      </c>
      <c r="Y88" s="313">
        <f>_xlfn.IFNA(_xlfn.XLOOKUP(_xlfn.XLOOKUP(_xlfn.XLOOKUP(T88,'ENE TECH'!$G:$G,'ENE TECH'!$B:$B),Mapping!$B:$B,Mapping!$C:$C),'Emission Factors Hub'!$C:$C,'Emission Factors Hub'!$F:$F)/Parameters!$C$2,0)</f>
        <v>0</v>
      </c>
      <c r="Z88" s="313" t="str">
        <f t="shared" si="17"/>
        <v/>
      </c>
      <c r="AE88" t="s">
        <v>366</v>
      </c>
      <c r="AF88">
        <f>'City characteristics'!$C$20</f>
        <v>2019</v>
      </c>
      <c r="AG88" t="str">
        <f>'ENE TECH'!$G79</f>
        <v>WASSOL</v>
      </c>
      <c r="AI88" t="str">
        <f>'ENE TECH'!$G79</f>
        <v>WASSOL</v>
      </c>
      <c r="AK88" t="str">
        <f t="shared" si="18"/>
        <v>WASN2O</v>
      </c>
      <c r="AL88" s="313">
        <f>_xlfn.IFNA(_xlfn.XLOOKUP(_xlfn.XLOOKUP(_xlfn.XLOOKUP(AG88,'ENE TECH'!$G:$G,'ENE TECH'!$B:$B),Mapping!$B:$B,Mapping!$C:$C),'Emission Factors Hub'!$C:$C,'Emission Factors Hub'!$G:$G)/Parameters!$C$2,0)</f>
        <v>0</v>
      </c>
      <c r="AM88" s="313" t="str">
        <f t="shared" si="19"/>
        <v/>
      </c>
      <c r="AR88" t="s">
        <v>366</v>
      </c>
      <c r="AS88">
        <f>'City characteristics'!$C$20</f>
        <v>2019</v>
      </c>
      <c r="AT88" t="str">
        <f>'ENE TECH'!$G79</f>
        <v>WASSOL</v>
      </c>
      <c r="AV88" t="str">
        <f>'ENE TECH'!$G79</f>
        <v>WASSOL</v>
      </c>
      <c r="AX88" t="str">
        <f t="shared" si="20"/>
        <v>WASCO2e</v>
      </c>
      <c r="AY88" s="313">
        <f>L88+Y88*'Emission Factors Hub'!$E$8+AL88*'Emission Factors Hub'!$E$9</f>
        <v>0</v>
      </c>
      <c r="AZ88" s="313" t="str">
        <f>IFERROR(M88+Z88*'Emission Factors Hub'!$E$8+AM88*'Emission Factors Hub'!$E$9,"")</f>
        <v/>
      </c>
    </row>
    <row r="89" spans="5:52">
      <c r="E89" t="s">
        <v>366</v>
      </c>
      <c r="F89">
        <f>'City characteristics'!$C$20</f>
        <v>2019</v>
      </c>
      <c r="G89" t="str">
        <f>'ENE TECH'!$G80</f>
        <v>WASWND</v>
      </c>
      <c r="I89" t="str">
        <f>'ENE TECH'!$G80</f>
        <v>WASWND</v>
      </c>
      <c r="K89" t="str">
        <f t="shared" si="14"/>
        <v>WASCO2</v>
      </c>
      <c r="L89" s="313">
        <f>_xlfn.IFNA(_xlfn.XLOOKUP(_xlfn.XLOOKUP(_xlfn.XLOOKUP(G89,'ENE TECH'!$G:$G,'ENE TECH'!$B:$B),Mapping!$B:$B,Mapping!$C:$C),'Emission Factors Hub'!$C:$C,'Emission Factors Hub'!$E:$E)/Parameters!$C$2*10^3,0)</f>
        <v>0</v>
      </c>
      <c r="M89" s="313" t="str">
        <f t="shared" si="15"/>
        <v/>
      </c>
      <c r="R89" t="s">
        <v>366</v>
      </c>
      <c r="S89">
        <f>'City characteristics'!$C$20</f>
        <v>2019</v>
      </c>
      <c r="T89" t="str">
        <f>'ENE TECH'!$G80</f>
        <v>WASWND</v>
      </c>
      <c r="V89" t="str">
        <f>'ENE TECH'!$G80</f>
        <v>WASWND</v>
      </c>
      <c r="X89" t="str">
        <f t="shared" si="16"/>
        <v>WASCH4</v>
      </c>
      <c r="Y89" s="313">
        <f>_xlfn.IFNA(_xlfn.XLOOKUP(_xlfn.XLOOKUP(_xlfn.XLOOKUP(T89,'ENE TECH'!$G:$G,'ENE TECH'!$B:$B),Mapping!$B:$B,Mapping!$C:$C),'Emission Factors Hub'!$C:$C,'Emission Factors Hub'!$F:$F)/Parameters!$C$2,0)</f>
        <v>0</v>
      </c>
      <c r="Z89" s="313" t="str">
        <f t="shared" si="17"/>
        <v/>
      </c>
      <c r="AE89" t="s">
        <v>366</v>
      </c>
      <c r="AF89">
        <f>'City characteristics'!$C$20</f>
        <v>2019</v>
      </c>
      <c r="AG89" t="str">
        <f>'ENE TECH'!$G80</f>
        <v>WASWND</v>
      </c>
      <c r="AI89" t="str">
        <f>'ENE TECH'!$G80</f>
        <v>WASWND</v>
      </c>
      <c r="AK89" t="str">
        <f t="shared" si="18"/>
        <v>WASN2O</v>
      </c>
      <c r="AL89" s="313">
        <f>_xlfn.IFNA(_xlfn.XLOOKUP(_xlfn.XLOOKUP(_xlfn.XLOOKUP(AG89,'ENE TECH'!$G:$G,'ENE TECH'!$B:$B),Mapping!$B:$B,Mapping!$C:$C),'Emission Factors Hub'!$C:$C,'Emission Factors Hub'!$G:$G)/Parameters!$C$2,0)</f>
        <v>0</v>
      </c>
      <c r="AM89" s="313" t="str">
        <f t="shared" si="19"/>
        <v/>
      </c>
      <c r="AR89" t="s">
        <v>366</v>
      </c>
      <c r="AS89">
        <f>'City characteristics'!$C$20</f>
        <v>2019</v>
      </c>
      <c r="AT89" t="str">
        <f>'ENE TECH'!$G80</f>
        <v>WASWND</v>
      </c>
      <c r="AV89" t="str">
        <f>'ENE TECH'!$G80</f>
        <v>WASWND</v>
      </c>
      <c r="AX89" t="str">
        <f t="shared" si="20"/>
        <v>WASCO2e</v>
      </c>
      <c r="AY89" s="313">
        <f>L89+Y89*'Emission Factors Hub'!$E$8+AL89*'Emission Factors Hub'!$E$9</f>
        <v>0</v>
      </c>
      <c r="AZ89" s="313" t="str">
        <f>IFERROR(M89+Z89*'Emission Factors Hub'!$E$8+AM89*'Emission Factors Hub'!$E$9,"")</f>
        <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2:AZ6"/>
  <sheetViews>
    <sheetView workbookViewId="0">
      <selection activeCell="AM7" sqref="AM7"/>
    </sheetView>
  </sheetViews>
  <sheetFormatPr defaultRowHeight="15"/>
  <cols>
    <col min="5" max="5" width="9.5703125" bestFit="1" customWidth="1"/>
    <col min="8" max="8" width="12.7109375" bestFit="1" customWidth="1"/>
    <col min="47" max="47" width="12.7109375" bestFit="1" customWidth="1"/>
  </cols>
  <sheetData>
    <row r="2" spans="3:52">
      <c r="K2" t="s">
        <v>351</v>
      </c>
      <c r="L2" s="313"/>
      <c r="M2" s="313"/>
      <c r="X2" t="s">
        <v>352</v>
      </c>
      <c r="Y2" s="313"/>
      <c r="Z2" s="313"/>
      <c r="AK2" t="s">
        <v>353</v>
      </c>
      <c r="AL2" s="313"/>
      <c r="AM2" s="313"/>
      <c r="AX2" t="s">
        <v>354</v>
      </c>
      <c r="AY2" s="313"/>
      <c r="AZ2" s="313"/>
    </row>
    <row r="3" spans="3:52">
      <c r="L3" s="313"/>
      <c r="M3" s="313"/>
      <c r="Y3" s="313"/>
      <c r="Z3" s="313"/>
      <c r="AL3" s="313"/>
      <c r="AM3" s="313"/>
      <c r="AY3" s="313"/>
      <c r="AZ3" s="313"/>
    </row>
    <row r="4" spans="3:52">
      <c r="C4" s="9" t="s">
        <v>355</v>
      </c>
      <c r="L4" s="313"/>
      <c r="M4" s="313"/>
      <c r="P4" s="9" t="s">
        <v>355</v>
      </c>
      <c r="Y4" s="313"/>
      <c r="Z4" s="313"/>
      <c r="AC4" s="9" t="s">
        <v>355</v>
      </c>
      <c r="AL4" s="313"/>
      <c r="AM4" s="313"/>
      <c r="AP4" s="9" t="s">
        <v>355</v>
      </c>
      <c r="AY4" s="313"/>
      <c r="AZ4" s="313"/>
    </row>
    <row r="5" spans="3:52">
      <c r="C5" s="8" t="s">
        <v>356</v>
      </c>
      <c r="D5" s="8" t="s">
        <v>357</v>
      </c>
      <c r="E5" s="8" t="s">
        <v>358</v>
      </c>
      <c r="F5" s="8" t="s">
        <v>30</v>
      </c>
      <c r="G5" s="8" t="s">
        <v>359</v>
      </c>
      <c r="H5" s="8" t="s">
        <v>360</v>
      </c>
      <c r="I5" s="8" t="s">
        <v>361</v>
      </c>
      <c r="J5" s="8" t="s">
        <v>362</v>
      </c>
      <c r="K5" s="8" t="s">
        <v>363</v>
      </c>
      <c r="L5" s="314" t="s">
        <v>364</v>
      </c>
      <c r="M5" s="314" t="s">
        <v>365</v>
      </c>
      <c r="P5" s="8" t="s">
        <v>356</v>
      </c>
      <c r="Q5" s="8" t="s">
        <v>357</v>
      </c>
      <c r="R5" s="8" t="s">
        <v>358</v>
      </c>
      <c r="S5" s="8" t="s">
        <v>30</v>
      </c>
      <c r="T5" s="8" t="s">
        <v>359</v>
      </c>
      <c r="U5" s="8" t="s">
        <v>360</v>
      </c>
      <c r="V5" s="8" t="s">
        <v>361</v>
      </c>
      <c r="W5" s="8" t="s">
        <v>362</v>
      </c>
      <c r="X5" s="8" t="s">
        <v>363</v>
      </c>
      <c r="Y5" s="314" t="s">
        <v>364</v>
      </c>
      <c r="Z5" s="314" t="s">
        <v>365</v>
      </c>
      <c r="AC5" s="8" t="s">
        <v>356</v>
      </c>
      <c r="AD5" s="8" t="s">
        <v>357</v>
      </c>
      <c r="AE5" s="8" t="s">
        <v>358</v>
      </c>
      <c r="AF5" s="8" t="s">
        <v>30</v>
      </c>
      <c r="AG5" s="8" t="s">
        <v>359</v>
      </c>
      <c r="AH5" s="8" t="s">
        <v>360</v>
      </c>
      <c r="AI5" s="8" t="s">
        <v>361</v>
      </c>
      <c r="AJ5" s="8" t="s">
        <v>362</v>
      </c>
      <c r="AK5" s="8" t="s">
        <v>363</v>
      </c>
      <c r="AL5" s="314" t="s">
        <v>364</v>
      </c>
      <c r="AM5" s="314" t="s">
        <v>365</v>
      </c>
      <c r="AP5" s="8" t="s">
        <v>356</v>
      </c>
      <c r="AQ5" s="8" t="s">
        <v>357</v>
      </c>
      <c r="AR5" s="8" t="s">
        <v>358</v>
      </c>
      <c r="AS5" s="8" t="s">
        <v>30</v>
      </c>
      <c r="AT5" s="8" t="s">
        <v>359</v>
      </c>
      <c r="AU5" s="8" t="s">
        <v>360</v>
      </c>
      <c r="AV5" s="8" t="s">
        <v>361</v>
      </c>
      <c r="AW5" s="8" t="s">
        <v>362</v>
      </c>
      <c r="AX5" s="8" t="s">
        <v>363</v>
      </c>
      <c r="AY5" s="314" t="s">
        <v>364</v>
      </c>
      <c r="AZ5" s="314" t="s">
        <v>365</v>
      </c>
    </row>
    <row r="6" spans="3:52">
      <c r="E6" t="s">
        <v>366</v>
      </c>
      <c r="F6">
        <f>'City characteristics'!$C$20</f>
        <v>2019</v>
      </c>
      <c r="G6" t="s">
        <v>372</v>
      </c>
      <c r="H6" t="str">
        <f>'ELC RESID'!$H51</f>
        <v>IMPELCEGRID</v>
      </c>
      <c r="K6" t="str">
        <f>"ELC"&amp;K$2</f>
        <v>ELCCO2</v>
      </c>
      <c r="L6" s="313">
        <f>IF(_xlfn.XLOOKUP(H6,'ELC RESID'!$H:$H,'ELC RESID'!$B:$B)="Decentralized",SUMIFS('ELC RESID'!$AG:$AG,'ELC RESID'!$H:$H,H6),0)</f>
        <v>0</v>
      </c>
      <c r="M6" s="313">
        <f>IF(_xlfn.XLOOKUP(H6,'ELC RESID'!$H:$H,'ELC RESID'!$B:$B)="Grid",SUMIFS('ELC RESID'!$AG:$AG,'ELC RESID'!$H:$H,H6),0)</f>
        <v>67.865561350034497</v>
      </c>
      <c r="R6" t="s">
        <v>366</v>
      </c>
      <c r="S6">
        <f>'City characteristics'!$C$20</f>
        <v>2019</v>
      </c>
      <c r="T6" t="s">
        <v>372</v>
      </c>
      <c r="U6" t="str">
        <f>'ELC RESID'!$H51</f>
        <v>IMPELCEGRID</v>
      </c>
      <c r="X6" t="str">
        <f>"ELC"&amp;X$2</f>
        <v>ELCCH4</v>
      </c>
      <c r="Y6" s="313">
        <f>IF(_xlfn.XLOOKUP(U6,'ELC RESID'!$H:$H,'ELC RESID'!$B:$B)="Decentralized",SUMIFS('ELC RESID'!$AK:$AK,'ELC RESID'!$H:$H,U6),0)</f>
        <v>0</v>
      </c>
      <c r="Z6" s="313">
        <f>IF(_xlfn.XLOOKUP(U6,'ELC RESID'!$H:$H,'ELC RESID'!$B:$B)="Grid",SUMIFS('ELC RESID'!$AK:$AK,'ELC RESID'!$H:$H,U6),0)</f>
        <v>2.6429913923359119E-3</v>
      </c>
      <c r="AE6" t="s">
        <v>366</v>
      </c>
      <c r="AF6">
        <f>'City characteristics'!$C$20</f>
        <v>2019</v>
      </c>
      <c r="AG6" t="s">
        <v>372</v>
      </c>
      <c r="AH6" t="str">
        <f>'ELC RESID'!$H51</f>
        <v>IMPELCEGRID</v>
      </c>
      <c r="AK6" t="str">
        <f>"ELC"&amp;AK$2</f>
        <v>ELCN2O</v>
      </c>
      <c r="AL6" s="313">
        <f>IF(_xlfn.XLOOKUP(AH6,'ELC RESID'!$H:$H,'ELC RESID'!$B:$B)="Decentralized",SUMIFS('ELC RESID'!$AO:$AO,'ELC RESID'!$H:$H,AH6),0)</f>
        <v>0</v>
      </c>
      <c r="AM6" s="313">
        <f>IF(_xlfn.XLOOKUP(AH6,'ELC RESID'!$H:$H,'ELC RESID'!$B:$B)="Grid",SUMIFS('ELC RESID'!$AO:$AO,'ELC RESID'!$H:$H,AH6),0)</f>
        <v>3.0952951661773282E-4</v>
      </c>
      <c r="AR6" t="s">
        <v>366</v>
      </c>
      <c r="AS6">
        <f>'City characteristics'!$C$20</f>
        <v>2019</v>
      </c>
      <c r="AT6" t="s">
        <v>372</v>
      </c>
      <c r="AU6" t="str">
        <f>'ELC RESID'!$H51</f>
        <v>IMPELCEGRID</v>
      </c>
      <c r="AX6" t="str">
        <f>"ELC"&amp;AX$2</f>
        <v>ELCCO2e</v>
      </c>
      <c r="AY6" s="313">
        <f>L6+Y6*'Emission Factors Hub'!$E$8+AL6*'Emission Factors Hub'!$E$9</f>
        <v>0</v>
      </c>
      <c r="AZ6" s="313">
        <f>IFERROR(M6+Z6*'Emission Factors Hub'!$E$8+AM6*'Emission Factors Hub'!$E$9,"")</f>
        <v>68.023875930794972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tint="0.499984740745262"/>
  </sheetPr>
  <dimension ref="A1"/>
  <sheetViews>
    <sheetView workbookViewId="0">
      <selection activeCell="M13" sqref="M13"/>
    </sheetView>
  </sheetViews>
  <sheetFormatPr defaultRowHeight="15"/>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H17"/>
  <sheetViews>
    <sheetView workbookViewId="0">
      <selection activeCell="B15" sqref="B15"/>
    </sheetView>
  </sheetViews>
  <sheetFormatPr defaultRowHeight="15"/>
  <cols>
    <col min="2" max="2" width="26.85546875" customWidth="1"/>
    <col min="3" max="3" width="10.85546875" bestFit="1" customWidth="1"/>
    <col min="7" max="7" width="21.28515625" customWidth="1"/>
  </cols>
  <sheetData>
    <row r="2" spans="2:8">
      <c r="B2" t="s">
        <v>373</v>
      </c>
      <c r="C2" s="311">
        <v>1055.05585</v>
      </c>
      <c r="H2" t="s">
        <v>374</v>
      </c>
    </row>
    <row r="3" spans="2:8">
      <c r="B3" t="s">
        <v>375</v>
      </c>
      <c r="C3">
        <v>9.2902999999999999E-2</v>
      </c>
      <c r="G3" t="s">
        <v>376</v>
      </c>
      <c r="H3" t="s">
        <v>377</v>
      </c>
    </row>
    <row r="4" spans="2:8">
      <c r="B4" t="s">
        <v>378</v>
      </c>
      <c r="C4" s="312">
        <v>0.2</v>
      </c>
      <c r="G4" t="s">
        <v>229</v>
      </c>
      <c r="H4">
        <v>34.200000000000003</v>
      </c>
    </row>
    <row r="5" spans="2:8">
      <c r="B5" t="s">
        <v>379</v>
      </c>
      <c r="C5">
        <v>0.453592</v>
      </c>
      <c r="G5" t="s">
        <v>380</v>
      </c>
      <c r="H5">
        <v>34.200000000000003</v>
      </c>
    </row>
    <row r="6" spans="2:8">
      <c r="B6" t="s">
        <v>381</v>
      </c>
      <c r="C6">
        <v>3785411.784</v>
      </c>
      <c r="G6" t="s">
        <v>126</v>
      </c>
      <c r="H6">
        <v>34.200000000000003</v>
      </c>
    </row>
    <row r="7" spans="2:8">
      <c r="B7" t="s">
        <v>382</v>
      </c>
      <c r="C7">
        <v>1.6093440000000001</v>
      </c>
      <c r="G7" t="s">
        <v>106</v>
      </c>
      <c r="H7">
        <v>34.200000000000003</v>
      </c>
    </row>
    <row r="8" spans="2:8">
      <c r="B8" t="s">
        <v>383</v>
      </c>
      <c r="C8">
        <v>0.90718500000000002</v>
      </c>
      <c r="G8" t="s">
        <v>237</v>
      </c>
      <c r="H8">
        <v>38.6</v>
      </c>
    </row>
    <row r="9" spans="2:8">
      <c r="B9" t="s">
        <v>384</v>
      </c>
      <c r="C9">
        <f>1/3.6</f>
        <v>0.27777777777777779</v>
      </c>
      <c r="G9" t="s">
        <v>303</v>
      </c>
      <c r="H9">
        <v>38.6</v>
      </c>
    </row>
    <row r="10" spans="2:8">
      <c r="G10" t="s">
        <v>305</v>
      </c>
      <c r="H10">
        <v>38.6</v>
      </c>
    </row>
    <row r="11" spans="2:8">
      <c r="G11" t="s">
        <v>244</v>
      </c>
      <c r="H11">
        <v>34.200000000000003</v>
      </c>
    </row>
    <row r="12" spans="2:8">
      <c r="G12" t="s">
        <v>285</v>
      </c>
      <c r="H12">
        <v>34.200000000000003</v>
      </c>
    </row>
    <row r="13" spans="2:8">
      <c r="G13" t="s">
        <v>133</v>
      </c>
      <c r="H13">
        <v>41</v>
      </c>
    </row>
    <row r="14" spans="2:8">
      <c r="G14" t="s">
        <v>213</v>
      </c>
      <c r="H14">
        <v>26.5</v>
      </c>
    </row>
    <row r="15" spans="2:8">
      <c r="G15" t="s">
        <v>291</v>
      </c>
      <c r="H15">
        <v>37.9</v>
      </c>
    </row>
    <row r="16" spans="2:8">
      <c r="G16" t="s">
        <v>295</v>
      </c>
      <c r="H16">
        <v>37.9</v>
      </c>
    </row>
    <row r="17" spans="7:8">
      <c r="G17" t="s">
        <v>298</v>
      </c>
      <c r="H17">
        <v>37.9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560"/>
  <sheetViews>
    <sheetView showGridLines="0" topLeftCell="C53" zoomScaleNormal="100" zoomScalePageLayoutView="85" workbookViewId="0">
      <selection activeCell="C71" sqref="C1:C1048576"/>
    </sheetView>
  </sheetViews>
  <sheetFormatPr defaultColWidth="10" defaultRowHeight="12.75"/>
  <cols>
    <col min="1" max="1" width="3.140625" style="316" customWidth="1"/>
    <col min="2" max="2" width="15.140625" style="250" customWidth="1"/>
    <col min="3" max="3" width="29.5703125" style="316" customWidth="1"/>
    <col min="4" max="4" width="22" style="316" customWidth="1"/>
    <col min="5" max="5" width="16.42578125" style="316" customWidth="1"/>
    <col min="6" max="6" width="16.140625" style="316" customWidth="1"/>
    <col min="7" max="7" width="16.85546875" style="316" customWidth="1"/>
    <col min="8" max="8" width="21.85546875" style="316" customWidth="1"/>
    <col min="9" max="9" width="21.140625" style="316" customWidth="1"/>
    <col min="10" max="10" width="14.5703125" style="316" customWidth="1"/>
    <col min="11" max="11" width="23.28515625" style="316" customWidth="1"/>
    <col min="12" max="12" width="14.5703125" style="316" customWidth="1"/>
    <col min="13" max="13" width="12.28515625" style="316" customWidth="1"/>
    <col min="14" max="17" width="15.7109375" style="316" customWidth="1"/>
    <col min="18" max="18" width="16.140625" style="316" customWidth="1"/>
    <col min="19" max="38" width="10" style="316" customWidth="1"/>
    <col min="39" max="16384" width="10" style="316"/>
  </cols>
  <sheetData>
    <row r="1" spans="1:27" ht="80.25" customHeight="1">
      <c r="A1" s="10"/>
      <c r="B1" s="11"/>
      <c r="C1" s="10"/>
      <c r="D1" s="10"/>
      <c r="E1" s="10"/>
      <c r="F1" s="10"/>
      <c r="G1" s="10"/>
      <c r="H1" s="10"/>
      <c r="I1" s="10"/>
      <c r="J1" s="10"/>
      <c r="K1" s="10"/>
      <c r="L1" s="10"/>
      <c r="M1" s="10"/>
      <c r="N1" s="10"/>
      <c r="O1" s="10"/>
      <c r="P1" s="10"/>
      <c r="Q1" s="10"/>
      <c r="R1" s="10"/>
      <c r="S1" s="10"/>
      <c r="T1" s="10"/>
      <c r="U1" s="10"/>
      <c r="V1" s="10"/>
      <c r="W1" s="10"/>
      <c r="X1" s="10"/>
      <c r="Y1" s="10"/>
      <c r="Z1" s="10"/>
      <c r="AA1" s="10"/>
    </row>
    <row r="2" spans="1:27" ht="21" customHeight="1">
      <c r="A2" s="10"/>
      <c r="B2" s="363" t="s">
        <v>385</v>
      </c>
      <c r="C2" s="327"/>
      <c r="D2" s="327"/>
      <c r="E2" s="327"/>
      <c r="F2" s="327"/>
      <c r="G2" s="327"/>
      <c r="H2" s="327"/>
      <c r="I2" s="327"/>
      <c r="J2" s="327"/>
      <c r="K2" s="327"/>
      <c r="L2" s="344"/>
      <c r="M2" s="10"/>
      <c r="N2" s="10"/>
      <c r="O2" s="10"/>
      <c r="P2" s="10"/>
      <c r="Q2" s="10"/>
      <c r="R2" s="10"/>
      <c r="S2" s="10"/>
      <c r="T2" s="10"/>
      <c r="U2" s="10"/>
      <c r="V2" s="10"/>
      <c r="W2" s="10"/>
      <c r="X2" s="10"/>
      <c r="Y2" s="10"/>
      <c r="Z2" s="10"/>
      <c r="AA2" s="10"/>
    </row>
    <row r="3" spans="1:27">
      <c r="A3" s="10"/>
      <c r="B3" s="11"/>
      <c r="C3" s="10"/>
      <c r="D3" s="10"/>
      <c r="F3" s="12" t="s">
        <v>386</v>
      </c>
      <c r="G3" s="13"/>
      <c r="H3" s="10"/>
      <c r="I3" s="10"/>
      <c r="J3" s="10"/>
      <c r="K3" s="10"/>
      <c r="L3" s="10"/>
      <c r="M3" s="10"/>
      <c r="N3" s="10"/>
      <c r="O3" s="10"/>
      <c r="P3" s="10"/>
      <c r="Q3" s="10"/>
      <c r="R3" s="10"/>
      <c r="S3" s="10"/>
      <c r="T3" s="10"/>
      <c r="U3" s="10"/>
      <c r="V3" s="10"/>
      <c r="W3" s="10"/>
      <c r="X3" s="10"/>
      <c r="Y3" s="10"/>
      <c r="Z3" s="10"/>
      <c r="AA3" s="10"/>
    </row>
    <row r="4" spans="1:27" ht="17.45" customHeight="1">
      <c r="A4" s="10"/>
      <c r="B4" s="11"/>
      <c r="C4" s="14" t="s">
        <v>387</v>
      </c>
      <c r="D4" s="10"/>
      <c r="E4" s="10"/>
      <c r="F4" s="10"/>
      <c r="G4" s="15"/>
      <c r="H4" s="10"/>
      <c r="I4" s="10"/>
      <c r="J4" s="10"/>
      <c r="K4" s="10"/>
      <c r="L4" s="10"/>
      <c r="M4" s="10"/>
      <c r="N4" s="10"/>
      <c r="O4" s="10"/>
      <c r="P4" s="10"/>
      <c r="Q4" s="10"/>
      <c r="R4" s="10"/>
      <c r="S4" s="10"/>
      <c r="T4" s="10"/>
      <c r="U4" s="10"/>
      <c r="V4" s="10"/>
      <c r="W4" s="10"/>
      <c r="X4" s="10"/>
      <c r="Y4" s="10"/>
      <c r="Z4" s="10"/>
      <c r="AA4" s="10"/>
    </row>
    <row r="5" spans="1:27" ht="36.75" customHeight="1">
      <c r="A5" s="10"/>
      <c r="B5" s="11"/>
      <c r="C5" s="371" t="s">
        <v>388</v>
      </c>
      <c r="D5" s="332"/>
      <c r="E5" s="332"/>
      <c r="F5" s="332"/>
      <c r="G5" s="332"/>
      <c r="H5" s="332"/>
      <c r="I5" s="332"/>
      <c r="J5" s="332"/>
      <c r="K5" s="332"/>
      <c r="L5" s="332"/>
      <c r="M5" s="10"/>
      <c r="N5" s="10"/>
      <c r="O5" s="10"/>
      <c r="P5" s="10"/>
      <c r="Q5" s="10"/>
      <c r="R5" s="10"/>
      <c r="S5" s="10"/>
      <c r="T5" s="10"/>
      <c r="U5" s="10"/>
      <c r="V5" s="10"/>
      <c r="W5" s="10"/>
      <c r="X5" s="10"/>
      <c r="Y5" s="10"/>
      <c r="Z5" s="10"/>
      <c r="AA5" s="10"/>
    </row>
    <row r="6" spans="1:27" ht="13.9" customHeight="1" thickBot="1">
      <c r="A6" s="10"/>
      <c r="B6" s="11"/>
      <c r="C6" s="16"/>
      <c r="D6" s="319"/>
      <c r="E6" s="319"/>
      <c r="F6" s="319"/>
      <c r="G6" s="319"/>
      <c r="H6" s="319"/>
      <c r="I6" s="319"/>
      <c r="J6" s="319"/>
      <c r="K6" s="319"/>
      <c r="L6" s="319"/>
      <c r="M6" s="10"/>
      <c r="N6" s="10"/>
      <c r="O6" s="10"/>
      <c r="P6" s="10"/>
      <c r="Q6" s="10"/>
      <c r="R6" s="10"/>
      <c r="S6" s="10"/>
      <c r="T6" s="10"/>
      <c r="U6" s="10"/>
      <c r="V6" s="10"/>
      <c r="W6" s="10"/>
      <c r="X6" s="10"/>
      <c r="Y6" s="10"/>
      <c r="Z6" s="10"/>
      <c r="AA6" s="10"/>
    </row>
    <row r="7" spans="1:27" ht="13.9" customHeight="1" thickBot="1">
      <c r="A7" s="10"/>
      <c r="B7" s="11"/>
      <c r="C7" s="10"/>
      <c r="D7" s="17" t="s">
        <v>389</v>
      </c>
      <c r="E7" s="18" t="s">
        <v>390</v>
      </c>
      <c r="F7" s="319"/>
      <c r="G7" s="319"/>
      <c r="H7" s="319"/>
      <c r="I7" s="319"/>
      <c r="J7" s="319"/>
      <c r="K7" s="319"/>
      <c r="L7" s="319"/>
      <c r="M7" s="10"/>
      <c r="N7" s="10"/>
      <c r="O7" s="10"/>
      <c r="P7" s="10"/>
      <c r="Q7" s="10"/>
      <c r="R7" s="10"/>
      <c r="S7" s="10"/>
      <c r="T7" s="10"/>
      <c r="U7" s="10"/>
      <c r="V7" s="10"/>
      <c r="W7" s="10"/>
      <c r="X7" s="10"/>
      <c r="Y7" s="10"/>
      <c r="Z7" s="10"/>
      <c r="AA7" s="10"/>
    </row>
    <row r="8" spans="1:27" ht="15.6" customHeight="1">
      <c r="A8" s="10"/>
      <c r="B8" s="11"/>
      <c r="C8" s="10"/>
      <c r="D8" s="19" t="s">
        <v>352</v>
      </c>
      <c r="E8" s="20">
        <v>25</v>
      </c>
      <c r="F8" s="16"/>
      <c r="G8" s="16"/>
      <c r="H8" s="10"/>
      <c r="J8" s="10"/>
      <c r="K8" s="10"/>
      <c r="L8" s="10"/>
      <c r="M8" s="10"/>
      <c r="N8" s="10"/>
      <c r="O8" s="10"/>
      <c r="P8" s="21"/>
      <c r="Q8" s="10"/>
      <c r="R8" s="10"/>
      <c r="S8" s="10"/>
      <c r="T8" s="10"/>
      <c r="U8" s="10"/>
      <c r="V8" s="10"/>
      <c r="W8" s="10"/>
      <c r="X8" s="10"/>
      <c r="Y8" s="10"/>
      <c r="Z8" s="10"/>
      <c r="AA8" s="10"/>
    </row>
    <row r="9" spans="1:27" ht="16.149999999999999" customHeight="1" thickBot="1">
      <c r="A9" s="10"/>
      <c r="B9" s="11"/>
      <c r="C9" s="10"/>
      <c r="D9" s="22" t="s">
        <v>353</v>
      </c>
      <c r="E9" s="23">
        <v>298</v>
      </c>
      <c r="F9" s="10"/>
      <c r="G9" s="10"/>
      <c r="H9" s="10"/>
      <c r="I9" s="10"/>
      <c r="J9" s="10"/>
      <c r="K9" s="10"/>
      <c r="L9" s="10"/>
      <c r="M9" s="10"/>
      <c r="N9" s="10"/>
      <c r="O9" s="24"/>
      <c r="P9" s="24"/>
      <c r="Q9" s="10"/>
      <c r="R9" s="10"/>
      <c r="S9" s="10"/>
      <c r="T9" s="10"/>
      <c r="U9" s="10"/>
      <c r="V9" s="10"/>
      <c r="W9" s="10"/>
      <c r="X9" s="10"/>
      <c r="Y9" s="10"/>
      <c r="Z9" s="10"/>
      <c r="AA9" s="10"/>
    </row>
    <row r="10" spans="1:27" ht="27.75" customHeight="1">
      <c r="A10" s="10"/>
      <c r="B10" s="11"/>
      <c r="C10" s="10"/>
      <c r="D10" s="331" t="s">
        <v>391</v>
      </c>
      <c r="E10" s="332"/>
      <c r="F10" s="332"/>
      <c r="G10" s="332"/>
      <c r="H10" s="332"/>
      <c r="I10" s="10"/>
      <c r="J10" s="10"/>
      <c r="K10" s="10"/>
      <c r="L10" s="10"/>
      <c r="M10" s="10"/>
      <c r="N10" s="10"/>
      <c r="O10" s="24"/>
      <c r="P10" s="24"/>
      <c r="Q10" s="10"/>
      <c r="R10" s="10"/>
      <c r="S10" s="10"/>
      <c r="T10" s="10"/>
      <c r="U10" s="10"/>
      <c r="V10" s="10"/>
      <c r="W10" s="10"/>
      <c r="X10" s="10"/>
      <c r="Y10" s="10"/>
      <c r="Z10" s="10"/>
      <c r="AA10" s="10"/>
    </row>
    <row r="11" spans="1:27">
      <c r="A11" s="10"/>
      <c r="B11" s="11"/>
      <c r="C11" s="10"/>
      <c r="D11" s="10"/>
      <c r="E11" s="10"/>
      <c r="F11" s="10"/>
      <c r="G11" s="10"/>
      <c r="H11" s="10"/>
      <c r="I11" s="10"/>
      <c r="J11" s="10"/>
      <c r="K11" s="10"/>
      <c r="L11" s="10"/>
      <c r="M11" s="10"/>
      <c r="N11" s="10"/>
      <c r="O11" s="24"/>
      <c r="P11" s="24"/>
      <c r="Q11" s="10"/>
      <c r="R11" s="10"/>
      <c r="S11" s="10"/>
      <c r="T11" s="10"/>
      <c r="U11" s="10"/>
      <c r="V11" s="10"/>
      <c r="W11" s="10"/>
      <c r="X11" s="10"/>
      <c r="Y11" s="10"/>
      <c r="Z11" s="10"/>
      <c r="AA11" s="10"/>
    </row>
    <row r="12" spans="1:27" s="317" customFormat="1" ht="15.6" customHeight="1">
      <c r="A12" s="25"/>
      <c r="B12" s="26" t="s">
        <v>392</v>
      </c>
      <c r="C12" s="27" t="s">
        <v>393</v>
      </c>
      <c r="D12" s="28"/>
      <c r="E12" s="28"/>
      <c r="F12" s="29"/>
      <c r="G12" s="29"/>
      <c r="H12" s="29"/>
      <c r="I12" s="29"/>
      <c r="J12" s="29"/>
      <c r="K12" s="29"/>
      <c r="L12" s="30"/>
      <c r="M12" s="25"/>
      <c r="N12" s="25"/>
      <c r="O12" s="31"/>
      <c r="P12" s="31"/>
      <c r="Q12" s="25"/>
      <c r="R12" s="25"/>
      <c r="S12" s="25"/>
      <c r="T12" s="25"/>
      <c r="U12" s="25"/>
      <c r="V12" s="25"/>
      <c r="W12" s="25"/>
      <c r="X12" s="25"/>
      <c r="Y12" s="25"/>
      <c r="Z12" s="25"/>
      <c r="AA12" s="25"/>
    </row>
    <row r="13" spans="1:27" ht="13.9" customHeight="1" thickBot="1">
      <c r="A13" s="10"/>
      <c r="B13" s="11"/>
      <c r="C13" s="10"/>
      <c r="D13" s="10"/>
      <c r="E13" s="10"/>
      <c r="F13" s="10"/>
      <c r="G13" s="10"/>
      <c r="H13" s="10"/>
      <c r="I13" s="10"/>
      <c r="J13" s="10"/>
      <c r="K13" s="10"/>
      <c r="L13" s="10"/>
      <c r="M13" s="10"/>
      <c r="N13" s="32"/>
      <c r="O13" s="32"/>
      <c r="P13" s="32"/>
      <c r="Q13" s="32"/>
      <c r="R13" s="32"/>
      <c r="S13" s="32"/>
      <c r="T13" s="10"/>
      <c r="U13" s="10"/>
      <c r="V13" s="10"/>
      <c r="W13" s="10"/>
      <c r="X13" s="10"/>
      <c r="Y13" s="10"/>
      <c r="Z13" s="10"/>
      <c r="AA13" s="10"/>
    </row>
    <row r="14" spans="1:27" ht="15.6" customHeight="1">
      <c r="A14" s="10"/>
      <c r="B14" s="10"/>
      <c r="C14" s="33" t="s">
        <v>394</v>
      </c>
      <c r="D14" s="34" t="s">
        <v>395</v>
      </c>
      <c r="E14" s="34" t="s">
        <v>396</v>
      </c>
      <c r="F14" s="34" t="s">
        <v>397</v>
      </c>
      <c r="G14" s="34" t="s">
        <v>398</v>
      </c>
      <c r="H14" s="34" t="s">
        <v>396</v>
      </c>
      <c r="I14" s="34" t="s">
        <v>397</v>
      </c>
      <c r="J14" s="35" t="s">
        <v>398</v>
      </c>
      <c r="K14" s="36"/>
      <c r="L14" s="37"/>
      <c r="M14" s="10"/>
      <c r="N14" s="32"/>
      <c r="O14" s="32"/>
      <c r="P14" s="32"/>
      <c r="Q14" s="32"/>
      <c r="R14" s="32"/>
      <c r="S14" s="32"/>
      <c r="T14" s="10"/>
      <c r="U14" s="10"/>
      <c r="V14" s="10"/>
      <c r="W14" s="10"/>
      <c r="X14" s="10"/>
      <c r="Y14" s="10"/>
      <c r="Z14" s="10"/>
      <c r="AA14" s="10"/>
    </row>
    <row r="15" spans="1:27" s="42" customFormat="1" ht="25.15" customHeight="1">
      <c r="A15" s="38"/>
      <c r="B15" s="38"/>
      <c r="C15" s="39" t="s">
        <v>399</v>
      </c>
      <c r="D15" s="40" t="s">
        <v>400</v>
      </c>
      <c r="E15" s="40" t="s">
        <v>401</v>
      </c>
      <c r="F15" s="40" t="s">
        <v>402</v>
      </c>
      <c r="G15" s="40" t="s">
        <v>403</v>
      </c>
      <c r="H15" s="40" t="s">
        <v>404</v>
      </c>
      <c r="I15" s="40" t="s">
        <v>405</v>
      </c>
      <c r="J15" s="41" t="s">
        <v>406</v>
      </c>
      <c r="K15" s="36"/>
      <c r="L15" s="38"/>
      <c r="M15" s="38"/>
      <c r="N15" s="32"/>
      <c r="O15" s="32"/>
      <c r="P15" s="32"/>
      <c r="Q15" s="32"/>
      <c r="R15" s="32"/>
      <c r="S15" s="32"/>
      <c r="T15" s="38"/>
      <c r="U15" s="38"/>
      <c r="V15" s="38"/>
      <c r="W15" s="38"/>
      <c r="X15" s="38"/>
      <c r="Y15" s="38"/>
      <c r="Z15" s="38"/>
      <c r="AA15" s="38"/>
    </row>
    <row r="16" spans="1:27" ht="12.95" customHeight="1">
      <c r="A16" s="10"/>
      <c r="B16" s="11"/>
      <c r="C16" s="43" t="s">
        <v>407</v>
      </c>
      <c r="D16" s="44"/>
      <c r="E16" s="44"/>
      <c r="F16" s="44"/>
      <c r="G16" s="44"/>
      <c r="H16" s="44"/>
      <c r="I16" s="44"/>
      <c r="J16" s="45"/>
      <c r="K16" s="10"/>
      <c r="L16" s="10"/>
      <c r="M16" s="10"/>
      <c r="N16" s="32"/>
      <c r="O16" s="32"/>
      <c r="P16" s="32"/>
      <c r="Q16" s="32"/>
      <c r="R16" s="32"/>
      <c r="S16" s="32"/>
      <c r="T16" s="10"/>
      <c r="U16" s="10"/>
      <c r="V16" s="10"/>
      <c r="W16" s="10"/>
      <c r="X16" s="10"/>
      <c r="Y16" s="10"/>
      <c r="Z16" s="10"/>
      <c r="AA16" s="10"/>
    </row>
    <row r="17" spans="1:27">
      <c r="A17" s="10"/>
      <c r="B17" s="24"/>
      <c r="C17" s="46" t="s">
        <v>408</v>
      </c>
      <c r="D17" s="47">
        <v>25.09</v>
      </c>
      <c r="E17" s="47">
        <v>103.69</v>
      </c>
      <c r="F17" s="48">
        <v>11</v>
      </c>
      <c r="G17" s="49">
        <v>1.6</v>
      </c>
      <c r="H17" s="48">
        <v>2602</v>
      </c>
      <c r="I17" s="48">
        <v>276</v>
      </c>
      <c r="J17" s="50">
        <v>40</v>
      </c>
      <c r="K17" s="51"/>
      <c r="L17" s="10"/>
      <c r="M17" s="51"/>
      <c r="N17" s="51"/>
      <c r="O17" s="51"/>
      <c r="P17" s="51"/>
      <c r="Q17" s="51"/>
      <c r="R17" s="51"/>
      <c r="S17" s="51"/>
      <c r="T17" s="10"/>
      <c r="U17" s="10"/>
      <c r="V17" s="10"/>
      <c r="W17" s="10"/>
      <c r="X17" s="10"/>
      <c r="Y17" s="10"/>
      <c r="Z17" s="10"/>
      <c r="AA17" s="10"/>
    </row>
    <row r="18" spans="1:27">
      <c r="A18" s="10"/>
      <c r="B18" s="24"/>
      <c r="C18" s="46" t="s">
        <v>409</v>
      </c>
      <c r="D18" s="47">
        <v>24.93</v>
      </c>
      <c r="E18" s="47">
        <v>93.28</v>
      </c>
      <c r="F18" s="48">
        <v>11</v>
      </c>
      <c r="G18" s="49">
        <v>1.6</v>
      </c>
      <c r="H18" s="48">
        <v>2325</v>
      </c>
      <c r="I18" s="48">
        <v>274</v>
      </c>
      <c r="J18" s="50">
        <v>40</v>
      </c>
      <c r="K18" s="51"/>
      <c r="L18" s="10"/>
      <c r="M18" s="51"/>
      <c r="N18" s="51"/>
      <c r="O18" s="51"/>
      <c r="P18" s="51"/>
      <c r="Q18" s="51"/>
      <c r="R18" s="51"/>
      <c r="S18" s="51"/>
      <c r="T18" s="10"/>
      <c r="U18" s="10"/>
      <c r="V18" s="10"/>
      <c r="W18" s="10"/>
      <c r="X18" s="10"/>
      <c r="Y18" s="10"/>
      <c r="Z18" s="10"/>
      <c r="AA18" s="10"/>
    </row>
    <row r="19" spans="1:27">
      <c r="A19" s="10"/>
      <c r="B19" s="24"/>
      <c r="C19" s="46" t="s">
        <v>410</v>
      </c>
      <c r="D19" s="47">
        <v>17.25</v>
      </c>
      <c r="E19" s="47">
        <v>97.17</v>
      </c>
      <c r="F19" s="48">
        <v>11</v>
      </c>
      <c r="G19" s="49">
        <v>1.6</v>
      </c>
      <c r="H19" s="48">
        <v>1676</v>
      </c>
      <c r="I19" s="48">
        <v>190</v>
      </c>
      <c r="J19" s="50">
        <v>28</v>
      </c>
      <c r="K19" s="51"/>
      <c r="L19" s="10"/>
      <c r="M19" s="51"/>
      <c r="N19" s="51"/>
      <c r="O19" s="51"/>
      <c r="P19" s="51"/>
      <c r="Q19" s="51"/>
      <c r="R19" s="51"/>
      <c r="S19" s="51"/>
      <c r="T19" s="10"/>
      <c r="U19" s="10"/>
      <c r="V19" s="10"/>
      <c r="W19" s="10"/>
      <c r="X19" s="10"/>
      <c r="Y19" s="10"/>
      <c r="Z19" s="10"/>
      <c r="AA19" s="10"/>
    </row>
    <row r="20" spans="1:27">
      <c r="A20" s="10"/>
      <c r="B20" s="24"/>
      <c r="C20" s="46" t="s">
        <v>411</v>
      </c>
      <c r="D20" s="47">
        <v>14.21</v>
      </c>
      <c r="E20" s="47">
        <v>97.72</v>
      </c>
      <c r="F20" s="48">
        <v>11</v>
      </c>
      <c r="G20" s="49">
        <v>1.6</v>
      </c>
      <c r="H20" s="48">
        <v>1389</v>
      </c>
      <c r="I20" s="48">
        <v>156</v>
      </c>
      <c r="J20" s="50">
        <v>23</v>
      </c>
      <c r="K20" s="51"/>
      <c r="L20" s="10"/>
      <c r="M20" s="51"/>
      <c r="N20" s="51"/>
      <c r="O20" s="51"/>
      <c r="P20" s="51"/>
      <c r="Q20" s="51"/>
      <c r="R20" s="51"/>
      <c r="S20" s="51"/>
      <c r="T20" s="10"/>
      <c r="U20" s="10"/>
      <c r="V20" s="10"/>
      <c r="W20" s="10"/>
      <c r="X20" s="10"/>
      <c r="Y20" s="10"/>
      <c r="Z20" s="10"/>
      <c r="AA20" s="10"/>
    </row>
    <row r="21" spans="1:27">
      <c r="A21" s="10"/>
      <c r="B21" s="24"/>
      <c r="C21" s="46" t="s">
        <v>412</v>
      </c>
      <c r="D21" s="47">
        <v>21.39</v>
      </c>
      <c r="E21" s="47">
        <v>94.27</v>
      </c>
      <c r="F21" s="48">
        <v>11</v>
      </c>
      <c r="G21" s="49">
        <v>1.6</v>
      </c>
      <c r="H21" s="48">
        <v>2016</v>
      </c>
      <c r="I21" s="48">
        <v>235</v>
      </c>
      <c r="J21" s="50">
        <v>34</v>
      </c>
      <c r="K21" s="52"/>
      <c r="L21" s="10"/>
      <c r="M21" s="51"/>
      <c r="N21" s="51"/>
      <c r="O21" s="51"/>
      <c r="P21" s="51"/>
      <c r="Q21" s="51"/>
      <c r="R21" s="51"/>
      <c r="S21" s="51"/>
      <c r="T21" s="10"/>
      <c r="U21" s="10"/>
      <c r="V21" s="10"/>
      <c r="W21" s="10"/>
      <c r="X21" s="10"/>
      <c r="Y21" s="10"/>
      <c r="Z21" s="10"/>
      <c r="AA21" s="10"/>
    </row>
    <row r="22" spans="1:27">
      <c r="A22" s="10"/>
      <c r="B22" s="24"/>
      <c r="C22" s="46" t="s">
        <v>413</v>
      </c>
      <c r="D22" s="47">
        <v>19.73</v>
      </c>
      <c r="E22" s="47">
        <v>95.52</v>
      </c>
      <c r="F22" s="48">
        <v>11</v>
      </c>
      <c r="G22" s="49">
        <v>1.6</v>
      </c>
      <c r="H22" s="48">
        <v>1885</v>
      </c>
      <c r="I22" s="48">
        <v>217</v>
      </c>
      <c r="J22" s="50">
        <v>32</v>
      </c>
      <c r="K22" s="51"/>
      <c r="L22" s="10"/>
      <c r="M22" s="51"/>
      <c r="N22" s="51"/>
      <c r="O22" s="51"/>
      <c r="P22" s="51"/>
      <c r="Q22" s="51"/>
      <c r="R22" s="51"/>
      <c r="S22" s="51"/>
      <c r="T22" s="10"/>
      <c r="U22" s="10"/>
      <c r="V22" s="10"/>
      <c r="W22" s="10"/>
      <c r="X22" s="10"/>
      <c r="Y22" s="10"/>
      <c r="Z22" s="10"/>
      <c r="AA22" s="10"/>
    </row>
    <row r="23" spans="1:27">
      <c r="A23" s="10"/>
      <c r="B23" s="24"/>
      <c r="C23" s="46" t="s">
        <v>414</v>
      </c>
      <c r="D23" s="47">
        <v>26.28</v>
      </c>
      <c r="E23" s="47">
        <v>93.9</v>
      </c>
      <c r="F23" s="48">
        <v>11</v>
      </c>
      <c r="G23" s="49">
        <v>1.6</v>
      </c>
      <c r="H23" s="48">
        <v>2468</v>
      </c>
      <c r="I23" s="48">
        <v>289</v>
      </c>
      <c r="J23" s="50">
        <v>42</v>
      </c>
      <c r="K23" s="51"/>
      <c r="L23" s="10"/>
      <c r="M23" s="51"/>
      <c r="N23" s="51"/>
      <c r="O23" s="51"/>
      <c r="P23" s="51"/>
      <c r="Q23" s="51"/>
      <c r="R23" s="51"/>
      <c r="S23" s="51"/>
      <c r="T23" s="10"/>
      <c r="U23" s="10"/>
      <c r="V23" s="10"/>
      <c r="W23" s="10"/>
      <c r="X23" s="10"/>
      <c r="Y23" s="10"/>
      <c r="Z23" s="10"/>
      <c r="AA23" s="10"/>
    </row>
    <row r="24" spans="1:27">
      <c r="A24" s="10"/>
      <c r="B24" s="24"/>
      <c r="C24" s="46" t="s">
        <v>415</v>
      </c>
      <c r="D24" s="47">
        <v>22.35</v>
      </c>
      <c r="E24" s="47">
        <v>94.67</v>
      </c>
      <c r="F24" s="48">
        <v>11</v>
      </c>
      <c r="G24" s="49">
        <v>1.6</v>
      </c>
      <c r="H24" s="48">
        <v>2116</v>
      </c>
      <c r="I24" s="48">
        <v>246</v>
      </c>
      <c r="J24" s="50">
        <v>36</v>
      </c>
      <c r="K24" s="51"/>
      <c r="L24" s="10"/>
      <c r="M24" s="51"/>
      <c r="N24" s="51"/>
      <c r="O24" s="51"/>
      <c r="P24" s="51"/>
      <c r="Q24" s="51"/>
      <c r="R24" s="51"/>
      <c r="S24" s="51"/>
      <c r="T24" s="10"/>
      <c r="U24" s="10"/>
      <c r="V24" s="10"/>
      <c r="W24" s="10"/>
      <c r="X24" s="10"/>
      <c r="Y24" s="10"/>
      <c r="Z24" s="10"/>
      <c r="AA24" s="10"/>
    </row>
    <row r="25" spans="1:27">
      <c r="A25" s="10"/>
      <c r="B25" s="24"/>
      <c r="C25" s="46" t="s">
        <v>416</v>
      </c>
      <c r="D25" s="47">
        <v>24.8</v>
      </c>
      <c r="E25" s="47">
        <v>113.67</v>
      </c>
      <c r="F25" s="48">
        <v>11</v>
      </c>
      <c r="G25" s="49">
        <v>1.6</v>
      </c>
      <c r="H25" s="48">
        <v>2819</v>
      </c>
      <c r="I25" s="48">
        <v>273</v>
      </c>
      <c r="J25" s="50">
        <v>40</v>
      </c>
      <c r="K25" s="51"/>
      <c r="L25" s="10"/>
      <c r="M25" s="51"/>
      <c r="N25" s="51"/>
      <c r="O25" s="51"/>
      <c r="P25" s="51"/>
      <c r="Q25" s="51"/>
      <c r="R25" s="51"/>
      <c r="S25" s="51"/>
      <c r="T25" s="10"/>
      <c r="U25" s="10"/>
      <c r="V25" s="10"/>
      <c r="W25" s="10"/>
      <c r="X25" s="10"/>
      <c r="Y25" s="10"/>
      <c r="Z25" s="10"/>
      <c r="AA25" s="10"/>
    </row>
    <row r="26" spans="1:27" ht="12.95" customHeight="1">
      <c r="A26" s="10"/>
      <c r="B26" s="11"/>
      <c r="C26" s="53" t="s">
        <v>417</v>
      </c>
      <c r="D26" s="54"/>
      <c r="E26" s="54"/>
      <c r="F26" s="55"/>
      <c r="G26" s="56"/>
      <c r="H26" s="55"/>
      <c r="I26" s="55"/>
      <c r="J26" s="57"/>
      <c r="K26" s="51"/>
      <c r="L26" s="10"/>
      <c r="M26" s="51"/>
      <c r="N26" s="51"/>
      <c r="O26" s="51"/>
      <c r="P26" s="51"/>
      <c r="Q26" s="51"/>
      <c r="R26" s="51"/>
      <c r="S26" s="51"/>
      <c r="T26" s="10"/>
      <c r="U26" s="10"/>
      <c r="V26" s="10"/>
      <c r="W26" s="10"/>
      <c r="X26" s="10"/>
      <c r="Y26" s="10"/>
      <c r="Z26" s="10"/>
      <c r="AA26" s="10"/>
    </row>
    <row r="27" spans="1:27">
      <c r="A27" s="10"/>
      <c r="B27" s="24"/>
      <c r="C27" s="46" t="s">
        <v>418</v>
      </c>
      <c r="D27" s="47">
        <v>9.9499999999999993</v>
      </c>
      <c r="E27" s="47">
        <v>90.7</v>
      </c>
      <c r="F27" s="48">
        <v>32</v>
      </c>
      <c r="G27" s="49">
        <v>4.2</v>
      </c>
      <c r="H27" s="48">
        <v>902</v>
      </c>
      <c r="I27" s="48">
        <v>318</v>
      </c>
      <c r="J27" s="50">
        <v>42</v>
      </c>
      <c r="K27" s="51"/>
      <c r="L27" s="10"/>
      <c r="M27" s="51"/>
      <c r="N27" s="51"/>
      <c r="O27" s="51"/>
      <c r="P27" s="51"/>
      <c r="Q27" s="51"/>
      <c r="R27" s="51"/>
      <c r="S27" s="51"/>
      <c r="T27" s="10"/>
      <c r="U27" s="10"/>
      <c r="V27" s="10"/>
      <c r="W27" s="10"/>
      <c r="X27" s="10"/>
      <c r="Y27" s="10"/>
      <c r="Z27" s="10"/>
      <c r="AA27" s="10"/>
    </row>
    <row r="28" spans="1:27">
      <c r="A28" s="10"/>
      <c r="B28" s="24"/>
      <c r="C28" s="46" t="s">
        <v>419</v>
      </c>
      <c r="D28" s="47">
        <v>30</v>
      </c>
      <c r="E28" s="47">
        <v>102.41</v>
      </c>
      <c r="F28" s="48">
        <v>32</v>
      </c>
      <c r="G28" s="49">
        <v>4.2</v>
      </c>
      <c r="H28" s="48">
        <v>3072</v>
      </c>
      <c r="I28" s="48">
        <v>960</v>
      </c>
      <c r="J28" s="50">
        <v>126</v>
      </c>
      <c r="K28" s="58"/>
      <c r="L28" s="10"/>
      <c r="M28" s="51"/>
      <c r="N28" s="51"/>
      <c r="O28" s="51"/>
      <c r="P28" s="51"/>
      <c r="Q28" s="51"/>
      <c r="R28" s="51"/>
      <c r="S28" s="51"/>
      <c r="T28" s="10"/>
      <c r="U28" s="10"/>
      <c r="V28" s="10"/>
      <c r="W28" s="10"/>
      <c r="X28" s="10"/>
      <c r="Y28" s="10"/>
      <c r="Z28" s="10"/>
      <c r="AA28" s="10"/>
    </row>
    <row r="29" spans="1:27">
      <c r="A29" s="10"/>
      <c r="B29" s="24"/>
      <c r="C29" s="46" t="s">
        <v>420</v>
      </c>
      <c r="D29" s="47">
        <v>38</v>
      </c>
      <c r="E29" s="47">
        <v>75</v>
      </c>
      <c r="F29" s="48">
        <v>32</v>
      </c>
      <c r="G29" s="49">
        <v>4.2</v>
      </c>
      <c r="H29" s="48">
        <v>2850</v>
      </c>
      <c r="I29" s="48">
        <v>1216</v>
      </c>
      <c r="J29" s="50">
        <v>160</v>
      </c>
      <c r="K29" s="10"/>
      <c r="L29" s="10"/>
      <c r="M29" s="51"/>
      <c r="N29" s="51"/>
      <c r="O29" s="51"/>
      <c r="P29" s="51"/>
      <c r="Q29" s="51"/>
      <c r="R29" s="51"/>
      <c r="S29" s="51"/>
      <c r="T29" s="10"/>
      <c r="U29" s="10"/>
      <c r="V29" s="10"/>
      <c r="W29" s="10"/>
      <c r="X29" s="10"/>
      <c r="Y29" s="10"/>
      <c r="Z29" s="10"/>
      <c r="AA29" s="10"/>
    </row>
    <row r="30" spans="1:27">
      <c r="A30" s="10"/>
      <c r="B30" s="24"/>
      <c r="C30" s="46" t="s">
        <v>421</v>
      </c>
      <c r="D30" s="47">
        <v>28</v>
      </c>
      <c r="E30" s="47">
        <v>85.97</v>
      </c>
      <c r="F30" s="48">
        <v>32</v>
      </c>
      <c r="G30" s="49">
        <v>4.2</v>
      </c>
      <c r="H30" s="48">
        <v>2407</v>
      </c>
      <c r="I30" s="48">
        <v>896</v>
      </c>
      <c r="J30" s="50">
        <v>118</v>
      </c>
      <c r="K30" s="10"/>
      <c r="L30" s="10"/>
      <c r="M30" s="51"/>
      <c r="N30" s="51"/>
      <c r="O30" s="51"/>
      <c r="P30" s="51"/>
      <c r="Q30" s="51"/>
      <c r="R30" s="51"/>
      <c r="S30" s="51"/>
      <c r="T30" s="10"/>
      <c r="U30" s="10"/>
      <c r="V30" s="10"/>
      <c r="W30" s="10"/>
      <c r="X30" s="10"/>
      <c r="Y30" s="10"/>
      <c r="Z30" s="10"/>
      <c r="AA30" s="10"/>
    </row>
    <row r="31" spans="1:27" ht="12.95" customHeight="1">
      <c r="A31" s="10"/>
      <c r="B31" s="11"/>
      <c r="C31" s="53" t="s">
        <v>422</v>
      </c>
      <c r="D31" s="54"/>
      <c r="E31" s="54"/>
      <c r="F31" s="55"/>
      <c r="G31" s="56"/>
      <c r="H31" s="59"/>
      <c r="I31" s="59"/>
      <c r="J31" s="60"/>
      <c r="K31" s="10"/>
      <c r="L31" s="10"/>
      <c r="M31" s="51"/>
      <c r="N31" s="51"/>
      <c r="O31" s="51"/>
      <c r="P31" s="51"/>
      <c r="Q31" s="51"/>
      <c r="R31" s="51"/>
      <c r="S31" s="51"/>
      <c r="T31" s="10"/>
      <c r="U31" s="10"/>
      <c r="V31" s="10"/>
      <c r="W31" s="10"/>
      <c r="X31" s="10"/>
      <c r="Y31" s="10"/>
      <c r="Z31" s="10"/>
      <c r="AA31" s="10"/>
    </row>
    <row r="32" spans="1:27">
      <c r="A32" s="10"/>
      <c r="B32" s="24"/>
      <c r="C32" s="46" t="s">
        <v>423</v>
      </c>
      <c r="D32" s="47">
        <v>8.25</v>
      </c>
      <c r="E32" s="47">
        <v>118.17</v>
      </c>
      <c r="F32" s="48">
        <v>32</v>
      </c>
      <c r="G32" s="49">
        <v>4.2</v>
      </c>
      <c r="H32" s="48">
        <v>975</v>
      </c>
      <c r="I32" s="48">
        <v>264</v>
      </c>
      <c r="J32" s="50">
        <v>35</v>
      </c>
      <c r="K32" s="10"/>
      <c r="L32" s="10"/>
      <c r="M32" s="51"/>
      <c r="N32" s="51"/>
      <c r="O32" s="51"/>
      <c r="P32" s="51"/>
      <c r="Q32" s="51"/>
      <c r="R32" s="51"/>
      <c r="S32" s="51"/>
      <c r="T32" s="10"/>
      <c r="U32" s="10"/>
      <c r="V32" s="10"/>
      <c r="W32" s="10"/>
      <c r="X32" s="10"/>
      <c r="Y32" s="10"/>
      <c r="Z32" s="10"/>
      <c r="AA32" s="10"/>
    </row>
    <row r="33" spans="1:27">
      <c r="A33" s="10"/>
      <c r="B33" s="24"/>
      <c r="C33" s="46" t="s">
        <v>424</v>
      </c>
      <c r="D33" s="47">
        <v>8</v>
      </c>
      <c r="E33" s="47">
        <v>111.84</v>
      </c>
      <c r="F33" s="48">
        <v>32</v>
      </c>
      <c r="G33" s="49">
        <v>4.2</v>
      </c>
      <c r="H33" s="48">
        <v>895</v>
      </c>
      <c r="I33" s="48">
        <v>256</v>
      </c>
      <c r="J33" s="50">
        <v>34</v>
      </c>
      <c r="K33" s="10"/>
      <c r="L33" s="10"/>
      <c r="M33" s="51"/>
      <c r="N33" s="51"/>
      <c r="O33" s="51"/>
      <c r="P33" s="51"/>
      <c r="Q33" s="51"/>
      <c r="R33" s="51"/>
      <c r="S33" s="51"/>
      <c r="T33" s="10"/>
      <c r="U33" s="10"/>
      <c r="V33" s="10"/>
      <c r="W33" s="10"/>
      <c r="X33" s="10"/>
      <c r="Y33" s="10"/>
      <c r="Z33" s="10"/>
      <c r="AA33" s="10"/>
    </row>
    <row r="34" spans="1:27">
      <c r="A34" s="10"/>
      <c r="B34" s="24"/>
      <c r="C34" s="46" t="s">
        <v>425</v>
      </c>
      <c r="D34" s="47">
        <v>10.39</v>
      </c>
      <c r="E34" s="47">
        <v>105.51</v>
      </c>
      <c r="F34" s="48">
        <v>32</v>
      </c>
      <c r="G34" s="49">
        <v>4.2</v>
      </c>
      <c r="H34" s="48">
        <v>1096</v>
      </c>
      <c r="I34" s="48">
        <v>332</v>
      </c>
      <c r="J34" s="50">
        <v>44</v>
      </c>
      <c r="K34" s="10"/>
      <c r="L34" s="10"/>
      <c r="M34" s="51"/>
      <c r="N34" s="51"/>
      <c r="O34" s="51"/>
      <c r="P34" s="51"/>
      <c r="Q34" s="51"/>
      <c r="R34" s="51"/>
      <c r="S34" s="51"/>
      <c r="T34" s="10"/>
      <c r="U34" s="10"/>
      <c r="V34" s="10"/>
      <c r="W34" s="10"/>
      <c r="X34" s="10"/>
      <c r="Y34" s="10"/>
      <c r="Z34" s="10"/>
      <c r="AA34" s="10"/>
    </row>
    <row r="35" spans="1:27">
      <c r="A35" s="10"/>
      <c r="B35" s="24"/>
      <c r="C35" s="46" t="s">
        <v>426</v>
      </c>
      <c r="D35" s="47">
        <v>17.48</v>
      </c>
      <c r="E35" s="47">
        <v>93.8</v>
      </c>
      <c r="F35" s="49">
        <v>7.2</v>
      </c>
      <c r="G35" s="49">
        <v>3.6</v>
      </c>
      <c r="H35" s="48">
        <v>1640</v>
      </c>
      <c r="I35" s="48">
        <v>126</v>
      </c>
      <c r="J35" s="50">
        <v>63</v>
      </c>
      <c r="K35" s="10"/>
      <c r="L35" s="10"/>
      <c r="M35" s="51"/>
      <c r="N35" s="51"/>
      <c r="O35" s="51"/>
      <c r="P35" s="51"/>
      <c r="Q35" s="51"/>
      <c r="R35" s="51"/>
      <c r="S35" s="51"/>
      <c r="T35" s="10"/>
      <c r="U35" s="10"/>
      <c r="V35" s="10"/>
      <c r="W35" s="10"/>
      <c r="X35" s="10"/>
      <c r="Y35" s="10"/>
      <c r="Z35" s="10"/>
      <c r="AA35" s="10"/>
    </row>
    <row r="36" spans="1:27" s="42" customFormat="1" ht="12.95" customHeight="1">
      <c r="A36" s="38"/>
      <c r="B36" s="38"/>
      <c r="C36" s="39" t="s">
        <v>399</v>
      </c>
      <c r="D36" s="61" t="s">
        <v>427</v>
      </c>
      <c r="E36" s="61" t="s">
        <v>401</v>
      </c>
      <c r="F36" s="61" t="s">
        <v>402</v>
      </c>
      <c r="G36" s="61" t="s">
        <v>403</v>
      </c>
      <c r="H36" s="61" t="s">
        <v>428</v>
      </c>
      <c r="I36" s="61" t="s">
        <v>429</v>
      </c>
      <c r="J36" s="62" t="s">
        <v>430</v>
      </c>
      <c r="K36" s="10"/>
      <c r="L36" s="10"/>
      <c r="M36" s="51"/>
      <c r="N36" s="51"/>
      <c r="O36" s="51"/>
      <c r="P36" s="51"/>
      <c r="Q36" s="51"/>
      <c r="R36" s="51"/>
      <c r="S36" s="51"/>
      <c r="T36" s="10"/>
      <c r="U36" s="38"/>
      <c r="V36" s="38"/>
      <c r="W36" s="38"/>
      <c r="X36" s="38"/>
      <c r="Y36" s="38"/>
      <c r="Z36" s="38"/>
      <c r="AA36" s="38"/>
    </row>
    <row r="37" spans="1:27" ht="12.95" customHeight="1">
      <c r="A37" s="10"/>
      <c r="B37" s="11"/>
      <c r="C37" s="63" t="s">
        <v>431</v>
      </c>
      <c r="D37" s="64"/>
      <c r="E37" s="65"/>
      <c r="F37" s="66"/>
      <c r="G37" s="66"/>
      <c r="H37" s="67"/>
      <c r="I37" s="67"/>
      <c r="J37" s="68"/>
      <c r="K37" s="10"/>
      <c r="L37" s="10"/>
      <c r="M37" s="51"/>
      <c r="N37" s="51"/>
      <c r="O37" s="51"/>
      <c r="P37" s="51"/>
      <c r="Q37" s="51"/>
      <c r="R37" s="51"/>
      <c r="S37" s="51"/>
      <c r="T37" s="10"/>
      <c r="U37" s="10"/>
      <c r="V37" s="10"/>
      <c r="W37" s="10"/>
      <c r="X37" s="10"/>
      <c r="Y37" s="10"/>
      <c r="Z37" s="10"/>
      <c r="AA37" s="10"/>
    </row>
    <row r="38" spans="1:27">
      <c r="A38" s="10"/>
      <c r="B38" s="69"/>
      <c r="C38" s="46" t="s">
        <v>223</v>
      </c>
      <c r="D38" s="70">
        <v>1.026E-3</v>
      </c>
      <c r="E38" s="47">
        <v>53.06</v>
      </c>
      <c r="F38" s="49">
        <v>1</v>
      </c>
      <c r="G38" s="47">
        <v>0.1</v>
      </c>
      <c r="H38" s="71">
        <v>5.4440000000000002E-2</v>
      </c>
      <c r="I38" s="71">
        <v>1.0300000000000001E-3</v>
      </c>
      <c r="J38" s="72">
        <v>1E-4</v>
      </c>
      <c r="K38" s="73"/>
      <c r="L38" s="10"/>
      <c r="M38" s="51"/>
      <c r="N38" s="51"/>
      <c r="O38" s="51"/>
      <c r="P38" s="51"/>
      <c r="Q38" s="51"/>
      <c r="R38" s="51"/>
      <c r="S38" s="51"/>
      <c r="T38" s="10"/>
      <c r="U38" s="10"/>
      <c r="V38" s="10"/>
      <c r="W38" s="10"/>
      <c r="X38" s="10"/>
      <c r="Y38" s="10"/>
      <c r="Z38" s="10"/>
      <c r="AA38" s="10"/>
    </row>
    <row r="39" spans="1:27" ht="12.95" customHeight="1">
      <c r="A39" s="10"/>
      <c r="B39" s="11"/>
      <c r="C39" s="74" t="s">
        <v>432</v>
      </c>
      <c r="D39" s="75"/>
      <c r="E39" s="75"/>
      <c r="F39" s="75"/>
      <c r="G39" s="75"/>
      <c r="H39" s="76"/>
      <c r="I39" s="77"/>
      <c r="J39" s="78"/>
      <c r="K39" s="10"/>
      <c r="L39" s="10"/>
      <c r="M39" s="51"/>
      <c r="N39" s="51"/>
      <c r="O39" s="51"/>
      <c r="P39" s="51"/>
      <c r="Q39" s="51"/>
      <c r="R39" s="51"/>
      <c r="S39" s="51"/>
      <c r="T39" s="10"/>
      <c r="U39" s="10"/>
      <c r="V39" s="10"/>
      <c r="W39" s="10"/>
      <c r="X39" s="10"/>
      <c r="Y39" s="10"/>
      <c r="Z39" s="10"/>
      <c r="AA39" s="10"/>
    </row>
    <row r="40" spans="1:27">
      <c r="A40" s="10"/>
      <c r="B40" s="24"/>
      <c r="C40" s="46" t="s">
        <v>433</v>
      </c>
      <c r="D40" s="70">
        <v>9.2E-5</v>
      </c>
      <c r="E40" s="47">
        <v>274.32</v>
      </c>
      <c r="F40" s="79">
        <v>2.1999999999999999E-2</v>
      </c>
      <c r="G40" s="47">
        <v>0.1</v>
      </c>
      <c r="H40" s="71">
        <v>2.5239999999999999E-2</v>
      </c>
      <c r="I40" s="70">
        <v>1.9999999999999999E-6</v>
      </c>
      <c r="J40" s="80">
        <v>9.0000000000000002E-6</v>
      </c>
      <c r="K40" s="10"/>
      <c r="L40" s="10"/>
      <c r="M40" s="51"/>
      <c r="N40" s="51"/>
      <c r="O40" s="51"/>
      <c r="P40" s="51"/>
      <c r="Q40" s="51"/>
      <c r="R40" s="51"/>
      <c r="S40" s="51"/>
      <c r="T40" s="10"/>
      <c r="U40" s="10"/>
      <c r="V40" s="10"/>
      <c r="W40" s="10"/>
      <c r="X40" s="10"/>
      <c r="Y40" s="10"/>
      <c r="Z40" s="10"/>
      <c r="AA40" s="10"/>
    </row>
    <row r="41" spans="1:27">
      <c r="A41" s="10"/>
      <c r="B41" s="24"/>
      <c r="C41" s="46" t="s">
        <v>434</v>
      </c>
      <c r="D41" s="70">
        <v>5.9900000000000003E-4</v>
      </c>
      <c r="E41" s="47">
        <v>46.85</v>
      </c>
      <c r="F41" s="47">
        <v>0.48</v>
      </c>
      <c r="G41" s="47">
        <v>0.1</v>
      </c>
      <c r="H41" s="71">
        <v>2.8060000000000002E-2</v>
      </c>
      <c r="I41" s="70">
        <v>2.8800000000000001E-4</v>
      </c>
      <c r="J41" s="80">
        <v>6.0000000000000002E-5</v>
      </c>
      <c r="K41" s="73"/>
      <c r="L41" s="10"/>
      <c r="M41" s="51"/>
      <c r="N41" s="51"/>
      <c r="O41" s="51"/>
      <c r="P41" s="51"/>
      <c r="Q41" s="51"/>
      <c r="R41" s="51"/>
      <c r="S41" s="51"/>
      <c r="T41" s="10"/>
      <c r="U41" s="10"/>
      <c r="V41" s="10"/>
      <c r="W41" s="10"/>
      <c r="X41" s="10"/>
      <c r="Y41" s="10"/>
      <c r="Z41" s="10"/>
      <c r="AA41" s="10"/>
    </row>
    <row r="42" spans="1:27">
      <c r="A42" s="10"/>
      <c r="B42" s="24"/>
      <c r="C42" s="46" t="s">
        <v>435</v>
      </c>
      <c r="D42" s="70">
        <v>1.3879999999999999E-3</v>
      </c>
      <c r="E42" s="81">
        <v>59</v>
      </c>
      <c r="F42" s="49">
        <v>3</v>
      </c>
      <c r="G42" s="47">
        <v>0.6</v>
      </c>
      <c r="H42" s="71">
        <v>8.1890000000000004E-2</v>
      </c>
      <c r="I42" s="70">
        <v>4.1640000000000002E-3</v>
      </c>
      <c r="J42" s="80">
        <v>8.3299999999999997E-4</v>
      </c>
      <c r="K42" s="10"/>
      <c r="L42" s="10"/>
      <c r="M42" s="51"/>
      <c r="N42" s="51"/>
      <c r="O42" s="51"/>
      <c r="P42" s="51"/>
      <c r="Q42" s="51"/>
      <c r="R42" s="51"/>
      <c r="S42" s="51"/>
      <c r="T42" s="10"/>
      <c r="U42" s="10"/>
      <c r="V42" s="10"/>
      <c r="W42" s="10"/>
      <c r="X42" s="10"/>
      <c r="Y42" s="10"/>
      <c r="Z42" s="10"/>
      <c r="AA42" s="10"/>
    </row>
    <row r="43" spans="1:27">
      <c r="A43" s="10"/>
      <c r="B43" s="24"/>
      <c r="C43" s="46" t="s">
        <v>436</v>
      </c>
      <c r="D43" s="70">
        <v>2.516E-3</v>
      </c>
      <c r="E43" s="81">
        <v>61.46</v>
      </c>
      <c r="F43" s="49">
        <v>3</v>
      </c>
      <c r="G43" s="47">
        <v>0.6</v>
      </c>
      <c r="H43" s="71">
        <v>0.15462999999999999</v>
      </c>
      <c r="I43" s="70">
        <v>7.548E-3</v>
      </c>
      <c r="J43" s="80">
        <v>1.5100000000000001E-3</v>
      </c>
      <c r="K43" s="16"/>
      <c r="L43" s="10"/>
      <c r="M43" s="51"/>
      <c r="N43" s="51"/>
      <c r="O43" s="51"/>
      <c r="P43" s="51"/>
      <c r="Q43" s="51"/>
      <c r="R43" s="51"/>
      <c r="S43" s="51"/>
      <c r="T43" s="10"/>
      <c r="U43" s="10"/>
      <c r="V43" s="10"/>
      <c r="W43" s="10"/>
      <c r="X43" s="10"/>
      <c r="Y43" s="10"/>
      <c r="Z43" s="10"/>
      <c r="AA43" s="10"/>
    </row>
    <row r="44" spans="1:27" ht="12.95" customHeight="1">
      <c r="A44" s="10"/>
      <c r="B44" s="11"/>
      <c r="C44" s="53" t="s">
        <v>437</v>
      </c>
      <c r="D44" s="75"/>
      <c r="E44" s="75"/>
      <c r="F44" s="82"/>
      <c r="G44" s="82"/>
      <c r="H44" s="77"/>
      <c r="I44" s="77"/>
      <c r="J44" s="78"/>
      <c r="K44" s="10"/>
      <c r="L44" s="10"/>
      <c r="M44" s="51"/>
      <c r="N44" s="51"/>
      <c r="O44" s="51"/>
      <c r="P44" s="51"/>
      <c r="Q44" s="51"/>
      <c r="R44" s="51"/>
      <c r="S44" s="51"/>
      <c r="T44" s="10"/>
      <c r="U44" s="10"/>
      <c r="V44" s="10"/>
      <c r="W44" s="10"/>
      <c r="X44" s="10"/>
      <c r="Y44" s="10"/>
      <c r="Z44" s="10"/>
      <c r="AA44" s="10"/>
    </row>
    <row r="45" spans="1:27" s="317" customFormat="1">
      <c r="A45" s="25"/>
      <c r="B45" s="83"/>
      <c r="C45" s="84" t="s">
        <v>438</v>
      </c>
      <c r="D45" s="85">
        <v>4.8500000000000003E-4</v>
      </c>
      <c r="E45" s="86">
        <v>52.07</v>
      </c>
      <c r="F45" s="87">
        <v>3.2</v>
      </c>
      <c r="G45" s="86">
        <v>0.63</v>
      </c>
      <c r="H45" s="70">
        <v>2.5253999999999999E-2</v>
      </c>
      <c r="I45" s="70">
        <v>1.552E-3</v>
      </c>
      <c r="J45" s="80">
        <v>3.0600000000000001E-4</v>
      </c>
      <c r="K45" s="10"/>
      <c r="L45" s="10"/>
      <c r="M45" s="51"/>
      <c r="N45" s="51"/>
      <c r="O45" s="51"/>
      <c r="P45" s="51"/>
      <c r="Q45" s="51"/>
      <c r="R45" s="51"/>
      <c r="S45" s="51"/>
      <c r="T45" s="10"/>
      <c r="U45" s="25"/>
      <c r="V45" s="25"/>
      <c r="W45" s="25"/>
      <c r="X45" s="25"/>
      <c r="Y45" s="25"/>
      <c r="Z45" s="25"/>
      <c r="AA45" s="25"/>
    </row>
    <row r="46" spans="1:27" s="317" customFormat="1">
      <c r="A46" s="25"/>
      <c r="B46" s="83"/>
      <c r="C46" s="84" t="s">
        <v>439</v>
      </c>
      <c r="D46" s="85">
        <v>6.5499999999999998E-4</v>
      </c>
      <c r="E46" s="86">
        <v>52.07</v>
      </c>
      <c r="F46" s="87">
        <v>3.2</v>
      </c>
      <c r="G46" s="86">
        <v>0.63</v>
      </c>
      <c r="H46" s="70">
        <v>3.4105999999999997E-2</v>
      </c>
      <c r="I46" s="70">
        <v>2.0960000000000002E-3</v>
      </c>
      <c r="J46" s="80">
        <v>4.1300000000000001E-4</v>
      </c>
      <c r="K46" s="10"/>
      <c r="L46" s="10"/>
      <c r="M46" s="51"/>
      <c r="N46" s="51"/>
      <c r="O46" s="51"/>
      <c r="P46" s="51"/>
      <c r="Q46" s="51"/>
      <c r="R46" s="51"/>
      <c r="S46" s="51"/>
      <c r="T46" s="10"/>
      <c r="U46" s="25"/>
      <c r="V46" s="25"/>
      <c r="W46" s="25"/>
      <c r="X46" s="25"/>
      <c r="Y46" s="25"/>
      <c r="Z46" s="25"/>
      <c r="AA46" s="25"/>
    </row>
    <row r="47" spans="1:27" s="42" customFormat="1" ht="12.95" customHeight="1">
      <c r="A47" s="38"/>
      <c r="B47" s="38"/>
      <c r="C47" s="39" t="s">
        <v>399</v>
      </c>
      <c r="D47" s="61" t="s">
        <v>440</v>
      </c>
      <c r="E47" s="61" t="s">
        <v>401</v>
      </c>
      <c r="F47" s="61" t="s">
        <v>402</v>
      </c>
      <c r="G47" s="61" t="s">
        <v>403</v>
      </c>
      <c r="H47" s="61" t="s">
        <v>441</v>
      </c>
      <c r="I47" s="61" t="s">
        <v>442</v>
      </c>
      <c r="J47" s="62" t="s">
        <v>443</v>
      </c>
      <c r="K47" s="10"/>
      <c r="L47" s="10"/>
      <c r="M47" s="51"/>
      <c r="N47" s="51"/>
      <c r="O47" s="51"/>
      <c r="P47" s="51"/>
      <c r="Q47" s="51"/>
      <c r="R47" s="51"/>
      <c r="S47" s="51"/>
      <c r="T47" s="10"/>
      <c r="U47" s="38"/>
      <c r="V47" s="38"/>
      <c r="W47" s="38"/>
      <c r="X47" s="38"/>
      <c r="Y47" s="38"/>
      <c r="Z47" s="38"/>
      <c r="AA47" s="38"/>
    </row>
    <row r="48" spans="1:27" s="317" customFormat="1" ht="12.95" customHeight="1">
      <c r="A48" s="25"/>
      <c r="B48" s="88"/>
      <c r="C48" s="89" t="s">
        <v>444</v>
      </c>
      <c r="D48" s="90"/>
      <c r="E48" s="90"/>
      <c r="F48" s="90"/>
      <c r="G48" s="90"/>
      <c r="H48" s="90"/>
      <c r="I48" s="90"/>
      <c r="J48" s="91"/>
      <c r="K48" s="10"/>
      <c r="L48" s="10"/>
      <c r="M48" s="51"/>
      <c r="N48" s="51"/>
      <c r="O48" s="51"/>
      <c r="P48" s="51"/>
      <c r="Q48" s="51"/>
      <c r="R48" s="51"/>
      <c r="S48" s="51"/>
      <c r="T48" s="10"/>
      <c r="U48" s="25"/>
      <c r="V48" s="25"/>
      <c r="W48" s="25"/>
      <c r="X48" s="25"/>
      <c r="Y48" s="25"/>
      <c r="Z48" s="25"/>
      <c r="AA48" s="25"/>
    </row>
    <row r="49" spans="1:27">
      <c r="A49" s="10"/>
      <c r="B49" s="24"/>
      <c r="C49" s="46" t="s">
        <v>445</v>
      </c>
      <c r="D49" s="79">
        <v>0.158</v>
      </c>
      <c r="E49" s="47">
        <v>75.36</v>
      </c>
      <c r="F49" s="49">
        <v>3</v>
      </c>
      <c r="G49" s="47">
        <v>0.6</v>
      </c>
      <c r="H49" s="47">
        <v>11.91</v>
      </c>
      <c r="I49" s="47">
        <v>0.47</v>
      </c>
      <c r="J49" s="92">
        <v>0.09</v>
      </c>
      <c r="K49" s="10"/>
      <c r="L49" s="10"/>
      <c r="M49" s="51"/>
      <c r="N49" s="51"/>
      <c r="O49" s="51"/>
      <c r="P49" s="51"/>
      <c r="Q49" s="51"/>
      <c r="R49" s="51"/>
      <c r="S49" s="51"/>
      <c r="T49" s="10"/>
      <c r="U49" s="10"/>
      <c r="V49" s="10"/>
      <c r="W49" s="10"/>
      <c r="X49" s="10"/>
      <c r="Y49" s="10"/>
      <c r="Z49" s="10"/>
      <c r="AA49" s="10"/>
    </row>
    <row r="50" spans="1:27">
      <c r="A50" s="10"/>
      <c r="B50" s="24"/>
      <c r="C50" s="46" t="s">
        <v>446</v>
      </c>
      <c r="D50" s="79">
        <v>0.12</v>
      </c>
      <c r="E50" s="47">
        <v>69.25</v>
      </c>
      <c r="F50" s="49">
        <v>3</v>
      </c>
      <c r="G50" s="47">
        <v>0.6</v>
      </c>
      <c r="H50" s="47">
        <v>8.31</v>
      </c>
      <c r="I50" s="47">
        <v>0.36</v>
      </c>
      <c r="J50" s="92">
        <v>7.0000000000000007E-2</v>
      </c>
      <c r="K50" s="10"/>
      <c r="L50" s="10"/>
      <c r="M50" s="51"/>
      <c r="N50" s="51"/>
      <c r="O50" s="51"/>
      <c r="P50" s="51"/>
      <c r="Q50" s="51"/>
      <c r="R50" s="51"/>
      <c r="S50" s="51"/>
      <c r="T50" s="10"/>
      <c r="U50" s="10"/>
      <c r="V50" s="10"/>
      <c r="W50" s="10"/>
      <c r="X50" s="10"/>
      <c r="Y50" s="10"/>
      <c r="Z50" s="10"/>
      <c r="AA50" s="10"/>
    </row>
    <row r="51" spans="1:27">
      <c r="A51" s="10"/>
      <c r="B51" s="24"/>
      <c r="C51" s="46" t="s">
        <v>447</v>
      </c>
      <c r="D51" s="79">
        <v>0.10299999999999999</v>
      </c>
      <c r="E51" s="47">
        <v>64.77</v>
      </c>
      <c r="F51" s="49">
        <v>3</v>
      </c>
      <c r="G51" s="47">
        <v>0.6</v>
      </c>
      <c r="H51" s="47">
        <v>6.67</v>
      </c>
      <c r="I51" s="47">
        <v>0.31</v>
      </c>
      <c r="J51" s="92">
        <v>0.06</v>
      </c>
      <c r="K51" s="10"/>
      <c r="L51" s="10"/>
      <c r="M51" s="51"/>
      <c r="N51" s="51"/>
      <c r="O51" s="51"/>
      <c r="P51" s="51"/>
      <c r="Q51" s="51"/>
      <c r="R51" s="51"/>
      <c r="S51" s="51"/>
      <c r="T51" s="10"/>
      <c r="U51" s="10"/>
      <c r="V51" s="10"/>
      <c r="W51" s="10"/>
      <c r="X51" s="10"/>
      <c r="Y51" s="10"/>
      <c r="Z51" s="10"/>
      <c r="AA51" s="10"/>
    </row>
    <row r="52" spans="1:27">
      <c r="A52" s="10"/>
      <c r="B52" s="24"/>
      <c r="C52" s="46" t="s">
        <v>448</v>
      </c>
      <c r="D52" s="79">
        <v>0.105</v>
      </c>
      <c r="E52" s="47">
        <v>68.72</v>
      </c>
      <c r="F52" s="49">
        <v>3</v>
      </c>
      <c r="G52" s="47">
        <v>0.6</v>
      </c>
      <c r="H52" s="47">
        <v>7.22</v>
      </c>
      <c r="I52" s="47">
        <v>0.32</v>
      </c>
      <c r="J52" s="92">
        <v>0.06</v>
      </c>
      <c r="K52" s="10"/>
      <c r="L52" s="10"/>
      <c r="M52" s="51"/>
      <c r="N52" s="51"/>
      <c r="O52" s="51"/>
      <c r="P52" s="51"/>
      <c r="Q52" s="51"/>
      <c r="R52" s="51"/>
      <c r="S52" s="51"/>
      <c r="T52" s="10"/>
      <c r="U52" s="10"/>
      <c r="V52" s="10"/>
      <c r="W52" s="10"/>
      <c r="X52" s="10"/>
      <c r="Y52" s="10"/>
      <c r="Z52" s="10"/>
      <c r="AA52" s="10"/>
    </row>
    <row r="53" spans="1:27">
      <c r="A53" s="10"/>
      <c r="B53" s="24"/>
      <c r="C53" s="46" t="s">
        <v>449</v>
      </c>
      <c r="D53" s="79">
        <v>0.13800000000000001</v>
      </c>
      <c r="E53" s="47">
        <v>74.540000000000006</v>
      </c>
      <c r="F53" s="49">
        <v>3</v>
      </c>
      <c r="G53" s="47">
        <v>0.6</v>
      </c>
      <c r="H53" s="47">
        <v>10.29</v>
      </c>
      <c r="I53" s="47">
        <v>0.41</v>
      </c>
      <c r="J53" s="92">
        <v>0.08</v>
      </c>
      <c r="K53" s="10"/>
      <c r="L53" s="10"/>
      <c r="M53" s="51"/>
      <c r="N53" s="51"/>
      <c r="O53" s="51"/>
      <c r="P53" s="51"/>
      <c r="Q53" s="51"/>
      <c r="R53" s="51"/>
      <c r="S53" s="51"/>
      <c r="T53" s="10"/>
      <c r="U53" s="10"/>
      <c r="V53" s="10"/>
      <c r="W53" s="10"/>
      <c r="X53" s="10"/>
      <c r="Y53" s="10"/>
      <c r="Z53" s="10"/>
      <c r="AA53" s="10"/>
    </row>
    <row r="54" spans="1:27">
      <c r="A54" s="10"/>
      <c r="B54" s="24"/>
      <c r="C54" s="46" t="s">
        <v>450</v>
      </c>
      <c r="D54" s="79">
        <v>0.13900000000000001</v>
      </c>
      <c r="E54" s="47">
        <v>73.25</v>
      </c>
      <c r="F54" s="49">
        <v>3</v>
      </c>
      <c r="G54" s="47">
        <v>0.6</v>
      </c>
      <c r="H54" s="47">
        <v>10.18</v>
      </c>
      <c r="I54" s="47">
        <v>0.42</v>
      </c>
      <c r="J54" s="92">
        <v>0.08</v>
      </c>
      <c r="K54" s="10"/>
      <c r="L54" s="10"/>
      <c r="M54" s="51"/>
      <c r="N54" s="51"/>
      <c r="O54" s="51"/>
      <c r="P54" s="51"/>
      <c r="Q54" s="51"/>
      <c r="R54" s="51"/>
      <c r="S54" s="51"/>
      <c r="T54" s="10"/>
      <c r="U54" s="10"/>
      <c r="V54" s="10"/>
      <c r="W54" s="10"/>
      <c r="X54" s="10"/>
      <c r="Y54" s="10"/>
      <c r="Z54" s="10"/>
      <c r="AA54" s="10"/>
    </row>
    <row r="55" spans="1:27">
      <c r="A55" s="10"/>
      <c r="B55" s="24"/>
      <c r="C55" s="46" t="s">
        <v>451</v>
      </c>
      <c r="D55" s="79">
        <v>0.13800000000000001</v>
      </c>
      <c r="E55" s="47">
        <v>73.959999999999994</v>
      </c>
      <c r="F55" s="49">
        <v>3</v>
      </c>
      <c r="G55" s="47">
        <v>0.6</v>
      </c>
      <c r="H55" s="47">
        <v>10.210000000000001</v>
      </c>
      <c r="I55" s="47">
        <v>0.41</v>
      </c>
      <c r="J55" s="92">
        <v>0.08</v>
      </c>
      <c r="K55" s="10"/>
      <c r="L55" s="10"/>
      <c r="M55" s="51"/>
      <c r="N55" s="51"/>
      <c r="O55" s="51"/>
      <c r="P55" s="51"/>
      <c r="Q55" s="51"/>
      <c r="R55" s="51"/>
      <c r="S55" s="51"/>
      <c r="T55" s="10"/>
      <c r="U55" s="10"/>
      <c r="V55" s="10"/>
      <c r="W55" s="10"/>
      <c r="X55" s="10"/>
      <c r="Y55" s="10"/>
      <c r="Z55" s="10"/>
      <c r="AA55" s="10"/>
    </row>
    <row r="56" spans="1:27">
      <c r="A56" s="10"/>
      <c r="B56" s="24"/>
      <c r="C56" s="46" t="s">
        <v>452</v>
      </c>
      <c r="D56" s="79">
        <v>0.14599999999999999</v>
      </c>
      <c r="E56" s="47">
        <v>75.040000000000006</v>
      </c>
      <c r="F56" s="49">
        <v>3</v>
      </c>
      <c r="G56" s="47">
        <v>0.6</v>
      </c>
      <c r="H56" s="47">
        <v>10.96</v>
      </c>
      <c r="I56" s="47">
        <v>0.44</v>
      </c>
      <c r="J56" s="92">
        <v>0.09</v>
      </c>
      <c r="K56" s="10"/>
      <c r="L56" s="10"/>
      <c r="M56" s="51"/>
      <c r="N56" s="51"/>
      <c r="O56" s="51"/>
      <c r="P56" s="51"/>
      <c r="Q56" s="51"/>
      <c r="R56" s="51"/>
      <c r="S56" s="51"/>
      <c r="T56" s="10"/>
      <c r="U56" s="10"/>
      <c r="V56" s="10"/>
      <c r="W56" s="10"/>
      <c r="X56" s="10"/>
      <c r="Y56" s="10"/>
      <c r="Z56" s="10"/>
      <c r="AA56" s="10"/>
    </row>
    <row r="57" spans="1:27">
      <c r="A57" s="10"/>
      <c r="B57" s="24"/>
      <c r="C57" s="46" t="s">
        <v>453</v>
      </c>
      <c r="D57" s="79">
        <v>6.8000000000000005E-2</v>
      </c>
      <c r="E57" s="47">
        <v>59.6</v>
      </c>
      <c r="F57" s="49">
        <v>3</v>
      </c>
      <c r="G57" s="47">
        <v>0.6</v>
      </c>
      <c r="H57" s="47">
        <v>4.05</v>
      </c>
      <c r="I57" s="47">
        <v>0.2</v>
      </c>
      <c r="J57" s="92">
        <v>0.04</v>
      </c>
      <c r="K57" s="10"/>
      <c r="L57" s="10"/>
      <c r="M57" s="51"/>
      <c r="N57" s="51"/>
      <c r="O57" s="51"/>
      <c r="P57" s="51"/>
      <c r="Q57" s="51"/>
      <c r="R57" s="51"/>
      <c r="S57" s="51"/>
      <c r="T57" s="10"/>
      <c r="U57" s="10"/>
      <c r="V57" s="10"/>
      <c r="W57" s="10"/>
      <c r="X57" s="10"/>
      <c r="Y57" s="10"/>
      <c r="Z57" s="10"/>
      <c r="AA57" s="10"/>
    </row>
    <row r="58" spans="1:27">
      <c r="A58" s="10"/>
      <c r="B58" s="24"/>
      <c r="C58" s="46" t="s">
        <v>454</v>
      </c>
      <c r="D58" s="79">
        <v>5.8000000000000003E-2</v>
      </c>
      <c r="E58" s="47">
        <v>65.959999999999994</v>
      </c>
      <c r="F58" s="49">
        <v>3</v>
      </c>
      <c r="G58" s="47">
        <v>0.6</v>
      </c>
      <c r="H58" s="47">
        <v>3.83</v>
      </c>
      <c r="I58" s="47">
        <v>0.17</v>
      </c>
      <c r="J58" s="92">
        <v>0.03</v>
      </c>
      <c r="K58" s="10"/>
      <c r="L58" s="10"/>
      <c r="M58" s="51"/>
      <c r="N58" s="51"/>
      <c r="O58" s="51"/>
      <c r="P58" s="51"/>
      <c r="Q58" s="51"/>
      <c r="R58" s="51"/>
      <c r="S58" s="51"/>
      <c r="T58" s="10"/>
      <c r="U58" s="10"/>
      <c r="V58" s="10"/>
      <c r="W58" s="10"/>
      <c r="X58" s="10"/>
      <c r="Y58" s="10"/>
      <c r="Z58" s="10"/>
      <c r="AA58" s="10"/>
    </row>
    <row r="59" spans="1:27">
      <c r="A59" s="10"/>
      <c r="B59" s="24"/>
      <c r="C59" s="46" t="s">
        <v>455</v>
      </c>
      <c r="D59" s="79">
        <v>0.14799999999999999</v>
      </c>
      <c r="E59" s="47">
        <v>74.92</v>
      </c>
      <c r="F59" s="49">
        <v>3</v>
      </c>
      <c r="G59" s="47">
        <v>0.6</v>
      </c>
      <c r="H59" s="47">
        <v>11.09</v>
      </c>
      <c r="I59" s="47">
        <v>0.44</v>
      </c>
      <c r="J59" s="92">
        <v>0.09</v>
      </c>
      <c r="K59" s="10"/>
      <c r="L59" s="10"/>
      <c r="M59" s="51"/>
      <c r="N59" s="51"/>
      <c r="O59" s="51"/>
      <c r="P59" s="51"/>
      <c r="Q59" s="51"/>
      <c r="R59" s="51"/>
      <c r="S59" s="51"/>
      <c r="T59" s="10"/>
      <c r="U59" s="10"/>
      <c r="V59" s="10"/>
      <c r="W59" s="10"/>
      <c r="X59" s="10"/>
      <c r="Y59" s="10"/>
      <c r="Z59" s="10"/>
      <c r="AA59" s="10"/>
    </row>
    <row r="60" spans="1:27">
      <c r="A60" s="10"/>
      <c r="B60" s="24"/>
      <c r="C60" s="46" t="s">
        <v>456</v>
      </c>
      <c r="D60" s="79">
        <v>9.9000000000000005E-2</v>
      </c>
      <c r="E60" s="47">
        <v>64.94</v>
      </c>
      <c r="F60" s="49">
        <v>3</v>
      </c>
      <c r="G60" s="47">
        <v>0.6</v>
      </c>
      <c r="H60" s="47">
        <v>6.43</v>
      </c>
      <c r="I60" s="47">
        <v>0.3</v>
      </c>
      <c r="J60" s="92">
        <v>0.06</v>
      </c>
      <c r="K60" s="10"/>
      <c r="L60" s="10"/>
      <c r="M60" s="51"/>
      <c r="N60" s="51"/>
      <c r="O60" s="51"/>
      <c r="P60" s="51"/>
      <c r="Q60" s="51"/>
      <c r="R60" s="51"/>
      <c r="S60" s="51"/>
      <c r="T60" s="10"/>
      <c r="U60" s="10"/>
      <c r="V60" s="10"/>
      <c r="W60" s="10"/>
      <c r="X60" s="10"/>
      <c r="Y60" s="10"/>
      <c r="Z60" s="10"/>
      <c r="AA60" s="10"/>
    </row>
    <row r="61" spans="1:27">
      <c r="A61" s="10"/>
      <c r="B61" s="24"/>
      <c r="C61" s="46" t="s">
        <v>457</v>
      </c>
      <c r="D61" s="79">
        <v>0.10299999999999999</v>
      </c>
      <c r="E61" s="47">
        <v>68.86</v>
      </c>
      <c r="F61" s="49">
        <v>3</v>
      </c>
      <c r="G61" s="47">
        <v>0.6</v>
      </c>
      <c r="H61" s="47">
        <v>7.09</v>
      </c>
      <c r="I61" s="47">
        <v>0.31</v>
      </c>
      <c r="J61" s="92">
        <v>0.06</v>
      </c>
      <c r="K61" s="10"/>
      <c r="L61" s="10"/>
      <c r="M61" s="51"/>
      <c r="N61" s="51"/>
      <c r="O61" s="51"/>
      <c r="P61" s="51"/>
      <c r="Q61" s="51"/>
      <c r="R61" s="51"/>
      <c r="S61" s="51"/>
      <c r="T61" s="10"/>
      <c r="U61" s="10"/>
      <c r="V61" s="10"/>
      <c r="W61" s="10"/>
      <c r="X61" s="10"/>
      <c r="Y61" s="10"/>
      <c r="Z61" s="10"/>
      <c r="AA61" s="10"/>
    </row>
    <row r="62" spans="1:27">
      <c r="A62" s="10"/>
      <c r="B62" s="24"/>
      <c r="C62" s="46" t="s">
        <v>220</v>
      </c>
      <c r="D62" s="79">
        <v>0.13500000000000001</v>
      </c>
      <c r="E62" s="47">
        <v>75.2</v>
      </c>
      <c r="F62" s="49">
        <v>3</v>
      </c>
      <c r="G62" s="47">
        <v>0.6</v>
      </c>
      <c r="H62" s="47">
        <v>10.15</v>
      </c>
      <c r="I62" s="47">
        <v>0.41</v>
      </c>
      <c r="J62" s="92">
        <v>0.08</v>
      </c>
      <c r="K62" s="10"/>
      <c r="L62" s="10"/>
      <c r="M62" s="51"/>
      <c r="N62" s="51"/>
      <c r="O62" s="51"/>
      <c r="P62" s="51"/>
      <c r="Q62" s="51"/>
      <c r="R62" s="51"/>
      <c r="S62" s="51"/>
      <c r="T62" s="10"/>
      <c r="U62" s="10"/>
      <c r="V62" s="10"/>
      <c r="W62" s="10"/>
      <c r="X62" s="10"/>
      <c r="Y62" s="10"/>
      <c r="Z62" s="10"/>
      <c r="AA62" s="10"/>
    </row>
    <row r="63" spans="1:27">
      <c r="A63" s="10"/>
      <c r="B63" s="24"/>
      <c r="C63" s="46" t="s">
        <v>458</v>
      </c>
      <c r="D63" s="79">
        <v>0.13500000000000001</v>
      </c>
      <c r="E63" s="47">
        <v>72.22</v>
      </c>
      <c r="F63" s="49">
        <v>3</v>
      </c>
      <c r="G63" s="47">
        <v>0.6</v>
      </c>
      <c r="H63" s="47">
        <v>9.75</v>
      </c>
      <c r="I63" s="47">
        <v>0.41</v>
      </c>
      <c r="J63" s="92">
        <v>0.08</v>
      </c>
      <c r="K63" s="10"/>
      <c r="L63" s="10"/>
      <c r="M63" s="51"/>
      <c r="N63" s="51"/>
      <c r="O63" s="51"/>
      <c r="P63" s="51"/>
      <c r="Q63" s="51"/>
      <c r="R63" s="51"/>
      <c r="S63" s="51"/>
      <c r="T63" s="10"/>
      <c r="U63" s="10"/>
      <c r="V63" s="10"/>
      <c r="W63" s="10"/>
      <c r="X63" s="10"/>
      <c r="Y63" s="10"/>
      <c r="Z63" s="10"/>
      <c r="AA63" s="10"/>
    </row>
    <row r="64" spans="1:27">
      <c r="A64" s="10"/>
      <c r="B64" s="24"/>
      <c r="C64" s="46" t="s">
        <v>459</v>
      </c>
      <c r="D64" s="79">
        <v>9.1999999999999998E-2</v>
      </c>
      <c r="E64" s="47">
        <v>61.71</v>
      </c>
      <c r="F64" s="49">
        <v>3</v>
      </c>
      <c r="G64" s="47">
        <v>0.6</v>
      </c>
      <c r="H64" s="47">
        <v>5.68</v>
      </c>
      <c r="I64" s="47">
        <v>0.28000000000000003</v>
      </c>
      <c r="J64" s="92">
        <v>0.06</v>
      </c>
      <c r="K64" s="10"/>
      <c r="L64" s="10"/>
      <c r="M64" s="51"/>
      <c r="N64" s="51"/>
      <c r="O64" s="51"/>
      <c r="P64" s="51"/>
      <c r="Q64" s="51"/>
      <c r="R64" s="51"/>
      <c r="S64" s="51"/>
      <c r="T64" s="10"/>
      <c r="U64" s="10"/>
      <c r="V64" s="10"/>
      <c r="W64" s="10"/>
      <c r="X64" s="10"/>
      <c r="Y64" s="10"/>
      <c r="Z64" s="10"/>
      <c r="AA64" s="10"/>
    </row>
    <row r="65" spans="1:27">
      <c r="A65" s="10"/>
      <c r="B65" s="24"/>
      <c r="C65" s="46" t="s">
        <v>460</v>
      </c>
      <c r="D65" s="79">
        <v>0.14399999999999999</v>
      </c>
      <c r="E65" s="47">
        <v>74.27</v>
      </c>
      <c r="F65" s="49">
        <v>3</v>
      </c>
      <c r="G65" s="47">
        <v>0.6</v>
      </c>
      <c r="H65" s="47">
        <v>10.69</v>
      </c>
      <c r="I65" s="47">
        <v>0.43</v>
      </c>
      <c r="J65" s="92">
        <v>0.09</v>
      </c>
      <c r="K65" s="10"/>
      <c r="L65" s="10"/>
      <c r="M65" s="51"/>
      <c r="N65" s="51"/>
      <c r="O65" s="51"/>
      <c r="P65" s="51"/>
      <c r="Q65" s="51"/>
      <c r="R65" s="51"/>
      <c r="S65" s="51"/>
      <c r="T65" s="10"/>
      <c r="U65" s="10"/>
      <c r="V65" s="10"/>
      <c r="W65" s="10"/>
      <c r="X65" s="10"/>
      <c r="Y65" s="10"/>
      <c r="Z65" s="10"/>
      <c r="AA65" s="10"/>
    </row>
    <row r="66" spans="1:27">
      <c r="A66" s="10"/>
      <c r="B66" s="24"/>
      <c r="C66" s="46" t="s">
        <v>289</v>
      </c>
      <c r="D66" s="79">
        <v>0.125</v>
      </c>
      <c r="E66" s="47">
        <v>70.22</v>
      </c>
      <c r="F66" s="49">
        <v>3</v>
      </c>
      <c r="G66" s="47">
        <v>0.6</v>
      </c>
      <c r="H66" s="47">
        <v>8.7799999999999994</v>
      </c>
      <c r="I66" s="47">
        <v>0.38</v>
      </c>
      <c r="J66" s="92">
        <v>0.08</v>
      </c>
      <c r="K66" s="10"/>
      <c r="L66" s="10"/>
      <c r="M66" s="51"/>
      <c r="N66" s="51"/>
      <c r="O66" s="51"/>
      <c r="P66" s="51"/>
      <c r="Q66" s="51"/>
      <c r="R66" s="51"/>
      <c r="S66" s="51"/>
      <c r="T66" s="10"/>
      <c r="U66" s="10"/>
      <c r="V66" s="10"/>
      <c r="W66" s="10"/>
      <c r="X66" s="10"/>
      <c r="Y66" s="10"/>
      <c r="Z66" s="10"/>
      <c r="AA66" s="10"/>
    </row>
    <row r="67" spans="1:27">
      <c r="A67" s="10"/>
      <c r="B67" s="24"/>
      <c r="C67" s="46" t="s">
        <v>461</v>
      </c>
      <c r="D67" s="79">
        <v>0.125</v>
      </c>
      <c r="E67" s="47">
        <v>68.02</v>
      </c>
      <c r="F67" s="49">
        <v>3</v>
      </c>
      <c r="G67" s="47">
        <v>0.6</v>
      </c>
      <c r="H67" s="47">
        <v>8.5</v>
      </c>
      <c r="I67" s="47">
        <v>0.38</v>
      </c>
      <c r="J67" s="92">
        <v>0.08</v>
      </c>
      <c r="K67" s="10"/>
      <c r="L67" s="10"/>
      <c r="M67" s="51"/>
      <c r="N67" s="51"/>
      <c r="O67" s="51"/>
      <c r="P67" s="51"/>
      <c r="Q67" s="51"/>
      <c r="R67" s="51"/>
      <c r="S67" s="51"/>
      <c r="T67" s="10"/>
      <c r="U67" s="10"/>
      <c r="V67" s="10"/>
      <c r="W67" s="10"/>
      <c r="X67" s="10"/>
      <c r="Y67" s="10"/>
      <c r="Z67" s="10"/>
      <c r="AA67" s="10"/>
    </row>
    <row r="68" spans="1:27">
      <c r="A68" s="10"/>
      <c r="B68" s="24"/>
      <c r="C68" s="46" t="s">
        <v>462</v>
      </c>
      <c r="D68" s="79">
        <v>0.11</v>
      </c>
      <c r="E68" s="47">
        <v>66.88</v>
      </c>
      <c r="F68" s="49">
        <v>3</v>
      </c>
      <c r="G68" s="47">
        <v>0.6</v>
      </c>
      <c r="H68" s="47">
        <v>7.36</v>
      </c>
      <c r="I68" s="47">
        <v>0.33</v>
      </c>
      <c r="J68" s="92">
        <v>7.0000000000000007E-2</v>
      </c>
      <c r="K68" s="10"/>
      <c r="L68" s="10"/>
      <c r="M68" s="51"/>
      <c r="N68" s="51"/>
      <c r="O68" s="51"/>
      <c r="P68" s="51"/>
      <c r="Q68" s="51"/>
      <c r="R68" s="51"/>
      <c r="S68" s="51"/>
      <c r="T68" s="10"/>
      <c r="U68" s="10"/>
      <c r="V68" s="10"/>
      <c r="W68" s="10"/>
      <c r="X68" s="10"/>
      <c r="Y68" s="10"/>
      <c r="Z68" s="10"/>
      <c r="AA68" s="10"/>
    </row>
    <row r="69" spans="1:27">
      <c r="A69" s="10"/>
      <c r="B69" s="24"/>
      <c r="C69" s="46" t="s">
        <v>463</v>
      </c>
      <c r="D69" s="79">
        <v>0.13900000000000001</v>
      </c>
      <c r="E69" s="47">
        <v>76.22</v>
      </c>
      <c r="F69" s="49">
        <v>3</v>
      </c>
      <c r="G69" s="47">
        <v>0.6</v>
      </c>
      <c r="H69" s="47">
        <v>10.59</v>
      </c>
      <c r="I69" s="47">
        <v>0.42</v>
      </c>
      <c r="J69" s="92">
        <v>0.08</v>
      </c>
      <c r="K69" s="10"/>
      <c r="L69" s="10"/>
      <c r="M69" s="51"/>
      <c r="N69" s="51"/>
      <c r="O69" s="51"/>
      <c r="P69" s="51"/>
      <c r="Q69" s="51"/>
      <c r="R69" s="51"/>
      <c r="S69" s="51"/>
      <c r="T69" s="10"/>
      <c r="U69" s="10"/>
      <c r="V69" s="10"/>
      <c r="W69" s="10"/>
      <c r="X69" s="10"/>
      <c r="Y69" s="10"/>
      <c r="Z69" s="10"/>
      <c r="AA69" s="10"/>
    </row>
    <row r="70" spans="1:27">
      <c r="A70" s="10"/>
      <c r="B70" s="24"/>
      <c r="C70" s="46" t="s">
        <v>464</v>
      </c>
      <c r="D70" s="79">
        <v>0.11</v>
      </c>
      <c r="E70" s="47">
        <v>70.02</v>
      </c>
      <c r="F70" s="49">
        <v>3</v>
      </c>
      <c r="G70" s="47">
        <v>0.6</v>
      </c>
      <c r="H70" s="47">
        <v>7.7</v>
      </c>
      <c r="I70" s="47">
        <v>0.33</v>
      </c>
      <c r="J70" s="92">
        <v>7.0000000000000007E-2</v>
      </c>
      <c r="K70" s="10"/>
      <c r="L70" s="10"/>
      <c r="M70" s="51"/>
      <c r="N70" s="51"/>
      <c r="O70" s="51"/>
      <c r="P70" s="51"/>
      <c r="Q70" s="51"/>
      <c r="R70" s="51"/>
      <c r="S70" s="51"/>
      <c r="T70" s="10"/>
      <c r="U70" s="10"/>
      <c r="V70" s="10"/>
      <c r="W70" s="10"/>
      <c r="X70" s="10"/>
      <c r="Y70" s="10"/>
      <c r="Z70" s="10"/>
      <c r="AA70" s="10"/>
    </row>
    <row r="71" spans="1:27">
      <c r="A71" s="10"/>
      <c r="B71" s="24"/>
      <c r="C71" s="46" t="s">
        <v>465</v>
      </c>
      <c r="D71" s="79">
        <v>0.125</v>
      </c>
      <c r="E71" s="47">
        <v>71.02</v>
      </c>
      <c r="F71" s="49">
        <v>3</v>
      </c>
      <c r="G71" s="47">
        <v>0.6</v>
      </c>
      <c r="H71" s="47">
        <v>8.8800000000000008</v>
      </c>
      <c r="I71" s="47">
        <v>0.38</v>
      </c>
      <c r="J71" s="92">
        <v>0.08</v>
      </c>
      <c r="K71" s="10"/>
      <c r="L71" s="10"/>
      <c r="M71" s="51"/>
      <c r="N71" s="51"/>
      <c r="O71" s="51"/>
      <c r="P71" s="51"/>
      <c r="Q71" s="51"/>
      <c r="R71" s="51"/>
      <c r="S71" s="51"/>
      <c r="T71" s="10"/>
      <c r="U71" s="10"/>
      <c r="V71" s="10"/>
      <c r="W71" s="10"/>
      <c r="X71" s="10"/>
      <c r="Y71" s="10"/>
      <c r="Z71" s="10"/>
      <c r="AA71" s="10"/>
    </row>
    <row r="72" spans="1:27">
      <c r="A72" s="10"/>
      <c r="B72" s="24"/>
      <c r="C72" s="46" t="s">
        <v>214</v>
      </c>
      <c r="D72" s="79">
        <v>9.0999999999999998E-2</v>
      </c>
      <c r="E72" s="47">
        <v>62.87</v>
      </c>
      <c r="F72" s="49">
        <v>3</v>
      </c>
      <c r="G72" s="47">
        <v>0.6</v>
      </c>
      <c r="H72" s="47">
        <v>5.72</v>
      </c>
      <c r="I72" s="47">
        <v>0.27</v>
      </c>
      <c r="J72" s="92">
        <v>0.05</v>
      </c>
      <c r="K72" s="93"/>
      <c r="L72" s="10"/>
      <c r="M72" s="51"/>
      <c r="N72" s="51"/>
      <c r="O72" s="51"/>
      <c r="P72" s="51"/>
      <c r="Q72" s="51"/>
      <c r="R72" s="51"/>
      <c r="S72" s="51"/>
      <c r="T72" s="10"/>
      <c r="U72" s="10"/>
      <c r="V72" s="10"/>
      <c r="W72" s="10"/>
      <c r="X72" s="10"/>
      <c r="Y72" s="10"/>
      <c r="Z72" s="10"/>
      <c r="AA72" s="10"/>
    </row>
    <row r="73" spans="1:27">
      <c r="A73" s="10"/>
      <c r="B73" s="24"/>
      <c r="C73" s="46" t="s">
        <v>466</v>
      </c>
      <c r="D73" s="79">
        <v>9.0999999999999998E-2</v>
      </c>
      <c r="E73" s="47">
        <v>67.77</v>
      </c>
      <c r="F73" s="49">
        <v>3</v>
      </c>
      <c r="G73" s="47">
        <v>0.6</v>
      </c>
      <c r="H73" s="47">
        <v>6.17</v>
      </c>
      <c r="I73" s="47">
        <v>0.27</v>
      </c>
      <c r="J73" s="92">
        <v>0.05</v>
      </c>
      <c r="K73" s="10"/>
      <c r="L73" s="10"/>
      <c r="M73" s="51"/>
      <c r="N73" s="51"/>
      <c r="O73" s="51"/>
      <c r="P73" s="51"/>
      <c r="Q73" s="51"/>
      <c r="R73" s="51"/>
      <c r="S73" s="51"/>
      <c r="T73" s="10"/>
      <c r="U73" s="10"/>
      <c r="V73" s="10"/>
      <c r="W73" s="10"/>
      <c r="X73" s="10"/>
      <c r="Y73" s="10"/>
      <c r="Z73" s="10"/>
      <c r="AA73" s="10"/>
    </row>
    <row r="74" spans="1:27">
      <c r="A74" s="10"/>
      <c r="B74" s="24"/>
      <c r="C74" s="46" t="s">
        <v>467</v>
      </c>
      <c r="D74" s="79">
        <v>0.14000000000000001</v>
      </c>
      <c r="E74" s="47">
        <v>72.930000000000007</v>
      </c>
      <c r="F74" s="49">
        <v>3</v>
      </c>
      <c r="G74" s="47">
        <v>0.6</v>
      </c>
      <c r="H74" s="47">
        <v>10.210000000000001</v>
      </c>
      <c r="I74" s="47">
        <v>0.42</v>
      </c>
      <c r="J74" s="92">
        <v>0.08</v>
      </c>
      <c r="K74" s="10"/>
      <c r="L74" s="10"/>
      <c r="M74" s="51"/>
      <c r="N74" s="51"/>
      <c r="O74" s="51"/>
      <c r="P74" s="51"/>
      <c r="Q74" s="51"/>
      <c r="R74" s="51"/>
      <c r="S74" s="51"/>
      <c r="T74" s="10"/>
      <c r="U74" s="10"/>
      <c r="V74" s="10"/>
      <c r="W74" s="10"/>
      <c r="X74" s="10"/>
      <c r="Y74" s="10"/>
      <c r="Z74" s="10"/>
      <c r="AA74" s="10"/>
    </row>
    <row r="75" spans="1:27">
      <c r="A75" s="10"/>
      <c r="B75" s="24"/>
      <c r="C75" s="46" t="s">
        <v>468</v>
      </c>
      <c r="D75" s="79">
        <v>0.15</v>
      </c>
      <c r="E75" s="47">
        <v>75.099999999999994</v>
      </c>
      <c r="F75" s="49">
        <v>3</v>
      </c>
      <c r="G75" s="47">
        <v>0.6</v>
      </c>
      <c r="H75" s="47">
        <v>11.27</v>
      </c>
      <c r="I75" s="47">
        <v>0.45</v>
      </c>
      <c r="J75" s="92">
        <v>0.09</v>
      </c>
      <c r="K75" s="10"/>
      <c r="L75" s="10"/>
      <c r="M75" s="51"/>
      <c r="N75" s="51"/>
      <c r="O75" s="51"/>
      <c r="P75" s="51"/>
      <c r="Q75" s="51"/>
      <c r="R75" s="51"/>
      <c r="S75" s="51"/>
      <c r="T75" s="10"/>
      <c r="U75" s="10"/>
      <c r="V75" s="10"/>
      <c r="W75" s="10"/>
      <c r="X75" s="10"/>
      <c r="Y75" s="10"/>
      <c r="Z75" s="10"/>
      <c r="AA75" s="10"/>
    </row>
    <row r="76" spans="1:27">
      <c r="A76" s="10"/>
      <c r="B76" s="24"/>
      <c r="C76" s="46" t="s">
        <v>469</v>
      </c>
      <c r="D76" s="79">
        <v>0.125</v>
      </c>
      <c r="E76" s="47">
        <v>72.34</v>
      </c>
      <c r="F76" s="49">
        <v>3</v>
      </c>
      <c r="G76" s="47">
        <v>0.6</v>
      </c>
      <c r="H76" s="47">
        <v>9.0399999999999991</v>
      </c>
      <c r="I76" s="47">
        <v>0.38</v>
      </c>
      <c r="J76" s="92">
        <v>0.08</v>
      </c>
      <c r="K76" s="10"/>
      <c r="L76" s="10"/>
      <c r="M76" s="51"/>
      <c r="N76" s="51"/>
      <c r="O76" s="51"/>
      <c r="P76" s="51"/>
      <c r="Q76" s="51"/>
      <c r="R76" s="51"/>
      <c r="S76" s="51"/>
      <c r="T76" s="10"/>
      <c r="U76" s="10"/>
      <c r="V76" s="10"/>
      <c r="W76" s="10"/>
      <c r="X76" s="10"/>
      <c r="Y76" s="10"/>
      <c r="Z76" s="10"/>
      <c r="AA76" s="10"/>
    </row>
    <row r="77" spans="1:27">
      <c r="A77" s="10"/>
      <c r="B77" s="24"/>
      <c r="C77" s="46" t="s">
        <v>470</v>
      </c>
      <c r="D77" s="79">
        <v>0.13900000000000001</v>
      </c>
      <c r="E77" s="47">
        <v>74.540000000000006</v>
      </c>
      <c r="F77" s="49">
        <v>3</v>
      </c>
      <c r="G77" s="47">
        <v>0.6</v>
      </c>
      <c r="H77" s="47">
        <v>10.36</v>
      </c>
      <c r="I77" s="47">
        <v>0.42</v>
      </c>
      <c r="J77" s="92">
        <v>0.08</v>
      </c>
      <c r="K77" s="10"/>
      <c r="L77" s="10"/>
      <c r="M77" s="51"/>
      <c r="N77" s="51"/>
      <c r="O77" s="51"/>
      <c r="P77" s="51"/>
      <c r="Q77" s="51"/>
      <c r="R77" s="51"/>
      <c r="S77" s="51"/>
      <c r="T77" s="10"/>
      <c r="U77" s="10"/>
      <c r="V77" s="10"/>
      <c r="W77" s="10"/>
      <c r="X77" s="10"/>
      <c r="Y77" s="10"/>
      <c r="Z77" s="10"/>
      <c r="AA77" s="10"/>
    </row>
    <row r="78" spans="1:27">
      <c r="A78" s="10"/>
      <c r="B78" s="24"/>
      <c r="C78" s="46" t="s">
        <v>471</v>
      </c>
      <c r="D78" s="79">
        <v>0.13800000000000001</v>
      </c>
      <c r="E78" s="47">
        <v>74</v>
      </c>
      <c r="F78" s="49">
        <v>3</v>
      </c>
      <c r="G78" s="47">
        <v>0.6</v>
      </c>
      <c r="H78" s="47">
        <v>10.210000000000001</v>
      </c>
      <c r="I78" s="47">
        <v>0.41</v>
      </c>
      <c r="J78" s="92">
        <v>0.08</v>
      </c>
      <c r="K78" s="10"/>
      <c r="L78" s="10"/>
      <c r="M78" s="51"/>
      <c r="N78" s="51"/>
      <c r="O78" s="51"/>
      <c r="P78" s="51"/>
      <c r="Q78" s="51"/>
      <c r="R78" s="51"/>
      <c r="S78" s="51"/>
      <c r="T78" s="10"/>
      <c r="U78" s="10"/>
      <c r="V78" s="10"/>
      <c r="W78" s="10"/>
      <c r="X78" s="10"/>
      <c r="Y78" s="10"/>
      <c r="Z78" s="10"/>
      <c r="AA78" s="10"/>
    </row>
    <row r="79" spans="1:27" s="317" customFormat="1" ht="12.95" customHeight="1">
      <c r="A79" s="25"/>
      <c r="B79" s="88"/>
      <c r="C79" s="89" t="s">
        <v>472</v>
      </c>
      <c r="D79" s="90"/>
      <c r="E79" s="94"/>
      <c r="F79" s="90"/>
      <c r="G79" s="90"/>
      <c r="H79" s="95"/>
      <c r="I79" s="95"/>
      <c r="J79" s="96"/>
      <c r="K79" s="10"/>
      <c r="L79" s="10"/>
      <c r="M79" s="51"/>
      <c r="N79" s="51"/>
      <c r="O79" s="51"/>
      <c r="P79" s="51"/>
      <c r="Q79" s="51"/>
      <c r="R79" s="51"/>
      <c r="S79" s="51"/>
      <c r="T79" s="25"/>
      <c r="U79" s="25"/>
      <c r="V79" s="25"/>
      <c r="W79" s="25"/>
      <c r="X79" s="25"/>
      <c r="Y79" s="25"/>
      <c r="Z79" s="25"/>
      <c r="AA79" s="25"/>
    </row>
    <row r="80" spans="1:27">
      <c r="A80" s="10"/>
      <c r="B80" s="24"/>
      <c r="C80" s="46" t="s">
        <v>473</v>
      </c>
      <c r="D80" s="79">
        <v>0.128</v>
      </c>
      <c r="E80" s="47">
        <v>73.84</v>
      </c>
      <c r="F80" s="49">
        <v>1.1000000000000001</v>
      </c>
      <c r="G80" s="47">
        <v>0.11</v>
      </c>
      <c r="H80" s="47">
        <v>9.4499999999999993</v>
      </c>
      <c r="I80" s="47">
        <v>0.14000000000000001</v>
      </c>
      <c r="J80" s="92">
        <v>0.01</v>
      </c>
      <c r="K80" s="10"/>
      <c r="L80" s="10"/>
      <c r="M80" s="51"/>
      <c r="N80" s="51"/>
      <c r="O80" s="51"/>
      <c r="P80" s="51"/>
      <c r="Q80" s="51"/>
      <c r="R80" s="51"/>
      <c r="S80" s="51"/>
      <c r="T80" s="10"/>
      <c r="U80" s="10"/>
      <c r="V80" s="10"/>
      <c r="W80" s="10"/>
      <c r="X80" s="10"/>
      <c r="Y80" s="10"/>
      <c r="Z80" s="10"/>
      <c r="AA80" s="10"/>
    </row>
    <row r="81" spans="1:27">
      <c r="A81" s="10"/>
      <c r="B81" s="24"/>
      <c r="C81" s="46" t="s">
        <v>474</v>
      </c>
      <c r="D81" s="79">
        <v>8.4000000000000005E-2</v>
      </c>
      <c r="E81" s="47">
        <v>68.44</v>
      </c>
      <c r="F81" s="49">
        <v>1.1000000000000001</v>
      </c>
      <c r="G81" s="47">
        <v>0.11</v>
      </c>
      <c r="H81" s="47">
        <v>5.75</v>
      </c>
      <c r="I81" s="47">
        <v>0.09</v>
      </c>
      <c r="J81" s="92">
        <v>0.01</v>
      </c>
      <c r="K81" s="10"/>
      <c r="L81" s="10"/>
      <c r="M81" s="51"/>
      <c r="N81" s="51"/>
      <c r="O81" s="51"/>
      <c r="P81" s="51"/>
      <c r="Q81" s="51"/>
      <c r="R81" s="51"/>
      <c r="S81" s="51"/>
      <c r="T81" s="10"/>
      <c r="U81" s="10"/>
      <c r="V81" s="10"/>
      <c r="W81" s="10"/>
      <c r="X81" s="10"/>
      <c r="Y81" s="10"/>
      <c r="Z81" s="10"/>
      <c r="AA81" s="10"/>
    </row>
    <row r="82" spans="1:27">
      <c r="A82" s="10"/>
      <c r="B82" s="24"/>
      <c r="C82" s="46" t="s">
        <v>475</v>
      </c>
      <c r="D82" s="79">
        <v>0.125</v>
      </c>
      <c r="E82" s="47">
        <v>71.06</v>
      </c>
      <c r="F82" s="49">
        <v>1.1000000000000001</v>
      </c>
      <c r="G82" s="47">
        <v>0.11</v>
      </c>
      <c r="H82" s="47">
        <v>8.8800000000000008</v>
      </c>
      <c r="I82" s="47">
        <v>0.14000000000000001</v>
      </c>
      <c r="J82" s="92">
        <v>0.01</v>
      </c>
      <c r="K82" s="10"/>
      <c r="L82" s="10"/>
      <c r="M82" s="51"/>
      <c r="N82" s="51"/>
      <c r="O82" s="51"/>
      <c r="P82" s="51"/>
      <c r="Q82" s="51"/>
      <c r="R82" s="51"/>
      <c r="S82" s="51"/>
      <c r="T82" s="10"/>
      <c r="U82" s="10"/>
      <c r="V82" s="10"/>
      <c r="W82" s="10"/>
      <c r="X82" s="10"/>
      <c r="Y82" s="10"/>
      <c r="Z82" s="10"/>
      <c r="AA82" s="10"/>
    </row>
    <row r="83" spans="1:27">
      <c r="A83" s="10"/>
      <c r="B83" s="24"/>
      <c r="C83" s="46" t="s">
        <v>476</v>
      </c>
      <c r="D83" s="79">
        <v>0.12</v>
      </c>
      <c r="E83" s="47">
        <v>81.55</v>
      </c>
      <c r="F83" s="49">
        <v>1.1000000000000001</v>
      </c>
      <c r="G83" s="47">
        <v>0.11</v>
      </c>
      <c r="H83" s="47">
        <v>9.7899999999999991</v>
      </c>
      <c r="I83" s="47">
        <v>0.13</v>
      </c>
      <c r="J83" s="92">
        <v>0.01</v>
      </c>
      <c r="K83" s="10"/>
      <c r="L83" s="10"/>
      <c r="M83" s="51"/>
      <c r="N83" s="51"/>
      <c r="O83" s="51"/>
      <c r="P83" s="51"/>
      <c r="Q83" s="51"/>
      <c r="R83" s="51"/>
      <c r="S83" s="51"/>
      <c r="T83" s="10"/>
      <c r="U83" s="10"/>
      <c r="V83" s="10"/>
      <c r="W83" s="10"/>
      <c r="X83" s="10"/>
      <c r="Y83" s="10"/>
      <c r="Z83" s="10"/>
      <c r="AA83" s="10"/>
    </row>
    <row r="84" spans="1:27" s="317" customFormat="1" ht="39.6" customHeight="1">
      <c r="A84" s="25"/>
      <c r="B84" s="88"/>
      <c r="C84" s="97" t="s">
        <v>477</v>
      </c>
      <c r="D84" s="90"/>
      <c r="E84" s="94"/>
      <c r="F84" s="90"/>
      <c r="G84" s="90"/>
      <c r="H84" s="95"/>
      <c r="I84" s="95"/>
      <c r="J84" s="96"/>
      <c r="K84" s="10"/>
      <c r="L84" s="10"/>
      <c r="M84" s="51"/>
      <c r="N84" s="51"/>
      <c r="O84" s="51"/>
      <c r="P84" s="51"/>
      <c r="Q84" s="51"/>
      <c r="R84" s="51"/>
      <c r="S84" s="51"/>
      <c r="T84" s="25"/>
      <c r="U84" s="25"/>
      <c r="V84" s="25"/>
      <c r="W84" s="25"/>
      <c r="X84" s="25"/>
      <c r="Y84" s="25"/>
      <c r="Z84" s="25"/>
      <c r="AA84" s="25"/>
    </row>
    <row r="85" spans="1:27">
      <c r="A85" s="10"/>
      <c r="B85" s="24"/>
      <c r="C85" s="46" t="s">
        <v>478</v>
      </c>
      <c r="D85" s="95"/>
      <c r="E85" s="49">
        <v>94.4</v>
      </c>
      <c r="F85" s="49">
        <v>1.9</v>
      </c>
      <c r="G85" s="47">
        <v>0.42</v>
      </c>
      <c r="H85" s="95"/>
      <c r="I85" s="95"/>
      <c r="J85" s="96"/>
      <c r="K85" s="10"/>
      <c r="L85" s="10"/>
      <c r="M85" s="51"/>
      <c r="N85" s="51"/>
      <c r="O85" s="51"/>
      <c r="P85" s="51"/>
      <c r="Q85" s="51"/>
      <c r="R85" s="51"/>
      <c r="S85" s="51"/>
      <c r="T85" s="10"/>
      <c r="U85" s="10"/>
      <c r="V85" s="10"/>
      <c r="W85" s="10"/>
      <c r="X85" s="10"/>
      <c r="Y85" s="10"/>
      <c r="Z85" s="10"/>
      <c r="AA85" s="10"/>
    </row>
    <row r="86" spans="1:27">
      <c r="A86" s="10"/>
      <c r="B86" s="24"/>
      <c r="C86" s="46" t="s">
        <v>479</v>
      </c>
      <c r="D86" s="95"/>
      <c r="E86" s="49">
        <v>93.7</v>
      </c>
      <c r="F86" s="49">
        <v>1.9</v>
      </c>
      <c r="G86" s="47">
        <v>0.42</v>
      </c>
      <c r="H86" s="95"/>
      <c r="I86" s="95"/>
      <c r="J86" s="96"/>
      <c r="K86" s="10"/>
      <c r="L86" s="10"/>
      <c r="M86" s="51"/>
      <c r="N86" s="51"/>
      <c r="O86" s="51"/>
      <c r="P86" s="51"/>
      <c r="Q86" s="51"/>
      <c r="R86" s="51"/>
      <c r="S86" s="51"/>
      <c r="T86" s="10"/>
      <c r="U86" s="10"/>
      <c r="V86" s="10"/>
      <c r="W86" s="10"/>
      <c r="X86" s="10"/>
      <c r="Y86" s="10"/>
      <c r="Z86" s="10"/>
      <c r="AA86" s="10"/>
    </row>
    <row r="87" spans="1:27">
      <c r="A87" s="10"/>
      <c r="B87" s="24"/>
      <c r="C87" s="46" t="s">
        <v>480</v>
      </c>
      <c r="D87" s="95"/>
      <c r="E87" s="49">
        <v>95.5</v>
      </c>
      <c r="F87" s="49">
        <v>1.9</v>
      </c>
      <c r="G87" s="47">
        <v>0.42</v>
      </c>
      <c r="H87" s="95"/>
      <c r="I87" s="95"/>
      <c r="J87" s="96"/>
      <c r="K87" s="10"/>
      <c r="L87" s="10"/>
      <c r="M87" s="51"/>
      <c r="N87" s="51"/>
      <c r="O87" s="51"/>
      <c r="P87" s="51"/>
      <c r="Q87" s="51"/>
      <c r="R87" s="51"/>
      <c r="S87" s="51"/>
      <c r="T87" s="10"/>
      <c r="U87" s="10"/>
      <c r="V87" s="10"/>
      <c r="W87" s="10"/>
      <c r="X87" s="10"/>
      <c r="Y87" s="10"/>
      <c r="Z87" s="10"/>
      <c r="AA87" s="10"/>
    </row>
    <row r="88" spans="1:27">
      <c r="A88" s="10"/>
      <c r="B88" s="24"/>
      <c r="C88" s="46" t="s">
        <v>481</v>
      </c>
      <c r="D88" s="95"/>
      <c r="E88" s="49">
        <v>93.7</v>
      </c>
      <c r="F88" s="49">
        <v>1.9</v>
      </c>
      <c r="G88" s="47">
        <v>0.42</v>
      </c>
      <c r="H88" s="95"/>
      <c r="I88" s="95"/>
      <c r="J88" s="96"/>
      <c r="K88" s="10"/>
      <c r="L88" s="10"/>
      <c r="M88" s="51"/>
      <c r="N88" s="51"/>
      <c r="O88" s="51"/>
      <c r="P88" s="51"/>
      <c r="Q88" s="51"/>
      <c r="R88" s="51"/>
      <c r="S88" s="51"/>
      <c r="T88" s="10"/>
      <c r="U88" s="10"/>
      <c r="V88" s="10"/>
      <c r="W88" s="10"/>
      <c r="X88" s="10"/>
      <c r="Y88" s="10"/>
      <c r="Z88" s="10"/>
      <c r="AA88" s="10"/>
    </row>
    <row r="89" spans="1:27" ht="13.9" customHeight="1" thickBot="1">
      <c r="A89" s="10"/>
      <c r="B89" s="24"/>
      <c r="C89" s="98" t="s">
        <v>482</v>
      </c>
      <c r="D89" s="99"/>
      <c r="E89" s="100">
        <v>95.1</v>
      </c>
      <c r="F89" s="100">
        <v>1.9</v>
      </c>
      <c r="G89" s="101">
        <v>0.42</v>
      </c>
      <c r="H89" s="99"/>
      <c r="I89" s="99"/>
      <c r="J89" s="102"/>
      <c r="K89" s="10"/>
      <c r="L89" s="10"/>
      <c r="M89" s="51"/>
      <c r="N89" s="51"/>
      <c r="O89" s="51"/>
      <c r="P89" s="51"/>
      <c r="Q89" s="51"/>
      <c r="R89" s="51"/>
      <c r="S89" s="51"/>
      <c r="T89" s="10"/>
      <c r="U89" s="10"/>
      <c r="V89" s="10"/>
      <c r="W89" s="10"/>
      <c r="X89" s="10"/>
      <c r="Y89" s="10"/>
      <c r="Z89" s="10"/>
      <c r="AA89" s="10"/>
    </row>
    <row r="90" spans="1:27" s="317" customFormat="1">
      <c r="A90" s="25"/>
      <c r="B90" s="88"/>
      <c r="C90" s="103" t="s">
        <v>483</v>
      </c>
      <c r="D90" s="25"/>
      <c r="E90" s="104"/>
      <c r="F90" s="104"/>
      <c r="G90" s="104"/>
      <c r="H90" s="25"/>
      <c r="I90" s="25"/>
      <c r="J90" s="25"/>
      <c r="K90" s="25"/>
      <c r="L90" s="25"/>
      <c r="M90" s="51"/>
      <c r="N90" s="51"/>
      <c r="O90" s="51"/>
      <c r="P90" s="51"/>
      <c r="Q90" s="51"/>
      <c r="R90" s="51"/>
      <c r="S90" s="51"/>
      <c r="T90" s="25"/>
      <c r="U90" s="25"/>
      <c r="V90" s="25"/>
      <c r="W90" s="25"/>
      <c r="X90" s="25"/>
      <c r="Y90" s="25"/>
      <c r="Z90" s="25"/>
      <c r="AA90" s="25"/>
    </row>
    <row r="91" spans="1:27">
      <c r="A91" s="10"/>
      <c r="B91" s="11"/>
      <c r="C91" s="333" t="s">
        <v>484</v>
      </c>
      <c r="D91" s="332"/>
      <c r="E91" s="332"/>
      <c r="F91" s="332"/>
      <c r="G91" s="332"/>
      <c r="H91" s="332"/>
      <c r="I91" s="332"/>
      <c r="J91" s="332"/>
      <c r="K91" s="332"/>
      <c r="L91" s="10"/>
      <c r="M91" s="73"/>
      <c r="N91" s="10"/>
      <c r="O91" s="10"/>
      <c r="P91" s="10"/>
      <c r="Q91" s="10"/>
      <c r="R91" s="10"/>
      <c r="S91" s="10"/>
      <c r="T91" s="10"/>
      <c r="U91" s="10"/>
      <c r="V91" s="10"/>
      <c r="W91" s="10"/>
      <c r="X91" s="10"/>
      <c r="Y91" s="10"/>
      <c r="Z91" s="10"/>
      <c r="AA91" s="10"/>
    </row>
    <row r="92" spans="1:27">
      <c r="A92" s="10"/>
      <c r="B92" s="11"/>
      <c r="C92" s="105" t="s">
        <v>485</v>
      </c>
      <c r="D92" s="10"/>
      <c r="E92" s="10"/>
      <c r="F92" s="10"/>
      <c r="G92" s="10"/>
      <c r="H92" s="10"/>
      <c r="I92" s="10"/>
      <c r="J92" s="10"/>
      <c r="K92" s="10"/>
      <c r="L92" s="10"/>
      <c r="M92" s="73"/>
      <c r="N92" s="106"/>
      <c r="O92" s="107"/>
      <c r="P92" s="107"/>
      <c r="Q92" s="106"/>
      <c r="R92" s="10"/>
      <c r="S92" s="108"/>
      <c r="T92" s="10"/>
      <c r="U92" s="10"/>
      <c r="V92" s="10"/>
      <c r="W92" s="10"/>
      <c r="X92" s="10"/>
      <c r="Y92" s="10"/>
      <c r="Z92" s="10"/>
      <c r="AA92" s="10"/>
    </row>
    <row r="93" spans="1:27">
      <c r="A93" s="10"/>
      <c r="B93" s="11"/>
      <c r="C93" s="333" t="s">
        <v>486</v>
      </c>
      <c r="D93" s="332"/>
      <c r="E93" s="332"/>
      <c r="F93" s="332"/>
      <c r="G93" s="332"/>
      <c r="H93" s="332"/>
      <c r="I93" s="332"/>
      <c r="J93" s="332"/>
      <c r="K93" s="332"/>
      <c r="L93" s="10"/>
      <c r="M93" s="73"/>
      <c r="N93" s="106"/>
      <c r="O93" s="107"/>
      <c r="P93" s="107"/>
      <c r="Q93" s="106"/>
      <c r="R93" s="10"/>
      <c r="S93" s="108"/>
      <c r="T93" s="10"/>
      <c r="U93" s="10"/>
      <c r="V93" s="10"/>
      <c r="W93" s="10"/>
      <c r="X93" s="10"/>
      <c r="Y93" s="10"/>
      <c r="Z93" s="10"/>
      <c r="AA93" s="10"/>
    </row>
    <row r="94" spans="1:27">
      <c r="A94" s="10"/>
      <c r="B94" s="11"/>
      <c r="C94" s="109"/>
      <c r="D94" s="109"/>
      <c r="E94" s="109"/>
      <c r="F94" s="109"/>
      <c r="G94" s="109"/>
      <c r="H94" s="109"/>
      <c r="I94" s="109"/>
      <c r="J94" s="109"/>
      <c r="K94" s="109"/>
      <c r="L94" s="109"/>
      <c r="M94" s="10"/>
      <c r="N94" s="10"/>
      <c r="O94" s="10"/>
      <c r="P94" s="10"/>
      <c r="Q94" s="10"/>
      <c r="R94" s="10"/>
      <c r="S94" s="10"/>
      <c r="T94" s="10"/>
      <c r="U94" s="10"/>
      <c r="V94" s="10"/>
      <c r="W94" s="10"/>
      <c r="X94" s="10"/>
      <c r="Y94" s="10"/>
      <c r="Z94" s="10"/>
      <c r="AA94" s="10"/>
    </row>
    <row r="95" spans="1:27" s="317" customFormat="1" ht="18" customHeight="1">
      <c r="A95" s="25"/>
      <c r="B95" s="26" t="s">
        <v>487</v>
      </c>
      <c r="C95" s="27" t="s">
        <v>488</v>
      </c>
      <c r="D95" s="28"/>
      <c r="E95" s="28"/>
      <c r="F95" s="28"/>
      <c r="G95" s="29"/>
      <c r="H95" s="29"/>
      <c r="I95" s="29"/>
      <c r="J95" s="29"/>
      <c r="K95" s="29"/>
      <c r="L95" s="30"/>
      <c r="M95" s="25"/>
      <c r="N95" s="25"/>
      <c r="O95" s="25"/>
      <c r="P95" s="25"/>
      <c r="Q95" s="25"/>
      <c r="R95" s="25"/>
      <c r="S95" s="25"/>
      <c r="T95" s="25"/>
      <c r="U95" s="25"/>
      <c r="V95" s="25"/>
      <c r="W95" s="25"/>
      <c r="X95" s="25"/>
      <c r="Y95" s="25"/>
      <c r="Z95" s="25"/>
      <c r="AA95" s="25"/>
    </row>
    <row r="96" spans="1:27" ht="13.9" customHeight="1" thickBot="1">
      <c r="A96" s="10"/>
      <c r="B96" s="11"/>
      <c r="C96" s="10"/>
      <c r="D96" s="10"/>
      <c r="E96" s="10"/>
      <c r="F96" s="10"/>
      <c r="G96" s="10"/>
      <c r="H96" s="10"/>
      <c r="I96" s="10"/>
      <c r="J96" s="10"/>
      <c r="K96" s="10"/>
      <c r="L96" s="10"/>
      <c r="M96" s="10"/>
      <c r="N96" s="10"/>
      <c r="O96" s="10"/>
      <c r="P96" s="10"/>
      <c r="Q96" s="10"/>
      <c r="R96" s="10"/>
      <c r="S96" s="10"/>
      <c r="T96" s="10"/>
      <c r="U96" s="10"/>
      <c r="V96" s="10"/>
      <c r="W96" s="10"/>
      <c r="X96" s="10"/>
      <c r="Y96" s="10"/>
      <c r="Z96" s="10"/>
      <c r="AA96" s="10"/>
    </row>
    <row r="97" spans="1:27" s="13" customFormat="1" ht="16.149999999999999" customHeight="1" thickBot="1">
      <c r="A97" s="88"/>
      <c r="B97" s="88"/>
      <c r="C97" s="110" t="s">
        <v>489</v>
      </c>
      <c r="D97" s="111" t="s">
        <v>490</v>
      </c>
      <c r="E97" s="112" t="s">
        <v>491</v>
      </c>
      <c r="F97" s="16"/>
      <c r="G97" s="38"/>
      <c r="H97" s="113"/>
      <c r="I97" s="114"/>
      <c r="J97" s="114"/>
      <c r="K97" s="88"/>
      <c r="L97" s="88"/>
      <c r="M97" s="10"/>
      <c r="N97" s="10"/>
      <c r="O97" s="10"/>
      <c r="P97" s="10"/>
      <c r="Q97" s="10"/>
      <c r="R97" s="10"/>
      <c r="S97" s="10"/>
      <c r="T97" s="10"/>
      <c r="U97" s="88"/>
      <c r="V97" s="88"/>
      <c r="W97" s="88"/>
      <c r="X97" s="88"/>
      <c r="Y97" s="88"/>
      <c r="Z97" s="88"/>
      <c r="AA97" s="88"/>
    </row>
    <row r="98" spans="1:27" ht="12.95" customHeight="1">
      <c r="A98" s="10"/>
      <c r="B98" s="11"/>
      <c r="C98" s="115" t="s">
        <v>446</v>
      </c>
      <c r="D98" s="116">
        <v>8.31</v>
      </c>
      <c r="E98" s="117" t="s">
        <v>492</v>
      </c>
      <c r="F98" s="118"/>
      <c r="G98" s="113"/>
      <c r="H98" s="113"/>
      <c r="I98" s="114"/>
      <c r="J98" s="109"/>
      <c r="K98" s="10"/>
      <c r="L98" s="10"/>
      <c r="M98" s="51"/>
      <c r="N98" s="51"/>
      <c r="O98" s="10"/>
      <c r="P98" s="10"/>
      <c r="Q98" s="10"/>
      <c r="R98" s="10"/>
      <c r="S98" s="10"/>
      <c r="T98" s="10"/>
      <c r="U98" s="10"/>
      <c r="V98" s="10"/>
      <c r="W98" s="10"/>
      <c r="X98" s="10"/>
      <c r="Y98" s="10"/>
      <c r="Z98" s="10"/>
      <c r="AA98" s="10"/>
    </row>
    <row r="99" spans="1:27">
      <c r="A99" s="10"/>
      <c r="B99" s="11"/>
      <c r="C99" s="119" t="s">
        <v>473</v>
      </c>
      <c r="D99" s="86">
        <v>9.4499999999999993</v>
      </c>
      <c r="E99" s="120" t="s">
        <v>492</v>
      </c>
      <c r="F99" s="113"/>
      <c r="G99" s="113"/>
      <c r="H99" s="113"/>
      <c r="I99" s="114"/>
      <c r="J99" s="109"/>
      <c r="K99" s="10"/>
      <c r="L99" s="10"/>
      <c r="M99" s="51"/>
      <c r="N99" s="51"/>
      <c r="O99" s="10"/>
      <c r="P99" s="10"/>
      <c r="Q99" s="10"/>
      <c r="R99" s="10"/>
      <c r="S99" s="10"/>
      <c r="T99" s="10"/>
      <c r="U99" s="10"/>
      <c r="V99" s="10"/>
      <c r="W99" s="10"/>
      <c r="X99" s="10"/>
      <c r="Y99" s="10"/>
      <c r="Z99" s="10"/>
      <c r="AA99" s="10"/>
    </row>
    <row r="100" spans="1:27">
      <c r="A100" s="10"/>
      <c r="B100" s="11"/>
      <c r="C100" s="119" t="s">
        <v>493</v>
      </c>
      <c r="D100" s="121">
        <v>5.4440000000000002E-2</v>
      </c>
      <c r="E100" s="120" t="s">
        <v>494</v>
      </c>
      <c r="F100" s="113"/>
      <c r="G100" s="113"/>
      <c r="H100" s="113"/>
      <c r="I100" s="114"/>
      <c r="J100" s="109"/>
      <c r="K100" s="10"/>
      <c r="L100" s="10"/>
      <c r="M100" s="51"/>
      <c r="N100" s="51"/>
      <c r="O100" s="10"/>
      <c r="P100" s="10"/>
      <c r="Q100" s="10"/>
      <c r="R100" s="10"/>
      <c r="S100" s="10"/>
      <c r="T100" s="10"/>
      <c r="U100" s="10"/>
      <c r="V100" s="10"/>
      <c r="W100" s="10"/>
      <c r="X100" s="10"/>
      <c r="Y100" s="10"/>
      <c r="Z100" s="10"/>
      <c r="AA100" s="10"/>
    </row>
    <row r="101" spans="1:27">
      <c r="A101" s="10"/>
      <c r="B101" s="24"/>
      <c r="C101" s="119" t="s">
        <v>495</v>
      </c>
      <c r="D101" s="86">
        <v>10.210000000000001</v>
      </c>
      <c r="E101" s="122" t="s">
        <v>492</v>
      </c>
      <c r="F101" s="113"/>
      <c r="G101" s="113"/>
      <c r="H101" s="113"/>
      <c r="I101" s="114"/>
      <c r="J101" s="109"/>
      <c r="K101" s="10"/>
      <c r="L101" s="10"/>
      <c r="M101" s="51"/>
      <c r="N101" s="51"/>
      <c r="O101" s="10"/>
      <c r="P101" s="10"/>
      <c r="Q101" s="10"/>
      <c r="R101" s="10"/>
      <c r="S101" s="10"/>
      <c r="T101" s="10"/>
      <c r="U101" s="10"/>
      <c r="V101" s="10"/>
      <c r="W101" s="10"/>
      <c r="X101" s="10"/>
      <c r="Y101" s="10"/>
      <c r="Z101" s="10"/>
      <c r="AA101" s="10"/>
    </row>
    <row r="102" spans="1:27">
      <c r="A102" s="10"/>
      <c r="B102" s="11"/>
      <c r="C102" s="119" t="s">
        <v>474</v>
      </c>
      <c r="D102" s="86">
        <v>5.75</v>
      </c>
      <c r="E102" s="120" t="s">
        <v>492</v>
      </c>
      <c r="F102" s="113"/>
      <c r="G102" s="113"/>
      <c r="H102" s="113"/>
      <c r="I102" s="114"/>
      <c r="J102" s="109"/>
      <c r="K102" s="10"/>
      <c r="L102" s="10"/>
      <c r="M102" s="51"/>
      <c r="N102" s="51"/>
      <c r="O102" s="10"/>
      <c r="P102" s="10"/>
      <c r="Q102" s="10"/>
      <c r="R102" s="10"/>
      <c r="S102" s="10"/>
      <c r="T102" s="10"/>
      <c r="U102" s="10"/>
      <c r="V102" s="10"/>
      <c r="W102" s="10"/>
      <c r="X102" s="10"/>
      <c r="Y102" s="10"/>
      <c r="Z102" s="10"/>
      <c r="AA102" s="10"/>
    </row>
    <row r="103" spans="1:27">
      <c r="A103" s="10"/>
      <c r="B103" s="11"/>
      <c r="C103" s="119" t="s">
        <v>458</v>
      </c>
      <c r="D103" s="86">
        <v>9.75</v>
      </c>
      <c r="E103" s="122" t="s">
        <v>492</v>
      </c>
      <c r="F103" s="113"/>
      <c r="G103" s="113"/>
      <c r="H103" s="113"/>
      <c r="I103" s="114"/>
      <c r="J103" s="109"/>
      <c r="K103" s="10"/>
      <c r="L103" s="10"/>
      <c r="M103" s="51"/>
      <c r="N103" s="51"/>
      <c r="O103" s="10"/>
      <c r="P103" s="10"/>
      <c r="Q103" s="10"/>
      <c r="R103" s="10"/>
      <c r="S103" s="10"/>
      <c r="T103" s="10"/>
      <c r="U103" s="10"/>
      <c r="V103" s="10"/>
      <c r="W103" s="10"/>
      <c r="X103" s="10"/>
      <c r="Y103" s="10"/>
      <c r="Z103" s="10"/>
      <c r="AA103" s="10"/>
    </row>
    <row r="104" spans="1:27">
      <c r="A104" s="10"/>
      <c r="B104" s="11"/>
      <c r="C104" s="84" t="s">
        <v>496</v>
      </c>
      <c r="D104" s="86">
        <v>4.5</v>
      </c>
      <c r="E104" s="120" t="s">
        <v>492</v>
      </c>
      <c r="F104" s="10"/>
      <c r="G104" s="113"/>
      <c r="H104" s="113"/>
      <c r="I104" s="114"/>
      <c r="J104" s="109"/>
      <c r="K104" s="10"/>
      <c r="L104" s="10"/>
      <c r="M104" s="51"/>
      <c r="N104" s="51"/>
      <c r="O104" s="123"/>
      <c r="P104" s="73"/>
      <c r="Q104" s="10"/>
      <c r="R104" s="10"/>
      <c r="S104" s="10"/>
      <c r="T104" s="10"/>
      <c r="U104" s="10"/>
      <c r="V104" s="10"/>
      <c r="W104" s="10"/>
      <c r="X104" s="10"/>
      <c r="Y104" s="10"/>
      <c r="Z104" s="10"/>
      <c r="AA104" s="10"/>
    </row>
    <row r="105" spans="1:27">
      <c r="A105" s="10"/>
      <c r="B105" s="11"/>
      <c r="C105" s="119" t="s">
        <v>459</v>
      </c>
      <c r="D105" s="86">
        <v>5.68</v>
      </c>
      <c r="E105" s="122" t="s">
        <v>492</v>
      </c>
      <c r="F105" s="113"/>
      <c r="G105" s="124"/>
      <c r="H105" s="113"/>
      <c r="I105" s="114"/>
      <c r="J105" s="109"/>
      <c r="K105" s="10"/>
      <c r="L105" s="10"/>
      <c r="M105" s="51"/>
      <c r="N105" s="51"/>
      <c r="O105" s="10"/>
      <c r="P105" s="10"/>
      <c r="Q105" s="10"/>
      <c r="R105" s="10"/>
      <c r="S105" s="10"/>
      <c r="T105" s="10"/>
      <c r="U105" s="10"/>
      <c r="V105" s="10"/>
      <c r="W105" s="10"/>
      <c r="X105" s="10"/>
      <c r="Y105" s="10"/>
      <c r="Z105" s="10"/>
      <c r="AA105" s="10"/>
    </row>
    <row r="106" spans="1:27">
      <c r="A106" s="10"/>
      <c r="B106" s="11"/>
      <c r="C106" s="119" t="s">
        <v>289</v>
      </c>
      <c r="D106" s="86">
        <v>8.7799999999999994</v>
      </c>
      <c r="E106" s="122" t="s">
        <v>492</v>
      </c>
      <c r="F106" s="113"/>
      <c r="G106" s="113"/>
      <c r="H106" s="113"/>
      <c r="I106" s="114"/>
      <c r="J106" s="109"/>
      <c r="K106" s="10"/>
      <c r="L106" s="10"/>
      <c r="M106" s="51"/>
      <c r="N106" s="51"/>
      <c r="O106" s="10"/>
      <c r="P106" s="10"/>
      <c r="Q106" s="10"/>
      <c r="R106" s="10"/>
      <c r="S106" s="10"/>
      <c r="T106" s="10"/>
      <c r="U106" s="10"/>
      <c r="V106" s="10"/>
      <c r="W106" s="10"/>
      <c r="X106" s="10"/>
      <c r="Y106" s="10"/>
      <c r="Z106" s="10"/>
      <c r="AA106" s="10"/>
    </row>
    <row r="107" spans="1:27" ht="13.9" customHeight="1" thickBot="1">
      <c r="A107" s="10"/>
      <c r="B107" s="11"/>
      <c r="C107" s="125" t="s">
        <v>240</v>
      </c>
      <c r="D107" s="126">
        <v>11.27</v>
      </c>
      <c r="E107" s="127" t="s">
        <v>492</v>
      </c>
      <c r="F107" s="113"/>
      <c r="G107" s="113"/>
      <c r="H107" s="113"/>
      <c r="I107" s="114"/>
      <c r="J107" s="114"/>
      <c r="K107" s="10"/>
      <c r="L107" s="10"/>
      <c r="M107" s="51"/>
      <c r="N107" s="51"/>
      <c r="O107" s="10"/>
      <c r="P107" s="10"/>
      <c r="Q107" s="10"/>
      <c r="R107" s="10"/>
      <c r="S107" s="10"/>
      <c r="T107" s="10"/>
      <c r="U107" s="10"/>
      <c r="V107" s="10"/>
      <c r="W107" s="10"/>
      <c r="X107" s="10"/>
      <c r="Y107" s="10"/>
      <c r="Z107" s="10"/>
      <c r="AA107" s="10"/>
    </row>
    <row r="108" spans="1:27" s="317" customFormat="1">
      <c r="A108" s="25"/>
      <c r="B108" s="88"/>
      <c r="C108" s="103" t="s">
        <v>483</v>
      </c>
      <c r="D108" s="25"/>
      <c r="E108" s="25"/>
      <c r="F108" s="128"/>
      <c r="G108" s="128"/>
      <c r="H108" s="128"/>
      <c r="I108" s="128"/>
      <c r="J108" s="128"/>
      <c r="K108" s="25"/>
      <c r="L108" s="25"/>
      <c r="M108" s="73"/>
      <c r="N108" s="25"/>
      <c r="O108" s="25"/>
      <c r="P108" s="25"/>
      <c r="Q108" s="25"/>
      <c r="R108" s="25"/>
      <c r="S108" s="25"/>
      <c r="T108" s="25"/>
      <c r="U108" s="25"/>
      <c r="V108" s="25"/>
      <c r="W108" s="25"/>
      <c r="X108" s="25"/>
      <c r="Y108" s="25"/>
      <c r="Z108" s="25"/>
      <c r="AA108" s="25"/>
    </row>
    <row r="109" spans="1:27" ht="12.75" customHeight="1">
      <c r="A109" s="10"/>
      <c r="B109" s="11"/>
      <c r="C109" s="333" t="s">
        <v>497</v>
      </c>
      <c r="D109" s="332"/>
      <c r="E109" s="332"/>
      <c r="F109" s="332"/>
      <c r="G109" s="332"/>
      <c r="H109" s="332"/>
      <c r="I109" s="332"/>
      <c r="J109" s="332"/>
      <c r="K109" s="332"/>
      <c r="L109" s="109"/>
      <c r="M109" s="109"/>
      <c r="N109" s="10"/>
      <c r="O109" s="10"/>
      <c r="P109" s="10"/>
      <c r="Q109" s="10"/>
      <c r="R109" s="10"/>
      <c r="S109" s="10"/>
      <c r="T109" s="10"/>
      <c r="U109" s="10"/>
      <c r="V109" s="10"/>
      <c r="W109" s="10"/>
      <c r="X109" s="10"/>
      <c r="Y109" s="10"/>
      <c r="Z109" s="10"/>
      <c r="AA109" s="10"/>
    </row>
    <row r="110" spans="1:27">
      <c r="A110" s="10"/>
      <c r="B110" s="11"/>
      <c r="C110" s="105" t="s">
        <v>485</v>
      </c>
      <c r="D110" s="129"/>
      <c r="E110" s="129"/>
      <c r="F110" s="129"/>
      <c r="G110" s="129"/>
      <c r="H110" s="21"/>
      <c r="I110" s="21"/>
      <c r="J110" s="10"/>
      <c r="K110" s="10"/>
      <c r="L110" s="109"/>
      <c r="M110" s="109"/>
      <c r="N110" s="10"/>
      <c r="O110" s="10"/>
      <c r="P110" s="10"/>
      <c r="Q110" s="10"/>
      <c r="R110" s="10"/>
      <c r="S110" s="10"/>
      <c r="T110" s="10"/>
      <c r="U110" s="10"/>
      <c r="V110" s="10"/>
      <c r="W110" s="10"/>
      <c r="X110" s="10"/>
      <c r="Y110" s="10"/>
      <c r="Z110" s="10"/>
      <c r="AA110" s="10"/>
    </row>
    <row r="111" spans="1:27">
      <c r="A111" s="10"/>
      <c r="B111" s="11"/>
      <c r="C111" s="338" t="s">
        <v>498</v>
      </c>
      <c r="D111" s="332"/>
      <c r="E111" s="332"/>
      <c r="F111" s="332"/>
      <c r="G111" s="332"/>
      <c r="H111" s="332"/>
      <c r="I111" s="332"/>
      <c r="J111" s="332"/>
      <c r="K111" s="332"/>
      <c r="L111" s="109"/>
      <c r="M111" s="109"/>
      <c r="N111" s="10"/>
      <c r="O111" s="10"/>
      <c r="P111" s="10"/>
      <c r="Q111" s="10"/>
      <c r="R111" s="10"/>
      <c r="S111" s="10"/>
      <c r="T111" s="10"/>
      <c r="U111" s="10"/>
      <c r="V111" s="10"/>
      <c r="W111" s="10"/>
      <c r="X111" s="10"/>
      <c r="Y111" s="10"/>
      <c r="Z111" s="10"/>
      <c r="AA111" s="10"/>
    </row>
    <row r="112" spans="1:27">
      <c r="A112" s="10"/>
      <c r="B112" s="11"/>
      <c r="C112" s="130"/>
      <c r="D112" s="10"/>
      <c r="E112" s="10"/>
      <c r="F112" s="10"/>
      <c r="G112" s="10"/>
      <c r="H112" s="10"/>
      <c r="I112" s="10"/>
      <c r="J112" s="10"/>
      <c r="K112" s="10"/>
      <c r="L112" s="109"/>
      <c r="M112" s="109"/>
      <c r="N112" s="10"/>
      <c r="O112" s="10"/>
      <c r="P112" s="10"/>
      <c r="Q112" s="10"/>
      <c r="R112" s="10"/>
      <c r="S112" s="10"/>
      <c r="T112" s="10"/>
      <c r="U112" s="10"/>
      <c r="V112" s="10"/>
      <c r="W112" s="10"/>
      <c r="X112" s="10"/>
      <c r="Y112" s="10"/>
      <c r="Z112" s="10"/>
      <c r="AA112" s="10"/>
    </row>
    <row r="113" spans="1:27" ht="18" customHeight="1">
      <c r="B113" s="131" t="s">
        <v>499</v>
      </c>
      <c r="C113" s="132" t="s">
        <v>500</v>
      </c>
      <c r="D113" s="133"/>
      <c r="E113" s="134"/>
      <c r="F113" s="134"/>
      <c r="G113" s="134"/>
      <c r="H113" s="134"/>
      <c r="I113" s="134"/>
      <c r="J113" s="134"/>
      <c r="K113" s="134"/>
      <c r="L113" s="135"/>
      <c r="M113" s="10"/>
      <c r="N113" s="10"/>
      <c r="O113" s="10"/>
      <c r="P113" s="10"/>
      <c r="Q113" s="10"/>
      <c r="R113" s="10"/>
      <c r="S113" s="10"/>
      <c r="T113" s="10"/>
      <c r="U113" s="10"/>
      <c r="V113" s="10"/>
      <c r="W113" s="10"/>
      <c r="X113" s="10"/>
      <c r="Y113" s="10"/>
      <c r="Z113" s="10"/>
      <c r="AA113" s="10"/>
    </row>
    <row r="114" spans="1:27" ht="13.9" customHeight="1" thickBo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c r="AA114" s="10"/>
    </row>
    <row r="115" spans="1:27" ht="29.45" customHeight="1" thickBot="1">
      <c r="A115" s="10"/>
      <c r="B115" s="10"/>
      <c r="C115" s="136" t="s">
        <v>501</v>
      </c>
      <c r="D115" s="137" t="s">
        <v>30</v>
      </c>
      <c r="E115" s="138" t="s">
        <v>502</v>
      </c>
      <c r="F115" s="139" t="s">
        <v>503</v>
      </c>
      <c r="G115" s="140"/>
      <c r="H115" s="73"/>
      <c r="I115" s="10"/>
      <c r="J115" s="10"/>
      <c r="K115" s="10"/>
      <c r="L115" s="10"/>
      <c r="M115" s="10"/>
      <c r="N115" s="10"/>
      <c r="O115" s="10"/>
      <c r="P115" s="10"/>
      <c r="Q115" s="10"/>
      <c r="R115" s="10"/>
      <c r="S115" s="10"/>
      <c r="T115" s="10"/>
      <c r="U115" s="10"/>
      <c r="V115" s="10"/>
      <c r="W115" s="10"/>
      <c r="X115" s="10"/>
      <c r="Y115" s="10"/>
      <c r="Z115" s="10"/>
      <c r="AA115" s="10"/>
    </row>
    <row r="116" spans="1:27">
      <c r="A116" s="10"/>
      <c r="B116" s="10"/>
      <c r="C116" s="141" t="s">
        <v>504</v>
      </c>
      <c r="D116" s="142" t="s">
        <v>505</v>
      </c>
      <c r="E116" s="143">
        <v>0.1696</v>
      </c>
      <c r="F116" s="144">
        <v>1.9699999999999999E-2</v>
      </c>
      <c r="G116" s="145"/>
      <c r="H116" s="145"/>
      <c r="I116" s="10"/>
      <c r="J116" s="10"/>
      <c r="K116" s="10"/>
      <c r="L116" s="10"/>
      <c r="M116" s="10"/>
      <c r="N116" s="10"/>
      <c r="O116" s="10"/>
      <c r="P116" s="10"/>
      <c r="Q116" s="10"/>
      <c r="R116" s="10"/>
      <c r="S116" s="10"/>
      <c r="T116" s="10"/>
      <c r="U116" s="10"/>
      <c r="V116" s="10"/>
      <c r="W116" s="10"/>
      <c r="X116" s="10"/>
      <c r="Y116" s="10"/>
      <c r="Z116" s="10"/>
      <c r="AA116" s="10"/>
    </row>
    <row r="117" spans="1:27">
      <c r="A117" s="10"/>
      <c r="B117" s="10"/>
      <c r="C117" s="146"/>
      <c r="D117" s="147" t="s">
        <v>506</v>
      </c>
      <c r="E117" s="148">
        <v>0.14230000000000001</v>
      </c>
      <c r="F117" s="149">
        <v>4.4299999999999999E-2</v>
      </c>
      <c r="G117" s="145"/>
      <c r="H117" s="145"/>
      <c r="I117" s="10"/>
      <c r="J117" s="10"/>
      <c r="K117" s="10"/>
      <c r="L117" s="10"/>
      <c r="M117" s="10"/>
      <c r="N117" s="10"/>
      <c r="O117" s="10"/>
      <c r="P117" s="10"/>
      <c r="Q117" s="10"/>
      <c r="R117" s="10"/>
      <c r="S117" s="10"/>
      <c r="T117" s="10"/>
      <c r="U117" s="10"/>
      <c r="V117" s="10"/>
      <c r="W117" s="10"/>
      <c r="X117" s="10"/>
      <c r="Y117" s="10"/>
      <c r="Z117" s="10"/>
      <c r="AA117" s="10"/>
    </row>
    <row r="118" spans="1:27">
      <c r="A118" s="10"/>
      <c r="B118" s="10"/>
      <c r="C118" s="146"/>
      <c r="D118" s="147" t="s">
        <v>507</v>
      </c>
      <c r="E118" s="148">
        <v>0.1406</v>
      </c>
      <c r="F118" s="149">
        <v>4.58E-2</v>
      </c>
      <c r="G118" s="145"/>
      <c r="H118" s="145"/>
      <c r="I118" s="10"/>
      <c r="J118" s="10"/>
      <c r="K118" s="10"/>
      <c r="L118" s="10"/>
      <c r="M118" s="10"/>
      <c r="N118" s="10"/>
      <c r="O118" s="10"/>
      <c r="P118" s="10"/>
      <c r="Q118" s="10"/>
      <c r="R118" s="10"/>
      <c r="S118" s="10"/>
      <c r="T118" s="10"/>
      <c r="U118" s="10"/>
      <c r="V118" s="10"/>
      <c r="W118" s="10"/>
      <c r="X118" s="10"/>
      <c r="Y118" s="10"/>
      <c r="Z118" s="10"/>
      <c r="AA118" s="10"/>
    </row>
    <row r="119" spans="1:27">
      <c r="A119" s="10"/>
      <c r="B119" s="10"/>
      <c r="C119" s="146"/>
      <c r="D119" s="147" t="s">
        <v>508</v>
      </c>
      <c r="E119" s="148">
        <v>0.1389</v>
      </c>
      <c r="F119" s="149">
        <v>4.7300000000000002E-2</v>
      </c>
      <c r="G119" s="145"/>
      <c r="H119" s="145"/>
      <c r="I119" s="10"/>
      <c r="J119" s="10"/>
      <c r="K119" s="10"/>
      <c r="L119" s="10"/>
      <c r="M119" s="10"/>
      <c r="N119" s="10"/>
      <c r="O119" s="10"/>
      <c r="P119" s="10"/>
      <c r="Q119" s="10"/>
      <c r="R119" s="10"/>
      <c r="S119" s="10"/>
      <c r="T119" s="10"/>
      <c r="U119" s="10"/>
      <c r="V119" s="10"/>
      <c r="W119" s="10"/>
      <c r="X119" s="10"/>
      <c r="Y119" s="10"/>
      <c r="Z119" s="10"/>
      <c r="AA119" s="10"/>
    </row>
    <row r="120" spans="1:27">
      <c r="A120" s="10"/>
      <c r="B120" s="10"/>
      <c r="C120" s="146"/>
      <c r="D120" s="147" t="s">
        <v>509</v>
      </c>
      <c r="E120" s="148">
        <v>0.1326</v>
      </c>
      <c r="F120" s="149">
        <v>4.99E-2</v>
      </c>
      <c r="G120" s="145"/>
      <c r="H120" s="145"/>
      <c r="I120" s="10"/>
      <c r="J120" s="10"/>
      <c r="K120" s="10"/>
      <c r="L120" s="10"/>
      <c r="M120" s="10"/>
      <c r="N120" s="10"/>
      <c r="O120" s="10"/>
      <c r="P120" s="10"/>
      <c r="Q120" s="10"/>
      <c r="R120" s="10"/>
      <c r="S120" s="10"/>
      <c r="T120" s="10"/>
      <c r="U120" s="10"/>
      <c r="V120" s="10"/>
      <c r="W120" s="10"/>
      <c r="X120" s="10"/>
      <c r="Y120" s="10"/>
      <c r="Z120" s="10"/>
      <c r="AA120" s="10"/>
    </row>
    <row r="121" spans="1:27">
      <c r="A121" s="10"/>
      <c r="B121" s="10"/>
      <c r="C121" s="146"/>
      <c r="D121" s="147" t="s">
        <v>510</v>
      </c>
      <c r="E121" s="148">
        <v>8.0199999999999994E-2</v>
      </c>
      <c r="F121" s="149">
        <v>6.2600000000000003E-2</v>
      </c>
      <c r="G121" s="145"/>
      <c r="H121" s="145"/>
      <c r="I121" s="10"/>
      <c r="J121" s="10"/>
      <c r="K121" s="10"/>
      <c r="L121" s="10"/>
      <c r="M121" s="10"/>
      <c r="N121" s="10"/>
      <c r="O121" s="10"/>
      <c r="P121" s="10"/>
      <c r="Q121" s="10"/>
      <c r="R121" s="10"/>
      <c r="S121" s="10"/>
      <c r="T121" s="10"/>
      <c r="U121" s="10"/>
      <c r="V121" s="10"/>
      <c r="W121" s="10"/>
      <c r="X121" s="10"/>
      <c r="Y121" s="10"/>
      <c r="Z121" s="10"/>
      <c r="AA121" s="10"/>
    </row>
    <row r="122" spans="1:27">
      <c r="A122" s="10"/>
      <c r="B122" s="10"/>
      <c r="C122" s="146"/>
      <c r="D122" s="147" t="s">
        <v>511</v>
      </c>
      <c r="E122" s="148">
        <v>7.9500000000000001E-2</v>
      </c>
      <c r="F122" s="149">
        <v>6.2700000000000006E-2</v>
      </c>
      <c r="G122" s="145"/>
      <c r="H122" s="145"/>
      <c r="I122" s="10"/>
      <c r="J122" s="10"/>
      <c r="K122" s="10"/>
      <c r="L122" s="10"/>
      <c r="M122" s="10"/>
      <c r="N122" s="10"/>
      <c r="O122" s="10"/>
      <c r="P122" s="10"/>
      <c r="Q122" s="10"/>
      <c r="R122" s="10"/>
      <c r="S122" s="10"/>
      <c r="T122" s="10"/>
      <c r="U122" s="10"/>
      <c r="V122" s="10"/>
      <c r="W122" s="10"/>
      <c r="X122" s="10"/>
      <c r="Y122" s="10"/>
      <c r="Z122" s="10"/>
      <c r="AA122" s="10"/>
    </row>
    <row r="123" spans="1:27">
      <c r="A123" s="10"/>
      <c r="B123" s="10"/>
      <c r="C123" s="146"/>
      <c r="D123" s="147" t="s">
        <v>512</v>
      </c>
      <c r="E123" s="148">
        <v>7.8200000000000006E-2</v>
      </c>
      <c r="F123" s="149">
        <v>6.3E-2</v>
      </c>
      <c r="G123" s="145"/>
      <c r="H123" s="145"/>
      <c r="I123" s="10"/>
      <c r="J123" s="10"/>
      <c r="K123" s="10"/>
      <c r="L123" s="10"/>
      <c r="M123" s="10"/>
      <c r="N123" s="10"/>
      <c r="O123" s="10"/>
      <c r="P123" s="10"/>
      <c r="Q123" s="10"/>
      <c r="R123" s="10"/>
      <c r="S123" s="10"/>
      <c r="T123" s="10"/>
      <c r="U123" s="10"/>
      <c r="V123" s="10"/>
      <c r="W123" s="10"/>
      <c r="X123" s="10"/>
      <c r="Y123" s="10"/>
      <c r="Z123" s="10"/>
      <c r="AA123" s="10"/>
    </row>
    <row r="124" spans="1:27">
      <c r="A124" s="10"/>
      <c r="B124" s="10"/>
      <c r="C124" s="146"/>
      <c r="D124" s="147" t="s">
        <v>513</v>
      </c>
      <c r="E124" s="148">
        <v>7.0400000000000004E-2</v>
      </c>
      <c r="F124" s="149">
        <v>6.4699999999999994E-2</v>
      </c>
      <c r="G124" s="145"/>
      <c r="H124" s="145"/>
      <c r="I124" s="10"/>
      <c r="J124" s="10"/>
      <c r="K124" s="10"/>
      <c r="L124" s="10"/>
      <c r="M124" s="10"/>
      <c r="N124" s="10"/>
      <c r="O124" s="10"/>
      <c r="P124" s="10"/>
      <c r="Q124" s="10"/>
      <c r="R124" s="10"/>
      <c r="S124" s="10"/>
      <c r="T124" s="10"/>
      <c r="U124" s="10"/>
      <c r="V124" s="10"/>
      <c r="W124" s="10"/>
      <c r="X124" s="10"/>
      <c r="Y124" s="10"/>
      <c r="Z124" s="10"/>
      <c r="AA124" s="10"/>
    </row>
    <row r="125" spans="1:27">
      <c r="A125" s="10"/>
      <c r="B125" s="10"/>
      <c r="C125" s="146"/>
      <c r="D125" s="150" t="s">
        <v>514</v>
      </c>
      <c r="E125" s="151">
        <v>6.1699999999999998E-2</v>
      </c>
      <c r="F125" s="152">
        <v>6.0299999999999999E-2</v>
      </c>
      <c r="G125" s="145"/>
      <c r="H125" s="145"/>
      <c r="I125" s="10"/>
      <c r="J125" s="10"/>
      <c r="K125" s="10"/>
      <c r="L125" s="10"/>
      <c r="M125" s="10"/>
      <c r="N125" s="10"/>
      <c r="O125" s="10"/>
      <c r="P125" s="10"/>
      <c r="Q125" s="10"/>
      <c r="R125" s="10"/>
      <c r="S125" s="10"/>
      <c r="T125" s="10"/>
      <c r="U125" s="10"/>
      <c r="V125" s="10"/>
      <c r="W125" s="10"/>
      <c r="X125" s="10"/>
      <c r="Y125" s="10"/>
      <c r="Z125" s="10"/>
      <c r="AA125" s="10"/>
    </row>
    <row r="126" spans="1:27">
      <c r="A126" s="10"/>
      <c r="B126" s="10"/>
      <c r="C126" s="146"/>
      <c r="D126" s="150" t="s">
        <v>515</v>
      </c>
      <c r="E126" s="151">
        <v>5.3100000000000001E-2</v>
      </c>
      <c r="F126" s="152">
        <v>5.6000000000000001E-2</v>
      </c>
      <c r="G126" s="145"/>
      <c r="H126" s="145"/>
      <c r="I126" s="10"/>
      <c r="J126" s="10"/>
      <c r="K126" s="10"/>
      <c r="L126" s="10"/>
      <c r="M126" s="10"/>
      <c r="N126" s="10"/>
      <c r="O126" s="10"/>
      <c r="P126" s="10"/>
      <c r="Q126" s="10"/>
      <c r="R126" s="10"/>
      <c r="S126" s="10"/>
      <c r="T126" s="10"/>
      <c r="U126" s="10"/>
      <c r="V126" s="10"/>
      <c r="W126" s="10"/>
      <c r="X126" s="10"/>
      <c r="Y126" s="10"/>
      <c r="Z126" s="10"/>
      <c r="AA126" s="10"/>
    </row>
    <row r="127" spans="1:27">
      <c r="A127" s="10"/>
      <c r="B127" s="10"/>
      <c r="C127" s="146"/>
      <c r="D127" s="150" t="s">
        <v>516</v>
      </c>
      <c r="E127" s="151">
        <v>4.3400000000000001E-2</v>
      </c>
      <c r="F127" s="152">
        <v>5.0299999999999997E-2</v>
      </c>
      <c r="G127" s="145"/>
      <c r="H127" s="145"/>
      <c r="I127" s="10"/>
      <c r="J127" s="10"/>
      <c r="K127" s="10"/>
      <c r="L127" s="10"/>
      <c r="M127" s="10"/>
      <c r="N127" s="10"/>
      <c r="O127" s="10"/>
      <c r="P127" s="10"/>
      <c r="Q127" s="10"/>
      <c r="R127" s="10"/>
      <c r="S127" s="10"/>
      <c r="T127" s="10"/>
      <c r="U127" s="10"/>
      <c r="V127" s="10"/>
      <c r="W127" s="10"/>
      <c r="X127" s="10"/>
      <c r="Y127" s="10"/>
      <c r="Z127" s="10"/>
      <c r="AA127" s="10"/>
    </row>
    <row r="128" spans="1:27">
      <c r="A128" s="10"/>
      <c r="B128" s="10"/>
      <c r="C128" s="146"/>
      <c r="D128" s="150" t="s">
        <v>517</v>
      </c>
      <c r="E128" s="151">
        <v>3.3700000000000001E-2</v>
      </c>
      <c r="F128" s="152">
        <v>4.4600000000000001E-2</v>
      </c>
      <c r="G128" s="145"/>
      <c r="H128" s="145"/>
      <c r="I128" s="10"/>
      <c r="J128" s="10"/>
      <c r="K128" s="10"/>
      <c r="L128" s="10"/>
      <c r="M128" s="10"/>
      <c r="N128" s="10"/>
      <c r="O128" s="10"/>
      <c r="P128" s="10"/>
      <c r="Q128" s="10"/>
      <c r="R128" s="10"/>
      <c r="S128" s="10"/>
      <c r="T128" s="10"/>
      <c r="U128" s="10"/>
      <c r="V128" s="10"/>
      <c r="W128" s="10"/>
      <c r="X128" s="10"/>
      <c r="Y128" s="10"/>
      <c r="Z128" s="10"/>
      <c r="AA128" s="10"/>
    </row>
    <row r="129" spans="1:27">
      <c r="A129" s="10"/>
      <c r="B129" s="10"/>
      <c r="C129" s="146"/>
      <c r="D129" s="150" t="s">
        <v>518</v>
      </c>
      <c r="E129" s="151">
        <v>2.4E-2</v>
      </c>
      <c r="F129" s="152">
        <v>3.8899999999999997E-2</v>
      </c>
      <c r="G129" s="145"/>
      <c r="H129" s="145"/>
      <c r="I129" s="10"/>
      <c r="J129" s="10"/>
      <c r="K129" s="10"/>
      <c r="L129" s="10"/>
      <c r="M129" s="10"/>
      <c r="N129" s="10"/>
      <c r="O129" s="10"/>
      <c r="P129" s="10"/>
      <c r="Q129" s="10"/>
      <c r="R129" s="10"/>
      <c r="S129" s="10"/>
      <c r="T129" s="10"/>
      <c r="U129" s="10"/>
      <c r="V129" s="10"/>
      <c r="W129" s="10"/>
      <c r="X129" s="10"/>
      <c r="Y129" s="10"/>
      <c r="Z129" s="10"/>
      <c r="AA129" s="10"/>
    </row>
    <row r="130" spans="1:27">
      <c r="A130" s="10"/>
      <c r="B130" s="10"/>
      <c r="C130" s="146"/>
      <c r="D130" s="150" t="s">
        <v>519</v>
      </c>
      <c r="E130" s="151">
        <v>2.1499999999999998E-2</v>
      </c>
      <c r="F130" s="152">
        <v>3.5499999999999997E-2</v>
      </c>
      <c r="G130" s="145"/>
      <c r="H130" s="145"/>
      <c r="I130" s="10"/>
      <c r="J130" s="10"/>
      <c r="K130" s="10"/>
      <c r="L130" s="10"/>
      <c r="M130" s="10"/>
      <c r="N130" s="10"/>
      <c r="O130" s="10"/>
      <c r="P130" s="10"/>
      <c r="Q130" s="10"/>
      <c r="R130" s="10"/>
      <c r="S130" s="10"/>
      <c r="T130" s="10"/>
      <c r="U130" s="10"/>
      <c r="V130" s="10"/>
      <c r="W130" s="10"/>
      <c r="X130" s="10"/>
      <c r="Y130" s="10"/>
      <c r="Z130" s="10"/>
      <c r="AA130" s="10"/>
    </row>
    <row r="131" spans="1:27">
      <c r="A131" s="10"/>
      <c r="B131" s="10"/>
      <c r="C131" s="146"/>
      <c r="D131" s="150" t="s">
        <v>520</v>
      </c>
      <c r="E131" s="151">
        <v>1.7500000000000002E-2</v>
      </c>
      <c r="F131" s="152">
        <v>3.04E-2</v>
      </c>
      <c r="G131" s="145"/>
      <c r="H131" s="145"/>
      <c r="I131" s="10"/>
      <c r="J131" s="10"/>
      <c r="K131" s="10"/>
      <c r="L131" s="10"/>
      <c r="M131" s="10"/>
      <c r="N131" s="10"/>
      <c r="O131" s="10"/>
      <c r="P131" s="10"/>
      <c r="Q131" s="10"/>
      <c r="R131" s="10"/>
      <c r="S131" s="10"/>
      <c r="T131" s="10"/>
      <c r="U131" s="10"/>
      <c r="V131" s="10"/>
      <c r="W131" s="10"/>
      <c r="X131" s="10"/>
      <c r="Y131" s="10"/>
      <c r="Z131" s="10"/>
      <c r="AA131" s="10"/>
    </row>
    <row r="132" spans="1:27">
      <c r="A132" s="10"/>
      <c r="B132" s="10"/>
      <c r="C132" s="146"/>
      <c r="D132" s="150" t="s">
        <v>521</v>
      </c>
      <c r="E132" s="151">
        <v>1.0500000000000001E-2</v>
      </c>
      <c r="F132" s="152">
        <v>2.12E-2</v>
      </c>
      <c r="G132" s="145"/>
      <c r="H132" s="145"/>
      <c r="I132" s="10"/>
      <c r="J132" s="10"/>
      <c r="K132" s="10"/>
      <c r="L132" s="10"/>
      <c r="M132" s="10"/>
      <c r="N132" s="10"/>
      <c r="O132" s="10"/>
      <c r="P132" s="10"/>
      <c r="Q132" s="10"/>
      <c r="R132" s="10"/>
      <c r="S132" s="10"/>
      <c r="T132" s="10"/>
      <c r="U132" s="10"/>
      <c r="V132" s="10"/>
      <c r="W132" s="10"/>
      <c r="X132" s="10"/>
      <c r="Y132" s="10"/>
      <c r="Z132" s="10"/>
      <c r="AA132" s="10"/>
    </row>
    <row r="133" spans="1:27">
      <c r="A133" s="10"/>
      <c r="B133" s="10"/>
      <c r="C133" s="146"/>
      <c r="D133" s="150" t="s">
        <v>522</v>
      </c>
      <c r="E133" s="151">
        <v>1.0200000000000001E-2</v>
      </c>
      <c r="F133" s="152">
        <v>2.07E-2</v>
      </c>
      <c r="G133" s="145"/>
      <c r="H133" s="145"/>
      <c r="I133" s="10"/>
      <c r="J133" s="10"/>
      <c r="K133" s="10"/>
      <c r="L133" s="10"/>
      <c r="M133" s="10"/>
      <c r="N133" s="10"/>
      <c r="O133" s="10"/>
      <c r="P133" s="10"/>
      <c r="Q133" s="10"/>
      <c r="R133" s="10"/>
      <c r="S133" s="10"/>
      <c r="T133" s="10"/>
      <c r="U133" s="10"/>
      <c r="V133" s="10"/>
      <c r="W133" s="10"/>
      <c r="X133" s="10"/>
      <c r="Y133" s="10"/>
      <c r="Z133" s="10"/>
      <c r="AA133" s="10"/>
    </row>
    <row r="134" spans="1:27">
      <c r="A134" s="10"/>
      <c r="B134" s="10"/>
      <c r="C134" s="146"/>
      <c r="D134" s="150" t="s">
        <v>523</v>
      </c>
      <c r="E134" s="151">
        <v>9.4999999999999998E-3</v>
      </c>
      <c r="F134" s="152">
        <v>1.8100000000000002E-2</v>
      </c>
      <c r="G134" s="145"/>
      <c r="H134" s="145"/>
      <c r="I134" s="10"/>
      <c r="J134" s="10"/>
      <c r="K134" s="10"/>
      <c r="L134" s="10"/>
      <c r="M134" s="10"/>
      <c r="N134" s="10"/>
      <c r="O134" s="10"/>
      <c r="P134" s="10"/>
      <c r="Q134" s="10"/>
      <c r="R134" s="10"/>
      <c r="S134" s="10"/>
      <c r="T134" s="10"/>
      <c r="U134" s="10"/>
      <c r="V134" s="10"/>
      <c r="W134" s="10"/>
      <c r="X134" s="10"/>
      <c r="Y134" s="10"/>
      <c r="Z134" s="10"/>
      <c r="AA134" s="10"/>
    </row>
    <row r="135" spans="1:27">
      <c r="A135" s="10"/>
      <c r="B135" s="10"/>
      <c r="C135" s="146"/>
      <c r="D135" s="150" t="s">
        <v>524</v>
      </c>
      <c r="E135" s="151">
        <v>7.7999999999999996E-3</v>
      </c>
      <c r="F135" s="152">
        <v>8.5000000000000006E-3</v>
      </c>
      <c r="G135" s="145"/>
      <c r="H135" s="145"/>
      <c r="I135" s="10"/>
      <c r="J135" s="10"/>
      <c r="K135" s="10"/>
      <c r="L135" s="10"/>
      <c r="M135" s="10"/>
      <c r="N135" s="10"/>
      <c r="O135" s="10"/>
      <c r="P135" s="10"/>
      <c r="Q135" s="10"/>
      <c r="R135" s="10"/>
      <c r="S135" s="10"/>
      <c r="T135" s="10"/>
      <c r="U135" s="10"/>
      <c r="V135" s="10"/>
      <c r="W135" s="10"/>
      <c r="X135" s="10"/>
      <c r="Y135" s="10"/>
      <c r="Z135" s="10"/>
      <c r="AA135" s="10"/>
    </row>
    <row r="136" spans="1:27">
      <c r="A136" s="10"/>
      <c r="B136" s="10"/>
      <c r="C136" s="146"/>
      <c r="D136" s="150" t="s">
        <v>525</v>
      </c>
      <c r="E136" s="151">
        <v>7.4999999999999997E-3</v>
      </c>
      <c r="F136" s="152">
        <v>6.7000000000000002E-3</v>
      </c>
      <c r="G136" s="145"/>
      <c r="H136" s="145"/>
      <c r="I136" s="10"/>
      <c r="J136" s="10"/>
      <c r="K136" s="10"/>
      <c r="L136" s="10"/>
      <c r="M136" s="10"/>
      <c r="N136" s="10"/>
      <c r="O136" s="10"/>
      <c r="P136" s="10"/>
      <c r="Q136" s="10"/>
      <c r="R136" s="10"/>
      <c r="S136" s="10"/>
      <c r="T136" s="10"/>
      <c r="U136" s="10"/>
      <c r="V136" s="10"/>
      <c r="W136" s="10"/>
      <c r="X136" s="10"/>
      <c r="Y136" s="10"/>
      <c r="Z136" s="10"/>
      <c r="AA136" s="10"/>
    </row>
    <row r="137" spans="1:27">
      <c r="A137" s="10"/>
      <c r="B137" s="10"/>
      <c r="C137" s="146"/>
      <c r="D137" s="150" t="s">
        <v>526</v>
      </c>
      <c r="E137" s="151">
        <v>7.6E-3</v>
      </c>
      <c r="F137" s="152">
        <v>7.4999999999999997E-3</v>
      </c>
      <c r="G137" s="145"/>
      <c r="H137" s="145"/>
      <c r="I137" s="10"/>
      <c r="J137" s="10"/>
      <c r="K137" s="10"/>
      <c r="L137" s="10"/>
      <c r="M137" s="10"/>
      <c r="N137" s="10"/>
      <c r="O137" s="10"/>
      <c r="P137" s="10"/>
      <c r="Q137" s="10"/>
      <c r="R137" s="10"/>
      <c r="S137" s="10"/>
      <c r="T137" s="10"/>
      <c r="U137" s="10"/>
      <c r="V137" s="10"/>
      <c r="W137" s="10"/>
      <c r="X137" s="10"/>
      <c r="Y137" s="10"/>
      <c r="Z137" s="10"/>
      <c r="AA137" s="10"/>
    </row>
    <row r="138" spans="1:27">
      <c r="A138" s="10"/>
      <c r="B138" s="10"/>
      <c r="C138" s="146"/>
      <c r="D138" s="150" t="s">
        <v>527</v>
      </c>
      <c r="E138" s="151">
        <v>7.1999999999999998E-3</v>
      </c>
      <c r="F138" s="152">
        <v>5.1999999999999998E-3</v>
      </c>
      <c r="G138" s="145"/>
      <c r="H138" s="145"/>
      <c r="I138" s="10"/>
      <c r="J138" s="10"/>
      <c r="K138" s="10"/>
      <c r="L138" s="10"/>
      <c r="M138" s="10"/>
      <c r="N138" s="10"/>
      <c r="O138" s="10"/>
      <c r="P138" s="10"/>
      <c r="Q138" s="10"/>
      <c r="R138" s="10"/>
      <c r="S138" s="10"/>
      <c r="T138" s="10"/>
      <c r="U138" s="10"/>
      <c r="V138" s="10"/>
      <c r="W138" s="10"/>
      <c r="X138" s="10"/>
      <c r="Y138" s="10"/>
      <c r="Z138" s="10"/>
      <c r="AA138" s="10"/>
    </row>
    <row r="139" spans="1:27">
      <c r="A139" s="10"/>
      <c r="B139" s="10"/>
      <c r="C139" s="146"/>
      <c r="D139" s="150" t="s">
        <v>528</v>
      </c>
      <c r="E139" s="151">
        <v>7.1999999999999998E-3</v>
      </c>
      <c r="F139" s="152">
        <v>4.8999999999999998E-3</v>
      </c>
      <c r="G139" s="145"/>
      <c r="H139" s="145"/>
      <c r="I139" s="10"/>
      <c r="J139" s="10"/>
      <c r="K139" s="10"/>
      <c r="L139" s="10"/>
      <c r="M139" s="10"/>
      <c r="N139" s="10"/>
      <c r="O139" s="10"/>
      <c r="P139" s="10"/>
      <c r="Q139" s="10"/>
      <c r="R139" s="10"/>
      <c r="S139" s="10"/>
      <c r="T139" s="10"/>
      <c r="U139" s="10"/>
      <c r="V139" s="10"/>
      <c r="W139" s="10"/>
      <c r="X139" s="10"/>
      <c r="Y139" s="10"/>
      <c r="Z139" s="10"/>
      <c r="AA139" s="10"/>
    </row>
    <row r="140" spans="1:27">
      <c r="A140" s="10"/>
      <c r="B140" s="10"/>
      <c r="C140" s="146"/>
      <c r="D140" s="150" t="s">
        <v>529</v>
      </c>
      <c r="E140" s="153">
        <v>7.1000000000000004E-3</v>
      </c>
      <c r="F140" s="154">
        <v>4.5999999999999999E-3</v>
      </c>
      <c r="G140" s="145"/>
      <c r="H140" s="145"/>
      <c r="I140" s="10"/>
      <c r="J140" s="10"/>
      <c r="K140" s="10"/>
      <c r="L140" s="10"/>
      <c r="M140" s="10"/>
      <c r="N140" s="10"/>
      <c r="O140" s="10"/>
      <c r="P140" s="10"/>
      <c r="Q140" s="10"/>
      <c r="R140" s="10"/>
      <c r="S140" s="10"/>
      <c r="T140" s="10"/>
      <c r="U140" s="10"/>
      <c r="V140" s="10"/>
      <c r="W140" s="10"/>
      <c r="X140" s="10"/>
      <c r="Y140" s="10"/>
      <c r="Z140" s="10"/>
      <c r="AA140" s="10"/>
    </row>
    <row r="141" spans="1:27">
      <c r="A141" s="10"/>
      <c r="B141" s="10"/>
      <c r="C141" s="146"/>
      <c r="D141" s="150" t="s">
        <v>530</v>
      </c>
      <c r="E141" s="153">
        <v>7.1000000000000004E-3</v>
      </c>
      <c r="F141" s="154">
        <v>4.5999999999999999E-3</v>
      </c>
      <c r="G141" s="145"/>
      <c r="H141" s="145"/>
      <c r="I141" s="10"/>
      <c r="J141" s="10"/>
      <c r="K141" s="10"/>
      <c r="L141" s="10"/>
      <c r="M141" s="10"/>
      <c r="N141" s="10"/>
      <c r="O141" s="10"/>
      <c r="P141" s="10"/>
      <c r="Q141" s="10"/>
      <c r="R141" s="10"/>
      <c r="S141" s="10"/>
      <c r="T141" s="10"/>
      <c r="U141" s="10"/>
      <c r="V141" s="10"/>
      <c r="W141" s="10"/>
      <c r="X141" s="10"/>
      <c r="Y141" s="10"/>
      <c r="Z141" s="10"/>
      <c r="AA141" s="10"/>
    </row>
    <row r="142" spans="1:27">
      <c r="A142" s="10"/>
      <c r="B142" s="10"/>
      <c r="C142" s="146"/>
      <c r="D142" s="150" t="s">
        <v>531</v>
      </c>
      <c r="E142" s="153">
        <v>7.1000000000000004E-3</v>
      </c>
      <c r="F142" s="154">
        <v>4.5999999999999999E-3</v>
      </c>
      <c r="G142" s="145"/>
      <c r="H142" s="145"/>
      <c r="I142" s="10"/>
      <c r="J142" s="10"/>
      <c r="K142" s="10"/>
      <c r="L142" s="10"/>
      <c r="M142" s="10"/>
      <c r="N142" s="10"/>
      <c r="O142" s="10"/>
      <c r="P142" s="10"/>
      <c r="Q142" s="10"/>
      <c r="R142" s="10"/>
      <c r="S142" s="10"/>
      <c r="T142" s="10"/>
      <c r="U142" s="10"/>
      <c r="V142" s="10"/>
      <c r="W142" s="10"/>
      <c r="X142" s="10"/>
      <c r="Y142" s="10"/>
      <c r="Z142" s="10"/>
      <c r="AA142" s="10"/>
    </row>
    <row r="143" spans="1:27">
      <c r="A143" s="10"/>
      <c r="B143" s="10"/>
      <c r="C143" s="146"/>
      <c r="D143" s="150" t="s">
        <v>532</v>
      </c>
      <c r="E143" s="153">
        <v>7.1000000000000004E-3</v>
      </c>
      <c r="F143" s="154">
        <v>4.5999999999999999E-3</v>
      </c>
      <c r="G143" s="145"/>
      <c r="H143" s="145"/>
      <c r="I143" s="10"/>
      <c r="J143" s="10"/>
      <c r="K143" s="10"/>
      <c r="L143" s="10"/>
      <c r="M143" s="10"/>
      <c r="N143" s="10"/>
      <c r="O143" s="10"/>
      <c r="P143" s="10"/>
      <c r="Q143" s="10"/>
      <c r="R143" s="10"/>
      <c r="S143" s="10"/>
      <c r="T143" s="10"/>
      <c r="U143" s="10"/>
      <c r="V143" s="10"/>
      <c r="W143" s="10"/>
      <c r="X143" s="10"/>
      <c r="Y143" s="10"/>
      <c r="Z143" s="10"/>
      <c r="AA143" s="10"/>
    </row>
    <row r="144" spans="1:27">
      <c r="A144" s="10"/>
      <c r="B144" s="10"/>
      <c r="C144" s="146"/>
      <c r="D144" s="150" t="s">
        <v>533</v>
      </c>
      <c r="E144" s="153">
        <v>7.1000000000000004E-3</v>
      </c>
      <c r="F144" s="154">
        <v>4.5999999999999999E-3</v>
      </c>
      <c r="G144" s="145"/>
      <c r="H144" s="145"/>
      <c r="I144" s="10"/>
      <c r="J144" s="10"/>
      <c r="K144" s="10"/>
      <c r="L144" s="10"/>
      <c r="M144" s="10"/>
      <c r="N144" s="10"/>
      <c r="O144" s="10"/>
      <c r="P144" s="10"/>
      <c r="Q144" s="10"/>
      <c r="R144" s="10"/>
      <c r="S144" s="10"/>
      <c r="T144" s="10"/>
      <c r="U144" s="10"/>
      <c r="V144" s="10"/>
      <c r="W144" s="10"/>
      <c r="X144" s="10"/>
      <c r="Y144" s="10"/>
      <c r="Z144" s="10"/>
      <c r="AA144" s="10"/>
    </row>
    <row r="145" spans="1:27">
      <c r="A145" s="10"/>
      <c r="B145" s="10"/>
      <c r="C145" s="146"/>
      <c r="D145" s="150" t="s">
        <v>534</v>
      </c>
      <c r="E145" s="153">
        <v>7.1000000000000004E-3</v>
      </c>
      <c r="F145" s="154">
        <v>4.5999999999999999E-3</v>
      </c>
      <c r="G145" s="145"/>
      <c r="H145" s="145"/>
      <c r="I145" s="10"/>
      <c r="J145" s="10"/>
      <c r="K145" s="10"/>
      <c r="L145" s="10"/>
      <c r="M145" s="10"/>
      <c r="N145" s="10"/>
      <c r="O145" s="10"/>
      <c r="P145" s="10"/>
      <c r="Q145" s="10"/>
      <c r="R145" s="10"/>
      <c r="S145" s="10"/>
      <c r="T145" s="10"/>
      <c r="U145" s="10"/>
      <c r="V145" s="10"/>
      <c r="W145" s="10"/>
      <c r="X145" s="10"/>
      <c r="Y145" s="10"/>
      <c r="Z145" s="10"/>
      <c r="AA145" s="10"/>
    </row>
    <row r="146" spans="1:27">
      <c r="A146" s="10"/>
      <c r="B146" s="10"/>
      <c r="C146" s="146"/>
      <c r="D146" s="150" t="s">
        <v>535</v>
      </c>
      <c r="E146" s="153">
        <v>6.7999999999999996E-3</v>
      </c>
      <c r="F146" s="154">
        <v>4.1999999999999997E-3</v>
      </c>
      <c r="G146" s="145"/>
      <c r="H146" s="145"/>
      <c r="I146" s="10"/>
      <c r="J146" s="10"/>
      <c r="K146" s="10"/>
      <c r="L146" s="10"/>
      <c r="M146" s="10"/>
      <c r="N146" s="10"/>
      <c r="O146" s="10"/>
      <c r="P146" s="10"/>
      <c r="Q146" s="10"/>
      <c r="R146" s="10"/>
      <c r="S146" s="10"/>
      <c r="T146" s="10"/>
      <c r="U146" s="10"/>
      <c r="V146" s="10"/>
      <c r="W146" s="10"/>
      <c r="X146" s="10"/>
      <c r="Y146" s="10"/>
      <c r="Z146" s="10"/>
      <c r="AA146" s="10"/>
    </row>
    <row r="147" spans="1:27">
      <c r="A147" s="10"/>
      <c r="B147" s="10"/>
      <c r="C147" s="146"/>
      <c r="D147" s="150" t="s">
        <v>536</v>
      </c>
      <c r="E147" s="153">
        <v>6.4999999999999997E-3</v>
      </c>
      <c r="F147" s="154">
        <v>3.8E-3</v>
      </c>
      <c r="G147" s="145"/>
      <c r="H147" s="145"/>
      <c r="I147" s="10"/>
      <c r="J147" s="10"/>
      <c r="K147" s="10"/>
      <c r="L147" s="10"/>
      <c r="M147" s="10"/>
      <c r="N147" s="10"/>
      <c r="O147" s="10"/>
      <c r="P147" s="10"/>
      <c r="Q147" s="10"/>
      <c r="R147" s="10"/>
      <c r="S147" s="10"/>
      <c r="T147" s="10"/>
      <c r="U147" s="10"/>
      <c r="V147" s="10"/>
      <c r="W147" s="10"/>
      <c r="X147" s="10"/>
      <c r="Y147" s="10"/>
      <c r="Z147" s="10"/>
      <c r="AA147" s="10"/>
    </row>
    <row r="148" spans="1:27">
      <c r="A148" s="10"/>
      <c r="B148" s="10"/>
      <c r="C148" s="146"/>
      <c r="D148" s="150" t="s">
        <v>537</v>
      </c>
      <c r="E148" s="153">
        <v>5.4000000000000003E-3</v>
      </c>
      <c r="F148" s="154">
        <v>1.8E-3</v>
      </c>
      <c r="G148" s="145"/>
      <c r="H148" s="145"/>
      <c r="I148" s="10"/>
      <c r="J148" s="10"/>
      <c r="K148" s="10"/>
      <c r="L148" s="10"/>
      <c r="M148" s="10"/>
      <c r="N148" s="10"/>
      <c r="O148" s="10"/>
      <c r="P148" s="10"/>
      <c r="Q148" s="10"/>
      <c r="R148" s="10"/>
      <c r="S148" s="10"/>
      <c r="T148" s="10"/>
      <c r="U148" s="10"/>
      <c r="V148" s="10"/>
      <c r="W148" s="10"/>
      <c r="X148" s="10"/>
      <c r="Y148" s="10"/>
      <c r="Z148" s="10"/>
      <c r="AA148" s="10"/>
    </row>
    <row r="149" spans="1:27">
      <c r="A149" s="10"/>
      <c r="B149" s="10"/>
      <c r="C149" s="146"/>
      <c r="D149" s="150" t="s">
        <v>538</v>
      </c>
      <c r="E149" s="153">
        <v>5.1999999999999998E-3</v>
      </c>
      <c r="F149" s="154">
        <v>1.6000000000000001E-3</v>
      </c>
      <c r="G149" s="145"/>
      <c r="H149" s="145"/>
      <c r="I149" s="10"/>
      <c r="J149" s="10"/>
      <c r="K149" s="10"/>
      <c r="L149" s="10"/>
      <c r="M149" s="10"/>
      <c r="N149" s="10"/>
      <c r="O149" s="10"/>
      <c r="P149" s="10"/>
      <c r="Q149" s="10"/>
      <c r="R149" s="10"/>
      <c r="S149" s="10"/>
      <c r="T149" s="10"/>
      <c r="U149" s="10"/>
      <c r="V149" s="10"/>
      <c r="W149" s="10"/>
      <c r="X149" s="10"/>
      <c r="Y149" s="10"/>
      <c r="Z149" s="10"/>
      <c r="AA149" s="10"/>
    </row>
    <row r="150" spans="1:27" ht="13.9" customHeight="1" thickBot="1">
      <c r="A150" s="10"/>
      <c r="B150" s="10"/>
      <c r="C150" s="155"/>
      <c r="D150" s="156" t="s">
        <v>539</v>
      </c>
      <c r="E150" s="157">
        <v>5.1000000000000004E-3</v>
      </c>
      <c r="F150" s="158">
        <v>1.5E-3</v>
      </c>
      <c r="G150" s="145"/>
      <c r="H150" s="145"/>
      <c r="I150" s="10"/>
      <c r="J150" s="10"/>
      <c r="K150" s="10"/>
      <c r="L150" s="10"/>
      <c r="M150" s="10"/>
      <c r="N150" s="10"/>
      <c r="O150" s="10"/>
      <c r="P150" s="10"/>
      <c r="Q150" s="10"/>
      <c r="R150" s="10"/>
      <c r="S150" s="10"/>
      <c r="T150" s="10"/>
      <c r="U150" s="10"/>
      <c r="V150" s="10"/>
      <c r="W150" s="10"/>
      <c r="X150" s="10"/>
      <c r="Y150" s="10"/>
      <c r="Z150" s="10"/>
      <c r="AA150" s="10"/>
    </row>
    <row r="151" spans="1:27">
      <c r="A151" s="10"/>
      <c r="B151" s="10"/>
      <c r="C151" s="141" t="s">
        <v>540</v>
      </c>
      <c r="D151" s="142" t="s">
        <v>541</v>
      </c>
      <c r="E151" s="143">
        <v>0.1908</v>
      </c>
      <c r="F151" s="144">
        <v>2.18E-2</v>
      </c>
      <c r="G151" s="145"/>
      <c r="H151" s="145"/>
      <c r="I151" s="10"/>
      <c r="J151" s="10"/>
      <c r="K151" s="10"/>
      <c r="L151" s="10"/>
      <c r="M151" s="10"/>
      <c r="N151" s="10"/>
      <c r="O151" s="10"/>
      <c r="P151" s="10"/>
      <c r="Q151" s="10"/>
      <c r="R151" s="10"/>
      <c r="S151" s="10"/>
      <c r="T151" s="10"/>
      <c r="U151" s="10"/>
      <c r="V151" s="10"/>
      <c r="W151" s="10"/>
      <c r="X151" s="10"/>
      <c r="Y151" s="10"/>
      <c r="Z151" s="10"/>
      <c r="AA151" s="10"/>
    </row>
    <row r="152" spans="1:27">
      <c r="A152" s="10"/>
      <c r="B152" s="10"/>
      <c r="C152" s="146" t="s">
        <v>542</v>
      </c>
      <c r="D152" s="150" t="s">
        <v>506</v>
      </c>
      <c r="E152" s="151">
        <v>0.16339999999999999</v>
      </c>
      <c r="F152" s="152">
        <v>5.1299999999999998E-2</v>
      </c>
      <c r="G152" s="145"/>
      <c r="H152" s="145"/>
      <c r="I152" s="10"/>
      <c r="J152" s="10"/>
      <c r="K152" s="10"/>
      <c r="L152" s="10"/>
      <c r="M152" s="10"/>
      <c r="N152" s="10"/>
      <c r="O152" s="10"/>
      <c r="P152" s="10"/>
      <c r="Q152" s="10"/>
      <c r="R152" s="10"/>
      <c r="S152" s="10"/>
      <c r="T152" s="10"/>
      <c r="U152" s="10"/>
      <c r="V152" s="10"/>
      <c r="W152" s="10"/>
      <c r="X152" s="10"/>
      <c r="Y152" s="10"/>
      <c r="Z152" s="10"/>
      <c r="AA152" s="10"/>
    </row>
    <row r="153" spans="1:27">
      <c r="A153" s="10"/>
      <c r="B153" s="10"/>
      <c r="C153" s="146"/>
      <c r="D153" s="150" t="s">
        <v>543</v>
      </c>
      <c r="E153" s="151">
        <v>0.15939999999999999</v>
      </c>
      <c r="F153" s="152">
        <v>5.5500000000000001E-2</v>
      </c>
      <c r="G153" s="145"/>
      <c r="H153" s="145"/>
      <c r="I153" s="10"/>
      <c r="J153" s="10"/>
      <c r="K153" s="10"/>
      <c r="L153" s="10"/>
      <c r="M153" s="10"/>
      <c r="N153" s="10"/>
      <c r="O153" s="10"/>
      <c r="P153" s="10"/>
      <c r="Q153" s="10"/>
      <c r="R153" s="10"/>
      <c r="S153" s="10"/>
      <c r="T153" s="10"/>
      <c r="U153" s="10"/>
      <c r="V153" s="10"/>
      <c r="W153" s="10"/>
      <c r="X153" s="10"/>
      <c r="Y153" s="10"/>
      <c r="Z153" s="10"/>
      <c r="AA153" s="10"/>
    </row>
    <row r="154" spans="1:27">
      <c r="A154" s="10"/>
      <c r="B154" s="10"/>
      <c r="C154" s="146"/>
      <c r="D154" s="150" t="s">
        <v>544</v>
      </c>
      <c r="E154" s="151">
        <v>0.16139999999999999</v>
      </c>
      <c r="F154" s="152">
        <v>5.3400000000000003E-2</v>
      </c>
      <c r="G154" s="145"/>
      <c r="H154" s="145"/>
      <c r="I154" s="10"/>
      <c r="J154" s="10"/>
      <c r="K154" s="10"/>
      <c r="L154" s="10"/>
      <c r="M154" s="10"/>
      <c r="N154" s="10"/>
      <c r="O154" s="10"/>
      <c r="P154" s="10"/>
      <c r="Q154" s="10"/>
      <c r="R154" s="10"/>
      <c r="S154" s="10"/>
      <c r="T154" s="10"/>
      <c r="U154" s="10"/>
      <c r="V154" s="10"/>
      <c r="W154" s="10"/>
      <c r="X154" s="10"/>
      <c r="Y154" s="10"/>
      <c r="Z154" s="10"/>
      <c r="AA154" s="10"/>
    </row>
    <row r="155" spans="1:27">
      <c r="A155" s="10"/>
      <c r="B155" s="10"/>
      <c r="C155" s="146"/>
      <c r="D155" s="150" t="s">
        <v>545</v>
      </c>
      <c r="E155" s="151">
        <v>0.15939999999999999</v>
      </c>
      <c r="F155" s="152">
        <v>5.5500000000000001E-2</v>
      </c>
      <c r="G155" s="145"/>
      <c r="H155" s="145"/>
      <c r="I155" s="10"/>
      <c r="J155" s="10"/>
      <c r="K155" s="10"/>
      <c r="L155" s="10"/>
      <c r="M155" s="10"/>
      <c r="N155" s="10"/>
      <c r="O155" s="10"/>
      <c r="P155" s="10"/>
      <c r="Q155" s="10"/>
      <c r="R155" s="10"/>
      <c r="S155" s="10"/>
      <c r="T155" s="10"/>
      <c r="U155" s="10"/>
      <c r="V155" s="10"/>
      <c r="W155" s="10"/>
      <c r="X155" s="10"/>
      <c r="Y155" s="10"/>
      <c r="Z155" s="10"/>
      <c r="AA155" s="10"/>
    </row>
    <row r="156" spans="1:27">
      <c r="A156" s="10"/>
      <c r="B156" s="10"/>
      <c r="C156" s="146"/>
      <c r="D156" s="150" t="s">
        <v>510</v>
      </c>
      <c r="E156" s="151">
        <v>0.1479</v>
      </c>
      <c r="F156" s="152">
        <v>6.6000000000000003E-2</v>
      </c>
      <c r="G156" s="145"/>
      <c r="H156" s="145"/>
      <c r="I156" s="10"/>
      <c r="J156" s="10"/>
      <c r="K156" s="10"/>
      <c r="L156" s="10"/>
      <c r="M156" s="10"/>
      <c r="N156" s="10"/>
      <c r="O156" s="10"/>
      <c r="P156" s="10"/>
      <c r="Q156" s="10"/>
      <c r="R156" s="10"/>
      <c r="S156" s="10"/>
      <c r="T156" s="10"/>
      <c r="U156" s="10"/>
      <c r="V156" s="10"/>
      <c r="W156" s="10"/>
      <c r="X156" s="10"/>
      <c r="Y156" s="10"/>
      <c r="Z156" s="10"/>
      <c r="AA156" s="10"/>
    </row>
    <row r="157" spans="1:27">
      <c r="A157" s="10"/>
      <c r="B157" s="10"/>
      <c r="C157" s="146"/>
      <c r="D157" s="150" t="s">
        <v>511</v>
      </c>
      <c r="E157" s="151">
        <v>0.14419999999999999</v>
      </c>
      <c r="F157" s="152">
        <v>6.8099999999999994E-2</v>
      </c>
      <c r="G157" s="145"/>
      <c r="H157" s="145"/>
      <c r="I157" s="10"/>
      <c r="J157" s="10"/>
      <c r="K157" s="10"/>
      <c r="L157" s="10"/>
      <c r="M157" s="10"/>
      <c r="N157" s="10"/>
      <c r="O157" s="10"/>
      <c r="P157" s="10"/>
      <c r="Q157" s="10"/>
      <c r="R157" s="10"/>
      <c r="S157" s="10"/>
      <c r="T157" s="10"/>
      <c r="U157" s="10"/>
      <c r="V157" s="10"/>
      <c r="W157" s="10"/>
      <c r="X157" s="10"/>
      <c r="Y157" s="10"/>
      <c r="Z157" s="10"/>
      <c r="AA157" s="10"/>
    </row>
    <row r="158" spans="1:27">
      <c r="A158" s="10"/>
      <c r="B158" s="10"/>
      <c r="C158" s="146"/>
      <c r="D158" s="150" t="s">
        <v>512</v>
      </c>
      <c r="E158" s="151">
        <v>0.1368</v>
      </c>
      <c r="F158" s="152">
        <v>7.22E-2</v>
      </c>
      <c r="G158" s="145"/>
      <c r="H158" s="145"/>
      <c r="I158" s="10"/>
      <c r="J158" s="10"/>
      <c r="K158" s="10"/>
      <c r="L158" s="10"/>
      <c r="M158" s="10"/>
      <c r="N158" s="10"/>
      <c r="O158" s="10"/>
      <c r="P158" s="10"/>
      <c r="Q158" s="10"/>
      <c r="R158" s="10"/>
      <c r="S158" s="10"/>
      <c r="T158" s="10"/>
      <c r="U158" s="10"/>
      <c r="V158" s="10"/>
      <c r="W158" s="10"/>
      <c r="X158" s="10"/>
      <c r="Y158" s="10"/>
      <c r="Z158" s="10"/>
      <c r="AA158" s="10"/>
    </row>
    <row r="159" spans="1:27">
      <c r="A159" s="10"/>
      <c r="B159" s="10"/>
      <c r="C159" s="146"/>
      <c r="D159" s="150" t="s">
        <v>546</v>
      </c>
      <c r="E159" s="151">
        <v>0.12939999999999999</v>
      </c>
      <c r="F159" s="152">
        <v>7.6399999999999996E-2</v>
      </c>
      <c r="G159" s="145"/>
      <c r="H159" s="145"/>
      <c r="I159" s="10"/>
      <c r="J159" s="10"/>
      <c r="K159" s="10"/>
      <c r="L159" s="10"/>
      <c r="M159" s="10"/>
      <c r="N159" s="10"/>
      <c r="O159" s="10"/>
      <c r="P159" s="10"/>
      <c r="Q159" s="10"/>
      <c r="R159" s="10"/>
      <c r="S159" s="10"/>
      <c r="T159" s="10"/>
      <c r="U159" s="10"/>
      <c r="V159" s="10"/>
      <c r="W159" s="10"/>
      <c r="X159" s="10"/>
      <c r="Y159" s="10"/>
      <c r="Z159" s="10"/>
      <c r="AA159" s="10"/>
    </row>
    <row r="160" spans="1:27">
      <c r="A160" s="10"/>
      <c r="B160" s="10"/>
      <c r="C160" s="146"/>
      <c r="D160" s="150" t="s">
        <v>547</v>
      </c>
      <c r="E160" s="151">
        <v>0.122</v>
      </c>
      <c r="F160" s="152">
        <v>8.0600000000000005E-2</v>
      </c>
      <c r="G160" s="145"/>
      <c r="H160" s="145"/>
      <c r="I160" s="10"/>
      <c r="J160" s="10"/>
      <c r="K160" s="10"/>
      <c r="L160" s="10"/>
      <c r="M160" s="10"/>
      <c r="N160" s="10"/>
      <c r="O160" s="10"/>
      <c r="P160" s="10"/>
      <c r="Q160" s="10"/>
      <c r="R160" s="10"/>
      <c r="S160" s="10"/>
      <c r="T160" s="10"/>
      <c r="U160" s="10"/>
      <c r="V160" s="10"/>
      <c r="W160" s="10"/>
      <c r="X160" s="10"/>
      <c r="Y160" s="10"/>
      <c r="Z160" s="10"/>
      <c r="AA160" s="10"/>
    </row>
    <row r="161" spans="1:27">
      <c r="A161" s="10"/>
      <c r="B161" s="10"/>
      <c r="C161" s="146"/>
      <c r="D161" s="150" t="s">
        <v>548</v>
      </c>
      <c r="E161" s="151">
        <v>0.11459999999999999</v>
      </c>
      <c r="F161" s="152">
        <v>8.48E-2</v>
      </c>
      <c r="G161" s="145"/>
      <c r="H161" s="145"/>
      <c r="I161" s="10"/>
      <c r="J161" s="10"/>
      <c r="K161" s="10"/>
      <c r="L161" s="10"/>
      <c r="M161" s="10"/>
      <c r="N161" s="10"/>
      <c r="O161" s="10"/>
      <c r="P161" s="10"/>
      <c r="Q161" s="10"/>
      <c r="R161" s="10"/>
      <c r="S161" s="10"/>
      <c r="T161" s="10"/>
      <c r="U161" s="10"/>
      <c r="V161" s="10"/>
      <c r="W161" s="10"/>
      <c r="X161" s="10"/>
      <c r="Y161" s="10"/>
      <c r="Z161" s="10"/>
      <c r="AA161" s="10"/>
    </row>
    <row r="162" spans="1:27">
      <c r="A162" s="10"/>
      <c r="B162" s="10"/>
      <c r="C162" s="146"/>
      <c r="D162" s="150" t="s">
        <v>549</v>
      </c>
      <c r="E162" s="151">
        <v>8.1299999999999997E-2</v>
      </c>
      <c r="F162" s="152">
        <v>0.10349999999999999</v>
      </c>
      <c r="G162" s="145"/>
      <c r="H162" s="145"/>
      <c r="I162" s="10"/>
      <c r="J162" s="10"/>
      <c r="K162" s="10"/>
      <c r="L162" s="10"/>
      <c r="M162" s="10"/>
      <c r="N162" s="10"/>
      <c r="O162" s="10"/>
      <c r="P162" s="10"/>
      <c r="Q162" s="10"/>
      <c r="R162" s="10"/>
      <c r="S162" s="10"/>
      <c r="T162" s="10"/>
      <c r="U162" s="10"/>
      <c r="V162" s="10"/>
      <c r="W162" s="10"/>
      <c r="X162" s="10"/>
      <c r="Y162" s="10"/>
      <c r="Z162" s="10"/>
      <c r="AA162" s="10"/>
    </row>
    <row r="163" spans="1:27">
      <c r="A163" s="10"/>
      <c r="B163" s="10"/>
      <c r="C163" s="146"/>
      <c r="D163" s="150" t="s">
        <v>550</v>
      </c>
      <c r="E163" s="151">
        <v>6.4600000000000005E-2</v>
      </c>
      <c r="F163" s="152">
        <v>9.8199999999999996E-2</v>
      </c>
      <c r="G163" s="145"/>
      <c r="H163" s="145"/>
      <c r="I163" s="10"/>
      <c r="J163" s="10"/>
      <c r="K163" s="10"/>
      <c r="L163" s="10"/>
      <c r="M163" s="10"/>
      <c r="N163" s="10"/>
      <c r="O163" s="10"/>
      <c r="P163" s="10"/>
      <c r="Q163" s="10"/>
      <c r="R163" s="10"/>
      <c r="S163" s="10"/>
      <c r="T163" s="10"/>
      <c r="U163" s="10"/>
      <c r="V163" s="10"/>
      <c r="W163" s="10"/>
      <c r="X163" s="10"/>
      <c r="Y163" s="10"/>
      <c r="Z163" s="10"/>
      <c r="AA163" s="10"/>
    </row>
    <row r="164" spans="1:27">
      <c r="A164" s="10"/>
      <c r="B164" s="10"/>
      <c r="C164" s="146"/>
      <c r="D164" s="150" t="s">
        <v>551</v>
      </c>
      <c r="E164" s="151">
        <v>5.1700000000000003E-2</v>
      </c>
      <c r="F164" s="152">
        <v>9.0800000000000006E-2</v>
      </c>
      <c r="G164" s="145"/>
      <c r="H164" s="145"/>
      <c r="I164" s="10"/>
      <c r="J164" s="10"/>
      <c r="K164" s="10"/>
      <c r="L164" s="10"/>
      <c r="M164" s="10"/>
      <c r="N164" s="10"/>
      <c r="O164" s="10"/>
      <c r="P164" s="10"/>
      <c r="Q164" s="10"/>
      <c r="R164" s="10"/>
      <c r="S164" s="10"/>
      <c r="T164" s="10"/>
      <c r="U164" s="10"/>
      <c r="V164" s="10"/>
      <c r="W164" s="10"/>
      <c r="X164" s="10"/>
      <c r="Y164" s="10"/>
      <c r="Z164" s="10"/>
      <c r="AA164" s="10"/>
    </row>
    <row r="165" spans="1:27">
      <c r="A165" s="10"/>
      <c r="B165" s="10"/>
      <c r="C165" s="146"/>
      <c r="D165" s="150" t="s">
        <v>552</v>
      </c>
      <c r="E165" s="151">
        <v>4.5199999999999997E-2</v>
      </c>
      <c r="F165" s="152">
        <v>8.7099999999999997E-2</v>
      </c>
      <c r="G165" s="145"/>
      <c r="H165" s="145"/>
      <c r="I165" s="10"/>
      <c r="J165" s="10"/>
      <c r="K165" s="10"/>
      <c r="L165" s="10"/>
      <c r="M165" s="10"/>
      <c r="N165" s="10"/>
      <c r="O165" s="10"/>
      <c r="P165" s="10"/>
      <c r="Q165" s="10"/>
      <c r="R165" s="10"/>
      <c r="S165" s="10"/>
      <c r="T165" s="10"/>
      <c r="U165" s="10"/>
      <c r="V165" s="10"/>
      <c r="W165" s="10"/>
      <c r="X165" s="10"/>
      <c r="Y165" s="10"/>
      <c r="Z165" s="10"/>
      <c r="AA165" s="10"/>
    </row>
    <row r="166" spans="1:27">
      <c r="A166" s="10"/>
      <c r="B166" s="10"/>
      <c r="C166" s="146"/>
      <c r="D166" s="150" t="s">
        <v>553</v>
      </c>
      <c r="E166" s="151">
        <v>4.5199999999999997E-2</v>
      </c>
      <c r="F166" s="152">
        <v>8.7099999999999997E-2</v>
      </c>
      <c r="G166" s="145"/>
      <c r="H166" s="145"/>
      <c r="I166" s="10"/>
      <c r="J166" s="10"/>
      <c r="K166" s="10"/>
      <c r="L166" s="10"/>
      <c r="M166" s="10"/>
      <c r="N166" s="10"/>
      <c r="O166" s="10"/>
      <c r="P166" s="10"/>
      <c r="Q166" s="10"/>
      <c r="R166" s="10"/>
      <c r="S166" s="10"/>
      <c r="T166" s="10"/>
      <c r="U166" s="10"/>
      <c r="V166" s="10"/>
      <c r="W166" s="10"/>
      <c r="X166" s="10"/>
      <c r="Y166" s="10"/>
      <c r="Z166" s="10"/>
      <c r="AA166" s="10"/>
    </row>
    <row r="167" spans="1:27">
      <c r="A167" s="10"/>
      <c r="B167" s="10"/>
      <c r="C167" s="146"/>
      <c r="D167" s="150" t="s">
        <v>554</v>
      </c>
      <c r="E167" s="151">
        <v>4.1200000000000001E-2</v>
      </c>
      <c r="F167" s="152">
        <v>7.8700000000000006E-2</v>
      </c>
      <c r="G167" s="145"/>
      <c r="H167" s="145"/>
      <c r="I167" s="10"/>
      <c r="J167" s="10"/>
      <c r="K167" s="10"/>
      <c r="L167" s="10"/>
      <c r="M167" s="10"/>
      <c r="N167" s="10"/>
      <c r="O167" s="10"/>
      <c r="P167" s="10"/>
      <c r="Q167" s="10"/>
      <c r="R167" s="10"/>
      <c r="S167" s="10"/>
      <c r="T167" s="10"/>
      <c r="U167" s="10"/>
      <c r="V167" s="10"/>
      <c r="W167" s="10"/>
      <c r="X167" s="10"/>
      <c r="Y167" s="10"/>
      <c r="Z167" s="10"/>
      <c r="AA167" s="10"/>
    </row>
    <row r="168" spans="1:27">
      <c r="A168" s="10"/>
      <c r="B168" s="10"/>
      <c r="C168" s="146"/>
      <c r="D168" s="150" t="s">
        <v>555</v>
      </c>
      <c r="E168" s="151">
        <v>3.3300000000000003E-2</v>
      </c>
      <c r="F168" s="152">
        <v>6.1800000000000001E-2</v>
      </c>
      <c r="G168" s="145"/>
      <c r="H168" s="145"/>
      <c r="I168" s="10"/>
      <c r="J168" s="10"/>
      <c r="K168" s="10"/>
      <c r="L168" s="10"/>
      <c r="M168" s="10"/>
      <c r="N168" s="10"/>
      <c r="O168" s="10"/>
      <c r="P168" s="10"/>
      <c r="Q168" s="10"/>
      <c r="R168" s="10"/>
      <c r="S168" s="10"/>
      <c r="T168" s="10"/>
      <c r="U168" s="10"/>
      <c r="V168" s="10"/>
      <c r="W168" s="10"/>
      <c r="X168" s="10"/>
      <c r="Y168" s="10"/>
      <c r="Z168" s="10"/>
      <c r="AA168" s="10"/>
    </row>
    <row r="169" spans="1:27">
      <c r="A169" s="10"/>
      <c r="B169" s="10"/>
      <c r="C169" s="146"/>
      <c r="D169" s="150" t="s">
        <v>556</v>
      </c>
      <c r="E169" s="151">
        <v>3.4000000000000002E-2</v>
      </c>
      <c r="F169" s="152">
        <v>6.3100000000000003E-2</v>
      </c>
      <c r="G169" s="145"/>
      <c r="H169" s="145"/>
      <c r="I169" s="10"/>
      <c r="J169" s="10"/>
      <c r="K169" s="10"/>
      <c r="L169" s="10"/>
      <c r="M169" s="10"/>
      <c r="N169" s="10"/>
      <c r="O169" s="10"/>
      <c r="P169" s="10"/>
      <c r="Q169" s="10"/>
      <c r="R169" s="10"/>
      <c r="S169" s="10"/>
      <c r="T169" s="10"/>
      <c r="U169" s="10"/>
      <c r="V169" s="10"/>
      <c r="W169" s="10"/>
      <c r="X169" s="10"/>
      <c r="Y169" s="10"/>
      <c r="Z169" s="10"/>
      <c r="AA169" s="10"/>
    </row>
    <row r="170" spans="1:27">
      <c r="A170" s="10"/>
      <c r="B170" s="10"/>
      <c r="C170" s="146"/>
      <c r="D170" s="150" t="s">
        <v>557</v>
      </c>
      <c r="E170" s="151">
        <v>2.2100000000000002E-2</v>
      </c>
      <c r="F170" s="152">
        <v>3.7900000000000003E-2</v>
      </c>
      <c r="G170" s="145"/>
      <c r="H170" s="145"/>
      <c r="I170" s="10"/>
      <c r="J170" s="10"/>
      <c r="K170" s="10"/>
      <c r="L170" s="10"/>
      <c r="M170" s="10"/>
      <c r="N170" s="10"/>
      <c r="O170" s="10"/>
      <c r="P170" s="10"/>
      <c r="Q170" s="10"/>
      <c r="R170" s="10"/>
      <c r="S170" s="10"/>
      <c r="T170" s="10"/>
      <c r="U170" s="10"/>
      <c r="V170" s="10"/>
      <c r="W170" s="10"/>
      <c r="X170" s="10"/>
      <c r="Y170" s="10"/>
      <c r="Z170" s="10"/>
      <c r="AA170" s="10"/>
    </row>
    <row r="171" spans="1:27">
      <c r="A171" s="10"/>
      <c r="B171" s="10"/>
      <c r="C171" s="146"/>
      <c r="D171" s="150" t="s">
        <v>558</v>
      </c>
      <c r="E171" s="151">
        <v>2.4199999999999999E-2</v>
      </c>
      <c r="F171" s="152">
        <v>4.24E-2</v>
      </c>
      <c r="G171" s="145"/>
      <c r="H171" s="145"/>
      <c r="I171" s="10"/>
      <c r="J171" s="10"/>
      <c r="K171" s="10"/>
      <c r="L171" s="10"/>
      <c r="M171" s="10"/>
      <c r="N171" s="10"/>
      <c r="O171" s="10"/>
      <c r="P171" s="10"/>
      <c r="Q171" s="10"/>
      <c r="R171" s="10"/>
      <c r="S171" s="10"/>
      <c r="T171" s="10"/>
      <c r="U171" s="10"/>
      <c r="V171" s="10"/>
      <c r="W171" s="10"/>
      <c r="X171" s="10"/>
      <c r="Y171" s="10"/>
      <c r="Z171" s="10"/>
      <c r="AA171" s="10"/>
    </row>
    <row r="172" spans="1:27">
      <c r="A172" s="10"/>
      <c r="B172" s="10"/>
      <c r="C172" s="146"/>
      <c r="D172" s="150" t="s">
        <v>523</v>
      </c>
      <c r="E172" s="151">
        <v>2.2100000000000002E-2</v>
      </c>
      <c r="F172" s="152">
        <v>3.73E-2</v>
      </c>
      <c r="G172" s="145"/>
      <c r="H172" s="145"/>
      <c r="I172" s="10"/>
      <c r="J172" s="10"/>
      <c r="K172" s="10"/>
      <c r="L172" s="10"/>
      <c r="M172" s="10"/>
      <c r="N172" s="10"/>
      <c r="O172" s="10"/>
      <c r="P172" s="10"/>
      <c r="Q172" s="10"/>
      <c r="R172" s="10"/>
      <c r="S172" s="10"/>
      <c r="T172" s="10"/>
      <c r="U172" s="10"/>
      <c r="V172" s="10"/>
      <c r="W172" s="10"/>
      <c r="X172" s="10"/>
      <c r="Y172" s="10"/>
      <c r="Z172" s="10"/>
      <c r="AA172" s="10"/>
    </row>
    <row r="173" spans="1:27">
      <c r="A173" s="10"/>
      <c r="B173" s="10"/>
      <c r="C173" s="146"/>
      <c r="D173" s="150" t="s">
        <v>524</v>
      </c>
      <c r="E173" s="151">
        <v>1.15E-2</v>
      </c>
      <c r="F173" s="152">
        <v>8.8000000000000005E-3</v>
      </c>
      <c r="G173" s="145"/>
      <c r="H173" s="145"/>
      <c r="I173" s="10"/>
      <c r="J173" s="10"/>
      <c r="K173" s="10"/>
      <c r="L173" s="10"/>
      <c r="M173" s="10"/>
      <c r="N173" s="10"/>
      <c r="O173" s="10"/>
      <c r="P173" s="10"/>
      <c r="Q173" s="10"/>
      <c r="R173" s="10"/>
      <c r="S173" s="10"/>
      <c r="T173" s="10"/>
      <c r="U173" s="10"/>
      <c r="V173" s="10"/>
      <c r="W173" s="10"/>
      <c r="X173" s="10"/>
      <c r="Y173" s="10"/>
      <c r="Z173" s="10"/>
      <c r="AA173" s="10"/>
    </row>
    <row r="174" spans="1:27">
      <c r="A174" s="10"/>
      <c r="B174" s="10"/>
      <c r="C174" s="146"/>
      <c r="D174" s="150" t="s">
        <v>525</v>
      </c>
      <c r="E174" s="151">
        <v>1.0500000000000001E-2</v>
      </c>
      <c r="F174" s="152">
        <v>6.4000000000000003E-3</v>
      </c>
      <c r="G174" s="145"/>
      <c r="H174" s="145"/>
      <c r="I174" s="10"/>
      <c r="J174" s="10"/>
      <c r="K174" s="10"/>
      <c r="L174" s="10"/>
      <c r="M174" s="10"/>
      <c r="N174" s="10"/>
      <c r="O174" s="10"/>
      <c r="P174" s="10"/>
      <c r="Q174" s="10"/>
      <c r="R174" s="10"/>
      <c r="S174" s="10"/>
      <c r="T174" s="10"/>
      <c r="U174" s="10"/>
      <c r="V174" s="10"/>
      <c r="W174" s="10"/>
      <c r="X174" s="10"/>
      <c r="Y174" s="10"/>
      <c r="Z174" s="10"/>
      <c r="AA174" s="10"/>
    </row>
    <row r="175" spans="1:27">
      <c r="A175" s="10"/>
      <c r="B175" s="10"/>
      <c r="C175" s="146"/>
      <c r="D175" s="150" t="s">
        <v>526</v>
      </c>
      <c r="E175" s="151">
        <v>1.0800000000000001E-2</v>
      </c>
      <c r="F175" s="152">
        <v>8.0000000000000002E-3</v>
      </c>
      <c r="G175" s="145"/>
      <c r="H175" s="145"/>
      <c r="I175" s="10"/>
      <c r="J175" s="10"/>
      <c r="K175" s="10"/>
      <c r="L175" s="10"/>
      <c r="M175" s="10"/>
      <c r="N175" s="10"/>
      <c r="O175" s="10"/>
      <c r="P175" s="10"/>
      <c r="Q175" s="10"/>
      <c r="R175" s="10"/>
      <c r="S175" s="10"/>
      <c r="T175" s="10"/>
      <c r="U175" s="10"/>
      <c r="V175" s="10"/>
      <c r="W175" s="10"/>
      <c r="X175" s="10"/>
      <c r="Y175" s="10"/>
      <c r="Z175" s="10"/>
      <c r="AA175" s="10"/>
    </row>
    <row r="176" spans="1:27">
      <c r="A176" s="10"/>
      <c r="B176" s="10"/>
      <c r="C176" s="146"/>
      <c r="D176" s="150" t="s">
        <v>527</v>
      </c>
      <c r="E176" s="151">
        <v>1.03E-2</v>
      </c>
      <c r="F176" s="152">
        <v>6.1000000000000004E-3</v>
      </c>
      <c r="G176" s="145"/>
      <c r="H176" s="145"/>
      <c r="I176" s="10"/>
      <c r="J176" s="10"/>
      <c r="K176" s="10"/>
      <c r="L176" s="10"/>
      <c r="M176" s="10"/>
      <c r="N176" s="10"/>
      <c r="O176" s="10"/>
      <c r="P176" s="10"/>
      <c r="Q176" s="10"/>
      <c r="R176" s="10"/>
      <c r="S176" s="10"/>
      <c r="T176" s="10"/>
      <c r="U176" s="10"/>
      <c r="V176" s="10"/>
      <c r="W176" s="10"/>
      <c r="X176" s="10"/>
      <c r="Y176" s="10"/>
      <c r="Z176" s="10"/>
      <c r="AA176" s="10"/>
    </row>
    <row r="177" spans="1:27">
      <c r="A177" s="10"/>
      <c r="B177" s="10"/>
      <c r="C177" s="146"/>
      <c r="D177" s="150" t="s">
        <v>528</v>
      </c>
      <c r="E177" s="153">
        <v>9.4999999999999998E-3</v>
      </c>
      <c r="F177" s="154">
        <v>3.5999999999999999E-3</v>
      </c>
      <c r="G177" s="145"/>
      <c r="H177" s="145"/>
      <c r="I177" s="10"/>
      <c r="J177" s="10"/>
      <c r="K177" s="10"/>
      <c r="L177" s="10"/>
      <c r="M177" s="10"/>
      <c r="N177" s="10"/>
      <c r="O177" s="10"/>
      <c r="P177" s="10"/>
      <c r="Q177" s="10"/>
      <c r="R177" s="10"/>
      <c r="S177" s="10"/>
      <c r="T177" s="10"/>
      <c r="U177" s="10"/>
      <c r="V177" s="10"/>
      <c r="W177" s="10"/>
      <c r="X177" s="10"/>
      <c r="Y177" s="10"/>
      <c r="Z177" s="10"/>
      <c r="AA177" s="10"/>
    </row>
    <row r="178" spans="1:27">
      <c r="A178" s="10"/>
      <c r="B178" s="10"/>
      <c r="C178" s="146"/>
      <c r="D178" s="150" t="s">
        <v>529</v>
      </c>
      <c r="E178" s="153">
        <v>9.4999999999999998E-3</v>
      </c>
      <c r="F178" s="154">
        <v>3.5999999999999999E-3</v>
      </c>
      <c r="G178" s="145"/>
      <c r="H178" s="145"/>
      <c r="I178" s="10"/>
      <c r="J178" s="10"/>
      <c r="K178" s="10"/>
      <c r="L178" s="10"/>
      <c r="M178" s="10"/>
      <c r="N178" s="10"/>
      <c r="O178" s="10"/>
      <c r="P178" s="10"/>
      <c r="Q178" s="10"/>
      <c r="R178" s="10"/>
      <c r="S178" s="10"/>
      <c r="T178" s="10"/>
      <c r="U178" s="10"/>
      <c r="V178" s="10"/>
      <c r="W178" s="10"/>
      <c r="X178" s="10"/>
      <c r="Y178" s="10"/>
      <c r="Z178" s="10"/>
      <c r="AA178" s="10"/>
    </row>
    <row r="179" spans="1:27">
      <c r="A179" s="10"/>
      <c r="B179" s="10"/>
      <c r="C179" s="146"/>
      <c r="D179" s="150" t="s">
        <v>530</v>
      </c>
      <c r="E179" s="153">
        <v>9.4999999999999998E-3</v>
      </c>
      <c r="F179" s="154">
        <v>3.5000000000000001E-3</v>
      </c>
      <c r="G179" s="145"/>
      <c r="H179" s="145"/>
      <c r="I179" s="10"/>
      <c r="J179" s="10"/>
      <c r="K179" s="10"/>
      <c r="L179" s="10"/>
      <c r="M179" s="10"/>
      <c r="N179" s="10"/>
      <c r="O179" s="10"/>
      <c r="P179" s="10"/>
      <c r="Q179" s="10"/>
      <c r="R179" s="10"/>
      <c r="S179" s="10"/>
      <c r="T179" s="10"/>
      <c r="U179" s="10"/>
      <c r="V179" s="10"/>
      <c r="W179" s="10"/>
      <c r="X179" s="10"/>
      <c r="Y179" s="10"/>
      <c r="Z179" s="10"/>
      <c r="AA179" s="10"/>
    </row>
    <row r="180" spans="1:27">
      <c r="A180" s="10"/>
      <c r="B180" s="10"/>
      <c r="C180" s="146"/>
      <c r="D180" s="150" t="s">
        <v>531</v>
      </c>
      <c r="E180" s="153">
        <v>9.5999999999999992E-3</v>
      </c>
      <c r="F180" s="154">
        <v>3.3999999999999998E-3</v>
      </c>
      <c r="G180" s="145"/>
      <c r="H180" s="145"/>
      <c r="I180" s="10"/>
      <c r="J180" s="10"/>
      <c r="K180" s="10"/>
      <c r="L180" s="10"/>
      <c r="M180" s="10"/>
      <c r="N180" s="10"/>
      <c r="O180" s="10"/>
      <c r="P180" s="10"/>
      <c r="Q180" s="10"/>
      <c r="R180" s="10"/>
      <c r="S180" s="10"/>
      <c r="T180" s="10"/>
      <c r="U180" s="10"/>
      <c r="V180" s="10"/>
      <c r="W180" s="10"/>
      <c r="X180" s="10"/>
      <c r="Y180" s="10"/>
      <c r="Z180" s="10"/>
      <c r="AA180" s="10"/>
    </row>
    <row r="181" spans="1:27">
      <c r="A181" s="10"/>
      <c r="B181" s="10"/>
      <c r="C181" s="146"/>
      <c r="D181" s="150" t="s">
        <v>532</v>
      </c>
      <c r="E181" s="153">
        <v>9.5999999999999992E-3</v>
      </c>
      <c r="F181" s="154">
        <v>3.3E-3</v>
      </c>
      <c r="G181" s="145"/>
      <c r="H181" s="145"/>
      <c r="I181" s="10"/>
      <c r="J181" s="10"/>
      <c r="K181" s="10"/>
      <c r="L181" s="10"/>
      <c r="M181" s="10"/>
      <c r="N181" s="10"/>
      <c r="O181" s="10"/>
      <c r="P181" s="10"/>
      <c r="Q181" s="10"/>
      <c r="R181" s="10"/>
      <c r="S181" s="10"/>
      <c r="T181" s="10"/>
      <c r="U181" s="10"/>
      <c r="V181" s="10"/>
      <c r="W181" s="10"/>
      <c r="X181" s="10"/>
      <c r="Y181" s="10"/>
      <c r="Z181" s="10"/>
      <c r="AA181" s="10"/>
    </row>
    <row r="182" spans="1:27">
      <c r="A182" s="10"/>
      <c r="B182" s="10"/>
      <c r="C182" s="146"/>
      <c r="D182" s="150" t="s">
        <v>533</v>
      </c>
      <c r="E182" s="153">
        <v>9.4999999999999998E-3</v>
      </c>
      <c r="F182" s="154">
        <v>3.5000000000000001E-3</v>
      </c>
      <c r="G182" s="145"/>
      <c r="H182" s="145"/>
      <c r="I182" s="10"/>
      <c r="J182" s="10"/>
      <c r="K182" s="10"/>
      <c r="L182" s="10"/>
      <c r="M182" s="10"/>
      <c r="N182" s="10"/>
      <c r="O182" s="10"/>
      <c r="P182" s="10"/>
      <c r="Q182" s="10"/>
      <c r="R182" s="10"/>
      <c r="S182" s="10"/>
      <c r="T182" s="10"/>
      <c r="U182" s="10"/>
      <c r="V182" s="10"/>
      <c r="W182" s="10"/>
      <c r="X182" s="10"/>
      <c r="Y182" s="10"/>
      <c r="Z182" s="10"/>
      <c r="AA182" s="10"/>
    </row>
    <row r="183" spans="1:27">
      <c r="A183" s="10"/>
      <c r="B183" s="10"/>
      <c r="C183" s="146"/>
      <c r="D183" s="150" t="s">
        <v>534</v>
      </c>
      <c r="E183" s="153">
        <v>9.4999999999999998E-3</v>
      </c>
      <c r="F183" s="154">
        <v>3.3E-3</v>
      </c>
      <c r="G183" s="145"/>
      <c r="H183" s="145"/>
      <c r="I183" s="10"/>
      <c r="J183" s="10"/>
      <c r="K183" s="10"/>
      <c r="L183" s="10"/>
      <c r="M183" s="10"/>
      <c r="N183" s="10"/>
      <c r="O183" s="10"/>
      <c r="P183" s="10"/>
      <c r="Q183" s="10"/>
      <c r="R183" s="10"/>
      <c r="S183" s="10"/>
      <c r="T183" s="10"/>
      <c r="U183" s="10"/>
      <c r="V183" s="10"/>
      <c r="W183" s="10"/>
      <c r="X183" s="10"/>
      <c r="Y183" s="10"/>
      <c r="Z183" s="10"/>
      <c r="AA183" s="10"/>
    </row>
    <row r="184" spans="1:27">
      <c r="A184" s="10"/>
      <c r="B184" s="10"/>
      <c r="C184" s="146"/>
      <c r="D184" s="150" t="s">
        <v>535</v>
      </c>
      <c r="E184" s="153">
        <v>9.4000000000000004E-3</v>
      </c>
      <c r="F184" s="154">
        <v>3.0999999999999999E-3</v>
      </c>
      <c r="G184" s="145"/>
      <c r="H184" s="145"/>
      <c r="I184" s="10"/>
      <c r="J184" s="10"/>
      <c r="K184" s="10"/>
      <c r="L184" s="10"/>
      <c r="M184" s="10"/>
      <c r="N184" s="10"/>
      <c r="O184" s="10"/>
      <c r="P184" s="10"/>
      <c r="Q184" s="10"/>
      <c r="R184" s="10"/>
      <c r="S184" s="10"/>
      <c r="T184" s="10"/>
      <c r="U184" s="10"/>
      <c r="V184" s="10"/>
      <c r="W184" s="10"/>
      <c r="X184" s="10"/>
      <c r="Y184" s="10"/>
      <c r="Z184" s="10"/>
      <c r="AA184" s="10"/>
    </row>
    <row r="185" spans="1:27">
      <c r="A185" s="10"/>
      <c r="B185" s="10"/>
      <c r="C185" s="146"/>
      <c r="D185" s="150" t="s">
        <v>536</v>
      </c>
      <c r="E185" s="153">
        <v>9.1000000000000004E-3</v>
      </c>
      <c r="F185" s="154">
        <v>2.8999999999999998E-3</v>
      </c>
      <c r="G185" s="145"/>
      <c r="H185" s="145"/>
      <c r="I185" s="10"/>
      <c r="J185" s="10"/>
      <c r="K185" s="10"/>
      <c r="L185" s="10"/>
      <c r="M185" s="10"/>
      <c r="N185" s="10"/>
      <c r="O185" s="10"/>
      <c r="P185" s="10"/>
      <c r="Q185" s="10"/>
      <c r="R185" s="10"/>
      <c r="S185" s="10"/>
      <c r="T185" s="10"/>
      <c r="U185" s="10"/>
      <c r="V185" s="10"/>
      <c r="W185" s="10"/>
      <c r="X185" s="10"/>
      <c r="Y185" s="10"/>
      <c r="Z185" s="10"/>
      <c r="AA185" s="10"/>
    </row>
    <row r="186" spans="1:27">
      <c r="A186" s="10"/>
      <c r="B186" s="10"/>
      <c r="C186" s="146"/>
      <c r="D186" s="150" t="s">
        <v>537</v>
      </c>
      <c r="E186" s="153">
        <v>8.3999999999999995E-3</v>
      </c>
      <c r="F186" s="154">
        <v>1.8E-3</v>
      </c>
      <c r="G186" s="145"/>
      <c r="H186" s="145"/>
      <c r="I186" s="10"/>
      <c r="J186" s="10"/>
      <c r="K186" s="10"/>
      <c r="L186" s="10"/>
      <c r="M186" s="10"/>
      <c r="N186" s="10"/>
      <c r="O186" s="10"/>
      <c r="P186" s="10"/>
      <c r="Q186" s="10"/>
      <c r="R186" s="10"/>
      <c r="S186" s="10"/>
      <c r="T186" s="10"/>
      <c r="U186" s="10"/>
      <c r="V186" s="10"/>
      <c r="W186" s="10"/>
      <c r="X186" s="10"/>
      <c r="Y186" s="10"/>
      <c r="Z186" s="10"/>
      <c r="AA186" s="10"/>
    </row>
    <row r="187" spans="1:27">
      <c r="A187" s="10"/>
      <c r="B187" s="10"/>
      <c r="C187" s="146"/>
      <c r="D187" s="150" t="s">
        <v>538</v>
      </c>
      <c r="E187" s="153">
        <v>8.0999999999999996E-3</v>
      </c>
      <c r="F187" s="154">
        <v>1.5E-3</v>
      </c>
      <c r="G187" s="145"/>
      <c r="H187" s="145"/>
      <c r="I187" s="10"/>
      <c r="J187" s="10"/>
      <c r="K187" s="10"/>
      <c r="L187" s="10"/>
      <c r="M187" s="10"/>
      <c r="N187" s="10"/>
      <c r="O187" s="10"/>
      <c r="P187" s="10"/>
      <c r="Q187" s="10"/>
      <c r="R187" s="10"/>
      <c r="S187" s="10"/>
      <c r="T187" s="10"/>
      <c r="U187" s="10"/>
      <c r="V187" s="10"/>
      <c r="W187" s="10"/>
      <c r="X187" s="10"/>
      <c r="Y187" s="10"/>
      <c r="Z187" s="10"/>
      <c r="AA187" s="10"/>
    </row>
    <row r="188" spans="1:27" ht="13.9" customHeight="1" thickBot="1">
      <c r="A188" s="10"/>
      <c r="B188" s="10"/>
      <c r="C188" s="155"/>
      <c r="D188" s="156" t="s">
        <v>539</v>
      </c>
      <c r="E188" s="157">
        <v>8.0000000000000002E-3</v>
      </c>
      <c r="F188" s="158">
        <v>1.2999999999999999E-3</v>
      </c>
      <c r="G188" s="145"/>
      <c r="H188" s="145"/>
      <c r="I188" s="10"/>
      <c r="J188" s="10"/>
      <c r="K188" s="10"/>
      <c r="L188" s="10"/>
      <c r="M188" s="10"/>
      <c r="N188" s="10"/>
      <c r="O188" s="10"/>
      <c r="P188" s="10"/>
      <c r="Q188" s="10"/>
      <c r="R188" s="10"/>
      <c r="S188" s="10"/>
      <c r="T188" s="10"/>
      <c r="U188" s="10"/>
      <c r="V188" s="10"/>
      <c r="W188" s="10"/>
      <c r="X188" s="10"/>
      <c r="Y188" s="10"/>
      <c r="Z188" s="10"/>
      <c r="AA188" s="10"/>
    </row>
    <row r="189" spans="1:27">
      <c r="A189" s="10"/>
      <c r="B189" s="10"/>
      <c r="C189" s="141" t="s">
        <v>559</v>
      </c>
      <c r="D189" s="142" t="s">
        <v>560</v>
      </c>
      <c r="E189" s="143">
        <v>0.46039999999999998</v>
      </c>
      <c r="F189" s="144">
        <v>4.9700000000000001E-2</v>
      </c>
      <c r="G189" s="145"/>
      <c r="H189" s="145"/>
      <c r="I189" s="10"/>
      <c r="J189" s="10"/>
      <c r="K189" s="10"/>
      <c r="L189" s="10"/>
      <c r="M189" s="10"/>
      <c r="N189" s="10"/>
      <c r="O189" s="10"/>
      <c r="P189" s="10"/>
      <c r="Q189" s="10"/>
      <c r="R189" s="10"/>
      <c r="S189" s="10"/>
      <c r="T189" s="10"/>
      <c r="U189" s="10"/>
      <c r="V189" s="10"/>
      <c r="W189" s="10"/>
      <c r="X189" s="10"/>
      <c r="Y189" s="10"/>
      <c r="Z189" s="10"/>
      <c r="AA189" s="10"/>
    </row>
    <row r="190" spans="1:27">
      <c r="A190" s="10"/>
      <c r="B190" s="10"/>
      <c r="C190" s="146"/>
      <c r="D190" s="150" t="s">
        <v>561</v>
      </c>
      <c r="E190" s="151">
        <v>0.44919999999999999</v>
      </c>
      <c r="F190" s="152">
        <v>5.3800000000000001E-2</v>
      </c>
      <c r="G190" s="145"/>
      <c r="H190" s="145"/>
      <c r="I190" s="10"/>
      <c r="J190" s="10"/>
      <c r="K190" s="10"/>
      <c r="L190" s="10"/>
      <c r="M190" s="10"/>
      <c r="N190" s="10"/>
      <c r="O190" s="10"/>
      <c r="P190" s="10"/>
      <c r="Q190" s="10"/>
      <c r="R190" s="10"/>
      <c r="S190" s="10"/>
      <c r="T190" s="10"/>
      <c r="U190" s="10"/>
      <c r="V190" s="10"/>
      <c r="W190" s="10"/>
      <c r="X190" s="10"/>
      <c r="Y190" s="10"/>
      <c r="Z190" s="10"/>
      <c r="AA190" s="10"/>
    </row>
    <row r="191" spans="1:27">
      <c r="A191" s="10"/>
      <c r="B191" s="10"/>
      <c r="C191" s="146"/>
      <c r="D191" s="150" t="s">
        <v>562</v>
      </c>
      <c r="E191" s="151">
        <v>0.40899999999999997</v>
      </c>
      <c r="F191" s="152">
        <v>5.1499999999999997E-2</v>
      </c>
      <c r="G191" s="145"/>
      <c r="H191" s="145"/>
      <c r="I191" s="10"/>
      <c r="J191" s="10"/>
      <c r="K191" s="10"/>
      <c r="L191" s="10"/>
      <c r="M191" s="10"/>
      <c r="N191" s="10"/>
      <c r="O191" s="10"/>
      <c r="P191" s="10"/>
      <c r="Q191" s="10"/>
      <c r="R191" s="10"/>
      <c r="S191" s="10"/>
      <c r="T191" s="10"/>
      <c r="U191" s="10"/>
      <c r="V191" s="10"/>
      <c r="W191" s="10"/>
      <c r="X191" s="10"/>
      <c r="Y191" s="10"/>
      <c r="Z191" s="10"/>
      <c r="AA191" s="10"/>
    </row>
    <row r="192" spans="1:27">
      <c r="A192" s="10"/>
      <c r="B192" s="10"/>
      <c r="C192" s="146"/>
      <c r="D192" s="150" t="s">
        <v>563</v>
      </c>
      <c r="E192" s="151">
        <v>0.36749999999999999</v>
      </c>
      <c r="F192" s="152">
        <v>8.4900000000000003E-2</v>
      </c>
      <c r="G192" s="145"/>
      <c r="H192" s="145"/>
      <c r="I192" s="10"/>
      <c r="J192" s="10"/>
      <c r="K192" s="10"/>
      <c r="L192" s="10"/>
      <c r="M192" s="10"/>
      <c r="N192" s="10"/>
      <c r="O192" s="10"/>
      <c r="P192" s="10"/>
      <c r="Q192" s="10"/>
      <c r="R192" s="10"/>
      <c r="S192" s="10"/>
      <c r="T192" s="10"/>
      <c r="U192" s="10"/>
      <c r="V192" s="10"/>
      <c r="W192" s="10"/>
      <c r="X192" s="10"/>
      <c r="Y192" s="10"/>
      <c r="Z192" s="10"/>
      <c r="AA192" s="10"/>
    </row>
    <row r="193" spans="1:27">
      <c r="A193" s="10"/>
      <c r="B193" s="10"/>
      <c r="C193" s="146"/>
      <c r="D193" s="150" t="s">
        <v>564</v>
      </c>
      <c r="E193" s="151">
        <v>0.34920000000000001</v>
      </c>
      <c r="F193" s="152">
        <v>9.3299999999999994E-2</v>
      </c>
      <c r="G193" s="145"/>
      <c r="H193" s="145"/>
      <c r="I193" s="10"/>
      <c r="J193" s="10"/>
      <c r="K193" s="10"/>
      <c r="L193" s="10"/>
      <c r="M193" s="10"/>
      <c r="N193" s="10"/>
      <c r="O193" s="10"/>
      <c r="P193" s="10"/>
      <c r="Q193" s="10"/>
      <c r="R193" s="10"/>
      <c r="S193" s="10"/>
      <c r="T193" s="10"/>
      <c r="U193" s="10"/>
      <c r="V193" s="10"/>
      <c r="W193" s="10"/>
      <c r="X193" s="10"/>
      <c r="Y193" s="10"/>
      <c r="Z193" s="10"/>
      <c r="AA193" s="10"/>
    </row>
    <row r="194" spans="1:27">
      <c r="A194" s="10"/>
      <c r="B194" s="10"/>
      <c r="C194" s="146"/>
      <c r="D194" s="150" t="s">
        <v>565</v>
      </c>
      <c r="E194" s="151">
        <v>0.3246</v>
      </c>
      <c r="F194" s="152">
        <v>0.1142</v>
      </c>
      <c r="G194" s="145"/>
      <c r="H194" s="145"/>
      <c r="I194" s="10"/>
      <c r="J194" s="10"/>
      <c r="K194" s="10"/>
      <c r="L194" s="10"/>
      <c r="M194" s="10"/>
      <c r="N194" s="10"/>
      <c r="O194" s="10"/>
      <c r="P194" s="10"/>
      <c r="Q194" s="10"/>
      <c r="R194" s="10"/>
      <c r="S194" s="10"/>
      <c r="T194" s="10"/>
      <c r="U194" s="10"/>
      <c r="V194" s="10"/>
      <c r="W194" s="10"/>
      <c r="X194" s="10"/>
      <c r="Y194" s="10"/>
      <c r="Z194" s="10"/>
      <c r="AA194" s="10"/>
    </row>
    <row r="195" spans="1:27">
      <c r="A195" s="10"/>
      <c r="B195" s="10"/>
      <c r="C195" s="146"/>
      <c r="D195" s="150" t="s">
        <v>552</v>
      </c>
      <c r="E195" s="151">
        <v>0.1278</v>
      </c>
      <c r="F195" s="152">
        <v>0.16800000000000001</v>
      </c>
      <c r="G195" s="145"/>
      <c r="H195" s="145"/>
      <c r="I195" s="10"/>
      <c r="J195" s="10"/>
      <c r="K195" s="10"/>
      <c r="L195" s="10"/>
      <c r="M195" s="10"/>
      <c r="N195" s="10"/>
      <c r="O195" s="10"/>
      <c r="P195" s="10"/>
      <c r="Q195" s="10"/>
      <c r="R195" s="10"/>
      <c r="S195" s="10"/>
      <c r="T195" s="10"/>
      <c r="U195" s="10"/>
      <c r="V195" s="10"/>
      <c r="W195" s="10"/>
      <c r="X195" s="10"/>
      <c r="Y195" s="10"/>
      <c r="Z195" s="10"/>
      <c r="AA195" s="10"/>
    </row>
    <row r="196" spans="1:27">
      <c r="A196" s="10"/>
      <c r="B196" s="10"/>
      <c r="C196" s="146"/>
      <c r="D196" s="150" t="s">
        <v>553</v>
      </c>
      <c r="E196" s="151">
        <v>9.2399999999999996E-2</v>
      </c>
      <c r="F196" s="152">
        <v>0.1726</v>
      </c>
      <c r="G196" s="145"/>
      <c r="H196" s="145"/>
      <c r="I196" s="10"/>
      <c r="J196" s="10"/>
      <c r="K196" s="10"/>
      <c r="L196" s="10"/>
      <c r="M196" s="10"/>
      <c r="N196" s="10"/>
      <c r="O196" s="10"/>
      <c r="P196" s="10"/>
      <c r="Q196" s="10"/>
      <c r="R196" s="10"/>
      <c r="S196" s="10"/>
      <c r="T196" s="10"/>
      <c r="U196" s="10"/>
      <c r="V196" s="10"/>
      <c r="W196" s="10"/>
      <c r="X196" s="10"/>
      <c r="Y196" s="10"/>
      <c r="Z196" s="10"/>
      <c r="AA196" s="10"/>
    </row>
    <row r="197" spans="1:27">
      <c r="A197" s="10"/>
      <c r="B197" s="10"/>
      <c r="C197" s="146"/>
      <c r="D197" s="150" t="s">
        <v>554</v>
      </c>
      <c r="E197" s="151">
        <v>6.5500000000000003E-2</v>
      </c>
      <c r="F197" s="152">
        <v>0.17499999999999999</v>
      </c>
      <c r="G197" s="145"/>
      <c r="H197" s="145"/>
      <c r="I197" s="10"/>
      <c r="J197" s="10"/>
      <c r="K197" s="10"/>
      <c r="L197" s="10"/>
      <c r="M197" s="10"/>
      <c r="N197" s="10"/>
      <c r="O197" s="10"/>
      <c r="P197" s="10"/>
      <c r="Q197" s="10"/>
      <c r="R197" s="10"/>
      <c r="S197" s="10"/>
      <c r="T197" s="10"/>
      <c r="U197" s="10"/>
      <c r="V197" s="10"/>
      <c r="W197" s="10"/>
      <c r="X197" s="10"/>
      <c r="Y197" s="10"/>
      <c r="Z197" s="10"/>
      <c r="AA197" s="10"/>
    </row>
    <row r="198" spans="1:27">
      <c r="A198" s="10"/>
      <c r="B198" s="10"/>
      <c r="C198" s="146"/>
      <c r="D198" s="150" t="s">
        <v>555</v>
      </c>
      <c r="E198" s="151">
        <v>6.4799999999999996E-2</v>
      </c>
      <c r="F198" s="152">
        <v>0.1724</v>
      </c>
      <c r="G198" s="145"/>
      <c r="H198" s="145"/>
      <c r="I198" s="10"/>
      <c r="J198" s="10"/>
      <c r="K198" s="10"/>
      <c r="L198" s="10"/>
      <c r="M198" s="10"/>
      <c r="N198" s="10"/>
      <c r="O198" s="10"/>
      <c r="P198" s="10"/>
      <c r="Q198" s="10"/>
      <c r="R198" s="10"/>
      <c r="S198" s="10"/>
      <c r="T198" s="10"/>
      <c r="U198" s="10"/>
      <c r="V198" s="10"/>
      <c r="W198" s="10"/>
      <c r="X198" s="10"/>
      <c r="Y198" s="10"/>
      <c r="Z198" s="10"/>
      <c r="AA198" s="10"/>
    </row>
    <row r="199" spans="1:27">
      <c r="A199" s="10"/>
      <c r="B199" s="10"/>
      <c r="C199" s="146"/>
      <c r="D199" s="150" t="s">
        <v>556</v>
      </c>
      <c r="E199" s="151">
        <v>6.3E-2</v>
      </c>
      <c r="F199" s="152">
        <v>0.16600000000000001</v>
      </c>
      <c r="G199" s="145"/>
      <c r="H199" s="145"/>
      <c r="I199" s="10"/>
      <c r="J199" s="10"/>
      <c r="K199" s="10"/>
      <c r="L199" s="10"/>
      <c r="M199" s="10"/>
      <c r="N199" s="10"/>
      <c r="O199" s="10"/>
      <c r="P199" s="10"/>
      <c r="Q199" s="10"/>
      <c r="R199" s="10"/>
      <c r="S199" s="10"/>
      <c r="T199" s="10"/>
      <c r="U199" s="10"/>
      <c r="V199" s="10"/>
      <c r="W199" s="10"/>
      <c r="X199" s="10"/>
      <c r="Y199" s="10"/>
      <c r="Z199" s="10"/>
      <c r="AA199" s="10"/>
    </row>
    <row r="200" spans="1:27">
      <c r="A200" s="10"/>
      <c r="B200" s="10"/>
      <c r="C200" s="146"/>
      <c r="D200" s="150" t="s">
        <v>557</v>
      </c>
      <c r="E200" s="151">
        <v>5.7700000000000001E-2</v>
      </c>
      <c r="F200" s="152">
        <v>0.14680000000000001</v>
      </c>
      <c r="G200" s="145"/>
      <c r="H200" s="145"/>
      <c r="I200" s="10"/>
      <c r="J200" s="10"/>
      <c r="K200" s="10"/>
      <c r="L200" s="10"/>
      <c r="M200" s="10"/>
      <c r="N200" s="10"/>
      <c r="O200" s="10"/>
      <c r="P200" s="10"/>
      <c r="Q200" s="10"/>
      <c r="R200" s="10"/>
      <c r="S200" s="10"/>
      <c r="T200" s="10"/>
      <c r="U200" s="10"/>
      <c r="V200" s="10"/>
      <c r="W200" s="10"/>
      <c r="X200" s="10"/>
      <c r="Y200" s="10"/>
      <c r="Z200" s="10"/>
      <c r="AA200" s="10"/>
    </row>
    <row r="201" spans="1:27">
      <c r="A201" s="10"/>
      <c r="B201" s="10"/>
      <c r="C201" s="146"/>
      <c r="D201" s="150" t="s">
        <v>558</v>
      </c>
      <c r="E201" s="151">
        <v>6.3399999999999998E-2</v>
      </c>
      <c r="F201" s="152">
        <v>0.1673</v>
      </c>
      <c r="G201" s="145"/>
      <c r="H201" s="145"/>
      <c r="I201" s="10"/>
      <c r="J201" s="10"/>
      <c r="K201" s="10"/>
      <c r="L201" s="10"/>
      <c r="M201" s="10"/>
      <c r="N201" s="10"/>
      <c r="O201" s="10"/>
      <c r="P201" s="10"/>
      <c r="Q201" s="10"/>
      <c r="R201" s="10"/>
      <c r="S201" s="10"/>
      <c r="T201" s="10"/>
      <c r="U201" s="10"/>
      <c r="V201" s="10"/>
      <c r="W201" s="10"/>
      <c r="X201" s="10"/>
      <c r="Y201" s="10"/>
      <c r="Z201" s="10"/>
      <c r="AA201" s="10"/>
    </row>
    <row r="202" spans="1:27">
      <c r="A202" s="10"/>
      <c r="B202" s="10"/>
      <c r="C202" s="146"/>
      <c r="D202" s="150" t="s">
        <v>523</v>
      </c>
      <c r="E202" s="151">
        <v>6.0199999999999997E-2</v>
      </c>
      <c r="F202" s="152">
        <v>0.15529999999999999</v>
      </c>
      <c r="G202" s="145"/>
      <c r="H202" s="145"/>
      <c r="I202" s="10"/>
      <c r="J202" s="10"/>
      <c r="K202" s="10"/>
      <c r="L202" s="10"/>
      <c r="M202" s="10"/>
      <c r="N202" s="10"/>
      <c r="O202" s="10"/>
      <c r="P202" s="10"/>
      <c r="Q202" s="10"/>
      <c r="R202" s="10"/>
      <c r="S202" s="10"/>
      <c r="T202" s="10"/>
      <c r="U202" s="10"/>
      <c r="V202" s="10"/>
      <c r="W202" s="10"/>
      <c r="X202" s="10"/>
      <c r="Y202" s="10"/>
      <c r="Z202" s="10"/>
      <c r="AA202" s="10"/>
    </row>
    <row r="203" spans="1:27">
      <c r="A203" s="10"/>
      <c r="B203" s="10"/>
      <c r="C203" s="146"/>
      <c r="D203" s="150" t="s">
        <v>524</v>
      </c>
      <c r="E203" s="151">
        <v>2.98E-2</v>
      </c>
      <c r="F203" s="152">
        <v>1.6400000000000001E-2</v>
      </c>
      <c r="G203" s="145"/>
      <c r="H203" s="145"/>
      <c r="I203" s="10"/>
      <c r="J203" s="10"/>
      <c r="K203" s="10"/>
      <c r="L203" s="10"/>
      <c r="M203" s="10"/>
      <c r="N203" s="10"/>
      <c r="O203" s="10"/>
      <c r="P203" s="10"/>
      <c r="Q203" s="10"/>
      <c r="R203" s="10"/>
      <c r="S203" s="10"/>
      <c r="T203" s="10"/>
      <c r="U203" s="10"/>
      <c r="V203" s="10"/>
      <c r="W203" s="10"/>
      <c r="X203" s="10"/>
      <c r="Y203" s="10"/>
      <c r="Z203" s="10"/>
      <c r="AA203" s="10"/>
    </row>
    <row r="204" spans="1:27">
      <c r="A204" s="10"/>
      <c r="B204" s="10"/>
      <c r="C204" s="146"/>
      <c r="D204" s="150" t="s">
        <v>525</v>
      </c>
      <c r="E204" s="151">
        <v>2.9700000000000001E-2</v>
      </c>
      <c r="F204" s="152">
        <v>8.3000000000000001E-3</v>
      </c>
      <c r="G204" s="145"/>
      <c r="H204" s="145"/>
      <c r="I204" s="10"/>
      <c r="J204" s="10"/>
      <c r="K204" s="10"/>
      <c r="L204" s="10"/>
      <c r="M204" s="10"/>
      <c r="N204" s="10"/>
      <c r="O204" s="10"/>
      <c r="P204" s="10"/>
      <c r="Q204" s="10"/>
      <c r="R204" s="10"/>
      <c r="S204" s="10"/>
      <c r="T204" s="10"/>
      <c r="U204" s="10"/>
      <c r="V204" s="10"/>
      <c r="W204" s="10"/>
      <c r="X204" s="10"/>
      <c r="Y204" s="10"/>
      <c r="Z204" s="10"/>
      <c r="AA204" s="10"/>
    </row>
    <row r="205" spans="1:27">
      <c r="A205" s="10"/>
      <c r="B205" s="10"/>
      <c r="C205" s="146"/>
      <c r="D205" s="150" t="s">
        <v>526</v>
      </c>
      <c r="E205" s="151">
        <v>2.9899999999999999E-2</v>
      </c>
      <c r="F205" s="152">
        <v>2.41E-2</v>
      </c>
      <c r="G205" s="145"/>
      <c r="H205" s="145"/>
      <c r="I205" s="10"/>
      <c r="J205" s="10"/>
      <c r="K205" s="10"/>
      <c r="L205" s="10"/>
      <c r="M205" s="10"/>
      <c r="N205" s="10"/>
      <c r="O205" s="10"/>
      <c r="P205" s="10"/>
      <c r="Q205" s="10"/>
      <c r="R205" s="10"/>
      <c r="S205" s="10"/>
      <c r="T205" s="10"/>
      <c r="U205" s="10"/>
      <c r="V205" s="10"/>
      <c r="W205" s="10"/>
      <c r="X205" s="10"/>
      <c r="Y205" s="10"/>
      <c r="Z205" s="10"/>
      <c r="AA205" s="10"/>
    </row>
    <row r="206" spans="1:27">
      <c r="A206" s="10"/>
      <c r="B206" s="10"/>
      <c r="C206" s="146"/>
      <c r="D206" s="150" t="s">
        <v>527</v>
      </c>
      <c r="E206" s="151">
        <v>3.2199999999999999E-2</v>
      </c>
      <c r="F206" s="152">
        <v>1.5E-3</v>
      </c>
      <c r="G206" s="145"/>
      <c r="H206" s="145"/>
      <c r="I206" s="10"/>
      <c r="J206" s="10"/>
      <c r="K206" s="10"/>
      <c r="L206" s="10"/>
      <c r="M206" s="10"/>
      <c r="N206" s="10"/>
      <c r="O206" s="10"/>
      <c r="P206" s="10"/>
      <c r="Q206" s="10"/>
      <c r="R206" s="10"/>
      <c r="S206" s="10"/>
      <c r="T206" s="10"/>
      <c r="U206" s="10"/>
      <c r="V206" s="10"/>
      <c r="W206" s="10"/>
      <c r="X206" s="10"/>
      <c r="Y206" s="10"/>
      <c r="Z206" s="10"/>
      <c r="AA206" s="10"/>
    </row>
    <row r="207" spans="1:27">
      <c r="A207" s="10"/>
      <c r="B207" s="10"/>
      <c r="C207" s="146"/>
      <c r="D207" s="150" t="s">
        <v>528</v>
      </c>
      <c r="E207" s="153">
        <v>3.4000000000000002E-2</v>
      </c>
      <c r="F207" s="154">
        <v>1.5E-3</v>
      </c>
      <c r="G207" s="145"/>
      <c r="H207" s="145"/>
      <c r="I207" s="10"/>
      <c r="J207" s="10"/>
      <c r="K207" s="10"/>
      <c r="L207" s="10"/>
      <c r="M207" s="10"/>
      <c r="N207" s="10"/>
      <c r="O207" s="10"/>
      <c r="P207" s="10"/>
      <c r="Q207" s="10"/>
      <c r="R207" s="10"/>
      <c r="S207" s="10"/>
      <c r="T207" s="10"/>
      <c r="U207" s="10"/>
      <c r="V207" s="10"/>
      <c r="W207" s="10"/>
      <c r="X207" s="10"/>
      <c r="Y207" s="10"/>
      <c r="Z207" s="10"/>
      <c r="AA207" s="10"/>
    </row>
    <row r="208" spans="1:27">
      <c r="A208" s="10"/>
      <c r="B208" s="10"/>
      <c r="C208" s="146"/>
      <c r="D208" s="150" t="s">
        <v>529</v>
      </c>
      <c r="E208" s="153">
        <v>3.39E-2</v>
      </c>
      <c r="F208" s="154">
        <v>1.5E-3</v>
      </c>
      <c r="G208" s="145"/>
      <c r="H208" s="145"/>
      <c r="I208" s="10"/>
      <c r="J208" s="10"/>
      <c r="K208" s="10"/>
      <c r="L208" s="10"/>
      <c r="M208" s="10"/>
      <c r="N208" s="10"/>
      <c r="O208" s="10"/>
      <c r="P208" s="10"/>
      <c r="Q208" s="10"/>
      <c r="R208" s="10"/>
      <c r="S208" s="10"/>
      <c r="T208" s="10"/>
      <c r="U208" s="10"/>
      <c r="V208" s="10"/>
      <c r="W208" s="10"/>
      <c r="X208" s="10"/>
      <c r="Y208" s="10"/>
      <c r="Z208" s="10"/>
      <c r="AA208" s="10"/>
    </row>
    <row r="209" spans="1:27">
      <c r="A209" s="10"/>
      <c r="B209" s="10"/>
      <c r="C209" s="146"/>
      <c r="D209" s="150" t="s">
        <v>530</v>
      </c>
      <c r="E209" s="153">
        <v>3.2000000000000001E-2</v>
      </c>
      <c r="F209" s="154">
        <v>1.5E-3</v>
      </c>
      <c r="G209" s="145"/>
      <c r="H209" s="145"/>
      <c r="I209" s="10"/>
      <c r="J209" s="10"/>
      <c r="K209" s="10"/>
      <c r="L209" s="10"/>
      <c r="M209" s="10"/>
      <c r="N209" s="10"/>
      <c r="O209" s="10"/>
      <c r="P209" s="10"/>
      <c r="Q209" s="10"/>
      <c r="R209" s="10"/>
      <c r="S209" s="10"/>
      <c r="T209" s="10"/>
      <c r="U209" s="10"/>
      <c r="V209" s="10"/>
      <c r="W209" s="10"/>
      <c r="X209" s="10"/>
      <c r="Y209" s="10"/>
      <c r="Z209" s="10"/>
      <c r="AA209" s="10"/>
    </row>
    <row r="210" spans="1:27">
      <c r="A210" s="10"/>
      <c r="B210" s="10"/>
      <c r="C210" s="146"/>
      <c r="D210" s="150" t="s">
        <v>531</v>
      </c>
      <c r="E210" s="153">
        <v>3.04E-2</v>
      </c>
      <c r="F210" s="154">
        <v>1.5E-3</v>
      </c>
      <c r="G210" s="145"/>
      <c r="H210" s="145"/>
      <c r="I210" s="10"/>
      <c r="J210" s="10"/>
      <c r="K210" s="10"/>
      <c r="L210" s="10"/>
      <c r="M210" s="10"/>
      <c r="N210" s="10"/>
      <c r="O210" s="10"/>
      <c r="P210" s="10"/>
      <c r="Q210" s="10"/>
      <c r="R210" s="10"/>
      <c r="S210" s="10"/>
      <c r="T210" s="10"/>
      <c r="U210" s="10"/>
      <c r="V210" s="10"/>
      <c r="W210" s="10"/>
      <c r="X210" s="10"/>
      <c r="Y210" s="10"/>
      <c r="Z210" s="10"/>
      <c r="AA210" s="10"/>
    </row>
    <row r="211" spans="1:27">
      <c r="A211" s="10"/>
      <c r="B211" s="10"/>
      <c r="C211" s="146"/>
      <c r="D211" s="150" t="s">
        <v>532</v>
      </c>
      <c r="E211" s="153">
        <v>3.1300000000000001E-2</v>
      </c>
      <c r="F211" s="154">
        <v>1.5E-3</v>
      </c>
      <c r="G211" s="145"/>
      <c r="H211" s="145"/>
      <c r="I211" s="10"/>
      <c r="J211" s="10"/>
      <c r="K211" s="10"/>
      <c r="L211" s="10"/>
      <c r="M211" s="10"/>
      <c r="N211" s="10"/>
      <c r="O211" s="10"/>
      <c r="P211" s="10"/>
      <c r="Q211" s="10"/>
      <c r="R211" s="10"/>
      <c r="S211" s="10"/>
      <c r="T211" s="10"/>
      <c r="U211" s="10"/>
      <c r="V211" s="10"/>
      <c r="W211" s="10"/>
      <c r="X211" s="10"/>
      <c r="Y211" s="10"/>
      <c r="Z211" s="10"/>
      <c r="AA211" s="10"/>
    </row>
    <row r="212" spans="1:27">
      <c r="A212" s="10"/>
      <c r="B212" s="10"/>
      <c r="C212" s="146"/>
      <c r="D212" s="150" t="s">
        <v>533</v>
      </c>
      <c r="E212" s="153">
        <v>3.1300000000000001E-2</v>
      </c>
      <c r="F212" s="154">
        <v>1.5E-3</v>
      </c>
      <c r="G212" s="145"/>
      <c r="H212" s="145"/>
      <c r="I212" s="10"/>
      <c r="J212" s="10"/>
      <c r="K212" s="10"/>
      <c r="L212" s="10"/>
      <c r="M212" s="10"/>
      <c r="N212" s="10"/>
      <c r="O212" s="10"/>
      <c r="P212" s="10"/>
      <c r="Q212" s="10"/>
      <c r="R212" s="10"/>
      <c r="S212" s="10"/>
      <c r="T212" s="10"/>
      <c r="U212" s="10"/>
      <c r="V212" s="10"/>
      <c r="W212" s="10"/>
      <c r="X212" s="10"/>
      <c r="Y212" s="10"/>
      <c r="Z212" s="10"/>
      <c r="AA212" s="10"/>
    </row>
    <row r="213" spans="1:27">
      <c r="A213" s="10"/>
      <c r="B213" s="10"/>
      <c r="C213" s="146"/>
      <c r="D213" s="150" t="s">
        <v>534</v>
      </c>
      <c r="E213" s="153">
        <v>3.15E-2</v>
      </c>
      <c r="F213" s="154">
        <v>1.5E-3</v>
      </c>
      <c r="G213" s="145"/>
      <c r="H213" s="145"/>
      <c r="I213" s="10"/>
      <c r="J213" s="10"/>
      <c r="K213" s="10"/>
      <c r="L213" s="10"/>
      <c r="M213" s="10"/>
      <c r="N213" s="10"/>
      <c r="O213" s="10"/>
      <c r="P213" s="10"/>
      <c r="Q213" s="10"/>
      <c r="R213" s="10"/>
      <c r="S213" s="10"/>
      <c r="T213" s="10"/>
      <c r="U213" s="10"/>
      <c r="V213" s="10"/>
      <c r="W213" s="10"/>
      <c r="X213" s="10"/>
      <c r="Y213" s="10"/>
      <c r="Z213" s="10"/>
      <c r="AA213" s="10"/>
    </row>
    <row r="214" spans="1:27">
      <c r="A214" s="10"/>
      <c r="B214" s="10"/>
      <c r="C214" s="146"/>
      <c r="D214" s="150" t="s">
        <v>535</v>
      </c>
      <c r="E214" s="153">
        <v>3.32E-2</v>
      </c>
      <c r="F214" s="154">
        <v>2.0999999999999999E-3</v>
      </c>
      <c r="G214" s="145"/>
      <c r="H214" s="145"/>
      <c r="I214" s="10"/>
      <c r="J214" s="10"/>
      <c r="K214" s="10"/>
      <c r="L214" s="10"/>
      <c r="M214" s="10"/>
      <c r="N214" s="10"/>
      <c r="O214" s="10"/>
      <c r="P214" s="10"/>
      <c r="Q214" s="10"/>
      <c r="R214" s="10"/>
      <c r="S214" s="10"/>
      <c r="T214" s="10"/>
      <c r="U214" s="10"/>
      <c r="V214" s="10"/>
      <c r="W214" s="10"/>
      <c r="X214" s="10"/>
      <c r="Y214" s="10"/>
      <c r="Z214" s="10"/>
      <c r="AA214" s="10"/>
    </row>
    <row r="215" spans="1:27">
      <c r="A215" s="10"/>
      <c r="B215" s="10"/>
      <c r="C215" s="146"/>
      <c r="D215" s="150" t="s">
        <v>536</v>
      </c>
      <c r="E215" s="153">
        <v>3.2099999999999997E-2</v>
      </c>
      <c r="F215" s="154">
        <v>6.1000000000000004E-3</v>
      </c>
      <c r="G215" s="145"/>
      <c r="H215" s="145"/>
      <c r="I215" s="10"/>
      <c r="J215" s="10"/>
      <c r="K215" s="10"/>
      <c r="L215" s="10"/>
      <c r="M215" s="10"/>
      <c r="N215" s="10"/>
      <c r="O215" s="10"/>
      <c r="P215" s="10"/>
      <c r="Q215" s="10"/>
      <c r="R215" s="10"/>
      <c r="S215" s="10"/>
      <c r="T215" s="10"/>
      <c r="U215" s="10"/>
      <c r="V215" s="10"/>
      <c r="W215" s="10"/>
      <c r="X215" s="10"/>
      <c r="Y215" s="10"/>
      <c r="Z215" s="10"/>
      <c r="AA215" s="10"/>
    </row>
    <row r="216" spans="1:27">
      <c r="A216" s="10"/>
      <c r="B216" s="10"/>
      <c r="C216" s="146"/>
      <c r="D216" s="150" t="s">
        <v>537</v>
      </c>
      <c r="E216" s="153">
        <v>3.2899999999999999E-2</v>
      </c>
      <c r="F216" s="154">
        <v>8.3999999999999995E-3</v>
      </c>
      <c r="G216" s="145"/>
      <c r="H216" s="145"/>
      <c r="I216" s="10"/>
      <c r="J216" s="10"/>
      <c r="K216" s="10"/>
      <c r="L216" s="10"/>
      <c r="M216" s="10"/>
      <c r="N216" s="10"/>
      <c r="O216" s="10"/>
      <c r="P216" s="10"/>
      <c r="Q216" s="10"/>
      <c r="R216" s="10"/>
      <c r="S216" s="10"/>
      <c r="T216" s="10"/>
      <c r="U216" s="10"/>
      <c r="V216" s="10"/>
      <c r="W216" s="10"/>
      <c r="X216" s="10"/>
      <c r="Y216" s="10"/>
      <c r="Z216" s="10"/>
      <c r="AA216" s="10"/>
    </row>
    <row r="217" spans="1:27">
      <c r="A217" s="10"/>
      <c r="B217" s="10"/>
      <c r="C217" s="146"/>
      <c r="D217" s="150" t="s">
        <v>538</v>
      </c>
      <c r="E217" s="153">
        <v>3.2599999999999997E-2</v>
      </c>
      <c r="F217" s="154">
        <v>8.2000000000000007E-3</v>
      </c>
      <c r="G217" s="145"/>
      <c r="H217" s="145"/>
      <c r="I217" s="10"/>
      <c r="J217" s="10"/>
      <c r="K217" s="10"/>
      <c r="L217" s="10"/>
      <c r="M217" s="10"/>
      <c r="N217" s="10"/>
      <c r="O217" s="10"/>
      <c r="P217" s="10"/>
      <c r="Q217" s="10"/>
      <c r="R217" s="10"/>
      <c r="S217" s="10"/>
      <c r="T217" s="10"/>
      <c r="U217" s="10"/>
      <c r="V217" s="10"/>
      <c r="W217" s="10"/>
      <c r="X217" s="10"/>
      <c r="Y217" s="10"/>
      <c r="Z217" s="10"/>
      <c r="AA217" s="10"/>
    </row>
    <row r="218" spans="1:27" ht="13.9" customHeight="1" thickBot="1">
      <c r="A218" s="10"/>
      <c r="B218" s="10"/>
      <c r="C218" s="155"/>
      <c r="D218" s="156" t="s">
        <v>539</v>
      </c>
      <c r="E218" s="157">
        <v>3.3000000000000002E-2</v>
      </c>
      <c r="F218" s="158">
        <v>9.1000000000000004E-3</v>
      </c>
      <c r="G218" s="145"/>
      <c r="H218" s="145"/>
      <c r="I218" s="10"/>
      <c r="J218" s="10"/>
      <c r="K218" s="10"/>
      <c r="L218" s="10"/>
      <c r="M218" s="10"/>
      <c r="N218" s="10"/>
      <c r="O218" s="10"/>
      <c r="P218" s="10"/>
      <c r="Q218" s="10"/>
      <c r="R218" s="10"/>
      <c r="S218" s="10"/>
      <c r="T218" s="10"/>
      <c r="U218" s="10"/>
      <c r="V218" s="10"/>
      <c r="W218" s="10"/>
      <c r="X218" s="10"/>
      <c r="Y218" s="10"/>
      <c r="Z218" s="10"/>
      <c r="AA218" s="10"/>
    </row>
    <row r="219" spans="1:27">
      <c r="A219" s="10"/>
      <c r="B219" s="10"/>
      <c r="C219" s="364" t="s">
        <v>566</v>
      </c>
      <c r="D219" s="142" t="s">
        <v>567</v>
      </c>
      <c r="E219" s="159">
        <v>8.9899999999999994E-2</v>
      </c>
      <c r="F219" s="160">
        <v>8.6999999999999994E-3</v>
      </c>
      <c r="G219" s="145"/>
      <c r="H219" s="145"/>
      <c r="I219" s="10"/>
      <c r="J219" s="10"/>
      <c r="K219" s="10"/>
      <c r="L219" s="10"/>
      <c r="M219" s="10"/>
      <c r="N219" s="10"/>
      <c r="O219" s="10"/>
      <c r="P219" s="10"/>
      <c r="Q219" s="10"/>
      <c r="R219" s="10"/>
      <c r="S219" s="10"/>
      <c r="T219" s="10"/>
      <c r="U219" s="10"/>
      <c r="V219" s="10"/>
      <c r="W219" s="10"/>
      <c r="X219" s="10"/>
      <c r="Y219" s="10"/>
      <c r="Z219" s="10"/>
      <c r="AA219" s="10"/>
    </row>
    <row r="220" spans="1:27" ht="13.9" customHeight="1" thickBot="1">
      <c r="A220" s="10"/>
      <c r="B220" s="10"/>
      <c r="C220" s="325"/>
      <c r="D220" s="161" t="s">
        <v>568</v>
      </c>
      <c r="E220" s="162">
        <v>6.7199999999999996E-2</v>
      </c>
      <c r="F220" s="163">
        <v>6.8999999999999999E-3</v>
      </c>
      <c r="G220" s="145"/>
      <c r="H220" s="145"/>
      <c r="I220" s="10"/>
      <c r="J220" s="10"/>
      <c r="K220" s="10"/>
      <c r="L220" s="10"/>
      <c r="M220" s="10"/>
      <c r="N220" s="10"/>
      <c r="O220" s="10"/>
      <c r="P220" s="10"/>
      <c r="Q220" s="10"/>
      <c r="R220" s="10"/>
      <c r="S220" s="10"/>
      <c r="T220" s="10"/>
      <c r="U220" s="10"/>
      <c r="V220" s="10"/>
      <c r="W220" s="10"/>
      <c r="X220" s="10"/>
      <c r="Y220" s="10"/>
      <c r="Z220" s="10"/>
      <c r="AA220" s="10"/>
    </row>
    <row r="221" spans="1:27">
      <c r="A221" s="10"/>
      <c r="B221" s="11"/>
      <c r="C221" s="31" t="s">
        <v>569</v>
      </c>
      <c r="D221" s="10"/>
      <c r="E221" s="10"/>
      <c r="F221" s="10"/>
      <c r="G221" s="10"/>
      <c r="H221" s="10"/>
      <c r="I221" s="16"/>
      <c r="J221" s="10"/>
      <c r="K221" s="10"/>
      <c r="L221" s="10"/>
      <c r="M221" s="10"/>
      <c r="N221" s="10"/>
      <c r="O221" s="10"/>
      <c r="P221" s="10"/>
      <c r="Q221" s="10"/>
      <c r="R221" s="10"/>
      <c r="S221" s="10"/>
      <c r="T221" s="10"/>
      <c r="U221" s="10"/>
      <c r="V221" s="10"/>
      <c r="W221" s="10"/>
      <c r="X221" s="10"/>
      <c r="Y221" s="10"/>
      <c r="Z221" s="10"/>
      <c r="AA221" s="10"/>
    </row>
    <row r="222" spans="1:27">
      <c r="A222" s="10"/>
      <c r="B222" s="11"/>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c r="AA222" s="10"/>
    </row>
    <row r="223" spans="1:27" ht="18" customHeight="1">
      <c r="B223" s="131" t="s">
        <v>570</v>
      </c>
      <c r="C223" s="132" t="s">
        <v>571</v>
      </c>
      <c r="D223" s="134"/>
      <c r="E223" s="134"/>
      <c r="F223" s="134"/>
      <c r="G223" s="134"/>
      <c r="H223" s="134"/>
      <c r="I223" s="134"/>
      <c r="J223" s="134"/>
      <c r="K223" s="134"/>
      <c r="L223" s="135"/>
      <c r="M223" s="10"/>
      <c r="N223" s="10"/>
      <c r="O223" s="10"/>
      <c r="P223" s="10"/>
      <c r="Q223" s="10"/>
      <c r="R223" s="10"/>
      <c r="S223" s="10"/>
      <c r="T223" s="10"/>
      <c r="U223" s="10"/>
      <c r="V223" s="10"/>
      <c r="W223" s="10"/>
      <c r="X223" s="10"/>
      <c r="Y223" s="10"/>
      <c r="Z223" s="10"/>
      <c r="AA223" s="10"/>
    </row>
    <row r="224" spans="1:27" ht="13.9" customHeight="1" thickBot="1">
      <c r="A224" s="10"/>
      <c r="B224" s="10"/>
      <c r="C224" s="109"/>
      <c r="D224" s="109"/>
      <c r="E224" s="109"/>
      <c r="F224" s="109"/>
      <c r="G224" s="10"/>
      <c r="H224" s="10"/>
      <c r="I224" s="10"/>
      <c r="J224" s="10"/>
      <c r="K224" s="10"/>
      <c r="L224" s="10"/>
      <c r="M224" s="10"/>
      <c r="N224" s="10"/>
      <c r="O224" s="10"/>
      <c r="P224" s="10"/>
      <c r="Q224" s="10"/>
      <c r="R224" s="10"/>
      <c r="S224" s="10"/>
      <c r="T224" s="10"/>
      <c r="U224" s="10"/>
      <c r="V224" s="10"/>
      <c r="W224" s="10"/>
      <c r="X224" s="10"/>
      <c r="Y224" s="10"/>
      <c r="Z224" s="10"/>
      <c r="AA224" s="10"/>
    </row>
    <row r="225" spans="1:27" ht="29.45" customHeight="1" thickBot="1">
      <c r="A225" s="10"/>
      <c r="B225" s="10"/>
      <c r="C225" s="164" t="s">
        <v>501</v>
      </c>
      <c r="D225" s="138" t="s">
        <v>489</v>
      </c>
      <c r="E225" s="138" t="s">
        <v>572</v>
      </c>
      <c r="F225" s="138" t="s">
        <v>502</v>
      </c>
      <c r="G225" s="139" t="s">
        <v>503</v>
      </c>
      <c r="H225" s="140"/>
      <c r="I225" s="10"/>
      <c r="J225" s="10"/>
      <c r="K225" s="10"/>
      <c r="L225" s="10"/>
      <c r="M225" s="10"/>
      <c r="N225" s="10"/>
      <c r="O225" s="10"/>
      <c r="P225" s="10"/>
      <c r="Q225" s="10"/>
      <c r="R225" s="10"/>
      <c r="S225" s="10"/>
      <c r="T225" s="10"/>
      <c r="U225" s="10"/>
      <c r="V225" s="10"/>
      <c r="W225" s="10"/>
      <c r="X225" s="10"/>
      <c r="Y225" s="10"/>
      <c r="Z225" s="10"/>
      <c r="AA225" s="10"/>
    </row>
    <row r="226" spans="1:27">
      <c r="A226" s="10"/>
      <c r="B226" s="10"/>
      <c r="C226" s="367" t="s">
        <v>573</v>
      </c>
      <c r="D226" s="345" t="s">
        <v>237</v>
      </c>
      <c r="E226" s="142" t="s">
        <v>574</v>
      </c>
      <c r="F226" s="151">
        <v>5.9999999999999995E-4</v>
      </c>
      <c r="G226" s="152">
        <v>1.1999999999999999E-3</v>
      </c>
      <c r="H226" s="140"/>
      <c r="I226" s="73"/>
      <c r="J226" s="10"/>
      <c r="K226" s="10"/>
      <c r="L226" s="10"/>
      <c r="M226" s="10"/>
      <c r="N226" s="10"/>
      <c r="O226" s="10"/>
      <c r="P226" s="10"/>
      <c r="Q226" s="10"/>
      <c r="R226" s="10"/>
      <c r="S226" s="10"/>
      <c r="T226" s="10"/>
      <c r="U226" s="10"/>
      <c r="V226" s="10"/>
      <c r="W226" s="10"/>
      <c r="X226" s="10"/>
      <c r="Y226" s="10"/>
      <c r="Z226" s="10"/>
      <c r="AA226" s="10"/>
    </row>
    <row r="227" spans="1:27">
      <c r="A227" s="10"/>
      <c r="B227" s="10"/>
      <c r="C227" s="368"/>
      <c r="D227" s="346"/>
      <c r="E227" s="150" t="s">
        <v>575</v>
      </c>
      <c r="F227" s="151">
        <v>5.0000000000000001E-4</v>
      </c>
      <c r="G227" s="152">
        <v>1E-3</v>
      </c>
      <c r="H227" s="16"/>
      <c r="I227" s="10"/>
      <c r="J227" s="10"/>
      <c r="K227" s="10"/>
      <c r="L227" s="10"/>
      <c r="M227" s="10"/>
      <c r="N227" s="10"/>
      <c r="O227" s="10"/>
      <c r="P227" s="10"/>
      <c r="Q227" s="10"/>
      <c r="R227" s="10"/>
      <c r="S227" s="10"/>
      <c r="T227" s="10"/>
      <c r="U227" s="10"/>
      <c r="V227" s="10"/>
      <c r="W227" s="10"/>
      <c r="X227" s="10"/>
      <c r="Y227" s="10"/>
      <c r="Z227" s="10"/>
      <c r="AA227" s="10"/>
    </row>
    <row r="228" spans="1:27">
      <c r="A228" s="10"/>
      <c r="B228" s="10"/>
      <c r="C228" s="369"/>
      <c r="D228" s="347"/>
      <c r="E228" s="165" t="s">
        <v>576</v>
      </c>
      <c r="F228" s="151">
        <v>3.0200000000000001E-2</v>
      </c>
      <c r="G228" s="152">
        <v>1.9199999999999998E-2</v>
      </c>
      <c r="H228" s="166"/>
      <c r="I228" s="16"/>
      <c r="J228" s="10"/>
      <c r="K228" s="10"/>
      <c r="L228" s="10"/>
      <c r="M228" s="10"/>
      <c r="N228" s="10"/>
      <c r="O228" s="10"/>
      <c r="P228" s="10"/>
      <c r="Q228" s="10"/>
      <c r="R228" s="10"/>
      <c r="S228" s="10"/>
      <c r="T228" s="10"/>
      <c r="U228" s="10"/>
      <c r="V228" s="10"/>
      <c r="W228" s="10"/>
      <c r="X228" s="10"/>
      <c r="Y228" s="10"/>
      <c r="Z228" s="10"/>
      <c r="AA228" s="10"/>
    </row>
    <row r="229" spans="1:27">
      <c r="A229" s="10"/>
      <c r="B229" s="167"/>
      <c r="C229" s="335" t="s">
        <v>577</v>
      </c>
      <c r="D229" s="358" t="s">
        <v>237</v>
      </c>
      <c r="E229" s="150" t="s">
        <v>574</v>
      </c>
      <c r="F229" s="168">
        <v>1.1000000000000001E-3</v>
      </c>
      <c r="G229" s="169">
        <v>1.6999999999999999E-3</v>
      </c>
      <c r="H229" s="166"/>
      <c r="I229" s="16"/>
      <c r="J229" s="10"/>
      <c r="K229" s="10"/>
      <c r="L229" s="10"/>
      <c r="M229" s="10"/>
      <c r="N229" s="10"/>
      <c r="O229" s="10"/>
      <c r="P229" s="10"/>
      <c r="Q229" s="10"/>
      <c r="R229" s="10"/>
      <c r="S229" s="10"/>
      <c r="T229" s="10"/>
      <c r="U229" s="10"/>
      <c r="V229" s="10"/>
      <c r="W229" s="10"/>
      <c r="X229" s="10"/>
      <c r="Y229" s="10"/>
      <c r="Z229" s="10"/>
      <c r="AA229" s="10"/>
    </row>
    <row r="230" spans="1:27">
      <c r="A230" s="10"/>
      <c r="B230" s="167"/>
      <c r="C230" s="336"/>
      <c r="D230" s="346"/>
      <c r="E230" s="170" t="s">
        <v>575</v>
      </c>
      <c r="F230" s="171">
        <v>8.9999999999999998E-4</v>
      </c>
      <c r="G230" s="172">
        <v>1.4E-3</v>
      </c>
      <c r="H230" s="16"/>
      <c r="I230" s="10"/>
      <c r="J230" s="10"/>
      <c r="K230" s="10"/>
      <c r="L230" s="10"/>
      <c r="M230" s="10"/>
      <c r="N230" s="10"/>
      <c r="O230" s="10"/>
      <c r="P230" s="10"/>
      <c r="Q230" s="10"/>
      <c r="R230" s="10"/>
      <c r="S230" s="10"/>
      <c r="T230" s="10"/>
      <c r="U230" s="10"/>
      <c r="V230" s="10"/>
      <c r="W230" s="10"/>
      <c r="X230" s="10"/>
      <c r="Y230" s="10"/>
      <c r="Z230" s="10"/>
      <c r="AA230" s="10"/>
    </row>
    <row r="231" spans="1:27">
      <c r="A231" s="10"/>
      <c r="B231" s="167"/>
      <c r="C231" s="337"/>
      <c r="D231" s="347"/>
      <c r="E231" s="150" t="s">
        <v>576</v>
      </c>
      <c r="F231" s="168">
        <v>2.9000000000000001E-2</v>
      </c>
      <c r="G231" s="169">
        <v>2.1399999999999999E-2</v>
      </c>
      <c r="H231" s="166"/>
      <c r="I231" s="10"/>
      <c r="J231" s="10"/>
      <c r="K231" s="10"/>
      <c r="L231" s="10"/>
      <c r="M231" s="10"/>
      <c r="N231" s="10"/>
      <c r="O231" s="10"/>
      <c r="P231" s="10"/>
      <c r="Q231" s="10"/>
      <c r="R231" s="10"/>
      <c r="S231" s="10"/>
      <c r="T231" s="10"/>
      <c r="U231" s="10"/>
      <c r="V231" s="10"/>
      <c r="W231" s="10"/>
      <c r="X231" s="10"/>
      <c r="Y231" s="10"/>
      <c r="Z231" s="10"/>
      <c r="AA231" s="10"/>
    </row>
    <row r="232" spans="1:27">
      <c r="A232" s="10"/>
      <c r="B232" s="10"/>
      <c r="C232" s="335" t="s">
        <v>578</v>
      </c>
      <c r="D232" s="358" t="s">
        <v>237</v>
      </c>
      <c r="E232" s="150" t="s">
        <v>579</v>
      </c>
      <c r="F232" s="151">
        <v>5.1000000000000004E-3</v>
      </c>
      <c r="G232" s="152">
        <v>4.7999999999999996E-3</v>
      </c>
      <c r="H232" s="166"/>
      <c r="I232" s="10"/>
      <c r="J232" s="10"/>
      <c r="K232" s="10"/>
      <c r="L232" s="10"/>
      <c r="M232" s="10"/>
      <c r="N232" s="10"/>
      <c r="O232" s="10"/>
      <c r="P232" s="10"/>
      <c r="Q232" s="10"/>
      <c r="R232" s="10"/>
      <c r="S232" s="10"/>
      <c r="T232" s="10"/>
      <c r="U232" s="10"/>
      <c r="V232" s="10"/>
      <c r="W232" s="10"/>
      <c r="X232" s="10"/>
      <c r="Y232" s="10"/>
      <c r="Z232" s="10"/>
      <c r="AA232" s="10"/>
    </row>
    <row r="233" spans="1:27">
      <c r="A233" s="10"/>
      <c r="B233" s="10"/>
      <c r="C233" s="337"/>
      <c r="D233" s="347"/>
      <c r="E233" s="150" t="s">
        <v>576</v>
      </c>
      <c r="F233" s="151">
        <v>9.4999999999999998E-3</v>
      </c>
      <c r="G233" s="152">
        <v>4.3099999999999999E-2</v>
      </c>
      <c r="H233" s="166"/>
      <c r="I233" s="10"/>
      <c r="J233" s="10"/>
      <c r="K233" s="10"/>
      <c r="L233" s="10"/>
      <c r="M233" s="10"/>
      <c r="N233" s="10"/>
      <c r="O233" s="10"/>
      <c r="P233" s="10"/>
      <c r="Q233" s="10"/>
      <c r="R233" s="10"/>
      <c r="S233" s="10"/>
      <c r="T233" s="10"/>
      <c r="U233" s="10"/>
      <c r="V233" s="10"/>
      <c r="W233" s="10"/>
      <c r="X233" s="10"/>
      <c r="Y233" s="10"/>
      <c r="Z233" s="10"/>
      <c r="AA233" s="10"/>
    </row>
    <row r="234" spans="1:27">
      <c r="A234" s="10"/>
      <c r="B234" s="10"/>
      <c r="C234" s="329" t="s">
        <v>580</v>
      </c>
      <c r="D234" s="173" t="s">
        <v>581</v>
      </c>
      <c r="E234" s="174"/>
      <c r="F234" s="151">
        <v>8.0000000000000002E-3</v>
      </c>
      <c r="G234" s="175">
        <v>5.0000000000000001E-3</v>
      </c>
      <c r="H234" s="166"/>
      <c r="I234" s="10"/>
      <c r="J234" s="10"/>
      <c r="K234" s="10"/>
      <c r="L234" s="10"/>
      <c r="M234" s="10"/>
      <c r="N234" s="10"/>
      <c r="O234" s="10"/>
      <c r="P234" s="10"/>
      <c r="Q234" s="10"/>
      <c r="R234" s="10"/>
      <c r="S234" s="10"/>
      <c r="T234" s="10"/>
      <c r="U234" s="10"/>
      <c r="V234" s="10"/>
      <c r="W234" s="10"/>
      <c r="X234" s="10"/>
      <c r="Y234" s="10"/>
      <c r="Z234" s="10"/>
      <c r="AA234" s="10"/>
    </row>
    <row r="235" spans="1:27">
      <c r="A235" s="10"/>
      <c r="B235" s="10"/>
      <c r="C235" s="324"/>
      <c r="D235" s="173" t="s">
        <v>285</v>
      </c>
      <c r="E235" s="174"/>
      <c r="F235" s="151">
        <v>8.0000000000000002E-3</v>
      </c>
      <c r="G235" s="175">
        <v>5.0000000000000001E-3</v>
      </c>
      <c r="H235" s="166"/>
      <c r="I235" s="10"/>
      <c r="J235" s="10"/>
      <c r="K235" s="10"/>
      <c r="L235" s="10"/>
      <c r="M235" s="10"/>
      <c r="N235" s="10"/>
      <c r="O235" s="10"/>
      <c r="P235" s="10"/>
      <c r="Q235" s="10"/>
      <c r="R235" s="10"/>
      <c r="S235" s="10"/>
      <c r="T235" s="10"/>
      <c r="U235" s="10"/>
      <c r="V235" s="10"/>
      <c r="W235" s="10"/>
      <c r="X235" s="10"/>
      <c r="Y235" s="10"/>
      <c r="Z235" s="10"/>
      <c r="AA235" s="10"/>
    </row>
    <row r="236" spans="1:27">
      <c r="A236" s="10"/>
      <c r="B236" s="10"/>
      <c r="C236" s="324"/>
      <c r="D236" s="173" t="s">
        <v>380</v>
      </c>
      <c r="E236" s="174"/>
      <c r="F236" s="176">
        <v>8.1000000000000003E-2</v>
      </c>
      <c r="G236" s="175">
        <v>5.0000000000000001E-3</v>
      </c>
      <c r="H236" s="166"/>
      <c r="I236" s="10"/>
      <c r="J236" s="10"/>
      <c r="K236" s="10"/>
      <c r="L236" s="10"/>
      <c r="M236" s="10"/>
      <c r="N236" s="10"/>
      <c r="O236" s="10"/>
      <c r="P236" s="10"/>
      <c r="Q236" s="10"/>
      <c r="R236" s="10"/>
      <c r="S236" s="10"/>
      <c r="T236" s="10"/>
      <c r="U236" s="10"/>
      <c r="V236" s="10"/>
      <c r="W236" s="10"/>
      <c r="X236" s="10"/>
      <c r="Y236" s="10"/>
      <c r="Z236" s="10"/>
      <c r="AA236" s="10"/>
    </row>
    <row r="237" spans="1:27">
      <c r="A237" s="10"/>
      <c r="B237" s="10"/>
      <c r="C237" s="324"/>
      <c r="D237" s="173" t="s">
        <v>213</v>
      </c>
      <c r="E237" s="174"/>
      <c r="F237" s="151">
        <v>8.0000000000000002E-3</v>
      </c>
      <c r="G237" s="175">
        <v>5.0000000000000001E-3</v>
      </c>
      <c r="H237" s="166"/>
      <c r="I237" s="10"/>
      <c r="J237" s="10"/>
      <c r="K237" s="10"/>
      <c r="L237" s="10"/>
      <c r="M237" s="10"/>
      <c r="N237" s="10"/>
      <c r="O237" s="10"/>
      <c r="P237" s="10"/>
      <c r="Q237" s="10"/>
      <c r="R237" s="10"/>
      <c r="S237" s="10"/>
      <c r="T237" s="10"/>
      <c r="U237" s="10"/>
      <c r="V237" s="10"/>
      <c r="W237" s="10"/>
      <c r="X237" s="10"/>
      <c r="Y237" s="10"/>
      <c r="Z237" s="10"/>
      <c r="AA237" s="10"/>
    </row>
    <row r="238" spans="1:27">
      <c r="A238" s="10"/>
      <c r="B238" s="10"/>
      <c r="C238" s="330"/>
      <c r="D238" s="173" t="s">
        <v>582</v>
      </c>
      <c r="E238" s="174"/>
      <c r="F238" s="151">
        <v>0.03</v>
      </c>
      <c r="G238" s="152">
        <v>1.9E-2</v>
      </c>
      <c r="H238" s="166"/>
      <c r="I238" s="10"/>
      <c r="J238" s="10"/>
      <c r="K238" s="10"/>
      <c r="L238" s="10"/>
      <c r="M238" s="10"/>
      <c r="N238" s="10"/>
      <c r="O238" s="10"/>
      <c r="P238" s="10"/>
      <c r="Q238" s="10"/>
      <c r="R238" s="10"/>
      <c r="S238" s="10"/>
      <c r="T238" s="10"/>
      <c r="U238" s="10"/>
      <c r="V238" s="10"/>
      <c r="W238" s="10"/>
      <c r="X238" s="10"/>
      <c r="Y238" s="10"/>
      <c r="Z238" s="10"/>
      <c r="AA238" s="10"/>
    </row>
    <row r="239" spans="1:27">
      <c r="A239" s="10"/>
      <c r="B239" s="10"/>
      <c r="C239" s="329" t="s">
        <v>577</v>
      </c>
      <c r="D239" s="173" t="s">
        <v>285</v>
      </c>
      <c r="E239" s="174"/>
      <c r="F239" s="151">
        <v>1.2E-2</v>
      </c>
      <c r="G239" s="175">
        <v>8.9999999999999993E-3</v>
      </c>
      <c r="H239" s="166"/>
      <c r="I239" s="10"/>
      <c r="J239" s="10"/>
      <c r="K239" s="10"/>
      <c r="L239" s="10"/>
      <c r="M239" s="10"/>
      <c r="N239" s="10"/>
      <c r="O239" s="10"/>
      <c r="P239" s="10"/>
      <c r="Q239" s="10"/>
      <c r="R239" s="10"/>
      <c r="S239" s="10"/>
      <c r="T239" s="10"/>
      <c r="U239" s="10"/>
      <c r="V239" s="10"/>
      <c r="W239" s="10"/>
      <c r="X239" s="10"/>
      <c r="Y239" s="10"/>
      <c r="Z239" s="10"/>
      <c r="AA239" s="10"/>
    </row>
    <row r="240" spans="1:27">
      <c r="A240" s="10"/>
      <c r="B240" s="10"/>
      <c r="C240" s="324"/>
      <c r="D240" s="173" t="s">
        <v>380</v>
      </c>
      <c r="E240" s="174"/>
      <c r="F240" s="176">
        <v>0.121</v>
      </c>
      <c r="G240" s="175">
        <v>8.9999999999999993E-3</v>
      </c>
      <c r="H240" s="166"/>
      <c r="I240" s="10"/>
      <c r="J240" s="10"/>
      <c r="K240" s="10"/>
      <c r="L240" s="10"/>
      <c r="M240" s="10"/>
      <c r="N240" s="10"/>
      <c r="O240" s="10"/>
      <c r="P240" s="10"/>
      <c r="Q240" s="10"/>
      <c r="R240" s="10"/>
      <c r="S240" s="10"/>
      <c r="T240" s="10"/>
      <c r="U240" s="10"/>
      <c r="V240" s="10"/>
      <c r="W240" s="10"/>
      <c r="X240" s="10"/>
      <c r="Y240" s="10"/>
      <c r="Z240" s="10"/>
      <c r="AA240" s="10"/>
    </row>
    <row r="241" spans="1:27">
      <c r="A241" s="10"/>
      <c r="B241" s="10"/>
      <c r="C241" s="324"/>
      <c r="D241" s="173" t="s">
        <v>213</v>
      </c>
      <c r="E241" s="174"/>
      <c r="F241" s="151">
        <v>1.2E-2</v>
      </c>
      <c r="G241" s="175">
        <v>1.2E-2</v>
      </c>
      <c r="H241" s="166"/>
      <c r="I241" s="10"/>
      <c r="J241" s="10"/>
      <c r="K241" s="10"/>
      <c r="L241" s="10"/>
      <c r="M241" s="10"/>
      <c r="N241" s="10"/>
      <c r="O241" s="10"/>
      <c r="P241" s="10"/>
      <c r="Q241" s="10"/>
      <c r="R241" s="10"/>
      <c r="S241" s="10"/>
      <c r="T241" s="10"/>
      <c r="U241" s="10"/>
      <c r="V241" s="10"/>
      <c r="W241" s="10"/>
      <c r="X241" s="10"/>
      <c r="Y241" s="10"/>
      <c r="Z241" s="10"/>
      <c r="AA241" s="10"/>
    </row>
    <row r="242" spans="1:27">
      <c r="A242" s="10"/>
      <c r="B242" s="10"/>
      <c r="C242" s="324"/>
      <c r="D242" s="173" t="s">
        <v>583</v>
      </c>
      <c r="E242" s="174"/>
      <c r="F242" s="176">
        <v>0.121</v>
      </c>
      <c r="G242" s="175">
        <v>8.9999999999999993E-3</v>
      </c>
      <c r="H242" s="166"/>
      <c r="I242" s="10"/>
      <c r="J242" s="10"/>
      <c r="K242" s="10"/>
      <c r="L242" s="10"/>
      <c r="M242" s="10"/>
      <c r="N242" s="10"/>
      <c r="O242" s="10"/>
      <c r="P242" s="10"/>
      <c r="Q242" s="10"/>
      <c r="R242" s="10"/>
      <c r="S242" s="10"/>
      <c r="T242" s="10"/>
      <c r="U242" s="10"/>
      <c r="V242" s="10"/>
      <c r="W242" s="10"/>
      <c r="X242" s="10"/>
      <c r="Y242" s="10"/>
      <c r="Z242" s="10"/>
      <c r="AA242" s="10"/>
    </row>
    <row r="243" spans="1:27">
      <c r="A243" s="10"/>
      <c r="B243" s="10"/>
      <c r="C243" s="330"/>
      <c r="D243" s="173" t="s">
        <v>582</v>
      </c>
      <c r="E243" s="174"/>
      <c r="F243" s="151">
        <v>2.9000000000000001E-2</v>
      </c>
      <c r="G243" s="152">
        <v>2.1000000000000001E-2</v>
      </c>
      <c r="H243" s="166"/>
      <c r="I243" s="10"/>
      <c r="J243" s="10"/>
      <c r="K243" s="10"/>
      <c r="L243" s="10"/>
      <c r="M243" s="10"/>
      <c r="N243" s="10"/>
      <c r="O243" s="10"/>
      <c r="P243" s="10"/>
      <c r="Q243" s="10"/>
      <c r="R243" s="10"/>
      <c r="S243" s="10"/>
      <c r="T243" s="10"/>
      <c r="U243" s="10"/>
      <c r="V243" s="10"/>
      <c r="W243" s="10"/>
      <c r="X243" s="10"/>
      <c r="Y243" s="10"/>
      <c r="Z243" s="10"/>
      <c r="AA243" s="10"/>
    </row>
    <row r="244" spans="1:27">
      <c r="A244" s="10"/>
      <c r="B244" s="10"/>
      <c r="C244" s="329" t="s">
        <v>584</v>
      </c>
      <c r="D244" s="173" t="s">
        <v>380</v>
      </c>
      <c r="E244" s="174"/>
      <c r="F244" s="79">
        <v>4.2</v>
      </c>
      <c r="G244" s="152">
        <v>1E-3</v>
      </c>
      <c r="H244" s="166"/>
      <c r="I244" s="10"/>
      <c r="J244" s="10"/>
      <c r="K244" s="10"/>
      <c r="L244" s="10"/>
      <c r="M244" s="10"/>
      <c r="N244" s="10"/>
      <c r="O244" s="10"/>
      <c r="P244" s="10"/>
      <c r="Q244" s="10"/>
      <c r="R244" s="10"/>
      <c r="S244" s="10"/>
      <c r="T244" s="10"/>
      <c r="U244" s="10"/>
      <c r="V244" s="10"/>
      <c r="W244" s="10"/>
      <c r="X244" s="10"/>
      <c r="Y244" s="10"/>
      <c r="Z244" s="10"/>
      <c r="AA244" s="10"/>
    </row>
    <row r="245" spans="1:27">
      <c r="A245" s="10"/>
      <c r="B245" s="10"/>
      <c r="C245" s="324"/>
      <c r="D245" s="173" t="s">
        <v>213</v>
      </c>
      <c r="E245" s="174"/>
      <c r="F245" s="151">
        <v>1.4E-2</v>
      </c>
      <c r="G245" s="152">
        <v>3.4000000000000002E-2</v>
      </c>
      <c r="H245" s="166"/>
      <c r="I245" s="10"/>
      <c r="J245" s="10"/>
      <c r="K245" s="10"/>
      <c r="L245" s="10"/>
      <c r="M245" s="10"/>
      <c r="N245" s="10"/>
      <c r="O245" s="10"/>
      <c r="P245" s="10"/>
      <c r="Q245" s="10"/>
      <c r="R245" s="10"/>
      <c r="S245" s="10"/>
      <c r="T245" s="10"/>
      <c r="U245" s="10"/>
      <c r="V245" s="10"/>
      <c r="W245" s="10"/>
      <c r="X245" s="10"/>
      <c r="Y245" s="10"/>
      <c r="Z245" s="10"/>
      <c r="AA245" s="10"/>
    </row>
    <row r="246" spans="1:27">
      <c r="A246" s="10"/>
      <c r="B246" s="10"/>
      <c r="C246" s="324"/>
      <c r="D246" s="173" t="s">
        <v>583</v>
      </c>
      <c r="E246" s="174"/>
      <c r="F246" s="79">
        <v>4.2</v>
      </c>
      <c r="G246" s="175">
        <v>1E-3</v>
      </c>
      <c r="H246" s="166"/>
      <c r="I246" s="10"/>
      <c r="J246" s="10"/>
      <c r="K246" s="10"/>
      <c r="L246" s="10"/>
      <c r="M246" s="10"/>
      <c r="N246" s="10"/>
      <c r="O246" s="10"/>
      <c r="P246" s="10"/>
      <c r="Q246" s="10"/>
      <c r="R246" s="10"/>
      <c r="S246" s="10"/>
      <c r="T246" s="10"/>
      <c r="U246" s="10"/>
      <c r="V246" s="10"/>
      <c r="W246" s="10"/>
      <c r="X246" s="10"/>
      <c r="Y246" s="10"/>
      <c r="Z246" s="10"/>
      <c r="AA246" s="10"/>
    </row>
    <row r="247" spans="1:27">
      <c r="A247" s="10"/>
      <c r="B247" s="10"/>
      <c r="C247" s="330"/>
      <c r="D247" s="173" t="s">
        <v>582</v>
      </c>
      <c r="E247" s="174"/>
      <c r="F247" s="151">
        <v>8.9999999999999993E-3</v>
      </c>
      <c r="G247" s="175">
        <v>4.2999999999999997E-2</v>
      </c>
      <c r="H247" s="166"/>
      <c r="I247" s="10"/>
      <c r="J247" s="10"/>
      <c r="K247" s="10"/>
      <c r="L247" s="10"/>
      <c r="M247" s="10"/>
      <c r="N247" s="10"/>
      <c r="O247" s="10"/>
      <c r="P247" s="10"/>
      <c r="Q247" s="10"/>
      <c r="R247" s="10"/>
      <c r="S247" s="10"/>
      <c r="T247" s="10"/>
      <c r="U247" s="10"/>
      <c r="V247" s="10"/>
      <c r="W247" s="10"/>
      <c r="X247" s="10"/>
      <c r="Y247" s="10"/>
      <c r="Z247" s="10"/>
      <c r="AA247" s="10"/>
    </row>
    <row r="248" spans="1:27">
      <c r="A248" s="10"/>
      <c r="B248" s="10"/>
      <c r="C248" s="329" t="s">
        <v>585</v>
      </c>
      <c r="D248" s="173" t="s">
        <v>581</v>
      </c>
      <c r="E248" s="174"/>
      <c r="F248" s="151">
        <v>7.4999999999999997E-2</v>
      </c>
      <c r="G248" s="152">
        <v>2.8000000000000001E-2</v>
      </c>
      <c r="H248" s="166"/>
      <c r="I248" s="10"/>
      <c r="J248" s="10"/>
      <c r="K248" s="10"/>
      <c r="L248" s="10"/>
      <c r="M248" s="10"/>
      <c r="N248" s="10"/>
      <c r="O248" s="10"/>
      <c r="P248" s="10"/>
      <c r="Q248" s="10"/>
      <c r="R248" s="10"/>
      <c r="S248" s="10"/>
      <c r="T248" s="10"/>
      <c r="U248" s="10"/>
      <c r="V248" s="10"/>
      <c r="W248" s="10"/>
      <c r="X248" s="10"/>
      <c r="Y248" s="10"/>
      <c r="Z248" s="10"/>
      <c r="AA248" s="10"/>
    </row>
    <row r="249" spans="1:27">
      <c r="A249" s="10"/>
      <c r="B249" s="10"/>
      <c r="C249" s="324"/>
      <c r="D249" s="173" t="s">
        <v>285</v>
      </c>
      <c r="E249" s="174"/>
      <c r="F249" s="151">
        <v>7.4999999999999997E-2</v>
      </c>
      <c r="G249" s="152">
        <v>2.8000000000000001E-2</v>
      </c>
      <c r="H249" s="166"/>
      <c r="I249" s="10"/>
      <c r="J249" s="10"/>
      <c r="K249" s="10"/>
      <c r="L249" s="10"/>
      <c r="M249" s="10"/>
      <c r="N249" s="10"/>
      <c r="O249" s="10"/>
      <c r="P249" s="10"/>
      <c r="Q249" s="10"/>
      <c r="R249" s="10"/>
      <c r="S249" s="10"/>
      <c r="T249" s="10"/>
      <c r="U249" s="10"/>
      <c r="V249" s="10"/>
      <c r="W249" s="10"/>
      <c r="X249" s="10"/>
      <c r="Y249" s="10"/>
      <c r="Z249" s="10"/>
      <c r="AA249" s="10"/>
    </row>
    <row r="250" spans="1:27">
      <c r="A250" s="10"/>
      <c r="B250" s="10"/>
      <c r="C250" s="324"/>
      <c r="D250" s="173" t="s">
        <v>380</v>
      </c>
      <c r="E250" s="174"/>
      <c r="F250" s="47">
        <v>3.7</v>
      </c>
      <c r="G250" s="152">
        <v>1E-3</v>
      </c>
      <c r="H250" s="166"/>
      <c r="I250" s="10"/>
      <c r="J250" s="10"/>
      <c r="K250" s="10"/>
      <c r="L250" s="10"/>
      <c r="M250" s="10"/>
      <c r="N250" s="10"/>
      <c r="O250" s="10"/>
      <c r="P250" s="10"/>
      <c r="Q250" s="10"/>
      <c r="R250" s="10"/>
      <c r="S250" s="10"/>
      <c r="T250" s="10"/>
      <c r="U250" s="10"/>
      <c r="V250" s="10"/>
      <c r="W250" s="10"/>
      <c r="X250" s="10"/>
      <c r="Y250" s="10"/>
      <c r="Z250" s="10"/>
      <c r="AA250" s="10"/>
    </row>
    <row r="251" spans="1:27">
      <c r="A251" s="10"/>
      <c r="B251" s="10"/>
      <c r="C251" s="324"/>
      <c r="D251" s="173" t="s">
        <v>213</v>
      </c>
      <c r="E251" s="174"/>
      <c r="F251" s="151">
        <v>1.2999999999999999E-2</v>
      </c>
      <c r="G251" s="152">
        <v>2.5999999999999999E-2</v>
      </c>
      <c r="H251" s="166"/>
      <c r="I251" s="10"/>
      <c r="J251" s="10"/>
      <c r="K251" s="10"/>
      <c r="L251" s="10"/>
      <c r="M251" s="10"/>
      <c r="N251" s="10"/>
      <c r="O251" s="10"/>
      <c r="P251" s="10"/>
      <c r="Q251" s="10"/>
      <c r="R251" s="10"/>
      <c r="S251" s="10"/>
      <c r="T251" s="10"/>
      <c r="U251" s="10"/>
      <c r="V251" s="10"/>
      <c r="W251" s="10"/>
      <c r="X251" s="10"/>
      <c r="Y251" s="10"/>
      <c r="Z251" s="10"/>
      <c r="AA251" s="10"/>
    </row>
    <row r="252" spans="1:27" s="318" customFormat="1" ht="13.5" customHeight="1">
      <c r="C252" s="324"/>
      <c r="D252" s="173" t="s">
        <v>583</v>
      </c>
      <c r="E252" s="174"/>
      <c r="F252" s="47">
        <v>3.7</v>
      </c>
      <c r="G252" s="152">
        <v>1E-3</v>
      </c>
      <c r="J252" s="10"/>
      <c r="K252" s="10"/>
      <c r="L252" s="10"/>
      <c r="M252" s="10"/>
    </row>
    <row r="253" spans="1:27" s="318" customFormat="1" ht="13.5" customHeight="1">
      <c r="C253" s="330"/>
      <c r="D253" s="173" t="s">
        <v>582</v>
      </c>
      <c r="E253" s="174"/>
      <c r="F253" s="151">
        <v>8.9999999999999993E-3</v>
      </c>
      <c r="G253" s="152">
        <v>4.2999999999999997E-2</v>
      </c>
      <c r="J253" s="10"/>
      <c r="K253" s="10"/>
      <c r="L253" s="10"/>
      <c r="M253" s="10"/>
    </row>
    <row r="254" spans="1:27" s="318" customFormat="1" ht="13.5" customHeight="1">
      <c r="C254" s="323" t="s">
        <v>586</v>
      </c>
      <c r="D254" s="173" t="s">
        <v>581</v>
      </c>
      <c r="E254" s="174"/>
      <c r="F254" s="176">
        <v>1.6E-2</v>
      </c>
      <c r="G254" s="152">
        <v>3.2000000000000001E-2</v>
      </c>
      <c r="J254" s="10"/>
      <c r="K254" s="10"/>
      <c r="L254" s="10"/>
      <c r="M254" s="10"/>
    </row>
    <row r="255" spans="1:27" s="318" customFormat="1" ht="13.5" customHeight="1">
      <c r="C255" s="324"/>
      <c r="D255" s="177" t="s">
        <v>285</v>
      </c>
      <c r="E255" s="174"/>
      <c r="F255" s="176">
        <v>1.6E-2</v>
      </c>
      <c r="G255" s="152">
        <v>3.2000000000000001E-2</v>
      </c>
      <c r="J255" s="10"/>
      <c r="K255" s="10"/>
      <c r="L255" s="10"/>
      <c r="M255" s="10"/>
    </row>
    <row r="256" spans="1:27" s="318" customFormat="1" ht="13.5" customHeight="1">
      <c r="C256" s="324"/>
      <c r="D256" s="177" t="s">
        <v>380</v>
      </c>
      <c r="E256" s="174"/>
      <c r="F256" s="47">
        <v>10</v>
      </c>
      <c r="G256" s="152">
        <v>1E-3</v>
      </c>
      <c r="J256" s="10"/>
      <c r="K256" s="10"/>
      <c r="L256" s="10"/>
      <c r="M256" s="10"/>
    </row>
    <row r="257" spans="1:27" s="318" customFormat="1" ht="13.5" customHeight="1">
      <c r="C257" s="324"/>
      <c r="D257" s="177" t="s">
        <v>213</v>
      </c>
      <c r="E257" s="174"/>
      <c r="F257" s="151">
        <v>3.4000000000000002E-2</v>
      </c>
      <c r="G257" s="152">
        <v>1.7000000000000001E-2</v>
      </c>
      <c r="J257" s="10"/>
      <c r="K257" s="10"/>
      <c r="L257" s="10"/>
      <c r="M257" s="10"/>
    </row>
    <row r="258" spans="1:27" s="318" customFormat="1" ht="13.5" customHeight="1">
      <c r="C258" s="324"/>
      <c r="D258" s="177" t="s">
        <v>583</v>
      </c>
      <c r="E258" s="174"/>
      <c r="F258" s="47">
        <v>10</v>
      </c>
      <c r="G258" s="152">
        <v>1E-3</v>
      </c>
      <c r="J258" s="10"/>
      <c r="K258" s="10"/>
      <c r="L258" s="10"/>
      <c r="M258" s="10"/>
    </row>
    <row r="259" spans="1:27" s="318" customFormat="1" ht="13.9" customHeight="1" thickBot="1">
      <c r="C259" s="325"/>
      <c r="D259" s="178" t="s">
        <v>582</v>
      </c>
      <c r="E259" s="179"/>
      <c r="F259" s="157">
        <v>8.9999999999999993E-3</v>
      </c>
      <c r="G259" s="158">
        <v>4.2999999999999997E-2</v>
      </c>
      <c r="J259" s="10"/>
      <c r="K259" s="10"/>
      <c r="L259" s="10"/>
      <c r="M259" s="10"/>
    </row>
    <row r="260" spans="1:27" s="318" customFormat="1" ht="13.5" customHeight="1">
      <c r="C260" s="31" t="s">
        <v>587</v>
      </c>
      <c r="I260" s="16"/>
      <c r="L260" s="10"/>
      <c r="M260" s="10"/>
    </row>
    <row r="261" spans="1:27" s="318" customFormat="1" ht="12.6" customHeight="1"/>
    <row r="262" spans="1:27" ht="18" customHeight="1">
      <c r="B262" s="131" t="s">
        <v>588</v>
      </c>
      <c r="C262" s="132" t="s">
        <v>589</v>
      </c>
      <c r="D262" s="180"/>
      <c r="E262" s="180"/>
      <c r="F262" s="180"/>
      <c r="G262" s="134"/>
      <c r="H262" s="134"/>
      <c r="I262" s="134"/>
      <c r="J262" s="134"/>
      <c r="K262" s="134"/>
      <c r="L262" s="135"/>
      <c r="M262" s="10"/>
      <c r="N262" s="10"/>
      <c r="O262" s="10"/>
      <c r="P262" s="10"/>
      <c r="Q262" s="10"/>
      <c r="R262" s="10"/>
      <c r="S262" s="10"/>
      <c r="T262" s="10"/>
      <c r="U262" s="10"/>
      <c r="V262" s="10"/>
      <c r="W262" s="10"/>
      <c r="X262" s="10"/>
      <c r="Y262" s="10"/>
      <c r="Z262" s="10"/>
      <c r="AA262" s="10"/>
    </row>
    <row r="263" spans="1:27" ht="13.9" customHeight="1" thickBot="1">
      <c r="A263" s="10"/>
      <c r="B263" s="10"/>
      <c r="C263" s="118"/>
      <c r="D263" s="10"/>
      <c r="E263" s="10"/>
      <c r="F263" s="10"/>
      <c r="G263" s="10"/>
      <c r="H263" s="10"/>
      <c r="I263" s="10"/>
      <c r="J263" s="10"/>
      <c r="K263" s="10"/>
      <c r="L263" s="10"/>
      <c r="M263" s="10"/>
      <c r="N263" s="10"/>
      <c r="O263" s="10"/>
      <c r="P263" s="10"/>
      <c r="Q263" s="10"/>
      <c r="R263" s="10"/>
      <c r="S263" s="10"/>
      <c r="T263" s="10"/>
      <c r="U263" s="10"/>
      <c r="V263" s="10"/>
      <c r="W263" s="10"/>
      <c r="X263" s="10"/>
      <c r="Y263" s="10"/>
      <c r="Z263" s="10"/>
      <c r="AA263" s="10"/>
    </row>
    <row r="264" spans="1:27" ht="29.45" customHeight="1" thickBot="1">
      <c r="A264" s="10"/>
      <c r="B264" s="10"/>
      <c r="C264" s="181" t="s">
        <v>501</v>
      </c>
      <c r="D264" s="138" t="s">
        <v>489</v>
      </c>
      <c r="E264" s="138" t="s">
        <v>590</v>
      </c>
      <c r="F264" s="139" t="s">
        <v>591</v>
      </c>
      <c r="G264" s="140"/>
      <c r="H264" s="10"/>
      <c r="I264" s="10"/>
      <c r="J264" s="10"/>
      <c r="K264" s="10"/>
      <c r="L264" s="10"/>
      <c r="M264" s="10"/>
      <c r="N264" s="10"/>
      <c r="O264" s="10"/>
      <c r="P264" s="10"/>
      <c r="Q264" s="10"/>
      <c r="R264" s="10"/>
      <c r="S264" s="10"/>
      <c r="T264" s="10"/>
      <c r="U264" s="10"/>
      <c r="V264" s="10"/>
      <c r="W264" s="10"/>
      <c r="X264" s="10"/>
      <c r="Y264" s="10"/>
      <c r="Z264" s="10"/>
      <c r="AA264" s="10"/>
    </row>
    <row r="265" spans="1:27">
      <c r="A265" s="10"/>
      <c r="B265" s="10"/>
      <c r="C265" s="348" t="s">
        <v>592</v>
      </c>
      <c r="D265" s="173" t="s">
        <v>240</v>
      </c>
      <c r="E265" s="182">
        <v>1.1100000000000001</v>
      </c>
      <c r="F265" s="183">
        <v>0.32</v>
      </c>
      <c r="G265" s="184"/>
      <c r="H265" s="184"/>
      <c r="I265" s="10"/>
      <c r="J265" s="10"/>
      <c r="K265" s="10"/>
      <c r="L265" s="10"/>
      <c r="M265" s="10"/>
      <c r="N265" s="10"/>
      <c r="O265" s="10"/>
      <c r="P265" s="10"/>
      <c r="Q265" s="10"/>
      <c r="R265" s="10"/>
      <c r="S265" s="10"/>
      <c r="T265" s="10"/>
      <c r="U265" s="10"/>
      <c r="V265" s="10"/>
      <c r="W265" s="10"/>
      <c r="X265" s="10"/>
      <c r="Y265" s="10"/>
      <c r="Z265" s="10"/>
      <c r="AA265" s="10"/>
    </row>
    <row r="266" spans="1:27">
      <c r="A266" s="10"/>
      <c r="B266" s="10"/>
      <c r="C266" s="324"/>
      <c r="D266" s="173" t="s">
        <v>593</v>
      </c>
      <c r="E266" s="185">
        <v>4.58</v>
      </c>
      <c r="F266" s="186">
        <v>0.08</v>
      </c>
      <c r="G266" s="184"/>
      <c r="H266" s="184"/>
      <c r="I266" s="10"/>
      <c r="J266" s="10"/>
      <c r="K266" s="10"/>
      <c r="L266" s="10"/>
      <c r="M266" s="10"/>
      <c r="N266" s="10"/>
      <c r="O266" s="10"/>
      <c r="P266" s="10"/>
      <c r="Q266" s="10"/>
      <c r="R266" s="10"/>
      <c r="S266" s="10"/>
      <c r="T266" s="10"/>
      <c r="U266" s="10"/>
      <c r="V266" s="10"/>
      <c r="W266" s="10"/>
      <c r="X266" s="10"/>
      <c r="Y266" s="10"/>
      <c r="Z266" s="10"/>
      <c r="AA266" s="10"/>
    </row>
    <row r="267" spans="1:27">
      <c r="A267" s="10"/>
      <c r="B267" s="10"/>
      <c r="C267" s="324"/>
      <c r="D267" s="173" t="s">
        <v>594</v>
      </c>
      <c r="E267" s="185">
        <v>2.2400000000000002</v>
      </c>
      <c r="F267" s="186">
        <v>0.01</v>
      </c>
      <c r="G267" s="184"/>
      <c r="H267" s="184"/>
      <c r="I267" s="10"/>
      <c r="J267" s="10"/>
      <c r="K267" s="10"/>
      <c r="L267" s="10"/>
      <c r="M267" s="10"/>
      <c r="N267" s="10"/>
      <c r="O267" s="10"/>
      <c r="P267" s="10"/>
      <c r="Q267" s="10"/>
      <c r="R267" s="10"/>
      <c r="S267" s="10"/>
      <c r="T267" s="10"/>
      <c r="U267" s="10"/>
      <c r="V267" s="10"/>
      <c r="W267" s="10"/>
      <c r="X267" s="10"/>
      <c r="Y267" s="10"/>
      <c r="Z267" s="10"/>
      <c r="AA267" s="10"/>
    </row>
    <row r="268" spans="1:27">
      <c r="A268" s="10"/>
      <c r="B268" s="10"/>
      <c r="C268" s="330"/>
      <c r="D268" s="173" t="s">
        <v>237</v>
      </c>
      <c r="E268" s="185">
        <v>6.41</v>
      </c>
      <c r="F268" s="186">
        <v>0.17</v>
      </c>
      <c r="G268" s="184"/>
      <c r="H268" s="184"/>
      <c r="I268" s="10"/>
      <c r="J268" s="10"/>
      <c r="K268" s="10"/>
      <c r="L268" s="10"/>
      <c r="M268" s="10"/>
      <c r="N268" s="10"/>
      <c r="O268" s="10"/>
      <c r="P268" s="10"/>
      <c r="Q268" s="10"/>
      <c r="R268" s="10"/>
      <c r="S268" s="10"/>
      <c r="T268" s="10"/>
      <c r="U268" s="10"/>
      <c r="V268" s="10"/>
      <c r="W268" s="10"/>
      <c r="X268" s="10"/>
      <c r="Y268" s="10"/>
      <c r="Z268" s="10"/>
      <c r="AA268" s="10"/>
    </row>
    <row r="269" spans="1:27">
      <c r="A269" s="10"/>
      <c r="B269" s="10"/>
      <c r="C269" s="187" t="s">
        <v>595</v>
      </c>
      <c r="D269" s="173" t="s">
        <v>237</v>
      </c>
      <c r="E269" s="188">
        <v>0.8</v>
      </c>
      <c r="F269" s="189">
        <v>0.26</v>
      </c>
      <c r="G269" s="184"/>
      <c r="H269" s="184"/>
      <c r="I269" s="10"/>
      <c r="J269" s="10"/>
      <c r="K269" s="10"/>
      <c r="L269" s="10"/>
      <c r="M269" s="10"/>
      <c r="N269" s="10"/>
      <c r="O269" s="10"/>
      <c r="P269" s="10"/>
      <c r="Q269" s="10"/>
      <c r="R269" s="10"/>
      <c r="S269" s="10"/>
      <c r="T269" s="10"/>
      <c r="U269" s="10"/>
      <c r="V269" s="10"/>
      <c r="W269" s="10"/>
      <c r="X269" s="10"/>
      <c r="Y269" s="10"/>
      <c r="Z269" s="10"/>
      <c r="AA269" s="10"/>
    </row>
    <row r="270" spans="1:27">
      <c r="A270" s="10"/>
      <c r="B270" s="10"/>
      <c r="C270" s="329" t="s">
        <v>596</v>
      </c>
      <c r="D270" s="173" t="s">
        <v>292</v>
      </c>
      <c r="E270" s="188">
        <v>0</v>
      </c>
      <c r="F270" s="189">
        <v>0.3</v>
      </c>
      <c r="G270" s="184"/>
      <c r="H270" s="184"/>
      <c r="I270" s="10"/>
      <c r="J270" s="10"/>
      <c r="K270" s="10"/>
      <c r="L270" s="10"/>
      <c r="M270" s="10"/>
      <c r="N270" s="10"/>
      <c r="O270" s="10"/>
      <c r="P270" s="10"/>
      <c r="Q270" s="10"/>
      <c r="R270" s="10"/>
      <c r="S270" s="10"/>
      <c r="T270" s="10"/>
      <c r="U270" s="10"/>
      <c r="V270" s="10"/>
      <c r="W270" s="10"/>
      <c r="X270" s="10"/>
      <c r="Y270" s="10"/>
      <c r="Z270" s="10"/>
      <c r="AA270" s="10"/>
    </row>
    <row r="271" spans="1:27">
      <c r="A271" s="10"/>
      <c r="B271" s="10"/>
      <c r="C271" s="330"/>
      <c r="D271" s="173" t="s">
        <v>446</v>
      </c>
      <c r="E271" s="188">
        <v>7.06</v>
      </c>
      <c r="F271" s="189">
        <v>0.11</v>
      </c>
      <c r="G271" s="184"/>
      <c r="H271" s="184"/>
      <c r="I271" s="10"/>
      <c r="J271" s="10"/>
      <c r="K271" s="10"/>
      <c r="L271" s="10"/>
      <c r="M271" s="10"/>
      <c r="N271" s="10"/>
      <c r="O271" s="10"/>
      <c r="P271" s="10"/>
      <c r="Q271" s="10"/>
      <c r="R271" s="10"/>
      <c r="S271" s="10"/>
      <c r="T271" s="10"/>
      <c r="U271" s="10"/>
      <c r="V271" s="10"/>
      <c r="W271" s="10"/>
      <c r="X271" s="10"/>
      <c r="Y271" s="10"/>
      <c r="Z271" s="10"/>
      <c r="AA271" s="10"/>
    </row>
    <row r="272" spans="1:27">
      <c r="A272" s="10"/>
      <c r="B272" s="10"/>
      <c r="C272" s="329" t="s">
        <v>597</v>
      </c>
      <c r="D272" s="173" t="s">
        <v>593</v>
      </c>
      <c r="E272" s="185">
        <v>9.19</v>
      </c>
      <c r="F272" s="186">
        <v>0.26</v>
      </c>
      <c r="G272" s="184"/>
      <c r="H272" s="184"/>
      <c r="I272" s="10"/>
      <c r="J272" s="10"/>
      <c r="K272" s="10"/>
      <c r="L272" s="10"/>
      <c r="M272" s="10"/>
      <c r="N272" s="10"/>
      <c r="O272" s="10"/>
      <c r="P272" s="10"/>
      <c r="Q272" s="10"/>
      <c r="R272" s="10"/>
      <c r="S272" s="10"/>
      <c r="T272" s="10"/>
      <c r="U272" s="10"/>
      <c r="V272" s="10"/>
      <c r="W272" s="10"/>
      <c r="X272" s="10"/>
      <c r="Y272" s="10"/>
      <c r="Z272" s="10"/>
      <c r="AA272" s="10"/>
    </row>
    <row r="273" spans="1:27">
      <c r="A273" s="10"/>
      <c r="B273" s="10"/>
      <c r="C273" s="324"/>
      <c r="D273" s="173" t="s">
        <v>594</v>
      </c>
      <c r="E273" s="185">
        <v>3.33</v>
      </c>
      <c r="F273" s="186">
        <v>1.83</v>
      </c>
      <c r="G273" s="184"/>
      <c r="H273" s="184"/>
      <c r="I273" s="10"/>
      <c r="J273" s="10"/>
      <c r="K273" s="10"/>
      <c r="L273" s="10"/>
      <c r="M273" s="10"/>
      <c r="N273" s="10"/>
      <c r="O273" s="10"/>
      <c r="P273" s="10"/>
      <c r="Q273" s="10"/>
      <c r="R273" s="10"/>
      <c r="S273" s="10"/>
      <c r="T273" s="10"/>
      <c r="U273" s="10"/>
      <c r="V273" s="10"/>
      <c r="W273" s="10"/>
      <c r="X273" s="10"/>
      <c r="Y273" s="10"/>
      <c r="Z273" s="10"/>
      <c r="AA273" s="10"/>
    </row>
    <row r="274" spans="1:27">
      <c r="A274" s="10"/>
      <c r="B274" s="10"/>
      <c r="C274" s="324"/>
      <c r="D274" s="173" t="s">
        <v>237</v>
      </c>
      <c r="E274" s="185">
        <v>0.97</v>
      </c>
      <c r="F274" s="186">
        <v>0.9</v>
      </c>
      <c r="G274" s="184"/>
      <c r="H274" s="184"/>
      <c r="I274" s="10"/>
      <c r="J274" s="10"/>
      <c r="K274" s="10"/>
      <c r="L274" s="10"/>
      <c r="M274" s="10"/>
      <c r="N274" s="10"/>
      <c r="O274" s="10"/>
      <c r="P274" s="10"/>
      <c r="Q274" s="10"/>
      <c r="R274" s="10"/>
      <c r="S274" s="10"/>
      <c r="T274" s="10"/>
      <c r="U274" s="10"/>
      <c r="V274" s="10"/>
      <c r="W274" s="10"/>
      <c r="X274" s="10"/>
      <c r="Y274" s="10"/>
      <c r="Z274" s="10"/>
      <c r="AA274" s="10"/>
    </row>
    <row r="275" spans="1:27">
      <c r="A275" s="10"/>
      <c r="B275" s="10"/>
      <c r="C275" s="330"/>
      <c r="D275" s="173" t="s">
        <v>213</v>
      </c>
      <c r="E275" s="185">
        <v>0.42</v>
      </c>
      <c r="F275" s="186">
        <v>0.6</v>
      </c>
      <c r="G275" s="184"/>
      <c r="H275" s="184"/>
      <c r="I275" s="10"/>
      <c r="J275" s="10"/>
      <c r="K275" s="10"/>
      <c r="L275" s="10"/>
      <c r="M275" s="10"/>
      <c r="N275" s="10"/>
      <c r="O275" s="10"/>
      <c r="P275" s="10"/>
      <c r="Q275" s="10"/>
      <c r="R275" s="10"/>
      <c r="S275" s="10"/>
      <c r="T275" s="10"/>
      <c r="U275" s="10"/>
      <c r="V275" s="10"/>
      <c r="W275" s="10"/>
      <c r="X275" s="10"/>
      <c r="Y275" s="10"/>
      <c r="Z275" s="10"/>
      <c r="AA275" s="10"/>
    </row>
    <row r="276" spans="1:27">
      <c r="A276" s="10"/>
      <c r="B276" s="10"/>
      <c r="C276" s="329" t="s">
        <v>598</v>
      </c>
      <c r="D276" s="173" t="s">
        <v>244</v>
      </c>
      <c r="E276" s="185">
        <v>3.33</v>
      </c>
      <c r="F276" s="186">
        <v>1.84</v>
      </c>
      <c r="G276" s="184"/>
      <c r="H276" s="184"/>
      <c r="I276" s="10"/>
      <c r="J276" s="10"/>
      <c r="K276" s="10"/>
      <c r="L276" s="10"/>
      <c r="M276" s="10"/>
      <c r="N276" s="10"/>
      <c r="O276" s="10"/>
      <c r="P276" s="10"/>
      <c r="Q276" s="10"/>
      <c r="R276" s="10"/>
      <c r="S276" s="10"/>
      <c r="T276" s="10"/>
      <c r="U276" s="10"/>
      <c r="V276" s="10"/>
      <c r="W276" s="10"/>
      <c r="X276" s="10"/>
      <c r="Y276" s="10"/>
      <c r="Z276" s="10"/>
      <c r="AA276" s="10"/>
    </row>
    <row r="277" spans="1:27">
      <c r="A277" s="10"/>
      <c r="B277" s="10"/>
      <c r="C277" s="330"/>
      <c r="D277" s="173" t="s">
        <v>237</v>
      </c>
      <c r="E277" s="185">
        <v>0.99</v>
      </c>
      <c r="F277" s="186">
        <v>0.92</v>
      </c>
      <c r="G277" s="184"/>
      <c r="H277" s="184"/>
      <c r="I277" s="10"/>
      <c r="J277" s="10"/>
      <c r="K277" s="10"/>
      <c r="L277" s="10"/>
      <c r="M277" s="10"/>
      <c r="N277" s="10"/>
      <c r="O277" s="10"/>
      <c r="P277" s="10"/>
      <c r="Q277" s="10"/>
      <c r="R277" s="10"/>
      <c r="S277" s="10"/>
      <c r="T277" s="10"/>
      <c r="U277" s="10"/>
      <c r="V277" s="10"/>
      <c r="W277" s="10"/>
      <c r="X277" s="10"/>
      <c r="Y277" s="10"/>
      <c r="Z277" s="10"/>
      <c r="AA277" s="10"/>
    </row>
    <row r="278" spans="1:27">
      <c r="A278" s="10"/>
      <c r="B278" s="10"/>
      <c r="C278" s="329" t="s">
        <v>599</v>
      </c>
      <c r="D278" s="173" t="s">
        <v>593</v>
      </c>
      <c r="E278" s="185">
        <v>12.11</v>
      </c>
      <c r="F278" s="186">
        <v>0.34</v>
      </c>
      <c r="G278" s="184"/>
      <c r="H278" s="184"/>
      <c r="I278" s="10"/>
      <c r="J278" s="10"/>
      <c r="K278" s="10"/>
      <c r="L278" s="10"/>
      <c r="M278" s="10"/>
      <c r="N278" s="10"/>
      <c r="O278" s="10"/>
      <c r="P278" s="10"/>
      <c r="Q278" s="10"/>
      <c r="R278" s="10"/>
      <c r="S278" s="10"/>
      <c r="T278" s="10"/>
      <c r="U278" s="10"/>
      <c r="V278" s="10"/>
      <c r="W278" s="10"/>
      <c r="X278" s="10"/>
      <c r="Y278" s="10"/>
      <c r="Z278" s="10"/>
      <c r="AA278" s="10"/>
    </row>
    <row r="279" spans="1:27">
      <c r="A279" s="10"/>
      <c r="B279" s="10"/>
      <c r="C279" s="324"/>
      <c r="D279" s="173" t="s">
        <v>594</v>
      </c>
      <c r="E279" s="185">
        <v>3.03</v>
      </c>
      <c r="F279" s="186">
        <v>1.67</v>
      </c>
      <c r="G279" s="184"/>
      <c r="H279" s="184"/>
      <c r="I279" s="10"/>
      <c r="J279" s="10"/>
      <c r="K279" s="10"/>
      <c r="L279" s="10"/>
      <c r="M279" s="10"/>
      <c r="N279" s="10"/>
      <c r="O279" s="10"/>
      <c r="P279" s="10"/>
      <c r="Q279" s="10"/>
      <c r="R279" s="10"/>
      <c r="S279" s="10"/>
      <c r="T279" s="10"/>
      <c r="U279" s="10"/>
      <c r="V279" s="10"/>
      <c r="W279" s="10"/>
      <c r="X279" s="10"/>
      <c r="Y279" s="10"/>
      <c r="Z279" s="10"/>
      <c r="AA279" s="10"/>
    </row>
    <row r="280" spans="1:27">
      <c r="A280" s="10"/>
      <c r="B280" s="10"/>
      <c r="C280" s="324"/>
      <c r="D280" s="173" t="s">
        <v>237</v>
      </c>
      <c r="E280" s="185">
        <v>0.94</v>
      </c>
      <c r="F280" s="186">
        <v>0.87</v>
      </c>
      <c r="G280" s="184"/>
      <c r="H280" s="184"/>
      <c r="I280" s="10"/>
      <c r="J280" s="10"/>
      <c r="K280" s="10"/>
      <c r="L280" s="10"/>
      <c r="M280" s="10"/>
      <c r="N280" s="10"/>
      <c r="O280" s="10"/>
      <c r="P280" s="10"/>
      <c r="Q280" s="10"/>
      <c r="R280" s="10"/>
      <c r="S280" s="10"/>
      <c r="T280" s="10"/>
      <c r="U280" s="10"/>
      <c r="V280" s="10"/>
      <c r="W280" s="10"/>
      <c r="X280" s="10"/>
      <c r="Y280" s="10"/>
      <c r="Z280" s="10"/>
      <c r="AA280" s="10"/>
    </row>
    <row r="281" spans="1:27">
      <c r="A281" s="10"/>
      <c r="B281" s="10"/>
      <c r="C281" s="330"/>
      <c r="D281" s="190" t="s">
        <v>213</v>
      </c>
      <c r="E281" s="185">
        <v>0.44</v>
      </c>
      <c r="F281" s="186">
        <v>0.63</v>
      </c>
      <c r="G281" s="184"/>
      <c r="H281" s="184"/>
      <c r="I281" s="10"/>
      <c r="J281" s="10"/>
      <c r="K281" s="10"/>
      <c r="L281" s="10"/>
      <c r="M281" s="10"/>
      <c r="N281" s="10"/>
      <c r="O281" s="10"/>
      <c r="P281" s="10"/>
      <c r="Q281" s="10"/>
      <c r="R281" s="10"/>
      <c r="S281" s="10"/>
      <c r="T281" s="10"/>
      <c r="U281" s="10"/>
      <c r="V281" s="10"/>
      <c r="W281" s="10"/>
      <c r="X281" s="10"/>
      <c r="Y281" s="10"/>
      <c r="Z281" s="10"/>
      <c r="AA281" s="10"/>
    </row>
    <row r="282" spans="1:27">
      <c r="A282" s="10"/>
      <c r="B282" s="10"/>
      <c r="C282" s="329" t="s">
        <v>600</v>
      </c>
      <c r="D282" s="173" t="s">
        <v>244</v>
      </c>
      <c r="E282" s="185">
        <v>3.03</v>
      </c>
      <c r="F282" s="186">
        <v>1.67</v>
      </c>
      <c r="G282" s="184"/>
      <c r="H282" s="184"/>
      <c r="I282" s="10"/>
      <c r="J282" s="10"/>
      <c r="K282" s="10"/>
      <c r="L282" s="10"/>
      <c r="M282" s="10"/>
      <c r="N282" s="10"/>
      <c r="O282" s="10"/>
      <c r="P282" s="10"/>
      <c r="Q282" s="10"/>
      <c r="R282" s="10"/>
      <c r="S282" s="10"/>
      <c r="T282" s="10"/>
      <c r="U282" s="10"/>
      <c r="V282" s="10"/>
      <c r="W282" s="10"/>
      <c r="X282" s="10"/>
      <c r="Y282" s="10"/>
      <c r="Z282" s="10"/>
      <c r="AA282" s="10"/>
    </row>
    <row r="283" spans="1:27">
      <c r="A283" s="10"/>
      <c r="B283" s="10"/>
      <c r="C283" s="330"/>
      <c r="D283" s="173" t="s">
        <v>237</v>
      </c>
      <c r="E283" s="185">
        <v>0.99</v>
      </c>
      <c r="F283" s="186">
        <v>0.92</v>
      </c>
      <c r="G283" s="184"/>
      <c r="H283" s="184"/>
      <c r="I283" s="10"/>
      <c r="J283" s="10"/>
      <c r="K283" s="10"/>
      <c r="L283" s="10"/>
      <c r="M283" s="10"/>
      <c r="N283" s="10"/>
      <c r="O283" s="10"/>
      <c r="P283" s="10"/>
      <c r="Q283" s="10"/>
      <c r="R283" s="10"/>
      <c r="S283" s="10"/>
      <c r="T283" s="10"/>
      <c r="U283" s="10"/>
      <c r="V283" s="10"/>
      <c r="W283" s="10"/>
      <c r="X283" s="10"/>
      <c r="Y283" s="10"/>
      <c r="Z283" s="10"/>
      <c r="AA283" s="10"/>
    </row>
    <row r="284" spans="1:27">
      <c r="A284" s="10"/>
      <c r="B284" s="10"/>
      <c r="C284" s="329" t="s">
        <v>601</v>
      </c>
      <c r="D284" s="173" t="s">
        <v>593</v>
      </c>
      <c r="E284" s="185">
        <v>10.210000000000001</v>
      </c>
      <c r="F284" s="186">
        <v>0.28000000000000003</v>
      </c>
      <c r="G284" s="184"/>
      <c r="H284" s="184"/>
      <c r="I284" s="10"/>
      <c r="J284" s="10"/>
      <c r="K284" s="10"/>
      <c r="L284" s="10"/>
      <c r="M284" s="10"/>
      <c r="N284" s="10"/>
      <c r="O284" s="10"/>
      <c r="P284" s="10"/>
      <c r="Q284" s="10"/>
      <c r="R284" s="10"/>
      <c r="S284" s="10"/>
      <c r="T284" s="10"/>
      <c r="U284" s="10"/>
      <c r="V284" s="10"/>
      <c r="W284" s="10"/>
      <c r="X284" s="10"/>
      <c r="Y284" s="10"/>
      <c r="Z284" s="10"/>
      <c r="AA284" s="10"/>
    </row>
    <row r="285" spans="1:27">
      <c r="A285" s="10"/>
      <c r="B285" s="10"/>
      <c r="C285" s="324"/>
      <c r="D285" s="173" t="s">
        <v>594</v>
      </c>
      <c r="E285" s="185">
        <v>2.85</v>
      </c>
      <c r="F285" s="186">
        <v>1.56</v>
      </c>
      <c r="G285" s="184"/>
      <c r="H285" s="184"/>
      <c r="I285" s="10"/>
      <c r="J285" s="10"/>
      <c r="K285" s="10"/>
      <c r="L285" s="10"/>
      <c r="M285" s="10"/>
      <c r="N285" s="10"/>
      <c r="O285" s="10"/>
      <c r="P285" s="10"/>
      <c r="Q285" s="10"/>
      <c r="R285" s="10"/>
      <c r="S285" s="10"/>
      <c r="T285" s="10"/>
      <c r="U285" s="10"/>
      <c r="V285" s="10"/>
      <c r="W285" s="10"/>
      <c r="X285" s="10"/>
      <c r="Y285" s="10"/>
      <c r="Z285" s="10"/>
      <c r="AA285" s="10"/>
    </row>
    <row r="286" spans="1:27">
      <c r="A286" s="10"/>
      <c r="B286" s="10"/>
      <c r="C286" s="324"/>
      <c r="D286" s="173" t="s">
        <v>237</v>
      </c>
      <c r="E286" s="185">
        <v>0.93</v>
      </c>
      <c r="F286" s="186">
        <v>0.86</v>
      </c>
      <c r="G286" s="184"/>
      <c r="H286" s="184"/>
      <c r="I286" s="10"/>
      <c r="J286" s="10"/>
      <c r="K286" s="10"/>
      <c r="L286" s="10"/>
      <c r="M286" s="10"/>
      <c r="N286" s="10"/>
      <c r="O286" s="10"/>
      <c r="P286" s="10"/>
      <c r="Q286" s="10"/>
      <c r="R286" s="10"/>
      <c r="S286" s="10"/>
      <c r="T286" s="10"/>
      <c r="U286" s="10"/>
      <c r="V286" s="10"/>
      <c r="W286" s="10"/>
      <c r="X286" s="10"/>
      <c r="Y286" s="10"/>
      <c r="Z286" s="10"/>
      <c r="AA286" s="10"/>
    </row>
    <row r="287" spans="1:27">
      <c r="A287" s="10"/>
      <c r="B287" s="10"/>
      <c r="C287" s="330"/>
      <c r="D287" s="191" t="s">
        <v>213</v>
      </c>
      <c r="E287" s="185">
        <v>0.45</v>
      </c>
      <c r="F287" s="186">
        <v>0.64</v>
      </c>
      <c r="G287" s="184"/>
      <c r="H287" s="184"/>
      <c r="I287" s="10"/>
      <c r="J287" s="10"/>
      <c r="K287" s="10"/>
      <c r="L287" s="10"/>
      <c r="M287" s="10"/>
      <c r="N287" s="10"/>
      <c r="O287" s="10"/>
      <c r="P287" s="10"/>
      <c r="Q287" s="10"/>
      <c r="R287" s="10"/>
      <c r="S287" s="10"/>
      <c r="T287" s="10"/>
      <c r="U287" s="10"/>
      <c r="V287" s="10"/>
      <c r="W287" s="10"/>
      <c r="X287" s="10"/>
      <c r="Y287" s="10"/>
      <c r="Z287" s="10"/>
      <c r="AA287" s="10"/>
    </row>
    <row r="288" spans="1:27">
      <c r="A288" s="10"/>
      <c r="B288" s="10"/>
      <c r="C288" s="329" t="s">
        <v>602</v>
      </c>
      <c r="D288" s="173" t="s">
        <v>244</v>
      </c>
      <c r="E288" s="185">
        <v>3.88</v>
      </c>
      <c r="F288" s="186">
        <v>2.13</v>
      </c>
      <c r="G288" s="184"/>
      <c r="H288" s="184"/>
      <c r="I288" s="10"/>
      <c r="J288" s="10"/>
      <c r="K288" s="10"/>
      <c r="L288" s="10"/>
      <c r="M288" s="10"/>
      <c r="N288" s="10"/>
      <c r="O288" s="10"/>
      <c r="P288" s="10"/>
      <c r="Q288" s="10"/>
      <c r="R288" s="10"/>
      <c r="S288" s="10"/>
      <c r="T288" s="10"/>
      <c r="U288" s="10"/>
      <c r="V288" s="10"/>
      <c r="W288" s="10"/>
      <c r="X288" s="10"/>
      <c r="Y288" s="10"/>
      <c r="Z288" s="10"/>
      <c r="AA288" s="10"/>
    </row>
    <row r="289" spans="1:27">
      <c r="A289" s="10"/>
      <c r="B289" s="10"/>
      <c r="C289" s="324"/>
      <c r="D289" s="173" t="s">
        <v>237</v>
      </c>
      <c r="E289" s="185">
        <v>0.99</v>
      </c>
      <c r="F289" s="186">
        <v>0.91</v>
      </c>
      <c r="G289" s="184"/>
      <c r="H289" s="184"/>
      <c r="I289" s="10"/>
      <c r="J289" s="10"/>
      <c r="K289" s="10"/>
      <c r="L289" s="10"/>
      <c r="M289" s="10"/>
      <c r="N289" s="10"/>
      <c r="O289" s="10"/>
      <c r="P289" s="10"/>
      <c r="Q289" s="10"/>
      <c r="R289" s="10"/>
      <c r="S289" s="10"/>
      <c r="T289" s="10"/>
      <c r="U289" s="10"/>
      <c r="V289" s="10"/>
      <c r="W289" s="10"/>
      <c r="X289" s="10"/>
      <c r="Y289" s="10"/>
      <c r="Z289" s="10"/>
      <c r="AA289" s="10"/>
    </row>
    <row r="290" spans="1:27">
      <c r="A290" s="10"/>
      <c r="B290" s="10"/>
      <c r="C290" s="330"/>
      <c r="D290" s="173" t="s">
        <v>213</v>
      </c>
      <c r="E290" s="185">
        <v>0.45</v>
      </c>
      <c r="F290" s="186">
        <v>0.64</v>
      </c>
      <c r="G290" s="184"/>
      <c r="H290" s="184"/>
      <c r="I290" s="10"/>
      <c r="J290" s="10"/>
      <c r="K290" s="10"/>
      <c r="L290" s="10"/>
      <c r="M290" s="10"/>
      <c r="N290" s="10"/>
      <c r="O290" s="10"/>
      <c r="P290" s="10"/>
      <c r="Q290" s="10"/>
      <c r="R290" s="10"/>
      <c r="S290" s="10"/>
      <c r="T290" s="10"/>
      <c r="U290" s="10"/>
      <c r="V290" s="10"/>
      <c r="W290" s="10"/>
      <c r="X290" s="10"/>
      <c r="Y290" s="10"/>
      <c r="Z290" s="10"/>
      <c r="AA290" s="10"/>
    </row>
    <row r="291" spans="1:27">
      <c r="A291" s="10"/>
      <c r="B291" s="10"/>
      <c r="C291" s="329" t="s">
        <v>603</v>
      </c>
      <c r="D291" s="173" t="s">
        <v>593</v>
      </c>
      <c r="E291" s="185">
        <v>9.2100000000000009</v>
      </c>
      <c r="F291" s="186">
        <v>0.26</v>
      </c>
      <c r="G291" s="184"/>
      <c r="H291" s="184"/>
      <c r="I291" s="10"/>
      <c r="J291" s="10"/>
      <c r="K291" s="10"/>
      <c r="L291" s="10"/>
      <c r="M291" s="10"/>
      <c r="N291" s="10"/>
      <c r="O291" s="10"/>
      <c r="P291" s="10"/>
      <c r="Q291" s="10"/>
      <c r="R291" s="10"/>
      <c r="S291" s="10"/>
      <c r="T291" s="10"/>
      <c r="U291" s="10"/>
      <c r="V291" s="10"/>
      <c r="W291" s="10"/>
      <c r="X291" s="10"/>
      <c r="Y291" s="10"/>
      <c r="Z291" s="10"/>
      <c r="AA291" s="10"/>
    </row>
    <row r="292" spans="1:27">
      <c r="A292" s="10"/>
      <c r="B292" s="10"/>
      <c r="C292" s="324"/>
      <c r="D292" s="173" t="s">
        <v>594</v>
      </c>
      <c r="E292" s="185">
        <v>3.04</v>
      </c>
      <c r="F292" s="186">
        <v>1.67</v>
      </c>
      <c r="G292" s="184"/>
      <c r="H292" s="184"/>
      <c r="I292" s="10"/>
      <c r="J292" s="10"/>
      <c r="K292" s="10"/>
      <c r="L292" s="10"/>
      <c r="M292" s="10"/>
      <c r="N292" s="10"/>
      <c r="O292" s="10"/>
      <c r="P292" s="10"/>
      <c r="Q292" s="10"/>
      <c r="R292" s="10"/>
      <c r="S292" s="10"/>
      <c r="T292" s="10"/>
      <c r="U292" s="10"/>
      <c r="V292" s="10"/>
      <c r="W292" s="10"/>
      <c r="X292" s="10"/>
      <c r="Y292" s="10"/>
      <c r="Z292" s="10"/>
      <c r="AA292" s="10"/>
    </row>
    <row r="293" spans="1:27">
      <c r="A293" s="10"/>
      <c r="B293" s="10"/>
      <c r="C293" s="324"/>
      <c r="D293" s="173" t="s">
        <v>237</v>
      </c>
      <c r="E293" s="185">
        <v>0.93</v>
      </c>
      <c r="F293" s="186">
        <v>0.87</v>
      </c>
      <c r="G293" s="184"/>
      <c r="H293" s="184"/>
      <c r="I293" s="10"/>
      <c r="J293" s="10"/>
      <c r="K293" s="10"/>
      <c r="L293" s="10"/>
      <c r="M293" s="10"/>
      <c r="N293" s="10"/>
      <c r="O293" s="10"/>
      <c r="P293" s="10"/>
      <c r="Q293" s="10"/>
      <c r="R293" s="10"/>
      <c r="S293" s="10"/>
      <c r="T293" s="10"/>
      <c r="U293" s="10"/>
      <c r="V293" s="10"/>
      <c r="W293" s="10"/>
      <c r="X293" s="10"/>
      <c r="Y293" s="10"/>
      <c r="Z293" s="10"/>
      <c r="AA293" s="10"/>
    </row>
    <row r="294" spans="1:27">
      <c r="A294" s="10"/>
      <c r="B294" s="10"/>
      <c r="C294" s="330"/>
      <c r="D294" s="173" t="s">
        <v>213</v>
      </c>
      <c r="E294" s="185">
        <v>0.45</v>
      </c>
      <c r="F294" s="186">
        <v>0.64</v>
      </c>
      <c r="G294" s="184"/>
      <c r="H294" s="184"/>
      <c r="I294" s="10"/>
      <c r="J294" s="10"/>
      <c r="K294" s="10"/>
      <c r="L294" s="10"/>
      <c r="M294" s="10"/>
      <c r="N294" s="10"/>
      <c r="O294" s="10"/>
      <c r="P294" s="10"/>
      <c r="Q294" s="10"/>
      <c r="R294" s="10"/>
      <c r="S294" s="10"/>
      <c r="T294" s="10"/>
      <c r="U294" s="10"/>
      <c r="V294" s="10"/>
      <c r="W294" s="10"/>
      <c r="X294" s="10"/>
      <c r="Y294" s="10"/>
      <c r="Z294" s="10"/>
      <c r="AA294" s="10"/>
    </row>
    <row r="295" spans="1:27">
      <c r="A295" s="10"/>
      <c r="B295" s="10"/>
      <c r="C295" s="329" t="s">
        <v>604</v>
      </c>
      <c r="D295" s="173" t="s">
        <v>593</v>
      </c>
      <c r="E295" s="185">
        <v>12.48</v>
      </c>
      <c r="F295" s="186">
        <v>0.35</v>
      </c>
      <c r="G295" s="184"/>
      <c r="H295" s="184"/>
      <c r="I295" s="10"/>
      <c r="J295" s="10"/>
      <c r="K295" s="10"/>
      <c r="L295" s="10"/>
      <c r="M295" s="10"/>
      <c r="N295" s="10"/>
      <c r="O295" s="10"/>
      <c r="P295" s="10"/>
      <c r="Q295" s="10"/>
      <c r="R295" s="10"/>
      <c r="S295" s="10"/>
      <c r="T295" s="10"/>
      <c r="U295" s="10"/>
      <c r="V295" s="10"/>
      <c r="W295" s="10"/>
      <c r="X295" s="10"/>
      <c r="Y295" s="10"/>
      <c r="Z295" s="10"/>
      <c r="AA295" s="10"/>
    </row>
    <row r="296" spans="1:27">
      <c r="A296" s="10"/>
      <c r="B296" s="10"/>
      <c r="C296" s="324"/>
      <c r="D296" s="173" t="s">
        <v>594</v>
      </c>
      <c r="E296" s="185">
        <v>2.85</v>
      </c>
      <c r="F296" s="186">
        <v>1.57</v>
      </c>
      <c r="G296" s="184"/>
      <c r="H296" s="184"/>
      <c r="I296" s="10"/>
      <c r="J296" s="10"/>
      <c r="K296" s="10"/>
      <c r="L296" s="10"/>
      <c r="M296" s="10"/>
      <c r="N296" s="10"/>
      <c r="O296" s="10"/>
      <c r="P296" s="10"/>
      <c r="Q296" s="10"/>
      <c r="R296" s="10"/>
      <c r="S296" s="10"/>
      <c r="T296" s="10"/>
      <c r="U296" s="10"/>
      <c r="V296" s="10"/>
      <c r="W296" s="10"/>
      <c r="X296" s="10"/>
      <c r="Y296" s="10"/>
      <c r="Z296" s="10"/>
      <c r="AA296" s="10"/>
    </row>
    <row r="297" spans="1:27">
      <c r="A297" s="10"/>
      <c r="B297" s="10"/>
      <c r="C297" s="330"/>
      <c r="D297" s="173" t="s">
        <v>237</v>
      </c>
      <c r="E297" s="185">
        <v>0.99</v>
      </c>
      <c r="F297" s="186">
        <v>0.92</v>
      </c>
      <c r="G297" s="184"/>
      <c r="H297" s="184"/>
      <c r="I297" s="10"/>
      <c r="J297" s="10"/>
      <c r="K297" s="10"/>
      <c r="L297" s="10"/>
      <c r="M297" s="10"/>
      <c r="N297" s="10"/>
      <c r="O297" s="10"/>
      <c r="P297" s="10"/>
      <c r="Q297" s="10"/>
      <c r="R297" s="10"/>
      <c r="S297" s="10"/>
      <c r="T297" s="10"/>
      <c r="U297" s="10"/>
      <c r="V297" s="10"/>
      <c r="W297" s="10"/>
      <c r="X297" s="10"/>
      <c r="Y297" s="10"/>
      <c r="Z297" s="10"/>
      <c r="AA297" s="10"/>
    </row>
    <row r="298" spans="1:27">
      <c r="A298" s="10"/>
      <c r="B298" s="10"/>
      <c r="C298" s="329" t="s">
        <v>605</v>
      </c>
      <c r="D298" s="173" t="s">
        <v>244</v>
      </c>
      <c r="E298" s="185">
        <v>2.87</v>
      </c>
      <c r="F298" s="186">
        <v>1.59</v>
      </c>
      <c r="G298" s="184"/>
      <c r="H298" s="184"/>
      <c r="I298" s="10"/>
      <c r="J298" s="10"/>
      <c r="K298" s="10"/>
      <c r="L298" s="10"/>
      <c r="M298" s="10"/>
      <c r="N298" s="10"/>
      <c r="O298" s="10"/>
      <c r="P298" s="10"/>
      <c r="Q298" s="10"/>
      <c r="R298" s="10"/>
      <c r="S298" s="10"/>
      <c r="T298" s="10"/>
      <c r="U298" s="10"/>
      <c r="V298" s="10"/>
      <c r="W298" s="10"/>
      <c r="X298" s="10"/>
      <c r="Y298" s="10"/>
      <c r="Z298" s="10"/>
      <c r="AA298" s="10"/>
    </row>
    <row r="299" spans="1:27">
      <c r="A299" s="10"/>
      <c r="B299" s="10"/>
      <c r="C299" s="324"/>
      <c r="D299" s="173" t="s">
        <v>237</v>
      </c>
      <c r="E299" s="185">
        <v>0.83</v>
      </c>
      <c r="F299" s="186">
        <v>0.78</v>
      </c>
      <c r="G299" s="184"/>
      <c r="H299" s="184"/>
      <c r="I299" s="10"/>
      <c r="J299" s="10"/>
      <c r="K299" s="10"/>
      <c r="L299" s="10"/>
      <c r="M299" s="10"/>
      <c r="N299" s="10"/>
      <c r="O299" s="10"/>
      <c r="P299" s="10"/>
      <c r="Q299" s="10"/>
      <c r="R299" s="10"/>
      <c r="S299" s="10"/>
      <c r="T299" s="10"/>
      <c r="U299" s="10"/>
      <c r="V299" s="10"/>
      <c r="W299" s="10"/>
      <c r="X299" s="10"/>
      <c r="Y299" s="10"/>
      <c r="Z299" s="10"/>
      <c r="AA299" s="10"/>
    </row>
    <row r="300" spans="1:27">
      <c r="A300" s="10"/>
      <c r="B300" s="10"/>
      <c r="C300" s="330"/>
      <c r="D300" s="173" t="s">
        <v>213</v>
      </c>
      <c r="E300" s="185">
        <v>0.43</v>
      </c>
      <c r="F300" s="186">
        <v>0.63</v>
      </c>
      <c r="G300" s="184"/>
      <c r="H300" s="184"/>
      <c r="I300" s="10"/>
      <c r="J300" s="10"/>
      <c r="K300" s="10"/>
      <c r="L300" s="10"/>
      <c r="M300" s="10"/>
      <c r="N300" s="10"/>
      <c r="O300" s="10"/>
      <c r="P300" s="10"/>
      <c r="Q300" s="10"/>
      <c r="R300" s="10"/>
      <c r="S300" s="10"/>
      <c r="T300" s="10"/>
      <c r="U300" s="10"/>
      <c r="V300" s="10"/>
      <c r="W300" s="10"/>
      <c r="X300" s="10"/>
      <c r="Y300" s="10"/>
      <c r="Z300" s="10"/>
      <c r="AA300" s="10"/>
    </row>
    <row r="301" spans="1:27">
      <c r="A301" s="10"/>
      <c r="B301" s="10"/>
      <c r="C301" s="323" t="s">
        <v>606</v>
      </c>
      <c r="D301" s="173" t="s">
        <v>593</v>
      </c>
      <c r="E301" s="185">
        <v>4.2699999999999996</v>
      </c>
      <c r="F301" s="186">
        <v>0.2</v>
      </c>
      <c r="G301" s="184"/>
      <c r="H301" s="184"/>
      <c r="I301" s="10"/>
      <c r="J301" s="10"/>
      <c r="K301" s="10"/>
      <c r="L301" s="10"/>
      <c r="M301" s="10"/>
      <c r="N301" s="10"/>
      <c r="O301" s="10"/>
      <c r="P301" s="10"/>
      <c r="Q301" s="10"/>
      <c r="R301" s="10"/>
      <c r="S301" s="10"/>
      <c r="T301" s="10"/>
      <c r="U301" s="10"/>
      <c r="V301" s="10"/>
      <c r="W301" s="10"/>
      <c r="X301" s="10"/>
      <c r="Y301" s="10"/>
      <c r="Z301" s="10"/>
      <c r="AA301" s="10"/>
    </row>
    <row r="302" spans="1:27">
      <c r="A302" s="10"/>
      <c r="B302" s="10"/>
      <c r="C302" s="324"/>
      <c r="D302" s="173" t="s">
        <v>594</v>
      </c>
      <c r="E302" s="185">
        <v>4.3</v>
      </c>
      <c r="F302" s="186">
        <v>2.2200000000000002</v>
      </c>
      <c r="G302" s="184"/>
      <c r="H302" s="184"/>
      <c r="I302" s="10"/>
      <c r="J302" s="10"/>
      <c r="K302" s="10"/>
      <c r="L302" s="10"/>
      <c r="M302" s="10"/>
      <c r="N302" s="10"/>
      <c r="O302" s="10"/>
      <c r="P302" s="10"/>
      <c r="Q302" s="10"/>
      <c r="R302" s="10"/>
      <c r="S302" s="10"/>
      <c r="T302" s="10"/>
      <c r="U302" s="10"/>
      <c r="V302" s="10"/>
      <c r="W302" s="10"/>
      <c r="X302" s="10"/>
      <c r="Y302" s="10"/>
      <c r="Z302" s="10"/>
      <c r="AA302" s="10"/>
    </row>
    <row r="303" spans="1:27">
      <c r="A303" s="10"/>
      <c r="B303" s="10"/>
      <c r="C303" s="324"/>
      <c r="D303" s="173" t="s">
        <v>237</v>
      </c>
      <c r="E303" s="185">
        <v>0.8</v>
      </c>
      <c r="F303" s="186">
        <v>0.75</v>
      </c>
      <c r="G303" s="184"/>
      <c r="H303" s="184"/>
      <c r="I303" s="10"/>
      <c r="J303" s="10"/>
      <c r="K303" s="10"/>
      <c r="L303" s="10"/>
      <c r="M303" s="10"/>
      <c r="N303" s="10"/>
      <c r="O303" s="10"/>
      <c r="P303" s="10"/>
      <c r="Q303" s="10"/>
      <c r="R303" s="10"/>
      <c r="S303" s="10"/>
      <c r="T303" s="10"/>
      <c r="U303" s="10"/>
      <c r="V303" s="10"/>
      <c r="W303" s="10"/>
      <c r="X303" s="10"/>
      <c r="Y303" s="10"/>
      <c r="Z303" s="10"/>
      <c r="AA303" s="10"/>
    </row>
    <row r="304" spans="1:27" ht="13.9" customHeight="1" thickBot="1">
      <c r="A304" s="10"/>
      <c r="B304" s="10"/>
      <c r="C304" s="325"/>
      <c r="D304" s="192" t="s">
        <v>213</v>
      </c>
      <c r="E304" s="193">
        <v>0.41</v>
      </c>
      <c r="F304" s="194">
        <v>0.57999999999999996</v>
      </c>
      <c r="G304" s="184"/>
      <c r="H304" s="184"/>
      <c r="I304" s="10"/>
      <c r="J304" s="10"/>
      <c r="K304" s="10"/>
      <c r="L304" s="10"/>
      <c r="M304" s="10"/>
      <c r="N304" s="10"/>
      <c r="O304" s="10"/>
      <c r="P304" s="10"/>
      <c r="Q304" s="10"/>
      <c r="R304" s="10"/>
      <c r="S304" s="10"/>
      <c r="T304" s="10"/>
      <c r="U304" s="10"/>
      <c r="V304" s="10"/>
      <c r="W304" s="10"/>
      <c r="X304" s="10"/>
      <c r="Y304" s="10"/>
      <c r="Z304" s="10"/>
      <c r="AA304" s="10"/>
    </row>
    <row r="305" spans="1:27">
      <c r="A305" s="10"/>
      <c r="B305" s="10"/>
      <c r="C305" s="31" t="s">
        <v>607</v>
      </c>
      <c r="D305" s="315"/>
      <c r="E305" s="315"/>
      <c r="F305" s="315"/>
      <c r="G305" s="315"/>
      <c r="H305" s="315"/>
      <c r="I305" s="10"/>
      <c r="J305" s="10"/>
      <c r="K305" s="10"/>
      <c r="L305" s="10"/>
      <c r="M305" s="10"/>
      <c r="N305" s="10"/>
      <c r="O305" s="10"/>
      <c r="P305" s="10"/>
      <c r="Q305" s="10"/>
      <c r="R305" s="10"/>
      <c r="S305" s="10"/>
      <c r="T305" s="10"/>
      <c r="U305" s="10"/>
      <c r="V305" s="10"/>
      <c r="W305" s="10"/>
      <c r="X305" s="10"/>
      <c r="Y305" s="10"/>
      <c r="Z305" s="10"/>
      <c r="AA305" s="10"/>
    </row>
    <row r="306" spans="1:27" s="318" customFormat="1" ht="54" customHeight="1">
      <c r="C306" s="362" t="s">
        <v>608</v>
      </c>
      <c r="D306" s="366"/>
      <c r="E306" s="366"/>
      <c r="F306" s="366"/>
      <c r="G306" s="366"/>
      <c r="H306" s="366"/>
      <c r="I306" s="366"/>
      <c r="J306" s="366"/>
      <c r="K306" s="366"/>
      <c r="L306" s="366"/>
    </row>
    <row r="307" spans="1:27">
      <c r="A307" s="10"/>
      <c r="B307" s="10"/>
      <c r="C307" s="315"/>
      <c r="D307" s="315"/>
      <c r="E307" s="315"/>
      <c r="F307" s="315"/>
      <c r="G307" s="315"/>
      <c r="H307" s="315"/>
      <c r="I307" s="10"/>
      <c r="J307" s="10"/>
      <c r="K307" s="10"/>
      <c r="L307" s="10"/>
      <c r="M307" s="10"/>
      <c r="N307" s="10"/>
      <c r="O307" s="10"/>
      <c r="P307" s="10"/>
      <c r="Q307" s="10"/>
      <c r="R307" s="10"/>
      <c r="S307" s="10"/>
      <c r="T307" s="10"/>
      <c r="U307" s="10"/>
      <c r="V307" s="10"/>
      <c r="W307" s="10"/>
      <c r="X307" s="10"/>
      <c r="Y307" s="10"/>
      <c r="Z307" s="10"/>
      <c r="AA307" s="10"/>
    </row>
    <row r="308" spans="1:27" s="317" customFormat="1" ht="15.6" customHeight="1">
      <c r="A308" s="25"/>
      <c r="B308" s="26" t="s">
        <v>609</v>
      </c>
      <c r="C308" s="27" t="s">
        <v>610</v>
      </c>
      <c r="D308" s="28"/>
      <c r="E308" s="28"/>
      <c r="F308" s="29"/>
      <c r="G308" s="134"/>
      <c r="H308" s="134"/>
      <c r="I308" s="134"/>
      <c r="J308" s="134"/>
      <c r="K308" s="134"/>
      <c r="L308" s="135"/>
      <c r="M308" s="10"/>
      <c r="N308" s="25"/>
      <c r="O308" s="25"/>
      <c r="P308" s="25"/>
      <c r="Q308" s="25"/>
      <c r="R308" s="25"/>
      <c r="S308" s="25"/>
      <c r="T308" s="25"/>
      <c r="U308" s="25"/>
      <c r="V308" s="25"/>
      <c r="W308" s="25"/>
      <c r="X308" s="25"/>
      <c r="Y308" s="25"/>
      <c r="Z308" s="25"/>
      <c r="AA308" s="25"/>
    </row>
    <row r="309" spans="1:27" ht="13.9" customHeight="1" thickBot="1">
      <c r="A309" s="10"/>
      <c r="B309" s="11"/>
      <c r="C309" s="118"/>
      <c r="D309" s="118"/>
      <c r="E309" s="118"/>
      <c r="F309" s="10"/>
      <c r="G309" s="10"/>
      <c r="H309" s="10"/>
      <c r="I309" s="10"/>
      <c r="J309" s="10"/>
      <c r="K309" s="10"/>
      <c r="L309" s="10"/>
      <c r="M309" s="10"/>
      <c r="N309" s="10"/>
      <c r="O309" s="10"/>
      <c r="P309" s="10"/>
      <c r="Q309" s="10"/>
      <c r="R309" s="10"/>
      <c r="S309" s="10"/>
      <c r="T309" s="10"/>
      <c r="U309" s="10"/>
      <c r="V309" s="10"/>
      <c r="W309" s="10"/>
      <c r="X309" s="10"/>
      <c r="Y309" s="10"/>
      <c r="Z309" s="10"/>
      <c r="AA309" s="10"/>
    </row>
    <row r="310" spans="1:27" ht="14.45" customHeight="1">
      <c r="A310" s="10"/>
      <c r="B310" s="11"/>
      <c r="C310" s="195"/>
      <c r="D310" s="361" t="s">
        <v>611</v>
      </c>
      <c r="E310" s="353"/>
      <c r="F310" s="354"/>
      <c r="G310" s="361" t="s">
        <v>612</v>
      </c>
      <c r="H310" s="353"/>
      <c r="I310" s="354"/>
      <c r="J310" s="16"/>
      <c r="K310" s="10"/>
      <c r="L310" s="10"/>
      <c r="M310" s="10"/>
      <c r="N310" s="10"/>
      <c r="O310" s="10"/>
      <c r="P310" s="10"/>
      <c r="Q310" s="10"/>
      <c r="R310" s="10"/>
      <c r="S310" s="10"/>
      <c r="T310" s="10"/>
      <c r="U310" s="10"/>
      <c r="V310" s="10"/>
      <c r="W310" s="10"/>
      <c r="X310" s="10"/>
      <c r="Y310" s="10"/>
      <c r="Z310" s="10"/>
      <c r="AA310" s="10"/>
    </row>
    <row r="311" spans="1:27" ht="15.6" customHeight="1">
      <c r="A311" s="10"/>
      <c r="B311" s="11"/>
      <c r="C311" s="196" t="s">
        <v>613</v>
      </c>
      <c r="D311" s="197" t="s">
        <v>396</v>
      </c>
      <c r="E311" s="198" t="s">
        <v>397</v>
      </c>
      <c r="F311" s="199" t="s">
        <v>398</v>
      </c>
      <c r="G311" s="197" t="s">
        <v>396</v>
      </c>
      <c r="H311" s="198" t="s">
        <v>397</v>
      </c>
      <c r="I311" s="199" t="s">
        <v>398</v>
      </c>
      <c r="J311" s="10"/>
      <c r="K311" s="10"/>
      <c r="L311" s="10"/>
      <c r="M311" s="10"/>
      <c r="N311" s="10"/>
      <c r="O311" s="10"/>
      <c r="P311" s="10"/>
      <c r="Q311" s="10"/>
      <c r="R311" s="10"/>
      <c r="S311" s="10"/>
      <c r="T311" s="10"/>
      <c r="U311" s="10"/>
      <c r="V311" s="10"/>
      <c r="W311" s="10"/>
      <c r="X311" s="10"/>
      <c r="Y311" s="10"/>
      <c r="Z311" s="10"/>
      <c r="AA311" s="10"/>
    </row>
    <row r="312" spans="1:27" ht="13.9" customHeight="1" thickBot="1">
      <c r="A312" s="10"/>
      <c r="B312" s="11"/>
      <c r="C312" s="200"/>
      <c r="D312" s="201" t="s">
        <v>614</v>
      </c>
      <c r="E312" s="202" t="s">
        <v>614</v>
      </c>
      <c r="F312" s="203" t="s">
        <v>614</v>
      </c>
      <c r="G312" s="201" t="s">
        <v>614</v>
      </c>
      <c r="H312" s="202" t="s">
        <v>614</v>
      </c>
      <c r="I312" s="203" t="s">
        <v>614</v>
      </c>
      <c r="J312" s="10"/>
      <c r="K312" s="318"/>
      <c r="L312" s="10"/>
      <c r="M312" s="10"/>
      <c r="N312" s="10"/>
      <c r="O312" s="10"/>
      <c r="P312" s="10"/>
      <c r="Q312" s="10"/>
      <c r="R312" s="10"/>
      <c r="S312" s="10"/>
      <c r="T312" s="10"/>
      <c r="U312" s="10"/>
      <c r="V312" s="10"/>
      <c r="W312" s="10"/>
      <c r="X312" s="10"/>
      <c r="Y312" s="10"/>
      <c r="Z312" s="10"/>
      <c r="AA312" s="10"/>
    </row>
    <row r="313" spans="1:27" ht="13.5" customHeight="1">
      <c r="A313" s="10"/>
      <c r="B313" s="10"/>
      <c r="C313" s="204" t="s">
        <v>615</v>
      </c>
      <c r="D313" s="205">
        <v>1097.5999999999999</v>
      </c>
      <c r="E313" s="206">
        <v>0.1</v>
      </c>
      <c r="F313" s="207">
        <v>1.4E-2</v>
      </c>
      <c r="G313" s="205">
        <v>1315.1</v>
      </c>
      <c r="H313" s="206">
        <v>0.126</v>
      </c>
      <c r="I313" s="208">
        <v>1.7000000000000001E-2</v>
      </c>
      <c r="J313" s="10"/>
      <c r="K313" s="10"/>
      <c r="L313" s="10"/>
      <c r="M313" s="10"/>
      <c r="N313" s="318"/>
      <c r="O313" s="318"/>
      <c r="P313" s="318"/>
      <c r="Q313" s="10"/>
      <c r="R313" s="10"/>
      <c r="S313" s="10"/>
      <c r="T313" s="10"/>
      <c r="U313" s="10"/>
      <c r="V313" s="10"/>
      <c r="W313" s="10"/>
      <c r="X313" s="10"/>
      <c r="Y313" s="10"/>
      <c r="Z313" s="10"/>
      <c r="AA313" s="10"/>
    </row>
    <row r="314" spans="1:27" ht="13.5" customHeight="1">
      <c r="A314" s="10"/>
      <c r="B314" s="10"/>
      <c r="C314" s="209" t="s">
        <v>616</v>
      </c>
      <c r="D314" s="210">
        <v>534.1</v>
      </c>
      <c r="E314" s="211">
        <v>2.7E-2</v>
      </c>
      <c r="F314" s="212">
        <v>5.0000000000000001E-3</v>
      </c>
      <c r="G314" s="210">
        <v>1517.7</v>
      </c>
      <c r="H314" s="211">
        <v>6.6000000000000003E-2</v>
      </c>
      <c r="I314" s="213">
        <v>1.2E-2</v>
      </c>
      <c r="J314" s="10"/>
      <c r="K314" s="10"/>
      <c r="L314" s="10"/>
      <c r="M314" s="10"/>
      <c r="N314" s="318"/>
      <c r="O314" s="318"/>
      <c r="P314" s="318"/>
      <c r="Q314" s="10"/>
      <c r="R314" s="10"/>
      <c r="S314" s="10"/>
      <c r="T314" s="10"/>
      <c r="U314" s="10"/>
      <c r="V314" s="10"/>
      <c r="W314" s="10"/>
      <c r="X314" s="10"/>
      <c r="Y314" s="10"/>
      <c r="Z314" s="10"/>
      <c r="AA314" s="10"/>
    </row>
    <row r="315" spans="1:27" ht="13.5" customHeight="1">
      <c r="A315" s="10"/>
      <c r="B315" s="10"/>
      <c r="C315" s="209" t="s">
        <v>617</v>
      </c>
      <c r="D315" s="210">
        <v>846.6</v>
      </c>
      <c r="E315" s="211">
        <v>5.3999999999999999E-2</v>
      </c>
      <c r="F315" s="212">
        <v>7.0000000000000001E-3</v>
      </c>
      <c r="G315" s="210">
        <v>1368.6</v>
      </c>
      <c r="H315" s="211">
        <v>0.09</v>
      </c>
      <c r="I315" s="213">
        <v>1.2999999999999999E-2</v>
      </c>
      <c r="J315" s="10"/>
      <c r="K315" s="10"/>
      <c r="L315" s="10"/>
      <c r="M315" s="10"/>
      <c r="N315" s="318"/>
      <c r="O315" s="318"/>
      <c r="P315" s="318"/>
      <c r="Q315" s="10"/>
      <c r="R315" s="10"/>
      <c r="S315" s="10"/>
      <c r="T315" s="10"/>
      <c r="U315" s="10"/>
      <c r="V315" s="10"/>
      <c r="W315" s="10"/>
      <c r="X315" s="10"/>
      <c r="Y315" s="10"/>
      <c r="Z315" s="10"/>
      <c r="AA315" s="10"/>
    </row>
    <row r="316" spans="1:27" ht="13.5" customHeight="1">
      <c r="A316" s="10"/>
      <c r="B316" s="10"/>
      <c r="C316" s="209" t="s">
        <v>618</v>
      </c>
      <c r="D316" s="210">
        <v>513.5</v>
      </c>
      <c r="E316" s="211">
        <v>3.2000000000000001E-2</v>
      </c>
      <c r="F316" s="212">
        <v>4.0000000000000001E-3</v>
      </c>
      <c r="G316" s="210">
        <v>1006.5</v>
      </c>
      <c r="H316" s="211">
        <v>5.2999999999999999E-2</v>
      </c>
      <c r="I316" s="213">
        <v>7.0000000000000001E-3</v>
      </c>
      <c r="J316" s="10"/>
      <c r="K316" s="10"/>
      <c r="L316" s="10"/>
      <c r="M316" s="10"/>
      <c r="N316" s="318"/>
      <c r="O316" s="318"/>
      <c r="P316" s="318"/>
      <c r="Q316" s="10"/>
      <c r="R316" s="10"/>
      <c r="S316" s="10"/>
      <c r="T316" s="10"/>
      <c r="U316" s="10"/>
      <c r="V316" s="10"/>
      <c r="W316" s="10"/>
      <c r="X316" s="10"/>
      <c r="Y316" s="10"/>
      <c r="Z316" s="10"/>
      <c r="AA316" s="10"/>
    </row>
    <row r="317" spans="1:27" ht="13.5" customHeight="1">
      <c r="A317" s="10"/>
      <c r="B317" s="10"/>
      <c r="C317" s="209" t="s">
        <v>619</v>
      </c>
      <c r="D317" s="210">
        <v>818.6</v>
      </c>
      <c r="E317" s="211">
        <v>5.1999999999999998E-2</v>
      </c>
      <c r="F317" s="212">
        <v>7.0000000000000001E-3</v>
      </c>
      <c r="G317" s="210">
        <v>1296.5999999999999</v>
      </c>
      <c r="H317" s="211">
        <v>8.5999999999999993E-2</v>
      </c>
      <c r="I317" s="213">
        <v>1.2E-2</v>
      </c>
      <c r="J317" s="10"/>
      <c r="K317" s="10"/>
      <c r="L317" s="10"/>
      <c r="M317" s="10"/>
      <c r="N317" s="318"/>
      <c r="O317" s="318"/>
      <c r="P317" s="318"/>
      <c r="Q317" s="10"/>
      <c r="R317" s="10"/>
      <c r="S317" s="10"/>
      <c r="T317" s="10"/>
      <c r="U317" s="10"/>
      <c r="V317" s="10"/>
      <c r="W317" s="10"/>
      <c r="X317" s="10"/>
      <c r="Y317" s="10"/>
      <c r="Z317" s="10"/>
      <c r="AA317" s="10"/>
    </row>
    <row r="318" spans="1:27" ht="13.5" customHeight="1">
      <c r="A318" s="10"/>
      <c r="B318" s="10"/>
      <c r="C318" s="209" t="s">
        <v>620</v>
      </c>
      <c r="D318" s="210">
        <v>835.1</v>
      </c>
      <c r="E318" s="211">
        <v>4.9000000000000002E-2</v>
      </c>
      <c r="F318" s="212">
        <v>6.0000000000000001E-3</v>
      </c>
      <c r="G318" s="210">
        <v>1011</v>
      </c>
      <c r="H318" s="211">
        <v>5.1999999999999998E-2</v>
      </c>
      <c r="I318" s="213">
        <v>7.0000000000000001E-3</v>
      </c>
      <c r="J318" s="10"/>
      <c r="K318" s="10"/>
      <c r="L318" s="10"/>
      <c r="M318" s="10"/>
      <c r="N318" s="318"/>
      <c r="O318" s="318"/>
      <c r="P318" s="318"/>
      <c r="Q318" s="10"/>
      <c r="R318" s="10"/>
      <c r="S318" s="10"/>
      <c r="T318" s="10"/>
      <c r="U318" s="10"/>
      <c r="V318" s="10"/>
      <c r="W318" s="10"/>
      <c r="X318" s="10"/>
      <c r="Y318" s="10"/>
      <c r="Z318" s="10"/>
      <c r="AA318" s="10"/>
    </row>
    <row r="319" spans="1:27" ht="13.5" customHeight="1">
      <c r="A319" s="10"/>
      <c r="B319" s="10"/>
      <c r="C319" s="209" t="s">
        <v>621</v>
      </c>
      <c r="D319" s="210">
        <v>1143.2</v>
      </c>
      <c r="E319" s="211">
        <v>0.11</v>
      </c>
      <c r="F319" s="212">
        <v>1.7000000000000001E-2</v>
      </c>
      <c r="G319" s="210">
        <v>1542.1</v>
      </c>
      <c r="H319" s="211">
        <v>0.13400000000000001</v>
      </c>
      <c r="I319" s="213">
        <v>2.1999999999999999E-2</v>
      </c>
      <c r="J319" s="10"/>
      <c r="K319" s="10"/>
      <c r="L319" s="10"/>
      <c r="M319" s="10"/>
      <c r="N319" s="318"/>
      <c r="O319" s="318"/>
      <c r="P319" s="318"/>
      <c r="Q319" s="10"/>
      <c r="R319" s="10"/>
      <c r="S319" s="10"/>
      <c r="T319" s="10"/>
      <c r="U319" s="10"/>
      <c r="V319" s="10"/>
      <c r="W319" s="10"/>
      <c r="X319" s="10"/>
      <c r="Y319" s="10"/>
      <c r="Z319" s="10"/>
      <c r="AA319" s="10"/>
    </row>
    <row r="320" spans="1:27" ht="13.5" customHeight="1">
      <c r="A320" s="10"/>
      <c r="B320" s="10"/>
      <c r="C320" s="209" t="s">
        <v>622</v>
      </c>
      <c r="D320" s="210">
        <v>1653</v>
      </c>
      <c r="E320" s="211">
        <v>0.17799999999999999</v>
      </c>
      <c r="F320" s="212">
        <v>2.7E-2</v>
      </c>
      <c r="G320" s="210">
        <v>1753.5</v>
      </c>
      <c r="H320" s="211">
        <v>0.17499999999999999</v>
      </c>
      <c r="I320" s="213">
        <v>2.7E-2</v>
      </c>
      <c r="J320" s="10"/>
      <c r="K320" s="10"/>
      <c r="L320" s="10"/>
      <c r="M320" s="10"/>
      <c r="N320" s="318"/>
      <c r="O320" s="318"/>
      <c r="P320" s="318"/>
      <c r="Q320" s="10"/>
      <c r="R320" s="10"/>
      <c r="S320" s="10"/>
      <c r="T320" s="10"/>
      <c r="U320" s="10"/>
      <c r="V320" s="10"/>
      <c r="W320" s="10"/>
      <c r="X320" s="10"/>
      <c r="Y320" s="10"/>
      <c r="Z320" s="10"/>
      <c r="AA320" s="10"/>
    </row>
    <row r="321" spans="1:27" ht="13.5" customHeight="1">
      <c r="A321" s="10"/>
      <c r="B321" s="10"/>
      <c r="C321" s="209" t="s">
        <v>623</v>
      </c>
      <c r="D321" s="210">
        <v>1526.4</v>
      </c>
      <c r="E321" s="211">
        <v>0.13900000000000001</v>
      </c>
      <c r="F321" s="212">
        <v>0.02</v>
      </c>
      <c r="G321" s="210">
        <v>1628.9</v>
      </c>
      <c r="H321" s="211">
        <v>0.14299999999999999</v>
      </c>
      <c r="I321" s="213">
        <v>2.1000000000000001E-2</v>
      </c>
      <c r="J321" s="10"/>
      <c r="K321" s="10"/>
      <c r="L321" s="10"/>
      <c r="M321" s="10"/>
      <c r="N321" s="318"/>
      <c r="O321" s="318"/>
      <c r="P321" s="318"/>
      <c r="Q321" s="10"/>
      <c r="R321" s="10"/>
      <c r="S321" s="10"/>
      <c r="T321" s="10"/>
      <c r="U321" s="10"/>
      <c r="V321" s="10"/>
      <c r="W321" s="10"/>
      <c r="X321" s="10"/>
      <c r="Y321" s="10"/>
      <c r="Z321" s="10"/>
      <c r="AA321" s="10"/>
    </row>
    <row r="322" spans="1:27" ht="13.5" customHeight="1">
      <c r="A322" s="10"/>
      <c r="B322" s="10"/>
      <c r="C322" s="209" t="s">
        <v>624</v>
      </c>
      <c r="D322" s="210">
        <v>979.5</v>
      </c>
      <c r="E322" s="211">
        <v>0.104</v>
      </c>
      <c r="F322" s="212">
        <v>1.4999999999999999E-2</v>
      </c>
      <c r="G322" s="210">
        <v>1810</v>
      </c>
      <c r="H322" s="211">
        <v>0.185</v>
      </c>
      <c r="I322" s="213">
        <v>2.7E-2</v>
      </c>
      <c r="J322" s="10"/>
      <c r="K322" s="10"/>
      <c r="L322" s="10"/>
      <c r="M322" s="10"/>
      <c r="N322" s="318"/>
      <c r="O322" s="318"/>
      <c r="P322" s="318"/>
      <c r="Q322" s="10"/>
      <c r="R322" s="10"/>
      <c r="S322" s="10"/>
      <c r="T322" s="10"/>
      <c r="U322" s="10"/>
      <c r="V322" s="10"/>
      <c r="W322" s="10"/>
      <c r="X322" s="10"/>
      <c r="Y322" s="10"/>
      <c r="Z322" s="10"/>
      <c r="AA322" s="10"/>
    </row>
    <row r="323" spans="1:27" ht="13.5" customHeight="1">
      <c r="A323" s="10"/>
      <c r="B323" s="10"/>
      <c r="C323" s="209" t="s">
        <v>625</v>
      </c>
      <c r="D323" s="210">
        <v>528.20000000000005</v>
      </c>
      <c r="E323" s="211">
        <v>7.3999999999999996E-2</v>
      </c>
      <c r="F323" s="212">
        <v>0.01</v>
      </c>
      <c r="G323" s="210">
        <v>882.5</v>
      </c>
      <c r="H323" s="211">
        <v>7.0000000000000007E-2</v>
      </c>
      <c r="I323" s="213">
        <v>8.9999999999999993E-3</v>
      </c>
      <c r="J323" s="10"/>
      <c r="K323" s="10"/>
      <c r="L323" s="10"/>
      <c r="M323" s="10"/>
      <c r="N323" s="318"/>
      <c r="O323" s="318"/>
      <c r="P323" s="318"/>
      <c r="Q323" s="10"/>
      <c r="R323" s="10"/>
      <c r="S323" s="10"/>
      <c r="T323" s="10"/>
      <c r="U323" s="10"/>
      <c r="V323" s="10"/>
      <c r="W323" s="10"/>
      <c r="X323" s="10"/>
      <c r="Y323" s="10"/>
      <c r="Z323" s="10"/>
      <c r="AA323" s="10"/>
    </row>
    <row r="324" spans="1:27" ht="13.5" customHeight="1">
      <c r="A324" s="10"/>
      <c r="B324" s="10"/>
      <c r="C324" s="209" t="s">
        <v>626</v>
      </c>
      <c r="D324" s="210">
        <v>600</v>
      </c>
      <c r="E324" s="211">
        <v>5.6000000000000001E-2</v>
      </c>
      <c r="F324" s="212">
        <v>8.0000000000000002E-3</v>
      </c>
      <c r="G324" s="210">
        <v>1653</v>
      </c>
      <c r="H324" s="211">
        <v>0.159</v>
      </c>
      <c r="I324" s="213">
        <v>2.3E-2</v>
      </c>
      <c r="J324" s="10"/>
      <c r="K324" s="10"/>
      <c r="L324" s="10"/>
      <c r="M324" s="10"/>
      <c r="N324" s="318"/>
      <c r="O324" s="318"/>
      <c r="P324" s="318"/>
      <c r="Q324" s="10"/>
      <c r="R324" s="10"/>
      <c r="S324" s="10"/>
      <c r="T324" s="10"/>
      <c r="U324" s="10"/>
      <c r="V324" s="10"/>
      <c r="W324" s="10"/>
      <c r="X324" s="10"/>
      <c r="Y324" s="10"/>
      <c r="Z324" s="10"/>
      <c r="AA324" s="10"/>
    </row>
    <row r="325" spans="1:27" ht="13.5" customHeight="1">
      <c r="A325" s="10"/>
      <c r="B325" s="10"/>
      <c r="C325" s="209" t="s">
        <v>627</v>
      </c>
      <c r="D325" s="210">
        <v>634.6</v>
      </c>
      <c r="E325" s="211">
        <v>2.1999999999999999E-2</v>
      </c>
      <c r="F325" s="212">
        <v>3.0000000000000001E-3</v>
      </c>
      <c r="G325" s="210">
        <v>970.2</v>
      </c>
      <c r="H325" s="211">
        <v>2.1000000000000001E-2</v>
      </c>
      <c r="I325" s="213">
        <v>2E-3</v>
      </c>
      <c r="J325" s="10"/>
      <c r="K325" s="10"/>
      <c r="L325" s="10"/>
      <c r="M325" s="10"/>
      <c r="N325" s="318"/>
      <c r="O325" s="318"/>
      <c r="P325" s="318"/>
      <c r="Q325" s="10"/>
      <c r="R325" s="10"/>
      <c r="S325" s="10"/>
      <c r="T325" s="10"/>
      <c r="U325" s="10"/>
      <c r="V325" s="10"/>
      <c r="W325" s="10"/>
      <c r="X325" s="10"/>
      <c r="Y325" s="10"/>
      <c r="Z325" s="10"/>
      <c r="AA325" s="10"/>
    </row>
    <row r="326" spans="1:27" ht="13.5" customHeight="1">
      <c r="A326" s="10"/>
      <c r="B326" s="10"/>
      <c r="C326" s="209" t="s">
        <v>628</v>
      </c>
      <c r="D326" s="210">
        <v>1203.9000000000001</v>
      </c>
      <c r="E326" s="211">
        <v>0.13800000000000001</v>
      </c>
      <c r="F326" s="212">
        <v>1.7999999999999999E-2</v>
      </c>
      <c r="G326" s="210">
        <v>1260.5999999999999</v>
      </c>
      <c r="H326" s="211">
        <v>3.4000000000000002E-2</v>
      </c>
      <c r="I326" s="213">
        <v>4.0000000000000001E-3</v>
      </c>
      <c r="J326" s="10"/>
      <c r="K326" s="10"/>
      <c r="L326" s="10"/>
      <c r="M326" s="10"/>
      <c r="N326" s="318"/>
      <c r="O326" s="318"/>
      <c r="P326" s="318"/>
      <c r="Q326" s="10"/>
      <c r="R326" s="10"/>
      <c r="S326" s="10"/>
      <c r="T326" s="10"/>
      <c r="U326" s="10"/>
      <c r="V326" s="10"/>
      <c r="W326" s="10"/>
      <c r="X326" s="10"/>
      <c r="Y326" s="10"/>
      <c r="Z326" s="10"/>
      <c r="AA326" s="10"/>
    </row>
    <row r="327" spans="1:27" ht="13.5" customHeight="1">
      <c r="A327" s="10"/>
      <c r="B327" s="10"/>
      <c r="C327" s="209" t="s">
        <v>629</v>
      </c>
      <c r="D327" s="210">
        <v>233.5</v>
      </c>
      <c r="E327" s="211">
        <v>1.6E-2</v>
      </c>
      <c r="F327" s="212">
        <v>2E-3</v>
      </c>
      <c r="G327" s="210">
        <v>877.9</v>
      </c>
      <c r="H327" s="211">
        <v>4.2000000000000003E-2</v>
      </c>
      <c r="I327" s="213">
        <v>5.0000000000000001E-3</v>
      </c>
      <c r="J327" s="10"/>
      <c r="K327" s="10"/>
      <c r="L327" s="10"/>
      <c r="M327" s="10"/>
      <c r="N327" s="318"/>
      <c r="O327" s="318"/>
      <c r="P327" s="318"/>
      <c r="Q327" s="10"/>
      <c r="R327" s="10"/>
      <c r="S327" s="10"/>
      <c r="T327" s="10"/>
      <c r="U327" s="10"/>
      <c r="V327" s="10"/>
      <c r="W327" s="10"/>
      <c r="X327" s="10"/>
      <c r="Y327" s="10"/>
      <c r="Z327" s="10"/>
      <c r="AA327" s="10"/>
    </row>
    <row r="328" spans="1:27" ht="13.5" customHeight="1">
      <c r="A328" s="10"/>
      <c r="B328" s="10"/>
      <c r="C328" s="209" t="s">
        <v>630</v>
      </c>
      <c r="D328" s="210">
        <v>1602.2</v>
      </c>
      <c r="E328" s="211">
        <v>8.5000000000000006E-2</v>
      </c>
      <c r="F328" s="212">
        <v>1.4E-2</v>
      </c>
      <c r="G328" s="210">
        <v>1673.3</v>
      </c>
      <c r="H328" s="211">
        <v>7.0000000000000007E-2</v>
      </c>
      <c r="I328" s="213">
        <v>1.2999999999999999E-2</v>
      </c>
      <c r="J328" s="10"/>
      <c r="K328" s="10"/>
      <c r="L328" s="10"/>
      <c r="M328" s="10"/>
      <c r="N328" s="318"/>
      <c r="O328" s="318"/>
      <c r="P328" s="318"/>
      <c r="Q328" s="10"/>
      <c r="R328" s="10"/>
      <c r="S328" s="10"/>
      <c r="T328" s="10"/>
      <c r="U328" s="10"/>
      <c r="V328" s="10"/>
      <c r="W328" s="10"/>
      <c r="X328" s="10"/>
      <c r="Y328" s="10"/>
      <c r="Z328" s="10"/>
      <c r="AA328" s="10"/>
    </row>
    <row r="329" spans="1:27" ht="13.5" customHeight="1">
      <c r="A329" s="10"/>
      <c r="B329" s="10"/>
      <c r="C329" s="209" t="s">
        <v>631</v>
      </c>
      <c r="D329" s="210">
        <v>652.5</v>
      </c>
      <c r="E329" s="211">
        <v>4.4999999999999998E-2</v>
      </c>
      <c r="F329" s="212">
        <v>6.0000000000000001E-3</v>
      </c>
      <c r="G329" s="210">
        <v>1233.4000000000001</v>
      </c>
      <c r="H329" s="211">
        <v>8.5000000000000006E-2</v>
      </c>
      <c r="I329" s="213">
        <v>1.2E-2</v>
      </c>
      <c r="J329" s="10"/>
      <c r="K329" s="10"/>
      <c r="L329" s="10"/>
      <c r="M329" s="10"/>
      <c r="N329" s="318"/>
      <c r="O329" s="318"/>
      <c r="P329" s="318"/>
      <c r="Q329" s="10"/>
      <c r="R329" s="10"/>
      <c r="S329" s="10"/>
      <c r="T329" s="10"/>
      <c r="U329" s="10"/>
      <c r="V329" s="10"/>
      <c r="W329" s="10"/>
      <c r="X329" s="10"/>
      <c r="Y329" s="10"/>
      <c r="Z329" s="10"/>
      <c r="AA329" s="10"/>
    </row>
    <row r="330" spans="1:27" ht="13.5" customHeight="1">
      <c r="A330" s="10"/>
      <c r="B330" s="10"/>
      <c r="C330" s="209" t="s">
        <v>632</v>
      </c>
      <c r="D330" s="210">
        <v>1153.0999999999999</v>
      </c>
      <c r="E330" s="211">
        <v>0.10100000000000001</v>
      </c>
      <c r="F330" s="212">
        <v>1.4E-2</v>
      </c>
      <c r="G330" s="210">
        <v>1725.7</v>
      </c>
      <c r="H330" s="211">
        <v>0.16300000000000001</v>
      </c>
      <c r="I330" s="213">
        <v>2.3E-2</v>
      </c>
      <c r="J330" s="10"/>
      <c r="K330" s="10"/>
      <c r="L330" s="10"/>
      <c r="M330" s="10"/>
      <c r="N330" s="318"/>
      <c r="O330" s="318"/>
      <c r="P330" s="318"/>
      <c r="Q330" s="10"/>
      <c r="R330" s="10"/>
      <c r="S330" s="10"/>
      <c r="T330" s="10"/>
      <c r="U330" s="10"/>
      <c r="V330" s="10"/>
      <c r="W330" s="10"/>
      <c r="X330" s="10"/>
      <c r="Y330" s="10"/>
      <c r="Z330" s="10"/>
      <c r="AA330" s="10"/>
    </row>
    <row r="331" spans="1:27" ht="13.5" customHeight="1">
      <c r="A331" s="10"/>
      <c r="B331" s="10"/>
      <c r="C331" s="209" t="s">
        <v>633</v>
      </c>
      <c r="D331" s="210">
        <v>985</v>
      </c>
      <c r="E331" s="211">
        <v>8.5999999999999993E-2</v>
      </c>
      <c r="F331" s="212">
        <v>1.2E-2</v>
      </c>
      <c r="G331" s="210">
        <v>1810.4</v>
      </c>
      <c r="H331" s="211">
        <v>0.17299999999999999</v>
      </c>
      <c r="I331" s="213">
        <v>2.5000000000000001E-2</v>
      </c>
      <c r="J331" s="10"/>
      <c r="K331" s="10"/>
      <c r="L331" s="10"/>
      <c r="M331" s="10"/>
      <c r="N331" s="318"/>
      <c r="O331" s="318"/>
      <c r="P331" s="318"/>
      <c r="Q331" s="10"/>
      <c r="R331" s="10"/>
      <c r="S331" s="10"/>
      <c r="T331" s="10"/>
      <c r="U331" s="10"/>
      <c r="V331" s="10"/>
      <c r="W331" s="10"/>
      <c r="X331" s="10"/>
      <c r="Y331" s="10"/>
      <c r="Z331" s="10"/>
      <c r="AA331" s="10"/>
    </row>
    <row r="332" spans="1:27" ht="13.5" customHeight="1">
      <c r="A332" s="10"/>
      <c r="B332" s="10"/>
      <c r="C332" s="209" t="s">
        <v>634</v>
      </c>
      <c r="D332" s="210">
        <v>1144.8</v>
      </c>
      <c r="E332" s="211">
        <v>0.10100000000000001</v>
      </c>
      <c r="F332" s="212">
        <v>1.4E-2</v>
      </c>
      <c r="G332" s="210">
        <v>1651.9</v>
      </c>
      <c r="H332" s="211">
        <v>0.13100000000000001</v>
      </c>
      <c r="I332" s="213">
        <v>1.9E-2</v>
      </c>
      <c r="J332" s="10"/>
      <c r="K332" s="10"/>
      <c r="L332" s="10"/>
      <c r="M332" s="10"/>
      <c r="N332" s="318"/>
      <c r="O332" s="318"/>
      <c r="P332" s="318"/>
      <c r="Q332" s="10"/>
      <c r="R332" s="10"/>
      <c r="S332" s="10"/>
      <c r="T332" s="10"/>
      <c r="U332" s="10"/>
      <c r="V332" s="10"/>
      <c r="W332" s="10"/>
      <c r="X332" s="10"/>
      <c r="Y332" s="10"/>
      <c r="Z332" s="10"/>
      <c r="AA332" s="10"/>
    </row>
    <row r="333" spans="1:27" ht="13.5" customHeight="1">
      <c r="A333" s="10"/>
      <c r="B333" s="10"/>
      <c r="C333" s="209" t="s">
        <v>635</v>
      </c>
      <c r="D333" s="210">
        <v>954</v>
      </c>
      <c r="E333" s="211">
        <v>0.1</v>
      </c>
      <c r="F333" s="212">
        <v>1.4E-2</v>
      </c>
      <c r="G333" s="210">
        <v>1969.9</v>
      </c>
      <c r="H333" s="211">
        <v>0.20499999999999999</v>
      </c>
      <c r="I333" s="213">
        <v>0.03</v>
      </c>
      <c r="J333" s="10"/>
      <c r="K333" s="10"/>
      <c r="L333" s="10"/>
      <c r="M333" s="10"/>
      <c r="N333" s="318"/>
      <c r="O333" s="318"/>
      <c r="P333" s="318"/>
      <c r="Q333" s="10"/>
      <c r="R333" s="10"/>
      <c r="S333" s="10"/>
      <c r="T333" s="10"/>
      <c r="U333" s="10"/>
      <c r="V333" s="10"/>
      <c r="W333" s="10"/>
      <c r="X333" s="10"/>
      <c r="Y333" s="10"/>
      <c r="Z333" s="10"/>
      <c r="AA333" s="10"/>
    </row>
    <row r="334" spans="1:27" ht="13.5" customHeight="1">
      <c r="A334" s="10"/>
      <c r="B334" s="10"/>
      <c r="C334" s="209" t="s">
        <v>636</v>
      </c>
      <c r="D334" s="210">
        <v>931.8</v>
      </c>
      <c r="E334" s="211">
        <v>0.06</v>
      </c>
      <c r="F334" s="212">
        <v>8.9999999999999993E-3</v>
      </c>
      <c r="G334" s="210">
        <v>1514.1</v>
      </c>
      <c r="H334" s="211">
        <v>0.1</v>
      </c>
      <c r="I334" s="213">
        <v>1.4E-2</v>
      </c>
      <c r="J334" s="10"/>
      <c r="K334" s="10"/>
      <c r="L334" s="10"/>
      <c r="M334" s="10"/>
      <c r="N334" s="318"/>
      <c r="O334" s="318"/>
      <c r="P334" s="318"/>
      <c r="Q334" s="10"/>
      <c r="R334" s="10"/>
      <c r="S334" s="10"/>
      <c r="T334" s="10"/>
      <c r="U334" s="10"/>
      <c r="V334" s="10"/>
      <c r="W334" s="10"/>
      <c r="X334" s="10"/>
      <c r="Y334" s="10"/>
      <c r="Z334" s="10"/>
      <c r="AA334" s="10"/>
    </row>
    <row r="335" spans="1:27" ht="13.5" customHeight="1">
      <c r="A335" s="10"/>
      <c r="B335" s="10"/>
      <c r="C335" s="209" t="s">
        <v>637</v>
      </c>
      <c r="D335" s="210">
        <v>740.4</v>
      </c>
      <c r="E335" s="211">
        <v>3.2000000000000001E-2</v>
      </c>
      <c r="F335" s="212">
        <v>4.0000000000000001E-3</v>
      </c>
      <c r="G335" s="210">
        <v>1137.4000000000001</v>
      </c>
      <c r="H335" s="211">
        <v>5.5E-2</v>
      </c>
      <c r="I335" s="213">
        <v>8.0000000000000002E-3</v>
      </c>
      <c r="J335" s="10"/>
      <c r="K335" s="10"/>
      <c r="L335" s="10"/>
      <c r="M335" s="10"/>
      <c r="N335" s="318"/>
      <c r="O335" s="318"/>
      <c r="P335" s="318"/>
      <c r="Q335" s="10"/>
      <c r="R335" s="10"/>
      <c r="S335" s="10"/>
      <c r="T335" s="10"/>
      <c r="U335" s="10"/>
      <c r="V335" s="10"/>
      <c r="W335" s="10"/>
      <c r="X335" s="10"/>
      <c r="Y335" s="10"/>
      <c r="Z335" s="10"/>
      <c r="AA335" s="10"/>
    </row>
    <row r="336" spans="1:27" ht="13.5" customHeight="1">
      <c r="A336" s="10"/>
      <c r="B336" s="10"/>
      <c r="C336" s="209" t="s">
        <v>638</v>
      </c>
      <c r="D336" s="210">
        <v>1480.7</v>
      </c>
      <c r="E336" s="211">
        <v>0.156</v>
      </c>
      <c r="F336" s="212">
        <v>2.3E-2</v>
      </c>
      <c r="G336" s="210">
        <v>1866.5</v>
      </c>
      <c r="H336" s="211">
        <v>0.19400000000000001</v>
      </c>
      <c r="I336" s="213">
        <v>2.8000000000000001E-2</v>
      </c>
      <c r="J336" s="10"/>
      <c r="K336" s="10"/>
      <c r="L336" s="10"/>
      <c r="M336" s="10"/>
      <c r="N336" s="318"/>
      <c r="O336" s="318"/>
      <c r="P336" s="318"/>
      <c r="Q336" s="10"/>
      <c r="R336" s="10"/>
      <c r="S336" s="10"/>
      <c r="T336" s="10"/>
      <c r="U336" s="10"/>
      <c r="V336" s="10"/>
      <c r="W336" s="10"/>
      <c r="X336" s="10"/>
      <c r="Y336" s="10"/>
      <c r="Z336" s="10"/>
      <c r="AA336" s="10"/>
    </row>
    <row r="337" spans="1:27" ht="13.5" customHeight="1">
      <c r="A337" s="10"/>
      <c r="B337" s="10"/>
      <c r="C337" s="209" t="s">
        <v>639</v>
      </c>
      <c r="D337" s="210">
        <v>860.2</v>
      </c>
      <c r="E337" s="211">
        <v>0.06</v>
      </c>
      <c r="F337" s="212">
        <v>8.9999999999999993E-3</v>
      </c>
      <c r="G337" s="210">
        <v>1336.9</v>
      </c>
      <c r="H337" s="211">
        <v>9.4E-2</v>
      </c>
      <c r="I337" s="213">
        <v>1.2999999999999999E-2</v>
      </c>
      <c r="J337" s="10"/>
      <c r="K337" s="10"/>
      <c r="L337" s="10"/>
      <c r="M337" s="10"/>
      <c r="N337" s="318"/>
      <c r="O337" s="318"/>
      <c r="P337" s="318"/>
      <c r="Q337" s="10"/>
      <c r="R337" s="10"/>
      <c r="S337" s="10"/>
      <c r="T337" s="10"/>
      <c r="U337" s="10"/>
      <c r="V337" s="10"/>
      <c r="W337" s="10"/>
      <c r="X337" s="10"/>
      <c r="Y337" s="10"/>
      <c r="Z337" s="10"/>
      <c r="AA337" s="10"/>
    </row>
    <row r="338" spans="1:27" ht="13.5" customHeight="1">
      <c r="A338" s="10"/>
      <c r="B338" s="10"/>
      <c r="C338" s="209" t="s">
        <v>640</v>
      </c>
      <c r="D338" s="210">
        <v>834.2</v>
      </c>
      <c r="E338" s="211">
        <v>7.4999999999999997E-2</v>
      </c>
      <c r="F338" s="212">
        <v>1.0999999999999999E-2</v>
      </c>
      <c r="G338" s="210">
        <v>1511.8</v>
      </c>
      <c r="H338" s="211">
        <v>0.13500000000000001</v>
      </c>
      <c r="I338" s="213">
        <v>1.9E-2</v>
      </c>
      <c r="J338" s="10"/>
      <c r="K338" s="10"/>
      <c r="L338" s="10"/>
      <c r="M338" s="10"/>
      <c r="N338" s="318"/>
      <c r="O338" s="318"/>
      <c r="P338" s="318"/>
      <c r="Q338" s="10"/>
      <c r="R338" s="10"/>
      <c r="S338" s="10"/>
      <c r="T338" s="10"/>
      <c r="U338" s="10"/>
      <c r="V338" s="10"/>
      <c r="W338" s="10"/>
      <c r="X338" s="10"/>
      <c r="Y338" s="10"/>
      <c r="Z338" s="10"/>
      <c r="AA338" s="10"/>
    </row>
    <row r="339" spans="1:27" ht="13.5" customHeight="1">
      <c r="A339" s="10"/>
      <c r="B339" s="10"/>
      <c r="C339" s="209" t="s">
        <v>641</v>
      </c>
      <c r="D339" s="210">
        <v>623.1</v>
      </c>
      <c r="E339" s="211">
        <v>0.05</v>
      </c>
      <c r="F339" s="212">
        <v>7.0000000000000001E-3</v>
      </c>
      <c r="G339" s="210">
        <v>1323.9</v>
      </c>
      <c r="H339" s="211">
        <v>0.114</v>
      </c>
      <c r="I339" s="213">
        <v>1.6E-2</v>
      </c>
      <c r="J339" s="10"/>
      <c r="K339" s="10"/>
      <c r="L339" s="10"/>
      <c r="M339" s="10"/>
      <c r="N339" s="318"/>
      <c r="O339" s="318"/>
      <c r="P339" s="318"/>
      <c r="Q339" s="10"/>
      <c r="R339" s="10"/>
      <c r="S339" s="10"/>
      <c r="T339" s="10"/>
      <c r="U339" s="10"/>
      <c r="V339" s="10"/>
      <c r="W339" s="10"/>
      <c r="X339" s="10"/>
      <c r="Y339" s="10"/>
      <c r="Z339" s="10"/>
      <c r="AA339" s="10"/>
    </row>
    <row r="340" spans="1:27" ht="13.9" customHeight="1" thickBot="1">
      <c r="A340" s="10"/>
      <c r="B340" s="10"/>
      <c r="C340" s="214" t="s">
        <v>642</v>
      </c>
      <c r="D340" s="215">
        <v>818.3</v>
      </c>
      <c r="E340" s="216">
        <v>6.5000000000000002E-2</v>
      </c>
      <c r="F340" s="217">
        <v>8.9999999999999993E-3</v>
      </c>
      <c r="G340" s="215">
        <v>1399.6</v>
      </c>
      <c r="H340" s="216">
        <v>0.109</v>
      </c>
      <c r="I340" s="218">
        <v>1.4999999999999999E-2</v>
      </c>
      <c r="J340" s="10"/>
      <c r="K340" s="10"/>
      <c r="L340" s="10"/>
      <c r="M340" s="10"/>
      <c r="N340" s="318"/>
      <c r="O340" s="318"/>
      <c r="P340" s="318"/>
      <c r="Q340" s="10"/>
      <c r="R340" s="10"/>
      <c r="S340" s="10"/>
      <c r="T340" s="10"/>
      <c r="U340" s="10"/>
      <c r="V340" s="10"/>
      <c r="W340" s="10"/>
      <c r="X340" s="10"/>
      <c r="Y340" s="10"/>
      <c r="Z340" s="10"/>
      <c r="AA340" s="10"/>
    </row>
    <row r="341" spans="1:27" ht="14.45" customHeight="1">
      <c r="A341" s="10"/>
      <c r="B341" s="11"/>
      <c r="C341" s="372" t="s">
        <v>643</v>
      </c>
      <c r="D341" s="373"/>
      <c r="E341" s="373"/>
      <c r="F341" s="373"/>
      <c r="G341" s="373"/>
      <c r="H341" s="373"/>
      <c r="I341" s="373"/>
      <c r="J341" s="10"/>
      <c r="K341" s="219"/>
      <c r="L341" s="219"/>
      <c r="M341" s="10"/>
      <c r="N341" s="10"/>
      <c r="O341" s="10"/>
      <c r="P341" s="10"/>
      <c r="Q341" s="10"/>
      <c r="R341" s="10"/>
      <c r="S341" s="10"/>
      <c r="T341" s="10"/>
      <c r="U341" s="10"/>
      <c r="V341" s="10"/>
      <c r="W341" s="10"/>
      <c r="X341" s="10"/>
      <c r="Y341" s="10"/>
      <c r="Z341" s="10"/>
      <c r="AA341" s="10"/>
    </row>
    <row r="342" spans="1:27" ht="22.5" customHeight="1">
      <c r="A342" s="10"/>
      <c r="B342" s="11"/>
      <c r="C342" s="351" t="s">
        <v>644</v>
      </c>
      <c r="D342" s="332"/>
      <c r="E342" s="332"/>
      <c r="F342" s="332"/>
      <c r="G342" s="332"/>
      <c r="H342" s="332"/>
      <c r="I342" s="332"/>
      <c r="J342" s="10"/>
      <c r="K342" s="10"/>
      <c r="L342" s="10"/>
      <c r="M342" s="10"/>
      <c r="N342" s="10"/>
      <c r="O342" s="10"/>
      <c r="P342" s="10"/>
      <c r="Q342" s="10"/>
      <c r="R342" s="10"/>
      <c r="S342" s="10"/>
      <c r="T342" s="10"/>
      <c r="U342" s="10"/>
      <c r="V342" s="10"/>
      <c r="W342" s="10"/>
      <c r="X342" s="10"/>
      <c r="Y342" s="10"/>
      <c r="Z342" s="10"/>
      <c r="AA342" s="10"/>
    </row>
    <row r="343" spans="1:27">
      <c r="A343" s="10"/>
      <c r="B343" s="11"/>
      <c r="C343" s="220"/>
      <c r="D343" s="220"/>
      <c r="E343" s="220"/>
      <c r="F343" s="10"/>
      <c r="G343" s="10"/>
      <c r="H343" s="10"/>
      <c r="I343" s="10"/>
      <c r="J343" s="10"/>
      <c r="K343" s="10"/>
      <c r="L343" s="10"/>
      <c r="M343" s="10"/>
      <c r="N343" s="10"/>
      <c r="O343" s="10"/>
      <c r="P343" s="10"/>
      <c r="Q343" s="10"/>
      <c r="R343" s="10"/>
      <c r="S343" s="10"/>
      <c r="T343" s="10"/>
      <c r="U343" s="10"/>
      <c r="V343" s="10"/>
      <c r="W343" s="10"/>
      <c r="X343" s="10"/>
      <c r="Y343" s="10"/>
      <c r="Z343" s="10"/>
      <c r="AA343" s="10"/>
    </row>
    <row r="344" spans="1:27">
      <c r="A344" s="10"/>
      <c r="B344" s="11"/>
      <c r="C344" s="220"/>
      <c r="D344" s="220"/>
      <c r="E344" s="220"/>
      <c r="F344" s="10"/>
      <c r="G344" s="10"/>
      <c r="H344" s="10"/>
      <c r="I344" s="10"/>
      <c r="J344" s="10"/>
      <c r="K344" s="10"/>
      <c r="L344" s="10"/>
      <c r="M344" s="10"/>
      <c r="N344" s="10"/>
      <c r="O344" s="10"/>
      <c r="P344" s="10"/>
      <c r="Q344" s="10"/>
      <c r="R344" s="10"/>
      <c r="S344" s="10"/>
      <c r="T344" s="10"/>
      <c r="U344" s="10"/>
      <c r="V344" s="10"/>
      <c r="W344" s="10"/>
      <c r="X344" s="10"/>
      <c r="Y344" s="10"/>
      <c r="Z344" s="10"/>
      <c r="AA344" s="10"/>
    </row>
    <row r="345" spans="1:27">
      <c r="A345" s="10"/>
      <c r="B345" s="11"/>
      <c r="C345" s="220"/>
      <c r="D345" s="220"/>
      <c r="E345" s="220"/>
      <c r="F345" s="10"/>
      <c r="G345" s="10"/>
      <c r="H345" s="10"/>
      <c r="I345" s="221"/>
      <c r="J345" s="10"/>
      <c r="K345" s="10"/>
      <c r="L345" s="10"/>
      <c r="M345" s="10"/>
      <c r="N345" s="10"/>
      <c r="O345" s="10"/>
      <c r="P345" s="10"/>
      <c r="Q345" s="10"/>
      <c r="R345" s="10"/>
      <c r="S345" s="10"/>
      <c r="T345" s="10"/>
      <c r="U345" s="10"/>
      <c r="V345" s="10"/>
      <c r="W345" s="10"/>
      <c r="X345" s="10"/>
      <c r="Y345" s="10"/>
      <c r="Z345" s="10"/>
      <c r="AA345" s="10"/>
    </row>
    <row r="346" spans="1:27">
      <c r="A346" s="10"/>
      <c r="B346" s="11"/>
      <c r="C346" s="220"/>
      <c r="D346" s="220"/>
      <c r="E346" s="220"/>
      <c r="F346" s="10"/>
      <c r="G346" s="10"/>
      <c r="H346" s="10"/>
      <c r="I346" s="10"/>
      <c r="J346" s="10"/>
      <c r="K346" s="10"/>
      <c r="L346" s="10"/>
      <c r="M346" s="10"/>
      <c r="N346" s="10"/>
      <c r="O346" s="10"/>
      <c r="P346" s="10"/>
      <c r="Q346" s="10"/>
      <c r="R346" s="10"/>
      <c r="S346" s="10"/>
      <c r="T346" s="10"/>
      <c r="U346" s="10"/>
      <c r="V346" s="10"/>
      <c r="W346" s="10"/>
      <c r="X346" s="10"/>
      <c r="Y346" s="10"/>
      <c r="Z346" s="10"/>
      <c r="AA346" s="10"/>
    </row>
    <row r="347" spans="1:27">
      <c r="A347" s="10"/>
      <c r="B347" s="11"/>
      <c r="C347" s="220"/>
      <c r="D347" s="220"/>
      <c r="E347" s="220"/>
      <c r="F347" s="10"/>
      <c r="G347" s="10"/>
      <c r="H347" s="10"/>
      <c r="I347" s="10"/>
      <c r="J347" s="10"/>
      <c r="K347" s="10"/>
      <c r="L347" s="10"/>
      <c r="M347" s="10"/>
      <c r="N347" s="10"/>
      <c r="O347" s="10"/>
      <c r="P347" s="10"/>
      <c r="Q347" s="10"/>
      <c r="R347" s="10"/>
      <c r="S347" s="10"/>
      <c r="T347" s="10"/>
      <c r="U347" s="10"/>
      <c r="V347" s="10"/>
      <c r="W347" s="10"/>
      <c r="X347" s="10"/>
      <c r="Y347" s="10"/>
      <c r="Z347" s="10"/>
      <c r="AA347" s="10"/>
    </row>
    <row r="348" spans="1:27" ht="13.5" customHeight="1">
      <c r="A348" s="10"/>
      <c r="B348" s="11"/>
      <c r="C348" s="220"/>
      <c r="D348" s="220"/>
      <c r="E348" s="220"/>
      <c r="F348" s="10"/>
      <c r="G348" s="10"/>
      <c r="H348" s="10"/>
      <c r="I348" s="10"/>
      <c r="J348" s="10"/>
      <c r="K348" s="318"/>
      <c r="L348" s="10"/>
      <c r="M348" s="10"/>
      <c r="N348" s="10"/>
      <c r="O348" s="10"/>
      <c r="P348" s="10"/>
      <c r="Q348" s="10"/>
      <c r="R348" s="10"/>
      <c r="S348" s="10"/>
      <c r="T348" s="10"/>
      <c r="U348" s="10"/>
      <c r="V348" s="10"/>
      <c r="W348" s="10"/>
      <c r="X348" s="10"/>
      <c r="Y348" s="10"/>
      <c r="Z348" s="10"/>
      <c r="AA348" s="10"/>
    </row>
    <row r="349" spans="1:27">
      <c r="A349" s="10"/>
      <c r="B349" s="11"/>
      <c r="C349" s="220"/>
      <c r="D349" s="220"/>
      <c r="E349" s="220"/>
      <c r="F349" s="10"/>
      <c r="G349" s="10"/>
      <c r="H349" s="10"/>
      <c r="I349" s="10"/>
      <c r="J349" s="10"/>
      <c r="K349" s="10"/>
      <c r="L349" s="10"/>
      <c r="M349" s="10"/>
      <c r="N349" s="10"/>
      <c r="O349" s="10"/>
      <c r="P349" s="10"/>
      <c r="Q349" s="10"/>
      <c r="R349" s="10"/>
      <c r="S349" s="10"/>
      <c r="T349" s="10"/>
      <c r="U349" s="10"/>
      <c r="V349" s="10"/>
      <c r="W349" s="10"/>
      <c r="X349" s="10"/>
      <c r="Y349" s="10"/>
      <c r="Z349" s="10"/>
      <c r="AA349" s="10"/>
    </row>
    <row r="350" spans="1:27">
      <c r="A350" s="10"/>
      <c r="B350" s="11"/>
      <c r="C350" s="220"/>
      <c r="D350" s="220"/>
      <c r="E350" s="220"/>
      <c r="F350" s="10"/>
      <c r="G350" s="10"/>
      <c r="H350" s="10"/>
      <c r="I350" s="10"/>
      <c r="J350" s="10"/>
      <c r="K350" s="10"/>
      <c r="L350" s="10"/>
      <c r="M350" s="10"/>
      <c r="N350" s="10"/>
      <c r="O350" s="10"/>
      <c r="P350" s="10"/>
      <c r="Q350" s="10"/>
      <c r="R350" s="10"/>
      <c r="S350" s="10"/>
      <c r="T350" s="10"/>
      <c r="U350" s="10"/>
      <c r="V350" s="10"/>
      <c r="W350" s="10"/>
      <c r="X350" s="10"/>
      <c r="Y350" s="10"/>
      <c r="Z350" s="10"/>
      <c r="AA350" s="10"/>
    </row>
    <row r="351" spans="1:27">
      <c r="A351" s="10"/>
      <c r="B351" s="11"/>
      <c r="C351" s="220"/>
      <c r="D351" s="220"/>
      <c r="E351" s="220"/>
      <c r="F351" s="10"/>
      <c r="G351" s="10"/>
      <c r="H351" s="10"/>
      <c r="I351" s="10"/>
      <c r="J351" s="10"/>
      <c r="K351" s="10"/>
      <c r="L351" s="10"/>
      <c r="M351" s="10"/>
      <c r="N351" s="10"/>
      <c r="O351" s="10"/>
      <c r="P351" s="10"/>
      <c r="Q351" s="10"/>
      <c r="R351" s="10"/>
      <c r="S351" s="10"/>
      <c r="T351" s="10"/>
      <c r="U351" s="10"/>
      <c r="V351" s="10"/>
      <c r="W351" s="10"/>
      <c r="X351" s="10"/>
      <c r="Y351" s="10"/>
      <c r="Z351" s="10"/>
      <c r="AA351" s="10"/>
    </row>
    <row r="352" spans="1:27">
      <c r="A352" s="10"/>
      <c r="B352" s="11"/>
      <c r="C352" s="220"/>
      <c r="D352" s="220"/>
      <c r="E352" s="220"/>
      <c r="F352" s="10"/>
      <c r="G352" s="10"/>
      <c r="H352" s="10"/>
      <c r="I352" s="10"/>
      <c r="J352" s="10"/>
      <c r="K352" s="10"/>
      <c r="L352" s="10"/>
      <c r="M352" s="10"/>
      <c r="N352" s="10"/>
      <c r="O352" s="10"/>
      <c r="P352" s="10"/>
      <c r="Q352" s="10"/>
      <c r="R352" s="10"/>
      <c r="S352" s="10"/>
      <c r="T352" s="10"/>
      <c r="U352" s="10"/>
      <c r="V352" s="10"/>
      <c r="W352" s="10"/>
      <c r="X352" s="10"/>
      <c r="Y352" s="10"/>
      <c r="Z352" s="10"/>
      <c r="AA352" s="10"/>
    </row>
    <row r="353" spans="1:27">
      <c r="A353" s="10"/>
      <c r="B353" s="11"/>
      <c r="C353" s="220"/>
      <c r="D353" s="220"/>
      <c r="E353" s="220"/>
      <c r="F353" s="10"/>
      <c r="G353" s="10"/>
      <c r="H353" s="10"/>
      <c r="I353" s="10"/>
      <c r="J353" s="10"/>
      <c r="K353" s="10"/>
      <c r="L353" s="10"/>
      <c r="M353" s="10"/>
      <c r="N353" s="10"/>
      <c r="O353" s="10"/>
      <c r="P353" s="10"/>
      <c r="Q353" s="10"/>
      <c r="R353" s="10"/>
      <c r="S353" s="10"/>
      <c r="T353" s="10"/>
      <c r="U353" s="10"/>
      <c r="V353" s="10"/>
      <c r="W353" s="10"/>
      <c r="X353" s="10"/>
      <c r="Y353" s="10"/>
      <c r="Z353" s="10"/>
      <c r="AA353" s="10"/>
    </row>
    <row r="354" spans="1:27">
      <c r="A354" s="10"/>
      <c r="B354" s="11"/>
      <c r="C354" s="220"/>
      <c r="D354" s="220"/>
      <c r="E354" s="220"/>
      <c r="F354" s="10"/>
      <c r="G354" s="10"/>
      <c r="H354" s="10"/>
      <c r="I354" s="10"/>
      <c r="J354" s="10"/>
      <c r="K354" s="10"/>
      <c r="L354" s="10"/>
      <c r="M354" s="10"/>
      <c r="N354" s="10"/>
      <c r="O354" s="10"/>
      <c r="P354" s="10"/>
      <c r="Q354" s="10"/>
      <c r="R354" s="10"/>
      <c r="S354" s="10"/>
      <c r="T354" s="10"/>
      <c r="U354" s="10"/>
      <c r="V354" s="10"/>
      <c r="W354" s="10"/>
      <c r="X354" s="10"/>
      <c r="Y354" s="10"/>
      <c r="Z354" s="10"/>
      <c r="AA354" s="10"/>
    </row>
    <row r="355" spans="1:27">
      <c r="A355" s="10"/>
      <c r="B355" s="11"/>
      <c r="C355" s="220"/>
      <c r="D355" s="220"/>
      <c r="E355" s="220"/>
      <c r="F355" s="10"/>
      <c r="G355" s="10"/>
      <c r="H355" s="10"/>
      <c r="I355" s="10"/>
      <c r="J355" s="10"/>
      <c r="K355" s="10"/>
      <c r="L355" s="10"/>
      <c r="M355" s="10"/>
      <c r="N355" s="10"/>
      <c r="O355" s="10"/>
      <c r="P355" s="10"/>
      <c r="Q355" s="10"/>
      <c r="R355" s="10"/>
      <c r="S355" s="10"/>
      <c r="T355" s="10"/>
      <c r="U355" s="10"/>
      <c r="V355" s="10"/>
      <c r="W355" s="10"/>
      <c r="X355" s="10"/>
      <c r="Y355" s="10"/>
      <c r="Z355" s="10"/>
      <c r="AA355" s="10"/>
    </row>
    <row r="356" spans="1:27">
      <c r="A356" s="10"/>
      <c r="B356" s="11"/>
      <c r="C356" s="220"/>
      <c r="D356" s="220"/>
      <c r="E356" s="220"/>
      <c r="F356" s="10"/>
      <c r="G356" s="10"/>
      <c r="H356" s="10"/>
      <c r="I356" s="10"/>
      <c r="J356" s="10"/>
      <c r="K356" s="10"/>
      <c r="L356" s="10"/>
      <c r="M356" s="10"/>
      <c r="N356" s="10"/>
      <c r="O356" s="10"/>
      <c r="P356" s="10"/>
      <c r="Q356" s="10"/>
      <c r="R356" s="10"/>
      <c r="S356" s="10"/>
      <c r="T356" s="10"/>
      <c r="U356" s="10"/>
      <c r="V356" s="10"/>
      <c r="W356" s="10"/>
      <c r="X356" s="10"/>
      <c r="Y356" s="10"/>
      <c r="Z356" s="10"/>
      <c r="AA356" s="10"/>
    </row>
    <row r="357" spans="1:27">
      <c r="A357" s="10"/>
      <c r="B357" s="11"/>
      <c r="C357" s="220"/>
      <c r="D357" s="220"/>
      <c r="E357" s="220"/>
      <c r="F357" s="10"/>
      <c r="G357" s="10"/>
      <c r="H357" s="10"/>
      <c r="I357" s="10"/>
      <c r="J357" s="10"/>
      <c r="K357" s="10"/>
      <c r="L357" s="10"/>
      <c r="M357" s="10"/>
      <c r="N357" s="10"/>
      <c r="O357" s="10"/>
      <c r="P357" s="10"/>
      <c r="Q357" s="10"/>
      <c r="R357" s="10"/>
      <c r="S357" s="10"/>
      <c r="T357" s="10"/>
      <c r="U357" s="10"/>
      <c r="V357" s="10"/>
      <c r="W357" s="10"/>
      <c r="X357" s="10"/>
      <c r="Y357" s="10"/>
      <c r="Z357" s="10"/>
      <c r="AA357" s="10"/>
    </row>
    <row r="358" spans="1:27">
      <c r="A358" s="10"/>
      <c r="B358" s="11"/>
      <c r="C358" s="220"/>
      <c r="D358" s="220"/>
      <c r="E358" s="220"/>
      <c r="F358" s="10"/>
      <c r="G358" s="10"/>
      <c r="H358" s="10"/>
      <c r="I358" s="10"/>
      <c r="J358" s="10"/>
      <c r="K358" s="10"/>
      <c r="L358" s="10"/>
      <c r="M358" s="10"/>
      <c r="N358" s="10"/>
      <c r="O358" s="10"/>
      <c r="P358" s="10"/>
      <c r="Q358" s="10"/>
      <c r="R358" s="10"/>
      <c r="S358" s="10"/>
      <c r="T358" s="10"/>
      <c r="U358" s="10"/>
      <c r="V358" s="10"/>
      <c r="W358" s="10"/>
      <c r="X358" s="10"/>
      <c r="Y358" s="10"/>
      <c r="Z358" s="10"/>
      <c r="AA358" s="10"/>
    </row>
    <row r="359" spans="1:27">
      <c r="A359" s="10"/>
      <c r="B359" s="11"/>
      <c r="C359" s="220"/>
      <c r="D359" s="220"/>
      <c r="E359" s="220"/>
      <c r="F359" s="10"/>
      <c r="G359" s="10"/>
      <c r="H359" s="10"/>
      <c r="I359" s="10"/>
      <c r="J359" s="10"/>
      <c r="K359" s="10"/>
      <c r="L359" s="10"/>
      <c r="M359" s="10"/>
      <c r="N359" s="10"/>
      <c r="O359" s="10"/>
      <c r="P359" s="10"/>
      <c r="Q359" s="10"/>
      <c r="R359" s="10"/>
      <c r="S359" s="10"/>
      <c r="T359" s="10"/>
      <c r="U359" s="10"/>
      <c r="V359" s="10"/>
      <c r="W359" s="10"/>
      <c r="X359" s="10"/>
      <c r="Y359" s="10"/>
      <c r="Z359" s="10"/>
      <c r="AA359" s="10"/>
    </row>
    <row r="360" spans="1:27">
      <c r="A360" s="10"/>
      <c r="B360" s="11"/>
      <c r="C360" s="220"/>
      <c r="D360" s="220"/>
      <c r="E360" s="220"/>
      <c r="F360" s="10"/>
      <c r="G360" s="10"/>
      <c r="H360" s="10"/>
      <c r="I360" s="10"/>
      <c r="J360" s="10"/>
      <c r="K360" s="10"/>
      <c r="L360" s="10"/>
      <c r="M360" s="10"/>
      <c r="N360" s="10"/>
      <c r="O360" s="10"/>
      <c r="P360" s="10"/>
      <c r="Q360" s="10"/>
      <c r="R360" s="10"/>
      <c r="S360" s="10"/>
      <c r="T360" s="10"/>
      <c r="U360" s="10"/>
      <c r="V360" s="10"/>
      <c r="W360" s="10"/>
      <c r="X360" s="10"/>
      <c r="Y360" s="10"/>
      <c r="Z360" s="10"/>
      <c r="AA360" s="10"/>
    </row>
    <row r="361" spans="1:27">
      <c r="A361" s="10"/>
      <c r="B361" s="11"/>
      <c r="C361" s="220"/>
      <c r="D361" s="220"/>
      <c r="E361" s="220"/>
      <c r="F361" s="10"/>
      <c r="G361" s="10"/>
      <c r="H361" s="10"/>
      <c r="I361" s="10"/>
      <c r="J361" s="10"/>
      <c r="K361" s="10"/>
      <c r="L361" s="10"/>
      <c r="M361" s="10"/>
      <c r="N361" s="10"/>
      <c r="O361" s="10"/>
      <c r="P361" s="10"/>
      <c r="Q361" s="10"/>
      <c r="R361" s="10"/>
      <c r="S361" s="10"/>
      <c r="T361" s="10"/>
      <c r="U361" s="10"/>
      <c r="V361" s="10"/>
      <c r="W361" s="10"/>
      <c r="X361" s="10"/>
      <c r="Y361" s="10"/>
      <c r="Z361" s="10"/>
      <c r="AA361" s="10"/>
    </row>
    <row r="362" spans="1:27">
      <c r="A362" s="10"/>
      <c r="B362" s="11"/>
      <c r="C362" s="220"/>
      <c r="D362" s="220"/>
      <c r="E362" s="220"/>
      <c r="F362" s="10"/>
      <c r="G362" s="10"/>
      <c r="H362" s="10"/>
      <c r="I362" s="10"/>
      <c r="J362" s="10"/>
      <c r="K362" s="10"/>
      <c r="L362" s="10"/>
      <c r="M362" s="10"/>
      <c r="N362" s="10"/>
      <c r="O362" s="10"/>
      <c r="P362" s="10"/>
      <c r="Q362" s="10"/>
      <c r="R362" s="10"/>
      <c r="S362" s="10"/>
      <c r="T362" s="10"/>
      <c r="U362" s="10"/>
      <c r="V362" s="10"/>
      <c r="W362" s="10"/>
      <c r="X362" s="10"/>
      <c r="Y362" s="10"/>
      <c r="Z362" s="10"/>
      <c r="AA362" s="10"/>
    </row>
    <row r="363" spans="1:27">
      <c r="A363" s="10"/>
      <c r="B363" s="11"/>
      <c r="C363" s="220"/>
      <c r="D363" s="220"/>
      <c r="E363" s="220"/>
      <c r="F363" s="10"/>
      <c r="G363" s="10"/>
      <c r="H363" s="10"/>
      <c r="I363" s="10"/>
      <c r="J363" s="10"/>
      <c r="K363" s="10"/>
      <c r="L363" s="10"/>
      <c r="M363" s="10"/>
      <c r="N363" s="10"/>
      <c r="O363" s="10"/>
      <c r="P363" s="10"/>
      <c r="Q363" s="10"/>
      <c r="R363" s="10"/>
      <c r="S363" s="10"/>
      <c r="T363" s="10"/>
      <c r="U363" s="10"/>
      <c r="V363" s="10"/>
      <c r="W363" s="10"/>
      <c r="X363" s="10"/>
      <c r="Y363" s="10"/>
      <c r="Z363" s="10"/>
      <c r="AA363" s="10"/>
    </row>
    <row r="364" spans="1:27">
      <c r="A364" s="10"/>
      <c r="B364" s="11"/>
      <c r="C364" s="220"/>
      <c r="D364" s="220"/>
      <c r="E364" s="220"/>
      <c r="F364" s="10"/>
      <c r="G364" s="10"/>
      <c r="H364" s="10"/>
      <c r="I364" s="10"/>
      <c r="J364" s="10"/>
      <c r="K364" s="10"/>
      <c r="L364" s="10"/>
      <c r="M364" s="10"/>
      <c r="N364" s="10"/>
      <c r="O364" s="10"/>
      <c r="P364" s="10"/>
      <c r="Q364" s="10"/>
      <c r="R364" s="10"/>
      <c r="S364" s="10"/>
      <c r="T364" s="10"/>
      <c r="U364" s="10"/>
      <c r="V364" s="10"/>
      <c r="W364" s="10"/>
      <c r="X364" s="10"/>
      <c r="Y364" s="10"/>
      <c r="Z364" s="10"/>
      <c r="AA364" s="10"/>
    </row>
    <row r="365" spans="1:27">
      <c r="A365" s="10"/>
      <c r="B365" s="11"/>
      <c r="C365" s="220"/>
      <c r="D365" s="220"/>
      <c r="E365" s="220"/>
      <c r="F365" s="10"/>
      <c r="G365" s="10"/>
      <c r="H365" s="10"/>
      <c r="I365" s="10"/>
      <c r="J365" s="10"/>
      <c r="K365" s="10"/>
      <c r="L365" s="10"/>
      <c r="M365" s="10"/>
      <c r="N365" s="10"/>
      <c r="O365" s="10"/>
      <c r="P365" s="10"/>
      <c r="Q365" s="10"/>
      <c r="R365" s="10"/>
      <c r="S365" s="10"/>
      <c r="T365" s="10"/>
      <c r="U365" s="10"/>
      <c r="V365" s="10"/>
      <c r="W365" s="10"/>
      <c r="X365" s="10"/>
      <c r="Y365" s="10"/>
      <c r="Z365" s="10"/>
      <c r="AA365" s="10"/>
    </row>
    <row r="366" spans="1:27">
      <c r="A366" s="10"/>
      <c r="B366" s="11"/>
      <c r="C366" s="220"/>
      <c r="D366" s="220"/>
      <c r="E366" s="220"/>
      <c r="F366" s="10"/>
      <c r="G366" s="10"/>
      <c r="H366" s="10"/>
      <c r="I366" s="10"/>
      <c r="J366" s="10"/>
      <c r="K366" s="10"/>
      <c r="L366" s="10"/>
      <c r="M366" s="10"/>
      <c r="N366" s="10"/>
      <c r="O366" s="10"/>
      <c r="P366" s="10"/>
      <c r="Q366" s="10"/>
      <c r="R366" s="10"/>
      <c r="S366" s="10"/>
      <c r="T366" s="10"/>
      <c r="U366" s="10"/>
      <c r="V366" s="10"/>
      <c r="W366" s="10"/>
      <c r="X366" s="10"/>
      <c r="Y366" s="10"/>
      <c r="Z366" s="10"/>
      <c r="AA366" s="10"/>
    </row>
    <row r="367" spans="1:27">
      <c r="A367" s="10"/>
      <c r="B367" s="11"/>
      <c r="C367" s="220"/>
      <c r="D367" s="220"/>
      <c r="E367" s="220"/>
      <c r="F367" s="10"/>
      <c r="G367" s="10"/>
      <c r="H367" s="10"/>
      <c r="I367" s="10"/>
      <c r="J367" s="10"/>
      <c r="K367" s="10"/>
      <c r="L367" s="10"/>
      <c r="M367" s="10"/>
      <c r="N367" s="10"/>
      <c r="O367" s="10"/>
      <c r="P367" s="10"/>
      <c r="Q367" s="10"/>
      <c r="R367" s="10"/>
      <c r="S367" s="10"/>
      <c r="T367" s="10"/>
      <c r="U367" s="10"/>
      <c r="V367" s="10"/>
      <c r="W367" s="10"/>
      <c r="X367" s="10"/>
      <c r="Y367" s="10"/>
      <c r="Z367" s="10"/>
      <c r="AA367" s="10"/>
    </row>
    <row r="368" spans="1:27">
      <c r="A368" s="10"/>
      <c r="B368" s="11"/>
      <c r="C368" s="220"/>
      <c r="D368" s="220"/>
      <c r="E368" s="220"/>
      <c r="F368" s="10"/>
      <c r="G368" s="10"/>
      <c r="H368" s="10"/>
      <c r="I368" s="10"/>
      <c r="J368" s="10"/>
      <c r="K368" s="10"/>
      <c r="L368" s="10"/>
      <c r="M368" s="10"/>
      <c r="N368" s="10"/>
      <c r="O368" s="10"/>
      <c r="P368" s="10"/>
      <c r="Q368" s="10"/>
      <c r="R368" s="10"/>
      <c r="S368" s="10"/>
      <c r="T368" s="10"/>
      <c r="U368" s="10"/>
      <c r="V368" s="10"/>
      <c r="W368" s="10"/>
      <c r="X368" s="10"/>
      <c r="Y368" s="10"/>
      <c r="Z368" s="10"/>
      <c r="AA368" s="10"/>
    </row>
    <row r="369" spans="1:27">
      <c r="A369" s="10"/>
      <c r="B369" s="11"/>
      <c r="C369" s="220"/>
      <c r="D369" s="220"/>
      <c r="E369" s="220"/>
      <c r="F369" s="10"/>
      <c r="G369" s="10"/>
      <c r="H369" s="10"/>
      <c r="I369" s="10"/>
      <c r="J369" s="10"/>
      <c r="K369" s="10"/>
      <c r="L369" s="10"/>
      <c r="M369" s="10"/>
      <c r="N369" s="10"/>
      <c r="O369" s="10"/>
      <c r="P369" s="10"/>
      <c r="Q369" s="10"/>
      <c r="R369" s="10"/>
      <c r="S369" s="10"/>
      <c r="T369" s="10"/>
      <c r="U369" s="10"/>
      <c r="V369" s="10"/>
      <c r="W369" s="10"/>
      <c r="X369" s="10"/>
      <c r="Y369" s="10"/>
      <c r="Z369" s="10"/>
      <c r="AA369" s="10"/>
    </row>
    <row r="370" spans="1:27">
      <c r="A370" s="10"/>
      <c r="B370" s="11"/>
      <c r="C370" s="220"/>
      <c r="D370" s="220"/>
      <c r="E370" s="220"/>
      <c r="F370" s="10"/>
      <c r="G370" s="10"/>
      <c r="H370" s="10"/>
      <c r="I370" s="10"/>
      <c r="J370" s="10"/>
      <c r="K370" s="10"/>
      <c r="L370" s="10"/>
      <c r="M370" s="10"/>
      <c r="N370" s="10"/>
      <c r="O370" s="10"/>
      <c r="P370" s="10"/>
      <c r="Q370" s="10"/>
      <c r="R370" s="10"/>
      <c r="S370" s="10"/>
      <c r="T370" s="10"/>
      <c r="U370" s="10"/>
      <c r="V370" s="10"/>
      <c r="W370" s="10"/>
      <c r="X370" s="10"/>
      <c r="Y370" s="10"/>
      <c r="Z370" s="10"/>
      <c r="AA370" s="10"/>
    </row>
    <row r="371" spans="1:27">
      <c r="A371" s="10"/>
      <c r="B371" s="11"/>
      <c r="C371" s="220"/>
      <c r="D371" s="220"/>
      <c r="E371" s="220"/>
      <c r="F371" s="10"/>
      <c r="G371" s="10"/>
      <c r="H371" s="10"/>
      <c r="I371" s="10"/>
      <c r="J371" s="10"/>
      <c r="K371" s="10"/>
      <c r="L371" s="10"/>
      <c r="M371" s="10"/>
      <c r="N371" s="10"/>
      <c r="O371" s="10"/>
      <c r="P371" s="10"/>
      <c r="Q371" s="10"/>
      <c r="R371" s="10"/>
      <c r="S371" s="10"/>
      <c r="T371" s="10"/>
      <c r="U371" s="10"/>
      <c r="V371" s="10"/>
      <c r="W371" s="10"/>
      <c r="X371" s="10"/>
      <c r="Y371" s="10"/>
      <c r="Z371" s="10"/>
      <c r="AA371" s="10"/>
    </row>
    <row r="372" spans="1:27">
      <c r="A372" s="10"/>
      <c r="B372" s="11"/>
      <c r="C372" s="220"/>
      <c r="D372" s="220"/>
      <c r="E372" s="220"/>
      <c r="F372" s="10"/>
      <c r="G372" s="10"/>
      <c r="H372" s="10"/>
      <c r="I372" s="10"/>
      <c r="J372" s="10"/>
      <c r="K372" s="10"/>
      <c r="L372" s="10"/>
      <c r="M372" s="10"/>
      <c r="N372" s="10"/>
      <c r="O372" s="10"/>
      <c r="P372" s="10"/>
      <c r="Q372" s="10"/>
      <c r="R372" s="10"/>
      <c r="S372" s="10"/>
      <c r="T372" s="10"/>
      <c r="U372" s="10"/>
      <c r="V372" s="10"/>
      <c r="W372" s="10"/>
      <c r="X372" s="10"/>
      <c r="Y372" s="10"/>
      <c r="Z372" s="10"/>
      <c r="AA372" s="10"/>
    </row>
    <row r="373" spans="1:27">
      <c r="A373" s="10"/>
      <c r="B373" s="11"/>
      <c r="C373" s="220"/>
      <c r="D373" s="220"/>
      <c r="E373" s="220"/>
      <c r="F373" s="10"/>
      <c r="G373" s="10"/>
      <c r="H373" s="10"/>
      <c r="I373" s="10"/>
      <c r="J373" s="10"/>
      <c r="K373" s="10"/>
      <c r="L373" s="10"/>
      <c r="M373" s="10"/>
      <c r="N373" s="10"/>
      <c r="O373" s="10"/>
      <c r="P373" s="10"/>
      <c r="Q373" s="10"/>
      <c r="R373" s="10"/>
      <c r="S373" s="10"/>
      <c r="T373" s="10"/>
      <c r="U373" s="10"/>
      <c r="V373" s="10"/>
      <c r="W373" s="10"/>
      <c r="X373" s="10"/>
      <c r="Y373" s="10"/>
      <c r="Z373" s="10"/>
      <c r="AA373" s="10"/>
    </row>
    <row r="374" spans="1:27">
      <c r="A374" s="10"/>
      <c r="B374" s="11"/>
      <c r="C374" s="220"/>
      <c r="D374" s="220"/>
      <c r="E374" s="220"/>
      <c r="F374" s="10"/>
      <c r="G374" s="10"/>
      <c r="H374" s="10"/>
      <c r="I374" s="109"/>
      <c r="J374" s="109"/>
      <c r="K374" s="10"/>
      <c r="L374" s="10"/>
      <c r="M374" s="10"/>
      <c r="N374" s="10"/>
      <c r="O374" s="10"/>
      <c r="P374" s="10"/>
      <c r="Q374" s="10"/>
      <c r="R374" s="10"/>
      <c r="S374" s="10"/>
      <c r="T374" s="10"/>
      <c r="U374" s="10"/>
      <c r="V374" s="10"/>
      <c r="W374" s="10"/>
      <c r="X374" s="10"/>
      <c r="Y374" s="10"/>
      <c r="Z374" s="10"/>
      <c r="AA374" s="10"/>
    </row>
    <row r="375" spans="1:27" ht="15.6" customHeight="1">
      <c r="A375" s="10"/>
      <c r="B375" s="131" t="s">
        <v>645</v>
      </c>
      <c r="C375" s="132" t="s">
        <v>646</v>
      </c>
      <c r="D375" s="222"/>
      <c r="E375" s="223"/>
      <c r="F375" s="134"/>
      <c r="G375" s="134"/>
      <c r="H375" s="134"/>
      <c r="I375" s="134"/>
      <c r="J375" s="134"/>
      <c r="K375" s="134"/>
      <c r="L375" s="135"/>
      <c r="M375" s="10"/>
      <c r="N375" s="10"/>
      <c r="O375" s="10"/>
      <c r="P375" s="10"/>
      <c r="Q375" s="10"/>
      <c r="R375" s="10"/>
      <c r="S375" s="10"/>
      <c r="T375" s="10"/>
      <c r="U375" s="10"/>
      <c r="V375" s="10"/>
      <c r="W375" s="10"/>
      <c r="X375" s="10"/>
      <c r="Y375" s="10"/>
      <c r="Z375" s="10"/>
      <c r="AA375" s="10"/>
    </row>
    <row r="376" spans="1:27" ht="13.9" customHeight="1" thickBot="1">
      <c r="A376" s="10"/>
      <c r="B376" s="11"/>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c r="AA376" s="10"/>
    </row>
    <row r="377" spans="1:27" ht="29.45" customHeight="1" thickBot="1">
      <c r="A377" s="10"/>
      <c r="B377" s="11"/>
      <c r="C377" s="181"/>
      <c r="D377" s="224" t="s">
        <v>647</v>
      </c>
      <c r="E377" s="138" t="s">
        <v>648</v>
      </c>
      <c r="F377" s="139" t="s">
        <v>649</v>
      </c>
      <c r="G377" s="16"/>
      <c r="H377" s="38"/>
      <c r="I377" s="10"/>
      <c r="J377" s="10"/>
      <c r="K377" s="10"/>
      <c r="L377" s="10"/>
      <c r="M377" s="10"/>
      <c r="N377" s="10"/>
      <c r="O377" s="10"/>
      <c r="P377" s="10"/>
      <c r="Q377" s="10"/>
      <c r="R377" s="10"/>
      <c r="S377" s="10"/>
      <c r="T377" s="10"/>
      <c r="U377" s="10"/>
      <c r="V377" s="10"/>
      <c r="W377" s="10"/>
      <c r="X377" s="10"/>
      <c r="Y377" s="10"/>
      <c r="Z377" s="10"/>
      <c r="AA377" s="10"/>
    </row>
    <row r="378" spans="1:27" ht="13.9" customHeight="1" thickBot="1">
      <c r="A378" s="10"/>
      <c r="B378" s="11"/>
      <c r="C378" s="225" t="s">
        <v>646</v>
      </c>
      <c r="D378" s="226">
        <v>66.33</v>
      </c>
      <c r="E378" s="227">
        <v>1.25</v>
      </c>
      <c r="F378" s="228">
        <v>0.125</v>
      </c>
      <c r="G378" s="10"/>
      <c r="H378" s="38"/>
      <c r="I378" s="10"/>
      <c r="J378" s="10"/>
      <c r="L378" s="10"/>
      <c r="M378" s="10"/>
      <c r="N378" s="10"/>
      <c r="O378" s="10"/>
      <c r="P378" s="10"/>
      <c r="Q378" s="10"/>
      <c r="R378" s="10"/>
      <c r="S378" s="10"/>
      <c r="T378" s="10"/>
      <c r="U378" s="10"/>
      <c r="V378" s="10"/>
      <c r="W378" s="10"/>
      <c r="X378" s="10"/>
      <c r="Y378" s="10"/>
      <c r="Z378" s="10"/>
      <c r="AA378" s="10"/>
    </row>
    <row r="379" spans="1:27">
      <c r="A379" s="10"/>
      <c r="B379" s="11"/>
      <c r="C379" s="103" t="s">
        <v>650</v>
      </c>
      <c r="D379" s="25"/>
      <c r="E379" s="104"/>
      <c r="F379" s="104"/>
      <c r="G379" s="104"/>
      <c r="H379" s="25"/>
      <c r="I379" s="25"/>
      <c r="J379" s="25"/>
      <c r="K379" s="25"/>
      <c r="L379" s="10"/>
      <c r="M379" s="10"/>
      <c r="N379" s="10"/>
      <c r="O379" s="10"/>
      <c r="P379" s="10"/>
      <c r="Q379" s="10"/>
      <c r="R379" s="10"/>
      <c r="S379" s="10"/>
      <c r="T379" s="10"/>
      <c r="U379" s="10"/>
      <c r="V379" s="10"/>
      <c r="W379" s="10"/>
      <c r="X379" s="10"/>
      <c r="Y379" s="10"/>
      <c r="Z379" s="10"/>
      <c r="AA379" s="10"/>
    </row>
    <row r="380" spans="1:27">
      <c r="A380" s="10"/>
      <c r="B380" s="11"/>
      <c r="C380" s="362"/>
      <c r="D380" s="332"/>
      <c r="E380" s="332"/>
      <c r="F380" s="332"/>
      <c r="G380" s="332"/>
      <c r="H380" s="332"/>
      <c r="I380" s="332"/>
      <c r="J380" s="332"/>
      <c r="K380" s="332"/>
      <c r="L380" s="10"/>
      <c r="M380" s="10"/>
      <c r="N380" s="10"/>
      <c r="O380" s="10"/>
      <c r="P380" s="10"/>
      <c r="Q380" s="10"/>
      <c r="R380" s="10"/>
      <c r="S380" s="10"/>
      <c r="T380" s="10"/>
      <c r="U380" s="10"/>
      <c r="V380" s="10"/>
      <c r="W380" s="10"/>
      <c r="X380" s="10"/>
      <c r="Y380" s="10"/>
      <c r="Z380" s="10"/>
      <c r="AA380" s="10"/>
    </row>
    <row r="381" spans="1:27" ht="15.6" customHeight="1">
      <c r="A381" s="10"/>
      <c r="B381" s="343" t="s">
        <v>651</v>
      </c>
      <c r="C381" s="327"/>
      <c r="D381" s="327"/>
      <c r="E381" s="327"/>
      <c r="F381" s="327"/>
      <c r="G381" s="327"/>
      <c r="H381" s="327"/>
      <c r="I381" s="327"/>
      <c r="J381" s="327"/>
      <c r="K381" s="327"/>
      <c r="L381" s="344"/>
      <c r="M381" s="10"/>
      <c r="N381" s="10"/>
      <c r="O381" s="10"/>
      <c r="P381" s="10"/>
      <c r="Q381" s="10"/>
      <c r="R381" s="10"/>
      <c r="S381" s="10"/>
      <c r="T381" s="10"/>
      <c r="U381" s="10"/>
      <c r="V381" s="10"/>
      <c r="W381" s="10"/>
      <c r="X381" s="10"/>
      <c r="Y381" s="10"/>
      <c r="Z381" s="10"/>
      <c r="AA381" s="10"/>
    </row>
    <row r="382" spans="1:27" ht="27" customHeight="1">
      <c r="B382" s="349" t="s">
        <v>652</v>
      </c>
      <c r="C382" s="350"/>
      <c r="D382" s="350"/>
      <c r="E382" s="350"/>
      <c r="F382" s="350"/>
      <c r="G382" s="350"/>
      <c r="H382" s="350"/>
      <c r="I382" s="350"/>
      <c r="J382" s="350"/>
      <c r="K382" s="350"/>
      <c r="L382" s="350"/>
    </row>
    <row r="384" spans="1:27" ht="15.6" customHeight="1">
      <c r="A384" s="10"/>
      <c r="B384" s="131" t="s">
        <v>653</v>
      </c>
      <c r="C384" s="132" t="s">
        <v>654</v>
      </c>
      <c r="D384" s="222"/>
      <c r="E384" s="222"/>
      <c r="F384" s="134"/>
      <c r="G384" s="134"/>
      <c r="H384" s="134"/>
      <c r="I384" s="134"/>
      <c r="J384" s="134"/>
      <c r="K384" s="134"/>
      <c r="L384" s="135"/>
      <c r="M384" s="10"/>
      <c r="N384" s="10"/>
      <c r="O384" s="10"/>
      <c r="P384" s="10"/>
      <c r="Q384" s="10"/>
      <c r="R384" s="10"/>
      <c r="S384" s="10"/>
      <c r="T384" s="10"/>
      <c r="U384" s="10"/>
      <c r="V384" s="10"/>
      <c r="W384" s="10"/>
      <c r="X384" s="10"/>
      <c r="Y384" s="10"/>
      <c r="Z384" s="10"/>
      <c r="AA384" s="10"/>
    </row>
    <row r="385" spans="1:27" ht="32.1" customHeight="1" thickBot="1">
      <c r="A385" s="10"/>
      <c r="B385" s="229"/>
      <c r="C385" s="370" t="s">
        <v>655</v>
      </c>
      <c r="D385" s="350"/>
      <c r="E385" s="350"/>
      <c r="F385" s="350"/>
      <c r="G385" s="350"/>
      <c r="H385" s="350"/>
      <c r="I385" s="350"/>
      <c r="J385" s="350"/>
      <c r="K385" s="350"/>
      <c r="L385" s="350"/>
      <c r="M385" s="10"/>
      <c r="N385" s="10"/>
      <c r="O385" s="10"/>
      <c r="P385" s="10"/>
      <c r="Q385" s="10"/>
      <c r="R385" s="10"/>
      <c r="S385" s="10"/>
      <c r="T385" s="10"/>
      <c r="U385" s="10"/>
      <c r="V385" s="10"/>
      <c r="W385" s="10"/>
      <c r="X385" s="10"/>
      <c r="Y385" s="10"/>
      <c r="Z385" s="10"/>
      <c r="AA385" s="10"/>
    </row>
    <row r="386" spans="1:27" ht="29.45" customHeight="1" thickBot="1">
      <c r="A386" s="10"/>
      <c r="B386" s="11"/>
      <c r="C386" s="181" t="s">
        <v>501</v>
      </c>
      <c r="D386" s="138" t="s">
        <v>656</v>
      </c>
      <c r="E386" s="138" t="s">
        <v>657</v>
      </c>
      <c r="F386" s="138" t="s">
        <v>658</v>
      </c>
      <c r="G386" s="139" t="s">
        <v>12</v>
      </c>
      <c r="H386" s="16"/>
      <c r="I386" s="51"/>
      <c r="J386" s="10"/>
      <c r="K386" s="10"/>
      <c r="L386" s="10"/>
      <c r="M386" s="10"/>
      <c r="N386" s="10"/>
      <c r="O386" s="10"/>
      <c r="P386" s="10"/>
      <c r="Q386" s="10"/>
      <c r="R386" s="10"/>
      <c r="S386" s="10"/>
      <c r="T386" s="10"/>
      <c r="U386" s="10"/>
      <c r="V386" s="10"/>
      <c r="W386" s="10"/>
      <c r="X386" s="10"/>
      <c r="Y386" s="10"/>
      <c r="Z386" s="10"/>
      <c r="AA386" s="10"/>
    </row>
    <row r="387" spans="1:27">
      <c r="A387" s="10"/>
      <c r="B387" s="11"/>
      <c r="C387" s="230" t="s">
        <v>659</v>
      </c>
      <c r="D387" s="231">
        <v>1.45</v>
      </c>
      <c r="E387" s="232">
        <v>1.2999999999999999E-2</v>
      </c>
      <c r="F387" s="231">
        <v>3.4000000000000002E-2</v>
      </c>
      <c r="G387" s="233" t="s">
        <v>660</v>
      </c>
      <c r="H387" s="10"/>
      <c r="I387" s="10"/>
      <c r="J387" s="10"/>
      <c r="K387" s="10"/>
      <c r="L387" s="10"/>
      <c r="M387" s="10"/>
      <c r="N387" s="10"/>
      <c r="O387" s="10"/>
      <c r="P387" s="10"/>
      <c r="Q387" s="10"/>
      <c r="R387" s="10"/>
      <c r="S387" s="10"/>
      <c r="T387" s="10"/>
      <c r="U387" s="10"/>
      <c r="V387" s="10"/>
      <c r="W387" s="10"/>
      <c r="X387" s="10"/>
      <c r="Y387" s="10"/>
      <c r="Z387" s="10"/>
      <c r="AA387" s="10"/>
    </row>
    <row r="388" spans="1:27" ht="15.6" customHeight="1">
      <c r="A388" s="10"/>
      <c r="B388" s="11"/>
      <c r="C388" s="234" t="s">
        <v>661</v>
      </c>
      <c r="D388" s="235">
        <v>0.33200000000000002</v>
      </c>
      <c r="E388" s="235">
        <v>7.0000000000000001E-3</v>
      </c>
      <c r="F388" s="235">
        <v>7.0000000000000001E-3</v>
      </c>
      <c r="G388" s="236" t="s">
        <v>660</v>
      </c>
      <c r="H388" s="10"/>
      <c r="I388" s="10"/>
      <c r="J388" s="10"/>
      <c r="K388" s="10"/>
      <c r="L388" s="10"/>
      <c r="M388" s="10"/>
      <c r="N388" s="10"/>
      <c r="O388" s="10"/>
      <c r="P388" s="10"/>
      <c r="Q388" s="10"/>
      <c r="R388" s="10"/>
      <c r="S388" s="10"/>
      <c r="T388" s="10"/>
      <c r="U388" s="10"/>
      <c r="V388" s="10"/>
      <c r="W388" s="10"/>
      <c r="X388" s="10"/>
      <c r="Y388" s="10"/>
      <c r="Z388" s="10"/>
      <c r="AA388" s="10"/>
    </row>
    <row r="389" spans="1:27" ht="16.149999999999999" customHeight="1" thickBot="1">
      <c r="A389" s="10"/>
      <c r="B389" s="11"/>
      <c r="C389" s="237" t="s">
        <v>662</v>
      </c>
      <c r="D389" s="238">
        <v>0.45400000000000001</v>
      </c>
      <c r="E389" s="239">
        <v>1.2E-2</v>
      </c>
      <c r="F389" s="238">
        <v>8.9999999999999993E-3</v>
      </c>
      <c r="G389" s="240" t="s">
        <v>660</v>
      </c>
      <c r="H389" s="10"/>
      <c r="I389" s="10"/>
      <c r="J389" s="10"/>
      <c r="K389" s="10"/>
      <c r="L389" s="10"/>
      <c r="M389" s="10"/>
      <c r="N389" s="10"/>
      <c r="O389" s="10"/>
      <c r="P389" s="10"/>
      <c r="Q389" s="10"/>
      <c r="R389" s="10"/>
      <c r="S389" s="10"/>
      <c r="T389" s="10"/>
      <c r="U389" s="10"/>
      <c r="V389" s="10"/>
      <c r="W389" s="10"/>
      <c r="X389" s="10"/>
      <c r="Y389" s="10"/>
      <c r="Z389" s="10"/>
      <c r="AA389" s="10"/>
    </row>
    <row r="390" spans="1:27">
      <c r="A390" s="10"/>
      <c r="B390" s="11"/>
      <c r="C390" s="230" t="s">
        <v>659</v>
      </c>
      <c r="D390" s="241">
        <v>0.21099999999999999</v>
      </c>
      <c r="E390" s="242">
        <v>2E-3</v>
      </c>
      <c r="F390" s="242">
        <v>4.8999999999999998E-3</v>
      </c>
      <c r="G390" s="233" t="s">
        <v>663</v>
      </c>
      <c r="H390" s="10"/>
      <c r="I390" s="10"/>
      <c r="J390" s="10"/>
      <c r="K390" s="10"/>
      <c r="L390" s="10"/>
      <c r="M390" s="10"/>
      <c r="N390" s="10"/>
      <c r="O390" s="10"/>
      <c r="P390" s="10"/>
      <c r="Q390" s="10"/>
      <c r="R390" s="10"/>
      <c r="S390" s="10"/>
      <c r="T390" s="10"/>
      <c r="U390" s="10"/>
      <c r="V390" s="10"/>
      <c r="W390" s="10"/>
      <c r="X390" s="10"/>
      <c r="Y390" s="10"/>
      <c r="Z390" s="10"/>
      <c r="AA390" s="10"/>
    </row>
    <row r="391" spans="1:27" ht="16.5" customHeight="1">
      <c r="A391" s="10"/>
      <c r="B391" s="11"/>
      <c r="C391" s="187" t="s">
        <v>664</v>
      </c>
      <c r="D391" s="243">
        <v>2.1999999999999999E-2</v>
      </c>
      <c r="E391" s="244">
        <v>1.6999999999999999E-3</v>
      </c>
      <c r="F391" s="245">
        <v>5.9999999999999995E-4</v>
      </c>
      <c r="G391" s="246" t="s">
        <v>663</v>
      </c>
      <c r="H391" s="10"/>
      <c r="I391" s="10"/>
      <c r="J391" s="10"/>
      <c r="K391" s="10"/>
      <c r="L391" s="10"/>
      <c r="M391" s="10"/>
      <c r="N391" s="10"/>
      <c r="O391" s="10"/>
      <c r="P391" s="10"/>
      <c r="Q391" s="10"/>
      <c r="R391" s="10"/>
      <c r="S391" s="10"/>
      <c r="T391" s="10"/>
      <c r="U391" s="10"/>
      <c r="V391" s="10"/>
      <c r="W391" s="10"/>
      <c r="X391" s="10"/>
      <c r="Y391" s="10"/>
      <c r="Z391" s="10"/>
      <c r="AA391" s="10"/>
    </row>
    <row r="392" spans="1:27">
      <c r="A392" s="10"/>
      <c r="B392" s="11"/>
      <c r="C392" s="187" t="s">
        <v>665</v>
      </c>
      <c r="D392" s="235">
        <v>4.1000000000000002E-2</v>
      </c>
      <c r="E392" s="245">
        <v>1.83E-2</v>
      </c>
      <c r="F392" s="245">
        <v>8.0000000000000004E-4</v>
      </c>
      <c r="G392" s="246" t="s">
        <v>663</v>
      </c>
      <c r="H392" s="10"/>
      <c r="I392" s="10"/>
      <c r="J392" s="10"/>
      <c r="K392" s="10"/>
      <c r="L392" s="10"/>
      <c r="M392" s="10"/>
      <c r="N392" s="10"/>
      <c r="O392" s="10"/>
      <c r="P392" s="10"/>
      <c r="Q392" s="10"/>
      <c r="R392" s="10"/>
      <c r="S392" s="10"/>
      <c r="T392" s="10"/>
      <c r="U392" s="10"/>
      <c r="V392" s="10"/>
      <c r="W392" s="10"/>
      <c r="X392" s="10"/>
      <c r="Y392" s="10"/>
      <c r="Z392" s="10"/>
      <c r="AA392" s="10"/>
    </row>
    <row r="393" spans="1:27" ht="16.149999999999999" customHeight="1" thickBot="1">
      <c r="A393" s="10"/>
      <c r="B393" s="11"/>
      <c r="C393" s="237" t="s">
        <v>666</v>
      </c>
      <c r="D393" s="238">
        <v>1.165</v>
      </c>
      <c r="E393" s="101">
        <v>0</v>
      </c>
      <c r="F393" s="247">
        <v>3.5900000000000001E-2</v>
      </c>
      <c r="G393" s="240" t="s">
        <v>663</v>
      </c>
      <c r="H393" s="10"/>
      <c r="I393" s="10"/>
      <c r="J393" s="10"/>
      <c r="K393" s="10"/>
      <c r="L393" s="10"/>
      <c r="M393" s="10"/>
      <c r="N393" s="10"/>
      <c r="O393" s="10"/>
      <c r="P393" s="10"/>
      <c r="Q393" s="10"/>
      <c r="R393" s="10"/>
      <c r="S393" s="10"/>
      <c r="T393" s="10"/>
      <c r="U393" s="10"/>
      <c r="V393" s="10"/>
      <c r="W393" s="10"/>
      <c r="X393" s="10"/>
      <c r="Y393" s="10"/>
      <c r="Z393" s="10"/>
      <c r="AA393" s="10"/>
    </row>
    <row r="394" spans="1:27" ht="75" customHeight="1">
      <c r="A394" s="10"/>
      <c r="B394" s="11"/>
      <c r="C394" s="359" t="s">
        <v>667</v>
      </c>
      <c r="D394" s="332"/>
      <c r="E394" s="332"/>
      <c r="F394" s="332"/>
      <c r="G394" s="332"/>
      <c r="H394" s="332"/>
      <c r="I394" s="332"/>
      <c r="J394" s="332"/>
      <c r="K394" s="332"/>
      <c r="L394" s="332"/>
      <c r="M394" s="10"/>
      <c r="N394" s="10"/>
      <c r="O394" s="10"/>
      <c r="P394" s="10"/>
      <c r="Q394" s="10"/>
      <c r="R394" s="10"/>
      <c r="S394" s="10"/>
      <c r="T394" s="10"/>
      <c r="U394" s="10"/>
      <c r="V394" s="10"/>
      <c r="W394" s="10"/>
      <c r="X394" s="10"/>
      <c r="Y394" s="10"/>
      <c r="Z394" s="10"/>
      <c r="AA394" s="10"/>
    </row>
    <row r="395" spans="1:27" ht="71.099999999999994" customHeight="1">
      <c r="A395" s="10"/>
      <c r="B395" s="11"/>
      <c r="C395" s="331" t="s">
        <v>668</v>
      </c>
      <c r="D395" s="332"/>
      <c r="E395" s="332"/>
      <c r="F395" s="332"/>
      <c r="G395" s="332"/>
      <c r="H395" s="332"/>
      <c r="I395" s="332"/>
      <c r="J395" s="332"/>
      <c r="K395" s="332"/>
      <c r="L395" s="332"/>
      <c r="M395" s="10"/>
      <c r="N395" s="10"/>
      <c r="O395" s="10"/>
      <c r="P395" s="10"/>
      <c r="Q395" s="10"/>
      <c r="R395" s="10"/>
      <c r="S395" s="10"/>
      <c r="T395" s="10"/>
      <c r="U395" s="10"/>
      <c r="V395" s="10"/>
      <c r="W395" s="10"/>
      <c r="X395" s="10"/>
      <c r="Y395" s="10"/>
      <c r="Z395" s="10"/>
      <c r="AA395" s="10"/>
    </row>
    <row r="396" spans="1:27">
      <c r="A396" s="10"/>
      <c r="B396" s="11"/>
      <c r="C396" s="351"/>
      <c r="D396" s="332"/>
      <c r="E396" s="332"/>
      <c r="F396" s="332"/>
      <c r="G396" s="332"/>
      <c r="H396" s="332"/>
      <c r="I396" s="332"/>
      <c r="J396" s="332"/>
      <c r="K396" s="332"/>
      <c r="L396" s="10"/>
      <c r="M396" s="10"/>
      <c r="N396" s="10"/>
      <c r="O396" s="10"/>
      <c r="P396" s="10"/>
      <c r="Q396" s="10"/>
      <c r="R396" s="10"/>
      <c r="S396" s="10"/>
      <c r="T396" s="10"/>
      <c r="U396" s="10"/>
      <c r="V396" s="10"/>
      <c r="W396" s="10"/>
      <c r="X396" s="10"/>
      <c r="Y396" s="10"/>
      <c r="Z396" s="10"/>
      <c r="AA396" s="10"/>
    </row>
    <row r="397" spans="1:27" ht="15.6" customHeight="1">
      <c r="B397" s="131" t="s">
        <v>669</v>
      </c>
      <c r="C397" s="248" t="s">
        <v>670</v>
      </c>
      <c r="D397" s="134"/>
      <c r="E397" s="134"/>
      <c r="F397" s="134"/>
      <c r="G397" s="134"/>
      <c r="H397" s="134"/>
      <c r="I397" s="134"/>
      <c r="J397" s="134"/>
      <c r="K397" s="134"/>
      <c r="L397" s="135"/>
      <c r="M397" s="10"/>
      <c r="N397" s="10"/>
      <c r="O397" s="10"/>
      <c r="P397" s="10"/>
      <c r="Q397" s="10"/>
      <c r="R397" s="10"/>
      <c r="S397" s="10"/>
      <c r="T397" s="10"/>
      <c r="U397" s="10"/>
      <c r="V397" s="10"/>
      <c r="W397" s="10"/>
      <c r="X397" s="10"/>
      <c r="Y397" s="10"/>
      <c r="Z397" s="10"/>
      <c r="AA397" s="10"/>
    </row>
    <row r="398" spans="1:27" ht="45" customHeight="1" thickBot="1">
      <c r="A398" s="10"/>
      <c r="B398" s="249"/>
      <c r="C398" s="374" t="s">
        <v>671</v>
      </c>
      <c r="D398" s="350"/>
      <c r="E398" s="350"/>
      <c r="F398" s="350"/>
      <c r="G398" s="350"/>
      <c r="H398" s="350"/>
      <c r="I398" s="350"/>
      <c r="J398" s="350"/>
      <c r="K398" s="350"/>
      <c r="L398" s="10"/>
      <c r="M398" s="10"/>
      <c r="N398" s="10"/>
      <c r="O398" s="10"/>
      <c r="P398" s="10"/>
      <c r="Q398" s="10"/>
      <c r="R398" s="10"/>
      <c r="S398" s="10"/>
      <c r="T398" s="10"/>
      <c r="U398" s="10"/>
      <c r="V398" s="10"/>
      <c r="W398" s="10"/>
      <c r="X398" s="10"/>
      <c r="Y398" s="10"/>
      <c r="Z398" s="10"/>
      <c r="AA398" s="10"/>
    </row>
    <row r="399" spans="1:27" ht="16.149999999999999" customHeight="1" thickBot="1">
      <c r="C399" s="251"/>
      <c r="D399" s="355" t="s">
        <v>672</v>
      </c>
      <c r="E399" s="321"/>
      <c r="F399" s="321"/>
      <c r="G399" s="321"/>
      <c r="H399" s="321"/>
      <c r="I399" s="322"/>
    </row>
    <row r="400" spans="1:27" ht="62.25" customHeight="1" thickBot="1">
      <c r="C400" s="252" t="s">
        <v>673</v>
      </c>
      <c r="D400" s="253" t="s">
        <v>674</v>
      </c>
      <c r="E400" s="253" t="s">
        <v>675</v>
      </c>
      <c r="F400" s="253" t="s">
        <v>676</v>
      </c>
      <c r="G400" s="253" t="s">
        <v>677</v>
      </c>
      <c r="H400" s="253" t="s">
        <v>678</v>
      </c>
      <c r="I400" s="254" t="s">
        <v>679</v>
      </c>
      <c r="K400" s="255"/>
      <c r="L400" s="255"/>
    </row>
    <row r="401" spans="3:16">
      <c r="C401" s="256" t="s">
        <v>680</v>
      </c>
      <c r="D401" s="257">
        <v>0.06</v>
      </c>
      <c r="E401" s="257">
        <v>0.02</v>
      </c>
      <c r="F401" s="257">
        <v>0.01</v>
      </c>
      <c r="G401" s="258" t="s">
        <v>681</v>
      </c>
      <c r="H401" s="258" t="s">
        <v>681</v>
      </c>
      <c r="I401" s="259" t="s">
        <v>681</v>
      </c>
      <c r="J401" s="260"/>
      <c r="K401" s="255"/>
      <c r="L401" s="255"/>
      <c r="M401" s="255"/>
      <c r="N401" s="255"/>
      <c r="O401" s="255"/>
      <c r="P401" s="255"/>
    </row>
    <row r="402" spans="3:16">
      <c r="C402" s="261" t="s">
        <v>682</v>
      </c>
      <c r="D402" s="262">
        <v>0.04</v>
      </c>
      <c r="E402" s="262">
        <v>0.02</v>
      </c>
      <c r="F402" s="262">
        <v>0.01</v>
      </c>
      <c r="G402" s="263" t="s">
        <v>681</v>
      </c>
      <c r="H402" s="263" t="s">
        <v>681</v>
      </c>
      <c r="I402" s="264" t="s">
        <v>681</v>
      </c>
      <c r="J402" s="255"/>
      <c r="K402" s="255"/>
      <c r="L402" s="255"/>
      <c r="M402" s="255"/>
      <c r="N402" s="255"/>
      <c r="O402" s="255"/>
      <c r="P402" s="255"/>
    </row>
    <row r="403" spans="3:16">
      <c r="C403" s="261" t="s">
        <v>683</v>
      </c>
      <c r="D403" s="262">
        <v>0.32</v>
      </c>
      <c r="E403" s="262">
        <v>0.02</v>
      </c>
      <c r="F403" s="262">
        <v>0.01</v>
      </c>
      <c r="G403" s="263" t="s">
        <v>681</v>
      </c>
      <c r="H403" s="263" t="s">
        <v>681</v>
      </c>
      <c r="I403" s="264" t="s">
        <v>681</v>
      </c>
      <c r="J403" s="255"/>
      <c r="K403" s="255"/>
      <c r="L403" s="255"/>
      <c r="M403" s="255"/>
      <c r="N403" s="255"/>
      <c r="O403" s="255"/>
      <c r="P403" s="255"/>
    </row>
    <row r="404" spans="3:16">
      <c r="C404" s="261" t="s">
        <v>684</v>
      </c>
      <c r="D404" s="262">
        <v>0.18</v>
      </c>
      <c r="E404" s="262">
        <v>0.02</v>
      </c>
      <c r="F404" s="262">
        <v>0.01</v>
      </c>
      <c r="G404" s="263" t="s">
        <v>681</v>
      </c>
      <c r="H404" s="263" t="s">
        <v>681</v>
      </c>
      <c r="I404" s="264" t="s">
        <v>681</v>
      </c>
      <c r="J404" s="255"/>
      <c r="K404" s="255"/>
      <c r="L404" s="255"/>
      <c r="M404" s="255"/>
      <c r="N404" s="255"/>
      <c r="O404" s="255"/>
      <c r="P404" s="255"/>
    </row>
    <row r="405" spans="3:16">
      <c r="C405" s="261" t="s">
        <v>685</v>
      </c>
      <c r="D405" s="262">
        <v>0.05</v>
      </c>
      <c r="E405" s="262">
        <v>0.02</v>
      </c>
      <c r="F405" s="262">
        <v>0.01</v>
      </c>
      <c r="G405" s="263" t="s">
        <v>681</v>
      </c>
      <c r="H405" s="263" t="s">
        <v>681</v>
      </c>
      <c r="I405" s="264" t="s">
        <v>681</v>
      </c>
      <c r="J405" s="255"/>
      <c r="K405" s="255"/>
      <c r="L405" s="255"/>
      <c r="M405" s="255"/>
      <c r="N405" s="255"/>
      <c r="O405" s="255"/>
      <c r="P405" s="255"/>
    </row>
    <row r="406" spans="3:16">
      <c r="C406" s="261" t="s">
        <v>686</v>
      </c>
      <c r="D406" s="262">
        <v>0.21</v>
      </c>
      <c r="E406" s="262">
        <v>0.02</v>
      </c>
      <c r="F406" s="262">
        <v>2.8</v>
      </c>
      <c r="G406" s="263" t="s">
        <v>681</v>
      </c>
      <c r="H406" s="263" t="s">
        <v>681</v>
      </c>
      <c r="I406" s="264" t="s">
        <v>681</v>
      </c>
      <c r="J406" s="255"/>
      <c r="K406" s="255"/>
      <c r="L406" s="255"/>
      <c r="M406" s="255"/>
      <c r="N406" s="255"/>
      <c r="O406" s="255"/>
      <c r="P406" s="255"/>
    </row>
    <row r="407" spans="3:16">
      <c r="C407" s="261" t="s">
        <v>687</v>
      </c>
      <c r="D407" s="262" t="s">
        <v>681</v>
      </c>
      <c r="E407" s="262">
        <v>0.02</v>
      </c>
      <c r="F407" s="262">
        <v>2.8</v>
      </c>
      <c r="G407" s="263" t="s">
        <v>681</v>
      </c>
      <c r="H407" s="263" t="s">
        <v>681</v>
      </c>
      <c r="I407" s="264" t="s">
        <v>681</v>
      </c>
      <c r="J407" s="255"/>
      <c r="K407" s="255"/>
      <c r="L407" s="255"/>
      <c r="M407" s="255"/>
      <c r="N407" s="255"/>
      <c r="O407" s="255"/>
      <c r="P407" s="255"/>
    </row>
    <row r="408" spans="3:16">
      <c r="C408" s="261" t="s">
        <v>688</v>
      </c>
      <c r="D408" s="262">
        <v>0.23</v>
      </c>
      <c r="E408" s="262">
        <v>0.02</v>
      </c>
      <c r="F408" s="262">
        <v>2.0499999999999998</v>
      </c>
      <c r="G408" s="263" t="s">
        <v>681</v>
      </c>
      <c r="H408" s="263" t="s">
        <v>681</v>
      </c>
      <c r="I408" s="264" t="s">
        <v>681</v>
      </c>
      <c r="J408" s="255"/>
      <c r="K408" s="255"/>
      <c r="L408" s="255"/>
      <c r="M408" s="255"/>
      <c r="N408" s="255"/>
      <c r="O408" s="255"/>
      <c r="P408" s="255"/>
    </row>
    <row r="409" spans="3:16">
      <c r="C409" s="261" t="s">
        <v>689</v>
      </c>
      <c r="D409" s="262" t="s">
        <v>681</v>
      </c>
      <c r="E409" s="262">
        <v>0.02</v>
      </c>
      <c r="F409" s="262">
        <v>2.8</v>
      </c>
      <c r="G409" s="263" t="s">
        <v>681</v>
      </c>
      <c r="H409" s="263" t="s">
        <v>681</v>
      </c>
      <c r="I409" s="264" t="s">
        <v>681</v>
      </c>
      <c r="J409" s="255"/>
      <c r="K409" s="255"/>
      <c r="L409" s="255"/>
      <c r="M409" s="255"/>
      <c r="N409" s="255"/>
      <c r="O409" s="255"/>
      <c r="P409" s="255"/>
    </row>
    <row r="410" spans="3:16">
      <c r="C410" s="261" t="s">
        <v>690</v>
      </c>
      <c r="D410" s="262" t="s">
        <v>681</v>
      </c>
      <c r="E410" s="262">
        <v>0.02</v>
      </c>
      <c r="F410" s="262">
        <v>2.8</v>
      </c>
      <c r="G410" s="263" t="s">
        <v>681</v>
      </c>
      <c r="H410" s="263" t="s">
        <v>681</v>
      </c>
      <c r="I410" s="264" t="s">
        <v>681</v>
      </c>
      <c r="J410" s="255"/>
      <c r="K410" s="255"/>
      <c r="L410" s="255"/>
      <c r="M410" s="255"/>
      <c r="N410" s="255"/>
      <c r="O410" s="255"/>
      <c r="P410" s="255"/>
    </row>
    <row r="411" spans="3:16">
      <c r="C411" s="261" t="s">
        <v>691</v>
      </c>
      <c r="D411" s="262" t="s">
        <v>681</v>
      </c>
      <c r="E411" s="262">
        <v>0.02</v>
      </c>
      <c r="F411" s="262">
        <v>3.02</v>
      </c>
      <c r="G411" s="263" t="s">
        <v>681</v>
      </c>
      <c r="H411" s="263" t="s">
        <v>681</v>
      </c>
      <c r="I411" s="264" t="s">
        <v>681</v>
      </c>
      <c r="J411" s="255"/>
      <c r="K411" s="255"/>
      <c r="L411" s="255"/>
      <c r="M411" s="255"/>
      <c r="N411" s="255"/>
      <c r="O411" s="255"/>
      <c r="P411" s="255"/>
    </row>
    <row r="412" spans="3:16">
      <c r="C412" s="261" t="s">
        <v>692</v>
      </c>
      <c r="D412" s="262" t="s">
        <v>681</v>
      </c>
      <c r="E412" s="262">
        <v>0.02</v>
      </c>
      <c r="F412" s="262">
        <v>1.26</v>
      </c>
      <c r="G412" s="263" t="s">
        <v>681</v>
      </c>
      <c r="H412" s="263" t="s">
        <v>681</v>
      </c>
      <c r="I412" s="264" t="s">
        <v>681</v>
      </c>
      <c r="J412" s="255"/>
      <c r="K412" s="255"/>
      <c r="L412" s="255"/>
      <c r="M412" s="255"/>
      <c r="N412" s="255"/>
      <c r="O412" s="255"/>
      <c r="P412" s="255"/>
    </row>
    <row r="413" spans="3:16">
      <c r="C413" s="261" t="s">
        <v>693</v>
      </c>
      <c r="D413" s="262" t="s">
        <v>681</v>
      </c>
      <c r="E413" s="262">
        <v>0.02</v>
      </c>
      <c r="F413" s="262">
        <v>0.01</v>
      </c>
      <c r="G413" s="265">
        <v>0.17</v>
      </c>
      <c r="H413" s="263" t="s">
        <v>681</v>
      </c>
      <c r="I413" s="264" t="s">
        <v>681</v>
      </c>
      <c r="J413" s="255"/>
      <c r="K413" s="255"/>
      <c r="L413" s="255"/>
      <c r="M413" s="255"/>
      <c r="N413" s="255"/>
      <c r="O413" s="255"/>
      <c r="P413" s="255"/>
    </row>
    <row r="414" spans="3:16">
      <c r="C414" s="261" t="s">
        <v>694</v>
      </c>
      <c r="D414" s="262">
        <v>0.11</v>
      </c>
      <c r="E414" s="262">
        <v>0.9</v>
      </c>
      <c r="F414" s="262">
        <v>0.05</v>
      </c>
      <c r="G414" s="265" t="s">
        <v>681</v>
      </c>
      <c r="H414" s="263" t="s">
        <v>681</v>
      </c>
      <c r="I414" s="264" t="s">
        <v>681</v>
      </c>
      <c r="J414" s="255"/>
      <c r="K414" s="255"/>
      <c r="L414" s="255"/>
      <c r="M414" s="255"/>
      <c r="N414" s="255"/>
      <c r="O414" s="255"/>
      <c r="P414" s="255"/>
    </row>
    <row r="415" spans="3:16">
      <c r="C415" s="261" t="s">
        <v>695</v>
      </c>
      <c r="D415" s="262">
        <v>0.02</v>
      </c>
      <c r="E415" s="262">
        <v>0.42</v>
      </c>
      <c r="F415" s="262">
        <v>0.05</v>
      </c>
      <c r="G415" s="265" t="s">
        <v>681</v>
      </c>
      <c r="H415" s="263" t="s">
        <v>681</v>
      </c>
      <c r="I415" s="264" t="s">
        <v>681</v>
      </c>
      <c r="J415" s="255"/>
      <c r="K415" s="255"/>
      <c r="L415" s="255"/>
      <c r="M415" s="255"/>
      <c r="N415" s="255"/>
      <c r="O415" s="255"/>
      <c r="P415" s="255"/>
    </row>
    <row r="416" spans="3:16">
      <c r="C416" s="261" t="s">
        <v>696</v>
      </c>
      <c r="D416" s="262">
        <v>0.02</v>
      </c>
      <c r="E416" s="262">
        <v>0.35</v>
      </c>
      <c r="F416" s="262">
        <v>0.05</v>
      </c>
      <c r="G416" s="265" t="s">
        <v>681</v>
      </c>
      <c r="H416" s="263" t="s">
        <v>681</v>
      </c>
      <c r="I416" s="264" t="s">
        <v>681</v>
      </c>
      <c r="J416" s="255"/>
      <c r="K416" s="255"/>
      <c r="L416" s="255"/>
      <c r="M416" s="255"/>
      <c r="N416" s="255"/>
      <c r="O416" s="255"/>
      <c r="P416" s="255"/>
    </row>
    <row r="417" spans="3:16">
      <c r="C417" s="261" t="s">
        <v>697</v>
      </c>
      <c r="D417" s="262">
        <v>0.02</v>
      </c>
      <c r="E417" s="262">
        <v>1.25</v>
      </c>
      <c r="F417" s="262">
        <v>0.05</v>
      </c>
      <c r="G417" s="265" t="s">
        <v>681</v>
      </c>
      <c r="H417" s="263" t="s">
        <v>681</v>
      </c>
      <c r="I417" s="264" t="s">
        <v>681</v>
      </c>
      <c r="J417" s="255"/>
      <c r="K417" s="255"/>
      <c r="L417" s="255"/>
      <c r="M417" s="255"/>
      <c r="N417" s="255"/>
      <c r="O417" s="255"/>
      <c r="P417" s="255"/>
    </row>
    <row r="418" spans="3:16">
      <c r="C418" s="261" t="s">
        <v>698</v>
      </c>
      <c r="D418" s="262">
        <v>0.04</v>
      </c>
      <c r="E418" s="262">
        <v>0.35</v>
      </c>
      <c r="F418" s="262">
        <v>0.05</v>
      </c>
      <c r="G418" s="265" t="s">
        <v>681</v>
      </c>
      <c r="H418" s="263" t="s">
        <v>681</v>
      </c>
      <c r="I418" s="264" t="s">
        <v>681</v>
      </c>
      <c r="J418" s="255"/>
      <c r="K418" s="255"/>
      <c r="L418" s="255"/>
      <c r="M418" s="255"/>
      <c r="N418" s="255"/>
      <c r="O418" s="255"/>
      <c r="P418" s="255"/>
    </row>
    <row r="419" spans="3:16">
      <c r="C419" s="261" t="s">
        <v>699</v>
      </c>
      <c r="D419" s="262">
        <v>0.04</v>
      </c>
      <c r="E419" s="262">
        <v>1.25</v>
      </c>
      <c r="F419" s="262">
        <v>0.05</v>
      </c>
      <c r="G419" s="265" t="s">
        <v>681</v>
      </c>
      <c r="H419" s="263" t="s">
        <v>681</v>
      </c>
      <c r="I419" s="264" t="s">
        <v>681</v>
      </c>
      <c r="J419" s="255"/>
      <c r="K419" s="255"/>
      <c r="L419" s="255"/>
      <c r="M419" s="255"/>
      <c r="N419" s="255"/>
      <c r="O419" s="255"/>
      <c r="P419" s="255"/>
    </row>
    <row r="420" spans="3:16">
      <c r="C420" s="261" t="s">
        <v>700</v>
      </c>
      <c r="D420" s="262">
        <v>0.09</v>
      </c>
      <c r="E420" s="262">
        <v>0.17</v>
      </c>
      <c r="F420" s="262">
        <v>0.05</v>
      </c>
      <c r="G420" s="265" t="s">
        <v>681</v>
      </c>
      <c r="H420" s="263" t="s">
        <v>681</v>
      </c>
      <c r="I420" s="264" t="s">
        <v>681</v>
      </c>
      <c r="J420" s="255"/>
      <c r="K420" s="255"/>
      <c r="L420" s="255"/>
      <c r="M420" s="255"/>
      <c r="N420" s="255"/>
      <c r="O420" s="255"/>
      <c r="P420" s="255"/>
    </row>
    <row r="421" spans="3:16">
      <c r="C421" s="261" t="s">
        <v>701</v>
      </c>
      <c r="D421" s="262">
        <v>0.15</v>
      </c>
      <c r="E421" s="262">
        <v>7.0000000000000007E-2</v>
      </c>
      <c r="F421" s="262">
        <v>0.05</v>
      </c>
      <c r="G421" s="265" t="s">
        <v>681</v>
      </c>
      <c r="H421" s="263" t="s">
        <v>681</v>
      </c>
      <c r="I421" s="264" t="s">
        <v>681</v>
      </c>
      <c r="J421" s="255"/>
      <c r="K421" s="255"/>
      <c r="L421" s="255"/>
      <c r="M421" s="255"/>
      <c r="N421" s="255"/>
      <c r="O421" s="255"/>
      <c r="P421" s="255"/>
    </row>
    <row r="422" spans="3:16">
      <c r="C422" s="261" t="s">
        <v>702</v>
      </c>
      <c r="D422" s="262" t="s">
        <v>681</v>
      </c>
      <c r="E422" s="262">
        <v>0.57999999999999996</v>
      </c>
      <c r="F422" s="262">
        <v>0.05</v>
      </c>
      <c r="G422" s="265">
        <v>0.15</v>
      </c>
      <c r="H422" s="265">
        <v>0.14000000000000001</v>
      </c>
      <c r="I422" s="266">
        <v>0.11</v>
      </c>
      <c r="J422" s="255"/>
      <c r="K422" s="255"/>
      <c r="L422" s="255"/>
      <c r="M422" s="255"/>
      <c r="N422" s="255"/>
      <c r="O422" s="255"/>
      <c r="P422" s="255"/>
    </row>
    <row r="423" spans="3:16">
      <c r="C423" s="261" t="s">
        <v>703</v>
      </c>
      <c r="D423" s="262" t="s">
        <v>681</v>
      </c>
      <c r="E423" s="262">
        <v>0.57999999999999996</v>
      </c>
      <c r="F423" s="262">
        <v>0.05</v>
      </c>
      <c r="G423" s="265" t="s">
        <v>681</v>
      </c>
      <c r="H423" s="265">
        <v>0.14000000000000001</v>
      </c>
      <c r="I423" s="266">
        <v>0.11</v>
      </c>
      <c r="J423" s="255"/>
      <c r="K423" s="255"/>
      <c r="L423" s="255"/>
      <c r="M423" s="255"/>
      <c r="N423" s="255"/>
      <c r="O423" s="255"/>
      <c r="P423" s="255"/>
    </row>
    <row r="424" spans="3:16">
      <c r="C424" s="261" t="s">
        <v>704</v>
      </c>
      <c r="D424" s="262" t="s">
        <v>681</v>
      </c>
      <c r="E424" s="262">
        <v>0.57999999999999996</v>
      </c>
      <c r="F424" s="262">
        <v>0.05</v>
      </c>
      <c r="G424" s="265">
        <v>0.15</v>
      </c>
      <c r="H424" s="265">
        <v>0.14000000000000001</v>
      </c>
      <c r="I424" s="266">
        <v>0.11</v>
      </c>
      <c r="J424" s="255"/>
      <c r="K424" s="255"/>
      <c r="L424" s="255"/>
      <c r="M424" s="255"/>
      <c r="N424" s="255"/>
      <c r="O424" s="255"/>
      <c r="P424" s="255"/>
    </row>
    <row r="425" spans="3:16">
      <c r="C425" s="261" t="s">
        <v>705</v>
      </c>
      <c r="D425" s="262" t="s">
        <v>681</v>
      </c>
      <c r="E425" s="262">
        <v>0.57999999999999996</v>
      </c>
      <c r="F425" s="262">
        <v>0.05</v>
      </c>
      <c r="G425" s="265">
        <v>0.15</v>
      </c>
      <c r="H425" s="265">
        <v>0.14000000000000001</v>
      </c>
      <c r="I425" s="266">
        <v>0.11</v>
      </c>
      <c r="J425" s="255"/>
      <c r="K425" s="255"/>
      <c r="L425" s="255"/>
      <c r="M425" s="255"/>
      <c r="N425" s="255"/>
      <c r="O425" s="255"/>
      <c r="P425" s="255"/>
    </row>
    <row r="426" spans="3:16">
      <c r="C426" s="261" t="s">
        <v>706</v>
      </c>
      <c r="D426" s="262" t="s">
        <v>681</v>
      </c>
      <c r="E426" s="262">
        <v>0.57999999999999996</v>
      </c>
      <c r="F426" s="262">
        <v>0.05</v>
      </c>
      <c r="G426" s="265">
        <v>0.15</v>
      </c>
      <c r="H426" s="265">
        <v>0.14000000000000001</v>
      </c>
      <c r="I426" s="266">
        <v>0.11</v>
      </c>
      <c r="J426" s="255"/>
      <c r="K426" s="255"/>
      <c r="L426" s="255"/>
      <c r="M426" s="255"/>
      <c r="N426" s="255"/>
      <c r="O426" s="255"/>
      <c r="P426" s="255"/>
    </row>
    <row r="427" spans="3:16">
      <c r="C427" s="261" t="s">
        <v>707</v>
      </c>
      <c r="D427" s="262" t="s">
        <v>681</v>
      </c>
      <c r="E427" s="262">
        <v>0.57999999999999996</v>
      </c>
      <c r="F427" s="262">
        <v>0.05</v>
      </c>
      <c r="G427" s="265">
        <v>0.15</v>
      </c>
      <c r="H427" s="265">
        <v>0.14000000000000001</v>
      </c>
      <c r="I427" s="266">
        <v>0.11</v>
      </c>
      <c r="J427" s="255"/>
      <c r="K427" s="255"/>
      <c r="L427" s="255"/>
      <c r="M427" s="255"/>
      <c r="N427" s="255"/>
      <c r="O427" s="255"/>
      <c r="P427" s="255"/>
    </row>
    <row r="428" spans="3:16">
      <c r="C428" s="261" t="s">
        <v>708</v>
      </c>
      <c r="D428" s="262" t="s">
        <v>681</v>
      </c>
      <c r="E428" s="262">
        <v>0.57999999999999996</v>
      </c>
      <c r="F428" s="262">
        <v>0.05</v>
      </c>
      <c r="G428" s="265">
        <v>0.15</v>
      </c>
      <c r="H428" s="265">
        <v>0.14000000000000001</v>
      </c>
      <c r="I428" s="266">
        <v>0.11</v>
      </c>
      <c r="J428" s="255"/>
      <c r="K428" s="255"/>
      <c r="L428" s="255"/>
      <c r="M428" s="255"/>
      <c r="N428" s="255"/>
      <c r="O428" s="255"/>
      <c r="P428" s="255"/>
    </row>
    <row r="429" spans="3:16">
      <c r="C429" s="261" t="s">
        <v>709</v>
      </c>
      <c r="D429" s="262" t="s">
        <v>681</v>
      </c>
      <c r="E429" s="262">
        <v>0.57999999999999996</v>
      </c>
      <c r="F429" s="262">
        <v>0.05</v>
      </c>
      <c r="G429" s="265">
        <v>0.15</v>
      </c>
      <c r="H429" s="265">
        <v>0.14000000000000001</v>
      </c>
      <c r="I429" s="266">
        <v>0.11</v>
      </c>
      <c r="J429" s="255"/>
      <c r="K429" s="255"/>
      <c r="L429" s="255"/>
      <c r="M429" s="255"/>
      <c r="N429" s="255"/>
      <c r="O429" s="255"/>
      <c r="P429" s="255"/>
    </row>
    <row r="430" spans="3:16">
      <c r="C430" s="261" t="s">
        <v>710</v>
      </c>
      <c r="D430" s="262" t="s">
        <v>681</v>
      </c>
      <c r="E430" s="262">
        <v>0.33</v>
      </c>
      <c r="F430" s="262">
        <v>0.05</v>
      </c>
      <c r="G430" s="265">
        <v>0.19</v>
      </c>
      <c r="H430" s="265">
        <v>0.11</v>
      </c>
      <c r="I430" s="266" t="s">
        <v>681</v>
      </c>
      <c r="J430" s="255"/>
      <c r="K430" s="255"/>
      <c r="L430" s="255"/>
      <c r="M430" s="255"/>
      <c r="N430" s="255"/>
      <c r="O430" s="255"/>
      <c r="P430" s="255"/>
    </row>
    <row r="431" spans="3:16">
      <c r="C431" s="261" t="s">
        <v>711</v>
      </c>
      <c r="D431" s="262" t="s">
        <v>681</v>
      </c>
      <c r="E431" s="262">
        <v>0.26</v>
      </c>
      <c r="F431" s="262">
        <v>0.05</v>
      </c>
      <c r="G431" s="265">
        <v>0.19</v>
      </c>
      <c r="H431" s="265">
        <v>0.09</v>
      </c>
      <c r="I431" s="266" t="s">
        <v>681</v>
      </c>
      <c r="J431" s="255"/>
      <c r="K431" s="255"/>
      <c r="L431" s="255"/>
      <c r="M431" s="255"/>
      <c r="N431" s="255"/>
      <c r="O431" s="255"/>
      <c r="P431" s="255"/>
    </row>
    <row r="432" spans="3:16">
      <c r="C432" s="261" t="s">
        <v>712</v>
      </c>
      <c r="D432" s="262" t="s">
        <v>681</v>
      </c>
      <c r="E432" s="262">
        <v>0.26</v>
      </c>
      <c r="F432" s="262">
        <v>0.05</v>
      </c>
      <c r="G432" s="265">
        <v>0.19</v>
      </c>
      <c r="H432" s="265">
        <v>0.13</v>
      </c>
      <c r="I432" s="266" t="s">
        <v>681</v>
      </c>
      <c r="J432" s="255"/>
      <c r="K432" s="255"/>
      <c r="L432" s="255"/>
      <c r="M432" s="255"/>
      <c r="N432" s="255"/>
      <c r="O432" s="255"/>
      <c r="P432" s="255"/>
    </row>
    <row r="433" spans="3:16">
      <c r="C433" s="261" t="s">
        <v>713</v>
      </c>
      <c r="D433" s="262" t="s">
        <v>681</v>
      </c>
      <c r="E433" s="262">
        <v>0.53</v>
      </c>
      <c r="F433" s="262">
        <v>0.05</v>
      </c>
      <c r="G433" s="265">
        <v>0.19</v>
      </c>
      <c r="H433" s="265">
        <v>0.16</v>
      </c>
      <c r="I433" s="266" t="s">
        <v>681</v>
      </c>
      <c r="J433" s="255"/>
      <c r="K433" s="255"/>
      <c r="L433" s="255"/>
      <c r="M433" s="255"/>
      <c r="N433" s="255"/>
      <c r="O433" s="255"/>
      <c r="P433" s="255"/>
    </row>
    <row r="434" spans="3:16">
      <c r="C434" s="261" t="s">
        <v>714</v>
      </c>
      <c r="D434" s="262">
        <v>7.0000000000000007E-2</v>
      </c>
      <c r="E434" s="262">
        <v>0.8</v>
      </c>
      <c r="F434" s="262">
        <v>0.05</v>
      </c>
      <c r="G434" s="265" t="s">
        <v>681</v>
      </c>
      <c r="H434" s="265" t="s">
        <v>681</v>
      </c>
      <c r="I434" s="266" t="s">
        <v>681</v>
      </c>
      <c r="J434" s="255"/>
      <c r="K434" s="255"/>
      <c r="L434" s="255"/>
      <c r="M434" s="255"/>
      <c r="N434" s="255"/>
      <c r="O434" s="255"/>
      <c r="P434" s="255"/>
    </row>
    <row r="435" spans="3:16">
      <c r="C435" s="261" t="s">
        <v>715</v>
      </c>
      <c r="D435" s="262">
        <v>7.0000000000000007E-2</v>
      </c>
      <c r="E435" s="262">
        <v>0.77</v>
      </c>
      <c r="F435" s="262">
        <v>0.05</v>
      </c>
      <c r="G435" s="265" t="s">
        <v>681</v>
      </c>
      <c r="H435" s="265" t="s">
        <v>681</v>
      </c>
      <c r="I435" s="266" t="s">
        <v>681</v>
      </c>
      <c r="J435" s="255"/>
      <c r="K435" s="255"/>
      <c r="L435" s="255"/>
      <c r="M435" s="255"/>
      <c r="N435" s="255"/>
      <c r="O435" s="255"/>
      <c r="P435" s="255"/>
    </row>
    <row r="436" spans="3:16">
      <c r="C436" s="261" t="s">
        <v>716</v>
      </c>
      <c r="D436" s="262">
        <v>0.03</v>
      </c>
      <c r="E436" s="262">
        <v>0.75</v>
      </c>
      <c r="F436" s="262">
        <v>0.05</v>
      </c>
      <c r="G436" s="265" t="s">
        <v>681</v>
      </c>
      <c r="H436" s="265" t="s">
        <v>681</v>
      </c>
      <c r="I436" s="266" t="s">
        <v>681</v>
      </c>
      <c r="J436" s="255"/>
      <c r="K436" s="255"/>
      <c r="L436" s="255"/>
      <c r="M436" s="255"/>
      <c r="N436" s="255"/>
      <c r="O436" s="255"/>
      <c r="P436" s="255"/>
    </row>
    <row r="437" spans="3:16">
      <c r="C437" s="261" t="s">
        <v>717</v>
      </c>
      <c r="D437" s="262">
        <v>0.23</v>
      </c>
      <c r="E437" s="262">
        <v>0.02</v>
      </c>
      <c r="F437" s="262">
        <v>0.01</v>
      </c>
      <c r="G437" s="265" t="s">
        <v>681</v>
      </c>
      <c r="H437" s="265" t="s">
        <v>681</v>
      </c>
      <c r="I437" s="266" t="s">
        <v>681</v>
      </c>
      <c r="J437" s="255"/>
      <c r="K437" s="255"/>
      <c r="L437" s="255"/>
      <c r="M437" s="255"/>
      <c r="N437" s="255"/>
      <c r="O437" s="255"/>
      <c r="P437" s="255"/>
    </row>
    <row r="438" spans="3:16">
      <c r="C438" s="261" t="s">
        <v>718</v>
      </c>
      <c r="D438" s="262">
        <v>0.22</v>
      </c>
      <c r="E438" s="262">
        <v>0.02</v>
      </c>
      <c r="F438" s="262">
        <v>2.34</v>
      </c>
      <c r="G438" s="265" t="s">
        <v>681</v>
      </c>
      <c r="H438" s="265" t="s">
        <v>681</v>
      </c>
      <c r="I438" s="266" t="s">
        <v>681</v>
      </c>
      <c r="J438" s="255"/>
      <c r="K438" s="255"/>
      <c r="L438" s="255"/>
      <c r="M438" s="255"/>
      <c r="N438" s="255"/>
      <c r="O438" s="255"/>
      <c r="P438" s="255"/>
    </row>
    <row r="439" spans="3:16">
      <c r="C439" s="261" t="s">
        <v>719</v>
      </c>
      <c r="D439" s="262">
        <v>0.09</v>
      </c>
      <c r="E439" s="262">
        <v>0.68</v>
      </c>
      <c r="F439" s="262">
        <v>0.11</v>
      </c>
      <c r="G439" s="265" t="s">
        <v>681</v>
      </c>
      <c r="H439" s="265" t="s">
        <v>681</v>
      </c>
      <c r="I439" s="266" t="s">
        <v>681</v>
      </c>
      <c r="J439" s="255"/>
      <c r="K439" s="255"/>
      <c r="L439" s="255"/>
      <c r="M439" s="255"/>
      <c r="N439" s="255"/>
      <c r="O439" s="255"/>
      <c r="P439" s="255"/>
    </row>
    <row r="440" spans="3:16">
      <c r="C440" s="261" t="s">
        <v>720</v>
      </c>
      <c r="D440" s="262" t="s">
        <v>681</v>
      </c>
      <c r="E440" s="262">
        <v>0.57999999999999996</v>
      </c>
      <c r="F440" s="262">
        <v>0.05</v>
      </c>
      <c r="G440" s="265">
        <v>0.15</v>
      </c>
      <c r="H440" s="265" t="s">
        <v>681</v>
      </c>
      <c r="I440" s="266" t="s">
        <v>681</v>
      </c>
      <c r="J440" s="255"/>
      <c r="K440" s="255"/>
      <c r="L440" s="255"/>
      <c r="M440" s="255"/>
      <c r="N440" s="255"/>
      <c r="O440" s="255"/>
      <c r="P440" s="255"/>
    </row>
    <row r="441" spans="3:16">
      <c r="C441" s="261" t="s">
        <v>721</v>
      </c>
      <c r="D441" s="262" t="s">
        <v>681</v>
      </c>
      <c r="E441" s="262">
        <v>0.48</v>
      </c>
      <c r="F441" s="262">
        <v>0.05</v>
      </c>
      <c r="G441" s="265">
        <v>0.17</v>
      </c>
      <c r="H441" s="265" t="s">
        <v>681</v>
      </c>
      <c r="I441" s="266" t="s">
        <v>681</v>
      </c>
      <c r="J441" s="255"/>
      <c r="K441" s="255"/>
      <c r="L441" s="255"/>
      <c r="M441" s="255"/>
      <c r="N441" s="255"/>
      <c r="O441" s="255"/>
      <c r="P441" s="255"/>
    </row>
    <row r="442" spans="3:16">
      <c r="C442" s="261" t="s">
        <v>722</v>
      </c>
      <c r="D442" s="262" t="s">
        <v>681</v>
      </c>
      <c r="E442" s="262">
        <v>0.52</v>
      </c>
      <c r="F442" s="262">
        <v>0.43</v>
      </c>
      <c r="G442" s="265" t="s">
        <v>681</v>
      </c>
      <c r="H442" s="265" t="s">
        <v>681</v>
      </c>
      <c r="I442" s="266" t="s">
        <v>681</v>
      </c>
      <c r="J442" s="255"/>
      <c r="K442" s="255"/>
      <c r="L442" s="255"/>
      <c r="M442" s="255"/>
      <c r="N442" s="255"/>
      <c r="O442" s="255"/>
      <c r="P442" s="255"/>
    </row>
    <row r="443" spans="3:16">
      <c r="C443" s="261" t="s">
        <v>723</v>
      </c>
      <c r="D443" s="262" t="s">
        <v>681</v>
      </c>
      <c r="E443" s="262">
        <v>0.02</v>
      </c>
      <c r="F443" s="262">
        <v>1.68</v>
      </c>
      <c r="G443" s="263" t="s">
        <v>681</v>
      </c>
      <c r="H443" s="263" t="s">
        <v>681</v>
      </c>
      <c r="I443" s="264" t="s">
        <v>681</v>
      </c>
      <c r="J443" s="255"/>
      <c r="K443" s="255"/>
      <c r="L443" s="255"/>
      <c r="M443" s="255"/>
      <c r="N443" s="255"/>
      <c r="O443" s="255"/>
      <c r="P443" s="255"/>
    </row>
    <row r="444" spans="3:16">
      <c r="C444" s="261" t="s">
        <v>724</v>
      </c>
      <c r="D444" s="262" t="s">
        <v>681</v>
      </c>
      <c r="E444" s="262">
        <v>0.02</v>
      </c>
      <c r="F444" s="262">
        <v>0.4</v>
      </c>
      <c r="G444" s="263" t="s">
        <v>681</v>
      </c>
      <c r="H444" s="263" t="s">
        <v>681</v>
      </c>
      <c r="I444" s="264" t="s">
        <v>681</v>
      </c>
      <c r="J444" s="255"/>
      <c r="K444" s="255"/>
      <c r="L444" s="255"/>
      <c r="M444" s="255"/>
      <c r="N444" s="255"/>
      <c r="O444" s="255"/>
      <c r="P444" s="255"/>
    </row>
    <row r="445" spans="3:16">
      <c r="C445" s="261" t="s">
        <v>725</v>
      </c>
      <c r="D445" s="262" t="s">
        <v>681</v>
      </c>
      <c r="E445" s="262">
        <v>0.02</v>
      </c>
      <c r="F445" s="262">
        <v>0.89</v>
      </c>
      <c r="G445" s="263" t="s">
        <v>681</v>
      </c>
      <c r="H445" s="263" t="s">
        <v>681</v>
      </c>
      <c r="I445" s="264" t="s">
        <v>681</v>
      </c>
      <c r="J445" s="255"/>
      <c r="K445" s="255"/>
      <c r="L445" s="255"/>
      <c r="M445" s="255"/>
      <c r="N445" s="255"/>
      <c r="O445" s="255"/>
      <c r="P445" s="255"/>
    </row>
    <row r="446" spans="3:16">
      <c r="C446" s="261" t="s">
        <v>726</v>
      </c>
      <c r="D446" s="262" t="s">
        <v>681</v>
      </c>
      <c r="E446" s="262">
        <v>0.02</v>
      </c>
      <c r="F446" s="262">
        <v>0.74</v>
      </c>
      <c r="G446" s="263" t="s">
        <v>681</v>
      </c>
      <c r="H446" s="263" t="s">
        <v>681</v>
      </c>
      <c r="I446" s="264" t="s">
        <v>681</v>
      </c>
      <c r="J446" s="255"/>
      <c r="K446" s="255"/>
      <c r="L446" s="255"/>
      <c r="M446" s="255"/>
      <c r="N446" s="255"/>
      <c r="O446" s="255"/>
      <c r="P446" s="255"/>
    </row>
    <row r="447" spans="3:16">
      <c r="C447" s="261" t="s">
        <v>727</v>
      </c>
      <c r="D447" s="262" t="s">
        <v>681</v>
      </c>
      <c r="E447" s="262">
        <v>0.02</v>
      </c>
      <c r="F447" s="262">
        <v>0.64</v>
      </c>
      <c r="G447" s="263" t="s">
        <v>681</v>
      </c>
      <c r="H447" s="263" t="s">
        <v>681</v>
      </c>
      <c r="I447" s="264" t="s">
        <v>681</v>
      </c>
      <c r="J447" s="255"/>
      <c r="K447" s="255"/>
      <c r="L447" s="255"/>
      <c r="M447" s="255"/>
      <c r="N447" s="255"/>
      <c r="O447" s="255"/>
      <c r="P447" s="255"/>
    </row>
    <row r="448" spans="3:16">
      <c r="C448" s="261" t="s">
        <v>728</v>
      </c>
      <c r="D448" s="262" t="s">
        <v>681</v>
      </c>
      <c r="E448" s="262">
        <v>0.02</v>
      </c>
      <c r="F448" s="262">
        <v>2.23</v>
      </c>
      <c r="G448" s="263" t="s">
        <v>681</v>
      </c>
      <c r="H448" s="263" t="s">
        <v>681</v>
      </c>
      <c r="I448" s="264" t="s">
        <v>681</v>
      </c>
      <c r="J448" s="255"/>
      <c r="K448" s="255"/>
      <c r="L448" s="255"/>
      <c r="M448" s="255"/>
      <c r="N448" s="255"/>
      <c r="O448" s="255"/>
      <c r="P448" s="255"/>
    </row>
    <row r="449" spans="1:27">
      <c r="C449" s="261" t="s">
        <v>729</v>
      </c>
      <c r="D449" s="262" t="s">
        <v>681</v>
      </c>
      <c r="E449" s="262">
        <v>0.02</v>
      </c>
      <c r="F449" s="262">
        <v>1.92</v>
      </c>
      <c r="G449" s="263" t="s">
        <v>681</v>
      </c>
      <c r="H449" s="263" t="s">
        <v>681</v>
      </c>
      <c r="I449" s="264" t="s">
        <v>681</v>
      </c>
      <c r="J449" s="255"/>
      <c r="K449" s="255"/>
      <c r="L449" s="255"/>
      <c r="M449" s="255"/>
      <c r="N449" s="255"/>
      <c r="O449" s="255"/>
      <c r="P449" s="255"/>
    </row>
    <row r="450" spans="1:27">
      <c r="C450" s="261" t="s">
        <v>730</v>
      </c>
      <c r="D450" s="262" t="s">
        <v>681</v>
      </c>
      <c r="E450" s="262">
        <v>0.02</v>
      </c>
      <c r="F450" s="262">
        <v>0.87</v>
      </c>
      <c r="G450" s="263" t="s">
        <v>681</v>
      </c>
      <c r="H450" s="263" t="s">
        <v>681</v>
      </c>
      <c r="I450" s="264" t="s">
        <v>681</v>
      </c>
      <c r="J450" s="255"/>
      <c r="K450" s="255"/>
      <c r="L450" s="255"/>
      <c r="M450" s="255"/>
      <c r="N450" s="255"/>
      <c r="O450" s="255"/>
      <c r="P450" s="255"/>
    </row>
    <row r="451" spans="1:27">
      <c r="C451" s="261" t="s">
        <v>731</v>
      </c>
      <c r="D451" s="262" t="s">
        <v>681</v>
      </c>
      <c r="E451" s="262">
        <v>0.02</v>
      </c>
      <c r="F451" s="262" t="s">
        <v>681</v>
      </c>
      <c r="G451" s="263" t="s">
        <v>681</v>
      </c>
      <c r="H451" s="263" t="s">
        <v>681</v>
      </c>
      <c r="I451" s="264" t="s">
        <v>681</v>
      </c>
      <c r="J451" s="255"/>
      <c r="K451" s="255"/>
      <c r="L451" s="255"/>
      <c r="M451" s="255"/>
      <c r="N451" s="255"/>
      <c r="O451" s="255"/>
      <c r="P451" s="255"/>
    </row>
    <row r="452" spans="1:27">
      <c r="C452" s="261" t="s">
        <v>732</v>
      </c>
      <c r="D452" s="262">
        <v>0.01</v>
      </c>
      <c r="E452" s="262">
        <v>0.02</v>
      </c>
      <c r="F452" s="262" t="s">
        <v>681</v>
      </c>
      <c r="G452" s="263" t="s">
        <v>681</v>
      </c>
      <c r="H452" s="263" t="s">
        <v>681</v>
      </c>
      <c r="I452" s="264" t="s">
        <v>681</v>
      </c>
      <c r="J452" s="255"/>
      <c r="K452" s="255"/>
      <c r="L452" s="255"/>
      <c r="M452" s="255"/>
      <c r="N452" s="255"/>
      <c r="O452" s="255"/>
      <c r="P452" s="255"/>
    </row>
    <row r="453" spans="1:27">
      <c r="C453" s="261" t="s">
        <v>733</v>
      </c>
      <c r="D453" s="262">
        <v>0.01</v>
      </c>
      <c r="E453" s="262">
        <v>0.02</v>
      </c>
      <c r="F453" s="262" t="s">
        <v>681</v>
      </c>
      <c r="G453" s="263" t="s">
        <v>681</v>
      </c>
      <c r="H453" s="263" t="s">
        <v>681</v>
      </c>
      <c r="I453" s="264" t="s">
        <v>681</v>
      </c>
      <c r="J453" s="255"/>
      <c r="K453" s="255"/>
      <c r="L453" s="255"/>
      <c r="M453" s="255"/>
      <c r="N453" s="255"/>
      <c r="O453" s="255"/>
      <c r="P453" s="255"/>
    </row>
    <row r="454" spans="1:27">
      <c r="C454" s="261" t="s">
        <v>421</v>
      </c>
      <c r="D454" s="262">
        <v>0.1</v>
      </c>
      <c r="E454" s="262">
        <v>0.02</v>
      </c>
      <c r="F454" s="262">
        <v>2.21</v>
      </c>
      <c r="G454" s="263" t="s">
        <v>681</v>
      </c>
      <c r="H454" s="263" t="s">
        <v>681</v>
      </c>
      <c r="I454" s="264" t="s">
        <v>681</v>
      </c>
      <c r="J454" s="255"/>
      <c r="K454" s="255"/>
      <c r="L454" s="255"/>
      <c r="M454" s="255"/>
      <c r="N454" s="255"/>
      <c r="O454" s="255"/>
      <c r="P454" s="255"/>
    </row>
    <row r="455" spans="1:27">
      <c r="C455" s="261" t="s">
        <v>734</v>
      </c>
      <c r="D455" s="267">
        <v>0</v>
      </c>
      <c r="E455" s="262">
        <v>0.02</v>
      </c>
      <c r="F455" s="262" t="s">
        <v>681</v>
      </c>
      <c r="G455" s="263" t="s">
        <v>681</v>
      </c>
      <c r="H455" s="263" t="s">
        <v>681</v>
      </c>
      <c r="I455" s="264" t="s">
        <v>681</v>
      </c>
      <c r="J455" s="255"/>
      <c r="K455" s="255"/>
      <c r="L455" s="255"/>
      <c r="M455" s="255"/>
      <c r="N455" s="255"/>
      <c r="O455" s="255"/>
      <c r="P455" s="255"/>
    </row>
    <row r="456" spans="1:27">
      <c r="C456" s="261" t="s">
        <v>735</v>
      </c>
      <c r="D456" s="262">
        <v>0.03</v>
      </c>
      <c r="E456" s="262">
        <v>0.02</v>
      </c>
      <c r="F456" s="262">
        <v>0.7</v>
      </c>
      <c r="G456" s="263" t="s">
        <v>681</v>
      </c>
      <c r="H456" s="263" t="s">
        <v>681</v>
      </c>
      <c r="I456" s="264" t="s">
        <v>681</v>
      </c>
      <c r="J456" s="255"/>
      <c r="K456" s="255"/>
      <c r="L456" s="255"/>
      <c r="M456" s="255"/>
      <c r="N456" s="255"/>
      <c r="O456" s="255"/>
      <c r="P456" s="255"/>
    </row>
    <row r="457" spans="1:27">
      <c r="C457" s="261" t="s">
        <v>736</v>
      </c>
      <c r="D457" s="262" t="s">
        <v>681</v>
      </c>
      <c r="E457" s="262">
        <v>0.02</v>
      </c>
      <c r="F457" s="262" t="s">
        <v>681</v>
      </c>
      <c r="G457" s="263" t="s">
        <v>681</v>
      </c>
      <c r="H457" s="263" t="s">
        <v>681</v>
      </c>
      <c r="I457" s="264" t="s">
        <v>681</v>
      </c>
      <c r="J457" s="255"/>
      <c r="K457" s="255"/>
      <c r="L457" s="255"/>
      <c r="M457" s="255"/>
      <c r="N457" s="255"/>
      <c r="O457" s="255"/>
      <c r="P457" s="255"/>
    </row>
    <row r="458" spans="1:27">
      <c r="C458" s="261" t="s">
        <v>737</v>
      </c>
      <c r="D458" s="262">
        <v>0.05</v>
      </c>
      <c r="E458" s="262">
        <v>0.02</v>
      </c>
      <c r="F458" s="262" t="s">
        <v>681</v>
      </c>
      <c r="G458" s="263" t="s">
        <v>681</v>
      </c>
      <c r="H458" s="263" t="s">
        <v>681</v>
      </c>
      <c r="I458" s="264" t="s">
        <v>681</v>
      </c>
      <c r="J458" s="255"/>
      <c r="K458" s="255"/>
      <c r="L458" s="255"/>
      <c r="M458" s="255"/>
      <c r="N458" s="255"/>
      <c r="O458" s="255"/>
      <c r="P458" s="255"/>
    </row>
    <row r="459" spans="1:27">
      <c r="C459" s="261" t="s">
        <v>738</v>
      </c>
      <c r="D459" s="262" t="s">
        <v>681</v>
      </c>
      <c r="E459" s="262">
        <v>0.02</v>
      </c>
      <c r="F459" s="262">
        <v>0.28999999999999998</v>
      </c>
      <c r="G459" s="263" t="s">
        <v>681</v>
      </c>
      <c r="H459" s="263" t="s">
        <v>681</v>
      </c>
      <c r="I459" s="264" t="s">
        <v>681</v>
      </c>
      <c r="J459" s="255"/>
      <c r="K459" s="255"/>
      <c r="L459" s="255"/>
      <c r="M459" s="255"/>
      <c r="N459" s="255"/>
      <c r="O459" s="255"/>
      <c r="P459" s="255"/>
    </row>
    <row r="460" spans="1:27" ht="13.9" customHeight="1" thickBot="1">
      <c r="C460" s="268" t="s">
        <v>739</v>
      </c>
      <c r="D460" s="269" t="s">
        <v>681</v>
      </c>
      <c r="E460" s="269">
        <v>0.18</v>
      </c>
      <c r="F460" s="269">
        <v>0.08</v>
      </c>
      <c r="G460" s="270" t="s">
        <v>681</v>
      </c>
      <c r="H460" s="270" t="s">
        <v>681</v>
      </c>
      <c r="I460" s="271" t="s">
        <v>681</v>
      </c>
      <c r="J460" s="255"/>
      <c r="K460" s="255"/>
      <c r="L460" s="255"/>
      <c r="M460" s="255"/>
      <c r="N460" s="255"/>
      <c r="O460" s="255"/>
      <c r="P460" s="255"/>
    </row>
    <row r="461" spans="1:27" ht="27" customHeight="1">
      <c r="A461" s="10"/>
      <c r="B461" s="11"/>
      <c r="C461" s="365" t="s">
        <v>740</v>
      </c>
      <c r="D461" s="332"/>
      <c r="E461" s="332"/>
      <c r="F461" s="332"/>
      <c r="G461" s="332"/>
      <c r="H461" s="332"/>
      <c r="I461" s="332"/>
      <c r="J461" s="332"/>
      <c r="K461" s="332"/>
      <c r="L461" s="332"/>
      <c r="M461" s="10"/>
      <c r="N461" s="10"/>
      <c r="P461" s="10"/>
      <c r="Q461" s="10"/>
      <c r="R461" s="10"/>
      <c r="S461" s="10"/>
      <c r="T461" s="10"/>
      <c r="U461" s="10"/>
      <c r="V461" s="10"/>
      <c r="W461" s="10"/>
      <c r="X461" s="10"/>
      <c r="Y461" s="10"/>
      <c r="Z461" s="10"/>
      <c r="AA461" s="10"/>
    </row>
    <row r="462" spans="1:27" ht="98.45" customHeight="1">
      <c r="A462" s="10"/>
      <c r="B462" s="11"/>
      <c r="C462" s="351" t="s">
        <v>741</v>
      </c>
      <c r="D462" s="332"/>
      <c r="E462" s="332"/>
      <c r="F462" s="332"/>
      <c r="G462" s="332"/>
      <c r="H462" s="332"/>
      <c r="I462" s="332"/>
      <c r="J462" s="332"/>
      <c r="K462" s="332"/>
      <c r="L462" s="332"/>
      <c r="M462" s="10"/>
      <c r="N462" s="10"/>
      <c r="P462" s="10"/>
      <c r="Q462" s="10"/>
      <c r="R462" s="10"/>
      <c r="S462" s="10"/>
      <c r="T462" s="10"/>
      <c r="U462" s="10"/>
      <c r="V462" s="10"/>
      <c r="W462" s="10"/>
      <c r="X462" s="10"/>
      <c r="Y462" s="10"/>
      <c r="Z462" s="10"/>
      <c r="AA462" s="10"/>
    </row>
    <row r="463" spans="1:27">
      <c r="A463" s="10"/>
      <c r="B463" s="11"/>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c r="AA463" s="10"/>
    </row>
    <row r="464" spans="1:27" ht="15.6" customHeight="1">
      <c r="A464" s="10"/>
      <c r="B464" s="131" t="s">
        <v>742</v>
      </c>
      <c r="C464" s="334" t="s">
        <v>743</v>
      </c>
      <c r="D464" s="327"/>
      <c r="E464" s="327"/>
      <c r="F464" s="327"/>
      <c r="G464" s="327"/>
      <c r="H464" s="134"/>
      <c r="I464" s="134"/>
      <c r="J464" s="134"/>
      <c r="K464" s="134"/>
      <c r="L464" s="135"/>
      <c r="M464" s="10"/>
      <c r="N464" s="10"/>
      <c r="O464" s="10"/>
      <c r="P464" s="10"/>
      <c r="Q464" s="10"/>
      <c r="R464" s="10"/>
      <c r="S464" s="10"/>
      <c r="T464" s="10"/>
      <c r="U464" s="10"/>
      <c r="V464" s="10"/>
      <c r="W464" s="10"/>
      <c r="X464" s="10"/>
      <c r="Y464" s="10"/>
      <c r="Z464" s="10"/>
      <c r="AA464" s="10"/>
    </row>
    <row r="465" spans="1:27" s="317" customFormat="1" ht="45" customHeight="1" thickBot="1">
      <c r="A465" s="25"/>
      <c r="B465" s="272"/>
      <c r="C465" s="356" t="s">
        <v>744</v>
      </c>
      <c r="D465" s="357"/>
      <c r="E465" s="357"/>
      <c r="F465" s="357"/>
      <c r="G465" s="357"/>
      <c r="H465" s="357"/>
      <c r="I465" s="357"/>
      <c r="J465" s="357"/>
      <c r="K465" s="357"/>
      <c r="L465" s="25"/>
      <c r="M465" s="25"/>
      <c r="N465" s="25"/>
      <c r="O465" s="25"/>
      <c r="P465" s="25"/>
      <c r="Q465" s="25"/>
      <c r="R465" s="25"/>
      <c r="S465" s="25"/>
      <c r="T465" s="25"/>
      <c r="U465" s="25"/>
      <c r="V465" s="25"/>
      <c r="W465" s="25"/>
      <c r="X465" s="25"/>
      <c r="Y465" s="25"/>
      <c r="Z465" s="25"/>
      <c r="AA465" s="25"/>
    </row>
    <row r="466" spans="1:27" ht="29.45" customHeight="1" thickBot="1">
      <c r="A466" s="10"/>
      <c r="B466" s="11"/>
      <c r="C466" s="181" t="s">
        <v>501</v>
      </c>
      <c r="D466" s="138" t="s">
        <v>656</v>
      </c>
      <c r="E466" s="138" t="s">
        <v>657</v>
      </c>
      <c r="F466" s="138" t="s">
        <v>658</v>
      </c>
      <c r="G466" s="139" t="s">
        <v>12</v>
      </c>
      <c r="H466" s="16"/>
      <c r="I466" s="51"/>
      <c r="J466" s="10"/>
      <c r="K466" s="10"/>
      <c r="L466" s="10"/>
      <c r="M466" s="10"/>
      <c r="N466" s="10"/>
      <c r="O466" s="10"/>
      <c r="P466" s="10"/>
      <c r="Q466" s="10"/>
      <c r="R466" s="10"/>
      <c r="S466" s="10"/>
      <c r="T466" s="10"/>
      <c r="U466" s="10"/>
      <c r="V466" s="10"/>
      <c r="W466" s="10"/>
      <c r="X466" s="10"/>
      <c r="Y466" s="10"/>
      <c r="Z466" s="10"/>
      <c r="AA466" s="10"/>
    </row>
    <row r="467" spans="1:27" ht="15.6" customHeight="1">
      <c r="A467" s="10"/>
      <c r="B467" s="11"/>
      <c r="C467" s="273" t="s">
        <v>661</v>
      </c>
      <c r="D467" s="206">
        <v>0.33200000000000002</v>
      </c>
      <c r="E467" s="206">
        <v>7.0000000000000001E-3</v>
      </c>
      <c r="F467" s="206">
        <v>7.0000000000000001E-3</v>
      </c>
      <c r="G467" s="274" t="s">
        <v>660</v>
      </c>
      <c r="H467" s="140"/>
      <c r="I467" s="140"/>
      <c r="J467" s="140"/>
      <c r="K467" s="10"/>
      <c r="L467" s="10"/>
      <c r="M467" s="10"/>
      <c r="N467" s="10"/>
      <c r="O467" s="10"/>
      <c r="P467" s="10"/>
      <c r="Q467" s="10"/>
      <c r="R467" s="10"/>
      <c r="S467" s="10"/>
      <c r="T467" s="10"/>
      <c r="U467" s="10"/>
      <c r="V467" s="10"/>
      <c r="W467" s="10"/>
      <c r="X467" s="10"/>
      <c r="Y467" s="10"/>
      <c r="Z467" s="10"/>
      <c r="AA467" s="10"/>
    </row>
    <row r="468" spans="1:27" ht="15.6" customHeight="1">
      <c r="A468" s="10"/>
      <c r="B468" s="11"/>
      <c r="C468" s="46" t="s">
        <v>662</v>
      </c>
      <c r="D468" s="211">
        <v>0.45400000000000001</v>
      </c>
      <c r="E468" s="211">
        <v>1.2E-2</v>
      </c>
      <c r="F468" s="211">
        <v>8.9999999999999993E-3</v>
      </c>
      <c r="G468" s="275" t="s">
        <v>660</v>
      </c>
      <c r="H468" s="140"/>
      <c r="I468" s="140"/>
      <c r="J468" s="140"/>
      <c r="K468" s="10"/>
      <c r="L468" s="10"/>
      <c r="M468" s="10"/>
      <c r="N468" s="10"/>
      <c r="O468" s="10"/>
      <c r="P468" s="10"/>
      <c r="Q468" s="10"/>
      <c r="R468" s="10"/>
      <c r="S468" s="10"/>
      <c r="T468" s="10"/>
      <c r="U468" s="10"/>
      <c r="V468" s="10"/>
      <c r="W468" s="10"/>
      <c r="X468" s="10"/>
      <c r="Y468" s="10"/>
      <c r="Z468" s="10"/>
      <c r="AA468" s="10"/>
    </row>
    <row r="469" spans="1:27" ht="13.9" customHeight="1" thickBot="1">
      <c r="A469" s="10"/>
      <c r="B469" s="11"/>
      <c r="C469" s="98" t="s">
        <v>745</v>
      </c>
      <c r="D469" s="216">
        <v>0.183</v>
      </c>
      <c r="E469" s="276">
        <v>7.0000000000000007E-2</v>
      </c>
      <c r="F469" s="276">
        <v>7.0000000000000001E-3</v>
      </c>
      <c r="G469" s="277" t="s">
        <v>660</v>
      </c>
      <c r="H469" s="140"/>
      <c r="I469" s="140"/>
      <c r="J469" s="140"/>
      <c r="K469" s="10"/>
      <c r="L469" s="10"/>
      <c r="M469" s="10"/>
      <c r="N469" s="10"/>
      <c r="O469" s="10"/>
      <c r="P469" s="10"/>
      <c r="Q469" s="10"/>
      <c r="R469" s="10"/>
      <c r="S469" s="10"/>
      <c r="T469" s="10"/>
      <c r="U469" s="10"/>
      <c r="V469" s="10"/>
      <c r="W469" s="10"/>
      <c r="X469" s="10"/>
      <c r="Y469" s="10"/>
      <c r="Z469" s="10"/>
      <c r="AA469" s="10"/>
    </row>
    <row r="470" spans="1:27" ht="15.6" customHeight="1">
      <c r="A470" s="10"/>
      <c r="B470" s="11"/>
      <c r="C470" s="278" t="s">
        <v>746</v>
      </c>
      <c r="D470" s="279">
        <v>5.8000000000000003E-2</v>
      </c>
      <c r="E470" s="280">
        <v>5.4999999999999997E-3</v>
      </c>
      <c r="F470" s="280">
        <v>6.9999999999999999E-4</v>
      </c>
      <c r="G470" s="281" t="s">
        <v>747</v>
      </c>
      <c r="H470" s="140"/>
      <c r="I470" s="140"/>
      <c r="J470" s="140"/>
      <c r="K470" s="282"/>
      <c r="L470" s="10"/>
      <c r="M470" s="10"/>
      <c r="N470" s="10"/>
      <c r="O470" s="10"/>
      <c r="P470" s="10"/>
      <c r="Q470" s="10"/>
      <c r="R470" s="10"/>
      <c r="S470" s="10"/>
      <c r="T470" s="10"/>
      <c r="U470" s="10"/>
      <c r="V470" s="10"/>
      <c r="W470" s="10"/>
      <c r="X470" s="10"/>
      <c r="Y470" s="10"/>
      <c r="Z470" s="10"/>
      <c r="AA470" s="10"/>
    </row>
    <row r="471" spans="1:27" ht="15.6" customHeight="1">
      <c r="A471" s="10"/>
      <c r="B471" s="11"/>
      <c r="C471" s="283" t="s">
        <v>748</v>
      </c>
      <c r="D471" s="79">
        <v>0.15</v>
      </c>
      <c r="E471" s="151">
        <v>1.17E-2</v>
      </c>
      <c r="F471" s="151">
        <v>3.8E-3</v>
      </c>
      <c r="G471" s="281" t="s">
        <v>747</v>
      </c>
      <c r="H471" s="140"/>
      <c r="I471" s="140"/>
      <c r="J471" s="140"/>
      <c r="K471" s="282"/>
      <c r="L471" s="10"/>
      <c r="M471" s="10"/>
      <c r="N471" s="10"/>
      <c r="O471" s="10"/>
      <c r="P471" s="10"/>
      <c r="Q471" s="10"/>
      <c r="R471" s="10"/>
      <c r="S471" s="10"/>
      <c r="T471" s="10"/>
      <c r="U471" s="10"/>
      <c r="V471" s="10"/>
      <c r="W471" s="10"/>
      <c r="X471" s="10"/>
      <c r="Y471" s="10"/>
      <c r="Z471" s="10"/>
      <c r="AA471" s="10"/>
    </row>
    <row r="472" spans="1:27" ht="15.6" customHeight="1">
      <c r="A472" s="10"/>
      <c r="B472" s="11"/>
      <c r="C472" s="283" t="s">
        <v>749</v>
      </c>
      <c r="D472" s="79">
        <v>0.113</v>
      </c>
      <c r="E472" s="151">
        <v>9.1999999999999998E-3</v>
      </c>
      <c r="F472" s="151">
        <v>2.5999999999999999E-3</v>
      </c>
      <c r="G472" s="281" t="s">
        <v>747</v>
      </c>
      <c r="H472" s="140"/>
      <c r="I472" s="140"/>
      <c r="J472" s="140"/>
      <c r="K472" s="282"/>
      <c r="L472" s="10"/>
      <c r="M472" s="10"/>
      <c r="N472" s="10"/>
      <c r="O472" s="10"/>
      <c r="P472" s="10"/>
      <c r="Q472" s="10"/>
      <c r="R472" s="10"/>
      <c r="S472" s="10"/>
      <c r="T472" s="10"/>
      <c r="U472" s="10"/>
      <c r="V472" s="10"/>
      <c r="W472" s="10"/>
      <c r="X472" s="10"/>
      <c r="Y472" s="10"/>
      <c r="Z472" s="10"/>
      <c r="AA472" s="10"/>
    </row>
    <row r="473" spans="1:27" ht="15.6" customHeight="1">
      <c r="A473" s="10"/>
      <c r="B473" s="11"/>
      <c r="C473" s="284" t="s">
        <v>750</v>
      </c>
      <c r="D473" s="285">
        <v>0.13900000000000001</v>
      </c>
      <c r="E473" s="286">
        <v>1.12E-2</v>
      </c>
      <c r="F473" s="286">
        <v>2.8E-3</v>
      </c>
      <c r="G473" s="275" t="s">
        <v>747</v>
      </c>
      <c r="H473" s="140"/>
      <c r="I473" s="140"/>
      <c r="J473" s="140"/>
      <c r="K473" s="282"/>
      <c r="L473" s="10"/>
      <c r="M473" s="10"/>
      <c r="N473" s="10"/>
      <c r="O473" s="10"/>
      <c r="P473" s="10"/>
      <c r="Q473" s="10"/>
      <c r="R473" s="10"/>
      <c r="S473" s="10"/>
      <c r="T473" s="10"/>
      <c r="U473" s="10"/>
      <c r="V473" s="10"/>
      <c r="W473" s="10"/>
      <c r="X473" s="10"/>
      <c r="Y473" s="10"/>
      <c r="Z473" s="10"/>
      <c r="AA473" s="10"/>
    </row>
    <row r="474" spans="1:27" ht="15.6" customHeight="1">
      <c r="A474" s="10"/>
      <c r="B474" s="11"/>
      <c r="C474" s="287" t="s">
        <v>751</v>
      </c>
      <c r="D474" s="285">
        <v>9.9000000000000005E-2</v>
      </c>
      <c r="E474" s="286">
        <v>8.3999999999999995E-3</v>
      </c>
      <c r="F474" s="286">
        <v>1.1999999999999999E-3</v>
      </c>
      <c r="G474" s="275" t="s">
        <v>747</v>
      </c>
      <c r="H474" s="140"/>
      <c r="I474" s="140"/>
      <c r="J474" s="140"/>
      <c r="K474" s="282"/>
      <c r="L474" s="10"/>
      <c r="M474" s="10"/>
      <c r="N474" s="10"/>
      <c r="O474" s="10"/>
      <c r="P474" s="10"/>
      <c r="Q474" s="10"/>
      <c r="R474" s="10"/>
      <c r="S474" s="10"/>
      <c r="T474" s="10"/>
      <c r="U474" s="10"/>
      <c r="V474" s="10"/>
      <c r="W474" s="10"/>
      <c r="X474" s="10"/>
      <c r="Y474" s="10"/>
      <c r="Z474" s="10"/>
      <c r="AA474" s="10"/>
    </row>
    <row r="475" spans="1:27">
      <c r="A475" s="10"/>
      <c r="B475" s="11"/>
      <c r="C475" s="287" t="s">
        <v>752</v>
      </c>
      <c r="D475" s="211">
        <v>5.6000000000000001E-2</v>
      </c>
      <c r="E475" s="288">
        <v>2.1000000000000001E-2</v>
      </c>
      <c r="F475" s="176">
        <v>8.9999999999999998E-4</v>
      </c>
      <c r="G475" s="275" t="s">
        <v>747</v>
      </c>
      <c r="H475" s="140"/>
      <c r="I475" s="140"/>
      <c r="J475" s="140"/>
      <c r="K475" s="10"/>
      <c r="L475" s="10"/>
      <c r="M475" s="10"/>
      <c r="N475" s="10"/>
      <c r="O475" s="10"/>
      <c r="P475" s="10"/>
      <c r="Q475" s="10"/>
      <c r="R475" s="10"/>
      <c r="S475" s="10"/>
      <c r="T475" s="10"/>
      <c r="U475" s="10"/>
      <c r="V475" s="10"/>
      <c r="W475" s="10"/>
      <c r="X475" s="10"/>
      <c r="Y475" s="10"/>
      <c r="Z475" s="10"/>
      <c r="AA475" s="10"/>
    </row>
    <row r="476" spans="1:27">
      <c r="A476" s="10"/>
      <c r="B476" s="24"/>
      <c r="C476" s="46" t="s">
        <v>753</v>
      </c>
      <c r="D476" s="289">
        <v>0.20699999999999999</v>
      </c>
      <c r="E476" s="176">
        <v>6.4000000000000003E-3</v>
      </c>
      <c r="F476" s="176">
        <v>6.6E-3</v>
      </c>
      <c r="G476" s="275" t="s">
        <v>747</v>
      </c>
      <c r="H476" s="140"/>
      <c r="I476" s="140"/>
      <c r="J476" s="140"/>
      <c r="K476" s="10"/>
      <c r="L476" s="10"/>
      <c r="M476" s="10"/>
      <c r="N476" s="10"/>
      <c r="O476" s="10"/>
      <c r="P476" s="10"/>
      <c r="Q476" s="10"/>
      <c r="R476" s="10"/>
      <c r="S476" s="10"/>
      <c r="T476" s="10"/>
      <c r="U476" s="10"/>
      <c r="V476" s="10"/>
      <c r="W476" s="10"/>
      <c r="X476" s="10"/>
      <c r="Y476" s="10"/>
      <c r="Z476" s="10"/>
      <c r="AA476" s="10"/>
    </row>
    <row r="477" spans="1:27" ht="39.6" customHeight="1">
      <c r="A477" s="10"/>
      <c r="B477" s="24"/>
      <c r="C477" s="290" t="s">
        <v>754</v>
      </c>
      <c r="D477" s="211">
        <v>0.129</v>
      </c>
      <c r="E477" s="151">
        <v>5.9999999999999995E-4</v>
      </c>
      <c r="F477" s="176">
        <v>4.1000000000000003E-3</v>
      </c>
      <c r="G477" s="275" t="s">
        <v>747</v>
      </c>
      <c r="H477" s="140"/>
      <c r="I477" s="140"/>
      <c r="J477" s="140"/>
      <c r="K477" s="10"/>
      <c r="L477" s="10"/>
      <c r="M477" s="10"/>
      <c r="N477" s="10"/>
      <c r="O477" s="10"/>
      <c r="P477" s="10"/>
      <c r="Q477" s="10"/>
      <c r="R477" s="10"/>
      <c r="S477" s="10"/>
      <c r="T477" s="10"/>
      <c r="U477" s="10"/>
      <c r="V477" s="10"/>
      <c r="W477" s="10"/>
      <c r="X477" s="10"/>
      <c r="Y477" s="10"/>
      <c r="Z477" s="10"/>
      <c r="AA477" s="10"/>
    </row>
    <row r="478" spans="1:27" ht="17.25" customHeight="1" thickBot="1">
      <c r="A478" s="10"/>
      <c r="B478" s="24"/>
      <c r="C478" s="98" t="s">
        <v>755</v>
      </c>
      <c r="D478" s="216">
        <v>0.16300000000000001</v>
      </c>
      <c r="E478" s="291">
        <v>5.9999999999999995E-4</v>
      </c>
      <c r="F478" s="292">
        <v>5.1999999999999998E-3</v>
      </c>
      <c r="G478" s="277" t="s">
        <v>747</v>
      </c>
      <c r="H478" s="140"/>
      <c r="I478" s="140"/>
      <c r="J478" s="140"/>
      <c r="K478" s="10"/>
      <c r="L478" s="10"/>
      <c r="M478" s="10"/>
      <c r="N478" s="10"/>
      <c r="O478" s="10"/>
      <c r="P478" s="10"/>
      <c r="Q478" s="10"/>
      <c r="R478" s="10"/>
      <c r="S478" s="10"/>
      <c r="T478" s="10"/>
      <c r="U478" s="10"/>
      <c r="V478" s="10"/>
      <c r="W478" s="10"/>
      <c r="X478" s="10"/>
      <c r="Y478" s="10"/>
      <c r="Z478" s="10"/>
      <c r="AA478" s="10"/>
    </row>
    <row r="479" spans="1:27" ht="92.45" customHeight="1">
      <c r="A479" s="10"/>
      <c r="B479" s="24"/>
      <c r="C479" s="331" t="s">
        <v>756</v>
      </c>
      <c r="D479" s="332"/>
      <c r="E479" s="332"/>
      <c r="F479" s="332"/>
      <c r="G479" s="332"/>
      <c r="H479" s="332"/>
      <c r="I479" s="332"/>
      <c r="J479" s="332"/>
      <c r="K479" s="332"/>
      <c r="L479" s="332"/>
      <c r="M479" s="10"/>
      <c r="N479" s="10"/>
      <c r="O479" s="10"/>
      <c r="P479" s="10"/>
      <c r="Q479" s="10"/>
      <c r="R479" s="10"/>
      <c r="S479" s="10"/>
      <c r="T479" s="10"/>
      <c r="U479" s="10"/>
      <c r="V479" s="10"/>
      <c r="W479" s="10"/>
      <c r="X479" s="10"/>
      <c r="Y479" s="10"/>
      <c r="Z479" s="10"/>
      <c r="AA479" s="10"/>
    </row>
    <row r="480" spans="1:27" ht="93.75" customHeight="1">
      <c r="A480" s="10"/>
      <c r="B480" s="11"/>
      <c r="C480" s="331" t="s">
        <v>757</v>
      </c>
      <c r="D480" s="332"/>
      <c r="E480" s="332"/>
      <c r="F480" s="332"/>
      <c r="G480" s="332"/>
      <c r="H480" s="332"/>
      <c r="I480" s="332"/>
      <c r="J480" s="332"/>
      <c r="K480" s="332"/>
      <c r="L480" s="332"/>
      <c r="M480" s="10"/>
      <c r="N480" s="10"/>
      <c r="O480" s="10"/>
      <c r="P480" s="10"/>
      <c r="Q480" s="10"/>
      <c r="R480" s="10"/>
      <c r="S480" s="10"/>
      <c r="T480" s="10"/>
      <c r="U480" s="10"/>
      <c r="V480" s="10"/>
      <c r="W480" s="10"/>
      <c r="X480" s="10"/>
      <c r="Y480" s="10"/>
      <c r="Z480" s="10"/>
      <c r="AA480" s="10"/>
    </row>
    <row r="481" spans="1:27">
      <c r="A481" s="10"/>
      <c r="B481" s="11"/>
      <c r="C481" s="315"/>
      <c r="D481" s="315"/>
      <c r="E481" s="315"/>
      <c r="F481" s="315"/>
      <c r="G481" s="315"/>
      <c r="H481" s="315"/>
      <c r="I481" s="315"/>
      <c r="J481" s="315"/>
      <c r="K481" s="315"/>
      <c r="L481" s="315"/>
      <c r="M481" s="10"/>
      <c r="N481" s="10"/>
      <c r="O481" s="10"/>
      <c r="P481" s="10"/>
      <c r="Q481" s="10"/>
      <c r="R481" s="10"/>
      <c r="S481" s="10"/>
      <c r="T481" s="10"/>
      <c r="U481" s="10"/>
      <c r="V481" s="10"/>
      <c r="W481" s="10"/>
      <c r="X481" s="10"/>
      <c r="Y481" s="10"/>
      <c r="Z481" s="10"/>
      <c r="AA481" s="10"/>
    </row>
    <row r="482" spans="1:27" ht="15.6" customHeight="1">
      <c r="A482" s="10"/>
      <c r="B482" s="343" t="s">
        <v>758</v>
      </c>
      <c r="C482" s="327"/>
      <c r="D482" s="327"/>
      <c r="E482" s="327"/>
      <c r="F482" s="327"/>
      <c r="G482" s="327"/>
      <c r="H482" s="327"/>
      <c r="I482" s="327"/>
      <c r="J482" s="327"/>
      <c r="K482" s="327"/>
      <c r="L482" s="344"/>
      <c r="M482" s="10"/>
      <c r="N482" s="10"/>
      <c r="O482" s="10"/>
      <c r="P482" s="10"/>
      <c r="Q482" s="10"/>
      <c r="R482" s="10"/>
      <c r="S482" s="10"/>
      <c r="T482" s="10"/>
      <c r="U482" s="10"/>
      <c r="V482" s="10"/>
      <c r="W482" s="10"/>
      <c r="X482" s="10"/>
      <c r="Y482" s="10"/>
      <c r="Z482" s="10"/>
      <c r="AA482" s="10"/>
    </row>
    <row r="483" spans="1:27">
      <c r="A483" s="10"/>
      <c r="B483" s="11"/>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c r="AA483" s="10"/>
    </row>
    <row r="484" spans="1:27" ht="15.6" customHeight="1">
      <c r="A484" s="10"/>
      <c r="B484" s="131" t="s">
        <v>759</v>
      </c>
      <c r="C484" s="248" t="s">
        <v>760</v>
      </c>
      <c r="D484" s="134"/>
      <c r="E484" s="134"/>
      <c r="F484" s="134"/>
      <c r="G484" s="134"/>
      <c r="H484" s="134"/>
      <c r="I484" s="134"/>
      <c r="J484" s="134"/>
      <c r="K484" s="134"/>
      <c r="L484" s="135"/>
      <c r="M484" s="10"/>
      <c r="N484" s="10"/>
      <c r="O484" s="10"/>
      <c r="P484" s="10"/>
      <c r="Q484" s="10"/>
      <c r="R484" s="10"/>
      <c r="S484" s="10"/>
      <c r="T484" s="10"/>
      <c r="U484" s="10"/>
      <c r="V484" s="10"/>
      <c r="W484" s="10"/>
      <c r="X484" s="10"/>
      <c r="Y484" s="10"/>
      <c r="Z484" s="10"/>
      <c r="AA484" s="10"/>
    </row>
    <row r="485" spans="1:27" ht="13.9" customHeight="1" thickBo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c r="AA485" s="10"/>
    </row>
    <row r="486" spans="1:27" ht="13.9" customHeight="1" thickBot="1">
      <c r="A486" s="10"/>
      <c r="B486" s="10"/>
      <c r="C486" s="293" t="s">
        <v>389</v>
      </c>
      <c r="D486" s="294" t="s">
        <v>390</v>
      </c>
      <c r="E486" s="295"/>
      <c r="F486" s="10"/>
      <c r="G486" s="10"/>
      <c r="H486" s="10"/>
      <c r="I486" s="10"/>
      <c r="J486" s="10"/>
      <c r="K486" s="10"/>
      <c r="L486" s="10"/>
      <c r="M486" s="10"/>
      <c r="N486" s="10"/>
      <c r="O486" s="10"/>
      <c r="P486" s="10"/>
      <c r="Q486" s="10"/>
      <c r="R486" s="10"/>
      <c r="S486" s="10"/>
      <c r="T486" s="10"/>
      <c r="U486" s="10"/>
      <c r="V486" s="10"/>
      <c r="W486" s="10"/>
      <c r="X486" s="10"/>
      <c r="Y486" s="10"/>
      <c r="Z486" s="10"/>
      <c r="AA486" s="10"/>
    </row>
    <row r="487" spans="1:27" ht="15.6" customHeight="1">
      <c r="A487" s="10"/>
      <c r="B487" s="10"/>
      <c r="C487" s="296" t="s">
        <v>761</v>
      </c>
      <c r="D487" s="297">
        <v>1</v>
      </c>
      <c r="E487" s="10"/>
      <c r="F487" s="10"/>
      <c r="G487" s="10"/>
      <c r="H487" s="10"/>
      <c r="I487" s="10"/>
      <c r="J487" s="10"/>
      <c r="K487" s="10"/>
      <c r="L487" s="10"/>
      <c r="M487" s="10"/>
      <c r="N487" s="10"/>
      <c r="O487" s="10"/>
      <c r="P487" s="10"/>
      <c r="Q487" s="10"/>
      <c r="R487" s="10"/>
      <c r="S487" s="10"/>
      <c r="T487" s="10"/>
      <c r="U487" s="10"/>
      <c r="V487" s="10"/>
      <c r="W487" s="10"/>
      <c r="X487" s="10"/>
      <c r="Y487" s="10"/>
      <c r="Z487" s="10"/>
      <c r="AA487" s="10"/>
    </row>
    <row r="488" spans="1:27" ht="15.6" customHeight="1">
      <c r="A488" s="10"/>
      <c r="B488" s="10"/>
      <c r="C488" s="298" t="s">
        <v>352</v>
      </c>
      <c r="D488" s="299">
        <v>25</v>
      </c>
      <c r="E488" s="10"/>
      <c r="F488" s="10"/>
      <c r="G488" s="10"/>
      <c r="H488" s="10"/>
      <c r="I488" s="10"/>
      <c r="J488" s="10"/>
      <c r="K488" s="10"/>
      <c r="L488" s="10"/>
      <c r="M488" s="10"/>
      <c r="N488" s="10"/>
      <c r="O488" s="10"/>
      <c r="P488" s="10"/>
      <c r="Q488" s="10"/>
      <c r="R488" s="10"/>
      <c r="S488" s="10"/>
      <c r="T488" s="10"/>
      <c r="U488" s="10"/>
      <c r="V488" s="10"/>
      <c r="W488" s="10"/>
      <c r="X488" s="10"/>
      <c r="Y488" s="10"/>
      <c r="Z488" s="10"/>
      <c r="AA488" s="10"/>
    </row>
    <row r="489" spans="1:27" ht="15.6" customHeight="1">
      <c r="A489" s="10"/>
      <c r="B489" s="10"/>
      <c r="C489" s="298" t="s">
        <v>353</v>
      </c>
      <c r="D489" s="299">
        <v>298</v>
      </c>
      <c r="F489" s="10"/>
      <c r="G489" s="10"/>
      <c r="H489" s="10"/>
      <c r="I489" s="10"/>
      <c r="J489" s="10"/>
      <c r="K489" s="10"/>
      <c r="L489" s="10"/>
      <c r="M489" s="10"/>
      <c r="N489" s="10"/>
      <c r="O489" s="10"/>
      <c r="P489" s="10"/>
      <c r="Q489" s="10"/>
      <c r="R489" s="10"/>
      <c r="S489" s="10"/>
      <c r="T489" s="10"/>
      <c r="U489" s="10"/>
      <c r="V489" s="10"/>
      <c r="W489" s="10"/>
      <c r="X489" s="10"/>
      <c r="Y489" s="10"/>
      <c r="Z489" s="10"/>
      <c r="AA489" s="10"/>
    </row>
    <row r="490" spans="1:27">
      <c r="A490" s="10"/>
      <c r="B490" s="10"/>
      <c r="C490" s="298" t="s">
        <v>762</v>
      </c>
      <c r="D490" s="299">
        <v>14800</v>
      </c>
      <c r="E490" s="10"/>
      <c r="F490" s="10"/>
      <c r="G490" s="10"/>
      <c r="H490" s="10"/>
      <c r="I490" s="10"/>
      <c r="J490" s="10"/>
      <c r="K490" s="10"/>
      <c r="L490" s="10"/>
      <c r="M490" s="10"/>
      <c r="N490" s="10"/>
      <c r="O490" s="10"/>
      <c r="P490" s="10"/>
      <c r="Q490" s="10"/>
      <c r="R490" s="10"/>
      <c r="S490" s="10"/>
      <c r="T490" s="10"/>
      <c r="U490" s="10"/>
      <c r="V490" s="10"/>
      <c r="W490" s="10"/>
      <c r="X490" s="10"/>
      <c r="Y490" s="10"/>
      <c r="Z490" s="10"/>
      <c r="AA490" s="10"/>
    </row>
    <row r="491" spans="1:27">
      <c r="A491" s="10"/>
      <c r="B491" s="10"/>
      <c r="C491" s="298" t="s">
        <v>763</v>
      </c>
      <c r="D491" s="299">
        <v>675</v>
      </c>
      <c r="E491" s="10"/>
      <c r="F491" s="10"/>
      <c r="G491" s="10"/>
      <c r="H491" s="10"/>
      <c r="I491" s="10"/>
      <c r="J491" s="10"/>
      <c r="K491" s="10"/>
      <c r="L491" s="10"/>
      <c r="M491" s="10"/>
      <c r="N491" s="10"/>
      <c r="O491" s="10"/>
      <c r="P491" s="10"/>
      <c r="Q491" s="10"/>
      <c r="R491" s="10"/>
      <c r="S491" s="10"/>
      <c r="T491" s="10"/>
      <c r="U491" s="10"/>
      <c r="V491" s="10"/>
      <c r="W491" s="10"/>
      <c r="X491" s="10"/>
      <c r="Y491" s="10"/>
      <c r="Z491" s="10"/>
      <c r="AA491" s="10"/>
    </row>
    <row r="492" spans="1:27">
      <c r="A492" s="10"/>
      <c r="B492" s="10"/>
      <c r="C492" s="298" t="s">
        <v>764</v>
      </c>
      <c r="D492" s="299">
        <v>92</v>
      </c>
      <c r="E492" s="10"/>
      <c r="F492" s="10"/>
      <c r="G492" s="10"/>
      <c r="H492" s="10"/>
      <c r="I492" s="10"/>
      <c r="J492" s="10"/>
      <c r="K492" s="10"/>
      <c r="L492" s="10"/>
      <c r="M492" s="10"/>
      <c r="N492" s="10"/>
      <c r="O492" s="10"/>
      <c r="P492" s="10"/>
      <c r="Q492" s="10"/>
      <c r="R492" s="10"/>
      <c r="S492" s="10"/>
      <c r="T492" s="10"/>
      <c r="U492" s="10"/>
      <c r="V492" s="10"/>
      <c r="W492" s="10"/>
      <c r="X492" s="10"/>
      <c r="Y492" s="10"/>
      <c r="Z492" s="10"/>
      <c r="AA492" s="10"/>
    </row>
    <row r="493" spans="1:27">
      <c r="A493" s="10"/>
      <c r="B493" s="10"/>
      <c r="C493" s="298" t="s">
        <v>765</v>
      </c>
      <c r="D493" s="299">
        <v>3500</v>
      </c>
      <c r="E493" s="10"/>
      <c r="F493" s="10"/>
      <c r="G493" s="342"/>
      <c r="H493" s="332"/>
      <c r="I493" s="332"/>
      <c r="J493" s="332"/>
      <c r="K493" s="332"/>
      <c r="L493" s="332"/>
      <c r="M493" s="332"/>
      <c r="N493" s="10"/>
      <c r="O493" s="10"/>
      <c r="P493" s="10"/>
      <c r="Q493" s="10"/>
      <c r="R493" s="10"/>
      <c r="S493" s="10"/>
      <c r="T493" s="10"/>
      <c r="U493" s="10"/>
      <c r="V493" s="10"/>
      <c r="W493" s="10"/>
      <c r="X493" s="10"/>
      <c r="Y493" s="10"/>
      <c r="Z493" s="10"/>
      <c r="AA493" s="10"/>
    </row>
    <row r="494" spans="1:27">
      <c r="A494" s="10"/>
      <c r="B494" s="10"/>
      <c r="C494" s="298" t="s">
        <v>766</v>
      </c>
      <c r="D494" s="299">
        <v>1100</v>
      </c>
      <c r="E494" s="10"/>
      <c r="F494" s="10"/>
      <c r="G494" s="342"/>
      <c r="H494" s="332"/>
      <c r="I494" s="332"/>
      <c r="J494" s="332"/>
      <c r="K494" s="332"/>
      <c r="L494" s="332"/>
      <c r="M494" s="332"/>
      <c r="N494" s="10"/>
      <c r="O494" s="10"/>
      <c r="P494" s="10"/>
      <c r="Q494" s="10"/>
      <c r="R494" s="10"/>
      <c r="S494" s="10"/>
      <c r="T494" s="10"/>
      <c r="U494" s="10"/>
      <c r="V494" s="10"/>
      <c r="W494" s="10"/>
      <c r="X494" s="10"/>
      <c r="Y494" s="10"/>
      <c r="Z494" s="10"/>
      <c r="AA494" s="10"/>
    </row>
    <row r="495" spans="1:27">
      <c r="A495" s="10"/>
      <c r="B495" s="10"/>
      <c r="C495" s="298" t="s">
        <v>767</v>
      </c>
      <c r="D495" s="299">
        <v>1430</v>
      </c>
      <c r="E495" s="10"/>
      <c r="F495" s="10"/>
      <c r="G495" s="10"/>
      <c r="H495" s="10"/>
      <c r="I495" s="10"/>
      <c r="J495" s="10"/>
      <c r="K495" s="10"/>
      <c r="L495" s="10"/>
      <c r="M495" s="10"/>
      <c r="N495" s="10"/>
      <c r="O495" s="10"/>
      <c r="P495" s="10"/>
      <c r="Q495" s="10"/>
      <c r="R495" s="10"/>
      <c r="S495" s="10"/>
      <c r="T495" s="10"/>
      <c r="U495" s="10"/>
      <c r="V495" s="10"/>
      <c r="W495" s="10"/>
      <c r="X495" s="10"/>
      <c r="Y495" s="10"/>
      <c r="Z495" s="10"/>
      <c r="AA495" s="10"/>
    </row>
    <row r="496" spans="1:27">
      <c r="A496" s="10"/>
      <c r="B496" s="10"/>
      <c r="C496" s="298" t="s">
        <v>768</v>
      </c>
      <c r="D496" s="299">
        <v>353</v>
      </c>
      <c r="E496" s="10"/>
      <c r="F496" s="10"/>
      <c r="G496" s="10"/>
      <c r="H496" s="10"/>
      <c r="I496" s="10"/>
      <c r="J496" s="10"/>
      <c r="K496" s="10"/>
      <c r="L496" s="10"/>
      <c r="M496" s="10"/>
      <c r="N496" s="10"/>
      <c r="O496" s="10"/>
      <c r="P496" s="10"/>
      <c r="Q496" s="10"/>
      <c r="R496" s="10"/>
      <c r="S496" s="10"/>
      <c r="T496" s="10"/>
      <c r="U496" s="10"/>
      <c r="V496" s="10"/>
      <c r="W496" s="10"/>
      <c r="X496" s="10"/>
      <c r="Y496" s="10"/>
      <c r="Z496" s="10"/>
      <c r="AA496" s="10"/>
    </row>
    <row r="497" spans="1:27">
      <c r="A497" s="10"/>
      <c r="B497" s="10"/>
      <c r="C497" s="187" t="s">
        <v>769</v>
      </c>
      <c r="D497" s="299">
        <v>4470</v>
      </c>
      <c r="E497" s="10"/>
      <c r="F497" s="10"/>
      <c r="G497" s="10"/>
      <c r="H497" s="10"/>
      <c r="I497" s="10"/>
      <c r="J497" s="10"/>
      <c r="K497" s="10"/>
      <c r="L497" s="10"/>
      <c r="M497" s="10"/>
      <c r="N497" s="10"/>
      <c r="O497" s="10"/>
      <c r="P497" s="10"/>
      <c r="Q497" s="10"/>
      <c r="R497" s="10"/>
      <c r="S497" s="10"/>
      <c r="T497" s="10"/>
      <c r="U497" s="10"/>
      <c r="V497" s="10"/>
      <c r="W497" s="10"/>
      <c r="X497" s="10"/>
      <c r="Y497" s="10"/>
      <c r="Z497" s="10"/>
      <c r="AA497" s="10"/>
    </row>
    <row r="498" spans="1:27">
      <c r="A498" s="10"/>
      <c r="B498" s="10"/>
      <c r="C498" s="298" t="s">
        <v>770</v>
      </c>
      <c r="D498" s="299">
        <v>53</v>
      </c>
      <c r="E498" s="10"/>
      <c r="F498" s="10"/>
      <c r="G498" s="10"/>
      <c r="H498" s="10"/>
      <c r="I498" s="10"/>
      <c r="J498" s="10"/>
      <c r="K498" s="10"/>
      <c r="L498" s="10"/>
      <c r="M498" s="10"/>
      <c r="N498" s="10"/>
      <c r="O498" s="10"/>
      <c r="P498" s="10"/>
      <c r="Q498" s="10"/>
      <c r="R498" s="10"/>
      <c r="S498" s="10"/>
      <c r="T498" s="10"/>
      <c r="U498" s="10"/>
      <c r="V498" s="10"/>
      <c r="W498" s="10"/>
      <c r="X498" s="10"/>
      <c r="Y498" s="10"/>
      <c r="Z498" s="10"/>
      <c r="AA498" s="10"/>
    </row>
    <row r="499" spans="1:27">
      <c r="A499" s="10"/>
      <c r="B499" s="10"/>
      <c r="C499" s="298" t="s">
        <v>771</v>
      </c>
      <c r="D499" s="299">
        <v>124</v>
      </c>
      <c r="E499" s="10"/>
      <c r="F499" s="10"/>
      <c r="G499" s="10"/>
      <c r="H499" s="10"/>
      <c r="I499" s="10"/>
      <c r="J499" s="10"/>
      <c r="K499" s="10"/>
      <c r="L499" s="10"/>
      <c r="M499" s="10"/>
      <c r="N499" s="10"/>
      <c r="O499" s="10"/>
      <c r="P499" s="10"/>
      <c r="Q499" s="10"/>
      <c r="R499" s="10"/>
      <c r="S499" s="10"/>
      <c r="T499" s="10"/>
      <c r="U499" s="10"/>
      <c r="V499" s="10"/>
      <c r="W499" s="10"/>
      <c r="X499" s="10"/>
      <c r="Y499" s="10"/>
      <c r="Z499" s="10"/>
      <c r="AA499" s="10"/>
    </row>
    <row r="500" spans="1:27">
      <c r="A500" s="10"/>
      <c r="B500" s="10"/>
      <c r="C500" s="298" t="s">
        <v>772</v>
      </c>
      <c r="D500" s="299">
        <v>12</v>
      </c>
      <c r="E500" s="10"/>
      <c r="F500" s="10"/>
      <c r="G500" s="10"/>
      <c r="H500" s="10"/>
      <c r="I500" s="10"/>
      <c r="J500" s="10"/>
      <c r="K500" s="10"/>
      <c r="L500" s="10"/>
      <c r="M500" s="10"/>
      <c r="N500" s="10"/>
      <c r="O500" s="10"/>
      <c r="P500" s="10"/>
      <c r="Q500" s="10"/>
      <c r="R500" s="10"/>
      <c r="S500" s="10"/>
      <c r="T500" s="10"/>
      <c r="U500" s="10"/>
      <c r="V500" s="10"/>
      <c r="W500" s="10"/>
      <c r="X500" s="10"/>
      <c r="Y500" s="10"/>
      <c r="Z500" s="10"/>
      <c r="AA500" s="10"/>
    </row>
    <row r="501" spans="1:27">
      <c r="A501" s="10"/>
      <c r="B501" s="10"/>
      <c r="C501" s="298" t="s">
        <v>773</v>
      </c>
      <c r="D501" s="299">
        <v>3220</v>
      </c>
      <c r="E501" s="10"/>
      <c r="F501" s="10"/>
      <c r="G501" s="342"/>
      <c r="H501" s="332"/>
      <c r="I501" s="332"/>
      <c r="J501" s="332"/>
      <c r="K501" s="332"/>
      <c r="L501" s="332"/>
      <c r="M501" s="332"/>
      <c r="N501" s="10"/>
      <c r="O501" s="10"/>
      <c r="P501" s="10"/>
      <c r="Q501" s="10"/>
      <c r="R501" s="10"/>
      <c r="S501" s="10"/>
      <c r="T501" s="10"/>
      <c r="U501" s="10"/>
      <c r="V501" s="10"/>
      <c r="W501" s="10"/>
      <c r="X501" s="10"/>
      <c r="Y501" s="10"/>
      <c r="Z501" s="10"/>
      <c r="AA501" s="10"/>
    </row>
    <row r="502" spans="1:27">
      <c r="A502" s="10"/>
      <c r="B502" s="10"/>
      <c r="C502" s="298" t="s">
        <v>774</v>
      </c>
      <c r="D502" s="299">
        <v>1340</v>
      </c>
      <c r="E502" s="10"/>
      <c r="F502" s="10"/>
      <c r="G502" s="342"/>
      <c r="H502" s="332"/>
      <c r="I502" s="332"/>
      <c r="J502" s="332"/>
      <c r="K502" s="332"/>
      <c r="L502" s="332"/>
      <c r="M502" s="332"/>
      <c r="N502" s="10"/>
      <c r="O502" s="10"/>
      <c r="P502" s="10"/>
      <c r="Q502" s="10"/>
      <c r="R502" s="10"/>
      <c r="S502" s="10"/>
      <c r="T502" s="10"/>
      <c r="U502" s="10"/>
      <c r="V502" s="10"/>
      <c r="W502" s="10"/>
      <c r="X502" s="10"/>
      <c r="Y502" s="10"/>
      <c r="Z502" s="10"/>
      <c r="AA502" s="10"/>
    </row>
    <row r="503" spans="1:27">
      <c r="A503" s="10"/>
      <c r="B503" s="10"/>
      <c r="C503" s="298" t="s">
        <v>775</v>
      </c>
      <c r="D503" s="299">
        <v>1370</v>
      </c>
      <c r="E503" s="10"/>
      <c r="F503" s="10"/>
      <c r="G503" s="10"/>
      <c r="H503" s="10"/>
      <c r="I503" s="10"/>
      <c r="J503" s="10"/>
      <c r="K503" s="10"/>
      <c r="L503" s="10"/>
      <c r="M503" s="10"/>
      <c r="N503" s="10"/>
      <c r="O503" s="10"/>
      <c r="P503" s="10"/>
      <c r="Q503" s="10"/>
      <c r="R503" s="10"/>
      <c r="S503" s="10"/>
      <c r="T503" s="10"/>
      <c r="U503" s="10"/>
      <c r="V503" s="10"/>
      <c r="W503" s="10"/>
      <c r="X503" s="10"/>
      <c r="Y503" s="10"/>
      <c r="Z503" s="10"/>
      <c r="AA503" s="10"/>
    </row>
    <row r="504" spans="1:27">
      <c r="A504" s="10"/>
      <c r="B504" s="10"/>
      <c r="C504" s="298" t="s">
        <v>776</v>
      </c>
      <c r="D504" s="299">
        <v>9810</v>
      </c>
      <c r="E504" s="10"/>
      <c r="F504" s="10"/>
      <c r="G504" s="10"/>
      <c r="H504" s="10"/>
      <c r="I504" s="10"/>
      <c r="J504" s="10"/>
      <c r="K504" s="10"/>
      <c r="L504" s="10"/>
      <c r="M504" s="10"/>
      <c r="N504" s="10"/>
      <c r="O504" s="10"/>
      <c r="P504" s="10"/>
      <c r="Q504" s="10"/>
      <c r="R504" s="10"/>
      <c r="S504" s="10"/>
      <c r="T504" s="10"/>
      <c r="U504" s="10"/>
      <c r="V504" s="10"/>
      <c r="W504" s="10"/>
      <c r="X504" s="10"/>
      <c r="Y504" s="10"/>
      <c r="Z504" s="10"/>
      <c r="AA504" s="10"/>
    </row>
    <row r="505" spans="1:27">
      <c r="A505" s="10"/>
      <c r="B505" s="10"/>
      <c r="C505" s="187" t="s">
        <v>777</v>
      </c>
      <c r="D505" s="299">
        <v>693</v>
      </c>
      <c r="E505" s="10"/>
      <c r="F505" s="10"/>
      <c r="G505" s="10"/>
      <c r="H505" s="10"/>
      <c r="I505" s="10"/>
      <c r="J505" s="10"/>
      <c r="K505" s="10"/>
      <c r="L505" s="10"/>
      <c r="M505" s="10"/>
      <c r="N505" s="10"/>
      <c r="O505" s="10"/>
      <c r="P505" s="10"/>
      <c r="Q505" s="10"/>
      <c r="R505" s="10"/>
      <c r="S505" s="10"/>
      <c r="T505" s="10"/>
      <c r="U505" s="10"/>
      <c r="V505" s="10"/>
      <c r="W505" s="10"/>
      <c r="X505" s="10"/>
      <c r="Y505" s="10"/>
      <c r="Z505" s="10"/>
      <c r="AA505" s="10"/>
    </row>
    <row r="506" spans="1:27">
      <c r="A506" s="10"/>
      <c r="B506" s="10"/>
      <c r="C506" s="298" t="s">
        <v>778</v>
      </c>
      <c r="D506" s="299">
        <v>1030</v>
      </c>
      <c r="E506" s="10"/>
      <c r="F506" s="10"/>
      <c r="G506" s="10"/>
      <c r="H506" s="10"/>
      <c r="I506" s="10"/>
      <c r="J506" s="10"/>
      <c r="K506" s="10"/>
      <c r="L506" s="10"/>
      <c r="M506" s="10"/>
      <c r="N506" s="10"/>
      <c r="O506" s="10"/>
      <c r="P506" s="10"/>
      <c r="Q506" s="10"/>
      <c r="R506" s="10"/>
      <c r="S506" s="10"/>
      <c r="T506" s="10"/>
      <c r="U506" s="10"/>
      <c r="V506" s="10"/>
      <c r="W506" s="10"/>
      <c r="X506" s="10"/>
      <c r="Y506" s="10"/>
      <c r="Z506" s="10"/>
      <c r="AA506" s="10"/>
    </row>
    <row r="507" spans="1:27">
      <c r="A507" s="10"/>
      <c r="B507" s="10"/>
      <c r="C507" s="298" t="s">
        <v>779</v>
      </c>
      <c r="D507" s="299">
        <v>794</v>
      </c>
      <c r="E507" s="10"/>
      <c r="F507" s="10"/>
      <c r="G507" s="10"/>
      <c r="H507" s="10"/>
      <c r="I507" s="10"/>
      <c r="J507" s="10"/>
      <c r="K507" s="10"/>
      <c r="L507" s="10"/>
      <c r="M507" s="10"/>
      <c r="N507" s="10"/>
      <c r="O507" s="10"/>
      <c r="P507" s="10"/>
      <c r="Q507" s="10"/>
      <c r="R507" s="10"/>
      <c r="S507" s="10"/>
      <c r="T507" s="10"/>
      <c r="U507" s="10"/>
      <c r="V507" s="10"/>
      <c r="W507" s="10"/>
      <c r="X507" s="10"/>
      <c r="Y507" s="10"/>
      <c r="Z507" s="10"/>
      <c r="AA507" s="10"/>
    </row>
    <row r="508" spans="1:27">
      <c r="A508" s="10"/>
      <c r="B508" s="10"/>
      <c r="C508" s="187" t="s">
        <v>780</v>
      </c>
      <c r="D508" s="299">
        <v>1640</v>
      </c>
      <c r="E508" s="10"/>
      <c r="F508" s="10"/>
      <c r="G508" s="10"/>
      <c r="H508" s="10"/>
      <c r="I508" s="10"/>
      <c r="J508" s="10"/>
      <c r="K508" s="10"/>
      <c r="L508" s="10"/>
      <c r="M508" s="10"/>
      <c r="N508" s="10"/>
      <c r="O508" s="10"/>
      <c r="P508" s="10"/>
      <c r="Q508" s="10"/>
      <c r="R508" s="10"/>
      <c r="S508" s="10"/>
      <c r="T508" s="10"/>
      <c r="U508" s="10"/>
      <c r="V508" s="10"/>
      <c r="W508" s="10"/>
      <c r="X508" s="10"/>
      <c r="Y508" s="10"/>
      <c r="Z508" s="10"/>
      <c r="AA508" s="10"/>
    </row>
    <row r="509" spans="1:27" ht="15.6" customHeight="1">
      <c r="A509" s="10"/>
      <c r="B509" s="10"/>
      <c r="C509" s="298" t="s">
        <v>781</v>
      </c>
      <c r="D509" s="299">
        <v>22800</v>
      </c>
      <c r="E509" s="10"/>
      <c r="F509" s="10"/>
      <c r="G509" s="10"/>
      <c r="H509" s="10"/>
      <c r="I509" s="10"/>
      <c r="J509" s="10"/>
      <c r="K509" s="10"/>
      <c r="L509" s="10"/>
      <c r="M509" s="10"/>
      <c r="N509" s="10"/>
      <c r="O509" s="10"/>
      <c r="P509" s="10"/>
      <c r="Q509" s="10"/>
      <c r="R509" s="10"/>
      <c r="S509" s="10"/>
      <c r="T509" s="10"/>
      <c r="U509" s="10"/>
      <c r="V509" s="10"/>
      <c r="W509" s="10"/>
      <c r="X509" s="10"/>
      <c r="Y509" s="10"/>
      <c r="Z509" s="10"/>
      <c r="AA509" s="10"/>
    </row>
    <row r="510" spans="1:27" ht="15.6" customHeight="1">
      <c r="A510" s="10"/>
      <c r="B510" s="10"/>
      <c r="C510" s="298" t="s">
        <v>782</v>
      </c>
      <c r="D510" s="299">
        <v>17200</v>
      </c>
      <c r="E510" s="10"/>
      <c r="F510" s="10"/>
      <c r="G510" s="10"/>
      <c r="H510" s="10"/>
      <c r="I510" s="10"/>
      <c r="J510" s="10"/>
      <c r="K510" s="10"/>
      <c r="L510" s="10"/>
      <c r="M510" s="10"/>
      <c r="N510" s="10"/>
      <c r="O510" s="10"/>
      <c r="P510" s="10"/>
      <c r="Q510" s="10"/>
      <c r="R510" s="10"/>
      <c r="S510" s="10"/>
      <c r="T510" s="10"/>
      <c r="U510" s="10"/>
      <c r="V510" s="10"/>
      <c r="W510" s="10"/>
      <c r="X510" s="10"/>
      <c r="Y510" s="10"/>
      <c r="Z510" s="10"/>
      <c r="AA510" s="10"/>
    </row>
    <row r="511" spans="1:27" ht="15.6" customHeight="1">
      <c r="A511" s="10"/>
      <c r="B511" s="10"/>
      <c r="C511" s="187" t="s">
        <v>783</v>
      </c>
      <c r="D511" s="299">
        <v>7390</v>
      </c>
      <c r="E511" s="10"/>
      <c r="F511" s="10"/>
      <c r="G511" s="10"/>
      <c r="H511" s="10"/>
      <c r="I511" s="10"/>
      <c r="J511" s="10"/>
      <c r="K511" s="10"/>
      <c r="L511" s="10"/>
      <c r="M511" s="10"/>
      <c r="N511" s="10"/>
      <c r="O511" s="10"/>
      <c r="P511" s="10"/>
      <c r="Q511" s="10"/>
      <c r="R511" s="10"/>
      <c r="S511" s="10"/>
      <c r="T511" s="10"/>
      <c r="U511" s="10"/>
      <c r="V511" s="10"/>
      <c r="W511" s="10"/>
      <c r="X511" s="10"/>
      <c r="Y511" s="10"/>
      <c r="Z511" s="10"/>
      <c r="AA511" s="10"/>
    </row>
    <row r="512" spans="1:27" ht="15.6" customHeight="1">
      <c r="A512" s="10"/>
      <c r="B512" s="10"/>
      <c r="C512" s="187" t="s">
        <v>784</v>
      </c>
      <c r="D512" s="299">
        <v>12200</v>
      </c>
      <c r="E512" s="10"/>
      <c r="F512" s="10"/>
      <c r="G512" s="10"/>
      <c r="H512" s="10"/>
      <c r="I512" s="10"/>
      <c r="J512" s="10"/>
      <c r="K512" s="10"/>
      <c r="L512" s="10"/>
      <c r="M512" s="10"/>
      <c r="N512" s="10"/>
      <c r="O512" s="10"/>
      <c r="P512" s="10"/>
      <c r="Q512" s="10"/>
      <c r="R512" s="10"/>
      <c r="S512" s="10"/>
      <c r="T512" s="10"/>
      <c r="U512" s="10"/>
      <c r="V512" s="10"/>
      <c r="W512" s="10"/>
      <c r="X512" s="10"/>
      <c r="Y512" s="10"/>
      <c r="Z512" s="10"/>
      <c r="AA512" s="10"/>
    </row>
    <row r="513" spans="1:27" ht="15.6" customHeight="1">
      <c r="A513" s="10"/>
      <c r="B513" s="10"/>
      <c r="C513" s="187" t="s">
        <v>785</v>
      </c>
      <c r="D513" s="299">
        <v>8830</v>
      </c>
      <c r="E513" s="10"/>
      <c r="F513" s="10"/>
      <c r="G513" s="10"/>
      <c r="H513" s="10"/>
      <c r="I513" s="10"/>
      <c r="J513" s="10"/>
      <c r="K513" s="10"/>
      <c r="L513" s="10"/>
      <c r="M513" s="10"/>
      <c r="N513" s="10"/>
      <c r="O513" s="10"/>
      <c r="P513" s="10"/>
      <c r="Q513" s="10"/>
      <c r="R513" s="10"/>
      <c r="S513" s="10"/>
      <c r="T513" s="10"/>
      <c r="U513" s="10"/>
      <c r="V513" s="10"/>
      <c r="W513" s="10"/>
      <c r="X513" s="10"/>
      <c r="Y513" s="10"/>
      <c r="Z513" s="10"/>
      <c r="AA513" s="10"/>
    </row>
    <row r="514" spans="1:27" ht="15.6" customHeight="1">
      <c r="A514" s="10"/>
      <c r="B514" s="10"/>
      <c r="C514" s="187" t="s">
        <v>786</v>
      </c>
      <c r="D514" s="300">
        <v>10300</v>
      </c>
      <c r="E514" s="10"/>
      <c r="F514" s="10"/>
      <c r="G514" s="10"/>
      <c r="H514" s="10"/>
      <c r="I514" s="10"/>
      <c r="J514" s="10"/>
      <c r="K514" s="10"/>
      <c r="L514" s="10"/>
      <c r="M514" s="10"/>
      <c r="N514" s="10"/>
      <c r="O514" s="10"/>
      <c r="P514" s="10"/>
      <c r="Q514" s="10"/>
      <c r="R514" s="10"/>
      <c r="S514" s="10"/>
      <c r="T514" s="10"/>
      <c r="U514" s="10"/>
      <c r="V514" s="10"/>
      <c r="W514" s="10"/>
      <c r="X514" s="10"/>
      <c r="Y514" s="10"/>
      <c r="Z514" s="10"/>
      <c r="AA514" s="10"/>
    </row>
    <row r="515" spans="1:27" ht="15.6" customHeight="1">
      <c r="A515" s="10"/>
      <c r="B515" s="10"/>
      <c r="C515" s="187" t="s">
        <v>787</v>
      </c>
      <c r="D515" s="299">
        <v>8860</v>
      </c>
      <c r="E515" s="10"/>
      <c r="F515" s="10"/>
      <c r="G515" s="10"/>
      <c r="H515" s="10"/>
      <c r="I515" s="10"/>
      <c r="J515" s="10"/>
      <c r="K515" s="10"/>
      <c r="L515" s="10"/>
      <c r="M515" s="10"/>
      <c r="N515" s="10"/>
      <c r="O515" s="10"/>
      <c r="P515" s="10"/>
      <c r="Q515" s="10"/>
      <c r="R515" s="10"/>
      <c r="S515" s="10"/>
      <c r="T515" s="10"/>
      <c r="U515" s="10"/>
      <c r="V515" s="10"/>
      <c r="W515" s="10"/>
      <c r="X515" s="10"/>
      <c r="Y515" s="10"/>
      <c r="Z515" s="10"/>
      <c r="AA515" s="10"/>
    </row>
    <row r="516" spans="1:27" ht="15.6" customHeight="1">
      <c r="A516" s="10"/>
      <c r="B516" s="10"/>
      <c r="C516" s="187" t="s">
        <v>788</v>
      </c>
      <c r="D516" s="299">
        <v>9160</v>
      </c>
      <c r="E516" s="10"/>
      <c r="F516" s="10"/>
      <c r="G516" s="10"/>
      <c r="H516" s="10"/>
      <c r="I516" s="10"/>
      <c r="J516" s="10"/>
      <c r="K516" s="10"/>
      <c r="L516" s="10"/>
      <c r="M516" s="10"/>
      <c r="N516" s="21"/>
      <c r="O516" s="10"/>
      <c r="P516" s="10"/>
      <c r="Q516" s="10"/>
      <c r="R516" s="10"/>
      <c r="S516" s="10"/>
      <c r="T516" s="10"/>
      <c r="U516" s="10"/>
      <c r="V516" s="10"/>
      <c r="W516" s="10"/>
      <c r="X516" s="10"/>
      <c r="Y516" s="10"/>
      <c r="Z516" s="10"/>
      <c r="AA516" s="10"/>
    </row>
    <row r="517" spans="1:27" ht="15.6" customHeight="1">
      <c r="A517" s="10"/>
      <c r="B517" s="10"/>
      <c r="C517" s="187" t="s">
        <v>789</v>
      </c>
      <c r="D517" s="299">
        <v>9300</v>
      </c>
      <c r="E517" s="10"/>
      <c r="F517" s="10"/>
      <c r="G517" s="10"/>
      <c r="H517" s="10"/>
      <c r="I517" s="10"/>
      <c r="J517" s="10"/>
      <c r="K517" s="10"/>
      <c r="L517" s="10"/>
      <c r="M517" s="10"/>
      <c r="N517" s="10"/>
      <c r="O517" s="10"/>
      <c r="P517" s="10"/>
      <c r="Q517" s="10"/>
      <c r="R517" s="10"/>
      <c r="S517" s="10"/>
      <c r="T517" s="10"/>
      <c r="U517" s="10"/>
      <c r="V517" s="10"/>
      <c r="W517" s="10"/>
      <c r="X517" s="10"/>
      <c r="Y517" s="10"/>
      <c r="Z517" s="10"/>
      <c r="AA517" s="10"/>
    </row>
    <row r="518" spans="1:27" ht="16.149999999999999" customHeight="1" thickBot="1">
      <c r="A518" s="10"/>
      <c r="B518" s="10"/>
      <c r="C518" s="237" t="s">
        <v>790</v>
      </c>
      <c r="D518" s="301" t="s">
        <v>791</v>
      </c>
      <c r="E518" s="10"/>
      <c r="F518" s="10"/>
      <c r="G518" s="10"/>
      <c r="H518" s="10"/>
      <c r="I518" s="10"/>
      <c r="J518" s="10"/>
      <c r="K518" s="10"/>
      <c r="L518" s="10"/>
      <c r="M518" s="10"/>
      <c r="N518" s="21"/>
      <c r="O518" s="10"/>
      <c r="P518" s="10"/>
      <c r="Q518" s="10"/>
      <c r="R518" s="10"/>
      <c r="S518" s="10"/>
      <c r="T518" s="10"/>
      <c r="U518" s="10"/>
      <c r="V518" s="10"/>
      <c r="W518" s="10"/>
      <c r="X518" s="10"/>
      <c r="Y518" s="10"/>
      <c r="Z518" s="10"/>
      <c r="AA518" s="10"/>
    </row>
    <row r="519" spans="1:27" ht="121.5" customHeight="1">
      <c r="A519" s="10"/>
      <c r="B519" s="10"/>
      <c r="C519" s="331" t="s">
        <v>792</v>
      </c>
      <c r="D519" s="332"/>
      <c r="E519" s="332"/>
      <c r="F519" s="332"/>
      <c r="G519" s="332"/>
      <c r="H519" s="332"/>
      <c r="I519" s="332"/>
      <c r="J519" s="332"/>
      <c r="K519" s="332"/>
      <c r="L519" s="332"/>
      <c r="M519" s="10"/>
      <c r="N519" s="10"/>
      <c r="O519" s="10"/>
      <c r="P519" s="10"/>
      <c r="Q519" s="10"/>
      <c r="R519" s="10"/>
      <c r="S519" s="10"/>
      <c r="T519" s="10"/>
      <c r="U519" s="10"/>
      <c r="V519" s="10"/>
      <c r="W519" s="10"/>
      <c r="X519" s="10"/>
      <c r="Y519" s="10"/>
      <c r="Z519" s="10"/>
      <c r="AA519" s="10"/>
    </row>
    <row r="520" spans="1:27">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c r="AA520" s="10"/>
    </row>
    <row r="521" spans="1:27" ht="15.6" customHeight="1">
      <c r="B521" s="131" t="s">
        <v>793</v>
      </c>
      <c r="C521" s="248" t="s">
        <v>794</v>
      </c>
      <c r="D521" s="134"/>
      <c r="E521" s="134"/>
      <c r="F521" s="134"/>
      <c r="G521" s="134"/>
      <c r="H521" s="134"/>
      <c r="I521" s="134"/>
      <c r="J521" s="134"/>
      <c r="K521" s="134"/>
      <c r="L521" s="135"/>
      <c r="M521" s="10"/>
      <c r="N521" s="10"/>
      <c r="O521" s="10"/>
      <c r="P521" s="10"/>
      <c r="Q521" s="10"/>
      <c r="R521" s="10"/>
      <c r="S521" s="10"/>
      <c r="T521" s="10"/>
      <c r="U521" s="10"/>
      <c r="V521" s="10"/>
      <c r="W521" s="10"/>
      <c r="X521" s="10"/>
      <c r="Y521" s="10"/>
      <c r="Z521" s="10"/>
      <c r="AA521" s="10"/>
    </row>
    <row r="522" spans="1:27" ht="16.149999999999999" customHeight="1" thickBot="1">
      <c r="A522" s="10"/>
      <c r="B522" s="229"/>
      <c r="C522" s="302"/>
      <c r="D522" s="10"/>
      <c r="E522" s="10"/>
      <c r="F522" s="10"/>
      <c r="G522" s="10"/>
      <c r="H522" s="10"/>
      <c r="I522" s="10"/>
      <c r="J522" s="10"/>
      <c r="K522" s="10"/>
      <c r="L522" s="10"/>
      <c r="M522" s="10"/>
      <c r="N522" s="10"/>
      <c r="O522" s="10"/>
      <c r="P522" s="10"/>
      <c r="Q522" s="10"/>
      <c r="R522" s="10"/>
      <c r="S522" s="10"/>
      <c r="T522" s="10"/>
      <c r="U522" s="10"/>
      <c r="V522" s="10"/>
      <c r="W522" s="10"/>
      <c r="X522" s="10"/>
      <c r="Y522" s="10"/>
      <c r="Z522" s="10"/>
      <c r="AA522" s="10"/>
    </row>
    <row r="523" spans="1:27" ht="13.9" customHeight="1" thickBot="1">
      <c r="A523" s="10"/>
      <c r="B523" s="10"/>
      <c r="C523" s="303" t="s">
        <v>795</v>
      </c>
      <c r="D523" s="304" t="s">
        <v>796</v>
      </c>
      <c r="E523" s="320" t="s">
        <v>797</v>
      </c>
      <c r="F523" s="321"/>
      <c r="G523" s="321"/>
      <c r="H523" s="322"/>
      <c r="I523" s="10"/>
      <c r="J523" s="10"/>
      <c r="K523" s="10"/>
      <c r="L523" s="10"/>
      <c r="M523" s="10"/>
      <c r="N523" s="10"/>
      <c r="O523" s="10"/>
      <c r="P523" s="10"/>
      <c r="Q523" s="10"/>
      <c r="R523" s="10"/>
      <c r="S523" s="10"/>
      <c r="T523" s="10"/>
      <c r="U523" s="10"/>
      <c r="V523" s="10"/>
      <c r="W523" s="10"/>
      <c r="X523" s="10"/>
      <c r="Y523" s="10"/>
      <c r="Z523" s="10"/>
      <c r="AA523" s="10"/>
    </row>
    <row r="524" spans="1:27" ht="14.45" customHeight="1">
      <c r="A524" s="10"/>
      <c r="B524" s="10"/>
      <c r="C524" s="230" t="s">
        <v>798</v>
      </c>
      <c r="D524" s="305">
        <v>16</v>
      </c>
      <c r="E524" s="352" t="s">
        <v>799</v>
      </c>
      <c r="F524" s="353"/>
      <c r="G524" s="353"/>
      <c r="H524" s="354"/>
      <c r="I524" s="306"/>
      <c r="J524" s="10"/>
      <c r="K524" s="10"/>
      <c r="L524" s="10"/>
      <c r="M524" s="10"/>
      <c r="N524" s="10"/>
      <c r="O524" s="10"/>
      <c r="P524" s="10"/>
      <c r="Q524" s="10"/>
      <c r="R524" s="10"/>
      <c r="S524" s="10"/>
      <c r="T524" s="10"/>
      <c r="U524" s="10"/>
      <c r="V524" s="10"/>
      <c r="W524" s="10"/>
      <c r="X524" s="10"/>
      <c r="Y524" s="10"/>
      <c r="Z524" s="10"/>
      <c r="AA524" s="10"/>
    </row>
    <row r="525" spans="1:27" ht="14.45" customHeight="1">
      <c r="A525" s="10"/>
      <c r="B525" s="10"/>
      <c r="C525" s="187" t="s">
        <v>800</v>
      </c>
      <c r="D525" s="307">
        <v>14</v>
      </c>
      <c r="E525" s="326" t="s">
        <v>801</v>
      </c>
      <c r="F525" s="327"/>
      <c r="G525" s="327"/>
      <c r="H525" s="328"/>
      <c r="I525" s="306"/>
      <c r="J525" s="10"/>
      <c r="K525" s="10"/>
      <c r="L525" s="10"/>
      <c r="M525" s="10"/>
      <c r="N525" s="10"/>
      <c r="O525" s="10"/>
      <c r="P525" s="10"/>
      <c r="Q525" s="10"/>
      <c r="R525" s="10"/>
      <c r="S525" s="10"/>
      <c r="T525" s="10"/>
      <c r="U525" s="10"/>
      <c r="V525" s="10"/>
      <c r="W525" s="10"/>
      <c r="X525" s="10"/>
      <c r="Y525" s="10"/>
      <c r="Z525" s="10"/>
      <c r="AA525" s="10"/>
    </row>
    <row r="526" spans="1:27" ht="14.45" customHeight="1">
      <c r="A526" s="10"/>
      <c r="B526" s="10"/>
      <c r="C526" s="187" t="s">
        <v>802</v>
      </c>
      <c r="D526" s="307">
        <v>19</v>
      </c>
      <c r="E526" s="326" t="s">
        <v>803</v>
      </c>
      <c r="F526" s="327"/>
      <c r="G526" s="327"/>
      <c r="H526" s="328"/>
      <c r="I526" s="306"/>
      <c r="J526" s="10"/>
      <c r="K526" s="10"/>
      <c r="L526" s="10"/>
      <c r="M526" s="10"/>
      <c r="N526" s="10"/>
      <c r="O526" s="10"/>
      <c r="P526" s="10"/>
      <c r="Q526" s="10"/>
      <c r="R526" s="10"/>
      <c r="S526" s="10"/>
      <c r="T526" s="10"/>
      <c r="U526" s="10"/>
      <c r="V526" s="10"/>
      <c r="W526" s="10"/>
      <c r="X526" s="10"/>
      <c r="Y526" s="10"/>
      <c r="Z526" s="10"/>
      <c r="AA526" s="10"/>
    </row>
    <row r="527" spans="1:27" ht="14.45" customHeight="1">
      <c r="A527" s="10"/>
      <c r="B527" s="10"/>
      <c r="C527" s="187" t="s">
        <v>804</v>
      </c>
      <c r="D527" s="307">
        <v>2100</v>
      </c>
      <c r="E527" s="326" t="s">
        <v>805</v>
      </c>
      <c r="F527" s="327"/>
      <c r="G527" s="327"/>
      <c r="H527" s="328"/>
      <c r="I527" s="306"/>
      <c r="J527" s="10"/>
      <c r="K527" s="10"/>
      <c r="L527" s="10"/>
      <c r="M527" s="10"/>
      <c r="N527" s="10"/>
      <c r="O527" s="10"/>
      <c r="P527" s="10"/>
      <c r="Q527" s="10"/>
      <c r="R527" s="10"/>
      <c r="S527" s="10"/>
      <c r="T527" s="10"/>
      <c r="U527" s="10"/>
      <c r="V527" s="10"/>
      <c r="W527" s="10"/>
      <c r="X527" s="10"/>
      <c r="Y527" s="10"/>
      <c r="Z527" s="10"/>
      <c r="AA527" s="10"/>
    </row>
    <row r="528" spans="1:27" ht="14.45" customHeight="1">
      <c r="A528" s="10"/>
      <c r="B528" s="10"/>
      <c r="C528" s="187" t="s">
        <v>806</v>
      </c>
      <c r="D528" s="307">
        <v>1330</v>
      </c>
      <c r="E528" s="326" t="s">
        <v>807</v>
      </c>
      <c r="F528" s="327"/>
      <c r="G528" s="327"/>
      <c r="H528" s="328"/>
      <c r="I528" s="306"/>
      <c r="J528" s="10"/>
      <c r="K528" s="10"/>
      <c r="L528" s="10"/>
      <c r="M528" s="10"/>
      <c r="N528" s="10"/>
      <c r="O528" s="10"/>
      <c r="P528" s="10"/>
      <c r="Q528" s="10"/>
      <c r="R528" s="10"/>
      <c r="S528" s="10"/>
      <c r="T528" s="10"/>
      <c r="U528" s="10"/>
      <c r="V528" s="10"/>
      <c r="W528" s="10"/>
      <c r="X528" s="10"/>
      <c r="Y528" s="10"/>
      <c r="Z528" s="10"/>
      <c r="AA528" s="10"/>
    </row>
    <row r="529" spans="1:27" ht="14.45" customHeight="1">
      <c r="A529" s="10"/>
      <c r="B529" s="10"/>
      <c r="C529" s="187" t="s">
        <v>808</v>
      </c>
      <c r="D529" s="307">
        <v>3444</v>
      </c>
      <c r="E529" s="326" t="s">
        <v>809</v>
      </c>
      <c r="F529" s="327"/>
      <c r="G529" s="327"/>
      <c r="H529" s="328"/>
      <c r="I529" s="306"/>
      <c r="J529" s="10"/>
      <c r="K529" s="10"/>
      <c r="L529" s="10"/>
      <c r="M529" s="10"/>
      <c r="N529" s="10"/>
      <c r="O529" s="10"/>
      <c r="P529" s="10"/>
      <c r="Q529" s="10"/>
      <c r="R529" s="10"/>
      <c r="S529" s="10"/>
      <c r="T529" s="10"/>
      <c r="U529" s="10"/>
      <c r="V529" s="10"/>
      <c r="W529" s="10"/>
      <c r="X529" s="10"/>
      <c r="Y529" s="10"/>
      <c r="Z529" s="10"/>
      <c r="AA529" s="10"/>
    </row>
    <row r="530" spans="1:27" ht="14.45" customHeight="1">
      <c r="A530" s="10"/>
      <c r="B530" s="10"/>
      <c r="C530" s="187" t="s">
        <v>810</v>
      </c>
      <c r="D530" s="307">
        <v>3922</v>
      </c>
      <c r="E530" s="326" t="s">
        <v>811</v>
      </c>
      <c r="F530" s="327"/>
      <c r="G530" s="327"/>
      <c r="H530" s="328"/>
      <c r="I530" s="306"/>
      <c r="J530" s="10"/>
      <c r="K530" s="10"/>
      <c r="L530" s="10"/>
      <c r="M530" s="10"/>
      <c r="N530" s="10"/>
      <c r="O530" s="10"/>
      <c r="P530" s="10"/>
      <c r="Q530" s="10"/>
      <c r="R530" s="10"/>
      <c r="S530" s="10"/>
      <c r="T530" s="10"/>
      <c r="U530" s="10"/>
      <c r="V530" s="10"/>
      <c r="W530" s="10"/>
      <c r="X530" s="10"/>
      <c r="Y530" s="10"/>
      <c r="Z530" s="10"/>
      <c r="AA530" s="10"/>
    </row>
    <row r="531" spans="1:27" ht="14.45" customHeight="1">
      <c r="A531" s="10"/>
      <c r="B531" s="10"/>
      <c r="C531" s="187" t="s">
        <v>812</v>
      </c>
      <c r="D531" s="307">
        <v>0</v>
      </c>
      <c r="E531" s="326" t="s">
        <v>813</v>
      </c>
      <c r="F531" s="327"/>
      <c r="G531" s="327"/>
      <c r="H531" s="328"/>
      <c r="I531" s="306"/>
      <c r="J531" s="10"/>
      <c r="K531" s="10"/>
      <c r="L531" s="10"/>
      <c r="M531" s="10"/>
      <c r="N531" s="10"/>
      <c r="O531" s="10"/>
      <c r="P531" s="10"/>
      <c r="Q531" s="10"/>
      <c r="R531" s="10"/>
      <c r="S531" s="10"/>
      <c r="T531" s="10"/>
      <c r="U531" s="10"/>
      <c r="V531" s="10"/>
      <c r="W531" s="10"/>
      <c r="X531" s="10"/>
      <c r="Y531" s="10"/>
      <c r="Z531" s="10"/>
      <c r="AA531" s="10"/>
    </row>
    <row r="532" spans="1:27" ht="14.45" customHeight="1">
      <c r="A532" s="10"/>
      <c r="B532" s="10"/>
      <c r="C532" s="187" t="s">
        <v>814</v>
      </c>
      <c r="D532" s="307">
        <v>2107</v>
      </c>
      <c r="E532" s="326" t="s">
        <v>815</v>
      </c>
      <c r="F532" s="327"/>
      <c r="G532" s="327"/>
      <c r="H532" s="328"/>
      <c r="I532" s="306"/>
      <c r="J532" s="10"/>
      <c r="K532" s="10"/>
      <c r="L532" s="10"/>
      <c r="M532" s="10"/>
      <c r="N532" s="10"/>
      <c r="O532" s="10"/>
      <c r="P532" s="10"/>
      <c r="Q532" s="10"/>
      <c r="R532" s="10"/>
      <c r="S532" s="10"/>
      <c r="T532" s="10"/>
      <c r="U532" s="10"/>
      <c r="V532" s="10"/>
      <c r="W532" s="10"/>
      <c r="X532" s="10"/>
      <c r="Y532" s="10"/>
      <c r="Z532" s="10"/>
      <c r="AA532" s="10"/>
    </row>
    <row r="533" spans="1:27" ht="14.45" customHeight="1">
      <c r="A533" s="10"/>
      <c r="B533" s="10"/>
      <c r="C533" s="187" t="s">
        <v>816</v>
      </c>
      <c r="D533" s="307">
        <v>2804</v>
      </c>
      <c r="E533" s="326" t="s">
        <v>817</v>
      </c>
      <c r="F533" s="327"/>
      <c r="G533" s="327"/>
      <c r="H533" s="328"/>
      <c r="I533" s="306"/>
      <c r="J533" s="10"/>
      <c r="K533" s="10"/>
      <c r="L533" s="10"/>
      <c r="M533" s="10"/>
      <c r="N533" s="10"/>
      <c r="O533" s="10"/>
      <c r="P533" s="10"/>
      <c r="Q533" s="10"/>
      <c r="R533" s="10"/>
      <c r="S533" s="10"/>
      <c r="T533" s="10"/>
      <c r="U533" s="10"/>
      <c r="V533" s="10"/>
      <c r="W533" s="10"/>
      <c r="X533" s="10"/>
      <c r="Y533" s="10"/>
      <c r="Z533" s="10"/>
      <c r="AA533" s="10"/>
    </row>
    <row r="534" spans="1:27" ht="14.45" customHeight="1">
      <c r="A534" s="10"/>
      <c r="B534" s="10"/>
      <c r="C534" s="187" t="s">
        <v>818</v>
      </c>
      <c r="D534" s="307">
        <v>1774</v>
      </c>
      <c r="E534" s="326" t="s">
        <v>819</v>
      </c>
      <c r="F534" s="327"/>
      <c r="G534" s="327"/>
      <c r="H534" s="328"/>
      <c r="I534" s="306"/>
      <c r="J534" s="10"/>
      <c r="K534" s="10"/>
      <c r="L534" s="10"/>
      <c r="M534" s="10"/>
      <c r="N534" s="10"/>
      <c r="O534" s="10"/>
      <c r="P534" s="10"/>
      <c r="Q534" s="10"/>
      <c r="R534" s="10"/>
      <c r="S534" s="10"/>
      <c r="T534" s="10"/>
      <c r="U534" s="10"/>
      <c r="V534" s="10"/>
      <c r="W534" s="10"/>
      <c r="X534" s="10"/>
      <c r="Y534" s="10"/>
      <c r="Z534" s="10"/>
      <c r="AA534" s="10"/>
    </row>
    <row r="535" spans="1:27" ht="14.45" customHeight="1">
      <c r="A535" s="10"/>
      <c r="B535" s="10"/>
      <c r="C535" s="187" t="s">
        <v>820</v>
      </c>
      <c r="D535" s="307">
        <v>1627</v>
      </c>
      <c r="E535" s="326" t="s">
        <v>821</v>
      </c>
      <c r="F535" s="327"/>
      <c r="G535" s="327"/>
      <c r="H535" s="328"/>
      <c r="I535" s="306"/>
      <c r="J535" s="10"/>
      <c r="K535" s="10"/>
      <c r="L535" s="10"/>
      <c r="M535" s="10"/>
      <c r="N535" s="10"/>
      <c r="O535" s="10"/>
      <c r="P535" s="10"/>
      <c r="Q535" s="10"/>
      <c r="R535" s="10"/>
      <c r="S535" s="10"/>
      <c r="T535" s="10"/>
      <c r="U535" s="10"/>
      <c r="V535" s="10"/>
      <c r="W535" s="10"/>
      <c r="X535" s="10"/>
      <c r="Y535" s="10"/>
      <c r="Z535" s="10"/>
      <c r="AA535" s="10"/>
    </row>
    <row r="536" spans="1:27" ht="14.45" customHeight="1">
      <c r="A536" s="10"/>
      <c r="B536" s="10"/>
      <c r="C536" s="187" t="s">
        <v>822</v>
      </c>
      <c r="D536" s="307">
        <v>1552</v>
      </c>
      <c r="E536" s="326" t="s">
        <v>823</v>
      </c>
      <c r="F536" s="327"/>
      <c r="G536" s="327"/>
      <c r="H536" s="328"/>
      <c r="I536" s="306"/>
      <c r="J536" s="10"/>
      <c r="K536" s="10"/>
      <c r="L536" s="10"/>
      <c r="M536" s="10"/>
      <c r="N536" s="10"/>
      <c r="O536" s="10"/>
      <c r="P536" s="10"/>
      <c r="Q536" s="10"/>
      <c r="R536" s="10"/>
      <c r="S536" s="10"/>
      <c r="T536" s="10"/>
      <c r="U536" s="10"/>
      <c r="V536" s="10"/>
      <c r="W536" s="10"/>
      <c r="X536" s="10"/>
      <c r="Y536" s="10"/>
      <c r="Z536" s="10"/>
      <c r="AA536" s="10"/>
    </row>
    <row r="537" spans="1:27" ht="14.45" customHeight="1">
      <c r="A537" s="10"/>
      <c r="B537" s="10"/>
      <c r="C537" s="187" t="s">
        <v>824</v>
      </c>
      <c r="D537" s="307">
        <v>2301</v>
      </c>
      <c r="E537" s="326" t="s">
        <v>825</v>
      </c>
      <c r="F537" s="327"/>
      <c r="G537" s="327"/>
      <c r="H537" s="328"/>
      <c r="I537" s="306"/>
      <c r="J537" s="10"/>
      <c r="K537" s="10"/>
      <c r="L537" s="10"/>
      <c r="M537" s="10"/>
      <c r="N537" s="10"/>
      <c r="O537" s="10"/>
      <c r="P537" s="10"/>
      <c r="Q537" s="10"/>
      <c r="R537" s="10"/>
      <c r="S537" s="10"/>
      <c r="T537" s="10"/>
      <c r="U537" s="10"/>
      <c r="V537" s="10"/>
      <c r="W537" s="10"/>
      <c r="X537" s="10"/>
      <c r="Y537" s="10"/>
      <c r="Z537" s="10"/>
      <c r="AA537" s="10"/>
    </row>
    <row r="538" spans="1:27" ht="14.45" customHeight="1">
      <c r="A538" s="10"/>
      <c r="B538" s="10"/>
      <c r="C538" s="187" t="s">
        <v>826</v>
      </c>
      <c r="D538" s="307">
        <v>0</v>
      </c>
      <c r="E538" s="326" t="s">
        <v>827</v>
      </c>
      <c r="F538" s="327"/>
      <c r="G538" s="327"/>
      <c r="H538" s="328"/>
      <c r="I538" s="306"/>
      <c r="J538" s="10"/>
      <c r="K538" s="10"/>
      <c r="L538" s="10"/>
      <c r="M538" s="10"/>
      <c r="N538" s="10"/>
      <c r="O538" s="10"/>
      <c r="P538" s="10"/>
      <c r="Q538" s="10"/>
      <c r="R538" s="10"/>
      <c r="S538" s="10"/>
      <c r="T538" s="10"/>
      <c r="U538" s="10"/>
      <c r="V538" s="10"/>
      <c r="W538" s="10"/>
      <c r="X538" s="10"/>
      <c r="Y538" s="10"/>
      <c r="Z538" s="10"/>
      <c r="AA538" s="10"/>
    </row>
    <row r="539" spans="1:27" ht="14.45" customHeight="1">
      <c r="A539" s="10"/>
      <c r="B539" s="10"/>
      <c r="C539" s="187" t="s">
        <v>828</v>
      </c>
      <c r="D539" s="307">
        <v>2088</v>
      </c>
      <c r="E539" s="326" t="s">
        <v>829</v>
      </c>
      <c r="F539" s="327"/>
      <c r="G539" s="327"/>
      <c r="H539" s="328"/>
      <c r="I539" s="306"/>
      <c r="J539" s="10"/>
      <c r="K539" s="10"/>
      <c r="L539" s="10"/>
      <c r="M539" s="10"/>
      <c r="N539" s="10"/>
      <c r="O539" s="10"/>
      <c r="P539" s="10"/>
      <c r="Q539" s="10"/>
      <c r="R539" s="10"/>
      <c r="S539" s="10"/>
      <c r="T539" s="10"/>
      <c r="U539" s="10"/>
      <c r="V539" s="10"/>
      <c r="W539" s="10"/>
      <c r="X539" s="10"/>
      <c r="Y539" s="10"/>
      <c r="Z539" s="10"/>
      <c r="AA539" s="10"/>
    </row>
    <row r="540" spans="1:27" ht="14.45" customHeight="1">
      <c r="A540" s="10"/>
      <c r="B540" s="10"/>
      <c r="C540" s="187" t="s">
        <v>830</v>
      </c>
      <c r="D540" s="307">
        <v>2229</v>
      </c>
      <c r="E540" s="326" t="s">
        <v>831</v>
      </c>
      <c r="F540" s="327"/>
      <c r="G540" s="327"/>
      <c r="H540" s="328"/>
      <c r="I540" s="306"/>
      <c r="J540" s="10"/>
      <c r="K540" s="10"/>
      <c r="L540" s="10"/>
      <c r="M540" s="10"/>
      <c r="N540" s="10"/>
      <c r="O540" s="10"/>
      <c r="P540" s="10"/>
      <c r="Q540" s="10"/>
      <c r="R540" s="10"/>
      <c r="S540" s="10"/>
      <c r="T540" s="10"/>
      <c r="U540" s="10"/>
      <c r="V540" s="10"/>
      <c r="W540" s="10"/>
      <c r="X540" s="10"/>
      <c r="Y540" s="10"/>
      <c r="Z540" s="10"/>
      <c r="AA540" s="10"/>
    </row>
    <row r="541" spans="1:27" ht="14.45" customHeight="1">
      <c r="A541" s="10"/>
      <c r="B541" s="10"/>
      <c r="C541" s="187" t="s">
        <v>832</v>
      </c>
      <c r="D541" s="307">
        <v>14</v>
      </c>
      <c r="E541" s="326" t="s">
        <v>833</v>
      </c>
      <c r="F541" s="327"/>
      <c r="G541" s="327"/>
      <c r="H541" s="328"/>
      <c r="I541" s="306"/>
      <c r="J541" s="10"/>
      <c r="K541" s="10"/>
      <c r="L541" s="10"/>
      <c r="M541" s="10"/>
      <c r="N541" s="10"/>
      <c r="O541" s="10"/>
      <c r="P541" s="10"/>
      <c r="Q541" s="10"/>
      <c r="R541" s="10"/>
      <c r="S541" s="10"/>
      <c r="T541" s="10"/>
      <c r="U541" s="10"/>
      <c r="V541" s="10"/>
      <c r="W541" s="10"/>
      <c r="X541" s="10"/>
      <c r="Y541" s="10"/>
      <c r="Z541" s="10"/>
      <c r="AA541" s="10"/>
    </row>
    <row r="542" spans="1:27" ht="14.45" customHeight="1">
      <c r="A542" s="10"/>
      <c r="B542" s="10"/>
      <c r="C542" s="187" t="s">
        <v>834</v>
      </c>
      <c r="D542" s="307">
        <v>4</v>
      </c>
      <c r="E542" s="326" t="s">
        <v>835</v>
      </c>
      <c r="F542" s="327"/>
      <c r="G542" s="327"/>
      <c r="H542" s="328"/>
      <c r="I542" s="306"/>
      <c r="J542" s="10"/>
      <c r="K542" s="10"/>
      <c r="L542" s="10"/>
      <c r="M542" s="10"/>
      <c r="N542" s="10"/>
      <c r="O542" s="10"/>
      <c r="P542" s="10"/>
      <c r="Q542" s="10"/>
      <c r="R542" s="10"/>
      <c r="S542" s="10"/>
      <c r="T542" s="10"/>
      <c r="U542" s="10"/>
      <c r="V542" s="10"/>
      <c r="W542" s="10"/>
      <c r="X542" s="10"/>
      <c r="Y542" s="10"/>
      <c r="Z542" s="10"/>
      <c r="AA542" s="10"/>
    </row>
    <row r="543" spans="1:27" ht="14.45" customHeight="1">
      <c r="A543" s="10"/>
      <c r="B543" s="10"/>
      <c r="C543" s="187" t="s">
        <v>836</v>
      </c>
      <c r="D543" s="307">
        <v>2053</v>
      </c>
      <c r="E543" s="326" t="s">
        <v>837</v>
      </c>
      <c r="F543" s="327"/>
      <c r="G543" s="327"/>
      <c r="H543" s="328"/>
      <c r="I543" s="306"/>
      <c r="J543" s="10"/>
      <c r="K543" s="10"/>
      <c r="L543" s="10"/>
      <c r="M543" s="10"/>
      <c r="N543" s="10"/>
      <c r="O543" s="10"/>
      <c r="P543" s="10"/>
      <c r="Q543" s="10"/>
      <c r="R543" s="10"/>
      <c r="S543" s="10"/>
      <c r="T543" s="10"/>
      <c r="U543" s="10"/>
      <c r="V543" s="10"/>
      <c r="W543" s="10"/>
      <c r="X543" s="10"/>
      <c r="Y543" s="10"/>
      <c r="Z543" s="10"/>
      <c r="AA543" s="10"/>
    </row>
    <row r="544" spans="1:27" ht="14.45" customHeight="1">
      <c r="A544" s="10"/>
      <c r="B544" s="10"/>
      <c r="C544" s="187" t="s">
        <v>838</v>
      </c>
      <c r="D544" s="307">
        <v>0</v>
      </c>
      <c r="E544" s="326" t="s">
        <v>839</v>
      </c>
      <c r="F544" s="327"/>
      <c r="G544" s="327"/>
      <c r="H544" s="328"/>
      <c r="I544" s="306"/>
      <c r="J544" s="10"/>
      <c r="K544" s="10"/>
      <c r="L544" s="10"/>
      <c r="M544" s="10"/>
      <c r="N544" s="10"/>
      <c r="O544" s="10"/>
      <c r="P544" s="10"/>
      <c r="Q544" s="10"/>
      <c r="R544" s="10"/>
      <c r="S544" s="10"/>
      <c r="T544" s="10"/>
      <c r="U544" s="10"/>
      <c r="V544" s="10"/>
      <c r="W544" s="10"/>
      <c r="X544" s="10"/>
      <c r="Y544" s="10"/>
      <c r="Z544" s="10"/>
      <c r="AA544" s="10"/>
    </row>
    <row r="545" spans="1:27" ht="14.45" customHeight="1">
      <c r="A545" s="10"/>
      <c r="B545" s="10"/>
      <c r="C545" s="187" t="s">
        <v>840</v>
      </c>
      <c r="D545" s="307">
        <v>0</v>
      </c>
      <c r="E545" s="326" t="s">
        <v>841</v>
      </c>
      <c r="F545" s="327"/>
      <c r="G545" s="327"/>
      <c r="H545" s="328"/>
      <c r="I545" s="306"/>
      <c r="J545" s="10"/>
      <c r="K545" s="10"/>
      <c r="L545" s="10"/>
      <c r="M545" s="10"/>
      <c r="N545" s="10"/>
      <c r="O545" s="10"/>
      <c r="P545" s="10"/>
      <c r="Q545" s="10"/>
      <c r="R545" s="10"/>
      <c r="S545" s="10"/>
      <c r="T545" s="10"/>
      <c r="U545" s="10"/>
      <c r="V545" s="10"/>
      <c r="W545" s="10"/>
      <c r="X545" s="10"/>
      <c r="Y545" s="10"/>
      <c r="Z545" s="10"/>
      <c r="AA545" s="10"/>
    </row>
    <row r="546" spans="1:27" ht="14.45" customHeight="1">
      <c r="A546" s="10"/>
      <c r="B546" s="10"/>
      <c r="C546" s="187" t="s">
        <v>842</v>
      </c>
      <c r="D546" s="307">
        <v>2346</v>
      </c>
      <c r="E546" s="326" t="s">
        <v>843</v>
      </c>
      <c r="F546" s="327"/>
      <c r="G546" s="327"/>
      <c r="H546" s="328"/>
      <c r="I546" s="306"/>
      <c r="J546" s="10"/>
      <c r="K546" s="10"/>
      <c r="L546" s="10"/>
      <c r="M546" s="10"/>
      <c r="N546" s="10"/>
      <c r="O546" s="10"/>
      <c r="P546" s="10"/>
      <c r="Q546" s="10"/>
      <c r="R546" s="10"/>
      <c r="S546" s="10"/>
      <c r="T546" s="10"/>
      <c r="U546" s="10"/>
      <c r="V546" s="10"/>
      <c r="W546" s="10"/>
      <c r="X546" s="10"/>
      <c r="Y546" s="10"/>
      <c r="Z546" s="10"/>
      <c r="AA546" s="10"/>
    </row>
    <row r="547" spans="1:27" ht="14.45" customHeight="1">
      <c r="A547" s="10"/>
      <c r="B547" s="10"/>
      <c r="C547" s="187" t="s">
        <v>844</v>
      </c>
      <c r="D547" s="307">
        <v>3143</v>
      </c>
      <c r="E547" s="326" t="s">
        <v>845</v>
      </c>
      <c r="F547" s="327"/>
      <c r="G547" s="327"/>
      <c r="H547" s="328"/>
      <c r="I547" s="306"/>
      <c r="J547" s="10"/>
      <c r="K547" s="10"/>
      <c r="L547" s="10"/>
      <c r="M547" s="10"/>
      <c r="N547" s="10"/>
      <c r="O547" s="10"/>
      <c r="P547" s="10"/>
      <c r="Q547" s="10"/>
      <c r="R547" s="10"/>
      <c r="S547" s="10"/>
      <c r="T547" s="10"/>
      <c r="U547" s="10"/>
      <c r="V547" s="10"/>
      <c r="W547" s="10"/>
      <c r="X547" s="10"/>
      <c r="Y547" s="10"/>
      <c r="Z547" s="10"/>
      <c r="AA547" s="10"/>
    </row>
    <row r="548" spans="1:27" ht="14.45" customHeight="1">
      <c r="A548" s="10"/>
      <c r="B548" s="10"/>
      <c r="C548" s="187" t="s">
        <v>846</v>
      </c>
      <c r="D548" s="307">
        <v>2729</v>
      </c>
      <c r="E548" s="326" t="s">
        <v>847</v>
      </c>
      <c r="F548" s="327"/>
      <c r="G548" s="327"/>
      <c r="H548" s="328"/>
      <c r="I548" s="306"/>
      <c r="J548" s="10"/>
      <c r="K548" s="10"/>
      <c r="L548" s="10"/>
      <c r="M548" s="10"/>
      <c r="N548" s="10"/>
      <c r="O548" s="10"/>
      <c r="P548" s="10"/>
      <c r="Q548" s="10"/>
      <c r="R548" s="10"/>
      <c r="S548" s="10"/>
      <c r="T548" s="10"/>
      <c r="U548" s="10"/>
      <c r="V548" s="10"/>
      <c r="W548" s="10"/>
      <c r="X548" s="10"/>
      <c r="Y548" s="10"/>
      <c r="Z548" s="10"/>
      <c r="AA548" s="10"/>
    </row>
    <row r="549" spans="1:27" ht="14.45" customHeight="1">
      <c r="A549" s="10"/>
      <c r="B549" s="10"/>
      <c r="C549" s="187" t="s">
        <v>848</v>
      </c>
      <c r="D549" s="307">
        <v>2280</v>
      </c>
      <c r="E549" s="326" t="s">
        <v>849</v>
      </c>
      <c r="F549" s="327"/>
      <c r="G549" s="327"/>
      <c r="H549" s="328"/>
      <c r="I549" s="306"/>
      <c r="J549" s="10"/>
      <c r="K549" s="10"/>
      <c r="L549" s="10"/>
      <c r="M549" s="10"/>
      <c r="N549" s="10"/>
      <c r="O549" s="10"/>
      <c r="P549" s="10"/>
      <c r="Q549" s="10"/>
      <c r="R549" s="10"/>
      <c r="S549" s="10"/>
      <c r="T549" s="10"/>
      <c r="U549" s="10"/>
      <c r="V549" s="10"/>
      <c r="W549" s="10"/>
      <c r="X549" s="10"/>
      <c r="Y549" s="10"/>
      <c r="Z549" s="10"/>
      <c r="AA549" s="10"/>
    </row>
    <row r="550" spans="1:27" ht="14.45" customHeight="1">
      <c r="A550" s="10"/>
      <c r="B550" s="10"/>
      <c r="C550" s="187" t="s">
        <v>850</v>
      </c>
      <c r="D550" s="307">
        <v>2440</v>
      </c>
      <c r="E550" s="360" t="s">
        <v>851</v>
      </c>
      <c r="F550" s="327"/>
      <c r="G550" s="327"/>
      <c r="H550" s="328"/>
      <c r="I550" s="306"/>
      <c r="J550" s="10"/>
      <c r="K550" s="10"/>
      <c r="L550" s="10"/>
      <c r="M550" s="10"/>
      <c r="N550" s="10"/>
      <c r="O550" s="10"/>
      <c r="P550" s="10"/>
      <c r="Q550" s="10"/>
      <c r="R550" s="10"/>
      <c r="S550" s="10"/>
      <c r="T550" s="10"/>
      <c r="U550" s="10"/>
      <c r="V550" s="10"/>
      <c r="W550" s="10"/>
      <c r="X550" s="10"/>
      <c r="Y550" s="10"/>
      <c r="Z550" s="10"/>
      <c r="AA550" s="10"/>
    </row>
    <row r="551" spans="1:27" ht="14.45" customHeight="1">
      <c r="A551" s="10"/>
      <c r="B551" s="10"/>
      <c r="C551" s="187" t="s">
        <v>852</v>
      </c>
      <c r="D551" s="307">
        <v>1508</v>
      </c>
      <c r="E551" s="360" t="s">
        <v>853</v>
      </c>
      <c r="F551" s="327"/>
      <c r="G551" s="327"/>
      <c r="H551" s="328"/>
      <c r="I551" s="306"/>
      <c r="J551" s="10"/>
      <c r="K551" s="10"/>
      <c r="L551" s="10"/>
      <c r="M551" s="10"/>
      <c r="N551" s="10"/>
      <c r="O551" s="10"/>
      <c r="P551" s="10"/>
      <c r="Q551" s="10"/>
      <c r="R551" s="10"/>
      <c r="S551" s="10"/>
      <c r="T551" s="10"/>
      <c r="U551" s="10"/>
      <c r="V551" s="10"/>
      <c r="W551" s="10"/>
      <c r="X551" s="10"/>
      <c r="Y551" s="10"/>
      <c r="Z551" s="10"/>
      <c r="AA551" s="10"/>
    </row>
    <row r="552" spans="1:27" ht="14.45" customHeight="1">
      <c r="A552" s="10"/>
      <c r="B552" s="10"/>
      <c r="C552" s="187" t="s">
        <v>854</v>
      </c>
      <c r="D552" s="307">
        <v>3607</v>
      </c>
      <c r="E552" s="326" t="s">
        <v>855</v>
      </c>
      <c r="F552" s="327"/>
      <c r="G552" s="327"/>
      <c r="H552" s="328"/>
      <c r="I552" s="306"/>
      <c r="J552" s="10"/>
      <c r="K552" s="10"/>
      <c r="L552" s="10"/>
      <c r="M552" s="10"/>
      <c r="N552" s="10"/>
      <c r="O552" s="10"/>
      <c r="P552" s="10"/>
      <c r="Q552" s="10"/>
      <c r="R552" s="10"/>
      <c r="S552" s="10"/>
      <c r="T552" s="10"/>
      <c r="U552" s="10"/>
      <c r="V552" s="10"/>
      <c r="W552" s="10"/>
      <c r="X552" s="10"/>
      <c r="Y552" s="10"/>
      <c r="Z552" s="10"/>
      <c r="AA552" s="10"/>
    </row>
    <row r="553" spans="1:27" ht="14.45" customHeight="1">
      <c r="A553" s="10"/>
      <c r="B553" s="10"/>
      <c r="C553" s="187" t="s">
        <v>856</v>
      </c>
      <c r="D553" s="308">
        <v>3245</v>
      </c>
      <c r="E553" s="360" t="s">
        <v>857</v>
      </c>
      <c r="F553" s="327"/>
      <c r="G553" s="327"/>
      <c r="H553" s="328"/>
      <c r="I553" s="306"/>
      <c r="J553" s="10"/>
      <c r="K553" s="10"/>
      <c r="L553" s="10"/>
      <c r="M553" s="10"/>
      <c r="N553" s="10"/>
      <c r="O553" s="10"/>
      <c r="P553" s="10"/>
      <c r="Q553" s="10"/>
      <c r="R553" s="10"/>
      <c r="S553" s="10"/>
      <c r="T553" s="10"/>
      <c r="U553" s="10"/>
      <c r="V553" s="10"/>
      <c r="W553" s="10"/>
      <c r="X553" s="10"/>
      <c r="Y553" s="10"/>
      <c r="Z553" s="10"/>
      <c r="AA553" s="10"/>
    </row>
    <row r="554" spans="1:27" ht="14.45" customHeight="1">
      <c r="A554" s="10"/>
      <c r="B554" s="10"/>
      <c r="C554" s="309" t="s">
        <v>858</v>
      </c>
      <c r="D554" s="307">
        <v>32</v>
      </c>
      <c r="E554" s="326" t="s">
        <v>859</v>
      </c>
      <c r="F554" s="327"/>
      <c r="G554" s="327"/>
      <c r="H554" s="328"/>
      <c r="I554" s="306"/>
      <c r="J554" s="10"/>
      <c r="K554" s="10"/>
      <c r="L554" s="10"/>
      <c r="M554" s="10"/>
      <c r="N554" s="10"/>
      <c r="O554" s="10"/>
      <c r="P554" s="10"/>
      <c r="Q554" s="10"/>
      <c r="R554" s="10"/>
      <c r="S554" s="10"/>
      <c r="T554" s="10"/>
      <c r="U554" s="10"/>
      <c r="V554" s="10"/>
      <c r="W554" s="10"/>
      <c r="X554" s="10"/>
      <c r="Y554" s="10"/>
      <c r="Z554" s="10"/>
      <c r="AA554" s="10"/>
    </row>
    <row r="555" spans="1:27" ht="14.45" customHeight="1">
      <c r="A555" s="10"/>
      <c r="B555" s="10"/>
      <c r="C555" s="309" t="s">
        <v>860</v>
      </c>
      <c r="D555" s="307">
        <v>0</v>
      </c>
      <c r="E555" s="326" t="s">
        <v>861</v>
      </c>
      <c r="F555" s="327"/>
      <c r="G555" s="327"/>
      <c r="H555" s="328"/>
      <c r="I555" s="306"/>
      <c r="J555" s="10"/>
      <c r="K555" s="10"/>
      <c r="L555" s="10"/>
      <c r="M555" s="10"/>
      <c r="N555" s="10"/>
      <c r="O555" s="10"/>
      <c r="P555" s="10"/>
      <c r="Q555" s="10"/>
      <c r="R555" s="10"/>
      <c r="S555" s="10"/>
      <c r="T555" s="10"/>
      <c r="U555" s="10"/>
      <c r="V555" s="10"/>
      <c r="W555" s="10"/>
      <c r="X555" s="10"/>
      <c r="Y555" s="10"/>
      <c r="Z555" s="10"/>
      <c r="AA555" s="10"/>
    </row>
    <row r="556" spans="1:27" ht="14.45" customHeight="1">
      <c r="A556" s="10"/>
      <c r="B556" s="10"/>
      <c r="C556" s="309" t="s">
        <v>862</v>
      </c>
      <c r="D556" s="307">
        <v>325</v>
      </c>
      <c r="E556" s="326" t="s">
        <v>863</v>
      </c>
      <c r="F556" s="327"/>
      <c r="G556" s="327"/>
      <c r="H556" s="328"/>
      <c r="I556" s="306"/>
      <c r="J556" s="10"/>
      <c r="K556" s="10"/>
      <c r="L556" s="10"/>
      <c r="M556" s="10"/>
      <c r="N556" s="10"/>
      <c r="O556" s="10"/>
      <c r="P556" s="10"/>
      <c r="Q556" s="10"/>
      <c r="R556" s="10"/>
      <c r="S556" s="10"/>
      <c r="T556" s="10"/>
      <c r="U556" s="10"/>
      <c r="V556" s="10"/>
      <c r="W556" s="10"/>
      <c r="X556" s="10"/>
      <c r="Y556" s="10"/>
      <c r="Z556" s="10"/>
      <c r="AA556" s="10"/>
    </row>
    <row r="557" spans="1:27" ht="14.45" customHeight="1">
      <c r="A557" s="10"/>
      <c r="B557" s="10"/>
      <c r="C557" s="309" t="s">
        <v>864</v>
      </c>
      <c r="D557" s="307">
        <v>3985</v>
      </c>
      <c r="E557" s="326" t="s">
        <v>865</v>
      </c>
      <c r="F557" s="327"/>
      <c r="G557" s="327"/>
      <c r="H557" s="328"/>
      <c r="I557" s="306"/>
      <c r="J557" s="10"/>
      <c r="K557" s="10"/>
      <c r="L557" s="10"/>
      <c r="M557" s="10"/>
      <c r="N557" s="10"/>
      <c r="O557" s="10"/>
      <c r="P557" s="10"/>
      <c r="Q557" s="10"/>
      <c r="R557" s="10"/>
      <c r="S557" s="10"/>
      <c r="T557" s="10"/>
      <c r="U557" s="10"/>
      <c r="V557" s="10"/>
      <c r="W557" s="10"/>
      <c r="X557" s="10"/>
      <c r="Y557" s="10"/>
      <c r="Z557" s="10"/>
      <c r="AA557" s="10"/>
    </row>
    <row r="558" spans="1:27" ht="14.45" customHeight="1">
      <c r="A558" s="10"/>
      <c r="B558" s="10"/>
      <c r="C558" s="187" t="s">
        <v>866</v>
      </c>
      <c r="D558" s="307">
        <v>13214</v>
      </c>
      <c r="E558" s="326" t="s">
        <v>867</v>
      </c>
      <c r="F558" s="327"/>
      <c r="G558" s="327"/>
      <c r="H558" s="328"/>
      <c r="I558" s="306"/>
      <c r="J558" s="10"/>
      <c r="K558" s="10"/>
      <c r="L558" s="10"/>
      <c r="M558" s="10"/>
      <c r="N558" s="10"/>
      <c r="O558" s="10"/>
      <c r="P558" s="10"/>
      <c r="Q558" s="10"/>
      <c r="R558" s="10"/>
      <c r="S558" s="10"/>
      <c r="T558" s="10"/>
      <c r="U558" s="10"/>
      <c r="V558" s="10"/>
      <c r="W558" s="10"/>
      <c r="X558" s="10"/>
      <c r="Y558" s="10"/>
      <c r="Z558" s="10"/>
      <c r="AA558" s="10"/>
    </row>
    <row r="559" spans="1:27" ht="13.9" customHeight="1" thickBot="1">
      <c r="A559" s="10"/>
      <c r="B559" s="10"/>
      <c r="C559" s="237" t="s">
        <v>868</v>
      </c>
      <c r="D559" s="310">
        <v>13396</v>
      </c>
      <c r="E559" s="339" t="s">
        <v>869</v>
      </c>
      <c r="F559" s="340"/>
      <c r="G559" s="340"/>
      <c r="H559" s="341"/>
      <c r="I559" s="306"/>
      <c r="J559" s="10"/>
      <c r="K559" s="10"/>
      <c r="L559" s="10"/>
      <c r="M559" s="10"/>
      <c r="N559" s="10"/>
      <c r="O559" s="10"/>
      <c r="P559" s="10"/>
      <c r="Q559" s="10"/>
      <c r="R559" s="10"/>
      <c r="S559" s="10"/>
      <c r="T559" s="10"/>
      <c r="U559" s="10"/>
      <c r="V559" s="10"/>
      <c r="W559" s="10"/>
      <c r="X559" s="10"/>
      <c r="Y559" s="10"/>
      <c r="Z559" s="10"/>
      <c r="AA559" s="10"/>
    </row>
    <row r="560" spans="1:27" s="317" customFormat="1" ht="41.25" customHeight="1">
      <c r="A560" s="25"/>
      <c r="B560" s="88"/>
      <c r="C560" s="331" t="s">
        <v>870</v>
      </c>
      <c r="D560" s="357"/>
      <c r="E560" s="357"/>
      <c r="F560" s="357"/>
      <c r="G560" s="357"/>
      <c r="H560" s="357"/>
      <c r="I560" s="357"/>
      <c r="J560" s="357"/>
      <c r="K560" s="357"/>
      <c r="L560" s="25"/>
      <c r="M560" s="73"/>
      <c r="N560" s="25"/>
      <c r="O560" s="25"/>
      <c r="P560" s="25"/>
      <c r="Q560" s="25"/>
      <c r="R560" s="25"/>
      <c r="S560" s="25"/>
      <c r="T560" s="25"/>
      <c r="U560" s="25"/>
      <c r="V560" s="25"/>
      <c r="W560" s="25"/>
      <c r="X560" s="25"/>
      <c r="Y560" s="25"/>
      <c r="Z560" s="25"/>
      <c r="AA560" s="25"/>
    </row>
  </sheetData>
  <mergeCells count="95">
    <mergeCell ref="E546:H546"/>
    <mergeCell ref="E540:H540"/>
    <mergeCell ref="C396:K396"/>
    <mergeCell ref="E530:H530"/>
    <mergeCell ref="C341:I341"/>
    <mergeCell ref="E539:H539"/>
    <mergeCell ref="C398:K398"/>
    <mergeCell ref="B2:L2"/>
    <mergeCell ref="C301:C304"/>
    <mergeCell ref="C219:C220"/>
    <mergeCell ref="C461:L461"/>
    <mergeCell ref="C272:C275"/>
    <mergeCell ref="C306:L306"/>
    <mergeCell ref="D229:D231"/>
    <mergeCell ref="C226:C228"/>
    <mergeCell ref="C284:C287"/>
    <mergeCell ref="C385:L385"/>
    <mergeCell ref="C239:C243"/>
    <mergeCell ref="C5:L5"/>
    <mergeCell ref="C232:C233"/>
    <mergeCell ref="D310:F310"/>
    <mergeCell ref="C560:K560"/>
    <mergeCell ref="E552:H552"/>
    <mergeCell ref="E535:H535"/>
    <mergeCell ref="G310:I310"/>
    <mergeCell ref="E537:H537"/>
    <mergeCell ref="C380:K380"/>
    <mergeCell ref="B381:L381"/>
    <mergeCell ref="E554:H554"/>
    <mergeCell ref="E541:H541"/>
    <mergeCell ref="E550:H550"/>
    <mergeCell ref="C462:L462"/>
    <mergeCell ref="E555:H555"/>
    <mergeCell ref="E549:H549"/>
    <mergeCell ref="E527:H527"/>
    <mergeCell ref="E536:H536"/>
    <mergeCell ref="G501:M501"/>
    <mergeCell ref="E559:H559"/>
    <mergeCell ref="G493:M493"/>
    <mergeCell ref="C109:K109"/>
    <mergeCell ref="B482:L482"/>
    <mergeCell ref="E548:H548"/>
    <mergeCell ref="C395:L395"/>
    <mergeCell ref="D226:D228"/>
    <mergeCell ref="C265:C268"/>
    <mergeCell ref="E547:H547"/>
    <mergeCell ref="B382:L382"/>
    <mergeCell ref="C519:L519"/>
    <mergeCell ref="E531:H531"/>
    <mergeCell ref="C342:I342"/>
    <mergeCell ref="C298:C300"/>
    <mergeCell ref="C288:C290"/>
    <mergeCell ref="E524:H524"/>
    <mergeCell ref="E558:H558"/>
    <mergeCell ref="C291:C294"/>
    <mergeCell ref="C111:K111"/>
    <mergeCell ref="C244:C247"/>
    <mergeCell ref="C278:C281"/>
    <mergeCell ref="E529:H529"/>
    <mergeCell ref="E544:H544"/>
    <mergeCell ref="C295:C297"/>
    <mergeCell ref="E533:H533"/>
    <mergeCell ref="C282:C283"/>
    <mergeCell ref="D399:I399"/>
    <mergeCell ref="C465:K465"/>
    <mergeCell ref="E534:H534"/>
    <mergeCell ref="E525:H525"/>
    <mergeCell ref="C234:C238"/>
    <mergeCell ref="D232:D233"/>
    <mergeCell ref="E557:H557"/>
    <mergeCell ref="C276:C277"/>
    <mergeCell ref="E556:H556"/>
    <mergeCell ref="E542:H542"/>
    <mergeCell ref="C229:C231"/>
    <mergeCell ref="C394:L394"/>
    <mergeCell ref="E551:H551"/>
    <mergeCell ref="C270:C271"/>
    <mergeCell ref="E526:H526"/>
    <mergeCell ref="E553:H553"/>
    <mergeCell ref="E528:H528"/>
    <mergeCell ref="C480:L480"/>
    <mergeCell ref="E543:H543"/>
    <mergeCell ref="G502:M502"/>
    <mergeCell ref="E545:H545"/>
    <mergeCell ref="E538:H538"/>
    <mergeCell ref="E523:H523"/>
    <mergeCell ref="C254:C259"/>
    <mergeCell ref="E532:H532"/>
    <mergeCell ref="C248:C253"/>
    <mergeCell ref="D10:H10"/>
    <mergeCell ref="C93:K93"/>
    <mergeCell ref="C464:G464"/>
    <mergeCell ref="C479:L479"/>
    <mergeCell ref="C91:K91"/>
    <mergeCell ref="G494:M494"/>
  </mergeCells>
  <hyperlinks>
    <hyperlink ref="C92" r:id="rId1" location="ap40.23.98_19.1" xr:uid="{00000000-0004-0000-0C00-000000000000}"/>
    <hyperlink ref="C110" r:id="rId2" location="ap40.23.98_19.1" xr:uid="{00000000-0004-0000-0C00-000001000000}"/>
  </hyperlinks>
  <printOptions horizontalCentered="1"/>
  <pageMargins left="0" right="0" top="0.4" bottom="0.4" header="0.2" footer="0.2"/>
  <pageSetup scale="42" fitToHeight="7" orientation="portrait" cellComments="atEnd" verticalDpi="4294967292"/>
  <headerFooter differentFirst="1" alignWithMargins="0">
    <oddHeader>&amp;L&amp;"Verdana,Bold"&amp;11 &amp;KFF0000Red text indicates an update 
from the 2021 version of this document.&amp;CEmission Factors for Greenhouse Gas Inventories
Last Modified: 01 April 2022</oddHeader>
    <oddFooter>&amp;L&amp;C&amp;R</oddFooter>
  </headerFooter>
  <rowBreaks count="6" manualBreakCount="6">
    <brk id="94" max="11" man="1"/>
    <brk id="222" max="11" man="1"/>
    <brk id="307" max="11" man="1"/>
    <brk id="380" max="11" man="1"/>
    <brk id="395" max="11" man="1"/>
    <brk id="481" max="11" man="1"/>
  </rowBreaks>
  <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C21"/>
  <sheetViews>
    <sheetView workbookViewId="0">
      <selection activeCell="G20" sqref="G20"/>
    </sheetView>
  </sheetViews>
  <sheetFormatPr defaultRowHeight="15"/>
  <cols>
    <col min="2" max="2" width="33.140625" bestFit="1" customWidth="1"/>
    <col min="3" max="3" width="27.7109375" bestFit="1" customWidth="1"/>
  </cols>
  <sheetData>
    <row r="1" spans="2:3">
      <c r="B1" t="s">
        <v>871</v>
      </c>
      <c r="C1" t="s">
        <v>872</v>
      </c>
    </row>
    <row r="2" spans="2:3">
      <c r="B2" t="s">
        <v>213</v>
      </c>
      <c r="C2" t="s">
        <v>459</v>
      </c>
    </row>
    <row r="3" spans="2:3">
      <c r="B3" t="s">
        <v>133</v>
      </c>
      <c r="C3" t="s">
        <v>468</v>
      </c>
    </row>
    <row r="4" spans="2:3">
      <c r="B4" t="s">
        <v>110</v>
      </c>
      <c r="C4" t="s">
        <v>223</v>
      </c>
    </row>
    <row r="5" spans="2:3">
      <c r="B5" t="s">
        <v>126</v>
      </c>
      <c r="C5" t="s">
        <v>439</v>
      </c>
    </row>
    <row r="6" spans="2:3">
      <c r="B6" t="s">
        <v>220</v>
      </c>
      <c r="C6" t="s">
        <v>220</v>
      </c>
    </row>
    <row r="7" spans="2:3">
      <c r="B7" t="s">
        <v>873</v>
      </c>
      <c r="C7" t="s">
        <v>426</v>
      </c>
    </row>
    <row r="8" spans="2:3">
      <c r="B8" t="s">
        <v>153</v>
      </c>
    </row>
    <row r="9" spans="2:3">
      <c r="B9" t="s">
        <v>106</v>
      </c>
    </row>
    <row r="10" spans="2:3">
      <c r="B10" t="s">
        <v>140</v>
      </c>
      <c r="C10" t="s">
        <v>409</v>
      </c>
    </row>
    <row r="11" spans="2:3">
      <c r="B11" t="s">
        <v>270</v>
      </c>
      <c r="C11" t="s">
        <v>419</v>
      </c>
    </row>
    <row r="12" spans="2:3">
      <c r="B12" t="s">
        <v>244</v>
      </c>
      <c r="C12" t="s">
        <v>289</v>
      </c>
    </row>
    <row r="13" spans="2:3">
      <c r="B13" t="s">
        <v>285</v>
      </c>
      <c r="C13" t="s">
        <v>474</v>
      </c>
    </row>
    <row r="14" spans="2:3">
      <c r="B14" t="s">
        <v>237</v>
      </c>
      <c r="C14" t="s">
        <v>451</v>
      </c>
    </row>
    <row r="15" spans="2:3">
      <c r="B15" t="s">
        <v>148</v>
      </c>
      <c r="C15" t="s">
        <v>418</v>
      </c>
    </row>
    <row r="16" spans="2:3">
      <c r="B16" t="s">
        <v>303</v>
      </c>
      <c r="C16" t="s">
        <v>473</v>
      </c>
    </row>
    <row r="17" spans="2:3">
      <c r="B17" t="s">
        <v>305</v>
      </c>
      <c r="C17" t="s">
        <v>473</v>
      </c>
    </row>
    <row r="18" spans="2:3">
      <c r="B18" t="s">
        <v>309</v>
      </c>
      <c r="C18" t="s">
        <v>223</v>
      </c>
    </row>
    <row r="19" spans="2:3">
      <c r="B19" t="s">
        <v>291</v>
      </c>
      <c r="C19" t="s">
        <v>446</v>
      </c>
    </row>
    <row r="20" spans="2:3">
      <c r="B20" t="s">
        <v>295</v>
      </c>
      <c r="C20" t="s">
        <v>458</v>
      </c>
    </row>
    <row r="21" spans="2:3">
      <c r="B21" t="s">
        <v>298</v>
      </c>
      <c r="C21" t="s">
        <v>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&gt;&gt; City Data</vt:lpstr>
      <vt:lpstr>City characteristics</vt:lpstr>
      <vt:lpstr>&gt;&gt; GC RESID</vt:lpstr>
      <vt:lpstr>ELC RESID</vt:lpstr>
      <vt:lpstr>&gt;&gt; GC TECH</vt:lpstr>
      <vt:lpstr>ENE TECH</vt:lpstr>
      <vt:lpstr>&gt;&gt; TIMES</vt:lpstr>
      <vt:lpstr>GHG_IPCC</vt:lpstr>
      <vt:lpstr>GHG_IMP</vt:lpstr>
      <vt:lpstr>&gt;&gt; Parameters</vt:lpstr>
      <vt:lpstr>Parameters</vt:lpstr>
      <vt:lpstr>Emission Factors Hub</vt:lpstr>
      <vt:lpstr>Mapping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esmia</dc:creator>
  <cp:lastModifiedBy>Carroll, Zane</cp:lastModifiedBy>
  <dcterms:created xsi:type="dcterms:W3CDTF">2015-06-05T18:17:20Z</dcterms:created>
  <dcterms:modified xsi:type="dcterms:W3CDTF">2025-04-08T18:33:02Z</dcterms:modified>
</cp:coreProperties>
</file>
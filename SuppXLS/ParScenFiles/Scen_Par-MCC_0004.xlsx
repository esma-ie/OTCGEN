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_models\COMET_Generative_NYC\SuppXLS\ParScenFiles\"/>
    </mc:Choice>
  </mc:AlternateContent>
  <xr:revisionPtr revIDLastSave="0" documentId="8_{EA465567-EACB-456C-8686-A3C428E97824}" xr6:coauthVersionLast="47" xr6:coauthVersionMax="47" xr10:uidLastSave="{00000000-0000-0000-0000-000000000000}"/>
  <bookViews>
    <workbookView xWindow="-120" yWindow="-120" windowWidth="25440" windowHeight="15270" activeTab="5" xr2:uid="{00000000-000D-0000-FFFF-FFFF00000000}"/>
  </bookViews>
  <sheets>
    <sheet name="Control" sheetId="1" r:id="rId1"/>
    <sheet name="CITY" sheetId="2" r:id="rId2"/>
    <sheet name="EGRID" sheetId="3" r:id="rId3"/>
    <sheet name="&gt;&gt;&gt; Data" sheetId="4" r:id="rId4"/>
    <sheet name="REF" sheetId="5" r:id="rId5"/>
    <sheet name="NZ5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" i="6" l="1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I8" i="6" s="1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I6" i="6" s="1"/>
  <c r="V6" i="6" s="1"/>
  <c r="AG8" i="3"/>
  <c r="AF8" i="3"/>
  <c r="AE8" i="3"/>
  <c r="AA8" i="3"/>
  <c r="T8" i="3"/>
  <c r="Q8" i="3"/>
  <c r="O8" i="3"/>
  <c r="AH4" i="3"/>
  <c r="AG4" i="3"/>
  <c r="AF4" i="3"/>
  <c r="AE4" i="3"/>
  <c r="AD4" i="3"/>
  <c r="AC4" i="3"/>
  <c r="AC8" i="3" s="1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AB8" i="2"/>
  <c r="AA8" i="2"/>
  <c r="Y8" i="2"/>
  <c r="S8" i="2"/>
  <c r="O8" i="2"/>
  <c r="X5" i="2"/>
  <c r="K5" i="2"/>
  <c r="AH4" i="2"/>
  <c r="AG4" i="2"/>
  <c r="AF4" i="2"/>
  <c r="AF8" i="2" s="1"/>
  <c r="AE4" i="2"/>
  <c r="AD4" i="2"/>
  <c r="AC4" i="2"/>
  <c r="AB4" i="2"/>
  <c r="AA4" i="2"/>
  <c r="Z4" i="2"/>
  <c r="Z8" i="2" s="1"/>
  <c r="Y4" i="2"/>
  <c r="X4" i="2"/>
  <c r="X41" i="2" s="1"/>
  <c r="X42" i="2" s="1"/>
  <c r="W4" i="2"/>
  <c r="W8" i="2" s="1"/>
  <c r="V4" i="2"/>
  <c r="V8" i="2" s="1"/>
  <c r="U4" i="2"/>
  <c r="T4" i="2"/>
  <c r="T8" i="2" s="1"/>
  <c r="S4" i="2"/>
  <c r="R4" i="2"/>
  <c r="Q4" i="2"/>
  <c r="P4" i="2"/>
  <c r="O4" i="2"/>
  <c r="N4" i="2"/>
  <c r="N8" i="2" s="1"/>
  <c r="M4" i="2"/>
  <c r="L4" i="2"/>
  <c r="K4" i="2"/>
  <c r="K41" i="2" s="1"/>
  <c r="K42" i="2" s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O8" i="1"/>
  <c r="A8" i="1"/>
  <c r="D5" i="1"/>
  <c r="A1" i="3" s="1"/>
  <c r="C5" i="1"/>
  <c r="A1" i="2" s="1"/>
  <c r="F22" i="2" l="1"/>
  <c r="B10" i="2"/>
  <c r="R41" i="2"/>
  <c r="R42" i="2" s="1"/>
  <c r="AH8" i="2"/>
  <c r="P8" i="3"/>
  <c r="AB8" i="3"/>
  <c r="Q8" i="2"/>
  <c r="AC8" i="2"/>
  <c r="R8" i="3"/>
  <c r="AD8" i="3"/>
  <c r="B10" i="3"/>
  <c r="P8" i="2"/>
  <c r="R8" i="2"/>
  <c r="S8" i="3"/>
  <c r="U8" i="2"/>
  <c r="V41" i="2"/>
  <c r="V42" i="2" s="1"/>
  <c r="V9" i="2" s="1"/>
  <c r="V10" i="2" s="1"/>
  <c r="W9" i="2"/>
  <c r="W10" i="2" s="1"/>
  <c r="W11" i="2" s="1"/>
  <c r="W12" i="2" s="1"/>
  <c r="W13" i="2" s="1"/>
  <c r="W14" i="2" s="1"/>
  <c r="W15" i="2" s="1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AD8" i="2"/>
  <c r="M8" i="2"/>
  <c r="AE8" i="2"/>
  <c r="AG8" i="2"/>
  <c r="T6" i="6"/>
  <c r="V5" i="2" s="1"/>
  <c r="S6" i="6"/>
  <c r="U5" i="2" s="1"/>
  <c r="U41" i="2" s="1"/>
  <c r="U42" i="2" s="1"/>
  <c r="R6" i="6"/>
  <c r="T5" i="2" s="1"/>
  <c r="T41" i="2" s="1"/>
  <c r="T42" i="2" s="1"/>
  <c r="T9" i="2" s="1"/>
  <c r="T10" i="2" s="1"/>
  <c r="Q6" i="6"/>
  <c r="S5" i="2" s="1"/>
  <c r="S41" i="2" s="1"/>
  <c r="S42" i="2" s="1"/>
  <c r="S9" i="2" s="1"/>
  <c r="S10" i="2" s="1"/>
  <c r="P6" i="6"/>
  <c r="R5" i="2" s="1"/>
  <c r="O6" i="6"/>
  <c r="Q5" i="2" s="1"/>
  <c r="Q41" i="2" s="1"/>
  <c r="Q42" i="2" s="1"/>
  <c r="N6" i="6"/>
  <c r="P5" i="2" s="1"/>
  <c r="P41" i="2" s="1"/>
  <c r="P42" i="2" s="1"/>
  <c r="M6" i="6"/>
  <c r="O5" i="2" s="1"/>
  <c r="O41" i="2" s="1"/>
  <c r="O42" i="2" s="1"/>
  <c r="O9" i="2" s="1"/>
  <c r="O10" i="2" s="1"/>
  <c r="L6" i="6"/>
  <c r="N5" i="2" s="1"/>
  <c r="N41" i="2" s="1"/>
  <c r="N42" i="2" s="1"/>
  <c r="N9" i="2" s="1"/>
  <c r="N10" i="2" s="1"/>
  <c r="W6" i="6"/>
  <c r="K6" i="6"/>
  <c r="M5" i="2" s="1"/>
  <c r="M41" i="2" s="1"/>
  <c r="M42" i="2" s="1"/>
  <c r="J6" i="6"/>
  <c r="L5" i="2" s="1"/>
  <c r="U6" i="6"/>
  <c r="W5" i="2" s="1"/>
  <c r="V8" i="6"/>
  <c r="K5" i="3"/>
  <c r="K8" i="2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W41" i="2"/>
  <c r="W42" i="2" s="1"/>
  <c r="L41" i="2"/>
  <c r="L42" i="2" s="1"/>
  <c r="L8" i="2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X8" i="2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L8" i="3"/>
  <c r="U8" i="3"/>
  <c r="K41" i="3"/>
  <c r="K42" i="3" s="1"/>
  <c r="X8" i="3"/>
  <c r="K8" i="3"/>
  <c r="W8" i="3"/>
  <c r="M8" i="3"/>
  <c r="Y8" i="3"/>
  <c r="N8" i="3"/>
  <c r="Z8" i="3"/>
  <c r="V8" i="3"/>
  <c r="AH8" i="3"/>
  <c r="T11" i="2" l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34" i="2" s="1"/>
  <c r="T35" i="2" s="1"/>
  <c r="T36" i="2" s="1"/>
  <c r="T37" i="2" s="1"/>
  <c r="F18" i="2"/>
  <c r="N11" i="2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F12" i="2"/>
  <c r="O11" i="2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F13" i="2"/>
  <c r="V11" i="2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F20" i="2"/>
  <c r="S11" i="2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F17" i="2"/>
  <c r="T8" i="6"/>
  <c r="V5" i="3" s="1"/>
  <c r="V41" i="3" s="1"/>
  <c r="V42" i="3" s="1"/>
  <c r="S8" i="6"/>
  <c r="U5" i="3" s="1"/>
  <c r="U41" i="3" s="1"/>
  <c r="U42" i="3" s="1"/>
  <c r="U9" i="3" s="1"/>
  <c r="U10" i="3" s="1"/>
  <c r="R8" i="6"/>
  <c r="T5" i="3" s="1"/>
  <c r="T41" i="3" s="1"/>
  <c r="T42" i="3" s="1"/>
  <c r="T9" i="3" s="1"/>
  <c r="T10" i="3" s="1"/>
  <c r="Q8" i="6"/>
  <c r="S5" i="3" s="1"/>
  <c r="S41" i="3" s="1"/>
  <c r="S42" i="3" s="1"/>
  <c r="P8" i="6"/>
  <c r="R5" i="3" s="1"/>
  <c r="R41" i="3" s="1"/>
  <c r="R42" i="3" s="1"/>
  <c r="O8" i="6"/>
  <c r="Q5" i="3" s="1"/>
  <c r="Q41" i="3" s="1"/>
  <c r="Q42" i="3" s="1"/>
  <c r="Q9" i="3" s="1"/>
  <c r="Q10" i="3" s="1"/>
  <c r="N8" i="6"/>
  <c r="P5" i="3" s="1"/>
  <c r="P41" i="3" s="1"/>
  <c r="P42" i="3" s="1"/>
  <c r="P9" i="3" s="1"/>
  <c r="P10" i="3" s="1"/>
  <c r="M8" i="6"/>
  <c r="O5" i="3" s="1"/>
  <c r="O41" i="3" s="1"/>
  <c r="O42" i="3" s="1"/>
  <c r="O9" i="3" s="1"/>
  <c r="O10" i="3" s="1"/>
  <c r="L8" i="6"/>
  <c r="N5" i="3" s="1"/>
  <c r="N41" i="3" s="1"/>
  <c r="N42" i="3" s="1"/>
  <c r="W8" i="6"/>
  <c r="K8" i="6"/>
  <c r="M5" i="3" s="1"/>
  <c r="M41" i="3" s="1"/>
  <c r="M42" i="3" s="1"/>
  <c r="M9" i="3" s="1"/>
  <c r="M10" i="3" s="1"/>
  <c r="J8" i="6"/>
  <c r="L5" i="3" s="1"/>
  <c r="L41" i="3" s="1"/>
  <c r="L42" i="3" s="1"/>
  <c r="L9" i="3" s="1"/>
  <c r="L10" i="3" s="1"/>
  <c r="U8" i="6"/>
  <c r="W5" i="3" s="1"/>
  <c r="W41" i="3" s="1"/>
  <c r="W42" i="3" s="1"/>
  <c r="X5" i="3"/>
  <c r="X41" i="3" s="1"/>
  <c r="X42" i="3" s="1"/>
  <c r="X9" i="3" s="1"/>
  <c r="X10" i="3" s="1"/>
  <c r="S9" i="3"/>
  <c r="S10" i="3" s="1"/>
  <c r="R9" i="2"/>
  <c r="R10" i="2" s="1"/>
  <c r="Q9" i="2"/>
  <c r="Q10" i="2" s="1"/>
  <c r="V9" i="3"/>
  <c r="V10" i="3" s="1"/>
  <c r="X6" i="6"/>
  <c r="Y5" i="2"/>
  <c r="Y41" i="2" s="1"/>
  <c r="Y42" i="2" s="1"/>
  <c r="Y9" i="2" s="1"/>
  <c r="Y10" i="2" s="1"/>
  <c r="P9" i="2"/>
  <c r="P10" i="2" s="1"/>
  <c r="U9" i="2"/>
  <c r="U10" i="2" s="1"/>
  <c r="F21" i="2"/>
  <c r="F10" i="2"/>
  <c r="N9" i="3"/>
  <c r="N10" i="3" s="1"/>
  <c r="M9" i="2"/>
  <c r="M10" i="2" s="1"/>
  <c r="W9" i="3"/>
  <c r="W10" i="3" s="1"/>
  <c r="R9" i="3"/>
  <c r="R10" i="3" s="1"/>
  <c r="K9" i="3"/>
  <c r="K10" i="3" s="1"/>
  <c r="K11" i="3" s="1"/>
  <c r="K12" i="3" s="1"/>
  <c r="K13" i="3" s="1"/>
  <c r="K14" i="3" s="1"/>
  <c r="K15" i="3" s="1"/>
  <c r="K16" i="3" s="1"/>
  <c r="K17" i="3" s="1"/>
  <c r="K18" i="3" s="1"/>
  <c r="K19" i="3" s="1"/>
  <c r="K20" i="3" s="1"/>
  <c r="K21" i="3" s="1"/>
  <c r="K22" i="3" s="1"/>
  <c r="K23" i="3" s="1"/>
  <c r="K24" i="3" s="1"/>
  <c r="K25" i="3" s="1"/>
  <c r="K26" i="3" s="1"/>
  <c r="K27" i="3" s="1"/>
  <c r="K28" i="3" s="1"/>
  <c r="K29" i="3" s="1"/>
  <c r="K30" i="3" s="1"/>
  <c r="K31" i="3" s="1"/>
  <c r="K32" i="3" s="1"/>
  <c r="K33" i="3" s="1"/>
  <c r="K34" i="3" s="1"/>
  <c r="K35" i="3" s="1"/>
  <c r="K36" i="3" s="1"/>
  <c r="K37" i="3" s="1"/>
  <c r="X11" i="3" l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F22" i="3"/>
  <c r="M11" i="3"/>
  <c r="M12" i="3" s="1"/>
  <c r="M13" i="3" s="1"/>
  <c r="M14" i="3" s="1"/>
  <c r="M15" i="3" s="1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M35" i="3" s="1"/>
  <c r="M36" i="3" s="1"/>
  <c r="M37" i="3" s="1"/>
  <c r="F11" i="3"/>
  <c r="L11" i="3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F10" i="3"/>
  <c r="U11" i="3"/>
  <c r="U12" i="3" s="1"/>
  <c r="U13" i="3" s="1"/>
  <c r="U14" i="3" s="1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F19" i="3"/>
  <c r="P11" i="3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F14" i="3"/>
  <c r="O11" i="3"/>
  <c r="O12" i="3" s="1"/>
  <c r="O13" i="3" s="1"/>
  <c r="O14" i="3" s="1"/>
  <c r="O15" i="3" s="1"/>
  <c r="O16" i="3" s="1"/>
  <c r="O17" i="3" s="1"/>
  <c r="O18" i="3" s="1"/>
  <c r="O19" i="3" s="1"/>
  <c r="O20" i="3" s="1"/>
  <c r="O21" i="3" s="1"/>
  <c r="O22" i="3" s="1"/>
  <c r="O23" i="3" s="1"/>
  <c r="O24" i="3" s="1"/>
  <c r="O25" i="3" s="1"/>
  <c r="O26" i="3" s="1"/>
  <c r="O27" i="3" s="1"/>
  <c r="O28" i="3" s="1"/>
  <c r="O29" i="3" s="1"/>
  <c r="O30" i="3" s="1"/>
  <c r="O31" i="3" s="1"/>
  <c r="O32" i="3" s="1"/>
  <c r="O33" i="3" s="1"/>
  <c r="O34" i="3" s="1"/>
  <c r="O35" i="3" s="1"/>
  <c r="O36" i="3" s="1"/>
  <c r="O37" i="3" s="1"/>
  <c r="F13" i="3"/>
  <c r="Y6" i="6"/>
  <c r="Z5" i="2"/>
  <c r="Z41" i="2" s="1"/>
  <c r="Z42" i="2" s="1"/>
  <c r="Z9" i="2" s="1"/>
  <c r="Z10" i="2" s="1"/>
  <c r="W11" i="3"/>
  <c r="W12" i="3" s="1"/>
  <c r="W13" i="3" s="1"/>
  <c r="W14" i="3" s="1"/>
  <c r="W15" i="3" s="1"/>
  <c r="W16" i="3" s="1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F21" i="3"/>
  <c r="P11" i="2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F14" i="2"/>
  <c r="N11" i="3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N32" i="3" s="1"/>
  <c r="N33" i="3" s="1"/>
  <c r="N34" i="3" s="1"/>
  <c r="N35" i="3" s="1"/>
  <c r="N36" i="3" s="1"/>
  <c r="N37" i="3" s="1"/>
  <c r="F12" i="3"/>
  <c r="V11" i="3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F20" i="3"/>
  <c r="Q11" i="2"/>
  <c r="Q12" i="2" s="1"/>
  <c r="Q13" i="2" s="1"/>
  <c r="Q14" i="2" s="1"/>
  <c r="Q15" i="2" s="1"/>
  <c r="Q16" i="2" s="1"/>
  <c r="Q17" i="2" s="1"/>
  <c r="Q18" i="2" s="1"/>
  <c r="Q19" i="2" s="1"/>
  <c r="Q20" i="2" s="1"/>
  <c r="Q21" i="2" s="1"/>
  <c r="Q22" i="2" s="1"/>
  <c r="Q23" i="2" s="1"/>
  <c r="Q24" i="2" s="1"/>
  <c r="Q25" i="2" s="1"/>
  <c r="Q26" i="2" s="1"/>
  <c r="Q27" i="2" s="1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F15" i="2"/>
  <c r="R11" i="2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F16" i="2"/>
  <c r="Q11" i="3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F15" i="3"/>
  <c r="U11" i="2"/>
  <c r="U12" i="2" s="1"/>
  <c r="U13" i="2" s="1"/>
  <c r="U14" i="2" s="1"/>
  <c r="U15" i="2" s="1"/>
  <c r="U16" i="2" s="1"/>
  <c r="U17" i="2" s="1"/>
  <c r="U18" i="2" s="1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F19" i="2"/>
  <c r="T11" i="3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F18" i="3"/>
  <c r="S11" i="3"/>
  <c r="S12" i="3" s="1"/>
  <c r="S13" i="3" s="1"/>
  <c r="S14" i="3" s="1"/>
  <c r="S15" i="3" s="1"/>
  <c r="S16" i="3" s="1"/>
  <c r="S17" i="3" s="1"/>
  <c r="S18" i="3" s="1"/>
  <c r="S19" i="3" s="1"/>
  <c r="S20" i="3" s="1"/>
  <c r="S21" i="3" s="1"/>
  <c r="S22" i="3" s="1"/>
  <c r="S23" i="3" s="1"/>
  <c r="S24" i="3" s="1"/>
  <c r="S25" i="3" s="1"/>
  <c r="S26" i="3" s="1"/>
  <c r="S27" i="3" s="1"/>
  <c r="S28" i="3" s="1"/>
  <c r="S29" i="3" s="1"/>
  <c r="S30" i="3" s="1"/>
  <c r="S31" i="3" s="1"/>
  <c r="S32" i="3" s="1"/>
  <c r="S33" i="3" s="1"/>
  <c r="S34" i="3" s="1"/>
  <c r="S35" i="3" s="1"/>
  <c r="S36" i="3" s="1"/>
  <c r="S37" i="3" s="1"/>
  <c r="F17" i="3"/>
  <c r="R11" i="3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F16" i="3"/>
  <c r="M11" i="2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F11" i="2"/>
  <c r="Y11" i="2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F23" i="2"/>
  <c r="X8" i="6"/>
  <c r="Y5" i="3"/>
  <c r="Y41" i="3" s="1"/>
  <c r="Y42" i="3" s="1"/>
  <c r="Y9" i="3" s="1"/>
  <c r="Y10" i="3" s="1"/>
  <c r="Y8" i="6" l="1"/>
  <c r="Z5" i="3"/>
  <c r="Z41" i="3" s="1"/>
  <c r="Z42" i="3" s="1"/>
  <c r="Z9" i="3" s="1"/>
  <c r="Z10" i="3" s="1"/>
  <c r="Z11" i="2"/>
  <c r="Z12" i="2" s="1"/>
  <c r="Z13" i="2" s="1"/>
  <c r="Z14" i="2" s="1"/>
  <c r="Z15" i="2" s="1"/>
  <c r="Z16" i="2" s="1"/>
  <c r="Z17" i="2" s="1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Z32" i="2" s="1"/>
  <c r="Z33" i="2" s="1"/>
  <c r="Z34" i="2" s="1"/>
  <c r="Z35" i="2" s="1"/>
  <c r="Z36" i="2" s="1"/>
  <c r="Z37" i="2" s="1"/>
  <c r="F24" i="2"/>
  <c r="Y11" i="3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F23" i="3"/>
  <c r="Z6" i="6"/>
  <c r="AA5" i="2"/>
  <c r="AA41" i="2" s="1"/>
  <c r="AA42" i="2" s="1"/>
  <c r="AA9" i="2" s="1"/>
  <c r="AA10" i="2" s="1"/>
  <c r="AA11" i="2" l="1"/>
  <c r="AA12" i="2" s="1"/>
  <c r="AA13" i="2" s="1"/>
  <c r="AA14" i="2" s="1"/>
  <c r="AA15" i="2" s="1"/>
  <c r="AA16" i="2" s="1"/>
  <c r="AA17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A35" i="2" s="1"/>
  <c r="AA36" i="2" s="1"/>
  <c r="AA37" i="2" s="1"/>
  <c r="F25" i="2"/>
  <c r="AA6" i="6"/>
  <c r="AB5" i="2"/>
  <c r="AB41" i="2" s="1"/>
  <c r="AB42" i="2" s="1"/>
  <c r="AB9" i="2" s="1"/>
  <c r="AB10" i="2" s="1"/>
  <c r="Z11" i="3"/>
  <c r="Z12" i="3" s="1"/>
  <c r="Z13" i="3" s="1"/>
  <c r="Z14" i="3" s="1"/>
  <c r="Z15" i="3" s="1"/>
  <c r="Z16" i="3" s="1"/>
  <c r="Z17" i="3" s="1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F24" i="3"/>
  <c r="Z8" i="6"/>
  <c r="AA5" i="3"/>
  <c r="AA41" i="3" s="1"/>
  <c r="AA42" i="3" s="1"/>
  <c r="AA9" i="3" s="1"/>
  <c r="AA10" i="3" s="1"/>
  <c r="AA11" i="3" l="1"/>
  <c r="AA12" i="3" s="1"/>
  <c r="AA13" i="3" s="1"/>
  <c r="AA14" i="3" s="1"/>
  <c r="AA15" i="3" s="1"/>
  <c r="AA16" i="3" s="1"/>
  <c r="AA17" i="3" s="1"/>
  <c r="AA18" i="3" s="1"/>
  <c r="AA19" i="3" s="1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F25" i="3"/>
  <c r="AA8" i="6"/>
  <c r="AB5" i="3"/>
  <c r="AB41" i="3" s="1"/>
  <c r="AB42" i="3" s="1"/>
  <c r="AB9" i="3" s="1"/>
  <c r="AB10" i="3" s="1"/>
  <c r="AB11" i="2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F26" i="2"/>
  <c r="AB6" i="6"/>
  <c r="AC5" i="2"/>
  <c r="AC41" i="2" s="1"/>
  <c r="AC42" i="2" s="1"/>
  <c r="AC9" i="2" s="1"/>
  <c r="AC10" i="2" s="1"/>
  <c r="AC11" i="2" l="1"/>
  <c r="AC12" i="2" s="1"/>
  <c r="AC13" i="2" s="1"/>
  <c r="AC14" i="2" s="1"/>
  <c r="AC15" i="2" s="1"/>
  <c r="AC16" i="2" s="1"/>
  <c r="AC17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F27" i="2"/>
  <c r="AC6" i="6"/>
  <c r="AD5" i="2"/>
  <c r="AD41" i="2" s="1"/>
  <c r="AD42" i="2" s="1"/>
  <c r="AD9" i="2" s="1"/>
  <c r="AD10" i="2" s="1"/>
  <c r="AB11" i="3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F26" i="3"/>
  <c r="AB8" i="6"/>
  <c r="AC5" i="3"/>
  <c r="AC41" i="3" s="1"/>
  <c r="AC42" i="3" s="1"/>
  <c r="AC9" i="3" s="1"/>
  <c r="AC10" i="3" s="1"/>
  <c r="AC8" i="6" l="1"/>
  <c r="AD5" i="3"/>
  <c r="AD41" i="3" s="1"/>
  <c r="AD42" i="3" s="1"/>
  <c r="AD9" i="3" s="1"/>
  <c r="AD10" i="3" s="1"/>
  <c r="AC11" i="3"/>
  <c r="AC12" i="3" s="1"/>
  <c r="AC13" i="3" s="1"/>
  <c r="AC14" i="3" s="1"/>
  <c r="AC15" i="3" s="1"/>
  <c r="AC16" i="3" s="1"/>
  <c r="AC17" i="3" s="1"/>
  <c r="AC18" i="3" s="1"/>
  <c r="AC19" i="3" s="1"/>
  <c r="AC20" i="3" s="1"/>
  <c r="AC21" i="3" s="1"/>
  <c r="AC22" i="3" s="1"/>
  <c r="AC23" i="3" s="1"/>
  <c r="AC24" i="3" s="1"/>
  <c r="AC25" i="3" s="1"/>
  <c r="AC26" i="3" s="1"/>
  <c r="AC27" i="3" s="1"/>
  <c r="AC28" i="3" s="1"/>
  <c r="AC29" i="3" s="1"/>
  <c r="AC30" i="3" s="1"/>
  <c r="AC31" i="3" s="1"/>
  <c r="AC32" i="3" s="1"/>
  <c r="AC33" i="3" s="1"/>
  <c r="AC34" i="3" s="1"/>
  <c r="AC35" i="3" s="1"/>
  <c r="AC36" i="3" s="1"/>
  <c r="AC37" i="3" s="1"/>
  <c r="F27" i="3"/>
  <c r="AD11" i="2"/>
  <c r="AD12" i="2" s="1"/>
  <c r="AD13" i="2" s="1"/>
  <c r="AD14" i="2" s="1"/>
  <c r="AD15" i="2" s="1"/>
  <c r="AD16" i="2" s="1"/>
  <c r="AD17" i="2" s="1"/>
  <c r="AD18" i="2" s="1"/>
  <c r="AD19" i="2" s="1"/>
  <c r="AD20" i="2" s="1"/>
  <c r="AD21" i="2" s="1"/>
  <c r="AD22" i="2" s="1"/>
  <c r="AD23" i="2" s="1"/>
  <c r="AD24" i="2" s="1"/>
  <c r="AD25" i="2" s="1"/>
  <c r="AD26" i="2" s="1"/>
  <c r="AD27" i="2" s="1"/>
  <c r="AD28" i="2" s="1"/>
  <c r="AD29" i="2" s="1"/>
  <c r="AD30" i="2" s="1"/>
  <c r="AD31" i="2" s="1"/>
  <c r="AD32" i="2" s="1"/>
  <c r="AD33" i="2" s="1"/>
  <c r="AD34" i="2" s="1"/>
  <c r="AD35" i="2" s="1"/>
  <c r="AD36" i="2" s="1"/>
  <c r="AD37" i="2" s="1"/>
  <c r="F28" i="2"/>
  <c r="AD6" i="6"/>
  <c r="AE5" i="2"/>
  <c r="AE41" i="2" s="1"/>
  <c r="AE42" i="2" s="1"/>
  <c r="AE9" i="2" s="1"/>
  <c r="AE10" i="2" s="1"/>
  <c r="AE11" i="2" l="1"/>
  <c r="AE12" i="2" s="1"/>
  <c r="AE13" i="2" s="1"/>
  <c r="AE14" i="2" s="1"/>
  <c r="AE15" i="2" s="1"/>
  <c r="AE16" i="2" s="1"/>
  <c r="AE17" i="2" s="1"/>
  <c r="AE18" i="2" s="1"/>
  <c r="AE19" i="2" s="1"/>
  <c r="AE20" i="2" s="1"/>
  <c r="AE21" i="2" s="1"/>
  <c r="AE22" i="2" s="1"/>
  <c r="AE23" i="2" s="1"/>
  <c r="AE24" i="2" s="1"/>
  <c r="AE25" i="2" s="1"/>
  <c r="AE26" i="2" s="1"/>
  <c r="AE27" i="2" s="1"/>
  <c r="AE28" i="2" s="1"/>
  <c r="AE29" i="2" s="1"/>
  <c r="AE30" i="2" s="1"/>
  <c r="AE31" i="2" s="1"/>
  <c r="AE32" i="2" s="1"/>
  <c r="AE33" i="2" s="1"/>
  <c r="AE34" i="2" s="1"/>
  <c r="AE35" i="2" s="1"/>
  <c r="AE36" i="2" s="1"/>
  <c r="AE37" i="2" s="1"/>
  <c r="F29" i="2"/>
  <c r="AE6" i="6"/>
  <c r="AF5" i="2"/>
  <c r="AF41" i="2" s="1"/>
  <c r="AF42" i="2" s="1"/>
  <c r="AF9" i="2" s="1"/>
  <c r="AF10" i="2" s="1"/>
  <c r="AD11" i="3"/>
  <c r="AD12" i="3" s="1"/>
  <c r="AD13" i="3" s="1"/>
  <c r="AD14" i="3" s="1"/>
  <c r="AD15" i="3" s="1"/>
  <c r="AD16" i="3" s="1"/>
  <c r="AD17" i="3" s="1"/>
  <c r="AD18" i="3" s="1"/>
  <c r="AD19" i="3" s="1"/>
  <c r="AD20" i="3" s="1"/>
  <c r="AD21" i="3" s="1"/>
  <c r="AD22" i="3" s="1"/>
  <c r="AD23" i="3" s="1"/>
  <c r="AD24" i="3" s="1"/>
  <c r="AD25" i="3" s="1"/>
  <c r="AD26" i="3" s="1"/>
  <c r="AD27" i="3" s="1"/>
  <c r="AD28" i="3" s="1"/>
  <c r="AD29" i="3" s="1"/>
  <c r="AD30" i="3" s="1"/>
  <c r="AD31" i="3" s="1"/>
  <c r="AD32" i="3" s="1"/>
  <c r="AD33" i="3" s="1"/>
  <c r="AD34" i="3" s="1"/>
  <c r="AD35" i="3" s="1"/>
  <c r="AD36" i="3" s="1"/>
  <c r="AD37" i="3" s="1"/>
  <c r="F28" i="3"/>
  <c r="AD8" i="6"/>
  <c r="AE5" i="3"/>
  <c r="AE41" i="3" s="1"/>
  <c r="AE42" i="3" s="1"/>
  <c r="AE9" i="3" s="1"/>
  <c r="AE10" i="3" s="1"/>
  <c r="AF11" i="2" l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F26" i="2" s="1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F30" i="2"/>
  <c r="AE11" i="3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E22" i="3" s="1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F29" i="3"/>
  <c r="AE8" i="6"/>
  <c r="AF5" i="3"/>
  <c r="AF41" i="3" s="1"/>
  <c r="AF42" i="3" s="1"/>
  <c r="AF9" i="3" s="1"/>
  <c r="AF10" i="3" s="1"/>
  <c r="AF6" i="6"/>
  <c r="AH5" i="2" s="1"/>
  <c r="AH41" i="2" s="1"/>
  <c r="AH42" i="2" s="1"/>
  <c r="AH9" i="2" s="1"/>
  <c r="AH10" i="2" s="1"/>
  <c r="AG5" i="2"/>
  <c r="AG41" i="2" s="1"/>
  <c r="AG42" i="2" s="1"/>
  <c r="AG9" i="2" s="1"/>
  <c r="AG10" i="2" s="1"/>
  <c r="AG11" i="2" l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F31" i="2"/>
  <c r="AH11" i="2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F32" i="2"/>
  <c r="AF11" i="3"/>
  <c r="AF12" i="3" s="1"/>
  <c r="AF13" i="3" s="1"/>
  <c r="AF14" i="3" s="1"/>
  <c r="AF15" i="3" s="1"/>
  <c r="AF16" i="3" s="1"/>
  <c r="AF17" i="3" s="1"/>
  <c r="AF18" i="3" s="1"/>
  <c r="AF19" i="3" s="1"/>
  <c r="AF20" i="3" s="1"/>
  <c r="AF21" i="3" s="1"/>
  <c r="AF22" i="3" s="1"/>
  <c r="AF23" i="3" s="1"/>
  <c r="AF24" i="3" s="1"/>
  <c r="AF25" i="3" s="1"/>
  <c r="AF26" i="3" s="1"/>
  <c r="AF27" i="3" s="1"/>
  <c r="AF28" i="3" s="1"/>
  <c r="AF29" i="3" s="1"/>
  <c r="AF30" i="3" s="1"/>
  <c r="AF31" i="3" s="1"/>
  <c r="AF32" i="3" s="1"/>
  <c r="AF33" i="3" s="1"/>
  <c r="AF34" i="3" s="1"/>
  <c r="AF35" i="3" s="1"/>
  <c r="AF36" i="3" s="1"/>
  <c r="AF37" i="3" s="1"/>
  <c r="F30" i="3"/>
  <c r="AF8" i="6"/>
  <c r="AH5" i="3" s="1"/>
  <c r="AH41" i="3" s="1"/>
  <c r="AH42" i="3" s="1"/>
  <c r="AH9" i="3" s="1"/>
  <c r="AH10" i="3" s="1"/>
  <c r="AG5" i="3"/>
  <c r="AG41" i="3" s="1"/>
  <c r="AG42" i="3" s="1"/>
  <c r="AG9" i="3" s="1"/>
  <c r="AG10" i="3" s="1"/>
  <c r="AG11" i="3" l="1"/>
  <c r="AG12" i="3" s="1"/>
  <c r="AG13" i="3" s="1"/>
  <c r="AG14" i="3" s="1"/>
  <c r="AG15" i="3" s="1"/>
  <c r="AG16" i="3" s="1"/>
  <c r="AG17" i="3" s="1"/>
  <c r="AG18" i="3" s="1"/>
  <c r="AG19" i="3" s="1"/>
  <c r="AG20" i="3" s="1"/>
  <c r="AG21" i="3" s="1"/>
  <c r="AG22" i="3" s="1"/>
  <c r="AG23" i="3" s="1"/>
  <c r="AG24" i="3" s="1"/>
  <c r="AG25" i="3" s="1"/>
  <c r="AG26" i="3" s="1"/>
  <c r="AG27" i="3" s="1"/>
  <c r="AG28" i="3" s="1"/>
  <c r="AG29" i="3" s="1"/>
  <c r="AG30" i="3" s="1"/>
  <c r="AG31" i="3" s="1"/>
  <c r="AG32" i="3" s="1"/>
  <c r="AG33" i="3" s="1"/>
  <c r="AG34" i="3" s="1"/>
  <c r="AG35" i="3" s="1"/>
  <c r="AG36" i="3" s="1"/>
  <c r="AG37" i="3" s="1"/>
  <c r="F31" i="3"/>
  <c r="AH11" i="3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F32" i="3"/>
</calcChain>
</file>

<file path=xl/sharedStrings.xml><?xml version="1.0" encoding="utf-8"?>
<sst xmlns="http://schemas.openxmlformats.org/spreadsheetml/2006/main" count="265" uniqueCount="96">
  <si>
    <t>~InputCell: 1-30</t>
  </si>
  <si>
    <t>CITY</t>
  </si>
  <si>
    <t>EGRID</t>
  </si>
  <si>
    <t>CITYCap1</t>
  </si>
  <si>
    <t>EGRIDCap1</t>
  </si>
  <si>
    <t>CITYCap2</t>
  </si>
  <si>
    <t>EGRIDCap2</t>
  </si>
  <si>
    <t>CITYCap3</t>
  </si>
  <si>
    <t>EGRIDCap3</t>
  </si>
  <si>
    <t>CITYCap4</t>
  </si>
  <si>
    <t>EGRIDCap4</t>
  </si>
  <si>
    <t>CITYCap5</t>
  </si>
  <si>
    <t>EGRIDCap5</t>
  </si>
  <si>
    <t>CITYCap6</t>
  </si>
  <si>
    <t>EGRIDCap6</t>
  </si>
  <si>
    <t>CITYCap7</t>
  </si>
  <si>
    <t>EGRIDCap7</t>
  </si>
  <si>
    <t>CITYCap8</t>
  </si>
  <si>
    <t>EGRIDCap8</t>
  </si>
  <si>
    <t>CITYCap9</t>
  </si>
  <si>
    <t>EGRIDCap9</t>
  </si>
  <si>
    <t>CITYCap10</t>
  </si>
  <si>
    <t>EGRIDCap10</t>
  </si>
  <si>
    <t>CITYCap11</t>
  </si>
  <si>
    <t>EGRIDCap11</t>
  </si>
  <si>
    <t>CITYCap12</t>
  </si>
  <si>
    <t>EGRIDCap12</t>
  </si>
  <si>
    <t>CITYCap13</t>
  </si>
  <si>
    <t>EGRIDCap13</t>
  </si>
  <si>
    <t>CITYCap14</t>
  </si>
  <si>
    <t>EGRIDCap14</t>
  </si>
  <si>
    <t>CITYCap15</t>
  </si>
  <si>
    <t>EGRIDCap15</t>
  </si>
  <si>
    <t>CITYCap16</t>
  </si>
  <si>
    <t>EGRIDCap16</t>
  </si>
  <si>
    <t>CITYCap17</t>
  </si>
  <si>
    <t>EGRIDCap17</t>
  </si>
  <si>
    <t>CITYCap18</t>
  </si>
  <si>
    <t>EGRIDCap18</t>
  </si>
  <si>
    <t>CITYCap19</t>
  </si>
  <si>
    <t>EGRIDCap19</t>
  </si>
  <si>
    <t>CITYCap20</t>
  </si>
  <si>
    <t>EGRIDCap20</t>
  </si>
  <si>
    <t>CITYCap21</t>
  </si>
  <si>
    <t>EGRIDCap21</t>
  </si>
  <si>
    <t>CITYCap22</t>
  </si>
  <si>
    <t>EGRIDCap22</t>
  </si>
  <si>
    <t>CITYCap23</t>
  </si>
  <si>
    <t>EGRIDCap23</t>
  </si>
  <si>
    <t>CITYCap24</t>
  </si>
  <si>
    <t>EGRIDCap24</t>
  </si>
  <si>
    <t>CITYCap25</t>
  </si>
  <si>
    <t>EGRIDCap25</t>
  </si>
  <si>
    <t>CITYCap26</t>
  </si>
  <si>
    <t>EGRIDCap26</t>
  </si>
  <si>
    <t>CITYCap27</t>
  </si>
  <si>
    <t>EGRIDCap27</t>
  </si>
  <si>
    <t>CITYCap28</t>
  </si>
  <si>
    <t>EGRIDCap28</t>
  </si>
  <si>
    <t>CITYCap29</t>
  </si>
  <si>
    <t>EGRIDCap29</t>
  </si>
  <si>
    <t>CITYCap30</t>
  </si>
  <si>
    <t>EGRIDCap30</t>
  </si>
  <si>
    <t>Scenario</t>
  </si>
  <si>
    <t>Commodity\Period</t>
  </si>
  <si>
    <t>REF</t>
  </si>
  <si>
    <t>CO2</t>
  </si>
  <si>
    <t>NZ</t>
  </si>
  <si>
    <t>~UC_Sets: R_S: CITY</t>
  </si>
  <si>
    <t>~UC_T: UC_RHST</t>
  </si>
  <si>
    <t>UC_N</t>
  </si>
  <si>
    <t>Cset_CN</t>
  </si>
  <si>
    <t>Year</t>
  </si>
  <si>
    <t>UC_COMNET</t>
  </si>
  <si>
    <t>UC_RHST~UP</t>
  </si>
  <si>
    <t>UC_RHST~UP~0</t>
  </si>
  <si>
    <t>~TFM_INS</t>
  </si>
  <si>
    <t>TimeSlice</t>
  </si>
  <si>
    <t>LimType</t>
  </si>
  <si>
    <t>Attribute</t>
  </si>
  <si>
    <t>AllRegions</t>
  </si>
  <si>
    <t>LO</t>
  </si>
  <si>
    <t>COM_BNDNET</t>
  </si>
  <si>
    <t>~UC_Sets: R_S: EGRID</t>
  </si>
  <si>
    <t>Table = _Emissions_for_GHG_constraint</t>
  </si>
  <si>
    <t>Sum of Pv</t>
  </si>
  <si>
    <t>Period</t>
  </si>
  <si>
    <t>Commodity</t>
  </si>
  <si>
    <t>Region</t>
  </si>
  <si>
    <t>GrandTotal</t>
  </si>
  <si>
    <t>New York</t>
  </si>
  <si>
    <t>CO2 Total</t>
  </si>
  <si>
    <t>Target</t>
  </si>
  <si>
    <t>Ref</t>
  </si>
  <si>
    <t>REF - CO2</t>
  </si>
  <si>
    <t>NZ50 -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</si>
</sst>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_-* #,##0.00_-;\-* #,##0.00_-;_-* &quot;-&quot;??_-;_-@_-"/>
    <numFmt numFmtId="168" formatCode="_(* #,##0.00_);_(* \(#,##0.00\);_(* \-??_);_(@_)"/>
    <numFmt numFmtId="169" formatCode="_([$€-2]* #,##0.00_);_([$€-2]* \(#,##0.00\);_([$€-2]* &quot;-&quot;??_)"/>
    <numFmt numFmtId="170" formatCode="&quot;$&quot;#,##0;\-&quot;$&quot;#,##0"/>
    <numFmt numFmtId="171" formatCode="_-* #,##0.00_-;\-* #,##0.00_-;_-* \-??_-;_-@_-"/>
    <numFmt numFmtId="172" formatCode="_-* #,##0.00\ _€_-;\-* #,##0.00\ _€_-;_-* \-??\ _€_-;_-@_-"/>
    <numFmt numFmtId="173" formatCode="_ * #,##0.00_)\ _$_ ;_ * \(#,##0.00&quot;) &quot;_$_ ;_ * \-??_)\ _$_ ;_ @_ 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sz val="10"/>
      <name val="Courier"/>
      <family val="3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Arial MT"/>
    </font>
    <font>
      <u/>
      <sz val="11"/>
      <color theme="10"/>
      <name val="Calibri"/>
      <family val="2"/>
      <scheme val="minor"/>
    </font>
    <font>
      <u/>
      <sz val="10"/>
      <color indexed="12"/>
      <name val="Arial"/>
      <family val="2"/>
    </font>
    <font>
      <sz val="10"/>
      <color rgb="FF9C6500"/>
      <name val="Arial"/>
      <family val="2"/>
    </font>
    <font>
      <u/>
      <sz val="11"/>
      <color indexed="12"/>
      <name val="Calibri"/>
      <family val="2"/>
    </font>
    <font>
      <sz val="12"/>
      <name val="Arial MT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6"/>
      <color indexed="9"/>
      <name val="Calibri"/>
      <family val="2"/>
    </font>
    <font>
      <sz val="11"/>
      <color indexed="8"/>
      <name val="Calibri"/>
      <family val="2"/>
      <scheme val="minor"/>
    </font>
    <font>
      <sz val="11"/>
      <color indexed="62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20"/>
      <name val="Calibri"/>
      <family val="2"/>
      <scheme val="minor"/>
    </font>
    <font>
      <sz val="10"/>
      <name val="Arial"/>
    </font>
    <font>
      <sz val="8.25"/>
      <color rgb="FF2B2C3C"/>
      <name val="Microsoft Sans Serif"/>
      <family val="2"/>
    </font>
    <font>
      <sz val="8.25"/>
      <color rgb="FF000000"/>
      <name val="Microsoft Sans Serif"/>
      <family val="2"/>
    </font>
    <font>
      <sz val="11"/>
      <color theme="1"/>
      <name val="Calibri"/>
      <scheme val="minor"/>
    </font>
    <font>
      <sz val="8.25"/>
      <color rgb="FF000000"/>
      <name val="Microsoft Sans Serif"/>
    </font>
    <font>
      <sz val="11"/>
      <color theme="4"/>
      <name val="Calibri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FF6FF"/>
        <bgColor rgb="FFEFF6FF"/>
      </patternFill>
    </fill>
    <fill>
      <patternFill patternType="solid">
        <fgColor rgb="FFEAF1FB"/>
        <bgColor rgb="FFEAF1FB"/>
      </patternFill>
    </fill>
    <fill>
      <patternFill patternType="solid">
        <fgColor rgb="FFFFFFFF"/>
        <bgColor rgb="FFFFFFFF"/>
      </patternFill>
    </fill>
    <fill>
      <patternFill patternType="solid">
        <fgColor rgb="FFECF4FE"/>
        <bgColor rgb="FFECF4F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4CB"/>
        <bgColor rgb="FFFFF4CB"/>
      </patternFill>
    </fill>
  </fills>
  <borders count="13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124">
    <xf numFmtId="0" fontId="0" fillId="0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0"/>
    <xf numFmtId="0" fontId="13" fillId="0" borderId="0"/>
    <xf numFmtId="0" fontId="14" fillId="7" borderId="8"/>
    <xf numFmtId="0" fontId="14" fillId="7" borderId="8"/>
    <xf numFmtId="0" fontId="15" fillId="0" borderId="5"/>
    <xf numFmtId="0" fontId="15" fillId="0" borderId="5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33" fillId="0" borderId="0"/>
    <xf numFmtId="0" fontId="33" fillId="0" borderId="0"/>
    <xf numFmtId="0" fontId="34" fillId="0" borderId="0"/>
    <xf numFmtId="0" fontId="23" fillId="0" borderId="0"/>
    <xf numFmtId="0" fontId="4" fillId="0" borderId="0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3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1" fillId="0" borderId="0"/>
    <xf numFmtId="0" fontId="21" fillId="0" borderId="0"/>
    <xf numFmtId="0" fontId="34" fillId="0" borderId="0"/>
    <xf numFmtId="167" fontId="34" fillId="0" borderId="0"/>
    <xf numFmtId="0" fontId="33" fillId="0" borderId="0"/>
    <xf numFmtId="0" fontId="34" fillId="0" borderId="0"/>
    <xf numFmtId="0" fontId="26" fillId="0" borderId="0"/>
    <xf numFmtId="0" fontId="33" fillId="0" borderId="0"/>
    <xf numFmtId="0" fontId="2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167" fontId="34" fillId="0" borderId="0"/>
    <xf numFmtId="3" fontId="33" fillId="0" borderId="0"/>
    <xf numFmtId="170" fontId="33" fillId="0" borderId="0"/>
    <xf numFmtId="14" fontId="33" fillId="0" borderId="0"/>
    <xf numFmtId="2" fontId="33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33" fillId="0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4" fillId="0" borderId="0"/>
    <xf numFmtId="0" fontId="34" fillId="0" borderId="0"/>
    <xf numFmtId="0" fontId="4" fillId="0" borderId="0"/>
    <xf numFmtId="0" fontId="31" fillId="0" borderId="0"/>
    <xf numFmtId="0" fontId="33" fillId="0" borderId="0"/>
    <xf numFmtId="0" fontId="33" fillId="0" borderId="0"/>
    <xf numFmtId="0" fontId="4" fillId="0" borderId="0"/>
    <xf numFmtId="0" fontId="33" fillId="0" borderId="0"/>
    <xf numFmtId="0" fontId="34" fillId="0" borderId="0"/>
    <xf numFmtId="0" fontId="4" fillId="0" borderId="0"/>
    <xf numFmtId="0" fontId="33" fillId="0" borderId="0"/>
    <xf numFmtId="0" fontId="33" fillId="0" borderId="0"/>
    <xf numFmtId="0" fontId="34" fillId="0" borderId="0"/>
    <xf numFmtId="0" fontId="34" fillId="0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/>
    <xf numFmtId="0" fontId="4" fillId="0" borderId="0"/>
    <xf numFmtId="0" fontId="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4" fontId="33" fillId="0" borderId="0"/>
    <xf numFmtId="0" fontId="33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0" fontId="32" fillId="0" borderId="0"/>
    <xf numFmtId="9" fontId="32" fillId="0" borderId="0"/>
    <xf numFmtId="167" fontId="32" fillId="0" borderId="0"/>
    <xf numFmtId="0" fontId="33" fillId="0" borderId="7"/>
    <xf numFmtId="0" fontId="33" fillId="0" borderId="0"/>
    <xf numFmtId="0" fontId="33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70" fontId="33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167" fontId="34" fillId="0" borderId="0"/>
    <xf numFmtId="0" fontId="4" fillId="0" borderId="0"/>
    <xf numFmtId="0" fontId="16" fillId="53" borderId="0"/>
    <xf numFmtId="43" fontId="33" fillId="0" borderId="0"/>
    <xf numFmtId="43" fontId="33" fillId="0" borderId="0"/>
    <xf numFmtId="43" fontId="33" fillId="0" borderId="0"/>
    <xf numFmtId="43" fontId="34" fillId="0" borderId="0"/>
    <xf numFmtId="0" fontId="34" fillId="0" borderId="0"/>
    <xf numFmtId="43" fontId="34" fillId="0" borderId="0"/>
    <xf numFmtId="43" fontId="44" fillId="0" borderId="0"/>
    <xf numFmtId="0" fontId="47" fillId="0" borderId="0"/>
    <xf numFmtId="0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43" fontId="34" fillId="0" borderId="0"/>
    <xf numFmtId="0" fontId="34" fillId="0" borderId="0"/>
    <xf numFmtId="0" fontId="4" fillId="2" borderId="0"/>
    <xf numFmtId="0" fontId="4" fillId="2" borderId="0"/>
    <xf numFmtId="0" fontId="4" fillId="2" borderId="0"/>
    <xf numFmtId="0" fontId="4" fillId="3" borderId="0"/>
    <xf numFmtId="0" fontId="4" fillId="3" borderId="0"/>
    <xf numFmtId="0" fontId="4" fillId="3" borderId="0"/>
    <xf numFmtId="0" fontId="4" fillId="4" borderId="0"/>
    <xf numFmtId="0" fontId="4" fillId="4" borderId="0"/>
    <xf numFmtId="0" fontId="4" fillId="4" borderId="0"/>
    <xf numFmtId="0" fontId="4" fillId="5" borderId="0"/>
    <xf numFmtId="0" fontId="4" fillId="5" borderId="0"/>
    <xf numFmtId="0" fontId="4" fillId="5" borderId="0"/>
    <xf numFmtId="0" fontId="4" fillId="6" borderId="0"/>
    <xf numFmtId="0" fontId="4" fillId="6" borderId="0"/>
    <xf numFmtId="0" fontId="4" fillId="6" borderId="0"/>
    <xf numFmtId="0" fontId="4" fillId="7" borderId="0"/>
    <xf numFmtId="0" fontId="4" fillId="7" borderId="0"/>
    <xf numFmtId="0" fontId="4" fillId="7" borderId="0"/>
    <xf numFmtId="0" fontId="4" fillId="8" borderId="0"/>
    <xf numFmtId="0" fontId="4" fillId="8" borderId="0"/>
    <xf numFmtId="0" fontId="4" fillId="8" borderId="0"/>
    <xf numFmtId="0" fontId="4" fillId="9" borderId="0"/>
    <xf numFmtId="0" fontId="4" fillId="9" borderId="0"/>
    <xf numFmtId="0" fontId="4" fillId="9" borderId="0"/>
    <xf numFmtId="0" fontId="4" fillId="10" borderId="0"/>
    <xf numFmtId="0" fontId="4" fillId="10" borderId="0"/>
    <xf numFmtId="0" fontId="4" fillId="10" borderId="0"/>
    <xf numFmtId="0" fontId="4" fillId="5" borderId="0"/>
    <xf numFmtId="0" fontId="4" fillId="5" borderId="0"/>
    <xf numFmtId="0" fontId="4" fillId="5" borderId="0"/>
    <xf numFmtId="0" fontId="4" fillId="8" borderId="0"/>
    <xf numFmtId="0" fontId="4" fillId="8" borderId="0"/>
    <xf numFmtId="0" fontId="4" fillId="8" borderId="0"/>
    <xf numFmtId="0" fontId="4" fillId="11" borderId="0"/>
    <xf numFmtId="0" fontId="4" fillId="11" borderId="0"/>
    <xf numFmtId="0" fontId="4" fillId="11" borderId="0"/>
    <xf numFmtId="0" fontId="5" fillId="12" borderId="0"/>
    <xf numFmtId="0" fontId="5" fillId="12" borderId="0"/>
    <xf numFmtId="0" fontId="5" fillId="12" borderId="0"/>
    <xf numFmtId="0" fontId="5" fillId="9" borderId="0"/>
    <xf numFmtId="0" fontId="5" fillId="9" borderId="0"/>
    <xf numFmtId="0" fontId="5" fillId="9" borderId="0"/>
    <xf numFmtId="0" fontId="5" fillId="10" borderId="0"/>
    <xf numFmtId="0" fontId="5" fillId="10" borderId="0"/>
    <xf numFmtId="0" fontId="5" fillId="10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5" borderId="0"/>
    <xf numFmtId="0" fontId="5" fillId="15" borderId="0"/>
    <xf numFmtId="0" fontId="5" fillId="15" borderId="0"/>
    <xf numFmtId="0" fontId="5" fillId="16" borderId="0"/>
    <xf numFmtId="0" fontId="5" fillId="16" borderId="0"/>
    <xf numFmtId="0" fontId="5" fillId="16" borderId="0"/>
    <xf numFmtId="0" fontId="5" fillId="17" borderId="0"/>
    <xf numFmtId="0" fontId="5" fillId="17" borderId="0"/>
    <xf numFmtId="0" fontId="5" fillId="17" borderId="0"/>
    <xf numFmtId="0" fontId="5" fillId="18" borderId="0"/>
    <xf numFmtId="0" fontId="5" fillId="18" borderId="0"/>
    <xf numFmtId="0" fontId="5" fillId="18" borderId="0"/>
    <xf numFmtId="0" fontId="5" fillId="13" borderId="0"/>
    <xf numFmtId="0" fontId="5" fillId="13" borderId="0"/>
    <xf numFmtId="0" fontId="5" fillId="13" borderId="0"/>
    <xf numFmtId="0" fontId="5" fillId="14" borderId="0"/>
    <xf numFmtId="0" fontId="5" fillId="14" borderId="0"/>
    <xf numFmtId="0" fontId="5" fillId="14" borderId="0"/>
    <xf numFmtId="0" fontId="5" fillId="19" borderId="0"/>
    <xf numFmtId="0" fontId="5" fillId="19" borderId="0"/>
    <xf numFmtId="0" fontId="5" fillId="19" borderId="0"/>
    <xf numFmtId="0" fontId="6" fillId="3" borderId="0"/>
    <xf numFmtId="0" fontId="6" fillId="3" borderId="0"/>
    <xf numFmtId="0" fontId="6" fillId="3" borderId="0"/>
    <xf numFmtId="0" fontId="7" fillId="20" borderId="8"/>
    <xf numFmtId="0" fontId="7" fillId="20" borderId="8"/>
    <xf numFmtId="0" fontId="7" fillId="20" borderId="8"/>
    <xf numFmtId="0" fontId="8" fillId="21" borderId="1"/>
    <xf numFmtId="0" fontId="8" fillId="21" borderId="1"/>
    <xf numFmtId="0" fontId="8" fillId="21" borderId="1"/>
    <xf numFmtId="43" fontId="33" fillId="0" borderId="0"/>
    <xf numFmtId="167" fontId="33" fillId="0" borderId="0"/>
    <xf numFmtId="43" fontId="33" fillId="0" borderId="0"/>
    <xf numFmtId="167" fontId="33" fillId="0" borderId="0"/>
    <xf numFmtId="167" fontId="33" fillId="0" borderId="0"/>
    <xf numFmtId="43" fontId="33" fillId="0" borderId="0"/>
    <xf numFmtId="167" fontId="33" fillId="0" borderId="0"/>
    <xf numFmtId="43" fontId="33" fillId="0" borderId="0"/>
    <xf numFmtId="167" fontId="33" fillId="0" borderId="0"/>
    <xf numFmtId="168" fontId="33" fillId="0" borderId="0"/>
    <xf numFmtId="168" fontId="33" fillId="0" borderId="0"/>
    <xf numFmtId="167" fontId="33" fillId="0" borderId="0"/>
    <xf numFmtId="3" fontId="33" fillId="0" borderId="0"/>
    <xf numFmtId="169" fontId="33" fillId="0" borderId="0"/>
    <xf numFmtId="169" fontId="33" fillId="0" borderId="0"/>
    <xf numFmtId="0" fontId="9" fillId="0" borderId="0"/>
    <xf numFmtId="0" fontId="9" fillId="0" borderId="0"/>
    <xf numFmtId="0" fontId="9" fillId="0" borderId="0"/>
    <xf numFmtId="0" fontId="10" fillId="4" borderId="0"/>
    <xf numFmtId="0" fontId="10" fillId="4" borderId="0"/>
    <xf numFmtId="0" fontId="24" fillId="24" borderId="0"/>
    <xf numFmtId="0" fontId="10" fillId="4" borderId="0"/>
    <xf numFmtId="0" fontId="11" fillId="0" borderId="2"/>
    <xf numFmtId="0" fontId="11" fillId="0" borderId="2"/>
    <xf numFmtId="0" fontId="11" fillId="0" borderId="2"/>
    <xf numFmtId="0" fontId="12" fillId="0" borderId="3"/>
    <xf numFmtId="0" fontId="12" fillId="0" borderId="3"/>
    <xf numFmtId="0" fontId="12" fillId="0" borderId="3"/>
    <xf numFmtId="0" fontId="13" fillId="0" borderId="4"/>
    <xf numFmtId="0" fontId="13" fillId="0" borderId="4"/>
    <xf numFmtId="0" fontId="13" fillId="0" borderId="4"/>
    <xf numFmtId="0" fontId="13" fillId="0" borderId="0"/>
    <xf numFmtId="0" fontId="13" fillId="0" borderId="0"/>
    <xf numFmtId="0" fontId="13" fillId="0" borderId="0"/>
    <xf numFmtId="0" fontId="14" fillId="7" borderId="8"/>
    <xf numFmtId="0" fontId="14" fillId="7" borderId="8"/>
    <xf numFmtId="0" fontId="14" fillId="7" borderId="8"/>
    <xf numFmtId="0" fontId="15" fillId="0" borderId="5"/>
    <xf numFmtId="0" fontId="15" fillId="0" borderId="5"/>
    <xf numFmtId="0" fontId="15" fillId="0" borderId="5"/>
    <xf numFmtId="0" fontId="16" fillId="22" borderId="0"/>
    <xf numFmtId="0" fontId="16" fillId="22" borderId="0"/>
    <xf numFmtId="0" fontId="16" fillId="22" borderId="0"/>
    <xf numFmtId="0" fontId="25" fillId="25" borderId="0"/>
    <xf numFmtId="0" fontId="16" fillId="22" borderId="0"/>
    <xf numFmtId="0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23" borderId="6"/>
    <xf numFmtId="0" fontId="33" fillId="23" borderId="6"/>
    <xf numFmtId="0" fontId="4" fillId="23" borderId="6"/>
    <xf numFmtId="0" fontId="33" fillId="23" borderId="6"/>
    <xf numFmtId="0" fontId="33" fillId="23" borderId="6"/>
    <xf numFmtId="0" fontId="18" fillId="20" borderId="9"/>
    <xf numFmtId="0" fontId="18" fillId="20" borderId="9"/>
    <xf numFmtId="0" fontId="18" fillId="20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19" fillId="0" borderId="0"/>
    <xf numFmtId="0" fontId="19" fillId="0" borderId="0"/>
    <xf numFmtId="0" fontId="19" fillId="0" borderId="0"/>
    <xf numFmtId="0" fontId="20" fillId="0" borderId="10"/>
    <xf numFmtId="0" fontId="20" fillId="0" borderId="10"/>
    <xf numFmtId="0" fontId="20" fillId="0" borderId="10"/>
    <xf numFmtId="0" fontId="21" fillId="0" borderId="0"/>
    <xf numFmtId="0" fontId="21" fillId="0" borderId="0"/>
    <xf numFmtId="0" fontId="21" fillId="0" borderId="0"/>
    <xf numFmtId="0" fontId="34" fillId="0" borderId="0"/>
    <xf numFmtId="167" fontId="34" fillId="0" borderId="0"/>
    <xf numFmtId="0" fontId="34" fillId="0" borderId="0"/>
    <xf numFmtId="0" fontId="27" fillId="0" borderId="0"/>
    <xf numFmtId="167" fontId="34" fillId="0" borderId="0"/>
    <xf numFmtId="0" fontId="28" fillId="0" borderId="0">
      <alignment vertical="top"/>
      <protection locked="0"/>
    </xf>
    <xf numFmtId="167" fontId="33" fillId="0" borderId="0"/>
    <xf numFmtId="0" fontId="29" fillId="25" borderId="0"/>
    <xf numFmtId="0" fontId="4" fillId="28" borderId="0"/>
    <xf numFmtId="0" fontId="4" fillId="29" borderId="0"/>
    <xf numFmtId="0" fontId="4" fillId="30" borderId="0"/>
    <xf numFmtId="0" fontId="4" fillId="31" borderId="0"/>
    <xf numFmtId="0" fontId="4" fillId="32" borderId="0"/>
    <xf numFmtId="0" fontId="4" fillId="33" borderId="0"/>
    <xf numFmtId="0" fontId="4" fillId="34" borderId="0"/>
    <xf numFmtId="0" fontId="4" fillId="35" borderId="0"/>
    <xf numFmtId="0" fontId="4" fillId="36" borderId="0"/>
    <xf numFmtId="0" fontId="4" fillId="31" borderId="0"/>
    <xf numFmtId="0" fontId="4" fillId="34" borderId="0"/>
    <xf numFmtId="0" fontId="4" fillId="37" borderId="0"/>
    <xf numFmtId="0" fontId="5" fillId="38" borderId="0"/>
    <xf numFmtId="0" fontId="5" fillId="35" borderId="0"/>
    <xf numFmtId="0" fontId="5" fillId="36" borderId="0"/>
    <xf numFmtId="0" fontId="5" fillId="39" borderId="0"/>
    <xf numFmtId="0" fontId="5" fillId="40" borderId="0"/>
    <xf numFmtId="0" fontId="5" fillId="41" borderId="0"/>
    <xf numFmtId="0" fontId="5" fillId="42" borderId="0"/>
    <xf numFmtId="0" fontId="5" fillId="43" borderId="0"/>
    <xf numFmtId="0" fontId="5" fillId="44" borderId="0"/>
    <xf numFmtId="0" fontId="5" fillId="39" borderId="0"/>
    <xf numFmtId="0" fontId="5" fillId="40" borderId="0"/>
    <xf numFmtId="0" fontId="5" fillId="45" borderId="0"/>
    <xf numFmtId="0" fontId="6" fillId="29" borderId="0"/>
    <xf numFmtId="0" fontId="7" fillId="46" borderId="8"/>
    <xf numFmtId="0" fontId="8" fillId="47" borderId="1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72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73" fontId="33" fillId="0" borderId="0"/>
    <xf numFmtId="167" fontId="33" fillId="0" borderId="0"/>
    <xf numFmtId="167" fontId="33" fillId="0" borderId="0"/>
    <xf numFmtId="167" fontId="33" fillId="0" borderId="0"/>
    <xf numFmtId="171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4" fillId="0" borderId="0"/>
    <xf numFmtId="171" fontId="33" fillId="0" borderId="0"/>
    <xf numFmtId="167" fontId="33" fillId="0" borderId="0"/>
    <xf numFmtId="167" fontId="33" fillId="0" borderId="0"/>
    <xf numFmtId="168" fontId="33" fillId="0" borderId="0"/>
    <xf numFmtId="167" fontId="33" fillId="0" borderId="0"/>
    <xf numFmtId="167" fontId="33" fillId="0" borderId="0"/>
    <xf numFmtId="167" fontId="33" fillId="0" borderId="0"/>
    <xf numFmtId="169" fontId="33" fillId="0" borderId="0"/>
    <xf numFmtId="0" fontId="10" fillId="30" borderId="0"/>
    <xf numFmtId="0" fontId="30" fillId="0" borderId="0"/>
    <xf numFmtId="0" fontId="14" fillId="33" borderId="8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171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3" fillId="48" borderId="6"/>
    <xf numFmtId="0" fontId="18" fillId="46" borderId="9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4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9" fontId="33" fillId="0" borderId="0"/>
    <xf numFmtId="0" fontId="34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8"/>
    <xf numFmtId="0" fontId="8" fillId="21" borderId="1"/>
    <xf numFmtId="167" fontId="33" fillId="0" borderId="0"/>
    <xf numFmtId="167" fontId="33" fillId="0" borderId="0"/>
    <xf numFmtId="0" fontId="10" fillId="4" borderId="0"/>
    <xf numFmtId="0" fontId="14" fillId="7" borderId="8"/>
    <xf numFmtId="0" fontId="18" fillId="20" borderId="9"/>
    <xf numFmtId="9" fontId="33" fillId="0" borderId="0"/>
    <xf numFmtId="9" fontId="33" fillId="0" borderId="0"/>
    <xf numFmtId="167" fontId="33" fillId="0" borderId="0"/>
    <xf numFmtId="0" fontId="34" fillId="0" borderId="0"/>
    <xf numFmtId="9" fontId="34" fillId="0" borderId="0"/>
    <xf numFmtId="9" fontId="32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20" borderId="9"/>
    <xf numFmtId="0" fontId="18" fillId="20" borderId="9"/>
    <xf numFmtId="0" fontId="18" fillId="20" borderId="9"/>
    <xf numFmtId="0" fontId="20" fillId="0" borderId="10"/>
    <xf numFmtId="0" fontId="20" fillId="0" borderId="10"/>
    <xf numFmtId="0" fontId="20" fillId="0" borderId="1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8" fillId="46" borderId="9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0" fontId="18" fillId="20" borderId="9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43" fontId="33" fillId="0" borderId="0"/>
    <xf numFmtId="43" fontId="33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43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0" fontId="7" fillId="46" borderId="8"/>
    <xf numFmtId="167" fontId="34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0" fontId="14" fillId="7" borderId="8"/>
    <xf numFmtId="0" fontId="34" fillId="0" borderId="0"/>
    <xf numFmtId="9" fontId="34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167" fontId="33" fillId="0" borderId="0"/>
    <xf numFmtId="167" fontId="33" fillId="0" borderId="0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0" fontId="34" fillId="0" borderId="0"/>
    <xf numFmtId="0" fontId="34" fillId="0" borderId="0"/>
    <xf numFmtId="0" fontId="7" fillId="20" borderId="8"/>
    <xf numFmtId="0" fontId="7" fillId="20" borderId="8"/>
    <xf numFmtId="0" fontId="7" fillId="20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7" borderId="8"/>
    <xf numFmtId="0" fontId="14" fillId="7" borderId="8"/>
    <xf numFmtId="0" fontId="14" fillId="7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67" fontId="34" fillId="0" borderId="0"/>
    <xf numFmtId="0" fontId="34" fillId="0" borderId="0"/>
    <xf numFmtId="167" fontId="34" fillId="0" borderId="0"/>
    <xf numFmtId="167" fontId="33" fillId="0" borderId="0"/>
    <xf numFmtId="0" fontId="7" fillId="46" borderId="8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4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167" fontId="33" fillId="0" borderId="0"/>
    <xf numFmtId="0" fontId="14" fillId="33" borderId="8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9" fontId="34" fillId="0" borderId="0"/>
    <xf numFmtId="0" fontId="34" fillId="0" borderId="0"/>
    <xf numFmtId="0" fontId="7" fillId="20" borderId="8"/>
    <xf numFmtId="167" fontId="33" fillId="0" borderId="0"/>
    <xf numFmtId="167" fontId="33" fillId="0" borderId="0"/>
    <xf numFmtId="0" fontId="14" fillId="7" borderId="8"/>
    <xf numFmtId="167" fontId="33" fillId="0" borderId="0"/>
    <xf numFmtId="0" fontId="34" fillId="0" borderId="0"/>
    <xf numFmtId="9" fontId="34" fillId="0" borderId="0"/>
    <xf numFmtId="167" fontId="32" fillId="0" borderId="0"/>
    <xf numFmtId="167" fontId="33" fillId="0" borderId="0"/>
    <xf numFmtId="0" fontId="34" fillId="0" borderId="0"/>
    <xf numFmtId="167" fontId="34" fillId="0" borderId="0"/>
    <xf numFmtId="9" fontId="34" fillId="0" borderId="0"/>
    <xf numFmtId="167" fontId="33" fillId="0" borderId="0"/>
    <xf numFmtId="0" fontId="34" fillId="0" borderId="0"/>
    <xf numFmtId="0" fontId="34" fillId="0" borderId="0"/>
    <xf numFmtId="167" fontId="33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7" fillId="0" borderId="0"/>
    <xf numFmtId="0" fontId="47" fillId="0" borderId="0"/>
  </cellStyleXfs>
  <cellXfs count="72">
    <xf numFmtId="0" fontId="0" fillId="0" borderId="0" xfId="0"/>
    <xf numFmtId="0" fontId="3" fillId="0" borderId="0" xfId="100" applyFont="1"/>
    <xf numFmtId="0" fontId="22" fillId="0" borderId="0" xfId="100" applyFont="1"/>
    <xf numFmtId="0" fontId="35" fillId="54" borderId="0" xfId="39" applyFont="1" applyFill="1"/>
    <xf numFmtId="0" fontId="2" fillId="0" borderId="0" xfId="1432" applyFont="1"/>
    <xf numFmtId="43" fontId="22" fillId="0" borderId="0" xfId="1433" applyFont="1"/>
    <xf numFmtId="0" fontId="36" fillId="0" borderId="0" xfId="1426" applyFont="1"/>
    <xf numFmtId="0" fontId="36" fillId="0" borderId="0" xfId="110" applyFont="1"/>
    <xf numFmtId="2" fontId="37" fillId="0" borderId="0" xfId="519" applyNumberFormat="1" applyFont="1" applyFill="1" applyBorder="1"/>
    <xf numFmtId="0" fontId="38" fillId="0" borderId="0" xfId="100" applyFont="1"/>
    <xf numFmtId="0" fontId="39" fillId="0" borderId="0" xfId="98" applyFont="1"/>
    <xf numFmtId="0" fontId="38" fillId="0" borderId="0" xfId="98" applyFont="1"/>
    <xf numFmtId="0" fontId="40" fillId="0" borderId="0" xfId="1426" applyFont="1"/>
    <xf numFmtId="0" fontId="38" fillId="0" borderId="0" xfId="1432" applyFont="1"/>
    <xf numFmtId="0" fontId="41" fillId="26" borderId="11" xfId="110" applyFont="1" applyFill="1" applyBorder="1"/>
    <xf numFmtId="0" fontId="41" fillId="26" borderId="11" xfId="98" applyFont="1" applyFill="1" applyBorder="1"/>
    <xf numFmtId="0" fontId="38" fillId="26" borderId="11" xfId="1427" applyFont="1" applyFill="1" applyBorder="1"/>
    <xf numFmtId="0" fontId="38" fillId="27" borderId="11" xfId="1427" applyFont="1" applyFill="1" applyBorder="1" applyAlignment="1">
      <alignment horizontal="center"/>
    </xf>
    <xf numFmtId="0" fontId="42" fillId="26" borderId="11" xfId="90" applyFont="1" applyFill="1" applyBorder="1" applyAlignment="1">
      <alignment wrapText="1"/>
    </xf>
    <xf numFmtId="0" fontId="36" fillId="26" borderId="0" xfId="110" applyFont="1" applyFill="1"/>
    <xf numFmtId="0" fontId="38" fillId="26" borderId="0" xfId="1432" applyFont="1" applyFill="1" applyAlignment="1">
      <alignment horizontal="center"/>
    </xf>
    <xf numFmtId="0" fontId="42" fillId="26" borderId="0" xfId="98" applyFont="1" applyFill="1"/>
    <xf numFmtId="0" fontId="42" fillId="26" borderId="0" xfId="1432" applyFont="1" applyFill="1"/>
    <xf numFmtId="43" fontId="38" fillId="0" borderId="0" xfId="100" applyNumberFormat="1" applyFont="1"/>
    <xf numFmtId="43" fontId="38" fillId="0" borderId="0" xfId="1433" applyFont="1"/>
    <xf numFmtId="43" fontId="38" fillId="55" borderId="0" xfId="1433" applyFont="1" applyFill="1"/>
    <xf numFmtId="43" fontId="38" fillId="52" borderId="0" xfId="1433" applyFont="1" applyFill="1"/>
    <xf numFmtId="0" fontId="39" fillId="0" borderId="0" xfId="1432" applyFont="1"/>
    <xf numFmtId="0" fontId="42" fillId="0" borderId="0" xfId="1432" applyFont="1" applyAlignment="1">
      <alignment horizontal="center"/>
    </xf>
    <xf numFmtId="0" fontId="42" fillId="51" borderId="11" xfId="1432" applyFont="1" applyFill="1" applyBorder="1"/>
    <xf numFmtId="0" fontId="38" fillId="51" borderId="11" xfId="1432" applyFont="1" applyFill="1" applyBorder="1"/>
    <xf numFmtId="0" fontId="2" fillId="26" borderId="0" xfId="1432" applyFont="1" applyFill="1"/>
    <xf numFmtId="3" fontId="38" fillId="26" borderId="0" xfId="1430" applyNumberFormat="1" applyFont="1" applyFill="1"/>
    <xf numFmtId="0" fontId="38" fillId="0" borderId="0" xfId="0" applyFont="1"/>
    <xf numFmtId="0" fontId="36" fillId="50" borderId="0" xfId="20" applyFont="1" applyFill="1"/>
    <xf numFmtId="0" fontId="43" fillId="3" borderId="0" xfId="50" applyFont="1"/>
    <xf numFmtId="0" fontId="36" fillId="52" borderId="0" xfId="17" applyFont="1" applyFill="1"/>
    <xf numFmtId="49" fontId="45" fillId="56" borderId="12" xfId="99" applyNumberFormat="1" applyFont="1" applyFill="1" applyBorder="1" applyAlignment="1">
      <alignment horizontal="left" vertical="center"/>
    </xf>
    <xf numFmtId="0" fontId="17" fillId="0" borderId="0" xfId="99" applyFont="1"/>
    <xf numFmtId="0" fontId="46" fillId="57" borderId="12" xfId="99" applyFont="1" applyFill="1" applyBorder="1" applyAlignment="1">
      <alignment horizontal="right" vertical="center"/>
    </xf>
    <xf numFmtId="49" fontId="46" fillId="57" borderId="12" xfId="99" applyNumberFormat="1" applyFont="1" applyFill="1" applyBorder="1" applyAlignment="1">
      <alignment horizontal="left" vertical="center"/>
    </xf>
    <xf numFmtId="2" fontId="48" fillId="58" borderId="12" xfId="1435" applyNumberFormat="1" applyFont="1" applyFill="1" applyBorder="1" applyAlignment="1">
      <alignment horizontal="right" vertical="center"/>
    </xf>
    <xf numFmtId="2" fontId="48" fillId="59" borderId="12" xfId="1435" applyNumberFormat="1" applyFont="1" applyFill="1" applyBorder="1" applyAlignment="1">
      <alignment horizontal="right" vertical="center"/>
    </xf>
    <xf numFmtId="0" fontId="3" fillId="0" borderId="0" xfId="1436" applyFont="1"/>
    <xf numFmtId="0" fontId="42" fillId="0" borderId="0" xfId="321" applyFont="1" applyAlignment="1">
      <alignment horizontal="center"/>
    </xf>
    <xf numFmtId="9" fontId="42" fillId="0" borderId="0" xfId="321" applyNumberFormat="1" applyFont="1" applyAlignment="1">
      <alignment horizontal="center"/>
    </xf>
    <xf numFmtId="0" fontId="1" fillId="0" borderId="0" xfId="399" applyFont="1"/>
    <xf numFmtId="0" fontId="42" fillId="0" borderId="0" xfId="321" applyFont="1" applyAlignment="1">
      <alignment horizontal="left"/>
    </xf>
    <xf numFmtId="0" fontId="42" fillId="60" borderId="0" xfId="321" applyFont="1" applyFill="1" applyAlignment="1">
      <alignment horizontal="center"/>
    </xf>
    <xf numFmtId="0" fontId="1" fillId="60" borderId="0" xfId="399" applyFont="1" applyFill="1"/>
    <xf numFmtId="1" fontId="38" fillId="0" borderId="0" xfId="383" applyNumberFormat="1" applyFont="1" applyAlignment="1">
      <alignment horizontal="left" vertical="center"/>
    </xf>
    <xf numFmtId="43" fontId="1" fillId="0" borderId="0" xfId="1434" applyFont="1"/>
    <xf numFmtId="0" fontId="1" fillId="0" borderId="0" xfId="399" applyFont="1" applyAlignment="1">
      <alignment horizontal="left"/>
    </xf>
    <xf numFmtId="0" fontId="38" fillId="0" borderId="0" xfId="321" applyFont="1" applyAlignment="1">
      <alignment horizontal="left"/>
    </xf>
    <xf numFmtId="43" fontId="49" fillId="0" borderId="0" xfId="1434" applyFont="1"/>
    <xf numFmtId="43" fontId="38" fillId="0" borderId="0" xfId="1434" applyFont="1"/>
    <xf numFmtId="0" fontId="38" fillId="26" borderId="0" xfId="100" applyFont="1" applyFill="1"/>
    <xf numFmtId="49" fontId="46" fillId="57" borderId="12" xfId="1756" applyNumberFormat="1" applyFont="1" applyFill="1" applyBorder="1" applyAlignment="1">
      <alignment horizontal="left" vertical="center"/>
    </xf>
    <xf numFmtId="2" fontId="48" fillId="61" borderId="12" xfId="3123" applyNumberFormat="1" applyFont="1" applyFill="1" applyBorder="1" applyAlignment="1">
      <alignment horizontal="right" vertical="center"/>
    </xf>
    <xf numFmtId="2" fontId="48" fillId="58" borderId="12" xfId="3123" applyNumberFormat="1" applyFont="1" applyFill="1" applyBorder="1" applyAlignment="1">
      <alignment horizontal="right" vertical="center"/>
    </xf>
    <xf numFmtId="2" fontId="48" fillId="59" borderId="12" xfId="3123" applyNumberFormat="1" applyFont="1" applyFill="1" applyBorder="1" applyAlignment="1">
      <alignment horizontal="right" vertical="center"/>
    </xf>
    <xf numFmtId="164" fontId="38" fillId="55" borderId="0" xfId="1433" applyNumberFormat="1" applyFont="1" applyFill="1"/>
    <xf numFmtId="164" fontId="38" fillId="52" borderId="0" xfId="1433" applyNumberFormat="1" applyFont="1" applyFill="1"/>
    <xf numFmtId="165" fontId="38" fillId="55" borderId="0" xfId="100" applyNumberFormat="1" applyFont="1" applyFill="1"/>
    <xf numFmtId="164" fontId="38" fillId="0" borderId="0" xfId="100" applyNumberFormat="1" applyFont="1"/>
    <xf numFmtId="165" fontId="38" fillId="49" borderId="0" xfId="59" applyNumberFormat="1" applyFont="1" applyFill="1"/>
    <xf numFmtId="164" fontId="38" fillId="52" borderId="0" xfId="100" applyNumberFormat="1" applyFont="1" applyFill="1"/>
    <xf numFmtId="164" fontId="38" fillId="26" borderId="0" xfId="1430" applyNumberFormat="1" applyFont="1" applyFill="1"/>
    <xf numFmtId="165" fontId="38" fillId="0" borderId="0" xfId="1433" applyNumberFormat="1" applyFont="1"/>
    <xf numFmtId="165" fontId="38" fillId="0" borderId="0" xfId="100" applyNumberFormat="1" applyFont="1"/>
    <xf numFmtId="165" fontId="38" fillId="50" borderId="0" xfId="400" applyNumberFormat="1" applyFont="1" applyFill="1"/>
    <xf numFmtId="166" fontId="42" fillId="60" borderId="0" xfId="321" applyNumberFormat="1" applyFont="1" applyFill="1"/>
  </cellXfs>
  <cellStyles count="3124">
    <cellStyle name="20% - Accent1 2" xfId="1" xr:uid="{00000000-0005-0000-0000-000001000000}"/>
    <cellStyle name="20% - Accent1 2 2" xfId="355" xr:uid="{00000000-0005-0000-0000-000063010000}"/>
    <cellStyle name="20% - Accent1 2 2 2" xfId="2088" xr:uid="{00000000-0005-0000-0000-000028080000}"/>
    <cellStyle name="20% - Accent1 2 3" xfId="174" xr:uid="{00000000-0005-0000-0000-0000AE000000}"/>
    <cellStyle name="20% - Accent1 2 3 2" xfId="1923" xr:uid="{00000000-0005-0000-0000-000083070000}"/>
    <cellStyle name="20% - Accent1 2 4" xfId="1758" xr:uid="{00000000-0005-0000-0000-0000DE060000}"/>
    <cellStyle name="20% - Accent1 3" xfId="2" xr:uid="{00000000-0005-0000-0000-000002000000}"/>
    <cellStyle name="20% - Accent1 3 2" xfId="1759" xr:uid="{00000000-0005-0000-0000-0000DF060000}"/>
    <cellStyle name="20% - Accent1 4" xfId="1757" xr:uid="{00000000-0005-0000-0000-0000DD060000}"/>
    <cellStyle name="20% - Accent2 2" xfId="3" xr:uid="{00000000-0005-0000-0000-000003000000}"/>
    <cellStyle name="20% - Accent2 2 2" xfId="356" xr:uid="{00000000-0005-0000-0000-000064010000}"/>
    <cellStyle name="20% - Accent2 2 2 2" xfId="2089" xr:uid="{00000000-0005-0000-0000-000029080000}"/>
    <cellStyle name="20% - Accent2 2 3" xfId="175" xr:uid="{00000000-0005-0000-0000-0000AF000000}"/>
    <cellStyle name="20% - Accent2 2 3 2" xfId="1924" xr:uid="{00000000-0005-0000-0000-000084070000}"/>
    <cellStyle name="20% - Accent2 2 4" xfId="1761" xr:uid="{00000000-0005-0000-0000-0000E1060000}"/>
    <cellStyle name="20% - Accent2 3" xfId="4" xr:uid="{00000000-0005-0000-0000-000004000000}"/>
    <cellStyle name="20% - Accent2 3 2" xfId="1762" xr:uid="{00000000-0005-0000-0000-0000E2060000}"/>
    <cellStyle name="20% - Accent2 4" xfId="1760" xr:uid="{00000000-0005-0000-0000-0000E0060000}"/>
    <cellStyle name="20% - Accent3 2" xfId="5" xr:uid="{00000000-0005-0000-0000-000005000000}"/>
    <cellStyle name="20% - Accent3 2 2" xfId="357" xr:uid="{00000000-0005-0000-0000-000065010000}"/>
    <cellStyle name="20% - Accent3 2 2 2" xfId="2090" xr:uid="{00000000-0005-0000-0000-00002A080000}"/>
    <cellStyle name="20% - Accent3 2 3" xfId="176" xr:uid="{00000000-0005-0000-0000-0000B0000000}"/>
    <cellStyle name="20% - Accent3 2 3 2" xfId="1925" xr:uid="{00000000-0005-0000-0000-000085070000}"/>
    <cellStyle name="20% - Accent3 2 4" xfId="1764" xr:uid="{00000000-0005-0000-0000-0000E4060000}"/>
    <cellStyle name="20% - Accent3 3" xfId="6" xr:uid="{00000000-0005-0000-0000-000006000000}"/>
    <cellStyle name="20% - Accent3 3 2" xfId="1765" xr:uid="{00000000-0005-0000-0000-0000E5060000}"/>
    <cellStyle name="20% - Accent3 4" xfId="1763" xr:uid="{00000000-0005-0000-0000-0000E3060000}"/>
    <cellStyle name="20% - Accent4 2" xfId="7" xr:uid="{00000000-0005-0000-0000-000007000000}"/>
    <cellStyle name="20% - Accent4 2 2" xfId="358" xr:uid="{00000000-0005-0000-0000-000066010000}"/>
    <cellStyle name="20% - Accent4 2 2 2" xfId="2091" xr:uid="{00000000-0005-0000-0000-00002B080000}"/>
    <cellStyle name="20% - Accent4 2 3" xfId="177" xr:uid="{00000000-0005-0000-0000-0000B1000000}"/>
    <cellStyle name="20% - Accent4 2 3 2" xfId="1926" xr:uid="{00000000-0005-0000-0000-000086070000}"/>
    <cellStyle name="20% - Accent4 2 4" xfId="1767" xr:uid="{00000000-0005-0000-0000-0000E7060000}"/>
    <cellStyle name="20% - Accent4 3" xfId="8" xr:uid="{00000000-0005-0000-0000-000008000000}"/>
    <cellStyle name="20% - Accent4 3 2" xfId="1768" xr:uid="{00000000-0005-0000-0000-0000E8060000}"/>
    <cellStyle name="20% - Accent4 4" xfId="1766" xr:uid="{00000000-0005-0000-0000-0000E6060000}"/>
    <cellStyle name="20% - Accent5 2" xfId="9" xr:uid="{00000000-0005-0000-0000-000009000000}"/>
    <cellStyle name="20% - Accent5 2 2" xfId="359" xr:uid="{00000000-0005-0000-0000-000067010000}"/>
    <cellStyle name="20% - Accent5 2 2 2" xfId="2092" xr:uid="{00000000-0005-0000-0000-00002C080000}"/>
    <cellStyle name="20% - Accent5 2 3" xfId="178" xr:uid="{00000000-0005-0000-0000-0000B2000000}"/>
    <cellStyle name="20% - Accent5 2 3 2" xfId="1927" xr:uid="{00000000-0005-0000-0000-000087070000}"/>
    <cellStyle name="20% - Accent5 2 4" xfId="1770" xr:uid="{00000000-0005-0000-0000-0000EA060000}"/>
    <cellStyle name="20% - Accent5 3" xfId="10" xr:uid="{00000000-0005-0000-0000-00000A000000}"/>
    <cellStyle name="20% - Accent5 3 2" xfId="1771" xr:uid="{00000000-0005-0000-0000-0000EB060000}"/>
    <cellStyle name="20% - Accent5 4" xfId="1769" xr:uid="{00000000-0005-0000-0000-0000E9060000}"/>
    <cellStyle name="20% - Accent6 2" xfId="11" xr:uid="{00000000-0005-0000-0000-00000B000000}"/>
    <cellStyle name="20% - Accent6 2 2" xfId="360" xr:uid="{00000000-0005-0000-0000-000068010000}"/>
    <cellStyle name="20% - Accent6 2 2 2" xfId="2093" xr:uid="{00000000-0005-0000-0000-00002D080000}"/>
    <cellStyle name="20% - Accent6 2 3" xfId="179" xr:uid="{00000000-0005-0000-0000-0000B3000000}"/>
    <cellStyle name="20% - Accent6 2 3 2" xfId="1928" xr:uid="{00000000-0005-0000-0000-000088070000}"/>
    <cellStyle name="20% - Accent6 2 4" xfId="1773" xr:uid="{00000000-0005-0000-0000-0000ED060000}"/>
    <cellStyle name="20% - Accent6 3" xfId="12" xr:uid="{00000000-0005-0000-0000-00000C000000}"/>
    <cellStyle name="20% - Accent6 3 2" xfId="1774" xr:uid="{00000000-0005-0000-0000-0000EE060000}"/>
    <cellStyle name="20% - Accent6 4" xfId="1772" xr:uid="{00000000-0005-0000-0000-0000EC060000}"/>
    <cellStyle name="40% - Accent1 2" xfId="13" xr:uid="{00000000-0005-0000-0000-00000D000000}"/>
    <cellStyle name="40% - Accent1 2 2" xfId="361" xr:uid="{00000000-0005-0000-0000-000069010000}"/>
    <cellStyle name="40% - Accent1 2 2 2" xfId="2094" xr:uid="{00000000-0005-0000-0000-00002E080000}"/>
    <cellStyle name="40% - Accent1 2 3" xfId="180" xr:uid="{00000000-0005-0000-0000-0000B4000000}"/>
    <cellStyle name="40% - Accent1 2 3 2" xfId="1929" xr:uid="{00000000-0005-0000-0000-000089070000}"/>
    <cellStyle name="40% - Accent1 2 4" xfId="1776" xr:uid="{00000000-0005-0000-0000-0000F0060000}"/>
    <cellStyle name="40% - Accent1 3" xfId="14" xr:uid="{00000000-0005-0000-0000-00000E000000}"/>
    <cellStyle name="40% - Accent1 3 2" xfId="1777" xr:uid="{00000000-0005-0000-0000-0000F1060000}"/>
    <cellStyle name="40% - Accent1 4" xfId="1775" xr:uid="{00000000-0005-0000-0000-0000EF060000}"/>
    <cellStyle name="40% - Accent2 2" xfId="15" xr:uid="{00000000-0005-0000-0000-00000F000000}"/>
    <cellStyle name="40% - Accent2 2 2" xfId="362" xr:uid="{00000000-0005-0000-0000-00006A010000}"/>
    <cellStyle name="40% - Accent2 2 2 2" xfId="2095" xr:uid="{00000000-0005-0000-0000-00002F080000}"/>
    <cellStyle name="40% - Accent2 2 3" xfId="181" xr:uid="{00000000-0005-0000-0000-0000B5000000}"/>
    <cellStyle name="40% - Accent2 2 3 2" xfId="1930" xr:uid="{00000000-0005-0000-0000-00008A070000}"/>
    <cellStyle name="40% - Accent2 2 4" xfId="1779" xr:uid="{00000000-0005-0000-0000-0000F3060000}"/>
    <cellStyle name="40% - Accent2 3" xfId="16" xr:uid="{00000000-0005-0000-0000-000010000000}"/>
    <cellStyle name="40% - Accent2 3 2" xfId="1780" xr:uid="{00000000-0005-0000-0000-0000F4060000}"/>
    <cellStyle name="40% - Accent2 4" xfId="1778" xr:uid="{00000000-0005-0000-0000-0000F2060000}"/>
    <cellStyle name="40% - Accent3 2" xfId="17" xr:uid="{00000000-0005-0000-0000-000011000000}"/>
    <cellStyle name="40% - Accent3 2 2" xfId="363" xr:uid="{00000000-0005-0000-0000-00006B010000}"/>
    <cellStyle name="40% - Accent3 2 2 2" xfId="2096" xr:uid="{00000000-0005-0000-0000-000030080000}"/>
    <cellStyle name="40% - Accent3 2 3" xfId="182" xr:uid="{00000000-0005-0000-0000-0000B6000000}"/>
    <cellStyle name="40% - Accent3 2 3 2" xfId="1931" xr:uid="{00000000-0005-0000-0000-00008B070000}"/>
    <cellStyle name="40% - Accent3 2 4" xfId="1782" xr:uid="{00000000-0005-0000-0000-0000F6060000}"/>
    <cellStyle name="40% - Accent3 3" xfId="18" xr:uid="{00000000-0005-0000-0000-000012000000}"/>
    <cellStyle name="40% - Accent3 3 2" xfId="1783" xr:uid="{00000000-0005-0000-0000-0000F7060000}"/>
    <cellStyle name="40% - Accent3 4" xfId="1781" xr:uid="{00000000-0005-0000-0000-0000F5060000}"/>
    <cellStyle name="40% - Accent4 2" xfId="19" xr:uid="{00000000-0005-0000-0000-000013000000}"/>
    <cellStyle name="40% - Accent4 2 2" xfId="364" xr:uid="{00000000-0005-0000-0000-00006C010000}"/>
    <cellStyle name="40% - Accent4 2 2 2" xfId="2097" xr:uid="{00000000-0005-0000-0000-000031080000}"/>
    <cellStyle name="40% - Accent4 2 3" xfId="183" xr:uid="{00000000-0005-0000-0000-0000B7000000}"/>
    <cellStyle name="40% - Accent4 2 3 2" xfId="1932" xr:uid="{00000000-0005-0000-0000-00008C070000}"/>
    <cellStyle name="40% - Accent4 2 4" xfId="1785" xr:uid="{00000000-0005-0000-0000-0000F9060000}"/>
    <cellStyle name="40% - Accent4 3" xfId="20" xr:uid="{00000000-0005-0000-0000-000014000000}"/>
    <cellStyle name="40% - Accent4 3 2" xfId="1786" xr:uid="{00000000-0005-0000-0000-0000FA060000}"/>
    <cellStyle name="40% - Accent4 4" xfId="1784" xr:uid="{00000000-0005-0000-0000-0000F8060000}"/>
    <cellStyle name="40% - Accent5 2" xfId="21" xr:uid="{00000000-0005-0000-0000-000015000000}"/>
    <cellStyle name="40% - Accent5 2 2" xfId="365" xr:uid="{00000000-0005-0000-0000-00006D010000}"/>
    <cellStyle name="40% - Accent5 2 2 2" xfId="2098" xr:uid="{00000000-0005-0000-0000-000032080000}"/>
    <cellStyle name="40% - Accent5 2 3" xfId="184" xr:uid="{00000000-0005-0000-0000-0000B8000000}"/>
    <cellStyle name="40% - Accent5 2 3 2" xfId="1933" xr:uid="{00000000-0005-0000-0000-00008D070000}"/>
    <cellStyle name="40% - Accent5 2 4" xfId="1788" xr:uid="{00000000-0005-0000-0000-0000FC060000}"/>
    <cellStyle name="40% - Accent5 3" xfId="22" xr:uid="{00000000-0005-0000-0000-000016000000}"/>
    <cellStyle name="40% - Accent5 3 2" xfId="1789" xr:uid="{00000000-0005-0000-0000-0000FD060000}"/>
    <cellStyle name="40% - Accent5 4" xfId="1787" xr:uid="{00000000-0005-0000-0000-0000FB060000}"/>
    <cellStyle name="40% - Accent6 2" xfId="23" xr:uid="{00000000-0005-0000-0000-000017000000}"/>
    <cellStyle name="40% - Accent6 2 2" xfId="366" xr:uid="{00000000-0005-0000-0000-00006E010000}"/>
    <cellStyle name="40% - Accent6 2 2 2" xfId="2099" xr:uid="{00000000-0005-0000-0000-000033080000}"/>
    <cellStyle name="40% - Accent6 2 3" xfId="185" xr:uid="{00000000-0005-0000-0000-0000B9000000}"/>
    <cellStyle name="40% - Accent6 2 3 2" xfId="1934" xr:uid="{00000000-0005-0000-0000-00008E070000}"/>
    <cellStyle name="40% - Accent6 2 4" xfId="1791" xr:uid="{00000000-0005-0000-0000-0000FF060000}"/>
    <cellStyle name="40% - Accent6 3" xfId="24" xr:uid="{00000000-0005-0000-0000-000018000000}"/>
    <cellStyle name="40% - Accent6 3 2" xfId="1792" xr:uid="{00000000-0005-0000-0000-000000070000}"/>
    <cellStyle name="40% - Accent6 4" xfId="1790" xr:uid="{00000000-0005-0000-0000-0000FE060000}"/>
    <cellStyle name="60% - Accent1 2" xfId="25" xr:uid="{00000000-0005-0000-0000-000019000000}"/>
    <cellStyle name="60% - Accent1 2 2" xfId="367" xr:uid="{00000000-0005-0000-0000-00006F010000}"/>
    <cellStyle name="60% - Accent1 2 2 2" xfId="2100" xr:uid="{00000000-0005-0000-0000-000034080000}"/>
    <cellStyle name="60% - Accent1 2 3" xfId="186" xr:uid="{00000000-0005-0000-0000-0000BA000000}"/>
    <cellStyle name="60% - Accent1 2 3 2" xfId="1935" xr:uid="{00000000-0005-0000-0000-00008F070000}"/>
    <cellStyle name="60% - Accent1 2 4" xfId="1794" xr:uid="{00000000-0005-0000-0000-000002070000}"/>
    <cellStyle name="60% - Accent1 3" xfId="26" xr:uid="{00000000-0005-0000-0000-00001A000000}"/>
    <cellStyle name="60% - Accent1 3 2" xfId="1795" xr:uid="{00000000-0005-0000-0000-000003070000}"/>
    <cellStyle name="60% - Accent1 4" xfId="1793" xr:uid="{00000000-0005-0000-0000-000001070000}"/>
    <cellStyle name="60% - Accent2 2" xfId="27" xr:uid="{00000000-0005-0000-0000-00001B000000}"/>
    <cellStyle name="60% - Accent2 2 2" xfId="368" xr:uid="{00000000-0005-0000-0000-000070010000}"/>
    <cellStyle name="60% - Accent2 2 2 2" xfId="2101" xr:uid="{00000000-0005-0000-0000-000035080000}"/>
    <cellStyle name="60% - Accent2 2 3" xfId="187" xr:uid="{00000000-0005-0000-0000-0000BB000000}"/>
    <cellStyle name="60% - Accent2 2 3 2" xfId="1936" xr:uid="{00000000-0005-0000-0000-000090070000}"/>
    <cellStyle name="60% - Accent2 2 4" xfId="1797" xr:uid="{00000000-0005-0000-0000-000005070000}"/>
    <cellStyle name="60% - Accent2 3" xfId="28" xr:uid="{00000000-0005-0000-0000-00001C000000}"/>
    <cellStyle name="60% - Accent2 3 2" xfId="1798" xr:uid="{00000000-0005-0000-0000-000006070000}"/>
    <cellStyle name="60% - Accent2 4" xfId="1796" xr:uid="{00000000-0005-0000-0000-000004070000}"/>
    <cellStyle name="60% - Accent3 2" xfId="29" xr:uid="{00000000-0005-0000-0000-00001D000000}"/>
    <cellStyle name="60% - Accent3 2 2" xfId="369" xr:uid="{00000000-0005-0000-0000-000071010000}"/>
    <cellStyle name="60% - Accent3 2 2 2" xfId="2102" xr:uid="{00000000-0005-0000-0000-000036080000}"/>
    <cellStyle name="60% - Accent3 2 3" xfId="188" xr:uid="{00000000-0005-0000-0000-0000BC000000}"/>
    <cellStyle name="60% - Accent3 2 3 2" xfId="1937" xr:uid="{00000000-0005-0000-0000-000091070000}"/>
    <cellStyle name="60% - Accent3 2 4" xfId="1800" xr:uid="{00000000-0005-0000-0000-000008070000}"/>
    <cellStyle name="60% - Accent3 3" xfId="30" xr:uid="{00000000-0005-0000-0000-00001E000000}"/>
    <cellStyle name="60% - Accent3 3 2" xfId="1801" xr:uid="{00000000-0005-0000-0000-000009070000}"/>
    <cellStyle name="60% - Accent3 4" xfId="1799" xr:uid="{00000000-0005-0000-0000-000007070000}"/>
    <cellStyle name="60% - Accent4 2" xfId="31" xr:uid="{00000000-0005-0000-0000-00001F000000}"/>
    <cellStyle name="60% - Accent4 2 2" xfId="370" xr:uid="{00000000-0005-0000-0000-000072010000}"/>
    <cellStyle name="60% - Accent4 2 2 2" xfId="2103" xr:uid="{00000000-0005-0000-0000-000037080000}"/>
    <cellStyle name="60% - Accent4 2 3" xfId="189" xr:uid="{00000000-0005-0000-0000-0000BD000000}"/>
    <cellStyle name="60% - Accent4 2 3 2" xfId="1938" xr:uid="{00000000-0005-0000-0000-000092070000}"/>
    <cellStyle name="60% - Accent4 2 4" xfId="1803" xr:uid="{00000000-0005-0000-0000-00000B070000}"/>
    <cellStyle name="60% - Accent4 3" xfId="32" xr:uid="{00000000-0005-0000-0000-000020000000}"/>
    <cellStyle name="60% - Accent4 3 2" xfId="1804" xr:uid="{00000000-0005-0000-0000-00000C070000}"/>
    <cellStyle name="60% - Accent4 4" xfId="1802" xr:uid="{00000000-0005-0000-0000-00000A070000}"/>
    <cellStyle name="60% - Accent5 2" xfId="33" xr:uid="{00000000-0005-0000-0000-000021000000}"/>
    <cellStyle name="60% - Accent5 2 2" xfId="371" xr:uid="{00000000-0005-0000-0000-000073010000}"/>
    <cellStyle name="60% - Accent5 2 2 2" xfId="2104" xr:uid="{00000000-0005-0000-0000-000038080000}"/>
    <cellStyle name="60% - Accent5 2 3" xfId="190" xr:uid="{00000000-0005-0000-0000-0000BE000000}"/>
    <cellStyle name="60% - Accent5 2 3 2" xfId="1939" xr:uid="{00000000-0005-0000-0000-000093070000}"/>
    <cellStyle name="60% - Accent5 2 4" xfId="1806" xr:uid="{00000000-0005-0000-0000-00000E070000}"/>
    <cellStyle name="60% - Accent5 3" xfId="34" xr:uid="{00000000-0005-0000-0000-000022000000}"/>
    <cellStyle name="60% - Accent5 3 2" xfId="1807" xr:uid="{00000000-0005-0000-0000-00000F070000}"/>
    <cellStyle name="60% - Accent5 4" xfId="1805" xr:uid="{00000000-0005-0000-0000-00000D070000}"/>
    <cellStyle name="60% - Accent6 2" xfId="35" xr:uid="{00000000-0005-0000-0000-000023000000}"/>
    <cellStyle name="60% - Accent6 2 2" xfId="372" xr:uid="{00000000-0005-0000-0000-000074010000}"/>
    <cellStyle name="60% - Accent6 2 2 2" xfId="2105" xr:uid="{00000000-0005-0000-0000-000039080000}"/>
    <cellStyle name="60% - Accent6 2 3" xfId="191" xr:uid="{00000000-0005-0000-0000-0000BF000000}"/>
    <cellStyle name="60% - Accent6 2 3 2" xfId="1940" xr:uid="{00000000-0005-0000-0000-000094070000}"/>
    <cellStyle name="60% - Accent6 2 4" xfId="1809" xr:uid="{00000000-0005-0000-0000-000011070000}"/>
    <cellStyle name="60% - Accent6 3" xfId="36" xr:uid="{00000000-0005-0000-0000-000024000000}"/>
    <cellStyle name="60% - Accent6 3 2" xfId="1810" xr:uid="{00000000-0005-0000-0000-000012070000}"/>
    <cellStyle name="60% - Accent6 4" xfId="1808" xr:uid="{00000000-0005-0000-0000-000010070000}"/>
    <cellStyle name="Accent1 2" xfId="37" xr:uid="{00000000-0005-0000-0000-000025000000}"/>
    <cellStyle name="Accent1 2 2" xfId="373" xr:uid="{00000000-0005-0000-0000-000075010000}"/>
    <cellStyle name="Accent1 2 2 2" xfId="2106" xr:uid="{00000000-0005-0000-0000-00003A080000}"/>
    <cellStyle name="Accent1 2 3" xfId="192" xr:uid="{00000000-0005-0000-0000-0000C0000000}"/>
    <cellStyle name="Accent1 2 3 2" xfId="1941" xr:uid="{00000000-0005-0000-0000-000095070000}"/>
    <cellStyle name="Accent1 2 4" xfId="1812" xr:uid="{00000000-0005-0000-0000-000014070000}"/>
    <cellStyle name="Accent1 3" xfId="38" xr:uid="{00000000-0005-0000-0000-000026000000}"/>
    <cellStyle name="Accent1 3 2" xfId="1813" xr:uid="{00000000-0005-0000-0000-000015070000}"/>
    <cellStyle name="Accent1 4" xfId="1811" xr:uid="{00000000-0005-0000-0000-000013070000}"/>
    <cellStyle name="Accent2" xfId="39" builtinId="33"/>
    <cellStyle name="Accent2 2" xfId="40" xr:uid="{00000000-0005-0000-0000-000028000000}"/>
    <cellStyle name="Accent2 2 2" xfId="374" xr:uid="{00000000-0005-0000-0000-000076010000}"/>
    <cellStyle name="Accent2 2 2 2" xfId="2107" xr:uid="{00000000-0005-0000-0000-00003B080000}"/>
    <cellStyle name="Accent2 2 3" xfId="193" xr:uid="{00000000-0005-0000-0000-0000C1000000}"/>
    <cellStyle name="Accent2 2 3 2" xfId="1942" xr:uid="{00000000-0005-0000-0000-000096070000}"/>
    <cellStyle name="Accent2 2 4" xfId="1815" xr:uid="{00000000-0005-0000-0000-000017070000}"/>
    <cellStyle name="Accent2 3" xfId="41" xr:uid="{00000000-0005-0000-0000-000029000000}"/>
    <cellStyle name="Accent2 3 2" xfId="1816" xr:uid="{00000000-0005-0000-0000-000018070000}"/>
    <cellStyle name="Accent2 4" xfId="1814" xr:uid="{00000000-0005-0000-0000-000016070000}"/>
    <cellStyle name="Accent3 2" xfId="42" xr:uid="{00000000-0005-0000-0000-00002A000000}"/>
    <cellStyle name="Accent3 2 2" xfId="375" xr:uid="{00000000-0005-0000-0000-000077010000}"/>
    <cellStyle name="Accent3 2 2 2" xfId="2108" xr:uid="{00000000-0005-0000-0000-00003C080000}"/>
    <cellStyle name="Accent3 2 3" xfId="194" xr:uid="{00000000-0005-0000-0000-0000C2000000}"/>
    <cellStyle name="Accent3 2 3 2" xfId="1943" xr:uid="{00000000-0005-0000-0000-000097070000}"/>
    <cellStyle name="Accent3 2 4" xfId="1818" xr:uid="{00000000-0005-0000-0000-00001A070000}"/>
    <cellStyle name="Accent3 3" xfId="43" xr:uid="{00000000-0005-0000-0000-00002B000000}"/>
    <cellStyle name="Accent3 3 2" xfId="1819" xr:uid="{00000000-0005-0000-0000-00001B070000}"/>
    <cellStyle name="Accent3 4" xfId="1817" xr:uid="{00000000-0005-0000-0000-000019070000}"/>
    <cellStyle name="Accent4 2" xfId="44" xr:uid="{00000000-0005-0000-0000-00002C000000}"/>
    <cellStyle name="Accent4 2 2" xfId="376" xr:uid="{00000000-0005-0000-0000-000078010000}"/>
    <cellStyle name="Accent4 2 2 2" xfId="2109" xr:uid="{00000000-0005-0000-0000-00003D080000}"/>
    <cellStyle name="Accent4 2 3" xfId="195" xr:uid="{00000000-0005-0000-0000-0000C3000000}"/>
    <cellStyle name="Accent4 2 3 2" xfId="1944" xr:uid="{00000000-0005-0000-0000-000098070000}"/>
    <cellStyle name="Accent4 2 4" xfId="1821" xr:uid="{00000000-0005-0000-0000-00001D070000}"/>
    <cellStyle name="Accent4 3" xfId="45" xr:uid="{00000000-0005-0000-0000-00002D000000}"/>
    <cellStyle name="Accent4 3 2" xfId="1822" xr:uid="{00000000-0005-0000-0000-00001E070000}"/>
    <cellStyle name="Accent4 4" xfId="1820" xr:uid="{00000000-0005-0000-0000-00001C070000}"/>
    <cellStyle name="Accent5 2" xfId="46" xr:uid="{00000000-0005-0000-0000-00002E000000}"/>
    <cellStyle name="Accent5 2 2" xfId="377" xr:uid="{00000000-0005-0000-0000-000079010000}"/>
    <cellStyle name="Accent5 2 2 2" xfId="2110" xr:uid="{00000000-0005-0000-0000-00003E080000}"/>
    <cellStyle name="Accent5 2 3" xfId="196" xr:uid="{00000000-0005-0000-0000-0000C4000000}"/>
    <cellStyle name="Accent5 2 3 2" xfId="1945" xr:uid="{00000000-0005-0000-0000-000099070000}"/>
    <cellStyle name="Accent5 2 4" xfId="1824" xr:uid="{00000000-0005-0000-0000-000020070000}"/>
    <cellStyle name="Accent5 3" xfId="47" xr:uid="{00000000-0005-0000-0000-00002F000000}"/>
    <cellStyle name="Accent5 3 2" xfId="1825" xr:uid="{00000000-0005-0000-0000-000021070000}"/>
    <cellStyle name="Accent5 4" xfId="1823" xr:uid="{00000000-0005-0000-0000-00001F070000}"/>
    <cellStyle name="Accent6 2" xfId="48" xr:uid="{00000000-0005-0000-0000-000030000000}"/>
    <cellStyle name="Accent6 2 2" xfId="378" xr:uid="{00000000-0005-0000-0000-00007A010000}"/>
    <cellStyle name="Accent6 2 2 2" xfId="2111" xr:uid="{00000000-0005-0000-0000-00003F080000}"/>
    <cellStyle name="Accent6 2 3" xfId="197" xr:uid="{00000000-0005-0000-0000-0000C5000000}"/>
    <cellStyle name="Accent6 2 3 2" xfId="1946" xr:uid="{00000000-0005-0000-0000-00009A070000}"/>
    <cellStyle name="Accent6 2 4" xfId="1827" xr:uid="{00000000-0005-0000-0000-000023070000}"/>
    <cellStyle name="Accent6 3" xfId="49" xr:uid="{00000000-0005-0000-0000-000031000000}"/>
    <cellStyle name="Accent6 3 2" xfId="1828" xr:uid="{00000000-0005-0000-0000-000024070000}"/>
    <cellStyle name="Accent6 4" xfId="1826" xr:uid="{00000000-0005-0000-0000-000022070000}"/>
    <cellStyle name="Bad" xfId="50" builtinId="27"/>
    <cellStyle name="Bad 2" xfId="51" xr:uid="{00000000-0005-0000-0000-000033000000}"/>
    <cellStyle name="Bad 2 2" xfId="379" xr:uid="{00000000-0005-0000-0000-00007B010000}"/>
    <cellStyle name="Bad 2 2 2" xfId="2112" xr:uid="{00000000-0005-0000-0000-000040080000}"/>
    <cellStyle name="Bad 2 3" xfId="198" xr:uid="{00000000-0005-0000-0000-0000C6000000}"/>
    <cellStyle name="Bad 2 3 2" xfId="1947" xr:uid="{00000000-0005-0000-0000-00009B070000}"/>
    <cellStyle name="Bad 2 4" xfId="1830" xr:uid="{00000000-0005-0000-0000-000026070000}"/>
    <cellStyle name="Bad 3" xfId="52" xr:uid="{00000000-0005-0000-0000-000034000000}"/>
    <cellStyle name="Bad 3 2" xfId="1831" xr:uid="{00000000-0005-0000-0000-000027070000}"/>
    <cellStyle name="Bad 4" xfId="1829" xr:uid="{00000000-0005-0000-0000-000025070000}"/>
    <cellStyle name="Calculation 2" xfId="53" xr:uid="{00000000-0005-0000-0000-000035000000}"/>
    <cellStyle name="Calculation 2 2" xfId="380" xr:uid="{00000000-0005-0000-0000-00007C010000}"/>
    <cellStyle name="Calculation 2 2 2" xfId="516" xr:uid="{00000000-0005-0000-0000-000004020000}"/>
    <cellStyle name="Calculation 2 2 2 2" xfId="744" xr:uid="{00000000-0005-0000-0000-0000E8020000}"/>
    <cellStyle name="Calculation 2 2 2 2 2" xfId="1408" xr:uid="{00000000-0005-0000-0000-000080050000}"/>
    <cellStyle name="Calculation 2 2 2 2 2 2" xfId="3054" xr:uid="{00000000-0005-0000-0000-0000EE0B0000}"/>
    <cellStyle name="Calculation 2 2 2 2 3" xfId="2619" xr:uid="{00000000-0005-0000-0000-00003B0A0000}"/>
    <cellStyle name="Calculation 2 2 2 2 4" xfId="2471" xr:uid="{00000000-0005-0000-0000-0000A7090000}"/>
    <cellStyle name="Calculation 2 2 2 3" xfId="2244" xr:uid="{00000000-0005-0000-0000-0000C4080000}"/>
    <cellStyle name="Calculation 2 2 3" xfId="2113" xr:uid="{00000000-0005-0000-0000-000041080000}"/>
    <cellStyle name="Calculation 2 3" xfId="199" xr:uid="{00000000-0005-0000-0000-0000C7000000}"/>
    <cellStyle name="Calculation 2 3 2" xfId="434" xr:uid="{00000000-0005-0000-0000-0000B2010000}"/>
    <cellStyle name="Calculation 2 3 2 2" xfId="663" xr:uid="{00000000-0005-0000-0000-000097020000}"/>
    <cellStyle name="Calculation 2 3 2 2 2" xfId="1327" xr:uid="{00000000-0005-0000-0000-00002F050000}"/>
    <cellStyle name="Calculation 2 3 2 2 2 2" xfId="2973" xr:uid="{00000000-0005-0000-0000-00009D0B0000}"/>
    <cellStyle name="Calculation 2 3 2 2 3" xfId="2602" xr:uid="{00000000-0005-0000-0000-00002A0A0000}"/>
    <cellStyle name="Calculation 2 3 2 2 4" xfId="2390" xr:uid="{00000000-0005-0000-0000-000056090000}"/>
    <cellStyle name="Calculation 2 3 2 3" xfId="2162" xr:uid="{00000000-0005-0000-0000-000072080000}"/>
    <cellStyle name="Calculation 2 3 3" xfId="1948" xr:uid="{00000000-0005-0000-0000-00009C070000}"/>
    <cellStyle name="Calculation 2 4" xfId="406" xr:uid="{00000000-0005-0000-0000-000096010000}"/>
    <cellStyle name="Calculation 2 4 2" xfId="641" xr:uid="{00000000-0005-0000-0000-000081020000}"/>
    <cellStyle name="Calculation 2 4 2 2" xfId="1305" xr:uid="{00000000-0005-0000-0000-000019050000}"/>
    <cellStyle name="Calculation 2 4 2 2 2" xfId="2952" xr:uid="{00000000-0005-0000-0000-0000880B0000}"/>
    <cellStyle name="Calculation 2 4 2 3" xfId="2588" xr:uid="{00000000-0005-0000-0000-00001C0A0000}"/>
    <cellStyle name="Calculation 2 4 2 4" xfId="2369" xr:uid="{00000000-0005-0000-0000-000041090000}"/>
    <cellStyle name="Calculation 2 4 3" xfId="2135" xr:uid="{00000000-0005-0000-0000-000057080000}"/>
    <cellStyle name="Calculation 2 5" xfId="1833" xr:uid="{00000000-0005-0000-0000-000029070000}"/>
    <cellStyle name="Calculation 3" xfId="54" xr:uid="{00000000-0005-0000-0000-000036000000}"/>
    <cellStyle name="Calculation 3 2" xfId="407" xr:uid="{00000000-0005-0000-0000-000097010000}"/>
    <cellStyle name="Calculation 3 2 2" xfId="642" xr:uid="{00000000-0005-0000-0000-000082020000}"/>
    <cellStyle name="Calculation 3 2 2 2" xfId="1306" xr:uid="{00000000-0005-0000-0000-00001A050000}"/>
    <cellStyle name="Calculation 3 2 2 2 2" xfId="2953" xr:uid="{00000000-0005-0000-0000-0000890B0000}"/>
    <cellStyle name="Calculation 3 2 2 3" xfId="2589" xr:uid="{00000000-0005-0000-0000-00001D0A0000}"/>
    <cellStyle name="Calculation 3 2 2 4" xfId="2370" xr:uid="{00000000-0005-0000-0000-000042090000}"/>
    <cellStyle name="Calculation 3 2 3" xfId="2136" xr:uid="{00000000-0005-0000-0000-000058080000}"/>
    <cellStyle name="Calculation 3 3" xfId="1834" xr:uid="{00000000-0005-0000-0000-00002A070000}"/>
    <cellStyle name="Calculation 4" xfId="405" xr:uid="{00000000-0005-0000-0000-000095010000}"/>
    <cellStyle name="Calculation 4 2" xfId="640" xr:uid="{00000000-0005-0000-0000-000080020000}"/>
    <cellStyle name="Calculation 4 2 2" xfId="1304" xr:uid="{00000000-0005-0000-0000-000018050000}"/>
    <cellStyle name="Calculation 4 2 2 2" xfId="2951" xr:uid="{00000000-0005-0000-0000-0000870B0000}"/>
    <cellStyle name="Calculation 4 2 3" xfId="2587" xr:uid="{00000000-0005-0000-0000-00001B0A0000}"/>
    <cellStyle name="Calculation 4 2 4" xfId="2368" xr:uid="{00000000-0005-0000-0000-000040090000}"/>
    <cellStyle name="Calculation 4 3" xfId="2134" xr:uid="{00000000-0005-0000-0000-000056080000}"/>
    <cellStyle name="Calculation 5" xfId="1832" xr:uid="{00000000-0005-0000-0000-000028070000}"/>
    <cellStyle name="Check Cell 2" xfId="55" xr:uid="{00000000-0005-0000-0000-000037000000}"/>
    <cellStyle name="Check Cell 2 2" xfId="381" xr:uid="{00000000-0005-0000-0000-00007D010000}"/>
    <cellStyle name="Check Cell 2 2 2" xfId="2114" xr:uid="{00000000-0005-0000-0000-000042080000}"/>
    <cellStyle name="Check Cell 2 3" xfId="200" xr:uid="{00000000-0005-0000-0000-0000C8000000}"/>
    <cellStyle name="Check Cell 2 3 2" xfId="1949" xr:uid="{00000000-0005-0000-0000-00009D070000}"/>
    <cellStyle name="Check Cell 2 4" xfId="1836" xr:uid="{00000000-0005-0000-0000-00002C070000}"/>
    <cellStyle name="Check Cell 3" xfId="56" xr:uid="{00000000-0005-0000-0000-000038000000}"/>
    <cellStyle name="Check Cell 3 2" xfId="1837" xr:uid="{00000000-0005-0000-0000-00002D070000}"/>
    <cellStyle name="Check Cell 4" xfId="1835" xr:uid="{00000000-0005-0000-0000-00002B070000}"/>
    <cellStyle name="Comma" xfId="1434" builtinId="3"/>
    <cellStyle name="Comma 10" xfId="201" xr:uid="{00000000-0005-0000-0000-0000C9000000}"/>
    <cellStyle name="Comma 10 2" xfId="202" xr:uid="{00000000-0005-0000-0000-0000CA000000}"/>
    <cellStyle name="Comma 10 2 2" xfId="436" xr:uid="{00000000-0005-0000-0000-0000B4010000}"/>
    <cellStyle name="Comma 10 2 2 2" xfId="665" xr:uid="{00000000-0005-0000-0000-000099020000}"/>
    <cellStyle name="Comma 10 2 2 2 2" xfId="1329" xr:uid="{00000000-0005-0000-0000-000031050000}"/>
    <cellStyle name="Comma 10 2 2 2 2 2" xfId="2975" xr:uid="{00000000-0005-0000-0000-00009F0B0000}"/>
    <cellStyle name="Comma 10 2 2 2 3" xfId="2392" xr:uid="{00000000-0005-0000-0000-000058090000}"/>
    <cellStyle name="Comma 10 2 2 3" xfId="886" xr:uid="{00000000-0005-0000-0000-000076030000}"/>
    <cellStyle name="Comma 10 2 2 3 2" xfId="2752" xr:uid="{00000000-0005-0000-0000-0000C00A0000}"/>
    <cellStyle name="Comma 10 2 2 4" xfId="1104" xr:uid="{00000000-0005-0000-0000-000050040000}"/>
    <cellStyle name="Comma 10 2 2 5" xfId="2164" xr:uid="{00000000-0005-0000-0000-000074080000}"/>
    <cellStyle name="Comma 10 2 3" xfId="550" xr:uid="{00000000-0005-0000-0000-000026020000}"/>
    <cellStyle name="Comma 10 2 3 2" xfId="1214" xr:uid="{00000000-0005-0000-0000-0000BE040000}"/>
    <cellStyle name="Comma 10 2 3 2 2" xfId="2861" xr:uid="{00000000-0005-0000-0000-00002D0B0000}"/>
    <cellStyle name="Comma 10 2 3 3" xfId="2278" xr:uid="{00000000-0005-0000-0000-0000E6080000}"/>
    <cellStyle name="Comma 10 2 4" xfId="778" xr:uid="{00000000-0005-0000-0000-00000A030000}"/>
    <cellStyle name="Comma 10 2 4 2" xfId="2645" xr:uid="{00000000-0005-0000-0000-0000550A0000}"/>
    <cellStyle name="Comma 10 2 5" xfId="996" xr:uid="{00000000-0005-0000-0000-0000E4030000}"/>
    <cellStyle name="Comma 10 2 6" xfId="1951" xr:uid="{00000000-0005-0000-0000-00009F070000}"/>
    <cellStyle name="Comma 10 3" xfId="435" xr:uid="{00000000-0005-0000-0000-0000B3010000}"/>
    <cellStyle name="Comma 10 3 2" xfId="664" xr:uid="{00000000-0005-0000-0000-000098020000}"/>
    <cellStyle name="Comma 10 3 2 2" xfId="1328" xr:uid="{00000000-0005-0000-0000-000030050000}"/>
    <cellStyle name="Comma 10 3 2 2 2" xfId="2974" xr:uid="{00000000-0005-0000-0000-00009E0B0000}"/>
    <cellStyle name="Comma 10 3 2 3" xfId="2391" xr:uid="{00000000-0005-0000-0000-000057090000}"/>
    <cellStyle name="Comma 10 3 3" xfId="885" xr:uid="{00000000-0005-0000-0000-000075030000}"/>
    <cellStyle name="Comma 10 3 3 2" xfId="2751" xr:uid="{00000000-0005-0000-0000-0000BF0A0000}"/>
    <cellStyle name="Comma 10 3 4" xfId="1103" xr:uid="{00000000-0005-0000-0000-00004F040000}"/>
    <cellStyle name="Comma 10 3 5" xfId="2163" xr:uid="{00000000-0005-0000-0000-000073080000}"/>
    <cellStyle name="Comma 10 4" xfId="549" xr:uid="{00000000-0005-0000-0000-000025020000}"/>
    <cellStyle name="Comma 10 4 2" xfId="1213" xr:uid="{00000000-0005-0000-0000-0000BD040000}"/>
    <cellStyle name="Comma 10 4 2 2" xfId="2860" xr:uid="{00000000-0005-0000-0000-00002C0B0000}"/>
    <cellStyle name="Comma 10 4 3" xfId="2277" xr:uid="{00000000-0005-0000-0000-0000E5080000}"/>
    <cellStyle name="Comma 10 5" xfId="777" xr:uid="{00000000-0005-0000-0000-000009030000}"/>
    <cellStyle name="Comma 10 5 2" xfId="2644" xr:uid="{00000000-0005-0000-0000-0000540A0000}"/>
    <cellStyle name="Comma 10 6" xfId="995" xr:uid="{00000000-0005-0000-0000-0000E3030000}"/>
    <cellStyle name="Comma 10 7" xfId="1950" xr:uid="{00000000-0005-0000-0000-00009E070000}"/>
    <cellStyle name="Comma 11" xfId="203" xr:uid="{00000000-0005-0000-0000-0000CB000000}"/>
    <cellStyle name="Comma 11 2" xfId="204" xr:uid="{00000000-0005-0000-0000-0000CC000000}"/>
    <cellStyle name="Comma 11 2 2" xfId="205" xr:uid="{00000000-0005-0000-0000-0000CD000000}"/>
    <cellStyle name="Comma 11 2 2 2" xfId="439" xr:uid="{00000000-0005-0000-0000-0000B7010000}"/>
    <cellStyle name="Comma 11 2 2 2 2" xfId="668" xr:uid="{00000000-0005-0000-0000-00009C020000}"/>
    <cellStyle name="Comma 11 2 2 2 2 2" xfId="1332" xr:uid="{00000000-0005-0000-0000-000034050000}"/>
    <cellStyle name="Comma 11 2 2 2 2 2 2" xfId="2978" xr:uid="{00000000-0005-0000-0000-0000A20B0000}"/>
    <cellStyle name="Comma 11 2 2 2 2 3" xfId="2395" xr:uid="{00000000-0005-0000-0000-00005B090000}"/>
    <cellStyle name="Comma 11 2 2 2 3" xfId="889" xr:uid="{00000000-0005-0000-0000-000079030000}"/>
    <cellStyle name="Comma 11 2 2 2 3 2" xfId="2755" xr:uid="{00000000-0005-0000-0000-0000C30A0000}"/>
    <cellStyle name="Comma 11 2 2 2 4" xfId="1107" xr:uid="{00000000-0005-0000-0000-000053040000}"/>
    <cellStyle name="Comma 11 2 2 2 5" xfId="2167" xr:uid="{00000000-0005-0000-0000-000077080000}"/>
    <cellStyle name="Comma 11 2 2 3" xfId="553" xr:uid="{00000000-0005-0000-0000-000029020000}"/>
    <cellStyle name="Comma 11 2 2 3 2" xfId="1217" xr:uid="{00000000-0005-0000-0000-0000C1040000}"/>
    <cellStyle name="Comma 11 2 2 3 2 2" xfId="2864" xr:uid="{00000000-0005-0000-0000-0000300B0000}"/>
    <cellStyle name="Comma 11 2 2 3 3" xfId="2281" xr:uid="{00000000-0005-0000-0000-0000E9080000}"/>
    <cellStyle name="Comma 11 2 2 4" xfId="781" xr:uid="{00000000-0005-0000-0000-00000D030000}"/>
    <cellStyle name="Comma 11 2 2 4 2" xfId="2648" xr:uid="{00000000-0005-0000-0000-0000580A0000}"/>
    <cellStyle name="Comma 11 2 2 5" xfId="999" xr:uid="{00000000-0005-0000-0000-0000E7030000}"/>
    <cellStyle name="Comma 11 2 2 6" xfId="1954" xr:uid="{00000000-0005-0000-0000-0000A2070000}"/>
    <cellStyle name="Comma 11 2 3" xfId="438" xr:uid="{00000000-0005-0000-0000-0000B6010000}"/>
    <cellStyle name="Comma 11 2 3 2" xfId="667" xr:uid="{00000000-0005-0000-0000-00009B020000}"/>
    <cellStyle name="Comma 11 2 3 2 2" xfId="1331" xr:uid="{00000000-0005-0000-0000-000033050000}"/>
    <cellStyle name="Comma 11 2 3 2 2 2" xfId="2977" xr:uid="{00000000-0005-0000-0000-0000A10B0000}"/>
    <cellStyle name="Comma 11 2 3 2 3" xfId="2394" xr:uid="{00000000-0005-0000-0000-00005A090000}"/>
    <cellStyle name="Comma 11 2 3 3" xfId="888" xr:uid="{00000000-0005-0000-0000-000078030000}"/>
    <cellStyle name="Comma 11 2 3 3 2" xfId="2754" xr:uid="{00000000-0005-0000-0000-0000C20A0000}"/>
    <cellStyle name="Comma 11 2 3 4" xfId="1106" xr:uid="{00000000-0005-0000-0000-000052040000}"/>
    <cellStyle name="Comma 11 2 3 5" xfId="2166" xr:uid="{00000000-0005-0000-0000-000076080000}"/>
    <cellStyle name="Comma 11 2 4" xfId="552" xr:uid="{00000000-0005-0000-0000-000028020000}"/>
    <cellStyle name="Comma 11 2 4 2" xfId="1216" xr:uid="{00000000-0005-0000-0000-0000C0040000}"/>
    <cellStyle name="Comma 11 2 4 2 2" xfId="2863" xr:uid="{00000000-0005-0000-0000-00002F0B0000}"/>
    <cellStyle name="Comma 11 2 4 3" xfId="2280" xr:uid="{00000000-0005-0000-0000-0000E8080000}"/>
    <cellStyle name="Comma 11 2 5" xfId="780" xr:uid="{00000000-0005-0000-0000-00000C030000}"/>
    <cellStyle name="Comma 11 2 5 2" xfId="2647" xr:uid="{00000000-0005-0000-0000-0000570A0000}"/>
    <cellStyle name="Comma 11 2 6" xfId="998" xr:uid="{00000000-0005-0000-0000-0000E6030000}"/>
    <cellStyle name="Comma 11 2 7" xfId="1953" xr:uid="{00000000-0005-0000-0000-0000A1070000}"/>
    <cellStyle name="Comma 11 3" xfId="206" xr:uid="{00000000-0005-0000-0000-0000CE000000}"/>
    <cellStyle name="Comma 11 3 2" xfId="440" xr:uid="{00000000-0005-0000-0000-0000B8010000}"/>
    <cellStyle name="Comma 11 3 2 2" xfId="669" xr:uid="{00000000-0005-0000-0000-00009D020000}"/>
    <cellStyle name="Comma 11 3 2 2 2" xfId="1333" xr:uid="{00000000-0005-0000-0000-000035050000}"/>
    <cellStyle name="Comma 11 3 2 2 2 2" xfId="2979" xr:uid="{00000000-0005-0000-0000-0000A30B0000}"/>
    <cellStyle name="Comma 11 3 2 2 3" xfId="2396" xr:uid="{00000000-0005-0000-0000-00005C090000}"/>
    <cellStyle name="Comma 11 3 2 3" xfId="890" xr:uid="{00000000-0005-0000-0000-00007A030000}"/>
    <cellStyle name="Comma 11 3 2 3 2" xfId="2756" xr:uid="{00000000-0005-0000-0000-0000C40A0000}"/>
    <cellStyle name="Comma 11 3 2 4" xfId="1108" xr:uid="{00000000-0005-0000-0000-000054040000}"/>
    <cellStyle name="Comma 11 3 2 5" xfId="2168" xr:uid="{00000000-0005-0000-0000-000078080000}"/>
    <cellStyle name="Comma 11 3 3" xfId="554" xr:uid="{00000000-0005-0000-0000-00002A020000}"/>
    <cellStyle name="Comma 11 3 3 2" xfId="1218" xr:uid="{00000000-0005-0000-0000-0000C2040000}"/>
    <cellStyle name="Comma 11 3 3 2 2" xfId="2865" xr:uid="{00000000-0005-0000-0000-0000310B0000}"/>
    <cellStyle name="Comma 11 3 3 3" xfId="2282" xr:uid="{00000000-0005-0000-0000-0000EA080000}"/>
    <cellStyle name="Comma 11 3 4" xfId="782" xr:uid="{00000000-0005-0000-0000-00000E030000}"/>
    <cellStyle name="Comma 11 3 4 2" xfId="2649" xr:uid="{00000000-0005-0000-0000-0000590A0000}"/>
    <cellStyle name="Comma 11 3 5" xfId="1000" xr:uid="{00000000-0005-0000-0000-0000E8030000}"/>
    <cellStyle name="Comma 11 3 6" xfId="1955" xr:uid="{00000000-0005-0000-0000-0000A3070000}"/>
    <cellStyle name="Comma 11 4" xfId="437" xr:uid="{00000000-0005-0000-0000-0000B5010000}"/>
    <cellStyle name="Comma 11 4 2" xfId="666" xr:uid="{00000000-0005-0000-0000-00009A020000}"/>
    <cellStyle name="Comma 11 4 2 2" xfId="1330" xr:uid="{00000000-0005-0000-0000-000032050000}"/>
    <cellStyle name="Comma 11 4 2 2 2" xfId="2976" xr:uid="{00000000-0005-0000-0000-0000A00B0000}"/>
    <cellStyle name="Comma 11 4 2 3" xfId="2393" xr:uid="{00000000-0005-0000-0000-000059090000}"/>
    <cellStyle name="Comma 11 4 3" xfId="887" xr:uid="{00000000-0005-0000-0000-000077030000}"/>
    <cellStyle name="Comma 11 4 3 2" xfId="2753" xr:uid="{00000000-0005-0000-0000-0000C10A0000}"/>
    <cellStyle name="Comma 11 4 4" xfId="1105" xr:uid="{00000000-0005-0000-0000-000051040000}"/>
    <cellStyle name="Comma 11 4 5" xfId="2165" xr:uid="{00000000-0005-0000-0000-000075080000}"/>
    <cellStyle name="Comma 11 5" xfId="551" xr:uid="{00000000-0005-0000-0000-000027020000}"/>
    <cellStyle name="Comma 11 5 2" xfId="1215" xr:uid="{00000000-0005-0000-0000-0000BF040000}"/>
    <cellStyle name="Comma 11 5 2 2" xfId="2862" xr:uid="{00000000-0005-0000-0000-00002E0B0000}"/>
    <cellStyle name="Comma 11 5 3" xfId="2279" xr:uid="{00000000-0005-0000-0000-0000E7080000}"/>
    <cellStyle name="Comma 11 6" xfId="779" xr:uid="{00000000-0005-0000-0000-00000B030000}"/>
    <cellStyle name="Comma 11 6 2" xfId="2646" xr:uid="{00000000-0005-0000-0000-0000560A0000}"/>
    <cellStyle name="Comma 11 7" xfId="997" xr:uid="{00000000-0005-0000-0000-0000E5030000}"/>
    <cellStyle name="Comma 11 8" xfId="1952" xr:uid="{00000000-0005-0000-0000-0000A0070000}"/>
    <cellStyle name="Comma 12" xfId="207" xr:uid="{00000000-0005-0000-0000-0000CF000000}"/>
    <cellStyle name="Comma 12 2" xfId="208" xr:uid="{00000000-0005-0000-0000-0000D0000000}"/>
    <cellStyle name="Comma 12 2 2" xfId="442" xr:uid="{00000000-0005-0000-0000-0000BA010000}"/>
    <cellStyle name="Comma 12 2 2 2" xfId="671" xr:uid="{00000000-0005-0000-0000-00009F020000}"/>
    <cellStyle name="Comma 12 2 2 2 2" xfId="1335" xr:uid="{00000000-0005-0000-0000-000037050000}"/>
    <cellStyle name="Comma 12 2 2 2 2 2" xfId="2981" xr:uid="{00000000-0005-0000-0000-0000A50B0000}"/>
    <cellStyle name="Comma 12 2 2 2 3" xfId="2398" xr:uid="{00000000-0005-0000-0000-00005E090000}"/>
    <cellStyle name="Comma 12 2 2 3" xfId="892" xr:uid="{00000000-0005-0000-0000-00007C030000}"/>
    <cellStyle name="Comma 12 2 2 3 2" xfId="2758" xr:uid="{00000000-0005-0000-0000-0000C60A0000}"/>
    <cellStyle name="Comma 12 2 2 4" xfId="1110" xr:uid="{00000000-0005-0000-0000-000056040000}"/>
    <cellStyle name="Comma 12 2 2 5" xfId="2170" xr:uid="{00000000-0005-0000-0000-00007A080000}"/>
    <cellStyle name="Comma 12 2 3" xfId="556" xr:uid="{00000000-0005-0000-0000-00002C020000}"/>
    <cellStyle name="Comma 12 2 3 2" xfId="1220" xr:uid="{00000000-0005-0000-0000-0000C4040000}"/>
    <cellStyle name="Comma 12 2 3 2 2" xfId="2867" xr:uid="{00000000-0005-0000-0000-0000330B0000}"/>
    <cellStyle name="Comma 12 2 3 3" xfId="2284" xr:uid="{00000000-0005-0000-0000-0000EC080000}"/>
    <cellStyle name="Comma 12 2 4" xfId="784" xr:uid="{00000000-0005-0000-0000-000010030000}"/>
    <cellStyle name="Comma 12 2 4 2" xfId="2651" xr:uid="{00000000-0005-0000-0000-00005B0A0000}"/>
    <cellStyle name="Comma 12 2 5" xfId="1002" xr:uid="{00000000-0005-0000-0000-0000EA030000}"/>
    <cellStyle name="Comma 12 2 6" xfId="1957" xr:uid="{00000000-0005-0000-0000-0000A5070000}"/>
    <cellStyle name="Comma 12 3" xfId="441" xr:uid="{00000000-0005-0000-0000-0000B9010000}"/>
    <cellStyle name="Comma 12 3 2" xfId="670" xr:uid="{00000000-0005-0000-0000-00009E020000}"/>
    <cellStyle name="Comma 12 3 2 2" xfId="1334" xr:uid="{00000000-0005-0000-0000-000036050000}"/>
    <cellStyle name="Comma 12 3 2 2 2" xfId="2980" xr:uid="{00000000-0005-0000-0000-0000A40B0000}"/>
    <cellStyle name="Comma 12 3 2 3" xfId="2397" xr:uid="{00000000-0005-0000-0000-00005D090000}"/>
    <cellStyle name="Comma 12 3 3" xfId="891" xr:uid="{00000000-0005-0000-0000-00007B030000}"/>
    <cellStyle name="Comma 12 3 3 2" xfId="2757" xr:uid="{00000000-0005-0000-0000-0000C50A0000}"/>
    <cellStyle name="Comma 12 3 4" xfId="1109" xr:uid="{00000000-0005-0000-0000-000055040000}"/>
    <cellStyle name="Comma 12 3 5" xfId="2169" xr:uid="{00000000-0005-0000-0000-000079080000}"/>
    <cellStyle name="Comma 12 4" xfId="555" xr:uid="{00000000-0005-0000-0000-00002B020000}"/>
    <cellStyle name="Comma 12 4 2" xfId="1219" xr:uid="{00000000-0005-0000-0000-0000C3040000}"/>
    <cellStyle name="Comma 12 4 2 2" xfId="2866" xr:uid="{00000000-0005-0000-0000-0000320B0000}"/>
    <cellStyle name="Comma 12 4 3" xfId="2283" xr:uid="{00000000-0005-0000-0000-0000EB080000}"/>
    <cellStyle name="Comma 12 5" xfId="783" xr:uid="{00000000-0005-0000-0000-00000F030000}"/>
    <cellStyle name="Comma 12 5 2" xfId="2650" xr:uid="{00000000-0005-0000-0000-00005A0A0000}"/>
    <cellStyle name="Comma 12 6" xfId="1001" xr:uid="{00000000-0005-0000-0000-0000E9030000}"/>
    <cellStyle name="Comma 12 7" xfId="1956" xr:uid="{00000000-0005-0000-0000-0000A4070000}"/>
    <cellStyle name="Comma 13" xfId="209" xr:uid="{00000000-0005-0000-0000-0000D1000000}"/>
    <cellStyle name="Comma 13 2" xfId="210" xr:uid="{00000000-0005-0000-0000-0000D2000000}"/>
    <cellStyle name="Comma 13 2 2" xfId="444" xr:uid="{00000000-0005-0000-0000-0000BC010000}"/>
    <cellStyle name="Comma 13 2 2 2" xfId="673" xr:uid="{00000000-0005-0000-0000-0000A1020000}"/>
    <cellStyle name="Comma 13 2 2 2 2" xfId="1337" xr:uid="{00000000-0005-0000-0000-000039050000}"/>
    <cellStyle name="Comma 13 2 2 2 2 2" xfId="2983" xr:uid="{00000000-0005-0000-0000-0000A70B0000}"/>
    <cellStyle name="Comma 13 2 2 2 3" xfId="2400" xr:uid="{00000000-0005-0000-0000-000060090000}"/>
    <cellStyle name="Comma 13 2 2 3" xfId="894" xr:uid="{00000000-0005-0000-0000-00007E030000}"/>
    <cellStyle name="Comma 13 2 2 3 2" xfId="2760" xr:uid="{00000000-0005-0000-0000-0000C80A0000}"/>
    <cellStyle name="Comma 13 2 2 4" xfId="1112" xr:uid="{00000000-0005-0000-0000-000058040000}"/>
    <cellStyle name="Comma 13 2 2 5" xfId="2172" xr:uid="{00000000-0005-0000-0000-00007C080000}"/>
    <cellStyle name="Comma 13 2 3" xfId="558" xr:uid="{00000000-0005-0000-0000-00002E020000}"/>
    <cellStyle name="Comma 13 2 3 2" xfId="1222" xr:uid="{00000000-0005-0000-0000-0000C6040000}"/>
    <cellStyle name="Comma 13 2 3 2 2" xfId="2869" xr:uid="{00000000-0005-0000-0000-0000350B0000}"/>
    <cellStyle name="Comma 13 2 3 3" xfId="2286" xr:uid="{00000000-0005-0000-0000-0000EE080000}"/>
    <cellStyle name="Comma 13 2 4" xfId="786" xr:uid="{00000000-0005-0000-0000-000012030000}"/>
    <cellStyle name="Comma 13 2 4 2" xfId="2653" xr:uid="{00000000-0005-0000-0000-00005D0A0000}"/>
    <cellStyle name="Comma 13 2 5" xfId="1004" xr:uid="{00000000-0005-0000-0000-0000EC030000}"/>
    <cellStyle name="Comma 13 2 6" xfId="1959" xr:uid="{00000000-0005-0000-0000-0000A7070000}"/>
    <cellStyle name="Comma 13 3" xfId="443" xr:uid="{00000000-0005-0000-0000-0000BB010000}"/>
    <cellStyle name="Comma 13 3 2" xfId="672" xr:uid="{00000000-0005-0000-0000-0000A0020000}"/>
    <cellStyle name="Comma 13 3 2 2" xfId="1336" xr:uid="{00000000-0005-0000-0000-000038050000}"/>
    <cellStyle name="Comma 13 3 2 2 2" xfId="2982" xr:uid="{00000000-0005-0000-0000-0000A60B0000}"/>
    <cellStyle name="Comma 13 3 2 3" xfId="2399" xr:uid="{00000000-0005-0000-0000-00005F090000}"/>
    <cellStyle name="Comma 13 3 3" xfId="893" xr:uid="{00000000-0005-0000-0000-00007D030000}"/>
    <cellStyle name="Comma 13 3 3 2" xfId="2759" xr:uid="{00000000-0005-0000-0000-0000C70A0000}"/>
    <cellStyle name="Comma 13 3 4" xfId="1111" xr:uid="{00000000-0005-0000-0000-000057040000}"/>
    <cellStyle name="Comma 13 3 5" xfId="2171" xr:uid="{00000000-0005-0000-0000-00007B080000}"/>
    <cellStyle name="Comma 13 4" xfId="557" xr:uid="{00000000-0005-0000-0000-00002D020000}"/>
    <cellStyle name="Comma 13 4 2" xfId="1221" xr:uid="{00000000-0005-0000-0000-0000C5040000}"/>
    <cellStyle name="Comma 13 4 2 2" xfId="2868" xr:uid="{00000000-0005-0000-0000-0000340B0000}"/>
    <cellStyle name="Comma 13 4 3" xfId="2285" xr:uid="{00000000-0005-0000-0000-0000ED080000}"/>
    <cellStyle name="Comma 13 5" xfId="785" xr:uid="{00000000-0005-0000-0000-000011030000}"/>
    <cellStyle name="Comma 13 5 2" xfId="2652" xr:uid="{00000000-0005-0000-0000-00005C0A0000}"/>
    <cellStyle name="Comma 13 6" xfId="1003" xr:uid="{00000000-0005-0000-0000-0000EB030000}"/>
    <cellStyle name="Comma 13 7" xfId="1958" xr:uid="{00000000-0005-0000-0000-0000A6070000}"/>
    <cellStyle name="Comma 14" xfId="211" xr:uid="{00000000-0005-0000-0000-0000D3000000}"/>
    <cellStyle name="Comma 14 2" xfId="445" xr:uid="{00000000-0005-0000-0000-0000BD010000}"/>
    <cellStyle name="Comma 14 2 2" xfId="674" xr:uid="{00000000-0005-0000-0000-0000A2020000}"/>
    <cellStyle name="Comma 14 2 2 2" xfId="1338" xr:uid="{00000000-0005-0000-0000-00003A050000}"/>
    <cellStyle name="Comma 14 2 2 2 2" xfId="2984" xr:uid="{00000000-0005-0000-0000-0000A80B0000}"/>
    <cellStyle name="Comma 14 2 2 3" xfId="2401" xr:uid="{00000000-0005-0000-0000-000061090000}"/>
    <cellStyle name="Comma 14 2 3" xfId="895" xr:uid="{00000000-0005-0000-0000-00007F030000}"/>
    <cellStyle name="Comma 14 2 3 2" xfId="2761" xr:uid="{00000000-0005-0000-0000-0000C90A0000}"/>
    <cellStyle name="Comma 14 2 4" xfId="1113" xr:uid="{00000000-0005-0000-0000-000059040000}"/>
    <cellStyle name="Comma 14 2 5" xfId="2173" xr:uid="{00000000-0005-0000-0000-00007D080000}"/>
    <cellStyle name="Comma 14 3" xfId="559" xr:uid="{00000000-0005-0000-0000-00002F020000}"/>
    <cellStyle name="Comma 14 3 2" xfId="1223" xr:uid="{00000000-0005-0000-0000-0000C7040000}"/>
    <cellStyle name="Comma 14 3 2 2" xfId="2870" xr:uid="{00000000-0005-0000-0000-0000360B0000}"/>
    <cellStyle name="Comma 14 3 3" xfId="1425" xr:uid="{00000000-0005-0000-0000-000091050000}"/>
    <cellStyle name="Comma 14 3 3 2" xfId="1750" xr:uid="{00000000-0005-0000-0000-0000D6060000}"/>
    <cellStyle name="Comma 14 3 4" xfId="2287" xr:uid="{00000000-0005-0000-0000-0000EF080000}"/>
    <cellStyle name="Comma 14 4" xfId="787" xr:uid="{00000000-0005-0000-0000-000013030000}"/>
    <cellStyle name="Comma 14 4 2" xfId="2654" xr:uid="{00000000-0005-0000-0000-00005E0A0000}"/>
    <cellStyle name="Comma 14 5" xfId="1005" xr:uid="{00000000-0005-0000-0000-0000ED030000}"/>
    <cellStyle name="Comma 14 6" xfId="1960" xr:uid="{00000000-0005-0000-0000-0000A8070000}"/>
    <cellStyle name="Comma 15" xfId="212" xr:uid="{00000000-0005-0000-0000-0000D4000000}"/>
    <cellStyle name="Comma 15 2" xfId="446" xr:uid="{00000000-0005-0000-0000-0000BE010000}"/>
    <cellStyle name="Comma 15 2 2" xfId="675" xr:uid="{00000000-0005-0000-0000-0000A3020000}"/>
    <cellStyle name="Comma 15 2 2 2" xfId="1339" xr:uid="{00000000-0005-0000-0000-00003B050000}"/>
    <cellStyle name="Comma 15 2 2 2 2" xfId="2985" xr:uid="{00000000-0005-0000-0000-0000A90B0000}"/>
    <cellStyle name="Comma 15 2 2 3" xfId="2402" xr:uid="{00000000-0005-0000-0000-000062090000}"/>
    <cellStyle name="Comma 15 2 3" xfId="896" xr:uid="{00000000-0005-0000-0000-000080030000}"/>
    <cellStyle name="Comma 15 2 3 2" xfId="2762" xr:uid="{00000000-0005-0000-0000-0000CA0A0000}"/>
    <cellStyle name="Comma 15 2 4" xfId="1114" xr:uid="{00000000-0005-0000-0000-00005A040000}"/>
    <cellStyle name="Comma 15 2 5" xfId="2174" xr:uid="{00000000-0005-0000-0000-00007E080000}"/>
    <cellStyle name="Comma 15 3" xfId="560" xr:uid="{00000000-0005-0000-0000-000030020000}"/>
    <cellStyle name="Comma 15 3 2" xfId="1224" xr:uid="{00000000-0005-0000-0000-0000C8040000}"/>
    <cellStyle name="Comma 15 3 2 2" xfId="2871" xr:uid="{00000000-0005-0000-0000-0000370B0000}"/>
    <cellStyle name="Comma 15 3 3" xfId="2288" xr:uid="{00000000-0005-0000-0000-0000F0080000}"/>
    <cellStyle name="Comma 15 4" xfId="788" xr:uid="{00000000-0005-0000-0000-000014030000}"/>
    <cellStyle name="Comma 15 4 2" xfId="2655" xr:uid="{00000000-0005-0000-0000-00005F0A0000}"/>
    <cellStyle name="Comma 15 5" xfId="1006" xr:uid="{00000000-0005-0000-0000-0000EE030000}"/>
    <cellStyle name="Comma 15 6" xfId="1429" xr:uid="{00000000-0005-0000-0000-000095050000}"/>
    <cellStyle name="Comma 15 7" xfId="1961" xr:uid="{00000000-0005-0000-0000-0000A9070000}"/>
    <cellStyle name="Comma 16" xfId="213" xr:uid="{00000000-0005-0000-0000-0000D5000000}"/>
    <cellStyle name="Comma 16 2" xfId="447" xr:uid="{00000000-0005-0000-0000-0000BF010000}"/>
    <cellStyle name="Comma 16 2 2" xfId="676" xr:uid="{00000000-0005-0000-0000-0000A4020000}"/>
    <cellStyle name="Comma 16 2 2 2" xfId="1340" xr:uid="{00000000-0005-0000-0000-00003C050000}"/>
    <cellStyle name="Comma 16 2 2 2 2" xfId="2986" xr:uid="{00000000-0005-0000-0000-0000AA0B0000}"/>
    <cellStyle name="Comma 16 2 2 3" xfId="2403" xr:uid="{00000000-0005-0000-0000-000063090000}"/>
    <cellStyle name="Comma 16 2 3" xfId="897" xr:uid="{00000000-0005-0000-0000-000081030000}"/>
    <cellStyle name="Comma 16 2 3 2" xfId="2763" xr:uid="{00000000-0005-0000-0000-0000CB0A0000}"/>
    <cellStyle name="Comma 16 2 4" xfId="1115" xr:uid="{00000000-0005-0000-0000-00005B040000}"/>
    <cellStyle name="Comma 16 2 5" xfId="2175" xr:uid="{00000000-0005-0000-0000-00007F080000}"/>
    <cellStyle name="Comma 16 3" xfId="561" xr:uid="{00000000-0005-0000-0000-000031020000}"/>
    <cellStyle name="Comma 16 3 2" xfId="1225" xr:uid="{00000000-0005-0000-0000-0000C9040000}"/>
    <cellStyle name="Comma 16 3 2 2" xfId="2872" xr:uid="{00000000-0005-0000-0000-0000380B0000}"/>
    <cellStyle name="Comma 16 3 3" xfId="2289" xr:uid="{00000000-0005-0000-0000-0000F1080000}"/>
    <cellStyle name="Comma 16 4" xfId="789" xr:uid="{00000000-0005-0000-0000-000015030000}"/>
    <cellStyle name="Comma 16 4 2" xfId="2656" xr:uid="{00000000-0005-0000-0000-0000600A0000}"/>
    <cellStyle name="Comma 16 5" xfId="1007" xr:uid="{00000000-0005-0000-0000-0000EF030000}"/>
    <cellStyle name="Comma 16 6" xfId="1962" xr:uid="{00000000-0005-0000-0000-0000AA070000}"/>
    <cellStyle name="Comma 17" xfId="214" xr:uid="{00000000-0005-0000-0000-0000D6000000}"/>
    <cellStyle name="Comma 17 2" xfId="448" xr:uid="{00000000-0005-0000-0000-0000C0010000}"/>
    <cellStyle name="Comma 17 2 2" xfId="677" xr:uid="{00000000-0005-0000-0000-0000A5020000}"/>
    <cellStyle name="Comma 17 2 2 2" xfId="1341" xr:uid="{00000000-0005-0000-0000-00003D050000}"/>
    <cellStyle name="Comma 17 2 2 2 2" xfId="2987" xr:uid="{00000000-0005-0000-0000-0000AB0B0000}"/>
    <cellStyle name="Comma 17 2 2 3" xfId="2404" xr:uid="{00000000-0005-0000-0000-000064090000}"/>
    <cellStyle name="Comma 17 2 3" xfId="898" xr:uid="{00000000-0005-0000-0000-000082030000}"/>
    <cellStyle name="Comma 17 2 3 2" xfId="2764" xr:uid="{00000000-0005-0000-0000-0000CC0A0000}"/>
    <cellStyle name="Comma 17 2 4" xfId="1116" xr:uid="{00000000-0005-0000-0000-00005C040000}"/>
    <cellStyle name="Comma 17 2 5" xfId="2176" xr:uid="{00000000-0005-0000-0000-000080080000}"/>
    <cellStyle name="Comma 17 3" xfId="562" xr:uid="{00000000-0005-0000-0000-000032020000}"/>
    <cellStyle name="Comma 17 3 2" xfId="1226" xr:uid="{00000000-0005-0000-0000-0000CA040000}"/>
    <cellStyle name="Comma 17 3 2 2" xfId="2873" xr:uid="{00000000-0005-0000-0000-0000390B0000}"/>
    <cellStyle name="Comma 17 3 3" xfId="2290" xr:uid="{00000000-0005-0000-0000-0000F2080000}"/>
    <cellStyle name="Comma 17 4" xfId="790" xr:uid="{00000000-0005-0000-0000-000016030000}"/>
    <cellStyle name="Comma 17 4 2" xfId="2657" xr:uid="{00000000-0005-0000-0000-0000610A0000}"/>
    <cellStyle name="Comma 17 5" xfId="1008" xr:uid="{00000000-0005-0000-0000-0000F0030000}"/>
    <cellStyle name="Comma 17 6" xfId="1963" xr:uid="{00000000-0005-0000-0000-0000AB070000}"/>
    <cellStyle name="Comma 18" xfId="215" xr:uid="{00000000-0005-0000-0000-0000D7000000}"/>
    <cellStyle name="Comma 18 2" xfId="449" xr:uid="{00000000-0005-0000-0000-0000C1010000}"/>
    <cellStyle name="Comma 18 2 2" xfId="678" xr:uid="{00000000-0005-0000-0000-0000A6020000}"/>
    <cellStyle name="Comma 18 2 2 2" xfId="1342" xr:uid="{00000000-0005-0000-0000-00003E050000}"/>
    <cellStyle name="Comma 18 2 2 2 2" xfId="2988" xr:uid="{00000000-0005-0000-0000-0000AC0B0000}"/>
    <cellStyle name="Comma 18 2 2 3" xfId="2405" xr:uid="{00000000-0005-0000-0000-000065090000}"/>
    <cellStyle name="Comma 18 2 3" xfId="899" xr:uid="{00000000-0005-0000-0000-000083030000}"/>
    <cellStyle name="Comma 18 2 3 2" xfId="2765" xr:uid="{00000000-0005-0000-0000-0000CD0A0000}"/>
    <cellStyle name="Comma 18 2 4" xfId="1117" xr:uid="{00000000-0005-0000-0000-00005D040000}"/>
    <cellStyle name="Comma 18 2 5" xfId="2177" xr:uid="{00000000-0005-0000-0000-000081080000}"/>
    <cellStyle name="Comma 18 3" xfId="563" xr:uid="{00000000-0005-0000-0000-000033020000}"/>
    <cellStyle name="Comma 18 3 2" xfId="1227" xr:uid="{00000000-0005-0000-0000-0000CB040000}"/>
    <cellStyle name="Comma 18 3 2 2" xfId="2874" xr:uid="{00000000-0005-0000-0000-00003A0B0000}"/>
    <cellStyle name="Comma 18 3 3" xfId="2291" xr:uid="{00000000-0005-0000-0000-0000F3080000}"/>
    <cellStyle name="Comma 18 4" xfId="791" xr:uid="{00000000-0005-0000-0000-000017030000}"/>
    <cellStyle name="Comma 18 4 2" xfId="2658" xr:uid="{00000000-0005-0000-0000-0000620A0000}"/>
    <cellStyle name="Comma 18 5" xfId="1009" xr:uid="{00000000-0005-0000-0000-0000F1030000}"/>
    <cellStyle name="Comma 18 6" xfId="1964" xr:uid="{00000000-0005-0000-0000-0000AC070000}"/>
    <cellStyle name="Comma 19" xfId="382" xr:uid="{00000000-0005-0000-0000-00007E010000}"/>
    <cellStyle name="Comma 19 2" xfId="517" xr:uid="{00000000-0005-0000-0000-000005020000}"/>
    <cellStyle name="Comma 19 2 2" xfId="745" xr:uid="{00000000-0005-0000-0000-0000E9020000}"/>
    <cellStyle name="Comma 19 2 2 2" xfId="1409" xr:uid="{00000000-0005-0000-0000-000081050000}"/>
    <cellStyle name="Comma 19 2 2 2 2" xfId="3055" xr:uid="{00000000-0005-0000-0000-0000EF0B0000}"/>
    <cellStyle name="Comma 19 2 2 3" xfId="2472" xr:uid="{00000000-0005-0000-0000-0000A8090000}"/>
    <cellStyle name="Comma 19 2 3" xfId="964" xr:uid="{00000000-0005-0000-0000-0000C4030000}"/>
    <cellStyle name="Comma 19 2 3 2" xfId="2830" xr:uid="{00000000-0005-0000-0000-00000E0B0000}"/>
    <cellStyle name="Comma 19 2 4" xfId="1182" xr:uid="{00000000-0005-0000-0000-00009E040000}"/>
    <cellStyle name="Comma 19 2 5" xfId="2245" xr:uid="{00000000-0005-0000-0000-0000C5080000}"/>
    <cellStyle name="Comma 19 3" xfId="628" xr:uid="{00000000-0005-0000-0000-000074020000}"/>
    <cellStyle name="Comma 19 3 2" xfId="1292" xr:uid="{00000000-0005-0000-0000-00000C050000}"/>
    <cellStyle name="Comma 19 3 2 2" xfId="2939" xr:uid="{00000000-0005-0000-0000-00007B0B0000}"/>
    <cellStyle name="Comma 19 3 3" xfId="2356" xr:uid="{00000000-0005-0000-0000-000034090000}"/>
    <cellStyle name="Comma 19 4" xfId="856" xr:uid="{00000000-0005-0000-0000-000058030000}"/>
    <cellStyle name="Comma 19 4 2" xfId="2723" xr:uid="{00000000-0005-0000-0000-0000A30A0000}"/>
    <cellStyle name="Comma 19 5" xfId="1074" xr:uid="{00000000-0005-0000-0000-000032040000}"/>
    <cellStyle name="Comma 19 6" xfId="2115" xr:uid="{00000000-0005-0000-0000-000043080000}"/>
    <cellStyle name="Comma 2" xfId="57" xr:uid="{00000000-0005-0000-0000-000039000000}"/>
    <cellStyle name="Comma 2 10" xfId="1838" xr:uid="{00000000-0005-0000-0000-00002E070000}"/>
    <cellStyle name="Comma 2 2" xfId="58" xr:uid="{00000000-0005-0000-0000-00003A000000}"/>
    <cellStyle name="Comma 2 2 10" xfId="978" xr:uid="{00000000-0005-0000-0000-0000D2030000}"/>
    <cellStyle name="Comma 2 2 11" xfId="1839" xr:uid="{00000000-0005-0000-0000-00002F070000}"/>
    <cellStyle name="Comma 2 2 2" xfId="216" xr:uid="{00000000-0005-0000-0000-0000D8000000}"/>
    <cellStyle name="Comma 2 2 2 2" xfId="217" xr:uid="{00000000-0005-0000-0000-0000D9000000}"/>
    <cellStyle name="Comma 2 2 2 2 2" xfId="1966" xr:uid="{00000000-0005-0000-0000-0000AE070000}"/>
    <cellStyle name="Comma 2 2 2 3" xfId="218" xr:uid="{00000000-0005-0000-0000-0000DA000000}"/>
    <cellStyle name="Comma 2 2 2 3 2" xfId="451" xr:uid="{00000000-0005-0000-0000-0000C3010000}"/>
    <cellStyle name="Comma 2 2 2 3 2 2" xfId="680" xr:uid="{00000000-0005-0000-0000-0000A8020000}"/>
    <cellStyle name="Comma 2 2 2 3 2 2 2" xfId="1344" xr:uid="{00000000-0005-0000-0000-000040050000}"/>
    <cellStyle name="Comma 2 2 2 3 2 2 2 2" xfId="2990" xr:uid="{00000000-0005-0000-0000-0000AE0B0000}"/>
    <cellStyle name="Comma 2 2 2 3 2 2 3" xfId="2407" xr:uid="{00000000-0005-0000-0000-000067090000}"/>
    <cellStyle name="Comma 2 2 2 3 2 3" xfId="901" xr:uid="{00000000-0005-0000-0000-000085030000}"/>
    <cellStyle name="Comma 2 2 2 3 2 3 2" xfId="2767" xr:uid="{00000000-0005-0000-0000-0000CF0A0000}"/>
    <cellStyle name="Comma 2 2 2 3 2 4" xfId="1119" xr:uid="{00000000-0005-0000-0000-00005F040000}"/>
    <cellStyle name="Comma 2 2 2 3 2 5" xfId="2179" xr:uid="{00000000-0005-0000-0000-000083080000}"/>
    <cellStyle name="Comma 2 2 2 3 3" xfId="565" xr:uid="{00000000-0005-0000-0000-000035020000}"/>
    <cellStyle name="Comma 2 2 2 3 3 2" xfId="1229" xr:uid="{00000000-0005-0000-0000-0000CD040000}"/>
    <cellStyle name="Comma 2 2 2 3 3 2 2" xfId="2876" xr:uid="{00000000-0005-0000-0000-00003C0B0000}"/>
    <cellStyle name="Comma 2 2 2 3 3 3" xfId="2293" xr:uid="{00000000-0005-0000-0000-0000F5080000}"/>
    <cellStyle name="Comma 2 2 2 3 4" xfId="793" xr:uid="{00000000-0005-0000-0000-000019030000}"/>
    <cellStyle name="Comma 2 2 2 3 4 2" xfId="2660" xr:uid="{00000000-0005-0000-0000-0000640A0000}"/>
    <cellStyle name="Comma 2 2 2 3 5" xfId="1011" xr:uid="{00000000-0005-0000-0000-0000F3030000}"/>
    <cellStyle name="Comma 2 2 2 3 6" xfId="1967" xr:uid="{00000000-0005-0000-0000-0000AF070000}"/>
    <cellStyle name="Comma 2 2 2 4" xfId="219" xr:uid="{00000000-0005-0000-0000-0000DB000000}"/>
    <cellStyle name="Comma 2 2 2 4 2" xfId="452" xr:uid="{00000000-0005-0000-0000-0000C4010000}"/>
    <cellStyle name="Comma 2 2 2 4 2 2" xfId="681" xr:uid="{00000000-0005-0000-0000-0000A9020000}"/>
    <cellStyle name="Comma 2 2 2 4 2 2 2" xfId="1345" xr:uid="{00000000-0005-0000-0000-000041050000}"/>
    <cellStyle name="Comma 2 2 2 4 2 2 2 2" xfId="2991" xr:uid="{00000000-0005-0000-0000-0000AF0B0000}"/>
    <cellStyle name="Comma 2 2 2 4 2 2 3" xfId="2408" xr:uid="{00000000-0005-0000-0000-000068090000}"/>
    <cellStyle name="Comma 2 2 2 4 2 3" xfId="902" xr:uid="{00000000-0005-0000-0000-000086030000}"/>
    <cellStyle name="Comma 2 2 2 4 2 3 2" xfId="2768" xr:uid="{00000000-0005-0000-0000-0000D00A0000}"/>
    <cellStyle name="Comma 2 2 2 4 2 4" xfId="1120" xr:uid="{00000000-0005-0000-0000-000060040000}"/>
    <cellStyle name="Comma 2 2 2 4 2 5" xfId="2180" xr:uid="{00000000-0005-0000-0000-000084080000}"/>
    <cellStyle name="Comma 2 2 2 4 3" xfId="566" xr:uid="{00000000-0005-0000-0000-000036020000}"/>
    <cellStyle name="Comma 2 2 2 4 3 2" xfId="1230" xr:uid="{00000000-0005-0000-0000-0000CE040000}"/>
    <cellStyle name="Comma 2 2 2 4 3 2 2" xfId="2877" xr:uid="{00000000-0005-0000-0000-00003D0B0000}"/>
    <cellStyle name="Comma 2 2 2 4 3 3" xfId="2294" xr:uid="{00000000-0005-0000-0000-0000F6080000}"/>
    <cellStyle name="Comma 2 2 2 4 4" xfId="794" xr:uid="{00000000-0005-0000-0000-00001A030000}"/>
    <cellStyle name="Comma 2 2 2 4 4 2" xfId="2661" xr:uid="{00000000-0005-0000-0000-0000650A0000}"/>
    <cellStyle name="Comma 2 2 2 4 5" xfId="1012" xr:uid="{00000000-0005-0000-0000-0000F4030000}"/>
    <cellStyle name="Comma 2 2 2 4 6" xfId="1968" xr:uid="{00000000-0005-0000-0000-0000B0070000}"/>
    <cellStyle name="Comma 2 2 2 5" xfId="450" xr:uid="{00000000-0005-0000-0000-0000C2010000}"/>
    <cellStyle name="Comma 2 2 2 5 2" xfId="679" xr:uid="{00000000-0005-0000-0000-0000A7020000}"/>
    <cellStyle name="Comma 2 2 2 5 2 2" xfId="1343" xr:uid="{00000000-0005-0000-0000-00003F050000}"/>
    <cellStyle name="Comma 2 2 2 5 2 2 2" xfId="2989" xr:uid="{00000000-0005-0000-0000-0000AD0B0000}"/>
    <cellStyle name="Comma 2 2 2 5 2 3" xfId="2406" xr:uid="{00000000-0005-0000-0000-000066090000}"/>
    <cellStyle name="Comma 2 2 2 5 3" xfId="900" xr:uid="{00000000-0005-0000-0000-000084030000}"/>
    <cellStyle name="Comma 2 2 2 5 3 2" xfId="2766" xr:uid="{00000000-0005-0000-0000-0000CE0A0000}"/>
    <cellStyle name="Comma 2 2 2 5 4" xfId="1118" xr:uid="{00000000-0005-0000-0000-00005E040000}"/>
    <cellStyle name="Comma 2 2 2 5 5" xfId="2178" xr:uid="{00000000-0005-0000-0000-000082080000}"/>
    <cellStyle name="Comma 2 2 2 6" xfId="564" xr:uid="{00000000-0005-0000-0000-000034020000}"/>
    <cellStyle name="Comma 2 2 2 6 2" xfId="1228" xr:uid="{00000000-0005-0000-0000-0000CC040000}"/>
    <cellStyle name="Comma 2 2 2 6 2 2" xfId="2875" xr:uid="{00000000-0005-0000-0000-00003B0B0000}"/>
    <cellStyle name="Comma 2 2 2 6 3" xfId="2292" xr:uid="{00000000-0005-0000-0000-0000F4080000}"/>
    <cellStyle name="Comma 2 2 2 7" xfId="792" xr:uid="{00000000-0005-0000-0000-000018030000}"/>
    <cellStyle name="Comma 2 2 2 7 2" xfId="2659" xr:uid="{00000000-0005-0000-0000-0000630A0000}"/>
    <cellStyle name="Comma 2 2 2 8" xfId="1010" xr:uid="{00000000-0005-0000-0000-0000F2030000}"/>
    <cellStyle name="Comma 2 2 2 9" xfId="1965" xr:uid="{00000000-0005-0000-0000-0000AD070000}"/>
    <cellStyle name="Comma 2 2 3" xfId="220" xr:uid="{00000000-0005-0000-0000-0000DC000000}"/>
    <cellStyle name="Comma 2 2 3 2" xfId="221" xr:uid="{00000000-0005-0000-0000-0000DD000000}"/>
    <cellStyle name="Comma 2 2 3 2 2" xfId="1970" xr:uid="{00000000-0005-0000-0000-0000B2070000}"/>
    <cellStyle name="Comma 2 2 3 3" xfId="453" xr:uid="{00000000-0005-0000-0000-0000C5010000}"/>
    <cellStyle name="Comma 2 2 3 3 2" xfId="682" xr:uid="{00000000-0005-0000-0000-0000AA020000}"/>
    <cellStyle name="Comma 2 2 3 3 2 2" xfId="1346" xr:uid="{00000000-0005-0000-0000-000042050000}"/>
    <cellStyle name="Comma 2 2 3 3 2 2 2" xfId="2992" xr:uid="{00000000-0005-0000-0000-0000B00B0000}"/>
    <cellStyle name="Comma 2 2 3 3 2 3" xfId="2409" xr:uid="{00000000-0005-0000-0000-000069090000}"/>
    <cellStyle name="Comma 2 2 3 3 3" xfId="903" xr:uid="{00000000-0005-0000-0000-000087030000}"/>
    <cellStyle name="Comma 2 2 3 3 3 2" xfId="2769" xr:uid="{00000000-0005-0000-0000-0000D10A0000}"/>
    <cellStyle name="Comma 2 2 3 3 4" xfId="1121" xr:uid="{00000000-0005-0000-0000-000061040000}"/>
    <cellStyle name="Comma 2 2 3 3 5" xfId="2181" xr:uid="{00000000-0005-0000-0000-000085080000}"/>
    <cellStyle name="Comma 2 2 3 4" xfId="567" xr:uid="{00000000-0005-0000-0000-000037020000}"/>
    <cellStyle name="Comma 2 2 3 4 2" xfId="1231" xr:uid="{00000000-0005-0000-0000-0000CF040000}"/>
    <cellStyle name="Comma 2 2 3 4 2 2" xfId="2878" xr:uid="{00000000-0005-0000-0000-00003E0B0000}"/>
    <cellStyle name="Comma 2 2 3 4 3" xfId="2295" xr:uid="{00000000-0005-0000-0000-0000F7080000}"/>
    <cellStyle name="Comma 2 2 3 5" xfId="795" xr:uid="{00000000-0005-0000-0000-00001B030000}"/>
    <cellStyle name="Comma 2 2 3 5 2" xfId="2662" xr:uid="{00000000-0005-0000-0000-0000660A0000}"/>
    <cellStyle name="Comma 2 2 3 6" xfId="1013" xr:uid="{00000000-0005-0000-0000-0000F5030000}"/>
    <cellStyle name="Comma 2 2 3 7" xfId="1969" xr:uid="{00000000-0005-0000-0000-0000B1070000}"/>
    <cellStyle name="Comma 2 2 4" xfId="222" xr:uid="{00000000-0005-0000-0000-0000DE000000}"/>
    <cellStyle name="Comma 2 2 4 2" xfId="454" xr:uid="{00000000-0005-0000-0000-0000C6010000}"/>
    <cellStyle name="Comma 2 2 4 2 2" xfId="683" xr:uid="{00000000-0005-0000-0000-0000AB020000}"/>
    <cellStyle name="Comma 2 2 4 2 2 2" xfId="1347" xr:uid="{00000000-0005-0000-0000-000043050000}"/>
    <cellStyle name="Comma 2 2 4 2 2 2 2" xfId="2993" xr:uid="{00000000-0005-0000-0000-0000B10B0000}"/>
    <cellStyle name="Comma 2 2 4 2 2 3" xfId="2410" xr:uid="{00000000-0005-0000-0000-00006A090000}"/>
    <cellStyle name="Comma 2 2 4 2 3" xfId="904" xr:uid="{00000000-0005-0000-0000-000088030000}"/>
    <cellStyle name="Comma 2 2 4 2 3 2" xfId="2770" xr:uid="{00000000-0005-0000-0000-0000D20A0000}"/>
    <cellStyle name="Comma 2 2 4 2 4" xfId="1122" xr:uid="{00000000-0005-0000-0000-000062040000}"/>
    <cellStyle name="Comma 2 2 4 2 5" xfId="2182" xr:uid="{00000000-0005-0000-0000-000086080000}"/>
    <cellStyle name="Comma 2 2 4 3" xfId="568" xr:uid="{00000000-0005-0000-0000-000038020000}"/>
    <cellStyle name="Comma 2 2 4 3 2" xfId="1232" xr:uid="{00000000-0005-0000-0000-0000D0040000}"/>
    <cellStyle name="Comma 2 2 4 3 2 2" xfId="2879" xr:uid="{00000000-0005-0000-0000-00003F0B0000}"/>
    <cellStyle name="Comma 2 2 4 3 3" xfId="2296" xr:uid="{00000000-0005-0000-0000-0000F8080000}"/>
    <cellStyle name="Comma 2 2 4 4" xfId="796" xr:uid="{00000000-0005-0000-0000-00001C030000}"/>
    <cellStyle name="Comma 2 2 4 4 2" xfId="2663" xr:uid="{00000000-0005-0000-0000-0000670A0000}"/>
    <cellStyle name="Comma 2 2 4 5" xfId="1014" xr:uid="{00000000-0005-0000-0000-0000F6030000}"/>
    <cellStyle name="Comma 2 2 4 6" xfId="1971" xr:uid="{00000000-0005-0000-0000-0000B3070000}"/>
    <cellStyle name="Comma 2 2 5" xfId="223" xr:uid="{00000000-0005-0000-0000-0000DF000000}"/>
    <cellStyle name="Comma 2 2 5 2" xfId="455" xr:uid="{00000000-0005-0000-0000-0000C7010000}"/>
    <cellStyle name="Comma 2 2 5 2 2" xfId="684" xr:uid="{00000000-0005-0000-0000-0000AC020000}"/>
    <cellStyle name="Comma 2 2 5 2 2 2" xfId="1348" xr:uid="{00000000-0005-0000-0000-000044050000}"/>
    <cellStyle name="Comma 2 2 5 2 2 2 2" xfId="2994" xr:uid="{00000000-0005-0000-0000-0000B20B0000}"/>
    <cellStyle name="Comma 2 2 5 2 2 3" xfId="2411" xr:uid="{00000000-0005-0000-0000-00006B090000}"/>
    <cellStyle name="Comma 2 2 5 2 3" xfId="905" xr:uid="{00000000-0005-0000-0000-000089030000}"/>
    <cellStyle name="Comma 2 2 5 2 3 2" xfId="2771" xr:uid="{00000000-0005-0000-0000-0000D30A0000}"/>
    <cellStyle name="Comma 2 2 5 2 4" xfId="1123" xr:uid="{00000000-0005-0000-0000-000063040000}"/>
    <cellStyle name="Comma 2 2 5 2 5" xfId="2183" xr:uid="{00000000-0005-0000-0000-000087080000}"/>
    <cellStyle name="Comma 2 2 5 3" xfId="569" xr:uid="{00000000-0005-0000-0000-000039020000}"/>
    <cellStyle name="Comma 2 2 5 3 2" xfId="1233" xr:uid="{00000000-0005-0000-0000-0000D1040000}"/>
    <cellStyle name="Comma 2 2 5 3 2 2" xfId="2880" xr:uid="{00000000-0005-0000-0000-0000400B0000}"/>
    <cellStyle name="Comma 2 2 5 3 3" xfId="2297" xr:uid="{00000000-0005-0000-0000-0000F9080000}"/>
    <cellStyle name="Comma 2 2 5 4" xfId="797" xr:uid="{00000000-0005-0000-0000-00001D030000}"/>
    <cellStyle name="Comma 2 2 5 4 2" xfId="2664" xr:uid="{00000000-0005-0000-0000-0000680A0000}"/>
    <cellStyle name="Comma 2 2 5 5" xfId="1015" xr:uid="{00000000-0005-0000-0000-0000F7030000}"/>
    <cellStyle name="Comma 2 2 5 6" xfId="1972" xr:uid="{00000000-0005-0000-0000-0000B4070000}"/>
    <cellStyle name="Comma 2 2 6" xfId="224" xr:uid="{00000000-0005-0000-0000-0000E0000000}"/>
    <cellStyle name="Comma 2 2 6 2" xfId="456" xr:uid="{00000000-0005-0000-0000-0000C8010000}"/>
    <cellStyle name="Comma 2 2 6 2 2" xfId="685" xr:uid="{00000000-0005-0000-0000-0000AD020000}"/>
    <cellStyle name="Comma 2 2 6 2 2 2" xfId="1349" xr:uid="{00000000-0005-0000-0000-000045050000}"/>
    <cellStyle name="Comma 2 2 6 2 2 2 2" xfId="2995" xr:uid="{00000000-0005-0000-0000-0000B30B0000}"/>
    <cellStyle name="Comma 2 2 6 2 2 3" xfId="2412" xr:uid="{00000000-0005-0000-0000-00006C090000}"/>
    <cellStyle name="Comma 2 2 6 2 3" xfId="906" xr:uid="{00000000-0005-0000-0000-00008A030000}"/>
    <cellStyle name="Comma 2 2 6 2 3 2" xfId="2772" xr:uid="{00000000-0005-0000-0000-0000D40A0000}"/>
    <cellStyle name="Comma 2 2 6 2 4" xfId="1124" xr:uid="{00000000-0005-0000-0000-000064040000}"/>
    <cellStyle name="Comma 2 2 6 2 5" xfId="2184" xr:uid="{00000000-0005-0000-0000-000088080000}"/>
    <cellStyle name="Comma 2 2 6 3" xfId="570" xr:uid="{00000000-0005-0000-0000-00003A020000}"/>
    <cellStyle name="Comma 2 2 6 3 2" xfId="1234" xr:uid="{00000000-0005-0000-0000-0000D2040000}"/>
    <cellStyle name="Comma 2 2 6 3 2 2" xfId="2881" xr:uid="{00000000-0005-0000-0000-0000410B0000}"/>
    <cellStyle name="Comma 2 2 6 3 3" xfId="2298" xr:uid="{00000000-0005-0000-0000-0000FA080000}"/>
    <cellStyle name="Comma 2 2 6 4" xfId="798" xr:uid="{00000000-0005-0000-0000-00001E030000}"/>
    <cellStyle name="Comma 2 2 6 4 2" xfId="2665" xr:uid="{00000000-0005-0000-0000-0000690A0000}"/>
    <cellStyle name="Comma 2 2 6 5" xfId="1016" xr:uid="{00000000-0005-0000-0000-0000F8030000}"/>
    <cellStyle name="Comma 2 2 6 6" xfId="1973" xr:uid="{00000000-0005-0000-0000-0000B5070000}"/>
    <cellStyle name="Comma 2 2 7" xfId="408" xr:uid="{00000000-0005-0000-0000-000098010000}"/>
    <cellStyle name="Comma 2 2 7 2" xfId="643" xr:uid="{00000000-0005-0000-0000-000083020000}"/>
    <cellStyle name="Comma 2 2 7 2 2" xfId="1307" xr:uid="{00000000-0005-0000-0000-00001B050000}"/>
    <cellStyle name="Comma 2 2 7 2 2 2" xfId="2954" xr:uid="{00000000-0005-0000-0000-00008A0B0000}"/>
    <cellStyle name="Comma 2 2 7 2 3" xfId="2371" xr:uid="{00000000-0005-0000-0000-000043090000}"/>
    <cellStyle name="Comma 2 2 7 3" xfId="868" xr:uid="{00000000-0005-0000-0000-000064030000}"/>
    <cellStyle name="Comma 2 2 7 3 2" xfId="2735" xr:uid="{00000000-0005-0000-0000-0000AF0A0000}"/>
    <cellStyle name="Comma 2 2 7 4" xfId="1086" xr:uid="{00000000-0005-0000-0000-00003E040000}"/>
    <cellStyle name="Comma 2 2 7 5" xfId="2137" xr:uid="{00000000-0005-0000-0000-000059080000}"/>
    <cellStyle name="Comma 2 2 8" xfId="532" xr:uid="{00000000-0005-0000-0000-000014020000}"/>
    <cellStyle name="Comma 2 2 8 2" xfId="1196" xr:uid="{00000000-0005-0000-0000-0000AC040000}"/>
    <cellStyle name="Comma 2 2 8 2 2" xfId="2844" xr:uid="{00000000-0005-0000-0000-00001C0B0000}"/>
    <cellStyle name="Comma 2 2 8 3" xfId="2261" xr:uid="{00000000-0005-0000-0000-0000D5080000}"/>
    <cellStyle name="Comma 2 2 9" xfId="760" xr:uid="{00000000-0005-0000-0000-0000F8020000}"/>
    <cellStyle name="Comma 2 2 9 2" xfId="2628" xr:uid="{00000000-0005-0000-0000-0000440A0000}"/>
    <cellStyle name="Comma 2 3" xfId="225" xr:uid="{00000000-0005-0000-0000-0000E1000000}"/>
    <cellStyle name="Comma 2 3 2" xfId="226" xr:uid="{00000000-0005-0000-0000-0000E2000000}"/>
    <cellStyle name="Comma 2 3 2 2" xfId="227" xr:uid="{00000000-0005-0000-0000-0000E3000000}"/>
    <cellStyle name="Comma 2 3 2 2 2" xfId="1976" xr:uid="{00000000-0005-0000-0000-0000B8070000}"/>
    <cellStyle name="Comma 2 3 2 3" xfId="458" xr:uid="{00000000-0005-0000-0000-0000CA010000}"/>
    <cellStyle name="Comma 2 3 2 3 2" xfId="687" xr:uid="{00000000-0005-0000-0000-0000AF020000}"/>
    <cellStyle name="Comma 2 3 2 3 2 2" xfId="1351" xr:uid="{00000000-0005-0000-0000-000047050000}"/>
    <cellStyle name="Comma 2 3 2 3 2 2 2" xfId="2997" xr:uid="{00000000-0005-0000-0000-0000B50B0000}"/>
    <cellStyle name="Comma 2 3 2 3 2 3" xfId="2414" xr:uid="{00000000-0005-0000-0000-00006E090000}"/>
    <cellStyle name="Comma 2 3 2 3 3" xfId="908" xr:uid="{00000000-0005-0000-0000-00008C030000}"/>
    <cellStyle name="Comma 2 3 2 3 3 2" xfId="2774" xr:uid="{00000000-0005-0000-0000-0000D60A0000}"/>
    <cellStyle name="Comma 2 3 2 3 4" xfId="1126" xr:uid="{00000000-0005-0000-0000-000066040000}"/>
    <cellStyle name="Comma 2 3 2 3 5" xfId="2186" xr:uid="{00000000-0005-0000-0000-00008A080000}"/>
    <cellStyle name="Comma 2 3 2 4" xfId="572" xr:uid="{00000000-0005-0000-0000-00003C020000}"/>
    <cellStyle name="Comma 2 3 2 4 2" xfId="1236" xr:uid="{00000000-0005-0000-0000-0000D4040000}"/>
    <cellStyle name="Comma 2 3 2 4 2 2" xfId="2883" xr:uid="{00000000-0005-0000-0000-0000430B0000}"/>
    <cellStyle name="Comma 2 3 2 4 3" xfId="2300" xr:uid="{00000000-0005-0000-0000-0000FC080000}"/>
    <cellStyle name="Comma 2 3 2 5" xfId="800" xr:uid="{00000000-0005-0000-0000-000020030000}"/>
    <cellStyle name="Comma 2 3 2 5 2" xfId="2667" xr:uid="{00000000-0005-0000-0000-00006B0A0000}"/>
    <cellStyle name="Comma 2 3 2 6" xfId="1018" xr:uid="{00000000-0005-0000-0000-0000FA030000}"/>
    <cellStyle name="Comma 2 3 2 7" xfId="1975" xr:uid="{00000000-0005-0000-0000-0000B7070000}"/>
    <cellStyle name="Comma 2 3 3" xfId="228" xr:uid="{00000000-0005-0000-0000-0000E4000000}"/>
    <cellStyle name="Comma 2 3 3 2" xfId="459" xr:uid="{00000000-0005-0000-0000-0000CB010000}"/>
    <cellStyle name="Comma 2 3 3 2 2" xfId="688" xr:uid="{00000000-0005-0000-0000-0000B0020000}"/>
    <cellStyle name="Comma 2 3 3 2 2 2" xfId="1352" xr:uid="{00000000-0005-0000-0000-000048050000}"/>
    <cellStyle name="Comma 2 3 3 2 2 2 2" xfId="2998" xr:uid="{00000000-0005-0000-0000-0000B60B0000}"/>
    <cellStyle name="Comma 2 3 3 2 2 3" xfId="2415" xr:uid="{00000000-0005-0000-0000-00006F090000}"/>
    <cellStyle name="Comma 2 3 3 2 3" xfId="909" xr:uid="{00000000-0005-0000-0000-00008D030000}"/>
    <cellStyle name="Comma 2 3 3 2 3 2" xfId="2775" xr:uid="{00000000-0005-0000-0000-0000D70A0000}"/>
    <cellStyle name="Comma 2 3 3 2 4" xfId="1127" xr:uid="{00000000-0005-0000-0000-000067040000}"/>
    <cellStyle name="Comma 2 3 3 2 5" xfId="2187" xr:uid="{00000000-0005-0000-0000-00008B080000}"/>
    <cellStyle name="Comma 2 3 3 3" xfId="573" xr:uid="{00000000-0005-0000-0000-00003D020000}"/>
    <cellStyle name="Comma 2 3 3 3 2" xfId="1237" xr:uid="{00000000-0005-0000-0000-0000D5040000}"/>
    <cellStyle name="Comma 2 3 3 3 2 2" xfId="2884" xr:uid="{00000000-0005-0000-0000-0000440B0000}"/>
    <cellStyle name="Comma 2 3 3 3 3" xfId="2301" xr:uid="{00000000-0005-0000-0000-0000FD080000}"/>
    <cellStyle name="Comma 2 3 3 4" xfId="801" xr:uid="{00000000-0005-0000-0000-000021030000}"/>
    <cellStyle name="Comma 2 3 3 4 2" xfId="2668" xr:uid="{00000000-0005-0000-0000-00006C0A0000}"/>
    <cellStyle name="Comma 2 3 3 5" xfId="1019" xr:uid="{00000000-0005-0000-0000-0000FB030000}"/>
    <cellStyle name="Comma 2 3 3 6" xfId="1977" xr:uid="{00000000-0005-0000-0000-0000B9070000}"/>
    <cellStyle name="Comma 2 3 4" xfId="457" xr:uid="{00000000-0005-0000-0000-0000C9010000}"/>
    <cellStyle name="Comma 2 3 4 2" xfId="686" xr:uid="{00000000-0005-0000-0000-0000AE020000}"/>
    <cellStyle name="Comma 2 3 4 2 2" xfId="1350" xr:uid="{00000000-0005-0000-0000-000046050000}"/>
    <cellStyle name="Comma 2 3 4 2 2 2" xfId="2996" xr:uid="{00000000-0005-0000-0000-0000B40B0000}"/>
    <cellStyle name="Comma 2 3 4 2 3" xfId="2413" xr:uid="{00000000-0005-0000-0000-00006D090000}"/>
    <cellStyle name="Comma 2 3 4 3" xfId="907" xr:uid="{00000000-0005-0000-0000-00008B030000}"/>
    <cellStyle name="Comma 2 3 4 3 2" xfId="2773" xr:uid="{00000000-0005-0000-0000-0000D50A0000}"/>
    <cellStyle name="Comma 2 3 4 4" xfId="1125" xr:uid="{00000000-0005-0000-0000-000065040000}"/>
    <cellStyle name="Comma 2 3 4 5" xfId="2185" xr:uid="{00000000-0005-0000-0000-000089080000}"/>
    <cellStyle name="Comma 2 3 5" xfId="571" xr:uid="{00000000-0005-0000-0000-00003B020000}"/>
    <cellStyle name="Comma 2 3 5 2" xfId="1235" xr:uid="{00000000-0005-0000-0000-0000D3040000}"/>
    <cellStyle name="Comma 2 3 5 2 2" xfId="2882" xr:uid="{00000000-0005-0000-0000-0000420B0000}"/>
    <cellStyle name="Comma 2 3 5 3" xfId="2299" xr:uid="{00000000-0005-0000-0000-0000FB080000}"/>
    <cellStyle name="Comma 2 3 6" xfId="799" xr:uid="{00000000-0005-0000-0000-00001F030000}"/>
    <cellStyle name="Comma 2 3 6 2" xfId="2666" xr:uid="{00000000-0005-0000-0000-00006A0A0000}"/>
    <cellStyle name="Comma 2 3 7" xfId="1017" xr:uid="{00000000-0005-0000-0000-0000F9030000}"/>
    <cellStyle name="Comma 2 3 8" xfId="1974" xr:uid="{00000000-0005-0000-0000-0000B6070000}"/>
    <cellStyle name="Comma 2 4" xfId="229" xr:uid="{00000000-0005-0000-0000-0000E5000000}"/>
    <cellStyle name="Comma 2 4 2" xfId="230" xr:uid="{00000000-0005-0000-0000-0000E6000000}"/>
    <cellStyle name="Comma 2 4 2 2" xfId="461" xr:uid="{00000000-0005-0000-0000-0000CD010000}"/>
    <cellStyle name="Comma 2 4 2 2 2" xfId="690" xr:uid="{00000000-0005-0000-0000-0000B2020000}"/>
    <cellStyle name="Comma 2 4 2 2 2 2" xfId="1354" xr:uid="{00000000-0005-0000-0000-00004A050000}"/>
    <cellStyle name="Comma 2 4 2 2 2 2 2" xfId="3000" xr:uid="{00000000-0005-0000-0000-0000B80B0000}"/>
    <cellStyle name="Comma 2 4 2 2 2 3" xfId="2417" xr:uid="{00000000-0005-0000-0000-000071090000}"/>
    <cellStyle name="Comma 2 4 2 2 3" xfId="911" xr:uid="{00000000-0005-0000-0000-00008F030000}"/>
    <cellStyle name="Comma 2 4 2 2 3 2" xfId="2777" xr:uid="{00000000-0005-0000-0000-0000D90A0000}"/>
    <cellStyle name="Comma 2 4 2 2 4" xfId="1129" xr:uid="{00000000-0005-0000-0000-000069040000}"/>
    <cellStyle name="Comma 2 4 2 2 5" xfId="2189" xr:uid="{00000000-0005-0000-0000-00008D080000}"/>
    <cellStyle name="Comma 2 4 2 3" xfId="575" xr:uid="{00000000-0005-0000-0000-00003F020000}"/>
    <cellStyle name="Comma 2 4 2 3 2" xfId="1239" xr:uid="{00000000-0005-0000-0000-0000D7040000}"/>
    <cellStyle name="Comma 2 4 2 3 2 2" xfId="2886" xr:uid="{00000000-0005-0000-0000-0000460B0000}"/>
    <cellStyle name="Comma 2 4 2 3 3" xfId="2303" xr:uid="{00000000-0005-0000-0000-0000FF080000}"/>
    <cellStyle name="Comma 2 4 2 4" xfId="803" xr:uid="{00000000-0005-0000-0000-000023030000}"/>
    <cellStyle name="Comma 2 4 2 4 2" xfId="2670" xr:uid="{00000000-0005-0000-0000-00006E0A0000}"/>
    <cellStyle name="Comma 2 4 2 5" xfId="1021" xr:uid="{00000000-0005-0000-0000-0000FD030000}"/>
    <cellStyle name="Comma 2 4 2 6" xfId="1979" xr:uid="{00000000-0005-0000-0000-0000BB070000}"/>
    <cellStyle name="Comma 2 4 3" xfId="460" xr:uid="{00000000-0005-0000-0000-0000CC010000}"/>
    <cellStyle name="Comma 2 4 3 2" xfId="689" xr:uid="{00000000-0005-0000-0000-0000B1020000}"/>
    <cellStyle name="Comma 2 4 3 2 2" xfId="1353" xr:uid="{00000000-0005-0000-0000-000049050000}"/>
    <cellStyle name="Comma 2 4 3 2 2 2" xfId="2999" xr:uid="{00000000-0005-0000-0000-0000B70B0000}"/>
    <cellStyle name="Comma 2 4 3 2 3" xfId="2416" xr:uid="{00000000-0005-0000-0000-000070090000}"/>
    <cellStyle name="Comma 2 4 3 3" xfId="910" xr:uid="{00000000-0005-0000-0000-00008E030000}"/>
    <cellStyle name="Comma 2 4 3 3 2" xfId="2776" xr:uid="{00000000-0005-0000-0000-0000D80A0000}"/>
    <cellStyle name="Comma 2 4 3 4" xfId="1128" xr:uid="{00000000-0005-0000-0000-000068040000}"/>
    <cellStyle name="Comma 2 4 3 5" xfId="2188" xr:uid="{00000000-0005-0000-0000-00008C080000}"/>
    <cellStyle name="Comma 2 4 4" xfId="574" xr:uid="{00000000-0005-0000-0000-00003E020000}"/>
    <cellStyle name="Comma 2 4 4 2" xfId="1238" xr:uid="{00000000-0005-0000-0000-0000D6040000}"/>
    <cellStyle name="Comma 2 4 4 2 2" xfId="2885" xr:uid="{00000000-0005-0000-0000-0000450B0000}"/>
    <cellStyle name="Comma 2 4 4 3" xfId="2302" xr:uid="{00000000-0005-0000-0000-0000FE080000}"/>
    <cellStyle name="Comma 2 4 5" xfId="802" xr:uid="{00000000-0005-0000-0000-000022030000}"/>
    <cellStyle name="Comma 2 4 5 2" xfId="2669" xr:uid="{00000000-0005-0000-0000-00006D0A0000}"/>
    <cellStyle name="Comma 2 4 6" xfId="1020" xr:uid="{00000000-0005-0000-0000-0000FC030000}"/>
    <cellStyle name="Comma 2 4 7" xfId="1978" xr:uid="{00000000-0005-0000-0000-0000BA070000}"/>
    <cellStyle name="Comma 2 5" xfId="231" xr:uid="{00000000-0005-0000-0000-0000E7000000}"/>
    <cellStyle name="Comma 2 5 2" xfId="232" xr:uid="{00000000-0005-0000-0000-0000E8000000}"/>
    <cellStyle name="Comma 2 5 2 2" xfId="463" xr:uid="{00000000-0005-0000-0000-0000CF010000}"/>
    <cellStyle name="Comma 2 5 2 2 2" xfId="692" xr:uid="{00000000-0005-0000-0000-0000B4020000}"/>
    <cellStyle name="Comma 2 5 2 2 2 2" xfId="1356" xr:uid="{00000000-0005-0000-0000-00004C050000}"/>
    <cellStyle name="Comma 2 5 2 2 2 2 2" xfId="3002" xr:uid="{00000000-0005-0000-0000-0000BA0B0000}"/>
    <cellStyle name="Comma 2 5 2 2 2 3" xfId="2419" xr:uid="{00000000-0005-0000-0000-000073090000}"/>
    <cellStyle name="Comma 2 5 2 2 3" xfId="913" xr:uid="{00000000-0005-0000-0000-000091030000}"/>
    <cellStyle name="Comma 2 5 2 2 3 2" xfId="2779" xr:uid="{00000000-0005-0000-0000-0000DB0A0000}"/>
    <cellStyle name="Comma 2 5 2 2 4" xfId="1131" xr:uid="{00000000-0005-0000-0000-00006B040000}"/>
    <cellStyle name="Comma 2 5 2 2 5" xfId="2191" xr:uid="{00000000-0005-0000-0000-00008F080000}"/>
    <cellStyle name="Comma 2 5 2 3" xfId="577" xr:uid="{00000000-0005-0000-0000-000041020000}"/>
    <cellStyle name="Comma 2 5 2 3 2" xfId="1241" xr:uid="{00000000-0005-0000-0000-0000D9040000}"/>
    <cellStyle name="Comma 2 5 2 3 2 2" xfId="2888" xr:uid="{00000000-0005-0000-0000-0000480B0000}"/>
    <cellStyle name="Comma 2 5 2 3 3" xfId="2305" xr:uid="{00000000-0005-0000-0000-000001090000}"/>
    <cellStyle name="Comma 2 5 2 4" xfId="805" xr:uid="{00000000-0005-0000-0000-000025030000}"/>
    <cellStyle name="Comma 2 5 2 4 2" xfId="2672" xr:uid="{00000000-0005-0000-0000-0000700A0000}"/>
    <cellStyle name="Comma 2 5 2 5" xfId="1023" xr:uid="{00000000-0005-0000-0000-0000FF030000}"/>
    <cellStyle name="Comma 2 5 2 6" xfId="1981" xr:uid="{00000000-0005-0000-0000-0000BD070000}"/>
    <cellStyle name="Comma 2 5 3" xfId="462" xr:uid="{00000000-0005-0000-0000-0000CE010000}"/>
    <cellStyle name="Comma 2 5 3 2" xfId="691" xr:uid="{00000000-0005-0000-0000-0000B3020000}"/>
    <cellStyle name="Comma 2 5 3 2 2" xfId="1355" xr:uid="{00000000-0005-0000-0000-00004B050000}"/>
    <cellStyle name="Comma 2 5 3 2 2 2" xfId="3001" xr:uid="{00000000-0005-0000-0000-0000B90B0000}"/>
    <cellStyle name="Comma 2 5 3 2 3" xfId="2418" xr:uid="{00000000-0005-0000-0000-000072090000}"/>
    <cellStyle name="Comma 2 5 3 3" xfId="912" xr:uid="{00000000-0005-0000-0000-000090030000}"/>
    <cellStyle name="Comma 2 5 3 3 2" xfId="2778" xr:uid="{00000000-0005-0000-0000-0000DA0A0000}"/>
    <cellStyle name="Comma 2 5 3 4" xfId="1130" xr:uid="{00000000-0005-0000-0000-00006A040000}"/>
    <cellStyle name="Comma 2 5 3 5" xfId="2190" xr:uid="{00000000-0005-0000-0000-00008E080000}"/>
    <cellStyle name="Comma 2 5 4" xfId="576" xr:uid="{00000000-0005-0000-0000-000040020000}"/>
    <cellStyle name="Comma 2 5 4 2" xfId="1240" xr:uid="{00000000-0005-0000-0000-0000D8040000}"/>
    <cellStyle name="Comma 2 5 4 2 2" xfId="2887" xr:uid="{00000000-0005-0000-0000-0000470B0000}"/>
    <cellStyle name="Comma 2 5 4 3" xfId="2304" xr:uid="{00000000-0005-0000-0000-000000090000}"/>
    <cellStyle name="Comma 2 5 5" xfId="804" xr:uid="{00000000-0005-0000-0000-000024030000}"/>
    <cellStyle name="Comma 2 5 5 2" xfId="2671" xr:uid="{00000000-0005-0000-0000-00006F0A0000}"/>
    <cellStyle name="Comma 2 5 6" xfId="1022" xr:uid="{00000000-0005-0000-0000-0000FE030000}"/>
    <cellStyle name="Comma 2 5 7" xfId="1980" xr:uid="{00000000-0005-0000-0000-0000BC070000}"/>
    <cellStyle name="Comma 2 6" xfId="233" xr:uid="{00000000-0005-0000-0000-0000E9000000}"/>
    <cellStyle name="Comma 2 6 2" xfId="234" xr:uid="{00000000-0005-0000-0000-0000EA000000}"/>
    <cellStyle name="Comma 2 6 2 2" xfId="465" xr:uid="{00000000-0005-0000-0000-0000D1010000}"/>
    <cellStyle name="Comma 2 6 2 2 2" xfId="694" xr:uid="{00000000-0005-0000-0000-0000B6020000}"/>
    <cellStyle name="Comma 2 6 2 2 2 2" xfId="1358" xr:uid="{00000000-0005-0000-0000-00004E050000}"/>
    <cellStyle name="Comma 2 6 2 2 2 2 2" xfId="3004" xr:uid="{00000000-0005-0000-0000-0000BC0B0000}"/>
    <cellStyle name="Comma 2 6 2 2 2 3" xfId="2421" xr:uid="{00000000-0005-0000-0000-000075090000}"/>
    <cellStyle name="Comma 2 6 2 2 3" xfId="915" xr:uid="{00000000-0005-0000-0000-000093030000}"/>
    <cellStyle name="Comma 2 6 2 2 3 2" xfId="2781" xr:uid="{00000000-0005-0000-0000-0000DD0A0000}"/>
    <cellStyle name="Comma 2 6 2 2 4" xfId="1133" xr:uid="{00000000-0005-0000-0000-00006D040000}"/>
    <cellStyle name="Comma 2 6 2 2 5" xfId="2193" xr:uid="{00000000-0005-0000-0000-000091080000}"/>
    <cellStyle name="Comma 2 6 2 3" xfId="579" xr:uid="{00000000-0005-0000-0000-000043020000}"/>
    <cellStyle name="Comma 2 6 2 3 2" xfId="1243" xr:uid="{00000000-0005-0000-0000-0000DB040000}"/>
    <cellStyle name="Comma 2 6 2 3 2 2" xfId="2890" xr:uid="{00000000-0005-0000-0000-00004A0B0000}"/>
    <cellStyle name="Comma 2 6 2 3 3" xfId="2307" xr:uid="{00000000-0005-0000-0000-000003090000}"/>
    <cellStyle name="Comma 2 6 2 4" xfId="807" xr:uid="{00000000-0005-0000-0000-000027030000}"/>
    <cellStyle name="Comma 2 6 2 4 2" xfId="2674" xr:uid="{00000000-0005-0000-0000-0000720A0000}"/>
    <cellStyle name="Comma 2 6 2 5" xfId="1025" xr:uid="{00000000-0005-0000-0000-000001040000}"/>
    <cellStyle name="Comma 2 6 2 6" xfId="1983" xr:uid="{00000000-0005-0000-0000-0000BF070000}"/>
    <cellStyle name="Comma 2 6 3" xfId="464" xr:uid="{00000000-0005-0000-0000-0000D0010000}"/>
    <cellStyle name="Comma 2 6 3 2" xfId="693" xr:uid="{00000000-0005-0000-0000-0000B5020000}"/>
    <cellStyle name="Comma 2 6 3 2 2" xfId="1357" xr:uid="{00000000-0005-0000-0000-00004D050000}"/>
    <cellStyle name="Comma 2 6 3 2 2 2" xfId="3003" xr:uid="{00000000-0005-0000-0000-0000BB0B0000}"/>
    <cellStyle name="Comma 2 6 3 2 3" xfId="2420" xr:uid="{00000000-0005-0000-0000-000074090000}"/>
    <cellStyle name="Comma 2 6 3 3" xfId="914" xr:uid="{00000000-0005-0000-0000-000092030000}"/>
    <cellStyle name="Comma 2 6 3 3 2" xfId="2780" xr:uid="{00000000-0005-0000-0000-0000DC0A0000}"/>
    <cellStyle name="Comma 2 6 3 4" xfId="1132" xr:uid="{00000000-0005-0000-0000-00006C040000}"/>
    <cellStyle name="Comma 2 6 3 5" xfId="2192" xr:uid="{00000000-0005-0000-0000-000090080000}"/>
    <cellStyle name="Comma 2 6 4" xfId="578" xr:uid="{00000000-0005-0000-0000-000042020000}"/>
    <cellStyle name="Comma 2 6 4 2" xfId="1242" xr:uid="{00000000-0005-0000-0000-0000DA040000}"/>
    <cellStyle name="Comma 2 6 4 2 2" xfId="2889" xr:uid="{00000000-0005-0000-0000-0000490B0000}"/>
    <cellStyle name="Comma 2 6 4 3" xfId="2306" xr:uid="{00000000-0005-0000-0000-000002090000}"/>
    <cellStyle name="Comma 2 6 5" xfId="806" xr:uid="{00000000-0005-0000-0000-000026030000}"/>
    <cellStyle name="Comma 2 6 5 2" xfId="2673" xr:uid="{00000000-0005-0000-0000-0000710A0000}"/>
    <cellStyle name="Comma 2 6 6" xfId="1024" xr:uid="{00000000-0005-0000-0000-000000040000}"/>
    <cellStyle name="Comma 2 6 7" xfId="1982" xr:uid="{00000000-0005-0000-0000-0000BE070000}"/>
    <cellStyle name="Comma 2 7" xfId="235" xr:uid="{00000000-0005-0000-0000-0000EB000000}"/>
    <cellStyle name="Comma 2 7 2" xfId="466" xr:uid="{00000000-0005-0000-0000-0000D2010000}"/>
    <cellStyle name="Comma 2 7 2 2" xfId="695" xr:uid="{00000000-0005-0000-0000-0000B7020000}"/>
    <cellStyle name="Comma 2 7 2 2 2" xfId="1359" xr:uid="{00000000-0005-0000-0000-00004F050000}"/>
    <cellStyle name="Comma 2 7 2 2 2 2" xfId="3005" xr:uid="{00000000-0005-0000-0000-0000BD0B0000}"/>
    <cellStyle name="Comma 2 7 2 2 3" xfId="2422" xr:uid="{00000000-0005-0000-0000-000076090000}"/>
    <cellStyle name="Comma 2 7 2 3" xfId="916" xr:uid="{00000000-0005-0000-0000-000094030000}"/>
    <cellStyle name="Comma 2 7 2 3 2" xfId="2782" xr:uid="{00000000-0005-0000-0000-0000DE0A0000}"/>
    <cellStyle name="Comma 2 7 2 4" xfId="1134" xr:uid="{00000000-0005-0000-0000-00006E040000}"/>
    <cellStyle name="Comma 2 7 2 5" xfId="2194" xr:uid="{00000000-0005-0000-0000-000092080000}"/>
    <cellStyle name="Comma 2 7 3" xfId="580" xr:uid="{00000000-0005-0000-0000-000044020000}"/>
    <cellStyle name="Comma 2 7 3 2" xfId="1244" xr:uid="{00000000-0005-0000-0000-0000DC040000}"/>
    <cellStyle name="Comma 2 7 3 2 2" xfId="2891" xr:uid="{00000000-0005-0000-0000-00004B0B0000}"/>
    <cellStyle name="Comma 2 7 3 3" xfId="2308" xr:uid="{00000000-0005-0000-0000-000004090000}"/>
    <cellStyle name="Comma 2 7 4" xfId="808" xr:uid="{00000000-0005-0000-0000-000028030000}"/>
    <cellStyle name="Comma 2 7 4 2" xfId="2675" xr:uid="{00000000-0005-0000-0000-0000730A0000}"/>
    <cellStyle name="Comma 2 7 5" xfId="1026" xr:uid="{00000000-0005-0000-0000-000002040000}"/>
    <cellStyle name="Comma 2 7 6" xfId="1984" xr:uid="{00000000-0005-0000-0000-0000C0070000}"/>
    <cellStyle name="Comma 2 8" xfId="236" xr:uid="{00000000-0005-0000-0000-0000EC000000}"/>
    <cellStyle name="Comma 2 8 2" xfId="467" xr:uid="{00000000-0005-0000-0000-0000D3010000}"/>
    <cellStyle name="Comma 2 8 2 2" xfId="696" xr:uid="{00000000-0005-0000-0000-0000B8020000}"/>
    <cellStyle name="Comma 2 8 2 2 2" xfId="1360" xr:uid="{00000000-0005-0000-0000-000050050000}"/>
    <cellStyle name="Comma 2 8 2 2 2 2" xfId="3006" xr:uid="{00000000-0005-0000-0000-0000BE0B0000}"/>
    <cellStyle name="Comma 2 8 2 2 3" xfId="2423" xr:uid="{00000000-0005-0000-0000-000077090000}"/>
    <cellStyle name="Comma 2 8 2 3" xfId="917" xr:uid="{00000000-0005-0000-0000-000095030000}"/>
    <cellStyle name="Comma 2 8 2 3 2" xfId="2783" xr:uid="{00000000-0005-0000-0000-0000DF0A0000}"/>
    <cellStyle name="Comma 2 8 2 4" xfId="1135" xr:uid="{00000000-0005-0000-0000-00006F040000}"/>
    <cellStyle name="Comma 2 8 2 5" xfId="2195" xr:uid="{00000000-0005-0000-0000-000093080000}"/>
    <cellStyle name="Comma 2 8 3" xfId="581" xr:uid="{00000000-0005-0000-0000-000045020000}"/>
    <cellStyle name="Comma 2 8 3 2" xfId="1245" xr:uid="{00000000-0005-0000-0000-0000DD040000}"/>
    <cellStyle name="Comma 2 8 3 2 2" xfId="2892" xr:uid="{00000000-0005-0000-0000-00004C0B0000}"/>
    <cellStyle name="Comma 2 8 3 3" xfId="2309" xr:uid="{00000000-0005-0000-0000-000005090000}"/>
    <cellStyle name="Comma 2 8 4" xfId="809" xr:uid="{00000000-0005-0000-0000-000029030000}"/>
    <cellStyle name="Comma 2 8 4 2" xfId="2676" xr:uid="{00000000-0005-0000-0000-0000740A0000}"/>
    <cellStyle name="Comma 2 8 5" xfId="1027" xr:uid="{00000000-0005-0000-0000-000003040000}"/>
    <cellStyle name="Comma 2 8 6" xfId="1985" xr:uid="{00000000-0005-0000-0000-0000C1070000}"/>
    <cellStyle name="Comma 2 9" xfId="1428" xr:uid="{00000000-0005-0000-0000-000094050000}"/>
    <cellStyle name="Comma 2 9 2" xfId="2489" xr:uid="{00000000-0005-0000-0000-0000B9090000}"/>
    <cellStyle name="Comma 20" xfId="59" xr:uid="{00000000-0005-0000-0000-00003B000000}"/>
    <cellStyle name="Comma 20 2" xfId="398" xr:uid="{00000000-0005-0000-0000-00008E010000}"/>
    <cellStyle name="Comma 20 2 2" xfId="525" xr:uid="{00000000-0005-0000-0000-00000D020000}"/>
    <cellStyle name="Comma 20 2 2 2" xfId="752" xr:uid="{00000000-0005-0000-0000-0000F0020000}"/>
    <cellStyle name="Comma 20 2 2 2 2" xfId="1416" xr:uid="{00000000-0005-0000-0000-000088050000}"/>
    <cellStyle name="Comma 20 2 2 2 2 2" xfId="3062" xr:uid="{00000000-0005-0000-0000-0000F60B0000}"/>
    <cellStyle name="Comma 20 2 2 2 3" xfId="2479" xr:uid="{00000000-0005-0000-0000-0000AF090000}"/>
    <cellStyle name="Comma 20 2 2 3" xfId="970" xr:uid="{00000000-0005-0000-0000-0000CA030000}"/>
    <cellStyle name="Comma 20 2 2 3 2" xfId="2836" xr:uid="{00000000-0005-0000-0000-0000140B0000}"/>
    <cellStyle name="Comma 20 2 2 4" xfId="1188" xr:uid="{00000000-0005-0000-0000-0000A4040000}"/>
    <cellStyle name="Comma 20 2 2 5" xfId="2253" xr:uid="{00000000-0005-0000-0000-0000CD080000}"/>
    <cellStyle name="Comma 20 2 3" xfId="634" xr:uid="{00000000-0005-0000-0000-00007A020000}"/>
    <cellStyle name="Comma 20 2 3 2" xfId="1298" xr:uid="{00000000-0005-0000-0000-000012050000}"/>
    <cellStyle name="Comma 20 2 3 2 2" xfId="2945" xr:uid="{00000000-0005-0000-0000-0000810B0000}"/>
    <cellStyle name="Comma 20 2 3 3" xfId="2362" xr:uid="{00000000-0005-0000-0000-00003A090000}"/>
    <cellStyle name="Comma 20 2 4" xfId="862" xr:uid="{00000000-0005-0000-0000-00005E030000}"/>
    <cellStyle name="Comma 20 2 4 2" xfId="2729" xr:uid="{00000000-0005-0000-0000-0000A90A0000}"/>
    <cellStyle name="Comma 20 2 5" xfId="1080" xr:uid="{00000000-0005-0000-0000-000038040000}"/>
    <cellStyle name="Comma 20 2 6" xfId="2127" xr:uid="{00000000-0005-0000-0000-00004F080000}"/>
    <cellStyle name="Comma 20 3" xfId="389" xr:uid="{00000000-0005-0000-0000-000085010000}"/>
    <cellStyle name="Comma 20 3 2" xfId="521" xr:uid="{00000000-0005-0000-0000-000009020000}"/>
    <cellStyle name="Comma 20 3 2 2" xfId="748" xr:uid="{00000000-0005-0000-0000-0000EC020000}"/>
    <cellStyle name="Comma 20 3 2 2 2" xfId="1412" xr:uid="{00000000-0005-0000-0000-000084050000}"/>
    <cellStyle name="Comma 20 3 2 2 2 2" xfId="3058" xr:uid="{00000000-0005-0000-0000-0000F20B0000}"/>
    <cellStyle name="Comma 20 3 2 2 3" xfId="2475" xr:uid="{00000000-0005-0000-0000-0000AB090000}"/>
    <cellStyle name="Comma 20 3 2 3" xfId="966" xr:uid="{00000000-0005-0000-0000-0000C6030000}"/>
    <cellStyle name="Comma 20 3 2 3 2" xfId="2832" xr:uid="{00000000-0005-0000-0000-0000100B0000}"/>
    <cellStyle name="Comma 20 3 2 4" xfId="1184" xr:uid="{00000000-0005-0000-0000-0000A0040000}"/>
    <cellStyle name="Comma 20 3 2 5" xfId="2249" xr:uid="{00000000-0005-0000-0000-0000C9080000}"/>
    <cellStyle name="Comma 20 3 3" xfId="630" xr:uid="{00000000-0005-0000-0000-000076020000}"/>
    <cellStyle name="Comma 20 3 3 2" xfId="1294" xr:uid="{00000000-0005-0000-0000-00000E050000}"/>
    <cellStyle name="Comma 20 3 3 2 2" xfId="2941" xr:uid="{00000000-0005-0000-0000-00007D0B0000}"/>
    <cellStyle name="Comma 20 3 3 3" xfId="2358" xr:uid="{00000000-0005-0000-0000-000036090000}"/>
    <cellStyle name="Comma 20 3 4" xfId="858" xr:uid="{00000000-0005-0000-0000-00005A030000}"/>
    <cellStyle name="Comma 20 3 4 2" xfId="2725" xr:uid="{00000000-0005-0000-0000-0000A50A0000}"/>
    <cellStyle name="Comma 20 3 5" xfId="1076" xr:uid="{00000000-0005-0000-0000-000034040000}"/>
    <cellStyle name="Comma 20 3 6" xfId="2122" xr:uid="{00000000-0005-0000-0000-00004A080000}"/>
    <cellStyle name="Comma 20 4" xfId="1840" xr:uid="{00000000-0005-0000-0000-000030070000}"/>
    <cellStyle name="Comma 21" xfId="394" xr:uid="{00000000-0005-0000-0000-00008A010000}"/>
    <cellStyle name="Comma 21 2" xfId="524" xr:uid="{00000000-0005-0000-0000-00000C020000}"/>
    <cellStyle name="Comma 21 2 2" xfId="751" xr:uid="{00000000-0005-0000-0000-0000EF020000}"/>
    <cellStyle name="Comma 21 2 2 2" xfId="1415" xr:uid="{00000000-0005-0000-0000-000087050000}"/>
    <cellStyle name="Comma 21 2 2 2 2" xfId="3061" xr:uid="{00000000-0005-0000-0000-0000F50B0000}"/>
    <cellStyle name="Comma 21 2 2 3" xfId="2478" xr:uid="{00000000-0005-0000-0000-0000AE090000}"/>
    <cellStyle name="Comma 21 2 3" xfId="969" xr:uid="{00000000-0005-0000-0000-0000C9030000}"/>
    <cellStyle name="Comma 21 2 3 2" xfId="2835" xr:uid="{00000000-0005-0000-0000-0000130B0000}"/>
    <cellStyle name="Comma 21 2 4" xfId="1187" xr:uid="{00000000-0005-0000-0000-0000A3040000}"/>
    <cellStyle name="Comma 21 2 5" xfId="2252" xr:uid="{00000000-0005-0000-0000-0000CC080000}"/>
    <cellStyle name="Comma 21 3" xfId="633" xr:uid="{00000000-0005-0000-0000-000079020000}"/>
    <cellStyle name="Comma 21 3 2" xfId="1297" xr:uid="{00000000-0005-0000-0000-000011050000}"/>
    <cellStyle name="Comma 21 3 2 2" xfId="2944" xr:uid="{00000000-0005-0000-0000-0000800B0000}"/>
    <cellStyle name="Comma 21 3 3" xfId="2361" xr:uid="{00000000-0005-0000-0000-000039090000}"/>
    <cellStyle name="Comma 21 4" xfId="861" xr:uid="{00000000-0005-0000-0000-00005D030000}"/>
    <cellStyle name="Comma 21 4 2" xfId="2728" xr:uid="{00000000-0005-0000-0000-0000A80A0000}"/>
    <cellStyle name="Comma 21 5" xfId="1079" xr:uid="{00000000-0005-0000-0000-000037040000}"/>
    <cellStyle name="Comma 21 6" xfId="2126" xr:uid="{00000000-0005-0000-0000-00004E080000}"/>
    <cellStyle name="Comma 22" xfId="134" xr:uid="{00000000-0005-0000-0000-000086000000}"/>
    <cellStyle name="Comma 22 2" xfId="429" xr:uid="{00000000-0005-0000-0000-0000AD010000}"/>
    <cellStyle name="Comma 22 2 2" xfId="658" xr:uid="{00000000-0005-0000-0000-000092020000}"/>
    <cellStyle name="Comma 22 2 2 2" xfId="1322" xr:uid="{00000000-0005-0000-0000-00002A050000}"/>
    <cellStyle name="Comma 22 2 2 2 2" xfId="1724" xr:uid="{00000000-0005-0000-0000-0000BC060000}"/>
    <cellStyle name="Comma 22 2 2 2 3" xfId="2969" xr:uid="{00000000-0005-0000-0000-0000990B0000}"/>
    <cellStyle name="Comma 22 2 2 3" xfId="1538" xr:uid="{00000000-0005-0000-0000-000002060000}"/>
    <cellStyle name="Comma 22 2 2 3 2" xfId="2599" xr:uid="{00000000-0005-0000-0000-0000270A0000}"/>
    <cellStyle name="Comma 22 2 2 4" xfId="2386" xr:uid="{00000000-0005-0000-0000-000052090000}"/>
    <cellStyle name="Comma 22 2 3" xfId="880" xr:uid="{00000000-0005-0000-0000-000070030000}"/>
    <cellStyle name="Comma 22 2 3 2" xfId="1600" xr:uid="{00000000-0005-0000-0000-000040060000}"/>
    <cellStyle name="Comma 22 2 3 3" xfId="2747" xr:uid="{00000000-0005-0000-0000-0000BB0A0000}"/>
    <cellStyle name="Comma 22 2 4" xfId="1098" xr:uid="{00000000-0005-0000-0000-00004A040000}"/>
    <cellStyle name="Comma 22 2 4 2" xfId="1662" xr:uid="{00000000-0005-0000-0000-00007E060000}"/>
    <cellStyle name="Comma 22 2 4 3" xfId="2530" xr:uid="{00000000-0005-0000-0000-0000E2090000}"/>
    <cellStyle name="Comma 22 2 5" xfId="1476" xr:uid="{00000000-0005-0000-0000-0000C4050000}"/>
    <cellStyle name="Comma 22 2 6" xfId="2158" xr:uid="{00000000-0005-0000-0000-00006E080000}"/>
    <cellStyle name="Comma 22 3" xfId="544" xr:uid="{00000000-0005-0000-0000-000020020000}"/>
    <cellStyle name="Comma 22 3 2" xfId="1208" xr:uid="{00000000-0005-0000-0000-0000B8040000}"/>
    <cellStyle name="Comma 22 3 2 2" xfId="1693" xr:uid="{00000000-0005-0000-0000-00009D060000}"/>
    <cellStyle name="Comma 22 3 2 3" xfId="2856" xr:uid="{00000000-0005-0000-0000-0000280B0000}"/>
    <cellStyle name="Comma 22 3 3" xfId="1507" xr:uid="{00000000-0005-0000-0000-0000E3050000}"/>
    <cellStyle name="Comma 22 3 3 2" xfId="2562" xr:uid="{00000000-0005-0000-0000-0000020A0000}"/>
    <cellStyle name="Comma 22 3 4" xfId="2273" xr:uid="{00000000-0005-0000-0000-0000E1080000}"/>
    <cellStyle name="Comma 22 4" xfId="772" xr:uid="{00000000-0005-0000-0000-000004030000}"/>
    <cellStyle name="Comma 22 4 2" xfId="1569" xr:uid="{00000000-0005-0000-0000-000021060000}"/>
    <cellStyle name="Comma 22 4 3" xfId="2640" xr:uid="{00000000-0005-0000-0000-0000500A0000}"/>
    <cellStyle name="Comma 22 5" xfId="990" xr:uid="{00000000-0005-0000-0000-0000DE030000}"/>
    <cellStyle name="Comma 22 5 2" xfId="1631" xr:uid="{00000000-0005-0000-0000-00005F060000}"/>
    <cellStyle name="Comma 22 5 3" xfId="2498" xr:uid="{00000000-0005-0000-0000-0000C2090000}"/>
    <cellStyle name="Comma 22 6" xfId="1445" xr:uid="{00000000-0005-0000-0000-0000A5050000}"/>
    <cellStyle name="Comma 22 7" xfId="1916" xr:uid="{00000000-0005-0000-0000-00007C070000}"/>
    <cellStyle name="Comma 23" xfId="400" xr:uid="{00000000-0005-0000-0000-000090010000}"/>
    <cellStyle name="Comma 23 2" xfId="527" xr:uid="{00000000-0005-0000-0000-00000F020000}"/>
    <cellStyle name="Comma 23 2 2" xfId="754" xr:uid="{00000000-0005-0000-0000-0000F2020000}"/>
    <cellStyle name="Comma 23 2 2 2" xfId="1418" xr:uid="{00000000-0005-0000-0000-00008A050000}"/>
    <cellStyle name="Comma 23 2 2 2 2" xfId="1745" xr:uid="{00000000-0005-0000-0000-0000D1060000}"/>
    <cellStyle name="Comma 23 2 2 2 3" xfId="3064" xr:uid="{00000000-0005-0000-0000-0000F80B0000}"/>
    <cellStyle name="Comma 23 2 2 3" xfId="1559" xr:uid="{00000000-0005-0000-0000-000017060000}"/>
    <cellStyle name="Comma 23 2 2 3 2" xfId="2624" xr:uid="{00000000-0005-0000-0000-0000400A0000}"/>
    <cellStyle name="Comma 23 2 2 4" xfId="2481" xr:uid="{00000000-0005-0000-0000-0000B1090000}"/>
    <cellStyle name="Comma 23 2 3" xfId="972" xr:uid="{00000000-0005-0000-0000-0000CC030000}"/>
    <cellStyle name="Comma 23 2 3 2" xfId="1621" xr:uid="{00000000-0005-0000-0000-000055060000}"/>
    <cellStyle name="Comma 23 2 3 3" xfId="2838" xr:uid="{00000000-0005-0000-0000-0000160B0000}"/>
    <cellStyle name="Comma 23 2 4" xfId="1190" xr:uid="{00000000-0005-0000-0000-0000A6040000}"/>
    <cellStyle name="Comma 23 2 4 2" xfId="1683" xr:uid="{00000000-0005-0000-0000-000093060000}"/>
    <cellStyle name="Comma 23 2 4 3" xfId="2551" xr:uid="{00000000-0005-0000-0000-0000F7090000}"/>
    <cellStyle name="Comma 23 2 5" xfId="1497" xr:uid="{00000000-0005-0000-0000-0000D9050000}"/>
    <cellStyle name="Comma 23 2 6" xfId="2255" xr:uid="{00000000-0005-0000-0000-0000CF080000}"/>
    <cellStyle name="Comma 23 3" xfId="636" xr:uid="{00000000-0005-0000-0000-00007C020000}"/>
    <cellStyle name="Comma 23 3 2" xfId="1300" xr:uid="{00000000-0005-0000-0000-000014050000}"/>
    <cellStyle name="Comma 23 3 2 2" xfId="1714" xr:uid="{00000000-0005-0000-0000-0000B2060000}"/>
    <cellStyle name="Comma 23 3 2 3" xfId="2947" xr:uid="{00000000-0005-0000-0000-0000830B0000}"/>
    <cellStyle name="Comma 23 3 3" xfId="1528" xr:uid="{00000000-0005-0000-0000-0000F8050000}"/>
    <cellStyle name="Comma 23 3 3 2" xfId="2583" xr:uid="{00000000-0005-0000-0000-0000170A0000}"/>
    <cellStyle name="Comma 23 3 4" xfId="2364" xr:uid="{00000000-0005-0000-0000-00003C090000}"/>
    <cellStyle name="Comma 23 4" xfId="864" xr:uid="{00000000-0005-0000-0000-000060030000}"/>
    <cellStyle name="Comma 23 4 2" xfId="1590" xr:uid="{00000000-0005-0000-0000-000036060000}"/>
    <cellStyle name="Comma 23 4 3" xfId="2731" xr:uid="{00000000-0005-0000-0000-0000AB0A0000}"/>
    <cellStyle name="Comma 23 5" xfId="1082" xr:uid="{00000000-0005-0000-0000-00003A040000}"/>
    <cellStyle name="Comma 23 5 2" xfId="1652" xr:uid="{00000000-0005-0000-0000-000074060000}"/>
    <cellStyle name="Comma 23 5 3" xfId="2519" xr:uid="{00000000-0005-0000-0000-0000D7090000}"/>
    <cellStyle name="Comma 23 6" xfId="1466" xr:uid="{00000000-0005-0000-0000-0000BA050000}"/>
    <cellStyle name="Comma 23 7" xfId="2129" xr:uid="{00000000-0005-0000-0000-000051080000}"/>
    <cellStyle name="Comma 24" xfId="402" xr:uid="{00000000-0005-0000-0000-000092010000}"/>
    <cellStyle name="Comma 24 2" xfId="529" xr:uid="{00000000-0005-0000-0000-000011020000}"/>
    <cellStyle name="Comma 24 2 2" xfId="756" xr:uid="{00000000-0005-0000-0000-0000F4020000}"/>
    <cellStyle name="Comma 24 2 2 2" xfId="1420" xr:uid="{00000000-0005-0000-0000-00008C050000}"/>
    <cellStyle name="Comma 24 2 2 2 2" xfId="3066" xr:uid="{00000000-0005-0000-0000-0000FA0B0000}"/>
    <cellStyle name="Comma 24 2 2 3" xfId="2483" xr:uid="{00000000-0005-0000-0000-0000B3090000}"/>
    <cellStyle name="Comma 24 2 3" xfId="974" xr:uid="{00000000-0005-0000-0000-0000CE030000}"/>
    <cellStyle name="Comma 24 2 3 2" xfId="2840" xr:uid="{00000000-0005-0000-0000-0000180B0000}"/>
    <cellStyle name="Comma 24 2 4" xfId="1192" xr:uid="{00000000-0005-0000-0000-0000A8040000}"/>
    <cellStyle name="Comma 24 2 5" xfId="2257" xr:uid="{00000000-0005-0000-0000-0000D1080000}"/>
    <cellStyle name="Comma 24 3" xfId="1430" xr:uid="{00000000-0005-0000-0000-000096050000}"/>
    <cellStyle name="Comma 24 3 2" xfId="2521" xr:uid="{00000000-0005-0000-0000-0000D9090000}"/>
    <cellStyle name="Comma 24 4" xfId="2131" xr:uid="{00000000-0005-0000-0000-000053080000}"/>
    <cellStyle name="Comma 25" xfId="759" xr:uid="{00000000-0005-0000-0000-0000F7020000}"/>
    <cellStyle name="Comma 25 2" xfId="1423" xr:uid="{00000000-0005-0000-0000-00008F050000}"/>
    <cellStyle name="Comma 25 2 2" xfId="3069" xr:uid="{00000000-0005-0000-0000-0000FD0B0000}"/>
    <cellStyle name="Comma 25 3" xfId="2486" xr:uid="{00000000-0005-0000-0000-0000B6090000}"/>
    <cellStyle name="Comma 26" xfId="977" xr:uid="{00000000-0005-0000-0000-0000D1030000}"/>
    <cellStyle name="Comma 26 2" xfId="2843" xr:uid="{00000000-0005-0000-0000-00001B0B0000}"/>
    <cellStyle name="Comma 27" xfId="1195" xr:uid="{00000000-0005-0000-0000-0000AB040000}"/>
    <cellStyle name="Comma 27 2" xfId="2260" xr:uid="{00000000-0005-0000-0000-0000D4080000}"/>
    <cellStyle name="Comma 28" xfId="1431" xr:uid="{00000000-0005-0000-0000-000097050000}"/>
    <cellStyle name="Comma 28 2" xfId="1751" xr:uid="{00000000-0005-0000-0000-0000D7060000}"/>
    <cellStyle name="Comma 29" xfId="1433" xr:uid="{00000000-0005-0000-0000-000099050000}"/>
    <cellStyle name="Comma 29 2" xfId="1753" xr:uid="{00000000-0005-0000-0000-0000D9060000}"/>
    <cellStyle name="Comma 3" xfId="60" xr:uid="{00000000-0005-0000-0000-00003C000000}"/>
    <cellStyle name="Comma 3 10" xfId="533" xr:uid="{00000000-0005-0000-0000-000015020000}"/>
    <cellStyle name="Comma 3 10 2" xfId="1197" xr:uid="{00000000-0005-0000-0000-0000AD040000}"/>
    <cellStyle name="Comma 3 10 2 2" xfId="2845" xr:uid="{00000000-0005-0000-0000-00001D0B0000}"/>
    <cellStyle name="Comma 3 10 3" xfId="2262" xr:uid="{00000000-0005-0000-0000-0000D6080000}"/>
    <cellStyle name="Comma 3 11" xfId="761" xr:uid="{00000000-0005-0000-0000-0000F9020000}"/>
    <cellStyle name="Comma 3 11 2" xfId="2629" xr:uid="{00000000-0005-0000-0000-0000450A0000}"/>
    <cellStyle name="Comma 3 12" xfId="979" xr:uid="{00000000-0005-0000-0000-0000D3030000}"/>
    <cellStyle name="Comma 3 13" xfId="1841" xr:uid="{00000000-0005-0000-0000-000031070000}"/>
    <cellStyle name="Comma 3 2" xfId="61" xr:uid="{00000000-0005-0000-0000-00003D000000}"/>
    <cellStyle name="Comma 3 2 10" xfId="980" xr:uid="{00000000-0005-0000-0000-0000D4030000}"/>
    <cellStyle name="Comma 3 2 11" xfId="1842" xr:uid="{00000000-0005-0000-0000-000032070000}"/>
    <cellStyle name="Comma 3 2 2" xfId="237" xr:uid="{00000000-0005-0000-0000-0000ED000000}"/>
    <cellStyle name="Comma 3 2 2 2" xfId="1986" xr:uid="{00000000-0005-0000-0000-0000C2070000}"/>
    <cellStyle name="Comma 3 2 3" xfId="238" xr:uid="{00000000-0005-0000-0000-0000EE000000}"/>
    <cellStyle name="Comma 3 2 3 2" xfId="468" xr:uid="{00000000-0005-0000-0000-0000D4010000}"/>
    <cellStyle name="Comma 3 2 3 2 2" xfId="697" xr:uid="{00000000-0005-0000-0000-0000B9020000}"/>
    <cellStyle name="Comma 3 2 3 2 2 2" xfId="1361" xr:uid="{00000000-0005-0000-0000-000051050000}"/>
    <cellStyle name="Comma 3 2 3 2 2 2 2" xfId="3007" xr:uid="{00000000-0005-0000-0000-0000BF0B0000}"/>
    <cellStyle name="Comma 3 2 3 2 2 3" xfId="2424" xr:uid="{00000000-0005-0000-0000-000078090000}"/>
    <cellStyle name="Comma 3 2 3 2 3" xfId="918" xr:uid="{00000000-0005-0000-0000-000096030000}"/>
    <cellStyle name="Comma 3 2 3 2 3 2" xfId="2784" xr:uid="{00000000-0005-0000-0000-0000E00A0000}"/>
    <cellStyle name="Comma 3 2 3 2 4" xfId="1136" xr:uid="{00000000-0005-0000-0000-000070040000}"/>
    <cellStyle name="Comma 3 2 3 2 5" xfId="2196" xr:uid="{00000000-0005-0000-0000-000094080000}"/>
    <cellStyle name="Comma 3 2 3 3" xfId="582" xr:uid="{00000000-0005-0000-0000-000046020000}"/>
    <cellStyle name="Comma 3 2 3 3 2" xfId="1246" xr:uid="{00000000-0005-0000-0000-0000DE040000}"/>
    <cellStyle name="Comma 3 2 3 3 2 2" xfId="2893" xr:uid="{00000000-0005-0000-0000-00004D0B0000}"/>
    <cellStyle name="Comma 3 2 3 3 3" xfId="2310" xr:uid="{00000000-0005-0000-0000-000006090000}"/>
    <cellStyle name="Comma 3 2 3 4" xfId="810" xr:uid="{00000000-0005-0000-0000-00002A030000}"/>
    <cellStyle name="Comma 3 2 3 4 2" xfId="2677" xr:uid="{00000000-0005-0000-0000-0000750A0000}"/>
    <cellStyle name="Comma 3 2 3 5" xfId="1028" xr:uid="{00000000-0005-0000-0000-000004040000}"/>
    <cellStyle name="Comma 3 2 3 6" xfId="1987" xr:uid="{00000000-0005-0000-0000-0000C3070000}"/>
    <cellStyle name="Comma 3 2 4" xfId="239" xr:uid="{00000000-0005-0000-0000-0000EF000000}"/>
    <cellStyle name="Comma 3 2 4 2" xfId="469" xr:uid="{00000000-0005-0000-0000-0000D5010000}"/>
    <cellStyle name="Comma 3 2 4 2 2" xfId="698" xr:uid="{00000000-0005-0000-0000-0000BA020000}"/>
    <cellStyle name="Comma 3 2 4 2 2 2" xfId="1362" xr:uid="{00000000-0005-0000-0000-000052050000}"/>
    <cellStyle name="Comma 3 2 4 2 2 2 2" xfId="3008" xr:uid="{00000000-0005-0000-0000-0000C00B0000}"/>
    <cellStyle name="Comma 3 2 4 2 2 3" xfId="2425" xr:uid="{00000000-0005-0000-0000-000079090000}"/>
    <cellStyle name="Comma 3 2 4 2 3" xfId="919" xr:uid="{00000000-0005-0000-0000-000097030000}"/>
    <cellStyle name="Comma 3 2 4 2 3 2" xfId="2785" xr:uid="{00000000-0005-0000-0000-0000E10A0000}"/>
    <cellStyle name="Comma 3 2 4 2 4" xfId="1137" xr:uid="{00000000-0005-0000-0000-000071040000}"/>
    <cellStyle name="Comma 3 2 4 2 5" xfId="2197" xr:uid="{00000000-0005-0000-0000-000095080000}"/>
    <cellStyle name="Comma 3 2 4 3" xfId="583" xr:uid="{00000000-0005-0000-0000-000047020000}"/>
    <cellStyle name="Comma 3 2 4 3 2" xfId="1247" xr:uid="{00000000-0005-0000-0000-0000DF040000}"/>
    <cellStyle name="Comma 3 2 4 3 2 2" xfId="2894" xr:uid="{00000000-0005-0000-0000-00004E0B0000}"/>
    <cellStyle name="Comma 3 2 4 3 3" xfId="2311" xr:uid="{00000000-0005-0000-0000-000007090000}"/>
    <cellStyle name="Comma 3 2 4 4" xfId="811" xr:uid="{00000000-0005-0000-0000-00002B030000}"/>
    <cellStyle name="Comma 3 2 4 4 2" xfId="2678" xr:uid="{00000000-0005-0000-0000-0000760A0000}"/>
    <cellStyle name="Comma 3 2 4 5" xfId="1029" xr:uid="{00000000-0005-0000-0000-000005040000}"/>
    <cellStyle name="Comma 3 2 4 6" xfId="1988" xr:uid="{00000000-0005-0000-0000-0000C4070000}"/>
    <cellStyle name="Comma 3 2 5" xfId="240" xr:uid="{00000000-0005-0000-0000-0000F0000000}"/>
    <cellStyle name="Comma 3 2 5 2" xfId="470" xr:uid="{00000000-0005-0000-0000-0000D6010000}"/>
    <cellStyle name="Comma 3 2 5 2 2" xfId="699" xr:uid="{00000000-0005-0000-0000-0000BB020000}"/>
    <cellStyle name="Comma 3 2 5 2 2 2" xfId="1363" xr:uid="{00000000-0005-0000-0000-000053050000}"/>
    <cellStyle name="Comma 3 2 5 2 2 2 2" xfId="3009" xr:uid="{00000000-0005-0000-0000-0000C10B0000}"/>
    <cellStyle name="Comma 3 2 5 2 2 3" xfId="2426" xr:uid="{00000000-0005-0000-0000-00007A090000}"/>
    <cellStyle name="Comma 3 2 5 2 3" xfId="920" xr:uid="{00000000-0005-0000-0000-000098030000}"/>
    <cellStyle name="Comma 3 2 5 2 3 2" xfId="2786" xr:uid="{00000000-0005-0000-0000-0000E20A0000}"/>
    <cellStyle name="Comma 3 2 5 2 4" xfId="1138" xr:uid="{00000000-0005-0000-0000-000072040000}"/>
    <cellStyle name="Comma 3 2 5 2 5" xfId="2198" xr:uid="{00000000-0005-0000-0000-000096080000}"/>
    <cellStyle name="Comma 3 2 5 3" xfId="584" xr:uid="{00000000-0005-0000-0000-000048020000}"/>
    <cellStyle name="Comma 3 2 5 3 2" xfId="1248" xr:uid="{00000000-0005-0000-0000-0000E0040000}"/>
    <cellStyle name="Comma 3 2 5 3 2 2" xfId="2895" xr:uid="{00000000-0005-0000-0000-00004F0B0000}"/>
    <cellStyle name="Comma 3 2 5 3 3" xfId="2312" xr:uid="{00000000-0005-0000-0000-000008090000}"/>
    <cellStyle name="Comma 3 2 5 4" xfId="812" xr:uid="{00000000-0005-0000-0000-00002C030000}"/>
    <cellStyle name="Comma 3 2 5 4 2" xfId="2679" xr:uid="{00000000-0005-0000-0000-0000770A0000}"/>
    <cellStyle name="Comma 3 2 5 5" xfId="1030" xr:uid="{00000000-0005-0000-0000-000006040000}"/>
    <cellStyle name="Comma 3 2 5 6" xfId="1989" xr:uid="{00000000-0005-0000-0000-0000C5070000}"/>
    <cellStyle name="Comma 3 2 6" xfId="165" xr:uid="{00000000-0005-0000-0000-0000A5000000}"/>
    <cellStyle name="Comma 3 2 6 2" xfId="431" xr:uid="{00000000-0005-0000-0000-0000AF010000}"/>
    <cellStyle name="Comma 3 2 6 2 2" xfId="660" xr:uid="{00000000-0005-0000-0000-000094020000}"/>
    <cellStyle name="Comma 3 2 6 2 2 2" xfId="1324" xr:uid="{00000000-0005-0000-0000-00002C050000}"/>
    <cellStyle name="Comma 3 2 6 2 2 2 2" xfId="1726" xr:uid="{00000000-0005-0000-0000-0000BE060000}"/>
    <cellStyle name="Comma 3 2 6 2 2 2 3" xfId="2971" xr:uid="{00000000-0005-0000-0000-00009B0B0000}"/>
    <cellStyle name="Comma 3 2 6 2 2 3" xfId="1540" xr:uid="{00000000-0005-0000-0000-000004060000}"/>
    <cellStyle name="Comma 3 2 6 2 2 3 2" xfId="2601" xr:uid="{00000000-0005-0000-0000-0000290A0000}"/>
    <cellStyle name="Comma 3 2 6 2 2 4" xfId="2388" xr:uid="{00000000-0005-0000-0000-000054090000}"/>
    <cellStyle name="Comma 3 2 6 2 3" xfId="882" xr:uid="{00000000-0005-0000-0000-000072030000}"/>
    <cellStyle name="Comma 3 2 6 2 3 2" xfId="1602" xr:uid="{00000000-0005-0000-0000-000042060000}"/>
    <cellStyle name="Comma 3 2 6 2 3 3" xfId="2749" xr:uid="{00000000-0005-0000-0000-0000BD0A0000}"/>
    <cellStyle name="Comma 3 2 6 2 4" xfId="1100" xr:uid="{00000000-0005-0000-0000-00004C040000}"/>
    <cellStyle name="Comma 3 2 6 2 4 2" xfId="1664" xr:uid="{00000000-0005-0000-0000-000080060000}"/>
    <cellStyle name="Comma 3 2 6 2 4 3" xfId="2532" xr:uid="{00000000-0005-0000-0000-0000E4090000}"/>
    <cellStyle name="Comma 3 2 6 2 5" xfId="1478" xr:uid="{00000000-0005-0000-0000-0000C6050000}"/>
    <cellStyle name="Comma 3 2 6 2 6" xfId="2160" xr:uid="{00000000-0005-0000-0000-000070080000}"/>
    <cellStyle name="Comma 3 2 6 3" xfId="546" xr:uid="{00000000-0005-0000-0000-000022020000}"/>
    <cellStyle name="Comma 3 2 6 3 2" xfId="1210" xr:uid="{00000000-0005-0000-0000-0000BA040000}"/>
    <cellStyle name="Comma 3 2 6 3 2 2" xfId="1695" xr:uid="{00000000-0005-0000-0000-00009F060000}"/>
    <cellStyle name="Comma 3 2 6 3 2 3" xfId="2858" xr:uid="{00000000-0005-0000-0000-00002A0B0000}"/>
    <cellStyle name="Comma 3 2 6 3 3" xfId="1509" xr:uid="{00000000-0005-0000-0000-0000E5050000}"/>
    <cellStyle name="Comma 3 2 6 3 3 2" xfId="2564" xr:uid="{00000000-0005-0000-0000-0000040A0000}"/>
    <cellStyle name="Comma 3 2 6 3 4" xfId="2275" xr:uid="{00000000-0005-0000-0000-0000E3080000}"/>
    <cellStyle name="Comma 3 2 6 4" xfId="774" xr:uid="{00000000-0005-0000-0000-000006030000}"/>
    <cellStyle name="Comma 3 2 6 4 2" xfId="1571" xr:uid="{00000000-0005-0000-0000-000023060000}"/>
    <cellStyle name="Comma 3 2 6 4 3" xfId="2642" xr:uid="{00000000-0005-0000-0000-0000520A0000}"/>
    <cellStyle name="Comma 3 2 6 5" xfId="992" xr:uid="{00000000-0005-0000-0000-0000E0030000}"/>
    <cellStyle name="Comma 3 2 6 5 2" xfId="1633" xr:uid="{00000000-0005-0000-0000-000061060000}"/>
    <cellStyle name="Comma 3 2 6 5 3" xfId="2500" xr:uid="{00000000-0005-0000-0000-0000C4090000}"/>
    <cellStyle name="Comma 3 2 6 6" xfId="1447" xr:uid="{00000000-0005-0000-0000-0000A7050000}"/>
    <cellStyle name="Comma 3 2 6 7" xfId="1919" xr:uid="{00000000-0005-0000-0000-00007F070000}"/>
    <cellStyle name="Comma 3 2 7" xfId="410" xr:uid="{00000000-0005-0000-0000-00009A010000}"/>
    <cellStyle name="Comma 3 2 7 2" xfId="645" xr:uid="{00000000-0005-0000-0000-000085020000}"/>
    <cellStyle name="Comma 3 2 7 2 2" xfId="1309" xr:uid="{00000000-0005-0000-0000-00001D050000}"/>
    <cellStyle name="Comma 3 2 7 2 2 2" xfId="2956" xr:uid="{00000000-0005-0000-0000-00008C0B0000}"/>
    <cellStyle name="Comma 3 2 7 2 3" xfId="2373" xr:uid="{00000000-0005-0000-0000-000045090000}"/>
    <cellStyle name="Comma 3 2 7 3" xfId="870" xr:uid="{00000000-0005-0000-0000-000066030000}"/>
    <cellStyle name="Comma 3 2 7 3 2" xfId="2737" xr:uid="{00000000-0005-0000-0000-0000B10A0000}"/>
    <cellStyle name="Comma 3 2 7 4" xfId="1088" xr:uid="{00000000-0005-0000-0000-000040040000}"/>
    <cellStyle name="Comma 3 2 7 5" xfId="2139" xr:uid="{00000000-0005-0000-0000-00005B080000}"/>
    <cellStyle name="Comma 3 2 8" xfId="534" xr:uid="{00000000-0005-0000-0000-000016020000}"/>
    <cellStyle name="Comma 3 2 8 2" xfId="1198" xr:uid="{00000000-0005-0000-0000-0000AE040000}"/>
    <cellStyle name="Comma 3 2 8 2 2" xfId="2846" xr:uid="{00000000-0005-0000-0000-00001E0B0000}"/>
    <cellStyle name="Comma 3 2 8 3" xfId="2263" xr:uid="{00000000-0005-0000-0000-0000D7080000}"/>
    <cellStyle name="Comma 3 2 9" xfId="762" xr:uid="{00000000-0005-0000-0000-0000FA020000}"/>
    <cellStyle name="Comma 3 2 9 2" xfId="2630" xr:uid="{00000000-0005-0000-0000-0000460A0000}"/>
    <cellStyle name="Comma 3 3" xfId="241" xr:uid="{00000000-0005-0000-0000-0000F1000000}"/>
    <cellStyle name="Comma 3 3 2" xfId="242" xr:uid="{00000000-0005-0000-0000-0000F2000000}"/>
    <cellStyle name="Comma 3 3 2 2" xfId="1991" xr:uid="{00000000-0005-0000-0000-0000C7070000}"/>
    <cellStyle name="Comma 3 3 3" xfId="243" xr:uid="{00000000-0005-0000-0000-0000F3000000}"/>
    <cellStyle name="Comma 3 3 3 2" xfId="472" xr:uid="{00000000-0005-0000-0000-0000D8010000}"/>
    <cellStyle name="Comma 3 3 3 2 2" xfId="701" xr:uid="{00000000-0005-0000-0000-0000BD020000}"/>
    <cellStyle name="Comma 3 3 3 2 2 2" xfId="1365" xr:uid="{00000000-0005-0000-0000-000055050000}"/>
    <cellStyle name="Comma 3 3 3 2 2 2 2" xfId="3011" xr:uid="{00000000-0005-0000-0000-0000C30B0000}"/>
    <cellStyle name="Comma 3 3 3 2 2 3" xfId="2428" xr:uid="{00000000-0005-0000-0000-00007C090000}"/>
    <cellStyle name="Comma 3 3 3 2 3" xfId="922" xr:uid="{00000000-0005-0000-0000-00009A030000}"/>
    <cellStyle name="Comma 3 3 3 2 3 2" xfId="2788" xr:uid="{00000000-0005-0000-0000-0000E40A0000}"/>
    <cellStyle name="Comma 3 3 3 2 4" xfId="1140" xr:uid="{00000000-0005-0000-0000-000074040000}"/>
    <cellStyle name="Comma 3 3 3 2 5" xfId="2200" xr:uid="{00000000-0005-0000-0000-000098080000}"/>
    <cellStyle name="Comma 3 3 3 3" xfId="586" xr:uid="{00000000-0005-0000-0000-00004A020000}"/>
    <cellStyle name="Comma 3 3 3 3 2" xfId="1250" xr:uid="{00000000-0005-0000-0000-0000E2040000}"/>
    <cellStyle name="Comma 3 3 3 3 2 2" xfId="2897" xr:uid="{00000000-0005-0000-0000-0000510B0000}"/>
    <cellStyle name="Comma 3 3 3 3 3" xfId="2314" xr:uid="{00000000-0005-0000-0000-00000A090000}"/>
    <cellStyle name="Comma 3 3 3 4" xfId="814" xr:uid="{00000000-0005-0000-0000-00002E030000}"/>
    <cellStyle name="Comma 3 3 3 4 2" xfId="2681" xr:uid="{00000000-0005-0000-0000-0000790A0000}"/>
    <cellStyle name="Comma 3 3 3 5" xfId="1032" xr:uid="{00000000-0005-0000-0000-000008040000}"/>
    <cellStyle name="Comma 3 3 3 6" xfId="1992" xr:uid="{00000000-0005-0000-0000-0000C8070000}"/>
    <cellStyle name="Comma 3 3 4" xfId="471" xr:uid="{00000000-0005-0000-0000-0000D7010000}"/>
    <cellStyle name="Comma 3 3 4 2" xfId="700" xr:uid="{00000000-0005-0000-0000-0000BC020000}"/>
    <cellStyle name="Comma 3 3 4 2 2" xfId="1364" xr:uid="{00000000-0005-0000-0000-000054050000}"/>
    <cellStyle name="Comma 3 3 4 2 2 2" xfId="3010" xr:uid="{00000000-0005-0000-0000-0000C20B0000}"/>
    <cellStyle name="Comma 3 3 4 2 3" xfId="2427" xr:uid="{00000000-0005-0000-0000-00007B090000}"/>
    <cellStyle name="Comma 3 3 4 3" xfId="921" xr:uid="{00000000-0005-0000-0000-000099030000}"/>
    <cellStyle name="Comma 3 3 4 3 2" xfId="2787" xr:uid="{00000000-0005-0000-0000-0000E30A0000}"/>
    <cellStyle name="Comma 3 3 4 4" xfId="1139" xr:uid="{00000000-0005-0000-0000-000073040000}"/>
    <cellStyle name="Comma 3 3 4 5" xfId="2199" xr:uid="{00000000-0005-0000-0000-000097080000}"/>
    <cellStyle name="Comma 3 3 5" xfId="585" xr:uid="{00000000-0005-0000-0000-000049020000}"/>
    <cellStyle name="Comma 3 3 5 2" xfId="1249" xr:uid="{00000000-0005-0000-0000-0000E1040000}"/>
    <cellStyle name="Comma 3 3 5 2 2" xfId="2896" xr:uid="{00000000-0005-0000-0000-0000500B0000}"/>
    <cellStyle name="Comma 3 3 5 3" xfId="2313" xr:uid="{00000000-0005-0000-0000-000009090000}"/>
    <cellStyle name="Comma 3 3 6" xfId="813" xr:uid="{00000000-0005-0000-0000-00002D030000}"/>
    <cellStyle name="Comma 3 3 6 2" xfId="2680" xr:uid="{00000000-0005-0000-0000-0000780A0000}"/>
    <cellStyle name="Comma 3 3 7" xfId="1031" xr:uid="{00000000-0005-0000-0000-000007040000}"/>
    <cellStyle name="Comma 3 3 8" xfId="1990" xr:uid="{00000000-0005-0000-0000-0000C6070000}"/>
    <cellStyle name="Comma 3 4" xfId="244" xr:uid="{00000000-0005-0000-0000-0000F4000000}"/>
    <cellStyle name="Comma 3 4 2" xfId="245" xr:uid="{00000000-0005-0000-0000-0000F5000000}"/>
    <cellStyle name="Comma 3 4 2 2" xfId="1994" xr:uid="{00000000-0005-0000-0000-0000CA070000}"/>
    <cellStyle name="Comma 3 4 3" xfId="246" xr:uid="{00000000-0005-0000-0000-0000F6000000}"/>
    <cellStyle name="Comma 3 4 3 2" xfId="474" xr:uid="{00000000-0005-0000-0000-0000DA010000}"/>
    <cellStyle name="Comma 3 4 3 2 2" xfId="703" xr:uid="{00000000-0005-0000-0000-0000BF020000}"/>
    <cellStyle name="Comma 3 4 3 2 2 2" xfId="1367" xr:uid="{00000000-0005-0000-0000-000057050000}"/>
    <cellStyle name="Comma 3 4 3 2 2 2 2" xfId="3013" xr:uid="{00000000-0005-0000-0000-0000C50B0000}"/>
    <cellStyle name="Comma 3 4 3 2 2 3" xfId="2430" xr:uid="{00000000-0005-0000-0000-00007E090000}"/>
    <cellStyle name="Comma 3 4 3 2 3" xfId="924" xr:uid="{00000000-0005-0000-0000-00009C030000}"/>
    <cellStyle name="Comma 3 4 3 2 3 2" xfId="2790" xr:uid="{00000000-0005-0000-0000-0000E60A0000}"/>
    <cellStyle name="Comma 3 4 3 2 4" xfId="1142" xr:uid="{00000000-0005-0000-0000-000076040000}"/>
    <cellStyle name="Comma 3 4 3 2 5" xfId="2202" xr:uid="{00000000-0005-0000-0000-00009A080000}"/>
    <cellStyle name="Comma 3 4 3 3" xfId="588" xr:uid="{00000000-0005-0000-0000-00004C020000}"/>
    <cellStyle name="Comma 3 4 3 3 2" xfId="1252" xr:uid="{00000000-0005-0000-0000-0000E4040000}"/>
    <cellStyle name="Comma 3 4 3 3 2 2" xfId="2899" xr:uid="{00000000-0005-0000-0000-0000530B0000}"/>
    <cellStyle name="Comma 3 4 3 3 3" xfId="2316" xr:uid="{00000000-0005-0000-0000-00000C090000}"/>
    <cellStyle name="Comma 3 4 3 4" xfId="816" xr:uid="{00000000-0005-0000-0000-000030030000}"/>
    <cellStyle name="Comma 3 4 3 4 2" xfId="2683" xr:uid="{00000000-0005-0000-0000-00007B0A0000}"/>
    <cellStyle name="Comma 3 4 3 5" xfId="1034" xr:uid="{00000000-0005-0000-0000-00000A040000}"/>
    <cellStyle name="Comma 3 4 3 6" xfId="1995" xr:uid="{00000000-0005-0000-0000-0000CB070000}"/>
    <cellStyle name="Comma 3 4 4" xfId="473" xr:uid="{00000000-0005-0000-0000-0000D9010000}"/>
    <cellStyle name="Comma 3 4 4 2" xfId="702" xr:uid="{00000000-0005-0000-0000-0000BE020000}"/>
    <cellStyle name="Comma 3 4 4 2 2" xfId="1366" xr:uid="{00000000-0005-0000-0000-000056050000}"/>
    <cellStyle name="Comma 3 4 4 2 2 2" xfId="3012" xr:uid="{00000000-0005-0000-0000-0000C40B0000}"/>
    <cellStyle name="Comma 3 4 4 2 3" xfId="2429" xr:uid="{00000000-0005-0000-0000-00007D090000}"/>
    <cellStyle name="Comma 3 4 4 3" xfId="923" xr:uid="{00000000-0005-0000-0000-00009B030000}"/>
    <cellStyle name="Comma 3 4 4 3 2" xfId="2789" xr:uid="{00000000-0005-0000-0000-0000E50A0000}"/>
    <cellStyle name="Comma 3 4 4 4" xfId="1141" xr:uid="{00000000-0005-0000-0000-000075040000}"/>
    <cellStyle name="Comma 3 4 4 5" xfId="2201" xr:uid="{00000000-0005-0000-0000-000099080000}"/>
    <cellStyle name="Comma 3 4 5" xfId="587" xr:uid="{00000000-0005-0000-0000-00004B020000}"/>
    <cellStyle name="Comma 3 4 5 2" xfId="1251" xr:uid="{00000000-0005-0000-0000-0000E3040000}"/>
    <cellStyle name="Comma 3 4 5 2 2" xfId="2898" xr:uid="{00000000-0005-0000-0000-0000520B0000}"/>
    <cellStyle name="Comma 3 4 5 3" xfId="2315" xr:uid="{00000000-0005-0000-0000-00000B090000}"/>
    <cellStyle name="Comma 3 4 6" xfId="815" xr:uid="{00000000-0005-0000-0000-00002F030000}"/>
    <cellStyle name="Comma 3 4 6 2" xfId="2682" xr:uid="{00000000-0005-0000-0000-00007A0A0000}"/>
    <cellStyle name="Comma 3 4 7" xfId="1033" xr:uid="{00000000-0005-0000-0000-000009040000}"/>
    <cellStyle name="Comma 3 4 8" xfId="1993" xr:uid="{00000000-0005-0000-0000-0000C9070000}"/>
    <cellStyle name="Comma 3 5" xfId="247" xr:uid="{00000000-0005-0000-0000-0000F7000000}"/>
    <cellStyle name="Comma 3 5 2" xfId="248" xr:uid="{00000000-0005-0000-0000-0000F8000000}"/>
    <cellStyle name="Comma 3 5 2 2" xfId="1997" xr:uid="{00000000-0005-0000-0000-0000CD070000}"/>
    <cellStyle name="Comma 3 5 3" xfId="475" xr:uid="{00000000-0005-0000-0000-0000DB010000}"/>
    <cellStyle name="Comma 3 5 3 2" xfId="704" xr:uid="{00000000-0005-0000-0000-0000C0020000}"/>
    <cellStyle name="Comma 3 5 3 2 2" xfId="1368" xr:uid="{00000000-0005-0000-0000-000058050000}"/>
    <cellStyle name="Comma 3 5 3 2 2 2" xfId="3014" xr:uid="{00000000-0005-0000-0000-0000C60B0000}"/>
    <cellStyle name="Comma 3 5 3 2 3" xfId="2431" xr:uid="{00000000-0005-0000-0000-00007F090000}"/>
    <cellStyle name="Comma 3 5 3 3" xfId="925" xr:uid="{00000000-0005-0000-0000-00009D030000}"/>
    <cellStyle name="Comma 3 5 3 3 2" xfId="2791" xr:uid="{00000000-0005-0000-0000-0000E70A0000}"/>
    <cellStyle name="Comma 3 5 3 4" xfId="1143" xr:uid="{00000000-0005-0000-0000-000077040000}"/>
    <cellStyle name="Comma 3 5 3 5" xfId="2203" xr:uid="{00000000-0005-0000-0000-00009B080000}"/>
    <cellStyle name="Comma 3 5 4" xfId="589" xr:uid="{00000000-0005-0000-0000-00004D020000}"/>
    <cellStyle name="Comma 3 5 4 2" xfId="1253" xr:uid="{00000000-0005-0000-0000-0000E5040000}"/>
    <cellStyle name="Comma 3 5 4 2 2" xfId="2900" xr:uid="{00000000-0005-0000-0000-0000540B0000}"/>
    <cellStyle name="Comma 3 5 4 3" xfId="2317" xr:uid="{00000000-0005-0000-0000-00000D090000}"/>
    <cellStyle name="Comma 3 5 5" xfId="817" xr:uid="{00000000-0005-0000-0000-000031030000}"/>
    <cellStyle name="Comma 3 5 5 2" xfId="2684" xr:uid="{00000000-0005-0000-0000-00007C0A0000}"/>
    <cellStyle name="Comma 3 5 6" xfId="1035" xr:uid="{00000000-0005-0000-0000-00000B040000}"/>
    <cellStyle name="Comma 3 5 7" xfId="1996" xr:uid="{00000000-0005-0000-0000-0000CC070000}"/>
    <cellStyle name="Comma 3 6" xfId="249" xr:uid="{00000000-0005-0000-0000-0000F9000000}"/>
    <cellStyle name="Comma 3 6 2" xfId="476" xr:uid="{00000000-0005-0000-0000-0000DC010000}"/>
    <cellStyle name="Comma 3 6 2 2" xfId="705" xr:uid="{00000000-0005-0000-0000-0000C1020000}"/>
    <cellStyle name="Comma 3 6 2 2 2" xfId="1369" xr:uid="{00000000-0005-0000-0000-000059050000}"/>
    <cellStyle name="Comma 3 6 2 2 2 2" xfId="3015" xr:uid="{00000000-0005-0000-0000-0000C70B0000}"/>
    <cellStyle name="Comma 3 6 2 2 3" xfId="2432" xr:uid="{00000000-0005-0000-0000-000080090000}"/>
    <cellStyle name="Comma 3 6 2 3" xfId="926" xr:uid="{00000000-0005-0000-0000-00009E030000}"/>
    <cellStyle name="Comma 3 6 2 3 2" xfId="2792" xr:uid="{00000000-0005-0000-0000-0000E80A0000}"/>
    <cellStyle name="Comma 3 6 2 4" xfId="1144" xr:uid="{00000000-0005-0000-0000-000078040000}"/>
    <cellStyle name="Comma 3 6 2 5" xfId="2204" xr:uid="{00000000-0005-0000-0000-00009C080000}"/>
    <cellStyle name="Comma 3 6 3" xfId="590" xr:uid="{00000000-0005-0000-0000-00004E020000}"/>
    <cellStyle name="Comma 3 6 3 2" xfId="1254" xr:uid="{00000000-0005-0000-0000-0000E6040000}"/>
    <cellStyle name="Comma 3 6 3 2 2" xfId="2901" xr:uid="{00000000-0005-0000-0000-0000550B0000}"/>
    <cellStyle name="Comma 3 6 3 3" xfId="2318" xr:uid="{00000000-0005-0000-0000-00000E090000}"/>
    <cellStyle name="Comma 3 6 4" xfId="818" xr:uid="{00000000-0005-0000-0000-000032030000}"/>
    <cellStyle name="Comma 3 6 4 2" xfId="2685" xr:uid="{00000000-0005-0000-0000-00007D0A0000}"/>
    <cellStyle name="Comma 3 6 5" xfId="1036" xr:uid="{00000000-0005-0000-0000-00000C040000}"/>
    <cellStyle name="Comma 3 6 6" xfId="1998" xr:uid="{00000000-0005-0000-0000-0000CE070000}"/>
    <cellStyle name="Comma 3 7" xfId="250" xr:uid="{00000000-0005-0000-0000-0000FA000000}"/>
    <cellStyle name="Comma 3 7 2" xfId="477" xr:uid="{00000000-0005-0000-0000-0000DD010000}"/>
    <cellStyle name="Comma 3 7 2 2" xfId="706" xr:uid="{00000000-0005-0000-0000-0000C2020000}"/>
    <cellStyle name="Comma 3 7 2 2 2" xfId="1370" xr:uid="{00000000-0005-0000-0000-00005A050000}"/>
    <cellStyle name="Comma 3 7 2 2 2 2" xfId="3016" xr:uid="{00000000-0005-0000-0000-0000C80B0000}"/>
    <cellStyle name="Comma 3 7 2 2 3" xfId="2433" xr:uid="{00000000-0005-0000-0000-000081090000}"/>
    <cellStyle name="Comma 3 7 2 3" xfId="927" xr:uid="{00000000-0005-0000-0000-00009F030000}"/>
    <cellStyle name="Comma 3 7 2 3 2" xfId="2793" xr:uid="{00000000-0005-0000-0000-0000E90A0000}"/>
    <cellStyle name="Comma 3 7 2 4" xfId="1145" xr:uid="{00000000-0005-0000-0000-000079040000}"/>
    <cellStyle name="Comma 3 7 2 5" xfId="2205" xr:uid="{00000000-0005-0000-0000-00009D080000}"/>
    <cellStyle name="Comma 3 7 3" xfId="591" xr:uid="{00000000-0005-0000-0000-00004F020000}"/>
    <cellStyle name="Comma 3 7 3 2" xfId="1255" xr:uid="{00000000-0005-0000-0000-0000E7040000}"/>
    <cellStyle name="Comma 3 7 3 2 2" xfId="2902" xr:uid="{00000000-0005-0000-0000-0000560B0000}"/>
    <cellStyle name="Comma 3 7 3 3" xfId="2319" xr:uid="{00000000-0005-0000-0000-00000F090000}"/>
    <cellStyle name="Comma 3 7 4" xfId="819" xr:uid="{00000000-0005-0000-0000-000033030000}"/>
    <cellStyle name="Comma 3 7 4 2" xfId="2686" xr:uid="{00000000-0005-0000-0000-00007E0A0000}"/>
    <cellStyle name="Comma 3 7 5" xfId="1037" xr:uid="{00000000-0005-0000-0000-00000D040000}"/>
    <cellStyle name="Comma 3 7 6" xfId="1999" xr:uid="{00000000-0005-0000-0000-0000CF070000}"/>
    <cellStyle name="Comma 3 8" xfId="383" xr:uid="{00000000-0005-0000-0000-00007F010000}"/>
    <cellStyle name="Comma 3 8 2" xfId="518" xr:uid="{00000000-0005-0000-0000-000006020000}"/>
    <cellStyle name="Comma 3 8 2 2" xfId="746" xr:uid="{00000000-0005-0000-0000-0000EA020000}"/>
    <cellStyle name="Comma 3 8 2 2 2" xfId="1410" xr:uid="{00000000-0005-0000-0000-000082050000}"/>
    <cellStyle name="Comma 3 8 2 2 2 2" xfId="3056" xr:uid="{00000000-0005-0000-0000-0000F00B0000}"/>
    <cellStyle name="Comma 3 8 2 2 3" xfId="2473" xr:uid="{00000000-0005-0000-0000-0000A9090000}"/>
    <cellStyle name="Comma 3 8 2 3" xfId="965" xr:uid="{00000000-0005-0000-0000-0000C5030000}"/>
    <cellStyle name="Comma 3 8 2 3 2" xfId="2831" xr:uid="{00000000-0005-0000-0000-00000F0B0000}"/>
    <cellStyle name="Comma 3 8 2 4" xfId="1183" xr:uid="{00000000-0005-0000-0000-00009F040000}"/>
    <cellStyle name="Comma 3 8 2 5" xfId="2246" xr:uid="{00000000-0005-0000-0000-0000C6080000}"/>
    <cellStyle name="Comma 3 8 3" xfId="629" xr:uid="{00000000-0005-0000-0000-000075020000}"/>
    <cellStyle name="Comma 3 8 3 2" xfId="1293" xr:uid="{00000000-0005-0000-0000-00000D050000}"/>
    <cellStyle name="Comma 3 8 3 2 2" xfId="2940" xr:uid="{00000000-0005-0000-0000-00007C0B0000}"/>
    <cellStyle name="Comma 3 8 3 3" xfId="2357" xr:uid="{00000000-0005-0000-0000-000035090000}"/>
    <cellStyle name="Comma 3 8 4" xfId="857" xr:uid="{00000000-0005-0000-0000-000059030000}"/>
    <cellStyle name="Comma 3 8 4 2" xfId="2724" xr:uid="{00000000-0005-0000-0000-0000A40A0000}"/>
    <cellStyle name="Comma 3 8 5" xfId="1075" xr:uid="{00000000-0005-0000-0000-000033040000}"/>
    <cellStyle name="Comma 3 8 6" xfId="2116" xr:uid="{00000000-0005-0000-0000-000044080000}"/>
    <cellStyle name="Comma 3 9" xfId="409" xr:uid="{00000000-0005-0000-0000-000099010000}"/>
    <cellStyle name="Comma 3 9 2" xfId="644" xr:uid="{00000000-0005-0000-0000-000084020000}"/>
    <cellStyle name="Comma 3 9 2 2" xfId="1308" xr:uid="{00000000-0005-0000-0000-00001C050000}"/>
    <cellStyle name="Comma 3 9 2 2 2" xfId="2955" xr:uid="{00000000-0005-0000-0000-00008B0B0000}"/>
    <cellStyle name="Comma 3 9 2 3" xfId="2372" xr:uid="{00000000-0005-0000-0000-000044090000}"/>
    <cellStyle name="Comma 3 9 3" xfId="869" xr:uid="{00000000-0005-0000-0000-000065030000}"/>
    <cellStyle name="Comma 3 9 3 2" xfId="2736" xr:uid="{00000000-0005-0000-0000-0000B00A0000}"/>
    <cellStyle name="Comma 3 9 4" xfId="1087" xr:uid="{00000000-0005-0000-0000-00003F040000}"/>
    <cellStyle name="Comma 3 9 5" xfId="2138" xr:uid="{00000000-0005-0000-0000-00005A080000}"/>
    <cellStyle name="Comma 30" xfId="1755" xr:uid="{00000000-0005-0000-0000-0000DB060000}"/>
    <cellStyle name="Comma 4" xfId="62" xr:uid="{00000000-0005-0000-0000-00003E000000}"/>
    <cellStyle name="Comma 4 2" xfId="63" xr:uid="{00000000-0005-0000-0000-00003F000000}"/>
    <cellStyle name="Comma 4 2 2" xfId="252" xr:uid="{00000000-0005-0000-0000-0000FC000000}"/>
    <cellStyle name="Comma 4 2 2 2" xfId="479" xr:uid="{00000000-0005-0000-0000-0000DF010000}"/>
    <cellStyle name="Comma 4 2 2 2 2" xfId="708" xr:uid="{00000000-0005-0000-0000-0000C4020000}"/>
    <cellStyle name="Comma 4 2 2 2 2 2" xfId="1372" xr:uid="{00000000-0005-0000-0000-00005C050000}"/>
    <cellStyle name="Comma 4 2 2 2 2 2 2" xfId="3018" xr:uid="{00000000-0005-0000-0000-0000CA0B0000}"/>
    <cellStyle name="Comma 4 2 2 2 2 3" xfId="2435" xr:uid="{00000000-0005-0000-0000-000083090000}"/>
    <cellStyle name="Comma 4 2 2 2 3" xfId="929" xr:uid="{00000000-0005-0000-0000-0000A1030000}"/>
    <cellStyle name="Comma 4 2 2 2 3 2" xfId="2795" xr:uid="{00000000-0005-0000-0000-0000EB0A0000}"/>
    <cellStyle name="Comma 4 2 2 2 4" xfId="1147" xr:uid="{00000000-0005-0000-0000-00007B040000}"/>
    <cellStyle name="Comma 4 2 2 2 5" xfId="2207" xr:uid="{00000000-0005-0000-0000-00009F080000}"/>
    <cellStyle name="Comma 4 2 2 3" xfId="593" xr:uid="{00000000-0005-0000-0000-000051020000}"/>
    <cellStyle name="Comma 4 2 2 3 2" xfId="1257" xr:uid="{00000000-0005-0000-0000-0000E9040000}"/>
    <cellStyle name="Comma 4 2 2 3 2 2" xfId="2904" xr:uid="{00000000-0005-0000-0000-0000580B0000}"/>
    <cellStyle name="Comma 4 2 2 3 3" xfId="2321" xr:uid="{00000000-0005-0000-0000-000011090000}"/>
    <cellStyle name="Comma 4 2 2 4" xfId="821" xr:uid="{00000000-0005-0000-0000-000035030000}"/>
    <cellStyle name="Comma 4 2 2 4 2" xfId="2688" xr:uid="{00000000-0005-0000-0000-0000800A0000}"/>
    <cellStyle name="Comma 4 2 2 5" xfId="1039" xr:uid="{00000000-0005-0000-0000-00000F040000}"/>
    <cellStyle name="Comma 4 2 2 6" xfId="2001" xr:uid="{00000000-0005-0000-0000-0000D1070000}"/>
    <cellStyle name="Comma 4 2 3" xfId="251" xr:uid="{00000000-0005-0000-0000-0000FB000000}"/>
    <cellStyle name="Comma 4 2 3 2" xfId="478" xr:uid="{00000000-0005-0000-0000-0000DE010000}"/>
    <cellStyle name="Comma 4 2 3 2 2" xfId="707" xr:uid="{00000000-0005-0000-0000-0000C3020000}"/>
    <cellStyle name="Comma 4 2 3 2 2 2" xfId="1371" xr:uid="{00000000-0005-0000-0000-00005B050000}"/>
    <cellStyle name="Comma 4 2 3 2 2 2 2" xfId="3017" xr:uid="{00000000-0005-0000-0000-0000C90B0000}"/>
    <cellStyle name="Comma 4 2 3 2 2 3" xfId="2434" xr:uid="{00000000-0005-0000-0000-000082090000}"/>
    <cellStyle name="Comma 4 2 3 2 3" xfId="928" xr:uid="{00000000-0005-0000-0000-0000A0030000}"/>
    <cellStyle name="Comma 4 2 3 2 3 2" xfId="2794" xr:uid="{00000000-0005-0000-0000-0000EA0A0000}"/>
    <cellStyle name="Comma 4 2 3 2 4" xfId="1146" xr:uid="{00000000-0005-0000-0000-00007A040000}"/>
    <cellStyle name="Comma 4 2 3 2 5" xfId="2206" xr:uid="{00000000-0005-0000-0000-00009E080000}"/>
    <cellStyle name="Comma 4 2 3 3" xfId="592" xr:uid="{00000000-0005-0000-0000-000050020000}"/>
    <cellStyle name="Comma 4 2 3 3 2" xfId="1256" xr:uid="{00000000-0005-0000-0000-0000E8040000}"/>
    <cellStyle name="Comma 4 2 3 3 2 2" xfId="2903" xr:uid="{00000000-0005-0000-0000-0000570B0000}"/>
    <cellStyle name="Comma 4 2 3 3 3" xfId="2320" xr:uid="{00000000-0005-0000-0000-000010090000}"/>
    <cellStyle name="Comma 4 2 3 4" xfId="820" xr:uid="{00000000-0005-0000-0000-000034030000}"/>
    <cellStyle name="Comma 4 2 3 4 2" xfId="2687" xr:uid="{00000000-0005-0000-0000-00007F0A0000}"/>
    <cellStyle name="Comma 4 2 3 5" xfId="1038" xr:uid="{00000000-0005-0000-0000-00000E040000}"/>
    <cellStyle name="Comma 4 2 3 6" xfId="2000" xr:uid="{00000000-0005-0000-0000-0000D0070000}"/>
    <cellStyle name="Comma 4 2 4" xfId="411" xr:uid="{00000000-0005-0000-0000-00009B010000}"/>
    <cellStyle name="Comma 4 2 4 2" xfId="646" xr:uid="{00000000-0005-0000-0000-000086020000}"/>
    <cellStyle name="Comma 4 2 4 2 2" xfId="1310" xr:uid="{00000000-0005-0000-0000-00001E050000}"/>
    <cellStyle name="Comma 4 2 4 2 2 2" xfId="2957" xr:uid="{00000000-0005-0000-0000-00008D0B0000}"/>
    <cellStyle name="Comma 4 2 4 2 3" xfId="2374" xr:uid="{00000000-0005-0000-0000-000046090000}"/>
    <cellStyle name="Comma 4 2 4 3" xfId="871" xr:uid="{00000000-0005-0000-0000-000067030000}"/>
    <cellStyle name="Comma 4 2 4 3 2" xfId="2738" xr:uid="{00000000-0005-0000-0000-0000B20A0000}"/>
    <cellStyle name="Comma 4 2 4 4" xfId="1089" xr:uid="{00000000-0005-0000-0000-000041040000}"/>
    <cellStyle name="Comma 4 2 4 5" xfId="2140" xr:uid="{00000000-0005-0000-0000-00005C080000}"/>
    <cellStyle name="Comma 4 2 5" xfId="535" xr:uid="{00000000-0005-0000-0000-000017020000}"/>
    <cellStyle name="Comma 4 2 5 2" xfId="1199" xr:uid="{00000000-0005-0000-0000-0000AF040000}"/>
    <cellStyle name="Comma 4 2 5 2 2" xfId="2847" xr:uid="{00000000-0005-0000-0000-00001F0B0000}"/>
    <cellStyle name="Comma 4 2 5 3" xfId="2264" xr:uid="{00000000-0005-0000-0000-0000D8080000}"/>
    <cellStyle name="Comma 4 2 6" xfId="763" xr:uid="{00000000-0005-0000-0000-0000FB020000}"/>
    <cellStyle name="Comma 4 2 6 2" xfId="2631" xr:uid="{00000000-0005-0000-0000-0000470A0000}"/>
    <cellStyle name="Comma 4 2 7" xfId="981" xr:uid="{00000000-0005-0000-0000-0000D5030000}"/>
    <cellStyle name="Comma 4 2 8" xfId="1844" xr:uid="{00000000-0005-0000-0000-000034070000}"/>
    <cellStyle name="Comma 4 3" xfId="253" xr:uid="{00000000-0005-0000-0000-0000FD000000}"/>
    <cellStyle name="Comma 4 3 2" xfId="254" xr:uid="{00000000-0005-0000-0000-0000FE000000}"/>
    <cellStyle name="Comma 4 3 2 2" xfId="481" xr:uid="{00000000-0005-0000-0000-0000E1010000}"/>
    <cellStyle name="Comma 4 3 2 2 2" xfId="710" xr:uid="{00000000-0005-0000-0000-0000C6020000}"/>
    <cellStyle name="Comma 4 3 2 2 2 2" xfId="1374" xr:uid="{00000000-0005-0000-0000-00005E050000}"/>
    <cellStyle name="Comma 4 3 2 2 2 2 2" xfId="3020" xr:uid="{00000000-0005-0000-0000-0000CC0B0000}"/>
    <cellStyle name="Comma 4 3 2 2 2 3" xfId="2437" xr:uid="{00000000-0005-0000-0000-000085090000}"/>
    <cellStyle name="Comma 4 3 2 2 3" xfId="931" xr:uid="{00000000-0005-0000-0000-0000A3030000}"/>
    <cellStyle name="Comma 4 3 2 2 3 2" xfId="2797" xr:uid="{00000000-0005-0000-0000-0000ED0A0000}"/>
    <cellStyle name="Comma 4 3 2 2 4" xfId="1149" xr:uid="{00000000-0005-0000-0000-00007D040000}"/>
    <cellStyle name="Comma 4 3 2 2 5" xfId="2209" xr:uid="{00000000-0005-0000-0000-0000A1080000}"/>
    <cellStyle name="Comma 4 3 2 3" xfId="595" xr:uid="{00000000-0005-0000-0000-000053020000}"/>
    <cellStyle name="Comma 4 3 2 3 2" xfId="1259" xr:uid="{00000000-0005-0000-0000-0000EB040000}"/>
    <cellStyle name="Comma 4 3 2 3 2 2" xfId="2906" xr:uid="{00000000-0005-0000-0000-00005A0B0000}"/>
    <cellStyle name="Comma 4 3 2 3 3" xfId="2323" xr:uid="{00000000-0005-0000-0000-000013090000}"/>
    <cellStyle name="Comma 4 3 2 4" xfId="823" xr:uid="{00000000-0005-0000-0000-000037030000}"/>
    <cellStyle name="Comma 4 3 2 4 2" xfId="2690" xr:uid="{00000000-0005-0000-0000-0000820A0000}"/>
    <cellStyle name="Comma 4 3 2 5" xfId="1041" xr:uid="{00000000-0005-0000-0000-000011040000}"/>
    <cellStyle name="Comma 4 3 2 6" xfId="2003" xr:uid="{00000000-0005-0000-0000-0000D3070000}"/>
    <cellStyle name="Comma 4 3 3" xfId="480" xr:uid="{00000000-0005-0000-0000-0000E0010000}"/>
    <cellStyle name="Comma 4 3 3 2" xfId="709" xr:uid="{00000000-0005-0000-0000-0000C5020000}"/>
    <cellStyle name="Comma 4 3 3 2 2" xfId="1373" xr:uid="{00000000-0005-0000-0000-00005D050000}"/>
    <cellStyle name="Comma 4 3 3 2 2 2" xfId="3019" xr:uid="{00000000-0005-0000-0000-0000CB0B0000}"/>
    <cellStyle name="Comma 4 3 3 2 3" xfId="2436" xr:uid="{00000000-0005-0000-0000-000084090000}"/>
    <cellStyle name="Comma 4 3 3 3" xfId="930" xr:uid="{00000000-0005-0000-0000-0000A2030000}"/>
    <cellStyle name="Comma 4 3 3 3 2" xfId="2796" xr:uid="{00000000-0005-0000-0000-0000EC0A0000}"/>
    <cellStyle name="Comma 4 3 3 4" xfId="1148" xr:uid="{00000000-0005-0000-0000-00007C040000}"/>
    <cellStyle name="Comma 4 3 3 5" xfId="2208" xr:uid="{00000000-0005-0000-0000-0000A0080000}"/>
    <cellStyle name="Comma 4 3 4" xfId="594" xr:uid="{00000000-0005-0000-0000-000052020000}"/>
    <cellStyle name="Comma 4 3 4 2" xfId="1258" xr:uid="{00000000-0005-0000-0000-0000EA040000}"/>
    <cellStyle name="Comma 4 3 4 2 2" xfId="2905" xr:uid="{00000000-0005-0000-0000-0000590B0000}"/>
    <cellStyle name="Comma 4 3 4 3" xfId="2322" xr:uid="{00000000-0005-0000-0000-000012090000}"/>
    <cellStyle name="Comma 4 3 5" xfId="822" xr:uid="{00000000-0005-0000-0000-000036030000}"/>
    <cellStyle name="Comma 4 3 5 2" xfId="2689" xr:uid="{00000000-0005-0000-0000-0000810A0000}"/>
    <cellStyle name="Comma 4 3 6" xfId="1040" xr:uid="{00000000-0005-0000-0000-000010040000}"/>
    <cellStyle name="Comma 4 3 7" xfId="2002" xr:uid="{00000000-0005-0000-0000-0000D2070000}"/>
    <cellStyle name="Comma 4 4" xfId="255" xr:uid="{00000000-0005-0000-0000-0000FF000000}"/>
    <cellStyle name="Comma 4 4 2" xfId="256" xr:uid="{00000000-0005-0000-0000-000000010000}"/>
    <cellStyle name="Comma 4 4 2 2" xfId="483" xr:uid="{00000000-0005-0000-0000-0000E3010000}"/>
    <cellStyle name="Comma 4 4 2 2 2" xfId="712" xr:uid="{00000000-0005-0000-0000-0000C8020000}"/>
    <cellStyle name="Comma 4 4 2 2 2 2" xfId="1376" xr:uid="{00000000-0005-0000-0000-000060050000}"/>
    <cellStyle name="Comma 4 4 2 2 2 2 2" xfId="3022" xr:uid="{00000000-0005-0000-0000-0000CE0B0000}"/>
    <cellStyle name="Comma 4 4 2 2 2 3" xfId="2439" xr:uid="{00000000-0005-0000-0000-000087090000}"/>
    <cellStyle name="Comma 4 4 2 2 3" xfId="933" xr:uid="{00000000-0005-0000-0000-0000A5030000}"/>
    <cellStyle name="Comma 4 4 2 2 3 2" xfId="2799" xr:uid="{00000000-0005-0000-0000-0000EF0A0000}"/>
    <cellStyle name="Comma 4 4 2 2 4" xfId="1151" xr:uid="{00000000-0005-0000-0000-00007F040000}"/>
    <cellStyle name="Comma 4 4 2 2 5" xfId="2211" xr:uid="{00000000-0005-0000-0000-0000A3080000}"/>
    <cellStyle name="Comma 4 4 2 3" xfId="597" xr:uid="{00000000-0005-0000-0000-000055020000}"/>
    <cellStyle name="Comma 4 4 2 3 2" xfId="1261" xr:uid="{00000000-0005-0000-0000-0000ED040000}"/>
    <cellStyle name="Comma 4 4 2 3 2 2" xfId="2908" xr:uid="{00000000-0005-0000-0000-00005C0B0000}"/>
    <cellStyle name="Comma 4 4 2 3 3" xfId="2325" xr:uid="{00000000-0005-0000-0000-000015090000}"/>
    <cellStyle name="Comma 4 4 2 4" xfId="825" xr:uid="{00000000-0005-0000-0000-000039030000}"/>
    <cellStyle name="Comma 4 4 2 4 2" xfId="2692" xr:uid="{00000000-0005-0000-0000-0000840A0000}"/>
    <cellStyle name="Comma 4 4 2 5" xfId="1043" xr:uid="{00000000-0005-0000-0000-000013040000}"/>
    <cellStyle name="Comma 4 4 2 6" xfId="2005" xr:uid="{00000000-0005-0000-0000-0000D5070000}"/>
    <cellStyle name="Comma 4 4 3" xfId="482" xr:uid="{00000000-0005-0000-0000-0000E2010000}"/>
    <cellStyle name="Comma 4 4 3 2" xfId="711" xr:uid="{00000000-0005-0000-0000-0000C7020000}"/>
    <cellStyle name="Comma 4 4 3 2 2" xfId="1375" xr:uid="{00000000-0005-0000-0000-00005F050000}"/>
    <cellStyle name="Comma 4 4 3 2 2 2" xfId="3021" xr:uid="{00000000-0005-0000-0000-0000CD0B0000}"/>
    <cellStyle name="Comma 4 4 3 2 3" xfId="2438" xr:uid="{00000000-0005-0000-0000-000086090000}"/>
    <cellStyle name="Comma 4 4 3 3" xfId="932" xr:uid="{00000000-0005-0000-0000-0000A4030000}"/>
    <cellStyle name="Comma 4 4 3 3 2" xfId="2798" xr:uid="{00000000-0005-0000-0000-0000EE0A0000}"/>
    <cellStyle name="Comma 4 4 3 4" xfId="1150" xr:uid="{00000000-0005-0000-0000-00007E040000}"/>
    <cellStyle name="Comma 4 4 3 5" xfId="2210" xr:uid="{00000000-0005-0000-0000-0000A2080000}"/>
    <cellStyle name="Comma 4 4 4" xfId="596" xr:uid="{00000000-0005-0000-0000-000054020000}"/>
    <cellStyle name="Comma 4 4 4 2" xfId="1260" xr:uid="{00000000-0005-0000-0000-0000EC040000}"/>
    <cellStyle name="Comma 4 4 4 2 2" xfId="2907" xr:uid="{00000000-0005-0000-0000-00005B0B0000}"/>
    <cellStyle name="Comma 4 4 4 3" xfId="2324" xr:uid="{00000000-0005-0000-0000-000014090000}"/>
    <cellStyle name="Comma 4 4 5" xfId="824" xr:uid="{00000000-0005-0000-0000-000038030000}"/>
    <cellStyle name="Comma 4 4 5 2" xfId="2691" xr:uid="{00000000-0005-0000-0000-0000830A0000}"/>
    <cellStyle name="Comma 4 4 6" xfId="1042" xr:uid="{00000000-0005-0000-0000-000012040000}"/>
    <cellStyle name="Comma 4 4 7" xfId="2004" xr:uid="{00000000-0005-0000-0000-0000D4070000}"/>
    <cellStyle name="Comma 4 5" xfId="257" xr:uid="{00000000-0005-0000-0000-000001010000}"/>
    <cellStyle name="Comma 4 5 2" xfId="258" xr:uid="{00000000-0005-0000-0000-000002010000}"/>
    <cellStyle name="Comma 4 5 2 2" xfId="2007" xr:uid="{00000000-0005-0000-0000-0000D7070000}"/>
    <cellStyle name="Comma 4 5 3" xfId="484" xr:uid="{00000000-0005-0000-0000-0000E4010000}"/>
    <cellStyle name="Comma 4 5 3 2" xfId="713" xr:uid="{00000000-0005-0000-0000-0000C9020000}"/>
    <cellStyle name="Comma 4 5 3 2 2" xfId="1377" xr:uid="{00000000-0005-0000-0000-000061050000}"/>
    <cellStyle name="Comma 4 5 3 2 2 2" xfId="3023" xr:uid="{00000000-0005-0000-0000-0000CF0B0000}"/>
    <cellStyle name="Comma 4 5 3 2 3" xfId="2440" xr:uid="{00000000-0005-0000-0000-000088090000}"/>
    <cellStyle name="Comma 4 5 3 3" xfId="934" xr:uid="{00000000-0005-0000-0000-0000A6030000}"/>
    <cellStyle name="Comma 4 5 3 3 2" xfId="2800" xr:uid="{00000000-0005-0000-0000-0000F00A0000}"/>
    <cellStyle name="Comma 4 5 3 4" xfId="1152" xr:uid="{00000000-0005-0000-0000-000080040000}"/>
    <cellStyle name="Comma 4 5 3 5" xfId="2212" xr:uid="{00000000-0005-0000-0000-0000A4080000}"/>
    <cellStyle name="Comma 4 5 4" xfId="598" xr:uid="{00000000-0005-0000-0000-000056020000}"/>
    <cellStyle name="Comma 4 5 4 2" xfId="1262" xr:uid="{00000000-0005-0000-0000-0000EE040000}"/>
    <cellStyle name="Comma 4 5 4 2 2" xfId="2909" xr:uid="{00000000-0005-0000-0000-00005D0B0000}"/>
    <cellStyle name="Comma 4 5 4 3" xfId="2326" xr:uid="{00000000-0005-0000-0000-000016090000}"/>
    <cellStyle name="Comma 4 5 5" xfId="826" xr:uid="{00000000-0005-0000-0000-00003A030000}"/>
    <cellStyle name="Comma 4 5 5 2" xfId="2693" xr:uid="{00000000-0005-0000-0000-0000850A0000}"/>
    <cellStyle name="Comma 4 5 6" xfId="1044" xr:uid="{00000000-0005-0000-0000-000014040000}"/>
    <cellStyle name="Comma 4 5 7" xfId="2006" xr:uid="{00000000-0005-0000-0000-0000D6070000}"/>
    <cellStyle name="Comma 4 6" xfId="259" xr:uid="{00000000-0005-0000-0000-000003010000}"/>
    <cellStyle name="Comma 4 6 2" xfId="485" xr:uid="{00000000-0005-0000-0000-0000E5010000}"/>
    <cellStyle name="Comma 4 6 2 2" xfId="714" xr:uid="{00000000-0005-0000-0000-0000CA020000}"/>
    <cellStyle name="Comma 4 6 2 2 2" xfId="1378" xr:uid="{00000000-0005-0000-0000-000062050000}"/>
    <cellStyle name="Comma 4 6 2 2 2 2" xfId="3024" xr:uid="{00000000-0005-0000-0000-0000D00B0000}"/>
    <cellStyle name="Comma 4 6 2 2 3" xfId="2441" xr:uid="{00000000-0005-0000-0000-000089090000}"/>
    <cellStyle name="Comma 4 6 2 3" xfId="935" xr:uid="{00000000-0005-0000-0000-0000A7030000}"/>
    <cellStyle name="Comma 4 6 2 3 2" xfId="2801" xr:uid="{00000000-0005-0000-0000-0000F10A0000}"/>
    <cellStyle name="Comma 4 6 2 4" xfId="1153" xr:uid="{00000000-0005-0000-0000-000081040000}"/>
    <cellStyle name="Comma 4 6 2 5" xfId="2213" xr:uid="{00000000-0005-0000-0000-0000A5080000}"/>
    <cellStyle name="Comma 4 6 3" xfId="599" xr:uid="{00000000-0005-0000-0000-000057020000}"/>
    <cellStyle name="Comma 4 6 3 2" xfId="1263" xr:uid="{00000000-0005-0000-0000-0000EF040000}"/>
    <cellStyle name="Comma 4 6 3 2 2" xfId="2910" xr:uid="{00000000-0005-0000-0000-00005E0B0000}"/>
    <cellStyle name="Comma 4 6 3 3" xfId="2327" xr:uid="{00000000-0005-0000-0000-000017090000}"/>
    <cellStyle name="Comma 4 6 4" xfId="827" xr:uid="{00000000-0005-0000-0000-00003B030000}"/>
    <cellStyle name="Comma 4 6 4 2" xfId="2694" xr:uid="{00000000-0005-0000-0000-0000860A0000}"/>
    <cellStyle name="Comma 4 6 5" xfId="1045" xr:uid="{00000000-0005-0000-0000-000015040000}"/>
    <cellStyle name="Comma 4 6 6" xfId="2008" xr:uid="{00000000-0005-0000-0000-0000D8070000}"/>
    <cellStyle name="Comma 4 7" xfId="260" xr:uid="{00000000-0005-0000-0000-000004010000}"/>
    <cellStyle name="Comma 4 7 2" xfId="486" xr:uid="{00000000-0005-0000-0000-0000E6010000}"/>
    <cellStyle name="Comma 4 7 2 2" xfId="715" xr:uid="{00000000-0005-0000-0000-0000CB020000}"/>
    <cellStyle name="Comma 4 7 2 2 2" xfId="1379" xr:uid="{00000000-0005-0000-0000-000063050000}"/>
    <cellStyle name="Comma 4 7 2 2 2 2" xfId="3025" xr:uid="{00000000-0005-0000-0000-0000D10B0000}"/>
    <cellStyle name="Comma 4 7 2 2 3" xfId="2442" xr:uid="{00000000-0005-0000-0000-00008A090000}"/>
    <cellStyle name="Comma 4 7 2 3" xfId="936" xr:uid="{00000000-0005-0000-0000-0000A8030000}"/>
    <cellStyle name="Comma 4 7 2 3 2" xfId="2802" xr:uid="{00000000-0005-0000-0000-0000F20A0000}"/>
    <cellStyle name="Comma 4 7 2 4" xfId="1154" xr:uid="{00000000-0005-0000-0000-000082040000}"/>
    <cellStyle name="Comma 4 7 2 5" xfId="2214" xr:uid="{00000000-0005-0000-0000-0000A6080000}"/>
    <cellStyle name="Comma 4 7 3" xfId="600" xr:uid="{00000000-0005-0000-0000-000058020000}"/>
    <cellStyle name="Comma 4 7 3 2" xfId="1264" xr:uid="{00000000-0005-0000-0000-0000F0040000}"/>
    <cellStyle name="Comma 4 7 3 2 2" xfId="2911" xr:uid="{00000000-0005-0000-0000-00005F0B0000}"/>
    <cellStyle name="Comma 4 7 3 3" xfId="2328" xr:uid="{00000000-0005-0000-0000-000018090000}"/>
    <cellStyle name="Comma 4 7 4" xfId="828" xr:uid="{00000000-0005-0000-0000-00003C030000}"/>
    <cellStyle name="Comma 4 7 4 2" xfId="2695" xr:uid="{00000000-0005-0000-0000-0000870A0000}"/>
    <cellStyle name="Comma 4 7 5" xfId="1046" xr:uid="{00000000-0005-0000-0000-000016040000}"/>
    <cellStyle name="Comma 4 7 6" xfId="2009" xr:uid="{00000000-0005-0000-0000-0000D9070000}"/>
    <cellStyle name="Comma 4 8" xfId="1437" xr:uid="{00000000-0005-0000-0000-00009D050000}"/>
    <cellStyle name="Comma 4 8 2" xfId="2490" xr:uid="{00000000-0005-0000-0000-0000BA090000}"/>
    <cellStyle name="Comma 4 9" xfId="1843" xr:uid="{00000000-0005-0000-0000-000033070000}"/>
    <cellStyle name="Comma 5" xfId="64" xr:uid="{00000000-0005-0000-0000-000040000000}"/>
    <cellStyle name="Comma 5 2" xfId="65" xr:uid="{00000000-0005-0000-0000-000041000000}"/>
    <cellStyle name="Comma 5 2 2" xfId="262" xr:uid="{00000000-0005-0000-0000-000006010000}"/>
    <cellStyle name="Comma 5 2 2 2" xfId="2011" xr:uid="{00000000-0005-0000-0000-0000DB070000}"/>
    <cellStyle name="Comma 5 2 3" xfId="412" xr:uid="{00000000-0005-0000-0000-00009C010000}"/>
    <cellStyle name="Comma 5 2 3 2" xfId="647" xr:uid="{00000000-0005-0000-0000-000087020000}"/>
    <cellStyle name="Comma 5 2 3 2 2" xfId="1311" xr:uid="{00000000-0005-0000-0000-00001F050000}"/>
    <cellStyle name="Comma 5 2 3 2 2 2" xfId="2958" xr:uid="{00000000-0005-0000-0000-00008E0B0000}"/>
    <cellStyle name="Comma 5 2 3 2 3" xfId="2375" xr:uid="{00000000-0005-0000-0000-000047090000}"/>
    <cellStyle name="Comma 5 2 3 3" xfId="872" xr:uid="{00000000-0005-0000-0000-000068030000}"/>
    <cellStyle name="Comma 5 2 3 3 2" xfId="2739" xr:uid="{00000000-0005-0000-0000-0000B30A0000}"/>
    <cellStyle name="Comma 5 2 3 4" xfId="1090" xr:uid="{00000000-0005-0000-0000-000042040000}"/>
    <cellStyle name="Comma 5 2 3 5" xfId="2141" xr:uid="{00000000-0005-0000-0000-00005D080000}"/>
    <cellStyle name="Comma 5 2 4" xfId="536" xr:uid="{00000000-0005-0000-0000-000018020000}"/>
    <cellStyle name="Comma 5 2 4 2" xfId="1200" xr:uid="{00000000-0005-0000-0000-0000B0040000}"/>
    <cellStyle name="Comma 5 2 4 2 2" xfId="2848" xr:uid="{00000000-0005-0000-0000-0000200B0000}"/>
    <cellStyle name="Comma 5 2 4 3" xfId="2265" xr:uid="{00000000-0005-0000-0000-0000D9080000}"/>
    <cellStyle name="Comma 5 2 5" xfId="764" xr:uid="{00000000-0005-0000-0000-0000FC020000}"/>
    <cellStyle name="Comma 5 2 5 2" xfId="2632" xr:uid="{00000000-0005-0000-0000-0000480A0000}"/>
    <cellStyle name="Comma 5 2 6" xfId="982" xr:uid="{00000000-0005-0000-0000-0000D6030000}"/>
    <cellStyle name="Comma 5 2 7" xfId="1846" xr:uid="{00000000-0005-0000-0000-000036070000}"/>
    <cellStyle name="Comma 5 3" xfId="263" xr:uid="{00000000-0005-0000-0000-000007010000}"/>
    <cellStyle name="Comma 5 3 2" xfId="488" xr:uid="{00000000-0005-0000-0000-0000E8010000}"/>
    <cellStyle name="Comma 5 3 2 2" xfId="717" xr:uid="{00000000-0005-0000-0000-0000CD020000}"/>
    <cellStyle name="Comma 5 3 2 2 2" xfId="1381" xr:uid="{00000000-0005-0000-0000-000065050000}"/>
    <cellStyle name="Comma 5 3 2 2 2 2" xfId="3027" xr:uid="{00000000-0005-0000-0000-0000D30B0000}"/>
    <cellStyle name="Comma 5 3 2 2 3" xfId="2444" xr:uid="{00000000-0005-0000-0000-00008C090000}"/>
    <cellStyle name="Comma 5 3 2 3" xfId="938" xr:uid="{00000000-0005-0000-0000-0000AA030000}"/>
    <cellStyle name="Comma 5 3 2 3 2" xfId="2804" xr:uid="{00000000-0005-0000-0000-0000F40A0000}"/>
    <cellStyle name="Comma 5 3 2 4" xfId="1156" xr:uid="{00000000-0005-0000-0000-000084040000}"/>
    <cellStyle name="Comma 5 3 2 5" xfId="2216" xr:uid="{00000000-0005-0000-0000-0000A8080000}"/>
    <cellStyle name="Comma 5 3 3" xfId="602" xr:uid="{00000000-0005-0000-0000-00005A020000}"/>
    <cellStyle name="Comma 5 3 3 2" xfId="1266" xr:uid="{00000000-0005-0000-0000-0000F2040000}"/>
    <cellStyle name="Comma 5 3 3 2 2" xfId="2913" xr:uid="{00000000-0005-0000-0000-0000610B0000}"/>
    <cellStyle name="Comma 5 3 3 3" xfId="2330" xr:uid="{00000000-0005-0000-0000-00001A090000}"/>
    <cellStyle name="Comma 5 3 4" xfId="830" xr:uid="{00000000-0005-0000-0000-00003E030000}"/>
    <cellStyle name="Comma 5 3 4 2" xfId="2697" xr:uid="{00000000-0005-0000-0000-0000890A0000}"/>
    <cellStyle name="Comma 5 3 5" xfId="1048" xr:uid="{00000000-0005-0000-0000-000018040000}"/>
    <cellStyle name="Comma 5 3 6" xfId="2012" xr:uid="{00000000-0005-0000-0000-0000DC070000}"/>
    <cellStyle name="Comma 5 4" xfId="261" xr:uid="{00000000-0005-0000-0000-000005010000}"/>
    <cellStyle name="Comma 5 4 2" xfId="487" xr:uid="{00000000-0005-0000-0000-0000E7010000}"/>
    <cellStyle name="Comma 5 4 2 2" xfId="716" xr:uid="{00000000-0005-0000-0000-0000CC020000}"/>
    <cellStyle name="Comma 5 4 2 2 2" xfId="1380" xr:uid="{00000000-0005-0000-0000-000064050000}"/>
    <cellStyle name="Comma 5 4 2 2 2 2" xfId="3026" xr:uid="{00000000-0005-0000-0000-0000D20B0000}"/>
    <cellStyle name="Comma 5 4 2 2 3" xfId="2443" xr:uid="{00000000-0005-0000-0000-00008B090000}"/>
    <cellStyle name="Comma 5 4 2 3" xfId="937" xr:uid="{00000000-0005-0000-0000-0000A9030000}"/>
    <cellStyle name="Comma 5 4 2 3 2" xfId="2803" xr:uid="{00000000-0005-0000-0000-0000F30A0000}"/>
    <cellStyle name="Comma 5 4 2 4" xfId="1155" xr:uid="{00000000-0005-0000-0000-000083040000}"/>
    <cellStyle name="Comma 5 4 2 5" xfId="2215" xr:uid="{00000000-0005-0000-0000-0000A7080000}"/>
    <cellStyle name="Comma 5 4 3" xfId="601" xr:uid="{00000000-0005-0000-0000-000059020000}"/>
    <cellStyle name="Comma 5 4 3 2" xfId="1265" xr:uid="{00000000-0005-0000-0000-0000F1040000}"/>
    <cellStyle name="Comma 5 4 3 2 2" xfId="2912" xr:uid="{00000000-0005-0000-0000-0000600B0000}"/>
    <cellStyle name="Comma 5 4 3 3" xfId="2329" xr:uid="{00000000-0005-0000-0000-000019090000}"/>
    <cellStyle name="Comma 5 4 4" xfId="829" xr:uid="{00000000-0005-0000-0000-00003D030000}"/>
    <cellStyle name="Comma 5 4 4 2" xfId="2696" xr:uid="{00000000-0005-0000-0000-0000880A0000}"/>
    <cellStyle name="Comma 5 4 5" xfId="1047" xr:uid="{00000000-0005-0000-0000-000017040000}"/>
    <cellStyle name="Comma 5 4 6" xfId="2010" xr:uid="{00000000-0005-0000-0000-0000DA070000}"/>
    <cellStyle name="Comma 5 5" xfId="1438" xr:uid="{00000000-0005-0000-0000-00009E050000}"/>
    <cellStyle name="Comma 5 5 2" xfId="2491" xr:uid="{00000000-0005-0000-0000-0000BB090000}"/>
    <cellStyle name="Comma 5 6" xfId="1845" xr:uid="{00000000-0005-0000-0000-000035070000}"/>
    <cellStyle name="Comma 6" xfId="66" xr:uid="{00000000-0005-0000-0000-000042000000}"/>
    <cellStyle name="Comma 6 2" xfId="67" xr:uid="{00000000-0005-0000-0000-000043000000}"/>
    <cellStyle name="Comma 6 2 2" xfId="1848" xr:uid="{00000000-0005-0000-0000-000038070000}"/>
    <cellStyle name="Comma 6 3" xfId="265" xr:uid="{00000000-0005-0000-0000-000009010000}"/>
    <cellStyle name="Comma 6 3 2" xfId="490" xr:uid="{00000000-0005-0000-0000-0000EA010000}"/>
    <cellStyle name="Comma 6 3 2 2" xfId="719" xr:uid="{00000000-0005-0000-0000-0000CF020000}"/>
    <cellStyle name="Comma 6 3 2 2 2" xfId="1383" xr:uid="{00000000-0005-0000-0000-000067050000}"/>
    <cellStyle name="Comma 6 3 2 2 2 2" xfId="3029" xr:uid="{00000000-0005-0000-0000-0000D50B0000}"/>
    <cellStyle name="Comma 6 3 2 2 3" xfId="2446" xr:uid="{00000000-0005-0000-0000-00008E090000}"/>
    <cellStyle name="Comma 6 3 2 3" xfId="940" xr:uid="{00000000-0005-0000-0000-0000AC030000}"/>
    <cellStyle name="Comma 6 3 2 3 2" xfId="2806" xr:uid="{00000000-0005-0000-0000-0000F60A0000}"/>
    <cellStyle name="Comma 6 3 2 4" xfId="1158" xr:uid="{00000000-0005-0000-0000-000086040000}"/>
    <cellStyle name="Comma 6 3 2 5" xfId="2218" xr:uid="{00000000-0005-0000-0000-0000AA080000}"/>
    <cellStyle name="Comma 6 3 3" xfId="604" xr:uid="{00000000-0005-0000-0000-00005C020000}"/>
    <cellStyle name="Comma 6 3 3 2" xfId="1268" xr:uid="{00000000-0005-0000-0000-0000F4040000}"/>
    <cellStyle name="Comma 6 3 3 2 2" xfId="2915" xr:uid="{00000000-0005-0000-0000-0000630B0000}"/>
    <cellStyle name="Comma 6 3 3 3" xfId="2332" xr:uid="{00000000-0005-0000-0000-00001C090000}"/>
    <cellStyle name="Comma 6 3 4" xfId="832" xr:uid="{00000000-0005-0000-0000-000040030000}"/>
    <cellStyle name="Comma 6 3 4 2" xfId="2699" xr:uid="{00000000-0005-0000-0000-00008B0A0000}"/>
    <cellStyle name="Comma 6 3 5" xfId="1050" xr:uid="{00000000-0005-0000-0000-00001A040000}"/>
    <cellStyle name="Comma 6 3 6" xfId="2014" xr:uid="{00000000-0005-0000-0000-0000DE070000}"/>
    <cellStyle name="Comma 6 4" xfId="264" xr:uid="{00000000-0005-0000-0000-000008010000}"/>
    <cellStyle name="Comma 6 4 2" xfId="489" xr:uid="{00000000-0005-0000-0000-0000E9010000}"/>
    <cellStyle name="Comma 6 4 2 2" xfId="718" xr:uid="{00000000-0005-0000-0000-0000CE020000}"/>
    <cellStyle name="Comma 6 4 2 2 2" xfId="1382" xr:uid="{00000000-0005-0000-0000-000066050000}"/>
    <cellStyle name="Comma 6 4 2 2 2 2" xfId="3028" xr:uid="{00000000-0005-0000-0000-0000D40B0000}"/>
    <cellStyle name="Comma 6 4 2 2 3" xfId="2445" xr:uid="{00000000-0005-0000-0000-00008D090000}"/>
    <cellStyle name="Comma 6 4 2 3" xfId="939" xr:uid="{00000000-0005-0000-0000-0000AB030000}"/>
    <cellStyle name="Comma 6 4 2 3 2" xfId="2805" xr:uid="{00000000-0005-0000-0000-0000F50A0000}"/>
    <cellStyle name="Comma 6 4 2 4" xfId="1157" xr:uid="{00000000-0005-0000-0000-000085040000}"/>
    <cellStyle name="Comma 6 4 2 5" xfId="2217" xr:uid="{00000000-0005-0000-0000-0000A9080000}"/>
    <cellStyle name="Comma 6 4 3" xfId="603" xr:uid="{00000000-0005-0000-0000-00005B020000}"/>
    <cellStyle name="Comma 6 4 3 2" xfId="1267" xr:uid="{00000000-0005-0000-0000-0000F3040000}"/>
    <cellStyle name="Comma 6 4 3 2 2" xfId="2914" xr:uid="{00000000-0005-0000-0000-0000620B0000}"/>
    <cellStyle name="Comma 6 4 3 3" xfId="2331" xr:uid="{00000000-0005-0000-0000-00001B090000}"/>
    <cellStyle name="Comma 6 4 4" xfId="831" xr:uid="{00000000-0005-0000-0000-00003F030000}"/>
    <cellStyle name="Comma 6 4 4 2" xfId="2698" xr:uid="{00000000-0005-0000-0000-00008A0A0000}"/>
    <cellStyle name="Comma 6 4 5" xfId="1049" xr:uid="{00000000-0005-0000-0000-000019040000}"/>
    <cellStyle name="Comma 6 4 6" xfId="2013" xr:uid="{00000000-0005-0000-0000-0000DD070000}"/>
    <cellStyle name="Comma 6 5" xfId="1847" xr:uid="{00000000-0005-0000-0000-000037070000}"/>
    <cellStyle name="Comma 7" xfId="68" xr:uid="{00000000-0005-0000-0000-000044000000}"/>
    <cellStyle name="Comma 7 10" xfId="1849" xr:uid="{00000000-0005-0000-0000-000039070000}"/>
    <cellStyle name="Comma 7 2" xfId="267" xr:uid="{00000000-0005-0000-0000-00000B010000}"/>
    <cellStyle name="Comma 7 2 2" xfId="2016" xr:uid="{00000000-0005-0000-0000-0000E0070000}"/>
    <cellStyle name="Comma 7 3" xfId="268" xr:uid="{00000000-0005-0000-0000-00000C010000}"/>
    <cellStyle name="Comma 7 3 2" xfId="492" xr:uid="{00000000-0005-0000-0000-0000EC010000}"/>
    <cellStyle name="Comma 7 3 2 2" xfId="721" xr:uid="{00000000-0005-0000-0000-0000D1020000}"/>
    <cellStyle name="Comma 7 3 2 2 2" xfId="1385" xr:uid="{00000000-0005-0000-0000-000069050000}"/>
    <cellStyle name="Comma 7 3 2 2 2 2" xfId="3031" xr:uid="{00000000-0005-0000-0000-0000D70B0000}"/>
    <cellStyle name="Comma 7 3 2 2 3" xfId="2448" xr:uid="{00000000-0005-0000-0000-000090090000}"/>
    <cellStyle name="Comma 7 3 2 3" xfId="942" xr:uid="{00000000-0005-0000-0000-0000AE030000}"/>
    <cellStyle name="Comma 7 3 2 3 2" xfId="2808" xr:uid="{00000000-0005-0000-0000-0000F80A0000}"/>
    <cellStyle name="Comma 7 3 2 4" xfId="1160" xr:uid="{00000000-0005-0000-0000-000088040000}"/>
    <cellStyle name="Comma 7 3 2 5" xfId="2220" xr:uid="{00000000-0005-0000-0000-0000AC080000}"/>
    <cellStyle name="Comma 7 3 3" xfId="606" xr:uid="{00000000-0005-0000-0000-00005E020000}"/>
    <cellStyle name="Comma 7 3 3 2" xfId="1270" xr:uid="{00000000-0005-0000-0000-0000F6040000}"/>
    <cellStyle name="Comma 7 3 3 2 2" xfId="2917" xr:uid="{00000000-0005-0000-0000-0000650B0000}"/>
    <cellStyle name="Comma 7 3 3 3" xfId="2334" xr:uid="{00000000-0005-0000-0000-00001E090000}"/>
    <cellStyle name="Comma 7 3 4" xfId="834" xr:uid="{00000000-0005-0000-0000-000042030000}"/>
    <cellStyle name="Comma 7 3 4 2" xfId="2701" xr:uid="{00000000-0005-0000-0000-00008D0A0000}"/>
    <cellStyle name="Comma 7 3 5" xfId="1052" xr:uid="{00000000-0005-0000-0000-00001C040000}"/>
    <cellStyle name="Comma 7 3 6" xfId="2017" xr:uid="{00000000-0005-0000-0000-0000E1070000}"/>
    <cellStyle name="Comma 7 4" xfId="269" xr:uid="{00000000-0005-0000-0000-00000D010000}"/>
    <cellStyle name="Comma 7 4 2" xfId="493" xr:uid="{00000000-0005-0000-0000-0000ED010000}"/>
    <cellStyle name="Comma 7 4 2 2" xfId="722" xr:uid="{00000000-0005-0000-0000-0000D2020000}"/>
    <cellStyle name="Comma 7 4 2 2 2" xfId="1386" xr:uid="{00000000-0005-0000-0000-00006A050000}"/>
    <cellStyle name="Comma 7 4 2 2 2 2" xfId="3032" xr:uid="{00000000-0005-0000-0000-0000D80B0000}"/>
    <cellStyle name="Comma 7 4 2 2 3" xfId="2449" xr:uid="{00000000-0005-0000-0000-000091090000}"/>
    <cellStyle name="Comma 7 4 2 3" xfId="943" xr:uid="{00000000-0005-0000-0000-0000AF030000}"/>
    <cellStyle name="Comma 7 4 2 3 2" xfId="2809" xr:uid="{00000000-0005-0000-0000-0000F90A0000}"/>
    <cellStyle name="Comma 7 4 2 4" xfId="1161" xr:uid="{00000000-0005-0000-0000-000089040000}"/>
    <cellStyle name="Comma 7 4 2 5" xfId="2221" xr:uid="{00000000-0005-0000-0000-0000AD080000}"/>
    <cellStyle name="Comma 7 4 3" xfId="607" xr:uid="{00000000-0005-0000-0000-00005F020000}"/>
    <cellStyle name="Comma 7 4 3 2" xfId="1271" xr:uid="{00000000-0005-0000-0000-0000F7040000}"/>
    <cellStyle name="Comma 7 4 3 2 2" xfId="2918" xr:uid="{00000000-0005-0000-0000-0000660B0000}"/>
    <cellStyle name="Comma 7 4 3 3" xfId="2335" xr:uid="{00000000-0005-0000-0000-00001F090000}"/>
    <cellStyle name="Comma 7 4 4" xfId="835" xr:uid="{00000000-0005-0000-0000-000043030000}"/>
    <cellStyle name="Comma 7 4 4 2" xfId="2702" xr:uid="{00000000-0005-0000-0000-00008E0A0000}"/>
    <cellStyle name="Comma 7 4 5" xfId="1053" xr:uid="{00000000-0005-0000-0000-00001D040000}"/>
    <cellStyle name="Comma 7 4 6" xfId="2018" xr:uid="{00000000-0005-0000-0000-0000E2070000}"/>
    <cellStyle name="Comma 7 5" xfId="266" xr:uid="{00000000-0005-0000-0000-00000A010000}"/>
    <cellStyle name="Comma 7 5 2" xfId="491" xr:uid="{00000000-0005-0000-0000-0000EB010000}"/>
    <cellStyle name="Comma 7 5 2 2" xfId="720" xr:uid="{00000000-0005-0000-0000-0000D0020000}"/>
    <cellStyle name="Comma 7 5 2 2 2" xfId="1384" xr:uid="{00000000-0005-0000-0000-000068050000}"/>
    <cellStyle name="Comma 7 5 2 2 2 2" xfId="3030" xr:uid="{00000000-0005-0000-0000-0000D60B0000}"/>
    <cellStyle name="Comma 7 5 2 2 3" xfId="2447" xr:uid="{00000000-0005-0000-0000-00008F090000}"/>
    <cellStyle name="Comma 7 5 2 3" xfId="941" xr:uid="{00000000-0005-0000-0000-0000AD030000}"/>
    <cellStyle name="Comma 7 5 2 3 2" xfId="2807" xr:uid="{00000000-0005-0000-0000-0000F70A0000}"/>
    <cellStyle name="Comma 7 5 2 4" xfId="1159" xr:uid="{00000000-0005-0000-0000-000087040000}"/>
    <cellStyle name="Comma 7 5 2 5" xfId="2219" xr:uid="{00000000-0005-0000-0000-0000AB080000}"/>
    <cellStyle name="Comma 7 5 3" xfId="605" xr:uid="{00000000-0005-0000-0000-00005D020000}"/>
    <cellStyle name="Comma 7 5 3 2" xfId="1269" xr:uid="{00000000-0005-0000-0000-0000F5040000}"/>
    <cellStyle name="Comma 7 5 3 2 2" xfId="2916" xr:uid="{00000000-0005-0000-0000-0000640B0000}"/>
    <cellStyle name="Comma 7 5 3 3" xfId="2333" xr:uid="{00000000-0005-0000-0000-00001D090000}"/>
    <cellStyle name="Comma 7 5 4" xfId="833" xr:uid="{00000000-0005-0000-0000-000041030000}"/>
    <cellStyle name="Comma 7 5 4 2" xfId="2700" xr:uid="{00000000-0005-0000-0000-00008C0A0000}"/>
    <cellStyle name="Comma 7 5 5" xfId="1051" xr:uid="{00000000-0005-0000-0000-00001B040000}"/>
    <cellStyle name="Comma 7 5 6" xfId="2015" xr:uid="{00000000-0005-0000-0000-0000DF070000}"/>
    <cellStyle name="Comma 7 6" xfId="413" xr:uid="{00000000-0005-0000-0000-00009D010000}"/>
    <cellStyle name="Comma 7 6 2" xfId="648" xr:uid="{00000000-0005-0000-0000-000088020000}"/>
    <cellStyle name="Comma 7 6 2 2" xfId="1312" xr:uid="{00000000-0005-0000-0000-000020050000}"/>
    <cellStyle name="Comma 7 6 2 2 2" xfId="2959" xr:uid="{00000000-0005-0000-0000-00008F0B0000}"/>
    <cellStyle name="Comma 7 6 2 3" xfId="2376" xr:uid="{00000000-0005-0000-0000-000048090000}"/>
    <cellStyle name="Comma 7 6 3" xfId="873" xr:uid="{00000000-0005-0000-0000-000069030000}"/>
    <cellStyle name="Comma 7 6 3 2" xfId="2740" xr:uid="{00000000-0005-0000-0000-0000B40A0000}"/>
    <cellStyle name="Comma 7 6 4" xfId="1091" xr:uid="{00000000-0005-0000-0000-000043040000}"/>
    <cellStyle name="Comma 7 6 5" xfId="2142" xr:uid="{00000000-0005-0000-0000-00005E080000}"/>
    <cellStyle name="Comma 7 7" xfId="537" xr:uid="{00000000-0005-0000-0000-000019020000}"/>
    <cellStyle name="Comma 7 7 2" xfId="1201" xr:uid="{00000000-0005-0000-0000-0000B1040000}"/>
    <cellStyle name="Comma 7 7 2 2" xfId="2849" xr:uid="{00000000-0005-0000-0000-0000210B0000}"/>
    <cellStyle name="Comma 7 7 3" xfId="2266" xr:uid="{00000000-0005-0000-0000-0000DA080000}"/>
    <cellStyle name="Comma 7 8" xfId="765" xr:uid="{00000000-0005-0000-0000-0000FD020000}"/>
    <cellStyle name="Comma 7 8 2" xfId="2633" xr:uid="{00000000-0005-0000-0000-0000490A0000}"/>
    <cellStyle name="Comma 7 9" xfId="983" xr:uid="{00000000-0005-0000-0000-0000D7030000}"/>
    <cellStyle name="Comma 8" xfId="270" xr:uid="{00000000-0005-0000-0000-00000E010000}"/>
    <cellStyle name="Comma 8 2" xfId="271" xr:uid="{00000000-0005-0000-0000-00000F010000}"/>
    <cellStyle name="Comma 8 2 2" xfId="2020" xr:uid="{00000000-0005-0000-0000-0000E4070000}"/>
    <cellStyle name="Comma 8 3" xfId="494" xr:uid="{00000000-0005-0000-0000-0000EE010000}"/>
    <cellStyle name="Comma 8 3 2" xfId="723" xr:uid="{00000000-0005-0000-0000-0000D3020000}"/>
    <cellStyle name="Comma 8 3 2 2" xfId="1387" xr:uid="{00000000-0005-0000-0000-00006B050000}"/>
    <cellStyle name="Comma 8 3 2 2 2" xfId="1727" xr:uid="{00000000-0005-0000-0000-0000BF060000}"/>
    <cellStyle name="Comma 8 3 2 2 3" xfId="3033" xr:uid="{00000000-0005-0000-0000-0000D90B0000}"/>
    <cellStyle name="Comma 8 3 2 3" xfId="1541" xr:uid="{00000000-0005-0000-0000-000005060000}"/>
    <cellStyle name="Comma 8 3 2 3 2" xfId="2603" xr:uid="{00000000-0005-0000-0000-00002B0A0000}"/>
    <cellStyle name="Comma 8 3 2 4" xfId="2450" xr:uid="{00000000-0005-0000-0000-000092090000}"/>
    <cellStyle name="Comma 8 3 3" xfId="944" xr:uid="{00000000-0005-0000-0000-0000B0030000}"/>
    <cellStyle name="Comma 8 3 3 2" xfId="1603" xr:uid="{00000000-0005-0000-0000-000043060000}"/>
    <cellStyle name="Comma 8 3 3 3" xfId="2810" xr:uid="{00000000-0005-0000-0000-0000FA0A0000}"/>
    <cellStyle name="Comma 8 3 4" xfId="1162" xr:uid="{00000000-0005-0000-0000-00008A040000}"/>
    <cellStyle name="Comma 8 3 4 2" xfId="1665" xr:uid="{00000000-0005-0000-0000-000081060000}"/>
    <cellStyle name="Comma 8 3 4 3" xfId="2533" xr:uid="{00000000-0005-0000-0000-0000E5090000}"/>
    <cellStyle name="Comma 8 3 5" xfId="1479" xr:uid="{00000000-0005-0000-0000-0000C7050000}"/>
    <cellStyle name="Comma 8 3 6" xfId="2222" xr:uid="{00000000-0005-0000-0000-0000AE080000}"/>
    <cellStyle name="Comma 8 4" xfId="608" xr:uid="{00000000-0005-0000-0000-000060020000}"/>
    <cellStyle name="Comma 8 4 2" xfId="1272" xr:uid="{00000000-0005-0000-0000-0000F8040000}"/>
    <cellStyle name="Comma 8 4 2 2" xfId="1696" xr:uid="{00000000-0005-0000-0000-0000A0060000}"/>
    <cellStyle name="Comma 8 4 2 3" xfId="2919" xr:uid="{00000000-0005-0000-0000-0000670B0000}"/>
    <cellStyle name="Comma 8 4 3" xfId="1510" xr:uid="{00000000-0005-0000-0000-0000E6050000}"/>
    <cellStyle name="Comma 8 4 3 2" xfId="2565" xr:uid="{00000000-0005-0000-0000-0000050A0000}"/>
    <cellStyle name="Comma 8 4 4" xfId="2336" xr:uid="{00000000-0005-0000-0000-000020090000}"/>
    <cellStyle name="Comma 8 5" xfId="836" xr:uid="{00000000-0005-0000-0000-000044030000}"/>
    <cellStyle name="Comma 8 5 2" xfId="1572" xr:uid="{00000000-0005-0000-0000-000024060000}"/>
    <cellStyle name="Comma 8 5 3" xfId="2703" xr:uid="{00000000-0005-0000-0000-00008F0A0000}"/>
    <cellStyle name="Comma 8 6" xfId="1054" xr:uid="{00000000-0005-0000-0000-00001E040000}"/>
    <cellStyle name="Comma 8 6 2" xfId="1634" xr:uid="{00000000-0005-0000-0000-000062060000}"/>
    <cellStyle name="Comma 8 6 3" xfId="2501" xr:uid="{00000000-0005-0000-0000-0000C5090000}"/>
    <cellStyle name="Comma 8 7" xfId="1448" xr:uid="{00000000-0005-0000-0000-0000A8050000}"/>
    <cellStyle name="Comma 8 8" xfId="2019" xr:uid="{00000000-0005-0000-0000-0000E3070000}"/>
    <cellStyle name="Comma 9" xfId="272" xr:uid="{00000000-0005-0000-0000-000010010000}"/>
    <cellStyle name="Comma 9 2" xfId="273" xr:uid="{00000000-0005-0000-0000-000011010000}"/>
    <cellStyle name="Comma 9 2 2" xfId="274" xr:uid="{00000000-0005-0000-0000-000012010000}"/>
    <cellStyle name="Comma 9 2 2 2" xfId="2023" xr:uid="{00000000-0005-0000-0000-0000E7070000}"/>
    <cellStyle name="Comma 9 2 3" xfId="275" xr:uid="{00000000-0005-0000-0000-000013010000}"/>
    <cellStyle name="Comma 9 2 3 2" xfId="497" xr:uid="{00000000-0005-0000-0000-0000F1010000}"/>
    <cellStyle name="Comma 9 2 3 2 2" xfId="726" xr:uid="{00000000-0005-0000-0000-0000D6020000}"/>
    <cellStyle name="Comma 9 2 3 2 2 2" xfId="1390" xr:uid="{00000000-0005-0000-0000-00006E050000}"/>
    <cellStyle name="Comma 9 2 3 2 2 2 2" xfId="3036" xr:uid="{00000000-0005-0000-0000-0000DC0B0000}"/>
    <cellStyle name="Comma 9 2 3 2 2 3" xfId="2453" xr:uid="{00000000-0005-0000-0000-000095090000}"/>
    <cellStyle name="Comma 9 2 3 2 3" xfId="947" xr:uid="{00000000-0005-0000-0000-0000B3030000}"/>
    <cellStyle name="Comma 9 2 3 2 3 2" xfId="2813" xr:uid="{00000000-0005-0000-0000-0000FD0A0000}"/>
    <cellStyle name="Comma 9 2 3 2 4" xfId="1165" xr:uid="{00000000-0005-0000-0000-00008D040000}"/>
    <cellStyle name="Comma 9 2 3 2 5" xfId="2225" xr:uid="{00000000-0005-0000-0000-0000B1080000}"/>
    <cellStyle name="Comma 9 2 3 3" xfId="611" xr:uid="{00000000-0005-0000-0000-000063020000}"/>
    <cellStyle name="Comma 9 2 3 3 2" xfId="1275" xr:uid="{00000000-0005-0000-0000-0000FB040000}"/>
    <cellStyle name="Comma 9 2 3 3 2 2" xfId="2922" xr:uid="{00000000-0005-0000-0000-00006A0B0000}"/>
    <cellStyle name="Comma 9 2 3 3 3" xfId="2339" xr:uid="{00000000-0005-0000-0000-000023090000}"/>
    <cellStyle name="Comma 9 2 3 4" xfId="839" xr:uid="{00000000-0005-0000-0000-000047030000}"/>
    <cellStyle name="Comma 9 2 3 4 2" xfId="2706" xr:uid="{00000000-0005-0000-0000-0000920A0000}"/>
    <cellStyle name="Comma 9 2 3 5" xfId="1057" xr:uid="{00000000-0005-0000-0000-000021040000}"/>
    <cellStyle name="Comma 9 2 3 6" xfId="2024" xr:uid="{00000000-0005-0000-0000-0000E8070000}"/>
    <cellStyle name="Comma 9 2 4" xfId="276" xr:uid="{00000000-0005-0000-0000-000014010000}"/>
    <cellStyle name="Comma 9 2 4 2" xfId="498" xr:uid="{00000000-0005-0000-0000-0000F2010000}"/>
    <cellStyle name="Comma 9 2 4 2 2" xfId="727" xr:uid="{00000000-0005-0000-0000-0000D7020000}"/>
    <cellStyle name="Comma 9 2 4 2 2 2" xfId="1391" xr:uid="{00000000-0005-0000-0000-00006F050000}"/>
    <cellStyle name="Comma 9 2 4 2 2 2 2" xfId="3037" xr:uid="{00000000-0005-0000-0000-0000DD0B0000}"/>
    <cellStyle name="Comma 9 2 4 2 2 3" xfId="2454" xr:uid="{00000000-0005-0000-0000-000096090000}"/>
    <cellStyle name="Comma 9 2 4 2 3" xfId="948" xr:uid="{00000000-0005-0000-0000-0000B4030000}"/>
    <cellStyle name="Comma 9 2 4 2 3 2" xfId="2814" xr:uid="{00000000-0005-0000-0000-0000FE0A0000}"/>
    <cellStyle name="Comma 9 2 4 2 4" xfId="1166" xr:uid="{00000000-0005-0000-0000-00008E040000}"/>
    <cellStyle name="Comma 9 2 4 2 5" xfId="2226" xr:uid="{00000000-0005-0000-0000-0000B2080000}"/>
    <cellStyle name="Comma 9 2 4 3" xfId="612" xr:uid="{00000000-0005-0000-0000-000064020000}"/>
    <cellStyle name="Comma 9 2 4 3 2" xfId="1276" xr:uid="{00000000-0005-0000-0000-0000FC040000}"/>
    <cellStyle name="Comma 9 2 4 3 2 2" xfId="2923" xr:uid="{00000000-0005-0000-0000-00006B0B0000}"/>
    <cellStyle name="Comma 9 2 4 3 3" xfId="2340" xr:uid="{00000000-0005-0000-0000-000024090000}"/>
    <cellStyle name="Comma 9 2 4 4" xfId="840" xr:uid="{00000000-0005-0000-0000-000048030000}"/>
    <cellStyle name="Comma 9 2 4 4 2" xfId="2707" xr:uid="{00000000-0005-0000-0000-0000930A0000}"/>
    <cellStyle name="Comma 9 2 4 5" xfId="1058" xr:uid="{00000000-0005-0000-0000-000022040000}"/>
    <cellStyle name="Comma 9 2 4 6" xfId="2025" xr:uid="{00000000-0005-0000-0000-0000E9070000}"/>
    <cellStyle name="Comma 9 2 5" xfId="496" xr:uid="{00000000-0005-0000-0000-0000F0010000}"/>
    <cellStyle name="Comma 9 2 5 2" xfId="725" xr:uid="{00000000-0005-0000-0000-0000D5020000}"/>
    <cellStyle name="Comma 9 2 5 2 2" xfId="1389" xr:uid="{00000000-0005-0000-0000-00006D050000}"/>
    <cellStyle name="Comma 9 2 5 2 2 2" xfId="3035" xr:uid="{00000000-0005-0000-0000-0000DB0B0000}"/>
    <cellStyle name="Comma 9 2 5 2 3" xfId="2452" xr:uid="{00000000-0005-0000-0000-000094090000}"/>
    <cellStyle name="Comma 9 2 5 3" xfId="946" xr:uid="{00000000-0005-0000-0000-0000B2030000}"/>
    <cellStyle name="Comma 9 2 5 3 2" xfId="2812" xr:uid="{00000000-0005-0000-0000-0000FC0A0000}"/>
    <cellStyle name="Comma 9 2 5 4" xfId="1164" xr:uid="{00000000-0005-0000-0000-00008C040000}"/>
    <cellStyle name="Comma 9 2 5 5" xfId="2224" xr:uid="{00000000-0005-0000-0000-0000B0080000}"/>
    <cellStyle name="Comma 9 2 6" xfId="610" xr:uid="{00000000-0005-0000-0000-000062020000}"/>
    <cellStyle name="Comma 9 2 6 2" xfId="1274" xr:uid="{00000000-0005-0000-0000-0000FA040000}"/>
    <cellStyle name="Comma 9 2 6 2 2" xfId="2921" xr:uid="{00000000-0005-0000-0000-0000690B0000}"/>
    <cellStyle name="Comma 9 2 6 3" xfId="2338" xr:uid="{00000000-0005-0000-0000-000022090000}"/>
    <cellStyle name="Comma 9 2 7" xfId="838" xr:uid="{00000000-0005-0000-0000-000046030000}"/>
    <cellStyle name="Comma 9 2 7 2" xfId="2705" xr:uid="{00000000-0005-0000-0000-0000910A0000}"/>
    <cellStyle name="Comma 9 2 8" xfId="1056" xr:uid="{00000000-0005-0000-0000-000020040000}"/>
    <cellStyle name="Comma 9 2 9" xfId="2022" xr:uid="{00000000-0005-0000-0000-0000E6070000}"/>
    <cellStyle name="Comma 9 3" xfId="277" xr:uid="{00000000-0005-0000-0000-000015010000}"/>
    <cellStyle name="Comma 9 3 2" xfId="499" xr:uid="{00000000-0005-0000-0000-0000F3010000}"/>
    <cellStyle name="Comma 9 3 2 2" xfId="728" xr:uid="{00000000-0005-0000-0000-0000D8020000}"/>
    <cellStyle name="Comma 9 3 2 2 2" xfId="1392" xr:uid="{00000000-0005-0000-0000-000070050000}"/>
    <cellStyle name="Comma 9 3 2 2 2 2" xfId="3038" xr:uid="{00000000-0005-0000-0000-0000DE0B0000}"/>
    <cellStyle name="Comma 9 3 2 2 3" xfId="2455" xr:uid="{00000000-0005-0000-0000-000097090000}"/>
    <cellStyle name="Comma 9 3 2 3" xfId="949" xr:uid="{00000000-0005-0000-0000-0000B5030000}"/>
    <cellStyle name="Comma 9 3 2 3 2" xfId="2815" xr:uid="{00000000-0005-0000-0000-0000FF0A0000}"/>
    <cellStyle name="Comma 9 3 2 4" xfId="1167" xr:uid="{00000000-0005-0000-0000-00008F040000}"/>
    <cellStyle name="Comma 9 3 2 5" xfId="2227" xr:uid="{00000000-0005-0000-0000-0000B3080000}"/>
    <cellStyle name="Comma 9 3 3" xfId="613" xr:uid="{00000000-0005-0000-0000-000065020000}"/>
    <cellStyle name="Comma 9 3 3 2" xfId="1277" xr:uid="{00000000-0005-0000-0000-0000FD040000}"/>
    <cellStyle name="Comma 9 3 3 2 2" xfId="2924" xr:uid="{00000000-0005-0000-0000-00006C0B0000}"/>
    <cellStyle name="Comma 9 3 3 3" xfId="2341" xr:uid="{00000000-0005-0000-0000-000025090000}"/>
    <cellStyle name="Comma 9 3 4" xfId="841" xr:uid="{00000000-0005-0000-0000-000049030000}"/>
    <cellStyle name="Comma 9 3 4 2" xfId="2708" xr:uid="{00000000-0005-0000-0000-0000940A0000}"/>
    <cellStyle name="Comma 9 3 5" xfId="1059" xr:uid="{00000000-0005-0000-0000-000023040000}"/>
    <cellStyle name="Comma 9 3 6" xfId="2026" xr:uid="{00000000-0005-0000-0000-0000EA070000}"/>
    <cellStyle name="Comma 9 4" xfId="495" xr:uid="{00000000-0005-0000-0000-0000EF010000}"/>
    <cellStyle name="Comma 9 4 2" xfId="724" xr:uid="{00000000-0005-0000-0000-0000D4020000}"/>
    <cellStyle name="Comma 9 4 2 2" xfId="1388" xr:uid="{00000000-0005-0000-0000-00006C050000}"/>
    <cellStyle name="Comma 9 4 2 2 2" xfId="3034" xr:uid="{00000000-0005-0000-0000-0000DA0B0000}"/>
    <cellStyle name="Comma 9 4 2 3" xfId="2451" xr:uid="{00000000-0005-0000-0000-000093090000}"/>
    <cellStyle name="Comma 9 4 3" xfId="945" xr:uid="{00000000-0005-0000-0000-0000B1030000}"/>
    <cellStyle name="Comma 9 4 3 2" xfId="2811" xr:uid="{00000000-0005-0000-0000-0000FB0A0000}"/>
    <cellStyle name="Comma 9 4 4" xfId="1163" xr:uid="{00000000-0005-0000-0000-00008B040000}"/>
    <cellStyle name="Comma 9 4 5" xfId="2223" xr:uid="{00000000-0005-0000-0000-0000AF080000}"/>
    <cellStyle name="Comma 9 5" xfId="609" xr:uid="{00000000-0005-0000-0000-000061020000}"/>
    <cellStyle name="Comma 9 5 2" xfId="1273" xr:uid="{00000000-0005-0000-0000-0000F9040000}"/>
    <cellStyle name="Comma 9 5 2 2" xfId="2920" xr:uid="{00000000-0005-0000-0000-0000680B0000}"/>
    <cellStyle name="Comma 9 5 3" xfId="2337" xr:uid="{00000000-0005-0000-0000-000021090000}"/>
    <cellStyle name="Comma 9 6" xfId="837" xr:uid="{00000000-0005-0000-0000-000045030000}"/>
    <cellStyle name="Comma 9 6 2" xfId="2704" xr:uid="{00000000-0005-0000-0000-0000900A0000}"/>
    <cellStyle name="Comma 9 7" xfId="1055" xr:uid="{00000000-0005-0000-0000-00001F040000}"/>
    <cellStyle name="Comma 9 8" xfId="2021" xr:uid="{00000000-0005-0000-0000-0000E5070000}"/>
    <cellStyle name="Comma0" xfId="69" xr:uid="{00000000-0005-0000-0000-000045000000}"/>
    <cellStyle name="Comma0 2" xfId="70" xr:uid="{00000000-0005-0000-0000-000046000000}"/>
    <cellStyle name="Comma0 2 2" xfId="1850" xr:uid="{00000000-0005-0000-0000-00003A070000}"/>
    <cellStyle name="Comma0 3" xfId="166" xr:uid="{00000000-0005-0000-0000-0000A6000000}"/>
    <cellStyle name="Currency0" xfId="167" xr:uid="{00000000-0005-0000-0000-0000A7000000}"/>
    <cellStyle name="Currency0 2" xfId="432" xr:uid="{00000000-0005-0000-0000-0000B0010000}"/>
    <cellStyle name="Currency0 2 2" xfId="661" xr:uid="{00000000-0005-0000-0000-000095020000}"/>
    <cellStyle name="Currency0 2 2 2" xfId="1325" xr:uid="{00000000-0005-0000-0000-00002D050000}"/>
    <cellStyle name="Currency0 2 3" xfId="883" xr:uid="{00000000-0005-0000-0000-000073030000}"/>
    <cellStyle name="Currency0 2 4" xfId="1101" xr:uid="{00000000-0005-0000-0000-00004D040000}"/>
    <cellStyle name="Currency0 3" xfId="547" xr:uid="{00000000-0005-0000-0000-000023020000}"/>
    <cellStyle name="Currency0 3 2" xfId="1211" xr:uid="{00000000-0005-0000-0000-0000BB040000}"/>
    <cellStyle name="Currency0 4" xfId="775" xr:uid="{00000000-0005-0000-0000-000007030000}"/>
    <cellStyle name="Currency0 5" xfId="993" xr:uid="{00000000-0005-0000-0000-0000E1030000}"/>
    <cellStyle name="Date" xfId="168" xr:uid="{00000000-0005-0000-0000-0000A8000000}"/>
    <cellStyle name="Empty_L_border" xfId="395" xr:uid="{00000000-0005-0000-0000-00008B010000}"/>
    <cellStyle name="Euro" xfId="71" xr:uid="{00000000-0005-0000-0000-000047000000}"/>
    <cellStyle name="Euro 2" xfId="72" xr:uid="{00000000-0005-0000-0000-000048000000}"/>
    <cellStyle name="Euro 2 2" xfId="278" xr:uid="{00000000-0005-0000-0000-000016010000}"/>
    <cellStyle name="Euro 2 2 2" xfId="2027" xr:uid="{00000000-0005-0000-0000-0000EB070000}"/>
    <cellStyle name="Euro 2 3" xfId="1852" xr:uid="{00000000-0005-0000-0000-00003C070000}"/>
    <cellStyle name="Euro 3" xfId="1851" xr:uid="{00000000-0005-0000-0000-00003B070000}"/>
    <cellStyle name="Explanatory Text 2" xfId="73" xr:uid="{00000000-0005-0000-0000-000049000000}"/>
    <cellStyle name="Explanatory Text 2 2" xfId="1854" xr:uid="{00000000-0005-0000-0000-00003E070000}"/>
    <cellStyle name="Explanatory Text 3" xfId="74" xr:uid="{00000000-0005-0000-0000-00004A000000}"/>
    <cellStyle name="Explanatory Text 3 2" xfId="1855" xr:uid="{00000000-0005-0000-0000-00003F070000}"/>
    <cellStyle name="Explanatory Text 4" xfId="1853" xr:uid="{00000000-0005-0000-0000-00003D070000}"/>
    <cellStyle name="Fixed" xfId="169" xr:uid="{00000000-0005-0000-0000-0000A9000000}"/>
    <cellStyle name="Good 2" xfId="75" xr:uid="{00000000-0005-0000-0000-00004B000000}"/>
    <cellStyle name="Good 2 2" xfId="76" xr:uid="{00000000-0005-0000-0000-00004C000000}"/>
    <cellStyle name="Good 2 2 2" xfId="1858" xr:uid="{00000000-0005-0000-0000-000042070000}"/>
    <cellStyle name="Good 2 3" xfId="384" xr:uid="{00000000-0005-0000-0000-000080010000}"/>
    <cellStyle name="Good 2 3 2" xfId="2117" xr:uid="{00000000-0005-0000-0000-000045080000}"/>
    <cellStyle name="Good 2 4" xfId="279" xr:uid="{00000000-0005-0000-0000-000017010000}"/>
    <cellStyle name="Good 2 4 2" xfId="2028" xr:uid="{00000000-0005-0000-0000-0000EC070000}"/>
    <cellStyle name="Good 2 5" xfId="1857" xr:uid="{00000000-0005-0000-0000-000041070000}"/>
    <cellStyle name="Good 3" xfId="77" xr:uid="{00000000-0005-0000-0000-00004D000000}"/>
    <cellStyle name="Good 3 2" xfId="1859" xr:uid="{00000000-0005-0000-0000-000043070000}"/>
    <cellStyle name="Good 4" xfId="1856" xr:uid="{00000000-0005-0000-0000-000040070000}"/>
    <cellStyle name="Heading 1 2" xfId="78" xr:uid="{00000000-0005-0000-0000-00004E000000}"/>
    <cellStyle name="Heading 1 2 2" xfId="1861" xr:uid="{00000000-0005-0000-0000-000045070000}"/>
    <cellStyle name="Heading 1 3" xfId="79" xr:uid="{00000000-0005-0000-0000-00004F000000}"/>
    <cellStyle name="Heading 1 3 2" xfId="1862" xr:uid="{00000000-0005-0000-0000-000046070000}"/>
    <cellStyle name="Heading 1 4" xfId="1860" xr:uid="{00000000-0005-0000-0000-000044070000}"/>
    <cellStyle name="Heading 2 2" xfId="80" xr:uid="{00000000-0005-0000-0000-000050000000}"/>
    <cellStyle name="Heading 2 2 2" xfId="1864" xr:uid="{00000000-0005-0000-0000-000048070000}"/>
    <cellStyle name="Heading 2 3" xfId="81" xr:uid="{00000000-0005-0000-0000-000051000000}"/>
    <cellStyle name="Heading 2 3 2" xfId="1865" xr:uid="{00000000-0005-0000-0000-000049070000}"/>
    <cellStyle name="Heading 2 4" xfId="1863" xr:uid="{00000000-0005-0000-0000-000047070000}"/>
    <cellStyle name="Heading 3 2" xfId="82" xr:uid="{00000000-0005-0000-0000-000052000000}"/>
    <cellStyle name="Heading 3 2 2" xfId="1867" xr:uid="{00000000-0005-0000-0000-00004B070000}"/>
    <cellStyle name="Heading 3 3" xfId="83" xr:uid="{00000000-0005-0000-0000-000053000000}"/>
    <cellStyle name="Heading 3 3 2" xfId="1868" xr:uid="{00000000-0005-0000-0000-00004C070000}"/>
    <cellStyle name="Heading 3 4" xfId="1866" xr:uid="{00000000-0005-0000-0000-00004A070000}"/>
    <cellStyle name="Heading 4 2" xfId="84" xr:uid="{00000000-0005-0000-0000-000054000000}"/>
    <cellStyle name="Heading 4 2 2" xfId="1870" xr:uid="{00000000-0005-0000-0000-00004E070000}"/>
    <cellStyle name="Heading 4 3" xfId="85" xr:uid="{00000000-0005-0000-0000-000055000000}"/>
    <cellStyle name="Heading 4 3 2" xfId="1871" xr:uid="{00000000-0005-0000-0000-00004F070000}"/>
    <cellStyle name="Heading 4 4" xfId="1869" xr:uid="{00000000-0005-0000-0000-00004D070000}"/>
    <cellStyle name="Hyperlink 2" xfId="139" xr:uid="{00000000-0005-0000-0000-00008B000000}"/>
    <cellStyle name="Hyperlink 2 2" xfId="280" xr:uid="{00000000-0005-0000-0000-000018010000}"/>
    <cellStyle name="Hyperlink 2 2 2" xfId="2029" xr:uid="{00000000-0005-0000-0000-0000ED070000}"/>
    <cellStyle name="Hyperlink 2 3" xfId="1918" xr:uid="{00000000-0005-0000-0000-00007E070000}"/>
    <cellStyle name="Hyperlink 3" xfId="170" xr:uid="{00000000-0005-0000-0000-0000AA000000}"/>
    <cellStyle name="Hyperlink 3 2" xfId="1920" xr:uid="{00000000-0005-0000-0000-000080070000}"/>
    <cellStyle name="Input 2" xfId="86" xr:uid="{00000000-0005-0000-0000-000056000000}"/>
    <cellStyle name="Input 2 2" xfId="385" xr:uid="{00000000-0005-0000-0000-000081010000}"/>
    <cellStyle name="Input 2 2 2" xfId="519" xr:uid="{00000000-0005-0000-0000-000007020000}"/>
    <cellStyle name="Input 2 2 2 2" xfId="747" xr:uid="{00000000-0005-0000-0000-0000EB020000}"/>
    <cellStyle name="Input 2 2 2 2 2" xfId="1411" xr:uid="{00000000-0005-0000-0000-000083050000}"/>
    <cellStyle name="Input 2 2 2 2 2 2" xfId="3057" xr:uid="{00000000-0005-0000-0000-0000F10B0000}"/>
    <cellStyle name="Input 2 2 2 2 3" xfId="2620" xr:uid="{00000000-0005-0000-0000-00003C0A0000}"/>
    <cellStyle name="Input 2 2 2 2 4" xfId="2474" xr:uid="{00000000-0005-0000-0000-0000AA090000}"/>
    <cellStyle name="Input 2 2 2 3" xfId="2247" xr:uid="{00000000-0005-0000-0000-0000C7080000}"/>
    <cellStyle name="Input 2 2 3" xfId="2118" xr:uid="{00000000-0005-0000-0000-000046080000}"/>
    <cellStyle name="Input 2 3" xfId="281" xr:uid="{00000000-0005-0000-0000-000019010000}"/>
    <cellStyle name="Input 2 3 2" xfId="500" xr:uid="{00000000-0005-0000-0000-0000F4010000}"/>
    <cellStyle name="Input 2 3 2 2" xfId="729" xr:uid="{00000000-0005-0000-0000-0000D9020000}"/>
    <cellStyle name="Input 2 3 2 2 2" xfId="1393" xr:uid="{00000000-0005-0000-0000-000071050000}"/>
    <cellStyle name="Input 2 3 2 2 2 2" xfId="3039" xr:uid="{00000000-0005-0000-0000-0000DF0B0000}"/>
    <cellStyle name="Input 2 3 2 2 3" xfId="2604" xr:uid="{00000000-0005-0000-0000-00002C0A0000}"/>
    <cellStyle name="Input 2 3 2 2 4" xfId="2456" xr:uid="{00000000-0005-0000-0000-000098090000}"/>
    <cellStyle name="Input 2 3 2 3" xfId="2228" xr:uid="{00000000-0005-0000-0000-0000B4080000}"/>
    <cellStyle name="Input 2 3 3" xfId="2030" xr:uid="{00000000-0005-0000-0000-0000EE070000}"/>
    <cellStyle name="Input 2 4" xfId="415" xr:uid="{00000000-0005-0000-0000-00009F010000}"/>
    <cellStyle name="Input 2 4 2" xfId="650" xr:uid="{00000000-0005-0000-0000-00008A020000}"/>
    <cellStyle name="Input 2 4 2 2" xfId="1314" xr:uid="{00000000-0005-0000-0000-000022050000}"/>
    <cellStyle name="Input 2 4 2 2 2" xfId="2961" xr:uid="{00000000-0005-0000-0000-0000910B0000}"/>
    <cellStyle name="Input 2 4 2 3" xfId="2591" xr:uid="{00000000-0005-0000-0000-00001F0A0000}"/>
    <cellStyle name="Input 2 4 2 4" xfId="2378" xr:uid="{00000000-0005-0000-0000-00004A090000}"/>
    <cellStyle name="Input 2 4 3" xfId="2144" xr:uid="{00000000-0005-0000-0000-000060080000}"/>
    <cellStyle name="Input 2 5" xfId="1873" xr:uid="{00000000-0005-0000-0000-000051070000}"/>
    <cellStyle name="Input 3" xfId="87" xr:uid="{00000000-0005-0000-0000-000057000000}"/>
    <cellStyle name="Input 3 2" xfId="416" xr:uid="{00000000-0005-0000-0000-0000A0010000}"/>
    <cellStyle name="Input 3 2 2" xfId="651" xr:uid="{00000000-0005-0000-0000-00008B020000}"/>
    <cellStyle name="Input 3 2 2 2" xfId="1315" xr:uid="{00000000-0005-0000-0000-000023050000}"/>
    <cellStyle name="Input 3 2 2 2 2" xfId="2962" xr:uid="{00000000-0005-0000-0000-0000920B0000}"/>
    <cellStyle name="Input 3 2 2 3" xfId="2592" xr:uid="{00000000-0005-0000-0000-0000200A0000}"/>
    <cellStyle name="Input 3 2 2 4" xfId="2379" xr:uid="{00000000-0005-0000-0000-00004B090000}"/>
    <cellStyle name="Input 3 2 3" xfId="2145" xr:uid="{00000000-0005-0000-0000-000061080000}"/>
    <cellStyle name="Input 3 3" xfId="1874" xr:uid="{00000000-0005-0000-0000-000052070000}"/>
    <cellStyle name="Input 4" xfId="414" xr:uid="{00000000-0005-0000-0000-00009E010000}"/>
    <cellStyle name="Input 4 2" xfId="649" xr:uid="{00000000-0005-0000-0000-000089020000}"/>
    <cellStyle name="Input 4 2 2" xfId="1313" xr:uid="{00000000-0005-0000-0000-000021050000}"/>
    <cellStyle name="Input 4 2 2 2" xfId="2960" xr:uid="{00000000-0005-0000-0000-0000900B0000}"/>
    <cellStyle name="Input 4 2 3" xfId="2590" xr:uid="{00000000-0005-0000-0000-00001E0A0000}"/>
    <cellStyle name="Input 4 2 4" xfId="2377" xr:uid="{00000000-0005-0000-0000-000049090000}"/>
    <cellStyle name="Input 4 3" xfId="2143" xr:uid="{00000000-0005-0000-0000-00005F080000}"/>
    <cellStyle name="Input 5" xfId="1872" xr:uid="{00000000-0005-0000-0000-000050070000}"/>
    <cellStyle name="Linked Cell 2" xfId="88" xr:uid="{00000000-0005-0000-0000-000058000000}"/>
    <cellStyle name="Linked Cell 2 2" xfId="1876" xr:uid="{00000000-0005-0000-0000-000054070000}"/>
    <cellStyle name="Linked Cell 3" xfId="89" xr:uid="{00000000-0005-0000-0000-000059000000}"/>
    <cellStyle name="Linked Cell 3 2" xfId="1877" xr:uid="{00000000-0005-0000-0000-000055070000}"/>
    <cellStyle name="Linked Cell 4" xfId="1875" xr:uid="{00000000-0005-0000-0000-000053070000}"/>
    <cellStyle name="Milliers 10" xfId="282" xr:uid="{00000000-0005-0000-0000-00001A010000}"/>
    <cellStyle name="Milliers 10 2" xfId="2031" xr:uid="{00000000-0005-0000-0000-0000EF070000}"/>
    <cellStyle name="Milliers 11" xfId="283" xr:uid="{00000000-0005-0000-0000-00001B010000}"/>
    <cellStyle name="Milliers 11 2" xfId="2032" xr:uid="{00000000-0005-0000-0000-0000F0070000}"/>
    <cellStyle name="Milliers 12" xfId="284" xr:uid="{00000000-0005-0000-0000-00001C010000}"/>
    <cellStyle name="Milliers 12 2" xfId="2033" xr:uid="{00000000-0005-0000-0000-0000F1070000}"/>
    <cellStyle name="Milliers 13" xfId="285" xr:uid="{00000000-0005-0000-0000-00001D010000}"/>
    <cellStyle name="Milliers 13 2" xfId="2034" xr:uid="{00000000-0005-0000-0000-0000F2070000}"/>
    <cellStyle name="Milliers 14" xfId="286" xr:uid="{00000000-0005-0000-0000-00001E010000}"/>
    <cellStyle name="Milliers 14 2" xfId="2035" xr:uid="{00000000-0005-0000-0000-0000F3070000}"/>
    <cellStyle name="Milliers 15" xfId="287" xr:uid="{00000000-0005-0000-0000-00001F010000}"/>
    <cellStyle name="Milliers 15 2" xfId="2036" xr:uid="{00000000-0005-0000-0000-0000F4070000}"/>
    <cellStyle name="Milliers 16" xfId="288" xr:uid="{00000000-0005-0000-0000-000020010000}"/>
    <cellStyle name="Milliers 16 2" xfId="2037" xr:uid="{00000000-0005-0000-0000-0000F5070000}"/>
    <cellStyle name="Milliers 17" xfId="289" xr:uid="{00000000-0005-0000-0000-000021010000}"/>
    <cellStyle name="Milliers 17 2" xfId="2038" xr:uid="{00000000-0005-0000-0000-0000F6070000}"/>
    <cellStyle name="Milliers 18" xfId="290" xr:uid="{00000000-0005-0000-0000-000022010000}"/>
    <cellStyle name="Milliers 18 2" xfId="2039" xr:uid="{00000000-0005-0000-0000-0000F7070000}"/>
    <cellStyle name="Milliers 2" xfId="171" xr:uid="{00000000-0005-0000-0000-0000AB000000}"/>
    <cellStyle name="Milliers 2 2" xfId="433" xr:uid="{00000000-0005-0000-0000-0000B1010000}"/>
    <cellStyle name="Milliers 2 2 2" xfId="662" xr:uid="{00000000-0005-0000-0000-000096020000}"/>
    <cellStyle name="Milliers 2 2 2 2" xfId="1326" xr:uid="{00000000-0005-0000-0000-00002E050000}"/>
    <cellStyle name="Milliers 2 2 2 2 2" xfId="2972" xr:uid="{00000000-0005-0000-0000-00009C0B0000}"/>
    <cellStyle name="Milliers 2 2 2 3" xfId="2389" xr:uid="{00000000-0005-0000-0000-000055090000}"/>
    <cellStyle name="Milliers 2 2 3" xfId="884" xr:uid="{00000000-0005-0000-0000-000074030000}"/>
    <cellStyle name="Milliers 2 2 3 2" xfId="2750" xr:uid="{00000000-0005-0000-0000-0000BE0A0000}"/>
    <cellStyle name="Milliers 2 2 4" xfId="1102" xr:uid="{00000000-0005-0000-0000-00004E040000}"/>
    <cellStyle name="Milliers 2 2 5" xfId="2161" xr:uid="{00000000-0005-0000-0000-000071080000}"/>
    <cellStyle name="Milliers 2 3" xfId="548" xr:uid="{00000000-0005-0000-0000-000024020000}"/>
    <cellStyle name="Milliers 2 3 2" xfId="1212" xr:uid="{00000000-0005-0000-0000-0000BC040000}"/>
    <cellStyle name="Milliers 2 3 2 2" xfId="2859" xr:uid="{00000000-0005-0000-0000-00002B0B0000}"/>
    <cellStyle name="Milliers 2 3 3" xfId="2276" xr:uid="{00000000-0005-0000-0000-0000E4080000}"/>
    <cellStyle name="Milliers 2 4" xfId="776" xr:uid="{00000000-0005-0000-0000-000008030000}"/>
    <cellStyle name="Milliers 2 4 2" xfId="2643" xr:uid="{00000000-0005-0000-0000-0000530A0000}"/>
    <cellStyle name="Milliers 2 5" xfId="994" xr:uid="{00000000-0005-0000-0000-0000E2030000}"/>
    <cellStyle name="Milliers 2 6" xfId="1921" xr:uid="{00000000-0005-0000-0000-000081070000}"/>
    <cellStyle name="Milliers 3" xfId="291" xr:uid="{00000000-0005-0000-0000-000023010000}"/>
    <cellStyle name="Milliers 3 2" xfId="2040" xr:uid="{00000000-0005-0000-0000-0000F8070000}"/>
    <cellStyle name="Milliers 4" xfId="292" xr:uid="{00000000-0005-0000-0000-000024010000}"/>
    <cellStyle name="Milliers 4 2" xfId="2041" xr:uid="{00000000-0005-0000-0000-0000F9070000}"/>
    <cellStyle name="Milliers 5" xfId="293" xr:uid="{00000000-0005-0000-0000-000025010000}"/>
    <cellStyle name="Milliers 5 2" xfId="2042" xr:uid="{00000000-0005-0000-0000-0000FA070000}"/>
    <cellStyle name="Milliers 6" xfId="294" xr:uid="{00000000-0005-0000-0000-000026010000}"/>
    <cellStyle name="Milliers 6 2" xfId="2043" xr:uid="{00000000-0005-0000-0000-0000FB070000}"/>
    <cellStyle name="Milliers 7" xfId="295" xr:uid="{00000000-0005-0000-0000-000027010000}"/>
    <cellStyle name="Milliers 7 2" xfId="2044" xr:uid="{00000000-0005-0000-0000-0000FC070000}"/>
    <cellStyle name="Milliers 8" xfId="296" xr:uid="{00000000-0005-0000-0000-000028010000}"/>
    <cellStyle name="Milliers 8 2" xfId="2045" xr:uid="{00000000-0005-0000-0000-0000FD070000}"/>
    <cellStyle name="Milliers 9" xfId="297" xr:uid="{00000000-0005-0000-0000-000029010000}"/>
    <cellStyle name="Milliers 9 2" xfId="2046" xr:uid="{00000000-0005-0000-0000-0000FE070000}"/>
    <cellStyle name="Neutral 2" xfId="90" xr:uid="{00000000-0005-0000-0000-00005A000000}"/>
    <cellStyle name="Neutral 2 2" xfId="91" xr:uid="{00000000-0005-0000-0000-00005B000000}"/>
    <cellStyle name="Neutral 2 2 2" xfId="1427" xr:uid="{00000000-0005-0000-0000-000093050000}"/>
    <cellStyle name="Neutral 2 2 3" xfId="1880" xr:uid="{00000000-0005-0000-0000-000058070000}"/>
    <cellStyle name="Neutral 2 3" xfId="172" xr:uid="{00000000-0005-0000-0000-0000AC000000}"/>
    <cellStyle name="Neutral 2 3 2" xfId="1922" xr:uid="{00000000-0005-0000-0000-000082070000}"/>
    <cellStyle name="Neutral 2 4" xfId="1879" xr:uid="{00000000-0005-0000-0000-000057070000}"/>
    <cellStyle name="Neutral 3" xfId="92" xr:uid="{00000000-0005-0000-0000-00005C000000}"/>
    <cellStyle name="Neutral 3 2" xfId="1881" xr:uid="{00000000-0005-0000-0000-000059070000}"/>
    <cellStyle name="Neutral 4" xfId="93" xr:uid="{00000000-0005-0000-0000-00005D000000}"/>
    <cellStyle name="Neutral 4 2" xfId="1882" xr:uid="{00000000-0005-0000-0000-00005A070000}"/>
    <cellStyle name="Neutral 5" xfId="1878" xr:uid="{00000000-0005-0000-0000-000056070000}"/>
    <cellStyle name="Normal" xfId="0" builtinId="0"/>
    <cellStyle name="Normal 10" xfId="94" xr:uid="{00000000-0005-0000-0000-00005E000000}"/>
    <cellStyle name="Normal 10 2" xfId="95" xr:uid="{00000000-0005-0000-0000-00005F000000}"/>
    <cellStyle name="Normal 10 2 2" xfId="96" xr:uid="{00000000-0005-0000-0000-000060000000}"/>
    <cellStyle name="Normal 10 3" xfId="97" xr:uid="{00000000-0005-0000-0000-000061000000}"/>
    <cellStyle name="Normal 11" xfId="298" xr:uid="{00000000-0005-0000-0000-00002A010000}"/>
    <cellStyle name="Normal 12" xfId="299" xr:uid="{00000000-0005-0000-0000-00002B010000}"/>
    <cellStyle name="Normal 12 2" xfId="300" xr:uid="{00000000-0005-0000-0000-00002C010000}"/>
    <cellStyle name="Normal 12 3" xfId="501" xr:uid="{00000000-0005-0000-0000-0000F5010000}"/>
    <cellStyle name="Normal 12 3 2" xfId="730" xr:uid="{00000000-0005-0000-0000-0000DA020000}"/>
    <cellStyle name="Normal 12 3 2 2" xfId="1394" xr:uid="{00000000-0005-0000-0000-000072050000}"/>
    <cellStyle name="Normal 12 3 2 2 2" xfId="1728" xr:uid="{00000000-0005-0000-0000-0000C0060000}"/>
    <cellStyle name="Normal 12 3 2 2 3" xfId="3040" xr:uid="{00000000-0005-0000-0000-0000E00B0000}"/>
    <cellStyle name="Normal 12 3 2 3" xfId="1542" xr:uid="{00000000-0005-0000-0000-000006060000}"/>
    <cellStyle name="Normal 12 3 2 3 2" xfId="2605" xr:uid="{00000000-0005-0000-0000-00002D0A0000}"/>
    <cellStyle name="Normal 12 3 2 4" xfId="2457" xr:uid="{00000000-0005-0000-0000-000099090000}"/>
    <cellStyle name="Normal 12 3 3" xfId="950" xr:uid="{00000000-0005-0000-0000-0000B6030000}"/>
    <cellStyle name="Normal 12 3 3 2" xfId="1604" xr:uid="{00000000-0005-0000-0000-000044060000}"/>
    <cellStyle name="Normal 12 3 3 3" xfId="2816" xr:uid="{00000000-0005-0000-0000-0000000B0000}"/>
    <cellStyle name="Normal 12 3 4" xfId="1168" xr:uid="{00000000-0005-0000-0000-000090040000}"/>
    <cellStyle name="Normal 12 3 4 2" xfId="1666" xr:uid="{00000000-0005-0000-0000-000082060000}"/>
    <cellStyle name="Normal 12 3 4 3" xfId="2534" xr:uid="{00000000-0005-0000-0000-0000E6090000}"/>
    <cellStyle name="Normal 12 3 5" xfId="1480" xr:uid="{00000000-0005-0000-0000-0000C8050000}"/>
    <cellStyle name="Normal 12 3 6" xfId="2229" xr:uid="{00000000-0005-0000-0000-0000B5080000}"/>
    <cellStyle name="Normal 12 4" xfId="614" xr:uid="{00000000-0005-0000-0000-000066020000}"/>
    <cellStyle name="Normal 12 4 2" xfId="1278" xr:uid="{00000000-0005-0000-0000-0000FE040000}"/>
    <cellStyle name="Normal 12 4 2 2" xfId="1697" xr:uid="{00000000-0005-0000-0000-0000A1060000}"/>
    <cellStyle name="Normal 12 4 2 3" xfId="2925" xr:uid="{00000000-0005-0000-0000-00006D0B0000}"/>
    <cellStyle name="Normal 12 4 3" xfId="1511" xr:uid="{00000000-0005-0000-0000-0000E7050000}"/>
    <cellStyle name="Normal 12 4 3 2" xfId="2566" xr:uid="{00000000-0005-0000-0000-0000060A0000}"/>
    <cellStyle name="Normal 12 4 4" xfId="2342" xr:uid="{00000000-0005-0000-0000-000026090000}"/>
    <cellStyle name="Normal 12 5" xfId="842" xr:uid="{00000000-0005-0000-0000-00004A030000}"/>
    <cellStyle name="Normal 12 5 2" xfId="1573" xr:uid="{00000000-0005-0000-0000-000025060000}"/>
    <cellStyle name="Normal 12 5 3" xfId="2709" xr:uid="{00000000-0005-0000-0000-0000950A0000}"/>
    <cellStyle name="Normal 12 6" xfId="1060" xr:uid="{00000000-0005-0000-0000-000024040000}"/>
    <cellStyle name="Normal 12 6 2" xfId="1635" xr:uid="{00000000-0005-0000-0000-000063060000}"/>
    <cellStyle name="Normal 12 6 3" xfId="2502" xr:uid="{00000000-0005-0000-0000-0000C6090000}"/>
    <cellStyle name="Normal 12 7" xfId="1449" xr:uid="{00000000-0005-0000-0000-0000A9050000}"/>
    <cellStyle name="Normal 12 8" xfId="2047" xr:uid="{00000000-0005-0000-0000-0000FF070000}"/>
    <cellStyle name="Normal 13" xfId="98" xr:uid="{00000000-0005-0000-0000-000062000000}"/>
    <cellStyle name="Normal 13 2" xfId="397" xr:uid="{00000000-0005-0000-0000-00008D010000}"/>
    <cellStyle name="Normal 14" xfId="392" xr:uid="{00000000-0005-0000-0000-000088010000}"/>
    <cellStyle name="Normal 15" xfId="133" xr:uid="{00000000-0005-0000-0000-000085000000}"/>
    <cellStyle name="Normal 15 2" xfId="428" xr:uid="{00000000-0005-0000-0000-0000AC010000}"/>
    <cellStyle name="Normal 15 2 2" xfId="657" xr:uid="{00000000-0005-0000-0000-000091020000}"/>
    <cellStyle name="Normal 15 2 2 2" xfId="1321" xr:uid="{00000000-0005-0000-0000-000029050000}"/>
    <cellStyle name="Normal 15 2 2 2 2" xfId="1723" xr:uid="{00000000-0005-0000-0000-0000BB060000}"/>
    <cellStyle name="Normal 15 2 2 2 3" xfId="2968" xr:uid="{00000000-0005-0000-0000-0000980B0000}"/>
    <cellStyle name="Normal 15 2 2 3" xfId="1537" xr:uid="{00000000-0005-0000-0000-000001060000}"/>
    <cellStyle name="Normal 15 2 2 3 2" xfId="2598" xr:uid="{00000000-0005-0000-0000-0000260A0000}"/>
    <cellStyle name="Normal 15 2 2 4" xfId="2385" xr:uid="{00000000-0005-0000-0000-000051090000}"/>
    <cellStyle name="Normal 15 2 3" xfId="879" xr:uid="{00000000-0005-0000-0000-00006F030000}"/>
    <cellStyle name="Normal 15 2 3 2" xfId="1599" xr:uid="{00000000-0005-0000-0000-00003F060000}"/>
    <cellStyle name="Normal 15 2 3 3" xfId="2746" xr:uid="{00000000-0005-0000-0000-0000BA0A0000}"/>
    <cellStyle name="Normal 15 2 4" xfId="1097" xr:uid="{00000000-0005-0000-0000-000049040000}"/>
    <cellStyle name="Normal 15 2 4 2" xfId="1661" xr:uid="{00000000-0005-0000-0000-00007D060000}"/>
    <cellStyle name="Normal 15 2 4 3" xfId="2529" xr:uid="{00000000-0005-0000-0000-0000E1090000}"/>
    <cellStyle name="Normal 15 2 5" xfId="1475" xr:uid="{00000000-0005-0000-0000-0000C3050000}"/>
    <cellStyle name="Normal 15 2 6" xfId="2157" xr:uid="{00000000-0005-0000-0000-00006D080000}"/>
    <cellStyle name="Normal 15 3" xfId="543" xr:uid="{00000000-0005-0000-0000-00001F020000}"/>
    <cellStyle name="Normal 15 3 2" xfId="1207" xr:uid="{00000000-0005-0000-0000-0000B7040000}"/>
    <cellStyle name="Normal 15 3 2 2" xfId="1692" xr:uid="{00000000-0005-0000-0000-00009C060000}"/>
    <cellStyle name="Normal 15 3 2 3" xfId="2855" xr:uid="{00000000-0005-0000-0000-0000270B0000}"/>
    <cellStyle name="Normal 15 3 3" xfId="1506" xr:uid="{00000000-0005-0000-0000-0000E2050000}"/>
    <cellStyle name="Normal 15 3 3 2" xfId="2561" xr:uid="{00000000-0005-0000-0000-0000010A0000}"/>
    <cellStyle name="Normal 15 3 4" xfId="2272" xr:uid="{00000000-0005-0000-0000-0000E0080000}"/>
    <cellStyle name="Normal 15 4" xfId="771" xr:uid="{00000000-0005-0000-0000-000003030000}"/>
    <cellStyle name="Normal 15 4 2" xfId="1568" xr:uid="{00000000-0005-0000-0000-000020060000}"/>
    <cellStyle name="Normal 15 4 3" xfId="2639" xr:uid="{00000000-0005-0000-0000-00004F0A0000}"/>
    <cellStyle name="Normal 15 5" xfId="989" xr:uid="{00000000-0005-0000-0000-0000DD030000}"/>
    <cellStyle name="Normal 15 5 2" xfId="1630" xr:uid="{00000000-0005-0000-0000-00005E060000}"/>
    <cellStyle name="Normal 15 5 3" xfId="2497" xr:uid="{00000000-0005-0000-0000-0000C1090000}"/>
    <cellStyle name="Normal 15 6" xfId="1444" xr:uid="{00000000-0005-0000-0000-0000A4050000}"/>
    <cellStyle name="Normal 15 7" xfId="1915" xr:uid="{00000000-0005-0000-0000-00007B070000}"/>
    <cellStyle name="Normal 16" xfId="399" xr:uid="{00000000-0005-0000-0000-00008F010000}"/>
    <cellStyle name="Normal 16 2" xfId="526" xr:uid="{00000000-0005-0000-0000-00000E020000}"/>
    <cellStyle name="Normal 16 2 2" xfId="753" xr:uid="{00000000-0005-0000-0000-0000F1020000}"/>
    <cellStyle name="Normal 16 2 2 2" xfId="1417" xr:uid="{00000000-0005-0000-0000-000089050000}"/>
    <cellStyle name="Normal 16 2 2 2 2" xfId="1744" xr:uid="{00000000-0005-0000-0000-0000D0060000}"/>
    <cellStyle name="Normal 16 2 2 2 3" xfId="3063" xr:uid="{00000000-0005-0000-0000-0000F70B0000}"/>
    <cellStyle name="Normal 16 2 2 3" xfId="1558" xr:uid="{00000000-0005-0000-0000-000016060000}"/>
    <cellStyle name="Normal 16 2 2 3 2" xfId="2623" xr:uid="{00000000-0005-0000-0000-00003F0A0000}"/>
    <cellStyle name="Normal 16 2 2 4" xfId="2480" xr:uid="{00000000-0005-0000-0000-0000B0090000}"/>
    <cellStyle name="Normal 16 2 3" xfId="971" xr:uid="{00000000-0005-0000-0000-0000CB030000}"/>
    <cellStyle name="Normal 16 2 3 2" xfId="1620" xr:uid="{00000000-0005-0000-0000-000054060000}"/>
    <cellStyle name="Normal 16 2 3 2 2" xfId="2837" xr:uid="{00000000-0005-0000-0000-0000150B0000}"/>
    <cellStyle name="Normal 16 2 3 3" xfId="2487" xr:uid="{00000000-0005-0000-0000-0000B7090000}"/>
    <cellStyle name="Normal 16 2 4" xfId="1189" xr:uid="{00000000-0005-0000-0000-0000A5040000}"/>
    <cellStyle name="Normal 16 2 4 2" xfId="1682" xr:uid="{00000000-0005-0000-0000-000092060000}"/>
    <cellStyle name="Normal 16 2 4 3" xfId="2550" xr:uid="{00000000-0005-0000-0000-0000F6090000}"/>
    <cellStyle name="Normal 16 2 5" xfId="1496" xr:uid="{00000000-0005-0000-0000-0000D8050000}"/>
    <cellStyle name="Normal 16 2 6" xfId="2254" xr:uid="{00000000-0005-0000-0000-0000CE080000}"/>
    <cellStyle name="Normal 16 3" xfId="635" xr:uid="{00000000-0005-0000-0000-00007B020000}"/>
    <cellStyle name="Normal 16 3 2" xfId="1299" xr:uid="{00000000-0005-0000-0000-000013050000}"/>
    <cellStyle name="Normal 16 3 2 2" xfId="1713" xr:uid="{00000000-0005-0000-0000-0000B1060000}"/>
    <cellStyle name="Normal 16 3 2 3" xfId="2946" xr:uid="{00000000-0005-0000-0000-0000820B0000}"/>
    <cellStyle name="Normal 16 3 3" xfId="1527" xr:uid="{00000000-0005-0000-0000-0000F7050000}"/>
    <cellStyle name="Normal 16 3 3 2" xfId="2582" xr:uid="{00000000-0005-0000-0000-0000160A0000}"/>
    <cellStyle name="Normal 16 3 4" xfId="2363" xr:uid="{00000000-0005-0000-0000-00003B090000}"/>
    <cellStyle name="Normal 16 4" xfId="863" xr:uid="{00000000-0005-0000-0000-00005F030000}"/>
    <cellStyle name="Normal 16 4 2" xfId="1589" xr:uid="{00000000-0005-0000-0000-000035060000}"/>
    <cellStyle name="Normal 16 4 3" xfId="2730" xr:uid="{00000000-0005-0000-0000-0000AA0A0000}"/>
    <cellStyle name="Normal 16 5" xfId="1081" xr:uid="{00000000-0005-0000-0000-000039040000}"/>
    <cellStyle name="Normal 16 5 2" xfId="1651" xr:uid="{00000000-0005-0000-0000-000073060000}"/>
    <cellStyle name="Normal 16 5 3" xfId="2518" xr:uid="{00000000-0005-0000-0000-0000D6090000}"/>
    <cellStyle name="Normal 16 6" xfId="1465" xr:uid="{00000000-0005-0000-0000-0000B9050000}"/>
    <cellStyle name="Normal 16 7" xfId="2128" xr:uid="{00000000-0005-0000-0000-000050080000}"/>
    <cellStyle name="Normal 17" xfId="403" xr:uid="{00000000-0005-0000-0000-000093010000}"/>
    <cellStyle name="Normal 17 2" xfId="530" xr:uid="{00000000-0005-0000-0000-000012020000}"/>
    <cellStyle name="Normal 17 2 2" xfId="757" xr:uid="{00000000-0005-0000-0000-0000F5020000}"/>
    <cellStyle name="Normal 17 2 2 2" xfId="1421" xr:uid="{00000000-0005-0000-0000-00008D050000}"/>
    <cellStyle name="Normal 17 2 2 2 2" xfId="1747" xr:uid="{00000000-0005-0000-0000-0000D3060000}"/>
    <cellStyle name="Normal 17 2 2 2 3" xfId="3067" xr:uid="{00000000-0005-0000-0000-0000FB0B0000}"/>
    <cellStyle name="Normal 17 2 2 3" xfId="1561" xr:uid="{00000000-0005-0000-0000-000019060000}"/>
    <cellStyle name="Normal 17 2 2 3 2" xfId="2626" xr:uid="{00000000-0005-0000-0000-0000420A0000}"/>
    <cellStyle name="Normal 17 2 2 4" xfId="2484" xr:uid="{00000000-0005-0000-0000-0000B4090000}"/>
    <cellStyle name="Normal 17 2 3" xfId="975" xr:uid="{00000000-0005-0000-0000-0000CF030000}"/>
    <cellStyle name="Normal 17 2 3 2" xfId="1623" xr:uid="{00000000-0005-0000-0000-000057060000}"/>
    <cellStyle name="Normal 17 2 3 3" xfId="2841" xr:uid="{00000000-0005-0000-0000-0000190B0000}"/>
    <cellStyle name="Normal 17 2 4" xfId="1193" xr:uid="{00000000-0005-0000-0000-0000A9040000}"/>
    <cellStyle name="Normal 17 2 4 2" xfId="1685" xr:uid="{00000000-0005-0000-0000-000095060000}"/>
    <cellStyle name="Normal 17 2 4 3" xfId="2553" xr:uid="{00000000-0005-0000-0000-0000F9090000}"/>
    <cellStyle name="Normal 17 2 5" xfId="1499" xr:uid="{00000000-0005-0000-0000-0000DB050000}"/>
    <cellStyle name="Normal 17 2 6" xfId="2258" xr:uid="{00000000-0005-0000-0000-0000D2080000}"/>
    <cellStyle name="Normal 17 3" xfId="638" xr:uid="{00000000-0005-0000-0000-00007E020000}"/>
    <cellStyle name="Normal 17 3 2" xfId="1302" xr:uid="{00000000-0005-0000-0000-000016050000}"/>
    <cellStyle name="Normal 17 3 2 2" xfId="1716" xr:uid="{00000000-0005-0000-0000-0000B4060000}"/>
    <cellStyle name="Normal 17 3 2 3" xfId="2949" xr:uid="{00000000-0005-0000-0000-0000850B0000}"/>
    <cellStyle name="Normal 17 3 3" xfId="1530" xr:uid="{00000000-0005-0000-0000-0000FA050000}"/>
    <cellStyle name="Normal 17 3 3 2" xfId="2585" xr:uid="{00000000-0005-0000-0000-0000190A0000}"/>
    <cellStyle name="Normal 17 3 4" xfId="2366" xr:uid="{00000000-0005-0000-0000-00003E090000}"/>
    <cellStyle name="Normal 17 4" xfId="866" xr:uid="{00000000-0005-0000-0000-000062030000}"/>
    <cellStyle name="Normal 17 4 2" xfId="1592" xr:uid="{00000000-0005-0000-0000-000038060000}"/>
    <cellStyle name="Normal 17 4 3" xfId="2733" xr:uid="{00000000-0005-0000-0000-0000AD0A0000}"/>
    <cellStyle name="Normal 17 5" xfId="1084" xr:uid="{00000000-0005-0000-0000-00003C040000}"/>
    <cellStyle name="Normal 17 5 2" xfId="1654" xr:uid="{00000000-0005-0000-0000-000076060000}"/>
    <cellStyle name="Normal 17 5 3" xfId="2522" xr:uid="{00000000-0005-0000-0000-0000DA090000}"/>
    <cellStyle name="Normal 17 6" xfId="1468" xr:uid="{00000000-0005-0000-0000-0000BC050000}"/>
    <cellStyle name="Normal 17 7" xfId="2132" xr:uid="{00000000-0005-0000-0000-000054080000}"/>
    <cellStyle name="Normal 18" xfId="352" xr:uid="{00000000-0005-0000-0000-000060010000}"/>
    <cellStyle name="Normal 18 2" xfId="515" xr:uid="{00000000-0005-0000-0000-000003020000}"/>
    <cellStyle name="Normal 18 2 2" xfId="743" xr:uid="{00000000-0005-0000-0000-0000E7020000}"/>
    <cellStyle name="Normal 18 2 2 2" xfId="1407" xr:uid="{00000000-0005-0000-0000-00007F050000}"/>
    <cellStyle name="Normal 18 2 2 2 2" xfId="1741" xr:uid="{00000000-0005-0000-0000-0000CD060000}"/>
    <cellStyle name="Normal 18 2 2 2 3" xfId="3053" xr:uid="{00000000-0005-0000-0000-0000ED0B0000}"/>
    <cellStyle name="Normal 18 2 2 3" xfId="1555" xr:uid="{00000000-0005-0000-0000-000013060000}"/>
    <cellStyle name="Normal 18 2 2 3 2" xfId="2618" xr:uid="{00000000-0005-0000-0000-00003A0A0000}"/>
    <cellStyle name="Normal 18 2 2 4" xfId="2470" xr:uid="{00000000-0005-0000-0000-0000A6090000}"/>
    <cellStyle name="Normal 18 2 3" xfId="963" xr:uid="{00000000-0005-0000-0000-0000C3030000}"/>
    <cellStyle name="Normal 18 2 3 2" xfId="1617" xr:uid="{00000000-0005-0000-0000-000051060000}"/>
    <cellStyle name="Normal 18 2 3 3" xfId="2829" xr:uid="{00000000-0005-0000-0000-00000D0B0000}"/>
    <cellStyle name="Normal 18 2 4" xfId="1181" xr:uid="{00000000-0005-0000-0000-00009D040000}"/>
    <cellStyle name="Normal 18 2 4 2" xfId="1679" xr:uid="{00000000-0005-0000-0000-00008F060000}"/>
    <cellStyle name="Normal 18 2 4 3" xfId="2547" xr:uid="{00000000-0005-0000-0000-0000F3090000}"/>
    <cellStyle name="Normal 18 2 5" xfId="1493" xr:uid="{00000000-0005-0000-0000-0000D5050000}"/>
    <cellStyle name="Normal 18 2 6" xfId="2243" xr:uid="{00000000-0005-0000-0000-0000C3080000}"/>
    <cellStyle name="Normal 18 3" xfId="627" xr:uid="{00000000-0005-0000-0000-000073020000}"/>
    <cellStyle name="Normal 18 3 2" xfId="1291" xr:uid="{00000000-0005-0000-0000-00000B050000}"/>
    <cellStyle name="Normal 18 3 2 2" xfId="1710" xr:uid="{00000000-0005-0000-0000-0000AE060000}"/>
    <cellStyle name="Normal 18 3 2 3" xfId="2938" xr:uid="{00000000-0005-0000-0000-00007A0B0000}"/>
    <cellStyle name="Normal 18 3 3" xfId="1524" xr:uid="{00000000-0005-0000-0000-0000F4050000}"/>
    <cellStyle name="Normal 18 3 3 2" xfId="2579" xr:uid="{00000000-0005-0000-0000-0000130A0000}"/>
    <cellStyle name="Normal 18 3 4" xfId="2355" xr:uid="{00000000-0005-0000-0000-000033090000}"/>
    <cellStyle name="Normal 18 4" xfId="855" xr:uid="{00000000-0005-0000-0000-000057030000}"/>
    <cellStyle name="Normal 18 4 2" xfId="1586" xr:uid="{00000000-0005-0000-0000-000032060000}"/>
    <cellStyle name="Normal 18 4 3" xfId="2722" xr:uid="{00000000-0005-0000-0000-0000A20A0000}"/>
    <cellStyle name="Normal 18 5" xfId="1073" xr:uid="{00000000-0005-0000-0000-000031040000}"/>
    <cellStyle name="Normal 18 5 2" xfId="1648" xr:uid="{00000000-0005-0000-0000-000070060000}"/>
    <cellStyle name="Normal 18 5 3" xfId="2515" xr:uid="{00000000-0005-0000-0000-0000D3090000}"/>
    <cellStyle name="Normal 18 6" xfId="1462" xr:uid="{00000000-0005-0000-0000-0000B6050000}"/>
    <cellStyle name="Normal 18 7" xfId="2087" xr:uid="{00000000-0005-0000-0000-000027080000}"/>
    <cellStyle name="Normal 19" xfId="404" xr:uid="{00000000-0005-0000-0000-000094010000}"/>
    <cellStyle name="Normal 19 2" xfId="531" xr:uid="{00000000-0005-0000-0000-000013020000}"/>
    <cellStyle name="Normal 19 2 2" xfId="758" xr:uid="{00000000-0005-0000-0000-0000F6020000}"/>
    <cellStyle name="Normal 19 2 2 2" xfId="1422" xr:uid="{00000000-0005-0000-0000-00008E050000}"/>
    <cellStyle name="Normal 19 2 2 2 2" xfId="1748" xr:uid="{00000000-0005-0000-0000-0000D4060000}"/>
    <cellStyle name="Normal 19 2 2 2 3" xfId="3068" xr:uid="{00000000-0005-0000-0000-0000FC0B0000}"/>
    <cellStyle name="Normal 19 2 2 3" xfId="1562" xr:uid="{00000000-0005-0000-0000-00001A060000}"/>
    <cellStyle name="Normal 19 2 2 3 2" xfId="2627" xr:uid="{00000000-0005-0000-0000-0000430A0000}"/>
    <cellStyle name="Normal 19 2 2 4" xfId="2485" xr:uid="{00000000-0005-0000-0000-0000B5090000}"/>
    <cellStyle name="Normal 19 2 3" xfId="976" xr:uid="{00000000-0005-0000-0000-0000D0030000}"/>
    <cellStyle name="Normal 19 2 3 2" xfId="1624" xr:uid="{00000000-0005-0000-0000-000058060000}"/>
    <cellStyle name="Normal 19 2 3 3" xfId="2842" xr:uid="{00000000-0005-0000-0000-00001A0B0000}"/>
    <cellStyle name="Normal 19 2 4" xfId="1194" xr:uid="{00000000-0005-0000-0000-0000AA040000}"/>
    <cellStyle name="Normal 19 2 4 2" xfId="1686" xr:uid="{00000000-0005-0000-0000-000096060000}"/>
    <cellStyle name="Normal 19 2 4 3" xfId="2554" xr:uid="{00000000-0005-0000-0000-0000FA090000}"/>
    <cellStyle name="Normal 19 2 5" xfId="1500" xr:uid="{00000000-0005-0000-0000-0000DC050000}"/>
    <cellStyle name="Normal 19 2 6" xfId="2259" xr:uid="{00000000-0005-0000-0000-0000D3080000}"/>
    <cellStyle name="Normal 19 3" xfId="639" xr:uid="{00000000-0005-0000-0000-00007F020000}"/>
    <cellStyle name="Normal 19 3 2" xfId="1303" xr:uid="{00000000-0005-0000-0000-000017050000}"/>
    <cellStyle name="Normal 19 3 2 2" xfId="1717" xr:uid="{00000000-0005-0000-0000-0000B5060000}"/>
    <cellStyle name="Normal 19 3 2 3" xfId="2950" xr:uid="{00000000-0005-0000-0000-0000860B0000}"/>
    <cellStyle name="Normal 19 3 3" xfId="1531" xr:uid="{00000000-0005-0000-0000-0000FB050000}"/>
    <cellStyle name="Normal 19 3 3 2" xfId="2586" xr:uid="{00000000-0005-0000-0000-00001A0A0000}"/>
    <cellStyle name="Normal 19 3 4" xfId="2367" xr:uid="{00000000-0005-0000-0000-00003F090000}"/>
    <cellStyle name="Normal 19 4" xfId="867" xr:uid="{00000000-0005-0000-0000-000063030000}"/>
    <cellStyle name="Normal 19 4 2" xfId="1593" xr:uid="{00000000-0005-0000-0000-000039060000}"/>
    <cellStyle name="Normal 19 4 3" xfId="2734" xr:uid="{00000000-0005-0000-0000-0000AE0A0000}"/>
    <cellStyle name="Normal 19 5" xfId="1085" xr:uid="{00000000-0005-0000-0000-00003D040000}"/>
    <cellStyle name="Normal 19 5 2" xfId="1655" xr:uid="{00000000-0005-0000-0000-000077060000}"/>
    <cellStyle name="Normal 19 5 3" xfId="2523" xr:uid="{00000000-0005-0000-0000-0000DB090000}"/>
    <cellStyle name="Normal 19 6" xfId="1469" xr:uid="{00000000-0005-0000-0000-0000BD050000}"/>
    <cellStyle name="Normal 19 7" xfId="2133" xr:uid="{00000000-0005-0000-0000-000055080000}"/>
    <cellStyle name="Normal 2" xfId="99" xr:uid="{00000000-0005-0000-0000-000063000000}"/>
    <cellStyle name="Normal 2 2" xfId="100" xr:uid="{00000000-0005-0000-0000-000064000000}"/>
    <cellStyle name="Normal 2 2 2" xfId="173" xr:uid="{00000000-0005-0000-0000-0000AD000000}"/>
    <cellStyle name="Normal 2 2 2 2" xfId="301" xr:uid="{00000000-0005-0000-0000-00002D010000}"/>
    <cellStyle name="Normal 2 2 3" xfId="302" xr:uid="{00000000-0005-0000-0000-00002E010000}"/>
    <cellStyle name="Normal 2 2 4" xfId="137" xr:uid="{00000000-0005-0000-0000-000089000000}"/>
    <cellStyle name="Normal 2 3" xfId="138" xr:uid="{00000000-0005-0000-0000-00008A000000}"/>
    <cellStyle name="Normal 2 3 2" xfId="303" xr:uid="{00000000-0005-0000-0000-00002F010000}"/>
    <cellStyle name="Normal 2 3 3" xfId="304" xr:uid="{00000000-0005-0000-0000-000030010000}"/>
    <cellStyle name="Normal 2 4" xfId="305" xr:uid="{00000000-0005-0000-0000-000031010000}"/>
    <cellStyle name="Normal 2 5" xfId="353" xr:uid="{00000000-0005-0000-0000-000061010000}"/>
    <cellStyle name="Normal 2 6" xfId="1883" xr:uid="{00000000-0005-0000-0000-00005B070000}"/>
    <cellStyle name="Normal 2 7" xfId="1756" xr:uid="{00000000-0005-0000-0000-0000DC060000}"/>
    <cellStyle name="Normal 2_A4-1" xfId="396" xr:uid="{00000000-0005-0000-0000-00008C010000}"/>
    <cellStyle name="Normal 20" xfId="1424" xr:uid="{00000000-0005-0000-0000-000090050000}"/>
    <cellStyle name="Normal 20 2" xfId="1749" xr:uid="{00000000-0005-0000-0000-0000D5060000}"/>
    <cellStyle name="Normal 20 2 2" xfId="2555" xr:uid="{00000000-0005-0000-0000-0000FB090000}"/>
    <cellStyle name="Normal 20 3" xfId="2488" xr:uid="{00000000-0005-0000-0000-0000B8090000}"/>
    <cellStyle name="Normal 21" xfId="1432" xr:uid="{00000000-0005-0000-0000-000098050000}"/>
    <cellStyle name="Normal 21 2" xfId="1752" xr:uid="{00000000-0005-0000-0000-0000D8060000}"/>
    <cellStyle name="Normal 21 3" xfId="3070" xr:uid="{00000000-0005-0000-0000-0000FE0B0000}"/>
    <cellStyle name="Normal 22" xfId="3071" xr:uid="{00000000-0005-0000-0000-0000FF0B0000}"/>
    <cellStyle name="Normal 23" xfId="3072" xr:uid="{00000000-0005-0000-0000-0000000C0000}"/>
    <cellStyle name="Normal 24" xfId="3073" xr:uid="{00000000-0005-0000-0000-0000010C0000}"/>
    <cellStyle name="Normal 25" xfId="3074" xr:uid="{00000000-0005-0000-0000-0000020C0000}"/>
    <cellStyle name="Normal 26" xfId="3075" xr:uid="{00000000-0005-0000-0000-0000030C0000}"/>
    <cellStyle name="Normal 27" xfId="3076" xr:uid="{00000000-0005-0000-0000-0000040C0000}"/>
    <cellStyle name="Normal 28" xfId="3077" xr:uid="{00000000-0005-0000-0000-0000050C0000}"/>
    <cellStyle name="Normal 29" xfId="3078" xr:uid="{00000000-0005-0000-0000-0000060C0000}"/>
    <cellStyle name="Normal 3" xfId="101" xr:uid="{00000000-0005-0000-0000-000065000000}"/>
    <cellStyle name="Normal 3 10" xfId="141" xr:uid="{00000000-0005-0000-0000-00008D000000}"/>
    <cellStyle name="Normal 3 11" xfId="142" xr:uid="{00000000-0005-0000-0000-00008E000000}"/>
    <cellStyle name="Normal 3 12" xfId="143" xr:uid="{00000000-0005-0000-0000-00008F000000}"/>
    <cellStyle name="Normal 3 13" xfId="144" xr:uid="{00000000-0005-0000-0000-000090000000}"/>
    <cellStyle name="Normal 3 14" xfId="145" xr:uid="{00000000-0005-0000-0000-000091000000}"/>
    <cellStyle name="Normal 3 15" xfId="146" xr:uid="{00000000-0005-0000-0000-000092000000}"/>
    <cellStyle name="Normal 3 16" xfId="147" xr:uid="{00000000-0005-0000-0000-000093000000}"/>
    <cellStyle name="Normal 3 17" xfId="148" xr:uid="{00000000-0005-0000-0000-000094000000}"/>
    <cellStyle name="Normal 3 18" xfId="149" xr:uid="{00000000-0005-0000-0000-000095000000}"/>
    <cellStyle name="Normal 3 19" xfId="150" xr:uid="{00000000-0005-0000-0000-000096000000}"/>
    <cellStyle name="Normal 3 2" xfId="102" xr:uid="{00000000-0005-0000-0000-000066000000}"/>
    <cellStyle name="Normal 3 2 2" xfId="151" xr:uid="{00000000-0005-0000-0000-000097000000}"/>
    <cellStyle name="Normal 3 2 3" xfId="418" xr:uid="{00000000-0005-0000-0000-0000A2010000}"/>
    <cellStyle name="Normal 3 2 3 2" xfId="653" xr:uid="{00000000-0005-0000-0000-00008D020000}"/>
    <cellStyle name="Normal 3 2 3 2 2" xfId="1317" xr:uid="{00000000-0005-0000-0000-000025050000}"/>
    <cellStyle name="Normal 3 2 3 2 2 2" xfId="1719" xr:uid="{00000000-0005-0000-0000-0000B7060000}"/>
    <cellStyle name="Normal 3 2 3 2 2 3" xfId="2964" xr:uid="{00000000-0005-0000-0000-0000940B0000}"/>
    <cellStyle name="Normal 3 2 3 2 3" xfId="1533" xr:uid="{00000000-0005-0000-0000-0000FD050000}"/>
    <cellStyle name="Normal 3 2 3 2 3 2" xfId="2594" xr:uid="{00000000-0005-0000-0000-0000220A0000}"/>
    <cellStyle name="Normal 3 2 3 2 4" xfId="2381" xr:uid="{00000000-0005-0000-0000-00004D090000}"/>
    <cellStyle name="Normal 3 2 3 3" xfId="875" xr:uid="{00000000-0005-0000-0000-00006B030000}"/>
    <cellStyle name="Normal 3 2 3 3 2" xfId="1595" xr:uid="{00000000-0005-0000-0000-00003B060000}"/>
    <cellStyle name="Normal 3 2 3 3 3" xfId="2742" xr:uid="{00000000-0005-0000-0000-0000B60A0000}"/>
    <cellStyle name="Normal 3 2 3 4" xfId="1093" xr:uid="{00000000-0005-0000-0000-000045040000}"/>
    <cellStyle name="Normal 3 2 3 4 2" xfId="1657" xr:uid="{00000000-0005-0000-0000-000079060000}"/>
    <cellStyle name="Normal 3 2 3 4 3" xfId="2525" xr:uid="{00000000-0005-0000-0000-0000DD090000}"/>
    <cellStyle name="Normal 3 2 3 5" xfId="1471" xr:uid="{00000000-0005-0000-0000-0000BF050000}"/>
    <cellStyle name="Normal 3 2 3 6" xfId="2147" xr:uid="{00000000-0005-0000-0000-000063080000}"/>
    <cellStyle name="Normal 3 2 4" xfId="539" xr:uid="{00000000-0005-0000-0000-00001B020000}"/>
    <cellStyle name="Normal 3 2 4 2" xfId="1203" xr:uid="{00000000-0005-0000-0000-0000B3040000}"/>
    <cellStyle name="Normal 3 2 4 2 2" xfId="1688" xr:uid="{00000000-0005-0000-0000-000098060000}"/>
    <cellStyle name="Normal 3 2 4 2 3" xfId="2851" xr:uid="{00000000-0005-0000-0000-0000230B0000}"/>
    <cellStyle name="Normal 3 2 4 3" xfId="1502" xr:uid="{00000000-0005-0000-0000-0000DE050000}"/>
    <cellStyle name="Normal 3 2 4 3 2" xfId="2557" xr:uid="{00000000-0005-0000-0000-0000FD090000}"/>
    <cellStyle name="Normal 3 2 4 4" xfId="2268" xr:uid="{00000000-0005-0000-0000-0000DC080000}"/>
    <cellStyle name="Normal 3 2 5" xfId="767" xr:uid="{00000000-0005-0000-0000-0000FF020000}"/>
    <cellStyle name="Normal 3 2 5 2" xfId="1564" xr:uid="{00000000-0005-0000-0000-00001C060000}"/>
    <cellStyle name="Normal 3 2 5 3" xfId="2635" xr:uid="{00000000-0005-0000-0000-00004B0A0000}"/>
    <cellStyle name="Normal 3 2 6" xfId="985" xr:uid="{00000000-0005-0000-0000-0000D9030000}"/>
    <cellStyle name="Normal 3 2 6 2" xfId="1626" xr:uid="{00000000-0005-0000-0000-00005A060000}"/>
    <cellStyle name="Normal 3 2 6 3" xfId="2493" xr:uid="{00000000-0005-0000-0000-0000BD090000}"/>
    <cellStyle name="Normal 3 2 7" xfId="1440" xr:uid="{00000000-0005-0000-0000-0000A0050000}"/>
    <cellStyle name="Normal 3 2 8" xfId="1885" xr:uid="{00000000-0005-0000-0000-00005D070000}"/>
    <cellStyle name="Normal 3 20" xfId="152" xr:uid="{00000000-0005-0000-0000-000098000000}"/>
    <cellStyle name="Normal 3 21" xfId="153" xr:uid="{00000000-0005-0000-0000-000099000000}"/>
    <cellStyle name="Normal 3 22" xfId="154" xr:uid="{00000000-0005-0000-0000-00009A000000}"/>
    <cellStyle name="Normal 3 23" xfId="155" xr:uid="{00000000-0005-0000-0000-00009B000000}"/>
    <cellStyle name="Normal 3 24" xfId="156" xr:uid="{00000000-0005-0000-0000-00009C000000}"/>
    <cellStyle name="Normal 3 25" xfId="157" xr:uid="{00000000-0005-0000-0000-00009D000000}"/>
    <cellStyle name="Normal 3 26" xfId="140" xr:uid="{00000000-0005-0000-0000-00008C000000}"/>
    <cellStyle name="Normal 3 27" xfId="306" xr:uid="{00000000-0005-0000-0000-000032010000}"/>
    <cellStyle name="Normal 3 27 2" xfId="307" xr:uid="{00000000-0005-0000-0000-000033010000}"/>
    <cellStyle name="Normal 3 27 3" xfId="502" xr:uid="{00000000-0005-0000-0000-0000F6010000}"/>
    <cellStyle name="Normal 3 27 3 2" xfId="731" xr:uid="{00000000-0005-0000-0000-0000DB020000}"/>
    <cellStyle name="Normal 3 27 3 2 2" xfId="1395" xr:uid="{00000000-0005-0000-0000-000073050000}"/>
    <cellStyle name="Normal 3 27 3 2 2 2" xfId="1729" xr:uid="{00000000-0005-0000-0000-0000C1060000}"/>
    <cellStyle name="Normal 3 27 3 2 2 3" xfId="3041" xr:uid="{00000000-0005-0000-0000-0000E10B0000}"/>
    <cellStyle name="Normal 3 27 3 2 3" xfId="1543" xr:uid="{00000000-0005-0000-0000-000007060000}"/>
    <cellStyle name="Normal 3 27 3 2 3 2" xfId="2606" xr:uid="{00000000-0005-0000-0000-00002E0A0000}"/>
    <cellStyle name="Normal 3 27 3 2 4" xfId="2458" xr:uid="{00000000-0005-0000-0000-00009A090000}"/>
    <cellStyle name="Normal 3 27 3 3" xfId="951" xr:uid="{00000000-0005-0000-0000-0000B7030000}"/>
    <cellStyle name="Normal 3 27 3 3 2" xfId="1605" xr:uid="{00000000-0005-0000-0000-000045060000}"/>
    <cellStyle name="Normal 3 27 3 3 3" xfId="2817" xr:uid="{00000000-0005-0000-0000-0000010B0000}"/>
    <cellStyle name="Normal 3 27 3 4" xfId="1169" xr:uid="{00000000-0005-0000-0000-000091040000}"/>
    <cellStyle name="Normal 3 27 3 4 2" xfId="1667" xr:uid="{00000000-0005-0000-0000-000083060000}"/>
    <cellStyle name="Normal 3 27 3 4 3" xfId="2535" xr:uid="{00000000-0005-0000-0000-0000E7090000}"/>
    <cellStyle name="Normal 3 27 3 5" xfId="1481" xr:uid="{00000000-0005-0000-0000-0000C9050000}"/>
    <cellStyle name="Normal 3 27 3 6" xfId="2230" xr:uid="{00000000-0005-0000-0000-0000B6080000}"/>
    <cellStyle name="Normal 3 27 4" xfId="615" xr:uid="{00000000-0005-0000-0000-000067020000}"/>
    <cellStyle name="Normal 3 27 4 2" xfId="1279" xr:uid="{00000000-0005-0000-0000-0000FF040000}"/>
    <cellStyle name="Normal 3 27 4 2 2" xfId="1698" xr:uid="{00000000-0005-0000-0000-0000A2060000}"/>
    <cellStyle name="Normal 3 27 4 2 3" xfId="2926" xr:uid="{00000000-0005-0000-0000-00006E0B0000}"/>
    <cellStyle name="Normal 3 27 4 3" xfId="1512" xr:uid="{00000000-0005-0000-0000-0000E8050000}"/>
    <cellStyle name="Normal 3 27 4 3 2" xfId="2567" xr:uid="{00000000-0005-0000-0000-0000070A0000}"/>
    <cellStyle name="Normal 3 27 4 4" xfId="2343" xr:uid="{00000000-0005-0000-0000-000027090000}"/>
    <cellStyle name="Normal 3 27 5" xfId="843" xr:uid="{00000000-0005-0000-0000-00004B030000}"/>
    <cellStyle name="Normal 3 27 5 2" xfId="1574" xr:uid="{00000000-0005-0000-0000-000026060000}"/>
    <cellStyle name="Normal 3 27 5 3" xfId="2710" xr:uid="{00000000-0005-0000-0000-0000960A0000}"/>
    <cellStyle name="Normal 3 27 6" xfId="1061" xr:uid="{00000000-0005-0000-0000-000025040000}"/>
    <cellStyle name="Normal 3 27 6 2" xfId="1636" xr:uid="{00000000-0005-0000-0000-000064060000}"/>
    <cellStyle name="Normal 3 27 6 3" xfId="2503" xr:uid="{00000000-0005-0000-0000-0000C7090000}"/>
    <cellStyle name="Normal 3 27 7" xfId="1450" xr:uid="{00000000-0005-0000-0000-0000AA050000}"/>
    <cellStyle name="Normal 3 27 8" xfId="2048" xr:uid="{00000000-0005-0000-0000-000000080000}"/>
    <cellStyle name="Normal 3 28" xfId="136" xr:uid="{00000000-0005-0000-0000-000088000000}"/>
    <cellStyle name="Normal 3 28 2" xfId="430" xr:uid="{00000000-0005-0000-0000-0000AE010000}"/>
    <cellStyle name="Normal 3 28 2 2" xfId="659" xr:uid="{00000000-0005-0000-0000-000093020000}"/>
    <cellStyle name="Normal 3 28 2 2 2" xfId="1323" xr:uid="{00000000-0005-0000-0000-00002B050000}"/>
    <cellStyle name="Normal 3 28 2 2 2 2" xfId="1725" xr:uid="{00000000-0005-0000-0000-0000BD060000}"/>
    <cellStyle name="Normal 3 28 2 2 2 3" xfId="2970" xr:uid="{00000000-0005-0000-0000-00009A0B0000}"/>
    <cellStyle name="Normal 3 28 2 2 3" xfId="1539" xr:uid="{00000000-0005-0000-0000-000003060000}"/>
    <cellStyle name="Normal 3 28 2 2 3 2" xfId="2600" xr:uid="{00000000-0005-0000-0000-0000280A0000}"/>
    <cellStyle name="Normal 3 28 2 2 4" xfId="2387" xr:uid="{00000000-0005-0000-0000-000053090000}"/>
    <cellStyle name="Normal 3 28 2 3" xfId="881" xr:uid="{00000000-0005-0000-0000-000071030000}"/>
    <cellStyle name="Normal 3 28 2 3 2" xfId="1601" xr:uid="{00000000-0005-0000-0000-000041060000}"/>
    <cellStyle name="Normal 3 28 2 3 3" xfId="2748" xr:uid="{00000000-0005-0000-0000-0000BC0A0000}"/>
    <cellStyle name="Normal 3 28 2 4" xfId="1099" xr:uid="{00000000-0005-0000-0000-00004B040000}"/>
    <cellStyle name="Normal 3 28 2 4 2" xfId="1663" xr:uid="{00000000-0005-0000-0000-00007F060000}"/>
    <cellStyle name="Normal 3 28 2 4 3" xfId="2531" xr:uid="{00000000-0005-0000-0000-0000E3090000}"/>
    <cellStyle name="Normal 3 28 2 5" xfId="1477" xr:uid="{00000000-0005-0000-0000-0000C5050000}"/>
    <cellStyle name="Normal 3 28 2 6" xfId="2159" xr:uid="{00000000-0005-0000-0000-00006F080000}"/>
    <cellStyle name="Normal 3 28 3" xfId="545" xr:uid="{00000000-0005-0000-0000-000021020000}"/>
    <cellStyle name="Normal 3 28 3 2" xfId="1209" xr:uid="{00000000-0005-0000-0000-0000B9040000}"/>
    <cellStyle name="Normal 3 28 3 2 2" xfId="1694" xr:uid="{00000000-0005-0000-0000-00009E060000}"/>
    <cellStyle name="Normal 3 28 3 2 3" xfId="2857" xr:uid="{00000000-0005-0000-0000-0000290B0000}"/>
    <cellStyle name="Normal 3 28 3 3" xfId="1508" xr:uid="{00000000-0005-0000-0000-0000E4050000}"/>
    <cellStyle name="Normal 3 28 3 3 2" xfId="2563" xr:uid="{00000000-0005-0000-0000-0000030A0000}"/>
    <cellStyle name="Normal 3 28 3 4" xfId="2274" xr:uid="{00000000-0005-0000-0000-0000E2080000}"/>
    <cellStyle name="Normal 3 28 4" xfId="773" xr:uid="{00000000-0005-0000-0000-000005030000}"/>
    <cellStyle name="Normal 3 28 4 2" xfId="1570" xr:uid="{00000000-0005-0000-0000-000022060000}"/>
    <cellStyle name="Normal 3 28 4 3" xfId="2641" xr:uid="{00000000-0005-0000-0000-0000510A0000}"/>
    <cellStyle name="Normal 3 28 5" xfId="991" xr:uid="{00000000-0005-0000-0000-0000DF030000}"/>
    <cellStyle name="Normal 3 28 5 2" xfId="1632" xr:uid="{00000000-0005-0000-0000-000060060000}"/>
    <cellStyle name="Normal 3 28 5 3" xfId="2499" xr:uid="{00000000-0005-0000-0000-0000C3090000}"/>
    <cellStyle name="Normal 3 28 6" xfId="1446" xr:uid="{00000000-0005-0000-0000-0000A6050000}"/>
    <cellStyle name="Normal 3 28 7" xfId="1917" xr:uid="{00000000-0005-0000-0000-00007D070000}"/>
    <cellStyle name="Normal 3 29" xfId="417" xr:uid="{00000000-0005-0000-0000-0000A1010000}"/>
    <cellStyle name="Normal 3 29 2" xfId="652" xr:uid="{00000000-0005-0000-0000-00008C020000}"/>
    <cellStyle name="Normal 3 29 2 2" xfId="1316" xr:uid="{00000000-0005-0000-0000-000024050000}"/>
    <cellStyle name="Normal 3 29 2 2 2" xfId="1718" xr:uid="{00000000-0005-0000-0000-0000B6060000}"/>
    <cellStyle name="Normal 3 29 2 2 3" xfId="2963" xr:uid="{00000000-0005-0000-0000-0000930B0000}"/>
    <cellStyle name="Normal 3 29 2 3" xfId="1532" xr:uid="{00000000-0005-0000-0000-0000FC050000}"/>
    <cellStyle name="Normal 3 29 2 3 2" xfId="2593" xr:uid="{00000000-0005-0000-0000-0000210A0000}"/>
    <cellStyle name="Normal 3 29 2 4" xfId="2380" xr:uid="{00000000-0005-0000-0000-00004C090000}"/>
    <cellStyle name="Normal 3 29 3" xfId="874" xr:uid="{00000000-0005-0000-0000-00006A030000}"/>
    <cellStyle name="Normal 3 29 3 2" xfId="1594" xr:uid="{00000000-0005-0000-0000-00003A060000}"/>
    <cellStyle name="Normal 3 29 3 3" xfId="2741" xr:uid="{00000000-0005-0000-0000-0000B50A0000}"/>
    <cellStyle name="Normal 3 29 4" xfId="1092" xr:uid="{00000000-0005-0000-0000-000044040000}"/>
    <cellStyle name="Normal 3 29 4 2" xfId="1656" xr:uid="{00000000-0005-0000-0000-000078060000}"/>
    <cellStyle name="Normal 3 29 4 3" xfId="2524" xr:uid="{00000000-0005-0000-0000-0000DC090000}"/>
    <cellStyle name="Normal 3 29 5" xfId="1470" xr:uid="{00000000-0005-0000-0000-0000BE050000}"/>
    <cellStyle name="Normal 3 29 6" xfId="2146" xr:uid="{00000000-0005-0000-0000-000062080000}"/>
    <cellStyle name="Normal 3 3" xfId="158" xr:uid="{00000000-0005-0000-0000-00009E000000}"/>
    <cellStyle name="Normal 3 30" xfId="538" xr:uid="{00000000-0005-0000-0000-00001A020000}"/>
    <cellStyle name="Normal 3 30 2" xfId="1202" xr:uid="{00000000-0005-0000-0000-0000B2040000}"/>
    <cellStyle name="Normal 3 30 2 2" xfId="1687" xr:uid="{00000000-0005-0000-0000-000097060000}"/>
    <cellStyle name="Normal 3 30 2 3" xfId="2850" xr:uid="{00000000-0005-0000-0000-0000220B0000}"/>
    <cellStyle name="Normal 3 30 3" xfId="1501" xr:uid="{00000000-0005-0000-0000-0000DD050000}"/>
    <cellStyle name="Normal 3 30 3 2" xfId="2556" xr:uid="{00000000-0005-0000-0000-0000FC090000}"/>
    <cellStyle name="Normal 3 30 4" xfId="2267" xr:uid="{00000000-0005-0000-0000-0000DB080000}"/>
    <cellStyle name="Normal 3 31" xfId="766" xr:uid="{00000000-0005-0000-0000-0000FE020000}"/>
    <cellStyle name="Normal 3 31 2" xfId="1563" xr:uid="{00000000-0005-0000-0000-00001B060000}"/>
    <cellStyle name="Normal 3 31 3" xfId="2634" xr:uid="{00000000-0005-0000-0000-00004A0A0000}"/>
    <cellStyle name="Normal 3 32" xfId="984" xr:uid="{00000000-0005-0000-0000-0000D8030000}"/>
    <cellStyle name="Normal 3 32 2" xfId="1625" xr:uid="{00000000-0005-0000-0000-000059060000}"/>
    <cellStyle name="Normal 3 32 3" xfId="2492" xr:uid="{00000000-0005-0000-0000-0000BC090000}"/>
    <cellStyle name="Normal 3 33" xfId="1439" xr:uid="{00000000-0005-0000-0000-00009F050000}"/>
    <cellStyle name="Normal 3 34" xfId="1884" xr:uid="{00000000-0005-0000-0000-00005C070000}"/>
    <cellStyle name="Normal 3 4" xfId="159" xr:uid="{00000000-0005-0000-0000-00009F000000}"/>
    <cellStyle name="Normal 3 5" xfId="160" xr:uid="{00000000-0005-0000-0000-0000A0000000}"/>
    <cellStyle name="Normal 3 6" xfId="161" xr:uid="{00000000-0005-0000-0000-0000A1000000}"/>
    <cellStyle name="Normal 3 7" xfId="162" xr:uid="{00000000-0005-0000-0000-0000A2000000}"/>
    <cellStyle name="Normal 3 8" xfId="163" xr:uid="{00000000-0005-0000-0000-0000A3000000}"/>
    <cellStyle name="Normal 3 9" xfId="164" xr:uid="{00000000-0005-0000-0000-0000A4000000}"/>
    <cellStyle name="Normal 30" xfId="3079" xr:uid="{00000000-0005-0000-0000-0000070C0000}"/>
    <cellStyle name="Normal 31" xfId="3080" xr:uid="{00000000-0005-0000-0000-0000080C0000}"/>
    <cellStyle name="Normal 32" xfId="3081" xr:uid="{00000000-0005-0000-0000-0000090C0000}"/>
    <cellStyle name="Normal 33" xfId="3082" xr:uid="{00000000-0005-0000-0000-00000A0C0000}"/>
    <cellStyle name="Normal 34" xfId="3083" xr:uid="{00000000-0005-0000-0000-00000B0C0000}"/>
    <cellStyle name="Normal 35" xfId="3084" xr:uid="{00000000-0005-0000-0000-00000C0C0000}"/>
    <cellStyle name="Normal 36" xfId="3085" xr:uid="{00000000-0005-0000-0000-00000D0C0000}"/>
    <cellStyle name="Normal 37" xfId="3086" xr:uid="{00000000-0005-0000-0000-00000E0C0000}"/>
    <cellStyle name="Normal 38" xfId="3087" xr:uid="{00000000-0005-0000-0000-00000F0C0000}"/>
    <cellStyle name="Normal 39" xfId="3088" xr:uid="{00000000-0005-0000-0000-0000100C0000}"/>
    <cellStyle name="Normal 4" xfId="103" xr:uid="{00000000-0005-0000-0000-000067000000}"/>
    <cellStyle name="Normal 4 10" xfId="1441" xr:uid="{00000000-0005-0000-0000-0000A1050000}"/>
    <cellStyle name="Normal 4 11" xfId="1886" xr:uid="{00000000-0005-0000-0000-00005E070000}"/>
    <cellStyle name="Normal 4 2" xfId="104" xr:uid="{00000000-0005-0000-0000-000068000000}"/>
    <cellStyle name="Normal 4 2 2" xfId="308" xr:uid="{00000000-0005-0000-0000-000034010000}"/>
    <cellStyle name="Normal 4 2 3" xfId="420" xr:uid="{00000000-0005-0000-0000-0000A4010000}"/>
    <cellStyle name="Normal 4 2 3 2" xfId="655" xr:uid="{00000000-0005-0000-0000-00008F020000}"/>
    <cellStyle name="Normal 4 2 3 2 2" xfId="1319" xr:uid="{00000000-0005-0000-0000-000027050000}"/>
    <cellStyle name="Normal 4 2 3 2 2 2" xfId="1721" xr:uid="{00000000-0005-0000-0000-0000B9060000}"/>
    <cellStyle name="Normal 4 2 3 2 2 3" xfId="2966" xr:uid="{00000000-0005-0000-0000-0000960B0000}"/>
    <cellStyle name="Normal 4 2 3 2 3" xfId="1535" xr:uid="{00000000-0005-0000-0000-0000FF050000}"/>
    <cellStyle name="Normal 4 2 3 2 3 2" xfId="2596" xr:uid="{00000000-0005-0000-0000-0000240A0000}"/>
    <cellStyle name="Normal 4 2 3 2 4" xfId="2383" xr:uid="{00000000-0005-0000-0000-00004F090000}"/>
    <cellStyle name="Normal 4 2 3 3" xfId="877" xr:uid="{00000000-0005-0000-0000-00006D030000}"/>
    <cellStyle name="Normal 4 2 3 3 2" xfId="1597" xr:uid="{00000000-0005-0000-0000-00003D060000}"/>
    <cellStyle name="Normal 4 2 3 3 3" xfId="2744" xr:uid="{00000000-0005-0000-0000-0000B80A0000}"/>
    <cellStyle name="Normal 4 2 3 4" xfId="1095" xr:uid="{00000000-0005-0000-0000-000047040000}"/>
    <cellStyle name="Normal 4 2 3 4 2" xfId="1659" xr:uid="{00000000-0005-0000-0000-00007B060000}"/>
    <cellStyle name="Normal 4 2 3 4 3" xfId="2527" xr:uid="{00000000-0005-0000-0000-0000DF090000}"/>
    <cellStyle name="Normal 4 2 3 5" xfId="1473" xr:uid="{00000000-0005-0000-0000-0000C1050000}"/>
    <cellStyle name="Normal 4 2 3 6" xfId="2149" xr:uid="{00000000-0005-0000-0000-000065080000}"/>
    <cellStyle name="Normal 4 2 4" xfId="541" xr:uid="{00000000-0005-0000-0000-00001D020000}"/>
    <cellStyle name="Normal 4 2 4 2" xfId="1205" xr:uid="{00000000-0005-0000-0000-0000B5040000}"/>
    <cellStyle name="Normal 4 2 4 2 2" xfId="1690" xr:uid="{00000000-0005-0000-0000-00009A060000}"/>
    <cellStyle name="Normal 4 2 4 2 3" xfId="2853" xr:uid="{00000000-0005-0000-0000-0000250B0000}"/>
    <cellStyle name="Normal 4 2 4 3" xfId="1504" xr:uid="{00000000-0005-0000-0000-0000E0050000}"/>
    <cellStyle name="Normal 4 2 4 3 2" xfId="2559" xr:uid="{00000000-0005-0000-0000-0000FF090000}"/>
    <cellStyle name="Normal 4 2 4 4" xfId="2270" xr:uid="{00000000-0005-0000-0000-0000DE080000}"/>
    <cellStyle name="Normal 4 2 5" xfId="769" xr:uid="{00000000-0005-0000-0000-000001030000}"/>
    <cellStyle name="Normal 4 2 5 2" xfId="1566" xr:uid="{00000000-0005-0000-0000-00001E060000}"/>
    <cellStyle name="Normal 4 2 5 3" xfId="2637" xr:uid="{00000000-0005-0000-0000-00004D0A0000}"/>
    <cellStyle name="Normal 4 2 6" xfId="987" xr:uid="{00000000-0005-0000-0000-0000DB030000}"/>
    <cellStyle name="Normal 4 2 6 2" xfId="1628" xr:uid="{00000000-0005-0000-0000-00005C060000}"/>
    <cellStyle name="Normal 4 2 6 3" xfId="2495" xr:uid="{00000000-0005-0000-0000-0000BF090000}"/>
    <cellStyle name="Normal 4 2 7" xfId="1442" xr:uid="{00000000-0005-0000-0000-0000A2050000}"/>
    <cellStyle name="Normal 4 2 8" xfId="1887" xr:uid="{00000000-0005-0000-0000-00005F070000}"/>
    <cellStyle name="Normal 4 3" xfId="309" xr:uid="{00000000-0005-0000-0000-000035010000}"/>
    <cellStyle name="Normal 4 4" xfId="390" xr:uid="{00000000-0005-0000-0000-000086010000}"/>
    <cellStyle name="Normal 4 4 2" xfId="522" xr:uid="{00000000-0005-0000-0000-00000A020000}"/>
    <cellStyle name="Normal 4 4 2 2" xfId="749" xr:uid="{00000000-0005-0000-0000-0000ED020000}"/>
    <cellStyle name="Normal 4 4 2 2 2" xfId="1413" xr:uid="{00000000-0005-0000-0000-000085050000}"/>
    <cellStyle name="Normal 4 4 2 2 2 2" xfId="1742" xr:uid="{00000000-0005-0000-0000-0000CE060000}"/>
    <cellStyle name="Normal 4 4 2 2 2 3" xfId="3059" xr:uid="{00000000-0005-0000-0000-0000F30B0000}"/>
    <cellStyle name="Normal 4 4 2 2 3" xfId="1556" xr:uid="{00000000-0005-0000-0000-000014060000}"/>
    <cellStyle name="Normal 4 4 2 2 3 2" xfId="2621" xr:uid="{00000000-0005-0000-0000-00003D0A0000}"/>
    <cellStyle name="Normal 4 4 2 2 4" xfId="2476" xr:uid="{00000000-0005-0000-0000-0000AC090000}"/>
    <cellStyle name="Normal 4 4 2 3" xfId="967" xr:uid="{00000000-0005-0000-0000-0000C7030000}"/>
    <cellStyle name="Normal 4 4 2 3 2" xfId="1618" xr:uid="{00000000-0005-0000-0000-000052060000}"/>
    <cellStyle name="Normal 4 4 2 3 3" xfId="2833" xr:uid="{00000000-0005-0000-0000-0000110B0000}"/>
    <cellStyle name="Normal 4 4 2 4" xfId="1185" xr:uid="{00000000-0005-0000-0000-0000A1040000}"/>
    <cellStyle name="Normal 4 4 2 4 2" xfId="1680" xr:uid="{00000000-0005-0000-0000-000090060000}"/>
    <cellStyle name="Normal 4 4 2 4 3" xfId="2548" xr:uid="{00000000-0005-0000-0000-0000F4090000}"/>
    <cellStyle name="Normal 4 4 2 5" xfId="1494" xr:uid="{00000000-0005-0000-0000-0000D6050000}"/>
    <cellStyle name="Normal 4 4 2 6" xfId="2250" xr:uid="{00000000-0005-0000-0000-0000CA080000}"/>
    <cellStyle name="Normal 4 4 3" xfId="631" xr:uid="{00000000-0005-0000-0000-000077020000}"/>
    <cellStyle name="Normal 4 4 3 2" xfId="1295" xr:uid="{00000000-0005-0000-0000-00000F050000}"/>
    <cellStyle name="Normal 4 4 3 2 2" xfId="1711" xr:uid="{00000000-0005-0000-0000-0000AF060000}"/>
    <cellStyle name="Normal 4 4 3 2 3" xfId="2942" xr:uid="{00000000-0005-0000-0000-00007E0B0000}"/>
    <cellStyle name="Normal 4 4 3 3" xfId="1525" xr:uid="{00000000-0005-0000-0000-0000F5050000}"/>
    <cellStyle name="Normal 4 4 3 3 2" xfId="2580" xr:uid="{00000000-0005-0000-0000-0000140A0000}"/>
    <cellStyle name="Normal 4 4 3 4" xfId="2359" xr:uid="{00000000-0005-0000-0000-000037090000}"/>
    <cellStyle name="Normal 4 4 4" xfId="859" xr:uid="{00000000-0005-0000-0000-00005B030000}"/>
    <cellStyle name="Normal 4 4 4 2" xfId="1587" xr:uid="{00000000-0005-0000-0000-000033060000}"/>
    <cellStyle name="Normal 4 4 4 3" xfId="2726" xr:uid="{00000000-0005-0000-0000-0000A60A0000}"/>
    <cellStyle name="Normal 4 4 5" xfId="1077" xr:uid="{00000000-0005-0000-0000-000035040000}"/>
    <cellStyle name="Normal 4 4 5 2" xfId="1649" xr:uid="{00000000-0005-0000-0000-000071060000}"/>
    <cellStyle name="Normal 4 4 5 3" xfId="2516" xr:uid="{00000000-0005-0000-0000-0000D4090000}"/>
    <cellStyle name="Normal 4 4 6" xfId="1463" xr:uid="{00000000-0005-0000-0000-0000B7050000}"/>
    <cellStyle name="Normal 4 4 7" xfId="2123" xr:uid="{00000000-0005-0000-0000-00004B080000}"/>
    <cellStyle name="Normal 4 5" xfId="135" xr:uid="{00000000-0005-0000-0000-000087000000}"/>
    <cellStyle name="Normal 4 6" xfId="419" xr:uid="{00000000-0005-0000-0000-0000A3010000}"/>
    <cellStyle name="Normal 4 6 2" xfId="654" xr:uid="{00000000-0005-0000-0000-00008E020000}"/>
    <cellStyle name="Normal 4 6 2 2" xfId="1318" xr:uid="{00000000-0005-0000-0000-000026050000}"/>
    <cellStyle name="Normal 4 6 2 2 2" xfId="1720" xr:uid="{00000000-0005-0000-0000-0000B8060000}"/>
    <cellStyle name="Normal 4 6 2 2 3" xfId="2965" xr:uid="{00000000-0005-0000-0000-0000950B0000}"/>
    <cellStyle name="Normal 4 6 2 3" xfId="1534" xr:uid="{00000000-0005-0000-0000-0000FE050000}"/>
    <cellStyle name="Normal 4 6 2 3 2" xfId="2595" xr:uid="{00000000-0005-0000-0000-0000230A0000}"/>
    <cellStyle name="Normal 4 6 2 4" xfId="2382" xr:uid="{00000000-0005-0000-0000-00004E090000}"/>
    <cellStyle name="Normal 4 6 3" xfId="876" xr:uid="{00000000-0005-0000-0000-00006C030000}"/>
    <cellStyle name="Normal 4 6 3 2" xfId="1596" xr:uid="{00000000-0005-0000-0000-00003C060000}"/>
    <cellStyle name="Normal 4 6 3 3" xfId="2743" xr:uid="{00000000-0005-0000-0000-0000B70A0000}"/>
    <cellStyle name="Normal 4 6 4" xfId="1094" xr:uid="{00000000-0005-0000-0000-000046040000}"/>
    <cellStyle name="Normal 4 6 4 2" xfId="1658" xr:uid="{00000000-0005-0000-0000-00007A060000}"/>
    <cellStyle name="Normal 4 6 4 3" xfId="2526" xr:uid="{00000000-0005-0000-0000-0000DE090000}"/>
    <cellStyle name="Normal 4 6 5" xfId="1472" xr:uid="{00000000-0005-0000-0000-0000C0050000}"/>
    <cellStyle name="Normal 4 6 6" xfId="2148" xr:uid="{00000000-0005-0000-0000-000064080000}"/>
    <cellStyle name="Normal 4 7" xfId="540" xr:uid="{00000000-0005-0000-0000-00001C020000}"/>
    <cellStyle name="Normal 4 7 2" xfId="1204" xr:uid="{00000000-0005-0000-0000-0000B4040000}"/>
    <cellStyle name="Normal 4 7 2 2" xfId="1689" xr:uid="{00000000-0005-0000-0000-000099060000}"/>
    <cellStyle name="Normal 4 7 2 3" xfId="2852" xr:uid="{00000000-0005-0000-0000-0000240B0000}"/>
    <cellStyle name="Normal 4 7 3" xfId="1503" xr:uid="{00000000-0005-0000-0000-0000DF050000}"/>
    <cellStyle name="Normal 4 7 3 2" xfId="2558" xr:uid="{00000000-0005-0000-0000-0000FE090000}"/>
    <cellStyle name="Normal 4 7 4" xfId="2269" xr:uid="{00000000-0005-0000-0000-0000DD080000}"/>
    <cellStyle name="Normal 4 8" xfId="768" xr:uid="{00000000-0005-0000-0000-000000030000}"/>
    <cellStyle name="Normal 4 8 2" xfId="1565" xr:uid="{00000000-0005-0000-0000-00001D060000}"/>
    <cellStyle name="Normal 4 8 3" xfId="2636" xr:uid="{00000000-0005-0000-0000-00004C0A0000}"/>
    <cellStyle name="Normal 4 9" xfId="986" xr:uid="{00000000-0005-0000-0000-0000DA030000}"/>
    <cellStyle name="Normal 4 9 2" xfId="1627" xr:uid="{00000000-0005-0000-0000-00005B060000}"/>
    <cellStyle name="Normal 4 9 3" xfId="2494" xr:uid="{00000000-0005-0000-0000-0000BE090000}"/>
    <cellStyle name="Normal 40" xfId="3089" xr:uid="{00000000-0005-0000-0000-0000110C0000}"/>
    <cellStyle name="Normal 41" xfId="3090" xr:uid="{00000000-0005-0000-0000-0000120C0000}"/>
    <cellStyle name="Normal 42" xfId="3091" xr:uid="{00000000-0005-0000-0000-0000130C0000}"/>
    <cellStyle name="Normal 43" xfId="3092" xr:uid="{00000000-0005-0000-0000-0000140C0000}"/>
    <cellStyle name="Normal 44" xfId="3093" xr:uid="{00000000-0005-0000-0000-0000150C0000}"/>
    <cellStyle name="Normal 45" xfId="3094" xr:uid="{00000000-0005-0000-0000-0000160C0000}"/>
    <cellStyle name="Normal 46" xfId="3095" xr:uid="{00000000-0005-0000-0000-0000170C0000}"/>
    <cellStyle name="Normal 47" xfId="3096" xr:uid="{00000000-0005-0000-0000-0000180C0000}"/>
    <cellStyle name="Normal 48" xfId="3097" xr:uid="{00000000-0005-0000-0000-0000190C0000}"/>
    <cellStyle name="Normal 49" xfId="3098" xr:uid="{00000000-0005-0000-0000-00001A0C0000}"/>
    <cellStyle name="Normal 5" xfId="105" xr:uid="{00000000-0005-0000-0000-000069000000}"/>
    <cellStyle name="Normal 5 2" xfId="310" xr:uid="{00000000-0005-0000-0000-000036010000}"/>
    <cellStyle name="Normal 5 2 2" xfId="311" xr:uid="{00000000-0005-0000-0000-000037010000}"/>
    <cellStyle name="Normal 5 2 2 2" xfId="312" xr:uid="{00000000-0005-0000-0000-000038010000}"/>
    <cellStyle name="Normal 5 2 2 3" xfId="504" xr:uid="{00000000-0005-0000-0000-0000F8010000}"/>
    <cellStyle name="Normal 5 2 2 3 2" xfId="733" xr:uid="{00000000-0005-0000-0000-0000DD020000}"/>
    <cellStyle name="Normal 5 2 2 3 2 2" xfId="1397" xr:uid="{00000000-0005-0000-0000-000075050000}"/>
    <cellStyle name="Normal 5 2 2 3 2 2 2" xfId="1731" xr:uid="{00000000-0005-0000-0000-0000C3060000}"/>
    <cellStyle name="Normal 5 2 2 3 2 2 3" xfId="3043" xr:uid="{00000000-0005-0000-0000-0000E30B0000}"/>
    <cellStyle name="Normal 5 2 2 3 2 3" xfId="1545" xr:uid="{00000000-0005-0000-0000-000009060000}"/>
    <cellStyle name="Normal 5 2 2 3 2 3 2" xfId="2608" xr:uid="{00000000-0005-0000-0000-0000300A0000}"/>
    <cellStyle name="Normal 5 2 2 3 2 4" xfId="2460" xr:uid="{00000000-0005-0000-0000-00009C090000}"/>
    <cellStyle name="Normal 5 2 2 3 3" xfId="953" xr:uid="{00000000-0005-0000-0000-0000B9030000}"/>
    <cellStyle name="Normal 5 2 2 3 3 2" xfId="1607" xr:uid="{00000000-0005-0000-0000-000047060000}"/>
    <cellStyle name="Normal 5 2 2 3 3 3" xfId="2819" xr:uid="{00000000-0005-0000-0000-0000030B0000}"/>
    <cellStyle name="Normal 5 2 2 3 4" xfId="1171" xr:uid="{00000000-0005-0000-0000-000093040000}"/>
    <cellStyle name="Normal 5 2 2 3 4 2" xfId="1669" xr:uid="{00000000-0005-0000-0000-000085060000}"/>
    <cellStyle name="Normal 5 2 2 3 4 3" xfId="2537" xr:uid="{00000000-0005-0000-0000-0000E9090000}"/>
    <cellStyle name="Normal 5 2 2 3 5" xfId="1483" xr:uid="{00000000-0005-0000-0000-0000CB050000}"/>
    <cellStyle name="Normal 5 2 2 3 6" xfId="2232" xr:uid="{00000000-0005-0000-0000-0000B8080000}"/>
    <cellStyle name="Normal 5 2 2 4" xfId="617" xr:uid="{00000000-0005-0000-0000-000069020000}"/>
    <cellStyle name="Normal 5 2 2 4 2" xfId="1281" xr:uid="{00000000-0005-0000-0000-000001050000}"/>
    <cellStyle name="Normal 5 2 2 4 2 2" xfId="1700" xr:uid="{00000000-0005-0000-0000-0000A4060000}"/>
    <cellStyle name="Normal 5 2 2 4 2 3" xfId="2928" xr:uid="{00000000-0005-0000-0000-0000700B0000}"/>
    <cellStyle name="Normal 5 2 2 4 3" xfId="1514" xr:uid="{00000000-0005-0000-0000-0000EA050000}"/>
    <cellStyle name="Normal 5 2 2 4 3 2" xfId="2569" xr:uid="{00000000-0005-0000-0000-0000090A0000}"/>
    <cellStyle name="Normal 5 2 2 4 4" xfId="2345" xr:uid="{00000000-0005-0000-0000-000029090000}"/>
    <cellStyle name="Normal 5 2 2 5" xfId="845" xr:uid="{00000000-0005-0000-0000-00004D030000}"/>
    <cellStyle name="Normal 5 2 2 5 2" xfId="1576" xr:uid="{00000000-0005-0000-0000-000028060000}"/>
    <cellStyle name="Normal 5 2 2 5 3" xfId="2712" xr:uid="{00000000-0005-0000-0000-0000980A0000}"/>
    <cellStyle name="Normal 5 2 2 6" xfId="1063" xr:uid="{00000000-0005-0000-0000-000027040000}"/>
    <cellStyle name="Normal 5 2 2 6 2" xfId="1638" xr:uid="{00000000-0005-0000-0000-000066060000}"/>
    <cellStyle name="Normal 5 2 2 6 3" xfId="2505" xr:uid="{00000000-0005-0000-0000-0000C9090000}"/>
    <cellStyle name="Normal 5 2 2 7" xfId="1452" xr:uid="{00000000-0005-0000-0000-0000AC050000}"/>
    <cellStyle name="Normal 5 2 2 8" xfId="2050" xr:uid="{00000000-0005-0000-0000-000002080000}"/>
    <cellStyle name="Normal 5 2 3" xfId="313" xr:uid="{00000000-0005-0000-0000-000039010000}"/>
    <cellStyle name="Normal 5 2 3 2" xfId="505" xr:uid="{00000000-0005-0000-0000-0000F9010000}"/>
    <cellStyle name="Normal 5 2 3 2 2" xfId="734" xr:uid="{00000000-0005-0000-0000-0000DE020000}"/>
    <cellStyle name="Normal 5 2 3 2 2 2" xfId="1398" xr:uid="{00000000-0005-0000-0000-000076050000}"/>
    <cellStyle name="Normal 5 2 3 2 2 2 2" xfId="1732" xr:uid="{00000000-0005-0000-0000-0000C4060000}"/>
    <cellStyle name="Normal 5 2 3 2 2 2 3" xfId="3044" xr:uid="{00000000-0005-0000-0000-0000E40B0000}"/>
    <cellStyle name="Normal 5 2 3 2 2 3" xfId="1546" xr:uid="{00000000-0005-0000-0000-00000A060000}"/>
    <cellStyle name="Normal 5 2 3 2 2 3 2" xfId="2609" xr:uid="{00000000-0005-0000-0000-0000310A0000}"/>
    <cellStyle name="Normal 5 2 3 2 2 4" xfId="2461" xr:uid="{00000000-0005-0000-0000-00009D090000}"/>
    <cellStyle name="Normal 5 2 3 2 3" xfId="954" xr:uid="{00000000-0005-0000-0000-0000BA030000}"/>
    <cellStyle name="Normal 5 2 3 2 3 2" xfId="1608" xr:uid="{00000000-0005-0000-0000-000048060000}"/>
    <cellStyle name="Normal 5 2 3 2 3 3" xfId="2820" xr:uid="{00000000-0005-0000-0000-0000040B0000}"/>
    <cellStyle name="Normal 5 2 3 2 4" xfId="1172" xr:uid="{00000000-0005-0000-0000-000094040000}"/>
    <cellStyle name="Normal 5 2 3 2 4 2" xfId="1670" xr:uid="{00000000-0005-0000-0000-000086060000}"/>
    <cellStyle name="Normal 5 2 3 2 4 3" xfId="2538" xr:uid="{00000000-0005-0000-0000-0000EA090000}"/>
    <cellStyle name="Normal 5 2 3 2 5" xfId="1484" xr:uid="{00000000-0005-0000-0000-0000CC050000}"/>
    <cellStyle name="Normal 5 2 3 2 6" xfId="2233" xr:uid="{00000000-0005-0000-0000-0000B9080000}"/>
    <cellStyle name="Normal 5 2 3 3" xfId="618" xr:uid="{00000000-0005-0000-0000-00006A020000}"/>
    <cellStyle name="Normal 5 2 3 3 2" xfId="1282" xr:uid="{00000000-0005-0000-0000-000002050000}"/>
    <cellStyle name="Normal 5 2 3 3 2 2" xfId="1701" xr:uid="{00000000-0005-0000-0000-0000A5060000}"/>
    <cellStyle name="Normal 5 2 3 3 2 3" xfId="2929" xr:uid="{00000000-0005-0000-0000-0000710B0000}"/>
    <cellStyle name="Normal 5 2 3 3 3" xfId="1515" xr:uid="{00000000-0005-0000-0000-0000EB050000}"/>
    <cellStyle name="Normal 5 2 3 3 3 2" xfId="2570" xr:uid="{00000000-0005-0000-0000-00000A0A0000}"/>
    <cellStyle name="Normal 5 2 3 3 4" xfId="2346" xr:uid="{00000000-0005-0000-0000-00002A090000}"/>
    <cellStyle name="Normal 5 2 3 4" xfId="846" xr:uid="{00000000-0005-0000-0000-00004E030000}"/>
    <cellStyle name="Normal 5 2 3 4 2" xfId="1577" xr:uid="{00000000-0005-0000-0000-000029060000}"/>
    <cellStyle name="Normal 5 2 3 4 3" xfId="2713" xr:uid="{00000000-0005-0000-0000-0000990A0000}"/>
    <cellStyle name="Normal 5 2 3 5" xfId="1064" xr:uid="{00000000-0005-0000-0000-000028040000}"/>
    <cellStyle name="Normal 5 2 3 5 2" xfId="1639" xr:uid="{00000000-0005-0000-0000-000067060000}"/>
    <cellStyle name="Normal 5 2 3 5 3" xfId="2506" xr:uid="{00000000-0005-0000-0000-0000CA090000}"/>
    <cellStyle name="Normal 5 2 3 6" xfId="1453" xr:uid="{00000000-0005-0000-0000-0000AD050000}"/>
    <cellStyle name="Normal 5 2 3 7" xfId="2051" xr:uid="{00000000-0005-0000-0000-000003080000}"/>
    <cellStyle name="Normal 5 2 4" xfId="503" xr:uid="{00000000-0005-0000-0000-0000F7010000}"/>
    <cellStyle name="Normal 5 2 4 2" xfId="732" xr:uid="{00000000-0005-0000-0000-0000DC020000}"/>
    <cellStyle name="Normal 5 2 4 2 2" xfId="1396" xr:uid="{00000000-0005-0000-0000-000074050000}"/>
    <cellStyle name="Normal 5 2 4 2 2 2" xfId="1730" xr:uid="{00000000-0005-0000-0000-0000C2060000}"/>
    <cellStyle name="Normal 5 2 4 2 2 3" xfId="3042" xr:uid="{00000000-0005-0000-0000-0000E20B0000}"/>
    <cellStyle name="Normal 5 2 4 2 3" xfId="1544" xr:uid="{00000000-0005-0000-0000-000008060000}"/>
    <cellStyle name="Normal 5 2 4 2 3 2" xfId="2607" xr:uid="{00000000-0005-0000-0000-00002F0A0000}"/>
    <cellStyle name="Normal 5 2 4 2 4" xfId="2459" xr:uid="{00000000-0005-0000-0000-00009B090000}"/>
    <cellStyle name="Normal 5 2 4 3" xfId="952" xr:uid="{00000000-0005-0000-0000-0000B8030000}"/>
    <cellStyle name="Normal 5 2 4 3 2" xfId="1606" xr:uid="{00000000-0005-0000-0000-000046060000}"/>
    <cellStyle name="Normal 5 2 4 3 3" xfId="2818" xr:uid="{00000000-0005-0000-0000-0000020B0000}"/>
    <cellStyle name="Normal 5 2 4 4" xfId="1170" xr:uid="{00000000-0005-0000-0000-000092040000}"/>
    <cellStyle name="Normal 5 2 4 4 2" xfId="1668" xr:uid="{00000000-0005-0000-0000-000084060000}"/>
    <cellStyle name="Normal 5 2 4 4 3" xfId="2536" xr:uid="{00000000-0005-0000-0000-0000E8090000}"/>
    <cellStyle name="Normal 5 2 4 5" xfId="1482" xr:uid="{00000000-0005-0000-0000-0000CA050000}"/>
    <cellStyle name="Normal 5 2 4 6" xfId="2231" xr:uid="{00000000-0005-0000-0000-0000B7080000}"/>
    <cellStyle name="Normal 5 2 5" xfId="616" xr:uid="{00000000-0005-0000-0000-000068020000}"/>
    <cellStyle name="Normal 5 2 5 2" xfId="1280" xr:uid="{00000000-0005-0000-0000-000000050000}"/>
    <cellStyle name="Normal 5 2 5 2 2" xfId="1699" xr:uid="{00000000-0005-0000-0000-0000A3060000}"/>
    <cellStyle name="Normal 5 2 5 2 3" xfId="2927" xr:uid="{00000000-0005-0000-0000-00006F0B0000}"/>
    <cellStyle name="Normal 5 2 5 3" xfId="1513" xr:uid="{00000000-0005-0000-0000-0000E9050000}"/>
    <cellStyle name="Normal 5 2 5 3 2" xfId="2568" xr:uid="{00000000-0005-0000-0000-0000080A0000}"/>
    <cellStyle name="Normal 5 2 5 4" xfId="2344" xr:uid="{00000000-0005-0000-0000-000028090000}"/>
    <cellStyle name="Normal 5 2 6" xfId="844" xr:uid="{00000000-0005-0000-0000-00004C030000}"/>
    <cellStyle name="Normal 5 2 6 2" xfId="1575" xr:uid="{00000000-0005-0000-0000-000027060000}"/>
    <cellStyle name="Normal 5 2 6 3" xfId="2711" xr:uid="{00000000-0005-0000-0000-0000970A0000}"/>
    <cellStyle name="Normal 5 2 7" xfId="1062" xr:uid="{00000000-0005-0000-0000-000026040000}"/>
    <cellStyle name="Normal 5 2 7 2" xfId="1637" xr:uid="{00000000-0005-0000-0000-000065060000}"/>
    <cellStyle name="Normal 5 2 7 3" xfId="2504" xr:uid="{00000000-0005-0000-0000-0000C8090000}"/>
    <cellStyle name="Normal 5 2 8" xfId="1451" xr:uid="{00000000-0005-0000-0000-0000AB050000}"/>
    <cellStyle name="Normal 5 2 9" xfId="2049" xr:uid="{00000000-0005-0000-0000-000001080000}"/>
    <cellStyle name="Normal 5 3" xfId="314" xr:uid="{00000000-0005-0000-0000-00003A010000}"/>
    <cellStyle name="Normal 5 3 2" xfId="315" xr:uid="{00000000-0005-0000-0000-00003B010000}"/>
    <cellStyle name="Normal 5 3 2 2" xfId="507" xr:uid="{00000000-0005-0000-0000-0000FB010000}"/>
    <cellStyle name="Normal 5 3 2 2 2" xfId="736" xr:uid="{00000000-0005-0000-0000-0000E0020000}"/>
    <cellStyle name="Normal 5 3 2 2 2 2" xfId="1400" xr:uid="{00000000-0005-0000-0000-000078050000}"/>
    <cellStyle name="Normal 5 3 2 2 2 2 2" xfId="1734" xr:uid="{00000000-0005-0000-0000-0000C6060000}"/>
    <cellStyle name="Normal 5 3 2 2 2 2 3" xfId="3046" xr:uid="{00000000-0005-0000-0000-0000E60B0000}"/>
    <cellStyle name="Normal 5 3 2 2 2 3" xfId="1548" xr:uid="{00000000-0005-0000-0000-00000C060000}"/>
    <cellStyle name="Normal 5 3 2 2 2 3 2" xfId="2611" xr:uid="{00000000-0005-0000-0000-0000330A0000}"/>
    <cellStyle name="Normal 5 3 2 2 2 4" xfId="2463" xr:uid="{00000000-0005-0000-0000-00009F090000}"/>
    <cellStyle name="Normal 5 3 2 2 3" xfId="956" xr:uid="{00000000-0005-0000-0000-0000BC030000}"/>
    <cellStyle name="Normal 5 3 2 2 3 2" xfId="1610" xr:uid="{00000000-0005-0000-0000-00004A060000}"/>
    <cellStyle name="Normal 5 3 2 2 3 3" xfId="2822" xr:uid="{00000000-0005-0000-0000-0000060B0000}"/>
    <cellStyle name="Normal 5 3 2 2 4" xfId="1174" xr:uid="{00000000-0005-0000-0000-000096040000}"/>
    <cellStyle name="Normal 5 3 2 2 4 2" xfId="1672" xr:uid="{00000000-0005-0000-0000-000088060000}"/>
    <cellStyle name="Normal 5 3 2 2 4 3" xfId="2540" xr:uid="{00000000-0005-0000-0000-0000EC090000}"/>
    <cellStyle name="Normal 5 3 2 2 5" xfId="1486" xr:uid="{00000000-0005-0000-0000-0000CE050000}"/>
    <cellStyle name="Normal 5 3 2 2 6" xfId="2235" xr:uid="{00000000-0005-0000-0000-0000BB080000}"/>
    <cellStyle name="Normal 5 3 2 3" xfId="620" xr:uid="{00000000-0005-0000-0000-00006C020000}"/>
    <cellStyle name="Normal 5 3 2 3 2" xfId="1284" xr:uid="{00000000-0005-0000-0000-000004050000}"/>
    <cellStyle name="Normal 5 3 2 3 2 2" xfId="1703" xr:uid="{00000000-0005-0000-0000-0000A7060000}"/>
    <cellStyle name="Normal 5 3 2 3 2 3" xfId="2931" xr:uid="{00000000-0005-0000-0000-0000730B0000}"/>
    <cellStyle name="Normal 5 3 2 3 3" xfId="1517" xr:uid="{00000000-0005-0000-0000-0000ED050000}"/>
    <cellStyle name="Normal 5 3 2 3 3 2" xfId="2572" xr:uid="{00000000-0005-0000-0000-00000C0A0000}"/>
    <cellStyle name="Normal 5 3 2 3 4" xfId="2348" xr:uid="{00000000-0005-0000-0000-00002C090000}"/>
    <cellStyle name="Normal 5 3 2 4" xfId="848" xr:uid="{00000000-0005-0000-0000-000050030000}"/>
    <cellStyle name="Normal 5 3 2 4 2" xfId="1579" xr:uid="{00000000-0005-0000-0000-00002B060000}"/>
    <cellStyle name="Normal 5 3 2 4 3" xfId="2715" xr:uid="{00000000-0005-0000-0000-00009B0A0000}"/>
    <cellStyle name="Normal 5 3 2 5" xfId="1066" xr:uid="{00000000-0005-0000-0000-00002A040000}"/>
    <cellStyle name="Normal 5 3 2 5 2" xfId="1641" xr:uid="{00000000-0005-0000-0000-000069060000}"/>
    <cellStyle name="Normal 5 3 2 5 3" xfId="2508" xr:uid="{00000000-0005-0000-0000-0000CC090000}"/>
    <cellStyle name="Normal 5 3 2 6" xfId="1455" xr:uid="{00000000-0005-0000-0000-0000AF050000}"/>
    <cellStyle name="Normal 5 3 2 7" xfId="2053" xr:uid="{00000000-0005-0000-0000-000005080000}"/>
    <cellStyle name="Normal 5 3 3" xfId="506" xr:uid="{00000000-0005-0000-0000-0000FA010000}"/>
    <cellStyle name="Normal 5 3 3 2" xfId="735" xr:uid="{00000000-0005-0000-0000-0000DF020000}"/>
    <cellStyle name="Normal 5 3 3 2 2" xfId="1399" xr:uid="{00000000-0005-0000-0000-000077050000}"/>
    <cellStyle name="Normal 5 3 3 2 2 2" xfId="1733" xr:uid="{00000000-0005-0000-0000-0000C5060000}"/>
    <cellStyle name="Normal 5 3 3 2 2 3" xfId="3045" xr:uid="{00000000-0005-0000-0000-0000E50B0000}"/>
    <cellStyle name="Normal 5 3 3 2 3" xfId="1547" xr:uid="{00000000-0005-0000-0000-00000B060000}"/>
    <cellStyle name="Normal 5 3 3 2 3 2" xfId="2610" xr:uid="{00000000-0005-0000-0000-0000320A0000}"/>
    <cellStyle name="Normal 5 3 3 2 4" xfId="2462" xr:uid="{00000000-0005-0000-0000-00009E090000}"/>
    <cellStyle name="Normal 5 3 3 3" xfId="955" xr:uid="{00000000-0005-0000-0000-0000BB030000}"/>
    <cellStyle name="Normal 5 3 3 3 2" xfId="1609" xr:uid="{00000000-0005-0000-0000-000049060000}"/>
    <cellStyle name="Normal 5 3 3 3 3" xfId="2821" xr:uid="{00000000-0005-0000-0000-0000050B0000}"/>
    <cellStyle name="Normal 5 3 3 4" xfId="1173" xr:uid="{00000000-0005-0000-0000-000095040000}"/>
    <cellStyle name="Normal 5 3 3 4 2" xfId="1671" xr:uid="{00000000-0005-0000-0000-000087060000}"/>
    <cellStyle name="Normal 5 3 3 4 3" xfId="2539" xr:uid="{00000000-0005-0000-0000-0000EB090000}"/>
    <cellStyle name="Normal 5 3 3 5" xfId="1485" xr:uid="{00000000-0005-0000-0000-0000CD050000}"/>
    <cellStyle name="Normal 5 3 3 6" xfId="2234" xr:uid="{00000000-0005-0000-0000-0000BA080000}"/>
    <cellStyle name="Normal 5 3 4" xfId="619" xr:uid="{00000000-0005-0000-0000-00006B020000}"/>
    <cellStyle name="Normal 5 3 4 2" xfId="1283" xr:uid="{00000000-0005-0000-0000-000003050000}"/>
    <cellStyle name="Normal 5 3 4 2 2" xfId="1702" xr:uid="{00000000-0005-0000-0000-0000A6060000}"/>
    <cellStyle name="Normal 5 3 4 2 3" xfId="2930" xr:uid="{00000000-0005-0000-0000-0000720B0000}"/>
    <cellStyle name="Normal 5 3 4 3" xfId="1516" xr:uid="{00000000-0005-0000-0000-0000EC050000}"/>
    <cellStyle name="Normal 5 3 4 3 2" xfId="2571" xr:uid="{00000000-0005-0000-0000-00000B0A0000}"/>
    <cellStyle name="Normal 5 3 4 4" xfId="2347" xr:uid="{00000000-0005-0000-0000-00002B090000}"/>
    <cellStyle name="Normal 5 3 5" xfId="847" xr:uid="{00000000-0005-0000-0000-00004F030000}"/>
    <cellStyle name="Normal 5 3 5 2" xfId="1578" xr:uid="{00000000-0005-0000-0000-00002A060000}"/>
    <cellStyle name="Normal 5 3 5 3" xfId="2714" xr:uid="{00000000-0005-0000-0000-00009A0A0000}"/>
    <cellStyle name="Normal 5 3 6" xfId="1065" xr:uid="{00000000-0005-0000-0000-000029040000}"/>
    <cellStyle name="Normal 5 3 6 2" xfId="1640" xr:uid="{00000000-0005-0000-0000-000068060000}"/>
    <cellStyle name="Normal 5 3 6 3" xfId="2507" xr:uid="{00000000-0005-0000-0000-0000CB090000}"/>
    <cellStyle name="Normal 5 3 7" xfId="1454" xr:uid="{00000000-0005-0000-0000-0000AE050000}"/>
    <cellStyle name="Normal 5 3 8" xfId="2052" xr:uid="{00000000-0005-0000-0000-000004080000}"/>
    <cellStyle name="Normal 5 4" xfId="316" xr:uid="{00000000-0005-0000-0000-00003C010000}"/>
    <cellStyle name="Normal 5 4 2" xfId="317" xr:uid="{00000000-0005-0000-0000-00003D010000}"/>
    <cellStyle name="Normal 5 4 2 2" xfId="509" xr:uid="{00000000-0005-0000-0000-0000FD010000}"/>
    <cellStyle name="Normal 5 4 2 2 2" xfId="738" xr:uid="{00000000-0005-0000-0000-0000E2020000}"/>
    <cellStyle name="Normal 5 4 2 2 2 2" xfId="1402" xr:uid="{00000000-0005-0000-0000-00007A050000}"/>
    <cellStyle name="Normal 5 4 2 2 2 2 2" xfId="1736" xr:uid="{00000000-0005-0000-0000-0000C8060000}"/>
    <cellStyle name="Normal 5 4 2 2 2 2 3" xfId="3048" xr:uid="{00000000-0005-0000-0000-0000E80B0000}"/>
    <cellStyle name="Normal 5 4 2 2 2 3" xfId="1550" xr:uid="{00000000-0005-0000-0000-00000E060000}"/>
    <cellStyle name="Normal 5 4 2 2 2 3 2" xfId="2613" xr:uid="{00000000-0005-0000-0000-0000350A0000}"/>
    <cellStyle name="Normal 5 4 2 2 2 4" xfId="2465" xr:uid="{00000000-0005-0000-0000-0000A1090000}"/>
    <cellStyle name="Normal 5 4 2 2 3" xfId="958" xr:uid="{00000000-0005-0000-0000-0000BE030000}"/>
    <cellStyle name="Normal 5 4 2 2 3 2" xfId="1612" xr:uid="{00000000-0005-0000-0000-00004C060000}"/>
    <cellStyle name="Normal 5 4 2 2 3 3" xfId="2824" xr:uid="{00000000-0005-0000-0000-0000080B0000}"/>
    <cellStyle name="Normal 5 4 2 2 4" xfId="1176" xr:uid="{00000000-0005-0000-0000-000098040000}"/>
    <cellStyle name="Normal 5 4 2 2 4 2" xfId="1674" xr:uid="{00000000-0005-0000-0000-00008A060000}"/>
    <cellStyle name="Normal 5 4 2 2 4 3" xfId="2542" xr:uid="{00000000-0005-0000-0000-0000EE090000}"/>
    <cellStyle name="Normal 5 4 2 2 5" xfId="1488" xr:uid="{00000000-0005-0000-0000-0000D0050000}"/>
    <cellStyle name="Normal 5 4 2 2 6" xfId="2237" xr:uid="{00000000-0005-0000-0000-0000BD080000}"/>
    <cellStyle name="Normal 5 4 2 3" xfId="622" xr:uid="{00000000-0005-0000-0000-00006E020000}"/>
    <cellStyle name="Normal 5 4 2 3 2" xfId="1286" xr:uid="{00000000-0005-0000-0000-000006050000}"/>
    <cellStyle name="Normal 5 4 2 3 2 2" xfId="1705" xr:uid="{00000000-0005-0000-0000-0000A9060000}"/>
    <cellStyle name="Normal 5 4 2 3 2 3" xfId="2933" xr:uid="{00000000-0005-0000-0000-0000750B0000}"/>
    <cellStyle name="Normal 5 4 2 3 3" xfId="1519" xr:uid="{00000000-0005-0000-0000-0000EF050000}"/>
    <cellStyle name="Normal 5 4 2 3 3 2" xfId="2574" xr:uid="{00000000-0005-0000-0000-00000E0A0000}"/>
    <cellStyle name="Normal 5 4 2 3 4" xfId="2350" xr:uid="{00000000-0005-0000-0000-00002E090000}"/>
    <cellStyle name="Normal 5 4 2 4" xfId="850" xr:uid="{00000000-0005-0000-0000-000052030000}"/>
    <cellStyle name="Normal 5 4 2 4 2" xfId="1581" xr:uid="{00000000-0005-0000-0000-00002D060000}"/>
    <cellStyle name="Normal 5 4 2 4 3" xfId="2717" xr:uid="{00000000-0005-0000-0000-00009D0A0000}"/>
    <cellStyle name="Normal 5 4 2 5" xfId="1068" xr:uid="{00000000-0005-0000-0000-00002C040000}"/>
    <cellStyle name="Normal 5 4 2 5 2" xfId="1643" xr:uid="{00000000-0005-0000-0000-00006B060000}"/>
    <cellStyle name="Normal 5 4 2 5 3" xfId="2510" xr:uid="{00000000-0005-0000-0000-0000CE090000}"/>
    <cellStyle name="Normal 5 4 2 6" xfId="1457" xr:uid="{00000000-0005-0000-0000-0000B1050000}"/>
    <cellStyle name="Normal 5 4 2 7" xfId="2055" xr:uid="{00000000-0005-0000-0000-000007080000}"/>
    <cellStyle name="Normal 5 4 3" xfId="508" xr:uid="{00000000-0005-0000-0000-0000FC010000}"/>
    <cellStyle name="Normal 5 4 3 2" xfId="737" xr:uid="{00000000-0005-0000-0000-0000E1020000}"/>
    <cellStyle name="Normal 5 4 3 2 2" xfId="1401" xr:uid="{00000000-0005-0000-0000-000079050000}"/>
    <cellStyle name="Normal 5 4 3 2 2 2" xfId="1735" xr:uid="{00000000-0005-0000-0000-0000C7060000}"/>
    <cellStyle name="Normal 5 4 3 2 2 3" xfId="3047" xr:uid="{00000000-0005-0000-0000-0000E70B0000}"/>
    <cellStyle name="Normal 5 4 3 2 3" xfId="1549" xr:uid="{00000000-0005-0000-0000-00000D060000}"/>
    <cellStyle name="Normal 5 4 3 2 3 2" xfId="2612" xr:uid="{00000000-0005-0000-0000-0000340A0000}"/>
    <cellStyle name="Normal 5 4 3 2 4" xfId="2464" xr:uid="{00000000-0005-0000-0000-0000A0090000}"/>
    <cellStyle name="Normal 5 4 3 3" xfId="957" xr:uid="{00000000-0005-0000-0000-0000BD030000}"/>
    <cellStyle name="Normal 5 4 3 3 2" xfId="1611" xr:uid="{00000000-0005-0000-0000-00004B060000}"/>
    <cellStyle name="Normal 5 4 3 3 3" xfId="2823" xr:uid="{00000000-0005-0000-0000-0000070B0000}"/>
    <cellStyle name="Normal 5 4 3 4" xfId="1175" xr:uid="{00000000-0005-0000-0000-000097040000}"/>
    <cellStyle name="Normal 5 4 3 4 2" xfId="1673" xr:uid="{00000000-0005-0000-0000-000089060000}"/>
    <cellStyle name="Normal 5 4 3 4 3" xfId="2541" xr:uid="{00000000-0005-0000-0000-0000ED090000}"/>
    <cellStyle name="Normal 5 4 3 5" xfId="1487" xr:uid="{00000000-0005-0000-0000-0000CF050000}"/>
    <cellStyle name="Normal 5 4 3 6" xfId="2236" xr:uid="{00000000-0005-0000-0000-0000BC080000}"/>
    <cellStyle name="Normal 5 4 4" xfId="621" xr:uid="{00000000-0005-0000-0000-00006D020000}"/>
    <cellStyle name="Normal 5 4 4 2" xfId="1285" xr:uid="{00000000-0005-0000-0000-000005050000}"/>
    <cellStyle name="Normal 5 4 4 2 2" xfId="1704" xr:uid="{00000000-0005-0000-0000-0000A8060000}"/>
    <cellStyle name="Normal 5 4 4 2 3" xfId="2932" xr:uid="{00000000-0005-0000-0000-0000740B0000}"/>
    <cellStyle name="Normal 5 4 4 3" xfId="1518" xr:uid="{00000000-0005-0000-0000-0000EE050000}"/>
    <cellStyle name="Normal 5 4 4 3 2" xfId="2573" xr:uid="{00000000-0005-0000-0000-00000D0A0000}"/>
    <cellStyle name="Normal 5 4 4 4" xfId="2349" xr:uid="{00000000-0005-0000-0000-00002D090000}"/>
    <cellStyle name="Normal 5 4 5" xfId="849" xr:uid="{00000000-0005-0000-0000-000051030000}"/>
    <cellStyle name="Normal 5 4 5 2" xfId="1580" xr:uid="{00000000-0005-0000-0000-00002C060000}"/>
    <cellStyle name="Normal 5 4 5 3" xfId="2716" xr:uid="{00000000-0005-0000-0000-00009C0A0000}"/>
    <cellStyle name="Normal 5 4 6" xfId="1067" xr:uid="{00000000-0005-0000-0000-00002B040000}"/>
    <cellStyle name="Normal 5 4 6 2" xfId="1642" xr:uid="{00000000-0005-0000-0000-00006A060000}"/>
    <cellStyle name="Normal 5 4 6 3" xfId="2509" xr:uid="{00000000-0005-0000-0000-0000CD090000}"/>
    <cellStyle name="Normal 5 4 7" xfId="1456" xr:uid="{00000000-0005-0000-0000-0000B0050000}"/>
    <cellStyle name="Normal 5 4 8" xfId="2054" xr:uid="{00000000-0005-0000-0000-000006080000}"/>
    <cellStyle name="Normal 5 5" xfId="318" xr:uid="{00000000-0005-0000-0000-00003E010000}"/>
    <cellStyle name="Normal 5 5 2" xfId="510" xr:uid="{00000000-0005-0000-0000-0000FE010000}"/>
    <cellStyle name="Normal 5 5 2 2" xfId="739" xr:uid="{00000000-0005-0000-0000-0000E3020000}"/>
    <cellStyle name="Normal 5 5 2 2 2" xfId="1403" xr:uid="{00000000-0005-0000-0000-00007B050000}"/>
    <cellStyle name="Normal 5 5 2 2 2 2" xfId="1737" xr:uid="{00000000-0005-0000-0000-0000C9060000}"/>
    <cellStyle name="Normal 5 5 2 2 2 3" xfId="3049" xr:uid="{00000000-0005-0000-0000-0000E90B0000}"/>
    <cellStyle name="Normal 5 5 2 2 3" xfId="1551" xr:uid="{00000000-0005-0000-0000-00000F060000}"/>
    <cellStyle name="Normal 5 5 2 2 3 2" xfId="2614" xr:uid="{00000000-0005-0000-0000-0000360A0000}"/>
    <cellStyle name="Normal 5 5 2 2 4" xfId="2466" xr:uid="{00000000-0005-0000-0000-0000A2090000}"/>
    <cellStyle name="Normal 5 5 2 3" xfId="959" xr:uid="{00000000-0005-0000-0000-0000BF030000}"/>
    <cellStyle name="Normal 5 5 2 3 2" xfId="1613" xr:uid="{00000000-0005-0000-0000-00004D060000}"/>
    <cellStyle name="Normal 5 5 2 3 3" xfId="2825" xr:uid="{00000000-0005-0000-0000-0000090B0000}"/>
    <cellStyle name="Normal 5 5 2 4" xfId="1177" xr:uid="{00000000-0005-0000-0000-000099040000}"/>
    <cellStyle name="Normal 5 5 2 4 2" xfId="1675" xr:uid="{00000000-0005-0000-0000-00008B060000}"/>
    <cellStyle name="Normal 5 5 2 4 3" xfId="2543" xr:uid="{00000000-0005-0000-0000-0000EF090000}"/>
    <cellStyle name="Normal 5 5 2 5" xfId="1489" xr:uid="{00000000-0005-0000-0000-0000D1050000}"/>
    <cellStyle name="Normal 5 5 2 6" xfId="2238" xr:uid="{00000000-0005-0000-0000-0000BE080000}"/>
    <cellStyle name="Normal 5 5 3" xfId="623" xr:uid="{00000000-0005-0000-0000-00006F020000}"/>
    <cellStyle name="Normal 5 5 3 2" xfId="1287" xr:uid="{00000000-0005-0000-0000-000007050000}"/>
    <cellStyle name="Normal 5 5 3 2 2" xfId="1706" xr:uid="{00000000-0005-0000-0000-0000AA060000}"/>
    <cellStyle name="Normal 5 5 3 2 3" xfId="2934" xr:uid="{00000000-0005-0000-0000-0000760B0000}"/>
    <cellStyle name="Normal 5 5 3 3" xfId="1520" xr:uid="{00000000-0005-0000-0000-0000F0050000}"/>
    <cellStyle name="Normal 5 5 3 3 2" xfId="2575" xr:uid="{00000000-0005-0000-0000-00000F0A0000}"/>
    <cellStyle name="Normal 5 5 3 4" xfId="2351" xr:uid="{00000000-0005-0000-0000-00002F090000}"/>
    <cellStyle name="Normal 5 5 4" xfId="851" xr:uid="{00000000-0005-0000-0000-000053030000}"/>
    <cellStyle name="Normal 5 5 4 2" xfId="1582" xr:uid="{00000000-0005-0000-0000-00002E060000}"/>
    <cellStyle name="Normal 5 5 4 3" xfId="2718" xr:uid="{00000000-0005-0000-0000-00009E0A0000}"/>
    <cellStyle name="Normal 5 5 5" xfId="1069" xr:uid="{00000000-0005-0000-0000-00002D040000}"/>
    <cellStyle name="Normal 5 5 5 2" xfId="1644" xr:uid="{00000000-0005-0000-0000-00006C060000}"/>
    <cellStyle name="Normal 5 5 5 3" xfId="2511" xr:uid="{00000000-0005-0000-0000-0000CF090000}"/>
    <cellStyle name="Normal 5 5 6" xfId="1458" xr:uid="{00000000-0005-0000-0000-0000B2050000}"/>
    <cellStyle name="Normal 5 5 7" xfId="2056" xr:uid="{00000000-0005-0000-0000-000008080000}"/>
    <cellStyle name="Normal 5 6" xfId="319" xr:uid="{00000000-0005-0000-0000-00003F010000}"/>
    <cellStyle name="Normal 5 6 2" xfId="511" xr:uid="{00000000-0005-0000-0000-0000FF010000}"/>
    <cellStyle name="Normal 5 6 2 2" xfId="740" xr:uid="{00000000-0005-0000-0000-0000E4020000}"/>
    <cellStyle name="Normal 5 6 2 2 2" xfId="1404" xr:uid="{00000000-0005-0000-0000-00007C050000}"/>
    <cellStyle name="Normal 5 6 2 2 2 2" xfId="1738" xr:uid="{00000000-0005-0000-0000-0000CA060000}"/>
    <cellStyle name="Normal 5 6 2 2 2 3" xfId="3050" xr:uid="{00000000-0005-0000-0000-0000EA0B0000}"/>
    <cellStyle name="Normal 5 6 2 2 3" xfId="1552" xr:uid="{00000000-0005-0000-0000-000010060000}"/>
    <cellStyle name="Normal 5 6 2 2 3 2" xfId="2615" xr:uid="{00000000-0005-0000-0000-0000370A0000}"/>
    <cellStyle name="Normal 5 6 2 2 4" xfId="2467" xr:uid="{00000000-0005-0000-0000-0000A3090000}"/>
    <cellStyle name="Normal 5 6 2 3" xfId="960" xr:uid="{00000000-0005-0000-0000-0000C0030000}"/>
    <cellStyle name="Normal 5 6 2 3 2" xfId="1614" xr:uid="{00000000-0005-0000-0000-00004E060000}"/>
    <cellStyle name="Normal 5 6 2 3 3" xfId="2826" xr:uid="{00000000-0005-0000-0000-00000A0B0000}"/>
    <cellStyle name="Normal 5 6 2 4" xfId="1178" xr:uid="{00000000-0005-0000-0000-00009A040000}"/>
    <cellStyle name="Normal 5 6 2 4 2" xfId="1676" xr:uid="{00000000-0005-0000-0000-00008C060000}"/>
    <cellStyle name="Normal 5 6 2 4 3" xfId="2544" xr:uid="{00000000-0005-0000-0000-0000F0090000}"/>
    <cellStyle name="Normal 5 6 2 5" xfId="1490" xr:uid="{00000000-0005-0000-0000-0000D2050000}"/>
    <cellStyle name="Normal 5 6 2 6" xfId="2239" xr:uid="{00000000-0005-0000-0000-0000BF080000}"/>
    <cellStyle name="Normal 5 6 3" xfId="624" xr:uid="{00000000-0005-0000-0000-000070020000}"/>
    <cellStyle name="Normal 5 6 3 2" xfId="1288" xr:uid="{00000000-0005-0000-0000-000008050000}"/>
    <cellStyle name="Normal 5 6 3 2 2" xfId="1707" xr:uid="{00000000-0005-0000-0000-0000AB060000}"/>
    <cellStyle name="Normal 5 6 3 2 3" xfId="2935" xr:uid="{00000000-0005-0000-0000-0000770B0000}"/>
    <cellStyle name="Normal 5 6 3 3" xfId="1521" xr:uid="{00000000-0005-0000-0000-0000F1050000}"/>
    <cellStyle name="Normal 5 6 3 3 2" xfId="2576" xr:uid="{00000000-0005-0000-0000-0000100A0000}"/>
    <cellStyle name="Normal 5 6 3 4" xfId="2352" xr:uid="{00000000-0005-0000-0000-000030090000}"/>
    <cellStyle name="Normal 5 6 4" xfId="852" xr:uid="{00000000-0005-0000-0000-000054030000}"/>
    <cellStyle name="Normal 5 6 4 2" xfId="1583" xr:uid="{00000000-0005-0000-0000-00002F060000}"/>
    <cellStyle name="Normal 5 6 4 3" xfId="2719" xr:uid="{00000000-0005-0000-0000-00009F0A0000}"/>
    <cellStyle name="Normal 5 6 5" xfId="1070" xr:uid="{00000000-0005-0000-0000-00002E040000}"/>
    <cellStyle name="Normal 5 6 5 2" xfId="1645" xr:uid="{00000000-0005-0000-0000-00006D060000}"/>
    <cellStyle name="Normal 5 6 5 3" xfId="2512" xr:uid="{00000000-0005-0000-0000-0000D0090000}"/>
    <cellStyle name="Normal 5 6 6" xfId="1459" xr:uid="{00000000-0005-0000-0000-0000B3050000}"/>
    <cellStyle name="Normal 5 6 7" xfId="2057" xr:uid="{00000000-0005-0000-0000-000009080000}"/>
    <cellStyle name="Normal 5 7" xfId="320" xr:uid="{00000000-0005-0000-0000-000040010000}"/>
    <cellStyle name="Normal 5 7 2" xfId="512" xr:uid="{00000000-0005-0000-0000-000000020000}"/>
    <cellStyle name="Normal 5 7 2 2" xfId="741" xr:uid="{00000000-0005-0000-0000-0000E5020000}"/>
    <cellStyle name="Normal 5 7 2 2 2" xfId="1405" xr:uid="{00000000-0005-0000-0000-00007D050000}"/>
    <cellStyle name="Normal 5 7 2 2 2 2" xfId="1739" xr:uid="{00000000-0005-0000-0000-0000CB060000}"/>
    <cellStyle name="Normal 5 7 2 2 2 3" xfId="3051" xr:uid="{00000000-0005-0000-0000-0000EB0B0000}"/>
    <cellStyle name="Normal 5 7 2 2 3" xfId="1553" xr:uid="{00000000-0005-0000-0000-000011060000}"/>
    <cellStyle name="Normal 5 7 2 2 3 2" xfId="2616" xr:uid="{00000000-0005-0000-0000-0000380A0000}"/>
    <cellStyle name="Normal 5 7 2 2 4" xfId="2468" xr:uid="{00000000-0005-0000-0000-0000A4090000}"/>
    <cellStyle name="Normal 5 7 2 3" xfId="961" xr:uid="{00000000-0005-0000-0000-0000C1030000}"/>
    <cellStyle name="Normal 5 7 2 3 2" xfId="1615" xr:uid="{00000000-0005-0000-0000-00004F060000}"/>
    <cellStyle name="Normal 5 7 2 3 3" xfId="2827" xr:uid="{00000000-0005-0000-0000-00000B0B0000}"/>
    <cellStyle name="Normal 5 7 2 4" xfId="1179" xr:uid="{00000000-0005-0000-0000-00009B040000}"/>
    <cellStyle name="Normal 5 7 2 4 2" xfId="1677" xr:uid="{00000000-0005-0000-0000-00008D060000}"/>
    <cellStyle name="Normal 5 7 2 4 3" xfId="2545" xr:uid="{00000000-0005-0000-0000-0000F1090000}"/>
    <cellStyle name="Normal 5 7 2 5" xfId="1491" xr:uid="{00000000-0005-0000-0000-0000D3050000}"/>
    <cellStyle name="Normal 5 7 2 6" xfId="2240" xr:uid="{00000000-0005-0000-0000-0000C0080000}"/>
    <cellStyle name="Normal 5 7 3" xfId="625" xr:uid="{00000000-0005-0000-0000-000071020000}"/>
    <cellStyle name="Normal 5 7 3 2" xfId="1289" xr:uid="{00000000-0005-0000-0000-000009050000}"/>
    <cellStyle name="Normal 5 7 3 2 2" xfId="1708" xr:uid="{00000000-0005-0000-0000-0000AC060000}"/>
    <cellStyle name="Normal 5 7 3 2 3" xfId="2936" xr:uid="{00000000-0005-0000-0000-0000780B0000}"/>
    <cellStyle name="Normal 5 7 3 3" xfId="1522" xr:uid="{00000000-0005-0000-0000-0000F2050000}"/>
    <cellStyle name="Normal 5 7 3 3 2" xfId="2577" xr:uid="{00000000-0005-0000-0000-0000110A0000}"/>
    <cellStyle name="Normal 5 7 3 4" xfId="2353" xr:uid="{00000000-0005-0000-0000-000031090000}"/>
    <cellStyle name="Normal 5 7 4" xfId="853" xr:uid="{00000000-0005-0000-0000-000055030000}"/>
    <cellStyle name="Normal 5 7 4 2" xfId="1584" xr:uid="{00000000-0005-0000-0000-000030060000}"/>
    <cellStyle name="Normal 5 7 4 3" xfId="2720" xr:uid="{00000000-0005-0000-0000-0000A00A0000}"/>
    <cellStyle name="Normal 5 7 5" xfId="1071" xr:uid="{00000000-0005-0000-0000-00002F040000}"/>
    <cellStyle name="Normal 5 7 5 2" xfId="1646" xr:uid="{00000000-0005-0000-0000-00006E060000}"/>
    <cellStyle name="Normal 5 7 5 3" xfId="2513" xr:uid="{00000000-0005-0000-0000-0000D1090000}"/>
    <cellStyle name="Normal 5 7 6" xfId="1460" xr:uid="{00000000-0005-0000-0000-0000B4050000}"/>
    <cellStyle name="Normal 5 7 7" xfId="2058" xr:uid="{00000000-0005-0000-0000-00000A080000}"/>
    <cellStyle name="Normal 50" xfId="3099" xr:uid="{00000000-0005-0000-0000-00001B0C0000}"/>
    <cellStyle name="Normal 51" xfId="3100" xr:uid="{00000000-0005-0000-0000-00001C0C0000}"/>
    <cellStyle name="Normal 52" xfId="3101" xr:uid="{00000000-0005-0000-0000-00001D0C0000}"/>
    <cellStyle name="Normal 53" xfId="3102" xr:uid="{00000000-0005-0000-0000-00001E0C0000}"/>
    <cellStyle name="Normal 54" xfId="3103" xr:uid="{00000000-0005-0000-0000-00001F0C0000}"/>
    <cellStyle name="Normal 55" xfId="3104" xr:uid="{00000000-0005-0000-0000-0000200C0000}"/>
    <cellStyle name="Normal 56" xfId="3105" xr:uid="{00000000-0005-0000-0000-0000210C0000}"/>
    <cellStyle name="Normal 57" xfId="3106" xr:uid="{00000000-0005-0000-0000-0000220C0000}"/>
    <cellStyle name="Normal 58" xfId="3107" xr:uid="{00000000-0005-0000-0000-0000230C0000}"/>
    <cellStyle name="Normal 59" xfId="3108" xr:uid="{00000000-0005-0000-0000-0000240C0000}"/>
    <cellStyle name="Normal 6" xfId="106" xr:uid="{00000000-0005-0000-0000-00006A000000}"/>
    <cellStyle name="Normal 6 2" xfId="107" xr:uid="{00000000-0005-0000-0000-00006B000000}"/>
    <cellStyle name="Normal 60" xfId="3109" xr:uid="{00000000-0005-0000-0000-0000250C0000}"/>
    <cellStyle name="Normal 61" xfId="3110" xr:uid="{00000000-0005-0000-0000-0000260C0000}"/>
    <cellStyle name="Normal 62" xfId="3111" xr:uid="{00000000-0005-0000-0000-0000270C0000}"/>
    <cellStyle name="Normal 63" xfId="3112" xr:uid="{00000000-0005-0000-0000-0000280C0000}"/>
    <cellStyle name="Normal 64" xfId="3113" xr:uid="{00000000-0005-0000-0000-0000290C0000}"/>
    <cellStyle name="Normal 65" xfId="3114" xr:uid="{00000000-0005-0000-0000-00002A0C0000}"/>
    <cellStyle name="Normal 66" xfId="3115" xr:uid="{00000000-0005-0000-0000-00002B0C0000}"/>
    <cellStyle name="Normal 67" xfId="3116" xr:uid="{00000000-0005-0000-0000-00002C0C0000}"/>
    <cellStyle name="Normal 68" xfId="3117" xr:uid="{00000000-0005-0000-0000-00002D0C0000}"/>
    <cellStyle name="Normal 69" xfId="3118" xr:uid="{00000000-0005-0000-0000-00002E0C0000}"/>
    <cellStyle name="Normal 7" xfId="108" xr:uid="{00000000-0005-0000-0000-00006C000000}"/>
    <cellStyle name="Normal 7 2" xfId="321" xr:uid="{00000000-0005-0000-0000-000041010000}"/>
    <cellStyle name="Normal 7 3" xfId="354" xr:uid="{00000000-0005-0000-0000-000062010000}"/>
    <cellStyle name="Normal 7 4" xfId="421" xr:uid="{00000000-0005-0000-0000-0000A5010000}"/>
    <cellStyle name="Normal 7 4 2" xfId="656" xr:uid="{00000000-0005-0000-0000-000090020000}"/>
    <cellStyle name="Normal 7 4 2 2" xfId="1320" xr:uid="{00000000-0005-0000-0000-000028050000}"/>
    <cellStyle name="Normal 7 4 2 2 2" xfId="1722" xr:uid="{00000000-0005-0000-0000-0000BA060000}"/>
    <cellStyle name="Normal 7 4 2 2 3" xfId="2967" xr:uid="{00000000-0005-0000-0000-0000970B0000}"/>
    <cellStyle name="Normal 7 4 2 3" xfId="1536" xr:uid="{00000000-0005-0000-0000-000000060000}"/>
    <cellStyle name="Normal 7 4 2 3 2" xfId="2597" xr:uid="{00000000-0005-0000-0000-0000250A0000}"/>
    <cellStyle name="Normal 7 4 2 4" xfId="2384" xr:uid="{00000000-0005-0000-0000-000050090000}"/>
    <cellStyle name="Normal 7 4 3" xfId="878" xr:uid="{00000000-0005-0000-0000-00006E030000}"/>
    <cellStyle name="Normal 7 4 3 2" xfId="1598" xr:uid="{00000000-0005-0000-0000-00003E060000}"/>
    <cellStyle name="Normal 7 4 3 3" xfId="2745" xr:uid="{00000000-0005-0000-0000-0000B90A0000}"/>
    <cellStyle name="Normal 7 4 4" xfId="1096" xr:uid="{00000000-0005-0000-0000-000048040000}"/>
    <cellStyle name="Normal 7 4 4 2" xfId="1660" xr:uid="{00000000-0005-0000-0000-00007C060000}"/>
    <cellStyle name="Normal 7 4 4 3" xfId="2528" xr:uid="{00000000-0005-0000-0000-0000E0090000}"/>
    <cellStyle name="Normal 7 4 5" xfId="1474" xr:uid="{00000000-0005-0000-0000-0000C2050000}"/>
    <cellStyle name="Normal 7 4 6" xfId="2150" xr:uid="{00000000-0005-0000-0000-000066080000}"/>
    <cellStyle name="Normal 7 5" xfId="542" xr:uid="{00000000-0005-0000-0000-00001E020000}"/>
    <cellStyle name="Normal 7 5 2" xfId="1206" xr:uid="{00000000-0005-0000-0000-0000B6040000}"/>
    <cellStyle name="Normal 7 5 2 2" xfId="1691" xr:uid="{00000000-0005-0000-0000-00009B060000}"/>
    <cellStyle name="Normal 7 5 2 3" xfId="2854" xr:uid="{00000000-0005-0000-0000-0000260B0000}"/>
    <cellStyle name="Normal 7 5 3" xfId="1505" xr:uid="{00000000-0005-0000-0000-0000E1050000}"/>
    <cellStyle name="Normal 7 5 3 2" xfId="2560" xr:uid="{00000000-0005-0000-0000-0000000A0000}"/>
    <cellStyle name="Normal 7 5 4" xfId="2271" xr:uid="{00000000-0005-0000-0000-0000DF080000}"/>
    <cellStyle name="Normal 7 6" xfId="770" xr:uid="{00000000-0005-0000-0000-000002030000}"/>
    <cellStyle name="Normal 7 6 2" xfId="1567" xr:uid="{00000000-0005-0000-0000-00001F060000}"/>
    <cellStyle name="Normal 7 6 3" xfId="2638" xr:uid="{00000000-0005-0000-0000-00004E0A0000}"/>
    <cellStyle name="Normal 7 7" xfId="988" xr:uid="{00000000-0005-0000-0000-0000DC030000}"/>
    <cellStyle name="Normal 7 7 2" xfId="1629" xr:uid="{00000000-0005-0000-0000-00005D060000}"/>
    <cellStyle name="Normal 7 7 3" xfId="2496" xr:uid="{00000000-0005-0000-0000-0000C0090000}"/>
    <cellStyle name="Normal 7 8" xfId="1443" xr:uid="{00000000-0005-0000-0000-0000A3050000}"/>
    <cellStyle name="Normal 7 9" xfId="1888" xr:uid="{00000000-0005-0000-0000-000060070000}"/>
    <cellStyle name="Normal 70" xfId="3119" xr:uid="{00000000-0005-0000-0000-00002F0C0000}"/>
    <cellStyle name="Normal 71" xfId="3120" xr:uid="{00000000-0005-0000-0000-0000300C0000}"/>
    <cellStyle name="Normal 72" xfId="3121" xr:uid="{00000000-0005-0000-0000-0000310C0000}"/>
    <cellStyle name="Normal 73" xfId="1436" xr:uid="{00000000-0005-0000-0000-00009C050000}"/>
    <cellStyle name="Normal 74" xfId="3122" xr:uid="{00000000-0005-0000-0000-0000320C0000}"/>
    <cellStyle name="Normal 75" xfId="1435" xr:uid="{00000000-0005-0000-0000-00009B050000}"/>
    <cellStyle name="Normal 76" xfId="3123" xr:uid="{00000000-0005-0000-0000-0000330C0000}"/>
    <cellStyle name="Normal 77" xfId="1754" xr:uid="{00000000-0005-0000-0000-0000DA060000}"/>
    <cellStyle name="Normal 8" xfId="322" xr:uid="{00000000-0005-0000-0000-000042010000}"/>
    <cellStyle name="Normal 9" xfId="323" xr:uid="{00000000-0005-0000-0000-000043010000}"/>
    <cellStyle name="Normale_B2020" xfId="109" xr:uid="{00000000-0005-0000-0000-00006D000000}"/>
    <cellStyle name="Normale_Scen_UC_IND-StrucConst" xfId="110" xr:uid="{00000000-0005-0000-0000-00006E000000}"/>
    <cellStyle name="Normale_Scen_UC_IND-StrucConst 2" xfId="1426" xr:uid="{00000000-0005-0000-0000-000092050000}"/>
    <cellStyle name="Note 2" xfId="111" xr:uid="{00000000-0005-0000-0000-00006F000000}"/>
    <cellStyle name="Note 2 2" xfId="112" xr:uid="{00000000-0005-0000-0000-000070000000}"/>
    <cellStyle name="Note 2 2 2" xfId="1891" xr:uid="{00000000-0005-0000-0000-000063070000}"/>
    <cellStyle name="Note 2 3" xfId="113" xr:uid="{00000000-0005-0000-0000-000071000000}"/>
    <cellStyle name="Note 2 3 2" xfId="1892" xr:uid="{00000000-0005-0000-0000-000064070000}"/>
    <cellStyle name="Note 2 4" xfId="324" xr:uid="{00000000-0005-0000-0000-000044010000}"/>
    <cellStyle name="Note 2 4 2" xfId="2059" xr:uid="{00000000-0005-0000-0000-00000B080000}"/>
    <cellStyle name="Note 2 5" xfId="1890" xr:uid="{00000000-0005-0000-0000-000062070000}"/>
    <cellStyle name="Note 3" xfId="114" xr:uid="{00000000-0005-0000-0000-000072000000}"/>
    <cellStyle name="Note 3 2" xfId="1893" xr:uid="{00000000-0005-0000-0000-000065070000}"/>
    <cellStyle name="Note 4" xfId="1889" xr:uid="{00000000-0005-0000-0000-000061070000}"/>
    <cellStyle name="Output 2" xfId="115" xr:uid="{00000000-0005-0000-0000-000073000000}"/>
    <cellStyle name="Output 2 2" xfId="386" xr:uid="{00000000-0005-0000-0000-000082010000}"/>
    <cellStyle name="Output 2 2 2" xfId="520" xr:uid="{00000000-0005-0000-0000-000008020000}"/>
    <cellStyle name="Output 2 2 2 2" xfId="2248" xr:uid="{00000000-0005-0000-0000-0000C8080000}"/>
    <cellStyle name="Output 2 2 3" xfId="2119" xr:uid="{00000000-0005-0000-0000-000047080000}"/>
    <cellStyle name="Output 2 3" xfId="325" xr:uid="{00000000-0005-0000-0000-000045010000}"/>
    <cellStyle name="Output 2 3 2" xfId="513" xr:uid="{00000000-0005-0000-0000-000001020000}"/>
    <cellStyle name="Output 2 3 2 2" xfId="2241" xr:uid="{00000000-0005-0000-0000-0000C1080000}"/>
    <cellStyle name="Output 2 3 3" xfId="2060" xr:uid="{00000000-0005-0000-0000-00000C080000}"/>
    <cellStyle name="Output 2 4" xfId="423" xr:uid="{00000000-0005-0000-0000-0000A7010000}"/>
    <cellStyle name="Output 2 4 2" xfId="2152" xr:uid="{00000000-0005-0000-0000-000068080000}"/>
    <cellStyle name="Output 2 5" xfId="1895" xr:uid="{00000000-0005-0000-0000-000067070000}"/>
    <cellStyle name="Output 3" xfId="116" xr:uid="{00000000-0005-0000-0000-000074000000}"/>
    <cellStyle name="Output 3 2" xfId="424" xr:uid="{00000000-0005-0000-0000-0000A8010000}"/>
    <cellStyle name="Output 3 2 2" xfId="2153" xr:uid="{00000000-0005-0000-0000-000069080000}"/>
    <cellStyle name="Output 3 3" xfId="1896" xr:uid="{00000000-0005-0000-0000-000068070000}"/>
    <cellStyle name="Output 4" xfId="422" xr:uid="{00000000-0005-0000-0000-0000A6010000}"/>
    <cellStyle name="Output 4 2" xfId="2151" xr:uid="{00000000-0005-0000-0000-000067080000}"/>
    <cellStyle name="Output 5" xfId="1894" xr:uid="{00000000-0005-0000-0000-000066070000}"/>
    <cellStyle name="Percent 10" xfId="326" xr:uid="{00000000-0005-0000-0000-000046010000}"/>
    <cellStyle name="Percent 10 2" xfId="2061" xr:uid="{00000000-0005-0000-0000-00000D080000}"/>
    <cellStyle name="Percent 11" xfId="327" xr:uid="{00000000-0005-0000-0000-000047010000}"/>
    <cellStyle name="Percent 11 2" xfId="2062" xr:uid="{00000000-0005-0000-0000-00000E080000}"/>
    <cellStyle name="Percent 12" xfId="387" xr:uid="{00000000-0005-0000-0000-000083010000}"/>
    <cellStyle name="Percent 12 2" xfId="2120" xr:uid="{00000000-0005-0000-0000-000048080000}"/>
    <cellStyle name="Percent 13" xfId="393" xr:uid="{00000000-0005-0000-0000-000089010000}"/>
    <cellStyle name="Percent 13 2" xfId="2125" xr:uid="{00000000-0005-0000-0000-00004D080000}"/>
    <cellStyle name="Percent 14" xfId="391" xr:uid="{00000000-0005-0000-0000-000087010000}"/>
    <cellStyle name="Percent 14 2" xfId="523" xr:uid="{00000000-0005-0000-0000-00000B020000}"/>
    <cellStyle name="Percent 14 2 2" xfId="750" xr:uid="{00000000-0005-0000-0000-0000EE020000}"/>
    <cellStyle name="Percent 14 2 2 2" xfId="1414" xr:uid="{00000000-0005-0000-0000-000086050000}"/>
    <cellStyle name="Percent 14 2 2 2 2" xfId="1743" xr:uid="{00000000-0005-0000-0000-0000CF060000}"/>
    <cellStyle name="Percent 14 2 2 2 3" xfId="3060" xr:uid="{00000000-0005-0000-0000-0000F40B0000}"/>
    <cellStyle name="Percent 14 2 2 3" xfId="1557" xr:uid="{00000000-0005-0000-0000-000015060000}"/>
    <cellStyle name="Percent 14 2 2 3 2" xfId="2622" xr:uid="{00000000-0005-0000-0000-00003E0A0000}"/>
    <cellStyle name="Percent 14 2 2 4" xfId="2477" xr:uid="{00000000-0005-0000-0000-0000AD090000}"/>
    <cellStyle name="Percent 14 2 3" xfId="968" xr:uid="{00000000-0005-0000-0000-0000C8030000}"/>
    <cellStyle name="Percent 14 2 3 2" xfId="1619" xr:uid="{00000000-0005-0000-0000-000053060000}"/>
    <cellStyle name="Percent 14 2 3 3" xfId="2834" xr:uid="{00000000-0005-0000-0000-0000120B0000}"/>
    <cellStyle name="Percent 14 2 4" xfId="1186" xr:uid="{00000000-0005-0000-0000-0000A2040000}"/>
    <cellStyle name="Percent 14 2 4 2" xfId="1681" xr:uid="{00000000-0005-0000-0000-000091060000}"/>
    <cellStyle name="Percent 14 2 4 3" xfId="2549" xr:uid="{00000000-0005-0000-0000-0000F5090000}"/>
    <cellStyle name="Percent 14 2 5" xfId="1495" xr:uid="{00000000-0005-0000-0000-0000D7050000}"/>
    <cellStyle name="Percent 14 2 6" xfId="2251" xr:uid="{00000000-0005-0000-0000-0000CB080000}"/>
    <cellStyle name="Percent 14 3" xfId="632" xr:uid="{00000000-0005-0000-0000-000078020000}"/>
    <cellStyle name="Percent 14 3 2" xfId="1296" xr:uid="{00000000-0005-0000-0000-000010050000}"/>
    <cellStyle name="Percent 14 3 2 2" xfId="1712" xr:uid="{00000000-0005-0000-0000-0000B0060000}"/>
    <cellStyle name="Percent 14 3 2 3" xfId="2943" xr:uid="{00000000-0005-0000-0000-00007F0B0000}"/>
    <cellStyle name="Percent 14 3 3" xfId="1526" xr:uid="{00000000-0005-0000-0000-0000F6050000}"/>
    <cellStyle name="Percent 14 3 3 2" xfId="2581" xr:uid="{00000000-0005-0000-0000-0000150A0000}"/>
    <cellStyle name="Percent 14 3 4" xfId="2360" xr:uid="{00000000-0005-0000-0000-000038090000}"/>
    <cellStyle name="Percent 14 4" xfId="860" xr:uid="{00000000-0005-0000-0000-00005C030000}"/>
    <cellStyle name="Percent 14 4 2" xfId="1588" xr:uid="{00000000-0005-0000-0000-000034060000}"/>
    <cellStyle name="Percent 14 4 3" xfId="2727" xr:uid="{00000000-0005-0000-0000-0000A70A0000}"/>
    <cellStyle name="Percent 14 5" xfId="1078" xr:uid="{00000000-0005-0000-0000-000036040000}"/>
    <cellStyle name="Percent 14 5 2" xfId="1650" xr:uid="{00000000-0005-0000-0000-000072060000}"/>
    <cellStyle name="Percent 14 5 3" xfId="2517" xr:uid="{00000000-0005-0000-0000-0000D5090000}"/>
    <cellStyle name="Percent 14 6" xfId="1464" xr:uid="{00000000-0005-0000-0000-0000B8050000}"/>
    <cellStyle name="Percent 14 7" xfId="2124" xr:uid="{00000000-0005-0000-0000-00004C080000}"/>
    <cellStyle name="Percent 15" xfId="401" xr:uid="{00000000-0005-0000-0000-000091010000}"/>
    <cellStyle name="Percent 15 2" xfId="528" xr:uid="{00000000-0005-0000-0000-000010020000}"/>
    <cellStyle name="Percent 15 2 2" xfId="755" xr:uid="{00000000-0005-0000-0000-0000F3020000}"/>
    <cellStyle name="Percent 15 2 2 2" xfId="1419" xr:uid="{00000000-0005-0000-0000-00008B050000}"/>
    <cellStyle name="Percent 15 2 2 2 2" xfId="1746" xr:uid="{00000000-0005-0000-0000-0000D2060000}"/>
    <cellStyle name="Percent 15 2 2 2 3" xfId="3065" xr:uid="{00000000-0005-0000-0000-0000F90B0000}"/>
    <cellStyle name="Percent 15 2 2 3" xfId="1560" xr:uid="{00000000-0005-0000-0000-000018060000}"/>
    <cellStyle name="Percent 15 2 2 3 2" xfId="2625" xr:uid="{00000000-0005-0000-0000-0000410A0000}"/>
    <cellStyle name="Percent 15 2 2 4" xfId="2482" xr:uid="{00000000-0005-0000-0000-0000B2090000}"/>
    <cellStyle name="Percent 15 2 3" xfId="973" xr:uid="{00000000-0005-0000-0000-0000CD030000}"/>
    <cellStyle name="Percent 15 2 3 2" xfId="1622" xr:uid="{00000000-0005-0000-0000-000056060000}"/>
    <cellStyle name="Percent 15 2 3 3" xfId="2839" xr:uid="{00000000-0005-0000-0000-0000170B0000}"/>
    <cellStyle name="Percent 15 2 4" xfId="1191" xr:uid="{00000000-0005-0000-0000-0000A7040000}"/>
    <cellStyle name="Percent 15 2 4 2" xfId="1684" xr:uid="{00000000-0005-0000-0000-000094060000}"/>
    <cellStyle name="Percent 15 2 4 3" xfId="2552" xr:uid="{00000000-0005-0000-0000-0000F8090000}"/>
    <cellStyle name="Percent 15 2 5" xfId="1498" xr:uid="{00000000-0005-0000-0000-0000DA050000}"/>
    <cellStyle name="Percent 15 2 6" xfId="2256" xr:uid="{00000000-0005-0000-0000-0000D0080000}"/>
    <cellStyle name="Percent 15 3" xfId="637" xr:uid="{00000000-0005-0000-0000-00007D020000}"/>
    <cellStyle name="Percent 15 3 2" xfId="1301" xr:uid="{00000000-0005-0000-0000-000015050000}"/>
    <cellStyle name="Percent 15 3 2 2" xfId="1715" xr:uid="{00000000-0005-0000-0000-0000B3060000}"/>
    <cellStyle name="Percent 15 3 2 3" xfId="2948" xr:uid="{00000000-0005-0000-0000-0000840B0000}"/>
    <cellStyle name="Percent 15 3 3" xfId="1529" xr:uid="{00000000-0005-0000-0000-0000F9050000}"/>
    <cellStyle name="Percent 15 3 3 2" xfId="2584" xr:uid="{00000000-0005-0000-0000-0000180A0000}"/>
    <cellStyle name="Percent 15 3 4" xfId="2365" xr:uid="{00000000-0005-0000-0000-00003D090000}"/>
    <cellStyle name="Percent 15 4" xfId="865" xr:uid="{00000000-0005-0000-0000-000061030000}"/>
    <cellStyle name="Percent 15 4 2" xfId="1591" xr:uid="{00000000-0005-0000-0000-000037060000}"/>
    <cellStyle name="Percent 15 4 3" xfId="2732" xr:uid="{00000000-0005-0000-0000-0000AC0A0000}"/>
    <cellStyle name="Percent 15 5" xfId="1083" xr:uid="{00000000-0005-0000-0000-00003B040000}"/>
    <cellStyle name="Percent 15 5 2" xfId="1653" xr:uid="{00000000-0005-0000-0000-000075060000}"/>
    <cellStyle name="Percent 15 5 3" xfId="2520" xr:uid="{00000000-0005-0000-0000-0000D8090000}"/>
    <cellStyle name="Percent 15 6" xfId="1467" xr:uid="{00000000-0005-0000-0000-0000BB050000}"/>
    <cellStyle name="Percent 15 7" xfId="2130" xr:uid="{00000000-0005-0000-0000-000052080000}"/>
    <cellStyle name="Percent 2" xfId="117" xr:uid="{00000000-0005-0000-0000-000075000000}"/>
    <cellStyle name="Percent 2 2" xfId="118" xr:uid="{00000000-0005-0000-0000-000076000000}"/>
    <cellStyle name="Percent 2 2 2" xfId="328" xr:uid="{00000000-0005-0000-0000-000048010000}"/>
    <cellStyle name="Percent 2 2 2 2" xfId="2063" xr:uid="{00000000-0005-0000-0000-00000F080000}"/>
    <cellStyle name="Percent 2 2 3" xfId="1898" xr:uid="{00000000-0005-0000-0000-00006A070000}"/>
    <cellStyle name="Percent 2 3" xfId="329" xr:uid="{00000000-0005-0000-0000-000049010000}"/>
    <cellStyle name="Percent 2 3 2" xfId="2064" xr:uid="{00000000-0005-0000-0000-000010080000}"/>
    <cellStyle name="Percent 2 4" xfId="330" xr:uid="{00000000-0005-0000-0000-00004A010000}"/>
    <cellStyle name="Percent 2 4 2" xfId="2065" xr:uid="{00000000-0005-0000-0000-000011080000}"/>
    <cellStyle name="Percent 2 5" xfId="1897" xr:uid="{00000000-0005-0000-0000-000069070000}"/>
    <cellStyle name="Percent 3" xfId="119" xr:uid="{00000000-0005-0000-0000-000077000000}"/>
    <cellStyle name="Percent 3 2" xfId="120" xr:uid="{00000000-0005-0000-0000-000078000000}"/>
    <cellStyle name="Percent 3 2 2" xfId="121" xr:uid="{00000000-0005-0000-0000-000079000000}"/>
    <cellStyle name="Percent 3 2 2 2" xfId="331" xr:uid="{00000000-0005-0000-0000-00004B010000}"/>
    <cellStyle name="Percent 3 2 2 2 2" xfId="2066" xr:uid="{00000000-0005-0000-0000-000012080000}"/>
    <cellStyle name="Percent 3 2 2 3" xfId="1901" xr:uid="{00000000-0005-0000-0000-00006D070000}"/>
    <cellStyle name="Percent 3 2 3" xfId="1900" xr:uid="{00000000-0005-0000-0000-00006C070000}"/>
    <cellStyle name="Percent 3 3" xfId="122" xr:uid="{00000000-0005-0000-0000-00007A000000}"/>
    <cellStyle name="Percent 3 3 2" xfId="1902" xr:uid="{00000000-0005-0000-0000-00006E070000}"/>
    <cellStyle name="Percent 3 4" xfId="1899" xr:uid="{00000000-0005-0000-0000-00006B070000}"/>
    <cellStyle name="Percent 4" xfId="123" xr:uid="{00000000-0005-0000-0000-00007B000000}"/>
    <cellStyle name="Percent 4 2" xfId="124" xr:uid="{00000000-0005-0000-0000-00007C000000}"/>
    <cellStyle name="Percent 4 2 2" xfId="333" xr:uid="{00000000-0005-0000-0000-00004D010000}"/>
    <cellStyle name="Percent 4 2 2 2" xfId="2068" xr:uid="{00000000-0005-0000-0000-000014080000}"/>
    <cellStyle name="Percent 4 2 3" xfId="1904" xr:uid="{00000000-0005-0000-0000-000070070000}"/>
    <cellStyle name="Percent 4 3" xfId="388" xr:uid="{00000000-0005-0000-0000-000084010000}"/>
    <cellStyle name="Percent 4 3 2" xfId="2121" xr:uid="{00000000-0005-0000-0000-000049080000}"/>
    <cellStyle name="Percent 4 4" xfId="332" xr:uid="{00000000-0005-0000-0000-00004C010000}"/>
    <cellStyle name="Percent 4 4 2" xfId="514" xr:uid="{00000000-0005-0000-0000-000002020000}"/>
    <cellStyle name="Percent 4 4 2 2" xfId="742" xr:uid="{00000000-0005-0000-0000-0000E6020000}"/>
    <cellStyle name="Percent 4 4 2 2 2" xfId="1406" xr:uid="{00000000-0005-0000-0000-00007E050000}"/>
    <cellStyle name="Percent 4 4 2 2 2 2" xfId="1740" xr:uid="{00000000-0005-0000-0000-0000CC060000}"/>
    <cellStyle name="Percent 4 4 2 2 2 3" xfId="3052" xr:uid="{00000000-0005-0000-0000-0000EC0B0000}"/>
    <cellStyle name="Percent 4 4 2 2 3" xfId="1554" xr:uid="{00000000-0005-0000-0000-000012060000}"/>
    <cellStyle name="Percent 4 4 2 2 3 2" xfId="2617" xr:uid="{00000000-0005-0000-0000-0000390A0000}"/>
    <cellStyle name="Percent 4 4 2 2 4" xfId="2469" xr:uid="{00000000-0005-0000-0000-0000A5090000}"/>
    <cellStyle name="Percent 4 4 2 3" xfId="962" xr:uid="{00000000-0005-0000-0000-0000C2030000}"/>
    <cellStyle name="Percent 4 4 2 3 2" xfId="1616" xr:uid="{00000000-0005-0000-0000-000050060000}"/>
    <cellStyle name="Percent 4 4 2 3 3" xfId="2828" xr:uid="{00000000-0005-0000-0000-00000C0B0000}"/>
    <cellStyle name="Percent 4 4 2 4" xfId="1180" xr:uid="{00000000-0005-0000-0000-00009C040000}"/>
    <cellStyle name="Percent 4 4 2 4 2" xfId="1678" xr:uid="{00000000-0005-0000-0000-00008E060000}"/>
    <cellStyle name="Percent 4 4 2 4 3" xfId="2546" xr:uid="{00000000-0005-0000-0000-0000F2090000}"/>
    <cellStyle name="Percent 4 4 2 5" xfId="1492" xr:uid="{00000000-0005-0000-0000-0000D4050000}"/>
    <cellStyle name="Percent 4 4 2 6" xfId="2242" xr:uid="{00000000-0005-0000-0000-0000C2080000}"/>
    <cellStyle name="Percent 4 4 3" xfId="626" xr:uid="{00000000-0005-0000-0000-000072020000}"/>
    <cellStyle name="Percent 4 4 3 2" xfId="1290" xr:uid="{00000000-0005-0000-0000-00000A050000}"/>
    <cellStyle name="Percent 4 4 3 2 2" xfId="1709" xr:uid="{00000000-0005-0000-0000-0000AD060000}"/>
    <cellStyle name="Percent 4 4 3 2 3" xfId="2937" xr:uid="{00000000-0005-0000-0000-0000790B0000}"/>
    <cellStyle name="Percent 4 4 3 3" xfId="1523" xr:uid="{00000000-0005-0000-0000-0000F3050000}"/>
    <cellStyle name="Percent 4 4 3 3 2" xfId="2578" xr:uid="{00000000-0005-0000-0000-0000120A0000}"/>
    <cellStyle name="Percent 4 4 3 4" xfId="2354" xr:uid="{00000000-0005-0000-0000-000032090000}"/>
    <cellStyle name="Percent 4 4 4" xfId="854" xr:uid="{00000000-0005-0000-0000-000056030000}"/>
    <cellStyle name="Percent 4 4 4 2" xfId="1585" xr:uid="{00000000-0005-0000-0000-000031060000}"/>
    <cellStyle name="Percent 4 4 4 3" xfId="2721" xr:uid="{00000000-0005-0000-0000-0000A10A0000}"/>
    <cellStyle name="Percent 4 4 5" xfId="1072" xr:uid="{00000000-0005-0000-0000-000030040000}"/>
    <cellStyle name="Percent 4 4 5 2" xfId="1647" xr:uid="{00000000-0005-0000-0000-00006F060000}"/>
    <cellStyle name="Percent 4 4 5 3" xfId="2514" xr:uid="{00000000-0005-0000-0000-0000D2090000}"/>
    <cellStyle name="Percent 4 4 6" xfId="1461" xr:uid="{00000000-0005-0000-0000-0000B5050000}"/>
    <cellStyle name="Percent 4 4 7" xfId="2067" xr:uid="{00000000-0005-0000-0000-000013080000}"/>
    <cellStyle name="Percent 4 5" xfId="1903" xr:uid="{00000000-0005-0000-0000-00006F070000}"/>
    <cellStyle name="Percent 5" xfId="125" xr:uid="{00000000-0005-0000-0000-00007D000000}"/>
    <cellStyle name="Percent 5 2" xfId="334" xr:uid="{00000000-0005-0000-0000-00004E010000}"/>
    <cellStyle name="Percent 5 2 2" xfId="335" xr:uid="{00000000-0005-0000-0000-00004F010000}"/>
    <cellStyle name="Percent 5 2 2 2" xfId="2070" xr:uid="{00000000-0005-0000-0000-000016080000}"/>
    <cellStyle name="Percent 5 2 3" xfId="336" xr:uid="{00000000-0005-0000-0000-000050010000}"/>
    <cellStyle name="Percent 5 2 3 2" xfId="2071" xr:uid="{00000000-0005-0000-0000-000017080000}"/>
    <cellStyle name="Percent 5 2 4" xfId="337" xr:uid="{00000000-0005-0000-0000-000051010000}"/>
    <cellStyle name="Percent 5 2 4 2" xfId="2072" xr:uid="{00000000-0005-0000-0000-000018080000}"/>
    <cellStyle name="Percent 5 2 5" xfId="2069" xr:uid="{00000000-0005-0000-0000-000015080000}"/>
    <cellStyle name="Percent 5 3" xfId="338" xr:uid="{00000000-0005-0000-0000-000052010000}"/>
    <cellStyle name="Percent 5 3 2" xfId="2073" xr:uid="{00000000-0005-0000-0000-000019080000}"/>
    <cellStyle name="Percent 5 4" xfId="1905" xr:uid="{00000000-0005-0000-0000-000071070000}"/>
    <cellStyle name="Percent 6" xfId="339" xr:uid="{00000000-0005-0000-0000-000053010000}"/>
    <cellStyle name="Percent 6 2" xfId="340" xr:uid="{00000000-0005-0000-0000-000054010000}"/>
    <cellStyle name="Percent 6 2 2" xfId="2075" xr:uid="{00000000-0005-0000-0000-00001B080000}"/>
    <cellStyle name="Percent 6 3" xfId="341" xr:uid="{00000000-0005-0000-0000-000055010000}"/>
    <cellStyle name="Percent 6 3 2" xfId="2076" xr:uid="{00000000-0005-0000-0000-00001C080000}"/>
    <cellStyle name="Percent 6 4" xfId="2074" xr:uid="{00000000-0005-0000-0000-00001A080000}"/>
    <cellStyle name="Percent 7" xfId="342" xr:uid="{00000000-0005-0000-0000-000056010000}"/>
    <cellStyle name="Percent 7 2" xfId="343" xr:uid="{00000000-0005-0000-0000-000057010000}"/>
    <cellStyle name="Percent 7 2 2" xfId="344" xr:uid="{00000000-0005-0000-0000-000058010000}"/>
    <cellStyle name="Percent 7 2 2 2" xfId="2079" xr:uid="{00000000-0005-0000-0000-00001F080000}"/>
    <cellStyle name="Percent 7 2 3" xfId="345" xr:uid="{00000000-0005-0000-0000-000059010000}"/>
    <cellStyle name="Percent 7 2 3 2" xfId="2080" xr:uid="{00000000-0005-0000-0000-000020080000}"/>
    <cellStyle name="Percent 7 2 4" xfId="2078" xr:uid="{00000000-0005-0000-0000-00001E080000}"/>
    <cellStyle name="Percent 7 3" xfId="346" xr:uid="{00000000-0005-0000-0000-00005A010000}"/>
    <cellStyle name="Percent 7 3 2" xfId="2081" xr:uid="{00000000-0005-0000-0000-000021080000}"/>
    <cellStyle name="Percent 7 4" xfId="347" xr:uid="{00000000-0005-0000-0000-00005B010000}"/>
    <cellStyle name="Percent 7 4 2" xfId="2082" xr:uid="{00000000-0005-0000-0000-000022080000}"/>
    <cellStyle name="Percent 7 5" xfId="2077" xr:uid="{00000000-0005-0000-0000-00001D080000}"/>
    <cellStyle name="Percent 8" xfId="348" xr:uid="{00000000-0005-0000-0000-00005C010000}"/>
    <cellStyle name="Percent 8 2" xfId="349" xr:uid="{00000000-0005-0000-0000-00005D010000}"/>
    <cellStyle name="Percent 8 2 2" xfId="2084" xr:uid="{00000000-0005-0000-0000-000024080000}"/>
    <cellStyle name="Percent 8 3" xfId="2083" xr:uid="{00000000-0005-0000-0000-000023080000}"/>
    <cellStyle name="Percent 9" xfId="350" xr:uid="{00000000-0005-0000-0000-00005E010000}"/>
    <cellStyle name="Percent 9 2" xfId="351" xr:uid="{00000000-0005-0000-0000-00005F010000}"/>
    <cellStyle name="Percent 9 2 2" xfId="2086" xr:uid="{00000000-0005-0000-0000-000026080000}"/>
    <cellStyle name="Percent 9 3" xfId="2085" xr:uid="{00000000-0005-0000-0000-000025080000}"/>
    <cellStyle name="Standard_Sce_D_Extraction" xfId="126" xr:uid="{00000000-0005-0000-0000-00007E000000}"/>
    <cellStyle name="Title 2" xfId="127" xr:uid="{00000000-0005-0000-0000-00007F000000}"/>
    <cellStyle name="Title 2 2" xfId="1907" xr:uid="{00000000-0005-0000-0000-000073070000}"/>
    <cellStyle name="Title 3" xfId="128" xr:uid="{00000000-0005-0000-0000-000080000000}"/>
    <cellStyle name="Title 3 2" xfId="1908" xr:uid="{00000000-0005-0000-0000-000074070000}"/>
    <cellStyle name="Title 4" xfId="1906" xr:uid="{00000000-0005-0000-0000-000072070000}"/>
    <cellStyle name="Total 2" xfId="129" xr:uid="{00000000-0005-0000-0000-000081000000}"/>
    <cellStyle name="Total 2 2" xfId="426" xr:uid="{00000000-0005-0000-0000-0000AA010000}"/>
    <cellStyle name="Total 2 2 2" xfId="2155" xr:uid="{00000000-0005-0000-0000-00006B080000}"/>
    <cellStyle name="Total 2 3" xfId="1910" xr:uid="{00000000-0005-0000-0000-000076070000}"/>
    <cellStyle name="Total 3" xfId="130" xr:uid="{00000000-0005-0000-0000-000082000000}"/>
    <cellStyle name="Total 3 2" xfId="427" xr:uid="{00000000-0005-0000-0000-0000AB010000}"/>
    <cellStyle name="Total 3 2 2" xfId="2156" xr:uid="{00000000-0005-0000-0000-00006C080000}"/>
    <cellStyle name="Total 3 3" xfId="1911" xr:uid="{00000000-0005-0000-0000-000077070000}"/>
    <cellStyle name="Total 4" xfId="425" xr:uid="{00000000-0005-0000-0000-0000A9010000}"/>
    <cellStyle name="Total 4 2" xfId="2154" xr:uid="{00000000-0005-0000-0000-00006A080000}"/>
    <cellStyle name="Total 5" xfId="1909" xr:uid="{00000000-0005-0000-0000-000075070000}"/>
    <cellStyle name="Warning Text 2" xfId="131" xr:uid="{00000000-0005-0000-0000-000083000000}"/>
    <cellStyle name="Warning Text 2 2" xfId="1913" xr:uid="{00000000-0005-0000-0000-000079070000}"/>
    <cellStyle name="Warning Text 3" xfId="132" xr:uid="{00000000-0005-0000-0000-000084000000}"/>
    <cellStyle name="Warning Text 3 2" xfId="1914" xr:uid="{00000000-0005-0000-0000-00007A070000}"/>
    <cellStyle name="Warning Text 4" xfId="1912" xr:uid="{00000000-0005-0000-0000-00007807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CITY!$J$9</c:f>
              <c:strCache>
                <c:ptCount val="1"/>
                <c:pt idx="0">
                  <c:v> CITYCap2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CITY!$K$9:$AD$9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17380388.678637024</c:v>
                </c:pt>
                <c:pt idx="2">
                  <c:v>17005327.624775529</c:v>
                </c:pt>
                <c:pt idx="3">
                  <c:v>16694135.921519628</c:v>
                </c:pt>
                <c:pt idx="4">
                  <c:v>16414012.504850723</c:v>
                </c:pt>
                <c:pt idx="5">
                  <c:v>16107833.25526393</c:v>
                </c:pt>
                <c:pt idx="6">
                  <c:v>15837848.091424201</c:v>
                </c:pt>
                <c:pt idx="7">
                  <c:v>15388713.910988765</c:v>
                </c:pt>
                <c:pt idx="8">
                  <c:v>14435171.254826313</c:v>
                </c:pt>
                <c:pt idx="9">
                  <c:v>13946467.686289134</c:v>
                </c:pt>
                <c:pt idx="10">
                  <c:v>13654940.220967336</c:v>
                </c:pt>
                <c:pt idx="11">
                  <c:v>13071924.091012504</c:v>
                </c:pt>
                <c:pt idx="12">
                  <c:v>12982939.655116256</c:v>
                </c:pt>
                <c:pt idx="13">
                  <c:v>12916757.240216637</c:v>
                </c:pt>
                <c:pt idx="14">
                  <c:v>12684103.638339171</c:v>
                </c:pt>
                <c:pt idx="15">
                  <c:v>12746469.640302021</c:v>
                </c:pt>
                <c:pt idx="16">
                  <c:v>12985241.497492747</c:v>
                </c:pt>
                <c:pt idx="17">
                  <c:v>13230516.295484765</c:v>
                </c:pt>
                <c:pt idx="18">
                  <c:v>13477773.513126781</c:v>
                </c:pt>
                <c:pt idx="19">
                  <c:v>13726369.817468507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32-466E-99A2-D1FB32C537C6}"/>
            </c:ext>
          </c:extLst>
        </c:ser>
        <c:ser>
          <c:idx val="1"/>
          <c:order val="1"/>
          <c:tx>
            <c:strRef>
              <c:f>CITY!$J$10</c:f>
              <c:strCache>
                <c:ptCount val="1"/>
                <c:pt idx="0">
                  <c:v> CITYCap3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CITY!$K$10:$AD$10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17348864.628791548</c:v>
                </c:pt>
                <c:pt idx="2">
                  <c:v>16968340.83665726</c:v>
                </c:pt>
                <c:pt idx="3">
                  <c:v>16649320.863624655</c:v>
                </c:pt>
                <c:pt idx="4">
                  <c:v>16360218.499898046</c:v>
                </c:pt>
                <c:pt idx="5">
                  <c:v>16046025.334102361</c:v>
                </c:pt>
                <c:pt idx="6">
                  <c:v>15766685.732359402</c:v>
                </c:pt>
                <c:pt idx="7">
                  <c:v>15295478.374367729</c:v>
                </c:pt>
                <c:pt idx="8">
                  <c:v>14319190.447630526</c:v>
                </c:pt>
                <c:pt idx="9">
                  <c:v>13809879.234429767</c:v>
                </c:pt>
                <c:pt idx="10">
                  <c:v>13471087.417390971</c:v>
                </c:pt>
                <c:pt idx="11">
                  <c:v>12812895.035355408</c:v>
                </c:pt>
                <c:pt idx="12">
                  <c:v>12630436.877228113</c:v>
                </c:pt>
                <c:pt idx="13">
                  <c:v>12469936.220801273</c:v>
                </c:pt>
                <c:pt idx="14">
                  <c:v>12245899.418993343</c:v>
                </c:pt>
                <c:pt idx="15">
                  <c:v>12305955.569031643</c:v>
                </c:pt>
                <c:pt idx="16">
                  <c:v>12535884.024104195</c:v>
                </c:pt>
                <c:pt idx="17">
                  <c:v>12772074.570318729</c:v>
                </c:pt>
                <c:pt idx="18">
                  <c:v>13010174.113233263</c:v>
                </c:pt>
                <c:pt idx="19">
                  <c:v>13249563.147043815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32-466E-99A2-D1FB32C537C6}"/>
            </c:ext>
          </c:extLst>
        </c:ser>
        <c:ser>
          <c:idx val="2"/>
          <c:order val="2"/>
          <c:tx>
            <c:strRef>
              <c:f>CITY!$J$11</c:f>
              <c:strCache>
                <c:ptCount val="1"/>
                <c:pt idx="0">
                  <c:v> CITYCap4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CITY!$K$11:$AD$11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17317340.578946073</c:v>
                </c:pt>
                <c:pt idx="2">
                  <c:v>16931354.04853899</c:v>
                </c:pt>
                <c:pt idx="3">
                  <c:v>16604505.805729682</c:v>
                </c:pt>
                <c:pt idx="4">
                  <c:v>16306424.49494537</c:v>
                </c:pt>
                <c:pt idx="5">
                  <c:v>15984217.412940791</c:v>
                </c:pt>
                <c:pt idx="6">
                  <c:v>15695523.373294603</c:v>
                </c:pt>
                <c:pt idx="7">
                  <c:v>15202242.837746693</c:v>
                </c:pt>
                <c:pt idx="8">
                  <c:v>14203209.64043474</c:v>
                </c:pt>
                <c:pt idx="9">
                  <c:v>13673290.782570401</c:v>
                </c:pt>
                <c:pt idx="10">
                  <c:v>13287234.613814605</c:v>
                </c:pt>
                <c:pt idx="11">
                  <c:v>12553865.979698312</c:v>
                </c:pt>
                <c:pt idx="12">
                  <c:v>12277934.099339969</c:v>
                </c:pt>
                <c:pt idx="13">
                  <c:v>12023115.20138591</c:v>
                </c:pt>
                <c:pt idx="14">
                  <c:v>11807695.199647514</c:v>
                </c:pt>
                <c:pt idx="15">
                  <c:v>11865441.497761264</c:v>
                </c:pt>
                <c:pt idx="16">
                  <c:v>12086526.550715642</c:v>
                </c:pt>
                <c:pt idx="17">
                  <c:v>12313632.845152693</c:v>
                </c:pt>
                <c:pt idx="18">
                  <c:v>12542574.713339744</c:v>
                </c:pt>
                <c:pt idx="19">
                  <c:v>12772756.476619123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32-466E-99A2-D1FB32C537C6}"/>
            </c:ext>
          </c:extLst>
        </c:ser>
        <c:ser>
          <c:idx val="3"/>
          <c:order val="3"/>
          <c:tx>
            <c:strRef>
              <c:f>CITY!$J$12</c:f>
              <c:strCache>
                <c:ptCount val="1"/>
                <c:pt idx="0">
                  <c:v> CITYCap5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CITY!$K$12:$AD$12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17285816.529100597</c:v>
                </c:pt>
                <c:pt idx="2">
                  <c:v>16894367.260420721</c:v>
                </c:pt>
                <c:pt idx="3">
                  <c:v>16559690.747834709</c:v>
                </c:pt>
                <c:pt idx="4">
                  <c:v>16252630.489992693</c:v>
                </c:pt>
                <c:pt idx="5">
                  <c:v>15922409.491779221</c:v>
                </c:pt>
                <c:pt idx="6">
                  <c:v>15624361.014229804</c:v>
                </c:pt>
                <c:pt idx="7">
                  <c:v>15109007.301125657</c:v>
                </c:pt>
                <c:pt idx="8">
                  <c:v>14087228.833238954</c:v>
                </c:pt>
                <c:pt idx="9">
                  <c:v>13536702.330711035</c:v>
                </c:pt>
                <c:pt idx="10">
                  <c:v>13103381.81023824</c:v>
                </c:pt>
                <c:pt idx="11">
                  <c:v>12294836.924041215</c:v>
                </c:pt>
                <c:pt idx="12">
                  <c:v>11925431.321451826</c:v>
                </c:pt>
                <c:pt idx="13">
                  <c:v>11576294.181970546</c:v>
                </c:pt>
                <c:pt idx="14">
                  <c:v>11369490.980301686</c:v>
                </c:pt>
                <c:pt idx="15">
                  <c:v>11424927.426490886</c:v>
                </c:pt>
                <c:pt idx="16">
                  <c:v>11637169.077327089</c:v>
                </c:pt>
                <c:pt idx="17">
                  <c:v>11855191.119986657</c:v>
                </c:pt>
                <c:pt idx="18">
                  <c:v>12074975.313446226</c:v>
                </c:pt>
                <c:pt idx="19">
                  <c:v>12295949.80619443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2-466E-99A2-D1FB32C537C6}"/>
            </c:ext>
          </c:extLst>
        </c:ser>
        <c:ser>
          <c:idx val="4"/>
          <c:order val="4"/>
          <c:tx>
            <c:strRef>
              <c:f>CITY!$J$13</c:f>
              <c:strCache>
                <c:ptCount val="1"/>
                <c:pt idx="0">
                  <c:v> CITYCap6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CITY!$K$13:$AD$13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17254292.479255121</c:v>
                </c:pt>
                <c:pt idx="2">
                  <c:v>16857380.472302452</c:v>
                </c:pt>
                <c:pt idx="3">
                  <c:v>16514875.689939735</c:v>
                </c:pt>
                <c:pt idx="4">
                  <c:v>16198836.485040016</c:v>
                </c:pt>
                <c:pt idx="5">
                  <c:v>15860601.570617652</c:v>
                </c:pt>
                <c:pt idx="6">
                  <c:v>15553198.655165005</c:v>
                </c:pt>
                <c:pt idx="7">
                  <c:v>15015771.764504621</c:v>
                </c:pt>
                <c:pt idx="8">
                  <c:v>13971248.026043167</c:v>
                </c:pt>
                <c:pt idx="9">
                  <c:v>13400113.878851669</c:v>
                </c:pt>
                <c:pt idx="10">
                  <c:v>12919529.006661875</c:v>
                </c:pt>
                <c:pt idx="11">
                  <c:v>12035807.868384119</c:v>
                </c:pt>
                <c:pt idx="12">
                  <c:v>11572928.543563683</c:v>
                </c:pt>
                <c:pt idx="13">
                  <c:v>11129473.162555182</c:v>
                </c:pt>
                <c:pt idx="14">
                  <c:v>10931286.760955857</c:v>
                </c:pt>
                <c:pt idx="15">
                  <c:v>10984413.355220508</c:v>
                </c:pt>
                <c:pt idx="16">
                  <c:v>11187811.603938537</c:v>
                </c:pt>
                <c:pt idx="17">
                  <c:v>11396749.394820621</c:v>
                </c:pt>
                <c:pt idx="18">
                  <c:v>11607375.913552707</c:v>
                </c:pt>
                <c:pt idx="19">
                  <c:v>11819143.135769738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32-466E-99A2-D1FB32C537C6}"/>
            </c:ext>
          </c:extLst>
        </c:ser>
        <c:ser>
          <c:idx val="5"/>
          <c:order val="5"/>
          <c:tx>
            <c:strRef>
              <c:f>CITY!$J$14</c:f>
              <c:strCache>
                <c:ptCount val="1"/>
                <c:pt idx="0">
                  <c:v> CITYCap7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CITY!$K$14:$AD$14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17222768.429409645</c:v>
                </c:pt>
                <c:pt idx="2">
                  <c:v>16820393.684184182</c:v>
                </c:pt>
                <c:pt idx="3">
                  <c:v>16470060.632044762</c:v>
                </c:pt>
                <c:pt idx="4">
                  <c:v>16145042.48008734</c:v>
                </c:pt>
                <c:pt idx="5">
                  <c:v>15798793.649456082</c:v>
                </c:pt>
                <c:pt idx="6">
                  <c:v>15482036.296100207</c:v>
                </c:pt>
                <c:pt idx="7">
                  <c:v>14922536.227883585</c:v>
                </c:pt>
                <c:pt idx="8">
                  <c:v>13855267.218847381</c:v>
                </c:pt>
                <c:pt idx="9">
                  <c:v>13263525.426992303</c:v>
                </c:pt>
                <c:pt idx="10">
                  <c:v>12735676.20308551</c:v>
                </c:pt>
                <c:pt idx="11">
                  <c:v>11776778.812727023</c:v>
                </c:pt>
                <c:pt idx="12">
                  <c:v>11220425.765675539</c:v>
                </c:pt>
                <c:pt idx="13">
                  <c:v>10682652.143139819</c:v>
                </c:pt>
                <c:pt idx="14">
                  <c:v>10493082.541610029</c:v>
                </c:pt>
                <c:pt idx="15">
                  <c:v>10543899.28395013</c:v>
                </c:pt>
                <c:pt idx="16">
                  <c:v>10738454.130549984</c:v>
                </c:pt>
                <c:pt idx="17">
                  <c:v>10938307.669654585</c:v>
                </c:pt>
                <c:pt idx="18">
                  <c:v>11139776.513659189</c:v>
                </c:pt>
                <c:pt idx="19">
                  <c:v>11342336.465345046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32-466E-99A2-D1FB32C537C6}"/>
            </c:ext>
          </c:extLst>
        </c:ser>
        <c:ser>
          <c:idx val="6"/>
          <c:order val="6"/>
          <c:tx>
            <c:strRef>
              <c:f>CITY!$J$15</c:f>
              <c:strCache>
                <c:ptCount val="1"/>
                <c:pt idx="0">
                  <c:v> CITYCap8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CITY!$K$15:$AD$15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17191244.37956417</c:v>
                </c:pt>
                <c:pt idx="2">
                  <c:v>16783406.896065913</c:v>
                </c:pt>
                <c:pt idx="3">
                  <c:v>16425245.574149789</c:v>
                </c:pt>
                <c:pt idx="4">
                  <c:v>16091248.475134663</c:v>
                </c:pt>
                <c:pt idx="5">
                  <c:v>15736985.728294512</c:v>
                </c:pt>
                <c:pt idx="6">
                  <c:v>15410873.937035408</c:v>
                </c:pt>
                <c:pt idx="7">
                  <c:v>14829300.691262549</c:v>
                </c:pt>
                <c:pt idx="8">
                  <c:v>13739286.411651595</c:v>
                </c:pt>
                <c:pt idx="9">
                  <c:v>13126936.975132937</c:v>
                </c:pt>
                <c:pt idx="10">
                  <c:v>12551823.399509145</c:v>
                </c:pt>
                <c:pt idx="11">
                  <c:v>11517749.757069927</c:v>
                </c:pt>
                <c:pt idx="12">
                  <c:v>10867922.987787396</c:v>
                </c:pt>
                <c:pt idx="13">
                  <c:v>10235831.123724455</c:v>
                </c:pt>
                <c:pt idx="14">
                  <c:v>10054878.3222642</c:v>
                </c:pt>
                <c:pt idx="15">
                  <c:v>10103385.212679751</c:v>
                </c:pt>
                <c:pt idx="16">
                  <c:v>10289096.657161431</c:v>
                </c:pt>
                <c:pt idx="17">
                  <c:v>10479865.94448855</c:v>
                </c:pt>
                <c:pt idx="18">
                  <c:v>10672177.11376567</c:v>
                </c:pt>
                <c:pt idx="19">
                  <c:v>10865529.794920353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32-466E-99A2-D1FB32C537C6}"/>
            </c:ext>
          </c:extLst>
        </c:ser>
        <c:ser>
          <c:idx val="7"/>
          <c:order val="7"/>
          <c:tx>
            <c:strRef>
              <c:f>CITY!$J$16</c:f>
              <c:strCache>
                <c:ptCount val="1"/>
                <c:pt idx="0">
                  <c:v> CITYCap9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CITY!$K$16:$AD$16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17159720.329718694</c:v>
                </c:pt>
                <c:pt idx="2">
                  <c:v>16746420.107947644</c:v>
                </c:pt>
                <c:pt idx="3">
                  <c:v>16380430.516254816</c:v>
                </c:pt>
                <c:pt idx="4">
                  <c:v>16037454.470181987</c:v>
                </c:pt>
                <c:pt idx="5">
                  <c:v>15675177.807132943</c:v>
                </c:pt>
                <c:pt idx="6">
                  <c:v>15339711.577970609</c:v>
                </c:pt>
                <c:pt idx="7">
                  <c:v>14736065.154641513</c:v>
                </c:pt>
                <c:pt idx="8">
                  <c:v>13623305.604455808</c:v>
                </c:pt>
                <c:pt idx="9">
                  <c:v>12990348.52327357</c:v>
                </c:pt>
                <c:pt idx="10">
                  <c:v>12367970.59593278</c:v>
                </c:pt>
                <c:pt idx="11">
                  <c:v>11258720.701412831</c:v>
                </c:pt>
                <c:pt idx="12">
                  <c:v>10515420.209899252</c:v>
                </c:pt>
                <c:pt idx="13">
                  <c:v>9789010.1043090913</c:v>
                </c:pt>
                <c:pt idx="14">
                  <c:v>9616674.1029183716</c:v>
                </c:pt>
                <c:pt idx="15">
                  <c:v>9662871.1414093729</c:v>
                </c:pt>
                <c:pt idx="16">
                  <c:v>9839739.1837728787</c:v>
                </c:pt>
                <c:pt idx="17">
                  <c:v>10021424.219322514</c:v>
                </c:pt>
                <c:pt idx="18">
                  <c:v>10204577.713872151</c:v>
                </c:pt>
                <c:pt idx="19">
                  <c:v>10388723.124495661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32-466E-99A2-D1FB32C537C6}"/>
            </c:ext>
          </c:extLst>
        </c:ser>
        <c:ser>
          <c:idx val="8"/>
          <c:order val="8"/>
          <c:tx>
            <c:strRef>
              <c:f>CITY!$J$17</c:f>
              <c:strCache>
                <c:ptCount val="1"/>
                <c:pt idx="0">
                  <c:v> CITYCap10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CITY!$K$17:$AD$17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17128196.279873218</c:v>
                </c:pt>
                <c:pt idx="2">
                  <c:v>16709433.319829375</c:v>
                </c:pt>
                <c:pt idx="3">
                  <c:v>16335615.458359843</c:v>
                </c:pt>
                <c:pt idx="4">
                  <c:v>15983660.46522931</c:v>
                </c:pt>
                <c:pt idx="5">
                  <c:v>15613369.885971373</c:v>
                </c:pt>
                <c:pt idx="6">
                  <c:v>15268549.21890581</c:v>
                </c:pt>
                <c:pt idx="7">
                  <c:v>14642829.618020477</c:v>
                </c:pt>
                <c:pt idx="8">
                  <c:v>13507324.797260022</c:v>
                </c:pt>
                <c:pt idx="9">
                  <c:v>12853760.071414204</c:v>
                </c:pt>
                <c:pt idx="10">
                  <c:v>12184117.792356415</c:v>
                </c:pt>
                <c:pt idx="11">
                  <c:v>10999691.645755734</c:v>
                </c:pt>
                <c:pt idx="12">
                  <c:v>10162917.432011109</c:v>
                </c:pt>
                <c:pt idx="13">
                  <c:v>9342189.0848937277</c:v>
                </c:pt>
                <c:pt idx="14">
                  <c:v>9178469.883572543</c:v>
                </c:pt>
                <c:pt idx="15">
                  <c:v>9222357.0701389946</c:v>
                </c:pt>
                <c:pt idx="16">
                  <c:v>9390381.7103843261</c:v>
                </c:pt>
                <c:pt idx="17">
                  <c:v>9562982.494156478</c:v>
                </c:pt>
                <c:pt idx="18">
                  <c:v>9736978.3139786329</c:v>
                </c:pt>
                <c:pt idx="19">
                  <c:v>9911916.4540709686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32-466E-99A2-D1FB32C537C6}"/>
            </c:ext>
          </c:extLst>
        </c:ser>
        <c:ser>
          <c:idx val="9"/>
          <c:order val="9"/>
          <c:tx>
            <c:strRef>
              <c:f>CITY!$J$18</c:f>
              <c:strCache>
                <c:ptCount val="1"/>
                <c:pt idx="0">
                  <c:v> CITYCap11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CITY!$K$18:$AD$18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17096672.230027743</c:v>
                </c:pt>
                <c:pt idx="2">
                  <c:v>16672446.531711105</c:v>
                </c:pt>
                <c:pt idx="3">
                  <c:v>16290800.40046487</c:v>
                </c:pt>
                <c:pt idx="4">
                  <c:v>15929866.460276634</c:v>
                </c:pt>
                <c:pt idx="5">
                  <c:v>15551561.964809803</c:v>
                </c:pt>
                <c:pt idx="6">
                  <c:v>15197386.859841011</c:v>
                </c:pt>
                <c:pt idx="7">
                  <c:v>14549594.081399441</c:v>
                </c:pt>
                <c:pt idx="8">
                  <c:v>13391343.990064235</c:v>
                </c:pt>
                <c:pt idx="9">
                  <c:v>12717171.619554838</c:v>
                </c:pt>
                <c:pt idx="10">
                  <c:v>12000264.98878005</c:v>
                </c:pt>
                <c:pt idx="11">
                  <c:v>10740662.590098638</c:v>
                </c:pt>
                <c:pt idx="12">
                  <c:v>9810414.6541229654</c:v>
                </c:pt>
                <c:pt idx="13">
                  <c:v>8895368.065478364</c:v>
                </c:pt>
                <c:pt idx="14">
                  <c:v>8740265.6642267145</c:v>
                </c:pt>
                <c:pt idx="15">
                  <c:v>8781842.9988686163</c:v>
                </c:pt>
                <c:pt idx="16">
                  <c:v>8941024.2369957734</c:v>
                </c:pt>
                <c:pt idx="17">
                  <c:v>9104540.7689904422</c:v>
                </c:pt>
                <c:pt idx="18">
                  <c:v>9269378.9140851144</c:v>
                </c:pt>
                <c:pt idx="19">
                  <c:v>9435109.7836462762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832-466E-99A2-D1FB32C537C6}"/>
            </c:ext>
          </c:extLst>
        </c:ser>
        <c:ser>
          <c:idx val="10"/>
          <c:order val="10"/>
          <c:tx>
            <c:strRef>
              <c:f>CITY!$J$19</c:f>
              <c:strCache>
                <c:ptCount val="1"/>
                <c:pt idx="0">
                  <c:v> CITYCap12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CITY!$K$19:$AD$19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17065148.180182267</c:v>
                </c:pt>
                <c:pt idx="2">
                  <c:v>16635459.743592836</c:v>
                </c:pt>
                <c:pt idx="3">
                  <c:v>16245985.342569897</c:v>
                </c:pt>
                <c:pt idx="4">
                  <c:v>15876072.455323957</c:v>
                </c:pt>
                <c:pt idx="5">
                  <c:v>15489754.043648234</c:v>
                </c:pt>
                <c:pt idx="6">
                  <c:v>15126224.500776213</c:v>
                </c:pt>
                <c:pt idx="7">
                  <c:v>14456358.544778405</c:v>
                </c:pt>
                <c:pt idx="8">
                  <c:v>13275363.182868449</c:v>
                </c:pt>
                <c:pt idx="9">
                  <c:v>12580583.167695472</c:v>
                </c:pt>
                <c:pt idx="10">
                  <c:v>11816412.185203684</c:v>
                </c:pt>
                <c:pt idx="11">
                  <c:v>10481633.534441542</c:v>
                </c:pt>
                <c:pt idx="12">
                  <c:v>9457911.876234822</c:v>
                </c:pt>
                <c:pt idx="13">
                  <c:v>8448547.0460630003</c:v>
                </c:pt>
                <c:pt idx="14">
                  <c:v>8302061.444880886</c:v>
                </c:pt>
                <c:pt idx="15">
                  <c:v>8341328.927598238</c:v>
                </c:pt>
                <c:pt idx="16">
                  <c:v>8491666.7636072207</c:v>
                </c:pt>
                <c:pt idx="17">
                  <c:v>8646099.0438244063</c:v>
                </c:pt>
                <c:pt idx="18">
                  <c:v>8801779.5141915958</c:v>
                </c:pt>
                <c:pt idx="19">
                  <c:v>8958303.1132215839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32-466E-99A2-D1FB32C537C6}"/>
            </c:ext>
          </c:extLst>
        </c:ser>
        <c:ser>
          <c:idx val="11"/>
          <c:order val="11"/>
          <c:tx>
            <c:strRef>
              <c:f>CITY!$J$20</c:f>
              <c:strCache>
                <c:ptCount val="1"/>
                <c:pt idx="0">
                  <c:v> CITYCap13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CITY!$K$20:$AD$20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17033624.130336791</c:v>
                </c:pt>
                <c:pt idx="2">
                  <c:v>16598472.955474567</c:v>
                </c:pt>
                <c:pt idx="3">
                  <c:v>16201170.284674924</c:v>
                </c:pt>
                <c:pt idx="4">
                  <c:v>15822278.45037128</c:v>
                </c:pt>
                <c:pt idx="5">
                  <c:v>15427946.122486664</c:v>
                </c:pt>
                <c:pt idx="6">
                  <c:v>15055062.141711414</c:v>
                </c:pt>
                <c:pt idx="7">
                  <c:v>14363123.008157369</c:v>
                </c:pt>
                <c:pt idx="8">
                  <c:v>13159382.375672663</c:v>
                </c:pt>
                <c:pt idx="9">
                  <c:v>12443994.715836106</c:v>
                </c:pt>
                <c:pt idx="10">
                  <c:v>11632559.381627319</c:v>
                </c:pt>
                <c:pt idx="11">
                  <c:v>10222604.478784446</c:v>
                </c:pt>
                <c:pt idx="12">
                  <c:v>9105409.0983466785</c:v>
                </c:pt>
                <c:pt idx="13">
                  <c:v>8001726.0266476367</c:v>
                </c:pt>
                <c:pt idx="14">
                  <c:v>7863857.2255350575</c:v>
                </c:pt>
                <c:pt idx="15">
                  <c:v>7900814.8563278597</c:v>
                </c:pt>
                <c:pt idx="16">
                  <c:v>8042309.2902186671</c:v>
                </c:pt>
                <c:pt idx="17">
                  <c:v>8187657.3186583705</c:v>
                </c:pt>
                <c:pt idx="18">
                  <c:v>8334180.1142980782</c:v>
                </c:pt>
                <c:pt idx="19">
                  <c:v>8481496.4427968916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832-466E-99A2-D1FB32C537C6}"/>
            </c:ext>
          </c:extLst>
        </c:ser>
        <c:ser>
          <c:idx val="12"/>
          <c:order val="12"/>
          <c:tx>
            <c:strRef>
              <c:f>CITY!$J$21</c:f>
              <c:strCache>
                <c:ptCount val="1"/>
                <c:pt idx="0">
                  <c:v> CITYCap14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CITY!$K$21:$AD$21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17002100.080491316</c:v>
                </c:pt>
                <c:pt idx="2">
                  <c:v>16561486.167356297</c:v>
                </c:pt>
                <c:pt idx="3">
                  <c:v>16156355.226779951</c:v>
                </c:pt>
                <c:pt idx="4">
                  <c:v>15768484.445418604</c:v>
                </c:pt>
                <c:pt idx="5">
                  <c:v>15366138.201325094</c:v>
                </c:pt>
                <c:pt idx="6">
                  <c:v>14983899.782646615</c:v>
                </c:pt>
                <c:pt idx="7">
                  <c:v>14269887.471536333</c:v>
                </c:pt>
                <c:pt idx="8">
                  <c:v>13043401.568476876</c:v>
                </c:pt>
                <c:pt idx="9">
                  <c:v>12307406.26397674</c:v>
                </c:pt>
                <c:pt idx="10">
                  <c:v>11448706.578050954</c:v>
                </c:pt>
                <c:pt idx="11">
                  <c:v>9963575.4231273495</c:v>
                </c:pt>
                <c:pt idx="12">
                  <c:v>8752906.3204585351</c:v>
                </c:pt>
                <c:pt idx="13">
                  <c:v>7554905.007232273</c:v>
                </c:pt>
                <c:pt idx="14">
                  <c:v>7425653.006189229</c:v>
                </c:pt>
                <c:pt idx="15">
                  <c:v>7460300.7850574814</c:v>
                </c:pt>
                <c:pt idx="16">
                  <c:v>7592951.8168301135</c:v>
                </c:pt>
                <c:pt idx="17">
                  <c:v>7729215.5934923347</c:v>
                </c:pt>
                <c:pt idx="18">
                  <c:v>7866580.7144045606</c:v>
                </c:pt>
                <c:pt idx="19">
                  <c:v>8004689.7723721992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32-466E-99A2-D1FB32C537C6}"/>
            </c:ext>
          </c:extLst>
        </c:ser>
        <c:ser>
          <c:idx val="13"/>
          <c:order val="13"/>
          <c:tx>
            <c:strRef>
              <c:f>CITY!$J$22</c:f>
              <c:strCache>
                <c:ptCount val="1"/>
                <c:pt idx="0">
                  <c:v> CITYCap15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CITY!$K$22:$AD$22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16970576.03064584</c:v>
                </c:pt>
                <c:pt idx="2">
                  <c:v>16524499.379238028</c:v>
                </c:pt>
                <c:pt idx="3">
                  <c:v>16111540.168884978</c:v>
                </c:pt>
                <c:pt idx="4">
                  <c:v>15714690.440465927</c:v>
                </c:pt>
                <c:pt idx="5">
                  <c:v>15304330.280163525</c:v>
                </c:pt>
                <c:pt idx="6">
                  <c:v>14912737.423581816</c:v>
                </c:pt>
                <c:pt idx="7">
                  <c:v>14176651.934915297</c:v>
                </c:pt>
                <c:pt idx="8">
                  <c:v>12927420.76128109</c:v>
                </c:pt>
                <c:pt idx="9">
                  <c:v>12170817.812117374</c:v>
                </c:pt>
                <c:pt idx="10">
                  <c:v>11264853.774474589</c:v>
                </c:pt>
                <c:pt idx="11">
                  <c:v>9704546.3674702533</c:v>
                </c:pt>
                <c:pt idx="12">
                  <c:v>8400403.5425703917</c:v>
                </c:pt>
                <c:pt idx="13">
                  <c:v>7108083.9878169093</c:v>
                </c:pt>
                <c:pt idx="14">
                  <c:v>6987448.7868434004</c:v>
                </c:pt>
                <c:pt idx="15">
                  <c:v>7019786.7137871031</c:v>
                </c:pt>
                <c:pt idx="16">
                  <c:v>7143594.3434415599</c:v>
                </c:pt>
                <c:pt idx="17">
                  <c:v>7270773.8683262989</c:v>
                </c:pt>
                <c:pt idx="18">
                  <c:v>7398981.314511043</c:v>
                </c:pt>
                <c:pt idx="19">
                  <c:v>7527883.1019475069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32-466E-99A2-D1FB32C537C6}"/>
            </c:ext>
          </c:extLst>
        </c:ser>
        <c:ser>
          <c:idx val="14"/>
          <c:order val="14"/>
          <c:tx>
            <c:strRef>
              <c:f>CITY!$J$23</c:f>
              <c:strCache>
                <c:ptCount val="1"/>
                <c:pt idx="0">
                  <c:v> CITYCap16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CITY!$K$23:$AD$23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16939051.980800364</c:v>
                </c:pt>
                <c:pt idx="2">
                  <c:v>16487512.591119759</c:v>
                </c:pt>
                <c:pt idx="3">
                  <c:v>16066725.110990005</c:v>
                </c:pt>
                <c:pt idx="4">
                  <c:v>15660896.435513251</c:v>
                </c:pt>
                <c:pt idx="5">
                  <c:v>15242522.359001955</c:v>
                </c:pt>
                <c:pt idx="6">
                  <c:v>14841575.064517017</c:v>
                </c:pt>
                <c:pt idx="7">
                  <c:v>14083416.398294261</c:v>
                </c:pt>
                <c:pt idx="8">
                  <c:v>12811439.954085303</c:v>
                </c:pt>
                <c:pt idx="9">
                  <c:v>12034229.360258007</c:v>
                </c:pt>
                <c:pt idx="10">
                  <c:v>11081000.970898224</c:v>
                </c:pt>
                <c:pt idx="11">
                  <c:v>9445517.3118131571</c:v>
                </c:pt>
                <c:pt idx="12">
                  <c:v>8047900.7646822473</c:v>
                </c:pt>
                <c:pt idx="13">
                  <c:v>6661262.9684015457</c:v>
                </c:pt>
                <c:pt idx="14">
                  <c:v>6549244.5674975719</c:v>
                </c:pt>
                <c:pt idx="15">
                  <c:v>6579272.6425167248</c:v>
                </c:pt>
                <c:pt idx="16">
                  <c:v>6694236.8700530063</c:v>
                </c:pt>
                <c:pt idx="17">
                  <c:v>6812332.1431602631</c:v>
                </c:pt>
                <c:pt idx="18">
                  <c:v>6931381.9146175254</c:v>
                </c:pt>
                <c:pt idx="19">
                  <c:v>7051076.4315228146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832-466E-99A2-D1FB32C537C6}"/>
            </c:ext>
          </c:extLst>
        </c:ser>
        <c:ser>
          <c:idx val="15"/>
          <c:order val="15"/>
          <c:tx>
            <c:strRef>
              <c:f>CITY!$J$24</c:f>
              <c:strCache>
                <c:ptCount val="1"/>
                <c:pt idx="0">
                  <c:v> CITYCap17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CITY!$K$24:$AD$24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16907527.930954888</c:v>
                </c:pt>
                <c:pt idx="2">
                  <c:v>16450525.803001489</c:v>
                </c:pt>
                <c:pt idx="3">
                  <c:v>16021910.053095032</c:v>
                </c:pt>
                <c:pt idx="4">
                  <c:v>15607102.430560574</c:v>
                </c:pt>
                <c:pt idx="5">
                  <c:v>15180714.437840385</c:v>
                </c:pt>
                <c:pt idx="6">
                  <c:v>14770412.705452219</c:v>
                </c:pt>
                <c:pt idx="7">
                  <c:v>13990180.861673225</c:v>
                </c:pt>
                <c:pt idx="8">
                  <c:v>12695459.146889517</c:v>
                </c:pt>
                <c:pt idx="9">
                  <c:v>11897640.908398641</c:v>
                </c:pt>
                <c:pt idx="10">
                  <c:v>10897148.167321859</c:v>
                </c:pt>
                <c:pt idx="11">
                  <c:v>9186488.2561560608</c:v>
                </c:pt>
                <c:pt idx="12">
                  <c:v>7695397.9867941029</c:v>
                </c:pt>
                <c:pt idx="13">
                  <c:v>6214441.948986182</c:v>
                </c:pt>
                <c:pt idx="14">
                  <c:v>6111040.3481517434</c:v>
                </c:pt>
                <c:pt idx="15">
                  <c:v>6138758.5712463465</c:v>
                </c:pt>
                <c:pt idx="16">
                  <c:v>6244879.3966644527</c:v>
                </c:pt>
                <c:pt idx="17">
                  <c:v>6353890.4179942273</c:v>
                </c:pt>
                <c:pt idx="18">
                  <c:v>6463782.5147240078</c:v>
                </c:pt>
                <c:pt idx="19">
                  <c:v>6574269.7610981222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32-466E-99A2-D1FB32C537C6}"/>
            </c:ext>
          </c:extLst>
        </c:ser>
        <c:ser>
          <c:idx val="16"/>
          <c:order val="16"/>
          <c:tx>
            <c:strRef>
              <c:f>CITY!$J$25</c:f>
              <c:strCache>
                <c:ptCount val="1"/>
                <c:pt idx="0">
                  <c:v> CITYCap18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CITY!$K$25:$AD$25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16876003.881109413</c:v>
                </c:pt>
                <c:pt idx="2">
                  <c:v>16413539.01488322</c:v>
                </c:pt>
                <c:pt idx="3">
                  <c:v>15977094.995200058</c:v>
                </c:pt>
                <c:pt idx="4">
                  <c:v>15553308.425607897</c:v>
                </c:pt>
                <c:pt idx="5">
                  <c:v>15118906.516678816</c:v>
                </c:pt>
                <c:pt idx="6">
                  <c:v>14699250.34638742</c:v>
                </c:pt>
                <c:pt idx="7">
                  <c:v>13896945.325052189</c:v>
                </c:pt>
                <c:pt idx="8">
                  <c:v>12579478.339693731</c:v>
                </c:pt>
                <c:pt idx="9">
                  <c:v>11761052.456539275</c:v>
                </c:pt>
                <c:pt idx="10">
                  <c:v>10713295.363745494</c:v>
                </c:pt>
                <c:pt idx="11">
                  <c:v>8927459.2004989646</c:v>
                </c:pt>
                <c:pt idx="12">
                  <c:v>7342895.2089059586</c:v>
                </c:pt>
                <c:pt idx="13">
                  <c:v>5767620.9295708183</c:v>
                </c:pt>
                <c:pt idx="14">
                  <c:v>5672836.1288059149</c:v>
                </c:pt>
                <c:pt idx="15">
                  <c:v>5698244.4999759682</c:v>
                </c:pt>
                <c:pt idx="16">
                  <c:v>5795521.9232758991</c:v>
                </c:pt>
                <c:pt idx="17">
                  <c:v>5895448.6928281914</c:v>
                </c:pt>
                <c:pt idx="18">
                  <c:v>5996183.1148304902</c:v>
                </c:pt>
                <c:pt idx="19">
                  <c:v>6097463.0906734299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32-466E-99A2-D1FB32C537C6}"/>
            </c:ext>
          </c:extLst>
        </c:ser>
        <c:ser>
          <c:idx val="17"/>
          <c:order val="17"/>
          <c:tx>
            <c:strRef>
              <c:f>CITY!$J$26</c:f>
              <c:strCache>
                <c:ptCount val="1"/>
                <c:pt idx="0">
                  <c:v> CITYCap19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CITY!$K$26:$AD$26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16844479.831263937</c:v>
                </c:pt>
                <c:pt idx="2">
                  <c:v>16376552.226764951</c:v>
                </c:pt>
                <c:pt idx="3">
                  <c:v>15932279.937305085</c:v>
                </c:pt>
                <c:pt idx="4">
                  <c:v>15499514.420655221</c:v>
                </c:pt>
                <c:pt idx="5">
                  <c:v>15057098.595517246</c:v>
                </c:pt>
                <c:pt idx="6">
                  <c:v>14628087.987322621</c:v>
                </c:pt>
                <c:pt idx="7">
                  <c:v>13803709.788431153</c:v>
                </c:pt>
                <c:pt idx="8">
                  <c:v>12463497.532497944</c:v>
                </c:pt>
                <c:pt idx="9">
                  <c:v>11624464.004679909</c:v>
                </c:pt>
                <c:pt idx="10">
                  <c:v>10529442.560169129</c:v>
                </c:pt>
                <c:pt idx="11">
                  <c:v>8668430.1448418684</c:v>
                </c:pt>
                <c:pt idx="12">
                  <c:v>6990392.4310178142</c:v>
                </c:pt>
                <c:pt idx="13">
                  <c:v>5320799.9101554547</c:v>
                </c:pt>
                <c:pt idx="14">
                  <c:v>5234631.9094600864</c:v>
                </c:pt>
                <c:pt idx="15">
                  <c:v>5257730.4287055898</c:v>
                </c:pt>
                <c:pt idx="16">
                  <c:v>5346164.4498873455</c:v>
                </c:pt>
                <c:pt idx="17">
                  <c:v>5437006.9676621556</c:v>
                </c:pt>
                <c:pt idx="18">
                  <c:v>5528583.7149369726</c:v>
                </c:pt>
                <c:pt idx="19">
                  <c:v>5620656.4202487376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32-466E-99A2-D1FB32C537C6}"/>
            </c:ext>
          </c:extLst>
        </c:ser>
        <c:ser>
          <c:idx val="18"/>
          <c:order val="18"/>
          <c:tx>
            <c:strRef>
              <c:f>CITY!$J$27</c:f>
              <c:strCache>
                <c:ptCount val="1"/>
                <c:pt idx="0">
                  <c:v> CITYCap20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CITY!$K$27:$AD$27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16812955.781418461</c:v>
                </c:pt>
                <c:pt idx="2">
                  <c:v>16339565.438646682</c:v>
                </c:pt>
                <c:pt idx="3">
                  <c:v>15887464.879410112</c:v>
                </c:pt>
                <c:pt idx="4">
                  <c:v>15445720.415702544</c:v>
                </c:pt>
                <c:pt idx="5">
                  <c:v>14995290.674355676</c:v>
                </c:pt>
                <c:pt idx="6">
                  <c:v>14556925.628257822</c:v>
                </c:pt>
                <c:pt idx="7">
                  <c:v>13710474.251810117</c:v>
                </c:pt>
                <c:pt idx="8">
                  <c:v>12347516.725302158</c:v>
                </c:pt>
                <c:pt idx="9">
                  <c:v>11487875.552820543</c:v>
                </c:pt>
                <c:pt idx="10">
                  <c:v>10345589.756592764</c:v>
                </c:pt>
                <c:pt idx="11">
                  <c:v>8409401.0891847722</c:v>
                </c:pt>
                <c:pt idx="12">
                  <c:v>6637889.6531296698</c:v>
                </c:pt>
                <c:pt idx="13">
                  <c:v>4873978.890740091</c:v>
                </c:pt>
                <c:pt idx="14">
                  <c:v>4796427.6901142579</c:v>
                </c:pt>
                <c:pt idx="15">
                  <c:v>4817216.3574352115</c:v>
                </c:pt>
                <c:pt idx="16">
                  <c:v>4896806.9764987919</c:v>
                </c:pt>
                <c:pt idx="17">
                  <c:v>4978565.2424961198</c:v>
                </c:pt>
                <c:pt idx="18">
                  <c:v>5060984.315043455</c:v>
                </c:pt>
                <c:pt idx="19">
                  <c:v>5143849.7498240452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32-466E-99A2-D1FB32C537C6}"/>
            </c:ext>
          </c:extLst>
        </c:ser>
        <c:ser>
          <c:idx val="19"/>
          <c:order val="19"/>
          <c:tx>
            <c:strRef>
              <c:f>CITY!$J$28</c:f>
              <c:strCache>
                <c:ptCount val="1"/>
                <c:pt idx="0">
                  <c:v> CITYCap21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CITY!$K$28:$AD$28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16781431.731572986</c:v>
                </c:pt>
                <c:pt idx="2">
                  <c:v>16302578.650528412</c:v>
                </c:pt>
                <c:pt idx="3">
                  <c:v>15842649.821515139</c:v>
                </c:pt>
                <c:pt idx="4">
                  <c:v>15391926.410749868</c:v>
                </c:pt>
                <c:pt idx="5">
                  <c:v>14933482.753194107</c:v>
                </c:pt>
                <c:pt idx="6">
                  <c:v>14485763.269193023</c:v>
                </c:pt>
                <c:pt idx="7">
                  <c:v>13617238.715189081</c:v>
                </c:pt>
                <c:pt idx="8">
                  <c:v>12231535.918106372</c:v>
                </c:pt>
                <c:pt idx="9">
                  <c:v>11351287.100961177</c:v>
                </c:pt>
                <c:pt idx="10">
                  <c:v>10161736.953016398</c:v>
                </c:pt>
                <c:pt idx="11">
                  <c:v>8150372.0335276769</c:v>
                </c:pt>
                <c:pt idx="12">
                  <c:v>6285386.8752415255</c:v>
                </c:pt>
                <c:pt idx="13">
                  <c:v>4427157.8713247273</c:v>
                </c:pt>
                <c:pt idx="14">
                  <c:v>4358223.4707684293</c:v>
                </c:pt>
                <c:pt idx="15">
                  <c:v>4376702.2861648332</c:v>
                </c:pt>
                <c:pt idx="16">
                  <c:v>4447449.5031102384</c:v>
                </c:pt>
                <c:pt idx="17">
                  <c:v>4520123.517330084</c:v>
                </c:pt>
                <c:pt idx="18">
                  <c:v>4593384.9151499374</c:v>
                </c:pt>
                <c:pt idx="19">
                  <c:v>4667043.0793993529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32-466E-99A2-D1FB32C537C6}"/>
            </c:ext>
          </c:extLst>
        </c:ser>
        <c:ser>
          <c:idx val="20"/>
          <c:order val="20"/>
          <c:tx>
            <c:strRef>
              <c:f>CITY!$J$29</c:f>
              <c:strCache>
                <c:ptCount val="1"/>
                <c:pt idx="0">
                  <c:v> CITYCap22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CITY!$K$29:$AD$29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16749907.68172751</c:v>
                </c:pt>
                <c:pt idx="2">
                  <c:v>16265591.862410143</c:v>
                </c:pt>
                <c:pt idx="3">
                  <c:v>15797834.763620166</c:v>
                </c:pt>
                <c:pt idx="4">
                  <c:v>15338132.405797191</c:v>
                </c:pt>
                <c:pt idx="5">
                  <c:v>14871674.832032537</c:v>
                </c:pt>
                <c:pt idx="6">
                  <c:v>14414600.910128225</c:v>
                </c:pt>
                <c:pt idx="7">
                  <c:v>13524003.178568045</c:v>
                </c:pt>
                <c:pt idx="8">
                  <c:v>12115555.110910585</c:v>
                </c:pt>
                <c:pt idx="9">
                  <c:v>11214698.649101811</c:v>
                </c:pt>
                <c:pt idx="10">
                  <c:v>9977884.1494400334</c:v>
                </c:pt>
                <c:pt idx="11">
                  <c:v>7891342.9778705817</c:v>
                </c:pt>
                <c:pt idx="12">
                  <c:v>5932884.0973533811</c:v>
                </c:pt>
                <c:pt idx="13">
                  <c:v>3980336.8519093632</c:v>
                </c:pt>
                <c:pt idx="14">
                  <c:v>3920019.2514226008</c:v>
                </c:pt>
                <c:pt idx="15">
                  <c:v>3936188.2148944549</c:v>
                </c:pt>
                <c:pt idx="16">
                  <c:v>3998092.0297216848</c:v>
                </c:pt>
                <c:pt idx="17">
                  <c:v>4061681.7921640486</c:v>
                </c:pt>
                <c:pt idx="18">
                  <c:v>4125785.5152564198</c:v>
                </c:pt>
                <c:pt idx="19">
                  <c:v>4190236.4089746601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32-466E-99A2-D1FB32C537C6}"/>
            </c:ext>
          </c:extLst>
        </c:ser>
        <c:ser>
          <c:idx val="21"/>
          <c:order val="21"/>
          <c:tx>
            <c:strRef>
              <c:f>CITY!$J$30</c:f>
              <c:strCache>
                <c:ptCount val="1"/>
                <c:pt idx="0">
                  <c:v> CITYCap23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CITY!$K$30:$AD$30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16718383.631882034</c:v>
                </c:pt>
                <c:pt idx="2">
                  <c:v>16228605.074291874</c:v>
                </c:pt>
                <c:pt idx="3">
                  <c:v>15753019.705725193</c:v>
                </c:pt>
                <c:pt idx="4">
                  <c:v>15284338.400844514</c:v>
                </c:pt>
                <c:pt idx="5">
                  <c:v>14809866.910870967</c:v>
                </c:pt>
                <c:pt idx="6">
                  <c:v>14343438.551063426</c:v>
                </c:pt>
                <c:pt idx="7">
                  <c:v>13430767.641947009</c:v>
                </c:pt>
                <c:pt idx="8">
                  <c:v>11999574.303714799</c:v>
                </c:pt>
                <c:pt idx="9">
                  <c:v>11078110.197242444</c:v>
                </c:pt>
                <c:pt idx="10">
                  <c:v>9794031.3458636682</c:v>
                </c:pt>
                <c:pt idx="11">
                  <c:v>7632313.9222134864</c:v>
                </c:pt>
                <c:pt idx="12">
                  <c:v>5580381.3194652367</c:v>
                </c:pt>
                <c:pt idx="13">
                  <c:v>3533515.832493999</c:v>
                </c:pt>
                <c:pt idx="14">
                  <c:v>3481815.0320767723</c:v>
                </c:pt>
                <c:pt idx="15">
                  <c:v>3495674.1436240766</c:v>
                </c:pt>
                <c:pt idx="16">
                  <c:v>3548734.5563331312</c:v>
                </c:pt>
                <c:pt idx="17">
                  <c:v>3603240.0669980133</c:v>
                </c:pt>
                <c:pt idx="18">
                  <c:v>3658186.1153629022</c:v>
                </c:pt>
                <c:pt idx="19">
                  <c:v>3713429.7385499673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32-466E-99A2-D1FB32C537C6}"/>
            </c:ext>
          </c:extLst>
        </c:ser>
        <c:ser>
          <c:idx val="22"/>
          <c:order val="22"/>
          <c:tx>
            <c:strRef>
              <c:f>CITY!$J$31</c:f>
              <c:strCache>
                <c:ptCount val="1"/>
                <c:pt idx="0">
                  <c:v> CITYCap24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CITY!$K$31:$AD$31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16686859.582036559</c:v>
                </c:pt>
                <c:pt idx="2">
                  <c:v>16191618.286173604</c:v>
                </c:pt>
                <c:pt idx="3">
                  <c:v>15708204.64783022</c:v>
                </c:pt>
                <c:pt idx="4">
                  <c:v>15230544.395891838</c:v>
                </c:pt>
                <c:pt idx="5">
                  <c:v>14748058.989709398</c:v>
                </c:pt>
                <c:pt idx="6">
                  <c:v>14272276.191998627</c:v>
                </c:pt>
                <c:pt idx="7">
                  <c:v>13337532.105325973</c:v>
                </c:pt>
                <c:pt idx="8">
                  <c:v>11883593.496519012</c:v>
                </c:pt>
                <c:pt idx="9">
                  <c:v>10941521.745383078</c:v>
                </c:pt>
                <c:pt idx="10">
                  <c:v>9610178.5422873031</c:v>
                </c:pt>
                <c:pt idx="11">
                  <c:v>7373284.8665563911</c:v>
                </c:pt>
                <c:pt idx="12">
                  <c:v>5227878.5415770924</c:v>
                </c:pt>
                <c:pt idx="13">
                  <c:v>3086694.8130786349</c:v>
                </c:pt>
                <c:pt idx="14">
                  <c:v>3043610.8127309438</c:v>
                </c:pt>
                <c:pt idx="15">
                  <c:v>3055160.0723536983</c:v>
                </c:pt>
                <c:pt idx="16">
                  <c:v>3099377.0829445776</c:v>
                </c:pt>
                <c:pt idx="17">
                  <c:v>3144798.3418319779</c:v>
                </c:pt>
                <c:pt idx="18">
                  <c:v>3190586.7154693846</c:v>
                </c:pt>
                <c:pt idx="19">
                  <c:v>3236623.0681252745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832-466E-99A2-D1FB32C537C6}"/>
            </c:ext>
          </c:extLst>
        </c:ser>
        <c:ser>
          <c:idx val="23"/>
          <c:order val="23"/>
          <c:tx>
            <c:strRef>
              <c:f>CITY!$J$32</c:f>
              <c:strCache>
                <c:ptCount val="1"/>
                <c:pt idx="0">
                  <c:v> CITYCap25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CITY!$K$32:$AD$32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16655335.532191083</c:v>
                </c:pt>
                <c:pt idx="2">
                  <c:v>16154631.498055335</c:v>
                </c:pt>
                <c:pt idx="3">
                  <c:v>15663389.589935247</c:v>
                </c:pt>
                <c:pt idx="4">
                  <c:v>15176750.390939161</c:v>
                </c:pt>
                <c:pt idx="5">
                  <c:v>14686251.068547828</c:v>
                </c:pt>
                <c:pt idx="6">
                  <c:v>14201113.832933828</c:v>
                </c:pt>
                <c:pt idx="7">
                  <c:v>13244296.568704937</c:v>
                </c:pt>
                <c:pt idx="8">
                  <c:v>11767612.689323226</c:v>
                </c:pt>
                <c:pt idx="9">
                  <c:v>10804933.293523712</c:v>
                </c:pt>
                <c:pt idx="10">
                  <c:v>9426325.738710938</c:v>
                </c:pt>
                <c:pt idx="11">
                  <c:v>7114255.8108992958</c:v>
                </c:pt>
                <c:pt idx="12">
                  <c:v>4875375.763688948</c:v>
                </c:pt>
                <c:pt idx="13">
                  <c:v>2639873.7936632708</c:v>
                </c:pt>
                <c:pt idx="14">
                  <c:v>2605406.5933851153</c:v>
                </c:pt>
                <c:pt idx="15">
                  <c:v>2614646.00108332</c:v>
                </c:pt>
                <c:pt idx="16">
                  <c:v>2650019.609556024</c:v>
                </c:pt>
                <c:pt idx="17">
                  <c:v>2686356.6166659426</c:v>
                </c:pt>
                <c:pt idx="18">
                  <c:v>2722987.315575867</c:v>
                </c:pt>
                <c:pt idx="19">
                  <c:v>2759816.3977005817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832-466E-99A2-D1FB32C537C6}"/>
            </c:ext>
          </c:extLst>
        </c:ser>
        <c:ser>
          <c:idx val="24"/>
          <c:order val="24"/>
          <c:tx>
            <c:strRef>
              <c:f>CITY!$J$33</c:f>
              <c:strCache>
                <c:ptCount val="1"/>
                <c:pt idx="0">
                  <c:v> CITYCap26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CITY!$K$33:$AD$33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16623811.482345607</c:v>
                </c:pt>
                <c:pt idx="2">
                  <c:v>16117644.709937066</c:v>
                </c:pt>
                <c:pt idx="3">
                  <c:v>15618574.532040274</c:v>
                </c:pt>
                <c:pt idx="4">
                  <c:v>15122956.385986485</c:v>
                </c:pt>
                <c:pt idx="5">
                  <c:v>14624443.147386258</c:v>
                </c:pt>
                <c:pt idx="6">
                  <c:v>14129951.473869029</c:v>
                </c:pt>
                <c:pt idx="7">
                  <c:v>13151061.032083901</c:v>
                </c:pt>
                <c:pt idx="8">
                  <c:v>11651631.88212744</c:v>
                </c:pt>
                <c:pt idx="9">
                  <c:v>10668344.841664346</c:v>
                </c:pt>
                <c:pt idx="10">
                  <c:v>9242472.9351345729</c:v>
                </c:pt>
                <c:pt idx="11">
                  <c:v>6855226.7552422006</c:v>
                </c:pt>
                <c:pt idx="12">
                  <c:v>4522872.9858008036</c:v>
                </c:pt>
                <c:pt idx="13">
                  <c:v>2193052.7742479066</c:v>
                </c:pt>
                <c:pt idx="14">
                  <c:v>2167202.3740392867</c:v>
                </c:pt>
                <c:pt idx="15">
                  <c:v>2174131.9298129417</c:v>
                </c:pt>
                <c:pt idx="16">
                  <c:v>2200662.1361674704</c:v>
                </c:pt>
                <c:pt idx="17">
                  <c:v>2227914.8914999072</c:v>
                </c:pt>
                <c:pt idx="18">
                  <c:v>2255387.9156823494</c:v>
                </c:pt>
                <c:pt idx="19">
                  <c:v>2283009.7272758889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832-466E-99A2-D1FB32C537C6}"/>
            </c:ext>
          </c:extLst>
        </c:ser>
        <c:ser>
          <c:idx val="25"/>
          <c:order val="25"/>
          <c:tx>
            <c:strRef>
              <c:f>CITY!$J$34</c:f>
              <c:strCache>
                <c:ptCount val="1"/>
                <c:pt idx="0">
                  <c:v> CITYCap27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CITY!$K$34:$AD$34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16592287.432500131</c:v>
                </c:pt>
                <c:pt idx="2">
                  <c:v>16080657.921818797</c:v>
                </c:pt>
                <c:pt idx="3">
                  <c:v>15573759.474145301</c:v>
                </c:pt>
                <c:pt idx="4">
                  <c:v>15069162.381033808</c:v>
                </c:pt>
                <c:pt idx="5">
                  <c:v>14562635.226224689</c:v>
                </c:pt>
                <c:pt idx="6">
                  <c:v>14058789.114804231</c:v>
                </c:pt>
                <c:pt idx="7">
                  <c:v>13057825.495462865</c:v>
                </c:pt>
                <c:pt idx="8">
                  <c:v>11535651.074931653</c:v>
                </c:pt>
                <c:pt idx="9">
                  <c:v>10531756.38980498</c:v>
                </c:pt>
                <c:pt idx="10">
                  <c:v>9058620.1315582078</c:v>
                </c:pt>
                <c:pt idx="11">
                  <c:v>6596197.6995851053</c:v>
                </c:pt>
                <c:pt idx="12">
                  <c:v>4170370.2079126597</c:v>
                </c:pt>
                <c:pt idx="13">
                  <c:v>1746231.7548325425</c:v>
                </c:pt>
                <c:pt idx="14">
                  <c:v>1728998.1546934582</c:v>
                </c:pt>
                <c:pt idx="15">
                  <c:v>1733617.8585425634</c:v>
                </c:pt>
                <c:pt idx="16">
                  <c:v>1751304.662778917</c:v>
                </c:pt>
                <c:pt idx="17">
                  <c:v>1769473.1663338717</c:v>
                </c:pt>
                <c:pt idx="18">
                  <c:v>1787788.5157888317</c:v>
                </c:pt>
                <c:pt idx="19">
                  <c:v>1806203.0568511961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6832-466E-99A2-D1FB32C537C6}"/>
            </c:ext>
          </c:extLst>
        </c:ser>
        <c:ser>
          <c:idx val="26"/>
          <c:order val="26"/>
          <c:tx>
            <c:strRef>
              <c:f>CITY!$J$35</c:f>
              <c:strCache>
                <c:ptCount val="1"/>
                <c:pt idx="0">
                  <c:v> CITYCap28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CITY!$K$35:$AD$35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16560763.382654656</c:v>
                </c:pt>
                <c:pt idx="2">
                  <c:v>16043671.133700527</c:v>
                </c:pt>
                <c:pt idx="3">
                  <c:v>15528944.416250328</c:v>
                </c:pt>
                <c:pt idx="4">
                  <c:v>15015368.376081131</c:v>
                </c:pt>
                <c:pt idx="5">
                  <c:v>14500827.305063119</c:v>
                </c:pt>
                <c:pt idx="6">
                  <c:v>13987626.755739432</c:v>
                </c:pt>
                <c:pt idx="7">
                  <c:v>12964589.958841829</c:v>
                </c:pt>
                <c:pt idx="8">
                  <c:v>11419670.267735867</c:v>
                </c:pt>
                <c:pt idx="9">
                  <c:v>10395167.937945614</c:v>
                </c:pt>
                <c:pt idx="10">
                  <c:v>8874767.3279818427</c:v>
                </c:pt>
                <c:pt idx="11">
                  <c:v>6337168.64392801</c:v>
                </c:pt>
                <c:pt idx="12">
                  <c:v>3817867.4300245158</c:v>
                </c:pt>
                <c:pt idx="13">
                  <c:v>1299410.7354171784</c:v>
                </c:pt>
                <c:pt idx="14">
                  <c:v>1290793.9353476297</c:v>
                </c:pt>
                <c:pt idx="15">
                  <c:v>1293103.7872721851</c:v>
                </c:pt>
                <c:pt idx="16">
                  <c:v>1301947.1893903636</c:v>
                </c:pt>
                <c:pt idx="17">
                  <c:v>1311031.4411678361</c:v>
                </c:pt>
                <c:pt idx="18">
                  <c:v>1320189.1158953141</c:v>
                </c:pt>
                <c:pt idx="19">
                  <c:v>1329396.3864265033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832-466E-99A2-D1FB32C537C6}"/>
            </c:ext>
          </c:extLst>
        </c:ser>
        <c:ser>
          <c:idx val="27"/>
          <c:order val="27"/>
          <c:tx>
            <c:strRef>
              <c:f>CITY!$J$36</c:f>
              <c:strCache>
                <c:ptCount val="1"/>
                <c:pt idx="0">
                  <c:v> CITYCap29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CITY!$K$36:$AD$36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16529239.33280918</c:v>
                </c:pt>
                <c:pt idx="2">
                  <c:v>16006684.345582258</c:v>
                </c:pt>
                <c:pt idx="3">
                  <c:v>15484129.358355355</c:v>
                </c:pt>
                <c:pt idx="4">
                  <c:v>14961574.371128455</c:v>
                </c:pt>
                <c:pt idx="5">
                  <c:v>14439019.38390155</c:v>
                </c:pt>
                <c:pt idx="6">
                  <c:v>13916464.396674633</c:v>
                </c:pt>
                <c:pt idx="7">
                  <c:v>12871354.422220793</c:v>
                </c:pt>
                <c:pt idx="8">
                  <c:v>11303689.46054008</c:v>
                </c:pt>
                <c:pt idx="9">
                  <c:v>10258579.486086247</c:v>
                </c:pt>
                <c:pt idx="10">
                  <c:v>8690914.5244054776</c:v>
                </c:pt>
                <c:pt idx="11">
                  <c:v>6078139.5882709147</c:v>
                </c:pt>
                <c:pt idx="12">
                  <c:v>3465364.6521363719</c:v>
                </c:pt>
                <c:pt idx="13">
                  <c:v>852589.71600181423</c:v>
                </c:pt>
                <c:pt idx="14">
                  <c:v>852589.71600180131</c:v>
                </c:pt>
                <c:pt idx="15">
                  <c:v>852589.71600180678</c:v>
                </c:pt>
                <c:pt idx="16">
                  <c:v>852589.71600181027</c:v>
                </c:pt>
                <c:pt idx="17">
                  <c:v>852589.71600180049</c:v>
                </c:pt>
                <c:pt idx="18">
                  <c:v>852589.71600179654</c:v>
                </c:pt>
                <c:pt idx="19">
                  <c:v>852589.71600181062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832-466E-99A2-D1FB32C537C6}"/>
            </c:ext>
          </c:extLst>
        </c:ser>
        <c:ser>
          <c:idx val="28"/>
          <c:order val="28"/>
          <c:tx>
            <c:strRef>
              <c:f>CITY!$J$37</c:f>
              <c:strCache>
                <c:ptCount val="1"/>
                <c:pt idx="0">
                  <c:v> CITYCap30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CITY!$K$37:$AD$37</c:f>
              <c:numCache>
                <c:formatCode>_(* #,##0_);_(* \(#,##0\);_(* "-"??_);_(@_)</c:formatCode>
                <c:ptCount val="20"/>
                <c:pt idx="0">
                  <c:v>17051794.320036098</c:v>
                </c:pt>
                <c:pt idx="1">
                  <c:v>16497715.282963704</c:v>
                </c:pt>
                <c:pt idx="2">
                  <c:v>15969697.557463989</c:v>
                </c:pt>
                <c:pt idx="3">
                  <c:v>15439314.300460381</c:v>
                </c:pt>
                <c:pt idx="4">
                  <c:v>14907780.366175778</c:v>
                </c:pt>
                <c:pt idx="5">
                  <c:v>14377211.46273998</c:v>
                </c:pt>
                <c:pt idx="6">
                  <c:v>13845302.037609834</c:v>
                </c:pt>
                <c:pt idx="7">
                  <c:v>12778118.885599757</c:v>
                </c:pt>
                <c:pt idx="8">
                  <c:v>11187708.653344294</c:v>
                </c:pt>
                <c:pt idx="9">
                  <c:v>10121991.034226881</c:v>
                </c:pt>
                <c:pt idx="10">
                  <c:v>8507061.7208291125</c:v>
                </c:pt>
                <c:pt idx="11">
                  <c:v>5819110.5326138195</c:v>
                </c:pt>
                <c:pt idx="12">
                  <c:v>3112861.874248228</c:v>
                </c:pt>
                <c:pt idx="13">
                  <c:v>405768.6965864501</c:v>
                </c:pt>
                <c:pt idx="14">
                  <c:v>414385.49665597291</c:v>
                </c:pt>
                <c:pt idx="15">
                  <c:v>412075.64473142842</c:v>
                </c:pt>
                <c:pt idx="16">
                  <c:v>403232.24261325685</c:v>
                </c:pt>
                <c:pt idx="17">
                  <c:v>394147.99083576497</c:v>
                </c:pt>
                <c:pt idx="18">
                  <c:v>384990.31610827887</c:v>
                </c:pt>
                <c:pt idx="19">
                  <c:v>375783.04557711794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832-466E-99A2-D1FB32C537C6}"/>
            </c:ext>
          </c:extLst>
        </c:ser>
        <c:ser>
          <c:idx val="29"/>
          <c:order val="29"/>
          <c:tx>
            <c:strRef>
              <c:f>CITY!$J$38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CITY!$K$7:$AD$7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CITY!$K$38:$AD$38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6832-466E-99A2-D1FB32C53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525032045412928E-2"/>
          <c:y val="2.9130632680928539E-2"/>
          <c:w val="0.91474967954587072"/>
          <c:h val="0.92452757697504473"/>
        </c:manualLayout>
      </c:layout>
      <c:lineChart>
        <c:grouping val="standard"/>
        <c:varyColors val="0"/>
        <c:ser>
          <c:idx val="0"/>
          <c:order val="0"/>
          <c:tx>
            <c:strRef>
              <c:f>EGRID!$J$9</c:f>
              <c:strCache>
                <c:ptCount val="1"/>
                <c:pt idx="0">
                  <c:v> EGRIDCap2 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EGRID!$K$9:$AD$9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117472071.07778488</c:v>
                </c:pt>
                <c:pt idx="2">
                  <c:v>112773004.27427144</c:v>
                </c:pt>
                <c:pt idx="3">
                  <c:v>108031239.49897243</c:v>
                </c:pt>
                <c:pt idx="4">
                  <c:v>103413640.97411604</c:v>
                </c:pt>
                <c:pt idx="5">
                  <c:v>98759238.102039173</c:v>
                </c:pt>
                <c:pt idx="6">
                  <c:v>94227047.688085794</c:v>
                </c:pt>
                <c:pt idx="7">
                  <c:v>87164335.479324862</c:v>
                </c:pt>
                <c:pt idx="8">
                  <c:v>76431751.085785672</c:v>
                </c:pt>
                <c:pt idx="9">
                  <c:v>71627806.114602432</c:v>
                </c:pt>
                <c:pt idx="10">
                  <c:v>63938320.686079666</c:v>
                </c:pt>
                <c:pt idx="11">
                  <c:v>64761584.297279544</c:v>
                </c:pt>
                <c:pt idx="12">
                  <c:v>61886089.722754464</c:v>
                </c:pt>
                <c:pt idx="13">
                  <c:v>57854900.159115508</c:v>
                </c:pt>
                <c:pt idx="14">
                  <c:v>59173904.564357445</c:v>
                </c:pt>
                <c:pt idx="15">
                  <c:v>43753624.576535583</c:v>
                </c:pt>
                <c:pt idx="16">
                  <c:v>23985687.332788084</c:v>
                </c:pt>
                <c:pt idx="17">
                  <c:v>8421410.0627412032</c:v>
                </c:pt>
                <c:pt idx="18">
                  <c:v>8487262.2852678336</c:v>
                </c:pt>
                <c:pt idx="19">
                  <c:v>8500185.4906768519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1-4BFC-ABE6-D126CB5D2502}"/>
            </c:ext>
          </c:extLst>
        </c:ser>
        <c:ser>
          <c:idx val="1"/>
          <c:order val="1"/>
          <c:tx>
            <c:strRef>
              <c:f>EGRID!$J$10</c:f>
              <c:strCache>
                <c:ptCount val="1"/>
                <c:pt idx="0">
                  <c:v> EGRIDCap3 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EGRID!$K$10:$AD$10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118153096.04657176</c:v>
                </c:pt>
                <c:pt idx="2">
                  <c:v>113468992.20537089</c:v>
                </c:pt>
                <c:pt idx="3">
                  <c:v>108743771.79874687</c:v>
                </c:pt>
                <c:pt idx="4">
                  <c:v>104138118.89254908</c:v>
                </c:pt>
                <c:pt idx="5">
                  <c:v>99497024.76310195</c:v>
                </c:pt>
                <c:pt idx="6">
                  <c:v>94973616.704440385</c:v>
                </c:pt>
                <c:pt idx="7">
                  <c:v>87854333.331479922</c:v>
                </c:pt>
                <c:pt idx="8">
                  <c:v>77042022.416841343</c:v>
                </c:pt>
                <c:pt idx="9">
                  <c:v>72097848.235622361</c:v>
                </c:pt>
                <c:pt idx="10">
                  <c:v>64215928.916925535</c:v>
                </c:pt>
                <c:pt idx="11">
                  <c:v>64213318.538622789</c:v>
                </c:pt>
                <c:pt idx="12">
                  <c:v>60648941.018510826</c:v>
                </c:pt>
                <c:pt idx="13">
                  <c:v>55971672.027400315</c:v>
                </c:pt>
                <c:pt idx="14">
                  <c:v>57241824.417633288</c:v>
                </c:pt>
                <c:pt idx="15">
                  <c:v>42392665.910841867</c:v>
                </c:pt>
                <c:pt idx="16">
                  <c:v>23356874.490936868</c:v>
                </c:pt>
                <c:pt idx="17">
                  <c:v>8369051.9345954275</c:v>
                </c:pt>
                <c:pt idx="18">
                  <c:v>8432465.1859173682</c:v>
                </c:pt>
                <c:pt idx="19">
                  <c:v>8444909.7540890146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A1-4BFC-ABE6-D126CB5D2502}"/>
            </c:ext>
          </c:extLst>
        </c:ser>
        <c:ser>
          <c:idx val="2"/>
          <c:order val="2"/>
          <c:tx>
            <c:strRef>
              <c:f>EGRID!$J$11</c:f>
              <c:strCache>
                <c:ptCount val="1"/>
                <c:pt idx="0">
                  <c:v> EGRIDCap4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EGRID!$K$11:$AD$11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118834121.01535864</c:v>
                </c:pt>
                <c:pt idx="2">
                  <c:v>114164980.13647033</c:v>
                </c:pt>
                <c:pt idx="3">
                  <c:v>109456304.09852131</c:v>
                </c:pt>
                <c:pt idx="4">
                  <c:v>104862596.81098212</c:v>
                </c:pt>
                <c:pt idx="5">
                  <c:v>100234811.42416473</c:v>
                </c:pt>
                <c:pt idx="6">
                  <c:v>95720185.720794976</c:v>
                </c:pt>
                <c:pt idx="7">
                  <c:v>88544331.183634982</c:v>
                </c:pt>
                <c:pt idx="8">
                  <c:v>77652293.747897014</c:v>
                </c:pt>
                <c:pt idx="9">
                  <c:v>72567890.356642291</c:v>
                </c:pt>
                <c:pt idx="10">
                  <c:v>64493537.147771403</c:v>
                </c:pt>
                <c:pt idx="11">
                  <c:v>63665052.779966034</c:v>
                </c:pt>
                <c:pt idx="12">
                  <c:v>59411792.314267188</c:v>
                </c:pt>
                <c:pt idx="13">
                  <c:v>54088443.895685121</c:v>
                </c:pt>
                <c:pt idx="14">
                  <c:v>55309744.270909131</c:v>
                </c:pt>
                <c:pt idx="15">
                  <c:v>41031707.245148152</c:v>
                </c:pt>
                <c:pt idx="16">
                  <c:v>22728061.649085652</c:v>
                </c:pt>
                <c:pt idx="17">
                  <c:v>8316693.8064496517</c:v>
                </c:pt>
                <c:pt idx="18">
                  <c:v>8377668.0865669027</c:v>
                </c:pt>
                <c:pt idx="19">
                  <c:v>8389634.0175011773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A1-4BFC-ABE6-D126CB5D2502}"/>
            </c:ext>
          </c:extLst>
        </c:ser>
        <c:ser>
          <c:idx val="3"/>
          <c:order val="3"/>
          <c:tx>
            <c:strRef>
              <c:f>EGRID!$J$12</c:f>
              <c:strCache>
                <c:ptCount val="1"/>
                <c:pt idx="0">
                  <c:v> EGRIDCap5 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EGRID!$K$12:$AD$12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119515145.98414552</c:v>
                </c:pt>
                <c:pt idx="2">
                  <c:v>114860968.06756978</c:v>
                </c:pt>
                <c:pt idx="3">
                  <c:v>110168836.39829575</c:v>
                </c:pt>
                <c:pt idx="4">
                  <c:v>105587074.72941516</c:v>
                </c:pt>
                <c:pt idx="5">
                  <c:v>100972598.0852275</c:v>
                </c:pt>
                <c:pt idx="6">
                  <c:v>96466754.737149566</c:v>
                </c:pt>
                <c:pt idx="7">
                  <c:v>89234329.035790041</c:v>
                </c:pt>
                <c:pt idx="8">
                  <c:v>78262565.078952685</c:v>
                </c:pt>
                <c:pt idx="9">
                  <c:v>73037932.477662221</c:v>
                </c:pt>
                <c:pt idx="10">
                  <c:v>64771145.378617272</c:v>
                </c:pt>
                <c:pt idx="11">
                  <c:v>63116787.021309279</c:v>
                </c:pt>
                <c:pt idx="12">
                  <c:v>58174643.610023551</c:v>
                </c:pt>
                <c:pt idx="13">
                  <c:v>52205215.763969928</c:v>
                </c:pt>
                <c:pt idx="14">
                  <c:v>53377664.124184974</c:v>
                </c:pt>
                <c:pt idx="15">
                  <c:v>39670748.579454437</c:v>
                </c:pt>
                <c:pt idx="16">
                  <c:v>22099248.807234436</c:v>
                </c:pt>
                <c:pt idx="17">
                  <c:v>8264335.678303876</c:v>
                </c:pt>
                <c:pt idx="18">
                  <c:v>8322870.9872164372</c:v>
                </c:pt>
                <c:pt idx="19">
                  <c:v>8334358.2809133399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A1-4BFC-ABE6-D126CB5D2502}"/>
            </c:ext>
          </c:extLst>
        </c:ser>
        <c:ser>
          <c:idx val="4"/>
          <c:order val="4"/>
          <c:tx>
            <c:strRef>
              <c:f>EGRID!$J$13</c:f>
              <c:strCache>
                <c:ptCount val="1"/>
                <c:pt idx="0">
                  <c:v> EGRIDCap6 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EGRID!$K$13:$AD$13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120196170.9529324</c:v>
                </c:pt>
                <c:pt idx="2">
                  <c:v>115556955.99866922</c:v>
                </c:pt>
                <c:pt idx="3">
                  <c:v>110881368.69807018</c:v>
                </c:pt>
                <c:pt idx="4">
                  <c:v>106311552.6478482</c:v>
                </c:pt>
                <c:pt idx="5">
                  <c:v>101710384.74629028</c:v>
                </c:pt>
                <c:pt idx="6">
                  <c:v>97213323.753504157</c:v>
                </c:pt>
                <c:pt idx="7">
                  <c:v>89924326.887945101</c:v>
                </c:pt>
                <c:pt idx="8">
                  <c:v>78872836.410008356</c:v>
                </c:pt>
                <c:pt idx="9">
                  <c:v>73507974.59868215</c:v>
                </c:pt>
                <c:pt idx="10">
                  <c:v>65048753.60946314</c:v>
                </c:pt>
                <c:pt idx="11">
                  <c:v>62568521.262652524</c:v>
                </c:pt>
                <c:pt idx="12">
                  <c:v>56937494.905779913</c:v>
                </c:pt>
                <c:pt idx="13">
                  <c:v>50321987.632254735</c:v>
                </c:pt>
                <c:pt idx="14">
                  <c:v>51445583.977460817</c:v>
                </c:pt>
                <c:pt idx="15">
                  <c:v>38309789.913760722</c:v>
                </c:pt>
                <c:pt idx="16">
                  <c:v>21470435.96538322</c:v>
                </c:pt>
                <c:pt idx="17">
                  <c:v>8211977.5501581002</c:v>
                </c:pt>
                <c:pt idx="18">
                  <c:v>8268073.8878659718</c:v>
                </c:pt>
                <c:pt idx="19">
                  <c:v>8279082.5443255026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A1-4BFC-ABE6-D126CB5D2502}"/>
            </c:ext>
          </c:extLst>
        </c:ser>
        <c:ser>
          <c:idx val="5"/>
          <c:order val="5"/>
          <c:tx>
            <c:strRef>
              <c:f>EGRID!$J$14</c:f>
              <c:strCache>
                <c:ptCount val="1"/>
                <c:pt idx="0">
                  <c:v> EGRIDCap7 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EGRID!$K$14:$AD$14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120877195.92171928</c:v>
                </c:pt>
                <c:pt idx="2">
                  <c:v>116252943.92976867</c:v>
                </c:pt>
                <c:pt idx="3">
                  <c:v>111593900.99784462</c:v>
                </c:pt>
                <c:pt idx="4">
                  <c:v>107036030.56628124</c:v>
                </c:pt>
                <c:pt idx="5">
                  <c:v>102448171.40735306</c:v>
                </c:pt>
                <c:pt idx="6">
                  <c:v>97959892.769858748</c:v>
                </c:pt>
                <c:pt idx="7">
                  <c:v>90614324.74010016</c:v>
                </c:pt>
                <c:pt idx="8">
                  <c:v>79483107.741064027</c:v>
                </c:pt>
                <c:pt idx="9">
                  <c:v>73978016.71970208</c:v>
                </c:pt>
                <c:pt idx="10">
                  <c:v>65326361.840309009</c:v>
                </c:pt>
                <c:pt idx="11">
                  <c:v>62020255.503995769</c:v>
                </c:pt>
                <c:pt idx="12">
                  <c:v>55700346.201536275</c:v>
                </c:pt>
                <c:pt idx="13">
                  <c:v>48438759.500539541</c:v>
                </c:pt>
                <c:pt idx="14">
                  <c:v>49513503.830736659</c:v>
                </c:pt>
                <c:pt idx="15">
                  <c:v>36948831.248067006</c:v>
                </c:pt>
                <c:pt idx="16">
                  <c:v>20841623.123532005</c:v>
                </c:pt>
                <c:pt idx="17">
                  <c:v>8159619.4220123244</c:v>
                </c:pt>
                <c:pt idx="18">
                  <c:v>8213276.7885155063</c:v>
                </c:pt>
                <c:pt idx="19">
                  <c:v>8223806.8077376653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A1-4BFC-ABE6-D126CB5D2502}"/>
            </c:ext>
          </c:extLst>
        </c:ser>
        <c:ser>
          <c:idx val="6"/>
          <c:order val="6"/>
          <c:tx>
            <c:strRef>
              <c:f>EGRID!$J$15</c:f>
              <c:strCache>
                <c:ptCount val="1"/>
                <c:pt idx="0">
                  <c:v> EGRIDCap8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EGRID!$K$15:$AD$15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121558220.89050616</c:v>
                </c:pt>
                <c:pt idx="2">
                  <c:v>116948931.86086811</c:v>
                </c:pt>
                <c:pt idx="3">
                  <c:v>112306433.29761906</c:v>
                </c:pt>
                <c:pt idx="4">
                  <c:v>107760508.48471428</c:v>
                </c:pt>
                <c:pt idx="5">
                  <c:v>103185958.06841584</c:v>
                </c:pt>
                <c:pt idx="6">
                  <c:v>98706461.786213338</c:v>
                </c:pt>
                <c:pt idx="7">
                  <c:v>91304322.59225522</c:v>
                </c:pt>
                <c:pt idx="8">
                  <c:v>80093379.072119698</c:v>
                </c:pt>
                <c:pt idx="9">
                  <c:v>74448058.84072201</c:v>
                </c:pt>
                <c:pt idx="10">
                  <c:v>65603970.071154878</c:v>
                </c:pt>
                <c:pt idx="11">
                  <c:v>61471989.745339014</c:v>
                </c:pt>
                <c:pt idx="12">
                  <c:v>54463197.497292638</c:v>
                </c:pt>
                <c:pt idx="13">
                  <c:v>46555531.368824348</c:v>
                </c:pt>
                <c:pt idx="14">
                  <c:v>47581423.684012502</c:v>
                </c:pt>
                <c:pt idx="15">
                  <c:v>35587872.582373291</c:v>
                </c:pt>
                <c:pt idx="16">
                  <c:v>20212810.281680789</c:v>
                </c:pt>
                <c:pt idx="17">
                  <c:v>8107261.2938665487</c:v>
                </c:pt>
                <c:pt idx="18">
                  <c:v>8158479.6891650409</c:v>
                </c:pt>
                <c:pt idx="19">
                  <c:v>8168531.0711498279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A1-4BFC-ABE6-D126CB5D2502}"/>
            </c:ext>
          </c:extLst>
        </c:ser>
        <c:ser>
          <c:idx val="7"/>
          <c:order val="7"/>
          <c:tx>
            <c:strRef>
              <c:f>EGRID!$J$16</c:f>
              <c:strCache>
                <c:ptCount val="1"/>
                <c:pt idx="0">
                  <c:v> EGRIDCap9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EGRID!$K$16:$AD$16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122239245.85929304</c:v>
                </c:pt>
                <c:pt idx="2">
                  <c:v>117644919.79196756</c:v>
                </c:pt>
                <c:pt idx="3">
                  <c:v>113018965.5973935</c:v>
                </c:pt>
                <c:pt idx="4">
                  <c:v>108484986.40314732</c:v>
                </c:pt>
                <c:pt idx="5">
                  <c:v>103923744.72947861</c:v>
                </c:pt>
                <c:pt idx="6">
                  <c:v>99453030.802567929</c:v>
                </c:pt>
                <c:pt idx="7">
                  <c:v>91994320.444410279</c:v>
                </c:pt>
                <c:pt idx="8">
                  <c:v>80703650.403175369</c:v>
                </c:pt>
                <c:pt idx="9">
                  <c:v>74918100.961741939</c:v>
                </c:pt>
                <c:pt idx="10">
                  <c:v>65881578.302000746</c:v>
                </c:pt>
                <c:pt idx="11">
                  <c:v>60923723.986682259</c:v>
                </c:pt>
                <c:pt idx="12">
                  <c:v>53226048.793049</c:v>
                </c:pt>
                <c:pt idx="13">
                  <c:v>44672303.237109154</c:v>
                </c:pt>
                <c:pt idx="14">
                  <c:v>45649343.537288345</c:v>
                </c:pt>
                <c:pt idx="15">
                  <c:v>34226913.916679576</c:v>
                </c:pt>
                <c:pt idx="16">
                  <c:v>19583997.439829573</c:v>
                </c:pt>
                <c:pt idx="17">
                  <c:v>8054903.1657207729</c:v>
                </c:pt>
                <c:pt idx="18">
                  <c:v>8103682.5898145754</c:v>
                </c:pt>
                <c:pt idx="19">
                  <c:v>8113255.3345619906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A1-4BFC-ABE6-D126CB5D2502}"/>
            </c:ext>
          </c:extLst>
        </c:ser>
        <c:ser>
          <c:idx val="8"/>
          <c:order val="8"/>
          <c:tx>
            <c:strRef>
              <c:f>EGRID!$J$17</c:f>
              <c:strCache>
                <c:ptCount val="1"/>
                <c:pt idx="0">
                  <c:v> EGRIDCap10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EGRID!$K$17:$AD$17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122920270.82807992</c:v>
                </c:pt>
                <c:pt idx="2">
                  <c:v>118340907.723067</c:v>
                </c:pt>
                <c:pt idx="3">
                  <c:v>113731497.89716794</c:v>
                </c:pt>
                <c:pt idx="4">
                  <c:v>109209464.32158037</c:v>
                </c:pt>
                <c:pt idx="5">
                  <c:v>104661531.39054139</c:v>
                </c:pt>
                <c:pt idx="6">
                  <c:v>100199599.81892252</c:v>
                </c:pt>
                <c:pt idx="7">
                  <c:v>92684318.296565339</c:v>
                </c:pt>
                <c:pt idx="8">
                  <c:v>81313921.73423104</c:v>
                </c:pt>
                <c:pt idx="9">
                  <c:v>75388143.082761869</c:v>
                </c:pt>
                <c:pt idx="10">
                  <c:v>66159186.532846615</c:v>
                </c:pt>
                <c:pt idx="11">
                  <c:v>60375458.228025503</c:v>
                </c:pt>
                <c:pt idx="12">
                  <c:v>51988900.088805363</c:v>
                </c:pt>
                <c:pt idx="13">
                  <c:v>42789075.105393961</c:v>
                </c:pt>
                <c:pt idx="14">
                  <c:v>43717263.390564188</c:v>
                </c:pt>
                <c:pt idx="15">
                  <c:v>32865955.250985861</c:v>
                </c:pt>
                <c:pt idx="16">
                  <c:v>18955184.597978357</c:v>
                </c:pt>
                <c:pt idx="17">
                  <c:v>8002545.0375749972</c:v>
                </c:pt>
                <c:pt idx="18">
                  <c:v>8048885.4904641099</c:v>
                </c:pt>
                <c:pt idx="19">
                  <c:v>8057979.5979741532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A1-4BFC-ABE6-D126CB5D2502}"/>
            </c:ext>
          </c:extLst>
        </c:ser>
        <c:ser>
          <c:idx val="9"/>
          <c:order val="9"/>
          <c:tx>
            <c:strRef>
              <c:f>EGRID!$J$18</c:f>
              <c:strCache>
                <c:ptCount val="1"/>
                <c:pt idx="0">
                  <c:v> EGRIDCap11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EGRID!$K$18:$AD$18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123601295.7968668</c:v>
                </c:pt>
                <c:pt idx="2">
                  <c:v>119036895.65416645</c:v>
                </c:pt>
                <c:pt idx="3">
                  <c:v>114444030.19694237</c:v>
                </c:pt>
                <c:pt idx="4">
                  <c:v>109933942.24001341</c:v>
                </c:pt>
                <c:pt idx="5">
                  <c:v>105399318.05160417</c:v>
                </c:pt>
                <c:pt idx="6">
                  <c:v>100946168.83527711</c:v>
                </c:pt>
                <c:pt idx="7">
                  <c:v>93374316.148720399</c:v>
                </c:pt>
                <c:pt idx="8">
                  <c:v>81924193.065286711</c:v>
                </c:pt>
                <c:pt idx="9">
                  <c:v>75858185.203781798</c:v>
                </c:pt>
                <c:pt idx="10">
                  <c:v>66436794.763692483</c:v>
                </c:pt>
                <c:pt idx="11">
                  <c:v>59827192.469368748</c:v>
                </c:pt>
                <c:pt idx="12">
                  <c:v>50751751.384561725</c:v>
                </c:pt>
                <c:pt idx="13">
                  <c:v>40905846.973678768</c:v>
                </c:pt>
                <c:pt idx="14">
                  <c:v>41785183.243840031</c:v>
                </c:pt>
                <c:pt idx="15">
                  <c:v>31504996.585292146</c:v>
                </c:pt>
                <c:pt idx="16">
                  <c:v>18326371.756127141</c:v>
                </c:pt>
                <c:pt idx="17">
                  <c:v>7950186.9094292214</c:v>
                </c:pt>
                <c:pt idx="18">
                  <c:v>7994088.3911136445</c:v>
                </c:pt>
                <c:pt idx="19">
                  <c:v>8002703.8613863159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0A1-4BFC-ABE6-D126CB5D2502}"/>
            </c:ext>
          </c:extLst>
        </c:ser>
        <c:ser>
          <c:idx val="10"/>
          <c:order val="10"/>
          <c:tx>
            <c:strRef>
              <c:f>EGRID!$J$19</c:f>
              <c:strCache>
                <c:ptCount val="1"/>
                <c:pt idx="0">
                  <c:v> EGRIDCap12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EGRID!$K$19:$AD$19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124282320.76565368</c:v>
                </c:pt>
                <c:pt idx="2">
                  <c:v>119732883.58526589</c:v>
                </c:pt>
                <c:pt idx="3">
                  <c:v>115156562.49671681</c:v>
                </c:pt>
                <c:pt idx="4">
                  <c:v>110658420.15844645</c:v>
                </c:pt>
                <c:pt idx="5">
                  <c:v>106137104.71266694</c:v>
                </c:pt>
                <c:pt idx="6">
                  <c:v>101692737.8516317</c:v>
                </c:pt>
                <c:pt idx="7">
                  <c:v>94064314.000875458</c:v>
                </c:pt>
                <c:pt idx="8">
                  <c:v>82534464.396342382</c:v>
                </c:pt>
                <c:pt idx="9">
                  <c:v>76328227.324801728</c:v>
                </c:pt>
                <c:pt idx="10">
                  <c:v>66714402.994538352</c:v>
                </c:pt>
                <c:pt idx="11">
                  <c:v>59278926.710711993</c:v>
                </c:pt>
                <c:pt idx="12">
                  <c:v>49514602.680318087</c:v>
                </c:pt>
                <c:pt idx="13">
                  <c:v>39022618.841963574</c:v>
                </c:pt>
                <c:pt idx="14">
                  <c:v>39853103.097115874</c:v>
                </c:pt>
                <c:pt idx="15">
                  <c:v>30144037.91959843</c:v>
                </c:pt>
                <c:pt idx="16">
                  <c:v>17697558.914275926</c:v>
                </c:pt>
                <c:pt idx="17">
                  <c:v>7897828.7812834457</c:v>
                </c:pt>
                <c:pt idx="18">
                  <c:v>7939291.291763179</c:v>
                </c:pt>
                <c:pt idx="19">
                  <c:v>7947428.1247984786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0A1-4BFC-ABE6-D126CB5D2502}"/>
            </c:ext>
          </c:extLst>
        </c:ser>
        <c:ser>
          <c:idx val="11"/>
          <c:order val="11"/>
          <c:tx>
            <c:strRef>
              <c:f>EGRID!$J$20</c:f>
              <c:strCache>
                <c:ptCount val="1"/>
                <c:pt idx="0">
                  <c:v> EGRIDCap13 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EGRID!$K$20:$AD$20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124963345.73444057</c:v>
                </c:pt>
                <c:pt idx="2">
                  <c:v>120428871.51636533</c:v>
                </c:pt>
                <c:pt idx="3">
                  <c:v>115869094.79649125</c:v>
                </c:pt>
                <c:pt idx="4">
                  <c:v>111382898.07687949</c:v>
                </c:pt>
                <c:pt idx="5">
                  <c:v>106874891.37372972</c:v>
                </c:pt>
                <c:pt idx="6">
                  <c:v>102439306.86798629</c:v>
                </c:pt>
                <c:pt idx="7">
                  <c:v>94754311.853030518</c:v>
                </c:pt>
                <c:pt idx="8">
                  <c:v>83144735.727398053</c:v>
                </c:pt>
                <c:pt idx="9">
                  <c:v>76798269.445821658</c:v>
                </c:pt>
                <c:pt idx="10">
                  <c:v>66992011.22538422</c:v>
                </c:pt>
                <c:pt idx="11">
                  <c:v>58730660.952055238</c:v>
                </c:pt>
                <c:pt idx="12">
                  <c:v>48277453.97607445</c:v>
                </c:pt>
                <c:pt idx="13">
                  <c:v>37139390.710248381</c:v>
                </c:pt>
                <c:pt idx="14">
                  <c:v>37921022.950391717</c:v>
                </c:pt>
                <c:pt idx="15">
                  <c:v>28783079.253904715</c:v>
                </c:pt>
                <c:pt idx="16">
                  <c:v>17068746.07242471</c:v>
                </c:pt>
                <c:pt idx="17">
                  <c:v>7845470.6531376699</c:v>
                </c:pt>
                <c:pt idx="18">
                  <c:v>7884494.1924127135</c:v>
                </c:pt>
                <c:pt idx="19">
                  <c:v>7892152.3882106412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0A1-4BFC-ABE6-D126CB5D2502}"/>
            </c:ext>
          </c:extLst>
        </c:ser>
        <c:ser>
          <c:idx val="12"/>
          <c:order val="12"/>
          <c:tx>
            <c:strRef>
              <c:f>EGRID!$J$21</c:f>
              <c:strCache>
                <c:ptCount val="1"/>
                <c:pt idx="0">
                  <c:v> EGRIDCap14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EGRID!$K$21:$AD$21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125644370.70322745</c:v>
                </c:pt>
                <c:pt idx="2">
                  <c:v>121124859.44746478</c:v>
                </c:pt>
                <c:pt idx="3">
                  <c:v>116581627.09626569</c:v>
                </c:pt>
                <c:pt idx="4">
                  <c:v>112107375.99531253</c:v>
                </c:pt>
                <c:pt idx="5">
                  <c:v>107612678.0347925</c:v>
                </c:pt>
                <c:pt idx="6">
                  <c:v>103185875.88434088</c:v>
                </c:pt>
                <c:pt idx="7">
                  <c:v>95444309.705185577</c:v>
                </c:pt>
                <c:pt idx="8">
                  <c:v>83755007.058453724</c:v>
                </c:pt>
                <c:pt idx="9">
                  <c:v>77268311.566841587</c:v>
                </c:pt>
                <c:pt idx="10">
                  <c:v>67269619.456230089</c:v>
                </c:pt>
                <c:pt idx="11">
                  <c:v>58182395.193398483</c:v>
                </c:pt>
                <c:pt idx="12">
                  <c:v>47040305.271830812</c:v>
                </c:pt>
                <c:pt idx="13">
                  <c:v>35256162.578533188</c:v>
                </c:pt>
                <c:pt idx="14">
                  <c:v>35988942.80366756</c:v>
                </c:pt>
                <c:pt idx="15">
                  <c:v>27422120.588211</c:v>
                </c:pt>
                <c:pt idx="16">
                  <c:v>16439933.230573494</c:v>
                </c:pt>
                <c:pt idx="17">
                  <c:v>7793112.5249918941</c:v>
                </c:pt>
                <c:pt idx="18">
                  <c:v>7829697.0930622481</c:v>
                </c:pt>
                <c:pt idx="19">
                  <c:v>7836876.6516228039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0A1-4BFC-ABE6-D126CB5D2502}"/>
            </c:ext>
          </c:extLst>
        </c:ser>
        <c:ser>
          <c:idx val="13"/>
          <c:order val="13"/>
          <c:tx>
            <c:strRef>
              <c:f>EGRID!$J$22</c:f>
              <c:strCache>
                <c:ptCount val="1"/>
                <c:pt idx="0">
                  <c:v> EGRIDCap15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EGRID!$K$22:$AD$22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126325395.67201433</c:v>
                </c:pt>
                <c:pt idx="2">
                  <c:v>121820847.37856422</c:v>
                </c:pt>
                <c:pt idx="3">
                  <c:v>117294159.39604013</c:v>
                </c:pt>
                <c:pt idx="4">
                  <c:v>112831853.91374557</c:v>
                </c:pt>
                <c:pt idx="5">
                  <c:v>108350464.69585527</c:v>
                </c:pt>
                <c:pt idx="6">
                  <c:v>103932444.90069547</c:v>
                </c:pt>
                <c:pt idx="7">
                  <c:v>96134307.557340637</c:v>
                </c:pt>
                <c:pt idx="8">
                  <c:v>84365278.389509395</c:v>
                </c:pt>
                <c:pt idx="9">
                  <c:v>77738353.687861517</c:v>
                </c:pt>
                <c:pt idx="10">
                  <c:v>67547227.687075958</c:v>
                </c:pt>
                <c:pt idx="11">
                  <c:v>57634129.434741728</c:v>
                </c:pt>
                <c:pt idx="12">
                  <c:v>45803156.567587174</c:v>
                </c:pt>
                <c:pt idx="13">
                  <c:v>33372934.446817994</c:v>
                </c:pt>
                <c:pt idx="14">
                  <c:v>34056862.656943403</c:v>
                </c:pt>
                <c:pt idx="15">
                  <c:v>26061161.922517285</c:v>
                </c:pt>
                <c:pt idx="16">
                  <c:v>15811120.388722278</c:v>
                </c:pt>
                <c:pt idx="17">
                  <c:v>7740754.3968461184</c:v>
                </c:pt>
                <c:pt idx="18">
                  <c:v>7774899.9937117826</c:v>
                </c:pt>
                <c:pt idx="19">
                  <c:v>7781600.9150349665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0A1-4BFC-ABE6-D126CB5D2502}"/>
            </c:ext>
          </c:extLst>
        </c:ser>
        <c:ser>
          <c:idx val="14"/>
          <c:order val="14"/>
          <c:tx>
            <c:strRef>
              <c:f>EGRID!$J$23</c:f>
              <c:strCache>
                <c:ptCount val="1"/>
                <c:pt idx="0">
                  <c:v> EGRIDCap16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EGRID!$K$23:$AD$23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127006420.64080121</c:v>
                </c:pt>
                <c:pt idx="2">
                  <c:v>122516835.30966367</c:v>
                </c:pt>
                <c:pt idx="3">
                  <c:v>118006691.69581456</c:v>
                </c:pt>
                <c:pt idx="4">
                  <c:v>113556331.83217861</c:v>
                </c:pt>
                <c:pt idx="5">
                  <c:v>109088251.35691805</c:v>
                </c:pt>
                <c:pt idx="6">
                  <c:v>104679013.91705006</c:v>
                </c:pt>
                <c:pt idx="7">
                  <c:v>96824305.409495696</c:v>
                </c:pt>
                <c:pt idx="8">
                  <c:v>84975549.720565066</c:v>
                </c:pt>
                <c:pt idx="9">
                  <c:v>78208395.808881447</c:v>
                </c:pt>
                <c:pt idx="10">
                  <c:v>67824835.917921826</c:v>
                </c:pt>
                <c:pt idx="11">
                  <c:v>57085863.676084973</c:v>
                </c:pt>
                <c:pt idx="12">
                  <c:v>44566007.863343537</c:v>
                </c:pt>
                <c:pt idx="13">
                  <c:v>31489706.315102801</c:v>
                </c:pt>
                <c:pt idx="14">
                  <c:v>32124782.510219246</c:v>
                </c:pt>
                <c:pt idx="15">
                  <c:v>24700203.25682357</c:v>
                </c:pt>
                <c:pt idx="16">
                  <c:v>15182307.546871062</c:v>
                </c:pt>
                <c:pt idx="17">
                  <c:v>7688396.2687003426</c:v>
                </c:pt>
                <c:pt idx="18">
                  <c:v>7720102.8943613172</c:v>
                </c:pt>
                <c:pt idx="19">
                  <c:v>7726325.1784471292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0A1-4BFC-ABE6-D126CB5D2502}"/>
            </c:ext>
          </c:extLst>
        </c:ser>
        <c:ser>
          <c:idx val="15"/>
          <c:order val="15"/>
          <c:tx>
            <c:strRef>
              <c:f>EGRID!$J$24</c:f>
              <c:strCache>
                <c:ptCount val="1"/>
                <c:pt idx="0">
                  <c:v> EGRIDCap17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EGRID!$K$24:$AD$24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127687445.60958809</c:v>
                </c:pt>
                <c:pt idx="2">
                  <c:v>123212823.24076311</c:v>
                </c:pt>
                <c:pt idx="3">
                  <c:v>118719223.995589</c:v>
                </c:pt>
                <c:pt idx="4">
                  <c:v>114280809.75061165</c:v>
                </c:pt>
                <c:pt idx="5">
                  <c:v>109826038.01798083</c:v>
                </c:pt>
                <c:pt idx="6">
                  <c:v>105425582.93340465</c:v>
                </c:pt>
                <c:pt idx="7">
                  <c:v>97514303.261650756</c:v>
                </c:pt>
                <c:pt idx="8">
                  <c:v>85585821.051620737</c:v>
                </c:pt>
                <c:pt idx="9">
                  <c:v>78678437.929901376</c:v>
                </c:pt>
                <c:pt idx="10">
                  <c:v>68102444.148767695</c:v>
                </c:pt>
                <c:pt idx="11">
                  <c:v>56537597.917428218</c:v>
                </c:pt>
                <c:pt idx="12">
                  <c:v>43328859.159099899</c:v>
                </c:pt>
                <c:pt idx="13">
                  <c:v>29606478.183387607</c:v>
                </c:pt>
                <c:pt idx="14">
                  <c:v>30192702.363495089</c:v>
                </c:pt>
                <c:pt idx="15">
                  <c:v>23339244.591129854</c:v>
                </c:pt>
                <c:pt idx="16">
                  <c:v>14553494.705019847</c:v>
                </c:pt>
                <c:pt idx="17">
                  <c:v>7636038.1405545669</c:v>
                </c:pt>
                <c:pt idx="18">
                  <c:v>7665305.7950108517</c:v>
                </c:pt>
                <c:pt idx="19">
                  <c:v>7671049.4418592919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0A1-4BFC-ABE6-D126CB5D2502}"/>
            </c:ext>
          </c:extLst>
        </c:ser>
        <c:ser>
          <c:idx val="16"/>
          <c:order val="16"/>
          <c:tx>
            <c:strRef>
              <c:f>EGRID!$J$25</c:f>
              <c:strCache>
                <c:ptCount val="1"/>
                <c:pt idx="0">
                  <c:v> EGRIDCap18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EGRID!$K$25:$AD$25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128368470.57837497</c:v>
                </c:pt>
                <c:pt idx="2">
                  <c:v>123908811.17186256</c:v>
                </c:pt>
                <c:pt idx="3">
                  <c:v>119431756.29536344</c:v>
                </c:pt>
                <c:pt idx="4">
                  <c:v>115005287.66904469</c:v>
                </c:pt>
                <c:pt idx="5">
                  <c:v>110563824.67904361</c:v>
                </c:pt>
                <c:pt idx="6">
                  <c:v>106172151.94975924</c:v>
                </c:pt>
                <c:pt idx="7">
                  <c:v>98204301.113805816</c:v>
                </c:pt>
                <c:pt idx="8">
                  <c:v>86196092.382676408</c:v>
                </c:pt>
                <c:pt idx="9">
                  <c:v>79148480.050921306</c:v>
                </c:pt>
                <c:pt idx="10">
                  <c:v>68380052.379613563</c:v>
                </c:pt>
                <c:pt idx="11">
                  <c:v>55989332.158771463</c:v>
                </c:pt>
                <c:pt idx="12">
                  <c:v>42091710.454856262</c:v>
                </c:pt>
                <c:pt idx="13">
                  <c:v>27723250.051672414</c:v>
                </c:pt>
                <c:pt idx="14">
                  <c:v>28260622.216770932</c:v>
                </c:pt>
                <c:pt idx="15">
                  <c:v>21978285.925436139</c:v>
                </c:pt>
                <c:pt idx="16">
                  <c:v>13924681.863168631</c:v>
                </c:pt>
                <c:pt idx="17">
                  <c:v>7583680.0124087911</c:v>
                </c:pt>
                <c:pt idx="18">
                  <c:v>7610508.6956603862</c:v>
                </c:pt>
                <c:pt idx="19">
                  <c:v>7615773.7052714545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0A1-4BFC-ABE6-D126CB5D2502}"/>
            </c:ext>
          </c:extLst>
        </c:ser>
        <c:ser>
          <c:idx val="17"/>
          <c:order val="17"/>
          <c:tx>
            <c:strRef>
              <c:f>EGRID!$J$26</c:f>
              <c:strCache>
                <c:ptCount val="1"/>
                <c:pt idx="0">
                  <c:v> EGRIDCap19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EGRID!$K$26:$AD$26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129049495.54716185</c:v>
                </c:pt>
                <c:pt idx="2">
                  <c:v>124604799.102962</c:v>
                </c:pt>
                <c:pt idx="3">
                  <c:v>120144288.59513788</c:v>
                </c:pt>
                <c:pt idx="4">
                  <c:v>115729765.58747773</c:v>
                </c:pt>
                <c:pt idx="5">
                  <c:v>111301611.34010638</c:v>
                </c:pt>
                <c:pt idx="6">
                  <c:v>106918720.96611384</c:v>
                </c:pt>
                <c:pt idx="7">
                  <c:v>98894298.965960875</c:v>
                </c:pt>
                <c:pt idx="8">
                  <c:v>86806363.713732079</c:v>
                </c:pt>
                <c:pt idx="9">
                  <c:v>79618522.171941236</c:v>
                </c:pt>
                <c:pt idx="10">
                  <c:v>68657660.610459432</c:v>
                </c:pt>
                <c:pt idx="11">
                  <c:v>55441066.400114708</c:v>
                </c:pt>
                <c:pt idx="12">
                  <c:v>40854561.750612624</c:v>
                </c:pt>
                <c:pt idx="13">
                  <c:v>25840021.919957221</c:v>
                </c:pt>
                <c:pt idx="14">
                  <c:v>26328542.070046775</c:v>
                </c:pt>
                <c:pt idx="15">
                  <c:v>20617327.259742424</c:v>
                </c:pt>
                <c:pt idx="16">
                  <c:v>13295869.021317415</c:v>
                </c:pt>
                <c:pt idx="17">
                  <c:v>7531321.8842630154</c:v>
                </c:pt>
                <c:pt idx="18">
                  <c:v>7555711.5963099208</c:v>
                </c:pt>
                <c:pt idx="19">
                  <c:v>7560497.9686836172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0A1-4BFC-ABE6-D126CB5D2502}"/>
            </c:ext>
          </c:extLst>
        </c:ser>
        <c:ser>
          <c:idx val="18"/>
          <c:order val="18"/>
          <c:tx>
            <c:strRef>
              <c:f>EGRID!$J$27</c:f>
              <c:strCache>
                <c:ptCount val="1"/>
                <c:pt idx="0">
                  <c:v> EGRIDCap20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EGRID!$K$27:$AD$27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129730520.51594873</c:v>
                </c:pt>
                <c:pt idx="2">
                  <c:v>125300787.03406145</c:v>
                </c:pt>
                <c:pt idx="3">
                  <c:v>120856820.89491232</c:v>
                </c:pt>
                <c:pt idx="4">
                  <c:v>116454243.50591077</c:v>
                </c:pt>
                <c:pt idx="5">
                  <c:v>112039398.00116916</c:v>
                </c:pt>
                <c:pt idx="6">
                  <c:v>107665289.98246843</c:v>
                </c:pt>
                <c:pt idx="7">
                  <c:v>99584296.818115935</c:v>
                </c:pt>
                <c:pt idx="8">
                  <c:v>87416635.04478775</c:v>
                </c:pt>
                <c:pt idx="9">
                  <c:v>80088564.292961165</c:v>
                </c:pt>
                <c:pt idx="10">
                  <c:v>68935268.841305301</c:v>
                </c:pt>
                <c:pt idx="11">
                  <c:v>54892800.641457953</c:v>
                </c:pt>
                <c:pt idx="12">
                  <c:v>39617413.046368986</c:v>
                </c:pt>
                <c:pt idx="13">
                  <c:v>23956793.788242027</c:v>
                </c:pt>
                <c:pt idx="14">
                  <c:v>24396461.923322618</c:v>
                </c:pt>
                <c:pt idx="15">
                  <c:v>19256368.594048709</c:v>
                </c:pt>
                <c:pt idx="16">
                  <c:v>12667056.179466199</c:v>
                </c:pt>
                <c:pt idx="17">
                  <c:v>7478963.7561172396</c:v>
                </c:pt>
                <c:pt idx="18">
                  <c:v>7500914.4969594553</c:v>
                </c:pt>
                <c:pt idx="19">
                  <c:v>7505222.2320957799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0A1-4BFC-ABE6-D126CB5D2502}"/>
            </c:ext>
          </c:extLst>
        </c:ser>
        <c:ser>
          <c:idx val="19"/>
          <c:order val="19"/>
          <c:tx>
            <c:strRef>
              <c:f>EGRID!$J$28</c:f>
              <c:strCache>
                <c:ptCount val="1"/>
                <c:pt idx="0">
                  <c:v> EGRIDCap21 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EGRID!$K$28:$AD$28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130411545.48473561</c:v>
                </c:pt>
                <c:pt idx="2">
                  <c:v>125996774.96516089</c:v>
                </c:pt>
                <c:pt idx="3">
                  <c:v>121569353.19468676</c:v>
                </c:pt>
                <c:pt idx="4">
                  <c:v>117178721.42434381</c:v>
                </c:pt>
                <c:pt idx="5">
                  <c:v>112777184.66223194</c:v>
                </c:pt>
                <c:pt idx="6">
                  <c:v>108411858.99882302</c:v>
                </c:pt>
                <c:pt idx="7">
                  <c:v>100274294.67027099</c:v>
                </c:pt>
                <c:pt idx="8">
                  <c:v>88026906.375843421</c:v>
                </c:pt>
                <c:pt idx="9">
                  <c:v>80558606.413981095</c:v>
                </c:pt>
                <c:pt idx="10">
                  <c:v>69212877.072151169</c:v>
                </c:pt>
                <c:pt idx="11">
                  <c:v>54344534.882801197</c:v>
                </c:pt>
                <c:pt idx="12">
                  <c:v>38380264.342125349</c:v>
                </c:pt>
                <c:pt idx="13">
                  <c:v>22073565.656526834</c:v>
                </c:pt>
                <c:pt idx="14">
                  <c:v>22464381.776598461</c:v>
                </c:pt>
                <c:pt idx="15">
                  <c:v>17895409.928354993</c:v>
                </c:pt>
                <c:pt idx="16">
                  <c:v>12038243.337614983</c:v>
                </c:pt>
                <c:pt idx="17">
                  <c:v>7426605.6279714638</c:v>
                </c:pt>
                <c:pt idx="18">
                  <c:v>7446117.3976089898</c:v>
                </c:pt>
                <c:pt idx="19">
                  <c:v>7449946.4955079425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0A1-4BFC-ABE6-D126CB5D2502}"/>
            </c:ext>
          </c:extLst>
        </c:ser>
        <c:ser>
          <c:idx val="20"/>
          <c:order val="20"/>
          <c:tx>
            <c:strRef>
              <c:f>EGRID!$J$29</c:f>
              <c:strCache>
                <c:ptCount val="1"/>
                <c:pt idx="0">
                  <c:v> EGRIDCap22 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EGRID!$K$29:$AD$29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131092570.45352249</c:v>
                </c:pt>
                <c:pt idx="2">
                  <c:v>126692762.89626034</c:v>
                </c:pt>
                <c:pt idx="3">
                  <c:v>122281885.49446119</c:v>
                </c:pt>
                <c:pt idx="4">
                  <c:v>117903199.34277685</c:v>
                </c:pt>
                <c:pt idx="5">
                  <c:v>113514971.32329471</c:v>
                </c:pt>
                <c:pt idx="6">
                  <c:v>109158428.01517761</c:v>
                </c:pt>
                <c:pt idx="7">
                  <c:v>100964292.52242605</c:v>
                </c:pt>
                <c:pt idx="8">
                  <c:v>88637177.706899092</c:v>
                </c:pt>
                <c:pt idx="9">
                  <c:v>81028648.535001025</c:v>
                </c:pt>
                <c:pt idx="10">
                  <c:v>69490485.302997038</c:v>
                </c:pt>
                <c:pt idx="11">
                  <c:v>53796269.124144442</c:v>
                </c:pt>
                <c:pt idx="12">
                  <c:v>37143115.637881711</c:v>
                </c:pt>
                <c:pt idx="13">
                  <c:v>20190337.52481164</c:v>
                </c:pt>
                <c:pt idx="14">
                  <c:v>20532301.629874304</c:v>
                </c:pt>
                <c:pt idx="15">
                  <c:v>16534451.262661278</c:v>
                </c:pt>
                <c:pt idx="16">
                  <c:v>11409430.495763768</c:v>
                </c:pt>
                <c:pt idx="17">
                  <c:v>7374247.4998256881</c:v>
                </c:pt>
                <c:pt idx="18">
                  <c:v>7391320.2982585244</c:v>
                </c:pt>
                <c:pt idx="19">
                  <c:v>7394670.7589201052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0A1-4BFC-ABE6-D126CB5D2502}"/>
            </c:ext>
          </c:extLst>
        </c:ser>
        <c:ser>
          <c:idx val="21"/>
          <c:order val="21"/>
          <c:tx>
            <c:strRef>
              <c:f>EGRID!$J$30</c:f>
              <c:strCache>
                <c:ptCount val="1"/>
                <c:pt idx="0">
                  <c:v> EGRIDCap23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EGRID!$K$30:$AD$30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131773595.42230937</c:v>
                </c:pt>
                <c:pt idx="2">
                  <c:v>127388750.82735978</c:v>
                </c:pt>
                <c:pt idx="3">
                  <c:v>122994417.79423563</c:v>
                </c:pt>
                <c:pt idx="4">
                  <c:v>118627677.26120989</c:v>
                </c:pt>
                <c:pt idx="5">
                  <c:v>114252757.98435749</c:v>
                </c:pt>
                <c:pt idx="6">
                  <c:v>109904997.0315322</c:v>
                </c:pt>
                <c:pt idx="7">
                  <c:v>101654290.37458111</c:v>
                </c:pt>
                <c:pt idx="8">
                  <c:v>89247449.037954763</c:v>
                </c:pt>
                <c:pt idx="9">
                  <c:v>81498690.656020954</c:v>
                </c:pt>
                <c:pt idx="10">
                  <c:v>69768093.533842906</c:v>
                </c:pt>
                <c:pt idx="11">
                  <c:v>53248003.365487687</c:v>
                </c:pt>
                <c:pt idx="12">
                  <c:v>35905966.933638074</c:v>
                </c:pt>
                <c:pt idx="13">
                  <c:v>18307109.393096447</c:v>
                </c:pt>
                <c:pt idx="14">
                  <c:v>18600221.483150147</c:v>
                </c:pt>
                <c:pt idx="15">
                  <c:v>15173492.596967563</c:v>
                </c:pt>
                <c:pt idx="16">
                  <c:v>10780617.653912552</c:v>
                </c:pt>
                <c:pt idx="17">
                  <c:v>7321889.3716799123</c:v>
                </c:pt>
                <c:pt idx="18">
                  <c:v>7336523.1989080589</c:v>
                </c:pt>
                <c:pt idx="19">
                  <c:v>7339395.0223322678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0A1-4BFC-ABE6-D126CB5D2502}"/>
            </c:ext>
          </c:extLst>
        </c:ser>
        <c:ser>
          <c:idx val="22"/>
          <c:order val="22"/>
          <c:tx>
            <c:strRef>
              <c:f>EGRID!$J$31</c:f>
              <c:strCache>
                <c:ptCount val="1"/>
                <c:pt idx="0">
                  <c:v> EGRIDCap24 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EGRID!$K$31:$AD$31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132454620.39109625</c:v>
                </c:pt>
                <c:pt idx="2">
                  <c:v>128084738.75845923</c:v>
                </c:pt>
                <c:pt idx="3">
                  <c:v>123706950.09401007</c:v>
                </c:pt>
                <c:pt idx="4">
                  <c:v>119352155.17964293</c:v>
                </c:pt>
                <c:pt idx="5">
                  <c:v>114990544.64542027</c:v>
                </c:pt>
                <c:pt idx="6">
                  <c:v>110651566.04788679</c:v>
                </c:pt>
                <c:pt idx="7">
                  <c:v>102344288.22673617</c:v>
                </c:pt>
                <c:pt idx="8">
                  <c:v>89857720.369010434</c:v>
                </c:pt>
                <c:pt idx="9">
                  <c:v>81968732.777040884</c:v>
                </c:pt>
                <c:pt idx="10">
                  <c:v>70045701.764688775</c:v>
                </c:pt>
                <c:pt idx="11">
                  <c:v>52699737.606830932</c:v>
                </c:pt>
                <c:pt idx="12">
                  <c:v>34668818.229394436</c:v>
                </c:pt>
                <c:pt idx="13">
                  <c:v>16423881.261381252</c:v>
                </c:pt>
                <c:pt idx="14">
                  <c:v>16668141.336425992</c:v>
                </c:pt>
                <c:pt idx="15">
                  <c:v>13812533.931273848</c:v>
                </c:pt>
                <c:pt idx="16">
                  <c:v>10151804.812061336</c:v>
                </c:pt>
                <c:pt idx="17">
                  <c:v>7269531.2435341366</c:v>
                </c:pt>
                <c:pt idx="18">
                  <c:v>7281726.0995575935</c:v>
                </c:pt>
                <c:pt idx="19">
                  <c:v>7284119.2857444305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0A1-4BFC-ABE6-D126CB5D2502}"/>
            </c:ext>
          </c:extLst>
        </c:ser>
        <c:ser>
          <c:idx val="23"/>
          <c:order val="23"/>
          <c:tx>
            <c:strRef>
              <c:f>EGRID!$J$32</c:f>
              <c:strCache>
                <c:ptCount val="1"/>
                <c:pt idx="0">
                  <c:v> EGRIDCap25 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EGRID!$K$32:$AD$32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133135645.35988313</c:v>
                </c:pt>
                <c:pt idx="2">
                  <c:v>128780726.68955867</c:v>
                </c:pt>
                <c:pt idx="3">
                  <c:v>124419482.39378451</c:v>
                </c:pt>
                <c:pt idx="4">
                  <c:v>120076633.09807597</c:v>
                </c:pt>
                <c:pt idx="5">
                  <c:v>115728331.30648305</c:v>
                </c:pt>
                <c:pt idx="6">
                  <c:v>111398135.06424138</c:v>
                </c:pt>
                <c:pt idx="7">
                  <c:v>103034286.07889123</c:v>
                </c:pt>
                <c:pt idx="8">
                  <c:v>90467991.700066105</c:v>
                </c:pt>
                <c:pt idx="9">
                  <c:v>82438774.898060814</c:v>
                </c:pt>
                <c:pt idx="10">
                  <c:v>70323309.995534644</c:v>
                </c:pt>
                <c:pt idx="11">
                  <c:v>52151471.848174177</c:v>
                </c:pt>
                <c:pt idx="12">
                  <c:v>33431669.525150795</c:v>
                </c:pt>
                <c:pt idx="13">
                  <c:v>14540653.129666056</c:v>
                </c:pt>
                <c:pt idx="14">
                  <c:v>14736061.189701837</c:v>
                </c:pt>
                <c:pt idx="15">
                  <c:v>12451575.265580133</c:v>
                </c:pt>
                <c:pt idx="16">
                  <c:v>9522991.9702101201</c:v>
                </c:pt>
                <c:pt idx="17">
                  <c:v>7217173.1153883608</c:v>
                </c:pt>
                <c:pt idx="18">
                  <c:v>7226929.000207128</c:v>
                </c:pt>
                <c:pt idx="19">
                  <c:v>7228843.5491565932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0A1-4BFC-ABE6-D126CB5D2502}"/>
            </c:ext>
          </c:extLst>
        </c:ser>
        <c:ser>
          <c:idx val="24"/>
          <c:order val="24"/>
          <c:tx>
            <c:strRef>
              <c:f>EGRID!$J$33</c:f>
              <c:strCache>
                <c:ptCount val="1"/>
                <c:pt idx="0">
                  <c:v> EGRIDCap26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EGRID!$K$33:$AD$33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133816670.32867001</c:v>
                </c:pt>
                <c:pt idx="2">
                  <c:v>129476714.62065811</c:v>
                </c:pt>
                <c:pt idx="3">
                  <c:v>125132014.69355895</c:v>
                </c:pt>
                <c:pt idx="4">
                  <c:v>120801111.01650901</c:v>
                </c:pt>
                <c:pt idx="5">
                  <c:v>116466117.96754582</c:v>
                </c:pt>
                <c:pt idx="6">
                  <c:v>112144704.08059597</c:v>
                </c:pt>
                <c:pt idx="7">
                  <c:v>103724283.93104629</c:v>
                </c:pt>
                <c:pt idx="8">
                  <c:v>91078263.031121776</c:v>
                </c:pt>
                <c:pt idx="9">
                  <c:v>82908817.019080743</c:v>
                </c:pt>
                <c:pt idx="10">
                  <c:v>70600918.226380512</c:v>
                </c:pt>
                <c:pt idx="11">
                  <c:v>51603206.089517422</c:v>
                </c:pt>
                <c:pt idx="12">
                  <c:v>32194520.820907153</c:v>
                </c:pt>
                <c:pt idx="13">
                  <c:v>12657424.997950861</c:v>
                </c:pt>
                <c:pt idx="14">
                  <c:v>12803981.042977681</c:v>
                </c:pt>
                <c:pt idx="15">
                  <c:v>11090616.599886417</c:v>
                </c:pt>
                <c:pt idx="16">
                  <c:v>8894179.1283589043</c:v>
                </c:pt>
                <c:pt idx="17">
                  <c:v>7164814.987242585</c:v>
                </c:pt>
                <c:pt idx="18">
                  <c:v>7172131.9008566625</c:v>
                </c:pt>
                <c:pt idx="19">
                  <c:v>7173567.8125687558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0A1-4BFC-ABE6-D126CB5D2502}"/>
            </c:ext>
          </c:extLst>
        </c:ser>
        <c:ser>
          <c:idx val="25"/>
          <c:order val="25"/>
          <c:tx>
            <c:strRef>
              <c:f>EGRID!$J$34</c:f>
              <c:strCache>
                <c:ptCount val="1"/>
                <c:pt idx="0">
                  <c:v> EGRIDCap27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EGRID!$K$34:$AD$34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134497695.29745689</c:v>
                </c:pt>
                <c:pt idx="2">
                  <c:v>130172702.55175756</c:v>
                </c:pt>
                <c:pt idx="3">
                  <c:v>125844546.99333338</c:v>
                </c:pt>
                <c:pt idx="4">
                  <c:v>121525588.93494205</c:v>
                </c:pt>
                <c:pt idx="5">
                  <c:v>117203904.6286086</c:v>
                </c:pt>
                <c:pt idx="6">
                  <c:v>112891273.09695056</c:v>
                </c:pt>
                <c:pt idx="7">
                  <c:v>104414281.78320135</c:v>
                </c:pt>
                <c:pt idx="8">
                  <c:v>91688534.362177446</c:v>
                </c:pt>
                <c:pt idx="9">
                  <c:v>83378859.140100673</c:v>
                </c:pt>
                <c:pt idx="10">
                  <c:v>70878526.457226381</c:v>
                </c:pt>
                <c:pt idx="11">
                  <c:v>51054940.330860667</c:v>
                </c:pt>
                <c:pt idx="12">
                  <c:v>30957372.116663512</c:v>
                </c:pt>
                <c:pt idx="13">
                  <c:v>10774196.866235666</c:v>
                </c:pt>
                <c:pt idx="14">
                  <c:v>10871900.896253526</c:v>
                </c:pt>
                <c:pt idx="15">
                  <c:v>9729657.9341927022</c:v>
                </c:pt>
                <c:pt idx="16">
                  <c:v>8265366.2865076885</c:v>
                </c:pt>
                <c:pt idx="17">
                  <c:v>7112456.8590968093</c:v>
                </c:pt>
                <c:pt idx="18">
                  <c:v>7117334.8015061971</c:v>
                </c:pt>
                <c:pt idx="19">
                  <c:v>7118292.0759809185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0A1-4BFC-ABE6-D126CB5D2502}"/>
            </c:ext>
          </c:extLst>
        </c:ser>
        <c:ser>
          <c:idx val="26"/>
          <c:order val="26"/>
          <c:tx>
            <c:strRef>
              <c:f>EGRID!$J$35</c:f>
              <c:strCache>
                <c:ptCount val="1"/>
                <c:pt idx="0">
                  <c:v> EGRIDCap28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EGRID!$K$35:$AD$35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135178720.26624379</c:v>
                </c:pt>
                <c:pt idx="2">
                  <c:v>130868690.482857</c:v>
                </c:pt>
                <c:pt idx="3">
                  <c:v>126557079.29310782</c:v>
                </c:pt>
                <c:pt idx="4">
                  <c:v>122250066.85337509</c:v>
                </c:pt>
                <c:pt idx="5">
                  <c:v>117941691.28967138</c:v>
                </c:pt>
                <c:pt idx="6">
                  <c:v>113637842.11330515</c:v>
                </c:pt>
                <c:pt idx="7">
                  <c:v>105104279.63535641</c:v>
                </c:pt>
                <c:pt idx="8">
                  <c:v>92298805.693233117</c:v>
                </c:pt>
                <c:pt idx="9">
                  <c:v>83848901.261120602</c:v>
                </c:pt>
                <c:pt idx="10">
                  <c:v>71156134.688072249</c:v>
                </c:pt>
                <c:pt idx="11">
                  <c:v>50506674.572203912</c:v>
                </c:pt>
                <c:pt idx="12">
                  <c:v>29720223.41241987</c:v>
                </c:pt>
                <c:pt idx="13">
                  <c:v>8890968.7345204707</c:v>
                </c:pt>
                <c:pt idx="14">
                  <c:v>8939820.749529371</c:v>
                </c:pt>
                <c:pt idx="15">
                  <c:v>8368699.268498987</c:v>
                </c:pt>
                <c:pt idx="16">
                  <c:v>7636553.4446564727</c:v>
                </c:pt>
                <c:pt idx="17">
                  <c:v>7060098.7309510335</c:v>
                </c:pt>
                <c:pt idx="18">
                  <c:v>7062537.7021557316</c:v>
                </c:pt>
                <c:pt idx="19">
                  <c:v>7063016.3393930811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0A1-4BFC-ABE6-D126CB5D2502}"/>
            </c:ext>
          </c:extLst>
        </c:ser>
        <c:ser>
          <c:idx val="27"/>
          <c:order val="27"/>
          <c:tx>
            <c:strRef>
              <c:f>EGRID!$J$36</c:f>
              <c:strCache>
                <c:ptCount val="1"/>
                <c:pt idx="0">
                  <c:v> EGRIDCap29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EGRID!$K$36:$AD$36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135859745.23503068</c:v>
                </c:pt>
                <c:pt idx="2">
                  <c:v>131564678.41395645</c:v>
                </c:pt>
                <c:pt idx="3">
                  <c:v>127269611.59288226</c:v>
                </c:pt>
                <c:pt idx="4">
                  <c:v>122974544.77180813</c:v>
                </c:pt>
                <c:pt idx="5">
                  <c:v>118679477.95073415</c:v>
                </c:pt>
                <c:pt idx="6">
                  <c:v>114384411.12965974</c:v>
                </c:pt>
                <c:pt idx="7">
                  <c:v>105794277.48751147</c:v>
                </c:pt>
                <c:pt idx="8">
                  <c:v>92909077.024288788</c:v>
                </c:pt>
                <c:pt idx="9">
                  <c:v>84318943.382140532</c:v>
                </c:pt>
                <c:pt idx="10">
                  <c:v>71433742.918918118</c:v>
                </c:pt>
                <c:pt idx="11">
                  <c:v>49958408.813547157</c:v>
                </c:pt>
                <c:pt idx="12">
                  <c:v>28483074.708176229</c:v>
                </c:pt>
                <c:pt idx="13">
                  <c:v>7007740.6028052764</c:v>
                </c:pt>
                <c:pt idx="14">
                  <c:v>7007740.6028052159</c:v>
                </c:pt>
                <c:pt idx="15">
                  <c:v>7007740.6028052717</c:v>
                </c:pt>
                <c:pt idx="16">
                  <c:v>7007740.6028052568</c:v>
                </c:pt>
                <c:pt idx="17">
                  <c:v>7007740.6028052578</c:v>
                </c:pt>
                <c:pt idx="18">
                  <c:v>7007740.6028052662</c:v>
                </c:pt>
                <c:pt idx="19">
                  <c:v>7007740.6028052438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20A1-4BFC-ABE6-D126CB5D2502}"/>
            </c:ext>
          </c:extLst>
        </c:ser>
        <c:ser>
          <c:idx val="28"/>
          <c:order val="28"/>
          <c:tx>
            <c:strRef>
              <c:f>EGRID!$J$37</c:f>
              <c:strCache>
                <c:ptCount val="1"/>
                <c:pt idx="0">
                  <c:v> EGRIDCap30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EGRID!$K$37:$AD$37</c:f>
              <c:numCache>
                <c:formatCode>_(* #,##0_);_(* \(#,##0\);_(* "-"??_);_(@_)</c:formatCode>
                <c:ptCount val="20"/>
                <c:pt idx="0">
                  <c:v>140154812.05610499</c:v>
                </c:pt>
                <c:pt idx="1">
                  <c:v>136540770.20381758</c:v>
                </c:pt>
                <c:pt idx="2">
                  <c:v>132260666.34505589</c:v>
                </c:pt>
                <c:pt idx="3">
                  <c:v>127982143.8926567</c:v>
                </c:pt>
                <c:pt idx="4">
                  <c:v>123699022.69024117</c:v>
                </c:pt>
                <c:pt idx="5">
                  <c:v>119417264.61179693</c:v>
                </c:pt>
                <c:pt idx="6">
                  <c:v>115130980.14601433</c:v>
                </c:pt>
                <c:pt idx="7">
                  <c:v>106484275.33966653</c:v>
                </c:pt>
                <c:pt idx="8">
                  <c:v>93519348.355344459</c:v>
                </c:pt>
                <c:pt idx="9">
                  <c:v>84788985.503160462</c:v>
                </c:pt>
                <c:pt idx="10">
                  <c:v>71711351.149763986</c:v>
                </c:pt>
                <c:pt idx="11">
                  <c:v>49410143.054890402</c:v>
                </c:pt>
                <c:pt idx="12">
                  <c:v>27245926.003932588</c:v>
                </c:pt>
                <c:pt idx="13">
                  <c:v>5124512.4710900821</c:v>
                </c:pt>
                <c:pt idx="14">
                  <c:v>5075660.4560810607</c:v>
                </c:pt>
                <c:pt idx="15">
                  <c:v>5646781.9371115565</c:v>
                </c:pt>
                <c:pt idx="16">
                  <c:v>6378927.760954041</c:v>
                </c:pt>
                <c:pt idx="17">
                  <c:v>6955382.474659482</c:v>
                </c:pt>
                <c:pt idx="18">
                  <c:v>6952943.5034548007</c:v>
                </c:pt>
                <c:pt idx="19">
                  <c:v>6952464.8662174065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0A1-4BFC-ABE6-D126CB5D2502}"/>
            </c:ext>
          </c:extLst>
        </c:ser>
        <c:ser>
          <c:idx val="29"/>
          <c:order val="29"/>
          <c:tx>
            <c:strRef>
              <c:f>EGRID!$J$38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EGRID!$K$7:$AD$7</c:f>
              <c:numCache>
                <c:formatCode>0</c:formatCode>
                <c:ptCount val="20"/>
                <c:pt idx="0">
                  <c:v>2019</c:v>
                </c:pt>
                <c:pt idx="1">
                  <c:v>2020</c:v>
                </c:pt>
                <c:pt idx="2" formatCode="General">
                  <c:v>2021</c:v>
                </c:pt>
                <c:pt idx="3" formatCode="General">
                  <c:v>2022</c:v>
                </c:pt>
                <c:pt idx="4" formatCode="General">
                  <c:v>2023</c:v>
                </c:pt>
                <c:pt idx="5" formatCode="General">
                  <c:v>2024</c:v>
                </c:pt>
                <c:pt idx="6" formatCode="General">
                  <c:v>2025</c:v>
                </c:pt>
                <c:pt idx="7" formatCode="General">
                  <c:v>2027</c:v>
                </c:pt>
                <c:pt idx="8" formatCode="General">
                  <c:v>2030</c:v>
                </c:pt>
                <c:pt idx="9" formatCode="General">
                  <c:v>2032</c:v>
                </c:pt>
                <c:pt idx="10" formatCode="General">
                  <c:v>2035</c:v>
                </c:pt>
                <c:pt idx="11" formatCode="General">
                  <c:v>2040</c:v>
                </c:pt>
                <c:pt idx="12" formatCode="General">
                  <c:v>2045</c:v>
                </c:pt>
                <c:pt idx="13" formatCode="General">
                  <c:v>2050</c:v>
                </c:pt>
                <c:pt idx="14" formatCode="General">
                  <c:v>2055</c:v>
                </c:pt>
                <c:pt idx="15" formatCode="General">
                  <c:v>2060</c:v>
                </c:pt>
                <c:pt idx="16" formatCode="General">
                  <c:v>2065</c:v>
                </c:pt>
                <c:pt idx="17" formatCode="General">
                  <c:v>2070</c:v>
                </c:pt>
                <c:pt idx="18" formatCode="General">
                  <c:v>2075</c:v>
                </c:pt>
                <c:pt idx="19" formatCode="General">
                  <c:v>2080</c:v>
                </c:pt>
              </c:numCache>
            </c:numRef>
          </c:cat>
          <c:val>
            <c:numRef>
              <c:f>EGRID!$K$38:$AD$38</c:f>
              <c:numCache>
                <c:formatCode>_(* #,##0_);_(* \(#,##0\);_(* "-"??_);_(@_)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20A1-4BFC-ABE6-D126CB5D2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487736"/>
        <c:axId val="1"/>
      </c:lineChart>
      <c:catAx>
        <c:axId val="611487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ln w="6350"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487736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1498600</xdr:colOff>
      <xdr:row>43</xdr:row>
      <xdr:rowOff>101600</xdr:rowOff>
    </xdr:from>
    <xdr:to>
      <xdr:col>23</xdr:col>
      <xdr:colOff>273050</xdr:colOff>
      <xdr:row>85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/>
  <dimension ref="A3:P37"/>
  <sheetViews>
    <sheetView zoomScale="85" zoomScaleNormal="85" workbookViewId="0">
      <selection activeCell="D8" sqref="D8:D37"/>
    </sheetView>
  </sheetViews>
  <sheetFormatPr defaultColWidth="9.140625" defaultRowHeight="15"/>
  <cols>
    <col min="1" max="1" width="15" style="33" bestFit="1" customWidth="1"/>
    <col min="2" max="2" width="9.140625" style="33" customWidth="1"/>
    <col min="3" max="3" width="11.5703125" style="33" bestFit="1" customWidth="1"/>
    <col min="4" max="4" width="13.5703125" style="33" bestFit="1" customWidth="1"/>
    <col min="5" max="13" width="9.140625" style="33" customWidth="1"/>
    <col min="14" max="14" width="11.85546875" style="33" customWidth="1"/>
    <col min="15" max="20" width="9.140625" style="33" customWidth="1"/>
    <col min="21" max="16384" width="9.140625" style="33"/>
  </cols>
  <sheetData>
    <row r="3" spans="1:16">
      <c r="A3" s="33" t="s">
        <v>0</v>
      </c>
    </row>
    <row r="4" spans="1:16">
      <c r="A4" s="34">
        <v>4</v>
      </c>
      <c r="C4" s="33">
        <v>2</v>
      </c>
      <c r="D4" s="33">
        <v>3</v>
      </c>
      <c r="E4" s="33">
        <v>4</v>
      </c>
      <c r="F4" s="33">
        <v>5</v>
      </c>
      <c r="G4" s="33">
        <v>6</v>
      </c>
      <c r="H4" s="33">
        <v>7</v>
      </c>
      <c r="I4" s="33">
        <v>8</v>
      </c>
      <c r="J4" s="33">
        <v>9</v>
      </c>
      <c r="K4" s="33">
        <v>10</v>
      </c>
    </row>
    <row r="5" spans="1:16">
      <c r="C5" s="35" t="str">
        <f>VLOOKUP($A$4,$B$8:$K$163,C$4,FALSE)</f>
        <v>CITYCap4</v>
      </c>
      <c r="D5" s="35" t="str">
        <f>VLOOKUP($A$4,$B$8:$K$163,D$4,FALSE)</f>
        <v>EGRIDCap4</v>
      </c>
      <c r="E5" s="35"/>
      <c r="F5" s="35"/>
      <c r="G5" s="35"/>
      <c r="H5" s="35"/>
      <c r="I5" s="35"/>
      <c r="J5" s="35"/>
      <c r="K5" s="35"/>
    </row>
    <row r="7" spans="1:16">
      <c r="C7" s="36" t="s">
        <v>1</v>
      </c>
      <c r="D7" s="36" t="s">
        <v>2</v>
      </c>
      <c r="E7" s="36"/>
      <c r="F7" s="36"/>
      <c r="G7" s="36"/>
      <c r="H7" s="36"/>
      <c r="I7" s="36"/>
      <c r="J7" s="36"/>
      <c r="K7" s="36"/>
    </row>
    <row r="8" spans="1:16">
      <c r="A8" s="33" t="str">
        <f t="shared" ref="A8:A37" si="0">"Scen."&amp;C8&amp;"."</f>
        <v>Scen.CITYCap1.</v>
      </c>
      <c r="B8" s="33">
        <v>1</v>
      </c>
      <c r="C8" s="23" t="s">
        <v>3</v>
      </c>
      <c r="D8" s="23" t="s">
        <v>4</v>
      </c>
      <c r="O8" s="33" t="str">
        <f>IF(D8=D$8,"",D$1&amp;"-"&amp;D8&amp;".")</f>
        <v/>
      </c>
      <c r="P8" s="33" t="str">
        <f>IF(E8=E$8,"",E$1&amp;"-"&amp;E8&amp;".")</f>
        <v/>
      </c>
    </row>
    <row r="9" spans="1:16">
      <c r="A9" s="33" t="str">
        <f t="shared" si="0"/>
        <v>Scen.CITYCap2.</v>
      </c>
      <c r="B9" s="33">
        <v>2</v>
      </c>
      <c r="C9" s="23" t="s">
        <v>5</v>
      </c>
      <c r="D9" s="23" t="s">
        <v>6</v>
      </c>
      <c r="P9" s="33" t="str">
        <f t="shared" ref="P9:P15" si="1">IF(E9=E$8,"",E$1&amp;"-"&amp;E9&amp;".")</f>
        <v/>
      </c>
    </row>
    <row r="10" spans="1:16">
      <c r="A10" s="33" t="str">
        <f t="shared" si="0"/>
        <v>Scen.CITYCap3.</v>
      </c>
      <c r="B10" s="33">
        <v>3</v>
      </c>
      <c r="C10" s="23" t="s">
        <v>7</v>
      </c>
      <c r="D10" s="23" t="s">
        <v>8</v>
      </c>
      <c r="P10" s="33" t="str">
        <f t="shared" si="1"/>
        <v/>
      </c>
    </row>
    <row r="11" spans="1:16">
      <c r="A11" s="33" t="str">
        <f t="shared" si="0"/>
        <v>Scen.CITYCap4.</v>
      </c>
      <c r="B11" s="33">
        <v>4</v>
      </c>
      <c r="C11" s="23" t="s">
        <v>9</v>
      </c>
      <c r="D11" s="23" t="s">
        <v>10</v>
      </c>
      <c r="P11" s="33" t="str">
        <f t="shared" si="1"/>
        <v/>
      </c>
    </row>
    <row r="12" spans="1:16">
      <c r="A12" s="33" t="str">
        <f t="shared" si="0"/>
        <v>Scen.CITYCap5.</v>
      </c>
      <c r="B12" s="33">
        <v>5</v>
      </c>
      <c r="C12" s="23" t="s">
        <v>11</v>
      </c>
      <c r="D12" s="23" t="s">
        <v>12</v>
      </c>
      <c r="P12" s="33" t="str">
        <f t="shared" si="1"/>
        <v/>
      </c>
    </row>
    <row r="13" spans="1:16">
      <c r="A13" s="33" t="str">
        <f t="shared" si="0"/>
        <v>Scen.CITYCap6.</v>
      </c>
      <c r="B13" s="33">
        <v>6</v>
      </c>
      <c r="C13" s="23" t="s">
        <v>13</v>
      </c>
      <c r="D13" s="23" t="s">
        <v>14</v>
      </c>
      <c r="P13" s="33" t="str">
        <f t="shared" si="1"/>
        <v/>
      </c>
    </row>
    <row r="14" spans="1:16">
      <c r="A14" s="33" t="str">
        <f t="shared" si="0"/>
        <v>Scen.CITYCap7.</v>
      </c>
      <c r="B14" s="33">
        <v>7</v>
      </c>
      <c r="C14" s="23" t="s">
        <v>15</v>
      </c>
      <c r="D14" s="23" t="s">
        <v>16</v>
      </c>
      <c r="P14" s="33" t="str">
        <f t="shared" si="1"/>
        <v/>
      </c>
    </row>
    <row r="15" spans="1:16">
      <c r="A15" s="33" t="str">
        <f t="shared" si="0"/>
        <v>Scen.CITYCap8.</v>
      </c>
      <c r="B15" s="33">
        <v>8</v>
      </c>
      <c r="C15" s="23" t="s">
        <v>17</v>
      </c>
      <c r="D15" s="23" t="s">
        <v>18</v>
      </c>
      <c r="P15" s="33" t="str">
        <f t="shared" si="1"/>
        <v/>
      </c>
    </row>
    <row r="16" spans="1:16">
      <c r="A16" s="33" t="str">
        <f t="shared" si="0"/>
        <v>Scen.CITYCap9.</v>
      </c>
      <c r="B16" s="33">
        <v>9</v>
      </c>
      <c r="C16" s="23" t="s">
        <v>19</v>
      </c>
      <c r="D16" s="23" t="s">
        <v>20</v>
      </c>
    </row>
    <row r="17" spans="1:4">
      <c r="A17" s="33" t="str">
        <f t="shared" si="0"/>
        <v>Scen.CITYCap10.</v>
      </c>
      <c r="B17" s="33">
        <v>10</v>
      </c>
      <c r="C17" s="23" t="s">
        <v>21</v>
      </c>
      <c r="D17" s="23" t="s">
        <v>22</v>
      </c>
    </row>
    <row r="18" spans="1:4">
      <c r="A18" s="33" t="str">
        <f t="shared" si="0"/>
        <v>Scen.CITYCap11.</v>
      </c>
      <c r="B18" s="33">
        <v>11</v>
      </c>
      <c r="C18" s="23" t="s">
        <v>23</v>
      </c>
      <c r="D18" s="23" t="s">
        <v>24</v>
      </c>
    </row>
    <row r="19" spans="1:4">
      <c r="A19" s="33" t="str">
        <f t="shared" si="0"/>
        <v>Scen.CITYCap12.</v>
      </c>
      <c r="B19" s="33">
        <v>12</v>
      </c>
      <c r="C19" s="23" t="s">
        <v>25</v>
      </c>
      <c r="D19" s="23" t="s">
        <v>26</v>
      </c>
    </row>
    <row r="20" spans="1:4">
      <c r="A20" s="33" t="str">
        <f t="shared" si="0"/>
        <v>Scen.CITYCap13.</v>
      </c>
      <c r="B20" s="33">
        <v>13</v>
      </c>
      <c r="C20" s="23" t="s">
        <v>27</v>
      </c>
      <c r="D20" s="23" t="s">
        <v>28</v>
      </c>
    </row>
    <row r="21" spans="1:4">
      <c r="A21" s="33" t="str">
        <f t="shared" si="0"/>
        <v>Scen.CITYCap14.</v>
      </c>
      <c r="B21" s="33">
        <v>14</v>
      </c>
      <c r="C21" s="23" t="s">
        <v>29</v>
      </c>
      <c r="D21" s="23" t="s">
        <v>30</v>
      </c>
    </row>
    <row r="22" spans="1:4">
      <c r="A22" s="33" t="str">
        <f t="shared" si="0"/>
        <v>Scen.CITYCap15.</v>
      </c>
      <c r="B22" s="33">
        <v>15</v>
      </c>
      <c r="C22" s="23" t="s">
        <v>31</v>
      </c>
      <c r="D22" s="23" t="s">
        <v>32</v>
      </c>
    </row>
    <row r="23" spans="1:4">
      <c r="A23" s="33" t="str">
        <f t="shared" si="0"/>
        <v>Scen.CITYCap16.</v>
      </c>
      <c r="B23" s="33">
        <v>16</v>
      </c>
      <c r="C23" s="23" t="s">
        <v>33</v>
      </c>
      <c r="D23" s="23" t="s">
        <v>34</v>
      </c>
    </row>
    <row r="24" spans="1:4">
      <c r="A24" s="33" t="str">
        <f t="shared" si="0"/>
        <v>Scen.CITYCap17.</v>
      </c>
      <c r="B24" s="33">
        <v>17</v>
      </c>
      <c r="C24" s="23" t="s">
        <v>35</v>
      </c>
      <c r="D24" s="23" t="s">
        <v>36</v>
      </c>
    </row>
    <row r="25" spans="1:4">
      <c r="A25" s="33" t="str">
        <f t="shared" si="0"/>
        <v>Scen.CITYCap18.</v>
      </c>
      <c r="B25" s="33">
        <v>18</v>
      </c>
      <c r="C25" s="23" t="s">
        <v>37</v>
      </c>
      <c r="D25" s="23" t="s">
        <v>38</v>
      </c>
    </row>
    <row r="26" spans="1:4">
      <c r="A26" s="33" t="str">
        <f t="shared" si="0"/>
        <v>Scen.CITYCap19.</v>
      </c>
      <c r="B26" s="33">
        <v>19</v>
      </c>
      <c r="C26" s="23" t="s">
        <v>39</v>
      </c>
      <c r="D26" s="23" t="s">
        <v>40</v>
      </c>
    </row>
    <row r="27" spans="1:4">
      <c r="A27" s="33" t="str">
        <f t="shared" si="0"/>
        <v>Scen.CITYCap20.</v>
      </c>
      <c r="B27" s="33">
        <v>20</v>
      </c>
      <c r="C27" s="23" t="s">
        <v>41</v>
      </c>
      <c r="D27" s="23" t="s">
        <v>42</v>
      </c>
    </row>
    <row r="28" spans="1:4">
      <c r="A28" s="33" t="str">
        <f t="shared" si="0"/>
        <v>Scen.CITYCap21.</v>
      </c>
      <c r="B28" s="33">
        <v>21</v>
      </c>
      <c r="C28" s="23" t="s">
        <v>43</v>
      </c>
      <c r="D28" s="23" t="s">
        <v>44</v>
      </c>
    </row>
    <row r="29" spans="1:4">
      <c r="A29" s="33" t="str">
        <f t="shared" si="0"/>
        <v>Scen.CITYCap22.</v>
      </c>
      <c r="B29" s="33">
        <v>22</v>
      </c>
      <c r="C29" s="23" t="s">
        <v>45</v>
      </c>
      <c r="D29" s="23" t="s">
        <v>46</v>
      </c>
    </row>
    <row r="30" spans="1:4">
      <c r="A30" s="33" t="str">
        <f t="shared" si="0"/>
        <v>Scen.CITYCap23.</v>
      </c>
      <c r="B30" s="33">
        <v>23</v>
      </c>
      <c r="C30" s="23" t="s">
        <v>47</v>
      </c>
      <c r="D30" s="23" t="s">
        <v>48</v>
      </c>
    </row>
    <row r="31" spans="1:4">
      <c r="A31" s="33" t="str">
        <f t="shared" si="0"/>
        <v>Scen.CITYCap24.</v>
      </c>
      <c r="B31" s="33">
        <v>24</v>
      </c>
      <c r="C31" s="23" t="s">
        <v>49</v>
      </c>
      <c r="D31" s="23" t="s">
        <v>50</v>
      </c>
    </row>
    <row r="32" spans="1:4">
      <c r="A32" s="33" t="str">
        <f t="shared" si="0"/>
        <v>Scen.CITYCap25.</v>
      </c>
      <c r="B32" s="33">
        <v>25</v>
      </c>
      <c r="C32" s="23" t="s">
        <v>51</v>
      </c>
      <c r="D32" s="23" t="s">
        <v>52</v>
      </c>
    </row>
    <row r="33" spans="1:4">
      <c r="A33" s="33" t="str">
        <f t="shared" si="0"/>
        <v>Scen.CITYCap26.</v>
      </c>
      <c r="B33" s="33">
        <v>26</v>
      </c>
      <c r="C33" s="23" t="s">
        <v>53</v>
      </c>
      <c r="D33" s="23" t="s">
        <v>54</v>
      </c>
    </row>
    <row r="34" spans="1:4">
      <c r="A34" s="33" t="str">
        <f t="shared" si="0"/>
        <v>Scen.CITYCap27.</v>
      </c>
      <c r="B34" s="33">
        <v>27</v>
      </c>
      <c r="C34" s="23" t="s">
        <v>55</v>
      </c>
      <c r="D34" s="23" t="s">
        <v>56</v>
      </c>
    </row>
    <row r="35" spans="1:4">
      <c r="A35" s="33" t="str">
        <f t="shared" si="0"/>
        <v>Scen.CITYCap28.</v>
      </c>
      <c r="B35" s="33">
        <v>28</v>
      </c>
      <c r="C35" s="23" t="s">
        <v>57</v>
      </c>
      <c r="D35" s="23" t="s">
        <v>58</v>
      </c>
    </row>
    <row r="36" spans="1:4">
      <c r="A36" s="33" t="str">
        <f t="shared" si="0"/>
        <v>Scen.CITYCap29.</v>
      </c>
      <c r="B36" s="33">
        <v>29</v>
      </c>
      <c r="C36" s="23" t="s">
        <v>59</v>
      </c>
      <c r="D36" s="23" t="s">
        <v>60</v>
      </c>
    </row>
    <row r="37" spans="1:4">
      <c r="A37" s="33" t="str">
        <f t="shared" si="0"/>
        <v>Scen.CITYCap30.</v>
      </c>
      <c r="B37" s="33">
        <v>30</v>
      </c>
      <c r="C37" s="23" t="s">
        <v>61</v>
      </c>
      <c r="D37" s="23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2.8554687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2851562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21" width="12.7109375" style="9" bestFit="1" customWidth="1"/>
    <col min="22" max="34" width="12.710937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Control!$C$5</f>
        <v>CITYCap4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REF!C6</f>
        <v>17051794.320036098</v>
      </c>
      <c r="L4" s="61">
        <f>REF!D6</f>
        <v>17411912.7284825</v>
      </c>
      <c r="M4" s="61">
        <f>REF!E6</f>
        <v>17042314.412893798</v>
      </c>
      <c r="N4" s="61">
        <f>REF!F6</f>
        <v>16738950.979414601</v>
      </c>
      <c r="O4" s="61">
        <f>REF!G6</f>
        <v>16467806.509803399</v>
      </c>
      <c r="P4" s="61">
        <f>REF!H6</f>
        <v>16169641.1764255</v>
      </c>
      <c r="Q4" s="61">
        <f>REF!I6</f>
        <v>15909010.450488999</v>
      </c>
      <c r="R4" s="61">
        <f>REF!J6</f>
        <v>15481949.447609801</v>
      </c>
      <c r="S4" s="61">
        <f>REF!K6</f>
        <v>14551152.062022099</v>
      </c>
      <c r="T4" s="61">
        <f>REF!L6</f>
        <v>14083056.1381485</v>
      </c>
      <c r="U4" s="61">
        <f>REF!M6</f>
        <v>13838793.024543701</v>
      </c>
      <c r="V4" s="61">
        <f>REF!N6</f>
        <v>13330953.1466696</v>
      </c>
      <c r="W4" s="61">
        <f>REF!O6</f>
        <v>13335442.4330044</v>
      </c>
      <c r="X4" s="61">
        <f>REF!P6</f>
        <v>13363578.259632001</v>
      </c>
      <c r="Y4" s="61">
        <f>REF!Q6</f>
        <v>13122307.857685</v>
      </c>
      <c r="Z4" s="61">
        <f>REF!R6</f>
        <v>13186983.711572399</v>
      </c>
      <c r="AA4" s="61">
        <f>REF!S6</f>
        <v>13434598.9708813</v>
      </c>
      <c r="AB4" s="61">
        <f>REF!T6</f>
        <v>13688958.0206508</v>
      </c>
      <c r="AC4" s="61">
        <f>REF!U6</f>
        <v>13945372.9130203</v>
      </c>
      <c r="AD4" s="61">
        <f>REF!V6</f>
        <v>14203176.4878932</v>
      </c>
      <c r="AE4" s="61">
        <f>REF!W6</f>
        <v>14462560.8652943</v>
      </c>
      <c r="AF4" s="61">
        <f>REF!X6</f>
        <v>14723407.0002004</v>
      </c>
      <c r="AG4" s="61">
        <f>REF!Y6</f>
        <v>14988271.0230789</v>
      </c>
      <c r="AH4" s="61">
        <f>REF!Z6</f>
        <v>15256424.2147331</v>
      </c>
    </row>
    <row r="5" spans="1:41">
      <c r="I5" s="23" t="s">
        <v>67</v>
      </c>
      <c r="J5" s="26" t="s">
        <v>66</v>
      </c>
      <c r="K5" s="62">
        <f>'NZ50'!I6</f>
        <v>17051794.320036098</v>
      </c>
      <c r="L5" s="62">
        <f>'NZ50'!J6</f>
        <v>16529239.332809186</v>
      </c>
      <c r="M5" s="62">
        <f>'NZ50'!K6</f>
        <v>16006684.345582273</v>
      </c>
      <c r="N5" s="62">
        <f>'NZ50'!L6</f>
        <v>15484129.35835536</v>
      </c>
      <c r="O5" s="62">
        <f>'NZ50'!M6</f>
        <v>14961574.371128447</v>
      </c>
      <c r="P5" s="62">
        <f>'NZ50'!N6</f>
        <v>14439019.383901535</v>
      </c>
      <c r="Q5" s="62">
        <f>'NZ50'!O6</f>
        <v>13916464.396674622</v>
      </c>
      <c r="R5" s="62">
        <f>'NZ50'!P6</f>
        <v>12871354.422220796</v>
      </c>
      <c r="S5" s="62">
        <f>'NZ50'!Q6</f>
        <v>11303689.46054006</v>
      </c>
      <c r="T5" s="62">
        <f>'NZ50'!R6</f>
        <v>10258579.486086234</v>
      </c>
      <c r="U5" s="62">
        <f>'NZ50'!S6</f>
        <v>8690914.5244054943</v>
      </c>
      <c r="V5" s="62">
        <f>'NZ50'!T6</f>
        <v>6078139.5882709324</v>
      </c>
      <c r="W5" s="62">
        <f>'NZ50'!U6</f>
        <v>3465364.6521363687</v>
      </c>
      <c r="X5" s="62">
        <f>'NZ50'!V6</f>
        <v>852589.71600180573</v>
      </c>
      <c r="Y5" s="62">
        <f>'NZ50'!W6</f>
        <v>852589.71600180573</v>
      </c>
      <c r="Z5" s="62">
        <f>'NZ50'!X6</f>
        <v>852589.71600180573</v>
      </c>
      <c r="AA5" s="62">
        <f>'NZ50'!Y6</f>
        <v>852589.71600180573</v>
      </c>
      <c r="AB5" s="62">
        <f>'NZ50'!Z6</f>
        <v>852589.71600180573</v>
      </c>
      <c r="AC5" s="62">
        <f>'NZ50'!AA6</f>
        <v>852589.71600180573</v>
      </c>
      <c r="AD5" s="62">
        <f>'NZ50'!AB6</f>
        <v>852589.71600180573</v>
      </c>
      <c r="AE5" s="62">
        <f>'NZ50'!AC6</f>
        <v>852589.71600180573</v>
      </c>
      <c r="AF5" s="62">
        <f>'NZ50'!AD6</f>
        <v>852589.71600180573</v>
      </c>
      <c r="AG5" s="62">
        <f>'NZ50'!AE6</f>
        <v>852589.71600180573</v>
      </c>
      <c r="AH5" s="62">
        <f>'NZ50'!AF6</f>
        <v>852589.71600180573</v>
      </c>
    </row>
    <row r="6" spans="1:41">
      <c r="B6" s="10" t="s">
        <v>68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3</v>
      </c>
      <c r="K8" s="63">
        <f>K$4</f>
        <v>17051794.320036098</v>
      </c>
      <c r="L8" s="63">
        <f>L$4</f>
        <v>17411912.7284825</v>
      </c>
      <c r="M8" s="63">
        <f>M$4</f>
        <v>17042314.412893798</v>
      </c>
      <c r="N8" s="63">
        <f t="shared" ref="N8:AH8" si="0">N4</f>
        <v>16738950.979414601</v>
      </c>
      <c r="O8" s="63">
        <f t="shared" si="0"/>
        <v>16467806.509803399</v>
      </c>
      <c r="P8" s="63">
        <f t="shared" si="0"/>
        <v>16169641.1764255</v>
      </c>
      <c r="Q8" s="63">
        <f t="shared" si="0"/>
        <v>15909010.450488999</v>
      </c>
      <c r="R8" s="63">
        <f t="shared" si="0"/>
        <v>15481949.447609801</v>
      </c>
      <c r="S8" s="63">
        <f t="shared" si="0"/>
        <v>14551152.062022099</v>
      </c>
      <c r="T8" s="63">
        <f t="shared" si="0"/>
        <v>14083056.1381485</v>
      </c>
      <c r="U8" s="63">
        <f t="shared" si="0"/>
        <v>13838793.024543701</v>
      </c>
      <c r="V8" s="63">
        <f t="shared" si="0"/>
        <v>13330953.1466696</v>
      </c>
      <c r="W8" s="63">
        <f t="shared" si="0"/>
        <v>13335442.4330044</v>
      </c>
      <c r="X8" s="63">
        <f t="shared" si="0"/>
        <v>13363578.259632001</v>
      </c>
      <c r="Y8" s="63">
        <f t="shared" si="0"/>
        <v>13122307.857685</v>
      </c>
      <c r="Z8" s="63">
        <f t="shared" si="0"/>
        <v>13186983.711572399</v>
      </c>
      <c r="AA8" s="63">
        <f t="shared" si="0"/>
        <v>13434598.9708813</v>
      </c>
      <c r="AB8" s="63">
        <f t="shared" si="0"/>
        <v>13688958.0206508</v>
      </c>
      <c r="AC8" s="63">
        <f t="shared" si="0"/>
        <v>13945372.9130203</v>
      </c>
      <c r="AD8" s="63">
        <f t="shared" si="0"/>
        <v>14203176.4878932</v>
      </c>
      <c r="AE8" s="63">
        <f t="shared" si="0"/>
        <v>14462560.8652943</v>
      </c>
      <c r="AF8" s="63">
        <f t="shared" si="0"/>
        <v>14723407.0002004</v>
      </c>
      <c r="AG8" s="63">
        <f t="shared" si="0"/>
        <v>14988271.0230789</v>
      </c>
      <c r="AH8" s="63">
        <f t="shared" si="0"/>
        <v>15256424.2147331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5</v>
      </c>
      <c r="K9" s="64">
        <f t="shared" ref="K9:K37" si="1">K8-K$42</f>
        <v>17051794.320036098</v>
      </c>
      <c r="L9" s="64">
        <f t="shared" ref="L9:L37" si="2">L8-L$42</f>
        <v>17380388.678637024</v>
      </c>
      <c r="M9" s="64">
        <f t="shared" ref="M9:M37" si="3">M8-M$42</f>
        <v>17005327.624775529</v>
      </c>
      <c r="N9" s="64">
        <f t="shared" ref="N9:N37" si="4">N8-N$42</f>
        <v>16694135.921519628</v>
      </c>
      <c r="O9" s="64">
        <f t="shared" ref="O9:O37" si="5">O8-O$42</f>
        <v>16414012.504850723</v>
      </c>
      <c r="P9" s="64">
        <f t="shared" ref="P9:P37" si="6">P8-P$42</f>
        <v>16107833.25526393</v>
      </c>
      <c r="Q9" s="64">
        <f t="shared" ref="Q9:Q37" si="7">Q8-Q$42</f>
        <v>15837848.091424201</v>
      </c>
      <c r="R9" s="64">
        <f t="shared" ref="R9:R37" si="8">R8-R$42</f>
        <v>15388713.910988765</v>
      </c>
      <c r="S9" s="64">
        <f t="shared" ref="S9:S37" si="9">S8-S$42</f>
        <v>14435171.254826313</v>
      </c>
      <c r="T9" s="64">
        <f t="shared" ref="T9:T37" si="10">T8-T$42</f>
        <v>13946467.686289134</v>
      </c>
      <c r="U9" s="64">
        <f t="shared" ref="U9:U37" si="11">U8-U$42</f>
        <v>13654940.220967336</v>
      </c>
      <c r="V9" s="64">
        <f t="shared" ref="V9:V37" si="12">V8-V$42</f>
        <v>13071924.091012504</v>
      </c>
      <c r="W9" s="64">
        <f t="shared" ref="W9:W37" si="13">W8-W$42</f>
        <v>12982939.655116256</v>
      </c>
      <c r="X9" s="64">
        <f t="shared" ref="X9:X37" si="14">X8-X$42</f>
        <v>12916757.240216637</v>
      </c>
      <c r="Y9" s="64">
        <f t="shared" ref="Y9:Y37" si="15">Y8-Y$42</f>
        <v>12684103.638339171</v>
      </c>
      <c r="Z9" s="64">
        <f t="shared" ref="Z9:Z37" si="16">Z8-Z$42</f>
        <v>12746469.640302021</v>
      </c>
      <c r="AA9" s="64">
        <f t="shared" ref="AA9:AA37" si="17">AA8-AA$42</f>
        <v>12985241.497492747</v>
      </c>
      <c r="AB9" s="64">
        <f t="shared" ref="AB9:AB37" si="18">AB8-AB$42</f>
        <v>13230516.295484765</v>
      </c>
      <c r="AC9" s="64">
        <f t="shared" ref="AC9:AC37" si="19">AC8-AC$42</f>
        <v>13477773.513126781</v>
      </c>
      <c r="AD9" s="64">
        <f t="shared" ref="AD9:AD37" si="20">AD8-AD$42</f>
        <v>13726369.817468507</v>
      </c>
      <c r="AE9" s="64">
        <f t="shared" ref="AE9:AE37" si="21">AE8-AE$42</f>
        <v>13976490.467105282</v>
      </c>
      <c r="AF9" s="64">
        <f t="shared" ref="AF9:AF37" si="22">AF8-AF$42</f>
        <v>14228020.668621879</v>
      </c>
      <c r="AG9" s="64">
        <f t="shared" ref="AG9:AG37" si="23">AG8-AG$42</f>
        <v>14483425.262111861</v>
      </c>
      <c r="AH9" s="64">
        <f t="shared" ref="AH9:AH37" si="24">AH8-AH$42</f>
        <v>14742001.554064125</v>
      </c>
      <c r="AO9" s="52"/>
    </row>
    <row r="10" spans="1:41">
      <c r="B10" s="19" t="str">
        <f>"UC_"&amp;$A$1</f>
        <v>UC_CITYCap4</v>
      </c>
      <c r="C10" s="20" t="s">
        <v>66</v>
      </c>
      <c r="D10" s="56">
        <v>2020</v>
      </c>
      <c r="E10" s="21">
        <v>1</v>
      </c>
      <c r="F10" s="65">
        <f ca="1">IFERROR(OFFSET($L$7,MATCH(CITY!$A$1,CITY!$J$8:$J$38,0),0),"")</f>
        <v>17317340.578946073</v>
      </c>
      <c r="G10" s="22">
        <v>15</v>
      </c>
      <c r="J10" s="23" t="s">
        <v>7</v>
      </c>
      <c r="K10" s="64">
        <f t="shared" si="1"/>
        <v>17051794.320036098</v>
      </c>
      <c r="L10" s="64">
        <f t="shared" si="2"/>
        <v>17348864.628791548</v>
      </c>
      <c r="M10" s="64">
        <f t="shared" si="3"/>
        <v>16968340.83665726</v>
      </c>
      <c r="N10" s="64">
        <f t="shared" si="4"/>
        <v>16649320.863624655</v>
      </c>
      <c r="O10" s="64">
        <f t="shared" si="5"/>
        <v>16360218.499898046</v>
      </c>
      <c r="P10" s="64">
        <f t="shared" si="6"/>
        <v>16046025.334102361</v>
      </c>
      <c r="Q10" s="64">
        <f t="shared" si="7"/>
        <v>15766685.732359402</v>
      </c>
      <c r="R10" s="64">
        <f t="shared" si="8"/>
        <v>15295478.374367729</v>
      </c>
      <c r="S10" s="64">
        <f t="shared" si="9"/>
        <v>14319190.447630526</v>
      </c>
      <c r="T10" s="64">
        <f t="shared" si="10"/>
        <v>13809879.234429767</v>
      </c>
      <c r="U10" s="64">
        <f t="shared" si="11"/>
        <v>13471087.417390971</v>
      </c>
      <c r="V10" s="64">
        <f t="shared" si="12"/>
        <v>12812895.035355408</v>
      </c>
      <c r="W10" s="64">
        <f t="shared" si="13"/>
        <v>12630436.877228113</v>
      </c>
      <c r="X10" s="64">
        <f t="shared" si="14"/>
        <v>12469936.220801273</v>
      </c>
      <c r="Y10" s="64">
        <f t="shared" si="15"/>
        <v>12245899.418993343</v>
      </c>
      <c r="Z10" s="64">
        <f t="shared" si="16"/>
        <v>12305955.569031643</v>
      </c>
      <c r="AA10" s="64">
        <f t="shared" si="17"/>
        <v>12535884.024104195</v>
      </c>
      <c r="AB10" s="64">
        <f t="shared" si="18"/>
        <v>12772074.570318729</v>
      </c>
      <c r="AC10" s="64">
        <f t="shared" si="19"/>
        <v>13010174.113233263</v>
      </c>
      <c r="AD10" s="64">
        <f t="shared" si="20"/>
        <v>13249563.147043815</v>
      </c>
      <c r="AE10" s="64">
        <f t="shared" si="21"/>
        <v>13490420.068916265</v>
      </c>
      <c r="AF10" s="64">
        <f t="shared" si="22"/>
        <v>13732634.337043358</v>
      </c>
      <c r="AG10" s="64">
        <f t="shared" si="23"/>
        <v>13978579.501144823</v>
      </c>
      <c r="AH10" s="64">
        <f t="shared" si="24"/>
        <v>14227578.89339515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IFERROR(OFFSET($M$7,MATCH(CITY!$A$1,CITY!$J$8:$J$38,0),0),"")</f>
        <v>16931354.04853899</v>
      </c>
      <c r="G11" s="22"/>
      <c r="J11" s="23" t="s">
        <v>9</v>
      </c>
      <c r="K11" s="64">
        <f t="shared" si="1"/>
        <v>17051794.320036098</v>
      </c>
      <c r="L11" s="64">
        <f t="shared" si="2"/>
        <v>17317340.578946073</v>
      </c>
      <c r="M11" s="64">
        <f t="shared" si="3"/>
        <v>16931354.04853899</v>
      </c>
      <c r="N11" s="64">
        <f t="shared" si="4"/>
        <v>16604505.805729682</v>
      </c>
      <c r="O11" s="64">
        <f t="shared" si="5"/>
        <v>16306424.49494537</v>
      </c>
      <c r="P11" s="64">
        <f t="shared" si="6"/>
        <v>15984217.412940791</v>
      </c>
      <c r="Q11" s="64">
        <f t="shared" si="7"/>
        <v>15695523.373294603</v>
      </c>
      <c r="R11" s="64">
        <f t="shared" si="8"/>
        <v>15202242.837746693</v>
      </c>
      <c r="S11" s="64">
        <f t="shared" si="9"/>
        <v>14203209.64043474</v>
      </c>
      <c r="T11" s="64">
        <f t="shared" si="10"/>
        <v>13673290.782570401</v>
      </c>
      <c r="U11" s="64">
        <f t="shared" si="11"/>
        <v>13287234.613814605</v>
      </c>
      <c r="V11" s="64">
        <f t="shared" si="12"/>
        <v>12553865.979698312</v>
      </c>
      <c r="W11" s="64">
        <f t="shared" si="13"/>
        <v>12277934.099339969</v>
      </c>
      <c r="X11" s="64">
        <f t="shared" si="14"/>
        <v>12023115.20138591</v>
      </c>
      <c r="Y11" s="64">
        <f t="shared" si="15"/>
        <v>11807695.199647514</v>
      </c>
      <c r="Z11" s="64">
        <f t="shared" si="16"/>
        <v>11865441.497761264</v>
      </c>
      <c r="AA11" s="64">
        <f t="shared" si="17"/>
        <v>12086526.550715642</v>
      </c>
      <c r="AB11" s="64">
        <f t="shared" si="18"/>
        <v>12313632.845152693</v>
      </c>
      <c r="AC11" s="64">
        <f t="shared" si="19"/>
        <v>12542574.713339744</v>
      </c>
      <c r="AD11" s="64">
        <f t="shared" si="20"/>
        <v>12772756.476619123</v>
      </c>
      <c r="AE11" s="64">
        <f t="shared" si="21"/>
        <v>13004349.670727247</v>
      </c>
      <c r="AF11" s="64">
        <f t="shared" si="22"/>
        <v>13237248.005464837</v>
      </c>
      <c r="AG11" s="64">
        <f t="shared" si="23"/>
        <v>13473733.740177784</v>
      </c>
      <c r="AH11" s="64">
        <f t="shared" si="24"/>
        <v>13713156.232726175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IFERROR(OFFSET($N$7,MATCH(CITY!$A$1,CITY!$J$8:$J$38,0),0),"")</f>
        <v>16604505.805729682</v>
      </c>
      <c r="G12" s="22"/>
      <c r="J12" s="23" t="s">
        <v>11</v>
      </c>
      <c r="K12" s="64">
        <f t="shared" si="1"/>
        <v>17051794.320036098</v>
      </c>
      <c r="L12" s="64">
        <f t="shared" si="2"/>
        <v>17285816.529100597</v>
      </c>
      <c r="M12" s="64">
        <f t="shared" si="3"/>
        <v>16894367.260420721</v>
      </c>
      <c r="N12" s="64">
        <f t="shared" si="4"/>
        <v>16559690.747834709</v>
      </c>
      <c r="O12" s="64">
        <f t="shared" si="5"/>
        <v>16252630.489992693</v>
      </c>
      <c r="P12" s="64">
        <f t="shared" si="6"/>
        <v>15922409.491779221</v>
      </c>
      <c r="Q12" s="64">
        <f t="shared" si="7"/>
        <v>15624361.014229804</v>
      </c>
      <c r="R12" s="64">
        <f t="shared" si="8"/>
        <v>15109007.301125657</v>
      </c>
      <c r="S12" s="64">
        <f t="shared" si="9"/>
        <v>14087228.833238954</v>
      </c>
      <c r="T12" s="64">
        <f t="shared" si="10"/>
        <v>13536702.330711035</v>
      </c>
      <c r="U12" s="64">
        <f t="shared" si="11"/>
        <v>13103381.81023824</v>
      </c>
      <c r="V12" s="64">
        <f t="shared" si="12"/>
        <v>12294836.924041215</v>
      </c>
      <c r="W12" s="64">
        <f t="shared" si="13"/>
        <v>11925431.321451826</v>
      </c>
      <c r="X12" s="64">
        <f t="shared" si="14"/>
        <v>11576294.181970546</v>
      </c>
      <c r="Y12" s="64">
        <f t="shared" si="15"/>
        <v>11369490.980301686</v>
      </c>
      <c r="Z12" s="64">
        <f t="shared" si="16"/>
        <v>11424927.426490886</v>
      </c>
      <c r="AA12" s="64">
        <f t="shared" si="17"/>
        <v>11637169.077327089</v>
      </c>
      <c r="AB12" s="64">
        <f t="shared" si="18"/>
        <v>11855191.119986657</v>
      </c>
      <c r="AC12" s="64">
        <f t="shared" si="19"/>
        <v>12074975.313446226</v>
      </c>
      <c r="AD12" s="64">
        <f t="shared" si="20"/>
        <v>12295949.80619443</v>
      </c>
      <c r="AE12" s="64">
        <f t="shared" si="21"/>
        <v>12518279.27253823</v>
      </c>
      <c r="AF12" s="64">
        <f t="shared" si="22"/>
        <v>12741861.673886316</v>
      </c>
      <c r="AG12" s="64">
        <f t="shared" si="23"/>
        <v>12968887.979210746</v>
      </c>
      <c r="AH12" s="64">
        <f t="shared" si="24"/>
        <v>13198733.572057201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IFERROR(OFFSET($O$7,MATCH(CITY!$A$1,CITY!$J$8:$J$38,0),0),"")</f>
        <v>16306424.49494537</v>
      </c>
      <c r="G13" s="22"/>
      <c r="J13" s="23" t="s">
        <v>13</v>
      </c>
      <c r="K13" s="64">
        <f t="shared" si="1"/>
        <v>17051794.320036098</v>
      </c>
      <c r="L13" s="64">
        <f t="shared" si="2"/>
        <v>17254292.479255121</v>
      </c>
      <c r="M13" s="64">
        <f t="shared" si="3"/>
        <v>16857380.472302452</v>
      </c>
      <c r="N13" s="64">
        <f t="shared" si="4"/>
        <v>16514875.689939735</v>
      </c>
      <c r="O13" s="64">
        <f t="shared" si="5"/>
        <v>16198836.485040016</v>
      </c>
      <c r="P13" s="64">
        <f t="shared" si="6"/>
        <v>15860601.570617652</v>
      </c>
      <c r="Q13" s="64">
        <f t="shared" si="7"/>
        <v>15553198.655165005</v>
      </c>
      <c r="R13" s="64">
        <f t="shared" si="8"/>
        <v>15015771.764504621</v>
      </c>
      <c r="S13" s="64">
        <f t="shared" si="9"/>
        <v>13971248.026043167</v>
      </c>
      <c r="T13" s="64">
        <f t="shared" si="10"/>
        <v>13400113.878851669</v>
      </c>
      <c r="U13" s="64">
        <f t="shared" si="11"/>
        <v>12919529.006661875</v>
      </c>
      <c r="V13" s="64">
        <f t="shared" si="12"/>
        <v>12035807.868384119</v>
      </c>
      <c r="W13" s="64">
        <f t="shared" si="13"/>
        <v>11572928.543563683</v>
      </c>
      <c r="X13" s="64">
        <f t="shared" si="14"/>
        <v>11129473.162555182</v>
      </c>
      <c r="Y13" s="64">
        <f t="shared" si="15"/>
        <v>10931286.760955857</v>
      </c>
      <c r="Z13" s="64">
        <f t="shared" si="16"/>
        <v>10984413.355220508</v>
      </c>
      <c r="AA13" s="64">
        <f t="shared" si="17"/>
        <v>11187811.603938537</v>
      </c>
      <c r="AB13" s="64">
        <f t="shared" si="18"/>
        <v>11396749.394820621</v>
      </c>
      <c r="AC13" s="64">
        <f t="shared" si="19"/>
        <v>11607375.913552707</v>
      </c>
      <c r="AD13" s="64">
        <f t="shared" si="20"/>
        <v>11819143.135769738</v>
      </c>
      <c r="AE13" s="64">
        <f t="shared" si="21"/>
        <v>12032208.874349212</v>
      </c>
      <c r="AF13" s="64">
        <f t="shared" si="22"/>
        <v>12246475.342307795</v>
      </c>
      <c r="AG13" s="64">
        <f t="shared" si="23"/>
        <v>12464042.218243707</v>
      </c>
      <c r="AH13" s="64">
        <f t="shared" si="24"/>
        <v>12684310.911388226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IFERROR(OFFSET($P$7,MATCH(CITY!$A$1,CITY!$J$8:$J$38,0),0),"")</f>
        <v>15984217.412940791</v>
      </c>
      <c r="G14" s="22"/>
      <c r="J14" s="23" t="s">
        <v>15</v>
      </c>
      <c r="K14" s="64">
        <f t="shared" si="1"/>
        <v>17051794.320036098</v>
      </c>
      <c r="L14" s="64">
        <f t="shared" si="2"/>
        <v>17222768.429409645</v>
      </c>
      <c r="M14" s="64">
        <f t="shared" si="3"/>
        <v>16820393.684184182</v>
      </c>
      <c r="N14" s="64">
        <f t="shared" si="4"/>
        <v>16470060.632044762</v>
      </c>
      <c r="O14" s="64">
        <f t="shared" si="5"/>
        <v>16145042.48008734</v>
      </c>
      <c r="P14" s="64">
        <f t="shared" si="6"/>
        <v>15798793.649456082</v>
      </c>
      <c r="Q14" s="64">
        <f t="shared" si="7"/>
        <v>15482036.296100207</v>
      </c>
      <c r="R14" s="64">
        <f t="shared" si="8"/>
        <v>14922536.227883585</v>
      </c>
      <c r="S14" s="64">
        <f t="shared" si="9"/>
        <v>13855267.218847381</v>
      </c>
      <c r="T14" s="64">
        <f t="shared" si="10"/>
        <v>13263525.426992303</v>
      </c>
      <c r="U14" s="64">
        <f t="shared" si="11"/>
        <v>12735676.20308551</v>
      </c>
      <c r="V14" s="64">
        <f t="shared" si="12"/>
        <v>11776778.812727023</v>
      </c>
      <c r="W14" s="64">
        <f t="shared" si="13"/>
        <v>11220425.765675539</v>
      </c>
      <c r="X14" s="64">
        <f t="shared" si="14"/>
        <v>10682652.143139819</v>
      </c>
      <c r="Y14" s="64">
        <f t="shared" si="15"/>
        <v>10493082.541610029</v>
      </c>
      <c r="Z14" s="64">
        <f t="shared" si="16"/>
        <v>10543899.28395013</v>
      </c>
      <c r="AA14" s="64">
        <f t="shared" si="17"/>
        <v>10738454.130549984</v>
      </c>
      <c r="AB14" s="64">
        <f t="shared" si="18"/>
        <v>10938307.669654585</v>
      </c>
      <c r="AC14" s="64">
        <f t="shared" si="19"/>
        <v>11139776.513659189</v>
      </c>
      <c r="AD14" s="64">
        <f t="shared" si="20"/>
        <v>11342336.465345046</v>
      </c>
      <c r="AE14" s="64">
        <f t="shared" si="21"/>
        <v>11546138.476160195</v>
      </c>
      <c r="AF14" s="64">
        <f t="shared" si="22"/>
        <v>11751089.010729274</v>
      </c>
      <c r="AG14" s="64">
        <f t="shared" si="23"/>
        <v>11959196.457276668</v>
      </c>
      <c r="AH14" s="64">
        <f t="shared" si="24"/>
        <v>12169888.250719251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IFERROR(OFFSET($Q$7,MATCH(CITY!$A$1,CITY!$J$8:$J$38,0),0),"")</f>
        <v>15695523.373294603</v>
      </c>
      <c r="G15" s="22"/>
      <c r="J15" s="23" t="s">
        <v>17</v>
      </c>
      <c r="K15" s="64">
        <f t="shared" si="1"/>
        <v>17051794.320036098</v>
      </c>
      <c r="L15" s="64">
        <f t="shared" si="2"/>
        <v>17191244.37956417</v>
      </c>
      <c r="M15" s="64">
        <f t="shared" si="3"/>
        <v>16783406.896065913</v>
      </c>
      <c r="N15" s="64">
        <f t="shared" si="4"/>
        <v>16425245.574149789</v>
      </c>
      <c r="O15" s="64">
        <f t="shared" si="5"/>
        <v>16091248.475134663</v>
      </c>
      <c r="P15" s="64">
        <f t="shared" si="6"/>
        <v>15736985.728294512</v>
      </c>
      <c r="Q15" s="64">
        <f t="shared" si="7"/>
        <v>15410873.937035408</v>
      </c>
      <c r="R15" s="64">
        <f t="shared" si="8"/>
        <v>14829300.691262549</v>
      </c>
      <c r="S15" s="64">
        <f t="shared" si="9"/>
        <v>13739286.411651595</v>
      </c>
      <c r="T15" s="64">
        <f t="shared" si="10"/>
        <v>13126936.975132937</v>
      </c>
      <c r="U15" s="64">
        <f t="shared" si="11"/>
        <v>12551823.399509145</v>
      </c>
      <c r="V15" s="64">
        <f t="shared" si="12"/>
        <v>11517749.757069927</v>
      </c>
      <c r="W15" s="64">
        <f t="shared" si="13"/>
        <v>10867922.987787396</v>
      </c>
      <c r="X15" s="64">
        <f t="shared" si="14"/>
        <v>10235831.123724455</v>
      </c>
      <c r="Y15" s="64">
        <f t="shared" si="15"/>
        <v>10054878.3222642</v>
      </c>
      <c r="Z15" s="64">
        <f t="shared" si="16"/>
        <v>10103385.212679751</v>
      </c>
      <c r="AA15" s="64">
        <f t="shared" si="17"/>
        <v>10289096.657161431</v>
      </c>
      <c r="AB15" s="64">
        <f t="shared" si="18"/>
        <v>10479865.94448855</v>
      </c>
      <c r="AC15" s="64">
        <f t="shared" si="19"/>
        <v>10672177.11376567</v>
      </c>
      <c r="AD15" s="64">
        <f t="shared" si="20"/>
        <v>10865529.794920353</v>
      </c>
      <c r="AE15" s="64">
        <f t="shared" si="21"/>
        <v>11060068.077971177</v>
      </c>
      <c r="AF15" s="64">
        <f t="shared" si="22"/>
        <v>11255702.679150753</v>
      </c>
      <c r="AG15" s="64">
        <f t="shared" si="23"/>
        <v>11454350.69630963</v>
      </c>
      <c r="AH15" s="64">
        <f t="shared" si="24"/>
        <v>11655465.590050276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IFERROR(OFFSET($R$7,MATCH(CITY!$A$1,CITY!$J$8:$J$38,0),0),"")</f>
        <v>15202242.837746693</v>
      </c>
      <c r="G16" s="22"/>
      <c r="J16" s="23" t="s">
        <v>19</v>
      </c>
      <c r="K16" s="64">
        <f t="shared" si="1"/>
        <v>17051794.320036098</v>
      </c>
      <c r="L16" s="64">
        <f t="shared" si="2"/>
        <v>17159720.329718694</v>
      </c>
      <c r="M16" s="64">
        <f t="shared" si="3"/>
        <v>16746420.107947644</v>
      </c>
      <c r="N16" s="64">
        <f t="shared" si="4"/>
        <v>16380430.516254816</v>
      </c>
      <c r="O16" s="64">
        <f t="shared" si="5"/>
        <v>16037454.470181987</v>
      </c>
      <c r="P16" s="64">
        <f t="shared" si="6"/>
        <v>15675177.807132943</v>
      </c>
      <c r="Q16" s="64">
        <f t="shared" si="7"/>
        <v>15339711.577970609</v>
      </c>
      <c r="R16" s="64">
        <f t="shared" si="8"/>
        <v>14736065.154641513</v>
      </c>
      <c r="S16" s="64">
        <f t="shared" si="9"/>
        <v>13623305.604455808</v>
      </c>
      <c r="T16" s="64">
        <f t="shared" si="10"/>
        <v>12990348.52327357</v>
      </c>
      <c r="U16" s="64">
        <f t="shared" si="11"/>
        <v>12367970.59593278</v>
      </c>
      <c r="V16" s="64">
        <f t="shared" si="12"/>
        <v>11258720.701412831</v>
      </c>
      <c r="W16" s="64">
        <f t="shared" si="13"/>
        <v>10515420.209899252</v>
      </c>
      <c r="X16" s="64">
        <f t="shared" si="14"/>
        <v>9789010.1043090913</v>
      </c>
      <c r="Y16" s="64">
        <f t="shared" si="15"/>
        <v>9616674.1029183716</v>
      </c>
      <c r="Z16" s="64">
        <f t="shared" si="16"/>
        <v>9662871.1414093729</v>
      </c>
      <c r="AA16" s="64">
        <f t="shared" si="17"/>
        <v>9839739.1837728787</v>
      </c>
      <c r="AB16" s="64">
        <f t="shared" si="18"/>
        <v>10021424.219322514</v>
      </c>
      <c r="AC16" s="64">
        <f t="shared" si="19"/>
        <v>10204577.713872151</v>
      </c>
      <c r="AD16" s="64">
        <f t="shared" si="20"/>
        <v>10388723.124495661</v>
      </c>
      <c r="AE16" s="64">
        <f t="shared" si="21"/>
        <v>10573997.67978216</v>
      </c>
      <c r="AF16" s="64">
        <f t="shared" si="22"/>
        <v>10760316.347572232</v>
      </c>
      <c r="AG16" s="64">
        <f t="shared" si="23"/>
        <v>10949504.935342591</v>
      </c>
      <c r="AH16" s="64">
        <f t="shared" si="24"/>
        <v>11141042.929381302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IFERROR(OFFSET($S$7,MATCH(CITY!$A$1,CITY!$J$8:$J$38,0),0),"")</f>
        <v>14203209.64043474</v>
      </c>
      <c r="G17" s="22"/>
      <c r="J17" s="23" t="s">
        <v>21</v>
      </c>
      <c r="K17" s="64">
        <f t="shared" si="1"/>
        <v>17051794.320036098</v>
      </c>
      <c r="L17" s="64">
        <f t="shared" si="2"/>
        <v>17128196.279873218</v>
      </c>
      <c r="M17" s="64">
        <f t="shared" si="3"/>
        <v>16709433.319829375</v>
      </c>
      <c r="N17" s="64">
        <f t="shared" si="4"/>
        <v>16335615.458359843</v>
      </c>
      <c r="O17" s="64">
        <f t="shared" si="5"/>
        <v>15983660.46522931</v>
      </c>
      <c r="P17" s="64">
        <f t="shared" si="6"/>
        <v>15613369.885971373</v>
      </c>
      <c r="Q17" s="64">
        <f t="shared" si="7"/>
        <v>15268549.21890581</v>
      </c>
      <c r="R17" s="64">
        <f t="shared" si="8"/>
        <v>14642829.618020477</v>
      </c>
      <c r="S17" s="64">
        <f t="shared" si="9"/>
        <v>13507324.797260022</v>
      </c>
      <c r="T17" s="64">
        <f t="shared" si="10"/>
        <v>12853760.071414204</v>
      </c>
      <c r="U17" s="64">
        <f t="shared" si="11"/>
        <v>12184117.792356415</v>
      </c>
      <c r="V17" s="64">
        <f t="shared" si="12"/>
        <v>10999691.645755734</v>
      </c>
      <c r="W17" s="64">
        <f t="shared" si="13"/>
        <v>10162917.432011109</v>
      </c>
      <c r="X17" s="64">
        <f t="shared" si="14"/>
        <v>9342189.0848937277</v>
      </c>
      <c r="Y17" s="64">
        <f t="shared" si="15"/>
        <v>9178469.883572543</v>
      </c>
      <c r="Z17" s="64">
        <f t="shared" si="16"/>
        <v>9222357.0701389946</v>
      </c>
      <c r="AA17" s="64">
        <f t="shared" si="17"/>
        <v>9390381.7103843261</v>
      </c>
      <c r="AB17" s="64">
        <f t="shared" si="18"/>
        <v>9562982.494156478</v>
      </c>
      <c r="AC17" s="64">
        <f t="shared" si="19"/>
        <v>9736978.3139786329</v>
      </c>
      <c r="AD17" s="64">
        <f t="shared" si="20"/>
        <v>9911916.4540709686</v>
      </c>
      <c r="AE17" s="64">
        <f t="shared" si="21"/>
        <v>10087927.281593142</v>
      </c>
      <c r="AF17" s="64">
        <f t="shared" si="22"/>
        <v>10264930.015993711</v>
      </c>
      <c r="AG17" s="64">
        <f t="shared" si="23"/>
        <v>10444659.174375553</v>
      </c>
      <c r="AH17" s="64">
        <f t="shared" si="24"/>
        <v>10626620.268712327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IFERROR(OFFSET($T$7,MATCH(CITY!$A$1,CITY!$J$8:$J$38,0),0),"")</f>
        <v>13673290.782570401</v>
      </c>
      <c r="G18" s="22"/>
      <c r="J18" s="23" t="s">
        <v>23</v>
      </c>
      <c r="K18" s="64">
        <f t="shared" si="1"/>
        <v>17051794.320036098</v>
      </c>
      <c r="L18" s="64">
        <f t="shared" si="2"/>
        <v>17096672.230027743</v>
      </c>
      <c r="M18" s="64">
        <f t="shared" si="3"/>
        <v>16672446.531711105</v>
      </c>
      <c r="N18" s="64">
        <f t="shared" si="4"/>
        <v>16290800.40046487</v>
      </c>
      <c r="O18" s="64">
        <f t="shared" si="5"/>
        <v>15929866.460276634</v>
      </c>
      <c r="P18" s="64">
        <f t="shared" si="6"/>
        <v>15551561.964809803</v>
      </c>
      <c r="Q18" s="64">
        <f t="shared" si="7"/>
        <v>15197386.859841011</v>
      </c>
      <c r="R18" s="64">
        <f t="shared" si="8"/>
        <v>14549594.081399441</v>
      </c>
      <c r="S18" s="64">
        <f t="shared" si="9"/>
        <v>13391343.990064235</v>
      </c>
      <c r="T18" s="64">
        <f t="shared" si="10"/>
        <v>12717171.619554838</v>
      </c>
      <c r="U18" s="64">
        <f t="shared" si="11"/>
        <v>12000264.98878005</v>
      </c>
      <c r="V18" s="64">
        <f t="shared" si="12"/>
        <v>10740662.590098638</v>
      </c>
      <c r="W18" s="64">
        <f t="shared" si="13"/>
        <v>9810414.6541229654</v>
      </c>
      <c r="X18" s="64">
        <f t="shared" si="14"/>
        <v>8895368.065478364</v>
      </c>
      <c r="Y18" s="64">
        <f t="shared" si="15"/>
        <v>8740265.6642267145</v>
      </c>
      <c r="Z18" s="64">
        <f t="shared" si="16"/>
        <v>8781842.9988686163</v>
      </c>
      <c r="AA18" s="64">
        <f t="shared" si="17"/>
        <v>8941024.2369957734</v>
      </c>
      <c r="AB18" s="64">
        <f t="shared" si="18"/>
        <v>9104540.7689904422</v>
      </c>
      <c r="AC18" s="64">
        <f t="shared" si="19"/>
        <v>9269378.9140851144</v>
      </c>
      <c r="AD18" s="64">
        <f t="shared" si="20"/>
        <v>9435109.7836462762</v>
      </c>
      <c r="AE18" s="64">
        <f t="shared" si="21"/>
        <v>9601856.8834041245</v>
      </c>
      <c r="AF18" s="64">
        <f t="shared" si="22"/>
        <v>9769543.6844151895</v>
      </c>
      <c r="AG18" s="64">
        <f t="shared" si="23"/>
        <v>9939813.4134085141</v>
      </c>
      <c r="AH18" s="64">
        <f t="shared" si="24"/>
        <v>10112197.608043352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IFERROR(OFFSET($U$7,MATCH(CITY!$A$1,CITY!$J$8:$J$38,0),0),"")</f>
        <v>13287234.613814605</v>
      </c>
      <c r="G19" s="22"/>
      <c r="J19" s="23" t="s">
        <v>25</v>
      </c>
      <c r="K19" s="64">
        <f t="shared" si="1"/>
        <v>17051794.320036098</v>
      </c>
      <c r="L19" s="64">
        <f t="shared" si="2"/>
        <v>17065148.180182267</v>
      </c>
      <c r="M19" s="64">
        <f t="shared" si="3"/>
        <v>16635459.743592836</v>
      </c>
      <c r="N19" s="64">
        <f t="shared" si="4"/>
        <v>16245985.342569897</v>
      </c>
      <c r="O19" s="64">
        <f t="shared" si="5"/>
        <v>15876072.455323957</v>
      </c>
      <c r="P19" s="64">
        <f t="shared" si="6"/>
        <v>15489754.043648234</v>
      </c>
      <c r="Q19" s="64">
        <f t="shared" si="7"/>
        <v>15126224.500776213</v>
      </c>
      <c r="R19" s="64">
        <f t="shared" si="8"/>
        <v>14456358.544778405</v>
      </c>
      <c r="S19" s="64">
        <f t="shared" si="9"/>
        <v>13275363.182868449</v>
      </c>
      <c r="T19" s="64">
        <f t="shared" si="10"/>
        <v>12580583.167695472</v>
      </c>
      <c r="U19" s="64">
        <f t="shared" si="11"/>
        <v>11816412.185203684</v>
      </c>
      <c r="V19" s="64">
        <f t="shared" si="12"/>
        <v>10481633.534441542</v>
      </c>
      <c r="W19" s="64">
        <f t="shared" si="13"/>
        <v>9457911.876234822</v>
      </c>
      <c r="X19" s="64">
        <f t="shared" si="14"/>
        <v>8448547.0460630003</v>
      </c>
      <c r="Y19" s="64">
        <f t="shared" si="15"/>
        <v>8302061.444880886</v>
      </c>
      <c r="Z19" s="64">
        <f t="shared" si="16"/>
        <v>8341328.927598238</v>
      </c>
      <c r="AA19" s="64">
        <f t="shared" si="17"/>
        <v>8491666.7636072207</v>
      </c>
      <c r="AB19" s="64">
        <f t="shared" si="18"/>
        <v>8646099.0438244063</v>
      </c>
      <c r="AC19" s="64">
        <f t="shared" si="19"/>
        <v>8801779.5141915958</v>
      </c>
      <c r="AD19" s="64">
        <f t="shared" si="20"/>
        <v>8958303.1132215839</v>
      </c>
      <c r="AE19" s="64">
        <f t="shared" si="21"/>
        <v>9115786.485215107</v>
      </c>
      <c r="AF19" s="64">
        <f t="shared" si="22"/>
        <v>9274157.3528366685</v>
      </c>
      <c r="AG19" s="64">
        <f t="shared" si="23"/>
        <v>9434967.6524414755</v>
      </c>
      <c r="AH19" s="64">
        <f t="shared" si="24"/>
        <v>9597774.9473743774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IFERROR(OFFSET($V$7,MATCH(CITY!$A$1,CITY!$J$8:$J$38,0),0),"")</f>
        <v>12553865.979698312</v>
      </c>
      <c r="G20" s="22"/>
      <c r="J20" s="23" t="s">
        <v>27</v>
      </c>
      <c r="K20" s="64">
        <f t="shared" si="1"/>
        <v>17051794.320036098</v>
      </c>
      <c r="L20" s="64">
        <f t="shared" si="2"/>
        <v>17033624.130336791</v>
      </c>
      <c r="M20" s="64">
        <f t="shared" si="3"/>
        <v>16598472.955474567</v>
      </c>
      <c r="N20" s="64">
        <f t="shared" si="4"/>
        <v>16201170.284674924</v>
      </c>
      <c r="O20" s="64">
        <f t="shared" si="5"/>
        <v>15822278.45037128</v>
      </c>
      <c r="P20" s="64">
        <f t="shared" si="6"/>
        <v>15427946.122486664</v>
      </c>
      <c r="Q20" s="64">
        <f t="shared" si="7"/>
        <v>15055062.141711414</v>
      </c>
      <c r="R20" s="64">
        <f t="shared" si="8"/>
        <v>14363123.008157369</v>
      </c>
      <c r="S20" s="64">
        <f t="shared" si="9"/>
        <v>13159382.375672663</v>
      </c>
      <c r="T20" s="64">
        <f t="shared" si="10"/>
        <v>12443994.715836106</v>
      </c>
      <c r="U20" s="64">
        <f t="shared" si="11"/>
        <v>11632559.381627319</v>
      </c>
      <c r="V20" s="64">
        <f t="shared" si="12"/>
        <v>10222604.478784446</v>
      </c>
      <c r="W20" s="64">
        <f t="shared" si="13"/>
        <v>9105409.0983466785</v>
      </c>
      <c r="X20" s="64">
        <f t="shared" si="14"/>
        <v>8001726.0266476367</v>
      </c>
      <c r="Y20" s="64">
        <f t="shared" si="15"/>
        <v>7863857.2255350575</v>
      </c>
      <c r="Z20" s="64">
        <f t="shared" si="16"/>
        <v>7900814.8563278597</v>
      </c>
      <c r="AA20" s="64">
        <f t="shared" si="17"/>
        <v>8042309.2902186671</v>
      </c>
      <c r="AB20" s="64">
        <f t="shared" si="18"/>
        <v>8187657.3186583705</v>
      </c>
      <c r="AC20" s="64">
        <f t="shared" si="19"/>
        <v>8334180.1142980782</v>
      </c>
      <c r="AD20" s="64">
        <f t="shared" si="20"/>
        <v>8481496.4427968916</v>
      </c>
      <c r="AE20" s="64">
        <f t="shared" si="21"/>
        <v>8629716.0870260894</v>
      </c>
      <c r="AF20" s="64">
        <f t="shared" si="22"/>
        <v>8778771.0212581474</v>
      </c>
      <c r="AG20" s="64">
        <f t="shared" si="23"/>
        <v>8930121.891474437</v>
      </c>
      <c r="AH20" s="64">
        <f t="shared" si="24"/>
        <v>9083352.2867054027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IFERROR(OFFSET($W$7,MATCH(CITY!$A$1,CITY!$J$8:$J$38,0),0),"")</f>
        <v>12277934.099339969</v>
      </c>
      <c r="G21" s="22"/>
      <c r="J21" s="23" t="s">
        <v>29</v>
      </c>
      <c r="K21" s="64">
        <f t="shared" si="1"/>
        <v>17051794.320036098</v>
      </c>
      <c r="L21" s="64">
        <f t="shared" si="2"/>
        <v>17002100.080491316</v>
      </c>
      <c r="M21" s="64">
        <f t="shared" si="3"/>
        <v>16561486.167356297</v>
      </c>
      <c r="N21" s="64">
        <f t="shared" si="4"/>
        <v>16156355.226779951</v>
      </c>
      <c r="O21" s="64">
        <f t="shared" si="5"/>
        <v>15768484.445418604</v>
      </c>
      <c r="P21" s="64">
        <f t="shared" si="6"/>
        <v>15366138.201325094</v>
      </c>
      <c r="Q21" s="64">
        <f t="shared" si="7"/>
        <v>14983899.782646615</v>
      </c>
      <c r="R21" s="64">
        <f t="shared" si="8"/>
        <v>14269887.471536333</v>
      </c>
      <c r="S21" s="64">
        <f t="shared" si="9"/>
        <v>13043401.568476876</v>
      </c>
      <c r="T21" s="64">
        <f t="shared" si="10"/>
        <v>12307406.26397674</v>
      </c>
      <c r="U21" s="64">
        <f t="shared" si="11"/>
        <v>11448706.578050954</v>
      </c>
      <c r="V21" s="64">
        <f t="shared" si="12"/>
        <v>9963575.4231273495</v>
      </c>
      <c r="W21" s="64">
        <f t="shared" si="13"/>
        <v>8752906.3204585351</v>
      </c>
      <c r="X21" s="64">
        <f t="shared" si="14"/>
        <v>7554905.007232273</v>
      </c>
      <c r="Y21" s="64">
        <f t="shared" si="15"/>
        <v>7425653.006189229</v>
      </c>
      <c r="Z21" s="64">
        <f t="shared" si="16"/>
        <v>7460300.7850574814</v>
      </c>
      <c r="AA21" s="64">
        <f t="shared" si="17"/>
        <v>7592951.8168301135</v>
      </c>
      <c r="AB21" s="64">
        <f t="shared" si="18"/>
        <v>7729215.5934923347</v>
      </c>
      <c r="AC21" s="64">
        <f t="shared" si="19"/>
        <v>7866580.7144045606</v>
      </c>
      <c r="AD21" s="64">
        <f t="shared" si="20"/>
        <v>8004689.7723721992</v>
      </c>
      <c r="AE21" s="64">
        <f t="shared" si="21"/>
        <v>8143645.6888370719</v>
      </c>
      <c r="AF21" s="64">
        <f t="shared" si="22"/>
        <v>8283384.6896796264</v>
      </c>
      <c r="AG21" s="64">
        <f t="shared" si="23"/>
        <v>8425276.1305073984</v>
      </c>
      <c r="AH21" s="64">
        <f t="shared" si="24"/>
        <v>8568929.6260364279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IFERROR(OFFSET($X$7,MATCH(CITY!$A$1,CITY!$J$8:$J$38,0),0),"")</f>
        <v>12023115.20138591</v>
      </c>
      <c r="G22" s="22"/>
      <c r="J22" s="23" t="s">
        <v>31</v>
      </c>
      <c r="K22" s="64">
        <f t="shared" si="1"/>
        <v>17051794.320036098</v>
      </c>
      <c r="L22" s="64">
        <f t="shared" si="2"/>
        <v>16970576.03064584</v>
      </c>
      <c r="M22" s="64">
        <f t="shared" si="3"/>
        <v>16524499.379238028</v>
      </c>
      <c r="N22" s="64">
        <f t="shared" si="4"/>
        <v>16111540.168884978</v>
      </c>
      <c r="O22" s="64">
        <f t="shared" si="5"/>
        <v>15714690.440465927</v>
      </c>
      <c r="P22" s="64">
        <f t="shared" si="6"/>
        <v>15304330.280163525</v>
      </c>
      <c r="Q22" s="64">
        <f t="shared" si="7"/>
        <v>14912737.423581816</v>
      </c>
      <c r="R22" s="64">
        <f t="shared" si="8"/>
        <v>14176651.934915297</v>
      </c>
      <c r="S22" s="64">
        <f t="shared" si="9"/>
        <v>12927420.76128109</v>
      </c>
      <c r="T22" s="64">
        <f t="shared" si="10"/>
        <v>12170817.812117374</v>
      </c>
      <c r="U22" s="64">
        <f t="shared" si="11"/>
        <v>11264853.774474589</v>
      </c>
      <c r="V22" s="64">
        <f t="shared" si="12"/>
        <v>9704546.3674702533</v>
      </c>
      <c r="W22" s="64">
        <f t="shared" si="13"/>
        <v>8400403.5425703917</v>
      </c>
      <c r="X22" s="64">
        <f t="shared" si="14"/>
        <v>7108083.9878169093</v>
      </c>
      <c r="Y22" s="64">
        <f t="shared" si="15"/>
        <v>6987448.7868434004</v>
      </c>
      <c r="Z22" s="64">
        <f t="shared" si="16"/>
        <v>7019786.7137871031</v>
      </c>
      <c r="AA22" s="64">
        <f t="shared" si="17"/>
        <v>7143594.3434415599</v>
      </c>
      <c r="AB22" s="64">
        <f t="shared" si="18"/>
        <v>7270773.8683262989</v>
      </c>
      <c r="AC22" s="64">
        <f t="shared" si="19"/>
        <v>7398981.314511043</v>
      </c>
      <c r="AD22" s="64">
        <f t="shared" si="20"/>
        <v>7527883.1019475069</v>
      </c>
      <c r="AE22" s="64">
        <f t="shared" si="21"/>
        <v>7657575.2906480543</v>
      </c>
      <c r="AF22" s="64">
        <f t="shared" si="22"/>
        <v>7787998.3581011053</v>
      </c>
      <c r="AG22" s="64">
        <f t="shared" si="23"/>
        <v>7920430.3695403589</v>
      </c>
      <c r="AH22" s="64">
        <f t="shared" si="24"/>
        <v>8054506.9653674532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IFERROR(OFFSET($Y$7,MATCH(CITY!$A$1,CITY!$J$8:$J$38,0),0),"")</f>
        <v>11807695.199647514</v>
      </c>
      <c r="G23" s="22"/>
      <c r="J23" s="23" t="s">
        <v>33</v>
      </c>
      <c r="K23" s="64">
        <f t="shared" si="1"/>
        <v>17051794.320036098</v>
      </c>
      <c r="L23" s="64">
        <f t="shared" si="2"/>
        <v>16939051.980800364</v>
      </c>
      <c r="M23" s="64">
        <f t="shared" si="3"/>
        <v>16487512.591119759</v>
      </c>
      <c r="N23" s="64">
        <f t="shared" si="4"/>
        <v>16066725.110990005</v>
      </c>
      <c r="O23" s="64">
        <f t="shared" si="5"/>
        <v>15660896.435513251</v>
      </c>
      <c r="P23" s="64">
        <f t="shared" si="6"/>
        <v>15242522.359001955</v>
      </c>
      <c r="Q23" s="64">
        <f t="shared" si="7"/>
        <v>14841575.064517017</v>
      </c>
      <c r="R23" s="64">
        <f t="shared" si="8"/>
        <v>14083416.398294261</v>
      </c>
      <c r="S23" s="64">
        <f t="shared" si="9"/>
        <v>12811439.954085303</v>
      </c>
      <c r="T23" s="64">
        <f t="shared" si="10"/>
        <v>12034229.360258007</v>
      </c>
      <c r="U23" s="64">
        <f t="shared" si="11"/>
        <v>11081000.970898224</v>
      </c>
      <c r="V23" s="64">
        <f t="shared" si="12"/>
        <v>9445517.3118131571</v>
      </c>
      <c r="W23" s="64">
        <f t="shared" si="13"/>
        <v>8047900.7646822473</v>
      </c>
      <c r="X23" s="64">
        <f t="shared" si="14"/>
        <v>6661262.9684015457</v>
      </c>
      <c r="Y23" s="64">
        <f t="shared" si="15"/>
        <v>6549244.5674975719</v>
      </c>
      <c r="Z23" s="64">
        <f t="shared" si="16"/>
        <v>6579272.6425167248</v>
      </c>
      <c r="AA23" s="64">
        <f t="shared" si="17"/>
        <v>6694236.8700530063</v>
      </c>
      <c r="AB23" s="64">
        <f t="shared" si="18"/>
        <v>6812332.1431602631</v>
      </c>
      <c r="AC23" s="64">
        <f t="shared" si="19"/>
        <v>6931381.9146175254</v>
      </c>
      <c r="AD23" s="64">
        <f t="shared" si="20"/>
        <v>7051076.4315228146</v>
      </c>
      <c r="AE23" s="64">
        <f t="shared" si="21"/>
        <v>7171504.8924590368</v>
      </c>
      <c r="AF23" s="64">
        <f t="shared" si="22"/>
        <v>7292612.0265225843</v>
      </c>
      <c r="AG23" s="64">
        <f t="shared" si="23"/>
        <v>7415584.6085733194</v>
      </c>
      <c r="AH23" s="64">
        <f t="shared" si="24"/>
        <v>7540084.3046984784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IFERROR(OFFSET($Z$7,MATCH(CITY!$A$1,CITY!$J$8:$J$38,0),0),"")</f>
        <v>11865441.497761264</v>
      </c>
      <c r="G24" s="22"/>
      <c r="J24" s="23" t="s">
        <v>35</v>
      </c>
      <c r="K24" s="64">
        <f t="shared" si="1"/>
        <v>17051794.320036098</v>
      </c>
      <c r="L24" s="64">
        <f t="shared" si="2"/>
        <v>16907527.930954888</v>
      </c>
      <c r="M24" s="64">
        <f t="shared" si="3"/>
        <v>16450525.803001489</v>
      </c>
      <c r="N24" s="64">
        <f t="shared" si="4"/>
        <v>16021910.053095032</v>
      </c>
      <c r="O24" s="64">
        <f t="shared" si="5"/>
        <v>15607102.430560574</v>
      </c>
      <c r="P24" s="64">
        <f t="shared" si="6"/>
        <v>15180714.437840385</v>
      </c>
      <c r="Q24" s="64">
        <f t="shared" si="7"/>
        <v>14770412.705452219</v>
      </c>
      <c r="R24" s="64">
        <f t="shared" si="8"/>
        <v>13990180.861673225</v>
      </c>
      <c r="S24" s="64">
        <f t="shared" si="9"/>
        <v>12695459.146889517</v>
      </c>
      <c r="T24" s="64">
        <f t="shared" si="10"/>
        <v>11897640.908398641</v>
      </c>
      <c r="U24" s="64">
        <f t="shared" si="11"/>
        <v>10897148.167321859</v>
      </c>
      <c r="V24" s="64">
        <f t="shared" si="12"/>
        <v>9186488.2561560608</v>
      </c>
      <c r="W24" s="64">
        <f t="shared" si="13"/>
        <v>7695397.9867941029</v>
      </c>
      <c r="X24" s="64">
        <f t="shared" si="14"/>
        <v>6214441.948986182</v>
      </c>
      <c r="Y24" s="64">
        <f t="shared" si="15"/>
        <v>6111040.3481517434</v>
      </c>
      <c r="Z24" s="64">
        <f t="shared" si="16"/>
        <v>6138758.5712463465</v>
      </c>
      <c r="AA24" s="64">
        <f t="shared" si="17"/>
        <v>6244879.3966644527</v>
      </c>
      <c r="AB24" s="64">
        <f t="shared" si="18"/>
        <v>6353890.4179942273</v>
      </c>
      <c r="AC24" s="64">
        <f t="shared" si="19"/>
        <v>6463782.5147240078</v>
      </c>
      <c r="AD24" s="64">
        <f t="shared" si="20"/>
        <v>6574269.7610981222</v>
      </c>
      <c r="AE24" s="64">
        <f t="shared" si="21"/>
        <v>6685434.4942700192</v>
      </c>
      <c r="AF24" s="64">
        <f t="shared" si="22"/>
        <v>6797225.6949440632</v>
      </c>
      <c r="AG24" s="64">
        <f t="shared" si="23"/>
        <v>6910738.8476062799</v>
      </c>
      <c r="AH24" s="64">
        <f t="shared" si="24"/>
        <v>7025661.6440295037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IFERROR(OFFSET($AA$7,MATCH(CITY!$A$1,CITY!$J$8:$J$38,0),0),"")</f>
        <v>12086526.550715642</v>
      </c>
      <c r="G25" s="22"/>
      <c r="J25" s="23" t="s">
        <v>37</v>
      </c>
      <c r="K25" s="64">
        <f t="shared" si="1"/>
        <v>17051794.320036098</v>
      </c>
      <c r="L25" s="64">
        <f t="shared" si="2"/>
        <v>16876003.881109413</v>
      </c>
      <c r="M25" s="64">
        <f t="shared" si="3"/>
        <v>16413539.01488322</v>
      </c>
      <c r="N25" s="64">
        <f t="shared" si="4"/>
        <v>15977094.995200058</v>
      </c>
      <c r="O25" s="64">
        <f t="shared" si="5"/>
        <v>15553308.425607897</v>
      </c>
      <c r="P25" s="64">
        <f t="shared" si="6"/>
        <v>15118906.516678816</v>
      </c>
      <c r="Q25" s="64">
        <f t="shared" si="7"/>
        <v>14699250.34638742</v>
      </c>
      <c r="R25" s="64">
        <f t="shared" si="8"/>
        <v>13896945.325052189</v>
      </c>
      <c r="S25" s="64">
        <f t="shared" si="9"/>
        <v>12579478.339693731</v>
      </c>
      <c r="T25" s="64">
        <f t="shared" si="10"/>
        <v>11761052.456539275</v>
      </c>
      <c r="U25" s="64">
        <f t="shared" si="11"/>
        <v>10713295.363745494</v>
      </c>
      <c r="V25" s="64">
        <f t="shared" si="12"/>
        <v>8927459.2004989646</v>
      </c>
      <c r="W25" s="64">
        <f t="shared" si="13"/>
        <v>7342895.2089059586</v>
      </c>
      <c r="X25" s="64">
        <f t="shared" si="14"/>
        <v>5767620.9295708183</v>
      </c>
      <c r="Y25" s="64">
        <f t="shared" si="15"/>
        <v>5672836.1288059149</v>
      </c>
      <c r="Z25" s="64">
        <f t="shared" si="16"/>
        <v>5698244.4999759682</v>
      </c>
      <c r="AA25" s="64">
        <f t="shared" si="17"/>
        <v>5795521.9232758991</v>
      </c>
      <c r="AB25" s="64">
        <f t="shared" si="18"/>
        <v>5895448.6928281914</v>
      </c>
      <c r="AC25" s="64">
        <f t="shared" si="19"/>
        <v>5996183.1148304902</v>
      </c>
      <c r="AD25" s="64">
        <f t="shared" si="20"/>
        <v>6097463.0906734299</v>
      </c>
      <c r="AE25" s="64">
        <f t="shared" si="21"/>
        <v>6199364.0960810017</v>
      </c>
      <c r="AF25" s="64">
        <f t="shared" si="22"/>
        <v>6301839.3633655421</v>
      </c>
      <c r="AG25" s="64">
        <f t="shared" si="23"/>
        <v>6405893.0866392404</v>
      </c>
      <c r="AH25" s="64">
        <f t="shared" si="24"/>
        <v>6511238.9833605289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IFERROR(OFFSET($AB$7,MATCH(CITY!$A$1,CITY!$J$8:$J$38,0),0),"")</f>
        <v>12313632.845152693</v>
      </c>
      <c r="G26" s="22"/>
      <c r="J26" s="23" t="s">
        <v>39</v>
      </c>
      <c r="K26" s="64">
        <f t="shared" si="1"/>
        <v>17051794.320036098</v>
      </c>
      <c r="L26" s="64">
        <f t="shared" si="2"/>
        <v>16844479.831263937</v>
      </c>
      <c r="M26" s="64">
        <f t="shared" si="3"/>
        <v>16376552.226764951</v>
      </c>
      <c r="N26" s="64">
        <f t="shared" si="4"/>
        <v>15932279.937305085</v>
      </c>
      <c r="O26" s="64">
        <f t="shared" si="5"/>
        <v>15499514.420655221</v>
      </c>
      <c r="P26" s="64">
        <f t="shared" si="6"/>
        <v>15057098.595517246</v>
      </c>
      <c r="Q26" s="64">
        <f t="shared" si="7"/>
        <v>14628087.987322621</v>
      </c>
      <c r="R26" s="64">
        <f t="shared" si="8"/>
        <v>13803709.788431153</v>
      </c>
      <c r="S26" s="64">
        <f t="shared" si="9"/>
        <v>12463497.532497944</v>
      </c>
      <c r="T26" s="64">
        <f t="shared" si="10"/>
        <v>11624464.004679909</v>
      </c>
      <c r="U26" s="64">
        <f t="shared" si="11"/>
        <v>10529442.560169129</v>
      </c>
      <c r="V26" s="64">
        <f t="shared" si="12"/>
        <v>8668430.1448418684</v>
      </c>
      <c r="W26" s="64">
        <f t="shared" si="13"/>
        <v>6990392.4310178142</v>
      </c>
      <c r="X26" s="64">
        <f t="shared" si="14"/>
        <v>5320799.9101554547</v>
      </c>
      <c r="Y26" s="64">
        <f t="shared" si="15"/>
        <v>5234631.9094600864</v>
      </c>
      <c r="Z26" s="64">
        <f t="shared" si="16"/>
        <v>5257730.4287055898</v>
      </c>
      <c r="AA26" s="64">
        <f t="shared" si="17"/>
        <v>5346164.4498873455</v>
      </c>
      <c r="AB26" s="64">
        <f t="shared" si="18"/>
        <v>5437006.9676621556</v>
      </c>
      <c r="AC26" s="64">
        <f t="shared" si="19"/>
        <v>5528583.7149369726</v>
      </c>
      <c r="AD26" s="64">
        <f t="shared" si="20"/>
        <v>5620656.4202487376</v>
      </c>
      <c r="AE26" s="64">
        <f t="shared" si="21"/>
        <v>5713293.6978919841</v>
      </c>
      <c r="AF26" s="64">
        <f t="shared" si="22"/>
        <v>5806453.0317870211</v>
      </c>
      <c r="AG26" s="64">
        <f t="shared" si="23"/>
        <v>5901047.3256722009</v>
      </c>
      <c r="AH26" s="64">
        <f t="shared" si="24"/>
        <v>5996816.3226915542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IFERROR(OFFSET($AC$7,MATCH(CITY!$A$1,CITY!$J$8:$J$38,0),0),"")</f>
        <v>12542574.713339744</v>
      </c>
      <c r="G27" s="22"/>
      <c r="J27" s="23" t="s">
        <v>41</v>
      </c>
      <c r="K27" s="64">
        <f t="shared" si="1"/>
        <v>17051794.320036098</v>
      </c>
      <c r="L27" s="64">
        <f t="shared" si="2"/>
        <v>16812955.781418461</v>
      </c>
      <c r="M27" s="64">
        <f t="shared" si="3"/>
        <v>16339565.438646682</v>
      </c>
      <c r="N27" s="64">
        <f t="shared" si="4"/>
        <v>15887464.879410112</v>
      </c>
      <c r="O27" s="64">
        <f t="shared" si="5"/>
        <v>15445720.415702544</v>
      </c>
      <c r="P27" s="64">
        <f t="shared" si="6"/>
        <v>14995290.674355676</v>
      </c>
      <c r="Q27" s="64">
        <f t="shared" si="7"/>
        <v>14556925.628257822</v>
      </c>
      <c r="R27" s="64">
        <f t="shared" si="8"/>
        <v>13710474.251810117</v>
      </c>
      <c r="S27" s="64">
        <f t="shared" si="9"/>
        <v>12347516.725302158</v>
      </c>
      <c r="T27" s="64">
        <f t="shared" si="10"/>
        <v>11487875.552820543</v>
      </c>
      <c r="U27" s="64">
        <f t="shared" si="11"/>
        <v>10345589.756592764</v>
      </c>
      <c r="V27" s="64">
        <f t="shared" si="12"/>
        <v>8409401.0891847722</v>
      </c>
      <c r="W27" s="64">
        <f t="shared" si="13"/>
        <v>6637889.6531296698</v>
      </c>
      <c r="X27" s="64">
        <f t="shared" si="14"/>
        <v>4873978.890740091</v>
      </c>
      <c r="Y27" s="64">
        <f t="shared" si="15"/>
        <v>4796427.6901142579</v>
      </c>
      <c r="Z27" s="64">
        <f t="shared" si="16"/>
        <v>4817216.3574352115</v>
      </c>
      <c r="AA27" s="64">
        <f t="shared" si="17"/>
        <v>4896806.9764987919</v>
      </c>
      <c r="AB27" s="64">
        <f t="shared" si="18"/>
        <v>4978565.2424961198</v>
      </c>
      <c r="AC27" s="64">
        <f t="shared" si="19"/>
        <v>5060984.315043455</v>
      </c>
      <c r="AD27" s="64">
        <f t="shared" si="20"/>
        <v>5143849.7498240452</v>
      </c>
      <c r="AE27" s="64">
        <f t="shared" si="21"/>
        <v>5227223.2997029666</v>
      </c>
      <c r="AF27" s="64">
        <f t="shared" si="22"/>
        <v>5311066.7002085</v>
      </c>
      <c r="AG27" s="64">
        <f t="shared" si="23"/>
        <v>5396201.5647051614</v>
      </c>
      <c r="AH27" s="64">
        <f t="shared" si="24"/>
        <v>5482393.6620225795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IFERROR(OFFSET($AD$7,MATCH(CITY!$A$1,CITY!$J$8:$J$38,0),0),"")</f>
        <v>12772756.476619123</v>
      </c>
      <c r="G28" s="22"/>
      <c r="J28" s="23" t="s">
        <v>43</v>
      </c>
      <c r="K28" s="64">
        <f t="shared" si="1"/>
        <v>17051794.320036098</v>
      </c>
      <c r="L28" s="64">
        <f t="shared" si="2"/>
        <v>16781431.731572986</v>
      </c>
      <c r="M28" s="64">
        <f t="shared" si="3"/>
        <v>16302578.650528412</v>
      </c>
      <c r="N28" s="64">
        <f t="shared" si="4"/>
        <v>15842649.821515139</v>
      </c>
      <c r="O28" s="64">
        <f t="shared" si="5"/>
        <v>15391926.410749868</v>
      </c>
      <c r="P28" s="64">
        <f t="shared" si="6"/>
        <v>14933482.753194107</v>
      </c>
      <c r="Q28" s="64">
        <f t="shared" si="7"/>
        <v>14485763.269193023</v>
      </c>
      <c r="R28" s="64">
        <f t="shared" si="8"/>
        <v>13617238.715189081</v>
      </c>
      <c r="S28" s="64">
        <f t="shared" si="9"/>
        <v>12231535.918106372</v>
      </c>
      <c r="T28" s="64">
        <f t="shared" si="10"/>
        <v>11351287.100961177</v>
      </c>
      <c r="U28" s="64">
        <f t="shared" si="11"/>
        <v>10161736.953016398</v>
      </c>
      <c r="V28" s="64">
        <f t="shared" si="12"/>
        <v>8150372.0335276769</v>
      </c>
      <c r="W28" s="64">
        <f t="shared" si="13"/>
        <v>6285386.8752415255</v>
      </c>
      <c r="X28" s="64">
        <f t="shared" si="14"/>
        <v>4427157.8713247273</v>
      </c>
      <c r="Y28" s="64">
        <f t="shared" si="15"/>
        <v>4358223.4707684293</v>
      </c>
      <c r="Z28" s="64">
        <f t="shared" si="16"/>
        <v>4376702.2861648332</v>
      </c>
      <c r="AA28" s="64">
        <f t="shared" si="17"/>
        <v>4447449.5031102384</v>
      </c>
      <c r="AB28" s="64">
        <f t="shared" si="18"/>
        <v>4520123.517330084</v>
      </c>
      <c r="AC28" s="64">
        <f t="shared" si="19"/>
        <v>4593384.9151499374</v>
      </c>
      <c r="AD28" s="64">
        <f t="shared" si="20"/>
        <v>4667043.0793993529</v>
      </c>
      <c r="AE28" s="64">
        <f t="shared" si="21"/>
        <v>4741152.901513949</v>
      </c>
      <c r="AF28" s="64">
        <f t="shared" si="22"/>
        <v>4815680.368629979</v>
      </c>
      <c r="AG28" s="64">
        <f t="shared" si="23"/>
        <v>4891355.8037381219</v>
      </c>
      <c r="AH28" s="64">
        <f t="shared" si="24"/>
        <v>4967971.0013536047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IFERROR(OFFSET($AE$7,MATCH(CITY!$A$1,CITY!$J$8:$J$38,0),0),"")</f>
        <v>13004349.670727247</v>
      </c>
      <c r="G29" s="22"/>
      <c r="J29" s="23" t="s">
        <v>45</v>
      </c>
      <c r="K29" s="64">
        <f t="shared" si="1"/>
        <v>17051794.320036098</v>
      </c>
      <c r="L29" s="64">
        <f t="shared" si="2"/>
        <v>16749907.68172751</v>
      </c>
      <c r="M29" s="64">
        <f t="shared" si="3"/>
        <v>16265591.862410143</v>
      </c>
      <c r="N29" s="64">
        <f t="shared" si="4"/>
        <v>15797834.763620166</v>
      </c>
      <c r="O29" s="64">
        <f t="shared" si="5"/>
        <v>15338132.405797191</v>
      </c>
      <c r="P29" s="64">
        <f t="shared" si="6"/>
        <v>14871674.832032537</v>
      </c>
      <c r="Q29" s="64">
        <f t="shared" si="7"/>
        <v>14414600.910128225</v>
      </c>
      <c r="R29" s="64">
        <f t="shared" si="8"/>
        <v>13524003.178568045</v>
      </c>
      <c r="S29" s="64">
        <f t="shared" si="9"/>
        <v>12115555.110910585</v>
      </c>
      <c r="T29" s="64">
        <f t="shared" si="10"/>
        <v>11214698.649101811</v>
      </c>
      <c r="U29" s="64">
        <f t="shared" si="11"/>
        <v>9977884.1494400334</v>
      </c>
      <c r="V29" s="64">
        <f t="shared" si="12"/>
        <v>7891342.9778705817</v>
      </c>
      <c r="W29" s="64">
        <f t="shared" si="13"/>
        <v>5932884.0973533811</v>
      </c>
      <c r="X29" s="64">
        <f t="shared" si="14"/>
        <v>3980336.8519093632</v>
      </c>
      <c r="Y29" s="64">
        <f t="shared" si="15"/>
        <v>3920019.2514226008</v>
      </c>
      <c r="Z29" s="64">
        <f t="shared" si="16"/>
        <v>3936188.2148944549</v>
      </c>
      <c r="AA29" s="64">
        <f t="shared" si="17"/>
        <v>3998092.0297216848</v>
      </c>
      <c r="AB29" s="64">
        <f t="shared" si="18"/>
        <v>4061681.7921640486</v>
      </c>
      <c r="AC29" s="64">
        <f t="shared" si="19"/>
        <v>4125785.5152564198</v>
      </c>
      <c r="AD29" s="64">
        <f t="shared" si="20"/>
        <v>4190236.4089746601</v>
      </c>
      <c r="AE29" s="64">
        <f t="shared" si="21"/>
        <v>4255082.5033249315</v>
      </c>
      <c r="AF29" s="64">
        <f t="shared" si="22"/>
        <v>4320294.0370514579</v>
      </c>
      <c r="AG29" s="64">
        <f t="shared" si="23"/>
        <v>4386510.0427710824</v>
      </c>
      <c r="AH29" s="64">
        <f t="shared" si="24"/>
        <v>4453548.34068463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IFERROR(OFFSET($AF$7,MATCH(CITY!$A$1,CITY!$J$8:$J$38,0),0),"")</f>
        <v>13237248.005464837</v>
      </c>
      <c r="G30" s="22"/>
      <c r="J30" s="23" t="s">
        <v>47</v>
      </c>
      <c r="K30" s="64">
        <f t="shared" si="1"/>
        <v>17051794.320036098</v>
      </c>
      <c r="L30" s="64">
        <f t="shared" si="2"/>
        <v>16718383.631882034</v>
      </c>
      <c r="M30" s="64">
        <f t="shared" si="3"/>
        <v>16228605.074291874</v>
      </c>
      <c r="N30" s="64">
        <f t="shared" si="4"/>
        <v>15753019.705725193</v>
      </c>
      <c r="O30" s="64">
        <f t="shared" si="5"/>
        <v>15284338.400844514</v>
      </c>
      <c r="P30" s="64">
        <f t="shared" si="6"/>
        <v>14809866.910870967</v>
      </c>
      <c r="Q30" s="64">
        <f t="shared" si="7"/>
        <v>14343438.551063426</v>
      </c>
      <c r="R30" s="64">
        <f t="shared" si="8"/>
        <v>13430767.641947009</v>
      </c>
      <c r="S30" s="64">
        <f t="shared" si="9"/>
        <v>11999574.303714799</v>
      </c>
      <c r="T30" s="64">
        <f t="shared" si="10"/>
        <v>11078110.197242444</v>
      </c>
      <c r="U30" s="64">
        <f t="shared" si="11"/>
        <v>9794031.3458636682</v>
      </c>
      <c r="V30" s="64">
        <f t="shared" si="12"/>
        <v>7632313.9222134864</v>
      </c>
      <c r="W30" s="64">
        <f t="shared" si="13"/>
        <v>5580381.3194652367</v>
      </c>
      <c r="X30" s="64">
        <f t="shared" si="14"/>
        <v>3533515.832493999</v>
      </c>
      <c r="Y30" s="64">
        <f t="shared" si="15"/>
        <v>3481815.0320767723</v>
      </c>
      <c r="Z30" s="64">
        <f t="shared" si="16"/>
        <v>3495674.1436240766</v>
      </c>
      <c r="AA30" s="64">
        <f t="shared" si="17"/>
        <v>3548734.5563331312</v>
      </c>
      <c r="AB30" s="64">
        <f t="shared" si="18"/>
        <v>3603240.0669980133</v>
      </c>
      <c r="AC30" s="64">
        <f t="shared" si="19"/>
        <v>3658186.1153629022</v>
      </c>
      <c r="AD30" s="64">
        <f t="shared" si="20"/>
        <v>3713429.7385499673</v>
      </c>
      <c r="AE30" s="64">
        <f t="shared" si="21"/>
        <v>3769012.1051359139</v>
      </c>
      <c r="AF30" s="64">
        <f t="shared" si="22"/>
        <v>3824907.7054729369</v>
      </c>
      <c r="AG30" s="64">
        <f t="shared" si="23"/>
        <v>3881664.2818040433</v>
      </c>
      <c r="AH30" s="64">
        <f t="shared" si="24"/>
        <v>3939125.6800156552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IFERROR(OFFSET($AG$7,MATCH(CITY!$A$1,CITY!$J$8:$J$38,0),0),"")</f>
        <v>13473733.740177784</v>
      </c>
      <c r="G31" s="22"/>
      <c r="J31" s="23" t="s">
        <v>49</v>
      </c>
      <c r="K31" s="64">
        <f t="shared" si="1"/>
        <v>17051794.320036098</v>
      </c>
      <c r="L31" s="64">
        <f t="shared" si="2"/>
        <v>16686859.582036559</v>
      </c>
      <c r="M31" s="64">
        <f t="shared" si="3"/>
        <v>16191618.286173604</v>
      </c>
      <c r="N31" s="64">
        <f t="shared" si="4"/>
        <v>15708204.64783022</v>
      </c>
      <c r="O31" s="64">
        <f t="shared" si="5"/>
        <v>15230544.395891838</v>
      </c>
      <c r="P31" s="64">
        <f t="shared" si="6"/>
        <v>14748058.989709398</v>
      </c>
      <c r="Q31" s="64">
        <f t="shared" si="7"/>
        <v>14272276.191998627</v>
      </c>
      <c r="R31" s="64">
        <f t="shared" si="8"/>
        <v>13337532.105325973</v>
      </c>
      <c r="S31" s="64">
        <f t="shared" si="9"/>
        <v>11883593.496519012</v>
      </c>
      <c r="T31" s="64">
        <f t="shared" si="10"/>
        <v>10941521.745383078</v>
      </c>
      <c r="U31" s="64">
        <f t="shared" si="11"/>
        <v>9610178.5422873031</v>
      </c>
      <c r="V31" s="64">
        <f t="shared" si="12"/>
        <v>7373284.8665563911</v>
      </c>
      <c r="W31" s="64">
        <f t="shared" si="13"/>
        <v>5227878.5415770924</v>
      </c>
      <c r="X31" s="64">
        <f t="shared" si="14"/>
        <v>3086694.8130786349</v>
      </c>
      <c r="Y31" s="64">
        <f t="shared" si="15"/>
        <v>3043610.8127309438</v>
      </c>
      <c r="Z31" s="64">
        <f t="shared" si="16"/>
        <v>3055160.0723536983</v>
      </c>
      <c r="AA31" s="64">
        <f t="shared" si="17"/>
        <v>3099377.0829445776</v>
      </c>
      <c r="AB31" s="64">
        <f t="shared" si="18"/>
        <v>3144798.3418319779</v>
      </c>
      <c r="AC31" s="64">
        <f t="shared" si="19"/>
        <v>3190586.7154693846</v>
      </c>
      <c r="AD31" s="64">
        <f t="shared" si="20"/>
        <v>3236623.0681252745</v>
      </c>
      <c r="AE31" s="64">
        <f t="shared" si="21"/>
        <v>3282941.7069468964</v>
      </c>
      <c r="AF31" s="64">
        <f t="shared" si="22"/>
        <v>3329521.3738944158</v>
      </c>
      <c r="AG31" s="64">
        <f t="shared" si="23"/>
        <v>3376818.5208370043</v>
      </c>
      <c r="AH31" s="64">
        <f t="shared" si="24"/>
        <v>3424703.0193466805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IFERROR(OFFSET($AH$7,MATCH(CITY!$A$1,CITY!$J$8:$J$38,0),0),"")</f>
        <v>13713156.232726175</v>
      </c>
      <c r="G32" s="22"/>
      <c r="J32" s="23" t="s">
        <v>51</v>
      </c>
      <c r="K32" s="64">
        <f t="shared" si="1"/>
        <v>17051794.320036098</v>
      </c>
      <c r="L32" s="64">
        <f t="shared" si="2"/>
        <v>16655335.532191083</v>
      </c>
      <c r="M32" s="64">
        <f t="shared" si="3"/>
        <v>16154631.498055335</v>
      </c>
      <c r="N32" s="64">
        <f t="shared" si="4"/>
        <v>15663389.589935247</v>
      </c>
      <c r="O32" s="64">
        <f t="shared" si="5"/>
        <v>15176750.390939161</v>
      </c>
      <c r="P32" s="64">
        <f t="shared" si="6"/>
        <v>14686251.068547828</v>
      </c>
      <c r="Q32" s="64">
        <f t="shared" si="7"/>
        <v>14201113.832933828</v>
      </c>
      <c r="R32" s="64">
        <f t="shared" si="8"/>
        <v>13244296.568704937</v>
      </c>
      <c r="S32" s="64">
        <f t="shared" si="9"/>
        <v>11767612.689323226</v>
      </c>
      <c r="T32" s="64">
        <f t="shared" si="10"/>
        <v>10804933.293523712</v>
      </c>
      <c r="U32" s="64">
        <f t="shared" si="11"/>
        <v>9426325.738710938</v>
      </c>
      <c r="V32" s="64">
        <f t="shared" si="12"/>
        <v>7114255.8108992958</v>
      </c>
      <c r="W32" s="64">
        <f t="shared" si="13"/>
        <v>4875375.763688948</v>
      </c>
      <c r="X32" s="64">
        <f t="shared" si="14"/>
        <v>2639873.7936632708</v>
      </c>
      <c r="Y32" s="64">
        <f t="shared" si="15"/>
        <v>2605406.5933851153</v>
      </c>
      <c r="Z32" s="64">
        <f t="shared" si="16"/>
        <v>2614646.00108332</v>
      </c>
      <c r="AA32" s="64">
        <f t="shared" si="17"/>
        <v>2650019.609556024</v>
      </c>
      <c r="AB32" s="64">
        <f t="shared" si="18"/>
        <v>2686356.6166659426</v>
      </c>
      <c r="AC32" s="64">
        <f t="shared" si="19"/>
        <v>2722987.315575867</v>
      </c>
      <c r="AD32" s="64">
        <f t="shared" si="20"/>
        <v>2759816.3977005817</v>
      </c>
      <c r="AE32" s="64">
        <f t="shared" si="21"/>
        <v>2796871.3087578788</v>
      </c>
      <c r="AF32" s="64">
        <f t="shared" si="22"/>
        <v>2834135.0423158947</v>
      </c>
      <c r="AG32" s="64">
        <f t="shared" si="23"/>
        <v>2871972.7598699653</v>
      </c>
      <c r="AH32" s="64">
        <f t="shared" si="24"/>
        <v>2910280.3586777057</v>
      </c>
    </row>
    <row r="33" spans="2:34">
      <c r="B33" s="4"/>
      <c r="C33" s="4"/>
      <c r="D33" s="4"/>
      <c r="E33" s="4"/>
      <c r="F33" s="4"/>
      <c r="G33" s="4"/>
      <c r="J33" s="23" t="s">
        <v>53</v>
      </c>
      <c r="K33" s="64">
        <f t="shared" si="1"/>
        <v>17051794.320036098</v>
      </c>
      <c r="L33" s="64">
        <f t="shared" si="2"/>
        <v>16623811.482345607</v>
      </c>
      <c r="M33" s="64">
        <f t="shared" si="3"/>
        <v>16117644.709937066</v>
      </c>
      <c r="N33" s="64">
        <f t="shared" si="4"/>
        <v>15618574.532040274</v>
      </c>
      <c r="O33" s="64">
        <f t="shared" si="5"/>
        <v>15122956.385986485</v>
      </c>
      <c r="P33" s="64">
        <f t="shared" si="6"/>
        <v>14624443.147386258</v>
      </c>
      <c r="Q33" s="64">
        <f t="shared" si="7"/>
        <v>14129951.473869029</v>
      </c>
      <c r="R33" s="64">
        <f t="shared" si="8"/>
        <v>13151061.032083901</v>
      </c>
      <c r="S33" s="64">
        <f t="shared" si="9"/>
        <v>11651631.88212744</v>
      </c>
      <c r="T33" s="64">
        <f t="shared" si="10"/>
        <v>10668344.841664346</v>
      </c>
      <c r="U33" s="64">
        <f t="shared" si="11"/>
        <v>9242472.9351345729</v>
      </c>
      <c r="V33" s="64">
        <f t="shared" si="12"/>
        <v>6855226.7552422006</v>
      </c>
      <c r="W33" s="64">
        <f t="shared" si="13"/>
        <v>4522872.9858008036</v>
      </c>
      <c r="X33" s="64">
        <f t="shared" si="14"/>
        <v>2193052.7742479066</v>
      </c>
      <c r="Y33" s="64">
        <f t="shared" si="15"/>
        <v>2167202.3740392867</v>
      </c>
      <c r="Z33" s="64">
        <f t="shared" si="16"/>
        <v>2174131.9298129417</v>
      </c>
      <c r="AA33" s="64">
        <f t="shared" si="17"/>
        <v>2200662.1361674704</v>
      </c>
      <c r="AB33" s="64">
        <f t="shared" si="18"/>
        <v>2227914.8914999072</v>
      </c>
      <c r="AC33" s="64">
        <f t="shared" si="19"/>
        <v>2255387.9156823494</v>
      </c>
      <c r="AD33" s="64">
        <f t="shared" si="20"/>
        <v>2283009.7272758889</v>
      </c>
      <c r="AE33" s="64">
        <f t="shared" si="21"/>
        <v>2310800.9105688613</v>
      </c>
      <c r="AF33" s="64">
        <f t="shared" si="22"/>
        <v>2338748.7107373737</v>
      </c>
      <c r="AG33" s="64">
        <f t="shared" si="23"/>
        <v>2367126.9989029262</v>
      </c>
      <c r="AH33" s="64">
        <f t="shared" si="24"/>
        <v>2395857.698008731</v>
      </c>
    </row>
    <row r="34" spans="2:34">
      <c r="B34" s="4"/>
      <c r="C34" s="4"/>
      <c r="D34" s="4"/>
      <c r="E34" s="4"/>
      <c r="F34" s="4"/>
      <c r="G34" s="4"/>
      <c r="J34" s="23" t="s">
        <v>55</v>
      </c>
      <c r="K34" s="64">
        <f t="shared" si="1"/>
        <v>17051794.320036098</v>
      </c>
      <c r="L34" s="64">
        <f t="shared" si="2"/>
        <v>16592287.432500131</v>
      </c>
      <c r="M34" s="64">
        <f t="shared" si="3"/>
        <v>16080657.921818797</v>
      </c>
      <c r="N34" s="64">
        <f t="shared" si="4"/>
        <v>15573759.474145301</v>
      </c>
      <c r="O34" s="64">
        <f t="shared" si="5"/>
        <v>15069162.381033808</v>
      </c>
      <c r="P34" s="64">
        <f t="shared" si="6"/>
        <v>14562635.226224689</v>
      </c>
      <c r="Q34" s="64">
        <f t="shared" si="7"/>
        <v>14058789.114804231</v>
      </c>
      <c r="R34" s="64">
        <f t="shared" si="8"/>
        <v>13057825.495462865</v>
      </c>
      <c r="S34" s="64">
        <f t="shared" si="9"/>
        <v>11535651.074931653</v>
      </c>
      <c r="T34" s="64">
        <f t="shared" si="10"/>
        <v>10531756.38980498</v>
      </c>
      <c r="U34" s="64">
        <f t="shared" si="11"/>
        <v>9058620.1315582078</v>
      </c>
      <c r="V34" s="64">
        <f t="shared" si="12"/>
        <v>6596197.6995851053</v>
      </c>
      <c r="W34" s="64">
        <f t="shared" si="13"/>
        <v>4170370.2079126597</v>
      </c>
      <c r="X34" s="64">
        <f t="shared" si="14"/>
        <v>1746231.7548325425</v>
      </c>
      <c r="Y34" s="64">
        <f t="shared" si="15"/>
        <v>1728998.1546934582</v>
      </c>
      <c r="Z34" s="64">
        <f t="shared" si="16"/>
        <v>1733617.8585425634</v>
      </c>
      <c r="AA34" s="64">
        <f t="shared" si="17"/>
        <v>1751304.662778917</v>
      </c>
      <c r="AB34" s="64">
        <f t="shared" si="18"/>
        <v>1769473.1663338717</v>
      </c>
      <c r="AC34" s="64">
        <f t="shared" si="19"/>
        <v>1787788.5157888317</v>
      </c>
      <c r="AD34" s="64">
        <f t="shared" si="20"/>
        <v>1806203.0568511961</v>
      </c>
      <c r="AE34" s="64">
        <f t="shared" si="21"/>
        <v>1824730.5123798437</v>
      </c>
      <c r="AF34" s="64">
        <f t="shared" si="22"/>
        <v>1843362.3791588524</v>
      </c>
      <c r="AG34" s="64">
        <f t="shared" si="23"/>
        <v>1862281.2379358872</v>
      </c>
      <c r="AH34" s="64">
        <f t="shared" si="24"/>
        <v>1881435.0373397563</v>
      </c>
    </row>
    <row r="35" spans="2:34">
      <c r="B35" s="4"/>
      <c r="C35" s="4"/>
      <c r="D35" s="4"/>
      <c r="E35" s="4"/>
      <c r="F35" s="4"/>
      <c r="G35" s="4"/>
      <c r="J35" s="23" t="s">
        <v>57</v>
      </c>
      <c r="K35" s="64">
        <f t="shared" si="1"/>
        <v>17051794.320036098</v>
      </c>
      <c r="L35" s="64">
        <f t="shared" si="2"/>
        <v>16560763.382654656</v>
      </c>
      <c r="M35" s="64">
        <f t="shared" si="3"/>
        <v>16043671.133700527</v>
      </c>
      <c r="N35" s="64">
        <f t="shared" si="4"/>
        <v>15528944.416250328</v>
      </c>
      <c r="O35" s="64">
        <f t="shared" si="5"/>
        <v>15015368.376081131</v>
      </c>
      <c r="P35" s="64">
        <f t="shared" si="6"/>
        <v>14500827.305063119</v>
      </c>
      <c r="Q35" s="64">
        <f t="shared" si="7"/>
        <v>13987626.755739432</v>
      </c>
      <c r="R35" s="64">
        <f t="shared" si="8"/>
        <v>12964589.958841829</v>
      </c>
      <c r="S35" s="64">
        <f t="shared" si="9"/>
        <v>11419670.267735867</v>
      </c>
      <c r="T35" s="64">
        <f t="shared" si="10"/>
        <v>10395167.937945614</v>
      </c>
      <c r="U35" s="64">
        <f t="shared" si="11"/>
        <v>8874767.3279818427</v>
      </c>
      <c r="V35" s="64">
        <f t="shared" si="12"/>
        <v>6337168.64392801</v>
      </c>
      <c r="W35" s="64">
        <f t="shared" si="13"/>
        <v>3817867.4300245158</v>
      </c>
      <c r="X35" s="64">
        <f t="shared" si="14"/>
        <v>1299410.7354171784</v>
      </c>
      <c r="Y35" s="64">
        <f t="shared" si="15"/>
        <v>1290793.9353476297</v>
      </c>
      <c r="Z35" s="64">
        <f t="shared" si="16"/>
        <v>1293103.7872721851</v>
      </c>
      <c r="AA35" s="64">
        <f t="shared" si="17"/>
        <v>1301947.1893903636</v>
      </c>
      <c r="AB35" s="64">
        <f t="shared" si="18"/>
        <v>1311031.4411678361</v>
      </c>
      <c r="AC35" s="64">
        <f t="shared" si="19"/>
        <v>1320189.1158953141</v>
      </c>
      <c r="AD35" s="64">
        <f t="shared" si="20"/>
        <v>1329396.3864265033</v>
      </c>
      <c r="AE35" s="64">
        <f t="shared" si="21"/>
        <v>1338660.1141908262</v>
      </c>
      <c r="AF35" s="64">
        <f t="shared" si="22"/>
        <v>1347976.0475803311</v>
      </c>
      <c r="AG35" s="64">
        <f t="shared" si="23"/>
        <v>1357435.4769688481</v>
      </c>
      <c r="AH35" s="64">
        <f t="shared" si="24"/>
        <v>1367012.3766707815</v>
      </c>
    </row>
    <row r="36" spans="2:34">
      <c r="B36" s="4"/>
      <c r="C36" s="4"/>
      <c r="D36" s="4"/>
      <c r="E36" s="4"/>
      <c r="F36" s="4"/>
      <c r="G36" s="4"/>
      <c r="J36" s="23" t="s">
        <v>59</v>
      </c>
      <c r="K36" s="66">
        <f t="shared" si="1"/>
        <v>17051794.320036098</v>
      </c>
      <c r="L36" s="66">
        <f t="shared" si="2"/>
        <v>16529239.33280918</v>
      </c>
      <c r="M36" s="66">
        <f t="shared" si="3"/>
        <v>16006684.345582258</v>
      </c>
      <c r="N36" s="66">
        <f t="shared" si="4"/>
        <v>15484129.358355355</v>
      </c>
      <c r="O36" s="66">
        <f t="shared" si="5"/>
        <v>14961574.371128455</v>
      </c>
      <c r="P36" s="66">
        <f t="shared" si="6"/>
        <v>14439019.38390155</v>
      </c>
      <c r="Q36" s="66">
        <f t="shared" si="7"/>
        <v>13916464.396674633</v>
      </c>
      <c r="R36" s="66">
        <f t="shared" si="8"/>
        <v>12871354.422220793</v>
      </c>
      <c r="S36" s="66">
        <f t="shared" si="9"/>
        <v>11303689.46054008</v>
      </c>
      <c r="T36" s="66">
        <f t="shared" si="10"/>
        <v>10258579.486086247</v>
      </c>
      <c r="U36" s="66">
        <f t="shared" si="11"/>
        <v>8690914.5244054776</v>
      </c>
      <c r="V36" s="66">
        <f t="shared" si="12"/>
        <v>6078139.5882709147</v>
      </c>
      <c r="W36" s="66">
        <f t="shared" si="13"/>
        <v>3465364.6521363719</v>
      </c>
      <c r="X36" s="66">
        <f t="shared" si="14"/>
        <v>852589.71600181423</v>
      </c>
      <c r="Y36" s="66">
        <f t="shared" si="15"/>
        <v>852589.71600180131</v>
      </c>
      <c r="Z36" s="66">
        <f t="shared" si="16"/>
        <v>852589.71600180678</v>
      </c>
      <c r="AA36" s="66">
        <f t="shared" si="17"/>
        <v>852589.71600181027</v>
      </c>
      <c r="AB36" s="66">
        <f t="shared" si="18"/>
        <v>852589.71600180049</v>
      </c>
      <c r="AC36" s="66">
        <f t="shared" si="19"/>
        <v>852589.71600179654</v>
      </c>
      <c r="AD36" s="66">
        <f t="shared" si="20"/>
        <v>852589.71600181062</v>
      </c>
      <c r="AE36" s="66">
        <f t="shared" si="21"/>
        <v>852589.71600180853</v>
      </c>
      <c r="AF36" s="66">
        <f t="shared" si="22"/>
        <v>852589.71600180981</v>
      </c>
      <c r="AG36" s="66">
        <f t="shared" si="23"/>
        <v>852589.71600180911</v>
      </c>
      <c r="AH36" s="66">
        <f t="shared" si="24"/>
        <v>852589.71600180678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61</v>
      </c>
      <c r="K37" s="64">
        <f t="shared" si="1"/>
        <v>17051794.320036098</v>
      </c>
      <c r="L37" s="64">
        <f t="shared" si="2"/>
        <v>16497715.282963704</v>
      </c>
      <c r="M37" s="64">
        <f t="shared" si="3"/>
        <v>15969697.557463989</v>
      </c>
      <c r="N37" s="64">
        <f t="shared" si="4"/>
        <v>15439314.300460381</v>
      </c>
      <c r="O37" s="64">
        <f t="shared" si="5"/>
        <v>14907780.366175778</v>
      </c>
      <c r="P37" s="64">
        <f t="shared" si="6"/>
        <v>14377211.46273998</v>
      </c>
      <c r="Q37" s="64">
        <f t="shared" si="7"/>
        <v>13845302.037609834</v>
      </c>
      <c r="R37" s="64">
        <f t="shared" si="8"/>
        <v>12778118.885599757</v>
      </c>
      <c r="S37" s="64">
        <f t="shared" si="9"/>
        <v>11187708.653344294</v>
      </c>
      <c r="T37" s="64">
        <f t="shared" si="10"/>
        <v>10121991.034226881</v>
      </c>
      <c r="U37" s="64">
        <f t="shared" si="11"/>
        <v>8507061.7208291125</v>
      </c>
      <c r="V37" s="64">
        <f t="shared" si="12"/>
        <v>5819110.5326138195</v>
      </c>
      <c r="W37" s="64">
        <f t="shared" si="13"/>
        <v>3112861.874248228</v>
      </c>
      <c r="X37" s="64">
        <f t="shared" si="14"/>
        <v>405768.6965864501</v>
      </c>
      <c r="Y37" s="64">
        <f t="shared" si="15"/>
        <v>414385.49665597291</v>
      </c>
      <c r="Z37" s="64">
        <f t="shared" si="16"/>
        <v>412075.64473142842</v>
      </c>
      <c r="AA37" s="64">
        <f t="shared" si="17"/>
        <v>403232.24261325685</v>
      </c>
      <c r="AB37" s="64">
        <f t="shared" si="18"/>
        <v>394147.99083576497</v>
      </c>
      <c r="AC37" s="64">
        <f t="shared" si="19"/>
        <v>384990.31610827887</v>
      </c>
      <c r="AD37" s="64">
        <f t="shared" si="20"/>
        <v>375783.04557711794</v>
      </c>
      <c r="AE37" s="64">
        <f t="shared" si="21"/>
        <v>366519.31781279086</v>
      </c>
      <c r="AF37" s="64">
        <f t="shared" si="22"/>
        <v>357203.38442328857</v>
      </c>
      <c r="AG37" s="64">
        <f t="shared" si="23"/>
        <v>347743.95503477001</v>
      </c>
      <c r="AH37" s="64">
        <f t="shared" si="24"/>
        <v>338167.05533283198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882673.39567331411</v>
      </c>
      <c r="M41" s="68">
        <f t="shared" si="25"/>
        <v>1035630.0673115253</v>
      </c>
      <c r="N41" s="68">
        <f t="shared" si="25"/>
        <v>1254821.6210592408</v>
      </c>
      <c r="O41" s="68">
        <f t="shared" si="25"/>
        <v>1506232.1386749521</v>
      </c>
      <c r="P41" s="68">
        <f t="shared" si="25"/>
        <v>1730621.7925239652</v>
      </c>
      <c r="Q41" s="68">
        <f t="shared" si="25"/>
        <v>1992546.0538143776</v>
      </c>
      <c r="R41" s="68">
        <f t="shared" si="25"/>
        <v>2610595.0253890045</v>
      </c>
      <c r="S41" s="68">
        <f t="shared" si="25"/>
        <v>3247462.6014820393</v>
      </c>
      <c r="T41" s="68">
        <f t="shared" si="25"/>
        <v>3824476.6520622652</v>
      </c>
      <c r="U41" s="68">
        <f t="shared" si="25"/>
        <v>5147878.5001382064</v>
      </c>
      <c r="V41" s="68">
        <f t="shared" si="25"/>
        <v>7252813.5583986677</v>
      </c>
      <c r="W41" s="68">
        <f t="shared" si="25"/>
        <v>9870077.7808680311</v>
      </c>
      <c r="X41" s="68">
        <f t="shared" si="25"/>
        <v>12510988.543630196</v>
      </c>
      <c r="Y41" s="68">
        <f t="shared" si="25"/>
        <v>12269718.141683195</v>
      </c>
      <c r="Z41" s="68">
        <f t="shared" si="25"/>
        <v>12334393.995570594</v>
      </c>
      <c r="AA41" s="68">
        <f t="shared" si="25"/>
        <v>12582009.254879495</v>
      </c>
      <c r="AB41" s="68">
        <f t="shared" si="25"/>
        <v>12836368.304648995</v>
      </c>
      <c r="AC41" s="68">
        <f t="shared" si="25"/>
        <v>13092783.197018495</v>
      </c>
      <c r="AD41" s="68">
        <f t="shared" si="25"/>
        <v>13350586.771891395</v>
      </c>
      <c r="AE41" s="68">
        <f t="shared" si="25"/>
        <v>13609971.149292495</v>
      </c>
      <c r="AF41" s="68">
        <f t="shared" si="25"/>
        <v>13870817.284198595</v>
      </c>
      <c r="AG41" s="68">
        <f t="shared" si="25"/>
        <v>14135681.307077095</v>
      </c>
      <c r="AH41" s="68">
        <f t="shared" si="25"/>
        <v>14403834.498731295</v>
      </c>
    </row>
    <row r="42" spans="2:34">
      <c r="J42" s="23"/>
      <c r="K42" s="69">
        <f t="shared" ref="K42:AH42" si="26">K41/28</f>
        <v>0</v>
      </c>
      <c r="L42" s="69">
        <f t="shared" si="26"/>
        <v>31524.049845475503</v>
      </c>
      <c r="M42" s="69">
        <f t="shared" si="26"/>
        <v>36986.788118268763</v>
      </c>
      <c r="N42" s="69">
        <f t="shared" si="26"/>
        <v>44815.057894972888</v>
      </c>
      <c r="O42" s="69">
        <f t="shared" si="26"/>
        <v>53794.004952676863</v>
      </c>
      <c r="P42" s="69">
        <f t="shared" si="26"/>
        <v>61807.921161570186</v>
      </c>
      <c r="Q42" s="69">
        <f t="shared" si="26"/>
        <v>71162.359064799195</v>
      </c>
      <c r="R42" s="69">
        <f t="shared" si="26"/>
        <v>93235.536621035877</v>
      </c>
      <c r="S42" s="69">
        <f t="shared" si="26"/>
        <v>115980.80719578711</v>
      </c>
      <c r="T42" s="69">
        <f t="shared" si="26"/>
        <v>136588.45185936661</v>
      </c>
      <c r="U42" s="69">
        <f t="shared" si="26"/>
        <v>183852.8035763645</v>
      </c>
      <c r="V42" s="69">
        <f t="shared" si="26"/>
        <v>259029.05565709528</v>
      </c>
      <c r="W42" s="69">
        <f t="shared" si="26"/>
        <v>352502.77788814396</v>
      </c>
      <c r="X42" s="69">
        <f t="shared" si="26"/>
        <v>446821.01941536414</v>
      </c>
      <c r="Y42" s="69">
        <f t="shared" si="26"/>
        <v>438204.2193458284</v>
      </c>
      <c r="Z42" s="69">
        <f t="shared" si="26"/>
        <v>440514.07127037836</v>
      </c>
      <c r="AA42" s="69">
        <f t="shared" si="26"/>
        <v>449357.47338855342</v>
      </c>
      <c r="AB42" s="69">
        <f t="shared" si="26"/>
        <v>458441.72516603553</v>
      </c>
      <c r="AC42" s="69">
        <f t="shared" si="26"/>
        <v>467599.39989351766</v>
      </c>
      <c r="AD42" s="69">
        <f t="shared" si="26"/>
        <v>476806.67042469268</v>
      </c>
      <c r="AE42" s="69">
        <f t="shared" si="26"/>
        <v>486070.39818901767</v>
      </c>
      <c r="AF42" s="69">
        <f t="shared" si="26"/>
        <v>495386.33157852123</v>
      </c>
      <c r="AG42" s="69">
        <f t="shared" si="26"/>
        <v>504845.7609670391</v>
      </c>
      <c r="AH42" s="69">
        <f t="shared" si="26"/>
        <v>514422.6606689748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4"/>
  <sheetViews>
    <sheetView zoomScale="75" zoomScaleNormal="75" workbookViewId="0">
      <selection activeCell="B7" sqref="B7"/>
    </sheetView>
  </sheetViews>
  <sheetFormatPr defaultColWidth="8.85546875" defaultRowHeight="15"/>
  <cols>
    <col min="1" max="1" width="15.5703125" style="2" bestFit="1" customWidth="1"/>
    <col min="2" max="2" width="51.7109375" style="9" bestFit="1" customWidth="1"/>
    <col min="3" max="3" width="8.7109375" style="9" bestFit="1" customWidth="1"/>
    <col min="4" max="4" width="15.7109375" style="9" bestFit="1" customWidth="1"/>
    <col min="5" max="5" width="12.140625" style="9" bestFit="1" customWidth="1"/>
    <col min="6" max="6" width="13.85546875" style="9" bestFit="1" customWidth="1"/>
    <col min="7" max="7" width="14.7109375" style="9" bestFit="1" customWidth="1"/>
    <col min="8" max="8" width="23.140625" style="9" bestFit="1" customWidth="1"/>
    <col min="9" max="9" width="10.28515625" style="9" bestFit="1" customWidth="1"/>
    <col min="10" max="10" width="19.7109375" style="9" bestFit="1" customWidth="1"/>
    <col min="11" max="18" width="13.85546875" style="9" bestFit="1" customWidth="1"/>
    <col min="19" max="21" width="12.7109375" style="9" bestFit="1" customWidth="1"/>
    <col min="22" max="23" width="12.7109375" style="2" bestFit="1" customWidth="1"/>
    <col min="24" max="34" width="11.5703125" style="2" bestFit="1" customWidth="1"/>
    <col min="35" max="40" width="8.85546875" style="2" customWidth="1"/>
    <col min="41" max="16384" width="8.85546875" style="2"/>
  </cols>
  <sheetData>
    <row r="1" spans="1:41" s="1" customFormat="1" ht="21" customHeight="1">
      <c r="A1" s="3" t="str">
        <f>Control!$D$5</f>
        <v>EGRIDCap4</v>
      </c>
      <c r="B1" s="4"/>
      <c r="C1" s="4"/>
      <c r="D1" s="4"/>
      <c r="E1" s="4"/>
      <c r="F1" s="4"/>
      <c r="G1" s="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4"/>
      <c r="W1" s="4"/>
      <c r="X1" s="4"/>
      <c r="Y1" s="4"/>
      <c r="Z1" s="4"/>
      <c r="AA1" s="4"/>
      <c r="AB1" s="4"/>
      <c r="AC1" s="4"/>
      <c r="AD1" s="4"/>
    </row>
    <row r="2" spans="1:41" s="1" customFormat="1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4"/>
      <c r="W2" s="4"/>
      <c r="X2" s="4"/>
      <c r="Y2" s="4"/>
      <c r="Z2" s="4"/>
      <c r="AA2" s="4"/>
      <c r="AB2" s="4"/>
      <c r="AC2" s="4"/>
      <c r="AD2" s="4"/>
    </row>
    <row r="3" spans="1:41">
      <c r="I3" s="23" t="s">
        <v>63</v>
      </c>
      <c r="J3" s="24" t="s">
        <v>64</v>
      </c>
      <c r="K3" s="50">
        <v>2019</v>
      </c>
      <c r="L3" s="50">
        <v>2020</v>
      </c>
      <c r="M3" s="52">
        <v>2021</v>
      </c>
      <c r="N3" s="52">
        <v>2022</v>
      </c>
      <c r="O3" s="52">
        <v>2023</v>
      </c>
      <c r="P3" s="52">
        <v>2024</v>
      </c>
      <c r="Q3" s="53">
        <v>2025</v>
      </c>
      <c r="R3" s="53">
        <v>2027</v>
      </c>
      <c r="S3" s="53">
        <v>2030</v>
      </c>
      <c r="T3" s="53">
        <v>2032</v>
      </c>
      <c r="U3" s="53">
        <v>2035</v>
      </c>
      <c r="V3" s="53">
        <v>2040</v>
      </c>
      <c r="W3" s="53">
        <v>2045</v>
      </c>
      <c r="X3" s="53">
        <v>2050</v>
      </c>
      <c r="Y3" s="53">
        <v>2055</v>
      </c>
      <c r="Z3" s="53">
        <v>2060</v>
      </c>
      <c r="AA3" s="53">
        <v>2065</v>
      </c>
      <c r="AB3" s="53">
        <v>2070</v>
      </c>
      <c r="AC3" s="53">
        <v>2075</v>
      </c>
      <c r="AD3" s="53">
        <v>2080</v>
      </c>
      <c r="AE3" s="53">
        <v>2085</v>
      </c>
      <c r="AF3" s="53">
        <v>2090</v>
      </c>
      <c r="AG3" s="53">
        <v>2095</v>
      </c>
      <c r="AH3" s="53">
        <v>2100</v>
      </c>
    </row>
    <row r="4" spans="1:41">
      <c r="I4" s="23" t="s">
        <v>65</v>
      </c>
      <c r="J4" s="25" t="s">
        <v>66</v>
      </c>
      <c r="K4" s="61">
        <f>REF!C7</f>
        <v>140154812.05610499</v>
      </c>
      <c r="L4" s="61">
        <f>REF!D7</f>
        <v>116791046.108998</v>
      </c>
      <c r="M4" s="61">
        <f>REF!E7</f>
        <v>112077016.343172</v>
      </c>
      <c r="N4" s="61">
        <f>REF!F7</f>
        <v>107318707.19919799</v>
      </c>
      <c r="O4" s="61">
        <f>REF!G7</f>
        <v>102689163.055683</v>
      </c>
      <c r="P4" s="61">
        <f>REF!H7</f>
        <v>98021451.440976396</v>
      </c>
      <c r="Q4" s="61">
        <f>REF!I7</f>
        <v>93480478.671731204</v>
      </c>
      <c r="R4" s="61">
        <f>REF!J7</f>
        <v>86474337.627169803</v>
      </c>
      <c r="S4" s="61">
        <f>REF!K7</f>
        <v>75821479.754730001</v>
      </c>
      <c r="T4" s="61">
        <f>REF!L7</f>
        <v>71157763.993582502</v>
      </c>
      <c r="U4" s="61">
        <f>REF!M7</f>
        <v>63660712.455233797</v>
      </c>
      <c r="V4" s="61">
        <f>REF!N7</f>
        <v>65309850.055936299</v>
      </c>
      <c r="W4" s="61">
        <f>REF!O7</f>
        <v>63123238.426998101</v>
      </c>
      <c r="X4" s="61">
        <f>REF!P7</f>
        <v>59738128.290830702</v>
      </c>
      <c r="Y4" s="61">
        <f>REF!Q7</f>
        <v>61105984.711081602</v>
      </c>
      <c r="Z4" s="61">
        <f>REF!R7</f>
        <v>45114583.242229298</v>
      </c>
      <c r="AA4" s="61">
        <f>REF!S7</f>
        <v>24614500.1746393</v>
      </c>
      <c r="AB4" s="61">
        <f>REF!T7</f>
        <v>8473768.1908869799</v>
      </c>
      <c r="AC4" s="61">
        <f>REF!U7</f>
        <v>8542059.3846182991</v>
      </c>
      <c r="AD4" s="61">
        <f>REF!V7</f>
        <v>8555461.2272646893</v>
      </c>
      <c r="AE4" s="61">
        <f>REF!W7</f>
        <v>8565567.2929799892</v>
      </c>
      <c r="AF4" s="61">
        <f>REF!X7</f>
        <v>8677311.3460372202</v>
      </c>
      <c r="AG4" s="61">
        <f>REF!Y7</f>
        <v>8714429.1983445492</v>
      </c>
      <c r="AH4" s="61">
        <f>REF!Z7</f>
        <v>8727202.7895567808</v>
      </c>
    </row>
    <row r="5" spans="1:41">
      <c r="I5" s="23" t="s">
        <v>67</v>
      </c>
      <c r="J5" s="26" t="s">
        <v>66</v>
      </c>
      <c r="K5" s="62">
        <f>'NZ50'!I8</f>
        <v>140154812.05610499</v>
      </c>
      <c r="L5" s="62">
        <f>'NZ50'!J8</f>
        <v>135859745.2350308</v>
      </c>
      <c r="M5" s="62">
        <f>'NZ50'!K8</f>
        <v>131564678.41395661</v>
      </c>
      <c r="N5" s="62">
        <f>'NZ50'!L8</f>
        <v>127269611.59288242</v>
      </c>
      <c r="O5" s="62">
        <f>'NZ50'!M8</f>
        <v>122974544.77180825</v>
      </c>
      <c r="P5" s="62">
        <f>'NZ50'!N8</f>
        <v>118679477.95073406</v>
      </c>
      <c r="Q5" s="62">
        <f>'NZ50'!O8</f>
        <v>114384411.12965988</v>
      </c>
      <c r="R5" s="62">
        <f>'NZ50'!P8</f>
        <v>105794277.48751152</v>
      </c>
      <c r="S5" s="62">
        <f>'NZ50'!Q8</f>
        <v>92909077.024288952</v>
      </c>
      <c r="T5" s="62">
        <f>'NZ50'!R8</f>
        <v>84318943.382140577</v>
      </c>
      <c r="U5" s="62">
        <f>'NZ50'!S8</f>
        <v>71433742.918918028</v>
      </c>
      <c r="V5" s="62">
        <f>'NZ50'!T8</f>
        <v>49958408.813547105</v>
      </c>
      <c r="W5" s="62">
        <f>'NZ50'!U8</f>
        <v>28483074.708176181</v>
      </c>
      <c r="X5" s="62">
        <f>'NZ50'!V8</f>
        <v>7007740.6028052559</v>
      </c>
      <c r="Y5" s="62">
        <f>'NZ50'!W8</f>
        <v>7007740.6028052559</v>
      </c>
      <c r="Z5" s="62">
        <f>'NZ50'!X8</f>
        <v>7007740.6028052559</v>
      </c>
      <c r="AA5" s="62">
        <f>'NZ50'!Y8</f>
        <v>7007740.6028052559</v>
      </c>
      <c r="AB5" s="62">
        <f>'NZ50'!Z8</f>
        <v>7007740.6028052559</v>
      </c>
      <c r="AC5" s="62">
        <f>'NZ50'!AA8</f>
        <v>7007740.6028052559</v>
      </c>
      <c r="AD5" s="62">
        <f>'NZ50'!AB8</f>
        <v>7007740.6028052559</v>
      </c>
      <c r="AE5" s="62">
        <f>'NZ50'!AC8</f>
        <v>7007740.6028052559</v>
      </c>
      <c r="AF5" s="62">
        <f>'NZ50'!AD8</f>
        <v>7007740.6028052559</v>
      </c>
      <c r="AG5" s="62">
        <f>'NZ50'!AE8</f>
        <v>7007740.6028052559</v>
      </c>
      <c r="AH5" s="62">
        <f>'NZ50'!AF8</f>
        <v>7007740.6028052559</v>
      </c>
    </row>
    <row r="6" spans="1:41">
      <c r="B6" s="10" t="s">
        <v>83</v>
      </c>
      <c r="C6" s="6"/>
      <c r="D6" s="6"/>
      <c r="E6" s="6"/>
      <c r="F6" s="7"/>
      <c r="G6" s="8"/>
      <c r="V6" s="4"/>
      <c r="W6" s="4"/>
      <c r="X6" s="4"/>
      <c r="Y6" s="4"/>
      <c r="Z6" s="4"/>
      <c r="AA6" s="4"/>
      <c r="AB6" s="4"/>
      <c r="AC6" s="4"/>
      <c r="AD6" s="4"/>
      <c r="AE6" s="1"/>
    </row>
    <row r="7" spans="1:41">
      <c r="B7" s="6"/>
      <c r="C7" s="6"/>
      <c r="D7" s="6"/>
      <c r="E7" s="6"/>
      <c r="F7" s="7"/>
      <c r="G7" s="8"/>
      <c r="J7" s="23"/>
      <c r="K7" s="50">
        <v>2019</v>
      </c>
      <c r="L7" s="50">
        <v>2020</v>
      </c>
      <c r="M7" s="52">
        <v>2021</v>
      </c>
      <c r="N7" s="52">
        <v>2022</v>
      </c>
      <c r="O7" s="52">
        <v>2023</v>
      </c>
      <c r="P7" s="52">
        <v>2024</v>
      </c>
      <c r="Q7" s="53">
        <v>2025</v>
      </c>
      <c r="R7" s="53">
        <v>2027</v>
      </c>
      <c r="S7" s="53">
        <v>2030</v>
      </c>
      <c r="T7" s="53">
        <v>2032</v>
      </c>
      <c r="U7" s="53">
        <v>2035</v>
      </c>
      <c r="V7" s="53">
        <v>2040</v>
      </c>
      <c r="W7" s="53">
        <v>2045</v>
      </c>
      <c r="X7" s="53">
        <v>2050</v>
      </c>
      <c r="Y7" s="53">
        <v>2055</v>
      </c>
      <c r="Z7" s="53">
        <v>2060</v>
      </c>
      <c r="AA7" s="53">
        <v>2065</v>
      </c>
      <c r="AB7" s="53">
        <v>2070</v>
      </c>
      <c r="AC7" s="53">
        <v>2075</v>
      </c>
      <c r="AD7" s="53">
        <v>2080</v>
      </c>
      <c r="AE7" s="53">
        <v>2085</v>
      </c>
      <c r="AF7" s="53">
        <v>2090</v>
      </c>
      <c r="AG7" s="53">
        <v>2095</v>
      </c>
      <c r="AH7" s="53">
        <v>2100</v>
      </c>
      <c r="AO7" s="50"/>
    </row>
    <row r="8" spans="1:41">
      <c r="B8" s="11"/>
      <c r="C8" s="11"/>
      <c r="D8" s="12" t="s">
        <v>69</v>
      </c>
      <c r="E8" s="11"/>
      <c r="F8" s="13"/>
      <c r="G8" s="8"/>
      <c r="J8" s="23" t="s">
        <v>4</v>
      </c>
      <c r="K8" s="63">
        <f>K$4</f>
        <v>140154812.05610499</v>
      </c>
      <c r="L8" s="63">
        <f>L$4</f>
        <v>116791046.108998</v>
      </c>
      <c r="M8" s="63">
        <f>M$4</f>
        <v>112077016.343172</v>
      </c>
      <c r="N8" s="63">
        <f t="shared" ref="N8:AH8" si="0">N4</f>
        <v>107318707.19919799</v>
      </c>
      <c r="O8" s="63">
        <f t="shared" si="0"/>
        <v>102689163.055683</v>
      </c>
      <c r="P8" s="63">
        <f t="shared" si="0"/>
        <v>98021451.440976396</v>
      </c>
      <c r="Q8" s="63">
        <f t="shared" si="0"/>
        <v>93480478.671731204</v>
      </c>
      <c r="R8" s="63">
        <f t="shared" si="0"/>
        <v>86474337.627169803</v>
      </c>
      <c r="S8" s="63">
        <f t="shared" si="0"/>
        <v>75821479.754730001</v>
      </c>
      <c r="T8" s="63">
        <f t="shared" si="0"/>
        <v>71157763.993582502</v>
      </c>
      <c r="U8" s="63">
        <f t="shared" si="0"/>
        <v>63660712.455233797</v>
      </c>
      <c r="V8" s="63">
        <f t="shared" si="0"/>
        <v>65309850.055936299</v>
      </c>
      <c r="W8" s="63">
        <f t="shared" si="0"/>
        <v>63123238.426998101</v>
      </c>
      <c r="X8" s="63">
        <f t="shared" si="0"/>
        <v>59738128.290830702</v>
      </c>
      <c r="Y8" s="63">
        <f t="shared" si="0"/>
        <v>61105984.711081602</v>
      </c>
      <c r="Z8" s="63">
        <f t="shared" si="0"/>
        <v>45114583.242229298</v>
      </c>
      <c r="AA8" s="63">
        <f t="shared" si="0"/>
        <v>24614500.1746393</v>
      </c>
      <c r="AB8" s="63">
        <f t="shared" si="0"/>
        <v>8473768.1908869799</v>
      </c>
      <c r="AC8" s="63">
        <f t="shared" si="0"/>
        <v>8542059.3846182991</v>
      </c>
      <c r="AD8" s="63">
        <f t="shared" si="0"/>
        <v>8555461.2272646893</v>
      </c>
      <c r="AE8" s="63">
        <f t="shared" si="0"/>
        <v>8565567.2929799892</v>
      </c>
      <c r="AF8" s="63">
        <f t="shared" si="0"/>
        <v>8677311.3460372202</v>
      </c>
      <c r="AG8" s="63">
        <f t="shared" si="0"/>
        <v>8714429.1983445492</v>
      </c>
      <c r="AH8" s="63">
        <f t="shared" si="0"/>
        <v>8727202.7895567808</v>
      </c>
      <c r="AO8" s="50"/>
    </row>
    <row r="9" spans="1:41" ht="15.75" customHeight="1" thickBot="1">
      <c r="B9" s="14" t="s">
        <v>70</v>
      </c>
      <c r="C9" s="14" t="s">
        <v>71</v>
      </c>
      <c r="D9" s="15" t="s">
        <v>72</v>
      </c>
      <c r="E9" s="16" t="s">
        <v>73</v>
      </c>
      <c r="F9" s="17" t="s">
        <v>74</v>
      </c>
      <c r="G9" s="18" t="s">
        <v>75</v>
      </c>
      <c r="J9" s="23" t="s">
        <v>6</v>
      </c>
      <c r="K9" s="64">
        <f t="shared" ref="K9:K37" si="1">K8-K$42</f>
        <v>140154812.05610499</v>
      </c>
      <c r="L9" s="64">
        <f t="shared" ref="L9:L37" si="2">L8-L$42</f>
        <v>117472071.07778488</v>
      </c>
      <c r="M9" s="64">
        <f t="shared" ref="M9:M37" si="3">M8-M$42</f>
        <v>112773004.27427144</v>
      </c>
      <c r="N9" s="64">
        <f t="shared" ref="N9:N37" si="4">N8-N$42</f>
        <v>108031239.49897243</v>
      </c>
      <c r="O9" s="64">
        <f t="shared" ref="O9:O37" si="5">O8-O$42</f>
        <v>103413640.97411604</v>
      </c>
      <c r="P9" s="64">
        <f t="shared" ref="P9:P37" si="6">P8-P$42</f>
        <v>98759238.102039173</v>
      </c>
      <c r="Q9" s="64">
        <f t="shared" ref="Q9:Q37" si="7">Q8-Q$42</f>
        <v>94227047.688085794</v>
      </c>
      <c r="R9" s="64">
        <f t="shared" ref="R9:R37" si="8">R8-R$42</f>
        <v>87164335.479324862</v>
      </c>
      <c r="S9" s="64">
        <f t="shared" ref="S9:S37" si="9">S8-S$42</f>
        <v>76431751.085785672</v>
      </c>
      <c r="T9" s="64">
        <f t="shared" ref="T9:T37" si="10">T8-T$42</f>
        <v>71627806.114602432</v>
      </c>
      <c r="U9" s="64">
        <f t="shared" ref="U9:U37" si="11">U8-U$42</f>
        <v>63938320.686079666</v>
      </c>
      <c r="V9" s="64">
        <f t="shared" ref="V9:V37" si="12">V8-V$42</f>
        <v>64761584.297279544</v>
      </c>
      <c r="W9" s="64">
        <f t="shared" ref="W9:W37" si="13">W8-W$42</f>
        <v>61886089.722754464</v>
      </c>
      <c r="X9" s="64">
        <f t="shared" ref="X9:X37" si="14">X8-X$42</f>
        <v>57854900.159115508</v>
      </c>
      <c r="Y9" s="64">
        <f t="shared" ref="Y9:Y37" si="15">Y8-Y$42</f>
        <v>59173904.564357445</v>
      </c>
      <c r="Z9" s="64">
        <f t="shared" ref="Z9:Z37" si="16">Z8-Z$42</f>
        <v>43753624.576535583</v>
      </c>
      <c r="AA9" s="64">
        <f t="shared" ref="AA9:AA37" si="17">AA8-AA$42</f>
        <v>23985687.332788084</v>
      </c>
      <c r="AB9" s="64">
        <f t="shared" ref="AB9:AB37" si="18">AB8-AB$42</f>
        <v>8421410.0627412032</v>
      </c>
      <c r="AC9" s="64">
        <f t="shared" ref="AC9:AC37" si="19">AC8-AC$42</f>
        <v>8487262.2852678336</v>
      </c>
      <c r="AD9" s="64">
        <f t="shared" ref="AD9:AD37" si="20">AD8-AD$42</f>
        <v>8500185.4906768519</v>
      </c>
      <c r="AE9" s="64">
        <f t="shared" ref="AE9:AE37" si="21">AE8-AE$42</f>
        <v>8509930.6254737489</v>
      </c>
      <c r="AF9" s="64">
        <f t="shared" ref="AF9:AF37" si="22">AF8-AF$42</f>
        <v>8617683.8194932211</v>
      </c>
      <c r="AG9" s="64">
        <f t="shared" ref="AG9:AG37" si="23">AG8-AG$42</f>
        <v>8653476.0342181455</v>
      </c>
      <c r="AH9" s="64">
        <f t="shared" ref="AH9:AH37" si="24">AH8-AH$42</f>
        <v>8665793.4257442262</v>
      </c>
      <c r="AO9" s="52"/>
    </row>
    <row r="10" spans="1:41">
      <c r="B10" s="19" t="str">
        <f>"UC_"&amp;$A$1</f>
        <v>UC_EGRIDCap4</v>
      </c>
      <c r="C10" s="20" t="s">
        <v>66</v>
      </c>
      <c r="D10" s="56">
        <v>2020</v>
      </c>
      <c r="E10" s="21">
        <v>1</v>
      </c>
      <c r="F10" s="65">
        <f ca="1">IFERROR(OFFSET($L$7,MATCH(EGRID!$A$1,EGRID!$J$8:$J$38,0),0),"")</f>
        <v>118834121.01535864</v>
      </c>
      <c r="G10" s="22">
        <v>15</v>
      </c>
      <c r="J10" s="23" t="s">
        <v>8</v>
      </c>
      <c r="K10" s="64">
        <f t="shared" si="1"/>
        <v>140154812.05610499</v>
      </c>
      <c r="L10" s="64">
        <f t="shared" si="2"/>
        <v>118153096.04657176</v>
      </c>
      <c r="M10" s="64">
        <f t="shared" si="3"/>
        <v>113468992.20537089</v>
      </c>
      <c r="N10" s="64">
        <f t="shared" si="4"/>
        <v>108743771.79874687</v>
      </c>
      <c r="O10" s="64">
        <f t="shared" si="5"/>
        <v>104138118.89254908</v>
      </c>
      <c r="P10" s="64">
        <f t="shared" si="6"/>
        <v>99497024.76310195</v>
      </c>
      <c r="Q10" s="64">
        <f t="shared" si="7"/>
        <v>94973616.704440385</v>
      </c>
      <c r="R10" s="64">
        <f t="shared" si="8"/>
        <v>87854333.331479922</v>
      </c>
      <c r="S10" s="64">
        <f t="shared" si="9"/>
        <v>77042022.416841343</v>
      </c>
      <c r="T10" s="64">
        <f t="shared" si="10"/>
        <v>72097848.235622361</v>
      </c>
      <c r="U10" s="64">
        <f t="shared" si="11"/>
        <v>64215928.916925535</v>
      </c>
      <c r="V10" s="64">
        <f t="shared" si="12"/>
        <v>64213318.538622789</v>
      </c>
      <c r="W10" s="64">
        <f t="shared" si="13"/>
        <v>60648941.018510826</v>
      </c>
      <c r="X10" s="64">
        <f t="shared" si="14"/>
        <v>55971672.027400315</v>
      </c>
      <c r="Y10" s="64">
        <f t="shared" si="15"/>
        <v>57241824.417633288</v>
      </c>
      <c r="Z10" s="64">
        <f t="shared" si="16"/>
        <v>42392665.910841867</v>
      </c>
      <c r="AA10" s="64">
        <f t="shared" si="17"/>
        <v>23356874.490936868</v>
      </c>
      <c r="AB10" s="64">
        <f t="shared" si="18"/>
        <v>8369051.9345954275</v>
      </c>
      <c r="AC10" s="64">
        <f t="shared" si="19"/>
        <v>8432465.1859173682</v>
      </c>
      <c r="AD10" s="64">
        <f t="shared" si="20"/>
        <v>8444909.7540890146</v>
      </c>
      <c r="AE10" s="64">
        <f t="shared" si="21"/>
        <v>8454293.9579675086</v>
      </c>
      <c r="AF10" s="64">
        <f t="shared" si="22"/>
        <v>8558056.292949222</v>
      </c>
      <c r="AG10" s="64">
        <f t="shared" si="23"/>
        <v>8592522.8700917419</v>
      </c>
      <c r="AH10" s="64">
        <f t="shared" si="24"/>
        <v>8604384.0619316716</v>
      </c>
      <c r="AO10" s="52"/>
    </row>
    <row r="11" spans="1:41">
      <c r="B11" s="19"/>
      <c r="C11" s="20" t="s">
        <v>66</v>
      </c>
      <c r="D11" s="56">
        <v>2021</v>
      </c>
      <c r="E11" s="21">
        <v>1</v>
      </c>
      <c r="F11" s="65">
        <f ca="1">IFERROR(OFFSET($M$7,MATCH(EGRID!$A$1,EGRID!$J$8:$J$38,0),0),"")</f>
        <v>114164980.13647033</v>
      </c>
      <c r="G11" s="22"/>
      <c r="J11" s="23" t="s">
        <v>10</v>
      </c>
      <c r="K11" s="64">
        <f t="shared" si="1"/>
        <v>140154812.05610499</v>
      </c>
      <c r="L11" s="64">
        <f t="shared" si="2"/>
        <v>118834121.01535864</v>
      </c>
      <c r="M11" s="64">
        <f t="shared" si="3"/>
        <v>114164980.13647033</v>
      </c>
      <c r="N11" s="64">
        <f t="shared" si="4"/>
        <v>109456304.09852131</v>
      </c>
      <c r="O11" s="64">
        <f t="shared" si="5"/>
        <v>104862596.81098212</v>
      </c>
      <c r="P11" s="64">
        <f t="shared" si="6"/>
        <v>100234811.42416473</v>
      </c>
      <c r="Q11" s="64">
        <f t="shared" si="7"/>
        <v>95720185.720794976</v>
      </c>
      <c r="R11" s="64">
        <f t="shared" si="8"/>
        <v>88544331.183634982</v>
      </c>
      <c r="S11" s="64">
        <f t="shared" si="9"/>
        <v>77652293.747897014</v>
      </c>
      <c r="T11" s="64">
        <f t="shared" si="10"/>
        <v>72567890.356642291</v>
      </c>
      <c r="U11" s="64">
        <f t="shared" si="11"/>
        <v>64493537.147771403</v>
      </c>
      <c r="V11" s="64">
        <f t="shared" si="12"/>
        <v>63665052.779966034</v>
      </c>
      <c r="W11" s="64">
        <f t="shared" si="13"/>
        <v>59411792.314267188</v>
      </c>
      <c r="X11" s="64">
        <f t="shared" si="14"/>
        <v>54088443.895685121</v>
      </c>
      <c r="Y11" s="64">
        <f t="shared" si="15"/>
        <v>55309744.270909131</v>
      </c>
      <c r="Z11" s="64">
        <f t="shared" si="16"/>
        <v>41031707.245148152</v>
      </c>
      <c r="AA11" s="64">
        <f t="shared" si="17"/>
        <v>22728061.649085652</v>
      </c>
      <c r="AB11" s="64">
        <f t="shared" si="18"/>
        <v>8316693.8064496517</v>
      </c>
      <c r="AC11" s="64">
        <f t="shared" si="19"/>
        <v>8377668.0865669027</v>
      </c>
      <c r="AD11" s="64">
        <f t="shared" si="20"/>
        <v>8389634.0175011773</v>
      </c>
      <c r="AE11" s="64">
        <f t="shared" si="21"/>
        <v>8398657.2904612683</v>
      </c>
      <c r="AF11" s="64">
        <f t="shared" si="22"/>
        <v>8498428.7664052229</v>
      </c>
      <c r="AG11" s="64">
        <f t="shared" si="23"/>
        <v>8531569.7059653383</v>
      </c>
      <c r="AH11" s="64">
        <f t="shared" si="24"/>
        <v>8542974.6981191169</v>
      </c>
      <c r="AO11" s="52"/>
    </row>
    <row r="12" spans="1:41">
      <c r="B12" s="19"/>
      <c r="C12" s="20" t="s">
        <v>66</v>
      </c>
      <c r="D12" s="56">
        <v>2022</v>
      </c>
      <c r="E12" s="21">
        <v>1</v>
      </c>
      <c r="F12" s="65">
        <f ca="1">IFERROR(OFFSET($N$7,MATCH(EGRID!$A$1,EGRID!$J$8:$J$38,0),0),"")</f>
        <v>109456304.09852131</v>
      </c>
      <c r="G12" s="22"/>
      <c r="J12" s="23" t="s">
        <v>12</v>
      </c>
      <c r="K12" s="64">
        <f t="shared" si="1"/>
        <v>140154812.05610499</v>
      </c>
      <c r="L12" s="64">
        <f t="shared" si="2"/>
        <v>119515145.98414552</v>
      </c>
      <c r="M12" s="64">
        <f t="shared" si="3"/>
        <v>114860968.06756978</v>
      </c>
      <c r="N12" s="64">
        <f t="shared" si="4"/>
        <v>110168836.39829575</v>
      </c>
      <c r="O12" s="64">
        <f t="shared" si="5"/>
        <v>105587074.72941516</v>
      </c>
      <c r="P12" s="64">
        <f t="shared" si="6"/>
        <v>100972598.0852275</v>
      </c>
      <c r="Q12" s="64">
        <f t="shared" si="7"/>
        <v>96466754.737149566</v>
      </c>
      <c r="R12" s="64">
        <f t="shared" si="8"/>
        <v>89234329.035790041</v>
      </c>
      <c r="S12" s="64">
        <f t="shared" si="9"/>
        <v>78262565.078952685</v>
      </c>
      <c r="T12" s="64">
        <f t="shared" si="10"/>
        <v>73037932.477662221</v>
      </c>
      <c r="U12" s="64">
        <f t="shared" si="11"/>
        <v>64771145.378617272</v>
      </c>
      <c r="V12" s="64">
        <f t="shared" si="12"/>
        <v>63116787.021309279</v>
      </c>
      <c r="W12" s="64">
        <f t="shared" si="13"/>
        <v>58174643.610023551</v>
      </c>
      <c r="X12" s="64">
        <f t="shared" si="14"/>
        <v>52205215.763969928</v>
      </c>
      <c r="Y12" s="64">
        <f t="shared" si="15"/>
        <v>53377664.124184974</v>
      </c>
      <c r="Z12" s="64">
        <f t="shared" si="16"/>
        <v>39670748.579454437</v>
      </c>
      <c r="AA12" s="64">
        <f t="shared" si="17"/>
        <v>22099248.807234436</v>
      </c>
      <c r="AB12" s="64">
        <f t="shared" si="18"/>
        <v>8264335.678303876</v>
      </c>
      <c r="AC12" s="64">
        <f t="shared" si="19"/>
        <v>8322870.9872164372</v>
      </c>
      <c r="AD12" s="64">
        <f t="shared" si="20"/>
        <v>8334358.2809133399</v>
      </c>
      <c r="AE12" s="64">
        <f t="shared" si="21"/>
        <v>8343020.622955028</v>
      </c>
      <c r="AF12" s="64">
        <f t="shared" si="22"/>
        <v>8438801.2398612238</v>
      </c>
      <c r="AG12" s="64">
        <f t="shared" si="23"/>
        <v>8470616.5418389346</v>
      </c>
      <c r="AH12" s="64">
        <f t="shared" si="24"/>
        <v>8481565.3343065623</v>
      </c>
      <c r="AO12" s="52"/>
    </row>
    <row r="13" spans="1:41">
      <c r="B13" s="19"/>
      <c r="C13" s="20" t="s">
        <v>66</v>
      </c>
      <c r="D13" s="56">
        <v>2023</v>
      </c>
      <c r="E13" s="21">
        <v>1</v>
      </c>
      <c r="F13" s="65">
        <f ca="1">IFERROR(OFFSET($O$7,MATCH(EGRID!$A$1,EGRID!$J$8:$J$38,0),0),"")</f>
        <v>104862596.81098212</v>
      </c>
      <c r="G13" s="22"/>
      <c r="J13" s="23" t="s">
        <v>14</v>
      </c>
      <c r="K13" s="64">
        <f t="shared" si="1"/>
        <v>140154812.05610499</v>
      </c>
      <c r="L13" s="64">
        <f t="shared" si="2"/>
        <v>120196170.9529324</v>
      </c>
      <c r="M13" s="64">
        <f t="shared" si="3"/>
        <v>115556955.99866922</v>
      </c>
      <c r="N13" s="64">
        <f t="shared" si="4"/>
        <v>110881368.69807018</v>
      </c>
      <c r="O13" s="64">
        <f t="shared" si="5"/>
        <v>106311552.6478482</v>
      </c>
      <c r="P13" s="64">
        <f t="shared" si="6"/>
        <v>101710384.74629028</v>
      </c>
      <c r="Q13" s="64">
        <f t="shared" si="7"/>
        <v>97213323.753504157</v>
      </c>
      <c r="R13" s="64">
        <f t="shared" si="8"/>
        <v>89924326.887945101</v>
      </c>
      <c r="S13" s="64">
        <f t="shared" si="9"/>
        <v>78872836.410008356</v>
      </c>
      <c r="T13" s="64">
        <f t="shared" si="10"/>
        <v>73507974.59868215</v>
      </c>
      <c r="U13" s="64">
        <f t="shared" si="11"/>
        <v>65048753.60946314</v>
      </c>
      <c r="V13" s="64">
        <f t="shared" si="12"/>
        <v>62568521.262652524</v>
      </c>
      <c r="W13" s="64">
        <f t="shared" si="13"/>
        <v>56937494.905779913</v>
      </c>
      <c r="X13" s="64">
        <f t="shared" si="14"/>
        <v>50321987.632254735</v>
      </c>
      <c r="Y13" s="64">
        <f t="shared" si="15"/>
        <v>51445583.977460817</v>
      </c>
      <c r="Z13" s="64">
        <f t="shared" si="16"/>
        <v>38309789.913760722</v>
      </c>
      <c r="AA13" s="64">
        <f t="shared" si="17"/>
        <v>21470435.96538322</v>
      </c>
      <c r="AB13" s="64">
        <f t="shared" si="18"/>
        <v>8211977.5501581002</v>
      </c>
      <c r="AC13" s="64">
        <f t="shared" si="19"/>
        <v>8268073.8878659718</v>
      </c>
      <c r="AD13" s="64">
        <f t="shared" si="20"/>
        <v>8279082.5443255026</v>
      </c>
      <c r="AE13" s="64">
        <f t="shared" si="21"/>
        <v>8287383.9554487877</v>
      </c>
      <c r="AF13" s="64">
        <f t="shared" si="22"/>
        <v>8379173.7133172248</v>
      </c>
      <c r="AG13" s="64">
        <f t="shared" si="23"/>
        <v>8409663.377712531</v>
      </c>
      <c r="AH13" s="64">
        <f t="shared" si="24"/>
        <v>8420155.9704940077</v>
      </c>
      <c r="AO13" s="53"/>
    </row>
    <row r="14" spans="1:41">
      <c r="B14" s="19"/>
      <c r="C14" s="20" t="s">
        <v>66</v>
      </c>
      <c r="D14" s="56">
        <v>2024</v>
      </c>
      <c r="E14" s="21">
        <v>1</v>
      </c>
      <c r="F14" s="65">
        <f ca="1">IFERROR(OFFSET($P$7,MATCH(EGRID!$A$1,EGRID!$J$8:$J$38,0),0),"")</f>
        <v>100234811.42416473</v>
      </c>
      <c r="G14" s="22"/>
      <c r="J14" s="23" t="s">
        <v>16</v>
      </c>
      <c r="K14" s="64">
        <f t="shared" si="1"/>
        <v>140154812.05610499</v>
      </c>
      <c r="L14" s="64">
        <f t="shared" si="2"/>
        <v>120877195.92171928</v>
      </c>
      <c r="M14" s="64">
        <f t="shared" si="3"/>
        <v>116252943.92976867</v>
      </c>
      <c r="N14" s="64">
        <f t="shared" si="4"/>
        <v>111593900.99784462</v>
      </c>
      <c r="O14" s="64">
        <f t="shared" si="5"/>
        <v>107036030.56628124</v>
      </c>
      <c r="P14" s="64">
        <f t="shared" si="6"/>
        <v>102448171.40735306</v>
      </c>
      <c r="Q14" s="64">
        <f t="shared" si="7"/>
        <v>97959892.769858748</v>
      </c>
      <c r="R14" s="64">
        <f t="shared" si="8"/>
        <v>90614324.74010016</v>
      </c>
      <c r="S14" s="64">
        <f t="shared" si="9"/>
        <v>79483107.741064027</v>
      </c>
      <c r="T14" s="64">
        <f t="shared" si="10"/>
        <v>73978016.71970208</v>
      </c>
      <c r="U14" s="64">
        <f t="shared" si="11"/>
        <v>65326361.840309009</v>
      </c>
      <c r="V14" s="64">
        <f t="shared" si="12"/>
        <v>62020255.503995769</v>
      </c>
      <c r="W14" s="64">
        <f t="shared" si="13"/>
        <v>55700346.201536275</v>
      </c>
      <c r="X14" s="64">
        <f t="shared" si="14"/>
        <v>48438759.500539541</v>
      </c>
      <c r="Y14" s="64">
        <f t="shared" si="15"/>
        <v>49513503.830736659</v>
      </c>
      <c r="Z14" s="64">
        <f t="shared" si="16"/>
        <v>36948831.248067006</v>
      </c>
      <c r="AA14" s="64">
        <f t="shared" si="17"/>
        <v>20841623.123532005</v>
      </c>
      <c r="AB14" s="64">
        <f t="shared" si="18"/>
        <v>8159619.4220123244</v>
      </c>
      <c r="AC14" s="64">
        <f t="shared" si="19"/>
        <v>8213276.7885155063</v>
      </c>
      <c r="AD14" s="64">
        <f t="shared" si="20"/>
        <v>8223806.8077376653</v>
      </c>
      <c r="AE14" s="64">
        <f t="shared" si="21"/>
        <v>8231747.2879425474</v>
      </c>
      <c r="AF14" s="64">
        <f t="shared" si="22"/>
        <v>8319546.1867732257</v>
      </c>
      <c r="AG14" s="64">
        <f t="shared" si="23"/>
        <v>8348710.2135861274</v>
      </c>
      <c r="AH14" s="64">
        <f t="shared" si="24"/>
        <v>8358746.6066814531</v>
      </c>
      <c r="AO14" s="53"/>
    </row>
    <row r="15" spans="1:41">
      <c r="B15" s="19"/>
      <c r="C15" s="20" t="s">
        <v>66</v>
      </c>
      <c r="D15" s="56">
        <v>2025</v>
      </c>
      <c r="E15" s="21">
        <v>1</v>
      </c>
      <c r="F15" s="65">
        <f ca="1">IFERROR(OFFSET($Q$7,MATCH(EGRID!$A$1,EGRID!$J$8:$J$38,0),0),"")</f>
        <v>95720185.720794976</v>
      </c>
      <c r="G15" s="22"/>
      <c r="J15" s="23" t="s">
        <v>18</v>
      </c>
      <c r="K15" s="64">
        <f t="shared" si="1"/>
        <v>140154812.05610499</v>
      </c>
      <c r="L15" s="64">
        <f t="shared" si="2"/>
        <v>121558220.89050616</v>
      </c>
      <c r="M15" s="64">
        <f t="shared" si="3"/>
        <v>116948931.86086811</v>
      </c>
      <c r="N15" s="64">
        <f t="shared" si="4"/>
        <v>112306433.29761906</v>
      </c>
      <c r="O15" s="64">
        <f t="shared" si="5"/>
        <v>107760508.48471428</v>
      </c>
      <c r="P15" s="64">
        <f t="shared" si="6"/>
        <v>103185958.06841584</v>
      </c>
      <c r="Q15" s="64">
        <f t="shared" si="7"/>
        <v>98706461.786213338</v>
      </c>
      <c r="R15" s="64">
        <f t="shared" si="8"/>
        <v>91304322.59225522</v>
      </c>
      <c r="S15" s="64">
        <f t="shared" si="9"/>
        <v>80093379.072119698</v>
      </c>
      <c r="T15" s="64">
        <f t="shared" si="10"/>
        <v>74448058.84072201</v>
      </c>
      <c r="U15" s="64">
        <f t="shared" si="11"/>
        <v>65603970.071154878</v>
      </c>
      <c r="V15" s="64">
        <f t="shared" si="12"/>
        <v>61471989.745339014</v>
      </c>
      <c r="W15" s="64">
        <f t="shared" si="13"/>
        <v>54463197.497292638</v>
      </c>
      <c r="X15" s="64">
        <f t="shared" si="14"/>
        <v>46555531.368824348</v>
      </c>
      <c r="Y15" s="64">
        <f t="shared" si="15"/>
        <v>47581423.684012502</v>
      </c>
      <c r="Z15" s="64">
        <f t="shared" si="16"/>
        <v>35587872.582373291</v>
      </c>
      <c r="AA15" s="64">
        <f t="shared" si="17"/>
        <v>20212810.281680789</v>
      </c>
      <c r="AB15" s="64">
        <f t="shared" si="18"/>
        <v>8107261.2938665487</v>
      </c>
      <c r="AC15" s="64">
        <f t="shared" si="19"/>
        <v>8158479.6891650409</v>
      </c>
      <c r="AD15" s="64">
        <f t="shared" si="20"/>
        <v>8168531.0711498279</v>
      </c>
      <c r="AE15" s="64">
        <f t="shared" si="21"/>
        <v>8176110.620436307</v>
      </c>
      <c r="AF15" s="64">
        <f t="shared" si="22"/>
        <v>8259918.6602292266</v>
      </c>
      <c r="AG15" s="64">
        <f t="shared" si="23"/>
        <v>8287757.0494597238</v>
      </c>
      <c r="AH15" s="64">
        <f t="shared" si="24"/>
        <v>8297337.2428688984</v>
      </c>
      <c r="AO15" s="53"/>
    </row>
    <row r="16" spans="1:41">
      <c r="A16" s="4"/>
      <c r="B16" s="19"/>
      <c r="C16" s="20" t="s">
        <v>66</v>
      </c>
      <c r="D16" s="56">
        <v>2027</v>
      </c>
      <c r="E16" s="21">
        <v>1</v>
      </c>
      <c r="F16" s="65">
        <f ca="1">IFERROR(OFFSET($R$7,MATCH(EGRID!$A$1,EGRID!$J$8:$J$38,0),0),"")</f>
        <v>88544331.183634982</v>
      </c>
      <c r="G16" s="22"/>
      <c r="J16" s="23" t="s">
        <v>20</v>
      </c>
      <c r="K16" s="64">
        <f t="shared" si="1"/>
        <v>140154812.05610499</v>
      </c>
      <c r="L16" s="64">
        <f t="shared" si="2"/>
        <v>122239245.85929304</v>
      </c>
      <c r="M16" s="64">
        <f t="shared" si="3"/>
        <v>117644919.79196756</v>
      </c>
      <c r="N16" s="64">
        <f t="shared" si="4"/>
        <v>113018965.5973935</v>
      </c>
      <c r="O16" s="64">
        <f t="shared" si="5"/>
        <v>108484986.40314732</v>
      </c>
      <c r="P16" s="64">
        <f t="shared" si="6"/>
        <v>103923744.72947861</v>
      </c>
      <c r="Q16" s="64">
        <f t="shared" si="7"/>
        <v>99453030.802567929</v>
      </c>
      <c r="R16" s="64">
        <f t="shared" si="8"/>
        <v>91994320.444410279</v>
      </c>
      <c r="S16" s="64">
        <f t="shared" si="9"/>
        <v>80703650.403175369</v>
      </c>
      <c r="T16" s="64">
        <f t="shared" si="10"/>
        <v>74918100.961741939</v>
      </c>
      <c r="U16" s="64">
        <f t="shared" si="11"/>
        <v>65881578.302000746</v>
      </c>
      <c r="V16" s="64">
        <f t="shared" si="12"/>
        <v>60923723.986682259</v>
      </c>
      <c r="W16" s="64">
        <f t="shared" si="13"/>
        <v>53226048.793049</v>
      </c>
      <c r="X16" s="64">
        <f t="shared" si="14"/>
        <v>44672303.237109154</v>
      </c>
      <c r="Y16" s="64">
        <f t="shared" si="15"/>
        <v>45649343.537288345</v>
      </c>
      <c r="Z16" s="64">
        <f t="shared" si="16"/>
        <v>34226913.916679576</v>
      </c>
      <c r="AA16" s="64">
        <f t="shared" si="17"/>
        <v>19583997.439829573</v>
      </c>
      <c r="AB16" s="64">
        <f t="shared" si="18"/>
        <v>8054903.1657207729</v>
      </c>
      <c r="AC16" s="64">
        <f t="shared" si="19"/>
        <v>8103682.5898145754</v>
      </c>
      <c r="AD16" s="64">
        <f t="shared" si="20"/>
        <v>8113255.3345619906</v>
      </c>
      <c r="AE16" s="64">
        <f t="shared" si="21"/>
        <v>8120473.9529300667</v>
      </c>
      <c r="AF16" s="64">
        <f t="shared" si="22"/>
        <v>8200291.1336852275</v>
      </c>
      <c r="AG16" s="64">
        <f t="shared" si="23"/>
        <v>8226803.8853333201</v>
      </c>
      <c r="AH16" s="64">
        <f t="shared" si="24"/>
        <v>8235927.8790563438</v>
      </c>
      <c r="AO16" s="53"/>
    </row>
    <row r="17" spans="1:41">
      <c r="A17" s="4"/>
      <c r="B17" s="19"/>
      <c r="C17" s="20" t="s">
        <v>66</v>
      </c>
      <c r="D17" s="56">
        <v>2030</v>
      </c>
      <c r="E17" s="21">
        <v>1</v>
      </c>
      <c r="F17" s="65">
        <f ca="1">IFERROR(OFFSET($S$7,MATCH(EGRID!$A$1,EGRID!$J$8:$J$38,0),0),"")</f>
        <v>77652293.747897014</v>
      </c>
      <c r="G17" s="22"/>
      <c r="J17" s="23" t="s">
        <v>22</v>
      </c>
      <c r="K17" s="64">
        <f t="shared" si="1"/>
        <v>140154812.05610499</v>
      </c>
      <c r="L17" s="64">
        <f t="shared" si="2"/>
        <v>122920270.82807992</v>
      </c>
      <c r="M17" s="64">
        <f t="shared" si="3"/>
        <v>118340907.723067</v>
      </c>
      <c r="N17" s="64">
        <f t="shared" si="4"/>
        <v>113731497.89716794</v>
      </c>
      <c r="O17" s="64">
        <f t="shared" si="5"/>
        <v>109209464.32158037</v>
      </c>
      <c r="P17" s="64">
        <f t="shared" si="6"/>
        <v>104661531.39054139</v>
      </c>
      <c r="Q17" s="64">
        <f t="shared" si="7"/>
        <v>100199599.81892252</v>
      </c>
      <c r="R17" s="64">
        <f t="shared" si="8"/>
        <v>92684318.296565339</v>
      </c>
      <c r="S17" s="64">
        <f t="shared" si="9"/>
        <v>81313921.73423104</v>
      </c>
      <c r="T17" s="64">
        <f t="shared" si="10"/>
        <v>75388143.082761869</v>
      </c>
      <c r="U17" s="64">
        <f t="shared" si="11"/>
        <v>66159186.532846615</v>
      </c>
      <c r="V17" s="64">
        <f t="shared" si="12"/>
        <v>60375458.228025503</v>
      </c>
      <c r="W17" s="64">
        <f t="shared" si="13"/>
        <v>51988900.088805363</v>
      </c>
      <c r="X17" s="64">
        <f t="shared" si="14"/>
        <v>42789075.105393961</v>
      </c>
      <c r="Y17" s="64">
        <f t="shared" si="15"/>
        <v>43717263.390564188</v>
      </c>
      <c r="Z17" s="64">
        <f t="shared" si="16"/>
        <v>32865955.250985861</v>
      </c>
      <c r="AA17" s="64">
        <f t="shared" si="17"/>
        <v>18955184.597978357</v>
      </c>
      <c r="AB17" s="64">
        <f t="shared" si="18"/>
        <v>8002545.0375749972</v>
      </c>
      <c r="AC17" s="64">
        <f t="shared" si="19"/>
        <v>8048885.4904641099</v>
      </c>
      <c r="AD17" s="64">
        <f t="shared" si="20"/>
        <v>8057979.5979741532</v>
      </c>
      <c r="AE17" s="64">
        <f t="shared" si="21"/>
        <v>8064837.2854238264</v>
      </c>
      <c r="AF17" s="64">
        <f t="shared" si="22"/>
        <v>8140663.6071412284</v>
      </c>
      <c r="AG17" s="64">
        <f t="shared" si="23"/>
        <v>8165850.7212069165</v>
      </c>
      <c r="AH17" s="64">
        <f t="shared" si="24"/>
        <v>8174518.5152437892</v>
      </c>
      <c r="AO17" s="53"/>
    </row>
    <row r="18" spans="1:41">
      <c r="A18" s="4"/>
      <c r="B18" s="19"/>
      <c r="C18" s="20" t="s">
        <v>66</v>
      </c>
      <c r="D18" s="56">
        <v>2032</v>
      </c>
      <c r="E18" s="21">
        <v>1</v>
      </c>
      <c r="F18" s="65">
        <f ca="1">IFERROR(OFFSET($T$7,MATCH(EGRID!$A$1,EGRID!$J$8:$J$38,0),0),"")</f>
        <v>72567890.356642291</v>
      </c>
      <c r="G18" s="22"/>
      <c r="J18" s="23" t="s">
        <v>24</v>
      </c>
      <c r="K18" s="64">
        <f t="shared" si="1"/>
        <v>140154812.05610499</v>
      </c>
      <c r="L18" s="64">
        <f t="shared" si="2"/>
        <v>123601295.7968668</v>
      </c>
      <c r="M18" s="64">
        <f t="shared" si="3"/>
        <v>119036895.65416645</v>
      </c>
      <c r="N18" s="64">
        <f t="shared" si="4"/>
        <v>114444030.19694237</v>
      </c>
      <c r="O18" s="64">
        <f t="shared" si="5"/>
        <v>109933942.24001341</v>
      </c>
      <c r="P18" s="64">
        <f t="shared" si="6"/>
        <v>105399318.05160417</v>
      </c>
      <c r="Q18" s="64">
        <f t="shared" si="7"/>
        <v>100946168.83527711</v>
      </c>
      <c r="R18" s="64">
        <f t="shared" si="8"/>
        <v>93374316.148720399</v>
      </c>
      <c r="S18" s="64">
        <f t="shared" si="9"/>
        <v>81924193.065286711</v>
      </c>
      <c r="T18" s="64">
        <f t="shared" si="10"/>
        <v>75858185.203781798</v>
      </c>
      <c r="U18" s="64">
        <f t="shared" si="11"/>
        <v>66436794.763692483</v>
      </c>
      <c r="V18" s="64">
        <f t="shared" si="12"/>
        <v>59827192.469368748</v>
      </c>
      <c r="W18" s="64">
        <f t="shared" si="13"/>
        <v>50751751.384561725</v>
      </c>
      <c r="X18" s="64">
        <f t="shared" si="14"/>
        <v>40905846.973678768</v>
      </c>
      <c r="Y18" s="64">
        <f t="shared" si="15"/>
        <v>41785183.243840031</v>
      </c>
      <c r="Z18" s="64">
        <f t="shared" si="16"/>
        <v>31504996.585292146</v>
      </c>
      <c r="AA18" s="64">
        <f t="shared" si="17"/>
        <v>18326371.756127141</v>
      </c>
      <c r="AB18" s="64">
        <f t="shared" si="18"/>
        <v>7950186.9094292214</v>
      </c>
      <c r="AC18" s="64">
        <f t="shared" si="19"/>
        <v>7994088.3911136445</v>
      </c>
      <c r="AD18" s="64">
        <f t="shared" si="20"/>
        <v>8002703.8613863159</v>
      </c>
      <c r="AE18" s="64">
        <f t="shared" si="21"/>
        <v>8009200.6179175861</v>
      </c>
      <c r="AF18" s="64">
        <f t="shared" si="22"/>
        <v>8081036.0805972293</v>
      </c>
      <c r="AG18" s="64">
        <f t="shared" si="23"/>
        <v>8104897.5570805129</v>
      </c>
      <c r="AH18" s="64">
        <f t="shared" si="24"/>
        <v>8113109.1514312346</v>
      </c>
      <c r="AO18" s="53"/>
    </row>
    <row r="19" spans="1:41">
      <c r="A19" s="4"/>
      <c r="B19" s="19"/>
      <c r="C19" s="20" t="s">
        <v>66</v>
      </c>
      <c r="D19" s="56">
        <v>2035</v>
      </c>
      <c r="E19" s="21">
        <v>1</v>
      </c>
      <c r="F19" s="65">
        <f ca="1">IFERROR(OFFSET($U$7,MATCH(EGRID!$A$1,EGRID!$J$8:$J$38,0),0),"")</f>
        <v>64493537.147771403</v>
      </c>
      <c r="G19" s="22"/>
      <c r="J19" s="23" t="s">
        <v>26</v>
      </c>
      <c r="K19" s="64">
        <f t="shared" si="1"/>
        <v>140154812.05610499</v>
      </c>
      <c r="L19" s="64">
        <f t="shared" si="2"/>
        <v>124282320.76565368</v>
      </c>
      <c r="M19" s="64">
        <f t="shared" si="3"/>
        <v>119732883.58526589</v>
      </c>
      <c r="N19" s="64">
        <f t="shared" si="4"/>
        <v>115156562.49671681</v>
      </c>
      <c r="O19" s="64">
        <f t="shared" si="5"/>
        <v>110658420.15844645</v>
      </c>
      <c r="P19" s="64">
        <f t="shared" si="6"/>
        <v>106137104.71266694</v>
      </c>
      <c r="Q19" s="64">
        <f t="shared" si="7"/>
        <v>101692737.8516317</v>
      </c>
      <c r="R19" s="64">
        <f t="shared" si="8"/>
        <v>94064314.000875458</v>
      </c>
      <c r="S19" s="64">
        <f t="shared" si="9"/>
        <v>82534464.396342382</v>
      </c>
      <c r="T19" s="64">
        <f t="shared" si="10"/>
        <v>76328227.324801728</v>
      </c>
      <c r="U19" s="64">
        <f t="shared" si="11"/>
        <v>66714402.994538352</v>
      </c>
      <c r="V19" s="64">
        <f t="shared" si="12"/>
        <v>59278926.710711993</v>
      </c>
      <c r="W19" s="64">
        <f t="shared" si="13"/>
        <v>49514602.680318087</v>
      </c>
      <c r="X19" s="64">
        <f t="shared" si="14"/>
        <v>39022618.841963574</v>
      </c>
      <c r="Y19" s="64">
        <f t="shared" si="15"/>
        <v>39853103.097115874</v>
      </c>
      <c r="Z19" s="64">
        <f t="shared" si="16"/>
        <v>30144037.91959843</v>
      </c>
      <c r="AA19" s="64">
        <f t="shared" si="17"/>
        <v>17697558.914275926</v>
      </c>
      <c r="AB19" s="64">
        <f t="shared" si="18"/>
        <v>7897828.7812834457</v>
      </c>
      <c r="AC19" s="64">
        <f t="shared" si="19"/>
        <v>7939291.291763179</v>
      </c>
      <c r="AD19" s="64">
        <f t="shared" si="20"/>
        <v>7947428.1247984786</v>
      </c>
      <c r="AE19" s="64">
        <f t="shared" si="21"/>
        <v>7953563.9504113458</v>
      </c>
      <c r="AF19" s="64">
        <f t="shared" si="22"/>
        <v>8021408.5540532302</v>
      </c>
      <c r="AG19" s="64">
        <f t="shared" si="23"/>
        <v>8043944.3929541092</v>
      </c>
      <c r="AH19" s="64">
        <f t="shared" si="24"/>
        <v>8051699.7876186799</v>
      </c>
      <c r="AO19" s="53"/>
    </row>
    <row r="20" spans="1:41">
      <c r="A20" s="4"/>
      <c r="B20" s="19"/>
      <c r="C20" s="20" t="s">
        <v>66</v>
      </c>
      <c r="D20" s="56">
        <v>2040</v>
      </c>
      <c r="E20" s="21">
        <v>1</v>
      </c>
      <c r="F20" s="65">
        <f ca="1">IFERROR(OFFSET($V$7,MATCH(EGRID!$A$1,EGRID!$J$8:$J$38,0),0),"")</f>
        <v>63665052.779966034</v>
      </c>
      <c r="G20" s="22"/>
      <c r="J20" s="23" t="s">
        <v>28</v>
      </c>
      <c r="K20" s="64">
        <f t="shared" si="1"/>
        <v>140154812.05610499</v>
      </c>
      <c r="L20" s="64">
        <f t="shared" si="2"/>
        <v>124963345.73444057</v>
      </c>
      <c r="M20" s="64">
        <f t="shared" si="3"/>
        <v>120428871.51636533</v>
      </c>
      <c r="N20" s="64">
        <f t="shared" si="4"/>
        <v>115869094.79649125</v>
      </c>
      <c r="O20" s="64">
        <f t="shared" si="5"/>
        <v>111382898.07687949</v>
      </c>
      <c r="P20" s="64">
        <f t="shared" si="6"/>
        <v>106874891.37372972</v>
      </c>
      <c r="Q20" s="64">
        <f t="shared" si="7"/>
        <v>102439306.86798629</v>
      </c>
      <c r="R20" s="64">
        <f t="shared" si="8"/>
        <v>94754311.853030518</v>
      </c>
      <c r="S20" s="64">
        <f t="shared" si="9"/>
        <v>83144735.727398053</v>
      </c>
      <c r="T20" s="64">
        <f t="shared" si="10"/>
        <v>76798269.445821658</v>
      </c>
      <c r="U20" s="64">
        <f t="shared" si="11"/>
        <v>66992011.22538422</v>
      </c>
      <c r="V20" s="64">
        <f t="shared" si="12"/>
        <v>58730660.952055238</v>
      </c>
      <c r="W20" s="64">
        <f t="shared" si="13"/>
        <v>48277453.97607445</v>
      </c>
      <c r="X20" s="64">
        <f t="shared" si="14"/>
        <v>37139390.710248381</v>
      </c>
      <c r="Y20" s="64">
        <f t="shared" si="15"/>
        <v>37921022.950391717</v>
      </c>
      <c r="Z20" s="64">
        <f t="shared" si="16"/>
        <v>28783079.253904715</v>
      </c>
      <c r="AA20" s="64">
        <f t="shared" si="17"/>
        <v>17068746.07242471</v>
      </c>
      <c r="AB20" s="64">
        <f t="shared" si="18"/>
        <v>7845470.6531376699</v>
      </c>
      <c r="AC20" s="64">
        <f t="shared" si="19"/>
        <v>7884494.1924127135</v>
      </c>
      <c r="AD20" s="64">
        <f t="shared" si="20"/>
        <v>7892152.3882106412</v>
      </c>
      <c r="AE20" s="64">
        <f t="shared" si="21"/>
        <v>7897927.2829051055</v>
      </c>
      <c r="AF20" s="64">
        <f t="shared" si="22"/>
        <v>7961781.0275092311</v>
      </c>
      <c r="AG20" s="64">
        <f t="shared" si="23"/>
        <v>7982991.2288277056</v>
      </c>
      <c r="AH20" s="64">
        <f t="shared" si="24"/>
        <v>7990290.4238061253</v>
      </c>
      <c r="AO20" s="53"/>
    </row>
    <row r="21" spans="1:41">
      <c r="A21" s="4"/>
      <c r="B21" s="19"/>
      <c r="C21" s="20" t="s">
        <v>66</v>
      </c>
      <c r="D21" s="56">
        <v>2045</v>
      </c>
      <c r="E21" s="21">
        <v>1</v>
      </c>
      <c r="F21" s="65">
        <f ca="1">IFERROR(OFFSET($W$7,MATCH(EGRID!$A$1,EGRID!$J$8:$J$38,0),0),"")</f>
        <v>59411792.314267188</v>
      </c>
      <c r="G21" s="22"/>
      <c r="J21" s="23" t="s">
        <v>30</v>
      </c>
      <c r="K21" s="64">
        <f t="shared" si="1"/>
        <v>140154812.05610499</v>
      </c>
      <c r="L21" s="64">
        <f t="shared" si="2"/>
        <v>125644370.70322745</v>
      </c>
      <c r="M21" s="64">
        <f t="shared" si="3"/>
        <v>121124859.44746478</v>
      </c>
      <c r="N21" s="64">
        <f t="shared" si="4"/>
        <v>116581627.09626569</v>
      </c>
      <c r="O21" s="64">
        <f t="shared" si="5"/>
        <v>112107375.99531253</v>
      </c>
      <c r="P21" s="64">
        <f t="shared" si="6"/>
        <v>107612678.0347925</v>
      </c>
      <c r="Q21" s="64">
        <f t="shared" si="7"/>
        <v>103185875.88434088</v>
      </c>
      <c r="R21" s="64">
        <f t="shared" si="8"/>
        <v>95444309.705185577</v>
      </c>
      <c r="S21" s="64">
        <f t="shared" si="9"/>
        <v>83755007.058453724</v>
      </c>
      <c r="T21" s="64">
        <f t="shared" si="10"/>
        <v>77268311.566841587</v>
      </c>
      <c r="U21" s="64">
        <f t="shared" si="11"/>
        <v>67269619.456230089</v>
      </c>
      <c r="V21" s="64">
        <f t="shared" si="12"/>
        <v>58182395.193398483</v>
      </c>
      <c r="W21" s="64">
        <f t="shared" si="13"/>
        <v>47040305.271830812</v>
      </c>
      <c r="X21" s="64">
        <f t="shared" si="14"/>
        <v>35256162.578533188</v>
      </c>
      <c r="Y21" s="64">
        <f t="shared" si="15"/>
        <v>35988942.80366756</v>
      </c>
      <c r="Z21" s="64">
        <f t="shared" si="16"/>
        <v>27422120.588211</v>
      </c>
      <c r="AA21" s="64">
        <f t="shared" si="17"/>
        <v>16439933.230573494</v>
      </c>
      <c r="AB21" s="64">
        <f t="shared" si="18"/>
        <v>7793112.5249918941</v>
      </c>
      <c r="AC21" s="64">
        <f t="shared" si="19"/>
        <v>7829697.0930622481</v>
      </c>
      <c r="AD21" s="64">
        <f t="shared" si="20"/>
        <v>7836876.6516228039</v>
      </c>
      <c r="AE21" s="64">
        <f t="shared" si="21"/>
        <v>7842290.6153988652</v>
      </c>
      <c r="AF21" s="64">
        <f t="shared" si="22"/>
        <v>7902153.500965232</v>
      </c>
      <c r="AG21" s="64">
        <f t="shared" si="23"/>
        <v>7922038.064701302</v>
      </c>
      <c r="AH21" s="64">
        <f t="shared" si="24"/>
        <v>7928881.0599935707</v>
      </c>
      <c r="AO21" s="53"/>
    </row>
    <row r="22" spans="1:41">
      <c r="A22" s="4"/>
      <c r="B22" s="19"/>
      <c r="C22" s="20" t="s">
        <v>66</v>
      </c>
      <c r="D22" s="56">
        <v>2050</v>
      </c>
      <c r="E22" s="21">
        <v>1</v>
      </c>
      <c r="F22" s="65">
        <f ca="1">IFERROR(OFFSET($X$7,MATCH(EGRID!$A$1,EGRID!$J$8:$J$38,0),0),"")</f>
        <v>54088443.895685121</v>
      </c>
      <c r="G22" s="22"/>
      <c r="J22" s="23" t="s">
        <v>32</v>
      </c>
      <c r="K22" s="64">
        <f t="shared" si="1"/>
        <v>140154812.05610499</v>
      </c>
      <c r="L22" s="64">
        <f t="shared" si="2"/>
        <v>126325395.67201433</v>
      </c>
      <c r="M22" s="64">
        <f t="shared" si="3"/>
        <v>121820847.37856422</v>
      </c>
      <c r="N22" s="64">
        <f t="shared" si="4"/>
        <v>117294159.39604013</v>
      </c>
      <c r="O22" s="64">
        <f t="shared" si="5"/>
        <v>112831853.91374557</v>
      </c>
      <c r="P22" s="64">
        <f t="shared" si="6"/>
        <v>108350464.69585527</v>
      </c>
      <c r="Q22" s="64">
        <f t="shared" si="7"/>
        <v>103932444.90069547</v>
      </c>
      <c r="R22" s="64">
        <f t="shared" si="8"/>
        <v>96134307.557340637</v>
      </c>
      <c r="S22" s="64">
        <f t="shared" si="9"/>
        <v>84365278.389509395</v>
      </c>
      <c r="T22" s="64">
        <f t="shared" si="10"/>
        <v>77738353.687861517</v>
      </c>
      <c r="U22" s="64">
        <f t="shared" si="11"/>
        <v>67547227.687075958</v>
      </c>
      <c r="V22" s="64">
        <f t="shared" si="12"/>
        <v>57634129.434741728</v>
      </c>
      <c r="W22" s="64">
        <f t="shared" si="13"/>
        <v>45803156.567587174</v>
      </c>
      <c r="X22" s="64">
        <f t="shared" si="14"/>
        <v>33372934.446817994</v>
      </c>
      <c r="Y22" s="64">
        <f t="shared" si="15"/>
        <v>34056862.656943403</v>
      </c>
      <c r="Z22" s="64">
        <f t="shared" si="16"/>
        <v>26061161.922517285</v>
      </c>
      <c r="AA22" s="64">
        <f t="shared" si="17"/>
        <v>15811120.388722278</v>
      </c>
      <c r="AB22" s="64">
        <f t="shared" si="18"/>
        <v>7740754.3968461184</v>
      </c>
      <c r="AC22" s="64">
        <f t="shared" si="19"/>
        <v>7774899.9937117826</v>
      </c>
      <c r="AD22" s="64">
        <f t="shared" si="20"/>
        <v>7781600.9150349665</v>
      </c>
      <c r="AE22" s="64">
        <f t="shared" si="21"/>
        <v>7786653.9478926249</v>
      </c>
      <c r="AF22" s="64">
        <f t="shared" si="22"/>
        <v>7842525.9744212329</v>
      </c>
      <c r="AG22" s="64">
        <f t="shared" si="23"/>
        <v>7861084.9005748983</v>
      </c>
      <c r="AH22" s="64">
        <f t="shared" si="24"/>
        <v>7867471.696181016</v>
      </c>
      <c r="AO22" s="53"/>
    </row>
    <row r="23" spans="1:41">
      <c r="A23" s="4"/>
      <c r="B23" s="19"/>
      <c r="C23" s="20" t="s">
        <v>66</v>
      </c>
      <c r="D23" s="56">
        <v>2055</v>
      </c>
      <c r="E23" s="21">
        <v>1</v>
      </c>
      <c r="F23" s="65">
        <f ca="1">IFERROR(OFFSET($Y$7,MATCH(EGRID!$A$1,EGRID!$J$8:$J$38,0),0),"")</f>
        <v>55309744.270909131</v>
      </c>
      <c r="G23" s="22"/>
      <c r="J23" s="23" t="s">
        <v>34</v>
      </c>
      <c r="K23" s="64">
        <f t="shared" si="1"/>
        <v>140154812.05610499</v>
      </c>
      <c r="L23" s="64">
        <f t="shared" si="2"/>
        <v>127006420.64080121</v>
      </c>
      <c r="M23" s="64">
        <f t="shared" si="3"/>
        <v>122516835.30966367</v>
      </c>
      <c r="N23" s="64">
        <f t="shared" si="4"/>
        <v>118006691.69581456</v>
      </c>
      <c r="O23" s="64">
        <f t="shared" si="5"/>
        <v>113556331.83217861</v>
      </c>
      <c r="P23" s="64">
        <f t="shared" si="6"/>
        <v>109088251.35691805</v>
      </c>
      <c r="Q23" s="64">
        <f t="shared" si="7"/>
        <v>104679013.91705006</v>
      </c>
      <c r="R23" s="64">
        <f t="shared" si="8"/>
        <v>96824305.409495696</v>
      </c>
      <c r="S23" s="64">
        <f t="shared" si="9"/>
        <v>84975549.720565066</v>
      </c>
      <c r="T23" s="64">
        <f t="shared" si="10"/>
        <v>78208395.808881447</v>
      </c>
      <c r="U23" s="64">
        <f t="shared" si="11"/>
        <v>67824835.917921826</v>
      </c>
      <c r="V23" s="64">
        <f t="shared" si="12"/>
        <v>57085863.676084973</v>
      </c>
      <c r="W23" s="64">
        <f t="shared" si="13"/>
        <v>44566007.863343537</v>
      </c>
      <c r="X23" s="64">
        <f t="shared" si="14"/>
        <v>31489706.315102801</v>
      </c>
      <c r="Y23" s="64">
        <f t="shared" si="15"/>
        <v>32124782.510219246</v>
      </c>
      <c r="Z23" s="64">
        <f t="shared" si="16"/>
        <v>24700203.25682357</v>
      </c>
      <c r="AA23" s="64">
        <f t="shared" si="17"/>
        <v>15182307.546871062</v>
      </c>
      <c r="AB23" s="64">
        <f t="shared" si="18"/>
        <v>7688396.2687003426</v>
      </c>
      <c r="AC23" s="64">
        <f t="shared" si="19"/>
        <v>7720102.8943613172</v>
      </c>
      <c r="AD23" s="64">
        <f t="shared" si="20"/>
        <v>7726325.1784471292</v>
      </c>
      <c r="AE23" s="64">
        <f t="shared" si="21"/>
        <v>7731017.2803863846</v>
      </c>
      <c r="AF23" s="64">
        <f t="shared" si="22"/>
        <v>7782898.4478772338</v>
      </c>
      <c r="AG23" s="64">
        <f t="shared" si="23"/>
        <v>7800131.7364484947</v>
      </c>
      <c r="AH23" s="64">
        <f t="shared" si="24"/>
        <v>7806062.3323684614</v>
      </c>
      <c r="AO23" s="53"/>
    </row>
    <row r="24" spans="1:41">
      <c r="A24" s="4"/>
      <c r="B24" s="19"/>
      <c r="C24" s="20" t="s">
        <v>66</v>
      </c>
      <c r="D24" s="56">
        <v>2060</v>
      </c>
      <c r="E24" s="21">
        <v>1</v>
      </c>
      <c r="F24" s="65">
        <f ca="1">IFERROR(OFFSET($Z$7,MATCH(EGRID!$A$1,EGRID!$J$8:$J$38,0),0),"")</f>
        <v>41031707.245148152</v>
      </c>
      <c r="G24" s="22"/>
      <c r="J24" s="23" t="s">
        <v>36</v>
      </c>
      <c r="K24" s="64">
        <f t="shared" si="1"/>
        <v>140154812.05610499</v>
      </c>
      <c r="L24" s="64">
        <f t="shared" si="2"/>
        <v>127687445.60958809</v>
      </c>
      <c r="M24" s="64">
        <f t="shared" si="3"/>
        <v>123212823.24076311</v>
      </c>
      <c r="N24" s="64">
        <f t="shared" si="4"/>
        <v>118719223.995589</v>
      </c>
      <c r="O24" s="64">
        <f t="shared" si="5"/>
        <v>114280809.75061165</v>
      </c>
      <c r="P24" s="64">
        <f t="shared" si="6"/>
        <v>109826038.01798083</v>
      </c>
      <c r="Q24" s="64">
        <f t="shared" si="7"/>
        <v>105425582.93340465</v>
      </c>
      <c r="R24" s="64">
        <f t="shared" si="8"/>
        <v>97514303.261650756</v>
      </c>
      <c r="S24" s="64">
        <f t="shared" si="9"/>
        <v>85585821.051620737</v>
      </c>
      <c r="T24" s="64">
        <f t="shared" si="10"/>
        <v>78678437.929901376</v>
      </c>
      <c r="U24" s="64">
        <f t="shared" si="11"/>
        <v>68102444.148767695</v>
      </c>
      <c r="V24" s="64">
        <f t="shared" si="12"/>
        <v>56537597.917428218</v>
      </c>
      <c r="W24" s="64">
        <f t="shared" si="13"/>
        <v>43328859.159099899</v>
      </c>
      <c r="X24" s="64">
        <f t="shared" si="14"/>
        <v>29606478.183387607</v>
      </c>
      <c r="Y24" s="64">
        <f t="shared" si="15"/>
        <v>30192702.363495089</v>
      </c>
      <c r="Z24" s="64">
        <f t="shared" si="16"/>
        <v>23339244.591129854</v>
      </c>
      <c r="AA24" s="64">
        <f t="shared" si="17"/>
        <v>14553494.705019847</v>
      </c>
      <c r="AB24" s="64">
        <f t="shared" si="18"/>
        <v>7636038.1405545669</v>
      </c>
      <c r="AC24" s="64">
        <f t="shared" si="19"/>
        <v>7665305.7950108517</v>
      </c>
      <c r="AD24" s="64">
        <f t="shared" si="20"/>
        <v>7671049.4418592919</v>
      </c>
      <c r="AE24" s="64">
        <f t="shared" si="21"/>
        <v>7675380.6128801443</v>
      </c>
      <c r="AF24" s="64">
        <f t="shared" si="22"/>
        <v>7723270.9213332348</v>
      </c>
      <c r="AG24" s="64">
        <f t="shared" si="23"/>
        <v>7739178.5723220911</v>
      </c>
      <c r="AH24" s="64">
        <f t="shared" si="24"/>
        <v>7744652.9685559068</v>
      </c>
      <c r="AO24" s="53"/>
    </row>
    <row r="25" spans="1:41">
      <c r="A25" s="4"/>
      <c r="B25" s="19"/>
      <c r="C25" s="20" t="s">
        <v>66</v>
      </c>
      <c r="D25" s="56">
        <v>2065</v>
      </c>
      <c r="E25" s="21">
        <v>1</v>
      </c>
      <c r="F25" s="65">
        <f ca="1">IFERROR(OFFSET($AA$7,MATCH(EGRID!$A$1,EGRID!$J$8:$J$38,0),0),"")</f>
        <v>22728061.649085652</v>
      </c>
      <c r="G25" s="22"/>
      <c r="J25" s="23" t="s">
        <v>38</v>
      </c>
      <c r="K25" s="64">
        <f t="shared" si="1"/>
        <v>140154812.05610499</v>
      </c>
      <c r="L25" s="64">
        <f t="shared" si="2"/>
        <v>128368470.57837497</v>
      </c>
      <c r="M25" s="64">
        <f t="shared" si="3"/>
        <v>123908811.17186256</v>
      </c>
      <c r="N25" s="64">
        <f t="shared" si="4"/>
        <v>119431756.29536344</v>
      </c>
      <c r="O25" s="64">
        <f t="shared" si="5"/>
        <v>115005287.66904469</v>
      </c>
      <c r="P25" s="64">
        <f t="shared" si="6"/>
        <v>110563824.67904361</v>
      </c>
      <c r="Q25" s="64">
        <f t="shared" si="7"/>
        <v>106172151.94975924</v>
      </c>
      <c r="R25" s="64">
        <f t="shared" si="8"/>
        <v>98204301.113805816</v>
      </c>
      <c r="S25" s="64">
        <f t="shared" si="9"/>
        <v>86196092.382676408</v>
      </c>
      <c r="T25" s="64">
        <f t="shared" si="10"/>
        <v>79148480.050921306</v>
      </c>
      <c r="U25" s="64">
        <f t="shared" si="11"/>
        <v>68380052.379613563</v>
      </c>
      <c r="V25" s="64">
        <f t="shared" si="12"/>
        <v>55989332.158771463</v>
      </c>
      <c r="W25" s="64">
        <f t="shared" si="13"/>
        <v>42091710.454856262</v>
      </c>
      <c r="X25" s="64">
        <f t="shared" si="14"/>
        <v>27723250.051672414</v>
      </c>
      <c r="Y25" s="64">
        <f t="shared" si="15"/>
        <v>28260622.216770932</v>
      </c>
      <c r="Z25" s="64">
        <f t="shared" si="16"/>
        <v>21978285.925436139</v>
      </c>
      <c r="AA25" s="64">
        <f t="shared" si="17"/>
        <v>13924681.863168631</v>
      </c>
      <c r="AB25" s="64">
        <f t="shared" si="18"/>
        <v>7583680.0124087911</v>
      </c>
      <c r="AC25" s="64">
        <f t="shared" si="19"/>
        <v>7610508.6956603862</v>
      </c>
      <c r="AD25" s="64">
        <f t="shared" si="20"/>
        <v>7615773.7052714545</v>
      </c>
      <c r="AE25" s="64">
        <f t="shared" si="21"/>
        <v>7619743.945373904</v>
      </c>
      <c r="AF25" s="64">
        <f t="shared" si="22"/>
        <v>7663643.3947892357</v>
      </c>
      <c r="AG25" s="64">
        <f t="shared" si="23"/>
        <v>7678225.4081956875</v>
      </c>
      <c r="AH25" s="64">
        <f t="shared" si="24"/>
        <v>7683243.6047433522</v>
      </c>
      <c r="AO25" s="53"/>
    </row>
    <row r="26" spans="1:41">
      <c r="A26" s="4"/>
      <c r="B26" s="19"/>
      <c r="C26" s="20" t="s">
        <v>66</v>
      </c>
      <c r="D26" s="56">
        <v>2070</v>
      </c>
      <c r="E26" s="21">
        <v>1</v>
      </c>
      <c r="F26" s="65">
        <f ca="1">IFERROR(OFFSET($AB$7,MATCH(EGRID!$A$1,EGRID!$J$8:$J$38,0),0),"")</f>
        <v>8316693.8064496517</v>
      </c>
      <c r="G26" s="22"/>
      <c r="J26" s="23" t="s">
        <v>40</v>
      </c>
      <c r="K26" s="64">
        <f t="shared" si="1"/>
        <v>140154812.05610499</v>
      </c>
      <c r="L26" s="64">
        <f t="shared" si="2"/>
        <v>129049495.54716185</v>
      </c>
      <c r="M26" s="64">
        <f t="shared" si="3"/>
        <v>124604799.102962</v>
      </c>
      <c r="N26" s="64">
        <f t="shared" si="4"/>
        <v>120144288.59513788</v>
      </c>
      <c r="O26" s="64">
        <f t="shared" si="5"/>
        <v>115729765.58747773</v>
      </c>
      <c r="P26" s="64">
        <f t="shared" si="6"/>
        <v>111301611.34010638</v>
      </c>
      <c r="Q26" s="64">
        <f t="shared" si="7"/>
        <v>106918720.96611384</v>
      </c>
      <c r="R26" s="64">
        <f t="shared" si="8"/>
        <v>98894298.965960875</v>
      </c>
      <c r="S26" s="64">
        <f t="shared" si="9"/>
        <v>86806363.713732079</v>
      </c>
      <c r="T26" s="64">
        <f t="shared" si="10"/>
        <v>79618522.171941236</v>
      </c>
      <c r="U26" s="64">
        <f t="shared" si="11"/>
        <v>68657660.610459432</v>
      </c>
      <c r="V26" s="64">
        <f t="shared" si="12"/>
        <v>55441066.400114708</v>
      </c>
      <c r="W26" s="64">
        <f t="shared" si="13"/>
        <v>40854561.750612624</v>
      </c>
      <c r="X26" s="64">
        <f t="shared" si="14"/>
        <v>25840021.919957221</v>
      </c>
      <c r="Y26" s="64">
        <f t="shared" si="15"/>
        <v>26328542.070046775</v>
      </c>
      <c r="Z26" s="64">
        <f t="shared" si="16"/>
        <v>20617327.259742424</v>
      </c>
      <c r="AA26" s="64">
        <f t="shared" si="17"/>
        <v>13295869.021317415</v>
      </c>
      <c r="AB26" s="64">
        <f t="shared" si="18"/>
        <v>7531321.8842630154</v>
      </c>
      <c r="AC26" s="64">
        <f t="shared" si="19"/>
        <v>7555711.5963099208</v>
      </c>
      <c r="AD26" s="64">
        <f t="shared" si="20"/>
        <v>7560497.9686836172</v>
      </c>
      <c r="AE26" s="64">
        <f t="shared" si="21"/>
        <v>7564107.2778676637</v>
      </c>
      <c r="AF26" s="64">
        <f t="shared" si="22"/>
        <v>7604015.8682452366</v>
      </c>
      <c r="AG26" s="64">
        <f t="shared" si="23"/>
        <v>7617272.2440692838</v>
      </c>
      <c r="AH26" s="64">
        <f t="shared" si="24"/>
        <v>7621834.2409307975</v>
      </c>
      <c r="AO26" s="53"/>
    </row>
    <row r="27" spans="1:41">
      <c r="A27" s="4"/>
      <c r="B27" s="19"/>
      <c r="C27" s="20" t="s">
        <v>66</v>
      </c>
      <c r="D27" s="56">
        <v>2075</v>
      </c>
      <c r="E27" s="21">
        <v>1</v>
      </c>
      <c r="F27" s="65">
        <f ca="1">IFERROR(OFFSET($AC$7,MATCH(EGRID!$A$1,EGRID!$J$8:$J$38,0),0),"")</f>
        <v>8377668.0865669027</v>
      </c>
      <c r="G27" s="22"/>
      <c r="J27" s="23" t="s">
        <v>42</v>
      </c>
      <c r="K27" s="64">
        <f t="shared" si="1"/>
        <v>140154812.05610499</v>
      </c>
      <c r="L27" s="64">
        <f t="shared" si="2"/>
        <v>129730520.51594873</v>
      </c>
      <c r="M27" s="64">
        <f t="shared" si="3"/>
        <v>125300787.03406145</v>
      </c>
      <c r="N27" s="64">
        <f t="shared" si="4"/>
        <v>120856820.89491232</v>
      </c>
      <c r="O27" s="64">
        <f t="shared" si="5"/>
        <v>116454243.50591077</v>
      </c>
      <c r="P27" s="64">
        <f t="shared" si="6"/>
        <v>112039398.00116916</v>
      </c>
      <c r="Q27" s="64">
        <f t="shared" si="7"/>
        <v>107665289.98246843</v>
      </c>
      <c r="R27" s="64">
        <f t="shared" si="8"/>
        <v>99584296.818115935</v>
      </c>
      <c r="S27" s="64">
        <f t="shared" si="9"/>
        <v>87416635.04478775</v>
      </c>
      <c r="T27" s="64">
        <f t="shared" si="10"/>
        <v>80088564.292961165</v>
      </c>
      <c r="U27" s="64">
        <f t="shared" si="11"/>
        <v>68935268.841305301</v>
      </c>
      <c r="V27" s="64">
        <f t="shared" si="12"/>
        <v>54892800.641457953</v>
      </c>
      <c r="W27" s="64">
        <f t="shared" si="13"/>
        <v>39617413.046368986</v>
      </c>
      <c r="X27" s="64">
        <f t="shared" si="14"/>
        <v>23956793.788242027</v>
      </c>
      <c r="Y27" s="64">
        <f t="shared" si="15"/>
        <v>24396461.923322618</v>
      </c>
      <c r="Z27" s="64">
        <f t="shared" si="16"/>
        <v>19256368.594048709</v>
      </c>
      <c r="AA27" s="64">
        <f t="shared" si="17"/>
        <v>12667056.179466199</v>
      </c>
      <c r="AB27" s="64">
        <f t="shared" si="18"/>
        <v>7478963.7561172396</v>
      </c>
      <c r="AC27" s="64">
        <f t="shared" si="19"/>
        <v>7500914.4969594553</v>
      </c>
      <c r="AD27" s="64">
        <f t="shared" si="20"/>
        <v>7505222.2320957799</v>
      </c>
      <c r="AE27" s="64">
        <f t="shared" si="21"/>
        <v>7508470.6103614233</v>
      </c>
      <c r="AF27" s="64">
        <f t="shared" si="22"/>
        <v>7544388.3417012375</v>
      </c>
      <c r="AG27" s="64">
        <f t="shared" si="23"/>
        <v>7556319.0799428802</v>
      </c>
      <c r="AH27" s="64">
        <f t="shared" si="24"/>
        <v>7560424.8771182429</v>
      </c>
      <c r="AO27" s="53"/>
    </row>
    <row r="28" spans="1:41">
      <c r="A28" s="4"/>
      <c r="B28" s="19"/>
      <c r="C28" s="20" t="s">
        <v>66</v>
      </c>
      <c r="D28" s="56">
        <v>2080</v>
      </c>
      <c r="E28" s="21">
        <v>1</v>
      </c>
      <c r="F28" s="65">
        <f ca="1">IFERROR(OFFSET($AD$7,MATCH(EGRID!$A$1,EGRID!$J$8:$J$38,0),0),"")</f>
        <v>8389634.0175011773</v>
      </c>
      <c r="G28" s="22"/>
      <c r="J28" s="23" t="s">
        <v>44</v>
      </c>
      <c r="K28" s="64">
        <f t="shared" si="1"/>
        <v>140154812.05610499</v>
      </c>
      <c r="L28" s="64">
        <f t="shared" si="2"/>
        <v>130411545.48473561</v>
      </c>
      <c r="M28" s="64">
        <f t="shared" si="3"/>
        <v>125996774.96516089</v>
      </c>
      <c r="N28" s="64">
        <f t="shared" si="4"/>
        <v>121569353.19468676</v>
      </c>
      <c r="O28" s="64">
        <f t="shared" si="5"/>
        <v>117178721.42434381</v>
      </c>
      <c r="P28" s="64">
        <f t="shared" si="6"/>
        <v>112777184.66223194</v>
      </c>
      <c r="Q28" s="64">
        <f t="shared" si="7"/>
        <v>108411858.99882302</v>
      </c>
      <c r="R28" s="64">
        <f t="shared" si="8"/>
        <v>100274294.67027099</v>
      </c>
      <c r="S28" s="64">
        <f t="shared" si="9"/>
        <v>88026906.375843421</v>
      </c>
      <c r="T28" s="64">
        <f t="shared" si="10"/>
        <v>80558606.413981095</v>
      </c>
      <c r="U28" s="64">
        <f t="shared" si="11"/>
        <v>69212877.072151169</v>
      </c>
      <c r="V28" s="64">
        <f t="shared" si="12"/>
        <v>54344534.882801197</v>
      </c>
      <c r="W28" s="64">
        <f t="shared" si="13"/>
        <v>38380264.342125349</v>
      </c>
      <c r="X28" s="64">
        <f t="shared" si="14"/>
        <v>22073565.656526834</v>
      </c>
      <c r="Y28" s="64">
        <f t="shared" si="15"/>
        <v>22464381.776598461</v>
      </c>
      <c r="Z28" s="64">
        <f t="shared" si="16"/>
        <v>17895409.928354993</v>
      </c>
      <c r="AA28" s="64">
        <f t="shared" si="17"/>
        <v>12038243.337614983</v>
      </c>
      <c r="AB28" s="64">
        <f t="shared" si="18"/>
        <v>7426605.6279714638</v>
      </c>
      <c r="AC28" s="64">
        <f t="shared" si="19"/>
        <v>7446117.3976089898</v>
      </c>
      <c r="AD28" s="64">
        <f t="shared" si="20"/>
        <v>7449946.4955079425</v>
      </c>
      <c r="AE28" s="64">
        <f t="shared" si="21"/>
        <v>7452833.942855183</v>
      </c>
      <c r="AF28" s="64">
        <f t="shared" si="22"/>
        <v>7484760.8151572384</v>
      </c>
      <c r="AG28" s="64">
        <f t="shared" si="23"/>
        <v>7495365.9158164766</v>
      </c>
      <c r="AH28" s="64">
        <f t="shared" si="24"/>
        <v>7499015.5133056883</v>
      </c>
      <c r="AO28" s="53"/>
    </row>
    <row r="29" spans="1:41">
      <c r="A29" s="4"/>
      <c r="B29" s="19"/>
      <c r="C29" s="20" t="s">
        <v>66</v>
      </c>
      <c r="D29" s="56">
        <v>2085</v>
      </c>
      <c r="E29" s="21">
        <v>1</v>
      </c>
      <c r="F29" s="65">
        <f ca="1">IFERROR(OFFSET($AE$7,MATCH(EGRID!$A$1,EGRID!$J$8:$J$38,0),0),"")</f>
        <v>8398657.2904612683</v>
      </c>
      <c r="G29" s="22"/>
      <c r="J29" s="23" t="s">
        <v>46</v>
      </c>
      <c r="K29" s="64">
        <f t="shared" si="1"/>
        <v>140154812.05610499</v>
      </c>
      <c r="L29" s="64">
        <f t="shared" si="2"/>
        <v>131092570.45352249</v>
      </c>
      <c r="M29" s="64">
        <f t="shared" si="3"/>
        <v>126692762.89626034</v>
      </c>
      <c r="N29" s="64">
        <f t="shared" si="4"/>
        <v>122281885.49446119</v>
      </c>
      <c r="O29" s="64">
        <f t="shared" si="5"/>
        <v>117903199.34277685</v>
      </c>
      <c r="P29" s="64">
        <f t="shared" si="6"/>
        <v>113514971.32329471</v>
      </c>
      <c r="Q29" s="64">
        <f t="shared" si="7"/>
        <v>109158428.01517761</v>
      </c>
      <c r="R29" s="64">
        <f t="shared" si="8"/>
        <v>100964292.52242605</v>
      </c>
      <c r="S29" s="64">
        <f t="shared" si="9"/>
        <v>88637177.706899092</v>
      </c>
      <c r="T29" s="64">
        <f t="shared" si="10"/>
        <v>81028648.535001025</v>
      </c>
      <c r="U29" s="64">
        <f t="shared" si="11"/>
        <v>69490485.302997038</v>
      </c>
      <c r="V29" s="64">
        <f t="shared" si="12"/>
        <v>53796269.124144442</v>
      </c>
      <c r="W29" s="64">
        <f t="shared" si="13"/>
        <v>37143115.637881711</v>
      </c>
      <c r="X29" s="64">
        <f t="shared" si="14"/>
        <v>20190337.52481164</v>
      </c>
      <c r="Y29" s="64">
        <f t="shared" si="15"/>
        <v>20532301.629874304</v>
      </c>
      <c r="Z29" s="64">
        <f t="shared" si="16"/>
        <v>16534451.262661278</v>
      </c>
      <c r="AA29" s="64">
        <f t="shared" si="17"/>
        <v>11409430.495763768</v>
      </c>
      <c r="AB29" s="64">
        <f t="shared" si="18"/>
        <v>7374247.4998256881</v>
      </c>
      <c r="AC29" s="64">
        <f t="shared" si="19"/>
        <v>7391320.2982585244</v>
      </c>
      <c r="AD29" s="64">
        <f t="shared" si="20"/>
        <v>7394670.7589201052</v>
      </c>
      <c r="AE29" s="64">
        <f t="shared" si="21"/>
        <v>7397197.2753489427</v>
      </c>
      <c r="AF29" s="64">
        <f t="shared" si="22"/>
        <v>7425133.2886132393</v>
      </c>
      <c r="AG29" s="64">
        <f t="shared" si="23"/>
        <v>7434412.7516900729</v>
      </c>
      <c r="AH29" s="64">
        <f t="shared" si="24"/>
        <v>7437606.1494931336</v>
      </c>
      <c r="AO29" s="53"/>
    </row>
    <row r="30" spans="1:41">
      <c r="B30" s="19"/>
      <c r="C30" s="20" t="s">
        <v>66</v>
      </c>
      <c r="D30" s="56">
        <v>2090</v>
      </c>
      <c r="E30" s="21">
        <v>1</v>
      </c>
      <c r="F30" s="65">
        <f ca="1">IFERROR(OFFSET($AF$7,MATCH(EGRID!$A$1,EGRID!$J$8:$J$38,0),0),"")</f>
        <v>8498428.7664052229</v>
      </c>
      <c r="G30" s="22"/>
      <c r="J30" s="23" t="s">
        <v>48</v>
      </c>
      <c r="K30" s="64">
        <f t="shared" si="1"/>
        <v>140154812.05610499</v>
      </c>
      <c r="L30" s="64">
        <f t="shared" si="2"/>
        <v>131773595.42230937</v>
      </c>
      <c r="M30" s="64">
        <f t="shared" si="3"/>
        <v>127388750.82735978</v>
      </c>
      <c r="N30" s="64">
        <f t="shared" si="4"/>
        <v>122994417.79423563</v>
      </c>
      <c r="O30" s="64">
        <f t="shared" si="5"/>
        <v>118627677.26120989</v>
      </c>
      <c r="P30" s="64">
        <f t="shared" si="6"/>
        <v>114252757.98435749</v>
      </c>
      <c r="Q30" s="64">
        <f t="shared" si="7"/>
        <v>109904997.0315322</v>
      </c>
      <c r="R30" s="64">
        <f t="shared" si="8"/>
        <v>101654290.37458111</v>
      </c>
      <c r="S30" s="64">
        <f t="shared" si="9"/>
        <v>89247449.037954763</v>
      </c>
      <c r="T30" s="64">
        <f t="shared" si="10"/>
        <v>81498690.656020954</v>
      </c>
      <c r="U30" s="64">
        <f t="shared" si="11"/>
        <v>69768093.533842906</v>
      </c>
      <c r="V30" s="64">
        <f t="shared" si="12"/>
        <v>53248003.365487687</v>
      </c>
      <c r="W30" s="64">
        <f t="shared" si="13"/>
        <v>35905966.933638074</v>
      </c>
      <c r="X30" s="64">
        <f t="shared" si="14"/>
        <v>18307109.393096447</v>
      </c>
      <c r="Y30" s="64">
        <f t="shared" si="15"/>
        <v>18600221.483150147</v>
      </c>
      <c r="Z30" s="64">
        <f t="shared" si="16"/>
        <v>15173492.596967563</v>
      </c>
      <c r="AA30" s="64">
        <f t="shared" si="17"/>
        <v>10780617.653912552</v>
      </c>
      <c r="AB30" s="64">
        <f t="shared" si="18"/>
        <v>7321889.3716799123</v>
      </c>
      <c r="AC30" s="64">
        <f t="shared" si="19"/>
        <v>7336523.1989080589</v>
      </c>
      <c r="AD30" s="64">
        <f t="shared" si="20"/>
        <v>7339395.0223322678</v>
      </c>
      <c r="AE30" s="64">
        <f t="shared" si="21"/>
        <v>7341560.6078427024</v>
      </c>
      <c r="AF30" s="64">
        <f t="shared" si="22"/>
        <v>7365505.7620692402</v>
      </c>
      <c r="AG30" s="64">
        <f t="shared" si="23"/>
        <v>7373459.5875636693</v>
      </c>
      <c r="AH30" s="64">
        <f t="shared" si="24"/>
        <v>7376196.785680579</v>
      </c>
      <c r="AO30" s="53"/>
    </row>
    <row r="31" spans="1:41">
      <c r="B31" s="19"/>
      <c r="C31" s="20" t="s">
        <v>66</v>
      </c>
      <c r="D31" s="56">
        <v>2095</v>
      </c>
      <c r="E31" s="21">
        <v>1</v>
      </c>
      <c r="F31" s="65">
        <f ca="1">IFERROR(OFFSET($AG$7,MATCH(EGRID!$A$1,EGRID!$J$8:$J$38,0),0),"")</f>
        <v>8531569.7059653383</v>
      </c>
      <c r="G31" s="22"/>
      <c r="J31" s="23" t="s">
        <v>50</v>
      </c>
      <c r="K31" s="64">
        <f t="shared" si="1"/>
        <v>140154812.05610499</v>
      </c>
      <c r="L31" s="64">
        <f t="shared" si="2"/>
        <v>132454620.39109625</v>
      </c>
      <c r="M31" s="64">
        <f t="shared" si="3"/>
        <v>128084738.75845923</v>
      </c>
      <c r="N31" s="64">
        <f t="shared" si="4"/>
        <v>123706950.09401007</v>
      </c>
      <c r="O31" s="64">
        <f t="shared" si="5"/>
        <v>119352155.17964293</v>
      </c>
      <c r="P31" s="64">
        <f t="shared" si="6"/>
        <v>114990544.64542027</v>
      </c>
      <c r="Q31" s="64">
        <f t="shared" si="7"/>
        <v>110651566.04788679</v>
      </c>
      <c r="R31" s="64">
        <f t="shared" si="8"/>
        <v>102344288.22673617</v>
      </c>
      <c r="S31" s="64">
        <f t="shared" si="9"/>
        <v>89857720.369010434</v>
      </c>
      <c r="T31" s="64">
        <f t="shared" si="10"/>
        <v>81968732.777040884</v>
      </c>
      <c r="U31" s="64">
        <f t="shared" si="11"/>
        <v>70045701.764688775</v>
      </c>
      <c r="V31" s="64">
        <f t="shared" si="12"/>
        <v>52699737.606830932</v>
      </c>
      <c r="W31" s="64">
        <f t="shared" si="13"/>
        <v>34668818.229394436</v>
      </c>
      <c r="X31" s="64">
        <f t="shared" si="14"/>
        <v>16423881.261381252</v>
      </c>
      <c r="Y31" s="64">
        <f t="shared" si="15"/>
        <v>16668141.336425992</v>
      </c>
      <c r="Z31" s="64">
        <f t="shared" si="16"/>
        <v>13812533.931273848</v>
      </c>
      <c r="AA31" s="64">
        <f t="shared" si="17"/>
        <v>10151804.812061336</v>
      </c>
      <c r="AB31" s="64">
        <f t="shared" si="18"/>
        <v>7269531.2435341366</v>
      </c>
      <c r="AC31" s="64">
        <f t="shared" si="19"/>
        <v>7281726.0995575935</v>
      </c>
      <c r="AD31" s="64">
        <f t="shared" si="20"/>
        <v>7284119.2857444305</v>
      </c>
      <c r="AE31" s="64">
        <f t="shared" si="21"/>
        <v>7285923.9403364621</v>
      </c>
      <c r="AF31" s="64">
        <f t="shared" si="22"/>
        <v>7305878.2355252411</v>
      </c>
      <c r="AG31" s="64">
        <f t="shared" si="23"/>
        <v>7312506.4234372657</v>
      </c>
      <c r="AH31" s="64">
        <f t="shared" si="24"/>
        <v>7314787.4218680244</v>
      </c>
    </row>
    <row r="32" spans="1:41">
      <c r="B32" s="19"/>
      <c r="C32" s="20" t="s">
        <v>66</v>
      </c>
      <c r="D32" s="56">
        <v>2100</v>
      </c>
      <c r="E32" s="21">
        <v>1</v>
      </c>
      <c r="F32" s="65">
        <f ca="1">IFERROR(OFFSET($AH$7,MATCH(EGRID!$A$1,EGRID!$J$8:$J$38,0),0),"")</f>
        <v>8542974.6981191169</v>
      </c>
      <c r="G32" s="22"/>
      <c r="J32" s="23" t="s">
        <v>52</v>
      </c>
      <c r="K32" s="64">
        <f t="shared" si="1"/>
        <v>140154812.05610499</v>
      </c>
      <c r="L32" s="64">
        <f t="shared" si="2"/>
        <v>133135645.35988313</v>
      </c>
      <c r="M32" s="64">
        <f t="shared" si="3"/>
        <v>128780726.68955867</v>
      </c>
      <c r="N32" s="64">
        <f t="shared" si="4"/>
        <v>124419482.39378451</v>
      </c>
      <c r="O32" s="64">
        <f t="shared" si="5"/>
        <v>120076633.09807597</v>
      </c>
      <c r="P32" s="64">
        <f t="shared" si="6"/>
        <v>115728331.30648305</v>
      </c>
      <c r="Q32" s="64">
        <f t="shared" si="7"/>
        <v>111398135.06424138</v>
      </c>
      <c r="R32" s="64">
        <f t="shared" si="8"/>
        <v>103034286.07889123</v>
      </c>
      <c r="S32" s="64">
        <f t="shared" si="9"/>
        <v>90467991.700066105</v>
      </c>
      <c r="T32" s="64">
        <f t="shared" si="10"/>
        <v>82438774.898060814</v>
      </c>
      <c r="U32" s="64">
        <f t="shared" si="11"/>
        <v>70323309.995534644</v>
      </c>
      <c r="V32" s="64">
        <f t="shared" si="12"/>
        <v>52151471.848174177</v>
      </c>
      <c r="W32" s="64">
        <f t="shared" si="13"/>
        <v>33431669.525150795</v>
      </c>
      <c r="X32" s="64">
        <f t="shared" si="14"/>
        <v>14540653.129666056</v>
      </c>
      <c r="Y32" s="64">
        <f t="shared" si="15"/>
        <v>14736061.189701837</v>
      </c>
      <c r="Z32" s="64">
        <f t="shared" si="16"/>
        <v>12451575.265580133</v>
      </c>
      <c r="AA32" s="64">
        <f t="shared" si="17"/>
        <v>9522991.9702101201</v>
      </c>
      <c r="AB32" s="64">
        <f t="shared" si="18"/>
        <v>7217173.1153883608</v>
      </c>
      <c r="AC32" s="64">
        <f t="shared" si="19"/>
        <v>7226929.000207128</v>
      </c>
      <c r="AD32" s="64">
        <f t="shared" si="20"/>
        <v>7228843.5491565932</v>
      </c>
      <c r="AE32" s="64">
        <f t="shared" si="21"/>
        <v>7230287.2728302218</v>
      </c>
      <c r="AF32" s="64">
        <f t="shared" si="22"/>
        <v>7246250.708981242</v>
      </c>
      <c r="AG32" s="64">
        <f t="shared" si="23"/>
        <v>7251553.259310862</v>
      </c>
      <c r="AH32" s="64">
        <f t="shared" si="24"/>
        <v>7253378.0580554698</v>
      </c>
    </row>
    <row r="33" spans="2:34">
      <c r="B33" s="4"/>
      <c r="C33" s="4"/>
      <c r="D33" s="4"/>
      <c r="E33" s="4"/>
      <c r="F33" s="4"/>
      <c r="G33" s="4"/>
      <c r="J33" s="23" t="s">
        <v>54</v>
      </c>
      <c r="K33" s="64">
        <f t="shared" si="1"/>
        <v>140154812.05610499</v>
      </c>
      <c r="L33" s="64">
        <f t="shared" si="2"/>
        <v>133816670.32867001</v>
      </c>
      <c r="M33" s="64">
        <f t="shared" si="3"/>
        <v>129476714.62065811</v>
      </c>
      <c r="N33" s="64">
        <f t="shared" si="4"/>
        <v>125132014.69355895</v>
      </c>
      <c r="O33" s="64">
        <f t="shared" si="5"/>
        <v>120801111.01650901</v>
      </c>
      <c r="P33" s="64">
        <f t="shared" si="6"/>
        <v>116466117.96754582</v>
      </c>
      <c r="Q33" s="64">
        <f t="shared" si="7"/>
        <v>112144704.08059597</v>
      </c>
      <c r="R33" s="64">
        <f t="shared" si="8"/>
        <v>103724283.93104629</v>
      </c>
      <c r="S33" s="64">
        <f t="shared" si="9"/>
        <v>91078263.031121776</v>
      </c>
      <c r="T33" s="64">
        <f t="shared" si="10"/>
        <v>82908817.019080743</v>
      </c>
      <c r="U33" s="64">
        <f t="shared" si="11"/>
        <v>70600918.226380512</v>
      </c>
      <c r="V33" s="64">
        <f t="shared" si="12"/>
        <v>51603206.089517422</v>
      </c>
      <c r="W33" s="64">
        <f t="shared" si="13"/>
        <v>32194520.820907153</v>
      </c>
      <c r="X33" s="64">
        <f t="shared" si="14"/>
        <v>12657424.997950861</v>
      </c>
      <c r="Y33" s="64">
        <f t="shared" si="15"/>
        <v>12803981.042977681</v>
      </c>
      <c r="Z33" s="64">
        <f t="shared" si="16"/>
        <v>11090616.599886417</v>
      </c>
      <c r="AA33" s="64">
        <f t="shared" si="17"/>
        <v>8894179.1283589043</v>
      </c>
      <c r="AB33" s="64">
        <f t="shared" si="18"/>
        <v>7164814.987242585</v>
      </c>
      <c r="AC33" s="64">
        <f t="shared" si="19"/>
        <v>7172131.9008566625</v>
      </c>
      <c r="AD33" s="64">
        <f t="shared" si="20"/>
        <v>7173567.8125687558</v>
      </c>
      <c r="AE33" s="64">
        <f t="shared" si="21"/>
        <v>7174650.6053239815</v>
      </c>
      <c r="AF33" s="64">
        <f t="shared" si="22"/>
        <v>7186623.1824372429</v>
      </c>
      <c r="AG33" s="64">
        <f t="shared" si="23"/>
        <v>7190600.0951844584</v>
      </c>
      <c r="AH33" s="64">
        <f t="shared" si="24"/>
        <v>7191968.6942429151</v>
      </c>
    </row>
    <row r="34" spans="2:34">
      <c r="B34" s="4"/>
      <c r="C34" s="4"/>
      <c r="D34" s="4"/>
      <c r="E34" s="4"/>
      <c r="F34" s="4"/>
      <c r="G34" s="4"/>
      <c r="J34" s="23" t="s">
        <v>56</v>
      </c>
      <c r="K34" s="64">
        <f t="shared" si="1"/>
        <v>140154812.05610499</v>
      </c>
      <c r="L34" s="64">
        <f t="shared" si="2"/>
        <v>134497695.29745689</v>
      </c>
      <c r="M34" s="64">
        <f t="shared" si="3"/>
        <v>130172702.55175756</v>
      </c>
      <c r="N34" s="64">
        <f t="shared" si="4"/>
        <v>125844546.99333338</v>
      </c>
      <c r="O34" s="64">
        <f t="shared" si="5"/>
        <v>121525588.93494205</v>
      </c>
      <c r="P34" s="64">
        <f t="shared" si="6"/>
        <v>117203904.6286086</v>
      </c>
      <c r="Q34" s="64">
        <f t="shared" si="7"/>
        <v>112891273.09695056</v>
      </c>
      <c r="R34" s="64">
        <f t="shared" si="8"/>
        <v>104414281.78320135</v>
      </c>
      <c r="S34" s="64">
        <f t="shared" si="9"/>
        <v>91688534.362177446</v>
      </c>
      <c r="T34" s="64">
        <f t="shared" si="10"/>
        <v>83378859.140100673</v>
      </c>
      <c r="U34" s="64">
        <f t="shared" si="11"/>
        <v>70878526.457226381</v>
      </c>
      <c r="V34" s="64">
        <f t="shared" si="12"/>
        <v>51054940.330860667</v>
      </c>
      <c r="W34" s="64">
        <f t="shared" si="13"/>
        <v>30957372.116663512</v>
      </c>
      <c r="X34" s="64">
        <f t="shared" si="14"/>
        <v>10774196.866235666</v>
      </c>
      <c r="Y34" s="64">
        <f t="shared" si="15"/>
        <v>10871900.896253526</v>
      </c>
      <c r="Z34" s="64">
        <f t="shared" si="16"/>
        <v>9729657.9341927022</v>
      </c>
      <c r="AA34" s="64">
        <f t="shared" si="17"/>
        <v>8265366.2865076885</v>
      </c>
      <c r="AB34" s="64">
        <f t="shared" si="18"/>
        <v>7112456.8590968093</v>
      </c>
      <c r="AC34" s="64">
        <f t="shared" si="19"/>
        <v>7117334.8015061971</v>
      </c>
      <c r="AD34" s="64">
        <f t="shared" si="20"/>
        <v>7118292.0759809185</v>
      </c>
      <c r="AE34" s="64">
        <f t="shared" si="21"/>
        <v>7119013.9378177412</v>
      </c>
      <c r="AF34" s="64">
        <f t="shared" si="22"/>
        <v>7126995.6558932438</v>
      </c>
      <c r="AG34" s="64">
        <f t="shared" si="23"/>
        <v>7129646.9310580548</v>
      </c>
      <c r="AH34" s="64">
        <f t="shared" si="24"/>
        <v>7130559.3304303605</v>
      </c>
    </row>
    <row r="35" spans="2:34">
      <c r="B35" s="4"/>
      <c r="C35" s="4"/>
      <c r="D35" s="4"/>
      <c r="E35" s="4"/>
      <c r="F35" s="4"/>
      <c r="G35" s="4"/>
      <c r="J35" s="23" t="s">
        <v>58</v>
      </c>
      <c r="K35" s="64">
        <f t="shared" si="1"/>
        <v>140154812.05610499</v>
      </c>
      <c r="L35" s="64">
        <f t="shared" si="2"/>
        <v>135178720.26624379</v>
      </c>
      <c r="M35" s="64">
        <f t="shared" si="3"/>
        <v>130868690.482857</v>
      </c>
      <c r="N35" s="64">
        <f t="shared" si="4"/>
        <v>126557079.29310782</v>
      </c>
      <c r="O35" s="64">
        <f t="shared" si="5"/>
        <v>122250066.85337509</v>
      </c>
      <c r="P35" s="64">
        <f t="shared" si="6"/>
        <v>117941691.28967138</v>
      </c>
      <c r="Q35" s="64">
        <f t="shared" si="7"/>
        <v>113637842.11330515</v>
      </c>
      <c r="R35" s="64">
        <f t="shared" si="8"/>
        <v>105104279.63535641</v>
      </c>
      <c r="S35" s="64">
        <f t="shared" si="9"/>
        <v>92298805.693233117</v>
      </c>
      <c r="T35" s="64">
        <f t="shared" si="10"/>
        <v>83848901.261120602</v>
      </c>
      <c r="U35" s="64">
        <f t="shared" si="11"/>
        <v>71156134.688072249</v>
      </c>
      <c r="V35" s="64">
        <f t="shared" si="12"/>
        <v>50506674.572203912</v>
      </c>
      <c r="W35" s="64">
        <f t="shared" si="13"/>
        <v>29720223.41241987</v>
      </c>
      <c r="X35" s="64">
        <f t="shared" si="14"/>
        <v>8890968.7345204707</v>
      </c>
      <c r="Y35" s="64">
        <f t="shared" si="15"/>
        <v>8939820.749529371</v>
      </c>
      <c r="Z35" s="64">
        <f t="shared" si="16"/>
        <v>8368699.268498987</v>
      </c>
      <c r="AA35" s="64">
        <f t="shared" si="17"/>
        <v>7636553.4446564727</v>
      </c>
      <c r="AB35" s="64">
        <f t="shared" si="18"/>
        <v>7060098.7309510335</v>
      </c>
      <c r="AC35" s="64">
        <f t="shared" si="19"/>
        <v>7062537.7021557316</v>
      </c>
      <c r="AD35" s="64">
        <f t="shared" si="20"/>
        <v>7063016.3393930811</v>
      </c>
      <c r="AE35" s="64">
        <f t="shared" si="21"/>
        <v>7063377.2703115009</v>
      </c>
      <c r="AF35" s="64">
        <f t="shared" si="22"/>
        <v>7067368.1293492448</v>
      </c>
      <c r="AG35" s="64">
        <f t="shared" si="23"/>
        <v>7068693.7669316512</v>
      </c>
      <c r="AH35" s="64">
        <f t="shared" si="24"/>
        <v>7069149.9666178059</v>
      </c>
    </row>
    <row r="36" spans="2:34">
      <c r="B36" s="4"/>
      <c r="C36" s="4"/>
      <c r="D36" s="4"/>
      <c r="E36" s="4"/>
      <c r="F36" s="4"/>
      <c r="G36" s="4"/>
      <c r="J36" s="23" t="s">
        <v>60</v>
      </c>
      <c r="K36" s="66">
        <f t="shared" si="1"/>
        <v>140154812.05610499</v>
      </c>
      <c r="L36" s="66">
        <f t="shared" si="2"/>
        <v>135859745.23503068</v>
      </c>
      <c r="M36" s="66">
        <f t="shared" si="3"/>
        <v>131564678.41395645</v>
      </c>
      <c r="N36" s="66">
        <f t="shared" si="4"/>
        <v>127269611.59288226</v>
      </c>
      <c r="O36" s="66">
        <f t="shared" si="5"/>
        <v>122974544.77180813</v>
      </c>
      <c r="P36" s="66">
        <f t="shared" si="6"/>
        <v>118679477.95073415</v>
      </c>
      <c r="Q36" s="66">
        <f t="shared" si="7"/>
        <v>114384411.12965974</v>
      </c>
      <c r="R36" s="66">
        <f t="shared" si="8"/>
        <v>105794277.48751147</v>
      </c>
      <c r="S36" s="66">
        <f t="shared" si="9"/>
        <v>92909077.024288788</v>
      </c>
      <c r="T36" s="66">
        <f t="shared" si="10"/>
        <v>84318943.382140532</v>
      </c>
      <c r="U36" s="66">
        <f t="shared" si="11"/>
        <v>71433742.918918118</v>
      </c>
      <c r="V36" s="66">
        <f t="shared" si="12"/>
        <v>49958408.813547157</v>
      </c>
      <c r="W36" s="66">
        <f t="shared" si="13"/>
        <v>28483074.708176229</v>
      </c>
      <c r="X36" s="66">
        <f t="shared" si="14"/>
        <v>7007740.6028052764</v>
      </c>
      <c r="Y36" s="66">
        <f t="shared" si="15"/>
        <v>7007740.6028052159</v>
      </c>
      <c r="Z36" s="66">
        <f t="shared" si="16"/>
        <v>7007740.6028052717</v>
      </c>
      <c r="AA36" s="66">
        <f t="shared" si="17"/>
        <v>7007740.6028052568</v>
      </c>
      <c r="AB36" s="66">
        <f t="shared" si="18"/>
        <v>7007740.6028052578</v>
      </c>
      <c r="AC36" s="66">
        <f t="shared" si="19"/>
        <v>7007740.6028052662</v>
      </c>
      <c r="AD36" s="66">
        <f t="shared" si="20"/>
        <v>7007740.6028052438</v>
      </c>
      <c r="AE36" s="66">
        <f t="shared" si="21"/>
        <v>7007740.6028052606</v>
      </c>
      <c r="AF36" s="66">
        <f t="shared" si="22"/>
        <v>7007740.6028052457</v>
      </c>
      <c r="AG36" s="66">
        <f t="shared" si="23"/>
        <v>7007740.6028052475</v>
      </c>
      <c r="AH36" s="66">
        <f t="shared" si="24"/>
        <v>7007740.6028052513</v>
      </c>
    </row>
    <row r="37" spans="2:34">
      <c r="B37" s="27" t="s">
        <v>76</v>
      </c>
      <c r="C37" s="4"/>
      <c r="D37" s="4"/>
      <c r="E37" s="4"/>
      <c r="F37" s="4"/>
      <c r="G37" s="28"/>
      <c r="J37" s="23" t="s">
        <v>62</v>
      </c>
      <c r="K37" s="64">
        <f t="shared" si="1"/>
        <v>140154812.05610499</v>
      </c>
      <c r="L37" s="64">
        <f t="shared" si="2"/>
        <v>136540770.20381758</v>
      </c>
      <c r="M37" s="64">
        <f t="shared" si="3"/>
        <v>132260666.34505589</v>
      </c>
      <c r="N37" s="64">
        <f t="shared" si="4"/>
        <v>127982143.8926567</v>
      </c>
      <c r="O37" s="64">
        <f t="shared" si="5"/>
        <v>123699022.69024117</v>
      </c>
      <c r="P37" s="64">
        <f t="shared" si="6"/>
        <v>119417264.61179693</v>
      </c>
      <c r="Q37" s="64">
        <f t="shared" si="7"/>
        <v>115130980.14601433</v>
      </c>
      <c r="R37" s="64">
        <f t="shared" si="8"/>
        <v>106484275.33966653</v>
      </c>
      <c r="S37" s="64">
        <f t="shared" si="9"/>
        <v>93519348.355344459</v>
      </c>
      <c r="T37" s="64">
        <f t="shared" si="10"/>
        <v>84788985.503160462</v>
      </c>
      <c r="U37" s="64">
        <f t="shared" si="11"/>
        <v>71711351.149763986</v>
      </c>
      <c r="V37" s="64">
        <f t="shared" si="12"/>
        <v>49410143.054890402</v>
      </c>
      <c r="W37" s="64">
        <f t="shared" si="13"/>
        <v>27245926.003932588</v>
      </c>
      <c r="X37" s="64">
        <f t="shared" si="14"/>
        <v>5124512.4710900821</v>
      </c>
      <c r="Y37" s="64">
        <f t="shared" si="15"/>
        <v>5075660.4560810607</v>
      </c>
      <c r="Z37" s="64">
        <f t="shared" si="16"/>
        <v>5646781.9371115565</v>
      </c>
      <c r="AA37" s="64">
        <f t="shared" si="17"/>
        <v>6378927.760954041</v>
      </c>
      <c r="AB37" s="64">
        <f t="shared" si="18"/>
        <v>6955382.474659482</v>
      </c>
      <c r="AC37" s="64">
        <f t="shared" si="19"/>
        <v>6952943.5034548007</v>
      </c>
      <c r="AD37" s="64">
        <f t="shared" si="20"/>
        <v>6952464.8662174065</v>
      </c>
      <c r="AE37" s="64">
        <f t="shared" si="21"/>
        <v>6952103.9352990203</v>
      </c>
      <c r="AF37" s="64">
        <f t="shared" si="22"/>
        <v>6948113.0762612466</v>
      </c>
      <c r="AG37" s="64">
        <f t="shared" si="23"/>
        <v>6946787.4386788439</v>
      </c>
      <c r="AH37" s="64">
        <f t="shared" si="24"/>
        <v>6946331.2389926966</v>
      </c>
    </row>
    <row r="38" spans="2:34" ht="15.75" customHeight="1" thickBot="1">
      <c r="B38" s="29" t="s">
        <v>77</v>
      </c>
      <c r="C38" s="29" t="s">
        <v>78</v>
      </c>
      <c r="D38" s="29" t="s">
        <v>79</v>
      </c>
      <c r="E38" s="29" t="s">
        <v>72</v>
      </c>
      <c r="F38" s="29" t="s">
        <v>80</v>
      </c>
      <c r="G38" s="30" t="s">
        <v>71</v>
      </c>
      <c r="J38" s="23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</row>
    <row r="39" spans="2:34">
      <c r="B39" s="31"/>
      <c r="C39" s="31" t="s">
        <v>81</v>
      </c>
      <c r="D39" s="31" t="s">
        <v>82</v>
      </c>
      <c r="E39" s="31">
        <v>2020</v>
      </c>
      <c r="F39" s="32">
        <v>-100000000</v>
      </c>
      <c r="G39" s="20" t="s">
        <v>66</v>
      </c>
      <c r="J39" s="23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spans="2:34">
      <c r="B40" s="31"/>
      <c r="C40" s="31" t="s">
        <v>81</v>
      </c>
      <c r="D40" s="31" t="s">
        <v>82</v>
      </c>
      <c r="E40" s="31">
        <v>2050</v>
      </c>
      <c r="F40" s="32">
        <v>-100000000</v>
      </c>
      <c r="G40" s="20" t="s">
        <v>66</v>
      </c>
      <c r="J40" s="23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spans="2:34">
      <c r="B41" s="31"/>
      <c r="C41" s="31" t="s">
        <v>81</v>
      </c>
      <c r="D41" s="31" t="s">
        <v>82</v>
      </c>
      <c r="E41" s="31">
        <v>0</v>
      </c>
      <c r="F41" s="67">
        <v>5</v>
      </c>
      <c r="G41" s="20" t="s">
        <v>66</v>
      </c>
      <c r="J41" s="23"/>
      <c r="K41" s="68">
        <f t="shared" ref="K41:AH41" si="25">K4-K5</f>
        <v>0</v>
      </c>
      <c r="L41" s="68">
        <f t="shared" si="25"/>
        <v>-19068699.126032799</v>
      </c>
      <c r="M41" s="68">
        <f t="shared" si="25"/>
        <v>-19487662.070784613</v>
      </c>
      <c r="N41" s="68">
        <f t="shared" si="25"/>
        <v>-19950904.393684432</v>
      </c>
      <c r="O41" s="68">
        <f t="shared" si="25"/>
        <v>-20285381.71612525</v>
      </c>
      <c r="P41" s="68">
        <f t="shared" si="25"/>
        <v>-20658026.509757668</v>
      </c>
      <c r="Q41" s="68">
        <f t="shared" si="25"/>
        <v>-20903932.457928672</v>
      </c>
      <c r="R41" s="68">
        <f t="shared" si="25"/>
        <v>-19319939.860341713</v>
      </c>
      <c r="S41" s="68">
        <f t="shared" si="25"/>
        <v>-17087597.269558951</v>
      </c>
      <c r="T41" s="68">
        <f t="shared" si="25"/>
        <v>-13161179.388558075</v>
      </c>
      <c r="U41" s="68">
        <f t="shared" si="25"/>
        <v>-7773030.463684231</v>
      </c>
      <c r="V41" s="68">
        <f t="shared" si="25"/>
        <v>15351441.242389195</v>
      </c>
      <c r="W41" s="68">
        <f t="shared" si="25"/>
        <v>34640163.71882192</v>
      </c>
      <c r="X41" s="68">
        <f t="shared" si="25"/>
        <v>52730387.688025445</v>
      </c>
      <c r="Y41" s="68">
        <f t="shared" si="25"/>
        <v>54098244.108276345</v>
      </c>
      <c r="Z41" s="68">
        <f t="shared" si="25"/>
        <v>38106842.639424041</v>
      </c>
      <c r="AA41" s="68">
        <f t="shared" si="25"/>
        <v>17606759.571834043</v>
      </c>
      <c r="AB41" s="68">
        <f t="shared" si="25"/>
        <v>1466027.588081724</v>
      </c>
      <c r="AC41" s="68">
        <f t="shared" si="25"/>
        <v>1534318.7818130432</v>
      </c>
      <c r="AD41" s="68">
        <f t="shared" si="25"/>
        <v>1547720.6244594334</v>
      </c>
      <c r="AE41" s="68">
        <f t="shared" si="25"/>
        <v>1557826.6901747333</v>
      </c>
      <c r="AF41" s="68">
        <f t="shared" si="25"/>
        <v>1669570.7432319643</v>
      </c>
      <c r="AG41" s="68">
        <f t="shared" si="25"/>
        <v>1706688.5955392933</v>
      </c>
      <c r="AH41" s="68">
        <f t="shared" si="25"/>
        <v>1719462.1867515249</v>
      </c>
    </row>
    <row r="42" spans="2:34">
      <c r="J42" s="23"/>
      <c r="K42" s="69">
        <f t="shared" ref="K42:AH42" si="26">K41/28</f>
        <v>0</v>
      </c>
      <c r="L42" s="69">
        <f t="shared" si="26"/>
        <v>-681024.96878688573</v>
      </c>
      <c r="M42" s="69">
        <f t="shared" si="26"/>
        <v>-695987.93109945045</v>
      </c>
      <c r="N42" s="69">
        <f t="shared" si="26"/>
        <v>-712532.29977444396</v>
      </c>
      <c r="O42" s="69">
        <f t="shared" si="26"/>
        <v>-724477.91843304469</v>
      </c>
      <c r="P42" s="69">
        <f t="shared" si="26"/>
        <v>-737786.6610627739</v>
      </c>
      <c r="Q42" s="69">
        <f t="shared" si="26"/>
        <v>-746569.01635459543</v>
      </c>
      <c r="R42" s="69">
        <f t="shared" si="26"/>
        <v>-689997.85215506121</v>
      </c>
      <c r="S42" s="69">
        <f t="shared" si="26"/>
        <v>-610271.3310556768</v>
      </c>
      <c r="T42" s="69">
        <f t="shared" si="26"/>
        <v>-470042.12101993122</v>
      </c>
      <c r="U42" s="69">
        <f t="shared" si="26"/>
        <v>-277608.23084586539</v>
      </c>
      <c r="V42" s="69">
        <f t="shared" si="26"/>
        <v>548265.75865675695</v>
      </c>
      <c r="W42" s="69">
        <f t="shared" si="26"/>
        <v>1237148.7042436399</v>
      </c>
      <c r="X42" s="69">
        <f t="shared" si="26"/>
        <v>1883228.1317151946</v>
      </c>
      <c r="Y42" s="69">
        <f t="shared" si="26"/>
        <v>1932080.1467241552</v>
      </c>
      <c r="Z42" s="69">
        <f t="shared" si="26"/>
        <v>1360958.6656937157</v>
      </c>
      <c r="AA42" s="69">
        <f t="shared" si="26"/>
        <v>628812.84185121581</v>
      </c>
      <c r="AB42" s="69">
        <f t="shared" si="26"/>
        <v>52358.12814577586</v>
      </c>
      <c r="AC42" s="69">
        <f t="shared" si="26"/>
        <v>54797.099350465825</v>
      </c>
      <c r="AD42" s="69">
        <f t="shared" si="26"/>
        <v>55275.736587836909</v>
      </c>
      <c r="AE42" s="69">
        <f t="shared" si="26"/>
        <v>55636.667506240476</v>
      </c>
      <c r="AF42" s="69">
        <f t="shared" si="26"/>
        <v>59627.526543998727</v>
      </c>
      <c r="AG42" s="69">
        <f t="shared" si="26"/>
        <v>60953.164126403331</v>
      </c>
      <c r="AH42" s="69">
        <f t="shared" si="26"/>
        <v>61409.36381255446</v>
      </c>
    </row>
    <row r="43" spans="2:34">
      <c r="J43" s="23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4"/>
      <c r="W43" s="4"/>
      <c r="X43" s="4"/>
      <c r="Y43" s="4"/>
      <c r="Z43" s="4"/>
      <c r="AA43" s="4"/>
      <c r="AB43" s="4"/>
      <c r="AC43" s="4"/>
      <c r="AD43" s="4"/>
    </row>
    <row r="44" spans="2:34">
      <c r="V44" s="4"/>
      <c r="W44" s="4"/>
      <c r="X44" s="4"/>
      <c r="Y44" s="4"/>
      <c r="Z44" s="4"/>
      <c r="AA44" s="4"/>
      <c r="AB44" s="4"/>
      <c r="AC44" s="4"/>
      <c r="AD44" s="4"/>
    </row>
    <row r="45" spans="2:34">
      <c r="V45" s="4"/>
      <c r="W45" s="4"/>
      <c r="X45" s="4"/>
      <c r="Y45" s="4"/>
      <c r="Z45" s="4"/>
      <c r="AA45" s="4"/>
      <c r="AB45" s="4"/>
      <c r="AC45" s="4"/>
      <c r="AD45" s="4"/>
    </row>
    <row r="46" spans="2:34">
      <c r="B46" s="13"/>
      <c r="C46" s="13"/>
      <c r="D46" s="13"/>
      <c r="E46" s="13"/>
      <c r="F46" s="13"/>
      <c r="G46" s="13"/>
      <c r="V46" s="5"/>
      <c r="W46" s="5"/>
      <c r="X46" s="5"/>
      <c r="Y46" s="5"/>
      <c r="Z46" s="5"/>
      <c r="AA46" s="5"/>
      <c r="AB46" s="5"/>
      <c r="AC46" s="5"/>
      <c r="AD46" s="5"/>
    </row>
    <row r="47" spans="2:34">
      <c r="B47" s="13"/>
      <c r="C47" s="13"/>
      <c r="D47" s="13"/>
      <c r="E47" s="13"/>
      <c r="F47" s="13"/>
      <c r="G47" s="13"/>
      <c r="V47" s="5"/>
      <c r="W47" s="5"/>
      <c r="X47" s="5"/>
      <c r="Y47" s="5"/>
      <c r="Z47" s="5"/>
      <c r="AA47" s="5"/>
      <c r="AB47" s="5"/>
      <c r="AC47" s="5"/>
      <c r="AD47" s="5"/>
    </row>
    <row r="48" spans="2:34">
      <c r="B48" s="13"/>
      <c r="C48" s="13"/>
      <c r="D48" s="13"/>
      <c r="E48" s="13"/>
      <c r="F48" s="13"/>
      <c r="G48" s="13"/>
      <c r="V48" s="5"/>
      <c r="W48" s="5"/>
      <c r="X48" s="5"/>
      <c r="Y48" s="5"/>
      <c r="Z48" s="5"/>
      <c r="AA48" s="5"/>
      <c r="AB48" s="5"/>
      <c r="AC48" s="5"/>
      <c r="AD48" s="5"/>
    </row>
    <row r="49" spans="2:34">
      <c r="B49" s="13"/>
      <c r="C49" s="13"/>
      <c r="D49" s="13"/>
      <c r="E49" s="13"/>
      <c r="F49" s="13"/>
      <c r="G49" s="13"/>
      <c r="V49" s="5"/>
      <c r="W49" s="5"/>
      <c r="X49" s="5"/>
      <c r="Y49" s="5"/>
      <c r="Z49" s="5"/>
      <c r="AA49" s="5"/>
      <c r="AB49" s="5"/>
      <c r="AC49" s="5"/>
      <c r="AD49" s="5"/>
    </row>
    <row r="50" spans="2:34">
      <c r="B50" s="13"/>
      <c r="C50" s="13"/>
      <c r="D50" s="13"/>
      <c r="E50" s="13"/>
      <c r="F50" s="13"/>
      <c r="G50" s="13"/>
      <c r="V50" s="5"/>
      <c r="W50" s="5"/>
      <c r="X50" s="5"/>
      <c r="Y50" s="5"/>
      <c r="Z50" s="5"/>
      <c r="AA50" s="5"/>
      <c r="AB50" s="5"/>
      <c r="AC50" s="5"/>
      <c r="AD50" s="5"/>
    </row>
    <row r="51" spans="2:34">
      <c r="B51" s="13"/>
      <c r="C51" s="13"/>
      <c r="D51" s="13"/>
      <c r="E51" s="13"/>
      <c r="F51" s="13"/>
      <c r="G51" s="13"/>
      <c r="J51" s="23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5"/>
      <c r="W51" s="5"/>
      <c r="X51" s="5"/>
      <c r="Y51" s="5"/>
      <c r="Z51" s="5"/>
      <c r="AA51" s="5"/>
      <c r="AB51" s="5"/>
      <c r="AC51" s="5"/>
      <c r="AD51" s="5"/>
    </row>
    <row r="52" spans="2:34">
      <c r="J52" s="23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spans="2:34">
      <c r="J53" s="23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spans="2:34">
      <c r="J54" s="23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7" spans="2:34">
      <c r="B57" s="13"/>
      <c r="C57" s="13"/>
      <c r="D57" s="13"/>
      <c r="E57" s="13"/>
      <c r="F57" s="13"/>
      <c r="G57" s="13"/>
    </row>
    <row r="58" spans="2:34">
      <c r="B58" s="13"/>
      <c r="C58" s="13"/>
      <c r="D58" s="13"/>
      <c r="E58" s="13"/>
      <c r="F58" s="13"/>
      <c r="G58" s="13"/>
    </row>
    <row r="59" spans="2:34">
      <c r="B59" s="13"/>
      <c r="C59" s="13"/>
      <c r="D59" s="13"/>
      <c r="E59" s="13"/>
      <c r="F59" s="13"/>
      <c r="G59" s="13"/>
    </row>
    <row r="60" spans="2:34">
      <c r="B60" s="13"/>
      <c r="C60" s="13"/>
      <c r="D60" s="13"/>
      <c r="E60" s="13"/>
      <c r="F60" s="13"/>
      <c r="G60" s="13"/>
    </row>
    <row r="61" spans="2:34">
      <c r="B61" s="13"/>
      <c r="C61" s="13"/>
      <c r="D61" s="13"/>
      <c r="E61" s="13"/>
      <c r="F61" s="13"/>
      <c r="G61" s="13"/>
    </row>
    <row r="62" spans="2:34">
      <c r="B62" s="13"/>
      <c r="C62" s="13"/>
      <c r="D62" s="13"/>
      <c r="E62" s="13"/>
      <c r="F62" s="13"/>
      <c r="G62" s="13"/>
    </row>
    <row r="63" spans="2:34">
      <c r="B63" s="13"/>
      <c r="C63" s="13"/>
      <c r="D63" s="13"/>
      <c r="E63" s="13"/>
      <c r="F63" s="13"/>
      <c r="G63" s="13"/>
    </row>
    <row r="64" spans="2:34">
      <c r="B64" s="13"/>
      <c r="C64" s="13"/>
      <c r="D64" s="13"/>
      <c r="E64" s="13"/>
      <c r="F64" s="13"/>
      <c r="G64" s="13"/>
    </row>
    <row r="65" spans="2:7">
      <c r="B65" s="13"/>
      <c r="C65" s="13"/>
      <c r="D65" s="13"/>
      <c r="E65" s="13"/>
      <c r="F65" s="13"/>
      <c r="G65" s="13"/>
    </row>
    <row r="66" spans="2:7">
      <c r="B66" s="13"/>
      <c r="C66" s="13"/>
      <c r="D66" s="13"/>
      <c r="E66" s="13"/>
      <c r="F66" s="13"/>
      <c r="G66" s="13"/>
    </row>
    <row r="67" spans="2:7">
      <c r="B67" s="13"/>
      <c r="C67" s="13"/>
      <c r="D67" s="13"/>
      <c r="E67" s="13"/>
      <c r="F67" s="13"/>
      <c r="G67" s="13"/>
    </row>
    <row r="68" spans="2:7">
      <c r="B68" s="13"/>
      <c r="C68" s="13"/>
      <c r="D68" s="13"/>
      <c r="E68" s="13"/>
      <c r="F68" s="13"/>
      <c r="G68" s="13"/>
    </row>
    <row r="69" spans="2:7">
      <c r="B69" s="13"/>
      <c r="C69" s="13"/>
      <c r="D69" s="13"/>
      <c r="E69" s="13"/>
      <c r="F69" s="13"/>
      <c r="G69" s="13"/>
    </row>
    <row r="70" spans="2:7">
      <c r="B70" s="13"/>
      <c r="C70" s="13"/>
      <c r="D70" s="13"/>
      <c r="E70" s="13"/>
      <c r="F70" s="13"/>
      <c r="G70" s="13"/>
    </row>
    <row r="71" spans="2:7">
      <c r="B71" s="13"/>
      <c r="C71" s="13"/>
      <c r="D71" s="13"/>
      <c r="E71" s="13"/>
      <c r="F71" s="13"/>
      <c r="G71" s="13"/>
    </row>
    <row r="72" spans="2:7">
      <c r="B72" s="13"/>
      <c r="C72" s="13"/>
      <c r="D72" s="13"/>
      <c r="E72" s="13"/>
      <c r="F72" s="13"/>
      <c r="G72" s="13"/>
    </row>
    <row r="73" spans="2:7">
      <c r="B73" s="13"/>
      <c r="C73" s="13"/>
      <c r="D73" s="13"/>
      <c r="E73" s="13"/>
      <c r="F73" s="13"/>
      <c r="G73" s="13"/>
    </row>
    <row r="74" spans="2:7">
      <c r="B74" s="13"/>
      <c r="C74" s="13"/>
      <c r="D74" s="13"/>
      <c r="E74" s="13"/>
      <c r="F74" s="13"/>
      <c r="G74" s="13"/>
    </row>
    <row r="75" spans="2:7">
      <c r="B75" s="13"/>
      <c r="C75" s="13"/>
      <c r="D75" s="13"/>
      <c r="E75" s="13"/>
      <c r="F75" s="13"/>
      <c r="G75" s="13"/>
    </row>
    <row r="76" spans="2:7">
      <c r="B76" s="13"/>
      <c r="C76" s="13"/>
      <c r="D76" s="13"/>
      <c r="E76" s="13"/>
      <c r="F76" s="13"/>
      <c r="G76" s="13"/>
    </row>
    <row r="77" spans="2:7">
      <c r="B77" s="13"/>
      <c r="C77" s="13"/>
      <c r="D77" s="13"/>
      <c r="E77" s="13"/>
      <c r="F77" s="13"/>
      <c r="G77" s="13"/>
    </row>
    <row r="78" spans="2:7">
      <c r="B78" s="13"/>
      <c r="C78" s="13"/>
      <c r="D78" s="13"/>
      <c r="E78" s="13"/>
      <c r="F78" s="13"/>
      <c r="G78" s="13"/>
    </row>
    <row r="79" spans="2:7">
      <c r="B79" s="13"/>
      <c r="C79" s="13"/>
      <c r="D79" s="13"/>
      <c r="E79" s="13"/>
      <c r="F79" s="13"/>
      <c r="G79" s="13"/>
    </row>
    <row r="80" spans="2:7">
      <c r="B80" s="13"/>
      <c r="C80" s="13"/>
      <c r="D80" s="13"/>
      <c r="E80" s="13"/>
      <c r="F80" s="13"/>
      <c r="G80" s="13"/>
    </row>
    <row r="81" spans="2:7">
      <c r="B81" s="13"/>
      <c r="C81" s="13"/>
      <c r="D81" s="13"/>
      <c r="E81" s="13"/>
      <c r="F81" s="13"/>
      <c r="G81" s="13"/>
    </row>
    <row r="82" spans="2:7">
      <c r="B82" s="13"/>
      <c r="C82" s="13"/>
      <c r="D82" s="13"/>
      <c r="E82" s="13"/>
      <c r="F82" s="13"/>
      <c r="G82" s="13"/>
    </row>
    <row r="83" spans="2:7">
      <c r="B83" s="13"/>
      <c r="C83" s="13"/>
      <c r="D83" s="13"/>
      <c r="E83" s="13"/>
      <c r="F83" s="13"/>
      <c r="G83" s="13"/>
    </row>
    <row r="84" spans="2:7">
      <c r="B84" s="13"/>
      <c r="C84" s="13"/>
      <c r="D84" s="13"/>
      <c r="E84" s="13"/>
      <c r="F84" s="13"/>
      <c r="G84" s="13"/>
    </row>
    <row r="85" spans="2:7">
      <c r="B85" s="13"/>
      <c r="C85" s="13"/>
      <c r="D85" s="13"/>
      <c r="E85" s="13"/>
      <c r="F85" s="13"/>
      <c r="G85" s="13"/>
    </row>
    <row r="86" spans="2:7">
      <c r="B86" s="13"/>
      <c r="C86" s="13"/>
      <c r="D86" s="13"/>
      <c r="E86" s="13"/>
      <c r="F86" s="13"/>
      <c r="G86" s="13"/>
    </row>
    <row r="87" spans="2:7">
      <c r="B87" s="13"/>
      <c r="C87" s="13"/>
      <c r="D87" s="13"/>
      <c r="E87" s="13"/>
      <c r="F87" s="13"/>
      <c r="G87" s="13"/>
    </row>
    <row r="88" spans="2:7">
      <c r="B88" s="13"/>
      <c r="C88" s="13"/>
      <c r="D88" s="13"/>
      <c r="E88" s="13"/>
      <c r="F88" s="13"/>
      <c r="G88" s="13"/>
    </row>
    <row r="89" spans="2:7">
      <c r="B89" s="13"/>
      <c r="C89" s="13"/>
      <c r="D89" s="13"/>
      <c r="E89" s="13"/>
      <c r="F89" s="13"/>
      <c r="G89" s="13"/>
    </row>
    <row r="90" spans="2:7">
      <c r="B90" s="13"/>
      <c r="C90" s="13"/>
      <c r="D90" s="13"/>
      <c r="E90" s="13"/>
      <c r="F90" s="13"/>
      <c r="G90" s="13"/>
    </row>
    <row r="91" spans="2:7">
      <c r="B91" s="13"/>
      <c r="C91" s="13"/>
      <c r="D91" s="13"/>
      <c r="E91" s="13"/>
      <c r="F91" s="13"/>
      <c r="G91" s="13"/>
    </row>
    <row r="92" spans="2:7">
      <c r="B92" s="13"/>
      <c r="C92" s="13"/>
      <c r="D92" s="13"/>
      <c r="E92" s="13"/>
      <c r="F92" s="13"/>
      <c r="G92" s="13"/>
    </row>
    <row r="93" spans="2:7">
      <c r="B93" s="13"/>
      <c r="C93" s="13"/>
      <c r="D93" s="13"/>
      <c r="E93" s="13"/>
      <c r="F93" s="13"/>
      <c r="G93" s="13"/>
    </row>
    <row r="94" spans="2:7">
      <c r="B94" s="13"/>
      <c r="C94" s="13"/>
      <c r="D94" s="13"/>
      <c r="E94" s="13"/>
      <c r="F94" s="13"/>
      <c r="G94" s="13"/>
    </row>
    <row r="95" spans="2:7">
      <c r="B95" s="13"/>
      <c r="C95" s="13"/>
      <c r="D95" s="13"/>
      <c r="E95" s="13"/>
      <c r="F95" s="13"/>
      <c r="G95" s="13"/>
    </row>
    <row r="96" spans="2:7">
      <c r="B96" s="13"/>
      <c r="C96" s="13"/>
      <c r="D96" s="13"/>
      <c r="E96" s="13"/>
      <c r="F96" s="13"/>
      <c r="G96" s="13"/>
    </row>
    <row r="97" spans="2:7">
      <c r="B97" s="13"/>
      <c r="C97" s="13"/>
      <c r="D97" s="13"/>
      <c r="E97" s="13"/>
      <c r="F97" s="13"/>
      <c r="G97" s="13"/>
    </row>
    <row r="98" spans="2:7">
      <c r="B98" s="13"/>
      <c r="C98" s="13"/>
      <c r="D98" s="13"/>
      <c r="E98" s="13"/>
      <c r="F98" s="13"/>
      <c r="G98" s="13"/>
    </row>
    <row r="99" spans="2:7">
      <c r="B99" s="13"/>
      <c r="C99" s="13"/>
      <c r="D99" s="13"/>
      <c r="E99" s="13"/>
      <c r="F99" s="13"/>
      <c r="G99" s="13"/>
    </row>
    <row r="100" spans="2:7">
      <c r="B100" s="13"/>
      <c r="C100" s="13"/>
      <c r="D100" s="13"/>
      <c r="E100" s="13"/>
      <c r="F100" s="13"/>
      <c r="G100" s="13"/>
    </row>
    <row r="101" spans="2:7">
      <c r="B101" s="13"/>
      <c r="C101" s="13"/>
      <c r="D101" s="13"/>
      <c r="E101" s="13"/>
      <c r="F101" s="13"/>
      <c r="G101" s="13"/>
    </row>
    <row r="102" spans="2:7">
      <c r="B102" s="13"/>
      <c r="C102" s="13"/>
      <c r="D102" s="13"/>
      <c r="E102" s="13"/>
      <c r="F102" s="13"/>
      <c r="G102" s="13"/>
    </row>
    <row r="103" spans="2:7">
      <c r="B103" s="13"/>
      <c r="C103" s="13"/>
      <c r="D103" s="13"/>
      <c r="E103" s="13"/>
      <c r="F103" s="13"/>
      <c r="G103" s="13"/>
    </row>
    <row r="104" spans="2:7">
      <c r="B104" s="13"/>
      <c r="C104" s="13"/>
      <c r="D104" s="13"/>
      <c r="E104" s="13"/>
      <c r="F104" s="13"/>
      <c r="G104" s="13"/>
    </row>
    <row r="105" spans="2:7">
      <c r="B105" s="13"/>
      <c r="C105" s="13"/>
      <c r="D105" s="13"/>
      <c r="E105" s="13"/>
      <c r="F105" s="13"/>
      <c r="G105" s="13"/>
    </row>
    <row r="106" spans="2:7">
      <c r="B106" s="13"/>
      <c r="C106" s="13"/>
      <c r="D106" s="13"/>
      <c r="E106" s="13"/>
      <c r="F106" s="13"/>
      <c r="G106" s="13"/>
    </row>
    <row r="107" spans="2:7">
      <c r="B107" s="13"/>
      <c r="C107" s="13"/>
      <c r="D107" s="13"/>
      <c r="E107" s="13"/>
      <c r="F107" s="13"/>
      <c r="G107" s="13"/>
    </row>
    <row r="108" spans="2:7">
      <c r="B108" s="13"/>
      <c r="C108" s="13"/>
      <c r="D108" s="13"/>
      <c r="E108" s="13"/>
      <c r="F108" s="13"/>
      <c r="G108" s="13"/>
    </row>
    <row r="109" spans="2:7">
      <c r="B109" s="13"/>
      <c r="C109" s="13"/>
      <c r="D109" s="13"/>
      <c r="E109" s="13"/>
      <c r="F109" s="13"/>
      <c r="G109" s="13"/>
    </row>
    <row r="110" spans="2:7">
      <c r="B110" s="13"/>
      <c r="C110" s="13"/>
      <c r="D110" s="13"/>
      <c r="E110" s="13"/>
      <c r="F110" s="13"/>
      <c r="G110" s="13"/>
    </row>
    <row r="111" spans="2:7">
      <c r="B111" s="13"/>
      <c r="C111" s="13"/>
      <c r="D111" s="13"/>
      <c r="E111" s="13"/>
      <c r="F111" s="13"/>
      <c r="G111" s="13"/>
    </row>
    <row r="112" spans="2:7">
      <c r="B112" s="13"/>
      <c r="C112" s="13"/>
      <c r="D112" s="13"/>
      <c r="E112" s="13"/>
      <c r="F112" s="13"/>
      <c r="G112" s="13"/>
    </row>
    <row r="113" spans="2:7">
      <c r="B113" s="13"/>
      <c r="C113" s="13"/>
      <c r="D113" s="13"/>
      <c r="E113" s="13"/>
      <c r="F113" s="13"/>
      <c r="G113" s="13"/>
    </row>
    <row r="114" spans="2:7">
      <c r="B114" s="13"/>
      <c r="C114" s="13"/>
      <c r="D114" s="13"/>
      <c r="E114" s="13"/>
      <c r="F114" s="13"/>
      <c r="G114" s="13"/>
    </row>
    <row r="115" spans="2:7">
      <c r="B115" s="13"/>
      <c r="C115" s="13"/>
      <c r="D115" s="13"/>
      <c r="E115" s="13"/>
      <c r="F115" s="13"/>
      <c r="G115" s="13"/>
    </row>
    <row r="116" spans="2:7">
      <c r="B116" s="13"/>
      <c r="C116" s="13"/>
      <c r="D116" s="13"/>
      <c r="E116" s="13"/>
      <c r="F116" s="13"/>
      <c r="G116" s="13"/>
    </row>
    <row r="117" spans="2:7">
      <c r="B117" s="13"/>
      <c r="C117" s="13"/>
      <c r="D117" s="13"/>
      <c r="E117" s="13"/>
      <c r="F117" s="13"/>
      <c r="G117" s="13"/>
    </row>
    <row r="118" spans="2:7">
      <c r="B118" s="13"/>
      <c r="C118" s="13"/>
      <c r="D118" s="13"/>
      <c r="E118" s="13"/>
      <c r="F118" s="13"/>
      <c r="G118" s="13"/>
    </row>
    <row r="119" spans="2:7">
      <c r="B119" s="13"/>
      <c r="C119" s="13"/>
      <c r="D119" s="13"/>
      <c r="E119" s="13"/>
      <c r="F119" s="13"/>
      <c r="G119" s="13"/>
    </row>
    <row r="120" spans="2:7">
      <c r="B120" s="13"/>
      <c r="C120" s="13"/>
      <c r="D120" s="13"/>
      <c r="E120" s="13"/>
      <c r="F120" s="13"/>
      <c r="G120" s="13"/>
    </row>
    <row r="121" spans="2:7">
      <c r="B121" s="13"/>
      <c r="C121" s="13"/>
      <c r="D121" s="13"/>
      <c r="E121" s="13"/>
      <c r="F121" s="13"/>
      <c r="G121" s="13"/>
    </row>
    <row r="122" spans="2:7">
      <c r="B122" s="13"/>
      <c r="C122" s="13"/>
      <c r="D122" s="13"/>
      <c r="E122" s="13"/>
      <c r="F122" s="13"/>
      <c r="G122" s="13"/>
    </row>
    <row r="123" spans="2:7">
      <c r="B123" s="13"/>
      <c r="C123" s="13"/>
      <c r="D123" s="13"/>
      <c r="E123" s="13"/>
      <c r="F123" s="13"/>
      <c r="G123" s="13"/>
    </row>
    <row r="124" spans="2:7">
      <c r="B124" s="13"/>
      <c r="C124" s="13"/>
      <c r="D124" s="13"/>
      <c r="E124" s="13"/>
      <c r="F124" s="13"/>
      <c r="G124" s="13"/>
    </row>
    <row r="125" spans="2:7">
      <c r="B125" s="13"/>
      <c r="C125" s="13"/>
      <c r="D125" s="13"/>
      <c r="E125" s="13"/>
      <c r="F125" s="13"/>
      <c r="G125" s="13"/>
    </row>
    <row r="126" spans="2:7">
      <c r="B126" s="13"/>
      <c r="C126" s="13"/>
      <c r="D126" s="13"/>
      <c r="E126" s="13"/>
      <c r="F126" s="13"/>
      <c r="G126" s="13"/>
    </row>
    <row r="127" spans="2:7">
      <c r="B127" s="13"/>
      <c r="C127" s="13"/>
      <c r="D127" s="13"/>
      <c r="E127" s="13"/>
      <c r="F127" s="13"/>
      <c r="G127" s="13"/>
    </row>
    <row r="128" spans="2:7">
      <c r="B128" s="13"/>
      <c r="C128" s="13"/>
      <c r="D128" s="13"/>
      <c r="E128" s="13"/>
      <c r="F128" s="13"/>
      <c r="G128" s="13"/>
    </row>
    <row r="129" spans="2:7">
      <c r="B129" s="13"/>
      <c r="C129" s="13"/>
      <c r="D129" s="13"/>
      <c r="E129" s="13"/>
      <c r="F129" s="13"/>
      <c r="G129" s="13"/>
    </row>
    <row r="130" spans="2:7">
      <c r="B130" s="13"/>
      <c r="C130" s="13"/>
      <c r="D130" s="13"/>
      <c r="E130" s="13"/>
      <c r="F130" s="13"/>
      <c r="G130" s="13"/>
    </row>
    <row r="131" spans="2:7">
      <c r="B131" s="13"/>
      <c r="C131" s="13"/>
      <c r="D131" s="13"/>
      <c r="E131" s="13"/>
      <c r="F131" s="13"/>
      <c r="G131" s="13"/>
    </row>
    <row r="132" spans="2:7">
      <c r="B132" s="13"/>
      <c r="C132" s="13"/>
      <c r="D132" s="13"/>
      <c r="E132" s="13"/>
      <c r="F132" s="13"/>
      <c r="G132" s="13"/>
    </row>
    <row r="133" spans="2:7">
      <c r="B133" s="13"/>
      <c r="C133" s="13"/>
      <c r="D133" s="13"/>
      <c r="E133" s="13"/>
      <c r="F133" s="13"/>
      <c r="G133" s="13"/>
    </row>
    <row r="134" spans="2:7">
      <c r="B134" s="13"/>
      <c r="C134" s="13"/>
      <c r="D134" s="13"/>
      <c r="E134" s="13"/>
      <c r="F134" s="13"/>
      <c r="G134" s="13"/>
    </row>
    <row r="135" spans="2:7">
      <c r="B135" s="13"/>
      <c r="C135" s="13"/>
      <c r="D135" s="13"/>
      <c r="E135" s="13"/>
      <c r="F135" s="13"/>
      <c r="G135" s="13"/>
    </row>
    <row r="136" spans="2:7">
      <c r="B136" s="13"/>
      <c r="C136" s="13"/>
      <c r="D136" s="13"/>
      <c r="E136" s="13"/>
      <c r="F136" s="13"/>
      <c r="G136" s="13"/>
    </row>
    <row r="137" spans="2:7">
      <c r="B137" s="13"/>
      <c r="C137" s="13"/>
      <c r="D137" s="13"/>
      <c r="E137" s="13"/>
      <c r="F137" s="13"/>
      <c r="G137" s="13"/>
    </row>
    <row r="138" spans="2:7">
      <c r="B138" s="13"/>
      <c r="C138" s="13"/>
      <c r="D138" s="13"/>
      <c r="E138" s="13"/>
      <c r="F138" s="13"/>
      <c r="G138" s="13"/>
    </row>
    <row r="139" spans="2:7">
      <c r="B139" s="13"/>
      <c r="C139" s="13"/>
      <c r="D139" s="13"/>
      <c r="E139" s="13"/>
      <c r="F139" s="13"/>
      <c r="G139" s="13"/>
    </row>
    <row r="140" spans="2:7">
      <c r="B140" s="13"/>
      <c r="C140" s="13"/>
      <c r="D140" s="13"/>
      <c r="E140" s="13"/>
      <c r="F140" s="13"/>
      <c r="G140" s="13"/>
    </row>
    <row r="141" spans="2:7">
      <c r="B141" s="13"/>
      <c r="C141" s="13"/>
      <c r="D141" s="13"/>
      <c r="E141" s="13"/>
      <c r="F141" s="13"/>
      <c r="G141" s="13"/>
    </row>
    <row r="142" spans="2:7">
      <c r="B142" s="13"/>
      <c r="C142" s="13"/>
      <c r="D142" s="13"/>
      <c r="E142" s="13"/>
      <c r="F142" s="13"/>
      <c r="G142" s="13"/>
    </row>
    <row r="143" spans="2:7">
      <c r="B143" s="13"/>
      <c r="C143" s="13"/>
      <c r="D143" s="13"/>
      <c r="E143" s="13"/>
      <c r="F143" s="13"/>
      <c r="G143" s="13"/>
    </row>
    <row r="144" spans="2:7">
      <c r="B144" s="13"/>
      <c r="C144" s="13"/>
      <c r="D144" s="13"/>
      <c r="E144" s="13"/>
      <c r="F144" s="13"/>
      <c r="G144" s="13"/>
    </row>
    <row r="145" spans="2:7">
      <c r="B145" s="13"/>
      <c r="C145" s="13"/>
      <c r="D145" s="13"/>
      <c r="E145" s="13"/>
      <c r="F145" s="13"/>
      <c r="G145" s="13"/>
    </row>
    <row r="146" spans="2:7">
      <c r="B146" s="13"/>
      <c r="C146" s="13"/>
      <c r="D146" s="13"/>
      <c r="E146" s="13"/>
      <c r="F146" s="13"/>
      <c r="G146" s="13"/>
    </row>
    <row r="147" spans="2:7">
      <c r="B147" s="13"/>
      <c r="C147" s="13"/>
      <c r="D147" s="13"/>
      <c r="E147" s="13"/>
      <c r="F147" s="13"/>
      <c r="G147" s="13"/>
    </row>
    <row r="148" spans="2:7">
      <c r="B148" s="13"/>
      <c r="C148" s="13"/>
      <c r="D148" s="13"/>
      <c r="E148" s="13"/>
      <c r="F148" s="13"/>
      <c r="G148" s="13"/>
    </row>
    <row r="149" spans="2:7">
      <c r="B149" s="13"/>
      <c r="C149" s="13"/>
      <c r="D149" s="13"/>
      <c r="E149" s="13"/>
      <c r="F149" s="13"/>
      <c r="G149" s="13"/>
    </row>
    <row r="150" spans="2:7">
      <c r="B150" s="13"/>
      <c r="C150" s="13"/>
      <c r="D150" s="13"/>
      <c r="E150" s="13"/>
      <c r="F150" s="13"/>
      <c r="G150" s="13"/>
    </row>
    <row r="151" spans="2:7">
      <c r="B151" s="13"/>
      <c r="C151" s="13"/>
      <c r="D151" s="13"/>
      <c r="E151" s="13"/>
      <c r="F151" s="13"/>
      <c r="G151" s="13"/>
    </row>
    <row r="152" spans="2:7">
      <c r="B152" s="13"/>
      <c r="C152" s="13"/>
      <c r="D152" s="13"/>
      <c r="E152" s="13"/>
      <c r="F152" s="13"/>
      <c r="G152" s="13"/>
    </row>
    <row r="153" spans="2:7">
      <c r="B153" s="13"/>
      <c r="C153" s="13"/>
      <c r="D153" s="13"/>
      <c r="E153" s="13"/>
      <c r="F153" s="13"/>
      <c r="G153" s="13"/>
    </row>
    <row r="154" spans="2:7">
      <c r="B154" s="13"/>
      <c r="C154" s="13"/>
      <c r="D154" s="13"/>
      <c r="E154" s="13"/>
      <c r="F154" s="13"/>
      <c r="G154" s="13"/>
    </row>
    <row r="155" spans="2:7">
      <c r="B155" s="13"/>
      <c r="C155" s="13"/>
      <c r="D155" s="13"/>
      <c r="E155" s="13"/>
      <c r="F155" s="13"/>
      <c r="G155" s="13"/>
    </row>
    <row r="156" spans="2:7">
      <c r="B156" s="13"/>
      <c r="C156" s="13"/>
      <c r="D156" s="13"/>
      <c r="E156" s="13"/>
      <c r="F156" s="13"/>
      <c r="G156" s="13"/>
    </row>
    <row r="157" spans="2:7">
      <c r="B157" s="13"/>
      <c r="C157" s="13"/>
      <c r="D157" s="13"/>
      <c r="E157" s="13"/>
      <c r="F157" s="13"/>
      <c r="G157" s="13"/>
    </row>
    <row r="158" spans="2:7">
      <c r="B158" s="13"/>
      <c r="C158" s="13"/>
      <c r="D158" s="13"/>
      <c r="E158" s="13"/>
      <c r="F158" s="13"/>
      <c r="G158" s="13"/>
    </row>
    <row r="159" spans="2:7">
      <c r="B159" s="13"/>
      <c r="C159" s="13"/>
      <c r="D159" s="13"/>
      <c r="E159" s="13"/>
      <c r="F159" s="13"/>
      <c r="G159" s="13"/>
    </row>
    <row r="160" spans="2:7">
      <c r="B160" s="13"/>
      <c r="C160" s="13"/>
      <c r="D160" s="13"/>
      <c r="E160" s="13"/>
      <c r="F160" s="13"/>
      <c r="G160" s="13"/>
    </row>
    <row r="161" spans="2:7">
      <c r="B161" s="13"/>
      <c r="C161" s="13"/>
      <c r="D161" s="13"/>
      <c r="E161" s="13"/>
      <c r="F161" s="13"/>
      <c r="G161" s="13"/>
    </row>
    <row r="162" spans="2:7">
      <c r="B162" s="13"/>
      <c r="C162" s="13"/>
      <c r="D162" s="13"/>
      <c r="E162" s="13"/>
      <c r="F162" s="13"/>
      <c r="G162" s="13"/>
    </row>
    <row r="163" spans="2:7">
      <c r="B163" s="13"/>
      <c r="C163" s="13"/>
      <c r="D163" s="13"/>
      <c r="E163" s="13"/>
      <c r="F163" s="13"/>
      <c r="G163" s="13"/>
    </row>
    <row r="164" spans="2:7">
      <c r="B164" s="13"/>
      <c r="C164" s="13"/>
      <c r="D164" s="13"/>
      <c r="E164" s="13"/>
      <c r="F164" s="13"/>
      <c r="G164" s="13"/>
    </row>
    <row r="165" spans="2:7">
      <c r="B165" s="13"/>
      <c r="C165" s="13"/>
      <c r="D165" s="13"/>
      <c r="E165" s="13"/>
      <c r="F165" s="13"/>
      <c r="G165" s="13"/>
    </row>
    <row r="166" spans="2:7">
      <c r="B166" s="13"/>
      <c r="C166" s="13"/>
      <c r="D166" s="13"/>
      <c r="E166" s="13"/>
      <c r="F166" s="13"/>
      <c r="G166" s="13"/>
    </row>
    <row r="167" spans="2:7">
      <c r="B167" s="13"/>
      <c r="C167" s="13"/>
      <c r="D167" s="13"/>
      <c r="E167" s="13"/>
      <c r="F167" s="13"/>
      <c r="G167" s="13"/>
    </row>
    <row r="168" spans="2:7">
      <c r="B168" s="13"/>
      <c r="C168" s="13"/>
      <c r="D168" s="13"/>
      <c r="E168" s="13"/>
      <c r="F168" s="13"/>
      <c r="G168" s="13"/>
    </row>
    <row r="169" spans="2:7">
      <c r="B169" s="13"/>
      <c r="C169" s="13"/>
      <c r="D169" s="13"/>
      <c r="E169" s="13"/>
      <c r="F169" s="13"/>
      <c r="G169" s="13"/>
    </row>
    <row r="170" spans="2:7">
      <c r="B170" s="13"/>
      <c r="C170" s="13"/>
      <c r="D170" s="13"/>
      <c r="E170" s="13"/>
      <c r="F170" s="13"/>
      <c r="G170" s="13"/>
    </row>
    <row r="171" spans="2:7">
      <c r="B171" s="13"/>
      <c r="C171" s="13"/>
      <c r="D171" s="13"/>
      <c r="E171" s="13"/>
      <c r="F171" s="13"/>
      <c r="G171" s="13"/>
    </row>
    <row r="172" spans="2:7">
      <c r="B172" s="13"/>
      <c r="C172" s="13"/>
      <c r="D172" s="13"/>
      <c r="E172" s="13"/>
      <c r="F172" s="13"/>
      <c r="G172" s="13"/>
    </row>
    <row r="173" spans="2:7">
      <c r="B173" s="13"/>
      <c r="C173" s="13"/>
      <c r="D173" s="13"/>
      <c r="E173" s="13"/>
      <c r="F173" s="13"/>
      <c r="G173" s="13"/>
    </row>
    <row r="174" spans="2:7">
      <c r="B174" s="13"/>
      <c r="C174" s="13"/>
      <c r="D174" s="13"/>
      <c r="E174" s="13"/>
      <c r="F174" s="13"/>
      <c r="G174" s="13"/>
    </row>
    <row r="175" spans="2:7">
      <c r="B175" s="13"/>
      <c r="C175" s="13"/>
      <c r="D175" s="13"/>
      <c r="E175" s="13"/>
      <c r="F175" s="13"/>
      <c r="G175" s="13"/>
    </row>
    <row r="176" spans="2:7">
      <c r="B176" s="13"/>
      <c r="C176" s="13"/>
      <c r="D176" s="13"/>
      <c r="E176" s="13"/>
      <c r="F176" s="13"/>
      <c r="G176" s="13"/>
    </row>
    <row r="177" spans="2:7">
      <c r="B177" s="13"/>
      <c r="C177" s="13"/>
      <c r="D177" s="13"/>
      <c r="E177" s="13"/>
      <c r="F177" s="13"/>
      <c r="G177" s="13"/>
    </row>
    <row r="178" spans="2:7">
      <c r="B178" s="13"/>
      <c r="C178" s="13"/>
      <c r="D178" s="13"/>
      <c r="E178" s="13"/>
      <c r="F178" s="13"/>
      <c r="G178" s="13"/>
    </row>
    <row r="179" spans="2:7">
      <c r="B179" s="13"/>
      <c r="C179" s="13"/>
      <c r="D179" s="13"/>
      <c r="E179" s="13"/>
      <c r="F179" s="13"/>
      <c r="G179" s="13"/>
    </row>
    <row r="180" spans="2:7">
      <c r="B180" s="13"/>
      <c r="C180" s="13"/>
      <c r="D180" s="13"/>
      <c r="E180" s="13"/>
      <c r="F180" s="13"/>
      <c r="G180" s="13"/>
    </row>
    <row r="181" spans="2:7">
      <c r="B181" s="13"/>
      <c r="C181" s="13"/>
      <c r="D181" s="13"/>
      <c r="E181" s="13"/>
      <c r="F181" s="13"/>
      <c r="G181" s="13"/>
    </row>
    <row r="182" spans="2:7">
      <c r="B182" s="13"/>
      <c r="C182" s="13"/>
      <c r="D182" s="13"/>
      <c r="E182" s="13"/>
      <c r="F182" s="13"/>
      <c r="G182" s="13"/>
    </row>
    <row r="183" spans="2:7">
      <c r="B183" s="13"/>
      <c r="C183" s="13"/>
      <c r="D183" s="13"/>
      <c r="E183" s="13"/>
      <c r="F183" s="13"/>
      <c r="G183" s="13"/>
    </row>
    <row r="184" spans="2:7">
      <c r="B184" s="13"/>
      <c r="C184" s="13"/>
      <c r="D184" s="13"/>
      <c r="E184" s="13"/>
      <c r="F184" s="13"/>
      <c r="G184" s="13"/>
    </row>
    <row r="185" spans="2:7">
      <c r="B185" s="13"/>
      <c r="C185" s="13"/>
      <c r="D185" s="13"/>
      <c r="E185" s="13"/>
      <c r="F185" s="13"/>
      <c r="G185" s="13"/>
    </row>
    <row r="186" spans="2:7">
      <c r="B186" s="13"/>
      <c r="C186" s="13"/>
      <c r="D186" s="13"/>
      <c r="E186" s="13"/>
      <c r="F186" s="13"/>
      <c r="G186" s="13"/>
    </row>
    <row r="187" spans="2:7">
      <c r="B187" s="13"/>
      <c r="C187" s="13"/>
      <c r="D187" s="13"/>
      <c r="E187" s="13"/>
      <c r="F187" s="13"/>
      <c r="G187" s="13"/>
    </row>
    <row r="188" spans="2:7">
      <c r="B188" s="13"/>
      <c r="C188" s="13"/>
      <c r="D188" s="13"/>
      <c r="E188" s="13"/>
      <c r="F188" s="13"/>
      <c r="G188" s="13"/>
    </row>
    <row r="189" spans="2:7">
      <c r="B189" s="13"/>
      <c r="C189" s="13"/>
      <c r="D189" s="13"/>
      <c r="E189" s="13"/>
      <c r="F189" s="13"/>
      <c r="G189" s="13"/>
    </row>
    <row r="190" spans="2:7">
      <c r="B190" s="13"/>
      <c r="C190" s="13"/>
      <c r="D190" s="13"/>
      <c r="E190" s="13"/>
      <c r="F190" s="13"/>
      <c r="G190" s="13"/>
    </row>
    <row r="191" spans="2:7">
      <c r="B191" s="13"/>
      <c r="C191" s="13"/>
      <c r="D191" s="13"/>
      <c r="E191" s="13"/>
      <c r="F191" s="13"/>
      <c r="G191" s="13"/>
    </row>
    <row r="192" spans="2:7">
      <c r="B192" s="13"/>
      <c r="C192" s="13"/>
      <c r="D192" s="13"/>
      <c r="E192" s="13"/>
      <c r="F192" s="13"/>
      <c r="G192" s="13"/>
    </row>
    <row r="193" spans="2:7">
      <c r="B193" s="13"/>
      <c r="C193" s="13"/>
      <c r="D193" s="13"/>
      <c r="E193" s="13"/>
      <c r="F193" s="13"/>
      <c r="G193" s="13"/>
    </row>
    <row r="194" spans="2:7">
      <c r="B194" s="13"/>
      <c r="C194" s="13"/>
      <c r="D194" s="13"/>
      <c r="E194" s="13"/>
      <c r="F194" s="13"/>
      <c r="G194" s="13"/>
    </row>
    <row r="195" spans="2:7">
      <c r="B195" s="13"/>
      <c r="C195" s="13"/>
      <c r="D195" s="13"/>
      <c r="E195" s="13"/>
      <c r="F195" s="13"/>
      <c r="G195" s="13"/>
    </row>
    <row r="196" spans="2:7">
      <c r="B196" s="13"/>
      <c r="C196" s="13"/>
      <c r="D196" s="13"/>
      <c r="E196" s="13"/>
      <c r="F196" s="13"/>
      <c r="G196" s="13"/>
    </row>
    <row r="197" spans="2:7">
      <c r="B197" s="13"/>
      <c r="C197" s="13"/>
      <c r="D197" s="13"/>
      <c r="E197" s="13"/>
      <c r="F197" s="13"/>
      <c r="G197" s="13"/>
    </row>
    <row r="198" spans="2:7">
      <c r="B198" s="13"/>
      <c r="C198" s="13"/>
      <c r="D198" s="13"/>
      <c r="E198" s="13"/>
      <c r="F198" s="13"/>
      <c r="G198" s="13"/>
    </row>
    <row r="199" spans="2:7">
      <c r="B199" s="13"/>
      <c r="C199" s="13"/>
      <c r="D199" s="13"/>
      <c r="E199" s="13"/>
      <c r="F199" s="13"/>
      <c r="G199" s="13"/>
    </row>
    <row r="200" spans="2:7">
      <c r="B200" s="13"/>
      <c r="C200" s="13"/>
      <c r="D200" s="13"/>
      <c r="E200" s="13"/>
      <c r="F200" s="13"/>
      <c r="G200" s="13"/>
    </row>
    <row r="201" spans="2:7">
      <c r="B201" s="13"/>
      <c r="C201" s="13"/>
      <c r="D201" s="13"/>
      <c r="E201" s="13"/>
      <c r="F201" s="13"/>
      <c r="G201" s="13"/>
    </row>
    <row r="202" spans="2:7">
      <c r="B202" s="13"/>
      <c r="C202" s="13"/>
      <c r="D202" s="13"/>
      <c r="E202" s="13"/>
      <c r="F202" s="13"/>
      <c r="G202" s="13"/>
    </row>
    <row r="203" spans="2:7">
      <c r="B203" s="13"/>
      <c r="C203" s="13"/>
      <c r="D203" s="13"/>
      <c r="E203" s="13"/>
      <c r="F203" s="13"/>
      <c r="G203" s="13"/>
    </row>
    <row r="204" spans="2:7">
      <c r="B204" s="13"/>
      <c r="C204" s="13"/>
      <c r="D204" s="13"/>
      <c r="E204" s="13"/>
      <c r="F204" s="13"/>
      <c r="G204" s="13"/>
    </row>
    <row r="205" spans="2:7">
      <c r="B205" s="13"/>
      <c r="C205" s="13"/>
      <c r="D205" s="13"/>
      <c r="E205" s="13"/>
      <c r="F205" s="13"/>
      <c r="G205" s="13"/>
    </row>
    <row r="206" spans="2:7">
      <c r="B206" s="13"/>
      <c r="C206" s="13"/>
      <c r="D206" s="13"/>
      <c r="E206" s="13"/>
      <c r="F206" s="13"/>
      <c r="G206" s="13"/>
    </row>
    <row r="207" spans="2:7">
      <c r="B207" s="13"/>
      <c r="C207" s="13"/>
      <c r="D207" s="13"/>
      <c r="E207" s="13"/>
      <c r="F207" s="13"/>
      <c r="G207" s="13"/>
    </row>
    <row r="208" spans="2:7">
      <c r="B208" s="13"/>
      <c r="C208" s="13"/>
      <c r="D208" s="13"/>
      <c r="E208" s="13"/>
      <c r="F208" s="13"/>
      <c r="G208" s="13"/>
    </row>
    <row r="209" spans="2:7">
      <c r="B209" s="13"/>
      <c r="C209" s="13"/>
      <c r="D209" s="13"/>
      <c r="E209" s="13"/>
      <c r="F209" s="13"/>
      <c r="G209" s="13"/>
    </row>
    <row r="210" spans="2:7">
      <c r="B210" s="13"/>
      <c r="C210" s="13"/>
      <c r="D210" s="13"/>
      <c r="E210" s="13"/>
      <c r="F210" s="13"/>
      <c r="G210" s="13"/>
    </row>
    <row r="211" spans="2:7">
      <c r="B211" s="13"/>
      <c r="C211" s="13"/>
      <c r="D211" s="13"/>
      <c r="E211" s="13"/>
      <c r="F211" s="13"/>
      <c r="G211" s="13"/>
    </row>
    <row r="212" spans="2:7">
      <c r="B212" s="13"/>
      <c r="C212" s="13"/>
      <c r="D212" s="13"/>
      <c r="E212" s="13"/>
      <c r="F212" s="13"/>
      <c r="G212" s="13"/>
    </row>
    <row r="213" spans="2:7">
      <c r="B213" s="13"/>
      <c r="C213" s="13"/>
      <c r="D213" s="13"/>
      <c r="E213" s="13"/>
      <c r="F213" s="13"/>
      <c r="G213" s="13"/>
    </row>
    <row r="214" spans="2:7">
      <c r="B214" s="13"/>
      <c r="C214" s="13"/>
      <c r="D214" s="13"/>
      <c r="E214" s="13"/>
      <c r="F214" s="13"/>
      <c r="G214" s="13"/>
    </row>
    <row r="215" spans="2:7">
      <c r="B215" s="13"/>
      <c r="C215" s="13"/>
      <c r="D215" s="13"/>
      <c r="E215" s="13"/>
      <c r="F215" s="13"/>
      <c r="G215" s="13"/>
    </row>
    <row r="216" spans="2:7">
      <c r="B216" s="13"/>
      <c r="C216" s="13"/>
      <c r="D216" s="13"/>
      <c r="E216" s="13"/>
      <c r="F216" s="13"/>
      <c r="G216" s="13"/>
    </row>
    <row r="217" spans="2:7">
      <c r="B217" s="13"/>
      <c r="C217" s="13"/>
      <c r="D217" s="13"/>
      <c r="E217" s="13"/>
      <c r="F217" s="13"/>
      <c r="G217" s="13"/>
    </row>
    <row r="218" spans="2:7">
      <c r="B218" s="13"/>
      <c r="C218" s="13"/>
      <c r="D218" s="13"/>
      <c r="E218" s="13"/>
      <c r="F218" s="13"/>
      <c r="G218" s="13"/>
    </row>
    <row r="219" spans="2:7">
      <c r="B219" s="13"/>
      <c r="C219" s="13"/>
      <c r="D219" s="13"/>
      <c r="E219" s="13"/>
      <c r="F219" s="13"/>
      <c r="G219" s="13"/>
    </row>
    <row r="220" spans="2:7">
      <c r="B220" s="13"/>
      <c r="C220" s="13"/>
      <c r="D220" s="13"/>
      <c r="E220" s="13"/>
      <c r="F220" s="13"/>
      <c r="G220" s="13"/>
    </row>
    <row r="221" spans="2:7">
      <c r="B221" s="13"/>
      <c r="C221" s="13"/>
      <c r="D221" s="13"/>
      <c r="E221" s="13"/>
      <c r="F221" s="13"/>
      <c r="G221" s="13"/>
    </row>
    <row r="222" spans="2:7">
      <c r="B222" s="13"/>
      <c r="C222" s="13"/>
      <c r="D222" s="13"/>
      <c r="E222" s="13"/>
      <c r="F222" s="13"/>
      <c r="G222" s="13"/>
    </row>
    <row r="223" spans="2:7">
      <c r="B223" s="13"/>
      <c r="C223" s="13"/>
      <c r="D223" s="13"/>
      <c r="E223" s="13"/>
      <c r="F223" s="13"/>
      <c r="G223" s="13"/>
    </row>
    <row r="224" spans="2:7">
      <c r="B224" s="13"/>
      <c r="C224" s="13"/>
      <c r="D224" s="13"/>
      <c r="E224" s="13"/>
      <c r="F224" s="13"/>
      <c r="G224" s="13"/>
    </row>
    <row r="225" spans="2:7">
      <c r="B225" s="13"/>
      <c r="C225" s="13"/>
      <c r="D225" s="13"/>
      <c r="E225" s="13"/>
      <c r="F225" s="13"/>
      <c r="G225" s="13"/>
    </row>
    <row r="226" spans="2:7">
      <c r="B226" s="13"/>
      <c r="C226" s="13"/>
      <c r="D226" s="13"/>
      <c r="E226" s="13"/>
      <c r="F226" s="13"/>
      <c r="G226" s="13"/>
    </row>
    <row r="227" spans="2:7">
      <c r="B227" s="13"/>
      <c r="C227" s="13"/>
      <c r="D227" s="13"/>
      <c r="E227" s="13"/>
      <c r="F227" s="13"/>
      <c r="G227" s="13"/>
    </row>
    <row r="228" spans="2:7">
      <c r="B228" s="13"/>
      <c r="C228" s="13"/>
      <c r="D228" s="13"/>
      <c r="E228" s="13"/>
      <c r="F228" s="13"/>
      <c r="G228" s="13"/>
    </row>
    <row r="229" spans="2:7">
      <c r="B229" s="13"/>
      <c r="C229" s="13"/>
      <c r="D229" s="13"/>
      <c r="E229" s="13"/>
      <c r="F229" s="13"/>
      <c r="G229" s="13"/>
    </row>
    <row r="230" spans="2:7">
      <c r="B230" s="13"/>
      <c r="C230" s="13"/>
      <c r="D230" s="13"/>
      <c r="E230" s="13"/>
      <c r="F230" s="13"/>
      <c r="G230" s="13"/>
    </row>
    <row r="231" spans="2:7">
      <c r="B231" s="13"/>
      <c r="C231" s="13"/>
      <c r="D231" s="13"/>
      <c r="E231" s="13"/>
      <c r="F231" s="13"/>
      <c r="G231" s="13"/>
    </row>
    <row r="232" spans="2:7">
      <c r="B232" s="13"/>
      <c r="C232" s="13"/>
      <c r="D232" s="13"/>
      <c r="E232" s="13"/>
      <c r="F232" s="13"/>
      <c r="G232" s="13"/>
    </row>
    <row r="233" spans="2:7">
      <c r="B233" s="13"/>
      <c r="C233" s="13"/>
      <c r="D233" s="13"/>
      <c r="E233" s="13"/>
      <c r="F233" s="13"/>
      <c r="G233" s="13"/>
    </row>
    <row r="234" spans="2:7">
      <c r="B234" s="13"/>
      <c r="C234" s="13"/>
      <c r="D234" s="13"/>
      <c r="E234" s="13"/>
      <c r="F234" s="13"/>
      <c r="G234" s="13"/>
    </row>
    <row r="235" spans="2:7">
      <c r="B235" s="13"/>
      <c r="C235" s="13"/>
      <c r="D235" s="13"/>
      <c r="E235" s="13"/>
      <c r="F235" s="13"/>
      <c r="G235" s="13"/>
    </row>
    <row r="236" spans="2:7">
      <c r="B236" s="13"/>
      <c r="C236" s="13"/>
      <c r="D236" s="13"/>
      <c r="E236" s="13"/>
      <c r="F236" s="13"/>
      <c r="G236" s="13"/>
    </row>
    <row r="237" spans="2:7">
      <c r="B237" s="13"/>
      <c r="C237" s="13"/>
      <c r="D237" s="13"/>
      <c r="E237" s="13"/>
      <c r="F237" s="13"/>
      <c r="G237" s="13"/>
    </row>
    <row r="238" spans="2:7">
      <c r="B238" s="13"/>
      <c r="C238" s="13"/>
      <c r="D238" s="13"/>
      <c r="E238" s="13"/>
      <c r="F238" s="13"/>
      <c r="G238" s="13"/>
    </row>
    <row r="239" spans="2:7">
      <c r="B239" s="13"/>
      <c r="C239" s="13"/>
      <c r="D239" s="13"/>
      <c r="E239" s="13"/>
      <c r="F239" s="13"/>
      <c r="G239" s="13"/>
    </row>
    <row r="240" spans="2:7">
      <c r="B240" s="13"/>
      <c r="C240" s="13"/>
      <c r="D240" s="13"/>
      <c r="E240" s="13"/>
      <c r="F240" s="13"/>
      <c r="G240" s="13"/>
    </row>
    <row r="241" spans="2:7">
      <c r="B241" s="13"/>
      <c r="C241" s="13"/>
      <c r="D241" s="13"/>
      <c r="E241" s="13"/>
      <c r="F241" s="13"/>
      <c r="G241" s="13"/>
    </row>
    <row r="242" spans="2:7">
      <c r="B242" s="13"/>
      <c r="C242" s="13"/>
      <c r="D242" s="13"/>
      <c r="E242" s="13"/>
      <c r="F242" s="13"/>
      <c r="G242" s="13"/>
    </row>
    <row r="243" spans="2:7">
      <c r="B243" s="13"/>
      <c r="C243" s="13"/>
      <c r="D243" s="13"/>
      <c r="E243" s="13"/>
      <c r="F243" s="13"/>
      <c r="G243" s="13"/>
    </row>
    <row r="244" spans="2:7">
      <c r="B244" s="13"/>
      <c r="C244" s="13"/>
      <c r="D244" s="13"/>
      <c r="E244" s="13"/>
      <c r="F244" s="13"/>
      <c r="G244" s="13"/>
    </row>
    <row r="245" spans="2:7">
      <c r="B245" s="13"/>
      <c r="C245" s="13"/>
      <c r="D245" s="13"/>
      <c r="E245" s="13"/>
      <c r="F245" s="13"/>
      <c r="G245" s="13"/>
    </row>
    <row r="246" spans="2:7">
      <c r="B246" s="13"/>
      <c r="C246" s="13"/>
      <c r="D246" s="13"/>
      <c r="E246" s="13"/>
      <c r="F246" s="13"/>
      <c r="G246" s="13"/>
    </row>
    <row r="247" spans="2:7">
      <c r="B247" s="13"/>
      <c r="C247" s="13"/>
      <c r="D247" s="13"/>
      <c r="E247" s="13"/>
      <c r="F247" s="13"/>
      <c r="G247" s="13"/>
    </row>
    <row r="248" spans="2:7">
      <c r="B248" s="13"/>
      <c r="C248" s="13"/>
      <c r="D248" s="13"/>
      <c r="E248" s="13"/>
      <c r="F248" s="13"/>
      <c r="G248" s="13"/>
    </row>
    <row r="249" spans="2:7">
      <c r="B249" s="13"/>
      <c r="C249" s="13"/>
      <c r="D249" s="13"/>
      <c r="E249" s="13"/>
      <c r="F249" s="13"/>
      <c r="G249" s="13"/>
    </row>
    <row r="250" spans="2:7">
      <c r="B250" s="13"/>
      <c r="C250" s="13"/>
      <c r="D250" s="13"/>
      <c r="E250" s="13"/>
      <c r="F250" s="13"/>
      <c r="G250" s="13"/>
    </row>
    <row r="251" spans="2:7">
      <c r="B251" s="13"/>
      <c r="C251" s="13"/>
      <c r="D251" s="13"/>
      <c r="E251" s="13"/>
      <c r="F251" s="13"/>
      <c r="G251" s="13"/>
    </row>
    <row r="252" spans="2:7">
      <c r="B252" s="13"/>
      <c r="C252" s="13"/>
      <c r="D252" s="13"/>
      <c r="E252" s="13"/>
      <c r="F252" s="13"/>
      <c r="G252" s="13"/>
    </row>
    <row r="253" spans="2:7">
      <c r="B253" s="13"/>
      <c r="C253" s="13"/>
      <c r="D253" s="13"/>
      <c r="E253" s="13"/>
      <c r="F253" s="13"/>
      <c r="G253" s="13"/>
    </row>
    <row r="254" spans="2:7">
      <c r="B254" s="13"/>
      <c r="C254" s="13"/>
      <c r="D254" s="13"/>
      <c r="E254" s="13"/>
      <c r="F254" s="13"/>
      <c r="G254" s="13"/>
    </row>
    <row r="255" spans="2:7">
      <c r="B255" s="13"/>
      <c r="C255" s="13"/>
      <c r="D255" s="13"/>
      <c r="E255" s="13"/>
      <c r="F255" s="13"/>
      <c r="G255" s="13"/>
    </row>
    <row r="256" spans="2:7">
      <c r="B256" s="13"/>
      <c r="C256" s="13"/>
      <c r="D256" s="13"/>
      <c r="E256" s="13"/>
      <c r="F256" s="13"/>
      <c r="G256" s="13"/>
    </row>
    <row r="257" spans="2:7">
      <c r="B257" s="13"/>
      <c r="C257" s="13"/>
      <c r="D257" s="13"/>
      <c r="E257" s="13"/>
      <c r="F257" s="13"/>
      <c r="G257" s="13"/>
    </row>
    <row r="258" spans="2:7">
      <c r="B258" s="13"/>
      <c r="C258" s="13"/>
      <c r="D258" s="13"/>
      <c r="E258" s="13"/>
      <c r="F258" s="13"/>
      <c r="G258" s="13"/>
    </row>
    <row r="259" spans="2:7">
      <c r="B259" s="13"/>
      <c r="C259" s="13"/>
      <c r="D259" s="13"/>
      <c r="E259" s="13"/>
      <c r="F259" s="13"/>
      <c r="G259" s="13"/>
    </row>
    <row r="260" spans="2:7">
      <c r="B260" s="13"/>
      <c r="C260" s="13"/>
      <c r="D260" s="13"/>
      <c r="E260" s="13"/>
      <c r="F260" s="13"/>
      <c r="G260" s="13"/>
    </row>
    <row r="261" spans="2:7">
      <c r="B261" s="13"/>
      <c r="C261" s="13"/>
      <c r="D261" s="13"/>
      <c r="E261" s="13"/>
      <c r="F261" s="13"/>
      <c r="G261" s="13"/>
    </row>
    <row r="262" spans="2:7">
      <c r="B262" s="13"/>
      <c r="C262" s="13"/>
      <c r="D262" s="13"/>
      <c r="E262" s="13"/>
      <c r="F262" s="13"/>
      <c r="G262" s="13"/>
    </row>
    <row r="263" spans="2:7">
      <c r="B263" s="13"/>
      <c r="C263" s="13"/>
      <c r="D263" s="13"/>
      <c r="E263" s="13"/>
      <c r="F263" s="13"/>
      <c r="G263" s="13"/>
    </row>
    <row r="264" spans="2:7">
      <c r="B264" s="13"/>
      <c r="C264" s="13"/>
      <c r="D264" s="13"/>
      <c r="E264" s="13"/>
      <c r="F264" s="13"/>
      <c r="G264" s="13"/>
    </row>
  </sheetData>
  <pageMargins left="0.75" right="0.75" top="1" bottom="1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>
    <tabColor theme="0" tint="-0.249977111117893"/>
  </sheetPr>
  <dimension ref="A1"/>
  <sheetViews>
    <sheetView workbookViewId="0">
      <selection activeCell="I52" sqref="I52"/>
    </sheetView>
  </sheetViews>
  <sheetFormatPr defaultRowHeight="12.7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/>
  <dimension ref="A1:Z20"/>
  <sheetViews>
    <sheetView workbookViewId="0">
      <selection activeCell="D13" sqref="D13"/>
    </sheetView>
  </sheetViews>
  <sheetFormatPr defaultRowHeight="12.75"/>
  <cols>
    <col min="1" max="1" width="36.5703125" bestFit="1" customWidth="1"/>
    <col min="2" max="2" width="11.5703125" bestFit="1" customWidth="1"/>
    <col min="3" max="13" width="15.28515625" bestFit="1" customWidth="1"/>
    <col min="14" max="16" width="14.28515625" bestFit="1" customWidth="1"/>
    <col min="17" max="26" width="15.28515625" bestFit="1" customWidth="1"/>
  </cols>
  <sheetData>
    <row r="1" spans="1:26">
      <c r="A1" t="s">
        <v>84</v>
      </c>
    </row>
    <row r="4" spans="1:26">
      <c r="A4" s="37" t="s">
        <v>85</v>
      </c>
      <c r="B4" s="38"/>
      <c r="C4" s="37" t="s">
        <v>86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>
      <c r="A5" s="37" t="s">
        <v>87</v>
      </c>
      <c r="B5" s="37" t="s">
        <v>88</v>
      </c>
      <c r="C5" s="39">
        <v>2019</v>
      </c>
      <c r="D5" s="39">
        <v>2020</v>
      </c>
      <c r="E5" s="39">
        <v>2021</v>
      </c>
      <c r="F5" s="39">
        <v>2022</v>
      </c>
      <c r="G5" s="39">
        <v>2023</v>
      </c>
      <c r="H5" s="39">
        <v>2024</v>
      </c>
      <c r="I5" s="39">
        <v>2025</v>
      </c>
      <c r="J5" s="39">
        <v>2027</v>
      </c>
      <c r="K5" s="39">
        <v>2030</v>
      </c>
      <c r="L5" s="39">
        <v>2032</v>
      </c>
      <c r="M5" s="39">
        <v>2035</v>
      </c>
      <c r="N5" s="39">
        <v>2040</v>
      </c>
      <c r="O5" s="39">
        <v>2045</v>
      </c>
      <c r="P5" s="39">
        <v>2050</v>
      </c>
      <c r="Q5" s="39">
        <v>2055</v>
      </c>
      <c r="R5" s="39">
        <v>2060</v>
      </c>
      <c r="S5" s="39">
        <v>2065</v>
      </c>
      <c r="T5" s="39">
        <v>2070</v>
      </c>
      <c r="U5" s="39">
        <v>2075</v>
      </c>
      <c r="V5" s="39">
        <v>2080</v>
      </c>
      <c r="W5" s="39">
        <v>2085</v>
      </c>
      <c r="X5" s="39">
        <v>2090</v>
      </c>
      <c r="Y5" s="39">
        <v>2095</v>
      </c>
      <c r="Z5" s="39">
        <v>2100</v>
      </c>
    </row>
    <row r="6" spans="1:26">
      <c r="A6" s="57" t="s">
        <v>66</v>
      </c>
      <c r="B6" s="57" t="s">
        <v>1</v>
      </c>
      <c r="C6" s="58">
        <v>17051794.320036098</v>
      </c>
      <c r="D6" s="58">
        <v>17411912.7284825</v>
      </c>
      <c r="E6" s="58">
        <v>17042314.412893798</v>
      </c>
      <c r="F6" s="58">
        <v>16738950.979414601</v>
      </c>
      <c r="G6" s="58">
        <v>16467806.509803399</v>
      </c>
      <c r="H6" s="58">
        <v>16169641.1764255</v>
      </c>
      <c r="I6" s="58">
        <v>15909010.450488999</v>
      </c>
      <c r="J6" s="58">
        <v>15481949.447609801</v>
      </c>
      <c r="K6" s="58">
        <v>14551152.062022099</v>
      </c>
      <c r="L6" s="58">
        <v>14083056.1381485</v>
      </c>
      <c r="M6" s="58">
        <v>13838793.024543701</v>
      </c>
      <c r="N6" s="58">
        <v>13330953.1466696</v>
      </c>
      <c r="O6" s="58">
        <v>13335442.4330044</v>
      </c>
      <c r="P6" s="58">
        <v>13363578.259632001</v>
      </c>
      <c r="Q6" s="58">
        <v>13122307.857685</v>
      </c>
      <c r="R6" s="58">
        <v>13186983.711572399</v>
      </c>
      <c r="S6" s="58">
        <v>13434598.9708813</v>
      </c>
      <c r="T6" s="58">
        <v>13688958.0206508</v>
      </c>
      <c r="U6" s="58">
        <v>13945372.9130203</v>
      </c>
      <c r="V6" s="58">
        <v>14203176.4878932</v>
      </c>
      <c r="W6" s="58">
        <v>14462560.8652943</v>
      </c>
      <c r="X6" s="58">
        <v>14723407.0002004</v>
      </c>
      <c r="Y6" s="58">
        <v>14988271.0230789</v>
      </c>
      <c r="Z6" s="58">
        <v>15256424.2147331</v>
      </c>
    </row>
    <row r="7" spans="1:26">
      <c r="A7" s="57" t="s">
        <v>66</v>
      </c>
      <c r="B7" s="57" t="s">
        <v>2</v>
      </c>
      <c r="C7" s="59">
        <v>140154812.05610499</v>
      </c>
      <c r="D7" s="59">
        <v>116791046.108998</v>
      </c>
      <c r="E7" s="59">
        <v>112077016.343172</v>
      </c>
      <c r="F7" s="59">
        <v>107318707.19919799</v>
      </c>
      <c r="G7" s="59">
        <v>102689163.055683</v>
      </c>
      <c r="H7" s="59">
        <v>98021451.440976396</v>
      </c>
      <c r="I7" s="59">
        <v>93480478.671731204</v>
      </c>
      <c r="J7" s="59">
        <v>86474337.627169803</v>
      </c>
      <c r="K7" s="59">
        <v>75821479.754730001</v>
      </c>
      <c r="L7" s="59">
        <v>71157763.993582502</v>
      </c>
      <c r="M7" s="59">
        <v>63660712.455233797</v>
      </c>
      <c r="N7" s="59">
        <v>65309850.055936299</v>
      </c>
      <c r="O7" s="59">
        <v>63123238.426998101</v>
      </c>
      <c r="P7" s="59">
        <v>59738128.290830702</v>
      </c>
      <c r="Q7" s="59">
        <v>61105984.711081602</v>
      </c>
      <c r="R7" s="59">
        <v>45114583.242229298</v>
      </c>
      <c r="S7" s="59">
        <v>24614500.1746393</v>
      </c>
      <c r="T7" s="59">
        <v>8473768.1908869799</v>
      </c>
      <c r="U7" s="59">
        <v>8542059.3846182991</v>
      </c>
      <c r="V7" s="59">
        <v>8555461.2272646893</v>
      </c>
      <c r="W7" s="59">
        <v>8565567.2929799892</v>
      </c>
      <c r="X7" s="59">
        <v>8677311.3460372202</v>
      </c>
      <c r="Y7" s="59">
        <v>8714429.1983445492</v>
      </c>
      <c r="Z7" s="59">
        <v>8727202.7895567808</v>
      </c>
    </row>
    <row r="8" spans="1:26">
      <c r="A8" s="57" t="s">
        <v>89</v>
      </c>
      <c r="B8" s="57" t="s">
        <v>89</v>
      </c>
      <c r="C8" s="60">
        <v>157206606.37614101</v>
      </c>
      <c r="D8" s="60">
        <v>134202958.83748101</v>
      </c>
      <c r="E8" s="60">
        <v>129119330.75606599</v>
      </c>
      <c r="F8" s="60">
        <v>124057658.17861301</v>
      </c>
      <c r="G8" s="60">
        <v>119156969.565486</v>
      </c>
      <c r="H8" s="60">
        <v>114191092.617402</v>
      </c>
      <c r="I8" s="60">
        <v>109389489.12221999</v>
      </c>
      <c r="J8" s="60">
        <v>101956287.07478</v>
      </c>
      <c r="K8" s="60">
        <v>90372631.816752106</v>
      </c>
      <c r="L8" s="60">
        <v>85240820.131731004</v>
      </c>
      <c r="M8" s="60">
        <v>77499505.4797775</v>
      </c>
      <c r="N8" s="60">
        <v>78640803.202605903</v>
      </c>
      <c r="O8" s="60">
        <v>76458680.860002503</v>
      </c>
      <c r="P8" s="60">
        <v>73101706.550462693</v>
      </c>
      <c r="Q8" s="60">
        <v>74228292.568766594</v>
      </c>
      <c r="R8" s="60">
        <v>58301566.953801699</v>
      </c>
      <c r="S8" s="60">
        <v>38049099.145520598</v>
      </c>
      <c r="T8" s="60">
        <v>22162726.211537801</v>
      </c>
      <c r="U8" s="60">
        <v>22487432.297638599</v>
      </c>
      <c r="V8" s="60">
        <v>22758637.7151579</v>
      </c>
      <c r="W8" s="60">
        <v>23028128.1582743</v>
      </c>
      <c r="X8" s="60">
        <v>23400718.3462376</v>
      </c>
      <c r="Y8" s="60">
        <v>23702700.221423399</v>
      </c>
      <c r="Z8" s="60">
        <v>23983627.004289899</v>
      </c>
    </row>
    <row r="15" spans="1:26">
      <c r="A15" t="s">
        <v>90</v>
      </c>
    </row>
    <row r="16" spans="1:26">
      <c r="A16" s="37" t="s">
        <v>85</v>
      </c>
      <c r="B16" s="38"/>
      <c r="C16" s="37" t="s">
        <v>86</v>
      </c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7" t="s">
        <v>87</v>
      </c>
      <c r="B17" s="37" t="s">
        <v>88</v>
      </c>
      <c r="C17" s="39">
        <v>2019</v>
      </c>
      <c r="D17" s="39">
        <v>2020</v>
      </c>
      <c r="E17" s="39">
        <v>2021</v>
      </c>
      <c r="F17" s="39">
        <v>2022</v>
      </c>
      <c r="G17" s="39">
        <v>2023</v>
      </c>
      <c r="H17" s="39">
        <v>2024</v>
      </c>
      <c r="I17" s="39">
        <v>2025</v>
      </c>
      <c r="J17" s="39">
        <v>2027</v>
      </c>
      <c r="K17" s="39">
        <v>2030</v>
      </c>
      <c r="L17" s="39">
        <v>2032</v>
      </c>
      <c r="M17" s="39">
        <v>2035</v>
      </c>
      <c r="N17" s="39">
        <v>2040</v>
      </c>
      <c r="O17" s="39">
        <v>2045</v>
      </c>
      <c r="P17" s="39">
        <v>2050</v>
      </c>
      <c r="Q17" s="39">
        <v>2055</v>
      </c>
      <c r="R17" s="39">
        <v>2060</v>
      </c>
      <c r="S17" s="39">
        <v>2065</v>
      </c>
      <c r="T17" s="39">
        <v>2070</v>
      </c>
      <c r="U17" s="39">
        <v>2075</v>
      </c>
      <c r="V17" s="39">
        <v>2080</v>
      </c>
      <c r="W17" s="39">
        <v>2085</v>
      </c>
      <c r="X17" s="39">
        <v>2090</v>
      </c>
      <c r="Y17" s="39">
        <v>2095</v>
      </c>
      <c r="Z17" s="39">
        <v>2100</v>
      </c>
    </row>
    <row r="18" spans="1:26">
      <c r="A18" s="40" t="s">
        <v>66</v>
      </c>
      <c r="B18" s="40" t="s">
        <v>2</v>
      </c>
      <c r="C18" s="41">
        <v>38627278.527364902</v>
      </c>
      <c r="D18" s="41">
        <v>41546699.268929496</v>
      </c>
      <c r="E18" s="41">
        <v>40934895.238130003</v>
      </c>
      <c r="F18" s="41">
        <v>40417389.3913491</v>
      </c>
      <c r="G18" s="41">
        <v>39925913.773449302</v>
      </c>
      <c r="H18" s="41">
        <v>39497229.982994698</v>
      </c>
      <c r="I18" s="41">
        <v>39117290.857658602</v>
      </c>
      <c r="J18" s="41">
        <v>38194831.990701698</v>
      </c>
      <c r="K18" s="41">
        <v>36194519.955869101</v>
      </c>
      <c r="L18" s="41">
        <v>35380258.747071803</v>
      </c>
      <c r="M18" s="41">
        <v>34993775.151930302</v>
      </c>
      <c r="N18" s="41">
        <v>32349668.992587201</v>
      </c>
      <c r="O18" s="41">
        <v>28704114.045150299</v>
      </c>
      <c r="P18" s="41">
        <v>27324792.102229599</v>
      </c>
      <c r="Q18" s="41">
        <v>27456073.5543193</v>
      </c>
      <c r="R18" s="41">
        <v>27959420.423287898</v>
      </c>
      <c r="S18" s="41">
        <v>28476330.7183697</v>
      </c>
      <c r="T18" s="41">
        <v>28999489.6797974</v>
      </c>
      <c r="U18" s="41">
        <v>29491503.609430399</v>
      </c>
      <c r="V18" s="41">
        <v>30050873.6412163</v>
      </c>
      <c r="W18" s="41">
        <v>30579353.654169399</v>
      </c>
      <c r="X18" s="41">
        <v>31103124.012364</v>
      </c>
      <c r="Y18" s="41">
        <v>31641981.296218202</v>
      </c>
      <c r="Z18" s="41">
        <v>32176545.106593899</v>
      </c>
    </row>
    <row r="19" spans="1:26">
      <c r="A19" s="40" t="s">
        <v>66</v>
      </c>
      <c r="B19" s="40" t="s">
        <v>1</v>
      </c>
      <c r="C19" s="41">
        <v>11434915.3186293</v>
      </c>
      <c r="D19" s="41">
        <v>7535855.8218425103</v>
      </c>
      <c r="E19" s="41">
        <v>8027883.4263306996</v>
      </c>
      <c r="F19" s="41">
        <v>7560538.3043080801</v>
      </c>
      <c r="G19" s="41">
        <v>7013467.8184290798</v>
      </c>
      <c r="H19" s="41">
        <v>6513435.7083001398</v>
      </c>
      <c r="I19" s="41">
        <v>6440342.5133912303</v>
      </c>
      <c r="J19" s="41">
        <v>5858894.4792744704</v>
      </c>
      <c r="K19" s="41">
        <v>5633947.99801974</v>
      </c>
      <c r="L19" s="41">
        <v>5461669.42494231</v>
      </c>
      <c r="M19" s="41">
        <v>3888295.2080423399</v>
      </c>
      <c r="N19" s="41">
        <v>6056346.1380958697</v>
      </c>
      <c r="O19" s="41">
        <v>9277221.7270672992</v>
      </c>
      <c r="P19" s="41">
        <v>8062246.9776605899</v>
      </c>
      <c r="Q19" s="41">
        <v>7179450.8965139603</v>
      </c>
      <c r="R19" s="41">
        <v>7322101.2752364902</v>
      </c>
      <c r="S19" s="41">
        <v>7395879.4503630605</v>
      </c>
      <c r="T19" s="41">
        <v>7710440.36248245</v>
      </c>
      <c r="U19" s="41">
        <v>7766026.3577024601</v>
      </c>
      <c r="V19" s="41">
        <v>8082155.3856127802</v>
      </c>
      <c r="W19" s="41">
        <v>8407882.6410718393</v>
      </c>
      <c r="X19" s="41">
        <v>8737543.7895360403</v>
      </c>
      <c r="Y19" s="41">
        <v>9070452.0942983609</v>
      </c>
      <c r="Z19" s="41">
        <v>9414203.5558064003</v>
      </c>
    </row>
    <row r="20" spans="1:26">
      <c r="A20" s="40" t="s">
        <v>66</v>
      </c>
      <c r="B20" s="40" t="s">
        <v>91</v>
      </c>
      <c r="C20" s="42">
        <v>50062193.845994197</v>
      </c>
      <c r="D20" s="42">
        <v>49082555.090772003</v>
      </c>
      <c r="E20" s="42">
        <v>48962778.664460696</v>
      </c>
      <c r="F20" s="42">
        <v>47977927.695657201</v>
      </c>
      <c r="G20" s="42">
        <v>46939381.591878399</v>
      </c>
      <c r="H20" s="42">
        <v>46010665.691294797</v>
      </c>
      <c r="I20" s="42">
        <v>45557633.371049799</v>
      </c>
      <c r="J20" s="42">
        <v>44053726.469976202</v>
      </c>
      <c r="K20" s="42">
        <v>41828467.953888804</v>
      </c>
      <c r="L20" s="42">
        <v>40841928.172014102</v>
      </c>
      <c r="M20" s="42">
        <v>38882070.359972604</v>
      </c>
      <c r="N20" s="42">
        <v>38406015.130683102</v>
      </c>
      <c r="O20" s="42">
        <v>37981335.772217602</v>
      </c>
      <c r="P20" s="42">
        <v>35387039.079890199</v>
      </c>
      <c r="Q20" s="42">
        <v>34635524.450833298</v>
      </c>
      <c r="R20" s="42">
        <v>35281521.698524401</v>
      </c>
      <c r="S20" s="42">
        <v>35872210.1687328</v>
      </c>
      <c r="T20" s="42">
        <v>36709930.042279802</v>
      </c>
      <c r="U20" s="42">
        <v>37257529.967132904</v>
      </c>
      <c r="V20" s="42">
        <v>38133029.026829101</v>
      </c>
      <c r="W20" s="42">
        <v>38987236.295241199</v>
      </c>
      <c r="X20" s="42">
        <v>39840667.801899999</v>
      </c>
      <c r="Y20" s="42">
        <v>40712433.390516602</v>
      </c>
      <c r="Z20" s="42">
        <v>41590748.662400298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/>
  <dimension ref="A3:AF8"/>
  <sheetViews>
    <sheetView tabSelected="1" workbookViewId="0">
      <selection activeCell="K6" sqref="K6"/>
    </sheetView>
  </sheetViews>
  <sheetFormatPr defaultRowHeight="12.75"/>
  <cols>
    <col min="1" max="1" width="10.5703125" bestFit="1" customWidth="1"/>
    <col min="2" max="2" width="6.42578125" bestFit="1" customWidth="1"/>
    <col min="3" max="6" width="6.5703125" bestFit="1" customWidth="1"/>
    <col min="7" max="8" width="5" bestFit="1" customWidth="1"/>
    <col min="9" max="12" width="15.42578125" bestFit="1" customWidth="1"/>
    <col min="13" max="16" width="15.28515625" bestFit="1" customWidth="1"/>
    <col min="17" max="32" width="14.42578125" bestFit="1" customWidth="1"/>
  </cols>
  <sheetData>
    <row r="3" spans="1:32" ht="15" customHeight="1">
      <c r="A3" s="43"/>
      <c r="B3" s="43"/>
      <c r="C3" s="46" t="s">
        <v>92</v>
      </c>
      <c r="D3" s="46" t="s">
        <v>92</v>
      </c>
      <c r="E3" s="46" t="s">
        <v>92</v>
      </c>
      <c r="F3" s="46" t="s">
        <v>92</v>
      </c>
      <c r="G3" s="46" t="s">
        <v>93</v>
      </c>
      <c r="H3" s="46" t="s">
        <v>93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 spans="1:32" ht="15" customHeight="1">
      <c r="A4" s="44"/>
      <c r="B4" s="44"/>
      <c r="C4" s="47">
        <v>2030</v>
      </c>
      <c r="D4" s="47">
        <v>2040</v>
      </c>
      <c r="E4" s="47">
        <v>2050</v>
      </c>
      <c r="F4" s="47">
        <v>2060</v>
      </c>
      <c r="G4" s="50">
        <v>1990</v>
      </c>
      <c r="H4" s="50">
        <v>2005</v>
      </c>
      <c r="I4" s="50">
        <v>2019</v>
      </c>
      <c r="J4" s="50">
        <v>2020</v>
      </c>
      <c r="K4" s="52">
        <v>2021</v>
      </c>
      <c r="L4" s="52">
        <v>2022</v>
      </c>
      <c r="M4" s="52">
        <v>2023</v>
      </c>
      <c r="N4" s="52">
        <v>2024</v>
      </c>
      <c r="O4" s="53">
        <v>2025</v>
      </c>
      <c r="P4" s="53">
        <v>2027</v>
      </c>
      <c r="Q4" s="53">
        <v>2030</v>
      </c>
      <c r="R4" s="53">
        <v>2032</v>
      </c>
      <c r="S4" s="53">
        <v>2035</v>
      </c>
      <c r="T4" s="53">
        <v>2040</v>
      </c>
      <c r="U4" s="53">
        <v>2045</v>
      </c>
      <c r="V4" s="53">
        <v>2050</v>
      </c>
      <c r="W4" s="53">
        <v>2055</v>
      </c>
      <c r="X4" s="53">
        <v>2060</v>
      </c>
      <c r="Y4" s="53">
        <v>2065</v>
      </c>
      <c r="Z4" s="53">
        <v>2070</v>
      </c>
      <c r="AA4" s="53">
        <v>2075</v>
      </c>
      <c r="AB4" s="53">
        <v>2080</v>
      </c>
      <c r="AC4" s="53">
        <v>2085</v>
      </c>
      <c r="AD4" s="53">
        <v>2090</v>
      </c>
      <c r="AE4" s="53">
        <v>2095</v>
      </c>
      <c r="AF4" s="53">
        <v>2100</v>
      </c>
    </row>
    <row r="5" spans="1:32" ht="15" customHeight="1">
      <c r="A5" s="44" t="s">
        <v>94</v>
      </c>
      <c r="B5" s="44" t="s">
        <v>1</v>
      </c>
      <c r="C5" s="48"/>
      <c r="D5" s="48"/>
      <c r="E5" s="48"/>
      <c r="F5" s="48"/>
      <c r="G5" s="70"/>
      <c r="H5" s="70"/>
      <c r="I5" s="51">
        <f>REF!$C6</f>
        <v>17051794.320036098</v>
      </c>
      <c r="J5" s="51">
        <f>REF!$D6</f>
        <v>17411912.7284825</v>
      </c>
      <c r="K5" s="51">
        <f>REF!$E6</f>
        <v>17042314.412893798</v>
      </c>
      <c r="L5" s="51">
        <f>REF!$F6</f>
        <v>16738950.979414601</v>
      </c>
      <c r="M5" s="51">
        <f>REF!$G6</f>
        <v>16467806.509803399</v>
      </c>
      <c r="N5" s="51">
        <f>REF!$H6</f>
        <v>16169641.1764255</v>
      </c>
      <c r="O5" s="51">
        <f>REF!$I6</f>
        <v>15909010.450488999</v>
      </c>
      <c r="P5" s="51">
        <f>REF!$J6</f>
        <v>15481949.447609801</v>
      </c>
      <c r="Q5" s="51">
        <f>REF!$K6</f>
        <v>14551152.062022099</v>
      </c>
      <c r="R5" s="51">
        <f>REF!$L6</f>
        <v>14083056.1381485</v>
      </c>
      <c r="S5" s="51">
        <f>REF!$M6</f>
        <v>13838793.024543701</v>
      </c>
      <c r="T5" s="51">
        <f>REF!$N6</f>
        <v>13330953.1466696</v>
      </c>
      <c r="U5" s="51">
        <f>REF!$O6</f>
        <v>13335442.4330044</v>
      </c>
      <c r="V5" s="51">
        <f>REF!$P6</f>
        <v>13363578.259632001</v>
      </c>
      <c r="W5" s="51">
        <f>REF!$Q6</f>
        <v>13122307.857685</v>
      </c>
      <c r="X5" s="51">
        <f>REF!$R6</f>
        <v>13186983.711572399</v>
      </c>
      <c r="Y5" s="51">
        <f>REF!$S6</f>
        <v>13434598.9708813</v>
      </c>
      <c r="Z5" s="51">
        <f>REF!$T6</f>
        <v>13688958.0206508</v>
      </c>
      <c r="AA5" s="51">
        <f>REF!$U6</f>
        <v>13945372.9130203</v>
      </c>
      <c r="AB5" s="51">
        <f>REF!$V6</f>
        <v>14203176.4878932</v>
      </c>
      <c r="AC5" s="51">
        <f>REF!$W6</f>
        <v>14462560.8652943</v>
      </c>
      <c r="AD5" s="51">
        <f>REF!$X6</f>
        <v>14723407.0002004</v>
      </c>
      <c r="AE5" s="51">
        <f>REF!$Y6</f>
        <v>14988271.0230789</v>
      </c>
      <c r="AF5" s="51">
        <f>REF!$Z6</f>
        <v>15256424.2147331</v>
      </c>
    </row>
    <row r="6" spans="1:32" ht="15" customHeight="1">
      <c r="A6" s="45" t="s">
        <v>95</v>
      </c>
      <c r="B6" s="44" t="s">
        <v>1</v>
      </c>
      <c r="C6" s="71"/>
      <c r="D6" s="71"/>
      <c r="E6" s="71">
        <v>0.95</v>
      </c>
      <c r="F6" s="49"/>
      <c r="G6" s="70"/>
      <c r="H6" s="70"/>
      <c r="I6" s="55">
        <f>I5</f>
        <v>17051794.320036098</v>
      </c>
      <c r="J6" s="54">
        <f t="shared" ref="J6:U6" si="0">($V6-$I6)/($V$4-$I$4)*(J$4-$I$4)+$I6</f>
        <v>16529239.332809186</v>
      </c>
      <c r="K6" s="54">
        <f t="shared" si="0"/>
        <v>16006684.345582273</v>
      </c>
      <c r="L6" s="54">
        <f t="shared" si="0"/>
        <v>15484129.35835536</v>
      </c>
      <c r="M6" s="54">
        <f t="shared" si="0"/>
        <v>14961574.371128447</v>
      </c>
      <c r="N6" s="54">
        <f t="shared" si="0"/>
        <v>14439019.383901535</v>
      </c>
      <c r="O6" s="54">
        <f t="shared" si="0"/>
        <v>13916464.396674622</v>
      </c>
      <c r="P6" s="54">
        <f t="shared" si="0"/>
        <v>12871354.422220796</v>
      </c>
      <c r="Q6" s="54">
        <f t="shared" si="0"/>
        <v>11303689.46054006</v>
      </c>
      <c r="R6" s="54">
        <f t="shared" si="0"/>
        <v>10258579.486086234</v>
      </c>
      <c r="S6" s="54">
        <f t="shared" si="0"/>
        <v>8690914.5244054943</v>
      </c>
      <c r="T6" s="54">
        <f t="shared" si="0"/>
        <v>6078139.5882709324</v>
      </c>
      <c r="U6" s="54">
        <f t="shared" si="0"/>
        <v>3465364.6521363687</v>
      </c>
      <c r="V6" s="55">
        <f>I6*(1-E6)</f>
        <v>852589.71600180573</v>
      </c>
      <c r="W6" s="54">
        <f t="shared" ref="W6:AF6" si="1">V6</f>
        <v>852589.71600180573</v>
      </c>
      <c r="X6" s="54">
        <f t="shared" si="1"/>
        <v>852589.71600180573</v>
      </c>
      <c r="Y6" s="54">
        <f t="shared" si="1"/>
        <v>852589.71600180573</v>
      </c>
      <c r="Z6" s="54">
        <f t="shared" si="1"/>
        <v>852589.71600180573</v>
      </c>
      <c r="AA6" s="54">
        <f t="shared" si="1"/>
        <v>852589.71600180573</v>
      </c>
      <c r="AB6" s="54">
        <f t="shared" si="1"/>
        <v>852589.71600180573</v>
      </c>
      <c r="AC6" s="54">
        <f t="shared" si="1"/>
        <v>852589.71600180573</v>
      </c>
      <c r="AD6" s="54">
        <f t="shared" si="1"/>
        <v>852589.71600180573</v>
      </c>
      <c r="AE6" s="54">
        <f t="shared" si="1"/>
        <v>852589.71600180573</v>
      </c>
      <c r="AF6" s="54">
        <f t="shared" si="1"/>
        <v>852589.71600180573</v>
      </c>
    </row>
    <row r="7" spans="1:32" ht="15" customHeight="1">
      <c r="A7" s="44" t="s">
        <v>94</v>
      </c>
      <c r="B7" s="44" t="s">
        <v>2</v>
      </c>
      <c r="C7" s="48"/>
      <c r="D7" s="48"/>
      <c r="E7" s="48"/>
      <c r="F7" s="48"/>
      <c r="G7" s="70"/>
      <c r="H7" s="70"/>
      <c r="I7" s="51">
        <f>REF!$C7</f>
        <v>140154812.05610499</v>
      </c>
      <c r="J7" s="51">
        <f>REF!$D7</f>
        <v>116791046.108998</v>
      </c>
      <c r="K7" s="51">
        <f>REF!$E7</f>
        <v>112077016.343172</v>
      </c>
      <c r="L7" s="51">
        <f>REF!$F7</f>
        <v>107318707.19919799</v>
      </c>
      <c r="M7" s="51">
        <f>REF!$G7</f>
        <v>102689163.055683</v>
      </c>
      <c r="N7" s="51">
        <f>REF!$H7</f>
        <v>98021451.440976396</v>
      </c>
      <c r="O7" s="51">
        <f>REF!$I7</f>
        <v>93480478.671731204</v>
      </c>
      <c r="P7" s="51">
        <f>REF!$J7</f>
        <v>86474337.627169803</v>
      </c>
      <c r="Q7" s="51">
        <f>REF!$K7</f>
        <v>75821479.754730001</v>
      </c>
      <c r="R7" s="51">
        <f>REF!$L7</f>
        <v>71157763.993582502</v>
      </c>
      <c r="S7" s="51">
        <f>REF!$M7</f>
        <v>63660712.455233797</v>
      </c>
      <c r="T7" s="51">
        <f>REF!$N7</f>
        <v>65309850.055936299</v>
      </c>
      <c r="U7" s="51">
        <f>REF!$O7</f>
        <v>63123238.426998101</v>
      </c>
      <c r="V7" s="51">
        <f>REF!$P7</f>
        <v>59738128.290830702</v>
      </c>
      <c r="W7" s="51">
        <f>REF!$Q7</f>
        <v>61105984.711081602</v>
      </c>
      <c r="X7" s="51">
        <f>REF!$R7</f>
        <v>45114583.242229298</v>
      </c>
      <c r="Y7" s="51">
        <f>REF!$S7</f>
        <v>24614500.1746393</v>
      </c>
      <c r="Z7" s="51">
        <f>REF!$T7</f>
        <v>8473768.1908869799</v>
      </c>
      <c r="AA7" s="51">
        <f>REF!$U7</f>
        <v>8542059.3846182991</v>
      </c>
      <c r="AB7" s="51">
        <f>REF!$V7</f>
        <v>8555461.2272646893</v>
      </c>
      <c r="AC7" s="51">
        <f>REF!$W7</f>
        <v>8565567.2929799892</v>
      </c>
      <c r="AD7" s="51">
        <f>REF!$X7</f>
        <v>8677311.3460372202</v>
      </c>
      <c r="AE7" s="51">
        <f>REF!$Y7</f>
        <v>8714429.1983445492</v>
      </c>
      <c r="AF7" s="51">
        <f>REF!$Z7</f>
        <v>8727202.7895567808</v>
      </c>
    </row>
    <row r="8" spans="1:32" ht="15" customHeight="1">
      <c r="A8" s="45" t="s">
        <v>95</v>
      </c>
      <c r="B8" s="44" t="s">
        <v>2</v>
      </c>
      <c r="C8" s="71"/>
      <c r="D8" s="71"/>
      <c r="E8" s="71">
        <v>0.95</v>
      </c>
      <c r="F8" s="49"/>
      <c r="G8" s="70"/>
      <c r="H8" s="70"/>
      <c r="I8" s="55">
        <f>I7</f>
        <v>140154812.05610499</v>
      </c>
      <c r="J8" s="54">
        <f t="shared" ref="J8:U8" si="2">($V8-$I8)/($V$4-$I$4)*(J$4-$I$4)+$I8</f>
        <v>135859745.2350308</v>
      </c>
      <c r="K8" s="54">
        <f t="shared" si="2"/>
        <v>131564678.41395661</v>
      </c>
      <c r="L8" s="54">
        <f t="shared" si="2"/>
        <v>127269611.59288242</v>
      </c>
      <c r="M8" s="54">
        <f t="shared" si="2"/>
        <v>122974544.77180825</v>
      </c>
      <c r="N8" s="54">
        <f t="shared" si="2"/>
        <v>118679477.95073406</v>
      </c>
      <c r="O8" s="54">
        <f t="shared" si="2"/>
        <v>114384411.12965988</v>
      </c>
      <c r="P8" s="54">
        <f t="shared" si="2"/>
        <v>105794277.48751152</v>
      </c>
      <c r="Q8" s="54">
        <f t="shared" si="2"/>
        <v>92909077.024288952</v>
      </c>
      <c r="R8" s="54">
        <f t="shared" si="2"/>
        <v>84318943.382140577</v>
      </c>
      <c r="S8" s="54">
        <f t="shared" si="2"/>
        <v>71433742.918918028</v>
      </c>
      <c r="T8" s="54">
        <f t="shared" si="2"/>
        <v>49958408.813547105</v>
      </c>
      <c r="U8" s="54">
        <f t="shared" si="2"/>
        <v>28483074.708176181</v>
      </c>
      <c r="V8" s="55">
        <f>I8*(1-E8)</f>
        <v>7007740.6028052559</v>
      </c>
      <c r="W8" s="54">
        <f t="shared" ref="W8:AF8" si="3">V8</f>
        <v>7007740.6028052559</v>
      </c>
      <c r="X8" s="54">
        <f t="shared" si="3"/>
        <v>7007740.6028052559</v>
      </c>
      <c r="Y8" s="54">
        <f t="shared" si="3"/>
        <v>7007740.6028052559</v>
      </c>
      <c r="Z8" s="54">
        <f t="shared" si="3"/>
        <v>7007740.6028052559</v>
      </c>
      <c r="AA8" s="54">
        <f t="shared" si="3"/>
        <v>7007740.6028052559</v>
      </c>
      <c r="AB8" s="54">
        <f t="shared" si="3"/>
        <v>7007740.6028052559</v>
      </c>
      <c r="AC8" s="54">
        <f t="shared" si="3"/>
        <v>7007740.6028052559</v>
      </c>
      <c r="AD8" s="54">
        <f t="shared" si="3"/>
        <v>7007740.6028052559</v>
      </c>
      <c r="AE8" s="54">
        <f t="shared" si="3"/>
        <v>7007740.6028052559</v>
      </c>
      <c r="AF8" s="54">
        <f t="shared" si="3"/>
        <v>7007740.6028052559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</vt:lpstr>
      <vt:lpstr>CITY</vt:lpstr>
      <vt:lpstr>EGRID</vt:lpstr>
      <vt:lpstr>&gt;&gt;&gt; Data</vt:lpstr>
      <vt:lpstr>REF</vt:lpstr>
      <vt:lpstr>NZ50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Carroll, Zane</cp:lastModifiedBy>
  <cp:lastPrinted>2001-09-28T20:39:50Z</cp:lastPrinted>
  <dcterms:created xsi:type="dcterms:W3CDTF">2001-09-28T18:48:17Z</dcterms:created>
  <dcterms:modified xsi:type="dcterms:W3CDTF">2025-04-08T18:50:59Z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87501645088195</vt:r8>
  </property>
</Properties>
</file>
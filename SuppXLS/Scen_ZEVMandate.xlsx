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64CFB481-31FC-4B0D-BD8E-72FBAC5ACF3B}" xr6:coauthVersionLast="47" xr6:coauthVersionMax="47" xr10:uidLastSave="{00000000-0000-0000-0000-000000000000}"/>
  <bookViews>
    <workbookView xWindow="-120" yWindow="-120" windowWidth="25440" windowHeight="15270" firstSheet="5" activeTab="5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Existing" sheetId="4" r:id="rId4"/>
    <sheet name="&gt;&gt; TIMES" sheetId="5" r:id="rId5"/>
    <sheet name="UC_ZEV" sheetId="6" r:id="rId6"/>
    <sheet name="&gt;&gt; Parameters" sheetId="7" r:id="rId7"/>
    <sheet name="Data" sheetId="8" r:id="rId8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3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3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3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3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3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3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6" l="1"/>
  <c r="J21" i="6" s="1"/>
  <c r="J19" i="6"/>
  <c r="J18" i="6"/>
  <c r="J16" i="6"/>
  <c r="J17" i="6" s="1"/>
  <c r="J14" i="6"/>
  <c r="J15" i="6" s="1"/>
  <c r="J12" i="6"/>
  <c r="J13" i="6" s="1"/>
  <c r="D11" i="6"/>
  <c r="D13" i="6" s="1"/>
  <c r="D15" i="6" s="1"/>
  <c r="D17" i="6" s="1"/>
  <c r="D19" i="6" s="1"/>
  <c r="D21" i="6" s="1"/>
  <c r="J10" i="6"/>
  <c r="J11" i="6" s="1"/>
  <c r="D10" i="6"/>
  <c r="D12" i="6" s="1"/>
  <c r="D14" i="6" s="1"/>
  <c r="D16" i="6" s="1"/>
  <c r="D18" i="6" s="1"/>
  <c r="D20" i="6" s="1"/>
  <c r="C10" i="6"/>
  <c r="C12" i="6" s="1"/>
  <c r="C14" i="6" s="1"/>
  <c r="C16" i="6" s="1"/>
  <c r="C18" i="6" s="1"/>
  <c r="C20" i="6" s="1"/>
  <c r="C9" i="6"/>
  <c r="C11" i="6" s="1"/>
  <c r="C13" i="6" s="1"/>
  <c r="C15" i="6" s="1"/>
  <c r="C17" i="6" s="1"/>
  <c r="C19" i="6" s="1"/>
  <c r="C21" i="6" s="1"/>
  <c r="J8" i="6"/>
  <c r="J9" i="6" s="1"/>
</calcChain>
</file>

<file path=xl/sharedStrings.xml><?xml version="1.0" encoding="utf-8"?>
<sst xmlns="http://schemas.openxmlformats.org/spreadsheetml/2006/main" count="121" uniqueCount="88">
  <si>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</si>
  <si>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</si>
  <si>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</si>
  <si>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</si>
  <si>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</si>
  <si>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</si>
  <si>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</si>
  <si>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</si>
  <si>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</si>
  <si>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</si>
  <si>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</si>
  <si>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</si>
  <si>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</si>
  <si>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</si>
  <si>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</si>
  <si>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</si>
  <si>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</si>
  <si>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</si>
  <si>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</si>
  <si>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</si>
  <si>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</si>
  <si>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</si>
  <si>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</si>
  <si>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</si>
  <si>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</si>
  <si>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</si>
  <si>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</si>
  <si>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</si>
  <si>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</si>
  <si>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</si>
  <si>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</si>
  <si>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</si>
  <si>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</si>
  <si>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</si>
  <si>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</si>
  <si>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</si>
  <si>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</si>
  <si>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</si>
  <si>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</si>
  <si>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</si>
  <si>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</si>
  <si>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</si>
  <si>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</si>
  <si>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</si>
  <si>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</si>
  <si>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</si>
  <si>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</si>
  <si>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</si>
  <si>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</si>
  <si>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</si>
  <si>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</si>
  <si>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</si>
  <si>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</si>
  <si>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</si>
  <si>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</si>
  <si>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</si>
  <si>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</si>
  <si>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</si>
  <si>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</si>
  <si>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</si>
  <si>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</si>
  <si>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</si>
  <si>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</si>
  <si>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</si>
  <si>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</si>
  <si>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</si>
  <si>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</si>
  <si>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</si>
  <si>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</si>
  <si>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</si>
  <si>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</si>
  <si>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~UC_Sets: R_S: AllRegions</t>
  </si>
  <si>
    <t>~UC_Sets: T_E:</t>
  </si>
  <si>
    <t>~UC_T:UC_NCAP~LO</t>
  </si>
  <si>
    <t>UC_N</t>
  </si>
  <si>
    <t>Pset_PN</t>
  </si>
  <si>
    <t>Pset_PD</t>
  </si>
  <si>
    <t>Cset_CO</t>
  </si>
  <si>
    <t>Attrib_Cond</t>
  </si>
  <si>
    <t>UC_RHSRT</t>
  </si>
  <si>
    <t>UC_RHSRT~0</t>
  </si>
  <si>
    <t>AllRegions</t>
  </si>
  <si>
    <t>UC_ZEVMandate</t>
  </si>
  <si>
    <t>TRAPASCAR*,TRAPASLDT*</t>
  </si>
  <si>
    <t>-*Battery Electric*,-*Hydrogen Fuel Cell*</t>
  </si>
  <si>
    <t>-PRC_RESID</t>
  </si>
  <si>
    <t>*Battery Electric*,*Hydrogen Fuel Cell*</t>
  </si>
  <si>
    <t>Minimum sales of Zero emissions vehicules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</si>
</sst>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/>
    <xf numFmtId="0" fontId="4" fillId="2" borderId="1" xfId="0" applyFont="1" applyFill="1" applyBorder="1"/>
    <xf numFmtId="164" fontId="5" fillId="2" borderId="1" xfId="1" applyNumberFormat="1" applyFont="1" applyFill="1" applyBorder="1"/>
    <xf numFmtId="0" fontId="3" fillId="2" borderId="0" xfId="0" applyFont="1" applyFill="1"/>
    <xf numFmtId="0" fontId="6" fillId="2" borderId="0" xfId="0" applyFont="1" applyFill="1"/>
    <xf numFmtId="164" fontId="3" fillId="3" borderId="0" xfId="1" applyNumberFormat="1" applyFont="1" applyFill="1"/>
    <xf numFmtId="164" fontId="3" fillId="2" borderId="0" xfId="1" applyNumberFormat="1" applyFont="1" applyFill="1"/>
    <xf numFmtId="0" fontId="3" fillId="2" borderId="0" xfId="0" quotePrefix="1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1" fillId="0" borderId="5" xfId="1" applyBorder="1"/>
    <xf numFmtId="0" fontId="0" fillId="0" borderId="6" xfId="0" applyBorder="1"/>
    <xf numFmtId="9" fontId="1" fillId="0" borderId="7" xfId="1" applyBorder="1"/>
    <xf numFmtId="0" fontId="8" fillId="4" borderId="0" xfId="0" applyFont="1" applyFill="1"/>
    <xf numFmtId="0" fontId="0" fillId="4" borderId="0" xfId="0" applyFill="1"/>
    <xf numFmtId="0" fontId="7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J27" sqref="J27"/>
    </sheetView>
  </sheetViews>
  <sheetFormatPr defaultColWidth="8.85546875" defaultRowHeight="15" x14ac:dyDescent="0.25"/>
  <cols>
    <col min="1" max="21" width="8.85546875" style="18" customWidth="1"/>
    <col min="22" max="16384" width="8.85546875" style="18"/>
  </cols>
  <sheetData>
    <row r="1" spans="1:3" s="17" customFormat="1" ht="23.45" customHeight="1" x14ac:dyDescent="0.35">
      <c r="A1" s="17" t="s">
        <v>0</v>
      </c>
    </row>
    <row r="2" spans="1:3" s="17" customFormat="1" ht="23.45" customHeight="1" x14ac:dyDescent="0.35"/>
    <row r="3" spans="1:3" x14ac:dyDescent="0.25">
      <c r="B3" s="19" t="s">
        <v>1</v>
      </c>
    </row>
    <row r="4" spans="1:3" x14ac:dyDescent="0.25">
      <c r="B4" s="20"/>
      <c r="C4" s="18" t="s">
        <v>2</v>
      </c>
    </row>
    <row r="6" spans="1:3" x14ac:dyDescent="0.25">
      <c r="B6" s="21"/>
      <c r="C6" s="18" t="s">
        <v>3</v>
      </c>
    </row>
    <row r="8" spans="1:3" x14ac:dyDescent="0.25">
      <c r="B8" s="22"/>
      <c r="C8" s="18" t="s">
        <v>4</v>
      </c>
    </row>
    <row r="10" spans="1:3" x14ac:dyDescent="0.25">
      <c r="B10" s="23"/>
      <c r="C10" s="1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J27" sqref="J2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J27" sqref="J27"/>
    </sheetView>
  </sheetViews>
  <sheetFormatPr defaultColWidth="8.85546875" defaultRowHeight="15" x14ac:dyDescent="0.25"/>
  <cols>
    <col min="1" max="1" width="8.85546875" style="18" customWidth="1"/>
    <col min="2" max="2" width="47.7109375" style="18" customWidth="1"/>
    <col min="3" max="3" width="26.140625" style="18" customWidth="1"/>
    <col min="4" max="4" width="14.42578125" style="18" customWidth="1"/>
    <col min="5" max="13" width="10.85546875" style="18" customWidth="1"/>
    <col min="14" max="34" width="8.85546875" style="18" customWidth="1"/>
    <col min="35" max="16384" width="8.85546875" style="18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J27" sqref="J27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"/>
  <sheetViews>
    <sheetView workbookViewId="0">
      <selection activeCell="J27" sqref="J27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J21"/>
  <sheetViews>
    <sheetView tabSelected="1" workbookViewId="0">
      <selection activeCell="D25" sqref="D25"/>
    </sheetView>
  </sheetViews>
  <sheetFormatPr defaultRowHeight="15" x14ac:dyDescent="0.25"/>
  <cols>
    <col min="2" max="2" width="25.7109375" bestFit="1" customWidth="1"/>
    <col min="3" max="3" width="25.5703125" bestFit="1" customWidth="1"/>
    <col min="4" max="4" width="35" bestFit="1" customWidth="1"/>
    <col min="5" max="5" width="14.85546875" bestFit="1" customWidth="1"/>
    <col min="6" max="6" width="12" bestFit="1" customWidth="1"/>
    <col min="7" max="7" width="20.140625" bestFit="1" customWidth="1"/>
    <col min="8" max="8" width="10.85546875" bestFit="1" customWidth="1"/>
    <col min="9" max="9" width="13.140625" bestFit="1" customWidth="1"/>
    <col min="10" max="10" width="10.7109375" bestFit="1" customWidth="1"/>
  </cols>
  <sheetData>
    <row r="3" spans="2:10" x14ac:dyDescent="0.25">
      <c r="B3" s="1" t="s">
        <v>71</v>
      </c>
      <c r="C3" s="2"/>
      <c r="D3" s="2"/>
      <c r="E3" s="2"/>
      <c r="F3" s="2"/>
      <c r="G3" s="2"/>
      <c r="H3" s="2"/>
      <c r="I3" s="2"/>
      <c r="J3" s="3"/>
    </row>
    <row r="4" spans="2:10" x14ac:dyDescent="0.25">
      <c r="B4" s="1" t="s">
        <v>72</v>
      </c>
      <c r="C4" s="2"/>
      <c r="D4" s="2"/>
      <c r="E4" s="2"/>
      <c r="F4" s="2"/>
      <c r="G4" s="2"/>
      <c r="H4" s="2"/>
      <c r="I4" s="2"/>
      <c r="J4" s="3"/>
    </row>
    <row r="5" spans="2:10" x14ac:dyDescent="0.25">
      <c r="B5" s="2"/>
      <c r="C5" s="2"/>
      <c r="D5" s="2"/>
      <c r="E5" s="2"/>
      <c r="F5" s="2"/>
      <c r="G5" s="2"/>
      <c r="H5" s="2"/>
      <c r="I5" s="2"/>
      <c r="J5" s="3"/>
    </row>
    <row r="6" spans="2:10" x14ac:dyDescent="0.25">
      <c r="B6" s="2"/>
      <c r="C6" s="2"/>
      <c r="D6" s="2"/>
      <c r="E6" s="2"/>
      <c r="F6" s="2"/>
      <c r="G6" s="1" t="s">
        <v>73</v>
      </c>
      <c r="H6" s="2"/>
      <c r="I6" s="2"/>
      <c r="J6" s="3"/>
    </row>
    <row r="7" spans="2:10" ht="15.75" customHeight="1" thickBot="1" x14ac:dyDescent="0.3">
      <c r="B7" s="4" t="s">
        <v>74</v>
      </c>
      <c r="C7" s="4" t="s">
        <v>75</v>
      </c>
      <c r="D7" s="4" t="s">
        <v>76</v>
      </c>
      <c r="E7" s="4" t="s">
        <v>77</v>
      </c>
      <c r="F7" s="4" t="s">
        <v>78</v>
      </c>
      <c r="G7" s="4" t="s">
        <v>30</v>
      </c>
      <c r="H7" s="4" t="s">
        <v>79</v>
      </c>
      <c r="I7" s="4" t="s">
        <v>80</v>
      </c>
      <c r="J7" s="5" t="s">
        <v>81</v>
      </c>
    </row>
    <row r="8" spans="2:10" x14ac:dyDescent="0.25">
      <c r="B8" s="6" t="s">
        <v>82</v>
      </c>
      <c r="C8" s="7" t="s">
        <v>83</v>
      </c>
      <c r="D8" s="10" t="s">
        <v>84</v>
      </c>
      <c r="E8" s="7"/>
      <c r="F8" s="7" t="s">
        <v>85</v>
      </c>
      <c r="G8" s="6">
        <v>2019</v>
      </c>
      <c r="H8" s="6">
        <v>0</v>
      </c>
      <c r="I8" s="7">
        <v>5</v>
      </c>
      <c r="J8" s="8">
        <f>-Data!B3</f>
        <v>0</v>
      </c>
    </row>
    <row r="9" spans="2:10" x14ac:dyDescent="0.25">
      <c r="B9" s="6"/>
      <c r="C9" s="7" t="str">
        <f>C8</f>
        <v>TRAPASCAR*,TRAPASLDT*</v>
      </c>
      <c r="D9" s="6" t="s">
        <v>86</v>
      </c>
      <c r="E9" s="7"/>
      <c r="F9" s="7" t="s">
        <v>85</v>
      </c>
      <c r="G9" s="6">
        <v>2019</v>
      </c>
      <c r="H9" s="6"/>
      <c r="I9" s="7"/>
      <c r="J9" s="9">
        <f>1-(J8*-1)</f>
        <v>1</v>
      </c>
    </row>
    <row r="10" spans="2:10" x14ac:dyDescent="0.25">
      <c r="B10" s="6"/>
      <c r="C10" s="7" t="str">
        <f t="shared" ref="C10:D21" si="0">C8</f>
        <v>TRAPASCAR*,TRAPASLDT*</v>
      </c>
      <c r="D10" s="6" t="str">
        <f t="shared" si="0"/>
        <v>-*Battery Electric*,-*Hydrogen Fuel Cell*</v>
      </c>
      <c r="E10" s="7"/>
      <c r="F10" s="7" t="s">
        <v>85</v>
      </c>
      <c r="G10" s="6">
        <v>2020</v>
      </c>
      <c r="H10" s="6"/>
      <c r="I10" s="6"/>
      <c r="J10" s="8">
        <f>-Data!B4</f>
        <v>0</v>
      </c>
    </row>
    <row r="11" spans="2:10" x14ac:dyDescent="0.25">
      <c r="B11" s="6"/>
      <c r="C11" s="7" t="str">
        <f t="shared" si="0"/>
        <v>TRAPASCAR*,TRAPASLDT*</v>
      </c>
      <c r="D11" s="6" t="str">
        <f t="shared" si="0"/>
        <v>*Battery Electric*,*Hydrogen Fuel Cell*</v>
      </c>
      <c r="E11" s="7"/>
      <c r="F11" s="7" t="s">
        <v>85</v>
      </c>
      <c r="G11" s="6">
        <v>2020</v>
      </c>
      <c r="H11" s="6"/>
      <c r="I11" s="7"/>
      <c r="J11" s="9">
        <f>1-(J10*-1)</f>
        <v>1</v>
      </c>
    </row>
    <row r="12" spans="2:10" x14ac:dyDescent="0.25">
      <c r="B12" s="6"/>
      <c r="C12" s="7" t="str">
        <f t="shared" si="0"/>
        <v>TRAPASCAR*,TRAPASLDT*</v>
      </c>
      <c r="D12" s="6" t="str">
        <f t="shared" si="0"/>
        <v>-*Battery Electric*,-*Hydrogen Fuel Cell*</v>
      </c>
      <c r="E12" s="7"/>
      <c r="F12" s="7" t="s">
        <v>85</v>
      </c>
      <c r="G12" s="6">
        <v>2025</v>
      </c>
      <c r="H12" s="6"/>
      <c r="I12" s="6"/>
      <c r="J12" s="8">
        <f>-Data!B5</f>
        <v>0</v>
      </c>
    </row>
    <row r="13" spans="2:10" x14ac:dyDescent="0.25">
      <c r="B13" s="6"/>
      <c r="C13" s="7" t="str">
        <f t="shared" si="0"/>
        <v>TRAPASCAR*,TRAPASLDT*</v>
      </c>
      <c r="D13" s="6" t="str">
        <f t="shared" si="0"/>
        <v>*Battery Electric*,*Hydrogen Fuel Cell*</v>
      </c>
      <c r="E13" s="7"/>
      <c r="F13" s="7" t="s">
        <v>85</v>
      </c>
      <c r="G13" s="6">
        <v>2025</v>
      </c>
      <c r="H13" s="6"/>
      <c r="I13" s="7"/>
      <c r="J13" s="9">
        <f>1-(J12*-1)</f>
        <v>1</v>
      </c>
    </row>
    <row r="14" spans="2:10" x14ac:dyDescent="0.25">
      <c r="B14" s="6"/>
      <c r="C14" s="7" t="str">
        <f t="shared" si="0"/>
        <v>TRAPASCAR*,TRAPASLDT*</v>
      </c>
      <c r="D14" s="6" t="str">
        <f t="shared" si="0"/>
        <v>-*Battery Electric*,-*Hydrogen Fuel Cell*</v>
      </c>
      <c r="E14" s="7"/>
      <c r="F14" s="7" t="s">
        <v>85</v>
      </c>
      <c r="G14" s="6">
        <v>2030</v>
      </c>
      <c r="H14" s="6"/>
      <c r="I14" s="6"/>
      <c r="J14" s="8">
        <f>-Data!B6</f>
        <v>-0.1</v>
      </c>
    </row>
    <row r="15" spans="2:10" x14ac:dyDescent="0.25">
      <c r="B15" s="6"/>
      <c r="C15" s="7" t="str">
        <f t="shared" si="0"/>
        <v>TRAPASCAR*,TRAPASLDT*</v>
      </c>
      <c r="D15" s="6" t="str">
        <f t="shared" si="0"/>
        <v>*Battery Electric*,*Hydrogen Fuel Cell*</v>
      </c>
      <c r="E15" s="7"/>
      <c r="F15" s="7" t="s">
        <v>85</v>
      </c>
      <c r="G15" s="6">
        <v>2030</v>
      </c>
      <c r="H15" s="6"/>
      <c r="I15" s="7"/>
      <c r="J15" s="9">
        <f>1-(J14*-1)</f>
        <v>0.9</v>
      </c>
    </row>
    <row r="16" spans="2:10" x14ac:dyDescent="0.25">
      <c r="B16" s="6"/>
      <c r="C16" s="7" t="str">
        <f t="shared" si="0"/>
        <v>TRAPASCAR*,TRAPASLDT*</v>
      </c>
      <c r="D16" s="6" t="str">
        <f t="shared" si="0"/>
        <v>-*Battery Electric*,-*Hydrogen Fuel Cell*</v>
      </c>
      <c r="E16" s="7"/>
      <c r="F16" s="7" t="s">
        <v>85</v>
      </c>
      <c r="G16" s="6">
        <v>2035</v>
      </c>
      <c r="H16" s="6"/>
      <c r="I16" s="6"/>
      <c r="J16" s="8">
        <f>-Data!B7</f>
        <v>-0.2</v>
      </c>
    </row>
    <row r="17" spans="2:10" x14ac:dyDescent="0.25">
      <c r="B17" s="6"/>
      <c r="C17" s="7" t="str">
        <f t="shared" si="0"/>
        <v>TRAPASCAR*,TRAPASLDT*</v>
      </c>
      <c r="D17" s="6" t="str">
        <f t="shared" si="0"/>
        <v>*Battery Electric*,*Hydrogen Fuel Cell*</v>
      </c>
      <c r="E17" s="7"/>
      <c r="F17" s="7" t="s">
        <v>85</v>
      </c>
      <c r="G17" s="6">
        <v>2035</v>
      </c>
      <c r="H17" s="6"/>
      <c r="I17" s="7"/>
      <c r="J17" s="9">
        <f>1-(J16*-1)</f>
        <v>0.8</v>
      </c>
    </row>
    <row r="18" spans="2:10" x14ac:dyDescent="0.25">
      <c r="B18" s="6"/>
      <c r="C18" s="7" t="str">
        <f t="shared" si="0"/>
        <v>TRAPASCAR*,TRAPASLDT*</v>
      </c>
      <c r="D18" s="6" t="str">
        <f t="shared" si="0"/>
        <v>-*Battery Electric*,-*Hydrogen Fuel Cell*</v>
      </c>
      <c r="E18" s="7"/>
      <c r="F18" s="7" t="s">
        <v>85</v>
      </c>
      <c r="G18" s="6">
        <v>2040</v>
      </c>
      <c r="H18" s="6"/>
      <c r="I18" s="6"/>
      <c r="J18" s="8">
        <f>-Data!B8</f>
        <v>-0.5</v>
      </c>
    </row>
    <row r="19" spans="2:10" x14ac:dyDescent="0.25">
      <c r="B19" s="6"/>
      <c r="C19" s="7" t="str">
        <f t="shared" si="0"/>
        <v>TRAPASCAR*,TRAPASLDT*</v>
      </c>
      <c r="D19" s="6" t="str">
        <f t="shared" si="0"/>
        <v>*Battery Electric*,*Hydrogen Fuel Cell*</v>
      </c>
      <c r="E19" s="7"/>
      <c r="F19" s="7" t="s">
        <v>85</v>
      </c>
      <c r="G19" s="6">
        <v>2040</v>
      </c>
      <c r="H19" s="6"/>
      <c r="I19" s="7"/>
      <c r="J19" s="9">
        <f>1-(J18*-1)</f>
        <v>0.5</v>
      </c>
    </row>
    <row r="20" spans="2:10" x14ac:dyDescent="0.25">
      <c r="B20" s="6"/>
      <c r="C20" s="7" t="str">
        <f t="shared" si="0"/>
        <v>TRAPASCAR*,TRAPASLDT*</v>
      </c>
      <c r="D20" s="6" t="str">
        <f t="shared" si="0"/>
        <v>-*Battery Electric*,-*Hydrogen Fuel Cell*</v>
      </c>
      <c r="E20" s="7"/>
      <c r="F20" s="7" t="s">
        <v>85</v>
      </c>
      <c r="G20" s="6">
        <v>2100</v>
      </c>
      <c r="H20" s="6"/>
      <c r="I20" s="6"/>
      <c r="J20" s="8">
        <f>-Data!B9</f>
        <v>-0.5</v>
      </c>
    </row>
    <row r="21" spans="2:10" x14ac:dyDescent="0.25">
      <c r="B21" s="6"/>
      <c r="C21" s="7" t="str">
        <f t="shared" si="0"/>
        <v>TRAPASCAR*,TRAPASLDT*</v>
      </c>
      <c r="D21" s="6" t="str">
        <f t="shared" si="0"/>
        <v>*Battery Electric*,*Hydrogen Fuel Cell*</v>
      </c>
      <c r="E21" s="7"/>
      <c r="F21" s="7" t="s">
        <v>85</v>
      </c>
      <c r="G21" s="6">
        <v>2100</v>
      </c>
      <c r="H21" s="6"/>
      <c r="I21" s="7"/>
      <c r="J21" s="9">
        <f>1-(J20*-1)</f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249977111117893"/>
  </sheetPr>
  <dimension ref="A1"/>
  <sheetViews>
    <sheetView workbookViewId="0">
      <selection activeCell="J27" sqref="J27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>
      <selection activeCell="B3" sqref="B3"/>
    </sheetView>
  </sheetViews>
  <sheetFormatPr defaultRowHeight="15" x14ac:dyDescent="0.25"/>
  <cols>
    <col min="2" max="2" width="40.28515625" bestFit="1" customWidth="1"/>
  </cols>
  <sheetData>
    <row r="1" spans="1:2" ht="15.75" customHeight="1" thickBot="1" x14ac:dyDescent="0.3"/>
    <row r="2" spans="1:2" x14ac:dyDescent="0.25">
      <c r="A2" s="11"/>
      <c r="B2" s="12" t="s">
        <v>87</v>
      </c>
    </row>
    <row r="3" spans="1:2" x14ac:dyDescent="0.25">
      <c r="A3" s="13">
        <v>2019</v>
      </c>
      <c r="B3" s="14">
        <v>0</v>
      </c>
    </row>
    <row r="4" spans="1:2" x14ac:dyDescent="0.25">
      <c r="A4" s="13">
        <v>2020</v>
      </c>
      <c r="B4" s="14">
        <v>0</v>
      </c>
    </row>
    <row r="5" spans="1:2" x14ac:dyDescent="0.25">
      <c r="A5" s="13">
        <v>2025</v>
      </c>
      <c r="B5" s="14">
        <v>0</v>
      </c>
    </row>
    <row r="6" spans="1:2" x14ac:dyDescent="0.25">
      <c r="A6" s="13">
        <v>2030</v>
      </c>
      <c r="B6" s="14">
        <v>0.1</v>
      </c>
    </row>
    <row r="7" spans="1:2" x14ac:dyDescent="0.25">
      <c r="A7" s="13">
        <v>2035</v>
      </c>
      <c r="B7" s="14">
        <v>0.2</v>
      </c>
    </row>
    <row r="8" spans="1:2" x14ac:dyDescent="0.25">
      <c r="A8" s="13">
        <v>2040</v>
      </c>
      <c r="B8" s="14">
        <v>0.5</v>
      </c>
    </row>
    <row r="9" spans="1:2" ht="15.75" customHeight="1" thickBot="1" x14ac:dyDescent="0.3">
      <c r="A9" s="15">
        <v>2100</v>
      </c>
      <c r="B9" s="1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&gt;&gt; City Data</vt:lpstr>
      <vt:lpstr>City characteristics</vt:lpstr>
      <vt:lpstr>&gt;&gt; GC_Existing</vt:lpstr>
      <vt:lpstr>&gt;&gt; TIMES</vt:lpstr>
      <vt:lpstr>UC_ZEV</vt:lpstr>
      <vt:lpstr>&gt;&gt; Parameters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Carroll, Zane</cp:lastModifiedBy>
  <dcterms:created xsi:type="dcterms:W3CDTF">2015-06-05T18:19:34Z</dcterms:created>
  <dcterms:modified xsi:type="dcterms:W3CDTF">2025-04-08T18:34:40Z</dcterms:modified>
</cp:coreProperties>
</file>
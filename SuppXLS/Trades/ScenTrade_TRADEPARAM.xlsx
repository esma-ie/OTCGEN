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Trades\"/>
    </mc:Choice>
  </mc:AlternateContent>
  <xr:revisionPtr revIDLastSave="0" documentId="13_ncr:1_{3AB9BD80-741F-4E51-B6CA-39FB1F26DECA}" xr6:coauthVersionLast="47" xr6:coauthVersionMax="47" xr10:uidLastSave="{00000000-0000-0000-0000-000000000000}"/>
  <bookViews>
    <workbookView xWindow="-120" yWindow="-120" windowWidth="25440" windowHeight="15270" firstSheet="6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Resid" sheetId="4" r:id="rId4"/>
    <sheet name="ELC RESID" sheetId="5" r:id="rId5"/>
    <sheet name="&gt;&gt; TIMES" sheetId="6" r:id="rId6"/>
    <sheet name="TRANS" sheetId="7" r:id="rId7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5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5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5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5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5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5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G15" i="7"/>
  <c r="F15" i="7"/>
  <c r="G14" i="7"/>
  <c r="F14" i="7"/>
  <c r="G13" i="7"/>
  <c r="F13" i="7"/>
  <c r="E12" i="7"/>
  <c r="E11" i="7"/>
  <c r="E10" i="7"/>
  <c r="E9" i="7"/>
  <c r="E8" i="7"/>
  <c r="E7" i="7"/>
  <c r="E6" i="7"/>
  <c r="E5" i="7"/>
</calcChain>
</file>

<file path=xl/sharedStrings.xml><?xml version="1.0" encoding="utf-8"?>
<sst xmlns="http://schemas.openxmlformats.org/spreadsheetml/2006/main" count="500" uniqueCount="232">
  <si>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</si>
  <si>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</si>
  <si>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</si>
  <si>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</si>
  <si>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</si>
  <si>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</si>
  <si>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</si>
  <si>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</si>
  <si>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</si>
  <si>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</si>
  <si>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</si>
  <si>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</si>
  <si>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</si>
  <si>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</si>
  <si>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</si>
  <si>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</si>
  <si>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</si>
  <si>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</si>
  <si>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</si>
  <si>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</si>
  <si>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</si>
  <si>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</si>
  <si>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</si>
  <si>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</si>
  <si>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</si>
  <si>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</si>
  <si>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</si>
  <si>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</si>
  <si>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</si>
  <si>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</si>
  <si>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</si>
  <si>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</si>
  <si>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</si>
  <si>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</si>
  <si>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</si>
  <si>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</si>
  <si>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</si>
  <si>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</si>
  <si>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</si>
  <si>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</si>
  <si>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</si>
  <si>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</si>
  <si>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</si>
  <si>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</si>
  <si>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</si>
  <si>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</si>
  <si>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</si>
  <si>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</si>
  <si>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</si>
  <si>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</si>
  <si>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</si>
  <si>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</si>
  <si>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</si>
  <si>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</si>
  <si>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</si>
  <si>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</si>
  <si>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</si>
  <si>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</si>
  <si>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</si>
  <si>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</si>
  <si>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</si>
  <si>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</si>
  <si>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</si>
  <si>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</si>
  <si>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</si>
  <si>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</si>
  <si>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</si>
  <si>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</si>
  <si>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</si>
  <si>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</si>
  <si>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</si>
  <si>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</si>
  <si>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</si>
  <si>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</si>
  <si>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</si>
  <si>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</si>
  <si>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</si>
  <si>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</si>
  <si>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Technology Label</t>
  </si>
  <si>
    <t>Generation (TJ)</t>
  </si>
  <si>
    <t>Fuel Input (MWh)</t>
  </si>
  <si>
    <t>Capacity Factor (%)</t>
  </si>
  <si>
    <t>Efficiency (%)</t>
  </si>
  <si>
    <t>Fixed OM 2023 US$ / kW . Yr</t>
  </si>
  <si>
    <t>Variable OM 2023 US$ / GJ</t>
  </si>
  <si>
    <t>Capacity base year (MW)</t>
  </si>
  <si>
    <t>Capacity  2020 (MW)</t>
  </si>
  <si>
    <t>Capacity  2025 (MW)</t>
  </si>
  <si>
    <t>Capacity  2030 (MW)</t>
  </si>
  <si>
    <t>Capacity  2035 (MW)</t>
  </si>
  <si>
    <t>Capacity  2040 (MW)</t>
  </si>
  <si>
    <t>Capacity  2045 (MW)</t>
  </si>
  <si>
    <t>Capacity  2050 (MW)</t>
  </si>
  <si>
    <t>Capacity  2055 (MW)</t>
  </si>
  <si>
    <t>Capacity  2060 (MW)</t>
  </si>
  <si>
    <t>Capacity  2065 (MW)</t>
  </si>
  <si>
    <t>Capacity  2070 (MW)</t>
  </si>
  <si>
    <t>Capacity  2075 (MW)</t>
  </si>
  <si>
    <t>Capacity  2080 (MW)</t>
  </si>
  <si>
    <t>Capacity  2085 (MW)</t>
  </si>
  <si>
    <t>Capacity  2090 (MW)</t>
  </si>
  <si>
    <t>Capacity  2095 (MW)</t>
  </si>
  <si>
    <t>Capacity  2100 (MW)</t>
  </si>
  <si>
    <t xml:space="preserve">Average CO2 emission factor ( t CO2 / TJ) </t>
  </si>
  <si>
    <t xml:space="preserve">Average CH4 emission factor ( t CH4 / TJ) </t>
  </si>
  <si>
    <t xml:space="preserve">Average N2O emission factor ( t N2O / TJ) </t>
  </si>
  <si>
    <t>Electricity</t>
  </si>
  <si>
    <t>Grid</t>
  </si>
  <si>
    <t>Dispatchable</t>
  </si>
  <si>
    <t>Combustion turbine</t>
  </si>
  <si>
    <t>Natural gas</t>
  </si>
  <si>
    <t>ELCNGAGRDCTU19</t>
  </si>
  <si>
    <t>Steam turbine</t>
  </si>
  <si>
    <t>ELCNGAGRDSTU19</t>
  </si>
  <si>
    <t>Combined cycle combustion turbine</t>
  </si>
  <si>
    <t>ELCNGAGRDCCC19</t>
  </si>
  <si>
    <t>Combined cycle steam turbine</t>
  </si>
  <si>
    <t>ELCNGAGRDCCS19</t>
  </si>
  <si>
    <t>Combined cycle - single shaft</t>
  </si>
  <si>
    <t>ELCNGAGRDACC19</t>
  </si>
  <si>
    <t>Other turbine</t>
  </si>
  <si>
    <t>ELCNGAGRDOTT19</t>
  </si>
  <si>
    <t>Internal combustion engine</t>
  </si>
  <si>
    <t>ELCNGAGRDICE19</t>
  </si>
  <si>
    <t>Fuel cell</t>
  </si>
  <si>
    <t>ELCNGAGRDFCE19</t>
  </si>
  <si>
    <t>RNG</t>
  </si>
  <si>
    <t>ELCRNGGRDCTU19</t>
  </si>
  <si>
    <t>ELCRNGGRDSTU19</t>
  </si>
  <si>
    <t>ELCRNGGRDCCC19</t>
  </si>
  <si>
    <t>ELCRNGGRDCCS19</t>
  </si>
  <si>
    <t>ELCRNGGRDICE19</t>
  </si>
  <si>
    <t>ELCRNGGRDFCE19</t>
  </si>
  <si>
    <t>Fuel oil</t>
  </si>
  <si>
    <t>ELCFOIGRDCTU19</t>
  </si>
  <si>
    <t>ELCFOIGRDSTU19</t>
  </si>
  <si>
    <t>ELCFOIGRDCCC19</t>
  </si>
  <si>
    <t>ELCFOIGRDCCS19</t>
  </si>
  <si>
    <t>ELCFOIGRDOTT19</t>
  </si>
  <si>
    <t>ELCFOIGRDICE19</t>
  </si>
  <si>
    <t>Coal</t>
  </si>
  <si>
    <t>ELCCOAGRDSTU19</t>
  </si>
  <si>
    <t>ELCCOAGRDOTT19</t>
  </si>
  <si>
    <t>Biomass</t>
  </si>
  <si>
    <t>ELCBIOGRDSTU19</t>
  </si>
  <si>
    <t>ELCBIOGRDOTT19</t>
  </si>
  <si>
    <t>Other bioenergy</t>
  </si>
  <si>
    <t>ELCOTBGRDICE19</t>
  </si>
  <si>
    <t>Waste</t>
  </si>
  <si>
    <t>ELCWASGRDSTU19</t>
  </si>
  <si>
    <t>Waste heat</t>
  </si>
  <si>
    <t>ELCHETGRDSTU19</t>
  </si>
  <si>
    <t>ELCHETGRDOTT19</t>
  </si>
  <si>
    <t>Steam</t>
  </si>
  <si>
    <t>ELCSTMGRDSTU19</t>
  </si>
  <si>
    <t>Uranium</t>
  </si>
  <si>
    <t>ELCURNGRDSTU19</t>
  </si>
  <si>
    <t>Storage</t>
  </si>
  <si>
    <t>Compressed air energy storage</t>
  </si>
  <si>
    <t>ELCSTGGRDCES19</t>
  </si>
  <si>
    <t>Flywheel energy storage</t>
  </si>
  <si>
    <t>ELCSTGGRDFES19</t>
  </si>
  <si>
    <t>Battery energy storage</t>
  </si>
  <si>
    <t>ELCSTGGRDBES19</t>
  </si>
  <si>
    <t>Baseload</t>
  </si>
  <si>
    <t>Geothermal</t>
  </si>
  <si>
    <t>ELCGEOGRDSTU19</t>
  </si>
  <si>
    <t>Binary cycle turbine</t>
  </si>
  <si>
    <t>ELCGEOGRDBCT19</t>
  </si>
  <si>
    <t>Non Dispatchable</t>
  </si>
  <si>
    <t xml:space="preserve">Wind turbine - onshore </t>
  </si>
  <si>
    <t>Wind</t>
  </si>
  <si>
    <t>ELCWNDGRDWON19</t>
  </si>
  <si>
    <t>Wind turbine - offshore</t>
  </si>
  <si>
    <t>ELCWNDGRDWOF19</t>
  </si>
  <si>
    <t>Hydraulic turbine - reversible</t>
  </si>
  <si>
    <t>ELCSTGGRDHES19</t>
  </si>
  <si>
    <t>Partly Dispatchable</t>
  </si>
  <si>
    <t>Hydroelectric tubine</t>
  </si>
  <si>
    <t>Hydro</t>
  </si>
  <si>
    <t>ELCHYDGRDHTU19</t>
  </si>
  <si>
    <t>Photovoltaic</t>
  </si>
  <si>
    <t>Solar</t>
  </si>
  <si>
    <t>ELCSOLGRDUPV19</t>
  </si>
  <si>
    <t>Concentrated solar power energy storage</t>
  </si>
  <si>
    <t>ELCSOLGRDCSP19</t>
  </si>
  <si>
    <t>ELCSOLGRDSTU19</t>
  </si>
  <si>
    <t>ELCSOLGRDOTT19</t>
  </si>
  <si>
    <t>Decentralized</t>
  </si>
  <si>
    <t>Commercial Solar (Photovoltaic)</t>
  </si>
  <si>
    <t>ELCSOLDCECPV19</t>
  </si>
  <si>
    <t>Residential Solar (Photovoltaic)</t>
  </si>
  <si>
    <t>ELCSOLDCERPV19</t>
  </si>
  <si>
    <t>Municipal Solar (Photovoltaic)</t>
  </si>
  <si>
    <t>ELCSOLDCEMPV19</t>
  </si>
  <si>
    <t>Industrial Solar (Photovoltaic)</t>
  </si>
  <si>
    <t>ELCSOLDCEIPV19</t>
  </si>
  <si>
    <t>Electricty</t>
  </si>
  <si>
    <t>Transmission</t>
  </si>
  <si>
    <t>EGRID to CITY</t>
  </si>
  <si>
    <t>TU_CELC_EGRID_CITY_V01</t>
  </si>
  <si>
    <t>Import</t>
  </si>
  <si>
    <t>Import to EGRID</t>
  </si>
  <si>
    <t>IMPELCEGRID</t>
  </si>
  <si>
    <t>~TFM_INS</t>
  </si>
  <si>
    <t>TimeSlice</t>
  </si>
  <si>
    <t>LimType</t>
  </si>
  <si>
    <t>Attribute</t>
  </si>
  <si>
    <t>EGRID</t>
  </si>
  <si>
    <t>CITY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</si>
  <si>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</si>
  <si>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</si>
  <si>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</si>
  <si>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</si>
  <si>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</si>
  <si>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</si>
  <si>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</si>
  <si>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</si>
  <si>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</si>
  <si>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</si>
  <si>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</si>
  <si>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ACT_COST</t>
  </si>
  <si>
    <t>TU_CELC_EGRID_CITY_01</t>
  </si>
  <si>
    <t>CELC</t>
  </si>
  <si>
    <t>TU_CELC_CITY_EGRID_01</t>
  </si>
  <si>
    <t>TU_CH2G_EGRID_CITY_01</t>
  </si>
  <si>
    <t>CH2G</t>
  </si>
  <si>
    <t>TU_CH2G_CITY_EGRID_01</t>
  </si>
  <si>
    <t>NCAP_COST</t>
  </si>
  <si>
    <t>PRC_CAPACT</t>
  </si>
  <si>
    <t>PRC_RESID</t>
  </si>
  <si>
    <t>NCAP_PKCNT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</si>
</sst>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$-409]mmm\-yy;@"/>
  </numFmts>
  <fonts count="2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Geneva"/>
    </font>
    <font>
      <sz val="10"/>
      <name val="Verdana"/>
      <family val="2"/>
    </font>
    <font>
      <u/>
      <sz val="10"/>
      <color indexed="12"/>
      <name val="Verdana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0">
    <xf numFmtId="0" fontId="0" fillId="0" borderId="0"/>
    <xf numFmtId="0" fontId="8" fillId="0" borderId="0">
      <alignment horizontal="left"/>
    </xf>
    <xf numFmtId="0" fontId="9" fillId="0" borderId="3">
      <alignment horizontal="left" wrapText="1"/>
    </xf>
    <xf numFmtId="0" fontId="9" fillId="0" borderId="2">
      <alignment wrapText="1"/>
    </xf>
    <xf numFmtId="0" fontId="10" fillId="0" borderId="4">
      <alignment wrapText="1"/>
    </xf>
    <xf numFmtId="0" fontId="9" fillId="0" borderId="5">
      <alignment wrapText="1"/>
    </xf>
    <xf numFmtId="0" fontId="10" fillId="0" borderId="6">
      <alignment vertical="top" wrapText="1"/>
    </xf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  <xf numFmtId="0" fontId="11" fillId="0" borderId="0">
      <alignment vertical="top"/>
      <protection locked="0"/>
    </xf>
    <xf numFmtId="0" fontId="10" fillId="0" borderId="0"/>
    <xf numFmtId="0" fontId="10" fillId="0" borderId="0">
      <alignment vertical="top" wrapText="1"/>
    </xf>
    <xf numFmtId="0" fontId="12" fillId="0" borderId="0">
      <alignment vertical="top"/>
      <protection locked="0"/>
    </xf>
    <xf numFmtId="0" fontId="13" fillId="8" borderId="0"/>
    <xf numFmtId="0" fontId="7" fillId="0" borderId="0"/>
    <xf numFmtId="0" fontId="10" fillId="0" borderId="7">
      <alignment wrapText="1"/>
    </xf>
    <xf numFmtId="0" fontId="9" fillId="0" borderId="8">
      <alignment wrapText="1"/>
    </xf>
    <xf numFmtId="0" fontId="14" fillId="0" borderId="0"/>
    <xf numFmtId="0" fontId="15" fillId="0" borderId="0"/>
    <xf numFmtId="43" fontId="15" fillId="0" borderId="0"/>
    <xf numFmtId="0" fontId="7" fillId="0" borderId="0"/>
    <xf numFmtId="0" fontId="16" fillId="0" borderId="0"/>
    <xf numFmtId="43" fontId="16" fillId="0" borderId="0"/>
    <xf numFmtId="0" fontId="17" fillId="0" borderId="0">
      <alignment vertical="top"/>
      <protection locked="0"/>
    </xf>
    <xf numFmtId="9" fontId="16" fillId="0" borderId="0"/>
    <xf numFmtId="0" fontId="7" fillId="0" borderId="0"/>
    <xf numFmtId="0" fontId="7" fillId="0" borderId="0"/>
    <xf numFmtId="0" fontId="16" fillId="0" borderId="0"/>
    <xf numFmtId="0" fontId="16" fillId="0" borderId="0"/>
    <xf numFmtId="0" fontId="7" fillId="0" borderId="0"/>
    <xf numFmtId="164" fontId="7" fillId="0" borderId="0"/>
    <xf numFmtId="43" fontId="7" fillId="0" borderId="0"/>
    <xf numFmtId="9" fontId="7" fillId="0" borderId="0"/>
    <xf numFmtId="0" fontId="7" fillId="0" borderId="0"/>
    <xf numFmtId="0" fontId="7" fillId="0" borderId="0"/>
    <xf numFmtId="0" fontId="18" fillId="0" borderId="0">
      <alignment horizontal="left"/>
    </xf>
    <xf numFmtId="0" fontId="19" fillId="0" borderId="0"/>
    <xf numFmtId="0" fontId="20" fillId="0" borderId="9">
      <alignment wrapText="1"/>
    </xf>
    <xf numFmtId="0" fontId="20" fillId="0" borderId="10">
      <alignment wrapText="1"/>
    </xf>
    <xf numFmtId="0" fontId="19" fillId="0" borderId="11">
      <alignment wrapText="1"/>
    </xf>
    <xf numFmtId="0" fontId="21" fillId="0" borderId="0"/>
    <xf numFmtId="0" fontId="7" fillId="0" borderId="0"/>
    <xf numFmtId="0" fontId="3" fillId="0" borderId="0"/>
    <xf numFmtId="0" fontId="3" fillId="0" borderId="0"/>
    <xf numFmtId="9" fontId="7" fillId="0" borderId="0"/>
    <xf numFmtId="43" fontId="7" fillId="0" borderId="0"/>
  </cellStyleXfs>
  <cellXfs count="1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" fontId="0" fillId="0" borderId="0" xfId="0" applyNumberFormat="1"/>
    <xf numFmtId="0" fontId="5" fillId="3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2" fillId="0" borderId="0" xfId="0" applyFont="1"/>
  </cellXfs>
  <cellStyles count="50">
    <cellStyle name="60% - Accent1 2" xfId="7" xr:uid="{00000000-0005-0000-0000-000007000000}"/>
    <cellStyle name="60% - Accent2 2" xfId="8" xr:uid="{00000000-0005-0000-0000-000008000000}"/>
    <cellStyle name="60% - Accent3 2" xfId="9" xr:uid="{00000000-0005-0000-0000-000009000000}"/>
    <cellStyle name="60% - Accent4 2" xfId="10" xr:uid="{00000000-0005-0000-0000-00000A000000}"/>
    <cellStyle name="60% - Accent5 2" xfId="11" xr:uid="{00000000-0005-0000-0000-00000B000000}"/>
    <cellStyle name="60% - Accent6 2" xfId="12" xr:uid="{00000000-0005-0000-0000-00000C000000}"/>
    <cellStyle name="Body: normal cell" xfId="4" xr:uid="{00000000-0005-0000-0000-000004000000}"/>
    <cellStyle name="Body: normal cell 2" xfId="43" xr:uid="{00000000-0005-0000-0000-00002B000000}"/>
    <cellStyle name="Comma 10" xfId="49" xr:uid="{00000000-0005-0000-0000-000031000000}"/>
    <cellStyle name="Comma 2" xfId="23" xr:uid="{00000000-0005-0000-0000-000017000000}"/>
    <cellStyle name="Comma 3" xfId="26" xr:uid="{00000000-0005-0000-0000-00001A000000}"/>
    <cellStyle name="Comma 4" xfId="35" xr:uid="{00000000-0005-0000-0000-000023000000}"/>
    <cellStyle name="Followed Hyperlink 2" xfId="13" xr:uid="{00000000-0005-0000-0000-00000D000000}"/>
    <cellStyle name="Font: Calibri, 9pt regular" xfId="14" xr:uid="{00000000-0005-0000-0000-00000E000000}"/>
    <cellStyle name="Font: Calibri, 9pt regular 2" xfId="40" xr:uid="{00000000-0005-0000-0000-000028000000}"/>
    <cellStyle name="Footnotes: all except top row" xfId="15" xr:uid="{00000000-0005-0000-0000-00000F000000}"/>
    <cellStyle name="Footnotes: top row" xfId="6" xr:uid="{00000000-0005-0000-0000-000006000000}"/>
    <cellStyle name="Header: bottom row" xfId="3" xr:uid="{00000000-0005-0000-0000-000003000000}"/>
    <cellStyle name="Header: bottom row 2" xfId="41" xr:uid="{00000000-0005-0000-0000-000029000000}"/>
    <cellStyle name="Header: top rows" xfId="2" xr:uid="{00000000-0005-0000-0000-000002000000}"/>
    <cellStyle name="Hyperlink 2" xfId="16" xr:uid="{00000000-0005-0000-0000-000010000000}"/>
    <cellStyle name="Hyperlink 3" xfId="27" xr:uid="{00000000-0005-0000-0000-00001B000000}"/>
    <cellStyle name="Neutral 2" xfId="17" xr:uid="{00000000-0005-0000-0000-000011000000}"/>
    <cellStyle name="Normal" xfId="0" builtinId="0"/>
    <cellStyle name="Normal 10" xfId="24" xr:uid="{00000000-0005-0000-0000-000018000000}"/>
    <cellStyle name="Normal 10 2" xfId="38" xr:uid="{00000000-0005-0000-0000-000026000000}"/>
    <cellStyle name="Normal 10 2 2 3" xfId="47" xr:uid="{00000000-0005-0000-0000-00002F000000}"/>
    <cellStyle name="Normal 10 3" xfId="30" xr:uid="{00000000-0005-0000-0000-00001E000000}"/>
    <cellStyle name="Normal 128" xfId="32" xr:uid="{00000000-0005-0000-0000-000020000000}"/>
    <cellStyle name="Normal 153" xfId="29" xr:uid="{00000000-0005-0000-0000-00001D000000}"/>
    <cellStyle name="Normal 2" xfId="18" xr:uid="{00000000-0005-0000-0000-000012000000}"/>
    <cellStyle name="Normal 2 2 2 3" xfId="33" xr:uid="{00000000-0005-0000-0000-000021000000}"/>
    <cellStyle name="Normal 3" xfId="22" xr:uid="{00000000-0005-0000-0000-000016000000}"/>
    <cellStyle name="Normal 3 2" xfId="31" xr:uid="{00000000-0005-0000-0000-00001F000000}"/>
    <cellStyle name="Normal 4" xfId="25" xr:uid="{00000000-0005-0000-0000-000019000000}"/>
    <cellStyle name="Normal 4 2" xfId="37" xr:uid="{00000000-0005-0000-0000-000025000000}"/>
    <cellStyle name="Normal 5" xfId="44" xr:uid="{00000000-0005-0000-0000-00002C000000}"/>
    <cellStyle name="Normal 6" xfId="45" xr:uid="{00000000-0005-0000-0000-00002D000000}"/>
    <cellStyle name="Normal 8" xfId="34" xr:uid="{00000000-0005-0000-0000-000022000000}"/>
    <cellStyle name="Normal 9" xfId="46" xr:uid="{00000000-0005-0000-0000-00002E000000}"/>
    <cellStyle name="Parent row" xfId="5" xr:uid="{00000000-0005-0000-0000-000005000000}"/>
    <cellStyle name="Parent row 2" xfId="42" xr:uid="{00000000-0005-0000-0000-00002A000000}"/>
    <cellStyle name="Percent 10" xfId="48" xr:uid="{00000000-0005-0000-0000-000030000000}"/>
    <cellStyle name="Percent 2" xfId="28" xr:uid="{00000000-0005-0000-0000-00001C000000}"/>
    <cellStyle name="Percent 3" xfId="36" xr:uid="{00000000-0005-0000-0000-000024000000}"/>
    <cellStyle name="Section Break" xfId="19" xr:uid="{00000000-0005-0000-0000-000013000000}"/>
    <cellStyle name="Section Break: parent row" xfId="20" xr:uid="{00000000-0005-0000-0000-000014000000}"/>
    <cellStyle name="Table title" xfId="1" xr:uid="{00000000-0005-0000-0000-000001000000}"/>
    <cellStyle name="Table title 2" xfId="39" xr:uid="{00000000-0005-0000-0000-000027000000}"/>
    <cellStyle name="Title 2" xfId="21" xr:uid="{00000000-0005-0000-0000-000015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:E24"/>
    </sheetView>
  </sheetViews>
  <sheetFormatPr defaultColWidth="8.85546875" defaultRowHeight="15"/>
  <cols>
    <col min="1" max="11" width="8.85546875" style="5" customWidth="1"/>
    <col min="12" max="16384" width="8.85546875" style="5"/>
  </cols>
  <sheetData>
    <row r="1" spans="1:3" s="4" customFormat="1" ht="23.25" customHeight="1">
      <c r="A1" s="4" t="s">
        <v>0</v>
      </c>
    </row>
    <row r="2" spans="1:3" s="4" customFormat="1" ht="23.25" customHeight="1"/>
    <row r="3" spans="1:3">
      <c r="B3" s="6" t="s">
        <v>1</v>
      </c>
    </row>
    <row r="4" spans="1:3">
      <c r="B4" s="7"/>
      <c r="C4" s="5" t="s">
        <v>2</v>
      </c>
    </row>
    <row r="6" spans="1:3">
      <c r="B6" s="8"/>
      <c r="C6" s="5" t="s">
        <v>3</v>
      </c>
    </row>
    <row r="8" spans="1:3">
      <c r="B8" s="9"/>
      <c r="C8" s="5" t="s">
        <v>4</v>
      </c>
    </row>
    <row r="10" spans="1:3">
      <c r="B10" s="10"/>
      <c r="C10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:E2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:E24"/>
    </sheetView>
  </sheetViews>
  <sheetFormatPr defaultColWidth="8.85546875" defaultRowHeight="15"/>
  <cols>
    <col min="1" max="1" width="8.85546875" style="5" customWidth="1"/>
    <col min="2" max="2" width="47.7109375" style="5" customWidth="1"/>
    <col min="3" max="3" width="26.140625" style="5" customWidth="1"/>
    <col min="4" max="4" width="14.42578125" style="5" customWidth="1"/>
    <col min="5" max="13" width="10.85546875" style="5" customWidth="1"/>
    <col min="14" max="24" width="8.85546875" style="5" customWidth="1"/>
    <col min="25" max="16384" width="8.85546875" style="5"/>
  </cols>
  <sheetData>
    <row r="2" spans="2:4" ht="18.75" customHeight="1" thickBot="1">
      <c r="B2" t="s">
        <v>6</v>
      </c>
    </row>
    <row r="3" spans="2:4" ht="15.75" customHeight="1" thickTop="1"/>
    <row r="4" spans="2:4" ht="15.75" customHeight="1" thickBot="1">
      <c r="B4" t="s">
        <v>7</v>
      </c>
      <c r="C4" t="s">
        <v>8</v>
      </c>
    </row>
    <row r="6" spans="2:4">
      <c r="B6" t="s">
        <v>9</v>
      </c>
    </row>
    <row r="7" spans="2:4" ht="15.7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.7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.7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.7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.7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.7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:E2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1"/>
  <sheetViews>
    <sheetView zoomScale="70" zoomScaleNormal="70" workbookViewId="0">
      <selection activeCell="F56" sqref="F56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5" width="20.42578125" bestFit="1" customWidth="1"/>
    <col min="6" max="6" width="30.28515625" customWidth="1"/>
    <col min="7" max="7" width="20.42578125" customWidth="1"/>
    <col min="8" max="8" width="23.28515625" bestFit="1" customWidth="1"/>
    <col min="9" max="15" width="30.28515625" customWidth="1"/>
    <col min="16" max="32" width="19.140625" bestFit="1" customWidth="1"/>
  </cols>
  <sheetData>
    <row r="1" spans="1:44">
      <c r="O1">
        <v>2019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  <c r="AG1">
        <v>2019</v>
      </c>
      <c r="AH1">
        <v>2030</v>
      </c>
      <c r="AI1">
        <v>2050</v>
      </c>
      <c r="AJ1">
        <v>2100</v>
      </c>
      <c r="AK1">
        <v>2019</v>
      </c>
      <c r="AL1">
        <v>2030</v>
      </c>
      <c r="AM1">
        <v>2050</v>
      </c>
      <c r="AN1">
        <v>2100</v>
      </c>
      <c r="AO1">
        <v>2019</v>
      </c>
      <c r="AP1">
        <v>2030</v>
      </c>
      <c r="AQ1">
        <v>2050</v>
      </c>
      <c r="AR1">
        <v>2100</v>
      </c>
    </row>
    <row r="2" spans="1:44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  <c r="AB2" t="s">
        <v>98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103</v>
      </c>
      <c r="AI2" t="s">
        <v>103</v>
      </c>
      <c r="AJ2" t="s">
        <v>103</v>
      </c>
      <c r="AK2" t="s">
        <v>104</v>
      </c>
      <c r="AL2" t="s">
        <v>104</v>
      </c>
      <c r="AM2" t="s">
        <v>104</v>
      </c>
      <c r="AN2" t="s">
        <v>104</v>
      </c>
      <c r="AO2" t="s">
        <v>105</v>
      </c>
      <c r="AP2" t="s">
        <v>105</v>
      </c>
      <c r="AQ2" t="s">
        <v>105</v>
      </c>
      <c r="AR2" t="s">
        <v>105</v>
      </c>
    </row>
    <row r="3" spans="1:44">
      <c r="A3" t="s">
        <v>106</v>
      </c>
      <c r="B3" t="s">
        <v>107</v>
      </c>
      <c r="D3">
        <v>2019</v>
      </c>
      <c r="E3" t="s">
        <v>108</v>
      </c>
      <c r="F3" t="s">
        <v>109</v>
      </c>
      <c r="G3" t="s">
        <v>110</v>
      </c>
      <c r="H3" t="s">
        <v>111</v>
      </c>
      <c r="I3">
        <v>12173.113897200001</v>
      </c>
      <c r="J3">
        <v>34569.70851479932</v>
      </c>
      <c r="K3">
        <v>0.13746195273490469</v>
      </c>
      <c r="L3">
        <v>0.35213238468553132</v>
      </c>
      <c r="M3">
        <v>27.138388541967881</v>
      </c>
      <c r="N3">
        <v>2.0228150718781621</v>
      </c>
      <c r="O3">
        <v>2808.1</v>
      </c>
      <c r="P3">
        <v>1517.2</v>
      </c>
      <c r="Q3">
        <v>1517.2</v>
      </c>
      <c r="R3">
        <v>1517.2</v>
      </c>
      <c r="S3">
        <v>1517.2</v>
      </c>
      <c r="T3">
        <v>681.9</v>
      </c>
      <c r="U3">
        <v>677.3</v>
      </c>
      <c r="V3">
        <v>139.5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4">
      <c r="A4" t="s">
        <v>106</v>
      </c>
      <c r="B4" t="s">
        <v>107</v>
      </c>
      <c r="D4">
        <v>2019</v>
      </c>
      <c r="E4" t="s">
        <v>108</v>
      </c>
      <c r="F4" t="s">
        <v>112</v>
      </c>
      <c r="G4" t="s">
        <v>110</v>
      </c>
      <c r="H4" t="s">
        <v>113</v>
      </c>
      <c r="I4">
        <v>10774.678320000001</v>
      </c>
      <c r="J4">
        <v>29246.46661362657</v>
      </c>
      <c r="K4">
        <v>8.4997091379749257E-2</v>
      </c>
      <c r="L4">
        <v>0.36840957447419792</v>
      </c>
      <c r="M4">
        <v>27.138388541967881</v>
      </c>
      <c r="N4">
        <v>2.0228150718781621</v>
      </c>
      <c r="O4">
        <v>4019.7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44">
      <c r="A5" t="s">
        <v>106</v>
      </c>
      <c r="B5" t="s">
        <v>107</v>
      </c>
      <c r="D5">
        <v>2019</v>
      </c>
      <c r="E5" t="s">
        <v>108</v>
      </c>
      <c r="F5" t="s">
        <v>114</v>
      </c>
      <c r="G5" t="s">
        <v>110</v>
      </c>
      <c r="H5" t="s">
        <v>115</v>
      </c>
      <c r="I5">
        <v>46780.595999999998</v>
      </c>
      <c r="J5">
        <v>91771.956906132036</v>
      </c>
      <c r="K5">
        <v>0.64588451606066521</v>
      </c>
      <c r="L5">
        <v>0.50974826708608845</v>
      </c>
      <c r="M5">
        <v>35.166828485633367</v>
      </c>
      <c r="N5">
        <v>0.61563936970204913</v>
      </c>
      <c r="O5">
        <v>2296.6999999999998</v>
      </c>
      <c r="P5">
        <v>2296.6999999999998</v>
      </c>
      <c r="Q5">
        <v>2296.6999999999998</v>
      </c>
      <c r="R5">
        <v>1726.5</v>
      </c>
      <c r="S5">
        <v>1484.5</v>
      </c>
      <c r="T5">
        <v>751</v>
      </c>
      <c r="U5">
        <v>400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44">
      <c r="A6" t="s">
        <v>106</v>
      </c>
      <c r="B6" t="s">
        <v>107</v>
      </c>
      <c r="D6">
        <v>2019</v>
      </c>
      <c r="E6" t="s">
        <v>108</v>
      </c>
      <c r="F6" t="s">
        <v>116</v>
      </c>
      <c r="G6" t="s">
        <v>110</v>
      </c>
      <c r="H6" t="s">
        <v>117</v>
      </c>
      <c r="I6">
        <v>17753.903999999999</v>
      </c>
      <c r="J6">
        <v>34991.140527096919</v>
      </c>
      <c r="K6">
        <v>0.47892182283260398</v>
      </c>
      <c r="L6">
        <v>0.50738283269879381</v>
      </c>
      <c r="M6">
        <v>35.166828485633367</v>
      </c>
      <c r="N6">
        <v>0.61563936970204913</v>
      </c>
      <c r="O6">
        <v>1175.5</v>
      </c>
      <c r="P6">
        <v>1173.0999999999999</v>
      </c>
      <c r="Q6">
        <v>1173.0999999999999</v>
      </c>
      <c r="R6">
        <v>860.5</v>
      </c>
      <c r="S6">
        <v>780.5</v>
      </c>
      <c r="T6">
        <v>505</v>
      </c>
      <c r="U6">
        <v>250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44">
      <c r="A7" t="s">
        <v>106</v>
      </c>
      <c r="B7" t="s">
        <v>107</v>
      </c>
      <c r="D7">
        <v>2019</v>
      </c>
      <c r="E7" t="s">
        <v>108</v>
      </c>
      <c r="F7" t="s">
        <v>118</v>
      </c>
      <c r="G7" t="s">
        <v>110</v>
      </c>
      <c r="H7" t="s">
        <v>119</v>
      </c>
      <c r="I7">
        <v>0</v>
      </c>
      <c r="J7">
        <v>0</v>
      </c>
      <c r="M7">
        <v>34.82759862885878</v>
      </c>
      <c r="N7">
        <v>0.61563936970204913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44">
      <c r="A8" t="s">
        <v>106</v>
      </c>
      <c r="B8" t="s">
        <v>107</v>
      </c>
      <c r="D8">
        <v>2019</v>
      </c>
      <c r="E8" t="s">
        <v>108</v>
      </c>
      <c r="F8" t="s">
        <v>120</v>
      </c>
      <c r="G8" t="s">
        <v>110</v>
      </c>
      <c r="H8" t="s">
        <v>121</v>
      </c>
      <c r="I8">
        <v>0</v>
      </c>
      <c r="J8">
        <v>0</v>
      </c>
      <c r="M8">
        <v>34.82759862885878</v>
      </c>
      <c r="N8">
        <v>0.61563936970204913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44">
      <c r="A9" t="s">
        <v>106</v>
      </c>
      <c r="B9" t="s">
        <v>107</v>
      </c>
      <c r="D9">
        <v>2019</v>
      </c>
      <c r="E9" t="s">
        <v>108</v>
      </c>
      <c r="F9" t="s">
        <v>122</v>
      </c>
      <c r="G9" t="s">
        <v>110</v>
      </c>
      <c r="H9" t="s">
        <v>123</v>
      </c>
      <c r="I9">
        <v>234.730818</v>
      </c>
      <c r="J9">
        <v>538.07159911454107</v>
      </c>
      <c r="K9">
        <v>0.23406495003015421</v>
      </c>
      <c r="L9">
        <v>0.43624457857704552</v>
      </c>
      <c r="M9">
        <v>27.138388541967881</v>
      </c>
      <c r="N9">
        <v>2.0228150718781621</v>
      </c>
      <c r="O9">
        <v>31.800000000000011</v>
      </c>
      <c r="P9">
        <v>31.8</v>
      </c>
      <c r="Q9">
        <v>31.8</v>
      </c>
      <c r="R9">
        <v>23.400000000000009</v>
      </c>
      <c r="S9">
        <v>22.5</v>
      </c>
      <c r="T9">
        <v>22.3</v>
      </c>
      <c r="U9">
        <v>2.4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4">
      <c r="A10" t="s">
        <v>106</v>
      </c>
      <c r="B10" t="s">
        <v>107</v>
      </c>
      <c r="D10">
        <v>2019</v>
      </c>
      <c r="E10" t="s">
        <v>108</v>
      </c>
      <c r="F10" t="s">
        <v>124</v>
      </c>
      <c r="G10" t="s">
        <v>110</v>
      </c>
      <c r="H10" t="s">
        <v>125</v>
      </c>
      <c r="I10">
        <v>192.024</v>
      </c>
      <c r="J10">
        <v>392.50609754039999</v>
      </c>
      <c r="K10">
        <v>0.92258198422581983</v>
      </c>
      <c r="L10">
        <v>0.48922552083470572</v>
      </c>
      <c r="M10">
        <v>34.82759862885878</v>
      </c>
      <c r="N10">
        <v>0.61563936970204913</v>
      </c>
      <c r="O10">
        <v>6.6</v>
      </c>
      <c r="P10">
        <v>6.6</v>
      </c>
      <c r="Q10">
        <v>6.6</v>
      </c>
      <c r="R10">
        <v>6.6</v>
      </c>
      <c r="S10">
        <v>6.6</v>
      </c>
      <c r="T10">
        <v>6.6</v>
      </c>
      <c r="U10">
        <v>6.6</v>
      </c>
      <c r="V10">
        <v>6.6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44">
      <c r="A11" t="s">
        <v>106</v>
      </c>
      <c r="B11" t="s">
        <v>107</v>
      </c>
      <c r="D11">
        <v>2019</v>
      </c>
      <c r="E11" t="s">
        <v>108</v>
      </c>
      <c r="F11" t="s">
        <v>109</v>
      </c>
      <c r="G11" t="s">
        <v>126</v>
      </c>
      <c r="H11" t="s">
        <v>127</v>
      </c>
      <c r="I11">
        <v>0</v>
      </c>
      <c r="J11">
        <v>0</v>
      </c>
      <c r="M11">
        <v>27.138388541967881</v>
      </c>
      <c r="N11">
        <v>2.0228150718781621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44">
      <c r="A12" t="s">
        <v>106</v>
      </c>
      <c r="B12" t="s">
        <v>107</v>
      </c>
      <c r="D12">
        <v>2019</v>
      </c>
      <c r="E12" t="s">
        <v>108</v>
      </c>
      <c r="F12" t="s">
        <v>112</v>
      </c>
      <c r="G12" t="s">
        <v>126</v>
      </c>
      <c r="H12" t="s">
        <v>128</v>
      </c>
      <c r="I12">
        <v>0</v>
      </c>
      <c r="J12">
        <v>0</v>
      </c>
      <c r="M12">
        <v>27.138388541967881</v>
      </c>
      <c r="N12">
        <v>2.0228150718781621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44">
      <c r="A13" t="s">
        <v>106</v>
      </c>
      <c r="B13" t="s">
        <v>107</v>
      </c>
      <c r="D13">
        <v>2019</v>
      </c>
      <c r="E13" t="s">
        <v>108</v>
      </c>
      <c r="F13" t="s">
        <v>114</v>
      </c>
      <c r="G13" t="s">
        <v>126</v>
      </c>
      <c r="H13" t="s">
        <v>129</v>
      </c>
      <c r="I13">
        <v>0</v>
      </c>
      <c r="J13">
        <v>0</v>
      </c>
      <c r="M13">
        <v>35.166828485633367</v>
      </c>
      <c r="N13">
        <v>0.61563936970204913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44">
      <c r="A14" t="s">
        <v>106</v>
      </c>
      <c r="B14" t="s">
        <v>107</v>
      </c>
      <c r="D14">
        <v>2019</v>
      </c>
      <c r="E14" t="s">
        <v>108</v>
      </c>
      <c r="F14" t="s">
        <v>116</v>
      </c>
      <c r="G14" t="s">
        <v>126</v>
      </c>
      <c r="H14" t="s">
        <v>130</v>
      </c>
      <c r="I14">
        <v>0</v>
      </c>
      <c r="J14">
        <v>0</v>
      </c>
      <c r="M14">
        <v>35.166828485633367</v>
      </c>
      <c r="N14">
        <v>0.61563936970204913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44">
      <c r="A15" t="s">
        <v>106</v>
      </c>
      <c r="B15" t="s">
        <v>107</v>
      </c>
      <c r="D15">
        <v>2019</v>
      </c>
      <c r="E15" t="s">
        <v>108</v>
      </c>
      <c r="F15" t="s">
        <v>122</v>
      </c>
      <c r="G15" t="s">
        <v>126</v>
      </c>
      <c r="H15" t="s">
        <v>131</v>
      </c>
      <c r="I15">
        <v>0</v>
      </c>
      <c r="J15">
        <v>0</v>
      </c>
      <c r="M15">
        <v>27.138388541967881</v>
      </c>
      <c r="N15">
        <v>2.0228150718781621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44">
      <c r="A16" t="s">
        <v>106</v>
      </c>
      <c r="B16" t="s">
        <v>107</v>
      </c>
      <c r="D16">
        <v>2019</v>
      </c>
      <c r="E16" t="s">
        <v>108</v>
      </c>
      <c r="F16" t="s">
        <v>124</v>
      </c>
      <c r="G16" t="s">
        <v>126</v>
      </c>
      <c r="H16" t="s">
        <v>132</v>
      </c>
      <c r="I16">
        <v>0</v>
      </c>
      <c r="J16">
        <v>0</v>
      </c>
      <c r="M16">
        <v>34.82759862885878</v>
      </c>
      <c r="N16">
        <v>0.61563936970204913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106</v>
      </c>
      <c r="B17" t="s">
        <v>107</v>
      </c>
      <c r="D17">
        <v>2019</v>
      </c>
      <c r="E17" t="s">
        <v>108</v>
      </c>
      <c r="F17" t="s">
        <v>109</v>
      </c>
      <c r="G17" t="s">
        <v>133</v>
      </c>
      <c r="H17" t="s">
        <v>134</v>
      </c>
      <c r="I17">
        <v>16.135200000000001</v>
      </c>
      <c r="J17">
        <v>99.921256178847159</v>
      </c>
      <c r="K17">
        <v>1.313254198194143E-3</v>
      </c>
      <c r="L17">
        <v>0.16147915485689959</v>
      </c>
      <c r="M17">
        <v>27.138388541967881</v>
      </c>
      <c r="N17">
        <v>2.0228150718781621</v>
      </c>
      <c r="O17">
        <v>389.6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106</v>
      </c>
      <c r="B18" t="s">
        <v>107</v>
      </c>
      <c r="D18">
        <v>2019</v>
      </c>
      <c r="E18" t="s">
        <v>108</v>
      </c>
      <c r="F18" t="s">
        <v>112</v>
      </c>
      <c r="G18" t="s">
        <v>133</v>
      </c>
      <c r="H18" t="s">
        <v>135</v>
      </c>
      <c r="I18">
        <v>0</v>
      </c>
      <c r="J18">
        <v>0</v>
      </c>
      <c r="M18">
        <v>27.138388541967881</v>
      </c>
      <c r="N18">
        <v>2.0228150718781621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106</v>
      </c>
      <c r="B19" t="s">
        <v>107</v>
      </c>
      <c r="D19">
        <v>2019</v>
      </c>
      <c r="E19" t="s">
        <v>108</v>
      </c>
      <c r="F19" t="s">
        <v>114</v>
      </c>
      <c r="G19" t="s">
        <v>133</v>
      </c>
      <c r="H19" t="s">
        <v>136</v>
      </c>
      <c r="I19">
        <v>0</v>
      </c>
      <c r="J19">
        <v>0</v>
      </c>
      <c r="M19">
        <v>35.166828485633367</v>
      </c>
      <c r="N19">
        <v>0.61563936970204913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106</v>
      </c>
      <c r="B20" t="s">
        <v>107</v>
      </c>
      <c r="D20">
        <v>2019</v>
      </c>
      <c r="E20" t="s">
        <v>108</v>
      </c>
      <c r="F20" t="s">
        <v>116</v>
      </c>
      <c r="G20" t="s">
        <v>133</v>
      </c>
      <c r="H20" t="s">
        <v>137</v>
      </c>
      <c r="I20">
        <v>0</v>
      </c>
      <c r="J20">
        <v>0</v>
      </c>
      <c r="M20">
        <v>35.166828485633367</v>
      </c>
      <c r="N20">
        <v>0.61563936970204913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106</v>
      </c>
      <c r="B21" t="s">
        <v>107</v>
      </c>
      <c r="D21">
        <v>2019</v>
      </c>
      <c r="E21" t="s">
        <v>108</v>
      </c>
      <c r="F21" t="s">
        <v>120</v>
      </c>
      <c r="G21" t="s">
        <v>133</v>
      </c>
      <c r="H21" t="s">
        <v>138</v>
      </c>
      <c r="I21">
        <v>0</v>
      </c>
      <c r="J21">
        <v>0</v>
      </c>
      <c r="M21">
        <v>35.166828485633367</v>
      </c>
      <c r="N21">
        <v>0.61563936970204913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106</v>
      </c>
      <c r="B22" t="s">
        <v>107</v>
      </c>
      <c r="D22">
        <v>2019</v>
      </c>
      <c r="E22" t="s">
        <v>108</v>
      </c>
      <c r="F22" t="s">
        <v>122</v>
      </c>
      <c r="G22" t="s">
        <v>133</v>
      </c>
      <c r="H22" t="s">
        <v>139</v>
      </c>
      <c r="I22">
        <v>8.6313023999999992</v>
      </c>
      <c r="J22">
        <v>31.086117837003719</v>
      </c>
      <c r="K22">
        <v>1.2700547733316379E-3</v>
      </c>
      <c r="L22">
        <v>0.27765777783051537</v>
      </c>
      <c r="M22">
        <v>34.82759862885878</v>
      </c>
      <c r="N22">
        <v>0.61563936970204913</v>
      </c>
      <c r="O22">
        <v>215.5</v>
      </c>
      <c r="P22">
        <v>186.1</v>
      </c>
      <c r="Q22">
        <v>178.8</v>
      </c>
      <c r="R22">
        <v>172</v>
      </c>
      <c r="S22">
        <v>141.69999999999999</v>
      </c>
      <c r="T22">
        <v>105</v>
      </c>
      <c r="U22">
        <v>55.600000000000023</v>
      </c>
      <c r="V22">
        <v>13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106</v>
      </c>
      <c r="B23" t="s">
        <v>107</v>
      </c>
      <c r="D23">
        <v>2019</v>
      </c>
      <c r="E23" t="s">
        <v>108</v>
      </c>
      <c r="F23" t="s">
        <v>112</v>
      </c>
      <c r="G23" t="s">
        <v>140</v>
      </c>
      <c r="H23" t="s">
        <v>141</v>
      </c>
      <c r="I23">
        <v>0</v>
      </c>
      <c r="J23">
        <v>0</v>
      </c>
      <c r="M23">
        <v>87.747456285696146</v>
      </c>
      <c r="N23">
        <v>2.6573005447343552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106</v>
      </c>
      <c r="B24" t="s">
        <v>107</v>
      </c>
      <c r="D24">
        <v>2019</v>
      </c>
      <c r="E24" t="s">
        <v>108</v>
      </c>
      <c r="F24" t="s">
        <v>120</v>
      </c>
      <c r="G24" t="s">
        <v>140</v>
      </c>
      <c r="H24" t="s">
        <v>142</v>
      </c>
      <c r="I24">
        <v>0</v>
      </c>
      <c r="J24">
        <v>0</v>
      </c>
      <c r="M24">
        <v>169.72800500622409</v>
      </c>
      <c r="N24">
        <v>4.639282393111869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106</v>
      </c>
      <c r="B25" t="s">
        <v>107</v>
      </c>
      <c r="D25">
        <v>2019</v>
      </c>
      <c r="E25" t="s">
        <v>108</v>
      </c>
      <c r="F25" t="s">
        <v>112</v>
      </c>
      <c r="G25" t="s">
        <v>143</v>
      </c>
      <c r="H25" t="s">
        <v>144</v>
      </c>
      <c r="I25">
        <v>0</v>
      </c>
      <c r="J25">
        <v>0</v>
      </c>
      <c r="M25">
        <v>177.77906027367459</v>
      </c>
      <c r="N25">
        <v>1.5830726649481259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106</v>
      </c>
      <c r="B26" t="s">
        <v>107</v>
      </c>
      <c r="D26">
        <v>2019</v>
      </c>
      <c r="E26" t="s">
        <v>108</v>
      </c>
      <c r="F26" t="s">
        <v>120</v>
      </c>
      <c r="G26" t="s">
        <v>143</v>
      </c>
      <c r="H26" t="s">
        <v>145</v>
      </c>
      <c r="I26">
        <v>0</v>
      </c>
      <c r="J26">
        <v>0</v>
      </c>
      <c r="M26">
        <v>177.77906027367459</v>
      </c>
      <c r="N26">
        <v>1.5830726649481259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106</v>
      </c>
      <c r="B27" t="s">
        <v>107</v>
      </c>
      <c r="D27">
        <v>2019</v>
      </c>
      <c r="E27" t="s">
        <v>108</v>
      </c>
      <c r="F27" t="s">
        <v>122</v>
      </c>
      <c r="G27" t="s">
        <v>146</v>
      </c>
      <c r="H27" t="s">
        <v>147</v>
      </c>
      <c r="I27">
        <v>0</v>
      </c>
      <c r="J27">
        <v>0</v>
      </c>
      <c r="M27">
        <v>177.77906027367459</v>
      </c>
      <c r="N27">
        <v>1.5830726649481259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106</v>
      </c>
      <c r="B28" t="s">
        <v>107</v>
      </c>
      <c r="D28">
        <v>2019</v>
      </c>
      <c r="E28" t="s">
        <v>108</v>
      </c>
      <c r="F28" t="s">
        <v>112</v>
      </c>
      <c r="G28" t="s">
        <v>148</v>
      </c>
      <c r="H28" t="s">
        <v>149</v>
      </c>
      <c r="I28">
        <v>1357.2108000000001</v>
      </c>
      <c r="J28">
        <v>7369.6160186947618</v>
      </c>
      <c r="K28">
        <v>0.72088563058825328</v>
      </c>
      <c r="L28">
        <v>0.1841630278371513</v>
      </c>
      <c r="M28">
        <v>177.77906027367459</v>
      </c>
      <c r="N28">
        <v>1.5830726649481259</v>
      </c>
      <c r="O28">
        <v>59.7</v>
      </c>
      <c r="P28">
        <v>59.7</v>
      </c>
      <c r="Q28">
        <v>59.7</v>
      </c>
      <c r="R28">
        <v>59.7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106</v>
      </c>
      <c r="B29" t="s">
        <v>107</v>
      </c>
      <c r="D29">
        <v>2019</v>
      </c>
      <c r="E29" t="s">
        <v>108</v>
      </c>
      <c r="F29" t="s">
        <v>112</v>
      </c>
      <c r="G29" t="s">
        <v>150</v>
      </c>
      <c r="H29" t="s">
        <v>151</v>
      </c>
      <c r="I29">
        <v>0</v>
      </c>
      <c r="J29">
        <v>0</v>
      </c>
      <c r="M29">
        <v>177.77906027367459</v>
      </c>
      <c r="N29">
        <v>1.5830726649481259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106</v>
      </c>
      <c r="B30" t="s">
        <v>107</v>
      </c>
      <c r="D30">
        <v>2019</v>
      </c>
      <c r="E30" t="s">
        <v>108</v>
      </c>
      <c r="F30" t="s">
        <v>120</v>
      </c>
      <c r="G30" t="s">
        <v>150</v>
      </c>
      <c r="H30" t="s">
        <v>152</v>
      </c>
      <c r="I30">
        <v>0</v>
      </c>
      <c r="J30">
        <v>0</v>
      </c>
      <c r="M30">
        <v>177.77906027367459</v>
      </c>
      <c r="N30">
        <v>1.5830726649481259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106</v>
      </c>
      <c r="B31" t="s">
        <v>107</v>
      </c>
      <c r="D31">
        <v>2019</v>
      </c>
      <c r="E31" t="s">
        <v>108</v>
      </c>
      <c r="F31" t="s">
        <v>112</v>
      </c>
      <c r="G31" t="s">
        <v>153</v>
      </c>
      <c r="H31" t="s">
        <v>154</v>
      </c>
      <c r="I31">
        <v>0</v>
      </c>
      <c r="J31">
        <v>0</v>
      </c>
      <c r="M31">
        <v>177.77906027367459</v>
      </c>
      <c r="N31">
        <v>1.5830726649481259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106</v>
      </c>
      <c r="B32" t="s">
        <v>107</v>
      </c>
      <c r="D32">
        <v>2019</v>
      </c>
      <c r="E32" t="s">
        <v>108</v>
      </c>
      <c r="F32" t="s">
        <v>112</v>
      </c>
      <c r="G32" t="s">
        <v>155</v>
      </c>
      <c r="H32" t="s">
        <v>156</v>
      </c>
      <c r="I32">
        <v>60101.434800000003</v>
      </c>
      <c r="J32">
        <v>182125.56</v>
      </c>
      <c r="K32">
        <v>0.82466637621540018</v>
      </c>
      <c r="L32">
        <v>0.33</v>
      </c>
      <c r="M32">
        <v>172.01215270850639</v>
      </c>
      <c r="N32">
        <v>0.7758312465122762</v>
      </c>
      <c r="O32">
        <v>2311</v>
      </c>
      <c r="P32">
        <v>2311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106</v>
      </c>
      <c r="B33" t="s">
        <v>107</v>
      </c>
      <c r="D33">
        <v>2019</v>
      </c>
      <c r="E33" t="s">
        <v>157</v>
      </c>
      <c r="F33" t="s">
        <v>158</v>
      </c>
      <c r="G33" t="s">
        <v>157</v>
      </c>
      <c r="H33" t="s">
        <v>159</v>
      </c>
      <c r="I33">
        <v>0</v>
      </c>
      <c r="J33">
        <v>0</v>
      </c>
      <c r="M33">
        <v>44.870272385432912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106</v>
      </c>
      <c r="B34" t="s">
        <v>107</v>
      </c>
      <c r="D34">
        <v>2019</v>
      </c>
      <c r="E34" t="s">
        <v>157</v>
      </c>
      <c r="F34" t="s">
        <v>160</v>
      </c>
      <c r="G34" t="s">
        <v>157</v>
      </c>
      <c r="H34" t="s">
        <v>161</v>
      </c>
      <c r="I34">
        <v>0</v>
      </c>
      <c r="J34">
        <v>0</v>
      </c>
      <c r="M34">
        <v>44.870272385432912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106</v>
      </c>
      <c r="B35" t="s">
        <v>107</v>
      </c>
      <c r="D35">
        <v>2019</v>
      </c>
      <c r="E35" t="s">
        <v>157</v>
      </c>
      <c r="F35" t="s">
        <v>162</v>
      </c>
      <c r="G35" t="s">
        <v>157</v>
      </c>
      <c r="H35" t="s">
        <v>163</v>
      </c>
      <c r="I35">
        <v>0</v>
      </c>
      <c r="J35">
        <v>0</v>
      </c>
      <c r="L35">
        <v>0.8</v>
      </c>
      <c r="M35">
        <v>44.870272385432912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106</v>
      </c>
      <c r="B36" t="s">
        <v>107</v>
      </c>
      <c r="D36">
        <v>2019</v>
      </c>
      <c r="E36" t="s">
        <v>164</v>
      </c>
      <c r="F36" t="s">
        <v>112</v>
      </c>
      <c r="G36" t="s">
        <v>165</v>
      </c>
      <c r="H36" t="s">
        <v>166</v>
      </c>
      <c r="I36">
        <v>0</v>
      </c>
      <c r="J36">
        <v>0</v>
      </c>
      <c r="L36">
        <v>1</v>
      </c>
      <c r="M36">
        <v>170.8099129312339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106</v>
      </c>
      <c r="B37" t="s">
        <v>107</v>
      </c>
      <c r="D37">
        <v>2019</v>
      </c>
      <c r="E37" t="s">
        <v>164</v>
      </c>
      <c r="F37" t="s">
        <v>167</v>
      </c>
      <c r="G37" t="s">
        <v>165</v>
      </c>
      <c r="H37" t="s">
        <v>168</v>
      </c>
      <c r="I37">
        <v>0</v>
      </c>
      <c r="J37">
        <v>0</v>
      </c>
      <c r="L37">
        <v>1</v>
      </c>
      <c r="M37">
        <v>128.4796870790527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106</v>
      </c>
      <c r="B38" t="s">
        <v>107</v>
      </c>
      <c r="D38">
        <v>2019</v>
      </c>
      <c r="E38" t="s">
        <v>169</v>
      </c>
      <c r="F38" t="s">
        <v>170</v>
      </c>
      <c r="G38" t="s">
        <v>171</v>
      </c>
      <c r="H38" t="s">
        <v>172</v>
      </c>
      <c r="I38">
        <v>0</v>
      </c>
      <c r="J38">
        <v>0</v>
      </c>
      <c r="L38">
        <v>1</v>
      </c>
      <c r="M38">
        <v>34.974598233461101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106</v>
      </c>
      <c r="B39" t="s">
        <v>107</v>
      </c>
      <c r="D39">
        <v>2019</v>
      </c>
      <c r="E39" t="s">
        <v>169</v>
      </c>
      <c r="F39" t="s">
        <v>173</v>
      </c>
      <c r="G39" t="s">
        <v>171</v>
      </c>
      <c r="H39" t="s">
        <v>174</v>
      </c>
      <c r="I39">
        <v>0</v>
      </c>
      <c r="J39">
        <v>0</v>
      </c>
      <c r="L39">
        <v>1</v>
      </c>
      <c r="M39">
        <v>112.5589589754599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106</v>
      </c>
      <c r="B40" t="s">
        <v>107</v>
      </c>
      <c r="D40">
        <v>2019</v>
      </c>
      <c r="E40" t="s">
        <v>157</v>
      </c>
      <c r="F40" t="s">
        <v>175</v>
      </c>
      <c r="G40" t="s">
        <v>157</v>
      </c>
      <c r="H40" t="s">
        <v>176</v>
      </c>
      <c r="I40">
        <v>0</v>
      </c>
      <c r="J40">
        <v>0</v>
      </c>
      <c r="L40">
        <v>0.7</v>
      </c>
      <c r="M40">
        <v>21.100097091380011</v>
      </c>
      <c r="N40">
        <v>0.16961492838729941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106</v>
      </c>
      <c r="B41" t="s">
        <v>107</v>
      </c>
      <c r="D41">
        <v>2019</v>
      </c>
      <c r="E41" t="s">
        <v>177</v>
      </c>
      <c r="F41" t="s">
        <v>178</v>
      </c>
      <c r="G41" t="s">
        <v>179</v>
      </c>
      <c r="H41" t="s">
        <v>180</v>
      </c>
      <c r="I41">
        <v>0</v>
      </c>
      <c r="J41">
        <v>0</v>
      </c>
      <c r="M41">
        <v>122.2349283806013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106</v>
      </c>
      <c r="B42" t="s">
        <v>107</v>
      </c>
      <c r="D42">
        <v>2019</v>
      </c>
      <c r="E42" t="s">
        <v>169</v>
      </c>
      <c r="F42" t="s">
        <v>181</v>
      </c>
      <c r="G42" t="s">
        <v>182</v>
      </c>
      <c r="H42" t="s">
        <v>183</v>
      </c>
      <c r="I42">
        <v>29.980799999999999</v>
      </c>
      <c r="J42">
        <v>78.242941836</v>
      </c>
      <c r="K42">
        <v>0.1558499887716146</v>
      </c>
      <c r="L42">
        <v>0.38317577658111102</v>
      </c>
      <c r="M42">
        <v>25.474928501147339</v>
      </c>
      <c r="N42">
        <v>0</v>
      </c>
      <c r="O42">
        <v>6.1000000000000014</v>
      </c>
      <c r="P42">
        <v>6.1</v>
      </c>
      <c r="Q42">
        <v>6.1</v>
      </c>
      <c r="R42">
        <v>6.1</v>
      </c>
      <c r="S42">
        <v>6.1</v>
      </c>
      <c r="T42">
        <v>6.1</v>
      </c>
      <c r="U42">
        <v>6.1</v>
      </c>
      <c r="V42">
        <v>3.5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106</v>
      </c>
      <c r="B43" t="s">
        <v>107</v>
      </c>
      <c r="D43">
        <v>2019</v>
      </c>
      <c r="E43" t="s">
        <v>169</v>
      </c>
      <c r="F43" t="s">
        <v>184</v>
      </c>
      <c r="G43" t="s">
        <v>182</v>
      </c>
      <c r="H43" t="s">
        <v>185</v>
      </c>
      <c r="I43">
        <v>0</v>
      </c>
      <c r="J43">
        <v>0</v>
      </c>
      <c r="L43">
        <v>1</v>
      </c>
      <c r="M43">
        <v>78.13820520946102</v>
      </c>
      <c r="N43">
        <v>1.151025750139367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106</v>
      </c>
      <c r="B44" t="s">
        <v>107</v>
      </c>
      <c r="D44">
        <v>2019</v>
      </c>
      <c r="E44" t="s">
        <v>169</v>
      </c>
      <c r="F44" t="s">
        <v>112</v>
      </c>
      <c r="G44" t="s">
        <v>182</v>
      </c>
      <c r="H44" t="s">
        <v>186</v>
      </c>
      <c r="I44">
        <v>0</v>
      </c>
      <c r="J44">
        <v>0</v>
      </c>
      <c r="L44">
        <v>1</v>
      </c>
      <c r="M44">
        <v>78.13820520946102</v>
      </c>
      <c r="N44">
        <v>1.151025750139367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106</v>
      </c>
      <c r="B45" t="s">
        <v>107</v>
      </c>
      <c r="D45">
        <v>2019</v>
      </c>
      <c r="E45" t="s">
        <v>169</v>
      </c>
      <c r="F45" t="s">
        <v>120</v>
      </c>
      <c r="G45" t="s">
        <v>182</v>
      </c>
      <c r="H45" t="s">
        <v>187</v>
      </c>
      <c r="I45">
        <v>0</v>
      </c>
      <c r="J45">
        <v>0</v>
      </c>
      <c r="L45">
        <v>1</v>
      </c>
      <c r="M45">
        <v>78.13820520946102</v>
      </c>
      <c r="N45">
        <v>1.151025750139367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106</v>
      </c>
      <c r="B46" t="s">
        <v>188</v>
      </c>
      <c r="D46">
        <v>2019</v>
      </c>
      <c r="E46" t="s">
        <v>169</v>
      </c>
      <c r="F46" t="s">
        <v>189</v>
      </c>
      <c r="G46" t="s">
        <v>182</v>
      </c>
      <c r="H46" t="s">
        <v>190</v>
      </c>
      <c r="I46">
        <v>2334.3680876516091</v>
      </c>
      <c r="J46">
        <v>2334.3680876516091</v>
      </c>
      <c r="K46">
        <v>0.1558499887716146</v>
      </c>
      <c r="L46">
        <v>1</v>
      </c>
      <c r="M46">
        <v>20.242248163120561</v>
      </c>
      <c r="N46">
        <v>0</v>
      </c>
      <c r="O46">
        <v>474.95881813276537</v>
      </c>
      <c r="P46">
        <v>474.95881813276537</v>
      </c>
      <c r="Q46">
        <v>474.95881813276537</v>
      </c>
      <c r="R46">
        <v>474.95881813276537</v>
      </c>
      <c r="S46">
        <v>474.95881813276537</v>
      </c>
      <c r="T46">
        <v>474.95881813276537</v>
      </c>
      <c r="U46">
        <v>474.95881813276537</v>
      </c>
      <c r="V46">
        <v>474.95881813276537</v>
      </c>
      <c r="W46">
        <v>474.95881813276537</v>
      </c>
      <c r="X46">
        <v>474.95881813276537</v>
      </c>
      <c r="Y46">
        <v>474.95881813276537</v>
      </c>
      <c r="Z46">
        <v>474.95881813276537</v>
      </c>
      <c r="AA46">
        <v>474.95881813276537</v>
      </c>
      <c r="AB46">
        <v>474.95881813276537</v>
      </c>
      <c r="AC46">
        <v>474.95881813276537</v>
      </c>
      <c r="AD46">
        <v>474.95881813276537</v>
      </c>
      <c r="AE46">
        <v>474.95881813276537</v>
      </c>
      <c r="AF46">
        <v>474.95881813276537</v>
      </c>
    </row>
    <row r="47" spans="1:32">
      <c r="A47" t="s">
        <v>106</v>
      </c>
      <c r="B47" t="s">
        <v>188</v>
      </c>
      <c r="D47">
        <v>2019</v>
      </c>
      <c r="E47" t="s">
        <v>169</v>
      </c>
      <c r="F47" t="s">
        <v>191</v>
      </c>
      <c r="G47" t="s">
        <v>182</v>
      </c>
      <c r="H47" t="s">
        <v>192</v>
      </c>
      <c r="I47">
        <v>3448.5131018862198</v>
      </c>
      <c r="J47">
        <v>3448.5131018862198</v>
      </c>
      <c r="K47">
        <v>0.1558499887716146</v>
      </c>
      <c r="L47">
        <v>1</v>
      </c>
      <c r="M47">
        <v>34.293446157052813</v>
      </c>
      <c r="N47">
        <v>0</v>
      </c>
      <c r="O47">
        <v>701.64671794968604</v>
      </c>
      <c r="P47">
        <v>701.64671794968604</v>
      </c>
      <c r="Q47">
        <v>701.64671794968604</v>
      </c>
      <c r="R47">
        <v>701.64671794968604</v>
      </c>
      <c r="S47">
        <v>701.64671794968604</v>
      </c>
      <c r="T47">
        <v>701.64671794968604</v>
      </c>
      <c r="U47">
        <v>701.64671794968604</v>
      </c>
      <c r="V47">
        <v>701.64671794968604</v>
      </c>
      <c r="W47">
        <v>701.64671794968604</v>
      </c>
      <c r="X47">
        <v>701.64671794968604</v>
      </c>
      <c r="Y47">
        <v>701.64671794968604</v>
      </c>
      <c r="Z47">
        <v>701.64671794968604</v>
      </c>
      <c r="AA47">
        <v>701.64671794968604</v>
      </c>
      <c r="AB47">
        <v>701.64671794968604</v>
      </c>
      <c r="AC47">
        <v>701.64671794968604</v>
      </c>
      <c r="AD47">
        <v>701.64671794968604</v>
      </c>
      <c r="AE47">
        <v>701.64671794968604</v>
      </c>
      <c r="AF47">
        <v>701.64671794968604</v>
      </c>
    </row>
    <row r="48" spans="1:32">
      <c r="A48" t="s">
        <v>106</v>
      </c>
      <c r="B48" t="s">
        <v>188</v>
      </c>
      <c r="D48">
        <v>2019</v>
      </c>
      <c r="E48" t="s">
        <v>169</v>
      </c>
      <c r="F48" t="s">
        <v>193</v>
      </c>
      <c r="G48" t="s">
        <v>182</v>
      </c>
      <c r="H48" t="s">
        <v>194</v>
      </c>
      <c r="I48">
        <v>0</v>
      </c>
      <c r="J48">
        <v>0</v>
      </c>
      <c r="K48">
        <v>0.1558499887716146</v>
      </c>
      <c r="L48">
        <v>1</v>
      </c>
      <c r="M48">
        <v>20.242248163120561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44">
      <c r="A49" t="s">
        <v>106</v>
      </c>
      <c r="B49" t="s">
        <v>188</v>
      </c>
      <c r="D49">
        <v>2019</v>
      </c>
      <c r="E49" t="s">
        <v>169</v>
      </c>
      <c r="F49" t="s">
        <v>195</v>
      </c>
      <c r="G49" t="s">
        <v>182</v>
      </c>
      <c r="H49" t="s">
        <v>196</v>
      </c>
      <c r="I49">
        <v>67.681706472196069</v>
      </c>
      <c r="J49">
        <v>67.681706472196069</v>
      </c>
      <c r="K49">
        <v>0.1558499887716146</v>
      </c>
      <c r="L49">
        <v>1</v>
      </c>
      <c r="M49">
        <v>20.242248163120561</v>
      </c>
      <c r="N49">
        <v>0</v>
      </c>
      <c r="O49">
        <v>13.77076026925219</v>
      </c>
      <c r="P49">
        <v>13.77076026925219</v>
      </c>
      <c r="Q49">
        <v>13.77076026925219</v>
      </c>
      <c r="R49">
        <v>13.77076026925219</v>
      </c>
      <c r="S49">
        <v>13.77076026925219</v>
      </c>
      <c r="T49">
        <v>13.77076026925219</v>
      </c>
      <c r="U49">
        <v>13.77076026925219</v>
      </c>
      <c r="V49">
        <v>13.77076026925219</v>
      </c>
      <c r="W49">
        <v>13.77076026925219</v>
      </c>
      <c r="X49">
        <v>13.77076026925219</v>
      </c>
      <c r="Y49">
        <v>13.77076026925219</v>
      </c>
      <c r="Z49">
        <v>13.77076026925219</v>
      </c>
      <c r="AA49">
        <v>13.77076026925219</v>
      </c>
      <c r="AB49">
        <v>13.77076026925219</v>
      </c>
      <c r="AC49">
        <v>13.77076026925219</v>
      </c>
      <c r="AD49">
        <v>13.77076026925219</v>
      </c>
      <c r="AE49">
        <v>13.77076026925219</v>
      </c>
      <c r="AF49">
        <v>13.77076026925219</v>
      </c>
    </row>
    <row r="50" spans="1:44">
      <c r="A50" t="s">
        <v>197</v>
      </c>
      <c r="B50" t="s">
        <v>107</v>
      </c>
      <c r="D50">
        <v>2019</v>
      </c>
      <c r="E50" t="s">
        <v>198</v>
      </c>
      <c r="F50" t="s">
        <v>199</v>
      </c>
      <c r="G50" t="s">
        <v>106</v>
      </c>
      <c r="H50" t="s">
        <v>200</v>
      </c>
      <c r="I50">
        <v>183214.53185075961</v>
      </c>
      <c r="L50">
        <v>1</v>
      </c>
      <c r="O50">
        <v>17429.084080171189</v>
      </c>
    </row>
    <row r="51" spans="1:44">
      <c r="A51" t="s">
        <v>197</v>
      </c>
      <c r="B51" t="s">
        <v>107</v>
      </c>
      <c r="D51">
        <v>2019</v>
      </c>
      <c r="E51" t="s">
        <v>201</v>
      </c>
      <c r="F51" t="s">
        <v>202</v>
      </c>
      <c r="G51" t="s">
        <v>106</v>
      </c>
      <c r="H51" t="s">
        <v>203</v>
      </c>
      <c r="I51">
        <v>43034.141007505437</v>
      </c>
      <c r="K51">
        <v>1</v>
      </c>
      <c r="L51">
        <v>1</v>
      </c>
      <c r="O51">
        <v>1364.6036595479909</v>
      </c>
      <c r="P51">
        <v>1364.6036595479909</v>
      </c>
      <c r="Q51">
        <v>1364.6036595479909</v>
      </c>
      <c r="R51">
        <v>1364.6036595479909</v>
      </c>
      <c r="S51">
        <v>1364.6036595479909</v>
      </c>
      <c r="T51">
        <v>1364.6036595479909</v>
      </c>
      <c r="U51">
        <v>1364.6036595479909</v>
      </c>
      <c r="V51">
        <v>1364.6036595479909</v>
      </c>
      <c r="W51">
        <v>1364.6036595479909</v>
      </c>
      <c r="X51">
        <v>1364.6036595479909</v>
      </c>
      <c r="Y51">
        <v>1364.6036595479909</v>
      </c>
      <c r="Z51">
        <v>1364.6036595479909</v>
      </c>
      <c r="AA51">
        <v>1364.6036595479909</v>
      </c>
      <c r="AB51">
        <v>1364.6036595479909</v>
      </c>
      <c r="AC51">
        <v>1364.6036595479909</v>
      </c>
      <c r="AD51">
        <v>1364.6036595479909</v>
      </c>
      <c r="AE51">
        <v>1364.6036595479909</v>
      </c>
      <c r="AF51">
        <v>1364.6036595479909</v>
      </c>
      <c r="AG51">
        <v>67.865561350034497</v>
      </c>
      <c r="AH51">
        <v>67.865561350034497</v>
      </c>
      <c r="AI51">
        <v>67.865561350034497</v>
      </c>
      <c r="AJ51">
        <v>67.865561350034497</v>
      </c>
      <c r="AK51">
        <v>2.6429913923359119E-3</v>
      </c>
      <c r="AL51">
        <v>2.6429913923359119E-3</v>
      </c>
      <c r="AM51">
        <v>2.6429913923359119E-3</v>
      </c>
      <c r="AN51">
        <v>2.6429913923359119E-3</v>
      </c>
      <c r="AO51">
        <v>3.0952951661773282E-4</v>
      </c>
      <c r="AP51">
        <v>3.0952951661773282E-4</v>
      </c>
      <c r="AQ51">
        <v>3.0952951661773282E-4</v>
      </c>
      <c r="AR51">
        <v>3.0952951661773282E-4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H22" sqref="H22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R22"/>
  <sheetViews>
    <sheetView tabSelected="1" workbookViewId="0">
      <selection activeCell="H14" sqref="H14"/>
    </sheetView>
  </sheetViews>
  <sheetFormatPr defaultRowHeight="15"/>
  <cols>
    <col min="4" max="4" width="12.85546875" bestFit="1" customWidth="1"/>
    <col min="12" max="12" width="23.42578125" bestFit="1" customWidth="1"/>
  </cols>
  <sheetData>
    <row r="3" spans="2:18">
      <c r="B3" s="1" t="s">
        <v>204</v>
      </c>
    </row>
    <row r="4" spans="2:18">
      <c r="B4" s="2" t="s">
        <v>205</v>
      </c>
      <c r="C4" s="2" t="s">
        <v>206</v>
      </c>
      <c r="D4" s="2" t="s">
        <v>207</v>
      </c>
      <c r="E4" s="2" t="s">
        <v>30</v>
      </c>
      <c r="F4" s="2" t="s">
        <v>208</v>
      </c>
      <c r="G4" s="2" t="s">
        <v>209</v>
      </c>
      <c r="H4" s="2" t="s">
        <v>210</v>
      </c>
      <c r="I4" s="2" t="s">
        <v>211</v>
      </c>
      <c r="J4" s="2" t="s">
        <v>212</v>
      </c>
      <c r="K4" s="2" t="s">
        <v>213</v>
      </c>
      <c r="L4" s="2" t="s">
        <v>214</v>
      </c>
      <c r="M4" s="2" t="s">
        <v>215</v>
      </c>
      <c r="N4" s="2" t="s">
        <v>216</v>
      </c>
      <c r="O4" s="2" t="s">
        <v>217</v>
      </c>
      <c r="P4" s="2" t="s">
        <v>218</v>
      </c>
      <c r="Q4" s="2" t="s">
        <v>219</v>
      </c>
      <c r="R4" s="2" t="s">
        <v>220</v>
      </c>
    </row>
    <row r="5" spans="2:18">
      <c r="D5" t="s">
        <v>221</v>
      </c>
      <c r="E5">
        <f>'City characteristics'!$C$20</f>
        <v>2019</v>
      </c>
      <c r="F5">
        <v>1</v>
      </c>
      <c r="G5">
        <v>1</v>
      </c>
      <c r="L5" t="s">
        <v>222</v>
      </c>
      <c r="Q5" t="s">
        <v>223</v>
      </c>
    </row>
    <row r="6" spans="2:18">
      <c r="D6" t="s">
        <v>221</v>
      </c>
      <c r="E6">
        <f>'City characteristics'!$C$20</f>
        <v>2019</v>
      </c>
      <c r="F6">
        <v>1</v>
      </c>
      <c r="G6">
        <v>1</v>
      </c>
      <c r="L6" t="s">
        <v>224</v>
      </c>
      <c r="Q6" t="s">
        <v>223</v>
      </c>
    </row>
    <row r="7" spans="2:18">
      <c r="D7" t="s">
        <v>221</v>
      </c>
      <c r="E7">
        <f>'City characteristics'!$C$20</f>
        <v>2019</v>
      </c>
      <c r="F7">
        <v>1</v>
      </c>
      <c r="G7">
        <v>1</v>
      </c>
      <c r="L7" t="s">
        <v>225</v>
      </c>
      <c r="Q7" t="s">
        <v>226</v>
      </c>
    </row>
    <row r="8" spans="2:18">
      <c r="D8" t="s">
        <v>221</v>
      </c>
      <c r="E8">
        <f>'City characteristics'!$C$20</f>
        <v>2019</v>
      </c>
      <c r="F8">
        <v>1</v>
      </c>
      <c r="G8">
        <v>1</v>
      </c>
      <c r="L8" t="s">
        <v>227</v>
      </c>
      <c r="Q8" t="s">
        <v>226</v>
      </c>
    </row>
    <row r="9" spans="2:18">
      <c r="D9" t="s">
        <v>228</v>
      </c>
      <c r="E9">
        <f>'City characteristics'!$C$20</f>
        <v>2019</v>
      </c>
      <c r="F9" s="11">
        <v>300</v>
      </c>
      <c r="G9" s="11">
        <v>0</v>
      </c>
      <c r="L9" t="s">
        <v>222</v>
      </c>
      <c r="Q9" t="s">
        <v>223</v>
      </c>
    </row>
    <row r="10" spans="2:18">
      <c r="D10" t="s">
        <v>228</v>
      </c>
      <c r="E10">
        <f>'City characteristics'!$C$20</f>
        <v>2019</v>
      </c>
      <c r="F10" s="11">
        <v>0</v>
      </c>
      <c r="G10" s="11">
        <v>300</v>
      </c>
      <c r="L10" t="s">
        <v>224</v>
      </c>
      <c r="Q10" t="s">
        <v>223</v>
      </c>
    </row>
    <row r="11" spans="2:18">
      <c r="D11" t="s">
        <v>228</v>
      </c>
      <c r="E11">
        <f>'City characteristics'!$C$20</f>
        <v>2019</v>
      </c>
      <c r="F11" s="11">
        <v>300</v>
      </c>
      <c r="G11" s="11">
        <v>0</v>
      </c>
      <c r="L11" t="s">
        <v>225</v>
      </c>
      <c r="Q11" t="s">
        <v>226</v>
      </c>
    </row>
    <row r="12" spans="2:18">
      <c r="D12" t="s">
        <v>228</v>
      </c>
      <c r="E12">
        <f>'City characteristics'!$C$20</f>
        <v>2019</v>
      </c>
      <c r="F12" s="11">
        <v>0</v>
      </c>
      <c r="G12" s="11">
        <v>300</v>
      </c>
      <c r="L12" t="s">
        <v>227</v>
      </c>
      <c r="Q12" t="s">
        <v>226</v>
      </c>
    </row>
    <row r="13" spans="2:18">
      <c r="D13" t="s">
        <v>229</v>
      </c>
      <c r="F13">
        <f t="shared" ref="F13:G16" si="0">8760*0.0036</f>
        <v>31.535999999999998</v>
      </c>
      <c r="G13">
        <f t="shared" si="0"/>
        <v>31.535999999999998</v>
      </c>
      <c r="L13" t="s">
        <v>222</v>
      </c>
      <c r="Q13" t="s">
        <v>223</v>
      </c>
    </row>
    <row r="14" spans="2:18">
      <c r="D14" t="s">
        <v>229</v>
      </c>
      <c r="F14">
        <f t="shared" si="0"/>
        <v>31.535999999999998</v>
      </c>
      <c r="G14">
        <f t="shared" si="0"/>
        <v>31.535999999999998</v>
      </c>
      <c r="L14" t="s">
        <v>224</v>
      </c>
      <c r="Q14" t="s">
        <v>223</v>
      </c>
    </row>
    <row r="15" spans="2:18">
      <c r="D15" t="s">
        <v>229</v>
      </c>
      <c r="F15">
        <f t="shared" si="0"/>
        <v>31.535999999999998</v>
      </c>
      <c r="G15">
        <f t="shared" si="0"/>
        <v>31.535999999999998</v>
      </c>
      <c r="L15" t="s">
        <v>225</v>
      </c>
      <c r="Q15" t="s">
        <v>226</v>
      </c>
    </row>
    <row r="16" spans="2:18">
      <c r="D16" t="s">
        <v>229</v>
      </c>
      <c r="F16">
        <f t="shared" si="0"/>
        <v>31.535999999999998</v>
      </c>
      <c r="G16">
        <f t="shared" si="0"/>
        <v>31.535999999999998</v>
      </c>
      <c r="L16" t="s">
        <v>227</v>
      </c>
      <c r="Q16" t="s">
        <v>226</v>
      </c>
    </row>
    <row r="17" spans="4:17">
      <c r="D17" t="s">
        <v>230</v>
      </c>
      <c r="E17">
        <f>'City characteristics'!$C$20</f>
        <v>2019</v>
      </c>
      <c r="F17" s="3">
        <f>'ELC RESID'!$O$50</f>
        <v>17429.084080171189</v>
      </c>
      <c r="G17" s="3">
        <f>'ELC RESID'!$O$50</f>
        <v>17429.084080171189</v>
      </c>
      <c r="L17" t="s">
        <v>222</v>
      </c>
      <c r="Q17" t="s">
        <v>223</v>
      </c>
    </row>
    <row r="18" spans="4:17">
      <c r="D18" t="s">
        <v>230</v>
      </c>
      <c r="E18">
        <f>'City characteristics'!$C$20</f>
        <v>2019</v>
      </c>
      <c r="F18" s="3">
        <f>'ELC RESID'!$O$50</f>
        <v>17429.084080171189</v>
      </c>
      <c r="G18" s="3">
        <f>'ELC RESID'!$O$50</f>
        <v>17429.084080171189</v>
      </c>
      <c r="L18" t="s">
        <v>224</v>
      </c>
      <c r="Q18" t="s">
        <v>223</v>
      </c>
    </row>
    <row r="19" spans="4:17">
      <c r="D19" t="s">
        <v>230</v>
      </c>
      <c r="E19">
        <f>'City characteristics'!$C$20</f>
        <v>2019</v>
      </c>
      <c r="F19" s="3">
        <f>'ELC RESID'!$O$50</f>
        <v>17429.084080171189</v>
      </c>
      <c r="G19" s="3">
        <f>'ELC RESID'!$O$50</f>
        <v>17429.084080171189</v>
      </c>
      <c r="L19" t="s">
        <v>225</v>
      </c>
      <c r="Q19" t="s">
        <v>226</v>
      </c>
    </row>
    <row r="20" spans="4:17">
      <c r="D20" t="s">
        <v>230</v>
      </c>
      <c r="E20">
        <f>'City characteristics'!$C$20</f>
        <v>2019</v>
      </c>
      <c r="F20" s="3">
        <f>'ELC RESID'!$O$50</f>
        <v>17429.084080171189</v>
      </c>
      <c r="G20" s="3">
        <f>'ELC RESID'!$O$50</f>
        <v>17429.084080171189</v>
      </c>
      <c r="L20" t="s">
        <v>227</v>
      </c>
      <c r="Q20" t="s">
        <v>226</v>
      </c>
    </row>
    <row r="21" spans="4:17">
      <c r="D21" t="s">
        <v>231</v>
      </c>
      <c r="E21">
        <f>'City characteristics'!$C$20</f>
        <v>2019</v>
      </c>
      <c r="F21">
        <v>1</v>
      </c>
      <c r="G21">
        <v>1</v>
      </c>
      <c r="L21" t="s">
        <v>222</v>
      </c>
      <c r="Q21" t="s">
        <v>223</v>
      </c>
    </row>
    <row r="22" spans="4:17">
      <c r="D22" t="s">
        <v>231</v>
      </c>
      <c r="E22">
        <f>'City characteristics'!$C$20</f>
        <v>2019</v>
      </c>
      <c r="F22">
        <v>1</v>
      </c>
      <c r="G22">
        <v>1</v>
      </c>
      <c r="L22" t="s">
        <v>224</v>
      </c>
      <c r="Q2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GC_Resid</vt:lpstr>
      <vt:lpstr>ELC RESID</vt:lpstr>
      <vt:lpstr>&gt;&gt; TIMES</vt:lpstr>
      <vt:lpstr>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2025-04-08T18:34:42Z</dcterms:modified>
</cp:coreProperties>
</file>